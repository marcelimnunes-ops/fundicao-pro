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77147d5f73c6d815/Documentos/"/>
    </mc:Choice>
  </mc:AlternateContent>
  <xr:revisionPtr revIDLastSave="22933" documentId="8_{63DF3974-180C-493E-9F7C-120CFF47FA71}" xr6:coauthVersionLast="47" xr6:coauthVersionMax="47" xr10:uidLastSave="{B59E6272-EF6E-4346-BC00-9A1C29AB4F48}"/>
  <bookViews>
    <workbookView xWindow="-120" yWindow="-120" windowWidth="20730" windowHeight="11760" tabRatio="757" firstSheet="3" activeTab="3" xr2:uid="{003C34BB-662B-4E3D-8EDA-9A2B0D979B04}"/>
  </bookViews>
  <sheets>
    <sheet name="Dados" sheetId="14" r:id="rId1"/>
    <sheet name="Profissionais" sheetId="2" r:id="rId2"/>
    <sheet name="Produtos" sheetId="1" r:id="rId3"/>
    <sheet name="Produção" sheetId="3" r:id="rId4"/>
  </sheets>
  <definedNames>
    <definedName name="Cst_Médio_Lingote">Dados!$Q$2</definedName>
    <definedName name="CstMedKgFund">Dados!$N$4</definedName>
    <definedName name="CstOleoKgALuminio">Dados!$I$8</definedName>
    <definedName name="CustoOleoFornada">Dados!$I$7</definedName>
    <definedName name="Dias_Uteis">Dados!$Q$5</definedName>
    <definedName name="OleoKGAluminio">Dados!$I$4</definedName>
    <definedName name="Produto" localSheetId="0">Tabela2[Cód Placa - Descrição]</definedName>
    <definedName name="Produto">Tabela2[Cód Placa - Descrição]</definedName>
    <definedName name="Profissional" localSheetId="0">Tabela1[Nome]</definedName>
    <definedName name="Profissional">Tabela1[Nome]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91" i="3" l="1"/>
  <c r="O1391" i="3"/>
  <c r="U1391" i="3"/>
  <c r="AC1391" i="3"/>
  <c r="AD1391" i="3"/>
  <c r="AE1391" i="3"/>
  <c r="R1391" i="3" s="1"/>
  <c r="AG1391" i="3"/>
  <c r="AH1391" i="3"/>
  <c r="AI1391" i="3"/>
  <c r="AK1391" i="3"/>
  <c r="AL1391" i="3"/>
  <c r="K1390" i="3"/>
  <c r="O1390" i="3"/>
  <c r="U1390" i="3"/>
  <c r="AC1390" i="3"/>
  <c r="AD1390" i="3"/>
  <c r="AE1390" i="3"/>
  <c r="R1390" i="3" s="1"/>
  <c r="AG1390" i="3"/>
  <c r="AH1390" i="3"/>
  <c r="AI1390" i="3"/>
  <c r="AK1390" i="3"/>
  <c r="AL1390" i="3"/>
  <c r="K1389" i="3"/>
  <c r="O1389" i="3"/>
  <c r="U1389" i="3"/>
  <c r="AC1389" i="3"/>
  <c r="AD1389" i="3"/>
  <c r="AE1389" i="3"/>
  <c r="R1389" i="3" s="1"/>
  <c r="AG1389" i="3"/>
  <c r="AH1389" i="3"/>
  <c r="AI1389" i="3"/>
  <c r="AK1389" i="3"/>
  <c r="AL1389" i="3"/>
  <c r="K1388" i="3"/>
  <c r="O1388" i="3"/>
  <c r="U1388" i="3"/>
  <c r="AC1388" i="3"/>
  <c r="AD1388" i="3"/>
  <c r="AE1388" i="3"/>
  <c r="R1388" i="3" s="1"/>
  <c r="AG1388" i="3"/>
  <c r="AH1388" i="3"/>
  <c r="AI1388" i="3"/>
  <c r="AK1388" i="3"/>
  <c r="AL1388" i="3"/>
  <c r="K1387" i="3"/>
  <c r="O1387" i="3"/>
  <c r="U1387" i="3"/>
  <c r="AC1387" i="3"/>
  <c r="AD1387" i="3"/>
  <c r="AE1387" i="3"/>
  <c r="R1387" i="3" s="1"/>
  <c r="AG1387" i="3"/>
  <c r="AH1387" i="3"/>
  <c r="AI1387" i="3"/>
  <c r="AK1387" i="3"/>
  <c r="AL1387" i="3"/>
  <c r="K1386" i="3"/>
  <c r="O1386" i="3"/>
  <c r="U1386" i="3"/>
  <c r="AC1386" i="3"/>
  <c r="AD1386" i="3"/>
  <c r="AE1386" i="3"/>
  <c r="R1386" i="3" s="1"/>
  <c r="AG1386" i="3"/>
  <c r="AH1386" i="3"/>
  <c r="AI1386" i="3"/>
  <c r="AK1386" i="3"/>
  <c r="AL1386" i="3"/>
  <c r="K1385" i="3"/>
  <c r="O1385" i="3"/>
  <c r="U1385" i="3"/>
  <c r="AC1385" i="3"/>
  <c r="AD1385" i="3"/>
  <c r="AE1385" i="3"/>
  <c r="R1385" i="3" s="1"/>
  <c r="AG1385" i="3"/>
  <c r="AH1385" i="3"/>
  <c r="AI1385" i="3"/>
  <c r="AK1385" i="3"/>
  <c r="AL1385" i="3"/>
  <c r="K1384" i="3"/>
  <c r="O1384" i="3"/>
  <c r="U1384" i="3"/>
  <c r="AC1384" i="3"/>
  <c r="AD1384" i="3"/>
  <c r="AE1384" i="3"/>
  <c r="R1384" i="3" s="1"/>
  <c r="AG1384" i="3"/>
  <c r="AH1384" i="3"/>
  <c r="AI1384" i="3"/>
  <c r="AK1384" i="3"/>
  <c r="AL1384" i="3"/>
  <c r="K1383" i="3"/>
  <c r="O1383" i="3"/>
  <c r="U1383" i="3"/>
  <c r="AC1383" i="3"/>
  <c r="AD1383" i="3"/>
  <c r="AE1383" i="3"/>
  <c r="R1383" i="3" s="1"/>
  <c r="AG1383" i="3"/>
  <c r="AH1383" i="3"/>
  <c r="AI1383" i="3"/>
  <c r="AK1383" i="3"/>
  <c r="AL1383" i="3"/>
  <c r="K1382" i="3"/>
  <c r="O1382" i="3"/>
  <c r="U1382" i="3"/>
  <c r="AC1382" i="3"/>
  <c r="AD1382" i="3"/>
  <c r="AE1382" i="3"/>
  <c r="R1382" i="3" s="1"/>
  <c r="AG1382" i="3"/>
  <c r="AH1382" i="3"/>
  <c r="AI1382" i="3"/>
  <c r="AK1382" i="3"/>
  <c r="AL1382" i="3"/>
  <c r="K1381" i="3"/>
  <c r="O1381" i="3"/>
  <c r="U1381" i="3"/>
  <c r="AC1381" i="3"/>
  <c r="AD1381" i="3"/>
  <c r="AE1381" i="3"/>
  <c r="R1381" i="3" s="1"/>
  <c r="AG1381" i="3"/>
  <c r="AH1381" i="3"/>
  <c r="AI1381" i="3"/>
  <c r="AK1381" i="3"/>
  <c r="AL1381" i="3"/>
  <c r="K1380" i="3"/>
  <c r="O1380" i="3"/>
  <c r="U1380" i="3"/>
  <c r="AC1380" i="3"/>
  <c r="AD1380" i="3"/>
  <c r="AE1380" i="3"/>
  <c r="R1380" i="3" s="1"/>
  <c r="AG1380" i="3"/>
  <c r="AH1380" i="3"/>
  <c r="AI1380" i="3"/>
  <c r="AK1380" i="3"/>
  <c r="AL1380" i="3"/>
  <c r="K1379" i="3"/>
  <c r="O1379" i="3"/>
  <c r="U1379" i="3"/>
  <c r="AC1379" i="3"/>
  <c r="AD1379" i="3"/>
  <c r="AE1379" i="3"/>
  <c r="R1379" i="3" s="1"/>
  <c r="AG1379" i="3"/>
  <c r="AH1379" i="3"/>
  <c r="AI1379" i="3"/>
  <c r="AK1379" i="3"/>
  <c r="AL1379" i="3"/>
  <c r="K1378" i="3"/>
  <c r="O1378" i="3"/>
  <c r="U1378" i="3"/>
  <c r="AC1378" i="3"/>
  <c r="AD1378" i="3"/>
  <c r="AE1378" i="3"/>
  <c r="R1378" i="3" s="1"/>
  <c r="AG1378" i="3"/>
  <c r="AH1378" i="3"/>
  <c r="AI1378" i="3"/>
  <c r="AK1378" i="3"/>
  <c r="AL1378" i="3"/>
  <c r="K1377" i="3"/>
  <c r="O1377" i="3"/>
  <c r="U1377" i="3"/>
  <c r="AC1377" i="3"/>
  <c r="AD1377" i="3"/>
  <c r="AE1377" i="3"/>
  <c r="R1377" i="3" s="1"/>
  <c r="AG1377" i="3"/>
  <c r="AH1377" i="3"/>
  <c r="AI1377" i="3"/>
  <c r="AK1377" i="3"/>
  <c r="AL1377" i="3"/>
  <c r="K1376" i="3"/>
  <c r="O1376" i="3"/>
  <c r="U1376" i="3"/>
  <c r="AC1376" i="3"/>
  <c r="AD1376" i="3"/>
  <c r="AE1376" i="3"/>
  <c r="R1376" i="3" s="1"/>
  <c r="AG1376" i="3"/>
  <c r="AH1376" i="3"/>
  <c r="AI1376" i="3"/>
  <c r="AK1376" i="3"/>
  <c r="AL1376" i="3"/>
  <c r="K1375" i="3"/>
  <c r="O1375" i="3"/>
  <c r="U1375" i="3"/>
  <c r="AC1375" i="3"/>
  <c r="AD1375" i="3"/>
  <c r="AE1375" i="3"/>
  <c r="R1375" i="3" s="1"/>
  <c r="AG1375" i="3"/>
  <c r="AH1375" i="3"/>
  <c r="AI1375" i="3"/>
  <c r="AK1375" i="3"/>
  <c r="AL1375" i="3"/>
  <c r="K1374" i="3"/>
  <c r="O1374" i="3"/>
  <c r="U1374" i="3"/>
  <c r="AC1374" i="3"/>
  <c r="AD1374" i="3"/>
  <c r="AE1374" i="3"/>
  <c r="R1374" i="3" s="1"/>
  <c r="AG1374" i="3"/>
  <c r="AH1374" i="3"/>
  <c r="AI1374" i="3"/>
  <c r="AK1374" i="3"/>
  <c r="AL1374" i="3"/>
  <c r="K1298" i="3"/>
  <c r="O1298" i="3"/>
  <c r="U1298" i="3"/>
  <c r="AC1298" i="3"/>
  <c r="AD1298" i="3"/>
  <c r="AE1298" i="3"/>
  <c r="R1298" i="3" s="1"/>
  <c r="AG1298" i="3"/>
  <c r="AH1298" i="3"/>
  <c r="AI1298" i="3"/>
  <c r="AK1298" i="3"/>
  <c r="AL1298" i="3"/>
  <c r="K1373" i="3"/>
  <c r="O1373" i="3"/>
  <c r="U1373" i="3"/>
  <c r="AC1373" i="3"/>
  <c r="AD1373" i="3"/>
  <c r="AE1373" i="3"/>
  <c r="R1373" i="3" s="1"/>
  <c r="AG1373" i="3"/>
  <c r="AH1373" i="3"/>
  <c r="AI1373" i="3"/>
  <c r="AK1373" i="3"/>
  <c r="AL1373" i="3"/>
  <c r="K1297" i="3"/>
  <c r="O1297" i="3"/>
  <c r="U1297" i="3"/>
  <c r="AC1297" i="3"/>
  <c r="AD1297" i="3"/>
  <c r="AE1297" i="3"/>
  <c r="R1297" i="3" s="1"/>
  <c r="AG1297" i="3"/>
  <c r="AH1297" i="3"/>
  <c r="AI1297" i="3"/>
  <c r="AK1297" i="3"/>
  <c r="AL1297" i="3"/>
  <c r="AL1372" i="3"/>
  <c r="AK1372" i="3"/>
  <c r="AI1372" i="3"/>
  <c r="AH1372" i="3"/>
  <c r="AG1372" i="3"/>
  <c r="AE1372" i="3"/>
  <c r="R1372" i="3" s="1"/>
  <c r="T1372" i="3" s="1"/>
  <c r="Z1372" i="3" s="1"/>
  <c r="AD1372" i="3"/>
  <c r="AC1372" i="3"/>
  <c r="U1372" i="3"/>
  <c r="P1372" i="3"/>
  <c r="O1372" i="3"/>
  <c r="L1372" i="3"/>
  <c r="N1372" i="3" s="1"/>
  <c r="K1372" i="3"/>
  <c r="AL1371" i="3"/>
  <c r="AK1371" i="3"/>
  <c r="AI1371" i="3"/>
  <c r="AH1371" i="3"/>
  <c r="AG1371" i="3"/>
  <c r="AE1371" i="3"/>
  <c r="AD1371" i="3"/>
  <c r="AC1371" i="3"/>
  <c r="Y1371" i="3"/>
  <c r="U1371" i="3"/>
  <c r="R1371" i="3"/>
  <c r="T1371" i="3" s="1"/>
  <c r="Z1371" i="3" s="1"/>
  <c r="O1371" i="3"/>
  <c r="K1371" i="3"/>
  <c r="AL1370" i="3"/>
  <c r="AK1370" i="3"/>
  <c r="AI1370" i="3"/>
  <c r="AH1370" i="3"/>
  <c r="AG1370" i="3"/>
  <c r="AE1370" i="3"/>
  <c r="R1370" i="3" s="1"/>
  <c r="T1370" i="3" s="1"/>
  <c r="Z1370" i="3" s="1"/>
  <c r="AD1370" i="3"/>
  <c r="AC1370" i="3"/>
  <c r="U1370" i="3"/>
  <c r="P1370" i="3"/>
  <c r="O1370" i="3"/>
  <c r="L1370" i="3"/>
  <c r="N1370" i="3" s="1"/>
  <c r="K1370" i="3"/>
  <c r="AL1369" i="3"/>
  <c r="AK1369" i="3"/>
  <c r="AI1369" i="3"/>
  <c r="AH1369" i="3"/>
  <c r="AG1369" i="3"/>
  <c r="AE1369" i="3"/>
  <c r="AD1369" i="3"/>
  <c r="AC1369" i="3"/>
  <c r="Y1369" i="3"/>
  <c r="U1369" i="3"/>
  <c r="R1369" i="3"/>
  <c r="T1369" i="3" s="1"/>
  <c r="Z1369" i="3" s="1"/>
  <c r="O1369" i="3"/>
  <c r="K1369" i="3"/>
  <c r="AL1368" i="3"/>
  <c r="AK1368" i="3"/>
  <c r="AI1368" i="3"/>
  <c r="AH1368" i="3"/>
  <c r="AG1368" i="3"/>
  <c r="AE1368" i="3"/>
  <c r="R1368" i="3" s="1"/>
  <c r="T1368" i="3" s="1"/>
  <c r="Z1368" i="3" s="1"/>
  <c r="AD1368" i="3"/>
  <c r="AC1368" i="3"/>
  <c r="U1368" i="3"/>
  <c r="P1368" i="3"/>
  <c r="O1368" i="3"/>
  <c r="L1368" i="3"/>
  <c r="N1368" i="3" s="1"/>
  <c r="K1368" i="3"/>
  <c r="AL1367" i="3"/>
  <c r="AK1367" i="3"/>
  <c r="AI1367" i="3"/>
  <c r="AH1367" i="3"/>
  <c r="AG1367" i="3"/>
  <c r="AE1367" i="3"/>
  <c r="AD1367" i="3"/>
  <c r="AC1367" i="3"/>
  <c r="Y1367" i="3"/>
  <c r="U1367" i="3"/>
  <c r="R1367" i="3"/>
  <c r="T1367" i="3" s="1"/>
  <c r="Z1367" i="3" s="1"/>
  <c r="O1367" i="3"/>
  <c r="K1367" i="3"/>
  <c r="AL1366" i="3"/>
  <c r="AK1366" i="3"/>
  <c r="AI1366" i="3"/>
  <c r="AH1366" i="3"/>
  <c r="AG1366" i="3"/>
  <c r="AE1366" i="3"/>
  <c r="R1366" i="3" s="1"/>
  <c r="T1366" i="3" s="1"/>
  <c r="Z1366" i="3" s="1"/>
  <c r="AD1366" i="3"/>
  <c r="AC1366" i="3"/>
  <c r="U1366" i="3"/>
  <c r="P1366" i="3"/>
  <c r="O1366" i="3"/>
  <c r="L1366" i="3"/>
  <c r="N1366" i="3" s="1"/>
  <c r="K1366" i="3"/>
  <c r="AL1365" i="3"/>
  <c r="AK1365" i="3"/>
  <c r="AI1365" i="3"/>
  <c r="AH1365" i="3"/>
  <c r="AG1365" i="3"/>
  <c r="AE1365" i="3"/>
  <c r="AD1365" i="3"/>
  <c r="AC1365" i="3"/>
  <c r="Y1365" i="3"/>
  <c r="U1365" i="3"/>
  <c r="R1365" i="3"/>
  <c r="T1365" i="3" s="1"/>
  <c r="Z1365" i="3" s="1"/>
  <c r="O1365" i="3"/>
  <c r="K1365" i="3"/>
  <c r="AL1364" i="3"/>
  <c r="AK1364" i="3"/>
  <c r="AI1364" i="3"/>
  <c r="AH1364" i="3"/>
  <c r="AG1364" i="3"/>
  <c r="AE1364" i="3"/>
  <c r="R1364" i="3" s="1"/>
  <c r="T1364" i="3" s="1"/>
  <c r="Z1364" i="3" s="1"/>
  <c r="AD1364" i="3"/>
  <c r="AC1364" i="3"/>
  <c r="U1364" i="3"/>
  <c r="P1364" i="3"/>
  <c r="O1364" i="3"/>
  <c r="L1364" i="3"/>
  <c r="N1364" i="3" s="1"/>
  <c r="K1364" i="3"/>
  <c r="AL1363" i="3"/>
  <c r="AK1363" i="3"/>
  <c r="AI1363" i="3"/>
  <c r="AH1363" i="3"/>
  <c r="AG1363" i="3"/>
  <c r="AE1363" i="3"/>
  <c r="AD1363" i="3"/>
  <c r="AC1363" i="3"/>
  <c r="Y1363" i="3"/>
  <c r="U1363" i="3"/>
  <c r="R1363" i="3"/>
  <c r="T1363" i="3" s="1"/>
  <c r="Z1363" i="3" s="1"/>
  <c r="O1363" i="3"/>
  <c r="K1363" i="3"/>
  <c r="AL1362" i="3"/>
  <c r="AK1362" i="3"/>
  <c r="AI1362" i="3"/>
  <c r="AH1362" i="3"/>
  <c r="AG1362" i="3"/>
  <c r="AE1362" i="3"/>
  <c r="R1362" i="3" s="1"/>
  <c r="T1362" i="3" s="1"/>
  <c r="Z1362" i="3" s="1"/>
  <c r="AD1362" i="3"/>
  <c r="AC1362" i="3"/>
  <c r="U1362" i="3"/>
  <c r="P1362" i="3"/>
  <c r="O1362" i="3"/>
  <c r="L1362" i="3"/>
  <c r="N1362" i="3" s="1"/>
  <c r="K1362" i="3"/>
  <c r="AL1361" i="3"/>
  <c r="AK1361" i="3"/>
  <c r="AI1361" i="3"/>
  <c r="AH1361" i="3"/>
  <c r="AG1361" i="3"/>
  <c r="AE1361" i="3"/>
  <c r="AD1361" i="3"/>
  <c r="AC1361" i="3"/>
  <c r="Y1361" i="3"/>
  <c r="U1361" i="3"/>
  <c r="R1361" i="3"/>
  <c r="T1361" i="3" s="1"/>
  <c r="Z1361" i="3" s="1"/>
  <c r="O1361" i="3"/>
  <c r="K1361" i="3"/>
  <c r="AL1360" i="3"/>
  <c r="AK1360" i="3"/>
  <c r="AI1360" i="3"/>
  <c r="AH1360" i="3"/>
  <c r="AG1360" i="3"/>
  <c r="AE1360" i="3"/>
  <c r="R1360" i="3" s="1"/>
  <c r="AD1360" i="3"/>
  <c r="AC1360" i="3"/>
  <c r="U1360" i="3"/>
  <c r="P1360" i="3"/>
  <c r="O1360" i="3"/>
  <c r="L1360" i="3"/>
  <c r="K1360" i="3"/>
  <c r="AL1359" i="3"/>
  <c r="AK1359" i="3"/>
  <c r="AI1359" i="3"/>
  <c r="AH1359" i="3"/>
  <c r="Y1359" i="3" s="1"/>
  <c r="AG1359" i="3"/>
  <c r="AE1359" i="3"/>
  <c r="AD1359" i="3"/>
  <c r="AC1359" i="3"/>
  <c r="P1359" i="3" s="1"/>
  <c r="U1359" i="3"/>
  <c r="R1359" i="3"/>
  <c r="T1359" i="3" s="1"/>
  <c r="Z1359" i="3" s="1"/>
  <c r="O1359" i="3"/>
  <c r="K1359" i="3"/>
  <c r="AL1358" i="3"/>
  <c r="AK1358" i="3"/>
  <c r="AI1358" i="3"/>
  <c r="AH1358" i="3"/>
  <c r="AG1358" i="3"/>
  <c r="AE1358" i="3"/>
  <c r="R1358" i="3" s="1"/>
  <c r="AD1358" i="3"/>
  <c r="AC1358" i="3"/>
  <c r="U1358" i="3"/>
  <c r="P1358" i="3"/>
  <c r="O1358" i="3"/>
  <c r="L1358" i="3"/>
  <c r="N1358" i="3" s="1"/>
  <c r="K1358" i="3"/>
  <c r="AL1357" i="3"/>
  <c r="AK1357" i="3"/>
  <c r="AI1357" i="3"/>
  <c r="AH1357" i="3"/>
  <c r="Y1357" i="3" s="1"/>
  <c r="AG1357" i="3"/>
  <c r="AE1357" i="3"/>
  <c r="AD1357" i="3"/>
  <c r="AC1357" i="3"/>
  <c r="P1357" i="3" s="1"/>
  <c r="U1357" i="3"/>
  <c r="R1357" i="3"/>
  <c r="T1357" i="3" s="1"/>
  <c r="Z1357" i="3" s="1"/>
  <c r="O1357" i="3"/>
  <c r="K1357" i="3"/>
  <c r="K1356" i="3"/>
  <c r="O1356" i="3"/>
  <c r="U1356" i="3"/>
  <c r="AC1356" i="3"/>
  <c r="AD1356" i="3"/>
  <c r="AE1356" i="3"/>
  <c r="R1356" i="3" s="1"/>
  <c r="AG1356" i="3"/>
  <c r="AH1356" i="3"/>
  <c r="AI1356" i="3"/>
  <c r="AK1356" i="3"/>
  <c r="AL1356" i="3"/>
  <c r="K1355" i="3"/>
  <c r="O1355" i="3"/>
  <c r="U1355" i="3"/>
  <c r="AC1355" i="3"/>
  <c r="AD1355" i="3"/>
  <c r="AE1355" i="3"/>
  <c r="R1355" i="3" s="1"/>
  <c r="AG1355" i="3"/>
  <c r="AH1355" i="3"/>
  <c r="AI1355" i="3"/>
  <c r="AK1355" i="3"/>
  <c r="AL1355" i="3"/>
  <c r="K1354" i="3"/>
  <c r="O1354" i="3"/>
  <c r="U1354" i="3"/>
  <c r="AC1354" i="3"/>
  <c r="AD1354" i="3"/>
  <c r="AE1354" i="3"/>
  <c r="R1354" i="3" s="1"/>
  <c r="AG1354" i="3"/>
  <c r="AH1354" i="3"/>
  <c r="AI1354" i="3"/>
  <c r="AK1354" i="3"/>
  <c r="AL1354" i="3"/>
  <c r="K1353" i="3"/>
  <c r="O1353" i="3"/>
  <c r="U1353" i="3"/>
  <c r="AC1353" i="3"/>
  <c r="AD1353" i="3"/>
  <c r="AE1353" i="3"/>
  <c r="R1353" i="3" s="1"/>
  <c r="AG1353" i="3"/>
  <c r="AH1353" i="3"/>
  <c r="AI1353" i="3"/>
  <c r="AK1353" i="3"/>
  <c r="AL1353" i="3"/>
  <c r="K1352" i="3"/>
  <c r="O1352" i="3"/>
  <c r="U1352" i="3"/>
  <c r="AC1352" i="3"/>
  <c r="AD1352" i="3"/>
  <c r="AE1352" i="3"/>
  <c r="R1352" i="3" s="1"/>
  <c r="AG1352" i="3"/>
  <c r="AH1352" i="3"/>
  <c r="AI1352" i="3"/>
  <c r="AK1352" i="3"/>
  <c r="AL1352" i="3"/>
  <c r="K1351" i="3"/>
  <c r="O1351" i="3"/>
  <c r="U1351" i="3"/>
  <c r="AC1351" i="3"/>
  <c r="AD1351" i="3"/>
  <c r="AE1351" i="3"/>
  <c r="R1351" i="3" s="1"/>
  <c r="AG1351" i="3"/>
  <c r="AH1351" i="3"/>
  <c r="AI1351" i="3"/>
  <c r="AK1351" i="3"/>
  <c r="AL1351" i="3"/>
  <c r="K1350" i="3"/>
  <c r="O1350" i="3"/>
  <c r="U1350" i="3"/>
  <c r="AC1350" i="3"/>
  <c r="AD1350" i="3"/>
  <c r="AE1350" i="3"/>
  <c r="R1350" i="3" s="1"/>
  <c r="AG1350" i="3"/>
  <c r="AH1350" i="3"/>
  <c r="AI1350" i="3"/>
  <c r="AK1350" i="3"/>
  <c r="AL1350" i="3"/>
  <c r="K1349" i="3"/>
  <c r="O1349" i="3"/>
  <c r="U1349" i="3"/>
  <c r="AC1349" i="3"/>
  <c r="AD1349" i="3"/>
  <c r="AE1349" i="3"/>
  <c r="R1349" i="3" s="1"/>
  <c r="AG1349" i="3"/>
  <c r="AH1349" i="3"/>
  <c r="AI1349" i="3"/>
  <c r="AK1349" i="3"/>
  <c r="AL1349" i="3"/>
  <c r="K1348" i="3"/>
  <c r="O1348" i="3"/>
  <c r="U1348" i="3"/>
  <c r="AC1348" i="3"/>
  <c r="AD1348" i="3"/>
  <c r="AE1348" i="3"/>
  <c r="R1348" i="3" s="1"/>
  <c r="AG1348" i="3"/>
  <c r="AH1348" i="3"/>
  <c r="AI1348" i="3"/>
  <c r="AK1348" i="3"/>
  <c r="AL1348" i="3"/>
  <c r="K1347" i="3"/>
  <c r="O1347" i="3"/>
  <c r="U1347" i="3"/>
  <c r="AC1347" i="3"/>
  <c r="AD1347" i="3"/>
  <c r="AE1347" i="3"/>
  <c r="R1347" i="3" s="1"/>
  <c r="AG1347" i="3"/>
  <c r="AH1347" i="3"/>
  <c r="AI1347" i="3"/>
  <c r="AK1347" i="3"/>
  <c r="AL1347" i="3"/>
  <c r="K1346" i="3"/>
  <c r="O1346" i="3"/>
  <c r="U1346" i="3"/>
  <c r="AC1346" i="3"/>
  <c r="AD1346" i="3"/>
  <c r="AE1346" i="3"/>
  <c r="R1346" i="3" s="1"/>
  <c r="AG1346" i="3"/>
  <c r="AH1346" i="3"/>
  <c r="AI1346" i="3"/>
  <c r="AK1346" i="3"/>
  <c r="AL1346" i="3"/>
  <c r="K1345" i="3"/>
  <c r="O1345" i="3"/>
  <c r="U1345" i="3"/>
  <c r="AC1345" i="3"/>
  <c r="AD1345" i="3"/>
  <c r="AE1345" i="3"/>
  <c r="R1345" i="3" s="1"/>
  <c r="AG1345" i="3"/>
  <c r="AH1345" i="3"/>
  <c r="AI1345" i="3"/>
  <c r="AK1345" i="3"/>
  <c r="AL1345" i="3"/>
  <c r="K1344" i="3"/>
  <c r="O1344" i="3"/>
  <c r="U1344" i="3"/>
  <c r="AC1344" i="3"/>
  <c r="AD1344" i="3"/>
  <c r="AE1344" i="3"/>
  <c r="R1344" i="3" s="1"/>
  <c r="AG1344" i="3"/>
  <c r="AH1344" i="3"/>
  <c r="AI1344" i="3"/>
  <c r="AK1344" i="3"/>
  <c r="AL1344" i="3"/>
  <c r="K1343" i="3"/>
  <c r="O1343" i="3"/>
  <c r="U1343" i="3"/>
  <c r="AC1343" i="3"/>
  <c r="AD1343" i="3"/>
  <c r="AE1343" i="3"/>
  <c r="R1343" i="3" s="1"/>
  <c r="AG1343" i="3"/>
  <c r="AH1343" i="3"/>
  <c r="AI1343" i="3"/>
  <c r="AK1343" i="3"/>
  <c r="AL1343" i="3"/>
  <c r="K1342" i="3"/>
  <c r="O1342" i="3"/>
  <c r="U1342" i="3"/>
  <c r="AC1342" i="3"/>
  <c r="AD1342" i="3"/>
  <c r="AE1342" i="3"/>
  <c r="R1342" i="3" s="1"/>
  <c r="AG1342" i="3"/>
  <c r="AH1342" i="3"/>
  <c r="AI1342" i="3"/>
  <c r="AK1342" i="3"/>
  <c r="AL1342" i="3"/>
  <c r="K1341" i="3"/>
  <c r="O1341" i="3"/>
  <c r="U1341" i="3"/>
  <c r="AC1341" i="3"/>
  <c r="AD1341" i="3"/>
  <c r="AE1341" i="3"/>
  <c r="R1341" i="3" s="1"/>
  <c r="AG1341" i="3"/>
  <c r="AH1341" i="3"/>
  <c r="AI1341" i="3"/>
  <c r="AK1341" i="3"/>
  <c r="AL1341" i="3"/>
  <c r="K1340" i="3"/>
  <c r="O1340" i="3"/>
  <c r="U1340" i="3"/>
  <c r="AC1340" i="3"/>
  <c r="AD1340" i="3"/>
  <c r="AE1340" i="3"/>
  <c r="R1340" i="3" s="1"/>
  <c r="AG1340" i="3"/>
  <c r="AH1340" i="3"/>
  <c r="AI1340" i="3"/>
  <c r="AK1340" i="3"/>
  <c r="AL1340" i="3"/>
  <c r="E11" i="2"/>
  <c r="E10" i="2"/>
  <c r="E9" i="2"/>
  <c r="E7" i="2"/>
  <c r="Y1391" i="3" l="1"/>
  <c r="T1391" i="3"/>
  <c r="Z1391" i="3" s="1"/>
  <c r="L1391" i="3"/>
  <c r="P1391" i="3"/>
  <c r="Y1390" i="3"/>
  <c r="T1390" i="3"/>
  <c r="Z1390" i="3" s="1"/>
  <c r="L1390" i="3"/>
  <c r="P1390" i="3"/>
  <c r="Y1389" i="3"/>
  <c r="T1389" i="3"/>
  <c r="Z1389" i="3" s="1"/>
  <c r="L1389" i="3"/>
  <c r="P1389" i="3"/>
  <c r="Y1388" i="3"/>
  <c r="T1388" i="3"/>
  <c r="Z1388" i="3" s="1"/>
  <c r="L1388" i="3"/>
  <c r="P1388" i="3"/>
  <c r="Y1387" i="3"/>
  <c r="T1387" i="3"/>
  <c r="Z1387" i="3" s="1"/>
  <c r="L1387" i="3"/>
  <c r="P1387" i="3"/>
  <c r="Y1386" i="3"/>
  <c r="T1386" i="3"/>
  <c r="Z1386" i="3" s="1"/>
  <c r="L1386" i="3"/>
  <c r="P1386" i="3"/>
  <c r="Y1385" i="3"/>
  <c r="T1385" i="3"/>
  <c r="Z1385" i="3" s="1"/>
  <c r="L1385" i="3"/>
  <c r="P1385" i="3"/>
  <c r="Y1384" i="3"/>
  <c r="T1384" i="3"/>
  <c r="Z1384" i="3" s="1"/>
  <c r="L1384" i="3"/>
  <c r="P1384" i="3"/>
  <c r="Y1383" i="3"/>
  <c r="T1383" i="3"/>
  <c r="Z1383" i="3" s="1"/>
  <c r="L1383" i="3"/>
  <c r="P1383" i="3"/>
  <c r="Y1382" i="3"/>
  <c r="T1382" i="3"/>
  <c r="Z1382" i="3" s="1"/>
  <c r="L1382" i="3"/>
  <c r="P1382" i="3"/>
  <c r="Y1381" i="3"/>
  <c r="T1381" i="3"/>
  <c r="Z1381" i="3" s="1"/>
  <c r="L1381" i="3"/>
  <c r="P1381" i="3"/>
  <c r="Y1380" i="3"/>
  <c r="T1380" i="3"/>
  <c r="Z1380" i="3" s="1"/>
  <c r="L1380" i="3"/>
  <c r="P1380" i="3"/>
  <c r="Y1379" i="3"/>
  <c r="T1379" i="3"/>
  <c r="Z1379" i="3" s="1"/>
  <c r="L1379" i="3"/>
  <c r="P1379" i="3"/>
  <c r="Y1378" i="3"/>
  <c r="T1378" i="3"/>
  <c r="Z1378" i="3" s="1"/>
  <c r="L1378" i="3"/>
  <c r="P1378" i="3"/>
  <c r="Y1377" i="3"/>
  <c r="T1377" i="3"/>
  <c r="Z1377" i="3" s="1"/>
  <c r="L1377" i="3"/>
  <c r="P1377" i="3"/>
  <c r="Y1376" i="3"/>
  <c r="T1376" i="3"/>
  <c r="Z1376" i="3" s="1"/>
  <c r="L1376" i="3"/>
  <c r="P1376" i="3"/>
  <c r="Y1375" i="3"/>
  <c r="T1375" i="3"/>
  <c r="Z1375" i="3" s="1"/>
  <c r="L1375" i="3"/>
  <c r="P1375" i="3"/>
  <c r="Y1374" i="3"/>
  <c r="T1374" i="3"/>
  <c r="Z1374" i="3" s="1"/>
  <c r="L1374" i="3"/>
  <c r="P1374" i="3"/>
  <c r="Y1298" i="3"/>
  <c r="T1298" i="3"/>
  <c r="Z1298" i="3" s="1"/>
  <c r="L1298" i="3"/>
  <c r="P1298" i="3"/>
  <c r="Y1373" i="3"/>
  <c r="T1373" i="3"/>
  <c r="Z1373" i="3" s="1"/>
  <c r="L1373" i="3"/>
  <c r="P1373" i="3"/>
  <c r="Y1297" i="3"/>
  <c r="T1297" i="3"/>
  <c r="Z1297" i="3" s="1"/>
  <c r="L1297" i="3"/>
  <c r="P1297" i="3"/>
  <c r="Y1358" i="3"/>
  <c r="N1360" i="3"/>
  <c r="M1360" i="3"/>
  <c r="Q1360" i="3" s="1"/>
  <c r="Y1360" i="3"/>
  <c r="Y1362" i="3"/>
  <c r="Y1364" i="3"/>
  <c r="Y1366" i="3"/>
  <c r="Y1368" i="3"/>
  <c r="Y1370" i="3"/>
  <c r="Y1372" i="3"/>
  <c r="T1358" i="3"/>
  <c r="Z1358" i="3" s="1"/>
  <c r="S1360" i="3"/>
  <c r="P1363" i="3"/>
  <c r="L1363" i="3"/>
  <c r="P1367" i="3"/>
  <c r="L1367" i="3"/>
  <c r="P1369" i="3"/>
  <c r="L1369" i="3"/>
  <c r="P1371" i="3"/>
  <c r="L1371" i="3"/>
  <c r="M1358" i="3"/>
  <c r="Q1358" i="3" s="1"/>
  <c r="S1358" i="3" s="1"/>
  <c r="V1360" i="3"/>
  <c r="W1360" i="3" s="1"/>
  <c r="T1360" i="3"/>
  <c r="Z1360" i="3" s="1"/>
  <c r="P1361" i="3"/>
  <c r="L1361" i="3"/>
  <c r="P1365" i="3"/>
  <c r="L1365" i="3"/>
  <c r="L1357" i="3"/>
  <c r="L1359" i="3"/>
  <c r="M1362" i="3"/>
  <c r="M1364" i="3"/>
  <c r="M1366" i="3"/>
  <c r="M1368" i="3"/>
  <c r="M1370" i="3"/>
  <c r="M1372" i="3"/>
  <c r="Y1356" i="3"/>
  <c r="T1356" i="3"/>
  <c r="Z1356" i="3" s="1"/>
  <c r="L1356" i="3"/>
  <c r="P1356" i="3"/>
  <c r="Y1355" i="3"/>
  <c r="T1355" i="3"/>
  <c r="Z1355" i="3" s="1"/>
  <c r="L1355" i="3"/>
  <c r="P1355" i="3"/>
  <c r="Y1354" i="3"/>
  <c r="T1354" i="3"/>
  <c r="Z1354" i="3" s="1"/>
  <c r="L1354" i="3"/>
  <c r="P1354" i="3"/>
  <c r="Y1353" i="3"/>
  <c r="T1353" i="3"/>
  <c r="Z1353" i="3" s="1"/>
  <c r="L1353" i="3"/>
  <c r="P1353" i="3"/>
  <c r="Y1352" i="3"/>
  <c r="T1352" i="3"/>
  <c r="Z1352" i="3" s="1"/>
  <c r="L1352" i="3"/>
  <c r="P1352" i="3"/>
  <c r="Y1351" i="3"/>
  <c r="T1351" i="3"/>
  <c r="Z1351" i="3" s="1"/>
  <c r="L1351" i="3"/>
  <c r="P1351" i="3"/>
  <c r="Y1350" i="3"/>
  <c r="T1350" i="3"/>
  <c r="Z1350" i="3" s="1"/>
  <c r="L1350" i="3"/>
  <c r="P1350" i="3"/>
  <c r="Y1349" i="3"/>
  <c r="T1349" i="3"/>
  <c r="Z1349" i="3" s="1"/>
  <c r="L1349" i="3"/>
  <c r="P1349" i="3"/>
  <c r="Y1348" i="3"/>
  <c r="T1348" i="3"/>
  <c r="Z1348" i="3" s="1"/>
  <c r="L1348" i="3"/>
  <c r="P1348" i="3"/>
  <c r="Y1347" i="3"/>
  <c r="T1347" i="3"/>
  <c r="Z1347" i="3" s="1"/>
  <c r="L1347" i="3"/>
  <c r="P1347" i="3"/>
  <c r="Y1346" i="3"/>
  <c r="T1346" i="3"/>
  <c r="Z1346" i="3" s="1"/>
  <c r="L1346" i="3"/>
  <c r="P1346" i="3"/>
  <c r="Y1345" i="3"/>
  <c r="T1345" i="3"/>
  <c r="Z1345" i="3" s="1"/>
  <c r="L1345" i="3"/>
  <c r="P1345" i="3"/>
  <c r="Y1344" i="3"/>
  <c r="T1344" i="3"/>
  <c r="Z1344" i="3" s="1"/>
  <c r="L1344" i="3"/>
  <c r="P1344" i="3"/>
  <c r="Y1343" i="3"/>
  <c r="T1343" i="3"/>
  <c r="Z1343" i="3" s="1"/>
  <c r="L1343" i="3"/>
  <c r="P1343" i="3"/>
  <c r="Y1342" i="3"/>
  <c r="T1342" i="3"/>
  <c r="Z1342" i="3" s="1"/>
  <c r="L1342" i="3"/>
  <c r="P1342" i="3"/>
  <c r="Y1341" i="3"/>
  <c r="T1341" i="3"/>
  <c r="Z1341" i="3" s="1"/>
  <c r="L1341" i="3"/>
  <c r="P1341" i="3"/>
  <c r="Y1340" i="3"/>
  <c r="T1340" i="3"/>
  <c r="Z1340" i="3" s="1"/>
  <c r="L1340" i="3"/>
  <c r="P1340" i="3"/>
  <c r="E2" i="2"/>
  <c r="E3" i="2"/>
  <c r="U1336" i="3" s="1"/>
  <c r="E4" i="2"/>
  <c r="U1338" i="3" s="1"/>
  <c r="E5" i="2"/>
  <c r="E6" i="2"/>
  <c r="E8" i="2"/>
  <c r="K1339" i="3"/>
  <c r="O1339" i="3"/>
  <c r="AC1339" i="3"/>
  <c r="AD1339" i="3"/>
  <c r="AE1339" i="3"/>
  <c r="R1339" i="3" s="1"/>
  <c r="AG1339" i="3"/>
  <c r="AH1339" i="3"/>
  <c r="AI1339" i="3"/>
  <c r="AK1339" i="3"/>
  <c r="AL1339" i="3"/>
  <c r="K1338" i="3"/>
  <c r="O1338" i="3"/>
  <c r="AC1338" i="3"/>
  <c r="AD1338" i="3"/>
  <c r="AE1338" i="3"/>
  <c r="R1338" i="3" s="1"/>
  <c r="AG1338" i="3"/>
  <c r="AH1338" i="3"/>
  <c r="AI1338" i="3"/>
  <c r="AK1338" i="3"/>
  <c r="AL1338" i="3"/>
  <c r="K1337" i="3"/>
  <c r="O1337" i="3"/>
  <c r="AC1337" i="3"/>
  <c r="AD1337" i="3"/>
  <c r="AE1337" i="3"/>
  <c r="R1337" i="3" s="1"/>
  <c r="AG1337" i="3"/>
  <c r="AH1337" i="3"/>
  <c r="AI1337" i="3"/>
  <c r="AK1337" i="3"/>
  <c r="AL1337" i="3"/>
  <c r="K1336" i="3"/>
  <c r="O1336" i="3"/>
  <c r="AC1336" i="3"/>
  <c r="AD1336" i="3"/>
  <c r="AE1336" i="3"/>
  <c r="R1336" i="3" s="1"/>
  <c r="AG1336" i="3"/>
  <c r="AH1336" i="3"/>
  <c r="AI1336" i="3"/>
  <c r="AK1336" i="3"/>
  <c r="AL1336" i="3"/>
  <c r="K1335" i="3"/>
  <c r="O1335" i="3"/>
  <c r="AC1335" i="3"/>
  <c r="AD1335" i="3"/>
  <c r="AE1335" i="3"/>
  <c r="R1335" i="3" s="1"/>
  <c r="AG1335" i="3"/>
  <c r="AH1335" i="3"/>
  <c r="AI1335" i="3"/>
  <c r="AK1335" i="3"/>
  <c r="AL1335" i="3"/>
  <c r="K1334" i="3"/>
  <c r="O1334" i="3"/>
  <c r="AC1334" i="3"/>
  <c r="AD1334" i="3"/>
  <c r="AE1334" i="3"/>
  <c r="R1334" i="3" s="1"/>
  <c r="AG1334" i="3"/>
  <c r="AH1334" i="3"/>
  <c r="AI1334" i="3"/>
  <c r="AK1334" i="3"/>
  <c r="AL1334" i="3"/>
  <c r="K1333" i="3"/>
  <c r="O1333" i="3"/>
  <c r="U1333" i="3"/>
  <c r="AC1333" i="3"/>
  <c r="AD1333" i="3"/>
  <c r="AE1333" i="3"/>
  <c r="R1333" i="3" s="1"/>
  <c r="AG1333" i="3"/>
  <c r="AH1333" i="3"/>
  <c r="AI1333" i="3"/>
  <c r="AK1333" i="3"/>
  <c r="AL1333" i="3"/>
  <c r="K1332" i="3"/>
  <c r="O1332" i="3"/>
  <c r="U1332" i="3"/>
  <c r="AC1332" i="3"/>
  <c r="AD1332" i="3"/>
  <c r="AE1332" i="3"/>
  <c r="R1332" i="3" s="1"/>
  <c r="AG1332" i="3"/>
  <c r="AH1332" i="3"/>
  <c r="AI1332" i="3"/>
  <c r="AK1332" i="3"/>
  <c r="AL1332" i="3"/>
  <c r="K1331" i="3"/>
  <c r="O1331" i="3"/>
  <c r="AC1331" i="3"/>
  <c r="AD1331" i="3"/>
  <c r="AE1331" i="3"/>
  <c r="R1331" i="3" s="1"/>
  <c r="AG1331" i="3"/>
  <c r="AH1331" i="3"/>
  <c r="AI1331" i="3"/>
  <c r="AK1331" i="3"/>
  <c r="AL1331" i="3"/>
  <c r="K1330" i="3"/>
  <c r="O1330" i="3"/>
  <c r="U1330" i="3"/>
  <c r="AC1330" i="3"/>
  <c r="AD1330" i="3"/>
  <c r="AE1330" i="3"/>
  <c r="R1330" i="3" s="1"/>
  <c r="AG1330" i="3"/>
  <c r="AH1330" i="3"/>
  <c r="AI1330" i="3"/>
  <c r="AK1330" i="3"/>
  <c r="AL1330" i="3"/>
  <c r="K1329" i="3"/>
  <c r="O1329" i="3"/>
  <c r="AC1329" i="3"/>
  <c r="AD1329" i="3"/>
  <c r="AE1329" i="3"/>
  <c r="R1329" i="3" s="1"/>
  <c r="AG1329" i="3"/>
  <c r="AH1329" i="3"/>
  <c r="AI1329" i="3"/>
  <c r="AK1329" i="3"/>
  <c r="AL1329" i="3"/>
  <c r="K1328" i="3"/>
  <c r="O1328" i="3"/>
  <c r="AC1328" i="3"/>
  <c r="AD1328" i="3"/>
  <c r="AE1328" i="3"/>
  <c r="R1328" i="3" s="1"/>
  <c r="AG1328" i="3"/>
  <c r="AH1328" i="3"/>
  <c r="AI1328" i="3"/>
  <c r="AK1328" i="3"/>
  <c r="AL1328" i="3"/>
  <c r="K1327" i="3"/>
  <c r="O1327" i="3"/>
  <c r="AC1327" i="3"/>
  <c r="AD1327" i="3"/>
  <c r="AE1327" i="3"/>
  <c r="R1327" i="3" s="1"/>
  <c r="AG1327" i="3"/>
  <c r="AH1327" i="3"/>
  <c r="AI1327" i="3"/>
  <c r="AK1327" i="3"/>
  <c r="AL1327" i="3"/>
  <c r="K1326" i="3"/>
  <c r="O1326" i="3"/>
  <c r="AC1326" i="3"/>
  <c r="AD1326" i="3"/>
  <c r="AE1326" i="3"/>
  <c r="R1326" i="3" s="1"/>
  <c r="AG1326" i="3"/>
  <c r="AH1326" i="3"/>
  <c r="AI1326" i="3"/>
  <c r="AK1326" i="3"/>
  <c r="AL1326" i="3"/>
  <c r="K1325" i="3"/>
  <c r="O1325" i="3"/>
  <c r="AC1325" i="3"/>
  <c r="AD1325" i="3"/>
  <c r="AE1325" i="3"/>
  <c r="R1325" i="3" s="1"/>
  <c r="AG1325" i="3"/>
  <c r="AH1325" i="3"/>
  <c r="AI1325" i="3"/>
  <c r="AK1325" i="3"/>
  <c r="AL1325" i="3"/>
  <c r="K1324" i="3"/>
  <c r="O1324" i="3"/>
  <c r="AC1324" i="3"/>
  <c r="AD1324" i="3"/>
  <c r="AE1324" i="3"/>
  <c r="R1324" i="3" s="1"/>
  <c r="AG1324" i="3"/>
  <c r="AH1324" i="3"/>
  <c r="AI1324" i="3"/>
  <c r="AK1324" i="3"/>
  <c r="AL1324" i="3"/>
  <c r="K1323" i="3"/>
  <c r="O1323" i="3"/>
  <c r="AC1323" i="3"/>
  <c r="AD1323" i="3"/>
  <c r="AE1323" i="3"/>
  <c r="R1323" i="3" s="1"/>
  <c r="AG1323" i="3"/>
  <c r="AH1323" i="3"/>
  <c r="AI1323" i="3"/>
  <c r="AK1323" i="3"/>
  <c r="AL1323" i="3"/>
  <c r="K1322" i="3"/>
  <c r="O1322" i="3"/>
  <c r="AC1322" i="3"/>
  <c r="AD1322" i="3"/>
  <c r="AE1322" i="3"/>
  <c r="R1322" i="3" s="1"/>
  <c r="AG1322" i="3"/>
  <c r="AH1322" i="3"/>
  <c r="AI1322" i="3"/>
  <c r="AK1322" i="3"/>
  <c r="AL1322" i="3"/>
  <c r="K1321" i="3"/>
  <c r="O1321" i="3"/>
  <c r="AC1321" i="3"/>
  <c r="AD1321" i="3"/>
  <c r="AE1321" i="3"/>
  <c r="R1321" i="3" s="1"/>
  <c r="AG1321" i="3"/>
  <c r="AH1321" i="3"/>
  <c r="AI1321" i="3"/>
  <c r="AK1321" i="3"/>
  <c r="AL1321" i="3"/>
  <c r="K1320" i="3"/>
  <c r="O1320" i="3"/>
  <c r="AC1320" i="3"/>
  <c r="AD1320" i="3"/>
  <c r="AE1320" i="3"/>
  <c r="R1320" i="3" s="1"/>
  <c r="AG1320" i="3"/>
  <c r="AH1320" i="3"/>
  <c r="AI1320" i="3"/>
  <c r="AK1320" i="3"/>
  <c r="AL1320" i="3"/>
  <c r="K1319" i="3"/>
  <c r="O1319" i="3"/>
  <c r="AC1319" i="3"/>
  <c r="AD1319" i="3"/>
  <c r="AE1319" i="3"/>
  <c r="R1319" i="3" s="1"/>
  <c r="AG1319" i="3"/>
  <c r="AH1319" i="3"/>
  <c r="AI1319" i="3"/>
  <c r="AK1319" i="3"/>
  <c r="AL1319" i="3"/>
  <c r="K1318" i="3"/>
  <c r="O1318" i="3"/>
  <c r="AC1318" i="3"/>
  <c r="AD1318" i="3"/>
  <c r="AE1318" i="3"/>
  <c r="R1318" i="3" s="1"/>
  <c r="AG1318" i="3"/>
  <c r="AH1318" i="3"/>
  <c r="AI1318" i="3"/>
  <c r="AK1318" i="3"/>
  <c r="AL1318" i="3"/>
  <c r="K1317" i="3"/>
  <c r="O1317" i="3"/>
  <c r="AC1317" i="3"/>
  <c r="AD1317" i="3"/>
  <c r="AE1317" i="3"/>
  <c r="R1317" i="3" s="1"/>
  <c r="AG1317" i="3"/>
  <c r="AH1317" i="3"/>
  <c r="AI1317" i="3"/>
  <c r="AK1317" i="3"/>
  <c r="AL1317" i="3"/>
  <c r="K1316" i="3"/>
  <c r="O1316" i="3"/>
  <c r="AC1316" i="3"/>
  <c r="AD1316" i="3"/>
  <c r="AE1316" i="3"/>
  <c r="R1316" i="3" s="1"/>
  <c r="AG1316" i="3"/>
  <c r="AH1316" i="3"/>
  <c r="AI1316" i="3"/>
  <c r="AK1316" i="3"/>
  <c r="AL1316" i="3"/>
  <c r="K1315" i="3"/>
  <c r="O1315" i="3"/>
  <c r="AC1315" i="3"/>
  <c r="AD1315" i="3"/>
  <c r="AE1315" i="3"/>
  <c r="R1315" i="3" s="1"/>
  <c r="AG1315" i="3"/>
  <c r="AH1315" i="3"/>
  <c r="AI1315" i="3"/>
  <c r="AK1315" i="3"/>
  <c r="AL1315" i="3"/>
  <c r="K1314" i="3"/>
  <c r="O1314" i="3"/>
  <c r="U1314" i="3"/>
  <c r="AC1314" i="3"/>
  <c r="AD1314" i="3"/>
  <c r="AE1314" i="3"/>
  <c r="R1314" i="3" s="1"/>
  <c r="AG1314" i="3"/>
  <c r="AH1314" i="3"/>
  <c r="AI1314" i="3"/>
  <c r="AK1314" i="3"/>
  <c r="AL1314" i="3"/>
  <c r="K1313" i="3"/>
  <c r="O1313" i="3"/>
  <c r="AC1313" i="3"/>
  <c r="AD1313" i="3"/>
  <c r="AE1313" i="3"/>
  <c r="R1313" i="3" s="1"/>
  <c r="AG1313" i="3"/>
  <c r="AH1313" i="3"/>
  <c r="AI1313" i="3"/>
  <c r="AK1313" i="3"/>
  <c r="AL1313" i="3"/>
  <c r="K1312" i="3"/>
  <c r="O1312" i="3"/>
  <c r="AC1312" i="3"/>
  <c r="AD1312" i="3"/>
  <c r="AE1312" i="3"/>
  <c r="R1312" i="3" s="1"/>
  <c r="AG1312" i="3"/>
  <c r="AH1312" i="3"/>
  <c r="AI1312" i="3"/>
  <c r="AK1312" i="3"/>
  <c r="AL1312" i="3"/>
  <c r="K1311" i="3"/>
  <c r="O1311" i="3"/>
  <c r="U1311" i="3"/>
  <c r="AC1311" i="3"/>
  <c r="AD1311" i="3"/>
  <c r="AE1311" i="3"/>
  <c r="R1311" i="3" s="1"/>
  <c r="AG1311" i="3"/>
  <c r="AH1311" i="3"/>
  <c r="AI1311" i="3"/>
  <c r="AK1311" i="3"/>
  <c r="AL1311" i="3"/>
  <c r="K1310" i="3"/>
  <c r="O1310" i="3"/>
  <c r="AC1310" i="3"/>
  <c r="AD1310" i="3"/>
  <c r="AE1310" i="3"/>
  <c r="R1310" i="3" s="1"/>
  <c r="AG1310" i="3"/>
  <c r="AH1310" i="3"/>
  <c r="AI1310" i="3"/>
  <c r="AK1310" i="3"/>
  <c r="AL1310" i="3"/>
  <c r="K1309" i="3"/>
  <c r="O1309" i="3"/>
  <c r="AC1309" i="3"/>
  <c r="AD1309" i="3"/>
  <c r="AE1309" i="3"/>
  <c r="R1309" i="3" s="1"/>
  <c r="AG1309" i="3"/>
  <c r="AH1309" i="3"/>
  <c r="AI1309" i="3"/>
  <c r="AK1309" i="3"/>
  <c r="AL1309" i="3"/>
  <c r="K1308" i="3"/>
  <c r="O1308" i="3"/>
  <c r="U1308" i="3"/>
  <c r="AC1308" i="3"/>
  <c r="AD1308" i="3"/>
  <c r="AE1308" i="3"/>
  <c r="R1308" i="3" s="1"/>
  <c r="AG1308" i="3"/>
  <c r="AH1308" i="3"/>
  <c r="AI1308" i="3"/>
  <c r="AK1308" i="3"/>
  <c r="AL1308" i="3"/>
  <c r="K1307" i="3"/>
  <c r="O1307" i="3"/>
  <c r="AC1307" i="3"/>
  <c r="AD1307" i="3"/>
  <c r="AE1307" i="3"/>
  <c r="R1307" i="3" s="1"/>
  <c r="AG1307" i="3"/>
  <c r="AH1307" i="3"/>
  <c r="AI1307" i="3"/>
  <c r="AK1307" i="3"/>
  <c r="AL1307" i="3"/>
  <c r="K1306" i="3"/>
  <c r="O1306" i="3"/>
  <c r="AC1306" i="3"/>
  <c r="AD1306" i="3"/>
  <c r="AE1306" i="3"/>
  <c r="R1306" i="3" s="1"/>
  <c r="AG1306" i="3"/>
  <c r="AH1306" i="3"/>
  <c r="AI1306" i="3"/>
  <c r="AK1306" i="3"/>
  <c r="AL1306" i="3"/>
  <c r="K1305" i="3"/>
  <c r="O1305" i="3"/>
  <c r="AC1305" i="3"/>
  <c r="AD1305" i="3"/>
  <c r="AE1305" i="3"/>
  <c r="R1305" i="3" s="1"/>
  <c r="AG1305" i="3"/>
  <c r="AH1305" i="3"/>
  <c r="AI1305" i="3"/>
  <c r="AK1305" i="3"/>
  <c r="AL1305" i="3"/>
  <c r="K1304" i="3"/>
  <c r="O1304" i="3"/>
  <c r="AC1304" i="3"/>
  <c r="AD1304" i="3"/>
  <c r="AE1304" i="3"/>
  <c r="R1304" i="3" s="1"/>
  <c r="AG1304" i="3"/>
  <c r="AH1304" i="3"/>
  <c r="AI1304" i="3"/>
  <c r="AK1304" i="3"/>
  <c r="AL1304" i="3"/>
  <c r="K1303" i="3"/>
  <c r="O1303" i="3"/>
  <c r="AC1303" i="3"/>
  <c r="AD1303" i="3"/>
  <c r="AE1303" i="3"/>
  <c r="R1303" i="3" s="1"/>
  <c r="AG1303" i="3"/>
  <c r="AH1303" i="3"/>
  <c r="AI1303" i="3"/>
  <c r="AK1303" i="3"/>
  <c r="AL1303" i="3"/>
  <c r="K1302" i="3"/>
  <c r="O1302" i="3"/>
  <c r="U1302" i="3"/>
  <c r="AC1302" i="3"/>
  <c r="AD1302" i="3"/>
  <c r="AE1302" i="3"/>
  <c r="R1302" i="3" s="1"/>
  <c r="AG1302" i="3"/>
  <c r="AH1302" i="3"/>
  <c r="AI1302" i="3"/>
  <c r="AK1302" i="3"/>
  <c r="AL1302" i="3"/>
  <c r="K1301" i="3"/>
  <c r="O1301" i="3"/>
  <c r="AC1301" i="3"/>
  <c r="AD1301" i="3"/>
  <c r="AE1301" i="3"/>
  <c r="R1301" i="3" s="1"/>
  <c r="AG1301" i="3"/>
  <c r="AH1301" i="3"/>
  <c r="AI1301" i="3"/>
  <c r="AK1301" i="3"/>
  <c r="AL1301" i="3"/>
  <c r="K1300" i="3"/>
  <c r="O1300" i="3"/>
  <c r="AC1300" i="3"/>
  <c r="AD1300" i="3"/>
  <c r="AE1300" i="3"/>
  <c r="R1300" i="3" s="1"/>
  <c r="AG1300" i="3"/>
  <c r="AH1300" i="3"/>
  <c r="AI1300" i="3"/>
  <c r="AK1300" i="3"/>
  <c r="AL1300" i="3"/>
  <c r="K1299" i="3"/>
  <c r="O1299" i="3"/>
  <c r="AC1299" i="3"/>
  <c r="AD1299" i="3"/>
  <c r="AE1299" i="3"/>
  <c r="R1299" i="3" s="1"/>
  <c r="AG1299" i="3"/>
  <c r="AH1299" i="3"/>
  <c r="AI1299" i="3"/>
  <c r="AK1299" i="3"/>
  <c r="AL1299" i="3"/>
  <c r="K1296" i="3"/>
  <c r="O1296" i="3"/>
  <c r="AC1296" i="3"/>
  <c r="AD1296" i="3"/>
  <c r="AE1296" i="3"/>
  <c r="R1296" i="3" s="1"/>
  <c r="AG1296" i="3"/>
  <c r="AH1296" i="3"/>
  <c r="AI1296" i="3"/>
  <c r="AK1296" i="3"/>
  <c r="AL1296" i="3"/>
  <c r="K1295" i="3"/>
  <c r="O1295" i="3"/>
  <c r="U1295" i="3"/>
  <c r="AC1295" i="3"/>
  <c r="AD1295" i="3"/>
  <c r="AE1295" i="3"/>
  <c r="R1295" i="3" s="1"/>
  <c r="AG1295" i="3"/>
  <c r="AH1295" i="3"/>
  <c r="AI1295" i="3"/>
  <c r="AK1295" i="3"/>
  <c r="AL1295" i="3"/>
  <c r="K1294" i="3"/>
  <c r="O1294" i="3"/>
  <c r="AC1294" i="3"/>
  <c r="AD1294" i="3"/>
  <c r="AE1294" i="3"/>
  <c r="R1294" i="3" s="1"/>
  <c r="AG1294" i="3"/>
  <c r="AH1294" i="3"/>
  <c r="AI1294" i="3"/>
  <c r="AK1294" i="3"/>
  <c r="AL1294" i="3"/>
  <c r="K1293" i="3"/>
  <c r="O1293" i="3"/>
  <c r="AC1293" i="3"/>
  <c r="AD1293" i="3"/>
  <c r="AE1293" i="3"/>
  <c r="R1293" i="3" s="1"/>
  <c r="AG1293" i="3"/>
  <c r="AH1293" i="3"/>
  <c r="AI1293" i="3"/>
  <c r="AK1293" i="3"/>
  <c r="AL1293" i="3"/>
  <c r="K1292" i="3"/>
  <c r="O1292" i="3"/>
  <c r="AC1292" i="3"/>
  <c r="AD1292" i="3"/>
  <c r="AE1292" i="3"/>
  <c r="R1292" i="3" s="1"/>
  <c r="AG1292" i="3"/>
  <c r="AH1292" i="3"/>
  <c r="AI1292" i="3"/>
  <c r="AK1292" i="3"/>
  <c r="AL1292" i="3"/>
  <c r="K1291" i="3"/>
  <c r="O1291" i="3"/>
  <c r="AC1291" i="3"/>
  <c r="AD1291" i="3"/>
  <c r="AE1291" i="3"/>
  <c r="R1291" i="3" s="1"/>
  <c r="AG1291" i="3"/>
  <c r="AH1291" i="3"/>
  <c r="AI1291" i="3"/>
  <c r="AK1291" i="3"/>
  <c r="AL1291" i="3"/>
  <c r="K1290" i="3"/>
  <c r="O1290" i="3"/>
  <c r="AC1290" i="3"/>
  <c r="AD1290" i="3"/>
  <c r="AE1290" i="3"/>
  <c r="R1290" i="3" s="1"/>
  <c r="AG1290" i="3"/>
  <c r="AH1290" i="3"/>
  <c r="AI1290" i="3"/>
  <c r="AK1290" i="3"/>
  <c r="AL1290" i="3"/>
  <c r="K1289" i="3"/>
  <c r="O1289" i="3"/>
  <c r="AC1289" i="3"/>
  <c r="AD1289" i="3"/>
  <c r="AE1289" i="3"/>
  <c r="R1289" i="3" s="1"/>
  <c r="AG1289" i="3"/>
  <c r="AH1289" i="3"/>
  <c r="AI1289" i="3"/>
  <c r="AK1289" i="3"/>
  <c r="AL1289" i="3"/>
  <c r="K1288" i="3"/>
  <c r="O1288" i="3"/>
  <c r="AC1288" i="3"/>
  <c r="AD1288" i="3"/>
  <c r="AE1288" i="3"/>
  <c r="R1288" i="3" s="1"/>
  <c r="AG1288" i="3"/>
  <c r="AH1288" i="3"/>
  <c r="AI1288" i="3"/>
  <c r="AK1288" i="3"/>
  <c r="AL1288" i="3"/>
  <c r="K1287" i="3"/>
  <c r="O1287" i="3"/>
  <c r="AC1287" i="3"/>
  <c r="AD1287" i="3"/>
  <c r="AE1287" i="3"/>
  <c r="R1287" i="3" s="1"/>
  <c r="AG1287" i="3"/>
  <c r="AH1287" i="3"/>
  <c r="AI1287" i="3"/>
  <c r="AK1287" i="3"/>
  <c r="AL1287" i="3"/>
  <c r="K1286" i="3"/>
  <c r="O1286" i="3"/>
  <c r="AC1286" i="3"/>
  <c r="AD1286" i="3"/>
  <c r="AE1286" i="3"/>
  <c r="R1286" i="3" s="1"/>
  <c r="AG1286" i="3"/>
  <c r="AH1286" i="3"/>
  <c r="AI1286" i="3"/>
  <c r="AK1286" i="3"/>
  <c r="AL1286" i="3"/>
  <c r="K1285" i="3"/>
  <c r="O1285" i="3"/>
  <c r="AC1285" i="3"/>
  <c r="AD1285" i="3"/>
  <c r="AE1285" i="3"/>
  <c r="R1285" i="3" s="1"/>
  <c r="AG1285" i="3"/>
  <c r="AH1285" i="3"/>
  <c r="AI1285" i="3"/>
  <c r="AK1285" i="3"/>
  <c r="AL1285" i="3"/>
  <c r="K1284" i="3"/>
  <c r="O1284" i="3"/>
  <c r="AC1284" i="3"/>
  <c r="AD1284" i="3"/>
  <c r="AE1284" i="3"/>
  <c r="R1284" i="3" s="1"/>
  <c r="AG1284" i="3"/>
  <c r="AH1284" i="3"/>
  <c r="AI1284" i="3"/>
  <c r="AK1284" i="3"/>
  <c r="AL1284" i="3"/>
  <c r="K1283" i="3"/>
  <c r="O1283" i="3"/>
  <c r="AC1283" i="3"/>
  <c r="AD1283" i="3"/>
  <c r="AE1283" i="3"/>
  <c r="R1283" i="3" s="1"/>
  <c r="AG1283" i="3"/>
  <c r="AH1283" i="3"/>
  <c r="AI1283" i="3"/>
  <c r="AK1283" i="3"/>
  <c r="AL1283" i="3"/>
  <c r="K1282" i="3"/>
  <c r="O1282" i="3"/>
  <c r="AC1282" i="3"/>
  <c r="AD1282" i="3"/>
  <c r="AE1282" i="3"/>
  <c r="R1282" i="3" s="1"/>
  <c r="AG1282" i="3"/>
  <c r="AH1282" i="3"/>
  <c r="AI1282" i="3"/>
  <c r="AK1282" i="3"/>
  <c r="AL1282" i="3"/>
  <c r="K1281" i="3"/>
  <c r="O1281" i="3"/>
  <c r="AC1281" i="3"/>
  <c r="AD1281" i="3"/>
  <c r="AE1281" i="3"/>
  <c r="R1281" i="3" s="1"/>
  <c r="AG1281" i="3"/>
  <c r="AH1281" i="3"/>
  <c r="AI1281" i="3"/>
  <c r="AK1281" i="3"/>
  <c r="AL1281" i="3"/>
  <c r="K1280" i="3"/>
  <c r="O1280" i="3"/>
  <c r="AC1280" i="3"/>
  <c r="AD1280" i="3"/>
  <c r="AE1280" i="3"/>
  <c r="R1280" i="3" s="1"/>
  <c r="AG1280" i="3"/>
  <c r="AH1280" i="3"/>
  <c r="AI1280" i="3"/>
  <c r="AK1280" i="3"/>
  <c r="AL1280" i="3"/>
  <c r="K1279" i="3"/>
  <c r="O1279" i="3"/>
  <c r="AC1279" i="3"/>
  <c r="AD1279" i="3"/>
  <c r="AE1279" i="3"/>
  <c r="R1279" i="3" s="1"/>
  <c r="AG1279" i="3"/>
  <c r="AH1279" i="3"/>
  <c r="AI1279" i="3"/>
  <c r="AK1279" i="3"/>
  <c r="AL1279" i="3"/>
  <c r="K1278" i="3"/>
  <c r="O1278" i="3"/>
  <c r="AC1278" i="3"/>
  <c r="AD1278" i="3"/>
  <c r="AE1278" i="3"/>
  <c r="R1278" i="3" s="1"/>
  <c r="AG1278" i="3"/>
  <c r="AH1278" i="3"/>
  <c r="AI1278" i="3"/>
  <c r="AK1278" i="3"/>
  <c r="AL1278" i="3"/>
  <c r="K1277" i="3"/>
  <c r="O1277" i="3"/>
  <c r="AC1277" i="3"/>
  <c r="AD1277" i="3"/>
  <c r="AE1277" i="3"/>
  <c r="R1277" i="3" s="1"/>
  <c r="AG1277" i="3"/>
  <c r="AH1277" i="3"/>
  <c r="AI1277" i="3"/>
  <c r="AK1277" i="3"/>
  <c r="AL1277" i="3"/>
  <c r="K1276" i="3"/>
  <c r="O1276" i="3"/>
  <c r="AC1276" i="3"/>
  <c r="AD1276" i="3"/>
  <c r="AE1276" i="3"/>
  <c r="R1276" i="3" s="1"/>
  <c r="AG1276" i="3"/>
  <c r="AH1276" i="3"/>
  <c r="AI1276" i="3"/>
  <c r="AK1276" i="3"/>
  <c r="AL1276" i="3"/>
  <c r="K1275" i="3"/>
  <c r="O1275" i="3"/>
  <c r="AC1275" i="3"/>
  <c r="AD1275" i="3"/>
  <c r="AE1275" i="3"/>
  <c r="R1275" i="3" s="1"/>
  <c r="AG1275" i="3"/>
  <c r="AH1275" i="3"/>
  <c r="AI1275" i="3"/>
  <c r="AK1275" i="3"/>
  <c r="AL1275" i="3"/>
  <c r="K1274" i="3"/>
  <c r="O1274" i="3"/>
  <c r="AC1274" i="3"/>
  <c r="AD1274" i="3"/>
  <c r="AE1274" i="3"/>
  <c r="R1274" i="3" s="1"/>
  <c r="AG1274" i="3"/>
  <c r="AH1274" i="3"/>
  <c r="AI1274" i="3"/>
  <c r="AK1274" i="3"/>
  <c r="AL1274" i="3"/>
  <c r="K1273" i="3"/>
  <c r="O1273" i="3"/>
  <c r="AC1273" i="3"/>
  <c r="AD1273" i="3"/>
  <c r="AE1273" i="3"/>
  <c r="R1273" i="3" s="1"/>
  <c r="AG1273" i="3"/>
  <c r="AH1273" i="3"/>
  <c r="AI1273" i="3"/>
  <c r="AK1273" i="3"/>
  <c r="AL1273" i="3"/>
  <c r="K1272" i="3"/>
  <c r="O1272" i="3"/>
  <c r="AC1272" i="3"/>
  <c r="AD1272" i="3"/>
  <c r="AE1272" i="3"/>
  <c r="R1272" i="3" s="1"/>
  <c r="AG1272" i="3"/>
  <c r="AH1272" i="3"/>
  <c r="AI1272" i="3"/>
  <c r="AK1272" i="3"/>
  <c r="AL1272" i="3"/>
  <c r="K1271" i="3"/>
  <c r="O1271" i="3"/>
  <c r="AC1271" i="3"/>
  <c r="AD1271" i="3"/>
  <c r="AE1271" i="3"/>
  <c r="R1271" i="3" s="1"/>
  <c r="AG1271" i="3"/>
  <c r="AH1271" i="3"/>
  <c r="AI1271" i="3"/>
  <c r="AK1271" i="3"/>
  <c r="AL1271" i="3"/>
  <c r="K1270" i="3"/>
  <c r="O1270" i="3"/>
  <c r="AC1270" i="3"/>
  <c r="AD1270" i="3"/>
  <c r="AE1270" i="3"/>
  <c r="R1270" i="3" s="1"/>
  <c r="AG1270" i="3"/>
  <c r="AH1270" i="3"/>
  <c r="AI1270" i="3"/>
  <c r="AK1270" i="3"/>
  <c r="AL1270" i="3"/>
  <c r="K1269" i="3"/>
  <c r="O1269" i="3"/>
  <c r="AC1269" i="3"/>
  <c r="AD1269" i="3"/>
  <c r="AE1269" i="3"/>
  <c r="R1269" i="3" s="1"/>
  <c r="AG1269" i="3"/>
  <c r="AH1269" i="3"/>
  <c r="AI1269" i="3"/>
  <c r="AK1269" i="3"/>
  <c r="AL1269" i="3"/>
  <c r="K1268" i="3"/>
  <c r="O1268" i="3"/>
  <c r="AC1268" i="3"/>
  <c r="AD1268" i="3"/>
  <c r="AE1268" i="3"/>
  <c r="R1268" i="3" s="1"/>
  <c r="AG1268" i="3"/>
  <c r="AH1268" i="3"/>
  <c r="AI1268" i="3"/>
  <c r="AK1268" i="3"/>
  <c r="AL1268" i="3"/>
  <c r="K1267" i="3"/>
  <c r="O1267" i="3"/>
  <c r="AC1267" i="3"/>
  <c r="AD1267" i="3"/>
  <c r="AE1267" i="3"/>
  <c r="R1267" i="3" s="1"/>
  <c r="AG1267" i="3"/>
  <c r="AH1267" i="3"/>
  <c r="AI1267" i="3"/>
  <c r="AK1267" i="3"/>
  <c r="AL1267" i="3"/>
  <c r="K1266" i="3"/>
  <c r="O1266" i="3"/>
  <c r="AC1266" i="3"/>
  <c r="AD1266" i="3"/>
  <c r="AE1266" i="3"/>
  <c r="R1266" i="3" s="1"/>
  <c r="AG1266" i="3"/>
  <c r="AH1266" i="3"/>
  <c r="AI1266" i="3"/>
  <c r="AK1266" i="3"/>
  <c r="AL1266" i="3"/>
  <c r="K1265" i="3"/>
  <c r="O1265" i="3"/>
  <c r="AC1265" i="3"/>
  <c r="AD1265" i="3"/>
  <c r="AE1265" i="3"/>
  <c r="R1265" i="3" s="1"/>
  <c r="AG1265" i="3"/>
  <c r="AH1265" i="3"/>
  <c r="AI1265" i="3"/>
  <c r="AK1265" i="3"/>
  <c r="AL1265" i="3"/>
  <c r="K1264" i="3"/>
  <c r="O1264" i="3"/>
  <c r="AC1264" i="3"/>
  <c r="AD1264" i="3"/>
  <c r="AE1264" i="3"/>
  <c r="R1264" i="3" s="1"/>
  <c r="AG1264" i="3"/>
  <c r="AH1264" i="3"/>
  <c r="AI1264" i="3"/>
  <c r="AK1264" i="3"/>
  <c r="AL1264" i="3"/>
  <c r="K1263" i="3"/>
  <c r="O1263" i="3"/>
  <c r="AC1263" i="3"/>
  <c r="AD1263" i="3"/>
  <c r="AE1263" i="3"/>
  <c r="R1263" i="3" s="1"/>
  <c r="AG1263" i="3"/>
  <c r="AH1263" i="3"/>
  <c r="AI1263" i="3"/>
  <c r="AK1263" i="3"/>
  <c r="AL1263" i="3"/>
  <c r="K1262" i="3"/>
  <c r="O1262" i="3"/>
  <c r="AC1262" i="3"/>
  <c r="AD1262" i="3"/>
  <c r="AE1262" i="3"/>
  <c r="R1262" i="3" s="1"/>
  <c r="AG1262" i="3"/>
  <c r="AH1262" i="3"/>
  <c r="AI1262" i="3"/>
  <c r="AK1262" i="3"/>
  <c r="AL1262" i="3"/>
  <c r="K1261" i="3"/>
  <c r="O1261" i="3"/>
  <c r="AC1261" i="3"/>
  <c r="AD1261" i="3"/>
  <c r="AE1261" i="3"/>
  <c r="R1261" i="3" s="1"/>
  <c r="AG1261" i="3"/>
  <c r="AH1261" i="3"/>
  <c r="AI1261" i="3"/>
  <c r="AK1261" i="3"/>
  <c r="AL1261" i="3"/>
  <c r="K1260" i="3"/>
  <c r="O1260" i="3"/>
  <c r="AC1260" i="3"/>
  <c r="AD1260" i="3"/>
  <c r="AE1260" i="3"/>
  <c r="R1260" i="3" s="1"/>
  <c r="AG1260" i="3"/>
  <c r="AH1260" i="3"/>
  <c r="AI1260" i="3"/>
  <c r="AK1260" i="3"/>
  <c r="AL1260" i="3"/>
  <c r="K1259" i="3"/>
  <c r="O1259" i="3"/>
  <c r="AC1259" i="3"/>
  <c r="AD1259" i="3"/>
  <c r="AE1259" i="3"/>
  <c r="R1259" i="3" s="1"/>
  <c r="AG1259" i="3"/>
  <c r="AH1259" i="3"/>
  <c r="AI1259" i="3"/>
  <c r="AK1259" i="3"/>
  <c r="AL1259" i="3"/>
  <c r="K1258" i="3"/>
  <c r="O1258" i="3"/>
  <c r="AC1258" i="3"/>
  <c r="AD1258" i="3"/>
  <c r="AE1258" i="3"/>
  <c r="R1258" i="3" s="1"/>
  <c r="AG1258" i="3"/>
  <c r="AH1258" i="3"/>
  <c r="AI1258" i="3"/>
  <c r="AK1258" i="3"/>
  <c r="AL1258" i="3"/>
  <c r="K1257" i="3"/>
  <c r="O1257" i="3"/>
  <c r="AC1257" i="3"/>
  <c r="AD1257" i="3"/>
  <c r="AE1257" i="3"/>
  <c r="R1257" i="3" s="1"/>
  <c r="AG1257" i="3"/>
  <c r="AH1257" i="3"/>
  <c r="AI1257" i="3"/>
  <c r="AK1257" i="3"/>
  <c r="AL1257" i="3"/>
  <c r="K1256" i="3"/>
  <c r="O1256" i="3"/>
  <c r="AC1256" i="3"/>
  <c r="AD1256" i="3"/>
  <c r="AE1256" i="3"/>
  <c r="R1256" i="3" s="1"/>
  <c r="AG1256" i="3"/>
  <c r="AH1256" i="3"/>
  <c r="AI1256" i="3"/>
  <c r="AK1256" i="3"/>
  <c r="AL1256" i="3"/>
  <c r="K1255" i="3"/>
  <c r="O1255" i="3"/>
  <c r="AC1255" i="3"/>
  <c r="AD1255" i="3"/>
  <c r="AE1255" i="3"/>
  <c r="R1255" i="3" s="1"/>
  <c r="AG1255" i="3"/>
  <c r="AH1255" i="3"/>
  <c r="AI1255" i="3"/>
  <c r="AK1255" i="3"/>
  <c r="AL1255" i="3"/>
  <c r="K1254" i="3"/>
  <c r="O1254" i="3"/>
  <c r="AC1254" i="3"/>
  <c r="AD1254" i="3"/>
  <c r="AE1254" i="3"/>
  <c r="R1254" i="3" s="1"/>
  <c r="AG1254" i="3"/>
  <c r="AH1254" i="3"/>
  <c r="AI1254" i="3"/>
  <c r="AK1254" i="3"/>
  <c r="AL1254" i="3"/>
  <c r="K1253" i="3"/>
  <c r="O1253" i="3"/>
  <c r="AC1253" i="3"/>
  <c r="AD1253" i="3"/>
  <c r="AE1253" i="3"/>
  <c r="R1253" i="3" s="1"/>
  <c r="AG1253" i="3"/>
  <c r="AH1253" i="3"/>
  <c r="AI1253" i="3"/>
  <c r="AK1253" i="3"/>
  <c r="AL1253" i="3"/>
  <c r="K1252" i="3"/>
  <c r="O1252" i="3"/>
  <c r="AC1252" i="3"/>
  <c r="AD1252" i="3"/>
  <c r="AE1252" i="3"/>
  <c r="R1252" i="3" s="1"/>
  <c r="AG1252" i="3"/>
  <c r="AH1252" i="3"/>
  <c r="AI1252" i="3"/>
  <c r="AK1252" i="3"/>
  <c r="AL1252" i="3"/>
  <c r="K1251" i="3"/>
  <c r="O1251" i="3"/>
  <c r="AC1251" i="3"/>
  <c r="AD1251" i="3"/>
  <c r="AE1251" i="3"/>
  <c r="R1251" i="3" s="1"/>
  <c r="AG1251" i="3"/>
  <c r="AH1251" i="3"/>
  <c r="AI1251" i="3"/>
  <c r="AK1251" i="3"/>
  <c r="AL1251" i="3"/>
  <c r="K1250" i="3"/>
  <c r="O1250" i="3"/>
  <c r="AC1250" i="3"/>
  <c r="AD1250" i="3"/>
  <c r="AE1250" i="3"/>
  <c r="R1250" i="3" s="1"/>
  <c r="AG1250" i="3"/>
  <c r="AH1250" i="3"/>
  <c r="AI1250" i="3"/>
  <c r="AK1250" i="3"/>
  <c r="AL1250" i="3"/>
  <c r="K1249" i="3"/>
  <c r="O1249" i="3"/>
  <c r="AC1249" i="3"/>
  <c r="AD1249" i="3"/>
  <c r="AE1249" i="3"/>
  <c r="R1249" i="3" s="1"/>
  <c r="AG1249" i="3"/>
  <c r="AH1249" i="3"/>
  <c r="AI1249" i="3"/>
  <c r="AK1249" i="3"/>
  <c r="AL1249" i="3"/>
  <c r="K1248" i="3"/>
  <c r="O1248" i="3"/>
  <c r="AC1248" i="3"/>
  <c r="AD1248" i="3"/>
  <c r="AE1248" i="3"/>
  <c r="R1248" i="3" s="1"/>
  <c r="AG1248" i="3"/>
  <c r="AH1248" i="3"/>
  <c r="AI1248" i="3"/>
  <c r="AK1248" i="3"/>
  <c r="AL1248" i="3"/>
  <c r="K1247" i="3"/>
  <c r="O1247" i="3"/>
  <c r="AC1247" i="3"/>
  <c r="AD1247" i="3"/>
  <c r="AE1247" i="3"/>
  <c r="R1247" i="3" s="1"/>
  <c r="AG1247" i="3"/>
  <c r="AH1247" i="3"/>
  <c r="AI1247" i="3"/>
  <c r="AK1247" i="3"/>
  <c r="AL1247" i="3"/>
  <c r="K1245" i="3"/>
  <c r="K1246" i="3"/>
  <c r="O1245" i="3"/>
  <c r="O1246" i="3"/>
  <c r="AC1245" i="3"/>
  <c r="AC1246" i="3"/>
  <c r="AD1245" i="3"/>
  <c r="AD1246" i="3"/>
  <c r="AE1245" i="3"/>
  <c r="R1245" i="3" s="1"/>
  <c r="AE1246" i="3"/>
  <c r="R1246" i="3" s="1"/>
  <c r="AG1245" i="3"/>
  <c r="AG1246" i="3"/>
  <c r="AH1245" i="3"/>
  <c r="AH1246" i="3"/>
  <c r="AI1245" i="3"/>
  <c r="AI1246" i="3"/>
  <c r="AK1245" i="3"/>
  <c r="AK1246" i="3"/>
  <c r="AL1245" i="3"/>
  <c r="AL1246" i="3"/>
  <c r="K1244" i="3"/>
  <c r="O1244" i="3"/>
  <c r="AC1244" i="3"/>
  <c r="AD1244" i="3"/>
  <c r="AE1244" i="3"/>
  <c r="R1244" i="3" s="1"/>
  <c r="AG1244" i="3"/>
  <c r="AH1244" i="3"/>
  <c r="AI1244" i="3"/>
  <c r="AK1244" i="3"/>
  <c r="AL1244" i="3"/>
  <c r="K1243" i="3"/>
  <c r="O1243" i="3"/>
  <c r="AC1243" i="3"/>
  <c r="AD1243" i="3"/>
  <c r="AE1243" i="3"/>
  <c r="R1243" i="3" s="1"/>
  <c r="AG1243" i="3"/>
  <c r="AH1243" i="3"/>
  <c r="AI1243" i="3"/>
  <c r="AK1243" i="3"/>
  <c r="AL1243" i="3"/>
  <c r="K1242" i="3"/>
  <c r="O1242" i="3"/>
  <c r="AC1242" i="3"/>
  <c r="AD1242" i="3"/>
  <c r="AE1242" i="3"/>
  <c r="R1242" i="3" s="1"/>
  <c r="AG1242" i="3"/>
  <c r="AH1242" i="3"/>
  <c r="AI1242" i="3"/>
  <c r="AK1242" i="3"/>
  <c r="AL1242" i="3"/>
  <c r="E193" i="1"/>
  <c r="AF1263" i="3" s="1"/>
  <c r="E101" i="1"/>
  <c r="AF1286" i="3" s="1"/>
  <c r="E165" i="1"/>
  <c r="AF1288" i="3" s="1"/>
  <c r="E102" i="1"/>
  <c r="AF1339" i="3" s="1"/>
  <c r="E187" i="1"/>
  <c r="AF1351" i="3" s="1"/>
  <c r="E201" i="1"/>
  <c r="AF1387" i="3" s="1"/>
  <c r="K1241" i="3"/>
  <c r="O1241" i="3"/>
  <c r="AC1241" i="3"/>
  <c r="AD1241" i="3"/>
  <c r="AE1241" i="3"/>
  <c r="R1241" i="3" s="1"/>
  <c r="AG1241" i="3"/>
  <c r="AH1241" i="3"/>
  <c r="AI1241" i="3"/>
  <c r="AK1241" i="3"/>
  <c r="AL1241" i="3"/>
  <c r="K1240" i="3"/>
  <c r="O1240" i="3"/>
  <c r="AC1240" i="3"/>
  <c r="AD1240" i="3"/>
  <c r="AE1240" i="3"/>
  <c r="R1240" i="3" s="1"/>
  <c r="AG1240" i="3"/>
  <c r="AH1240" i="3"/>
  <c r="AI1240" i="3"/>
  <c r="AK1240" i="3"/>
  <c r="AL1240" i="3"/>
  <c r="K1239" i="3"/>
  <c r="O1239" i="3"/>
  <c r="AC1239" i="3"/>
  <c r="AD1239" i="3"/>
  <c r="AE1239" i="3"/>
  <c r="R1239" i="3" s="1"/>
  <c r="AG1239" i="3"/>
  <c r="AH1239" i="3"/>
  <c r="AI1239" i="3"/>
  <c r="AK1239" i="3"/>
  <c r="AL1239" i="3"/>
  <c r="K1238" i="3"/>
  <c r="O1238" i="3"/>
  <c r="AC1238" i="3"/>
  <c r="AD1238" i="3"/>
  <c r="AE1238" i="3"/>
  <c r="R1238" i="3" s="1"/>
  <c r="AG1238" i="3"/>
  <c r="AH1238" i="3"/>
  <c r="AI1238" i="3"/>
  <c r="AK1238" i="3"/>
  <c r="AL1238" i="3"/>
  <c r="K1237" i="3"/>
  <c r="O1237" i="3"/>
  <c r="AC1237" i="3"/>
  <c r="AD1237" i="3"/>
  <c r="AE1237" i="3"/>
  <c r="R1237" i="3" s="1"/>
  <c r="AG1237" i="3"/>
  <c r="AH1237" i="3"/>
  <c r="AI1237" i="3"/>
  <c r="AK1237" i="3"/>
  <c r="AL1237" i="3"/>
  <c r="K1236" i="3"/>
  <c r="O1236" i="3"/>
  <c r="AC1236" i="3"/>
  <c r="AD1236" i="3"/>
  <c r="AE1236" i="3"/>
  <c r="R1236" i="3" s="1"/>
  <c r="AG1236" i="3"/>
  <c r="AH1236" i="3"/>
  <c r="AI1236" i="3"/>
  <c r="AK1236" i="3"/>
  <c r="AL1236" i="3"/>
  <c r="K1235" i="3"/>
  <c r="O1235" i="3"/>
  <c r="AC1235" i="3"/>
  <c r="AD1235" i="3"/>
  <c r="AE1235" i="3"/>
  <c r="R1235" i="3" s="1"/>
  <c r="AG1235" i="3"/>
  <c r="AH1235" i="3"/>
  <c r="AI1235" i="3"/>
  <c r="AK1235" i="3"/>
  <c r="AL1235" i="3"/>
  <c r="K1234" i="3"/>
  <c r="O1234" i="3"/>
  <c r="AC1234" i="3"/>
  <c r="AD1234" i="3"/>
  <c r="AE1234" i="3"/>
  <c r="R1234" i="3" s="1"/>
  <c r="AG1234" i="3"/>
  <c r="AH1234" i="3"/>
  <c r="AI1234" i="3"/>
  <c r="AK1234" i="3"/>
  <c r="AL1234" i="3"/>
  <c r="K1233" i="3"/>
  <c r="O1233" i="3"/>
  <c r="AC1233" i="3"/>
  <c r="AD1233" i="3"/>
  <c r="AE1233" i="3"/>
  <c r="R1233" i="3" s="1"/>
  <c r="AG1233" i="3"/>
  <c r="AH1233" i="3"/>
  <c r="AI1233" i="3"/>
  <c r="AK1233" i="3"/>
  <c r="AL1233" i="3"/>
  <c r="N21" i="14"/>
  <c r="N22" i="14"/>
  <c r="N23" i="14"/>
  <c r="N24" i="14"/>
  <c r="N25" i="14"/>
  <c r="N26" i="14"/>
  <c r="N27" i="14"/>
  <c r="N28" i="14"/>
  <c r="N29" i="14"/>
  <c r="I20" i="14"/>
  <c r="I21" i="14"/>
  <c r="I22" i="14"/>
  <c r="I23" i="14"/>
  <c r="I24" i="14"/>
  <c r="I25" i="14"/>
  <c r="I26" i="14"/>
  <c r="D19" i="14"/>
  <c r="D20" i="14"/>
  <c r="D21" i="14"/>
  <c r="D22" i="14"/>
  <c r="D23" i="14"/>
  <c r="D24" i="14"/>
  <c r="D25" i="14"/>
  <c r="D26" i="14"/>
  <c r="D27" i="14"/>
  <c r="D28" i="14"/>
  <c r="K1232" i="3"/>
  <c r="O1232" i="3"/>
  <c r="AC1232" i="3"/>
  <c r="AD1232" i="3"/>
  <c r="AE1232" i="3"/>
  <c r="R1232" i="3" s="1"/>
  <c r="AG1232" i="3"/>
  <c r="AH1232" i="3"/>
  <c r="AI1232" i="3"/>
  <c r="AK1232" i="3"/>
  <c r="AL1232" i="3"/>
  <c r="K1231" i="3"/>
  <c r="O1231" i="3"/>
  <c r="AC1231" i="3"/>
  <c r="AD1231" i="3"/>
  <c r="AE1231" i="3"/>
  <c r="R1231" i="3" s="1"/>
  <c r="AG1231" i="3"/>
  <c r="AH1231" i="3"/>
  <c r="AI1231" i="3"/>
  <c r="AK1231" i="3"/>
  <c r="AL1231" i="3"/>
  <c r="K1230" i="3"/>
  <c r="O1230" i="3"/>
  <c r="AC1230" i="3"/>
  <c r="AD1230" i="3"/>
  <c r="AE1230" i="3"/>
  <c r="R1230" i="3" s="1"/>
  <c r="AG1230" i="3"/>
  <c r="AH1230" i="3"/>
  <c r="AI1230" i="3"/>
  <c r="AK1230" i="3"/>
  <c r="AL1230" i="3"/>
  <c r="K1229" i="3"/>
  <c r="O1229" i="3"/>
  <c r="AC1229" i="3"/>
  <c r="AD1229" i="3"/>
  <c r="AE1229" i="3"/>
  <c r="R1229" i="3" s="1"/>
  <c r="AG1229" i="3"/>
  <c r="AH1229" i="3"/>
  <c r="AI1229" i="3"/>
  <c r="AK1229" i="3"/>
  <c r="AL1229" i="3"/>
  <c r="K1228" i="3"/>
  <c r="O1228" i="3"/>
  <c r="AC1228" i="3"/>
  <c r="AD1228" i="3"/>
  <c r="AE1228" i="3"/>
  <c r="R1228" i="3" s="1"/>
  <c r="AG1228" i="3"/>
  <c r="AH1228" i="3"/>
  <c r="AI1228" i="3"/>
  <c r="AK1228" i="3"/>
  <c r="AL1228" i="3"/>
  <c r="K1227" i="3"/>
  <c r="O1227" i="3"/>
  <c r="AC1227" i="3"/>
  <c r="AD1227" i="3"/>
  <c r="AE1227" i="3"/>
  <c r="R1227" i="3" s="1"/>
  <c r="AG1227" i="3"/>
  <c r="AH1227" i="3"/>
  <c r="AI1227" i="3"/>
  <c r="AK1227" i="3"/>
  <c r="AL1227" i="3"/>
  <c r="K1226" i="3"/>
  <c r="O1226" i="3"/>
  <c r="AC1226" i="3"/>
  <c r="AD1226" i="3"/>
  <c r="AE1226" i="3"/>
  <c r="R1226" i="3" s="1"/>
  <c r="AG1226" i="3"/>
  <c r="AH1226" i="3"/>
  <c r="AI1226" i="3"/>
  <c r="AK1226" i="3"/>
  <c r="AL1226" i="3"/>
  <c r="K1225" i="3"/>
  <c r="O1225" i="3"/>
  <c r="AC1225" i="3"/>
  <c r="AD1225" i="3"/>
  <c r="AE1225" i="3"/>
  <c r="R1225" i="3" s="1"/>
  <c r="AG1225" i="3"/>
  <c r="AH1225" i="3"/>
  <c r="AI1225" i="3"/>
  <c r="AK1225" i="3"/>
  <c r="AL1225" i="3"/>
  <c r="K1224" i="3"/>
  <c r="O1224" i="3"/>
  <c r="AC1224" i="3"/>
  <c r="AD1224" i="3"/>
  <c r="AE1224" i="3"/>
  <c r="R1224" i="3" s="1"/>
  <c r="AG1224" i="3"/>
  <c r="AH1224" i="3"/>
  <c r="AI1224" i="3"/>
  <c r="AK1224" i="3"/>
  <c r="AL1224" i="3"/>
  <c r="K1223" i="3"/>
  <c r="O1223" i="3"/>
  <c r="AC1223" i="3"/>
  <c r="AD1223" i="3"/>
  <c r="AE1223" i="3"/>
  <c r="R1223" i="3" s="1"/>
  <c r="AG1223" i="3"/>
  <c r="AH1223" i="3"/>
  <c r="AI1223" i="3"/>
  <c r="AK1223" i="3"/>
  <c r="AL1223" i="3"/>
  <c r="K1222" i="3"/>
  <c r="O1222" i="3"/>
  <c r="AC1222" i="3"/>
  <c r="AD1222" i="3"/>
  <c r="AE1222" i="3"/>
  <c r="R1222" i="3" s="1"/>
  <c r="AG1222" i="3"/>
  <c r="AH1222" i="3"/>
  <c r="AI1222" i="3"/>
  <c r="AK1222" i="3"/>
  <c r="AL1222" i="3"/>
  <c r="K1221" i="3"/>
  <c r="O1221" i="3"/>
  <c r="AC1221" i="3"/>
  <c r="AD1221" i="3"/>
  <c r="AE1221" i="3"/>
  <c r="R1221" i="3" s="1"/>
  <c r="AG1221" i="3"/>
  <c r="AH1221" i="3"/>
  <c r="AI1221" i="3"/>
  <c r="AK1221" i="3"/>
  <c r="AL1221" i="3"/>
  <c r="K1220" i="3"/>
  <c r="O1220" i="3"/>
  <c r="AC1220" i="3"/>
  <c r="AD1220" i="3"/>
  <c r="AE1220" i="3"/>
  <c r="R1220" i="3" s="1"/>
  <c r="AG1220" i="3"/>
  <c r="AH1220" i="3"/>
  <c r="AI1220" i="3"/>
  <c r="AK1220" i="3"/>
  <c r="AL1220" i="3"/>
  <c r="K1219" i="3"/>
  <c r="O1219" i="3"/>
  <c r="AC1219" i="3"/>
  <c r="AD1219" i="3"/>
  <c r="AE1219" i="3"/>
  <c r="R1219" i="3" s="1"/>
  <c r="AG1219" i="3"/>
  <c r="AH1219" i="3"/>
  <c r="AI1219" i="3"/>
  <c r="AK1219" i="3"/>
  <c r="AL1219" i="3"/>
  <c r="K1218" i="3"/>
  <c r="O1218" i="3"/>
  <c r="AC1218" i="3"/>
  <c r="AD1218" i="3"/>
  <c r="AE1218" i="3"/>
  <c r="R1218" i="3" s="1"/>
  <c r="AG1218" i="3"/>
  <c r="AH1218" i="3"/>
  <c r="AI1218" i="3"/>
  <c r="AK1218" i="3"/>
  <c r="AL1218" i="3"/>
  <c r="K1217" i="3"/>
  <c r="O1217" i="3"/>
  <c r="AC1217" i="3"/>
  <c r="AD1217" i="3"/>
  <c r="AE1217" i="3"/>
  <c r="R1217" i="3" s="1"/>
  <c r="AG1217" i="3"/>
  <c r="AH1217" i="3"/>
  <c r="AI1217" i="3"/>
  <c r="AK1217" i="3"/>
  <c r="AL1217" i="3"/>
  <c r="K1216" i="3"/>
  <c r="O1216" i="3"/>
  <c r="AC1216" i="3"/>
  <c r="AD1216" i="3"/>
  <c r="AE1216" i="3"/>
  <c r="R1216" i="3" s="1"/>
  <c r="AG1216" i="3"/>
  <c r="AH1216" i="3"/>
  <c r="AI1216" i="3"/>
  <c r="AK1216" i="3"/>
  <c r="AL1216" i="3"/>
  <c r="K1215" i="3"/>
  <c r="O1215" i="3"/>
  <c r="AC1215" i="3"/>
  <c r="AD1215" i="3"/>
  <c r="AE1215" i="3"/>
  <c r="R1215" i="3" s="1"/>
  <c r="AG1215" i="3"/>
  <c r="AH1215" i="3"/>
  <c r="AI1215" i="3"/>
  <c r="AK1215" i="3"/>
  <c r="AL1215" i="3"/>
  <c r="K1214" i="3"/>
  <c r="O1214" i="3"/>
  <c r="AC1214" i="3"/>
  <c r="AD1214" i="3"/>
  <c r="AE1214" i="3"/>
  <c r="R1214" i="3" s="1"/>
  <c r="AG1214" i="3"/>
  <c r="AH1214" i="3"/>
  <c r="AI1214" i="3"/>
  <c r="AK1214" i="3"/>
  <c r="AL1214" i="3"/>
  <c r="K1213" i="3"/>
  <c r="O1213" i="3"/>
  <c r="AC1213" i="3"/>
  <c r="AD1213" i="3"/>
  <c r="AE1213" i="3"/>
  <c r="R1213" i="3" s="1"/>
  <c r="AG1213" i="3"/>
  <c r="AH1213" i="3"/>
  <c r="AI1213" i="3"/>
  <c r="AK1213" i="3"/>
  <c r="AL1213" i="3"/>
  <c r="K1212" i="3"/>
  <c r="O1212" i="3"/>
  <c r="AC1212" i="3"/>
  <c r="AD1212" i="3"/>
  <c r="AE1212" i="3"/>
  <c r="R1212" i="3" s="1"/>
  <c r="AG1212" i="3"/>
  <c r="AH1212" i="3"/>
  <c r="AI1212" i="3"/>
  <c r="AK1212" i="3"/>
  <c r="AL1212" i="3"/>
  <c r="K1211" i="3"/>
  <c r="O1211" i="3"/>
  <c r="AC1211" i="3"/>
  <c r="AD1211" i="3"/>
  <c r="AE1211" i="3"/>
  <c r="R1211" i="3" s="1"/>
  <c r="AG1211" i="3"/>
  <c r="AH1211" i="3"/>
  <c r="AI1211" i="3"/>
  <c r="AK1211" i="3"/>
  <c r="AL1211" i="3"/>
  <c r="K1210" i="3"/>
  <c r="O1210" i="3"/>
  <c r="AC1210" i="3"/>
  <c r="AD1210" i="3"/>
  <c r="AE1210" i="3"/>
  <c r="R1210" i="3" s="1"/>
  <c r="AG1210" i="3"/>
  <c r="AH1210" i="3"/>
  <c r="AI1210" i="3"/>
  <c r="AK1210" i="3"/>
  <c r="AL1210" i="3"/>
  <c r="K1209" i="3"/>
  <c r="O1209" i="3"/>
  <c r="AC1209" i="3"/>
  <c r="AD1209" i="3"/>
  <c r="AE1209" i="3"/>
  <c r="R1209" i="3" s="1"/>
  <c r="AG1209" i="3"/>
  <c r="AH1209" i="3"/>
  <c r="AI1209" i="3"/>
  <c r="AK1209" i="3"/>
  <c r="AL1209" i="3"/>
  <c r="K1208" i="3"/>
  <c r="O1208" i="3"/>
  <c r="AC1208" i="3"/>
  <c r="AD1208" i="3"/>
  <c r="AE1208" i="3"/>
  <c r="R1208" i="3" s="1"/>
  <c r="AG1208" i="3"/>
  <c r="AH1208" i="3"/>
  <c r="AI1208" i="3"/>
  <c r="AK1208" i="3"/>
  <c r="AL1208" i="3"/>
  <c r="K1207" i="3"/>
  <c r="O1207" i="3"/>
  <c r="AC1207" i="3"/>
  <c r="AD1207" i="3"/>
  <c r="AE1207" i="3"/>
  <c r="R1207" i="3" s="1"/>
  <c r="AG1207" i="3"/>
  <c r="AH1207" i="3"/>
  <c r="AI1207" i="3"/>
  <c r="AK1207" i="3"/>
  <c r="AL1207" i="3"/>
  <c r="K1206" i="3"/>
  <c r="O1206" i="3"/>
  <c r="AC1206" i="3"/>
  <c r="AD1206" i="3"/>
  <c r="AE1206" i="3"/>
  <c r="R1206" i="3" s="1"/>
  <c r="AG1206" i="3"/>
  <c r="AH1206" i="3"/>
  <c r="AI1206" i="3"/>
  <c r="AK1206" i="3"/>
  <c r="AL1206" i="3"/>
  <c r="K1205" i="3"/>
  <c r="O1205" i="3"/>
  <c r="AC1205" i="3"/>
  <c r="AD1205" i="3"/>
  <c r="AE1205" i="3"/>
  <c r="R1205" i="3" s="1"/>
  <c r="AG1205" i="3"/>
  <c r="AH1205" i="3"/>
  <c r="AI1205" i="3"/>
  <c r="AK1205" i="3"/>
  <c r="AL1205" i="3"/>
  <c r="K1204" i="3"/>
  <c r="O1204" i="3"/>
  <c r="AC1204" i="3"/>
  <c r="AD1204" i="3"/>
  <c r="AE1204" i="3"/>
  <c r="R1204" i="3" s="1"/>
  <c r="AG1204" i="3"/>
  <c r="AH1204" i="3"/>
  <c r="AI1204" i="3"/>
  <c r="AK1204" i="3"/>
  <c r="AL1204" i="3"/>
  <c r="K1203" i="3"/>
  <c r="O1203" i="3"/>
  <c r="AC1203" i="3"/>
  <c r="AD1203" i="3"/>
  <c r="AE1203" i="3"/>
  <c r="R1203" i="3" s="1"/>
  <c r="AG1203" i="3"/>
  <c r="AH1203" i="3"/>
  <c r="AI1203" i="3"/>
  <c r="AK1203" i="3"/>
  <c r="AL1203" i="3"/>
  <c r="K1202" i="3"/>
  <c r="O1202" i="3"/>
  <c r="AC1202" i="3"/>
  <c r="AD1202" i="3"/>
  <c r="AE1202" i="3"/>
  <c r="R1202" i="3" s="1"/>
  <c r="AG1202" i="3"/>
  <c r="AH1202" i="3"/>
  <c r="AI1202" i="3"/>
  <c r="AK1202" i="3"/>
  <c r="AL1202" i="3"/>
  <c r="K1201" i="3"/>
  <c r="O1201" i="3"/>
  <c r="AC1201" i="3"/>
  <c r="AD1201" i="3"/>
  <c r="AE1201" i="3"/>
  <c r="R1201" i="3" s="1"/>
  <c r="AG1201" i="3"/>
  <c r="AH1201" i="3"/>
  <c r="AI1201" i="3"/>
  <c r="AK1201" i="3"/>
  <c r="AL1201" i="3"/>
  <c r="K1200" i="3"/>
  <c r="O1200" i="3"/>
  <c r="AC1200" i="3"/>
  <c r="AD1200" i="3"/>
  <c r="AE1200" i="3"/>
  <c r="R1200" i="3" s="1"/>
  <c r="AG1200" i="3"/>
  <c r="AH1200" i="3"/>
  <c r="AI1200" i="3"/>
  <c r="AK1200" i="3"/>
  <c r="AL1200" i="3"/>
  <c r="K1199" i="3"/>
  <c r="O1199" i="3"/>
  <c r="AC1199" i="3"/>
  <c r="AD1199" i="3"/>
  <c r="AE1199" i="3"/>
  <c r="R1199" i="3" s="1"/>
  <c r="AG1199" i="3"/>
  <c r="AH1199" i="3"/>
  <c r="AI1199" i="3"/>
  <c r="AK1199" i="3"/>
  <c r="AL1199" i="3"/>
  <c r="K1198" i="3"/>
  <c r="O1198" i="3"/>
  <c r="AC1198" i="3"/>
  <c r="AD1198" i="3"/>
  <c r="AE1198" i="3"/>
  <c r="R1198" i="3" s="1"/>
  <c r="AG1198" i="3"/>
  <c r="AH1198" i="3"/>
  <c r="AI1198" i="3"/>
  <c r="AK1198" i="3"/>
  <c r="AL1198" i="3"/>
  <c r="K1197" i="3"/>
  <c r="O1197" i="3"/>
  <c r="AC1197" i="3"/>
  <c r="AD1197" i="3"/>
  <c r="AE1197" i="3"/>
  <c r="R1197" i="3" s="1"/>
  <c r="AG1197" i="3"/>
  <c r="AH1197" i="3"/>
  <c r="AI1197" i="3"/>
  <c r="AK1197" i="3"/>
  <c r="AL1197" i="3"/>
  <c r="K1196" i="3"/>
  <c r="O1196" i="3"/>
  <c r="AC1196" i="3"/>
  <c r="AD1196" i="3"/>
  <c r="AE1196" i="3"/>
  <c r="R1196" i="3" s="1"/>
  <c r="AG1196" i="3"/>
  <c r="AH1196" i="3"/>
  <c r="AI1196" i="3"/>
  <c r="AK1196" i="3"/>
  <c r="AL1196" i="3"/>
  <c r="K1195" i="3"/>
  <c r="O1195" i="3"/>
  <c r="AC1195" i="3"/>
  <c r="AD1195" i="3"/>
  <c r="AE1195" i="3"/>
  <c r="R1195" i="3" s="1"/>
  <c r="AG1195" i="3"/>
  <c r="AH1195" i="3"/>
  <c r="AI1195" i="3"/>
  <c r="AK1195" i="3"/>
  <c r="AL1195" i="3"/>
  <c r="K1194" i="3"/>
  <c r="O1194" i="3"/>
  <c r="AC1194" i="3"/>
  <c r="AD1194" i="3"/>
  <c r="AE1194" i="3"/>
  <c r="R1194" i="3" s="1"/>
  <c r="AG1194" i="3"/>
  <c r="AH1194" i="3"/>
  <c r="AI1194" i="3"/>
  <c r="AK1194" i="3"/>
  <c r="AL1194" i="3"/>
  <c r="K1193" i="3"/>
  <c r="O1193" i="3"/>
  <c r="AC1193" i="3"/>
  <c r="AD1193" i="3"/>
  <c r="AE1193" i="3"/>
  <c r="R1193" i="3" s="1"/>
  <c r="AG1193" i="3"/>
  <c r="AH1193" i="3"/>
  <c r="AI1193" i="3"/>
  <c r="AK1193" i="3"/>
  <c r="AL1193" i="3"/>
  <c r="K1192" i="3"/>
  <c r="O1192" i="3"/>
  <c r="AC1192" i="3"/>
  <c r="AD1192" i="3"/>
  <c r="AE1192" i="3"/>
  <c r="R1192" i="3" s="1"/>
  <c r="AG1192" i="3"/>
  <c r="AH1192" i="3"/>
  <c r="AI1192" i="3"/>
  <c r="AK1192" i="3"/>
  <c r="AL1192" i="3"/>
  <c r="K1191" i="3"/>
  <c r="O1191" i="3"/>
  <c r="AC1191" i="3"/>
  <c r="AD1191" i="3"/>
  <c r="AE1191" i="3"/>
  <c r="R1191" i="3" s="1"/>
  <c r="AG1191" i="3"/>
  <c r="AH1191" i="3"/>
  <c r="AI1191" i="3"/>
  <c r="AK1191" i="3"/>
  <c r="AL1191" i="3"/>
  <c r="K1190" i="3"/>
  <c r="O1190" i="3"/>
  <c r="AC1190" i="3"/>
  <c r="AD1190" i="3"/>
  <c r="AE1190" i="3"/>
  <c r="R1190" i="3" s="1"/>
  <c r="AG1190" i="3"/>
  <c r="AH1190" i="3"/>
  <c r="AI1190" i="3"/>
  <c r="AK1190" i="3"/>
  <c r="AL1190" i="3"/>
  <c r="K1189" i="3"/>
  <c r="O1189" i="3"/>
  <c r="AC1189" i="3"/>
  <c r="AD1189" i="3"/>
  <c r="AE1189" i="3"/>
  <c r="R1189" i="3" s="1"/>
  <c r="AG1189" i="3"/>
  <c r="AH1189" i="3"/>
  <c r="AI1189" i="3"/>
  <c r="AK1189" i="3"/>
  <c r="AL1189" i="3"/>
  <c r="K1188" i="3"/>
  <c r="O1188" i="3"/>
  <c r="AC1188" i="3"/>
  <c r="AD1188" i="3"/>
  <c r="AE1188" i="3"/>
  <c r="R1188" i="3" s="1"/>
  <c r="AG1188" i="3"/>
  <c r="AH1188" i="3"/>
  <c r="AI1188" i="3"/>
  <c r="AK1188" i="3"/>
  <c r="AL1188" i="3"/>
  <c r="K1187" i="3"/>
  <c r="O1187" i="3"/>
  <c r="AC1187" i="3"/>
  <c r="AD1187" i="3"/>
  <c r="AE1187" i="3"/>
  <c r="R1187" i="3" s="1"/>
  <c r="AG1187" i="3"/>
  <c r="AH1187" i="3"/>
  <c r="AI1187" i="3"/>
  <c r="AK1187" i="3"/>
  <c r="AL1187" i="3"/>
  <c r="K1186" i="3"/>
  <c r="O1186" i="3"/>
  <c r="AC1186" i="3"/>
  <c r="AD1186" i="3"/>
  <c r="AE1186" i="3"/>
  <c r="R1186" i="3" s="1"/>
  <c r="AG1186" i="3"/>
  <c r="AH1186" i="3"/>
  <c r="AI1186" i="3"/>
  <c r="AK1186" i="3"/>
  <c r="AL1186" i="3"/>
  <c r="K1185" i="3"/>
  <c r="O1185" i="3"/>
  <c r="AC1185" i="3"/>
  <c r="AD1185" i="3"/>
  <c r="AE1185" i="3"/>
  <c r="R1185" i="3" s="1"/>
  <c r="AG1185" i="3"/>
  <c r="AH1185" i="3"/>
  <c r="AI1185" i="3"/>
  <c r="AK1185" i="3"/>
  <c r="AL1185" i="3"/>
  <c r="K1184" i="3"/>
  <c r="O1184" i="3"/>
  <c r="AC1184" i="3"/>
  <c r="AD1184" i="3"/>
  <c r="AE1184" i="3"/>
  <c r="R1184" i="3" s="1"/>
  <c r="AG1184" i="3"/>
  <c r="AH1184" i="3"/>
  <c r="AI1184" i="3"/>
  <c r="AK1184" i="3"/>
  <c r="AL1184" i="3"/>
  <c r="K1183" i="3"/>
  <c r="O1183" i="3"/>
  <c r="AC1183" i="3"/>
  <c r="AD1183" i="3"/>
  <c r="AE1183" i="3"/>
  <c r="R1183" i="3" s="1"/>
  <c r="AG1183" i="3"/>
  <c r="AH1183" i="3"/>
  <c r="AI1183" i="3"/>
  <c r="AK1183" i="3"/>
  <c r="AL1183" i="3"/>
  <c r="K1182" i="3"/>
  <c r="O1182" i="3"/>
  <c r="AC1182" i="3"/>
  <c r="AD1182" i="3"/>
  <c r="AE1182" i="3"/>
  <c r="R1182" i="3" s="1"/>
  <c r="AG1182" i="3"/>
  <c r="AH1182" i="3"/>
  <c r="AI1182" i="3"/>
  <c r="AK1182" i="3"/>
  <c r="AL1182" i="3"/>
  <c r="E76" i="1"/>
  <c r="AF1182" i="3" s="1"/>
  <c r="E100" i="1"/>
  <c r="AF1197" i="3" s="1"/>
  <c r="E23" i="1"/>
  <c r="AF1310" i="3" s="1"/>
  <c r="E173" i="1"/>
  <c r="E174" i="1"/>
  <c r="K1181" i="3"/>
  <c r="O1181" i="3"/>
  <c r="AC1181" i="3"/>
  <c r="AD1181" i="3"/>
  <c r="AE1181" i="3"/>
  <c r="R1181" i="3" s="1"/>
  <c r="AG1181" i="3"/>
  <c r="AH1181" i="3"/>
  <c r="AI1181" i="3"/>
  <c r="AK1181" i="3"/>
  <c r="AL1181" i="3"/>
  <c r="K1180" i="3"/>
  <c r="O1180" i="3"/>
  <c r="AC1180" i="3"/>
  <c r="AD1180" i="3"/>
  <c r="AE1180" i="3"/>
  <c r="R1180" i="3" s="1"/>
  <c r="AG1180" i="3"/>
  <c r="AH1180" i="3"/>
  <c r="AI1180" i="3"/>
  <c r="AK1180" i="3"/>
  <c r="AL1180" i="3"/>
  <c r="K1179" i="3"/>
  <c r="O1179" i="3"/>
  <c r="AC1179" i="3"/>
  <c r="AD1179" i="3"/>
  <c r="AE1179" i="3"/>
  <c r="R1179" i="3" s="1"/>
  <c r="AG1179" i="3"/>
  <c r="AH1179" i="3"/>
  <c r="AI1179" i="3"/>
  <c r="AK1179" i="3"/>
  <c r="AL1179" i="3"/>
  <c r="K1178" i="3"/>
  <c r="O1178" i="3"/>
  <c r="AC1178" i="3"/>
  <c r="AD1178" i="3"/>
  <c r="AE1178" i="3"/>
  <c r="R1178" i="3" s="1"/>
  <c r="AG1178" i="3"/>
  <c r="AH1178" i="3"/>
  <c r="AI1178" i="3"/>
  <c r="AK1178" i="3"/>
  <c r="AL1178" i="3"/>
  <c r="K1177" i="3"/>
  <c r="O1177" i="3"/>
  <c r="AC1177" i="3"/>
  <c r="AD1177" i="3"/>
  <c r="AE1177" i="3"/>
  <c r="R1177" i="3" s="1"/>
  <c r="AG1177" i="3"/>
  <c r="AH1177" i="3"/>
  <c r="AI1177" i="3"/>
  <c r="AK1177" i="3"/>
  <c r="AL1177" i="3"/>
  <c r="K1176" i="3"/>
  <c r="O1176" i="3"/>
  <c r="AC1176" i="3"/>
  <c r="AD1176" i="3"/>
  <c r="AE1176" i="3"/>
  <c r="R1176" i="3" s="1"/>
  <c r="AG1176" i="3"/>
  <c r="AH1176" i="3"/>
  <c r="AI1176" i="3"/>
  <c r="AK1176" i="3"/>
  <c r="AL1176" i="3"/>
  <c r="K1175" i="3"/>
  <c r="O1175" i="3"/>
  <c r="AC1175" i="3"/>
  <c r="AD1175" i="3"/>
  <c r="AE1175" i="3"/>
  <c r="R1175" i="3" s="1"/>
  <c r="AG1175" i="3"/>
  <c r="AH1175" i="3"/>
  <c r="AI1175" i="3"/>
  <c r="AK1175" i="3"/>
  <c r="AL1175" i="3"/>
  <c r="K1174" i="3"/>
  <c r="O1174" i="3"/>
  <c r="AC1174" i="3"/>
  <c r="AD1174" i="3"/>
  <c r="AE1174" i="3"/>
  <c r="R1174" i="3" s="1"/>
  <c r="AG1174" i="3"/>
  <c r="AH1174" i="3"/>
  <c r="AI1174" i="3"/>
  <c r="AK1174" i="3"/>
  <c r="AL1174" i="3"/>
  <c r="K1173" i="3"/>
  <c r="O1173" i="3"/>
  <c r="AC1173" i="3"/>
  <c r="AD1173" i="3"/>
  <c r="AE1173" i="3"/>
  <c r="R1173" i="3" s="1"/>
  <c r="AG1173" i="3"/>
  <c r="AH1173" i="3"/>
  <c r="AI1173" i="3"/>
  <c r="AK1173" i="3"/>
  <c r="AL1173" i="3"/>
  <c r="K1172" i="3"/>
  <c r="O1172" i="3"/>
  <c r="AC1172" i="3"/>
  <c r="AD1172" i="3"/>
  <c r="AE1172" i="3"/>
  <c r="R1172" i="3" s="1"/>
  <c r="AG1172" i="3"/>
  <c r="AH1172" i="3"/>
  <c r="AI1172" i="3"/>
  <c r="AK1172" i="3"/>
  <c r="AL1172" i="3"/>
  <c r="K1171" i="3"/>
  <c r="O1171" i="3"/>
  <c r="AC1171" i="3"/>
  <c r="AD1171" i="3"/>
  <c r="AE1171" i="3"/>
  <c r="R1171" i="3" s="1"/>
  <c r="AG1171" i="3"/>
  <c r="AH1171" i="3"/>
  <c r="AI1171" i="3"/>
  <c r="AK1171" i="3"/>
  <c r="AL1171" i="3"/>
  <c r="K1170" i="3"/>
  <c r="O1170" i="3"/>
  <c r="AC1170" i="3"/>
  <c r="AD1170" i="3"/>
  <c r="AE1170" i="3"/>
  <c r="R1170" i="3" s="1"/>
  <c r="AG1170" i="3"/>
  <c r="AH1170" i="3"/>
  <c r="AI1170" i="3"/>
  <c r="AK1170" i="3"/>
  <c r="AL1170" i="3"/>
  <c r="K1169" i="3"/>
  <c r="O1169" i="3"/>
  <c r="AC1169" i="3"/>
  <c r="AD1169" i="3"/>
  <c r="AE1169" i="3"/>
  <c r="R1169" i="3" s="1"/>
  <c r="AG1169" i="3"/>
  <c r="AH1169" i="3"/>
  <c r="AI1169" i="3"/>
  <c r="AK1169" i="3"/>
  <c r="AL1169" i="3"/>
  <c r="K1168" i="3"/>
  <c r="O1168" i="3"/>
  <c r="AC1168" i="3"/>
  <c r="AD1168" i="3"/>
  <c r="AE1168" i="3"/>
  <c r="R1168" i="3" s="1"/>
  <c r="AG1168" i="3"/>
  <c r="AH1168" i="3"/>
  <c r="AI1168" i="3"/>
  <c r="AK1168" i="3"/>
  <c r="AL1168" i="3"/>
  <c r="K1167" i="3"/>
  <c r="O1167" i="3"/>
  <c r="AC1167" i="3"/>
  <c r="AD1167" i="3"/>
  <c r="AE1167" i="3"/>
  <c r="R1167" i="3" s="1"/>
  <c r="AG1167" i="3"/>
  <c r="AH1167" i="3"/>
  <c r="AI1167" i="3"/>
  <c r="AK1167" i="3"/>
  <c r="AL1167" i="3"/>
  <c r="K1166" i="3"/>
  <c r="O1166" i="3"/>
  <c r="AC1166" i="3"/>
  <c r="AD1166" i="3"/>
  <c r="AE1166" i="3"/>
  <c r="R1166" i="3" s="1"/>
  <c r="AG1166" i="3"/>
  <c r="AH1166" i="3"/>
  <c r="AI1166" i="3"/>
  <c r="AK1166" i="3"/>
  <c r="AL1166" i="3"/>
  <c r="K1165" i="3"/>
  <c r="O1165" i="3"/>
  <c r="AC1165" i="3"/>
  <c r="AD1165" i="3"/>
  <c r="AE1165" i="3"/>
  <c r="R1165" i="3" s="1"/>
  <c r="AG1165" i="3"/>
  <c r="AH1165" i="3"/>
  <c r="AI1165" i="3"/>
  <c r="AK1165" i="3"/>
  <c r="AL1165" i="3"/>
  <c r="K1164" i="3"/>
  <c r="O1164" i="3"/>
  <c r="AC1164" i="3"/>
  <c r="AD1164" i="3"/>
  <c r="AE1164" i="3"/>
  <c r="R1164" i="3" s="1"/>
  <c r="AG1164" i="3"/>
  <c r="AH1164" i="3"/>
  <c r="AI1164" i="3"/>
  <c r="AK1164" i="3"/>
  <c r="AL1164" i="3"/>
  <c r="K1163" i="3"/>
  <c r="O1163" i="3"/>
  <c r="AC1163" i="3"/>
  <c r="AD1163" i="3"/>
  <c r="AE1163" i="3"/>
  <c r="R1163" i="3" s="1"/>
  <c r="AG1163" i="3"/>
  <c r="AH1163" i="3"/>
  <c r="AI1163" i="3"/>
  <c r="AK1163" i="3"/>
  <c r="AL1163" i="3"/>
  <c r="K1162" i="3"/>
  <c r="O1162" i="3"/>
  <c r="AC1162" i="3"/>
  <c r="AD1162" i="3"/>
  <c r="AE1162" i="3"/>
  <c r="R1162" i="3" s="1"/>
  <c r="AG1162" i="3"/>
  <c r="AH1162" i="3"/>
  <c r="AI1162" i="3"/>
  <c r="AK1162" i="3"/>
  <c r="AL1162" i="3"/>
  <c r="K1161" i="3"/>
  <c r="O1161" i="3"/>
  <c r="AC1161" i="3"/>
  <c r="AD1161" i="3"/>
  <c r="AE1161" i="3"/>
  <c r="R1161" i="3" s="1"/>
  <c r="AG1161" i="3"/>
  <c r="AH1161" i="3"/>
  <c r="AI1161" i="3"/>
  <c r="AK1161" i="3"/>
  <c r="AL1161" i="3"/>
  <c r="K1160" i="3"/>
  <c r="O1160" i="3"/>
  <c r="AC1160" i="3"/>
  <c r="AD1160" i="3"/>
  <c r="AE1160" i="3"/>
  <c r="R1160" i="3" s="1"/>
  <c r="AG1160" i="3"/>
  <c r="AH1160" i="3"/>
  <c r="AI1160" i="3"/>
  <c r="AK1160" i="3"/>
  <c r="AL1160" i="3"/>
  <c r="K1159" i="3"/>
  <c r="O1159" i="3"/>
  <c r="AC1159" i="3"/>
  <c r="AD1159" i="3"/>
  <c r="AE1159" i="3"/>
  <c r="R1159" i="3" s="1"/>
  <c r="AG1159" i="3"/>
  <c r="AH1159" i="3"/>
  <c r="AI1159" i="3"/>
  <c r="AK1159" i="3"/>
  <c r="AL1159" i="3"/>
  <c r="K1158" i="3"/>
  <c r="O1158" i="3"/>
  <c r="AC1158" i="3"/>
  <c r="AD1158" i="3"/>
  <c r="AE1158" i="3"/>
  <c r="R1158" i="3" s="1"/>
  <c r="AG1158" i="3"/>
  <c r="AH1158" i="3"/>
  <c r="AI1158" i="3"/>
  <c r="AK1158" i="3"/>
  <c r="AL1158" i="3"/>
  <c r="K1157" i="3"/>
  <c r="O1157" i="3"/>
  <c r="AC1157" i="3"/>
  <c r="AD1157" i="3"/>
  <c r="AE1157" i="3"/>
  <c r="R1157" i="3" s="1"/>
  <c r="AG1157" i="3"/>
  <c r="AH1157" i="3"/>
  <c r="AI1157" i="3"/>
  <c r="AK1157" i="3"/>
  <c r="AL1157" i="3"/>
  <c r="K1156" i="3"/>
  <c r="O1156" i="3"/>
  <c r="AC1156" i="3"/>
  <c r="AD1156" i="3"/>
  <c r="AE1156" i="3"/>
  <c r="R1156" i="3" s="1"/>
  <c r="AG1156" i="3"/>
  <c r="AH1156" i="3"/>
  <c r="AI1156" i="3"/>
  <c r="AK1156" i="3"/>
  <c r="AL1156" i="3"/>
  <c r="K1155" i="3"/>
  <c r="O1155" i="3"/>
  <c r="AC1155" i="3"/>
  <c r="AD1155" i="3"/>
  <c r="AE1155" i="3"/>
  <c r="R1155" i="3" s="1"/>
  <c r="AG1155" i="3"/>
  <c r="AH1155" i="3"/>
  <c r="AI1155" i="3"/>
  <c r="AK1155" i="3"/>
  <c r="AL1155" i="3"/>
  <c r="K1154" i="3"/>
  <c r="O1154" i="3"/>
  <c r="AC1154" i="3"/>
  <c r="AD1154" i="3"/>
  <c r="AE1154" i="3"/>
  <c r="R1154" i="3" s="1"/>
  <c r="AG1154" i="3"/>
  <c r="AH1154" i="3"/>
  <c r="AI1154" i="3"/>
  <c r="AK1154" i="3"/>
  <c r="AL1154" i="3"/>
  <c r="K1153" i="3"/>
  <c r="O1153" i="3"/>
  <c r="AC1153" i="3"/>
  <c r="AD1153" i="3"/>
  <c r="AE1153" i="3"/>
  <c r="R1153" i="3" s="1"/>
  <c r="AG1153" i="3"/>
  <c r="AH1153" i="3"/>
  <c r="AI1153" i="3"/>
  <c r="AK1153" i="3"/>
  <c r="AL1153" i="3"/>
  <c r="K1152" i="3"/>
  <c r="O1152" i="3"/>
  <c r="AC1152" i="3"/>
  <c r="AD1152" i="3"/>
  <c r="AE1152" i="3"/>
  <c r="R1152" i="3" s="1"/>
  <c r="AG1152" i="3"/>
  <c r="AH1152" i="3"/>
  <c r="AI1152" i="3"/>
  <c r="AK1152" i="3"/>
  <c r="AL1152" i="3"/>
  <c r="K1151" i="3"/>
  <c r="O1151" i="3"/>
  <c r="AC1151" i="3"/>
  <c r="AD1151" i="3"/>
  <c r="AE1151" i="3"/>
  <c r="R1151" i="3" s="1"/>
  <c r="AG1151" i="3"/>
  <c r="AH1151" i="3"/>
  <c r="AI1151" i="3"/>
  <c r="AK1151" i="3"/>
  <c r="AL1151" i="3"/>
  <c r="K1150" i="3"/>
  <c r="O1150" i="3"/>
  <c r="AC1150" i="3"/>
  <c r="AD1150" i="3"/>
  <c r="AE1150" i="3"/>
  <c r="R1150" i="3" s="1"/>
  <c r="AG1150" i="3"/>
  <c r="AH1150" i="3"/>
  <c r="AI1150" i="3"/>
  <c r="AK1150" i="3"/>
  <c r="AL1150" i="3"/>
  <c r="K1149" i="3"/>
  <c r="O1149" i="3"/>
  <c r="AC1149" i="3"/>
  <c r="AD1149" i="3"/>
  <c r="AE1149" i="3"/>
  <c r="R1149" i="3" s="1"/>
  <c r="AG1149" i="3"/>
  <c r="AH1149" i="3"/>
  <c r="AI1149" i="3"/>
  <c r="AK1149" i="3"/>
  <c r="AL1149" i="3"/>
  <c r="K1148" i="3"/>
  <c r="O1148" i="3"/>
  <c r="AC1148" i="3"/>
  <c r="AD1148" i="3"/>
  <c r="AE1148" i="3"/>
  <c r="R1148" i="3" s="1"/>
  <c r="AG1148" i="3"/>
  <c r="AH1148" i="3"/>
  <c r="AI1148" i="3"/>
  <c r="AK1148" i="3"/>
  <c r="AL1148" i="3"/>
  <c r="K1147" i="3"/>
  <c r="O1147" i="3"/>
  <c r="AC1147" i="3"/>
  <c r="AD1147" i="3"/>
  <c r="AE1147" i="3"/>
  <c r="R1147" i="3" s="1"/>
  <c r="AG1147" i="3"/>
  <c r="AH1147" i="3"/>
  <c r="AI1147" i="3"/>
  <c r="AK1147" i="3"/>
  <c r="AL1147" i="3"/>
  <c r="K1146" i="3"/>
  <c r="O1146" i="3"/>
  <c r="AC1146" i="3"/>
  <c r="AD1146" i="3"/>
  <c r="AE1146" i="3"/>
  <c r="R1146" i="3" s="1"/>
  <c r="AG1146" i="3"/>
  <c r="AH1146" i="3"/>
  <c r="AI1146" i="3"/>
  <c r="AK1146" i="3"/>
  <c r="AL1146" i="3"/>
  <c r="K1145" i="3"/>
  <c r="O1145" i="3"/>
  <c r="AC1145" i="3"/>
  <c r="AD1145" i="3"/>
  <c r="AE1145" i="3"/>
  <c r="R1145" i="3" s="1"/>
  <c r="AG1145" i="3"/>
  <c r="AH1145" i="3"/>
  <c r="AI1145" i="3"/>
  <c r="AK1145" i="3"/>
  <c r="AL1145" i="3"/>
  <c r="K1144" i="3"/>
  <c r="O1144" i="3"/>
  <c r="AC1144" i="3"/>
  <c r="AD1144" i="3"/>
  <c r="AE1144" i="3"/>
  <c r="R1144" i="3" s="1"/>
  <c r="AG1144" i="3"/>
  <c r="AH1144" i="3"/>
  <c r="AI1144" i="3"/>
  <c r="AK1144" i="3"/>
  <c r="AL1144" i="3"/>
  <c r="K1143" i="3"/>
  <c r="O1143" i="3"/>
  <c r="AC1143" i="3"/>
  <c r="AD1143" i="3"/>
  <c r="AE1143" i="3"/>
  <c r="R1143" i="3" s="1"/>
  <c r="AG1143" i="3"/>
  <c r="AH1143" i="3"/>
  <c r="AI1143" i="3"/>
  <c r="AK1143" i="3"/>
  <c r="AL1143" i="3"/>
  <c r="K1142" i="3"/>
  <c r="O1142" i="3"/>
  <c r="AC1142" i="3"/>
  <c r="AD1142" i="3"/>
  <c r="AE1142" i="3"/>
  <c r="R1142" i="3" s="1"/>
  <c r="AG1142" i="3"/>
  <c r="AH1142" i="3"/>
  <c r="AI1142" i="3"/>
  <c r="AK1142" i="3"/>
  <c r="AL1142" i="3"/>
  <c r="K1141" i="3"/>
  <c r="O1141" i="3"/>
  <c r="AC1141" i="3"/>
  <c r="AD1141" i="3"/>
  <c r="AE1141" i="3"/>
  <c r="R1141" i="3" s="1"/>
  <c r="AG1141" i="3"/>
  <c r="AH1141" i="3"/>
  <c r="AI1141" i="3"/>
  <c r="AK1141" i="3"/>
  <c r="AL1141" i="3"/>
  <c r="K1140" i="3"/>
  <c r="O1140" i="3"/>
  <c r="AC1140" i="3"/>
  <c r="AD1140" i="3"/>
  <c r="AE1140" i="3"/>
  <c r="R1140" i="3" s="1"/>
  <c r="AG1140" i="3"/>
  <c r="AH1140" i="3"/>
  <c r="AI1140" i="3"/>
  <c r="AK1140" i="3"/>
  <c r="AL1140" i="3"/>
  <c r="K1139" i="3"/>
  <c r="O1139" i="3"/>
  <c r="AC1139" i="3"/>
  <c r="AD1139" i="3"/>
  <c r="AE1139" i="3"/>
  <c r="R1139" i="3" s="1"/>
  <c r="AG1139" i="3"/>
  <c r="AH1139" i="3"/>
  <c r="AI1139" i="3"/>
  <c r="AK1139" i="3"/>
  <c r="AL1139" i="3"/>
  <c r="K1138" i="3"/>
  <c r="O1138" i="3"/>
  <c r="AC1138" i="3"/>
  <c r="AD1138" i="3"/>
  <c r="AE1138" i="3"/>
  <c r="R1138" i="3" s="1"/>
  <c r="AG1138" i="3"/>
  <c r="AH1138" i="3"/>
  <c r="AI1138" i="3"/>
  <c r="AK1138" i="3"/>
  <c r="AL1138" i="3"/>
  <c r="K1137" i="3"/>
  <c r="O1137" i="3"/>
  <c r="AC1137" i="3"/>
  <c r="AD1137" i="3"/>
  <c r="AE1137" i="3"/>
  <c r="R1137" i="3" s="1"/>
  <c r="AG1137" i="3"/>
  <c r="AH1137" i="3"/>
  <c r="AI1137" i="3"/>
  <c r="AK1137" i="3"/>
  <c r="AL1137" i="3"/>
  <c r="K1136" i="3"/>
  <c r="O1136" i="3"/>
  <c r="AC1136" i="3"/>
  <c r="AD1136" i="3"/>
  <c r="AE1136" i="3"/>
  <c r="R1136" i="3" s="1"/>
  <c r="AG1136" i="3"/>
  <c r="AH1136" i="3"/>
  <c r="AI1136" i="3"/>
  <c r="AK1136" i="3"/>
  <c r="AL1136" i="3"/>
  <c r="K1135" i="3"/>
  <c r="O1135" i="3"/>
  <c r="AC1135" i="3"/>
  <c r="AD1135" i="3"/>
  <c r="AE1135" i="3"/>
  <c r="R1135" i="3" s="1"/>
  <c r="AG1135" i="3"/>
  <c r="AH1135" i="3"/>
  <c r="AI1135" i="3"/>
  <c r="AK1135" i="3"/>
  <c r="AL1135" i="3"/>
  <c r="K1134" i="3"/>
  <c r="O1134" i="3"/>
  <c r="AC1134" i="3"/>
  <c r="AD1134" i="3"/>
  <c r="AE1134" i="3"/>
  <c r="R1134" i="3" s="1"/>
  <c r="AG1134" i="3"/>
  <c r="AH1134" i="3"/>
  <c r="AI1134" i="3"/>
  <c r="AK1134" i="3"/>
  <c r="AL1134" i="3"/>
  <c r="K1133" i="3"/>
  <c r="O1133" i="3"/>
  <c r="AC1133" i="3"/>
  <c r="AD1133" i="3"/>
  <c r="AE1133" i="3"/>
  <c r="R1133" i="3" s="1"/>
  <c r="AG1133" i="3"/>
  <c r="AH1133" i="3"/>
  <c r="AI1133" i="3"/>
  <c r="AK1133" i="3"/>
  <c r="AL1133" i="3"/>
  <c r="K1132" i="3"/>
  <c r="O1132" i="3"/>
  <c r="AC1132" i="3"/>
  <c r="AD1132" i="3"/>
  <c r="AE1132" i="3"/>
  <c r="R1132" i="3" s="1"/>
  <c r="AG1132" i="3"/>
  <c r="AH1132" i="3"/>
  <c r="AI1132" i="3"/>
  <c r="AK1132" i="3"/>
  <c r="AL1132" i="3"/>
  <c r="K1131" i="3"/>
  <c r="O1131" i="3"/>
  <c r="AC1131" i="3"/>
  <c r="AD1131" i="3"/>
  <c r="AE1131" i="3"/>
  <c r="R1131" i="3" s="1"/>
  <c r="AG1131" i="3"/>
  <c r="AH1131" i="3"/>
  <c r="AI1131" i="3"/>
  <c r="AK1131" i="3"/>
  <c r="AL1131" i="3"/>
  <c r="K1130" i="3"/>
  <c r="O1130" i="3"/>
  <c r="AC1130" i="3"/>
  <c r="AD1130" i="3"/>
  <c r="AE1130" i="3"/>
  <c r="R1130" i="3" s="1"/>
  <c r="AG1130" i="3"/>
  <c r="AH1130" i="3"/>
  <c r="AI1130" i="3"/>
  <c r="AK1130" i="3"/>
  <c r="AL1130" i="3"/>
  <c r="K1129" i="3"/>
  <c r="O1129" i="3"/>
  <c r="AC1129" i="3"/>
  <c r="AD1129" i="3"/>
  <c r="AE1129" i="3"/>
  <c r="R1129" i="3" s="1"/>
  <c r="AG1129" i="3"/>
  <c r="AH1129" i="3"/>
  <c r="AI1129" i="3"/>
  <c r="AK1129" i="3"/>
  <c r="AL1129" i="3"/>
  <c r="K1128" i="3"/>
  <c r="O1128" i="3"/>
  <c r="AC1128" i="3"/>
  <c r="AD1128" i="3"/>
  <c r="AE1128" i="3"/>
  <c r="R1128" i="3" s="1"/>
  <c r="AG1128" i="3"/>
  <c r="AH1128" i="3"/>
  <c r="AI1128" i="3"/>
  <c r="AK1128" i="3"/>
  <c r="AL1128" i="3"/>
  <c r="K1127" i="3"/>
  <c r="O1127" i="3"/>
  <c r="AC1127" i="3"/>
  <c r="AD1127" i="3"/>
  <c r="AE1127" i="3"/>
  <c r="R1127" i="3" s="1"/>
  <c r="AG1127" i="3"/>
  <c r="AH1127" i="3"/>
  <c r="AI1127" i="3"/>
  <c r="AK1127" i="3"/>
  <c r="AL1127" i="3"/>
  <c r="K1126" i="3"/>
  <c r="O1126" i="3"/>
  <c r="AC1126" i="3"/>
  <c r="AD1126" i="3"/>
  <c r="AE1126" i="3"/>
  <c r="R1126" i="3" s="1"/>
  <c r="AG1126" i="3"/>
  <c r="AH1126" i="3"/>
  <c r="AI1126" i="3"/>
  <c r="AK1126" i="3"/>
  <c r="AL1126" i="3"/>
  <c r="K1125" i="3"/>
  <c r="O1125" i="3"/>
  <c r="AC1125" i="3"/>
  <c r="AD1125" i="3"/>
  <c r="AE1125" i="3"/>
  <c r="R1125" i="3" s="1"/>
  <c r="AG1125" i="3"/>
  <c r="AH1125" i="3"/>
  <c r="AI1125" i="3"/>
  <c r="AK1125" i="3"/>
  <c r="AL1125" i="3"/>
  <c r="K1124" i="3"/>
  <c r="O1124" i="3"/>
  <c r="AC1124" i="3"/>
  <c r="AD1124" i="3"/>
  <c r="AE1124" i="3"/>
  <c r="R1124" i="3" s="1"/>
  <c r="AG1124" i="3"/>
  <c r="AH1124" i="3"/>
  <c r="AI1124" i="3"/>
  <c r="AK1124" i="3"/>
  <c r="AL1124" i="3"/>
  <c r="K1123" i="3"/>
  <c r="O1123" i="3"/>
  <c r="AC1123" i="3"/>
  <c r="AD1123" i="3"/>
  <c r="AE1123" i="3"/>
  <c r="R1123" i="3" s="1"/>
  <c r="AG1123" i="3"/>
  <c r="AH1123" i="3"/>
  <c r="AI1123" i="3"/>
  <c r="AK1123" i="3"/>
  <c r="AL1123" i="3"/>
  <c r="K1122" i="3"/>
  <c r="O1122" i="3"/>
  <c r="AC1122" i="3"/>
  <c r="AD1122" i="3"/>
  <c r="AE1122" i="3"/>
  <c r="R1122" i="3" s="1"/>
  <c r="AG1122" i="3"/>
  <c r="AH1122" i="3"/>
  <c r="AI1122" i="3"/>
  <c r="AK1122" i="3"/>
  <c r="AL1122" i="3"/>
  <c r="K1121" i="3"/>
  <c r="O1121" i="3"/>
  <c r="AC1121" i="3"/>
  <c r="AD1121" i="3"/>
  <c r="AE1121" i="3"/>
  <c r="R1121" i="3" s="1"/>
  <c r="AG1121" i="3"/>
  <c r="AH1121" i="3"/>
  <c r="AI1121" i="3"/>
  <c r="AK1121" i="3"/>
  <c r="AL1121" i="3"/>
  <c r="K1120" i="3"/>
  <c r="O1120" i="3"/>
  <c r="AC1120" i="3"/>
  <c r="AD1120" i="3"/>
  <c r="AE1120" i="3"/>
  <c r="R1120" i="3" s="1"/>
  <c r="AG1120" i="3"/>
  <c r="AH1120" i="3"/>
  <c r="AI1120" i="3"/>
  <c r="AK1120" i="3"/>
  <c r="AL1120" i="3"/>
  <c r="K1119" i="3"/>
  <c r="O1119" i="3"/>
  <c r="AC1119" i="3"/>
  <c r="AD1119" i="3"/>
  <c r="AE1119" i="3"/>
  <c r="R1119" i="3" s="1"/>
  <c r="AG1119" i="3"/>
  <c r="AH1119" i="3"/>
  <c r="AI1119" i="3"/>
  <c r="AK1119" i="3"/>
  <c r="AL1119" i="3"/>
  <c r="K1118" i="3"/>
  <c r="O1118" i="3"/>
  <c r="AC1118" i="3"/>
  <c r="AD1118" i="3"/>
  <c r="AE1118" i="3"/>
  <c r="R1118" i="3" s="1"/>
  <c r="AG1118" i="3"/>
  <c r="AH1118" i="3"/>
  <c r="AI1118" i="3"/>
  <c r="AK1118" i="3"/>
  <c r="AL1118" i="3"/>
  <c r="K1117" i="3"/>
  <c r="O1117" i="3"/>
  <c r="AC1117" i="3"/>
  <c r="AD1117" i="3"/>
  <c r="AE1117" i="3"/>
  <c r="R1117" i="3" s="1"/>
  <c r="AG1117" i="3"/>
  <c r="AH1117" i="3"/>
  <c r="AI1117" i="3"/>
  <c r="AK1117" i="3"/>
  <c r="AL1117" i="3"/>
  <c r="K1116" i="3"/>
  <c r="O1116" i="3"/>
  <c r="AC1116" i="3"/>
  <c r="AD1116" i="3"/>
  <c r="AE1116" i="3"/>
  <c r="R1116" i="3" s="1"/>
  <c r="AG1116" i="3"/>
  <c r="AH1116" i="3"/>
  <c r="AI1116" i="3"/>
  <c r="AK1116" i="3"/>
  <c r="AL1116" i="3"/>
  <c r="K1115" i="3"/>
  <c r="O1115" i="3"/>
  <c r="AC1115" i="3"/>
  <c r="AD1115" i="3"/>
  <c r="AE1115" i="3"/>
  <c r="R1115" i="3" s="1"/>
  <c r="AG1115" i="3"/>
  <c r="AH1115" i="3"/>
  <c r="AI1115" i="3"/>
  <c r="AK1115" i="3"/>
  <c r="AL1115" i="3"/>
  <c r="K1114" i="3"/>
  <c r="O1114" i="3"/>
  <c r="AC1114" i="3"/>
  <c r="AD1114" i="3"/>
  <c r="AE1114" i="3"/>
  <c r="R1114" i="3" s="1"/>
  <c r="AG1114" i="3"/>
  <c r="AH1114" i="3"/>
  <c r="AI1114" i="3"/>
  <c r="AK1114" i="3"/>
  <c r="AL1114" i="3"/>
  <c r="K1113" i="3"/>
  <c r="O1113" i="3"/>
  <c r="AC1113" i="3"/>
  <c r="AD1113" i="3"/>
  <c r="AE1113" i="3"/>
  <c r="R1113" i="3" s="1"/>
  <c r="AG1113" i="3"/>
  <c r="AH1113" i="3"/>
  <c r="AI1113" i="3"/>
  <c r="AK1113" i="3"/>
  <c r="AL1113" i="3"/>
  <c r="K1112" i="3"/>
  <c r="O1112" i="3"/>
  <c r="AC1112" i="3"/>
  <c r="AD1112" i="3"/>
  <c r="AE1112" i="3"/>
  <c r="R1112" i="3" s="1"/>
  <c r="AG1112" i="3"/>
  <c r="AH1112" i="3"/>
  <c r="AI1112" i="3"/>
  <c r="AK1112" i="3"/>
  <c r="AL1112" i="3"/>
  <c r="K1111" i="3"/>
  <c r="O1111" i="3"/>
  <c r="AC1111" i="3"/>
  <c r="AD1111" i="3"/>
  <c r="AE1111" i="3"/>
  <c r="R1111" i="3" s="1"/>
  <c r="AG1111" i="3"/>
  <c r="AH1111" i="3"/>
  <c r="AI1111" i="3"/>
  <c r="AK1111" i="3"/>
  <c r="AL1111" i="3"/>
  <c r="K1110" i="3"/>
  <c r="O1110" i="3"/>
  <c r="AC1110" i="3"/>
  <c r="AD1110" i="3"/>
  <c r="AE1110" i="3"/>
  <c r="R1110" i="3" s="1"/>
  <c r="AG1110" i="3"/>
  <c r="AH1110" i="3"/>
  <c r="AI1110" i="3"/>
  <c r="AK1110" i="3"/>
  <c r="AL1110" i="3"/>
  <c r="K1109" i="3"/>
  <c r="O1109" i="3"/>
  <c r="AC1109" i="3"/>
  <c r="AD1109" i="3"/>
  <c r="AE1109" i="3"/>
  <c r="R1109" i="3" s="1"/>
  <c r="AG1109" i="3"/>
  <c r="AH1109" i="3"/>
  <c r="AI1109" i="3"/>
  <c r="AK1109" i="3"/>
  <c r="AL1109" i="3"/>
  <c r="K1108" i="3"/>
  <c r="O1108" i="3"/>
  <c r="AC1108" i="3"/>
  <c r="AD1108" i="3"/>
  <c r="AE1108" i="3"/>
  <c r="R1108" i="3" s="1"/>
  <c r="AG1108" i="3"/>
  <c r="AH1108" i="3"/>
  <c r="AI1108" i="3"/>
  <c r="AK1108" i="3"/>
  <c r="AL1108" i="3"/>
  <c r="K1107" i="3"/>
  <c r="O1107" i="3"/>
  <c r="AC1107" i="3"/>
  <c r="AD1107" i="3"/>
  <c r="AE1107" i="3"/>
  <c r="R1107" i="3" s="1"/>
  <c r="AG1107" i="3"/>
  <c r="AH1107" i="3"/>
  <c r="AI1107" i="3"/>
  <c r="AK1107" i="3"/>
  <c r="AL1107" i="3"/>
  <c r="K1106" i="3"/>
  <c r="O1106" i="3"/>
  <c r="AC1106" i="3"/>
  <c r="AD1106" i="3"/>
  <c r="AE1106" i="3"/>
  <c r="R1106" i="3" s="1"/>
  <c r="AG1106" i="3"/>
  <c r="AH1106" i="3"/>
  <c r="AI1106" i="3"/>
  <c r="AK1106" i="3"/>
  <c r="AL1106" i="3"/>
  <c r="K1105" i="3"/>
  <c r="O1105" i="3"/>
  <c r="AC1105" i="3"/>
  <c r="AD1105" i="3"/>
  <c r="AE1105" i="3"/>
  <c r="R1105" i="3" s="1"/>
  <c r="AG1105" i="3"/>
  <c r="AH1105" i="3"/>
  <c r="AI1105" i="3"/>
  <c r="AK1105" i="3"/>
  <c r="AL1105" i="3"/>
  <c r="K1104" i="3"/>
  <c r="O1104" i="3"/>
  <c r="AC1104" i="3"/>
  <c r="AD1104" i="3"/>
  <c r="AE1104" i="3"/>
  <c r="R1104" i="3" s="1"/>
  <c r="AG1104" i="3"/>
  <c r="AH1104" i="3"/>
  <c r="AI1104" i="3"/>
  <c r="AK1104" i="3"/>
  <c r="AL1104" i="3"/>
  <c r="K1103" i="3"/>
  <c r="O1103" i="3"/>
  <c r="AC1103" i="3"/>
  <c r="AD1103" i="3"/>
  <c r="AE1103" i="3"/>
  <c r="R1103" i="3" s="1"/>
  <c r="AG1103" i="3"/>
  <c r="AH1103" i="3"/>
  <c r="AI1103" i="3"/>
  <c r="AK1103" i="3"/>
  <c r="AL1103" i="3"/>
  <c r="K1102" i="3"/>
  <c r="O1102" i="3"/>
  <c r="AC1102" i="3"/>
  <c r="AD1102" i="3"/>
  <c r="AE1102" i="3"/>
  <c r="R1102" i="3" s="1"/>
  <c r="AG1102" i="3"/>
  <c r="AH1102" i="3"/>
  <c r="AI1102" i="3"/>
  <c r="AK1102" i="3"/>
  <c r="AL1102" i="3"/>
  <c r="K1101" i="3"/>
  <c r="O1101" i="3"/>
  <c r="AC1101" i="3"/>
  <c r="AD1101" i="3"/>
  <c r="AE1101" i="3"/>
  <c r="R1101" i="3" s="1"/>
  <c r="AG1101" i="3"/>
  <c r="AH1101" i="3"/>
  <c r="AI1101" i="3"/>
  <c r="AK1101" i="3"/>
  <c r="AL1101" i="3"/>
  <c r="K1100" i="3"/>
  <c r="O1100" i="3"/>
  <c r="AC1100" i="3"/>
  <c r="AD1100" i="3"/>
  <c r="AE1100" i="3"/>
  <c r="R1100" i="3" s="1"/>
  <c r="AG1100" i="3"/>
  <c r="AH1100" i="3"/>
  <c r="AI1100" i="3"/>
  <c r="AK1100" i="3"/>
  <c r="AL1100" i="3"/>
  <c r="K1099" i="3"/>
  <c r="O1099" i="3"/>
  <c r="AC1099" i="3"/>
  <c r="AD1099" i="3"/>
  <c r="AE1099" i="3"/>
  <c r="R1099" i="3" s="1"/>
  <c r="AG1099" i="3"/>
  <c r="AH1099" i="3"/>
  <c r="AI1099" i="3"/>
  <c r="AK1099" i="3"/>
  <c r="AL1099" i="3"/>
  <c r="K1098" i="3"/>
  <c r="O1098" i="3"/>
  <c r="AC1098" i="3"/>
  <c r="AD1098" i="3"/>
  <c r="AE1098" i="3"/>
  <c r="R1098" i="3" s="1"/>
  <c r="AG1098" i="3"/>
  <c r="AH1098" i="3"/>
  <c r="AI1098" i="3"/>
  <c r="AK1098" i="3"/>
  <c r="AL1098" i="3"/>
  <c r="K1097" i="3"/>
  <c r="O1097" i="3"/>
  <c r="AC1097" i="3"/>
  <c r="AD1097" i="3"/>
  <c r="AE1097" i="3"/>
  <c r="R1097" i="3" s="1"/>
  <c r="AG1097" i="3"/>
  <c r="AH1097" i="3"/>
  <c r="AI1097" i="3"/>
  <c r="AK1097" i="3"/>
  <c r="AL1097" i="3"/>
  <c r="K1096" i="3"/>
  <c r="O1096" i="3"/>
  <c r="AC1096" i="3"/>
  <c r="AD1096" i="3"/>
  <c r="AE1096" i="3"/>
  <c r="R1096" i="3" s="1"/>
  <c r="AG1096" i="3"/>
  <c r="AH1096" i="3"/>
  <c r="AI1096" i="3"/>
  <c r="AK1096" i="3"/>
  <c r="AL1096" i="3"/>
  <c r="K1095" i="3"/>
  <c r="O1095" i="3"/>
  <c r="AC1095" i="3"/>
  <c r="AD1095" i="3"/>
  <c r="AE1095" i="3"/>
  <c r="R1095" i="3" s="1"/>
  <c r="AG1095" i="3"/>
  <c r="AH1095" i="3"/>
  <c r="AI1095" i="3"/>
  <c r="AK1095" i="3"/>
  <c r="AL1095" i="3"/>
  <c r="K1094" i="3"/>
  <c r="O1094" i="3"/>
  <c r="AC1094" i="3"/>
  <c r="AD1094" i="3"/>
  <c r="AE1094" i="3"/>
  <c r="R1094" i="3" s="1"/>
  <c r="AG1094" i="3"/>
  <c r="AH1094" i="3"/>
  <c r="AI1094" i="3"/>
  <c r="AK1094" i="3"/>
  <c r="AL1094" i="3"/>
  <c r="K1093" i="3"/>
  <c r="O1093" i="3"/>
  <c r="AC1093" i="3"/>
  <c r="AD1093" i="3"/>
  <c r="AE1093" i="3"/>
  <c r="R1093" i="3" s="1"/>
  <c r="AG1093" i="3"/>
  <c r="AH1093" i="3"/>
  <c r="AI1093" i="3"/>
  <c r="AK1093" i="3"/>
  <c r="AL1093" i="3"/>
  <c r="K1092" i="3"/>
  <c r="O1092" i="3"/>
  <c r="AC1092" i="3"/>
  <c r="AD1092" i="3"/>
  <c r="AE1092" i="3"/>
  <c r="R1092" i="3" s="1"/>
  <c r="AG1092" i="3"/>
  <c r="AH1092" i="3"/>
  <c r="AI1092" i="3"/>
  <c r="AK1092" i="3"/>
  <c r="AL1092" i="3"/>
  <c r="K1091" i="3"/>
  <c r="O1091" i="3"/>
  <c r="AC1091" i="3"/>
  <c r="AD1091" i="3"/>
  <c r="AE1091" i="3"/>
  <c r="R1091" i="3" s="1"/>
  <c r="AG1091" i="3"/>
  <c r="AH1091" i="3"/>
  <c r="AI1091" i="3"/>
  <c r="AK1091" i="3"/>
  <c r="AL1091" i="3"/>
  <c r="K1090" i="3"/>
  <c r="O1090" i="3"/>
  <c r="AC1090" i="3"/>
  <c r="AD1090" i="3"/>
  <c r="AE1090" i="3"/>
  <c r="R1090" i="3" s="1"/>
  <c r="AG1090" i="3"/>
  <c r="AH1090" i="3"/>
  <c r="AI1090" i="3"/>
  <c r="AK1090" i="3"/>
  <c r="AL1090" i="3"/>
  <c r="K1089" i="3"/>
  <c r="O1089" i="3"/>
  <c r="AC1089" i="3"/>
  <c r="AD1089" i="3"/>
  <c r="AE1089" i="3"/>
  <c r="R1089" i="3" s="1"/>
  <c r="AG1089" i="3"/>
  <c r="AH1089" i="3"/>
  <c r="AI1089" i="3"/>
  <c r="AK1089" i="3"/>
  <c r="AL1089" i="3"/>
  <c r="K1088" i="3"/>
  <c r="O1088" i="3"/>
  <c r="AC1088" i="3"/>
  <c r="AD1088" i="3"/>
  <c r="AE1088" i="3"/>
  <c r="R1088" i="3" s="1"/>
  <c r="AG1088" i="3"/>
  <c r="AH1088" i="3"/>
  <c r="AI1088" i="3"/>
  <c r="AK1088" i="3"/>
  <c r="AL1088" i="3"/>
  <c r="K1087" i="3"/>
  <c r="O1087" i="3"/>
  <c r="AC1087" i="3"/>
  <c r="AD1087" i="3"/>
  <c r="AE1087" i="3"/>
  <c r="R1087" i="3" s="1"/>
  <c r="AG1087" i="3"/>
  <c r="AH1087" i="3"/>
  <c r="AI1087" i="3"/>
  <c r="AK1087" i="3"/>
  <c r="AL1087" i="3"/>
  <c r="K1086" i="3"/>
  <c r="O1086" i="3"/>
  <c r="AC1086" i="3"/>
  <c r="AD1086" i="3"/>
  <c r="AE1086" i="3"/>
  <c r="R1086" i="3" s="1"/>
  <c r="AG1086" i="3"/>
  <c r="AH1086" i="3"/>
  <c r="AI1086" i="3"/>
  <c r="AK1086" i="3"/>
  <c r="AL1086" i="3"/>
  <c r="K1085" i="3"/>
  <c r="O1085" i="3"/>
  <c r="AC1085" i="3"/>
  <c r="AD1085" i="3"/>
  <c r="AE1085" i="3"/>
  <c r="R1085" i="3" s="1"/>
  <c r="AG1085" i="3"/>
  <c r="AH1085" i="3"/>
  <c r="AI1085" i="3"/>
  <c r="AK1085" i="3"/>
  <c r="AL1085" i="3"/>
  <c r="K1084" i="3"/>
  <c r="O1084" i="3"/>
  <c r="AC1084" i="3"/>
  <c r="AD1084" i="3"/>
  <c r="AE1084" i="3"/>
  <c r="R1084" i="3" s="1"/>
  <c r="AG1084" i="3"/>
  <c r="AH1084" i="3"/>
  <c r="AI1084" i="3"/>
  <c r="AK1084" i="3"/>
  <c r="AL1084" i="3"/>
  <c r="K1083" i="3"/>
  <c r="O1083" i="3"/>
  <c r="AC1083" i="3"/>
  <c r="AD1083" i="3"/>
  <c r="AE1083" i="3"/>
  <c r="R1083" i="3" s="1"/>
  <c r="AG1083" i="3"/>
  <c r="AH1083" i="3"/>
  <c r="AI1083" i="3"/>
  <c r="AK1083" i="3"/>
  <c r="AL1083" i="3"/>
  <c r="K1082" i="3"/>
  <c r="O1082" i="3"/>
  <c r="AC1082" i="3"/>
  <c r="AD1082" i="3"/>
  <c r="AE1082" i="3"/>
  <c r="R1082" i="3" s="1"/>
  <c r="AG1082" i="3"/>
  <c r="AH1082" i="3"/>
  <c r="AI1082" i="3"/>
  <c r="AK1082" i="3"/>
  <c r="AL1082" i="3"/>
  <c r="K1081" i="3"/>
  <c r="O1081" i="3"/>
  <c r="AC1081" i="3"/>
  <c r="AD1081" i="3"/>
  <c r="AE1081" i="3"/>
  <c r="R1081" i="3" s="1"/>
  <c r="AG1081" i="3"/>
  <c r="AH1081" i="3"/>
  <c r="AI1081" i="3"/>
  <c r="AK1081" i="3"/>
  <c r="AL1081" i="3"/>
  <c r="K1080" i="3"/>
  <c r="O1080" i="3"/>
  <c r="AC1080" i="3"/>
  <c r="AD1080" i="3"/>
  <c r="AE1080" i="3"/>
  <c r="R1080" i="3" s="1"/>
  <c r="AG1080" i="3"/>
  <c r="AH1080" i="3"/>
  <c r="AI1080" i="3"/>
  <c r="AK1080" i="3"/>
  <c r="AL1080" i="3"/>
  <c r="K1079" i="3"/>
  <c r="O1079" i="3"/>
  <c r="AC1079" i="3"/>
  <c r="AD1079" i="3"/>
  <c r="AE1079" i="3"/>
  <c r="R1079" i="3" s="1"/>
  <c r="AG1079" i="3"/>
  <c r="AH1079" i="3"/>
  <c r="AI1079" i="3"/>
  <c r="AK1079" i="3"/>
  <c r="AL1079" i="3"/>
  <c r="K1078" i="3"/>
  <c r="O1078" i="3"/>
  <c r="AC1078" i="3"/>
  <c r="AD1078" i="3"/>
  <c r="AE1078" i="3"/>
  <c r="R1078" i="3" s="1"/>
  <c r="AG1078" i="3"/>
  <c r="AH1078" i="3"/>
  <c r="AI1078" i="3"/>
  <c r="AK1078" i="3"/>
  <c r="AL1078" i="3"/>
  <c r="K1077" i="3"/>
  <c r="O1077" i="3"/>
  <c r="AC1077" i="3"/>
  <c r="AD1077" i="3"/>
  <c r="AE1077" i="3"/>
  <c r="R1077" i="3" s="1"/>
  <c r="AG1077" i="3"/>
  <c r="AH1077" i="3"/>
  <c r="AI1077" i="3"/>
  <c r="AK1077" i="3"/>
  <c r="AL1077" i="3"/>
  <c r="K1076" i="3"/>
  <c r="O1076" i="3"/>
  <c r="AC1076" i="3"/>
  <c r="AD1076" i="3"/>
  <c r="AE1076" i="3"/>
  <c r="R1076" i="3" s="1"/>
  <c r="AG1076" i="3"/>
  <c r="AH1076" i="3"/>
  <c r="AI1076" i="3"/>
  <c r="AK1076" i="3"/>
  <c r="AL1076" i="3"/>
  <c r="AL1066" i="3"/>
  <c r="AK1066" i="3"/>
  <c r="AI1066" i="3"/>
  <c r="AH1066" i="3"/>
  <c r="AG1066" i="3"/>
  <c r="AE1066" i="3"/>
  <c r="R1066" i="3" s="1"/>
  <c r="AD1066" i="3"/>
  <c r="AC1066" i="3"/>
  <c r="P1066" i="3" s="1"/>
  <c r="O1066" i="3"/>
  <c r="K1066" i="3"/>
  <c r="AL1075" i="3"/>
  <c r="AK1075" i="3"/>
  <c r="AI1075" i="3"/>
  <c r="AH1075" i="3"/>
  <c r="AG1075" i="3"/>
  <c r="AE1075" i="3"/>
  <c r="R1075" i="3" s="1"/>
  <c r="AD1075" i="3"/>
  <c r="AC1075" i="3"/>
  <c r="P1075" i="3" s="1"/>
  <c r="O1075" i="3"/>
  <c r="K1075" i="3"/>
  <c r="M1391" i="3" l="1"/>
  <c r="N1391" i="3"/>
  <c r="M1390" i="3"/>
  <c r="N1390" i="3"/>
  <c r="M1389" i="3"/>
  <c r="N1389" i="3"/>
  <c r="M1388" i="3"/>
  <c r="N1388" i="3"/>
  <c r="M1387" i="3"/>
  <c r="N1387" i="3"/>
  <c r="M1386" i="3"/>
  <c r="N1386" i="3"/>
  <c r="M1385" i="3"/>
  <c r="N1385" i="3"/>
  <c r="M1384" i="3"/>
  <c r="N1384" i="3"/>
  <c r="M1383" i="3"/>
  <c r="N1383" i="3"/>
  <c r="M1382" i="3"/>
  <c r="N1382" i="3"/>
  <c r="M1381" i="3"/>
  <c r="N1381" i="3"/>
  <c r="M1380" i="3"/>
  <c r="N1380" i="3"/>
  <c r="M1379" i="3"/>
  <c r="N1379" i="3"/>
  <c r="M1378" i="3"/>
  <c r="N1378" i="3"/>
  <c r="M1377" i="3"/>
  <c r="N1377" i="3"/>
  <c r="M1376" i="3"/>
  <c r="N1376" i="3"/>
  <c r="M1375" i="3"/>
  <c r="N1375" i="3"/>
  <c r="M1374" i="3"/>
  <c r="N1374" i="3"/>
  <c r="M1298" i="3"/>
  <c r="N1298" i="3"/>
  <c r="M1373" i="3"/>
  <c r="N1373" i="3"/>
  <c r="M1297" i="3"/>
  <c r="N1297" i="3"/>
  <c r="V1372" i="3"/>
  <c r="W1372" i="3" s="1"/>
  <c r="Q1372" i="3"/>
  <c r="V1368" i="3"/>
  <c r="W1368" i="3" s="1"/>
  <c r="Q1368" i="3"/>
  <c r="V1364" i="3"/>
  <c r="W1364" i="3" s="1"/>
  <c r="Q1364" i="3"/>
  <c r="M1359" i="3"/>
  <c r="N1359" i="3"/>
  <c r="N1361" i="3"/>
  <c r="M1361" i="3"/>
  <c r="V1358" i="3"/>
  <c r="W1358" i="3" s="1"/>
  <c r="M1357" i="3"/>
  <c r="N1357" i="3"/>
  <c r="N1371" i="3"/>
  <c r="M1371" i="3"/>
  <c r="N1367" i="3"/>
  <c r="M1367" i="3"/>
  <c r="V1370" i="3"/>
  <c r="W1370" i="3" s="1"/>
  <c r="Q1370" i="3"/>
  <c r="V1366" i="3"/>
  <c r="W1366" i="3" s="1"/>
  <c r="Q1366" i="3"/>
  <c r="V1362" i="3"/>
  <c r="W1362" i="3" s="1"/>
  <c r="Q1362" i="3"/>
  <c r="N1365" i="3"/>
  <c r="M1365" i="3"/>
  <c r="N1369" i="3"/>
  <c r="M1369" i="3"/>
  <c r="N1363" i="3"/>
  <c r="M1363" i="3"/>
  <c r="M1356" i="3"/>
  <c r="N1356" i="3"/>
  <c r="M1355" i="3"/>
  <c r="N1355" i="3"/>
  <c r="M1354" i="3"/>
  <c r="N1354" i="3"/>
  <c r="M1353" i="3"/>
  <c r="N1353" i="3"/>
  <c r="M1352" i="3"/>
  <c r="N1352" i="3"/>
  <c r="M1351" i="3"/>
  <c r="N1351" i="3"/>
  <c r="M1350" i="3"/>
  <c r="N1350" i="3"/>
  <c r="M1349" i="3"/>
  <c r="N1349" i="3"/>
  <c r="M1348" i="3"/>
  <c r="N1348" i="3"/>
  <c r="M1347" i="3"/>
  <c r="N1347" i="3"/>
  <c r="M1346" i="3"/>
  <c r="N1346" i="3"/>
  <c r="M1345" i="3"/>
  <c r="N1345" i="3"/>
  <c r="M1344" i="3"/>
  <c r="N1344" i="3"/>
  <c r="M1343" i="3"/>
  <c r="N1343" i="3"/>
  <c r="M1342" i="3"/>
  <c r="N1342" i="3"/>
  <c r="M1341" i="3"/>
  <c r="N1341" i="3"/>
  <c r="M1340" i="3"/>
  <c r="N1340" i="3"/>
  <c r="U1310" i="3"/>
  <c r="U1304" i="3"/>
  <c r="U1316" i="3"/>
  <c r="U1321" i="3"/>
  <c r="U1324" i="3"/>
  <c r="U1337" i="3"/>
  <c r="U1307" i="3"/>
  <c r="U1317" i="3"/>
  <c r="U1303" i="3"/>
  <c r="U1312" i="3"/>
  <c r="U1315" i="3"/>
  <c r="U1323" i="3"/>
  <c r="U1328" i="3"/>
  <c r="U1325" i="3"/>
  <c r="U1296" i="3"/>
  <c r="U1309" i="3"/>
  <c r="U1319" i="3"/>
  <c r="U1322" i="3"/>
  <c r="U1326" i="3"/>
  <c r="U1329" i="3"/>
  <c r="U1335" i="3"/>
  <c r="U1339" i="3"/>
  <c r="U1334" i="3"/>
  <c r="U1313" i="3"/>
  <c r="U1301" i="3"/>
  <c r="U1305" i="3"/>
  <c r="U1294" i="3"/>
  <c r="U1300" i="3"/>
  <c r="U1320" i="3"/>
  <c r="U1293" i="3"/>
  <c r="U1299" i="3"/>
  <c r="U1327" i="3"/>
  <c r="U1331" i="3"/>
  <c r="U1292" i="3"/>
  <c r="U1306" i="3"/>
  <c r="U1318" i="3"/>
  <c r="Y1339" i="3"/>
  <c r="T1339" i="3"/>
  <c r="Z1339" i="3" s="1"/>
  <c r="L1339" i="3"/>
  <c r="P1339" i="3"/>
  <c r="Y1338" i="3"/>
  <c r="T1338" i="3"/>
  <c r="Z1338" i="3" s="1"/>
  <c r="L1338" i="3"/>
  <c r="P1338" i="3"/>
  <c r="Y1337" i="3"/>
  <c r="T1337" i="3"/>
  <c r="Z1337" i="3" s="1"/>
  <c r="L1337" i="3"/>
  <c r="P1337" i="3"/>
  <c r="Y1336" i="3"/>
  <c r="T1336" i="3"/>
  <c r="Z1336" i="3" s="1"/>
  <c r="L1336" i="3"/>
  <c r="P1336" i="3"/>
  <c r="Y1335" i="3"/>
  <c r="T1335" i="3"/>
  <c r="Z1335" i="3" s="1"/>
  <c r="L1335" i="3"/>
  <c r="P1335" i="3"/>
  <c r="Y1334" i="3"/>
  <c r="T1334" i="3"/>
  <c r="Z1334" i="3" s="1"/>
  <c r="L1334" i="3"/>
  <c r="P1334" i="3"/>
  <c r="Y1333" i="3"/>
  <c r="T1333" i="3"/>
  <c r="Z1333" i="3" s="1"/>
  <c r="L1333" i="3"/>
  <c r="P1333" i="3"/>
  <c r="Y1332" i="3"/>
  <c r="T1332" i="3"/>
  <c r="Z1332" i="3" s="1"/>
  <c r="L1332" i="3"/>
  <c r="P1332" i="3"/>
  <c r="Y1331" i="3"/>
  <c r="T1331" i="3"/>
  <c r="Z1331" i="3" s="1"/>
  <c r="L1331" i="3"/>
  <c r="P1331" i="3"/>
  <c r="Y1330" i="3"/>
  <c r="T1330" i="3"/>
  <c r="Z1330" i="3" s="1"/>
  <c r="L1330" i="3"/>
  <c r="P1330" i="3"/>
  <c r="Y1329" i="3"/>
  <c r="T1329" i="3"/>
  <c r="Z1329" i="3" s="1"/>
  <c r="L1329" i="3"/>
  <c r="P1329" i="3"/>
  <c r="Y1328" i="3"/>
  <c r="T1328" i="3"/>
  <c r="Z1328" i="3" s="1"/>
  <c r="L1328" i="3"/>
  <c r="P1328" i="3"/>
  <c r="Y1327" i="3"/>
  <c r="T1327" i="3"/>
  <c r="Z1327" i="3" s="1"/>
  <c r="L1327" i="3"/>
  <c r="P1327" i="3"/>
  <c r="Y1326" i="3"/>
  <c r="T1326" i="3"/>
  <c r="Z1326" i="3" s="1"/>
  <c r="L1326" i="3"/>
  <c r="P1326" i="3"/>
  <c r="Y1325" i="3"/>
  <c r="T1325" i="3"/>
  <c r="Z1325" i="3" s="1"/>
  <c r="L1325" i="3"/>
  <c r="P1325" i="3"/>
  <c r="Y1324" i="3"/>
  <c r="T1324" i="3"/>
  <c r="Z1324" i="3" s="1"/>
  <c r="L1324" i="3"/>
  <c r="P1324" i="3"/>
  <c r="Y1323" i="3"/>
  <c r="T1323" i="3"/>
  <c r="Z1323" i="3" s="1"/>
  <c r="L1323" i="3"/>
  <c r="P1323" i="3"/>
  <c r="Y1322" i="3"/>
  <c r="T1322" i="3"/>
  <c r="Z1322" i="3" s="1"/>
  <c r="L1322" i="3"/>
  <c r="P1322" i="3"/>
  <c r="Y1321" i="3"/>
  <c r="T1321" i="3"/>
  <c r="Z1321" i="3" s="1"/>
  <c r="L1321" i="3"/>
  <c r="P1321" i="3"/>
  <c r="Y1320" i="3"/>
  <c r="T1320" i="3"/>
  <c r="Z1320" i="3" s="1"/>
  <c r="L1320" i="3"/>
  <c r="P1320" i="3"/>
  <c r="Y1319" i="3"/>
  <c r="T1319" i="3"/>
  <c r="Z1319" i="3" s="1"/>
  <c r="L1319" i="3"/>
  <c r="P1319" i="3"/>
  <c r="Y1318" i="3"/>
  <c r="T1318" i="3"/>
  <c r="Z1318" i="3" s="1"/>
  <c r="L1318" i="3"/>
  <c r="P1318" i="3"/>
  <c r="Y1317" i="3"/>
  <c r="T1317" i="3"/>
  <c r="Z1317" i="3" s="1"/>
  <c r="L1317" i="3"/>
  <c r="P1317" i="3"/>
  <c r="Y1316" i="3"/>
  <c r="T1316" i="3"/>
  <c r="Z1316" i="3" s="1"/>
  <c r="L1316" i="3"/>
  <c r="P1316" i="3"/>
  <c r="Y1315" i="3"/>
  <c r="T1315" i="3"/>
  <c r="Z1315" i="3" s="1"/>
  <c r="L1315" i="3"/>
  <c r="P1315" i="3"/>
  <c r="Y1314" i="3"/>
  <c r="T1314" i="3"/>
  <c r="Z1314" i="3" s="1"/>
  <c r="L1314" i="3"/>
  <c r="P1314" i="3"/>
  <c r="Y1313" i="3"/>
  <c r="T1313" i="3"/>
  <c r="Z1313" i="3" s="1"/>
  <c r="L1313" i="3"/>
  <c r="P1313" i="3"/>
  <c r="Y1312" i="3"/>
  <c r="T1312" i="3"/>
  <c r="Z1312" i="3" s="1"/>
  <c r="L1312" i="3"/>
  <c r="P1312" i="3"/>
  <c r="Y1311" i="3"/>
  <c r="T1311" i="3"/>
  <c r="Z1311" i="3" s="1"/>
  <c r="L1311" i="3"/>
  <c r="P1311" i="3"/>
  <c r="Y1310" i="3"/>
  <c r="T1310" i="3"/>
  <c r="Z1310" i="3" s="1"/>
  <c r="L1310" i="3"/>
  <c r="P1310" i="3"/>
  <c r="Y1309" i="3"/>
  <c r="T1309" i="3"/>
  <c r="Z1309" i="3" s="1"/>
  <c r="L1309" i="3"/>
  <c r="P1309" i="3"/>
  <c r="Y1308" i="3"/>
  <c r="T1308" i="3"/>
  <c r="Z1308" i="3" s="1"/>
  <c r="L1308" i="3"/>
  <c r="P1308" i="3"/>
  <c r="Y1307" i="3"/>
  <c r="T1307" i="3"/>
  <c r="Z1307" i="3" s="1"/>
  <c r="L1307" i="3"/>
  <c r="P1307" i="3"/>
  <c r="Y1306" i="3"/>
  <c r="T1306" i="3"/>
  <c r="Z1306" i="3" s="1"/>
  <c r="L1306" i="3"/>
  <c r="P1306" i="3"/>
  <c r="Y1305" i="3"/>
  <c r="T1305" i="3"/>
  <c r="Z1305" i="3" s="1"/>
  <c r="L1305" i="3"/>
  <c r="P1305" i="3"/>
  <c r="Y1304" i="3"/>
  <c r="T1304" i="3"/>
  <c r="Z1304" i="3" s="1"/>
  <c r="L1304" i="3"/>
  <c r="P1304" i="3"/>
  <c r="Y1303" i="3"/>
  <c r="T1303" i="3"/>
  <c r="Z1303" i="3" s="1"/>
  <c r="L1303" i="3"/>
  <c r="P1303" i="3"/>
  <c r="Y1302" i="3"/>
  <c r="T1302" i="3"/>
  <c r="Z1302" i="3" s="1"/>
  <c r="L1302" i="3"/>
  <c r="P1302" i="3"/>
  <c r="Y1301" i="3"/>
  <c r="T1301" i="3"/>
  <c r="Z1301" i="3" s="1"/>
  <c r="L1301" i="3"/>
  <c r="P1301" i="3"/>
  <c r="Y1300" i="3"/>
  <c r="T1300" i="3"/>
  <c r="Z1300" i="3" s="1"/>
  <c r="L1300" i="3"/>
  <c r="P1300" i="3"/>
  <c r="Y1299" i="3"/>
  <c r="T1299" i="3"/>
  <c r="Z1299" i="3" s="1"/>
  <c r="L1299" i="3"/>
  <c r="P1299" i="3"/>
  <c r="Y1296" i="3"/>
  <c r="T1296" i="3"/>
  <c r="Z1296" i="3" s="1"/>
  <c r="L1296" i="3"/>
  <c r="P1296" i="3"/>
  <c r="Y1295" i="3"/>
  <c r="T1295" i="3"/>
  <c r="Z1295" i="3" s="1"/>
  <c r="L1295" i="3"/>
  <c r="P1295" i="3"/>
  <c r="Y1294" i="3"/>
  <c r="T1294" i="3"/>
  <c r="Z1294" i="3" s="1"/>
  <c r="L1294" i="3"/>
  <c r="P1294" i="3"/>
  <c r="Y1293" i="3"/>
  <c r="T1293" i="3"/>
  <c r="Z1293" i="3" s="1"/>
  <c r="L1293" i="3"/>
  <c r="P1293" i="3"/>
  <c r="Y1292" i="3"/>
  <c r="T1292" i="3"/>
  <c r="Z1292" i="3" s="1"/>
  <c r="L1292" i="3"/>
  <c r="P1292" i="3"/>
  <c r="Y1291" i="3"/>
  <c r="T1291" i="3"/>
  <c r="Z1291" i="3" s="1"/>
  <c r="L1291" i="3"/>
  <c r="P1291" i="3"/>
  <c r="Y1290" i="3"/>
  <c r="T1290" i="3"/>
  <c r="Z1290" i="3" s="1"/>
  <c r="L1290" i="3"/>
  <c r="P1290" i="3"/>
  <c r="Y1289" i="3"/>
  <c r="T1289" i="3"/>
  <c r="Z1289" i="3" s="1"/>
  <c r="L1289" i="3"/>
  <c r="P1289" i="3"/>
  <c r="Y1288" i="3"/>
  <c r="T1288" i="3"/>
  <c r="Z1288" i="3" s="1"/>
  <c r="L1288" i="3"/>
  <c r="P1288" i="3"/>
  <c r="Y1287" i="3"/>
  <c r="T1287" i="3"/>
  <c r="Z1287" i="3" s="1"/>
  <c r="L1287" i="3"/>
  <c r="P1287" i="3"/>
  <c r="Y1286" i="3"/>
  <c r="T1286" i="3"/>
  <c r="Z1286" i="3" s="1"/>
  <c r="L1286" i="3"/>
  <c r="P1286" i="3"/>
  <c r="AF1227" i="3"/>
  <c r="AF1285" i="3"/>
  <c r="Y1285" i="3"/>
  <c r="T1285" i="3"/>
  <c r="Z1285" i="3" s="1"/>
  <c r="L1285" i="3"/>
  <c r="P1285" i="3"/>
  <c r="Y1284" i="3"/>
  <c r="T1284" i="3"/>
  <c r="Z1284" i="3" s="1"/>
  <c r="L1284" i="3"/>
  <c r="P1284" i="3"/>
  <c r="Y1283" i="3"/>
  <c r="T1283" i="3"/>
  <c r="Z1283" i="3" s="1"/>
  <c r="L1283" i="3"/>
  <c r="P1283" i="3"/>
  <c r="Y1282" i="3"/>
  <c r="T1282" i="3"/>
  <c r="Z1282" i="3" s="1"/>
  <c r="L1282" i="3"/>
  <c r="P1282" i="3"/>
  <c r="Y1281" i="3"/>
  <c r="T1281" i="3"/>
  <c r="Z1281" i="3" s="1"/>
  <c r="L1281" i="3"/>
  <c r="P1281" i="3"/>
  <c r="Y1280" i="3"/>
  <c r="T1280" i="3"/>
  <c r="Z1280" i="3" s="1"/>
  <c r="L1280" i="3"/>
  <c r="P1280" i="3"/>
  <c r="Y1279" i="3"/>
  <c r="T1279" i="3"/>
  <c r="Z1279" i="3" s="1"/>
  <c r="L1279" i="3"/>
  <c r="P1279" i="3"/>
  <c r="Y1278" i="3"/>
  <c r="T1278" i="3"/>
  <c r="Z1278" i="3" s="1"/>
  <c r="L1278" i="3"/>
  <c r="P1278" i="3"/>
  <c r="Y1277" i="3"/>
  <c r="T1277" i="3"/>
  <c r="Z1277" i="3" s="1"/>
  <c r="L1277" i="3"/>
  <c r="P1277" i="3"/>
  <c r="Y1276" i="3"/>
  <c r="T1276" i="3"/>
  <c r="Z1276" i="3" s="1"/>
  <c r="L1276" i="3"/>
  <c r="P1276" i="3"/>
  <c r="Y1275" i="3"/>
  <c r="T1275" i="3"/>
  <c r="Z1275" i="3" s="1"/>
  <c r="L1275" i="3"/>
  <c r="P1275" i="3"/>
  <c r="Y1274" i="3"/>
  <c r="T1274" i="3"/>
  <c r="Z1274" i="3" s="1"/>
  <c r="L1274" i="3"/>
  <c r="P1274" i="3"/>
  <c r="Y1273" i="3"/>
  <c r="T1273" i="3"/>
  <c r="Z1273" i="3" s="1"/>
  <c r="L1273" i="3"/>
  <c r="P1273" i="3"/>
  <c r="Y1272" i="3"/>
  <c r="T1272" i="3"/>
  <c r="Z1272" i="3" s="1"/>
  <c r="L1272" i="3"/>
  <c r="P1272" i="3"/>
  <c r="Y1271" i="3"/>
  <c r="T1271" i="3"/>
  <c r="Z1271" i="3" s="1"/>
  <c r="L1271" i="3"/>
  <c r="P1271" i="3"/>
  <c r="Y1270" i="3"/>
  <c r="T1270" i="3"/>
  <c r="Z1270" i="3" s="1"/>
  <c r="L1270" i="3"/>
  <c r="P1270" i="3"/>
  <c r="Y1269" i="3"/>
  <c r="T1269" i="3"/>
  <c r="Z1269" i="3" s="1"/>
  <c r="L1269" i="3"/>
  <c r="P1269" i="3"/>
  <c r="Y1268" i="3"/>
  <c r="T1268" i="3"/>
  <c r="Z1268" i="3" s="1"/>
  <c r="L1268" i="3"/>
  <c r="P1268" i="3"/>
  <c r="Y1267" i="3"/>
  <c r="T1267" i="3"/>
  <c r="Z1267" i="3" s="1"/>
  <c r="L1267" i="3"/>
  <c r="P1267" i="3"/>
  <c r="Y1266" i="3"/>
  <c r="T1266" i="3"/>
  <c r="Z1266" i="3" s="1"/>
  <c r="L1266" i="3"/>
  <c r="P1266" i="3"/>
  <c r="Y1265" i="3"/>
  <c r="T1265" i="3"/>
  <c r="Z1265" i="3" s="1"/>
  <c r="L1265" i="3"/>
  <c r="P1265" i="3"/>
  <c r="Y1264" i="3"/>
  <c r="T1264" i="3"/>
  <c r="Z1264" i="3" s="1"/>
  <c r="L1264" i="3"/>
  <c r="P1264" i="3"/>
  <c r="Y1263" i="3"/>
  <c r="T1263" i="3"/>
  <c r="Z1263" i="3" s="1"/>
  <c r="L1263" i="3"/>
  <c r="P1263" i="3"/>
  <c r="Y1262" i="3"/>
  <c r="T1262" i="3"/>
  <c r="Z1262" i="3" s="1"/>
  <c r="L1262" i="3"/>
  <c r="P1262" i="3"/>
  <c r="Y1261" i="3"/>
  <c r="T1261" i="3"/>
  <c r="Z1261" i="3" s="1"/>
  <c r="L1261" i="3"/>
  <c r="P1261" i="3"/>
  <c r="Y1260" i="3"/>
  <c r="T1260" i="3"/>
  <c r="Z1260" i="3" s="1"/>
  <c r="L1260" i="3"/>
  <c r="P1260" i="3"/>
  <c r="Y1259" i="3"/>
  <c r="T1259" i="3"/>
  <c r="Z1259" i="3" s="1"/>
  <c r="L1259" i="3"/>
  <c r="P1259" i="3"/>
  <c r="Y1258" i="3"/>
  <c r="T1258" i="3"/>
  <c r="Z1258" i="3" s="1"/>
  <c r="L1258" i="3"/>
  <c r="P1258" i="3"/>
  <c r="Y1257" i="3"/>
  <c r="T1257" i="3"/>
  <c r="Z1257" i="3" s="1"/>
  <c r="L1257" i="3"/>
  <c r="P1257" i="3"/>
  <c r="Y1256" i="3"/>
  <c r="T1256" i="3"/>
  <c r="Z1256" i="3" s="1"/>
  <c r="L1256" i="3"/>
  <c r="P1256" i="3"/>
  <c r="Y1255" i="3"/>
  <c r="T1255" i="3"/>
  <c r="Z1255" i="3" s="1"/>
  <c r="L1255" i="3"/>
  <c r="P1255" i="3"/>
  <c r="Y1254" i="3"/>
  <c r="T1254" i="3"/>
  <c r="Z1254" i="3" s="1"/>
  <c r="L1254" i="3"/>
  <c r="P1254" i="3"/>
  <c r="Y1253" i="3"/>
  <c r="T1253" i="3"/>
  <c r="Z1253" i="3" s="1"/>
  <c r="L1253" i="3"/>
  <c r="P1253" i="3"/>
  <c r="Y1252" i="3"/>
  <c r="T1252" i="3"/>
  <c r="Z1252" i="3" s="1"/>
  <c r="L1252" i="3"/>
  <c r="P1252" i="3"/>
  <c r="Y1251" i="3"/>
  <c r="T1251" i="3"/>
  <c r="Z1251" i="3" s="1"/>
  <c r="L1251" i="3"/>
  <c r="P1251" i="3"/>
  <c r="Y1250" i="3"/>
  <c r="T1250" i="3"/>
  <c r="Z1250" i="3" s="1"/>
  <c r="L1250" i="3"/>
  <c r="P1250" i="3"/>
  <c r="Y1249" i="3"/>
  <c r="T1249" i="3"/>
  <c r="Z1249" i="3" s="1"/>
  <c r="L1249" i="3"/>
  <c r="P1249" i="3"/>
  <c r="AF1243" i="3"/>
  <c r="AF1248" i="3"/>
  <c r="Y1248" i="3"/>
  <c r="T1248" i="3"/>
  <c r="Z1248" i="3" s="1"/>
  <c r="L1248" i="3"/>
  <c r="P1248" i="3"/>
  <c r="AF1242" i="3"/>
  <c r="AF1247" i="3"/>
  <c r="Y1247" i="3"/>
  <c r="T1247" i="3"/>
  <c r="Z1247" i="3" s="1"/>
  <c r="L1247" i="3"/>
  <c r="P1247" i="3"/>
  <c r="Y1246" i="3"/>
  <c r="Y1245" i="3"/>
  <c r="T1246" i="3"/>
  <c r="Z1246" i="3" s="1"/>
  <c r="T1245" i="3"/>
  <c r="Z1245" i="3" s="1"/>
  <c r="L1246" i="3"/>
  <c r="P1246" i="3"/>
  <c r="L1245" i="3"/>
  <c r="P1245" i="3"/>
  <c r="Y1244" i="3"/>
  <c r="T1244" i="3"/>
  <c r="Z1244" i="3" s="1"/>
  <c r="L1244" i="3"/>
  <c r="P1244" i="3"/>
  <c r="Y1243" i="3"/>
  <c r="T1243" i="3"/>
  <c r="Z1243" i="3" s="1"/>
  <c r="L1243" i="3"/>
  <c r="P1243" i="3"/>
  <c r="Y1242" i="3"/>
  <c r="T1242" i="3"/>
  <c r="Z1242" i="3" s="1"/>
  <c r="L1242" i="3"/>
  <c r="P1242" i="3"/>
  <c r="Y1241" i="3"/>
  <c r="T1241" i="3"/>
  <c r="Z1241" i="3" s="1"/>
  <c r="L1241" i="3"/>
  <c r="P1241" i="3"/>
  <c r="Y1240" i="3"/>
  <c r="T1240" i="3"/>
  <c r="Z1240" i="3" s="1"/>
  <c r="L1240" i="3"/>
  <c r="P1240" i="3"/>
  <c r="Y1239" i="3"/>
  <c r="T1239" i="3"/>
  <c r="Z1239" i="3" s="1"/>
  <c r="L1239" i="3"/>
  <c r="P1239" i="3"/>
  <c r="Y1238" i="3"/>
  <c r="T1238" i="3"/>
  <c r="Z1238" i="3" s="1"/>
  <c r="L1238" i="3"/>
  <c r="P1238" i="3"/>
  <c r="Y1237" i="3"/>
  <c r="T1237" i="3"/>
  <c r="Z1237" i="3" s="1"/>
  <c r="L1237" i="3"/>
  <c r="P1237" i="3"/>
  <c r="Y1236" i="3"/>
  <c r="T1236" i="3"/>
  <c r="Z1236" i="3" s="1"/>
  <c r="L1236" i="3"/>
  <c r="P1236" i="3"/>
  <c r="Y1235" i="3"/>
  <c r="T1235" i="3"/>
  <c r="Z1235" i="3" s="1"/>
  <c r="L1235" i="3"/>
  <c r="P1235" i="3"/>
  <c r="Y1234" i="3"/>
  <c r="T1234" i="3"/>
  <c r="Z1234" i="3" s="1"/>
  <c r="L1234" i="3"/>
  <c r="P1234" i="3"/>
  <c r="Y1233" i="3"/>
  <c r="T1233" i="3"/>
  <c r="Z1233" i="3" s="1"/>
  <c r="L1233" i="3"/>
  <c r="P1233" i="3"/>
  <c r="Y1232" i="3"/>
  <c r="L1232" i="3"/>
  <c r="P1232" i="3"/>
  <c r="Y1231" i="3"/>
  <c r="L1231" i="3"/>
  <c r="P1231" i="3"/>
  <c r="Y1230" i="3"/>
  <c r="L1230" i="3"/>
  <c r="P1230" i="3"/>
  <c r="Y1229" i="3"/>
  <c r="L1229" i="3"/>
  <c r="P1229" i="3"/>
  <c r="Y1228" i="3"/>
  <c r="L1228" i="3"/>
  <c r="P1228" i="3"/>
  <c r="Y1227" i="3"/>
  <c r="L1227" i="3"/>
  <c r="P1227" i="3"/>
  <c r="Y1226" i="3"/>
  <c r="L1226" i="3"/>
  <c r="P1226" i="3"/>
  <c r="Y1225" i="3"/>
  <c r="L1225" i="3"/>
  <c r="P1225" i="3"/>
  <c r="Y1224" i="3"/>
  <c r="L1224" i="3"/>
  <c r="P1224" i="3"/>
  <c r="Y1223" i="3"/>
  <c r="L1223" i="3"/>
  <c r="P1223" i="3"/>
  <c r="Y1222" i="3"/>
  <c r="L1222" i="3"/>
  <c r="P1222" i="3"/>
  <c r="Y1221" i="3"/>
  <c r="L1221" i="3"/>
  <c r="P1221" i="3"/>
  <c r="Y1220" i="3"/>
  <c r="L1220" i="3"/>
  <c r="P1220" i="3"/>
  <c r="Y1219" i="3"/>
  <c r="L1219" i="3"/>
  <c r="P1219" i="3"/>
  <c r="Y1218" i="3"/>
  <c r="L1218" i="3"/>
  <c r="P1218" i="3"/>
  <c r="Y1217" i="3"/>
  <c r="L1217" i="3"/>
  <c r="P1217" i="3"/>
  <c r="Y1216" i="3"/>
  <c r="L1216" i="3"/>
  <c r="P1216" i="3"/>
  <c r="Y1215" i="3"/>
  <c r="L1215" i="3"/>
  <c r="P1215" i="3"/>
  <c r="Y1214" i="3"/>
  <c r="L1214" i="3"/>
  <c r="P1214" i="3"/>
  <c r="Y1213" i="3"/>
  <c r="L1213" i="3"/>
  <c r="P1213" i="3"/>
  <c r="Y1212" i="3"/>
  <c r="L1212" i="3"/>
  <c r="P1212" i="3"/>
  <c r="Y1211" i="3"/>
  <c r="L1211" i="3"/>
  <c r="P1211" i="3"/>
  <c r="Y1210" i="3"/>
  <c r="L1210" i="3"/>
  <c r="P1210" i="3"/>
  <c r="Y1209" i="3"/>
  <c r="L1209" i="3"/>
  <c r="P1209" i="3"/>
  <c r="Y1208" i="3"/>
  <c r="L1208" i="3"/>
  <c r="P1208" i="3"/>
  <c r="Y1207" i="3"/>
  <c r="L1207" i="3"/>
  <c r="P1207" i="3"/>
  <c r="Y1206" i="3"/>
  <c r="L1206" i="3"/>
  <c r="P1206" i="3"/>
  <c r="Y1205" i="3"/>
  <c r="L1205" i="3"/>
  <c r="P1205" i="3"/>
  <c r="Y1204" i="3"/>
  <c r="L1204" i="3"/>
  <c r="P1204" i="3"/>
  <c r="Y1203" i="3"/>
  <c r="L1203" i="3"/>
  <c r="P1203" i="3"/>
  <c r="Y1202" i="3"/>
  <c r="L1202" i="3"/>
  <c r="P1202" i="3"/>
  <c r="Y1201" i="3"/>
  <c r="L1201" i="3"/>
  <c r="P1201" i="3"/>
  <c r="Y1200" i="3"/>
  <c r="L1200" i="3"/>
  <c r="P1200" i="3"/>
  <c r="Y1199" i="3"/>
  <c r="L1199" i="3"/>
  <c r="P1199" i="3"/>
  <c r="Y1198" i="3"/>
  <c r="L1198" i="3"/>
  <c r="P1198" i="3"/>
  <c r="Y1197" i="3"/>
  <c r="L1197" i="3"/>
  <c r="P1197" i="3"/>
  <c r="Y1196" i="3"/>
  <c r="L1196" i="3"/>
  <c r="P1196" i="3"/>
  <c r="Y1195" i="3"/>
  <c r="L1195" i="3"/>
  <c r="P1195" i="3"/>
  <c r="Y1194" i="3"/>
  <c r="L1194" i="3"/>
  <c r="P1194" i="3"/>
  <c r="Y1193" i="3"/>
  <c r="L1193" i="3"/>
  <c r="P1193" i="3"/>
  <c r="Y1192" i="3"/>
  <c r="L1192" i="3"/>
  <c r="P1192" i="3"/>
  <c r="Y1191" i="3"/>
  <c r="L1191" i="3"/>
  <c r="P1191" i="3"/>
  <c r="Y1190" i="3"/>
  <c r="L1190" i="3"/>
  <c r="P1190" i="3"/>
  <c r="Y1189" i="3"/>
  <c r="L1189" i="3"/>
  <c r="P1189" i="3"/>
  <c r="Y1188" i="3"/>
  <c r="L1188" i="3"/>
  <c r="P1188" i="3"/>
  <c r="Y1187" i="3"/>
  <c r="L1187" i="3"/>
  <c r="P1187" i="3"/>
  <c r="Y1186" i="3"/>
  <c r="L1186" i="3"/>
  <c r="P1186" i="3"/>
  <c r="Y1185" i="3"/>
  <c r="L1185" i="3"/>
  <c r="P1185" i="3"/>
  <c r="Y1184" i="3"/>
  <c r="L1184" i="3"/>
  <c r="P1184" i="3"/>
  <c r="Y1183" i="3"/>
  <c r="L1183" i="3"/>
  <c r="P1183" i="3"/>
  <c r="Y1182" i="3"/>
  <c r="L1182" i="3"/>
  <c r="P1182" i="3"/>
  <c r="Y1181" i="3"/>
  <c r="L1181" i="3"/>
  <c r="P1181" i="3"/>
  <c r="Y1180" i="3"/>
  <c r="L1180" i="3"/>
  <c r="P1180" i="3"/>
  <c r="Y1179" i="3"/>
  <c r="L1179" i="3"/>
  <c r="P1179" i="3"/>
  <c r="Y1178" i="3"/>
  <c r="L1178" i="3"/>
  <c r="P1178" i="3"/>
  <c r="Y1177" i="3"/>
  <c r="L1177" i="3"/>
  <c r="P1177" i="3"/>
  <c r="Y1176" i="3"/>
  <c r="L1176" i="3"/>
  <c r="P1176" i="3"/>
  <c r="Y1175" i="3"/>
  <c r="L1175" i="3"/>
  <c r="P1175" i="3"/>
  <c r="Y1174" i="3"/>
  <c r="L1174" i="3"/>
  <c r="P1174" i="3"/>
  <c r="Y1173" i="3"/>
  <c r="L1173" i="3"/>
  <c r="P1173" i="3"/>
  <c r="Y1172" i="3"/>
  <c r="L1172" i="3"/>
  <c r="P1172" i="3"/>
  <c r="Y1171" i="3"/>
  <c r="L1171" i="3"/>
  <c r="P1171" i="3"/>
  <c r="Y1170" i="3"/>
  <c r="L1170" i="3"/>
  <c r="P1170" i="3"/>
  <c r="Y1169" i="3"/>
  <c r="L1169" i="3"/>
  <c r="P1169" i="3"/>
  <c r="Y1168" i="3"/>
  <c r="L1168" i="3"/>
  <c r="P1168" i="3"/>
  <c r="Y1167" i="3"/>
  <c r="L1167" i="3"/>
  <c r="P1167" i="3"/>
  <c r="Y1166" i="3"/>
  <c r="L1166" i="3"/>
  <c r="P1166" i="3"/>
  <c r="Y1165" i="3"/>
  <c r="L1165" i="3"/>
  <c r="P1165" i="3"/>
  <c r="Y1164" i="3"/>
  <c r="L1164" i="3"/>
  <c r="P1164" i="3"/>
  <c r="Y1163" i="3"/>
  <c r="L1163" i="3"/>
  <c r="P1163" i="3"/>
  <c r="Y1162" i="3"/>
  <c r="L1162" i="3"/>
  <c r="P1162" i="3"/>
  <c r="Y1161" i="3"/>
  <c r="L1161" i="3"/>
  <c r="P1161" i="3"/>
  <c r="Y1160" i="3"/>
  <c r="L1160" i="3"/>
  <c r="P1160" i="3"/>
  <c r="Y1159" i="3"/>
  <c r="L1159" i="3"/>
  <c r="P1159" i="3"/>
  <c r="Y1158" i="3"/>
  <c r="L1158" i="3"/>
  <c r="P1158" i="3"/>
  <c r="Y1157" i="3"/>
  <c r="L1157" i="3"/>
  <c r="P1157" i="3"/>
  <c r="Y1156" i="3"/>
  <c r="L1156" i="3"/>
  <c r="P1156" i="3"/>
  <c r="Y1155" i="3"/>
  <c r="L1155" i="3"/>
  <c r="P1155" i="3"/>
  <c r="Y1154" i="3"/>
  <c r="L1154" i="3"/>
  <c r="P1154" i="3"/>
  <c r="Y1153" i="3"/>
  <c r="L1153" i="3"/>
  <c r="P1153" i="3"/>
  <c r="Y1152" i="3"/>
  <c r="L1152" i="3"/>
  <c r="P1152" i="3"/>
  <c r="Y1151" i="3"/>
  <c r="L1151" i="3"/>
  <c r="P1151" i="3"/>
  <c r="Y1150" i="3"/>
  <c r="L1150" i="3"/>
  <c r="P1150" i="3"/>
  <c r="Y1149" i="3"/>
  <c r="L1149" i="3"/>
  <c r="P1149" i="3"/>
  <c r="Y1148" i="3"/>
  <c r="L1148" i="3"/>
  <c r="P1148" i="3"/>
  <c r="Y1147" i="3"/>
  <c r="L1147" i="3"/>
  <c r="P1147" i="3"/>
  <c r="Y1146" i="3"/>
  <c r="L1146" i="3"/>
  <c r="P1146" i="3"/>
  <c r="Y1145" i="3"/>
  <c r="L1145" i="3"/>
  <c r="P1145" i="3"/>
  <c r="Y1144" i="3"/>
  <c r="L1144" i="3"/>
  <c r="P1144" i="3"/>
  <c r="Y1143" i="3"/>
  <c r="L1143" i="3"/>
  <c r="P1143" i="3"/>
  <c r="Y1142" i="3"/>
  <c r="L1142" i="3"/>
  <c r="P1142" i="3"/>
  <c r="Y1141" i="3"/>
  <c r="L1141" i="3"/>
  <c r="P1141" i="3"/>
  <c r="Y1140" i="3"/>
  <c r="L1140" i="3"/>
  <c r="P1140" i="3"/>
  <c r="Y1139" i="3"/>
  <c r="L1139" i="3"/>
  <c r="P1139" i="3"/>
  <c r="Y1138" i="3"/>
  <c r="L1138" i="3"/>
  <c r="P1138" i="3"/>
  <c r="Y1137" i="3"/>
  <c r="L1137" i="3"/>
  <c r="P1137" i="3"/>
  <c r="Y1136" i="3"/>
  <c r="L1136" i="3"/>
  <c r="P1136" i="3"/>
  <c r="Y1135" i="3"/>
  <c r="L1135" i="3"/>
  <c r="P1135" i="3"/>
  <c r="Y1134" i="3"/>
  <c r="L1134" i="3"/>
  <c r="P1134" i="3"/>
  <c r="Y1133" i="3"/>
  <c r="L1133" i="3"/>
  <c r="P1133" i="3"/>
  <c r="Y1132" i="3"/>
  <c r="L1132" i="3"/>
  <c r="P1132" i="3"/>
  <c r="Y1131" i="3"/>
  <c r="L1131" i="3"/>
  <c r="P1131" i="3"/>
  <c r="Y1130" i="3"/>
  <c r="L1130" i="3"/>
  <c r="P1130" i="3"/>
  <c r="Y1129" i="3"/>
  <c r="L1129" i="3"/>
  <c r="P1129" i="3"/>
  <c r="Y1128" i="3"/>
  <c r="L1128" i="3"/>
  <c r="P1128" i="3"/>
  <c r="Y1127" i="3"/>
  <c r="L1127" i="3"/>
  <c r="P1127" i="3"/>
  <c r="Y1126" i="3"/>
  <c r="L1126" i="3"/>
  <c r="P1126" i="3"/>
  <c r="Y1125" i="3"/>
  <c r="L1125" i="3"/>
  <c r="P1125" i="3"/>
  <c r="Y1124" i="3"/>
  <c r="L1124" i="3"/>
  <c r="P1124" i="3"/>
  <c r="Y1123" i="3"/>
  <c r="L1123" i="3"/>
  <c r="P1123" i="3"/>
  <c r="Y1122" i="3"/>
  <c r="L1122" i="3"/>
  <c r="P1122" i="3"/>
  <c r="Y1121" i="3"/>
  <c r="L1121" i="3"/>
  <c r="P1121" i="3"/>
  <c r="Y1120" i="3"/>
  <c r="L1120" i="3"/>
  <c r="P1120" i="3"/>
  <c r="Y1119" i="3"/>
  <c r="L1119" i="3"/>
  <c r="P1119" i="3"/>
  <c r="Y1118" i="3"/>
  <c r="L1118" i="3"/>
  <c r="P1118" i="3"/>
  <c r="Y1117" i="3"/>
  <c r="L1117" i="3"/>
  <c r="P1117" i="3"/>
  <c r="Y1116" i="3"/>
  <c r="L1116" i="3"/>
  <c r="P1116" i="3"/>
  <c r="Y1115" i="3"/>
  <c r="L1115" i="3"/>
  <c r="P1115" i="3"/>
  <c r="Y1114" i="3"/>
  <c r="L1114" i="3"/>
  <c r="P1114" i="3"/>
  <c r="Y1113" i="3"/>
  <c r="L1113" i="3"/>
  <c r="P1113" i="3"/>
  <c r="Y1112" i="3"/>
  <c r="L1112" i="3"/>
  <c r="P1112" i="3"/>
  <c r="Y1111" i="3"/>
  <c r="L1111" i="3"/>
  <c r="P1111" i="3"/>
  <c r="Y1110" i="3"/>
  <c r="L1110" i="3"/>
  <c r="P1110" i="3"/>
  <c r="Y1109" i="3"/>
  <c r="L1109" i="3"/>
  <c r="P1109" i="3"/>
  <c r="Y1108" i="3"/>
  <c r="L1108" i="3"/>
  <c r="P1108" i="3"/>
  <c r="Y1107" i="3"/>
  <c r="L1107" i="3"/>
  <c r="P1107" i="3"/>
  <c r="Y1106" i="3"/>
  <c r="L1106" i="3"/>
  <c r="P1106" i="3"/>
  <c r="Y1105" i="3"/>
  <c r="L1105" i="3"/>
  <c r="P1105" i="3"/>
  <c r="Y1104" i="3"/>
  <c r="L1104" i="3"/>
  <c r="P1104" i="3"/>
  <c r="Y1103" i="3"/>
  <c r="L1103" i="3"/>
  <c r="P1103" i="3"/>
  <c r="Y1102" i="3"/>
  <c r="L1102" i="3"/>
  <c r="P1102" i="3"/>
  <c r="Y1101" i="3"/>
  <c r="L1101" i="3"/>
  <c r="P1101" i="3"/>
  <c r="Y1100" i="3"/>
  <c r="L1100" i="3"/>
  <c r="P1100" i="3"/>
  <c r="Y1099" i="3"/>
  <c r="L1099" i="3"/>
  <c r="P1099" i="3"/>
  <c r="Y1098" i="3"/>
  <c r="L1098" i="3"/>
  <c r="P1098" i="3"/>
  <c r="Y1097" i="3"/>
  <c r="L1097" i="3"/>
  <c r="P1097" i="3"/>
  <c r="Y1096" i="3"/>
  <c r="L1096" i="3"/>
  <c r="P1096" i="3"/>
  <c r="Y1095" i="3"/>
  <c r="L1095" i="3"/>
  <c r="P1095" i="3"/>
  <c r="Y1094" i="3"/>
  <c r="L1094" i="3"/>
  <c r="P1094" i="3"/>
  <c r="Y1093" i="3"/>
  <c r="L1093" i="3"/>
  <c r="P1093" i="3"/>
  <c r="Y1092" i="3"/>
  <c r="L1092" i="3"/>
  <c r="P1092" i="3"/>
  <c r="Y1091" i="3"/>
  <c r="L1091" i="3"/>
  <c r="P1091" i="3"/>
  <c r="Y1090" i="3"/>
  <c r="L1090" i="3"/>
  <c r="P1090" i="3"/>
  <c r="Y1089" i="3"/>
  <c r="L1089" i="3"/>
  <c r="P1089" i="3"/>
  <c r="Y1088" i="3"/>
  <c r="L1088" i="3"/>
  <c r="P1088" i="3"/>
  <c r="Y1087" i="3"/>
  <c r="L1087" i="3"/>
  <c r="P1087" i="3"/>
  <c r="Y1086" i="3"/>
  <c r="L1086" i="3"/>
  <c r="P1086" i="3"/>
  <c r="Y1085" i="3"/>
  <c r="L1085" i="3"/>
  <c r="P1085" i="3"/>
  <c r="Y1084" i="3"/>
  <c r="L1084" i="3"/>
  <c r="P1084" i="3"/>
  <c r="Y1083" i="3"/>
  <c r="L1083" i="3"/>
  <c r="P1083" i="3"/>
  <c r="Y1082" i="3"/>
  <c r="L1082" i="3"/>
  <c r="P1082" i="3"/>
  <c r="Y1081" i="3"/>
  <c r="L1081" i="3"/>
  <c r="P1081" i="3"/>
  <c r="Y1080" i="3"/>
  <c r="L1080" i="3"/>
  <c r="P1080" i="3"/>
  <c r="Y1079" i="3"/>
  <c r="L1079" i="3"/>
  <c r="P1079" i="3"/>
  <c r="Y1078" i="3"/>
  <c r="L1078" i="3"/>
  <c r="P1078" i="3"/>
  <c r="Y1077" i="3"/>
  <c r="L1077" i="3"/>
  <c r="P1077" i="3"/>
  <c r="Y1075" i="3"/>
  <c r="Y1066" i="3"/>
  <c r="Y1076" i="3"/>
  <c r="L1076" i="3"/>
  <c r="P1076" i="3"/>
  <c r="L1066" i="3"/>
  <c r="N1066" i="3" s="1"/>
  <c r="L1075" i="3"/>
  <c r="N1075" i="3" s="1"/>
  <c r="Q1391" i="3" l="1"/>
  <c r="V1391" i="3"/>
  <c r="W1391" i="3" s="1"/>
  <c r="Q1390" i="3"/>
  <c r="V1390" i="3"/>
  <c r="W1390" i="3" s="1"/>
  <c r="Q1389" i="3"/>
  <c r="V1389" i="3"/>
  <c r="W1389" i="3" s="1"/>
  <c r="Q1388" i="3"/>
  <c r="V1388" i="3"/>
  <c r="W1388" i="3" s="1"/>
  <c r="Q1387" i="3"/>
  <c r="V1387" i="3"/>
  <c r="W1387" i="3" s="1"/>
  <c r="Q1386" i="3"/>
  <c r="V1386" i="3"/>
  <c r="W1386" i="3" s="1"/>
  <c r="Q1385" i="3"/>
  <c r="V1385" i="3"/>
  <c r="W1385" i="3" s="1"/>
  <c r="Q1384" i="3"/>
  <c r="V1384" i="3"/>
  <c r="W1384" i="3" s="1"/>
  <c r="Q1383" i="3"/>
  <c r="V1383" i="3"/>
  <c r="W1383" i="3" s="1"/>
  <c r="Q1382" i="3"/>
  <c r="V1382" i="3"/>
  <c r="W1382" i="3" s="1"/>
  <c r="Q1381" i="3"/>
  <c r="V1381" i="3"/>
  <c r="W1381" i="3" s="1"/>
  <c r="Q1380" i="3"/>
  <c r="V1380" i="3"/>
  <c r="W1380" i="3" s="1"/>
  <c r="Q1379" i="3"/>
  <c r="V1379" i="3"/>
  <c r="W1379" i="3" s="1"/>
  <c r="Q1378" i="3"/>
  <c r="V1378" i="3"/>
  <c r="W1378" i="3" s="1"/>
  <c r="Q1377" i="3"/>
  <c r="V1377" i="3"/>
  <c r="W1377" i="3" s="1"/>
  <c r="Q1376" i="3"/>
  <c r="V1376" i="3"/>
  <c r="W1376" i="3" s="1"/>
  <c r="Q1375" i="3"/>
  <c r="V1375" i="3"/>
  <c r="W1375" i="3" s="1"/>
  <c r="Q1374" i="3"/>
  <c r="V1374" i="3"/>
  <c r="W1374" i="3" s="1"/>
  <c r="Q1298" i="3"/>
  <c r="V1298" i="3"/>
  <c r="W1298" i="3" s="1"/>
  <c r="Q1373" i="3"/>
  <c r="V1373" i="3"/>
  <c r="W1373" i="3" s="1"/>
  <c r="Q1297" i="3"/>
  <c r="V1297" i="3"/>
  <c r="W1297" i="3" s="1"/>
  <c r="Q1363" i="3"/>
  <c r="V1363" i="3"/>
  <c r="W1363" i="3" s="1"/>
  <c r="S1362" i="3"/>
  <c r="S1370" i="3"/>
  <c r="Q1357" i="3"/>
  <c r="V1357" i="3"/>
  <c r="W1357" i="3" s="1"/>
  <c r="S1368" i="3"/>
  <c r="Q1371" i="3"/>
  <c r="V1371" i="3"/>
  <c r="W1371" i="3" s="1"/>
  <c r="Q1359" i="3"/>
  <c r="V1359" i="3"/>
  <c r="W1359" i="3" s="1"/>
  <c r="Q1369" i="3"/>
  <c r="V1369" i="3"/>
  <c r="W1369" i="3" s="1"/>
  <c r="Q1365" i="3"/>
  <c r="V1365" i="3"/>
  <c r="W1365" i="3" s="1"/>
  <c r="S1366" i="3"/>
  <c r="Q1361" i="3"/>
  <c r="V1361" i="3"/>
  <c r="W1361" i="3" s="1"/>
  <c r="S1364" i="3"/>
  <c r="S1372" i="3"/>
  <c r="Q1367" i="3"/>
  <c r="V1367" i="3"/>
  <c r="W1367" i="3" s="1"/>
  <c r="Q1356" i="3"/>
  <c r="V1356" i="3"/>
  <c r="W1356" i="3" s="1"/>
  <c r="Q1355" i="3"/>
  <c r="V1355" i="3"/>
  <c r="W1355" i="3" s="1"/>
  <c r="Q1354" i="3"/>
  <c r="V1354" i="3"/>
  <c r="W1354" i="3" s="1"/>
  <c r="Q1353" i="3"/>
  <c r="V1353" i="3"/>
  <c r="W1353" i="3" s="1"/>
  <c r="Q1352" i="3"/>
  <c r="V1352" i="3"/>
  <c r="W1352" i="3" s="1"/>
  <c r="Q1351" i="3"/>
  <c r="V1351" i="3"/>
  <c r="W1351" i="3" s="1"/>
  <c r="Q1350" i="3"/>
  <c r="V1350" i="3"/>
  <c r="W1350" i="3" s="1"/>
  <c r="Q1349" i="3"/>
  <c r="V1349" i="3"/>
  <c r="W1349" i="3" s="1"/>
  <c r="Q1348" i="3"/>
  <c r="V1348" i="3"/>
  <c r="W1348" i="3" s="1"/>
  <c r="Q1347" i="3"/>
  <c r="V1347" i="3"/>
  <c r="W1347" i="3" s="1"/>
  <c r="Q1346" i="3"/>
  <c r="V1346" i="3"/>
  <c r="W1346" i="3" s="1"/>
  <c r="Q1345" i="3"/>
  <c r="V1345" i="3"/>
  <c r="W1345" i="3" s="1"/>
  <c r="Q1344" i="3"/>
  <c r="V1344" i="3"/>
  <c r="W1344" i="3" s="1"/>
  <c r="Q1343" i="3"/>
  <c r="V1343" i="3"/>
  <c r="W1343" i="3" s="1"/>
  <c r="Q1342" i="3"/>
  <c r="V1342" i="3"/>
  <c r="W1342" i="3" s="1"/>
  <c r="Q1341" i="3"/>
  <c r="V1341" i="3"/>
  <c r="W1341" i="3" s="1"/>
  <c r="Q1340" i="3"/>
  <c r="V1340" i="3"/>
  <c r="W1340" i="3" s="1"/>
  <c r="M1339" i="3"/>
  <c r="N1339" i="3"/>
  <c r="M1338" i="3"/>
  <c r="N1338" i="3"/>
  <c r="M1337" i="3"/>
  <c r="N1337" i="3"/>
  <c r="M1336" i="3"/>
  <c r="N1336" i="3"/>
  <c r="M1335" i="3"/>
  <c r="N1335" i="3"/>
  <c r="M1334" i="3"/>
  <c r="N1334" i="3"/>
  <c r="M1333" i="3"/>
  <c r="N1333" i="3"/>
  <c r="M1332" i="3"/>
  <c r="N1332" i="3"/>
  <c r="M1331" i="3"/>
  <c r="N1331" i="3"/>
  <c r="M1330" i="3"/>
  <c r="N1330" i="3"/>
  <c r="M1329" i="3"/>
  <c r="N1329" i="3"/>
  <c r="M1328" i="3"/>
  <c r="N1328" i="3"/>
  <c r="M1327" i="3"/>
  <c r="N1327" i="3"/>
  <c r="M1326" i="3"/>
  <c r="N1326" i="3"/>
  <c r="M1325" i="3"/>
  <c r="N1325" i="3"/>
  <c r="M1324" i="3"/>
  <c r="N1324" i="3"/>
  <c r="M1323" i="3"/>
  <c r="N1323" i="3"/>
  <c r="M1322" i="3"/>
  <c r="N1322" i="3"/>
  <c r="M1321" i="3"/>
  <c r="N1321" i="3"/>
  <c r="M1320" i="3"/>
  <c r="N1320" i="3"/>
  <c r="M1319" i="3"/>
  <c r="N1319" i="3"/>
  <c r="M1318" i="3"/>
  <c r="N1318" i="3"/>
  <c r="M1317" i="3"/>
  <c r="N1317" i="3"/>
  <c r="M1316" i="3"/>
  <c r="N1316" i="3"/>
  <c r="M1315" i="3"/>
  <c r="N1315" i="3"/>
  <c r="M1314" i="3"/>
  <c r="N1314" i="3"/>
  <c r="M1313" i="3"/>
  <c r="N1313" i="3"/>
  <c r="M1312" i="3"/>
  <c r="N1312" i="3"/>
  <c r="M1311" i="3"/>
  <c r="N1311" i="3"/>
  <c r="M1310" i="3"/>
  <c r="N1310" i="3"/>
  <c r="M1309" i="3"/>
  <c r="N1309" i="3"/>
  <c r="M1308" i="3"/>
  <c r="N1308" i="3"/>
  <c r="M1307" i="3"/>
  <c r="N1307" i="3"/>
  <c r="M1306" i="3"/>
  <c r="N1306" i="3"/>
  <c r="M1305" i="3"/>
  <c r="N1305" i="3"/>
  <c r="M1304" i="3"/>
  <c r="N1304" i="3"/>
  <c r="M1303" i="3"/>
  <c r="N1303" i="3"/>
  <c r="M1302" i="3"/>
  <c r="N1302" i="3"/>
  <c r="M1301" i="3"/>
  <c r="N1301" i="3"/>
  <c r="M1300" i="3"/>
  <c r="N1300" i="3"/>
  <c r="M1299" i="3"/>
  <c r="N1299" i="3"/>
  <c r="M1296" i="3"/>
  <c r="N1296" i="3"/>
  <c r="M1295" i="3"/>
  <c r="N1295" i="3"/>
  <c r="M1294" i="3"/>
  <c r="N1294" i="3"/>
  <c r="M1293" i="3"/>
  <c r="N1293" i="3"/>
  <c r="M1292" i="3"/>
  <c r="N1292" i="3"/>
  <c r="M1291" i="3"/>
  <c r="N1291" i="3"/>
  <c r="M1290" i="3"/>
  <c r="N1290" i="3"/>
  <c r="M1289" i="3"/>
  <c r="N1289" i="3"/>
  <c r="M1288" i="3"/>
  <c r="N1288" i="3"/>
  <c r="M1287" i="3"/>
  <c r="N1287" i="3"/>
  <c r="M1286" i="3"/>
  <c r="N1286" i="3"/>
  <c r="M1285" i="3"/>
  <c r="N1285" i="3"/>
  <c r="M1284" i="3"/>
  <c r="N1284" i="3"/>
  <c r="M1283" i="3"/>
  <c r="N1283" i="3"/>
  <c r="M1282" i="3"/>
  <c r="N1282" i="3"/>
  <c r="M1281" i="3"/>
  <c r="N1281" i="3"/>
  <c r="M1280" i="3"/>
  <c r="N1280" i="3"/>
  <c r="M1279" i="3"/>
  <c r="N1279" i="3"/>
  <c r="M1278" i="3"/>
  <c r="N1278" i="3"/>
  <c r="M1277" i="3"/>
  <c r="N1277" i="3"/>
  <c r="M1276" i="3"/>
  <c r="N1276" i="3"/>
  <c r="M1275" i="3"/>
  <c r="N1275" i="3"/>
  <c r="M1274" i="3"/>
  <c r="N1274" i="3"/>
  <c r="M1273" i="3"/>
  <c r="N1273" i="3"/>
  <c r="M1272" i="3"/>
  <c r="N1272" i="3"/>
  <c r="M1271" i="3"/>
  <c r="N1271" i="3"/>
  <c r="M1270" i="3"/>
  <c r="N1270" i="3"/>
  <c r="M1269" i="3"/>
  <c r="N1269" i="3"/>
  <c r="M1268" i="3"/>
  <c r="N1268" i="3"/>
  <c r="M1267" i="3"/>
  <c r="N1267" i="3"/>
  <c r="M1266" i="3"/>
  <c r="N1266" i="3"/>
  <c r="M1265" i="3"/>
  <c r="N1265" i="3"/>
  <c r="M1264" i="3"/>
  <c r="N1264" i="3"/>
  <c r="M1263" i="3"/>
  <c r="N1263" i="3"/>
  <c r="M1262" i="3"/>
  <c r="N1262" i="3"/>
  <c r="M1261" i="3"/>
  <c r="N1261" i="3"/>
  <c r="M1260" i="3"/>
  <c r="N1260" i="3"/>
  <c r="M1259" i="3"/>
  <c r="N1259" i="3"/>
  <c r="M1258" i="3"/>
  <c r="N1258" i="3"/>
  <c r="M1257" i="3"/>
  <c r="N1257" i="3"/>
  <c r="M1256" i="3"/>
  <c r="N1256" i="3"/>
  <c r="M1255" i="3"/>
  <c r="N1255" i="3"/>
  <c r="M1254" i="3"/>
  <c r="N1254" i="3"/>
  <c r="M1253" i="3"/>
  <c r="N1253" i="3"/>
  <c r="M1252" i="3"/>
  <c r="N1252" i="3"/>
  <c r="M1251" i="3"/>
  <c r="N1251" i="3"/>
  <c r="M1250" i="3"/>
  <c r="N1250" i="3"/>
  <c r="M1249" i="3"/>
  <c r="N1249" i="3"/>
  <c r="M1248" i="3"/>
  <c r="N1248" i="3"/>
  <c r="M1247" i="3"/>
  <c r="N1247" i="3"/>
  <c r="M1245" i="3"/>
  <c r="N1245" i="3"/>
  <c r="M1246" i="3"/>
  <c r="N1246" i="3"/>
  <c r="M1244" i="3"/>
  <c r="N1244" i="3"/>
  <c r="M1243" i="3"/>
  <c r="N1243" i="3"/>
  <c r="M1242" i="3"/>
  <c r="N1242" i="3"/>
  <c r="M1241" i="3"/>
  <c r="N1241" i="3"/>
  <c r="M1240" i="3"/>
  <c r="N1240" i="3"/>
  <c r="M1239" i="3"/>
  <c r="N1239" i="3"/>
  <c r="M1238" i="3"/>
  <c r="N1238" i="3"/>
  <c r="M1237" i="3"/>
  <c r="N1237" i="3"/>
  <c r="M1236" i="3"/>
  <c r="N1236" i="3"/>
  <c r="M1235" i="3"/>
  <c r="N1235" i="3"/>
  <c r="M1234" i="3"/>
  <c r="N1234" i="3"/>
  <c r="M1233" i="3"/>
  <c r="N1233" i="3"/>
  <c r="M1232" i="3"/>
  <c r="N1232" i="3"/>
  <c r="M1231" i="3"/>
  <c r="N1231" i="3"/>
  <c r="M1230" i="3"/>
  <c r="N1230" i="3"/>
  <c r="M1229" i="3"/>
  <c r="N1229" i="3"/>
  <c r="M1228" i="3"/>
  <c r="N1228" i="3"/>
  <c r="M1227" i="3"/>
  <c r="N1227" i="3"/>
  <c r="M1226" i="3"/>
  <c r="N1226" i="3"/>
  <c r="M1225" i="3"/>
  <c r="N1225" i="3"/>
  <c r="M1224" i="3"/>
  <c r="N1224" i="3"/>
  <c r="M1223" i="3"/>
  <c r="N1223" i="3"/>
  <c r="M1222" i="3"/>
  <c r="N1222" i="3"/>
  <c r="M1221" i="3"/>
  <c r="N1221" i="3"/>
  <c r="M1220" i="3"/>
  <c r="N1220" i="3"/>
  <c r="M1219" i="3"/>
  <c r="N1219" i="3"/>
  <c r="M1218" i="3"/>
  <c r="N1218" i="3"/>
  <c r="M1217" i="3"/>
  <c r="N1217" i="3"/>
  <c r="M1216" i="3"/>
  <c r="N1216" i="3"/>
  <c r="M1215" i="3"/>
  <c r="N1215" i="3"/>
  <c r="M1214" i="3"/>
  <c r="N1214" i="3"/>
  <c r="M1213" i="3"/>
  <c r="N1213" i="3"/>
  <c r="M1212" i="3"/>
  <c r="N1212" i="3"/>
  <c r="M1211" i="3"/>
  <c r="N1211" i="3"/>
  <c r="M1210" i="3"/>
  <c r="N1210" i="3"/>
  <c r="M1209" i="3"/>
  <c r="N1209" i="3"/>
  <c r="M1208" i="3"/>
  <c r="N1208" i="3"/>
  <c r="M1207" i="3"/>
  <c r="N1207" i="3"/>
  <c r="M1206" i="3"/>
  <c r="N1206" i="3"/>
  <c r="M1205" i="3"/>
  <c r="N1205" i="3"/>
  <c r="M1204" i="3"/>
  <c r="N1204" i="3"/>
  <c r="M1203" i="3"/>
  <c r="N1203" i="3"/>
  <c r="M1202" i="3"/>
  <c r="N1202" i="3"/>
  <c r="M1201" i="3"/>
  <c r="N1201" i="3"/>
  <c r="M1200" i="3"/>
  <c r="N1200" i="3"/>
  <c r="M1199" i="3"/>
  <c r="N1199" i="3"/>
  <c r="M1198" i="3"/>
  <c r="N1198" i="3"/>
  <c r="M1197" i="3"/>
  <c r="N1197" i="3"/>
  <c r="M1196" i="3"/>
  <c r="N1196" i="3"/>
  <c r="M1195" i="3"/>
  <c r="N1195" i="3"/>
  <c r="M1194" i="3"/>
  <c r="N1194" i="3"/>
  <c r="M1193" i="3"/>
  <c r="N1193" i="3"/>
  <c r="M1192" i="3"/>
  <c r="N1192" i="3"/>
  <c r="M1191" i="3"/>
  <c r="N1191" i="3"/>
  <c r="M1190" i="3"/>
  <c r="N1190" i="3"/>
  <c r="M1189" i="3"/>
  <c r="N1189" i="3"/>
  <c r="M1188" i="3"/>
  <c r="N1188" i="3"/>
  <c r="M1187" i="3"/>
  <c r="N1187" i="3"/>
  <c r="M1186" i="3"/>
  <c r="N1186" i="3"/>
  <c r="M1185" i="3"/>
  <c r="N1185" i="3"/>
  <c r="M1184" i="3"/>
  <c r="N1184" i="3"/>
  <c r="M1183" i="3"/>
  <c r="N1183" i="3"/>
  <c r="M1182" i="3"/>
  <c r="N1182" i="3"/>
  <c r="M1181" i="3"/>
  <c r="N1181" i="3"/>
  <c r="M1180" i="3"/>
  <c r="N1180" i="3"/>
  <c r="M1179" i="3"/>
  <c r="N1179" i="3"/>
  <c r="M1178" i="3"/>
  <c r="N1178" i="3"/>
  <c r="M1177" i="3"/>
  <c r="N1177" i="3"/>
  <c r="M1176" i="3"/>
  <c r="N1176" i="3"/>
  <c r="M1175" i="3"/>
  <c r="N1175" i="3"/>
  <c r="M1174" i="3"/>
  <c r="N1174" i="3"/>
  <c r="M1173" i="3"/>
  <c r="N1173" i="3"/>
  <c r="M1172" i="3"/>
  <c r="N1172" i="3"/>
  <c r="M1171" i="3"/>
  <c r="N1171" i="3"/>
  <c r="M1170" i="3"/>
  <c r="N1170" i="3"/>
  <c r="M1169" i="3"/>
  <c r="N1169" i="3"/>
  <c r="M1168" i="3"/>
  <c r="N1168" i="3"/>
  <c r="M1167" i="3"/>
  <c r="N1167" i="3"/>
  <c r="M1166" i="3"/>
  <c r="N1166" i="3"/>
  <c r="M1165" i="3"/>
  <c r="N1165" i="3"/>
  <c r="M1164" i="3"/>
  <c r="N1164" i="3"/>
  <c r="M1163" i="3"/>
  <c r="N1163" i="3"/>
  <c r="M1162" i="3"/>
  <c r="N1162" i="3"/>
  <c r="M1161" i="3"/>
  <c r="N1161" i="3"/>
  <c r="M1160" i="3"/>
  <c r="N1160" i="3"/>
  <c r="M1159" i="3"/>
  <c r="N1159" i="3"/>
  <c r="M1158" i="3"/>
  <c r="N1158" i="3"/>
  <c r="M1157" i="3"/>
  <c r="N1157" i="3"/>
  <c r="M1156" i="3"/>
  <c r="N1156" i="3"/>
  <c r="M1155" i="3"/>
  <c r="N1155" i="3"/>
  <c r="M1154" i="3"/>
  <c r="N1154" i="3"/>
  <c r="M1153" i="3"/>
  <c r="N1153" i="3"/>
  <c r="M1152" i="3"/>
  <c r="N1152" i="3"/>
  <c r="M1151" i="3"/>
  <c r="N1151" i="3"/>
  <c r="M1150" i="3"/>
  <c r="N1150" i="3"/>
  <c r="M1149" i="3"/>
  <c r="N1149" i="3"/>
  <c r="M1148" i="3"/>
  <c r="N1148" i="3"/>
  <c r="M1147" i="3"/>
  <c r="N1147" i="3"/>
  <c r="M1146" i="3"/>
  <c r="N1146" i="3"/>
  <c r="M1145" i="3"/>
  <c r="N1145" i="3"/>
  <c r="M1144" i="3"/>
  <c r="N1144" i="3"/>
  <c r="M1143" i="3"/>
  <c r="N1143" i="3"/>
  <c r="M1142" i="3"/>
  <c r="N1142" i="3"/>
  <c r="M1141" i="3"/>
  <c r="N1141" i="3"/>
  <c r="M1140" i="3"/>
  <c r="N1140" i="3"/>
  <c r="M1139" i="3"/>
  <c r="N1139" i="3"/>
  <c r="M1138" i="3"/>
  <c r="N1138" i="3"/>
  <c r="M1137" i="3"/>
  <c r="N1137" i="3"/>
  <c r="M1136" i="3"/>
  <c r="N1136" i="3"/>
  <c r="M1135" i="3"/>
  <c r="N1135" i="3"/>
  <c r="M1134" i="3"/>
  <c r="N1134" i="3"/>
  <c r="M1133" i="3"/>
  <c r="N1133" i="3"/>
  <c r="M1132" i="3"/>
  <c r="N1132" i="3"/>
  <c r="M1131" i="3"/>
  <c r="N1131" i="3"/>
  <c r="M1130" i="3"/>
  <c r="N1130" i="3"/>
  <c r="M1129" i="3"/>
  <c r="N1129" i="3"/>
  <c r="M1128" i="3"/>
  <c r="N1128" i="3"/>
  <c r="M1127" i="3"/>
  <c r="N1127" i="3"/>
  <c r="M1126" i="3"/>
  <c r="N1126" i="3"/>
  <c r="M1125" i="3"/>
  <c r="N1125" i="3"/>
  <c r="M1124" i="3"/>
  <c r="N1124" i="3"/>
  <c r="M1123" i="3"/>
  <c r="N1123" i="3"/>
  <c r="M1122" i="3"/>
  <c r="N1122" i="3"/>
  <c r="M1121" i="3"/>
  <c r="N1121" i="3"/>
  <c r="M1120" i="3"/>
  <c r="N1120" i="3"/>
  <c r="M1119" i="3"/>
  <c r="N1119" i="3"/>
  <c r="M1118" i="3"/>
  <c r="N1118" i="3"/>
  <c r="M1117" i="3"/>
  <c r="N1117" i="3"/>
  <c r="M1116" i="3"/>
  <c r="N1116" i="3"/>
  <c r="M1115" i="3"/>
  <c r="N1115" i="3"/>
  <c r="M1114" i="3"/>
  <c r="N1114" i="3"/>
  <c r="M1113" i="3"/>
  <c r="N1113" i="3"/>
  <c r="M1112" i="3"/>
  <c r="N1112" i="3"/>
  <c r="M1111" i="3"/>
  <c r="N1111" i="3"/>
  <c r="M1110" i="3"/>
  <c r="N1110" i="3"/>
  <c r="M1109" i="3"/>
  <c r="N1109" i="3"/>
  <c r="M1108" i="3"/>
  <c r="N1108" i="3"/>
  <c r="M1107" i="3"/>
  <c r="N1107" i="3"/>
  <c r="M1106" i="3"/>
  <c r="N1106" i="3"/>
  <c r="M1105" i="3"/>
  <c r="N1105" i="3"/>
  <c r="M1104" i="3"/>
  <c r="N1104" i="3"/>
  <c r="M1103" i="3"/>
  <c r="N1103" i="3"/>
  <c r="M1102" i="3"/>
  <c r="N1102" i="3"/>
  <c r="M1101" i="3"/>
  <c r="N1101" i="3"/>
  <c r="M1100" i="3"/>
  <c r="N1100" i="3"/>
  <c r="M1099" i="3"/>
  <c r="N1099" i="3"/>
  <c r="M1098" i="3"/>
  <c r="N1098" i="3"/>
  <c r="M1097" i="3"/>
  <c r="N1097" i="3"/>
  <c r="M1096" i="3"/>
  <c r="N1096" i="3"/>
  <c r="M1095" i="3"/>
  <c r="N1095" i="3"/>
  <c r="M1094" i="3"/>
  <c r="N1094" i="3"/>
  <c r="M1093" i="3"/>
  <c r="N1093" i="3"/>
  <c r="M1092" i="3"/>
  <c r="N1092" i="3"/>
  <c r="M1091" i="3"/>
  <c r="N1091" i="3"/>
  <c r="M1090" i="3"/>
  <c r="N1090" i="3"/>
  <c r="M1089" i="3"/>
  <c r="N1089" i="3"/>
  <c r="M1088" i="3"/>
  <c r="N1088" i="3"/>
  <c r="M1087" i="3"/>
  <c r="N1087" i="3"/>
  <c r="M1086" i="3"/>
  <c r="N1086" i="3"/>
  <c r="M1085" i="3"/>
  <c r="N1085" i="3"/>
  <c r="M1084" i="3"/>
  <c r="N1084" i="3"/>
  <c r="M1083" i="3"/>
  <c r="N1083" i="3"/>
  <c r="M1082" i="3"/>
  <c r="N1082" i="3"/>
  <c r="M1081" i="3"/>
  <c r="N1081" i="3"/>
  <c r="M1080" i="3"/>
  <c r="N1080" i="3"/>
  <c r="M1079" i="3"/>
  <c r="N1079" i="3"/>
  <c r="M1078" i="3"/>
  <c r="N1078" i="3"/>
  <c r="M1077" i="3"/>
  <c r="N1077" i="3"/>
  <c r="M1076" i="3"/>
  <c r="N1076" i="3"/>
  <c r="M1066" i="3"/>
  <c r="Q1066" i="3" s="1"/>
  <c r="S1066" i="3" s="1"/>
  <c r="M1075" i="3"/>
  <c r="S1391" i="3" l="1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298" i="3"/>
  <c r="S1373" i="3"/>
  <c r="S1297" i="3"/>
  <c r="S1367" i="3"/>
  <c r="S1369" i="3"/>
  <c r="S1371" i="3"/>
  <c r="S1357" i="3"/>
  <c r="S1361" i="3"/>
  <c r="S1365" i="3"/>
  <c r="S1359" i="3"/>
  <c r="S1363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Q1339" i="3"/>
  <c r="V1339" i="3"/>
  <c r="W1339" i="3" s="1"/>
  <c r="Q1338" i="3"/>
  <c r="V1338" i="3"/>
  <c r="W1338" i="3" s="1"/>
  <c r="Q1337" i="3"/>
  <c r="V1337" i="3"/>
  <c r="W1337" i="3" s="1"/>
  <c r="Q1336" i="3"/>
  <c r="V1336" i="3"/>
  <c r="W1336" i="3" s="1"/>
  <c r="Q1335" i="3"/>
  <c r="V1335" i="3"/>
  <c r="W1335" i="3" s="1"/>
  <c r="Q1334" i="3"/>
  <c r="V1334" i="3"/>
  <c r="W1334" i="3" s="1"/>
  <c r="Q1333" i="3"/>
  <c r="V1333" i="3"/>
  <c r="W1333" i="3" s="1"/>
  <c r="Q1332" i="3"/>
  <c r="V1332" i="3"/>
  <c r="W1332" i="3" s="1"/>
  <c r="Q1331" i="3"/>
  <c r="V1331" i="3"/>
  <c r="W1331" i="3" s="1"/>
  <c r="Q1330" i="3"/>
  <c r="V1330" i="3"/>
  <c r="W1330" i="3" s="1"/>
  <c r="Q1329" i="3"/>
  <c r="V1329" i="3"/>
  <c r="W1329" i="3" s="1"/>
  <c r="Q1328" i="3"/>
  <c r="V1328" i="3"/>
  <c r="W1328" i="3" s="1"/>
  <c r="Q1327" i="3"/>
  <c r="V1327" i="3"/>
  <c r="W1327" i="3" s="1"/>
  <c r="Q1326" i="3"/>
  <c r="V1326" i="3"/>
  <c r="W1326" i="3" s="1"/>
  <c r="Q1325" i="3"/>
  <c r="V1325" i="3"/>
  <c r="W1325" i="3" s="1"/>
  <c r="Q1324" i="3"/>
  <c r="V1324" i="3"/>
  <c r="W1324" i="3" s="1"/>
  <c r="Q1323" i="3"/>
  <c r="V1323" i="3"/>
  <c r="W1323" i="3" s="1"/>
  <c r="Q1322" i="3"/>
  <c r="V1322" i="3"/>
  <c r="W1322" i="3" s="1"/>
  <c r="Q1321" i="3"/>
  <c r="V1321" i="3"/>
  <c r="W1321" i="3" s="1"/>
  <c r="Q1320" i="3"/>
  <c r="V1320" i="3"/>
  <c r="W1320" i="3" s="1"/>
  <c r="Q1319" i="3"/>
  <c r="V1319" i="3"/>
  <c r="W1319" i="3" s="1"/>
  <c r="Q1318" i="3"/>
  <c r="V1318" i="3"/>
  <c r="W1318" i="3" s="1"/>
  <c r="Q1317" i="3"/>
  <c r="V1317" i="3"/>
  <c r="W1317" i="3" s="1"/>
  <c r="Q1316" i="3"/>
  <c r="V1316" i="3"/>
  <c r="W1316" i="3" s="1"/>
  <c r="Q1315" i="3"/>
  <c r="V1315" i="3"/>
  <c r="W1315" i="3" s="1"/>
  <c r="Q1314" i="3"/>
  <c r="V1314" i="3"/>
  <c r="W1314" i="3" s="1"/>
  <c r="Q1313" i="3"/>
  <c r="V1313" i="3"/>
  <c r="W1313" i="3" s="1"/>
  <c r="Q1312" i="3"/>
  <c r="V1312" i="3"/>
  <c r="W1312" i="3" s="1"/>
  <c r="Q1311" i="3"/>
  <c r="V1311" i="3"/>
  <c r="W1311" i="3" s="1"/>
  <c r="Q1310" i="3"/>
  <c r="V1310" i="3"/>
  <c r="W1310" i="3" s="1"/>
  <c r="Q1309" i="3"/>
  <c r="V1309" i="3"/>
  <c r="W1309" i="3" s="1"/>
  <c r="Q1308" i="3"/>
  <c r="V1308" i="3"/>
  <c r="W1308" i="3" s="1"/>
  <c r="Q1307" i="3"/>
  <c r="V1307" i="3"/>
  <c r="W1307" i="3" s="1"/>
  <c r="Q1306" i="3"/>
  <c r="V1306" i="3"/>
  <c r="W1306" i="3" s="1"/>
  <c r="Q1305" i="3"/>
  <c r="V1305" i="3"/>
  <c r="W1305" i="3" s="1"/>
  <c r="Q1304" i="3"/>
  <c r="V1304" i="3"/>
  <c r="W1304" i="3" s="1"/>
  <c r="Q1303" i="3"/>
  <c r="V1303" i="3"/>
  <c r="W1303" i="3" s="1"/>
  <c r="Q1302" i="3"/>
  <c r="V1302" i="3"/>
  <c r="W1302" i="3" s="1"/>
  <c r="Q1301" i="3"/>
  <c r="V1301" i="3"/>
  <c r="W1301" i="3" s="1"/>
  <c r="Q1300" i="3"/>
  <c r="V1300" i="3"/>
  <c r="W1300" i="3" s="1"/>
  <c r="Q1299" i="3"/>
  <c r="V1299" i="3"/>
  <c r="W1299" i="3" s="1"/>
  <c r="Q1296" i="3"/>
  <c r="V1296" i="3"/>
  <c r="W1296" i="3" s="1"/>
  <c r="Q1295" i="3"/>
  <c r="V1295" i="3"/>
  <c r="W1295" i="3" s="1"/>
  <c r="Q1294" i="3"/>
  <c r="V1294" i="3"/>
  <c r="W1294" i="3" s="1"/>
  <c r="Q1293" i="3"/>
  <c r="V1293" i="3"/>
  <c r="W1293" i="3" s="1"/>
  <c r="Q1292" i="3"/>
  <c r="V1292" i="3"/>
  <c r="W1292" i="3" s="1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AL1074" i="3"/>
  <c r="AK1074" i="3"/>
  <c r="AI1074" i="3"/>
  <c r="AH1074" i="3"/>
  <c r="AG1074" i="3"/>
  <c r="AE1074" i="3"/>
  <c r="R1074" i="3" s="1"/>
  <c r="AD1074" i="3"/>
  <c r="AC1074" i="3"/>
  <c r="P1074" i="3" s="1"/>
  <c r="O1074" i="3"/>
  <c r="K1074" i="3"/>
  <c r="AL1073" i="3"/>
  <c r="AK1073" i="3"/>
  <c r="AI1073" i="3"/>
  <c r="AH1073" i="3"/>
  <c r="AG1073" i="3"/>
  <c r="AE1073" i="3"/>
  <c r="R1073" i="3" s="1"/>
  <c r="AD1073" i="3"/>
  <c r="AC1073" i="3"/>
  <c r="P1073" i="3" s="1"/>
  <c r="O1073" i="3"/>
  <c r="K1073" i="3"/>
  <c r="AL1072" i="3"/>
  <c r="AK1072" i="3"/>
  <c r="AI1072" i="3"/>
  <c r="AH1072" i="3"/>
  <c r="AG1072" i="3"/>
  <c r="AE1072" i="3"/>
  <c r="R1072" i="3" s="1"/>
  <c r="AD1072" i="3"/>
  <c r="AC1072" i="3"/>
  <c r="P1072" i="3" s="1"/>
  <c r="O1072" i="3"/>
  <c r="K1072" i="3"/>
  <c r="AL1071" i="3"/>
  <c r="AK1071" i="3"/>
  <c r="AI1071" i="3"/>
  <c r="AH1071" i="3"/>
  <c r="AG1071" i="3"/>
  <c r="AE1071" i="3"/>
  <c r="R1071" i="3" s="1"/>
  <c r="AD1071" i="3"/>
  <c r="AC1071" i="3"/>
  <c r="P1071" i="3" s="1"/>
  <c r="O1071" i="3"/>
  <c r="K1071" i="3"/>
  <c r="AL1070" i="3"/>
  <c r="AK1070" i="3"/>
  <c r="AI1070" i="3"/>
  <c r="AH1070" i="3"/>
  <c r="AG1070" i="3"/>
  <c r="AE1070" i="3"/>
  <c r="R1070" i="3" s="1"/>
  <c r="AD1070" i="3"/>
  <c r="AC1070" i="3"/>
  <c r="P1070" i="3" s="1"/>
  <c r="O1070" i="3"/>
  <c r="K1070" i="3"/>
  <c r="AL1069" i="3"/>
  <c r="AK1069" i="3"/>
  <c r="AI1069" i="3"/>
  <c r="AH1069" i="3"/>
  <c r="AG1069" i="3"/>
  <c r="AE1069" i="3"/>
  <c r="R1069" i="3" s="1"/>
  <c r="AD1069" i="3"/>
  <c r="AC1069" i="3"/>
  <c r="P1069" i="3" s="1"/>
  <c r="O1069" i="3"/>
  <c r="K1069" i="3"/>
  <c r="AL1068" i="3"/>
  <c r="AK1068" i="3"/>
  <c r="AI1068" i="3"/>
  <c r="AH1068" i="3"/>
  <c r="AG1068" i="3"/>
  <c r="AE1068" i="3"/>
  <c r="R1068" i="3" s="1"/>
  <c r="AD1068" i="3"/>
  <c r="AC1068" i="3"/>
  <c r="P1068" i="3" s="1"/>
  <c r="O1068" i="3"/>
  <c r="K1068" i="3"/>
  <c r="AL1067" i="3"/>
  <c r="AK1067" i="3"/>
  <c r="AI1067" i="3"/>
  <c r="AH1067" i="3"/>
  <c r="AG1067" i="3"/>
  <c r="AE1067" i="3"/>
  <c r="R1067" i="3" s="1"/>
  <c r="AD1067" i="3"/>
  <c r="AC1067" i="3"/>
  <c r="P1067" i="3" s="1"/>
  <c r="O1067" i="3"/>
  <c r="K1067" i="3"/>
  <c r="AL1065" i="3"/>
  <c r="AK1065" i="3"/>
  <c r="AI1065" i="3"/>
  <c r="AH1065" i="3"/>
  <c r="AG1065" i="3"/>
  <c r="AE1065" i="3"/>
  <c r="R1065" i="3" s="1"/>
  <c r="AD1065" i="3"/>
  <c r="AC1065" i="3"/>
  <c r="P1065" i="3" s="1"/>
  <c r="O1065" i="3"/>
  <c r="K1065" i="3"/>
  <c r="AL1064" i="3"/>
  <c r="AK1064" i="3"/>
  <c r="AI1064" i="3"/>
  <c r="AH1064" i="3"/>
  <c r="AG1064" i="3"/>
  <c r="AE1064" i="3"/>
  <c r="R1064" i="3" s="1"/>
  <c r="AD1064" i="3"/>
  <c r="AC1064" i="3"/>
  <c r="P1064" i="3" s="1"/>
  <c r="O1064" i="3"/>
  <c r="K1064" i="3"/>
  <c r="AL1063" i="3"/>
  <c r="AK1063" i="3"/>
  <c r="AI1063" i="3"/>
  <c r="AH1063" i="3"/>
  <c r="AG1063" i="3"/>
  <c r="AE1063" i="3"/>
  <c r="R1063" i="3" s="1"/>
  <c r="AD1063" i="3"/>
  <c r="AC1063" i="3"/>
  <c r="P1063" i="3" s="1"/>
  <c r="O1063" i="3"/>
  <c r="K1063" i="3"/>
  <c r="AL1062" i="3"/>
  <c r="AK1062" i="3"/>
  <c r="AI1062" i="3"/>
  <c r="AH1062" i="3"/>
  <c r="AG1062" i="3"/>
  <c r="AE1062" i="3"/>
  <c r="R1062" i="3" s="1"/>
  <c r="AD1062" i="3"/>
  <c r="AC1062" i="3"/>
  <c r="P1062" i="3" s="1"/>
  <c r="O1062" i="3"/>
  <c r="K1062" i="3"/>
  <c r="AL1061" i="3"/>
  <c r="AK1061" i="3"/>
  <c r="AI1061" i="3"/>
  <c r="AH1061" i="3"/>
  <c r="AG1061" i="3"/>
  <c r="AE1061" i="3"/>
  <c r="R1061" i="3" s="1"/>
  <c r="AD1061" i="3"/>
  <c r="AC1061" i="3"/>
  <c r="P1061" i="3" s="1"/>
  <c r="O1061" i="3"/>
  <c r="K1061" i="3"/>
  <c r="AL1060" i="3"/>
  <c r="AK1060" i="3"/>
  <c r="AI1060" i="3"/>
  <c r="AH1060" i="3"/>
  <c r="AG1060" i="3"/>
  <c r="AE1060" i="3"/>
  <c r="R1060" i="3" s="1"/>
  <c r="AD1060" i="3"/>
  <c r="AC1060" i="3"/>
  <c r="P1060" i="3" s="1"/>
  <c r="O1060" i="3"/>
  <c r="K1060" i="3"/>
  <c r="AL1059" i="3"/>
  <c r="AK1059" i="3"/>
  <c r="AI1059" i="3"/>
  <c r="AH1059" i="3"/>
  <c r="AG1059" i="3"/>
  <c r="AE1059" i="3"/>
  <c r="R1059" i="3" s="1"/>
  <c r="AD1059" i="3"/>
  <c r="AC1059" i="3"/>
  <c r="P1059" i="3" s="1"/>
  <c r="O1059" i="3"/>
  <c r="K1059" i="3"/>
  <c r="S1339" i="3" l="1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5" i="3"/>
  <c r="S1246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Y1071" i="3"/>
  <c r="L1072" i="3"/>
  <c r="N1072" i="3" s="1"/>
  <c r="Y1073" i="3"/>
  <c r="L1074" i="3"/>
  <c r="N1074" i="3" s="1"/>
  <c r="Y1074" i="3"/>
  <c r="L1069" i="3"/>
  <c r="Y1062" i="3"/>
  <c r="S1075" i="3"/>
  <c r="L1067" i="3"/>
  <c r="N1067" i="3" s="1"/>
  <c r="Y1072" i="3"/>
  <c r="L1068" i="3"/>
  <c r="N1068" i="3" s="1"/>
  <c r="Y1070" i="3"/>
  <c r="Y1060" i="3"/>
  <c r="L1065" i="3"/>
  <c r="N1065" i="3" s="1"/>
  <c r="L1071" i="3"/>
  <c r="L1073" i="3"/>
  <c r="L1070" i="3"/>
  <c r="Y1069" i="3"/>
  <c r="Y1068" i="3"/>
  <c r="Y1067" i="3"/>
  <c r="Y1065" i="3"/>
  <c r="L1063" i="3"/>
  <c r="N1063" i="3" s="1"/>
  <c r="L1064" i="3"/>
  <c r="N1064" i="3" s="1"/>
  <c r="Y1064" i="3"/>
  <c r="Y1063" i="3"/>
  <c r="Y1059" i="3"/>
  <c r="L1061" i="3"/>
  <c r="Y1061" i="3"/>
  <c r="L1060" i="3"/>
  <c r="L1062" i="3"/>
  <c r="L1059" i="3"/>
  <c r="M1072" i="3" l="1"/>
  <c r="Q1072" i="3" s="1"/>
  <c r="S1072" i="3" s="1"/>
  <c r="M1067" i="3"/>
  <c r="Q1067" i="3" s="1"/>
  <c r="S1067" i="3" s="1"/>
  <c r="M1068" i="3"/>
  <c r="Q1068" i="3" s="1"/>
  <c r="S1068" i="3" s="1"/>
  <c r="M1074" i="3"/>
  <c r="Q1074" i="3" s="1"/>
  <c r="S1074" i="3" s="1"/>
  <c r="M1063" i="3"/>
  <c r="Q1063" i="3" s="1"/>
  <c r="S1063" i="3" s="1"/>
  <c r="N1069" i="3"/>
  <c r="M1069" i="3"/>
  <c r="M1064" i="3"/>
  <c r="Q1064" i="3" s="1"/>
  <c r="S1064" i="3" s="1"/>
  <c r="M1065" i="3"/>
  <c r="N1073" i="3"/>
  <c r="M1073" i="3"/>
  <c r="N1071" i="3"/>
  <c r="M1071" i="3"/>
  <c r="N1070" i="3"/>
  <c r="M1070" i="3"/>
  <c r="N1061" i="3"/>
  <c r="M1061" i="3"/>
  <c r="N1059" i="3"/>
  <c r="M1059" i="3"/>
  <c r="N1062" i="3"/>
  <c r="M1062" i="3"/>
  <c r="N1060" i="3"/>
  <c r="M1060" i="3"/>
  <c r="Q1069" i="3" l="1"/>
  <c r="S1069" i="3" s="1"/>
  <c r="Q1071" i="3"/>
  <c r="Q1065" i="3"/>
  <c r="S1065" i="3" s="1"/>
  <c r="Q1073" i="3"/>
  <c r="Q1070" i="3"/>
  <c r="Q1061" i="3"/>
  <c r="S1061" i="3" s="1"/>
  <c r="Q1060" i="3"/>
  <c r="Q1059" i="3"/>
  <c r="Q1062" i="3"/>
  <c r="AL1058" i="3"/>
  <c r="AK1058" i="3"/>
  <c r="AI1058" i="3"/>
  <c r="AH1058" i="3"/>
  <c r="AG1058" i="3"/>
  <c r="AE1058" i="3"/>
  <c r="R1058" i="3" s="1"/>
  <c r="AD1058" i="3"/>
  <c r="AC1058" i="3"/>
  <c r="P1058" i="3" s="1"/>
  <c r="O1058" i="3"/>
  <c r="K1058" i="3"/>
  <c r="AL1057" i="3"/>
  <c r="AK1057" i="3"/>
  <c r="AI1057" i="3"/>
  <c r="AH1057" i="3"/>
  <c r="AG1057" i="3"/>
  <c r="AE1057" i="3"/>
  <c r="R1057" i="3" s="1"/>
  <c r="AD1057" i="3"/>
  <c r="AC1057" i="3"/>
  <c r="P1057" i="3" s="1"/>
  <c r="O1057" i="3"/>
  <c r="K1057" i="3"/>
  <c r="AL1056" i="3"/>
  <c r="AK1056" i="3"/>
  <c r="AI1056" i="3"/>
  <c r="AH1056" i="3"/>
  <c r="AG1056" i="3"/>
  <c r="AE1056" i="3"/>
  <c r="R1056" i="3" s="1"/>
  <c r="AD1056" i="3"/>
  <c r="AC1056" i="3"/>
  <c r="L1056" i="3" s="1"/>
  <c r="N1056" i="3" s="1"/>
  <c r="O1056" i="3"/>
  <c r="K1056" i="3"/>
  <c r="K1055" i="3"/>
  <c r="O1055" i="3"/>
  <c r="AC1055" i="3"/>
  <c r="AD1055" i="3"/>
  <c r="AE1055" i="3"/>
  <c r="R1055" i="3" s="1"/>
  <c r="AG1055" i="3"/>
  <c r="AH1055" i="3"/>
  <c r="AI1055" i="3"/>
  <c r="AK1055" i="3"/>
  <c r="AL1055" i="3"/>
  <c r="K1054" i="3"/>
  <c r="O1054" i="3"/>
  <c r="AC1054" i="3"/>
  <c r="AD1054" i="3"/>
  <c r="AE1054" i="3"/>
  <c r="R1054" i="3" s="1"/>
  <c r="AG1054" i="3"/>
  <c r="AH1054" i="3"/>
  <c r="AI1054" i="3"/>
  <c r="AK1054" i="3"/>
  <c r="AL1054" i="3"/>
  <c r="K1053" i="3"/>
  <c r="O1053" i="3"/>
  <c r="AC1053" i="3"/>
  <c r="AD1053" i="3"/>
  <c r="AE1053" i="3"/>
  <c r="R1053" i="3" s="1"/>
  <c r="AG1053" i="3"/>
  <c r="AH1053" i="3"/>
  <c r="AI1053" i="3"/>
  <c r="AK1053" i="3"/>
  <c r="AL1053" i="3"/>
  <c r="K1052" i="3"/>
  <c r="O1052" i="3"/>
  <c r="AC1052" i="3"/>
  <c r="AD1052" i="3"/>
  <c r="AE1052" i="3"/>
  <c r="R1052" i="3" s="1"/>
  <c r="AG1052" i="3"/>
  <c r="AH1052" i="3"/>
  <c r="AI1052" i="3"/>
  <c r="AK1052" i="3"/>
  <c r="AL1052" i="3"/>
  <c r="K1051" i="3"/>
  <c r="O1051" i="3"/>
  <c r="AC1051" i="3"/>
  <c r="AD1051" i="3"/>
  <c r="AE1051" i="3"/>
  <c r="R1051" i="3" s="1"/>
  <c r="AG1051" i="3"/>
  <c r="AH1051" i="3"/>
  <c r="AI1051" i="3"/>
  <c r="AK1051" i="3"/>
  <c r="AL1051" i="3"/>
  <c r="K1050" i="3"/>
  <c r="O1050" i="3"/>
  <c r="AC1050" i="3"/>
  <c r="AD1050" i="3"/>
  <c r="AE1050" i="3"/>
  <c r="R1050" i="3" s="1"/>
  <c r="AG1050" i="3"/>
  <c r="AH1050" i="3"/>
  <c r="AI1050" i="3"/>
  <c r="AK1050" i="3"/>
  <c r="AL1050" i="3"/>
  <c r="K1049" i="3"/>
  <c r="O1049" i="3"/>
  <c r="AC1049" i="3"/>
  <c r="AD1049" i="3"/>
  <c r="AE1049" i="3"/>
  <c r="R1049" i="3" s="1"/>
  <c r="AG1049" i="3"/>
  <c r="AH1049" i="3"/>
  <c r="AI1049" i="3"/>
  <c r="AK1049" i="3"/>
  <c r="AL1049" i="3"/>
  <c r="K1048" i="3"/>
  <c r="O1048" i="3"/>
  <c r="AC1048" i="3"/>
  <c r="AD1048" i="3"/>
  <c r="AE1048" i="3"/>
  <c r="R1048" i="3" s="1"/>
  <c r="AG1048" i="3"/>
  <c r="AH1048" i="3"/>
  <c r="AI1048" i="3"/>
  <c r="AK1048" i="3"/>
  <c r="AL1048" i="3"/>
  <c r="K1047" i="3"/>
  <c r="O1047" i="3"/>
  <c r="AC1047" i="3"/>
  <c r="AD1047" i="3"/>
  <c r="AE1047" i="3"/>
  <c r="R1047" i="3" s="1"/>
  <c r="AG1047" i="3"/>
  <c r="AH1047" i="3"/>
  <c r="AI1047" i="3"/>
  <c r="AK1047" i="3"/>
  <c r="AL1047" i="3"/>
  <c r="K1046" i="3"/>
  <c r="O1046" i="3"/>
  <c r="AC1046" i="3"/>
  <c r="AD1046" i="3"/>
  <c r="AE1046" i="3"/>
  <c r="R1046" i="3" s="1"/>
  <c r="AG1046" i="3"/>
  <c r="AH1046" i="3"/>
  <c r="AI1046" i="3"/>
  <c r="AK1046" i="3"/>
  <c r="AL1046" i="3"/>
  <c r="K1045" i="3"/>
  <c r="O1045" i="3"/>
  <c r="AC1045" i="3"/>
  <c r="AD1045" i="3"/>
  <c r="AE1045" i="3"/>
  <c r="R1045" i="3" s="1"/>
  <c r="AG1045" i="3"/>
  <c r="AH1045" i="3"/>
  <c r="AI1045" i="3"/>
  <c r="AK1045" i="3"/>
  <c r="AL1045" i="3"/>
  <c r="K1044" i="3"/>
  <c r="O1044" i="3"/>
  <c r="AC1044" i="3"/>
  <c r="AD1044" i="3"/>
  <c r="AE1044" i="3"/>
  <c r="R1044" i="3" s="1"/>
  <c r="AG1044" i="3"/>
  <c r="AH1044" i="3"/>
  <c r="AI1044" i="3"/>
  <c r="AK1044" i="3"/>
  <c r="AL1044" i="3"/>
  <c r="K1043" i="3"/>
  <c r="O1043" i="3"/>
  <c r="AC1043" i="3"/>
  <c r="AD1043" i="3"/>
  <c r="AE1043" i="3"/>
  <c r="R1043" i="3" s="1"/>
  <c r="AG1043" i="3"/>
  <c r="AH1043" i="3"/>
  <c r="AI1043" i="3"/>
  <c r="AK1043" i="3"/>
  <c r="AL1043" i="3"/>
  <c r="K1042" i="3"/>
  <c r="O1042" i="3"/>
  <c r="AC1042" i="3"/>
  <c r="AD1042" i="3"/>
  <c r="AE1042" i="3"/>
  <c r="R1042" i="3" s="1"/>
  <c r="AG1042" i="3"/>
  <c r="AH1042" i="3"/>
  <c r="AI1042" i="3"/>
  <c r="AK1042" i="3"/>
  <c r="AL1042" i="3"/>
  <c r="K1041" i="3"/>
  <c r="O1041" i="3"/>
  <c r="AC1041" i="3"/>
  <c r="AD1041" i="3"/>
  <c r="AE1041" i="3"/>
  <c r="R1041" i="3" s="1"/>
  <c r="AG1041" i="3"/>
  <c r="AH1041" i="3"/>
  <c r="AI1041" i="3"/>
  <c r="AK1041" i="3"/>
  <c r="AL1041" i="3"/>
  <c r="K1040" i="3"/>
  <c r="O1040" i="3"/>
  <c r="AC1040" i="3"/>
  <c r="AD1040" i="3"/>
  <c r="AE1040" i="3"/>
  <c r="R1040" i="3" s="1"/>
  <c r="AG1040" i="3"/>
  <c r="AH1040" i="3"/>
  <c r="AI1040" i="3"/>
  <c r="AK1040" i="3"/>
  <c r="AL1040" i="3"/>
  <c r="K1039" i="3"/>
  <c r="O1039" i="3"/>
  <c r="AC1039" i="3"/>
  <c r="AD1039" i="3"/>
  <c r="AE1039" i="3"/>
  <c r="R1039" i="3" s="1"/>
  <c r="AG1039" i="3"/>
  <c r="AH1039" i="3"/>
  <c r="AI1039" i="3"/>
  <c r="AK1039" i="3"/>
  <c r="AL1039" i="3"/>
  <c r="K1038" i="3"/>
  <c r="O1038" i="3"/>
  <c r="AC1038" i="3"/>
  <c r="AD1038" i="3"/>
  <c r="AE1038" i="3"/>
  <c r="R1038" i="3" s="1"/>
  <c r="AG1038" i="3"/>
  <c r="AH1038" i="3"/>
  <c r="AI1038" i="3"/>
  <c r="AK1038" i="3"/>
  <c r="AL1038" i="3"/>
  <c r="K1037" i="3"/>
  <c r="O1037" i="3"/>
  <c r="AC1037" i="3"/>
  <c r="AD1037" i="3"/>
  <c r="AE1037" i="3"/>
  <c r="R1037" i="3" s="1"/>
  <c r="AG1037" i="3"/>
  <c r="AH1037" i="3"/>
  <c r="AI1037" i="3"/>
  <c r="AK1037" i="3"/>
  <c r="AL1037" i="3"/>
  <c r="K1036" i="3"/>
  <c r="O1036" i="3"/>
  <c r="AC1036" i="3"/>
  <c r="AD1036" i="3"/>
  <c r="AE1036" i="3"/>
  <c r="R1036" i="3" s="1"/>
  <c r="AG1036" i="3"/>
  <c r="AH1036" i="3"/>
  <c r="AI1036" i="3"/>
  <c r="AK1036" i="3"/>
  <c r="AL1036" i="3"/>
  <c r="K1035" i="3"/>
  <c r="O1035" i="3"/>
  <c r="AC1035" i="3"/>
  <c r="AD1035" i="3"/>
  <c r="AE1035" i="3"/>
  <c r="R1035" i="3" s="1"/>
  <c r="AG1035" i="3"/>
  <c r="AH1035" i="3"/>
  <c r="AI1035" i="3"/>
  <c r="AK1035" i="3"/>
  <c r="AL1035" i="3"/>
  <c r="K1034" i="3"/>
  <c r="O1034" i="3"/>
  <c r="AC1034" i="3"/>
  <c r="AD1034" i="3"/>
  <c r="AE1034" i="3"/>
  <c r="R1034" i="3" s="1"/>
  <c r="AG1034" i="3"/>
  <c r="AH1034" i="3"/>
  <c r="AI1034" i="3"/>
  <c r="AK1034" i="3"/>
  <c r="AL1034" i="3"/>
  <c r="K1033" i="3"/>
  <c r="O1033" i="3"/>
  <c r="AC1033" i="3"/>
  <c r="AD1033" i="3"/>
  <c r="AE1033" i="3"/>
  <c r="R1033" i="3" s="1"/>
  <c r="AG1033" i="3"/>
  <c r="AH1033" i="3"/>
  <c r="AI1033" i="3"/>
  <c r="AK1033" i="3"/>
  <c r="AL1033" i="3"/>
  <c r="K1032" i="3"/>
  <c r="O1032" i="3"/>
  <c r="AC1032" i="3"/>
  <c r="AD1032" i="3"/>
  <c r="AE1032" i="3"/>
  <c r="R1032" i="3" s="1"/>
  <c r="AG1032" i="3"/>
  <c r="AH1032" i="3"/>
  <c r="AI1032" i="3"/>
  <c r="AK1032" i="3"/>
  <c r="AL1032" i="3"/>
  <c r="K1031" i="3"/>
  <c r="O1031" i="3"/>
  <c r="AC1031" i="3"/>
  <c r="AD1031" i="3"/>
  <c r="AE1031" i="3"/>
  <c r="R1031" i="3" s="1"/>
  <c r="AG1031" i="3"/>
  <c r="AH1031" i="3"/>
  <c r="AI1031" i="3"/>
  <c r="AK1031" i="3"/>
  <c r="AL1031" i="3"/>
  <c r="AL1030" i="3"/>
  <c r="AK1030" i="3"/>
  <c r="AI1030" i="3"/>
  <c r="AH1030" i="3"/>
  <c r="AG1030" i="3"/>
  <c r="AE1030" i="3"/>
  <c r="R1030" i="3" s="1"/>
  <c r="AD1030" i="3"/>
  <c r="AC1030" i="3"/>
  <c r="P1030" i="3" s="1"/>
  <c r="O1030" i="3"/>
  <c r="K1030" i="3"/>
  <c r="P1056" i="3" l="1"/>
  <c r="S1073" i="3"/>
  <c r="S1071" i="3"/>
  <c r="S1070" i="3"/>
  <c r="L1058" i="3"/>
  <c r="N1058" i="3" s="1"/>
  <c r="Y1058" i="3"/>
  <c r="Y1030" i="3"/>
  <c r="S1059" i="3"/>
  <c r="S1062" i="3"/>
  <c r="S1060" i="3"/>
  <c r="Y1057" i="3"/>
  <c r="L1057" i="3"/>
  <c r="Y1056" i="3"/>
  <c r="M1056" i="3"/>
  <c r="Q1056" i="3" s="1"/>
  <c r="Y1055" i="3"/>
  <c r="L1055" i="3"/>
  <c r="P1055" i="3"/>
  <c r="Y1054" i="3"/>
  <c r="L1054" i="3"/>
  <c r="P1054" i="3"/>
  <c r="Y1053" i="3"/>
  <c r="L1053" i="3"/>
  <c r="P1053" i="3"/>
  <c r="Y1052" i="3"/>
  <c r="L1052" i="3"/>
  <c r="P1052" i="3"/>
  <c r="Y1051" i="3"/>
  <c r="L1051" i="3"/>
  <c r="P1051" i="3"/>
  <c r="Y1050" i="3"/>
  <c r="L1050" i="3"/>
  <c r="P1050" i="3"/>
  <c r="Y1049" i="3"/>
  <c r="L1049" i="3"/>
  <c r="P1049" i="3"/>
  <c r="Y1048" i="3"/>
  <c r="L1048" i="3"/>
  <c r="P1048" i="3"/>
  <c r="Y1047" i="3"/>
  <c r="L1047" i="3"/>
  <c r="P1047" i="3"/>
  <c r="Y1046" i="3"/>
  <c r="L1046" i="3"/>
  <c r="P1046" i="3"/>
  <c r="Y1045" i="3"/>
  <c r="L1045" i="3"/>
  <c r="P1045" i="3"/>
  <c r="Y1044" i="3"/>
  <c r="L1044" i="3"/>
  <c r="P1044" i="3"/>
  <c r="Y1043" i="3"/>
  <c r="L1043" i="3"/>
  <c r="P1043" i="3"/>
  <c r="Y1042" i="3"/>
  <c r="L1042" i="3"/>
  <c r="P1042" i="3"/>
  <c r="Y1041" i="3"/>
  <c r="L1041" i="3"/>
  <c r="P1041" i="3"/>
  <c r="Y1040" i="3"/>
  <c r="L1040" i="3"/>
  <c r="P1040" i="3"/>
  <c r="Y1039" i="3"/>
  <c r="L1039" i="3"/>
  <c r="P1039" i="3"/>
  <c r="Y1038" i="3"/>
  <c r="L1038" i="3"/>
  <c r="P1038" i="3"/>
  <c r="Y1037" i="3"/>
  <c r="L1037" i="3"/>
  <c r="P1037" i="3"/>
  <c r="Y1036" i="3"/>
  <c r="L1036" i="3"/>
  <c r="P1036" i="3"/>
  <c r="Y1035" i="3"/>
  <c r="L1035" i="3"/>
  <c r="P1035" i="3"/>
  <c r="Y1034" i="3"/>
  <c r="L1034" i="3"/>
  <c r="P1034" i="3"/>
  <c r="Y1033" i="3"/>
  <c r="L1033" i="3"/>
  <c r="P1033" i="3"/>
  <c r="Y1032" i="3"/>
  <c r="L1032" i="3"/>
  <c r="P1032" i="3"/>
  <c r="Y1031" i="3"/>
  <c r="L1031" i="3"/>
  <c r="P1031" i="3"/>
  <c r="L1030" i="3"/>
  <c r="M1058" i="3" l="1"/>
  <c r="Q1058" i="3" s="1"/>
  <c r="S1058" i="3" s="1"/>
  <c r="N1057" i="3"/>
  <c r="M1057" i="3"/>
  <c r="S1056" i="3"/>
  <c r="M1055" i="3"/>
  <c r="N1055" i="3"/>
  <c r="M1054" i="3"/>
  <c r="N1054" i="3"/>
  <c r="M1053" i="3"/>
  <c r="N1053" i="3"/>
  <c r="M1052" i="3"/>
  <c r="N1052" i="3"/>
  <c r="M1051" i="3"/>
  <c r="N1051" i="3"/>
  <c r="M1050" i="3"/>
  <c r="N1050" i="3"/>
  <c r="M1049" i="3"/>
  <c r="N1049" i="3"/>
  <c r="M1048" i="3"/>
  <c r="N1048" i="3"/>
  <c r="M1047" i="3"/>
  <c r="N1047" i="3"/>
  <c r="M1046" i="3"/>
  <c r="N1046" i="3"/>
  <c r="M1045" i="3"/>
  <c r="N1045" i="3"/>
  <c r="M1044" i="3"/>
  <c r="N1044" i="3"/>
  <c r="M1043" i="3"/>
  <c r="N1043" i="3"/>
  <c r="M1042" i="3"/>
  <c r="N1042" i="3"/>
  <c r="M1041" i="3"/>
  <c r="N1041" i="3"/>
  <c r="M1040" i="3"/>
  <c r="N1040" i="3"/>
  <c r="M1039" i="3"/>
  <c r="N1039" i="3"/>
  <c r="M1038" i="3"/>
  <c r="N1038" i="3"/>
  <c r="M1037" i="3"/>
  <c r="N1037" i="3"/>
  <c r="M1036" i="3"/>
  <c r="N1036" i="3"/>
  <c r="M1035" i="3"/>
  <c r="N1035" i="3"/>
  <c r="M1034" i="3"/>
  <c r="N1034" i="3"/>
  <c r="M1033" i="3"/>
  <c r="N1033" i="3"/>
  <c r="M1032" i="3"/>
  <c r="N1032" i="3"/>
  <c r="M1031" i="3"/>
  <c r="N1031" i="3"/>
  <c r="N1030" i="3"/>
  <c r="M1030" i="3"/>
  <c r="Q1057" i="3" l="1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AL1029" i="3"/>
  <c r="AK1029" i="3"/>
  <c r="AI1029" i="3"/>
  <c r="AH1029" i="3"/>
  <c r="AG1029" i="3"/>
  <c r="AE1029" i="3"/>
  <c r="R1029" i="3" s="1"/>
  <c r="AD1029" i="3"/>
  <c r="AC1029" i="3"/>
  <c r="P1029" i="3" s="1"/>
  <c r="O1029" i="3"/>
  <c r="K1029" i="3"/>
  <c r="AL1028" i="3"/>
  <c r="AK1028" i="3"/>
  <c r="AI1028" i="3"/>
  <c r="AH1028" i="3"/>
  <c r="AG1028" i="3"/>
  <c r="AE1028" i="3"/>
  <c r="R1028" i="3" s="1"/>
  <c r="AD1028" i="3"/>
  <c r="AC1028" i="3"/>
  <c r="P1028" i="3" s="1"/>
  <c r="O1028" i="3"/>
  <c r="K1028" i="3"/>
  <c r="AL1027" i="3"/>
  <c r="AK1027" i="3"/>
  <c r="AI1027" i="3"/>
  <c r="AH1027" i="3"/>
  <c r="AG1027" i="3"/>
  <c r="AE1027" i="3"/>
  <c r="R1027" i="3" s="1"/>
  <c r="AD1027" i="3"/>
  <c r="AC1027" i="3"/>
  <c r="P1027" i="3" s="1"/>
  <c r="O1027" i="3"/>
  <c r="K1027" i="3"/>
  <c r="AL1026" i="3"/>
  <c r="AK1026" i="3"/>
  <c r="AI1026" i="3"/>
  <c r="AH1026" i="3"/>
  <c r="AG1026" i="3"/>
  <c r="AE1026" i="3"/>
  <c r="R1026" i="3" s="1"/>
  <c r="AD1026" i="3"/>
  <c r="AC1026" i="3"/>
  <c r="P1026" i="3" s="1"/>
  <c r="O1026" i="3"/>
  <c r="K1026" i="3"/>
  <c r="AL1025" i="3"/>
  <c r="AK1025" i="3"/>
  <c r="AI1025" i="3"/>
  <c r="AH1025" i="3"/>
  <c r="AG1025" i="3"/>
  <c r="AE1025" i="3"/>
  <c r="R1025" i="3" s="1"/>
  <c r="AD1025" i="3"/>
  <c r="AC1025" i="3"/>
  <c r="P1025" i="3" s="1"/>
  <c r="O1025" i="3"/>
  <c r="K1025" i="3"/>
  <c r="AL1024" i="3"/>
  <c r="AK1024" i="3"/>
  <c r="AI1024" i="3"/>
  <c r="AH1024" i="3"/>
  <c r="AG1024" i="3"/>
  <c r="AE1024" i="3"/>
  <c r="R1024" i="3" s="1"/>
  <c r="AD1024" i="3"/>
  <c r="AC1024" i="3"/>
  <c r="P1024" i="3" s="1"/>
  <c r="O1024" i="3"/>
  <c r="K1024" i="3"/>
  <c r="AL1023" i="3"/>
  <c r="AK1023" i="3"/>
  <c r="AI1023" i="3"/>
  <c r="AH1023" i="3"/>
  <c r="AG1023" i="3"/>
  <c r="AE1023" i="3"/>
  <c r="R1023" i="3" s="1"/>
  <c r="AD1023" i="3"/>
  <c r="AC1023" i="3"/>
  <c r="P1023" i="3" s="1"/>
  <c r="O1023" i="3"/>
  <c r="K1023" i="3"/>
  <c r="AL1022" i="3"/>
  <c r="AK1022" i="3"/>
  <c r="AI1022" i="3"/>
  <c r="AH1022" i="3"/>
  <c r="AG1022" i="3"/>
  <c r="AE1022" i="3"/>
  <c r="R1022" i="3" s="1"/>
  <c r="AD1022" i="3"/>
  <c r="AC1022" i="3"/>
  <c r="P1022" i="3" s="1"/>
  <c r="O1022" i="3"/>
  <c r="K1022" i="3"/>
  <c r="AL1021" i="3"/>
  <c r="AK1021" i="3"/>
  <c r="AI1021" i="3"/>
  <c r="AH1021" i="3"/>
  <c r="AG1021" i="3"/>
  <c r="AE1021" i="3"/>
  <c r="R1021" i="3" s="1"/>
  <c r="AD1021" i="3"/>
  <c r="AC1021" i="3"/>
  <c r="P1021" i="3" s="1"/>
  <c r="O1021" i="3"/>
  <c r="K1021" i="3"/>
  <c r="AL1020" i="3"/>
  <c r="AK1020" i="3"/>
  <c r="AI1020" i="3"/>
  <c r="AH1020" i="3"/>
  <c r="AG1020" i="3"/>
  <c r="AE1020" i="3"/>
  <c r="R1020" i="3" s="1"/>
  <c r="AD1020" i="3"/>
  <c r="AC1020" i="3"/>
  <c r="P1020" i="3" s="1"/>
  <c r="O1020" i="3"/>
  <c r="K1020" i="3"/>
  <c r="AL1019" i="3"/>
  <c r="AK1019" i="3"/>
  <c r="AI1019" i="3"/>
  <c r="AH1019" i="3"/>
  <c r="AG1019" i="3"/>
  <c r="AE1019" i="3"/>
  <c r="R1019" i="3" s="1"/>
  <c r="AD1019" i="3"/>
  <c r="AC1019" i="3"/>
  <c r="P1019" i="3" s="1"/>
  <c r="O1019" i="3"/>
  <c r="K1019" i="3"/>
  <c r="AL1018" i="3"/>
  <c r="AK1018" i="3"/>
  <c r="AI1018" i="3"/>
  <c r="AH1018" i="3"/>
  <c r="AG1018" i="3"/>
  <c r="AE1018" i="3"/>
  <c r="R1018" i="3" s="1"/>
  <c r="AD1018" i="3"/>
  <c r="AC1018" i="3"/>
  <c r="P1018" i="3" s="1"/>
  <c r="O1018" i="3"/>
  <c r="K1018" i="3"/>
  <c r="AL1017" i="3"/>
  <c r="AK1017" i="3"/>
  <c r="AI1017" i="3"/>
  <c r="AH1017" i="3"/>
  <c r="AG1017" i="3"/>
  <c r="AE1017" i="3"/>
  <c r="R1017" i="3" s="1"/>
  <c r="AD1017" i="3"/>
  <c r="AC1017" i="3"/>
  <c r="P1017" i="3" s="1"/>
  <c r="O1017" i="3"/>
  <c r="K1017" i="3"/>
  <c r="AL1016" i="3"/>
  <c r="AK1016" i="3"/>
  <c r="AI1016" i="3"/>
  <c r="AH1016" i="3"/>
  <c r="AG1016" i="3"/>
  <c r="AE1016" i="3"/>
  <c r="R1016" i="3" s="1"/>
  <c r="AD1016" i="3"/>
  <c r="AC1016" i="3"/>
  <c r="P1016" i="3" s="1"/>
  <c r="O1016" i="3"/>
  <c r="K1016" i="3"/>
  <c r="AL1015" i="3"/>
  <c r="AK1015" i="3"/>
  <c r="AI1015" i="3"/>
  <c r="AH1015" i="3"/>
  <c r="AG1015" i="3"/>
  <c r="AE1015" i="3"/>
  <c r="R1015" i="3" s="1"/>
  <c r="AD1015" i="3"/>
  <c r="AC1015" i="3"/>
  <c r="P1015" i="3" s="1"/>
  <c r="O1015" i="3"/>
  <c r="K1015" i="3"/>
  <c r="AL1014" i="3"/>
  <c r="AK1014" i="3"/>
  <c r="AI1014" i="3"/>
  <c r="AH1014" i="3"/>
  <c r="AG1014" i="3"/>
  <c r="AE1014" i="3"/>
  <c r="R1014" i="3" s="1"/>
  <c r="AD1014" i="3"/>
  <c r="AC1014" i="3"/>
  <c r="P1014" i="3" s="1"/>
  <c r="O1014" i="3"/>
  <c r="K1014" i="3"/>
  <c r="AL1013" i="3"/>
  <c r="AK1013" i="3"/>
  <c r="AI1013" i="3"/>
  <c r="AH1013" i="3"/>
  <c r="AG1013" i="3"/>
  <c r="AE1013" i="3"/>
  <c r="R1013" i="3" s="1"/>
  <c r="AD1013" i="3"/>
  <c r="AC1013" i="3"/>
  <c r="P1013" i="3" s="1"/>
  <c r="O1013" i="3"/>
  <c r="K1013" i="3"/>
  <c r="AL1012" i="3"/>
  <c r="AK1012" i="3"/>
  <c r="AI1012" i="3"/>
  <c r="AH1012" i="3"/>
  <c r="AG1012" i="3"/>
  <c r="AE1012" i="3"/>
  <c r="R1012" i="3" s="1"/>
  <c r="AD1012" i="3"/>
  <c r="AC1012" i="3"/>
  <c r="P1012" i="3" s="1"/>
  <c r="O1012" i="3"/>
  <c r="K1012" i="3"/>
  <c r="AL1011" i="3"/>
  <c r="AK1011" i="3"/>
  <c r="AI1011" i="3"/>
  <c r="AH1011" i="3"/>
  <c r="AG1011" i="3"/>
  <c r="AE1011" i="3"/>
  <c r="R1011" i="3" s="1"/>
  <c r="AD1011" i="3"/>
  <c r="AC1011" i="3"/>
  <c r="P1011" i="3" s="1"/>
  <c r="O1011" i="3"/>
  <c r="K1011" i="3"/>
  <c r="AL1010" i="3"/>
  <c r="AK1010" i="3"/>
  <c r="AI1010" i="3"/>
  <c r="AH1010" i="3"/>
  <c r="AG1010" i="3"/>
  <c r="AE1010" i="3"/>
  <c r="R1010" i="3" s="1"/>
  <c r="AD1010" i="3"/>
  <c r="AC1010" i="3"/>
  <c r="P1010" i="3" s="1"/>
  <c r="O1010" i="3"/>
  <c r="K1010" i="3"/>
  <c r="AL1009" i="3"/>
  <c r="AK1009" i="3"/>
  <c r="AI1009" i="3"/>
  <c r="AH1009" i="3"/>
  <c r="AG1009" i="3"/>
  <c r="AE1009" i="3"/>
  <c r="R1009" i="3" s="1"/>
  <c r="AD1009" i="3"/>
  <c r="AC1009" i="3"/>
  <c r="P1009" i="3" s="1"/>
  <c r="O1009" i="3"/>
  <c r="K1009" i="3"/>
  <c r="K1008" i="3"/>
  <c r="O1008" i="3"/>
  <c r="AC1008" i="3"/>
  <c r="AD1008" i="3"/>
  <c r="AE1008" i="3"/>
  <c r="R1008" i="3" s="1"/>
  <c r="AG1008" i="3"/>
  <c r="AH1008" i="3"/>
  <c r="AI1008" i="3"/>
  <c r="AK1008" i="3"/>
  <c r="AL1008" i="3"/>
  <c r="K1007" i="3"/>
  <c r="O1007" i="3"/>
  <c r="AC1007" i="3"/>
  <c r="AD1007" i="3"/>
  <c r="AE1007" i="3"/>
  <c r="R1007" i="3" s="1"/>
  <c r="AG1007" i="3"/>
  <c r="AH1007" i="3"/>
  <c r="AI1007" i="3"/>
  <c r="AK1007" i="3"/>
  <c r="AL1007" i="3"/>
  <c r="K1006" i="3"/>
  <c r="O1006" i="3"/>
  <c r="AC1006" i="3"/>
  <c r="AD1006" i="3"/>
  <c r="AE1006" i="3"/>
  <c r="R1006" i="3" s="1"/>
  <c r="AG1006" i="3"/>
  <c r="AH1006" i="3"/>
  <c r="AI1006" i="3"/>
  <c r="AK1006" i="3"/>
  <c r="AL1006" i="3"/>
  <c r="K1005" i="3"/>
  <c r="O1005" i="3"/>
  <c r="AC1005" i="3"/>
  <c r="AD1005" i="3"/>
  <c r="AE1005" i="3"/>
  <c r="R1005" i="3" s="1"/>
  <c r="AG1005" i="3"/>
  <c r="AH1005" i="3"/>
  <c r="AI1005" i="3"/>
  <c r="AK1005" i="3"/>
  <c r="AL1005" i="3"/>
  <c r="K1004" i="3"/>
  <c r="O1004" i="3"/>
  <c r="AC1004" i="3"/>
  <c r="AD1004" i="3"/>
  <c r="AE1004" i="3"/>
  <c r="R1004" i="3" s="1"/>
  <c r="AG1004" i="3"/>
  <c r="AH1004" i="3"/>
  <c r="AI1004" i="3"/>
  <c r="AK1004" i="3"/>
  <c r="AL1004" i="3"/>
  <c r="K1003" i="3"/>
  <c r="O1003" i="3"/>
  <c r="AC1003" i="3"/>
  <c r="AD1003" i="3"/>
  <c r="AE1003" i="3"/>
  <c r="R1003" i="3" s="1"/>
  <c r="AG1003" i="3"/>
  <c r="AH1003" i="3"/>
  <c r="AI1003" i="3"/>
  <c r="AK1003" i="3"/>
  <c r="AL1003" i="3"/>
  <c r="K1002" i="3"/>
  <c r="O1002" i="3"/>
  <c r="AC1002" i="3"/>
  <c r="AD1002" i="3"/>
  <c r="AE1002" i="3"/>
  <c r="R1002" i="3" s="1"/>
  <c r="AG1002" i="3"/>
  <c r="AH1002" i="3"/>
  <c r="AI1002" i="3"/>
  <c r="AK1002" i="3"/>
  <c r="AL1002" i="3"/>
  <c r="K1001" i="3"/>
  <c r="O1001" i="3"/>
  <c r="AC1001" i="3"/>
  <c r="AD1001" i="3"/>
  <c r="AE1001" i="3"/>
  <c r="R1001" i="3" s="1"/>
  <c r="AG1001" i="3"/>
  <c r="AH1001" i="3"/>
  <c r="AI1001" i="3"/>
  <c r="AK1001" i="3"/>
  <c r="AL1001" i="3"/>
  <c r="K1000" i="3"/>
  <c r="O1000" i="3"/>
  <c r="AC1000" i="3"/>
  <c r="AD1000" i="3"/>
  <c r="AE1000" i="3"/>
  <c r="R1000" i="3" s="1"/>
  <c r="AG1000" i="3"/>
  <c r="AH1000" i="3"/>
  <c r="AI1000" i="3"/>
  <c r="AK1000" i="3"/>
  <c r="AL1000" i="3"/>
  <c r="K999" i="3"/>
  <c r="O999" i="3"/>
  <c r="AC999" i="3"/>
  <c r="AD999" i="3"/>
  <c r="AE999" i="3"/>
  <c r="R999" i="3" s="1"/>
  <c r="AG999" i="3"/>
  <c r="AH999" i="3"/>
  <c r="AI999" i="3"/>
  <c r="AK999" i="3"/>
  <c r="AL999" i="3"/>
  <c r="K998" i="3"/>
  <c r="O998" i="3"/>
  <c r="AC998" i="3"/>
  <c r="AD998" i="3"/>
  <c r="AE998" i="3"/>
  <c r="R998" i="3" s="1"/>
  <c r="AG998" i="3"/>
  <c r="AH998" i="3"/>
  <c r="AI998" i="3"/>
  <c r="AK998" i="3"/>
  <c r="AL998" i="3"/>
  <c r="K997" i="3"/>
  <c r="O997" i="3"/>
  <c r="AC997" i="3"/>
  <c r="AD997" i="3"/>
  <c r="AE997" i="3"/>
  <c r="R997" i="3" s="1"/>
  <c r="AG997" i="3"/>
  <c r="AH997" i="3"/>
  <c r="AI997" i="3"/>
  <c r="AK997" i="3"/>
  <c r="AL997" i="3"/>
  <c r="K996" i="3"/>
  <c r="O996" i="3"/>
  <c r="AC996" i="3"/>
  <c r="AD996" i="3"/>
  <c r="AE996" i="3"/>
  <c r="R996" i="3" s="1"/>
  <c r="AG996" i="3"/>
  <c r="AH996" i="3"/>
  <c r="AI996" i="3"/>
  <c r="AK996" i="3"/>
  <c r="AL996" i="3"/>
  <c r="K995" i="3"/>
  <c r="O995" i="3"/>
  <c r="AC995" i="3"/>
  <c r="AD995" i="3"/>
  <c r="AE995" i="3"/>
  <c r="R995" i="3" s="1"/>
  <c r="AG995" i="3"/>
  <c r="AH995" i="3"/>
  <c r="AI995" i="3"/>
  <c r="AK995" i="3"/>
  <c r="AL995" i="3"/>
  <c r="K994" i="3"/>
  <c r="O994" i="3"/>
  <c r="AC994" i="3"/>
  <c r="AD994" i="3"/>
  <c r="AE994" i="3"/>
  <c r="R994" i="3" s="1"/>
  <c r="AG994" i="3"/>
  <c r="AH994" i="3"/>
  <c r="AI994" i="3"/>
  <c r="AK994" i="3"/>
  <c r="AL994" i="3"/>
  <c r="K993" i="3"/>
  <c r="O993" i="3"/>
  <c r="AC993" i="3"/>
  <c r="AD993" i="3"/>
  <c r="AE993" i="3"/>
  <c r="R993" i="3" s="1"/>
  <c r="AG993" i="3"/>
  <c r="AH993" i="3"/>
  <c r="AI993" i="3"/>
  <c r="AK993" i="3"/>
  <c r="AL993" i="3"/>
  <c r="K992" i="3"/>
  <c r="O992" i="3"/>
  <c r="AC992" i="3"/>
  <c r="AD992" i="3"/>
  <c r="AE992" i="3"/>
  <c r="R992" i="3" s="1"/>
  <c r="AG992" i="3"/>
  <c r="AH992" i="3"/>
  <c r="AI992" i="3"/>
  <c r="AK992" i="3"/>
  <c r="AL992" i="3"/>
  <c r="K991" i="3"/>
  <c r="O991" i="3"/>
  <c r="AC991" i="3"/>
  <c r="AD991" i="3"/>
  <c r="AE991" i="3"/>
  <c r="R991" i="3" s="1"/>
  <c r="AG991" i="3"/>
  <c r="AH991" i="3"/>
  <c r="AI991" i="3"/>
  <c r="AK991" i="3"/>
  <c r="AL991" i="3"/>
  <c r="K990" i="3"/>
  <c r="O990" i="3"/>
  <c r="AC990" i="3"/>
  <c r="AD990" i="3"/>
  <c r="AE990" i="3"/>
  <c r="R990" i="3" s="1"/>
  <c r="AG990" i="3"/>
  <c r="AH990" i="3"/>
  <c r="AI990" i="3"/>
  <c r="AK990" i="3"/>
  <c r="AL990" i="3"/>
  <c r="K989" i="3"/>
  <c r="O989" i="3"/>
  <c r="AC989" i="3"/>
  <c r="AD989" i="3"/>
  <c r="AE989" i="3"/>
  <c r="R989" i="3" s="1"/>
  <c r="AG989" i="3"/>
  <c r="AH989" i="3"/>
  <c r="AI989" i="3"/>
  <c r="AK989" i="3"/>
  <c r="AL989" i="3"/>
  <c r="K988" i="3"/>
  <c r="O988" i="3"/>
  <c r="AC988" i="3"/>
  <c r="AD988" i="3"/>
  <c r="AE988" i="3"/>
  <c r="R988" i="3" s="1"/>
  <c r="AG988" i="3"/>
  <c r="AH988" i="3"/>
  <c r="AI988" i="3"/>
  <c r="AK988" i="3"/>
  <c r="AL988" i="3"/>
  <c r="K987" i="3"/>
  <c r="O987" i="3"/>
  <c r="AC987" i="3"/>
  <c r="AD987" i="3"/>
  <c r="AE987" i="3"/>
  <c r="R987" i="3" s="1"/>
  <c r="AG987" i="3"/>
  <c r="AH987" i="3"/>
  <c r="AI987" i="3"/>
  <c r="AK987" i="3"/>
  <c r="AL987" i="3"/>
  <c r="K986" i="3"/>
  <c r="O986" i="3"/>
  <c r="AC986" i="3"/>
  <c r="AD986" i="3"/>
  <c r="AE986" i="3"/>
  <c r="R986" i="3" s="1"/>
  <c r="AG986" i="3"/>
  <c r="AH986" i="3"/>
  <c r="AI986" i="3"/>
  <c r="AK986" i="3"/>
  <c r="AL986" i="3"/>
  <c r="K985" i="3"/>
  <c r="O985" i="3"/>
  <c r="AC985" i="3"/>
  <c r="AD985" i="3"/>
  <c r="AE985" i="3"/>
  <c r="R985" i="3" s="1"/>
  <c r="AG985" i="3"/>
  <c r="AH985" i="3"/>
  <c r="AI985" i="3"/>
  <c r="AK985" i="3"/>
  <c r="AL985" i="3"/>
  <c r="E127" i="1"/>
  <c r="E74" i="1"/>
  <c r="E92" i="1"/>
  <c r="AF996" i="3" s="1"/>
  <c r="E27" i="1"/>
  <c r="E40" i="1"/>
  <c r="AF1156" i="3" s="1"/>
  <c r="E93" i="1"/>
  <c r="E94" i="1"/>
  <c r="E48" i="1"/>
  <c r="AF1039" i="3" s="1"/>
  <c r="E95" i="1"/>
  <c r="AF1055" i="3" s="1"/>
  <c r="E96" i="1"/>
  <c r="E97" i="1"/>
  <c r="AF1091" i="3" s="1"/>
  <c r="E185" i="1"/>
  <c r="AF1163" i="3" s="1"/>
  <c r="E98" i="1"/>
  <c r="AF1143" i="3" s="1"/>
  <c r="E99" i="1"/>
  <c r="AF1168" i="3" s="1"/>
  <c r="K984" i="3"/>
  <c r="O984" i="3"/>
  <c r="AC984" i="3"/>
  <c r="AD984" i="3"/>
  <c r="AE984" i="3"/>
  <c r="R984" i="3" s="1"/>
  <c r="AG984" i="3"/>
  <c r="AH984" i="3"/>
  <c r="AI984" i="3"/>
  <c r="AK984" i="3"/>
  <c r="AL984" i="3"/>
  <c r="K983" i="3"/>
  <c r="O983" i="3"/>
  <c r="AC983" i="3"/>
  <c r="AD983" i="3"/>
  <c r="AE983" i="3"/>
  <c r="R983" i="3" s="1"/>
  <c r="AG983" i="3"/>
  <c r="AH983" i="3"/>
  <c r="AI983" i="3"/>
  <c r="AK983" i="3"/>
  <c r="AL983" i="3"/>
  <c r="K982" i="3"/>
  <c r="O982" i="3"/>
  <c r="AC982" i="3"/>
  <c r="AD982" i="3"/>
  <c r="AE982" i="3"/>
  <c r="R982" i="3" s="1"/>
  <c r="AG982" i="3"/>
  <c r="AH982" i="3"/>
  <c r="AI982" i="3"/>
  <c r="AK982" i="3"/>
  <c r="AL982" i="3"/>
  <c r="K981" i="3"/>
  <c r="O981" i="3"/>
  <c r="AC981" i="3"/>
  <c r="AD981" i="3"/>
  <c r="AE981" i="3"/>
  <c r="R981" i="3" s="1"/>
  <c r="AG981" i="3"/>
  <c r="AH981" i="3"/>
  <c r="AI981" i="3"/>
  <c r="AK981" i="3"/>
  <c r="AL981" i="3"/>
  <c r="K980" i="3"/>
  <c r="O980" i="3"/>
  <c r="AC980" i="3"/>
  <c r="AD980" i="3"/>
  <c r="AE980" i="3"/>
  <c r="R980" i="3" s="1"/>
  <c r="AG980" i="3"/>
  <c r="AH980" i="3"/>
  <c r="AI980" i="3"/>
  <c r="AK980" i="3"/>
  <c r="AL980" i="3"/>
  <c r="K979" i="3"/>
  <c r="O979" i="3"/>
  <c r="AC979" i="3"/>
  <c r="AD979" i="3"/>
  <c r="AE979" i="3"/>
  <c r="R979" i="3" s="1"/>
  <c r="AG979" i="3"/>
  <c r="AH979" i="3"/>
  <c r="AI979" i="3"/>
  <c r="AK979" i="3"/>
  <c r="AL979" i="3"/>
  <c r="K978" i="3"/>
  <c r="O978" i="3"/>
  <c r="AC978" i="3"/>
  <c r="AD978" i="3"/>
  <c r="AE978" i="3"/>
  <c r="R978" i="3" s="1"/>
  <c r="AG978" i="3"/>
  <c r="AH978" i="3"/>
  <c r="AI978" i="3"/>
  <c r="AK978" i="3"/>
  <c r="AL978" i="3"/>
  <c r="K977" i="3"/>
  <c r="O977" i="3"/>
  <c r="AC977" i="3"/>
  <c r="AD977" i="3"/>
  <c r="AE977" i="3"/>
  <c r="R977" i="3" s="1"/>
  <c r="AG977" i="3"/>
  <c r="AH977" i="3"/>
  <c r="AI977" i="3"/>
  <c r="AK977" i="3"/>
  <c r="AL977" i="3"/>
  <c r="K976" i="3"/>
  <c r="O976" i="3"/>
  <c r="AC976" i="3"/>
  <c r="AD976" i="3"/>
  <c r="AE976" i="3"/>
  <c r="R976" i="3" s="1"/>
  <c r="AG976" i="3"/>
  <c r="AH976" i="3"/>
  <c r="AI976" i="3"/>
  <c r="AK976" i="3"/>
  <c r="AL976" i="3"/>
  <c r="K975" i="3"/>
  <c r="O975" i="3"/>
  <c r="AC975" i="3"/>
  <c r="AD975" i="3"/>
  <c r="AE975" i="3"/>
  <c r="R975" i="3" s="1"/>
  <c r="AG975" i="3"/>
  <c r="AH975" i="3"/>
  <c r="AI975" i="3"/>
  <c r="AK975" i="3"/>
  <c r="AL975" i="3"/>
  <c r="K974" i="3"/>
  <c r="O974" i="3"/>
  <c r="AC974" i="3"/>
  <c r="AD974" i="3"/>
  <c r="AE974" i="3"/>
  <c r="R974" i="3" s="1"/>
  <c r="AG974" i="3"/>
  <c r="AH974" i="3"/>
  <c r="AI974" i="3"/>
  <c r="AK974" i="3"/>
  <c r="AL974" i="3"/>
  <c r="K973" i="3"/>
  <c r="O973" i="3"/>
  <c r="AC973" i="3"/>
  <c r="AD973" i="3"/>
  <c r="AE973" i="3"/>
  <c r="R973" i="3" s="1"/>
  <c r="AG973" i="3"/>
  <c r="AH973" i="3"/>
  <c r="AI973" i="3"/>
  <c r="AK973" i="3"/>
  <c r="AL973" i="3"/>
  <c r="K972" i="3"/>
  <c r="O972" i="3"/>
  <c r="AC972" i="3"/>
  <c r="AD972" i="3"/>
  <c r="AE972" i="3"/>
  <c r="R972" i="3" s="1"/>
  <c r="AG972" i="3"/>
  <c r="AH972" i="3"/>
  <c r="AI972" i="3"/>
  <c r="AK972" i="3"/>
  <c r="AL972" i="3"/>
  <c r="K971" i="3"/>
  <c r="O971" i="3"/>
  <c r="AC971" i="3"/>
  <c r="AD971" i="3"/>
  <c r="AE971" i="3"/>
  <c r="R971" i="3" s="1"/>
  <c r="AG971" i="3"/>
  <c r="AH971" i="3"/>
  <c r="AI971" i="3"/>
  <c r="AK971" i="3"/>
  <c r="AL971" i="3"/>
  <c r="K970" i="3"/>
  <c r="O970" i="3"/>
  <c r="AC970" i="3"/>
  <c r="AD970" i="3"/>
  <c r="AE970" i="3"/>
  <c r="R970" i="3" s="1"/>
  <c r="AG970" i="3"/>
  <c r="AH970" i="3"/>
  <c r="AI970" i="3"/>
  <c r="AK970" i="3"/>
  <c r="AL970" i="3"/>
  <c r="K969" i="3"/>
  <c r="O969" i="3"/>
  <c r="AC969" i="3"/>
  <c r="AD969" i="3"/>
  <c r="AE969" i="3"/>
  <c r="R969" i="3" s="1"/>
  <c r="AG969" i="3"/>
  <c r="AH969" i="3"/>
  <c r="AI969" i="3"/>
  <c r="AK969" i="3"/>
  <c r="AL969" i="3"/>
  <c r="K968" i="3"/>
  <c r="O968" i="3"/>
  <c r="AC968" i="3"/>
  <c r="AD968" i="3"/>
  <c r="AE968" i="3"/>
  <c r="R968" i="3" s="1"/>
  <c r="AG968" i="3"/>
  <c r="AH968" i="3"/>
  <c r="AI968" i="3"/>
  <c r="AK968" i="3"/>
  <c r="AL968" i="3"/>
  <c r="K967" i="3"/>
  <c r="O967" i="3"/>
  <c r="AC967" i="3"/>
  <c r="AD967" i="3"/>
  <c r="AE967" i="3"/>
  <c r="R967" i="3" s="1"/>
  <c r="AG967" i="3"/>
  <c r="AH967" i="3"/>
  <c r="AI967" i="3"/>
  <c r="AK967" i="3"/>
  <c r="AL967" i="3"/>
  <c r="K966" i="3"/>
  <c r="O966" i="3"/>
  <c r="AC966" i="3"/>
  <c r="AD966" i="3"/>
  <c r="AE966" i="3"/>
  <c r="R966" i="3" s="1"/>
  <c r="AG966" i="3"/>
  <c r="AH966" i="3"/>
  <c r="AI966" i="3"/>
  <c r="AK966" i="3"/>
  <c r="AL966" i="3"/>
  <c r="K965" i="3"/>
  <c r="O965" i="3"/>
  <c r="AC965" i="3"/>
  <c r="AD965" i="3"/>
  <c r="AE965" i="3"/>
  <c r="R965" i="3" s="1"/>
  <c r="AG965" i="3"/>
  <c r="AH965" i="3"/>
  <c r="AI965" i="3"/>
  <c r="AK965" i="3"/>
  <c r="AL965" i="3"/>
  <c r="K964" i="3"/>
  <c r="O964" i="3"/>
  <c r="AC964" i="3"/>
  <c r="AD964" i="3"/>
  <c r="AE964" i="3"/>
  <c r="R964" i="3" s="1"/>
  <c r="AG964" i="3"/>
  <c r="AH964" i="3"/>
  <c r="AI964" i="3"/>
  <c r="AK964" i="3"/>
  <c r="AL964" i="3"/>
  <c r="K963" i="3"/>
  <c r="O963" i="3"/>
  <c r="AC963" i="3"/>
  <c r="AD963" i="3"/>
  <c r="AE963" i="3"/>
  <c r="R963" i="3" s="1"/>
  <c r="AG963" i="3"/>
  <c r="AH963" i="3"/>
  <c r="AI963" i="3"/>
  <c r="AK963" i="3"/>
  <c r="AL963" i="3"/>
  <c r="K962" i="3"/>
  <c r="O962" i="3"/>
  <c r="AC962" i="3"/>
  <c r="AD962" i="3"/>
  <c r="AE962" i="3"/>
  <c r="R962" i="3" s="1"/>
  <c r="AG962" i="3"/>
  <c r="AH962" i="3"/>
  <c r="AI962" i="3"/>
  <c r="AK962" i="3"/>
  <c r="AL962" i="3"/>
  <c r="K961" i="3"/>
  <c r="O961" i="3"/>
  <c r="AC961" i="3"/>
  <c r="AD961" i="3"/>
  <c r="AE961" i="3"/>
  <c r="R961" i="3" s="1"/>
  <c r="AG961" i="3"/>
  <c r="AH961" i="3"/>
  <c r="AI961" i="3"/>
  <c r="AK961" i="3"/>
  <c r="AL961" i="3"/>
  <c r="K960" i="3"/>
  <c r="O960" i="3"/>
  <c r="AC960" i="3"/>
  <c r="AD960" i="3"/>
  <c r="AE960" i="3"/>
  <c r="R960" i="3" s="1"/>
  <c r="AG960" i="3"/>
  <c r="AH960" i="3"/>
  <c r="AI960" i="3"/>
  <c r="AK960" i="3"/>
  <c r="AL960" i="3"/>
  <c r="K856" i="3"/>
  <c r="O856" i="3"/>
  <c r="AC856" i="3"/>
  <c r="P856" i="3" s="1"/>
  <c r="AD856" i="3"/>
  <c r="AE856" i="3"/>
  <c r="R856" i="3" s="1"/>
  <c r="AG856" i="3"/>
  <c r="AH856" i="3"/>
  <c r="AI856" i="3"/>
  <c r="AK856" i="3"/>
  <c r="AL856" i="3"/>
  <c r="K855" i="3"/>
  <c r="O855" i="3"/>
  <c r="AC855" i="3"/>
  <c r="P855" i="3" s="1"/>
  <c r="AD855" i="3"/>
  <c r="AE855" i="3"/>
  <c r="R855" i="3" s="1"/>
  <c r="AG855" i="3"/>
  <c r="AH855" i="3"/>
  <c r="AI855" i="3"/>
  <c r="AK855" i="3"/>
  <c r="AL855" i="3"/>
  <c r="K854" i="3"/>
  <c r="O854" i="3"/>
  <c r="AC854" i="3"/>
  <c r="P854" i="3" s="1"/>
  <c r="AD854" i="3"/>
  <c r="AE854" i="3"/>
  <c r="R854" i="3" s="1"/>
  <c r="AG854" i="3"/>
  <c r="AH854" i="3"/>
  <c r="AI854" i="3"/>
  <c r="AK854" i="3"/>
  <c r="AL854" i="3"/>
  <c r="K853" i="3"/>
  <c r="O853" i="3"/>
  <c r="AC853" i="3"/>
  <c r="P853" i="3" s="1"/>
  <c r="AD853" i="3"/>
  <c r="AE853" i="3"/>
  <c r="R853" i="3" s="1"/>
  <c r="AG853" i="3"/>
  <c r="AH853" i="3"/>
  <c r="AI853" i="3"/>
  <c r="AK853" i="3"/>
  <c r="AL853" i="3"/>
  <c r="K852" i="3"/>
  <c r="O852" i="3"/>
  <c r="AC852" i="3"/>
  <c r="P852" i="3" s="1"/>
  <c r="AD852" i="3"/>
  <c r="AE852" i="3"/>
  <c r="R852" i="3" s="1"/>
  <c r="AG852" i="3"/>
  <c r="AH852" i="3"/>
  <c r="AI852" i="3"/>
  <c r="AK852" i="3"/>
  <c r="AL852" i="3"/>
  <c r="K851" i="3"/>
  <c r="O851" i="3"/>
  <c r="AC851" i="3"/>
  <c r="P851" i="3" s="1"/>
  <c r="AD851" i="3"/>
  <c r="AE851" i="3"/>
  <c r="R851" i="3" s="1"/>
  <c r="AG851" i="3"/>
  <c r="AH851" i="3"/>
  <c r="AI851" i="3"/>
  <c r="AK851" i="3"/>
  <c r="AL851" i="3"/>
  <c r="K850" i="3"/>
  <c r="O850" i="3"/>
  <c r="AC850" i="3"/>
  <c r="P850" i="3" s="1"/>
  <c r="AD850" i="3"/>
  <c r="AE850" i="3"/>
  <c r="R850" i="3" s="1"/>
  <c r="AG850" i="3"/>
  <c r="AH850" i="3"/>
  <c r="AI850" i="3"/>
  <c r="AK850" i="3"/>
  <c r="AL850" i="3"/>
  <c r="K849" i="3"/>
  <c r="O849" i="3"/>
  <c r="AC849" i="3"/>
  <c r="P849" i="3" s="1"/>
  <c r="AD849" i="3"/>
  <c r="AE849" i="3"/>
  <c r="R849" i="3" s="1"/>
  <c r="AG849" i="3"/>
  <c r="AH849" i="3"/>
  <c r="AI849" i="3"/>
  <c r="AK849" i="3"/>
  <c r="AL849" i="3"/>
  <c r="K848" i="3"/>
  <c r="O848" i="3"/>
  <c r="AC848" i="3"/>
  <c r="P848" i="3" s="1"/>
  <c r="AD848" i="3"/>
  <c r="AE848" i="3"/>
  <c r="R848" i="3" s="1"/>
  <c r="AG848" i="3"/>
  <c r="AH848" i="3"/>
  <c r="AI848" i="3"/>
  <c r="AK848" i="3"/>
  <c r="AL848" i="3"/>
  <c r="K847" i="3"/>
  <c r="O847" i="3"/>
  <c r="AC847" i="3"/>
  <c r="P847" i="3" s="1"/>
  <c r="AD847" i="3"/>
  <c r="AE847" i="3"/>
  <c r="R847" i="3" s="1"/>
  <c r="AG847" i="3"/>
  <c r="AH847" i="3"/>
  <c r="AI847" i="3"/>
  <c r="AK847" i="3"/>
  <c r="AL847" i="3"/>
  <c r="K846" i="3"/>
  <c r="O846" i="3"/>
  <c r="AC846" i="3"/>
  <c r="P846" i="3" s="1"/>
  <c r="AD846" i="3"/>
  <c r="AE846" i="3"/>
  <c r="R846" i="3" s="1"/>
  <c r="AG846" i="3"/>
  <c r="AH846" i="3"/>
  <c r="AI846" i="3"/>
  <c r="AK846" i="3"/>
  <c r="AL846" i="3"/>
  <c r="K845" i="3"/>
  <c r="O845" i="3"/>
  <c r="AC845" i="3"/>
  <c r="P845" i="3" s="1"/>
  <c r="AD845" i="3"/>
  <c r="AE845" i="3"/>
  <c r="R845" i="3" s="1"/>
  <c r="AG845" i="3"/>
  <c r="AH845" i="3"/>
  <c r="AI845" i="3"/>
  <c r="AK845" i="3"/>
  <c r="AL845" i="3"/>
  <c r="K844" i="3"/>
  <c r="O844" i="3"/>
  <c r="AC844" i="3"/>
  <c r="P844" i="3" s="1"/>
  <c r="AD844" i="3"/>
  <c r="AE844" i="3"/>
  <c r="R844" i="3" s="1"/>
  <c r="AG844" i="3"/>
  <c r="AH844" i="3"/>
  <c r="AI844" i="3"/>
  <c r="AK844" i="3"/>
  <c r="AL844" i="3"/>
  <c r="K843" i="3"/>
  <c r="O843" i="3"/>
  <c r="AC843" i="3"/>
  <c r="P843" i="3" s="1"/>
  <c r="AD843" i="3"/>
  <c r="AE843" i="3"/>
  <c r="R843" i="3" s="1"/>
  <c r="AG843" i="3"/>
  <c r="AH843" i="3"/>
  <c r="AI843" i="3"/>
  <c r="AK843" i="3"/>
  <c r="AL843" i="3"/>
  <c r="K842" i="3"/>
  <c r="O842" i="3"/>
  <c r="AC842" i="3"/>
  <c r="P842" i="3" s="1"/>
  <c r="AD842" i="3"/>
  <c r="AE842" i="3"/>
  <c r="R842" i="3" s="1"/>
  <c r="AG842" i="3"/>
  <c r="AH842" i="3"/>
  <c r="AI842" i="3"/>
  <c r="AK842" i="3"/>
  <c r="AL842" i="3"/>
  <c r="K841" i="3"/>
  <c r="O841" i="3"/>
  <c r="AC841" i="3"/>
  <c r="P841" i="3" s="1"/>
  <c r="AD841" i="3"/>
  <c r="AE841" i="3"/>
  <c r="R841" i="3" s="1"/>
  <c r="AG841" i="3"/>
  <c r="AH841" i="3"/>
  <c r="AI841" i="3"/>
  <c r="AK841" i="3"/>
  <c r="AL841" i="3"/>
  <c r="AL952" i="3"/>
  <c r="AL953" i="3"/>
  <c r="AL954" i="3"/>
  <c r="AL955" i="3"/>
  <c r="AL956" i="3"/>
  <c r="AL957" i="3"/>
  <c r="AL958" i="3"/>
  <c r="AL959" i="3"/>
  <c r="AK952" i="3"/>
  <c r="AK953" i="3"/>
  <c r="AK954" i="3"/>
  <c r="AK955" i="3"/>
  <c r="AK956" i="3"/>
  <c r="AK957" i="3"/>
  <c r="AK958" i="3"/>
  <c r="AK959" i="3"/>
  <c r="AI952" i="3"/>
  <c r="AI953" i="3"/>
  <c r="AI954" i="3"/>
  <c r="AI955" i="3"/>
  <c r="AI956" i="3"/>
  <c r="AI957" i="3"/>
  <c r="AI958" i="3"/>
  <c r="AI959" i="3"/>
  <c r="AH952" i="3"/>
  <c r="AH953" i="3"/>
  <c r="AH954" i="3"/>
  <c r="AH955" i="3"/>
  <c r="AH956" i="3"/>
  <c r="AH957" i="3"/>
  <c r="AH958" i="3"/>
  <c r="AH959" i="3"/>
  <c r="AG952" i="3"/>
  <c r="AG953" i="3"/>
  <c r="AG954" i="3"/>
  <c r="AG955" i="3"/>
  <c r="AG956" i="3"/>
  <c r="AG957" i="3"/>
  <c r="AG958" i="3"/>
  <c r="AG959" i="3"/>
  <c r="AE952" i="3"/>
  <c r="R952" i="3" s="1"/>
  <c r="AE953" i="3"/>
  <c r="R953" i="3" s="1"/>
  <c r="AE954" i="3"/>
  <c r="R954" i="3" s="1"/>
  <c r="AE955" i="3"/>
  <c r="R955" i="3" s="1"/>
  <c r="AE956" i="3"/>
  <c r="R956" i="3" s="1"/>
  <c r="AE957" i="3"/>
  <c r="R957" i="3" s="1"/>
  <c r="AE958" i="3"/>
  <c r="R958" i="3" s="1"/>
  <c r="AE959" i="3"/>
  <c r="R959" i="3" s="1"/>
  <c r="AD952" i="3"/>
  <c r="AD953" i="3"/>
  <c r="AD954" i="3"/>
  <c r="AD955" i="3"/>
  <c r="AD956" i="3"/>
  <c r="AD957" i="3"/>
  <c r="AD958" i="3"/>
  <c r="AD959" i="3"/>
  <c r="AC952" i="3"/>
  <c r="AC953" i="3"/>
  <c r="P953" i="3" s="1"/>
  <c r="AC954" i="3"/>
  <c r="P954" i="3" s="1"/>
  <c r="AC955" i="3"/>
  <c r="P955" i="3" s="1"/>
  <c r="AC956" i="3"/>
  <c r="P956" i="3" s="1"/>
  <c r="AC957" i="3"/>
  <c r="P957" i="3" s="1"/>
  <c r="AC958" i="3"/>
  <c r="L958" i="3" s="1"/>
  <c r="M958" i="3" s="1"/>
  <c r="AC959" i="3"/>
  <c r="P959" i="3" s="1"/>
  <c r="O952" i="3"/>
  <c r="O953" i="3"/>
  <c r="O954" i="3"/>
  <c r="O955" i="3"/>
  <c r="O956" i="3"/>
  <c r="O957" i="3"/>
  <c r="O958" i="3"/>
  <c r="O959" i="3"/>
  <c r="K952" i="3"/>
  <c r="K953" i="3"/>
  <c r="K954" i="3"/>
  <c r="K955" i="3"/>
  <c r="K956" i="3"/>
  <c r="K957" i="3"/>
  <c r="K958" i="3"/>
  <c r="K959" i="3"/>
  <c r="AL951" i="3"/>
  <c r="AK951" i="3"/>
  <c r="AI951" i="3"/>
  <c r="AH951" i="3"/>
  <c r="AG951" i="3"/>
  <c r="AE951" i="3"/>
  <c r="R951" i="3" s="1"/>
  <c r="AD951" i="3"/>
  <c r="AC951" i="3"/>
  <c r="O951" i="3"/>
  <c r="K951" i="3"/>
  <c r="K950" i="3"/>
  <c r="O950" i="3"/>
  <c r="AC950" i="3"/>
  <c r="L950" i="3" s="1"/>
  <c r="M950" i="3" s="1"/>
  <c r="AD950" i="3"/>
  <c r="AE950" i="3"/>
  <c r="R950" i="3" s="1"/>
  <c r="AG950" i="3"/>
  <c r="AH950" i="3"/>
  <c r="AI950" i="3"/>
  <c r="AK950" i="3"/>
  <c r="AL950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AC934" i="3"/>
  <c r="P934" i="3" s="1"/>
  <c r="AC935" i="3"/>
  <c r="P935" i="3" s="1"/>
  <c r="AC936" i="3"/>
  <c r="P936" i="3" s="1"/>
  <c r="AC937" i="3"/>
  <c r="P937" i="3" s="1"/>
  <c r="AC938" i="3"/>
  <c r="P938" i="3" s="1"/>
  <c r="AC939" i="3"/>
  <c r="P939" i="3" s="1"/>
  <c r="AC940" i="3"/>
  <c r="P940" i="3" s="1"/>
  <c r="AC941" i="3"/>
  <c r="P941" i="3" s="1"/>
  <c r="AC942" i="3"/>
  <c r="P942" i="3" s="1"/>
  <c r="AC943" i="3"/>
  <c r="P943" i="3" s="1"/>
  <c r="AC944" i="3"/>
  <c r="P944" i="3" s="1"/>
  <c r="AC945" i="3"/>
  <c r="P945" i="3" s="1"/>
  <c r="AC946" i="3"/>
  <c r="P946" i="3" s="1"/>
  <c r="AC947" i="3"/>
  <c r="P947" i="3" s="1"/>
  <c r="AC948" i="3"/>
  <c r="P948" i="3" s="1"/>
  <c r="AC949" i="3"/>
  <c r="P949" i="3" s="1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E934" i="3"/>
  <c r="R934" i="3" s="1"/>
  <c r="AE935" i="3"/>
  <c r="R935" i="3" s="1"/>
  <c r="AE936" i="3"/>
  <c r="R936" i="3" s="1"/>
  <c r="AE937" i="3"/>
  <c r="R937" i="3" s="1"/>
  <c r="AE938" i="3"/>
  <c r="R938" i="3" s="1"/>
  <c r="AE939" i="3"/>
  <c r="R939" i="3" s="1"/>
  <c r="AE940" i="3"/>
  <c r="R940" i="3" s="1"/>
  <c r="AE941" i="3"/>
  <c r="R941" i="3" s="1"/>
  <c r="AE942" i="3"/>
  <c r="R942" i="3" s="1"/>
  <c r="AE943" i="3"/>
  <c r="R943" i="3" s="1"/>
  <c r="AE944" i="3"/>
  <c r="R944" i="3" s="1"/>
  <c r="AE945" i="3"/>
  <c r="R945" i="3" s="1"/>
  <c r="AE946" i="3"/>
  <c r="R946" i="3" s="1"/>
  <c r="AE947" i="3"/>
  <c r="R947" i="3" s="1"/>
  <c r="AE948" i="3"/>
  <c r="R948" i="3" s="1"/>
  <c r="AE949" i="3"/>
  <c r="R949" i="3" s="1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K933" i="3"/>
  <c r="O933" i="3"/>
  <c r="AC933" i="3"/>
  <c r="P933" i="3" s="1"/>
  <c r="AD933" i="3"/>
  <c r="AE933" i="3"/>
  <c r="R933" i="3" s="1"/>
  <c r="AG933" i="3"/>
  <c r="AH933" i="3"/>
  <c r="AI933" i="3"/>
  <c r="AK933" i="3"/>
  <c r="AL933" i="3"/>
  <c r="K932" i="3"/>
  <c r="O932" i="3"/>
  <c r="AC932" i="3"/>
  <c r="P932" i="3" s="1"/>
  <c r="AD932" i="3"/>
  <c r="AE932" i="3"/>
  <c r="R932" i="3" s="1"/>
  <c r="AG932" i="3"/>
  <c r="AH932" i="3"/>
  <c r="AI932" i="3"/>
  <c r="AK932" i="3"/>
  <c r="AL932" i="3"/>
  <c r="N13" i="14"/>
  <c r="N14" i="14"/>
  <c r="N15" i="14"/>
  <c r="N16" i="14"/>
  <c r="N17" i="14"/>
  <c r="N18" i="14"/>
  <c r="N19" i="14"/>
  <c r="N20" i="14"/>
  <c r="Q2" i="14"/>
  <c r="AL931" i="3"/>
  <c r="AK931" i="3"/>
  <c r="AI931" i="3"/>
  <c r="AH931" i="3"/>
  <c r="AG931" i="3"/>
  <c r="AE931" i="3"/>
  <c r="R931" i="3" s="1"/>
  <c r="AD931" i="3"/>
  <c r="AC931" i="3"/>
  <c r="O931" i="3"/>
  <c r="K931" i="3"/>
  <c r="AL930" i="3"/>
  <c r="AK930" i="3"/>
  <c r="AI930" i="3"/>
  <c r="AH930" i="3"/>
  <c r="AG930" i="3"/>
  <c r="AE930" i="3"/>
  <c r="R930" i="3" s="1"/>
  <c r="AD930" i="3"/>
  <c r="AC930" i="3"/>
  <c r="P930" i="3" s="1"/>
  <c r="O930" i="3"/>
  <c r="K930" i="3"/>
  <c r="AL929" i="3"/>
  <c r="AK929" i="3"/>
  <c r="AI929" i="3"/>
  <c r="AH929" i="3"/>
  <c r="AG929" i="3"/>
  <c r="AE929" i="3"/>
  <c r="R929" i="3" s="1"/>
  <c r="AD929" i="3"/>
  <c r="AC929" i="3"/>
  <c r="O929" i="3"/>
  <c r="K929" i="3"/>
  <c r="AL928" i="3"/>
  <c r="AK928" i="3"/>
  <c r="AI928" i="3"/>
  <c r="AH928" i="3"/>
  <c r="AG928" i="3"/>
  <c r="AE928" i="3"/>
  <c r="R928" i="3" s="1"/>
  <c r="AD928" i="3"/>
  <c r="AC928" i="3"/>
  <c r="P928" i="3" s="1"/>
  <c r="O928" i="3"/>
  <c r="K928" i="3"/>
  <c r="AL927" i="3"/>
  <c r="AK927" i="3"/>
  <c r="AI927" i="3"/>
  <c r="AH927" i="3"/>
  <c r="AG927" i="3"/>
  <c r="AE927" i="3"/>
  <c r="R927" i="3" s="1"/>
  <c r="AD927" i="3"/>
  <c r="AC927" i="3"/>
  <c r="O927" i="3"/>
  <c r="K927" i="3"/>
  <c r="AL926" i="3"/>
  <c r="AK926" i="3"/>
  <c r="AI926" i="3"/>
  <c r="AH926" i="3"/>
  <c r="AG926" i="3"/>
  <c r="AE926" i="3"/>
  <c r="R926" i="3" s="1"/>
  <c r="AD926" i="3"/>
  <c r="AC926" i="3"/>
  <c r="P926" i="3" s="1"/>
  <c r="O926" i="3"/>
  <c r="K926" i="3"/>
  <c r="E90" i="1"/>
  <c r="AF925" i="3" s="1"/>
  <c r="E91" i="1"/>
  <c r="AF937" i="3" s="1"/>
  <c r="E28" i="1"/>
  <c r="E75" i="1"/>
  <c r="AF954" i="3" s="1"/>
  <c r="AL925" i="3"/>
  <c r="AK925" i="3"/>
  <c r="AI925" i="3"/>
  <c r="AH925" i="3"/>
  <c r="AG925" i="3"/>
  <c r="AE925" i="3"/>
  <c r="R925" i="3" s="1"/>
  <c r="AD925" i="3"/>
  <c r="AC925" i="3"/>
  <c r="P925" i="3" s="1"/>
  <c r="O925" i="3"/>
  <c r="K925" i="3"/>
  <c r="AL924" i="3"/>
  <c r="AK924" i="3"/>
  <c r="AI924" i="3"/>
  <c r="AH924" i="3"/>
  <c r="AG924" i="3"/>
  <c r="AE924" i="3"/>
  <c r="R924" i="3" s="1"/>
  <c r="AD924" i="3"/>
  <c r="AC924" i="3"/>
  <c r="O924" i="3"/>
  <c r="K924" i="3"/>
  <c r="AL923" i="3"/>
  <c r="AK923" i="3"/>
  <c r="AI923" i="3"/>
  <c r="AH923" i="3"/>
  <c r="AG923" i="3"/>
  <c r="AE923" i="3"/>
  <c r="R923" i="3" s="1"/>
  <c r="AD923" i="3"/>
  <c r="AC923" i="3"/>
  <c r="P923" i="3" s="1"/>
  <c r="O923" i="3"/>
  <c r="K923" i="3"/>
  <c r="AL922" i="3"/>
  <c r="AK922" i="3"/>
  <c r="AI922" i="3"/>
  <c r="AH922" i="3"/>
  <c r="AG922" i="3"/>
  <c r="AE922" i="3"/>
  <c r="R922" i="3" s="1"/>
  <c r="AD922" i="3"/>
  <c r="AC922" i="3"/>
  <c r="L922" i="3" s="1"/>
  <c r="N922" i="3" s="1"/>
  <c r="O922" i="3"/>
  <c r="K922" i="3"/>
  <c r="AL921" i="3"/>
  <c r="AK921" i="3"/>
  <c r="AI921" i="3"/>
  <c r="AH921" i="3"/>
  <c r="AG921" i="3"/>
  <c r="AE921" i="3"/>
  <c r="R921" i="3" s="1"/>
  <c r="AD921" i="3"/>
  <c r="AC921" i="3"/>
  <c r="P921" i="3" s="1"/>
  <c r="O921" i="3"/>
  <c r="K921" i="3"/>
  <c r="G19" i="14"/>
  <c r="AL840" i="3"/>
  <c r="AK840" i="3"/>
  <c r="AI840" i="3"/>
  <c r="AH840" i="3"/>
  <c r="AG840" i="3"/>
  <c r="AE840" i="3"/>
  <c r="R840" i="3" s="1"/>
  <c r="AD840" i="3"/>
  <c r="AC840" i="3"/>
  <c r="P840" i="3" s="1"/>
  <c r="O840" i="3"/>
  <c r="K840" i="3"/>
  <c r="AL839" i="3"/>
  <c r="AK839" i="3"/>
  <c r="AI839" i="3"/>
  <c r="AH839" i="3"/>
  <c r="AG839" i="3"/>
  <c r="AE839" i="3"/>
  <c r="AD839" i="3"/>
  <c r="AC839" i="3"/>
  <c r="P839" i="3" s="1"/>
  <c r="O839" i="3"/>
  <c r="K839" i="3"/>
  <c r="AL838" i="3"/>
  <c r="AK838" i="3"/>
  <c r="AI838" i="3"/>
  <c r="AH838" i="3"/>
  <c r="AG838" i="3"/>
  <c r="AE838" i="3"/>
  <c r="R838" i="3" s="1"/>
  <c r="AD838" i="3"/>
  <c r="AC838" i="3"/>
  <c r="L838" i="3" s="1"/>
  <c r="N838" i="3" s="1"/>
  <c r="O838" i="3"/>
  <c r="K838" i="3"/>
  <c r="AL837" i="3"/>
  <c r="AK837" i="3"/>
  <c r="AI837" i="3"/>
  <c r="AH837" i="3"/>
  <c r="AG837" i="3"/>
  <c r="AE837" i="3"/>
  <c r="R837" i="3" s="1"/>
  <c r="AD837" i="3"/>
  <c r="AC837" i="3"/>
  <c r="O837" i="3"/>
  <c r="K837" i="3"/>
  <c r="AL836" i="3"/>
  <c r="AK836" i="3"/>
  <c r="AI836" i="3"/>
  <c r="AH836" i="3"/>
  <c r="AG836" i="3"/>
  <c r="AE836" i="3"/>
  <c r="R836" i="3" s="1"/>
  <c r="AD836" i="3"/>
  <c r="AC836" i="3"/>
  <c r="P836" i="3" s="1"/>
  <c r="O836" i="3"/>
  <c r="K836" i="3"/>
  <c r="AL835" i="3"/>
  <c r="AK835" i="3"/>
  <c r="AI835" i="3"/>
  <c r="AH835" i="3"/>
  <c r="AG835" i="3"/>
  <c r="AE835" i="3"/>
  <c r="R835" i="3" s="1"/>
  <c r="AD835" i="3"/>
  <c r="AC835" i="3"/>
  <c r="O835" i="3"/>
  <c r="K835" i="3"/>
  <c r="AL834" i="3"/>
  <c r="AK834" i="3"/>
  <c r="AI834" i="3"/>
  <c r="AH834" i="3"/>
  <c r="AG834" i="3"/>
  <c r="AE834" i="3"/>
  <c r="AD834" i="3"/>
  <c r="AC834" i="3"/>
  <c r="P834" i="3" s="1"/>
  <c r="O834" i="3"/>
  <c r="K834" i="3"/>
  <c r="AL833" i="3"/>
  <c r="AK833" i="3"/>
  <c r="AI833" i="3"/>
  <c r="AH833" i="3"/>
  <c r="AG833" i="3"/>
  <c r="AE833" i="3"/>
  <c r="R833" i="3" s="1"/>
  <c r="AD833" i="3"/>
  <c r="AC833" i="3"/>
  <c r="O833" i="3"/>
  <c r="K833" i="3"/>
  <c r="AL832" i="3"/>
  <c r="AK832" i="3"/>
  <c r="AI832" i="3"/>
  <c r="AH832" i="3"/>
  <c r="AG832" i="3"/>
  <c r="AE832" i="3"/>
  <c r="R832" i="3" s="1"/>
  <c r="AD832" i="3"/>
  <c r="AC832" i="3"/>
  <c r="O832" i="3"/>
  <c r="K832" i="3"/>
  <c r="AL831" i="3"/>
  <c r="AK831" i="3"/>
  <c r="AI831" i="3"/>
  <c r="AH831" i="3"/>
  <c r="AG831" i="3"/>
  <c r="AE831" i="3"/>
  <c r="R831" i="3" s="1"/>
  <c r="AD831" i="3"/>
  <c r="AC831" i="3"/>
  <c r="O831" i="3"/>
  <c r="K831" i="3"/>
  <c r="AL830" i="3"/>
  <c r="AK830" i="3"/>
  <c r="AI830" i="3"/>
  <c r="AH830" i="3"/>
  <c r="AG830" i="3"/>
  <c r="AE830" i="3"/>
  <c r="R830" i="3" s="1"/>
  <c r="AD830" i="3"/>
  <c r="AC830" i="3"/>
  <c r="L830" i="3" s="1"/>
  <c r="N830" i="3" s="1"/>
  <c r="O830" i="3"/>
  <c r="K830" i="3"/>
  <c r="AL829" i="3"/>
  <c r="AK829" i="3"/>
  <c r="AI829" i="3"/>
  <c r="AH829" i="3"/>
  <c r="AG829" i="3"/>
  <c r="AE829" i="3"/>
  <c r="R829" i="3" s="1"/>
  <c r="AD829" i="3"/>
  <c r="AC829" i="3"/>
  <c r="P829" i="3" s="1"/>
  <c r="O829" i="3"/>
  <c r="K829" i="3"/>
  <c r="K828" i="3"/>
  <c r="O828" i="3"/>
  <c r="AC828" i="3"/>
  <c r="P828" i="3" s="1"/>
  <c r="AD828" i="3"/>
  <c r="AE828" i="3"/>
  <c r="R828" i="3" s="1"/>
  <c r="AG828" i="3"/>
  <c r="AH828" i="3"/>
  <c r="AI828" i="3"/>
  <c r="AK828" i="3"/>
  <c r="AL828" i="3"/>
  <c r="D15" i="14"/>
  <c r="I19" i="14"/>
  <c r="I18" i="14"/>
  <c r="I15" i="14"/>
  <c r="I16" i="14"/>
  <c r="I17" i="14"/>
  <c r="AL827" i="3"/>
  <c r="AK827" i="3"/>
  <c r="AI827" i="3"/>
  <c r="AH827" i="3"/>
  <c r="AG827" i="3"/>
  <c r="AE827" i="3"/>
  <c r="R827" i="3" s="1"/>
  <c r="AD827" i="3"/>
  <c r="AC827" i="3"/>
  <c r="P827" i="3" s="1"/>
  <c r="O827" i="3"/>
  <c r="K827" i="3"/>
  <c r="AL826" i="3"/>
  <c r="AK826" i="3"/>
  <c r="AI826" i="3"/>
  <c r="AH826" i="3"/>
  <c r="AG826" i="3"/>
  <c r="AE826" i="3"/>
  <c r="R826" i="3" s="1"/>
  <c r="AD826" i="3"/>
  <c r="AC826" i="3"/>
  <c r="L826" i="3" s="1"/>
  <c r="O826" i="3"/>
  <c r="K826" i="3"/>
  <c r="AL825" i="3"/>
  <c r="AK825" i="3"/>
  <c r="AI825" i="3"/>
  <c r="AH825" i="3"/>
  <c r="AG825" i="3"/>
  <c r="AE825" i="3"/>
  <c r="R825" i="3" s="1"/>
  <c r="AD825" i="3"/>
  <c r="AC825" i="3"/>
  <c r="O825" i="3"/>
  <c r="K825" i="3"/>
  <c r="AL824" i="3"/>
  <c r="AK824" i="3"/>
  <c r="AI824" i="3"/>
  <c r="AH824" i="3"/>
  <c r="AG824" i="3"/>
  <c r="AE824" i="3"/>
  <c r="R824" i="3" s="1"/>
  <c r="AD824" i="3"/>
  <c r="AC824" i="3"/>
  <c r="O824" i="3"/>
  <c r="K824" i="3"/>
  <c r="AL823" i="3"/>
  <c r="AK823" i="3"/>
  <c r="AI823" i="3"/>
  <c r="AH823" i="3"/>
  <c r="AG823" i="3"/>
  <c r="AE823" i="3"/>
  <c r="R823" i="3" s="1"/>
  <c r="AD823" i="3"/>
  <c r="AC823" i="3"/>
  <c r="O823" i="3"/>
  <c r="K823" i="3"/>
  <c r="Q18" i="14"/>
  <c r="D18" i="14"/>
  <c r="AL822" i="3"/>
  <c r="AK822" i="3"/>
  <c r="AI822" i="3"/>
  <c r="AH822" i="3"/>
  <c r="AG822" i="3"/>
  <c r="AE822" i="3"/>
  <c r="R822" i="3" s="1"/>
  <c r="AD822" i="3"/>
  <c r="AC822" i="3"/>
  <c r="P822" i="3" s="1"/>
  <c r="O822" i="3"/>
  <c r="K822" i="3"/>
  <c r="AL821" i="3"/>
  <c r="AK821" i="3"/>
  <c r="AI821" i="3"/>
  <c r="AH821" i="3"/>
  <c r="AG821" i="3"/>
  <c r="AE821" i="3"/>
  <c r="R821" i="3" s="1"/>
  <c r="AD821" i="3"/>
  <c r="AC821" i="3"/>
  <c r="O821" i="3"/>
  <c r="K821" i="3"/>
  <c r="AL820" i="3"/>
  <c r="AK820" i="3"/>
  <c r="AI820" i="3"/>
  <c r="AH820" i="3"/>
  <c r="AG820" i="3"/>
  <c r="AE820" i="3"/>
  <c r="R820" i="3" s="1"/>
  <c r="AD820" i="3"/>
  <c r="AC820" i="3"/>
  <c r="O820" i="3"/>
  <c r="K820" i="3"/>
  <c r="AL819" i="3"/>
  <c r="AK819" i="3"/>
  <c r="AI819" i="3"/>
  <c r="AH819" i="3"/>
  <c r="AG819" i="3"/>
  <c r="AE819" i="3"/>
  <c r="R819" i="3" s="1"/>
  <c r="AD819" i="3"/>
  <c r="AC819" i="3"/>
  <c r="P819" i="3" s="1"/>
  <c r="O819" i="3"/>
  <c r="K819" i="3"/>
  <c r="AL818" i="3"/>
  <c r="AK818" i="3"/>
  <c r="AI818" i="3"/>
  <c r="AH818" i="3"/>
  <c r="AG818" i="3"/>
  <c r="AE818" i="3"/>
  <c r="R818" i="3" s="1"/>
  <c r="AD818" i="3"/>
  <c r="AC818" i="3"/>
  <c r="P818" i="3" s="1"/>
  <c r="O818" i="3"/>
  <c r="K818" i="3"/>
  <c r="AL817" i="3"/>
  <c r="AK817" i="3"/>
  <c r="AI817" i="3"/>
  <c r="AH817" i="3"/>
  <c r="AG817" i="3"/>
  <c r="AE817" i="3"/>
  <c r="R817" i="3" s="1"/>
  <c r="AD817" i="3"/>
  <c r="AC817" i="3"/>
  <c r="P817" i="3" s="1"/>
  <c r="O817" i="3"/>
  <c r="K817" i="3"/>
  <c r="AL816" i="3"/>
  <c r="AK816" i="3"/>
  <c r="AI816" i="3"/>
  <c r="AH816" i="3"/>
  <c r="AG816" i="3"/>
  <c r="AE816" i="3"/>
  <c r="R816" i="3" s="1"/>
  <c r="AD816" i="3"/>
  <c r="AC816" i="3"/>
  <c r="P816" i="3" s="1"/>
  <c r="O816" i="3"/>
  <c r="K816" i="3"/>
  <c r="K815" i="3"/>
  <c r="O815" i="3"/>
  <c r="AC815" i="3"/>
  <c r="P815" i="3" s="1"/>
  <c r="AD815" i="3"/>
  <c r="AE815" i="3"/>
  <c r="R815" i="3" s="1"/>
  <c r="AG815" i="3"/>
  <c r="AH815" i="3"/>
  <c r="AI815" i="3"/>
  <c r="AK815" i="3"/>
  <c r="AL815" i="3"/>
  <c r="K814" i="3"/>
  <c r="O814" i="3"/>
  <c r="AC814" i="3"/>
  <c r="P814" i="3" s="1"/>
  <c r="AD814" i="3"/>
  <c r="AE814" i="3"/>
  <c r="R814" i="3" s="1"/>
  <c r="AG814" i="3"/>
  <c r="AH814" i="3"/>
  <c r="AI814" i="3"/>
  <c r="AK814" i="3"/>
  <c r="AL814" i="3"/>
  <c r="K813" i="3"/>
  <c r="O813" i="3"/>
  <c r="AC813" i="3"/>
  <c r="P813" i="3" s="1"/>
  <c r="AD813" i="3"/>
  <c r="AE813" i="3"/>
  <c r="R813" i="3" s="1"/>
  <c r="AG813" i="3"/>
  <c r="AH813" i="3"/>
  <c r="AI813" i="3"/>
  <c r="AK813" i="3"/>
  <c r="AL813" i="3"/>
  <c r="K812" i="3"/>
  <c r="O812" i="3"/>
  <c r="AC812" i="3"/>
  <c r="P812" i="3" s="1"/>
  <c r="AD812" i="3"/>
  <c r="AE812" i="3"/>
  <c r="R812" i="3" s="1"/>
  <c r="AG812" i="3"/>
  <c r="AH812" i="3"/>
  <c r="AI812" i="3"/>
  <c r="AK812" i="3"/>
  <c r="AL812" i="3"/>
  <c r="K811" i="3"/>
  <c r="O811" i="3"/>
  <c r="AC811" i="3"/>
  <c r="P811" i="3" s="1"/>
  <c r="AD811" i="3"/>
  <c r="AE811" i="3"/>
  <c r="R811" i="3" s="1"/>
  <c r="AG811" i="3"/>
  <c r="AH811" i="3"/>
  <c r="AI811" i="3"/>
  <c r="AK811" i="3"/>
  <c r="AL811" i="3"/>
  <c r="K810" i="3"/>
  <c r="O810" i="3"/>
  <c r="AC810" i="3"/>
  <c r="P810" i="3" s="1"/>
  <c r="AD810" i="3"/>
  <c r="AE810" i="3"/>
  <c r="R810" i="3" s="1"/>
  <c r="AG810" i="3"/>
  <c r="AH810" i="3"/>
  <c r="AI810" i="3"/>
  <c r="AK810" i="3"/>
  <c r="AL810" i="3"/>
  <c r="K809" i="3"/>
  <c r="O809" i="3"/>
  <c r="AC809" i="3"/>
  <c r="P809" i="3" s="1"/>
  <c r="AD809" i="3"/>
  <c r="AE809" i="3"/>
  <c r="R809" i="3" s="1"/>
  <c r="AG809" i="3"/>
  <c r="AH809" i="3"/>
  <c r="AI809" i="3"/>
  <c r="AK809" i="3"/>
  <c r="AL809" i="3"/>
  <c r="K808" i="3"/>
  <c r="O808" i="3"/>
  <c r="AC808" i="3"/>
  <c r="P808" i="3" s="1"/>
  <c r="AD808" i="3"/>
  <c r="AE808" i="3"/>
  <c r="R808" i="3" s="1"/>
  <c r="AG808" i="3"/>
  <c r="AH808" i="3"/>
  <c r="AI808" i="3"/>
  <c r="AK808" i="3"/>
  <c r="AL808" i="3"/>
  <c r="K807" i="3"/>
  <c r="O807" i="3"/>
  <c r="AC807" i="3"/>
  <c r="P807" i="3" s="1"/>
  <c r="AD807" i="3"/>
  <c r="AE807" i="3"/>
  <c r="R807" i="3" s="1"/>
  <c r="AG807" i="3"/>
  <c r="AH807" i="3"/>
  <c r="AI807" i="3"/>
  <c r="AK807" i="3"/>
  <c r="AL807" i="3"/>
  <c r="K806" i="3"/>
  <c r="O806" i="3"/>
  <c r="AC806" i="3"/>
  <c r="P806" i="3" s="1"/>
  <c r="AD806" i="3"/>
  <c r="AE806" i="3"/>
  <c r="R806" i="3" s="1"/>
  <c r="AG806" i="3"/>
  <c r="AH806" i="3"/>
  <c r="AI806" i="3"/>
  <c r="AK806" i="3"/>
  <c r="AL806" i="3"/>
  <c r="K805" i="3"/>
  <c r="O805" i="3"/>
  <c r="AC805" i="3"/>
  <c r="P805" i="3" s="1"/>
  <c r="AD805" i="3"/>
  <c r="AE805" i="3"/>
  <c r="R805" i="3" s="1"/>
  <c r="AG805" i="3"/>
  <c r="AH805" i="3"/>
  <c r="AI805" i="3"/>
  <c r="AK805" i="3"/>
  <c r="AL805" i="3"/>
  <c r="K804" i="3"/>
  <c r="O804" i="3"/>
  <c r="AC804" i="3"/>
  <c r="P804" i="3" s="1"/>
  <c r="AD804" i="3"/>
  <c r="AE804" i="3"/>
  <c r="R804" i="3" s="1"/>
  <c r="AG804" i="3"/>
  <c r="AH804" i="3"/>
  <c r="AI804" i="3"/>
  <c r="AK804" i="3"/>
  <c r="AL804" i="3"/>
  <c r="K803" i="3"/>
  <c r="O803" i="3"/>
  <c r="AC803" i="3"/>
  <c r="P803" i="3" s="1"/>
  <c r="AD803" i="3"/>
  <c r="AE803" i="3"/>
  <c r="R803" i="3" s="1"/>
  <c r="AG803" i="3"/>
  <c r="AH803" i="3"/>
  <c r="AI803" i="3"/>
  <c r="AK803" i="3"/>
  <c r="AL803" i="3"/>
  <c r="K802" i="3"/>
  <c r="O802" i="3"/>
  <c r="AC802" i="3"/>
  <c r="P802" i="3" s="1"/>
  <c r="AD802" i="3"/>
  <c r="AE802" i="3"/>
  <c r="R802" i="3" s="1"/>
  <c r="AG802" i="3"/>
  <c r="AH802" i="3"/>
  <c r="AI802" i="3"/>
  <c r="AK802" i="3"/>
  <c r="AL802" i="3"/>
  <c r="K801" i="3"/>
  <c r="O801" i="3"/>
  <c r="AC801" i="3"/>
  <c r="P801" i="3" s="1"/>
  <c r="AD801" i="3"/>
  <c r="AE801" i="3"/>
  <c r="R801" i="3" s="1"/>
  <c r="AG801" i="3"/>
  <c r="AH801" i="3"/>
  <c r="AI801" i="3"/>
  <c r="AK801" i="3"/>
  <c r="AL801" i="3"/>
  <c r="K800" i="3"/>
  <c r="O800" i="3"/>
  <c r="AC800" i="3"/>
  <c r="P800" i="3" s="1"/>
  <c r="AD800" i="3"/>
  <c r="AE800" i="3"/>
  <c r="R800" i="3" s="1"/>
  <c r="AG800" i="3"/>
  <c r="AH800" i="3"/>
  <c r="AI800" i="3"/>
  <c r="AK800" i="3"/>
  <c r="AL800" i="3"/>
  <c r="K799" i="3"/>
  <c r="O799" i="3"/>
  <c r="AC799" i="3"/>
  <c r="P799" i="3" s="1"/>
  <c r="AD799" i="3"/>
  <c r="AE799" i="3"/>
  <c r="R799" i="3" s="1"/>
  <c r="AG799" i="3"/>
  <c r="AH799" i="3"/>
  <c r="AI799" i="3"/>
  <c r="AK799" i="3"/>
  <c r="AL799" i="3"/>
  <c r="K798" i="3"/>
  <c r="O798" i="3"/>
  <c r="AC798" i="3"/>
  <c r="P798" i="3" s="1"/>
  <c r="AD798" i="3"/>
  <c r="AE798" i="3"/>
  <c r="R798" i="3" s="1"/>
  <c r="AG798" i="3"/>
  <c r="AH798" i="3"/>
  <c r="AI798" i="3"/>
  <c r="AK798" i="3"/>
  <c r="AL798" i="3"/>
  <c r="K797" i="3"/>
  <c r="O797" i="3"/>
  <c r="AC797" i="3"/>
  <c r="P797" i="3" s="1"/>
  <c r="AD797" i="3"/>
  <c r="AE797" i="3"/>
  <c r="R797" i="3" s="1"/>
  <c r="AG797" i="3"/>
  <c r="AH797" i="3"/>
  <c r="AI797" i="3"/>
  <c r="AK797" i="3"/>
  <c r="AL797" i="3"/>
  <c r="K920" i="3"/>
  <c r="O920" i="3"/>
  <c r="AC920" i="3"/>
  <c r="P920" i="3" s="1"/>
  <c r="AD920" i="3"/>
  <c r="AE920" i="3"/>
  <c r="R920" i="3" s="1"/>
  <c r="AG920" i="3"/>
  <c r="AH920" i="3"/>
  <c r="AI920" i="3"/>
  <c r="AK920" i="3"/>
  <c r="AL920" i="3"/>
  <c r="K919" i="3"/>
  <c r="O919" i="3"/>
  <c r="AC919" i="3"/>
  <c r="P919" i="3" s="1"/>
  <c r="AD919" i="3"/>
  <c r="AE919" i="3"/>
  <c r="R919" i="3" s="1"/>
  <c r="AG919" i="3"/>
  <c r="AH919" i="3"/>
  <c r="AI919" i="3"/>
  <c r="AK919" i="3"/>
  <c r="AL919" i="3"/>
  <c r="K918" i="3"/>
  <c r="O918" i="3"/>
  <c r="AC918" i="3"/>
  <c r="P918" i="3" s="1"/>
  <c r="AD918" i="3"/>
  <c r="AE918" i="3"/>
  <c r="R918" i="3" s="1"/>
  <c r="AG918" i="3"/>
  <c r="AH918" i="3"/>
  <c r="AI918" i="3"/>
  <c r="AK918" i="3"/>
  <c r="AL918" i="3"/>
  <c r="K917" i="3"/>
  <c r="O917" i="3"/>
  <c r="AC917" i="3"/>
  <c r="P917" i="3" s="1"/>
  <c r="AD917" i="3"/>
  <c r="AE917" i="3"/>
  <c r="R917" i="3" s="1"/>
  <c r="AG917" i="3"/>
  <c r="AH917" i="3"/>
  <c r="AI917" i="3"/>
  <c r="AK917" i="3"/>
  <c r="AL917" i="3"/>
  <c r="K916" i="3"/>
  <c r="O916" i="3"/>
  <c r="AC916" i="3"/>
  <c r="P916" i="3" s="1"/>
  <c r="AD916" i="3"/>
  <c r="AE916" i="3"/>
  <c r="R916" i="3" s="1"/>
  <c r="AG916" i="3"/>
  <c r="AH916" i="3"/>
  <c r="AI916" i="3"/>
  <c r="AK916" i="3"/>
  <c r="AL916" i="3"/>
  <c r="K915" i="3"/>
  <c r="O915" i="3"/>
  <c r="AC915" i="3"/>
  <c r="P915" i="3" s="1"/>
  <c r="AD915" i="3"/>
  <c r="AE915" i="3"/>
  <c r="R915" i="3" s="1"/>
  <c r="AG915" i="3"/>
  <c r="AH915" i="3"/>
  <c r="AI915" i="3"/>
  <c r="AK915" i="3"/>
  <c r="AL915" i="3"/>
  <c r="K914" i="3"/>
  <c r="O914" i="3"/>
  <c r="AC914" i="3"/>
  <c r="P914" i="3" s="1"/>
  <c r="AD914" i="3"/>
  <c r="AE914" i="3"/>
  <c r="R914" i="3" s="1"/>
  <c r="AG914" i="3"/>
  <c r="AH914" i="3"/>
  <c r="AI914" i="3"/>
  <c r="AK914" i="3"/>
  <c r="AL914" i="3"/>
  <c r="K913" i="3"/>
  <c r="O913" i="3"/>
  <c r="AC913" i="3"/>
  <c r="P913" i="3" s="1"/>
  <c r="AD913" i="3"/>
  <c r="AE913" i="3"/>
  <c r="R913" i="3" s="1"/>
  <c r="AG913" i="3"/>
  <c r="AH913" i="3"/>
  <c r="AI913" i="3"/>
  <c r="AK913" i="3"/>
  <c r="AL913" i="3"/>
  <c r="K912" i="3"/>
  <c r="O912" i="3"/>
  <c r="AC912" i="3"/>
  <c r="P912" i="3" s="1"/>
  <c r="AD912" i="3"/>
  <c r="AE912" i="3"/>
  <c r="R912" i="3" s="1"/>
  <c r="AG912" i="3"/>
  <c r="AH912" i="3"/>
  <c r="AI912" i="3"/>
  <c r="AK912" i="3"/>
  <c r="AL912" i="3"/>
  <c r="K911" i="3"/>
  <c r="O911" i="3"/>
  <c r="AC911" i="3"/>
  <c r="P911" i="3" s="1"/>
  <c r="AD911" i="3"/>
  <c r="AE911" i="3"/>
  <c r="R911" i="3" s="1"/>
  <c r="AG911" i="3"/>
  <c r="AH911" i="3"/>
  <c r="AI911" i="3"/>
  <c r="AK911" i="3"/>
  <c r="AL911" i="3"/>
  <c r="K910" i="3"/>
  <c r="O910" i="3"/>
  <c r="AC910" i="3"/>
  <c r="P910" i="3" s="1"/>
  <c r="AD910" i="3"/>
  <c r="AE910" i="3"/>
  <c r="R910" i="3" s="1"/>
  <c r="AG910" i="3"/>
  <c r="AH910" i="3"/>
  <c r="AI910" i="3"/>
  <c r="AK910" i="3"/>
  <c r="AL910" i="3"/>
  <c r="K909" i="3"/>
  <c r="O909" i="3"/>
  <c r="AC909" i="3"/>
  <c r="P909" i="3" s="1"/>
  <c r="AD909" i="3"/>
  <c r="AE909" i="3"/>
  <c r="R909" i="3" s="1"/>
  <c r="AG909" i="3"/>
  <c r="AH909" i="3"/>
  <c r="AI909" i="3"/>
  <c r="AK909" i="3"/>
  <c r="AL909" i="3"/>
  <c r="K908" i="3"/>
  <c r="O908" i="3"/>
  <c r="AC908" i="3"/>
  <c r="P908" i="3" s="1"/>
  <c r="AD908" i="3"/>
  <c r="AE908" i="3"/>
  <c r="R908" i="3" s="1"/>
  <c r="AG908" i="3"/>
  <c r="AH908" i="3"/>
  <c r="AI908" i="3"/>
  <c r="AK908" i="3"/>
  <c r="AL908" i="3"/>
  <c r="K907" i="3"/>
  <c r="O907" i="3"/>
  <c r="AC907" i="3"/>
  <c r="P907" i="3" s="1"/>
  <c r="AD907" i="3"/>
  <c r="AE907" i="3"/>
  <c r="R907" i="3" s="1"/>
  <c r="AG907" i="3"/>
  <c r="AH907" i="3"/>
  <c r="AI907" i="3"/>
  <c r="AK907" i="3"/>
  <c r="AL907" i="3"/>
  <c r="K906" i="3"/>
  <c r="O906" i="3"/>
  <c r="AC906" i="3"/>
  <c r="P906" i="3" s="1"/>
  <c r="AD906" i="3"/>
  <c r="AE906" i="3"/>
  <c r="R906" i="3" s="1"/>
  <c r="AG906" i="3"/>
  <c r="AH906" i="3"/>
  <c r="AI906" i="3"/>
  <c r="AK906" i="3"/>
  <c r="AL906" i="3"/>
  <c r="K905" i="3"/>
  <c r="O905" i="3"/>
  <c r="AC905" i="3"/>
  <c r="P905" i="3" s="1"/>
  <c r="AD905" i="3"/>
  <c r="AE905" i="3"/>
  <c r="R905" i="3" s="1"/>
  <c r="AG905" i="3"/>
  <c r="AH905" i="3"/>
  <c r="AI905" i="3"/>
  <c r="AK905" i="3"/>
  <c r="AL905" i="3"/>
  <c r="K904" i="3"/>
  <c r="O904" i="3"/>
  <c r="AC904" i="3"/>
  <c r="P904" i="3" s="1"/>
  <c r="AD904" i="3"/>
  <c r="AE904" i="3"/>
  <c r="R904" i="3" s="1"/>
  <c r="AG904" i="3"/>
  <c r="AH904" i="3"/>
  <c r="AI904" i="3"/>
  <c r="AK904" i="3"/>
  <c r="AL904" i="3"/>
  <c r="K903" i="3"/>
  <c r="O903" i="3"/>
  <c r="AC903" i="3"/>
  <c r="P903" i="3" s="1"/>
  <c r="AD903" i="3"/>
  <c r="AE903" i="3"/>
  <c r="R903" i="3" s="1"/>
  <c r="AG903" i="3"/>
  <c r="AH903" i="3"/>
  <c r="AI903" i="3"/>
  <c r="AK903" i="3"/>
  <c r="AL903" i="3"/>
  <c r="M102" i="1" l="1"/>
  <c r="AJ1339" i="3" s="1"/>
  <c r="X1339" i="3" s="1"/>
  <c r="AA1339" i="3" s="1"/>
  <c r="M201" i="1"/>
  <c r="AJ1387" i="3" s="1"/>
  <c r="X1387" i="3" s="1"/>
  <c r="AA1387" i="3" s="1"/>
  <c r="AF1325" i="3"/>
  <c r="AF1350" i="3"/>
  <c r="I1339" i="3"/>
  <c r="J1339" i="3"/>
  <c r="AM1339" i="3" s="1"/>
  <c r="AN1339" i="3" s="1"/>
  <c r="AO1339" i="3" s="1"/>
  <c r="AP1339" i="3" s="1"/>
  <c r="AB1339" i="3"/>
  <c r="AF1128" i="3"/>
  <c r="AF1300" i="3"/>
  <c r="U1290" i="3"/>
  <c r="V1290" i="3" s="1"/>
  <c r="W1290" i="3" s="1"/>
  <c r="U1289" i="3"/>
  <c r="V1289" i="3" s="1"/>
  <c r="W1289" i="3" s="1"/>
  <c r="U1284" i="3"/>
  <c r="V1284" i="3" s="1"/>
  <c r="W1284" i="3" s="1"/>
  <c r="U1283" i="3"/>
  <c r="V1283" i="3" s="1"/>
  <c r="W1283" i="3" s="1"/>
  <c r="U1282" i="3"/>
  <c r="V1282" i="3" s="1"/>
  <c r="W1282" i="3" s="1"/>
  <c r="U1280" i="3"/>
  <c r="V1280" i="3" s="1"/>
  <c r="W1280" i="3" s="1"/>
  <c r="U1279" i="3"/>
  <c r="V1279" i="3" s="1"/>
  <c r="W1279" i="3" s="1"/>
  <c r="U1278" i="3"/>
  <c r="V1278" i="3" s="1"/>
  <c r="W1278" i="3" s="1"/>
  <c r="U1277" i="3"/>
  <c r="V1277" i="3" s="1"/>
  <c r="W1277" i="3" s="1"/>
  <c r="U1276" i="3"/>
  <c r="V1276" i="3" s="1"/>
  <c r="W1276" i="3" s="1"/>
  <c r="U1275" i="3"/>
  <c r="V1275" i="3" s="1"/>
  <c r="W1275" i="3" s="1"/>
  <c r="U1273" i="3"/>
  <c r="V1273" i="3" s="1"/>
  <c r="W1273" i="3" s="1"/>
  <c r="U1269" i="3"/>
  <c r="V1269" i="3" s="1"/>
  <c r="W1269" i="3" s="1"/>
  <c r="U1268" i="3"/>
  <c r="V1268" i="3" s="1"/>
  <c r="W1268" i="3" s="1"/>
  <c r="U1264" i="3"/>
  <c r="V1264" i="3" s="1"/>
  <c r="W1264" i="3" s="1"/>
  <c r="U1262" i="3"/>
  <c r="V1262" i="3" s="1"/>
  <c r="W1262" i="3" s="1"/>
  <c r="U1261" i="3"/>
  <c r="V1261" i="3" s="1"/>
  <c r="W1261" i="3" s="1"/>
  <c r="U1258" i="3"/>
  <c r="V1258" i="3" s="1"/>
  <c r="W1258" i="3" s="1"/>
  <c r="U1255" i="3"/>
  <c r="V1255" i="3" s="1"/>
  <c r="W1255" i="3" s="1"/>
  <c r="U1254" i="3"/>
  <c r="V1254" i="3" s="1"/>
  <c r="W1254" i="3" s="1"/>
  <c r="U1252" i="3"/>
  <c r="V1252" i="3" s="1"/>
  <c r="W1252" i="3" s="1"/>
  <c r="U1250" i="3"/>
  <c r="V1250" i="3" s="1"/>
  <c r="W1250" i="3" s="1"/>
  <c r="U1249" i="3"/>
  <c r="V1249" i="3" s="1"/>
  <c r="W1249" i="3" s="1"/>
  <c r="U1245" i="3"/>
  <c r="V1245" i="3" s="1"/>
  <c r="W1245" i="3" s="1"/>
  <c r="U1246" i="3"/>
  <c r="V1246" i="3" s="1"/>
  <c r="W1246" i="3" s="1"/>
  <c r="U1244" i="3"/>
  <c r="V1244" i="3" s="1"/>
  <c r="W1244" i="3" s="1"/>
  <c r="U1243" i="3"/>
  <c r="V1243" i="3" s="1"/>
  <c r="W1243" i="3" s="1"/>
  <c r="U1242" i="3"/>
  <c r="V1242" i="3" s="1"/>
  <c r="W1242" i="3" s="1"/>
  <c r="U1240" i="3"/>
  <c r="V1240" i="3" s="1"/>
  <c r="W1240" i="3" s="1"/>
  <c r="U1239" i="3"/>
  <c r="V1239" i="3" s="1"/>
  <c r="W1239" i="3" s="1"/>
  <c r="U1238" i="3"/>
  <c r="V1238" i="3" s="1"/>
  <c r="W1238" i="3" s="1"/>
  <c r="U1236" i="3"/>
  <c r="V1236" i="3" s="1"/>
  <c r="W1236" i="3" s="1"/>
  <c r="U1235" i="3"/>
  <c r="V1235" i="3" s="1"/>
  <c r="W1235" i="3" s="1"/>
  <c r="U1234" i="3"/>
  <c r="V1234" i="3" s="1"/>
  <c r="W1234" i="3" s="1"/>
  <c r="U1233" i="3"/>
  <c r="V1233" i="3" s="1"/>
  <c r="W1233" i="3" s="1"/>
  <c r="U1229" i="3"/>
  <c r="V1229" i="3" s="1"/>
  <c r="W1229" i="3" s="1"/>
  <c r="U1228" i="3"/>
  <c r="V1228" i="3" s="1"/>
  <c r="W1228" i="3" s="1"/>
  <c r="U1225" i="3"/>
  <c r="V1225" i="3" s="1"/>
  <c r="W1225" i="3" s="1"/>
  <c r="U1224" i="3"/>
  <c r="V1224" i="3" s="1"/>
  <c r="W1224" i="3" s="1"/>
  <c r="U1222" i="3"/>
  <c r="V1222" i="3" s="1"/>
  <c r="W1222" i="3" s="1"/>
  <c r="U1219" i="3"/>
  <c r="V1219" i="3" s="1"/>
  <c r="W1219" i="3" s="1"/>
  <c r="U1218" i="3"/>
  <c r="V1218" i="3" s="1"/>
  <c r="W1218" i="3" s="1"/>
  <c r="U1215" i="3"/>
  <c r="V1215" i="3" s="1"/>
  <c r="W1215" i="3" s="1"/>
  <c r="U1214" i="3"/>
  <c r="V1214" i="3" s="1"/>
  <c r="W1214" i="3" s="1"/>
  <c r="U1210" i="3"/>
  <c r="V1210" i="3" s="1"/>
  <c r="W1210" i="3" s="1"/>
  <c r="U1209" i="3"/>
  <c r="V1209" i="3" s="1"/>
  <c r="W1209" i="3" s="1"/>
  <c r="U1208" i="3"/>
  <c r="V1208" i="3" s="1"/>
  <c r="W1208" i="3" s="1"/>
  <c r="U1205" i="3"/>
  <c r="V1205" i="3" s="1"/>
  <c r="W1205" i="3" s="1"/>
  <c r="U1204" i="3"/>
  <c r="V1204" i="3" s="1"/>
  <c r="W1204" i="3" s="1"/>
  <c r="U1203" i="3"/>
  <c r="V1203" i="3" s="1"/>
  <c r="W1203" i="3" s="1"/>
  <c r="U1202" i="3"/>
  <c r="V1202" i="3" s="1"/>
  <c r="W1202" i="3" s="1"/>
  <c r="U1198" i="3"/>
  <c r="V1198" i="3" s="1"/>
  <c r="W1198" i="3" s="1"/>
  <c r="U1194" i="3"/>
  <c r="V1194" i="3" s="1"/>
  <c r="W1194" i="3" s="1"/>
  <c r="U1193" i="3"/>
  <c r="V1193" i="3" s="1"/>
  <c r="W1193" i="3" s="1"/>
  <c r="U1192" i="3"/>
  <c r="V1192" i="3" s="1"/>
  <c r="W1192" i="3" s="1"/>
  <c r="U1190" i="3"/>
  <c r="V1190" i="3" s="1"/>
  <c r="W1190" i="3" s="1"/>
  <c r="U1189" i="3"/>
  <c r="V1189" i="3" s="1"/>
  <c r="W1189" i="3" s="1"/>
  <c r="U1187" i="3"/>
  <c r="V1187" i="3" s="1"/>
  <c r="W1187" i="3" s="1"/>
  <c r="U1186" i="3"/>
  <c r="V1186" i="3" s="1"/>
  <c r="W1186" i="3" s="1"/>
  <c r="U1185" i="3"/>
  <c r="V1185" i="3" s="1"/>
  <c r="W1185" i="3" s="1"/>
  <c r="U1184" i="3"/>
  <c r="V1184" i="3" s="1"/>
  <c r="W1184" i="3" s="1"/>
  <c r="U1183" i="3"/>
  <c r="V1183" i="3" s="1"/>
  <c r="W1183" i="3" s="1"/>
  <c r="U1180" i="3"/>
  <c r="V1180" i="3" s="1"/>
  <c r="W1180" i="3" s="1"/>
  <c r="U1177" i="3"/>
  <c r="V1177" i="3" s="1"/>
  <c r="W1177" i="3" s="1"/>
  <c r="U1176" i="3"/>
  <c r="V1176" i="3" s="1"/>
  <c r="W1176" i="3" s="1"/>
  <c r="U1174" i="3"/>
  <c r="V1174" i="3" s="1"/>
  <c r="W1174" i="3" s="1"/>
  <c r="U1172" i="3"/>
  <c r="V1172" i="3" s="1"/>
  <c r="W1172" i="3" s="1"/>
  <c r="U1171" i="3"/>
  <c r="V1171" i="3" s="1"/>
  <c r="W1171" i="3" s="1"/>
  <c r="U1169" i="3"/>
  <c r="V1169" i="3" s="1"/>
  <c r="W1169" i="3" s="1"/>
  <c r="U1164" i="3"/>
  <c r="V1164" i="3" s="1"/>
  <c r="W1164" i="3" s="1"/>
  <c r="U1158" i="3"/>
  <c r="V1158" i="3" s="1"/>
  <c r="W1158" i="3" s="1"/>
  <c r="U1156" i="3"/>
  <c r="V1156" i="3" s="1"/>
  <c r="W1156" i="3" s="1"/>
  <c r="U1155" i="3"/>
  <c r="V1155" i="3" s="1"/>
  <c r="W1155" i="3" s="1"/>
  <c r="U1291" i="3"/>
  <c r="V1291" i="3" s="1"/>
  <c r="W1291" i="3" s="1"/>
  <c r="U1288" i="3"/>
  <c r="V1288" i="3" s="1"/>
  <c r="W1288" i="3" s="1"/>
  <c r="U1287" i="3"/>
  <c r="V1287" i="3" s="1"/>
  <c r="W1287" i="3" s="1"/>
  <c r="U1286" i="3"/>
  <c r="V1286" i="3" s="1"/>
  <c r="W1286" i="3" s="1"/>
  <c r="U1285" i="3"/>
  <c r="V1285" i="3" s="1"/>
  <c r="W1285" i="3" s="1"/>
  <c r="U1281" i="3"/>
  <c r="V1281" i="3" s="1"/>
  <c r="W1281" i="3" s="1"/>
  <c r="U1274" i="3"/>
  <c r="V1274" i="3" s="1"/>
  <c r="W1274" i="3" s="1"/>
  <c r="U1272" i="3"/>
  <c r="V1272" i="3" s="1"/>
  <c r="W1272" i="3" s="1"/>
  <c r="U1271" i="3"/>
  <c r="V1271" i="3" s="1"/>
  <c r="W1271" i="3" s="1"/>
  <c r="U1270" i="3"/>
  <c r="V1270" i="3" s="1"/>
  <c r="W1270" i="3" s="1"/>
  <c r="U1267" i="3"/>
  <c r="V1267" i="3" s="1"/>
  <c r="W1267" i="3" s="1"/>
  <c r="U1266" i="3"/>
  <c r="V1266" i="3" s="1"/>
  <c r="W1266" i="3" s="1"/>
  <c r="U1265" i="3"/>
  <c r="V1265" i="3" s="1"/>
  <c r="W1265" i="3" s="1"/>
  <c r="U1263" i="3"/>
  <c r="V1263" i="3" s="1"/>
  <c r="W1263" i="3" s="1"/>
  <c r="U1260" i="3"/>
  <c r="V1260" i="3" s="1"/>
  <c r="W1260" i="3" s="1"/>
  <c r="U1259" i="3"/>
  <c r="V1259" i="3" s="1"/>
  <c r="W1259" i="3" s="1"/>
  <c r="U1257" i="3"/>
  <c r="V1257" i="3" s="1"/>
  <c r="W1257" i="3" s="1"/>
  <c r="U1256" i="3"/>
  <c r="V1256" i="3" s="1"/>
  <c r="W1256" i="3" s="1"/>
  <c r="U1253" i="3"/>
  <c r="V1253" i="3" s="1"/>
  <c r="W1253" i="3" s="1"/>
  <c r="U1251" i="3"/>
  <c r="V1251" i="3" s="1"/>
  <c r="W1251" i="3" s="1"/>
  <c r="U1248" i="3"/>
  <c r="V1248" i="3" s="1"/>
  <c r="W1248" i="3" s="1"/>
  <c r="U1247" i="3"/>
  <c r="V1247" i="3" s="1"/>
  <c r="W1247" i="3" s="1"/>
  <c r="U1241" i="3"/>
  <c r="V1241" i="3" s="1"/>
  <c r="W1241" i="3" s="1"/>
  <c r="U1237" i="3"/>
  <c r="V1237" i="3" s="1"/>
  <c r="W1237" i="3" s="1"/>
  <c r="U1232" i="3"/>
  <c r="V1232" i="3" s="1"/>
  <c r="W1232" i="3" s="1"/>
  <c r="U1231" i="3"/>
  <c r="V1231" i="3" s="1"/>
  <c r="W1231" i="3" s="1"/>
  <c r="U1230" i="3"/>
  <c r="V1230" i="3" s="1"/>
  <c r="W1230" i="3" s="1"/>
  <c r="U1227" i="3"/>
  <c r="V1227" i="3" s="1"/>
  <c r="W1227" i="3" s="1"/>
  <c r="U1226" i="3"/>
  <c r="V1226" i="3" s="1"/>
  <c r="W1226" i="3" s="1"/>
  <c r="U1223" i="3"/>
  <c r="V1223" i="3" s="1"/>
  <c r="W1223" i="3" s="1"/>
  <c r="U1221" i="3"/>
  <c r="V1221" i="3" s="1"/>
  <c r="W1221" i="3" s="1"/>
  <c r="U1220" i="3"/>
  <c r="V1220" i="3" s="1"/>
  <c r="W1220" i="3" s="1"/>
  <c r="U1217" i="3"/>
  <c r="V1217" i="3" s="1"/>
  <c r="W1217" i="3" s="1"/>
  <c r="U1216" i="3"/>
  <c r="V1216" i="3" s="1"/>
  <c r="W1216" i="3" s="1"/>
  <c r="U1213" i="3"/>
  <c r="V1213" i="3" s="1"/>
  <c r="W1213" i="3" s="1"/>
  <c r="U1212" i="3"/>
  <c r="V1212" i="3" s="1"/>
  <c r="W1212" i="3" s="1"/>
  <c r="U1211" i="3"/>
  <c r="V1211" i="3" s="1"/>
  <c r="W1211" i="3" s="1"/>
  <c r="U1207" i="3"/>
  <c r="V1207" i="3" s="1"/>
  <c r="W1207" i="3" s="1"/>
  <c r="U1206" i="3"/>
  <c r="V1206" i="3" s="1"/>
  <c r="W1206" i="3" s="1"/>
  <c r="U1201" i="3"/>
  <c r="V1201" i="3" s="1"/>
  <c r="W1201" i="3" s="1"/>
  <c r="U1200" i="3"/>
  <c r="V1200" i="3" s="1"/>
  <c r="W1200" i="3" s="1"/>
  <c r="U1199" i="3"/>
  <c r="V1199" i="3" s="1"/>
  <c r="W1199" i="3" s="1"/>
  <c r="U1197" i="3"/>
  <c r="V1197" i="3" s="1"/>
  <c r="W1197" i="3" s="1"/>
  <c r="U1196" i="3"/>
  <c r="V1196" i="3" s="1"/>
  <c r="W1196" i="3" s="1"/>
  <c r="U1195" i="3"/>
  <c r="V1195" i="3" s="1"/>
  <c r="W1195" i="3" s="1"/>
  <c r="U1191" i="3"/>
  <c r="V1191" i="3" s="1"/>
  <c r="W1191" i="3" s="1"/>
  <c r="U1188" i="3"/>
  <c r="V1188" i="3" s="1"/>
  <c r="W1188" i="3" s="1"/>
  <c r="U1182" i="3"/>
  <c r="V1182" i="3" s="1"/>
  <c r="W1182" i="3" s="1"/>
  <c r="U1181" i="3"/>
  <c r="V1181" i="3" s="1"/>
  <c r="W1181" i="3" s="1"/>
  <c r="U1179" i="3"/>
  <c r="V1179" i="3" s="1"/>
  <c r="W1179" i="3" s="1"/>
  <c r="U1178" i="3"/>
  <c r="V1178" i="3" s="1"/>
  <c r="W1178" i="3" s="1"/>
  <c r="U1175" i="3"/>
  <c r="V1175" i="3" s="1"/>
  <c r="W1175" i="3" s="1"/>
  <c r="U1173" i="3"/>
  <c r="V1173" i="3" s="1"/>
  <c r="W1173" i="3" s="1"/>
  <c r="U1170" i="3"/>
  <c r="V1170" i="3" s="1"/>
  <c r="W1170" i="3" s="1"/>
  <c r="U1168" i="3"/>
  <c r="V1168" i="3" s="1"/>
  <c r="W1168" i="3" s="1"/>
  <c r="U1167" i="3"/>
  <c r="V1167" i="3" s="1"/>
  <c r="W1167" i="3" s="1"/>
  <c r="U1166" i="3"/>
  <c r="V1166" i="3" s="1"/>
  <c r="W1166" i="3" s="1"/>
  <c r="U1165" i="3"/>
  <c r="V1165" i="3" s="1"/>
  <c r="W1165" i="3" s="1"/>
  <c r="U1163" i="3"/>
  <c r="V1163" i="3" s="1"/>
  <c r="W1163" i="3" s="1"/>
  <c r="U1162" i="3"/>
  <c r="V1162" i="3" s="1"/>
  <c r="W1162" i="3" s="1"/>
  <c r="U1161" i="3"/>
  <c r="V1161" i="3" s="1"/>
  <c r="W1161" i="3" s="1"/>
  <c r="U1160" i="3"/>
  <c r="V1160" i="3" s="1"/>
  <c r="W1160" i="3" s="1"/>
  <c r="U1159" i="3"/>
  <c r="V1159" i="3" s="1"/>
  <c r="W1159" i="3" s="1"/>
  <c r="U1157" i="3"/>
  <c r="V1157" i="3" s="1"/>
  <c r="W1157" i="3" s="1"/>
  <c r="U1154" i="3"/>
  <c r="V1154" i="3" s="1"/>
  <c r="W1154" i="3" s="1"/>
  <c r="U1153" i="3"/>
  <c r="V1153" i="3" s="1"/>
  <c r="W1153" i="3" s="1"/>
  <c r="U1152" i="3"/>
  <c r="V1152" i="3" s="1"/>
  <c r="W1152" i="3" s="1"/>
  <c r="M193" i="1"/>
  <c r="AJ1263" i="3" s="1"/>
  <c r="X1263" i="3" s="1"/>
  <c r="M101" i="1"/>
  <c r="AJ1286" i="3" s="1"/>
  <c r="X1286" i="3" s="1"/>
  <c r="M100" i="1"/>
  <c r="AJ1197" i="3" s="1"/>
  <c r="X1197" i="3" s="1"/>
  <c r="M23" i="1"/>
  <c r="AJ1310" i="3" s="1"/>
  <c r="X1310" i="3" s="1"/>
  <c r="AA1310" i="3" s="1"/>
  <c r="M99" i="1"/>
  <c r="AJ1168" i="3" s="1"/>
  <c r="X1168" i="3" s="1"/>
  <c r="M76" i="1"/>
  <c r="AJ1182" i="3" s="1"/>
  <c r="X1182" i="3" s="1"/>
  <c r="AF1145" i="3"/>
  <c r="AF1157" i="3"/>
  <c r="U1151" i="3"/>
  <c r="V1151" i="3" s="1"/>
  <c r="W1151" i="3" s="1"/>
  <c r="U1150" i="3"/>
  <c r="V1150" i="3" s="1"/>
  <c r="W1150" i="3" s="1"/>
  <c r="U1149" i="3"/>
  <c r="V1149" i="3" s="1"/>
  <c r="W1149" i="3" s="1"/>
  <c r="U1148" i="3"/>
  <c r="V1148" i="3" s="1"/>
  <c r="W1148" i="3" s="1"/>
  <c r="U1146" i="3"/>
  <c r="V1146" i="3" s="1"/>
  <c r="W1146" i="3" s="1"/>
  <c r="U1144" i="3"/>
  <c r="V1144" i="3" s="1"/>
  <c r="W1144" i="3" s="1"/>
  <c r="U1142" i="3"/>
  <c r="V1142" i="3" s="1"/>
  <c r="W1142" i="3" s="1"/>
  <c r="U1140" i="3"/>
  <c r="V1140" i="3" s="1"/>
  <c r="W1140" i="3" s="1"/>
  <c r="U1136" i="3"/>
  <c r="V1136" i="3" s="1"/>
  <c r="W1136" i="3" s="1"/>
  <c r="U1135" i="3"/>
  <c r="V1135" i="3" s="1"/>
  <c r="W1135" i="3" s="1"/>
  <c r="U1133" i="3"/>
  <c r="V1133" i="3" s="1"/>
  <c r="W1133" i="3" s="1"/>
  <c r="U1132" i="3"/>
  <c r="V1132" i="3" s="1"/>
  <c r="W1132" i="3" s="1"/>
  <c r="U1130" i="3"/>
  <c r="V1130" i="3" s="1"/>
  <c r="W1130" i="3" s="1"/>
  <c r="U1129" i="3"/>
  <c r="V1129" i="3" s="1"/>
  <c r="W1129" i="3" s="1"/>
  <c r="U1128" i="3"/>
  <c r="V1128" i="3" s="1"/>
  <c r="W1128" i="3" s="1"/>
  <c r="U1127" i="3"/>
  <c r="V1127" i="3" s="1"/>
  <c r="W1127" i="3" s="1"/>
  <c r="U1124" i="3"/>
  <c r="V1124" i="3" s="1"/>
  <c r="W1124" i="3" s="1"/>
  <c r="U1122" i="3"/>
  <c r="V1122" i="3" s="1"/>
  <c r="W1122" i="3" s="1"/>
  <c r="U1121" i="3"/>
  <c r="V1121" i="3" s="1"/>
  <c r="W1121" i="3" s="1"/>
  <c r="U1120" i="3"/>
  <c r="V1120" i="3" s="1"/>
  <c r="W1120" i="3" s="1"/>
  <c r="U1117" i="3"/>
  <c r="V1117" i="3" s="1"/>
  <c r="W1117" i="3" s="1"/>
  <c r="U1116" i="3"/>
  <c r="V1116" i="3" s="1"/>
  <c r="W1116" i="3" s="1"/>
  <c r="U1114" i="3"/>
  <c r="V1114" i="3" s="1"/>
  <c r="W1114" i="3" s="1"/>
  <c r="U1110" i="3"/>
  <c r="V1110" i="3" s="1"/>
  <c r="W1110" i="3" s="1"/>
  <c r="U1108" i="3"/>
  <c r="V1108" i="3" s="1"/>
  <c r="W1108" i="3" s="1"/>
  <c r="U1147" i="3"/>
  <c r="V1147" i="3" s="1"/>
  <c r="W1147" i="3" s="1"/>
  <c r="U1145" i="3"/>
  <c r="V1145" i="3" s="1"/>
  <c r="W1145" i="3" s="1"/>
  <c r="U1143" i="3"/>
  <c r="V1143" i="3" s="1"/>
  <c r="W1143" i="3" s="1"/>
  <c r="U1141" i="3"/>
  <c r="V1141" i="3" s="1"/>
  <c r="W1141" i="3" s="1"/>
  <c r="U1139" i="3"/>
  <c r="V1139" i="3" s="1"/>
  <c r="W1139" i="3" s="1"/>
  <c r="U1138" i="3"/>
  <c r="V1138" i="3" s="1"/>
  <c r="W1138" i="3" s="1"/>
  <c r="U1137" i="3"/>
  <c r="V1137" i="3" s="1"/>
  <c r="W1137" i="3" s="1"/>
  <c r="U1134" i="3"/>
  <c r="V1134" i="3" s="1"/>
  <c r="W1134" i="3" s="1"/>
  <c r="U1131" i="3"/>
  <c r="V1131" i="3" s="1"/>
  <c r="W1131" i="3" s="1"/>
  <c r="U1126" i="3"/>
  <c r="V1126" i="3" s="1"/>
  <c r="W1126" i="3" s="1"/>
  <c r="U1125" i="3"/>
  <c r="V1125" i="3" s="1"/>
  <c r="W1125" i="3" s="1"/>
  <c r="U1123" i="3"/>
  <c r="V1123" i="3" s="1"/>
  <c r="W1123" i="3" s="1"/>
  <c r="U1119" i="3"/>
  <c r="V1119" i="3" s="1"/>
  <c r="W1119" i="3" s="1"/>
  <c r="U1118" i="3"/>
  <c r="V1118" i="3" s="1"/>
  <c r="W1118" i="3" s="1"/>
  <c r="U1115" i="3"/>
  <c r="V1115" i="3" s="1"/>
  <c r="W1115" i="3" s="1"/>
  <c r="U1113" i="3"/>
  <c r="V1113" i="3" s="1"/>
  <c r="W1113" i="3" s="1"/>
  <c r="U1112" i="3"/>
  <c r="V1112" i="3" s="1"/>
  <c r="W1112" i="3" s="1"/>
  <c r="U1111" i="3"/>
  <c r="V1111" i="3" s="1"/>
  <c r="W1111" i="3" s="1"/>
  <c r="U1109" i="3"/>
  <c r="V1109" i="3" s="1"/>
  <c r="W1109" i="3" s="1"/>
  <c r="AF1137" i="3"/>
  <c r="AF1144" i="3"/>
  <c r="M185" i="1"/>
  <c r="AJ1163" i="3" s="1"/>
  <c r="X1163" i="3" s="1"/>
  <c r="M98" i="1"/>
  <c r="AJ1143" i="3" s="1"/>
  <c r="X1143" i="3" s="1"/>
  <c r="AF1135" i="3"/>
  <c r="AF1136" i="3"/>
  <c r="AF1045" i="3"/>
  <c r="AF1127" i="3"/>
  <c r="AF1119" i="3"/>
  <c r="AF1126" i="3"/>
  <c r="U1107" i="3"/>
  <c r="V1107" i="3" s="1"/>
  <c r="W1107" i="3" s="1"/>
  <c r="U1106" i="3"/>
  <c r="V1106" i="3" s="1"/>
  <c r="W1106" i="3" s="1"/>
  <c r="U1104" i="3"/>
  <c r="V1104" i="3" s="1"/>
  <c r="W1104" i="3" s="1"/>
  <c r="U1103" i="3"/>
  <c r="V1103" i="3" s="1"/>
  <c r="W1103" i="3" s="1"/>
  <c r="U1102" i="3"/>
  <c r="V1102" i="3" s="1"/>
  <c r="W1102" i="3" s="1"/>
  <c r="U1100" i="3"/>
  <c r="V1100" i="3" s="1"/>
  <c r="W1100" i="3" s="1"/>
  <c r="U1105" i="3"/>
  <c r="V1105" i="3" s="1"/>
  <c r="W1105" i="3" s="1"/>
  <c r="U1101" i="3"/>
  <c r="V1101" i="3" s="1"/>
  <c r="W1101" i="3" s="1"/>
  <c r="U1099" i="3"/>
  <c r="V1099" i="3" s="1"/>
  <c r="W1099" i="3" s="1"/>
  <c r="U1097" i="3"/>
  <c r="V1097" i="3" s="1"/>
  <c r="W1097" i="3" s="1"/>
  <c r="U1096" i="3"/>
  <c r="V1096" i="3" s="1"/>
  <c r="W1096" i="3" s="1"/>
  <c r="U1095" i="3"/>
  <c r="V1095" i="3" s="1"/>
  <c r="W1095" i="3" s="1"/>
  <c r="U1093" i="3"/>
  <c r="V1093" i="3" s="1"/>
  <c r="W1093" i="3" s="1"/>
  <c r="U1092" i="3"/>
  <c r="V1092" i="3" s="1"/>
  <c r="W1092" i="3" s="1"/>
  <c r="U1089" i="3"/>
  <c r="V1089" i="3" s="1"/>
  <c r="W1089" i="3" s="1"/>
  <c r="U1088" i="3"/>
  <c r="V1088" i="3" s="1"/>
  <c r="W1088" i="3" s="1"/>
  <c r="U1084" i="3"/>
  <c r="V1084" i="3" s="1"/>
  <c r="W1084" i="3" s="1"/>
  <c r="U1083" i="3"/>
  <c r="V1083" i="3" s="1"/>
  <c r="W1083" i="3" s="1"/>
  <c r="U1082" i="3"/>
  <c r="V1082" i="3" s="1"/>
  <c r="W1082" i="3" s="1"/>
  <c r="U1081" i="3"/>
  <c r="V1081" i="3" s="1"/>
  <c r="W1081" i="3" s="1"/>
  <c r="U1098" i="3"/>
  <c r="V1098" i="3" s="1"/>
  <c r="W1098" i="3" s="1"/>
  <c r="U1094" i="3"/>
  <c r="V1094" i="3" s="1"/>
  <c r="W1094" i="3" s="1"/>
  <c r="U1091" i="3"/>
  <c r="V1091" i="3" s="1"/>
  <c r="W1091" i="3" s="1"/>
  <c r="U1090" i="3"/>
  <c r="V1090" i="3" s="1"/>
  <c r="W1090" i="3" s="1"/>
  <c r="U1087" i="3"/>
  <c r="V1087" i="3" s="1"/>
  <c r="W1087" i="3" s="1"/>
  <c r="U1086" i="3"/>
  <c r="V1086" i="3" s="1"/>
  <c r="W1086" i="3" s="1"/>
  <c r="U1085" i="3"/>
  <c r="V1085" i="3" s="1"/>
  <c r="W1085" i="3" s="1"/>
  <c r="U1080" i="3"/>
  <c r="V1080" i="3" s="1"/>
  <c r="W1080" i="3" s="1"/>
  <c r="U1079" i="3"/>
  <c r="V1079" i="3" s="1"/>
  <c r="W1079" i="3" s="1"/>
  <c r="M96" i="1"/>
  <c r="AJ1066" i="3" s="1"/>
  <c r="X1066" i="3" s="1"/>
  <c r="M97" i="1"/>
  <c r="AJ1091" i="3" s="1"/>
  <c r="X1091" i="3" s="1"/>
  <c r="U1076" i="3"/>
  <c r="V1076" i="3" s="1"/>
  <c r="W1076" i="3" s="1"/>
  <c r="U1073" i="3"/>
  <c r="V1073" i="3" s="1"/>
  <c r="W1073" i="3" s="1"/>
  <c r="U1072" i="3"/>
  <c r="V1072" i="3" s="1"/>
  <c r="W1072" i="3" s="1"/>
  <c r="U1071" i="3"/>
  <c r="V1071" i="3" s="1"/>
  <c r="W1071" i="3" s="1"/>
  <c r="U1069" i="3"/>
  <c r="V1069" i="3" s="1"/>
  <c r="W1069" i="3" s="1"/>
  <c r="U1068" i="3"/>
  <c r="V1068" i="3" s="1"/>
  <c r="W1068" i="3" s="1"/>
  <c r="U1067" i="3"/>
  <c r="V1067" i="3" s="1"/>
  <c r="W1067" i="3" s="1"/>
  <c r="U1065" i="3"/>
  <c r="V1065" i="3" s="1"/>
  <c r="W1065" i="3" s="1"/>
  <c r="U1064" i="3"/>
  <c r="V1064" i="3" s="1"/>
  <c r="W1064" i="3" s="1"/>
  <c r="U1063" i="3"/>
  <c r="V1063" i="3" s="1"/>
  <c r="W1063" i="3" s="1"/>
  <c r="U1061" i="3"/>
  <c r="V1061" i="3" s="1"/>
  <c r="W1061" i="3" s="1"/>
  <c r="U1060" i="3"/>
  <c r="V1060" i="3" s="1"/>
  <c r="W1060" i="3" s="1"/>
  <c r="U1059" i="3"/>
  <c r="V1059" i="3" s="1"/>
  <c r="W1059" i="3" s="1"/>
  <c r="U1057" i="3"/>
  <c r="V1057" i="3" s="1"/>
  <c r="W1057" i="3" s="1"/>
  <c r="U1056" i="3"/>
  <c r="V1056" i="3" s="1"/>
  <c r="W1056" i="3" s="1"/>
  <c r="U1054" i="3"/>
  <c r="V1054" i="3" s="1"/>
  <c r="W1054" i="3" s="1"/>
  <c r="U1053" i="3"/>
  <c r="V1053" i="3" s="1"/>
  <c r="W1053" i="3" s="1"/>
  <c r="U1052" i="3"/>
  <c r="V1052" i="3" s="1"/>
  <c r="W1052" i="3" s="1"/>
  <c r="U1051" i="3"/>
  <c r="V1051" i="3" s="1"/>
  <c r="W1051" i="3" s="1"/>
  <c r="U1050" i="3"/>
  <c r="V1050" i="3" s="1"/>
  <c r="W1050" i="3" s="1"/>
  <c r="U1049" i="3"/>
  <c r="V1049" i="3" s="1"/>
  <c r="W1049" i="3" s="1"/>
  <c r="U1048" i="3"/>
  <c r="V1048" i="3" s="1"/>
  <c r="W1048" i="3" s="1"/>
  <c r="U1047" i="3"/>
  <c r="V1047" i="3" s="1"/>
  <c r="W1047" i="3" s="1"/>
  <c r="U1046" i="3"/>
  <c r="V1046" i="3" s="1"/>
  <c r="W1046" i="3" s="1"/>
  <c r="U1045" i="3"/>
  <c r="V1045" i="3" s="1"/>
  <c r="W1045" i="3" s="1"/>
  <c r="U1044" i="3"/>
  <c r="V1044" i="3" s="1"/>
  <c r="W1044" i="3" s="1"/>
  <c r="U1043" i="3"/>
  <c r="V1043" i="3" s="1"/>
  <c r="W1043" i="3" s="1"/>
  <c r="U1042" i="3"/>
  <c r="V1042" i="3" s="1"/>
  <c r="W1042" i="3" s="1"/>
  <c r="U1041" i="3"/>
  <c r="V1041" i="3" s="1"/>
  <c r="W1041" i="3" s="1"/>
  <c r="U1040" i="3"/>
  <c r="V1040" i="3" s="1"/>
  <c r="W1040" i="3" s="1"/>
  <c r="U1039" i="3"/>
  <c r="V1039" i="3" s="1"/>
  <c r="W1039" i="3" s="1"/>
  <c r="U1037" i="3"/>
  <c r="V1037" i="3" s="1"/>
  <c r="W1037" i="3" s="1"/>
  <c r="U1036" i="3"/>
  <c r="V1036" i="3" s="1"/>
  <c r="W1036" i="3" s="1"/>
  <c r="U1035" i="3"/>
  <c r="V1035" i="3" s="1"/>
  <c r="W1035" i="3" s="1"/>
  <c r="U1033" i="3"/>
  <c r="V1033" i="3" s="1"/>
  <c r="W1033" i="3" s="1"/>
  <c r="U1032" i="3"/>
  <c r="V1032" i="3" s="1"/>
  <c r="W1032" i="3" s="1"/>
  <c r="U1031" i="3"/>
  <c r="V1031" i="3" s="1"/>
  <c r="W1031" i="3" s="1"/>
  <c r="U1030" i="3"/>
  <c r="V1030" i="3" s="1"/>
  <c r="W1030" i="3" s="1"/>
  <c r="U1029" i="3"/>
  <c r="U1028" i="3"/>
  <c r="U1027" i="3"/>
  <c r="U1025" i="3"/>
  <c r="U1024" i="3"/>
  <c r="U1023" i="3"/>
  <c r="U1022" i="3"/>
  <c r="U1021" i="3"/>
  <c r="U1020" i="3"/>
  <c r="U1019" i="3"/>
  <c r="U1018" i="3"/>
  <c r="U1016" i="3"/>
  <c r="U1015" i="3"/>
  <c r="U1014" i="3"/>
  <c r="U1013" i="3"/>
  <c r="U1012" i="3"/>
  <c r="U1011" i="3"/>
  <c r="U1010" i="3"/>
  <c r="U1009" i="3"/>
  <c r="U2" i="3"/>
  <c r="U4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7" i="3"/>
  <c r="U28" i="3"/>
  <c r="U29" i="3"/>
  <c r="U32" i="3"/>
  <c r="U34" i="3"/>
  <c r="U39" i="3"/>
  <c r="U40" i="3"/>
  <c r="U41" i="3"/>
  <c r="U44" i="3"/>
  <c r="U45" i="3"/>
  <c r="U51" i="3"/>
  <c r="U52" i="3"/>
  <c r="U53" i="3"/>
  <c r="U54" i="3"/>
  <c r="U56" i="3"/>
  <c r="U57" i="3"/>
  <c r="U62" i="3"/>
  <c r="U63" i="3"/>
  <c r="U66" i="3"/>
  <c r="U67" i="3"/>
  <c r="U70" i="3"/>
  <c r="U71" i="3"/>
  <c r="U72" i="3"/>
  <c r="U76" i="3"/>
  <c r="U77" i="3"/>
  <c r="U78" i="3"/>
  <c r="U79" i="3"/>
  <c r="U80" i="3"/>
  <c r="U81" i="3"/>
  <c r="U82" i="3"/>
  <c r="U83" i="3"/>
  <c r="U84" i="3"/>
  <c r="U85" i="3"/>
  <c r="U86" i="3"/>
  <c r="U87" i="3"/>
  <c r="U92" i="3"/>
  <c r="U97" i="3"/>
  <c r="U98" i="3"/>
  <c r="U99" i="3"/>
  <c r="U100" i="3"/>
  <c r="U101" i="3"/>
  <c r="U104" i="3"/>
  <c r="U105" i="3"/>
  <c r="U106" i="3"/>
  <c r="U107" i="3"/>
  <c r="U108" i="3"/>
  <c r="U112" i="3"/>
  <c r="U113" i="3"/>
  <c r="U114" i="3"/>
  <c r="U115" i="3"/>
  <c r="U116" i="3"/>
  <c r="U122" i="3"/>
  <c r="U123" i="3"/>
  <c r="U131" i="3"/>
  <c r="U132" i="3"/>
  <c r="U133" i="3"/>
  <c r="U134" i="3"/>
  <c r="U142" i="3"/>
  <c r="U143" i="3"/>
  <c r="U144" i="3"/>
  <c r="U145" i="3"/>
  <c r="U146" i="3"/>
  <c r="U147" i="3"/>
  <c r="U149" i="3"/>
  <c r="U150" i="3"/>
  <c r="U154" i="3"/>
  <c r="U155" i="3"/>
  <c r="U159" i="3"/>
  <c r="U160" i="3"/>
  <c r="U165" i="3"/>
  <c r="U166" i="3"/>
  <c r="U170" i="3"/>
  <c r="U171" i="3"/>
  <c r="U175" i="3"/>
  <c r="U176" i="3"/>
  <c r="U177" i="3"/>
  <c r="U178" i="3"/>
  <c r="U180" i="3"/>
  <c r="U183" i="3"/>
  <c r="U184" i="3"/>
  <c r="U185" i="3"/>
  <c r="U189" i="3"/>
  <c r="U190" i="3"/>
  <c r="U195" i="3"/>
  <c r="U196" i="3"/>
  <c r="U197" i="3"/>
  <c r="U198" i="3"/>
  <c r="U199" i="3"/>
  <c r="U200" i="3"/>
  <c r="U205" i="3"/>
  <c r="U206" i="3"/>
  <c r="U207" i="3"/>
  <c r="U208" i="3"/>
  <c r="U214" i="3"/>
  <c r="U215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7" i="3"/>
  <c r="U278" i="3"/>
  <c r="U279" i="3"/>
  <c r="U280" i="3"/>
  <c r="U282" i="3"/>
  <c r="U283" i="3"/>
  <c r="U284" i="3"/>
  <c r="U285" i="3"/>
  <c r="U286" i="3"/>
  <c r="U289" i="3"/>
  <c r="U292" i="3"/>
  <c r="U293" i="3"/>
  <c r="U296" i="3"/>
  <c r="U297" i="3"/>
  <c r="U299" i="3"/>
  <c r="U300" i="3"/>
  <c r="U304" i="3"/>
  <c r="U305" i="3"/>
  <c r="U310" i="3"/>
  <c r="U316" i="3"/>
  <c r="U317" i="3"/>
  <c r="U319" i="3"/>
  <c r="U320" i="3"/>
  <c r="U321" i="3"/>
  <c r="U322" i="3"/>
  <c r="U323" i="3"/>
  <c r="U327" i="3"/>
  <c r="U328" i="3"/>
  <c r="U329" i="3"/>
  <c r="U334" i="3"/>
  <c r="U335" i="3"/>
  <c r="U336" i="3"/>
  <c r="U337" i="3"/>
  <c r="U338" i="3"/>
  <c r="U340" i="3"/>
  <c r="U341" i="3"/>
  <c r="U342" i="3"/>
  <c r="U344" i="3"/>
  <c r="U345" i="3"/>
  <c r="U347" i="3"/>
  <c r="U348" i="3"/>
  <c r="U351" i="3"/>
  <c r="U352" i="3"/>
  <c r="U359" i="3"/>
  <c r="U360" i="3"/>
  <c r="U361" i="3"/>
  <c r="U362" i="3"/>
  <c r="U364" i="3"/>
  <c r="U365" i="3"/>
  <c r="U367" i="3"/>
  <c r="U368" i="3"/>
  <c r="U370" i="3"/>
  <c r="U371" i="3"/>
  <c r="U372" i="3"/>
  <c r="U373" i="3"/>
  <c r="U375" i="3"/>
  <c r="U378" i="3"/>
  <c r="U381" i="3"/>
  <c r="U383" i="3"/>
  <c r="U386" i="3"/>
  <c r="U387" i="3"/>
  <c r="U392" i="3"/>
  <c r="U393" i="3"/>
  <c r="U397" i="3"/>
  <c r="U403" i="3"/>
  <c r="U404" i="3"/>
  <c r="U405" i="3"/>
  <c r="U409" i="3"/>
  <c r="U410" i="3"/>
  <c r="U411" i="3"/>
  <c r="U412" i="3"/>
  <c r="U413" i="3"/>
  <c r="U417" i="3"/>
  <c r="U418" i="3"/>
  <c r="U423" i="3"/>
  <c r="U426" i="3"/>
  <c r="U427" i="3"/>
  <c r="U432" i="3"/>
  <c r="U435" i="3"/>
  <c r="U436" i="3"/>
  <c r="U437" i="3"/>
  <c r="U438" i="3"/>
  <c r="U440" i="3"/>
  <c r="U441" i="3"/>
  <c r="U442" i="3"/>
  <c r="U445" i="3"/>
  <c r="U446" i="3"/>
  <c r="U447" i="3"/>
  <c r="U448" i="3"/>
  <c r="U451" i="3"/>
  <c r="U455" i="3"/>
  <c r="U456" i="3"/>
  <c r="U457" i="3"/>
  <c r="U461" i="3"/>
  <c r="U462" i="3"/>
  <c r="U463" i="3"/>
  <c r="U466" i="3"/>
  <c r="U467" i="3"/>
  <c r="U471" i="3"/>
  <c r="U472" i="3"/>
  <c r="U475" i="3"/>
  <c r="U480" i="3"/>
  <c r="U481" i="3"/>
  <c r="U487" i="3"/>
  <c r="U488" i="3"/>
  <c r="U489" i="3"/>
  <c r="U490" i="3"/>
  <c r="U491" i="3"/>
  <c r="U494" i="3"/>
  <c r="U496" i="3"/>
  <c r="U497" i="3"/>
  <c r="U501" i="3"/>
  <c r="U502" i="3"/>
  <c r="U506" i="3"/>
  <c r="U507" i="3"/>
  <c r="U508" i="3"/>
  <c r="U509" i="3"/>
  <c r="U510" i="3"/>
  <c r="U511" i="3"/>
  <c r="U512" i="3"/>
  <c r="U516" i="3"/>
  <c r="U517" i="3"/>
  <c r="U518" i="3"/>
  <c r="U519" i="3"/>
  <c r="U520" i="3"/>
  <c r="U523" i="3"/>
  <c r="U524" i="3"/>
  <c r="U525" i="3"/>
  <c r="U528" i="3"/>
  <c r="U529" i="3"/>
  <c r="U530" i="3"/>
  <c r="U531" i="3"/>
  <c r="U533" i="3"/>
  <c r="U534" i="3"/>
  <c r="U535" i="3"/>
  <c r="U536" i="3"/>
  <c r="U539" i="3"/>
  <c r="U540" i="3"/>
  <c r="U541" i="3"/>
  <c r="U542" i="3"/>
  <c r="U543" i="3"/>
  <c r="U544" i="3"/>
  <c r="U545" i="3"/>
  <c r="U548" i="3"/>
  <c r="U549" i="3"/>
  <c r="U550" i="3"/>
  <c r="U555" i="3"/>
  <c r="U556" i="3"/>
  <c r="U557" i="3"/>
  <c r="U564" i="3"/>
  <c r="U565" i="3"/>
  <c r="U566" i="3"/>
  <c r="U569" i="3"/>
  <c r="U570" i="3"/>
  <c r="U572" i="3"/>
  <c r="U573" i="3"/>
  <c r="U574" i="3"/>
  <c r="U575" i="3"/>
  <c r="U576" i="3"/>
  <c r="U579" i="3"/>
  <c r="U580" i="3"/>
  <c r="U581" i="3"/>
  <c r="U582" i="3"/>
  <c r="U583" i="3"/>
  <c r="U585" i="3"/>
  <c r="U586" i="3"/>
  <c r="U587" i="3"/>
  <c r="U589" i="3"/>
  <c r="U594" i="3"/>
  <c r="U595" i="3"/>
  <c r="U599" i="3"/>
  <c r="U600" i="3"/>
  <c r="U601" i="3"/>
  <c r="U605" i="3"/>
  <c r="U606" i="3"/>
  <c r="U611" i="3"/>
  <c r="U612" i="3"/>
  <c r="U613" i="3"/>
  <c r="U615" i="3"/>
  <c r="U616" i="3"/>
  <c r="U617" i="3"/>
  <c r="U618" i="3"/>
  <c r="U619" i="3"/>
  <c r="U622" i="3"/>
  <c r="U624" i="3"/>
  <c r="U627" i="3"/>
  <c r="U628" i="3"/>
  <c r="U629" i="3"/>
  <c r="U635" i="3"/>
  <c r="U636" i="3"/>
  <c r="U637" i="3"/>
  <c r="U640" i="3"/>
  <c r="U644" i="3"/>
  <c r="U645" i="3"/>
  <c r="U653" i="3"/>
  <c r="U659" i="3"/>
  <c r="U664" i="3"/>
  <c r="U665" i="3"/>
  <c r="U666" i="3"/>
  <c r="U669" i="3"/>
  <c r="U671" i="3"/>
  <c r="U672" i="3"/>
  <c r="U673" i="3"/>
  <c r="U674" i="3"/>
  <c r="U679" i="3"/>
  <c r="U684" i="3"/>
  <c r="U685" i="3"/>
  <c r="U689" i="3"/>
  <c r="U692" i="3"/>
  <c r="U693" i="3"/>
  <c r="U694" i="3"/>
  <c r="U698" i="3"/>
  <c r="U699" i="3"/>
  <c r="U700" i="3"/>
  <c r="U703" i="3"/>
  <c r="U704" i="3"/>
  <c r="U707" i="3"/>
  <c r="U713" i="3"/>
  <c r="U715" i="3"/>
  <c r="U717" i="3"/>
  <c r="U720" i="3"/>
  <c r="U721" i="3"/>
  <c r="U722" i="3"/>
  <c r="U723" i="3"/>
  <c r="U727" i="3"/>
  <c r="U728" i="3"/>
  <c r="U729" i="3"/>
  <c r="U731" i="3"/>
  <c r="U732" i="3"/>
  <c r="U733" i="3"/>
  <c r="U735" i="3"/>
  <c r="U736" i="3"/>
  <c r="U739" i="3"/>
  <c r="U740" i="3"/>
  <c r="U742" i="3"/>
  <c r="U743" i="3"/>
  <c r="U746" i="3"/>
  <c r="U751" i="3"/>
  <c r="U752" i="3"/>
  <c r="U753" i="3"/>
  <c r="U754" i="3"/>
  <c r="U756" i="3"/>
  <c r="U757" i="3"/>
  <c r="U762" i="3"/>
  <c r="U763" i="3"/>
  <c r="U765" i="3"/>
  <c r="U770" i="3"/>
  <c r="U771" i="3"/>
  <c r="U776" i="3"/>
  <c r="U777" i="3"/>
  <c r="U780" i="3"/>
  <c r="U781" i="3"/>
  <c r="U784" i="3"/>
  <c r="U785" i="3"/>
  <c r="U789" i="3"/>
  <c r="U790" i="3"/>
  <c r="U791" i="3"/>
  <c r="U793" i="3"/>
  <c r="U794" i="3"/>
  <c r="U797" i="3"/>
  <c r="U800" i="3"/>
  <c r="U803" i="3"/>
  <c r="U804" i="3"/>
  <c r="U806" i="3"/>
  <c r="U807" i="3"/>
  <c r="U809" i="3"/>
  <c r="U810" i="3"/>
  <c r="U811" i="3"/>
  <c r="U815" i="3"/>
  <c r="U816" i="3"/>
  <c r="U817" i="3"/>
  <c r="U819" i="3"/>
  <c r="U820" i="3"/>
  <c r="U821" i="3"/>
  <c r="U822" i="3"/>
  <c r="U825" i="3"/>
  <c r="U826" i="3"/>
  <c r="U827" i="3"/>
  <c r="U831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50" i="3"/>
  <c r="U852" i="3"/>
  <c r="U853" i="3"/>
  <c r="U854" i="3"/>
  <c r="U855" i="3"/>
  <c r="U856" i="3"/>
  <c r="U857" i="3"/>
  <c r="U858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8" i="3"/>
  <c r="U879" i="3"/>
  <c r="U881" i="3"/>
  <c r="U882" i="3"/>
  <c r="U884" i="3"/>
  <c r="U885" i="3"/>
  <c r="U886" i="3"/>
  <c r="U887" i="3"/>
  <c r="U888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6" i="3"/>
  <c r="U927" i="3"/>
  <c r="U928" i="3"/>
  <c r="U929" i="3"/>
  <c r="U930" i="3"/>
  <c r="U931" i="3"/>
  <c r="U932" i="3"/>
  <c r="U933" i="3"/>
  <c r="U935" i="3"/>
  <c r="U936" i="3"/>
  <c r="U937" i="3"/>
  <c r="U938" i="3"/>
  <c r="U939" i="3"/>
  <c r="U940" i="3"/>
  <c r="U944" i="3"/>
  <c r="U945" i="3"/>
  <c r="U946" i="3"/>
  <c r="U947" i="3"/>
  <c r="U948" i="3"/>
  <c r="U949" i="3"/>
  <c r="U950" i="3"/>
  <c r="V950" i="3" s="1"/>
  <c r="W950" i="3" s="1"/>
  <c r="U951" i="3"/>
  <c r="U952" i="3"/>
  <c r="U953" i="3"/>
  <c r="U955" i="3"/>
  <c r="U956" i="3"/>
  <c r="U957" i="3"/>
  <c r="U959" i="3"/>
  <c r="U960" i="3"/>
  <c r="U961" i="3"/>
  <c r="U962" i="3"/>
  <c r="U963" i="3"/>
  <c r="U965" i="3"/>
  <c r="U966" i="3"/>
  <c r="U967" i="3"/>
  <c r="U969" i="3"/>
  <c r="U970" i="3"/>
  <c r="U971" i="3"/>
  <c r="U972" i="3"/>
  <c r="U973" i="3"/>
  <c r="U976" i="3"/>
  <c r="U977" i="3"/>
  <c r="U979" i="3"/>
  <c r="U980" i="3"/>
  <c r="U981" i="3"/>
  <c r="U982" i="3"/>
  <c r="U983" i="3"/>
  <c r="U984" i="3"/>
  <c r="U986" i="3"/>
  <c r="U987" i="3"/>
  <c r="U989" i="3"/>
  <c r="U990" i="3"/>
  <c r="U991" i="3"/>
  <c r="U992" i="3"/>
  <c r="U993" i="3"/>
  <c r="U994" i="3"/>
  <c r="U995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78" i="3"/>
  <c r="V1078" i="3" s="1"/>
  <c r="W1078" i="3" s="1"/>
  <c r="U1077" i="3"/>
  <c r="V1077" i="3" s="1"/>
  <c r="W1077" i="3" s="1"/>
  <c r="U1066" i="3"/>
  <c r="V1066" i="3" s="1"/>
  <c r="W1066" i="3" s="1"/>
  <c r="U1075" i="3"/>
  <c r="V1075" i="3" s="1"/>
  <c r="W1075" i="3" s="1"/>
  <c r="U1074" i="3"/>
  <c r="V1074" i="3" s="1"/>
  <c r="W1074" i="3" s="1"/>
  <c r="U1070" i="3"/>
  <c r="V1070" i="3" s="1"/>
  <c r="W1070" i="3" s="1"/>
  <c r="U1062" i="3"/>
  <c r="V1062" i="3" s="1"/>
  <c r="W1062" i="3" s="1"/>
  <c r="U1058" i="3"/>
  <c r="V1058" i="3" s="1"/>
  <c r="W1058" i="3" s="1"/>
  <c r="U1055" i="3"/>
  <c r="V1055" i="3" s="1"/>
  <c r="W1055" i="3" s="1"/>
  <c r="U1038" i="3"/>
  <c r="V1038" i="3" s="1"/>
  <c r="W1038" i="3" s="1"/>
  <c r="U1034" i="3"/>
  <c r="V1034" i="3" s="1"/>
  <c r="W1034" i="3" s="1"/>
  <c r="U1026" i="3"/>
  <c r="U1017" i="3"/>
  <c r="U3" i="3"/>
  <c r="U5" i="3"/>
  <c r="U24" i="3"/>
  <c r="U25" i="3"/>
  <c r="U26" i="3"/>
  <c r="U30" i="3"/>
  <c r="U31" i="3"/>
  <c r="U33" i="3"/>
  <c r="U35" i="3"/>
  <c r="U36" i="3"/>
  <c r="U37" i="3"/>
  <c r="U38" i="3"/>
  <c r="U42" i="3"/>
  <c r="U43" i="3"/>
  <c r="U46" i="3"/>
  <c r="U47" i="3"/>
  <c r="U48" i="3"/>
  <c r="U49" i="3"/>
  <c r="U50" i="3"/>
  <c r="U55" i="3"/>
  <c r="U58" i="3"/>
  <c r="U59" i="3"/>
  <c r="U60" i="3"/>
  <c r="U61" i="3"/>
  <c r="U64" i="3"/>
  <c r="U65" i="3"/>
  <c r="U68" i="3"/>
  <c r="U69" i="3"/>
  <c r="U73" i="3"/>
  <c r="U74" i="3"/>
  <c r="U75" i="3"/>
  <c r="U88" i="3"/>
  <c r="U89" i="3"/>
  <c r="U90" i="3"/>
  <c r="U91" i="3"/>
  <c r="U93" i="3"/>
  <c r="U94" i="3"/>
  <c r="U95" i="3"/>
  <c r="U96" i="3"/>
  <c r="U102" i="3"/>
  <c r="U103" i="3"/>
  <c r="U109" i="3"/>
  <c r="U110" i="3"/>
  <c r="U111" i="3"/>
  <c r="U117" i="3"/>
  <c r="U118" i="3"/>
  <c r="U119" i="3"/>
  <c r="U120" i="3"/>
  <c r="U121" i="3"/>
  <c r="U124" i="3"/>
  <c r="U125" i="3"/>
  <c r="U126" i="3"/>
  <c r="U127" i="3"/>
  <c r="U128" i="3"/>
  <c r="U129" i="3"/>
  <c r="U130" i="3"/>
  <c r="U135" i="3"/>
  <c r="U136" i="3"/>
  <c r="U137" i="3"/>
  <c r="U138" i="3"/>
  <c r="U139" i="3"/>
  <c r="U140" i="3"/>
  <c r="U141" i="3"/>
  <c r="U148" i="3"/>
  <c r="U151" i="3"/>
  <c r="U152" i="3"/>
  <c r="U153" i="3"/>
  <c r="U156" i="3"/>
  <c r="U157" i="3"/>
  <c r="U158" i="3"/>
  <c r="U161" i="3"/>
  <c r="U162" i="3"/>
  <c r="U163" i="3"/>
  <c r="U164" i="3"/>
  <c r="U167" i="3"/>
  <c r="U168" i="3"/>
  <c r="U169" i="3"/>
  <c r="U172" i="3"/>
  <c r="U173" i="3"/>
  <c r="U174" i="3"/>
  <c r="U179" i="3"/>
  <c r="U181" i="3"/>
  <c r="U182" i="3"/>
  <c r="U186" i="3"/>
  <c r="U187" i="3"/>
  <c r="U188" i="3"/>
  <c r="U191" i="3"/>
  <c r="U192" i="3"/>
  <c r="U193" i="3"/>
  <c r="U194" i="3"/>
  <c r="U201" i="3"/>
  <c r="U202" i="3"/>
  <c r="U203" i="3"/>
  <c r="U204" i="3"/>
  <c r="U209" i="3"/>
  <c r="U210" i="3"/>
  <c r="U211" i="3"/>
  <c r="U212" i="3"/>
  <c r="U213" i="3"/>
  <c r="U216" i="3"/>
  <c r="U217" i="3"/>
  <c r="U272" i="3"/>
  <c r="U273" i="3"/>
  <c r="U274" i="3"/>
  <c r="U275" i="3"/>
  <c r="U276" i="3"/>
  <c r="U281" i="3"/>
  <c r="U287" i="3"/>
  <c r="U288" i="3"/>
  <c r="U290" i="3"/>
  <c r="U291" i="3"/>
  <c r="U294" i="3"/>
  <c r="U295" i="3"/>
  <c r="U298" i="3"/>
  <c r="U301" i="3"/>
  <c r="U302" i="3"/>
  <c r="U303" i="3"/>
  <c r="U306" i="3"/>
  <c r="U307" i="3"/>
  <c r="U308" i="3"/>
  <c r="U309" i="3"/>
  <c r="U311" i="3"/>
  <c r="U312" i="3"/>
  <c r="U313" i="3"/>
  <c r="U314" i="3"/>
  <c r="U315" i="3"/>
  <c r="U318" i="3"/>
  <c r="U324" i="3"/>
  <c r="U325" i="3"/>
  <c r="U326" i="3"/>
  <c r="U330" i="3"/>
  <c r="U331" i="3"/>
  <c r="U332" i="3"/>
  <c r="U333" i="3"/>
  <c r="U339" i="3"/>
  <c r="U343" i="3"/>
  <c r="U346" i="3"/>
  <c r="U349" i="3"/>
  <c r="U350" i="3"/>
  <c r="U353" i="3"/>
  <c r="U354" i="3"/>
  <c r="U355" i="3"/>
  <c r="U356" i="3"/>
  <c r="U357" i="3"/>
  <c r="U358" i="3"/>
  <c r="U363" i="3"/>
  <c r="U366" i="3"/>
  <c r="U369" i="3"/>
  <c r="U374" i="3"/>
  <c r="U376" i="3"/>
  <c r="U377" i="3"/>
  <c r="U379" i="3"/>
  <c r="U380" i="3"/>
  <c r="U382" i="3"/>
  <c r="U384" i="3"/>
  <c r="U385" i="3"/>
  <c r="U388" i="3"/>
  <c r="U389" i="3"/>
  <c r="U390" i="3"/>
  <c r="U391" i="3"/>
  <c r="U394" i="3"/>
  <c r="U395" i="3"/>
  <c r="U396" i="3"/>
  <c r="U398" i="3"/>
  <c r="U399" i="3"/>
  <c r="U400" i="3"/>
  <c r="U401" i="3"/>
  <c r="U402" i="3"/>
  <c r="U406" i="3"/>
  <c r="U407" i="3"/>
  <c r="U408" i="3"/>
  <c r="U414" i="3"/>
  <c r="U415" i="3"/>
  <c r="U416" i="3"/>
  <c r="U419" i="3"/>
  <c r="U420" i="3"/>
  <c r="U421" i="3"/>
  <c r="U422" i="3"/>
  <c r="U424" i="3"/>
  <c r="U425" i="3"/>
  <c r="U428" i="3"/>
  <c r="U429" i="3"/>
  <c r="U430" i="3"/>
  <c r="U431" i="3"/>
  <c r="U433" i="3"/>
  <c r="U434" i="3"/>
  <c r="U439" i="3"/>
  <c r="U443" i="3"/>
  <c r="U444" i="3"/>
  <c r="U449" i="3"/>
  <c r="U450" i="3"/>
  <c r="U452" i="3"/>
  <c r="U453" i="3"/>
  <c r="U454" i="3"/>
  <c r="U458" i="3"/>
  <c r="U459" i="3"/>
  <c r="U460" i="3"/>
  <c r="U464" i="3"/>
  <c r="U465" i="3"/>
  <c r="U468" i="3"/>
  <c r="U469" i="3"/>
  <c r="U470" i="3"/>
  <c r="U473" i="3"/>
  <c r="U474" i="3"/>
  <c r="U476" i="3"/>
  <c r="U477" i="3"/>
  <c r="U478" i="3"/>
  <c r="U479" i="3"/>
  <c r="U482" i="3"/>
  <c r="U483" i="3"/>
  <c r="U484" i="3"/>
  <c r="U485" i="3"/>
  <c r="U486" i="3"/>
  <c r="U492" i="3"/>
  <c r="U493" i="3"/>
  <c r="U495" i="3"/>
  <c r="U498" i="3"/>
  <c r="U499" i="3"/>
  <c r="U500" i="3"/>
  <c r="U503" i="3"/>
  <c r="U504" i="3"/>
  <c r="U505" i="3"/>
  <c r="U513" i="3"/>
  <c r="U514" i="3"/>
  <c r="U515" i="3"/>
  <c r="U521" i="3"/>
  <c r="U522" i="3"/>
  <c r="U526" i="3"/>
  <c r="U527" i="3"/>
  <c r="U532" i="3"/>
  <c r="U537" i="3"/>
  <c r="U538" i="3"/>
  <c r="U546" i="3"/>
  <c r="U547" i="3"/>
  <c r="U551" i="3"/>
  <c r="U552" i="3"/>
  <c r="U553" i="3"/>
  <c r="U554" i="3"/>
  <c r="U558" i="3"/>
  <c r="U559" i="3"/>
  <c r="U560" i="3"/>
  <c r="U561" i="3"/>
  <c r="U562" i="3"/>
  <c r="U563" i="3"/>
  <c r="U567" i="3"/>
  <c r="U568" i="3"/>
  <c r="U571" i="3"/>
  <c r="U577" i="3"/>
  <c r="U578" i="3"/>
  <c r="U584" i="3"/>
  <c r="U588" i="3"/>
  <c r="U590" i="3"/>
  <c r="U591" i="3"/>
  <c r="U592" i="3"/>
  <c r="U593" i="3"/>
  <c r="U596" i="3"/>
  <c r="U597" i="3"/>
  <c r="U598" i="3"/>
  <c r="U602" i="3"/>
  <c r="U603" i="3"/>
  <c r="U604" i="3"/>
  <c r="U607" i="3"/>
  <c r="U608" i="3"/>
  <c r="U609" i="3"/>
  <c r="U610" i="3"/>
  <c r="U614" i="3"/>
  <c r="U620" i="3"/>
  <c r="U621" i="3"/>
  <c r="U623" i="3"/>
  <c r="U625" i="3"/>
  <c r="U626" i="3"/>
  <c r="U630" i="3"/>
  <c r="U631" i="3"/>
  <c r="U632" i="3"/>
  <c r="U633" i="3"/>
  <c r="U634" i="3"/>
  <c r="U638" i="3"/>
  <c r="U639" i="3"/>
  <c r="U641" i="3"/>
  <c r="U642" i="3"/>
  <c r="U643" i="3"/>
  <c r="U646" i="3"/>
  <c r="U647" i="3"/>
  <c r="U648" i="3"/>
  <c r="U649" i="3"/>
  <c r="U650" i="3"/>
  <c r="U651" i="3"/>
  <c r="U652" i="3"/>
  <c r="U654" i="3"/>
  <c r="U655" i="3"/>
  <c r="U656" i="3"/>
  <c r="U657" i="3"/>
  <c r="U658" i="3"/>
  <c r="U660" i="3"/>
  <c r="U661" i="3"/>
  <c r="U662" i="3"/>
  <c r="U663" i="3"/>
  <c r="U667" i="3"/>
  <c r="U668" i="3"/>
  <c r="U670" i="3"/>
  <c r="U675" i="3"/>
  <c r="U676" i="3"/>
  <c r="U677" i="3"/>
  <c r="U678" i="3"/>
  <c r="U680" i="3"/>
  <c r="U681" i="3"/>
  <c r="U682" i="3"/>
  <c r="U683" i="3"/>
  <c r="U686" i="3"/>
  <c r="U687" i="3"/>
  <c r="U688" i="3"/>
  <c r="U690" i="3"/>
  <c r="U691" i="3"/>
  <c r="U695" i="3"/>
  <c r="U696" i="3"/>
  <c r="U697" i="3"/>
  <c r="U701" i="3"/>
  <c r="U702" i="3"/>
  <c r="U705" i="3"/>
  <c r="U706" i="3"/>
  <c r="U708" i="3"/>
  <c r="U709" i="3"/>
  <c r="U710" i="3"/>
  <c r="U711" i="3"/>
  <c r="U712" i="3"/>
  <c r="U714" i="3"/>
  <c r="U716" i="3"/>
  <c r="U718" i="3"/>
  <c r="U719" i="3"/>
  <c r="U724" i="3"/>
  <c r="U725" i="3"/>
  <c r="U726" i="3"/>
  <c r="U730" i="3"/>
  <c r="U734" i="3"/>
  <c r="U737" i="3"/>
  <c r="U738" i="3"/>
  <c r="U741" i="3"/>
  <c r="U744" i="3"/>
  <c r="U745" i="3"/>
  <c r="U747" i="3"/>
  <c r="U748" i="3"/>
  <c r="U749" i="3"/>
  <c r="U750" i="3"/>
  <c r="U755" i="3"/>
  <c r="U758" i="3"/>
  <c r="U759" i="3"/>
  <c r="U760" i="3"/>
  <c r="U761" i="3"/>
  <c r="U764" i="3"/>
  <c r="U766" i="3"/>
  <c r="U767" i="3"/>
  <c r="U768" i="3"/>
  <c r="U769" i="3"/>
  <c r="U772" i="3"/>
  <c r="U773" i="3"/>
  <c r="U774" i="3"/>
  <c r="U775" i="3"/>
  <c r="U778" i="3"/>
  <c r="U779" i="3"/>
  <c r="U782" i="3"/>
  <c r="U783" i="3"/>
  <c r="U786" i="3"/>
  <c r="U787" i="3"/>
  <c r="U788" i="3"/>
  <c r="U792" i="3"/>
  <c r="U795" i="3"/>
  <c r="U796" i="3"/>
  <c r="U798" i="3"/>
  <c r="U799" i="3"/>
  <c r="U801" i="3"/>
  <c r="U802" i="3"/>
  <c r="U805" i="3"/>
  <c r="U808" i="3"/>
  <c r="U812" i="3"/>
  <c r="U813" i="3"/>
  <c r="U814" i="3"/>
  <c r="U818" i="3"/>
  <c r="U823" i="3"/>
  <c r="U824" i="3"/>
  <c r="U828" i="3"/>
  <c r="U829" i="3"/>
  <c r="U830" i="3"/>
  <c r="U832" i="3"/>
  <c r="U849" i="3"/>
  <c r="U851" i="3"/>
  <c r="U859" i="3"/>
  <c r="U876" i="3"/>
  <c r="U877" i="3"/>
  <c r="U880" i="3"/>
  <c r="U883" i="3"/>
  <c r="U889" i="3"/>
  <c r="U906" i="3"/>
  <c r="U925" i="3"/>
  <c r="U934" i="3"/>
  <c r="U941" i="3"/>
  <c r="U942" i="3"/>
  <c r="U943" i="3"/>
  <c r="U954" i="3"/>
  <c r="U958" i="3"/>
  <c r="U964" i="3"/>
  <c r="U968" i="3"/>
  <c r="U974" i="3"/>
  <c r="U975" i="3"/>
  <c r="U978" i="3"/>
  <c r="U985" i="3"/>
  <c r="U988" i="3"/>
  <c r="U996" i="3"/>
  <c r="AF1066" i="3"/>
  <c r="AF1075" i="3"/>
  <c r="S1057" i="3"/>
  <c r="M48" i="1"/>
  <c r="AJ1039" i="3" s="1"/>
  <c r="X1039" i="3" s="1"/>
  <c r="M95" i="1"/>
  <c r="AJ1055" i="3" s="1"/>
  <c r="X1055" i="3" s="1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AF1036" i="3"/>
  <c r="AF1042" i="3"/>
  <c r="S1042" i="3"/>
  <c r="S1041" i="3"/>
  <c r="S1040" i="3"/>
  <c r="S1039" i="3"/>
  <c r="AF1034" i="3"/>
  <c r="AF1038" i="3"/>
  <c r="S1038" i="3"/>
  <c r="AF1015" i="3"/>
  <c r="AF1037" i="3"/>
  <c r="S1037" i="3"/>
  <c r="S1036" i="3"/>
  <c r="S1035" i="3"/>
  <c r="M27" i="1"/>
  <c r="M94" i="1"/>
  <c r="S1034" i="3"/>
  <c r="AF1016" i="3"/>
  <c r="AF1033" i="3"/>
  <c r="S1033" i="3"/>
  <c r="S1032" i="3"/>
  <c r="S1031" i="3"/>
  <c r="AF1017" i="3"/>
  <c r="AF1026" i="3"/>
  <c r="S1030" i="3"/>
  <c r="Y1029" i="3"/>
  <c r="L1029" i="3"/>
  <c r="L1023" i="3"/>
  <c r="N1023" i="3" s="1"/>
  <c r="Y1028" i="3"/>
  <c r="L1028" i="3"/>
  <c r="L1024" i="3"/>
  <c r="N1024" i="3" s="1"/>
  <c r="Y1026" i="3"/>
  <c r="Y1027" i="3"/>
  <c r="L1027" i="3"/>
  <c r="L1026" i="3"/>
  <c r="Y1024" i="3"/>
  <c r="L1025" i="3"/>
  <c r="N1025" i="3" s="1"/>
  <c r="Y1025" i="3"/>
  <c r="Y1023" i="3"/>
  <c r="Y1022" i="3"/>
  <c r="L1022" i="3"/>
  <c r="Y1021" i="3"/>
  <c r="AF1021" i="3"/>
  <c r="L1021" i="3"/>
  <c r="L1020" i="3"/>
  <c r="N1020" i="3" s="1"/>
  <c r="Y1020" i="3"/>
  <c r="AF1020" i="3"/>
  <c r="L1018" i="3"/>
  <c r="N1018" i="3" s="1"/>
  <c r="L1019" i="3"/>
  <c r="N1019" i="3" s="1"/>
  <c r="L1017" i="3"/>
  <c r="N1017" i="3" s="1"/>
  <c r="Y1019" i="3"/>
  <c r="M1018" i="3"/>
  <c r="Q1018" i="3" s="1"/>
  <c r="S1018" i="3" s="1"/>
  <c r="Y1017" i="3"/>
  <c r="Y1018" i="3"/>
  <c r="M93" i="1"/>
  <c r="L1016" i="3"/>
  <c r="N1016" i="3" s="1"/>
  <c r="Y1016" i="3"/>
  <c r="M40" i="1"/>
  <c r="L1014" i="3"/>
  <c r="N1014" i="3" s="1"/>
  <c r="Y1015" i="3"/>
  <c r="L1013" i="3"/>
  <c r="N1013" i="3" s="1"/>
  <c r="L1015" i="3"/>
  <c r="L1010" i="3"/>
  <c r="N1010" i="3" s="1"/>
  <c r="Y1014" i="3"/>
  <c r="L1012" i="3"/>
  <c r="N1012" i="3" s="1"/>
  <c r="L1011" i="3"/>
  <c r="N1011" i="3" s="1"/>
  <c r="Y1013" i="3"/>
  <c r="L1009" i="3"/>
  <c r="N1009" i="3" s="1"/>
  <c r="Y1011" i="3"/>
  <c r="Y1012" i="3"/>
  <c r="Y1009" i="3"/>
  <c r="Y1010" i="3"/>
  <c r="Y1008" i="3"/>
  <c r="L1008" i="3"/>
  <c r="P1008" i="3"/>
  <c r="Y1007" i="3"/>
  <c r="L1007" i="3"/>
  <c r="P1007" i="3"/>
  <c r="Y1006" i="3"/>
  <c r="L1006" i="3"/>
  <c r="P1006" i="3"/>
  <c r="Y1005" i="3"/>
  <c r="L1005" i="3"/>
  <c r="P1005" i="3"/>
  <c r="Y1004" i="3"/>
  <c r="L1004" i="3"/>
  <c r="P1004" i="3"/>
  <c r="Y1003" i="3"/>
  <c r="L1003" i="3"/>
  <c r="P1003" i="3"/>
  <c r="Y1002" i="3"/>
  <c r="L1002" i="3"/>
  <c r="P1002" i="3"/>
  <c r="Y1001" i="3"/>
  <c r="L1001" i="3"/>
  <c r="P1001" i="3"/>
  <c r="Y1000" i="3"/>
  <c r="L1000" i="3"/>
  <c r="P1000" i="3"/>
  <c r="Y999" i="3"/>
  <c r="L999" i="3"/>
  <c r="P999" i="3"/>
  <c r="Y998" i="3"/>
  <c r="L998" i="3"/>
  <c r="P998" i="3"/>
  <c r="Y997" i="3"/>
  <c r="L997" i="3"/>
  <c r="P997" i="3"/>
  <c r="M74" i="1"/>
  <c r="AJ990" i="3" s="1"/>
  <c r="M92" i="1"/>
  <c r="AJ996" i="3" s="1"/>
  <c r="Y996" i="3"/>
  <c r="L996" i="3"/>
  <c r="P996" i="3"/>
  <c r="Y995" i="3"/>
  <c r="L995" i="3"/>
  <c r="P995" i="3"/>
  <c r="Y994" i="3"/>
  <c r="L994" i="3"/>
  <c r="P994" i="3"/>
  <c r="Y993" i="3"/>
  <c r="L993" i="3"/>
  <c r="P993" i="3"/>
  <c r="Y992" i="3"/>
  <c r="L992" i="3"/>
  <c r="P992" i="3"/>
  <c r="Y991" i="3"/>
  <c r="L991" i="3"/>
  <c r="P991" i="3"/>
  <c r="AF987" i="3"/>
  <c r="AF990" i="3"/>
  <c r="Y990" i="3"/>
  <c r="L990" i="3"/>
  <c r="P990" i="3"/>
  <c r="Y989" i="3"/>
  <c r="L989" i="3"/>
  <c r="P989" i="3"/>
  <c r="AF985" i="3"/>
  <c r="AF988" i="3"/>
  <c r="Y988" i="3"/>
  <c r="L988" i="3"/>
  <c r="P988" i="3"/>
  <c r="Y987" i="3"/>
  <c r="L987" i="3"/>
  <c r="P987" i="3"/>
  <c r="Y986" i="3"/>
  <c r="L986" i="3"/>
  <c r="P986" i="3"/>
  <c r="Y985" i="3"/>
  <c r="L985" i="3"/>
  <c r="P985" i="3"/>
  <c r="M91" i="1"/>
  <c r="AJ937" i="3" s="1"/>
  <c r="M127" i="1"/>
  <c r="Y984" i="3"/>
  <c r="L984" i="3"/>
  <c r="P984" i="3"/>
  <c r="Y983" i="3"/>
  <c r="L983" i="3"/>
  <c r="P983" i="3"/>
  <c r="Y982" i="3"/>
  <c r="L982" i="3"/>
  <c r="P982" i="3"/>
  <c r="Y981" i="3"/>
  <c r="L981" i="3"/>
  <c r="P981" i="3"/>
  <c r="Y980" i="3"/>
  <c r="L980" i="3"/>
  <c r="P980" i="3"/>
  <c r="Y979" i="3"/>
  <c r="L979" i="3"/>
  <c r="P979" i="3"/>
  <c r="Y978" i="3"/>
  <c r="L978" i="3"/>
  <c r="P978" i="3"/>
  <c r="Y977" i="3"/>
  <c r="L977" i="3"/>
  <c r="P977" i="3"/>
  <c r="Y976" i="3"/>
  <c r="L976" i="3"/>
  <c r="P976" i="3"/>
  <c r="Y975" i="3"/>
  <c r="L975" i="3"/>
  <c r="P975" i="3"/>
  <c r="Y974" i="3"/>
  <c r="L974" i="3"/>
  <c r="P974" i="3"/>
  <c r="Y973" i="3"/>
  <c r="L973" i="3"/>
  <c r="P973" i="3"/>
  <c r="Y972" i="3"/>
  <c r="L972" i="3"/>
  <c r="P972" i="3"/>
  <c r="AF955" i="3"/>
  <c r="AF971" i="3"/>
  <c r="Y971" i="3"/>
  <c r="L971" i="3"/>
  <c r="P971" i="3"/>
  <c r="Y970" i="3"/>
  <c r="L970" i="3"/>
  <c r="P970" i="3"/>
  <c r="Y969" i="3"/>
  <c r="L969" i="3"/>
  <c r="P969" i="3"/>
  <c r="Y968" i="3"/>
  <c r="L968" i="3"/>
  <c r="P968" i="3"/>
  <c r="Y967" i="3"/>
  <c r="L967" i="3"/>
  <c r="P967" i="3"/>
  <c r="Y966" i="3"/>
  <c r="L966" i="3"/>
  <c r="P966" i="3"/>
  <c r="Y965" i="3"/>
  <c r="L965" i="3"/>
  <c r="P965" i="3"/>
  <c r="Y964" i="3"/>
  <c r="L964" i="3"/>
  <c r="P964" i="3"/>
  <c r="Y963" i="3"/>
  <c r="L963" i="3"/>
  <c r="P963" i="3"/>
  <c r="Y962" i="3"/>
  <c r="L962" i="3"/>
  <c r="P962" i="3"/>
  <c r="Y961" i="3"/>
  <c r="L961" i="3"/>
  <c r="P961" i="3"/>
  <c r="Y960" i="3"/>
  <c r="L960" i="3"/>
  <c r="P960" i="3"/>
  <c r="Y957" i="3"/>
  <c r="Y953" i="3"/>
  <c r="L821" i="3"/>
  <c r="M821" i="3" s="1"/>
  <c r="Q821" i="3" s="1"/>
  <c r="S821" i="3" s="1"/>
  <c r="P821" i="3"/>
  <c r="L824" i="3"/>
  <c r="N824" i="3" s="1"/>
  <c r="P824" i="3"/>
  <c r="L831" i="3"/>
  <c r="M831" i="3" s="1"/>
  <c r="Q831" i="3" s="1"/>
  <c r="S831" i="3" s="1"/>
  <c r="P831" i="3"/>
  <c r="L833" i="3"/>
  <c r="N833" i="3" s="1"/>
  <c r="P833" i="3"/>
  <c r="L835" i="3"/>
  <c r="N835" i="3" s="1"/>
  <c r="P835" i="3"/>
  <c r="L837" i="3"/>
  <c r="N837" i="3" s="1"/>
  <c r="P837" i="3"/>
  <c r="L951" i="3"/>
  <c r="N951" i="3" s="1"/>
  <c r="P951" i="3"/>
  <c r="L952" i="3"/>
  <c r="M952" i="3" s="1"/>
  <c r="Q952" i="3" s="1"/>
  <c r="S952" i="3" s="1"/>
  <c r="P952" i="3"/>
  <c r="L820" i="3"/>
  <c r="N820" i="3" s="1"/>
  <c r="P820" i="3"/>
  <c r="L823" i="3"/>
  <c r="N823" i="3" s="1"/>
  <c r="P823" i="3"/>
  <c r="L825" i="3"/>
  <c r="M825" i="3" s="1"/>
  <c r="Q825" i="3" s="1"/>
  <c r="S825" i="3" s="1"/>
  <c r="P825" i="3"/>
  <c r="L832" i="3"/>
  <c r="N832" i="3" s="1"/>
  <c r="P832" i="3"/>
  <c r="L924" i="3"/>
  <c r="N924" i="3" s="1"/>
  <c r="P924" i="3"/>
  <c r="L927" i="3"/>
  <c r="N927" i="3" s="1"/>
  <c r="P927" i="3"/>
  <c r="L929" i="3"/>
  <c r="N929" i="3" s="1"/>
  <c r="P929" i="3"/>
  <c r="L931" i="3"/>
  <c r="N931" i="3" s="1"/>
  <c r="P931" i="3"/>
  <c r="P958" i="3"/>
  <c r="P830" i="3"/>
  <c r="Q958" i="3"/>
  <c r="S958" i="3" s="1"/>
  <c r="P922" i="3"/>
  <c r="P826" i="3"/>
  <c r="P950" i="3"/>
  <c r="P838" i="3"/>
  <c r="Y856" i="3"/>
  <c r="L856" i="3"/>
  <c r="Y855" i="3"/>
  <c r="L855" i="3"/>
  <c r="Y854" i="3"/>
  <c r="L854" i="3"/>
  <c r="Y853" i="3"/>
  <c r="L853" i="3"/>
  <c r="Y852" i="3"/>
  <c r="L852" i="3"/>
  <c r="Y851" i="3"/>
  <c r="L851" i="3"/>
  <c r="Y850" i="3"/>
  <c r="L850" i="3"/>
  <c r="Y849" i="3"/>
  <c r="L849" i="3"/>
  <c r="Y848" i="3"/>
  <c r="L848" i="3"/>
  <c r="Y847" i="3"/>
  <c r="L847" i="3"/>
  <c r="Y846" i="3"/>
  <c r="L846" i="3"/>
  <c r="Y845" i="3"/>
  <c r="L845" i="3"/>
  <c r="Y844" i="3"/>
  <c r="L844" i="3"/>
  <c r="Y843" i="3"/>
  <c r="L843" i="3"/>
  <c r="Y842" i="3"/>
  <c r="L842" i="3"/>
  <c r="Y841" i="3"/>
  <c r="L841" i="3"/>
  <c r="L956" i="3"/>
  <c r="M956" i="3" s="1"/>
  <c r="V956" i="3" s="1"/>
  <c r="W956" i="3" s="1"/>
  <c r="M75" i="1"/>
  <c r="AJ954" i="3" s="1"/>
  <c r="Y958" i="3"/>
  <c r="Y954" i="3"/>
  <c r="Y959" i="3"/>
  <c r="Y955" i="3"/>
  <c r="Y956" i="3"/>
  <c r="Y952" i="3"/>
  <c r="Y951" i="3"/>
  <c r="L954" i="3"/>
  <c r="M954" i="3" s="1"/>
  <c r="Q954" i="3" s="1"/>
  <c r="N958" i="3"/>
  <c r="V958" i="3"/>
  <c r="W958" i="3" s="1"/>
  <c r="L957" i="3"/>
  <c r="L953" i="3"/>
  <c r="L959" i="3"/>
  <c r="L955" i="3"/>
  <c r="Y950" i="3"/>
  <c r="Q950" i="3"/>
  <c r="N950" i="3"/>
  <c r="M28" i="1"/>
  <c r="AJ971" i="3" s="1"/>
  <c r="AF943" i="3"/>
  <c r="AF949" i="3"/>
  <c r="Y949" i="3"/>
  <c r="Y948" i="3"/>
  <c r="Y947" i="3"/>
  <c r="Y946" i="3"/>
  <c r="Y945" i="3"/>
  <c r="Y944" i="3"/>
  <c r="Y943" i="3"/>
  <c r="Y942" i="3"/>
  <c r="Y941" i="3"/>
  <c r="Y940" i="3"/>
  <c r="Y939" i="3"/>
  <c r="Y938" i="3"/>
  <c r="Y937" i="3"/>
  <c r="Y936" i="3"/>
  <c r="Y935" i="3"/>
  <c r="Y934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Y933" i="3"/>
  <c r="L933" i="3"/>
  <c r="Y932" i="3"/>
  <c r="L932" i="3"/>
  <c r="Y931" i="3"/>
  <c r="Y925" i="3"/>
  <c r="Y927" i="3"/>
  <c r="L928" i="3"/>
  <c r="N928" i="3" s="1"/>
  <c r="Y928" i="3"/>
  <c r="Y930" i="3"/>
  <c r="L930" i="3"/>
  <c r="N930" i="3" s="1"/>
  <c r="Y929" i="3"/>
  <c r="L926" i="3"/>
  <c r="N926" i="3" s="1"/>
  <c r="Y926" i="3"/>
  <c r="Y924" i="3"/>
  <c r="Y923" i="3"/>
  <c r="Y921" i="3"/>
  <c r="L923" i="3"/>
  <c r="N923" i="3" s="1"/>
  <c r="L921" i="3"/>
  <c r="N921" i="3" s="1"/>
  <c r="L925" i="3"/>
  <c r="N925" i="3" s="1"/>
  <c r="Y922" i="3"/>
  <c r="M922" i="3"/>
  <c r="Q922" i="3" s="1"/>
  <c r="S922" i="3" s="1"/>
  <c r="Y823" i="3"/>
  <c r="Y829" i="3"/>
  <c r="Y840" i="3"/>
  <c r="L817" i="3"/>
  <c r="M817" i="3" s="1"/>
  <c r="Q817" i="3" s="1"/>
  <c r="S817" i="3" s="1"/>
  <c r="L818" i="3"/>
  <c r="N818" i="3" s="1"/>
  <c r="Y826" i="3"/>
  <c r="L840" i="3"/>
  <c r="N840" i="3" s="1"/>
  <c r="Y817" i="3"/>
  <c r="Y825" i="3"/>
  <c r="L827" i="3"/>
  <c r="N827" i="3" s="1"/>
  <c r="R839" i="3"/>
  <c r="R834" i="3"/>
  <c r="L836" i="3"/>
  <c r="N836" i="3" s="1"/>
  <c r="L829" i="3"/>
  <c r="N829" i="3" s="1"/>
  <c r="Y824" i="3"/>
  <c r="Y827" i="3"/>
  <c r="L839" i="3"/>
  <c r="N839" i="3" s="1"/>
  <c r="Y839" i="3"/>
  <c r="Y838" i="3"/>
  <c r="M838" i="3"/>
  <c r="Q838" i="3" s="1"/>
  <c r="Y837" i="3"/>
  <c r="L822" i="3"/>
  <c r="N822" i="3" s="1"/>
  <c r="Y818" i="3"/>
  <c r="Y836" i="3"/>
  <c r="Y816" i="3"/>
  <c r="Y821" i="3"/>
  <c r="Y835" i="3"/>
  <c r="L834" i="3"/>
  <c r="N834" i="3" s="1"/>
  <c r="Y834" i="3"/>
  <c r="Y833" i="3"/>
  <c r="Y832" i="3"/>
  <c r="Y831" i="3"/>
  <c r="Y830" i="3"/>
  <c r="M830" i="3"/>
  <c r="Q830" i="3" s="1"/>
  <c r="Y828" i="3"/>
  <c r="L828" i="3"/>
  <c r="N826" i="3"/>
  <c r="M826" i="3"/>
  <c r="Q826" i="3" s="1"/>
  <c r="S826" i="3" s="1"/>
  <c r="Y820" i="3"/>
  <c r="Y822" i="3"/>
  <c r="L819" i="3"/>
  <c r="N819" i="3" s="1"/>
  <c r="Y819" i="3"/>
  <c r="L816" i="3"/>
  <c r="Y815" i="3"/>
  <c r="L815" i="3"/>
  <c r="Y814" i="3"/>
  <c r="L814" i="3"/>
  <c r="Y813" i="3"/>
  <c r="L813" i="3"/>
  <c r="Y812" i="3"/>
  <c r="L812" i="3"/>
  <c r="Y811" i="3"/>
  <c r="L811" i="3"/>
  <c r="Y810" i="3"/>
  <c r="L810" i="3"/>
  <c r="Y809" i="3"/>
  <c r="L809" i="3"/>
  <c r="Y808" i="3"/>
  <c r="L808" i="3"/>
  <c r="Y807" i="3"/>
  <c r="L807" i="3"/>
  <c r="Y806" i="3"/>
  <c r="L806" i="3"/>
  <c r="Y805" i="3"/>
  <c r="L805" i="3"/>
  <c r="Y804" i="3"/>
  <c r="L804" i="3"/>
  <c r="Y803" i="3"/>
  <c r="L803" i="3"/>
  <c r="Y802" i="3"/>
  <c r="L802" i="3"/>
  <c r="Y801" i="3"/>
  <c r="L801" i="3"/>
  <c r="Y800" i="3"/>
  <c r="L800" i="3"/>
  <c r="Y799" i="3"/>
  <c r="L799" i="3"/>
  <c r="Y798" i="3"/>
  <c r="L798" i="3"/>
  <c r="Y797" i="3"/>
  <c r="L797" i="3"/>
  <c r="Y920" i="3"/>
  <c r="L920" i="3"/>
  <c r="Y919" i="3"/>
  <c r="L919" i="3"/>
  <c r="Y918" i="3"/>
  <c r="L918" i="3"/>
  <c r="Y917" i="3"/>
  <c r="L917" i="3"/>
  <c r="Y916" i="3"/>
  <c r="L916" i="3"/>
  <c r="Y915" i="3"/>
  <c r="L915" i="3"/>
  <c r="Y914" i="3"/>
  <c r="L914" i="3"/>
  <c r="Y913" i="3"/>
  <c r="L913" i="3"/>
  <c r="Y912" i="3"/>
  <c r="L912" i="3"/>
  <c r="Y911" i="3"/>
  <c r="L911" i="3"/>
  <c r="Y910" i="3"/>
  <c r="L910" i="3"/>
  <c r="Y909" i="3"/>
  <c r="L909" i="3"/>
  <c r="Y908" i="3"/>
  <c r="L908" i="3"/>
  <c r="Y907" i="3"/>
  <c r="L907" i="3"/>
  <c r="Y906" i="3"/>
  <c r="L906" i="3"/>
  <c r="Y905" i="3"/>
  <c r="L905" i="3"/>
  <c r="Y904" i="3"/>
  <c r="L904" i="3"/>
  <c r="Y903" i="3"/>
  <c r="L903" i="3"/>
  <c r="K902" i="3"/>
  <c r="O902" i="3"/>
  <c r="AC902" i="3"/>
  <c r="P902" i="3" s="1"/>
  <c r="AD902" i="3"/>
  <c r="AE902" i="3"/>
  <c r="R902" i="3" s="1"/>
  <c r="AG902" i="3"/>
  <c r="AH902" i="3"/>
  <c r="AI902" i="3"/>
  <c r="AK902" i="3"/>
  <c r="AL902" i="3"/>
  <c r="K901" i="3"/>
  <c r="O901" i="3"/>
  <c r="AC901" i="3"/>
  <c r="P901" i="3" s="1"/>
  <c r="AD901" i="3"/>
  <c r="AE901" i="3"/>
  <c r="R901" i="3" s="1"/>
  <c r="AG901" i="3"/>
  <c r="AH901" i="3"/>
  <c r="AI901" i="3"/>
  <c r="AK901" i="3"/>
  <c r="AL901" i="3"/>
  <c r="K900" i="3"/>
  <c r="O900" i="3"/>
  <c r="AC900" i="3"/>
  <c r="P900" i="3" s="1"/>
  <c r="AD900" i="3"/>
  <c r="AE900" i="3"/>
  <c r="R900" i="3" s="1"/>
  <c r="AG900" i="3"/>
  <c r="AH900" i="3"/>
  <c r="AI900" i="3"/>
  <c r="AK900" i="3"/>
  <c r="AL900" i="3"/>
  <c r="K899" i="3"/>
  <c r="O899" i="3"/>
  <c r="AC899" i="3"/>
  <c r="P899" i="3" s="1"/>
  <c r="AD899" i="3"/>
  <c r="AE899" i="3"/>
  <c r="R899" i="3" s="1"/>
  <c r="AG899" i="3"/>
  <c r="AH899" i="3"/>
  <c r="AI899" i="3"/>
  <c r="AK899" i="3"/>
  <c r="AL899" i="3"/>
  <c r="K898" i="3"/>
  <c r="O898" i="3"/>
  <c r="AC898" i="3"/>
  <c r="P898" i="3" s="1"/>
  <c r="AD898" i="3"/>
  <c r="AE898" i="3"/>
  <c r="R898" i="3" s="1"/>
  <c r="AG898" i="3"/>
  <c r="AH898" i="3"/>
  <c r="AI898" i="3"/>
  <c r="AK898" i="3"/>
  <c r="AL898" i="3"/>
  <c r="K897" i="3"/>
  <c r="O897" i="3"/>
  <c r="AC897" i="3"/>
  <c r="P897" i="3" s="1"/>
  <c r="AD897" i="3"/>
  <c r="AE897" i="3"/>
  <c r="R897" i="3" s="1"/>
  <c r="AG897" i="3"/>
  <c r="AH897" i="3"/>
  <c r="AI897" i="3"/>
  <c r="AK897" i="3"/>
  <c r="AL897" i="3"/>
  <c r="K896" i="3"/>
  <c r="O896" i="3"/>
  <c r="AC896" i="3"/>
  <c r="P896" i="3" s="1"/>
  <c r="AD896" i="3"/>
  <c r="AE896" i="3"/>
  <c r="R896" i="3" s="1"/>
  <c r="AG896" i="3"/>
  <c r="AH896" i="3"/>
  <c r="AI896" i="3"/>
  <c r="AK896" i="3"/>
  <c r="AL896" i="3"/>
  <c r="K895" i="3"/>
  <c r="O895" i="3"/>
  <c r="AC895" i="3"/>
  <c r="P895" i="3" s="1"/>
  <c r="AD895" i="3"/>
  <c r="AE895" i="3"/>
  <c r="R895" i="3" s="1"/>
  <c r="AG895" i="3"/>
  <c r="AH895" i="3"/>
  <c r="AI895" i="3"/>
  <c r="AK895" i="3"/>
  <c r="AL895" i="3"/>
  <c r="K894" i="3"/>
  <c r="O894" i="3"/>
  <c r="AC894" i="3"/>
  <c r="P894" i="3" s="1"/>
  <c r="AD894" i="3"/>
  <c r="AE894" i="3"/>
  <c r="R894" i="3" s="1"/>
  <c r="AG894" i="3"/>
  <c r="AH894" i="3"/>
  <c r="AI894" i="3"/>
  <c r="AK894" i="3"/>
  <c r="AL894" i="3"/>
  <c r="K893" i="3"/>
  <c r="O893" i="3"/>
  <c r="AC893" i="3"/>
  <c r="P893" i="3" s="1"/>
  <c r="AD893" i="3"/>
  <c r="AE893" i="3"/>
  <c r="R893" i="3" s="1"/>
  <c r="AG893" i="3"/>
  <c r="AH893" i="3"/>
  <c r="AI893" i="3"/>
  <c r="AK893" i="3"/>
  <c r="AL893" i="3"/>
  <c r="K892" i="3"/>
  <c r="O892" i="3"/>
  <c r="AC892" i="3"/>
  <c r="P892" i="3" s="1"/>
  <c r="AD892" i="3"/>
  <c r="AE892" i="3"/>
  <c r="R892" i="3" s="1"/>
  <c r="AG892" i="3"/>
  <c r="AH892" i="3"/>
  <c r="AI892" i="3"/>
  <c r="AK892" i="3"/>
  <c r="AL892" i="3"/>
  <c r="K891" i="3"/>
  <c r="O891" i="3"/>
  <c r="AC891" i="3"/>
  <c r="P891" i="3" s="1"/>
  <c r="AD891" i="3"/>
  <c r="AE891" i="3"/>
  <c r="R891" i="3" s="1"/>
  <c r="AG891" i="3"/>
  <c r="AH891" i="3"/>
  <c r="AI891" i="3"/>
  <c r="AK891" i="3"/>
  <c r="AL891" i="3"/>
  <c r="K890" i="3"/>
  <c r="O890" i="3"/>
  <c r="AC890" i="3"/>
  <c r="P890" i="3" s="1"/>
  <c r="AD890" i="3"/>
  <c r="AE890" i="3"/>
  <c r="R890" i="3" s="1"/>
  <c r="AG890" i="3"/>
  <c r="AH890" i="3"/>
  <c r="AI890" i="3"/>
  <c r="AK890" i="3"/>
  <c r="AL890" i="3"/>
  <c r="K889" i="3"/>
  <c r="O889" i="3"/>
  <c r="AC889" i="3"/>
  <c r="P889" i="3" s="1"/>
  <c r="AD889" i="3"/>
  <c r="AE889" i="3"/>
  <c r="R889" i="3" s="1"/>
  <c r="AG889" i="3"/>
  <c r="AH889" i="3"/>
  <c r="AI889" i="3"/>
  <c r="AK889" i="3"/>
  <c r="AL889" i="3"/>
  <c r="K888" i="3"/>
  <c r="O888" i="3"/>
  <c r="AC888" i="3"/>
  <c r="P888" i="3" s="1"/>
  <c r="AD888" i="3"/>
  <c r="AE888" i="3"/>
  <c r="R888" i="3" s="1"/>
  <c r="AG888" i="3"/>
  <c r="AH888" i="3"/>
  <c r="AI888" i="3"/>
  <c r="AK888" i="3"/>
  <c r="AL888" i="3"/>
  <c r="K887" i="3"/>
  <c r="O887" i="3"/>
  <c r="AC887" i="3"/>
  <c r="P887" i="3" s="1"/>
  <c r="AD887" i="3"/>
  <c r="AE887" i="3"/>
  <c r="R887" i="3" s="1"/>
  <c r="AG887" i="3"/>
  <c r="AH887" i="3"/>
  <c r="AI887" i="3"/>
  <c r="AK887" i="3"/>
  <c r="AL887" i="3"/>
  <c r="K886" i="3"/>
  <c r="O886" i="3"/>
  <c r="AC886" i="3"/>
  <c r="P886" i="3" s="1"/>
  <c r="AD886" i="3"/>
  <c r="AE886" i="3"/>
  <c r="R886" i="3" s="1"/>
  <c r="AG886" i="3"/>
  <c r="AH886" i="3"/>
  <c r="AI886" i="3"/>
  <c r="AK886" i="3"/>
  <c r="AL886" i="3"/>
  <c r="K885" i="3"/>
  <c r="O885" i="3"/>
  <c r="AC885" i="3"/>
  <c r="P885" i="3" s="1"/>
  <c r="AD885" i="3"/>
  <c r="AE885" i="3"/>
  <c r="R885" i="3" s="1"/>
  <c r="AG885" i="3"/>
  <c r="AH885" i="3"/>
  <c r="AI885" i="3"/>
  <c r="AK885" i="3"/>
  <c r="AL885" i="3"/>
  <c r="K884" i="3"/>
  <c r="O884" i="3"/>
  <c r="AC884" i="3"/>
  <c r="P884" i="3" s="1"/>
  <c r="AD884" i="3"/>
  <c r="AE884" i="3"/>
  <c r="R884" i="3" s="1"/>
  <c r="AG884" i="3"/>
  <c r="AH884" i="3"/>
  <c r="AI884" i="3"/>
  <c r="AK884" i="3"/>
  <c r="AL884" i="3"/>
  <c r="K883" i="3"/>
  <c r="O883" i="3"/>
  <c r="AC883" i="3"/>
  <c r="P883" i="3" s="1"/>
  <c r="AD883" i="3"/>
  <c r="AE883" i="3"/>
  <c r="R883" i="3" s="1"/>
  <c r="AG883" i="3"/>
  <c r="AH883" i="3"/>
  <c r="AI883" i="3"/>
  <c r="AK883" i="3"/>
  <c r="AL883" i="3"/>
  <c r="K882" i="3"/>
  <c r="O882" i="3"/>
  <c r="AC882" i="3"/>
  <c r="P882" i="3" s="1"/>
  <c r="AD882" i="3"/>
  <c r="AE882" i="3"/>
  <c r="R882" i="3" s="1"/>
  <c r="AG882" i="3"/>
  <c r="AH882" i="3"/>
  <c r="AI882" i="3"/>
  <c r="AK882" i="3"/>
  <c r="AL882" i="3"/>
  <c r="K881" i="3"/>
  <c r="O881" i="3"/>
  <c r="AC881" i="3"/>
  <c r="P881" i="3" s="1"/>
  <c r="AD881" i="3"/>
  <c r="AE881" i="3"/>
  <c r="R881" i="3" s="1"/>
  <c r="AG881" i="3"/>
  <c r="AH881" i="3"/>
  <c r="AI881" i="3"/>
  <c r="AK881" i="3"/>
  <c r="AL881" i="3"/>
  <c r="K880" i="3"/>
  <c r="O880" i="3"/>
  <c r="AC880" i="3"/>
  <c r="P880" i="3" s="1"/>
  <c r="AD880" i="3"/>
  <c r="AE880" i="3"/>
  <c r="R880" i="3" s="1"/>
  <c r="AG880" i="3"/>
  <c r="AH880" i="3"/>
  <c r="AI880" i="3"/>
  <c r="AK880" i="3"/>
  <c r="AL880" i="3"/>
  <c r="K879" i="3"/>
  <c r="O879" i="3"/>
  <c r="AC879" i="3"/>
  <c r="P879" i="3" s="1"/>
  <c r="AD879" i="3"/>
  <c r="AE879" i="3"/>
  <c r="R879" i="3" s="1"/>
  <c r="AG879" i="3"/>
  <c r="AH879" i="3"/>
  <c r="AI879" i="3"/>
  <c r="AK879" i="3"/>
  <c r="AL879" i="3"/>
  <c r="K878" i="3"/>
  <c r="O878" i="3"/>
  <c r="AC878" i="3"/>
  <c r="P878" i="3" s="1"/>
  <c r="AD878" i="3"/>
  <c r="AE878" i="3"/>
  <c r="R878" i="3" s="1"/>
  <c r="AG878" i="3"/>
  <c r="AH878" i="3"/>
  <c r="AI878" i="3"/>
  <c r="AK878" i="3"/>
  <c r="AL878" i="3"/>
  <c r="K877" i="3"/>
  <c r="O877" i="3"/>
  <c r="AC877" i="3"/>
  <c r="P877" i="3" s="1"/>
  <c r="AD877" i="3"/>
  <c r="AE877" i="3"/>
  <c r="R877" i="3" s="1"/>
  <c r="AG877" i="3"/>
  <c r="AH877" i="3"/>
  <c r="AI877" i="3"/>
  <c r="AK877" i="3"/>
  <c r="AL877" i="3"/>
  <c r="K876" i="3"/>
  <c r="O876" i="3"/>
  <c r="AC876" i="3"/>
  <c r="P876" i="3" s="1"/>
  <c r="AD876" i="3"/>
  <c r="AE876" i="3"/>
  <c r="R876" i="3" s="1"/>
  <c r="AG876" i="3"/>
  <c r="AH876" i="3"/>
  <c r="AI876" i="3"/>
  <c r="AK876" i="3"/>
  <c r="AL876" i="3"/>
  <c r="K875" i="3"/>
  <c r="O875" i="3"/>
  <c r="AC875" i="3"/>
  <c r="P875" i="3" s="1"/>
  <c r="AD875" i="3"/>
  <c r="AE875" i="3"/>
  <c r="R875" i="3" s="1"/>
  <c r="AG875" i="3"/>
  <c r="AH875" i="3"/>
  <c r="AI875" i="3"/>
  <c r="AK875" i="3"/>
  <c r="AL875" i="3"/>
  <c r="K874" i="3"/>
  <c r="O874" i="3"/>
  <c r="AC874" i="3"/>
  <c r="P874" i="3" s="1"/>
  <c r="AD874" i="3"/>
  <c r="AE874" i="3"/>
  <c r="R874" i="3" s="1"/>
  <c r="AG874" i="3"/>
  <c r="AH874" i="3"/>
  <c r="AI874" i="3"/>
  <c r="AK874" i="3"/>
  <c r="AL874" i="3"/>
  <c r="K873" i="3"/>
  <c r="O873" i="3"/>
  <c r="AC873" i="3"/>
  <c r="P873" i="3" s="1"/>
  <c r="AD873" i="3"/>
  <c r="AE873" i="3"/>
  <c r="R873" i="3" s="1"/>
  <c r="AG873" i="3"/>
  <c r="AH873" i="3"/>
  <c r="AI873" i="3"/>
  <c r="AK873" i="3"/>
  <c r="AL873" i="3"/>
  <c r="K872" i="3"/>
  <c r="O872" i="3"/>
  <c r="AC872" i="3"/>
  <c r="P872" i="3" s="1"/>
  <c r="AD872" i="3"/>
  <c r="AE872" i="3"/>
  <c r="R872" i="3" s="1"/>
  <c r="AG872" i="3"/>
  <c r="AH872" i="3"/>
  <c r="AI872" i="3"/>
  <c r="AK872" i="3"/>
  <c r="AL872" i="3"/>
  <c r="K871" i="3"/>
  <c r="O871" i="3"/>
  <c r="AC871" i="3"/>
  <c r="P871" i="3" s="1"/>
  <c r="AD871" i="3"/>
  <c r="AE871" i="3"/>
  <c r="R871" i="3" s="1"/>
  <c r="AG871" i="3"/>
  <c r="AH871" i="3"/>
  <c r="AI871" i="3"/>
  <c r="AK871" i="3"/>
  <c r="AL871" i="3"/>
  <c r="K870" i="3"/>
  <c r="O870" i="3"/>
  <c r="AC870" i="3"/>
  <c r="P870" i="3" s="1"/>
  <c r="AD870" i="3"/>
  <c r="AE870" i="3"/>
  <c r="R870" i="3" s="1"/>
  <c r="AG870" i="3"/>
  <c r="AH870" i="3"/>
  <c r="AI870" i="3"/>
  <c r="AK870" i="3"/>
  <c r="AL870" i="3"/>
  <c r="K869" i="3"/>
  <c r="O869" i="3"/>
  <c r="AC869" i="3"/>
  <c r="P869" i="3" s="1"/>
  <c r="AD869" i="3"/>
  <c r="AE869" i="3"/>
  <c r="R869" i="3" s="1"/>
  <c r="AG869" i="3"/>
  <c r="AH869" i="3"/>
  <c r="AI869" i="3"/>
  <c r="AK869" i="3"/>
  <c r="AL869" i="3"/>
  <c r="K868" i="3"/>
  <c r="O868" i="3"/>
  <c r="AC868" i="3"/>
  <c r="P868" i="3" s="1"/>
  <c r="AD868" i="3"/>
  <c r="AE868" i="3"/>
  <c r="R868" i="3" s="1"/>
  <c r="AG868" i="3"/>
  <c r="AH868" i="3"/>
  <c r="AI868" i="3"/>
  <c r="AK868" i="3"/>
  <c r="AL868" i="3"/>
  <c r="K867" i="3"/>
  <c r="O867" i="3"/>
  <c r="AC867" i="3"/>
  <c r="P867" i="3" s="1"/>
  <c r="AD867" i="3"/>
  <c r="AE867" i="3"/>
  <c r="R867" i="3" s="1"/>
  <c r="AG867" i="3"/>
  <c r="AH867" i="3"/>
  <c r="AI867" i="3"/>
  <c r="AK867" i="3"/>
  <c r="AL867" i="3"/>
  <c r="K866" i="3"/>
  <c r="O866" i="3"/>
  <c r="AC866" i="3"/>
  <c r="P866" i="3" s="1"/>
  <c r="AD866" i="3"/>
  <c r="AE866" i="3"/>
  <c r="R866" i="3" s="1"/>
  <c r="AG866" i="3"/>
  <c r="AH866" i="3"/>
  <c r="AI866" i="3"/>
  <c r="AK866" i="3"/>
  <c r="AL866" i="3"/>
  <c r="K865" i="3"/>
  <c r="O865" i="3"/>
  <c r="AC865" i="3"/>
  <c r="P865" i="3" s="1"/>
  <c r="AD865" i="3"/>
  <c r="AE865" i="3"/>
  <c r="R865" i="3" s="1"/>
  <c r="AG865" i="3"/>
  <c r="AH865" i="3"/>
  <c r="AI865" i="3"/>
  <c r="AK865" i="3"/>
  <c r="AL865" i="3"/>
  <c r="K864" i="3"/>
  <c r="O864" i="3"/>
  <c r="AC864" i="3"/>
  <c r="P864" i="3" s="1"/>
  <c r="AD864" i="3"/>
  <c r="AE864" i="3"/>
  <c r="R864" i="3" s="1"/>
  <c r="AG864" i="3"/>
  <c r="AH864" i="3"/>
  <c r="AI864" i="3"/>
  <c r="AK864" i="3"/>
  <c r="AL864" i="3"/>
  <c r="K863" i="3"/>
  <c r="O863" i="3"/>
  <c r="AC863" i="3"/>
  <c r="P863" i="3" s="1"/>
  <c r="AD863" i="3"/>
  <c r="AE863" i="3"/>
  <c r="R863" i="3" s="1"/>
  <c r="AG863" i="3"/>
  <c r="AH863" i="3"/>
  <c r="AI863" i="3"/>
  <c r="AK863" i="3"/>
  <c r="AL863" i="3"/>
  <c r="K862" i="3"/>
  <c r="O862" i="3"/>
  <c r="AC862" i="3"/>
  <c r="P862" i="3" s="1"/>
  <c r="AD862" i="3"/>
  <c r="AE862" i="3"/>
  <c r="R862" i="3" s="1"/>
  <c r="AG862" i="3"/>
  <c r="AH862" i="3"/>
  <c r="AI862" i="3"/>
  <c r="AK862" i="3"/>
  <c r="AL862" i="3"/>
  <c r="K861" i="3"/>
  <c r="O861" i="3"/>
  <c r="AC861" i="3"/>
  <c r="P861" i="3" s="1"/>
  <c r="AD861" i="3"/>
  <c r="AE861" i="3"/>
  <c r="R861" i="3" s="1"/>
  <c r="AG861" i="3"/>
  <c r="AH861" i="3"/>
  <c r="AI861" i="3"/>
  <c r="AK861" i="3"/>
  <c r="AL861" i="3"/>
  <c r="K860" i="3"/>
  <c r="O860" i="3"/>
  <c r="AC860" i="3"/>
  <c r="P860" i="3" s="1"/>
  <c r="AD860" i="3"/>
  <c r="AE860" i="3"/>
  <c r="R860" i="3" s="1"/>
  <c r="AG860" i="3"/>
  <c r="AH860" i="3"/>
  <c r="AI860" i="3"/>
  <c r="AK860" i="3"/>
  <c r="AL860" i="3"/>
  <c r="K859" i="3"/>
  <c r="O859" i="3"/>
  <c r="AC859" i="3"/>
  <c r="P859" i="3" s="1"/>
  <c r="AD859" i="3"/>
  <c r="AE859" i="3"/>
  <c r="R859" i="3" s="1"/>
  <c r="AG859" i="3"/>
  <c r="AH859" i="3"/>
  <c r="AI859" i="3"/>
  <c r="AK859" i="3"/>
  <c r="AL859" i="3"/>
  <c r="K858" i="3"/>
  <c r="O858" i="3"/>
  <c r="AC858" i="3"/>
  <c r="P858" i="3" s="1"/>
  <c r="AD858" i="3"/>
  <c r="AE858" i="3"/>
  <c r="R858" i="3" s="1"/>
  <c r="AG858" i="3"/>
  <c r="AH858" i="3"/>
  <c r="AI858" i="3"/>
  <c r="AK858" i="3"/>
  <c r="AL858" i="3"/>
  <c r="K857" i="3"/>
  <c r="O857" i="3"/>
  <c r="AC857" i="3"/>
  <c r="P857" i="3" s="1"/>
  <c r="AD857" i="3"/>
  <c r="AE857" i="3"/>
  <c r="R857" i="3" s="1"/>
  <c r="AG857" i="3"/>
  <c r="AH857" i="3"/>
  <c r="AI857" i="3"/>
  <c r="AK857" i="3"/>
  <c r="AL857" i="3"/>
  <c r="K796" i="3"/>
  <c r="O796" i="3"/>
  <c r="AC796" i="3"/>
  <c r="P796" i="3" s="1"/>
  <c r="AD796" i="3"/>
  <c r="AE796" i="3"/>
  <c r="R796" i="3" s="1"/>
  <c r="AG796" i="3"/>
  <c r="AH796" i="3"/>
  <c r="AI796" i="3"/>
  <c r="AK796" i="3"/>
  <c r="AL796" i="3"/>
  <c r="K795" i="3"/>
  <c r="O795" i="3"/>
  <c r="AC795" i="3"/>
  <c r="P795" i="3" s="1"/>
  <c r="AD795" i="3"/>
  <c r="AE795" i="3"/>
  <c r="R795" i="3" s="1"/>
  <c r="AG795" i="3"/>
  <c r="AH795" i="3"/>
  <c r="AI795" i="3"/>
  <c r="AK795" i="3"/>
  <c r="AL795" i="3"/>
  <c r="K794" i="3"/>
  <c r="O794" i="3"/>
  <c r="AC794" i="3"/>
  <c r="P794" i="3" s="1"/>
  <c r="AD794" i="3"/>
  <c r="AE794" i="3"/>
  <c r="R794" i="3" s="1"/>
  <c r="AG794" i="3"/>
  <c r="AH794" i="3"/>
  <c r="AI794" i="3"/>
  <c r="AK794" i="3"/>
  <c r="AL794" i="3"/>
  <c r="K793" i="3"/>
  <c r="O793" i="3"/>
  <c r="AC793" i="3"/>
  <c r="P793" i="3" s="1"/>
  <c r="AD793" i="3"/>
  <c r="AE793" i="3"/>
  <c r="R793" i="3" s="1"/>
  <c r="AG793" i="3"/>
  <c r="AH793" i="3"/>
  <c r="AI793" i="3"/>
  <c r="AK793" i="3"/>
  <c r="AL793" i="3"/>
  <c r="K792" i="3"/>
  <c r="O792" i="3"/>
  <c r="AC792" i="3"/>
  <c r="P792" i="3" s="1"/>
  <c r="AD792" i="3"/>
  <c r="AE792" i="3"/>
  <c r="R792" i="3" s="1"/>
  <c r="AG792" i="3"/>
  <c r="AH792" i="3"/>
  <c r="AI792" i="3"/>
  <c r="AK792" i="3"/>
  <c r="AL792" i="3"/>
  <c r="K791" i="3"/>
  <c r="O791" i="3"/>
  <c r="AC791" i="3"/>
  <c r="P791" i="3" s="1"/>
  <c r="AD791" i="3"/>
  <c r="AE791" i="3"/>
  <c r="R791" i="3" s="1"/>
  <c r="AG791" i="3"/>
  <c r="AH791" i="3"/>
  <c r="AI791" i="3"/>
  <c r="AK791" i="3"/>
  <c r="AL791" i="3"/>
  <c r="K790" i="3"/>
  <c r="O790" i="3"/>
  <c r="AC790" i="3"/>
  <c r="P790" i="3" s="1"/>
  <c r="AD790" i="3"/>
  <c r="AE790" i="3"/>
  <c r="R790" i="3" s="1"/>
  <c r="AG790" i="3"/>
  <c r="AH790" i="3"/>
  <c r="AI790" i="3"/>
  <c r="AK790" i="3"/>
  <c r="AL790" i="3"/>
  <c r="K789" i="3"/>
  <c r="O789" i="3"/>
  <c r="AC789" i="3"/>
  <c r="P789" i="3" s="1"/>
  <c r="AD789" i="3"/>
  <c r="AE789" i="3"/>
  <c r="R789" i="3" s="1"/>
  <c r="AG789" i="3"/>
  <c r="AH789" i="3"/>
  <c r="AI789" i="3"/>
  <c r="AK789" i="3"/>
  <c r="AL789" i="3"/>
  <c r="K788" i="3"/>
  <c r="O788" i="3"/>
  <c r="AC788" i="3"/>
  <c r="P788" i="3" s="1"/>
  <c r="AD788" i="3"/>
  <c r="AE788" i="3"/>
  <c r="R788" i="3" s="1"/>
  <c r="AG788" i="3"/>
  <c r="AH788" i="3"/>
  <c r="AI788" i="3"/>
  <c r="AK788" i="3"/>
  <c r="AL788" i="3"/>
  <c r="K787" i="3"/>
  <c r="O787" i="3"/>
  <c r="AC787" i="3"/>
  <c r="P787" i="3" s="1"/>
  <c r="AD787" i="3"/>
  <c r="AE787" i="3"/>
  <c r="R787" i="3" s="1"/>
  <c r="AG787" i="3"/>
  <c r="AH787" i="3"/>
  <c r="AI787" i="3"/>
  <c r="AK787" i="3"/>
  <c r="AL787" i="3"/>
  <c r="K786" i="3"/>
  <c r="O786" i="3"/>
  <c r="AC786" i="3"/>
  <c r="P786" i="3" s="1"/>
  <c r="AD786" i="3"/>
  <c r="AE786" i="3"/>
  <c r="R786" i="3" s="1"/>
  <c r="AG786" i="3"/>
  <c r="AH786" i="3"/>
  <c r="AI786" i="3"/>
  <c r="AK786" i="3"/>
  <c r="AL786" i="3"/>
  <c r="K785" i="3"/>
  <c r="O785" i="3"/>
  <c r="AC785" i="3"/>
  <c r="P785" i="3" s="1"/>
  <c r="AD785" i="3"/>
  <c r="AE785" i="3"/>
  <c r="R785" i="3" s="1"/>
  <c r="AG785" i="3"/>
  <c r="AH785" i="3"/>
  <c r="AI785" i="3"/>
  <c r="AK785" i="3"/>
  <c r="AL785" i="3"/>
  <c r="K784" i="3"/>
  <c r="O784" i="3"/>
  <c r="AC784" i="3"/>
  <c r="P784" i="3" s="1"/>
  <c r="AD784" i="3"/>
  <c r="AE784" i="3"/>
  <c r="R784" i="3" s="1"/>
  <c r="AG784" i="3"/>
  <c r="AH784" i="3"/>
  <c r="AI784" i="3"/>
  <c r="AK784" i="3"/>
  <c r="AL784" i="3"/>
  <c r="K783" i="3"/>
  <c r="O783" i="3"/>
  <c r="AC783" i="3"/>
  <c r="P783" i="3" s="1"/>
  <c r="AD783" i="3"/>
  <c r="AE783" i="3"/>
  <c r="R783" i="3" s="1"/>
  <c r="AG783" i="3"/>
  <c r="AH783" i="3"/>
  <c r="AI783" i="3"/>
  <c r="AK783" i="3"/>
  <c r="AL783" i="3"/>
  <c r="K782" i="3"/>
  <c r="O782" i="3"/>
  <c r="AC782" i="3"/>
  <c r="P782" i="3" s="1"/>
  <c r="AD782" i="3"/>
  <c r="AE782" i="3"/>
  <c r="R782" i="3" s="1"/>
  <c r="AG782" i="3"/>
  <c r="AH782" i="3"/>
  <c r="AI782" i="3"/>
  <c r="AK782" i="3"/>
  <c r="AL782" i="3"/>
  <c r="K781" i="3"/>
  <c r="O781" i="3"/>
  <c r="AC781" i="3"/>
  <c r="P781" i="3" s="1"/>
  <c r="AD781" i="3"/>
  <c r="AE781" i="3"/>
  <c r="R781" i="3" s="1"/>
  <c r="AG781" i="3"/>
  <c r="AH781" i="3"/>
  <c r="AI781" i="3"/>
  <c r="AK781" i="3"/>
  <c r="AL781" i="3"/>
  <c r="K780" i="3"/>
  <c r="O780" i="3"/>
  <c r="AC780" i="3"/>
  <c r="P780" i="3" s="1"/>
  <c r="AD780" i="3"/>
  <c r="AE780" i="3"/>
  <c r="R780" i="3" s="1"/>
  <c r="AG780" i="3"/>
  <c r="AH780" i="3"/>
  <c r="AI780" i="3"/>
  <c r="AK780" i="3"/>
  <c r="AL780" i="3"/>
  <c r="K779" i="3"/>
  <c r="O779" i="3"/>
  <c r="AC779" i="3"/>
  <c r="P779" i="3" s="1"/>
  <c r="AD779" i="3"/>
  <c r="AE779" i="3"/>
  <c r="R779" i="3" s="1"/>
  <c r="AG779" i="3"/>
  <c r="AH779" i="3"/>
  <c r="AI779" i="3"/>
  <c r="AK779" i="3"/>
  <c r="AL779" i="3"/>
  <c r="K778" i="3"/>
  <c r="O778" i="3"/>
  <c r="AC778" i="3"/>
  <c r="P778" i="3" s="1"/>
  <c r="AD778" i="3"/>
  <c r="AE778" i="3"/>
  <c r="R778" i="3" s="1"/>
  <c r="AG778" i="3"/>
  <c r="AH778" i="3"/>
  <c r="AI778" i="3"/>
  <c r="AK778" i="3"/>
  <c r="AL778" i="3"/>
  <c r="K777" i="3"/>
  <c r="O777" i="3"/>
  <c r="AC777" i="3"/>
  <c r="P777" i="3" s="1"/>
  <c r="AD777" i="3"/>
  <c r="AE777" i="3"/>
  <c r="R777" i="3" s="1"/>
  <c r="AG777" i="3"/>
  <c r="AH777" i="3"/>
  <c r="AI777" i="3"/>
  <c r="AK777" i="3"/>
  <c r="AL777" i="3"/>
  <c r="K776" i="3"/>
  <c r="O776" i="3"/>
  <c r="AC776" i="3"/>
  <c r="P776" i="3" s="1"/>
  <c r="AD776" i="3"/>
  <c r="AE776" i="3"/>
  <c r="R776" i="3" s="1"/>
  <c r="AG776" i="3"/>
  <c r="AH776" i="3"/>
  <c r="AI776" i="3"/>
  <c r="AK776" i="3"/>
  <c r="AL776" i="3"/>
  <c r="K775" i="3"/>
  <c r="O775" i="3"/>
  <c r="AC775" i="3"/>
  <c r="P775" i="3" s="1"/>
  <c r="AD775" i="3"/>
  <c r="AE775" i="3"/>
  <c r="R775" i="3" s="1"/>
  <c r="AG775" i="3"/>
  <c r="AH775" i="3"/>
  <c r="AI775" i="3"/>
  <c r="AK775" i="3"/>
  <c r="AL775" i="3"/>
  <c r="K774" i="3"/>
  <c r="O774" i="3"/>
  <c r="AC774" i="3"/>
  <c r="P774" i="3" s="1"/>
  <c r="AD774" i="3"/>
  <c r="AE774" i="3"/>
  <c r="R774" i="3" s="1"/>
  <c r="AG774" i="3"/>
  <c r="AH774" i="3"/>
  <c r="AI774" i="3"/>
  <c r="AK774" i="3"/>
  <c r="AL774" i="3"/>
  <c r="K773" i="3"/>
  <c r="O773" i="3"/>
  <c r="AC773" i="3"/>
  <c r="P773" i="3" s="1"/>
  <c r="AD773" i="3"/>
  <c r="AE773" i="3"/>
  <c r="R773" i="3" s="1"/>
  <c r="AG773" i="3"/>
  <c r="AH773" i="3"/>
  <c r="AI773" i="3"/>
  <c r="AK773" i="3"/>
  <c r="AL773" i="3"/>
  <c r="K772" i="3"/>
  <c r="O772" i="3"/>
  <c r="AC772" i="3"/>
  <c r="P772" i="3" s="1"/>
  <c r="AD772" i="3"/>
  <c r="AE772" i="3"/>
  <c r="R772" i="3" s="1"/>
  <c r="AG772" i="3"/>
  <c r="AH772" i="3"/>
  <c r="AI772" i="3"/>
  <c r="AK772" i="3"/>
  <c r="AL772" i="3"/>
  <c r="K771" i="3"/>
  <c r="O771" i="3"/>
  <c r="AC771" i="3"/>
  <c r="P771" i="3" s="1"/>
  <c r="AD771" i="3"/>
  <c r="AE771" i="3"/>
  <c r="R771" i="3" s="1"/>
  <c r="AG771" i="3"/>
  <c r="AH771" i="3"/>
  <c r="AI771" i="3"/>
  <c r="AK771" i="3"/>
  <c r="AL771" i="3"/>
  <c r="K770" i="3"/>
  <c r="O770" i="3"/>
  <c r="AC770" i="3"/>
  <c r="P770" i="3" s="1"/>
  <c r="AD770" i="3"/>
  <c r="AE770" i="3"/>
  <c r="R770" i="3" s="1"/>
  <c r="AG770" i="3"/>
  <c r="AH770" i="3"/>
  <c r="AI770" i="3"/>
  <c r="AK770" i="3"/>
  <c r="AL770" i="3"/>
  <c r="K769" i="3"/>
  <c r="O769" i="3"/>
  <c r="AC769" i="3"/>
  <c r="P769" i="3" s="1"/>
  <c r="AD769" i="3"/>
  <c r="AE769" i="3"/>
  <c r="R769" i="3" s="1"/>
  <c r="AG769" i="3"/>
  <c r="AH769" i="3"/>
  <c r="AI769" i="3"/>
  <c r="AK769" i="3"/>
  <c r="AL769" i="3"/>
  <c r="K768" i="3"/>
  <c r="O768" i="3"/>
  <c r="AC768" i="3"/>
  <c r="P768" i="3" s="1"/>
  <c r="AD768" i="3"/>
  <c r="AE768" i="3"/>
  <c r="R768" i="3" s="1"/>
  <c r="AG768" i="3"/>
  <c r="AH768" i="3"/>
  <c r="AI768" i="3"/>
  <c r="AK768" i="3"/>
  <c r="AL768" i="3"/>
  <c r="K767" i="3"/>
  <c r="O767" i="3"/>
  <c r="AC767" i="3"/>
  <c r="P767" i="3" s="1"/>
  <c r="AD767" i="3"/>
  <c r="AE767" i="3"/>
  <c r="R767" i="3" s="1"/>
  <c r="AG767" i="3"/>
  <c r="AH767" i="3"/>
  <c r="AI767" i="3"/>
  <c r="AK767" i="3"/>
  <c r="AL767" i="3"/>
  <c r="K766" i="3"/>
  <c r="O766" i="3"/>
  <c r="AC766" i="3"/>
  <c r="P766" i="3" s="1"/>
  <c r="AD766" i="3"/>
  <c r="AE766" i="3"/>
  <c r="R766" i="3" s="1"/>
  <c r="AG766" i="3"/>
  <c r="AH766" i="3"/>
  <c r="AI766" i="3"/>
  <c r="AK766" i="3"/>
  <c r="AL766" i="3"/>
  <c r="K765" i="3"/>
  <c r="O765" i="3"/>
  <c r="AC765" i="3"/>
  <c r="P765" i="3" s="1"/>
  <c r="AD765" i="3"/>
  <c r="AE765" i="3"/>
  <c r="R765" i="3" s="1"/>
  <c r="AG765" i="3"/>
  <c r="AH765" i="3"/>
  <c r="AI765" i="3"/>
  <c r="AK765" i="3"/>
  <c r="AL765" i="3"/>
  <c r="K764" i="3"/>
  <c r="O764" i="3"/>
  <c r="AC764" i="3"/>
  <c r="P764" i="3" s="1"/>
  <c r="AD764" i="3"/>
  <c r="AE764" i="3"/>
  <c r="R764" i="3" s="1"/>
  <c r="AG764" i="3"/>
  <c r="AH764" i="3"/>
  <c r="AI764" i="3"/>
  <c r="AK764" i="3"/>
  <c r="AL764" i="3"/>
  <c r="K763" i="3"/>
  <c r="O763" i="3"/>
  <c r="AC763" i="3"/>
  <c r="P763" i="3" s="1"/>
  <c r="AD763" i="3"/>
  <c r="AE763" i="3"/>
  <c r="R763" i="3" s="1"/>
  <c r="AG763" i="3"/>
  <c r="AH763" i="3"/>
  <c r="AI763" i="3"/>
  <c r="AK763" i="3"/>
  <c r="AL763" i="3"/>
  <c r="K762" i="3"/>
  <c r="O762" i="3"/>
  <c r="AC762" i="3"/>
  <c r="P762" i="3" s="1"/>
  <c r="AD762" i="3"/>
  <c r="AE762" i="3"/>
  <c r="R762" i="3" s="1"/>
  <c r="AG762" i="3"/>
  <c r="AH762" i="3"/>
  <c r="AI762" i="3"/>
  <c r="AK762" i="3"/>
  <c r="AL762" i="3"/>
  <c r="K761" i="3"/>
  <c r="O761" i="3"/>
  <c r="AC761" i="3"/>
  <c r="P761" i="3" s="1"/>
  <c r="AD761" i="3"/>
  <c r="AE761" i="3"/>
  <c r="R761" i="3" s="1"/>
  <c r="AG761" i="3"/>
  <c r="AH761" i="3"/>
  <c r="AI761" i="3"/>
  <c r="AK761" i="3"/>
  <c r="AL761" i="3"/>
  <c r="K760" i="3"/>
  <c r="O760" i="3"/>
  <c r="AC760" i="3"/>
  <c r="P760" i="3" s="1"/>
  <c r="AD760" i="3"/>
  <c r="AE760" i="3"/>
  <c r="R760" i="3" s="1"/>
  <c r="AG760" i="3"/>
  <c r="AH760" i="3"/>
  <c r="AI760" i="3"/>
  <c r="AK760" i="3"/>
  <c r="AL760" i="3"/>
  <c r="K759" i="3"/>
  <c r="O759" i="3"/>
  <c r="AC759" i="3"/>
  <c r="P759" i="3" s="1"/>
  <c r="AD759" i="3"/>
  <c r="AE759" i="3"/>
  <c r="R759" i="3" s="1"/>
  <c r="AG759" i="3"/>
  <c r="AH759" i="3"/>
  <c r="AI759" i="3"/>
  <c r="AK759" i="3"/>
  <c r="AL759" i="3"/>
  <c r="K758" i="3"/>
  <c r="O758" i="3"/>
  <c r="AC758" i="3"/>
  <c r="P758" i="3" s="1"/>
  <c r="AD758" i="3"/>
  <c r="AE758" i="3"/>
  <c r="R758" i="3" s="1"/>
  <c r="AG758" i="3"/>
  <c r="AH758" i="3"/>
  <c r="AI758" i="3"/>
  <c r="AK758" i="3"/>
  <c r="AL758" i="3"/>
  <c r="K757" i="3"/>
  <c r="O757" i="3"/>
  <c r="AC757" i="3"/>
  <c r="P757" i="3" s="1"/>
  <c r="AD757" i="3"/>
  <c r="AE757" i="3"/>
  <c r="R757" i="3" s="1"/>
  <c r="AG757" i="3"/>
  <c r="AH757" i="3"/>
  <c r="AI757" i="3"/>
  <c r="AK757" i="3"/>
  <c r="AL757" i="3"/>
  <c r="K756" i="3"/>
  <c r="O756" i="3"/>
  <c r="AC756" i="3"/>
  <c r="P756" i="3" s="1"/>
  <c r="AD756" i="3"/>
  <c r="AE756" i="3"/>
  <c r="R756" i="3" s="1"/>
  <c r="AG756" i="3"/>
  <c r="AH756" i="3"/>
  <c r="AI756" i="3"/>
  <c r="AK756" i="3"/>
  <c r="AL756" i="3"/>
  <c r="K755" i="3"/>
  <c r="O755" i="3"/>
  <c r="AC755" i="3"/>
  <c r="P755" i="3" s="1"/>
  <c r="AD755" i="3"/>
  <c r="AE755" i="3"/>
  <c r="R755" i="3" s="1"/>
  <c r="AG755" i="3"/>
  <c r="AH755" i="3"/>
  <c r="AI755" i="3"/>
  <c r="AK755" i="3"/>
  <c r="AL755" i="3"/>
  <c r="K754" i="3"/>
  <c r="O754" i="3"/>
  <c r="AC754" i="3"/>
  <c r="P754" i="3" s="1"/>
  <c r="AD754" i="3"/>
  <c r="AE754" i="3"/>
  <c r="R754" i="3" s="1"/>
  <c r="AG754" i="3"/>
  <c r="AH754" i="3"/>
  <c r="AI754" i="3"/>
  <c r="AK754" i="3"/>
  <c r="AL754" i="3"/>
  <c r="K753" i="3"/>
  <c r="O753" i="3"/>
  <c r="AC753" i="3"/>
  <c r="P753" i="3" s="1"/>
  <c r="AD753" i="3"/>
  <c r="AE753" i="3"/>
  <c r="R753" i="3" s="1"/>
  <c r="AG753" i="3"/>
  <c r="AH753" i="3"/>
  <c r="AI753" i="3"/>
  <c r="AK753" i="3"/>
  <c r="AL753" i="3"/>
  <c r="K752" i="3"/>
  <c r="O752" i="3"/>
  <c r="AC752" i="3"/>
  <c r="P752" i="3" s="1"/>
  <c r="AD752" i="3"/>
  <c r="AE752" i="3"/>
  <c r="R752" i="3" s="1"/>
  <c r="AG752" i="3"/>
  <c r="AH752" i="3"/>
  <c r="AI752" i="3"/>
  <c r="AK752" i="3"/>
  <c r="AL752" i="3"/>
  <c r="K751" i="3"/>
  <c r="O751" i="3"/>
  <c r="AC751" i="3"/>
  <c r="P751" i="3" s="1"/>
  <c r="AD751" i="3"/>
  <c r="AE751" i="3"/>
  <c r="R751" i="3" s="1"/>
  <c r="AG751" i="3"/>
  <c r="AH751" i="3"/>
  <c r="AI751" i="3"/>
  <c r="AK751" i="3"/>
  <c r="AL751" i="3"/>
  <c r="K750" i="3"/>
  <c r="O750" i="3"/>
  <c r="AC750" i="3"/>
  <c r="P750" i="3" s="1"/>
  <c r="AD750" i="3"/>
  <c r="AE750" i="3"/>
  <c r="R750" i="3" s="1"/>
  <c r="AG750" i="3"/>
  <c r="AH750" i="3"/>
  <c r="AI750" i="3"/>
  <c r="AK750" i="3"/>
  <c r="AL750" i="3"/>
  <c r="K749" i="3"/>
  <c r="O749" i="3"/>
  <c r="AC749" i="3"/>
  <c r="P749" i="3" s="1"/>
  <c r="AD749" i="3"/>
  <c r="AE749" i="3"/>
  <c r="R749" i="3" s="1"/>
  <c r="AG749" i="3"/>
  <c r="AH749" i="3"/>
  <c r="AI749" i="3"/>
  <c r="AK749" i="3"/>
  <c r="AL749" i="3"/>
  <c r="K748" i="3"/>
  <c r="O748" i="3"/>
  <c r="AC748" i="3"/>
  <c r="P748" i="3" s="1"/>
  <c r="AD748" i="3"/>
  <c r="AE748" i="3"/>
  <c r="R748" i="3" s="1"/>
  <c r="AG748" i="3"/>
  <c r="AH748" i="3"/>
  <c r="AI748" i="3"/>
  <c r="AK748" i="3"/>
  <c r="AL748" i="3"/>
  <c r="K747" i="3"/>
  <c r="O747" i="3"/>
  <c r="AC747" i="3"/>
  <c r="P747" i="3" s="1"/>
  <c r="AD747" i="3"/>
  <c r="AE747" i="3"/>
  <c r="R747" i="3" s="1"/>
  <c r="AG747" i="3"/>
  <c r="AH747" i="3"/>
  <c r="AI747" i="3"/>
  <c r="AK747" i="3"/>
  <c r="AL747" i="3"/>
  <c r="K746" i="3"/>
  <c r="O746" i="3"/>
  <c r="AC746" i="3"/>
  <c r="P746" i="3" s="1"/>
  <c r="AD746" i="3"/>
  <c r="AE746" i="3"/>
  <c r="R746" i="3" s="1"/>
  <c r="AG746" i="3"/>
  <c r="AH746" i="3"/>
  <c r="AI746" i="3"/>
  <c r="AK746" i="3"/>
  <c r="AL746" i="3"/>
  <c r="K745" i="3"/>
  <c r="O745" i="3"/>
  <c r="AC745" i="3"/>
  <c r="P745" i="3" s="1"/>
  <c r="AD745" i="3"/>
  <c r="AE745" i="3"/>
  <c r="R745" i="3" s="1"/>
  <c r="AG745" i="3"/>
  <c r="AH745" i="3"/>
  <c r="AI745" i="3"/>
  <c r="AK745" i="3"/>
  <c r="AL745" i="3"/>
  <c r="K744" i="3"/>
  <c r="O744" i="3"/>
  <c r="AC744" i="3"/>
  <c r="P744" i="3" s="1"/>
  <c r="AD744" i="3"/>
  <c r="AE744" i="3"/>
  <c r="R744" i="3" s="1"/>
  <c r="AG744" i="3"/>
  <c r="AH744" i="3"/>
  <c r="AI744" i="3"/>
  <c r="AK744" i="3"/>
  <c r="AL744" i="3"/>
  <c r="K743" i="3"/>
  <c r="O743" i="3"/>
  <c r="AC743" i="3"/>
  <c r="P743" i="3" s="1"/>
  <c r="AD743" i="3"/>
  <c r="AE743" i="3"/>
  <c r="R743" i="3" s="1"/>
  <c r="AG743" i="3"/>
  <c r="AH743" i="3"/>
  <c r="AI743" i="3"/>
  <c r="AK743" i="3"/>
  <c r="AL743" i="3"/>
  <c r="K742" i="3"/>
  <c r="O742" i="3"/>
  <c r="AC742" i="3"/>
  <c r="P742" i="3" s="1"/>
  <c r="AD742" i="3"/>
  <c r="AE742" i="3"/>
  <c r="R742" i="3" s="1"/>
  <c r="AG742" i="3"/>
  <c r="AH742" i="3"/>
  <c r="AI742" i="3"/>
  <c r="AK742" i="3"/>
  <c r="AL742" i="3"/>
  <c r="K741" i="3"/>
  <c r="O741" i="3"/>
  <c r="AC741" i="3"/>
  <c r="P741" i="3" s="1"/>
  <c r="AD741" i="3"/>
  <c r="AE741" i="3"/>
  <c r="R741" i="3" s="1"/>
  <c r="AG741" i="3"/>
  <c r="AH741" i="3"/>
  <c r="AI741" i="3"/>
  <c r="AK741" i="3"/>
  <c r="AL741" i="3"/>
  <c r="K740" i="3"/>
  <c r="O740" i="3"/>
  <c r="AC740" i="3"/>
  <c r="P740" i="3" s="1"/>
  <c r="AD740" i="3"/>
  <c r="AE740" i="3"/>
  <c r="R740" i="3" s="1"/>
  <c r="AG740" i="3"/>
  <c r="AH740" i="3"/>
  <c r="AI740" i="3"/>
  <c r="AK740" i="3"/>
  <c r="AL740" i="3"/>
  <c r="K739" i="3"/>
  <c r="O739" i="3"/>
  <c r="AC739" i="3"/>
  <c r="P739" i="3" s="1"/>
  <c r="AD739" i="3"/>
  <c r="AE739" i="3"/>
  <c r="R739" i="3" s="1"/>
  <c r="AG739" i="3"/>
  <c r="AH739" i="3"/>
  <c r="AI739" i="3"/>
  <c r="AK739" i="3"/>
  <c r="AL739" i="3"/>
  <c r="K738" i="3"/>
  <c r="O738" i="3"/>
  <c r="AC738" i="3"/>
  <c r="P738" i="3" s="1"/>
  <c r="AD738" i="3"/>
  <c r="AE738" i="3"/>
  <c r="R738" i="3" s="1"/>
  <c r="AG738" i="3"/>
  <c r="AH738" i="3"/>
  <c r="AI738" i="3"/>
  <c r="AK738" i="3"/>
  <c r="AL738" i="3"/>
  <c r="K737" i="3"/>
  <c r="O737" i="3"/>
  <c r="AC737" i="3"/>
  <c r="P737" i="3" s="1"/>
  <c r="AD737" i="3"/>
  <c r="AE737" i="3"/>
  <c r="R737" i="3" s="1"/>
  <c r="AG737" i="3"/>
  <c r="AH737" i="3"/>
  <c r="AI737" i="3"/>
  <c r="AK737" i="3"/>
  <c r="AL737" i="3"/>
  <c r="K736" i="3"/>
  <c r="O736" i="3"/>
  <c r="AC736" i="3"/>
  <c r="P736" i="3" s="1"/>
  <c r="AD736" i="3"/>
  <c r="AE736" i="3"/>
  <c r="R736" i="3" s="1"/>
  <c r="AG736" i="3"/>
  <c r="AH736" i="3"/>
  <c r="AI736" i="3"/>
  <c r="AK736" i="3"/>
  <c r="AL736" i="3"/>
  <c r="K735" i="3"/>
  <c r="O735" i="3"/>
  <c r="AC735" i="3"/>
  <c r="P735" i="3" s="1"/>
  <c r="AD735" i="3"/>
  <c r="AE735" i="3"/>
  <c r="R735" i="3" s="1"/>
  <c r="AG735" i="3"/>
  <c r="AH735" i="3"/>
  <c r="AI735" i="3"/>
  <c r="AK735" i="3"/>
  <c r="AL735" i="3"/>
  <c r="K734" i="3"/>
  <c r="O734" i="3"/>
  <c r="AC734" i="3"/>
  <c r="P734" i="3" s="1"/>
  <c r="AD734" i="3"/>
  <c r="AE734" i="3"/>
  <c r="R734" i="3" s="1"/>
  <c r="AG734" i="3"/>
  <c r="AH734" i="3"/>
  <c r="AI734" i="3"/>
  <c r="AK734" i="3"/>
  <c r="AL734" i="3"/>
  <c r="K733" i="3"/>
  <c r="O733" i="3"/>
  <c r="AC733" i="3"/>
  <c r="P733" i="3" s="1"/>
  <c r="AD733" i="3"/>
  <c r="AE733" i="3"/>
  <c r="R733" i="3" s="1"/>
  <c r="AG733" i="3"/>
  <c r="AH733" i="3"/>
  <c r="AI733" i="3"/>
  <c r="AK733" i="3"/>
  <c r="AL733" i="3"/>
  <c r="K732" i="3"/>
  <c r="O732" i="3"/>
  <c r="AC732" i="3"/>
  <c r="P732" i="3" s="1"/>
  <c r="AD732" i="3"/>
  <c r="AE732" i="3"/>
  <c r="R732" i="3" s="1"/>
  <c r="AG732" i="3"/>
  <c r="AH732" i="3"/>
  <c r="AI732" i="3"/>
  <c r="AK732" i="3"/>
  <c r="AL732" i="3"/>
  <c r="K731" i="3"/>
  <c r="O731" i="3"/>
  <c r="AC731" i="3"/>
  <c r="P731" i="3" s="1"/>
  <c r="AD731" i="3"/>
  <c r="AE731" i="3"/>
  <c r="R731" i="3" s="1"/>
  <c r="AG731" i="3"/>
  <c r="AH731" i="3"/>
  <c r="AI731" i="3"/>
  <c r="AK731" i="3"/>
  <c r="AL731" i="3"/>
  <c r="K730" i="3"/>
  <c r="O730" i="3"/>
  <c r="AC730" i="3"/>
  <c r="P730" i="3" s="1"/>
  <c r="AD730" i="3"/>
  <c r="AE730" i="3"/>
  <c r="R730" i="3" s="1"/>
  <c r="AG730" i="3"/>
  <c r="AH730" i="3"/>
  <c r="AI730" i="3"/>
  <c r="AK730" i="3"/>
  <c r="AL730" i="3"/>
  <c r="K729" i="3"/>
  <c r="O729" i="3"/>
  <c r="AC729" i="3"/>
  <c r="P729" i="3" s="1"/>
  <c r="AD729" i="3"/>
  <c r="AE729" i="3"/>
  <c r="R729" i="3" s="1"/>
  <c r="AG729" i="3"/>
  <c r="AH729" i="3"/>
  <c r="AI729" i="3"/>
  <c r="AK729" i="3"/>
  <c r="AL729" i="3"/>
  <c r="K728" i="3"/>
  <c r="O728" i="3"/>
  <c r="AC728" i="3"/>
  <c r="P728" i="3" s="1"/>
  <c r="AD728" i="3"/>
  <c r="AE728" i="3"/>
  <c r="R728" i="3" s="1"/>
  <c r="AG728" i="3"/>
  <c r="AH728" i="3"/>
  <c r="AI728" i="3"/>
  <c r="AK728" i="3"/>
  <c r="AL728" i="3"/>
  <c r="K727" i="3"/>
  <c r="O727" i="3"/>
  <c r="AC727" i="3"/>
  <c r="P727" i="3" s="1"/>
  <c r="AD727" i="3"/>
  <c r="AE727" i="3"/>
  <c r="R727" i="3" s="1"/>
  <c r="AG727" i="3"/>
  <c r="AH727" i="3"/>
  <c r="AI727" i="3"/>
  <c r="AK727" i="3"/>
  <c r="AL727" i="3"/>
  <c r="O726" i="3"/>
  <c r="AC726" i="3"/>
  <c r="P726" i="3" s="1"/>
  <c r="AD726" i="3"/>
  <c r="AE726" i="3"/>
  <c r="R726" i="3" s="1"/>
  <c r="AG726" i="3"/>
  <c r="AH726" i="3"/>
  <c r="AI726" i="3"/>
  <c r="AK726" i="3"/>
  <c r="AL726" i="3"/>
  <c r="K725" i="3"/>
  <c r="O725" i="3"/>
  <c r="AC725" i="3"/>
  <c r="P725" i="3" s="1"/>
  <c r="AD725" i="3"/>
  <c r="AE725" i="3"/>
  <c r="R725" i="3" s="1"/>
  <c r="AG725" i="3"/>
  <c r="AH725" i="3"/>
  <c r="AI725" i="3"/>
  <c r="AK725" i="3"/>
  <c r="AL725" i="3"/>
  <c r="K724" i="3"/>
  <c r="O724" i="3"/>
  <c r="AC724" i="3"/>
  <c r="P724" i="3" s="1"/>
  <c r="AD724" i="3"/>
  <c r="AE724" i="3"/>
  <c r="R724" i="3" s="1"/>
  <c r="AG724" i="3"/>
  <c r="AH724" i="3"/>
  <c r="AI724" i="3"/>
  <c r="AK724" i="3"/>
  <c r="AL724" i="3"/>
  <c r="K723" i="3"/>
  <c r="O723" i="3"/>
  <c r="AC723" i="3"/>
  <c r="P723" i="3" s="1"/>
  <c r="AD723" i="3"/>
  <c r="AE723" i="3"/>
  <c r="R723" i="3" s="1"/>
  <c r="AG723" i="3"/>
  <c r="AH723" i="3"/>
  <c r="AI723" i="3"/>
  <c r="AK723" i="3"/>
  <c r="AL723" i="3"/>
  <c r="K722" i="3"/>
  <c r="O722" i="3"/>
  <c r="AC722" i="3"/>
  <c r="P722" i="3" s="1"/>
  <c r="AD722" i="3"/>
  <c r="AE722" i="3"/>
  <c r="R722" i="3" s="1"/>
  <c r="AG722" i="3"/>
  <c r="AH722" i="3"/>
  <c r="AI722" i="3"/>
  <c r="AK722" i="3"/>
  <c r="AL722" i="3"/>
  <c r="K721" i="3"/>
  <c r="O721" i="3"/>
  <c r="AC721" i="3"/>
  <c r="P721" i="3" s="1"/>
  <c r="AD721" i="3"/>
  <c r="AE721" i="3"/>
  <c r="R721" i="3" s="1"/>
  <c r="AG721" i="3"/>
  <c r="AH721" i="3"/>
  <c r="AI721" i="3"/>
  <c r="AK721" i="3"/>
  <c r="AL721" i="3"/>
  <c r="K720" i="3"/>
  <c r="O720" i="3"/>
  <c r="AC720" i="3"/>
  <c r="P720" i="3" s="1"/>
  <c r="AD720" i="3"/>
  <c r="AE720" i="3"/>
  <c r="R720" i="3" s="1"/>
  <c r="AG720" i="3"/>
  <c r="AH720" i="3"/>
  <c r="AI720" i="3"/>
  <c r="AK720" i="3"/>
  <c r="AL720" i="3"/>
  <c r="K719" i="3"/>
  <c r="O719" i="3"/>
  <c r="AC719" i="3"/>
  <c r="P719" i="3" s="1"/>
  <c r="AD719" i="3"/>
  <c r="AE719" i="3"/>
  <c r="R719" i="3" s="1"/>
  <c r="AG719" i="3"/>
  <c r="AH719" i="3"/>
  <c r="AI719" i="3"/>
  <c r="AK719" i="3"/>
  <c r="AL719" i="3"/>
  <c r="K718" i="3"/>
  <c r="O718" i="3"/>
  <c r="AC718" i="3"/>
  <c r="P718" i="3" s="1"/>
  <c r="AD718" i="3"/>
  <c r="AE718" i="3"/>
  <c r="R718" i="3" s="1"/>
  <c r="AG718" i="3"/>
  <c r="AH718" i="3"/>
  <c r="AI718" i="3"/>
  <c r="AK718" i="3"/>
  <c r="AL718" i="3"/>
  <c r="K717" i="3"/>
  <c r="O717" i="3"/>
  <c r="AC717" i="3"/>
  <c r="P717" i="3" s="1"/>
  <c r="AD717" i="3"/>
  <c r="AE717" i="3"/>
  <c r="R717" i="3" s="1"/>
  <c r="AG717" i="3"/>
  <c r="AH717" i="3"/>
  <c r="AI717" i="3"/>
  <c r="AK717" i="3"/>
  <c r="AL717" i="3"/>
  <c r="K716" i="3"/>
  <c r="O716" i="3"/>
  <c r="AC716" i="3"/>
  <c r="P716" i="3" s="1"/>
  <c r="AD716" i="3"/>
  <c r="AE716" i="3"/>
  <c r="R716" i="3" s="1"/>
  <c r="AG716" i="3"/>
  <c r="AH716" i="3"/>
  <c r="AI716" i="3"/>
  <c r="AK716" i="3"/>
  <c r="AL716" i="3"/>
  <c r="K715" i="3"/>
  <c r="O715" i="3"/>
  <c r="AC715" i="3"/>
  <c r="P715" i="3" s="1"/>
  <c r="AD715" i="3"/>
  <c r="AE715" i="3"/>
  <c r="R715" i="3" s="1"/>
  <c r="AG715" i="3"/>
  <c r="AH715" i="3"/>
  <c r="AI715" i="3"/>
  <c r="AK715" i="3"/>
  <c r="AL715" i="3"/>
  <c r="K714" i="3"/>
  <c r="O714" i="3"/>
  <c r="AC714" i="3"/>
  <c r="P714" i="3" s="1"/>
  <c r="AD714" i="3"/>
  <c r="AE714" i="3"/>
  <c r="R714" i="3" s="1"/>
  <c r="AG714" i="3"/>
  <c r="AH714" i="3"/>
  <c r="AI714" i="3"/>
  <c r="AK714" i="3"/>
  <c r="AL714" i="3"/>
  <c r="K713" i="3"/>
  <c r="O713" i="3"/>
  <c r="AC713" i="3"/>
  <c r="P713" i="3" s="1"/>
  <c r="AD713" i="3"/>
  <c r="AE713" i="3"/>
  <c r="R713" i="3" s="1"/>
  <c r="AG713" i="3"/>
  <c r="AH713" i="3"/>
  <c r="AI713" i="3"/>
  <c r="AK713" i="3"/>
  <c r="AL713" i="3"/>
  <c r="AL712" i="3"/>
  <c r="AK712" i="3"/>
  <c r="AI712" i="3"/>
  <c r="AH712" i="3"/>
  <c r="AG712" i="3"/>
  <c r="AE712" i="3"/>
  <c r="R712" i="3" s="1"/>
  <c r="AD712" i="3"/>
  <c r="AC712" i="3"/>
  <c r="P712" i="3" s="1"/>
  <c r="O712" i="3"/>
  <c r="K712" i="3"/>
  <c r="AL711" i="3"/>
  <c r="AK711" i="3"/>
  <c r="AI711" i="3"/>
  <c r="AH711" i="3"/>
  <c r="AG711" i="3"/>
  <c r="AE711" i="3"/>
  <c r="R711" i="3" s="1"/>
  <c r="AD711" i="3"/>
  <c r="AC711" i="3"/>
  <c r="O711" i="3"/>
  <c r="K711" i="3"/>
  <c r="AL710" i="3"/>
  <c r="AK710" i="3"/>
  <c r="AI710" i="3"/>
  <c r="AH710" i="3"/>
  <c r="AG710" i="3"/>
  <c r="AE710" i="3"/>
  <c r="R710" i="3" s="1"/>
  <c r="AD710" i="3"/>
  <c r="AC710" i="3"/>
  <c r="O710" i="3"/>
  <c r="K710" i="3"/>
  <c r="AL709" i="3"/>
  <c r="AK709" i="3"/>
  <c r="AI709" i="3"/>
  <c r="AH709" i="3"/>
  <c r="AG709" i="3"/>
  <c r="AE709" i="3"/>
  <c r="R709" i="3" s="1"/>
  <c r="AD709" i="3"/>
  <c r="AC709" i="3"/>
  <c r="O709" i="3"/>
  <c r="K709" i="3"/>
  <c r="AL708" i="3"/>
  <c r="AK708" i="3"/>
  <c r="AI708" i="3"/>
  <c r="AH708" i="3"/>
  <c r="AG708" i="3"/>
  <c r="AE708" i="3"/>
  <c r="R708" i="3" s="1"/>
  <c r="AD708" i="3"/>
  <c r="AC708" i="3"/>
  <c r="O708" i="3"/>
  <c r="K708" i="3"/>
  <c r="E85" i="1"/>
  <c r="AF712" i="3" s="1"/>
  <c r="E87" i="1"/>
  <c r="AF787" i="3" s="1"/>
  <c r="E179" i="1"/>
  <c r="AF901" i="3" s="1"/>
  <c r="E192" i="1"/>
  <c r="E190" i="1"/>
  <c r="E88" i="1"/>
  <c r="AF799" i="3" s="1"/>
  <c r="E39" i="1"/>
  <c r="AF813" i="3" s="1"/>
  <c r="E89" i="1"/>
  <c r="AF814" i="3" s="1"/>
  <c r="AL707" i="3"/>
  <c r="AK707" i="3"/>
  <c r="AI707" i="3"/>
  <c r="AH707" i="3"/>
  <c r="AG707" i="3"/>
  <c r="AE707" i="3"/>
  <c r="R707" i="3" s="1"/>
  <c r="AD707" i="3"/>
  <c r="AC707" i="3"/>
  <c r="O707" i="3"/>
  <c r="K707" i="3"/>
  <c r="AL706" i="3"/>
  <c r="AK706" i="3"/>
  <c r="AI706" i="3"/>
  <c r="AH706" i="3"/>
  <c r="AG706" i="3"/>
  <c r="AE706" i="3"/>
  <c r="R706" i="3" s="1"/>
  <c r="AD706" i="3"/>
  <c r="AC706" i="3"/>
  <c r="O706" i="3"/>
  <c r="K706" i="3"/>
  <c r="AL705" i="3"/>
  <c r="AK705" i="3"/>
  <c r="AI705" i="3"/>
  <c r="AH705" i="3"/>
  <c r="AG705" i="3"/>
  <c r="AE705" i="3"/>
  <c r="R705" i="3" s="1"/>
  <c r="AD705" i="3"/>
  <c r="AC705" i="3"/>
  <c r="O705" i="3"/>
  <c r="K705" i="3"/>
  <c r="AL704" i="3"/>
  <c r="AK704" i="3"/>
  <c r="AI704" i="3"/>
  <c r="AH704" i="3"/>
  <c r="AG704" i="3"/>
  <c r="AE704" i="3"/>
  <c r="R704" i="3" s="1"/>
  <c r="AD704" i="3"/>
  <c r="AC704" i="3"/>
  <c r="O704" i="3"/>
  <c r="K704" i="3"/>
  <c r="AL703" i="3"/>
  <c r="AK703" i="3"/>
  <c r="AI703" i="3"/>
  <c r="AH703" i="3"/>
  <c r="AG703" i="3"/>
  <c r="AE703" i="3"/>
  <c r="R703" i="3" s="1"/>
  <c r="AD703" i="3"/>
  <c r="AC703" i="3"/>
  <c r="P703" i="3" s="1"/>
  <c r="O703" i="3"/>
  <c r="K703" i="3"/>
  <c r="AL702" i="3"/>
  <c r="AK702" i="3"/>
  <c r="AI702" i="3"/>
  <c r="AH702" i="3"/>
  <c r="AG702" i="3"/>
  <c r="AE702" i="3"/>
  <c r="R702" i="3" s="1"/>
  <c r="AD702" i="3"/>
  <c r="AC702" i="3"/>
  <c r="P702" i="3" s="1"/>
  <c r="O702" i="3"/>
  <c r="K702" i="3"/>
  <c r="AL701" i="3"/>
  <c r="AK701" i="3"/>
  <c r="AI701" i="3"/>
  <c r="AH701" i="3"/>
  <c r="AG701" i="3"/>
  <c r="AE701" i="3"/>
  <c r="R701" i="3" s="1"/>
  <c r="AD701" i="3"/>
  <c r="AC701" i="3"/>
  <c r="O701" i="3"/>
  <c r="K701" i="3"/>
  <c r="AL700" i="3"/>
  <c r="AK700" i="3"/>
  <c r="AI700" i="3"/>
  <c r="AH700" i="3"/>
  <c r="AG700" i="3"/>
  <c r="AE700" i="3"/>
  <c r="R700" i="3" s="1"/>
  <c r="AD700" i="3"/>
  <c r="AC700" i="3"/>
  <c r="O700" i="3"/>
  <c r="K700" i="3"/>
  <c r="AL699" i="3"/>
  <c r="AK699" i="3"/>
  <c r="AI699" i="3"/>
  <c r="AH699" i="3"/>
  <c r="AG699" i="3"/>
  <c r="AE699" i="3"/>
  <c r="R699" i="3" s="1"/>
  <c r="AD699" i="3"/>
  <c r="AC699" i="3"/>
  <c r="P699" i="3" s="1"/>
  <c r="O699" i="3"/>
  <c r="K699" i="3"/>
  <c r="AL698" i="3"/>
  <c r="AK698" i="3"/>
  <c r="AI698" i="3"/>
  <c r="AH698" i="3"/>
  <c r="AG698" i="3"/>
  <c r="AE698" i="3"/>
  <c r="R698" i="3" s="1"/>
  <c r="AD698" i="3"/>
  <c r="AC698" i="3"/>
  <c r="P698" i="3" s="1"/>
  <c r="O698" i="3"/>
  <c r="K698" i="3"/>
  <c r="AL697" i="3"/>
  <c r="AK697" i="3"/>
  <c r="AI697" i="3"/>
  <c r="AH697" i="3"/>
  <c r="AG697" i="3"/>
  <c r="AE697" i="3"/>
  <c r="R697" i="3" s="1"/>
  <c r="AD697" i="3"/>
  <c r="AC697" i="3"/>
  <c r="O697" i="3"/>
  <c r="K697" i="3"/>
  <c r="AL696" i="3"/>
  <c r="AK696" i="3"/>
  <c r="AI696" i="3"/>
  <c r="AH696" i="3"/>
  <c r="AG696" i="3"/>
  <c r="AE696" i="3"/>
  <c r="R696" i="3" s="1"/>
  <c r="AD696" i="3"/>
  <c r="AC696" i="3"/>
  <c r="P696" i="3" s="1"/>
  <c r="O696" i="3"/>
  <c r="K696" i="3"/>
  <c r="AL695" i="3"/>
  <c r="AK695" i="3"/>
  <c r="AI695" i="3"/>
  <c r="AH695" i="3"/>
  <c r="AG695" i="3"/>
  <c r="AE695" i="3"/>
  <c r="R695" i="3" s="1"/>
  <c r="AD695" i="3"/>
  <c r="AC695" i="3"/>
  <c r="P695" i="3" s="1"/>
  <c r="O695" i="3"/>
  <c r="K695" i="3"/>
  <c r="AL694" i="3"/>
  <c r="AK694" i="3"/>
  <c r="AI694" i="3"/>
  <c r="AH694" i="3"/>
  <c r="AG694" i="3"/>
  <c r="AE694" i="3"/>
  <c r="R694" i="3" s="1"/>
  <c r="AD694" i="3"/>
  <c r="AC694" i="3"/>
  <c r="P694" i="3" s="1"/>
  <c r="O694" i="3"/>
  <c r="K694" i="3"/>
  <c r="AL693" i="3"/>
  <c r="AK693" i="3"/>
  <c r="AI693" i="3"/>
  <c r="AH693" i="3"/>
  <c r="AG693" i="3"/>
  <c r="AE693" i="3"/>
  <c r="R693" i="3" s="1"/>
  <c r="AD693" i="3"/>
  <c r="AC693" i="3"/>
  <c r="P693" i="3" s="1"/>
  <c r="O693" i="3"/>
  <c r="K693" i="3"/>
  <c r="AL692" i="3"/>
  <c r="AK692" i="3"/>
  <c r="AI692" i="3"/>
  <c r="AH692" i="3"/>
  <c r="AG692" i="3"/>
  <c r="AE692" i="3"/>
  <c r="R692" i="3" s="1"/>
  <c r="AD692" i="3"/>
  <c r="AC692" i="3"/>
  <c r="O692" i="3"/>
  <c r="K692" i="3"/>
  <c r="AL691" i="3"/>
  <c r="AK691" i="3"/>
  <c r="AI691" i="3"/>
  <c r="AH691" i="3"/>
  <c r="AG691" i="3"/>
  <c r="AE691" i="3"/>
  <c r="R691" i="3" s="1"/>
  <c r="AD691" i="3"/>
  <c r="AC691" i="3"/>
  <c r="O691" i="3"/>
  <c r="K691" i="3"/>
  <c r="AL690" i="3"/>
  <c r="AK690" i="3"/>
  <c r="AI690" i="3"/>
  <c r="AH690" i="3"/>
  <c r="AG690" i="3"/>
  <c r="AE690" i="3"/>
  <c r="R690" i="3" s="1"/>
  <c r="AD690" i="3"/>
  <c r="AC690" i="3"/>
  <c r="O690" i="3"/>
  <c r="K690" i="3"/>
  <c r="AL689" i="3"/>
  <c r="AK689" i="3"/>
  <c r="AI689" i="3"/>
  <c r="AH689" i="3"/>
  <c r="AG689" i="3"/>
  <c r="AE689" i="3"/>
  <c r="R689" i="3" s="1"/>
  <c r="AD689" i="3"/>
  <c r="AC689" i="3"/>
  <c r="P689" i="3" s="1"/>
  <c r="O689" i="3"/>
  <c r="K689" i="3"/>
  <c r="AL688" i="3"/>
  <c r="AK688" i="3"/>
  <c r="AI688" i="3"/>
  <c r="AH688" i="3"/>
  <c r="AG688" i="3"/>
  <c r="AE688" i="3"/>
  <c r="R688" i="3" s="1"/>
  <c r="AD688" i="3"/>
  <c r="AC688" i="3"/>
  <c r="P688" i="3" s="1"/>
  <c r="O688" i="3"/>
  <c r="K688" i="3"/>
  <c r="AL687" i="3"/>
  <c r="AK687" i="3"/>
  <c r="AI687" i="3"/>
  <c r="AH687" i="3"/>
  <c r="AG687" i="3"/>
  <c r="AE687" i="3"/>
  <c r="R687" i="3" s="1"/>
  <c r="AD687" i="3"/>
  <c r="AC687" i="3"/>
  <c r="P687" i="3" s="1"/>
  <c r="O687" i="3"/>
  <c r="K687" i="3"/>
  <c r="AL686" i="3"/>
  <c r="AK686" i="3"/>
  <c r="AI686" i="3"/>
  <c r="AH686" i="3"/>
  <c r="AG686" i="3"/>
  <c r="AE686" i="3"/>
  <c r="R686" i="3" s="1"/>
  <c r="AD686" i="3"/>
  <c r="AC686" i="3"/>
  <c r="O686" i="3"/>
  <c r="K686" i="3"/>
  <c r="AL685" i="3"/>
  <c r="AK685" i="3"/>
  <c r="AI685" i="3"/>
  <c r="AH685" i="3"/>
  <c r="AG685" i="3"/>
  <c r="AE685" i="3"/>
  <c r="R685" i="3" s="1"/>
  <c r="AD685" i="3"/>
  <c r="AC685" i="3"/>
  <c r="P685" i="3" s="1"/>
  <c r="O685" i="3"/>
  <c r="K685" i="3"/>
  <c r="AL684" i="3"/>
  <c r="AK684" i="3"/>
  <c r="AI684" i="3"/>
  <c r="AH684" i="3"/>
  <c r="AG684" i="3"/>
  <c r="AE684" i="3"/>
  <c r="R684" i="3" s="1"/>
  <c r="AD684" i="3"/>
  <c r="AC684" i="3"/>
  <c r="O684" i="3"/>
  <c r="K684" i="3"/>
  <c r="AL683" i="3"/>
  <c r="AK683" i="3"/>
  <c r="AI683" i="3"/>
  <c r="AH683" i="3"/>
  <c r="AG683" i="3"/>
  <c r="AE683" i="3"/>
  <c r="R683" i="3" s="1"/>
  <c r="AD683" i="3"/>
  <c r="AC683" i="3"/>
  <c r="P683" i="3" s="1"/>
  <c r="O683" i="3"/>
  <c r="K683" i="3"/>
  <c r="AL682" i="3"/>
  <c r="AK682" i="3"/>
  <c r="AI682" i="3"/>
  <c r="AH682" i="3"/>
  <c r="AG682" i="3"/>
  <c r="AE682" i="3"/>
  <c r="R682" i="3" s="1"/>
  <c r="AD682" i="3"/>
  <c r="AC682" i="3"/>
  <c r="O682" i="3"/>
  <c r="K682" i="3"/>
  <c r="AL681" i="3"/>
  <c r="AK681" i="3"/>
  <c r="AI681" i="3"/>
  <c r="AH681" i="3"/>
  <c r="AG681" i="3"/>
  <c r="AE681" i="3"/>
  <c r="R681" i="3" s="1"/>
  <c r="AD681" i="3"/>
  <c r="AC681" i="3"/>
  <c r="O681" i="3"/>
  <c r="K681" i="3"/>
  <c r="AL680" i="3"/>
  <c r="AK680" i="3"/>
  <c r="AI680" i="3"/>
  <c r="AH680" i="3"/>
  <c r="AG680" i="3"/>
  <c r="AE680" i="3"/>
  <c r="R680" i="3" s="1"/>
  <c r="AD680" i="3"/>
  <c r="AC680" i="3"/>
  <c r="P680" i="3" s="1"/>
  <c r="O680" i="3"/>
  <c r="K680" i="3"/>
  <c r="AL679" i="3"/>
  <c r="AK679" i="3"/>
  <c r="AI679" i="3"/>
  <c r="AH679" i="3"/>
  <c r="AG679" i="3"/>
  <c r="AE679" i="3"/>
  <c r="R679" i="3" s="1"/>
  <c r="AD679" i="3"/>
  <c r="AC679" i="3"/>
  <c r="P679" i="3" s="1"/>
  <c r="O679" i="3"/>
  <c r="K679" i="3"/>
  <c r="AL678" i="3"/>
  <c r="AK678" i="3"/>
  <c r="AI678" i="3"/>
  <c r="AH678" i="3"/>
  <c r="AG678" i="3"/>
  <c r="AE678" i="3"/>
  <c r="R678" i="3" s="1"/>
  <c r="AD678" i="3"/>
  <c r="AC678" i="3"/>
  <c r="O678" i="3"/>
  <c r="K678" i="3"/>
  <c r="AL677" i="3"/>
  <c r="AK677" i="3"/>
  <c r="AI677" i="3"/>
  <c r="AH677" i="3"/>
  <c r="AG677" i="3"/>
  <c r="AE677" i="3"/>
  <c r="R677" i="3" s="1"/>
  <c r="AD677" i="3"/>
  <c r="AC677" i="3"/>
  <c r="O677" i="3"/>
  <c r="K677" i="3"/>
  <c r="AL676" i="3"/>
  <c r="AK676" i="3"/>
  <c r="AI676" i="3"/>
  <c r="AH676" i="3"/>
  <c r="AG676" i="3"/>
  <c r="AE676" i="3"/>
  <c r="R676" i="3" s="1"/>
  <c r="AD676" i="3"/>
  <c r="AC676" i="3"/>
  <c r="O676" i="3"/>
  <c r="K676" i="3"/>
  <c r="AL675" i="3"/>
  <c r="AK675" i="3"/>
  <c r="AI675" i="3"/>
  <c r="AH675" i="3"/>
  <c r="AG675" i="3"/>
  <c r="AE675" i="3"/>
  <c r="R675" i="3" s="1"/>
  <c r="AD675" i="3"/>
  <c r="AC675" i="3"/>
  <c r="O675" i="3"/>
  <c r="K675" i="3"/>
  <c r="I1387" i="3" l="1"/>
  <c r="J1387" i="3"/>
  <c r="AM1387" i="3" s="1"/>
  <c r="AN1387" i="3" s="1"/>
  <c r="AO1387" i="3" s="1"/>
  <c r="AP1387" i="3" s="1"/>
  <c r="AB1387" i="3"/>
  <c r="AA1286" i="3"/>
  <c r="AJ1325" i="3"/>
  <c r="X1325" i="3" s="1"/>
  <c r="AA1325" i="3" s="1"/>
  <c r="J1325" i="3" s="1"/>
  <c r="AM1325" i="3" s="1"/>
  <c r="AN1325" i="3" s="1"/>
  <c r="AO1325" i="3" s="1"/>
  <c r="AP1325" i="3" s="1"/>
  <c r="AJ1350" i="3"/>
  <c r="X1350" i="3" s="1"/>
  <c r="AA1350" i="3" s="1"/>
  <c r="M1020" i="3"/>
  <c r="Q1020" i="3" s="1"/>
  <c r="S1020" i="3" s="1"/>
  <c r="AA1263" i="3"/>
  <c r="J1263" i="3" s="1"/>
  <c r="AM1263" i="3" s="1"/>
  <c r="AN1263" i="3" s="1"/>
  <c r="AO1263" i="3" s="1"/>
  <c r="AP1263" i="3" s="1"/>
  <c r="AJ1020" i="3"/>
  <c r="X1020" i="3" s="1"/>
  <c r="I1325" i="3"/>
  <c r="I1310" i="3"/>
  <c r="J1310" i="3"/>
  <c r="AM1310" i="3" s="1"/>
  <c r="AN1310" i="3" s="1"/>
  <c r="AO1310" i="3" s="1"/>
  <c r="AP1310" i="3" s="1"/>
  <c r="AB1310" i="3"/>
  <c r="AJ1128" i="3"/>
  <c r="X1128" i="3" s="1"/>
  <c r="AJ1300" i="3"/>
  <c r="X1300" i="3" s="1"/>
  <c r="AA1300" i="3" s="1"/>
  <c r="I1286" i="3"/>
  <c r="J1286" i="3"/>
  <c r="AM1286" i="3" s="1"/>
  <c r="AN1286" i="3" s="1"/>
  <c r="AO1286" i="3" s="1"/>
  <c r="AP1286" i="3" s="1"/>
  <c r="AB1286" i="3"/>
  <c r="AJ1227" i="3"/>
  <c r="X1227" i="3" s="1"/>
  <c r="AJ1285" i="3"/>
  <c r="X1285" i="3" s="1"/>
  <c r="AA1285" i="3" s="1"/>
  <c r="AF1189" i="3"/>
  <c r="AF1203" i="3"/>
  <c r="AF919" i="3"/>
  <c r="AF1192" i="3"/>
  <c r="AJ1145" i="3"/>
  <c r="X1145" i="3" s="1"/>
  <c r="AJ1157" i="3"/>
  <c r="X1157" i="3" s="1"/>
  <c r="AJ1144" i="3"/>
  <c r="X1144" i="3" s="1"/>
  <c r="AJ1156" i="3"/>
  <c r="X1156" i="3" s="1"/>
  <c r="AJ1075" i="3"/>
  <c r="X1075" i="3" s="1"/>
  <c r="AJ1126" i="3"/>
  <c r="X1126" i="3" s="1"/>
  <c r="AJ1119" i="3"/>
  <c r="X1119" i="3" s="1"/>
  <c r="AJ1136" i="3"/>
  <c r="X1136" i="3" s="1"/>
  <c r="AJ1137" i="3"/>
  <c r="X1137" i="3" s="1"/>
  <c r="AJ1127" i="3"/>
  <c r="X1127" i="3" s="1"/>
  <c r="AJ1135" i="3"/>
  <c r="X1135" i="3" s="1"/>
  <c r="AJ1042" i="3"/>
  <c r="X1042" i="3" s="1"/>
  <c r="AJ1045" i="3"/>
  <c r="X1045" i="3" s="1"/>
  <c r="AJ1034" i="3"/>
  <c r="X1034" i="3" s="1"/>
  <c r="AJ1038" i="3"/>
  <c r="X1038" i="3" s="1"/>
  <c r="AJ1015" i="3"/>
  <c r="AJ1037" i="3"/>
  <c r="X1037" i="3" s="1"/>
  <c r="AJ1033" i="3"/>
  <c r="X1033" i="3" s="1"/>
  <c r="AJ1036" i="3"/>
  <c r="X1036" i="3" s="1"/>
  <c r="M1023" i="3"/>
  <c r="Q1023" i="3" s="1"/>
  <c r="S1023" i="3" s="1"/>
  <c r="N1029" i="3"/>
  <c r="M1029" i="3"/>
  <c r="M1024" i="3"/>
  <c r="Q1024" i="3" s="1"/>
  <c r="S1024" i="3" s="1"/>
  <c r="M1028" i="3"/>
  <c r="N1028" i="3"/>
  <c r="N1027" i="3"/>
  <c r="M1027" i="3"/>
  <c r="AJ1017" i="3"/>
  <c r="AJ1026" i="3"/>
  <c r="N1026" i="3"/>
  <c r="M1026" i="3"/>
  <c r="V1018" i="3"/>
  <c r="W1018" i="3" s="1"/>
  <c r="M1025" i="3"/>
  <c r="Q1025" i="3" s="1"/>
  <c r="S1025" i="3" s="1"/>
  <c r="M1016" i="3"/>
  <c r="Q1016" i="3" s="1"/>
  <c r="S1016" i="3" s="1"/>
  <c r="N1022" i="3"/>
  <c r="M1022" i="3"/>
  <c r="AJ1016" i="3"/>
  <c r="AJ1021" i="3"/>
  <c r="N1021" i="3"/>
  <c r="M1021" i="3"/>
  <c r="M1017" i="3"/>
  <c r="Q1017" i="3" s="1"/>
  <c r="M1019" i="3"/>
  <c r="Q1019" i="3" s="1"/>
  <c r="S1019" i="3" s="1"/>
  <c r="V1020" i="3"/>
  <c r="W1020" i="3" s="1"/>
  <c r="M1014" i="3"/>
  <c r="Q1014" i="3" s="1"/>
  <c r="S1014" i="3" s="1"/>
  <c r="V1016" i="3"/>
  <c r="W1016" i="3" s="1"/>
  <c r="M1011" i="3"/>
  <c r="Q1011" i="3" s="1"/>
  <c r="S1011" i="3" s="1"/>
  <c r="M1013" i="3"/>
  <c r="Q1013" i="3" s="1"/>
  <c r="S1013" i="3" s="1"/>
  <c r="M1010" i="3"/>
  <c r="Q1010" i="3" s="1"/>
  <c r="S1010" i="3" s="1"/>
  <c r="N1015" i="3"/>
  <c r="M1015" i="3"/>
  <c r="M1012" i="3"/>
  <c r="Q1012" i="3" s="1"/>
  <c r="S1012" i="3" s="1"/>
  <c r="M1009" i="3"/>
  <c r="Q1009" i="3" s="1"/>
  <c r="S1009" i="3" s="1"/>
  <c r="M929" i="3"/>
  <c r="V929" i="3" s="1"/>
  <c r="W929" i="3" s="1"/>
  <c r="V831" i="3"/>
  <c r="W831" i="3" s="1"/>
  <c r="M924" i="3"/>
  <c r="Q924" i="3" s="1"/>
  <c r="S924" i="3" s="1"/>
  <c r="M951" i="3"/>
  <c r="Q951" i="3" s="1"/>
  <c r="S951" i="3" s="1"/>
  <c r="N821" i="3"/>
  <c r="N831" i="3"/>
  <c r="N825" i="3"/>
  <c r="M835" i="3"/>
  <c r="Q835" i="3" s="1"/>
  <c r="S835" i="3" s="1"/>
  <c r="M820" i="3"/>
  <c r="Q820" i="3" s="1"/>
  <c r="S820" i="3" s="1"/>
  <c r="V821" i="3"/>
  <c r="W821" i="3" s="1"/>
  <c r="M823" i="3"/>
  <c r="Q823" i="3" s="1"/>
  <c r="S823" i="3" s="1"/>
  <c r="M824" i="3"/>
  <c r="Q824" i="3" s="1"/>
  <c r="S824" i="3" s="1"/>
  <c r="M832" i="3"/>
  <c r="Q832" i="3" s="1"/>
  <c r="S832" i="3" s="1"/>
  <c r="M931" i="3"/>
  <c r="Q931" i="3" s="1"/>
  <c r="S931" i="3" s="1"/>
  <c r="N952" i="3"/>
  <c r="AJ987" i="3"/>
  <c r="M1008" i="3"/>
  <c r="N1008" i="3"/>
  <c r="M1007" i="3"/>
  <c r="N1007" i="3"/>
  <c r="M1006" i="3"/>
  <c r="N1006" i="3"/>
  <c r="M1005" i="3"/>
  <c r="N1005" i="3"/>
  <c r="M1004" i="3"/>
  <c r="N1004" i="3"/>
  <c r="M1003" i="3"/>
  <c r="N1003" i="3"/>
  <c r="M1002" i="3"/>
  <c r="N1002" i="3"/>
  <c r="M1001" i="3"/>
  <c r="N1001" i="3"/>
  <c r="M1000" i="3"/>
  <c r="N1000" i="3"/>
  <c r="M999" i="3"/>
  <c r="N999" i="3"/>
  <c r="M998" i="3"/>
  <c r="N998" i="3"/>
  <c r="M997" i="3"/>
  <c r="N997" i="3"/>
  <c r="M996" i="3"/>
  <c r="N996" i="3"/>
  <c r="M995" i="3"/>
  <c r="N995" i="3"/>
  <c r="M994" i="3"/>
  <c r="N994" i="3"/>
  <c r="M993" i="3"/>
  <c r="N993" i="3"/>
  <c r="M992" i="3"/>
  <c r="N992" i="3"/>
  <c r="M991" i="3"/>
  <c r="N991" i="3"/>
  <c r="M990" i="3"/>
  <c r="N990" i="3"/>
  <c r="M989" i="3"/>
  <c r="N989" i="3"/>
  <c r="AJ985" i="3"/>
  <c r="AJ988" i="3"/>
  <c r="M988" i="3"/>
  <c r="N988" i="3"/>
  <c r="M987" i="3"/>
  <c r="N987" i="3"/>
  <c r="M986" i="3"/>
  <c r="N986" i="3"/>
  <c r="M985" i="3"/>
  <c r="N985" i="3"/>
  <c r="M984" i="3"/>
  <c r="N984" i="3"/>
  <c r="M983" i="3"/>
  <c r="N983" i="3"/>
  <c r="M982" i="3"/>
  <c r="N982" i="3"/>
  <c r="M981" i="3"/>
  <c r="N981" i="3"/>
  <c r="M980" i="3"/>
  <c r="N980" i="3"/>
  <c r="M979" i="3"/>
  <c r="N979" i="3"/>
  <c r="M978" i="3"/>
  <c r="N978" i="3"/>
  <c r="M977" i="3"/>
  <c r="N977" i="3"/>
  <c r="M976" i="3"/>
  <c r="N976" i="3"/>
  <c r="M975" i="3"/>
  <c r="N975" i="3"/>
  <c r="M974" i="3"/>
  <c r="N974" i="3"/>
  <c r="M973" i="3"/>
  <c r="N973" i="3"/>
  <c r="M972" i="3"/>
  <c r="N972" i="3"/>
  <c r="M971" i="3"/>
  <c r="N971" i="3"/>
  <c r="M970" i="3"/>
  <c r="N970" i="3"/>
  <c r="M969" i="3"/>
  <c r="N969" i="3"/>
  <c r="M968" i="3"/>
  <c r="N968" i="3"/>
  <c r="M967" i="3"/>
  <c r="N967" i="3"/>
  <c r="M966" i="3"/>
  <c r="N966" i="3"/>
  <c r="M965" i="3"/>
  <c r="N965" i="3"/>
  <c r="M964" i="3"/>
  <c r="N964" i="3"/>
  <c r="M963" i="3"/>
  <c r="N963" i="3"/>
  <c r="M962" i="3"/>
  <c r="N962" i="3"/>
  <c r="M961" i="3"/>
  <c r="N961" i="3"/>
  <c r="M960" i="3"/>
  <c r="N960" i="3"/>
  <c r="M923" i="3"/>
  <c r="Q923" i="3" s="1"/>
  <c r="S923" i="3" s="1"/>
  <c r="L682" i="3"/>
  <c r="N682" i="3" s="1"/>
  <c r="P682" i="3"/>
  <c r="L684" i="3"/>
  <c r="N684" i="3" s="1"/>
  <c r="P684" i="3"/>
  <c r="L686" i="3"/>
  <c r="N686" i="3" s="1"/>
  <c r="P686" i="3"/>
  <c r="L690" i="3"/>
  <c r="N690" i="3" s="1"/>
  <c r="P690" i="3"/>
  <c r="L692" i="3"/>
  <c r="M692" i="3" s="1"/>
  <c r="Q692" i="3" s="1"/>
  <c r="S692" i="3" s="1"/>
  <c r="P692" i="3"/>
  <c r="L700" i="3"/>
  <c r="N700" i="3" s="1"/>
  <c r="P700" i="3"/>
  <c r="L704" i="3"/>
  <c r="N704" i="3" s="1"/>
  <c r="P704" i="3"/>
  <c r="L706" i="3"/>
  <c r="M706" i="3" s="1"/>
  <c r="Q706" i="3" s="1"/>
  <c r="S706" i="3" s="1"/>
  <c r="P706" i="3"/>
  <c r="L708" i="3"/>
  <c r="M708" i="3" s="1"/>
  <c r="Q708" i="3" s="1"/>
  <c r="S708" i="3" s="1"/>
  <c r="P708" i="3"/>
  <c r="L710" i="3"/>
  <c r="N710" i="3" s="1"/>
  <c r="P710" i="3"/>
  <c r="L676" i="3"/>
  <c r="N676" i="3" s="1"/>
  <c r="P676" i="3"/>
  <c r="L678" i="3"/>
  <c r="N678" i="3" s="1"/>
  <c r="P678" i="3"/>
  <c r="M925" i="3"/>
  <c r="Q925" i="3" s="1"/>
  <c r="S925" i="3" s="1"/>
  <c r="N956" i="3"/>
  <c r="L675" i="3"/>
  <c r="N675" i="3" s="1"/>
  <c r="P675" i="3"/>
  <c r="L677" i="3"/>
  <c r="M677" i="3" s="1"/>
  <c r="Q677" i="3" s="1"/>
  <c r="S677" i="3" s="1"/>
  <c r="P677" i="3"/>
  <c r="L681" i="3"/>
  <c r="N681" i="3" s="1"/>
  <c r="P681" i="3"/>
  <c r="L691" i="3"/>
  <c r="N691" i="3" s="1"/>
  <c r="P691" i="3"/>
  <c r="L697" i="3"/>
  <c r="N697" i="3" s="1"/>
  <c r="P697" i="3"/>
  <c r="L701" i="3"/>
  <c r="M701" i="3" s="1"/>
  <c r="Q701" i="3" s="1"/>
  <c r="S701" i="3" s="1"/>
  <c r="P701" i="3"/>
  <c r="L705" i="3"/>
  <c r="N705" i="3" s="1"/>
  <c r="P705" i="3"/>
  <c r="L707" i="3"/>
  <c r="N707" i="3" s="1"/>
  <c r="P707" i="3"/>
  <c r="L709" i="3"/>
  <c r="N709" i="3" s="1"/>
  <c r="P709" i="3"/>
  <c r="L711" i="3"/>
  <c r="N711" i="3" s="1"/>
  <c r="P711" i="3"/>
  <c r="M833" i="3"/>
  <c r="Q833" i="3" s="1"/>
  <c r="S833" i="3" s="1"/>
  <c r="M837" i="3"/>
  <c r="Q837" i="3" s="1"/>
  <c r="S837" i="3" s="1"/>
  <c r="M927" i="3"/>
  <c r="Q927" i="3" s="1"/>
  <c r="S927" i="3" s="1"/>
  <c r="Q956" i="3"/>
  <c r="S956" i="3" s="1"/>
  <c r="M856" i="3"/>
  <c r="N856" i="3"/>
  <c r="M855" i="3"/>
  <c r="N855" i="3"/>
  <c r="M854" i="3"/>
  <c r="N854" i="3"/>
  <c r="M853" i="3"/>
  <c r="N853" i="3"/>
  <c r="M852" i="3"/>
  <c r="N852" i="3"/>
  <c r="M851" i="3"/>
  <c r="N851" i="3"/>
  <c r="M850" i="3"/>
  <c r="N850" i="3"/>
  <c r="M849" i="3"/>
  <c r="N849" i="3"/>
  <c r="M848" i="3"/>
  <c r="N848" i="3"/>
  <c r="M847" i="3"/>
  <c r="N847" i="3"/>
  <c r="M846" i="3"/>
  <c r="N846" i="3"/>
  <c r="M845" i="3"/>
  <c r="N845" i="3"/>
  <c r="M844" i="3"/>
  <c r="N844" i="3"/>
  <c r="M843" i="3"/>
  <c r="N843" i="3"/>
  <c r="M842" i="3"/>
  <c r="N842" i="3"/>
  <c r="M841" i="3"/>
  <c r="N841" i="3"/>
  <c r="AJ943" i="3"/>
  <c r="AJ955" i="3"/>
  <c r="X954" i="3"/>
  <c r="S954" i="3"/>
  <c r="V954" i="3"/>
  <c r="W954" i="3" s="1"/>
  <c r="N954" i="3"/>
  <c r="V952" i="3"/>
  <c r="W952" i="3" s="1"/>
  <c r="N953" i="3"/>
  <c r="M953" i="3"/>
  <c r="N955" i="3"/>
  <c r="M955" i="3"/>
  <c r="N959" i="3"/>
  <c r="M959" i="3"/>
  <c r="N957" i="3"/>
  <c r="M957" i="3"/>
  <c r="AJ949" i="3"/>
  <c r="S950" i="3"/>
  <c r="M934" i="3"/>
  <c r="N934" i="3"/>
  <c r="M935" i="3"/>
  <c r="N935" i="3"/>
  <c r="M936" i="3"/>
  <c r="N936" i="3"/>
  <c r="M937" i="3"/>
  <c r="N937" i="3"/>
  <c r="M938" i="3"/>
  <c r="N938" i="3"/>
  <c r="M939" i="3"/>
  <c r="N939" i="3"/>
  <c r="M940" i="3"/>
  <c r="N940" i="3"/>
  <c r="M941" i="3"/>
  <c r="N941" i="3"/>
  <c r="M942" i="3"/>
  <c r="N942" i="3"/>
  <c r="M943" i="3"/>
  <c r="N943" i="3"/>
  <c r="M944" i="3"/>
  <c r="N944" i="3"/>
  <c r="M945" i="3"/>
  <c r="N945" i="3"/>
  <c r="M946" i="3"/>
  <c r="N946" i="3"/>
  <c r="M947" i="3"/>
  <c r="N947" i="3"/>
  <c r="M948" i="3"/>
  <c r="N948" i="3"/>
  <c r="M949" i="3"/>
  <c r="N949" i="3"/>
  <c r="M933" i="3"/>
  <c r="N933" i="3"/>
  <c r="M932" i="3"/>
  <c r="N932" i="3"/>
  <c r="M930" i="3"/>
  <c r="Q930" i="3" s="1"/>
  <c r="S930" i="3" s="1"/>
  <c r="M928" i="3"/>
  <c r="Q928" i="3" s="1"/>
  <c r="S928" i="3" s="1"/>
  <c r="M926" i="3"/>
  <c r="Q926" i="3" s="1"/>
  <c r="S926" i="3" s="1"/>
  <c r="M921" i="3"/>
  <c r="V921" i="3" s="1"/>
  <c r="W921" i="3" s="1"/>
  <c r="V922" i="3"/>
  <c r="W922" i="3" s="1"/>
  <c r="V817" i="3"/>
  <c r="W817" i="3" s="1"/>
  <c r="M840" i="3"/>
  <c r="Q840" i="3" s="1"/>
  <c r="S840" i="3" s="1"/>
  <c r="M827" i="3"/>
  <c r="Q827" i="3" s="1"/>
  <c r="S827" i="3" s="1"/>
  <c r="M836" i="3"/>
  <c r="Q836" i="3" s="1"/>
  <c r="S836" i="3" s="1"/>
  <c r="N817" i="3"/>
  <c r="M818" i="3"/>
  <c r="Q818" i="3" s="1"/>
  <c r="S818" i="3" s="1"/>
  <c r="M829" i="3"/>
  <c r="Q829" i="3" s="1"/>
  <c r="S829" i="3" s="1"/>
  <c r="M839" i="3"/>
  <c r="Q839" i="3" s="1"/>
  <c r="S839" i="3" s="1"/>
  <c r="M822" i="3"/>
  <c r="Q822" i="3" s="1"/>
  <c r="S822" i="3" s="1"/>
  <c r="S838" i="3"/>
  <c r="V838" i="3"/>
  <c r="W838" i="3" s="1"/>
  <c r="M834" i="3"/>
  <c r="Q834" i="3" s="1"/>
  <c r="S834" i="3" s="1"/>
  <c r="S830" i="3"/>
  <c r="V830" i="3"/>
  <c r="W830" i="3" s="1"/>
  <c r="V825" i="3"/>
  <c r="W825" i="3" s="1"/>
  <c r="V826" i="3"/>
  <c r="W826" i="3" s="1"/>
  <c r="M828" i="3"/>
  <c r="N828" i="3"/>
  <c r="M819" i="3"/>
  <c r="Q819" i="3" s="1"/>
  <c r="S819" i="3" s="1"/>
  <c r="N816" i="3"/>
  <c r="M816" i="3"/>
  <c r="L712" i="3"/>
  <c r="N712" i="3" s="1"/>
  <c r="M815" i="3"/>
  <c r="N815" i="3"/>
  <c r="M814" i="3"/>
  <c r="N814" i="3"/>
  <c r="M813" i="3"/>
  <c r="N813" i="3"/>
  <c r="M812" i="3"/>
  <c r="N812" i="3"/>
  <c r="M811" i="3"/>
  <c r="N811" i="3"/>
  <c r="M810" i="3"/>
  <c r="N810" i="3"/>
  <c r="M809" i="3"/>
  <c r="N809" i="3"/>
  <c r="M808" i="3"/>
  <c r="N808" i="3"/>
  <c r="M807" i="3"/>
  <c r="N807" i="3"/>
  <c r="M806" i="3"/>
  <c r="N806" i="3"/>
  <c r="M805" i="3"/>
  <c r="N805" i="3"/>
  <c r="M804" i="3"/>
  <c r="N804" i="3"/>
  <c r="M803" i="3"/>
  <c r="N803" i="3"/>
  <c r="M802" i="3"/>
  <c r="N802" i="3"/>
  <c r="M801" i="3"/>
  <c r="N801" i="3"/>
  <c r="M800" i="3"/>
  <c r="N800" i="3"/>
  <c r="M799" i="3"/>
  <c r="N799" i="3"/>
  <c r="M798" i="3"/>
  <c r="N798" i="3"/>
  <c r="M797" i="3"/>
  <c r="N797" i="3"/>
  <c r="M920" i="3"/>
  <c r="N920" i="3"/>
  <c r="M919" i="3"/>
  <c r="N919" i="3"/>
  <c r="AF905" i="3"/>
  <c r="AF918" i="3"/>
  <c r="M918" i="3"/>
  <c r="N918" i="3"/>
  <c r="M917" i="3"/>
  <c r="N917" i="3"/>
  <c r="M916" i="3"/>
  <c r="N916" i="3"/>
  <c r="M915" i="3"/>
  <c r="N915" i="3"/>
  <c r="M914" i="3"/>
  <c r="N914" i="3"/>
  <c r="M913" i="3"/>
  <c r="N913" i="3"/>
  <c r="M912" i="3"/>
  <c r="N912" i="3"/>
  <c r="M911" i="3"/>
  <c r="N911" i="3"/>
  <c r="M910" i="3"/>
  <c r="N910" i="3"/>
  <c r="M909" i="3"/>
  <c r="N909" i="3"/>
  <c r="M908" i="3"/>
  <c r="N908" i="3"/>
  <c r="AF906" i="3"/>
  <c r="AF907" i="3"/>
  <c r="M907" i="3"/>
  <c r="N907" i="3"/>
  <c r="M906" i="3"/>
  <c r="N906" i="3"/>
  <c r="M905" i="3"/>
  <c r="N905" i="3"/>
  <c r="M904" i="3"/>
  <c r="N904" i="3"/>
  <c r="M903" i="3"/>
  <c r="N903" i="3"/>
  <c r="Y902" i="3"/>
  <c r="L902" i="3"/>
  <c r="Y901" i="3"/>
  <c r="L901" i="3"/>
  <c r="Y900" i="3"/>
  <c r="L900" i="3"/>
  <c r="Y899" i="3"/>
  <c r="L899" i="3"/>
  <c r="Y898" i="3"/>
  <c r="L898" i="3"/>
  <c r="Y897" i="3"/>
  <c r="L897" i="3"/>
  <c r="Y896" i="3"/>
  <c r="L896" i="3"/>
  <c r="Y895" i="3"/>
  <c r="L895" i="3"/>
  <c r="Y894" i="3"/>
  <c r="L894" i="3"/>
  <c r="Y893" i="3"/>
  <c r="L893" i="3"/>
  <c r="Y892" i="3"/>
  <c r="L892" i="3"/>
  <c r="Y891" i="3"/>
  <c r="L891" i="3"/>
  <c r="Y890" i="3"/>
  <c r="L890" i="3"/>
  <c r="Y889" i="3"/>
  <c r="L889" i="3"/>
  <c r="Y888" i="3"/>
  <c r="L888" i="3"/>
  <c r="Y887" i="3"/>
  <c r="L887" i="3"/>
  <c r="Y886" i="3"/>
  <c r="L886" i="3"/>
  <c r="Y885" i="3"/>
  <c r="L885" i="3"/>
  <c r="Y884" i="3"/>
  <c r="L884" i="3"/>
  <c r="Y883" i="3"/>
  <c r="L883" i="3"/>
  <c r="Y882" i="3"/>
  <c r="L882" i="3"/>
  <c r="Y881" i="3"/>
  <c r="L881" i="3"/>
  <c r="Y880" i="3"/>
  <c r="L880" i="3"/>
  <c r="Y879" i="3"/>
  <c r="L879" i="3"/>
  <c r="Y878" i="3"/>
  <c r="L878" i="3"/>
  <c r="Y877" i="3"/>
  <c r="L877" i="3"/>
  <c r="Y876" i="3"/>
  <c r="L876" i="3"/>
  <c r="Y875" i="3"/>
  <c r="L875" i="3"/>
  <c r="Y874" i="3"/>
  <c r="L874" i="3"/>
  <c r="Y873" i="3"/>
  <c r="L873" i="3"/>
  <c r="Y872" i="3"/>
  <c r="L872" i="3"/>
  <c r="Y871" i="3"/>
  <c r="L871" i="3"/>
  <c r="Y870" i="3"/>
  <c r="L870" i="3"/>
  <c r="Y869" i="3"/>
  <c r="L869" i="3"/>
  <c r="Y868" i="3"/>
  <c r="L868" i="3"/>
  <c r="Y867" i="3"/>
  <c r="L867" i="3"/>
  <c r="Y866" i="3"/>
  <c r="L866" i="3"/>
  <c r="Y865" i="3"/>
  <c r="L865" i="3"/>
  <c r="Y864" i="3"/>
  <c r="L864" i="3"/>
  <c r="Y863" i="3"/>
  <c r="L863" i="3"/>
  <c r="Y862" i="3"/>
  <c r="L862" i="3"/>
  <c r="Y861" i="3"/>
  <c r="L861" i="3"/>
  <c r="Y860" i="3"/>
  <c r="L860" i="3"/>
  <c r="Y859" i="3"/>
  <c r="L859" i="3"/>
  <c r="Y858" i="3"/>
  <c r="L858" i="3"/>
  <c r="Y857" i="3"/>
  <c r="L857" i="3"/>
  <c r="Y796" i="3"/>
  <c r="L796" i="3"/>
  <c r="Y795" i="3"/>
  <c r="L795" i="3"/>
  <c r="Y794" i="3"/>
  <c r="L794" i="3"/>
  <c r="Y793" i="3"/>
  <c r="L793" i="3"/>
  <c r="Y792" i="3"/>
  <c r="L792" i="3"/>
  <c r="Y791" i="3"/>
  <c r="L791" i="3"/>
  <c r="Y790" i="3"/>
  <c r="L790" i="3"/>
  <c r="Y789" i="3"/>
  <c r="L789" i="3"/>
  <c r="Y788" i="3"/>
  <c r="L788" i="3"/>
  <c r="Y787" i="3"/>
  <c r="L787" i="3"/>
  <c r="Y786" i="3"/>
  <c r="L786" i="3"/>
  <c r="Y785" i="3"/>
  <c r="L785" i="3"/>
  <c r="Y784" i="3"/>
  <c r="L784" i="3"/>
  <c r="Y783" i="3"/>
  <c r="L783" i="3"/>
  <c r="Y782" i="3"/>
  <c r="L782" i="3"/>
  <c r="Y781" i="3"/>
  <c r="L781" i="3"/>
  <c r="Y780" i="3"/>
  <c r="L780" i="3"/>
  <c r="Y779" i="3"/>
  <c r="L779" i="3"/>
  <c r="Y778" i="3"/>
  <c r="L778" i="3"/>
  <c r="Y777" i="3"/>
  <c r="L777" i="3"/>
  <c r="Y776" i="3"/>
  <c r="L776" i="3"/>
  <c r="Y775" i="3"/>
  <c r="L775" i="3"/>
  <c r="Y774" i="3"/>
  <c r="L774" i="3"/>
  <c r="Y773" i="3"/>
  <c r="L773" i="3"/>
  <c r="AF769" i="3"/>
  <c r="AF772" i="3"/>
  <c r="Y772" i="3"/>
  <c r="L772" i="3"/>
  <c r="Y771" i="3"/>
  <c r="L771" i="3"/>
  <c r="Y770" i="3"/>
  <c r="L770" i="3"/>
  <c r="Y769" i="3"/>
  <c r="L769" i="3"/>
  <c r="Y768" i="3"/>
  <c r="L768" i="3"/>
  <c r="Y767" i="3"/>
  <c r="L767" i="3"/>
  <c r="Y766" i="3"/>
  <c r="L766" i="3"/>
  <c r="Y765" i="3"/>
  <c r="L765" i="3"/>
  <c r="Y764" i="3"/>
  <c r="L764" i="3"/>
  <c r="Y763" i="3"/>
  <c r="L763" i="3"/>
  <c r="Y762" i="3"/>
  <c r="L762" i="3"/>
  <c r="Y761" i="3"/>
  <c r="L761" i="3"/>
  <c r="Y760" i="3"/>
  <c r="L760" i="3"/>
  <c r="Y759" i="3"/>
  <c r="L759" i="3"/>
  <c r="Y758" i="3"/>
  <c r="L758" i="3"/>
  <c r="Y757" i="3"/>
  <c r="L757" i="3"/>
  <c r="Y756" i="3"/>
  <c r="L756" i="3"/>
  <c r="Y755" i="3"/>
  <c r="L755" i="3"/>
  <c r="Y754" i="3"/>
  <c r="L754" i="3"/>
  <c r="Y753" i="3"/>
  <c r="L753" i="3"/>
  <c r="Y752" i="3"/>
  <c r="L752" i="3"/>
  <c r="Y751" i="3"/>
  <c r="L751" i="3"/>
  <c r="Y750" i="3"/>
  <c r="L750" i="3"/>
  <c r="Y749" i="3"/>
  <c r="L749" i="3"/>
  <c r="Y748" i="3"/>
  <c r="L748" i="3"/>
  <c r="Y747" i="3"/>
  <c r="L747" i="3"/>
  <c r="Y746" i="3"/>
  <c r="L746" i="3"/>
  <c r="Y745" i="3"/>
  <c r="L745" i="3"/>
  <c r="Y744" i="3"/>
  <c r="L744" i="3"/>
  <c r="Y743" i="3"/>
  <c r="L743" i="3"/>
  <c r="Y742" i="3"/>
  <c r="L742" i="3"/>
  <c r="Y741" i="3"/>
  <c r="L741" i="3"/>
  <c r="Y740" i="3"/>
  <c r="L740" i="3"/>
  <c r="Y739" i="3"/>
  <c r="L739" i="3"/>
  <c r="Y738" i="3"/>
  <c r="L738" i="3"/>
  <c r="Y737" i="3"/>
  <c r="L737" i="3"/>
  <c r="Y736" i="3"/>
  <c r="L736" i="3"/>
  <c r="Y735" i="3"/>
  <c r="L735" i="3"/>
  <c r="Y734" i="3"/>
  <c r="L734" i="3"/>
  <c r="Y733" i="3"/>
  <c r="L733" i="3"/>
  <c r="Y732" i="3"/>
  <c r="L732" i="3"/>
  <c r="Y731" i="3"/>
  <c r="L731" i="3"/>
  <c r="Y730" i="3"/>
  <c r="L730" i="3"/>
  <c r="Y729" i="3"/>
  <c r="L729" i="3"/>
  <c r="Y728" i="3"/>
  <c r="L728" i="3"/>
  <c r="Y727" i="3"/>
  <c r="L727" i="3"/>
  <c r="Y726" i="3"/>
  <c r="L726" i="3"/>
  <c r="Y725" i="3"/>
  <c r="L725" i="3"/>
  <c r="Y724" i="3"/>
  <c r="L724" i="3"/>
  <c r="Y723" i="3"/>
  <c r="L723" i="3"/>
  <c r="Y722" i="3"/>
  <c r="L722" i="3"/>
  <c r="Y721" i="3"/>
  <c r="L721" i="3"/>
  <c r="Y720" i="3"/>
  <c r="L720" i="3"/>
  <c r="Y719" i="3"/>
  <c r="L719" i="3"/>
  <c r="Y718" i="3"/>
  <c r="L718" i="3"/>
  <c r="Y717" i="3"/>
  <c r="L717" i="3"/>
  <c r="Y716" i="3"/>
  <c r="L716" i="3"/>
  <c r="Y715" i="3"/>
  <c r="L715" i="3"/>
  <c r="Y714" i="3"/>
  <c r="L714" i="3"/>
  <c r="Y712" i="3"/>
  <c r="Y713" i="3"/>
  <c r="L713" i="3"/>
  <c r="Y711" i="3"/>
  <c r="Y710" i="3"/>
  <c r="Y709" i="3"/>
  <c r="Y708" i="3"/>
  <c r="Y706" i="3"/>
  <c r="L695" i="3"/>
  <c r="N695" i="3" s="1"/>
  <c r="Y694" i="3"/>
  <c r="Y702" i="3"/>
  <c r="L694" i="3"/>
  <c r="N694" i="3" s="1"/>
  <c r="Y696" i="3"/>
  <c r="Y697" i="3"/>
  <c r="Y698" i="3"/>
  <c r="L702" i="3"/>
  <c r="N702" i="3" s="1"/>
  <c r="Y691" i="3"/>
  <c r="L693" i="3"/>
  <c r="N693" i="3" s="1"/>
  <c r="Y707" i="3"/>
  <c r="Y692" i="3"/>
  <c r="Y695" i="3"/>
  <c r="Y705" i="3"/>
  <c r="Y704" i="3"/>
  <c r="L703" i="3"/>
  <c r="N703" i="3" s="1"/>
  <c r="Y703" i="3"/>
  <c r="Y701" i="3"/>
  <c r="Y700" i="3"/>
  <c r="L699" i="3"/>
  <c r="M699" i="3" s="1"/>
  <c r="Q699" i="3" s="1"/>
  <c r="S699" i="3" s="1"/>
  <c r="Y699" i="3"/>
  <c r="L698" i="3"/>
  <c r="L696" i="3"/>
  <c r="L689" i="3"/>
  <c r="N689" i="3" s="1"/>
  <c r="Y690" i="3"/>
  <c r="Y693" i="3"/>
  <c r="Y689" i="3"/>
  <c r="L688" i="3"/>
  <c r="N688" i="3" s="1"/>
  <c r="Y688" i="3"/>
  <c r="L685" i="3"/>
  <c r="M685" i="3" s="1"/>
  <c r="Q685" i="3" s="1"/>
  <c r="S685" i="3" s="1"/>
  <c r="L687" i="3"/>
  <c r="N687" i="3" s="1"/>
  <c r="Y687" i="3"/>
  <c r="Y686" i="3"/>
  <c r="Y685" i="3"/>
  <c r="Y684" i="3"/>
  <c r="L683" i="3"/>
  <c r="N683" i="3" s="1"/>
  <c r="Y683" i="3"/>
  <c r="L679" i="3"/>
  <c r="N679" i="3" s="1"/>
  <c r="L680" i="3"/>
  <c r="N680" i="3" s="1"/>
  <c r="Y682" i="3"/>
  <c r="Y681" i="3"/>
  <c r="Y680" i="3"/>
  <c r="Y679" i="3"/>
  <c r="Y678" i="3"/>
  <c r="Y677" i="3"/>
  <c r="Y676" i="3"/>
  <c r="Y675" i="3"/>
  <c r="AB1325" i="3" l="1"/>
  <c r="I1350" i="3"/>
  <c r="J1350" i="3"/>
  <c r="AM1350" i="3" s="1"/>
  <c r="AN1350" i="3" s="1"/>
  <c r="AO1350" i="3" s="1"/>
  <c r="AP1350" i="3" s="1"/>
  <c r="AB1350" i="3"/>
  <c r="AB1263" i="3"/>
  <c r="I1263" i="3"/>
  <c r="I1300" i="3"/>
  <c r="J1300" i="3"/>
  <c r="AM1300" i="3" s="1"/>
  <c r="AN1300" i="3" s="1"/>
  <c r="AO1300" i="3" s="1"/>
  <c r="AP1300" i="3" s="1"/>
  <c r="AB1300" i="3"/>
  <c r="I1285" i="3"/>
  <c r="J1285" i="3"/>
  <c r="AM1285" i="3" s="1"/>
  <c r="AN1285" i="3" s="1"/>
  <c r="AO1285" i="3" s="1"/>
  <c r="AP1285" i="3" s="1"/>
  <c r="AB1285" i="3"/>
  <c r="V1023" i="3"/>
  <c r="W1023" i="3" s="1"/>
  <c r="V1024" i="3"/>
  <c r="W1024" i="3" s="1"/>
  <c r="Q1029" i="3"/>
  <c r="V1029" i="3"/>
  <c r="W1029" i="3" s="1"/>
  <c r="Q1028" i="3"/>
  <c r="V1028" i="3"/>
  <c r="W1028" i="3" s="1"/>
  <c r="Q1027" i="3"/>
  <c r="V1027" i="3"/>
  <c r="W1027" i="3" s="1"/>
  <c r="X1017" i="3"/>
  <c r="Q1026" i="3"/>
  <c r="V1026" i="3"/>
  <c r="W1026" i="3" s="1"/>
  <c r="X1016" i="3"/>
  <c r="V1025" i="3"/>
  <c r="W1025" i="3" s="1"/>
  <c r="V1019" i="3"/>
  <c r="W1019" i="3" s="1"/>
  <c r="S1017" i="3"/>
  <c r="V1014" i="3"/>
  <c r="W1014" i="3" s="1"/>
  <c r="V1017" i="3"/>
  <c r="W1017" i="3" s="1"/>
  <c r="Q1022" i="3"/>
  <c r="V1022" i="3"/>
  <c r="W1022" i="3" s="1"/>
  <c r="Q1021" i="3"/>
  <c r="V1021" i="3"/>
  <c r="W1021" i="3" s="1"/>
  <c r="V1011" i="3"/>
  <c r="W1011" i="3" s="1"/>
  <c r="V1009" i="3"/>
  <c r="W1009" i="3" s="1"/>
  <c r="V1013" i="3"/>
  <c r="W1013" i="3" s="1"/>
  <c r="V1010" i="3"/>
  <c r="W1010" i="3" s="1"/>
  <c r="V1012" i="3"/>
  <c r="W1012" i="3" s="1"/>
  <c r="Q1015" i="3"/>
  <c r="V1015" i="3"/>
  <c r="W1015" i="3" s="1"/>
  <c r="Q929" i="3"/>
  <c r="S929" i="3" s="1"/>
  <c r="V924" i="3"/>
  <c r="W924" i="3" s="1"/>
  <c r="V951" i="3"/>
  <c r="W951" i="3" s="1"/>
  <c r="V835" i="3"/>
  <c r="W835" i="3" s="1"/>
  <c r="V820" i="3"/>
  <c r="W820" i="3" s="1"/>
  <c r="M711" i="3"/>
  <c r="Q711" i="3" s="1"/>
  <c r="S711" i="3" s="1"/>
  <c r="V823" i="3"/>
  <c r="W823" i="3" s="1"/>
  <c r="V824" i="3"/>
  <c r="W824" i="3" s="1"/>
  <c r="V832" i="3"/>
  <c r="W832" i="3" s="1"/>
  <c r="N701" i="3"/>
  <c r="M707" i="3"/>
  <c r="Q707" i="3" s="1"/>
  <c r="S707" i="3" s="1"/>
  <c r="M704" i="3"/>
  <c r="Q704" i="3" s="1"/>
  <c r="S704" i="3" s="1"/>
  <c r="V923" i="3"/>
  <c r="W923" i="3" s="1"/>
  <c r="N708" i="3"/>
  <c r="V931" i="3"/>
  <c r="W931" i="3" s="1"/>
  <c r="Q1008" i="3"/>
  <c r="V1008" i="3"/>
  <c r="W1008" i="3" s="1"/>
  <c r="Q1007" i="3"/>
  <c r="V1007" i="3"/>
  <c r="W1007" i="3" s="1"/>
  <c r="Q1006" i="3"/>
  <c r="V1006" i="3"/>
  <c r="W1006" i="3" s="1"/>
  <c r="Q1005" i="3"/>
  <c r="V1005" i="3"/>
  <c r="W1005" i="3" s="1"/>
  <c r="Q1004" i="3"/>
  <c r="V1004" i="3"/>
  <c r="W1004" i="3" s="1"/>
  <c r="Q1003" i="3"/>
  <c r="V1003" i="3"/>
  <c r="W1003" i="3" s="1"/>
  <c r="Q1002" i="3"/>
  <c r="V1002" i="3"/>
  <c r="W1002" i="3" s="1"/>
  <c r="Q1001" i="3"/>
  <c r="V1001" i="3"/>
  <c r="W1001" i="3" s="1"/>
  <c r="Q1000" i="3"/>
  <c r="V1000" i="3"/>
  <c r="W1000" i="3" s="1"/>
  <c r="Q999" i="3"/>
  <c r="V999" i="3"/>
  <c r="W999" i="3" s="1"/>
  <c r="Q998" i="3"/>
  <c r="V998" i="3"/>
  <c r="W998" i="3" s="1"/>
  <c r="Q997" i="3"/>
  <c r="V997" i="3"/>
  <c r="W997" i="3" s="1"/>
  <c r="Q996" i="3"/>
  <c r="V996" i="3"/>
  <c r="W996" i="3" s="1"/>
  <c r="Q995" i="3"/>
  <c r="V995" i="3"/>
  <c r="W995" i="3" s="1"/>
  <c r="Q994" i="3"/>
  <c r="V994" i="3"/>
  <c r="W994" i="3" s="1"/>
  <c r="Q993" i="3"/>
  <c r="V993" i="3"/>
  <c r="W993" i="3" s="1"/>
  <c r="Q992" i="3"/>
  <c r="V992" i="3"/>
  <c r="W992" i="3" s="1"/>
  <c r="Q991" i="3"/>
  <c r="V991" i="3"/>
  <c r="W991" i="3" s="1"/>
  <c r="Q990" i="3"/>
  <c r="V990" i="3"/>
  <c r="W990" i="3" s="1"/>
  <c r="Q989" i="3"/>
  <c r="V989" i="3"/>
  <c r="W989" i="3" s="1"/>
  <c r="Q988" i="3"/>
  <c r="V988" i="3"/>
  <c r="W988" i="3" s="1"/>
  <c r="Q987" i="3"/>
  <c r="V987" i="3"/>
  <c r="W987" i="3" s="1"/>
  <c r="Q986" i="3"/>
  <c r="V986" i="3"/>
  <c r="W986" i="3" s="1"/>
  <c r="Q985" i="3"/>
  <c r="V985" i="3"/>
  <c r="W985" i="3" s="1"/>
  <c r="Q984" i="3"/>
  <c r="V984" i="3"/>
  <c r="W984" i="3" s="1"/>
  <c r="Q983" i="3"/>
  <c r="V983" i="3"/>
  <c r="W983" i="3" s="1"/>
  <c r="Q982" i="3"/>
  <c r="V982" i="3"/>
  <c r="W982" i="3" s="1"/>
  <c r="Q981" i="3"/>
  <c r="V981" i="3"/>
  <c r="W981" i="3" s="1"/>
  <c r="Q980" i="3"/>
  <c r="V980" i="3"/>
  <c r="W980" i="3" s="1"/>
  <c r="Q979" i="3"/>
  <c r="V979" i="3"/>
  <c r="W979" i="3" s="1"/>
  <c r="Q978" i="3"/>
  <c r="V978" i="3"/>
  <c r="W978" i="3" s="1"/>
  <c r="Q977" i="3"/>
  <c r="V977" i="3"/>
  <c r="W977" i="3" s="1"/>
  <c r="Q976" i="3"/>
  <c r="V976" i="3"/>
  <c r="W976" i="3" s="1"/>
  <c r="Q975" i="3"/>
  <c r="V975" i="3"/>
  <c r="W975" i="3" s="1"/>
  <c r="Q974" i="3"/>
  <c r="V974" i="3"/>
  <c r="W974" i="3" s="1"/>
  <c r="Q973" i="3"/>
  <c r="V973" i="3"/>
  <c r="W973" i="3" s="1"/>
  <c r="Q972" i="3"/>
  <c r="V972" i="3"/>
  <c r="W972" i="3" s="1"/>
  <c r="Q971" i="3"/>
  <c r="V971" i="3"/>
  <c r="W971" i="3" s="1"/>
  <c r="Q970" i="3"/>
  <c r="V970" i="3"/>
  <c r="W970" i="3" s="1"/>
  <c r="Q969" i="3"/>
  <c r="V969" i="3"/>
  <c r="W969" i="3" s="1"/>
  <c r="Q968" i="3"/>
  <c r="V968" i="3"/>
  <c r="W968" i="3" s="1"/>
  <c r="Q967" i="3"/>
  <c r="V967" i="3"/>
  <c r="W967" i="3" s="1"/>
  <c r="Q966" i="3"/>
  <c r="V966" i="3"/>
  <c r="W966" i="3" s="1"/>
  <c r="Q965" i="3"/>
  <c r="V965" i="3"/>
  <c r="W965" i="3" s="1"/>
  <c r="Q964" i="3"/>
  <c r="V964" i="3"/>
  <c r="W964" i="3" s="1"/>
  <c r="Q963" i="3"/>
  <c r="V963" i="3"/>
  <c r="W963" i="3" s="1"/>
  <c r="Q962" i="3"/>
  <c r="V962" i="3"/>
  <c r="W962" i="3" s="1"/>
  <c r="Q961" i="3"/>
  <c r="V961" i="3"/>
  <c r="W961" i="3" s="1"/>
  <c r="Q960" i="3"/>
  <c r="V960" i="3"/>
  <c r="W960" i="3" s="1"/>
  <c r="V925" i="3"/>
  <c r="W925" i="3" s="1"/>
  <c r="M676" i="3"/>
  <c r="Q676" i="3" s="1"/>
  <c r="S676" i="3" s="1"/>
  <c r="M682" i="3"/>
  <c r="Q682" i="3" s="1"/>
  <c r="S682" i="3" s="1"/>
  <c r="M691" i="3"/>
  <c r="Q691" i="3" s="1"/>
  <c r="S691" i="3" s="1"/>
  <c r="V927" i="3"/>
  <c r="W927" i="3" s="1"/>
  <c r="N677" i="3"/>
  <c r="M686" i="3"/>
  <c r="Q686" i="3" s="1"/>
  <c r="S686" i="3" s="1"/>
  <c r="N692" i="3"/>
  <c r="M684" i="3"/>
  <c r="Q684" i="3" s="1"/>
  <c r="S684" i="3" s="1"/>
  <c r="N706" i="3"/>
  <c r="M709" i="3"/>
  <c r="Q709" i="3" s="1"/>
  <c r="S709" i="3" s="1"/>
  <c r="M675" i="3"/>
  <c r="Q675" i="3" s="1"/>
  <c r="S675" i="3" s="1"/>
  <c r="M700" i="3"/>
  <c r="Q700" i="3" s="1"/>
  <c r="S700" i="3" s="1"/>
  <c r="M710" i="3"/>
  <c r="Q710" i="3" s="1"/>
  <c r="S710" i="3" s="1"/>
  <c r="V827" i="3"/>
  <c r="W827" i="3" s="1"/>
  <c r="M690" i="3"/>
  <c r="Q690" i="3" s="1"/>
  <c r="S690" i="3" s="1"/>
  <c r="M678" i="3"/>
  <c r="Q678" i="3" s="1"/>
  <c r="S678" i="3" s="1"/>
  <c r="M681" i="3"/>
  <c r="Q681" i="3" s="1"/>
  <c r="S681" i="3" s="1"/>
  <c r="M697" i="3"/>
  <c r="Q697" i="3" s="1"/>
  <c r="S697" i="3" s="1"/>
  <c r="M705" i="3"/>
  <c r="Q705" i="3" s="1"/>
  <c r="S705" i="3" s="1"/>
  <c r="M712" i="3"/>
  <c r="Q712" i="3" s="1"/>
  <c r="S712" i="3" s="1"/>
  <c r="V833" i="3"/>
  <c r="W833" i="3" s="1"/>
  <c r="V837" i="3"/>
  <c r="W837" i="3" s="1"/>
  <c r="Q856" i="3"/>
  <c r="V856" i="3"/>
  <c r="W856" i="3" s="1"/>
  <c r="Q855" i="3"/>
  <c r="V855" i="3"/>
  <c r="W855" i="3" s="1"/>
  <c r="Q854" i="3"/>
  <c r="V854" i="3"/>
  <c r="W854" i="3" s="1"/>
  <c r="Q853" i="3"/>
  <c r="V853" i="3"/>
  <c r="W853" i="3" s="1"/>
  <c r="Q852" i="3"/>
  <c r="V852" i="3"/>
  <c r="W852" i="3" s="1"/>
  <c r="Q851" i="3"/>
  <c r="V851" i="3"/>
  <c r="W851" i="3" s="1"/>
  <c r="Q850" i="3"/>
  <c r="V850" i="3"/>
  <c r="W850" i="3" s="1"/>
  <c r="Q849" i="3"/>
  <c r="V849" i="3"/>
  <c r="W849" i="3" s="1"/>
  <c r="Q848" i="3"/>
  <c r="V848" i="3"/>
  <c r="W848" i="3" s="1"/>
  <c r="Q847" i="3"/>
  <c r="V847" i="3"/>
  <c r="W847" i="3" s="1"/>
  <c r="Q846" i="3"/>
  <c r="V846" i="3"/>
  <c r="W846" i="3" s="1"/>
  <c r="Q845" i="3"/>
  <c r="V845" i="3"/>
  <c r="W845" i="3" s="1"/>
  <c r="Q844" i="3"/>
  <c r="V844" i="3"/>
  <c r="W844" i="3" s="1"/>
  <c r="Q843" i="3"/>
  <c r="V843" i="3"/>
  <c r="W843" i="3" s="1"/>
  <c r="Q842" i="3"/>
  <c r="V842" i="3"/>
  <c r="W842" i="3" s="1"/>
  <c r="Q841" i="3"/>
  <c r="V841" i="3"/>
  <c r="W841" i="3" s="1"/>
  <c r="Q957" i="3"/>
  <c r="V957" i="3"/>
  <c r="W957" i="3" s="1"/>
  <c r="Q955" i="3"/>
  <c r="V955" i="3"/>
  <c r="W955" i="3" s="1"/>
  <c r="Q953" i="3"/>
  <c r="V953" i="3"/>
  <c r="W953" i="3" s="1"/>
  <c r="Q959" i="3"/>
  <c r="V959" i="3"/>
  <c r="W959" i="3" s="1"/>
  <c r="Q949" i="3"/>
  <c r="V949" i="3"/>
  <c r="W949" i="3" s="1"/>
  <c r="Q948" i="3"/>
  <c r="V948" i="3"/>
  <c r="W948" i="3" s="1"/>
  <c r="Q947" i="3"/>
  <c r="V947" i="3"/>
  <c r="W947" i="3" s="1"/>
  <c r="Q946" i="3"/>
  <c r="V946" i="3"/>
  <c r="W946" i="3" s="1"/>
  <c r="Q945" i="3"/>
  <c r="V945" i="3"/>
  <c r="W945" i="3" s="1"/>
  <c r="Q944" i="3"/>
  <c r="V944" i="3"/>
  <c r="W944" i="3" s="1"/>
  <c r="Q943" i="3"/>
  <c r="V943" i="3"/>
  <c r="W943" i="3" s="1"/>
  <c r="Q942" i="3"/>
  <c r="V942" i="3"/>
  <c r="W942" i="3" s="1"/>
  <c r="Q941" i="3"/>
  <c r="V941" i="3"/>
  <c r="W941" i="3" s="1"/>
  <c r="Q940" i="3"/>
  <c r="V940" i="3"/>
  <c r="W940" i="3" s="1"/>
  <c r="Q939" i="3"/>
  <c r="V939" i="3"/>
  <c r="W939" i="3" s="1"/>
  <c r="Q938" i="3"/>
  <c r="V938" i="3"/>
  <c r="W938" i="3" s="1"/>
  <c r="Q937" i="3"/>
  <c r="V937" i="3"/>
  <c r="W937" i="3" s="1"/>
  <c r="Q936" i="3"/>
  <c r="V936" i="3"/>
  <c r="W936" i="3" s="1"/>
  <c r="Q935" i="3"/>
  <c r="V935" i="3"/>
  <c r="W935" i="3" s="1"/>
  <c r="Q934" i="3"/>
  <c r="V934" i="3"/>
  <c r="W934" i="3" s="1"/>
  <c r="Q933" i="3"/>
  <c r="V933" i="3"/>
  <c r="W933" i="3" s="1"/>
  <c r="Q932" i="3"/>
  <c r="V932" i="3"/>
  <c r="W932" i="3" s="1"/>
  <c r="V930" i="3"/>
  <c r="W930" i="3" s="1"/>
  <c r="Q921" i="3"/>
  <c r="S921" i="3" s="1"/>
  <c r="V926" i="3"/>
  <c r="W926" i="3" s="1"/>
  <c r="V928" i="3"/>
  <c r="W928" i="3" s="1"/>
  <c r="V840" i="3"/>
  <c r="W840" i="3" s="1"/>
  <c r="V829" i="3"/>
  <c r="W829" i="3" s="1"/>
  <c r="V836" i="3"/>
  <c r="W836" i="3" s="1"/>
  <c r="V818" i="3"/>
  <c r="W818" i="3" s="1"/>
  <c r="V834" i="3"/>
  <c r="W834" i="3" s="1"/>
  <c r="V839" i="3"/>
  <c r="W839" i="3" s="1"/>
  <c r="V822" i="3"/>
  <c r="W822" i="3" s="1"/>
  <c r="Q828" i="3"/>
  <c r="V828" i="3"/>
  <c r="W828" i="3" s="1"/>
  <c r="V819" i="3"/>
  <c r="W819" i="3" s="1"/>
  <c r="M695" i="3"/>
  <c r="Q695" i="3" s="1"/>
  <c r="S695" i="3" s="1"/>
  <c r="Q816" i="3"/>
  <c r="S816" i="3" s="1"/>
  <c r="V816" i="3"/>
  <c r="W816" i="3" s="1"/>
  <c r="M702" i="3"/>
  <c r="Q702" i="3" s="1"/>
  <c r="S702" i="3" s="1"/>
  <c r="Q815" i="3"/>
  <c r="V815" i="3"/>
  <c r="W815" i="3" s="1"/>
  <c r="Q814" i="3"/>
  <c r="V814" i="3"/>
  <c r="W814" i="3" s="1"/>
  <c r="Q813" i="3"/>
  <c r="V813" i="3"/>
  <c r="W813" i="3" s="1"/>
  <c r="Q812" i="3"/>
  <c r="V812" i="3"/>
  <c r="W812" i="3" s="1"/>
  <c r="Q811" i="3"/>
  <c r="V811" i="3"/>
  <c r="W811" i="3" s="1"/>
  <c r="Q810" i="3"/>
  <c r="V810" i="3"/>
  <c r="W810" i="3" s="1"/>
  <c r="Q809" i="3"/>
  <c r="V809" i="3"/>
  <c r="W809" i="3" s="1"/>
  <c r="Q808" i="3"/>
  <c r="V808" i="3"/>
  <c r="W808" i="3" s="1"/>
  <c r="Q807" i="3"/>
  <c r="V807" i="3"/>
  <c r="W807" i="3" s="1"/>
  <c r="Q806" i="3"/>
  <c r="V806" i="3"/>
  <c r="W806" i="3" s="1"/>
  <c r="Q805" i="3"/>
  <c r="V805" i="3"/>
  <c r="W805" i="3" s="1"/>
  <c r="Q804" i="3"/>
  <c r="V804" i="3"/>
  <c r="W804" i="3" s="1"/>
  <c r="Q803" i="3"/>
  <c r="V803" i="3"/>
  <c r="W803" i="3" s="1"/>
  <c r="Q802" i="3"/>
  <c r="V802" i="3"/>
  <c r="W802" i="3" s="1"/>
  <c r="Q801" i="3"/>
  <c r="V801" i="3"/>
  <c r="W801" i="3" s="1"/>
  <c r="Q800" i="3"/>
  <c r="V800" i="3"/>
  <c r="W800" i="3" s="1"/>
  <c r="Q799" i="3"/>
  <c r="V799" i="3"/>
  <c r="W799" i="3" s="1"/>
  <c r="Q798" i="3"/>
  <c r="V798" i="3"/>
  <c r="W798" i="3" s="1"/>
  <c r="Q797" i="3"/>
  <c r="V797" i="3"/>
  <c r="W797" i="3" s="1"/>
  <c r="Q920" i="3"/>
  <c r="V920" i="3"/>
  <c r="W920" i="3" s="1"/>
  <c r="Q919" i="3"/>
  <c r="V919" i="3"/>
  <c r="W919" i="3" s="1"/>
  <c r="Q918" i="3"/>
  <c r="V918" i="3"/>
  <c r="W918" i="3" s="1"/>
  <c r="Q917" i="3"/>
  <c r="V917" i="3"/>
  <c r="W917" i="3" s="1"/>
  <c r="Q916" i="3"/>
  <c r="V916" i="3"/>
  <c r="W916" i="3" s="1"/>
  <c r="Q915" i="3"/>
  <c r="V915" i="3"/>
  <c r="W915" i="3" s="1"/>
  <c r="Q914" i="3"/>
  <c r="V914" i="3"/>
  <c r="W914" i="3" s="1"/>
  <c r="Q913" i="3"/>
  <c r="V913" i="3"/>
  <c r="W913" i="3" s="1"/>
  <c r="Q912" i="3"/>
  <c r="V912" i="3"/>
  <c r="W912" i="3" s="1"/>
  <c r="Q911" i="3"/>
  <c r="V911" i="3"/>
  <c r="W911" i="3" s="1"/>
  <c r="Q910" i="3"/>
  <c r="V910" i="3"/>
  <c r="W910" i="3" s="1"/>
  <c r="Q909" i="3"/>
  <c r="V909" i="3"/>
  <c r="W909" i="3" s="1"/>
  <c r="Q908" i="3"/>
  <c r="V908" i="3"/>
  <c r="W908" i="3" s="1"/>
  <c r="Q907" i="3"/>
  <c r="V907" i="3"/>
  <c r="W907" i="3" s="1"/>
  <c r="Q906" i="3"/>
  <c r="V906" i="3"/>
  <c r="W906" i="3" s="1"/>
  <c r="Q905" i="3"/>
  <c r="V905" i="3"/>
  <c r="W905" i="3" s="1"/>
  <c r="Q904" i="3"/>
  <c r="V904" i="3"/>
  <c r="W904" i="3" s="1"/>
  <c r="Q903" i="3"/>
  <c r="V903" i="3"/>
  <c r="W903" i="3" s="1"/>
  <c r="M902" i="3"/>
  <c r="N902" i="3"/>
  <c r="M901" i="3"/>
  <c r="N901" i="3"/>
  <c r="M900" i="3"/>
  <c r="N900" i="3"/>
  <c r="M899" i="3"/>
  <c r="N899" i="3"/>
  <c r="M898" i="3"/>
  <c r="N898" i="3"/>
  <c r="M897" i="3"/>
  <c r="N897" i="3"/>
  <c r="M896" i="3"/>
  <c r="N896" i="3"/>
  <c r="M895" i="3"/>
  <c r="N895" i="3"/>
  <c r="M894" i="3"/>
  <c r="N894" i="3"/>
  <c r="M893" i="3"/>
  <c r="N893" i="3"/>
  <c r="M892" i="3"/>
  <c r="N892" i="3"/>
  <c r="M891" i="3"/>
  <c r="N891" i="3"/>
  <c r="M890" i="3"/>
  <c r="N890" i="3"/>
  <c r="M889" i="3"/>
  <c r="N889" i="3"/>
  <c r="M888" i="3"/>
  <c r="N888" i="3"/>
  <c r="M887" i="3"/>
  <c r="N887" i="3"/>
  <c r="M886" i="3"/>
  <c r="N886" i="3"/>
  <c r="M885" i="3"/>
  <c r="N885" i="3"/>
  <c r="M884" i="3"/>
  <c r="N884" i="3"/>
  <c r="M883" i="3"/>
  <c r="N883" i="3"/>
  <c r="M882" i="3"/>
  <c r="N882" i="3"/>
  <c r="M881" i="3"/>
  <c r="N881" i="3"/>
  <c r="M880" i="3"/>
  <c r="N880" i="3"/>
  <c r="M879" i="3"/>
  <c r="N879" i="3"/>
  <c r="M878" i="3"/>
  <c r="N878" i="3"/>
  <c r="M877" i="3"/>
  <c r="N877" i="3"/>
  <c r="M876" i="3"/>
  <c r="N876" i="3"/>
  <c r="M875" i="3"/>
  <c r="N875" i="3"/>
  <c r="M874" i="3"/>
  <c r="N874" i="3"/>
  <c r="M873" i="3"/>
  <c r="N873" i="3"/>
  <c r="M872" i="3"/>
  <c r="N872" i="3"/>
  <c r="M871" i="3"/>
  <c r="N871" i="3"/>
  <c r="M870" i="3"/>
  <c r="N870" i="3"/>
  <c r="M869" i="3"/>
  <c r="N869" i="3"/>
  <c r="M868" i="3"/>
  <c r="N868" i="3"/>
  <c r="M867" i="3"/>
  <c r="N867" i="3"/>
  <c r="M866" i="3"/>
  <c r="N866" i="3"/>
  <c r="M865" i="3"/>
  <c r="N865" i="3"/>
  <c r="M864" i="3"/>
  <c r="N864" i="3"/>
  <c r="M863" i="3"/>
  <c r="N863" i="3"/>
  <c r="M862" i="3"/>
  <c r="N862" i="3"/>
  <c r="M861" i="3"/>
  <c r="N861" i="3"/>
  <c r="M860" i="3"/>
  <c r="N860" i="3"/>
  <c r="M859" i="3"/>
  <c r="N859" i="3"/>
  <c r="M858" i="3"/>
  <c r="N858" i="3"/>
  <c r="M857" i="3"/>
  <c r="N857" i="3"/>
  <c r="M796" i="3"/>
  <c r="N796" i="3"/>
  <c r="M795" i="3"/>
  <c r="N795" i="3"/>
  <c r="M794" i="3"/>
  <c r="N794" i="3"/>
  <c r="M793" i="3"/>
  <c r="N793" i="3"/>
  <c r="M792" i="3"/>
  <c r="N792" i="3"/>
  <c r="M791" i="3"/>
  <c r="N791" i="3"/>
  <c r="M790" i="3"/>
  <c r="N790" i="3"/>
  <c r="M789" i="3"/>
  <c r="N789" i="3"/>
  <c r="M788" i="3"/>
  <c r="N788" i="3"/>
  <c r="M787" i="3"/>
  <c r="N787" i="3"/>
  <c r="M786" i="3"/>
  <c r="N786" i="3"/>
  <c r="M785" i="3"/>
  <c r="N785" i="3"/>
  <c r="M784" i="3"/>
  <c r="N784" i="3"/>
  <c r="M783" i="3"/>
  <c r="N783" i="3"/>
  <c r="M782" i="3"/>
  <c r="N782" i="3"/>
  <c r="M781" i="3"/>
  <c r="N781" i="3"/>
  <c r="M780" i="3"/>
  <c r="N780" i="3"/>
  <c r="M779" i="3"/>
  <c r="N779" i="3"/>
  <c r="M778" i="3"/>
  <c r="N778" i="3"/>
  <c r="M777" i="3"/>
  <c r="N777" i="3"/>
  <c r="M776" i="3"/>
  <c r="N776" i="3"/>
  <c r="M775" i="3"/>
  <c r="N775" i="3"/>
  <c r="M774" i="3"/>
  <c r="N774" i="3"/>
  <c r="M773" i="3"/>
  <c r="N773" i="3"/>
  <c r="M772" i="3"/>
  <c r="N772" i="3"/>
  <c r="M771" i="3"/>
  <c r="N771" i="3"/>
  <c r="M770" i="3"/>
  <c r="N770" i="3"/>
  <c r="M769" i="3"/>
  <c r="N769" i="3"/>
  <c r="M768" i="3"/>
  <c r="N768" i="3"/>
  <c r="M767" i="3"/>
  <c r="N767" i="3"/>
  <c r="M766" i="3"/>
  <c r="N766" i="3"/>
  <c r="M765" i="3"/>
  <c r="N765" i="3"/>
  <c r="M764" i="3"/>
  <c r="N764" i="3"/>
  <c r="M763" i="3"/>
  <c r="N763" i="3"/>
  <c r="M762" i="3"/>
  <c r="N762" i="3"/>
  <c r="M761" i="3"/>
  <c r="N761" i="3"/>
  <c r="M760" i="3"/>
  <c r="N760" i="3"/>
  <c r="M759" i="3"/>
  <c r="N759" i="3"/>
  <c r="M758" i="3"/>
  <c r="N758" i="3"/>
  <c r="M757" i="3"/>
  <c r="N757" i="3"/>
  <c r="M756" i="3"/>
  <c r="N756" i="3"/>
  <c r="M755" i="3"/>
  <c r="N755" i="3"/>
  <c r="M754" i="3"/>
  <c r="N754" i="3"/>
  <c r="M753" i="3"/>
  <c r="N753" i="3"/>
  <c r="M752" i="3"/>
  <c r="N752" i="3"/>
  <c r="M751" i="3"/>
  <c r="N751" i="3"/>
  <c r="M750" i="3"/>
  <c r="N750" i="3"/>
  <c r="M749" i="3"/>
  <c r="N749" i="3"/>
  <c r="M748" i="3"/>
  <c r="N748" i="3"/>
  <c r="M747" i="3"/>
  <c r="N747" i="3"/>
  <c r="M746" i="3"/>
  <c r="N746" i="3"/>
  <c r="M745" i="3"/>
  <c r="N745" i="3"/>
  <c r="M744" i="3"/>
  <c r="N744" i="3"/>
  <c r="M743" i="3"/>
  <c r="N743" i="3"/>
  <c r="M742" i="3"/>
  <c r="N742" i="3"/>
  <c r="M741" i="3"/>
  <c r="N741" i="3"/>
  <c r="M740" i="3"/>
  <c r="N740" i="3"/>
  <c r="M739" i="3"/>
  <c r="N739" i="3"/>
  <c r="M738" i="3"/>
  <c r="N738" i="3"/>
  <c r="M737" i="3"/>
  <c r="N737" i="3"/>
  <c r="M736" i="3"/>
  <c r="N736" i="3"/>
  <c r="M735" i="3"/>
  <c r="N735" i="3"/>
  <c r="M734" i="3"/>
  <c r="N734" i="3"/>
  <c r="M733" i="3"/>
  <c r="N733" i="3"/>
  <c r="M732" i="3"/>
  <c r="N732" i="3"/>
  <c r="M731" i="3"/>
  <c r="N731" i="3"/>
  <c r="M730" i="3"/>
  <c r="N730" i="3"/>
  <c r="M729" i="3"/>
  <c r="N729" i="3"/>
  <c r="M728" i="3"/>
  <c r="N728" i="3"/>
  <c r="M727" i="3"/>
  <c r="N727" i="3"/>
  <c r="M726" i="3"/>
  <c r="N726" i="3"/>
  <c r="M725" i="3"/>
  <c r="N725" i="3"/>
  <c r="M724" i="3"/>
  <c r="N724" i="3"/>
  <c r="M723" i="3"/>
  <c r="N723" i="3"/>
  <c r="M722" i="3"/>
  <c r="N722" i="3"/>
  <c r="M721" i="3"/>
  <c r="N721" i="3"/>
  <c r="M720" i="3"/>
  <c r="N720" i="3"/>
  <c r="M719" i="3"/>
  <c r="N719" i="3"/>
  <c r="M718" i="3"/>
  <c r="N718" i="3"/>
  <c r="M717" i="3"/>
  <c r="N717" i="3"/>
  <c r="M716" i="3"/>
  <c r="N716" i="3"/>
  <c r="M715" i="3"/>
  <c r="N715" i="3"/>
  <c r="M714" i="3"/>
  <c r="N714" i="3"/>
  <c r="M713" i="3"/>
  <c r="N713" i="3"/>
  <c r="M693" i="3"/>
  <c r="Q693" i="3" s="1"/>
  <c r="S693" i="3" s="1"/>
  <c r="M694" i="3"/>
  <c r="Q694" i="3" s="1"/>
  <c r="S694" i="3" s="1"/>
  <c r="M703" i="3"/>
  <c r="Q703" i="3" s="1"/>
  <c r="S703" i="3" s="1"/>
  <c r="N699" i="3"/>
  <c r="M688" i="3"/>
  <c r="Q688" i="3" s="1"/>
  <c r="S688" i="3" s="1"/>
  <c r="M698" i="3"/>
  <c r="N698" i="3"/>
  <c r="M689" i="3"/>
  <c r="Q689" i="3" s="1"/>
  <c r="S689" i="3" s="1"/>
  <c r="N696" i="3"/>
  <c r="M696" i="3"/>
  <c r="N685" i="3"/>
  <c r="M679" i="3"/>
  <c r="Q679" i="3" s="1"/>
  <c r="S679" i="3" s="1"/>
  <c r="M687" i="3"/>
  <c r="Q687" i="3" s="1"/>
  <c r="S687" i="3" s="1"/>
  <c r="M683" i="3"/>
  <c r="Q683" i="3" s="1"/>
  <c r="S683" i="3" s="1"/>
  <c r="M680" i="3"/>
  <c r="Q680" i="3" s="1"/>
  <c r="S680" i="3" s="1"/>
  <c r="S1029" i="3" l="1"/>
  <c r="S1028" i="3"/>
  <c r="S1027" i="3"/>
  <c r="X1026" i="3"/>
  <c r="S1026" i="3"/>
  <c r="S1022" i="3"/>
  <c r="X1021" i="3"/>
  <c r="S1021" i="3"/>
  <c r="X1015" i="3"/>
  <c r="S1015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X996" i="3"/>
  <c r="S996" i="3"/>
  <c r="S995" i="3"/>
  <c r="S994" i="3"/>
  <c r="S993" i="3"/>
  <c r="S992" i="3"/>
  <c r="S991" i="3"/>
  <c r="X990" i="3"/>
  <c r="S990" i="3"/>
  <c r="S989" i="3"/>
  <c r="X988" i="3"/>
  <c r="S988" i="3"/>
  <c r="X987" i="3"/>
  <c r="S987" i="3"/>
  <c r="S986" i="3"/>
  <c r="X985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X971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X955" i="3"/>
  <c r="S955" i="3"/>
  <c r="S957" i="3"/>
  <c r="S959" i="3"/>
  <c r="S953" i="3"/>
  <c r="S934" i="3"/>
  <c r="S935" i="3"/>
  <c r="S936" i="3"/>
  <c r="X937" i="3"/>
  <c r="S937" i="3"/>
  <c r="S938" i="3"/>
  <c r="S939" i="3"/>
  <c r="S940" i="3"/>
  <c r="S941" i="3"/>
  <c r="S942" i="3"/>
  <c r="X943" i="3"/>
  <c r="S943" i="3"/>
  <c r="S944" i="3"/>
  <c r="S945" i="3"/>
  <c r="S946" i="3"/>
  <c r="S947" i="3"/>
  <c r="S948" i="3"/>
  <c r="X949" i="3"/>
  <c r="S949" i="3"/>
  <c r="S933" i="3"/>
  <c r="S932" i="3"/>
  <c r="S828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698" i="3"/>
  <c r="S698" i="3" s="1"/>
  <c r="Q696" i="3"/>
  <c r="S902" i="3" l="1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696" i="3"/>
  <c r="K674" i="3" l="1"/>
  <c r="O674" i="3"/>
  <c r="AC674" i="3"/>
  <c r="P674" i="3" s="1"/>
  <c r="AD674" i="3"/>
  <c r="AE674" i="3"/>
  <c r="R674" i="3" s="1"/>
  <c r="AG674" i="3"/>
  <c r="AH674" i="3"/>
  <c r="AI674" i="3"/>
  <c r="AK674" i="3"/>
  <c r="AL674" i="3"/>
  <c r="K673" i="3"/>
  <c r="O673" i="3"/>
  <c r="AC673" i="3"/>
  <c r="P673" i="3" s="1"/>
  <c r="AD673" i="3"/>
  <c r="AE673" i="3"/>
  <c r="R673" i="3" s="1"/>
  <c r="AG673" i="3"/>
  <c r="AH673" i="3"/>
  <c r="AI673" i="3"/>
  <c r="AK673" i="3"/>
  <c r="AL673" i="3"/>
  <c r="K672" i="3"/>
  <c r="O672" i="3"/>
  <c r="AC672" i="3"/>
  <c r="P672" i="3" s="1"/>
  <c r="AD672" i="3"/>
  <c r="AE672" i="3"/>
  <c r="R672" i="3" s="1"/>
  <c r="AG672" i="3"/>
  <c r="AH672" i="3"/>
  <c r="AI672" i="3"/>
  <c r="AK672" i="3"/>
  <c r="AL672" i="3"/>
  <c r="K671" i="3"/>
  <c r="O671" i="3"/>
  <c r="AC671" i="3"/>
  <c r="P671" i="3" s="1"/>
  <c r="AD671" i="3"/>
  <c r="AE671" i="3"/>
  <c r="R671" i="3" s="1"/>
  <c r="AG671" i="3"/>
  <c r="AH671" i="3"/>
  <c r="AI671" i="3"/>
  <c r="AK671" i="3"/>
  <c r="AL671" i="3"/>
  <c r="K670" i="3"/>
  <c r="O670" i="3"/>
  <c r="AC670" i="3"/>
  <c r="P670" i="3" s="1"/>
  <c r="AD670" i="3"/>
  <c r="AE670" i="3"/>
  <c r="R670" i="3" s="1"/>
  <c r="AG670" i="3"/>
  <c r="AH670" i="3"/>
  <c r="AI670" i="3"/>
  <c r="AK670" i="3"/>
  <c r="AL670" i="3"/>
  <c r="K669" i="3"/>
  <c r="O669" i="3"/>
  <c r="AC669" i="3"/>
  <c r="P669" i="3" s="1"/>
  <c r="AD669" i="3"/>
  <c r="AE669" i="3"/>
  <c r="R669" i="3" s="1"/>
  <c r="AG669" i="3"/>
  <c r="AH669" i="3"/>
  <c r="AI669" i="3"/>
  <c r="AK669" i="3"/>
  <c r="AL669" i="3"/>
  <c r="K668" i="3"/>
  <c r="O668" i="3"/>
  <c r="AC668" i="3"/>
  <c r="P668" i="3" s="1"/>
  <c r="AD668" i="3"/>
  <c r="AE668" i="3"/>
  <c r="R668" i="3" s="1"/>
  <c r="AG668" i="3"/>
  <c r="AH668" i="3"/>
  <c r="AI668" i="3"/>
  <c r="AK668" i="3"/>
  <c r="AL668" i="3"/>
  <c r="K667" i="3"/>
  <c r="O667" i="3"/>
  <c r="AC667" i="3"/>
  <c r="P667" i="3" s="1"/>
  <c r="AD667" i="3"/>
  <c r="AE667" i="3"/>
  <c r="R667" i="3" s="1"/>
  <c r="AG667" i="3"/>
  <c r="AH667" i="3"/>
  <c r="AI667" i="3"/>
  <c r="AK667" i="3"/>
  <c r="AL667" i="3"/>
  <c r="K666" i="3"/>
  <c r="O666" i="3"/>
  <c r="AC666" i="3"/>
  <c r="P666" i="3" s="1"/>
  <c r="AD666" i="3"/>
  <c r="AE666" i="3"/>
  <c r="R666" i="3" s="1"/>
  <c r="AG666" i="3"/>
  <c r="AH666" i="3"/>
  <c r="AI666" i="3"/>
  <c r="AK666" i="3"/>
  <c r="AL666" i="3"/>
  <c r="K665" i="3"/>
  <c r="O665" i="3"/>
  <c r="AC665" i="3"/>
  <c r="P665" i="3" s="1"/>
  <c r="AD665" i="3"/>
  <c r="AE665" i="3"/>
  <c r="R665" i="3" s="1"/>
  <c r="AG665" i="3"/>
  <c r="AH665" i="3"/>
  <c r="AI665" i="3"/>
  <c r="AK665" i="3"/>
  <c r="AL665" i="3"/>
  <c r="K664" i="3"/>
  <c r="O664" i="3"/>
  <c r="AC664" i="3"/>
  <c r="P664" i="3" s="1"/>
  <c r="AD664" i="3"/>
  <c r="AE664" i="3"/>
  <c r="R664" i="3" s="1"/>
  <c r="AG664" i="3"/>
  <c r="AH664" i="3"/>
  <c r="AI664" i="3"/>
  <c r="AK664" i="3"/>
  <c r="AL664" i="3"/>
  <c r="K663" i="3"/>
  <c r="O663" i="3"/>
  <c r="AC663" i="3"/>
  <c r="P663" i="3" s="1"/>
  <c r="AD663" i="3"/>
  <c r="AE663" i="3"/>
  <c r="R663" i="3" s="1"/>
  <c r="AG663" i="3"/>
  <c r="AH663" i="3"/>
  <c r="AI663" i="3"/>
  <c r="AK663" i="3"/>
  <c r="AL663" i="3"/>
  <c r="K662" i="3"/>
  <c r="O662" i="3"/>
  <c r="AC662" i="3"/>
  <c r="P662" i="3" s="1"/>
  <c r="AD662" i="3"/>
  <c r="AE662" i="3"/>
  <c r="R662" i="3" s="1"/>
  <c r="AG662" i="3"/>
  <c r="AH662" i="3"/>
  <c r="AI662" i="3"/>
  <c r="AK662" i="3"/>
  <c r="AL662" i="3"/>
  <c r="K661" i="3"/>
  <c r="O661" i="3"/>
  <c r="AC661" i="3"/>
  <c r="P661" i="3" s="1"/>
  <c r="AD661" i="3"/>
  <c r="AE661" i="3"/>
  <c r="R661" i="3" s="1"/>
  <c r="AG661" i="3"/>
  <c r="AH661" i="3"/>
  <c r="AI661" i="3"/>
  <c r="AK661" i="3"/>
  <c r="AL661" i="3"/>
  <c r="K660" i="3"/>
  <c r="O660" i="3"/>
  <c r="AC660" i="3"/>
  <c r="P660" i="3" s="1"/>
  <c r="AD660" i="3"/>
  <c r="AE660" i="3"/>
  <c r="R660" i="3" s="1"/>
  <c r="AG660" i="3"/>
  <c r="AH660" i="3"/>
  <c r="AI660" i="3"/>
  <c r="AK660" i="3"/>
  <c r="AL660" i="3"/>
  <c r="K659" i="3"/>
  <c r="O659" i="3"/>
  <c r="AC659" i="3"/>
  <c r="P659" i="3" s="1"/>
  <c r="AD659" i="3"/>
  <c r="AE659" i="3"/>
  <c r="R659" i="3" s="1"/>
  <c r="AG659" i="3"/>
  <c r="AH659" i="3"/>
  <c r="AI659" i="3"/>
  <c r="AK659" i="3"/>
  <c r="AL659" i="3"/>
  <c r="K658" i="3"/>
  <c r="O658" i="3"/>
  <c r="AC658" i="3"/>
  <c r="P658" i="3" s="1"/>
  <c r="AD658" i="3"/>
  <c r="AE658" i="3"/>
  <c r="R658" i="3" s="1"/>
  <c r="AG658" i="3"/>
  <c r="AH658" i="3"/>
  <c r="AI658" i="3"/>
  <c r="AK658" i="3"/>
  <c r="AL658" i="3"/>
  <c r="K657" i="3"/>
  <c r="O657" i="3"/>
  <c r="AC657" i="3"/>
  <c r="P657" i="3" s="1"/>
  <c r="AD657" i="3"/>
  <c r="AE657" i="3"/>
  <c r="R657" i="3" s="1"/>
  <c r="AG657" i="3"/>
  <c r="AH657" i="3"/>
  <c r="AI657" i="3"/>
  <c r="AK657" i="3"/>
  <c r="AL657" i="3"/>
  <c r="K656" i="3"/>
  <c r="O656" i="3"/>
  <c r="AC656" i="3"/>
  <c r="P656" i="3" s="1"/>
  <c r="AD656" i="3"/>
  <c r="AE656" i="3"/>
  <c r="R656" i="3" s="1"/>
  <c r="AG656" i="3"/>
  <c r="AH656" i="3"/>
  <c r="AI656" i="3"/>
  <c r="AK656" i="3"/>
  <c r="AL656" i="3"/>
  <c r="K655" i="3"/>
  <c r="O655" i="3"/>
  <c r="AC655" i="3"/>
  <c r="P655" i="3" s="1"/>
  <c r="AD655" i="3"/>
  <c r="AE655" i="3"/>
  <c r="R655" i="3" s="1"/>
  <c r="AG655" i="3"/>
  <c r="AH655" i="3"/>
  <c r="AI655" i="3"/>
  <c r="AK655" i="3"/>
  <c r="AL655" i="3"/>
  <c r="K654" i="3"/>
  <c r="O654" i="3"/>
  <c r="AC654" i="3"/>
  <c r="P654" i="3" s="1"/>
  <c r="AD654" i="3"/>
  <c r="AE654" i="3"/>
  <c r="R654" i="3" s="1"/>
  <c r="AG654" i="3"/>
  <c r="AH654" i="3"/>
  <c r="AI654" i="3"/>
  <c r="AK654" i="3"/>
  <c r="AL654" i="3"/>
  <c r="K653" i="3"/>
  <c r="O653" i="3"/>
  <c r="AC653" i="3"/>
  <c r="P653" i="3" s="1"/>
  <c r="AD653" i="3"/>
  <c r="AE653" i="3"/>
  <c r="R653" i="3" s="1"/>
  <c r="AG653" i="3"/>
  <c r="AH653" i="3"/>
  <c r="AI653" i="3"/>
  <c r="AK653" i="3"/>
  <c r="AL653" i="3"/>
  <c r="K652" i="3"/>
  <c r="O652" i="3"/>
  <c r="AC652" i="3"/>
  <c r="P652" i="3" s="1"/>
  <c r="AD652" i="3"/>
  <c r="AE652" i="3"/>
  <c r="R652" i="3" s="1"/>
  <c r="AG652" i="3"/>
  <c r="AH652" i="3"/>
  <c r="AI652" i="3"/>
  <c r="AK652" i="3"/>
  <c r="AL652" i="3"/>
  <c r="K651" i="3"/>
  <c r="O651" i="3"/>
  <c r="AC651" i="3"/>
  <c r="P651" i="3" s="1"/>
  <c r="AD651" i="3"/>
  <c r="AE651" i="3"/>
  <c r="R651" i="3" s="1"/>
  <c r="AG651" i="3"/>
  <c r="AH651" i="3"/>
  <c r="AI651" i="3"/>
  <c r="AK651" i="3"/>
  <c r="AL651" i="3"/>
  <c r="K650" i="3"/>
  <c r="O650" i="3"/>
  <c r="AC650" i="3"/>
  <c r="P650" i="3" s="1"/>
  <c r="AD650" i="3"/>
  <c r="AE650" i="3"/>
  <c r="R650" i="3" s="1"/>
  <c r="AG650" i="3"/>
  <c r="AH650" i="3"/>
  <c r="AI650" i="3"/>
  <c r="AK650" i="3"/>
  <c r="AL650" i="3"/>
  <c r="K649" i="3"/>
  <c r="O649" i="3"/>
  <c r="AC649" i="3"/>
  <c r="P649" i="3" s="1"/>
  <c r="AD649" i="3"/>
  <c r="AE649" i="3"/>
  <c r="R649" i="3" s="1"/>
  <c r="AG649" i="3"/>
  <c r="AH649" i="3"/>
  <c r="AI649" i="3"/>
  <c r="AK649" i="3"/>
  <c r="AL649" i="3"/>
  <c r="K648" i="3"/>
  <c r="O648" i="3"/>
  <c r="AC648" i="3"/>
  <c r="P648" i="3" s="1"/>
  <c r="AD648" i="3"/>
  <c r="AE648" i="3"/>
  <c r="R648" i="3" s="1"/>
  <c r="AG648" i="3"/>
  <c r="AH648" i="3"/>
  <c r="AI648" i="3"/>
  <c r="AK648" i="3"/>
  <c r="AL648" i="3"/>
  <c r="K647" i="3"/>
  <c r="O647" i="3"/>
  <c r="AC647" i="3"/>
  <c r="P647" i="3" s="1"/>
  <c r="AD647" i="3"/>
  <c r="AE647" i="3"/>
  <c r="R647" i="3" s="1"/>
  <c r="AG647" i="3"/>
  <c r="AH647" i="3"/>
  <c r="AI647" i="3"/>
  <c r="AK647" i="3"/>
  <c r="AL647" i="3"/>
  <c r="K646" i="3"/>
  <c r="O646" i="3"/>
  <c r="AC646" i="3"/>
  <c r="P646" i="3" s="1"/>
  <c r="AD646" i="3"/>
  <c r="AE646" i="3"/>
  <c r="R646" i="3" s="1"/>
  <c r="AG646" i="3"/>
  <c r="AH646" i="3"/>
  <c r="AI646" i="3"/>
  <c r="AK646" i="3"/>
  <c r="AL646" i="3"/>
  <c r="K645" i="3"/>
  <c r="O645" i="3"/>
  <c r="AC645" i="3"/>
  <c r="P645" i="3" s="1"/>
  <c r="AD645" i="3"/>
  <c r="AE645" i="3"/>
  <c r="R645" i="3" s="1"/>
  <c r="AG645" i="3"/>
  <c r="AH645" i="3"/>
  <c r="AI645" i="3"/>
  <c r="AK645" i="3"/>
  <c r="AL645" i="3"/>
  <c r="K644" i="3"/>
  <c r="O644" i="3"/>
  <c r="AC644" i="3"/>
  <c r="P644" i="3" s="1"/>
  <c r="AD644" i="3"/>
  <c r="AE644" i="3"/>
  <c r="R644" i="3" s="1"/>
  <c r="AG644" i="3"/>
  <c r="AH644" i="3"/>
  <c r="AI644" i="3"/>
  <c r="AK644" i="3"/>
  <c r="AL644" i="3"/>
  <c r="K643" i="3"/>
  <c r="O643" i="3"/>
  <c r="AC643" i="3"/>
  <c r="P643" i="3" s="1"/>
  <c r="AD643" i="3"/>
  <c r="AE643" i="3"/>
  <c r="R643" i="3" s="1"/>
  <c r="AG643" i="3"/>
  <c r="AH643" i="3"/>
  <c r="AI643" i="3"/>
  <c r="AK643" i="3"/>
  <c r="AL643" i="3"/>
  <c r="K642" i="3"/>
  <c r="O642" i="3"/>
  <c r="AC642" i="3"/>
  <c r="P642" i="3" s="1"/>
  <c r="AD642" i="3"/>
  <c r="AE642" i="3"/>
  <c r="R642" i="3" s="1"/>
  <c r="AG642" i="3"/>
  <c r="AH642" i="3"/>
  <c r="AI642" i="3"/>
  <c r="AK642" i="3"/>
  <c r="AL642" i="3"/>
  <c r="K641" i="3"/>
  <c r="O641" i="3"/>
  <c r="AC641" i="3"/>
  <c r="P641" i="3" s="1"/>
  <c r="AD641" i="3"/>
  <c r="AE641" i="3"/>
  <c r="R641" i="3" s="1"/>
  <c r="AG641" i="3"/>
  <c r="AH641" i="3"/>
  <c r="AI641" i="3"/>
  <c r="AK641" i="3"/>
  <c r="AL641" i="3"/>
  <c r="K640" i="3"/>
  <c r="O640" i="3"/>
  <c r="AC640" i="3"/>
  <c r="P640" i="3" s="1"/>
  <c r="AD640" i="3"/>
  <c r="AE640" i="3"/>
  <c r="R640" i="3" s="1"/>
  <c r="AG640" i="3"/>
  <c r="AH640" i="3"/>
  <c r="AI640" i="3"/>
  <c r="AK640" i="3"/>
  <c r="AL640" i="3"/>
  <c r="K639" i="3"/>
  <c r="O639" i="3"/>
  <c r="AC639" i="3"/>
  <c r="P639" i="3" s="1"/>
  <c r="AD639" i="3"/>
  <c r="AE639" i="3"/>
  <c r="R639" i="3" s="1"/>
  <c r="AG639" i="3"/>
  <c r="AH639" i="3"/>
  <c r="AI639" i="3"/>
  <c r="AK639" i="3"/>
  <c r="AL639" i="3"/>
  <c r="K638" i="3"/>
  <c r="O638" i="3"/>
  <c r="AC638" i="3"/>
  <c r="P638" i="3" s="1"/>
  <c r="AD638" i="3"/>
  <c r="AE638" i="3"/>
  <c r="R638" i="3" s="1"/>
  <c r="AG638" i="3"/>
  <c r="AH638" i="3"/>
  <c r="AI638" i="3"/>
  <c r="AK638" i="3"/>
  <c r="AL638" i="3"/>
  <c r="K637" i="3"/>
  <c r="O637" i="3"/>
  <c r="AC637" i="3"/>
  <c r="P637" i="3" s="1"/>
  <c r="AD637" i="3"/>
  <c r="AE637" i="3"/>
  <c r="R637" i="3" s="1"/>
  <c r="AG637" i="3"/>
  <c r="AH637" i="3"/>
  <c r="AI637" i="3"/>
  <c r="AK637" i="3"/>
  <c r="AL637" i="3"/>
  <c r="K636" i="3"/>
  <c r="O636" i="3"/>
  <c r="AC636" i="3"/>
  <c r="P636" i="3" s="1"/>
  <c r="AD636" i="3"/>
  <c r="AE636" i="3"/>
  <c r="R636" i="3" s="1"/>
  <c r="AG636" i="3"/>
  <c r="AH636" i="3"/>
  <c r="AI636" i="3"/>
  <c r="AK636" i="3"/>
  <c r="AL636" i="3"/>
  <c r="K635" i="3"/>
  <c r="O635" i="3"/>
  <c r="AC635" i="3"/>
  <c r="P635" i="3" s="1"/>
  <c r="AD635" i="3"/>
  <c r="AE635" i="3"/>
  <c r="R635" i="3" s="1"/>
  <c r="AG635" i="3"/>
  <c r="AH635" i="3"/>
  <c r="AI635" i="3"/>
  <c r="AK635" i="3"/>
  <c r="AL635" i="3"/>
  <c r="K634" i="3"/>
  <c r="O634" i="3"/>
  <c r="AC634" i="3"/>
  <c r="P634" i="3" s="1"/>
  <c r="AD634" i="3"/>
  <c r="AE634" i="3"/>
  <c r="R634" i="3" s="1"/>
  <c r="AG634" i="3"/>
  <c r="AH634" i="3"/>
  <c r="AI634" i="3"/>
  <c r="AK634" i="3"/>
  <c r="AL634" i="3"/>
  <c r="K633" i="3"/>
  <c r="O633" i="3"/>
  <c r="AC633" i="3"/>
  <c r="P633" i="3" s="1"/>
  <c r="AD633" i="3"/>
  <c r="AE633" i="3"/>
  <c r="R633" i="3" s="1"/>
  <c r="AG633" i="3"/>
  <c r="AH633" i="3"/>
  <c r="AI633" i="3"/>
  <c r="AK633" i="3"/>
  <c r="AL633" i="3"/>
  <c r="K632" i="3"/>
  <c r="O632" i="3"/>
  <c r="AC632" i="3"/>
  <c r="P632" i="3" s="1"/>
  <c r="AD632" i="3"/>
  <c r="AE632" i="3"/>
  <c r="R632" i="3" s="1"/>
  <c r="AG632" i="3"/>
  <c r="AH632" i="3"/>
  <c r="AI632" i="3"/>
  <c r="AK632" i="3"/>
  <c r="AL632" i="3"/>
  <c r="K631" i="3"/>
  <c r="O631" i="3"/>
  <c r="AC631" i="3"/>
  <c r="P631" i="3" s="1"/>
  <c r="AD631" i="3"/>
  <c r="AE631" i="3"/>
  <c r="R631" i="3" s="1"/>
  <c r="AG631" i="3"/>
  <c r="AH631" i="3"/>
  <c r="AI631" i="3"/>
  <c r="AK631" i="3"/>
  <c r="AL631" i="3"/>
  <c r="K630" i="3"/>
  <c r="O630" i="3"/>
  <c r="AC630" i="3"/>
  <c r="P630" i="3" s="1"/>
  <c r="AD630" i="3"/>
  <c r="AE630" i="3"/>
  <c r="R630" i="3" s="1"/>
  <c r="AG630" i="3"/>
  <c r="AH630" i="3"/>
  <c r="AI630" i="3"/>
  <c r="AK630" i="3"/>
  <c r="AL630" i="3"/>
  <c r="K629" i="3"/>
  <c r="O629" i="3"/>
  <c r="AC629" i="3"/>
  <c r="P629" i="3" s="1"/>
  <c r="AD629" i="3"/>
  <c r="AE629" i="3"/>
  <c r="R629" i="3" s="1"/>
  <c r="AG629" i="3"/>
  <c r="AH629" i="3"/>
  <c r="AI629" i="3"/>
  <c r="AK629" i="3"/>
  <c r="AL629" i="3"/>
  <c r="K628" i="3"/>
  <c r="O628" i="3"/>
  <c r="AC628" i="3"/>
  <c r="P628" i="3" s="1"/>
  <c r="AD628" i="3"/>
  <c r="AE628" i="3"/>
  <c r="R628" i="3" s="1"/>
  <c r="AG628" i="3"/>
  <c r="AH628" i="3"/>
  <c r="AI628" i="3"/>
  <c r="AK628" i="3"/>
  <c r="AL628" i="3"/>
  <c r="K627" i="3"/>
  <c r="O627" i="3"/>
  <c r="AC627" i="3"/>
  <c r="P627" i="3" s="1"/>
  <c r="AD627" i="3"/>
  <c r="AE627" i="3"/>
  <c r="R627" i="3" s="1"/>
  <c r="AG627" i="3"/>
  <c r="AH627" i="3"/>
  <c r="AI627" i="3"/>
  <c r="AK627" i="3"/>
  <c r="AL627" i="3"/>
  <c r="K626" i="3"/>
  <c r="O626" i="3"/>
  <c r="AC626" i="3"/>
  <c r="P626" i="3" s="1"/>
  <c r="AD626" i="3"/>
  <c r="AE626" i="3"/>
  <c r="R626" i="3" s="1"/>
  <c r="AG626" i="3"/>
  <c r="AH626" i="3"/>
  <c r="AI626" i="3"/>
  <c r="AK626" i="3"/>
  <c r="AL626" i="3"/>
  <c r="K625" i="3"/>
  <c r="O625" i="3"/>
  <c r="AC625" i="3"/>
  <c r="P625" i="3" s="1"/>
  <c r="AD625" i="3"/>
  <c r="AE625" i="3"/>
  <c r="R625" i="3" s="1"/>
  <c r="AG625" i="3"/>
  <c r="AH625" i="3"/>
  <c r="AI625" i="3"/>
  <c r="AK625" i="3"/>
  <c r="AL625" i="3"/>
  <c r="K624" i="3"/>
  <c r="O624" i="3"/>
  <c r="AC624" i="3"/>
  <c r="P624" i="3" s="1"/>
  <c r="AD624" i="3"/>
  <c r="AE624" i="3"/>
  <c r="R624" i="3" s="1"/>
  <c r="AG624" i="3"/>
  <c r="AH624" i="3"/>
  <c r="AI624" i="3"/>
  <c r="AK624" i="3"/>
  <c r="AL624" i="3"/>
  <c r="K623" i="3"/>
  <c r="O623" i="3"/>
  <c r="AC623" i="3"/>
  <c r="P623" i="3" s="1"/>
  <c r="AD623" i="3"/>
  <c r="AE623" i="3"/>
  <c r="R623" i="3" s="1"/>
  <c r="AG623" i="3"/>
  <c r="AH623" i="3"/>
  <c r="AI623" i="3"/>
  <c r="AK623" i="3"/>
  <c r="AL623" i="3"/>
  <c r="K622" i="3"/>
  <c r="O622" i="3"/>
  <c r="AC622" i="3"/>
  <c r="P622" i="3" s="1"/>
  <c r="AD622" i="3"/>
  <c r="AE622" i="3"/>
  <c r="R622" i="3" s="1"/>
  <c r="AG622" i="3"/>
  <c r="AH622" i="3"/>
  <c r="AI622" i="3"/>
  <c r="AK622" i="3"/>
  <c r="AL622" i="3"/>
  <c r="K621" i="3"/>
  <c r="O621" i="3"/>
  <c r="AC621" i="3"/>
  <c r="P621" i="3" s="1"/>
  <c r="AD621" i="3"/>
  <c r="AE621" i="3"/>
  <c r="R621" i="3" s="1"/>
  <c r="AG621" i="3"/>
  <c r="AH621" i="3"/>
  <c r="AI621" i="3"/>
  <c r="AK621" i="3"/>
  <c r="AL621" i="3"/>
  <c r="K620" i="3"/>
  <c r="O620" i="3"/>
  <c r="AC620" i="3"/>
  <c r="P620" i="3" s="1"/>
  <c r="AD620" i="3"/>
  <c r="AE620" i="3"/>
  <c r="R620" i="3" s="1"/>
  <c r="AG620" i="3"/>
  <c r="AH620" i="3"/>
  <c r="AI620" i="3"/>
  <c r="AK620" i="3"/>
  <c r="AL620" i="3"/>
  <c r="K619" i="3"/>
  <c r="O619" i="3"/>
  <c r="AC619" i="3"/>
  <c r="P619" i="3" s="1"/>
  <c r="AD619" i="3"/>
  <c r="AE619" i="3"/>
  <c r="R619" i="3" s="1"/>
  <c r="AG619" i="3"/>
  <c r="AH619" i="3"/>
  <c r="AI619" i="3"/>
  <c r="AK619" i="3"/>
  <c r="AL619" i="3"/>
  <c r="K618" i="3"/>
  <c r="O618" i="3"/>
  <c r="AC618" i="3"/>
  <c r="P618" i="3" s="1"/>
  <c r="AD618" i="3"/>
  <c r="AE618" i="3"/>
  <c r="R618" i="3" s="1"/>
  <c r="AG618" i="3"/>
  <c r="AH618" i="3"/>
  <c r="AI618" i="3"/>
  <c r="AK618" i="3"/>
  <c r="AL618" i="3"/>
  <c r="K617" i="3"/>
  <c r="O617" i="3"/>
  <c r="AC617" i="3"/>
  <c r="P617" i="3" s="1"/>
  <c r="AD617" i="3"/>
  <c r="AE617" i="3"/>
  <c r="R617" i="3" s="1"/>
  <c r="AG617" i="3"/>
  <c r="AH617" i="3"/>
  <c r="AI617" i="3"/>
  <c r="AK617" i="3"/>
  <c r="AL617" i="3"/>
  <c r="K616" i="3"/>
  <c r="O616" i="3"/>
  <c r="AC616" i="3"/>
  <c r="P616" i="3" s="1"/>
  <c r="AD616" i="3"/>
  <c r="AE616" i="3"/>
  <c r="R616" i="3" s="1"/>
  <c r="AG616" i="3"/>
  <c r="AH616" i="3"/>
  <c r="AI616" i="3"/>
  <c r="AK616" i="3"/>
  <c r="AL616" i="3"/>
  <c r="K615" i="3"/>
  <c r="O615" i="3"/>
  <c r="AC615" i="3"/>
  <c r="P615" i="3" s="1"/>
  <c r="AD615" i="3"/>
  <c r="AE615" i="3"/>
  <c r="R615" i="3" s="1"/>
  <c r="AG615" i="3"/>
  <c r="AH615" i="3"/>
  <c r="AI615" i="3"/>
  <c r="AK615" i="3"/>
  <c r="AL615" i="3"/>
  <c r="K614" i="3"/>
  <c r="O614" i="3"/>
  <c r="AC614" i="3"/>
  <c r="P614" i="3" s="1"/>
  <c r="AD614" i="3"/>
  <c r="AE614" i="3"/>
  <c r="R614" i="3" s="1"/>
  <c r="AG614" i="3"/>
  <c r="AH614" i="3"/>
  <c r="AI614" i="3"/>
  <c r="AK614" i="3"/>
  <c r="AL614" i="3"/>
  <c r="K613" i="3"/>
  <c r="O613" i="3"/>
  <c r="AC613" i="3"/>
  <c r="P613" i="3" s="1"/>
  <c r="AD613" i="3"/>
  <c r="AE613" i="3"/>
  <c r="R613" i="3" s="1"/>
  <c r="AG613" i="3"/>
  <c r="AH613" i="3"/>
  <c r="AI613" i="3"/>
  <c r="AK613" i="3"/>
  <c r="AL613" i="3"/>
  <c r="K612" i="3"/>
  <c r="O612" i="3"/>
  <c r="AC612" i="3"/>
  <c r="P612" i="3" s="1"/>
  <c r="AD612" i="3"/>
  <c r="AE612" i="3"/>
  <c r="R612" i="3" s="1"/>
  <c r="AG612" i="3"/>
  <c r="AH612" i="3"/>
  <c r="AI612" i="3"/>
  <c r="AK612" i="3"/>
  <c r="AL612" i="3"/>
  <c r="K611" i="3"/>
  <c r="O611" i="3"/>
  <c r="AC611" i="3"/>
  <c r="P611" i="3" s="1"/>
  <c r="AD611" i="3"/>
  <c r="AE611" i="3"/>
  <c r="R611" i="3" s="1"/>
  <c r="AG611" i="3"/>
  <c r="AH611" i="3"/>
  <c r="AI611" i="3"/>
  <c r="AK611" i="3"/>
  <c r="AL611" i="3"/>
  <c r="K610" i="3"/>
  <c r="O610" i="3"/>
  <c r="AC610" i="3"/>
  <c r="P610" i="3" s="1"/>
  <c r="AD610" i="3"/>
  <c r="AE610" i="3"/>
  <c r="R610" i="3" s="1"/>
  <c r="AG610" i="3"/>
  <c r="AH610" i="3"/>
  <c r="AI610" i="3"/>
  <c r="AK610" i="3"/>
  <c r="AL610" i="3"/>
  <c r="K609" i="3"/>
  <c r="O609" i="3"/>
  <c r="AC609" i="3"/>
  <c r="P609" i="3" s="1"/>
  <c r="AD609" i="3"/>
  <c r="AE609" i="3"/>
  <c r="R609" i="3" s="1"/>
  <c r="AG609" i="3"/>
  <c r="AH609" i="3"/>
  <c r="AI609" i="3"/>
  <c r="AK609" i="3"/>
  <c r="AL609" i="3"/>
  <c r="K608" i="3"/>
  <c r="O608" i="3"/>
  <c r="AC608" i="3"/>
  <c r="P608" i="3" s="1"/>
  <c r="AD608" i="3"/>
  <c r="AE608" i="3"/>
  <c r="R608" i="3" s="1"/>
  <c r="AG608" i="3"/>
  <c r="AH608" i="3"/>
  <c r="AI608" i="3"/>
  <c r="AK608" i="3"/>
  <c r="AL608" i="3"/>
  <c r="K607" i="3"/>
  <c r="O607" i="3"/>
  <c r="AC607" i="3"/>
  <c r="P607" i="3" s="1"/>
  <c r="AD607" i="3"/>
  <c r="AE607" i="3"/>
  <c r="R607" i="3" s="1"/>
  <c r="AG607" i="3"/>
  <c r="AH607" i="3"/>
  <c r="AI607" i="3"/>
  <c r="AK607" i="3"/>
  <c r="AL607" i="3"/>
  <c r="K606" i="3"/>
  <c r="O606" i="3"/>
  <c r="AC606" i="3"/>
  <c r="P606" i="3" s="1"/>
  <c r="AD606" i="3"/>
  <c r="AE606" i="3"/>
  <c r="R606" i="3" s="1"/>
  <c r="AG606" i="3"/>
  <c r="AH606" i="3"/>
  <c r="AI606" i="3"/>
  <c r="AK606" i="3"/>
  <c r="AL606" i="3"/>
  <c r="K605" i="3"/>
  <c r="O605" i="3"/>
  <c r="AC605" i="3"/>
  <c r="P605" i="3" s="1"/>
  <c r="AD605" i="3"/>
  <c r="AE605" i="3"/>
  <c r="R605" i="3" s="1"/>
  <c r="AG605" i="3"/>
  <c r="AH605" i="3"/>
  <c r="AI605" i="3"/>
  <c r="AK605" i="3"/>
  <c r="AL605" i="3"/>
  <c r="K604" i="3"/>
  <c r="O604" i="3"/>
  <c r="AC604" i="3"/>
  <c r="P604" i="3" s="1"/>
  <c r="AD604" i="3"/>
  <c r="AE604" i="3"/>
  <c r="R604" i="3" s="1"/>
  <c r="AG604" i="3"/>
  <c r="AH604" i="3"/>
  <c r="AI604" i="3"/>
  <c r="AK604" i="3"/>
  <c r="AL604" i="3"/>
  <c r="K603" i="3"/>
  <c r="O603" i="3"/>
  <c r="AC603" i="3"/>
  <c r="P603" i="3" s="1"/>
  <c r="AD603" i="3"/>
  <c r="AE603" i="3"/>
  <c r="R603" i="3" s="1"/>
  <c r="AG603" i="3"/>
  <c r="AH603" i="3"/>
  <c r="AI603" i="3"/>
  <c r="AK603" i="3"/>
  <c r="AL603" i="3"/>
  <c r="K602" i="3"/>
  <c r="O602" i="3"/>
  <c r="AC602" i="3"/>
  <c r="P602" i="3" s="1"/>
  <c r="AD602" i="3"/>
  <c r="AE602" i="3"/>
  <c r="R602" i="3" s="1"/>
  <c r="AG602" i="3"/>
  <c r="AH602" i="3"/>
  <c r="AI602" i="3"/>
  <c r="AK602" i="3"/>
  <c r="AL602" i="3"/>
  <c r="E81" i="1"/>
  <c r="E82" i="1"/>
  <c r="AF642" i="3" s="1"/>
  <c r="E83" i="1"/>
  <c r="AF649" i="3" s="1"/>
  <c r="E84" i="1"/>
  <c r="E186" i="1"/>
  <c r="E35" i="1"/>
  <c r="E86" i="1"/>
  <c r="K601" i="3"/>
  <c r="O601" i="3"/>
  <c r="AC601" i="3"/>
  <c r="P601" i="3" s="1"/>
  <c r="AD601" i="3"/>
  <c r="AE601" i="3"/>
  <c r="R601" i="3" s="1"/>
  <c r="AG601" i="3"/>
  <c r="AH601" i="3"/>
  <c r="AI601" i="3"/>
  <c r="AK601" i="3"/>
  <c r="AL601" i="3"/>
  <c r="K600" i="3"/>
  <c r="O600" i="3"/>
  <c r="AC600" i="3"/>
  <c r="P600" i="3" s="1"/>
  <c r="AD600" i="3"/>
  <c r="AE600" i="3"/>
  <c r="R600" i="3" s="1"/>
  <c r="AG600" i="3"/>
  <c r="AH600" i="3"/>
  <c r="AI600" i="3"/>
  <c r="AK600" i="3"/>
  <c r="AL600" i="3"/>
  <c r="K599" i="3"/>
  <c r="O599" i="3"/>
  <c r="AC599" i="3"/>
  <c r="P599" i="3" s="1"/>
  <c r="AD599" i="3"/>
  <c r="AE599" i="3"/>
  <c r="R599" i="3" s="1"/>
  <c r="AG599" i="3"/>
  <c r="AH599" i="3"/>
  <c r="AI599" i="3"/>
  <c r="AK599" i="3"/>
  <c r="AL599" i="3"/>
  <c r="K598" i="3"/>
  <c r="O598" i="3"/>
  <c r="AC598" i="3"/>
  <c r="P598" i="3" s="1"/>
  <c r="AD598" i="3"/>
  <c r="AE598" i="3"/>
  <c r="R598" i="3" s="1"/>
  <c r="AG598" i="3"/>
  <c r="AH598" i="3"/>
  <c r="AI598" i="3"/>
  <c r="AK598" i="3"/>
  <c r="AL598" i="3"/>
  <c r="K597" i="3"/>
  <c r="O597" i="3"/>
  <c r="AC597" i="3"/>
  <c r="P597" i="3" s="1"/>
  <c r="AD597" i="3"/>
  <c r="AE597" i="3"/>
  <c r="R597" i="3" s="1"/>
  <c r="AG597" i="3"/>
  <c r="AH597" i="3"/>
  <c r="AI597" i="3"/>
  <c r="AK597" i="3"/>
  <c r="AL597" i="3"/>
  <c r="K596" i="3"/>
  <c r="O596" i="3"/>
  <c r="AC596" i="3"/>
  <c r="P596" i="3" s="1"/>
  <c r="AD596" i="3"/>
  <c r="AE596" i="3"/>
  <c r="R596" i="3" s="1"/>
  <c r="AG596" i="3"/>
  <c r="AH596" i="3"/>
  <c r="AI596" i="3"/>
  <c r="AK596" i="3"/>
  <c r="AL596" i="3"/>
  <c r="K595" i="3"/>
  <c r="O595" i="3"/>
  <c r="AC595" i="3"/>
  <c r="P595" i="3" s="1"/>
  <c r="AD595" i="3"/>
  <c r="AE595" i="3"/>
  <c r="R595" i="3" s="1"/>
  <c r="AG595" i="3"/>
  <c r="AH595" i="3"/>
  <c r="AI595" i="3"/>
  <c r="AK595" i="3"/>
  <c r="AL595" i="3"/>
  <c r="K594" i="3"/>
  <c r="O594" i="3"/>
  <c r="AC594" i="3"/>
  <c r="P594" i="3" s="1"/>
  <c r="AD594" i="3"/>
  <c r="AE594" i="3"/>
  <c r="R594" i="3" s="1"/>
  <c r="AG594" i="3"/>
  <c r="AH594" i="3"/>
  <c r="AI594" i="3"/>
  <c r="AK594" i="3"/>
  <c r="AL594" i="3"/>
  <c r="K593" i="3"/>
  <c r="O593" i="3"/>
  <c r="AC593" i="3"/>
  <c r="P593" i="3" s="1"/>
  <c r="AD593" i="3"/>
  <c r="AE593" i="3"/>
  <c r="R593" i="3" s="1"/>
  <c r="AG593" i="3"/>
  <c r="AH593" i="3"/>
  <c r="AI593" i="3"/>
  <c r="AK593" i="3"/>
  <c r="AL593" i="3"/>
  <c r="K592" i="3"/>
  <c r="O592" i="3"/>
  <c r="AC592" i="3"/>
  <c r="P592" i="3" s="1"/>
  <c r="AD592" i="3"/>
  <c r="AE592" i="3"/>
  <c r="R592" i="3" s="1"/>
  <c r="AG592" i="3"/>
  <c r="AH592" i="3"/>
  <c r="AI592" i="3"/>
  <c r="AK592" i="3"/>
  <c r="AL592" i="3"/>
  <c r="K591" i="3"/>
  <c r="O591" i="3"/>
  <c r="AC591" i="3"/>
  <c r="P591" i="3" s="1"/>
  <c r="AD591" i="3"/>
  <c r="AE591" i="3"/>
  <c r="R591" i="3" s="1"/>
  <c r="AG591" i="3"/>
  <c r="AH591" i="3"/>
  <c r="AI591" i="3"/>
  <c r="AK591" i="3"/>
  <c r="AL591" i="3"/>
  <c r="K590" i="3"/>
  <c r="O590" i="3"/>
  <c r="AC590" i="3"/>
  <c r="P590" i="3" s="1"/>
  <c r="AD590" i="3"/>
  <c r="AE590" i="3"/>
  <c r="R590" i="3" s="1"/>
  <c r="AG590" i="3"/>
  <c r="AH590" i="3"/>
  <c r="AI590" i="3"/>
  <c r="AK590" i="3"/>
  <c r="AL590" i="3"/>
  <c r="K589" i="3"/>
  <c r="O589" i="3"/>
  <c r="AC589" i="3"/>
  <c r="P589" i="3" s="1"/>
  <c r="AD589" i="3"/>
  <c r="AE589" i="3"/>
  <c r="R589" i="3" s="1"/>
  <c r="AG589" i="3"/>
  <c r="AH589" i="3"/>
  <c r="AI589" i="3"/>
  <c r="AK589" i="3"/>
  <c r="AL589" i="3"/>
  <c r="K588" i="3"/>
  <c r="O588" i="3"/>
  <c r="AC588" i="3"/>
  <c r="P588" i="3" s="1"/>
  <c r="AD588" i="3"/>
  <c r="AE588" i="3"/>
  <c r="R588" i="3" s="1"/>
  <c r="AG588" i="3"/>
  <c r="AH588" i="3"/>
  <c r="AI588" i="3"/>
  <c r="AK588" i="3"/>
  <c r="AL588" i="3"/>
  <c r="K587" i="3"/>
  <c r="O587" i="3"/>
  <c r="AC587" i="3"/>
  <c r="P587" i="3" s="1"/>
  <c r="AD587" i="3"/>
  <c r="AE587" i="3"/>
  <c r="R587" i="3" s="1"/>
  <c r="AG587" i="3"/>
  <c r="AH587" i="3"/>
  <c r="AI587" i="3"/>
  <c r="AK587" i="3"/>
  <c r="AL587" i="3"/>
  <c r="K586" i="3"/>
  <c r="O586" i="3"/>
  <c r="AC586" i="3"/>
  <c r="P586" i="3" s="1"/>
  <c r="AD586" i="3"/>
  <c r="AE586" i="3"/>
  <c r="R586" i="3" s="1"/>
  <c r="AG586" i="3"/>
  <c r="AH586" i="3"/>
  <c r="AI586" i="3"/>
  <c r="AK586" i="3"/>
  <c r="AL586" i="3"/>
  <c r="K585" i="3"/>
  <c r="O585" i="3"/>
  <c r="AC585" i="3"/>
  <c r="P585" i="3" s="1"/>
  <c r="AD585" i="3"/>
  <c r="AE585" i="3"/>
  <c r="R585" i="3" s="1"/>
  <c r="AG585" i="3"/>
  <c r="AH585" i="3"/>
  <c r="AI585" i="3"/>
  <c r="AK585" i="3"/>
  <c r="AL585" i="3"/>
  <c r="K584" i="3"/>
  <c r="O584" i="3"/>
  <c r="AC584" i="3"/>
  <c r="P584" i="3" s="1"/>
  <c r="AD584" i="3"/>
  <c r="AE584" i="3"/>
  <c r="R584" i="3" s="1"/>
  <c r="AG584" i="3"/>
  <c r="AH584" i="3"/>
  <c r="AI584" i="3"/>
  <c r="AK584" i="3"/>
  <c r="AL584" i="3"/>
  <c r="K583" i="3"/>
  <c r="O583" i="3"/>
  <c r="AC583" i="3"/>
  <c r="P583" i="3" s="1"/>
  <c r="AD583" i="3"/>
  <c r="AE583" i="3"/>
  <c r="R583" i="3" s="1"/>
  <c r="AG583" i="3"/>
  <c r="AH583" i="3"/>
  <c r="AI583" i="3"/>
  <c r="AK583" i="3"/>
  <c r="AL583" i="3"/>
  <c r="K582" i="3"/>
  <c r="O582" i="3"/>
  <c r="AC582" i="3"/>
  <c r="P582" i="3" s="1"/>
  <c r="AD582" i="3"/>
  <c r="AE582" i="3"/>
  <c r="R582" i="3" s="1"/>
  <c r="AG582" i="3"/>
  <c r="AH582" i="3"/>
  <c r="AI582" i="3"/>
  <c r="AK582" i="3"/>
  <c r="AL582" i="3"/>
  <c r="K581" i="3"/>
  <c r="O581" i="3"/>
  <c r="AC581" i="3"/>
  <c r="P581" i="3" s="1"/>
  <c r="AD581" i="3"/>
  <c r="AE581" i="3"/>
  <c r="R581" i="3" s="1"/>
  <c r="AG581" i="3"/>
  <c r="AH581" i="3"/>
  <c r="AI581" i="3"/>
  <c r="AK581" i="3"/>
  <c r="AL581" i="3"/>
  <c r="K580" i="3"/>
  <c r="O580" i="3"/>
  <c r="AC580" i="3"/>
  <c r="P580" i="3" s="1"/>
  <c r="AD580" i="3"/>
  <c r="AE580" i="3"/>
  <c r="R580" i="3" s="1"/>
  <c r="AG580" i="3"/>
  <c r="AH580" i="3"/>
  <c r="AI580" i="3"/>
  <c r="AK580" i="3"/>
  <c r="AL580" i="3"/>
  <c r="K579" i="3"/>
  <c r="O579" i="3"/>
  <c r="AC579" i="3"/>
  <c r="P579" i="3" s="1"/>
  <c r="AD579" i="3"/>
  <c r="AE579" i="3"/>
  <c r="R579" i="3" s="1"/>
  <c r="AG579" i="3"/>
  <c r="AH579" i="3"/>
  <c r="AI579" i="3"/>
  <c r="AK579" i="3"/>
  <c r="AL579" i="3"/>
  <c r="K578" i="3"/>
  <c r="O578" i="3"/>
  <c r="AC578" i="3"/>
  <c r="P578" i="3" s="1"/>
  <c r="AD578" i="3"/>
  <c r="AE578" i="3"/>
  <c r="R578" i="3" s="1"/>
  <c r="AG578" i="3"/>
  <c r="AH578" i="3"/>
  <c r="AI578" i="3"/>
  <c r="AK578" i="3"/>
  <c r="AL578" i="3"/>
  <c r="K577" i="3"/>
  <c r="O577" i="3"/>
  <c r="AC577" i="3"/>
  <c r="P577" i="3" s="1"/>
  <c r="AD577" i="3"/>
  <c r="AE577" i="3"/>
  <c r="R577" i="3" s="1"/>
  <c r="AG577" i="3"/>
  <c r="AH577" i="3"/>
  <c r="AI577" i="3"/>
  <c r="AK577" i="3"/>
  <c r="AL577" i="3"/>
  <c r="K576" i="3"/>
  <c r="O576" i="3"/>
  <c r="AC576" i="3"/>
  <c r="P576" i="3" s="1"/>
  <c r="AD576" i="3"/>
  <c r="AE576" i="3"/>
  <c r="R576" i="3" s="1"/>
  <c r="AG576" i="3"/>
  <c r="AH576" i="3"/>
  <c r="AI576" i="3"/>
  <c r="AK576" i="3"/>
  <c r="AL576" i="3"/>
  <c r="K575" i="3"/>
  <c r="O575" i="3"/>
  <c r="AC575" i="3"/>
  <c r="P575" i="3" s="1"/>
  <c r="AD575" i="3"/>
  <c r="AE575" i="3"/>
  <c r="R575" i="3" s="1"/>
  <c r="AG575" i="3"/>
  <c r="AH575" i="3"/>
  <c r="AI575" i="3"/>
  <c r="AK575" i="3"/>
  <c r="AL575" i="3"/>
  <c r="K574" i="3"/>
  <c r="O574" i="3"/>
  <c r="AC574" i="3"/>
  <c r="P574" i="3" s="1"/>
  <c r="AD574" i="3"/>
  <c r="AE574" i="3"/>
  <c r="R574" i="3" s="1"/>
  <c r="AG574" i="3"/>
  <c r="AH574" i="3"/>
  <c r="AI574" i="3"/>
  <c r="AK574" i="3"/>
  <c r="AL574" i="3"/>
  <c r="K573" i="3"/>
  <c r="O573" i="3"/>
  <c r="AC573" i="3"/>
  <c r="P573" i="3" s="1"/>
  <c r="AD573" i="3"/>
  <c r="AE573" i="3"/>
  <c r="R573" i="3" s="1"/>
  <c r="AG573" i="3"/>
  <c r="AH573" i="3"/>
  <c r="AI573" i="3"/>
  <c r="AK573" i="3"/>
  <c r="AL573" i="3"/>
  <c r="K572" i="3"/>
  <c r="O572" i="3"/>
  <c r="AC572" i="3"/>
  <c r="P572" i="3" s="1"/>
  <c r="AD572" i="3"/>
  <c r="AE572" i="3"/>
  <c r="R572" i="3" s="1"/>
  <c r="AG572" i="3"/>
  <c r="AH572" i="3"/>
  <c r="AI572" i="3"/>
  <c r="AK572" i="3"/>
  <c r="AL572" i="3"/>
  <c r="K571" i="3"/>
  <c r="O571" i="3"/>
  <c r="AC571" i="3"/>
  <c r="P571" i="3" s="1"/>
  <c r="AD571" i="3"/>
  <c r="AE571" i="3"/>
  <c r="R571" i="3" s="1"/>
  <c r="AG571" i="3"/>
  <c r="AH571" i="3"/>
  <c r="AI571" i="3"/>
  <c r="AK571" i="3"/>
  <c r="AL571" i="3"/>
  <c r="K570" i="3"/>
  <c r="O570" i="3"/>
  <c r="AC570" i="3"/>
  <c r="P570" i="3" s="1"/>
  <c r="AD570" i="3"/>
  <c r="AE570" i="3"/>
  <c r="R570" i="3" s="1"/>
  <c r="AG570" i="3"/>
  <c r="AH570" i="3"/>
  <c r="AI570" i="3"/>
  <c r="AK570" i="3"/>
  <c r="AL570" i="3"/>
  <c r="K569" i="3"/>
  <c r="O569" i="3"/>
  <c r="AC569" i="3"/>
  <c r="P569" i="3" s="1"/>
  <c r="AD569" i="3"/>
  <c r="AE569" i="3"/>
  <c r="R569" i="3" s="1"/>
  <c r="AG569" i="3"/>
  <c r="AH569" i="3"/>
  <c r="AI569" i="3"/>
  <c r="AK569" i="3"/>
  <c r="AL569" i="3"/>
  <c r="K568" i="3"/>
  <c r="O568" i="3"/>
  <c r="AC568" i="3"/>
  <c r="P568" i="3" s="1"/>
  <c r="AD568" i="3"/>
  <c r="AE568" i="3"/>
  <c r="R568" i="3" s="1"/>
  <c r="AG568" i="3"/>
  <c r="AH568" i="3"/>
  <c r="AI568" i="3"/>
  <c r="AK568" i="3"/>
  <c r="AL568" i="3"/>
  <c r="K567" i="3"/>
  <c r="O567" i="3"/>
  <c r="AC567" i="3"/>
  <c r="P567" i="3" s="1"/>
  <c r="AD567" i="3"/>
  <c r="AE567" i="3"/>
  <c r="R567" i="3" s="1"/>
  <c r="AG567" i="3"/>
  <c r="AH567" i="3"/>
  <c r="AI567" i="3"/>
  <c r="AK567" i="3"/>
  <c r="AL567" i="3"/>
  <c r="K566" i="3"/>
  <c r="O566" i="3"/>
  <c r="AC566" i="3"/>
  <c r="P566" i="3" s="1"/>
  <c r="AD566" i="3"/>
  <c r="AE566" i="3"/>
  <c r="R566" i="3" s="1"/>
  <c r="AG566" i="3"/>
  <c r="AH566" i="3"/>
  <c r="AI566" i="3"/>
  <c r="AK566" i="3"/>
  <c r="AL566" i="3"/>
  <c r="K565" i="3"/>
  <c r="O565" i="3"/>
  <c r="AC565" i="3"/>
  <c r="P565" i="3" s="1"/>
  <c r="AD565" i="3"/>
  <c r="AE565" i="3"/>
  <c r="R565" i="3" s="1"/>
  <c r="AG565" i="3"/>
  <c r="AH565" i="3"/>
  <c r="AI565" i="3"/>
  <c r="AK565" i="3"/>
  <c r="AL565" i="3"/>
  <c r="K564" i="3"/>
  <c r="O564" i="3"/>
  <c r="AC564" i="3"/>
  <c r="P564" i="3" s="1"/>
  <c r="AD564" i="3"/>
  <c r="AE564" i="3"/>
  <c r="R564" i="3" s="1"/>
  <c r="AG564" i="3"/>
  <c r="AH564" i="3"/>
  <c r="AI564" i="3"/>
  <c r="AK564" i="3"/>
  <c r="AL564" i="3"/>
  <c r="K563" i="3"/>
  <c r="O563" i="3"/>
  <c r="AC563" i="3"/>
  <c r="P563" i="3" s="1"/>
  <c r="AD563" i="3"/>
  <c r="AE563" i="3"/>
  <c r="R563" i="3" s="1"/>
  <c r="AG563" i="3"/>
  <c r="AH563" i="3"/>
  <c r="AI563" i="3"/>
  <c r="AK563" i="3"/>
  <c r="AL563" i="3"/>
  <c r="K562" i="3"/>
  <c r="O562" i="3"/>
  <c r="AC562" i="3"/>
  <c r="P562" i="3" s="1"/>
  <c r="AD562" i="3"/>
  <c r="AE562" i="3"/>
  <c r="R562" i="3" s="1"/>
  <c r="AG562" i="3"/>
  <c r="AH562" i="3"/>
  <c r="AI562" i="3"/>
  <c r="AK562" i="3"/>
  <c r="AL562" i="3"/>
  <c r="K561" i="3"/>
  <c r="O561" i="3"/>
  <c r="AC561" i="3"/>
  <c r="P561" i="3" s="1"/>
  <c r="AD561" i="3"/>
  <c r="AE561" i="3"/>
  <c r="R561" i="3" s="1"/>
  <c r="AG561" i="3"/>
  <c r="AH561" i="3"/>
  <c r="AI561" i="3"/>
  <c r="AK561" i="3"/>
  <c r="AL561" i="3"/>
  <c r="K560" i="3"/>
  <c r="O560" i="3"/>
  <c r="AC560" i="3"/>
  <c r="P560" i="3" s="1"/>
  <c r="AD560" i="3"/>
  <c r="AE560" i="3"/>
  <c r="R560" i="3" s="1"/>
  <c r="AG560" i="3"/>
  <c r="AH560" i="3"/>
  <c r="AI560" i="3"/>
  <c r="AK560" i="3"/>
  <c r="AL560" i="3"/>
  <c r="K559" i="3"/>
  <c r="O559" i="3"/>
  <c r="AC559" i="3"/>
  <c r="P559" i="3" s="1"/>
  <c r="AD559" i="3"/>
  <c r="AE559" i="3"/>
  <c r="R559" i="3" s="1"/>
  <c r="AG559" i="3"/>
  <c r="AH559" i="3"/>
  <c r="AI559" i="3"/>
  <c r="AK559" i="3"/>
  <c r="AL559" i="3"/>
  <c r="K558" i="3"/>
  <c r="O558" i="3"/>
  <c r="AC558" i="3"/>
  <c r="P558" i="3" s="1"/>
  <c r="AD558" i="3"/>
  <c r="AE558" i="3"/>
  <c r="R558" i="3" s="1"/>
  <c r="AG558" i="3"/>
  <c r="AH558" i="3"/>
  <c r="AI558" i="3"/>
  <c r="AK558" i="3"/>
  <c r="AL558" i="3"/>
  <c r="K557" i="3"/>
  <c r="O557" i="3"/>
  <c r="AC557" i="3"/>
  <c r="P557" i="3" s="1"/>
  <c r="AD557" i="3"/>
  <c r="AE557" i="3"/>
  <c r="R557" i="3" s="1"/>
  <c r="AG557" i="3"/>
  <c r="AH557" i="3"/>
  <c r="AI557" i="3"/>
  <c r="AK557" i="3"/>
  <c r="AL557" i="3"/>
  <c r="K556" i="3"/>
  <c r="O556" i="3"/>
  <c r="AC556" i="3"/>
  <c r="P556" i="3" s="1"/>
  <c r="AD556" i="3"/>
  <c r="AE556" i="3"/>
  <c r="R556" i="3" s="1"/>
  <c r="AG556" i="3"/>
  <c r="AH556" i="3"/>
  <c r="AI556" i="3"/>
  <c r="AK556" i="3"/>
  <c r="AL556" i="3"/>
  <c r="K555" i="3"/>
  <c r="O555" i="3"/>
  <c r="AC555" i="3"/>
  <c r="P555" i="3" s="1"/>
  <c r="AD555" i="3"/>
  <c r="AE555" i="3"/>
  <c r="R555" i="3" s="1"/>
  <c r="AG555" i="3"/>
  <c r="AH555" i="3"/>
  <c r="AI555" i="3"/>
  <c r="AK555" i="3"/>
  <c r="AL555" i="3"/>
  <c r="K554" i="3"/>
  <c r="O554" i="3"/>
  <c r="AC554" i="3"/>
  <c r="P554" i="3" s="1"/>
  <c r="AD554" i="3"/>
  <c r="AE554" i="3"/>
  <c r="R554" i="3" s="1"/>
  <c r="AG554" i="3"/>
  <c r="AH554" i="3"/>
  <c r="AI554" i="3"/>
  <c r="AK554" i="3"/>
  <c r="AL554" i="3"/>
  <c r="K553" i="3"/>
  <c r="O553" i="3"/>
  <c r="AC553" i="3"/>
  <c r="P553" i="3" s="1"/>
  <c r="AD553" i="3"/>
  <c r="AE553" i="3"/>
  <c r="R553" i="3" s="1"/>
  <c r="AG553" i="3"/>
  <c r="AH553" i="3"/>
  <c r="AI553" i="3"/>
  <c r="AK553" i="3"/>
  <c r="AL553" i="3"/>
  <c r="K552" i="3"/>
  <c r="O552" i="3"/>
  <c r="AC552" i="3"/>
  <c r="P552" i="3" s="1"/>
  <c r="AD552" i="3"/>
  <c r="AE552" i="3"/>
  <c r="R552" i="3" s="1"/>
  <c r="AG552" i="3"/>
  <c r="AH552" i="3"/>
  <c r="AI552" i="3"/>
  <c r="AK552" i="3"/>
  <c r="AL552" i="3"/>
  <c r="K551" i="3"/>
  <c r="O551" i="3"/>
  <c r="AC551" i="3"/>
  <c r="P551" i="3" s="1"/>
  <c r="AD551" i="3"/>
  <c r="AE551" i="3"/>
  <c r="R551" i="3" s="1"/>
  <c r="AG551" i="3"/>
  <c r="AH551" i="3"/>
  <c r="AI551" i="3"/>
  <c r="AK551" i="3"/>
  <c r="AL551" i="3"/>
  <c r="K550" i="3"/>
  <c r="O550" i="3"/>
  <c r="AC550" i="3"/>
  <c r="P550" i="3" s="1"/>
  <c r="AD550" i="3"/>
  <c r="AE550" i="3"/>
  <c r="R550" i="3" s="1"/>
  <c r="AG550" i="3"/>
  <c r="AH550" i="3"/>
  <c r="AI550" i="3"/>
  <c r="AK550" i="3"/>
  <c r="AL550" i="3"/>
  <c r="K549" i="3"/>
  <c r="O549" i="3"/>
  <c r="AC549" i="3"/>
  <c r="P549" i="3" s="1"/>
  <c r="AD549" i="3"/>
  <c r="AE549" i="3"/>
  <c r="R549" i="3" s="1"/>
  <c r="AG549" i="3"/>
  <c r="AH549" i="3"/>
  <c r="AI549" i="3"/>
  <c r="AK549" i="3"/>
  <c r="AL549" i="3"/>
  <c r="K548" i="3"/>
  <c r="O548" i="3"/>
  <c r="AC548" i="3"/>
  <c r="P548" i="3" s="1"/>
  <c r="AD548" i="3"/>
  <c r="AE548" i="3"/>
  <c r="R548" i="3" s="1"/>
  <c r="AG548" i="3"/>
  <c r="AH548" i="3"/>
  <c r="AI548" i="3"/>
  <c r="AK548" i="3"/>
  <c r="AL548" i="3"/>
  <c r="K547" i="3"/>
  <c r="O547" i="3"/>
  <c r="AC547" i="3"/>
  <c r="P547" i="3" s="1"/>
  <c r="AD547" i="3"/>
  <c r="AE547" i="3"/>
  <c r="R547" i="3" s="1"/>
  <c r="AG547" i="3"/>
  <c r="AH547" i="3"/>
  <c r="AI547" i="3"/>
  <c r="AK547" i="3"/>
  <c r="AL547" i="3"/>
  <c r="K546" i="3"/>
  <c r="O546" i="3"/>
  <c r="AC546" i="3"/>
  <c r="P546" i="3" s="1"/>
  <c r="AD546" i="3"/>
  <c r="AE546" i="3"/>
  <c r="R546" i="3" s="1"/>
  <c r="AG546" i="3"/>
  <c r="AH546" i="3"/>
  <c r="AI546" i="3"/>
  <c r="AK546" i="3"/>
  <c r="AL546" i="3"/>
  <c r="K545" i="3"/>
  <c r="O545" i="3"/>
  <c r="AC545" i="3"/>
  <c r="P545" i="3" s="1"/>
  <c r="AD545" i="3"/>
  <c r="AE545" i="3"/>
  <c r="R545" i="3" s="1"/>
  <c r="AG545" i="3"/>
  <c r="AH545" i="3"/>
  <c r="AI545" i="3"/>
  <c r="AK545" i="3"/>
  <c r="AL545" i="3"/>
  <c r="K544" i="3"/>
  <c r="O544" i="3"/>
  <c r="AC544" i="3"/>
  <c r="P544" i="3" s="1"/>
  <c r="AD544" i="3"/>
  <c r="AE544" i="3"/>
  <c r="R544" i="3" s="1"/>
  <c r="AG544" i="3"/>
  <c r="AH544" i="3"/>
  <c r="AI544" i="3"/>
  <c r="AK544" i="3"/>
  <c r="AL544" i="3"/>
  <c r="K543" i="3"/>
  <c r="O543" i="3"/>
  <c r="AC543" i="3"/>
  <c r="P543" i="3" s="1"/>
  <c r="AD543" i="3"/>
  <c r="AE543" i="3"/>
  <c r="R543" i="3" s="1"/>
  <c r="AG543" i="3"/>
  <c r="AH543" i="3"/>
  <c r="AI543" i="3"/>
  <c r="AK543" i="3"/>
  <c r="AL543" i="3"/>
  <c r="K542" i="3"/>
  <c r="O542" i="3"/>
  <c r="AC542" i="3"/>
  <c r="P542" i="3" s="1"/>
  <c r="AD542" i="3"/>
  <c r="AE542" i="3"/>
  <c r="R542" i="3" s="1"/>
  <c r="AG542" i="3"/>
  <c r="AH542" i="3"/>
  <c r="AI542" i="3"/>
  <c r="AK542" i="3"/>
  <c r="AL542" i="3"/>
  <c r="K541" i="3"/>
  <c r="O541" i="3"/>
  <c r="AC541" i="3"/>
  <c r="P541" i="3" s="1"/>
  <c r="AD541" i="3"/>
  <c r="AE541" i="3"/>
  <c r="R541" i="3" s="1"/>
  <c r="AG541" i="3"/>
  <c r="AH541" i="3"/>
  <c r="AI541" i="3"/>
  <c r="AK541" i="3"/>
  <c r="AL541" i="3"/>
  <c r="K540" i="3"/>
  <c r="O540" i="3"/>
  <c r="AC540" i="3"/>
  <c r="P540" i="3" s="1"/>
  <c r="AD540" i="3"/>
  <c r="AE540" i="3"/>
  <c r="R540" i="3" s="1"/>
  <c r="AG540" i="3"/>
  <c r="AH540" i="3"/>
  <c r="AI540" i="3"/>
  <c r="AK540" i="3"/>
  <c r="AL540" i="3"/>
  <c r="K539" i="3"/>
  <c r="O539" i="3"/>
  <c r="AC539" i="3"/>
  <c r="P539" i="3" s="1"/>
  <c r="AD539" i="3"/>
  <c r="AE539" i="3"/>
  <c r="R539" i="3" s="1"/>
  <c r="AG539" i="3"/>
  <c r="AH539" i="3"/>
  <c r="AI539" i="3"/>
  <c r="AK539" i="3"/>
  <c r="AL539" i="3"/>
  <c r="K538" i="3"/>
  <c r="O538" i="3"/>
  <c r="AC538" i="3"/>
  <c r="P538" i="3" s="1"/>
  <c r="AD538" i="3"/>
  <c r="AE538" i="3"/>
  <c r="R538" i="3" s="1"/>
  <c r="AG538" i="3"/>
  <c r="AH538" i="3"/>
  <c r="AI538" i="3"/>
  <c r="AK538" i="3"/>
  <c r="AL538" i="3"/>
  <c r="K537" i="3"/>
  <c r="O537" i="3"/>
  <c r="AC537" i="3"/>
  <c r="P537" i="3" s="1"/>
  <c r="AD537" i="3"/>
  <c r="AE537" i="3"/>
  <c r="R537" i="3" s="1"/>
  <c r="AG537" i="3"/>
  <c r="AH537" i="3"/>
  <c r="AI537" i="3"/>
  <c r="AK537" i="3"/>
  <c r="AL537" i="3"/>
  <c r="K536" i="3"/>
  <c r="O536" i="3"/>
  <c r="AC536" i="3"/>
  <c r="P536" i="3" s="1"/>
  <c r="AD536" i="3"/>
  <c r="AE536" i="3"/>
  <c r="R536" i="3" s="1"/>
  <c r="AG536" i="3"/>
  <c r="AH536" i="3"/>
  <c r="AI536" i="3"/>
  <c r="AK536" i="3"/>
  <c r="AL536" i="3"/>
  <c r="K535" i="3"/>
  <c r="O535" i="3"/>
  <c r="AC535" i="3"/>
  <c r="P535" i="3" s="1"/>
  <c r="AD535" i="3"/>
  <c r="AE535" i="3"/>
  <c r="R535" i="3" s="1"/>
  <c r="AG535" i="3"/>
  <c r="AH535" i="3"/>
  <c r="AI535" i="3"/>
  <c r="AK535" i="3"/>
  <c r="AL535" i="3"/>
  <c r="K534" i="3"/>
  <c r="O534" i="3"/>
  <c r="AC534" i="3"/>
  <c r="P534" i="3" s="1"/>
  <c r="AD534" i="3"/>
  <c r="AE534" i="3"/>
  <c r="R534" i="3" s="1"/>
  <c r="AG534" i="3"/>
  <c r="AH534" i="3"/>
  <c r="AI534" i="3"/>
  <c r="AK534" i="3"/>
  <c r="AL534" i="3"/>
  <c r="K533" i="3"/>
  <c r="O533" i="3"/>
  <c r="AC533" i="3"/>
  <c r="P533" i="3" s="1"/>
  <c r="AD533" i="3"/>
  <c r="AE533" i="3"/>
  <c r="R533" i="3" s="1"/>
  <c r="AG533" i="3"/>
  <c r="AH533" i="3"/>
  <c r="AI533" i="3"/>
  <c r="AK533" i="3"/>
  <c r="AL533" i="3"/>
  <c r="K532" i="3"/>
  <c r="O532" i="3"/>
  <c r="AC532" i="3"/>
  <c r="P532" i="3" s="1"/>
  <c r="AD532" i="3"/>
  <c r="AE532" i="3"/>
  <c r="R532" i="3" s="1"/>
  <c r="AG532" i="3"/>
  <c r="AH532" i="3"/>
  <c r="AI532" i="3"/>
  <c r="AK532" i="3"/>
  <c r="AL532" i="3"/>
  <c r="K531" i="3"/>
  <c r="O531" i="3"/>
  <c r="AC531" i="3"/>
  <c r="P531" i="3" s="1"/>
  <c r="AD531" i="3"/>
  <c r="AE531" i="3"/>
  <c r="R531" i="3" s="1"/>
  <c r="AG531" i="3"/>
  <c r="AH531" i="3"/>
  <c r="AI531" i="3"/>
  <c r="AK531" i="3"/>
  <c r="AL531" i="3"/>
  <c r="K530" i="3"/>
  <c r="O530" i="3"/>
  <c r="AC530" i="3"/>
  <c r="P530" i="3" s="1"/>
  <c r="AD530" i="3"/>
  <c r="AE530" i="3"/>
  <c r="R530" i="3" s="1"/>
  <c r="AG530" i="3"/>
  <c r="AH530" i="3"/>
  <c r="AI530" i="3"/>
  <c r="AK530" i="3"/>
  <c r="AL530" i="3"/>
  <c r="E73" i="1"/>
  <c r="AF1374" i="3" s="1"/>
  <c r="E78" i="1"/>
  <c r="AF531" i="3" s="1"/>
  <c r="E79" i="1"/>
  <c r="AF533" i="3" s="1"/>
  <c r="E184" i="1"/>
  <c r="E104" i="1"/>
  <c r="AF551" i="3" s="1"/>
  <c r="E58" i="1"/>
  <c r="E80" i="1"/>
  <c r="K529" i="3"/>
  <c r="O529" i="3"/>
  <c r="AC529" i="3"/>
  <c r="P529" i="3" s="1"/>
  <c r="AD529" i="3"/>
  <c r="AE529" i="3"/>
  <c r="R529" i="3" s="1"/>
  <c r="AF529" i="3"/>
  <c r="AG529" i="3"/>
  <c r="AH529" i="3"/>
  <c r="AI529" i="3"/>
  <c r="AK529" i="3"/>
  <c r="AL529" i="3"/>
  <c r="K528" i="3"/>
  <c r="O528" i="3"/>
  <c r="AC528" i="3"/>
  <c r="P528" i="3" s="1"/>
  <c r="AD528" i="3"/>
  <c r="AE528" i="3"/>
  <c r="R528" i="3" s="1"/>
  <c r="AG528" i="3"/>
  <c r="AH528" i="3"/>
  <c r="AI528" i="3"/>
  <c r="AK528" i="3"/>
  <c r="AL528" i="3"/>
  <c r="K527" i="3"/>
  <c r="O527" i="3"/>
  <c r="AC527" i="3"/>
  <c r="P527" i="3" s="1"/>
  <c r="AD527" i="3"/>
  <c r="AE527" i="3"/>
  <c r="R527" i="3" s="1"/>
  <c r="AG527" i="3"/>
  <c r="AH527" i="3"/>
  <c r="AI527" i="3"/>
  <c r="AK527" i="3"/>
  <c r="AL527" i="3"/>
  <c r="K526" i="3"/>
  <c r="O526" i="3"/>
  <c r="AC526" i="3"/>
  <c r="P526" i="3" s="1"/>
  <c r="AD526" i="3"/>
  <c r="AE526" i="3"/>
  <c r="R526" i="3" s="1"/>
  <c r="AG526" i="3"/>
  <c r="AH526" i="3"/>
  <c r="AI526" i="3"/>
  <c r="AK526" i="3"/>
  <c r="AL526" i="3"/>
  <c r="K525" i="3"/>
  <c r="O525" i="3"/>
  <c r="AC525" i="3"/>
  <c r="P525" i="3" s="1"/>
  <c r="AD525" i="3"/>
  <c r="AE525" i="3"/>
  <c r="R525" i="3" s="1"/>
  <c r="AG525" i="3"/>
  <c r="AH525" i="3"/>
  <c r="AI525" i="3"/>
  <c r="AK525" i="3"/>
  <c r="AL525" i="3"/>
  <c r="K524" i="3"/>
  <c r="O524" i="3"/>
  <c r="AC524" i="3"/>
  <c r="P524" i="3" s="1"/>
  <c r="AD524" i="3"/>
  <c r="AE524" i="3"/>
  <c r="R524" i="3" s="1"/>
  <c r="AG524" i="3"/>
  <c r="AH524" i="3"/>
  <c r="AI524" i="3"/>
  <c r="AK524" i="3"/>
  <c r="AL524" i="3"/>
  <c r="K523" i="3"/>
  <c r="O523" i="3"/>
  <c r="AC523" i="3"/>
  <c r="P523" i="3" s="1"/>
  <c r="AD523" i="3"/>
  <c r="AE523" i="3"/>
  <c r="R523" i="3" s="1"/>
  <c r="AG523" i="3"/>
  <c r="AH523" i="3"/>
  <c r="AI523" i="3"/>
  <c r="AK523" i="3"/>
  <c r="AL523" i="3"/>
  <c r="K522" i="3"/>
  <c r="O522" i="3"/>
  <c r="AC522" i="3"/>
  <c r="P522" i="3" s="1"/>
  <c r="AD522" i="3"/>
  <c r="AE522" i="3"/>
  <c r="R522" i="3" s="1"/>
  <c r="AG522" i="3"/>
  <c r="AH522" i="3"/>
  <c r="AI522" i="3"/>
  <c r="AK522" i="3"/>
  <c r="AL522" i="3"/>
  <c r="K521" i="3"/>
  <c r="O521" i="3"/>
  <c r="AC521" i="3"/>
  <c r="P521" i="3" s="1"/>
  <c r="AD521" i="3"/>
  <c r="AE521" i="3"/>
  <c r="R521" i="3" s="1"/>
  <c r="AG521" i="3"/>
  <c r="AH521" i="3"/>
  <c r="AI521" i="3"/>
  <c r="AK521" i="3"/>
  <c r="AL521" i="3"/>
  <c r="K520" i="3"/>
  <c r="O520" i="3"/>
  <c r="AC520" i="3"/>
  <c r="P520" i="3" s="1"/>
  <c r="AD520" i="3"/>
  <c r="AE520" i="3"/>
  <c r="R520" i="3" s="1"/>
  <c r="AG520" i="3"/>
  <c r="AH520" i="3"/>
  <c r="AI520" i="3"/>
  <c r="AK520" i="3"/>
  <c r="AL520" i="3"/>
  <c r="K519" i="3"/>
  <c r="O519" i="3"/>
  <c r="AC519" i="3"/>
  <c r="P519" i="3" s="1"/>
  <c r="AD519" i="3"/>
  <c r="AE519" i="3"/>
  <c r="R519" i="3" s="1"/>
  <c r="AG519" i="3"/>
  <c r="AH519" i="3"/>
  <c r="AI519" i="3"/>
  <c r="AK519" i="3"/>
  <c r="AL519" i="3"/>
  <c r="K518" i="3"/>
  <c r="O518" i="3"/>
  <c r="AC518" i="3"/>
  <c r="P518" i="3" s="1"/>
  <c r="AD518" i="3"/>
  <c r="AE518" i="3"/>
  <c r="R518" i="3" s="1"/>
  <c r="AG518" i="3"/>
  <c r="AH518" i="3"/>
  <c r="AI518" i="3"/>
  <c r="AK518" i="3"/>
  <c r="AL518" i="3"/>
  <c r="K517" i="3"/>
  <c r="O517" i="3"/>
  <c r="AC517" i="3"/>
  <c r="P517" i="3" s="1"/>
  <c r="AD517" i="3"/>
  <c r="AE517" i="3"/>
  <c r="R517" i="3" s="1"/>
  <c r="AG517" i="3"/>
  <c r="AH517" i="3"/>
  <c r="AI517" i="3"/>
  <c r="AK517" i="3"/>
  <c r="AL517" i="3"/>
  <c r="D16" i="14"/>
  <c r="D17" i="14"/>
  <c r="K516" i="3"/>
  <c r="O516" i="3"/>
  <c r="AC516" i="3"/>
  <c r="P516" i="3" s="1"/>
  <c r="AD516" i="3"/>
  <c r="AE516" i="3"/>
  <c r="R516" i="3" s="1"/>
  <c r="AG516" i="3"/>
  <c r="AH516" i="3"/>
  <c r="AI516" i="3"/>
  <c r="AK516" i="3"/>
  <c r="AL516" i="3"/>
  <c r="K515" i="3"/>
  <c r="O515" i="3"/>
  <c r="AC515" i="3"/>
  <c r="P515" i="3" s="1"/>
  <c r="AD515" i="3"/>
  <c r="AE515" i="3"/>
  <c r="R515" i="3" s="1"/>
  <c r="AG515" i="3"/>
  <c r="AH515" i="3"/>
  <c r="AI515" i="3"/>
  <c r="AK515" i="3"/>
  <c r="AL515" i="3"/>
  <c r="K514" i="3"/>
  <c r="O514" i="3"/>
  <c r="AC514" i="3"/>
  <c r="P514" i="3" s="1"/>
  <c r="AD514" i="3"/>
  <c r="AE514" i="3"/>
  <c r="R514" i="3" s="1"/>
  <c r="AG514" i="3"/>
  <c r="AH514" i="3"/>
  <c r="AI514" i="3"/>
  <c r="AK514" i="3"/>
  <c r="AL514" i="3"/>
  <c r="K513" i="3"/>
  <c r="O513" i="3"/>
  <c r="AC513" i="3"/>
  <c r="P513" i="3" s="1"/>
  <c r="AD513" i="3"/>
  <c r="AE513" i="3"/>
  <c r="R513" i="3" s="1"/>
  <c r="AG513" i="3"/>
  <c r="AH513" i="3"/>
  <c r="AI513" i="3"/>
  <c r="AK513" i="3"/>
  <c r="AL513" i="3"/>
  <c r="K512" i="3"/>
  <c r="O512" i="3"/>
  <c r="AC512" i="3"/>
  <c r="P512" i="3" s="1"/>
  <c r="AD512" i="3"/>
  <c r="AE512" i="3"/>
  <c r="R512" i="3" s="1"/>
  <c r="AG512" i="3"/>
  <c r="AH512" i="3"/>
  <c r="AI512" i="3"/>
  <c r="AK512" i="3"/>
  <c r="AL512" i="3"/>
  <c r="K511" i="3"/>
  <c r="O511" i="3"/>
  <c r="AC511" i="3"/>
  <c r="P511" i="3" s="1"/>
  <c r="AD511" i="3"/>
  <c r="AE511" i="3"/>
  <c r="R511" i="3" s="1"/>
  <c r="AG511" i="3"/>
  <c r="AH511" i="3"/>
  <c r="AI511" i="3"/>
  <c r="AK511" i="3"/>
  <c r="AL511" i="3"/>
  <c r="K510" i="3"/>
  <c r="O510" i="3"/>
  <c r="AC510" i="3"/>
  <c r="P510" i="3" s="1"/>
  <c r="AD510" i="3"/>
  <c r="AE510" i="3"/>
  <c r="R510" i="3" s="1"/>
  <c r="AG510" i="3"/>
  <c r="AH510" i="3"/>
  <c r="AI510" i="3"/>
  <c r="AK510" i="3"/>
  <c r="AL510" i="3"/>
  <c r="K509" i="3"/>
  <c r="O509" i="3"/>
  <c r="AC509" i="3"/>
  <c r="P509" i="3" s="1"/>
  <c r="AD509" i="3"/>
  <c r="AE509" i="3"/>
  <c r="R509" i="3" s="1"/>
  <c r="AG509" i="3"/>
  <c r="AH509" i="3"/>
  <c r="AI509" i="3"/>
  <c r="AK509" i="3"/>
  <c r="AL509" i="3"/>
  <c r="K508" i="3"/>
  <c r="O508" i="3"/>
  <c r="AC508" i="3"/>
  <c r="P508" i="3" s="1"/>
  <c r="AD508" i="3"/>
  <c r="AE508" i="3"/>
  <c r="R508" i="3" s="1"/>
  <c r="AG508" i="3"/>
  <c r="AH508" i="3"/>
  <c r="AI508" i="3"/>
  <c r="AK508" i="3"/>
  <c r="AL508" i="3"/>
  <c r="K507" i="3"/>
  <c r="O507" i="3"/>
  <c r="AC507" i="3"/>
  <c r="P507" i="3" s="1"/>
  <c r="AD507" i="3"/>
  <c r="AE507" i="3"/>
  <c r="R507" i="3" s="1"/>
  <c r="AG507" i="3"/>
  <c r="AH507" i="3"/>
  <c r="AI507" i="3"/>
  <c r="AK507" i="3"/>
  <c r="AL507" i="3"/>
  <c r="K506" i="3"/>
  <c r="O506" i="3"/>
  <c r="AC506" i="3"/>
  <c r="P506" i="3" s="1"/>
  <c r="AD506" i="3"/>
  <c r="AE506" i="3"/>
  <c r="R506" i="3" s="1"/>
  <c r="AG506" i="3"/>
  <c r="AH506" i="3"/>
  <c r="AI506" i="3"/>
  <c r="AK506" i="3"/>
  <c r="AL506" i="3"/>
  <c r="K505" i="3"/>
  <c r="O505" i="3"/>
  <c r="AC505" i="3"/>
  <c r="P505" i="3" s="1"/>
  <c r="AD505" i="3"/>
  <c r="AE505" i="3"/>
  <c r="R505" i="3" s="1"/>
  <c r="AG505" i="3"/>
  <c r="AH505" i="3"/>
  <c r="AI505" i="3"/>
  <c r="AK505" i="3"/>
  <c r="AL505" i="3"/>
  <c r="K504" i="3"/>
  <c r="O504" i="3"/>
  <c r="AC504" i="3"/>
  <c r="P504" i="3" s="1"/>
  <c r="AD504" i="3"/>
  <c r="AE504" i="3"/>
  <c r="R504" i="3" s="1"/>
  <c r="AG504" i="3"/>
  <c r="AH504" i="3"/>
  <c r="AI504" i="3"/>
  <c r="AK504" i="3"/>
  <c r="AL504" i="3"/>
  <c r="K503" i="3"/>
  <c r="O503" i="3"/>
  <c r="AC503" i="3"/>
  <c r="P503" i="3" s="1"/>
  <c r="AD503" i="3"/>
  <c r="AE503" i="3"/>
  <c r="R503" i="3" s="1"/>
  <c r="AG503" i="3"/>
  <c r="AH503" i="3"/>
  <c r="AI503" i="3"/>
  <c r="AK503" i="3"/>
  <c r="AL503" i="3"/>
  <c r="K502" i="3"/>
  <c r="O502" i="3"/>
  <c r="AC502" i="3"/>
  <c r="P502" i="3" s="1"/>
  <c r="AD502" i="3"/>
  <c r="AE502" i="3"/>
  <c r="R502" i="3" s="1"/>
  <c r="AG502" i="3"/>
  <c r="AH502" i="3"/>
  <c r="AI502" i="3"/>
  <c r="AK502" i="3"/>
  <c r="AL502" i="3"/>
  <c r="K501" i="3"/>
  <c r="O501" i="3"/>
  <c r="AC501" i="3"/>
  <c r="P501" i="3" s="1"/>
  <c r="AD501" i="3"/>
  <c r="AE501" i="3"/>
  <c r="R501" i="3" s="1"/>
  <c r="AG501" i="3"/>
  <c r="AH501" i="3"/>
  <c r="AI501" i="3"/>
  <c r="AK501" i="3"/>
  <c r="AL501" i="3"/>
  <c r="K500" i="3"/>
  <c r="O500" i="3"/>
  <c r="AC500" i="3"/>
  <c r="P500" i="3" s="1"/>
  <c r="AD500" i="3"/>
  <c r="AE500" i="3"/>
  <c r="R500" i="3" s="1"/>
  <c r="AG500" i="3"/>
  <c r="AH500" i="3"/>
  <c r="AI500" i="3"/>
  <c r="AK500" i="3"/>
  <c r="AL500" i="3"/>
  <c r="K499" i="3"/>
  <c r="O499" i="3"/>
  <c r="AC499" i="3"/>
  <c r="P499" i="3" s="1"/>
  <c r="AD499" i="3"/>
  <c r="AE499" i="3"/>
  <c r="R499" i="3" s="1"/>
  <c r="AG499" i="3"/>
  <c r="AH499" i="3"/>
  <c r="AI499" i="3"/>
  <c r="AK499" i="3"/>
  <c r="AL499" i="3"/>
  <c r="K498" i="3"/>
  <c r="O498" i="3"/>
  <c r="AC498" i="3"/>
  <c r="P498" i="3" s="1"/>
  <c r="AD498" i="3"/>
  <c r="AE498" i="3"/>
  <c r="R498" i="3" s="1"/>
  <c r="AG498" i="3"/>
  <c r="AH498" i="3"/>
  <c r="AI498" i="3"/>
  <c r="AK498" i="3"/>
  <c r="AL498" i="3"/>
  <c r="K497" i="3"/>
  <c r="O497" i="3"/>
  <c r="AC497" i="3"/>
  <c r="P497" i="3" s="1"/>
  <c r="AD497" i="3"/>
  <c r="AE497" i="3"/>
  <c r="R497" i="3" s="1"/>
  <c r="AG497" i="3"/>
  <c r="AH497" i="3"/>
  <c r="AI497" i="3"/>
  <c r="AK497" i="3"/>
  <c r="AL497" i="3"/>
  <c r="K496" i="3"/>
  <c r="O496" i="3"/>
  <c r="AC496" i="3"/>
  <c r="P496" i="3" s="1"/>
  <c r="AD496" i="3"/>
  <c r="AE496" i="3"/>
  <c r="R496" i="3" s="1"/>
  <c r="AG496" i="3"/>
  <c r="AH496" i="3"/>
  <c r="AI496" i="3"/>
  <c r="AK496" i="3"/>
  <c r="AL496" i="3"/>
  <c r="E148" i="1"/>
  <c r="AF1354" i="3" s="1"/>
  <c r="AL495" i="3"/>
  <c r="AK495" i="3"/>
  <c r="AI495" i="3"/>
  <c r="AH495" i="3"/>
  <c r="AG495" i="3"/>
  <c r="AE495" i="3"/>
  <c r="R495" i="3" s="1"/>
  <c r="AD495" i="3"/>
  <c r="AC495" i="3"/>
  <c r="P495" i="3" s="1"/>
  <c r="O495" i="3"/>
  <c r="K495" i="3"/>
  <c r="AL494" i="3"/>
  <c r="AK494" i="3"/>
  <c r="AI494" i="3"/>
  <c r="AH494" i="3"/>
  <c r="AG494" i="3"/>
  <c r="AE494" i="3"/>
  <c r="R494" i="3" s="1"/>
  <c r="AD494" i="3"/>
  <c r="AC494" i="3"/>
  <c r="P494" i="3" s="1"/>
  <c r="O494" i="3"/>
  <c r="K494" i="3"/>
  <c r="E77" i="1"/>
  <c r="AF493" i="3" s="1"/>
  <c r="AL493" i="3"/>
  <c r="AK493" i="3"/>
  <c r="AI493" i="3"/>
  <c r="AH493" i="3"/>
  <c r="AG493" i="3"/>
  <c r="AE493" i="3"/>
  <c r="R493" i="3" s="1"/>
  <c r="AD493" i="3"/>
  <c r="AC493" i="3"/>
  <c r="P493" i="3" s="1"/>
  <c r="O493" i="3"/>
  <c r="K493" i="3"/>
  <c r="AL492" i="3"/>
  <c r="AK492" i="3"/>
  <c r="AI492" i="3"/>
  <c r="AH492" i="3"/>
  <c r="AG492" i="3"/>
  <c r="AE492" i="3"/>
  <c r="R492" i="3" s="1"/>
  <c r="AD492" i="3"/>
  <c r="AC492" i="3"/>
  <c r="O492" i="3"/>
  <c r="K492" i="3"/>
  <c r="E32" i="1"/>
  <c r="AF492" i="3" s="1"/>
  <c r="AL486" i="3"/>
  <c r="AK486" i="3"/>
  <c r="AI486" i="3"/>
  <c r="AH486" i="3"/>
  <c r="AG486" i="3"/>
  <c r="AE486" i="3"/>
  <c r="R486" i="3" s="1"/>
  <c r="AD486" i="3"/>
  <c r="AC486" i="3"/>
  <c r="P486" i="3" s="1"/>
  <c r="O486" i="3"/>
  <c r="K486" i="3"/>
  <c r="E149" i="1"/>
  <c r="AF1064" i="3" s="1"/>
  <c r="E57" i="1"/>
  <c r="AL485" i="3"/>
  <c r="AK485" i="3"/>
  <c r="AI485" i="3"/>
  <c r="AH485" i="3"/>
  <c r="AG485" i="3"/>
  <c r="AE485" i="3"/>
  <c r="R485" i="3" s="1"/>
  <c r="AD485" i="3"/>
  <c r="AC485" i="3"/>
  <c r="P485" i="3" s="1"/>
  <c r="O485" i="3"/>
  <c r="K485" i="3"/>
  <c r="E125" i="1"/>
  <c r="AF476" i="3" s="1"/>
  <c r="AL476" i="3"/>
  <c r="AK476" i="3"/>
  <c r="AI476" i="3"/>
  <c r="AH476" i="3"/>
  <c r="AG476" i="3"/>
  <c r="AE476" i="3"/>
  <c r="R476" i="3" s="1"/>
  <c r="AD476" i="3"/>
  <c r="AC476" i="3"/>
  <c r="P476" i="3" s="1"/>
  <c r="O476" i="3"/>
  <c r="K476" i="3"/>
  <c r="K491" i="3"/>
  <c r="O491" i="3"/>
  <c r="AC491" i="3"/>
  <c r="P491" i="3" s="1"/>
  <c r="AD491" i="3"/>
  <c r="AE491" i="3"/>
  <c r="R491" i="3" s="1"/>
  <c r="AG491" i="3"/>
  <c r="AH491" i="3"/>
  <c r="AI491" i="3"/>
  <c r="AK491" i="3"/>
  <c r="AL491" i="3"/>
  <c r="K490" i="3"/>
  <c r="O490" i="3"/>
  <c r="AC490" i="3"/>
  <c r="P490" i="3" s="1"/>
  <c r="AD490" i="3"/>
  <c r="AE490" i="3"/>
  <c r="R490" i="3" s="1"/>
  <c r="AG490" i="3"/>
  <c r="AH490" i="3"/>
  <c r="AI490" i="3"/>
  <c r="AK490" i="3"/>
  <c r="AL490" i="3"/>
  <c r="K489" i="3"/>
  <c r="O489" i="3"/>
  <c r="AC489" i="3"/>
  <c r="P489" i="3" s="1"/>
  <c r="AD489" i="3"/>
  <c r="AE489" i="3"/>
  <c r="R489" i="3" s="1"/>
  <c r="AG489" i="3"/>
  <c r="AH489" i="3"/>
  <c r="AI489" i="3"/>
  <c r="AK489" i="3"/>
  <c r="AL489" i="3"/>
  <c r="K488" i="3"/>
  <c r="O488" i="3"/>
  <c r="AC488" i="3"/>
  <c r="P488" i="3" s="1"/>
  <c r="AD488" i="3"/>
  <c r="AE488" i="3"/>
  <c r="R488" i="3" s="1"/>
  <c r="AG488" i="3"/>
  <c r="AH488" i="3"/>
  <c r="AI488" i="3"/>
  <c r="AK488" i="3"/>
  <c r="AL488" i="3"/>
  <c r="K487" i="3"/>
  <c r="O487" i="3"/>
  <c r="AC487" i="3"/>
  <c r="P487" i="3" s="1"/>
  <c r="AD487" i="3"/>
  <c r="AE487" i="3"/>
  <c r="R487" i="3" s="1"/>
  <c r="AG487" i="3"/>
  <c r="AH487" i="3"/>
  <c r="AI487" i="3"/>
  <c r="AK487" i="3"/>
  <c r="AL487" i="3"/>
  <c r="K484" i="3"/>
  <c r="O484" i="3"/>
  <c r="AC484" i="3"/>
  <c r="P484" i="3" s="1"/>
  <c r="AD484" i="3"/>
  <c r="AE484" i="3"/>
  <c r="R484" i="3" s="1"/>
  <c r="AG484" i="3"/>
  <c r="AH484" i="3"/>
  <c r="AI484" i="3"/>
  <c r="AK484" i="3"/>
  <c r="AL484" i="3"/>
  <c r="K483" i="3"/>
  <c r="O483" i="3"/>
  <c r="AC483" i="3"/>
  <c r="P483" i="3" s="1"/>
  <c r="AD483" i="3"/>
  <c r="AE483" i="3"/>
  <c r="R483" i="3" s="1"/>
  <c r="AG483" i="3"/>
  <c r="AH483" i="3"/>
  <c r="AI483" i="3"/>
  <c r="AK483" i="3"/>
  <c r="AL483" i="3"/>
  <c r="K482" i="3"/>
  <c r="O482" i="3"/>
  <c r="AC482" i="3"/>
  <c r="P482" i="3" s="1"/>
  <c r="AD482" i="3"/>
  <c r="AE482" i="3"/>
  <c r="R482" i="3" s="1"/>
  <c r="AG482" i="3"/>
  <c r="AH482" i="3"/>
  <c r="AI482" i="3"/>
  <c r="AK482" i="3"/>
  <c r="AL482" i="3"/>
  <c r="K481" i="3"/>
  <c r="O481" i="3"/>
  <c r="AC481" i="3"/>
  <c r="P481" i="3" s="1"/>
  <c r="AD481" i="3"/>
  <c r="AE481" i="3"/>
  <c r="R481" i="3" s="1"/>
  <c r="AG481" i="3"/>
  <c r="AH481" i="3"/>
  <c r="AI481" i="3"/>
  <c r="AK481" i="3"/>
  <c r="AL481" i="3"/>
  <c r="K480" i="3"/>
  <c r="O480" i="3"/>
  <c r="AC480" i="3"/>
  <c r="P480" i="3" s="1"/>
  <c r="AD480" i="3"/>
  <c r="AE480" i="3"/>
  <c r="R480" i="3" s="1"/>
  <c r="AG480" i="3"/>
  <c r="AH480" i="3"/>
  <c r="AI480" i="3"/>
  <c r="AK480" i="3"/>
  <c r="AL480" i="3"/>
  <c r="K479" i="3"/>
  <c r="O479" i="3"/>
  <c r="AC479" i="3"/>
  <c r="P479" i="3" s="1"/>
  <c r="AD479" i="3"/>
  <c r="AE479" i="3"/>
  <c r="R479" i="3" s="1"/>
  <c r="AG479" i="3"/>
  <c r="AH479" i="3"/>
  <c r="AI479" i="3"/>
  <c r="AK479" i="3"/>
  <c r="AL479" i="3"/>
  <c r="K478" i="3"/>
  <c r="O478" i="3"/>
  <c r="AC478" i="3"/>
  <c r="P478" i="3" s="1"/>
  <c r="AD478" i="3"/>
  <c r="AE478" i="3"/>
  <c r="R478" i="3" s="1"/>
  <c r="AG478" i="3"/>
  <c r="AH478" i="3"/>
  <c r="AI478" i="3"/>
  <c r="AK478" i="3"/>
  <c r="AL478" i="3"/>
  <c r="K477" i="3"/>
  <c r="O477" i="3"/>
  <c r="AC477" i="3"/>
  <c r="P477" i="3" s="1"/>
  <c r="AD477" i="3"/>
  <c r="AE477" i="3"/>
  <c r="R477" i="3" s="1"/>
  <c r="AG477" i="3"/>
  <c r="AH477" i="3"/>
  <c r="AI477" i="3"/>
  <c r="AK477" i="3"/>
  <c r="AL477" i="3"/>
  <c r="K475" i="3"/>
  <c r="O475" i="3"/>
  <c r="AC475" i="3"/>
  <c r="P475" i="3" s="1"/>
  <c r="AD475" i="3"/>
  <c r="AE475" i="3"/>
  <c r="R475" i="3" s="1"/>
  <c r="AG475" i="3"/>
  <c r="AH475" i="3"/>
  <c r="AI475" i="3"/>
  <c r="AK475" i="3"/>
  <c r="AL475" i="3"/>
  <c r="K474" i="3"/>
  <c r="O474" i="3"/>
  <c r="AC474" i="3"/>
  <c r="P474" i="3" s="1"/>
  <c r="AD474" i="3"/>
  <c r="AE474" i="3"/>
  <c r="R474" i="3" s="1"/>
  <c r="AG474" i="3"/>
  <c r="AH474" i="3"/>
  <c r="AI474" i="3"/>
  <c r="AK474" i="3"/>
  <c r="AL474" i="3"/>
  <c r="K473" i="3"/>
  <c r="O473" i="3"/>
  <c r="AC473" i="3"/>
  <c r="P473" i="3" s="1"/>
  <c r="AD473" i="3"/>
  <c r="AE473" i="3"/>
  <c r="R473" i="3" s="1"/>
  <c r="AG473" i="3"/>
  <c r="AH473" i="3"/>
  <c r="AI473" i="3"/>
  <c r="AK473" i="3"/>
  <c r="AL473" i="3"/>
  <c r="K472" i="3"/>
  <c r="O472" i="3"/>
  <c r="AC472" i="3"/>
  <c r="P472" i="3" s="1"/>
  <c r="AD472" i="3"/>
  <c r="AE472" i="3"/>
  <c r="R472" i="3" s="1"/>
  <c r="AG472" i="3"/>
  <c r="AH472" i="3"/>
  <c r="AI472" i="3"/>
  <c r="AK472" i="3"/>
  <c r="AL472" i="3"/>
  <c r="K471" i="3"/>
  <c r="O471" i="3"/>
  <c r="AC471" i="3"/>
  <c r="P471" i="3" s="1"/>
  <c r="AD471" i="3"/>
  <c r="AE471" i="3"/>
  <c r="R471" i="3" s="1"/>
  <c r="AG471" i="3"/>
  <c r="AH471" i="3"/>
  <c r="AI471" i="3"/>
  <c r="AK471" i="3"/>
  <c r="AL471" i="3"/>
  <c r="K470" i="3"/>
  <c r="O470" i="3"/>
  <c r="AC470" i="3"/>
  <c r="P470" i="3" s="1"/>
  <c r="AD470" i="3"/>
  <c r="AE470" i="3"/>
  <c r="R470" i="3" s="1"/>
  <c r="AG470" i="3"/>
  <c r="AH470" i="3"/>
  <c r="AI470" i="3"/>
  <c r="AK470" i="3"/>
  <c r="AL470" i="3"/>
  <c r="K469" i="3"/>
  <c r="O469" i="3"/>
  <c r="AC469" i="3"/>
  <c r="P469" i="3" s="1"/>
  <c r="AD469" i="3"/>
  <c r="AE469" i="3"/>
  <c r="R469" i="3" s="1"/>
  <c r="AG469" i="3"/>
  <c r="AH469" i="3"/>
  <c r="AI469" i="3"/>
  <c r="AK469" i="3"/>
  <c r="AL469" i="3"/>
  <c r="K468" i="3"/>
  <c r="O468" i="3"/>
  <c r="AC468" i="3"/>
  <c r="P468" i="3" s="1"/>
  <c r="AD468" i="3"/>
  <c r="AE468" i="3"/>
  <c r="R468" i="3" s="1"/>
  <c r="AG468" i="3"/>
  <c r="AH468" i="3"/>
  <c r="AI468" i="3"/>
  <c r="AK468" i="3"/>
  <c r="AL468" i="3"/>
  <c r="K467" i="3"/>
  <c r="O467" i="3"/>
  <c r="AC467" i="3"/>
  <c r="P467" i="3" s="1"/>
  <c r="AD467" i="3"/>
  <c r="AE467" i="3"/>
  <c r="R467" i="3" s="1"/>
  <c r="AG467" i="3"/>
  <c r="AH467" i="3"/>
  <c r="AI467" i="3"/>
  <c r="AK467" i="3"/>
  <c r="AL467" i="3"/>
  <c r="E191" i="1"/>
  <c r="AF1244" i="3" s="1"/>
  <c r="K466" i="3"/>
  <c r="O466" i="3"/>
  <c r="AC466" i="3"/>
  <c r="P466" i="3" s="1"/>
  <c r="AD466" i="3"/>
  <c r="AE466" i="3"/>
  <c r="R466" i="3" s="1"/>
  <c r="AG466" i="3"/>
  <c r="AH466" i="3"/>
  <c r="AI466" i="3"/>
  <c r="AK466" i="3"/>
  <c r="AL466" i="3"/>
  <c r="K465" i="3"/>
  <c r="O465" i="3"/>
  <c r="AC465" i="3"/>
  <c r="P465" i="3" s="1"/>
  <c r="AD465" i="3"/>
  <c r="AE465" i="3"/>
  <c r="R465" i="3" s="1"/>
  <c r="AG465" i="3"/>
  <c r="AH465" i="3"/>
  <c r="AI465" i="3"/>
  <c r="AK465" i="3"/>
  <c r="AL465" i="3"/>
  <c r="K464" i="3"/>
  <c r="O464" i="3"/>
  <c r="AC464" i="3"/>
  <c r="P464" i="3" s="1"/>
  <c r="AD464" i="3"/>
  <c r="AE464" i="3"/>
  <c r="R464" i="3" s="1"/>
  <c r="AG464" i="3"/>
  <c r="AH464" i="3"/>
  <c r="AI464" i="3"/>
  <c r="AK464" i="3"/>
  <c r="AL464" i="3"/>
  <c r="K463" i="3"/>
  <c r="O463" i="3"/>
  <c r="AC463" i="3"/>
  <c r="P463" i="3" s="1"/>
  <c r="AD463" i="3"/>
  <c r="AE463" i="3"/>
  <c r="R463" i="3" s="1"/>
  <c r="AG463" i="3"/>
  <c r="AH463" i="3"/>
  <c r="AI463" i="3"/>
  <c r="AK463" i="3"/>
  <c r="AL463" i="3"/>
  <c r="K462" i="3"/>
  <c r="O462" i="3"/>
  <c r="AC462" i="3"/>
  <c r="P462" i="3" s="1"/>
  <c r="AD462" i="3"/>
  <c r="AE462" i="3"/>
  <c r="R462" i="3" s="1"/>
  <c r="AG462" i="3"/>
  <c r="AH462" i="3"/>
  <c r="AI462" i="3"/>
  <c r="AK462" i="3"/>
  <c r="AL462" i="3"/>
  <c r="K461" i="3"/>
  <c r="O461" i="3"/>
  <c r="AC461" i="3"/>
  <c r="P461" i="3" s="1"/>
  <c r="AD461" i="3"/>
  <c r="AE461" i="3"/>
  <c r="R461" i="3" s="1"/>
  <c r="AG461" i="3"/>
  <c r="AH461" i="3"/>
  <c r="AI461" i="3"/>
  <c r="AK461" i="3"/>
  <c r="AL461" i="3"/>
  <c r="AF1312" i="3" l="1"/>
  <c r="AF1369" i="3"/>
  <c r="AF1132" i="3"/>
  <c r="AF1353" i="3"/>
  <c r="AF1295" i="3"/>
  <c r="AF1311" i="3"/>
  <c r="AF1279" i="3"/>
  <c r="AF1294" i="3"/>
  <c r="AF917" i="3"/>
  <c r="AF1204" i="3"/>
  <c r="AF599" i="3"/>
  <c r="AF1063" i="3"/>
  <c r="AF1062" i="3"/>
  <c r="AF1061" i="3"/>
  <c r="AF1041" i="3"/>
  <c r="AF1043" i="3"/>
  <c r="AF782" i="3"/>
  <c r="AF998" i="3"/>
  <c r="L492" i="3"/>
  <c r="N492" i="3" s="1"/>
  <c r="P492" i="3"/>
  <c r="AF894" i="3"/>
  <c r="AF916" i="3"/>
  <c r="AF913" i="3"/>
  <c r="AF914" i="3"/>
  <c r="AF655" i="3"/>
  <c r="AF904" i="3"/>
  <c r="V889" i="3"/>
  <c r="W889" i="3" s="1"/>
  <c r="V880" i="3"/>
  <c r="W880" i="3" s="1"/>
  <c r="V876" i="3"/>
  <c r="W876" i="3" s="1"/>
  <c r="AF520" i="3"/>
  <c r="AF895" i="3"/>
  <c r="AF532" i="3"/>
  <c r="AF779" i="3"/>
  <c r="AF708" i="3"/>
  <c r="AF719" i="3"/>
  <c r="AF702" i="3"/>
  <c r="AF697" i="3"/>
  <c r="AF691" i="3"/>
  <c r="AF688" i="3"/>
  <c r="AF696" i="3"/>
  <c r="AF687" i="3"/>
  <c r="AF683" i="3"/>
  <c r="AF670" i="3"/>
  <c r="AF675" i="3"/>
  <c r="Y674" i="3"/>
  <c r="L674" i="3"/>
  <c r="Y673" i="3"/>
  <c r="L673" i="3"/>
  <c r="Y672" i="3"/>
  <c r="L672" i="3"/>
  <c r="Y671" i="3"/>
  <c r="L671" i="3"/>
  <c r="Y670" i="3"/>
  <c r="L670" i="3"/>
  <c r="Y669" i="3"/>
  <c r="L669" i="3"/>
  <c r="Y668" i="3"/>
  <c r="L668" i="3"/>
  <c r="Y667" i="3"/>
  <c r="L667" i="3"/>
  <c r="Y666" i="3"/>
  <c r="L666" i="3"/>
  <c r="Y665" i="3"/>
  <c r="L665" i="3"/>
  <c r="Y664" i="3"/>
  <c r="L664" i="3"/>
  <c r="Y663" i="3"/>
  <c r="L663" i="3"/>
  <c r="Y662" i="3"/>
  <c r="L662" i="3"/>
  <c r="Y661" i="3"/>
  <c r="L661" i="3"/>
  <c r="Y660" i="3"/>
  <c r="L660" i="3"/>
  <c r="Y659" i="3"/>
  <c r="L659" i="3"/>
  <c r="Y658" i="3"/>
  <c r="L658" i="3"/>
  <c r="Y657" i="3"/>
  <c r="L657" i="3"/>
  <c r="Y656" i="3"/>
  <c r="L656" i="3"/>
  <c r="Y655" i="3"/>
  <c r="L655" i="3"/>
  <c r="Y654" i="3"/>
  <c r="L654" i="3"/>
  <c r="Y653" i="3"/>
  <c r="L653" i="3"/>
  <c r="Y652" i="3"/>
  <c r="L652" i="3"/>
  <c r="Y651" i="3"/>
  <c r="L651" i="3"/>
  <c r="Y650" i="3"/>
  <c r="L650" i="3"/>
  <c r="Y649" i="3"/>
  <c r="L649" i="3"/>
  <c r="Y648" i="3"/>
  <c r="L648" i="3"/>
  <c r="Y647" i="3"/>
  <c r="L647" i="3"/>
  <c r="Y646" i="3"/>
  <c r="L646" i="3"/>
  <c r="Y645" i="3"/>
  <c r="L645" i="3"/>
  <c r="Y644" i="3"/>
  <c r="L644" i="3"/>
  <c r="Y643" i="3"/>
  <c r="L643" i="3"/>
  <c r="Y642" i="3"/>
  <c r="L642" i="3"/>
  <c r="Y641" i="3"/>
  <c r="L641" i="3"/>
  <c r="Y640" i="3"/>
  <c r="L640" i="3"/>
  <c r="Y639" i="3"/>
  <c r="L639" i="3"/>
  <c r="Y638" i="3"/>
  <c r="L638" i="3"/>
  <c r="Y637" i="3"/>
  <c r="L637" i="3"/>
  <c r="Y636" i="3"/>
  <c r="L636" i="3"/>
  <c r="Y635" i="3"/>
  <c r="L635" i="3"/>
  <c r="Y634" i="3"/>
  <c r="L634" i="3"/>
  <c r="Y633" i="3"/>
  <c r="L633" i="3"/>
  <c r="Y632" i="3"/>
  <c r="L632" i="3"/>
  <c r="Y631" i="3"/>
  <c r="L631" i="3"/>
  <c r="Y630" i="3"/>
  <c r="L630" i="3"/>
  <c r="Y629" i="3"/>
  <c r="L629" i="3"/>
  <c r="Y628" i="3"/>
  <c r="L628" i="3"/>
  <c r="Y627" i="3"/>
  <c r="L627" i="3"/>
  <c r="Y626" i="3"/>
  <c r="L626" i="3"/>
  <c r="AF607" i="3"/>
  <c r="AF625" i="3"/>
  <c r="Y625" i="3"/>
  <c r="L625" i="3"/>
  <c r="Y624" i="3"/>
  <c r="L624" i="3"/>
  <c r="Y623" i="3"/>
  <c r="L623" i="3"/>
  <c r="Y622" i="3"/>
  <c r="L622" i="3"/>
  <c r="Y621" i="3"/>
  <c r="L621" i="3"/>
  <c r="Y620" i="3"/>
  <c r="L620" i="3"/>
  <c r="AF600" i="3"/>
  <c r="AF619" i="3"/>
  <c r="Y619" i="3"/>
  <c r="L619" i="3"/>
  <c r="Y618" i="3"/>
  <c r="L618" i="3"/>
  <c r="Y617" i="3"/>
  <c r="L617" i="3"/>
  <c r="Y616" i="3"/>
  <c r="L616" i="3"/>
  <c r="Y615" i="3"/>
  <c r="L615" i="3"/>
  <c r="AF612" i="3"/>
  <c r="AF614" i="3"/>
  <c r="Y614" i="3"/>
  <c r="L614" i="3"/>
  <c r="Y613" i="3"/>
  <c r="L613" i="3"/>
  <c r="Y612" i="3"/>
  <c r="L612" i="3"/>
  <c r="Y611" i="3"/>
  <c r="L611" i="3"/>
  <c r="Y610" i="3"/>
  <c r="L610" i="3"/>
  <c r="Y609" i="3"/>
  <c r="L609" i="3"/>
  <c r="Y608" i="3"/>
  <c r="L608" i="3"/>
  <c r="Y607" i="3"/>
  <c r="L607" i="3"/>
  <c r="Y606" i="3"/>
  <c r="L606" i="3"/>
  <c r="Y605" i="3"/>
  <c r="L605" i="3"/>
  <c r="Y604" i="3"/>
  <c r="L604" i="3"/>
  <c r="Y603" i="3"/>
  <c r="L603" i="3"/>
  <c r="AF590" i="3"/>
  <c r="AF602" i="3"/>
  <c r="Y602" i="3"/>
  <c r="L602" i="3"/>
  <c r="Y601" i="3"/>
  <c r="L601" i="3"/>
  <c r="Y600" i="3"/>
  <c r="L600" i="3"/>
  <c r="Y599" i="3"/>
  <c r="L599" i="3"/>
  <c r="Y598" i="3"/>
  <c r="L598" i="3"/>
  <c r="Y597" i="3"/>
  <c r="L597" i="3"/>
  <c r="Y596" i="3"/>
  <c r="L596" i="3"/>
  <c r="AF519" i="3"/>
  <c r="AF595" i="3"/>
  <c r="Y595" i="3"/>
  <c r="L595" i="3"/>
  <c r="Y594" i="3"/>
  <c r="L594" i="3"/>
  <c r="Y593" i="3"/>
  <c r="L593" i="3"/>
  <c r="Y592" i="3"/>
  <c r="L592" i="3"/>
  <c r="Y591" i="3"/>
  <c r="L591" i="3"/>
  <c r="Y590" i="3"/>
  <c r="L590" i="3"/>
  <c r="Y589" i="3"/>
  <c r="L589" i="3"/>
  <c r="Y588" i="3"/>
  <c r="L588" i="3"/>
  <c r="Y587" i="3"/>
  <c r="L587" i="3"/>
  <c r="Y586" i="3"/>
  <c r="L586" i="3"/>
  <c r="Y585" i="3"/>
  <c r="L585" i="3"/>
  <c r="Y584" i="3"/>
  <c r="L584" i="3"/>
  <c r="Y583" i="3"/>
  <c r="L583" i="3"/>
  <c r="Y582" i="3"/>
  <c r="L582" i="3"/>
  <c r="Y581" i="3"/>
  <c r="L581" i="3"/>
  <c r="Y580" i="3"/>
  <c r="L580" i="3"/>
  <c r="Y579" i="3"/>
  <c r="L579" i="3"/>
  <c r="Y578" i="3"/>
  <c r="L578" i="3"/>
  <c r="Y577" i="3"/>
  <c r="L577" i="3"/>
  <c r="Y576" i="3"/>
  <c r="L576" i="3"/>
  <c r="Y575" i="3"/>
  <c r="L575" i="3"/>
  <c r="Y574" i="3"/>
  <c r="L574" i="3"/>
  <c r="Y573" i="3"/>
  <c r="L573" i="3"/>
  <c r="Y572" i="3"/>
  <c r="L572" i="3"/>
  <c r="Y571" i="3"/>
  <c r="L571" i="3"/>
  <c r="Y570" i="3"/>
  <c r="L570" i="3"/>
  <c r="Y569" i="3"/>
  <c r="L569" i="3"/>
  <c r="Y568" i="3"/>
  <c r="L568" i="3"/>
  <c r="Y567" i="3"/>
  <c r="L567" i="3"/>
  <c r="Y566" i="3"/>
  <c r="L566" i="3"/>
  <c r="Y565" i="3"/>
  <c r="L565" i="3"/>
  <c r="Y564" i="3"/>
  <c r="L564" i="3"/>
  <c r="Y563" i="3"/>
  <c r="L563" i="3"/>
  <c r="Y562" i="3"/>
  <c r="L562" i="3"/>
  <c r="Y561" i="3"/>
  <c r="L561" i="3"/>
  <c r="Y560" i="3"/>
  <c r="L560" i="3"/>
  <c r="AF552" i="3"/>
  <c r="AF559" i="3"/>
  <c r="Y559" i="3"/>
  <c r="L559" i="3"/>
  <c r="AF554" i="3"/>
  <c r="AF558" i="3"/>
  <c r="Y558" i="3"/>
  <c r="L558" i="3"/>
  <c r="Y557" i="3"/>
  <c r="L557" i="3"/>
  <c r="Y556" i="3"/>
  <c r="L556" i="3"/>
  <c r="Y555" i="3"/>
  <c r="L555" i="3"/>
  <c r="Y554" i="3"/>
  <c r="L554" i="3"/>
  <c r="Y553" i="3"/>
  <c r="L553" i="3"/>
  <c r="Y552" i="3"/>
  <c r="L552" i="3"/>
  <c r="Y551" i="3"/>
  <c r="L551" i="3"/>
  <c r="Y550" i="3"/>
  <c r="L550" i="3"/>
  <c r="Y549" i="3"/>
  <c r="L549" i="3"/>
  <c r="Y548" i="3"/>
  <c r="L548" i="3"/>
  <c r="Y547" i="3"/>
  <c r="L547" i="3"/>
  <c r="Y546" i="3"/>
  <c r="L546" i="3"/>
  <c r="Y545" i="3"/>
  <c r="L545" i="3"/>
  <c r="Y544" i="3"/>
  <c r="L544" i="3"/>
  <c r="Y543" i="3"/>
  <c r="L543" i="3"/>
  <c r="Y542" i="3"/>
  <c r="L542" i="3"/>
  <c r="Y541" i="3"/>
  <c r="L541" i="3"/>
  <c r="Y540" i="3"/>
  <c r="L540" i="3"/>
  <c r="AF534" i="3"/>
  <c r="AF539" i="3"/>
  <c r="Y539" i="3"/>
  <c r="L539" i="3"/>
  <c r="Y538" i="3"/>
  <c r="L538" i="3"/>
  <c r="Y537" i="3"/>
  <c r="L537" i="3"/>
  <c r="Y536" i="3"/>
  <c r="L536" i="3"/>
  <c r="Y535" i="3"/>
  <c r="L535" i="3"/>
  <c r="Y534" i="3"/>
  <c r="L534" i="3"/>
  <c r="Y533" i="3"/>
  <c r="L533" i="3"/>
  <c r="Y532" i="3"/>
  <c r="L532" i="3"/>
  <c r="Y531" i="3"/>
  <c r="L531" i="3"/>
  <c r="Y530" i="3"/>
  <c r="L530" i="3"/>
  <c r="Y529" i="3"/>
  <c r="L529" i="3"/>
  <c r="Y528" i="3"/>
  <c r="L528" i="3"/>
  <c r="Y527" i="3"/>
  <c r="L527" i="3"/>
  <c r="Y526" i="3"/>
  <c r="L526" i="3"/>
  <c r="Y525" i="3"/>
  <c r="L525" i="3"/>
  <c r="Y524" i="3"/>
  <c r="L524" i="3"/>
  <c r="Y523" i="3"/>
  <c r="L523" i="3"/>
  <c r="Y522" i="3"/>
  <c r="L522" i="3"/>
  <c r="Y521" i="3"/>
  <c r="L521" i="3"/>
  <c r="Y520" i="3"/>
  <c r="L520" i="3"/>
  <c r="Y519" i="3"/>
  <c r="L519" i="3"/>
  <c r="Y518" i="3"/>
  <c r="L518" i="3"/>
  <c r="Y517" i="3"/>
  <c r="L517" i="3"/>
  <c r="Y516" i="3"/>
  <c r="L516" i="3"/>
  <c r="Y515" i="3"/>
  <c r="L515" i="3"/>
  <c r="Y514" i="3"/>
  <c r="L514" i="3"/>
  <c r="AF512" i="3"/>
  <c r="AF513" i="3"/>
  <c r="Y513" i="3"/>
  <c r="L513" i="3"/>
  <c r="Y512" i="3"/>
  <c r="L512" i="3"/>
  <c r="Y511" i="3"/>
  <c r="L511" i="3"/>
  <c r="Y510" i="3"/>
  <c r="L510" i="3"/>
  <c r="Y509" i="3"/>
  <c r="L509" i="3"/>
  <c r="Y508" i="3"/>
  <c r="L508" i="3"/>
  <c r="Y507" i="3"/>
  <c r="L507" i="3"/>
  <c r="Y506" i="3"/>
  <c r="L506" i="3"/>
  <c r="Y505" i="3"/>
  <c r="L505" i="3"/>
  <c r="Y504" i="3"/>
  <c r="L504" i="3"/>
  <c r="Y503" i="3"/>
  <c r="L503" i="3"/>
  <c r="Y502" i="3"/>
  <c r="L502" i="3"/>
  <c r="Y501" i="3"/>
  <c r="L501" i="3"/>
  <c r="AF485" i="3"/>
  <c r="AF500" i="3"/>
  <c r="Y500" i="3"/>
  <c r="L500" i="3"/>
  <c r="Y499" i="3"/>
  <c r="L499" i="3"/>
  <c r="Y498" i="3"/>
  <c r="L498" i="3"/>
  <c r="AF486" i="3"/>
  <c r="AF497" i="3"/>
  <c r="Y497" i="3"/>
  <c r="L497" i="3"/>
  <c r="Y496" i="3"/>
  <c r="L496" i="3"/>
  <c r="AF495" i="3"/>
  <c r="AF494" i="3"/>
  <c r="L494" i="3"/>
  <c r="N494" i="3" s="1"/>
  <c r="Y495" i="3"/>
  <c r="L495" i="3"/>
  <c r="N495" i="3" s="1"/>
  <c r="Y494" i="3"/>
  <c r="Y493" i="3"/>
  <c r="L486" i="3"/>
  <c r="N486" i="3" s="1"/>
  <c r="Y492" i="3"/>
  <c r="L493" i="3"/>
  <c r="M492" i="3"/>
  <c r="Q492" i="3" s="1"/>
  <c r="Y486" i="3"/>
  <c r="Y485" i="3"/>
  <c r="L485" i="3"/>
  <c r="Y476" i="3"/>
  <c r="L476" i="3"/>
  <c r="Y491" i="3"/>
  <c r="L491" i="3"/>
  <c r="Y490" i="3"/>
  <c r="L490" i="3"/>
  <c r="Y489" i="3"/>
  <c r="L489" i="3"/>
  <c r="AF475" i="3"/>
  <c r="AF488" i="3"/>
  <c r="Y488" i="3"/>
  <c r="L488" i="3"/>
  <c r="Y487" i="3"/>
  <c r="L487" i="3"/>
  <c r="Y484" i="3"/>
  <c r="L484" i="3"/>
  <c r="Y483" i="3"/>
  <c r="L483" i="3"/>
  <c r="Y482" i="3"/>
  <c r="L482" i="3"/>
  <c r="Y481" i="3"/>
  <c r="L481" i="3"/>
  <c r="Y480" i="3"/>
  <c r="L480" i="3"/>
  <c r="Y479" i="3"/>
  <c r="L479" i="3"/>
  <c r="Y478" i="3"/>
  <c r="L478" i="3"/>
  <c r="Y477" i="3"/>
  <c r="L477" i="3"/>
  <c r="Y475" i="3"/>
  <c r="L475" i="3"/>
  <c r="Y474" i="3"/>
  <c r="L474" i="3"/>
  <c r="Y473" i="3"/>
  <c r="L473" i="3"/>
  <c r="Y472" i="3"/>
  <c r="L472" i="3"/>
  <c r="AF467" i="3"/>
  <c r="AF471" i="3"/>
  <c r="Y471" i="3"/>
  <c r="L471" i="3"/>
  <c r="Y470" i="3"/>
  <c r="L470" i="3"/>
  <c r="Y469" i="3"/>
  <c r="L469" i="3"/>
  <c r="Y468" i="3"/>
  <c r="L468" i="3"/>
  <c r="Y467" i="3"/>
  <c r="L467" i="3"/>
  <c r="Y466" i="3"/>
  <c r="L466" i="3"/>
  <c r="Y465" i="3"/>
  <c r="L465" i="3"/>
  <c r="Y464" i="3"/>
  <c r="L464" i="3"/>
  <c r="Y463" i="3"/>
  <c r="L463" i="3"/>
  <c r="Y462" i="3"/>
  <c r="L462" i="3"/>
  <c r="Y461" i="3"/>
  <c r="L461" i="3"/>
  <c r="AL460" i="3"/>
  <c r="AK460" i="3"/>
  <c r="AI460" i="3"/>
  <c r="AH460" i="3"/>
  <c r="AG460" i="3"/>
  <c r="AE460" i="3"/>
  <c r="R460" i="3" s="1"/>
  <c r="AD460" i="3"/>
  <c r="AC460" i="3"/>
  <c r="P460" i="3" s="1"/>
  <c r="O460" i="3"/>
  <c r="K460" i="3"/>
  <c r="E124" i="1"/>
  <c r="E126" i="1"/>
  <c r="AF443" i="3" s="1"/>
  <c r="AL443" i="3"/>
  <c r="AK443" i="3"/>
  <c r="AI443" i="3"/>
  <c r="AH443" i="3"/>
  <c r="AG443" i="3"/>
  <c r="AE443" i="3"/>
  <c r="R443" i="3" s="1"/>
  <c r="AD443" i="3"/>
  <c r="AC443" i="3"/>
  <c r="P443" i="3" s="1"/>
  <c r="O443" i="3"/>
  <c r="K443" i="3"/>
  <c r="AL459" i="3"/>
  <c r="AK459" i="3"/>
  <c r="AI459" i="3"/>
  <c r="AH459" i="3"/>
  <c r="AG459" i="3"/>
  <c r="AE459" i="3"/>
  <c r="R459" i="3" s="1"/>
  <c r="AD459" i="3"/>
  <c r="AC459" i="3"/>
  <c r="P459" i="3" s="1"/>
  <c r="O459" i="3"/>
  <c r="K459" i="3"/>
  <c r="AL458" i="3"/>
  <c r="AK458" i="3"/>
  <c r="AI458" i="3"/>
  <c r="AH458" i="3"/>
  <c r="AG458" i="3"/>
  <c r="AE458" i="3"/>
  <c r="R458" i="3" s="1"/>
  <c r="AD458" i="3"/>
  <c r="AC458" i="3"/>
  <c r="P458" i="3" s="1"/>
  <c r="O458" i="3"/>
  <c r="K458" i="3"/>
  <c r="AL457" i="3"/>
  <c r="AK457" i="3"/>
  <c r="AI457" i="3"/>
  <c r="AH457" i="3"/>
  <c r="AG457" i="3"/>
  <c r="AE457" i="3"/>
  <c r="R457" i="3" s="1"/>
  <c r="AD457" i="3"/>
  <c r="AC457" i="3"/>
  <c r="P457" i="3" s="1"/>
  <c r="O457" i="3"/>
  <c r="K457" i="3"/>
  <c r="AL456" i="3"/>
  <c r="AK456" i="3"/>
  <c r="AI456" i="3"/>
  <c r="AH456" i="3"/>
  <c r="AG456" i="3"/>
  <c r="AE456" i="3"/>
  <c r="R456" i="3" s="1"/>
  <c r="AD456" i="3"/>
  <c r="AC456" i="3"/>
  <c r="P456" i="3" s="1"/>
  <c r="O456" i="3"/>
  <c r="K456" i="3"/>
  <c r="AL455" i="3"/>
  <c r="AK455" i="3"/>
  <c r="AI455" i="3"/>
  <c r="AH455" i="3"/>
  <c r="AG455" i="3"/>
  <c r="AE455" i="3"/>
  <c r="R455" i="3" s="1"/>
  <c r="AD455" i="3"/>
  <c r="AC455" i="3"/>
  <c r="O455" i="3"/>
  <c r="K455" i="3"/>
  <c r="AL454" i="3"/>
  <c r="AK454" i="3"/>
  <c r="AI454" i="3"/>
  <c r="AH454" i="3"/>
  <c r="AG454" i="3"/>
  <c r="AE454" i="3"/>
  <c r="R454" i="3" s="1"/>
  <c r="AD454" i="3"/>
  <c r="AC454" i="3"/>
  <c r="O454" i="3"/>
  <c r="K454" i="3"/>
  <c r="AL453" i="3"/>
  <c r="AK453" i="3"/>
  <c r="AI453" i="3"/>
  <c r="AH453" i="3"/>
  <c r="AG453" i="3"/>
  <c r="AE453" i="3"/>
  <c r="R453" i="3" s="1"/>
  <c r="AD453" i="3"/>
  <c r="AC453" i="3"/>
  <c r="P453" i="3" s="1"/>
  <c r="O453" i="3"/>
  <c r="K453" i="3"/>
  <c r="AL452" i="3"/>
  <c r="AK452" i="3"/>
  <c r="AI452" i="3"/>
  <c r="AH452" i="3"/>
  <c r="AG452" i="3"/>
  <c r="AE452" i="3"/>
  <c r="R452" i="3" s="1"/>
  <c r="AD452" i="3"/>
  <c r="AC452" i="3"/>
  <c r="O452" i="3"/>
  <c r="K452" i="3"/>
  <c r="AL451" i="3"/>
  <c r="AK451" i="3"/>
  <c r="AI451" i="3"/>
  <c r="AH451" i="3"/>
  <c r="AG451" i="3"/>
  <c r="AE451" i="3"/>
  <c r="R451" i="3" s="1"/>
  <c r="AD451" i="3"/>
  <c r="AC451" i="3"/>
  <c r="P451" i="3" s="1"/>
  <c r="O451" i="3"/>
  <c r="K451" i="3"/>
  <c r="B33" i="14"/>
  <c r="B3" i="14" s="1"/>
  <c r="L33" i="14"/>
  <c r="M33" i="14"/>
  <c r="E19" i="1"/>
  <c r="K450" i="3"/>
  <c r="O450" i="3"/>
  <c r="AC450" i="3"/>
  <c r="P450" i="3" s="1"/>
  <c r="AD450" i="3"/>
  <c r="AE450" i="3"/>
  <c r="R450" i="3" s="1"/>
  <c r="AG450" i="3"/>
  <c r="AH450" i="3"/>
  <c r="AI450" i="3"/>
  <c r="AK450" i="3"/>
  <c r="AL450" i="3"/>
  <c r="K449" i="3"/>
  <c r="O449" i="3"/>
  <c r="AC449" i="3"/>
  <c r="P449" i="3" s="1"/>
  <c r="AD449" i="3"/>
  <c r="AE449" i="3"/>
  <c r="R449" i="3" s="1"/>
  <c r="AG449" i="3"/>
  <c r="AH449" i="3"/>
  <c r="AI449" i="3"/>
  <c r="AK449" i="3"/>
  <c r="AL449" i="3"/>
  <c r="K448" i="3"/>
  <c r="O448" i="3"/>
  <c r="AC448" i="3"/>
  <c r="P448" i="3" s="1"/>
  <c r="AD448" i="3"/>
  <c r="AE448" i="3"/>
  <c r="R448" i="3" s="1"/>
  <c r="AG448" i="3"/>
  <c r="AH448" i="3"/>
  <c r="AI448" i="3"/>
  <c r="AK448" i="3"/>
  <c r="AL448" i="3"/>
  <c r="K447" i="3"/>
  <c r="O447" i="3"/>
  <c r="AC447" i="3"/>
  <c r="P447" i="3" s="1"/>
  <c r="AD447" i="3"/>
  <c r="AE447" i="3"/>
  <c r="R447" i="3" s="1"/>
  <c r="AG447" i="3"/>
  <c r="AH447" i="3"/>
  <c r="AI447" i="3"/>
  <c r="AK447" i="3"/>
  <c r="AL447" i="3"/>
  <c r="K446" i="3"/>
  <c r="O446" i="3"/>
  <c r="AC446" i="3"/>
  <c r="P446" i="3" s="1"/>
  <c r="AD446" i="3"/>
  <c r="AE446" i="3"/>
  <c r="R446" i="3" s="1"/>
  <c r="AG446" i="3"/>
  <c r="AH446" i="3"/>
  <c r="AI446" i="3"/>
  <c r="AK446" i="3"/>
  <c r="AL446" i="3"/>
  <c r="K445" i="3"/>
  <c r="O445" i="3"/>
  <c r="AC445" i="3"/>
  <c r="P445" i="3" s="1"/>
  <c r="AD445" i="3"/>
  <c r="AE445" i="3"/>
  <c r="R445" i="3" s="1"/>
  <c r="AG445" i="3"/>
  <c r="AH445" i="3"/>
  <c r="AI445" i="3"/>
  <c r="AK445" i="3"/>
  <c r="AL445" i="3"/>
  <c r="K444" i="3"/>
  <c r="O444" i="3"/>
  <c r="AC444" i="3"/>
  <c r="P444" i="3" s="1"/>
  <c r="AD444" i="3"/>
  <c r="AE444" i="3"/>
  <c r="R444" i="3" s="1"/>
  <c r="AG444" i="3"/>
  <c r="AH444" i="3"/>
  <c r="AI444" i="3"/>
  <c r="AK444" i="3"/>
  <c r="AL444" i="3"/>
  <c r="K442" i="3"/>
  <c r="O442" i="3"/>
  <c r="AC442" i="3"/>
  <c r="P442" i="3" s="1"/>
  <c r="AD442" i="3"/>
  <c r="AE442" i="3"/>
  <c r="R442" i="3" s="1"/>
  <c r="AG442" i="3"/>
  <c r="AH442" i="3"/>
  <c r="AI442" i="3"/>
  <c r="AK442" i="3"/>
  <c r="AL442" i="3"/>
  <c r="K441" i="3"/>
  <c r="O441" i="3"/>
  <c r="AC441" i="3"/>
  <c r="P441" i="3" s="1"/>
  <c r="AD441" i="3"/>
  <c r="AE441" i="3"/>
  <c r="R441" i="3" s="1"/>
  <c r="AG441" i="3"/>
  <c r="AH441" i="3"/>
  <c r="AI441" i="3"/>
  <c r="AK441" i="3"/>
  <c r="AL441" i="3"/>
  <c r="K440" i="3"/>
  <c r="O440" i="3"/>
  <c r="AC440" i="3"/>
  <c r="P440" i="3" s="1"/>
  <c r="AD440" i="3"/>
  <c r="AE440" i="3"/>
  <c r="R440" i="3" s="1"/>
  <c r="AG440" i="3"/>
  <c r="AH440" i="3"/>
  <c r="AI440" i="3"/>
  <c r="AK440" i="3"/>
  <c r="AL440" i="3"/>
  <c r="K439" i="3"/>
  <c r="O439" i="3"/>
  <c r="AC439" i="3"/>
  <c r="P439" i="3" s="1"/>
  <c r="AD439" i="3"/>
  <c r="AE439" i="3"/>
  <c r="R439" i="3" s="1"/>
  <c r="AG439" i="3"/>
  <c r="AH439" i="3"/>
  <c r="AI439" i="3"/>
  <c r="AK439" i="3"/>
  <c r="AL439" i="3"/>
  <c r="K438" i="3"/>
  <c r="O438" i="3"/>
  <c r="AC438" i="3"/>
  <c r="P438" i="3" s="1"/>
  <c r="AD438" i="3"/>
  <c r="AE438" i="3"/>
  <c r="R438" i="3" s="1"/>
  <c r="AG438" i="3"/>
  <c r="AH438" i="3"/>
  <c r="AI438" i="3"/>
  <c r="AK438" i="3"/>
  <c r="AL438" i="3"/>
  <c r="K437" i="3"/>
  <c r="O437" i="3"/>
  <c r="AC437" i="3"/>
  <c r="P437" i="3" s="1"/>
  <c r="AD437" i="3"/>
  <c r="AE437" i="3"/>
  <c r="R437" i="3" s="1"/>
  <c r="AG437" i="3"/>
  <c r="AH437" i="3"/>
  <c r="AI437" i="3"/>
  <c r="AK437" i="3"/>
  <c r="AL437" i="3"/>
  <c r="K436" i="3"/>
  <c r="O436" i="3"/>
  <c r="AC436" i="3"/>
  <c r="P436" i="3" s="1"/>
  <c r="AD436" i="3"/>
  <c r="AE436" i="3"/>
  <c r="R436" i="3" s="1"/>
  <c r="AG436" i="3"/>
  <c r="AH436" i="3"/>
  <c r="AI436" i="3"/>
  <c r="AK436" i="3"/>
  <c r="AL436" i="3"/>
  <c r="K435" i="3"/>
  <c r="O435" i="3"/>
  <c r="AC435" i="3"/>
  <c r="P435" i="3" s="1"/>
  <c r="AD435" i="3"/>
  <c r="AE435" i="3"/>
  <c r="R435" i="3" s="1"/>
  <c r="AG435" i="3"/>
  <c r="AH435" i="3"/>
  <c r="AI435" i="3"/>
  <c r="AK435" i="3"/>
  <c r="AL435" i="3"/>
  <c r="K434" i="3"/>
  <c r="O434" i="3"/>
  <c r="AC434" i="3"/>
  <c r="P434" i="3" s="1"/>
  <c r="AD434" i="3"/>
  <c r="AE434" i="3"/>
  <c r="R434" i="3" s="1"/>
  <c r="AG434" i="3"/>
  <c r="AH434" i="3"/>
  <c r="AI434" i="3"/>
  <c r="AK434" i="3"/>
  <c r="AL434" i="3"/>
  <c r="K433" i="3"/>
  <c r="O433" i="3"/>
  <c r="AC433" i="3"/>
  <c r="P433" i="3" s="1"/>
  <c r="AD433" i="3"/>
  <c r="AE433" i="3"/>
  <c r="R433" i="3" s="1"/>
  <c r="AG433" i="3"/>
  <c r="AH433" i="3"/>
  <c r="AI433" i="3"/>
  <c r="AK433" i="3"/>
  <c r="AL433" i="3"/>
  <c r="K432" i="3"/>
  <c r="O432" i="3"/>
  <c r="AC432" i="3"/>
  <c r="P432" i="3" s="1"/>
  <c r="AD432" i="3"/>
  <c r="AE432" i="3"/>
  <c r="R432" i="3" s="1"/>
  <c r="AG432" i="3"/>
  <c r="AH432" i="3"/>
  <c r="AI432" i="3"/>
  <c r="AK432" i="3"/>
  <c r="AL432" i="3"/>
  <c r="K431" i="3"/>
  <c r="O431" i="3"/>
  <c r="AC431" i="3"/>
  <c r="P431" i="3" s="1"/>
  <c r="AD431" i="3"/>
  <c r="AE431" i="3"/>
  <c r="R431" i="3" s="1"/>
  <c r="AG431" i="3"/>
  <c r="AH431" i="3"/>
  <c r="AI431" i="3"/>
  <c r="AK431" i="3"/>
  <c r="AL431" i="3"/>
  <c r="K430" i="3"/>
  <c r="O430" i="3"/>
  <c r="AC430" i="3"/>
  <c r="P430" i="3" s="1"/>
  <c r="AD430" i="3"/>
  <c r="AE430" i="3"/>
  <c r="R430" i="3" s="1"/>
  <c r="AG430" i="3"/>
  <c r="AH430" i="3"/>
  <c r="AI430" i="3"/>
  <c r="AK430" i="3"/>
  <c r="AL430" i="3"/>
  <c r="K429" i="3"/>
  <c r="O429" i="3"/>
  <c r="AC429" i="3"/>
  <c r="P429" i="3" s="1"/>
  <c r="AD429" i="3"/>
  <c r="AE429" i="3"/>
  <c r="R429" i="3" s="1"/>
  <c r="AG429" i="3"/>
  <c r="AH429" i="3"/>
  <c r="AI429" i="3"/>
  <c r="AK429" i="3"/>
  <c r="AL429" i="3"/>
  <c r="K428" i="3"/>
  <c r="O428" i="3"/>
  <c r="AC428" i="3"/>
  <c r="P428" i="3" s="1"/>
  <c r="AD428" i="3"/>
  <c r="AE428" i="3"/>
  <c r="R428" i="3" s="1"/>
  <c r="AG428" i="3"/>
  <c r="AH428" i="3"/>
  <c r="AI428" i="3"/>
  <c r="AK428" i="3"/>
  <c r="AL428" i="3"/>
  <c r="K427" i="3"/>
  <c r="O427" i="3"/>
  <c r="AC427" i="3"/>
  <c r="P427" i="3" s="1"/>
  <c r="AD427" i="3"/>
  <c r="AE427" i="3"/>
  <c r="R427" i="3" s="1"/>
  <c r="AG427" i="3"/>
  <c r="AH427" i="3"/>
  <c r="AI427" i="3"/>
  <c r="AK427" i="3"/>
  <c r="AL427" i="3"/>
  <c r="K426" i="3"/>
  <c r="O426" i="3"/>
  <c r="AC426" i="3"/>
  <c r="P426" i="3" s="1"/>
  <c r="AD426" i="3"/>
  <c r="AE426" i="3"/>
  <c r="R426" i="3" s="1"/>
  <c r="AG426" i="3"/>
  <c r="AH426" i="3"/>
  <c r="AI426" i="3"/>
  <c r="AK426" i="3"/>
  <c r="AL426" i="3"/>
  <c r="K425" i="3"/>
  <c r="O425" i="3"/>
  <c r="AC425" i="3"/>
  <c r="P425" i="3" s="1"/>
  <c r="AD425" i="3"/>
  <c r="AE425" i="3"/>
  <c r="R425" i="3" s="1"/>
  <c r="AG425" i="3"/>
  <c r="AH425" i="3"/>
  <c r="AI425" i="3"/>
  <c r="AK425" i="3"/>
  <c r="AL425" i="3"/>
  <c r="K424" i="3"/>
  <c r="O424" i="3"/>
  <c r="AC424" i="3"/>
  <c r="P424" i="3" s="1"/>
  <c r="AD424" i="3"/>
  <c r="AE424" i="3"/>
  <c r="R424" i="3" s="1"/>
  <c r="AG424" i="3"/>
  <c r="AH424" i="3"/>
  <c r="AI424" i="3"/>
  <c r="AK424" i="3"/>
  <c r="AL424" i="3"/>
  <c r="K423" i="3"/>
  <c r="O423" i="3"/>
  <c r="AC423" i="3"/>
  <c r="P423" i="3" s="1"/>
  <c r="AD423" i="3"/>
  <c r="AE423" i="3"/>
  <c r="R423" i="3" s="1"/>
  <c r="AG423" i="3"/>
  <c r="AH423" i="3"/>
  <c r="AI423" i="3"/>
  <c r="AK423" i="3"/>
  <c r="AL423" i="3"/>
  <c r="K422" i="3"/>
  <c r="O422" i="3"/>
  <c r="AC422" i="3"/>
  <c r="P422" i="3" s="1"/>
  <c r="AD422" i="3"/>
  <c r="AE422" i="3"/>
  <c r="R422" i="3" s="1"/>
  <c r="AG422" i="3"/>
  <c r="AH422" i="3"/>
  <c r="AI422" i="3"/>
  <c r="AK422" i="3"/>
  <c r="AL422" i="3"/>
  <c r="K421" i="3"/>
  <c r="O421" i="3"/>
  <c r="AC421" i="3"/>
  <c r="P421" i="3" s="1"/>
  <c r="AD421" i="3"/>
  <c r="AE421" i="3"/>
  <c r="R421" i="3" s="1"/>
  <c r="AG421" i="3"/>
  <c r="AH421" i="3"/>
  <c r="AI421" i="3"/>
  <c r="AK421" i="3"/>
  <c r="AL421" i="3"/>
  <c r="K420" i="3"/>
  <c r="O420" i="3"/>
  <c r="AC420" i="3"/>
  <c r="P420" i="3" s="1"/>
  <c r="AD420" i="3"/>
  <c r="AE420" i="3"/>
  <c r="R420" i="3" s="1"/>
  <c r="AG420" i="3"/>
  <c r="AH420" i="3"/>
  <c r="AI420" i="3"/>
  <c r="AK420" i="3"/>
  <c r="AL420" i="3"/>
  <c r="K419" i="3"/>
  <c r="O419" i="3"/>
  <c r="AC419" i="3"/>
  <c r="P419" i="3" s="1"/>
  <c r="AD419" i="3"/>
  <c r="AE419" i="3"/>
  <c r="R419" i="3" s="1"/>
  <c r="AG419" i="3"/>
  <c r="AH419" i="3"/>
  <c r="AI419" i="3"/>
  <c r="AK419" i="3"/>
  <c r="AL419" i="3"/>
  <c r="K418" i="3"/>
  <c r="O418" i="3"/>
  <c r="AC418" i="3"/>
  <c r="P418" i="3" s="1"/>
  <c r="AD418" i="3"/>
  <c r="AE418" i="3"/>
  <c r="R418" i="3" s="1"/>
  <c r="AG418" i="3"/>
  <c r="AH418" i="3"/>
  <c r="AI418" i="3"/>
  <c r="AK418" i="3"/>
  <c r="AL418" i="3"/>
  <c r="K417" i="3"/>
  <c r="O417" i="3"/>
  <c r="AC417" i="3"/>
  <c r="P417" i="3" s="1"/>
  <c r="AD417" i="3"/>
  <c r="AE417" i="3"/>
  <c r="R417" i="3" s="1"/>
  <c r="AG417" i="3"/>
  <c r="AH417" i="3"/>
  <c r="AI417" i="3"/>
  <c r="AK417" i="3"/>
  <c r="AL417" i="3"/>
  <c r="K416" i="3"/>
  <c r="O416" i="3"/>
  <c r="AC416" i="3"/>
  <c r="P416" i="3" s="1"/>
  <c r="AD416" i="3"/>
  <c r="AE416" i="3"/>
  <c r="R416" i="3" s="1"/>
  <c r="AG416" i="3"/>
  <c r="AH416" i="3"/>
  <c r="AI416" i="3"/>
  <c r="AK416" i="3"/>
  <c r="AL416" i="3"/>
  <c r="E123" i="1"/>
  <c r="K415" i="3"/>
  <c r="O415" i="3"/>
  <c r="AC415" i="3"/>
  <c r="P415" i="3" s="1"/>
  <c r="AD415" i="3"/>
  <c r="AE415" i="3"/>
  <c r="R415" i="3" s="1"/>
  <c r="AG415" i="3"/>
  <c r="AH415" i="3"/>
  <c r="AI415" i="3"/>
  <c r="AK415" i="3"/>
  <c r="AL415" i="3"/>
  <c r="K414" i="3"/>
  <c r="O414" i="3"/>
  <c r="AC414" i="3"/>
  <c r="P414" i="3" s="1"/>
  <c r="AD414" i="3"/>
  <c r="AE414" i="3"/>
  <c r="R414" i="3" s="1"/>
  <c r="AG414" i="3"/>
  <c r="AH414" i="3"/>
  <c r="AI414" i="3"/>
  <c r="AK414" i="3"/>
  <c r="AL414" i="3"/>
  <c r="K413" i="3"/>
  <c r="O413" i="3"/>
  <c r="AC413" i="3"/>
  <c r="P413" i="3" s="1"/>
  <c r="AD413" i="3"/>
  <c r="AE413" i="3"/>
  <c r="R413" i="3" s="1"/>
  <c r="AG413" i="3"/>
  <c r="AH413" i="3"/>
  <c r="AI413" i="3"/>
  <c r="AK413" i="3"/>
  <c r="AL413" i="3"/>
  <c r="K412" i="3"/>
  <c r="O412" i="3"/>
  <c r="AC412" i="3"/>
  <c r="P412" i="3" s="1"/>
  <c r="AD412" i="3"/>
  <c r="AE412" i="3"/>
  <c r="R412" i="3" s="1"/>
  <c r="AG412" i="3"/>
  <c r="AH412" i="3"/>
  <c r="AI412" i="3"/>
  <c r="AK412" i="3"/>
  <c r="AL412" i="3"/>
  <c r="K411" i="3"/>
  <c r="O411" i="3"/>
  <c r="AC411" i="3"/>
  <c r="P411" i="3" s="1"/>
  <c r="AD411" i="3"/>
  <c r="AE411" i="3"/>
  <c r="R411" i="3" s="1"/>
  <c r="AG411" i="3"/>
  <c r="AH411" i="3"/>
  <c r="AI411" i="3"/>
  <c r="AK411" i="3"/>
  <c r="AL411" i="3"/>
  <c r="K410" i="3"/>
  <c r="O410" i="3"/>
  <c r="AC410" i="3"/>
  <c r="P410" i="3" s="1"/>
  <c r="AD410" i="3"/>
  <c r="AE410" i="3"/>
  <c r="R410" i="3" s="1"/>
  <c r="AG410" i="3"/>
  <c r="AH410" i="3"/>
  <c r="AI410" i="3"/>
  <c r="AK410" i="3"/>
  <c r="AL410" i="3"/>
  <c r="AL409" i="3"/>
  <c r="AK409" i="3"/>
  <c r="AI409" i="3"/>
  <c r="AH409" i="3"/>
  <c r="AG409" i="3"/>
  <c r="AE409" i="3"/>
  <c r="R409" i="3" s="1"/>
  <c r="AD409" i="3"/>
  <c r="AC409" i="3"/>
  <c r="P409" i="3" s="1"/>
  <c r="O409" i="3"/>
  <c r="K409" i="3"/>
  <c r="AL408" i="3"/>
  <c r="AK408" i="3"/>
  <c r="AI408" i="3"/>
  <c r="AH408" i="3"/>
  <c r="AG408" i="3"/>
  <c r="AE408" i="3"/>
  <c r="R408" i="3" s="1"/>
  <c r="AD408" i="3"/>
  <c r="AC408" i="3"/>
  <c r="O408" i="3"/>
  <c r="K408" i="3"/>
  <c r="AL407" i="3"/>
  <c r="AK407" i="3"/>
  <c r="AI407" i="3"/>
  <c r="AH407" i="3"/>
  <c r="AG407" i="3"/>
  <c r="AE407" i="3"/>
  <c r="R407" i="3" s="1"/>
  <c r="AD407" i="3"/>
  <c r="AC407" i="3"/>
  <c r="O407" i="3"/>
  <c r="K407" i="3"/>
  <c r="AL406" i="3"/>
  <c r="AK406" i="3"/>
  <c r="AI406" i="3"/>
  <c r="AH406" i="3"/>
  <c r="AG406" i="3"/>
  <c r="AE406" i="3"/>
  <c r="R406" i="3" s="1"/>
  <c r="AD406" i="3"/>
  <c r="AC406" i="3"/>
  <c r="P406" i="3" s="1"/>
  <c r="O406" i="3"/>
  <c r="K406" i="3"/>
  <c r="AL405" i="3"/>
  <c r="AK405" i="3"/>
  <c r="AI405" i="3"/>
  <c r="AH405" i="3"/>
  <c r="AG405" i="3"/>
  <c r="AE405" i="3"/>
  <c r="R405" i="3" s="1"/>
  <c r="AD405" i="3"/>
  <c r="AC405" i="3"/>
  <c r="P405" i="3" s="1"/>
  <c r="O405" i="3"/>
  <c r="K405" i="3"/>
  <c r="AL404" i="3"/>
  <c r="AK404" i="3"/>
  <c r="AI404" i="3"/>
  <c r="AH404" i="3"/>
  <c r="AG404" i="3"/>
  <c r="AE404" i="3"/>
  <c r="R404" i="3" s="1"/>
  <c r="AD404" i="3"/>
  <c r="AC404" i="3"/>
  <c r="P404" i="3" s="1"/>
  <c r="O404" i="3"/>
  <c r="K404" i="3"/>
  <c r="AL403" i="3"/>
  <c r="AK403" i="3"/>
  <c r="AI403" i="3"/>
  <c r="AH403" i="3"/>
  <c r="AG403" i="3"/>
  <c r="AE403" i="3"/>
  <c r="R403" i="3" s="1"/>
  <c r="AD403" i="3"/>
  <c r="AC403" i="3"/>
  <c r="O403" i="3"/>
  <c r="K403" i="3"/>
  <c r="E122" i="1"/>
  <c r="AF406" i="3" s="1"/>
  <c r="AL402" i="3"/>
  <c r="AK402" i="3"/>
  <c r="AI402" i="3"/>
  <c r="AH402" i="3"/>
  <c r="AG402" i="3"/>
  <c r="AE402" i="3"/>
  <c r="R402" i="3" s="1"/>
  <c r="AD402" i="3"/>
  <c r="AC402" i="3"/>
  <c r="O402" i="3"/>
  <c r="K402" i="3"/>
  <c r="AL401" i="3"/>
  <c r="AK401" i="3"/>
  <c r="AI401" i="3"/>
  <c r="AH401" i="3"/>
  <c r="AG401" i="3"/>
  <c r="AE401" i="3"/>
  <c r="R401" i="3" s="1"/>
  <c r="AD401" i="3"/>
  <c r="AC401" i="3"/>
  <c r="P401" i="3" s="1"/>
  <c r="O401" i="3"/>
  <c r="K401" i="3"/>
  <c r="AF466" i="3" l="1"/>
  <c r="AF1040" i="3"/>
  <c r="L402" i="3"/>
  <c r="N402" i="3" s="1"/>
  <c r="P402" i="3"/>
  <c r="L452" i="3"/>
  <c r="N452" i="3" s="1"/>
  <c r="P452" i="3"/>
  <c r="L454" i="3"/>
  <c r="N454" i="3" s="1"/>
  <c r="P454" i="3"/>
  <c r="L408" i="3"/>
  <c r="M408" i="3" s="1"/>
  <c r="Q408" i="3" s="1"/>
  <c r="S408" i="3" s="1"/>
  <c r="P408" i="3"/>
  <c r="L455" i="3"/>
  <c r="N455" i="3" s="1"/>
  <c r="P455" i="3"/>
  <c r="L403" i="3"/>
  <c r="N403" i="3" s="1"/>
  <c r="P403" i="3"/>
  <c r="L407" i="3"/>
  <c r="N407" i="3" s="1"/>
  <c r="P407" i="3"/>
  <c r="M674" i="3"/>
  <c r="N674" i="3"/>
  <c r="M673" i="3"/>
  <c r="N673" i="3"/>
  <c r="M672" i="3"/>
  <c r="N672" i="3"/>
  <c r="M671" i="3"/>
  <c r="N671" i="3"/>
  <c r="M670" i="3"/>
  <c r="N670" i="3"/>
  <c r="M669" i="3"/>
  <c r="N669" i="3"/>
  <c r="M668" i="3"/>
  <c r="N668" i="3"/>
  <c r="M667" i="3"/>
  <c r="N667" i="3"/>
  <c r="M666" i="3"/>
  <c r="N666" i="3"/>
  <c r="M665" i="3"/>
  <c r="N665" i="3"/>
  <c r="M664" i="3"/>
  <c r="N664" i="3"/>
  <c r="M663" i="3"/>
  <c r="N663" i="3"/>
  <c r="M662" i="3"/>
  <c r="N662" i="3"/>
  <c r="M661" i="3"/>
  <c r="N661" i="3"/>
  <c r="M660" i="3"/>
  <c r="N660" i="3"/>
  <c r="M659" i="3"/>
  <c r="N659" i="3"/>
  <c r="M658" i="3"/>
  <c r="N658" i="3"/>
  <c r="M657" i="3"/>
  <c r="N657" i="3"/>
  <c r="M656" i="3"/>
  <c r="N656" i="3"/>
  <c r="M655" i="3"/>
  <c r="N655" i="3"/>
  <c r="M654" i="3"/>
  <c r="N654" i="3"/>
  <c r="M653" i="3"/>
  <c r="N653" i="3"/>
  <c r="M652" i="3"/>
  <c r="N652" i="3"/>
  <c r="M651" i="3"/>
  <c r="N651" i="3"/>
  <c r="M650" i="3"/>
  <c r="N650" i="3"/>
  <c r="M649" i="3"/>
  <c r="N649" i="3"/>
  <c r="M648" i="3"/>
  <c r="N648" i="3"/>
  <c r="M647" i="3"/>
  <c r="N647" i="3"/>
  <c r="M646" i="3"/>
  <c r="N646" i="3"/>
  <c r="M645" i="3"/>
  <c r="N645" i="3"/>
  <c r="M644" i="3"/>
  <c r="N644" i="3"/>
  <c r="M643" i="3"/>
  <c r="N643" i="3"/>
  <c r="M642" i="3"/>
  <c r="N642" i="3"/>
  <c r="M641" i="3"/>
  <c r="N641" i="3"/>
  <c r="M640" i="3"/>
  <c r="N640" i="3"/>
  <c r="M639" i="3"/>
  <c r="N639" i="3"/>
  <c r="M638" i="3"/>
  <c r="N638" i="3"/>
  <c r="M637" i="3"/>
  <c r="N637" i="3"/>
  <c r="M636" i="3"/>
  <c r="N636" i="3"/>
  <c r="M635" i="3"/>
  <c r="N635" i="3"/>
  <c r="M634" i="3"/>
  <c r="N634" i="3"/>
  <c r="M633" i="3"/>
  <c r="N633" i="3"/>
  <c r="M632" i="3"/>
  <c r="N632" i="3"/>
  <c r="M631" i="3"/>
  <c r="N631" i="3"/>
  <c r="M630" i="3"/>
  <c r="N630" i="3"/>
  <c r="M629" i="3"/>
  <c r="N629" i="3"/>
  <c r="M628" i="3"/>
  <c r="N628" i="3"/>
  <c r="M627" i="3"/>
  <c r="N627" i="3"/>
  <c r="M626" i="3"/>
  <c r="N626" i="3"/>
  <c r="M625" i="3"/>
  <c r="N625" i="3"/>
  <c r="M624" i="3"/>
  <c r="N624" i="3"/>
  <c r="M623" i="3"/>
  <c r="N623" i="3"/>
  <c r="M622" i="3"/>
  <c r="N622" i="3"/>
  <c r="M621" i="3"/>
  <c r="N621" i="3"/>
  <c r="M620" i="3"/>
  <c r="N620" i="3"/>
  <c r="M619" i="3"/>
  <c r="N619" i="3"/>
  <c r="M618" i="3"/>
  <c r="N618" i="3"/>
  <c r="M617" i="3"/>
  <c r="N617" i="3"/>
  <c r="M616" i="3"/>
  <c r="N616" i="3"/>
  <c r="M615" i="3"/>
  <c r="N615" i="3"/>
  <c r="M614" i="3"/>
  <c r="N614" i="3"/>
  <c r="M613" i="3"/>
  <c r="N613" i="3"/>
  <c r="M612" i="3"/>
  <c r="N612" i="3"/>
  <c r="M611" i="3"/>
  <c r="N611" i="3"/>
  <c r="M610" i="3"/>
  <c r="N610" i="3"/>
  <c r="M609" i="3"/>
  <c r="N609" i="3"/>
  <c r="M608" i="3"/>
  <c r="N608" i="3"/>
  <c r="M607" i="3"/>
  <c r="N607" i="3"/>
  <c r="M606" i="3"/>
  <c r="N606" i="3"/>
  <c r="M605" i="3"/>
  <c r="N605" i="3"/>
  <c r="M604" i="3"/>
  <c r="N604" i="3"/>
  <c r="M603" i="3"/>
  <c r="N603" i="3"/>
  <c r="M602" i="3"/>
  <c r="N602" i="3"/>
  <c r="M601" i="3"/>
  <c r="N601" i="3"/>
  <c r="M600" i="3"/>
  <c r="N600" i="3"/>
  <c r="M599" i="3"/>
  <c r="N599" i="3"/>
  <c r="M598" i="3"/>
  <c r="N598" i="3"/>
  <c r="M597" i="3"/>
  <c r="N597" i="3"/>
  <c r="M596" i="3"/>
  <c r="N596" i="3"/>
  <c r="M595" i="3"/>
  <c r="N595" i="3"/>
  <c r="M594" i="3"/>
  <c r="N594" i="3"/>
  <c r="M593" i="3"/>
  <c r="N593" i="3"/>
  <c r="M592" i="3"/>
  <c r="N592" i="3"/>
  <c r="M591" i="3"/>
  <c r="N591" i="3"/>
  <c r="M590" i="3"/>
  <c r="N590" i="3"/>
  <c r="M589" i="3"/>
  <c r="N589" i="3"/>
  <c r="M588" i="3"/>
  <c r="N588" i="3"/>
  <c r="M587" i="3"/>
  <c r="N587" i="3"/>
  <c r="M586" i="3"/>
  <c r="N586" i="3"/>
  <c r="M585" i="3"/>
  <c r="N585" i="3"/>
  <c r="M584" i="3"/>
  <c r="N584" i="3"/>
  <c r="M583" i="3"/>
  <c r="N583" i="3"/>
  <c r="M582" i="3"/>
  <c r="N582" i="3"/>
  <c r="M581" i="3"/>
  <c r="N581" i="3"/>
  <c r="M580" i="3"/>
  <c r="N580" i="3"/>
  <c r="M579" i="3"/>
  <c r="N579" i="3"/>
  <c r="M578" i="3"/>
  <c r="N578" i="3"/>
  <c r="M577" i="3"/>
  <c r="N577" i="3"/>
  <c r="M576" i="3"/>
  <c r="N576" i="3"/>
  <c r="M575" i="3"/>
  <c r="N575" i="3"/>
  <c r="M574" i="3"/>
  <c r="N574" i="3"/>
  <c r="M573" i="3"/>
  <c r="N573" i="3"/>
  <c r="M572" i="3"/>
  <c r="N572" i="3"/>
  <c r="M571" i="3"/>
  <c r="N571" i="3"/>
  <c r="M570" i="3"/>
  <c r="N570" i="3"/>
  <c r="M569" i="3"/>
  <c r="N569" i="3"/>
  <c r="M568" i="3"/>
  <c r="N568" i="3"/>
  <c r="M567" i="3"/>
  <c r="N567" i="3"/>
  <c r="M566" i="3"/>
  <c r="N566" i="3"/>
  <c r="M565" i="3"/>
  <c r="N565" i="3"/>
  <c r="M564" i="3"/>
  <c r="N564" i="3"/>
  <c r="M563" i="3"/>
  <c r="N563" i="3"/>
  <c r="M562" i="3"/>
  <c r="N562" i="3"/>
  <c r="M561" i="3"/>
  <c r="N561" i="3"/>
  <c r="M560" i="3"/>
  <c r="N560" i="3"/>
  <c r="M559" i="3"/>
  <c r="N559" i="3"/>
  <c r="M558" i="3"/>
  <c r="N558" i="3"/>
  <c r="M557" i="3"/>
  <c r="N557" i="3"/>
  <c r="M556" i="3"/>
  <c r="N556" i="3"/>
  <c r="M555" i="3"/>
  <c r="N555" i="3"/>
  <c r="M554" i="3"/>
  <c r="N554" i="3"/>
  <c r="M553" i="3"/>
  <c r="N553" i="3"/>
  <c r="M552" i="3"/>
  <c r="N552" i="3"/>
  <c r="M551" i="3"/>
  <c r="N551" i="3"/>
  <c r="M550" i="3"/>
  <c r="N550" i="3"/>
  <c r="M549" i="3"/>
  <c r="N549" i="3"/>
  <c r="M548" i="3"/>
  <c r="N548" i="3"/>
  <c r="M547" i="3"/>
  <c r="N547" i="3"/>
  <c r="M546" i="3"/>
  <c r="N546" i="3"/>
  <c r="M545" i="3"/>
  <c r="N545" i="3"/>
  <c r="M544" i="3"/>
  <c r="N544" i="3"/>
  <c r="M543" i="3"/>
  <c r="N543" i="3"/>
  <c r="M542" i="3"/>
  <c r="N542" i="3"/>
  <c r="M541" i="3"/>
  <c r="N541" i="3"/>
  <c r="M540" i="3"/>
  <c r="N540" i="3"/>
  <c r="M539" i="3"/>
  <c r="N539" i="3"/>
  <c r="M538" i="3"/>
  <c r="N538" i="3"/>
  <c r="M537" i="3"/>
  <c r="N537" i="3"/>
  <c r="M536" i="3"/>
  <c r="N536" i="3"/>
  <c r="M535" i="3"/>
  <c r="N535" i="3"/>
  <c r="M534" i="3"/>
  <c r="N534" i="3"/>
  <c r="M533" i="3"/>
  <c r="N533" i="3"/>
  <c r="M532" i="3"/>
  <c r="N532" i="3"/>
  <c r="M531" i="3"/>
  <c r="N531" i="3"/>
  <c r="M530" i="3"/>
  <c r="N530" i="3"/>
  <c r="M529" i="3"/>
  <c r="N529" i="3"/>
  <c r="M528" i="3"/>
  <c r="N528" i="3"/>
  <c r="M527" i="3"/>
  <c r="N527" i="3"/>
  <c r="M526" i="3"/>
  <c r="N526" i="3"/>
  <c r="M525" i="3"/>
  <c r="N525" i="3"/>
  <c r="M524" i="3"/>
  <c r="N524" i="3"/>
  <c r="M523" i="3"/>
  <c r="N523" i="3"/>
  <c r="M522" i="3"/>
  <c r="N522" i="3"/>
  <c r="M521" i="3"/>
  <c r="N521" i="3"/>
  <c r="M520" i="3"/>
  <c r="N520" i="3"/>
  <c r="M519" i="3"/>
  <c r="N519" i="3"/>
  <c r="M518" i="3"/>
  <c r="N518" i="3"/>
  <c r="M517" i="3"/>
  <c r="N517" i="3"/>
  <c r="M516" i="3"/>
  <c r="N516" i="3"/>
  <c r="M515" i="3"/>
  <c r="N515" i="3"/>
  <c r="M514" i="3"/>
  <c r="N514" i="3"/>
  <c r="M513" i="3"/>
  <c r="N513" i="3"/>
  <c r="M512" i="3"/>
  <c r="N512" i="3"/>
  <c r="M511" i="3"/>
  <c r="N511" i="3"/>
  <c r="M510" i="3"/>
  <c r="N510" i="3"/>
  <c r="M509" i="3"/>
  <c r="N509" i="3"/>
  <c r="M508" i="3"/>
  <c r="N508" i="3"/>
  <c r="M507" i="3"/>
  <c r="N507" i="3"/>
  <c r="M506" i="3"/>
  <c r="N506" i="3"/>
  <c r="M505" i="3"/>
  <c r="N505" i="3"/>
  <c r="M504" i="3"/>
  <c r="N504" i="3"/>
  <c r="M503" i="3"/>
  <c r="N503" i="3"/>
  <c r="M502" i="3"/>
  <c r="N502" i="3"/>
  <c r="M501" i="3"/>
  <c r="N501" i="3"/>
  <c r="M500" i="3"/>
  <c r="N500" i="3"/>
  <c r="M499" i="3"/>
  <c r="N499" i="3"/>
  <c r="M498" i="3"/>
  <c r="N498" i="3"/>
  <c r="M497" i="3"/>
  <c r="N497" i="3"/>
  <c r="M496" i="3"/>
  <c r="N496" i="3"/>
  <c r="M494" i="3"/>
  <c r="Q494" i="3" s="1"/>
  <c r="S494" i="3" s="1"/>
  <c r="M495" i="3"/>
  <c r="Q495" i="3" s="1"/>
  <c r="S495" i="3" s="1"/>
  <c r="M486" i="3"/>
  <c r="Q486" i="3" s="1"/>
  <c r="M493" i="3"/>
  <c r="N493" i="3"/>
  <c r="S492" i="3"/>
  <c r="AF402" i="3"/>
  <c r="M485" i="3"/>
  <c r="N485" i="3"/>
  <c r="Y460" i="3"/>
  <c r="L457" i="3"/>
  <c r="N457" i="3" s="1"/>
  <c r="N476" i="3"/>
  <c r="M476" i="3"/>
  <c r="M491" i="3"/>
  <c r="N491" i="3"/>
  <c r="M490" i="3"/>
  <c r="N490" i="3"/>
  <c r="M489" i="3"/>
  <c r="N489" i="3"/>
  <c r="M488" i="3"/>
  <c r="N488" i="3"/>
  <c r="M487" i="3"/>
  <c r="N487" i="3"/>
  <c r="M484" i="3"/>
  <c r="N484" i="3"/>
  <c r="M483" i="3"/>
  <c r="N483" i="3"/>
  <c r="M482" i="3"/>
  <c r="N482" i="3"/>
  <c r="M481" i="3"/>
  <c r="N481" i="3"/>
  <c r="M480" i="3"/>
  <c r="N480" i="3"/>
  <c r="M479" i="3"/>
  <c r="N479" i="3"/>
  <c r="M478" i="3"/>
  <c r="N478" i="3"/>
  <c r="M477" i="3"/>
  <c r="N477" i="3"/>
  <c r="M475" i="3"/>
  <c r="N475" i="3"/>
  <c r="M474" i="3"/>
  <c r="N474" i="3"/>
  <c r="M473" i="3"/>
  <c r="N473" i="3"/>
  <c r="M472" i="3"/>
  <c r="N472" i="3"/>
  <c r="M471" i="3"/>
  <c r="N471" i="3"/>
  <c r="M470" i="3"/>
  <c r="N470" i="3"/>
  <c r="M469" i="3"/>
  <c r="N469" i="3"/>
  <c r="M468" i="3"/>
  <c r="N468" i="3"/>
  <c r="M467" i="3"/>
  <c r="N467" i="3"/>
  <c r="M466" i="3"/>
  <c r="N466" i="3"/>
  <c r="M465" i="3"/>
  <c r="N465" i="3"/>
  <c r="M464" i="3"/>
  <c r="N464" i="3"/>
  <c r="AF458" i="3"/>
  <c r="AF463" i="3"/>
  <c r="M463" i="3"/>
  <c r="N463" i="3"/>
  <c r="M462" i="3"/>
  <c r="N462" i="3"/>
  <c r="AF460" i="3"/>
  <c r="M461" i="3"/>
  <c r="N461" i="3"/>
  <c r="L460" i="3"/>
  <c r="Y443" i="3"/>
  <c r="L459" i="3"/>
  <c r="N459" i="3" s="1"/>
  <c r="Y459" i="3"/>
  <c r="L443" i="3"/>
  <c r="L458" i="3"/>
  <c r="N458" i="3" s="1"/>
  <c r="Y458" i="3"/>
  <c r="Y457" i="3"/>
  <c r="L456" i="3"/>
  <c r="M456" i="3" s="1"/>
  <c r="Q456" i="3" s="1"/>
  <c r="L453" i="3"/>
  <c r="N453" i="3" s="1"/>
  <c r="Y456" i="3"/>
  <c r="Y455" i="3"/>
  <c r="Y454" i="3"/>
  <c r="Y453" i="3"/>
  <c r="Y452" i="3"/>
  <c r="M452" i="3"/>
  <c r="Q452" i="3" s="1"/>
  <c r="Y451" i="3"/>
  <c r="L451" i="3"/>
  <c r="Y402" i="3"/>
  <c r="L409" i="3"/>
  <c r="M409" i="3" s="1"/>
  <c r="Q409" i="3" s="1"/>
  <c r="S409" i="3" s="1"/>
  <c r="L406" i="3"/>
  <c r="N406" i="3" s="1"/>
  <c r="Y450" i="3"/>
  <c r="L450" i="3"/>
  <c r="Y449" i="3"/>
  <c r="L449" i="3"/>
  <c r="Y448" i="3"/>
  <c r="L448" i="3"/>
  <c r="Y447" i="3"/>
  <c r="L447" i="3"/>
  <c r="Y446" i="3"/>
  <c r="L446" i="3"/>
  <c r="Y445" i="3"/>
  <c r="L445" i="3"/>
  <c r="Y444" i="3"/>
  <c r="L444" i="3"/>
  <c r="Y442" i="3"/>
  <c r="L442" i="3"/>
  <c r="Y441" i="3"/>
  <c r="L441" i="3"/>
  <c r="Y440" i="3"/>
  <c r="L440" i="3"/>
  <c r="Y439" i="3"/>
  <c r="L439" i="3"/>
  <c r="Y438" i="3"/>
  <c r="L438" i="3"/>
  <c r="Y437" i="3"/>
  <c r="L437" i="3"/>
  <c r="Y436" i="3"/>
  <c r="L436" i="3"/>
  <c r="Y435" i="3"/>
  <c r="L435" i="3"/>
  <c r="Y434" i="3"/>
  <c r="L434" i="3"/>
  <c r="Y433" i="3"/>
  <c r="L433" i="3"/>
  <c r="Y432" i="3"/>
  <c r="L432" i="3"/>
  <c r="Y431" i="3"/>
  <c r="L431" i="3"/>
  <c r="Y430" i="3"/>
  <c r="L430" i="3"/>
  <c r="Y429" i="3"/>
  <c r="L429" i="3"/>
  <c r="Y428" i="3"/>
  <c r="L428" i="3"/>
  <c r="Y427" i="3"/>
  <c r="L427" i="3"/>
  <c r="Y426" i="3"/>
  <c r="L426" i="3"/>
  <c r="Y425" i="3"/>
  <c r="L425" i="3"/>
  <c r="Y424" i="3"/>
  <c r="L424" i="3"/>
  <c r="Y423" i="3"/>
  <c r="L423" i="3"/>
  <c r="AF416" i="3"/>
  <c r="AF422" i="3"/>
  <c r="Y422" i="3"/>
  <c r="L422" i="3"/>
  <c r="Y421" i="3"/>
  <c r="L421" i="3"/>
  <c r="Y420" i="3"/>
  <c r="L420" i="3"/>
  <c r="Y419" i="3"/>
  <c r="L419" i="3"/>
  <c r="Y418" i="3"/>
  <c r="L418" i="3"/>
  <c r="Y417" i="3"/>
  <c r="L417" i="3"/>
  <c r="Y416" i="3"/>
  <c r="L416" i="3"/>
  <c r="Y415" i="3"/>
  <c r="L415" i="3"/>
  <c r="Y414" i="3"/>
  <c r="L414" i="3"/>
  <c r="Y413" i="3"/>
  <c r="L413" i="3"/>
  <c r="Y412" i="3"/>
  <c r="L412" i="3"/>
  <c r="Y411" i="3"/>
  <c r="L411" i="3"/>
  <c r="Y410" i="3"/>
  <c r="L410" i="3"/>
  <c r="Y409" i="3"/>
  <c r="Y408" i="3"/>
  <c r="Y407" i="3"/>
  <c r="N408" i="3"/>
  <c r="Y406" i="3"/>
  <c r="L405" i="3"/>
  <c r="N405" i="3" s="1"/>
  <c r="Y405" i="3"/>
  <c r="L404" i="3"/>
  <c r="N404" i="3" s="1"/>
  <c r="Y404" i="3"/>
  <c r="Y403" i="3"/>
  <c r="L401" i="3"/>
  <c r="N401" i="3" s="1"/>
  <c r="Y401" i="3"/>
  <c r="M455" i="3" l="1"/>
  <c r="Q455" i="3" s="1"/>
  <c r="M403" i="3"/>
  <c r="Q403" i="3" s="1"/>
  <c r="M402" i="3"/>
  <c r="Q402" i="3" s="1"/>
  <c r="S402" i="3" s="1"/>
  <c r="M407" i="3"/>
  <c r="Q407" i="3" s="1"/>
  <c r="S407" i="3" s="1"/>
  <c r="M454" i="3"/>
  <c r="Q454" i="3" s="1"/>
  <c r="S454" i="3" s="1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S455" i="3"/>
  <c r="S456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S486" i="3"/>
  <c r="M457" i="3"/>
  <c r="Q457" i="3" s="1"/>
  <c r="S457" i="3" s="1"/>
  <c r="Q493" i="3"/>
  <c r="Q485" i="3"/>
  <c r="Q476" i="3"/>
  <c r="M406" i="3"/>
  <c r="Q406" i="3" s="1"/>
  <c r="S406" i="3" s="1"/>
  <c r="Q491" i="3"/>
  <c r="Q490" i="3"/>
  <c r="Q489" i="3"/>
  <c r="Q488" i="3"/>
  <c r="Q487" i="3"/>
  <c r="Q484" i="3"/>
  <c r="Q483" i="3"/>
  <c r="Q482" i="3"/>
  <c r="Q481" i="3"/>
  <c r="Q480" i="3"/>
  <c r="Q479" i="3"/>
  <c r="Q478" i="3"/>
  <c r="Q477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M460" i="3"/>
  <c r="N460" i="3"/>
  <c r="N456" i="3"/>
  <c r="M458" i="3"/>
  <c r="Q458" i="3" s="1"/>
  <c r="S458" i="3" s="1"/>
  <c r="M459" i="3"/>
  <c r="Q459" i="3" s="1"/>
  <c r="S459" i="3" s="1"/>
  <c r="M443" i="3"/>
  <c r="N443" i="3"/>
  <c r="M453" i="3"/>
  <c r="Q453" i="3" s="1"/>
  <c r="S453" i="3" s="1"/>
  <c r="N409" i="3"/>
  <c r="S452" i="3"/>
  <c r="N451" i="3"/>
  <c r="M451" i="3"/>
  <c r="M401" i="3"/>
  <c r="Q401" i="3" s="1"/>
  <c r="S401" i="3" s="1"/>
  <c r="M450" i="3"/>
  <c r="N450" i="3"/>
  <c r="M449" i="3"/>
  <c r="N449" i="3"/>
  <c r="M448" i="3"/>
  <c r="N448" i="3"/>
  <c r="M447" i="3"/>
  <c r="N447" i="3"/>
  <c r="M446" i="3"/>
  <c r="N446" i="3"/>
  <c r="M445" i="3"/>
  <c r="N445" i="3"/>
  <c r="M444" i="3"/>
  <c r="N444" i="3"/>
  <c r="M442" i="3"/>
  <c r="N442" i="3"/>
  <c r="M441" i="3"/>
  <c r="N441" i="3"/>
  <c r="M440" i="3"/>
  <c r="N440" i="3"/>
  <c r="M439" i="3"/>
  <c r="N439" i="3"/>
  <c r="M438" i="3"/>
  <c r="N438" i="3"/>
  <c r="M437" i="3"/>
  <c r="N437" i="3"/>
  <c r="M436" i="3"/>
  <c r="N436" i="3"/>
  <c r="M435" i="3"/>
  <c r="N435" i="3"/>
  <c r="M434" i="3"/>
  <c r="N434" i="3"/>
  <c r="M433" i="3"/>
  <c r="N433" i="3"/>
  <c r="M432" i="3"/>
  <c r="N432" i="3"/>
  <c r="M431" i="3"/>
  <c r="N431" i="3"/>
  <c r="M430" i="3"/>
  <c r="N430" i="3"/>
  <c r="M429" i="3"/>
  <c r="N429" i="3"/>
  <c r="M428" i="3"/>
  <c r="N428" i="3"/>
  <c r="M427" i="3"/>
  <c r="N427" i="3"/>
  <c r="M426" i="3"/>
  <c r="N426" i="3"/>
  <c r="M425" i="3"/>
  <c r="N425" i="3"/>
  <c r="M424" i="3"/>
  <c r="N424" i="3"/>
  <c r="M423" i="3"/>
  <c r="N423" i="3"/>
  <c r="M422" i="3"/>
  <c r="N422" i="3"/>
  <c r="M421" i="3"/>
  <c r="N421" i="3"/>
  <c r="M420" i="3"/>
  <c r="N420" i="3"/>
  <c r="M419" i="3"/>
  <c r="N419" i="3"/>
  <c r="M418" i="3"/>
  <c r="N418" i="3"/>
  <c r="M417" i="3"/>
  <c r="N417" i="3"/>
  <c r="M416" i="3"/>
  <c r="N416" i="3"/>
  <c r="M415" i="3"/>
  <c r="N415" i="3"/>
  <c r="M414" i="3"/>
  <c r="N414" i="3"/>
  <c r="M413" i="3"/>
  <c r="N413" i="3"/>
  <c r="M412" i="3"/>
  <c r="N412" i="3"/>
  <c r="M411" i="3"/>
  <c r="N411" i="3"/>
  <c r="M410" i="3"/>
  <c r="N410" i="3"/>
  <c r="M404" i="3"/>
  <c r="Q404" i="3" s="1"/>
  <c r="S404" i="3" s="1"/>
  <c r="M405" i="3"/>
  <c r="Q405" i="3" s="1"/>
  <c r="S405" i="3" s="1"/>
  <c r="S403" i="3"/>
  <c r="S674" i="3" l="1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3" i="3"/>
  <c r="S485" i="3"/>
  <c r="S476" i="3"/>
  <c r="S491" i="3"/>
  <c r="S490" i="3"/>
  <c r="S489" i="3"/>
  <c r="S488" i="3"/>
  <c r="S487" i="3"/>
  <c r="S484" i="3"/>
  <c r="S483" i="3"/>
  <c r="S482" i="3"/>
  <c r="S481" i="3"/>
  <c r="S480" i="3"/>
  <c r="S479" i="3"/>
  <c r="S478" i="3"/>
  <c r="S477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Q460" i="3"/>
  <c r="Q443" i="3"/>
  <c r="Q451" i="3"/>
  <c r="Q450" i="3"/>
  <c r="Q449" i="3"/>
  <c r="Q448" i="3"/>
  <c r="Q447" i="3"/>
  <c r="Q446" i="3"/>
  <c r="Q445" i="3"/>
  <c r="Q444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S460" i="3" l="1"/>
  <c r="S443" i="3"/>
  <c r="S451" i="3"/>
  <c r="S450" i="3"/>
  <c r="S449" i="3"/>
  <c r="S448" i="3"/>
  <c r="S447" i="3"/>
  <c r="S446" i="3"/>
  <c r="S445" i="3"/>
  <c r="S444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E177" i="1"/>
  <c r="AF401" i="3" s="1"/>
  <c r="AL400" i="3" l="1"/>
  <c r="AK400" i="3"/>
  <c r="AI400" i="3"/>
  <c r="AH400" i="3"/>
  <c r="AG400" i="3"/>
  <c r="AF400" i="3"/>
  <c r="AE400" i="3"/>
  <c r="R400" i="3" s="1"/>
  <c r="AD400" i="3"/>
  <c r="AC400" i="3"/>
  <c r="P400" i="3" s="1"/>
  <c r="O400" i="3"/>
  <c r="K400" i="3"/>
  <c r="AL399" i="3"/>
  <c r="AK399" i="3"/>
  <c r="AI399" i="3"/>
  <c r="AH399" i="3"/>
  <c r="AG399" i="3"/>
  <c r="AE399" i="3"/>
  <c r="R399" i="3" s="1"/>
  <c r="AD399" i="3"/>
  <c r="AC399" i="3"/>
  <c r="P399" i="3" s="1"/>
  <c r="O399" i="3"/>
  <c r="K399" i="3"/>
  <c r="AL398" i="3"/>
  <c r="AK398" i="3"/>
  <c r="AI398" i="3"/>
  <c r="AH398" i="3"/>
  <c r="AG398" i="3"/>
  <c r="AE398" i="3"/>
  <c r="R398" i="3" s="1"/>
  <c r="AD398" i="3"/>
  <c r="AC398" i="3"/>
  <c r="P398" i="3" s="1"/>
  <c r="O398" i="3"/>
  <c r="K398" i="3"/>
  <c r="AL397" i="3"/>
  <c r="AK397" i="3"/>
  <c r="AI397" i="3"/>
  <c r="AH397" i="3"/>
  <c r="AG397" i="3"/>
  <c r="AE397" i="3"/>
  <c r="R397" i="3" s="1"/>
  <c r="AD397" i="3"/>
  <c r="AC397" i="3"/>
  <c r="P397" i="3" s="1"/>
  <c r="O397" i="3"/>
  <c r="K397" i="3"/>
  <c r="AL396" i="3"/>
  <c r="AK396" i="3"/>
  <c r="AI396" i="3"/>
  <c r="AH396" i="3"/>
  <c r="AG396" i="3"/>
  <c r="AE396" i="3"/>
  <c r="R396" i="3" s="1"/>
  <c r="AD396" i="3"/>
  <c r="AC396" i="3"/>
  <c r="O396" i="3"/>
  <c r="K396" i="3"/>
  <c r="AL395" i="3"/>
  <c r="AK395" i="3"/>
  <c r="AI395" i="3"/>
  <c r="AH395" i="3"/>
  <c r="AG395" i="3"/>
  <c r="AE395" i="3"/>
  <c r="R395" i="3" s="1"/>
  <c r="AD395" i="3"/>
  <c r="AC395" i="3"/>
  <c r="P395" i="3" s="1"/>
  <c r="O395" i="3"/>
  <c r="K395" i="3"/>
  <c r="AL394" i="3"/>
  <c r="AK394" i="3"/>
  <c r="AI394" i="3"/>
  <c r="AH394" i="3"/>
  <c r="AG394" i="3"/>
  <c r="AE394" i="3"/>
  <c r="R394" i="3" s="1"/>
  <c r="AD394" i="3"/>
  <c r="AC394" i="3"/>
  <c r="P394" i="3" s="1"/>
  <c r="O394" i="3"/>
  <c r="K394" i="3"/>
  <c r="AL393" i="3"/>
  <c r="AK393" i="3"/>
  <c r="AI393" i="3"/>
  <c r="AH393" i="3"/>
  <c r="AG393" i="3"/>
  <c r="AE393" i="3"/>
  <c r="R393" i="3" s="1"/>
  <c r="AD393" i="3"/>
  <c r="AC393" i="3"/>
  <c r="O393" i="3"/>
  <c r="K393" i="3"/>
  <c r="AL392" i="3"/>
  <c r="AK392" i="3"/>
  <c r="AI392" i="3"/>
  <c r="AH392" i="3"/>
  <c r="AG392" i="3"/>
  <c r="AE392" i="3"/>
  <c r="R392" i="3" s="1"/>
  <c r="AD392" i="3"/>
  <c r="AC392" i="3"/>
  <c r="P392" i="3" s="1"/>
  <c r="O392" i="3"/>
  <c r="K392" i="3"/>
  <c r="E121" i="1"/>
  <c r="AF396" i="3" s="1"/>
  <c r="L393" i="3" l="1"/>
  <c r="N393" i="3" s="1"/>
  <c r="P393" i="3"/>
  <c r="L396" i="3"/>
  <c r="N396" i="3" s="1"/>
  <c r="P396" i="3"/>
  <c r="L397" i="3"/>
  <c r="M397" i="3" s="1"/>
  <c r="Q397" i="3" s="1"/>
  <c r="S397" i="3" s="1"/>
  <c r="L395" i="3"/>
  <c r="M395" i="3" s="1"/>
  <c r="Q395" i="3" s="1"/>
  <c r="S395" i="3" s="1"/>
  <c r="Y395" i="3"/>
  <c r="Y396" i="3"/>
  <c r="Y393" i="3"/>
  <c r="Y397" i="3"/>
  <c r="L392" i="3"/>
  <c r="N392" i="3" s="1"/>
  <c r="Y394" i="3"/>
  <c r="Y392" i="3"/>
  <c r="Y398" i="3"/>
  <c r="Y399" i="3"/>
  <c r="Y400" i="3"/>
  <c r="L400" i="3"/>
  <c r="L399" i="3"/>
  <c r="L394" i="3"/>
  <c r="L398" i="3"/>
  <c r="M396" i="3" l="1"/>
  <c r="Q396" i="3" s="1"/>
  <c r="S396" i="3" s="1"/>
  <c r="M393" i="3"/>
  <c r="Q393" i="3" s="1"/>
  <c r="S393" i="3" s="1"/>
  <c r="N397" i="3"/>
  <c r="N395" i="3"/>
  <c r="M392" i="3"/>
  <c r="Q392" i="3" s="1"/>
  <c r="S392" i="3" s="1"/>
  <c r="N394" i="3"/>
  <c r="M394" i="3"/>
  <c r="N400" i="3"/>
  <c r="M400" i="3"/>
  <c r="M399" i="3"/>
  <c r="N399" i="3"/>
  <c r="N398" i="3"/>
  <c r="M398" i="3"/>
  <c r="Q394" i="3" l="1"/>
  <c r="Q399" i="3"/>
  <c r="Q398" i="3"/>
  <c r="Q400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S400" i="3" l="1"/>
  <c r="S399" i="3"/>
  <c r="S398" i="3"/>
  <c r="S394" i="3"/>
  <c r="V883" i="3" l="1"/>
  <c r="W883" i="3" s="1"/>
  <c r="V877" i="3"/>
  <c r="W877" i="3" s="1"/>
  <c r="V859" i="3"/>
  <c r="W859" i="3" s="1"/>
  <c r="V796" i="3"/>
  <c r="W796" i="3" s="1"/>
  <c r="V795" i="3"/>
  <c r="W795" i="3" s="1"/>
  <c r="V792" i="3"/>
  <c r="W792" i="3" s="1"/>
  <c r="V788" i="3"/>
  <c r="W788" i="3" s="1"/>
  <c r="V787" i="3"/>
  <c r="W787" i="3" s="1"/>
  <c r="V786" i="3"/>
  <c r="W786" i="3" s="1"/>
  <c r="V783" i="3"/>
  <c r="W783" i="3" s="1"/>
  <c r="V782" i="3"/>
  <c r="W782" i="3" s="1"/>
  <c r="V779" i="3"/>
  <c r="W779" i="3" s="1"/>
  <c r="V778" i="3"/>
  <c r="W778" i="3" s="1"/>
  <c r="V775" i="3"/>
  <c r="W775" i="3" s="1"/>
  <c r="V774" i="3"/>
  <c r="W774" i="3" s="1"/>
  <c r="V773" i="3"/>
  <c r="W773" i="3" s="1"/>
  <c r="V772" i="3"/>
  <c r="W772" i="3" s="1"/>
  <c r="V769" i="3"/>
  <c r="W769" i="3" s="1"/>
  <c r="V768" i="3"/>
  <c r="W768" i="3" s="1"/>
  <c r="V767" i="3"/>
  <c r="W767" i="3" s="1"/>
  <c r="V766" i="3"/>
  <c r="W766" i="3" s="1"/>
  <c r="V764" i="3"/>
  <c r="W764" i="3" s="1"/>
  <c r="V761" i="3"/>
  <c r="W761" i="3" s="1"/>
  <c r="V760" i="3"/>
  <c r="W760" i="3" s="1"/>
  <c r="V759" i="3"/>
  <c r="W759" i="3" s="1"/>
  <c r="V758" i="3"/>
  <c r="W758" i="3" s="1"/>
  <c r="V755" i="3"/>
  <c r="W755" i="3" s="1"/>
  <c r="V750" i="3"/>
  <c r="W750" i="3" s="1"/>
  <c r="V749" i="3"/>
  <c r="W749" i="3" s="1"/>
  <c r="V748" i="3"/>
  <c r="W748" i="3" s="1"/>
  <c r="V747" i="3"/>
  <c r="W747" i="3" s="1"/>
  <c r="V745" i="3"/>
  <c r="W745" i="3" s="1"/>
  <c r="V744" i="3"/>
  <c r="W744" i="3" s="1"/>
  <c r="V741" i="3"/>
  <c r="W741" i="3" s="1"/>
  <c r="V738" i="3"/>
  <c r="W738" i="3" s="1"/>
  <c r="V737" i="3"/>
  <c r="W737" i="3" s="1"/>
  <c r="V734" i="3"/>
  <c r="W734" i="3" s="1"/>
  <c r="V730" i="3"/>
  <c r="W730" i="3" s="1"/>
  <c r="V726" i="3"/>
  <c r="W726" i="3" s="1"/>
  <c r="V725" i="3"/>
  <c r="W725" i="3" s="1"/>
  <c r="V724" i="3"/>
  <c r="W724" i="3" s="1"/>
  <c r="V719" i="3"/>
  <c r="W719" i="3" s="1"/>
  <c r="V718" i="3"/>
  <c r="W718" i="3" s="1"/>
  <c r="V716" i="3"/>
  <c r="W716" i="3" s="1"/>
  <c r="V714" i="3"/>
  <c r="W714" i="3" s="1"/>
  <c r="V712" i="3"/>
  <c r="W712" i="3" s="1"/>
  <c r="V711" i="3"/>
  <c r="W711" i="3" s="1"/>
  <c r="V710" i="3"/>
  <c r="W710" i="3" s="1"/>
  <c r="V709" i="3"/>
  <c r="W709" i="3" s="1"/>
  <c r="V708" i="3"/>
  <c r="W708" i="3" s="1"/>
  <c r="V706" i="3"/>
  <c r="W706" i="3" s="1"/>
  <c r="V705" i="3"/>
  <c r="W705" i="3" s="1"/>
  <c r="V702" i="3"/>
  <c r="W702" i="3" s="1"/>
  <c r="V701" i="3"/>
  <c r="W701" i="3" s="1"/>
  <c r="V697" i="3"/>
  <c r="W697" i="3" s="1"/>
  <c r="V696" i="3"/>
  <c r="W696" i="3" s="1"/>
  <c r="V695" i="3"/>
  <c r="W695" i="3" s="1"/>
  <c r="V691" i="3"/>
  <c r="W691" i="3" s="1"/>
  <c r="V690" i="3"/>
  <c r="W690" i="3" s="1"/>
  <c r="V688" i="3"/>
  <c r="W688" i="3" s="1"/>
  <c r="V687" i="3"/>
  <c r="W687" i="3" s="1"/>
  <c r="V686" i="3"/>
  <c r="W686" i="3" s="1"/>
  <c r="V683" i="3"/>
  <c r="W683" i="3" s="1"/>
  <c r="V682" i="3"/>
  <c r="W682" i="3" s="1"/>
  <c r="V681" i="3"/>
  <c r="W681" i="3" s="1"/>
  <c r="V680" i="3"/>
  <c r="W680" i="3" s="1"/>
  <c r="V678" i="3"/>
  <c r="W678" i="3" s="1"/>
  <c r="V677" i="3"/>
  <c r="W677" i="3" s="1"/>
  <c r="V676" i="3"/>
  <c r="W676" i="3" s="1"/>
  <c r="V675" i="3"/>
  <c r="W675" i="3" s="1"/>
  <c r="V670" i="3"/>
  <c r="W670" i="3" s="1"/>
  <c r="V668" i="3"/>
  <c r="W668" i="3" s="1"/>
  <c r="V667" i="3"/>
  <c r="W667" i="3" s="1"/>
  <c r="V663" i="3"/>
  <c r="W663" i="3" s="1"/>
  <c r="V662" i="3"/>
  <c r="W662" i="3" s="1"/>
  <c r="V661" i="3"/>
  <c r="W661" i="3" s="1"/>
  <c r="V660" i="3"/>
  <c r="W660" i="3" s="1"/>
  <c r="V658" i="3"/>
  <c r="W658" i="3" s="1"/>
  <c r="V657" i="3"/>
  <c r="W657" i="3" s="1"/>
  <c r="V656" i="3"/>
  <c r="W656" i="3" s="1"/>
  <c r="V655" i="3"/>
  <c r="W655" i="3" s="1"/>
  <c r="V654" i="3"/>
  <c r="W654" i="3" s="1"/>
  <c r="V652" i="3"/>
  <c r="W652" i="3" s="1"/>
  <c r="V651" i="3"/>
  <c r="W651" i="3" s="1"/>
  <c r="V650" i="3"/>
  <c r="W650" i="3" s="1"/>
  <c r="V649" i="3"/>
  <c r="W649" i="3" s="1"/>
  <c r="V648" i="3"/>
  <c r="W648" i="3" s="1"/>
  <c r="V647" i="3"/>
  <c r="W647" i="3" s="1"/>
  <c r="V646" i="3"/>
  <c r="W646" i="3" s="1"/>
  <c r="V643" i="3"/>
  <c r="W643" i="3" s="1"/>
  <c r="V642" i="3"/>
  <c r="W642" i="3" s="1"/>
  <c r="V641" i="3"/>
  <c r="W641" i="3" s="1"/>
  <c r="V639" i="3"/>
  <c r="W639" i="3" s="1"/>
  <c r="V638" i="3"/>
  <c r="W638" i="3" s="1"/>
  <c r="V634" i="3"/>
  <c r="W634" i="3" s="1"/>
  <c r="V633" i="3"/>
  <c r="W633" i="3" s="1"/>
  <c r="V632" i="3"/>
  <c r="W632" i="3" s="1"/>
  <c r="V631" i="3"/>
  <c r="W631" i="3" s="1"/>
  <c r="V630" i="3"/>
  <c r="W630" i="3" s="1"/>
  <c r="V626" i="3"/>
  <c r="W626" i="3" s="1"/>
  <c r="V625" i="3"/>
  <c r="W625" i="3" s="1"/>
  <c r="V623" i="3"/>
  <c r="W623" i="3" s="1"/>
  <c r="V621" i="3"/>
  <c r="W621" i="3" s="1"/>
  <c r="V620" i="3"/>
  <c r="W620" i="3" s="1"/>
  <c r="V614" i="3"/>
  <c r="W614" i="3" s="1"/>
  <c r="V610" i="3"/>
  <c r="W610" i="3" s="1"/>
  <c r="V609" i="3"/>
  <c r="W609" i="3" s="1"/>
  <c r="V608" i="3"/>
  <c r="W608" i="3" s="1"/>
  <c r="V607" i="3"/>
  <c r="W607" i="3" s="1"/>
  <c r="V604" i="3"/>
  <c r="W604" i="3" s="1"/>
  <c r="V603" i="3"/>
  <c r="W603" i="3" s="1"/>
  <c r="V602" i="3"/>
  <c r="W602" i="3" s="1"/>
  <c r="V598" i="3"/>
  <c r="W598" i="3" s="1"/>
  <c r="V597" i="3"/>
  <c r="W597" i="3" s="1"/>
  <c r="V596" i="3"/>
  <c r="W596" i="3" s="1"/>
  <c r="V593" i="3"/>
  <c r="W593" i="3" s="1"/>
  <c r="V592" i="3"/>
  <c r="W592" i="3" s="1"/>
  <c r="V591" i="3"/>
  <c r="W591" i="3" s="1"/>
  <c r="V590" i="3"/>
  <c r="W590" i="3" s="1"/>
  <c r="V588" i="3"/>
  <c r="W588" i="3" s="1"/>
  <c r="V584" i="3"/>
  <c r="W584" i="3" s="1"/>
  <c r="V578" i="3"/>
  <c r="W578" i="3" s="1"/>
  <c r="V577" i="3"/>
  <c r="W577" i="3" s="1"/>
  <c r="V571" i="3"/>
  <c r="W571" i="3" s="1"/>
  <c r="V568" i="3"/>
  <c r="W568" i="3" s="1"/>
  <c r="V567" i="3"/>
  <c r="W567" i="3" s="1"/>
  <c r="V563" i="3"/>
  <c r="W563" i="3" s="1"/>
  <c r="V562" i="3"/>
  <c r="W562" i="3" s="1"/>
  <c r="V561" i="3"/>
  <c r="W561" i="3" s="1"/>
  <c r="V560" i="3"/>
  <c r="W560" i="3" s="1"/>
  <c r="V559" i="3"/>
  <c r="W559" i="3" s="1"/>
  <c r="V558" i="3"/>
  <c r="W558" i="3" s="1"/>
  <c r="V554" i="3"/>
  <c r="W554" i="3" s="1"/>
  <c r="V553" i="3"/>
  <c r="W553" i="3" s="1"/>
  <c r="V552" i="3"/>
  <c r="W552" i="3" s="1"/>
  <c r="V551" i="3"/>
  <c r="W551" i="3" s="1"/>
  <c r="V547" i="3"/>
  <c r="W547" i="3" s="1"/>
  <c r="V546" i="3"/>
  <c r="W546" i="3" s="1"/>
  <c r="V538" i="3"/>
  <c r="W538" i="3" s="1"/>
  <c r="V537" i="3"/>
  <c r="W537" i="3" s="1"/>
  <c r="V532" i="3"/>
  <c r="W532" i="3" s="1"/>
  <c r="V527" i="3"/>
  <c r="W527" i="3" s="1"/>
  <c r="V526" i="3"/>
  <c r="W526" i="3" s="1"/>
  <c r="V522" i="3"/>
  <c r="W522" i="3" s="1"/>
  <c r="V521" i="3"/>
  <c r="W521" i="3" s="1"/>
  <c r="V517" i="3"/>
  <c r="W517" i="3" s="1"/>
  <c r="V902" i="3"/>
  <c r="W902" i="3" s="1"/>
  <c r="V901" i="3"/>
  <c r="W901" i="3" s="1"/>
  <c r="V900" i="3"/>
  <c r="W900" i="3" s="1"/>
  <c r="V899" i="3"/>
  <c r="W899" i="3" s="1"/>
  <c r="V898" i="3"/>
  <c r="W898" i="3" s="1"/>
  <c r="V897" i="3"/>
  <c r="W897" i="3" s="1"/>
  <c r="V896" i="3"/>
  <c r="W896" i="3" s="1"/>
  <c r="V895" i="3"/>
  <c r="W895" i="3" s="1"/>
  <c r="V894" i="3"/>
  <c r="W894" i="3" s="1"/>
  <c r="V893" i="3"/>
  <c r="W893" i="3" s="1"/>
  <c r="V892" i="3"/>
  <c r="W892" i="3" s="1"/>
  <c r="V891" i="3"/>
  <c r="W891" i="3" s="1"/>
  <c r="V890" i="3"/>
  <c r="W890" i="3" s="1"/>
  <c r="V888" i="3"/>
  <c r="W888" i="3" s="1"/>
  <c r="V887" i="3"/>
  <c r="W887" i="3" s="1"/>
  <c r="V886" i="3"/>
  <c r="W886" i="3" s="1"/>
  <c r="V885" i="3"/>
  <c r="W885" i="3" s="1"/>
  <c r="V884" i="3"/>
  <c r="W884" i="3" s="1"/>
  <c r="V882" i="3"/>
  <c r="W882" i="3" s="1"/>
  <c r="V881" i="3"/>
  <c r="W881" i="3" s="1"/>
  <c r="V879" i="3"/>
  <c r="W879" i="3" s="1"/>
  <c r="V878" i="3"/>
  <c r="W878" i="3" s="1"/>
  <c r="V875" i="3"/>
  <c r="W875" i="3" s="1"/>
  <c r="V874" i="3"/>
  <c r="W874" i="3" s="1"/>
  <c r="V873" i="3"/>
  <c r="W873" i="3" s="1"/>
  <c r="V872" i="3"/>
  <c r="W872" i="3" s="1"/>
  <c r="V871" i="3"/>
  <c r="W871" i="3" s="1"/>
  <c r="V870" i="3"/>
  <c r="W870" i="3" s="1"/>
  <c r="V869" i="3"/>
  <c r="W869" i="3" s="1"/>
  <c r="V868" i="3"/>
  <c r="W868" i="3" s="1"/>
  <c r="V867" i="3"/>
  <c r="W867" i="3" s="1"/>
  <c r="V866" i="3"/>
  <c r="W866" i="3" s="1"/>
  <c r="V865" i="3"/>
  <c r="W865" i="3" s="1"/>
  <c r="V864" i="3"/>
  <c r="W864" i="3" s="1"/>
  <c r="V863" i="3"/>
  <c r="W863" i="3" s="1"/>
  <c r="V862" i="3"/>
  <c r="W862" i="3" s="1"/>
  <c r="V861" i="3"/>
  <c r="W861" i="3" s="1"/>
  <c r="V860" i="3"/>
  <c r="W860" i="3" s="1"/>
  <c r="V858" i="3"/>
  <c r="W858" i="3" s="1"/>
  <c r="V857" i="3"/>
  <c r="W857" i="3" s="1"/>
  <c r="V794" i="3"/>
  <c r="W794" i="3" s="1"/>
  <c r="V793" i="3"/>
  <c r="W793" i="3" s="1"/>
  <c r="V791" i="3"/>
  <c r="W791" i="3" s="1"/>
  <c r="V790" i="3"/>
  <c r="W790" i="3" s="1"/>
  <c r="V789" i="3"/>
  <c r="W789" i="3" s="1"/>
  <c r="V785" i="3"/>
  <c r="W785" i="3" s="1"/>
  <c r="V784" i="3"/>
  <c r="W784" i="3" s="1"/>
  <c r="V781" i="3"/>
  <c r="W781" i="3" s="1"/>
  <c r="V780" i="3"/>
  <c r="W780" i="3" s="1"/>
  <c r="V777" i="3"/>
  <c r="W777" i="3" s="1"/>
  <c r="V776" i="3"/>
  <c r="W776" i="3" s="1"/>
  <c r="V771" i="3"/>
  <c r="W771" i="3" s="1"/>
  <c r="V770" i="3"/>
  <c r="W770" i="3" s="1"/>
  <c r="V765" i="3"/>
  <c r="W765" i="3" s="1"/>
  <c r="V763" i="3"/>
  <c r="W763" i="3" s="1"/>
  <c r="V762" i="3"/>
  <c r="W762" i="3" s="1"/>
  <c r="V757" i="3"/>
  <c r="W757" i="3" s="1"/>
  <c r="V756" i="3"/>
  <c r="W756" i="3" s="1"/>
  <c r="V754" i="3"/>
  <c r="W754" i="3" s="1"/>
  <c r="V753" i="3"/>
  <c r="W753" i="3" s="1"/>
  <c r="V752" i="3"/>
  <c r="W752" i="3" s="1"/>
  <c r="V751" i="3"/>
  <c r="W751" i="3" s="1"/>
  <c r="V746" i="3"/>
  <c r="W746" i="3" s="1"/>
  <c r="V743" i="3"/>
  <c r="W743" i="3" s="1"/>
  <c r="V742" i="3"/>
  <c r="W742" i="3" s="1"/>
  <c r="V740" i="3"/>
  <c r="W740" i="3" s="1"/>
  <c r="V739" i="3"/>
  <c r="W739" i="3" s="1"/>
  <c r="V736" i="3"/>
  <c r="W736" i="3" s="1"/>
  <c r="V735" i="3"/>
  <c r="W735" i="3" s="1"/>
  <c r="V733" i="3"/>
  <c r="W733" i="3" s="1"/>
  <c r="V732" i="3"/>
  <c r="W732" i="3" s="1"/>
  <c r="V731" i="3"/>
  <c r="W731" i="3" s="1"/>
  <c r="V729" i="3"/>
  <c r="W729" i="3" s="1"/>
  <c r="V728" i="3"/>
  <c r="W728" i="3" s="1"/>
  <c r="V727" i="3"/>
  <c r="W727" i="3" s="1"/>
  <c r="V723" i="3"/>
  <c r="W723" i="3" s="1"/>
  <c r="V722" i="3"/>
  <c r="W722" i="3" s="1"/>
  <c r="V721" i="3"/>
  <c r="W721" i="3" s="1"/>
  <c r="V720" i="3"/>
  <c r="W720" i="3" s="1"/>
  <c r="V717" i="3"/>
  <c r="W717" i="3" s="1"/>
  <c r="V715" i="3"/>
  <c r="W715" i="3" s="1"/>
  <c r="V713" i="3"/>
  <c r="W713" i="3" s="1"/>
  <c r="V707" i="3"/>
  <c r="W707" i="3" s="1"/>
  <c r="V704" i="3"/>
  <c r="W704" i="3" s="1"/>
  <c r="V703" i="3"/>
  <c r="W703" i="3" s="1"/>
  <c r="V700" i="3"/>
  <c r="W700" i="3" s="1"/>
  <c r="V699" i="3"/>
  <c r="W699" i="3" s="1"/>
  <c r="V698" i="3"/>
  <c r="W698" i="3" s="1"/>
  <c r="V694" i="3"/>
  <c r="W694" i="3" s="1"/>
  <c r="V693" i="3"/>
  <c r="W693" i="3" s="1"/>
  <c r="V692" i="3"/>
  <c r="W692" i="3" s="1"/>
  <c r="V689" i="3"/>
  <c r="W689" i="3" s="1"/>
  <c r="V685" i="3"/>
  <c r="W685" i="3" s="1"/>
  <c r="V684" i="3"/>
  <c r="W684" i="3" s="1"/>
  <c r="V679" i="3"/>
  <c r="W679" i="3" s="1"/>
  <c r="V674" i="3"/>
  <c r="W674" i="3" s="1"/>
  <c r="V673" i="3"/>
  <c r="W673" i="3" s="1"/>
  <c r="V672" i="3"/>
  <c r="W672" i="3" s="1"/>
  <c r="V671" i="3"/>
  <c r="W671" i="3" s="1"/>
  <c r="V669" i="3"/>
  <c r="W669" i="3" s="1"/>
  <c r="V666" i="3"/>
  <c r="W666" i="3" s="1"/>
  <c r="V665" i="3"/>
  <c r="W665" i="3" s="1"/>
  <c r="V664" i="3"/>
  <c r="W664" i="3" s="1"/>
  <c r="V659" i="3"/>
  <c r="W659" i="3" s="1"/>
  <c r="V653" i="3"/>
  <c r="W653" i="3" s="1"/>
  <c r="V645" i="3"/>
  <c r="W645" i="3" s="1"/>
  <c r="V644" i="3"/>
  <c r="W644" i="3" s="1"/>
  <c r="V640" i="3"/>
  <c r="W640" i="3" s="1"/>
  <c r="V637" i="3"/>
  <c r="W637" i="3" s="1"/>
  <c r="V636" i="3"/>
  <c r="W636" i="3" s="1"/>
  <c r="V635" i="3"/>
  <c r="W635" i="3" s="1"/>
  <c r="V629" i="3"/>
  <c r="W629" i="3" s="1"/>
  <c r="V628" i="3"/>
  <c r="W628" i="3" s="1"/>
  <c r="V627" i="3"/>
  <c r="W627" i="3" s="1"/>
  <c r="V624" i="3"/>
  <c r="W624" i="3" s="1"/>
  <c r="V622" i="3"/>
  <c r="W622" i="3" s="1"/>
  <c r="V619" i="3"/>
  <c r="W619" i="3" s="1"/>
  <c r="V618" i="3"/>
  <c r="W618" i="3" s="1"/>
  <c r="V617" i="3"/>
  <c r="W617" i="3" s="1"/>
  <c r="V616" i="3"/>
  <c r="W616" i="3" s="1"/>
  <c r="V615" i="3"/>
  <c r="W615" i="3" s="1"/>
  <c r="V613" i="3"/>
  <c r="W613" i="3" s="1"/>
  <c r="V612" i="3"/>
  <c r="W612" i="3" s="1"/>
  <c r="V611" i="3"/>
  <c r="W611" i="3" s="1"/>
  <c r="V606" i="3"/>
  <c r="W606" i="3" s="1"/>
  <c r="V605" i="3"/>
  <c r="W605" i="3" s="1"/>
  <c r="V601" i="3"/>
  <c r="W601" i="3" s="1"/>
  <c r="V600" i="3"/>
  <c r="W600" i="3" s="1"/>
  <c r="V599" i="3"/>
  <c r="W599" i="3" s="1"/>
  <c r="V595" i="3"/>
  <c r="W595" i="3" s="1"/>
  <c r="V594" i="3"/>
  <c r="W594" i="3" s="1"/>
  <c r="V589" i="3"/>
  <c r="W589" i="3" s="1"/>
  <c r="V587" i="3"/>
  <c r="W587" i="3" s="1"/>
  <c r="V586" i="3"/>
  <c r="W586" i="3" s="1"/>
  <c r="V585" i="3"/>
  <c r="W585" i="3" s="1"/>
  <c r="V583" i="3"/>
  <c r="W583" i="3" s="1"/>
  <c r="V582" i="3"/>
  <c r="W582" i="3" s="1"/>
  <c r="V581" i="3"/>
  <c r="W581" i="3" s="1"/>
  <c r="V580" i="3"/>
  <c r="W580" i="3" s="1"/>
  <c r="V579" i="3"/>
  <c r="W579" i="3" s="1"/>
  <c r="V576" i="3"/>
  <c r="W576" i="3" s="1"/>
  <c r="V575" i="3"/>
  <c r="W575" i="3" s="1"/>
  <c r="V574" i="3"/>
  <c r="W574" i="3" s="1"/>
  <c r="V573" i="3"/>
  <c r="W573" i="3" s="1"/>
  <c r="V572" i="3"/>
  <c r="W572" i="3" s="1"/>
  <c r="V570" i="3"/>
  <c r="W570" i="3" s="1"/>
  <c r="V569" i="3"/>
  <c r="W569" i="3" s="1"/>
  <c r="V566" i="3"/>
  <c r="W566" i="3" s="1"/>
  <c r="V565" i="3"/>
  <c r="W565" i="3" s="1"/>
  <c r="V564" i="3"/>
  <c r="W564" i="3" s="1"/>
  <c r="V557" i="3"/>
  <c r="W557" i="3" s="1"/>
  <c r="V556" i="3"/>
  <c r="W556" i="3" s="1"/>
  <c r="V555" i="3"/>
  <c r="W555" i="3" s="1"/>
  <c r="V550" i="3"/>
  <c r="W550" i="3" s="1"/>
  <c r="V549" i="3"/>
  <c r="W549" i="3" s="1"/>
  <c r="V548" i="3"/>
  <c r="W548" i="3" s="1"/>
  <c r="V545" i="3"/>
  <c r="W545" i="3" s="1"/>
  <c r="V544" i="3"/>
  <c r="W544" i="3" s="1"/>
  <c r="V543" i="3"/>
  <c r="W543" i="3" s="1"/>
  <c r="V542" i="3"/>
  <c r="W542" i="3" s="1"/>
  <c r="V541" i="3"/>
  <c r="W541" i="3" s="1"/>
  <c r="V540" i="3"/>
  <c r="W540" i="3" s="1"/>
  <c r="V539" i="3"/>
  <c r="W539" i="3" s="1"/>
  <c r="V536" i="3"/>
  <c r="W536" i="3" s="1"/>
  <c r="V535" i="3"/>
  <c r="W535" i="3" s="1"/>
  <c r="V534" i="3"/>
  <c r="W534" i="3" s="1"/>
  <c r="V533" i="3"/>
  <c r="W533" i="3" s="1"/>
  <c r="V531" i="3"/>
  <c r="W531" i="3" s="1"/>
  <c r="V530" i="3"/>
  <c r="W530" i="3" s="1"/>
  <c r="V529" i="3"/>
  <c r="W529" i="3" s="1"/>
  <c r="V528" i="3"/>
  <c r="W528" i="3" s="1"/>
  <c r="V525" i="3"/>
  <c r="W525" i="3" s="1"/>
  <c r="V524" i="3"/>
  <c r="W524" i="3" s="1"/>
  <c r="V523" i="3"/>
  <c r="W523" i="3" s="1"/>
  <c r="V520" i="3"/>
  <c r="W520" i="3" s="1"/>
  <c r="V519" i="3"/>
  <c r="W519" i="3" s="1"/>
  <c r="V518" i="3"/>
  <c r="W518" i="3" s="1"/>
  <c r="V394" i="3"/>
  <c r="W394" i="3" s="1"/>
  <c r="V395" i="3"/>
  <c r="W395" i="3" s="1"/>
  <c r="V396" i="3"/>
  <c r="W396" i="3" s="1"/>
  <c r="V398" i="3"/>
  <c r="W398" i="3" s="1"/>
  <c r="V399" i="3"/>
  <c r="W399" i="3" s="1"/>
  <c r="V400" i="3"/>
  <c r="W400" i="3" s="1"/>
  <c r="V401" i="3"/>
  <c r="W401" i="3" s="1"/>
  <c r="V402" i="3"/>
  <c r="W402" i="3" s="1"/>
  <c r="V406" i="3"/>
  <c r="W406" i="3" s="1"/>
  <c r="V407" i="3"/>
  <c r="W407" i="3" s="1"/>
  <c r="V408" i="3"/>
  <c r="W408" i="3" s="1"/>
  <c r="V414" i="3"/>
  <c r="W414" i="3" s="1"/>
  <c r="V415" i="3"/>
  <c r="W415" i="3" s="1"/>
  <c r="V416" i="3"/>
  <c r="W416" i="3" s="1"/>
  <c r="V419" i="3"/>
  <c r="W419" i="3" s="1"/>
  <c r="V420" i="3"/>
  <c r="W420" i="3" s="1"/>
  <c r="V421" i="3"/>
  <c r="W421" i="3" s="1"/>
  <c r="V422" i="3"/>
  <c r="W422" i="3" s="1"/>
  <c r="V424" i="3"/>
  <c r="W424" i="3" s="1"/>
  <c r="V425" i="3"/>
  <c r="W425" i="3" s="1"/>
  <c r="V428" i="3"/>
  <c r="W428" i="3" s="1"/>
  <c r="V429" i="3"/>
  <c r="W429" i="3" s="1"/>
  <c r="V430" i="3"/>
  <c r="W430" i="3" s="1"/>
  <c r="V431" i="3"/>
  <c r="W431" i="3" s="1"/>
  <c r="V433" i="3"/>
  <c r="W433" i="3" s="1"/>
  <c r="V434" i="3"/>
  <c r="W434" i="3" s="1"/>
  <c r="V439" i="3"/>
  <c r="W439" i="3" s="1"/>
  <c r="V443" i="3"/>
  <c r="W443" i="3" s="1"/>
  <c r="V444" i="3"/>
  <c r="W444" i="3" s="1"/>
  <c r="V449" i="3"/>
  <c r="W449" i="3" s="1"/>
  <c r="V450" i="3"/>
  <c r="W450" i="3" s="1"/>
  <c r="V452" i="3"/>
  <c r="W452" i="3" s="1"/>
  <c r="V453" i="3"/>
  <c r="W453" i="3" s="1"/>
  <c r="V454" i="3"/>
  <c r="W454" i="3" s="1"/>
  <c r="V458" i="3"/>
  <c r="W458" i="3" s="1"/>
  <c r="V459" i="3"/>
  <c r="W459" i="3" s="1"/>
  <c r="V460" i="3"/>
  <c r="W460" i="3" s="1"/>
  <c r="V464" i="3"/>
  <c r="W464" i="3" s="1"/>
  <c r="V465" i="3"/>
  <c r="W465" i="3" s="1"/>
  <c r="V468" i="3"/>
  <c r="W468" i="3" s="1"/>
  <c r="V469" i="3"/>
  <c r="W469" i="3" s="1"/>
  <c r="V470" i="3"/>
  <c r="W470" i="3" s="1"/>
  <c r="V473" i="3"/>
  <c r="W473" i="3" s="1"/>
  <c r="V474" i="3"/>
  <c r="W474" i="3" s="1"/>
  <c r="V476" i="3"/>
  <c r="W476" i="3" s="1"/>
  <c r="V477" i="3"/>
  <c r="W477" i="3" s="1"/>
  <c r="V478" i="3"/>
  <c r="W478" i="3" s="1"/>
  <c r="V479" i="3"/>
  <c r="W479" i="3" s="1"/>
  <c r="V482" i="3"/>
  <c r="W482" i="3" s="1"/>
  <c r="V484" i="3"/>
  <c r="W484" i="3" s="1"/>
  <c r="V485" i="3"/>
  <c r="W485" i="3" s="1"/>
  <c r="V486" i="3"/>
  <c r="W486" i="3" s="1"/>
  <c r="V492" i="3"/>
  <c r="W492" i="3" s="1"/>
  <c r="V493" i="3"/>
  <c r="W493" i="3" s="1"/>
  <c r="V495" i="3"/>
  <c r="W495" i="3" s="1"/>
  <c r="V498" i="3"/>
  <c r="W498" i="3" s="1"/>
  <c r="V499" i="3"/>
  <c r="W499" i="3" s="1"/>
  <c r="V500" i="3"/>
  <c r="W500" i="3" s="1"/>
  <c r="V503" i="3"/>
  <c r="W503" i="3" s="1"/>
  <c r="V504" i="3"/>
  <c r="W504" i="3" s="1"/>
  <c r="V505" i="3"/>
  <c r="W505" i="3" s="1"/>
  <c r="V513" i="3"/>
  <c r="W513" i="3" s="1"/>
  <c r="V514" i="3"/>
  <c r="W514" i="3" s="1"/>
  <c r="V515" i="3"/>
  <c r="W515" i="3" s="1"/>
  <c r="V392" i="3"/>
  <c r="W392" i="3" s="1"/>
  <c r="V393" i="3"/>
  <c r="W393" i="3" s="1"/>
  <c r="V397" i="3"/>
  <c r="W397" i="3" s="1"/>
  <c r="V403" i="3"/>
  <c r="W403" i="3" s="1"/>
  <c r="V404" i="3"/>
  <c r="W404" i="3" s="1"/>
  <c r="V405" i="3"/>
  <c r="W405" i="3" s="1"/>
  <c r="V409" i="3"/>
  <c r="W409" i="3" s="1"/>
  <c r="V410" i="3"/>
  <c r="W410" i="3" s="1"/>
  <c r="V411" i="3"/>
  <c r="W411" i="3" s="1"/>
  <c r="V412" i="3"/>
  <c r="W412" i="3" s="1"/>
  <c r="V413" i="3"/>
  <c r="W413" i="3" s="1"/>
  <c r="V417" i="3"/>
  <c r="W417" i="3" s="1"/>
  <c r="V418" i="3"/>
  <c r="W418" i="3" s="1"/>
  <c r="V423" i="3"/>
  <c r="W423" i="3" s="1"/>
  <c r="V426" i="3"/>
  <c r="W426" i="3" s="1"/>
  <c r="V427" i="3"/>
  <c r="W427" i="3" s="1"/>
  <c r="V432" i="3"/>
  <c r="W432" i="3" s="1"/>
  <c r="V435" i="3"/>
  <c r="W435" i="3" s="1"/>
  <c r="V436" i="3"/>
  <c r="W436" i="3" s="1"/>
  <c r="V437" i="3"/>
  <c r="W437" i="3" s="1"/>
  <c r="V438" i="3"/>
  <c r="W438" i="3" s="1"/>
  <c r="V440" i="3"/>
  <c r="W440" i="3" s="1"/>
  <c r="V441" i="3"/>
  <c r="W441" i="3" s="1"/>
  <c r="V442" i="3"/>
  <c r="W442" i="3" s="1"/>
  <c r="V445" i="3"/>
  <c r="W445" i="3" s="1"/>
  <c r="V446" i="3"/>
  <c r="W446" i="3" s="1"/>
  <c r="V447" i="3"/>
  <c r="W447" i="3" s="1"/>
  <c r="V448" i="3"/>
  <c r="W448" i="3" s="1"/>
  <c r="V451" i="3"/>
  <c r="W451" i="3" s="1"/>
  <c r="V455" i="3"/>
  <c r="W455" i="3" s="1"/>
  <c r="V456" i="3"/>
  <c r="W456" i="3" s="1"/>
  <c r="V457" i="3"/>
  <c r="W457" i="3" s="1"/>
  <c r="V461" i="3"/>
  <c r="W461" i="3" s="1"/>
  <c r="V462" i="3"/>
  <c r="W462" i="3" s="1"/>
  <c r="V463" i="3"/>
  <c r="W463" i="3" s="1"/>
  <c r="V466" i="3"/>
  <c r="W466" i="3" s="1"/>
  <c r="V467" i="3"/>
  <c r="W467" i="3" s="1"/>
  <c r="V471" i="3"/>
  <c r="W471" i="3" s="1"/>
  <c r="V472" i="3"/>
  <c r="W472" i="3" s="1"/>
  <c r="V475" i="3"/>
  <c r="W475" i="3" s="1"/>
  <c r="V480" i="3"/>
  <c r="W480" i="3" s="1"/>
  <c r="V481" i="3"/>
  <c r="W481" i="3" s="1"/>
  <c r="V487" i="3"/>
  <c r="W487" i="3" s="1"/>
  <c r="V488" i="3"/>
  <c r="W488" i="3" s="1"/>
  <c r="V489" i="3"/>
  <c r="W489" i="3" s="1"/>
  <c r="V490" i="3"/>
  <c r="W490" i="3" s="1"/>
  <c r="V491" i="3"/>
  <c r="W491" i="3" s="1"/>
  <c r="V494" i="3"/>
  <c r="W494" i="3" s="1"/>
  <c r="V496" i="3"/>
  <c r="W496" i="3" s="1"/>
  <c r="V497" i="3"/>
  <c r="W497" i="3" s="1"/>
  <c r="V501" i="3"/>
  <c r="W501" i="3" s="1"/>
  <c r="V502" i="3"/>
  <c r="W502" i="3" s="1"/>
  <c r="V506" i="3"/>
  <c r="W506" i="3" s="1"/>
  <c r="V507" i="3"/>
  <c r="W507" i="3" s="1"/>
  <c r="V508" i="3"/>
  <c r="W508" i="3" s="1"/>
  <c r="V509" i="3"/>
  <c r="W509" i="3" s="1"/>
  <c r="V510" i="3"/>
  <c r="W510" i="3" s="1"/>
  <c r="V511" i="3"/>
  <c r="W511" i="3" s="1"/>
  <c r="V512" i="3"/>
  <c r="W512" i="3" s="1"/>
  <c r="V516" i="3"/>
  <c r="W516" i="3" s="1"/>
  <c r="V483" i="3"/>
  <c r="W483" i="3" s="1"/>
  <c r="E176" i="1" l="1"/>
  <c r="F176" i="1" s="1"/>
  <c r="G176" i="1" s="1"/>
  <c r="H176" i="1" s="1"/>
  <c r="I176" i="1" s="1"/>
  <c r="J176" i="1" s="1"/>
  <c r="K176" i="1" s="1"/>
  <c r="K391" i="3"/>
  <c r="O391" i="3"/>
  <c r="AC391" i="3"/>
  <c r="P391" i="3" s="1"/>
  <c r="AD391" i="3"/>
  <c r="AE391" i="3"/>
  <c r="R391" i="3" s="1"/>
  <c r="AG391" i="3"/>
  <c r="AH391" i="3"/>
  <c r="AI391" i="3"/>
  <c r="K390" i="3"/>
  <c r="O390" i="3"/>
  <c r="AC390" i="3"/>
  <c r="P390" i="3" s="1"/>
  <c r="AD390" i="3"/>
  <c r="AE390" i="3"/>
  <c r="R390" i="3" s="1"/>
  <c r="AG390" i="3"/>
  <c r="AH390" i="3"/>
  <c r="AI390" i="3"/>
  <c r="K389" i="3"/>
  <c r="O389" i="3"/>
  <c r="AC389" i="3"/>
  <c r="P389" i="3" s="1"/>
  <c r="AD389" i="3"/>
  <c r="AE389" i="3"/>
  <c r="R389" i="3" s="1"/>
  <c r="AG389" i="3"/>
  <c r="AH389" i="3"/>
  <c r="AI389" i="3"/>
  <c r="K388" i="3"/>
  <c r="O388" i="3"/>
  <c r="AC388" i="3"/>
  <c r="P388" i="3" s="1"/>
  <c r="AD388" i="3"/>
  <c r="AE388" i="3"/>
  <c r="R388" i="3" s="1"/>
  <c r="AG388" i="3"/>
  <c r="AH388" i="3"/>
  <c r="AI388" i="3"/>
  <c r="K387" i="3"/>
  <c r="O387" i="3"/>
  <c r="AC387" i="3"/>
  <c r="P387" i="3" s="1"/>
  <c r="AD387" i="3"/>
  <c r="AE387" i="3"/>
  <c r="R387" i="3" s="1"/>
  <c r="AG387" i="3"/>
  <c r="AH387" i="3"/>
  <c r="AI387" i="3"/>
  <c r="K386" i="3"/>
  <c r="O386" i="3"/>
  <c r="AC386" i="3"/>
  <c r="P386" i="3" s="1"/>
  <c r="AD386" i="3"/>
  <c r="AE386" i="3"/>
  <c r="R386" i="3" s="1"/>
  <c r="AG386" i="3"/>
  <c r="AH386" i="3"/>
  <c r="AI386" i="3"/>
  <c r="K385" i="3"/>
  <c r="O385" i="3"/>
  <c r="AC385" i="3"/>
  <c r="P385" i="3" s="1"/>
  <c r="AD385" i="3"/>
  <c r="AE385" i="3"/>
  <c r="R385" i="3" s="1"/>
  <c r="AG385" i="3"/>
  <c r="AH385" i="3"/>
  <c r="AI385" i="3"/>
  <c r="K384" i="3"/>
  <c r="O384" i="3"/>
  <c r="AC384" i="3"/>
  <c r="P384" i="3" s="1"/>
  <c r="AD384" i="3"/>
  <c r="AE384" i="3"/>
  <c r="R384" i="3" s="1"/>
  <c r="AG384" i="3"/>
  <c r="AH384" i="3"/>
  <c r="AI384" i="3"/>
  <c r="K383" i="3"/>
  <c r="O383" i="3"/>
  <c r="AC383" i="3"/>
  <c r="P383" i="3" s="1"/>
  <c r="AD383" i="3"/>
  <c r="AE383" i="3"/>
  <c r="R383" i="3" s="1"/>
  <c r="AG383" i="3"/>
  <c r="AH383" i="3"/>
  <c r="AI383" i="3"/>
  <c r="K382" i="3"/>
  <c r="O382" i="3"/>
  <c r="AC382" i="3"/>
  <c r="P382" i="3" s="1"/>
  <c r="AD382" i="3"/>
  <c r="AE382" i="3"/>
  <c r="R382" i="3" s="1"/>
  <c r="AG382" i="3"/>
  <c r="AH382" i="3"/>
  <c r="AI382" i="3"/>
  <c r="K381" i="3"/>
  <c r="O381" i="3"/>
  <c r="AC381" i="3"/>
  <c r="P381" i="3" s="1"/>
  <c r="AD381" i="3"/>
  <c r="AE381" i="3"/>
  <c r="R381" i="3" s="1"/>
  <c r="AG381" i="3"/>
  <c r="AH381" i="3"/>
  <c r="AI381" i="3"/>
  <c r="E105" i="1"/>
  <c r="AF385" i="3" s="1"/>
  <c r="AI380" i="3"/>
  <c r="AH380" i="3"/>
  <c r="AG380" i="3"/>
  <c r="AE380" i="3"/>
  <c r="R380" i="3" s="1"/>
  <c r="AD380" i="3"/>
  <c r="AC380" i="3"/>
  <c r="P380" i="3" s="1"/>
  <c r="O380" i="3"/>
  <c r="K380" i="3"/>
  <c r="AI379" i="3"/>
  <c r="AH379" i="3"/>
  <c r="AG379" i="3"/>
  <c r="AE379" i="3"/>
  <c r="R379" i="3" s="1"/>
  <c r="AD379" i="3"/>
  <c r="AC379" i="3"/>
  <c r="P379" i="3" s="1"/>
  <c r="O379" i="3"/>
  <c r="K379" i="3"/>
  <c r="AI378" i="3"/>
  <c r="AH378" i="3"/>
  <c r="AG378" i="3"/>
  <c r="AE378" i="3"/>
  <c r="R378" i="3" s="1"/>
  <c r="AD378" i="3"/>
  <c r="AC378" i="3"/>
  <c r="P378" i="3" s="1"/>
  <c r="O378" i="3"/>
  <c r="K378" i="3"/>
  <c r="E120" i="1"/>
  <c r="AF380" i="3" s="1"/>
  <c r="AI377" i="3"/>
  <c r="AH377" i="3"/>
  <c r="AG377" i="3"/>
  <c r="AF377" i="3"/>
  <c r="AE377" i="3"/>
  <c r="R377" i="3" s="1"/>
  <c r="AD377" i="3"/>
  <c r="AC377" i="3"/>
  <c r="O377" i="3"/>
  <c r="K377" i="3"/>
  <c r="AI376" i="3"/>
  <c r="AH376" i="3"/>
  <c r="AG376" i="3"/>
  <c r="AE376" i="3"/>
  <c r="R376" i="3" s="1"/>
  <c r="AD376" i="3"/>
  <c r="AC376" i="3"/>
  <c r="P376" i="3" s="1"/>
  <c r="O376" i="3"/>
  <c r="K376" i="3"/>
  <c r="AI375" i="3"/>
  <c r="AH375" i="3"/>
  <c r="AG375" i="3"/>
  <c r="AE375" i="3"/>
  <c r="R375" i="3" s="1"/>
  <c r="AD375" i="3"/>
  <c r="AC375" i="3"/>
  <c r="P375" i="3" s="1"/>
  <c r="O375" i="3"/>
  <c r="K375" i="3"/>
  <c r="AI374" i="3"/>
  <c r="AH374" i="3"/>
  <c r="AG374" i="3"/>
  <c r="AE374" i="3"/>
  <c r="R374" i="3" s="1"/>
  <c r="AD374" i="3"/>
  <c r="AC374" i="3"/>
  <c r="P374" i="3" s="1"/>
  <c r="O374" i="3"/>
  <c r="K374" i="3"/>
  <c r="AI373" i="3"/>
  <c r="AH373" i="3"/>
  <c r="AG373" i="3"/>
  <c r="AE373" i="3"/>
  <c r="R373" i="3" s="1"/>
  <c r="AD373" i="3"/>
  <c r="AC373" i="3"/>
  <c r="P373" i="3" s="1"/>
  <c r="O373" i="3"/>
  <c r="K373" i="3"/>
  <c r="AI372" i="3"/>
  <c r="AH372" i="3"/>
  <c r="AG372" i="3"/>
  <c r="AE372" i="3"/>
  <c r="R372" i="3" s="1"/>
  <c r="AD372" i="3"/>
  <c r="AC372" i="3"/>
  <c r="P372" i="3" s="1"/>
  <c r="O372" i="3"/>
  <c r="K372" i="3"/>
  <c r="AI371" i="3"/>
  <c r="AH371" i="3"/>
  <c r="AG371" i="3"/>
  <c r="AE371" i="3"/>
  <c r="R371" i="3" s="1"/>
  <c r="AD371" i="3"/>
  <c r="AC371" i="3"/>
  <c r="P371" i="3" s="1"/>
  <c r="O371" i="3"/>
  <c r="K371" i="3"/>
  <c r="AI370" i="3"/>
  <c r="AH370" i="3"/>
  <c r="AG370" i="3"/>
  <c r="AE370" i="3"/>
  <c r="R370" i="3" s="1"/>
  <c r="AD370" i="3"/>
  <c r="AC370" i="3"/>
  <c r="O370" i="3"/>
  <c r="K370" i="3"/>
  <c r="AI369" i="3"/>
  <c r="AH369" i="3"/>
  <c r="AG369" i="3"/>
  <c r="AE369" i="3"/>
  <c r="R369" i="3" s="1"/>
  <c r="AD369" i="3"/>
  <c r="AC369" i="3"/>
  <c r="P369" i="3" s="1"/>
  <c r="O369" i="3"/>
  <c r="K369" i="3"/>
  <c r="AI368" i="3"/>
  <c r="AH368" i="3"/>
  <c r="AG368" i="3"/>
  <c r="AE368" i="3"/>
  <c r="R368" i="3" s="1"/>
  <c r="AD368" i="3"/>
  <c r="AC368" i="3"/>
  <c r="P368" i="3" s="1"/>
  <c r="O368" i="3"/>
  <c r="K368" i="3"/>
  <c r="AI367" i="3"/>
  <c r="AH367" i="3"/>
  <c r="AG367" i="3"/>
  <c r="AE367" i="3"/>
  <c r="R367" i="3" s="1"/>
  <c r="AD367" i="3"/>
  <c r="AC367" i="3"/>
  <c r="P367" i="3" s="1"/>
  <c r="O367" i="3"/>
  <c r="K367" i="3"/>
  <c r="AI366" i="3"/>
  <c r="AH366" i="3"/>
  <c r="AG366" i="3"/>
  <c r="AE366" i="3"/>
  <c r="R366" i="3" s="1"/>
  <c r="AD366" i="3"/>
  <c r="AC366" i="3"/>
  <c r="P366" i="3" s="1"/>
  <c r="O366" i="3"/>
  <c r="K366" i="3"/>
  <c r="AI365" i="3"/>
  <c r="AH365" i="3"/>
  <c r="AG365" i="3"/>
  <c r="AE365" i="3"/>
  <c r="R365" i="3" s="1"/>
  <c r="AD365" i="3"/>
  <c r="AC365" i="3"/>
  <c r="P365" i="3" s="1"/>
  <c r="O365" i="3"/>
  <c r="K365" i="3"/>
  <c r="AI364" i="3"/>
  <c r="AH364" i="3"/>
  <c r="AG364" i="3"/>
  <c r="AE364" i="3"/>
  <c r="R364" i="3" s="1"/>
  <c r="AD364" i="3"/>
  <c r="AC364" i="3"/>
  <c r="P364" i="3" s="1"/>
  <c r="O364" i="3"/>
  <c r="K364" i="3"/>
  <c r="L370" i="3" l="1"/>
  <c r="P370" i="3"/>
  <c r="L377" i="3"/>
  <c r="M377" i="3" s="1"/>
  <c r="V377" i="3" s="1"/>
  <c r="W377" i="3" s="1"/>
  <c r="P377" i="3"/>
  <c r="M89" i="1"/>
  <c r="AJ814" i="3" s="1"/>
  <c r="X814" i="3" s="1"/>
  <c r="M90" i="1"/>
  <c r="AJ925" i="3" s="1"/>
  <c r="X925" i="3" s="1"/>
  <c r="M88" i="1"/>
  <c r="AJ799" i="3" s="1"/>
  <c r="X799" i="3" s="1"/>
  <c r="M39" i="1"/>
  <c r="AJ813" i="3" s="1"/>
  <c r="X813" i="3" s="1"/>
  <c r="M192" i="1"/>
  <c r="M190" i="1"/>
  <c r="M85" i="1"/>
  <c r="AJ712" i="3" s="1"/>
  <c r="X712" i="3" s="1"/>
  <c r="M87" i="1"/>
  <c r="AJ787" i="3" s="1"/>
  <c r="X787" i="3" s="1"/>
  <c r="M84" i="1"/>
  <c r="AJ675" i="3" s="1"/>
  <c r="X675" i="3" s="1"/>
  <c r="M86" i="1"/>
  <c r="M82" i="1"/>
  <c r="AJ642" i="3" s="1"/>
  <c r="X642" i="3" s="1"/>
  <c r="M83" i="1"/>
  <c r="AJ649" i="3" s="1"/>
  <c r="X649" i="3" s="1"/>
  <c r="M80" i="1"/>
  <c r="M81" i="1"/>
  <c r="M79" i="1"/>
  <c r="AJ533" i="3" s="1"/>
  <c r="X533" i="3" s="1"/>
  <c r="M104" i="1"/>
  <c r="AJ551" i="3" s="1"/>
  <c r="X551" i="3" s="1"/>
  <c r="M73" i="1"/>
  <c r="M78" i="1"/>
  <c r="AJ531" i="3" s="1"/>
  <c r="X531" i="3" s="1"/>
  <c r="M77" i="1"/>
  <c r="AJ493" i="3" s="1"/>
  <c r="X493" i="3" s="1"/>
  <c r="M191" i="1"/>
  <c r="AJ1244" i="3" s="1"/>
  <c r="X1244" i="3" s="1"/>
  <c r="AA1244" i="3" s="1"/>
  <c r="M125" i="1"/>
  <c r="M126" i="1"/>
  <c r="M124" i="1"/>
  <c r="M120" i="1"/>
  <c r="M19" i="1"/>
  <c r="AJ1040" i="3" s="1"/>
  <c r="X1040" i="3" s="1"/>
  <c r="M123" i="1"/>
  <c r="M122" i="1"/>
  <c r="M177" i="1"/>
  <c r="M121" i="1"/>
  <c r="M370" i="3"/>
  <c r="Q370" i="3" s="1"/>
  <c r="S370" i="3" s="1"/>
  <c r="N370" i="3"/>
  <c r="Y380" i="3"/>
  <c r="M148" i="1"/>
  <c r="AJ1354" i="3" s="1"/>
  <c r="X1354" i="3" s="1"/>
  <c r="AA1354" i="3" s="1"/>
  <c r="M176" i="1"/>
  <c r="M105" i="1"/>
  <c r="Y378" i="3"/>
  <c r="Y379" i="3"/>
  <c r="Y391" i="3"/>
  <c r="L391" i="3"/>
  <c r="Y390" i="3"/>
  <c r="L390" i="3"/>
  <c r="Y389" i="3"/>
  <c r="L389" i="3"/>
  <c r="Y388" i="3"/>
  <c r="L388" i="3"/>
  <c r="Y387" i="3"/>
  <c r="L387" i="3"/>
  <c r="Y386" i="3"/>
  <c r="L386" i="3"/>
  <c r="Y385" i="3"/>
  <c r="L385" i="3"/>
  <c r="Y384" i="3"/>
  <c r="L384" i="3"/>
  <c r="Y383" i="3"/>
  <c r="L383" i="3"/>
  <c r="Y382" i="3"/>
  <c r="L382" i="3"/>
  <c r="Y381" i="3"/>
  <c r="L381" i="3"/>
  <c r="L380" i="3"/>
  <c r="L379" i="3"/>
  <c r="L378" i="3"/>
  <c r="Y377" i="3"/>
  <c r="L367" i="3"/>
  <c r="Y376" i="3"/>
  <c r="Y372" i="3"/>
  <c r="Y368" i="3"/>
  <c r="Y370" i="3"/>
  <c r="L366" i="3"/>
  <c r="Y369" i="3"/>
  <c r="Y371" i="3"/>
  <c r="Y373" i="3"/>
  <c r="Y375" i="3"/>
  <c r="Y367" i="3"/>
  <c r="Y374" i="3"/>
  <c r="L365" i="3"/>
  <c r="L364" i="3"/>
  <c r="L376" i="3"/>
  <c r="L375" i="3"/>
  <c r="L374" i="3"/>
  <c r="L373" i="3"/>
  <c r="L372" i="3"/>
  <c r="L371" i="3"/>
  <c r="Y364" i="3"/>
  <c r="Y365" i="3"/>
  <c r="Y366" i="3"/>
  <c r="L369" i="3"/>
  <c r="L368" i="3"/>
  <c r="AI363" i="3"/>
  <c r="AH363" i="3"/>
  <c r="AG363" i="3"/>
  <c r="AE363" i="3"/>
  <c r="R363" i="3" s="1"/>
  <c r="AD363" i="3"/>
  <c r="AC363" i="3"/>
  <c r="P363" i="3" s="1"/>
  <c r="O363" i="3"/>
  <c r="K363" i="3"/>
  <c r="AI362" i="3"/>
  <c r="AH362" i="3"/>
  <c r="AG362" i="3"/>
  <c r="AE362" i="3"/>
  <c r="R362" i="3" s="1"/>
  <c r="AD362" i="3"/>
  <c r="AC362" i="3"/>
  <c r="P362" i="3" s="1"/>
  <c r="O362" i="3"/>
  <c r="K362" i="3"/>
  <c r="AI361" i="3"/>
  <c r="AH361" i="3"/>
  <c r="AG361" i="3"/>
  <c r="AE361" i="3"/>
  <c r="R361" i="3" s="1"/>
  <c r="AD361" i="3"/>
  <c r="AC361" i="3"/>
  <c r="P361" i="3" s="1"/>
  <c r="O361" i="3"/>
  <c r="K361" i="3"/>
  <c r="AI360" i="3"/>
  <c r="AH360" i="3"/>
  <c r="AG360" i="3"/>
  <c r="AE360" i="3"/>
  <c r="R360" i="3" s="1"/>
  <c r="AD360" i="3"/>
  <c r="AC360" i="3"/>
  <c r="P360" i="3" s="1"/>
  <c r="O360" i="3"/>
  <c r="K360" i="3"/>
  <c r="AI359" i="3"/>
  <c r="AH359" i="3"/>
  <c r="AG359" i="3"/>
  <c r="AE359" i="3"/>
  <c r="R359" i="3" s="1"/>
  <c r="AD359" i="3"/>
  <c r="AC359" i="3"/>
  <c r="P359" i="3" s="1"/>
  <c r="O359" i="3"/>
  <c r="K359" i="3"/>
  <c r="AI358" i="3"/>
  <c r="AH358" i="3"/>
  <c r="AG358" i="3"/>
  <c r="AE358" i="3"/>
  <c r="R358" i="3" s="1"/>
  <c r="AD358" i="3"/>
  <c r="AC358" i="3"/>
  <c r="P358" i="3" s="1"/>
  <c r="O358" i="3"/>
  <c r="K358" i="3"/>
  <c r="AI357" i="3"/>
  <c r="AH357" i="3"/>
  <c r="AG357" i="3"/>
  <c r="AE357" i="3"/>
  <c r="R357" i="3" s="1"/>
  <c r="AD357" i="3"/>
  <c r="AC357" i="3"/>
  <c r="P357" i="3" s="1"/>
  <c r="O357" i="3"/>
  <c r="K357" i="3"/>
  <c r="AI356" i="3"/>
  <c r="AH356" i="3"/>
  <c r="AG356" i="3"/>
  <c r="AE356" i="3"/>
  <c r="R356" i="3" s="1"/>
  <c r="AD356" i="3"/>
  <c r="AC356" i="3"/>
  <c r="P356" i="3" s="1"/>
  <c r="O356" i="3"/>
  <c r="K356" i="3"/>
  <c r="AI355" i="3"/>
  <c r="AH355" i="3"/>
  <c r="AG355" i="3"/>
  <c r="AE355" i="3"/>
  <c r="R355" i="3" s="1"/>
  <c r="AD355" i="3"/>
  <c r="AC355" i="3"/>
  <c r="P355" i="3" s="1"/>
  <c r="O355" i="3"/>
  <c r="K355" i="3"/>
  <c r="AI354" i="3"/>
  <c r="AH354" i="3"/>
  <c r="AG354" i="3"/>
  <c r="AE354" i="3"/>
  <c r="R354" i="3" s="1"/>
  <c r="AD354" i="3"/>
  <c r="AC354" i="3"/>
  <c r="O354" i="3"/>
  <c r="K354" i="3"/>
  <c r="AI353" i="3"/>
  <c r="AH353" i="3"/>
  <c r="AG353" i="3"/>
  <c r="AE353" i="3"/>
  <c r="R353" i="3" s="1"/>
  <c r="AD353" i="3"/>
  <c r="AC353" i="3"/>
  <c r="P353" i="3" s="1"/>
  <c r="O353" i="3"/>
  <c r="K353" i="3"/>
  <c r="AI352" i="3"/>
  <c r="AH352" i="3"/>
  <c r="AG352" i="3"/>
  <c r="AE352" i="3"/>
  <c r="R352" i="3" s="1"/>
  <c r="AD352" i="3"/>
  <c r="AC352" i="3"/>
  <c r="P352" i="3" s="1"/>
  <c r="O352" i="3"/>
  <c r="K352" i="3"/>
  <c r="AI351" i="3"/>
  <c r="AH351" i="3"/>
  <c r="AG351" i="3"/>
  <c r="AE351" i="3"/>
  <c r="R351" i="3" s="1"/>
  <c r="AD351" i="3"/>
  <c r="AC351" i="3"/>
  <c r="P351" i="3" s="1"/>
  <c r="O351" i="3"/>
  <c r="K351" i="3"/>
  <c r="M116" i="1"/>
  <c r="AI350" i="3"/>
  <c r="AH350" i="3"/>
  <c r="AG350" i="3"/>
  <c r="AE350" i="3"/>
  <c r="R350" i="3" s="1"/>
  <c r="AD350" i="3"/>
  <c r="AC350" i="3"/>
  <c r="P350" i="3" s="1"/>
  <c r="O350" i="3"/>
  <c r="K350" i="3"/>
  <c r="AI349" i="3"/>
  <c r="AH349" i="3"/>
  <c r="AG349" i="3"/>
  <c r="AE349" i="3"/>
  <c r="R349" i="3" s="1"/>
  <c r="AD349" i="3"/>
  <c r="AC349" i="3"/>
  <c r="P349" i="3" s="1"/>
  <c r="O349" i="3"/>
  <c r="K349" i="3"/>
  <c r="AI348" i="3"/>
  <c r="AH348" i="3"/>
  <c r="AG348" i="3"/>
  <c r="AE348" i="3"/>
  <c r="R348" i="3" s="1"/>
  <c r="AD348" i="3"/>
  <c r="AC348" i="3"/>
  <c r="P348" i="3" s="1"/>
  <c r="O348" i="3"/>
  <c r="K348" i="3"/>
  <c r="AI347" i="3"/>
  <c r="AH347" i="3"/>
  <c r="AG347" i="3"/>
  <c r="AE347" i="3"/>
  <c r="R347" i="3" s="1"/>
  <c r="AD347" i="3"/>
  <c r="AC347" i="3"/>
  <c r="P347" i="3" s="1"/>
  <c r="O347" i="3"/>
  <c r="K347" i="3"/>
  <c r="AI346" i="3"/>
  <c r="AH346" i="3"/>
  <c r="AG346" i="3"/>
  <c r="AE346" i="3"/>
  <c r="R346" i="3" s="1"/>
  <c r="AD346" i="3"/>
  <c r="AC346" i="3"/>
  <c r="P346" i="3" s="1"/>
  <c r="O346" i="3"/>
  <c r="K346" i="3"/>
  <c r="AI345" i="3"/>
  <c r="AH345" i="3"/>
  <c r="AG345" i="3"/>
  <c r="AE345" i="3"/>
  <c r="R345" i="3" s="1"/>
  <c r="AD345" i="3"/>
  <c r="AC345" i="3"/>
  <c r="P345" i="3" s="1"/>
  <c r="O345" i="3"/>
  <c r="K345" i="3"/>
  <c r="AI344" i="3"/>
  <c r="AH344" i="3"/>
  <c r="AG344" i="3"/>
  <c r="AE344" i="3"/>
  <c r="R344" i="3" s="1"/>
  <c r="AD344" i="3"/>
  <c r="AC344" i="3"/>
  <c r="P344" i="3" s="1"/>
  <c r="O344" i="3"/>
  <c r="K344" i="3"/>
  <c r="AI343" i="3"/>
  <c r="AH343" i="3"/>
  <c r="AG343" i="3"/>
  <c r="AE343" i="3"/>
  <c r="R343" i="3" s="1"/>
  <c r="AD343" i="3"/>
  <c r="AC343" i="3"/>
  <c r="P343" i="3" s="1"/>
  <c r="O343" i="3"/>
  <c r="K343" i="3"/>
  <c r="AI342" i="3"/>
  <c r="AH342" i="3"/>
  <c r="AG342" i="3"/>
  <c r="AE342" i="3"/>
  <c r="R342" i="3" s="1"/>
  <c r="AD342" i="3"/>
  <c r="AC342" i="3"/>
  <c r="P342" i="3" s="1"/>
  <c r="O342" i="3"/>
  <c r="K342" i="3"/>
  <c r="AI341" i="3"/>
  <c r="AH341" i="3"/>
  <c r="AG341" i="3"/>
  <c r="AE341" i="3"/>
  <c r="R341" i="3" s="1"/>
  <c r="AD341" i="3"/>
  <c r="AC341" i="3"/>
  <c r="P341" i="3" s="1"/>
  <c r="O341" i="3"/>
  <c r="K341" i="3"/>
  <c r="AI340" i="3"/>
  <c r="AH340" i="3"/>
  <c r="AG340" i="3"/>
  <c r="AE340" i="3"/>
  <c r="R340" i="3" s="1"/>
  <c r="AD340" i="3"/>
  <c r="AC340" i="3"/>
  <c r="P340" i="3" s="1"/>
  <c r="O340" i="3"/>
  <c r="K340" i="3"/>
  <c r="AI339" i="3"/>
  <c r="AH339" i="3"/>
  <c r="AG339" i="3"/>
  <c r="AE339" i="3"/>
  <c r="R339" i="3" s="1"/>
  <c r="AD339" i="3"/>
  <c r="AC339" i="3"/>
  <c r="P339" i="3" s="1"/>
  <c r="O339" i="3"/>
  <c r="K339" i="3"/>
  <c r="AI338" i="3"/>
  <c r="AH338" i="3"/>
  <c r="AG338" i="3"/>
  <c r="AE338" i="3"/>
  <c r="R338" i="3" s="1"/>
  <c r="AD338" i="3"/>
  <c r="AC338" i="3"/>
  <c r="P338" i="3" s="1"/>
  <c r="O338" i="3"/>
  <c r="K338" i="3"/>
  <c r="AI337" i="3"/>
  <c r="AH337" i="3"/>
  <c r="AG337" i="3"/>
  <c r="AE337" i="3"/>
  <c r="R337" i="3" s="1"/>
  <c r="AD337" i="3"/>
  <c r="AC337" i="3"/>
  <c r="P337" i="3" s="1"/>
  <c r="O337" i="3"/>
  <c r="K337" i="3"/>
  <c r="AI336" i="3"/>
  <c r="AH336" i="3"/>
  <c r="AG336" i="3"/>
  <c r="AE336" i="3"/>
  <c r="R336" i="3" s="1"/>
  <c r="AD336" i="3"/>
  <c r="AC336" i="3"/>
  <c r="P336" i="3" s="1"/>
  <c r="O336" i="3"/>
  <c r="K336" i="3"/>
  <c r="AI335" i="3"/>
  <c r="AH335" i="3"/>
  <c r="AG335" i="3"/>
  <c r="AE335" i="3"/>
  <c r="R335" i="3" s="1"/>
  <c r="AD335" i="3"/>
  <c r="AC335" i="3"/>
  <c r="P335" i="3" s="1"/>
  <c r="O335" i="3"/>
  <c r="K335" i="3"/>
  <c r="AI334" i="3"/>
  <c r="AH334" i="3"/>
  <c r="AG334" i="3"/>
  <c r="AE334" i="3"/>
  <c r="R334" i="3" s="1"/>
  <c r="AD334" i="3"/>
  <c r="AC334" i="3"/>
  <c r="P334" i="3" s="1"/>
  <c r="O334" i="3"/>
  <c r="K334" i="3"/>
  <c r="AI333" i="3"/>
  <c r="AH333" i="3"/>
  <c r="AG333" i="3"/>
  <c r="AE333" i="3"/>
  <c r="R333" i="3" s="1"/>
  <c r="AD333" i="3"/>
  <c r="AC333" i="3"/>
  <c r="P333" i="3" s="1"/>
  <c r="O333" i="3"/>
  <c r="K333" i="3"/>
  <c r="AI332" i="3"/>
  <c r="AH332" i="3"/>
  <c r="AG332" i="3"/>
  <c r="AE332" i="3"/>
  <c r="R332" i="3" s="1"/>
  <c r="AD332" i="3"/>
  <c r="AC332" i="3"/>
  <c r="P332" i="3" s="1"/>
  <c r="O332" i="3"/>
  <c r="K332" i="3"/>
  <c r="AI331" i="3"/>
  <c r="AH331" i="3"/>
  <c r="AG331" i="3"/>
  <c r="AE331" i="3"/>
  <c r="R331" i="3" s="1"/>
  <c r="AD331" i="3"/>
  <c r="AC331" i="3"/>
  <c r="P331" i="3" s="1"/>
  <c r="O331" i="3"/>
  <c r="K331" i="3"/>
  <c r="AI330" i="3"/>
  <c r="AH330" i="3"/>
  <c r="AG330" i="3"/>
  <c r="AE330" i="3"/>
  <c r="R330" i="3" s="1"/>
  <c r="AD330" i="3"/>
  <c r="AC330" i="3"/>
  <c r="P330" i="3" s="1"/>
  <c r="O330" i="3"/>
  <c r="K330" i="3"/>
  <c r="AI329" i="3"/>
  <c r="AH329" i="3"/>
  <c r="AG329" i="3"/>
  <c r="AE329" i="3"/>
  <c r="R329" i="3" s="1"/>
  <c r="AD329" i="3"/>
  <c r="AC329" i="3"/>
  <c r="P329" i="3" s="1"/>
  <c r="O329" i="3"/>
  <c r="K329" i="3"/>
  <c r="AI328" i="3"/>
  <c r="AH328" i="3"/>
  <c r="AG328" i="3"/>
  <c r="AE328" i="3"/>
  <c r="R328" i="3" s="1"/>
  <c r="AD328" i="3"/>
  <c r="AC328" i="3"/>
  <c r="P328" i="3" s="1"/>
  <c r="O328" i="3"/>
  <c r="K328" i="3"/>
  <c r="AI327" i="3"/>
  <c r="AH327" i="3"/>
  <c r="AG327" i="3"/>
  <c r="AE327" i="3"/>
  <c r="R327" i="3" s="1"/>
  <c r="AD327" i="3"/>
  <c r="AC327" i="3"/>
  <c r="P327" i="3" s="1"/>
  <c r="O327" i="3"/>
  <c r="K327" i="3"/>
  <c r="AI326" i="3"/>
  <c r="AH326" i="3"/>
  <c r="AG326" i="3"/>
  <c r="AE326" i="3"/>
  <c r="R326" i="3" s="1"/>
  <c r="AD326" i="3"/>
  <c r="AC326" i="3"/>
  <c r="P326" i="3" s="1"/>
  <c r="O326" i="3"/>
  <c r="K326" i="3"/>
  <c r="AI325" i="3"/>
  <c r="AH325" i="3"/>
  <c r="AG325" i="3"/>
  <c r="AE325" i="3"/>
  <c r="R325" i="3" s="1"/>
  <c r="AD325" i="3"/>
  <c r="AC325" i="3"/>
  <c r="P325" i="3" s="1"/>
  <c r="O325" i="3"/>
  <c r="K325" i="3"/>
  <c r="AI324" i="3"/>
  <c r="AH324" i="3"/>
  <c r="AG324" i="3"/>
  <c r="AE324" i="3"/>
  <c r="R324" i="3" s="1"/>
  <c r="AD324" i="3"/>
  <c r="AC324" i="3"/>
  <c r="P324" i="3" s="1"/>
  <c r="O324" i="3"/>
  <c r="K324" i="3"/>
  <c r="AI323" i="3"/>
  <c r="AH323" i="3"/>
  <c r="AG323" i="3"/>
  <c r="AE323" i="3"/>
  <c r="R323" i="3" s="1"/>
  <c r="AD323" i="3"/>
  <c r="AC323" i="3"/>
  <c r="P323" i="3" s="1"/>
  <c r="O323" i="3"/>
  <c r="K323" i="3"/>
  <c r="AI322" i="3"/>
  <c r="AH322" i="3"/>
  <c r="AG322" i="3"/>
  <c r="AE322" i="3"/>
  <c r="R322" i="3" s="1"/>
  <c r="AD322" i="3"/>
  <c r="AC322" i="3"/>
  <c r="P322" i="3" s="1"/>
  <c r="O322" i="3"/>
  <c r="K322" i="3"/>
  <c r="AI321" i="3"/>
  <c r="AH321" i="3"/>
  <c r="AG321" i="3"/>
  <c r="AE321" i="3"/>
  <c r="R321" i="3" s="1"/>
  <c r="AD321" i="3"/>
  <c r="AC321" i="3"/>
  <c r="P321" i="3" s="1"/>
  <c r="O321" i="3"/>
  <c r="K321" i="3"/>
  <c r="AI320" i="3"/>
  <c r="AH320" i="3"/>
  <c r="AG320" i="3"/>
  <c r="AE320" i="3"/>
  <c r="R320" i="3" s="1"/>
  <c r="AD320" i="3"/>
  <c r="AC320" i="3"/>
  <c r="P320" i="3" s="1"/>
  <c r="O320" i="3"/>
  <c r="K320" i="3"/>
  <c r="AI319" i="3"/>
  <c r="AH319" i="3"/>
  <c r="AG319" i="3"/>
  <c r="AE319" i="3"/>
  <c r="R319" i="3" s="1"/>
  <c r="AD319" i="3"/>
  <c r="AC319" i="3"/>
  <c r="P319" i="3" s="1"/>
  <c r="O319" i="3"/>
  <c r="K319" i="3"/>
  <c r="AI318" i="3"/>
  <c r="AH318" i="3"/>
  <c r="AG318" i="3"/>
  <c r="AE318" i="3"/>
  <c r="R318" i="3" s="1"/>
  <c r="AD318" i="3"/>
  <c r="AC318" i="3"/>
  <c r="P318" i="3" s="1"/>
  <c r="O318" i="3"/>
  <c r="K318" i="3"/>
  <c r="AI317" i="3"/>
  <c r="AH317" i="3"/>
  <c r="AG317" i="3"/>
  <c r="AE317" i="3"/>
  <c r="R317" i="3" s="1"/>
  <c r="AD317" i="3"/>
  <c r="AC317" i="3"/>
  <c r="P317" i="3" s="1"/>
  <c r="O317" i="3"/>
  <c r="K317" i="3"/>
  <c r="AI316" i="3"/>
  <c r="AH316" i="3"/>
  <c r="AG316" i="3"/>
  <c r="AE316" i="3"/>
  <c r="R316" i="3" s="1"/>
  <c r="AD316" i="3"/>
  <c r="AC316" i="3"/>
  <c r="P316" i="3" s="1"/>
  <c r="O316" i="3"/>
  <c r="K316" i="3"/>
  <c r="Q3" i="14"/>
  <c r="AI315" i="3"/>
  <c r="AH315" i="3"/>
  <c r="AG315" i="3"/>
  <c r="AE315" i="3"/>
  <c r="R315" i="3" s="1"/>
  <c r="AD315" i="3"/>
  <c r="AC315" i="3"/>
  <c r="P315" i="3" s="1"/>
  <c r="O315" i="3"/>
  <c r="K315" i="3"/>
  <c r="AI314" i="3"/>
  <c r="AH314" i="3"/>
  <c r="AG314" i="3"/>
  <c r="AE314" i="3"/>
  <c r="R314" i="3" s="1"/>
  <c r="AD314" i="3"/>
  <c r="AC314" i="3"/>
  <c r="P314" i="3" s="1"/>
  <c r="O314" i="3"/>
  <c r="K314" i="3"/>
  <c r="AI313" i="3"/>
  <c r="AH313" i="3"/>
  <c r="AG313" i="3"/>
  <c r="AE313" i="3"/>
  <c r="R313" i="3" s="1"/>
  <c r="AD313" i="3"/>
  <c r="AC313" i="3"/>
  <c r="P313" i="3" s="1"/>
  <c r="O313" i="3"/>
  <c r="K313" i="3"/>
  <c r="AI312" i="3"/>
  <c r="AH312" i="3"/>
  <c r="AG312" i="3"/>
  <c r="AE312" i="3"/>
  <c r="R312" i="3" s="1"/>
  <c r="AD312" i="3"/>
  <c r="AC312" i="3"/>
  <c r="P312" i="3" s="1"/>
  <c r="O312" i="3"/>
  <c r="K312" i="3"/>
  <c r="AI311" i="3"/>
  <c r="AH311" i="3"/>
  <c r="AG311" i="3"/>
  <c r="AE311" i="3"/>
  <c r="R311" i="3" s="1"/>
  <c r="AD311" i="3"/>
  <c r="AC311" i="3"/>
  <c r="O311" i="3"/>
  <c r="K311" i="3"/>
  <c r="AI310" i="3"/>
  <c r="AH310" i="3"/>
  <c r="AG310" i="3"/>
  <c r="AE310" i="3"/>
  <c r="R310" i="3" s="1"/>
  <c r="AD310" i="3"/>
  <c r="AC310" i="3"/>
  <c r="P310" i="3" s="1"/>
  <c r="O310" i="3"/>
  <c r="K310" i="3"/>
  <c r="AI309" i="3"/>
  <c r="AH309" i="3"/>
  <c r="AE309" i="3"/>
  <c r="R309" i="3" s="1"/>
  <c r="AD309" i="3"/>
  <c r="AC309" i="3"/>
  <c r="P309" i="3" s="1"/>
  <c r="O309" i="3"/>
  <c r="K309" i="3"/>
  <c r="AI308" i="3"/>
  <c r="AH308" i="3"/>
  <c r="AE308" i="3"/>
  <c r="R308" i="3" s="1"/>
  <c r="AD308" i="3"/>
  <c r="AC308" i="3"/>
  <c r="O308" i="3"/>
  <c r="K308" i="3"/>
  <c r="AI307" i="3"/>
  <c r="AH307" i="3"/>
  <c r="AE307" i="3"/>
  <c r="R307" i="3" s="1"/>
  <c r="AD307" i="3"/>
  <c r="AC307" i="3"/>
  <c r="O307" i="3"/>
  <c r="K307" i="3"/>
  <c r="AI306" i="3"/>
  <c r="AH306" i="3"/>
  <c r="AE306" i="3"/>
  <c r="R306" i="3" s="1"/>
  <c r="AD306" i="3"/>
  <c r="AC306" i="3"/>
  <c r="P306" i="3" s="1"/>
  <c r="O306" i="3"/>
  <c r="K306" i="3"/>
  <c r="AI305" i="3"/>
  <c r="AH305" i="3"/>
  <c r="AE305" i="3"/>
  <c r="R305" i="3" s="1"/>
  <c r="AD305" i="3"/>
  <c r="AC305" i="3"/>
  <c r="O305" i="3"/>
  <c r="K305" i="3"/>
  <c r="AI304" i="3"/>
  <c r="AH304" i="3"/>
  <c r="AE304" i="3"/>
  <c r="R304" i="3" s="1"/>
  <c r="AD304" i="3"/>
  <c r="AC304" i="3"/>
  <c r="P304" i="3" s="1"/>
  <c r="O304" i="3"/>
  <c r="K304" i="3"/>
  <c r="AJ1369" i="3" l="1"/>
  <c r="X1369" i="3" s="1"/>
  <c r="AA1369" i="3" s="1"/>
  <c r="AJ1374" i="3"/>
  <c r="X1374" i="3" s="1"/>
  <c r="AA1374" i="3" s="1"/>
  <c r="AB1369" i="3"/>
  <c r="J1369" i="3"/>
  <c r="AM1369" i="3" s="1"/>
  <c r="AN1369" i="3" s="1"/>
  <c r="AO1369" i="3" s="1"/>
  <c r="AP1369" i="3" s="1"/>
  <c r="I1369" i="3"/>
  <c r="I1354" i="3"/>
  <c r="J1354" i="3"/>
  <c r="AM1354" i="3" s="1"/>
  <c r="AN1354" i="3" s="1"/>
  <c r="AO1354" i="3" s="1"/>
  <c r="AP1354" i="3" s="1"/>
  <c r="AB1354" i="3"/>
  <c r="AJ1132" i="3"/>
  <c r="X1132" i="3" s="1"/>
  <c r="AJ1353" i="3"/>
  <c r="X1353" i="3" s="1"/>
  <c r="AA1353" i="3" s="1"/>
  <c r="AJ1311" i="3"/>
  <c r="X1311" i="3" s="1"/>
  <c r="AA1311" i="3" s="1"/>
  <c r="I1311" i="3" s="1"/>
  <c r="AJ1312" i="3"/>
  <c r="X1312" i="3" s="1"/>
  <c r="AA1312" i="3" s="1"/>
  <c r="AJ1294" i="3"/>
  <c r="X1294" i="3" s="1"/>
  <c r="AA1294" i="3" s="1"/>
  <c r="J1294" i="3" s="1"/>
  <c r="AM1294" i="3" s="1"/>
  <c r="AN1294" i="3" s="1"/>
  <c r="AO1294" i="3" s="1"/>
  <c r="AP1294" i="3" s="1"/>
  <c r="AJ1295" i="3"/>
  <c r="X1295" i="3" s="1"/>
  <c r="AA1295" i="3" s="1"/>
  <c r="AJ1043" i="3"/>
  <c r="X1043" i="3" s="1"/>
  <c r="AJ1279" i="3"/>
  <c r="X1279" i="3" s="1"/>
  <c r="AA1279" i="3" s="1"/>
  <c r="I1244" i="3"/>
  <c r="J1244" i="3"/>
  <c r="AM1244" i="3" s="1"/>
  <c r="AN1244" i="3" s="1"/>
  <c r="AO1244" i="3" s="1"/>
  <c r="AP1244" i="3" s="1"/>
  <c r="AB1244" i="3"/>
  <c r="AJ917" i="3"/>
  <c r="X917" i="3" s="1"/>
  <c r="AJ1204" i="3"/>
  <c r="X1204" i="3" s="1"/>
  <c r="AJ1189" i="3"/>
  <c r="X1189" i="3" s="1"/>
  <c r="AJ1203" i="3"/>
  <c r="X1203" i="3" s="1"/>
  <c r="AJ919" i="3"/>
  <c r="X919" i="3" s="1"/>
  <c r="AJ1192" i="3"/>
  <c r="X1192" i="3" s="1"/>
  <c r="AJ998" i="3"/>
  <c r="X998" i="3" s="1"/>
  <c r="AJ1041" i="3"/>
  <c r="X1041" i="3" s="1"/>
  <c r="N377" i="3"/>
  <c r="L311" i="3"/>
  <c r="M311" i="3" s="1"/>
  <c r="Q311" i="3" s="1"/>
  <c r="S311" i="3" s="1"/>
  <c r="P311" i="3"/>
  <c r="L308" i="3"/>
  <c r="M308" i="3" s="1"/>
  <c r="V308" i="3" s="1"/>
  <c r="W308" i="3" s="1"/>
  <c r="P308" i="3"/>
  <c r="L354" i="3"/>
  <c r="N354" i="3" s="1"/>
  <c r="P354" i="3"/>
  <c r="L305" i="3"/>
  <c r="M305" i="3" s="1"/>
  <c r="Q305" i="3" s="1"/>
  <c r="S305" i="3" s="1"/>
  <c r="P305" i="3"/>
  <c r="L307" i="3"/>
  <c r="N307" i="3" s="1"/>
  <c r="P307" i="3"/>
  <c r="M151" i="1"/>
  <c r="Q4" i="14"/>
  <c r="AJ905" i="3"/>
  <c r="X905" i="3" s="1"/>
  <c r="AJ918" i="3"/>
  <c r="X918" i="3" s="1"/>
  <c r="AJ906" i="3"/>
  <c r="X906" i="3" s="1"/>
  <c r="AJ907" i="3"/>
  <c r="X907" i="3" s="1"/>
  <c r="AJ655" i="3"/>
  <c r="X655" i="3" s="1"/>
  <c r="AJ904" i="3"/>
  <c r="X904" i="3" s="1"/>
  <c r="AJ670" i="3"/>
  <c r="X670" i="3" s="1"/>
  <c r="AJ779" i="3"/>
  <c r="X779" i="3" s="1"/>
  <c r="AJ782" i="3"/>
  <c r="X782" i="3" s="1"/>
  <c r="AJ769" i="3"/>
  <c r="X769" i="3" s="1"/>
  <c r="AJ772" i="3"/>
  <c r="X772" i="3" s="1"/>
  <c r="AJ708" i="3"/>
  <c r="X708" i="3" s="1"/>
  <c r="AJ719" i="3"/>
  <c r="X719" i="3" s="1"/>
  <c r="AJ607" i="3"/>
  <c r="X607" i="3" s="1"/>
  <c r="AJ625" i="3"/>
  <c r="X625" i="3" s="1"/>
  <c r="AJ612" i="3"/>
  <c r="X612" i="3" s="1"/>
  <c r="AJ614" i="3"/>
  <c r="X614" i="3" s="1"/>
  <c r="AJ590" i="3"/>
  <c r="X590" i="3" s="1"/>
  <c r="AJ602" i="3"/>
  <c r="X602" i="3" s="1"/>
  <c r="AJ529" i="3"/>
  <c r="X529" i="3" s="1"/>
  <c r="AJ532" i="3"/>
  <c r="X532" i="3" s="1"/>
  <c r="AJ314" i="3"/>
  <c r="AJ513" i="3"/>
  <c r="X513" i="3" s="1"/>
  <c r="AJ443" i="3"/>
  <c r="X443" i="3" s="1"/>
  <c r="AJ385" i="3"/>
  <c r="AJ396" i="3"/>
  <c r="X396" i="3" s="1"/>
  <c r="AJ466" i="3"/>
  <c r="X466" i="3" s="1"/>
  <c r="AJ476" i="3"/>
  <c r="X476" i="3" s="1"/>
  <c r="AJ380" i="3"/>
  <c r="AJ467" i="3"/>
  <c r="X467" i="3" s="1"/>
  <c r="AJ377" i="3"/>
  <c r="AJ512" i="3"/>
  <c r="X512" i="3" s="1"/>
  <c r="AJ475" i="3"/>
  <c r="X475" i="3" s="1"/>
  <c r="AJ471" i="3"/>
  <c r="X471" i="3" s="1"/>
  <c r="AJ488" i="3"/>
  <c r="X488" i="3" s="1"/>
  <c r="AJ460" i="3"/>
  <c r="X460" i="3" s="1"/>
  <c r="AJ458" i="3"/>
  <c r="X458" i="3" s="1"/>
  <c r="AJ463" i="3"/>
  <c r="X463" i="3" s="1"/>
  <c r="AJ406" i="3"/>
  <c r="X406" i="3" s="1"/>
  <c r="AJ402" i="3"/>
  <c r="X402" i="3" s="1"/>
  <c r="AJ422" i="3"/>
  <c r="X422" i="3" s="1"/>
  <c r="AJ416" i="3"/>
  <c r="X416" i="3" s="1"/>
  <c r="AJ401" i="3"/>
  <c r="X401" i="3" s="1"/>
  <c r="AJ400" i="3"/>
  <c r="X400" i="3" s="1"/>
  <c r="V370" i="3"/>
  <c r="W370" i="3" s="1"/>
  <c r="M371" i="3"/>
  <c r="V371" i="3" s="1"/>
  <c r="W371" i="3" s="1"/>
  <c r="N371" i="3"/>
  <c r="M375" i="3"/>
  <c r="V375" i="3" s="1"/>
  <c r="W375" i="3" s="1"/>
  <c r="N375" i="3"/>
  <c r="M378" i="3"/>
  <c r="V378" i="3" s="1"/>
  <c r="W378" i="3" s="1"/>
  <c r="N378" i="3"/>
  <c r="M379" i="3"/>
  <c r="V379" i="3" s="1"/>
  <c r="W379" i="3" s="1"/>
  <c r="N379" i="3"/>
  <c r="M382" i="3"/>
  <c r="V382" i="3" s="1"/>
  <c r="W382" i="3" s="1"/>
  <c r="N382" i="3"/>
  <c r="M384" i="3"/>
  <c r="V384" i="3" s="1"/>
  <c r="W384" i="3" s="1"/>
  <c r="N384" i="3"/>
  <c r="M386" i="3"/>
  <c r="V386" i="3" s="1"/>
  <c r="W386" i="3" s="1"/>
  <c r="N386" i="3"/>
  <c r="M387" i="3"/>
  <c r="V387" i="3" s="1"/>
  <c r="W387" i="3" s="1"/>
  <c r="N387" i="3"/>
  <c r="M388" i="3"/>
  <c r="V388" i="3" s="1"/>
  <c r="W388" i="3" s="1"/>
  <c r="N388" i="3"/>
  <c r="M389" i="3"/>
  <c r="V389" i="3" s="1"/>
  <c r="W389" i="3" s="1"/>
  <c r="N389" i="3"/>
  <c r="M390" i="3"/>
  <c r="V390" i="3" s="1"/>
  <c r="W390" i="3" s="1"/>
  <c r="N390" i="3"/>
  <c r="M391" i="3"/>
  <c r="V391" i="3" s="1"/>
  <c r="W391" i="3" s="1"/>
  <c r="N391" i="3"/>
  <c r="M373" i="3"/>
  <c r="V373" i="3" s="1"/>
  <c r="W373" i="3" s="1"/>
  <c r="N373" i="3"/>
  <c r="M364" i="3"/>
  <c r="V364" i="3" s="1"/>
  <c r="W364" i="3" s="1"/>
  <c r="N364" i="3"/>
  <c r="M366" i="3"/>
  <c r="V366" i="3" s="1"/>
  <c r="W366" i="3" s="1"/>
  <c r="N366" i="3"/>
  <c r="Q377" i="3"/>
  <c r="S377" i="3" s="1"/>
  <c r="M380" i="3"/>
  <c r="V380" i="3" s="1"/>
  <c r="W380" i="3" s="1"/>
  <c r="N380" i="3"/>
  <c r="M368" i="3"/>
  <c r="V368" i="3" s="1"/>
  <c r="W368" i="3" s="1"/>
  <c r="N368" i="3"/>
  <c r="M369" i="3"/>
  <c r="V369" i="3" s="1"/>
  <c r="W369" i="3" s="1"/>
  <c r="N369" i="3"/>
  <c r="M372" i="3"/>
  <c r="Q372" i="3" s="1"/>
  <c r="S372" i="3" s="1"/>
  <c r="N372" i="3"/>
  <c r="M376" i="3"/>
  <c r="V376" i="3" s="1"/>
  <c r="W376" i="3" s="1"/>
  <c r="N376" i="3"/>
  <c r="M381" i="3"/>
  <c r="V381" i="3" s="1"/>
  <c r="W381" i="3" s="1"/>
  <c r="N381" i="3"/>
  <c r="M383" i="3"/>
  <c r="V383" i="3" s="1"/>
  <c r="W383" i="3" s="1"/>
  <c r="N383" i="3"/>
  <c r="M385" i="3"/>
  <c r="V385" i="3" s="1"/>
  <c r="W385" i="3" s="1"/>
  <c r="N385" i="3"/>
  <c r="M307" i="3"/>
  <c r="V307" i="3" s="1"/>
  <c r="W307" i="3" s="1"/>
  <c r="M374" i="3"/>
  <c r="V374" i="3" s="1"/>
  <c r="W374" i="3" s="1"/>
  <c r="N374" i="3"/>
  <c r="M365" i="3"/>
  <c r="Q365" i="3" s="1"/>
  <c r="S365" i="3" s="1"/>
  <c r="N365" i="3"/>
  <c r="M367" i="3"/>
  <c r="Q367" i="3" s="1"/>
  <c r="S367" i="3" s="1"/>
  <c r="N367" i="3"/>
  <c r="L357" i="3"/>
  <c r="L361" i="3"/>
  <c r="M118" i="1"/>
  <c r="Y363" i="3"/>
  <c r="Y362" i="3"/>
  <c r="M7" i="1"/>
  <c r="L362" i="3"/>
  <c r="M36" i="1"/>
  <c r="L353" i="3"/>
  <c r="M117" i="1"/>
  <c r="L358" i="3"/>
  <c r="M119" i="1"/>
  <c r="M114" i="1"/>
  <c r="L351" i="3"/>
  <c r="L356" i="3"/>
  <c r="L359" i="3"/>
  <c r="L352" i="3"/>
  <c r="L355" i="3"/>
  <c r="L360" i="3"/>
  <c r="L363" i="3"/>
  <c r="Y361" i="3"/>
  <c r="Y351" i="3"/>
  <c r="Y352" i="3"/>
  <c r="Y353" i="3"/>
  <c r="Y354" i="3"/>
  <c r="Y355" i="3"/>
  <c r="Y356" i="3"/>
  <c r="Y357" i="3"/>
  <c r="Y358" i="3"/>
  <c r="Y359" i="3"/>
  <c r="Y360" i="3"/>
  <c r="Y349" i="3"/>
  <c r="Y350" i="3"/>
  <c r="Y348" i="3"/>
  <c r="Y336" i="3"/>
  <c r="Y346" i="3"/>
  <c r="Y347" i="3"/>
  <c r="L350" i="3"/>
  <c r="L349" i="3"/>
  <c r="L348" i="3"/>
  <c r="L347" i="3"/>
  <c r="L346" i="3"/>
  <c r="Y340" i="3"/>
  <c r="Y345" i="3"/>
  <c r="Y341" i="3"/>
  <c r="Y343" i="3"/>
  <c r="Y332" i="3"/>
  <c r="Y339" i="3"/>
  <c r="Y335" i="3"/>
  <c r="Y342" i="3"/>
  <c r="L344" i="3"/>
  <c r="Y337" i="3"/>
  <c r="Y325" i="3"/>
  <c r="Y326" i="3"/>
  <c r="L345" i="3"/>
  <c r="Y344" i="3"/>
  <c r="L343" i="3"/>
  <c r="L342" i="3"/>
  <c r="Y329" i="3"/>
  <c r="Y338" i="3"/>
  <c r="L341" i="3"/>
  <c r="L340" i="3"/>
  <c r="L339" i="3"/>
  <c r="Y333" i="3"/>
  <c r="Y334" i="3"/>
  <c r="L338" i="3"/>
  <c r="L337" i="3"/>
  <c r="L336" i="3"/>
  <c r="L335" i="3"/>
  <c r="Y327" i="3"/>
  <c r="Y330" i="3"/>
  <c r="L334" i="3"/>
  <c r="Y322" i="3"/>
  <c r="Y323" i="3"/>
  <c r="Y321" i="3"/>
  <c r="Y324" i="3"/>
  <c r="Y331" i="3"/>
  <c r="Y328" i="3"/>
  <c r="L333" i="3"/>
  <c r="L332" i="3"/>
  <c r="L331" i="3"/>
  <c r="L330" i="3"/>
  <c r="L329" i="3"/>
  <c r="L328" i="3"/>
  <c r="L327" i="3"/>
  <c r="L326" i="3"/>
  <c r="L325" i="3"/>
  <c r="Y317" i="3"/>
  <c r="Y316" i="3"/>
  <c r="Y318" i="3"/>
  <c r="Y320" i="3"/>
  <c r="Y319" i="3"/>
  <c r="Y315" i="3"/>
  <c r="L324" i="3"/>
  <c r="L323" i="3"/>
  <c r="L322" i="3"/>
  <c r="Y313" i="3"/>
  <c r="L321" i="3"/>
  <c r="L316" i="3"/>
  <c r="L317" i="3"/>
  <c r="L318" i="3"/>
  <c r="L319" i="3"/>
  <c r="L320" i="3"/>
  <c r="Y314" i="3"/>
  <c r="L314" i="3"/>
  <c r="L315" i="3"/>
  <c r="L312" i="3"/>
  <c r="Y312" i="3"/>
  <c r="Y311" i="3"/>
  <c r="L313" i="3"/>
  <c r="L310" i="3"/>
  <c r="Y310" i="3"/>
  <c r="M158" i="1"/>
  <c r="AJ855" i="3" s="1"/>
  <c r="X855" i="3" s="1"/>
  <c r="M136" i="1"/>
  <c r="M60" i="1"/>
  <c r="M132" i="1"/>
  <c r="M29" i="1"/>
  <c r="M108" i="1"/>
  <c r="M51" i="1"/>
  <c r="M169" i="1"/>
  <c r="AJ1177" i="3" s="1"/>
  <c r="X1177" i="3" s="1"/>
  <c r="M5" i="1"/>
  <c r="AJ1357" i="3" s="1"/>
  <c r="X1357" i="3" s="1"/>
  <c r="AA1357" i="3" s="1"/>
  <c r="M10" i="1"/>
  <c r="M180" i="1"/>
  <c r="AJ569" i="3" s="1"/>
  <c r="X569" i="3" s="1"/>
  <c r="M34" i="1"/>
  <c r="M103" i="1"/>
  <c r="M171" i="1"/>
  <c r="AJ1234" i="3" s="1"/>
  <c r="X1234" i="3" s="1"/>
  <c r="AA1234" i="3" s="1"/>
  <c r="M144" i="1"/>
  <c r="M197" i="1"/>
  <c r="M8" i="1"/>
  <c r="AJ1365" i="3" s="1"/>
  <c r="X1365" i="3" s="1"/>
  <c r="AA1365" i="3" s="1"/>
  <c r="M14" i="1"/>
  <c r="AJ1338" i="3" s="1"/>
  <c r="X1338" i="3" s="1"/>
  <c r="AA1338" i="3" s="1"/>
  <c r="M44" i="1"/>
  <c r="M188" i="1"/>
  <c r="M128" i="1"/>
  <c r="M163" i="1"/>
  <c r="AJ1196" i="3" s="1"/>
  <c r="X1196" i="3" s="1"/>
  <c r="M69" i="1"/>
  <c r="M143" i="1"/>
  <c r="AJ1170" i="3" s="1"/>
  <c r="X1170" i="3" s="1"/>
  <c r="M52" i="1"/>
  <c r="AJ1293" i="3" s="1"/>
  <c r="X1293" i="3" s="1"/>
  <c r="AA1293" i="3" s="1"/>
  <c r="M49" i="1"/>
  <c r="AJ1223" i="3" s="1"/>
  <c r="X1223" i="3" s="1"/>
  <c r="M53" i="1"/>
  <c r="AJ1358" i="3" s="1"/>
  <c r="X1358" i="3" s="1"/>
  <c r="AA1358" i="3" s="1"/>
  <c r="M42" i="1"/>
  <c r="AJ1359" i="3" s="1"/>
  <c r="X1359" i="3" s="1"/>
  <c r="AA1359" i="3" s="1"/>
  <c r="M63" i="1"/>
  <c r="M152" i="1"/>
  <c r="AJ751" i="3" s="1"/>
  <c r="X751" i="3" s="1"/>
  <c r="M112" i="1"/>
  <c r="M68" i="1"/>
  <c r="M181" i="1"/>
  <c r="M107" i="1"/>
  <c r="M196" i="1"/>
  <c r="M22" i="1"/>
  <c r="AJ1389" i="3" s="1"/>
  <c r="X1389" i="3" s="1"/>
  <c r="AA1389" i="3" s="1"/>
  <c r="M168" i="1"/>
  <c r="AJ1287" i="3" s="1"/>
  <c r="X1287" i="3" s="1"/>
  <c r="AA1287" i="3" s="1"/>
  <c r="M147" i="1"/>
  <c r="M54" i="1"/>
  <c r="M198" i="1"/>
  <c r="M182" i="1"/>
  <c r="M178" i="1"/>
  <c r="AJ1257" i="3" s="1"/>
  <c r="X1257" i="3" s="1"/>
  <c r="AA1257" i="3" s="1"/>
  <c r="M41" i="1"/>
  <c r="AJ1344" i="3" s="1"/>
  <c r="X1344" i="3" s="1"/>
  <c r="AA1344" i="3" s="1"/>
  <c r="M50" i="1"/>
  <c r="M12" i="1"/>
  <c r="M13" i="1"/>
  <c r="M24" i="1"/>
  <c r="M17" i="1"/>
  <c r="M59" i="1"/>
  <c r="M142" i="1"/>
  <c r="M172" i="1"/>
  <c r="M4" i="1"/>
  <c r="M135" i="1"/>
  <c r="M131" i="1"/>
  <c r="M66" i="1"/>
  <c r="M67" i="1"/>
  <c r="M160" i="1"/>
  <c r="AJ1332" i="3" s="1"/>
  <c r="X1332" i="3" s="1"/>
  <c r="AA1332" i="3" s="1"/>
  <c r="M157" i="1"/>
  <c r="M156" i="1"/>
  <c r="M153" i="1"/>
  <c r="AJ1375" i="3" s="1"/>
  <c r="X1375" i="3" s="1"/>
  <c r="AA1375" i="3" s="1"/>
  <c r="M115" i="1"/>
  <c r="M111" i="1"/>
  <c r="M110" i="1"/>
  <c r="M109" i="1"/>
  <c r="M106" i="1"/>
  <c r="M20" i="1"/>
  <c r="AJ560" i="3" s="1"/>
  <c r="X560" i="3" s="1"/>
  <c r="M21" i="1"/>
  <c r="AJ1388" i="3" s="1"/>
  <c r="X1388" i="3" s="1"/>
  <c r="AA1388" i="3" s="1"/>
  <c r="M167" i="1"/>
  <c r="M146" i="1"/>
  <c r="M55" i="1"/>
  <c r="M199" i="1"/>
  <c r="M38" i="1"/>
  <c r="M45" i="1"/>
  <c r="AJ1379" i="3" s="1"/>
  <c r="X1379" i="3" s="1"/>
  <c r="AA1379" i="3" s="1"/>
  <c r="M46" i="1"/>
  <c r="M26" i="1"/>
  <c r="M2" i="1"/>
  <c r="M11" i="1"/>
  <c r="M3" i="1"/>
  <c r="M16" i="1"/>
  <c r="M175" i="1"/>
  <c r="M71" i="1"/>
  <c r="AJ1381" i="3" s="1"/>
  <c r="X1381" i="3" s="1"/>
  <c r="AA1381" i="3" s="1"/>
  <c r="M141" i="1"/>
  <c r="M194" i="1"/>
  <c r="AJ759" i="3" s="1"/>
  <c r="X759" i="3" s="1"/>
  <c r="M134" i="1"/>
  <c r="M130" i="1"/>
  <c r="M62" i="1"/>
  <c r="M61" i="1"/>
  <c r="M155" i="1"/>
  <c r="M159" i="1"/>
  <c r="AJ1174" i="3" s="1"/>
  <c r="X1174" i="3" s="1"/>
  <c r="M161" i="1"/>
  <c r="AJ1298" i="3" s="1"/>
  <c r="X1298" i="3" s="1"/>
  <c r="AA1298" i="3" s="1"/>
  <c r="M150" i="1"/>
  <c r="M113" i="1"/>
  <c r="M47" i="1"/>
  <c r="AJ793" i="3" s="1"/>
  <c r="X793" i="3" s="1"/>
  <c r="M56" i="1"/>
  <c r="AJ576" i="3" s="1"/>
  <c r="X576" i="3" s="1"/>
  <c r="M9" i="1"/>
  <c r="M31" i="1"/>
  <c r="M200" i="1"/>
  <c r="M170" i="1"/>
  <c r="AJ1184" i="3" s="1"/>
  <c r="X1184" i="3" s="1"/>
  <c r="M166" i="1"/>
  <c r="M6" i="1"/>
  <c r="M72" i="1"/>
  <c r="M33" i="1"/>
  <c r="AJ973" i="3" s="1"/>
  <c r="X973" i="3" s="1"/>
  <c r="M37" i="1"/>
  <c r="M18" i="1"/>
  <c r="AJ1382" i="3" s="1"/>
  <c r="X1382" i="3" s="1"/>
  <c r="AA1382" i="3" s="1"/>
  <c r="M25" i="1"/>
  <c r="AJ1349" i="3" s="1"/>
  <c r="X1349" i="3" s="1"/>
  <c r="AA1349" i="3" s="1"/>
  <c r="M30" i="1"/>
  <c r="AJ1083" i="3" s="1"/>
  <c r="X1083" i="3" s="1"/>
  <c r="M145" i="1"/>
  <c r="AJ1335" i="3" s="1"/>
  <c r="X1335" i="3" s="1"/>
  <c r="AA1335" i="3" s="1"/>
  <c r="M183" i="1"/>
  <c r="AJ1302" i="3" s="1"/>
  <c r="X1302" i="3" s="1"/>
  <c r="AA1302" i="3" s="1"/>
  <c r="M15" i="1"/>
  <c r="AJ846" i="3" s="1"/>
  <c r="X846" i="3" s="1"/>
  <c r="M189" i="1"/>
  <c r="M43" i="1"/>
  <c r="AJ1380" i="3" s="1"/>
  <c r="X1380" i="3" s="1"/>
  <c r="AA1380" i="3" s="1"/>
  <c r="M70" i="1"/>
  <c r="M195" i="1"/>
  <c r="AJ750" i="3" s="1"/>
  <c r="X750" i="3" s="1"/>
  <c r="M133" i="1"/>
  <c r="M129" i="1"/>
  <c r="M64" i="1"/>
  <c r="M65" i="1"/>
  <c r="M164" i="1"/>
  <c r="M162" i="1"/>
  <c r="M154" i="1"/>
  <c r="Y306" i="3"/>
  <c r="Y309" i="3"/>
  <c r="L309" i="3"/>
  <c r="Y307" i="3"/>
  <c r="Y308" i="3"/>
  <c r="Y304" i="3"/>
  <c r="Y305" i="3"/>
  <c r="L306" i="3"/>
  <c r="L304" i="3"/>
  <c r="AJ1390" i="3" l="1"/>
  <c r="X1390" i="3" s="1"/>
  <c r="AA1390" i="3" s="1"/>
  <c r="AJ1391" i="3"/>
  <c r="X1391" i="3" s="1"/>
  <c r="AA1391" i="3" s="1"/>
  <c r="I1390" i="3"/>
  <c r="J1390" i="3"/>
  <c r="AM1390" i="3" s="1"/>
  <c r="AN1390" i="3" s="1"/>
  <c r="AO1390" i="3" s="1"/>
  <c r="AP1390" i="3" s="1"/>
  <c r="AB1390" i="3"/>
  <c r="I1389" i="3"/>
  <c r="J1389" i="3"/>
  <c r="AM1389" i="3" s="1"/>
  <c r="AN1389" i="3" s="1"/>
  <c r="AO1389" i="3" s="1"/>
  <c r="AP1389" i="3" s="1"/>
  <c r="AB1389" i="3"/>
  <c r="I1388" i="3"/>
  <c r="J1388" i="3"/>
  <c r="AM1388" i="3" s="1"/>
  <c r="AN1388" i="3" s="1"/>
  <c r="AO1388" i="3" s="1"/>
  <c r="AP1388" i="3" s="1"/>
  <c r="AB1388" i="3"/>
  <c r="AJ1185" i="3"/>
  <c r="X1185" i="3" s="1"/>
  <c r="AJ1386" i="3"/>
  <c r="X1386" i="3" s="1"/>
  <c r="AA1386" i="3" s="1"/>
  <c r="AJ1272" i="3"/>
  <c r="X1272" i="3" s="1"/>
  <c r="AA1272" i="3" s="1"/>
  <c r="AJ1385" i="3"/>
  <c r="X1385" i="3" s="1"/>
  <c r="AA1385" i="3" s="1"/>
  <c r="AJ1273" i="3"/>
  <c r="X1273" i="3" s="1"/>
  <c r="AA1273" i="3" s="1"/>
  <c r="AJ1384" i="3"/>
  <c r="X1384" i="3" s="1"/>
  <c r="AA1384" i="3" s="1"/>
  <c r="AJ1276" i="3"/>
  <c r="X1276" i="3" s="1"/>
  <c r="AA1276" i="3" s="1"/>
  <c r="AJ1383" i="3"/>
  <c r="X1383" i="3" s="1"/>
  <c r="AA1383" i="3" s="1"/>
  <c r="I1382" i="3"/>
  <c r="J1382" i="3"/>
  <c r="AM1382" i="3" s="1"/>
  <c r="AN1382" i="3" s="1"/>
  <c r="AO1382" i="3" s="1"/>
  <c r="AP1382" i="3" s="1"/>
  <c r="AB1382" i="3"/>
  <c r="I1381" i="3"/>
  <c r="J1381" i="3"/>
  <c r="AM1381" i="3" s="1"/>
  <c r="AN1381" i="3" s="1"/>
  <c r="AO1381" i="3" s="1"/>
  <c r="AP1381" i="3" s="1"/>
  <c r="AB1381" i="3"/>
  <c r="I1380" i="3"/>
  <c r="J1380" i="3"/>
  <c r="AM1380" i="3" s="1"/>
  <c r="AN1380" i="3" s="1"/>
  <c r="AO1380" i="3" s="1"/>
  <c r="AP1380" i="3" s="1"/>
  <c r="AB1380" i="3"/>
  <c r="I1379" i="3"/>
  <c r="J1379" i="3"/>
  <c r="AM1379" i="3" s="1"/>
  <c r="AN1379" i="3" s="1"/>
  <c r="AO1379" i="3" s="1"/>
  <c r="AP1379" i="3" s="1"/>
  <c r="AB1379" i="3"/>
  <c r="AJ1275" i="3"/>
  <c r="X1275" i="3" s="1"/>
  <c r="AA1275" i="3" s="1"/>
  <c r="AJ1378" i="3"/>
  <c r="X1378" i="3" s="1"/>
  <c r="AA1378" i="3" s="1"/>
  <c r="AJ1278" i="3"/>
  <c r="X1278" i="3" s="1"/>
  <c r="AA1278" i="3" s="1"/>
  <c r="AJ1377" i="3"/>
  <c r="X1377" i="3" s="1"/>
  <c r="AA1377" i="3" s="1"/>
  <c r="AJ1372" i="3"/>
  <c r="X1372" i="3" s="1"/>
  <c r="AA1372" i="3" s="1"/>
  <c r="AJ1376" i="3"/>
  <c r="X1376" i="3" s="1"/>
  <c r="AA1376" i="3" s="1"/>
  <c r="I1375" i="3"/>
  <c r="J1375" i="3"/>
  <c r="AM1375" i="3" s="1"/>
  <c r="AN1375" i="3" s="1"/>
  <c r="AO1375" i="3" s="1"/>
  <c r="AP1375" i="3" s="1"/>
  <c r="AB1375" i="3"/>
  <c r="I1374" i="3"/>
  <c r="J1374" i="3"/>
  <c r="AM1374" i="3" s="1"/>
  <c r="AN1374" i="3" s="1"/>
  <c r="AO1374" i="3" s="1"/>
  <c r="AP1374" i="3" s="1"/>
  <c r="AB1374" i="3"/>
  <c r="I1298" i="3"/>
  <c r="J1298" i="3"/>
  <c r="AM1298" i="3" s="1"/>
  <c r="AN1298" i="3" s="1"/>
  <c r="AO1298" i="3" s="1"/>
  <c r="AP1298" i="3" s="1"/>
  <c r="AB1298" i="3"/>
  <c r="AJ1297" i="3"/>
  <c r="X1297" i="3" s="1"/>
  <c r="AA1297" i="3" s="1"/>
  <c r="AJ1373" i="3"/>
  <c r="X1373" i="3" s="1"/>
  <c r="AA1373" i="3" s="1"/>
  <c r="I1297" i="3"/>
  <c r="J1297" i="3"/>
  <c r="AM1297" i="3" s="1"/>
  <c r="AN1297" i="3" s="1"/>
  <c r="AO1297" i="3" s="1"/>
  <c r="AP1297" i="3" s="1"/>
  <c r="AB1297" i="3"/>
  <c r="J1358" i="3"/>
  <c r="AM1358" i="3" s="1"/>
  <c r="AN1358" i="3" s="1"/>
  <c r="AO1358" i="3" s="1"/>
  <c r="AP1358" i="3" s="1"/>
  <c r="I1358" i="3"/>
  <c r="AB1358" i="3"/>
  <c r="J1372" i="3"/>
  <c r="AM1372" i="3" s="1"/>
  <c r="AN1372" i="3" s="1"/>
  <c r="AO1372" i="3" s="1"/>
  <c r="AP1372" i="3" s="1"/>
  <c r="I1372" i="3"/>
  <c r="AB1372" i="3"/>
  <c r="AJ944" i="3"/>
  <c r="X944" i="3" s="1"/>
  <c r="AJ1362" i="3"/>
  <c r="X1362" i="3" s="1"/>
  <c r="AA1362" i="3" s="1"/>
  <c r="AJ1282" i="3"/>
  <c r="X1282" i="3" s="1"/>
  <c r="AA1282" i="3" s="1"/>
  <c r="AJ1360" i="3"/>
  <c r="X1360" i="3" s="1"/>
  <c r="AA1360" i="3" s="1"/>
  <c r="AB1365" i="3"/>
  <c r="J1365" i="3"/>
  <c r="AM1365" i="3" s="1"/>
  <c r="AN1365" i="3" s="1"/>
  <c r="AO1365" i="3" s="1"/>
  <c r="AP1365" i="3" s="1"/>
  <c r="I1365" i="3"/>
  <c r="I1357" i="3"/>
  <c r="J1357" i="3"/>
  <c r="AM1357" i="3" s="1"/>
  <c r="AN1357" i="3" s="1"/>
  <c r="AO1357" i="3" s="1"/>
  <c r="AP1357" i="3" s="1"/>
  <c r="AB1357" i="3"/>
  <c r="AJ1266" i="3"/>
  <c r="X1266" i="3" s="1"/>
  <c r="AA1266" i="3" s="1"/>
  <c r="AJ1361" i="3"/>
  <c r="X1361" i="3" s="1"/>
  <c r="AA1361" i="3" s="1"/>
  <c r="AJ681" i="3"/>
  <c r="X681" i="3" s="1"/>
  <c r="AJ1367" i="3"/>
  <c r="X1367" i="3" s="1"/>
  <c r="AA1367" i="3" s="1"/>
  <c r="AJ1181" i="3"/>
  <c r="X1181" i="3" s="1"/>
  <c r="AJ1368" i="3"/>
  <c r="X1368" i="3" s="1"/>
  <c r="AA1368" i="3" s="1"/>
  <c r="I1359" i="3"/>
  <c r="AB1359" i="3"/>
  <c r="J1359" i="3"/>
  <c r="AM1359" i="3" s="1"/>
  <c r="AN1359" i="3" s="1"/>
  <c r="AO1359" i="3" s="1"/>
  <c r="AP1359" i="3" s="1"/>
  <c r="AJ1271" i="3"/>
  <c r="X1271" i="3" s="1"/>
  <c r="AA1271" i="3" s="1"/>
  <c r="AB1271" i="3" s="1"/>
  <c r="AJ1363" i="3"/>
  <c r="X1363" i="3" s="1"/>
  <c r="AA1363" i="3" s="1"/>
  <c r="AJ1371" i="3"/>
  <c r="X1371" i="3" s="1"/>
  <c r="AA1371" i="3" s="1"/>
  <c r="AJ1370" i="3"/>
  <c r="X1370" i="3" s="1"/>
  <c r="AA1370" i="3" s="1"/>
  <c r="AJ1366" i="3"/>
  <c r="X1366" i="3" s="1"/>
  <c r="AA1366" i="3" s="1"/>
  <c r="AJ1364" i="3"/>
  <c r="X1364" i="3" s="1"/>
  <c r="AA1364" i="3" s="1"/>
  <c r="AJ1355" i="3"/>
  <c r="X1355" i="3" s="1"/>
  <c r="AA1355" i="3" s="1"/>
  <c r="I1355" i="3" s="1"/>
  <c r="AJ1356" i="3"/>
  <c r="X1356" i="3" s="1"/>
  <c r="AA1356" i="3" s="1"/>
  <c r="I1353" i="3"/>
  <c r="J1353" i="3"/>
  <c r="AM1353" i="3" s="1"/>
  <c r="AN1353" i="3" s="1"/>
  <c r="AO1353" i="3" s="1"/>
  <c r="AP1353" i="3" s="1"/>
  <c r="AB1353" i="3"/>
  <c r="AJ1348" i="3"/>
  <c r="X1348" i="3" s="1"/>
  <c r="AA1348" i="3" s="1"/>
  <c r="I1348" i="3" s="1"/>
  <c r="AJ1352" i="3"/>
  <c r="X1352" i="3" s="1"/>
  <c r="AA1352" i="3" s="1"/>
  <c r="I1349" i="3"/>
  <c r="J1349" i="3"/>
  <c r="AM1349" i="3" s="1"/>
  <c r="AN1349" i="3" s="1"/>
  <c r="AO1349" i="3" s="1"/>
  <c r="AP1349" i="3" s="1"/>
  <c r="AB1349" i="3"/>
  <c r="I1344" i="3"/>
  <c r="J1344" i="3"/>
  <c r="AM1344" i="3" s="1"/>
  <c r="AN1344" i="3" s="1"/>
  <c r="AO1344" i="3" s="1"/>
  <c r="AP1344" i="3" s="1"/>
  <c r="AB1344" i="3"/>
  <c r="AJ1342" i="3"/>
  <c r="X1342" i="3" s="1"/>
  <c r="AA1342" i="3" s="1"/>
  <c r="AB1342" i="3" s="1"/>
  <c r="AJ1343" i="3"/>
  <c r="X1343" i="3" s="1"/>
  <c r="AA1343" i="3" s="1"/>
  <c r="AJ1231" i="3"/>
  <c r="X1231" i="3" s="1"/>
  <c r="AJ1340" i="3"/>
  <c r="X1340" i="3" s="1"/>
  <c r="AA1340" i="3" s="1"/>
  <c r="M165" i="1"/>
  <c r="AJ1288" i="3" s="1"/>
  <c r="X1288" i="3" s="1"/>
  <c r="AA1288" i="3" s="1"/>
  <c r="I1288" i="3" s="1"/>
  <c r="M187" i="1"/>
  <c r="AJ1351" i="3" s="1"/>
  <c r="X1351" i="3" s="1"/>
  <c r="AA1351" i="3" s="1"/>
  <c r="AB1311" i="3"/>
  <c r="I1294" i="3"/>
  <c r="J1311" i="3"/>
  <c r="AM1311" i="3" s="1"/>
  <c r="AN1311" i="3" s="1"/>
  <c r="AO1311" i="3" s="1"/>
  <c r="AP1311" i="3" s="1"/>
  <c r="AB1294" i="3"/>
  <c r="I1338" i="3"/>
  <c r="J1338" i="3"/>
  <c r="AM1338" i="3" s="1"/>
  <c r="AN1338" i="3" s="1"/>
  <c r="AO1338" i="3" s="1"/>
  <c r="AP1338" i="3" s="1"/>
  <c r="AB1338" i="3"/>
  <c r="AJ1336" i="3"/>
  <c r="X1336" i="3" s="1"/>
  <c r="AA1336" i="3" s="1"/>
  <c r="J1336" i="3" s="1"/>
  <c r="AM1336" i="3" s="1"/>
  <c r="AN1336" i="3" s="1"/>
  <c r="AO1336" i="3" s="1"/>
  <c r="AP1336" i="3" s="1"/>
  <c r="AJ1337" i="3"/>
  <c r="X1337" i="3" s="1"/>
  <c r="AA1337" i="3" s="1"/>
  <c r="I1335" i="3"/>
  <c r="J1335" i="3"/>
  <c r="AM1335" i="3" s="1"/>
  <c r="AN1335" i="3" s="1"/>
  <c r="AO1335" i="3" s="1"/>
  <c r="AP1335" i="3" s="1"/>
  <c r="AB1335" i="3"/>
  <c r="AJ1246" i="3"/>
  <c r="X1246" i="3" s="1"/>
  <c r="AA1246" i="3" s="1"/>
  <c r="I1246" i="3" s="1"/>
  <c r="AJ1334" i="3"/>
  <c r="X1334" i="3" s="1"/>
  <c r="AA1334" i="3" s="1"/>
  <c r="AJ1330" i="3"/>
  <c r="X1330" i="3" s="1"/>
  <c r="AA1330" i="3" s="1"/>
  <c r="AB1330" i="3" s="1"/>
  <c r="AJ1333" i="3"/>
  <c r="X1333" i="3" s="1"/>
  <c r="AA1333" i="3" s="1"/>
  <c r="I1332" i="3"/>
  <c r="J1332" i="3"/>
  <c r="AM1332" i="3" s="1"/>
  <c r="AN1332" i="3" s="1"/>
  <c r="AO1332" i="3" s="1"/>
  <c r="AP1332" i="3" s="1"/>
  <c r="AB1332" i="3"/>
  <c r="AJ1329" i="3"/>
  <c r="X1329" i="3" s="1"/>
  <c r="AA1329" i="3" s="1"/>
  <c r="J1329" i="3" s="1"/>
  <c r="AM1329" i="3" s="1"/>
  <c r="AN1329" i="3" s="1"/>
  <c r="AO1329" i="3" s="1"/>
  <c r="AP1329" i="3" s="1"/>
  <c r="AJ1331" i="3"/>
  <c r="X1331" i="3" s="1"/>
  <c r="AA1331" i="3" s="1"/>
  <c r="AJ1327" i="3"/>
  <c r="X1327" i="3" s="1"/>
  <c r="AA1327" i="3" s="1"/>
  <c r="I1327" i="3" s="1"/>
  <c r="AJ1328" i="3"/>
  <c r="X1328" i="3" s="1"/>
  <c r="AA1328" i="3" s="1"/>
  <c r="AJ1319" i="3"/>
  <c r="X1319" i="3" s="1"/>
  <c r="AA1319" i="3" s="1"/>
  <c r="I1319" i="3" s="1"/>
  <c r="AJ1326" i="3"/>
  <c r="X1326" i="3" s="1"/>
  <c r="AA1326" i="3" s="1"/>
  <c r="AJ1274" i="3"/>
  <c r="X1274" i="3" s="1"/>
  <c r="AA1274" i="3" s="1"/>
  <c r="AB1274" i="3" s="1"/>
  <c r="AJ1324" i="3"/>
  <c r="X1324" i="3" s="1"/>
  <c r="AA1324" i="3" s="1"/>
  <c r="AJ1315" i="3"/>
  <c r="X1315" i="3" s="1"/>
  <c r="AA1315" i="3" s="1"/>
  <c r="AB1315" i="3" s="1"/>
  <c r="AJ1323" i="3"/>
  <c r="X1323" i="3" s="1"/>
  <c r="AA1323" i="3" s="1"/>
  <c r="AJ1321" i="3"/>
  <c r="X1321" i="3" s="1"/>
  <c r="AA1321" i="3" s="1"/>
  <c r="J1321" i="3" s="1"/>
  <c r="AM1321" i="3" s="1"/>
  <c r="AN1321" i="3" s="1"/>
  <c r="AO1321" i="3" s="1"/>
  <c r="AP1321" i="3" s="1"/>
  <c r="AJ1322" i="3"/>
  <c r="X1322" i="3" s="1"/>
  <c r="AA1322" i="3" s="1"/>
  <c r="AJ1207" i="3"/>
  <c r="X1207" i="3" s="1"/>
  <c r="AJ1320" i="3"/>
  <c r="X1320" i="3" s="1"/>
  <c r="AA1320" i="3" s="1"/>
  <c r="AJ1317" i="3"/>
  <c r="X1317" i="3" s="1"/>
  <c r="AA1317" i="3" s="1"/>
  <c r="I1317" i="3" s="1"/>
  <c r="AJ1318" i="3"/>
  <c r="X1318" i="3" s="1"/>
  <c r="AA1318" i="3" s="1"/>
  <c r="AJ1251" i="3"/>
  <c r="X1251" i="3" s="1"/>
  <c r="AA1251" i="3" s="1"/>
  <c r="AB1251" i="3" s="1"/>
  <c r="AJ1316" i="3"/>
  <c r="X1316" i="3" s="1"/>
  <c r="AA1316" i="3" s="1"/>
  <c r="AJ1307" i="3"/>
  <c r="X1307" i="3" s="1"/>
  <c r="AA1307" i="3" s="1"/>
  <c r="I1307" i="3" s="1"/>
  <c r="AJ1314" i="3"/>
  <c r="X1314" i="3" s="1"/>
  <c r="AA1314" i="3" s="1"/>
  <c r="AJ1309" i="3"/>
  <c r="X1309" i="3" s="1"/>
  <c r="AA1309" i="3" s="1"/>
  <c r="I1309" i="3" s="1"/>
  <c r="AJ1313" i="3"/>
  <c r="X1313" i="3" s="1"/>
  <c r="AA1313" i="3" s="1"/>
  <c r="I1312" i="3"/>
  <c r="J1312" i="3"/>
  <c r="AM1312" i="3" s="1"/>
  <c r="AN1312" i="3" s="1"/>
  <c r="AO1312" i="3" s="1"/>
  <c r="AP1312" i="3" s="1"/>
  <c r="AB1312" i="3"/>
  <c r="AJ1306" i="3"/>
  <c r="X1306" i="3" s="1"/>
  <c r="AA1306" i="3" s="1"/>
  <c r="I1306" i="3" s="1"/>
  <c r="AJ1308" i="3"/>
  <c r="X1308" i="3" s="1"/>
  <c r="AA1308" i="3" s="1"/>
  <c r="AJ1265" i="3"/>
  <c r="X1265" i="3" s="1"/>
  <c r="AA1265" i="3" s="1"/>
  <c r="I1265" i="3" s="1"/>
  <c r="AJ1304" i="3"/>
  <c r="X1304" i="3" s="1"/>
  <c r="AA1304" i="3" s="1"/>
  <c r="I1302" i="3"/>
  <c r="J1302" i="3"/>
  <c r="AM1302" i="3" s="1"/>
  <c r="AN1302" i="3" s="1"/>
  <c r="AO1302" i="3" s="1"/>
  <c r="AP1302" i="3" s="1"/>
  <c r="AB1302" i="3"/>
  <c r="AJ767" i="3"/>
  <c r="X767" i="3" s="1"/>
  <c r="AJ1301" i="3"/>
  <c r="X1301" i="3" s="1"/>
  <c r="AA1301" i="3" s="1"/>
  <c r="AJ1296" i="3"/>
  <c r="X1296" i="3" s="1"/>
  <c r="AA1296" i="3" s="1"/>
  <c r="I1296" i="3" s="1"/>
  <c r="AJ1299" i="3"/>
  <c r="X1299" i="3" s="1"/>
  <c r="AA1299" i="3" s="1"/>
  <c r="I1295" i="3"/>
  <c r="J1295" i="3"/>
  <c r="AM1295" i="3" s="1"/>
  <c r="AN1295" i="3" s="1"/>
  <c r="AO1295" i="3" s="1"/>
  <c r="AP1295" i="3" s="1"/>
  <c r="AB1295" i="3"/>
  <c r="I1293" i="3"/>
  <c r="J1293" i="3"/>
  <c r="AM1293" i="3" s="1"/>
  <c r="AN1293" i="3" s="1"/>
  <c r="AO1293" i="3" s="1"/>
  <c r="AP1293" i="3" s="1"/>
  <c r="AB1293" i="3"/>
  <c r="AJ1291" i="3"/>
  <c r="X1291" i="3" s="1"/>
  <c r="AA1291" i="3" s="1"/>
  <c r="I1291" i="3" s="1"/>
  <c r="AJ1292" i="3"/>
  <c r="X1292" i="3" s="1"/>
  <c r="AA1292" i="3" s="1"/>
  <c r="AJ1289" i="3"/>
  <c r="X1289" i="3" s="1"/>
  <c r="AA1289" i="3" s="1"/>
  <c r="I1289" i="3" s="1"/>
  <c r="AJ1290" i="3"/>
  <c r="X1290" i="3" s="1"/>
  <c r="AA1290" i="3" s="1"/>
  <c r="AB1288" i="3"/>
  <c r="I1287" i="3"/>
  <c r="J1287" i="3"/>
  <c r="AM1287" i="3" s="1"/>
  <c r="AN1287" i="3" s="1"/>
  <c r="AO1287" i="3" s="1"/>
  <c r="AP1287" i="3" s="1"/>
  <c r="AB1287" i="3"/>
  <c r="AJ1283" i="3"/>
  <c r="X1283" i="3" s="1"/>
  <c r="AA1283" i="3" s="1"/>
  <c r="I1283" i="3" s="1"/>
  <c r="AJ1284" i="3"/>
  <c r="X1284" i="3" s="1"/>
  <c r="AA1284" i="3" s="1"/>
  <c r="I1282" i="3"/>
  <c r="J1282" i="3"/>
  <c r="AM1282" i="3" s="1"/>
  <c r="AN1282" i="3" s="1"/>
  <c r="AO1282" i="3" s="1"/>
  <c r="AP1282" i="3" s="1"/>
  <c r="AB1282" i="3"/>
  <c r="AJ1280" i="3"/>
  <c r="X1280" i="3" s="1"/>
  <c r="AA1280" i="3" s="1"/>
  <c r="I1280" i="3" s="1"/>
  <c r="AJ1281" i="3"/>
  <c r="X1281" i="3" s="1"/>
  <c r="AA1281" i="3" s="1"/>
  <c r="I1279" i="3"/>
  <c r="J1279" i="3"/>
  <c r="AM1279" i="3" s="1"/>
  <c r="AN1279" i="3" s="1"/>
  <c r="AO1279" i="3" s="1"/>
  <c r="AP1279" i="3" s="1"/>
  <c r="AB1279" i="3"/>
  <c r="I1278" i="3"/>
  <c r="J1278" i="3"/>
  <c r="AM1278" i="3" s="1"/>
  <c r="AN1278" i="3" s="1"/>
  <c r="AO1278" i="3" s="1"/>
  <c r="AP1278" i="3" s="1"/>
  <c r="AB1278" i="3"/>
  <c r="AJ1162" i="3"/>
  <c r="X1162" i="3" s="1"/>
  <c r="AJ1277" i="3"/>
  <c r="X1277" i="3" s="1"/>
  <c r="AA1277" i="3" s="1"/>
  <c r="I1276" i="3"/>
  <c r="J1276" i="3"/>
  <c r="AM1276" i="3" s="1"/>
  <c r="AN1276" i="3" s="1"/>
  <c r="AO1276" i="3" s="1"/>
  <c r="AP1276" i="3" s="1"/>
  <c r="AB1276" i="3"/>
  <c r="I1275" i="3"/>
  <c r="J1275" i="3"/>
  <c r="AM1275" i="3" s="1"/>
  <c r="AN1275" i="3" s="1"/>
  <c r="AO1275" i="3" s="1"/>
  <c r="AP1275" i="3" s="1"/>
  <c r="AB1275" i="3"/>
  <c r="I1273" i="3"/>
  <c r="J1273" i="3"/>
  <c r="AM1273" i="3" s="1"/>
  <c r="AN1273" i="3" s="1"/>
  <c r="AO1273" i="3" s="1"/>
  <c r="AP1273" i="3" s="1"/>
  <c r="AB1273" i="3"/>
  <c r="I1272" i="3"/>
  <c r="J1272" i="3"/>
  <c r="AM1272" i="3" s="1"/>
  <c r="AN1272" i="3" s="1"/>
  <c r="AO1272" i="3" s="1"/>
  <c r="AP1272" i="3" s="1"/>
  <c r="AB1272" i="3"/>
  <c r="I1271" i="3"/>
  <c r="J1271" i="3"/>
  <c r="AM1271" i="3" s="1"/>
  <c r="AN1271" i="3" s="1"/>
  <c r="AO1271" i="3" s="1"/>
  <c r="AP1271" i="3" s="1"/>
  <c r="AJ974" i="3"/>
  <c r="X974" i="3" s="1"/>
  <c r="AJ1270" i="3"/>
  <c r="X1270" i="3" s="1"/>
  <c r="AA1270" i="3" s="1"/>
  <c r="AJ1268" i="3"/>
  <c r="X1268" i="3" s="1"/>
  <c r="AA1268" i="3" s="1"/>
  <c r="I1268" i="3" s="1"/>
  <c r="AJ1269" i="3"/>
  <c r="X1269" i="3" s="1"/>
  <c r="AA1269" i="3" s="1"/>
  <c r="AJ854" i="3"/>
  <c r="X854" i="3" s="1"/>
  <c r="AJ1267" i="3"/>
  <c r="X1267" i="3" s="1"/>
  <c r="AA1267" i="3" s="1"/>
  <c r="I1266" i="3"/>
  <c r="J1266" i="3"/>
  <c r="AM1266" i="3" s="1"/>
  <c r="AN1266" i="3" s="1"/>
  <c r="AO1266" i="3" s="1"/>
  <c r="AP1266" i="3" s="1"/>
  <c r="AB1266" i="3"/>
  <c r="AJ1261" i="3"/>
  <c r="X1261" i="3" s="1"/>
  <c r="AA1261" i="3" s="1"/>
  <c r="J1261" i="3" s="1"/>
  <c r="AM1261" i="3" s="1"/>
  <c r="AN1261" i="3" s="1"/>
  <c r="AO1261" i="3" s="1"/>
  <c r="AP1261" i="3" s="1"/>
  <c r="AJ1264" i="3"/>
  <c r="X1264" i="3" s="1"/>
  <c r="AA1264" i="3" s="1"/>
  <c r="AJ1258" i="3"/>
  <c r="X1258" i="3" s="1"/>
  <c r="AA1258" i="3" s="1"/>
  <c r="J1258" i="3" s="1"/>
  <c r="AM1258" i="3" s="1"/>
  <c r="AN1258" i="3" s="1"/>
  <c r="AO1258" i="3" s="1"/>
  <c r="AP1258" i="3" s="1"/>
  <c r="AJ1262" i="3"/>
  <c r="X1262" i="3" s="1"/>
  <c r="AA1262" i="3" s="1"/>
  <c r="AJ1238" i="3"/>
  <c r="X1238" i="3" s="1"/>
  <c r="AA1238" i="3" s="1"/>
  <c r="AB1238" i="3" s="1"/>
  <c r="AJ1260" i="3"/>
  <c r="X1260" i="3" s="1"/>
  <c r="AA1260" i="3" s="1"/>
  <c r="AJ1253" i="3"/>
  <c r="X1253" i="3" s="1"/>
  <c r="AA1253" i="3" s="1"/>
  <c r="AB1253" i="3" s="1"/>
  <c r="AJ1259" i="3"/>
  <c r="X1259" i="3" s="1"/>
  <c r="AA1259" i="3" s="1"/>
  <c r="I1257" i="3"/>
  <c r="J1257" i="3"/>
  <c r="AM1257" i="3" s="1"/>
  <c r="AN1257" i="3" s="1"/>
  <c r="AO1257" i="3" s="1"/>
  <c r="AP1257" i="3" s="1"/>
  <c r="AB1257" i="3"/>
  <c r="AJ1255" i="3"/>
  <c r="X1255" i="3" s="1"/>
  <c r="AA1255" i="3" s="1"/>
  <c r="I1255" i="3" s="1"/>
  <c r="AJ1256" i="3"/>
  <c r="X1256" i="3" s="1"/>
  <c r="AA1256" i="3" s="1"/>
  <c r="AJ1233" i="3"/>
  <c r="X1233" i="3" s="1"/>
  <c r="AA1233" i="3" s="1"/>
  <c r="AB1233" i="3" s="1"/>
  <c r="AJ1254" i="3"/>
  <c r="X1254" i="3" s="1"/>
  <c r="AA1254" i="3" s="1"/>
  <c r="AJ638" i="3"/>
  <c r="X638" i="3" s="1"/>
  <c r="AJ1252" i="3"/>
  <c r="X1252" i="3" s="1"/>
  <c r="AA1252" i="3" s="1"/>
  <c r="AJ1249" i="3"/>
  <c r="X1249" i="3" s="1"/>
  <c r="AA1249" i="3" s="1"/>
  <c r="I1249" i="3" s="1"/>
  <c r="AJ1250" i="3"/>
  <c r="X1250" i="3" s="1"/>
  <c r="AA1250" i="3" s="1"/>
  <c r="AJ1241" i="3"/>
  <c r="X1241" i="3" s="1"/>
  <c r="AA1241" i="3" s="1"/>
  <c r="J1241" i="3" s="1"/>
  <c r="AM1241" i="3" s="1"/>
  <c r="AN1241" i="3" s="1"/>
  <c r="AO1241" i="3" s="1"/>
  <c r="AP1241" i="3" s="1"/>
  <c r="AJ1245" i="3"/>
  <c r="X1245" i="3" s="1"/>
  <c r="AA1245" i="3" s="1"/>
  <c r="M173" i="1"/>
  <c r="M174" i="1"/>
  <c r="AJ780" i="3"/>
  <c r="X780" i="3" s="1"/>
  <c r="AJ1240" i="3"/>
  <c r="X1240" i="3" s="1"/>
  <c r="AA1240" i="3" s="1"/>
  <c r="AJ1172" i="3"/>
  <c r="X1172" i="3" s="1"/>
  <c r="AJ1239" i="3"/>
  <c r="X1239" i="3" s="1"/>
  <c r="AA1239" i="3" s="1"/>
  <c r="AJ1236" i="3"/>
  <c r="X1236" i="3" s="1"/>
  <c r="AA1236" i="3" s="1"/>
  <c r="J1236" i="3" s="1"/>
  <c r="AM1236" i="3" s="1"/>
  <c r="AN1236" i="3" s="1"/>
  <c r="AO1236" i="3" s="1"/>
  <c r="AP1236" i="3" s="1"/>
  <c r="AJ1237" i="3"/>
  <c r="X1237" i="3" s="1"/>
  <c r="AA1237" i="3" s="1"/>
  <c r="AJ1230" i="3"/>
  <c r="X1230" i="3" s="1"/>
  <c r="AJ1235" i="3"/>
  <c r="X1235" i="3" s="1"/>
  <c r="AA1235" i="3" s="1"/>
  <c r="I1234" i="3"/>
  <c r="J1234" i="3"/>
  <c r="AM1234" i="3" s="1"/>
  <c r="AN1234" i="3" s="1"/>
  <c r="AO1234" i="3" s="1"/>
  <c r="AP1234" i="3" s="1"/>
  <c r="AB1234" i="3"/>
  <c r="AJ1103" i="3"/>
  <c r="X1103" i="3" s="1"/>
  <c r="AJ1232" i="3"/>
  <c r="X1232" i="3" s="1"/>
  <c r="AJ1228" i="3"/>
  <c r="X1228" i="3" s="1"/>
  <c r="AJ1229" i="3"/>
  <c r="X1229" i="3" s="1"/>
  <c r="AJ1225" i="3"/>
  <c r="X1225" i="3" s="1"/>
  <c r="AJ1226" i="3"/>
  <c r="X1226" i="3" s="1"/>
  <c r="AJ1115" i="3"/>
  <c r="X1115" i="3" s="1"/>
  <c r="AJ1224" i="3"/>
  <c r="X1224" i="3" s="1"/>
  <c r="AJ1220" i="3"/>
  <c r="X1220" i="3" s="1"/>
  <c r="AJ1222" i="3"/>
  <c r="X1222" i="3" s="1"/>
  <c r="AJ1217" i="3"/>
  <c r="X1217" i="3" s="1"/>
  <c r="AJ1221" i="3"/>
  <c r="X1221" i="3" s="1"/>
  <c r="AJ1218" i="3"/>
  <c r="X1218" i="3" s="1"/>
  <c r="AJ1219" i="3"/>
  <c r="X1219" i="3" s="1"/>
  <c r="AJ1215" i="3"/>
  <c r="X1215" i="3" s="1"/>
  <c r="AJ1216" i="3"/>
  <c r="X1216" i="3" s="1"/>
  <c r="AJ1211" i="3"/>
  <c r="X1211" i="3" s="1"/>
  <c r="AJ1214" i="3"/>
  <c r="X1214" i="3" s="1"/>
  <c r="AJ1188" i="3"/>
  <c r="X1188" i="3" s="1"/>
  <c r="AJ1213" i="3"/>
  <c r="X1213" i="3" s="1"/>
  <c r="AJ774" i="3"/>
  <c r="X774" i="3" s="1"/>
  <c r="AJ1212" i="3"/>
  <c r="X1212" i="3" s="1"/>
  <c r="AJ1209" i="3"/>
  <c r="X1209" i="3" s="1"/>
  <c r="AJ1210" i="3"/>
  <c r="X1210" i="3" s="1"/>
  <c r="AJ1206" i="3"/>
  <c r="X1206" i="3" s="1"/>
  <c r="AJ1208" i="3"/>
  <c r="X1208" i="3" s="1"/>
  <c r="AJ1153" i="3"/>
  <c r="X1153" i="3" s="1"/>
  <c r="AJ1205" i="3"/>
  <c r="X1205" i="3" s="1"/>
  <c r="AJ1201" i="3"/>
  <c r="X1201" i="3" s="1"/>
  <c r="AJ1202" i="3"/>
  <c r="X1202" i="3" s="1"/>
  <c r="AJ1154" i="3"/>
  <c r="X1154" i="3" s="1"/>
  <c r="AJ1200" i="3"/>
  <c r="X1200" i="3" s="1"/>
  <c r="AJ1198" i="3"/>
  <c r="X1198" i="3" s="1"/>
  <c r="AJ1199" i="3"/>
  <c r="X1199" i="3" s="1"/>
  <c r="AJ1194" i="3"/>
  <c r="X1194" i="3" s="1"/>
  <c r="AJ1195" i="3"/>
  <c r="X1195" i="3" s="1"/>
  <c r="AJ1183" i="3"/>
  <c r="X1183" i="3" s="1"/>
  <c r="AJ1193" i="3"/>
  <c r="X1193" i="3" s="1"/>
  <c r="AJ1190" i="3"/>
  <c r="X1190" i="3" s="1"/>
  <c r="AJ1191" i="3"/>
  <c r="X1191" i="3" s="1"/>
  <c r="AJ1178" i="3"/>
  <c r="X1178" i="3" s="1"/>
  <c r="AJ1187" i="3"/>
  <c r="X1187" i="3" s="1"/>
  <c r="AJ1019" i="3"/>
  <c r="X1019" i="3" s="1"/>
  <c r="AJ1186" i="3"/>
  <c r="X1186" i="3" s="1"/>
  <c r="AJ1180" i="3"/>
  <c r="X1180" i="3" s="1"/>
  <c r="AJ1166" i="3"/>
  <c r="X1166" i="3" s="1"/>
  <c r="AJ1179" i="3"/>
  <c r="X1179" i="3" s="1"/>
  <c r="AJ1121" i="3"/>
  <c r="X1121" i="3" s="1"/>
  <c r="AJ1176" i="3"/>
  <c r="X1176" i="3" s="1"/>
  <c r="AJ1116" i="3"/>
  <c r="X1116" i="3" s="1"/>
  <c r="AJ1175" i="3"/>
  <c r="X1175" i="3" s="1"/>
  <c r="AJ1148" i="3"/>
  <c r="X1148" i="3" s="1"/>
  <c r="AJ1173" i="3"/>
  <c r="X1173" i="3" s="1"/>
  <c r="AJ1092" i="3"/>
  <c r="X1092" i="3" s="1"/>
  <c r="AJ1171" i="3"/>
  <c r="X1171" i="3" s="1"/>
  <c r="AJ1165" i="3"/>
  <c r="X1165" i="3" s="1"/>
  <c r="AJ1169" i="3"/>
  <c r="X1169" i="3" s="1"/>
  <c r="AJ975" i="3"/>
  <c r="X975" i="3" s="1"/>
  <c r="AJ1167" i="3"/>
  <c r="X1167" i="3" s="1"/>
  <c r="AJ1150" i="3"/>
  <c r="X1150" i="3" s="1"/>
  <c r="AJ1164" i="3"/>
  <c r="X1164" i="3" s="1"/>
  <c r="AJ952" i="3"/>
  <c r="X952" i="3" s="1"/>
  <c r="AJ1161" i="3"/>
  <c r="X1161" i="3" s="1"/>
  <c r="AJ853" i="3"/>
  <c r="X853" i="3" s="1"/>
  <c r="AJ1160" i="3"/>
  <c r="X1160" i="3" s="1"/>
  <c r="AJ1158" i="3"/>
  <c r="X1158" i="3" s="1"/>
  <c r="AJ1159" i="3"/>
  <c r="X1159" i="3" s="1"/>
  <c r="AJ1142" i="3"/>
  <c r="X1142" i="3" s="1"/>
  <c r="AJ1155" i="3"/>
  <c r="X1155" i="3" s="1"/>
  <c r="AJ1151" i="3"/>
  <c r="X1151" i="3" s="1"/>
  <c r="AJ1152" i="3"/>
  <c r="X1152" i="3" s="1"/>
  <c r="AJ1131" i="3"/>
  <c r="X1131" i="3" s="1"/>
  <c r="AJ1149" i="3"/>
  <c r="X1149" i="3" s="1"/>
  <c r="AJ1139" i="3"/>
  <c r="X1139" i="3" s="1"/>
  <c r="AJ1146" i="3"/>
  <c r="X1146" i="3" s="1"/>
  <c r="AJ1147" i="3"/>
  <c r="X1147" i="3" s="1"/>
  <c r="AJ1140" i="3"/>
  <c r="X1140" i="3" s="1"/>
  <c r="AJ1141" i="3"/>
  <c r="X1141" i="3" s="1"/>
  <c r="AJ1096" i="3"/>
  <c r="X1096" i="3" s="1"/>
  <c r="AJ1138" i="3"/>
  <c r="X1138" i="3" s="1"/>
  <c r="AJ1133" i="3"/>
  <c r="X1133" i="3" s="1"/>
  <c r="AJ1134" i="3"/>
  <c r="X1134" i="3" s="1"/>
  <c r="AJ1105" i="3"/>
  <c r="X1105" i="3" s="1"/>
  <c r="AJ1130" i="3"/>
  <c r="X1130" i="3" s="1"/>
  <c r="AJ1125" i="3"/>
  <c r="X1125" i="3" s="1"/>
  <c r="AJ1129" i="3"/>
  <c r="X1129" i="3" s="1"/>
  <c r="AJ1123" i="3"/>
  <c r="X1123" i="3" s="1"/>
  <c r="AJ1124" i="3"/>
  <c r="X1124" i="3" s="1"/>
  <c r="AJ1056" i="3"/>
  <c r="X1056" i="3" s="1"/>
  <c r="AJ1122" i="3"/>
  <c r="X1122" i="3" s="1"/>
  <c r="AJ1118" i="3"/>
  <c r="X1118" i="3" s="1"/>
  <c r="AJ1120" i="3"/>
  <c r="X1120" i="3" s="1"/>
  <c r="AJ1106" i="3"/>
  <c r="X1106" i="3" s="1"/>
  <c r="AJ1117" i="3"/>
  <c r="X1117" i="3" s="1"/>
  <c r="AJ1111" i="3"/>
  <c r="X1111" i="3" s="1"/>
  <c r="AJ1114" i="3"/>
  <c r="X1114" i="3" s="1"/>
  <c r="AJ756" i="3"/>
  <c r="X756" i="3" s="1"/>
  <c r="AJ1113" i="3"/>
  <c r="X1113" i="3" s="1"/>
  <c r="AJ1046" i="3"/>
  <c r="X1046" i="3" s="1"/>
  <c r="AJ1112" i="3"/>
  <c r="X1112" i="3" s="1"/>
  <c r="AJ1087" i="3"/>
  <c r="X1087" i="3" s="1"/>
  <c r="AJ1110" i="3"/>
  <c r="X1110" i="3" s="1"/>
  <c r="AJ1108" i="3"/>
  <c r="X1108" i="3" s="1"/>
  <c r="AJ1109" i="3"/>
  <c r="X1109" i="3" s="1"/>
  <c r="AJ1095" i="3"/>
  <c r="X1095" i="3" s="1"/>
  <c r="AJ1107" i="3"/>
  <c r="X1107" i="3" s="1"/>
  <c r="AJ1047" i="3"/>
  <c r="X1047" i="3" s="1"/>
  <c r="AJ1104" i="3"/>
  <c r="X1104" i="3" s="1"/>
  <c r="AJ1101" i="3"/>
  <c r="X1101" i="3" s="1"/>
  <c r="AJ1102" i="3"/>
  <c r="X1102" i="3" s="1"/>
  <c r="AJ1099" i="3"/>
  <c r="X1099" i="3" s="1"/>
  <c r="AJ1100" i="3"/>
  <c r="X1100" i="3" s="1"/>
  <c r="AJ1097" i="3"/>
  <c r="X1097" i="3" s="1"/>
  <c r="AJ1098" i="3"/>
  <c r="X1098" i="3" s="1"/>
  <c r="AJ1093" i="3"/>
  <c r="X1093" i="3" s="1"/>
  <c r="AJ1094" i="3"/>
  <c r="X1094" i="3" s="1"/>
  <c r="AJ1089" i="3"/>
  <c r="X1089" i="3" s="1"/>
  <c r="AJ1090" i="3"/>
  <c r="X1090" i="3" s="1"/>
  <c r="AJ1060" i="3"/>
  <c r="X1060" i="3" s="1"/>
  <c r="AJ1088" i="3"/>
  <c r="X1088" i="3" s="1"/>
  <c r="AJ1085" i="3"/>
  <c r="X1085" i="3" s="1"/>
  <c r="AJ1086" i="3"/>
  <c r="X1086" i="3" s="1"/>
  <c r="AJ1079" i="3"/>
  <c r="X1079" i="3" s="1"/>
  <c r="AJ1084" i="3"/>
  <c r="X1084" i="3" s="1"/>
  <c r="AJ1078" i="3"/>
  <c r="X1078" i="3" s="1"/>
  <c r="AJ1081" i="3"/>
  <c r="X1081" i="3" s="1"/>
  <c r="AJ728" i="3"/>
  <c r="X728" i="3" s="1"/>
  <c r="AJ1080" i="3"/>
  <c r="X1080" i="3" s="1"/>
  <c r="AJ1076" i="3"/>
  <c r="X1076" i="3" s="1"/>
  <c r="AJ1077" i="3"/>
  <c r="X1077" i="3" s="1"/>
  <c r="AJ1049" i="3"/>
  <c r="X1049" i="3" s="1"/>
  <c r="AJ1073" i="3"/>
  <c r="X1073" i="3" s="1"/>
  <c r="AJ1074" i="3"/>
  <c r="X1074" i="3" s="1"/>
  <c r="AJ1002" i="3"/>
  <c r="X1002" i="3" s="1"/>
  <c r="AJ1072" i="3"/>
  <c r="X1072" i="3" s="1"/>
  <c r="AJ1070" i="3"/>
  <c r="X1070" i="3" s="1"/>
  <c r="AJ1071" i="3"/>
  <c r="X1071" i="3" s="1"/>
  <c r="AJ1051" i="3"/>
  <c r="X1051" i="3" s="1"/>
  <c r="AJ1069" i="3"/>
  <c r="X1069" i="3" s="1"/>
  <c r="AJ1067" i="3"/>
  <c r="X1067" i="3" s="1"/>
  <c r="AJ1068" i="3"/>
  <c r="X1068" i="3" s="1"/>
  <c r="AJ1050" i="3"/>
  <c r="X1050" i="3" s="1"/>
  <c r="AJ1065" i="3"/>
  <c r="X1065" i="3" s="1"/>
  <c r="AJ1058" i="3"/>
  <c r="X1058" i="3" s="1"/>
  <c r="AJ1059" i="3"/>
  <c r="X1059" i="3" s="1"/>
  <c r="AJ1024" i="3"/>
  <c r="X1024" i="3" s="1"/>
  <c r="AJ1057" i="3"/>
  <c r="X1057" i="3" s="1"/>
  <c r="AJ1007" i="3"/>
  <c r="X1007" i="3" s="1"/>
  <c r="AJ1054" i="3"/>
  <c r="X1054" i="3" s="1"/>
  <c r="AJ1052" i="3"/>
  <c r="X1052" i="3" s="1"/>
  <c r="AJ1053" i="3"/>
  <c r="X1053" i="3" s="1"/>
  <c r="AJ1029" i="3"/>
  <c r="X1029" i="3" s="1"/>
  <c r="AJ1048" i="3"/>
  <c r="X1048" i="3" s="1"/>
  <c r="AJ1044" i="3"/>
  <c r="X1044" i="3" s="1"/>
  <c r="AJ1032" i="3"/>
  <c r="X1032" i="3" s="1"/>
  <c r="AJ1035" i="3"/>
  <c r="X1035" i="3" s="1"/>
  <c r="AJ994" i="3"/>
  <c r="X994" i="3" s="1"/>
  <c r="AJ1031" i="3"/>
  <c r="X1031" i="3" s="1"/>
  <c r="AJ903" i="3"/>
  <c r="X903" i="3" s="1"/>
  <c r="AJ1030" i="3"/>
  <c r="X1030" i="3" s="1"/>
  <c r="AJ1018" i="3"/>
  <c r="X1018" i="3" s="1"/>
  <c r="AJ1028" i="3"/>
  <c r="X1028" i="3" s="1"/>
  <c r="AJ1025" i="3"/>
  <c r="X1025" i="3" s="1"/>
  <c r="AJ1027" i="3"/>
  <c r="X1027" i="3" s="1"/>
  <c r="AJ1000" i="3"/>
  <c r="X1000" i="3" s="1"/>
  <c r="AJ1023" i="3"/>
  <c r="X1023" i="3" s="1"/>
  <c r="AJ1001" i="3"/>
  <c r="X1001" i="3" s="1"/>
  <c r="AJ1022" i="3"/>
  <c r="X1022" i="3" s="1"/>
  <c r="N305" i="3"/>
  <c r="N308" i="3"/>
  <c r="AJ1005" i="3"/>
  <c r="X1005" i="3" s="1"/>
  <c r="AJ1014" i="3"/>
  <c r="X1014" i="3" s="1"/>
  <c r="AJ1012" i="3"/>
  <c r="X1012" i="3" s="1"/>
  <c r="AJ1013" i="3"/>
  <c r="X1013" i="3" s="1"/>
  <c r="AJ997" i="3"/>
  <c r="X997" i="3" s="1"/>
  <c r="AJ1011" i="3"/>
  <c r="X1011" i="3" s="1"/>
  <c r="AJ732" i="3"/>
  <c r="X732" i="3" s="1"/>
  <c r="AJ1010" i="3"/>
  <c r="X1010" i="3" s="1"/>
  <c r="AJ1003" i="3"/>
  <c r="X1003" i="3" s="1"/>
  <c r="AJ1009" i="3"/>
  <c r="X1009" i="3" s="1"/>
  <c r="M354" i="3"/>
  <c r="Q354" i="3" s="1"/>
  <c r="S354" i="3" s="1"/>
  <c r="N311" i="3"/>
  <c r="AJ927" i="3"/>
  <c r="X927" i="3" s="1"/>
  <c r="AJ1008" i="3"/>
  <c r="X1008" i="3" s="1"/>
  <c r="AJ908" i="3"/>
  <c r="X908" i="3" s="1"/>
  <c r="AJ1006" i="3"/>
  <c r="X1006" i="3" s="1"/>
  <c r="AJ851" i="3"/>
  <c r="X851" i="3" s="1"/>
  <c r="AJ1004" i="3"/>
  <c r="X1004" i="3" s="1"/>
  <c r="AJ980" i="3"/>
  <c r="X980" i="3" s="1"/>
  <c r="AJ999" i="3"/>
  <c r="X999" i="3" s="1"/>
  <c r="AJ976" i="3"/>
  <c r="X976" i="3" s="1"/>
  <c r="AJ995" i="3"/>
  <c r="X995" i="3" s="1"/>
  <c r="AJ956" i="3"/>
  <c r="X956" i="3" s="1"/>
  <c r="AJ993" i="3"/>
  <c r="X993" i="3" s="1"/>
  <c r="AJ986" i="3"/>
  <c r="X986" i="3" s="1"/>
  <c r="AJ992" i="3"/>
  <c r="X992" i="3" s="1"/>
  <c r="AJ932" i="3"/>
  <c r="X932" i="3" s="1"/>
  <c r="AJ991" i="3"/>
  <c r="X991" i="3" s="1"/>
  <c r="AJ964" i="3"/>
  <c r="X964" i="3" s="1"/>
  <c r="AJ989" i="3"/>
  <c r="X989" i="3" s="1"/>
  <c r="AJ847" i="3"/>
  <c r="X847" i="3" s="1"/>
  <c r="AJ984" i="3"/>
  <c r="X984" i="3" s="1"/>
  <c r="AJ897" i="3"/>
  <c r="X897" i="3" s="1"/>
  <c r="AJ981" i="3"/>
  <c r="X981" i="3" s="1"/>
  <c r="AJ842" i="3"/>
  <c r="X842" i="3" s="1"/>
  <c r="AJ979" i="3"/>
  <c r="X979" i="3" s="1"/>
  <c r="AJ977" i="3"/>
  <c r="X977" i="3" s="1"/>
  <c r="AJ978" i="3"/>
  <c r="X978" i="3" s="1"/>
  <c r="AJ970" i="3"/>
  <c r="X970" i="3" s="1"/>
  <c r="AJ972" i="3"/>
  <c r="X972" i="3" s="1"/>
  <c r="AJ877" i="3"/>
  <c r="X877" i="3" s="1"/>
  <c r="AJ968" i="3"/>
  <c r="X968" i="3" s="1"/>
  <c r="AJ947" i="3"/>
  <c r="X947" i="3" s="1"/>
  <c r="AJ966" i="3"/>
  <c r="X966" i="3" s="1"/>
  <c r="AJ933" i="3"/>
  <c r="X933" i="3" s="1"/>
  <c r="AJ962" i="3"/>
  <c r="X962" i="3" s="1"/>
  <c r="AJ946" i="3"/>
  <c r="X946" i="3" s="1"/>
  <c r="AJ961" i="3"/>
  <c r="X961" i="3" s="1"/>
  <c r="AJ959" i="3"/>
  <c r="X959" i="3" s="1"/>
  <c r="AJ960" i="3"/>
  <c r="X960" i="3" s="1"/>
  <c r="AJ583" i="3"/>
  <c r="X583" i="3" s="1"/>
  <c r="AJ521" i="3"/>
  <c r="X521" i="3" s="1"/>
  <c r="AJ730" i="3"/>
  <c r="X730" i="3" s="1"/>
  <c r="AJ571" i="3"/>
  <c r="X571" i="3" s="1"/>
  <c r="AJ588" i="3"/>
  <c r="X588" i="3" s="1"/>
  <c r="AJ771" i="3"/>
  <c r="X771" i="3" s="1"/>
  <c r="AJ580" i="3"/>
  <c r="X580" i="3" s="1"/>
  <c r="AJ586" i="3"/>
  <c r="X586" i="3" s="1"/>
  <c r="AJ626" i="3"/>
  <c r="X626" i="3" s="1"/>
  <c r="AJ726" i="3"/>
  <c r="X726" i="3" s="1"/>
  <c r="AJ765" i="3"/>
  <c r="X765" i="3" s="1"/>
  <c r="AJ776" i="3"/>
  <c r="X776" i="3" s="1"/>
  <c r="AJ568" i="3"/>
  <c r="X568" i="3" s="1"/>
  <c r="AJ578" i="3"/>
  <c r="X578" i="3" s="1"/>
  <c r="AJ621" i="3"/>
  <c r="X621" i="3" s="1"/>
  <c r="AJ669" i="3"/>
  <c r="X669" i="3" s="1"/>
  <c r="AJ734" i="3"/>
  <c r="X734" i="3" s="1"/>
  <c r="AJ868" i="3"/>
  <c r="X868" i="3" s="1"/>
  <c r="AJ869" i="3"/>
  <c r="X869" i="3" s="1"/>
  <c r="AJ577" i="3"/>
  <c r="X577" i="3" s="1"/>
  <c r="AJ584" i="3"/>
  <c r="X584" i="3" s="1"/>
  <c r="AJ623" i="3"/>
  <c r="X623" i="3" s="1"/>
  <c r="AJ630" i="3"/>
  <c r="X630" i="3" s="1"/>
  <c r="AJ763" i="3"/>
  <c r="X763" i="3" s="1"/>
  <c r="AJ875" i="3"/>
  <c r="X875" i="3" s="1"/>
  <c r="AJ666" i="3"/>
  <c r="X666" i="3" s="1"/>
  <c r="AJ673" i="3"/>
  <c r="X673" i="3" s="1"/>
  <c r="AJ737" i="3"/>
  <c r="X737" i="3" s="1"/>
  <c r="AJ867" i="3"/>
  <c r="X867" i="3" s="1"/>
  <c r="AJ878" i="3"/>
  <c r="X878" i="3" s="1"/>
  <c r="AJ808" i="3"/>
  <c r="X808" i="3" s="1"/>
  <c r="AJ805" i="3"/>
  <c r="X805" i="3" s="1"/>
  <c r="AJ802" i="3"/>
  <c r="X802" i="3" s="1"/>
  <c r="AJ818" i="3"/>
  <c r="X818" i="3" s="1"/>
  <c r="AJ812" i="3"/>
  <c r="X812" i="3" s="1"/>
  <c r="AJ923" i="3"/>
  <c r="X923" i="3" s="1"/>
  <c r="AJ922" i="3"/>
  <c r="X922" i="3" s="1"/>
  <c r="AJ856" i="3"/>
  <c r="X856" i="3" s="1"/>
  <c r="AJ811" i="3"/>
  <c r="X811" i="3" s="1"/>
  <c r="AJ852" i="3"/>
  <c r="X852" i="3" s="1"/>
  <c r="AJ849" i="3"/>
  <c r="X849" i="3" s="1"/>
  <c r="AJ850" i="3"/>
  <c r="X850" i="3" s="1"/>
  <c r="AJ848" i="3"/>
  <c r="X848" i="3" s="1"/>
  <c r="AJ921" i="3"/>
  <c r="X921" i="3" s="1"/>
  <c r="AJ845" i="3"/>
  <c r="X845" i="3" s="1"/>
  <c r="AJ725" i="3"/>
  <c r="X725" i="3" s="1"/>
  <c r="AJ844" i="3"/>
  <c r="X844" i="3" s="1"/>
  <c r="AJ838" i="3"/>
  <c r="X838" i="3" s="1"/>
  <c r="AJ843" i="3"/>
  <c r="X843" i="3" s="1"/>
  <c r="AJ840" i="3"/>
  <c r="X840" i="3" s="1"/>
  <c r="AJ841" i="3"/>
  <c r="X841" i="3" s="1"/>
  <c r="AJ957" i="3"/>
  <c r="X957" i="3" s="1"/>
  <c r="AJ958" i="3"/>
  <c r="X958" i="3" s="1"/>
  <c r="AJ817" i="3"/>
  <c r="X817" i="3" s="1"/>
  <c r="AJ953" i="3"/>
  <c r="X953" i="3" s="1"/>
  <c r="AJ815" i="3"/>
  <c r="X815" i="3" s="1"/>
  <c r="AJ951" i="3"/>
  <c r="X951" i="3" s="1"/>
  <c r="AJ950" i="3"/>
  <c r="X950" i="3" s="1"/>
  <c r="AJ821" i="3"/>
  <c r="X821" i="3" s="1"/>
  <c r="AJ948" i="3"/>
  <c r="X948" i="3" s="1"/>
  <c r="AJ945" i="3"/>
  <c r="X945" i="3" s="1"/>
  <c r="AJ810" i="3"/>
  <c r="X810" i="3" s="1"/>
  <c r="AJ942" i="3"/>
  <c r="X942" i="3" s="1"/>
  <c r="AJ773" i="3"/>
  <c r="X773" i="3" s="1"/>
  <c r="AJ941" i="3"/>
  <c r="X941" i="3" s="1"/>
  <c r="AJ819" i="3"/>
  <c r="X819" i="3" s="1"/>
  <c r="AJ940" i="3"/>
  <c r="X940" i="3" s="1"/>
  <c r="AJ662" i="3"/>
  <c r="X662" i="3" s="1"/>
  <c r="AJ939" i="3"/>
  <c r="X939" i="3" s="1"/>
  <c r="AJ896" i="3"/>
  <c r="X896" i="3" s="1"/>
  <c r="AJ938" i="3"/>
  <c r="X938" i="3" s="1"/>
  <c r="AJ935" i="3"/>
  <c r="X935" i="3" s="1"/>
  <c r="AJ936" i="3"/>
  <c r="X936" i="3" s="1"/>
  <c r="AJ934" i="3"/>
  <c r="X934" i="3" s="1"/>
  <c r="AJ930" i="3"/>
  <c r="X930" i="3" s="1"/>
  <c r="AJ931" i="3"/>
  <c r="X931" i="3" s="1"/>
  <c r="AJ835" i="3"/>
  <c r="X835" i="3" s="1"/>
  <c r="AJ929" i="3"/>
  <c r="X929" i="3" s="1"/>
  <c r="AJ902" i="3"/>
  <c r="X902" i="3" s="1"/>
  <c r="AJ928" i="3"/>
  <c r="X928" i="3" s="1"/>
  <c r="AJ893" i="3"/>
  <c r="X893" i="3" s="1"/>
  <c r="AJ926" i="3"/>
  <c r="X926" i="3" s="1"/>
  <c r="AJ891" i="3"/>
  <c r="X891" i="3" s="1"/>
  <c r="AJ924" i="3"/>
  <c r="X924" i="3" s="1"/>
  <c r="AJ722" i="3"/>
  <c r="X722" i="3" s="1"/>
  <c r="AJ839" i="3"/>
  <c r="X839" i="3" s="1"/>
  <c r="AJ836" i="3"/>
  <c r="X836" i="3" s="1"/>
  <c r="AJ837" i="3"/>
  <c r="X837" i="3" s="1"/>
  <c r="AJ832" i="3"/>
  <c r="X832" i="3" s="1"/>
  <c r="AJ833" i="3"/>
  <c r="X833" i="3" s="1"/>
  <c r="AJ830" i="3"/>
  <c r="X830" i="3" s="1"/>
  <c r="AJ831" i="3"/>
  <c r="X831" i="3" s="1"/>
  <c r="AJ827" i="3"/>
  <c r="X827" i="3" s="1"/>
  <c r="AJ829" i="3"/>
  <c r="X829" i="3" s="1"/>
  <c r="AJ826" i="3"/>
  <c r="X826" i="3" s="1"/>
  <c r="AJ828" i="3"/>
  <c r="X828" i="3" s="1"/>
  <c r="AJ824" i="3"/>
  <c r="X824" i="3" s="1"/>
  <c r="AJ825" i="3"/>
  <c r="X825" i="3" s="1"/>
  <c r="AJ822" i="3"/>
  <c r="X822" i="3" s="1"/>
  <c r="AJ823" i="3"/>
  <c r="X823" i="3" s="1"/>
  <c r="AJ656" i="3"/>
  <c r="X656" i="3" s="1"/>
  <c r="AJ820" i="3"/>
  <c r="X820" i="3" s="1"/>
  <c r="AJ660" i="3"/>
  <c r="X660" i="3" s="1"/>
  <c r="AJ816" i="3"/>
  <c r="X816" i="3" s="1"/>
  <c r="AJ807" i="3"/>
  <c r="X807" i="3" s="1"/>
  <c r="AJ809" i="3"/>
  <c r="X809" i="3" s="1"/>
  <c r="AJ804" i="3"/>
  <c r="X804" i="3" s="1"/>
  <c r="AJ806" i="3"/>
  <c r="X806" i="3" s="1"/>
  <c r="AJ800" i="3"/>
  <c r="X800" i="3" s="1"/>
  <c r="AJ803" i="3"/>
  <c r="X803" i="3" s="1"/>
  <c r="AJ798" i="3"/>
  <c r="X798" i="3" s="1"/>
  <c r="AJ801" i="3"/>
  <c r="X801" i="3" s="1"/>
  <c r="AJ890" i="3"/>
  <c r="X890" i="3" s="1"/>
  <c r="AJ797" i="3"/>
  <c r="X797" i="3" s="1"/>
  <c r="AJ915" i="3"/>
  <c r="X915" i="3" s="1"/>
  <c r="AJ920" i="3"/>
  <c r="X920" i="3" s="1"/>
  <c r="AJ865" i="3"/>
  <c r="X865" i="3" s="1"/>
  <c r="AJ912" i="3"/>
  <c r="X912" i="3" s="1"/>
  <c r="AJ884" i="3"/>
  <c r="X884" i="3" s="1"/>
  <c r="AJ911" i="3"/>
  <c r="X911" i="3" s="1"/>
  <c r="AJ876" i="3"/>
  <c r="X876" i="3" s="1"/>
  <c r="AJ910" i="3"/>
  <c r="X910" i="3" s="1"/>
  <c r="AJ766" i="3"/>
  <c r="X766" i="3" s="1"/>
  <c r="AJ909" i="3"/>
  <c r="X909" i="3" s="1"/>
  <c r="M35" i="1"/>
  <c r="AJ697" i="3" s="1"/>
  <c r="X697" i="3" s="1"/>
  <c r="M179" i="1"/>
  <c r="AJ901" i="3" s="1"/>
  <c r="X901" i="3" s="1"/>
  <c r="AJ899" i="3"/>
  <c r="X899" i="3" s="1"/>
  <c r="AJ900" i="3"/>
  <c r="X900" i="3" s="1"/>
  <c r="AJ885" i="3"/>
  <c r="X885" i="3" s="1"/>
  <c r="AJ898" i="3"/>
  <c r="X898" i="3" s="1"/>
  <c r="AJ616" i="3"/>
  <c r="X616" i="3" s="1"/>
  <c r="AJ892" i="3"/>
  <c r="X892" i="3" s="1"/>
  <c r="AJ720" i="3"/>
  <c r="X720" i="3" s="1"/>
  <c r="AJ889" i="3"/>
  <c r="X889" i="3" s="1"/>
  <c r="AJ887" i="3"/>
  <c r="X887" i="3" s="1"/>
  <c r="AJ888" i="3"/>
  <c r="X888" i="3" s="1"/>
  <c r="AJ880" i="3"/>
  <c r="X880" i="3" s="1"/>
  <c r="AJ886" i="3"/>
  <c r="X886" i="3" s="1"/>
  <c r="AJ677" i="3"/>
  <c r="X677" i="3" s="1"/>
  <c r="AJ883" i="3"/>
  <c r="X883" i="3" s="1"/>
  <c r="AJ790" i="3"/>
  <c r="X790" i="3" s="1"/>
  <c r="AJ882" i="3"/>
  <c r="X882" i="3" s="1"/>
  <c r="AJ794" i="3"/>
  <c r="X794" i="3" s="1"/>
  <c r="AJ881" i="3"/>
  <c r="X881" i="3" s="1"/>
  <c r="AJ873" i="3"/>
  <c r="X873" i="3" s="1"/>
  <c r="AJ879" i="3"/>
  <c r="X879" i="3" s="1"/>
  <c r="AJ861" i="3"/>
  <c r="X861" i="3" s="1"/>
  <c r="AJ874" i="3"/>
  <c r="X874" i="3" s="1"/>
  <c r="AJ871" i="3"/>
  <c r="X871" i="3" s="1"/>
  <c r="AJ872" i="3"/>
  <c r="X872" i="3" s="1"/>
  <c r="AJ796" i="3"/>
  <c r="X796" i="3" s="1"/>
  <c r="AJ870" i="3"/>
  <c r="X870" i="3" s="1"/>
  <c r="AJ860" i="3"/>
  <c r="X860" i="3" s="1"/>
  <c r="AJ866" i="3"/>
  <c r="X866" i="3" s="1"/>
  <c r="AJ863" i="3"/>
  <c r="X863" i="3" s="1"/>
  <c r="AJ864" i="3"/>
  <c r="X864" i="3" s="1"/>
  <c r="AJ789" i="3"/>
  <c r="X789" i="3" s="1"/>
  <c r="AJ862" i="3"/>
  <c r="X862" i="3" s="1"/>
  <c r="AJ857" i="3"/>
  <c r="X857" i="3" s="1"/>
  <c r="AJ859" i="3"/>
  <c r="X859" i="3" s="1"/>
  <c r="AJ783" i="3"/>
  <c r="X783" i="3" s="1"/>
  <c r="AJ858" i="3"/>
  <c r="X858" i="3" s="1"/>
  <c r="AJ786" i="3"/>
  <c r="X786" i="3" s="1"/>
  <c r="AJ795" i="3"/>
  <c r="X795" i="3" s="1"/>
  <c r="AJ788" i="3"/>
  <c r="X788" i="3" s="1"/>
  <c r="AJ792" i="3"/>
  <c r="X792" i="3" s="1"/>
  <c r="AJ760" i="3"/>
  <c r="X760" i="3" s="1"/>
  <c r="AJ791" i="3"/>
  <c r="X791" i="3" s="1"/>
  <c r="AJ770" i="3"/>
  <c r="X770" i="3" s="1"/>
  <c r="AJ785" i="3"/>
  <c r="X785" i="3" s="1"/>
  <c r="AJ781" i="3"/>
  <c r="X781" i="3" s="1"/>
  <c r="AJ784" i="3"/>
  <c r="X784" i="3" s="1"/>
  <c r="AJ775" i="3"/>
  <c r="X775" i="3" s="1"/>
  <c r="AJ778" i="3"/>
  <c r="X778" i="3" s="1"/>
  <c r="AJ535" i="3"/>
  <c r="X535" i="3" s="1"/>
  <c r="AJ777" i="3"/>
  <c r="X777" i="3" s="1"/>
  <c r="AJ556" i="3"/>
  <c r="X556" i="3" s="1"/>
  <c r="AJ768" i="3"/>
  <c r="X768" i="3" s="1"/>
  <c r="AJ761" i="3"/>
  <c r="X761" i="3" s="1"/>
  <c r="AJ764" i="3"/>
  <c r="X764" i="3" s="1"/>
  <c r="AJ757" i="3"/>
  <c r="X757" i="3" s="1"/>
  <c r="AJ762" i="3"/>
  <c r="X762" i="3" s="1"/>
  <c r="AJ758" i="3"/>
  <c r="X758" i="3" s="1"/>
  <c r="AJ753" i="3"/>
  <c r="X753" i="3" s="1"/>
  <c r="AJ755" i="3"/>
  <c r="X755" i="3" s="1"/>
  <c r="AJ597" i="3"/>
  <c r="X597" i="3" s="1"/>
  <c r="AJ754" i="3"/>
  <c r="X754" i="3" s="1"/>
  <c r="AJ700" i="3"/>
  <c r="X700" i="3" s="1"/>
  <c r="AJ752" i="3"/>
  <c r="X752" i="3" s="1"/>
  <c r="AJ733" i="3"/>
  <c r="X733" i="3" s="1"/>
  <c r="AJ749" i="3"/>
  <c r="X749" i="3" s="1"/>
  <c r="AJ745" i="3"/>
  <c r="X745" i="3" s="1"/>
  <c r="AJ747" i="3"/>
  <c r="X747" i="3" s="1"/>
  <c r="AJ743" i="3"/>
  <c r="X743" i="3" s="1"/>
  <c r="AJ746" i="3"/>
  <c r="X746" i="3" s="1"/>
  <c r="AJ741" i="3"/>
  <c r="X741" i="3" s="1"/>
  <c r="AJ744" i="3"/>
  <c r="X744" i="3" s="1"/>
  <c r="AJ740" i="3"/>
  <c r="X740" i="3" s="1"/>
  <c r="AJ742" i="3"/>
  <c r="X742" i="3" s="1"/>
  <c r="AJ735" i="3"/>
  <c r="X735" i="3" s="1"/>
  <c r="AJ739" i="3"/>
  <c r="X739" i="3" s="1"/>
  <c r="AJ718" i="3"/>
  <c r="X718" i="3" s="1"/>
  <c r="AJ738" i="3"/>
  <c r="X738" i="3" s="1"/>
  <c r="AJ704" i="3"/>
  <c r="X704" i="3" s="1"/>
  <c r="AJ736" i="3"/>
  <c r="X736" i="3" s="1"/>
  <c r="AJ729" i="3"/>
  <c r="X729" i="3" s="1"/>
  <c r="AJ731" i="3"/>
  <c r="X731" i="3" s="1"/>
  <c r="AJ665" i="3"/>
  <c r="X665" i="3" s="1"/>
  <c r="AJ724" i="3"/>
  <c r="X724" i="3" s="1"/>
  <c r="AJ671" i="3"/>
  <c r="X671" i="3" s="1"/>
  <c r="AJ721" i="3"/>
  <c r="X721" i="3" s="1"/>
  <c r="AJ715" i="3"/>
  <c r="X715" i="3" s="1"/>
  <c r="AJ717" i="3"/>
  <c r="X717" i="3" s="1"/>
  <c r="AJ714" i="3"/>
  <c r="X714" i="3" s="1"/>
  <c r="AJ716" i="3"/>
  <c r="X716" i="3" s="1"/>
  <c r="AJ713" i="3"/>
  <c r="X713" i="3" s="1"/>
  <c r="AJ705" i="3"/>
  <c r="X705" i="3" s="1"/>
  <c r="AJ711" i="3"/>
  <c r="X711" i="3" s="1"/>
  <c r="AJ648" i="3"/>
  <c r="X648" i="3" s="1"/>
  <c r="AJ710" i="3"/>
  <c r="X710" i="3" s="1"/>
  <c r="AJ706" i="3"/>
  <c r="X706" i="3" s="1"/>
  <c r="AJ709" i="3"/>
  <c r="X709" i="3" s="1"/>
  <c r="AJ699" i="3"/>
  <c r="X699" i="3" s="1"/>
  <c r="AJ707" i="3"/>
  <c r="X707" i="3" s="1"/>
  <c r="AJ701" i="3"/>
  <c r="X701" i="3" s="1"/>
  <c r="AJ703" i="3"/>
  <c r="X703" i="3" s="1"/>
  <c r="AJ694" i="3"/>
  <c r="X694" i="3" s="1"/>
  <c r="AJ698" i="3"/>
  <c r="X698" i="3" s="1"/>
  <c r="AJ690" i="3"/>
  <c r="X690" i="3" s="1"/>
  <c r="AJ695" i="3"/>
  <c r="X695" i="3" s="1"/>
  <c r="AJ689" i="3"/>
  <c r="X689" i="3" s="1"/>
  <c r="AJ692" i="3"/>
  <c r="X692" i="3" s="1"/>
  <c r="AJ682" i="3"/>
  <c r="X682" i="3" s="1"/>
  <c r="AJ686" i="3"/>
  <c r="X686" i="3" s="1"/>
  <c r="AJ605" i="3"/>
  <c r="X605" i="3" s="1"/>
  <c r="AJ685" i="3"/>
  <c r="X685" i="3" s="1"/>
  <c r="AJ679" i="3"/>
  <c r="X679" i="3" s="1"/>
  <c r="AJ684" i="3"/>
  <c r="X684" i="3" s="1"/>
  <c r="M58" i="1"/>
  <c r="M186" i="1"/>
  <c r="AJ696" i="3" s="1"/>
  <c r="X696" i="3" s="1"/>
  <c r="AJ678" i="3"/>
  <c r="X678" i="3" s="1"/>
  <c r="AJ680" i="3"/>
  <c r="X680" i="3" s="1"/>
  <c r="AJ615" i="3"/>
  <c r="X615" i="3" s="1"/>
  <c r="AJ676" i="3"/>
  <c r="X676" i="3" s="1"/>
  <c r="AJ627" i="3"/>
  <c r="X627" i="3" s="1"/>
  <c r="AJ674" i="3"/>
  <c r="X674" i="3" s="1"/>
  <c r="AJ546" i="3"/>
  <c r="X546" i="3" s="1"/>
  <c r="AJ672" i="3"/>
  <c r="X672" i="3" s="1"/>
  <c r="AJ663" i="3"/>
  <c r="X663" i="3" s="1"/>
  <c r="AJ667" i="3"/>
  <c r="X667" i="3" s="1"/>
  <c r="AJ659" i="3"/>
  <c r="X659" i="3" s="1"/>
  <c r="AJ664" i="3"/>
  <c r="X664" i="3" s="1"/>
  <c r="AJ636" i="3"/>
  <c r="X636" i="3" s="1"/>
  <c r="AJ661" i="3"/>
  <c r="X661" i="3" s="1"/>
  <c r="AJ631" i="3"/>
  <c r="X631" i="3" s="1"/>
  <c r="AJ658" i="3"/>
  <c r="X658" i="3" s="1"/>
  <c r="AJ628" i="3"/>
  <c r="X628" i="3" s="1"/>
  <c r="AJ657" i="3"/>
  <c r="X657" i="3" s="1"/>
  <c r="AJ652" i="3"/>
  <c r="X652" i="3" s="1"/>
  <c r="AJ654" i="3"/>
  <c r="X654" i="3" s="1"/>
  <c r="AJ645" i="3"/>
  <c r="X645" i="3" s="1"/>
  <c r="AJ653" i="3"/>
  <c r="X653" i="3" s="1"/>
  <c r="AJ632" i="3"/>
  <c r="X632" i="3" s="1"/>
  <c r="AJ651" i="3"/>
  <c r="X651" i="3" s="1"/>
  <c r="AJ641" i="3"/>
  <c r="X641" i="3" s="1"/>
  <c r="AJ650" i="3"/>
  <c r="X650" i="3" s="1"/>
  <c r="AJ563" i="3"/>
  <c r="X563" i="3" s="1"/>
  <c r="AJ647" i="3"/>
  <c r="X647" i="3" s="1"/>
  <c r="AJ643" i="3"/>
  <c r="X643" i="3" s="1"/>
  <c r="AJ646" i="3"/>
  <c r="X646" i="3" s="1"/>
  <c r="AJ608" i="3"/>
  <c r="X608" i="3" s="1"/>
  <c r="AJ639" i="3"/>
  <c r="X639" i="3" s="1"/>
  <c r="AJ629" i="3"/>
  <c r="X629" i="3" s="1"/>
  <c r="AJ635" i="3"/>
  <c r="X635" i="3" s="1"/>
  <c r="AJ609" i="3"/>
  <c r="X609" i="3" s="1"/>
  <c r="AJ634" i="3"/>
  <c r="X634" i="3" s="1"/>
  <c r="AJ594" i="3"/>
  <c r="X594" i="3" s="1"/>
  <c r="AJ633" i="3"/>
  <c r="X633" i="3" s="1"/>
  <c r="AJ622" i="3"/>
  <c r="X622" i="3" s="1"/>
  <c r="AJ624" i="3"/>
  <c r="X624" i="3" s="1"/>
  <c r="AJ610" i="3"/>
  <c r="X610" i="3" s="1"/>
  <c r="AJ620" i="3"/>
  <c r="X620" i="3" s="1"/>
  <c r="AJ596" i="3"/>
  <c r="X596" i="3" s="1"/>
  <c r="AJ618" i="3"/>
  <c r="X618" i="3" s="1"/>
  <c r="AJ561" i="3"/>
  <c r="X561" i="3" s="1"/>
  <c r="AJ617" i="3"/>
  <c r="X617" i="3" s="1"/>
  <c r="AJ613" i="3"/>
  <c r="X613" i="3" s="1"/>
  <c r="AJ606" i="3"/>
  <c r="X606" i="3" s="1"/>
  <c r="AJ611" i="3"/>
  <c r="X611" i="3" s="1"/>
  <c r="AJ565" i="3"/>
  <c r="X565" i="3" s="1"/>
  <c r="AJ604" i="3"/>
  <c r="X604" i="3" s="1"/>
  <c r="AJ598" i="3"/>
  <c r="X598" i="3" s="1"/>
  <c r="AJ603" i="3"/>
  <c r="X603" i="3" s="1"/>
  <c r="AJ570" i="3"/>
  <c r="X570" i="3" s="1"/>
  <c r="AJ601" i="3"/>
  <c r="X601" i="3" s="1"/>
  <c r="AJ573" i="3"/>
  <c r="X573" i="3" s="1"/>
  <c r="AJ593" i="3"/>
  <c r="X593" i="3" s="1"/>
  <c r="AJ524" i="3"/>
  <c r="X524" i="3" s="1"/>
  <c r="AJ592" i="3"/>
  <c r="X592" i="3" s="1"/>
  <c r="AJ585" i="3"/>
  <c r="X585" i="3" s="1"/>
  <c r="AJ591" i="3"/>
  <c r="X591" i="3" s="1"/>
  <c r="AJ587" i="3"/>
  <c r="X587" i="3" s="1"/>
  <c r="AJ589" i="3"/>
  <c r="X589" i="3" s="1"/>
  <c r="AJ537" i="3"/>
  <c r="X537" i="3" s="1"/>
  <c r="AJ582" i="3"/>
  <c r="X582" i="3" s="1"/>
  <c r="AJ544" i="3"/>
  <c r="X544" i="3" s="1"/>
  <c r="AJ579" i="3"/>
  <c r="X579" i="3" s="1"/>
  <c r="AJ574" i="3"/>
  <c r="X574" i="3" s="1"/>
  <c r="AJ575" i="3"/>
  <c r="X575" i="3" s="1"/>
  <c r="AJ538" i="3"/>
  <c r="X538" i="3" s="1"/>
  <c r="AJ572" i="3"/>
  <c r="X572" i="3" s="1"/>
  <c r="AJ562" i="3"/>
  <c r="X562" i="3" s="1"/>
  <c r="AJ567" i="3"/>
  <c r="X567" i="3" s="1"/>
  <c r="AJ549" i="3"/>
  <c r="X549" i="3" s="1"/>
  <c r="AJ566" i="3"/>
  <c r="X566" i="3" s="1"/>
  <c r="AJ550" i="3"/>
  <c r="X550" i="3" s="1"/>
  <c r="AJ555" i="3"/>
  <c r="X555" i="3" s="1"/>
  <c r="AJ547" i="3"/>
  <c r="X547" i="3" s="1"/>
  <c r="AJ553" i="3"/>
  <c r="X553" i="3" s="1"/>
  <c r="AJ545" i="3"/>
  <c r="X545" i="3" s="1"/>
  <c r="AJ548" i="3"/>
  <c r="X548" i="3" s="1"/>
  <c r="AJ518" i="3"/>
  <c r="X518" i="3" s="1"/>
  <c r="AJ543" i="3"/>
  <c r="X543" i="3" s="1"/>
  <c r="AJ541" i="3"/>
  <c r="X541" i="3" s="1"/>
  <c r="AJ542" i="3"/>
  <c r="X542" i="3" s="1"/>
  <c r="AJ536" i="3"/>
  <c r="X536" i="3" s="1"/>
  <c r="AJ540" i="3"/>
  <c r="X540" i="3" s="1"/>
  <c r="M149" i="1"/>
  <c r="AJ1064" i="3" s="1"/>
  <c r="X1064" i="3" s="1"/>
  <c r="M184" i="1"/>
  <c r="AJ527" i="3"/>
  <c r="X527" i="3" s="1"/>
  <c r="AJ530" i="3"/>
  <c r="X530" i="3" s="1"/>
  <c r="AJ525" i="3"/>
  <c r="X525" i="3" s="1"/>
  <c r="AJ528" i="3"/>
  <c r="X528" i="3" s="1"/>
  <c r="AJ522" i="3"/>
  <c r="X522" i="3" s="1"/>
  <c r="AJ526" i="3"/>
  <c r="X526" i="3" s="1"/>
  <c r="AJ517" i="3"/>
  <c r="X517" i="3" s="1"/>
  <c r="AJ523" i="3"/>
  <c r="X523" i="3" s="1"/>
  <c r="AJ469" i="3"/>
  <c r="X469" i="3" s="1"/>
  <c r="AJ428" i="3"/>
  <c r="X428" i="3" s="1"/>
  <c r="AJ498" i="3"/>
  <c r="X498" i="3" s="1"/>
  <c r="AJ420" i="3"/>
  <c r="X420" i="3" s="1"/>
  <c r="AJ417" i="3"/>
  <c r="X417" i="3" s="1"/>
  <c r="AJ490" i="3"/>
  <c r="X490" i="3" s="1"/>
  <c r="AJ457" i="3"/>
  <c r="X457" i="3" s="1"/>
  <c r="AJ440" i="3"/>
  <c r="X440" i="3" s="1"/>
  <c r="AJ447" i="3"/>
  <c r="X447" i="3" s="1"/>
  <c r="AJ510" i="3"/>
  <c r="X510" i="3" s="1"/>
  <c r="AJ482" i="3"/>
  <c r="X482" i="3" s="1"/>
  <c r="AJ346" i="3"/>
  <c r="AJ404" i="3"/>
  <c r="X404" i="3" s="1"/>
  <c r="AJ414" i="3"/>
  <c r="X414" i="3" s="1"/>
  <c r="AJ363" i="3"/>
  <c r="AJ349" i="3"/>
  <c r="AJ413" i="3"/>
  <c r="X413" i="3" s="1"/>
  <c r="AJ399" i="3"/>
  <c r="X399" i="3" s="1"/>
  <c r="AJ429" i="3"/>
  <c r="X429" i="3" s="1"/>
  <c r="AJ456" i="3"/>
  <c r="X456" i="3" s="1"/>
  <c r="AJ472" i="3"/>
  <c r="X472" i="3" s="1"/>
  <c r="AJ484" i="3"/>
  <c r="X484" i="3" s="1"/>
  <c r="AJ325" i="3"/>
  <c r="AJ207" i="3"/>
  <c r="AJ491" i="3"/>
  <c r="X491" i="3" s="1"/>
  <c r="AJ481" i="3"/>
  <c r="X481" i="3" s="1"/>
  <c r="AJ507" i="3"/>
  <c r="X507" i="3" s="1"/>
  <c r="AJ455" i="3"/>
  <c r="X455" i="3" s="1"/>
  <c r="AJ489" i="3"/>
  <c r="X489" i="3" s="1"/>
  <c r="AJ465" i="3"/>
  <c r="X465" i="3" s="1"/>
  <c r="AJ449" i="3"/>
  <c r="X449" i="3" s="1"/>
  <c r="AJ509" i="3"/>
  <c r="X509" i="3" s="1"/>
  <c r="AJ515" i="3"/>
  <c r="X515" i="3" s="1"/>
  <c r="AJ516" i="3"/>
  <c r="X516" i="3" s="1"/>
  <c r="AJ437" i="3"/>
  <c r="X437" i="3" s="1"/>
  <c r="AJ514" i="3"/>
  <c r="X514" i="3" s="1"/>
  <c r="AJ508" i="3"/>
  <c r="X508" i="3" s="1"/>
  <c r="AJ511" i="3"/>
  <c r="X511" i="3" s="1"/>
  <c r="AJ504" i="3"/>
  <c r="X504" i="3" s="1"/>
  <c r="AJ505" i="3"/>
  <c r="X505" i="3" s="1"/>
  <c r="AJ499" i="3"/>
  <c r="X499" i="3" s="1"/>
  <c r="AJ503" i="3"/>
  <c r="X503" i="3" s="1"/>
  <c r="AJ45" i="3"/>
  <c r="AJ208" i="3"/>
  <c r="AJ439" i="3"/>
  <c r="X439" i="3" s="1"/>
  <c r="AJ291" i="3"/>
  <c r="AJ10" i="3"/>
  <c r="AJ93" i="3"/>
  <c r="AJ260" i="3"/>
  <c r="AJ124" i="3"/>
  <c r="AJ183" i="3"/>
  <c r="AJ178" i="3"/>
  <c r="AJ287" i="3"/>
  <c r="AJ294" i="3"/>
  <c r="AJ332" i="3"/>
  <c r="AJ342" i="3"/>
  <c r="AJ96" i="3"/>
  <c r="AJ115" i="3"/>
  <c r="AJ114" i="3"/>
  <c r="AJ339" i="3"/>
  <c r="AJ434" i="3"/>
  <c r="X434" i="3" s="1"/>
  <c r="AJ125" i="3"/>
  <c r="AJ8" i="3"/>
  <c r="AJ271" i="3"/>
  <c r="AJ63" i="3"/>
  <c r="AJ270" i="3"/>
  <c r="AJ90" i="3"/>
  <c r="AJ338" i="3"/>
  <c r="AJ340" i="3"/>
  <c r="AJ343" i="3"/>
  <c r="AJ9" i="3"/>
  <c r="AJ405" i="3"/>
  <c r="X405" i="3" s="1"/>
  <c r="AJ277" i="3"/>
  <c r="AJ180" i="3"/>
  <c r="AJ4" i="3"/>
  <c r="AJ259" i="3"/>
  <c r="AJ51" i="3"/>
  <c r="AJ214" i="3"/>
  <c r="AJ66" i="3"/>
  <c r="AJ341" i="3"/>
  <c r="AJ344" i="3"/>
  <c r="AJ444" i="3"/>
  <c r="X444" i="3" s="1"/>
  <c r="M57" i="1"/>
  <c r="AJ1063" i="3" s="1"/>
  <c r="X1063" i="3" s="1"/>
  <c r="M32" i="1"/>
  <c r="AJ478" i="3"/>
  <c r="X478" i="3" s="1"/>
  <c r="AJ487" i="3"/>
  <c r="X487" i="3" s="1"/>
  <c r="AJ445" i="3"/>
  <c r="X445" i="3" s="1"/>
  <c r="AJ483" i="3"/>
  <c r="X483" i="3" s="1"/>
  <c r="AJ452" i="3"/>
  <c r="X452" i="3" s="1"/>
  <c r="AJ480" i="3"/>
  <c r="X480" i="3" s="1"/>
  <c r="AJ441" i="3"/>
  <c r="X441" i="3" s="1"/>
  <c r="AJ479" i="3"/>
  <c r="X479" i="3" s="1"/>
  <c r="AJ474" i="3"/>
  <c r="X474" i="3" s="1"/>
  <c r="AJ477" i="3"/>
  <c r="X477" i="3" s="1"/>
  <c r="AJ470" i="3"/>
  <c r="X470" i="3" s="1"/>
  <c r="AJ473" i="3"/>
  <c r="X473" i="3" s="1"/>
  <c r="AJ464" i="3"/>
  <c r="X464" i="3" s="1"/>
  <c r="AJ468" i="3"/>
  <c r="X468" i="3" s="1"/>
  <c r="AJ430" i="3"/>
  <c r="X430" i="3" s="1"/>
  <c r="AJ462" i="3"/>
  <c r="X462" i="3" s="1"/>
  <c r="AJ436" i="3"/>
  <c r="X436" i="3" s="1"/>
  <c r="AJ461" i="3"/>
  <c r="X461" i="3" s="1"/>
  <c r="AJ454" i="3"/>
  <c r="X454" i="3" s="1"/>
  <c r="AJ459" i="3"/>
  <c r="X459" i="3" s="1"/>
  <c r="AJ411" i="3"/>
  <c r="X411" i="3" s="1"/>
  <c r="AJ453" i="3"/>
  <c r="X453" i="3" s="1"/>
  <c r="AJ448" i="3"/>
  <c r="X448" i="3" s="1"/>
  <c r="AJ451" i="3"/>
  <c r="X451" i="3" s="1"/>
  <c r="AJ389" i="3"/>
  <c r="AJ450" i="3"/>
  <c r="X450" i="3" s="1"/>
  <c r="AJ431" i="3"/>
  <c r="X431" i="3" s="1"/>
  <c r="AJ446" i="3"/>
  <c r="X446" i="3" s="1"/>
  <c r="AJ403" i="3"/>
  <c r="X403" i="3" s="1"/>
  <c r="AJ442" i="3"/>
  <c r="X442" i="3" s="1"/>
  <c r="AJ426" i="3"/>
  <c r="X426" i="3" s="1"/>
  <c r="AJ438" i="3"/>
  <c r="X438" i="3" s="1"/>
  <c r="AJ432" i="3"/>
  <c r="X432" i="3" s="1"/>
  <c r="AJ435" i="3"/>
  <c r="X435" i="3" s="1"/>
  <c r="AJ424" i="3"/>
  <c r="X424" i="3" s="1"/>
  <c r="AJ427" i="3"/>
  <c r="X427" i="3" s="1"/>
  <c r="AJ421" i="3"/>
  <c r="X421" i="3" s="1"/>
  <c r="AJ425" i="3"/>
  <c r="X425" i="3" s="1"/>
  <c r="AJ409" i="3"/>
  <c r="X409" i="3" s="1"/>
  <c r="AJ423" i="3"/>
  <c r="X423" i="3" s="1"/>
  <c r="AJ415" i="3"/>
  <c r="X415" i="3" s="1"/>
  <c r="AJ419" i="3"/>
  <c r="X419" i="3" s="1"/>
  <c r="AJ412" i="3"/>
  <c r="X412" i="3" s="1"/>
  <c r="AJ418" i="3"/>
  <c r="X418" i="3" s="1"/>
  <c r="AJ391" i="3"/>
  <c r="AJ410" i="3"/>
  <c r="X410" i="3" s="1"/>
  <c r="AJ407" i="3"/>
  <c r="X407" i="3" s="1"/>
  <c r="AJ408" i="3"/>
  <c r="X408" i="3" s="1"/>
  <c r="AJ381" i="3"/>
  <c r="AJ397" i="3"/>
  <c r="X397" i="3" s="1"/>
  <c r="AJ393" i="3"/>
  <c r="X393" i="3" s="1"/>
  <c r="AJ398" i="3"/>
  <c r="X398" i="3" s="1"/>
  <c r="AJ394" i="3"/>
  <c r="X394" i="3" s="1"/>
  <c r="AJ387" i="3"/>
  <c r="AJ392" i="3"/>
  <c r="X392" i="3" s="1"/>
  <c r="AJ390" i="3"/>
  <c r="AJ395" i="3"/>
  <c r="X395" i="3" s="1"/>
  <c r="Q307" i="3"/>
  <c r="S307" i="3" s="1"/>
  <c r="V372" i="3"/>
  <c r="W372" i="3" s="1"/>
  <c r="Q382" i="3"/>
  <c r="S382" i="3" s="1"/>
  <c r="Q371" i="3"/>
  <c r="S371" i="3" s="1"/>
  <c r="X377" i="3"/>
  <c r="V311" i="3"/>
  <c r="W311" i="3" s="1"/>
  <c r="Q383" i="3"/>
  <c r="S383" i="3" s="1"/>
  <c r="V305" i="3"/>
  <c r="W305" i="3" s="1"/>
  <c r="Q387" i="3"/>
  <c r="S387" i="3" s="1"/>
  <c r="Q368" i="3"/>
  <c r="S368" i="3" s="1"/>
  <c r="V365" i="3"/>
  <c r="W365" i="3" s="1"/>
  <c r="Q376" i="3"/>
  <c r="S376" i="3" s="1"/>
  <c r="Q381" i="3"/>
  <c r="S381" i="3" s="1"/>
  <c r="Q385" i="3"/>
  <c r="S385" i="3" s="1"/>
  <c r="Q375" i="3"/>
  <c r="S375" i="3" s="1"/>
  <c r="Q366" i="3"/>
  <c r="S366" i="3" s="1"/>
  <c r="Q391" i="3"/>
  <c r="S391" i="3" s="1"/>
  <c r="Q373" i="3"/>
  <c r="S373" i="3" s="1"/>
  <c r="Q379" i="3"/>
  <c r="S379" i="3" s="1"/>
  <c r="Q389" i="3"/>
  <c r="S389" i="3" s="1"/>
  <c r="Q364" i="3"/>
  <c r="S364" i="3" s="1"/>
  <c r="Q386" i="3"/>
  <c r="S386" i="3" s="1"/>
  <c r="Q388" i="3"/>
  <c r="S388" i="3" s="1"/>
  <c r="Q390" i="3"/>
  <c r="S390" i="3" s="1"/>
  <c r="Q308" i="3"/>
  <c r="S308" i="3" s="1"/>
  <c r="M330" i="3"/>
  <c r="V330" i="3" s="1"/>
  <c r="W330" i="3" s="1"/>
  <c r="N330" i="3"/>
  <c r="M333" i="3"/>
  <c r="V333" i="3" s="1"/>
  <c r="W333" i="3" s="1"/>
  <c r="N333" i="3"/>
  <c r="M337" i="3"/>
  <c r="V337" i="3" s="1"/>
  <c r="W337" i="3" s="1"/>
  <c r="N337" i="3"/>
  <c r="M346" i="3"/>
  <c r="V346" i="3" s="1"/>
  <c r="W346" i="3" s="1"/>
  <c r="N346" i="3"/>
  <c r="M355" i="3"/>
  <c r="Q355" i="3" s="1"/>
  <c r="S355" i="3" s="1"/>
  <c r="N355" i="3"/>
  <c r="M351" i="3"/>
  <c r="Q351" i="3" s="1"/>
  <c r="S351" i="3" s="1"/>
  <c r="N351" i="3"/>
  <c r="M304" i="3"/>
  <c r="Q304" i="3" s="1"/>
  <c r="S304" i="3" s="1"/>
  <c r="N304" i="3"/>
  <c r="M318" i="3"/>
  <c r="V318" i="3" s="1"/>
  <c r="W318" i="3" s="1"/>
  <c r="N318" i="3"/>
  <c r="M327" i="3"/>
  <c r="V327" i="3" s="1"/>
  <c r="W327" i="3" s="1"/>
  <c r="N327" i="3"/>
  <c r="M331" i="3"/>
  <c r="V331" i="3" s="1"/>
  <c r="W331" i="3" s="1"/>
  <c r="N331" i="3"/>
  <c r="M338" i="3"/>
  <c r="V338" i="3" s="1"/>
  <c r="W338" i="3" s="1"/>
  <c r="N338" i="3"/>
  <c r="M339" i="3"/>
  <c r="V339" i="3" s="1"/>
  <c r="W339" i="3" s="1"/>
  <c r="N339" i="3"/>
  <c r="M342" i="3"/>
  <c r="V342" i="3" s="1"/>
  <c r="W342" i="3" s="1"/>
  <c r="N342" i="3"/>
  <c r="M347" i="3"/>
  <c r="V347" i="3" s="1"/>
  <c r="W347" i="3" s="1"/>
  <c r="N347" i="3"/>
  <c r="Q374" i="3"/>
  <c r="S374" i="3" s="1"/>
  <c r="M352" i="3"/>
  <c r="V352" i="3" s="1"/>
  <c r="W352" i="3" s="1"/>
  <c r="N352" i="3"/>
  <c r="M353" i="3"/>
  <c r="Q353" i="3" s="1"/>
  <c r="S353" i="3" s="1"/>
  <c r="N353" i="3"/>
  <c r="M313" i="3"/>
  <c r="Q313" i="3" s="1"/>
  <c r="S313" i="3" s="1"/>
  <c r="N313" i="3"/>
  <c r="M314" i="3"/>
  <c r="Q314" i="3" s="1"/>
  <c r="S314" i="3" s="1"/>
  <c r="N314" i="3"/>
  <c r="M319" i="3"/>
  <c r="V319" i="3" s="1"/>
  <c r="W319" i="3" s="1"/>
  <c r="N319" i="3"/>
  <c r="M321" i="3"/>
  <c r="V321" i="3" s="1"/>
  <c r="W321" i="3" s="1"/>
  <c r="N321" i="3"/>
  <c r="M324" i="3"/>
  <c r="V324" i="3" s="1"/>
  <c r="W324" i="3" s="1"/>
  <c r="N324" i="3"/>
  <c r="M326" i="3"/>
  <c r="V326" i="3" s="1"/>
  <c r="W326" i="3" s="1"/>
  <c r="N326" i="3"/>
  <c r="M350" i="3"/>
  <c r="V350" i="3" s="1"/>
  <c r="W350" i="3" s="1"/>
  <c r="N350" i="3"/>
  <c r="M362" i="3"/>
  <c r="V362" i="3" s="1"/>
  <c r="W362" i="3" s="1"/>
  <c r="N362" i="3"/>
  <c r="M310" i="3"/>
  <c r="Q310" i="3" s="1"/>
  <c r="S310" i="3" s="1"/>
  <c r="N310" i="3"/>
  <c r="M317" i="3"/>
  <c r="V317" i="3" s="1"/>
  <c r="W317" i="3" s="1"/>
  <c r="N317" i="3"/>
  <c r="M322" i="3"/>
  <c r="V322" i="3" s="1"/>
  <c r="W322" i="3" s="1"/>
  <c r="N322" i="3"/>
  <c r="M328" i="3"/>
  <c r="V328" i="3" s="1"/>
  <c r="W328" i="3" s="1"/>
  <c r="N328" i="3"/>
  <c r="M332" i="3"/>
  <c r="V332" i="3" s="1"/>
  <c r="W332" i="3" s="1"/>
  <c r="N332" i="3"/>
  <c r="M335" i="3"/>
  <c r="V335" i="3" s="1"/>
  <c r="W335" i="3" s="1"/>
  <c r="N335" i="3"/>
  <c r="M341" i="3"/>
  <c r="V341" i="3" s="1"/>
  <c r="W341" i="3" s="1"/>
  <c r="N341" i="3"/>
  <c r="M348" i="3"/>
  <c r="V348" i="3" s="1"/>
  <c r="W348" i="3" s="1"/>
  <c r="N348" i="3"/>
  <c r="Q369" i="3"/>
  <c r="S369" i="3" s="1"/>
  <c r="M363" i="3"/>
  <c r="Q363" i="3" s="1"/>
  <c r="S363" i="3" s="1"/>
  <c r="N363" i="3"/>
  <c r="M359" i="3"/>
  <c r="V359" i="3" s="1"/>
  <c r="W359" i="3" s="1"/>
  <c r="N359" i="3"/>
  <c r="M361" i="3"/>
  <c r="V361" i="3" s="1"/>
  <c r="W361" i="3" s="1"/>
  <c r="N361" i="3"/>
  <c r="Q378" i="3"/>
  <c r="S378" i="3" s="1"/>
  <c r="Q380" i="3"/>
  <c r="S380" i="3" s="1"/>
  <c r="Q384" i="3"/>
  <c r="S384" i="3" s="1"/>
  <c r="M306" i="3"/>
  <c r="Q306" i="3" s="1"/>
  <c r="S306" i="3" s="1"/>
  <c r="N306" i="3"/>
  <c r="M309" i="3"/>
  <c r="V309" i="3" s="1"/>
  <c r="W309" i="3" s="1"/>
  <c r="N309" i="3"/>
  <c r="M312" i="3"/>
  <c r="Q312" i="3" s="1"/>
  <c r="S312" i="3" s="1"/>
  <c r="N312" i="3"/>
  <c r="M315" i="3"/>
  <c r="V315" i="3" s="1"/>
  <c r="W315" i="3" s="1"/>
  <c r="N315" i="3"/>
  <c r="M320" i="3"/>
  <c r="V320" i="3" s="1"/>
  <c r="W320" i="3" s="1"/>
  <c r="N320" i="3"/>
  <c r="M316" i="3"/>
  <c r="V316" i="3" s="1"/>
  <c r="W316" i="3" s="1"/>
  <c r="N316" i="3"/>
  <c r="M323" i="3"/>
  <c r="V323" i="3" s="1"/>
  <c r="W323" i="3" s="1"/>
  <c r="N323" i="3"/>
  <c r="M325" i="3"/>
  <c r="V325" i="3" s="1"/>
  <c r="W325" i="3" s="1"/>
  <c r="N325" i="3"/>
  <c r="M329" i="3"/>
  <c r="V329" i="3" s="1"/>
  <c r="W329" i="3" s="1"/>
  <c r="N329" i="3"/>
  <c r="M334" i="3"/>
  <c r="V334" i="3" s="1"/>
  <c r="W334" i="3" s="1"/>
  <c r="N334" i="3"/>
  <c r="M336" i="3"/>
  <c r="V336" i="3" s="1"/>
  <c r="W336" i="3" s="1"/>
  <c r="N336" i="3"/>
  <c r="M340" i="3"/>
  <c r="V340" i="3" s="1"/>
  <c r="W340" i="3" s="1"/>
  <c r="N340" i="3"/>
  <c r="M343" i="3"/>
  <c r="V343" i="3" s="1"/>
  <c r="W343" i="3" s="1"/>
  <c r="N343" i="3"/>
  <c r="M345" i="3"/>
  <c r="V345" i="3" s="1"/>
  <c r="W345" i="3" s="1"/>
  <c r="N345" i="3"/>
  <c r="M344" i="3"/>
  <c r="V344" i="3" s="1"/>
  <c r="W344" i="3" s="1"/>
  <c r="N344" i="3"/>
  <c r="M349" i="3"/>
  <c r="V349" i="3" s="1"/>
  <c r="W349" i="3" s="1"/>
  <c r="N349" i="3"/>
  <c r="M360" i="3"/>
  <c r="V360" i="3" s="1"/>
  <c r="W360" i="3" s="1"/>
  <c r="N360" i="3"/>
  <c r="M356" i="3"/>
  <c r="Q356" i="3" s="1"/>
  <c r="S356" i="3" s="1"/>
  <c r="N356" i="3"/>
  <c r="M358" i="3"/>
  <c r="Q358" i="3" s="1"/>
  <c r="S358" i="3" s="1"/>
  <c r="N358" i="3"/>
  <c r="M357" i="3"/>
  <c r="Q357" i="3" s="1"/>
  <c r="S357" i="3" s="1"/>
  <c r="N357" i="3"/>
  <c r="V367" i="3"/>
  <c r="W367" i="3" s="1"/>
  <c r="AJ386" i="3"/>
  <c r="AJ388" i="3"/>
  <c r="AJ383" i="3"/>
  <c r="AJ384" i="3"/>
  <c r="AJ382" i="3"/>
  <c r="AJ378" i="3"/>
  <c r="AJ379" i="3"/>
  <c r="AJ203" i="3"/>
  <c r="AJ354" i="3"/>
  <c r="AJ355" i="3"/>
  <c r="AJ206" i="3"/>
  <c r="AJ333" i="3"/>
  <c r="AJ372" i="3"/>
  <c r="X372" i="3" s="1"/>
  <c r="AJ232" i="3"/>
  <c r="AJ370" i="3"/>
  <c r="X370" i="3" s="1"/>
  <c r="AJ130" i="3"/>
  <c r="AJ121" i="3"/>
  <c r="AJ265" i="3"/>
  <c r="AJ179" i="3"/>
  <c r="AJ275" i="3"/>
  <c r="AJ221" i="3"/>
  <c r="AJ41" i="3"/>
  <c r="AJ174" i="3"/>
  <c r="AJ322" i="3"/>
  <c r="AJ182" i="3"/>
  <c r="AJ364" i="3"/>
  <c r="AJ138" i="3"/>
  <c r="AJ331" i="3"/>
  <c r="AJ337" i="3"/>
  <c r="AJ148" i="3"/>
  <c r="AJ301" i="3"/>
  <c r="AJ272" i="3"/>
  <c r="AJ151" i="3"/>
  <c r="AJ81" i="3"/>
  <c r="AJ268" i="3"/>
  <c r="AJ205" i="3"/>
  <c r="AJ356" i="3"/>
  <c r="AJ324" i="3"/>
  <c r="AJ120" i="3"/>
  <c r="AJ375" i="3"/>
  <c r="AJ376" i="3"/>
  <c r="AJ373" i="3"/>
  <c r="AJ374" i="3"/>
  <c r="AJ328" i="3"/>
  <c r="AJ371" i="3"/>
  <c r="AJ368" i="3"/>
  <c r="AJ369" i="3"/>
  <c r="AJ365" i="3"/>
  <c r="X365" i="3" s="1"/>
  <c r="AJ367" i="3"/>
  <c r="X367" i="3" s="1"/>
  <c r="AJ366" i="3"/>
  <c r="AJ348" i="3"/>
  <c r="AJ357" i="3"/>
  <c r="AJ351" i="3"/>
  <c r="AJ350" i="3"/>
  <c r="AJ353" i="3"/>
  <c r="AJ188" i="3"/>
  <c r="AJ358" i="3"/>
  <c r="AJ330" i="3"/>
  <c r="AJ362" i="3"/>
  <c r="AJ361" i="3"/>
  <c r="AJ360" i="3"/>
  <c r="AJ7" i="3"/>
  <c r="AJ347" i="3"/>
  <c r="AJ345" i="3"/>
  <c r="AJ335" i="3"/>
  <c r="AJ336" i="3"/>
  <c r="AJ329" i="3"/>
  <c r="AJ334" i="3"/>
  <c r="AJ323" i="3"/>
  <c r="AJ327" i="3"/>
  <c r="AJ318" i="3"/>
  <c r="AJ326" i="3"/>
  <c r="AJ320" i="3"/>
  <c r="AJ321" i="3"/>
  <c r="AJ319" i="3"/>
  <c r="AJ317" i="3"/>
  <c r="AJ316" i="3"/>
  <c r="AJ284" i="3"/>
  <c r="AJ315" i="3"/>
  <c r="AJ46" i="3"/>
  <c r="AJ43" i="3"/>
  <c r="AJ92" i="3"/>
  <c r="AJ69" i="3"/>
  <c r="AJ189" i="3"/>
  <c r="AJ273" i="3"/>
  <c r="AJ73" i="3"/>
  <c r="AJ185" i="3"/>
  <c r="AJ97" i="3"/>
  <c r="AJ231" i="3"/>
  <c r="AJ89" i="3"/>
  <c r="AJ40" i="3"/>
  <c r="AJ44" i="3"/>
  <c r="AJ234" i="3"/>
  <c r="AJ223" i="3"/>
  <c r="AJ172" i="3"/>
  <c r="AJ176" i="3"/>
  <c r="AJ224" i="3"/>
  <c r="AJ209" i="3"/>
  <c r="AJ279" i="3"/>
  <c r="AJ108" i="3"/>
  <c r="AJ112" i="3"/>
  <c r="AJ237" i="3"/>
  <c r="AJ246" i="3"/>
  <c r="AJ184" i="3"/>
  <c r="AJ65" i="3"/>
  <c r="AJ225" i="3"/>
  <c r="AJ17" i="3"/>
  <c r="AJ50" i="3"/>
  <c r="AJ54" i="3"/>
  <c r="AJ102" i="3"/>
  <c r="AJ55" i="3"/>
  <c r="AJ95" i="3"/>
  <c r="AJ255" i="3"/>
  <c r="AJ53" i="3"/>
  <c r="AJ117" i="3"/>
  <c r="AJ253" i="3"/>
  <c r="AJ293" i="3"/>
  <c r="AJ157" i="3"/>
  <c r="AJ296" i="3"/>
  <c r="AJ70" i="3"/>
  <c r="AJ67" i="3"/>
  <c r="AJ105" i="3"/>
  <c r="AJ15" i="3"/>
  <c r="AJ152" i="3"/>
  <c r="AJ25" i="3"/>
  <c r="AJ142" i="3"/>
  <c r="AJ162" i="3"/>
  <c r="AJ133" i="3"/>
  <c r="AJ313" i="3"/>
  <c r="AJ31" i="3"/>
  <c r="AJ35" i="3"/>
  <c r="AJ33" i="3"/>
  <c r="AJ34" i="3"/>
  <c r="AJ62" i="3"/>
  <c r="AJ82" i="3"/>
  <c r="AJ118" i="3"/>
  <c r="AJ150" i="3"/>
  <c r="AJ154" i="3"/>
  <c r="AJ186" i="3"/>
  <c r="AJ286" i="3"/>
  <c r="AJ39" i="3"/>
  <c r="AJ83" i="3"/>
  <c r="AJ119" i="3"/>
  <c r="AJ32" i="3"/>
  <c r="AJ56" i="3"/>
  <c r="AJ132" i="3"/>
  <c r="AJ181" i="3"/>
  <c r="AJ29" i="3"/>
  <c r="AJ109" i="3"/>
  <c r="AJ292" i="3"/>
  <c r="AJ57" i="3"/>
  <c r="AJ256" i="3"/>
  <c r="AJ257" i="3"/>
  <c r="AJ289" i="3"/>
  <c r="AJ220" i="3"/>
  <c r="AJ215" i="3"/>
  <c r="AJ127" i="3"/>
  <c r="AJ141" i="3"/>
  <c r="AJ211" i="3"/>
  <c r="AJ243" i="3"/>
  <c r="AJ16" i="3"/>
  <c r="AJ85" i="3"/>
  <c r="AJ113" i="3"/>
  <c r="AJ241" i="3"/>
  <c r="AJ290" i="3"/>
  <c r="AJ235" i="3"/>
  <c r="AJ68" i="3"/>
  <c r="AJ288" i="3"/>
  <c r="AJ126" i="3"/>
  <c r="AJ135" i="3"/>
  <c r="AJ306" i="3"/>
  <c r="AJ147" i="3"/>
  <c r="AJ149" i="3"/>
  <c r="AJ171" i="3"/>
  <c r="AJ175" i="3"/>
  <c r="AJ164" i="3"/>
  <c r="AJ169" i="3"/>
  <c r="AJ201" i="3"/>
  <c r="AJ247" i="3"/>
  <c r="AJ36" i="3"/>
  <c r="AJ269" i="3"/>
  <c r="AJ248" i="3"/>
  <c r="AJ278" i="3"/>
  <c r="AJ236" i="3"/>
  <c r="AJ47" i="3"/>
  <c r="AJ52" i="3"/>
  <c r="AJ216" i="3"/>
  <c r="AJ5" i="3"/>
  <c r="AJ213" i="3"/>
  <c r="AJ100" i="3"/>
  <c r="AJ104" i="3"/>
  <c r="AJ160" i="3"/>
  <c r="AJ101" i="3"/>
  <c r="AJ165" i="3"/>
  <c r="AJ136" i="3"/>
  <c r="AJ137" i="3"/>
  <c r="AJ58" i="3"/>
  <c r="AJ110" i="3"/>
  <c r="AJ302" i="3"/>
  <c r="AJ283" i="3"/>
  <c r="AJ139" i="3"/>
  <c r="AJ129" i="3"/>
  <c r="AJ202" i="3"/>
  <c r="AJ88" i="3"/>
  <c r="AJ168" i="3"/>
  <c r="AJ173" i="3"/>
  <c r="AJ23" i="3"/>
  <c r="AJ24" i="3"/>
  <c r="AJ28" i="3"/>
  <c r="AJ156" i="3"/>
  <c r="AJ252" i="3"/>
  <c r="AJ153" i="3"/>
  <c r="AJ144" i="3"/>
  <c r="AJ145" i="3"/>
  <c r="AJ308" i="3"/>
  <c r="AJ167" i="3"/>
  <c r="AJ267" i="3"/>
  <c r="AJ212" i="3"/>
  <c r="AJ18" i="3"/>
  <c r="AJ11" i="3"/>
  <c r="AJ128" i="3"/>
  <c r="AJ140" i="3"/>
  <c r="AJ250" i="3"/>
  <c r="AJ254" i="3"/>
  <c r="AJ146" i="3"/>
  <c r="AJ307" i="3"/>
  <c r="AJ226" i="3"/>
  <c r="AJ242" i="3"/>
  <c r="AJ200" i="3"/>
  <c r="AJ266" i="3"/>
  <c r="AJ274" i="3"/>
  <c r="AJ310" i="3"/>
  <c r="AJ263" i="3"/>
  <c r="AJ281" i="3"/>
  <c r="AJ305" i="3"/>
  <c r="X305" i="3" s="1"/>
  <c r="AJ276" i="3"/>
  <c r="AJ300" i="3"/>
  <c r="AJ264" i="3"/>
  <c r="AJ251" i="3"/>
  <c r="AJ249" i="3"/>
  <c r="AJ230" i="3"/>
  <c r="AJ238" i="3"/>
  <c r="AJ199" i="3"/>
  <c r="AJ227" i="3"/>
  <c r="AJ75" i="3"/>
  <c r="AJ79" i="3"/>
  <c r="AJ64" i="3"/>
  <c r="AJ61" i="3"/>
  <c r="AJ210" i="3"/>
  <c r="AJ84" i="3"/>
  <c r="AJ94" i="3"/>
  <c r="AJ59" i="3"/>
  <c r="AJ91" i="3"/>
  <c r="AJ111" i="3"/>
  <c r="AJ86" i="3"/>
  <c r="AJ258" i="3"/>
  <c r="AJ262" i="3"/>
  <c r="AJ298" i="3"/>
  <c r="AJ295" i="3"/>
  <c r="AJ303" i="3"/>
  <c r="AJ87" i="3"/>
  <c r="AJ155" i="3"/>
  <c r="AJ159" i="3"/>
  <c r="AJ12" i="3"/>
  <c r="AJ37" i="3"/>
  <c r="AJ261" i="3"/>
  <c r="AJ13" i="3"/>
  <c r="AJ217" i="3"/>
  <c r="AJ134" i="3"/>
  <c r="AJ311" i="3"/>
  <c r="X311" i="3" s="1"/>
  <c r="AJ309" i="3"/>
  <c r="AJ198" i="3"/>
  <c r="AJ19" i="3"/>
  <c r="AJ103" i="3"/>
  <c r="AJ239" i="3"/>
  <c r="AJ240" i="3"/>
  <c r="AJ20" i="3"/>
  <c r="AJ60" i="3"/>
  <c r="AJ304" i="3"/>
  <c r="AJ177" i="3"/>
  <c r="AJ2" i="3"/>
  <c r="AJ3" i="3"/>
  <c r="AJ163" i="3"/>
  <c r="AJ192" i="3"/>
  <c r="AJ218" i="3"/>
  <c r="AJ187" i="3"/>
  <c r="AJ191" i="3"/>
  <c r="AJ228" i="3"/>
  <c r="AJ204" i="3"/>
  <c r="AJ229" i="3"/>
  <c r="AJ22" i="3"/>
  <c r="AJ21" i="3"/>
  <c r="AJ14" i="3"/>
  <c r="AJ74" i="3"/>
  <c r="AJ106" i="3"/>
  <c r="AJ194" i="3"/>
  <c r="AJ244" i="3"/>
  <c r="AJ107" i="3"/>
  <c r="AJ195" i="3"/>
  <c r="AJ245" i="3"/>
  <c r="AJ193" i="3"/>
  <c r="AJ6" i="3"/>
  <c r="AJ26" i="3"/>
  <c r="AJ30" i="3"/>
  <c r="AJ38" i="3"/>
  <c r="AJ42" i="3"/>
  <c r="AJ98" i="3"/>
  <c r="AJ166" i="3"/>
  <c r="AJ170" i="3"/>
  <c r="AJ222" i="3"/>
  <c r="AJ27" i="3"/>
  <c r="AJ99" i="3"/>
  <c r="AJ123" i="3"/>
  <c r="AJ131" i="3"/>
  <c r="AJ219" i="3"/>
  <c r="AJ48" i="3"/>
  <c r="AJ80" i="3"/>
  <c r="AJ233" i="3"/>
  <c r="AJ49" i="3"/>
  <c r="AJ122" i="3"/>
  <c r="AJ116" i="3"/>
  <c r="AJ143" i="3"/>
  <c r="AJ312" i="3"/>
  <c r="M140" i="1"/>
  <c r="M137" i="1"/>
  <c r="AJ1305" i="3" s="1"/>
  <c r="X1305" i="3" s="1"/>
  <c r="AA1305" i="3" s="1"/>
  <c r="M138" i="1"/>
  <c r="M139" i="1"/>
  <c r="I1391" i="3" l="1"/>
  <c r="J1391" i="3"/>
  <c r="AM1391" i="3" s="1"/>
  <c r="AN1391" i="3" s="1"/>
  <c r="AO1391" i="3" s="1"/>
  <c r="AP1391" i="3" s="1"/>
  <c r="AB1391" i="3"/>
  <c r="I1386" i="3"/>
  <c r="J1386" i="3"/>
  <c r="AM1386" i="3" s="1"/>
  <c r="AN1386" i="3" s="1"/>
  <c r="AO1386" i="3" s="1"/>
  <c r="AP1386" i="3" s="1"/>
  <c r="AB1386" i="3"/>
  <c r="I1385" i="3"/>
  <c r="J1385" i="3"/>
  <c r="AM1385" i="3" s="1"/>
  <c r="AN1385" i="3" s="1"/>
  <c r="AO1385" i="3" s="1"/>
  <c r="AP1385" i="3" s="1"/>
  <c r="AB1385" i="3"/>
  <c r="I1384" i="3"/>
  <c r="J1384" i="3"/>
  <c r="AM1384" i="3" s="1"/>
  <c r="AN1384" i="3" s="1"/>
  <c r="AO1384" i="3" s="1"/>
  <c r="AP1384" i="3" s="1"/>
  <c r="AB1384" i="3"/>
  <c r="I1383" i="3"/>
  <c r="J1383" i="3"/>
  <c r="AM1383" i="3" s="1"/>
  <c r="AN1383" i="3" s="1"/>
  <c r="AO1383" i="3" s="1"/>
  <c r="AP1383" i="3" s="1"/>
  <c r="AB1383" i="3"/>
  <c r="I1378" i="3"/>
  <c r="J1378" i="3"/>
  <c r="AM1378" i="3" s="1"/>
  <c r="AN1378" i="3" s="1"/>
  <c r="AO1378" i="3" s="1"/>
  <c r="AP1378" i="3" s="1"/>
  <c r="AB1378" i="3"/>
  <c r="I1377" i="3"/>
  <c r="J1377" i="3"/>
  <c r="AM1377" i="3" s="1"/>
  <c r="AN1377" i="3" s="1"/>
  <c r="AO1377" i="3" s="1"/>
  <c r="AP1377" i="3" s="1"/>
  <c r="AB1377" i="3"/>
  <c r="I1376" i="3"/>
  <c r="J1376" i="3"/>
  <c r="AM1376" i="3" s="1"/>
  <c r="AN1376" i="3" s="1"/>
  <c r="AO1376" i="3" s="1"/>
  <c r="AP1376" i="3" s="1"/>
  <c r="AB1376" i="3"/>
  <c r="I1373" i="3"/>
  <c r="J1373" i="3"/>
  <c r="AM1373" i="3" s="1"/>
  <c r="AN1373" i="3" s="1"/>
  <c r="AO1373" i="3" s="1"/>
  <c r="AP1373" i="3" s="1"/>
  <c r="AB1373" i="3"/>
  <c r="AB1371" i="3"/>
  <c r="J1371" i="3"/>
  <c r="AM1371" i="3" s="1"/>
  <c r="AN1371" i="3" s="1"/>
  <c r="AO1371" i="3" s="1"/>
  <c r="AP1371" i="3" s="1"/>
  <c r="I1371" i="3"/>
  <c r="AB1367" i="3"/>
  <c r="J1367" i="3"/>
  <c r="AM1367" i="3" s="1"/>
  <c r="AN1367" i="3" s="1"/>
  <c r="AO1367" i="3" s="1"/>
  <c r="AP1367" i="3" s="1"/>
  <c r="I1367" i="3"/>
  <c r="J1362" i="3"/>
  <c r="AM1362" i="3" s="1"/>
  <c r="AN1362" i="3" s="1"/>
  <c r="AO1362" i="3" s="1"/>
  <c r="AP1362" i="3" s="1"/>
  <c r="I1362" i="3"/>
  <c r="AB1362" i="3"/>
  <c r="J1364" i="3"/>
  <c r="AM1364" i="3" s="1"/>
  <c r="AN1364" i="3" s="1"/>
  <c r="AO1364" i="3" s="1"/>
  <c r="AP1364" i="3" s="1"/>
  <c r="I1364" i="3"/>
  <c r="AB1364" i="3"/>
  <c r="AB1363" i="3"/>
  <c r="J1363" i="3"/>
  <c r="AM1363" i="3" s="1"/>
  <c r="AN1363" i="3" s="1"/>
  <c r="AO1363" i="3" s="1"/>
  <c r="AP1363" i="3" s="1"/>
  <c r="I1363" i="3"/>
  <c r="AB1355" i="3"/>
  <c r="J1366" i="3"/>
  <c r="AM1366" i="3" s="1"/>
  <c r="AN1366" i="3" s="1"/>
  <c r="AO1366" i="3" s="1"/>
  <c r="AP1366" i="3" s="1"/>
  <c r="I1366" i="3"/>
  <c r="AB1366" i="3"/>
  <c r="J1368" i="3"/>
  <c r="AM1368" i="3" s="1"/>
  <c r="AN1368" i="3" s="1"/>
  <c r="AO1368" i="3" s="1"/>
  <c r="AP1368" i="3" s="1"/>
  <c r="I1368" i="3"/>
  <c r="AB1368" i="3"/>
  <c r="AB1361" i="3"/>
  <c r="J1361" i="3"/>
  <c r="AM1361" i="3" s="1"/>
  <c r="AN1361" i="3" s="1"/>
  <c r="AO1361" i="3" s="1"/>
  <c r="AP1361" i="3" s="1"/>
  <c r="I1361" i="3"/>
  <c r="J1360" i="3"/>
  <c r="AM1360" i="3" s="1"/>
  <c r="AN1360" i="3" s="1"/>
  <c r="AO1360" i="3" s="1"/>
  <c r="AP1360" i="3" s="1"/>
  <c r="I1360" i="3"/>
  <c r="AB1360" i="3"/>
  <c r="J1370" i="3"/>
  <c r="AM1370" i="3" s="1"/>
  <c r="AN1370" i="3" s="1"/>
  <c r="AO1370" i="3" s="1"/>
  <c r="AP1370" i="3" s="1"/>
  <c r="I1370" i="3"/>
  <c r="AB1370" i="3"/>
  <c r="J1355" i="3"/>
  <c r="AM1355" i="3" s="1"/>
  <c r="AN1355" i="3" s="1"/>
  <c r="AO1355" i="3" s="1"/>
  <c r="AP1355" i="3" s="1"/>
  <c r="J1348" i="3"/>
  <c r="AM1348" i="3" s="1"/>
  <c r="AN1348" i="3" s="1"/>
  <c r="AO1348" i="3" s="1"/>
  <c r="AP1348" i="3" s="1"/>
  <c r="AB1348" i="3"/>
  <c r="I1251" i="3"/>
  <c r="J1288" i="3"/>
  <c r="AM1288" i="3" s="1"/>
  <c r="AN1288" i="3" s="1"/>
  <c r="AO1288" i="3" s="1"/>
  <c r="AP1288" i="3" s="1"/>
  <c r="J1342" i="3"/>
  <c r="AM1342" i="3" s="1"/>
  <c r="AN1342" i="3" s="1"/>
  <c r="AO1342" i="3" s="1"/>
  <c r="AP1342" i="3" s="1"/>
  <c r="I1342" i="3"/>
  <c r="J1251" i="3"/>
  <c r="AM1251" i="3" s="1"/>
  <c r="AN1251" i="3" s="1"/>
  <c r="AO1251" i="3" s="1"/>
  <c r="AP1251" i="3" s="1"/>
  <c r="I1356" i="3"/>
  <c r="J1356" i="3"/>
  <c r="AM1356" i="3" s="1"/>
  <c r="AN1356" i="3" s="1"/>
  <c r="AO1356" i="3" s="1"/>
  <c r="AP1356" i="3" s="1"/>
  <c r="AB1356" i="3"/>
  <c r="I1352" i="3"/>
  <c r="J1352" i="3"/>
  <c r="AM1352" i="3" s="1"/>
  <c r="AN1352" i="3" s="1"/>
  <c r="AO1352" i="3" s="1"/>
  <c r="AP1352" i="3" s="1"/>
  <c r="AB1352" i="3"/>
  <c r="I1351" i="3"/>
  <c r="J1351" i="3"/>
  <c r="AM1351" i="3" s="1"/>
  <c r="AN1351" i="3" s="1"/>
  <c r="AO1351" i="3" s="1"/>
  <c r="AP1351" i="3" s="1"/>
  <c r="AB1351" i="3"/>
  <c r="AJ1346" i="3"/>
  <c r="X1346" i="3" s="1"/>
  <c r="AA1346" i="3" s="1"/>
  <c r="J1346" i="3" s="1"/>
  <c r="AM1346" i="3" s="1"/>
  <c r="AN1346" i="3" s="1"/>
  <c r="AO1346" i="3" s="1"/>
  <c r="AP1346" i="3" s="1"/>
  <c r="AJ1347" i="3"/>
  <c r="X1347" i="3" s="1"/>
  <c r="AA1347" i="3" s="1"/>
  <c r="AJ1341" i="3"/>
  <c r="X1341" i="3" s="1"/>
  <c r="AA1341" i="3" s="1"/>
  <c r="AB1341" i="3" s="1"/>
  <c r="AJ1345" i="3"/>
  <c r="X1345" i="3" s="1"/>
  <c r="AA1345" i="3" s="1"/>
  <c r="I1343" i="3"/>
  <c r="J1343" i="3"/>
  <c r="AM1343" i="3" s="1"/>
  <c r="AN1343" i="3" s="1"/>
  <c r="AO1343" i="3" s="1"/>
  <c r="AP1343" i="3" s="1"/>
  <c r="AB1343" i="3"/>
  <c r="I1340" i="3"/>
  <c r="J1340" i="3"/>
  <c r="AM1340" i="3" s="1"/>
  <c r="AN1340" i="3" s="1"/>
  <c r="AO1340" i="3" s="1"/>
  <c r="AP1340" i="3" s="1"/>
  <c r="AB1340" i="3"/>
  <c r="J1233" i="3"/>
  <c r="AM1233" i="3" s="1"/>
  <c r="AN1233" i="3" s="1"/>
  <c r="AO1233" i="3" s="1"/>
  <c r="AP1233" i="3" s="1"/>
  <c r="AB1307" i="3"/>
  <c r="AB1317" i="3"/>
  <c r="J1249" i="3"/>
  <c r="AM1249" i="3" s="1"/>
  <c r="AN1249" i="3" s="1"/>
  <c r="AO1249" i="3" s="1"/>
  <c r="AP1249" i="3" s="1"/>
  <c r="J1274" i="3"/>
  <c r="AM1274" i="3" s="1"/>
  <c r="AN1274" i="3" s="1"/>
  <c r="AO1274" i="3" s="1"/>
  <c r="AP1274" i="3" s="1"/>
  <c r="J1317" i="3"/>
  <c r="AM1317" i="3" s="1"/>
  <c r="AN1317" i="3" s="1"/>
  <c r="AO1317" i="3" s="1"/>
  <c r="AP1317" i="3" s="1"/>
  <c r="AB1249" i="3"/>
  <c r="J1253" i="3"/>
  <c r="AM1253" i="3" s="1"/>
  <c r="AN1253" i="3" s="1"/>
  <c r="AO1253" i="3" s="1"/>
  <c r="AP1253" i="3" s="1"/>
  <c r="I1258" i="3"/>
  <c r="AB1255" i="3"/>
  <c r="AB1258" i="3"/>
  <c r="I1253" i="3"/>
  <c r="I1233" i="3"/>
  <c r="J1330" i="3"/>
  <c r="AM1330" i="3" s="1"/>
  <c r="AN1330" i="3" s="1"/>
  <c r="AO1330" i="3" s="1"/>
  <c r="AP1330" i="3" s="1"/>
  <c r="J1315" i="3"/>
  <c r="AM1315" i="3" s="1"/>
  <c r="AN1315" i="3" s="1"/>
  <c r="AO1315" i="3" s="1"/>
  <c r="AP1315" i="3" s="1"/>
  <c r="J1255" i="3"/>
  <c r="AM1255" i="3" s="1"/>
  <c r="AN1255" i="3" s="1"/>
  <c r="AO1255" i="3" s="1"/>
  <c r="AP1255" i="3" s="1"/>
  <c r="AB1291" i="3"/>
  <c r="AB1283" i="3"/>
  <c r="AB1289" i="3"/>
  <c r="J1291" i="3"/>
  <c r="AM1291" i="3" s="1"/>
  <c r="AN1291" i="3" s="1"/>
  <c r="AO1291" i="3" s="1"/>
  <c r="AP1291" i="3" s="1"/>
  <c r="J1307" i="3"/>
  <c r="AM1307" i="3" s="1"/>
  <c r="AN1307" i="3" s="1"/>
  <c r="AO1307" i="3" s="1"/>
  <c r="AP1307" i="3" s="1"/>
  <c r="I1329" i="3"/>
  <c r="AB1280" i="3"/>
  <c r="AB1327" i="3"/>
  <c r="AB1236" i="3"/>
  <c r="J1238" i="3"/>
  <c r="AM1238" i="3" s="1"/>
  <c r="AN1238" i="3" s="1"/>
  <c r="AO1238" i="3" s="1"/>
  <c r="AP1238" i="3" s="1"/>
  <c r="I1274" i="3"/>
  <c r="J1280" i="3"/>
  <c r="AM1280" i="3" s="1"/>
  <c r="AN1280" i="3" s="1"/>
  <c r="AO1280" i="3" s="1"/>
  <c r="AP1280" i="3" s="1"/>
  <c r="J1283" i="3"/>
  <c r="AM1283" i="3" s="1"/>
  <c r="AN1283" i="3" s="1"/>
  <c r="AO1283" i="3" s="1"/>
  <c r="AP1283" i="3" s="1"/>
  <c r="AB1296" i="3"/>
  <c r="AB1321" i="3"/>
  <c r="I1330" i="3"/>
  <c r="I1236" i="3"/>
  <c r="I1238" i="3"/>
  <c r="I1321" i="3"/>
  <c r="AB1336" i="3"/>
  <c r="AB1246" i="3"/>
  <c r="AB1241" i="3"/>
  <c r="J1246" i="3"/>
  <c r="AM1246" i="3" s="1"/>
  <c r="AN1246" i="3" s="1"/>
  <c r="AO1246" i="3" s="1"/>
  <c r="AP1246" i="3" s="1"/>
  <c r="AB1261" i="3"/>
  <c r="J1265" i="3"/>
  <c r="AM1265" i="3" s="1"/>
  <c r="AN1265" i="3" s="1"/>
  <c r="AO1265" i="3" s="1"/>
  <c r="AP1265" i="3" s="1"/>
  <c r="J1268" i="3"/>
  <c r="AM1268" i="3" s="1"/>
  <c r="AN1268" i="3" s="1"/>
  <c r="AO1268" i="3" s="1"/>
  <c r="AP1268" i="3" s="1"/>
  <c r="J1289" i="3"/>
  <c r="AM1289" i="3" s="1"/>
  <c r="AN1289" i="3" s="1"/>
  <c r="AO1289" i="3" s="1"/>
  <c r="AP1289" i="3" s="1"/>
  <c r="J1296" i="3"/>
  <c r="AM1296" i="3" s="1"/>
  <c r="AN1296" i="3" s="1"/>
  <c r="AO1296" i="3" s="1"/>
  <c r="AP1296" i="3" s="1"/>
  <c r="J1306" i="3"/>
  <c r="AM1306" i="3" s="1"/>
  <c r="AN1306" i="3" s="1"/>
  <c r="AO1306" i="3" s="1"/>
  <c r="AP1306" i="3" s="1"/>
  <c r="J1309" i="3"/>
  <c r="AM1309" i="3" s="1"/>
  <c r="AN1309" i="3" s="1"/>
  <c r="AO1309" i="3" s="1"/>
  <c r="AP1309" i="3" s="1"/>
  <c r="J1319" i="3"/>
  <c r="AM1319" i="3" s="1"/>
  <c r="AN1319" i="3" s="1"/>
  <c r="AO1319" i="3" s="1"/>
  <c r="AP1319" i="3" s="1"/>
  <c r="J1327" i="3"/>
  <c r="AM1327" i="3" s="1"/>
  <c r="AN1327" i="3" s="1"/>
  <c r="AO1327" i="3" s="1"/>
  <c r="AP1327" i="3" s="1"/>
  <c r="AB1329" i="3"/>
  <c r="I1336" i="3"/>
  <c r="I1241" i="3"/>
  <c r="I1261" i="3"/>
  <c r="AB1265" i="3"/>
  <c r="AB1268" i="3"/>
  <c r="AB1306" i="3"/>
  <c r="AB1309" i="3"/>
  <c r="I1315" i="3"/>
  <c r="AB1319" i="3"/>
  <c r="I1337" i="3"/>
  <c r="J1337" i="3"/>
  <c r="AM1337" i="3" s="1"/>
  <c r="AN1337" i="3" s="1"/>
  <c r="AO1337" i="3" s="1"/>
  <c r="AP1337" i="3" s="1"/>
  <c r="AB1337" i="3"/>
  <c r="I1334" i="3"/>
  <c r="J1334" i="3"/>
  <c r="AM1334" i="3" s="1"/>
  <c r="AN1334" i="3" s="1"/>
  <c r="AO1334" i="3" s="1"/>
  <c r="AP1334" i="3" s="1"/>
  <c r="AB1334" i="3"/>
  <c r="I1333" i="3"/>
  <c r="J1333" i="3"/>
  <c r="AM1333" i="3" s="1"/>
  <c r="AN1333" i="3" s="1"/>
  <c r="AO1333" i="3" s="1"/>
  <c r="AP1333" i="3" s="1"/>
  <c r="AB1333" i="3"/>
  <c r="I1331" i="3"/>
  <c r="J1331" i="3"/>
  <c r="AM1331" i="3" s="1"/>
  <c r="AN1331" i="3" s="1"/>
  <c r="AO1331" i="3" s="1"/>
  <c r="AP1331" i="3" s="1"/>
  <c r="AB1331" i="3"/>
  <c r="I1328" i="3"/>
  <c r="J1328" i="3"/>
  <c r="AM1328" i="3" s="1"/>
  <c r="AN1328" i="3" s="1"/>
  <c r="AO1328" i="3" s="1"/>
  <c r="AP1328" i="3" s="1"/>
  <c r="AB1328" i="3"/>
  <c r="I1326" i="3"/>
  <c r="J1326" i="3"/>
  <c r="AM1326" i="3" s="1"/>
  <c r="AN1326" i="3" s="1"/>
  <c r="AO1326" i="3" s="1"/>
  <c r="AP1326" i="3" s="1"/>
  <c r="AB1326" i="3"/>
  <c r="I1324" i="3"/>
  <c r="J1324" i="3"/>
  <c r="AM1324" i="3" s="1"/>
  <c r="AN1324" i="3" s="1"/>
  <c r="AO1324" i="3" s="1"/>
  <c r="AP1324" i="3" s="1"/>
  <c r="AB1324" i="3"/>
  <c r="I1323" i="3"/>
  <c r="J1323" i="3"/>
  <c r="AM1323" i="3" s="1"/>
  <c r="AN1323" i="3" s="1"/>
  <c r="AO1323" i="3" s="1"/>
  <c r="AP1323" i="3" s="1"/>
  <c r="AB1323" i="3"/>
  <c r="I1322" i="3"/>
  <c r="J1322" i="3"/>
  <c r="AM1322" i="3" s="1"/>
  <c r="AN1322" i="3" s="1"/>
  <c r="AO1322" i="3" s="1"/>
  <c r="AP1322" i="3" s="1"/>
  <c r="AB1322" i="3"/>
  <c r="I1320" i="3"/>
  <c r="J1320" i="3"/>
  <c r="AM1320" i="3" s="1"/>
  <c r="AN1320" i="3" s="1"/>
  <c r="AO1320" i="3" s="1"/>
  <c r="AP1320" i="3" s="1"/>
  <c r="AB1320" i="3"/>
  <c r="I1318" i="3"/>
  <c r="J1318" i="3"/>
  <c r="AM1318" i="3" s="1"/>
  <c r="AN1318" i="3" s="1"/>
  <c r="AO1318" i="3" s="1"/>
  <c r="AP1318" i="3" s="1"/>
  <c r="AB1318" i="3"/>
  <c r="I1316" i="3"/>
  <c r="J1316" i="3"/>
  <c r="AM1316" i="3" s="1"/>
  <c r="AN1316" i="3" s="1"/>
  <c r="AO1316" i="3" s="1"/>
  <c r="AP1316" i="3" s="1"/>
  <c r="AB1316" i="3"/>
  <c r="I1314" i="3"/>
  <c r="J1314" i="3"/>
  <c r="AM1314" i="3" s="1"/>
  <c r="AN1314" i="3" s="1"/>
  <c r="AO1314" i="3" s="1"/>
  <c r="AP1314" i="3" s="1"/>
  <c r="AB1314" i="3"/>
  <c r="I1313" i="3"/>
  <c r="J1313" i="3"/>
  <c r="AM1313" i="3" s="1"/>
  <c r="AN1313" i="3" s="1"/>
  <c r="AO1313" i="3" s="1"/>
  <c r="AP1313" i="3" s="1"/>
  <c r="AB1313" i="3"/>
  <c r="I1308" i="3"/>
  <c r="J1308" i="3"/>
  <c r="AM1308" i="3" s="1"/>
  <c r="AN1308" i="3" s="1"/>
  <c r="AO1308" i="3" s="1"/>
  <c r="AP1308" i="3" s="1"/>
  <c r="AB1308" i="3"/>
  <c r="I1305" i="3"/>
  <c r="J1305" i="3"/>
  <c r="AM1305" i="3" s="1"/>
  <c r="AN1305" i="3" s="1"/>
  <c r="AO1305" i="3" s="1"/>
  <c r="AP1305" i="3" s="1"/>
  <c r="AB1305" i="3"/>
  <c r="I1304" i="3"/>
  <c r="J1304" i="3"/>
  <c r="AM1304" i="3" s="1"/>
  <c r="AN1304" i="3" s="1"/>
  <c r="AO1304" i="3" s="1"/>
  <c r="AP1304" i="3" s="1"/>
  <c r="AB1304" i="3"/>
  <c r="AJ1082" i="3"/>
  <c r="X1082" i="3" s="1"/>
  <c r="AJ1303" i="3"/>
  <c r="X1303" i="3" s="1"/>
  <c r="AA1303" i="3" s="1"/>
  <c r="I1301" i="3"/>
  <c r="J1301" i="3"/>
  <c r="AM1301" i="3" s="1"/>
  <c r="AN1301" i="3" s="1"/>
  <c r="AO1301" i="3" s="1"/>
  <c r="AP1301" i="3" s="1"/>
  <c r="AB1301" i="3"/>
  <c r="I1299" i="3"/>
  <c r="J1299" i="3"/>
  <c r="AM1299" i="3" s="1"/>
  <c r="AN1299" i="3" s="1"/>
  <c r="AO1299" i="3" s="1"/>
  <c r="AP1299" i="3" s="1"/>
  <c r="AB1299" i="3"/>
  <c r="I1292" i="3"/>
  <c r="J1292" i="3"/>
  <c r="AM1292" i="3" s="1"/>
  <c r="AN1292" i="3" s="1"/>
  <c r="AO1292" i="3" s="1"/>
  <c r="AP1292" i="3" s="1"/>
  <c r="AB1292" i="3"/>
  <c r="I1290" i="3"/>
  <c r="J1290" i="3"/>
  <c r="AM1290" i="3" s="1"/>
  <c r="AN1290" i="3" s="1"/>
  <c r="AO1290" i="3" s="1"/>
  <c r="AP1290" i="3" s="1"/>
  <c r="AB1290" i="3"/>
  <c r="I1284" i="3"/>
  <c r="J1284" i="3"/>
  <c r="AM1284" i="3" s="1"/>
  <c r="AN1284" i="3" s="1"/>
  <c r="AO1284" i="3" s="1"/>
  <c r="AP1284" i="3" s="1"/>
  <c r="AB1284" i="3"/>
  <c r="I1281" i="3"/>
  <c r="J1281" i="3"/>
  <c r="AM1281" i="3" s="1"/>
  <c r="AN1281" i="3" s="1"/>
  <c r="AO1281" i="3" s="1"/>
  <c r="AP1281" i="3" s="1"/>
  <c r="AB1281" i="3"/>
  <c r="I1277" i="3"/>
  <c r="J1277" i="3"/>
  <c r="AM1277" i="3" s="1"/>
  <c r="AN1277" i="3" s="1"/>
  <c r="AO1277" i="3" s="1"/>
  <c r="AP1277" i="3" s="1"/>
  <c r="AB1277" i="3"/>
  <c r="I1270" i="3"/>
  <c r="J1270" i="3"/>
  <c r="AM1270" i="3" s="1"/>
  <c r="AN1270" i="3" s="1"/>
  <c r="AO1270" i="3" s="1"/>
  <c r="AP1270" i="3" s="1"/>
  <c r="AB1270" i="3"/>
  <c r="I1269" i="3"/>
  <c r="J1269" i="3"/>
  <c r="AM1269" i="3" s="1"/>
  <c r="AN1269" i="3" s="1"/>
  <c r="AO1269" i="3" s="1"/>
  <c r="AP1269" i="3" s="1"/>
  <c r="AB1269" i="3"/>
  <c r="I1267" i="3"/>
  <c r="J1267" i="3"/>
  <c r="AM1267" i="3" s="1"/>
  <c r="AN1267" i="3" s="1"/>
  <c r="AO1267" i="3" s="1"/>
  <c r="AP1267" i="3" s="1"/>
  <c r="AB1267" i="3"/>
  <c r="I1264" i="3"/>
  <c r="J1264" i="3"/>
  <c r="AM1264" i="3" s="1"/>
  <c r="AN1264" i="3" s="1"/>
  <c r="AO1264" i="3" s="1"/>
  <c r="AP1264" i="3" s="1"/>
  <c r="AB1264" i="3"/>
  <c r="I1262" i="3"/>
  <c r="J1262" i="3"/>
  <c r="AM1262" i="3" s="1"/>
  <c r="AN1262" i="3" s="1"/>
  <c r="AO1262" i="3" s="1"/>
  <c r="AP1262" i="3" s="1"/>
  <c r="AB1262" i="3"/>
  <c r="I1260" i="3"/>
  <c r="J1260" i="3"/>
  <c r="AM1260" i="3" s="1"/>
  <c r="AN1260" i="3" s="1"/>
  <c r="AO1260" i="3" s="1"/>
  <c r="AP1260" i="3" s="1"/>
  <c r="AB1260" i="3"/>
  <c r="I1259" i="3"/>
  <c r="J1259" i="3"/>
  <c r="AM1259" i="3" s="1"/>
  <c r="AN1259" i="3" s="1"/>
  <c r="AO1259" i="3" s="1"/>
  <c r="AP1259" i="3" s="1"/>
  <c r="AB1259" i="3"/>
  <c r="I1256" i="3"/>
  <c r="J1256" i="3"/>
  <c r="AM1256" i="3" s="1"/>
  <c r="AN1256" i="3" s="1"/>
  <c r="AO1256" i="3" s="1"/>
  <c r="AP1256" i="3" s="1"/>
  <c r="AB1256" i="3"/>
  <c r="I1254" i="3"/>
  <c r="J1254" i="3"/>
  <c r="AM1254" i="3" s="1"/>
  <c r="AN1254" i="3" s="1"/>
  <c r="AO1254" i="3" s="1"/>
  <c r="AP1254" i="3" s="1"/>
  <c r="AB1254" i="3"/>
  <c r="I1252" i="3"/>
  <c r="J1252" i="3"/>
  <c r="AM1252" i="3" s="1"/>
  <c r="AN1252" i="3" s="1"/>
  <c r="AO1252" i="3" s="1"/>
  <c r="AP1252" i="3" s="1"/>
  <c r="AB1252" i="3"/>
  <c r="I1250" i="3"/>
  <c r="J1250" i="3"/>
  <c r="AM1250" i="3" s="1"/>
  <c r="AN1250" i="3" s="1"/>
  <c r="AO1250" i="3" s="1"/>
  <c r="AP1250" i="3" s="1"/>
  <c r="AB1250" i="3"/>
  <c r="AJ1243" i="3"/>
  <c r="X1243" i="3" s="1"/>
  <c r="AA1243" i="3" s="1"/>
  <c r="I1243" i="3" s="1"/>
  <c r="AJ1248" i="3"/>
  <c r="X1248" i="3" s="1"/>
  <c r="AA1248" i="3" s="1"/>
  <c r="AJ1242" i="3"/>
  <c r="X1242" i="3" s="1"/>
  <c r="AA1242" i="3" s="1"/>
  <c r="J1242" i="3" s="1"/>
  <c r="AM1242" i="3" s="1"/>
  <c r="AN1242" i="3" s="1"/>
  <c r="AO1242" i="3" s="1"/>
  <c r="AP1242" i="3" s="1"/>
  <c r="AJ1247" i="3"/>
  <c r="X1247" i="3" s="1"/>
  <c r="AA1247" i="3" s="1"/>
  <c r="I1245" i="3"/>
  <c r="J1245" i="3"/>
  <c r="AM1245" i="3" s="1"/>
  <c r="AN1245" i="3" s="1"/>
  <c r="AO1245" i="3" s="1"/>
  <c r="AP1245" i="3" s="1"/>
  <c r="AB1245" i="3"/>
  <c r="I1240" i="3"/>
  <c r="J1240" i="3"/>
  <c r="AM1240" i="3" s="1"/>
  <c r="AN1240" i="3" s="1"/>
  <c r="AO1240" i="3" s="1"/>
  <c r="AP1240" i="3" s="1"/>
  <c r="AB1240" i="3"/>
  <c r="I1239" i="3"/>
  <c r="J1239" i="3"/>
  <c r="AM1239" i="3" s="1"/>
  <c r="AN1239" i="3" s="1"/>
  <c r="AO1239" i="3" s="1"/>
  <c r="AP1239" i="3" s="1"/>
  <c r="AB1239" i="3"/>
  <c r="I1237" i="3"/>
  <c r="J1237" i="3"/>
  <c r="AM1237" i="3" s="1"/>
  <c r="AN1237" i="3" s="1"/>
  <c r="AO1237" i="3" s="1"/>
  <c r="AP1237" i="3" s="1"/>
  <c r="AB1237" i="3"/>
  <c r="I1235" i="3"/>
  <c r="J1235" i="3"/>
  <c r="AM1235" i="3" s="1"/>
  <c r="AN1235" i="3" s="1"/>
  <c r="AO1235" i="3" s="1"/>
  <c r="AP1235" i="3" s="1"/>
  <c r="AB1235" i="3"/>
  <c r="AJ1061" i="3"/>
  <c r="X1061" i="3" s="1"/>
  <c r="AJ1062" i="3"/>
  <c r="X1062" i="3" s="1"/>
  <c r="X354" i="3"/>
  <c r="V354" i="3"/>
  <c r="W354" i="3" s="1"/>
  <c r="AJ982" i="3"/>
  <c r="X982" i="3" s="1"/>
  <c r="AJ983" i="3"/>
  <c r="X983" i="3" s="1"/>
  <c r="AJ967" i="3"/>
  <c r="X967" i="3" s="1"/>
  <c r="AJ969" i="3"/>
  <c r="X969" i="3" s="1"/>
  <c r="AJ963" i="3"/>
  <c r="X963" i="3" s="1"/>
  <c r="AJ965" i="3"/>
  <c r="X965" i="3" s="1"/>
  <c r="AJ748" i="3"/>
  <c r="X748" i="3" s="1"/>
  <c r="AJ834" i="3"/>
  <c r="X834" i="3" s="1"/>
  <c r="AJ916" i="3"/>
  <c r="X916" i="3" s="1"/>
  <c r="AJ913" i="3"/>
  <c r="X913" i="3" s="1"/>
  <c r="AJ914" i="3"/>
  <c r="X914" i="3" s="1"/>
  <c r="AJ691" i="3"/>
  <c r="X691" i="3" s="1"/>
  <c r="AJ702" i="3"/>
  <c r="X702" i="3" s="1"/>
  <c r="AJ688" i="3"/>
  <c r="X688" i="3" s="1"/>
  <c r="AJ520" i="3"/>
  <c r="X520" i="3" s="1"/>
  <c r="AJ895" i="3"/>
  <c r="X895" i="3" s="1"/>
  <c r="AJ619" i="3"/>
  <c r="X619" i="3" s="1"/>
  <c r="AJ894" i="3"/>
  <c r="X894" i="3" s="1"/>
  <c r="AJ723" i="3"/>
  <c r="X723" i="3" s="1"/>
  <c r="AJ727" i="3"/>
  <c r="X727" i="3" s="1"/>
  <c r="AJ558" i="3"/>
  <c r="X558" i="3" s="1"/>
  <c r="AJ600" i="3"/>
  <c r="X600" i="3" s="1"/>
  <c r="AJ554" i="3"/>
  <c r="X554" i="3" s="1"/>
  <c r="AJ668" i="3"/>
  <c r="X668" i="3" s="1"/>
  <c r="AJ693" i="3"/>
  <c r="X693" i="3" s="1"/>
  <c r="AJ683" i="3"/>
  <c r="X683" i="3" s="1"/>
  <c r="AJ687" i="3"/>
  <c r="X687" i="3" s="1"/>
  <c r="AJ485" i="3"/>
  <c r="X485" i="3" s="1"/>
  <c r="AJ500" i="3"/>
  <c r="X500" i="3" s="1"/>
  <c r="AJ495" i="3"/>
  <c r="X495" i="3" s="1"/>
  <c r="AJ640" i="3"/>
  <c r="X640" i="3" s="1"/>
  <c r="AJ644" i="3"/>
  <c r="X644" i="3" s="1"/>
  <c r="AJ581" i="3"/>
  <c r="X581" i="3" s="1"/>
  <c r="AJ637" i="3"/>
  <c r="X637" i="3" s="1"/>
  <c r="AJ595" i="3"/>
  <c r="X595" i="3" s="1"/>
  <c r="AJ599" i="3"/>
  <c r="X599" i="3" s="1"/>
  <c r="AJ557" i="3"/>
  <c r="X557" i="3" s="1"/>
  <c r="AJ564" i="3"/>
  <c r="X564" i="3" s="1"/>
  <c r="AJ552" i="3"/>
  <c r="X552" i="3" s="1"/>
  <c r="AJ559" i="3"/>
  <c r="X559" i="3" s="1"/>
  <c r="AJ534" i="3"/>
  <c r="X534" i="3" s="1"/>
  <c r="AJ539" i="3"/>
  <c r="X539" i="3" s="1"/>
  <c r="AJ486" i="3"/>
  <c r="X486" i="3" s="1"/>
  <c r="AJ519" i="3"/>
  <c r="X519" i="3" s="1"/>
  <c r="AJ492" i="3"/>
  <c r="X492" i="3" s="1"/>
  <c r="AJ501" i="3"/>
  <c r="X501" i="3" s="1"/>
  <c r="AJ502" i="3"/>
  <c r="X502" i="3" s="1"/>
  <c r="AJ506" i="3"/>
  <c r="X506" i="3" s="1"/>
  <c r="AJ494" i="3"/>
  <c r="X494" i="3" s="1"/>
  <c r="AJ497" i="3"/>
  <c r="X497" i="3" s="1"/>
  <c r="AJ433" i="3"/>
  <c r="X433" i="3" s="1"/>
  <c r="AJ496" i="3"/>
  <c r="X496" i="3" s="1"/>
  <c r="X379" i="3"/>
  <c r="V313" i="3"/>
  <c r="W313" i="3" s="1"/>
  <c r="V304" i="3"/>
  <c r="W304" i="3" s="1"/>
  <c r="X383" i="3"/>
  <c r="X307" i="3"/>
  <c r="X371" i="3"/>
  <c r="X382" i="3"/>
  <c r="X375" i="3"/>
  <c r="Q322" i="3"/>
  <c r="S322" i="3" s="1"/>
  <c r="Q316" i="3"/>
  <c r="S316" i="3" s="1"/>
  <c r="Q325" i="3"/>
  <c r="S325" i="3" s="1"/>
  <c r="X388" i="3"/>
  <c r="Q341" i="3"/>
  <c r="S341" i="3" s="1"/>
  <c r="Q350" i="3"/>
  <c r="S350" i="3" s="1"/>
  <c r="Q338" i="3"/>
  <c r="S338" i="3" s="1"/>
  <c r="X368" i="3"/>
  <c r="X381" i="3"/>
  <c r="X385" i="3"/>
  <c r="X378" i="3"/>
  <c r="X386" i="3"/>
  <c r="X387" i="3"/>
  <c r="V351" i="3"/>
  <c r="W351" i="3" s="1"/>
  <c r="X389" i="3"/>
  <c r="Q361" i="3"/>
  <c r="S361" i="3" s="1"/>
  <c r="X390" i="3"/>
  <c r="X376" i="3"/>
  <c r="Q329" i="3"/>
  <c r="S329" i="3" s="1"/>
  <c r="Q362" i="3"/>
  <c r="S362" i="3" s="1"/>
  <c r="Q318" i="3"/>
  <c r="S318" i="3" s="1"/>
  <c r="Q333" i="3"/>
  <c r="S333" i="3" s="1"/>
  <c r="Q343" i="3"/>
  <c r="S343" i="3" s="1"/>
  <c r="Q346" i="3"/>
  <c r="S346" i="3" s="1"/>
  <c r="X384" i="3"/>
  <c r="X391" i="3"/>
  <c r="V353" i="3"/>
  <c r="W353" i="3" s="1"/>
  <c r="Q331" i="3"/>
  <c r="S331" i="3" s="1"/>
  <c r="Q339" i="3"/>
  <c r="S339" i="3" s="1"/>
  <c r="Q347" i="3"/>
  <c r="S347" i="3" s="1"/>
  <c r="Q344" i="3"/>
  <c r="S344" i="3" s="1"/>
  <c r="X366" i="3"/>
  <c r="X364" i="3"/>
  <c r="X363" i="3"/>
  <c r="V363" i="3"/>
  <c r="W363" i="3" s="1"/>
  <c r="V356" i="3"/>
  <c r="W356" i="3" s="1"/>
  <c r="Q327" i="3"/>
  <c r="S327" i="3" s="1"/>
  <c r="Q342" i="3"/>
  <c r="S342" i="3" s="1"/>
  <c r="Q359" i="3"/>
  <c r="S359" i="3" s="1"/>
  <c r="Q330" i="3"/>
  <c r="S330" i="3" s="1"/>
  <c r="X374" i="3"/>
  <c r="V358" i="3"/>
  <c r="W358" i="3" s="1"/>
  <c r="Q337" i="3"/>
  <c r="S337" i="3" s="1"/>
  <c r="X373" i="3"/>
  <c r="X355" i="3"/>
  <c r="V355" i="3"/>
  <c r="W355" i="3" s="1"/>
  <c r="X310" i="3"/>
  <c r="Q332" i="3"/>
  <c r="S332" i="3" s="1"/>
  <c r="Q345" i="3"/>
  <c r="S345" i="3" s="1"/>
  <c r="X357" i="3"/>
  <c r="Q352" i="3"/>
  <c r="S352" i="3" s="1"/>
  <c r="X380" i="3"/>
  <c r="V357" i="3"/>
  <c r="W357" i="3" s="1"/>
  <c r="V310" i="3"/>
  <c r="W310" i="3" s="1"/>
  <c r="Q309" i="3"/>
  <c r="S309" i="3" s="1"/>
  <c r="X308" i="3"/>
  <c r="Q315" i="3"/>
  <c r="S315" i="3" s="1"/>
  <c r="Q334" i="3"/>
  <c r="S334" i="3" s="1"/>
  <c r="Q340" i="3"/>
  <c r="S340" i="3" s="1"/>
  <c r="Q349" i="3"/>
  <c r="S349" i="3" s="1"/>
  <c r="X369" i="3"/>
  <c r="Q319" i="3"/>
  <c r="S319" i="3" s="1"/>
  <c r="Q324" i="3"/>
  <c r="S324" i="3" s="1"/>
  <c r="Q317" i="3"/>
  <c r="S317" i="3" s="1"/>
  <c r="Q323" i="3"/>
  <c r="S323" i="3" s="1"/>
  <c r="X353" i="3"/>
  <c r="V312" i="3"/>
  <c r="W312" i="3" s="1"/>
  <c r="V306" i="3"/>
  <c r="W306" i="3" s="1"/>
  <c r="Q320" i="3"/>
  <c r="S320" i="3" s="1"/>
  <c r="Q326" i="3"/>
  <c r="S326" i="3" s="1"/>
  <c r="Q328" i="3"/>
  <c r="S328" i="3" s="1"/>
  <c r="Q348" i="3"/>
  <c r="S348" i="3" s="1"/>
  <c r="Q360" i="3"/>
  <c r="S360" i="3" s="1"/>
  <c r="X314" i="3"/>
  <c r="V314" i="3"/>
  <c r="W314" i="3" s="1"/>
  <c r="X312" i="3"/>
  <c r="Q321" i="3"/>
  <c r="S321" i="3" s="1"/>
  <c r="Q335" i="3"/>
  <c r="S335" i="3" s="1"/>
  <c r="Q336" i="3"/>
  <c r="S336" i="3" s="1"/>
  <c r="X351" i="3"/>
  <c r="X356" i="3"/>
  <c r="X358" i="3"/>
  <c r="AJ78" i="3"/>
  <c r="AJ359" i="3"/>
  <c r="AJ352" i="3"/>
  <c r="X313" i="3"/>
  <c r="X304" i="3"/>
  <c r="X306" i="3"/>
  <c r="AJ282" i="3"/>
  <c r="AJ196" i="3"/>
  <c r="AJ197" i="3"/>
  <c r="AJ285" i="3"/>
  <c r="AJ280" i="3"/>
  <c r="AJ77" i="3"/>
  <c r="AJ158" i="3"/>
  <c r="AJ190" i="3"/>
  <c r="AJ71" i="3"/>
  <c r="AJ299" i="3"/>
  <c r="AJ161" i="3"/>
  <c r="AJ297" i="3"/>
  <c r="AJ72" i="3"/>
  <c r="AJ76" i="3"/>
  <c r="AB1346" i="3" l="1"/>
  <c r="I1346" i="3"/>
  <c r="I1341" i="3"/>
  <c r="J1341" i="3"/>
  <c r="AM1341" i="3" s="1"/>
  <c r="AN1341" i="3" s="1"/>
  <c r="AO1341" i="3" s="1"/>
  <c r="AP1341" i="3" s="1"/>
  <c r="I1347" i="3"/>
  <c r="J1347" i="3"/>
  <c r="AM1347" i="3" s="1"/>
  <c r="AN1347" i="3" s="1"/>
  <c r="AO1347" i="3" s="1"/>
  <c r="AP1347" i="3" s="1"/>
  <c r="AB1347" i="3"/>
  <c r="I1345" i="3"/>
  <c r="J1345" i="3"/>
  <c r="AM1345" i="3" s="1"/>
  <c r="AN1345" i="3" s="1"/>
  <c r="AO1345" i="3" s="1"/>
  <c r="AP1345" i="3" s="1"/>
  <c r="AB1345" i="3"/>
  <c r="AB1243" i="3"/>
  <c r="I1242" i="3"/>
  <c r="AB1242" i="3"/>
  <c r="J1243" i="3"/>
  <c r="AM1243" i="3" s="1"/>
  <c r="AN1243" i="3" s="1"/>
  <c r="AO1243" i="3" s="1"/>
  <c r="AP1243" i="3" s="1"/>
  <c r="I1303" i="3"/>
  <c r="J1303" i="3"/>
  <c r="AM1303" i="3" s="1"/>
  <c r="AN1303" i="3" s="1"/>
  <c r="AO1303" i="3" s="1"/>
  <c r="AP1303" i="3" s="1"/>
  <c r="AB1303" i="3"/>
  <c r="I1248" i="3"/>
  <c r="J1248" i="3"/>
  <c r="AM1248" i="3" s="1"/>
  <c r="AN1248" i="3" s="1"/>
  <c r="AO1248" i="3" s="1"/>
  <c r="AP1248" i="3" s="1"/>
  <c r="AB1248" i="3"/>
  <c r="I1247" i="3"/>
  <c r="J1247" i="3"/>
  <c r="AM1247" i="3" s="1"/>
  <c r="AN1247" i="3" s="1"/>
  <c r="AO1247" i="3" s="1"/>
  <c r="AP1247" i="3" s="1"/>
  <c r="AB1247" i="3"/>
  <c r="X341" i="3"/>
  <c r="X325" i="3"/>
  <c r="X322" i="3"/>
  <c r="X316" i="3"/>
  <c r="X309" i="3"/>
  <c r="X359" i="3"/>
  <c r="X344" i="3"/>
  <c r="X329" i="3"/>
  <c r="X324" i="3"/>
  <c r="X337" i="3"/>
  <c r="X343" i="3"/>
  <c r="X338" i="3"/>
  <c r="X350" i="3"/>
  <c r="X326" i="3"/>
  <c r="X340" i="3"/>
  <c r="X352" i="3"/>
  <c r="X318" i="3"/>
  <c r="X346" i="3"/>
  <c r="X360" i="3"/>
  <c r="X361" i="3"/>
  <c r="X320" i="3"/>
  <c r="X323" i="3"/>
  <c r="X327" i="3"/>
  <c r="X330" i="3"/>
  <c r="X362" i="3"/>
  <c r="X331" i="3"/>
  <c r="X347" i="3"/>
  <c r="X334" i="3"/>
  <c r="X339" i="3"/>
  <c r="X333" i="3"/>
  <c r="X342" i="3"/>
  <c r="X321" i="3"/>
  <c r="X335" i="3"/>
  <c r="X345" i="3"/>
  <c r="X348" i="3"/>
  <c r="X349" i="3"/>
  <c r="X317" i="3"/>
  <c r="X332" i="3"/>
  <c r="X315" i="3"/>
  <c r="X319" i="3"/>
  <c r="X328" i="3"/>
  <c r="X336" i="3"/>
  <c r="AI303" i="3"/>
  <c r="AH303" i="3"/>
  <c r="AE303" i="3"/>
  <c r="R303" i="3" s="1"/>
  <c r="AD303" i="3"/>
  <c r="AC303" i="3"/>
  <c r="O303" i="3"/>
  <c r="K303" i="3"/>
  <c r="AI302" i="3"/>
  <c r="AH302" i="3"/>
  <c r="AE302" i="3"/>
  <c r="R302" i="3" s="1"/>
  <c r="AD302" i="3"/>
  <c r="AC302" i="3"/>
  <c r="P302" i="3" s="1"/>
  <c r="O302" i="3"/>
  <c r="K302" i="3"/>
  <c r="AI301" i="3"/>
  <c r="AH301" i="3"/>
  <c r="AE301" i="3"/>
  <c r="R301" i="3" s="1"/>
  <c r="AD301" i="3"/>
  <c r="AC301" i="3"/>
  <c r="P301" i="3" s="1"/>
  <c r="O301" i="3"/>
  <c r="K301" i="3"/>
  <c r="AI300" i="3"/>
  <c r="AH300" i="3"/>
  <c r="AE300" i="3"/>
  <c r="R300" i="3" s="1"/>
  <c r="AD300" i="3"/>
  <c r="AC300" i="3"/>
  <c r="O300" i="3"/>
  <c r="K300" i="3"/>
  <c r="AI299" i="3"/>
  <c r="AH299" i="3"/>
  <c r="AE299" i="3"/>
  <c r="R299" i="3" s="1"/>
  <c r="AD299" i="3"/>
  <c r="AC299" i="3"/>
  <c r="O299" i="3"/>
  <c r="K299" i="3"/>
  <c r="AI298" i="3"/>
  <c r="AH298" i="3"/>
  <c r="AE298" i="3"/>
  <c r="R298" i="3" s="1"/>
  <c r="AD298" i="3"/>
  <c r="AC298" i="3"/>
  <c r="P298" i="3" s="1"/>
  <c r="O298" i="3"/>
  <c r="K298" i="3"/>
  <c r="AI297" i="3"/>
  <c r="AH297" i="3"/>
  <c r="AE297" i="3"/>
  <c r="R297" i="3" s="1"/>
  <c r="AD297" i="3"/>
  <c r="AC297" i="3"/>
  <c r="P297" i="3" s="1"/>
  <c r="O297" i="3"/>
  <c r="K297" i="3"/>
  <c r="AI296" i="3"/>
  <c r="AH296" i="3"/>
  <c r="AE296" i="3"/>
  <c r="R296" i="3" s="1"/>
  <c r="AD296" i="3"/>
  <c r="AC296" i="3"/>
  <c r="P296" i="3" s="1"/>
  <c r="O296" i="3"/>
  <c r="K296" i="3"/>
  <c r="K295" i="3"/>
  <c r="O295" i="3"/>
  <c r="AC295" i="3"/>
  <c r="AD295" i="3"/>
  <c r="AE295" i="3"/>
  <c r="R295" i="3" s="1"/>
  <c r="AH295" i="3"/>
  <c r="AI295" i="3"/>
  <c r="K294" i="3"/>
  <c r="O294" i="3"/>
  <c r="AC294" i="3"/>
  <c r="AD294" i="3"/>
  <c r="AE294" i="3"/>
  <c r="R294" i="3" s="1"/>
  <c r="AH294" i="3"/>
  <c r="AI294" i="3"/>
  <c r="K293" i="3"/>
  <c r="O293" i="3"/>
  <c r="AC293" i="3"/>
  <c r="AD293" i="3"/>
  <c r="AE293" i="3"/>
  <c r="R293" i="3" s="1"/>
  <c r="AH293" i="3"/>
  <c r="AI293" i="3"/>
  <c r="K292" i="3"/>
  <c r="O292" i="3"/>
  <c r="AC292" i="3"/>
  <c r="P292" i="3" s="1"/>
  <c r="AD292" i="3"/>
  <c r="AE292" i="3"/>
  <c r="R292" i="3" s="1"/>
  <c r="AH292" i="3"/>
  <c r="AI292" i="3"/>
  <c r="K291" i="3"/>
  <c r="O291" i="3"/>
  <c r="AC291" i="3"/>
  <c r="AD291" i="3"/>
  <c r="AE291" i="3"/>
  <c r="R291" i="3" s="1"/>
  <c r="AH291" i="3"/>
  <c r="AI291" i="3"/>
  <c r="K290" i="3"/>
  <c r="O290" i="3"/>
  <c r="AC290" i="3"/>
  <c r="AD290" i="3"/>
  <c r="AE290" i="3"/>
  <c r="R290" i="3" s="1"/>
  <c r="AH290" i="3"/>
  <c r="AI290" i="3"/>
  <c r="K289" i="3"/>
  <c r="O289" i="3"/>
  <c r="AC289" i="3"/>
  <c r="AD289" i="3"/>
  <c r="AE289" i="3"/>
  <c r="R289" i="3" s="1"/>
  <c r="AH289" i="3"/>
  <c r="AI289" i="3"/>
  <c r="K288" i="3"/>
  <c r="O288" i="3"/>
  <c r="AC288" i="3"/>
  <c r="P288" i="3" s="1"/>
  <c r="AD288" i="3"/>
  <c r="AE288" i="3"/>
  <c r="R288" i="3" s="1"/>
  <c r="AH288" i="3"/>
  <c r="AI288" i="3"/>
  <c r="K287" i="3"/>
  <c r="O287" i="3"/>
  <c r="AC287" i="3"/>
  <c r="AD287" i="3"/>
  <c r="AE287" i="3"/>
  <c r="R287" i="3" s="1"/>
  <c r="AH287" i="3"/>
  <c r="AI287" i="3"/>
  <c r="K286" i="3"/>
  <c r="O286" i="3"/>
  <c r="AC286" i="3"/>
  <c r="AD286" i="3"/>
  <c r="AE286" i="3"/>
  <c r="R286" i="3" s="1"/>
  <c r="AH286" i="3"/>
  <c r="AI286" i="3"/>
  <c r="K285" i="3"/>
  <c r="O285" i="3"/>
  <c r="AC285" i="3"/>
  <c r="AD285" i="3"/>
  <c r="AE285" i="3"/>
  <c r="R285" i="3" s="1"/>
  <c r="AH285" i="3"/>
  <c r="AI285" i="3"/>
  <c r="K284" i="3"/>
  <c r="O284" i="3"/>
  <c r="AC284" i="3"/>
  <c r="P284" i="3" s="1"/>
  <c r="AD284" i="3"/>
  <c r="AE284" i="3"/>
  <c r="R284" i="3" s="1"/>
  <c r="AH284" i="3"/>
  <c r="AI284" i="3"/>
  <c r="K283" i="3"/>
  <c r="O283" i="3"/>
  <c r="AC283" i="3"/>
  <c r="AD283" i="3"/>
  <c r="AE283" i="3"/>
  <c r="R283" i="3" s="1"/>
  <c r="AH283" i="3"/>
  <c r="AI283" i="3"/>
  <c r="K282" i="3"/>
  <c r="O282" i="3"/>
  <c r="AC282" i="3"/>
  <c r="AD282" i="3"/>
  <c r="AE282" i="3"/>
  <c r="R282" i="3" s="1"/>
  <c r="AH282" i="3"/>
  <c r="AI282" i="3"/>
  <c r="K281" i="3"/>
  <c r="O281" i="3"/>
  <c r="AC281" i="3"/>
  <c r="AD281" i="3"/>
  <c r="AE281" i="3"/>
  <c r="R281" i="3" s="1"/>
  <c r="AH281" i="3"/>
  <c r="AI281" i="3"/>
  <c r="K280" i="3"/>
  <c r="O280" i="3"/>
  <c r="AC280" i="3"/>
  <c r="P280" i="3" s="1"/>
  <c r="AD280" i="3"/>
  <c r="AE280" i="3"/>
  <c r="R280" i="3" s="1"/>
  <c r="AH280" i="3"/>
  <c r="AI280" i="3"/>
  <c r="L282" i="3" l="1"/>
  <c r="N282" i="3" s="1"/>
  <c r="P282" i="3"/>
  <c r="L286" i="3"/>
  <c r="N286" i="3" s="1"/>
  <c r="P286" i="3"/>
  <c r="L290" i="3"/>
  <c r="N290" i="3" s="1"/>
  <c r="P290" i="3"/>
  <c r="L294" i="3"/>
  <c r="N294" i="3" s="1"/>
  <c r="P294" i="3"/>
  <c r="L300" i="3"/>
  <c r="M300" i="3" s="1"/>
  <c r="V300" i="3" s="1"/>
  <c r="W300" i="3" s="1"/>
  <c r="P300" i="3"/>
  <c r="L281" i="3"/>
  <c r="N281" i="3" s="1"/>
  <c r="P281" i="3"/>
  <c r="L285" i="3"/>
  <c r="N285" i="3" s="1"/>
  <c r="P285" i="3"/>
  <c r="L289" i="3"/>
  <c r="N289" i="3" s="1"/>
  <c r="P289" i="3"/>
  <c r="L293" i="3"/>
  <c r="N293" i="3" s="1"/>
  <c r="P293" i="3"/>
  <c r="L299" i="3"/>
  <c r="N299" i="3" s="1"/>
  <c r="P299" i="3"/>
  <c r="L303" i="3"/>
  <c r="M303" i="3" s="1"/>
  <c r="V303" i="3" s="1"/>
  <c r="W303" i="3" s="1"/>
  <c r="P303" i="3"/>
  <c r="L283" i="3"/>
  <c r="N283" i="3" s="1"/>
  <c r="P283" i="3"/>
  <c r="L287" i="3"/>
  <c r="N287" i="3" s="1"/>
  <c r="P287" i="3"/>
  <c r="L291" i="3"/>
  <c r="N291" i="3" s="1"/>
  <c r="P291" i="3"/>
  <c r="L295" i="3"/>
  <c r="N295" i="3" s="1"/>
  <c r="P295" i="3"/>
  <c r="M299" i="3"/>
  <c r="V299" i="3" s="1"/>
  <c r="W299" i="3" s="1"/>
  <c r="L298" i="3"/>
  <c r="L301" i="3"/>
  <c r="Y301" i="3"/>
  <c r="L302" i="3"/>
  <c r="Y302" i="3"/>
  <c r="L296" i="3"/>
  <c r="Y297" i="3"/>
  <c r="Y298" i="3"/>
  <c r="L280" i="3"/>
  <c r="L284" i="3"/>
  <c r="L288" i="3"/>
  <c r="L292" i="3"/>
  <c r="L297" i="3"/>
  <c r="Y296" i="3"/>
  <c r="Y300" i="3"/>
  <c r="Y299" i="3"/>
  <c r="Y303" i="3"/>
  <c r="Y295" i="3"/>
  <c r="Y294" i="3"/>
  <c r="M294" i="3"/>
  <c r="V294" i="3" s="1"/>
  <c r="W294" i="3" s="1"/>
  <c r="Y293" i="3"/>
  <c r="Y292" i="3"/>
  <c r="Y291" i="3"/>
  <c r="M291" i="3"/>
  <c r="V291" i="3" s="1"/>
  <c r="W291" i="3" s="1"/>
  <c r="Y290" i="3"/>
  <c r="Y289" i="3"/>
  <c r="Y288" i="3"/>
  <c r="Y287" i="3"/>
  <c r="Y286" i="3"/>
  <c r="Y285" i="3"/>
  <c r="Y284" i="3"/>
  <c r="Y283" i="3"/>
  <c r="Y282" i="3"/>
  <c r="Y281" i="3"/>
  <c r="Y280" i="3"/>
  <c r="M281" i="3" l="1"/>
  <c r="V281" i="3" s="1"/>
  <c r="W281" i="3" s="1"/>
  <c r="M283" i="3"/>
  <c r="V283" i="3" s="1"/>
  <c r="W283" i="3" s="1"/>
  <c r="M286" i="3"/>
  <c r="V286" i="3" s="1"/>
  <c r="W286" i="3" s="1"/>
  <c r="M289" i="3"/>
  <c r="V289" i="3" s="1"/>
  <c r="W289" i="3" s="1"/>
  <c r="M282" i="3"/>
  <c r="V282" i="3" s="1"/>
  <c r="W282" i="3" s="1"/>
  <c r="M285" i="3"/>
  <c r="V285" i="3" s="1"/>
  <c r="W285" i="3" s="1"/>
  <c r="M287" i="3"/>
  <c r="V287" i="3" s="1"/>
  <c r="W287" i="3" s="1"/>
  <c r="M290" i="3"/>
  <c r="V290" i="3" s="1"/>
  <c r="W290" i="3" s="1"/>
  <c r="M293" i="3"/>
  <c r="V293" i="3" s="1"/>
  <c r="W293" i="3" s="1"/>
  <c r="M295" i="3"/>
  <c r="V295" i="3" s="1"/>
  <c r="W295" i="3" s="1"/>
  <c r="N300" i="3"/>
  <c r="N303" i="3"/>
  <c r="Q303" i="3"/>
  <c r="S303" i="3" s="1"/>
  <c r="Q300" i="3"/>
  <c r="S300" i="3" s="1"/>
  <c r="Q299" i="3"/>
  <c r="S299" i="3" s="1"/>
  <c r="M297" i="3"/>
  <c r="Q297" i="3" s="1"/>
  <c r="S297" i="3" s="1"/>
  <c r="N297" i="3"/>
  <c r="M280" i="3"/>
  <c r="V280" i="3" s="1"/>
  <c r="W280" i="3" s="1"/>
  <c r="N280" i="3"/>
  <c r="M301" i="3"/>
  <c r="Q301" i="3" s="1"/>
  <c r="S301" i="3" s="1"/>
  <c r="N301" i="3"/>
  <c r="M288" i="3"/>
  <c r="V288" i="3" s="1"/>
  <c r="W288" i="3" s="1"/>
  <c r="N288" i="3"/>
  <c r="M296" i="3"/>
  <c r="V296" i="3" s="1"/>
  <c r="W296" i="3" s="1"/>
  <c r="N296" i="3"/>
  <c r="M302" i="3"/>
  <c r="V302" i="3" s="1"/>
  <c r="W302" i="3" s="1"/>
  <c r="N302" i="3"/>
  <c r="M292" i="3"/>
  <c r="V292" i="3" s="1"/>
  <c r="W292" i="3" s="1"/>
  <c r="N292" i="3"/>
  <c r="M284" i="3"/>
  <c r="V284" i="3" s="1"/>
  <c r="W284" i="3" s="1"/>
  <c r="N284" i="3"/>
  <c r="M298" i="3"/>
  <c r="V298" i="3" s="1"/>
  <c r="W298" i="3" s="1"/>
  <c r="N298" i="3"/>
  <c r="Q295" i="3"/>
  <c r="Q294" i="3"/>
  <c r="Q291" i="3"/>
  <c r="Q281" i="3"/>
  <c r="E111" i="1"/>
  <c r="AF250" i="3" s="1"/>
  <c r="E112" i="1"/>
  <c r="AG265" i="3" s="1"/>
  <c r="E144" i="1"/>
  <c r="AF275" i="3" s="1"/>
  <c r="E113" i="1"/>
  <c r="AF315" i="3" s="1"/>
  <c r="E115" i="1"/>
  <c r="E116" i="1"/>
  <c r="AF314" i="3" s="1"/>
  <c r="E114" i="1"/>
  <c r="E117" i="1"/>
  <c r="AF325" i="3" s="1"/>
  <c r="E36" i="1"/>
  <c r="E118" i="1"/>
  <c r="AF346" i="3" s="1"/>
  <c r="E119" i="1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G250" i="3"/>
  <c r="AG254" i="3"/>
  <c r="AE249" i="3"/>
  <c r="R249" i="3" s="1"/>
  <c r="AE250" i="3"/>
  <c r="R250" i="3" s="1"/>
  <c r="AE251" i="3"/>
  <c r="R251" i="3" s="1"/>
  <c r="AE252" i="3"/>
  <c r="R252" i="3" s="1"/>
  <c r="AE253" i="3"/>
  <c r="R253" i="3" s="1"/>
  <c r="AE254" i="3"/>
  <c r="R254" i="3" s="1"/>
  <c r="AE255" i="3"/>
  <c r="R255" i="3" s="1"/>
  <c r="AE256" i="3"/>
  <c r="R256" i="3" s="1"/>
  <c r="AE257" i="3"/>
  <c r="R257" i="3" s="1"/>
  <c r="AE258" i="3"/>
  <c r="R258" i="3" s="1"/>
  <c r="AE259" i="3"/>
  <c r="R259" i="3" s="1"/>
  <c r="AE260" i="3"/>
  <c r="R260" i="3" s="1"/>
  <c r="AE261" i="3"/>
  <c r="R261" i="3" s="1"/>
  <c r="AE262" i="3"/>
  <c r="R262" i="3" s="1"/>
  <c r="AE263" i="3"/>
  <c r="R263" i="3" s="1"/>
  <c r="AE264" i="3"/>
  <c r="R264" i="3" s="1"/>
  <c r="AE265" i="3"/>
  <c r="R265" i="3" s="1"/>
  <c r="AE266" i="3"/>
  <c r="R266" i="3" s="1"/>
  <c r="AE267" i="3"/>
  <c r="R267" i="3" s="1"/>
  <c r="AE268" i="3"/>
  <c r="R268" i="3" s="1"/>
  <c r="AE269" i="3"/>
  <c r="R269" i="3" s="1"/>
  <c r="AE270" i="3"/>
  <c r="R270" i="3" s="1"/>
  <c r="AE271" i="3"/>
  <c r="R271" i="3" s="1"/>
  <c r="AE272" i="3"/>
  <c r="R272" i="3" s="1"/>
  <c r="AE273" i="3"/>
  <c r="R273" i="3" s="1"/>
  <c r="AE274" i="3"/>
  <c r="R274" i="3" s="1"/>
  <c r="AE275" i="3"/>
  <c r="R275" i="3" s="1"/>
  <c r="AE276" i="3"/>
  <c r="R276" i="3" s="1"/>
  <c r="AE277" i="3"/>
  <c r="R277" i="3" s="1"/>
  <c r="AE278" i="3"/>
  <c r="R278" i="3" s="1"/>
  <c r="AE279" i="3"/>
  <c r="R279" i="3" s="1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C249" i="3"/>
  <c r="P249" i="3" s="1"/>
  <c r="AC250" i="3"/>
  <c r="P250" i="3" s="1"/>
  <c r="AC251" i="3"/>
  <c r="P251" i="3" s="1"/>
  <c r="AC252" i="3"/>
  <c r="P252" i="3" s="1"/>
  <c r="AC253" i="3"/>
  <c r="P253" i="3" s="1"/>
  <c r="AC254" i="3"/>
  <c r="P254" i="3" s="1"/>
  <c r="AC255" i="3"/>
  <c r="P255" i="3" s="1"/>
  <c r="AC256" i="3"/>
  <c r="P256" i="3" s="1"/>
  <c r="AC257" i="3"/>
  <c r="P257" i="3" s="1"/>
  <c r="AC258" i="3"/>
  <c r="P258" i="3" s="1"/>
  <c r="AC259" i="3"/>
  <c r="P259" i="3" s="1"/>
  <c r="AC260" i="3"/>
  <c r="P260" i="3" s="1"/>
  <c r="AC261" i="3"/>
  <c r="P261" i="3" s="1"/>
  <c r="AC262" i="3"/>
  <c r="P262" i="3" s="1"/>
  <c r="AC263" i="3"/>
  <c r="P263" i="3" s="1"/>
  <c r="AC264" i="3"/>
  <c r="P264" i="3" s="1"/>
  <c r="AC265" i="3"/>
  <c r="P265" i="3" s="1"/>
  <c r="AC266" i="3"/>
  <c r="P266" i="3" s="1"/>
  <c r="AC267" i="3"/>
  <c r="P267" i="3" s="1"/>
  <c r="AC268" i="3"/>
  <c r="P268" i="3" s="1"/>
  <c r="AC269" i="3"/>
  <c r="P269" i="3" s="1"/>
  <c r="AC270" i="3"/>
  <c r="P270" i="3" s="1"/>
  <c r="AC271" i="3"/>
  <c r="P271" i="3" s="1"/>
  <c r="AC272" i="3"/>
  <c r="P272" i="3" s="1"/>
  <c r="AC273" i="3"/>
  <c r="P273" i="3" s="1"/>
  <c r="AC274" i="3"/>
  <c r="P274" i="3" s="1"/>
  <c r="AC275" i="3"/>
  <c r="P275" i="3" s="1"/>
  <c r="AC276" i="3"/>
  <c r="P276" i="3" s="1"/>
  <c r="AC277" i="3"/>
  <c r="P277" i="3" s="1"/>
  <c r="AC278" i="3"/>
  <c r="P278" i="3" s="1"/>
  <c r="AC279" i="3"/>
  <c r="P279" i="3" s="1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AI248" i="3"/>
  <c r="AH248" i="3"/>
  <c r="AE248" i="3"/>
  <c r="R248" i="3" s="1"/>
  <c r="AD248" i="3"/>
  <c r="AC248" i="3"/>
  <c r="P248" i="3" s="1"/>
  <c r="O248" i="3"/>
  <c r="K248" i="3"/>
  <c r="AI247" i="3"/>
  <c r="AH247" i="3"/>
  <c r="AE247" i="3"/>
  <c r="R247" i="3" s="1"/>
  <c r="AD247" i="3"/>
  <c r="AC247" i="3"/>
  <c r="P247" i="3" s="1"/>
  <c r="O247" i="3"/>
  <c r="K247" i="3"/>
  <c r="AI246" i="3"/>
  <c r="AH246" i="3"/>
  <c r="AE246" i="3"/>
  <c r="R246" i="3" s="1"/>
  <c r="AD246" i="3"/>
  <c r="AC246" i="3"/>
  <c r="P246" i="3" s="1"/>
  <c r="O246" i="3"/>
  <c r="K246" i="3"/>
  <c r="AI245" i="3"/>
  <c r="AH245" i="3"/>
  <c r="AE245" i="3"/>
  <c r="R245" i="3" s="1"/>
  <c r="AD245" i="3"/>
  <c r="AC245" i="3"/>
  <c r="P245" i="3" s="1"/>
  <c r="O245" i="3"/>
  <c r="K245" i="3"/>
  <c r="Q283" i="3" l="1"/>
  <c r="AF1142" i="3"/>
  <c r="AF1155" i="3"/>
  <c r="AF1140" i="3"/>
  <c r="AF1141" i="3"/>
  <c r="AF1133" i="3"/>
  <c r="AF1134" i="3"/>
  <c r="Q289" i="3"/>
  <c r="Q286" i="3"/>
  <c r="Q287" i="3"/>
  <c r="X287" i="3" s="1"/>
  <c r="Q285" i="3"/>
  <c r="S285" i="3" s="1"/>
  <c r="Q282" i="3"/>
  <c r="S282" i="3" s="1"/>
  <c r="Q290" i="3"/>
  <c r="S290" i="3" s="1"/>
  <c r="Q293" i="3"/>
  <c r="S293" i="3" s="1"/>
  <c r="X303" i="3"/>
  <c r="Q298" i="3"/>
  <c r="S298" i="3" s="1"/>
  <c r="X300" i="3"/>
  <c r="X299" i="3"/>
  <c r="X297" i="3"/>
  <c r="Q280" i="3"/>
  <c r="S280" i="3" s="1"/>
  <c r="AF265" i="3"/>
  <c r="Q284" i="3"/>
  <c r="S284" i="3" s="1"/>
  <c r="Q288" i="3"/>
  <c r="S288" i="3" s="1"/>
  <c r="Q302" i="3"/>
  <c r="S302" i="3" s="1"/>
  <c r="S283" i="3"/>
  <c r="S287" i="3"/>
  <c r="S291" i="3"/>
  <c r="S295" i="3"/>
  <c r="X301" i="3"/>
  <c r="V301" i="3"/>
  <c r="W301" i="3" s="1"/>
  <c r="S281" i="3"/>
  <c r="S289" i="3"/>
  <c r="S286" i="3"/>
  <c r="Q292" i="3"/>
  <c r="S292" i="3" s="1"/>
  <c r="S294" i="3"/>
  <c r="Q296" i="3"/>
  <c r="S296" i="3" s="1"/>
  <c r="V297" i="3"/>
  <c r="W297" i="3" s="1"/>
  <c r="AF254" i="3"/>
  <c r="X281" i="3"/>
  <c r="X289" i="3"/>
  <c r="X286" i="3"/>
  <c r="X294" i="3"/>
  <c r="X283" i="3"/>
  <c r="X291" i="3"/>
  <c r="X295" i="3"/>
  <c r="AF349" i="3"/>
  <c r="AF333" i="3"/>
  <c r="AF354" i="3"/>
  <c r="AF363" i="3"/>
  <c r="AF355" i="3"/>
  <c r="AF301" i="3"/>
  <c r="AG301" i="3"/>
  <c r="AG275" i="3"/>
  <c r="AF284" i="3"/>
  <c r="AG284" i="3"/>
  <c r="L248" i="3"/>
  <c r="L275" i="3"/>
  <c r="L271" i="3"/>
  <c r="L263" i="3"/>
  <c r="L259" i="3"/>
  <c r="L255" i="3"/>
  <c r="L274" i="3"/>
  <c r="L270" i="3"/>
  <c r="L262" i="3"/>
  <c r="L258" i="3"/>
  <c r="L250" i="3"/>
  <c r="L246" i="3"/>
  <c r="L277" i="3"/>
  <c r="L273" i="3"/>
  <c r="L269" i="3"/>
  <c r="L265" i="3"/>
  <c r="L261" i="3"/>
  <c r="L257" i="3"/>
  <c r="L253" i="3"/>
  <c r="L249" i="3"/>
  <c r="L279" i="3"/>
  <c r="L267" i="3"/>
  <c r="L251" i="3"/>
  <c r="L245" i="3"/>
  <c r="L278" i="3"/>
  <c r="L266" i="3"/>
  <c r="L254" i="3"/>
  <c r="L247" i="3"/>
  <c r="L276" i="3"/>
  <c r="L272" i="3"/>
  <c r="L268" i="3"/>
  <c r="L264" i="3"/>
  <c r="L260" i="3"/>
  <c r="L256" i="3"/>
  <c r="L252" i="3"/>
  <c r="Y278" i="3"/>
  <c r="Y274" i="3"/>
  <c r="Y270" i="3"/>
  <c r="Y266" i="3"/>
  <c r="Y262" i="3"/>
  <c r="Y258" i="3"/>
  <c r="Y254" i="3"/>
  <c r="Y250" i="3"/>
  <c r="Y248" i="3"/>
  <c r="Y276" i="3"/>
  <c r="Y272" i="3"/>
  <c r="Y260" i="3"/>
  <c r="Y256" i="3"/>
  <c r="Y246" i="3"/>
  <c r="Y245" i="3"/>
  <c r="Y261" i="3"/>
  <c r="Y247" i="3"/>
  <c r="Y273" i="3"/>
  <c r="Y265" i="3"/>
  <c r="Y249" i="3"/>
  <c r="Y277" i="3"/>
  <c r="Y269" i="3"/>
  <c r="Y257" i="3"/>
  <c r="Y253" i="3"/>
  <c r="Y264" i="3"/>
  <c r="Y268" i="3"/>
  <c r="Y252" i="3"/>
  <c r="Y279" i="3"/>
  <c r="Y275" i="3"/>
  <c r="Y271" i="3"/>
  <c r="Y267" i="3"/>
  <c r="Y263" i="3"/>
  <c r="Y259" i="3"/>
  <c r="Y255" i="3"/>
  <c r="Y251" i="3"/>
  <c r="X285" i="3" l="1"/>
  <c r="X282" i="3"/>
  <c r="X293" i="3"/>
  <c r="X290" i="3"/>
  <c r="X280" i="3"/>
  <c r="X298" i="3"/>
  <c r="X284" i="3"/>
  <c r="X302" i="3"/>
  <c r="X292" i="3"/>
  <c r="X288" i="3"/>
  <c r="X296" i="3"/>
  <c r="M252" i="3"/>
  <c r="V252" i="3" s="1"/>
  <c r="W252" i="3" s="1"/>
  <c r="N252" i="3"/>
  <c r="M260" i="3"/>
  <c r="V260" i="3" s="1"/>
  <c r="W260" i="3" s="1"/>
  <c r="N260" i="3"/>
  <c r="M268" i="3"/>
  <c r="V268" i="3" s="1"/>
  <c r="W268" i="3" s="1"/>
  <c r="N268" i="3"/>
  <c r="M276" i="3"/>
  <c r="V276" i="3" s="1"/>
  <c r="W276" i="3" s="1"/>
  <c r="N276" i="3"/>
  <c r="M254" i="3"/>
  <c r="Q254" i="3" s="1"/>
  <c r="S254" i="3" s="1"/>
  <c r="N254" i="3"/>
  <c r="M278" i="3"/>
  <c r="V278" i="3" s="1"/>
  <c r="W278" i="3" s="1"/>
  <c r="N278" i="3"/>
  <c r="M251" i="3"/>
  <c r="V251" i="3" s="1"/>
  <c r="W251" i="3" s="1"/>
  <c r="N251" i="3"/>
  <c r="M279" i="3"/>
  <c r="V279" i="3" s="1"/>
  <c r="W279" i="3" s="1"/>
  <c r="N279" i="3"/>
  <c r="M253" i="3"/>
  <c r="V253" i="3" s="1"/>
  <c r="W253" i="3" s="1"/>
  <c r="N253" i="3"/>
  <c r="M261" i="3"/>
  <c r="V261" i="3" s="1"/>
  <c r="W261" i="3" s="1"/>
  <c r="N261" i="3"/>
  <c r="M269" i="3"/>
  <c r="Q269" i="3" s="1"/>
  <c r="S269" i="3" s="1"/>
  <c r="N269" i="3"/>
  <c r="M277" i="3"/>
  <c r="Q277" i="3" s="1"/>
  <c r="S277" i="3" s="1"/>
  <c r="N277" i="3"/>
  <c r="M250" i="3"/>
  <c r="V250" i="3" s="1"/>
  <c r="W250" i="3" s="1"/>
  <c r="N250" i="3"/>
  <c r="M262" i="3"/>
  <c r="V262" i="3" s="1"/>
  <c r="W262" i="3" s="1"/>
  <c r="N262" i="3"/>
  <c r="M274" i="3"/>
  <c r="Q274" i="3" s="1"/>
  <c r="S274" i="3" s="1"/>
  <c r="N274" i="3"/>
  <c r="M259" i="3"/>
  <c r="V259" i="3" s="1"/>
  <c r="W259" i="3" s="1"/>
  <c r="N259" i="3"/>
  <c r="M271" i="3"/>
  <c r="V271" i="3" s="1"/>
  <c r="W271" i="3" s="1"/>
  <c r="N271" i="3"/>
  <c r="M248" i="3"/>
  <c r="V248" i="3" s="1"/>
  <c r="W248" i="3" s="1"/>
  <c r="N248" i="3"/>
  <c r="M256" i="3"/>
  <c r="V256" i="3" s="1"/>
  <c r="W256" i="3" s="1"/>
  <c r="N256" i="3"/>
  <c r="M264" i="3"/>
  <c r="V264" i="3" s="1"/>
  <c r="W264" i="3" s="1"/>
  <c r="N264" i="3"/>
  <c r="M272" i="3"/>
  <c r="V272" i="3" s="1"/>
  <c r="W272" i="3" s="1"/>
  <c r="N272" i="3"/>
  <c r="M247" i="3"/>
  <c r="V247" i="3" s="1"/>
  <c r="W247" i="3" s="1"/>
  <c r="N247" i="3"/>
  <c r="M266" i="3"/>
  <c r="Q266" i="3" s="1"/>
  <c r="S266" i="3" s="1"/>
  <c r="N266" i="3"/>
  <c r="M245" i="3"/>
  <c r="V245" i="3" s="1"/>
  <c r="W245" i="3" s="1"/>
  <c r="N245" i="3"/>
  <c r="M267" i="3"/>
  <c r="V267" i="3" s="1"/>
  <c r="W267" i="3" s="1"/>
  <c r="N267" i="3"/>
  <c r="M249" i="3"/>
  <c r="V249" i="3" s="1"/>
  <c r="W249" i="3" s="1"/>
  <c r="N249" i="3"/>
  <c r="M257" i="3"/>
  <c r="V257" i="3" s="1"/>
  <c r="W257" i="3" s="1"/>
  <c r="N257" i="3"/>
  <c r="M265" i="3"/>
  <c r="Q265" i="3" s="1"/>
  <c r="S265" i="3" s="1"/>
  <c r="N265" i="3"/>
  <c r="M273" i="3"/>
  <c r="V273" i="3" s="1"/>
  <c r="W273" i="3" s="1"/>
  <c r="N273" i="3"/>
  <c r="M246" i="3"/>
  <c r="Q246" i="3" s="1"/>
  <c r="S246" i="3" s="1"/>
  <c r="N246" i="3"/>
  <c r="M258" i="3"/>
  <c r="V258" i="3" s="1"/>
  <c r="W258" i="3" s="1"/>
  <c r="N258" i="3"/>
  <c r="M270" i="3"/>
  <c r="Q270" i="3" s="1"/>
  <c r="S270" i="3" s="1"/>
  <c r="N270" i="3"/>
  <c r="M255" i="3"/>
  <c r="Q255" i="3" s="1"/>
  <c r="S255" i="3" s="1"/>
  <c r="N255" i="3"/>
  <c r="M263" i="3"/>
  <c r="Q263" i="3" s="1"/>
  <c r="S263" i="3" s="1"/>
  <c r="N263" i="3"/>
  <c r="M275" i="3"/>
  <c r="Q275" i="3" s="1"/>
  <c r="S275" i="3" s="1"/>
  <c r="N275" i="3"/>
  <c r="Q268" i="3" l="1"/>
  <c r="S268" i="3" s="1"/>
  <c r="Q252" i="3"/>
  <c r="S252" i="3" s="1"/>
  <c r="X274" i="3"/>
  <c r="V274" i="3"/>
  <c r="W274" i="3" s="1"/>
  <c r="X254" i="3"/>
  <c r="Q256" i="3"/>
  <c r="S256" i="3" s="1"/>
  <c r="Q253" i="3"/>
  <c r="S253" i="3" s="1"/>
  <c r="Q251" i="3"/>
  <c r="S251" i="3" s="1"/>
  <c r="Q271" i="3"/>
  <c r="S271" i="3" s="1"/>
  <c r="V254" i="3"/>
  <c r="W254" i="3" s="1"/>
  <c r="V269" i="3"/>
  <c r="W269" i="3" s="1"/>
  <c r="Q272" i="3"/>
  <c r="S272" i="3" s="1"/>
  <c r="Q250" i="3"/>
  <c r="S250" i="3" s="1"/>
  <c r="X269" i="3"/>
  <c r="Q267" i="3"/>
  <c r="S267" i="3" s="1"/>
  <c r="Q258" i="3"/>
  <c r="S258" i="3" s="1"/>
  <c r="X275" i="3"/>
  <c r="X265" i="3"/>
  <c r="V266" i="3"/>
  <c r="W266" i="3" s="1"/>
  <c r="Q273" i="3"/>
  <c r="S273" i="3" s="1"/>
  <c r="Q276" i="3"/>
  <c r="S276" i="3" s="1"/>
  <c r="Q261" i="3"/>
  <c r="S261" i="3" s="1"/>
  <c r="X266" i="3"/>
  <c r="V275" i="3"/>
  <c r="W275" i="3" s="1"/>
  <c r="V255" i="3"/>
  <c r="W255" i="3" s="1"/>
  <c r="V277" i="3"/>
  <c r="W277" i="3" s="1"/>
  <c r="Q257" i="3"/>
  <c r="S257" i="3" s="1"/>
  <c r="X255" i="3"/>
  <c r="Q259" i="3"/>
  <c r="S259" i="3" s="1"/>
  <c r="Q245" i="3"/>
  <c r="S245" i="3" s="1"/>
  <c r="Q249" i="3"/>
  <c r="S249" i="3" s="1"/>
  <c r="Q262" i="3"/>
  <c r="S262" i="3" s="1"/>
  <c r="Q279" i="3"/>
  <c r="S279" i="3" s="1"/>
  <c r="Q278" i="3"/>
  <c r="S278" i="3" s="1"/>
  <c r="V265" i="3"/>
  <c r="W265" i="3" s="1"/>
  <c r="Q260" i="3"/>
  <c r="S260" i="3" s="1"/>
  <c r="Q248" i="3"/>
  <c r="S248" i="3" s="1"/>
  <c r="Q264" i="3"/>
  <c r="S264" i="3" s="1"/>
  <c r="Q247" i="3"/>
  <c r="S247" i="3" s="1"/>
  <c r="X246" i="3"/>
  <c r="V270" i="3"/>
  <c r="W270" i="3" s="1"/>
  <c r="V263" i="3"/>
  <c r="W263" i="3" s="1"/>
  <c r="X270" i="3"/>
  <c r="V246" i="3"/>
  <c r="W246" i="3" s="1"/>
  <c r="X263" i="3"/>
  <c r="X277" i="3"/>
  <c r="X248" i="3" l="1"/>
  <c r="X268" i="3"/>
  <c r="X252" i="3"/>
  <c r="X251" i="3"/>
  <c r="X256" i="3"/>
  <c r="X272" i="3"/>
  <c r="X253" i="3"/>
  <c r="X258" i="3"/>
  <c r="X271" i="3"/>
  <c r="X250" i="3"/>
  <c r="X267" i="3"/>
  <c r="X259" i="3"/>
  <c r="X278" i="3"/>
  <c r="X273" i="3"/>
  <c r="X261" i="3"/>
  <c r="X245" i="3"/>
  <c r="X264" i="3"/>
  <c r="X257" i="3"/>
  <c r="X276" i="3"/>
  <c r="X279" i="3"/>
  <c r="X260" i="3"/>
  <c r="X247" i="3"/>
  <c r="X262" i="3"/>
  <c r="X249" i="3"/>
  <c r="AI244" i="3"/>
  <c r="AH244" i="3"/>
  <c r="AE244" i="3"/>
  <c r="R244" i="3" s="1"/>
  <c r="AD244" i="3"/>
  <c r="AC244" i="3"/>
  <c r="P244" i="3" s="1"/>
  <c r="O244" i="3"/>
  <c r="K244" i="3"/>
  <c r="AI243" i="3"/>
  <c r="AH243" i="3"/>
  <c r="AE243" i="3"/>
  <c r="R243" i="3" s="1"/>
  <c r="AD243" i="3"/>
  <c r="AC243" i="3"/>
  <c r="P243" i="3" s="1"/>
  <c r="O243" i="3"/>
  <c r="K243" i="3"/>
  <c r="AI179" i="3"/>
  <c r="AH179" i="3"/>
  <c r="AE179" i="3"/>
  <c r="R179" i="3" s="1"/>
  <c r="AD179" i="3"/>
  <c r="AC179" i="3"/>
  <c r="P179" i="3" s="1"/>
  <c r="O179" i="3"/>
  <c r="K179" i="3"/>
  <c r="AI242" i="3"/>
  <c r="AH242" i="3"/>
  <c r="AE242" i="3"/>
  <c r="R242" i="3" s="1"/>
  <c r="AD242" i="3"/>
  <c r="AC242" i="3"/>
  <c r="P242" i="3" s="1"/>
  <c r="O242" i="3"/>
  <c r="K242" i="3"/>
  <c r="AI241" i="3"/>
  <c r="AH241" i="3"/>
  <c r="AE241" i="3"/>
  <c r="R241" i="3" s="1"/>
  <c r="AD241" i="3"/>
  <c r="AC241" i="3"/>
  <c r="P241" i="3" s="1"/>
  <c r="O241" i="3"/>
  <c r="K241" i="3"/>
  <c r="AI240" i="3"/>
  <c r="AH240" i="3"/>
  <c r="AE240" i="3"/>
  <c r="R240" i="3" s="1"/>
  <c r="AD240" i="3"/>
  <c r="AC240" i="3"/>
  <c r="P240" i="3" s="1"/>
  <c r="O240" i="3"/>
  <c r="K240" i="3"/>
  <c r="AI239" i="3"/>
  <c r="AH239" i="3"/>
  <c r="AE239" i="3"/>
  <c r="R239" i="3" s="1"/>
  <c r="AD239" i="3"/>
  <c r="AC239" i="3"/>
  <c r="P239" i="3" s="1"/>
  <c r="O239" i="3"/>
  <c r="K239" i="3"/>
  <c r="AI238" i="3"/>
  <c r="AH238" i="3"/>
  <c r="AE238" i="3"/>
  <c r="R238" i="3" s="1"/>
  <c r="AD238" i="3"/>
  <c r="AC238" i="3"/>
  <c r="P238" i="3" s="1"/>
  <c r="O238" i="3"/>
  <c r="K238" i="3"/>
  <c r="AI237" i="3"/>
  <c r="AH237" i="3"/>
  <c r="AE237" i="3"/>
  <c r="R237" i="3" s="1"/>
  <c r="AD237" i="3"/>
  <c r="AC237" i="3"/>
  <c r="P237" i="3" s="1"/>
  <c r="O237" i="3"/>
  <c r="K237" i="3"/>
  <c r="AI236" i="3"/>
  <c r="AH236" i="3"/>
  <c r="AE236" i="3"/>
  <c r="R236" i="3" s="1"/>
  <c r="AD236" i="3"/>
  <c r="AC236" i="3"/>
  <c r="P236" i="3" s="1"/>
  <c r="O236" i="3"/>
  <c r="K236" i="3"/>
  <c r="AI235" i="3"/>
  <c r="AH235" i="3"/>
  <c r="AE235" i="3"/>
  <c r="R235" i="3" s="1"/>
  <c r="AD235" i="3"/>
  <c r="AC235" i="3"/>
  <c r="P235" i="3" s="1"/>
  <c r="O235" i="3"/>
  <c r="K235" i="3"/>
  <c r="AI234" i="3"/>
  <c r="AH234" i="3"/>
  <c r="AE234" i="3"/>
  <c r="R234" i="3" s="1"/>
  <c r="AD234" i="3"/>
  <c r="AC234" i="3"/>
  <c r="P234" i="3" s="1"/>
  <c r="O234" i="3"/>
  <c r="K234" i="3"/>
  <c r="AI233" i="3"/>
  <c r="AH233" i="3"/>
  <c r="AE233" i="3"/>
  <c r="R233" i="3" s="1"/>
  <c r="AD233" i="3"/>
  <c r="AC233" i="3"/>
  <c r="P233" i="3" s="1"/>
  <c r="O233" i="3"/>
  <c r="K233" i="3"/>
  <c r="AI232" i="3"/>
  <c r="AH232" i="3"/>
  <c r="AE232" i="3"/>
  <c r="R232" i="3" s="1"/>
  <c r="AD232" i="3"/>
  <c r="AC232" i="3"/>
  <c r="P232" i="3" s="1"/>
  <c r="O232" i="3"/>
  <c r="K232" i="3"/>
  <c r="AI231" i="3"/>
  <c r="AH231" i="3"/>
  <c r="AE231" i="3"/>
  <c r="R231" i="3" s="1"/>
  <c r="AD231" i="3"/>
  <c r="AC231" i="3"/>
  <c r="P231" i="3" s="1"/>
  <c r="O231" i="3"/>
  <c r="K231" i="3"/>
  <c r="AI230" i="3"/>
  <c r="AH230" i="3"/>
  <c r="AE230" i="3"/>
  <c r="R230" i="3" s="1"/>
  <c r="AD230" i="3"/>
  <c r="AC230" i="3"/>
  <c r="P230" i="3" s="1"/>
  <c r="O230" i="3"/>
  <c r="K230" i="3"/>
  <c r="AI229" i="3"/>
  <c r="AH229" i="3"/>
  <c r="AE229" i="3"/>
  <c r="R229" i="3" s="1"/>
  <c r="AD229" i="3"/>
  <c r="AC229" i="3"/>
  <c r="P229" i="3" s="1"/>
  <c r="O229" i="3"/>
  <c r="K229" i="3"/>
  <c r="AI228" i="3"/>
  <c r="AH228" i="3"/>
  <c r="AE228" i="3"/>
  <c r="R228" i="3" s="1"/>
  <c r="AD228" i="3"/>
  <c r="AC228" i="3"/>
  <c r="P228" i="3" s="1"/>
  <c r="O228" i="3"/>
  <c r="K228" i="3"/>
  <c r="AI227" i="3"/>
  <c r="AH227" i="3"/>
  <c r="AE227" i="3"/>
  <c r="R227" i="3" s="1"/>
  <c r="AD227" i="3"/>
  <c r="AC227" i="3"/>
  <c r="P227" i="3" s="1"/>
  <c r="O227" i="3"/>
  <c r="K227" i="3"/>
  <c r="AI226" i="3"/>
  <c r="AH226" i="3"/>
  <c r="AE226" i="3"/>
  <c r="R226" i="3" s="1"/>
  <c r="AD226" i="3"/>
  <c r="AC226" i="3"/>
  <c r="P226" i="3" s="1"/>
  <c r="O226" i="3"/>
  <c r="K226" i="3"/>
  <c r="AI225" i="3"/>
  <c r="AH225" i="3"/>
  <c r="AE225" i="3"/>
  <c r="R225" i="3" s="1"/>
  <c r="AD225" i="3"/>
  <c r="AC225" i="3"/>
  <c r="P225" i="3" s="1"/>
  <c r="O225" i="3"/>
  <c r="K225" i="3"/>
  <c r="AI224" i="3"/>
  <c r="AH224" i="3"/>
  <c r="AE224" i="3"/>
  <c r="R224" i="3" s="1"/>
  <c r="AD224" i="3"/>
  <c r="AC224" i="3"/>
  <c r="P224" i="3" s="1"/>
  <c r="O224" i="3"/>
  <c r="K224" i="3"/>
  <c r="AI223" i="3"/>
  <c r="AH223" i="3"/>
  <c r="AE223" i="3"/>
  <c r="R223" i="3" s="1"/>
  <c r="AD223" i="3"/>
  <c r="AC223" i="3"/>
  <c r="P223" i="3" s="1"/>
  <c r="O223" i="3"/>
  <c r="K223" i="3"/>
  <c r="AI222" i="3"/>
  <c r="AH222" i="3"/>
  <c r="AE222" i="3"/>
  <c r="R222" i="3" s="1"/>
  <c r="AD222" i="3"/>
  <c r="AC222" i="3"/>
  <c r="P222" i="3" s="1"/>
  <c r="O222" i="3"/>
  <c r="K222" i="3"/>
  <c r="AI221" i="3"/>
  <c r="AH221" i="3"/>
  <c r="AE221" i="3"/>
  <c r="R221" i="3" s="1"/>
  <c r="AD221" i="3"/>
  <c r="AC221" i="3"/>
  <c r="P221" i="3" s="1"/>
  <c r="O221" i="3"/>
  <c r="K221" i="3"/>
  <c r="AI220" i="3"/>
  <c r="AH220" i="3"/>
  <c r="AG220" i="3"/>
  <c r="AE220" i="3"/>
  <c r="R220" i="3" s="1"/>
  <c r="AD220" i="3"/>
  <c r="AC220" i="3"/>
  <c r="P220" i="3" s="1"/>
  <c r="O220" i="3"/>
  <c r="K220" i="3"/>
  <c r="AI219" i="3"/>
  <c r="AH219" i="3"/>
  <c r="AE219" i="3"/>
  <c r="R219" i="3" s="1"/>
  <c r="AD219" i="3"/>
  <c r="AC219" i="3"/>
  <c r="P219" i="3" s="1"/>
  <c r="O219" i="3"/>
  <c r="K219" i="3"/>
  <c r="AI218" i="3"/>
  <c r="AH218" i="3"/>
  <c r="AE218" i="3"/>
  <c r="R218" i="3" s="1"/>
  <c r="AD218" i="3"/>
  <c r="AC218" i="3"/>
  <c r="P218" i="3" s="1"/>
  <c r="O218" i="3"/>
  <c r="K218" i="3"/>
  <c r="AI217" i="3"/>
  <c r="AH217" i="3"/>
  <c r="AE217" i="3"/>
  <c r="R217" i="3" s="1"/>
  <c r="AD217" i="3"/>
  <c r="AC217" i="3"/>
  <c r="P217" i="3" s="1"/>
  <c r="O217" i="3"/>
  <c r="K217" i="3"/>
  <c r="AI216" i="3"/>
  <c r="AH216" i="3"/>
  <c r="AE216" i="3"/>
  <c r="R216" i="3" s="1"/>
  <c r="AD216" i="3"/>
  <c r="AC216" i="3"/>
  <c r="P216" i="3" s="1"/>
  <c r="O216" i="3"/>
  <c r="K216" i="3"/>
  <c r="E181" i="1"/>
  <c r="AF575" i="3" s="1"/>
  <c r="E180" i="1"/>
  <c r="AF569" i="3" s="1"/>
  <c r="E56" i="1"/>
  <c r="E110" i="1"/>
  <c r="AF232" i="3" s="1"/>
  <c r="E68" i="1"/>
  <c r="E69" i="1"/>
  <c r="AF179" i="3" s="1"/>
  <c r="E47" i="1"/>
  <c r="AF793" i="3" s="1"/>
  <c r="AI215" i="3"/>
  <c r="AH215" i="3"/>
  <c r="AG215" i="3"/>
  <c r="AE215" i="3"/>
  <c r="R215" i="3" s="1"/>
  <c r="AD215" i="3"/>
  <c r="AC215" i="3"/>
  <c r="P215" i="3" s="1"/>
  <c r="O215" i="3"/>
  <c r="K215" i="3"/>
  <c r="AI214" i="3"/>
  <c r="AH214" i="3"/>
  <c r="AE214" i="3"/>
  <c r="R214" i="3" s="1"/>
  <c r="AD214" i="3"/>
  <c r="AC214" i="3"/>
  <c r="P214" i="3" s="1"/>
  <c r="O214" i="3"/>
  <c r="K214" i="3"/>
  <c r="AI213" i="3"/>
  <c r="AH213" i="3"/>
  <c r="AE213" i="3"/>
  <c r="R213" i="3" s="1"/>
  <c r="AD213" i="3"/>
  <c r="AC213" i="3"/>
  <c r="P213" i="3" s="1"/>
  <c r="O213" i="3"/>
  <c r="K213" i="3"/>
  <c r="AI212" i="3"/>
  <c r="AH212" i="3"/>
  <c r="AE212" i="3"/>
  <c r="R212" i="3" s="1"/>
  <c r="AD212" i="3"/>
  <c r="AC212" i="3"/>
  <c r="P212" i="3" s="1"/>
  <c r="O212" i="3"/>
  <c r="K212" i="3"/>
  <c r="AI211" i="3"/>
  <c r="AH211" i="3"/>
  <c r="AE211" i="3"/>
  <c r="R211" i="3" s="1"/>
  <c r="AD211" i="3"/>
  <c r="AC211" i="3"/>
  <c r="P211" i="3" s="1"/>
  <c r="O211" i="3"/>
  <c r="K211" i="3"/>
  <c r="AI210" i="3"/>
  <c r="AH210" i="3"/>
  <c r="AE210" i="3"/>
  <c r="R210" i="3" s="1"/>
  <c r="AD210" i="3"/>
  <c r="AC210" i="3"/>
  <c r="P210" i="3" s="1"/>
  <c r="O210" i="3"/>
  <c r="K210" i="3"/>
  <c r="AI209" i="3"/>
  <c r="AH209" i="3"/>
  <c r="AE209" i="3"/>
  <c r="R209" i="3" s="1"/>
  <c r="AD209" i="3"/>
  <c r="AC209" i="3"/>
  <c r="P209" i="3" s="1"/>
  <c r="O209" i="3"/>
  <c r="K209" i="3"/>
  <c r="AI208" i="3"/>
  <c r="AH208" i="3"/>
  <c r="AE208" i="3"/>
  <c r="R208" i="3" s="1"/>
  <c r="AD208" i="3"/>
  <c r="AC208" i="3"/>
  <c r="P208" i="3" s="1"/>
  <c r="O208" i="3"/>
  <c r="K208" i="3"/>
  <c r="AI207" i="3"/>
  <c r="AH207" i="3"/>
  <c r="AE207" i="3"/>
  <c r="R207" i="3" s="1"/>
  <c r="AD207" i="3"/>
  <c r="AC207" i="3"/>
  <c r="P207" i="3" s="1"/>
  <c r="O207" i="3"/>
  <c r="K207" i="3"/>
  <c r="AI206" i="3"/>
  <c r="AH206" i="3"/>
  <c r="AE206" i="3"/>
  <c r="R206" i="3" s="1"/>
  <c r="AD206" i="3"/>
  <c r="AC206" i="3"/>
  <c r="P206" i="3" s="1"/>
  <c r="O206" i="3"/>
  <c r="K206" i="3"/>
  <c r="AI205" i="3"/>
  <c r="AH205" i="3"/>
  <c r="AE205" i="3"/>
  <c r="R205" i="3" s="1"/>
  <c r="AD205" i="3"/>
  <c r="AC205" i="3"/>
  <c r="P205" i="3" s="1"/>
  <c r="O205" i="3"/>
  <c r="K205" i="3"/>
  <c r="AI204" i="3"/>
  <c r="AH204" i="3"/>
  <c r="AE204" i="3"/>
  <c r="R204" i="3" s="1"/>
  <c r="AD204" i="3"/>
  <c r="AC204" i="3"/>
  <c r="P204" i="3" s="1"/>
  <c r="O204" i="3"/>
  <c r="K204" i="3"/>
  <c r="AI203" i="3"/>
  <c r="AH203" i="3"/>
  <c r="AE203" i="3"/>
  <c r="R203" i="3" s="1"/>
  <c r="AD203" i="3"/>
  <c r="AC203" i="3"/>
  <c r="P203" i="3" s="1"/>
  <c r="O203" i="3"/>
  <c r="K203" i="3"/>
  <c r="AI202" i="3"/>
  <c r="AH202" i="3"/>
  <c r="AE202" i="3"/>
  <c r="R202" i="3" s="1"/>
  <c r="AD202" i="3"/>
  <c r="AC202" i="3"/>
  <c r="P202" i="3" s="1"/>
  <c r="O202" i="3"/>
  <c r="K202" i="3"/>
  <c r="AI201" i="3"/>
  <c r="AH201" i="3"/>
  <c r="AE201" i="3"/>
  <c r="R201" i="3" s="1"/>
  <c r="AD201" i="3"/>
  <c r="AC201" i="3"/>
  <c r="P201" i="3" s="1"/>
  <c r="O201" i="3"/>
  <c r="K201" i="3"/>
  <c r="AI200" i="3"/>
  <c r="AH200" i="3"/>
  <c r="AE200" i="3"/>
  <c r="R200" i="3" s="1"/>
  <c r="AD200" i="3"/>
  <c r="AC200" i="3"/>
  <c r="P200" i="3" s="1"/>
  <c r="O200" i="3"/>
  <c r="K200" i="3"/>
  <c r="AI199" i="3"/>
  <c r="AH199" i="3"/>
  <c r="AE199" i="3"/>
  <c r="R199" i="3" s="1"/>
  <c r="AD199" i="3"/>
  <c r="AC199" i="3"/>
  <c r="P199" i="3" s="1"/>
  <c r="O199" i="3"/>
  <c r="K199" i="3"/>
  <c r="AI198" i="3"/>
  <c r="AH198" i="3"/>
  <c r="AE198" i="3"/>
  <c r="R198" i="3" s="1"/>
  <c r="AD198" i="3"/>
  <c r="AC198" i="3"/>
  <c r="P198" i="3" s="1"/>
  <c r="O198" i="3"/>
  <c r="K198" i="3"/>
  <c r="AI197" i="3"/>
  <c r="AH197" i="3"/>
  <c r="AE197" i="3"/>
  <c r="R197" i="3" s="1"/>
  <c r="AD197" i="3"/>
  <c r="AC197" i="3"/>
  <c r="P197" i="3" s="1"/>
  <c r="O197" i="3"/>
  <c r="K197" i="3"/>
  <c r="AI196" i="3"/>
  <c r="AH196" i="3"/>
  <c r="AE196" i="3"/>
  <c r="R196" i="3" s="1"/>
  <c r="AD196" i="3"/>
  <c r="AC196" i="3"/>
  <c r="P196" i="3" s="1"/>
  <c r="O196" i="3"/>
  <c r="K196" i="3"/>
  <c r="AI195" i="3"/>
  <c r="AH195" i="3"/>
  <c r="AE195" i="3"/>
  <c r="R195" i="3" s="1"/>
  <c r="AD195" i="3"/>
  <c r="AC195" i="3"/>
  <c r="P195" i="3" s="1"/>
  <c r="O195" i="3"/>
  <c r="K195" i="3"/>
  <c r="AI194" i="3"/>
  <c r="AH194" i="3"/>
  <c r="AE194" i="3"/>
  <c r="R194" i="3" s="1"/>
  <c r="AD194" i="3"/>
  <c r="AC194" i="3"/>
  <c r="P194" i="3" s="1"/>
  <c r="O194" i="3"/>
  <c r="K194" i="3"/>
  <c r="AI193" i="3"/>
  <c r="AH193" i="3"/>
  <c r="AE193" i="3"/>
  <c r="R193" i="3" s="1"/>
  <c r="AD193" i="3"/>
  <c r="AC193" i="3"/>
  <c r="P193" i="3" s="1"/>
  <c r="O193" i="3"/>
  <c r="K193" i="3"/>
  <c r="AI192" i="3"/>
  <c r="AH192" i="3"/>
  <c r="AE192" i="3"/>
  <c r="R192" i="3" s="1"/>
  <c r="AD192" i="3"/>
  <c r="AC192" i="3"/>
  <c r="P192" i="3" s="1"/>
  <c r="O192" i="3"/>
  <c r="K192" i="3"/>
  <c r="AI191" i="3"/>
  <c r="AH191" i="3"/>
  <c r="AE191" i="3"/>
  <c r="R191" i="3" s="1"/>
  <c r="AD191" i="3"/>
  <c r="AC191" i="3"/>
  <c r="P191" i="3" s="1"/>
  <c r="O191" i="3"/>
  <c r="K191" i="3"/>
  <c r="AI190" i="3"/>
  <c r="AH190" i="3"/>
  <c r="AE190" i="3"/>
  <c r="R190" i="3" s="1"/>
  <c r="AD190" i="3"/>
  <c r="AC190" i="3"/>
  <c r="P190" i="3" s="1"/>
  <c r="O190" i="3"/>
  <c r="K190" i="3"/>
  <c r="AI189" i="3"/>
  <c r="AH189" i="3"/>
  <c r="AE189" i="3"/>
  <c r="R189" i="3" s="1"/>
  <c r="AD189" i="3"/>
  <c r="AC189" i="3"/>
  <c r="P189" i="3" s="1"/>
  <c r="O189" i="3"/>
  <c r="K189" i="3"/>
  <c r="AI188" i="3"/>
  <c r="AH188" i="3"/>
  <c r="AE188" i="3"/>
  <c r="R188" i="3" s="1"/>
  <c r="AD188" i="3"/>
  <c r="AC188" i="3"/>
  <c r="P188" i="3" s="1"/>
  <c r="O188" i="3"/>
  <c r="K188" i="3"/>
  <c r="AI187" i="3"/>
  <c r="AH187" i="3"/>
  <c r="AE187" i="3"/>
  <c r="R187" i="3" s="1"/>
  <c r="AD187" i="3"/>
  <c r="AC187" i="3"/>
  <c r="P187" i="3" s="1"/>
  <c r="O187" i="3"/>
  <c r="K187" i="3"/>
  <c r="AI186" i="3"/>
  <c r="AH186" i="3"/>
  <c r="AE186" i="3"/>
  <c r="R186" i="3" s="1"/>
  <c r="AD186" i="3"/>
  <c r="AC186" i="3"/>
  <c r="P186" i="3" s="1"/>
  <c r="O186" i="3"/>
  <c r="K186" i="3"/>
  <c r="AI185" i="3"/>
  <c r="AH185" i="3"/>
  <c r="AE185" i="3"/>
  <c r="R185" i="3" s="1"/>
  <c r="AD185" i="3"/>
  <c r="AC185" i="3"/>
  <c r="P185" i="3" s="1"/>
  <c r="O185" i="3"/>
  <c r="K185" i="3"/>
  <c r="AI184" i="3"/>
  <c r="AH184" i="3"/>
  <c r="AE184" i="3"/>
  <c r="R184" i="3" s="1"/>
  <c r="AD184" i="3"/>
  <c r="AC184" i="3"/>
  <c r="P184" i="3" s="1"/>
  <c r="O184" i="3"/>
  <c r="K184" i="3"/>
  <c r="AI183" i="3"/>
  <c r="AH183" i="3"/>
  <c r="AE183" i="3"/>
  <c r="R183" i="3" s="1"/>
  <c r="AD183" i="3"/>
  <c r="AC183" i="3"/>
  <c r="P183" i="3" s="1"/>
  <c r="O183" i="3"/>
  <c r="K183" i="3"/>
  <c r="AI182" i="3"/>
  <c r="AH182" i="3"/>
  <c r="AE182" i="3"/>
  <c r="R182" i="3" s="1"/>
  <c r="AD182" i="3"/>
  <c r="AC182" i="3"/>
  <c r="P182" i="3" s="1"/>
  <c r="O182" i="3"/>
  <c r="K182" i="3"/>
  <c r="AI181" i="3"/>
  <c r="AH181" i="3"/>
  <c r="AE181" i="3"/>
  <c r="R181" i="3" s="1"/>
  <c r="AD181" i="3"/>
  <c r="AC181" i="3"/>
  <c r="P181" i="3" s="1"/>
  <c r="O181" i="3"/>
  <c r="K181" i="3"/>
  <c r="AI180" i="3"/>
  <c r="AH180" i="3"/>
  <c r="AE180" i="3"/>
  <c r="R180" i="3" s="1"/>
  <c r="AD180" i="3"/>
  <c r="AC180" i="3"/>
  <c r="P180" i="3" s="1"/>
  <c r="O180" i="3"/>
  <c r="K180" i="3"/>
  <c r="AI178" i="3"/>
  <c r="AH178" i="3"/>
  <c r="AE178" i="3"/>
  <c r="R178" i="3" s="1"/>
  <c r="AD178" i="3"/>
  <c r="AC178" i="3"/>
  <c r="P178" i="3" s="1"/>
  <c r="O178" i="3"/>
  <c r="K178" i="3"/>
  <c r="AI177" i="3"/>
  <c r="AH177" i="3"/>
  <c r="AE177" i="3"/>
  <c r="R177" i="3" s="1"/>
  <c r="AD177" i="3"/>
  <c r="AC177" i="3"/>
  <c r="P177" i="3" s="1"/>
  <c r="O177" i="3"/>
  <c r="K177" i="3"/>
  <c r="AI176" i="3"/>
  <c r="AH176" i="3"/>
  <c r="AE176" i="3"/>
  <c r="R176" i="3" s="1"/>
  <c r="AD176" i="3"/>
  <c r="AC176" i="3"/>
  <c r="P176" i="3" s="1"/>
  <c r="O176" i="3"/>
  <c r="K176" i="3"/>
  <c r="AI175" i="3"/>
  <c r="AH175" i="3"/>
  <c r="AE175" i="3"/>
  <c r="R175" i="3" s="1"/>
  <c r="AD175" i="3"/>
  <c r="AC175" i="3"/>
  <c r="P175" i="3" s="1"/>
  <c r="O175" i="3"/>
  <c r="K175" i="3"/>
  <c r="AI174" i="3"/>
  <c r="AH174" i="3"/>
  <c r="AE174" i="3"/>
  <c r="R174" i="3" s="1"/>
  <c r="AD174" i="3"/>
  <c r="AC174" i="3"/>
  <c r="P174" i="3" s="1"/>
  <c r="O174" i="3"/>
  <c r="K174" i="3"/>
  <c r="AI173" i="3"/>
  <c r="AH173" i="3"/>
  <c r="AE173" i="3"/>
  <c r="R173" i="3" s="1"/>
  <c r="AD173" i="3"/>
  <c r="AC173" i="3"/>
  <c r="P173" i="3" s="1"/>
  <c r="O173" i="3"/>
  <c r="K173" i="3"/>
  <c r="AI172" i="3"/>
  <c r="AH172" i="3"/>
  <c r="AE172" i="3"/>
  <c r="R172" i="3" s="1"/>
  <c r="AD172" i="3"/>
  <c r="AC172" i="3"/>
  <c r="P172" i="3" s="1"/>
  <c r="O172" i="3"/>
  <c r="K172" i="3"/>
  <c r="AI171" i="3"/>
  <c r="AH171" i="3"/>
  <c r="AE171" i="3"/>
  <c r="R171" i="3" s="1"/>
  <c r="AD171" i="3"/>
  <c r="AC171" i="3"/>
  <c r="P171" i="3" s="1"/>
  <c r="O171" i="3"/>
  <c r="K171" i="3"/>
  <c r="AI170" i="3"/>
  <c r="AH170" i="3"/>
  <c r="AE170" i="3"/>
  <c r="R170" i="3" s="1"/>
  <c r="AD170" i="3"/>
  <c r="AC170" i="3"/>
  <c r="P170" i="3" s="1"/>
  <c r="O170" i="3"/>
  <c r="K170" i="3"/>
  <c r="AI169" i="3"/>
  <c r="AH169" i="3"/>
  <c r="AE169" i="3"/>
  <c r="R169" i="3" s="1"/>
  <c r="AD169" i="3"/>
  <c r="AC169" i="3"/>
  <c r="P169" i="3" s="1"/>
  <c r="O169" i="3"/>
  <c r="K169" i="3"/>
  <c r="AI168" i="3"/>
  <c r="AH168" i="3"/>
  <c r="AE168" i="3"/>
  <c r="R168" i="3" s="1"/>
  <c r="AD168" i="3"/>
  <c r="AC168" i="3"/>
  <c r="P168" i="3" s="1"/>
  <c r="O168" i="3"/>
  <c r="K168" i="3"/>
  <c r="AI167" i="3"/>
  <c r="AH167" i="3"/>
  <c r="AE167" i="3"/>
  <c r="R167" i="3" s="1"/>
  <c r="AD167" i="3"/>
  <c r="AC167" i="3"/>
  <c r="P167" i="3" s="1"/>
  <c r="O167" i="3"/>
  <c r="K167" i="3"/>
  <c r="AI166" i="3"/>
  <c r="AH166" i="3"/>
  <c r="AE166" i="3"/>
  <c r="R166" i="3" s="1"/>
  <c r="AD166" i="3"/>
  <c r="AC166" i="3"/>
  <c r="P166" i="3" s="1"/>
  <c r="O166" i="3"/>
  <c r="K166" i="3"/>
  <c r="AI165" i="3"/>
  <c r="AH165" i="3"/>
  <c r="AE165" i="3"/>
  <c r="R165" i="3" s="1"/>
  <c r="AD165" i="3"/>
  <c r="AC165" i="3"/>
  <c r="P165" i="3" s="1"/>
  <c r="O165" i="3"/>
  <c r="K165" i="3"/>
  <c r="AI164" i="3"/>
  <c r="AH164" i="3"/>
  <c r="AE164" i="3"/>
  <c r="R164" i="3" s="1"/>
  <c r="AD164" i="3"/>
  <c r="AC164" i="3"/>
  <c r="P164" i="3" s="1"/>
  <c r="O164" i="3"/>
  <c r="K164" i="3"/>
  <c r="AI163" i="3"/>
  <c r="AH163" i="3"/>
  <c r="AE163" i="3"/>
  <c r="R163" i="3" s="1"/>
  <c r="AD163" i="3"/>
  <c r="AC163" i="3"/>
  <c r="P163" i="3" s="1"/>
  <c r="O163" i="3"/>
  <c r="K163" i="3"/>
  <c r="AI162" i="3"/>
  <c r="AH162" i="3"/>
  <c r="AE162" i="3"/>
  <c r="R162" i="3" s="1"/>
  <c r="AD162" i="3"/>
  <c r="AC162" i="3"/>
  <c r="P162" i="3" s="1"/>
  <c r="O162" i="3"/>
  <c r="K162" i="3"/>
  <c r="AI161" i="3"/>
  <c r="AH161" i="3"/>
  <c r="AE161" i="3"/>
  <c r="R161" i="3" s="1"/>
  <c r="AD161" i="3"/>
  <c r="AC161" i="3"/>
  <c r="P161" i="3" s="1"/>
  <c r="O161" i="3"/>
  <c r="K161" i="3"/>
  <c r="AI160" i="3"/>
  <c r="AH160" i="3"/>
  <c r="AE160" i="3"/>
  <c r="R160" i="3" s="1"/>
  <c r="AD160" i="3"/>
  <c r="AC160" i="3"/>
  <c r="P160" i="3" s="1"/>
  <c r="O160" i="3"/>
  <c r="K160" i="3"/>
  <c r="AI159" i="3"/>
  <c r="AH159" i="3"/>
  <c r="AE159" i="3"/>
  <c r="R159" i="3" s="1"/>
  <c r="AD159" i="3"/>
  <c r="AC159" i="3"/>
  <c r="P159" i="3" s="1"/>
  <c r="O159" i="3"/>
  <c r="K159" i="3"/>
  <c r="AI158" i="3"/>
  <c r="AH158" i="3"/>
  <c r="AE158" i="3"/>
  <c r="R158" i="3" s="1"/>
  <c r="AD158" i="3"/>
  <c r="AC158" i="3"/>
  <c r="P158" i="3" s="1"/>
  <c r="O158" i="3"/>
  <c r="K158" i="3"/>
  <c r="AI157" i="3"/>
  <c r="AH157" i="3"/>
  <c r="AE157" i="3"/>
  <c r="R157" i="3" s="1"/>
  <c r="AD157" i="3"/>
  <c r="AC157" i="3"/>
  <c r="P157" i="3" s="1"/>
  <c r="O157" i="3"/>
  <c r="K157" i="3"/>
  <c r="AI156" i="3"/>
  <c r="AH156" i="3"/>
  <c r="AE156" i="3"/>
  <c r="R156" i="3" s="1"/>
  <c r="AD156" i="3"/>
  <c r="AC156" i="3"/>
  <c r="P156" i="3" s="1"/>
  <c r="O156" i="3"/>
  <c r="K156" i="3"/>
  <c r="AI155" i="3"/>
  <c r="AH155" i="3"/>
  <c r="AE155" i="3"/>
  <c r="R155" i="3" s="1"/>
  <c r="AD155" i="3"/>
  <c r="AC155" i="3"/>
  <c r="P155" i="3" s="1"/>
  <c r="O155" i="3"/>
  <c r="K155" i="3"/>
  <c r="AI154" i="3"/>
  <c r="AH154" i="3"/>
  <c r="AE154" i="3"/>
  <c r="R154" i="3" s="1"/>
  <c r="AD154" i="3"/>
  <c r="AC154" i="3"/>
  <c r="P154" i="3" s="1"/>
  <c r="O154" i="3"/>
  <c r="K154" i="3"/>
  <c r="K153" i="3"/>
  <c r="O153" i="3"/>
  <c r="AC153" i="3"/>
  <c r="P153" i="3" s="1"/>
  <c r="AD153" i="3"/>
  <c r="AE153" i="3"/>
  <c r="R153" i="3" s="1"/>
  <c r="AH153" i="3"/>
  <c r="AI153" i="3"/>
  <c r="K152" i="3"/>
  <c r="O152" i="3"/>
  <c r="AC152" i="3"/>
  <c r="P152" i="3" s="1"/>
  <c r="AD152" i="3"/>
  <c r="AE152" i="3"/>
  <c r="R152" i="3" s="1"/>
  <c r="AH152" i="3"/>
  <c r="AI152" i="3"/>
  <c r="K151" i="3"/>
  <c r="O151" i="3"/>
  <c r="AC151" i="3"/>
  <c r="P151" i="3" s="1"/>
  <c r="AD151" i="3"/>
  <c r="AE151" i="3"/>
  <c r="R151" i="3" s="1"/>
  <c r="AH151" i="3"/>
  <c r="AI151" i="3"/>
  <c r="K150" i="3"/>
  <c r="O150" i="3"/>
  <c r="AC150" i="3"/>
  <c r="P150" i="3" s="1"/>
  <c r="AD150" i="3"/>
  <c r="AE150" i="3"/>
  <c r="R150" i="3" s="1"/>
  <c r="AH150" i="3"/>
  <c r="AI150" i="3"/>
  <c r="K149" i="3"/>
  <c r="O149" i="3"/>
  <c r="AC149" i="3"/>
  <c r="P149" i="3" s="1"/>
  <c r="AD149" i="3"/>
  <c r="AE149" i="3"/>
  <c r="R149" i="3" s="1"/>
  <c r="AH149" i="3"/>
  <c r="AI149" i="3"/>
  <c r="K148" i="3"/>
  <c r="O148" i="3"/>
  <c r="AC148" i="3"/>
  <c r="P148" i="3" s="1"/>
  <c r="AD148" i="3"/>
  <c r="AE148" i="3"/>
  <c r="R148" i="3" s="1"/>
  <c r="AH148" i="3"/>
  <c r="AI148" i="3"/>
  <c r="K147" i="3"/>
  <c r="O147" i="3"/>
  <c r="AC147" i="3"/>
  <c r="P147" i="3" s="1"/>
  <c r="AD147" i="3"/>
  <c r="AE147" i="3"/>
  <c r="R147" i="3" s="1"/>
  <c r="AH147" i="3"/>
  <c r="AI147" i="3"/>
  <c r="K146" i="3"/>
  <c r="O146" i="3"/>
  <c r="AC146" i="3"/>
  <c r="P146" i="3" s="1"/>
  <c r="AD146" i="3"/>
  <c r="AE146" i="3"/>
  <c r="R146" i="3" s="1"/>
  <c r="AH146" i="3"/>
  <c r="AI146" i="3"/>
  <c r="K145" i="3"/>
  <c r="O145" i="3"/>
  <c r="AC145" i="3"/>
  <c r="P145" i="3" s="1"/>
  <c r="AD145" i="3"/>
  <c r="AE145" i="3"/>
  <c r="R145" i="3" s="1"/>
  <c r="AH145" i="3"/>
  <c r="AI145" i="3"/>
  <c r="K144" i="3"/>
  <c r="O144" i="3"/>
  <c r="AC144" i="3"/>
  <c r="P144" i="3" s="1"/>
  <c r="AD144" i="3"/>
  <c r="AE144" i="3"/>
  <c r="R144" i="3" s="1"/>
  <c r="AH144" i="3"/>
  <c r="AI144" i="3"/>
  <c r="K143" i="3"/>
  <c r="O143" i="3"/>
  <c r="AC143" i="3"/>
  <c r="P143" i="3" s="1"/>
  <c r="AD143" i="3"/>
  <c r="AE143" i="3"/>
  <c r="R143" i="3" s="1"/>
  <c r="AH143" i="3"/>
  <c r="AI143" i="3"/>
  <c r="K142" i="3"/>
  <c r="O142" i="3"/>
  <c r="AC142" i="3"/>
  <c r="P142" i="3" s="1"/>
  <c r="AD142" i="3"/>
  <c r="AE142" i="3"/>
  <c r="R142" i="3" s="1"/>
  <c r="AH142" i="3"/>
  <c r="AI142" i="3"/>
  <c r="K141" i="3"/>
  <c r="O141" i="3"/>
  <c r="AC141" i="3"/>
  <c r="P141" i="3" s="1"/>
  <c r="AD141" i="3"/>
  <c r="AE141" i="3"/>
  <c r="R141" i="3" s="1"/>
  <c r="AH141" i="3"/>
  <c r="AI141" i="3"/>
  <c r="K140" i="3"/>
  <c r="O140" i="3"/>
  <c r="AC140" i="3"/>
  <c r="P140" i="3" s="1"/>
  <c r="AD140" i="3"/>
  <c r="AE140" i="3"/>
  <c r="R140" i="3" s="1"/>
  <c r="AH140" i="3"/>
  <c r="AI140" i="3"/>
  <c r="K139" i="3"/>
  <c r="O139" i="3"/>
  <c r="AC139" i="3"/>
  <c r="P139" i="3" s="1"/>
  <c r="AD139" i="3"/>
  <c r="AE139" i="3"/>
  <c r="R139" i="3" s="1"/>
  <c r="AH139" i="3"/>
  <c r="AI139" i="3"/>
  <c r="K138" i="3"/>
  <c r="O138" i="3"/>
  <c r="AC138" i="3"/>
  <c r="P138" i="3" s="1"/>
  <c r="AD138" i="3"/>
  <c r="AE138" i="3"/>
  <c r="R138" i="3" s="1"/>
  <c r="AH138" i="3"/>
  <c r="AI138" i="3"/>
  <c r="K137" i="3"/>
  <c r="O137" i="3"/>
  <c r="AC137" i="3"/>
  <c r="P137" i="3" s="1"/>
  <c r="AD137" i="3"/>
  <c r="AE137" i="3"/>
  <c r="R137" i="3" s="1"/>
  <c r="AH137" i="3"/>
  <c r="AI137" i="3"/>
  <c r="K136" i="3"/>
  <c r="O136" i="3"/>
  <c r="AC136" i="3"/>
  <c r="P136" i="3" s="1"/>
  <c r="AD136" i="3"/>
  <c r="AE136" i="3"/>
  <c r="R136" i="3" s="1"/>
  <c r="AH136" i="3"/>
  <c r="AI136" i="3"/>
  <c r="K135" i="3"/>
  <c r="O135" i="3"/>
  <c r="AC135" i="3"/>
  <c r="P135" i="3" s="1"/>
  <c r="AD135" i="3"/>
  <c r="AE135" i="3"/>
  <c r="R135" i="3" s="1"/>
  <c r="AH135" i="3"/>
  <c r="AI135" i="3"/>
  <c r="K134" i="3"/>
  <c r="O134" i="3"/>
  <c r="AC134" i="3"/>
  <c r="P134" i="3" s="1"/>
  <c r="AD134" i="3"/>
  <c r="AE134" i="3"/>
  <c r="R134" i="3" s="1"/>
  <c r="AH134" i="3"/>
  <c r="AI134" i="3"/>
  <c r="K133" i="3"/>
  <c r="O133" i="3"/>
  <c r="AC133" i="3"/>
  <c r="P133" i="3" s="1"/>
  <c r="AD133" i="3"/>
  <c r="AE133" i="3"/>
  <c r="R133" i="3" s="1"/>
  <c r="AH133" i="3"/>
  <c r="AI133" i="3"/>
  <c r="K132" i="3"/>
  <c r="O132" i="3"/>
  <c r="AC132" i="3"/>
  <c r="P132" i="3" s="1"/>
  <c r="AD132" i="3"/>
  <c r="AE132" i="3"/>
  <c r="R132" i="3" s="1"/>
  <c r="AH132" i="3"/>
  <c r="AI132" i="3"/>
  <c r="K131" i="3"/>
  <c r="O131" i="3"/>
  <c r="AC131" i="3"/>
  <c r="P131" i="3" s="1"/>
  <c r="AD131" i="3"/>
  <c r="AE131" i="3"/>
  <c r="R131" i="3" s="1"/>
  <c r="AH131" i="3"/>
  <c r="AI131" i="3"/>
  <c r="K130" i="3"/>
  <c r="O130" i="3"/>
  <c r="AC130" i="3"/>
  <c r="P130" i="3" s="1"/>
  <c r="AD130" i="3"/>
  <c r="AE130" i="3"/>
  <c r="R130" i="3" s="1"/>
  <c r="AH130" i="3"/>
  <c r="AI130" i="3"/>
  <c r="K129" i="3"/>
  <c r="O129" i="3"/>
  <c r="AC129" i="3"/>
  <c r="P129" i="3" s="1"/>
  <c r="AD129" i="3"/>
  <c r="AE129" i="3"/>
  <c r="R129" i="3" s="1"/>
  <c r="AH129" i="3"/>
  <c r="AI129" i="3"/>
  <c r="K128" i="3"/>
  <c r="O128" i="3"/>
  <c r="AC128" i="3"/>
  <c r="P128" i="3" s="1"/>
  <c r="AD128" i="3"/>
  <c r="AE128" i="3"/>
  <c r="R128" i="3" s="1"/>
  <c r="AH128" i="3"/>
  <c r="AI128" i="3"/>
  <c r="K127" i="3"/>
  <c r="O127" i="3"/>
  <c r="AC127" i="3"/>
  <c r="P127" i="3" s="1"/>
  <c r="AD127" i="3"/>
  <c r="AE127" i="3"/>
  <c r="R127" i="3" s="1"/>
  <c r="AH127" i="3"/>
  <c r="AI127" i="3"/>
  <c r="K126" i="3"/>
  <c r="O126" i="3"/>
  <c r="AC126" i="3"/>
  <c r="P126" i="3" s="1"/>
  <c r="AD126" i="3"/>
  <c r="AE126" i="3"/>
  <c r="R126" i="3" s="1"/>
  <c r="AH126" i="3"/>
  <c r="AI126" i="3"/>
  <c r="K125" i="3"/>
  <c r="O125" i="3"/>
  <c r="AC125" i="3"/>
  <c r="P125" i="3" s="1"/>
  <c r="AD125" i="3"/>
  <c r="AE125" i="3"/>
  <c r="R125" i="3" s="1"/>
  <c r="AH125" i="3"/>
  <c r="AI125" i="3"/>
  <c r="K124" i="3"/>
  <c r="O124" i="3"/>
  <c r="AC124" i="3"/>
  <c r="P124" i="3" s="1"/>
  <c r="AD124" i="3"/>
  <c r="AE124" i="3"/>
  <c r="R124" i="3" s="1"/>
  <c r="AH124" i="3"/>
  <c r="AI124" i="3"/>
  <c r="K123" i="3"/>
  <c r="O123" i="3"/>
  <c r="AC123" i="3"/>
  <c r="P123" i="3" s="1"/>
  <c r="AD123" i="3"/>
  <c r="AE123" i="3"/>
  <c r="R123" i="3" s="1"/>
  <c r="AH123" i="3"/>
  <c r="AI123" i="3"/>
  <c r="K122" i="3"/>
  <c r="O122" i="3"/>
  <c r="AC122" i="3"/>
  <c r="P122" i="3" s="1"/>
  <c r="AD122" i="3"/>
  <c r="AE122" i="3"/>
  <c r="R122" i="3" s="1"/>
  <c r="AH122" i="3"/>
  <c r="AI122" i="3"/>
  <c r="K121" i="3"/>
  <c r="O121" i="3"/>
  <c r="AC121" i="3"/>
  <c r="P121" i="3" s="1"/>
  <c r="AD121" i="3"/>
  <c r="AE121" i="3"/>
  <c r="R121" i="3" s="1"/>
  <c r="AH121" i="3"/>
  <c r="AI121" i="3"/>
  <c r="K120" i="3"/>
  <c r="O120" i="3"/>
  <c r="AC120" i="3"/>
  <c r="P120" i="3" s="1"/>
  <c r="AD120" i="3"/>
  <c r="AE120" i="3"/>
  <c r="R120" i="3" s="1"/>
  <c r="AH120" i="3"/>
  <c r="AI120" i="3"/>
  <c r="K119" i="3"/>
  <c r="O119" i="3"/>
  <c r="AC119" i="3"/>
  <c r="P119" i="3" s="1"/>
  <c r="AD119" i="3"/>
  <c r="AE119" i="3"/>
  <c r="R119" i="3" s="1"/>
  <c r="AH119" i="3"/>
  <c r="AI119" i="3"/>
  <c r="K118" i="3"/>
  <c r="O118" i="3"/>
  <c r="AC118" i="3"/>
  <c r="P118" i="3" s="1"/>
  <c r="AD118" i="3"/>
  <c r="AE118" i="3"/>
  <c r="R118" i="3" s="1"/>
  <c r="AH118" i="3"/>
  <c r="AI118" i="3"/>
  <c r="K117" i="3"/>
  <c r="O117" i="3"/>
  <c r="AC117" i="3"/>
  <c r="P117" i="3" s="1"/>
  <c r="AD117" i="3"/>
  <c r="AE117" i="3"/>
  <c r="R117" i="3" s="1"/>
  <c r="AH117" i="3"/>
  <c r="AI117" i="3"/>
  <c r="K116" i="3"/>
  <c r="O116" i="3"/>
  <c r="AC116" i="3"/>
  <c r="P116" i="3" s="1"/>
  <c r="AD116" i="3"/>
  <c r="AE116" i="3"/>
  <c r="R116" i="3" s="1"/>
  <c r="AH116" i="3"/>
  <c r="AI116" i="3"/>
  <c r="K115" i="3"/>
  <c r="O115" i="3"/>
  <c r="AC115" i="3"/>
  <c r="P115" i="3" s="1"/>
  <c r="AD115" i="3"/>
  <c r="AE115" i="3"/>
  <c r="R115" i="3" s="1"/>
  <c r="AH115" i="3"/>
  <c r="AI115" i="3"/>
  <c r="K114" i="3"/>
  <c r="O114" i="3"/>
  <c r="AC114" i="3"/>
  <c r="P114" i="3" s="1"/>
  <c r="AD114" i="3"/>
  <c r="AE114" i="3"/>
  <c r="R114" i="3" s="1"/>
  <c r="AH114" i="3"/>
  <c r="AI114" i="3"/>
  <c r="K113" i="3"/>
  <c r="O113" i="3"/>
  <c r="AC113" i="3"/>
  <c r="P113" i="3" s="1"/>
  <c r="AD113" i="3"/>
  <c r="AE113" i="3"/>
  <c r="R113" i="3" s="1"/>
  <c r="AH113" i="3"/>
  <c r="AI113" i="3"/>
  <c r="K112" i="3"/>
  <c r="O112" i="3"/>
  <c r="AC112" i="3"/>
  <c r="P112" i="3" s="1"/>
  <c r="AD112" i="3"/>
  <c r="AE112" i="3"/>
  <c r="R112" i="3" s="1"/>
  <c r="AH112" i="3"/>
  <c r="AI112" i="3"/>
  <c r="K111" i="3"/>
  <c r="O111" i="3"/>
  <c r="AC111" i="3"/>
  <c r="P111" i="3" s="1"/>
  <c r="AD111" i="3"/>
  <c r="AE111" i="3"/>
  <c r="R111" i="3" s="1"/>
  <c r="AH111" i="3"/>
  <c r="AI111" i="3"/>
  <c r="K110" i="3"/>
  <c r="O110" i="3"/>
  <c r="AC110" i="3"/>
  <c r="P110" i="3" s="1"/>
  <c r="AD110" i="3"/>
  <c r="AE110" i="3"/>
  <c r="R110" i="3" s="1"/>
  <c r="AH110" i="3"/>
  <c r="AI110" i="3"/>
  <c r="K109" i="3"/>
  <c r="O109" i="3"/>
  <c r="AC109" i="3"/>
  <c r="P109" i="3" s="1"/>
  <c r="AD109" i="3"/>
  <c r="AE109" i="3"/>
  <c r="R109" i="3" s="1"/>
  <c r="AH109" i="3"/>
  <c r="AI109" i="3"/>
  <c r="K108" i="3"/>
  <c r="O108" i="3"/>
  <c r="AC108" i="3"/>
  <c r="P108" i="3" s="1"/>
  <c r="AD108" i="3"/>
  <c r="AE108" i="3"/>
  <c r="R108" i="3" s="1"/>
  <c r="AH108" i="3"/>
  <c r="AI108" i="3"/>
  <c r="K107" i="3"/>
  <c r="O107" i="3"/>
  <c r="AC107" i="3"/>
  <c r="P107" i="3" s="1"/>
  <c r="AD107" i="3"/>
  <c r="AE107" i="3"/>
  <c r="R107" i="3" s="1"/>
  <c r="AH107" i="3"/>
  <c r="AI107" i="3"/>
  <c r="K106" i="3"/>
  <c r="O106" i="3"/>
  <c r="AC106" i="3"/>
  <c r="P106" i="3" s="1"/>
  <c r="AD106" i="3"/>
  <c r="AE106" i="3"/>
  <c r="R106" i="3" s="1"/>
  <c r="AH106" i="3"/>
  <c r="AI106" i="3"/>
  <c r="K105" i="3"/>
  <c r="O105" i="3"/>
  <c r="AC105" i="3"/>
  <c r="P105" i="3" s="1"/>
  <c r="AD105" i="3"/>
  <c r="AE105" i="3"/>
  <c r="R105" i="3" s="1"/>
  <c r="AH105" i="3"/>
  <c r="AI105" i="3"/>
  <c r="K104" i="3"/>
  <c r="O104" i="3"/>
  <c r="AC104" i="3"/>
  <c r="P104" i="3" s="1"/>
  <c r="AD104" i="3"/>
  <c r="AE104" i="3"/>
  <c r="R104" i="3" s="1"/>
  <c r="AH104" i="3"/>
  <c r="AI104" i="3"/>
  <c r="K103" i="3"/>
  <c r="O103" i="3"/>
  <c r="AC103" i="3"/>
  <c r="P103" i="3" s="1"/>
  <c r="AD103" i="3"/>
  <c r="AE103" i="3"/>
  <c r="R103" i="3" s="1"/>
  <c r="AH103" i="3"/>
  <c r="AI103" i="3"/>
  <c r="K102" i="3"/>
  <c r="O102" i="3"/>
  <c r="AC102" i="3"/>
  <c r="P102" i="3" s="1"/>
  <c r="AD102" i="3"/>
  <c r="AE102" i="3"/>
  <c r="R102" i="3" s="1"/>
  <c r="AH102" i="3"/>
  <c r="AI102" i="3"/>
  <c r="K101" i="3"/>
  <c r="O101" i="3"/>
  <c r="AC101" i="3"/>
  <c r="P101" i="3" s="1"/>
  <c r="AD101" i="3"/>
  <c r="AE101" i="3"/>
  <c r="R101" i="3" s="1"/>
  <c r="AH101" i="3"/>
  <c r="AI101" i="3"/>
  <c r="K100" i="3"/>
  <c r="O100" i="3"/>
  <c r="AC100" i="3"/>
  <c r="P100" i="3" s="1"/>
  <c r="AD100" i="3"/>
  <c r="AE100" i="3"/>
  <c r="R100" i="3" s="1"/>
  <c r="AH100" i="3"/>
  <c r="AI100" i="3"/>
  <c r="K99" i="3"/>
  <c r="O99" i="3"/>
  <c r="AC99" i="3"/>
  <c r="P99" i="3" s="1"/>
  <c r="AD99" i="3"/>
  <c r="AE99" i="3"/>
  <c r="R99" i="3" s="1"/>
  <c r="AH99" i="3"/>
  <c r="AI99" i="3"/>
  <c r="K98" i="3"/>
  <c r="O98" i="3"/>
  <c r="AC98" i="3"/>
  <c r="P98" i="3" s="1"/>
  <c r="AD98" i="3"/>
  <c r="AE98" i="3"/>
  <c r="R98" i="3" s="1"/>
  <c r="AH98" i="3"/>
  <c r="AI98" i="3"/>
  <c r="K97" i="3"/>
  <c r="O97" i="3"/>
  <c r="AC97" i="3"/>
  <c r="P97" i="3" s="1"/>
  <c r="AD97" i="3"/>
  <c r="AE97" i="3"/>
  <c r="R97" i="3" s="1"/>
  <c r="AH97" i="3"/>
  <c r="AI97" i="3"/>
  <c r="K96" i="3"/>
  <c r="O96" i="3"/>
  <c r="AC96" i="3"/>
  <c r="P96" i="3" s="1"/>
  <c r="AD96" i="3"/>
  <c r="AE96" i="3"/>
  <c r="R96" i="3" s="1"/>
  <c r="AH96" i="3"/>
  <c r="AI96" i="3"/>
  <c r="K95" i="3"/>
  <c r="O95" i="3"/>
  <c r="AC95" i="3"/>
  <c r="P95" i="3" s="1"/>
  <c r="AD95" i="3"/>
  <c r="AE95" i="3"/>
  <c r="R95" i="3" s="1"/>
  <c r="AH95" i="3"/>
  <c r="AI95" i="3"/>
  <c r="K94" i="3"/>
  <c r="O94" i="3"/>
  <c r="AC94" i="3"/>
  <c r="P94" i="3" s="1"/>
  <c r="AD94" i="3"/>
  <c r="AE94" i="3"/>
  <c r="R94" i="3" s="1"/>
  <c r="AH94" i="3"/>
  <c r="AI94" i="3"/>
  <c r="K93" i="3"/>
  <c r="O93" i="3"/>
  <c r="AC93" i="3"/>
  <c r="P93" i="3" s="1"/>
  <c r="AD93" i="3"/>
  <c r="AE93" i="3"/>
  <c r="R93" i="3" s="1"/>
  <c r="AH93" i="3"/>
  <c r="AI93" i="3"/>
  <c r="K92" i="3"/>
  <c r="O92" i="3"/>
  <c r="AC92" i="3"/>
  <c r="P92" i="3" s="1"/>
  <c r="AD92" i="3"/>
  <c r="AE92" i="3"/>
  <c r="R92" i="3" s="1"/>
  <c r="AH92" i="3"/>
  <c r="AI92" i="3"/>
  <c r="K91" i="3"/>
  <c r="O91" i="3"/>
  <c r="AC91" i="3"/>
  <c r="P91" i="3" s="1"/>
  <c r="AD91" i="3"/>
  <c r="AE91" i="3"/>
  <c r="R91" i="3" s="1"/>
  <c r="AH91" i="3"/>
  <c r="AI91" i="3"/>
  <c r="K90" i="3"/>
  <c r="O90" i="3"/>
  <c r="AC90" i="3"/>
  <c r="P90" i="3" s="1"/>
  <c r="AD90" i="3"/>
  <c r="AE90" i="3"/>
  <c r="R90" i="3" s="1"/>
  <c r="AH90" i="3"/>
  <c r="AI90" i="3"/>
  <c r="K89" i="3"/>
  <c r="O89" i="3"/>
  <c r="AC89" i="3"/>
  <c r="P89" i="3" s="1"/>
  <c r="AD89" i="3"/>
  <c r="AE89" i="3"/>
  <c r="R89" i="3" s="1"/>
  <c r="AH89" i="3"/>
  <c r="AI89" i="3"/>
  <c r="K88" i="3"/>
  <c r="O88" i="3"/>
  <c r="AC88" i="3"/>
  <c r="P88" i="3" s="1"/>
  <c r="AD88" i="3"/>
  <c r="AE88" i="3"/>
  <c r="R88" i="3" s="1"/>
  <c r="AH88" i="3"/>
  <c r="AI88" i="3"/>
  <c r="K87" i="3"/>
  <c r="O87" i="3"/>
  <c r="AC87" i="3"/>
  <c r="P87" i="3" s="1"/>
  <c r="AD87" i="3"/>
  <c r="AE87" i="3"/>
  <c r="R87" i="3" s="1"/>
  <c r="AH87" i="3"/>
  <c r="AI87" i="3"/>
  <c r="K86" i="3"/>
  <c r="O86" i="3"/>
  <c r="AC86" i="3"/>
  <c r="P86" i="3" s="1"/>
  <c r="AD86" i="3"/>
  <c r="AE86" i="3"/>
  <c r="R86" i="3" s="1"/>
  <c r="AH86" i="3"/>
  <c r="AI86" i="3"/>
  <c r="K85" i="3"/>
  <c r="O85" i="3"/>
  <c r="AC85" i="3"/>
  <c r="P85" i="3" s="1"/>
  <c r="AD85" i="3"/>
  <c r="AE85" i="3"/>
  <c r="R85" i="3" s="1"/>
  <c r="AH85" i="3"/>
  <c r="AI85" i="3"/>
  <c r="K84" i="3"/>
  <c r="O84" i="3"/>
  <c r="AC84" i="3"/>
  <c r="P84" i="3" s="1"/>
  <c r="AD84" i="3"/>
  <c r="AE84" i="3"/>
  <c r="R84" i="3" s="1"/>
  <c r="AH84" i="3"/>
  <c r="AI84" i="3"/>
  <c r="K83" i="3"/>
  <c r="O83" i="3"/>
  <c r="AC83" i="3"/>
  <c r="P83" i="3" s="1"/>
  <c r="AD83" i="3"/>
  <c r="AE83" i="3"/>
  <c r="R83" i="3" s="1"/>
  <c r="AH83" i="3"/>
  <c r="AI83" i="3"/>
  <c r="K82" i="3"/>
  <c r="O82" i="3"/>
  <c r="AC82" i="3"/>
  <c r="P82" i="3" s="1"/>
  <c r="AD82" i="3"/>
  <c r="AE82" i="3"/>
  <c r="R82" i="3" s="1"/>
  <c r="AH82" i="3"/>
  <c r="AI82" i="3"/>
  <c r="K81" i="3"/>
  <c r="O81" i="3"/>
  <c r="AC81" i="3"/>
  <c r="P81" i="3" s="1"/>
  <c r="AD81" i="3"/>
  <c r="AE81" i="3"/>
  <c r="R81" i="3" s="1"/>
  <c r="AH81" i="3"/>
  <c r="AI81" i="3"/>
  <c r="K80" i="3"/>
  <c r="O80" i="3"/>
  <c r="AC80" i="3"/>
  <c r="P80" i="3" s="1"/>
  <c r="AD80" i="3"/>
  <c r="AE80" i="3"/>
  <c r="R80" i="3" s="1"/>
  <c r="AH80" i="3"/>
  <c r="AI80" i="3"/>
  <c r="K3" i="3"/>
  <c r="O3" i="3"/>
  <c r="AC3" i="3"/>
  <c r="P3" i="3" s="1"/>
  <c r="AD3" i="3"/>
  <c r="AE3" i="3"/>
  <c r="R3" i="3" s="1"/>
  <c r="AH3" i="3"/>
  <c r="AI3" i="3"/>
  <c r="K79" i="3"/>
  <c r="O79" i="3"/>
  <c r="AC79" i="3"/>
  <c r="P79" i="3" s="1"/>
  <c r="AD79" i="3"/>
  <c r="AE79" i="3"/>
  <c r="R79" i="3" s="1"/>
  <c r="AH79" i="3"/>
  <c r="AI79" i="3"/>
  <c r="K78" i="3"/>
  <c r="O78" i="3"/>
  <c r="AC78" i="3"/>
  <c r="P78" i="3" s="1"/>
  <c r="AD78" i="3"/>
  <c r="AE78" i="3"/>
  <c r="R78" i="3" s="1"/>
  <c r="AH78" i="3"/>
  <c r="AI78" i="3"/>
  <c r="K77" i="3"/>
  <c r="O77" i="3"/>
  <c r="AC77" i="3"/>
  <c r="P77" i="3" s="1"/>
  <c r="AD77" i="3"/>
  <c r="AE77" i="3"/>
  <c r="R77" i="3" s="1"/>
  <c r="AH77" i="3"/>
  <c r="AI77" i="3"/>
  <c r="K76" i="3"/>
  <c r="O76" i="3"/>
  <c r="AC76" i="3"/>
  <c r="P76" i="3" s="1"/>
  <c r="AD76" i="3"/>
  <c r="AE76" i="3"/>
  <c r="R76" i="3" s="1"/>
  <c r="AG76" i="3"/>
  <c r="AH76" i="3"/>
  <c r="AI76" i="3"/>
  <c r="K75" i="3"/>
  <c r="O75" i="3"/>
  <c r="AC75" i="3"/>
  <c r="P75" i="3" s="1"/>
  <c r="AD75" i="3"/>
  <c r="AE75" i="3"/>
  <c r="R75" i="3" s="1"/>
  <c r="AH75" i="3"/>
  <c r="AI75" i="3"/>
  <c r="K74" i="3"/>
  <c r="O74" i="3"/>
  <c r="AC74" i="3"/>
  <c r="P74" i="3" s="1"/>
  <c r="AD74" i="3"/>
  <c r="AE74" i="3"/>
  <c r="R74" i="3" s="1"/>
  <c r="AH74" i="3"/>
  <c r="AI74" i="3"/>
  <c r="K73" i="3"/>
  <c r="O73" i="3"/>
  <c r="AC73" i="3"/>
  <c r="P73" i="3" s="1"/>
  <c r="AD73" i="3"/>
  <c r="AE73" i="3"/>
  <c r="R73" i="3" s="1"/>
  <c r="AH73" i="3"/>
  <c r="AI73" i="3"/>
  <c r="K72" i="3"/>
  <c r="O72" i="3"/>
  <c r="AC72" i="3"/>
  <c r="P72" i="3" s="1"/>
  <c r="AD72" i="3"/>
  <c r="AE72" i="3"/>
  <c r="R72" i="3" s="1"/>
  <c r="AG72" i="3"/>
  <c r="AH72" i="3"/>
  <c r="AI72" i="3"/>
  <c r="E138" i="1"/>
  <c r="E139" i="1"/>
  <c r="E140" i="1"/>
  <c r="AF78" i="3" s="1"/>
  <c r="E20" i="1"/>
  <c r="E196" i="1"/>
  <c r="AF121" i="3" s="1"/>
  <c r="E197" i="1"/>
  <c r="AF120" i="3" s="1"/>
  <c r="E31" i="1"/>
  <c r="AG135" i="3" s="1"/>
  <c r="E106" i="1"/>
  <c r="AF148" i="3" s="1"/>
  <c r="E107" i="1"/>
  <c r="AF174" i="3" s="1"/>
  <c r="E108" i="1"/>
  <c r="AF182" i="3" s="1"/>
  <c r="E9" i="1"/>
  <c r="AF204" i="3" s="1"/>
  <c r="E109" i="1"/>
  <c r="AF205" i="3" s="1"/>
  <c r="K71" i="3"/>
  <c r="O71" i="3"/>
  <c r="AC71" i="3"/>
  <c r="P71" i="3" s="1"/>
  <c r="AD71" i="3"/>
  <c r="AE71" i="3"/>
  <c r="R71" i="3" s="1"/>
  <c r="AH71" i="3"/>
  <c r="AI71" i="3"/>
  <c r="K70" i="3"/>
  <c r="O70" i="3"/>
  <c r="AC70" i="3"/>
  <c r="P70" i="3" s="1"/>
  <c r="AD70" i="3"/>
  <c r="AE70" i="3"/>
  <c r="R70" i="3" s="1"/>
  <c r="AH70" i="3"/>
  <c r="AI70" i="3"/>
  <c r="K69" i="3"/>
  <c r="O69" i="3"/>
  <c r="AC69" i="3"/>
  <c r="P69" i="3" s="1"/>
  <c r="AD69" i="3"/>
  <c r="AE69" i="3"/>
  <c r="R69" i="3" s="1"/>
  <c r="AH69" i="3"/>
  <c r="AI69" i="3"/>
  <c r="K68" i="3"/>
  <c r="O68" i="3"/>
  <c r="AC68" i="3"/>
  <c r="P68" i="3" s="1"/>
  <c r="AD68" i="3"/>
  <c r="AE68" i="3"/>
  <c r="R68" i="3" s="1"/>
  <c r="AH68" i="3"/>
  <c r="AI68" i="3"/>
  <c r="K67" i="3"/>
  <c r="O67" i="3"/>
  <c r="AC67" i="3"/>
  <c r="P67" i="3" s="1"/>
  <c r="AD67" i="3"/>
  <c r="AE67" i="3"/>
  <c r="R67" i="3" s="1"/>
  <c r="AH67" i="3"/>
  <c r="AI67" i="3"/>
  <c r="K66" i="3"/>
  <c r="O66" i="3"/>
  <c r="AC66" i="3"/>
  <c r="P66" i="3" s="1"/>
  <c r="AD66" i="3"/>
  <c r="AE66" i="3"/>
  <c r="R66" i="3" s="1"/>
  <c r="AH66" i="3"/>
  <c r="AI66" i="3"/>
  <c r="K65" i="3"/>
  <c r="O65" i="3"/>
  <c r="AC65" i="3"/>
  <c r="P65" i="3" s="1"/>
  <c r="AD65" i="3"/>
  <c r="AE65" i="3"/>
  <c r="R65" i="3" s="1"/>
  <c r="AH65" i="3"/>
  <c r="AI65" i="3"/>
  <c r="K64" i="3"/>
  <c r="O64" i="3"/>
  <c r="AC64" i="3"/>
  <c r="P64" i="3" s="1"/>
  <c r="AD64" i="3"/>
  <c r="AE64" i="3"/>
  <c r="R64" i="3" s="1"/>
  <c r="AH64" i="3"/>
  <c r="AI64" i="3"/>
  <c r="K63" i="3"/>
  <c r="O63" i="3"/>
  <c r="AC63" i="3"/>
  <c r="P63" i="3" s="1"/>
  <c r="AD63" i="3"/>
  <c r="AE63" i="3"/>
  <c r="R63" i="3" s="1"/>
  <c r="AH63" i="3"/>
  <c r="AI63" i="3"/>
  <c r="K62" i="3"/>
  <c r="O62" i="3"/>
  <c r="AC62" i="3"/>
  <c r="P62" i="3" s="1"/>
  <c r="AD62" i="3"/>
  <c r="AE62" i="3"/>
  <c r="R62" i="3" s="1"/>
  <c r="AH62" i="3"/>
  <c r="AI62" i="3"/>
  <c r="K61" i="3"/>
  <c r="O61" i="3"/>
  <c r="AC61" i="3"/>
  <c r="P61" i="3" s="1"/>
  <c r="AD61" i="3"/>
  <c r="AE61" i="3"/>
  <c r="R61" i="3" s="1"/>
  <c r="AH61" i="3"/>
  <c r="AI61" i="3"/>
  <c r="K60" i="3"/>
  <c r="O60" i="3"/>
  <c r="AC60" i="3"/>
  <c r="P60" i="3" s="1"/>
  <c r="AD60" i="3"/>
  <c r="AE60" i="3"/>
  <c r="R60" i="3" s="1"/>
  <c r="AH60" i="3"/>
  <c r="AI60" i="3"/>
  <c r="K59" i="3"/>
  <c r="O59" i="3"/>
  <c r="AC59" i="3"/>
  <c r="P59" i="3" s="1"/>
  <c r="AD59" i="3"/>
  <c r="AE59" i="3"/>
  <c r="R59" i="3" s="1"/>
  <c r="AH59" i="3"/>
  <c r="AI59" i="3"/>
  <c r="K58" i="3"/>
  <c r="O58" i="3"/>
  <c r="AC58" i="3"/>
  <c r="P58" i="3" s="1"/>
  <c r="AD58" i="3"/>
  <c r="AE58" i="3"/>
  <c r="R58" i="3" s="1"/>
  <c r="AH58" i="3"/>
  <c r="AI58" i="3"/>
  <c r="K57" i="3"/>
  <c r="O57" i="3"/>
  <c r="AC57" i="3"/>
  <c r="P57" i="3" s="1"/>
  <c r="AD57" i="3"/>
  <c r="AE57" i="3"/>
  <c r="R57" i="3" s="1"/>
  <c r="AH57" i="3"/>
  <c r="AI57" i="3"/>
  <c r="K56" i="3"/>
  <c r="O56" i="3"/>
  <c r="AC56" i="3"/>
  <c r="P56" i="3" s="1"/>
  <c r="AD56" i="3"/>
  <c r="AE56" i="3"/>
  <c r="R56" i="3" s="1"/>
  <c r="AH56" i="3"/>
  <c r="AI56" i="3"/>
  <c r="K55" i="3"/>
  <c r="O55" i="3"/>
  <c r="AC55" i="3"/>
  <c r="P55" i="3" s="1"/>
  <c r="AD55" i="3"/>
  <c r="AE55" i="3"/>
  <c r="R55" i="3" s="1"/>
  <c r="AH55" i="3"/>
  <c r="AI55" i="3"/>
  <c r="K54" i="3"/>
  <c r="O54" i="3"/>
  <c r="AC54" i="3"/>
  <c r="P54" i="3" s="1"/>
  <c r="AD54" i="3"/>
  <c r="AE54" i="3"/>
  <c r="R54" i="3" s="1"/>
  <c r="AH54" i="3"/>
  <c r="AI54" i="3"/>
  <c r="K53" i="3"/>
  <c r="O53" i="3"/>
  <c r="AC53" i="3"/>
  <c r="P53" i="3" s="1"/>
  <c r="AD53" i="3"/>
  <c r="AE53" i="3"/>
  <c r="R53" i="3" s="1"/>
  <c r="AH53" i="3"/>
  <c r="AI53" i="3"/>
  <c r="K52" i="3"/>
  <c r="O52" i="3"/>
  <c r="AC52" i="3"/>
  <c r="P52" i="3" s="1"/>
  <c r="AD52" i="3"/>
  <c r="AE52" i="3"/>
  <c r="R52" i="3" s="1"/>
  <c r="AH52" i="3"/>
  <c r="AI52" i="3"/>
  <c r="K51" i="3"/>
  <c r="O51" i="3"/>
  <c r="AC51" i="3"/>
  <c r="P51" i="3" s="1"/>
  <c r="AD51" i="3"/>
  <c r="AE51" i="3"/>
  <c r="R51" i="3" s="1"/>
  <c r="AH51" i="3"/>
  <c r="AI51" i="3"/>
  <c r="K50" i="3"/>
  <c r="O50" i="3"/>
  <c r="AC50" i="3"/>
  <c r="P50" i="3" s="1"/>
  <c r="AD50" i="3"/>
  <c r="AE50" i="3"/>
  <c r="R50" i="3" s="1"/>
  <c r="AH50" i="3"/>
  <c r="AI50" i="3"/>
  <c r="K49" i="3"/>
  <c r="O49" i="3"/>
  <c r="AC49" i="3"/>
  <c r="P49" i="3" s="1"/>
  <c r="AD49" i="3"/>
  <c r="AE49" i="3"/>
  <c r="R49" i="3" s="1"/>
  <c r="AH49" i="3"/>
  <c r="AI49" i="3"/>
  <c r="K48" i="3"/>
  <c r="O48" i="3"/>
  <c r="AC48" i="3"/>
  <c r="P48" i="3" s="1"/>
  <c r="AD48" i="3"/>
  <c r="AE48" i="3"/>
  <c r="R48" i="3" s="1"/>
  <c r="AH48" i="3"/>
  <c r="AI48" i="3"/>
  <c r="K47" i="3"/>
  <c r="O47" i="3"/>
  <c r="AC47" i="3"/>
  <c r="P47" i="3" s="1"/>
  <c r="AD47" i="3"/>
  <c r="AE47" i="3"/>
  <c r="R47" i="3" s="1"/>
  <c r="AH47" i="3"/>
  <c r="AI47" i="3"/>
  <c r="K46" i="3"/>
  <c r="O46" i="3"/>
  <c r="AC46" i="3"/>
  <c r="P46" i="3" s="1"/>
  <c r="AD46" i="3"/>
  <c r="AE46" i="3"/>
  <c r="R46" i="3" s="1"/>
  <c r="AH46" i="3"/>
  <c r="AI46" i="3"/>
  <c r="K45" i="3"/>
  <c r="O45" i="3"/>
  <c r="AC45" i="3"/>
  <c r="P45" i="3" s="1"/>
  <c r="AD45" i="3"/>
  <c r="AE45" i="3"/>
  <c r="R45" i="3" s="1"/>
  <c r="AH45" i="3"/>
  <c r="AI45" i="3"/>
  <c r="K44" i="3"/>
  <c r="O44" i="3"/>
  <c r="AC44" i="3"/>
  <c r="P44" i="3" s="1"/>
  <c r="AD44" i="3"/>
  <c r="AE44" i="3"/>
  <c r="R44" i="3" s="1"/>
  <c r="AH44" i="3"/>
  <c r="AI44" i="3"/>
  <c r="K43" i="3"/>
  <c r="O43" i="3"/>
  <c r="AC43" i="3"/>
  <c r="P43" i="3" s="1"/>
  <c r="AD43" i="3"/>
  <c r="AE43" i="3"/>
  <c r="R43" i="3" s="1"/>
  <c r="AH43" i="3"/>
  <c r="AI43" i="3"/>
  <c r="K42" i="3"/>
  <c r="O42" i="3"/>
  <c r="AC42" i="3"/>
  <c r="P42" i="3" s="1"/>
  <c r="AD42" i="3"/>
  <c r="AE42" i="3"/>
  <c r="R42" i="3" s="1"/>
  <c r="AH42" i="3"/>
  <c r="AI42" i="3"/>
  <c r="K41" i="3"/>
  <c r="O41" i="3"/>
  <c r="AC41" i="3"/>
  <c r="P41" i="3" s="1"/>
  <c r="AD41" i="3"/>
  <c r="AE41" i="3"/>
  <c r="R41" i="3" s="1"/>
  <c r="AH41" i="3"/>
  <c r="AI41" i="3"/>
  <c r="K40" i="3"/>
  <c r="O40" i="3"/>
  <c r="AC40" i="3"/>
  <c r="P40" i="3" s="1"/>
  <c r="AD40" i="3"/>
  <c r="AE40" i="3"/>
  <c r="R40" i="3" s="1"/>
  <c r="AH40" i="3"/>
  <c r="AI40" i="3"/>
  <c r="K39" i="3"/>
  <c r="O39" i="3"/>
  <c r="AC39" i="3"/>
  <c r="P39" i="3" s="1"/>
  <c r="AD39" i="3"/>
  <c r="AE39" i="3"/>
  <c r="R39" i="3" s="1"/>
  <c r="AH39" i="3"/>
  <c r="AI39" i="3"/>
  <c r="K38" i="3"/>
  <c r="O38" i="3"/>
  <c r="AC38" i="3"/>
  <c r="P38" i="3" s="1"/>
  <c r="AD38" i="3"/>
  <c r="AE38" i="3"/>
  <c r="R38" i="3" s="1"/>
  <c r="AH38" i="3"/>
  <c r="AI38" i="3"/>
  <c r="K37" i="3"/>
  <c r="O37" i="3"/>
  <c r="AC37" i="3"/>
  <c r="P37" i="3" s="1"/>
  <c r="AD37" i="3"/>
  <c r="AE37" i="3"/>
  <c r="R37" i="3" s="1"/>
  <c r="AH37" i="3"/>
  <c r="AI37" i="3"/>
  <c r="K36" i="3"/>
  <c r="O36" i="3"/>
  <c r="AC36" i="3"/>
  <c r="P36" i="3" s="1"/>
  <c r="AD36" i="3"/>
  <c r="AE36" i="3"/>
  <c r="R36" i="3" s="1"/>
  <c r="AH36" i="3"/>
  <c r="AI36" i="3"/>
  <c r="K35" i="3"/>
  <c r="O35" i="3"/>
  <c r="AC35" i="3"/>
  <c r="P35" i="3" s="1"/>
  <c r="AD35" i="3"/>
  <c r="AE35" i="3"/>
  <c r="R35" i="3" s="1"/>
  <c r="AH35" i="3"/>
  <c r="AI35" i="3"/>
  <c r="K34" i="3"/>
  <c r="O34" i="3"/>
  <c r="AC34" i="3"/>
  <c r="P34" i="3" s="1"/>
  <c r="AD34" i="3"/>
  <c r="AE34" i="3"/>
  <c r="R34" i="3" s="1"/>
  <c r="AH34" i="3"/>
  <c r="AI34" i="3"/>
  <c r="K33" i="3"/>
  <c r="O33" i="3"/>
  <c r="AC33" i="3"/>
  <c r="P33" i="3" s="1"/>
  <c r="AD33" i="3"/>
  <c r="AE33" i="3"/>
  <c r="R33" i="3" s="1"/>
  <c r="AH33" i="3"/>
  <c r="AI33" i="3"/>
  <c r="K32" i="3"/>
  <c r="O32" i="3"/>
  <c r="AC32" i="3"/>
  <c r="P32" i="3" s="1"/>
  <c r="AD32" i="3"/>
  <c r="AE32" i="3"/>
  <c r="R32" i="3" s="1"/>
  <c r="AH32" i="3"/>
  <c r="AI32" i="3"/>
  <c r="K31" i="3"/>
  <c r="O31" i="3"/>
  <c r="AC31" i="3"/>
  <c r="P31" i="3" s="1"/>
  <c r="AD31" i="3"/>
  <c r="AE31" i="3"/>
  <c r="R31" i="3" s="1"/>
  <c r="AH31" i="3"/>
  <c r="AI31" i="3"/>
  <c r="K30" i="3"/>
  <c r="O30" i="3"/>
  <c r="AC30" i="3"/>
  <c r="P30" i="3" s="1"/>
  <c r="AD30" i="3"/>
  <c r="AE30" i="3"/>
  <c r="R30" i="3" s="1"/>
  <c r="AH30" i="3"/>
  <c r="AI30" i="3"/>
  <c r="K29" i="3"/>
  <c r="O29" i="3"/>
  <c r="AC29" i="3"/>
  <c r="P29" i="3" s="1"/>
  <c r="AD29" i="3"/>
  <c r="AE29" i="3"/>
  <c r="R29" i="3" s="1"/>
  <c r="AH29" i="3"/>
  <c r="AI29" i="3"/>
  <c r="K28" i="3"/>
  <c r="O28" i="3"/>
  <c r="AC28" i="3"/>
  <c r="P28" i="3" s="1"/>
  <c r="AD28" i="3"/>
  <c r="AE28" i="3"/>
  <c r="R28" i="3" s="1"/>
  <c r="AH28" i="3"/>
  <c r="AI28" i="3"/>
  <c r="K27" i="3"/>
  <c r="O27" i="3"/>
  <c r="AC27" i="3"/>
  <c r="P27" i="3" s="1"/>
  <c r="AD27" i="3"/>
  <c r="AE27" i="3"/>
  <c r="R27" i="3" s="1"/>
  <c r="AH27" i="3"/>
  <c r="AI27" i="3"/>
  <c r="K26" i="3"/>
  <c r="O26" i="3"/>
  <c r="AC26" i="3"/>
  <c r="P26" i="3" s="1"/>
  <c r="AD26" i="3"/>
  <c r="AE26" i="3"/>
  <c r="R26" i="3" s="1"/>
  <c r="AH26" i="3"/>
  <c r="AI26" i="3"/>
  <c r="K25" i="3"/>
  <c r="O25" i="3"/>
  <c r="AC25" i="3"/>
  <c r="P25" i="3" s="1"/>
  <c r="AD25" i="3"/>
  <c r="AE25" i="3"/>
  <c r="R25" i="3" s="1"/>
  <c r="AH25" i="3"/>
  <c r="AI25" i="3"/>
  <c r="K24" i="3"/>
  <c r="O24" i="3"/>
  <c r="AC24" i="3"/>
  <c r="P24" i="3" s="1"/>
  <c r="AD24" i="3"/>
  <c r="AE24" i="3"/>
  <c r="R24" i="3" s="1"/>
  <c r="AH24" i="3"/>
  <c r="AI24" i="3"/>
  <c r="K23" i="3"/>
  <c r="O23" i="3"/>
  <c r="AC23" i="3"/>
  <c r="P23" i="3" s="1"/>
  <c r="AD23" i="3"/>
  <c r="AE23" i="3"/>
  <c r="R23" i="3" s="1"/>
  <c r="AH23" i="3"/>
  <c r="AI23" i="3"/>
  <c r="E21" i="1"/>
  <c r="E22" i="1"/>
  <c r="AF1389" i="3" s="1"/>
  <c r="E143" i="1"/>
  <c r="E200" i="1"/>
  <c r="AF105" i="3" s="1"/>
  <c r="E137" i="1"/>
  <c r="AF1305" i="3" s="1"/>
  <c r="E167" i="1"/>
  <c r="E168" i="1"/>
  <c r="E169" i="1"/>
  <c r="E170" i="1"/>
  <c r="AF1184" i="3" s="1"/>
  <c r="E146" i="1"/>
  <c r="E147" i="1"/>
  <c r="AF992" i="3" s="1"/>
  <c r="E5" i="1"/>
  <c r="AF1357" i="3" s="1"/>
  <c r="E166" i="1"/>
  <c r="K22" i="3"/>
  <c r="O22" i="3"/>
  <c r="AC22" i="3"/>
  <c r="P22" i="3" s="1"/>
  <c r="AD22" i="3"/>
  <c r="AE22" i="3"/>
  <c r="R22" i="3" s="1"/>
  <c r="AH22" i="3"/>
  <c r="AI22" i="3"/>
  <c r="K21" i="3"/>
  <c r="O21" i="3"/>
  <c r="AC21" i="3"/>
  <c r="P21" i="3" s="1"/>
  <c r="AD21" i="3"/>
  <c r="AE21" i="3"/>
  <c r="R21" i="3" s="1"/>
  <c r="AH21" i="3"/>
  <c r="AI21" i="3"/>
  <c r="K20" i="3"/>
  <c r="O20" i="3"/>
  <c r="AC20" i="3"/>
  <c r="P20" i="3" s="1"/>
  <c r="AD20" i="3"/>
  <c r="AE20" i="3"/>
  <c r="R20" i="3" s="1"/>
  <c r="AH20" i="3"/>
  <c r="AI20" i="3"/>
  <c r="K19" i="3"/>
  <c r="O19" i="3"/>
  <c r="AC19" i="3"/>
  <c r="P19" i="3" s="1"/>
  <c r="AD19" i="3"/>
  <c r="AE19" i="3"/>
  <c r="R19" i="3" s="1"/>
  <c r="AH19" i="3"/>
  <c r="AI19" i="3"/>
  <c r="K18" i="3"/>
  <c r="O18" i="3"/>
  <c r="AC18" i="3"/>
  <c r="P18" i="3" s="1"/>
  <c r="AD18" i="3"/>
  <c r="AE18" i="3"/>
  <c r="R18" i="3" s="1"/>
  <c r="AH18" i="3"/>
  <c r="AI18" i="3"/>
  <c r="K17" i="3"/>
  <c r="O17" i="3"/>
  <c r="AC17" i="3"/>
  <c r="P17" i="3" s="1"/>
  <c r="AD17" i="3"/>
  <c r="AE17" i="3"/>
  <c r="R17" i="3" s="1"/>
  <c r="AH17" i="3"/>
  <c r="AI17" i="3"/>
  <c r="K16" i="3"/>
  <c r="O16" i="3"/>
  <c r="AC16" i="3"/>
  <c r="P16" i="3" s="1"/>
  <c r="AD16" i="3"/>
  <c r="AE16" i="3"/>
  <c r="R16" i="3" s="1"/>
  <c r="AH16" i="3"/>
  <c r="AI16" i="3"/>
  <c r="K15" i="3"/>
  <c r="O15" i="3"/>
  <c r="AC15" i="3"/>
  <c r="P15" i="3" s="1"/>
  <c r="AD15" i="3"/>
  <c r="AE15" i="3"/>
  <c r="R15" i="3" s="1"/>
  <c r="AH15" i="3"/>
  <c r="AI15" i="3"/>
  <c r="K14" i="3"/>
  <c r="O14" i="3"/>
  <c r="AC14" i="3"/>
  <c r="P14" i="3" s="1"/>
  <c r="AD14" i="3"/>
  <c r="AE14" i="3"/>
  <c r="R14" i="3" s="1"/>
  <c r="AH14" i="3"/>
  <c r="AI14" i="3"/>
  <c r="K13" i="3"/>
  <c r="O13" i="3"/>
  <c r="AC13" i="3"/>
  <c r="P13" i="3" s="1"/>
  <c r="AD13" i="3"/>
  <c r="AE13" i="3"/>
  <c r="R13" i="3" s="1"/>
  <c r="AH13" i="3"/>
  <c r="AI13" i="3"/>
  <c r="K12" i="3"/>
  <c r="O12" i="3"/>
  <c r="AC12" i="3"/>
  <c r="P12" i="3" s="1"/>
  <c r="AD12" i="3"/>
  <c r="AE12" i="3"/>
  <c r="R12" i="3" s="1"/>
  <c r="AH12" i="3"/>
  <c r="AI12" i="3"/>
  <c r="K11" i="3"/>
  <c r="O11" i="3"/>
  <c r="AC11" i="3"/>
  <c r="P11" i="3" s="1"/>
  <c r="AD11" i="3"/>
  <c r="AE11" i="3"/>
  <c r="R11" i="3" s="1"/>
  <c r="AH11" i="3"/>
  <c r="AI11" i="3"/>
  <c r="K10" i="3"/>
  <c r="O10" i="3"/>
  <c r="AC10" i="3"/>
  <c r="P10" i="3" s="1"/>
  <c r="AD10" i="3"/>
  <c r="AE10" i="3"/>
  <c r="R10" i="3" s="1"/>
  <c r="AH10" i="3"/>
  <c r="AI10" i="3"/>
  <c r="K9" i="3"/>
  <c r="O9" i="3"/>
  <c r="AC9" i="3"/>
  <c r="P9" i="3" s="1"/>
  <c r="AD9" i="3"/>
  <c r="AE9" i="3"/>
  <c r="R9" i="3" s="1"/>
  <c r="AH9" i="3"/>
  <c r="AI9" i="3"/>
  <c r="K8" i="3"/>
  <c r="O8" i="3"/>
  <c r="AC8" i="3"/>
  <c r="P8" i="3" s="1"/>
  <c r="AD8" i="3"/>
  <c r="AE8" i="3"/>
  <c r="R8" i="3" s="1"/>
  <c r="AH8" i="3"/>
  <c r="AI8" i="3"/>
  <c r="K7" i="3"/>
  <c r="O7" i="3"/>
  <c r="AC7" i="3"/>
  <c r="P7" i="3" s="1"/>
  <c r="AD7" i="3"/>
  <c r="AE7" i="3"/>
  <c r="R7" i="3" s="1"/>
  <c r="AH7" i="3"/>
  <c r="AI7" i="3"/>
  <c r="AI6" i="3"/>
  <c r="AH6" i="3"/>
  <c r="AE6" i="3"/>
  <c r="R6" i="3" s="1"/>
  <c r="AD6" i="3"/>
  <c r="AC6" i="3"/>
  <c r="P6" i="3" s="1"/>
  <c r="O6" i="3"/>
  <c r="K6" i="3"/>
  <c r="K5" i="3"/>
  <c r="O5" i="3"/>
  <c r="AC5" i="3"/>
  <c r="P5" i="3" s="1"/>
  <c r="AD5" i="3"/>
  <c r="AE5" i="3"/>
  <c r="R5" i="3" s="1"/>
  <c r="AH5" i="3"/>
  <c r="AI5" i="3"/>
  <c r="K4" i="3"/>
  <c r="O4" i="3"/>
  <c r="AC4" i="3"/>
  <c r="P4" i="3" s="1"/>
  <c r="AD4" i="3"/>
  <c r="AE4" i="3"/>
  <c r="R4" i="3" s="1"/>
  <c r="AH4" i="3"/>
  <c r="AI4" i="3"/>
  <c r="AF1386" i="3" l="1"/>
  <c r="AF1388" i="3"/>
  <c r="AF1355" i="3"/>
  <c r="AF1356" i="3"/>
  <c r="AF1348" i="3"/>
  <c r="AF1352" i="3"/>
  <c r="AF1346" i="3"/>
  <c r="AF1347" i="3"/>
  <c r="AF1341" i="3"/>
  <c r="AF1345" i="3"/>
  <c r="AF1274" i="3"/>
  <c r="AF1324" i="3"/>
  <c r="AF1082" i="3"/>
  <c r="AF1303" i="3"/>
  <c r="AF650" i="3"/>
  <c r="AF1287" i="3"/>
  <c r="AF638" i="3"/>
  <c r="AF1252" i="3"/>
  <c r="AF1019" i="3"/>
  <c r="AF1186" i="3"/>
  <c r="AF1028" i="3"/>
  <c r="AF1185" i="3"/>
  <c r="AF1010" i="3"/>
  <c r="AF1177" i="3"/>
  <c r="AF1121" i="3"/>
  <c r="AF1176" i="3"/>
  <c r="AF1167" i="3"/>
  <c r="AF1170" i="3"/>
  <c r="AF731" i="3"/>
  <c r="AF1139" i="3"/>
  <c r="AF864" i="3"/>
  <c r="AF1018" i="3"/>
  <c r="AF927" i="3"/>
  <c r="AF1008" i="3"/>
  <c r="AF984" i="3"/>
  <c r="AF986" i="3"/>
  <c r="AF982" i="3"/>
  <c r="AF983" i="3"/>
  <c r="AF968" i="3"/>
  <c r="AF975" i="3"/>
  <c r="AF967" i="3"/>
  <c r="AF969" i="3"/>
  <c r="AF963" i="3"/>
  <c r="AF965" i="3"/>
  <c r="AF845" i="3"/>
  <c r="AF847" i="3"/>
  <c r="AF920" i="3"/>
  <c r="AF921" i="3"/>
  <c r="AF748" i="3"/>
  <c r="AF834" i="3"/>
  <c r="AF440" i="3"/>
  <c r="AF915" i="3"/>
  <c r="AF465" i="3"/>
  <c r="AF877" i="3"/>
  <c r="AF863" i="3"/>
  <c r="AF760" i="3"/>
  <c r="AF791" i="3"/>
  <c r="AF733" i="3"/>
  <c r="AF749" i="3"/>
  <c r="AF88" i="3"/>
  <c r="AF732" i="3"/>
  <c r="AF3" i="3"/>
  <c r="AF729" i="3"/>
  <c r="AF723" i="3"/>
  <c r="AF727" i="3"/>
  <c r="AF668" i="3"/>
  <c r="AF693" i="3"/>
  <c r="AF640" i="3"/>
  <c r="AF644" i="3"/>
  <c r="AF639" i="3"/>
  <c r="AF641" i="3"/>
  <c r="AF581" i="3"/>
  <c r="AF637" i="3"/>
  <c r="AF609" i="3"/>
  <c r="AF634" i="3"/>
  <c r="AF435" i="3"/>
  <c r="AF608" i="3"/>
  <c r="AF565" i="3"/>
  <c r="AF604" i="3"/>
  <c r="AF420" i="3"/>
  <c r="AF576" i="3"/>
  <c r="AF419" i="3"/>
  <c r="AF574" i="3"/>
  <c r="AF549" i="3"/>
  <c r="AF566" i="3"/>
  <c r="AF557" i="3"/>
  <c r="AF564" i="3"/>
  <c r="AG231" i="3"/>
  <c r="AF560" i="3"/>
  <c r="AF545" i="3"/>
  <c r="AF548" i="3"/>
  <c r="AF175" i="3"/>
  <c r="AF507" i="3"/>
  <c r="AF502" i="3"/>
  <c r="AF506" i="3"/>
  <c r="AF496" i="3"/>
  <c r="AF501" i="3"/>
  <c r="AF426" i="3"/>
  <c r="AF438" i="3"/>
  <c r="AG71" i="3"/>
  <c r="AF433" i="3"/>
  <c r="AG61" i="3"/>
  <c r="AF432" i="3"/>
  <c r="AF220" i="3"/>
  <c r="AF415" i="3"/>
  <c r="AF221" i="3"/>
  <c r="AF414" i="3"/>
  <c r="AF381" i="3"/>
  <c r="AF397" i="3"/>
  <c r="AF393" i="3"/>
  <c r="AF379" i="3"/>
  <c r="AF378" i="3"/>
  <c r="AF373" i="3"/>
  <c r="AF375" i="3"/>
  <c r="AF374" i="3"/>
  <c r="AF376" i="3"/>
  <c r="AF319" i="3"/>
  <c r="AF317" i="3"/>
  <c r="AF316" i="3"/>
  <c r="AG33" i="3"/>
  <c r="AF345" i="3"/>
  <c r="AF337" i="3"/>
  <c r="AF327" i="3"/>
  <c r="AF323" i="3"/>
  <c r="AF7" i="3"/>
  <c r="AF347" i="3"/>
  <c r="AG110" i="3"/>
  <c r="AF324" i="3"/>
  <c r="AF359" i="3"/>
  <c r="AF352" i="3"/>
  <c r="AG305" i="3"/>
  <c r="AF305" i="3"/>
  <c r="AF310" i="3"/>
  <c r="AG67" i="3"/>
  <c r="AG75" i="3"/>
  <c r="AG121" i="3"/>
  <c r="AG232" i="3"/>
  <c r="AG70" i="3"/>
  <c r="AG158" i="3"/>
  <c r="AG7" i="3"/>
  <c r="AG79" i="3"/>
  <c r="AG174" i="3"/>
  <c r="AG31" i="3"/>
  <c r="AG35" i="3"/>
  <c r="AG126" i="3"/>
  <c r="AG191" i="3"/>
  <c r="AG64" i="3"/>
  <c r="AF285" i="3"/>
  <c r="AG282" i="3"/>
  <c r="AG285" i="3"/>
  <c r="AG280" i="3"/>
  <c r="AG3" i="3"/>
  <c r="AG163" i="3"/>
  <c r="AG171" i="3"/>
  <c r="AG175" i="3"/>
  <c r="AG192" i="3"/>
  <c r="AG196" i="3"/>
  <c r="AG204" i="3"/>
  <c r="AG221" i="3"/>
  <c r="AG229" i="3"/>
  <c r="AG187" i="3"/>
  <c r="AG228" i="3"/>
  <c r="AG297" i="3"/>
  <c r="AG299" i="3"/>
  <c r="AG77" i="3"/>
  <c r="AG88" i="3"/>
  <c r="AG120" i="3"/>
  <c r="AG148" i="3"/>
  <c r="AG164" i="3"/>
  <c r="AG168" i="3"/>
  <c r="AG197" i="3"/>
  <c r="AG201" i="3"/>
  <c r="AG205" i="3"/>
  <c r="AG218" i="3"/>
  <c r="AF300" i="3"/>
  <c r="AG300" i="3"/>
  <c r="AG281" i="3"/>
  <c r="AG263" i="3"/>
  <c r="AG266" i="3"/>
  <c r="AG264" i="3"/>
  <c r="AG276" i="3"/>
  <c r="AG274" i="3"/>
  <c r="AG302" i="3"/>
  <c r="AG283" i="3"/>
  <c r="AG58" i="3"/>
  <c r="AG78" i="3"/>
  <c r="AG89" i="3"/>
  <c r="AG105" i="3"/>
  <c r="AG161" i="3"/>
  <c r="AG169" i="3"/>
  <c r="AG173" i="3"/>
  <c r="AG182" i="3"/>
  <c r="AG190" i="3"/>
  <c r="AG202" i="3"/>
  <c r="AG251" i="3"/>
  <c r="AG249" i="3"/>
  <c r="AG179" i="3"/>
  <c r="L5" i="3"/>
  <c r="L13" i="3"/>
  <c r="L32" i="3"/>
  <c r="L60" i="3"/>
  <c r="L68" i="3"/>
  <c r="L3" i="3"/>
  <c r="L91" i="3"/>
  <c r="L99" i="3"/>
  <c r="L107" i="3"/>
  <c r="L111" i="3"/>
  <c r="L119" i="3"/>
  <c r="L131" i="3"/>
  <c r="L135" i="3"/>
  <c r="L143" i="3"/>
  <c r="L161" i="3"/>
  <c r="L165" i="3"/>
  <c r="L173" i="3"/>
  <c r="L194" i="3"/>
  <c r="L202" i="3"/>
  <c r="L206" i="3"/>
  <c r="N206" i="3" s="1"/>
  <c r="L214" i="3"/>
  <c r="L223" i="3"/>
  <c r="L235" i="3"/>
  <c r="L14" i="3"/>
  <c r="L18" i="3"/>
  <c r="L29" i="3"/>
  <c r="L37" i="3"/>
  <c r="L45" i="3"/>
  <c r="L49" i="3"/>
  <c r="L69" i="3"/>
  <c r="L73" i="3"/>
  <c r="L80" i="3"/>
  <c r="L88" i="3"/>
  <c r="L92" i="3"/>
  <c r="L104" i="3"/>
  <c r="L108" i="3"/>
  <c r="L112" i="3"/>
  <c r="L116" i="3"/>
  <c r="L120" i="3"/>
  <c r="L124" i="3"/>
  <c r="L132" i="3"/>
  <c r="L136" i="3"/>
  <c r="L144" i="3"/>
  <c r="L154" i="3"/>
  <c r="L170" i="3"/>
  <c r="L174" i="3"/>
  <c r="L178" i="3"/>
  <c r="L183" i="3"/>
  <c r="L191" i="3"/>
  <c r="L207" i="3"/>
  <c r="L211" i="3"/>
  <c r="L216" i="3"/>
  <c r="L236" i="3"/>
  <c r="L240" i="3"/>
  <c r="L243" i="3"/>
  <c r="L7" i="3"/>
  <c r="L11" i="3"/>
  <c r="L15" i="3"/>
  <c r="L19" i="3"/>
  <c r="L26" i="3"/>
  <c r="L30" i="3"/>
  <c r="L34" i="3"/>
  <c r="L38" i="3"/>
  <c r="L42" i="3"/>
  <c r="L46" i="3"/>
  <c r="L50" i="3"/>
  <c r="L54" i="3"/>
  <c r="L58" i="3"/>
  <c r="L62" i="3"/>
  <c r="L66" i="3"/>
  <c r="L70" i="3"/>
  <c r="L74" i="3"/>
  <c r="L78" i="3"/>
  <c r="L81" i="3"/>
  <c r="L85" i="3"/>
  <c r="L89" i="3"/>
  <c r="L93" i="3"/>
  <c r="L97" i="3"/>
  <c r="L101" i="3"/>
  <c r="L105" i="3"/>
  <c r="L109" i="3"/>
  <c r="L113" i="3"/>
  <c r="L117" i="3"/>
  <c r="L121" i="3"/>
  <c r="L125" i="3"/>
  <c r="L129" i="3"/>
  <c r="L133" i="3"/>
  <c r="L137" i="3"/>
  <c r="L141" i="3"/>
  <c r="L145" i="3"/>
  <c r="L149" i="3"/>
  <c r="L153" i="3"/>
  <c r="L155" i="3"/>
  <c r="L159" i="3"/>
  <c r="L163" i="3"/>
  <c r="L167" i="3"/>
  <c r="L171" i="3"/>
  <c r="L175" i="3"/>
  <c r="L180" i="3"/>
  <c r="L184" i="3"/>
  <c r="L192" i="3"/>
  <c r="L196" i="3"/>
  <c r="L200" i="3"/>
  <c r="L204" i="3"/>
  <c r="L208" i="3"/>
  <c r="L212" i="3"/>
  <c r="L217" i="3"/>
  <c r="L221" i="3"/>
  <c r="L225" i="3"/>
  <c r="L229" i="3"/>
  <c r="L233" i="3"/>
  <c r="L237" i="3"/>
  <c r="L241" i="3"/>
  <c r="L244" i="3"/>
  <c r="L9" i="3"/>
  <c r="L17" i="3"/>
  <c r="L21" i="3"/>
  <c r="L24" i="3"/>
  <c r="N24" i="3" s="1"/>
  <c r="L28" i="3"/>
  <c r="L36" i="3"/>
  <c r="L40" i="3"/>
  <c r="L44" i="3"/>
  <c r="L48" i="3"/>
  <c r="L52" i="3"/>
  <c r="L56" i="3"/>
  <c r="L64" i="3"/>
  <c r="L72" i="3"/>
  <c r="L76" i="3"/>
  <c r="L83" i="3"/>
  <c r="L87" i="3"/>
  <c r="L95" i="3"/>
  <c r="L103" i="3"/>
  <c r="L115" i="3"/>
  <c r="L123" i="3"/>
  <c r="L127" i="3"/>
  <c r="L139" i="3"/>
  <c r="L147" i="3"/>
  <c r="L151" i="3"/>
  <c r="L157" i="3"/>
  <c r="L169" i="3"/>
  <c r="L177" i="3"/>
  <c r="L182" i="3"/>
  <c r="L186" i="3"/>
  <c r="L190" i="3"/>
  <c r="L198" i="3"/>
  <c r="L210" i="3"/>
  <c r="L219" i="3"/>
  <c r="L227" i="3"/>
  <c r="L231" i="3"/>
  <c r="L239" i="3"/>
  <c r="L179" i="3"/>
  <c r="L10" i="3"/>
  <c r="L22" i="3"/>
  <c r="L25" i="3"/>
  <c r="L33" i="3"/>
  <c r="L41" i="3"/>
  <c r="L53" i="3"/>
  <c r="L57" i="3"/>
  <c r="L61" i="3"/>
  <c r="L65" i="3"/>
  <c r="L77" i="3"/>
  <c r="L84" i="3"/>
  <c r="L96" i="3"/>
  <c r="L100" i="3"/>
  <c r="L128" i="3"/>
  <c r="L140" i="3"/>
  <c r="L148" i="3"/>
  <c r="L152" i="3"/>
  <c r="L158" i="3"/>
  <c r="L162" i="3"/>
  <c r="L166" i="3"/>
  <c r="L187" i="3"/>
  <c r="L195" i="3"/>
  <c r="L199" i="3"/>
  <c r="L203" i="3"/>
  <c r="L215" i="3"/>
  <c r="L220" i="3"/>
  <c r="L224" i="3"/>
  <c r="L228" i="3"/>
  <c r="L232" i="3"/>
  <c r="L4" i="3"/>
  <c r="L6" i="3"/>
  <c r="L8" i="3"/>
  <c r="L12" i="3"/>
  <c r="L16" i="3"/>
  <c r="L20" i="3"/>
  <c r="L23" i="3"/>
  <c r="L27" i="3"/>
  <c r="L31" i="3"/>
  <c r="L35" i="3"/>
  <c r="L39" i="3"/>
  <c r="L43" i="3"/>
  <c r="L47" i="3"/>
  <c r="L51" i="3"/>
  <c r="L55" i="3"/>
  <c r="L59" i="3"/>
  <c r="L63" i="3"/>
  <c r="L67" i="3"/>
  <c r="L71" i="3"/>
  <c r="L75" i="3"/>
  <c r="L79" i="3"/>
  <c r="L82" i="3"/>
  <c r="L86" i="3"/>
  <c r="L90" i="3"/>
  <c r="L94" i="3"/>
  <c r="L98" i="3"/>
  <c r="L102" i="3"/>
  <c r="L106" i="3"/>
  <c r="L110" i="3"/>
  <c r="L114" i="3"/>
  <c r="L118" i="3"/>
  <c r="L122" i="3"/>
  <c r="L126" i="3"/>
  <c r="L130" i="3"/>
  <c r="L134" i="3"/>
  <c r="L138" i="3"/>
  <c r="L142" i="3"/>
  <c r="L146" i="3"/>
  <c r="L150" i="3"/>
  <c r="L156" i="3"/>
  <c r="L160" i="3"/>
  <c r="L164" i="3"/>
  <c r="L168" i="3"/>
  <c r="L172" i="3"/>
  <c r="L176" i="3"/>
  <c r="L181" i="3"/>
  <c r="L185" i="3"/>
  <c r="L189" i="3"/>
  <c r="L193" i="3"/>
  <c r="L197" i="3"/>
  <c r="L201" i="3"/>
  <c r="L205" i="3"/>
  <c r="L209" i="3"/>
  <c r="L213" i="3"/>
  <c r="L218" i="3"/>
  <c r="L222" i="3"/>
  <c r="L226" i="3"/>
  <c r="L230" i="3"/>
  <c r="L234" i="3"/>
  <c r="L238" i="3"/>
  <c r="L242" i="3"/>
  <c r="L188" i="3"/>
  <c r="AF71" i="3"/>
  <c r="AF299" i="3"/>
  <c r="AF297" i="3"/>
  <c r="AF283" i="3"/>
  <c r="AF302" i="3"/>
  <c r="AF215" i="3"/>
  <c r="AF281" i="3"/>
  <c r="AF263" i="3"/>
  <c r="AF264" i="3"/>
  <c r="AF266" i="3"/>
  <c r="AF274" i="3"/>
  <c r="AF276" i="3"/>
  <c r="AF89" i="3"/>
  <c r="AF231" i="3"/>
  <c r="AF77" i="3"/>
  <c r="AF282" i="3"/>
  <c r="AF280" i="3"/>
  <c r="AF249" i="3"/>
  <c r="AF251" i="3"/>
  <c r="Y244" i="3"/>
  <c r="Y243" i="3"/>
  <c r="Y179" i="3"/>
  <c r="AF229" i="3"/>
  <c r="AF218" i="3"/>
  <c r="AF228" i="3"/>
  <c r="Y242" i="3"/>
  <c r="Y239" i="3"/>
  <c r="Y241" i="3"/>
  <c r="Y240" i="3"/>
  <c r="Y238" i="3"/>
  <c r="Y237" i="3"/>
  <c r="Y236" i="3"/>
  <c r="Y235" i="3"/>
  <c r="Y234" i="3"/>
  <c r="Y232" i="3"/>
  <c r="Y233" i="3"/>
  <c r="Y231" i="3"/>
  <c r="Y230" i="3"/>
  <c r="Y229" i="3"/>
  <c r="Y227" i="3"/>
  <c r="Y228" i="3"/>
  <c r="Y224" i="3"/>
  <c r="Y226" i="3"/>
  <c r="Y225" i="3"/>
  <c r="Y222" i="3"/>
  <c r="Y220" i="3"/>
  <c r="Y221" i="3"/>
  <c r="Y223" i="3"/>
  <c r="Y219" i="3"/>
  <c r="Y218" i="3"/>
  <c r="Y212" i="3"/>
  <c r="Y215" i="3"/>
  <c r="Y217" i="3"/>
  <c r="Y216" i="3"/>
  <c r="Y211" i="3"/>
  <c r="Y207" i="3"/>
  <c r="Y205" i="3"/>
  <c r="Y209" i="3"/>
  <c r="Y213" i="3"/>
  <c r="Y210" i="3"/>
  <c r="Y214" i="3"/>
  <c r="Y208" i="3"/>
  <c r="AF164" i="3"/>
  <c r="AF187" i="3"/>
  <c r="AF191" i="3"/>
  <c r="AF201" i="3"/>
  <c r="AF168" i="3"/>
  <c r="AF196" i="3"/>
  <c r="Y204" i="3"/>
  <c r="Y206" i="3"/>
  <c r="AF161" i="3"/>
  <c r="AF163" i="3"/>
  <c r="AF190" i="3"/>
  <c r="AF192" i="3"/>
  <c r="AF202" i="3"/>
  <c r="AF158" i="3"/>
  <c r="AF169" i="3"/>
  <c r="AF171" i="3"/>
  <c r="AF173" i="3"/>
  <c r="AF197" i="3"/>
  <c r="Y199" i="3"/>
  <c r="Y203" i="3"/>
  <c r="Y188" i="3"/>
  <c r="Y195" i="3"/>
  <c r="Y190" i="3"/>
  <c r="Y202" i="3"/>
  <c r="Y198" i="3"/>
  <c r="Y200" i="3"/>
  <c r="Y182" i="3"/>
  <c r="Y183" i="3"/>
  <c r="Y191" i="3"/>
  <c r="Y193" i="3"/>
  <c r="Y197" i="3"/>
  <c r="Y192" i="3"/>
  <c r="Y194" i="3"/>
  <c r="Y201" i="3"/>
  <c r="Y196" i="3"/>
  <c r="Y189" i="3"/>
  <c r="Y187" i="3"/>
  <c r="Y184" i="3"/>
  <c r="Y186" i="3"/>
  <c r="Y163" i="3"/>
  <c r="Y180" i="3"/>
  <c r="Y185" i="3"/>
  <c r="Y181" i="3"/>
  <c r="Y166" i="3"/>
  <c r="Y174" i="3"/>
  <c r="Y178" i="3"/>
  <c r="Y158" i="3"/>
  <c r="Y165" i="3"/>
  <c r="Y173" i="3"/>
  <c r="Y175" i="3"/>
  <c r="Y177" i="3"/>
  <c r="Y171" i="3"/>
  <c r="Y176" i="3"/>
  <c r="Y161" i="3"/>
  <c r="Y169" i="3"/>
  <c r="Y168" i="3"/>
  <c r="Y170" i="3"/>
  <c r="Y155" i="3"/>
  <c r="Y172" i="3"/>
  <c r="Y159" i="3"/>
  <c r="Y160" i="3"/>
  <c r="Y164" i="3"/>
  <c r="Y157" i="3"/>
  <c r="Y167" i="3"/>
  <c r="Y156" i="3"/>
  <c r="Y162" i="3"/>
  <c r="Y154" i="3"/>
  <c r="Y153" i="3"/>
  <c r="Y152" i="3"/>
  <c r="Y151" i="3"/>
  <c r="Y150" i="3"/>
  <c r="Y149" i="3"/>
  <c r="AF135" i="3"/>
  <c r="AF126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AF58" i="3"/>
  <c r="AF110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AF79" i="3"/>
  <c r="AF75" i="3"/>
  <c r="AF76" i="3"/>
  <c r="AF72" i="3"/>
  <c r="Y89" i="3"/>
  <c r="Y88" i="3"/>
  <c r="Y87" i="3"/>
  <c r="Y86" i="3"/>
  <c r="Y85" i="3"/>
  <c r="Y84" i="3"/>
  <c r="Y83" i="3"/>
  <c r="Y82" i="3"/>
  <c r="Y81" i="3"/>
  <c r="Y80" i="3"/>
  <c r="Y3" i="3"/>
  <c r="Y79" i="3"/>
  <c r="Y78" i="3"/>
  <c r="Y77" i="3"/>
  <c r="Y76" i="3"/>
  <c r="Y75" i="3"/>
  <c r="Y74" i="3"/>
  <c r="Y73" i="3"/>
  <c r="Y72" i="3"/>
  <c r="AF70" i="3"/>
  <c r="AF67" i="3"/>
  <c r="Y71" i="3"/>
  <c r="Y70" i="3"/>
  <c r="AF61" i="3"/>
  <c r="AF64" i="3"/>
  <c r="Y69" i="3"/>
  <c r="Y68" i="3"/>
  <c r="Y67" i="3"/>
  <c r="Y66" i="3"/>
  <c r="Y65" i="3"/>
  <c r="Y64" i="3"/>
  <c r="Y63" i="3"/>
  <c r="Y62" i="3"/>
  <c r="AF35" i="3"/>
  <c r="AF33" i="3"/>
  <c r="AF31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13" i="3"/>
  <c r="Y22" i="3"/>
  <c r="Y4" i="3"/>
  <c r="Y5" i="3"/>
  <c r="Y8" i="3"/>
  <c r="Y10" i="3"/>
  <c r="Y12" i="3"/>
  <c r="Y14" i="3"/>
  <c r="Y15" i="3"/>
  <c r="Y9" i="3"/>
  <c r="Y18" i="3"/>
  <c r="Y19" i="3"/>
  <c r="Y20" i="3"/>
  <c r="Y21" i="3"/>
  <c r="Y6" i="3"/>
  <c r="Y16" i="3"/>
  <c r="Y17" i="3"/>
  <c r="Y7" i="3"/>
  <c r="Y11" i="3"/>
  <c r="M24" i="3" l="1"/>
  <c r="V24" i="3" s="1"/>
  <c r="W24" i="3" s="1"/>
  <c r="M206" i="3"/>
  <c r="Q206" i="3" s="1"/>
  <c r="S206" i="3" s="1"/>
  <c r="M242" i="3"/>
  <c r="Q242" i="3" s="1"/>
  <c r="S242" i="3" s="1"/>
  <c r="N242" i="3"/>
  <c r="M234" i="3"/>
  <c r="Q234" i="3" s="1"/>
  <c r="S234" i="3" s="1"/>
  <c r="N234" i="3"/>
  <c r="M226" i="3"/>
  <c r="V226" i="3" s="1"/>
  <c r="W226" i="3" s="1"/>
  <c r="N226" i="3"/>
  <c r="M218" i="3"/>
  <c r="V218" i="3" s="1"/>
  <c r="W218" i="3" s="1"/>
  <c r="N218" i="3"/>
  <c r="M209" i="3"/>
  <c r="Q209" i="3" s="1"/>
  <c r="S209" i="3" s="1"/>
  <c r="N209" i="3"/>
  <c r="M201" i="3"/>
  <c r="Q201" i="3" s="1"/>
  <c r="S201" i="3" s="1"/>
  <c r="N201" i="3"/>
  <c r="M193" i="3"/>
  <c r="Q193" i="3" s="1"/>
  <c r="S193" i="3" s="1"/>
  <c r="N193" i="3"/>
  <c r="M185" i="3"/>
  <c r="V185" i="3" s="1"/>
  <c r="W185" i="3" s="1"/>
  <c r="N185" i="3"/>
  <c r="M176" i="3"/>
  <c r="V176" i="3" s="1"/>
  <c r="W176" i="3" s="1"/>
  <c r="N176" i="3"/>
  <c r="M168" i="3"/>
  <c r="V168" i="3" s="1"/>
  <c r="W168" i="3" s="1"/>
  <c r="N168" i="3"/>
  <c r="M160" i="3"/>
  <c r="V160" i="3" s="1"/>
  <c r="W160" i="3" s="1"/>
  <c r="N160" i="3"/>
  <c r="M150" i="3"/>
  <c r="V150" i="3" s="1"/>
  <c r="W150" i="3" s="1"/>
  <c r="N150" i="3"/>
  <c r="M142" i="3"/>
  <c r="Q142" i="3" s="1"/>
  <c r="S142" i="3" s="1"/>
  <c r="N142" i="3"/>
  <c r="M134" i="3"/>
  <c r="Q134" i="3" s="1"/>
  <c r="S134" i="3" s="1"/>
  <c r="N134" i="3"/>
  <c r="M126" i="3"/>
  <c r="V126" i="3" s="1"/>
  <c r="W126" i="3" s="1"/>
  <c r="N126" i="3"/>
  <c r="M118" i="3"/>
  <c r="V118" i="3" s="1"/>
  <c r="W118" i="3" s="1"/>
  <c r="N118" i="3"/>
  <c r="M110" i="3"/>
  <c r="V110" i="3" s="1"/>
  <c r="W110" i="3" s="1"/>
  <c r="N110" i="3"/>
  <c r="M102" i="3"/>
  <c r="V102" i="3" s="1"/>
  <c r="W102" i="3" s="1"/>
  <c r="N102" i="3"/>
  <c r="M94" i="3"/>
  <c r="V94" i="3" s="1"/>
  <c r="W94" i="3" s="1"/>
  <c r="N94" i="3"/>
  <c r="M86" i="3"/>
  <c r="Q86" i="3" s="1"/>
  <c r="S86" i="3" s="1"/>
  <c r="N86" i="3"/>
  <c r="M79" i="3"/>
  <c r="V79" i="3" s="1"/>
  <c r="W79" i="3" s="1"/>
  <c r="N79" i="3"/>
  <c r="M71" i="3"/>
  <c r="V71" i="3" s="1"/>
  <c r="W71" i="3" s="1"/>
  <c r="N71" i="3"/>
  <c r="M63" i="3"/>
  <c r="V63" i="3" s="1"/>
  <c r="W63" i="3" s="1"/>
  <c r="N63" i="3"/>
  <c r="M55" i="3"/>
  <c r="Q55" i="3" s="1"/>
  <c r="S55" i="3" s="1"/>
  <c r="N55" i="3"/>
  <c r="M47" i="3"/>
  <c r="V47" i="3" s="1"/>
  <c r="W47" i="3" s="1"/>
  <c r="N47" i="3"/>
  <c r="M39" i="3"/>
  <c r="V39" i="3" s="1"/>
  <c r="W39" i="3" s="1"/>
  <c r="N39" i="3"/>
  <c r="M31" i="3"/>
  <c r="V31" i="3" s="1"/>
  <c r="W31" i="3" s="1"/>
  <c r="N31" i="3"/>
  <c r="M23" i="3"/>
  <c r="Q23" i="3" s="1"/>
  <c r="S23" i="3" s="1"/>
  <c r="N23" i="3"/>
  <c r="M16" i="3"/>
  <c r="V16" i="3" s="1"/>
  <c r="W16" i="3" s="1"/>
  <c r="N16" i="3"/>
  <c r="M8" i="3"/>
  <c r="V8" i="3" s="1"/>
  <c r="W8" i="3" s="1"/>
  <c r="N8" i="3"/>
  <c r="M4" i="3"/>
  <c r="V4" i="3" s="1"/>
  <c r="W4" i="3" s="1"/>
  <c r="N4" i="3"/>
  <c r="M228" i="3"/>
  <c r="Q228" i="3" s="1"/>
  <c r="S228" i="3" s="1"/>
  <c r="N228" i="3"/>
  <c r="M220" i="3"/>
  <c r="V220" i="3" s="1"/>
  <c r="W220" i="3" s="1"/>
  <c r="N220" i="3"/>
  <c r="M203" i="3"/>
  <c r="V203" i="3" s="1"/>
  <c r="W203" i="3" s="1"/>
  <c r="N203" i="3"/>
  <c r="M195" i="3"/>
  <c r="Q195" i="3" s="1"/>
  <c r="S195" i="3" s="1"/>
  <c r="N195" i="3"/>
  <c r="M166" i="3"/>
  <c r="V166" i="3" s="1"/>
  <c r="W166" i="3" s="1"/>
  <c r="N166" i="3"/>
  <c r="M158" i="3"/>
  <c r="Q158" i="3" s="1"/>
  <c r="S158" i="3" s="1"/>
  <c r="N158" i="3"/>
  <c r="M148" i="3"/>
  <c r="V148" i="3" s="1"/>
  <c r="W148" i="3" s="1"/>
  <c r="N148" i="3"/>
  <c r="M128" i="3"/>
  <c r="V128" i="3" s="1"/>
  <c r="W128" i="3" s="1"/>
  <c r="N128" i="3"/>
  <c r="M96" i="3"/>
  <c r="V96" i="3" s="1"/>
  <c r="W96" i="3" s="1"/>
  <c r="N96" i="3"/>
  <c r="M77" i="3"/>
  <c r="V77" i="3" s="1"/>
  <c r="W77" i="3" s="1"/>
  <c r="N77" i="3"/>
  <c r="M61" i="3"/>
  <c r="Q61" i="3" s="1"/>
  <c r="S61" i="3" s="1"/>
  <c r="N61" i="3"/>
  <c r="M53" i="3"/>
  <c r="V53" i="3" s="1"/>
  <c r="W53" i="3" s="1"/>
  <c r="N53" i="3"/>
  <c r="M33" i="3"/>
  <c r="V33" i="3" s="1"/>
  <c r="W33" i="3" s="1"/>
  <c r="N33" i="3"/>
  <c r="M22" i="3"/>
  <c r="V22" i="3" s="1"/>
  <c r="W22" i="3" s="1"/>
  <c r="N22" i="3"/>
  <c r="M179" i="3"/>
  <c r="Q179" i="3" s="1"/>
  <c r="S179" i="3" s="1"/>
  <c r="N179" i="3"/>
  <c r="M231" i="3"/>
  <c r="V231" i="3" s="1"/>
  <c r="W231" i="3" s="1"/>
  <c r="N231" i="3"/>
  <c r="M219" i="3"/>
  <c r="Q219" i="3" s="1"/>
  <c r="S219" i="3" s="1"/>
  <c r="N219" i="3"/>
  <c r="M198" i="3"/>
  <c r="Q198" i="3" s="1"/>
  <c r="S198" i="3" s="1"/>
  <c r="N198" i="3"/>
  <c r="M186" i="3"/>
  <c r="V186" i="3" s="1"/>
  <c r="W186" i="3" s="1"/>
  <c r="N186" i="3"/>
  <c r="M177" i="3"/>
  <c r="V177" i="3" s="1"/>
  <c r="W177" i="3" s="1"/>
  <c r="N177" i="3"/>
  <c r="M157" i="3"/>
  <c r="V157" i="3" s="1"/>
  <c r="W157" i="3" s="1"/>
  <c r="N157" i="3"/>
  <c r="M147" i="3"/>
  <c r="Q147" i="3" s="1"/>
  <c r="S147" i="3" s="1"/>
  <c r="N147" i="3"/>
  <c r="M127" i="3"/>
  <c r="V127" i="3" s="1"/>
  <c r="W127" i="3" s="1"/>
  <c r="N127" i="3"/>
  <c r="M115" i="3"/>
  <c r="Q115" i="3" s="1"/>
  <c r="S115" i="3" s="1"/>
  <c r="N115" i="3"/>
  <c r="M95" i="3"/>
  <c r="V95" i="3" s="1"/>
  <c r="W95" i="3" s="1"/>
  <c r="N95" i="3"/>
  <c r="M83" i="3"/>
  <c r="Q83" i="3" s="1"/>
  <c r="S83" i="3" s="1"/>
  <c r="N83" i="3"/>
  <c r="M72" i="3"/>
  <c r="V72" i="3" s="1"/>
  <c r="W72" i="3" s="1"/>
  <c r="N72" i="3"/>
  <c r="M56" i="3"/>
  <c r="Q56" i="3" s="1"/>
  <c r="S56" i="3" s="1"/>
  <c r="N56" i="3"/>
  <c r="M48" i="3"/>
  <c r="V48" i="3" s="1"/>
  <c r="W48" i="3" s="1"/>
  <c r="N48" i="3"/>
  <c r="M40" i="3"/>
  <c r="Q40" i="3" s="1"/>
  <c r="S40" i="3" s="1"/>
  <c r="N40" i="3"/>
  <c r="M28" i="3"/>
  <c r="V28" i="3" s="1"/>
  <c r="W28" i="3" s="1"/>
  <c r="N28" i="3"/>
  <c r="M21" i="3"/>
  <c r="V21" i="3" s="1"/>
  <c r="W21" i="3" s="1"/>
  <c r="N21" i="3"/>
  <c r="M9" i="3"/>
  <c r="Q9" i="3" s="1"/>
  <c r="S9" i="3" s="1"/>
  <c r="N9" i="3"/>
  <c r="M241" i="3"/>
  <c r="Q241" i="3" s="1"/>
  <c r="S241" i="3" s="1"/>
  <c r="N241" i="3"/>
  <c r="M233" i="3"/>
  <c r="Q233" i="3" s="1"/>
  <c r="S233" i="3" s="1"/>
  <c r="N233" i="3"/>
  <c r="M225" i="3"/>
  <c r="V225" i="3" s="1"/>
  <c r="W225" i="3" s="1"/>
  <c r="N225" i="3"/>
  <c r="M217" i="3"/>
  <c r="V217" i="3" s="1"/>
  <c r="W217" i="3" s="1"/>
  <c r="N217" i="3"/>
  <c r="M208" i="3"/>
  <c r="V208" i="3" s="1"/>
  <c r="W208" i="3" s="1"/>
  <c r="N208" i="3"/>
  <c r="M200" i="3"/>
  <c r="V200" i="3" s="1"/>
  <c r="W200" i="3" s="1"/>
  <c r="N200" i="3"/>
  <c r="M192" i="3"/>
  <c r="Q192" i="3" s="1"/>
  <c r="S192" i="3" s="1"/>
  <c r="N192" i="3"/>
  <c r="M180" i="3"/>
  <c r="Q180" i="3" s="1"/>
  <c r="S180" i="3" s="1"/>
  <c r="N180" i="3"/>
  <c r="M171" i="3"/>
  <c r="Q171" i="3" s="1"/>
  <c r="S171" i="3" s="1"/>
  <c r="N171" i="3"/>
  <c r="M163" i="3"/>
  <c r="V163" i="3" s="1"/>
  <c r="W163" i="3" s="1"/>
  <c r="N163" i="3"/>
  <c r="M155" i="3"/>
  <c r="Q155" i="3" s="1"/>
  <c r="S155" i="3" s="1"/>
  <c r="N155" i="3"/>
  <c r="M149" i="3"/>
  <c r="V149" i="3" s="1"/>
  <c r="W149" i="3" s="1"/>
  <c r="N149" i="3"/>
  <c r="M141" i="3"/>
  <c r="V141" i="3" s="1"/>
  <c r="W141" i="3" s="1"/>
  <c r="N141" i="3"/>
  <c r="M133" i="3"/>
  <c r="Q133" i="3" s="1"/>
  <c r="S133" i="3" s="1"/>
  <c r="N133" i="3"/>
  <c r="M125" i="3"/>
  <c r="Q125" i="3" s="1"/>
  <c r="S125" i="3" s="1"/>
  <c r="N125" i="3"/>
  <c r="M117" i="3"/>
  <c r="V117" i="3" s="1"/>
  <c r="W117" i="3" s="1"/>
  <c r="N117" i="3"/>
  <c r="M109" i="3"/>
  <c r="V109" i="3" s="1"/>
  <c r="W109" i="3" s="1"/>
  <c r="N109" i="3"/>
  <c r="M101" i="3"/>
  <c r="V101" i="3" s="1"/>
  <c r="W101" i="3" s="1"/>
  <c r="N101" i="3"/>
  <c r="M93" i="3"/>
  <c r="V93" i="3" s="1"/>
  <c r="W93" i="3" s="1"/>
  <c r="N93" i="3"/>
  <c r="M85" i="3"/>
  <c r="V85" i="3" s="1"/>
  <c r="W85" i="3" s="1"/>
  <c r="N85" i="3"/>
  <c r="M78" i="3"/>
  <c r="V78" i="3" s="1"/>
  <c r="W78" i="3" s="1"/>
  <c r="N78" i="3"/>
  <c r="M70" i="3"/>
  <c r="V70" i="3" s="1"/>
  <c r="W70" i="3" s="1"/>
  <c r="N70" i="3"/>
  <c r="M62" i="3"/>
  <c r="V62" i="3" s="1"/>
  <c r="W62" i="3" s="1"/>
  <c r="N62" i="3"/>
  <c r="M54" i="3"/>
  <c r="V54" i="3" s="1"/>
  <c r="W54" i="3" s="1"/>
  <c r="N54" i="3"/>
  <c r="M46" i="3"/>
  <c r="Q46" i="3" s="1"/>
  <c r="S46" i="3" s="1"/>
  <c r="N46" i="3"/>
  <c r="M38" i="3"/>
  <c r="V38" i="3" s="1"/>
  <c r="W38" i="3" s="1"/>
  <c r="N38" i="3"/>
  <c r="M30" i="3"/>
  <c r="V30" i="3" s="1"/>
  <c r="W30" i="3" s="1"/>
  <c r="N30" i="3"/>
  <c r="M19" i="3"/>
  <c r="V19" i="3" s="1"/>
  <c r="W19" i="3" s="1"/>
  <c r="N19" i="3"/>
  <c r="M11" i="3"/>
  <c r="Q11" i="3" s="1"/>
  <c r="S11" i="3" s="1"/>
  <c r="N11" i="3"/>
  <c r="M243" i="3"/>
  <c r="V243" i="3" s="1"/>
  <c r="W243" i="3" s="1"/>
  <c r="N243" i="3"/>
  <c r="M236" i="3"/>
  <c r="Q236" i="3" s="1"/>
  <c r="S236" i="3" s="1"/>
  <c r="N236" i="3"/>
  <c r="M211" i="3"/>
  <c r="Q211" i="3" s="1"/>
  <c r="S211" i="3" s="1"/>
  <c r="N211" i="3"/>
  <c r="M191" i="3"/>
  <c r="V191" i="3" s="1"/>
  <c r="W191" i="3" s="1"/>
  <c r="N191" i="3"/>
  <c r="M178" i="3"/>
  <c r="V178" i="3" s="1"/>
  <c r="W178" i="3" s="1"/>
  <c r="N178" i="3"/>
  <c r="M170" i="3"/>
  <c r="V170" i="3" s="1"/>
  <c r="W170" i="3" s="1"/>
  <c r="N170" i="3"/>
  <c r="M144" i="3"/>
  <c r="V144" i="3" s="1"/>
  <c r="W144" i="3" s="1"/>
  <c r="N144" i="3"/>
  <c r="M132" i="3"/>
  <c r="Q132" i="3" s="1"/>
  <c r="S132" i="3" s="1"/>
  <c r="N132" i="3"/>
  <c r="M120" i="3"/>
  <c r="V120" i="3" s="1"/>
  <c r="W120" i="3" s="1"/>
  <c r="N120" i="3"/>
  <c r="M112" i="3"/>
  <c r="Q112" i="3" s="1"/>
  <c r="S112" i="3" s="1"/>
  <c r="N112" i="3"/>
  <c r="M104" i="3"/>
  <c r="V104" i="3" s="1"/>
  <c r="W104" i="3" s="1"/>
  <c r="N104" i="3"/>
  <c r="M88" i="3"/>
  <c r="V88" i="3" s="1"/>
  <c r="W88" i="3" s="1"/>
  <c r="N88" i="3"/>
  <c r="M73" i="3"/>
  <c r="V73" i="3" s="1"/>
  <c r="W73" i="3" s="1"/>
  <c r="N73" i="3"/>
  <c r="M49" i="3"/>
  <c r="V49" i="3" s="1"/>
  <c r="W49" i="3" s="1"/>
  <c r="N49" i="3"/>
  <c r="M37" i="3"/>
  <c r="V37" i="3" s="1"/>
  <c r="W37" i="3" s="1"/>
  <c r="N37" i="3"/>
  <c r="M18" i="3"/>
  <c r="V18" i="3" s="1"/>
  <c r="W18" i="3" s="1"/>
  <c r="N18" i="3"/>
  <c r="M235" i="3"/>
  <c r="V235" i="3" s="1"/>
  <c r="W235" i="3" s="1"/>
  <c r="N235" i="3"/>
  <c r="M214" i="3"/>
  <c r="V214" i="3" s="1"/>
  <c r="W214" i="3" s="1"/>
  <c r="N214" i="3"/>
  <c r="M202" i="3"/>
  <c r="V202" i="3" s="1"/>
  <c r="W202" i="3" s="1"/>
  <c r="N202" i="3"/>
  <c r="M173" i="3"/>
  <c r="V173" i="3" s="1"/>
  <c r="W173" i="3" s="1"/>
  <c r="N173" i="3"/>
  <c r="M161" i="3"/>
  <c r="V161" i="3" s="1"/>
  <c r="W161" i="3" s="1"/>
  <c r="N161" i="3"/>
  <c r="M135" i="3"/>
  <c r="V135" i="3" s="1"/>
  <c r="W135" i="3" s="1"/>
  <c r="N135" i="3"/>
  <c r="M119" i="3"/>
  <c r="V119" i="3" s="1"/>
  <c r="W119" i="3" s="1"/>
  <c r="N119" i="3"/>
  <c r="M107" i="3"/>
  <c r="Q107" i="3" s="1"/>
  <c r="S107" i="3" s="1"/>
  <c r="N107" i="3"/>
  <c r="M91" i="3"/>
  <c r="V91" i="3" s="1"/>
  <c r="W91" i="3" s="1"/>
  <c r="N91" i="3"/>
  <c r="M68" i="3"/>
  <c r="Q68" i="3" s="1"/>
  <c r="S68" i="3" s="1"/>
  <c r="N68" i="3"/>
  <c r="M32" i="3"/>
  <c r="V32" i="3" s="1"/>
  <c r="W32" i="3" s="1"/>
  <c r="N32" i="3"/>
  <c r="M5" i="3"/>
  <c r="V5" i="3" s="1"/>
  <c r="W5" i="3" s="1"/>
  <c r="N5" i="3"/>
  <c r="M188" i="3"/>
  <c r="V188" i="3" s="1"/>
  <c r="W188" i="3" s="1"/>
  <c r="N188" i="3"/>
  <c r="M238" i="3"/>
  <c r="Q238" i="3" s="1"/>
  <c r="S238" i="3" s="1"/>
  <c r="N238" i="3"/>
  <c r="M230" i="3"/>
  <c r="Q230" i="3" s="1"/>
  <c r="S230" i="3" s="1"/>
  <c r="N230" i="3"/>
  <c r="M222" i="3"/>
  <c r="V222" i="3" s="1"/>
  <c r="W222" i="3" s="1"/>
  <c r="N222" i="3"/>
  <c r="M213" i="3"/>
  <c r="Q213" i="3" s="1"/>
  <c r="S213" i="3" s="1"/>
  <c r="N213" i="3"/>
  <c r="M205" i="3"/>
  <c r="V205" i="3" s="1"/>
  <c r="W205" i="3" s="1"/>
  <c r="N205" i="3"/>
  <c r="M197" i="3"/>
  <c r="V197" i="3" s="1"/>
  <c r="W197" i="3" s="1"/>
  <c r="N197" i="3"/>
  <c r="M189" i="3"/>
  <c r="V189" i="3" s="1"/>
  <c r="W189" i="3" s="1"/>
  <c r="N189" i="3"/>
  <c r="M181" i="3"/>
  <c r="V181" i="3" s="1"/>
  <c r="W181" i="3" s="1"/>
  <c r="N181" i="3"/>
  <c r="M172" i="3"/>
  <c r="V172" i="3" s="1"/>
  <c r="W172" i="3" s="1"/>
  <c r="N172" i="3"/>
  <c r="M164" i="3"/>
  <c r="V164" i="3" s="1"/>
  <c r="W164" i="3" s="1"/>
  <c r="N164" i="3"/>
  <c r="M156" i="3"/>
  <c r="Q156" i="3" s="1"/>
  <c r="S156" i="3" s="1"/>
  <c r="N156" i="3"/>
  <c r="M146" i="3"/>
  <c r="V146" i="3" s="1"/>
  <c r="W146" i="3" s="1"/>
  <c r="N146" i="3"/>
  <c r="M138" i="3"/>
  <c r="V138" i="3" s="1"/>
  <c r="W138" i="3" s="1"/>
  <c r="N138" i="3"/>
  <c r="M130" i="3"/>
  <c r="V130" i="3" s="1"/>
  <c r="W130" i="3" s="1"/>
  <c r="N130" i="3"/>
  <c r="M122" i="3"/>
  <c r="V122" i="3" s="1"/>
  <c r="W122" i="3" s="1"/>
  <c r="N122" i="3"/>
  <c r="M114" i="3"/>
  <c r="V114" i="3" s="1"/>
  <c r="W114" i="3" s="1"/>
  <c r="N114" i="3"/>
  <c r="M106" i="3"/>
  <c r="V106" i="3" s="1"/>
  <c r="W106" i="3" s="1"/>
  <c r="N106" i="3"/>
  <c r="M98" i="3"/>
  <c r="V98" i="3" s="1"/>
  <c r="W98" i="3" s="1"/>
  <c r="N98" i="3"/>
  <c r="M90" i="3"/>
  <c r="V90" i="3" s="1"/>
  <c r="W90" i="3" s="1"/>
  <c r="N90" i="3"/>
  <c r="M82" i="3"/>
  <c r="V82" i="3" s="1"/>
  <c r="W82" i="3" s="1"/>
  <c r="N82" i="3"/>
  <c r="M75" i="3"/>
  <c r="V75" i="3" s="1"/>
  <c r="W75" i="3" s="1"/>
  <c r="N75" i="3"/>
  <c r="M67" i="3"/>
  <c r="V67" i="3" s="1"/>
  <c r="W67" i="3" s="1"/>
  <c r="N67" i="3"/>
  <c r="M59" i="3"/>
  <c r="V59" i="3" s="1"/>
  <c r="W59" i="3" s="1"/>
  <c r="N59" i="3"/>
  <c r="M51" i="3"/>
  <c r="Q51" i="3" s="1"/>
  <c r="S51" i="3" s="1"/>
  <c r="N51" i="3"/>
  <c r="M43" i="3"/>
  <c r="V43" i="3" s="1"/>
  <c r="W43" i="3" s="1"/>
  <c r="N43" i="3"/>
  <c r="M35" i="3"/>
  <c r="Q35" i="3" s="1"/>
  <c r="S35" i="3" s="1"/>
  <c r="N35" i="3"/>
  <c r="M27" i="3"/>
  <c r="V27" i="3" s="1"/>
  <c r="W27" i="3" s="1"/>
  <c r="N27" i="3"/>
  <c r="M20" i="3"/>
  <c r="V20" i="3" s="1"/>
  <c r="W20" i="3" s="1"/>
  <c r="N20" i="3"/>
  <c r="M12" i="3"/>
  <c r="V12" i="3" s="1"/>
  <c r="W12" i="3" s="1"/>
  <c r="N12" i="3"/>
  <c r="M6" i="3"/>
  <c r="V6" i="3" s="1"/>
  <c r="W6" i="3" s="1"/>
  <c r="N6" i="3"/>
  <c r="M232" i="3"/>
  <c r="Q232" i="3" s="1"/>
  <c r="S232" i="3" s="1"/>
  <c r="N232" i="3"/>
  <c r="M224" i="3"/>
  <c r="Q224" i="3" s="1"/>
  <c r="S224" i="3" s="1"/>
  <c r="N224" i="3"/>
  <c r="M215" i="3"/>
  <c r="Q215" i="3" s="1"/>
  <c r="S215" i="3" s="1"/>
  <c r="N215" i="3"/>
  <c r="M199" i="3"/>
  <c r="V199" i="3" s="1"/>
  <c r="W199" i="3" s="1"/>
  <c r="N199" i="3"/>
  <c r="M187" i="3"/>
  <c r="Q187" i="3" s="1"/>
  <c r="S187" i="3" s="1"/>
  <c r="N187" i="3"/>
  <c r="M162" i="3"/>
  <c r="V162" i="3" s="1"/>
  <c r="W162" i="3" s="1"/>
  <c r="N162" i="3"/>
  <c r="M152" i="3"/>
  <c r="V152" i="3" s="1"/>
  <c r="W152" i="3" s="1"/>
  <c r="N152" i="3"/>
  <c r="M140" i="3"/>
  <c r="Q140" i="3" s="1"/>
  <c r="S140" i="3" s="1"/>
  <c r="N140" i="3"/>
  <c r="M100" i="3"/>
  <c r="V100" i="3" s="1"/>
  <c r="W100" i="3" s="1"/>
  <c r="N100" i="3"/>
  <c r="M84" i="3"/>
  <c r="V84" i="3" s="1"/>
  <c r="W84" i="3" s="1"/>
  <c r="N84" i="3"/>
  <c r="M65" i="3"/>
  <c r="V65" i="3" s="1"/>
  <c r="W65" i="3" s="1"/>
  <c r="N65" i="3"/>
  <c r="M57" i="3"/>
  <c r="V57" i="3" s="1"/>
  <c r="W57" i="3" s="1"/>
  <c r="N57" i="3"/>
  <c r="M41" i="3"/>
  <c r="V41" i="3" s="1"/>
  <c r="W41" i="3" s="1"/>
  <c r="N41" i="3"/>
  <c r="M25" i="3"/>
  <c r="Q25" i="3" s="1"/>
  <c r="S25" i="3" s="1"/>
  <c r="N25" i="3"/>
  <c r="M10" i="3"/>
  <c r="Q10" i="3" s="1"/>
  <c r="S10" i="3" s="1"/>
  <c r="N10" i="3"/>
  <c r="M239" i="3"/>
  <c r="Q239" i="3" s="1"/>
  <c r="S239" i="3" s="1"/>
  <c r="N239" i="3"/>
  <c r="M227" i="3"/>
  <c r="V227" i="3" s="1"/>
  <c r="W227" i="3" s="1"/>
  <c r="N227" i="3"/>
  <c r="M210" i="3"/>
  <c r="Q210" i="3" s="1"/>
  <c r="S210" i="3" s="1"/>
  <c r="N210" i="3"/>
  <c r="M190" i="3"/>
  <c r="Q190" i="3" s="1"/>
  <c r="S190" i="3" s="1"/>
  <c r="N190" i="3"/>
  <c r="M182" i="3"/>
  <c r="Q182" i="3" s="1"/>
  <c r="S182" i="3" s="1"/>
  <c r="N182" i="3"/>
  <c r="M169" i="3"/>
  <c r="Q169" i="3" s="1"/>
  <c r="S169" i="3" s="1"/>
  <c r="N169" i="3"/>
  <c r="M151" i="3"/>
  <c r="V151" i="3" s="1"/>
  <c r="W151" i="3" s="1"/>
  <c r="N151" i="3"/>
  <c r="M139" i="3"/>
  <c r="V139" i="3" s="1"/>
  <c r="W139" i="3" s="1"/>
  <c r="N139" i="3"/>
  <c r="M123" i="3"/>
  <c r="V123" i="3" s="1"/>
  <c r="W123" i="3" s="1"/>
  <c r="N123" i="3"/>
  <c r="M103" i="3"/>
  <c r="V103" i="3" s="1"/>
  <c r="W103" i="3" s="1"/>
  <c r="N103" i="3"/>
  <c r="M87" i="3"/>
  <c r="V87" i="3" s="1"/>
  <c r="W87" i="3" s="1"/>
  <c r="N87" i="3"/>
  <c r="M76" i="3"/>
  <c r="V76" i="3" s="1"/>
  <c r="W76" i="3" s="1"/>
  <c r="N76" i="3"/>
  <c r="M64" i="3"/>
  <c r="Q64" i="3" s="1"/>
  <c r="S64" i="3" s="1"/>
  <c r="N64" i="3"/>
  <c r="M52" i="3"/>
  <c r="V52" i="3" s="1"/>
  <c r="W52" i="3" s="1"/>
  <c r="N52" i="3"/>
  <c r="M44" i="3"/>
  <c r="Q44" i="3" s="1"/>
  <c r="S44" i="3" s="1"/>
  <c r="N44" i="3"/>
  <c r="M36" i="3"/>
  <c r="V36" i="3" s="1"/>
  <c r="W36" i="3" s="1"/>
  <c r="N36" i="3"/>
  <c r="M17" i="3"/>
  <c r="V17" i="3" s="1"/>
  <c r="W17" i="3" s="1"/>
  <c r="N17" i="3"/>
  <c r="M244" i="3"/>
  <c r="V244" i="3" s="1"/>
  <c r="W244" i="3" s="1"/>
  <c r="N244" i="3"/>
  <c r="M237" i="3"/>
  <c r="V237" i="3" s="1"/>
  <c r="W237" i="3" s="1"/>
  <c r="N237" i="3"/>
  <c r="M229" i="3"/>
  <c r="Q229" i="3" s="1"/>
  <c r="S229" i="3" s="1"/>
  <c r="N229" i="3"/>
  <c r="M221" i="3"/>
  <c r="V221" i="3" s="1"/>
  <c r="W221" i="3" s="1"/>
  <c r="N221" i="3"/>
  <c r="M212" i="3"/>
  <c r="V212" i="3" s="1"/>
  <c r="W212" i="3" s="1"/>
  <c r="N212" i="3"/>
  <c r="M204" i="3"/>
  <c r="V204" i="3" s="1"/>
  <c r="W204" i="3" s="1"/>
  <c r="N204" i="3"/>
  <c r="M196" i="3"/>
  <c r="Q196" i="3" s="1"/>
  <c r="S196" i="3" s="1"/>
  <c r="N196" i="3"/>
  <c r="M184" i="3"/>
  <c r="Q184" i="3" s="1"/>
  <c r="S184" i="3" s="1"/>
  <c r="N184" i="3"/>
  <c r="M175" i="3"/>
  <c r="Q175" i="3" s="1"/>
  <c r="S175" i="3" s="1"/>
  <c r="N175" i="3"/>
  <c r="M167" i="3"/>
  <c r="V167" i="3" s="1"/>
  <c r="W167" i="3" s="1"/>
  <c r="N167" i="3"/>
  <c r="M159" i="3"/>
  <c r="V159" i="3" s="1"/>
  <c r="W159" i="3" s="1"/>
  <c r="N159" i="3"/>
  <c r="M153" i="3"/>
  <c r="V153" i="3" s="1"/>
  <c r="W153" i="3" s="1"/>
  <c r="N153" i="3"/>
  <c r="M145" i="3"/>
  <c r="V145" i="3" s="1"/>
  <c r="W145" i="3" s="1"/>
  <c r="N145" i="3"/>
  <c r="M137" i="3"/>
  <c r="V137" i="3" s="1"/>
  <c r="W137" i="3" s="1"/>
  <c r="N137" i="3"/>
  <c r="M129" i="3"/>
  <c r="V129" i="3" s="1"/>
  <c r="W129" i="3" s="1"/>
  <c r="N129" i="3"/>
  <c r="M121" i="3"/>
  <c r="V121" i="3" s="1"/>
  <c r="W121" i="3" s="1"/>
  <c r="N121" i="3"/>
  <c r="M113" i="3"/>
  <c r="V113" i="3" s="1"/>
  <c r="W113" i="3" s="1"/>
  <c r="N113" i="3"/>
  <c r="M105" i="3"/>
  <c r="V105" i="3" s="1"/>
  <c r="W105" i="3" s="1"/>
  <c r="N105" i="3"/>
  <c r="M97" i="3"/>
  <c r="V97" i="3" s="1"/>
  <c r="W97" i="3" s="1"/>
  <c r="N97" i="3"/>
  <c r="M89" i="3"/>
  <c r="V89" i="3" s="1"/>
  <c r="W89" i="3" s="1"/>
  <c r="N89" i="3"/>
  <c r="M81" i="3"/>
  <c r="V81" i="3" s="1"/>
  <c r="W81" i="3" s="1"/>
  <c r="N81" i="3"/>
  <c r="M74" i="3"/>
  <c r="V74" i="3" s="1"/>
  <c r="W74" i="3" s="1"/>
  <c r="N74" i="3"/>
  <c r="M66" i="3"/>
  <c r="V66" i="3" s="1"/>
  <c r="W66" i="3" s="1"/>
  <c r="N66" i="3"/>
  <c r="M58" i="3"/>
  <c r="Q58" i="3" s="1"/>
  <c r="S58" i="3" s="1"/>
  <c r="N58" i="3"/>
  <c r="M50" i="3"/>
  <c r="V50" i="3" s="1"/>
  <c r="W50" i="3" s="1"/>
  <c r="N50" i="3"/>
  <c r="M42" i="3"/>
  <c r="V42" i="3" s="1"/>
  <c r="W42" i="3" s="1"/>
  <c r="N42" i="3"/>
  <c r="M34" i="3"/>
  <c r="V34" i="3" s="1"/>
  <c r="W34" i="3" s="1"/>
  <c r="N34" i="3"/>
  <c r="M26" i="3"/>
  <c r="Q26" i="3" s="1"/>
  <c r="S26" i="3" s="1"/>
  <c r="N26" i="3"/>
  <c r="M15" i="3"/>
  <c r="V15" i="3" s="1"/>
  <c r="W15" i="3" s="1"/>
  <c r="N15" i="3"/>
  <c r="M7" i="3"/>
  <c r="V7" i="3" s="1"/>
  <c r="W7" i="3" s="1"/>
  <c r="N7" i="3"/>
  <c r="M240" i="3"/>
  <c r="V240" i="3" s="1"/>
  <c r="W240" i="3" s="1"/>
  <c r="N240" i="3"/>
  <c r="M216" i="3"/>
  <c r="Q216" i="3" s="1"/>
  <c r="S216" i="3" s="1"/>
  <c r="N216" i="3"/>
  <c r="M207" i="3"/>
  <c r="V207" i="3" s="1"/>
  <c r="W207" i="3" s="1"/>
  <c r="N207" i="3"/>
  <c r="M183" i="3"/>
  <c r="V183" i="3" s="1"/>
  <c r="W183" i="3" s="1"/>
  <c r="N183" i="3"/>
  <c r="M174" i="3"/>
  <c r="V174" i="3" s="1"/>
  <c r="W174" i="3" s="1"/>
  <c r="N174" i="3"/>
  <c r="M154" i="3"/>
  <c r="Q154" i="3" s="1"/>
  <c r="S154" i="3" s="1"/>
  <c r="N154" i="3"/>
  <c r="M136" i="3"/>
  <c r="V136" i="3" s="1"/>
  <c r="W136" i="3" s="1"/>
  <c r="N136" i="3"/>
  <c r="M124" i="3"/>
  <c r="V124" i="3" s="1"/>
  <c r="W124" i="3" s="1"/>
  <c r="N124" i="3"/>
  <c r="M116" i="3"/>
  <c r="V116" i="3" s="1"/>
  <c r="W116" i="3" s="1"/>
  <c r="N116" i="3"/>
  <c r="M108" i="3"/>
  <c r="Q108" i="3" s="1"/>
  <c r="S108" i="3" s="1"/>
  <c r="N108" i="3"/>
  <c r="M92" i="3"/>
  <c r="V92" i="3" s="1"/>
  <c r="W92" i="3" s="1"/>
  <c r="N92" i="3"/>
  <c r="M80" i="3"/>
  <c r="Q80" i="3" s="1"/>
  <c r="S80" i="3" s="1"/>
  <c r="N80" i="3"/>
  <c r="M69" i="3"/>
  <c r="V69" i="3" s="1"/>
  <c r="W69" i="3" s="1"/>
  <c r="N69" i="3"/>
  <c r="M45" i="3"/>
  <c r="V45" i="3" s="1"/>
  <c r="W45" i="3" s="1"/>
  <c r="N45" i="3"/>
  <c r="M29" i="3"/>
  <c r="Q29" i="3" s="1"/>
  <c r="S29" i="3" s="1"/>
  <c r="N29" i="3"/>
  <c r="M14" i="3"/>
  <c r="V14" i="3" s="1"/>
  <c r="W14" i="3" s="1"/>
  <c r="N14" i="3"/>
  <c r="M223" i="3"/>
  <c r="Q223" i="3" s="1"/>
  <c r="S223" i="3" s="1"/>
  <c r="N223" i="3"/>
  <c r="M194" i="3"/>
  <c r="Q194" i="3" s="1"/>
  <c r="S194" i="3" s="1"/>
  <c r="N194" i="3"/>
  <c r="M165" i="3"/>
  <c r="Q165" i="3" s="1"/>
  <c r="S165" i="3" s="1"/>
  <c r="N165" i="3"/>
  <c r="M143" i="3"/>
  <c r="V143" i="3" s="1"/>
  <c r="W143" i="3" s="1"/>
  <c r="N143" i="3"/>
  <c r="M131" i="3"/>
  <c r="V131" i="3" s="1"/>
  <c r="W131" i="3" s="1"/>
  <c r="N131" i="3"/>
  <c r="M111" i="3"/>
  <c r="Q111" i="3" s="1"/>
  <c r="S111" i="3" s="1"/>
  <c r="N111" i="3"/>
  <c r="M99" i="3"/>
  <c r="V99" i="3" s="1"/>
  <c r="W99" i="3" s="1"/>
  <c r="N99" i="3"/>
  <c r="M3" i="3"/>
  <c r="V3" i="3" s="1"/>
  <c r="W3" i="3" s="1"/>
  <c r="N3" i="3"/>
  <c r="M60" i="3"/>
  <c r="Q60" i="3" s="1"/>
  <c r="S60" i="3" s="1"/>
  <c r="N60" i="3"/>
  <c r="M13" i="3"/>
  <c r="V13" i="3" s="1"/>
  <c r="W13" i="3" s="1"/>
  <c r="N13" i="3"/>
  <c r="V169" i="3"/>
  <c r="W169" i="3" s="1"/>
  <c r="Q24" i="3" l="1"/>
  <c r="S24" i="3" s="1"/>
  <c r="V206" i="3"/>
  <c r="W206" i="3" s="1"/>
  <c r="Q176" i="3"/>
  <c r="S176" i="3" s="1"/>
  <c r="Q126" i="3"/>
  <c r="S126" i="3" s="1"/>
  <c r="Q160" i="3"/>
  <c r="S160" i="3" s="1"/>
  <c r="V242" i="3"/>
  <c r="W242" i="3" s="1"/>
  <c r="Q63" i="3"/>
  <c r="S63" i="3" s="1"/>
  <c r="V142" i="3"/>
  <c r="W142" i="3" s="1"/>
  <c r="V158" i="3"/>
  <c r="W158" i="3" s="1"/>
  <c r="V195" i="3"/>
  <c r="W195" i="3" s="1"/>
  <c r="V86" i="3"/>
  <c r="W86" i="3" s="1"/>
  <c r="Q31" i="3"/>
  <c r="S31" i="3" s="1"/>
  <c r="Q94" i="3"/>
  <c r="S94" i="3" s="1"/>
  <c r="Q226" i="3"/>
  <c r="S226" i="3" s="1"/>
  <c r="X209" i="3"/>
  <c r="V193" i="3"/>
  <c r="W193" i="3" s="1"/>
  <c r="V209" i="3"/>
  <c r="W209" i="3" s="1"/>
  <c r="Q110" i="3"/>
  <c r="S110" i="3" s="1"/>
  <c r="Q128" i="3"/>
  <c r="S128" i="3" s="1"/>
  <c r="Q220" i="3"/>
  <c r="S220" i="3" s="1"/>
  <c r="V171" i="3"/>
  <c r="W171" i="3" s="1"/>
  <c r="Q47" i="3"/>
  <c r="S47" i="3" s="1"/>
  <c r="Q79" i="3"/>
  <c r="S79" i="3" s="1"/>
  <c r="Q22" i="3"/>
  <c r="S22" i="3" s="1"/>
  <c r="Q53" i="3"/>
  <c r="S53" i="3" s="1"/>
  <c r="V56" i="3"/>
  <c r="W56" i="3" s="1"/>
  <c r="Q77" i="3"/>
  <c r="S77" i="3" s="1"/>
  <c r="Q4" i="3"/>
  <c r="S4" i="3" s="1"/>
  <c r="Q16" i="3"/>
  <c r="S16" i="3" s="1"/>
  <c r="Q231" i="3"/>
  <c r="S231" i="3" s="1"/>
  <c r="Q62" i="3"/>
  <c r="S62" i="3" s="1"/>
  <c r="Q185" i="3"/>
  <c r="S185" i="3" s="1"/>
  <c r="V201" i="3"/>
  <c r="W201" i="3" s="1"/>
  <c r="Q177" i="3"/>
  <c r="S177" i="3" s="1"/>
  <c r="X198" i="3"/>
  <c r="V198" i="3"/>
  <c r="W198" i="3" s="1"/>
  <c r="Q71" i="3"/>
  <c r="S71" i="3" s="1"/>
  <c r="Q30" i="3"/>
  <c r="S30" i="3" s="1"/>
  <c r="Q150" i="3"/>
  <c r="S150" i="3" s="1"/>
  <c r="V61" i="3"/>
  <c r="W61" i="3" s="1"/>
  <c r="Q109" i="3"/>
  <c r="S109" i="3" s="1"/>
  <c r="Q218" i="3"/>
  <c r="S218" i="3" s="1"/>
  <c r="V64" i="3"/>
  <c r="W64" i="3" s="1"/>
  <c r="V125" i="3"/>
  <c r="W125" i="3" s="1"/>
  <c r="Q33" i="3"/>
  <c r="S33" i="3" s="1"/>
  <c r="X11" i="3"/>
  <c r="Q48" i="3"/>
  <c r="S48" i="3" s="1"/>
  <c r="Q186" i="3"/>
  <c r="S186" i="3" s="1"/>
  <c r="Q90" i="3"/>
  <c r="S90" i="3" s="1"/>
  <c r="Q222" i="3"/>
  <c r="S222" i="3" s="1"/>
  <c r="V132" i="3"/>
  <c r="W132" i="3" s="1"/>
  <c r="V68" i="3"/>
  <c r="W68" i="3" s="1"/>
  <c r="Q75" i="3"/>
  <c r="S75" i="3" s="1"/>
  <c r="Q95" i="3"/>
  <c r="S95" i="3" s="1"/>
  <c r="Q82" i="3"/>
  <c r="S82" i="3" s="1"/>
  <c r="Q43" i="3"/>
  <c r="S43" i="3" s="1"/>
  <c r="Q157" i="3"/>
  <c r="S157" i="3" s="1"/>
  <c r="Q135" i="3"/>
  <c r="S135" i="3" s="1"/>
  <c r="V55" i="3"/>
  <c r="W55" i="3" s="1"/>
  <c r="V134" i="3"/>
  <c r="W134" i="3" s="1"/>
  <c r="V107" i="3"/>
  <c r="W107" i="3" s="1"/>
  <c r="V9" i="3"/>
  <c r="W9" i="3" s="1"/>
  <c r="Q138" i="3"/>
  <c r="S138" i="3" s="1"/>
  <c r="Q141" i="3"/>
  <c r="S141" i="3" s="1"/>
  <c r="Q191" i="3"/>
  <c r="S191" i="3" s="1"/>
  <c r="Q172" i="3"/>
  <c r="S172" i="3" s="1"/>
  <c r="Q225" i="3"/>
  <c r="S225" i="3" s="1"/>
  <c r="X171" i="3"/>
  <c r="V147" i="3"/>
  <c r="W147" i="3" s="1"/>
  <c r="V115" i="3"/>
  <c r="W115" i="3" s="1"/>
  <c r="V192" i="3"/>
  <c r="W192" i="3" s="1"/>
  <c r="V83" i="3"/>
  <c r="W83" i="3" s="1"/>
  <c r="Q103" i="3"/>
  <c r="S103" i="3" s="1"/>
  <c r="Q88" i="3"/>
  <c r="S88" i="3" s="1"/>
  <c r="Q5" i="3"/>
  <c r="S5" i="3" s="1"/>
  <c r="Q189" i="3"/>
  <c r="S189" i="3" s="1"/>
  <c r="Q214" i="3"/>
  <c r="S214" i="3" s="1"/>
  <c r="X156" i="3"/>
  <c r="V112" i="3"/>
  <c r="W112" i="3" s="1"/>
  <c r="V238" i="3"/>
  <c r="W238" i="3" s="1"/>
  <c r="V155" i="3"/>
  <c r="W155" i="3" s="1"/>
  <c r="V46" i="3"/>
  <c r="W46" i="3" s="1"/>
  <c r="Q27" i="3"/>
  <c r="S27" i="3" s="1"/>
  <c r="Q18" i="3"/>
  <c r="S18" i="3" s="1"/>
  <c r="Q208" i="3"/>
  <c r="S208" i="3" s="1"/>
  <c r="Q122" i="3"/>
  <c r="S122" i="3" s="1"/>
  <c r="Q173" i="3"/>
  <c r="S173" i="3" s="1"/>
  <c r="V241" i="3"/>
  <c r="W241" i="3" s="1"/>
  <c r="Q59" i="3"/>
  <c r="S59" i="3" s="1"/>
  <c r="Q12" i="3"/>
  <c r="S12" i="3" s="1"/>
  <c r="Q170" i="3"/>
  <c r="S170" i="3" s="1"/>
  <c r="Q49" i="3"/>
  <c r="S49" i="3" s="1"/>
  <c r="Q21" i="3"/>
  <c r="S21" i="3" s="1"/>
  <c r="X241" i="3"/>
  <c r="X229" i="3"/>
  <c r="V236" i="3"/>
  <c r="W236" i="3" s="1"/>
  <c r="Q34" i="3"/>
  <c r="S34" i="3" s="1"/>
  <c r="Q78" i="3"/>
  <c r="S78" i="3" s="1"/>
  <c r="Q152" i="3"/>
  <c r="S152" i="3" s="1"/>
  <c r="Q93" i="3"/>
  <c r="S93" i="3" s="1"/>
  <c r="Q100" i="3"/>
  <c r="S100" i="3" s="1"/>
  <c r="Q205" i="3"/>
  <c r="S205" i="3" s="1"/>
  <c r="Q106" i="3"/>
  <c r="S106" i="3" s="1"/>
  <c r="X236" i="3"/>
  <c r="X40" i="3"/>
  <c r="X238" i="3"/>
  <c r="V40" i="3"/>
  <c r="W40" i="3" s="1"/>
  <c r="V11" i="3"/>
  <c r="W11" i="3" s="1"/>
  <c r="Q163" i="3"/>
  <c r="S163" i="3" s="1"/>
  <c r="Q168" i="3"/>
  <c r="S168" i="3" s="1"/>
  <c r="X234" i="3"/>
  <c r="V140" i="3"/>
  <c r="W140" i="3" s="1"/>
  <c r="V211" i="3"/>
  <c r="W211" i="3" s="1"/>
  <c r="Q120" i="3"/>
  <c r="S120" i="3" s="1"/>
  <c r="Q148" i="3"/>
  <c r="S148" i="3" s="1"/>
  <c r="V108" i="3"/>
  <c r="W108" i="3" s="1"/>
  <c r="Q235" i="3"/>
  <c r="S235" i="3" s="1"/>
  <c r="Q117" i="3"/>
  <c r="S117" i="3" s="1"/>
  <c r="Q41" i="3"/>
  <c r="S41" i="3" s="1"/>
  <c r="X219" i="3"/>
  <c r="V233" i="3"/>
  <c r="W233" i="3" s="1"/>
  <c r="Q36" i="3"/>
  <c r="S36" i="3" s="1"/>
  <c r="V133" i="3"/>
  <c r="W133" i="3" s="1"/>
  <c r="Q19" i="3"/>
  <c r="S19" i="3" s="1"/>
  <c r="Q39" i="3"/>
  <c r="S39" i="3" s="1"/>
  <c r="Q166" i="3"/>
  <c r="S166" i="3" s="1"/>
  <c r="Q104" i="3"/>
  <c r="S104" i="3" s="1"/>
  <c r="Q178" i="3"/>
  <c r="S178" i="3" s="1"/>
  <c r="Q102" i="3"/>
  <c r="S102" i="3" s="1"/>
  <c r="X61" i="3"/>
  <c r="X228" i="3"/>
  <c r="Q244" i="3"/>
  <c r="S244" i="3" s="1"/>
  <c r="Q32" i="3"/>
  <c r="S32" i="3" s="1"/>
  <c r="Q119" i="3"/>
  <c r="S119" i="3" s="1"/>
  <c r="X169" i="3"/>
  <c r="X10" i="3"/>
  <c r="Q227" i="3"/>
  <c r="S227" i="3" s="1"/>
  <c r="Q99" i="3"/>
  <c r="S99" i="3" s="1"/>
  <c r="Q197" i="3"/>
  <c r="S197" i="3" s="1"/>
  <c r="Q188" i="3"/>
  <c r="S188" i="3" s="1"/>
  <c r="Q65" i="3"/>
  <c r="S65" i="3" s="1"/>
  <c r="X232" i="3"/>
  <c r="X215" i="3"/>
  <c r="V230" i="3"/>
  <c r="W230" i="3" s="1"/>
  <c r="Q92" i="3"/>
  <c r="S92" i="3" s="1"/>
  <c r="Q174" i="3"/>
  <c r="S174" i="3" s="1"/>
  <c r="Q50" i="3"/>
  <c r="S50" i="3" s="1"/>
  <c r="Q66" i="3"/>
  <c r="S66" i="3" s="1"/>
  <c r="Q76" i="3"/>
  <c r="S76" i="3" s="1"/>
  <c r="Q116" i="3"/>
  <c r="S116" i="3" s="1"/>
  <c r="Q91" i="3"/>
  <c r="S91" i="3" s="1"/>
  <c r="Q200" i="3"/>
  <c r="S200" i="3" s="1"/>
  <c r="X9" i="3"/>
  <c r="X230" i="3"/>
  <c r="V25" i="3"/>
  <c r="W25" i="3" s="1"/>
  <c r="Q212" i="3"/>
  <c r="S212" i="3" s="1"/>
  <c r="Q124" i="3"/>
  <c r="S124" i="3" s="1"/>
  <c r="Q199" i="3"/>
  <c r="S199" i="3" s="1"/>
  <c r="Q240" i="3"/>
  <c r="S240" i="3" s="1"/>
  <c r="Q164" i="3"/>
  <c r="S164" i="3" s="1"/>
  <c r="Q84" i="3"/>
  <c r="S84" i="3" s="1"/>
  <c r="Q52" i="3"/>
  <c r="S52" i="3" s="1"/>
  <c r="X210" i="3"/>
  <c r="X165" i="3"/>
  <c r="V187" i="3"/>
  <c r="W187" i="3" s="1"/>
  <c r="V215" i="3"/>
  <c r="W215" i="3" s="1"/>
  <c r="Q136" i="3"/>
  <c r="S136" i="3" s="1"/>
  <c r="Q97" i="3"/>
  <c r="S97" i="3" s="1"/>
  <c r="X182" i="3"/>
  <c r="V196" i="3"/>
  <c r="W196" i="3" s="1"/>
  <c r="V154" i="3"/>
  <c r="W154" i="3" s="1"/>
  <c r="Q74" i="3"/>
  <c r="S74" i="3" s="1"/>
  <c r="Q54" i="3"/>
  <c r="S54" i="3" s="1"/>
  <c r="Q8" i="3"/>
  <c r="S8" i="3" s="1"/>
  <c r="Q203" i="3"/>
  <c r="S203" i="3" s="1"/>
  <c r="Q146" i="3"/>
  <c r="S146" i="3" s="1"/>
  <c r="Q114" i="3"/>
  <c r="S114" i="3" s="1"/>
  <c r="Q202" i="3"/>
  <c r="S202" i="3" s="1"/>
  <c r="Q151" i="3"/>
  <c r="S151" i="3" s="1"/>
  <c r="Q127" i="3"/>
  <c r="S127" i="3" s="1"/>
  <c r="Q69" i="3"/>
  <c r="S69" i="3" s="1"/>
  <c r="Q113" i="3"/>
  <c r="S113" i="3" s="1"/>
  <c r="Q162" i="3"/>
  <c r="S162" i="3" s="1"/>
  <c r="Q137" i="3"/>
  <c r="S137" i="3" s="1"/>
  <c r="Q96" i="3"/>
  <c r="S96" i="3" s="1"/>
  <c r="X201" i="3"/>
  <c r="X35" i="3"/>
  <c r="X29" i="3"/>
  <c r="V180" i="3"/>
  <c r="W180" i="3" s="1"/>
  <c r="V228" i="3"/>
  <c r="W228" i="3" s="1"/>
  <c r="V190" i="3"/>
  <c r="W190" i="3" s="1"/>
  <c r="V182" i="3"/>
  <c r="W182" i="3" s="1"/>
  <c r="Q20" i="3"/>
  <c r="S20" i="3" s="1"/>
  <c r="Q73" i="3"/>
  <c r="S73" i="3" s="1"/>
  <c r="Q85" i="3"/>
  <c r="S85" i="3" s="1"/>
  <c r="Q98" i="3"/>
  <c r="S98" i="3" s="1"/>
  <c r="Q101" i="3"/>
  <c r="S101" i="3" s="1"/>
  <c r="Q89" i="3"/>
  <c r="S89" i="3" s="1"/>
  <c r="Q161" i="3"/>
  <c r="S161" i="3" s="1"/>
  <c r="Q72" i="3"/>
  <c r="S72" i="3" s="1"/>
  <c r="Q217" i="3"/>
  <c r="S217" i="3" s="1"/>
  <c r="Q144" i="3"/>
  <c r="S144" i="3" s="1"/>
  <c r="X184" i="3"/>
  <c r="V184" i="3"/>
  <c r="W184" i="3" s="1"/>
  <c r="V179" i="3"/>
  <c r="W179" i="3" s="1"/>
  <c r="Q42" i="3"/>
  <c r="S42" i="3" s="1"/>
  <c r="Q131" i="3"/>
  <c r="S131" i="3" s="1"/>
  <c r="Q13" i="3"/>
  <c r="S13" i="3" s="1"/>
  <c r="Q123" i="3"/>
  <c r="S123" i="3" s="1"/>
  <c r="Q121" i="3"/>
  <c r="S121" i="3" s="1"/>
  <c r="Q204" i="3"/>
  <c r="S204" i="3" s="1"/>
  <c r="Q207" i="3"/>
  <c r="S207" i="3" s="1"/>
  <c r="Q153" i="3"/>
  <c r="S153" i="3" s="1"/>
  <c r="Q57" i="3"/>
  <c r="S57" i="3" s="1"/>
  <c r="X175" i="3"/>
  <c r="X224" i="3"/>
  <c r="V35" i="3"/>
  <c r="W35" i="3" s="1"/>
  <c r="V165" i="3"/>
  <c r="W165" i="3" s="1"/>
  <c r="V10" i="3"/>
  <c r="W10" i="3" s="1"/>
  <c r="Q7" i="3"/>
  <c r="S7" i="3" s="1"/>
  <c r="Q221" i="3"/>
  <c r="S221" i="3" s="1"/>
  <c r="X51" i="3"/>
  <c r="X223" i="3"/>
  <c r="V80" i="3"/>
  <c r="W80" i="3" s="1"/>
  <c r="V44" i="3"/>
  <c r="W44" i="3" s="1"/>
  <c r="V239" i="3"/>
  <c r="W239" i="3" s="1"/>
  <c r="V232" i="3"/>
  <c r="W232" i="3" s="1"/>
  <c r="V111" i="3"/>
  <c r="W111" i="3" s="1"/>
  <c r="Q243" i="3"/>
  <c r="S243" i="3" s="1"/>
  <c r="Q67" i="3"/>
  <c r="S67" i="3" s="1"/>
  <c r="Q14" i="3"/>
  <c r="S14" i="3" s="1"/>
  <c r="Q6" i="3"/>
  <c r="S6" i="3" s="1"/>
  <c r="Q38" i="3"/>
  <c r="S38" i="3" s="1"/>
  <c r="Q70" i="3"/>
  <c r="S70" i="3" s="1"/>
  <c r="Q15" i="3"/>
  <c r="S15" i="3" s="1"/>
  <c r="Q28" i="3"/>
  <c r="S28" i="3" s="1"/>
  <c r="Q130" i="3"/>
  <c r="S130" i="3" s="1"/>
  <c r="Q81" i="3"/>
  <c r="S81" i="3" s="1"/>
  <c r="Q149" i="3"/>
  <c r="S149" i="3" s="1"/>
  <c r="Q183" i="3"/>
  <c r="S183" i="3" s="1"/>
  <c r="Q159" i="3"/>
  <c r="S159" i="3" s="1"/>
  <c r="Q143" i="3"/>
  <c r="S143" i="3" s="1"/>
  <c r="Q37" i="3"/>
  <c r="S37" i="3" s="1"/>
  <c r="Q167" i="3"/>
  <c r="S167" i="3" s="1"/>
  <c r="Q17" i="3"/>
  <c r="S17" i="3" s="1"/>
  <c r="Q145" i="3"/>
  <c r="S145" i="3" s="1"/>
  <c r="Q118" i="3"/>
  <c r="S118" i="3" s="1"/>
  <c r="Q139" i="3"/>
  <c r="S139" i="3" s="1"/>
  <c r="Q45" i="3"/>
  <c r="S45" i="3" s="1"/>
  <c r="Q129" i="3"/>
  <c r="S129" i="3" s="1"/>
  <c r="X23" i="3"/>
  <c r="X187" i="3"/>
  <c r="X233" i="3"/>
  <c r="X190" i="3"/>
  <c r="X60" i="3"/>
  <c r="X26" i="3"/>
  <c r="X196" i="3"/>
  <c r="X213" i="3"/>
  <c r="V58" i="3"/>
  <c r="W58" i="3" s="1"/>
  <c r="V156" i="3"/>
  <c r="W156" i="3" s="1"/>
  <c r="V219" i="3"/>
  <c r="W219" i="3" s="1"/>
  <c r="V234" i="3"/>
  <c r="W234" i="3" s="1"/>
  <c r="V60" i="3"/>
  <c r="W60" i="3" s="1"/>
  <c r="V216" i="3"/>
  <c r="W216" i="3" s="1"/>
  <c r="V23" i="3"/>
  <c r="W23" i="3" s="1"/>
  <c r="V213" i="3"/>
  <c r="W213" i="3" s="1"/>
  <c r="V29" i="3"/>
  <c r="W29" i="3" s="1"/>
  <c r="Q3" i="3"/>
  <c r="S3" i="3" s="1"/>
  <c r="Q87" i="3"/>
  <c r="S87" i="3" s="1"/>
  <c r="Q237" i="3"/>
  <c r="S237" i="3" s="1"/>
  <c r="Q105" i="3"/>
  <c r="S105" i="3" s="1"/>
  <c r="Q181" i="3"/>
  <c r="S181" i="3" s="1"/>
  <c r="X58" i="3"/>
  <c r="V26" i="3"/>
  <c r="W26" i="3" s="1"/>
  <c r="V194" i="3"/>
  <c r="W194" i="3" s="1"/>
  <c r="V51" i="3"/>
  <c r="W51" i="3" s="1"/>
  <c r="X194" i="3"/>
  <c r="V175" i="3"/>
  <c r="W175" i="3" s="1"/>
  <c r="V223" i="3"/>
  <c r="W223" i="3" s="1"/>
  <c r="V229" i="3"/>
  <c r="W229" i="3" s="1"/>
  <c r="V210" i="3"/>
  <c r="W210" i="3" s="1"/>
  <c r="V224" i="3"/>
  <c r="W224" i="3" s="1"/>
  <c r="X195" i="3"/>
  <c r="X86" i="3"/>
  <c r="X24" i="3"/>
  <c r="X154" i="3"/>
  <c r="X140" i="3"/>
  <c r="X134" i="3"/>
  <c r="X125" i="3"/>
  <c r="X25" i="3"/>
  <c r="X142" i="3"/>
  <c r="X132" i="3"/>
  <c r="X83" i="3"/>
  <c r="X44" i="3"/>
  <c r="X180" i="3"/>
  <c r="X211" i="3"/>
  <c r="X55" i="3"/>
  <c r="X64" i="3"/>
  <c r="X133" i="3"/>
  <c r="X158" i="3"/>
  <c r="X239" i="3"/>
  <c r="X111" i="3"/>
  <c r="X179" i="3"/>
  <c r="X192" i="3"/>
  <c r="X46" i="3"/>
  <c r="X108" i="3"/>
  <c r="X147" i="3"/>
  <c r="X115" i="3"/>
  <c r="X193" i="3"/>
  <c r="X155" i="3"/>
  <c r="X68" i="3"/>
  <c r="X216" i="3"/>
  <c r="X242" i="3"/>
  <c r="X56" i="3"/>
  <c r="X107" i="3"/>
  <c r="X206" i="3"/>
  <c r="X112" i="3"/>
  <c r="X80" i="3"/>
  <c r="T26" i="14"/>
  <c r="Q27" i="14"/>
  <c r="C6" i="14" s="1"/>
  <c r="G33" i="14"/>
  <c r="B4" i="14" s="1"/>
  <c r="N3" i="14" s="1"/>
  <c r="O2" i="3"/>
  <c r="K2" i="3"/>
  <c r="AI2" i="3"/>
  <c r="AH2" i="3"/>
  <c r="AG2" i="3"/>
  <c r="AE2" i="3"/>
  <c r="R2" i="3" s="1"/>
  <c r="AD2" i="3"/>
  <c r="AC2" i="3"/>
  <c r="P2" i="3" s="1"/>
  <c r="AF2" i="3"/>
  <c r="X63" i="3" l="1"/>
  <c r="X128" i="3"/>
  <c r="X160" i="3"/>
  <c r="X176" i="3"/>
  <c r="X126" i="3"/>
  <c r="N33" i="14"/>
  <c r="D33" i="14"/>
  <c r="N6" i="14" s="1"/>
  <c r="X31" i="3"/>
  <c r="X94" i="3"/>
  <c r="X226" i="3"/>
  <c r="X110" i="3"/>
  <c r="X47" i="3"/>
  <c r="X220" i="3"/>
  <c r="X16" i="3"/>
  <c r="X22" i="3"/>
  <c r="X79" i="3"/>
  <c r="X4" i="3"/>
  <c r="X177" i="3"/>
  <c r="X53" i="3"/>
  <c r="X231" i="3"/>
  <c r="X150" i="3"/>
  <c r="X62" i="3"/>
  <c r="X170" i="3"/>
  <c r="X77" i="3"/>
  <c r="X218" i="3"/>
  <c r="X30" i="3"/>
  <c r="X185" i="3"/>
  <c r="X71" i="3"/>
  <c r="X173" i="3"/>
  <c r="X109" i="3"/>
  <c r="X33" i="3"/>
  <c r="X225" i="3"/>
  <c r="X48" i="3"/>
  <c r="X138" i="3"/>
  <c r="X5" i="3"/>
  <c r="X27" i="3"/>
  <c r="X106" i="3"/>
  <c r="X152" i="3"/>
  <c r="X82" i="3"/>
  <c r="X43" i="3"/>
  <c r="X186" i="3"/>
  <c r="X100" i="3"/>
  <c r="X34" i="3"/>
  <c r="X96" i="3"/>
  <c r="X103" i="3"/>
  <c r="X75" i="3"/>
  <c r="X208" i="3"/>
  <c r="X89" i="3"/>
  <c r="X18" i="3"/>
  <c r="X49" i="3"/>
  <c r="X93" i="3"/>
  <c r="X117" i="3"/>
  <c r="X78" i="3"/>
  <c r="X59" i="3"/>
  <c r="X157" i="3"/>
  <c r="X90" i="3"/>
  <c r="X235" i="3"/>
  <c r="X163" i="3"/>
  <c r="X21" i="3"/>
  <c r="X214" i="3"/>
  <c r="X191" i="3"/>
  <c r="X95" i="3"/>
  <c r="X222" i="3"/>
  <c r="X135" i="3"/>
  <c r="X36" i="3"/>
  <c r="X119" i="3"/>
  <c r="X174" i="3"/>
  <c r="X116" i="3"/>
  <c r="X12" i="3"/>
  <c r="X166" i="3"/>
  <c r="X168" i="3"/>
  <c r="X205" i="3"/>
  <c r="X122" i="3"/>
  <c r="X189" i="3"/>
  <c r="X88" i="3"/>
  <c r="X202" i="3"/>
  <c r="X141" i="3"/>
  <c r="X120" i="3"/>
  <c r="X172" i="3"/>
  <c r="X178" i="3"/>
  <c r="X244" i="3"/>
  <c r="X148" i="3"/>
  <c r="X41" i="3"/>
  <c r="X104" i="3"/>
  <c r="X74" i="3"/>
  <c r="X6" i="3"/>
  <c r="X188" i="3"/>
  <c r="X19" i="3"/>
  <c r="X38" i="3"/>
  <c r="X32" i="3"/>
  <c r="X20" i="3"/>
  <c r="X243" i="3"/>
  <c r="X101" i="3"/>
  <c r="X207" i="3"/>
  <c r="X13" i="3"/>
  <c r="X39" i="3"/>
  <c r="X227" i="3"/>
  <c r="X102" i="3"/>
  <c r="X52" i="3"/>
  <c r="X73" i="3"/>
  <c r="X99" i="3"/>
  <c r="X197" i="3"/>
  <c r="X91" i="3"/>
  <c r="X66" i="3"/>
  <c r="X162" i="3"/>
  <c r="X240" i="3"/>
  <c r="X137" i="3"/>
  <c r="X161" i="3"/>
  <c r="X50" i="3"/>
  <c r="X146" i="3"/>
  <c r="X37" i="3"/>
  <c r="X136" i="3"/>
  <c r="X65" i="3"/>
  <c r="X114" i="3"/>
  <c r="X92" i="3"/>
  <c r="X54" i="3"/>
  <c r="X87" i="3"/>
  <c r="X45" i="3"/>
  <c r="X200" i="3"/>
  <c r="X212" i="3"/>
  <c r="X72" i="3"/>
  <c r="X7" i="3"/>
  <c r="X127" i="3"/>
  <c r="X164" i="3"/>
  <c r="X98" i="3"/>
  <c r="X97" i="3"/>
  <c r="X130" i="3"/>
  <c r="X123" i="3"/>
  <c r="X67" i="3"/>
  <c r="X145" i="3"/>
  <c r="X121" i="3"/>
  <c r="X159" i="3"/>
  <c r="X217" i="3"/>
  <c r="X113" i="3"/>
  <c r="X124" i="3"/>
  <c r="X42" i="3"/>
  <c r="X76" i="3"/>
  <c r="X153" i="3"/>
  <c r="X84" i="3"/>
  <c r="X69" i="3"/>
  <c r="X17" i="3"/>
  <c r="X81" i="3"/>
  <c r="X221" i="3"/>
  <c r="X199" i="3"/>
  <c r="X129" i="3"/>
  <c r="X204" i="3"/>
  <c r="X149" i="3"/>
  <c r="X203" i="3"/>
  <c r="X14" i="3"/>
  <c r="X15" i="3"/>
  <c r="X118" i="3"/>
  <c r="X8" i="3"/>
  <c r="X105" i="3"/>
  <c r="X85" i="3"/>
  <c r="X151" i="3"/>
  <c r="X131" i="3"/>
  <c r="X57" i="3"/>
  <c r="X70" i="3"/>
  <c r="X143" i="3"/>
  <c r="X144" i="3"/>
  <c r="X237" i="3"/>
  <c r="X167" i="3"/>
  <c r="X28" i="3"/>
  <c r="X3" i="3"/>
  <c r="X181" i="3"/>
  <c r="X183" i="3"/>
  <c r="X139" i="3"/>
  <c r="B5" i="14"/>
  <c r="Y2" i="3"/>
  <c r="I2" i="14"/>
  <c r="I3" i="14"/>
  <c r="I33" i="14"/>
  <c r="N7" i="14" s="1"/>
  <c r="L2" i="3"/>
  <c r="N2" i="3" s="1"/>
  <c r="I4" i="14" l="1"/>
  <c r="M2" i="3"/>
  <c r="V2" i="3" s="1"/>
  <c r="C5" i="14"/>
  <c r="D5" i="14" s="1"/>
  <c r="C3" i="14"/>
  <c r="D3" i="14" s="1"/>
  <c r="C4" i="14"/>
  <c r="D4" i="14" s="1"/>
  <c r="T1075" i="3" l="1"/>
  <c r="Z1075" i="3" s="1"/>
  <c r="AA1075" i="3" s="1"/>
  <c r="T1232" i="3"/>
  <c r="Z1232" i="3" s="1"/>
  <c r="AA1232" i="3" s="1"/>
  <c r="T1231" i="3"/>
  <c r="Z1231" i="3" s="1"/>
  <c r="AA1231" i="3" s="1"/>
  <c r="T1230" i="3"/>
  <c r="Z1230" i="3" s="1"/>
  <c r="AA1230" i="3" s="1"/>
  <c r="T1229" i="3"/>
  <c r="Z1229" i="3" s="1"/>
  <c r="AA1229" i="3" s="1"/>
  <c r="T1228" i="3"/>
  <c r="Z1228" i="3" s="1"/>
  <c r="AA1228" i="3" s="1"/>
  <c r="T1227" i="3"/>
  <c r="Z1227" i="3" s="1"/>
  <c r="AA1227" i="3" s="1"/>
  <c r="T1226" i="3"/>
  <c r="Z1226" i="3" s="1"/>
  <c r="AA1226" i="3" s="1"/>
  <c r="T1225" i="3"/>
  <c r="Z1225" i="3" s="1"/>
  <c r="AA1225" i="3" s="1"/>
  <c r="T1224" i="3"/>
  <c r="Z1224" i="3" s="1"/>
  <c r="AA1224" i="3" s="1"/>
  <c r="T1223" i="3"/>
  <c r="Z1223" i="3" s="1"/>
  <c r="AA1223" i="3" s="1"/>
  <c r="T1222" i="3"/>
  <c r="Z1222" i="3" s="1"/>
  <c r="AA1222" i="3" s="1"/>
  <c r="T1221" i="3"/>
  <c r="Z1221" i="3" s="1"/>
  <c r="AA1221" i="3" s="1"/>
  <c r="T1220" i="3"/>
  <c r="Z1220" i="3" s="1"/>
  <c r="AA1220" i="3" s="1"/>
  <c r="T1219" i="3"/>
  <c r="Z1219" i="3" s="1"/>
  <c r="AA1219" i="3" s="1"/>
  <c r="T1218" i="3"/>
  <c r="Z1218" i="3" s="1"/>
  <c r="AA1218" i="3" s="1"/>
  <c r="T1217" i="3"/>
  <c r="Z1217" i="3" s="1"/>
  <c r="AA1217" i="3" s="1"/>
  <c r="T1216" i="3"/>
  <c r="Z1216" i="3" s="1"/>
  <c r="AA1216" i="3" s="1"/>
  <c r="T1215" i="3"/>
  <c r="Z1215" i="3" s="1"/>
  <c r="AA1215" i="3" s="1"/>
  <c r="T1214" i="3"/>
  <c r="Z1214" i="3" s="1"/>
  <c r="AA1214" i="3" s="1"/>
  <c r="T1213" i="3"/>
  <c r="Z1213" i="3" s="1"/>
  <c r="AA1213" i="3" s="1"/>
  <c r="T1212" i="3"/>
  <c r="Z1212" i="3" s="1"/>
  <c r="AA1212" i="3" s="1"/>
  <c r="T1211" i="3"/>
  <c r="Z1211" i="3" s="1"/>
  <c r="AA1211" i="3" s="1"/>
  <c r="T1210" i="3"/>
  <c r="Z1210" i="3" s="1"/>
  <c r="AA1210" i="3" s="1"/>
  <c r="T1209" i="3"/>
  <c r="Z1209" i="3" s="1"/>
  <c r="AA1209" i="3" s="1"/>
  <c r="T1208" i="3"/>
  <c r="Z1208" i="3" s="1"/>
  <c r="AA1208" i="3" s="1"/>
  <c r="T1207" i="3"/>
  <c r="Z1207" i="3" s="1"/>
  <c r="AA1207" i="3" s="1"/>
  <c r="T1206" i="3"/>
  <c r="Z1206" i="3" s="1"/>
  <c r="AA1206" i="3" s="1"/>
  <c r="T1205" i="3"/>
  <c r="Z1205" i="3" s="1"/>
  <c r="AA1205" i="3" s="1"/>
  <c r="T1204" i="3"/>
  <c r="Z1204" i="3" s="1"/>
  <c r="AA1204" i="3" s="1"/>
  <c r="T1203" i="3"/>
  <c r="Z1203" i="3" s="1"/>
  <c r="AA1203" i="3" s="1"/>
  <c r="T1202" i="3"/>
  <c r="Z1202" i="3" s="1"/>
  <c r="AA1202" i="3" s="1"/>
  <c r="T1201" i="3"/>
  <c r="Z1201" i="3" s="1"/>
  <c r="AA1201" i="3" s="1"/>
  <c r="T1200" i="3"/>
  <c r="Z1200" i="3" s="1"/>
  <c r="AA1200" i="3" s="1"/>
  <c r="T1199" i="3"/>
  <c r="Z1199" i="3" s="1"/>
  <c r="AA1199" i="3" s="1"/>
  <c r="T1198" i="3"/>
  <c r="Z1198" i="3" s="1"/>
  <c r="AA1198" i="3" s="1"/>
  <c r="T1197" i="3"/>
  <c r="Z1197" i="3" s="1"/>
  <c r="AA1197" i="3" s="1"/>
  <c r="T1196" i="3"/>
  <c r="Z1196" i="3" s="1"/>
  <c r="AA1196" i="3" s="1"/>
  <c r="T1195" i="3"/>
  <c r="Z1195" i="3" s="1"/>
  <c r="AA1195" i="3" s="1"/>
  <c r="T1194" i="3"/>
  <c r="Z1194" i="3" s="1"/>
  <c r="AA1194" i="3" s="1"/>
  <c r="T1193" i="3"/>
  <c r="Z1193" i="3" s="1"/>
  <c r="AA1193" i="3" s="1"/>
  <c r="T1192" i="3"/>
  <c r="Z1192" i="3" s="1"/>
  <c r="AA1192" i="3" s="1"/>
  <c r="T1191" i="3"/>
  <c r="Z1191" i="3" s="1"/>
  <c r="AA1191" i="3" s="1"/>
  <c r="T1190" i="3"/>
  <c r="Z1190" i="3" s="1"/>
  <c r="AA1190" i="3" s="1"/>
  <c r="T1189" i="3"/>
  <c r="Z1189" i="3" s="1"/>
  <c r="AA1189" i="3" s="1"/>
  <c r="T1188" i="3"/>
  <c r="Z1188" i="3" s="1"/>
  <c r="AA1188" i="3" s="1"/>
  <c r="T1187" i="3"/>
  <c r="Z1187" i="3" s="1"/>
  <c r="AA1187" i="3" s="1"/>
  <c r="T1186" i="3"/>
  <c r="Z1186" i="3" s="1"/>
  <c r="AA1186" i="3" s="1"/>
  <c r="T1185" i="3"/>
  <c r="Z1185" i="3" s="1"/>
  <c r="AA1185" i="3" s="1"/>
  <c r="T1184" i="3"/>
  <c r="Z1184" i="3" s="1"/>
  <c r="AA1184" i="3" s="1"/>
  <c r="T1183" i="3"/>
  <c r="Z1183" i="3" s="1"/>
  <c r="AA1183" i="3" s="1"/>
  <c r="T1182" i="3"/>
  <c r="Z1182" i="3" s="1"/>
  <c r="AA1182" i="3" s="1"/>
  <c r="T1181" i="3"/>
  <c r="Z1181" i="3" s="1"/>
  <c r="AA1181" i="3" s="1"/>
  <c r="T1180" i="3"/>
  <c r="Z1180" i="3" s="1"/>
  <c r="AA1180" i="3" s="1"/>
  <c r="T1179" i="3"/>
  <c r="Z1179" i="3" s="1"/>
  <c r="AA1179" i="3" s="1"/>
  <c r="T1178" i="3"/>
  <c r="Z1178" i="3" s="1"/>
  <c r="AA1178" i="3" s="1"/>
  <c r="T1177" i="3"/>
  <c r="Z1177" i="3" s="1"/>
  <c r="AA1177" i="3" s="1"/>
  <c r="T1176" i="3"/>
  <c r="Z1176" i="3" s="1"/>
  <c r="AA1176" i="3" s="1"/>
  <c r="T1175" i="3"/>
  <c r="Z1175" i="3" s="1"/>
  <c r="AA1175" i="3" s="1"/>
  <c r="T1174" i="3"/>
  <c r="Z1174" i="3" s="1"/>
  <c r="AA1174" i="3" s="1"/>
  <c r="T1173" i="3"/>
  <c r="Z1173" i="3" s="1"/>
  <c r="AA1173" i="3" s="1"/>
  <c r="T1172" i="3"/>
  <c r="Z1172" i="3" s="1"/>
  <c r="AA1172" i="3" s="1"/>
  <c r="T1171" i="3"/>
  <c r="Z1171" i="3" s="1"/>
  <c r="AA1171" i="3" s="1"/>
  <c r="T1170" i="3"/>
  <c r="Z1170" i="3" s="1"/>
  <c r="AA1170" i="3" s="1"/>
  <c r="T1169" i="3"/>
  <c r="Z1169" i="3" s="1"/>
  <c r="AA1169" i="3" s="1"/>
  <c r="T1168" i="3"/>
  <c r="Z1168" i="3" s="1"/>
  <c r="AA1168" i="3" s="1"/>
  <c r="T1167" i="3"/>
  <c r="Z1167" i="3" s="1"/>
  <c r="AA1167" i="3" s="1"/>
  <c r="T1166" i="3"/>
  <c r="Z1166" i="3" s="1"/>
  <c r="AA1166" i="3" s="1"/>
  <c r="T1165" i="3"/>
  <c r="Z1165" i="3" s="1"/>
  <c r="AA1165" i="3" s="1"/>
  <c r="T1164" i="3"/>
  <c r="Z1164" i="3" s="1"/>
  <c r="AA1164" i="3" s="1"/>
  <c r="T1163" i="3"/>
  <c r="Z1163" i="3" s="1"/>
  <c r="AA1163" i="3" s="1"/>
  <c r="T1162" i="3"/>
  <c r="Z1162" i="3" s="1"/>
  <c r="AA1162" i="3" s="1"/>
  <c r="T1161" i="3"/>
  <c r="Z1161" i="3" s="1"/>
  <c r="AA1161" i="3" s="1"/>
  <c r="T1160" i="3"/>
  <c r="Z1160" i="3" s="1"/>
  <c r="AA1160" i="3" s="1"/>
  <c r="T1159" i="3"/>
  <c r="Z1159" i="3" s="1"/>
  <c r="AA1159" i="3" s="1"/>
  <c r="T1158" i="3"/>
  <c r="Z1158" i="3" s="1"/>
  <c r="AA1158" i="3" s="1"/>
  <c r="T1157" i="3"/>
  <c r="Z1157" i="3" s="1"/>
  <c r="AA1157" i="3" s="1"/>
  <c r="T1156" i="3"/>
  <c r="Z1156" i="3" s="1"/>
  <c r="AA1156" i="3" s="1"/>
  <c r="T1155" i="3"/>
  <c r="Z1155" i="3" s="1"/>
  <c r="AA1155" i="3" s="1"/>
  <c r="T1154" i="3"/>
  <c r="Z1154" i="3" s="1"/>
  <c r="AA1154" i="3" s="1"/>
  <c r="T1153" i="3"/>
  <c r="Z1153" i="3" s="1"/>
  <c r="AA1153" i="3" s="1"/>
  <c r="T1152" i="3"/>
  <c r="Z1152" i="3" s="1"/>
  <c r="AA1152" i="3" s="1"/>
  <c r="T1151" i="3"/>
  <c r="Z1151" i="3" s="1"/>
  <c r="AA1151" i="3" s="1"/>
  <c r="T1150" i="3"/>
  <c r="Z1150" i="3" s="1"/>
  <c r="AA1150" i="3" s="1"/>
  <c r="T1149" i="3"/>
  <c r="Z1149" i="3" s="1"/>
  <c r="AA1149" i="3" s="1"/>
  <c r="T1148" i="3"/>
  <c r="Z1148" i="3" s="1"/>
  <c r="AA1148" i="3" s="1"/>
  <c r="T1147" i="3"/>
  <c r="Z1147" i="3" s="1"/>
  <c r="AA1147" i="3" s="1"/>
  <c r="T1146" i="3"/>
  <c r="Z1146" i="3" s="1"/>
  <c r="AA1146" i="3" s="1"/>
  <c r="T1145" i="3"/>
  <c r="Z1145" i="3" s="1"/>
  <c r="AA1145" i="3" s="1"/>
  <c r="T1144" i="3"/>
  <c r="Z1144" i="3" s="1"/>
  <c r="AA1144" i="3" s="1"/>
  <c r="T1143" i="3"/>
  <c r="Z1143" i="3" s="1"/>
  <c r="AA1143" i="3" s="1"/>
  <c r="T1142" i="3"/>
  <c r="Z1142" i="3" s="1"/>
  <c r="AA1142" i="3" s="1"/>
  <c r="T1141" i="3"/>
  <c r="Z1141" i="3" s="1"/>
  <c r="AA1141" i="3" s="1"/>
  <c r="T1140" i="3"/>
  <c r="Z1140" i="3" s="1"/>
  <c r="AA1140" i="3" s="1"/>
  <c r="T1139" i="3"/>
  <c r="Z1139" i="3" s="1"/>
  <c r="AA1139" i="3" s="1"/>
  <c r="T1138" i="3"/>
  <c r="Z1138" i="3" s="1"/>
  <c r="AA1138" i="3" s="1"/>
  <c r="T1137" i="3"/>
  <c r="Z1137" i="3" s="1"/>
  <c r="AA1137" i="3" s="1"/>
  <c r="T1136" i="3"/>
  <c r="Z1136" i="3" s="1"/>
  <c r="AA1136" i="3" s="1"/>
  <c r="T1135" i="3"/>
  <c r="Z1135" i="3" s="1"/>
  <c r="AA1135" i="3" s="1"/>
  <c r="T1134" i="3"/>
  <c r="Z1134" i="3" s="1"/>
  <c r="AA1134" i="3" s="1"/>
  <c r="T1133" i="3"/>
  <c r="Z1133" i="3" s="1"/>
  <c r="AA1133" i="3" s="1"/>
  <c r="T1132" i="3"/>
  <c r="Z1132" i="3" s="1"/>
  <c r="AA1132" i="3" s="1"/>
  <c r="T1131" i="3"/>
  <c r="Z1131" i="3" s="1"/>
  <c r="AA1131" i="3" s="1"/>
  <c r="T1130" i="3"/>
  <c r="Z1130" i="3" s="1"/>
  <c r="AA1130" i="3" s="1"/>
  <c r="T1129" i="3"/>
  <c r="Z1129" i="3" s="1"/>
  <c r="AA1129" i="3" s="1"/>
  <c r="T1128" i="3"/>
  <c r="Z1128" i="3" s="1"/>
  <c r="AA1128" i="3" s="1"/>
  <c r="T1127" i="3"/>
  <c r="Z1127" i="3" s="1"/>
  <c r="AA1127" i="3" s="1"/>
  <c r="T1126" i="3"/>
  <c r="Z1126" i="3" s="1"/>
  <c r="AA1126" i="3" s="1"/>
  <c r="T1125" i="3"/>
  <c r="Z1125" i="3" s="1"/>
  <c r="AA1125" i="3" s="1"/>
  <c r="T1124" i="3"/>
  <c r="Z1124" i="3" s="1"/>
  <c r="AA1124" i="3" s="1"/>
  <c r="T1123" i="3"/>
  <c r="Z1123" i="3" s="1"/>
  <c r="AA1123" i="3" s="1"/>
  <c r="T1122" i="3"/>
  <c r="Z1122" i="3" s="1"/>
  <c r="AA1122" i="3" s="1"/>
  <c r="T1121" i="3"/>
  <c r="Z1121" i="3" s="1"/>
  <c r="AA1121" i="3" s="1"/>
  <c r="T1120" i="3"/>
  <c r="Z1120" i="3" s="1"/>
  <c r="AA1120" i="3" s="1"/>
  <c r="T1119" i="3"/>
  <c r="Z1119" i="3" s="1"/>
  <c r="AA1119" i="3" s="1"/>
  <c r="T1118" i="3"/>
  <c r="Z1118" i="3" s="1"/>
  <c r="AA1118" i="3" s="1"/>
  <c r="T1117" i="3"/>
  <c r="Z1117" i="3" s="1"/>
  <c r="AA1117" i="3" s="1"/>
  <c r="T1116" i="3"/>
  <c r="Z1116" i="3" s="1"/>
  <c r="AA1116" i="3" s="1"/>
  <c r="T1115" i="3"/>
  <c r="Z1115" i="3" s="1"/>
  <c r="AA1115" i="3" s="1"/>
  <c r="T1114" i="3"/>
  <c r="Z1114" i="3" s="1"/>
  <c r="AA1114" i="3" s="1"/>
  <c r="T1113" i="3"/>
  <c r="Z1113" i="3" s="1"/>
  <c r="AA1113" i="3" s="1"/>
  <c r="T1112" i="3"/>
  <c r="Z1112" i="3" s="1"/>
  <c r="AA1112" i="3" s="1"/>
  <c r="T1111" i="3"/>
  <c r="Z1111" i="3" s="1"/>
  <c r="AA1111" i="3" s="1"/>
  <c r="T1110" i="3"/>
  <c r="Z1110" i="3" s="1"/>
  <c r="AA1110" i="3" s="1"/>
  <c r="T1109" i="3"/>
  <c r="Z1109" i="3" s="1"/>
  <c r="AA1109" i="3" s="1"/>
  <c r="T1108" i="3"/>
  <c r="Z1108" i="3" s="1"/>
  <c r="AA1108" i="3" s="1"/>
  <c r="T1107" i="3"/>
  <c r="Z1107" i="3" s="1"/>
  <c r="AA1107" i="3" s="1"/>
  <c r="T1106" i="3"/>
  <c r="Z1106" i="3" s="1"/>
  <c r="AA1106" i="3" s="1"/>
  <c r="T1105" i="3"/>
  <c r="Z1105" i="3" s="1"/>
  <c r="AA1105" i="3" s="1"/>
  <c r="T1104" i="3"/>
  <c r="Z1104" i="3" s="1"/>
  <c r="AA1104" i="3" s="1"/>
  <c r="T1103" i="3"/>
  <c r="Z1103" i="3" s="1"/>
  <c r="AA1103" i="3" s="1"/>
  <c r="T1102" i="3"/>
  <c r="Z1102" i="3" s="1"/>
  <c r="AA1102" i="3" s="1"/>
  <c r="T1101" i="3"/>
  <c r="Z1101" i="3" s="1"/>
  <c r="AA1101" i="3" s="1"/>
  <c r="T1100" i="3"/>
  <c r="Z1100" i="3" s="1"/>
  <c r="AA1100" i="3" s="1"/>
  <c r="T1099" i="3"/>
  <c r="Z1099" i="3" s="1"/>
  <c r="AA1099" i="3" s="1"/>
  <c r="T1098" i="3"/>
  <c r="Z1098" i="3" s="1"/>
  <c r="AA1098" i="3" s="1"/>
  <c r="T1097" i="3"/>
  <c r="Z1097" i="3" s="1"/>
  <c r="AA1097" i="3" s="1"/>
  <c r="T1096" i="3"/>
  <c r="Z1096" i="3" s="1"/>
  <c r="AA1096" i="3" s="1"/>
  <c r="T1095" i="3"/>
  <c r="Z1095" i="3" s="1"/>
  <c r="AA1095" i="3" s="1"/>
  <c r="T1094" i="3"/>
  <c r="Z1094" i="3" s="1"/>
  <c r="AA1094" i="3" s="1"/>
  <c r="T1093" i="3"/>
  <c r="Z1093" i="3" s="1"/>
  <c r="AA1093" i="3" s="1"/>
  <c r="T1092" i="3"/>
  <c r="Z1092" i="3" s="1"/>
  <c r="AA1092" i="3" s="1"/>
  <c r="T1091" i="3"/>
  <c r="Z1091" i="3" s="1"/>
  <c r="AA1091" i="3" s="1"/>
  <c r="T1090" i="3"/>
  <c r="Z1090" i="3" s="1"/>
  <c r="AA1090" i="3" s="1"/>
  <c r="T1089" i="3"/>
  <c r="Z1089" i="3" s="1"/>
  <c r="AA1089" i="3" s="1"/>
  <c r="T1088" i="3"/>
  <c r="Z1088" i="3" s="1"/>
  <c r="AA1088" i="3" s="1"/>
  <c r="T1087" i="3"/>
  <c r="Z1087" i="3" s="1"/>
  <c r="AA1087" i="3" s="1"/>
  <c r="T1086" i="3"/>
  <c r="Z1086" i="3" s="1"/>
  <c r="AA1086" i="3" s="1"/>
  <c r="T1085" i="3"/>
  <c r="Z1085" i="3" s="1"/>
  <c r="AA1085" i="3" s="1"/>
  <c r="T1084" i="3"/>
  <c r="Z1084" i="3" s="1"/>
  <c r="AA1084" i="3" s="1"/>
  <c r="T1083" i="3"/>
  <c r="Z1083" i="3" s="1"/>
  <c r="AA1083" i="3" s="1"/>
  <c r="T1082" i="3"/>
  <c r="Z1082" i="3" s="1"/>
  <c r="AA1082" i="3" s="1"/>
  <c r="T1081" i="3"/>
  <c r="Z1081" i="3" s="1"/>
  <c r="AA1081" i="3" s="1"/>
  <c r="T1080" i="3"/>
  <c r="Z1080" i="3" s="1"/>
  <c r="AA1080" i="3" s="1"/>
  <c r="T1079" i="3"/>
  <c r="Z1079" i="3" s="1"/>
  <c r="AA1079" i="3" s="1"/>
  <c r="T1078" i="3"/>
  <c r="Z1078" i="3" s="1"/>
  <c r="AA1078" i="3" s="1"/>
  <c r="T1077" i="3"/>
  <c r="Z1077" i="3" s="1"/>
  <c r="AA1077" i="3" s="1"/>
  <c r="T1076" i="3"/>
  <c r="Z1076" i="3" s="1"/>
  <c r="AA1076" i="3" s="1"/>
  <c r="T1066" i="3"/>
  <c r="Z1066" i="3" s="1"/>
  <c r="AA1066" i="3" s="1"/>
  <c r="T1062" i="3"/>
  <c r="Z1062" i="3" s="1"/>
  <c r="AA1062" i="3" s="1"/>
  <c r="T1063" i="3"/>
  <c r="Z1063" i="3" s="1"/>
  <c r="AA1063" i="3" s="1"/>
  <c r="T1068" i="3"/>
  <c r="Z1068" i="3" s="1"/>
  <c r="AA1068" i="3" s="1"/>
  <c r="T1071" i="3"/>
  <c r="Z1071" i="3" s="1"/>
  <c r="AA1071" i="3" s="1"/>
  <c r="T1073" i="3"/>
  <c r="Z1073" i="3" s="1"/>
  <c r="AA1073" i="3" s="1"/>
  <c r="T1072" i="3"/>
  <c r="Z1072" i="3" s="1"/>
  <c r="AA1072" i="3" s="1"/>
  <c r="T1074" i="3"/>
  <c r="Z1074" i="3" s="1"/>
  <c r="AA1074" i="3" s="1"/>
  <c r="T1070" i="3"/>
  <c r="Z1070" i="3" s="1"/>
  <c r="AA1070" i="3" s="1"/>
  <c r="T1069" i="3"/>
  <c r="Z1069" i="3" s="1"/>
  <c r="AA1069" i="3" s="1"/>
  <c r="T1067" i="3"/>
  <c r="Z1067" i="3" s="1"/>
  <c r="AA1067" i="3" s="1"/>
  <c r="T1065" i="3"/>
  <c r="Z1065" i="3" s="1"/>
  <c r="AA1065" i="3" s="1"/>
  <c r="T1064" i="3"/>
  <c r="Z1064" i="3" s="1"/>
  <c r="AA1064" i="3" s="1"/>
  <c r="T1059" i="3"/>
  <c r="Z1059" i="3" s="1"/>
  <c r="AA1059" i="3" s="1"/>
  <c r="T1060" i="3"/>
  <c r="Z1060" i="3" s="1"/>
  <c r="AA1060" i="3" s="1"/>
  <c r="T1061" i="3"/>
  <c r="Z1061" i="3" s="1"/>
  <c r="AA1061" i="3" s="1"/>
  <c r="T1030" i="3"/>
  <c r="Z1030" i="3" s="1"/>
  <c r="AA1030" i="3" s="1"/>
  <c r="T1056" i="3"/>
  <c r="Z1056" i="3" s="1"/>
  <c r="AA1056" i="3" s="1"/>
  <c r="T1058" i="3"/>
  <c r="Z1058" i="3" s="1"/>
  <c r="AA1058" i="3" s="1"/>
  <c r="T1057" i="3"/>
  <c r="Z1057" i="3" s="1"/>
  <c r="AA1057" i="3" s="1"/>
  <c r="T1055" i="3"/>
  <c r="Z1055" i="3" s="1"/>
  <c r="AA1055" i="3" s="1"/>
  <c r="T1054" i="3"/>
  <c r="Z1054" i="3" s="1"/>
  <c r="AA1054" i="3" s="1"/>
  <c r="T1053" i="3"/>
  <c r="Z1053" i="3" s="1"/>
  <c r="AA1053" i="3" s="1"/>
  <c r="T1052" i="3"/>
  <c r="Z1052" i="3" s="1"/>
  <c r="AA1052" i="3" s="1"/>
  <c r="T1051" i="3"/>
  <c r="Z1051" i="3" s="1"/>
  <c r="AA1051" i="3" s="1"/>
  <c r="T1050" i="3"/>
  <c r="Z1050" i="3" s="1"/>
  <c r="AA1050" i="3" s="1"/>
  <c r="T1049" i="3"/>
  <c r="Z1049" i="3" s="1"/>
  <c r="AA1049" i="3" s="1"/>
  <c r="T1048" i="3"/>
  <c r="Z1048" i="3" s="1"/>
  <c r="AA1048" i="3" s="1"/>
  <c r="T1047" i="3"/>
  <c r="Z1047" i="3" s="1"/>
  <c r="AA1047" i="3" s="1"/>
  <c r="T1046" i="3"/>
  <c r="Z1046" i="3" s="1"/>
  <c r="AA1046" i="3" s="1"/>
  <c r="T1045" i="3"/>
  <c r="Z1045" i="3" s="1"/>
  <c r="AA1045" i="3" s="1"/>
  <c r="T1044" i="3"/>
  <c r="Z1044" i="3" s="1"/>
  <c r="AA1044" i="3" s="1"/>
  <c r="T1043" i="3"/>
  <c r="Z1043" i="3" s="1"/>
  <c r="AA1043" i="3" s="1"/>
  <c r="T1042" i="3"/>
  <c r="Z1042" i="3" s="1"/>
  <c r="AA1042" i="3" s="1"/>
  <c r="T1041" i="3"/>
  <c r="Z1041" i="3" s="1"/>
  <c r="AA1041" i="3" s="1"/>
  <c r="T1040" i="3"/>
  <c r="Z1040" i="3" s="1"/>
  <c r="AA1040" i="3" s="1"/>
  <c r="T1039" i="3"/>
  <c r="Z1039" i="3" s="1"/>
  <c r="AA1039" i="3" s="1"/>
  <c r="T1038" i="3"/>
  <c r="Z1038" i="3" s="1"/>
  <c r="AA1038" i="3" s="1"/>
  <c r="T1037" i="3"/>
  <c r="Z1037" i="3" s="1"/>
  <c r="AA1037" i="3" s="1"/>
  <c r="T1036" i="3"/>
  <c r="Z1036" i="3" s="1"/>
  <c r="AA1036" i="3" s="1"/>
  <c r="T1035" i="3"/>
  <c r="Z1035" i="3" s="1"/>
  <c r="AA1035" i="3" s="1"/>
  <c r="T1034" i="3"/>
  <c r="Z1034" i="3" s="1"/>
  <c r="AA1034" i="3" s="1"/>
  <c r="T1033" i="3"/>
  <c r="Z1033" i="3" s="1"/>
  <c r="AA1033" i="3" s="1"/>
  <c r="T1032" i="3"/>
  <c r="Z1032" i="3" s="1"/>
  <c r="AA1032" i="3" s="1"/>
  <c r="T1031" i="3"/>
  <c r="Z1031" i="3" s="1"/>
  <c r="AA1031" i="3" s="1"/>
  <c r="T950" i="3"/>
  <c r="Z950" i="3" s="1"/>
  <c r="AA950" i="3" s="1"/>
  <c r="T951" i="3"/>
  <c r="Z951" i="3" s="1"/>
  <c r="AA951" i="3" s="1"/>
  <c r="T959" i="3"/>
  <c r="Z959" i="3" s="1"/>
  <c r="AA959" i="3" s="1"/>
  <c r="T958" i="3"/>
  <c r="Z958" i="3" s="1"/>
  <c r="AA958" i="3" s="1"/>
  <c r="T957" i="3"/>
  <c r="Z957" i="3" s="1"/>
  <c r="AA957" i="3" s="1"/>
  <c r="T956" i="3"/>
  <c r="Z956" i="3" s="1"/>
  <c r="AA956" i="3" s="1"/>
  <c r="T955" i="3"/>
  <c r="Z955" i="3" s="1"/>
  <c r="AA955" i="3" s="1"/>
  <c r="T953" i="3"/>
  <c r="Z953" i="3" s="1"/>
  <c r="AA953" i="3" s="1"/>
  <c r="T1009" i="3"/>
  <c r="Z1009" i="3" s="1"/>
  <c r="AA1009" i="3" s="1"/>
  <c r="T1024" i="3"/>
  <c r="Z1024" i="3" s="1"/>
  <c r="AA1024" i="3" s="1"/>
  <c r="T1028" i="3"/>
  <c r="Z1028" i="3" s="1"/>
  <c r="AA1028" i="3" s="1"/>
  <c r="T1029" i="3"/>
  <c r="Z1029" i="3" s="1"/>
  <c r="AA1029" i="3" s="1"/>
  <c r="T1027" i="3"/>
  <c r="Z1027" i="3" s="1"/>
  <c r="AA1027" i="3" s="1"/>
  <c r="T1026" i="3"/>
  <c r="Z1026" i="3" s="1"/>
  <c r="AA1026" i="3" s="1"/>
  <c r="T1025" i="3"/>
  <c r="Z1025" i="3" s="1"/>
  <c r="AA1025" i="3" s="1"/>
  <c r="T1023" i="3"/>
  <c r="Z1023" i="3" s="1"/>
  <c r="AA1023" i="3" s="1"/>
  <c r="T1022" i="3"/>
  <c r="Z1022" i="3" s="1"/>
  <c r="AA1022" i="3" s="1"/>
  <c r="T1021" i="3"/>
  <c r="Z1021" i="3" s="1"/>
  <c r="AA1021" i="3" s="1"/>
  <c r="T1020" i="3"/>
  <c r="Z1020" i="3" s="1"/>
  <c r="AA1020" i="3" s="1"/>
  <c r="T1019" i="3"/>
  <c r="Z1019" i="3" s="1"/>
  <c r="AA1019" i="3" s="1"/>
  <c r="T1018" i="3"/>
  <c r="Z1018" i="3" s="1"/>
  <c r="AA1018" i="3" s="1"/>
  <c r="T1017" i="3"/>
  <c r="Z1017" i="3" s="1"/>
  <c r="AA1017" i="3" s="1"/>
  <c r="T1016" i="3"/>
  <c r="Z1016" i="3" s="1"/>
  <c r="AA1016" i="3" s="1"/>
  <c r="T1015" i="3"/>
  <c r="Z1015" i="3" s="1"/>
  <c r="AA1015" i="3" s="1"/>
  <c r="T1014" i="3"/>
  <c r="Z1014" i="3" s="1"/>
  <c r="AA1014" i="3" s="1"/>
  <c r="T1013" i="3"/>
  <c r="Z1013" i="3" s="1"/>
  <c r="AA1013" i="3" s="1"/>
  <c r="T1012" i="3"/>
  <c r="Z1012" i="3" s="1"/>
  <c r="AA1012" i="3" s="1"/>
  <c r="T1011" i="3"/>
  <c r="Z1011" i="3" s="1"/>
  <c r="AA1011" i="3" s="1"/>
  <c r="T1010" i="3"/>
  <c r="Z1010" i="3" s="1"/>
  <c r="AA1010" i="3" s="1"/>
  <c r="T1008" i="3"/>
  <c r="Z1008" i="3" s="1"/>
  <c r="AA1008" i="3" s="1"/>
  <c r="T1007" i="3"/>
  <c r="Z1007" i="3" s="1"/>
  <c r="AA1007" i="3" s="1"/>
  <c r="T1006" i="3"/>
  <c r="Z1006" i="3" s="1"/>
  <c r="AA1006" i="3" s="1"/>
  <c r="T1005" i="3"/>
  <c r="Z1005" i="3" s="1"/>
  <c r="AA1005" i="3" s="1"/>
  <c r="T1004" i="3"/>
  <c r="Z1004" i="3" s="1"/>
  <c r="AA1004" i="3" s="1"/>
  <c r="T1003" i="3"/>
  <c r="Z1003" i="3" s="1"/>
  <c r="AA1003" i="3" s="1"/>
  <c r="T1002" i="3"/>
  <c r="Z1002" i="3" s="1"/>
  <c r="AA1002" i="3" s="1"/>
  <c r="T1001" i="3"/>
  <c r="Z1001" i="3" s="1"/>
  <c r="AA1001" i="3" s="1"/>
  <c r="T1000" i="3"/>
  <c r="Z1000" i="3" s="1"/>
  <c r="AA1000" i="3" s="1"/>
  <c r="T999" i="3"/>
  <c r="Z999" i="3" s="1"/>
  <c r="AA999" i="3" s="1"/>
  <c r="T998" i="3"/>
  <c r="Z998" i="3" s="1"/>
  <c r="AA998" i="3" s="1"/>
  <c r="T997" i="3"/>
  <c r="Z997" i="3" s="1"/>
  <c r="AA997" i="3" s="1"/>
  <c r="T996" i="3"/>
  <c r="Z996" i="3" s="1"/>
  <c r="AA996" i="3" s="1"/>
  <c r="T995" i="3"/>
  <c r="Z995" i="3" s="1"/>
  <c r="AA995" i="3" s="1"/>
  <c r="T994" i="3"/>
  <c r="Z994" i="3" s="1"/>
  <c r="AA994" i="3" s="1"/>
  <c r="T993" i="3"/>
  <c r="Z993" i="3" s="1"/>
  <c r="AA993" i="3" s="1"/>
  <c r="T992" i="3"/>
  <c r="Z992" i="3" s="1"/>
  <c r="AA992" i="3" s="1"/>
  <c r="T991" i="3"/>
  <c r="Z991" i="3" s="1"/>
  <c r="AA991" i="3" s="1"/>
  <c r="T990" i="3"/>
  <c r="Z990" i="3" s="1"/>
  <c r="AA990" i="3" s="1"/>
  <c r="T989" i="3"/>
  <c r="Z989" i="3" s="1"/>
  <c r="AA989" i="3" s="1"/>
  <c r="T988" i="3"/>
  <c r="Z988" i="3" s="1"/>
  <c r="AA988" i="3" s="1"/>
  <c r="T987" i="3"/>
  <c r="Z987" i="3" s="1"/>
  <c r="AA987" i="3" s="1"/>
  <c r="T986" i="3"/>
  <c r="Z986" i="3" s="1"/>
  <c r="AA986" i="3" s="1"/>
  <c r="T985" i="3"/>
  <c r="Z985" i="3" s="1"/>
  <c r="AA985" i="3" s="1"/>
  <c r="T984" i="3"/>
  <c r="Z984" i="3" s="1"/>
  <c r="AA984" i="3" s="1"/>
  <c r="T983" i="3"/>
  <c r="Z983" i="3" s="1"/>
  <c r="AA983" i="3" s="1"/>
  <c r="T982" i="3"/>
  <c r="Z982" i="3" s="1"/>
  <c r="AA982" i="3" s="1"/>
  <c r="T981" i="3"/>
  <c r="Z981" i="3" s="1"/>
  <c r="AA981" i="3" s="1"/>
  <c r="T980" i="3"/>
  <c r="Z980" i="3" s="1"/>
  <c r="AA980" i="3" s="1"/>
  <c r="T979" i="3"/>
  <c r="Z979" i="3" s="1"/>
  <c r="AA979" i="3" s="1"/>
  <c r="T978" i="3"/>
  <c r="Z978" i="3" s="1"/>
  <c r="AA978" i="3" s="1"/>
  <c r="T977" i="3"/>
  <c r="Z977" i="3" s="1"/>
  <c r="AA977" i="3" s="1"/>
  <c r="T976" i="3"/>
  <c r="Z976" i="3" s="1"/>
  <c r="AA976" i="3" s="1"/>
  <c r="T975" i="3"/>
  <c r="Z975" i="3" s="1"/>
  <c r="AA975" i="3" s="1"/>
  <c r="T974" i="3"/>
  <c r="Z974" i="3" s="1"/>
  <c r="AA974" i="3" s="1"/>
  <c r="T973" i="3"/>
  <c r="Z973" i="3" s="1"/>
  <c r="AA973" i="3" s="1"/>
  <c r="T972" i="3"/>
  <c r="Z972" i="3" s="1"/>
  <c r="AA972" i="3" s="1"/>
  <c r="T971" i="3"/>
  <c r="Z971" i="3" s="1"/>
  <c r="AA971" i="3" s="1"/>
  <c r="T970" i="3"/>
  <c r="Z970" i="3" s="1"/>
  <c r="AA970" i="3" s="1"/>
  <c r="T969" i="3"/>
  <c r="Z969" i="3" s="1"/>
  <c r="AA969" i="3" s="1"/>
  <c r="T968" i="3"/>
  <c r="Z968" i="3" s="1"/>
  <c r="AA968" i="3" s="1"/>
  <c r="T967" i="3"/>
  <c r="Z967" i="3" s="1"/>
  <c r="AA967" i="3" s="1"/>
  <c r="T966" i="3"/>
  <c r="Z966" i="3" s="1"/>
  <c r="AA966" i="3" s="1"/>
  <c r="T965" i="3"/>
  <c r="Z965" i="3" s="1"/>
  <c r="AA965" i="3" s="1"/>
  <c r="T964" i="3"/>
  <c r="Z964" i="3" s="1"/>
  <c r="AA964" i="3" s="1"/>
  <c r="T963" i="3"/>
  <c r="Z963" i="3" s="1"/>
  <c r="AA963" i="3" s="1"/>
  <c r="T962" i="3"/>
  <c r="Z962" i="3" s="1"/>
  <c r="AA962" i="3" s="1"/>
  <c r="T961" i="3"/>
  <c r="Z961" i="3" s="1"/>
  <c r="AA961" i="3" s="1"/>
  <c r="T960" i="3"/>
  <c r="Z960" i="3" s="1"/>
  <c r="AA960" i="3" s="1"/>
  <c r="T856" i="3"/>
  <c r="Z856" i="3" s="1"/>
  <c r="AA856" i="3" s="1"/>
  <c r="T855" i="3"/>
  <c r="Z855" i="3" s="1"/>
  <c r="AA855" i="3" s="1"/>
  <c r="T854" i="3"/>
  <c r="Z854" i="3" s="1"/>
  <c r="AA854" i="3" s="1"/>
  <c r="T853" i="3"/>
  <c r="Z853" i="3" s="1"/>
  <c r="AA853" i="3" s="1"/>
  <c r="T852" i="3"/>
  <c r="Z852" i="3" s="1"/>
  <c r="AA852" i="3" s="1"/>
  <c r="T851" i="3"/>
  <c r="Z851" i="3" s="1"/>
  <c r="AA851" i="3" s="1"/>
  <c r="T850" i="3"/>
  <c r="Z850" i="3" s="1"/>
  <c r="AA850" i="3" s="1"/>
  <c r="T849" i="3"/>
  <c r="Z849" i="3" s="1"/>
  <c r="AA849" i="3" s="1"/>
  <c r="T848" i="3"/>
  <c r="Z848" i="3" s="1"/>
  <c r="AA848" i="3" s="1"/>
  <c r="T847" i="3"/>
  <c r="Z847" i="3" s="1"/>
  <c r="AA847" i="3" s="1"/>
  <c r="T846" i="3"/>
  <c r="Z846" i="3" s="1"/>
  <c r="AA846" i="3" s="1"/>
  <c r="T845" i="3"/>
  <c r="Z845" i="3" s="1"/>
  <c r="AA845" i="3" s="1"/>
  <c r="T844" i="3"/>
  <c r="Z844" i="3" s="1"/>
  <c r="AA844" i="3" s="1"/>
  <c r="T843" i="3"/>
  <c r="Z843" i="3" s="1"/>
  <c r="AA843" i="3" s="1"/>
  <c r="T842" i="3"/>
  <c r="Z842" i="3" s="1"/>
  <c r="AA842" i="3" s="1"/>
  <c r="T841" i="3"/>
  <c r="Z841" i="3" s="1"/>
  <c r="AA841" i="3" s="1"/>
  <c r="T952" i="3"/>
  <c r="Z952" i="3" s="1"/>
  <c r="AA952" i="3" s="1"/>
  <c r="T954" i="3"/>
  <c r="Z954" i="3" s="1"/>
  <c r="AA954" i="3" s="1"/>
  <c r="T949" i="3"/>
  <c r="Z949" i="3" s="1"/>
  <c r="AA949" i="3" s="1"/>
  <c r="T948" i="3"/>
  <c r="Z948" i="3" s="1"/>
  <c r="AA948" i="3" s="1"/>
  <c r="T947" i="3"/>
  <c r="Z947" i="3" s="1"/>
  <c r="AA947" i="3" s="1"/>
  <c r="T946" i="3"/>
  <c r="Z946" i="3" s="1"/>
  <c r="AA946" i="3" s="1"/>
  <c r="T945" i="3"/>
  <c r="Z945" i="3" s="1"/>
  <c r="AA945" i="3" s="1"/>
  <c r="T944" i="3"/>
  <c r="Z944" i="3" s="1"/>
  <c r="AA944" i="3" s="1"/>
  <c r="T943" i="3"/>
  <c r="Z943" i="3" s="1"/>
  <c r="AA943" i="3" s="1"/>
  <c r="T942" i="3"/>
  <c r="Z942" i="3" s="1"/>
  <c r="AA942" i="3" s="1"/>
  <c r="T941" i="3"/>
  <c r="Z941" i="3" s="1"/>
  <c r="AA941" i="3" s="1"/>
  <c r="T940" i="3"/>
  <c r="Z940" i="3" s="1"/>
  <c r="AA940" i="3" s="1"/>
  <c r="T939" i="3"/>
  <c r="Z939" i="3" s="1"/>
  <c r="AA939" i="3" s="1"/>
  <c r="T938" i="3"/>
  <c r="Z938" i="3" s="1"/>
  <c r="AA938" i="3" s="1"/>
  <c r="T937" i="3"/>
  <c r="Z937" i="3" s="1"/>
  <c r="AA937" i="3" s="1"/>
  <c r="T936" i="3"/>
  <c r="Z936" i="3" s="1"/>
  <c r="AA936" i="3" s="1"/>
  <c r="T935" i="3"/>
  <c r="Z935" i="3" s="1"/>
  <c r="AA935" i="3" s="1"/>
  <c r="T934" i="3"/>
  <c r="Z934" i="3" s="1"/>
  <c r="AA934" i="3" s="1"/>
  <c r="T933" i="3"/>
  <c r="Z933" i="3" s="1"/>
  <c r="AA933" i="3" s="1"/>
  <c r="T932" i="3"/>
  <c r="Z932" i="3" s="1"/>
  <c r="AA932" i="3" s="1"/>
  <c r="T930" i="3"/>
  <c r="T925" i="3"/>
  <c r="T928" i="3"/>
  <c r="T921" i="3"/>
  <c r="T929" i="3"/>
  <c r="T926" i="3"/>
  <c r="T927" i="3"/>
  <c r="T923" i="3"/>
  <c r="T922" i="3"/>
  <c r="T931" i="3"/>
  <c r="T924" i="3"/>
  <c r="T827" i="3"/>
  <c r="Z827" i="3" s="1"/>
  <c r="T833" i="3"/>
  <c r="Z833" i="3" s="1"/>
  <c r="T840" i="3"/>
  <c r="Z840" i="3" s="1"/>
  <c r="T835" i="3"/>
  <c r="Z835" i="3" s="1"/>
  <c r="T829" i="3"/>
  <c r="Z829" i="3" s="1"/>
  <c r="T838" i="3"/>
  <c r="Z838" i="3" s="1"/>
  <c r="T830" i="3"/>
  <c r="Z830" i="3" s="1"/>
  <c r="T836" i="3"/>
  <c r="Z836" i="3" s="1"/>
  <c r="T828" i="3"/>
  <c r="Z828" i="3" s="1"/>
  <c r="T832" i="3"/>
  <c r="Z832" i="3" s="1"/>
  <c r="T831" i="3"/>
  <c r="Z831" i="3" s="1"/>
  <c r="T837" i="3"/>
  <c r="Z837" i="3" s="1"/>
  <c r="T839" i="3"/>
  <c r="Z839" i="3" s="1"/>
  <c r="T834" i="3"/>
  <c r="Z834" i="3" s="1"/>
  <c r="T825" i="3"/>
  <c r="Z825" i="3" s="1"/>
  <c r="T826" i="3"/>
  <c r="Z826" i="3" s="1"/>
  <c r="T823" i="3"/>
  <c r="Z823" i="3" s="1"/>
  <c r="T824" i="3"/>
  <c r="Z824" i="3" s="1"/>
  <c r="T816" i="3"/>
  <c r="Z816" i="3" s="1"/>
  <c r="T817" i="3"/>
  <c r="Z817" i="3" s="1"/>
  <c r="T818" i="3"/>
  <c r="Z818" i="3" s="1"/>
  <c r="T819" i="3"/>
  <c r="Z819" i="3" s="1"/>
  <c r="T820" i="3"/>
  <c r="Z820" i="3" s="1"/>
  <c r="T821" i="3"/>
  <c r="Z821" i="3" s="1"/>
  <c r="T822" i="3"/>
  <c r="Z822" i="3" s="1"/>
  <c r="T815" i="3"/>
  <c r="Z815" i="3" s="1"/>
  <c r="T814" i="3"/>
  <c r="Z814" i="3" s="1"/>
  <c r="T813" i="3"/>
  <c r="Z813" i="3" s="1"/>
  <c r="T812" i="3"/>
  <c r="Z812" i="3" s="1"/>
  <c r="T811" i="3"/>
  <c r="Z811" i="3" s="1"/>
  <c r="T810" i="3"/>
  <c r="Z810" i="3" s="1"/>
  <c r="T809" i="3"/>
  <c r="Z809" i="3" s="1"/>
  <c r="T808" i="3"/>
  <c r="Z808" i="3" s="1"/>
  <c r="T807" i="3"/>
  <c r="Z807" i="3" s="1"/>
  <c r="T806" i="3"/>
  <c r="Z806" i="3" s="1"/>
  <c r="T805" i="3"/>
  <c r="Z805" i="3" s="1"/>
  <c r="T804" i="3"/>
  <c r="Z804" i="3" s="1"/>
  <c r="T803" i="3"/>
  <c r="Z803" i="3" s="1"/>
  <c r="T802" i="3"/>
  <c r="Z802" i="3" s="1"/>
  <c r="T801" i="3"/>
  <c r="Z801" i="3" s="1"/>
  <c r="T800" i="3"/>
  <c r="Z800" i="3" s="1"/>
  <c r="T799" i="3"/>
  <c r="Z799" i="3" s="1"/>
  <c r="T798" i="3"/>
  <c r="Z798" i="3" s="1"/>
  <c r="T797" i="3"/>
  <c r="Z797" i="3" s="1"/>
  <c r="T920" i="3"/>
  <c r="Z920" i="3" s="1"/>
  <c r="T919" i="3"/>
  <c r="Z919" i="3" s="1"/>
  <c r="T918" i="3"/>
  <c r="Z918" i="3" s="1"/>
  <c r="T917" i="3"/>
  <c r="Z917" i="3" s="1"/>
  <c r="T916" i="3"/>
  <c r="Z916" i="3" s="1"/>
  <c r="T915" i="3"/>
  <c r="Z915" i="3" s="1"/>
  <c r="T914" i="3"/>
  <c r="Z914" i="3" s="1"/>
  <c r="T913" i="3"/>
  <c r="Z913" i="3" s="1"/>
  <c r="T912" i="3"/>
  <c r="Z912" i="3" s="1"/>
  <c r="T911" i="3"/>
  <c r="Z911" i="3" s="1"/>
  <c r="T910" i="3"/>
  <c r="Z910" i="3" s="1"/>
  <c r="T909" i="3"/>
  <c r="Z909" i="3" s="1"/>
  <c r="T908" i="3"/>
  <c r="Z908" i="3" s="1"/>
  <c r="T907" i="3"/>
  <c r="Z907" i="3" s="1"/>
  <c r="T906" i="3"/>
  <c r="Z906" i="3" s="1"/>
  <c r="T905" i="3"/>
  <c r="Z905" i="3" s="1"/>
  <c r="T904" i="3"/>
  <c r="Z904" i="3" s="1"/>
  <c r="T903" i="3"/>
  <c r="Z903" i="3" s="1"/>
  <c r="T675" i="3"/>
  <c r="Z675" i="3" s="1"/>
  <c r="T676" i="3"/>
  <c r="Z676" i="3" s="1"/>
  <c r="T677" i="3"/>
  <c r="Z677" i="3" s="1"/>
  <c r="T678" i="3"/>
  <c r="Z678" i="3" s="1"/>
  <c r="T679" i="3"/>
  <c r="Z679" i="3" s="1"/>
  <c r="T680" i="3"/>
  <c r="Z680" i="3" s="1"/>
  <c r="T681" i="3"/>
  <c r="Z681" i="3" s="1"/>
  <c r="T682" i="3"/>
  <c r="Z682" i="3" s="1"/>
  <c r="T683" i="3"/>
  <c r="Z683" i="3" s="1"/>
  <c r="T684" i="3"/>
  <c r="Z684" i="3" s="1"/>
  <c r="T685" i="3"/>
  <c r="Z685" i="3" s="1"/>
  <c r="T686" i="3"/>
  <c r="Z686" i="3" s="1"/>
  <c r="T687" i="3"/>
  <c r="Z687" i="3" s="1"/>
  <c r="T688" i="3"/>
  <c r="Z688" i="3" s="1"/>
  <c r="T689" i="3"/>
  <c r="Z689" i="3" s="1"/>
  <c r="T690" i="3"/>
  <c r="Z690" i="3" s="1"/>
  <c r="T691" i="3"/>
  <c r="Z691" i="3" s="1"/>
  <c r="T692" i="3"/>
  <c r="Z692" i="3" s="1"/>
  <c r="T694" i="3"/>
  <c r="Z694" i="3" s="1"/>
  <c r="T695" i="3"/>
  <c r="Z695" i="3" s="1"/>
  <c r="T697" i="3"/>
  <c r="Z697" i="3" s="1"/>
  <c r="T698" i="3"/>
  <c r="Z698" i="3" s="1"/>
  <c r="T699" i="3"/>
  <c r="Z699" i="3" s="1"/>
  <c r="T700" i="3"/>
  <c r="Z700" i="3" s="1"/>
  <c r="T701" i="3"/>
  <c r="Z701" i="3" s="1"/>
  <c r="T702" i="3"/>
  <c r="Z702" i="3" s="1"/>
  <c r="T704" i="3"/>
  <c r="Z704" i="3" s="1"/>
  <c r="T705" i="3"/>
  <c r="Z705" i="3" s="1"/>
  <c r="T706" i="3"/>
  <c r="Z706" i="3" s="1"/>
  <c r="T707" i="3"/>
  <c r="Z707" i="3" s="1"/>
  <c r="T708" i="3"/>
  <c r="Z708" i="3" s="1"/>
  <c r="T709" i="3"/>
  <c r="Z709" i="3" s="1"/>
  <c r="T710" i="3"/>
  <c r="Z710" i="3" s="1"/>
  <c r="T711" i="3"/>
  <c r="Z711" i="3" s="1"/>
  <c r="T712" i="3"/>
  <c r="Z712" i="3" s="1"/>
  <c r="T902" i="3"/>
  <c r="Z902" i="3" s="1"/>
  <c r="T901" i="3"/>
  <c r="Z901" i="3" s="1"/>
  <c r="T900" i="3"/>
  <c r="Z900" i="3" s="1"/>
  <c r="T899" i="3"/>
  <c r="Z899" i="3" s="1"/>
  <c r="T898" i="3"/>
  <c r="Z898" i="3" s="1"/>
  <c r="T897" i="3"/>
  <c r="Z897" i="3" s="1"/>
  <c r="T896" i="3"/>
  <c r="Z896" i="3" s="1"/>
  <c r="T895" i="3"/>
  <c r="Z895" i="3" s="1"/>
  <c r="T894" i="3"/>
  <c r="Z894" i="3" s="1"/>
  <c r="T893" i="3"/>
  <c r="Z893" i="3" s="1"/>
  <c r="T892" i="3"/>
  <c r="Z892" i="3" s="1"/>
  <c r="T891" i="3"/>
  <c r="Z891" i="3" s="1"/>
  <c r="T890" i="3"/>
  <c r="Z890" i="3" s="1"/>
  <c r="T889" i="3"/>
  <c r="Z889" i="3" s="1"/>
  <c r="T888" i="3"/>
  <c r="Z888" i="3" s="1"/>
  <c r="T887" i="3"/>
  <c r="Z887" i="3" s="1"/>
  <c r="T886" i="3"/>
  <c r="Z886" i="3" s="1"/>
  <c r="T885" i="3"/>
  <c r="Z885" i="3" s="1"/>
  <c r="T884" i="3"/>
  <c r="Z884" i="3" s="1"/>
  <c r="T883" i="3"/>
  <c r="Z883" i="3" s="1"/>
  <c r="T882" i="3"/>
  <c r="Z882" i="3" s="1"/>
  <c r="T881" i="3"/>
  <c r="Z881" i="3" s="1"/>
  <c r="T880" i="3"/>
  <c r="Z880" i="3" s="1"/>
  <c r="T879" i="3"/>
  <c r="Z879" i="3" s="1"/>
  <c r="T878" i="3"/>
  <c r="Z878" i="3" s="1"/>
  <c r="T877" i="3"/>
  <c r="Z877" i="3" s="1"/>
  <c r="T876" i="3"/>
  <c r="Z876" i="3" s="1"/>
  <c r="T875" i="3"/>
  <c r="Z875" i="3" s="1"/>
  <c r="T874" i="3"/>
  <c r="Z874" i="3" s="1"/>
  <c r="T873" i="3"/>
  <c r="Z873" i="3" s="1"/>
  <c r="T872" i="3"/>
  <c r="Z872" i="3" s="1"/>
  <c r="T871" i="3"/>
  <c r="Z871" i="3" s="1"/>
  <c r="T870" i="3"/>
  <c r="Z870" i="3" s="1"/>
  <c r="T869" i="3"/>
  <c r="Z869" i="3" s="1"/>
  <c r="T868" i="3"/>
  <c r="Z868" i="3" s="1"/>
  <c r="T867" i="3"/>
  <c r="Z867" i="3" s="1"/>
  <c r="T866" i="3"/>
  <c r="Z866" i="3" s="1"/>
  <c r="T865" i="3"/>
  <c r="Z865" i="3" s="1"/>
  <c r="T864" i="3"/>
  <c r="Z864" i="3" s="1"/>
  <c r="T863" i="3"/>
  <c r="Z863" i="3" s="1"/>
  <c r="T862" i="3"/>
  <c r="Z862" i="3" s="1"/>
  <c r="T861" i="3"/>
  <c r="Z861" i="3" s="1"/>
  <c r="T860" i="3"/>
  <c r="Z860" i="3" s="1"/>
  <c r="T859" i="3"/>
  <c r="Z859" i="3" s="1"/>
  <c r="T858" i="3"/>
  <c r="Z858" i="3" s="1"/>
  <c r="T857" i="3"/>
  <c r="Z857" i="3" s="1"/>
  <c r="T796" i="3"/>
  <c r="Z796" i="3" s="1"/>
  <c r="T795" i="3"/>
  <c r="Z795" i="3" s="1"/>
  <c r="T794" i="3"/>
  <c r="Z794" i="3" s="1"/>
  <c r="T793" i="3"/>
  <c r="Z793" i="3" s="1"/>
  <c r="T792" i="3"/>
  <c r="Z792" i="3" s="1"/>
  <c r="T791" i="3"/>
  <c r="Z791" i="3" s="1"/>
  <c r="T790" i="3"/>
  <c r="Z790" i="3" s="1"/>
  <c r="T789" i="3"/>
  <c r="Z789" i="3" s="1"/>
  <c r="T788" i="3"/>
  <c r="Z788" i="3" s="1"/>
  <c r="T787" i="3"/>
  <c r="Z787" i="3" s="1"/>
  <c r="T786" i="3"/>
  <c r="Z786" i="3" s="1"/>
  <c r="T785" i="3"/>
  <c r="Z785" i="3" s="1"/>
  <c r="T784" i="3"/>
  <c r="Z784" i="3" s="1"/>
  <c r="T783" i="3"/>
  <c r="Z783" i="3" s="1"/>
  <c r="T782" i="3"/>
  <c r="Z782" i="3" s="1"/>
  <c r="T781" i="3"/>
  <c r="Z781" i="3" s="1"/>
  <c r="T780" i="3"/>
  <c r="Z780" i="3" s="1"/>
  <c r="T779" i="3"/>
  <c r="Z779" i="3" s="1"/>
  <c r="T778" i="3"/>
  <c r="Z778" i="3" s="1"/>
  <c r="T777" i="3"/>
  <c r="Z777" i="3" s="1"/>
  <c r="T776" i="3"/>
  <c r="Z776" i="3" s="1"/>
  <c r="T775" i="3"/>
  <c r="Z775" i="3" s="1"/>
  <c r="T774" i="3"/>
  <c r="Z774" i="3" s="1"/>
  <c r="T773" i="3"/>
  <c r="Z773" i="3" s="1"/>
  <c r="T772" i="3"/>
  <c r="Z772" i="3" s="1"/>
  <c r="T771" i="3"/>
  <c r="Z771" i="3" s="1"/>
  <c r="T770" i="3"/>
  <c r="Z770" i="3" s="1"/>
  <c r="T769" i="3"/>
  <c r="Z769" i="3" s="1"/>
  <c r="T768" i="3"/>
  <c r="Z768" i="3" s="1"/>
  <c r="T767" i="3"/>
  <c r="Z767" i="3" s="1"/>
  <c r="T766" i="3"/>
  <c r="Z766" i="3" s="1"/>
  <c r="T765" i="3"/>
  <c r="Z765" i="3" s="1"/>
  <c r="T764" i="3"/>
  <c r="Z764" i="3" s="1"/>
  <c r="T763" i="3"/>
  <c r="Z763" i="3" s="1"/>
  <c r="T762" i="3"/>
  <c r="Z762" i="3" s="1"/>
  <c r="T761" i="3"/>
  <c r="Z761" i="3" s="1"/>
  <c r="T760" i="3"/>
  <c r="Z760" i="3" s="1"/>
  <c r="T759" i="3"/>
  <c r="Z759" i="3" s="1"/>
  <c r="T758" i="3"/>
  <c r="Z758" i="3" s="1"/>
  <c r="T757" i="3"/>
  <c r="Z757" i="3" s="1"/>
  <c r="T756" i="3"/>
  <c r="Z756" i="3" s="1"/>
  <c r="T755" i="3"/>
  <c r="Z755" i="3" s="1"/>
  <c r="T754" i="3"/>
  <c r="Z754" i="3" s="1"/>
  <c r="T753" i="3"/>
  <c r="Z753" i="3" s="1"/>
  <c r="T752" i="3"/>
  <c r="Z752" i="3" s="1"/>
  <c r="T751" i="3"/>
  <c r="Z751" i="3" s="1"/>
  <c r="T750" i="3"/>
  <c r="Z750" i="3" s="1"/>
  <c r="T749" i="3"/>
  <c r="Z749" i="3" s="1"/>
  <c r="T748" i="3"/>
  <c r="Z748" i="3" s="1"/>
  <c r="T747" i="3"/>
  <c r="Z747" i="3" s="1"/>
  <c r="T746" i="3"/>
  <c r="Z746" i="3" s="1"/>
  <c r="T745" i="3"/>
  <c r="Z745" i="3" s="1"/>
  <c r="T744" i="3"/>
  <c r="Z744" i="3" s="1"/>
  <c r="T743" i="3"/>
  <c r="Z743" i="3" s="1"/>
  <c r="T742" i="3"/>
  <c r="Z742" i="3" s="1"/>
  <c r="T741" i="3"/>
  <c r="Z741" i="3" s="1"/>
  <c r="T740" i="3"/>
  <c r="Z740" i="3" s="1"/>
  <c r="T739" i="3"/>
  <c r="Z739" i="3" s="1"/>
  <c r="T738" i="3"/>
  <c r="Z738" i="3" s="1"/>
  <c r="T737" i="3"/>
  <c r="Z737" i="3" s="1"/>
  <c r="T736" i="3"/>
  <c r="Z736" i="3" s="1"/>
  <c r="T735" i="3"/>
  <c r="Z735" i="3" s="1"/>
  <c r="T734" i="3"/>
  <c r="Z734" i="3" s="1"/>
  <c r="T733" i="3"/>
  <c r="Z733" i="3" s="1"/>
  <c r="T732" i="3"/>
  <c r="Z732" i="3" s="1"/>
  <c r="T731" i="3"/>
  <c r="Z731" i="3" s="1"/>
  <c r="T730" i="3"/>
  <c r="Z730" i="3" s="1"/>
  <c r="T729" i="3"/>
  <c r="Z729" i="3" s="1"/>
  <c r="T728" i="3"/>
  <c r="Z728" i="3" s="1"/>
  <c r="T727" i="3"/>
  <c r="Z727" i="3" s="1"/>
  <c r="T726" i="3"/>
  <c r="Z726" i="3" s="1"/>
  <c r="T725" i="3"/>
  <c r="Z725" i="3" s="1"/>
  <c r="T724" i="3"/>
  <c r="Z724" i="3" s="1"/>
  <c r="T723" i="3"/>
  <c r="Z723" i="3" s="1"/>
  <c r="T722" i="3"/>
  <c r="Z722" i="3" s="1"/>
  <c r="T721" i="3"/>
  <c r="Z721" i="3" s="1"/>
  <c r="T720" i="3"/>
  <c r="Z720" i="3" s="1"/>
  <c r="T719" i="3"/>
  <c r="Z719" i="3" s="1"/>
  <c r="T718" i="3"/>
  <c r="Z718" i="3" s="1"/>
  <c r="T717" i="3"/>
  <c r="Z717" i="3" s="1"/>
  <c r="T716" i="3"/>
  <c r="Z716" i="3" s="1"/>
  <c r="T715" i="3"/>
  <c r="Z715" i="3" s="1"/>
  <c r="T714" i="3"/>
  <c r="Z714" i="3" s="1"/>
  <c r="T713" i="3"/>
  <c r="Z713" i="3" s="1"/>
  <c r="T703" i="3"/>
  <c r="Z703" i="3" s="1"/>
  <c r="T696" i="3"/>
  <c r="Z696" i="3" s="1"/>
  <c r="T693" i="3"/>
  <c r="Z693" i="3" s="1"/>
  <c r="I6" i="14"/>
  <c r="T674" i="3"/>
  <c r="Z674" i="3" s="1"/>
  <c r="T673" i="3"/>
  <c r="Z673" i="3" s="1"/>
  <c r="T672" i="3"/>
  <c r="Z672" i="3" s="1"/>
  <c r="T671" i="3"/>
  <c r="Z671" i="3" s="1"/>
  <c r="T670" i="3"/>
  <c r="Z670" i="3" s="1"/>
  <c r="T669" i="3"/>
  <c r="Z669" i="3" s="1"/>
  <c r="T668" i="3"/>
  <c r="Z668" i="3" s="1"/>
  <c r="T667" i="3"/>
  <c r="Z667" i="3" s="1"/>
  <c r="T666" i="3"/>
  <c r="Z666" i="3" s="1"/>
  <c r="T665" i="3"/>
  <c r="Z665" i="3" s="1"/>
  <c r="T664" i="3"/>
  <c r="Z664" i="3" s="1"/>
  <c r="T663" i="3"/>
  <c r="Z663" i="3" s="1"/>
  <c r="T662" i="3"/>
  <c r="Z662" i="3" s="1"/>
  <c r="T661" i="3"/>
  <c r="Z661" i="3" s="1"/>
  <c r="T660" i="3"/>
  <c r="Z660" i="3" s="1"/>
  <c r="T659" i="3"/>
  <c r="Z659" i="3" s="1"/>
  <c r="T658" i="3"/>
  <c r="Z658" i="3" s="1"/>
  <c r="T657" i="3"/>
  <c r="Z657" i="3" s="1"/>
  <c r="T656" i="3"/>
  <c r="Z656" i="3" s="1"/>
  <c r="T655" i="3"/>
  <c r="Z655" i="3" s="1"/>
  <c r="T654" i="3"/>
  <c r="Z654" i="3" s="1"/>
  <c r="T653" i="3"/>
  <c r="Z653" i="3" s="1"/>
  <c r="T652" i="3"/>
  <c r="Z652" i="3" s="1"/>
  <c r="T651" i="3"/>
  <c r="Z651" i="3" s="1"/>
  <c r="T650" i="3"/>
  <c r="Z650" i="3" s="1"/>
  <c r="T649" i="3"/>
  <c r="Z649" i="3" s="1"/>
  <c r="T648" i="3"/>
  <c r="Z648" i="3" s="1"/>
  <c r="T647" i="3"/>
  <c r="Z647" i="3" s="1"/>
  <c r="T646" i="3"/>
  <c r="Z646" i="3" s="1"/>
  <c r="T645" i="3"/>
  <c r="Z645" i="3" s="1"/>
  <c r="T644" i="3"/>
  <c r="Z644" i="3" s="1"/>
  <c r="T643" i="3"/>
  <c r="Z643" i="3" s="1"/>
  <c r="T642" i="3"/>
  <c r="Z642" i="3" s="1"/>
  <c r="T641" i="3"/>
  <c r="Z641" i="3" s="1"/>
  <c r="T640" i="3"/>
  <c r="Z640" i="3" s="1"/>
  <c r="T639" i="3"/>
  <c r="Z639" i="3" s="1"/>
  <c r="T638" i="3"/>
  <c r="Z638" i="3" s="1"/>
  <c r="T637" i="3"/>
  <c r="Z637" i="3" s="1"/>
  <c r="T636" i="3"/>
  <c r="Z636" i="3" s="1"/>
  <c r="T635" i="3"/>
  <c r="Z635" i="3" s="1"/>
  <c r="T634" i="3"/>
  <c r="Z634" i="3" s="1"/>
  <c r="T633" i="3"/>
  <c r="Z633" i="3" s="1"/>
  <c r="T632" i="3"/>
  <c r="Z632" i="3" s="1"/>
  <c r="T631" i="3"/>
  <c r="Z631" i="3" s="1"/>
  <c r="T630" i="3"/>
  <c r="Z630" i="3" s="1"/>
  <c r="T629" i="3"/>
  <c r="Z629" i="3" s="1"/>
  <c r="T628" i="3"/>
  <c r="Z628" i="3" s="1"/>
  <c r="T627" i="3"/>
  <c r="Z627" i="3" s="1"/>
  <c r="T626" i="3"/>
  <c r="Z626" i="3" s="1"/>
  <c r="T625" i="3"/>
  <c r="Z625" i="3" s="1"/>
  <c r="T624" i="3"/>
  <c r="Z624" i="3" s="1"/>
  <c r="T623" i="3"/>
  <c r="Z623" i="3" s="1"/>
  <c r="T622" i="3"/>
  <c r="Z622" i="3" s="1"/>
  <c r="T621" i="3"/>
  <c r="Z621" i="3" s="1"/>
  <c r="T620" i="3"/>
  <c r="Z620" i="3" s="1"/>
  <c r="T619" i="3"/>
  <c r="Z619" i="3" s="1"/>
  <c r="T618" i="3"/>
  <c r="Z618" i="3" s="1"/>
  <c r="T617" i="3"/>
  <c r="Z617" i="3" s="1"/>
  <c r="T616" i="3"/>
  <c r="Z616" i="3" s="1"/>
  <c r="T615" i="3"/>
  <c r="Z615" i="3" s="1"/>
  <c r="T614" i="3"/>
  <c r="Z614" i="3" s="1"/>
  <c r="T613" i="3"/>
  <c r="Z613" i="3" s="1"/>
  <c r="T612" i="3"/>
  <c r="Z612" i="3" s="1"/>
  <c r="T611" i="3"/>
  <c r="Z611" i="3" s="1"/>
  <c r="T610" i="3"/>
  <c r="Z610" i="3" s="1"/>
  <c r="T609" i="3"/>
  <c r="Z609" i="3" s="1"/>
  <c r="T608" i="3"/>
  <c r="Z608" i="3" s="1"/>
  <c r="T607" i="3"/>
  <c r="Z607" i="3" s="1"/>
  <c r="T606" i="3"/>
  <c r="Z606" i="3" s="1"/>
  <c r="T605" i="3"/>
  <c r="Z605" i="3" s="1"/>
  <c r="T604" i="3"/>
  <c r="Z604" i="3" s="1"/>
  <c r="T603" i="3"/>
  <c r="Z603" i="3" s="1"/>
  <c r="T602" i="3"/>
  <c r="Z602" i="3" s="1"/>
  <c r="T601" i="3"/>
  <c r="Z601" i="3" s="1"/>
  <c r="T600" i="3"/>
  <c r="Z600" i="3" s="1"/>
  <c r="T599" i="3"/>
  <c r="Z599" i="3" s="1"/>
  <c r="T598" i="3"/>
  <c r="Z598" i="3" s="1"/>
  <c r="T597" i="3"/>
  <c r="Z597" i="3" s="1"/>
  <c r="T596" i="3"/>
  <c r="Z596" i="3" s="1"/>
  <c r="T595" i="3"/>
  <c r="Z595" i="3" s="1"/>
  <c r="T594" i="3"/>
  <c r="Z594" i="3" s="1"/>
  <c r="T593" i="3"/>
  <c r="Z593" i="3" s="1"/>
  <c r="T592" i="3"/>
  <c r="Z592" i="3" s="1"/>
  <c r="T591" i="3"/>
  <c r="Z591" i="3" s="1"/>
  <c r="T590" i="3"/>
  <c r="Z590" i="3" s="1"/>
  <c r="T589" i="3"/>
  <c r="Z589" i="3" s="1"/>
  <c r="T588" i="3"/>
  <c r="Z588" i="3" s="1"/>
  <c r="T587" i="3"/>
  <c r="Z587" i="3" s="1"/>
  <c r="T586" i="3"/>
  <c r="Z586" i="3" s="1"/>
  <c r="T585" i="3"/>
  <c r="Z585" i="3" s="1"/>
  <c r="T584" i="3"/>
  <c r="Z584" i="3" s="1"/>
  <c r="T583" i="3"/>
  <c r="Z583" i="3" s="1"/>
  <c r="T582" i="3"/>
  <c r="Z582" i="3" s="1"/>
  <c r="T581" i="3"/>
  <c r="Z581" i="3" s="1"/>
  <c r="T580" i="3"/>
  <c r="Z580" i="3" s="1"/>
  <c r="T579" i="3"/>
  <c r="Z579" i="3" s="1"/>
  <c r="T578" i="3"/>
  <c r="Z578" i="3" s="1"/>
  <c r="T577" i="3"/>
  <c r="Z577" i="3" s="1"/>
  <c r="T576" i="3"/>
  <c r="Z576" i="3" s="1"/>
  <c r="T575" i="3"/>
  <c r="Z575" i="3" s="1"/>
  <c r="T574" i="3"/>
  <c r="Z574" i="3" s="1"/>
  <c r="T573" i="3"/>
  <c r="Z573" i="3" s="1"/>
  <c r="T572" i="3"/>
  <c r="Z572" i="3" s="1"/>
  <c r="T571" i="3"/>
  <c r="Z571" i="3" s="1"/>
  <c r="T570" i="3"/>
  <c r="Z570" i="3" s="1"/>
  <c r="T569" i="3"/>
  <c r="Z569" i="3" s="1"/>
  <c r="T568" i="3"/>
  <c r="Z568" i="3" s="1"/>
  <c r="T567" i="3"/>
  <c r="Z567" i="3" s="1"/>
  <c r="T566" i="3"/>
  <c r="Z566" i="3" s="1"/>
  <c r="T565" i="3"/>
  <c r="Z565" i="3" s="1"/>
  <c r="T564" i="3"/>
  <c r="Z564" i="3" s="1"/>
  <c r="T563" i="3"/>
  <c r="Z563" i="3" s="1"/>
  <c r="T562" i="3"/>
  <c r="Z562" i="3" s="1"/>
  <c r="T561" i="3"/>
  <c r="Z561" i="3" s="1"/>
  <c r="T560" i="3"/>
  <c r="Z560" i="3" s="1"/>
  <c r="T559" i="3"/>
  <c r="Z559" i="3" s="1"/>
  <c r="T558" i="3"/>
  <c r="Z558" i="3" s="1"/>
  <c r="T557" i="3"/>
  <c r="Z557" i="3" s="1"/>
  <c r="T556" i="3"/>
  <c r="Z556" i="3" s="1"/>
  <c r="T555" i="3"/>
  <c r="Z555" i="3" s="1"/>
  <c r="T554" i="3"/>
  <c r="Z554" i="3" s="1"/>
  <c r="T553" i="3"/>
  <c r="Z553" i="3" s="1"/>
  <c r="T552" i="3"/>
  <c r="Z552" i="3" s="1"/>
  <c r="T551" i="3"/>
  <c r="Z551" i="3" s="1"/>
  <c r="T550" i="3"/>
  <c r="Z550" i="3" s="1"/>
  <c r="T549" i="3"/>
  <c r="Z549" i="3" s="1"/>
  <c r="T548" i="3"/>
  <c r="Z548" i="3" s="1"/>
  <c r="T547" i="3"/>
  <c r="Z547" i="3" s="1"/>
  <c r="T546" i="3"/>
  <c r="Z546" i="3" s="1"/>
  <c r="T545" i="3"/>
  <c r="Z545" i="3" s="1"/>
  <c r="T544" i="3"/>
  <c r="Z544" i="3" s="1"/>
  <c r="T543" i="3"/>
  <c r="Z543" i="3" s="1"/>
  <c r="T542" i="3"/>
  <c r="Z542" i="3" s="1"/>
  <c r="T541" i="3"/>
  <c r="Z541" i="3" s="1"/>
  <c r="T540" i="3"/>
  <c r="Z540" i="3" s="1"/>
  <c r="T539" i="3"/>
  <c r="Z539" i="3" s="1"/>
  <c r="T538" i="3"/>
  <c r="Z538" i="3" s="1"/>
  <c r="T537" i="3"/>
  <c r="Z537" i="3" s="1"/>
  <c r="T536" i="3"/>
  <c r="Z536" i="3" s="1"/>
  <c r="T535" i="3"/>
  <c r="Z535" i="3" s="1"/>
  <c r="T534" i="3"/>
  <c r="Z534" i="3" s="1"/>
  <c r="T533" i="3"/>
  <c r="Z533" i="3" s="1"/>
  <c r="T532" i="3"/>
  <c r="Z532" i="3" s="1"/>
  <c r="T531" i="3"/>
  <c r="Z531" i="3" s="1"/>
  <c r="T530" i="3"/>
  <c r="Z530" i="3" s="1"/>
  <c r="T529" i="3"/>
  <c r="Z529" i="3" s="1"/>
  <c r="T528" i="3"/>
  <c r="Z528" i="3" s="1"/>
  <c r="T527" i="3"/>
  <c r="Z527" i="3" s="1"/>
  <c r="T526" i="3"/>
  <c r="Z526" i="3" s="1"/>
  <c r="T525" i="3"/>
  <c r="Z525" i="3" s="1"/>
  <c r="T524" i="3"/>
  <c r="Z524" i="3" s="1"/>
  <c r="T523" i="3"/>
  <c r="Z523" i="3" s="1"/>
  <c r="T522" i="3"/>
  <c r="Z522" i="3" s="1"/>
  <c r="T521" i="3"/>
  <c r="Z521" i="3" s="1"/>
  <c r="T520" i="3"/>
  <c r="Z520" i="3" s="1"/>
  <c r="T519" i="3"/>
  <c r="Z519" i="3" s="1"/>
  <c r="T518" i="3"/>
  <c r="Z518" i="3" s="1"/>
  <c r="T517" i="3"/>
  <c r="Z517" i="3" s="1"/>
  <c r="T254" i="3"/>
  <c r="Z254" i="3" s="1"/>
  <c r="AA254" i="3" s="1"/>
  <c r="T513" i="3"/>
  <c r="Z513" i="3" s="1"/>
  <c r="T512" i="3"/>
  <c r="Z512" i="3" s="1"/>
  <c r="T511" i="3"/>
  <c r="Z511" i="3" s="1"/>
  <c r="T510" i="3"/>
  <c r="Z510" i="3" s="1"/>
  <c r="T509" i="3"/>
  <c r="Z509" i="3" s="1"/>
  <c r="T508" i="3"/>
  <c r="Z508" i="3" s="1"/>
  <c r="T507" i="3"/>
  <c r="Z507" i="3" s="1"/>
  <c r="T506" i="3"/>
  <c r="Z506" i="3" s="1"/>
  <c r="T505" i="3"/>
  <c r="Z505" i="3" s="1"/>
  <c r="T504" i="3"/>
  <c r="Z504" i="3" s="1"/>
  <c r="T503" i="3"/>
  <c r="Z503" i="3" s="1"/>
  <c r="T502" i="3"/>
  <c r="Z502" i="3" s="1"/>
  <c r="T501" i="3"/>
  <c r="Z501" i="3" s="1"/>
  <c r="T497" i="3"/>
  <c r="Z497" i="3" s="1"/>
  <c r="T496" i="3"/>
  <c r="Z496" i="3" s="1"/>
  <c r="T491" i="3"/>
  <c r="Z491" i="3" s="1"/>
  <c r="T490" i="3"/>
  <c r="Z490" i="3" s="1"/>
  <c r="T489" i="3"/>
  <c r="Z489" i="3" s="1"/>
  <c r="T471" i="3"/>
  <c r="Z471" i="3" s="1"/>
  <c r="T470" i="3"/>
  <c r="Z470" i="3" s="1"/>
  <c r="T469" i="3"/>
  <c r="Z469" i="3" s="1"/>
  <c r="T468" i="3"/>
  <c r="Z468" i="3" s="1"/>
  <c r="T467" i="3"/>
  <c r="Z467" i="3" s="1"/>
  <c r="T466" i="3"/>
  <c r="Z466" i="3" s="1"/>
  <c r="T465" i="3"/>
  <c r="Z465" i="3" s="1"/>
  <c r="T464" i="3"/>
  <c r="Z464" i="3" s="1"/>
  <c r="T463" i="3"/>
  <c r="Z463" i="3" s="1"/>
  <c r="T462" i="3"/>
  <c r="Z462" i="3" s="1"/>
  <c r="T461" i="3"/>
  <c r="Z461" i="3" s="1"/>
  <c r="T494" i="3"/>
  <c r="Z494" i="3" s="1"/>
  <c r="T485" i="3"/>
  <c r="Z485" i="3" s="1"/>
  <c r="T516" i="3"/>
  <c r="Z516" i="3" s="1"/>
  <c r="T515" i="3"/>
  <c r="Z515" i="3" s="1"/>
  <c r="T514" i="3"/>
  <c r="Z514" i="3" s="1"/>
  <c r="T500" i="3"/>
  <c r="Z500" i="3" s="1"/>
  <c r="T499" i="3"/>
  <c r="Z499" i="3" s="1"/>
  <c r="T498" i="3"/>
  <c r="Z498" i="3" s="1"/>
  <c r="T493" i="3"/>
  <c r="Z493" i="3" s="1"/>
  <c r="T488" i="3"/>
  <c r="Z488" i="3" s="1"/>
  <c r="T487" i="3"/>
  <c r="Z487" i="3" s="1"/>
  <c r="T484" i="3"/>
  <c r="Z484" i="3" s="1"/>
  <c r="T483" i="3"/>
  <c r="Z483" i="3" s="1"/>
  <c r="T482" i="3"/>
  <c r="Z482" i="3" s="1"/>
  <c r="T481" i="3"/>
  <c r="Z481" i="3" s="1"/>
  <c r="T480" i="3"/>
  <c r="Z480" i="3" s="1"/>
  <c r="T479" i="3"/>
  <c r="Z479" i="3" s="1"/>
  <c r="T478" i="3"/>
  <c r="Z478" i="3" s="1"/>
  <c r="T477" i="3"/>
  <c r="Z477" i="3" s="1"/>
  <c r="T475" i="3"/>
  <c r="Z475" i="3" s="1"/>
  <c r="T474" i="3"/>
  <c r="Z474" i="3" s="1"/>
  <c r="T473" i="3"/>
  <c r="Z473" i="3" s="1"/>
  <c r="T472" i="3"/>
  <c r="Z472" i="3" s="1"/>
  <c r="T476" i="3"/>
  <c r="Z476" i="3" s="1"/>
  <c r="T443" i="3"/>
  <c r="Z443" i="3" s="1"/>
  <c r="T492" i="3"/>
  <c r="Z492" i="3" s="1"/>
  <c r="T495" i="3"/>
  <c r="Z495" i="3" s="1"/>
  <c r="T451" i="3"/>
  <c r="Z451" i="3" s="1"/>
  <c r="T486" i="3"/>
  <c r="Z486" i="3" s="1"/>
  <c r="T457" i="3"/>
  <c r="Z457" i="3" s="1"/>
  <c r="T453" i="3"/>
  <c r="Z453" i="3" s="1"/>
  <c r="T452" i="3"/>
  <c r="Z452" i="3" s="1"/>
  <c r="T458" i="3"/>
  <c r="Z458" i="3" s="1"/>
  <c r="T454" i="3"/>
  <c r="Z454" i="3" s="1"/>
  <c r="T455" i="3"/>
  <c r="Z455" i="3" s="1"/>
  <c r="T459" i="3"/>
  <c r="Z459" i="3" s="1"/>
  <c r="T456" i="3"/>
  <c r="Z456" i="3" s="1"/>
  <c r="T460" i="3"/>
  <c r="Z460" i="3" s="1"/>
  <c r="T129" i="3"/>
  <c r="Z129" i="3" s="1"/>
  <c r="T81" i="3"/>
  <c r="Z81" i="3" s="1"/>
  <c r="T23" i="3"/>
  <c r="Z23" i="3" s="1"/>
  <c r="T75" i="3"/>
  <c r="Z75" i="3" s="1"/>
  <c r="T100" i="3"/>
  <c r="Z100" i="3" s="1"/>
  <c r="T202" i="3"/>
  <c r="Z202" i="3" s="1"/>
  <c r="T43" i="3"/>
  <c r="Z43" i="3" s="1"/>
  <c r="T134" i="3"/>
  <c r="Z134" i="3" s="1"/>
  <c r="T115" i="3"/>
  <c r="Z115" i="3" s="1"/>
  <c r="T174" i="3"/>
  <c r="Z174" i="3" s="1"/>
  <c r="T70" i="3"/>
  <c r="Z70" i="3" s="1"/>
  <c r="T40" i="3"/>
  <c r="Z40" i="3" s="1"/>
  <c r="T12" i="3"/>
  <c r="Z12" i="3" s="1"/>
  <c r="T147" i="3"/>
  <c r="Z147" i="3" s="1"/>
  <c r="T136" i="3"/>
  <c r="Z136" i="3" s="1"/>
  <c r="T157" i="3"/>
  <c r="Z157" i="3" s="1"/>
  <c r="T17" i="3"/>
  <c r="Z17" i="3" s="1"/>
  <c r="T106" i="3"/>
  <c r="Z106" i="3" s="1"/>
  <c r="T99" i="3"/>
  <c r="Z99" i="3" s="1"/>
  <c r="T71" i="3"/>
  <c r="Z71" i="3" s="1"/>
  <c r="T49" i="3"/>
  <c r="Z49" i="3" s="1"/>
  <c r="T38" i="3"/>
  <c r="Z38" i="3" s="1"/>
  <c r="T170" i="3"/>
  <c r="Z170" i="3" s="1"/>
  <c r="T284" i="3"/>
  <c r="Z284" i="3" s="1"/>
  <c r="T248" i="3"/>
  <c r="Z248" i="3" s="1"/>
  <c r="T241" i="3"/>
  <c r="Z241" i="3" s="1"/>
  <c r="T231" i="3"/>
  <c r="Z231" i="3" s="1"/>
  <c r="T177" i="3"/>
  <c r="Z177" i="3" s="1"/>
  <c r="T200" i="3"/>
  <c r="Z200" i="3" s="1"/>
  <c r="T187" i="3"/>
  <c r="Z187" i="3" s="1"/>
  <c r="T150" i="3"/>
  <c r="Z150" i="3" s="1"/>
  <c r="T132" i="3"/>
  <c r="Z132" i="3" s="1"/>
  <c r="T116" i="3"/>
  <c r="Z116" i="3" s="1"/>
  <c r="T102" i="3"/>
  <c r="Z102" i="3" s="1"/>
  <c r="T86" i="3"/>
  <c r="Z86" i="3" s="1"/>
  <c r="T67" i="3"/>
  <c r="Z67" i="3" s="1"/>
  <c r="T50" i="3"/>
  <c r="Z50" i="3" s="1"/>
  <c r="T34" i="3"/>
  <c r="Z34" i="3" s="1"/>
  <c r="T10" i="3"/>
  <c r="Z10" i="3" s="1"/>
  <c r="T143" i="3"/>
  <c r="Z143" i="3" s="1"/>
  <c r="T127" i="3"/>
  <c r="Z127" i="3" s="1"/>
  <c r="T109" i="3"/>
  <c r="Z109" i="3" s="1"/>
  <c r="T93" i="3"/>
  <c r="Z93" i="3" s="1"/>
  <c r="T78" i="3"/>
  <c r="Z78" i="3" s="1"/>
  <c r="T61" i="3"/>
  <c r="Z61" i="3" s="1"/>
  <c r="T45" i="3"/>
  <c r="Z45" i="3" s="1"/>
  <c r="T29" i="3"/>
  <c r="Z29" i="3" s="1"/>
  <c r="T20" i="3"/>
  <c r="Z20" i="3" s="1"/>
  <c r="T146" i="3"/>
  <c r="Z146" i="3" s="1"/>
  <c r="T130" i="3"/>
  <c r="Z130" i="3" s="1"/>
  <c r="T114" i="3"/>
  <c r="Z114" i="3" s="1"/>
  <c r="T96" i="3"/>
  <c r="Z96" i="3" s="1"/>
  <c r="T80" i="3"/>
  <c r="Z80" i="3" s="1"/>
  <c r="T69" i="3"/>
  <c r="Z69" i="3" s="1"/>
  <c r="T52" i="3"/>
  <c r="Z52" i="3" s="1"/>
  <c r="T36" i="3"/>
  <c r="Z36" i="3" s="1"/>
  <c r="T14" i="3"/>
  <c r="Z14" i="3" s="1"/>
  <c r="T19" i="3"/>
  <c r="Z19" i="3" s="1"/>
  <c r="T141" i="3"/>
  <c r="Z141" i="3" s="1"/>
  <c r="T125" i="3"/>
  <c r="Z125" i="3" s="1"/>
  <c r="T111" i="3"/>
  <c r="Z111" i="3" s="1"/>
  <c r="T95" i="3"/>
  <c r="Z95" i="3" s="1"/>
  <c r="T3" i="3"/>
  <c r="Z3" i="3" s="1"/>
  <c r="T68" i="3"/>
  <c r="Z68" i="3" s="1"/>
  <c r="T51" i="3"/>
  <c r="Z51" i="3" s="1"/>
  <c r="T35" i="3"/>
  <c r="Z35" i="3" s="1"/>
  <c r="T18" i="3"/>
  <c r="Z18" i="3" s="1"/>
  <c r="T252" i="3"/>
  <c r="Z252" i="3" s="1"/>
  <c r="T154" i="3"/>
  <c r="Z154" i="3" s="1"/>
  <c r="T234" i="3"/>
  <c r="Z234" i="3" s="1"/>
  <c r="T198" i="3"/>
  <c r="Z198" i="3" s="1"/>
  <c r="T205" i="3"/>
  <c r="Z205" i="3" s="1"/>
  <c r="T224" i="3"/>
  <c r="Z224" i="3" s="1"/>
  <c r="T235" i="3"/>
  <c r="Z235" i="3" s="1"/>
  <c r="T144" i="3"/>
  <c r="Z144" i="3" s="1"/>
  <c r="T128" i="3"/>
  <c r="Z128" i="3" s="1"/>
  <c r="T112" i="3"/>
  <c r="Z112" i="3" s="1"/>
  <c r="T98" i="3"/>
  <c r="Z98" i="3" s="1"/>
  <c r="T82" i="3"/>
  <c r="Z82" i="3" s="1"/>
  <c r="T63" i="3"/>
  <c r="Z63" i="3" s="1"/>
  <c r="T46" i="3"/>
  <c r="Z46" i="3" s="1"/>
  <c r="T30" i="3"/>
  <c r="Z30" i="3" s="1"/>
  <c r="T153" i="3"/>
  <c r="Z153" i="3" s="1"/>
  <c r="T139" i="3"/>
  <c r="Z139" i="3" s="1"/>
  <c r="T123" i="3"/>
  <c r="Z123" i="3" s="1"/>
  <c r="T105" i="3"/>
  <c r="Z105" i="3" s="1"/>
  <c r="T89" i="3"/>
  <c r="Z89" i="3" s="1"/>
  <c r="T74" i="3"/>
  <c r="Z74" i="3" s="1"/>
  <c r="T57" i="3"/>
  <c r="Z57" i="3" s="1"/>
  <c r="T41" i="3"/>
  <c r="Z41" i="3" s="1"/>
  <c r="T25" i="3"/>
  <c r="Z25" i="3" s="1"/>
  <c r="T11" i="3"/>
  <c r="Z11" i="3" s="1"/>
  <c r="T142" i="3"/>
  <c r="Z142" i="3" s="1"/>
  <c r="T126" i="3"/>
  <c r="Z126" i="3" s="1"/>
  <c r="T108" i="3"/>
  <c r="Z108" i="3" s="1"/>
  <c r="T92" i="3"/>
  <c r="Z92" i="3" s="1"/>
  <c r="T77" i="3"/>
  <c r="Z77" i="3" s="1"/>
  <c r="T65" i="3"/>
  <c r="Z65" i="3" s="1"/>
  <c r="T48" i="3"/>
  <c r="Z48" i="3" s="1"/>
  <c r="T32" i="3"/>
  <c r="Z32" i="3" s="1"/>
  <c r="T16" i="3"/>
  <c r="Z16" i="3" s="1"/>
  <c r="T21" i="3"/>
  <c r="Z21" i="3" s="1"/>
  <c r="T137" i="3"/>
  <c r="Z137" i="3" s="1"/>
  <c r="T121" i="3"/>
  <c r="Z121" i="3" s="1"/>
  <c r="T107" i="3"/>
  <c r="Z107" i="3" s="1"/>
  <c r="T91" i="3"/>
  <c r="Z91" i="3" s="1"/>
  <c r="T76" i="3"/>
  <c r="Z76" i="3" s="1"/>
  <c r="T64" i="3"/>
  <c r="Z64" i="3" s="1"/>
  <c r="T4" i="3"/>
  <c r="Z4" i="3" s="1"/>
  <c r="T27" i="3"/>
  <c r="Z27" i="3" s="1"/>
  <c r="T47" i="3"/>
  <c r="Z47" i="3" s="1"/>
  <c r="T72" i="3"/>
  <c r="Z72" i="3" s="1"/>
  <c r="T103" i="3"/>
  <c r="Z103" i="3" s="1"/>
  <c r="T133" i="3"/>
  <c r="Z133" i="3" s="1"/>
  <c r="T8" i="3"/>
  <c r="Z8" i="3" s="1"/>
  <c r="T44" i="3"/>
  <c r="Z44" i="3" s="1"/>
  <c r="T73" i="3"/>
  <c r="Z73" i="3" s="1"/>
  <c r="T104" i="3"/>
  <c r="Z104" i="3" s="1"/>
  <c r="T138" i="3"/>
  <c r="Z138" i="3" s="1"/>
  <c r="T13" i="3"/>
  <c r="Z13" i="3" s="1"/>
  <c r="T53" i="3"/>
  <c r="Z53" i="3" s="1"/>
  <c r="T85" i="3"/>
  <c r="Z85" i="3" s="1"/>
  <c r="T119" i="3"/>
  <c r="Z119" i="3" s="1"/>
  <c r="T149" i="3"/>
  <c r="Z149" i="3" s="1"/>
  <c r="T42" i="3"/>
  <c r="Z42" i="3" s="1"/>
  <c r="T79" i="3"/>
  <c r="Z79" i="3" s="1"/>
  <c r="T110" i="3"/>
  <c r="Z110" i="3" s="1"/>
  <c r="T140" i="3"/>
  <c r="Z140" i="3" s="1"/>
  <c r="T229" i="3"/>
  <c r="Z229" i="3" s="1"/>
  <c r="T228" i="3"/>
  <c r="Z228" i="3" s="1"/>
  <c r="T160" i="3"/>
  <c r="Z160" i="3" s="1"/>
  <c r="T5" i="3"/>
  <c r="Z5" i="3" s="1"/>
  <c r="T31" i="3"/>
  <c r="Z31" i="3" s="1"/>
  <c r="T55" i="3"/>
  <c r="Z55" i="3" s="1"/>
  <c r="T83" i="3"/>
  <c r="Z83" i="3" s="1"/>
  <c r="T113" i="3"/>
  <c r="Z113" i="3" s="1"/>
  <c r="T145" i="3"/>
  <c r="Z145" i="3" s="1"/>
  <c r="T24" i="3"/>
  <c r="Z24" i="3" s="1"/>
  <c r="T56" i="3"/>
  <c r="Z56" i="3" s="1"/>
  <c r="T84" i="3"/>
  <c r="Z84" i="3" s="1"/>
  <c r="T118" i="3"/>
  <c r="Z118" i="3" s="1"/>
  <c r="T152" i="3"/>
  <c r="Z152" i="3" s="1"/>
  <c r="T33" i="3"/>
  <c r="Z33" i="3" s="1"/>
  <c r="T62" i="3"/>
  <c r="Z62" i="3" s="1"/>
  <c r="T97" i="3"/>
  <c r="Z97" i="3" s="1"/>
  <c r="T131" i="3"/>
  <c r="Z131" i="3" s="1"/>
  <c r="T7" i="3"/>
  <c r="Z7" i="3" s="1"/>
  <c r="T54" i="3"/>
  <c r="Z54" i="3" s="1"/>
  <c r="T90" i="3"/>
  <c r="Z90" i="3" s="1"/>
  <c r="T120" i="3"/>
  <c r="Z120" i="3" s="1"/>
  <c r="T6" i="3"/>
  <c r="Z6" i="3" s="1"/>
  <c r="T181" i="3"/>
  <c r="Z181" i="3" s="1"/>
  <c r="T22" i="3"/>
  <c r="Z22" i="3" s="1"/>
  <c r="T39" i="3"/>
  <c r="Z39" i="3" s="1"/>
  <c r="T59" i="3"/>
  <c r="Z59" i="3" s="1"/>
  <c r="T87" i="3"/>
  <c r="Z87" i="3" s="1"/>
  <c r="T117" i="3"/>
  <c r="Z117" i="3" s="1"/>
  <c r="T151" i="3"/>
  <c r="Z151" i="3" s="1"/>
  <c r="T28" i="3"/>
  <c r="Z28" i="3" s="1"/>
  <c r="T60" i="3"/>
  <c r="Z60" i="3" s="1"/>
  <c r="T88" i="3"/>
  <c r="Z88" i="3" s="1"/>
  <c r="T122" i="3"/>
  <c r="Z122" i="3" s="1"/>
  <c r="T9" i="3"/>
  <c r="Z9" i="3" s="1"/>
  <c r="T37" i="3"/>
  <c r="Z37" i="3" s="1"/>
  <c r="T66" i="3"/>
  <c r="Z66" i="3" s="1"/>
  <c r="T101" i="3"/>
  <c r="Z101" i="3" s="1"/>
  <c r="T135" i="3"/>
  <c r="Z135" i="3" s="1"/>
  <c r="T26" i="3"/>
  <c r="Z26" i="3" s="1"/>
  <c r="T58" i="3"/>
  <c r="Z58" i="3" s="1"/>
  <c r="T94" i="3"/>
  <c r="Z94" i="3" s="1"/>
  <c r="T124" i="3"/>
  <c r="Z124" i="3" s="1"/>
  <c r="T155" i="3"/>
  <c r="Z155" i="3" s="1"/>
  <c r="T191" i="3"/>
  <c r="Z191" i="3" s="1"/>
  <c r="T272" i="3"/>
  <c r="Z272" i="3" s="1"/>
  <c r="T450" i="3"/>
  <c r="Z450" i="3" s="1"/>
  <c r="T449" i="3"/>
  <c r="Z449" i="3" s="1"/>
  <c r="T448" i="3"/>
  <c r="Z448" i="3" s="1"/>
  <c r="T447" i="3"/>
  <c r="Z447" i="3" s="1"/>
  <c r="T446" i="3"/>
  <c r="Z446" i="3" s="1"/>
  <c r="T445" i="3"/>
  <c r="Z445" i="3" s="1"/>
  <c r="T444" i="3"/>
  <c r="Z444" i="3" s="1"/>
  <c r="T442" i="3"/>
  <c r="Z442" i="3" s="1"/>
  <c r="T441" i="3"/>
  <c r="Z441" i="3" s="1"/>
  <c r="T440" i="3"/>
  <c r="Z440" i="3" s="1"/>
  <c r="T439" i="3"/>
  <c r="Z439" i="3" s="1"/>
  <c r="T438" i="3"/>
  <c r="Z438" i="3" s="1"/>
  <c r="T437" i="3"/>
  <c r="Z437" i="3" s="1"/>
  <c r="T436" i="3"/>
  <c r="Z436" i="3" s="1"/>
  <c r="T435" i="3"/>
  <c r="Z435" i="3" s="1"/>
  <c r="T434" i="3"/>
  <c r="Z434" i="3" s="1"/>
  <c r="T433" i="3"/>
  <c r="Z433" i="3" s="1"/>
  <c r="T432" i="3"/>
  <c r="Z432" i="3" s="1"/>
  <c r="T431" i="3"/>
  <c r="Z431" i="3" s="1"/>
  <c r="T430" i="3"/>
  <c r="Z430" i="3" s="1"/>
  <c r="T429" i="3"/>
  <c r="Z429" i="3" s="1"/>
  <c r="T428" i="3"/>
  <c r="Z428" i="3" s="1"/>
  <c r="T427" i="3"/>
  <c r="Z427" i="3" s="1"/>
  <c r="T426" i="3"/>
  <c r="Z426" i="3" s="1"/>
  <c r="T425" i="3"/>
  <c r="Z425" i="3" s="1"/>
  <c r="T424" i="3"/>
  <c r="Z424" i="3" s="1"/>
  <c r="T423" i="3"/>
  <c r="Z423" i="3" s="1"/>
  <c r="T422" i="3"/>
  <c r="Z422" i="3" s="1"/>
  <c r="T421" i="3"/>
  <c r="Z421" i="3" s="1"/>
  <c r="T420" i="3"/>
  <c r="Z420" i="3" s="1"/>
  <c r="T419" i="3"/>
  <c r="Z419" i="3" s="1"/>
  <c r="T418" i="3"/>
  <c r="Z418" i="3" s="1"/>
  <c r="T417" i="3"/>
  <c r="Z417" i="3" s="1"/>
  <c r="T416" i="3"/>
  <c r="Z416" i="3" s="1"/>
  <c r="T415" i="3"/>
  <c r="Z415" i="3" s="1"/>
  <c r="T414" i="3"/>
  <c r="Z414" i="3" s="1"/>
  <c r="T413" i="3"/>
  <c r="Z413" i="3" s="1"/>
  <c r="T412" i="3"/>
  <c r="Z412" i="3" s="1"/>
  <c r="T411" i="3"/>
  <c r="Z411" i="3" s="1"/>
  <c r="T410" i="3"/>
  <c r="Z410" i="3" s="1"/>
  <c r="T401" i="3"/>
  <c r="Z401" i="3" s="1"/>
  <c r="T402" i="3"/>
  <c r="Z402" i="3" s="1"/>
  <c r="T403" i="3"/>
  <c r="Z403" i="3" s="1"/>
  <c r="T404" i="3"/>
  <c r="Z404" i="3" s="1"/>
  <c r="T405" i="3"/>
  <c r="Z405" i="3" s="1"/>
  <c r="T406" i="3"/>
  <c r="Z406" i="3" s="1"/>
  <c r="T407" i="3"/>
  <c r="Z407" i="3" s="1"/>
  <c r="T408" i="3"/>
  <c r="Z408" i="3" s="1"/>
  <c r="T409" i="3"/>
  <c r="Z409" i="3" s="1"/>
  <c r="T393" i="3"/>
  <c r="Z393" i="3" s="1"/>
  <c r="T394" i="3"/>
  <c r="Z394" i="3" s="1"/>
  <c r="T395" i="3"/>
  <c r="Z395" i="3" s="1"/>
  <c r="T397" i="3"/>
  <c r="Z397" i="3" s="1"/>
  <c r="T398" i="3"/>
  <c r="Z398" i="3" s="1"/>
  <c r="T399" i="3"/>
  <c r="Z399" i="3" s="1"/>
  <c r="T392" i="3"/>
  <c r="Z392" i="3" s="1"/>
  <c r="T396" i="3"/>
  <c r="Z396" i="3" s="1"/>
  <c r="T400" i="3"/>
  <c r="Z400" i="3" s="1"/>
  <c r="T372" i="3"/>
  <c r="Z372" i="3" s="1"/>
  <c r="T375" i="3"/>
  <c r="Z375" i="3" s="1"/>
  <c r="T390" i="3"/>
  <c r="Z390" i="3" s="1"/>
  <c r="T389" i="3"/>
  <c r="Z389" i="3" s="1"/>
  <c r="T387" i="3"/>
  <c r="Z387" i="3" s="1"/>
  <c r="T385" i="3"/>
  <c r="Z385" i="3" s="1"/>
  <c r="T383" i="3"/>
  <c r="Z383" i="3" s="1"/>
  <c r="T381" i="3"/>
  <c r="Z381" i="3" s="1"/>
  <c r="T373" i="3"/>
  <c r="Z373" i="3" s="1"/>
  <c r="T371" i="3"/>
  <c r="Z371" i="3" s="1"/>
  <c r="T376" i="3"/>
  <c r="Z376" i="3" s="1"/>
  <c r="T374" i="3"/>
  <c r="Z374" i="3" s="1"/>
  <c r="T391" i="3"/>
  <c r="Z391" i="3" s="1"/>
  <c r="T388" i="3"/>
  <c r="Z388" i="3" s="1"/>
  <c r="T386" i="3"/>
  <c r="Z386" i="3" s="1"/>
  <c r="T384" i="3"/>
  <c r="Z384" i="3" s="1"/>
  <c r="T382" i="3"/>
  <c r="Z382" i="3" s="1"/>
  <c r="T370" i="3"/>
  <c r="Z370" i="3" s="1"/>
  <c r="T379" i="3"/>
  <c r="Z379" i="3" s="1"/>
  <c r="T377" i="3"/>
  <c r="Z377" i="3" s="1"/>
  <c r="T380" i="3"/>
  <c r="Z380" i="3" s="1"/>
  <c r="T378" i="3"/>
  <c r="Z378" i="3" s="1"/>
  <c r="Q2" i="3"/>
  <c r="S2" i="3" s="1"/>
  <c r="W2" i="3"/>
  <c r="T369" i="3"/>
  <c r="Z369" i="3" s="1"/>
  <c r="T368" i="3"/>
  <c r="Z368" i="3" s="1"/>
  <c r="T365" i="3"/>
  <c r="Z365" i="3" s="1"/>
  <c r="T364" i="3"/>
  <c r="Z364" i="3" s="1"/>
  <c r="T366" i="3"/>
  <c r="Z366" i="3" s="1"/>
  <c r="T367" i="3"/>
  <c r="Z367" i="3" s="1"/>
  <c r="T353" i="3"/>
  <c r="Z353" i="3" s="1"/>
  <c r="T352" i="3"/>
  <c r="Z352" i="3" s="1"/>
  <c r="T351" i="3"/>
  <c r="Z351" i="3" s="1"/>
  <c r="T354" i="3"/>
  <c r="Z354" i="3" s="1"/>
  <c r="T357" i="3"/>
  <c r="Z357" i="3" s="1"/>
  <c r="T362" i="3"/>
  <c r="Z362" i="3" s="1"/>
  <c r="T356" i="3"/>
  <c r="Z356" i="3" s="1"/>
  <c r="T361" i="3"/>
  <c r="Z361" i="3" s="1"/>
  <c r="T355" i="3"/>
  <c r="Z355" i="3" s="1"/>
  <c r="T360" i="3"/>
  <c r="Z360" i="3" s="1"/>
  <c r="T363" i="3"/>
  <c r="Z363" i="3" s="1"/>
  <c r="T358" i="3"/>
  <c r="Z358" i="3" s="1"/>
  <c r="T359" i="3"/>
  <c r="Z359" i="3" s="1"/>
  <c r="T335" i="3"/>
  <c r="Z335" i="3" s="1"/>
  <c r="T347" i="3"/>
  <c r="Z347" i="3" s="1"/>
  <c r="T336" i="3"/>
  <c r="Z336" i="3" s="1"/>
  <c r="T339" i="3"/>
  <c r="Z339" i="3" s="1"/>
  <c r="T342" i="3"/>
  <c r="Z342" i="3" s="1"/>
  <c r="T348" i="3"/>
  <c r="Z348" i="3" s="1"/>
  <c r="T344" i="3"/>
  <c r="Z344" i="3" s="1"/>
  <c r="T345" i="3"/>
  <c r="Z345" i="3" s="1"/>
  <c r="T349" i="3"/>
  <c r="Z349" i="3" s="1"/>
  <c r="T337" i="3"/>
  <c r="Z337" i="3" s="1"/>
  <c r="T350" i="3"/>
  <c r="Z350" i="3" s="1"/>
  <c r="T338" i="3"/>
  <c r="Z338" i="3" s="1"/>
  <c r="T341" i="3"/>
  <c r="Z341" i="3" s="1"/>
  <c r="T340" i="3"/>
  <c r="Z340" i="3" s="1"/>
  <c r="T346" i="3"/>
  <c r="Z346" i="3" s="1"/>
  <c r="T343" i="3"/>
  <c r="Z343" i="3" s="1"/>
  <c r="T299" i="3"/>
  <c r="Z299" i="3" s="1"/>
  <c r="T304" i="3"/>
  <c r="Z304" i="3" s="1"/>
  <c r="T316" i="3"/>
  <c r="Z316" i="3" s="1"/>
  <c r="T328" i="3"/>
  <c r="Z328" i="3" s="1"/>
  <c r="T309" i="3"/>
  <c r="Z309" i="3" s="1"/>
  <c r="T319" i="3"/>
  <c r="Z319" i="3" s="1"/>
  <c r="T333" i="3"/>
  <c r="Z333" i="3" s="1"/>
  <c r="T313" i="3"/>
  <c r="Z313" i="3" s="1"/>
  <c r="T332" i="3"/>
  <c r="Z332" i="3" s="1"/>
  <c r="T307" i="3"/>
  <c r="Z307" i="3" s="1"/>
  <c r="T324" i="3"/>
  <c r="Z324" i="3" s="1"/>
  <c r="T330" i="3"/>
  <c r="Z330" i="3" s="1"/>
  <c r="T305" i="3"/>
  <c r="Z305" i="3" s="1"/>
  <c r="T320" i="3"/>
  <c r="Z320" i="3" s="1"/>
  <c r="T331" i="3"/>
  <c r="Z331" i="3" s="1"/>
  <c r="T312" i="3"/>
  <c r="Z312" i="3" s="1"/>
  <c r="T323" i="3"/>
  <c r="Z323" i="3" s="1"/>
  <c r="T334" i="3"/>
  <c r="Z334" i="3" s="1"/>
  <c r="T325" i="3"/>
  <c r="Z325" i="3" s="1"/>
  <c r="T321" i="3"/>
  <c r="Z321" i="3" s="1"/>
  <c r="T329" i="3"/>
  <c r="Z329" i="3" s="1"/>
  <c r="T306" i="3"/>
  <c r="Z306" i="3" s="1"/>
  <c r="T322" i="3"/>
  <c r="Z322" i="3" s="1"/>
  <c r="T308" i="3"/>
  <c r="Z308" i="3" s="1"/>
  <c r="T315" i="3"/>
  <c r="Z315" i="3" s="1"/>
  <c r="T327" i="3"/>
  <c r="Z327" i="3" s="1"/>
  <c r="T314" i="3"/>
  <c r="Z314" i="3" s="1"/>
  <c r="T326" i="3"/>
  <c r="Z326" i="3" s="1"/>
  <c r="T310" i="3"/>
  <c r="Z310" i="3" s="1"/>
  <c r="T311" i="3"/>
  <c r="Z311" i="3" s="1"/>
  <c r="T317" i="3"/>
  <c r="Z317" i="3" s="1"/>
  <c r="T318" i="3"/>
  <c r="Z318" i="3" s="1"/>
  <c r="T15" i="3"/>
  <c r="Z15" i="3" s="1"/>
  <c r="T182" i="3"/>
  <c r="Z182" i="3" s="1"/>
  <c r="T239" i="3"/>
  <c r="Z239" i="3" s="1"/>
  <c r="T178" i="3"/>
  <c r="Z178" i="3" s="1"/>
  <c r="T166" i="3"/>
  <c r="Z166" i="3" s="1"/>
  <c r="T159" i="3"/>
  <c r="Z159" i="3" s="1"/>
  <c r="T163" i="3"/>
  <c r="Z163" i="3" s="1"/>
  <c r="T207" i="3"/>
  <c r="Z207" i="3" s="1"/>
  <c r="T225" i="3"/>
  <c r="Z225" i="3" s="1"/>
  <c r="T190" i="3"/>
  <c r="Z190" i="3" s="1"/>
  <c r="T175" i="3"/>
  <c r="Z175" i="3" s="1"/>
  <c r="T221" i="3"/>
  <c r="Z221" i="3" s="1"/>
  <c r="T259" i="3"/>
  <c r="Z259" i="3" s="1"/>
  <c r="T295" i="3"/>
  <c r="Z295" i="3" s="1"/>
  <c r="T148" i="3"/>
  <c r="Z148" i="3" s="1"/>
  <c r="T169" i="3"/>
  <c r="Z169" i="3" s="1"/>
  <c r="T201" i="3"/>
  <c r="Z201" i="3" s="1"/>
  <c r="T194" i="3"/>
  <c r="Z194" i="3" s="1"/>
  <c r="T220" i="3"/>
  <c r="Z220" i="3" s="1"/>
  <c r="T168" i="3"/>
  <c r="Z168" i="3" s="1"/>
  <c r="T179" i="3"/>
  <c r="Z179" i="3" s="1"/>
  <c r="T213" i="3"/>
  <c r="Z213" i="3" s="1"/>
  <c r="T215" i="3"/>
  <c r="Z215" i="3" s="1"/>
  <c r="T211" i="3"/>
  <c r="Z211" i="3" s="1"/>
  <c r="T185" i="3"/>
  <c r="Z185" i="3" s="1"/>
  <c r="T274" i="3"/>
  <c r="Z274" i="3" s="1"/>
  <c r="T250" i="3"/>
  <c r="Z250" i="3" s="1"/>
  <c r="T280" i="3"/>
  <c r="Z280" i="3" s="1"/>
  <c r="T223" i="3"/>
  <c r="Z223" i="3" s="1"/>
  <c r="T171" i="3"/>
  <c r="Z171" i="3" s="1"/>
  <c r="T243" i="3"/>
  <c r="Z243" i="3" s="1"/>
  <c r="T232" i="3"/>
  <c r="Z232" i="3" s="1"/>
  <c r="T226" i="3"/>
  <c r="Z226" i="3" s="1"/>
  <c r="T164" i="3"/>
  <c r="Z164" i="3" s="1"/>
  <c r="T219" i="3"/>
  <c r="Z219" i="3" s="1"/>
  <c r="T212" i="3"/>
  <c r="Z212" i="3" s="1"/>
  <c r="T251" i="3"/>
  <c r="Z251" i="3" s="1"/>
  <c r="T258" i="3"/>
  <c r="Z258" i="3" s="1"/>
  <c r="T275" i="3"/>
  <c r="Z275" i="3" s="1"/>
  <c r="T257" i="3"/>
  <c r="Z257" i="3" s="1"/>
  <c r="T293" i="3"/>
  <c r="Z293" i="3" s="1"/>
  <c r="T193" i="3"/>
  <c r="Z193" i="3" s="1"/>
  <c r="T216" i="3"/>
  <c r="Z216" i="3" s="1"/>
  <c r="T210" i="3"/>
  <c r="Z210" i="3" s="1"/>
  <c r="T209" i="3"/>
  <c r="Z209" i="3" s="1"/>
  <c r="T188" i="3"/>
  <c r="Z188" i="3" s="1"/>
  <c r="T197" i="3"/>
  <c r="Z197" i="3" s="1"/>
  <c r="T184" i="3"/>
  <c r="Z184" i="3" s="1"/>
  <c r="T240" i="3"/>
  <c r="Z240" i="3" s="1"/>
  <c r="T189" i="3"/>
  <c r="Z189" i="3" s="1"/>
  <c r="T266" i="3"/>
  <c r="Z266" i="3" s="1"/>
  <c r="T277" i="3"/>
  <c r="Z277" i="3" s="1"/>
  <c r="T255" i="3"/>
  <c r="Z255" i="3" s="1"/>
  <c r="T290" i="3"/>
  <c r="Z290" i="3" s="1"/>
  <c r="T288" i="3"/>
  <c r="Z288" i="3" s="1"/>
  <c r="T176" i="3"/>
  <c r="Z176" i="3" s="1"/>
  <c r="T186" i="3"/>
  <c r="Z186" i="3" s="1"/>
  <c r="T218" i="3"/>
  <c r="Z218" i="3" s="1"/>
  <c r="T236" i="3"/>
  <c r="Z236" i="3" s="1"/>
  <c r="T173" i="3"/>
  <c r="Z173" i="3" s="1"/>
  <c r="T230" i="3"/>
  <c r="Z230" i="3" s="1"/>
  <c r="T214" i="3"/>
  <c r="Z214" i="3" s="1"/>
  <c r="T242" i="3"/>
  <c r="Z242" i="3" s="1"/>
  <c r="T158" i="3"/>
  <c r="Z158" i="3" s="1"/>
  <c r="T206" i="3"/>
  <c r="Z206" i="3" s="1"/>
  <c r="T165" i="3"/>
  <c r="Z165" i="3" s="1"/>
  <c r="T217" i="3"/>
  <c r="Z217" i="3" s="1"/>
  <c r="T161" i="3"/>
  <c r="Z161" i="3" s="1"/>
  <c r="T204" i="3"/>
  <c r="Z204" i="3" s="1"/>
  <c r="T195" i="3"/>
  <c r="Z195" i="3" s="1"/>
  <c r="T233" i="3"/>
  <c r="Z233" i="3" s="1"/>
  <c r="T263" i="3"/>
  <c r="Z263" i="3" s="1"/>
  <c r="T269" i="3"/>
  <c r="Z269" i="3" s="1"/>
  <c r="T256" i="3"/>
  <c r="Z256" i="3" s="1"/>
  <c r="T247" i="3"/>
  <c r="Z247" i="3" s="1"/>
  <c r="T245" i="3"/>
  <c r="Z245" i="3" s="1"/>
  <c r="T271" i="3"/>
  <c r="Z271" i="3" s="1"/>
  <c r="T273" i="3"/>
  <c r="Z273" i="3" s="1"/>
  <c r="T261" i="3"/>
  <c r="Z261" i="3" s="1"/>
  <c r="T268" i="3"/>
  <c r="Z268" i="3" s="1"/>
  <c r="T298" i="3"/>
  <c r="Z298" i="3" s="1"/>
  <c r="T294" i="3"/>
  <c r="Z294" i="3" s="1"/>
  <c r="T282" i="3"/>
  <c r="Z282" i="3" s="1"/>
  <c r="T300" i="3"/>
  <c r="Z300" i="3" s="1"/>
  <c r="T291" i="3"/>
  <c r="Z291" i="3" s="1"/>
  <c r="T292" i="3"/>
  <c r="Z292" i="3" s="1"/>
  <c r="T276" i="3"/>
  <c r="Z276" i="3" s="1"/>
  <c r="T260" i="3"/>
  <c r="Z260" i="3" s="1"/>
  <c r="T267" i="3"/>
  <c r="Z267" i="3" s="1"/>
  <c r="T283" i="3"/>
  <c r="Z283" i="3" s="1"/>
  <c r="T297" i="3"/>
  <c r="Z297" i="3" s="1"/>
  <c r="T286" i="3"/>
  <c r="Z286" i="3" s="1"/>
  <c r="T302" i="3"/>
  <c r="Z302" i="3" s="1"/>
  <c r="T281" i="3"/>
  <c r="Z281" i="3" s="1"/>
  <c r="T301" i="3"/>
  <c r="Z301" i="3" s="1"/>
  <c r="T237" i="3"/>
  <c r="Z237" i="3" s="1"/>
  <c r="T199" i="3"/>
  <c r="Z199" i="3" s="1"/>
  <c r="T183" i="3"/>
  <c r="Z183" i="3" s="1"/>
  <c r="T192" i="3"/>
  <c r="Z192" i="3" s="1"/>
  <c r="T180" i="3"/>
  <c r="Z180" i="3" s="1"/>
  <c r="T222" i="3"/>
  <c r="Z222" i="3" s="1"/>
  <c r="T167" i="3"/>
  <c r="Z167" i="3" s="1"/>
  <c r="T203" i="3"/>
  <c r="Z203" i="3" s="1"/>
  <c r="T208" i="3"/>
  <c r="Z208" i="3" s="1"/>
  <c r="T196" i="3"/>
  <c r="Z196" i="3" s="1"/>
  <c r="T156" i="3"/>
  <c r="Z156" i="3" s="1"/>
  <c r="T162" i="3"/>
  <c r="Z162" i="3" s="1"/>
  <c r="T238" i="3"/>
  <c r="Z238" i="3" s="1"/>
  <c r="T244" i="3"/>
  <c r="Z244" i="3" s="1"/>
  <c r="T227" i="3"/>
  <c r="Z227" i="3" s="1"/>
  <c r="T172" i="3"/>
  <c r="Z172" i="3" s="1"/>
  <c r="T262" i="3"/>
  <c r="Z262" i="3" s="1"/>
  <c r="T246" i="3"/>
  <c r="Z246" i="3" s="1"/>
  <c r="T264" i="3"/>
  <c r="Z264" i="3" s="1"/>
  <c r="T270" i="3"/>
  <c r="Z270" i="3" s="1"/>
  <c r="T278" i="3"/>
  <c r="Z278" i="3" s="1"/>
  <c r="T249" i="3"/>
  <c r="Z249" i="3" s="1"/>
  <c r="T279" i="3"/>
  <c r="Z279" i="3" s="1"/>
  <c r="T265" i="3"/>
  <c r="Z265" i="3" s="1"/>
  <c r="T253" i="3"/>
  <c r="Z253" i="3" s="1"/>
  <c r="T287" i="3"/>
  <c r="Z287" i="3" s="1"/>
  <c r="T296" i="3"/>
  <c r="Z296" i="3" s="1"/>
  <c r="T289" i="3"/>
  <c r="Z289" i="3" s="1"/>
  <c r="T303" i="3"/>
  <c r="Z303" i="3" s="1"/>
  <c r="T285" i="3"/>
  <c r="Z285" i="3" s="1"/>
  <c r="I7" i="14"/>
  <c r="I8" i="14" s="1"/>
  <c r="T2" i="3"/>
  <c r="Z2" i="3" s="1"/>
  <c r="C7" i="14"/>
  <c r="N2" i="14" s="1"/>
  <c r="N4" i="14" s="1"/>
  <c r="I932" i="3" l="1"/>
  <c r="AB932" i="3"/>
  <c r="J932" i="3"/>
  <c r="AM932" i="3" s="1"/>
  <c r="AN932" i="3" s="1"/>
  <c r="AO932" i="3" s="1"/>
  <c r="AP932" i="3" s="1"/>
  <c r="J933" i="3"/>
  <c r="AM933" i="3" s="1"/>
  <c r="I933" i="3"/>
  <c r="AB933" i="3"/>
  <c r="J934" i="3"/>
  <c r="AM934" i="3" s="1"/>
  <c r="I934" i="3"/>
  <c r="AB934" i="3"/>
  <c r="J935" i="3"/>
  <c r="AM935" i="3" s="1"/>
  <c r="I935" i="3"/>
  <c r="AB935" i="3"/>
  <c r="AB936" i="3"/>
  <c r="J936" i="3"/>
  <c r="AM936" i="3" s="1"/>
  <c r="AN936" i="3" s="1"/>
  <c r="AO936" i="3" s="1"/>
  <c r="AP936" i="3" s="1"/>
  <c r="I936" i="3"/>
  <c r="AB937" i="3"/>
  <c r="J937" i="3"/>
  <c r="AM937" i="3" s="1"/>
  <c r="AN937" i="3" s="1"/>
  <c r="AO937" i="3" s="1"/>
  <c r="AP937" i="3" s="1"/>
  <c r="I937" i="3"/>
  <c r="AB938" i="3"/>
  <c r="J938" i="3"/>
  <c r="AM938" i="3" s="1"/>
  <c r="AN938" i="3" s="1"/>
  <c r="AO938" i="3" s="1"/>
  <c r="AP938" i="3" s="1"/>
  <c r="I938" i="3"/>
  <c r="AB939" i="3"/>
  <c r="J939" i="3"/>
  <c r="AM939" i="3" s="1"/>
  <c r="AN939" i="3" s="1"/>
  <c r="AO939" i="3" s="1"/>
  <c r="AP939" i="3" s="1"/>
  <c r="I939" i="3"/>
  <c r="AB940" i="3"/>
  <c r="J940" i="3"/>
  <c r="AM940" i="3" s="1"/>
  <c r="AN940" i="3" s="1"/>
  <c r="AO940" i="3" s="1"/>
  <c r="AP940" i="3" s="1"/>
  <c r="I940" i="3"/>
  <c r="AB941" i="3"/>
  <c r="J941" i="3"/>
  <c r="AM941" i="3" s="1"/>
  <c r="AN941" i="3" s="1"/>
  <c r="AO941" i="3" s="1"/>
  <c r="AP941" i="3" s="1"/>
  <c r="I941" i="3"/>
  <c r="AB942" i="3"/>
  <c r="J942" i="3"/>
  <c r="AM942" i="3" s="1"/>
  <c r="AN942" i="3" s="1"/>
  <c r="AO942" i="3" s="1"/>
  <c r="AP942" i="3" s="1"/>
  <c r="I942" i="3"/>
  <c r="AB943" i="3"/>
  <c r="J943" i="3"/>
  <c r="AM943" i="3" s="1"/>
  <c r="AN943" i="3" s="1"/>
  <c r="AO943" i="3" s="1"/>
  <c r="AP943" i="3" s="1"/>
  <c r="I943" i="3"/>
  <c r="AB944" i="3"/>
  <c r="J944" i="3"/>
  <c r="AM944" i="3" s="1"/>
  <c r="AN944" i="3" s="1"/>
  <c r="AO944" i="3" s="1"/>
  <c r="AP944" i="3" s="1"/>
  <c r="I944" i="3"/>
  <c r="AB945" i="3"/>
  <c r="J945" i="3"/>
  <c r="AM945" i="3" s="1"/>
  <c r="AN945" i="3" s="1"/>
  <c r="AO945" i="3" s="1"/>
  <c r="AP945" i="3" s="1"/>
  <c r="I945" i="3"/>
  <c r="J946" i="3"/>
  <c r="AM946" i="3" s="1"/>
  <c r="I946" i="3"/>
  <c r="AB946" i="3"/>
  <c r="AB947" i="3"/>
  <c r="J947" i="3"/>
  <c r="AM947" i="3" s="1"/>
  <c r="AN947" i="3" s="1"/>
  <c r="AO947" i="3" s="1"/>
  <c r="AP947" i="3" s="1"/>
  <c r="I947" i="3"/>
  <c r="AB948" i="3"/>
  <c r="J948" i="3"/>
  <c r="AM948" i="3" s="1"/>
  <c r="AN948" i="3" s="1"/>
  <c r="AO948" i="3" s="1"/>
  <c r="AP948" i="3" s="1"/>
  <c r="I948" i="3"/>
  <c r="AB949" i="3"/>
  <c r="J949" i="3"/>
  <c r="AM949" i="3" s="1"/>
  <c r="AN949" i="3" s="1"/>
  <c r="AO949" i="3" s="1"/>
  <c r="AP949" i="3" s="1"/>
  <c r="I949" i="3"/>
  <c r="J954" i="3"/>
  <c r="AM954" i="3" s="1"/>
  <c r="I954" i="3"/>
  <c r="AB954" i="3"/>
  <c r="AB952" i="3"/>
  <c r="I952" i="3"/>
  <c r="J952" i="3"/>
  <c r="AM952" i="3" s="1"/>
  <c r="AN952" i="3" s="1"/>
  <c r="AO952" i="3" s="1"/>
  <c r="AP952" i="3" s="1"/>
  <c r="AB841" i="3"/>
  <c r="J841" i="3"/>
  <c r="AM841" i="3" s="1"/>
  <c r="AN841" i="3" s="1"/>
  <c r="AO841" i="3" s="1"/>
  <c r="AP841" i="3" s="1"/>
  <c r="I841" i="3"/>
  <c r="J842" i="3"/>
  <c r="AM842" i="3" s="1"/>
  <c r="I842" i="3"/>
  <c r="AB842" i="3"/>
  <c r="AB843" i="3"/>
  <c r="J843" i="3"/>
  <c r="AM843" i="3" s="1"/>
  <c r="AN843" i="3" s="1"/>
  <c r="AO843" i="3" s="1"/>
  <c r="AP843" i="3" s="1"/>
  <c r="I843" i="3"/>
  <c r="AB844" i="3"/>
  <c r="J844" i="3"/>
  <c r="AM844" i="3" s="1"/>
  <c r="AN844" i="3" s="1"/>
  <c r="AO844" i="3" s="1"/>
  <c r="AP844" i="3" s="1"/>
  <c r="I844" i="3"/>
  <c r="AB845" i="3"/>
  <c r="J845" i="3"/>
  <c r="AM845" i="3" s="1"/>
  <c r="AN845" i="3" s="1"/>
  <c r="AO845" i="3" s="1"/>
  <c r="AP845" i="3" s="1"/>
  <c r="I845" i="3"/>
  <c r="AB846" i="3"/>
  <c r="J846" i="3"/>
  <c r="AM846" i="3" s="1"/>
  <c r="AN846" i="3" s="1"/>
  <c r="AO846" i="3" s="1"/>
  <c r="AP846" i="3" s="1"/>
  <c r="I846" i="3"/>
  <c r="I847" i="3"/>
  <c r="AB847" i="3"/>
  <c r="J847" i="3"/>
  <c r="AM847" i="3" s="1"/>
  <c r="AN847" i="3" s="1"/>
  <c r="AO847" i="3" s="1"/>
  <c r="AP847" i="3" s="1"/>
  <c r="J848" i="3"/>
  <c r="AM848" i="3" s="1"/>
  <c r="I848" i="3"/>
  <c r="AB848" i="3"/>
  <c r="AB849" i="3"/>
  <c r="J849" i="3"/>
  <c r="AM849" i="3" s="1"/>
  <c r="AN849" i="3" s="1"/>
  <c r="AO849" i="3" s="1"/>
  <c r="AP849" i="3" s="1"/>
  <c r="I849" i="3"/>
  <c r="AB850" i="3"/>
  <c r="J850" i="3"/>
  <c r="AM850" i="3" s="1"/>
  <c r="AN850" i="3" s="1"/>
  <c r="AO850" i="3" s="1"/>
  <c r="AP850" i="3" s="1"/>
  <c r="I850" i="3"/>
  <c r="I851" i="3"/>
  <c r="AB851" i="3"/>
  <c r="J851" i="3"/>
  <c r="AM851" i="3" s="1"/>
  <c r="AN851" i="3" s="1"/>
  <c r="AO851" i="3" s="1"/>
  <c r="AP851" i="3" s="1"/>
  <c r="AB852" i="3"/>
  <c r="J852" i="3"/>
  <c r="AM852" i="3" s="1"/>
  <c r="AN852" i="3" s="1"/>
  <c r="AO852" i="3" s="1"/>
  <c r="AP852" i="3" s="1"/>
  <c r="I852" i="3"/>
  <c r="I853" i="3"/>
  <c r="J853" i="3"/>
  <c r="AM853" i="3" s="1"/>
  <c r="AN853" i="3" s="1"/>
  <c r="AO853" i="3" s="1"/>
  <c r="AP853" i="3" s="1"/>
  <c r="AB853" i="3"/>
  <c r="AB854" i="3"/>
  <c r="J854" i="3"/>
  <c r="AM854" i="3" s="1"/>
  <c r="AN854" i="3" s="1"/>
  <c r="AO854" i="3" s="1"/>
  <c r="AP854" i="3" s="1"/>
  <c r="I854" i="3"/>
  <c r="AB855" i="3"/>
  <c r="J855" i="3"/>
  <c r="AM855" i="3" s="1"/>
  <c r="AN855" i="3" s="1"/>
  <c r="AO855" i="3" s="1"/>
  <c r="AP855" i="3" s="1"/>
  <c r="I855" i="3"/>
  <c r="J856" i="3"/>
  <c r="AM856" i="3" s="1"/>
  <c r="I856" i="3"/>
  <c r="AB856" i="3"/>
  <c r="AB960" i="3"/>
  <c r="J960" i="3"/>
  <c r="AM960" i="3" s="1"/>
  <c r="AN960" i="3" s="1"/>
  <c r="AO960" i="3" s="1"/>
  <c r="AP960" i="3" s="1"/>
  <c r="I960" i="3"/>
  <c r="AB961" i="3"/>
  <c r="J961" i="3"/>
  <c r="AM961" i="3" s="1"/>
  <c r="AN961" i="3" s="1"/>
  <c r="AO961" i="3" s="1"/>
  <c r="AP961" i="3" s="1"/>
  <c r="I961" i="3"/>
  <c r="AB962" i="3"/>
  <c r="J962" i="3"/>
  <c r="AM962" i="3" s="1"/>
  <c r="AN962" i="3" s="1"/>
  <c r="AO962" i="3" s="1"/>
  <c r="AP962" i="3" s="1"/>
  <c r="I962" i="3"/>
  <c r="J963" i="3"/>
  <c r="AM963" i="3" s="1"/>
  <c r="I963" i="3"/>
  <c r="AB963" i="3"/>
  <c r="I964" i="3"/>
  <c r="AB964" i="3"/>
  <c r="J964" i="3"/>
  <c r="AM964" i="3" s="1"/>
  <c r="AN964" i="3" s="1"/>
  <c r="AO964" i="3" s="1"/>
  <c r="AP964" i="3" s="1"/>
  <c r="AB965" i="3"/>
  <c r="J965" i="3"/>
  <c r="AM965" i="3" s="1"/>
  <c r="I965" i="3"/>
  <c r="AB966" i="3"/>
  <c r="J966" i="3"/>
  <c r="AM966" i="3" s="1"/>
  <c r="AN966" i="3" s="1"/>
  <c r="AO966" i="3" s="1"/>
  <c r="AP966" i="3" s="1"/>
  <c r="I966" i="3"/>
  <c r="AB967" i="3"/>
  <c r="J967" i="3"/>
  <c r="AM967" i="3" s="1"/>
  <c r="AN967" i="3" s="1"/>
  <c r="AO967" i="3" s="1"/>
  <c r="AP967" i="3" s="1"/>
  <c r="I967" i="3"/>
  <c r="AB968" i="3"/>
  <c r="J968" i="3"/>
  <c r="AM968" i="3" s="1"/>
  <c r="AN968" i="3" s="1"/>
  <c r="AO968" i="3" s="1"/>
  <c r="AP968" i="3" s="1"/>
  <c r="I968" i="3"/>
  <c r="AB969" i="3"/>
  <c r="J969" i="3"/>
  <c r="AM969" i="3" s="1"/>
  <c r="AN969" i="3" s="1"/>
  <c r="AO969" i="3" s="1"/>
  <c r="AP969" i="3" s="1"/>
  <c r="I969" i="3"/>
  <c r="J970" i="3"/>
  <c r="AM970" i="3" s="1"/>
  <c r="I970" i="3"/>
  <c r="AB970" i="3"/>
  <c r="AB971" i="3"/>
  <c r="J971" i="3"/>
  <c r="AM971" i="3" s="1"/>
  <c r="AN971" i="3" s="1"/>
  <c r="AO971" i="3" s="1"/>
  <c r="AP971" i="3" s="1"/>
  <c r="I971" i="3"/>
  <c r="AB972" i="3"/>
  <c r="J972" i="3"/>
  <c r="AM972" i="3" s="1"/>
  <c r="AN972" i="3" s="1"/>
  <c r="AO972" i="3" s="1"/>
  <c r="AP972" i="3" s="1"/>
  <c r="I972" i="3"/>
  <c r="AB973" i="3"/>
  <c r="J973" i="3"/>
  <c r="AM973" i="3" s="1"/>
  <c r="AN973" i="3" s="1"/>
  <c r="AO973" i="3" s="1"/>
  <c r="AP973" i="3" s="1"/>
  <c r="I973" i="3"/>
  <c r="AB974" i="3"/>
  <c r="J974" i="3"/>
  <c r="AM974" i="3" s="1"/>
  <c r="AN974" i="3" s="1"/>
  <c r="AO974" i="3" s="1"/>
  <c r="AP974" i="3" s="1"/>
  <c r="I974" i="3"/>
  <c r="AB975" i="3"/>
  <c r="J975" i="3"/>
  <c r="AM975" i="3" s="1"/>
  <c r="AN975" i="3" s="1"/>
  <c r="AO975" i="3" s="1"/>
  <c r="AP975" i="3" s="1"/>
  <c r="I975" i="3"/>
  <c r="I976" i="3"/>
  <c r="AB976" i="3"/>
  <c r="J976" i="3"/>
  <c r="AM976" i="3" s="1"/>
  <c r="AN976" i="3" s="1"/>
  <c r="AO976" i="3" s="1"/>
  <c r="AP976" i="3" s="1"/>
  <c r="J977" i="3"/>
  <c r="AM977" i="3" s="1"/>
  <c r="I977" i="3"/>
  <c r="AB977" i="3"/>
  <c r="AB978" i="3"/>
  <c r="J978" i="3"/>
  <c r="AM978" i="3" s="1"/>
  <c r="AN978" i="3" s="1"/>
  <c r="AO978" i="3" s="1"/>
  <c r="AP978" i="3" s="1"/>
  <c r="I978" i="3"/>
  <c r="AB979" i="3"/>
  <c r="J979" i="3"/>
  <c r="AM979" i="3" s="1"/>
  <c r="AN979" i="3" s="1"/>
  <c r="AO979" i="3" s="1"/>
  <c r="AP979" i="3" s="1"/>
  <c r="I979" i="3"/>
  <c r="I980" i="3"/>
  <c r="AB980" i="3"/>
  <c r="J980" i="3"/>
  <c r="AM980" i="3" s="1"/>
  <c r="AN980" i="3" s="1"/>
  <c r="AO980" i="3" s="1"/>
  <c r="AP980" i="3" s="1"/>
  <c r="AB981" i="3"/>
  <c r="J981" i="3"/>
  <c r="AM981" i="3" s="1"/>
  <c r="AN981" i="3" s="1"/>
  <c r="AO981" i="3" s="1"/>
  <c r="AP981" i="3" s="1"/>
  <c r="I981" i="3"/>
  <c r="J982" i="3"/>
  <c r="AM982" i="3" s="1"/>
  <c r="I982" i="3"/>
  <c r="AB982" i="3"/>
  <c r="AB983" i="3"/>
  <c r="J983" i="3"/>
  <c r="AM983" i="3" s="1"/>
  <c r="AN983" i="3" s="1"/>
  <c r="AO983" i="3" s="1"/>
  <c r="AP983" i="3" s="1"/>
  <c r="I983" i="3"/>
  <c r="AB984" i="3"/>
  <c r="J984" i="3"/>
  <c r="AM984" i="3" s="1"/>
  <c r="AN984" i="3" s="1"/>
  <c r="AO984" i="3" s="1"/>
  <c r="AP984" i="3" s="1"/>
  <c r="I984" i="3"/>
  <c r="AB985" i="3"/>
  <c r="J985" i="3"/>
  <c r="AM985" i="3" s="1"/>
  <c r="AN985" i="3" s="1"/>
  <c r="AO985" i="3" s="1"/>
  <c r="AP985" i="3" s="1"/>
  <c r="I985" i="3"/>
  <c r="J986" i="3"/>
  <c r="AM986" i="3" s="1"/>
  <c r="I986" i="3"/>
  <c r="AB986" i="3"/>
  <c r="AB987" i="3"/>
  <c r="J987" i="3"/>
  <c r="AM987" i="3" s="1"/>
  <c r="AN987" i="3" s="1"/>
  <c r="AO987" i="3" s="1"/>
  <c r="AP987" i="3" s="1"/>
  <c r="I987" i="3"/>
  <c r="AB988" i="3"/>
  <c r="J988" i="3"/>
  <c r="AM988" i="3" s="1"/>
  <c r="AN988" i="3" s="1"/>
  <c r="AO988" i="3" s="1"/>
  <c r="AP988" i="3" s="1"/>
  <c r="I988" i="3"/>
  <c r="AB989" i="3"/>
  <c r="J989" i="3"/>
  <c r="AM989" i="3" s="1"/>
  <c r="AN989" i="3" s="1"/>
  <c r="AO989" i="3" s="1"/>
  <c r="AP989" i="3" s="1"/>
  <c r="I989" i="3"/>
  <c r="AB990" i="3"/>
  <c r="J990" i="3"/>
  <c r="AM990" i="3" s="1"/>
  <c r="AN990" i="3" s="1"/>
  <c r="AO990" i="3" s="1"/>
  <c r="AP990" i="3" s="1"/>
  <c r="I990" i="3"/>
  <c r="AB991" i="3"/>
  <c r="J991" i="3"/>
  <c r="AM991" i="3" s="1"/>
  <c r="AN991" i="3" s="1"/>
  <c r="AO991" i="3" s="1"/>
  <c r="AP991" i="3" s="1"/>
  <c r="I991" i="3"/>
  <c r="AB992" i="3"/>
  <c r="J992" i="3"/>
  <c r="AM992" i="3" s="1"/>
  <c r="AN992" i="3" s="1"/>
  <c r="AO992" i="3" s="1"/>
  <c r="AP992" i="3" s="1"/>
  <c r="I992" i="3"/>
  <c r="AB993" i="3"/>
  <c r="J993" i="3"/>
  <c r="AM993" i="3" s="1"/>
  <c r="AN993" i="3" s="1"/>
  <c r="AO993" i="3" s="1"/>
  <c r="AP993" i="3" s="1"/>
  <c r="I993" i="3"/>
  <c r="AB994" i="3"/>
  <c r="I994" i="3"/>
  <c r="J994" i="3"/>
  <c r="AM994" i="3" s="1"/>
  <c r="AN994" i="3" s="1"/>
  <c r="AO994" i="3" s="1"/>
  <c r="AP994" i="3" s="1"/>
  <c r="AB995" i="3"/>
  <c r="J995" i="3"/>
  <c r="AM995" i="3" s="1"/>
  <c r="AN995" i="3" s="1"/>
  <c r="AO995" i="3" s="1"/>
  <c r="AP995" i="3" s="1"/>
  <c r="I995" i="3"/>
  <c r="AB996" i="3"/>
  <c r="J996" i="3"/>
  <c r="AM996" i="3" s="1"/>
  <c r="AN996" i="3" s="1"/>
  <c r="AO996" i="3" s="1"/>
  <c r="AP996" i="3" s="1"/>
  <c r="I996" i="3"/>
  <c r="AB997" i="3"/>
  <c r="I997" i="3"/>
  <c r="J997" i="3"/>
  <c r="AM997" i="3" s="1"/>
  <c r="AN997" i="3" s="1"/>
  <c r="AO997" i="3" s="1"/>
  <c r="AP997" i="3" s="1"/>
  <c r="AB998" i="3"/>
  <c r="J998" i="3"/>
  <c r="AM998" i="3" s="1"/>
  <c r="AN998" i="3" s="1"/>
  <c r="AO998" i="3" s="1"/>
  <c r="AP998" i="3" s="1"/>
  <c r="I998" i="3"/>
  <c r="AB999" i="3"/>
  <c r="J999" i="3"/>
  <c r="AM999" i="3" s="1"/>
  <c r="AN999" i="3" s="1"/>
  <c r="AO999" i="3" s="1"/>
  <c r="AP999" i="3" s="1"/>
  <c r="I999" i="3"/>
  <c r="AB1000" i="3"/>
  <c r="J1000" i="3"/>
  <c r="AM1000" i="3" s="1"/>
  <c r="AN1000" i="3" s="1"/>
  <c r="AO1000" i="3" s="1"/>
  <c r="AP1000" i="3" s="1"/>
  <c r="I1000" i="3"/>
  <c r="J1001" i="3"/>
  <c r="AM1001" i="3" s="1"/>
  <c r="AN1001" i="3" s="1"/>
  <c r="AO1001" i="3" s="1"/>
  <c r="AP1001" i="3" s="1"/>
  <c r="AB1001" i="3"/>
  <c r="I1001" i="3"/>
  <c r="AB1002" i="3"/>
  <c r="J1002" i="3"/>
  <c r="AM1002" i="3" s="1"/>
  <c r="AN1002" i="3" s="1"/>
  <c r="AO1002" i="3" s="1"/>
  <c r="AP1002" i="3" s="1"/>
  <c r="I1002" i="3"/>
  <c r="J1003" i="3"/>
  <c r="AM1003" i="3" s="1"/>
  <c r="AN1003" i="3" s="1"/>
  <c r="AO1003" i="3" s="1"/>
  <c r="AP1003" i="3" s="1"/>
  <c r="I1003" i="3"/>
  <c r="AB1003" i="3"/>
  <c r="AB1004" i="3"/>
  <c r="J1004" i="3"/>
  <c r="AM1004" i="3" s="1"/>
  <c r="AN1004" i="3" s="1"/>
  <c r="AO1004" i="3" s="1"/>
  <c r="AP1004" i="3" s="1"/>
  <c r="I1004" i="3"/>
  <c r="AB1005" i="3"/>
  <c r="I1005" i="3"/>
  <c r="J1005" i="3"/>
  <c r="AM1005" i="3" s="1"/>
  <c r="AN1005" i="3" s="1"/>
  <c r="AO1005" i="3" s="1"/>
  <c r="AP1005" i="3" s="1"/>
  <c r="AB1006" i="3"/>
  <c r="J1006" i="3"/>
  <c r="AM1006" i="3" s="1"/>
  <c r="AN1006" i="3" s="1"/>
  <c r="AO1006" i="3" s="1"/>
  <c r="AP1006" i="3" s="1"/>
  <c r="I1006" i="3"/>
  <c r="AB1007" i="3"/>
  <c r="J1007" i="3"/>
  <c r="AM1007" i="3" s="1"/>
  <c r="AN1007" i="3" s="1"/>
  <c r="AO1007" i="3" s="1"/>
  <c r="AP1007" i="3" s="1"/>
  <c r="I1007" i="3"/>
  <c r="AB1008" i="3"/>
  <c r="J1008" i="3"/>
  <c r="AM1008" i="3" s="1"/>
  <c r="AN1008" i="3" s="1"/>
  <c r="AO1008" i="3" s="1"/>
  <c r="AP1008" i="3" s="1"/>
  <c r="I1008" i="3"/>
  <c r="J1010" i="3"/>
  <c r="AM1010" i="3" s="1"/>
  <c r="AN1010" i="3" s="1"/>
  <c r="AO1010" i="3" s="1"/>
  <c r="AP1010" i="3" s="1"/>
  <c r="I1010" i="3"/>
  <c r="AB1010" i="3"/>
  <c r="J1011" i="3"/>
  <c r="AM1011" i="3" s="1"/>
  <c r="AN1011" i="3" s="1"/>
  <c r="AO1011" i="3" s="1"/>
  <c r="AP1011" i="3" s="1"/>
  <c r="I1011" i="3"/>
  <c r="AB1011" i="3"/>
  <c r="AB1012" i="3"/>
  <c r="I1012" i="3"/>
  <c r="J1012" i="3"/>
  <c r="AM1012" i="3" s="1"/>
  <c r="AN1012" i="3" s="1"/>
  <c r="AO1012" i="3" s="1"/>
  <c r="AP1012" i="3" s="1"/>
  <c r="I1013" i="3"/>
  <c r="AB1013" i="3"/>
  <c r="J1013" i="3"/>
  <c r="AM1013" i="3" s="1"/>
  <c r="AN1013" i="3" s="1"/>
  <c r="AO1013" i="3" s="1"/>
  <c r="AP1013" i="3" s="1"/>
  <c r="J1014" i="3"/>
  <c r="AM1014" i="3" s="1"/>
  <c r="AN1014" i="3" s="1"/>
  <c r="AO1014" i="3" s="1"/>
  <c r="AP1014" i="3" s="1"/>
  <c r="I1014" i="3"/>
  <c r="AB1014" i="3"/>
  <c r="J1015" i="3"/>
  <c r="AM1015" i="3" s="1"/>
  <c r="AN1015" i="3" s="1"/>
  <c r="AO1015" i="3" s="1"/>
  <c r="AP1015" i="3" s="1"/>
  <c r="I1015" i="3"/>
  <c r="AB1015" i="3"/>
  <c r="I1016" i="3"/>
  <c r="J1016" i="3"/>
  <c r="AM1016" i="3" s="1"/>
  <c r="AN1016" i="3" s="1"/>
  <c r="AO1016" i="3" s="1"/>
  <c r="AP1016" i="3" s="1"/>
  <c r="AB1016" i="3"/>
  <c r="I1017" i="3"/>
  <c r="AB1017" i="3"/>
  <c r="J1017" i="3"/>
  <c r="AM1017" i="3" s="1"/>
  <c r="AN1017" i="3" s="1"/>
  <c r="AO1017" i="3" s="1"/>
  <c r="AP1017" i="3" s="1"/>
  <c r="I1018" i="3"/>
  <c r="J1018" i="3"/>
  <c r="AM1018" i="3" s="1"/>
  <c r="AN1018" i="3" s="1"/>
  <c r="AO1018" i="3" s="1"/>
  <c r="AP1018" i="3" s="1"/>
  <c r="AB1018" i="3"/>
  <c r="J1019" i="3"/>
  <c r="AM1019" i="3" s="1"/>
  <c r="AN1019" i="3" s="1"/>
  <c r="AO1019" i="3" s="1"/>
  <c r="AP1019" i="3" s="1"/>
  <c r="AB1019" i="3"/>
  <c r="I1019" i="3"/>
  <c r="I1020" i="3"/>
  <c r="J1020" i="3"/>
  <c r="AM1020" i="3" s="1"/>
  <c r="AN1020" i="3" s="1"/>
  <c r="AO1020" i="3" s="1"/>
  <c r="AP1020" i="3" s="1"/>
  <c r="AB1020" i="3"/>
  <c r="AB1021" i="3"/>
  <c r="J1021" i="3"/>
  <c r="AM1021" i="3" s="1"/>
  <c r="AN1021" i="3" s="1"/>
  <c r="AO1021" i="3" s="1"/>
  <c r="AP1021" i="3" s="1"/>
  <c r="I1021" i="3"/>
  <c r="J1022" i="3"/>
  <c r="AM1022" i="3" s="1"/>
  <c r="AN1022" i="3" s="1"/>
  <c r="AO1022" i="3" s="1"/>
  <c r="AP1022" i="3" s="1"/>
  <c r="I1022" i="3"/>
  <c r="AB1022" i="3"/>
  <c r="J1023" i="3"/>
  <c r="AM1023" i="3" s="1"/>
  <c r="AN1023" i="3" s="1"/>
  <c r="AO1023" i="3" s="1"/>
  <c r="AP1023" i="3" s="1"/>
  <c r="I1023" i="3"/>
  <c r="AB1023" i="3"/>
  <c r="AB1025" i="3"/>
  <c r="I1025" i="3"/>
  <c r="J1025" i="3"/>
  <c r="AM1025" i="3" s="1"/>
  <c r="AN1025" i="3" s="1"/>
  <c r="AO1025" i="3" s="1"/>
  <c r="AP1025" i="3" s="1"/>
  <c r="AB1026" i="3"/>
  <c r="I1026" i="3"/>
  <c r="J1026" i="3"/>
  <c r="AM1026" i="3" s="1"/>
  <c r="AN1026" i="3" s="1"/>
  <c r="AO1026" i="3" s="1"/>
  <c r="AP1026" i="3" s="1"/>
  <c r="I1027" i="3"/>
  <c r="AB1027" i="3"/>
  <c r="J1027" i="3"/>
  <c r="AM1027" i="3" s="1"/>
  <c r="AN1027" i="3" s="1"/>
  <c r="AO1027" i="3" s="1"/>
  <c r="AP1027" i="3" s="1"/>
  <c r="I1029" i="3"/>
  <c r="J1029" i="3"/>
  <c r="AM1029" i="3" s="1"/>
  <c r="AN1029" i="3" s="1"/>
  <c r="AO1029" i="3" s="1"/>
  <c r="AP1029" i="3" s="1"/>
  <c r="AB1029" i="3"/>
  <c r="I1028" i="3"/>
  <c r="AB1028" i="3"/>
  <c r="J1028" i="3"/>
  <c r="AM1028" i="3" s="1"/>
  <c r="AN1028" i="3" s="1"/>
  <c r="AO1028" i="3" s="1"/>
  <c r="AP1028" i="3" s="1"/>
  <c r="J1024" i="3"/>
  <c r="AM1024" i="3" s="1"/>
  <c r="AN1024" i="3" s="1"/>
  <c r="AO1024" i="3" s="1"/>
  <c r="AP1024" i="3" s="1"/>
  <c r="AB1024" i="3"/>
  <c r="I1024" i="3"/>
  <c r="J1009" i="3"/>
  <c r="AM1009" i="3" s="1"/>
  <c r="AN1009" i="3" s="1"/>
  <c r="AO1009" i="3" s="1"/>
  <c r="AP1009" i="3" s="1"/>
  <c r="AB1009" i="3"/>
  <c r="I1009" i="3"/>
  <c r="AB953" i="3"/>
  <c r="J953" i="3"/>
  <c r="AM953" i="3" s="1"/>
  <c r="AN953" i="3" s="1"/>
  <c r="AO953" i="3" s="1"/>
  <c r="AP953" i="3" s="1"/>
  <c r="I953" i="3"/>
  <c r="AB955" i="3"/>
  <c r="J955" i="3"/>
  <c r="AM955" i="3" s="1"/>
  <c r="AN955" i="3" s="1"/>
  <c r="AO955" i="3" s="1"/>
  <c r="AP955" i="3" s="1"/>
  <c r="I955" i="3"/>
  <c r="J956" i="3"/>
  <c r="AM956" i="3" s="1"/>
  <c r="I956" i="3"/>
  <c r="AB956" i="3"/>
  <c r="AB957" i="3"/>
  <c r="J957" i="3"/>
  <c r="AM957" i="3" s="1"/>
  <c r="AN957" i="3" s="1"/>
  <c r="AO957" i="3" s="1"/>
  <c r="AP957" i="3" s="1"/>
  <c r="I957" i="3"/>
  <c r="AB958" i="3"/>
  <c r="J958" i="3"/>
  <c r="AM958" i="3" s="1"/>
  <c r="AN958" i="3" s="1"/>
  <c r="AO958" i="3" s="1"/>
  <c r="AP958" i="3" s="1"/>
  <c r="I958" i="3"/>
  <c r="J959" i="3"/>
  <c r="AM959" i="3" s="1"/>
  <c r="I959" i="3"/>
  <c r="AB959" i="3"/>
  <c r="AB951" i="3"/>
  <c r="J951" i="3"/>
  <c r="AM951" i="3" s="1"/>
  <c r="AN951" i="3" s="1"/>
  <c r="AO951" i="3" s="1"/>
  <c r="AP951" i="3" s="1"/>
  <c r="I951" i="3"/>
  <c r="J950" i="3"/>
  <c r="AM950" i="3" s="1"/>
  <c r="I950" i="3"/>
  <c r="AB950" i="3"/>
  <c r="I1031" i="3"/>
  <c r="J1031" i="3"/>
  <c r="AM1031" i="3" s="1"/>
  <c r="AN1031" i="3" s="1"/>
  <c r="AO1031" i="3" s="1"/>
  <c r="AP1031" i="3" s="1"/>
  <c r="AB1031" i="3"/>
  <c r="J1032" i="3"/>
  <c r="AM1032" i="3" s="1"/>
  <c r="AN1032" i="3" s="1"/>
  <c r="AO1032" i="3" s="1"/>
  <c r="AP1032" i="3" s="1"/>
  <c r="AB1032" i="3"/>
  <c r="I1032" i="3"/>
  <c r="J1033" i="3"/>
  <c r="AM1033" i="3" s="1"/>
  <c r="AN1033" i="3" s="1"/>
  <c r="AO1033" i="3" s="1"/>
  <c r="AP1033" i="3" s="1"/>
  <c r="I1033" i="3"/>
  <c r="AB1033" i="3"/>
  <c r="I1034" i="3"/>
  <c r="AB1034" i="3"/>
  <c r="J1034" i="3"/>
  <c r="AM1034" i="3" s="1"/>
  <c r="AN1034" i="3" s="1"/>
  <c r="AO1034" i="3" s="1"/>
  <c r="AP1034" i="3" s="1"/>
  <c r="I1035" i="3"/>
  <c r="J1035" i="3"/>
  <c r="AM1035" i="3" s="1"/>
  <c r="AN1035" i="3" s="1"/>
  <c r="AO1035" i="3" s="1"/>
  <c r="AP1035" i="3" s="1"/>
  <c r="AB1035" i="3"/>
  <c r="I1036" i="3"/>
  <c r="AB1036" i="3"/>
  <c r="J1036" i="3"/>
  <c r="AM1036" i="3" s="1"/>
  <c r="AN1036" i="3" s="1"/>
  <c r="AO1036" i="3" s="1"/>
  <c r="AP1036" i="3" s="1"/>
  <c r="I1037" i="3"/>
  <c r="AB1037" i="3"/>
  <c r="J1037" i="3"/>
  <c r="AM1037" i="3" s="1"/>
  <c r="AN1037" i="3" s="1"/>
  <c r="AO1037" i="3" s="1"/>
  <c r="AP1037" i="3" s="1"/>
  <c r="J1038" i="3"/>
  <c r="AM1038" i="3" s="1"/>
  <c r="AN1038" i="3" s="1"/>
  <c r="AO1038" i="3" s="1"/>
  <c r="AP1038" i="3" s="1"/>
  <c r="I1038" i="3"/>
  <c r="AB1038" i="3"/>
  <c r="I1039" i="3"/>
  <c r="J1039" i="3"/>
  <c r="AM1039" i="3" s="1"/>
  <c r="AN1039" i="3" s="1"/>
  <c r="AO1039" i="3" s="1"/>
  <c r="AP1039" i="3" s="1"/>
  <c r="AB1039" i="3"/>
  <c r="I1040" i="3"/>
  <c r="J1040" i="3"/>
  <c r="AM1040" i="3" s="1"/>
  <c r="AN1040" i="3" s="1"/>
  <c r="AO1040" i="3" s="1"/>
  <c r="AP1040" i="3" s="1"/>
  <c r="AB1040" i="3"/>
  <c r="I1041" i="3"/>
  <c r="J1041" i="3"/>
  <c r="AM1041" i="3" s="1"/>
  <c r="AN1041" i="3" s="1"/>
  <c r="AO1041" i="3" s="1"/>
  <c r="AP1041" i="3" s="1"/>
  <c r="AB1041" i="3"/>
  <c r="I1042" i="3"/>
  <c r="AB1042" i="3"/>
  <c r="J1042" i="3"/>
  <c r="AM1042" i="3" s="1"/>
  <c r="AN1042" i="3" s="1"/>
  <c r="AO1042" i="3" s="1"/>
  <c r="AP1042" i="3" s="1"/>
  <c r="I1043" i="3"/>
  <c r="J1043" i="3"/>
  <c r="AM1043" i="3" s="1"/>
  <c r="AN1043" i="3" s="1"/>
  <c r="AO1043" i="3" s="1"/>
  <c r="AP1043" i="3" s="1"/>
  <c r="AB1043" i="3"/>
  <c r="J1044" i="3"/>
  <c r="AM1044" i="3" s="1"/>
  <c r="AN1044" i="3" s="1"/>
  <c r="AO1044" i="3" s="1"/>
  <c r="AP1044" i="3" s="1"/>
  <c r="I1044" i="3"/>
  <c r="AB1044" i="3"/>
  <c r="I1045" i="3"/>
  <c r="AB1045" i="3"/>
  <c r="J1045" i="3"/>
  <c r="AM1045" i="3" s="1"/>
  <c r="AN1045" i="3" s="1"/>
  <c r="AO1045" i="3" s="1"/>
  <c r="AP1045" i="3" s="1"/>
  <c r="J1046" i="3"/>
  <c r="AM1046" i="3" s="1"/>
  <c r="AN1046" i="3" s="1"/>
  <c r="AO1046" i="3" s="1"/>
  <c r="AP1046" i="3" s="1"/>
  <c r="I1046" i="3"/>
  <c r="AB1046" i="3"/>
  <c r="I1047" i="3"/>
  <c r="AB1047" i="3"/>
  <c r="J1047" i="3"/>
  <c r="AM1047" i="3" s="1"/>
  <c r="AN1047" i="3" s="1"/>
  <c r="AO1047" i="3" s="1"/>
  <c r="AP1047" i="3" s="1"/>
  <c r="I1048" i="3"/>
  <c r="J1048" i="3"/>
  <c r="AM1048" i="3" s="1"/>
  <c r="AN1048" i="3" s="1"/>
  <c r="AO1048" i="3" s="1"/>
  <c r="AP1048" i="3" s="1"/>
  <c r="AB1048" i="3"/>
  <c r="I1049" i="3"/>
  <c r="AB1049" i="3"/>
  <c r="J1049" i="3"/>
  <c r="AM1049" i="3" s="1"/>
  <c r="AN1049" i="3" s="1"/>
  <c r="AO1049" i="3" s="1"/>
  <c r="AP1049" i="3" s="1"/>
  <c r="I1050" i="3"/>
  <c r="J1050" i="3"/>
  <c r="AM1050" i="3" s="1"/>
  <c r="AN1050" i="3" s="1"/>
  <c r="AO1050" i="3" s="1"/>
  <c r="AP1050" i="3" s="1"/>
  <c r="AB1050" i="3"/>
  <c r="I1051" i="3"/>
  <c r="AB1051" i="3"/>
  <c r="J1051" i="3"/>
  <c r="AM1051" i="3" s="1"/>
  <c r="AN1051" i="3" s="1"/>
  <c r="AO1051" i="3" s="1"/>
  <c r="AP1051" i="3" s="1"/>
  <c r="I1052" i="3"/>
  <c r="AB1052" i="3"/>
  <c r="J1052" i="3"/>
  <c r="AM1052" i="3" s="1"/>
  <c r="AN1052" i="3" s="1"/>
  <c r="AO1052" i="3" s="1"/>
  <c r="AP1052" i="3" s="1"/>
  <c r="I1053" i="3"/>
  <c r="J1053" i="3"/>
  <c r="AM1053" i="3" s="1"/>
  <c r="AN1053" i="3" s="1"/>
  <c r="AO1053" i="3" s="1"/>
  <c r="AP1053" i="3" s="1"/>
  <c r="AB1053" i="3"/>
  <c r="I1054" i="3"/>
  <c r="J1054" i="3"/>
  <c r="AM1054" i="3" s="1"/>
  <c r="AN1054" i="3" s="1"/>
  <c r="AO1054" i="3" s="1"/>
  <c r="AP1054" i="3" s="1"/>
  <c r="AB1054" i="3"/>
  <c r="I1055" i="3"/>
  <c r="J1055" i="3"/>
  <c r="AM1055" i="3" s="1"/>
  <c r="AN1055" i="3" s="1"/>
  <c r="AO1055" i="3" s="1"/>
  <c r="AP1055" i="3" s="1"/>
  <c r="AB1055" i="3"/>
  <c r="J1057" i="3"/>
  <c r="AM1057" i="3" s="1"/>
  <c r="AN1057" i="3" s="1"/>
  <c r="AO1057" i="3" s="1"/>
  <c r="AP1057" i="3" s="1"/>
  <c r="I1057" i="3"/>
  <c r="AB1057" i="3"/>
  <c r="I1058" i="3"/>
  <c r="AB1058" i="3"/>
  <c r="J1058" i="3"/>
  <c r="AM1058" i="3" s="1"/>
  <c r="AN1058" i="3" s="1"/>
  <c r="AO1058" i="3" s="1"/>
  <c r="AP1058" i="3" s="1"/>
  <c r="I1056" i="3"/>
  <c r="J1056" i="3"/>
  <c r="AM1056" i="3" s="1"/>
  <c r="AN1056" i="3" s="1"/>
  <c r="AO1056" i="3" s="1"/>
  <c r="AP1056" i="3" s="1"/>
  <c r="AB1056" i="3"/>
  <c r="J1030" i="3"/>
  <c r="AM1030" i="3" s="1"/>
  <c r="AN1030" i="3" s="1"/>
  <c r="AO1030" i="3" s="1"/>
  <c r="AP1030" i="3" s="1"/>
  <c r="AB1030" i="3"/>
  <c r="I1030" i="3"/>
  <c r="AB1061" i="3"/>
  <c r="J1061" i="3"/>
  <c r="AM1061" i="3" s="1"/>
  <c r="AN1061" i="3" s="1"/>
  <c r="AO1061" i="3" s="1"/>
  <c r="AP1061" i="3" s="1"/>
  <c r="I1061" i="3"/>
  <c r="I1060" i="3"/>
  <c r="AB1060" i="3"/>
  <c r="J1060" i="3"/>
  <c r="AM1060" i="3" s="1"/>
  <c r="AN1060" i="3" s="1"/>
  <c r="AO1060" i="3" s="1"/>
  <c r="AP1060" i="3" s="1"/>
  <c r="AB1059" i="3"/>
  <c r="J1059" i="3"/>
  <c r="AM1059" i="3" s="1"/>
  <c r="AN1059" i="3" s="1"/>
  <c r="AO1059" i="3" s="1"/>
  <c r="AP1059" i="3" s="1"/>
  <c r="I1059" i="3"/>
  <c r="J1064" i="3"/>
  <c r="AM1064" i="3" s="1"/>
  <c r="AN1064" i="3" s="1"/>
  <c r="AO1064" i="3" s="1"/>
  <c r="AP1064" i="3" s="1"/>
  <c r="I1064" i="3"/>
  <c r="AB1064" i="3"/>
  <c r="J1065" i="3"/>
  <c r="AM1065" i="3" s="1"/>
  <c r="AN1065" i="3" s="1"/>
  <c r="AO1065" i="3" s="1"/>
  <c r="AP1065" i="3" s="1"/>
  <c r="AB1065" i="3"/>
  <c r="I1065" i="3"/>
  <c r="J1067" i="3"/>
  <c r="AM1067" i="3" s="1"/>
  <c r="AN1067" i="3" s="1"/>
  <c r="AO1067" i="3" s="1"/>
  <c r="AP1067" i="3" s="1"/>
  <c r="AB1067" i="3"/>
  <c r="I1067" i="3"/>
  <c r="J1069" i="3"/>
  <c r="AM1069" i="3" s="1"/>
  <c r="AN1069" i="3" s="1"/>
  <c r="AO1069" i="3" s="1"/>
  <c r="AP1069" i="3" s="1"/>
  <c r="I1069" i="3"/>
  <c r="AB1069" i="3"/>
  <c r="J1070" i="3"/>
  <c r="AM1070" i="3" s="1"/>
  <c r="AN1070" i="3" s="1"/>
  <c r="AO1070" i="3" s="1"/>
  <c r="AP1070" i="3" s="1"/>
  <c r="I1070" i="3"/>
  <c r="AB1070" i="3"/>
  <c r="J1074" i="3"/>
  <c r="AM1074" i="3" s="1"/>
  <c r="AN1074" i="3" s="1"/>
  <c r="AO1074" i="3" s="1"/>
  <c r="AP1074" i="3" s="1"/>
  <c r="I1074" i="3"/>
  <c r="AB1074" i="3"/>
  <c r="J1072" i="3"/>
  <c r="AM1072" i="3" s="1"/>
  <c r="AN1072" i="3" s="1"/>
  <c r="AO1072" i="3" s="1"/>
  <c r="AP1072" i="3" s="1"/>
  <c r="I1072" i="3"/>
  <c r="AB1072" i="3"/>
  <c r="AB1073" i="3"/>
  <c r="J1073" i="3"/>
  <c r="AM1073" i="3" s="1"/>
  <c r="AN1073" i="3" s="1"/>
  <c r="AO1073" i="3" s="1"/>
  <c r="AP1073" i="3" s="1"/>
  <c r="I1073" i="3"/>
  <c r="AB1071" i="3"/>
  <c r="J1071" i="3"/>
  <c r="AM1071" i="3" s="1"/>
  <c r="AN1071" i="3" s="1"/>
  <c r="AO1071" i="3" s="1"/>
  <c r="AP1071" i="3" s="1"/>
  <c r="I1071" i="3"/>
  <c r="J1068" i="3"/>
  <c r="AM1068" i="3" s="1"/>
  <c r="AN1068" i="3" s="1"/>
  <c r="AO1068" i="3" s="1"/>
  <c r="AP1068" i="3" s="1"/>
  <c r="I1068" i="3"/>
  <c r="AB1068" i="3"/>
  <c r="AB1063" i="3"/>
  <c r="I1063" i="3"/>
  <c r="J1063" i="3"/>
  <c r="AM1063" i="3" s="1"/>
  <c r="AN1063" i="3" s="1"/>
  <c r="AO1063" i="3" s="1"/>
  <c r="AP1063" i="3" s="1"/>
  <c r="J1062" i="3"/>
  <c r="AM1062" i="3" s="1"/>
  <c r="AN1062" i="3" s="1"/>
  <c r="AO1062" i="3" s="1"/>
  <c r="AP1062" i="3" s="1"/>
  <c r="AB1062" i="3"/>
  <c r="I1062" i="3"/>
  <c r="I1066" i="3"/>
  <c r="AB1066" i="3"/>
  <c r="J1066" i="3"/>
  <c r="AM1066" i="3" s="1"/>
  <c r="AN1066" i="3" s="1"/>
  <c r="AO1066" i="3" s="1"/>
  <c r="AP1066" i="3" s="1"/>
  <c r="I1076" i="3"/>
  <c r="AB1076" i="3"/>
  <c r="J1076" i="3"/>
  <c r="AM1076" i="3" s="1"/>
  <c r="AN1076" i="3" s="1"/>
  <c r="AO1076" i="3" s="1"/>
  <c r="AP1076" i="3" s="1"/>
  <c r="I1077" i="3"/>
  <c r="J1077" i="3"/>
  <c r="AM1077" i="3" s="1"/>
  <c r="AN1077" i="3" s="1"/>
  <c r="AO1077" i="3" s="1"/>
  <c r="AP1077" i="3" s="1"/>
  <c r="AB1077" i="3"/>
  <c r="I1078" i="3"/>
  <c r="J1078" i="3"/>
  <c r="AM1078" i="3" s="1"/>
  <c r="AN1078" i="3" s="1"/>
  <c r="AO1078" i="3" s="1"/>
  <c r="AP1078" i="3" s="1"/>
  <c r="AB1078" i="3"/>
  <c r="I1079" i="3"/>
  <c r="AB1079" i="3"/>
  <c r="J1079" i="3"/>
  <c r="AM1079" i="3" s="1"/>
  <c r="AN1079" i="3" s="1"/>
  <c r="AO1079" i="3" s="1"/>
  <c r="AP1079" i="3" s="1"/>
  <c r="I1080" i="3"/>
  <c r="J1080" i="3"/>
  <c r="AM1080" i="3" s="1"/>
  <c r="AN1080" i="3" s="1"/>
  <c r="AO1080" i="3" s="1"/>
  <c r="AP1080" i="3" s="1"/>
  <c r="AB1080" i="3"/>
  <c r="I1081" i="3"/>
  <c r="J1081" i="3"/>
  <c r="AM1081" i="3" s="1"/>
  <c r="AN1081" i="3" s="1"/>
  <c r="AO1081" i="3" s="1"/>
  <c r="AP1081" i="3" s="1"/>
  <c r="AB1081" i="3"/>
  <c r="I1082" i="3"/>
  <c r="J1082" i="3"/>
  <c r="AM1082" i="3" s="1"/>
  <c r="AN1082" i="3" s="1"/>
  <c r="AO1082" i="3" s="1"/>
  <c r="AP1082" i="3" s="1"/>
  <c r="AB1082" i="3"/>
  <c r="I1083" i="3"/>
  <c r="J1083" i="3"/>
  <c r="AM1083" i="3" s="1"/>
  <c r="AN1083" i="3" s="1"/>
  <c r="AO1083" i="3" s="1"/>
  <c r="AP1083" i="3" s="1"/>
  <c r="AB1083" i="3"/>
  <c r="I1084" i="3"/>
  <c r="J1084" i="3"/>
  <c r="AM1084" i="3" s="1"/>
  <c r="AN1084" i="3" s="1"/>
  <c r="AO1084" i="3" s="1"/>
  <c r="AP1084" i="3" s="1"/>
  <c r="AB1084" i="3"/>
  <c r="I1085" i="3"/>
  <c r="AB1085" i="3"/>
  <c r="J1085" i="3"/>
  <c r="AM1085" i="3" s="1"/>
  <c r="AN1085" i="3" s="1"/>
  <c r="AO1085" i="3" s="1"/>
  <c r="AP1085" i="3" s="1"/>
  <c r="I1086" i="3"/>
  <c r="J1086" i="3"/>
  <c r="AM1086" i="3" s="1"/>
  <c r="AN1086" i="3" s="1"/>
  <c r="AO1086" i="3" s="1"/>
  <c r="AP1086" i="3" s="1"/>
  <c r="AB1086" i="3"/>
  <c r="I1087" i="3"/>
  <c r="AB1087" i="3"/>
  <c r="J1087" i="3"/>
  <c r="AM1087" i="3" s="1"/>
  <c r="AN1087" i="3" s="1"/>
  <c r="AO1087" i="3" s="1"/>
  <c r="AP1087" i="3" s="1"/>
  <c r="I1088" i="3"/>
  <c r="J1088" i="3"/>
  <c r="AM1088" i="3" s="1"/>
  <c r="AN1088" i="3" s="1"/>
  <c r="AO1088" i="3" s="1"/>
  <c r="AP1088" i="3" s="1"/>
  <c r="AB1088" i="3"/>
  <c r="I1089" i="3"/>
  <c r="AB1089" i="3"/>
  <c r="J1089" i="3"/>
  <c r="AM1089" i="3" s="1"/>
  <c r="AN1089" i="3" s="1"/>
  <c r="AO1089" i="3" s="1"/>
  <c r="AP1089" i="3" s="1"/>
  <c r="I1090" i="3"/>
  <c r="J1090" i="3"/>
  <c r="AM1090" i="3" s="1"/>
  <c r="AN1090" i="3" s="1"/>
  <c r="AO1090" i="3" s="1"/>
  <c r="AP1090" i="3" s="1"/>
  <c r="AB1090" i="3"/>
  <c r="I1091" i="3"/>
  <c r="J1091" i="3"/>
  <c r="AM1091" i="3" s="1"/>
  <c r="AN1091" i="3" s="1"/>
  <c r="AO1091" i="3" s="1"/>
  <c r="AP1091" i="3" s="1"/>
  <c r="AB1091" i="3"/>
  <c r="I1092" i="3"/>
  <c r="AB1092" i="3"/>
  <c r="J1092" i="3"/>
  <c r="AM1092" i="3" s="1"/>
  <c r="AN1092" i="3" s="1"/>
  <c r="AO1092" i="3" s="1"/>
  <c r="AP1092" i="3" s="1"/>
  <c r="I1093" i="3"/>
  <c r="AB1093" i="3"/>
  <c r="J1093" i="3"/>
  <c r="AM1093" i="3" s="1"/>
  <c r="AN1093" i="3" s="1"/>
  <c r="AO1093" i="3" s="1"/>
  <c r="AP1093" i="3" s="1"/>
  <c r="I1094" i="3"/>
  <c r="J1094" i="3"/>
  <c r="AM1094" i="3" s="1"/>
  <c r="AN1094" i="3" s="1"/>
  <c r="AO1094" i="3" s="1"/>
  <c r="AP1094" i="3" s="1"/>
  <c r="AB1094" i="3"/>
  <c r="J1095" i="3"/>
  <c r="AM1095" i="3" s="1"/>
  <c r="AN1095" i="3" s="1"/>
  <c r="AO1095" i="3" s="1"/>
  <c r="AP1095" i="3" s="1"/>
  <c r="I1095" i="3"/>
  <c r="AB1095" i="3"/>
  <c r="J1096" i="3"/>
  <c r="AM1096" i="3" s="1"/>
  <c r="AN1096" i="3" s="1"/>
  <c r="AO1096" i="3" s="1"/>
  <c r="AP1096" i="3" s="1"/>
  <c r="I1096" i="3"/>
  <c r="AB1096" i="3"/>
  <c r="AB1097" i="3"/>
  <c r="J1097" i="3"/>
  <c r="AM1097" i="3" s="1"/>
  <c r="AN1097" i="3" s="1"/>
  <c r="AO1097" i="3" s="1"/>
  <c r="AP1097" i="3" s="1"/>
  <c r="I1097" i="3"/>
  <c r="I1098" i="3"/>
  <c r="J1098" i="3"/>
  <c r="AM1098" i="3" s="1"/>
  <c r="AN1098" i="3" s="1"/>
  <c r="AO1098" i="3" s="1"/>
  <c r="AP1098" i="3" s="1"/>
  <c r="AB1098" i="3"/>
  <c r="I1099" i="3"/>
  <c r="AB1099" i="3"/>
  <c r="J1099" i="3"/>
  <c r="AM1099" i="3" s="1"/>
  <c r="AN1099" i="3" s="1"/>
  <c r="AO1099" i="3" s="1"/>
  <c r="AP1099" i="3" s="1"/>
  <c r="I1100" i="3"/>
  <c r="J1100" i="3"/>
  <c r="AM1100" i="3" s="1"/>
  <c r="AN1100" i="3" s="1"/>
  <c r="AO1100" i="3" s="1"/>
  <c r="AP1100" i="3" s="1"/>
  <c r="AB1100" i="3"/>
  <c r="J1101" i="3"/>
  <c r="AM1101" i="3" s="1"/>
  <c r="AN1101" i="3" s="1"/>
  <c r="AO1101" i="3" s="1"/>
  <c r="AP1101" i="3" s="1"/>
  <c r="AB1101" i="3"/>
  <c r="I1101" i="3"/>
  <c r="I1102" i="3"/>
  <c r="J1102" i="3"/>
  <c r="AM1102" i="3" s="1"/>
  <c r="AN1102" i="3" s="1"/>
  <c r="AO1102" i="3" s="1"/>
  <c r="AP1102" i="3" s="1"/>
  <c r="AB1102" i="3"/>
  <c r="I1103" i="3"/>
  <c r="J1103" i="3"/>
  <c r="AM1103" i="3" s="1"/>
  <c r="AN1103" i="3" s="1"/>
  <c r="AO1103" i="3" s="1"/>
  <c r="AP1103" i="3" s="1"/>
  <c r="AB1103" i="3"/>
  <c r="I1104" i="3"/>
  <c r="J1104" i="3"/>
  <c r="AM1104" i="3" s="1"/>
  <c r="AN1104" i="3" s="1"/>
  <c r="AO1104" i="3" s="1"/>
  <c r="AP1104" i="3" s="1"/>
  <c r="AB1104" i="3"/>
  <c r="I1105" i="3"/>
  <c r="AB1105" i="3"/>
  <c r="J1105" i="3"/>
  <c r="AM1105" i="3" s="1"/>
  <c r="AN1105" i="3" s="1"/>
  <c r="AO1105" i="3" s="1"/>
  <c r="AP1105" i="3" s="1"/>
  <c r="J1106" i="3"/>
  <c r="AM1106" i="3" s="1"/>
  <c r="AN1106" i="3" s="1"/>
  <c r="AO1106" i="3" s="1"/>
  <c r="AP1106" i="3" s="1"/>
  <c r="AB1106" i="3"/>
  <c r="I1106" i="3"/>
  <c r="I1107" i="3"/>
  <c r="J1107" i="3"/>
  <c r="AM1107" i="3" s="1"/>
  <c r="AN1107" i="3" s="1"/>
  <c r="AO1107" i="3" s="1"/>
  <c r="AP1107" i="3" s="1"/>
  <c r="AB1107" i="3"/>
  <c r="I1108" i="3"/>
  <c r="AB1108" i="3"/>
  <c r="J1108" i="3"/>
  <c r="AM1108" i="3" s="1"/>
  <c r="AN1108" i="3" s="1"/>
  <c r="AO1108" i="3" s="1"/>
  <c r="AP1108" i="3" s="1"/>
  <c r="I1109" i="3"/>
  <c r="J1109" i="3"/>
  <c r="AM1109" i="3" s="1"/>
  <c r="AN1109" i="3" s="1"/>
  <c r="AO1109" i="3" s="1"/>
  <c r="AP1109" i="3" s="1"/>
  <c r="AB1109" i="3"/>
  <c r="I1110" i="3"/>
  <c r="J1110" i="3"/>
  <c r="AM1110" i="3" s="1"/>
  <c r="AN1110" i="3" s="1"/>
  <c r="AO1110" i="3" s="1"/>
  <c r="AP1110" i="3" s="1"/>
  <c r="AB1110" i="3"/>
  <c r="I1111" i="3"/>
  <c r="AB1111" i="3"/>
  <c r="J1111" i="3"/>
  <c r="AM1111" i="3" s="1"/>
  <c r="AN1111" i="3" s="1"/>
  <c r="AO1111" i="3" s="1"/>
  <c r="AP1111" i="3" s="1"/>
  <c r="I1112" i="3"/>
  <c r="J1112" i="3"/>
  <c r="AM1112" i="3" s="1"/>
  <c r="AN1112" i="3" s="1"/>
  <c r="AO1112" i="3" s="1"/>
  <c r="AP1112" i="3" s="1"/>
  <c r="AB1112" i="3"/>
  <c r="I1113" i="3"/>
  <c r="J1113" i="3"/>
  <c r="AM1113" i="3" s="1"/>
  <c r="AN1113" i="3" s="1"/>
  <c r="AO1113" i="3" s="1"/>
  <c r="AP1113" i="3" s="1"/>
  <c r="AB1113" i="3"/>
  <c r="I1114" i="3"/>
  <c r="J1114" i="3"/>
  <c r="AM1114" i="3" s="1"/>
  <c r="AN1114" i="3" s="1"/>
  <c r="AO1114" i="3" s="1"/>
  <c r="AP1114" i="3" s="1"/>
  <c r="AB1114" i="3"/>
  <c r="I1115" i="3"/>
  <c r="J1115" i="3"/>
  <c r="AM1115" i="3" s="1"/>
  <c r="AN1115" i="3" s="1"/>
  <c r="AO1115" i="3" s="1"/>
  <c r="AP1115" i="3" s="1"/>
  <c r="AB1115" i="3"/>
  <c r="I1116" i="3"/>
  <c r="AB1116" i="3"/>
  <c r="J1116" i="3"/>
  <c r="AM1116" i="3" s="1"/>
  <c r="AN1116" i="3" s="1"/>
  <c r="AO1116" i="3" s="1"/>
  <c r="AP1116" i="3" s="1"/>
  <c r="I1117" i="3"/>
  <c r="J1117" i="3"/>
  <c r="AM1117" i="3" s="1"/>
  <c r="AN1117" i="3" s="1"/>
  <c r="AO1117" i="3" s="1"/>
  <c r="AP1117" i="3" s="1"/>
  <c r="AB1117" i="3"/>
  <c r="I1118" i="3"/>
  <c r="AB1118" i="3"/>
  <c r="J1118" i="3"/>
  <c r="AM1118" i="3" s="1"/>
  <c r="AN1118" i="3" s="1"/>
  <c r="AO1118" i="3" s="1"/>
  <c r="AP1118" i="3" s="1"/>
  <c r="I1119" i="3"/>
  <c r="J1119" i="3"/>
  <c r="AM1119" i="3" s="1"/>
  <c r="AN1119" i="3" s="1"/>
  <c r="AO1119" i="3" s="1"/>
  <c r="AP1119" i="3" s="1"/>
  <c r="AB1119" i="3"/>
  <c r="I1120" i="3"/>
  <c r="J1120" i="3"/>
  <c r="AM1120" i="3" s="1"/>
  <c r="AN1120" i="3" s="1"/>
  <c r="AO1120" i="3" s="1"/>
  <c r="AP1120" i="3" s="1"/>
  <c r="AB1120" i="3"/>
  <c r="I1121" i="3"/>
  <c r="AB1121" i="3"/>
  <c r="J1121" i="3"/>
  <c r="AM1121" i="3" s="1"/>
  <c r="AN1121" i="3" s="1"/>
  <c r="AO1121" i="3" s="1"/>
  <c r="AP1121" i="3" s="1"/>
  <c r="I1122" i="3"/>
  <c r="J1122" i="3"/>
  <c r="AM1122" i="3" s="1"/>
  <c r="AN1122" i="3" s="1"/>
  <c r="AO1122" i="3" s="1"/>
  <c r="AP1122" i="3" s="1"/>
  <c r="AB1122" i="3"/>
  <c r="J1123" i="3"/>
  <c r="AM1123" i="3" s="1"/>
  <c r="AN1123" i="3" s="1"/>
  <c r="AO1123" i="3" s="1"/>
  <c r="AP1123" i="3" s="1"/>
  <c r="AB1123" i="3"/>
  <c r="I1123" i="3"/>
  <c r="I1124" i="3"/>
  <c r="J1124" i="3"/>
  <c r="AM1124" i="3" s="1"/>
  <c r="AN1124" i="3" s="1"/>
  <c r="AO1124" i="3" s="1"/>
  <c r="AP1124" i="3" s="1"/>
  <c r="AB1124" i="3"/>
  <c r="I1125" i="3"/>
  <c r="AB1125" i="3"/>
  <c r="J1125" i="3"/>
  <c r="AM1125" i="3" s="1"/>
  <c r="AN1125" i="3" s="1"/>
  <c r="AO1125" i="3" s="1"/>
  <c r="AP1125" i="3" s="1"/>
  <c r="AB1126" i="3"/>
  <c r="I1126" i="3"/>
  <c r="J1126" i="3"/>
  <c r="AM1126" i="3" s="1"/>
  <c r="AN1126" i="3" s="1"/>
  <c r="AO1126" i="3" s="1"/>
  <c r="AP1126" i="3" s="1"/>
  <c r="I1127" i="3"/>
  <c r="AB1127" i="3"/>
  <c r="J1127" i="3"/>
  <c r="AM1127" i="3" s="1"/>
  <c r="AN1127" i="3" s="1"/>
  <c r="AO1127" i="3" s="1"/>
  <c r="AP1127" i="3" s="1"/>
  <c r="I1128" i="3"/>
  <c r="J1128" i="3"/>
  <c r="AM1128" i="3" s="1"/>
  <c r="AN1128" i="3" s="1"/>
  <c r="AO1128" i="3" s="1"/>
  <c r="AP1128" i="3" s="1"/>
  <c r="AB1128" i="3"/>
  <c r="I1129" i="3"/>
  <c r="J1129" i="3"/>
  <c r="AM1129" i="3" s="1"/>
  <c r="AN1129" i="3" s="1"/>
  <c r="AO1129" i="3" s="1"/>
  <c r="AP1129" i="3" s="1"/>
  <c r="AB1129" i="3"/>
  <c r="I1130" i="3"/>
  <c r="J1130" i="3"/>
  <c r="AM1130" i="3" s="1"/>
  <c r="AN1130" i="3" s="1"/>
  <c r="AO1130" i="3" s="1"/>
  <c r="AP1130" i="3" s="1"/>
  <c r="AB1130" i="3"/>
  <c r="I1131" i="3"/>
  <c r="AB1131" i="3"/>
  <c r="J1131" i="3"/>
  <c r="AM1131" i="3" s="1"/>
  <c r="AN1131" i="3" s="1"/>
  <c r="AO1131" i="3" s="1"/>
  <c r="AP1131" i="3" s="1"/>
  <c r="I1132" i="3"/>
  <c r="J1132" i="3"/>
  <c r="AM1132" i="3" s="1"/>
  <c r="AN1132" i="3" s="1"/>
  <c r="AO1132" i="3" s="1"/>
  <c r="AP1132" i="3" s="1"/>
  <c r="AB1132" i="3"/>
  <c r="I1133" i="3"/>
  <c r="AB1133" i="3"/>
  <c r="J1133" i="3"/>
  <c r="AM1133" i="3" s="1"/>
  <c r="AN1133" i="3" s="1"/>
  <c r="AO1133" i="3" s="1"/>
  <c r="AP1133" i="3" s="1"/>
  <c r="I1134" i="3"/>
  <c r="J1134" i="3"/>
  <c r="AM1134" i="3" s="1"/>
  <c r="AN1134" i="3" s="1"/>
  <c r="AO1134" i="3" s="1"/>
  <c r="AP1134" i="3" s="1"/>
  <c r="AB1134" i="3"/>
  <c r="I1135" i="3"/>
  <c r="J1135" i="3"/>
  <c r="AM1135" i="3" s="1"/>
  <c r="AN1135" i="3" s="1"/>
  <c r="AO1135" i="3" s="1"/>
  <c r="AP1135" i="3" s="1"/>
  <c r="AB1135" i="3"/>
  <c r="J1136" i="3"/>
  <c r="AM1136" i="3" s="1"/>
  <c r="AN1136" i="3" s="1"/>
  <c r="AO1136" i="3" s="1"/>
  <c r="AP1136" i="3" s="1"/>
  <c r="I1136" i="3"/>
  <c r="AB1136" i="3"/>
  <c r="I1137" i="3"/>
  <c r="J1137" i="3"/>
  <c r="AM1137" i="3" s="1"/>
  <c r="AN1137" i="3" s="1"/>
  <c r="AO1137" i="3" s="1"/>
  <c r="AP1137" i="3" s="1"/>
  <c r="AB1137" i="3"/>
  <c r="I1138" i="3"/>
  <c r="J1138" i="3"/>
  <c r="AM1138" i="3" s="1"/>
  <c r="AN1138" i="3" s="1"/>
  <c r="AO1138" i="3" s="1"/>
  <c r="AP1138" i="3" s="1"/>
  <c r="AB1138" i="3"/>
  <c r="J1139" i="3"/>
  <c r="AM1139" i="3" s="1"/>
  <c r="AN1139" i="3" s="1"/>
  <c r="AO1139" i="3" s="1"/>
  <c r="AP1139" i="3" s="1"/>
  <c r="I1139" i="3"/>
  <c r="AB1139" i="3"/>
  <c r="I1140" i="3"/>
  <c r="AB1140" i="3"/>
  <c r="J1140" i="3"/>
  <c r="AM1140" i="3" s="1"/>
  <c r="AN1140" i="3" s="1"/>
  <c r="AO1140" i="3" s="1"/>
  <c r="AP1140" i="3" s="1"/>
  <c r="I1141" i="3"/>
  <c r="J1141" i="3"/>
  <c r="AM1141" i="3" s="1"/>
  <c r="AN1141" i="3" s="1"/>
  <c r="AO1141" i="3" s="1"/>
  <c r="AP1141" i="3" s="1"/>
  <c r="AB1141" i="3"/>
  <c r="J1142" i="3"/>
  <c r="AM1142" i="3" s="1"/>
  <c r="AN1142" i="3" s="1"/>
  <c r="AO1142" i="3" s="1"/>
  <c r="AP1142" i="3" s="1"/>
  <c r="I1142" i="3"/>
  <c r="AB1142" i="3"/>
  <c r="I1143" i="3"/>
  <c r="J1143" i="3"/>
  <c r="AM1143" i="3" s="1"/>
  <c r="AN1143" i="3" s="1"/>
  <c r="AO1143" i="3" s="1"/>
  <c r="AP1143" i="3" s="1"/>
  <c r="AB1143" i="3"/>
  <c r="I1144" i="3"/>
  <c r="J1144" i="3"/>
  <c r="AM1144" i="3" s="1"/>
  <c r="AN1144" i="3" s="1"/>
  <c r="AO1144" i="3" s="1"/>
  <c r="AP1144" i="3" s="1"/>
  <c r="AB1144" i="3"/>
  <c r="I1145" i="3"/>
  <c r="J1145" i="3"/>
  <c r="AM1145" i="3" s="1"/>
  <c r="AN1145" i="3" s="1"/>
  <c r="AO1145" i="3" s="1"/>
  <c r="AP1145" i="3" s="1"/>
  <c r="AB1145" i="3"/>
  <c r="I1146" i="3"/>
  <c r="AB1146" i="3"/>
  <c r="J1146" i="3"/>
  <c r="AM1146" i="3" s="1"/>
  <c r="AN1146" i="3" s="1"/>
  <c r="AO1146" i="3" s="1"/>
  <c r="AP1146" i="3" s="1"/>
  <c r="I1147" i="3"/>
  <c r="J1147" i="3"/>
  <c r="AM1147" i="3" s="1"/>
  <c r="AN1147" i="3" s="1"/>
  <c r="AO1147" i="3" s="1"/>
  <c r="AP1147" i="3" s="1"/>
  <c r="AB1147" i="3"/>
  <c r="J1148" i="3"/>
  <c r="AM1148" i="3" s="1"/>
  <c r="AN1148" i="3" s="1"/>
  <c r="AO1148" i="3" s="1"/>
  <c r="AP1148" i="3" s="1"/>
  <c r="I1148" i="3"/>
  <c r="AB1148" i="3"/>
  <c r="I1149" i="3"/>
  <c r="J1149" i="3"/>
  <c r="AM1149" i="3" s="1"/>
  <c r="AN1149" i="3" s="1"/>
  <c r="AO1149" i="3" s="1"/>
  <c r="AP1149" i="3" s="1"/>
  <c r="AB1149" i="3"/>
  <c r="I1150" i="3"/>
  <c r="J1150" i="3"/>
  <c r="AM1150" i="3" s="1"/>
  <c r="AN1150" i="3" s="1"/>
  <c r="AO1150" i="3" s="1"/>
  <c r="AP1150" i="3" s="1"/>
  <c r="AB1150" i="3"/>
  <c r="I1151" i="3"/>
  <c r="J1151" i="3"/>
  <c r="AM1151" i="3" s="1"/>
  <c r="AN1151" i="3" s="1"/>
  <c r="AO1151" i="3" s="1"/>
  <c r="AP1151" i="3" s="1"/>
  <c r="AB1151" i="3"/>
  <c r="I1152" i="3"/>
  <c r="J1152" i="3"/>
  <c r="AM1152" i="3" s="1"/>
  <c r="AN1152" i="3" s="1"/>
  <c r="AO1152" i="3" s="1"/>
  <c r="AP1152" i="3" s="1"/>
  <c r="AB1152" i="3"/>
  <c r="I1153" i="3"/>
  <c r="AB1153" i="3"/>
  <c r="J1153" i="3"/>
  <c r="AM1153" i="3" s="1"/>
  <c r="AN1153" i="3" s="1"/>
  <c r="AO1153" i="3" s="1"/>
  <c r="AP1153" i="3" s="1"/>
  <c r="J1154" i="3"/>
  <c r="AM1154" i="3" s="1"/>
  <c r="AN1154" i="3" s="1"/>
  <c r="AO1154" i="3" s="1"/>
  <c r="AP1154" i="3" s="1"/>
  <c r="I1154" i="3"/>
  <c r="AB1154" i="3"/>
  <c r="I1155" i="3"/>
  <c r="J1155" i="3"/>
  <c r="AM1155" i="3" s="1"/>
  <c r="AN1155" i="3" s="1"/>
  <c r="AO1155" i="3" s="1"/>
  <c r="AP1155" i="3" s="1"/>
  <c r="AB1155" i="3"/>
  <c r="I1156" i="3"/>
  <c r="J1156" i="3"/>
  <c r="AM1156" i="3" s="1"/>
  <c r="AN1156" i="3" s="1"/>
  <c r="AO1156" i="3" s="1"/>
  <c r="AP1156" i="3" s="1"/>
  <c r="AB1156" i="3"/>
  <c r="I1157" i="3"/>
  <c r="J1157" i="3"/>
  <c r="AM1157" i="3" s="1"/>
  <c r="AN1157" i="3" s="1"/>
  <c r="AO1157" i="3" s="1"/>
  <c r="AP1157" i="3" s="1"/>
  <c r="AB1157" i="3"/>
  <c r="I1158" i="3"/>
  <c r="AB1158" i="3"/>
  <c r="J1158" i="3"/>
  <c r="AM1158" i="3" s="1"/>
  <c r="AN1158" i="3" s="1"/>
  <c r="AO1158" i="3" s="1"/>
  <c r="AP1158" i="3" s="1"/>
  <c r="I1159" i="3"/>
  <c r="J1159" i="3"/>
  <c r="AM1159" i="3" s="1"/>
  <c r="AN1159" i="3" s="1"/>
  <c r="AO1159" i="3" s="1"/>
  <c r="AP1159" i="3" s="1"/>
  <c r="AB1159" i="3"/>
  <c r="I1160" i="3"/>
  <c r="J1160" i="3"/>
  <c r="AM1160" i="3" s="1"/>
  <c r="AN1160" i="3" s="1"/>
  <c r="AO1160" i="3" s="1"/>
  <c r="AP1160" i="3" s="1"/>
  <c r="AB1160" i="3"/>
  <c r="I1161" i="3"/>
  <c r="J1161" i="3"/>
  <c r="AM1161" i="3" s="1"/>
  <c r="AN1161" i="3" s="1"/>
  <c r="AO1161" i="3" s="1"/>
  <c r="AP1161" i="3" s="1"/>
  <c r="AB1161" i="3"/>
  <c r="I1162" i="3"/>
  <c r="J1162" i="3"/>
  <c r="AM1162" i="3" s="1"/>
  <c r="AN1162" i="3" s="1"/>
  <c r="AO1162" i="3" s="1"/>
  <c r="AP1162" i="3" s="1"/>
  <c r="AB1162" i="3"/>
  <c r="I1163" i="3"/>
  <c r="J1163" i="3"/>
  <c r="AM1163" i="3" s="1"/>
  <c r="AN1163" i="3" s="1"/>
  <c r="AO1163" i="3" s="1"/>
  <c r="AP1163" i="3" s="1"/>
  <c r="AB1163" i="3"/>
  <c r="I1164" i="3"/>
  <c r="J1164" i="3"/>
  <c r="AM1164" i="3" s="1"/>
  <c r="AN1164" i="3" s="1"/>
  <c r="AO1164" i="3" s="1"/>
  <c r="AP1164" i="3" s="1"/>
  <c r="AB1164" i="3"/>
  <c r="AB1165" i="3"/>
  <c r="I1165" i="3"/>
  <c r="J1165" i="3"/>
  <c r="AM1165" i="3" s="1"/>
  <c r="AN1165" i="3" s="1"/>
  <c r="AO1165" i="3" s="1"/>
  <c r="AP1165" i="3" s="1"/>
  <c r="J1166" i="3"/>
  <c r="AM1166" i="3" s="1"/>
  <c r="AN1166" i="3" s="1"/>
  <c r="AO1166" i="3" s="1"/>
  <c r="AP1166" i="3" s="1"/>
  <c r="I1166" i="3"/>
  <c r="AB1166" i="3"/>
  <c r="I1167" i="3"/>
  <c r="J1167" i="3"/>
  <c r="AM1167" i="3" s="1"/>
  <c r="AN1167" i="3" s="1"/>
  <c r="AO1167" i="3" s="1"/>
  <c r="AP1167" i="3" s="1"/>
  <c r="AB1167" i="3"/>
  <c r="J1168" i="3"/>
  <c r="AM1168" i="3" s="1"/>
  <c r="AN1168" i="3" s="1"/>
  <c r="AO1168" i="3" s="1"/>
  <c r="AP1168" i="3" s="1"/>
  <c r="I1168" i="3"/>
  <c r="AB1168" i="3"/>
  <c r="I1169" i="3"/>
  <c r="J1169" i="3"/>
  <c r="AM1169" i="3" s="1"/>
  <c r="AN1169" i="3" s="1"/>
  <c r="AO1169" i="3" s="1"/>
  <c r="AP1169" i="3" s="1"/>
  <c r="AB1169" i="3"/>
  <c r="I1170" i="3"/>
  <c r="J1170" i="3"/>
  <c r="AM1170" i="3" s="1"/>
  <c r="AN1170" i="3" s="1"/>
  <c r="AO1170" i="3" s="1"/>
  <c r="AP1170" i="3" s="1"/>
  <c r="AB1170" i="3"/>
  <c r="I1171" i="3"/>
  <c r="J1171" i="3"/>
  <c r="AM1171" i="3" s="1"/>
  <c r="AN1171" i="3" s="1"/>
  <c r="AO1171" i="3" s="1"/>
  <c r="AP1171" i="3" s="1"/>
  <c r="AB1171" i="3"/>
  <c r="I1172" i="3"/>
  <c r="J1172" i="3"/>
  <c r="AM1172" i="3" s="1"/>
  <c r="AN1172" i="3" s="1"/>
  <c r="AO1172" i="3" s="1"/>
  <c r="AP1172" i="3" s="1"/>
  <c r="AB1172" i="3"/>
  <c r="I1173" i="3"/>
  <c r="J1173" i="3"/>
  <c r="AM1173" i="3" s="1"/>
  <c r="AN1173" i="3" s="1"/>
  <c r="AO1173" i="3" s="1"/>
  <c r="AP1173" i="3" s="1"/>
  <c r="AB1173" i="3"/>
  <c r="I1174" i="3"/>
  <c r="J1174" i="3"/>
  <c r="AM1174" i="3" s="1"/>
  <c r="AN1174" i="3" s="1"/>
  <c r="AO1174" i="3" s="1"/>
  <c r="AP1174" i="3" s="1"/>
  <c r="AB1174" i="3"/>
  <c r="I1175" i="3"/>
  <c r="J1175" i="3"/>
  <c r="AM1175" i="3" s="1"/>
  <c r="AN1175" i="3" s="1"/>
  <c r="AO1175" i="3" s="1"/>
  <c r="AP1175" i="3" s="1"/>
  <c r="AB1175" i="3"/>
  <c r="I1176" i="3"/>
  <c r="J1176" i="3"/>
  <c r="AM1176" i="3" s="1"/>
  <c r="AN1176" i="3" s="1"/>
  <c r="AO1176" i="3" s="1"/>
  <c r="AP1176" i="3" s="1"/>
  <c r="AB1176" i="3"/>
  <c r="I1177" i="3"/>
  <c r="J1177" i="3"/>
  <c r="AM1177" i="3" s="1"/>
  <c r="AN1177" i="3" s="1"/>
  <c r="AO1177" i="3" s="1"/>
  <c r="AP1177" i="3" s="1"/>
  <c r="AB1177" i="3"/>
  <c r="I1178" i="3"/>
  <c r="J1178" i="3"/>
  <c r="AM1178" i="3" s="1"/>
  <c r="AN1178" i="3" s="1"/>
  <c r="AO1178" i="3" s="1"/>
  <c r="AP1178" i="3" s="1"/>
  <c r="AB1178" i="3"/>
  <c r="I1179" i="3"/>
  <c r="J1179" i="3"/>
  <c r="AM1179" i="3" s="1"/>
  <c r="AN1179" i="3" s="1"/>
  <c r="AO1179" i="3" s="1"/>
  <c r="AP1179" i="3" s="1"/>
  <c r="AB1179" i="3"/>
  <c r="J1180" i="3"/>
  <c r="AM1180" i="3" s="1"/>
  <c r="AN1180" i="3" s="1"/>
  <c r="AO1180" i="3" s="1"/>
  <c r="AP1180" i="3" s="1"/>
  <c r="AB1180" i="3"/>
  <c r="I1180" i="3"/>
  <c r="I1181" i="3"/>
  <c r="J1181" i="3"/>
  <c r="AM1181" i="3" s="1"/>
  <c r="AN1181" i="3" s="1"/>
  <c r="AO1181" i="3" s="1"/>
  <c r="AP1181" i="3" s="1"/>
  <c r="AB1181" i="3"/>
  <c r="I1182" i="3"/>
  <c r="J1182" i="3"/>
  <c r="AM1182" i="3" s="1"/>
  <c r="AN1182" i="3" s="1"/>
  <c r="AO1182" i="3" s="1"/>
  <c r="AP1182" i="3" s="1"/>
  <c r="AB1182" i="3"/>
  <c r="I1183" i="3"/>
  <c r="J1183" i="3"/>
  <c r="AM1183" i="3" s="1"/>
  <c r="AN1183" i="3" s="1"/>
  <c r="AO1183" i="3" s="1"/>
  <c r="AP1183" i="3" s="1"/>
  <c r="AB1183" i="3"/>
  <c r="I1184" i="3"/>
  <c r="J1184" i="3"/>
  <c r="AM1184" i="3" s="1"/>
  <c r="AN1184" i="3" s="1"/>
  <c r="AO1184" i="3" s="1"/>
  <c r="AP1184" i="3" s="1"/>
  <c r="AB1184" i="3"/>
  <c r="I1185" i="3"/>
  <c r="J1185" i="3"/>
  <c r="AM1185" i="3" s="1"/>
  <c r="AN1185" i="3" s="1"/>
  <c r="AO1185" i="3" s="1"/>
  <c r="AP1185" i="3" s="1"/>
  <c r="AB1185" i="3"/>
  <c r="I1186" i="3"/>
  <c r="J1186" i="3"/>
  <c r="AM1186" i="3" s="1"/>
  <c r="AN1186" i="3" s="1"/>
  <c r="AO1186" i="3" s="1"/>
  <c r="AP1186" i="3" s="1"/>
  <c r="AB1186" i="3"/>
  <c r="I1187" i="3"/>
  <c r="J1187" i="3"/>
  <c r="AM1187" i="3" s="1"/>
  <c r="AN1187" i="3" s="1"/>
  <c r="AO1187" i="3" s="1"/>
  <c r="AP1187" i="3" s="1"/>
  <c r="AB1187" i="3"/>
  <c r="I1188" i="3"/>
  <c r="J1188" i="3"/>
  <c r="AM1188" i="3" s="1"/>
  <c r="AN1188" i="3" s="1"/>
  <c r="AO1188" i="3" s="1"/>
  <c r="AP1188" i="3" s="1"/>
  <c r="AB1188" i="3"/>
  <c r="J1189" i="3"/>
  <c r="AM1189" i="3" s="1"/>
  <c r="AN1189" i="3" s="1"/>
  <c r="AO1189" i="3" s="1"/>
  <c r="AP1189" i="3" s="1"/>
  <c r="I1189" i="3"/>
  <c r="AB1189" i="3"/>
  <c r="I1190" i="3"/>
  <c r="AB1190" i="3"/>
  <c r="J1190" i="3"/>
  <c r="AM1190" i="3" s="1"/>
  <c r="AN1190" i="3" s="1"/>
  <c r="AO1190" i="3" s="1"/>
  <c r="AP1190" i="3" s="1"/>
  <c r="I1191" i="3"/>
  <c r="J1191" i="3"/>
  <c r="AM1191" i="3" s="1"/>
  <c r="AN1191" i="3" s="1"/>
  <c r="AO1191" i="3" s="1"/>
  <c r="AP1191" i="3" s="1"/>
  <c r="AB1191" i="3"/>
  <c r="I1192" i="3"/>
  <c r="J1192" i="3"/>
  <c r="AM1192" i="3" s="1"/>
  <c r="AN1192" i="3" s="1"/>
  <c r="AO1192" i="3" s="1"/>
  <c r="AP1192" i="3" s="1"/>
  <c r="AB1192" i="3"/>
  <c r="I1193" i="3"/>
  <c r="J1193" i="3"/>
  <c r="AM1193" i="3" s="1"/>
  <c r="AN1193" i="3" s="1"/>
  <c r="AO1193" i="3" s="1"/>
  <c r="AP1193" i="3" s="1"/>
  <c r="AB1193" i="3"/>
  <c r="I1194" i="3"/>
  <c r="AB1194" i="3"/>
  <c r="J1194" i="3"/>
  <c r="AM1194" i="3" s="1"/>
  <c r="AN1194" i="3" s="1"/>
  <c r="AO1194" i="3" s="1"/>
  <c r="AP1194" i="3" s="1"/>
  <c r="I1195" i="3"/>
  <c r="J1195" i="3"/>
  <c r="AM1195" i="3" s="1"/>
  <c r="AN1195" i="3" s="1"/>
  <c r="AO1195" i="3" s="1"/>
  <c r="AP1195" i="3" s="1"/>
  <c r="AB1195" i="3"/>
  <c r="I1196" i="3"/>
  <c r="J1196" i="3"/>
  <c r="AM1196" i="3" s="1"/>
  <c r="AN1196" i="3" s="1"/>
  <c r="AO1196" i="3" s="1"/>
  <c r="AP1196" i="3" s="1"/>
  <c r="AB1196" i="3"/>
  <c r="I1197" i="3"/>
  <c r="AB1197" i="3"/>
  <c r="J1197" i="3"/>
  <c r="AM1197" i="3" s="1"/>
  <c r="AN1197" i="3" s="1"/>
  <c r="AO1197" i="3" s="1"/>
  <c r="AP1197" i="3" s="1"/>
  <c r="I1198" i="3"/>
  <c r="AB1198" i="3"/>
  <c r="J1198" i="3"/>
  <c r="AM1198" i="3" s="1"/>
  <c r="AN1198" i="3" s="1"/>
  <c r="AO1198" i="3" s="1"/>
  <c r="AP1198" i="3" s="1"/>
  <c r="I1199" i="3"/>
  <c r="J1199" i="3"/>
  <c r="AM1199" i="3" s="1"/>
  <c r="AN1199" i="3" s="1"/>
  <c r="AO1199" i="3" s="1"/>
  <c r="AP1199" i="3" s="1"/>
  <c r="AB1199" i="3"/>
  <c r="I1200" i="3"/>
  <c r="J1200" i="3"/>
  <c r="AM1200" i="3" s="1"/>
  <c r="AN1200" i="3" s="1"/>
  <c r="AO1200" i="3" s="1"/>
  <c r="AP1200" i="3" s="1"/>
  <c r="AB1200" i="3"/>
  <c r="J1201" i="3"/>
  <c r="AM1201" i="3" s="1"/>
  <c r="AN1201" i="3" s="1"/>
  <c r="AO1201" i="3" s="1"/>
  <c r="AP1201" i="3" s="1"/>
  <c r="AB1201" i="3"/>
  <c r="I1201" i="3"/>
  <c r="I1202" i="3"/>
  <c r="J1202" i="3"/>
  <c r="AM1202" i="3" s="1"/>
  <c r="AN1202" i="3" s="1"/>
  <c r="AO1202" i="3" s="1"/>
  <c r="AP1202" i="3" s="1"/>
  <c r="AB1202" i="3"/>
  <c r="I1203" i="3"/>
  <c r="J1203" i="3"/>
  <c r="AM1203" i="3" s="1"/>
  <c r="AN1203" i="3" s="1"/>
  <c r="AO1203" i="3" s="1"/>
  <c r="AP1203" i="3" s="1"/>
  <c r="AB1203" i="3"/>
  <c r="I1204" i="3"/>
  <c r="J1204" i="3"/>
  <c r="AM1204" i="3" s="1"/>
  <c r="AN1204" i="3" s="1"/>
  <c r="AO1204" i="3" s="1"/>
  <c r="AP1204" i="3" s="1"/>
  <c r="AB1204" i="3"/>
  <c r="I1205" i="3"/>
  <c r="J1205" i="3"/>
  <c r="AM1205" i="3" s="1"/>
  <c r="AN1205" i="3" s="1"/>
  <c r="AO1205" i="3" s="1"/>
  <c r="AP1205" i="3" s="1"/>
  <c r="AB1205" i="3"/>
  <c r="AB1206" i="3"/>
  <c r="J1206" i="3"/>
  <c r="AM1206" i="3" s="1"/>
  <c r="AN1206" i="3" s="1"/>
  <c r="AO1206" i="3" s="1"/>
  <c r="AP1206" i="3" s="1"/>
  <c r="I1206" i="3"/>
  <c r="I1207" i="3"/>
  <c r="J1207" i="3"/>
  <c r="AM1207" i="3" s="1"/>
  <c r="AN1207" i="3" s="1"/>
  <c r="AO1207" i="3" s="1"/>
  <c r="AP1207" i="3" s="1"/>
  <c r="AB1207" i="3"/>
  <c r="I1208" i="3"/>
  <c r="J1208" i="3"/>
  <c r="AM1208" i="3" s="1"/>
  <c r="AN1208" i="3" s="1"/>
  <c r="AO1208" i="3" s="1"/>
  <c r="AP1208" i="3" s="1"/>
  <c r="AB1208" i="3"/>
  <c r="I1209" i="3"/>
  <c r="AB1209" i="3"/>
  <c r="J1209" i="3"/>
  <c r="AM1209" i="3" s="1"/>
  <c r="AN1209" i="3" s="1"/>
  <c r="AO1209" i="3" s="1"/>
  <c r="AP1209" i="3" s="1"/>
  <c r="I1210" i="3"/>
  <c r="J1210" i="3"/>
  <c r="AM1210" i="3" s="1"/>
  <c r="AN1210" i="3" s="1"/>
  <c r="AO1210" i="3" s="1"/>
  <c r="AP1210" i="3" s="1"/>
  <c r="AB1210" i="3"/>
  <c r="I1211" i="3"/>
  <c r="AB1211" i="3"/>
  <c r="J1211" i="3"/>
  <c r="AM1211" i="3" s="1"/>
  <c r="AN1211" i="3" s="1"/>
  <c r="AO1211" i="3" s="1"/>
  <c r="AP1211" i="3" s="1"/>
  <c r="I1212" i="3"/>
  <c r="J1212" i="3"/>
  <c r="AM1212" i="3" s="1"/>
  <c r="AN1212" i="3" s="1"/>
  <c r="AO1212" i="3" s="1"/>
  <c r="AP1212" i="3" s="1"/>
  <c r="AB1212" i="3"/>
  <c r="I1213" i="3"/>
  <c r="J1213" i="3"/>
  <c r="AM1213" i="3" s="1"/>
  <c r="AN1213" i="3" s="1"/>
  <c r="AO1213" i="3" s="1"/>
  <c r="AP1213" i="3" s="1"/>
  <c r="AB1213" i="3"/>
  <c r="I1214" i="3"/>
  <c r="J1214" i="3"/>
  <c r="AM1214" i="3" s="1"/>
  <c r="AN1214" i="3" s="1"/>
  <c r="AO1214" i="3" s="1"/>
  <c r="AP1214" i="3" s="1"/>
  <c r="AB1214" i="3"/>
  <c r="I1215" i="3"/>
  <c r="AB1215" i="3"/>
  <c r="J1215" i="3"/>
  <c r="AM1215" i="3" s="1"/>
  <c r="AN1215" i="3" s="1"/>
  <c r="AO1215" i="3" s="1"/>
  <c r="AP1215" i="3" s="1"/>
  <c r="I1216" i="3"/>
  <c r="J1216" i="3"/>
  <c r="AM1216" i="3" s="1"/>
  <c r="AN1216" i="3" s="1"/>
  <c r="AO1216" i="3" s="1"/>
  <c r="AP1216" i="3" s="1"/>
  <c r="AB1216" i="3"/>
  <c r="J1217" i="3"/>
  <c r="AM1217" i="3" s="1"/>
  <c r="AN1217" i="3" s="1"/>
  <c r="AO1217" i="3" s="1"/>
  <c r="AP1217" i="3" s="1"/>
  <c r="AB1217" i="3"/>
  <c r="I1217" i="3"/>
  <c r="I1218" i="3"/>
  <c r="AB1218" i="3"/>
  <c r="J1218" i="3"/>
  <c r="AM1218" i="3" s="1"/>
  <c r="AN1218" i="3" s="1"/>
  <c r="AO1218" i="3" s="1"/>
  <c r="AP1218" i="3" s="1"/>
  <c r="I1219" i="3"/>
  <c r="J1219" i="3"/>
  <c r="AM1219" i="3" s="1"/>
  <c r="AN1219" i="3" s="1"/>
  <c r="AO1219" i="3" s="1"/>
  <c r="AP1219" i="3" s="1"/>
  <c r="AB1219" i="3"/>
  <c r="J1220" i="3"/>
  <c r="AM1220" i="3" s="1"/>
  <c r="AN1220" i="3" s="1"/>
  <c r="AO1220" i="3" s="1"/>
  <c r="AP1220" i="3" s="1"/>
  <c r="I1220" i="3"/>
  <c r="AB1220" i="3"/>
  <c r="I1221" i="3"/>
  <c r="J1221" i="3"/>
  <c r="AM1221" i="3" s="1"/>
  <c r="AN1221" i="3" s="1"/>
  <c r="AO1221" i="3" s="1"/>
  <c r="AP1221" i="3" s="1"/>
  <c r="AB1221" i="3"/>
  <c r="I1222" i="3"/>
  <c r="J1222" i="3"/>
  <c r="AM1222" i="3" s="1"/>
  <c r="AN1222" i="3" s="1"/>
  <c r="AO1222" i="3" s="1"/>
  <c r="AP1222" i="3" s="1"/>
  <c r="AB1222" i="3"/>
  <c r="I1223" i="3"/>
  <c r="J1223" i="3"/>
  <c r="AM1223" i="3" s="1"/>
  <c r="AN1223" i="3" s="1"/>
  <c r="AO1223" i="3" s="1"/>
  <c r="AP1223" i="3" s="1"/>
  <c r="AB1223" i="3"/>
  <c r="I1224" i="3"/>
  <c r="J1224" i="3"/>
  <c r="AM1224" i="3" s="1"/>
  <c r="AN1224" i="3" s="1"/>
  <c r="AO1224" i="3" s="1"/>
  <c r="AP1224" i="3" s="1"/>
  <c r="AB1224" i="3"/>
  <c r="J1225" i="3"/>
  <c r="AM1225" i="3" s="1"/>
  <c r="AN1225" i="3" s="1"/>
  <c r="AO1225" i="3" s="1"/>
  <c r="AP1225" i="3" s="1"/>
  <c r="AB1225" i="3"/>
  <c r="I1225" i="3"/>
  <c r="I1226" i="3"/>
  <c r="J1226" i="3"/>
  <c r="AM1226" i="3" s="1"/>
  <c r="AN1226" i="3" s="1"/>
  <c r="AO1226" i="3" s="1"/>
  <c r="AP1226" i="3" s="1"/>
  <c r="AB1226" i="3"/>
  <c r="I1227" i="3"/>
  <c r="J1227" i="3"/>
  <c r="AM1227" i="3" s="1"/>
  <c r="AN1227" i="3" s="1"/>
  <c r="AO1227" i="3" s="1"/>
  <c r="AP1227" i="3" s="1"/>
  <c r="AB1227" i="3"/>
  <c r="I1228" i="3"/>
  <c r="AB1228" i="3"/>
  <c r="J1228" i="3"/>
  <c r="AM1228" i="3" s="1"/>
  <c r="AN1228" i="3" s="1"/>
  <c r="AO1228" i="3" s="1"/>
  <c r="AP1228" i="3" s="1"/>
  <c r="I1229" i="3"/>
  <c r="J1229" i="3"/>
  <c r="AM1229" i="3" s="1"/>
  <c r="AN1229" i="3" s="1"/>
  <c r="AO1229" i="3" s="1"/>
  <c r="AP1229" i="3" s="1"/>
  <c r="AB1229" i="3"/>
  <c r="I1230" i="3"/>
  <c r="J1230" i="3"/>
  <c r="AM1230" i="3" s="1"/>
  <c r="AN1230" i="3" s="1"/>
  <c r="AO1230" i="3" s="1"/>
  <c r="AP1230" i="3" s="1"/>
  <c r="AB1230" i="3"/>
  <c r="I1231" i="3"/>
  <c r="J1231" i="3"/>
  <c r="AM1231" i="3" s="1"/>
  <c r="AN1231" i="3" s="1"/>
  <c r="AO1231" i="3" s="1"/>
  <c r="AP1231" i="3" s="1"/>
  <c r="AB1231" i="3"/>
  <c r="I1232" i="3"/>
  <c r="J1232" i="3"/>
  <c r="AM1232" i="3" s="1"/>
  <c r="AN1232" i="3" s="1"/>
  <c r="AO1232" i="3" s="1"/>
  <c r="AP1232" i="3" s="1"/>
  <c r="AB1232" i="3"/>
  <c r="J1075" i="3"/>
  <c r="AM1075" i="3" s="1"/>
  <c r="AN1075" i="3" s="1"/>
  <c r="AO1075" i="3" s="1"/>
  <c r="AP1075" i="3" s="1"/>
  <c r="AB1075" i="3"/>
  <c r="I1075" i="3"/>
  <c r="AB254" i="3"/>
  <c r="J254" i="3"/>
  <c r="AM254" i="3" s="1"/>
  <c r="Z923" i="3"/>
  <c r="AA923" i="3" s="1"/>
  <c r="Z921" i="3"/>
  <c r="AA921" i="3" s="1"/>
  <c r="Z924" i="3"/>
  <c r="AA924" i="3" s="1"/>
  <c r="Z927" i="3"/>
  <c r="AA927" i="3" s="1"/>
  <c r="Z928" i="3"/>
  <c r="AA928" i="3" s="1"/>
  <c r="Z931" i="3"/>
  <c r="AA931" i="3" s="1"/>
  <c r="Z926" i="3"/>
  <c r="AA926" i="3" s="1"/>
  <c r="Z925" i="3"/>
  <c r="AA925" i="3" s="1"/>
  <c r="Z922" i="3"/>
  <c r="AA922" i="3" s="1"/>
  <c r="Z929" i="3"/>
  <c r="AA929" i="3" s="1"/>
  <c r="Z930" i="3"/>
  <c r="AA930" i="3" s="1"/>
  <c r="AA81" i="3"/>
  <c r="AA456" i="3"/>
  <c r="J456" i="3" s="1"/>
  <c r="AM456" i="3" s="1"/>
  <c r="AA458" i="3"/>
  <c r="J458" i="3" s="1"/>
  <c r="AM458" i="3" s="1"/>
  <c r="AA486" i="3"/>
  <c r="J486" i="3" s="1"/>
  <c r="AM486" i="3" s="1"/>
  <c r="AA443" i="3"/>
  <c r="J443" i="3" s="1"/>
  <c r="AM443" i="3" s="1"/>
  <c r="AA474" i="3"/>
  <c r="J474" i="3" s="1"/>
  <c r="AM474" i="3" s="1"/>
  <c r="AA479" i="3"/>
  <c r="J479" i="3" s="1"/>
  <c r="AM479" i="3" s="1"/>
  <c r="AA483" i="3"/>
  <c r="AA493" i="3"/>
  <c r="J493" i="3" s="1"/>
  <c r="AM493" i="3" s="1"/>
  <c r="AA514" i="3"/>
  <c r="AA494" i="3"/>
  <c r="J494" i="3" s="1"/>
  <c r="AM494" i="3" s="1"/>
  <c r="AA464" i="3"/>
  <c r="J464" i="3" s="1"/>
  <c r="AM464" i="3" s="1"/>
  <c r="AA468" i="3"/>
  <c r="J468" i="3" s="1"/>
  <c r="AM468" i="3" s="1"/>
  <c r="AA489" i="3"/>
  <c r="J489" i="3" s="1"/>
  <c r="AM489" i="3" s="1"/>
  <c r="AA497" i="3"/>
  <c r="AA504" i="3"/>
  <c r="J504" i="3" s="1"/>
  <c r="AM504" i="3" s="1"/>
  <c r="AA508" i="3"/>
  <c r="AA512" i="3"/>
  <c r="J512" i="3" s="1"/>
  <c r="AM512" i="3" s="1"/>
  <c r="AA518" i="3"/>
  <c r="AA522" i="3"/>
  <c r="AA526" i="3"/>
  <c r="AA530" i="3"/>
  <c r="AA534" i="3"/>
  <c r="AA538" i="3"/>
  <c r="J538" i="3" s="1"/>
  <c r="AM538" i="3" s="1"/>
  <c r="AA542" i="3"/>
  <c r="AA546" i="3"/>
  <c r="J546" i="3" s="1"/>
  <c r="AM546" i="3" s="1"/>
  <c r="AA550" i="3"/>
  <c r="AA554" i="3"/>
  <c r="J554" i="3" s="1"/>
  <c r="AM554" i="3" s="1"/>
  <c r="AA558" i="3"/>
  <c r="AA562" i="3"/>
  <c r="J562" i="3" s="1"/>
  <c r="AM562" i="3" s="1"/>
  <c r="AA566" i="3"/>
  <c r="J566" i="3" s="1"/>
  <c r="AM566" i="3" s="1"/>
  <c r="AA570" i="3"/>
  <c r="AA574" i="3"/>
  <c r="J574" i="3" s="1"/>
  <c r="AM574" i="3" s="1"/>
  <c r="AA578" i="3"/>
  <c r="AA582" i="3"/>
  <c r="AA586" i="3"/>
  <c r="J586" i="3" s="1"/>
  <c r="AM586" i="3" s="1"/>
  <c r="AA590" i="3"/>
  <c r="J590" i="3" s="1"/>
  <c r="AM590" i="3" s="1"/>
  <c r="AA594" i="3"/>
  <c r="J594" i="3" s="1"/>
  <c r="AM594" i="3" s="1"/>
  <c r="AA598" i="3"/>
  <c r="J598" i="3" s="1"/>
  <c r="AM598" i="3" s="1"/>
  <c r="AA602" i="3"/>
  <c r="J602" i="3" s="1"/>
  <c r="AM602" i="3" s="1"/>
  <c r="AA606" i="3"/>
  <c r="J606" i="3" s="1"/>
  <c r="AM606" i="3" s="1"/>
  <c r="AA610" i="3"/>
  <c r="J610" i="3" s="1"/>
  <c r="AM610" i="3" s="1"/>
  <c r="AA614" i="3"/>
  <c r="AA618" i="3"/>
  <c r="J618" i="3" s="1"/>
  <c r="AM618" i="3" s="1"/>
  <c r="AA622" i="3"/>
  <c r="J622" i="3" s="1"/>
  <c r="AM622" i="3" s="1"/>
  <c r="AA626" i="3"/>
  <c r="AA630" i="3"/>
  <c r="J630" i="3" s="1"/>
  <c r="AM630" i="3" s="1"/>
  <c r="AA634" i="3"/>
  <c r="AA638" i="3"/>
  <c r="J638" i="3" s="1"/>
  <c r="AM638" i="3" s="1"/>
  <c r="AA642" i="3"/>
  <c r="J642" i="3" s="1"/>
  <c r="AM642" i="3" s="1"/>
  <c r="AA646" i="3"/>
  <c r="AA650" i="3"/>
  <c r="AA654" i="3"/>
  <c r="AA658" i="3"/>
  <c r="J658" i="3" s="1"/>
  <c r="AM658" i="3" s="1"/>
  <c r="AA662" i="3"/>
  <c r="J662" i="3" s="1"/>
  <c r="AM662" i="3" s="1"/>
  <c r="AA666" i="3"/>
  <c r="J666" i="3" s="1"/>
  <c r="AM666" i="3" s="1"/>
  <c r="AA670" i="3"/>
  <c r="J670" i="3" s="1"/>
  <c r="AM670" i="3" s="1"/>
  <c r="AA674" i="3"/>
  <c r="J674" i="3" s="1"/>
  <c r="AM674" i="3" s="1"/>
  <c r="AA703" i="3"/>
  <c r="AA716" i="3"/>
  <c r="J716" i="3" s="1"/>
  <c r="AM716" i="3" s="1"/>
  <c r="AA720" i="3"/>
  <c r="AA724" i="3"/>
  <c r="J724" i="3" s="1"/>
  <c r="AM724" i="3" s="1"/>
  <c r="AA728" i="3"/>
  <c r="AA732" i="3"/>
  <c r="J732" i="3" s="1"/>
  <c r="AM732" i="3" s="1"/>
  <c r="AA736" i="3"/>
  <c r="J736" i="3" s="1"/>
  <c r="AM736" i="3" s="1"/>
  <c r="AA740" i="3"/>
  <c r="J740" i="3" s="1"/>
  <c r="AM740" i="3" s="1"/>
  <c r="AA744" i="3"/>
  <c r="J744" i="3" s="1"/>
  <c r="AM744" i="3" s="1"/>
  <c r="AA748" i="3"/>
  <c r="J748" i="3" s="1"/>
  <c r="AM748" i="3" s="1"/>
  <c r="AA752" i="3"/>
  <c r="AA756" i="3"/>
  <c r="J756" i="3" s="1"/>
  <c r="AM756" i="3" s="1"/>
  <c r="AA760" i="3"/>
  <c r="AA764" i="3"/>
  <c r="J764" i="3" s="1"/>
  <c r="AM764" i="3" s="1"/>
  <c r="AA768" i="3"/>
  <c r="J768" i="3" s="1"/>
  <c r="AM768" i="3" s="1"/>
  <c r="AA772" i="3"/>
  <c r="J772" i="3" s="1"/>
  <c r="AM772" i="3" s="1"/>
  <c r="AA776" i="3"/>
  <c r="J776" i="3" s="1"/>
  <c r="AM776" i="3" s="1"/>
  <c r="AA780" i="3"/>
  <c r="J780" i="3" s="1"/>
  <c r="AM780" i="3" s="1"/>
  <c r="AA784" i="3"/>
  <c r="AA788" i="3"/>
  <c r="AA792" i="3"/>
  <c r="AA796" i="3"/>
  <c r="J796" i="3" s="1"/>
  <c r="AM796" i="3" s="1"/>
  <c r="AA860" i="3"/>
  <c r="J860" i="3" s="1"/>
  <c r="AM860" i="3" s="1"/>
  <c r="AA864" i="3"/>
  <c r="J864" i="3" s="1"/>
  <c r="AM864" i="3" s="1"/>
  <c r="AA868" i="3"/>
  <c r="J868" i="3" s="1"/>
  <c r="AM868" i="3" s="1"/>
  <c r="AA872" i="3"/>
  <c r="AA876" i="3"/>
  <c r="AA880" i="3"/>
  <c r="AA884" i="3"/>
  <c r="J884" i="3" s="1"/>
  <c r="AM884" i="3" s="1"/>
  <c r="AA888" i="3"/>
  <c r="J888" i="3" s="1"/>
  <c r="AM888" i="3" s="1"/>
  <c r="AA892" i="3"/>
  <c r="AA896" i="3"/>
  <c r="J896" i="3" s="1"/>
  <c r="AM896" i="3" s="1"/>
  <c r="AA900" i="3"/>
  <c r="J900" i="3" s="1"/>
  <c r="AM900" i="3" s="1"/>
  <c r="AA711" i="3"/>
  <c r="J711" i="3" s="1"/>
  <c r="AM711" i="3" s="1"/>
  <c r="AA707" i="3"/>
  <c r="AA702" i="3"/>
  <c r="J702" i="3" s="1"/>
  <c r="AM702" i="3" s="1"/>
  <c r="AA698" i="3"/>
  <c r="AA692" i="3"/>
  <c r="J692" i="3" s="1"/>
  <c r="AM692" i="3" s="1"/>
  <c r="AA688" i="3"/>
  <c r="AA684" i="3"/>
  <c r="AA680" i="3"/>
  <c r="J680" i="3" s="1"/>
  <c r="AM680" i="3" s="1"/>
  <c r="AA676" i="3"/>
  <c r="AA905" i="3"/>
  <c r="J905" i="3" s="1"/>
  <c r="AM905" i="3" s="1"/>
  <c r="AA909" i="3"/>
  <c r="J909" i="3" s="1"/>
  <c r="AM909" i="3" s="1"/>
  <c r="AA913" i="3"/>
  <c r="J913" i="3" s="1"/>
  <c r="AM913" i="3" s="1"/>
  <c r="AA917" i="3"/>
  <c r="J917" i="3" s="1"/>
  <c r="AM917" i="3" s="1"/>
  <c r="AA797" i="3"/>
  <c r="AA801" i="3"/>
  <c r="J801" i="3" s="1"/>
  <c r="AM801" i="3" s="1"/>
  <c r="AA805" i="3"/>
  <c r="AA809" i="3"/>
  <c r="J809" i="3" s="1"/>
  <c r="AM809" i="3" s="1"/>
  <c r="AA813" i="3"/>
  <c r="AA821" i="3"/>
  <c r="J821" i="3" s="1"/>
  <c r="AM821" i="3" s="1"/>
  <c r="AA817" i="3"/>
  <c r="AA826" i="3"/>
  <c r="J826" i="3" s="1"/>
  <c r="AM826" i="3" s="1"/>
  <c r="AA837" i="3"/>
  <c r="J837" i="3" s="1"/>
  <c r="AM837" i="3" s="1"/>
  <c r="AA836" i="3"/>
  <c r="J836" i="3" s="1"/>
  <c r="AM836" i="3" s="1"/>
  <c r="AA835" i="3"/>
  <c r="J835" i="3" s="1"/>
  <c r="AM835" i="3" s="1"/>
  <c r="AA58" i="3"/>
  <c r="AA66" i="3"/>
  <c r="AA88" i="3"/>
  <c r="AA90" i="3"/>
  <c r="AA97" i="3"/>
  <c r="AA145" i="3"/>
  <c r="AA31" i="3"/>
  <c r="AA107" i="3"/>
  <c r="AA16" i="3"/>
  <c r="AA77" i="3"/>
  <c r="AA142" i="3"/>
  <c r="AA57" i="3"/>
  <c r="AA123" i="3"/>
  <c r="AA46" i="3"/>
  <c r="AA112" i="3"/>
  <c r="AA51" i="3"/>
  <c r="AA14" i="3"/>
  <c r="AA127" i="3"/>
  <c r="AA12" i="3"/>
  <c r="AA100" i="3"/>
  <c r="AA129" i="3"/>
  <c r="AA459" i="3"/>
  <c r="J459" i="3" s="1"/>
  <c r="AM459" i="3" s="1"/>
  <c r="AA452" i="3"/>
  <c r="J452" i="3" s="1"/>
  <c r="AM452" i="3" s="1"/>
  <c r="AA451" i="3"/>
  <c r="AA476" i="3"/>
  <c r="AA475" i="3"/>
  <c r="AA480" i="3"/>
  <c r="J480" i="3" s="1"/>
  <c r="AM480" i="3" s="1"/>
  <c r="AA484" i="3"/>
  <c r="J484" i="3" s="1"/>
  <c r="AM484" i="3" s="1"/>
  <c r="AA498" i="3"/>
  <c r="J498" i="3" s="1"/>
  <c r="AM498" i="3" s="1"/>
  <c r="AA515" i="3"/>
  <c r="AA461" i="3"/>
  <c r="J461" i="3" s="1"/>
  <c r="AM461" i="3" s="1"/>
  <c r="AA465" i="3"/>
  <c r="AA469" i="3"/>
  <c r="AA490" i="3"/>
  <c r="J490" i="3" s="1"/>
  <c r="AM490" i="3" s="1"/>
  <c r="AA501" i="3"/>
  <c r="AA505" i="3"/>
  <c r="AA509" i="3"/>
  <c r="AA513" i="3"/>
  <c r="J513" i="3" s="1"/>
  <c r="AM513" i="3" s="1"/>
  <c r="AA519" i="3"/>
  <c r="J519" i="3" s="1"/>
  <c r="AM519" i="3" s="1"/>
  <c r="AA523" i="3"/>
  <c r="J523" i="3" s="1"/>
  <c r="AM523" i="3" s="1"/>
  <c r="AA527" i="3"/>
  <c r="AA531" i="3"/>
  <c r="AA535" i="3"/>
  <c r="J535" i="3" s="1"/>
  <c r="AM535" i="3" s="1"/>
  <c r="AA539" i="3"/>
  <c r="J539" i="3" s="1"/>
  <c r="AM539" i="3" s="1"/>
  <c r="AA543" i="3"/>
  <c r="AA547" i="3"/>
  <c r="AA551" i="3"/>
  <c r="AA555" i="3"/>
  <c r="J555" i="3" s="1"/>
  <c r="AM555" i="3" s="1"/>
  <c r="AA559" i="3"/>
  <c r="AA563" i="3"/>
  <c r="J563" i="3" s="1"/>
  <c r="AM563" i="3" s="1"/>
  <c r="AA567" i="3"/>
  <c r="AA571" i="3"/>
  <c r="AA575" i="3"/>
  <c r="J575" i="3" s="1"/>
  <c r="AM575" i="3" s="1"/>
  <c r="AA579" i="3"/>
  <c r="J579" i="3" s="1"/>
  <c r="AM579" i="3" s="1"/>
  <c r="AA583" i="3"/>
  <c r="AA587" i="3"/>
  <c r="AA591" i="3"/>
  <c r="J591" i="3" s="1"/>
  <c r="AM591" i="3" s="1"/>
  <c r="AA595" i="3"/>
  <c r="J595" i="3" s="1"/>
  <c r="AM595" i="3" s="1"/>
  <c r="AA599" i="3"/>
  <c r="J599" i="3" s="1"/>
  <c r="AM599" i="3" s="1"/>
  <c r="AA603" i="3"/>
  <c r="J603" i="3" s="1"/>
  <c r="AM603" i="3" s="1"/>
  <c r="AA607" i="3"/>
  <c r="J607" i="3" s="1"/>
  <c r="AM607" i="3" s="1"/>
  <c r="AA611" i="3"/>
  <c r="J611" i="3" s="1"/>
  <c r="AM611" i="3" s="1"/>
  <c r="AA615" i="3"/>
  <c r="AA619" i="3"/>
  <c r="J619" i="3" s="1"/>
  <c r="AM619" i="3" s="1"/>
  <c r="AA623" i="3"/>
  <c r="J623" i="3" s="1"/>
  <c r="AM623" i="3" s="1"/>
  <c r="AA627" i="3"/>
  <c r="AA631" i="3"/>
  <c r="AA635" i="3"/>
  <c r="J635" i="3" s="1"/>
  <c r="AM635" i="3" s="1"/>
  <c r="AA639" i="3"/>
  <c r="J639" i="3" s="1"/>
  <c r="AM639" i="3" s="1"/>
  <c r="AA643" i="3"/>
  <c r="AA647" i="3"/>
  <c r="J647" i="3" s="1"/>
  <c r="AM647" i="3" s="1"/>
  <c r="AA651" i="3"/>
  <c r="J651" i="3" s="1"/>
  <c r="AM651" i="3" s="1"/>
  <c r="AA655" i="3"/>
  <c r="AA659" i="3"/>
  <c r="AA663" i="3"/>
  <c r="AA667" i="3"/>
  <c r="J667" i="3" s="1"/>
  <c r="AM667" i="3" s="1"/>
  <c r="AA671" i="3"/>
  <c r="J671" i="3" s="1"/>
  <c r="AM671" i="3" s="1"/>
  <c r="AA713" i="3"/>
  <c r="J713" i="3" s="1"/>
  <c r="AM713" i="3" s="1"/>
  <c r="AA717" i="3"/>
  <c r="AA721" i="3"/>
  <c r="AA725" i="3"/>
  <c r="J725" i="3" s="1"/>
  <c r="AM725" i="3" s="1"/>
  <c r="AA729" i="3"/>
  <c r="AA733" i="3"/>
  <c r="AA737" i="3"/>
  <c r="AA741" i="3"/>
  <c r="J741" i="3" s="1"/>
  <c r="AM741" i="3" s="1"/>
  <c r="AA745" i="3"/>
  <c r="J745" i="3" s="1"/>
  <c r="AM745" i="3" s="1"/>
  <c r="AA749" i="3"/>
  <c r="J749" i="3" s="1"/>
  <c r="AM749" i="3" s="1"/>
  <c r="AA753" i="3"/>
  <c r="AA757" i="3"/>
  <c r="J757" i="3" s="1"/>
  <c r="AM757" i="3" s="1"/>
  <c r="AA761" i="3"/>
  <c r="J761" i="3" s="1"/>
  <c r="AM761" i="3" s="1"/>
  <c r="AA765" i="3"/>
  <c r="AA769" i="3"/>
  <c r="J769" i="3" s="1"/>
  <c r="AM769" i="3" s="1"/>
  <c r="AA773" i="3"/>
  <c r="AA777" i="3"/>
  <c r="J777" i="3" s="1"/>
  <c r="AM777" i="3" s="1"/>
  <c r="AA781" i="3"/>
  <c r="AA785" i="3"/>
  <c r="AA789" i="3"/>
  <c r="AA793" i="3"/>
  <c r="J793" i="3" s="1"/>
  <c r="AM793" i="3" s="1"/>
  <c r="AA857" i="3"/>
  <c r="AA861" i="3"/>
  <c r="J861" i="3" s="1"/>
  <c r="AM861" i="3" s="1"/>
  <c r="AA865" i="3"/>
  <c r="J865" i="3" s="1"/>
  <c r="AM865" i="3" s="1"/>
  <c r="AA869" i="3"/>
  <c r="AA873" i="3"/>
  <c r="J873" i="3" s="1"/>
  <c r="AM873" i="3" s="1"/>
  <c r="AA877" i="3"/>
  <c r="AA881" i="3"/>
  <c r="J881" i="3" s="1"/>
  <c r="AM881" i="3" s="1"/>
  <c r="AA885" i="3"/>
  <c r="AA889" i="3"/>
  <c r="J889" i="3" s="1"/>
  <c r="AM889" i="3" s="1"/>
  <c r="AA893" i="3"/>
  <c r="AA897" i="3"/>
  <c r="AA901" i="3"/>
  <c r="AA710" i="3"/>
  <c r="J710" i="3" s="1"/>
  <c r="AM710" i="3" s="1"/>
  <c r="AA706" i="3"/>
  <c r="J706" i="3" s="1"/>
  <c r="AM706" i="3" s="1"/>
  <c r="AA701" i="3"/>
  <c r="AA697" i="3"/>
  <c r="AA691" i="3"/>
  <c r="J691" i="3" s="1"/>
  <c r="AM691" i="3" s="1"/>
  <c r="AA687" i="3"/>
  <c r="AA683" i="3"/>
  <c r="AA679" i="3"/>
  <c r="J679" i="3" s="1"/>
  <c r="AM679" i="3" s="1"/>
  <c r="AA675" i="3"/>
  <c r="J675" i="3" s="1"/>
  <c r="AM675" i="3" s="1"/>
  <c r="AA906" i="3"/>
  <c r="J906" i="3" s="1"/>
  <c r="AM906" i="3" s="1"/>
  <c r="AA910" i="3"/>
  <c r="AA914" i="3"/>
  <c r="J914" i="3" s="1"/>
  <c r="AM914" i="3" s="1"/>
  <c r="AA918" i="3"/>
  <c r="J918" i="3" s="1"/>
  <c r="AM918" i="3" s="1"/>
  <c r="AA798" i="3"/>
  <c r="AA802" i="3"/>
  <c r="AA806" i="3"/>
  <c r="AA810" i="3"/>
  <c r="AA814" i="3"/>
  <c r="J814" i="3" s="1"/>
  <c r="AM814" i="3" s="1"/>
  <c r="AA820" i="3"/>
  <c r="AA816" i="3"/>
  <c r="J816" i="3" s="1"/>
  <c r="AM816" i="3" s="1"/>
  <c r="AA825" i="3"/>
  <c r="AA831" i="3"/>
  <c r="AA830" i="3"/>
  <c r="J830" i="3" s="1"/>
  <c r="AM830" i="3" s="1"/>
  <c r="AA840" i="3"/>
  <c r="AA455" i="3"/>
  <c r="AA453" i="3"/>
  <c r="AA495" i="3"/>
  <c r="AA472" i="3"/>
  <c r="J472" i="3" s="1"/>
  <c r="AM472" i="3" s="1"/>
  <c r="AA477" i="3"/>
  <c r="AA481" i="3"/>
  <c r="AA487" i="3"/>
  <c r="J487" i="3" s="1"/>
  <c r="AM487" i="3" s="1"/>
  <c r="AA499" i="3"/>
  <c r="J499" i="3" s="1"/>
  <c r="AM499" i="3" s="1"/>
  <c r="AA516" i="3"/>
  <c r="J516" i="3" s="1"/>
  <c r="AM516" i="3" s="1"/>
  <c r="AA462" i="3"/>
  <c r="J462" i="3" s="1"/>
  <c r="AM462" i="3" s="1"/>
  <c r="AA466" i="3"/>
  <c r="AA470" i="3"/>
  <c r="AA491" i="3"/>
  <c r="J491" i="3" s="1"/>
  <c r="AM491" i="3" s="1"/>
  <c r="AA502" i="3"/>
  <c r="AA506" i="3"/>
  <c r="J506" i="3" s="1"/>
  <c r="AM506" i="3" s="1"/>
  <c r="AA510" i="3"/>
  <c r="AA520" i="3"/>
  <c r="AA524" i="3"/>
  <c r="J524" i="3" s="1"/>
  <c r="AM524" i="3" s="1"/>
  <c r="AA528" i="3"/>
  <c r="AA532" i="3"/>
  <c r="AA536" i="3"/>
  <c r="J536" i="3" s="1"/>
  <c r="AM536" i="3" s="1"/>
  <c r="AA540" i="3"/>
  <c r="J540" i="3" s="1"/>
  <c r="AM540" i="3" s="1"/>
  <c r="AA544" i="3"/>
  <c r="J544" i="3" s="1"/>
  <c r="AM544" i="3" s="1"/>
  <c r="AA548" i="3"/>
  <c r="AA552" i="3"/>
  <c r="J552" i="3" s="1"/>
  <c r="AM552" i="3" s="1"/>
  <c r="AA556" i="3"/>
  <c r="J556" i="3" s="1"/>
  <c r="AM556" i="3" s="1"/>
  <c r="AA560" i="3"/>
  <c r="J560" i="3" s="1"/>
  <c r="AM560" i="3" s="1"/>
  <c r="AA564" i="3"/>
  <c r="J564" i="3" s="1"/>
  <c r="AM564" i="3" s="1"/>
  <c r="AA568" i="3"/>
  <c r="J568" i="3" s="1"/>
  <c r="AM568" i="3" s="1"/>
  <c r="AA572" i="3"/>
  <c r="J572" i="3" s="1"/>
  <c r="AM572" i="3" s="1"/>
  <c r="AA576" i="3"/>
  <c r="AA580" i="3"/>
  <c r="AA584" i="3"/>
  <c r="J584" i="3" s="1"/>
  <c r="AM584" i="3" s="1"/>
  <c r="AA588" i="3"/>
  <c r="J588" i="3" s="1"/>
  <c r="AM588" i="3" s="1"/>
  <c r="AA592" i="3"/>
  <c r="AA596" i="3"/>
  <c r="AA600" i="3"/>
  <c r="AA604" i="3"/>
  <c r="AA608" i="3"/>
  <c r="J608" i="3" s="1"/>
  <c r="AM608" i="3" s="1"/>
  <c r="AA612" i="3"/>
  <c r="AA616" i="3"/>
  <c r="AA620" i="3"/>
  <c r="AA624" i="3"/>
  <c r="AA628" i="3"/>
  <c r="J628" i="3" s="1"/>
  <c r="AM628" i="3" s="1"/>
  <c r="AA632" i="3"/>
  <c r="AA636" i="3"/>
  <c r="AA640" i="3"/>
  <c r="AA644" i="3"/>
  <c r="J644" i="3" s="1"/>
  <c r="AM644" i="3" s="1"/>
  <c r="AA648" i="3"/>
  <c r="AA652" i="3"/>
  <c r="AA656" i="3"/>
  <c r="AA660" i="3"/>
  <c r="J660" i="3" s="1"/>
  <c r="AM660" i="3" s="1"/>
  <c r="AA664" i="3"/>
  <c r="AA668" i="3"/>
  <c r="J668" i="3" s="1"/>
  <c r="AM668" i="3" s="1"/>
  <c r="AA672" i="3"/>
  <c r="J672" i="3" s="1"/>
  <c r="AM672" i="3" s="1"/>
  <c r="AA693" i="3"/>
  <c r="AA714" i="3"/>
  <c r="J714" i="3" s="1"/>
  <c r="AM714" i="3" s="1"/>
  <c r="AA718" i="3"/>
  <c r="J718" i="3" s="1"/>
  <c r="AM718" i="3" s="1"/>
  <c r="AA722" i="3"/>
  <c r="AA726" i="3"/>
  <c r="AA730" i="3"/>
  <c r="AA734" i="3"/>
  <c r="J734" i="3" s="1"/>
  <c r="AM734" i="3" s="1"/>
  <c r="AA738" i="3"/>
  <c r="J738" i="3" s="1"/>
  <c r="AM738" i="3" s="1"/>
  <c r="AA742" i="3"/>
  <c r="AA746" i="3"/>
  <c r="J746" i="3" s="1"/>
  <c r="AM746" i="3" s="1"/>
  <c r="AA750" i="3"/>
  <c r="AA754" i="3"/>
  <c r="J754" i="3" s="1"/>
  <c r="AM754" i="3" s="1"/>
  <c r="AA758" i="3"/>
  <c r="J758" i="3" s="1"/>
  <c r="AM758" i="3" s="1"/>
  <c r="AA762" i="3"/>
  <c r="AA766" i="3"/>
  <c r="J766" i="3" s="1"/>
  <c r="AM766" i="3" s="1"/>
  <c r="AA770" i="3"/>
  <c r="AA774" i="3"/>
  <c r="J774" i="3" s="1"/>
  <c r="AM774" i="3" s="1"/>
  <c r="AA778" i="3"/>
  <c r="J778" i="3" s="1"/>
  <c r="AM778" i="3" s="1"/>
  <c r="AA782" i="3"/>
  <c r="J782" i="3" s="1"/>
  <c r="AM782" i="3" s="1"/>
  <c r="AA786" i="3"/>
  <c r="AA790" i="3"/>
  <c r="J790" i="3" s="1"/>
  <c r="AM790" i="3" s="1"/>
  <c r="AA794" i="3"/>
  <c r="AA858" i="3"/>
  <c r="J858" i="3" s="1"/>
  <c r="AM858" i="3" s="1"/>
  <c r="AA862" i="3"/>
  <c r="J862" i="3" s="1"/>
  <c r="AM862" i="3" s="1"/>
  <c r="AA866" i="3"/>
  <c r="J866" i="3" s="1"/>
  <c r="AM866" i="3" s="1"/>
  <c r="AA870" i="3"/>
  <c r="J870" i="3" s="1"/>
  <c r="AM870" i="3" s="1"/>
  <c r="AA874" i="3"/>
  <c r="AA878" i="3"/>
  <c r="AA882" i="3"/>
  <c r="AA886" i="3"/>
  <c r="J886" i="3" s="1"/>
  <c r="AM886" i="3" s="1"/>
  <c r="AA890" i="3"/>
  <c r="AA894" i="3"/>
  <c r="J894" i="3" s="1"/>
  <c r="AM894" i="3" s="1"/>
  <c r="AA898" i="3"/>
  <c r="J898" i="3" s="1"/>
  <c r="AM898" i="3" s="1"/>
  <c r="AA902" i="3"/>
  <c r="J902" i="3" s="1"/>
  <c r="AM902" i="3" s="1"/>
  <c r="AA709" i="3"/>
  <c r="AA705" i="3"/>
  <c r="AA700" i="3"/>
  <c r="J700" i="3" s="1"/>
  <c r="AM700" i="3" s="1"/>
  <c r="AA695" i="3"/>
  <c r="AA690" i="3"/>
  <c r="AA686" i="3"/>
  <c r="AA682" i="3"/>
  <c r="J682" i="3" s="1"/>
  <c r="AM682" i="3" s="1"/>
  <c r="AA678" i="3"/>
  <c r="AA903" i="3"/>
  <c r="AA907" i="3"/>
  <c r="AA911" i="3"/>
  <c r="J911" i="3" s="1"/>
  <c r="AM911" i="3" s="1"/>
  <c r="AA915" i="3"/>
  <c r="AA919" i="3"/>
  <c r="J919" i="3" s="1"/>
  <c r="AM919" i="3" s="1"/>
  <c r="AA799" i="3"/>
  <c r="AA803" i="3"/>
  <c r="J803" i="3" s="1"/>
  <c r="AM803" i="3" s="1"/>
  <c r="AA807" i="3"/>
  <c r="AA811" i="3"/>
  <c r="AA815" i="3"/>
  <c r="J815" i="3" s="1"/>
  <c r="AM815" i="3" s="1"/>
  <c r="AA819" i="3"/>
  <c r="J819" i="3" s="1"/>
  <c r="AM819" i="3" s="1"/>
  <c r="AA824" i="3"/>
  <c r="AA834" i="3"/>
  <c r="AA832" i="3"/>
  <c r="AA838" i="3"/>
  <c r="AA833" i="3"/>
  <c r="AA59" i="3"/>
  <c r="AA43" i="3"/>
  <c r="AA23" i="3"/>
  <c r="AA460" i="3"/>
  <c r="AA454" i="3"/>
  <c r="AA457" i="3"/>
  <c r="AA492" i="3"/>
  <c r="J492" i="3" s="1"/>
  <c r="AM492" i="3" s="1"/>
  <c r="AA473" i="3"/>
  <c r="J473" i="3" s="1"/>
  <c r="AM473" i="3" s="1"/>
  <c r="AA478" i="3"/>
  <c r="J478" i="3" s="1"/>
  <c r="AM478" i="3" s="1"/>
  <c r="AA482" i="3"/>
  <c r="AA488" i="3"/>
  <c r="AA500" i="3"/>
  <c r="AA485" i="3"/>
  <c r="J485" i="3" s="1"/>
  <c r="AM485" i="3" s="1"/>
  <c r="AA463" i="3"/>
  <c r="AA467" i="3"/>
  <c r="AA471" i="3"/>
  <c r="J471" i="3" s="1"/>
  <c r="AM471" i="3" s="1"/>
  <c r="AA496" i="3"/>
  <c r="J496" i="3" s="1"/>
  <c r="AM496" i="3" s="1"/>
  <c r="AA503" i="3"/>
  <c r="AA507" i="3"/>
  <c r="J507" i="3" s="1"/>
  <c r="AM507" i="3" s="1"/>
  <c r="AA511" i="3"/>
  <c r="AA517" i="3"/>
  <c r="AA521" i="3"/>
  <c r="AA525" i="3"/>
  <c r="AA529" i="3"/>
  <c r="J529" i="3" s="1"/>
  <c r="AM529" i="3" s="1"/>
  <c r="AA533" i="3"/>
  <c r="AA537" i="3"/>
  <c r="AA541" i="3"/>
  <c r="AA545" i="3"/>
  <c r="AA549" i="3"/>
  <c r="AA553" i="3"/>
  <c r="J553" i="3" s="1"/>
  <c r="AM553" i="3" s="1"/>
  <c r="AA557" i="3"/>
  <c r="J557" i="3" s="1"/>
  <c r="AM557" i="3" s="1"/>
  <c r="AA561" i="3"/>
  <c r="AA565" i="3"/>
  <c r="AA569" i="3"/>
  <c r="AA573" i="3"/>
  <c r="AA577" i="3"/>
  <c r="J577" i="3" s="1"/>
  <c r="AM577" i="3" s="1"/>
  <c r="AA581" i="3"/>
  <c r="J581" i="3" s="1"/>
  <c r="AM581" i="3" s="1"/>
  <c r="AA585" i="3"/>
  <c r="AA589" i="3"/>
  <c r="AA593" i="3"/>
  <c r="AA597" i="3"/>
  <c r="AA601" i="3"/>
  <c r="AA605" i="3"/>
  <c r="J605" i="3" s="1"/>
  <c r="AM605" i="3" s="1"/>
  <c r="AA609" i="3"/>
  <c r="AA613" i="3"/>
  <c r="J613" i="3" s="1"/>
  <c r="AM613" i="3" s="1"/>
  <c r="AA617" i="3"/>
  <c r="AA621" i="3"/>
  <c r="J621" i="3" s="1"/>
  <c r="AM621" i="3" s="1"/>
  <c r="AA625" i="3"/>
  <c r="AA629" i="3"/>
  <c r="AA633" i="3"/>
  <c r="AA637" i="3"/>
  <c r="J637" i="3" s="1"/>
  <c r="AM637" i="3" s="1"/>
  <c r="AA641" i="3"/>
  <c r="J641" i="3" s="1"/>
  <c r="AM641" i="3" s="1"/>
  <c r="AA645" i="3"/>
  <c r="J645" i="3" s="1"/>
  <c r="AM645" i="3" s="1"/>
  <c r="AA649" i="3"/>
  <c r="AA653" i="3"/>
  <c r="AA657" i="3"/>
  <c r="AA661" i="3"/>
  <c r="J661" i="3" s="1"/>
  <c r="AM661" i="3" s="1"/>
  <c r="AA665" i="3"/>
  <c r="AA669" i="3"/>
  <c r="J669" i="3" s="1"/>
  <c r="AM669" i="3" s="1"/>
  <c r="AA673" i="3"/>
  <c r="AA696" i="3"/>
  <c r="J696" i="3" s="1"/>
  <c r="AM696" i="3" s="1"/>
  <c r="AA715" i="3"/>
  <c r="J715" i="3" s="1"/>
  <c r="AM715" i="3" s="1"/>
  <c r="AA719" i="3"/>
  <c r="AA723" i="3"/>
  <c r="AA727" i="3"/>
  <c r="J727" i="3" s="1"/>
  <c r="AM727" i="3" s="1"/>
  <c r="AA731" i="3"/>
  <c r="AA735" i="3"/>
  <c r="AA739" i="3"/>
  <c r="AA743" i="3"/>
  <c r="J743" i="3" s="1"/>
  <c r="AM743" i="3" s="1"/>
  <c r="AA747" i="3"/>
  <c r="J747" i="3" s="1"/>
  <c r="AM747" i="3" s="1"/>
  <c r="AA751" i="3"/>
  <c r="J751" i="3" s="1"/>
  <c r="AM751" i="3" s="1"/>
  <c r="AA755" i="3"/>
  <c r="AA759" i="3"/>
  <c r="J759" i="3" s="1"/>
  <c r="AM759" i="3" s="1"/>
  <c r="AA763" i="3"/>
  <c r="AA767" i="3"/>
  <c r="J767" i="3" s="1"/>
  <c r="AM767" i="3" s="1"/>
  <c r="AA771" i="3"/>
  <c r="AA775" i="3"/>
  <c r="J775" i="3" s="1"/>
  <c r="AM775" i="3" s="1"/>
  <c r="AA779" i="3"/>
  <c r="AA783" i="3"/>
  <c r="J783" i="3" s="1"/>
  <c r="AM783" i="3" s="1"/>
  <c r="AA787" i="3"/>
  <c r="AA791" i="3"/>
  <c r="J791" i="3" s="1"/>
  <c r="AM791" i="3" s="1"/>
  <c r="AA795" i="3"/>
  <c r="AA859" i="3"/>
  <c r="AA863" i="3"/>
  <c r="J863" i="3" s="1"/>
  <c r="AM863" i="3" s="1"/>
  <c r="AA867" i="3"/>
  <c r="J867" i="3" s="1"/>
  <c r="AM867" i="3" s="1"/>
  <c r="AA871" i="3"/>
  <c r="J871" i="3" s="1"/>
  <c r="AM871" i="3" s="1"/>
  <c r="AA875" i="3"/>
  <c r="J875" i="3" s="1"/>
  <c r="AM875" i="3" s="1"/>
  <c r="AA879" i="3"/>
  <c r="AA883" i="3"/>
  <c r="J883" i="3" s="1"/>
  <c r="AM883" i="3" s="1"/>
  <c r="AA887" i="3"/>
  <c r="AA891" i="3"/>
  <c r="J891" i="3" s="1"/>
  <c r="AM891" i="3" s="1"/>
  <c r="AA895" i="3"/>
  <c r="AA899" i="3"/>
  <c r="AA712" i="3"/>
  <c r="AA708" i="3"/>
  <c r="J708" i="3" s="1"/>
  <c r="AM708" i="3" s="1"/>
  <c r="AA704" i="3"/>
  <c r="AA699" i="3"/>
  <c r="J699" i="3" s="1"/>
  <c r="AM699" i="3" s="1"/>
  <c r="AA694" i="3"/>
  <c r="AA689" i="3"/>
  <c r="J689" i="3" s="1"/>
  <c r="AM689" i="3" s="1"/>
  <c r="AA685" i="3"/>
  <c r="AA681" i="3"/>
  <c r="J681" i="3" s="1"/>
  <c r="AM681" i="3" s="1"/>
  <c r="AA677" i="3"/>
  <c r="AA904" i="3"/>
  <c r="J904" i="3" s="1"/>
  <c r="AM904" i="3" s="1"/>
  <c r="AA908" i="3"/>
  <c r="AA912" i="3"/>
  <c r="AA916" i="3"/>
  <c r="AA920" i="3"/>
  <c r="J920" i="3" s="1"/>
  <c r="AM920" i="3" s="1"/>
  <c r="AA800" i="3"/>
  <c r="AA804" i="3"/>
  <c r="AA808" i="3"/>
  <c r="AA812" i="3"/>
  <c r="J812" i="3" s="1"/>
  <c r="AM812" i="3" s="1"/>
  <c r="AA822" i="3"/>
  <c r="AA818" i="3"/>
  <c r="J818" i="3" s="1"/>
  <c r="AM818" i="3" s="1"/>
  <c r="AA823" i="3"/>
  <c r="AA839" i="3"/>
  <c r="J839" i="3" s="1"/>
  <c r="AM839" i="3" s="1"/>
  <c r="AA828" i="3"/>
  <c r="J828" i="3" s="1"/>
  <c r="AM828" i="3" s="1"/>
  <c r="AA829" i="3"/>
  <c r="J829" i="3" s="1"/>
  <c r="AM829" i="3" s="1"/>
  <c r="AA827" i="3"/>
  <c r="I254" i="3"/>
  <c r="AA311" i="3"/>
  <c r="AA334" i="3"/>
  <c r="AA304" i="3"/>
  <c r="AA348" i="3"/>
  <c r="AA363" i="3"/>
  <c r="AA366" i="3"/>
  <c r="AA370" i="3"/>
  <c r="J370" i="3" s="1"/>
  <c r="AM370" i="3" s="1"/>
  <c r="AA371" i="3"/>
  <c r="J371" i="3" s="1"/>
  <c r="AM371" i="3" s="1"/>
  <c r="AA392" i="3"/>
  <c r="AA408" i="3"/>
  <c r="AA410" i="3"/>
  <c r="AA418" i="3"/>
  <c r="AA426" i="3"/>
  <c r="AA434" i="3"/>
  <c r="AA442" i="3"/>
  <c r="AA272" i="3"/>
  <c r="AA131" i="3"/>
  <c r="AA24" i="3"/>
  <c r="AA228" i="3"/>
  <c r="AA133" i="3"/>
  <c r="AA91" i="3"/>
  <c r="AA65" i="3"/>
  <c r="AA41" i="3"/>
  <c r="AA30" i="3"/>
  <c r="AA241" i="3"/>
  <c r="AA147" i="3"/>
  <c r="AA174" i="3"/>
  <c r="AA202" i="3"/>
  <c r="AA310" i="3"/>
  <c r="AA315" i="3"/>
  <c r="AA329" i="3"/>
  <c r="AA323" i="3"/>
  <c r="AA305" i="3"/>
  <c r="AA332" i="3"/>
  <c r="AA309" i="3"/>
  <c r="AA341" i="3"/>
  <c r="AA349" i="3"/>
  <c r="AA342" i="3"/>
  <c r="AA335" i="3"/>
  <c r="AA360" i="3"/>
  <c r="AA362" i="3"/>
  <c r="AA352" i="3"/>
  <c r="AA364" i="3"/>
  <c r="AA380" i="3"/>
  <c r="J380" i="3" s="1"/>
  <c r="AM380" i="3" s="1"/>
  <c r="AA382" i="3"/>
  <c r="AA391" i="3"/>
  <c r="AA373" i="3"/>
  <c r="AA387" i="3"/>
  <c r="J387" i="3" s="1"/>
  <c r="AM387" i="3" s="1"/>
  <c r="AA372" i="3"/>
  <c r="J372" i="3" s="1"/>
  <c r="AM372" i="3" s="1"/>
  <c r="AA399" i="3"/>
  <c r="AA394" i="3"/>
  <c r="J394" i="3" s="1"/>
  <c r="AM394" i="3" s="1"/>
  <c r="AA407" i="3"/>
  <c r="J407" i="3" s="1"/>
  <c r="AM407" i="3" s="1"/>
  <c r="AA403" i="3"/>
  <c r="J403" i="3" s="1"/>
  <c r="AM403" i="3" s="1"/>
  <c r="AA411" i="3"/>
  <c r="AA415" i="3"/>
  <c r="AA419" i="3"/>
  <c r="AA423" i="3"/>
  <c r="AA427" i="3"/>
  <c r="AA431" i="3"/>
  <c r="AA435" i="3"/>
  <c r="AA439" i="3"/>
  <c r="AA444" i="3"/>
  <c r="AA448" i="3"/>
  <c r="AA191" i="3"/>
  <c r="AA117" i="3"/>
  <c r="AA22" i="3"/>
  <c r="AA118" i="3"/>
  <c r="AA229" i="3"/>
  <c r="AA42" i="3"/>
  <c r="AA53" i="3"/>
  <c r="AA73" i="3"/>
  <c r="AA103" i="3"/>
  <c r="AA4" i="3"/>
  <c r="AA224" i="3"/>
  <c r="AA154" i="3"/>
  <c r="AA111" i="3"/>
  <c r="AA80" i="3"/>
  <c r="AA146" i="3"/>
  <c r="AA61" i="3"/>
  <c r="AA50" i="3"/>
  <c r="AA116" i="3"/>
  <c r="AA200" i="3"/>
  <c r="AA248" i="3"/>
  <c r="AA327" i="3"/>
  <c r="AA320" i="3"/>
  <c r="AA319" i="3"/>
  <c r="AA337" i="3"/>
  <c r="AA347" i="3"/>
  <c r="AA351" i="3"/>
  <c r="AA378" i="3"/>
  <c r="J378" i="3" s="1"/>
  <c r="AM378" i="3" s="1"/>
  <c r="AA388" i="3"/>
  <c r="J388" i="3" s="1"/>
  <c r="AM388" i="3" s="1"/>
  <c r="AA385" i="3"/>
  <c r="AA395" i="3"/>
  <c r="J395" i="3" s="1"/>
  <c r="AM395" i="3" s="1"/>
  <c r="AA404" i="3"/>
  <c r="AA414" i="3"/>
  <c r="AA422" i="3"/>
  <c r="AA430" i="3"/>
  <c r="AA438" i="3"/>
  <c r="AA447" i="3"/>
  <c r="AA94" i="3"/>
  <c r="AA122" i="3"/>
  <c r="AA151" i="3"/>
  <c r="AA120" i="3"/>
  <c r="AA152" i="3"/>
  <c r="AA55" i="3"/>
  <c r="AA104" i="3"/>
  <c r="AA27" i="3"/>
  <c r="AA21" i="3"/>
  <c r="AA126" i="3"/>
  <c r="AA105" i="3"/>
  <c r="AA98" i="3"/>
  <c r="AA235" i="3"/>
  <c r="AA234" i="3"/>
  <c r="AA187" i="3"/>
  <c r="AA318" i="3"/>
  <c r="AA326" i="3"/>
  <c r="AA308" i="3"/>
  <c r="AA321" i="3"/>
  <c r="AA312" i="3"/>
  <c r="AA330" i="3"/>
  <c r="AA313" i="3"/>
  <c r="AA328" i="3"/>
  <c r="AA343" i="3"/>
  <c r="AA338" i="3"/>
  <c r="AA345" i="3"/>
  <c r="AA339" i="3"/>
  <c r="AA359" i="3"/>
  <c r="AA355" i="3"/>
  <c r="AA357" i="3"/>
  <c r="AA353" i="3"/>
  <c r="AA365" i="3"/>
  <c r="AA377" i="3"/>
  <c r="J377" i="3" s="1"/>
  <c r="AM377" i="3" s="1"/>
  <c r="AA384" i="3"/>
  <c r="AA374" i="3"/>
  <c r="J374" i="3" s="1"/>
  <c r="AM374" i="3" s="1"/>
  <c r="AA381" i="3"/>
  <c r="J381" i="3" s="1"/>
  <c r="AM381" i="3" s="1"/>
  <c r="AA389" i="3"/>
  <c r="AA400" i="3"/>
  <c r="J400" i="3" s="1"/>
  <c r="AM400" i="3" s="1"/>
  <c r="AA398" i="3"/>
  <c r="AA393" i="3"/>
  <c r="J393" i="3" s="1"/>
  <c r="AM393" i="3" s="1"/>
  <c r="AA406" i="3"/>
  <c r="J406" i="3" s="1"/>
  <c r="AM406" i="3" s="1"/>
  <c r="AA402" i="3"/>
  <c r="J402" i="3" s="1"/>
  <c r="AM402" i="3" s="1"/>
  <c r="AA412" i="3"/>
  <c r="AA416" i="3"/>
  <c r="AA420" i="3"/>
  <c r="AA424" i="3"/>
  <c r="AA428" i="3"/>
  <c r="AA432" i="3"/>
  <c r="AA436" i="3"/>
  <c r="AA440" i="3"/>
  <c r="AA445" i="3"/>
  <c r="AA449" i="3"/>
  <c r="J449" i="3" s="1"/>
  <c r="AM449" i="3" s="1"/>
  <c r="AA155" i="3"/>
  <c r="AA26" i="3"/>
  <c r="AA37" i="3"/>
  <c r="AA87" i="3"/>
  <c r="AA181" i="3"/>
  <c r="AA54" i="3"/>
  <c r="AA62" i="3"/>
  <c r="AA84" i="3"/>
  <c r="AA113" i="3"/>
  <c r="AA5" i="3"/>
  <c r="AA140" i="3"/>
  <c r="AA72" i="3"/>
  <c r="AA64" i="3"/>
  <c r="AA121" i="3"/>
  <c r="AA32" i="3"/>
  <c r="AA92" i="3"/>
  <c r="AA11" i="3"/>
  <c r="AA74" i="3"/>
  <c r="AA139" i="3"/>
  <c r="AA63" i="3"/>
  <c r="AA128" i="3"/>
  <c r="AA205" i="3"/>
  <c r="AA252" i="3"/>
  <c r="AA68" i="3"/>
  <c r="AA125" i="3"/>
  <c r="AA36" i="3"/>
  <c r="AA96" i="3"/>
  <c r="AA20" i="3"/>
  <c r="AA78" i="3"/>
  <c r="AA143" i="3"/>
  <c r="AA67" i="3"/>
  <c r="AA132" i="3"/>
  <c r="AA177" i="3"/>
  <c r="AA284" i="3"/>
  <c r="AA157" i="3"/>
  <c r="AA40" i="3"/>
  <c r="AA75" i="3"/>
  <c r="AA306" i="3"/>
  <c r="AA307" i="3"/>
  <c r="AA340" i="3"/>
  <c r="AA356" i="3"/>
  <c r="AA369" i="3"/>
  <c r="AA375" i="3"/>
  <c r="AA317" i="3"/>
  <c r="AA314" i="3"/>
  <c r="AA322" i="3"/>
  <c r="AA325" i="3"/>
  <c r="AA331" i="3"/>
  <c r="AA324" i="3"/>
  <c r="AA333" i="3"/>
  <c r="AA316" i="3"/>
  <c r="AA346" i="3"/>
  <c r="AA350" i="3"/>
  <c r="AA344" i="3"/>
  <c r="AA336" i="3"/>
  <c r="AA358" i="3"/>
  <c r="AA361" i="3"/>
  <c r="AA354" i="3"/>
  <c r="AA367" i="3"/>
  <c r="AA368" i="3"/>
  <c r="AA379" i="3"/>
  <c r="J379" i="3" s="1"/>
  <c r="AM379" i="3" s="1"/>
  <c r="AA386" i="3"/>
  <c r="AA376" i="3"/>
  <c r="AA383" i="3"/>
  <c r="J383" i="3" s="1"/>
  <c r="AM383" i="3" s="1"/>
  <c r="AA390" i="3"/>
  <c r="AA396" i="3"/>
  <c r="J396" i="3" s="1"/>
  <c r="AM396" i="3" s="1"/>
  <c r="AA397" i="3"/>
  <c r="AA409" i="3"/>
  <c r="AA405" i="3"/>
  <c r="J405" i="3" s="1"/>
  <c r="AM405" i="3" s="1"/>
  <c r="AA401" i="3"/>
  <c r="J401" i="3" s="1"/>
  <c r="AM401" i="3" s="1"/>
  <c r="AA413" i="3"/>
  <c r="AA417" i="3"/>
  <c r="AA421" i="3"/>
  <c r="AA425" i="3"/>
  <c r="AA429" i="3"/>
  <c r="AA433" i="3"/>
  <c r="AA437" i="3"/>
  <c r="AA441" i="3"/>
  <c r="AA446" i="3"/>
  <c r="AA450" i="3"/>
  <c r="AA124" i="3"/>
  <c r="AA135" i="3"/>
  <c r="AA9" i="3"/>
  <c r="AA28" i="3"/>
  <c r="AA6" i="3"/>
  <c r="AA7" i="3"/>
  <c r="AA33" i="3"/>
  <c r="AA56" i="3"/>
  <c r="AA83" i="3"/>
  <c r="AA160" i="3"/>
  <c r="AA110" i="3"/>
  <c r="AA119" i="3"/>
  <c r="AA138" i="3"/>
  <c r="AA8" i="3"/>
  <c r="AA47" i="3"/>
  <c r="AA198" i="3"/>
  <c r="AA18" i="3"/>
  <c r="AA3" i="3"/>
  <c r="AA141" i="3"/>
  <c r="AA52" i="3"/>
  <c r="AA114" i="3"/>
  <c r="AA29" i="3"/>
  <c r="AA93" i="3"/>
  <c r="AA10" i="3"/>
  <c r="AA86" i="3"/>
  <c r="AA150" i="3"/>
  <c r="AA231" i="3"/>
  <c r="AA170" i="3"/>
  <c r="AA136" i="3"/>
  <c r="AA70" i="3"/>
  <c r="AA106" i="3"/>
  <c r="AA38" i="3"/>
  <c r="AA115" i="3"/>
  <c r="AA49" i="3"/>
  <c r="AA134" i="3"/>
  <c r="AA71" i="3"/>
  <c r="AA17" i="3"/>
  <c r="AA99" i="3"/>
  <c r="AA39" i="3"/>
  <c r="AA35" i="3"/>
  <c r="AA101" i="3"/>
  <c r="AA60" i="3"/>
  <c r="AA102" i="3"/>
  <c r="AA34" i="3"/>
  <c r="AA109" i="3"/>
  <c r="AA45" i="3"/>
  <c r="AA130" i="3"/>
  <c r="AA69" i="3"/>
  <c r="AA19" i="3"/>
  <c r="AA95" i="3"/>
  <c r="AA79" i="3"/>
  <c r="AA13" i="3"/>
  <c r="AA85" i="3"/>
  <c r="AA44" i="3"/>
  <c r="AA144" i="3"/>
  <c r="AA82" i="3"/>
  <c r="AA153" i="3"/>
  <c r="AA89" i="3"/>
  <c r="AA25" i="3"/>
  <c r="AA108" i="3"/>
  <c r="AA48" i="3"/>
  <c r="AA137" i="3"/>
  <c r="AA76" i="3"/>
  <c r="AA149" i="3"/>
  <c r="AA302" i="3"/>
  <c r="AA291" i="3"/>
  <c r="AA269" i="3"/>
  <c r="AA230" i="3"/>
  <c r="AA240" i="3"/>
  <c r="AA251" i="3"/>
  <c r="AA278" i="3"/>
  <c r="AA208" i="3"/>
  <c r="AA180" i="3"/>
  <c r="AA237" i="3"/>
  <c r="AA260" i="3"/>
  <c r="AA300" i="3"/>
  <c r="AA245" i="3"/>
  <c r="AA161" i="3"/>
  <c r="AA173" i="3"/>
  <c r="AA184" i="3"/>
  <c r="AA210" i="3"/>
  <c r="AA257" i="3"/>
  <c r="AA212" i="3"/>
  <c r="AA280" i="3"/>
  <c r="AA211" i="3"/>
  <c r="AA168" i="3"/>
  <c r="AA169" i="3"/>
  <c r="AA221" i="3"/>
  <c r="AA207" i="3"/>
  <c r="AA287" i="3"/>
  <c r="AA244" i="3"/>
  <c r="AA298" i="3"/>
  <c r="AA204" i="3"/>
  <c r="AA209" i="3"/>
  <c r="AA223" i="3"/>
  <c r="AA201" i="3"/>
  <c r="AA299" i="3"/>
  <c r="AA270" i="3"/>
  <c r="AA162" i="3"/>
  <c r="AA301" i="3"/>
  <c r="AA261" i="3"/>
  <c r="AA242" i="3"/>
  <c r="AA266" i="3"/>
  <c r="AA216" i="3"/>
  <c r="AA243" i="3"/>
  <c r="AA215" i="3"/>
  <c r="AA148" i="3"/>
  <c r="AA163" i="3"/>
  <c r="AA239" i="3"/>
  <c r="AA285" i="3"/>
  <c r="AA222" i="3"/>
  <c r="AA271" i="3"/>
  <c r="AA206" i="3"/>
  <c r="AA255" i="3"/>
  <c r="AA226" i="3"/>
  <c r="AA259" i="3"/>
  <c r="AA166" i="3"/>
  <c r="AA15" i="3"/>
  <c r="AA172" i="3"/>
  <c r="AA247" i="3"/>
  <c r="AA217" i="3"/>
  <c r="AA236" i="3"/>
  <c r="AA288" i="3"/>
  <c r="AA275" i="3"/>
  <c r="AA220" i="3"/>
  <c r="AA264" i="3"/>
  <c r="AA227" i="3"/>
  <c r="AA167" i="3"/>
  <c r="AA283" i="3"/>
  <c r="AA292" i="3"/>
  <c r="AA294" i="3"/>
  <c r="AA273" i="3"/>
  <c r="AA256" i="3"/>
  <c r="AA195" i="3"/>
  <c r="AA165" i="3"/>
  <c r="AA218" i="3"/>
  <c r="AA290" i="3"/>
  <c r="AA258" i="3"/>
  <c r="AA171" i="3"/>
  <c r="AA213" i="3"/>
  <c r="AA194" i="3"/>
  <c r="AA159" i="3"/>
  <c r="AA182" i="3"/>
  <c r="X2" i="3"/>
  <c r="E52" i="1"/>
  <c r="AF1293" i="3" s="1"/>
  <c r="E46" i="1"/>
  <c r="E3" i="1"/>
  <c r="E141" i="1"/>
  <c r="AF1362" i="3" s="1"/>
  <c r="E62" i="1"/>
  <c r="AF1269" i="3" s="1"/>
  <c r="E161" i="1"/>
  <c r="AF1298" i="3" s="1"/>
  <c r="E158" i="1"/>
  <c r="AF855" i="3" s="1"/>
  <c r="E132" i="1"/>
  <c r="E60" i="1"/>
  <c r="AF1383" i="3" s="1"/>
  <c r="E10" i="1"/>
  <c r="E51" i="1"/>
  <c r="E151" i="1"/>
  <c r="E33" i="1"/>
  <c r="E17" i="1"/>
  <c r="E7" i="1"/>
  <c r="E65" i="1"/>
  <c r="E157" i="1"/>
  <c r="E160" i="1"/>
  <c r="AF1332" i="3" s="1"/>
  <c r="E178" i="1"/>
  <c r="E30" i="1"/>
  <c r="AF1083" i="3" s="1"/>
  <c r="E195" i="1"/>
  <c r="E135" i="1"/>
  <c r="E6" i="1"/>
  <c r="E8" i="1"/>
  <c r="AF1365" i="3" s="1"/>
  <c r="E34" i="1"/>
  <c r="E38" i="1"/>
  <c r="E45" i="1"/>
  <c r="E26" i="1"/>
  <c r="E2" i="1"/>
  <c r="AF1367" i="3" s="1"/>
  <c r="E11" i="1"/>
  <c r="AF768" i="3" s="1"/>
  <c r="E16" i="1"/>
  <c r="E175" i="1"/>
  <c r="E71" i="1"/>
  <c r="E194" i="1"/>
  <c r="AF759" i="3" s="1"/>
  <c r="E134" i="1"/>
  <c r="E130" i="1"/>
  <c r="E61" i="1"/>
  <c r="E155" i="1"/>
  <c r="E159" i="1"/>
  <c r="E150" i="1"/>
  <c r="AF1391" i="3" s="1"/>
  <c r="E152" i="1"/>
  <c r="E163" i="1"/>
  <c r="AF1196" i="3" s="1"/>
  <c r="E171" i="1"/>
  <c r="AF1234" i="3" s="1"/>
  <c r="E63" i="1"/>
  <c r="E128" i="1"/>
  <c r="E136" i="1"/>
  <c r="E42" i="1"/>
  <c r="AF1359" i="3" s="1"/>
  <c r="E188" i="1"/>
  <c r="E103" i="1"/>
  <c r="E53" i="1"/>
  <c r="AF1358" i="3" s="1"/>
  <c r="E44" i="1"/>
  <c r="AF839" i="3" s="1"/>
  <c r="E29" i="1"/>
  <c r="E49" i="1"/>
  <c r="E14" i="1"/>
  <c r="AF1338" i="3" s="1"/>
  <c r="E199" i="1"/>
  <c r="E55" i="1"/>
  <c r="E54" i="1"/>
  <c r="E198" i="1"/>
  <c r="E182" i="1"/>
  <c r="E12" i="1"/>
  <c r="E50" i="1"/>
  <c r="E41" i="1"/>
  <c r="AF1344" i="3" s="1"/>
  <c r="E172" i="1"/>
  <c r="E142" i="1"/>
  <c r="E59" i="1"/>
  <c r="E24" i="1"/>
  <c r="E13" i="1"/>
  <c r="E4" i="1"/>
  <c r="E37" i="1"/>
  <c r="E18" i="1"/>
  <c r="AF1382" i="3" s="1"/>
  <c r="E25" i="1"/>
  <c r="AF1349" i="3" s="1"/>
  <c r="E145" i="1"/>
  <c r="AF1335" i="3" s="1"/>
  <c r="E183" i="1"/>
  <c r="AF1302" i="3" s="1"/>
  <c r="E15" i="1"/>
  <c r="AF846" i="3" s="1"/>
  <c r="E189" i="1"/>
  <c r="AF1384" i="3" s="1"/>
  <c r="E43" i="1"/>
  <c r="AF1380" i="3" s="1"/>
  <c r="E70" i="1"/>
  <c r="AF1361" i="3" s="1"/>
  <c r="E133" i="1"/>
  <c r="E129" i="1"/>
  <c r="E64" i="1"/>
  <c r="E164" i="1"/>
  <c r="E162" i="1"/>
  <c r="E154" i="1"/>
  <c r="E72" i="1"/>
  <c r="E66" i="1"/>
  <c r="E156" i="1"/>
  <c r="E131" i="1"/>
  <c r="E67" i="1"/>
  <c r="E153" i="1"/>
  <c r="AF1375" i="3" s="1"/>
  <c r="AF404" i="3" l="1"/>
  <c r="AF1390" i="3"/>
  <c r="AF1272" i="3"/>
  <c r="AF1385" i="3"/>
  <c r="AF1378" i="3"/>
  <c r="AF1381" i="3"/>
  <c r="AF1104" i="3"/>
  <c r="AF1379" i="3"/>
  <c r="AF1278" i="3"/>
  <c r="AF1377" i="3"/>
  <c r="AF1372" i="3"/>
  <c r="AF1376" i="3"/>
  <c r="AF1297" i="3"/>
  <c r="AF1373" i="3"/>
  <c r="AF1181" i="3"/>
  <c r="AF1368" i="3"/>
  <c r="AF1282" i="3"/>
  <c r="AF1360" i="3"/>
  <c r="AF1271" i="3"/>
  <c r="AF1363" i="3"/>
  <c r="AF1371" i="3"/>
  <c r="AF1370" i="3"/>
  <c r="AF1366" i="3"/>
  <c r="AF1364" i="3"/>
  <c r="AF1342" i="3"/>
  <c r="AF1343" i="3"/>
  <c r="AF1231" i="3"/>
  <c r="AF1340" i="3"/>
  <c r="AN959" i="3"/>
  <c r="AO959" i="3" s="1"/>
  <c r="AP959" i="3" s="1"/>
  <c r="AN935" i="3"/>
  <c r="AO935" i="3" s="1"/>
  <c r="AP935" i="3" s="1"/>
  <c r="AN956" i="3"/>
  <c r="AO956" i="3" s="1"/>
  <c r="AP956" i="3" s="1"/>
  <c r="AN946" i="3"/>
  <c r="AO946" i="3" s="1"/>
  <c r="AP946" i="3" s="1"/>
  <c r="AN986" i="3"/>
  <c r="AO986" i="3" s="1"/>
  <c r="AP986" i="3" s="1"/>
  <c r="AN982" i="3"/>
  <c r="AO982" i="3" s="1"/>
  <c r="AP982" i="3" s="1"/>
  <c r="AN970" i="3"/>
  <c r="AO970" i="3" s="1"/>
  <c r="AP970" i="3" s="1"/>
  <c r="AN954" i="3"/>
  <c r="AO954" i="3" s="1"/>
  <c r="AP954" i="3" s="1"/>
  <c r="AN934" i="3"/>
  <c r="AO934" i="3" s="1"/>
  <c r="AP934" i="3" s="1"/>
  <c r="AN963" i="3"/>
  <c r="AO963" i="3" s="1"/>
  <c r="AP963" i="3" s="1"/>
  <c r="AN856" i="3"/>
  <c r="AO856" i="3" s="1"/>
  <c r="AP856" i="3" s="1"/>
  <c r="AN848" i="3"/>
  <c r="AO848" i="3" s="1"/>
  <c r="AP848" i="3" s="1"/>
  <c r="AN965" i="3"/>
  <c r="AO965" i="3" s="1"/>
  <c r="AP965" i="3" s="1"/>
  <c r="AN950" i="3"/>
  <c r="AO950" i="3" s="1"/>
  <c r="AP950" i="3" s="1"/>
  <c r="AN977" i="3"/>
  <c r="AO977" i="3" s="1"/>
  <c r="AP977" i="3" s="1"/>
  <c r="AN842" i="3"/>
  <c r="AO842" i="3" s="1"/>
  <c r="AP842" i="3" s="1"/>
  <c r="AN933" i="3"/>
  <c r="AO933" i="3" s="1"/>
  <c r="AP933" i="3" s="1"/>
  <c r="AF1336" i="3"/>
  <c r="AF1337" i="3"/>
  <c r="AF1246" i="3"/>
  <c r="AF1334" i="3"/>
  <c r="AF1330" i="3"/>
  <c r="AF1333" i="3"/>
  <c r="AF1329" i="3"/>
  <c r="AF1331" i="3"/>
  <c r="AF1327" i="3"/>
  <c r="AF1328" i="3"/>
  <c r="AF1319" i="3"/>
  <c r="AF1326" i="3"/>
  <c r="AF1315" i="3"/>
  <c r="AF1323" i="3"/>
  <c r="AF1321" i="3"/>
  <c r="AF1322" i="3"/>
  <c r="AF1207" i="3"/>
  <c r="AF1320" i="3"/>
  <c r="AF1317" i="3"/>
  <c r="AF1318" i="3"/>
  <c r="AF1251" i="3"/>
  <c r="AF1316" i="3"/>
  <c r="AF1307" i="3"/>
  <c r="AF1314" i="3"/>
  <c r="AF1309" i="3"/>
  <c r="AF1313" i="3"/>
  <c r="AF1306" i="3"/>
  <c r="AF1308" i="3"/>
  <c r="AF1265" i="3"/>
  <c r="AF1304" i="3"/>
  <c r="AF767" i="3"/>
  <c r="AF1301" i="3"/>
  <c r="AF1296" i="3"/>
  <c r="AF1299" i="3"/>
  <c r="AF1291" i="3"/>
  <c r="AF1292" i="3"/>
  <c r="AF1289" i="3"/>
  <c r="AF1290" i="3"/>
  <c r="AF1283" i="3"/>
  <c r="AF1284" i="3"/>
  <c r="AF1280" i="3"/>
  <c r="AF1281" i="3"/>
  <c r="AF1162" i="3"/>
  <c r="AF1277" i="3"/>
  <c r="AF1161" i="3"/>
  <c r="AF1276" i="3"/>
  <c r="AF1160" i="3"/>
  <c r="AF1275" i="3"/>
  <c r="AF950" i="3"/>
  <c r="AF1273" i="3"/>
  <c r="AF974" i="3"/>
  <c r="AF1270" i="3"/>
  <c r="AF941" i="3"/>
  <c r="AF1268" i="3"/>
  <c r="AF854" i="3"/>
  <c r="AF1267" i="3"/>
  <c r="AF951" i="3"/>
  <c r="AF1266" i="3"/>
  <c r="AF1261" i="3"/>
  <c r="AF1264" i="3"/>
  <c r="AF1258" i="3"/>
  <c r="AF1262" i="3"/>
  <c r="AF1238" i="3"/>
  <c r="AF1260" i="3"/>
  <c r="AF1253" i="3"/>
  <c r="AF1259" i="3"/>
  <c r="AF1232" i="3"/>
  <c r="AF1257" i="3"/>
  <c r="AF1255" i="3"/>
  <c r="AF1256" i="3"/>
  <c r="AF1233" i="3"/>
  <c r="AF1254" i="3"/>
  <c r="AF1249" i="3"/>
  <c r="AF1250" i="3"/>
  <c r="AF1241" i="3"/>
  <c r="AF1245" i="3"/>
  <c r="AF780" i="3"/>
  <c r="AF1240" i="3"/>
  <c r="AF1172" i="3"/>
  <c r="AF1239" i="3"/>
  <c r="AF1236" i="3"/>
  <c r="AF1237" i="3"/>
  <c r="AF1230" i="3"/>
  <c r="AF1235" i="3"/>
  <c r="AF1228" i="3"/>
  <c r="AF1229" i="3"/>
  <c r="AF1225" i="3"/>
  <c r="AF1226" i="3"/>
  <c r="AF1115" i="3"/>
  <c r="AF1224" i="3"/>
  <c r="AF510" i="3"/>
  <c r="AF1223" i="3"/>
  <c r="AF1220" i="3"/>
  <c r="AF1222" i="3"/>
  <c r="AF1217" i="3"/>
  <c r="AF1221" i="3"/>
  <c r="AF1218" i="3"/>
  <c r="AF1219" i="3"/>
  <c r="AF1215" i="3"/>
  <c r="AF1216" i="3"/>
  <c r="AF1211" i="3"/>
  <c r="AF1214" i="3"/>
  <c r="AF1188" i="3"/>
  <c r="AF1213" i="3"/>
  <c r="AF774" i="3"/>
  <c r="AF1212" i="3"/>
  <c r="AF1209" i="3"/>
  <c r="AF1210" i="3"/>
  <c r="AF1206" i="3"/>
  <c r="AF1208" i="3"/>
  <c r="AF1153" i="3"/>
  <c r="AF1205" i="3"/>
  <c r="AF1201" i="3"/>
  <c r="AF1202" i="3"/>
  <c r="AF1154" i="3"/>
  <c r="AF1200" i="3"/>
  <c r="AF1198" i="3"/>
  <c r="AF1199" i="3"/>
  <c r="AF1194" i="3"/>
  <c r="AF1195" i="3"/>
  <c r="AF1183" i="3"/>
  <c r="AF1193" i="3"/>
  <c r="AF1190" i="3"/>
  <c r="AF1191" i="3"/>
  <c r="AF1178" i="3"/>
  <c r="AF1187" i="3"/>
  <c r="AF1180" i="3"/>
  <c r="AF1166" i="3"/>
  <c r="AF1179" i="3"/>
  <c r="AF1116" i="3"/>
  <c r="AF1175" i="3"/>
  <c r="AF926" i="3"/>
  <c r="AF1174" i="3"/>
  <c r="AF1148" i="3"/>
  <c r="AF1173" i="3"/>
  <c r="AF1092" i="3"/>
  <c r="AF1171" i="3"/>
  <c r="AF1165" i="3"/>
  <c r="AF1169" i="3"/>
  <c r="AF1150" i="3"/>
  <c r="AF1164" i="3"/>
  <c r="AF1158" i="3"/>
  <c r="AF1159" i="3"/>
  <c r="AF1151" i="3"/>
  <c r="AF1152" i="3"/>
  <c r="AF1131" i="3"/>
  <c r="AF1149" i="3"/>
  <c r="AF1146" i="3"/>
  <c r="AF1147" i="3"/>
  <c r="AF1096" i="3"/>
  <c r="AF1138" i="3"/>
  <c r="AF1105" i="3"/>
  <c r="AF1130" i="3"/>
  <c r="AF1125" i="3"/>
  <c r="AF1129" i="3"/>
  <c r="AF1123" i="3"/>
  <c r="AF1124" i="3"/>
  <c r="AF1056" i="3"/>
  <c r="AF1122" i="3"/>
  <c r="AF1118" i="3"/>
  <c r="AF1120" i="3"/>
  <c r="AF1106" i="3"/>
  <c r="AF1117" i="3"/>
  <c r="AF1111" i="3"/>
  <c r="AF1114" i="3"/>
  <c r="AF756" i="3"/>
  <c r="AF1113" i="3"/>
  <c r="AF1046" i="3"/>
  <c r="AF1112" i="3"/>
  <c r="AF1087" i="3"/>
  <c r="AF1110" i="3"/>
  <c r="AF1108" i="3"/>
  <c r="AF1109" i="3"/>
  <c r="AF1095" i="3"/>
  <c r="AF1107" i="3"/>
  <c r="AF1048" i="3"/>
  <c r="AF1103" i="3"/>
  <c r="AF1101" i="3"/>
  <c r="AF1102" i="3"/>
  <c r="AF1099" i="3"/>
  <c r="AF1100" i="3"/>
  <c r="AF1097" i="3"/>
  <c r="AF1098" i="3"/>
  <c r="AF1093" i="3"/>
  <c r="AF1094" i="3"/>
  <c r="AF1089" i="3"/>
  <c r="AF1090" i="3"/>
  <c r="AF1060" i="3"/>
  <c r="AF1088" i="3"/>
  <c r="AF1085" i="3"/>
  <c r="AF1086" i="3"/>
  <c r="AF1079" i="3"/>
  <c r="AF1084" i="3"/>
  <c r="AF1078" i="3"/>
  <c r="AF1081" i="3"/>
  <c r="AF728" i="3"/>
  <c r="AF1080" i="3"/>
  <c r="AF1076" i="3"/>
  <c r="AF1077" i="3"/>
  <c r="AF1002" i="3"/>
  <c r="AF1072" i="3"/>
  <c r="AF1049" i="3"/>
  <c r="AF1074" i="3"/>
  <c r="AF1073" i="3"/>
  <c r="AF1051" i="3"/>
  <c r="AF1071" i="3"/>
  <c r="AF1070" i="3"/>
  <c r="AF1069" i="3"/>
  <c r="AF1050" i="3"/>
  <c r="AF1068" i="3"/>
  <c r="AF1067" i="3"/>
  <c r="AF1065" i="3"/>
  <c r="AF1059" i="3"/>
  <c r="AF1058" i="3"/>
  <c r="AF1057" i="3"/>
  <c r="AF1007" i="3"/>
  <c r="AF1054" i="3"/>
  <c r="AF1052" i="3"/>
  <c r="AF1053" i="3"/>
  <c r="AF1030" i="3"/>
  <c r="AF1047" i="3"/>
  <c r="AF1044" i="3"/>
  <c r="AF1032" i="3"/>
  <c r="AF1035" i="3"/>
  <c r="AF994" i="3"/>
  <c r="AF1031" i="3"/>
  <c r="AF1001" i="3"/>
  <c r="AF1022" i="3"/>
  <c r="AF1006" i="3"/>
  <c r="AF1027" i="3"/>
  <c r="AF1025" i="3"/>
  <c r="AF654" i="3"/>
  <c r="AF1029" i="3"/>
  <c r="AF1000" i="3"/>
  <c r="AF1024" i="3"/>
  <c r="AF1023" i="3"/>
  <c r="AF1003" i="3"/>
  <c r="AF1009" i="3"/>
  <c r="AF997" i="3"/>
  <c r="AF1013" i="3"/>
  <c r="AF1012" i="3"/>
  <c r="AF1011" i="3"/>
  <c r="AF1005" i="3"/>
  <c r="AF1014" i="3"/>
  <c r="I551" i="3"/>
  <c r="AB551" i="3"/>
  <c r="J551" i="3"/>
  <c r="AM551" i="3" s="1"/>
  <c r="AN551" i="3" s="1"/>
  <c r="AO551" i="3" s="1"/>
  <c r="AP551" i="3" s="1"/>
  <c r="AB171" i="3"/>
  <c r="J171" i="3"/>
  <c r="AM171" i="3" s="1"/>
  <c r="AB227" i="3"/>
  <c r="J227" i="3"/>
  <c r="AM227" i="3" s="1"/>
  <c r="AB226" i="3"/>
  <c r="J226" i="3"/>
  <c r="AM226" i="3" s="1"/>
  <c r="AB162" i="3"/>
  <c r="J162" i="3"/>
  <c r="AM162" i="3" s="1"/>
  <c r="AB169" i="3"/>
  <c r="J169" i="3"/>
  <c r="AM169" i="3" s="1"/>
  <c r="AB260" i="3"/>
  <c r="J260" i="3"/>
  <c r="AM260" i="3" s="1"/>
  <c r="AB130" i="3"/>
  <c r="J130" i="3"/>
  <c r="AM130" i="3" s="1"/>
  <c r="AB231" i="3"/>
  <c r="J231" i="3"/>
  <c r="AM231" i="3" s="1"/>
  <c r="AB33" i="3"/>
  <c r="J33" i="3"/>
  <c r="AM33" i="3" s="1"/>
  <c r="AB376" i="3"/>
  <c r="J376" i="3"/>
  <c r="AM376" i="3" s="1"/>
  <c r="AB307" i="3"/>
  <c r="J307" i="3"/>
  <c r="AM307" i="3" s="1"/>
  <c r="AB139" i="3"/>
  <c r="J139" i="3"/>
  <c r="AM139" i="3" s="1"/>
  <c r="AB445" i="3"/>
  <c r="J445" i="3"/>
  <c r="AM445" i="3" s="1"/>
  <c r="AB339" i="3"/>
  <c r="J339" i="3"/>
  <c r="AM339" i="3" s="1"/>
  <c r="AB438" i="3"/>
  <c r="J438" i="3"/>
  <c r="AM438" i="3" s="1"/>
  <c r="AB53" i="3"/>
  <c r="J53" i="3"/>
  <c r="AM53" i="3" s="1"/>
  <c r="AB391" i="3"/>
  <c r="J391" i="3"/>
  <c r="AM391" i="3" s="1"/>
  <c r="AB24" i="3"/>
  <c r="J24" i="3"/>
  <c r="AM24" i="3" s="1"/>
  <c r="AB629" i="3"/>
  <c r="J629" i="3"/>
  <c r="AM629" i="3" s="1"/>
  <c r="AB549" i="3"/>
  <c r="J549" i="3"/>
  <c r="AM549" i="3" s="1"/>
  <c r="AB903" i="3"/>
  <c r="J903" i="3"/>
  <c r="AM903" i="3" s="1"/>
  <c r="AB636" i="3"/>
  <c r="J636" i="3"/>
  <c r="AM636" i="3" s="1"/>
  <c r="AB453" i="3"/>
  <c r="J453" i="3"/>
  <c r="AM453" i="3" s="1"/>
  <c r="AB877" i="3"/>
  <c r="J877" i="3"/>
  <c r="AM877" i="3" s="1"/>
  <c r="AB737" i="3"/>
  <c r="J737" i="3"/>
  <c r="AM737" i="3" s="1"/>
  <c r="AB505" i="3"/>
  <c r="J505" i="3"/>
  <c r="AM505" i="3" s="1"/>
  <c r="AB451" i="3"/>
  <c r="J451" i="3"/>
  <c r="AM451" i="3" s="1"/>
  <c r="AB57" i="3"/>
  <c r="J57" i="3"/>
  <c r="AM57" i="3" s="1"/>
  <c r="AB817" i="3"/>
  <c r="J817" i="3"/>
  <c r="AM817" i="3" s="1"/>
  <c r="AB805" i="3"/>
  <c r="J805" i="3"/>
  <c r="AM805" i="3" s="1"/>
  <c r="AB703" i="3"/>
  <c r="J703" i="3"/>
  <c r="AM703" i="3" s="1"/>
  <c r="AB646" i="3"/>
  <c r="J646" i="3"/>
  <c r="AM646" i="3" s="1"/>
  <c r="AB929" i="3"/>
  <c r="J929" i="3"/>
  <c r="AM929" i="3" s="1"/>
  <c r="AB257" i="3"/>
  <c r="J257" i="3"/>
  <c r="AM257" i="3" s="1"/>
  <c r="AB3" i="3"/>
  <c r="J3" i="3"/>
  <c r="AM3" i="3" s="1"/>
  <c r="AB306" i="3"/>
  <c r="J306" i="3"/>
  <c r="AM306" i="3" s="1"/>
  <c r="AB430" i="3"/>
  <c r="J430" i="3"/>
  <c r="AM430" i="3" s="1"/>
  <c r="AB42" i="3"/>
  <c r="J42" i="3"/>
  <c r="AM42" i="3" s="1"/>
  <c r="AB423" i="3"/>
  <c r="J423" i="3"/>
  <c r="AM423" i="3" s="1"/>
  <c r="AB349" i="3"/>
  <c r="J349" i="3"/>
  <c r="AM349" i="3" s="1"/>
  <c r="AB305" i="3"/>
  <c r="J305" i="3"/>
  <c r="AM305" i="3" s="1"/>
  <c r="AB310" i="3"/>
  <c r="J310" i="3"/>
  <c r="AM310" i="3" s="1"/>
  <c r="AB241" i="3"/>
  <c r="J241" i="3"/>
  <c r="AM241" i="3" s="1"/>
  <c r="AB91" i="3"/>
  <c r="J91" i="3"/>
  <c r="AM91" i="3" s="1"/>
  <c r="AB131" i="3"/>
  <c r="J131" i="3"/>
  <c r="AM131" i="3" s="1"/>
  <c r="AB426" i="3"/>
  <c r="J426" i="3"/>
  <c r="AM426" i="3" s="1"/>
  <c r="AB392" i="3"/>
  <c r="J392" i="3"/>
  <c r="AM392" i="3" s="1"/>
  <c r="AB363" i="3"/>
  <c r="J363" i="3"/>
  <c r="AM363" i="3" s="1"/>
  <c r="AB311" i="3"/>
  <c r="J311" i="3"/>
  <c r="AM311" i="3" s="1"/>
  <c r="AB822" i="3"/>
  <c r="J822" i="3"/>
  <c r="AM822" i="3" s="1"/>
  <c r="AB800" i="3"/>
  <c r="J800" i="3"/>
  <c r="AM800" i="3" s="1"/>
  <c r="AB908" i="3"/>
  <c r="J908" i="3"/>
  <c r="AM908" i="3" s="1"/>
  <c r="AB685" i="3"/>
  <c r="J685" i="3"/>
  <c r="AM685" i="3" s="1"/>
  <c r="AB704" i="3"/>
  <c r="J704" i="3"/>
  <c r="AM704" i="3" s="1"/>
  <c r="AB895" i="3"/>
  <c r="J895" i="3"/>
  <c r="AM895" i="3" s="1"/>
  <c r="AB879" i="3"/>
  <c r="J879" i="3"/>
  <c r="AM879" i="3" s="1"/>
  <c r="AB787" i="3"/>
  <c r="J787" i="3"/>
  <c r="AM787" i="3" s="1"/>
  <c r="AB771" i="3"/>
  <c r="J771" i="3"/>
  <c r="AM771" i="3" s="1"/>
  <c r="AB755" i="3"/>
  <c r="J755" i="3"/>
  <c r="AM755" i="3" s="1"/>
  <c r="AB739" i="3"/>
  <c r="J739" i="3"/>
  <c r="AM739" i="3" s="1"/>
  <c r="AB723" i="3"/>
  <c r="J723" i="3"/>
  <c r="AM723" i="3" s="1"/>
  <c r="AB673" i="3"/>
  <c r="J673" i="3"/>
  <c r="AM673" i="3" s="1"/>
  <c r="AB657" i="3"/>
  <c r="J657" i="3"/>
  <c r="AM657" i="3" s="1"/>
  <c r="AB625" i="3"/>
  <c r="J625" i="3"/>
  <c r="AM625" i="3" s="1"/>
  <c r="AB609" i="3"/>
  <c r="J609" i="3"/>
  <c r="AM609" i="3" s="1"/>
  <c r="AB593" i="3"/>
  <c r="J593" i="3"/>
  <c r="AM593" i="3" s="1"/>
  <c r="AB561" i="3"/>
  <c r="J561" i="3"/>
  <c r="AM561" i="3" s="1"/>
  <c r="AB545" i="3"/>
  <c r="J545" i="3"/>
  <c r="AM545" i="3" s="1"/>
  <c r="AB511" i="3"/>
  <c r="J511" i="3"/>
  <c r="AM511" i="3" s="1"/>
  <c r="AB500" i="3"/>
  <c r="J500" i="3"/>
  <c r="AM500" i="3" s="1"/>
  <c r="AB460" i="3"/>
  <c r="J460" i="3"/>
  <c r="AM460" i="3" s="1"/>
  <c r="AB833" i="3"/>
  <c r="J833" i="3"/>
  <c r="AM833" i="3" s="1"/>
  <c r="AB824" i="3"/>
  <c r="J824" i="3"/>
  <c r="AM824" i="3" s="1"/>
  <c r="AB807" i="3"/>
  <c r="J807" i="3"/>
  <c r="AM807" i="3" s="1"/>
  <c r="AB915" i="3"/>
  <c r="J915" i="3"/>
  <c r="AM915" i="3" s="1"/>
  <c r="AB678" i="3"/>
  <c r="J678" i="3"/>
  <c r="AM678" i="3" s="1"/>
  <c r="AB695" i="3"/>
  <c r="J695" i="3"/>
  <c r="AM695" i="3" s="1"/>
  <c r="AB794" i="3"/>
  <c r="J794" i="3"/>
  <c r="AM794" i="3" s="1"/>
  <c r="AB762" i="3"/>
  <c r="J762" i="3"/>
  <c r="AM762" i="3" s="1"/>
  <c r="AB730" i="3"/>
  <c r="J730" i="3"/>
  <c r="AM730" i="3" s="1"/>
  <c r="AB664" i="3"/>
  <c r="J664" i="3"/>
  <c r="AM664" i="3" s="1"/>
  <c r="AB648" i="3"/>
  <c r="J648" i="3"/>
  <c r="AM648" i="3" s="1"/>
  <c r="AB632" i="3"/>
  <c r="J632" i="3"/>
  <c r="AM632" i="3" s="1"/>
  <c r="AB616" i="3"/>
  <c r="J616" i="3"/>
  <c r="AM616" i="3" s="1"/>
  <c r="AB600" i="3"/>
  <c r="J600" i="3"/>
  <c r="AM600" i="3" s="1"/>
  <c r="AB520" i="3"/>
  <c r="J520" i="3"/>
  <c r="AM520" i="3" s="1"/>
  <c r="AB477" i="3"/>
  <c r="J477" i="3"/>
  <c r="AM477" i="3" s="1"/>
  <c r="AB455" i="3"/>
  <c r="J455" i="3"/>
  <c r="AM455" i="3" s="1"/>
  <c r="AB825" i="3"/>
  <c r="J825" i="3"/>
  <c r="AM825" i="3" s="1"/>
  <c r="AB810" i="3"/>
  <c r="J810" i="3"/>
  <c r="AM810" i="3" s="1"/>
  <c r="AB857" i="3"/>
  <c r="J857" i="3"/>
  <c r="AM857" i="3" s="1"/>
  <c r="AB781" i="3"/>
  <c r="J781" i="3"/>
  <c r="AM781" i="3" s="1"/>
  <c r="AB765" i="3"/>
  <c r="J765" i="3"/>
  <c r="AM765" i="3" s="1"/>
  <c r="AB733" i="3"/>
  <c r="J733" i="3"/>
  <c r="AM733" i="3" s="1"/>
  <c r="AB717" i="3"/>
  <c r="J717" i="3"/>
  <c r="AM717" i="3" s="1"/>
  <c r="AB663" i="3"/>
  <c r="J663" i="3"/>
  <c r="AM663" i="3" s="1"/>
  <c r="AB631" i="3"/>
  <c r="J631" i="3"/>
  <c r="AM631" i="3" s="1"/>
  <c r="AB615" i="3"/>
  <c r="J615" i="3"/>
  <c r="AM615" i="3" s="1"/>
  <c r="AB583" i="3"/>
  <c r="J583" i="3"/>
  <c r="AM583" i="3" s="1"/>
  <c r="AB567" i="3"/>
  <c r="J567" i="3"/>
  <c r="AM567" i="3" s="1"/>
  <c r="AB501" i="3"/>
  <c r="J501" i="3"/>
  <c r="AM501" i="3" s="1"/>
  <c r="AB12" i="3"/>
  <c r="J12" i="3"/>
  <c r="AM12" i="3" s="1"/>
  <c r="AB112" i="3"/>
  <c r="J112" i="3"/>
  <c r="AM112" i="3" s="1"/>
  <c r="AB142" i="3"/>
  <c r="J142" i="3"/>
  <c r="AM142" i="3" s="1"/>
  <c r="AB31" i="3"/>
  <c r="J31" i="3"/>
  <c r="AM31" i="3" s="1"/>
  <c r="AB88" i="3"/>
  <c r="J88" i="3"/>
  <c r="AM88" i="3" s="1"/>
  <c r="AB684" i="3"/>
  <c r="J684" i="3"/>
  <c r="AM684" i="3" s="1"/>
  <c r="AB880" i="3"/>
  <c r="J880" i="3"/>
  <c r="AM880" i="3" s="1"/>
  <c r="AB788" i="3"/>
  <c r="J788" i="3"/>
  <c r="AM788" i="3" s="1"/>
  <c r="AB626" i="3"/>
  <c r="J626" i="3"/>
  <c r="AM626" i="3" s="1"/>
  <c r="AB578" i="3"/>
  <c r="J578" i="3"/>
  <c r="AM578" i="3" s="1"/>
  <c r="AB530" i="3"/>
  <c r="J530" i="3"/>
  <c r="AM530" i="3" s="1"/>
  <c r="AB514" i="3"/>
  <c r="J514" i="3"/>
  <c r="AM514" i="3" s="1"/>
  <c r="AB922" i="3"/>
  <c r="J922" i="3"/>
  <c r="AM922" i="3" s="1"/>
  <c r="AB928" i="3"/>
  <c r="J928" i="3"/>
  <c r="AM928" i="3" s="1"/>
  <c r="AB923" i="3"/>
  <c r="J923" i="3"/>
  <c r="AM923" i="3" s="1"/>
  <c r="AB165" i="3"/>
  <c r="J165" i="3"/>
  <c r="AM165" i="3" s="1"/>
  <c r="AB288" i="3"/>
  <c r="J288" i="3"/>
  <c r="AM288" i="3" s="1"/>
  <c r="AB222" i="3"/>
  <c r="J222" i="3"/>
  <c r="AM222" i="3" s="1"/>
  <c r="AB266" i="3"/>
  <c r="J266" i="3"/>
  <c r="AM266" i="3" s="1"/>
  <c r="AB244" i="3"/>
  <c r="J244" i="3"/>
  <c r="AM244" i="3" s="1"/>
  <c r="AB173" i="3"/>
  <c r="J173" i="3"/>
  <c r="AM173" i="3" s="1"/>
  <c r="AB269" i="3"/>
  <c r="J269" i="3"/>
  <c r="AM269" i="3" s="1"/>
  <c r="AB25" i="3"/>
  <c r="J25" i="3"/>
  <c r="AM25" i="3" s="1"/>
  <c r="AB79" i="3"/>
  <c r="J79" i="3"/>
  <c r="AM79" i="3" s="1"/>
  <c r="AB39" i="3"/>
  <c r="J39" i="3"/>
  <c r="AM39" i="3" s="1"/>
  <c r="AB106" i="3"/>
  <c r="J106" i="3"/>
  <c r="AM106" i="3" s="1"/>
  <c r="AB141" i="3"/>
  <c r="J141" i="3"/>
  <c r="AM141" i="3" s="1"/>
  <c r="AB110" i="3"/>
  <c r="J110" i="3"/>
  <c r="AM110" i="3" s="1"/>
  <c r="AB446" i="3"/>
  <c r="J446" i="3"/>
  <c r="AM446" i="3" s="1"/>
  <c r="AB413" i="3"/>
  <c r="J413" i="3"/>
  <c r="AM413" i="3" s="1"/>
  <c r="AB367" i="3"/>
  <c r="J367" i="3"/>
  <c r="AM367" i="3" s="1"/>
  <c r="AB316" i="3"/>
  <c r="J316" i="3"/>
  <c r="AM316" i="3" s="1"/>
  <c r="AB375" i="3"/>
  <c r="J375" i="3"/>
  <c r="AM375" i="3" s="1"/>
  <c r="AB157" i="3"/>
  <c r="J157" i="3"/>
  <c r="AM157" i="3" s="1"/>
  <c r="AB96" i="3"/>
  <c r="J96" i="3"/>
  <c r="AM96" i="3" s="1"/>
  <c r="AB32" i="3"/>
  <c r="J32" i="3"/>
  <c r="AM32" i="3" s="1"/>
  <c r="AB37" i="3"/>
  <c r="J37" i="3"/>
  <c r="AM37" i="3" s="1"/>
  <c r="AB428" i="3"/>
  <c r="J428" i="3"/>
  <c r="AM428" i="3" s="1"/>
  <c r="AB398" i="3"/>
  <c r="J398" i="3"/>
  <c r="AM398" i="3" s="1"/>
  <c r="AB353" i="3"/>
  <c r="J353" i="3"/>
  <c r="AM353" i="3" s="1"/>
  <c r="AB321" i="3"/>
  <c r="J321" i="3"/>
  <c r="AM321" i="3" s="1"/>
  <c r="AB105" i="3"/>
  <c r="J105" i="3"/>
  <c r="AM105" i="3" s="1"/>
  <c r="AB151" i="3"/>
  <c r="J151" i="3"/>
  <c r="AM151" i="3" s="1"/>
  <c r="AB200" i="3"/>
  <c r="J200" i="3"/>
  <c r="AM200" i="3" s="1"/>
  <c r="AB224" i="3"/>
  <c r="J224" i="3"/>
  <c r="AM224" i="3" s="1"/>
  <c r="AB427" i="3"/>
  <c r="J427" i="3"/>
  <c r="AM427" i="3" s="1"/>
  <c r="AB399" i="3"/>
  <c r="J399" i="3"/>
  <c r="AM399" i="3" s="1"/>
  <c r="AB342" i="3"/>
  <c r="J342" i="3"/>
  <c r="AM342" i="3" s="1"/>
  <c r="AB315" i="3"/>
  <c r="J315" i="3"/>
  <c r="AM315" i="3" s="1"/>
  <c r="AB65" i="3"/>
  <c r="J65" i="3"/>
  <c r="AM65" i="3" s="1"/>
  <c r="AB408" i="3"/>
  <c r="J408" i="3"/>
  <c r="AM408" i="3" s="1"/>
  <c r="AB804" i="3"/>
  <c r="J804" i="3"/>
  <c r="AM804" i="3" s="1"/>
  <c r="AB517" i="3"/>
  <c r="J517" i="3"/>
  <c r="AM517" i="3" s="1"/>
  <c r="AB59" i="3"/>
  <c r="J59" i="3"/>
  <c r="AM59" i="3" s="1"/>
  <c r="AB709" i="3"/>
  <c r="J709" i="3"/>
  <c r="AM709" i="3" s="1"/>
  <c r="AB874" i="3"/>
  <c r="J874" i="3"/>
  <c r="AM874" i="3" s="1"/>
  <c r="AB750" i="3"/>
  <c r="J750" i="3"/>
  <c r="AM750" i="3" s="1"/>
  <c r="AB652" i="3"/>
  <c r="J652" i="3"/>
  <c r="AM652" i="3" s="1"/>
  <c r="AB604" i="3"/>
  <c r="J604" i="3"/>
  <c r="AM604" i="3" s="1"/>
  <c r="AB502" i="3"/>
  <c r="J502" i="3"/>
  <c r="AM502" i="3" s="1"/>
  <c r="AB481" i="3"/>
  <c r="J481" i="3"/>
  <c r="AM481" i="3" s="1"/>
  <c r="AB831" i="3"/>
  <c r="J831" i="3"/>
  <c r="AM831" i="3" s="1"/>
  <c r="AB721" i="3"/>
  <c r="J721" i="3"/>
  <c r="AM721" i="3" s="1"/>
  <c r="AB571" i="3"/>
  <c r="J571" i="3"/>
  <c r="AM571" i="3" s="1"/>
  <c r="AB465" i="3"/>
  <c r="J465" i="3"/>
  <c r="AM465" i="3" s="1"/>
  <c r="AB100" i="3"/>
  <c r="J100" i="3"/>
  <c r="AM100" i="3" s="1"/>
  <c r="AB107" i="3"/>
  <c r="J107" i="3"/>
  <c r="AM107" i="3" s="1"/>
  <c r="AB90" i="3"/>
  <c r="J90" i="3"/>
  <c r="AM90" i="3" s="1"/>
  <c r="AB698" i="3"/>
  <c r="J698" i="3"/>
  <c r="AM698" i="3" s="1"/>
  <c r="AB792" i="3"/>
  <c r="J792" i="3"/>
  <c r="AM792" i="3" s="1"/>
  <c r="AB760" i="3"/>
  <c r="J760" i="3"/>
  <c r="AM760" i="3" s="1"/>
  <c r="AB614" i="3"/>
  <c r="J614" i="3"/>
  <c r="AM614" i="3" s="1"/>
  <c r="AB582" i="3"/>
  <c r="J582" i="3"/>
  <c r="AM582" i="3" s="1"/>
  <c r="AB550" i="3"/>
  <c r="J550" i="3"/>
  <c r="AM550" i="3" s="1"/>
  <c r="AB518" i="3"/>
  <c r="J518" i="3"/>
  <c r="AM518" i="3" s="1"/>
  <c r="AB931" i="3"/>
  <c r="J931" i="3"/>
  <c r="AM931" i="3" s="1"/>
  <c r="AB159" i="3"/>
  <c r="J159" i="3"/>
  <c r="AM159" i="3" s="1"/>
  <c r="AB258" i="3"/>
  <c r="J258" i="3"/>
  <c r="AM258" i="3" s="1"/>
  <c r="AB292" i="3"/>
  <c r="J292" i="3"/>
  <c r="AM292" i="3" s="1"/>
  <c r="AB236" i="3"/>
  <c r="J236" i="3"/>
  <c r="AM236" i="3" s="1"/>
  <c r="AB255" i="3"/>
  <c r="J255" i="3"/>
  <c r="AM255" i="3" s="1"/>
  <c r="AB215" i="3"/>
  <c r="J215" i="3"/>
  <c r="AM215" i="3" s="1"/>
  <c r="AB270" i="3"/>
  <c r="J270" i="3"/>
  <c r="AM270" i="3" s="1"/>
  <c r="AB287" i="3"/>
  <c r="J287" i="3"/>
  <c r="AM287" i="3" s="1"/>
  <c r="AB161" i="3"/>
  <c r="J161" i="3"/>
  <c r="AM161" i="3" s="1"/>
  <c r="AB251" i="3"/>
  <c r="J251" i="3"/>
  <c r="AM251" i="3" s="1"/>
  <c r="AB137" i="3"/>
  <c r="J137" i="3"/>
  <c r="AM137" i="3" s="1"/>
  <c r="AB44" i="3"/>
  <c r="J44" i="3"/>
  <c r="AM44" i="3" s="1"/>
  <c r="AB45" i="3"/>
  <c r="J45" i="3"/>
  <c r="AM45" i="3" s="1"/>
  <c r="AB99" i="3"/>
  <c r="J99" i="3"/>
  <c r="AM99" i="3" s="1"/>
  <c r="AB70" i="3"/>
  <c r="J70" i="3"/>
  <c r="AM70" i="3" s="1"/>
  <c r="AB29" i="3"/>
  <c r="J29" i="3"/>
  <c r="AM29" i="3" s="1"/>
  <c r="AB160" i="3"/>
  <c r="J160" i="3"/>
  <c r="AM160" i="3" s="1"/>
  <c r="AB135" i="3"/>
  <c r="J135" i="3"/>
  <c r="AM135" i="3" s="1"/>
  <c r="AB425" i="3"/>
  <c r="J425" i="3"/>
  <c r="AM425" i="3" s="1"/>
  <c r="AB386" i="3"/>
  <c r="J386" i="3"/>
  <c r="AM386" i="3" s="1"/>
  <c r="AB344" i="3"/>
  <c r="J344" i="3"/>
  <c r="AM344" i="3" s="1"/>
  <c r="AB322" i="3"/>
  <c r="J322" i="3"/>
  <c r="AM322" i="3" s="1"/>
  <c r="AB284" i="3"/>
  <c r="J284" i="3"/>
  <c r="AM284" i="3" s="1"/>
  <c r="AB36" i="3"/>
  <c r="J36" i="3"/>
  <c r="AM36" i="3" s="1"/>
  <c r="AB74" i="3"/>
  <c r="J74" i="3"/>
  <c r="AM74" i="3" s="1"/>
  <c r="AB5" i="3"/>
  <c r="J5" i="3"/>
  <c r="AM5" i="3" s="1"/>
  <c r="AB26" i="3"/>
  <c r="J26" i="3"/>
  <c r="AM26" i="3" s="1"/>
  <c r="AB384" i="3"/>
  <c r="J384" i="3"/>
  <c r="AM384" i="3" s="1"/>
  <c r="AB345" i="3"/>
  <c r="J345" i="3"/>
  <c r="AM345" i="3" s="1"/>
  <c r="AB308" i="3"/>
  <c r="J308" i="3"/>
  <c r="AM308" i="3" s="1"/>
  <c r="AB126" i="3"/>
  <c r="J126" i="3"/>
  <c r="AM126" i="3" s="1"/>
  <c r="AB122" i="3"/>
  <c r="J122" i="3"/>
  <c r="AM122" i="3" s="1"/>
  <c r="AB351" i="3"/>
  <c r="J351" i="3"/>
  <c r="AM351" i="3" s="1"/>
  <c r="AB116" i="3"/>
  <c r="J116" i="3"/>
  <c r="AM116" i="3" s="1"/>
  <c r="AB4" i="3"/>
  <c r="J4" i="3"/>
  <c r="AM4" i="3" s="1"/>
  <c r="AB439" i="3"/>
  <c r="J439" i="3"/>
  <c r="AM439" i="3" s="1"/>
  <c r="AB362" i="3"/>
  <c r="J362" i="3"/>
  <c r="AM362" i="3" s="1"/>
  <c r="AB194" i="3"/>
  <c r="J194" i="3"/>
  <c r="AM194" i="3" s="1"/>
  <c r="AB290" i="3"/>
  <c r="J290" i="3"/>
  <c r="AM290" i="3" s="1"/>
  <c r="AB256" i="3"/>
  <c r="J256" i="3"/>
  <c r="AM256" i="3" s="1"/>
  <c r="AB283" i="3"/>
  <c r="J283" i="3"/>
  <c r="AM283" i="3" s="1"/>
  <c r="AB220" i="3"/>
  <c r="J220" i="3"/>
  <c r="AM220" i="3" s="1"/>
  <c r="AB217" i="3"/>
  <c r="J217" i="3"/>
  <c r="AM217" i="3" s="1"/>
  <c r="AB166" i="3"/>
  <c r="J166" i="3"/>
  <c r="AM166" i="3" s="1"/>
  <c r="AB206" i="3"/>
  <c r="J206" i="3"/>
  <c r="AM206" i="3" s="1"/>
  <c r="AB239" i="3"/>
  <c r="J239" i="3"/>
  <c r="AM239" i="3" s="1"/>
  <c r="AB243" i="3"/>
  <c r="J243" i="3"/>
  <c r="AM243" i="3" s="1"/>
  <c r="AB261" i="3"/>
  <c r="J261" i="3"/>
  <c r="AM261" i="3" s="1"/>
  <c r="AB299" i="3"/>
  <c r="J299" i="3"/>
  <c r="AM299" i="3" s="1"/>
  <c r="AB204" i="3"/>
  <c r="J204" i="3"/>
  <c r="AM204" i="3" s="1"/>
  <c r="AB207" i="3"/>
  <c r="J207" i="3"/>
  <c r="AM207" i="3" s="1"/>
  <c r="AB211" i="3"/>
  <c r="J211" i="3"/>
  <c r="AM211" i="3" s="1"/>
  <c r="AB210" i="3"/>
  <c r="J210" i="3"/>
  <c r="AM210" i="3" s="1"/>
  <c r="AB245" i="3"/>
  <c r="J245" i="3"/>
  <c r="AM245" i="3" s="1"/>
  <c r="AB180" i="3"/>
  <c r="J180" i="3"/>
  <c r="AM180" i="3" s="1"/>
  <c r="AB240" i="3"/>
  <c r="J240" i="3"/>
  <c r="AM240" i="3" s="1"/>
  <c r="AB302" i="3"/>
  <c r="J302" i="3"/>
  <c r="AM302" i="3" s="1"/>
  <c r="AB48" i="3"/>
  <c r="J48" i="3"/>
  <c r="AM48" i="3" s="1"/>
  <c r="AB153" i="3"/>
  <c r="J153" i="3"/>
  <c r="AM153" i="3" s="1"/>
  <c r="AB85" i="3"/>
  <c r="J85" i="3"/>
  <c r="AM85" i="3" s="1"/>
  <c r="AB19" i="3"/>
  <c r="J19" i="3"/>
  <c r="AM19" i="3" s="1"/>
  <c r="AB109" i="3"/>
  <c r="J109" i="3"/>
  <c r="AM109" i="3" s="1"/>
  <c r="AB101" i="3"/>
  <c r="J101" i="3"/>
  <c r="AM101" i="3" s="1"/>
  <c r="AB17" i="3"/>
  <c r="J17" i="3"/>
  <c r="AM17" i="3" s="1"/>
  <c r="AB115" i="3"/>
  <c r="J115" i="3"/>
  <c r="AM115" i="3" s="1"/>
  <c r="AB136" i="3"/>
  <c r="J136" i="3"/>
  <c r="AM136" i="3" s="1"/>
  <c r="AB86" i="3"/>
  <c r="J86" i="3"/>
  <c r="AM86" i="3" s="1"/>
  <c r="AB114" i="3"/>
  <c r="J114" i="3"/>
  <c r="AM114" i="3" s="1"/>
  <c r="AB18" i="3"/>
  <c r="J18" i="3"/>
  <c r="AM18" i="3" s="1"/>
  <c r="AB138" i="3"/>
  <c r="J138" i="3"/>
  <c r="AM138" i="3" s="1"/>
  <c r="AB83" i="3"/>
  <c r="J83" i="3"/>
  <c r="AM83" i="3" s="1"/>
  <c r="AB6" i="3"/>
  <c r="J6" i="3"/>
  <c r="AM6" i="3" s="1"/>
  <c r="AB124" i="3"/>
  <c r="J124" i="3"/>
  <c r="AM124" i="3" s="1"/>
  <c r="AB437" i="3"/>
  <c r="J437" i="3"/>
  <c r="AM437" i="3" s="1"/>
  <c r="AB421" i="3"/>
  <c r="J421" i="3"/>
  <c r="AM421" i="3" s="1"/>
  <c r="AB390" i="3"/>
  <c r="J390" i="3"/>
  <c r="AM390" i="3" s="1"/>
  <c r="AB361" i="3"/>
  <c r="J361" i="3"/>
  <c r="AM361" i="3" s="1"/>
  <c r="AB350" i="3"/>
  <c r="J350" i="3"/>
  <c r="AM350" i="3" s="1"/>
  <c r="AB324" i="3"/>
  <c r="J324" i="3"/>
  <c r="AM324" i="3" s="1"/>
  <c r="AB314" i="3"/>
  <c r="J314" i="3"/>
  <c r="AM314" i="3" s="1"/>
  <c r="AB356" i="3"/>
  <c r="J356" i="3"/>
  <c r="AM356" i="3" s="1"/>
  <c r="AB75" i="3"/>
  <c r="J75" i="3"/>
  <c r="AM75" i="3" s="1"/>
  <c r="AB177" i="3"/>
  <c r="J177" i="3"/>
  <c r="AM177" i="3" s="1"/>
  <c r="AB78" i="3"/>
  <c r="J78" i="3"/>
  <c r="AM78" i="3" s="1"/>
  <c r="AB125" i="3"/>
  <c r="J125" i="3"/>
  <c r="AM125" i="3" s="1"/>
  <c r="AB128" i="3"/>
  <c r="J128" i="3"/>
  <c r="AM128" i="3" s="1"/>
  <c r="AB11" i="3"/>
  <c r="J11" i="3"/>
  <c r="AM11" i="3" s="1"/>
  <c r="AB64" i="3"/>
  <c r="J64" i="3"/>
  <c r="AM64" i="3" s="1"/>
  <c r="AB113" i="3"/>
  <c r="J113" i="3"/>
  <c r="AM113" i="3" s="1"/>
  <c r="AB181" i="3"/>
  <c r="J181" i="3"/>
  <c r="AM181" i="3" s="1"/>
  <c r="AB155" i="3"/>
  <c r="J155" i="3"/>
  <c r="AM155" i="3" s="1"/>
  <c r="AB436" i="3"/>
  <c r="J436" i="3"/>
  <c r="AM436" i="3" s="1"/>
  <c r="AB420" i="3"/>
  <c r="J420" i="3"/>
  <c r="AM420" i="3" s="1"/>
  <c r="AB389" i="3"/>
  <c r="J389" i="3"/>
  <c r="AM389" i="3" s="1"/>
  <c r="AB355" i="3"/>
  <c r="J355" i="3"/>
  <c r="AM355" i="3" s="1"/>
  <c r="AB338" i="3"/>
  <c r="J338" i="3"/>
  <c r="AM338" i="3" s="1"/>
  <c r="AB330" i="3"/>
  <c r="J330" i="3"/>
  <c r="AM330" i="3" s="1"/>
  <c r="AB326" i="3"/>
  <c r="J326" i="3"/>
  <c r="AM326" i="3" s="1"/>
  <c r="AB235" i="3"/>
  <c r="J235" i="3"/>
  <c r="AM235" i="3" s="1"/>
  <c r="AB21" i="3"/>
  <c r="J21" i="3"/>
  <c r="AM21" i="3" s="1"/>
  <c r="AB152" i="3"/>
  <c r="J152" i="3"/>
  <c r="AM152" i="3" s="1"/>
  <c r="AB94" i="3"/>
  <c r="J94" i="3"/>
  <c r="AM94" i="3" s="1"/>
  <c r="AB422" i="3"/>
  <c r="J422" i="3"/>
  <c r="AM422" i="3" s="1"/>
  <c r="AB385" i="3"/>
  <c r="J385" i="3"/>
  <c r="AM385" i="3" s="1"/>
  <c r="AB347" i="3"/>
  <c r="J347" i="3"/>
  <c r="AM347" i="3" s="1"/>
  <c r="AB327" i="3"/>
  <c r="J327" i="3"/>
  <c r="AM327" i="3" s="1"/>
  <c r="AB50" i="3"/>
  <c r="J50" i="3"/>
  <c r="AM50" i="3" s="1"/>
  <c r="AB111" i="3"/>
  <c r="J111" i="3"/>
  <c r="AM111" i="3" s="1"/>
  <c r="AB103" i="3"/>
  <c r="J103" i="3"/>
  <c r="AM103" i="3" s="1"/>
  <c r="AB229" i="3"/>
  <c r="J229" i="3"/>
  <c r="AM229" i="3" s="1"/>
  <c r="AB191" i="3"/>
  <c r="J191" i="3"/>
  <c r="AM191" i="3" s="1"/>
  <c r="AB435" i="3"/>
  <c r="J435" i="3"/>
  <c r="AM435" i="3" s="1"/>
  <c r="AB419" i="3"/>
  <c r="J419" i="3"/>
  <c r="AM419" i="3" s="1"/>
  <c r="AB360" i="3"/>
  <c r="J360" i="3"/>
  <c r="AM360" i="3" s="1"/>
  <c r="AB341" i="3"/>
  <c r="J341" i="3"/>
  <c r="AM341" i="3" s="1"/>
  <c r="AB323" i="3"/>
  <c r="J323" i="3"/>
  <c r="AM323" i="3" s="1"/>
  <c r="AB202" i="3"/>
  <c r="J202" i="3"/>
  <c r="AM202" i="3" s="1"/>
  <c r="AB30" i="3"/>
  <c r="J30" i="3"/>
  <c r="AM30" i="3" s="1"/>
  <c r="AB133" i="3"/>
  <c r="J133" i="3"/>
  <c r="AM133" i="3" s="1"/>
  <c r="AB272" i="3"/>
  <c r="J272" i="3"/>
  <c r="AM272" i="3" s="1"/>
  <c r="AB418" i="3"/>
  <c r="J418" i="3"/>
  <c r="AM418" i="3" s="1"/>
  <c r="AB348" i="3"/>
  <c r="J348" i="3"/>
  <c r="AM348" i="3" s="1"/>
  <c r="AB859" i="3"/>
  <c r="J859" i="3"/>
  <c r="AM859" i="3" s="1"/>
  <c r="AB735" i="3"/>
  <c r="J735" i="3"/>
  <c r="AM735" i="3" s="1"/>
  <c r="AB719" i="3"/>
  <c r="J719" i="3"/>
  <c r="AM719" i="3" s="1"/>
  <c r="AB653" i="3"/>
  <c r="J653" i="3"/>
  <c r="AM653" i="3" s="1"/>
  <c r="AB589" i="3"/>
  <c r="J589" i="3"/>
  <c r="AM589" i="3" s="1"/>
  <c r="AB573" i="3"/>
  <c r="J573" i="3"/>
  <c r="AM573" i="3" s="1"/>
  <c r="AB541" i="3"/>
  <c r="J541" i="3"/>
  <c r="AM541" i="3" s="1"/>
  <c r="AB525" i="3"/>
  <c r="J525" i="3"/>
  <c r="AM525" i="3" s="1"/>
  <c r="AB467" i="3"/>
  <c r="J467" i="3"/>
  <c r="AM467" i="3" s="1"/>
  <c r="AB488" i="3"/>
  <c r="J488" i="3"/>
  <c r="AM488" i="3" s="1"/>
  <c r="AB23" i="3"/>
  <c r="J23" i="3"/>
  <c r="AM23" i="3" s="1"/>
  <c r="AB838" i="3"/>
  <c r="J838" i="3"/>
  <c r="AM838" i="3" s="1"/>
  <c r="AB882" i="3"/>
  <c r="J882" i="3"/>
  <c r="AM882" i="3" s="1"/>
  <c r="AB742" i="3"/>
  <c r="J742" i="3"/>
  <c r="AM742" i="3" s="1"/>
  <c r="AB726" i="3"/>
  <c r="J726" i="3"/>
  <c r="AM726" i="3" s="1"/>
  <c r="AB693" i="3"/>
  <c r="J693" i="3"/>
  <c r="AM693" i="3" s="1"/>
  <c r="AB612" i="3"/>
  <c r="J612" i="3"/>
  <c r="AM612" i="3" s="1"/>
  <c r="AB596" i="3"/>
  <c r="J596" i="3"/>
  <c r="AM596" i="3" s="1"/>
  <c r="AB580" i="3"/>
  <c r="J580" i="3"/>
  <c r="AM580" i="3" s="1"/>
  <c r="AB548" i="3"/>
  <c r="J548" i="3"/>
  <c r="AM548" i="3" s="1"/>
  <c r="AB532" i="3"/>
  <c r="J532" i="3"/>
  <c r="AM532" i="3" s="1"/>
  <c r="AB510" i="3"/>
  <c r="J510" i="3"/>
  <c r="AM510" i="3" s="1"/>
  <c r="AB470" i="3"/>
  <c r="J470" i="3"/>
  <c r="AM470" i="3" s="1"/>
  <c r="AB840" i="3"/>
  <c r="J840" i="3"/>
  <c r="AM840" i="3" s="1"/>
  <c r="AB806" i="3"/>
  <c r="J806" i="3"/>
  <c r="AM806" i="3" s="1"/>
  <c r="AB697" i="3"/>
  <c r="J697" i="3"/>
  <c r="AM697" i="3" s="1"/>
  <c r="AB901" i="3"/>
  <c r="J901" i="3"/>
  <c r="AM901" i="3" s="1"/>
  <c r="AB885" i="3"/>
  <c r="J885" i="3"/>
  <c r="AM885" i="3" s="1"/>
  <c r="AB869" i="3"/>
  <c r="J869" i="3"/>
  <c r="AM869" i="3" s="1"/>
  <c r="AB729" i="3"/>
  <c r="J729" i="3"/>
  <c r="AM729" i="3" s="1"/>
  <c r="AB659" i="3"/>
  <c r="J659" i="3"/>
  <c r="AM659" i="3" s="1"/>
  <c r="AB643" i="3"/>
  <c r="J643" i="3"/>
  <c r="AM643" i="3" s="1"/>
  <c r="AB627" i="3"/>
  <c r="J627" i="3"/>
  <c r="AM627" i="3" s="1"/>
  <c r="AB547" i="3"/>
  <c r="J547" i="3"/>
  <c r="AM547" i="3" s="1"/>
  <c r="AB531" i="3"/>
  <c r="J531" i="3"/>
  <c r="AM531" i="3" s="1"/>
  <c r="AB515" i="3"/>
  <c r="J515" i="3"/>
  <c r="AM515" i="3" s="1"/>
  <c r="AB475" i="3"/>
  <c r="J475" i="3"/>
  <c r="AM475" i="3" s="1"/>
  <c r="AB127" i="3"/>
  <c r="J127" i="3"/>
  <c r="AM127" i="3" s="1"/>
  <c r="AB46" i="3"/>
  <c r="J46" i="3"/>
  <c r="AM46" i="3" s="1"/>
  <c r="AB77" i="3"/>
  <c r="J77" i="3"/>
  <c r="AM77" i="3" s="1"/>
  <c r="AB145" i="3"/>
  <c r="J145" i="3"/>
  <c r="AM145" i="3" s="1"/>
  <c r="AB66" i="3"/>
  <c r="J66" i="3"/>
  <c r="AM66" i="3" s="1"/>
  <c r="AB813" i="3"/>
  <c r="J813" i="3"/>
  <c r="AM813" i="3" s="1"/>
  <c r="AB797" i="3"/>
  <c r="J797" i="3"/>
  <c r="AM797" i="3" s="1"/>
  <c r="AB688" i="3"/>
  <c r="J688" i="3"/>
  <c r="AM688" i="3" s="1"/>
  <c r="AB707" i="3"/>
  <c r="J707" i="3"/>
  <c r="AM707" i="3" s="1"/>
  <c r="AB892" i="3"/>
  <c r="J892" i="3"/>
  <c r="AM892" i="3" s="1"/>
  <c r="AB876" i="3"/>
  <c r="J876" i="3"/>
  <c r="AM876" i="3" s="1"/>
  <c r="AB784" i="3"/>
  <c r="J784" i="3"/>
  <c r="AM784" i="3" s="1"/>
  <c r="AB752" i="3"/>
  <c r="J752" i="3"/>
  <c r="AM752" i="3" s="1"/>
  <c r="AB720" i="3"/>
  <c r="J720" i="3"/>
  <c r="AM720" i="3" s="1"/>
  <c r="AB654" i="3"/>
  <c r="J654" i="3"/>
  <c r="AM654" i="3" s="1"/>
  <c r="AB558" i="3"/>
  <c r="J558" i="3"/>
  <c r="AM558" i="3" s="1"/>
  <c r="AB542" i="3"/>
  <c r="J542" i="3"/>
  <c r="AM542" i="3" s="1"/>
  <c r="AB526" i="3"/>
  <c r="J526" i="3"/>
  <c r="AM526" i="3" s="1"/>
  <c r="AB508" i="3"/>
  <c r="J508" i="3"/>
  <c r="AM508" i="3" s="1"/>
  <c r="AB81" i="3"/>
  <c r="J81" i="3"/>
  <c r="AM81" i="3" s="1"/>
  <c r="AB925" i="3"/>
  <c r="J925" i="3"/>
  <c r="AM925" i="3" s="1"/>
  <c r="AB927" i="3"/>
  <c r="J927" i="3"/>
  <c r="AM927" i="3" s="1"/>
  <c r="AB182" i="3"/>
  <c r="J182" i="3"/>
  <c r="AM182" i="3" s="1"/>
  <c r="AB294" i="3"/>
  <c r="J294" i="3"/>
  <c r="AM294" i="3" s="1"/>
  <c r="AB172" i="3"/>
  <c r="J172" i="3"/>
  <c r="AM172" i="3" s="1"/>
  <c r="AB148" i="3"/>
  <c r="J148" i="3"/>
  <c r="AM148" i="3" s="1"/>
  <c r="AB223" i="3"/>
  <c r="J223" i="3"/>
  <c r="AM223" i="3" s="1"/>
  <c r="AB212" i="3"/>
  <c r="J212" i="3"/>
  <c r="AM212" i="3" s="1"/>
  <c r="AB278" i="3"/>
  <c r="J278" i="3"/>
  <c r="AM278" i="3" s="1"/>
  <c r="AB76" i="3"/>
  <c r="J76" i="3"/>
  <c r="AM76" i="3" s="1"/>
  <c r="AB144" i="3"/>
  <c r="J144" i="3"/>
  <c r="AM144" i="3" s="1"/>
  <c r="AB102" i="3"/>
  <c r="J102" i="3"/>
  <c r="AM102" i="3" s="1"/>
  <c r="AB134" i="3"/>
  <c r="J134" i="3"/>
  <c r="AM134" i="3" s="1"/>
  <c r="AB93" i="3"/>
  <c r="J93" i="3"/>
  <c r="AM93" i="3" s="1"/>
  <c r="AB47" i="3"/>
  <c r="J47" i="3"/>
  <c r="AM47" i="3" s="1"/>
  <c r="AB9" i="3"/>
  <c r="J9" i="3"/>
  <c r="AM9" i="3" s="1"/>
  <c r="AB429" i="3"/>
  <c r="J429" i="3"/>
  <c r="AM429" i="3" s="1"/>
  <c r="AB397" i="3"/>
  <c r="J397" i="3"/>
  <c r="AM397" i="3" s="1"/>
  <c r="AB336" i="3"/>
  <c r="J336" i="3"/>
  <c r="AM336" i="3" s="1"/>
  <c r="AB325" i="3"/>
  <c r="J325" i="3"/>
  <c r="AM325" i="3" s="1"/>
  <c r="AB67" i="3"/>
  <c r="J67" i="3"/>
  <c r="AM67" i="3" s="1"/>
  <c r="AB252" i="3"/>
  <c r="J252" i="3"/>
  <c r="AM252" i="3" s="1"/>
  <c r="AB140" i="3"/>
  <c r="J140" i="3"/>
  <c r="AM140" i="3" s="1"/>
  <c r="AB62" i="3"/>
  <c r="J62" i="3"/>
  <c r="AM62" i="3" s="1"/>
  <c r="AB412" i="3"/>
  <c r="J412" i="3"/>
  <c r="AM412" i="3" s="1"/>
  <c r="AB328" i="3"/>
  <c r="J328" i="3"/>
  <c r="AM328" i="3" s="1"/>
  <c r="AB187" i="3"/>
  <c r="J187" i="3"/>
  <c r="AM187" i="3" s="1"/>
  <c r="AB104" i="3"/>
  <c r="J104" i="3"/>
  <c r="AM104" i="3" s="1"/>
  <c r="AB404" i="3"/>
  <c r="J404" i="3"/>
  <c r="AM404" i="3" s="1"/>
  <c r="AB319" i="3"/>
  <c r="J319" i="3"/>
  <c r="AM319" i="3" s="1"/>
  <c r="AB146" i="3"/>
  <c r="J146" i="3"/>
  <c r="AM146" i="3" s="1"/>
  <c r="AB22" i="3"/>
  <c r="J22" i="3"/>
  <c r="AM22" i="3" s="1"/>
  <c r="AB444" i="3"/>
  <c r="J444" i="3"/>
  <c r="AM444" i="3" s="1"/>
  <c r="AB411" i="3"/>
  <c r="J411" i="3"/>
  <c r="AM411" i="3" s="1"/>
  <c r="AB352" i="3"/>
  <c r="J352" i="3"/>
  <c r="AM352" i="3" s="1"/>
  <c r="AB332" i="3"/>
  <c r="J332" i="3"/>
  <c r="AM332" i="3" s="1"/>
  <c r="AB147" i="3"/>
  <c r="J147" i="3"/>
  <c r="AM147" i="3" s="1"/>
  <c r="AB434" i="3"/>
  <c r="J434" i="3"/>
  <c r="AM434" i="3" s="1"/>
  <c r="AB366" i="3"/>
  <c r="J366" i="3"/>
  <c r="AM366" i="3" s="1"/>
  <c r="AB334" i="3"/>
  <c r="J334" i="3"/>
  <c r="AM334" i="3" s="1"/>
  <c r="AB912" i="3"/>
  <c r="J912" i="3"/>
  <c r="AM912" i="3" s="1"/>
  <c r="AB899" i="3"/>
  <c r="J899" i="3"/>
  <c r="AM899" i="3" s="1"/>
  <c r="AB597" i="3"/>
  <c r="J597" i="3"/>
  <c r="AM597" i="3" s="1"/>
  <c r="AB565" i="3"/>
  <c r="J565" i="3"/>
  <c r="AM565" i="3" s="1"/>
  <c r="AB533" i="3"/>
  <c r="J533" i="3"/>
  <c r="AM533" i="3" s="1"/>
  <c r="AB454" i="3"/>
  <c r="J454" i="3"/>
  <c r="AM454" i="3" s="1"/>
  <c r="AB834" i="3"/>
  <c r="J834" i="3"/>
  <c r="AM834" i="3" s="1"/>
  <c r="AB811" i="3"/>
  <c r="J811" i="3"/>
  <c r="AM811" i="3" s="1"/>
  <c r="AB690" i="3"/>
  <c r="J690" i="3"/>
  <c r="AM690" i="3" s="1"/>
  <c r="AB890" i="3"/>
  <c r="J890" i="3"/>
  <c r="AM890" i="3" s="1"/>
  <c r="AB620" i="3"/>
  <c r="J620" i="3"/>
  <c r="AM620" i="3" s="1"/>
  <c r="AB798" i="3"/>
  <c r="J798" i="3"/>
  <c r="AM798" i="3" s="1"/>
  <c r="AB687" i="3"/>
  <c r="J687" i="3"/>
  <c r="AM687" i="3" s="1"/>
  <c r="AB893" i="3"/>
  <c r="J893" i="3"/>
  <c r="AM893" i="3" s="1"/>
  <c r="AB785" i="3"/>
  <c r="J785" i="3"/>
  <c r="AM785" i="3" s="1"/>
  <c r="AB753" i="3"/>
  <c r="J753" i="3"/>
  <c r="AM753" i="3" s="1"/>
  <c r="AB587" i="3"/>
  <c r="J587" i="3"/>
  <c r="AM587" i="3" s="1"/>
  <c r="AB51" i="3"/>
  <c r="J51" i="3"/>
  <c r="AM51" i="3" s="1"/>
  <c r="AB728" i="3"/>
  <c r="J728" i="3"/>
  <c r="AM728" i="3" s="1"/>
  <c r="AB534" i="3"/>
  <c r="J534" i="3"/>
  <c r="AM534" i="3" s="1"/>
  <c r="AB497" i="3"/>
  <c r="J497" i="3"/>
  <c r="AM497" i="3" s="1"/>
  <c r="AB921" i="3"/>
  <c r="J921" i="3"/>
  <c r="AM921" i="3" s="1"/>
  <c r="AB195" i="3"/>
  <c r="J195" i="3"/>
  <c r="AM195" i="3" s="1"/>
  <c r="AB264" i="3"/>
  <c r="J264" i="3"/>
  <c r="AM264" i="3" s="1"/>
  <c r="AB15" i="3"/>
  <c r="J15" i="3"/>
  <c r="AM15" i="3" s="1"/>
  <c r="AB285" i="3"/>
  <c r="J285" i="3"/>
  <c r="AM285" i="3" s="1"/>
  <c r="AB242" i="3"/>
  <c r="J242" i="3"/>
  <c r="AM242" i="3" s="1"/>
  <c r="AB209" i="3"/>
  <c r="J209" i="3"/>
  <c r="AM209" i="3" s="1"/>
  <c r="AB168" i="3"/>
  <c r="J168" i="3"/>
  <c r="AM168" i="3" s="1"/>
  <c r="AB237" i="3"/>
  <c r="J237" i="3"/>
  <c r="AM237" i="3" s="1"/>
  <c r="AB291" i="3"/>
  <c r="J291" i="3"/>
  <c r="AM291" i="3" s="1"/>
  <c r="AB89" i="3"/>
  <c r="J89" i="3"/>
  <c r="AM89" i="3" s="1"/>
  <c r="AB95" i="3"/>
  <c r="J95" i="3"/>
  <c r="AM95" i="3" s="1"/>
  <c r="AB60" i="3"/>
  <c r="J60" i="3"/>
  <c r="AM60" i="3" s="1"/>
  <c r="AB49" i="3"/>
  <c r="J49" i="3"/>
  <c r="AM49" i="3" s="1"/>
  <c r="AB150" i="3"/>
  <c r="J150" i="3"/>
  <c r="AM150" i="3" s="1"/>
  <c r="AB8" i="3"/>
  <c r="J8" i="3"/>
  <c r="AM8" i="3" s="1"/>
  <c r="AB7" i="3"/>
  <c r="J7" i="3"/>
  <c r="AM7" i="3" s="1"/>
  <c r="AB441" i="3"/>
  <c r="J441" i="3"/>
  <c r="AM441" i="3" s="1"/>
  <c r="AB354" i="3"/>
  <c r="J354" i="3"/>
  <c r="AM354" i="3" s="1"/>
  <c r="AB333" i="3"/>
  <c r="J333" i="3"/>
  <c r="AM333" i="3" s="1"/>
  <c r="AB369" i="3"/>
  <c r="J369" i="3"/>
  <c r="AM369" i="3" s="1"/>
  <c r="AB143" i="3"/>
  <c r="J143" i="3"/>
  <c r="AM143" i="3" s="1"/>
  <c r="AB205" i="3"/>
  <c r="J205" i="3"/>
  <c r="AM205" i="3" s="1"/>
  <c r="AB121" i="3"/>
  <c r="J121" i="3"/>
  <c r="AM121" i="3" s="1"/>
  <c r="AB54" i="3"/>
  <c r="J54" i="3"/>
  <c r="AM54" i="3" s="1"/>
  <c r="AB440" i="3"/>
  <c r="J440" i="3"/>
  <c r="AM440" i="3" s="1"/>
  <c r="AB424" i="3"/>
  <c r="J424" i="3"/>
  <c r="AM424" i="3" s="1"/>
  <c r="AB357" i="3"/>
  <c r="J357" i="3"/>
  <c r="AM357" i="3" s="1"/>
  <c r="AB313" i="3"/>
  <c r="J313" i="3"/>
  <c r="AM313" i="3" s="1"/>
  <c r="AB234" i="3"/>
  <c r="J234" i="3"/>
  <c r="AM234" i="3" s="1"/>
  <c r="AB55" i="3"/>
  <c r="J55" i="3"/>
  <c r="AM55" i="3" s="1"/>
  <c r="AB320" i="3"/>
  <c r="J320" i="3"/>
  <c r="AM320" i="3" s="1"/>
  <c r="AB80" i="3"/>
  <c r="J80" i="3"/>
  <c r="AM80" i="3" s="1"/>
  <c r="AB117" i="3"/>
  <c r="J117" i="3"/>
  <c r="AM117" i="3" s="1"/>
  <c r="AB382" i="3"/>
  <c r="J382" i="3"/>
  <c r="AM382" i="3" s="1"/>
  <c r="AB213" i="3"/>
  <c r="J213" i="3"/>
  <c r="AM213" i="3" s="1"/>
  <c r="AB218" i="3"/>
  <c r="J218" i="3"/>
  <c r="AM218" i="3" s="1"/>
  <c r="AB273" i="3"/>
  <c r="J273" i="3"/>
  <c r="AM273" i="3" s="1"/>
  <c r="AB167" i="3"/>
  <c r="J167" i="3"/>
  <c r="AM167" i="3" s="1"/>
  <c r="AB275" i="3"/>
  <c r="J275" i="3"/>
  <c r="AM275" i="3" s="1"/>
  <c r="AB247" i="3"/>
  <c r="J247" i="3"/>
  <c r="AM247" i="3" s="1"/>
  <c r="AB259" i="3"/>
  <c r="J259" i="3"/>
  <c r="AM259" i="3" s="1"/>
  <c r="AB271" i="3"/>
  <c r="J271" i="3"/>
  <c r="AM271" i="3" s="1"/>
  <c r="AB163" i="3"/>
  <c r="J163" i="3"/>
  <c r="AM163" i="3" s="1"/>
  <c r="AB216" i="3"/>
  <c r="J216" i="3"/>
  <c r="AM216" i="3" s="1"/>
  <c r="AB301" i="3"/>
  <c r="J301" i="3"/>
  <c r="AM301" i="3" s="1"/>
  <c r="AB201" i="3"/>
  <c r="J201" i="3"/>
  <c r="AM201" i="3" s="1"/>
  <c r="AB298" i="3"/>
  <c r="J298" i="3"/>
  <c r="AM298" i="3" s="1"/>
  <c r="AB221" i="3"/>
  <c r="J221" i="3"/>
  <c r="AM221" i="3" s="1"/>
  <c r="AB280" i="3"/>
  <c r="J280" i="3"/>
  <c r="AM280" i="3" s="1"/>
  <c r="AB184" i="3"/>
  <c r="J184" i="3"/>
  <c r="AM184" i="3" s="1"/>
  <c r="AB300" i="3"/>
  <c r="J300" i="3"/>
  <c r="AM300" i="3" s="1"/>
  <c r="AB208" i="3"/>
  <c r="J208" i="3"/>
  <c r="AM208" i="3" s="1"/>
  <c r="AB230" i="3"/>
  <c r="J230" i="3"/>
  <c r="AM230" i="3" s="1"/>
  <c r="AB149" i="3"/>
  <c r="J149" i="3"/>
  <c r="AM149" i="3" s="1"/>
  <c r="AB108" i="3"/>
  <c r="J108" i="3"/>
  <c r="AM108" i="3" s="1"/>
  <c r="AB82" i="3"/>
  <c r="J82" i="3"/>
  <c r="AM82" i="3" s="1"/>
  <c r="AB13" i="3"/>
  <c r="J13" i="3"/>
  <c r="AM13" i="3" s="1"/>
  <c r="AB69" i="3"/>
  <c r="J69" i="3"/>
  <c r="AM69" i="3" s="1"/>
  <c r="AB34" i="3"/>
  <c r="J34" i="3"/>
  <c r="AM34" i="3" s="1"/>
  <c r="AB35" i="3"/>
  <c r="J35" i="3"/>
  <c r="AM35" i="3" s="1"/>
  <c r="AB71" i="3"/>
  <c r="J71" i="3"/>
  <c r="AM71" i="3" s="1"/>
  <c r="AB38" i="3"/>
  <c r="J38" i="3"/>
  <c r="AM38" i="3" s="1"/>
  <c r="AB170" i="3"/>
  <c r="J170" i="3"/>
  <c r="AM170" i="3" s="1"/>
  <c r="AB10" i="3"/>
  <c r="J10" i="3"/>
  <c r="AM10" i="3" s="1"/>
  <c r="AB52" i="3"/>
  <c r="J52" i="3"/>
  <c r="AM52" i="3" s="1"/>
  <c r="AB198" i="3"/>
  <c r="J198" i="3"/>
  <c r="AM198" i="3" s="1"/>
  <c r="AB119" i="3"/>
  <c r="J119" i="3"/>
  <c r="AM119" i="3" s="1"/>
  <c r="AB56" i="3"/>
  <c r="J56" i="3"/>
  <c r="AM56" i="3" s="1"/>
  <c r="AB28" i="3"/>
  <c r="J28" i="3"/>
  <c r="AM28" i="3" s="1"/>
  <c r="AB450" i="3"/>
  <c r="J450" i="3"/>
  <c r="AM450" i="3" s="1"/>
  <c r="AB433" i="3"/>
  <c r="J433" i="3"/>
  <c r="AM433" i="3" s="1"/>
  <c r="AB417" i="3"/>
  <c r="J417" i="3"/>
  <c r="AM417" i="3" s="1"/>
  <c r="AB409" i="3"/>
  <c r="J409" i="3"/>
  <c r="AM409" i="3" s="1"/>
  <c r="AB368" i="3"/>
  <c r="J368" i="3"/>
  <c r="AM368" i="3" s="1"/>
  <c r="AB358" i="3"/>
  <c r="J358" i="3"/>
  <c r="AM358" i="3" s="1"/>
  <c r="AB346" i="3"/>
  <c r="J346" i="3"/>
  <c r="AM346" i="3" s="1"/>
  <c r="AB331" i="3"/>
  <c r="J331" i="3"/>
  <c r="AM331" i="3" s="1"/>
  <c r="AB317" i="3"/>
  <c r="J317" i="3"/>
  <c r="AM317" i="3" s="1"/>
  <c r="AB340" i="3"/>
  <c r="J340" i="3"/>
  <c r="AM340" i="3" s="1"/>
  <c r="AB40" i="3"/>
  <c r="J40" i="3"/>
  <c r="AM40" i="3" s="1"/>
  <c r="AB132" i="3"/>
  <c r="J132" i="3"/>
  <c r="AM132" i="3" s="1"/>
  <c r="AB20" i="3"/>
  <c r="J20" i="3"/>
  <c r="AM20" i="3" s="1"/>
  <c r="AB68" i="3"/>
  <c r="J68" i="3"/>
  <c r="AM68" i="3" s="1"/>
  <c r="AB63" i="3"/>
  <c r="J63" i="3"/>
  <c r="AM63" i="3" s="1"/>
  <c r="AB92" i="3"/>
  <c r="J92" i="3"/>
  <c r="AM92" i="3" s="1"/>
  <c r="AB72" i="3"/>
  <c r="J72" i="3"/>
  <c r="AM72" i="3" s="1"/>
  <c r="AB84" i="3"/>
  <c r="J84" i="3"/>
  <c r="AM84" i="3" s="1"/>
  <c r="AB87" i="3"/>
  <c r="J87" i="3"/>
  <c r="AM87" i="3" s="1"/>
  <c r="AB432" i="3"/>
  <c r="J432" i="3"/>
  <c r="AM432" i="3" s="1"/>
  <c r="AB416" i="3"/>
  <c r="J416" i="3"/>
  <c r="AM416" i="3" s="1"/>
  <c r="AB365" i="3"/>
  <c r="J365" i="3"/>
  <c r="AM365" i="3" s="1"/>
  <c r="AB359" i="3"/>
  <c r="J359" i="3"/>
  <c r="AM359" i="3" s="1"/>
  <c r="AB343" i="3"/>
  <c r="J343" i="3"/>
  <c r="AM343" i="3" s="1"/>
  <c r="AB312" i="3"/>
  <c r="J312" i="3"/>
  <c r="AM312" i="3" s="1"/>
  <c r="AB318" i="3"/>
  <c r="J318" i="3"/>
  <c r="AM318" i="3" s="1"/>
  <c r="AB98" i="3"/>
  <c r="J98" i="3"/>
  <c r="AM98" i="3" s="1"/>
  <c r="AB27" i="3"/>
  <c r="J27" i="3"/>
  <c r="AM27" i="3" s="1"/>
  <c r="AB120" i="3"/>
  <c r="J120" i="3"/>
  <c r="AM120" i="3" s="1"/>
  <c r="AB447" i="3"/>
  <c r="J447" i="3"/>
  <c r="AM447" i="3" s="1"/>
  <c r="AB414" i="3"/>
  <c r="J414" i="3"/>
  <c r="AM414" i="3" s="1"/>
  <c r="AB337" i="3"/>
  <c r="J337" i="3"/>
  <c r="AM337" i="3" s="1"/>
  <c r="AB248" i="3"/>
  <c r="J248" i="3"/>
  <c r="AM248" i="3" s="1"/>
  <c r="AB61" i="3"/>
  <c r="J61" i="3"/>
  <c r="AM61" i="3" s="1"/>
  <c r="AB154" i="3"/>
  <c r="J154" i="3"/>
  <c r="AM154" i="3" s="1"/>
  <c r="AB73" i="3"/>
  <c r="J73" i="3"/>
  <c r="AM73" i="3" s="1"/>
  <c r="AB118" i="3"/>
  <c r="J118" i="3"/>
  <c r="AM118" i="3" s="1"/>
  <c r="AB448" i="3"/>
  <c r="J448" i="3"/>
  <c r="AM448" i="3" s="1"/>
  <c r="AB431" i="3"/>
  <c r="J431" i="3"/>
  <c r="AM431" i="3" s="1"/>
  <c r="AB415" i="3"/>
  <c r="J415" i="3"/>
  <c r="AM415" i="3" s="1"/>
  <c r="AB373" i="3"/>
  <c r="J373" i="3"/>
  <c r="AM373" i="3" s="1"/>
  <c r="AB364" i="3"/>
  <c r="J364" i="3"/>
  <c r="AM364" i="3" s="1"/>
  <c r="AB335" i="3"/>
  <c r="J335" i="3"/>
  <c r="AM335" i="3" s="1"/>
  <c r="AB309" i="3"/>
  <c r="J309" i="3"/>
  <c r="AM309" i="3" s="1"/>
  <c r="AB329" i="3"/>
  <c r="J329" i="3"/>
  <c r="AM329" i="3" s="1"/>
  <c r="AB174" i="3"/>
  <c r="J174" i="3"/>
  <c r="AM174" i="3" s="1"/>
  <c r="AB41" i="3"/>
  <c r="J41" i="3"/>
  <c r="AM41" i="3" s="1"/>
  <c r="AB228" i="3"/>
  <c r="J228" i="3"/>
  <c r="AM228" i="3" s="1"/>
  <c r="AB442" i="3"/>
  <c r="J442" i="3"/>
  <c r="AM442" i="3" s="1"/>
  <c r="AB410" i="3"/>
  <c r="J410" i="3"/>
  <c r="AM410" i="3" s="1"/>
  <c r="AB304" i="3"/>
  <c r="J304" i="3"/>
  <c r="AM304" i="3" s="1"/>
  <c r="AB827" i="3"/>
  <c r="J827" i="3"/>
  <c r="AM827" i="3" s="1"/>
  <c r="AB823" i="3"/>
  <c r="J823" i="3"/>
  <c r="AM823" i="3" s="1"/>
  <c r="AB808" i="3"/>
  <c r="J808" i="3"/>
  <c r="AM808" i="3" s="1"/>
  <c r="AB916" i="3"/>
  <c r="J916" i="3"/>
  <c r="AM916" i="3" s="1"/>
  <c r="AB677" i="3"/>
  <c r="J677" i="3"/>
  <c r="AM677" i="3" s="1"/>
  <c r="AB694" i="3"/>
  <c r="J694" i="3"/>
  <c r="AM694" i="3" s="1"/>
  <c r="AB712" i="3"/>
  <c r="J712" i="3"/>
  <c r="AM712" i="3" s="1"/>
  <c r="AB887" i="3"/>
  <c r="J887" i="3"/>
  <c r="AM887" i="3" s="1"/>
  <c r="AB795" i="3"/>
  <c r="J795" i="3"/>
  <c r="AM795" i="3" s="1"/>
  <c r="AB779" i="3"/>
  <c r="J779" i="3"/>
  <c r="AM779" i="3" s="1"/>
  <c r="AB763" i="3"/>
  <c r="J763" i="3"/>
  <c r="AM763" i="3" s="1"/>
  <c r="AB731" i="3"/>
  <c r="J731" i="3"/>
  <c r="AM731" i="3" s="1"/>
  <c r="AB665" i="3"/>
  <c r="J665" i="3"/>
  <c r="AM665" i="3" s="1"/>
  <c r="AB649" i="3"/>
  <c r="J649" i="3"/>
  <c r="AM649" i="3" s="1"/>
  <c r="AB633" i="3"/>
  <c r="J633" i="3"/>
  <c r="AM633" i="3" s="1"/>
  <c r="AB617" i="3"/>
  <c r="J617" i="3"/>
  <c r="AM617" i="3" s="1"/>
  <c r="AB601" i="3"/>
  <c r="J601" i="3"/>
  <c r="AM601" i="3" s="1"/>
  <c r="AB585" i="3"/>
  <c r="J585" i="3"/>
  <c r="AM585" i="3" s="1"/>
  <c r="AB569" i="3"/>
  <c r="J569" i="3"/>
  <c r="AM569" i="3" s="1"/>
  <c r="AB537" i="3"/>
  <c r="J537" i="3"/>
  <c r="AM537" i="3" s="1"/>
  <c r="AB521" i="3"/>
  <c r="J521" i="3"/>
  <c r="AM521" i="3" s="1"/>
  <c r="AB503" i="3"/>
  <c r="J503" i="3"/>
  <c r="AM503" i="3" s="1"/>
  <c r="AB463" i="3"/>
  <c r="J463" i="3"/>
  <c r="AM463" i="3" s="1"/>
  <c r="AB482" i="3"/>
  <c r="J482" i="3"/>
  <c r="AM482" i="3" s="1"/>
  <c r="AB457" i="3"/>
  <c r="J457" i="3"/>
  <c r="AM457" i="3" s="1"/>
  <c r="AB43" i="3"/>
  <c r="J43" i="3"/>
  <c r="AM43" i="3" s="1"/>
  <c r="AB832" i="3"/>
  <c r="J832" i="3"/>
  <c r="AM832" i="3" s="1"/>
  <c r="AB799" i="3"/>
  <c r="J799" i="3"/>
  <c r="AM799" i="3" s="1"/>
  <c r="AB907" i="3"/>
  <c r="J907" i="3"/>
  <c r="AM907" i="3" s="1"/>
  <c r="AB686" i="3"/>
  <c r="J686" i="3"/>
  <c r="AM686" i="3" s="1"/>
  <c r="AB705" i="3"/>
  <c r="J705" i="3"/>
  <c r="AM705" i="3" s="1"/>
  <c r="AB878" i="3"/>
  <c r="J878" i="3"/>
  <c r="AM878" i="3" s="1"/>
  <c r="AB786" i="3"/>
  <c r="J786" i="3"/>
  <c r="AM786" i="3" s="1"/>
  <c r="AB770" i="3"/>
  <c r="J770" i="3"/>
  <c r="AM770" i="3" s="1"/>
  <c r="AB722" i="3"/>
  <c r="J722" i="3"/>
  <c r="AM722" i="3" s="1"/>
  <c r="AB656" i="3"/>
  <c r="J656" i="3"/>
  <c r="AM656" i="3" s="1"/>
  <c r="AB640" i="3"/>
  <c r="J640" i="3"/>
  <c r="AM640" i="3" s="1"/>
  <c r="AB624" i="3"/>
  <c r="J624" i="3"/>
  <c r="AM624" i="3" s="1"/>
  <c r="AB592" i="3"/>
  <c r="J592" i="3"/>
  <c r="AM592" i="3" s="1"/>
  <c r="AB576" i="3"/>
  <c r="J576" i="3"/>
  <c r="AM576" i="3" s="1"/>
  <c r="AB528" i="3"/>
  <c r="J528" i="3"/>
  <c r="AM528" i="3" s="1"/>
  <c r="AB466" i="3"/>
  <c r="J466" i="3"/>
  <c r="AM466" i="3" s="1"/>
  <c r="AB495" i="3"/>
  <c r="J495" i="3"/>
  <c r="AM495" i="3" s="1"/>
  <c r="AB820" i="3"/>
  <c r="J820" i="3"/>
  <c r="AM820" i="3" s="1"/>
  <c r="AB802" i="3"/>
  <c r="J802" i="3"/>
  <c r="AM802" i="3" s="1"/>
  <c r="AB910" i="3"/>
  <c r="J910" i="3"/>
  <c r="AM910" i="3" s="1"/>
  <c r="AB683" i="3"/>
  <c r="J683" i="3"/>
  <c r="AM683" i="3" s="1"/>
  <c r="AB701" i="3"/>
  <c r="J701" i="3"/>
  <c r="AM701" i="3" s="1"/>
  <c r="AB897" i="3"/>
  <c r="J897" i="3"/>
  <c r="AM897" i="3" s="1"/>
  <c r="AB789" i="3"/>
  <c r="J789" i="3"/>
  <c r="AM789" i="3" s="1"/>
  <c r="AB773" i="3"/>
  <c r="J773" i="3"/>
  <c r="AM773" i="3" s="1"/>
  <c r="AB655" i="3"/>
  <c r="J655" i="3"/>
  <c r="AM655" i="3" s="1"/>
  <c r="AB559" i="3"/>
  <c r="J559" i="3"/>
  <c r="AM559" i="3" s="1"/>
  <c r="AB543" i="3"/>
  <c r="J543" i="3"/>
  <c r="AM543" i="3" s="1"/>
  <c r="AB527" i="3"/>
  <c r="J527" i="3"/>
  <c r="AM527" i="3" s="1"/>
  <c r="AB509" i="3"/>
  <c r="J509" i="3"/>
  <c r="AM509" i="3" s="1"/>
  <c r="AB469" i="3"/>
  <c r="J469" i="3"/>
  <c r="AM469" i="3" s="1"/>
  <c r="AB476" i="3"/>
  <c r="J476" i="3"/>
  <c r="AM476" i="3" s="1"/>
  <c r="AB129" i="3"/>
  <c r="J129" i="3"/>
  <c r="AM129" i="3" s="1"/>
  <c r="AB14" i="3"/>
  <c r="J14" i="3"/>
  <c r="AM14" i="3" s="1"/>
  <c r="AB123" i="3"/>
  <c r="J123" i="3"/>
  <c r="AM123" i="3" s="1"/>
  <c r="AB16" i="3"/>
  <c r="J16" i="3"/>
  <c r="AM16" i="3" s="1"/>
  <c r="AB97" i="3"/>
  <c r="J97" i="3"/>
  <c r="AM97" i="3" s="1"/>
  <c r="AB58" i="3"/>
  <c r="J58" i="3"/>
  <c r="AM58" i="3" s="1"/>
  <c r="AB676" i="3"/>
  <c r="J676" i="3"/>
  <c r="AM676" i="3" s="1"/>
  <c r="AB872" i="3"/>
  <c r="J872" i="3"/>
  <c r="AM872" i="3" s="1"/>
  <c r="AB650" i="3"/>
  <c r="J650" i="3"/>
  <c r="AM650" i="3" s="1"/>
  <c r="AB634" i="3"/>
  <c r="J634" i="3"/>
  <c r="AM634" i="3" s="1"/>
  <c r="AB570" i="3"/>
  <c r="J570" i="3"/>
  <c r="AM570" i="3" s="1"/>
  <c r="AB522" i="3"/>
  <c r="J522" i="3"/>
  <c r="AM522" i="3" s="1"/>
  <c r="AB483" i="3"/>
  <c r="J483" i="3"/>
  <c r="AM483" i="3" s="1"/>
  <c r="AB930" i="3"/>
  <c r="J930" i="3"/>
  <c r="AM930" i="3" s="1"/>
  <c r="AB926" i="3"/>
  <c r="J926" i="3"/>
  <c r="AM926" i="3" s="1"/>
  <c r="AB924" i="3"/>
  <c r="J924" i="3"/>
  <c r="AM924" i="3" s="1"/>
  <c r="I379" i="3"/>
  <c r="AB379" i="3"/>
  <c r="I387" i="3"/>
  <c r="AB387" i="3"/>
  <c r="I839" i="3"/>
  <c r="AN839" i="3" s="1"/>
  <c r="AO839" i="3" s="1"/>
  <c r="AP839" i="3" s="1"/>
  <c r="AB839" i="3"/>
  <c r="I904" i="3"/>
  <c r="AN904" i="3" s="1"/>
  <c r="AO904" i="3" s="1"/>
  <c r="AP904" i="3" s="1"/>
  <c r="AB904" i="3"/>
  <c r="I891" i="3"/>
  <c r="AN891" i="3" s="1"/>
  <c r="AO891" i="3" s="1"/>
  <c r="AP891" i="3" s="1"/>
  <c r="AB891" i="3"/>
  <c r="I783" i="3"/>
  <c r="AN783" i="3" s="1"/>
  <c r="AO783" i="3" s="1"/>
  <c r="AP783" i="3" s="1"/>
  <c r="AB783" i="3"/>
  <c r="I767" i="3"/>
  <c r="AN767" i="3" s="1"/>
  <c r="AO767" i="3" s="1"/>
  <c r="AP767" i="3" s="1"/>
  <c r="AB767" i="3"/>
  <c r="I637" i="3"/>
  <c r="AN637" i="3" s="1"/>
  <c r="AO637" i="3" s="1"/>
  <c r="AP637" i="3" s="1"/>
  <c r="AB637" i="3"/>
  <c r="I557" i="3"/>
  <c r="AN557" i="3" s="1"/>
  <c r="AO557" i="3" s="1"/>
  <c r="AP557" i="3" s="1"/>
  <c r="AB557" i="3"/>
  <c r="I803" i="3"/>
  <c r="AN803" i="3" s="1"/>
  <c r="AO803" i="3" s="1"/>
  <c r="AP803" i="3" s="1"/>
  <c r="AB803" i="3"/>
  <c r="I700" i="3"/>
  <c r="AN700" i="3" s="1"/>
  <c r="AO700" i="3" s="1"/>
  <c r="AP700" i="3" s="1"/>
  <c r="AB700" i="3"/>
  <c r="I866" i="3"/>
  <c r="AN866" i="3" s="1"/>
  <c r="AO866" i="3" s="1"/>
  <c r="AP866" i="3" s="1"/>
  <c r="AB866" i="3"/>
  <c r="I758" i="3"/>
  <c r="AN758" i="3" s="1"/>
  <c r="AO758" i="3" s="1"/>
  <c r="AP758" i="3" s="1"/>
  <c r="AB758" i="3"/>
  <c r="I644" i="3"/>
  <c r="AN644" i="3" s="1"/>
  <c r="AO644" i="3" s="1"/>
  <c r="AP644" i="3" s="1"/>
  <c r="AB644" i="3"/>
  <c r="I472" i="3"/>
  <c r="AN472" i="3" s="1"/>
  <c r="AO472" i="3" s="1"/>
  <c r="AP472" i="3" s="1"/>
  <c r="AB472" i="3"/>
  <c r="I816" i="3"/>
  <c r="AN816" i="3" s="1"/>
  <c r="AO816" i="3" s="1"/>
  <c r="AP816" i="3" s="1"/>
  <c r="AB816" i="3"/>
  <c r="I679" i="3"/>
  <c r="AN679" i="3" s="1"/>
  <c r="AO679" i="3" s="1"/>
  <c r="AP679" i="3" s="1"/>
  <c r="AB679" i="3"/>
  <c r="I777" i="3"/>
  <c r="AN777" i="3" s="1"/>
  <c r="AO777" i="3" s="1"/>
  <c r="AP777" i="3" s="1"/>
  <c r="AB777" i="3"/>
  <c r="I595" i="3"/>
  <c r="AN595" i="3" s="1"/>
  <c r="AO595" i="3" s="1"/>
  <c r="AP595" i="3" s="1"/>
  <c r="AB595" i="3"/>
  <c r="I490" i="3"/>
  <c r="AN490" i="3" s="1"/>
  <c r="AO490" i="3" s="1"/>
  <c r="AP490" i="3" s="1"/>
  <c r="AB490" i="3"/>
  <c r="I905" i="3"/>
  <c r="AN905" i="3" s="1"/>
  <c r="AO905" i="3" s="1"/>
  <c r="AP905" i="3" s="1"/>
  <c r="AB905" i="3"/>
  <c r="I768" i="3"/>
  <c r="AN768" i="3" s="1"/>
  <c r="AO768" i="3" s="1"/>
  <c r="AP768" i="3" s="1"/>
  <c r="AB768" i="3"/>
  <c r="I622" i="3"/>
  <c r="AN622" i="3" s="1"/>
  <c r="AO622" i="3" s="1"/>
  <c r="AP622" i="3" s="1"/>
  <c r="AB622" i="3"/>
  <c r="I574" i="3"/>
  <c r="AN574" i="3" s="1"/>
  <c r="AO574" i="3" s="1"/>
  <c r="AP574" i="3" s="1"/>
  <c r="AB574" i="3"/>
  <c r="I468" i="3"/>
  <c r="AN468" i="3" s="1"/>
  <c r="AO468" i="3" s="1"/>
  <c r="AP468" i="3" s="1"/>
  <c r="AB468" i="3"/>
  <c r="I493" i="3"/>
  <c r="AN493" i="3" s="1"/>
  <c r="AO493" i="3" s="1"/>
  <c r="AP493" i="3" s="1"/>
  <c r="AB493" i="3"/>
  <c r="I443" i="3"/>
  <c r="AN443" i="3" s="1"/>
  <c r="AO443" i="3" s="1"/>
  <c r="AP443" i="3" s="1"/>
  <c r="AB443" i="3"/>
  <c r="I383" i="3"/>
  <c r="AB383" i="3"/>
  <c r="I449" i="3"/>
  <c r="AB449" i="3"/>
  <c r="I393" i="3"/>
  <c r="AB393" i="3"/>
  <c r="I381" i="3"/>
  <c r="AB381" i="3"/>
  <c r="I388" i="3"/>
  <c r="AB388" i="3"/>
  <c r="I394" i="3"/>
  <c r="AB394" i="3"/>
  <c r="I370" i="3"/>
  <c r="AB370" i="3"/>
  <c r="I871" i="3"/>
  <c r="AN871" i="3" s="1"/>
  <c r="AO871" i="3" s="1"/>
  <c r="AP871" i="3" s="1"/>
  <c r="AB871" i="3"/>
  <c r="I747" i="3"/>
  <c r="AN747" i="3" s="1"/>
  <c r="AO747" i="3" s="1"/>
  <c r="AP747" i="3" s="1"/>
  <c r="AB747" i="3"/>
  <c r="I715" i="3"/>
  <c r="AN715" i="3" s="1"/>
  <c r="AO715" i="3" s="1"/>
  <c r="AP715" i="3" s="1"/>
  <c r="AB715" i="3"/>
  <c r="I553" i="3"/>
  <c r="AN553" i="3" s="1"/>
  <c r="AO553" i="3" s="1"/>
  <c r="AP553" i="3" s="1"/>
  <c r="AB553" i="3"/>
  <c r="I815" i="3"/>
  <c r="AN815" i="3" s="1"/>
  <c r="AO815" i="3" s="1"/>
  <c r="AP815" i="3" s="1"/>
  <c r="AB815" i="3"/>
  <c r="I894" i="3"/>
  <c r="AN894" i="3" s="1"/>
  <c r="AO894" i="3" s="1"/>
  <c r="AP894" i="3" s="1"/>
  <c r="AB894" i="3"/>
  <c r="I862" i="3"/>
  <c r="AN862" i="3" s="1"/>
  <c r="AO862" i="3" s="1"/>
  <c r="AP862" i="3" s="1"/>
  <c r="AB862" i="3"/>
  <c r="I754" i="3"/>
  <c r="AN754" i="3" s="1"/>
  <c r="AO754" i="3" s="1"/>
  <c r="AP754" i="3" s="1"/>
  <c r="AB754" i="3"/>
  <c r="I738" i="3"/>
  <c r="AN738" i="3" s="1"/>
  <c r="AO738" i="3" s="1"/>
  <c r="AP738" i="3" s="1"/>
  <c r="AB738" i="3"/>
  <c r="I672" i="3"/>
  <c r="AN672" i="3" s="1"/>
  <c r="AO672" i="3" s="1"/>
  <c r="AP672" i="3" s="1"/>
  <c r="AB672" i="3"/>
  <c r="I608" i="3"/>
  <c r="AN608" i="3" s="1"/>
  <c r="AO608" i="3" s="1"/>
  <c r="AP608" i="3" s="1"/>
  <c r="AB608" i="3"/>
  <c r="I560" i="3"/>
  <c r="AN560" i="3" s="1"/>
  <c r="AO560" i="3" s="1"/>
  <c r="AP560" i="3" s="1"/>
  <c r="AB560" i="3"/>
  <c r="I544" i="3"/>
  <c r="AN544" i="3" s="1"/>
  <c r="AO544" i="3" s="1"/>
  <c r="AP544" i="3" s="1"/>
  <c r="AB544" i="3"/>
  <c r="I506" i="3"/>
  <c r="AN506" i="3" s="1"/>
  <c r="AO506" i="3" s="1"/>
  <c r="AP506" i="3" s="1"/>
  <c r="AB506" i="3"/>
  <c r="I487" i="3"/>
  <c r="AN487" i="3" s="1"/>
  <c r="AO487" i="3" s="1"/>
  <c r="AP487" i="3" s="1"/>
  <c r="AB487" i="3"/>
  <c r="I830" i="3"/>
  <c r="AN830" i="3" s="1"/>
  <c r="AO830" i="3" s="1"/>
  <c r="AP830" i="3" s="1"/>
  <c r="AB830" i="3"/>
  <c r="I881" i="3"/>
  <c r="AN881" i="3" s="1"/>
  <c r="AO881" i="3" s="1"/>
  <c r="AP881" i="3" s="1"/>
  <c r="AB881" i="3"/>
  <c r="I865" i="3"/>
  <c r="AN865" i="3" s="1"/>
  <c r="AO865" i="3" s="1"/>
  <c r="AP865" i="3" s="1"/>
  <c r="AB865" i="3"/>
  <c r="I757" i="3"/>
  <c r="AN757" i="3" s="1"/>
  <c r="AO757" i="3" s="1"/>
  <c r="AP757" i="3" s="1"/>
  <c r="AB757" i="3"/>
  <c r="I741" i="3"/>
  <c r="AN741" i="3" s="1"/>
  <c r="AO741" i="3" s="1"/>
  <c r="AP741" i="3" s="1"/>
  <c r="AB741" i="3"/>
  <c r="I725" i="3"/>
  <c r="AN725" i="3" s="1"/>
  <c r="AO725" i="3" s="1"/>
  <c r="AP725" i="3" s="1"/>
  <c r="AB725" i="3"/>
  <c r="I671" i="3"/>
  <c r="AN671" i="3" s="1"/>
  <c r="AO671" i="3" s="1"/>
  <c r="AP671" i="3" s="1"/>
  <c r="AB671" i="3"/>
  <c r="I639" i="3"/>
  <c r="AN639" i="3" s="1"/>
  <c r="AO639" i="3" s="1"/>
  <c r="AP639" i="3" s="1"/>
  <c r="AB639" i="3"/>
  <c r="I623" i="3"/>
  <c r="AN623" i="3" s="1"/>
  <c r="AO623" i="3" s="1"/>
  <c r="AP623" i="3" s="1"/>
  <c r="AB623" i="3"/>
  <c r="I607" i="3"/>
  <c r="AN607" i="3" s="1"/>
  <c r="AO607" i="3" s="1"/>
  <c r="AP607" i="3" s="1"/>
  <c r="AB607" i="3"/>
  <c r="I591" i="3"/>
  <c r="AN591" i="3" s="1"/>
  <c r="AO591" i="3" s="1"/>
  <c r="AP591" i="3" s="1"/>
  <c r="AB591" i="3"/>
  <c r="I575" i="3"/>
  <c r="AN575" i="3" s="1"/>
  <c r="AO575" i="3" s="1"/>
  <c r="AP575" i="3" s="1"/>
  <c r="AB575" i="3"/>
  <c r="I498" i="3"/>
  <c r="AN498" i="3" s="1"/>
  <c r="AO498" i="3" s="1"/>
  <c r="AP498" i="3" s="1"/>
  <c r="AB498" i="3"/>
  <c r="I826" i="3"/>
  <c r="AN826" i="3" s="1"/>
  <c r="AO826" i="3" s="1"/>
  <c r="AP826" i="3" s="1"/>
  <c r="AB826" i="3"/>
  <c r="I809" i="3"/>
  <c r="AN809" i="3" s="1"/>
  <c r="AO809" i="3" s="1"/>
  <c r="AP809" i="3" s="1"/>
  <c r="AB809" i="3"/>
  <c r="I917" i="3"/>
  <c r="AN917" i="3" s="1"/>
  <c r="AO917" i="3" s="1"/>
  <c r="AP917" i="3" s="1"/>
  <c r="AB917" i="3"/>
  <c r="I692" i="3"/>
  <c r="AN692" i="3" s="1"/>
  <c r="AO692" i="3" s="1"/>
  <c r="AP692" i="3" s="1"/>
  <c r="AB692" i="3"/>
  <c r="I711" i="3"/>
  <c r="AN711" i="3" s="1"/>
  <c r="AO711" i="3" s="1"/>
  <c r="AP711" i="3" s="1"/>
  <c r="AB711" i="3"/>
  <c r="I888" i="3"/>
  <c r="AN888" i="3" s="1"/>
  <c r="AO888" i="3" s="1"/>
  <c r="AP888" i="3" s="1"/>
  <c r="AB888" i="3"/>
  <c r="I796" i="3"/>
  <c r="AN796" i="3" s="1"/>
  <c r="AO796" i="3" s="1"/>
  <c r="AP796" i="3" s="1"/>
  <c r="AB796" i="3"/>
  <c r="I780" i="3"/>
  <c r="AN780" i="3" s="1"/>
  <c r="AO780" i="3" s="1"/>
  <c r="AP780" i="3" s="1"/>
  <c r="AB780" i="3"/>
  <c r="I764" i="3"/>
  <c r="AN764" i="3" s="1"/>
  <c r="AO764" i="3" s="1"/>
  <c r="AP764" i="3" s="1"/>
  <c r="AB764" i="3"/>
  <c r="I748" i="3"/>
  <c r="AN748" i="3" s="1"/>
  <c r="AO748" i="3" s="1"/>
  <c r="AP748" i="3" s="1"/>
  <c r="AB748" i="3"/>
  <c r="I732" i="3"/>
  <c r="AN732" i="3" s="1"/>
  <c r="AO732" i="3" s="1"/>
  <c r="AP732" i="3" s="1"/>
  <c r="AB732" i="3"/>
  <c r="I716" i="3"/>
  <c r="AN716" i="3" s="1"/>
  <c r="AO716" i="3" s="1"/>
  <c r="AP716" i="3" s="1"/>
  <c r="AB716" i="3"/>
  <c r="I666" i="3"/>
  <c r="AN666" i="3" s="1"/>
  <c r="AO666" i="3" s="1"/>
  <c r="AP666" i="3" s="1"/>
  <c r="AB666" i="3"/>
  <c r="I618" i="3"/>
  <c r="AN618" i="3" s="1"/>
  <c r="AO618" i="3" s="1"/>
  <c r="AP618" i="3" s="1"/>
  <c r="AB618" i="3"/>
  <c r="I602" i="3"/>
  <c r="AN602" i="3" s="1"/>
  <c r="AO602" i="3" s="1"/>
  <c r="AP602" i="3" s="1"/>
  <c r="AB602" i="3"/>
  <c r="I586" i="3"/>
  <c r="AN586" i="3" s="1"/>
  <c r="AO586" i="3" s="1"/>
  <c r="AP586" i="3" s="1"/>
  <c r="AB586" i="3"/>
  <c r="I554" i="3"/>
  <c r="AN554" i="3" s="1"/>
  <c r="AO554" i="3" s="1"/>
  <c r="AP554" i="3" s="1"/>
  <c r="AB554" i="3"/>
  <c r="I538" i="3"/>
  <c r="AN538" i="3" s="1"/>
  <c r="AO538" i="3" s="1"/>
  <c r="AP538" i="3" s="1"/>
  <c r="AB538" i="3"/>
  <c r="I504" i="3"/>
  <c r="AN504" i="3" s="1"/>
  <c r="AO504" i="3" s="1"/>
  <c r="AP504" i="3" s="1"/>
  <c r="AB504" i="3"/>
  <c r="I464" i="3"/>
  <c r="AN464" i="3" s="1"/>
  <c r="AO464" i="3" s="1"/>
  <c r="AP464" i="3" s="1"/>
  <c r="AB464" i="3"/>
  <c r="I486" i="3"/>
  <c r="AN486" i="3" s="1"/>
  <c r="AO486" i="3" s="1"/>
  <c r="AP486" i="3" s="1"/>
  <c r="AB486" i="3"/>
  <c r="I405" i="3"/>
  <c r="AB405" i="3"/>
  <c r="I380" i="3"/>
  <c r="AB380" i="3"/>
  <c r="I371" i="3"/>
  <c r="AB371" i="3"/>
  <c r="I812" i="3"/>
  <c r="AN812" i="3" s="1"/>
  <c r="AO812" i="3" s="1"/>
  <c r="AP812" i="3" s="1"/>
  <c r="AB812" i="3"/>
  <c r="I708" i="3"/>
  <c r="AN708" i="3" s="1"/>
  <c r="AO708" i="3" s="1"/>
  <c r="AP708" i="3" s="1"/>
  <c r="AB708" i="3"/>
  <c r="I875" i="3"/>
  <c r="AN875" i="3" s="1"/>
  <c r="AO875" i="3" s="1"/>
  <c r="AP875" i="3" s="1"/>
  <c r="AB875" i="3"/>
  <c r="I751" i="3"/>
  <c r="AN751" i="3" s="1"/>
  <c r="AO751" i="3" s="1"/>
  <c r="AP751" i="3" s="1"/>
  <c r="AB751" i="3"/>
  <c r="I507" i="3"/>
  <c r="AN507" i="3" s="1"/>
  <c r="AO507" i="3" s="1"/>
  <c r="AP507" i="3" s="1"/>
  <c r="AB507" i="3"/>
  <c r="I911" i="3"/>
  <c r="AN911" i="3" s="1"/>
  <c r="AO911" i="3" s="1"/>
  <c r="AP911" i="3" s="1"/>
  <c r="AB911" i="3"/>
  <c r="I898" i="3"/>
  <c r="AN898" i="3" s="1"/>
  <c r="AO898" i="3" s="1"/>
  <c r="AP898" i="3" s="1"/>
  <c r="AB898" i="3"/>
  <c r="I790" i="3"/>
  <c r="AN790" i="3" s="1"/>
  <c r="AO790" i="3" s="1"/>
  <c r="AP790" i="3" s="1"/>
  <c r="AB790" i="3"/>
  <c r="I628" i="3"/>
  <c r="AN628" i="3" s="1"/>
  <c r="AO628" i="3" s="1"/>
  <c r="AP628" i="3" s="1"/>
  <c r="AB628" i="3"/>
  <c r="I914" i="3"/>
  <c r="AN914" i="3" s="1"/>
  <c r="AO914" i="3" s="1"/>
  <c r="AP914" i="3" s="1"/>
  <c r="AB914" i="3"/>
  <c r="I793" i="3"/>
  <c r="AN793" i="3" s="1"/>
  <c r="AO793" i="3" s="1"/>
  <c r="AP793" i="3" s="1"/>
  <c r="AB793" i="3"/>
  <c r="I745" i="3"/>
  <c r="AN745" i="3" s="1"/>
  <c r="AO745" i="3" s="1"/>
  <c r="AP745" i="3" s="1"/>
  <c r="AB745" i="3"/>
  <c r="I611" i="3"/>
  <c r="AN611" i="3" s="1"/>
  <c r="AO611" i="3" s="1"/>
  <c r="AP611" i="3" s="1"/>
  <c r="AB611" i="3"/>
  <c r="I563" i="3"/>
  <c r="AN563" i="3" s="1"/>
  <c r="AO563" i="3" s="1"/>
  <c r="AP563" i="3" s="1"/>
  <c r="AB563" i="3"/>
  <c r="I459" i="3"/>
  <c r="AN459" i="3" s="1"/>
  <c r="AO459" i="3" s="1"/>
  <c r="AP459" i="3" s="1"/>
  <c r="AB459" i="3"/>
  <c r="I837" i="3"/>
  <c r="AN837" i="3" s="1"/>
  <c r="AO837" i="3" s="1"/>
  <c r="AP837" i="3" s="1"/>
  <c r="AB837" i="3"/>
  <c r="I374" i="3"/>
  <c r="AB374" i="3"/>
  <c r="I378" i="3"/>
  <c r="AB378" i="3"/>
  <c r="I829" i="3"/>
  <c r="AN829" i="3" s="1"/>
  <c r="AO829" i="3" s="1"/>
  <c r="AP829" i="3" s="1"/>
  <c r="AB829" i="3"/>
  <c r="I818" i="3"/>
  <c r="AN818" i="3" s="1"/>
  <c r="AO818" i="3" s="1"/>
  <c r="AP818" i="3" s="1"/>
  <c r="AB818" i="3"/>
  <c r="I681" i="3"/>
  <c r="AN681" i="3" s="1"/>
  <c r="AO681" i="3" s="1"/>
  <c r="AP681" i="3" s="1"/>
  <c r="AB681" i="3"/>
  <c r="I699" i="3"/>
  <c r="AN699" i="3" s="1"/>
  <c r="AO699" i="3" s="1"/>
  <c r="AP699" i="3" s="1"/>
  <c r="AB699" i="3"/>
  <c r="I883" i="3"/>
  <c r="AN883" i="3" s="1"/>
  <c r="AO883" i="3" s="1"/>
  <c r="AP883" i="3" s="1"/>
  <c r="AB883" i="3"/>
  <c r="I867" i="3"/>
  <c r="AN867" i="3" s="1"/>
  <c r="AO867" i="3" s="1"/>
  <c r="AP867" i="3" s="1"/>
  <c r="AB867" i="3"/>
  <c r="I791" i="3"/>
  <c r="AN791" i="3" s="1"/>
  <c r="AO791" i="3" s="1"/>
  <c r="AP791" i="3" s="1"/>
  <c r="AB791" i="3"/>
  <c r="I775" i="3"/>
  <c r="AN775" i="3" s="1"/>
  <c r="AO775" i="3" s="1"/>
  <c r="AP775" i="3" s="1"/>
  <c r="AB775" i="3"/>
  <c r="I759" i="3"/>
  <c r="AN759" i="3" s="1"/>
  <c r="AO759" i="3" s="1"/>
  <c r="AP759" i="3" s="1"/>
  <c r="AB759" i="3"/>
  <c r="I743" i="3"/>
  <c r="AN743" i="3" s="1"/>
  <c r="AO743" i="3" s="1"/>
  <c r="AP743" i="3" s="1"/>
  <c r="AB743" i="3"/>
  <c r="I727" i="3"/>
  <c r="AN727" i="3" s="1"/>
  <c r="AO727" i="3" s="1"/>
  <c r="AP727" i="3" s="1"/>
  <c r="AB727" i="3"/>
  <c r="I696" i="3"/>
  <c r="AN696" i="3" s="1"/>
  <c r="AO696" i="3" s="1"/>
  <c r="AP696" i="3" s="1"/>
  <c r="AB696" i="3"/>
  <c r="I661" i="3"/>
  <c r="AN661" i="3" s="1"/>
  <c r="AO661" i="3" s="1"/>
  <c r="AP661" i="3" s="1"/>
  <c r="AB661" i="3"/>
  <c r="I645" i="3"/>
  <c r="AN645" i="3" s="1"/>
  <c r="AO645" i="3" s="1"/>
  <c r="AP645" i="3" s="1"/>
  <c r="AB645" i="3"/>
  <c r="I613" i="3"/>
  <c r="AN613" i="3" s="1"/>
  <c r="AO613" i="3" s="1"/>
  <c r="AP613" i="3" s="1"/>
  <c r="AB613" i="3"/>
  <c r="I581" i="3"/>
  <c r="AN581" i="3" s="1"/>
  <c r="AO581" i="3" s="1"/>
  <c r="AP581" i="3" s="1"/>
  <c r="AB581" i="3"/>
  <c r="I496" i="3"/>
  <c r="AN496" i="3" s="1"/>
  <c r="AO496" i="3" s="1"/>
  <c r="AP496" i="3" s="1"/>
  <c r="AB496" i="3"/>
  <c r="I485" i="3"/>
  <c r="AN485" i="3" s="1"/>
  <c r="AO485" i="3" s="1"/>
  <c r="AP485" i="3" s="1"/>
  <c r="AB485" i="3"/>
  <c r="I478" i="3"/>
  <c r="AN478" i="3" s="1"/>
  <c r="AO478" i="3" s="1"/>
  <c r="AP478" i="3" s="1"/>
  <c r="AB478" i="3"/>
  <c r="I919" i="3"/>
  <c r="AN919" i="3" s="1"/>
  <c r="AO919" i="3" s="1"/>
  <c r="AP919" i="3" s="1"/>
  <c r="AB919" i="3"/>
  <c r="I858" i="3"/>
  <c r="AN858" i="3" s="1"/>
  <c r="AO858" i="3" s="1"/>
  <c r="AP858" i="3" s="1"/>
  <c r="AB858" i="3"/>
  <c r="I782" i="3"/>
  <c r="AN782" i="3" s="1"/>
  <c r="AO782" i="3" s="1"/>
  <c r="AP782" i="3" s="1"/>
  <c r="AB782" i="3"/>
  <c r="I766" i="3"/>
  <c r="AN766" i="3" s="1"/>
  <c r="AO766" i="3" s="1"/>
  <c r="AP766" i="3" s="1"/>
  <c r="AB766" i="3"/>
  <c r="I734" i="3"/>
  <c r="AN734" i="3" s="1"/>
  <c r="AO734" i="3" s="1"/>
  <c r="AP734" i="3" s="1"/>
  <c r="AB734" i="3"/>
  <c r="I718" i="3"/>
  <c r="AN718" i="3" s="1"/>
  <c r="AO718" i="3" s="1"/>
  <c r="AP718" i="3" s="1"/>
  <c r="AB718" i="3"/>
  <c r="I668" i="3"/>
  <c r="AN668" i="3" s="1"/>
  <c r="AO668" i="3" s="1"/>
  <c r="AP668" i="3" s="1"/>
  <c r="AB668" i="3"/>
  <c r="I588" i="3"/>
  <c r="AN588" i="3" s="1"/>
  <c r="AO588" i="3" s="1"/>
  <c r="AP588" i="3" s="1"/>
  <c r="AB588" i="3"/>
  <c r="I572" i="3"/>
  <c r="AN572" i="3" s="1"/>
  <c r="AO572" i="3" s="1"/>
  <c r="AP572" i="3" s="1"/>
  <c r="AB572" i="3"/>
  <c r="I556" i="3"/>
  <c r="AN556" i="3" s="1"/>
  <c r="AO556" i="3" s="1"/>
  <c r="AP556" i="3" s="1"/>
  <c r="AB556" i="3"/>
  <c r="I540" i="3"/>
  <c r="AN540" i="3" s="1"/>
  <c r="AO540" i="3" s="1"/>
  <c r="AP540" i="3" s="1"/>
  <c r="AB540" i="3"/>
  <c r="I524" i="3"/>
  <c r="AN524" i="3" s="1"/>
  <c r="AO524" i="3" s="1"/>
  <c r="AP524" i="3" s="1"/>
  <c r="AB524" i="3"/>
  <c r="I462" i="3"/>
  <c r="AN462" i="3" s="1"/>
  <c r="AO462" i="3" s="1"/>
  <c r="AP462" i="3" s="1"/>
  <c r="AB462" i="3"/>
  <c r="I814" i="3"/>
  <c r="AN814" i="3" s="1"/>
  <c r="AO814" i="3" s="1"/>
  <c r="AP814" i="3" s="1"/>
  <c r="AB814" i="3"/>
  <c r="I906" i="3"/>
  <c r="AN906" i="3" s="1"/>
  <c r="AO906" i="3" s="1"/>
  <c r="AP906" i="3" s="1"/>
  <c r="AB906" i="3"/>
  <c r="I706" i="3"/>
  <c r="AN706" i="3" s="1"/>
  <c r="AO706" i="3" s="1"/>
  <c r="AP706" i="3" s="1"/>
  <c r="AB706" i="3"/>
  <c r="I861" i="3"/>
  <c r="AN861" i="3" s="1"/>
  <c r="AO861" i="3" s="1"/>
  <c r="AP861" i="3" s="1"/>
  <c r="AB861" i="3"/>
  <c r="I769" i="3"/>
  <c r="AN769" i="3" s="1"/>
  <c r="AO769" i="3" s="1"/>
  <c r="AP769" i="3" s="1"/>
  <c r="AB769" i="3"/>
  <c r="I667" i="3"/>
  <c r="AN667" i="3" s="1"/>
  <c r="AO667" i="3" s="1"/>
  <c r="AP667" i="3" s="1"/>
  <c r="AB667" i="3"/>
  <c r="I651" i="3"/>
  <c r="AN651" i="3" s="1"/>
  <c r="AO651" i="3" s="1"/>
  <c r="AP651" i="3" s="1"/>
  <c r="AB651" i="3"/>
  <c r="I635" i="3"/>
  <c r="AN635" i="3" s="1"/>
  <c r="AO635" i="3" s="1"/>
  <c r="AP635" i="3" s="1"/>
  <c r="AB635" i="3"/>
  <c r="I619" i="3"/>
  <c r="AN619" i="3" s="1"/>
  <c r="AO619" i="3" s="1"/>
  <c r="AP619" i="3" s="1"/>
  <c r="AB619" i="3"/>
  <c r="I603" i="3"/>
  <c r="AN603" i="3" s="1"/>
  <c r="AO603" i="3" s="1"/>
  <c r="AP603" i="3" s="1"/>
  <c r="AB603" i="3"/>
  <c r="I555" i="3"/>
  <c r="AN555" i="3" s="1"/>
  <c r="AO555" i="3" s="1"/>
  <c r="AP555" i="3" s="1"/>
  <c r="AB555" i="3"/>
  <c r="I539" i="3"/>
  <c r="AN539" i="3" s="1"/>
  <c r="AO539" i="3" s="1"/>
  <c r="AP539" i="3" s="1"/>
  <c r="AB539" i="3"/>
  <c r="I523" i="3"/>
  <c r="AN523" i="3" s="1"/>
  <c r="AO523" i="3" s="1"/>
  <c r="AP523" i="3" s="1"/>
  <c r="AB523" i="3"/>
  <c r="I484" i="3"/>
  <c r="AN484" i="3" s="1"/>
  <c r="AO484" i="3" s="1"/>
  <c r="AP484" i="3" s="1"/>
  <c r="AB484" i="3"/>
  <c r="I835" i="3"/>
  <c r="AN835" i="3" s="1"/>
  <c r="AO835" i="3" s="1"/>
  <c r="AP835" i="3" s="1"/>
  <c r="AB835" i="3"/>
  <c r="I913" i="3"/>
  <c r="AN913" i="3" s="1"/>
  <c r="AO913" i="3" s="1"/>
  <c r="AP913" i="3" s="1"/>
  <c r="AB913" i="3"/>
  <c r="I680" i="3"/>
  <c r="AN680" i="3" s="1"/>
  <c r="AO680" i="3" s="1"/>
  <c r="AP680" i="3" s="1"/>
  <c r="AB680" i="3"/>
  <c r="I900" i="3"/>
  <c r="AN900" i="3" s="1"/>
  <c r="AO900" i="3" s="1"/>
  <c r="AP900" i="3" s="1"/>
  <c r="AB900" i="3"/>
  <c r="I884" i="3"/>
  <c r="AN884" i="3" s="1"/>
  <c r="AO884" i="3" s="1"/>
  <c r="AP884" i="3" s="1"/>
  <c r="AB884" i="3"/>
  <c r="I868" i="3"/>
  <c r="AN868" i="3" s="1"/>
  <c r="AO868" i="3" s="1"/>
  <c r="AP868" i="3" s="1"/>
  <c r="AB868" i="3"/>
  <c r="I776" i="3"/>
  <c r="AN776" i="3" s="1"/>
  <c r="AO776" i="3" s="1"/>
  <c r="AP776" i="3" s="1"/>
  <c r="AB776" i="3"/>
  <c r="I744" i="3"/>
  <c r="AN744" i="3" s="1"/>
  <c r="AO744" i="3" s="1"/>
  <c r="AP744" i="3" s="1"/>
  <c r="AB744" i="3"/>
  <c r="I662" i="3"/>
  <c r="AN662" i="3" s="1"/>
  <c r="AO662" i="3" s="1"/>
  <c r="AP662" i="3" s="1"/>
  <c r="AB662" i="3"/>
  <c r="I630" i="3"/>
  <c r="AN630" i="3" s="1"/>
  <c r="AO630" i="3" s="1"/>
  <c r="AP630" i="3" s="1"/>
  <c r="AB630" i="3"/>
  <c r="I598" i="3"/>
  <c r="AN598" i="3" s="1"/>
  <c r="AO598" i="3" s="1"/>
  <c r="AP598" i="3" s="1"/>
  <c r="AB598" i="3"/>
  <c r="I566" i="3"/>
  <c r="AN566" i="3" s="1"/>
  <c r="AO566" i="3" s="1"/>
  <c r="AP566" i="3" s="1"/>
  <c r="AB566" i="3"/>
  <c r="I494" i="3"/>
  <c r="AN494" i="3" s="1"/>
  <c r="AO494" i="3" s="1"/>
  <c r="AP494" i="3" s="1"/>
  <c r="AB494" i="3"/>
  <c r="I479" i="3"/>
  <c r="AN479" i="3" s="1"/>
  <c r="AO479" i="3" s="1"/>
  <c r="AP479" i="3" s="1"/>
  <c r="AB479" i="3"/>
  <c r="I458" i="3"/>
  <c r="AN458" i="3" s="1"/>
  <c r="AO458" i="3" s="1"/>
  <c r="AP458" i="3" s="1"/>
  <c r="AB458" i="3"/>
  <c r="I406" i="3"/>
  <c r="AB406" i="3"/>
  <c r="I377" i="3"/>
  <c r="AB377" i="3"/>
  <c r="I407" i="3"/>
  <c r="AB407" i="3"/>
  <c r="I920" i="3"/>
  <c r="AN920" i="3" s="1"/>
  <c r="AO920" i="3" s="1"/>
  <c r="AP920" i="3" s="1"/>
  <c r="AB920" i="3"/>
  <c r="I689" i="3"/>
  <c r="AN689" i="3" s="1"/>
  <c r="AO689" i="3" s="1"/>
  <c r="AP689" i="3" s="1"/>
  <c r="AB689" i="3"/>
  <c r="I669" i="3"/>
  <c r="AN669" i="3" s="1"/>
  <c r="AO669" i="3" s="1"/>
  <c r="AP669" i="3" s="1"/>
  <c r="AB669" i="3"/>
  <c r="I621" i="3"/>
  <c r="AN621" i="3" s="1"/>
  <c r="AO621" i="3" s="1"/>
  <c r="AP621" i="3" s="1"/>
  <c r="AB621" i="3"/>
  <c r="I605" i="3"/>
  <c r="AN605" i="3" s="1"/>
  <c r="AO605" i="3" s="1"/>
  <c r="AP605" i="3" s="1"/>
  <c r="AB605" i="3"/>
  <c r="I492" i="3"/>
  <c r="AN492" i="3" s="1"/>
  <c r="AO492" i="3" s="1"/>
  <c r="AP492" i="3" s="1"/>
  <c r="AB492" i="3"/>
  <c r="I819" i="3"/>
  <c r="AN819" i="3" s="1"/>
  <c r="AO819" i="3" s="1"/>
  <c r="AP819" i="3" s="1"/>
  <c r="AB819" i="3"/>
  <c r="I682" i="3"/>
  <c r="AN682" i="3" s="1"/>
  <c r="AO682" i="3" s="1"/>
  <c r="AP682" i="3" s="1"/>
  <c r="AB682" i="3"/>
  <c r="I774" i="3"/>
  <c r="AN774" i="3" s="1"/>
  <c r="AO774" i="3" s="1"/>
  <c r="AP774" i="3" s="1"/>
  <c r="AB774" i="3"/>
  <c r="I660" i="3"/>
  <c r="AN660" i="3" s="1"/>
  <c r="AO660" i="3" s="1"/>
  <c r="AP660" i="3" s="1"/>
  <c r="AB660" i="3"/>
  <c r="I564" i="3"/>
  <c r="AN564" i="3" s="1"/>
  <c r="AO564" i="3" s="1"/>
  <c r="AP564" i="3" s="1"/>
  <c r="AB564" i="3"/>
  <c r="I499" i="3"/>
  <c r="AN499" i="3" s="1"/>
  <c r="AO499" i="3" s="1"/>
  <c r="AP499" i="3" s="1"/>
  <c r="AB499" i="3"/>
  <c r="I761" i="3"/>
  <c r="AN761" i="3" s="1"/>
  <c r="AO761" i="3" s="1"/>
  <c r="AP761" i="3" s="1"/>
  <c r="AB761" i="3"/>
  <c r="I713" i="3"/>
  <c r="AN713" i="3" s="1"/>
  <c r="AO713" i="3" s="1"/>
  <c r="AP713" i="3" s="1"/>
  <c r="AB713" i="3"/>
  <c r="I579" i="3"/>
  <c r="AN579" i="3" s="1"/>
  <c r="AO579" i="3" s="1"/>
  <c r="AP579" i="3" s="1"/>
  <c r="AB579" i="3"/>
  <c r="I513" i="3"/>
  <c r="AN513" i="3" s="1"/>
  <c r="AO513" i="3" s="1"/>
  <c r="AP513" i="3" s="1"/>
  <c r="AB513" i="3"/>
  <c r="I860" i="3"/>
  <c r="AN860" i="3" s="1"/>
  <c r="AO860" i="3" s="1"/>
  <c r="AP860" i="3" s="1"/>
  <c r="AB860" i="3"/>
  <c r="I736" i="3"/>
  <c r="AN736" i="3" s="1"/>
  <c r="AO736" i="3" s="1"/>
  <c r="AP736" i="3" s="1"/>
  <c r="AB736" i="3"/>
  <c r="I670" i="3"/>
  <c r="AN670" i="3" s="1"/>
  <c r="AO670" i="3" s="1"/>
  <c r="AP670" i="3" s="1"/>
  <c r="AB670" i="3"/>
  <c r="I638" i="3"/>
  <c r="AN638" i="3" s="1"/>
  <c r="AO638" i="3" s="1"/>
  <c r="AP638" i="3" s="1"/>
  <c r="AB638" i="3"/>
  <c r="I606" i="3"/>
  <c r="AN606" i="3" s="1"/>
  <c r="AO606" i="3" s="1"/>
  <c r="AP606" i="3" s="1"/>
  <c r="AB606" i="3"/>
  <c r="I590" i="3"/>
  <c r="AN590" i="3" s="1"/>
  <c r="AO590" i="3" s="1"/>
  <c r="AP590" i="3" s="1"/>
  <c r="AB590" i="3"/>
  <c r="I401" i="3"/>
  <c r="AB401" i="3"/>
  <c r="I396" i="3"/>
  <c r="AB396" i="3"/>
  <c r="I402" i="3"/>
  <c r="AB402" i="3"/>
  <c r="I400" i="3"/>
  <c r="AB400" i="3"/>
  <c r="I395" i="3"/>
  <c r="AB395" i="3"/>
  <c r="I403" i="3"/>
  <c r="AB403" i="3"/>
  <c r="I372" i="3"/>
  <c r="AB372" i="3"/>
  <c r="I828" i="3"/>
  <c r="AN828" i="3" s="1"/>
  <c r="AO828" i="3" s="1"/>
  <c r="AP828" i="3" s="1"/>
  <c r="AB828" i="3"/>
  <c r="I863" i="3"/>
  <c r="AN863" i="3" s="1"/>
  <c r="AO863" i="3" s="1"/>
  <c r="AP863" i="3" s="1"/>
  <c r="AB863" i="3"/>
  <c r="I641" i="3"/>
  <c r="AN641" i="3" s="1"/>
  <c r="AO641" i="3" s="1"/>
  <c r="AP641" i="3" s="1"/>
  <c r="AB641" i="3"/>
  <c r="I577" i="3"/>
  <c r="AN577" i="3" s="1"/>
  <c r="AO577" i="3" s="1"/>
  <c r="AP577" i="3" s="1"/>
  <c r="AB577" i="3"/>
  <c r="I529" i="3"/>
  <c r="AN529" i="3" s="1"/>
  <c r="AO529" i="3" s="1"/>
  <c r="AP529" i="3" s="1"/>
  <c r="AB529" i="3"/>
  <c r="I471" i="3"/>
  <c r="AN471" i="3" s="1"/>
  <c r="AO471" i="3" s="1"/>
  <c r="AP471" i="3" s="1"/>
  <c r="AB471" i="3"/>
  <c r="I473" i="3"/>
  <c r="AN473" i="3" s="1"/>
  <c r="AO473" i="3" s="1"/>
  <c r="AP473" i="3" s="1"/>
  <c r="AB473" i="3"/>
  <c r="I902" i="3"/>
  <c r="AN902" i="3" s="1"/>
  <c r="AO902" i="3" s="1"/>
  <c r="AP902" i="3" s="1"/>
  <c r="AB902" i="3"/>
  <c r="I886" i="3"/>
  <c r="AN886" i="3" s="1"/>
  <c r="AO886" i="3" s="1"/>
  <c r="AP886" i="3" s="1"/>
  <c r="AB886" i="3"/>
  <c r="I870" i="3"/>
  <c r="AN870" i="3" s="1"/>
  <c r="AO870" i="3" s="1"/>
  <c r="AP870" i="3" s="1"/>
  <c r="AB870" i="3"/>
  <c r="I778" i="3"/>
  <c r="AN778" i="3" s="1"/>
  <c r="AO778" i="3" s="1"/>
  <c r="AP778" i="3" s="1"/>
  <c r="AB778" i="3"/>
  <c r="I746" i="3"/>
  <c r="AN746" i="3" s="1"/>
  <c r="AO746" i="3" s="1"/>
  <c r="AP746" i="3" s="1"/>
  <c r="AB746" i="3"/>
  <c r="I714" i="3"/>
  <c r="AN714" i="3" s="1"/>
  <c r="AO714" i="3" s="1"/>
  <c r="AP714" i="3" s="1"/>
  <c r="AB714" i="3"/>
  <c r="I584" i="3"/>
  <c r="AN584" i="3" s="1"/>
  <c r="AO584" i="3" s="1"/>
  <c r="AP584" i="3" s="1"/>
  <c r="AB584" i="3"/>
  <c r="I568" i="3"/>
  <c r="AN568" i="3" s="1"/>
  <c r="AO568" i="3" s="1"/>
  <c r="AP568" i="3" s="1"/>
  <c r="AB568" i="3"/>
  <c r="I552" i="3"/>
  <c r="AN552" i="3" s="1"/>
  <c r="AO552" i="3" s="1"/>
  <c r="AP552" i="3" s="1"/>
  <c r="AB552" i="3"/>
  <c r="I536" i="3"/>
  <c r="AN536" i="3" s="1"/>
  <c r="AO536" i="3" s="1"/>
  <c r="AP536" i="3" s="1"/>
  <c r="AB536" i="3"/>
  <c r="I491" i="3"/>
  <c r="AN491" i="3" s="1"/>
  <c r="AO491" i="3" s="1"/>
  <c r="AP491" i="3" s="1"/>
  <c r="AB491" i="3"/>
  <c r="I516" i="3"/>
  <c r="AN516" i="3" s="1"/>
  <c r="AO516" i="3" s="1"/>
  <c r="AP516" i="3" s="1"/>
  <c r="AB516" i="3"/>
  <c r="I918" i="3"/>
  <c r="AN918" i="3" s="1"/>
  <c r="AO918" i="3" s="1"/>
  <c r="AP918" i="3" s="1"/>
  <c r="AB918" i="3"/>
  <c r="I675" i="3"/>
  <c r="AN675" i="3" s="1"/>
  <c r="AO675" i="3" s="1"/>
  <c r="AP675" i="3" s="1"/>
  <c r="AB675" i="3"/>
  <c r="I691" i="3"/>
  <c r="AN691" i="3" s="1"/>
  <c r="AO691" i="3" s="1"/>
  <c r="AP691" i="3" s="1"/>
  <c r="AB691" i="3"/>
  <c r="I710" i="3"/>
  <c r="AN710" i="3" s="1"/>
  <c r="AO710" i="3" s="1"/>
  <c r="AP710" i="3" s="1"/>
  <c r="AB710" i="3"/>
  <c r="I889" i="3"/>
  <c r="AN889" i="3" s="1"/>
  <c r="AO889" i="3" s="1"/>
  <c r="AP889" i="3" s="1"/>
  <c r="AB889" i="3"/>
  <c r="I873" i="3"/>
  <c r="AN873" i="3" s="1"/>
  <c r="AO873" i="3" s="1"/>
  <c r="AP873" i="3" s="1"/>
  <c r="AB873" i="3"/>
  <c r="I749" i="3"/>
  <c r="AN749" i="3" s="1"/>
  <c r="AO749" i="3" s="1"/>
  <c r="AP749" i="3" s="1"/>
  <c r="AB749" i="3"/>
  <c r="I647" i="3"/>
  <c r="AN647" i="3" s="1"/>
  <c r="AO647" i="3" s="1"/>
  <c r="AP647" i="3" s="1"/>
  <c r="AB647" i="3"/>
  <c r="I599" i="3"/>
  <c r="AN599" i="3" s="1"/>
  <c r="AO599" i="3" s="1"/>
  <c r="AP599" i="3" s="1"/>
  <c r="AB599" i="3"/>
  <c r="I535" i="3"/>
  <c r="AN535" i="3" s="1"/>
  <c r="AO535" i="3" s="1"/>
  <c r="AP535" i="3" s="1"/>
  <c r="AB535" i="3"/>
  <c r="I519" i="3"/>
  <c r="AN519" i="3" s="1"/>
  <c r="AO519" i="3" s="1"/>
  <c r="AP519" i="3" s="1"/>
  <c r="AB519" i="3"/>
  <c r="I461" i="3"/>
  <c r="AN461" i="3" s="1"/>
  <c r="AO461" i="3" s="1"/>
  <c r="AP461" i="3" s="1"/>
  <c r="AB461" i="3"/>
  <c r="I480" i="3"/>
  <c r="AN480" i="3" s="1"/>
  <c r="AO480" i="3" s="1"/>
  <c r="AP480" i="3" s="1"/>
  <c r="AB480" i="3"/>
  <c r="I452" i="3"/>
  <c r="AN452" i="3" s="1"/>
  <c r="AO452" i="3" s="1"/>
  <c r="AP452" i="3" s="1"/>
  <c r="AB452" i="3"/>
  <c r="I836" i="3"/>
  <c r="AN836" i="3" s="1"/>
  <c r="AO836" i="3" s="1"/>
  <c r="AP836" i="3" s="1"/>
  <c r="AB836" i="3"/>
  <c r="I821" i="3"/>
  <c r="AN821" i="3" s="1"/>
  <c r="AO821" i="3" s="1"/>
  <c r="AP821" i="3" s="1"/>
  <c r="AB821" i="3"/>
  <c r="I801" i="3"/>
  <c r="AN801" i="3" s="1"/>
  <c r="AO801" i="3" s="1"/>
  <c r="AP801" i="3" s="1"/>
  <c r="AB801" i="3"/>
  <c r="I909" i="3"/>
  <c r="AN909" i="3" s="1"/>
  <c r="AO909" i="3" s="1"/>
  <c r="AP909" i="3" s="1"/>
  <c r="AB909" i="3"/>
  <c r="I702" i="3"/>
  <c r="AN702" i="3" s="1"/>
  <c r="AO702" i="3" s="1"/>
  <c r="AP702" i="3" s="1"/>
  <c r="AB702" i="3"/>
  <c r="I896" i="3"/>
  <c r="AN896" i="3" s="1"/>
  <c r="AO896" i="3" s="1"/>
  <c r="AP896" i="3" s="1"/>
  <c r="AB896" i="3"/>
  <c r="I864" i="3"/>
  <c r="AN864" i="3" s="1"/>
  <c r="AO864" i="3" s="1"/>
  <c r="AP864" i="3" s="1"/>
  <c r="AB864" i="3"/>
  <c r="I772" i="3"/>
  <c r="AN772" i="3" s="1"/>
  <c r="AO772" i="3" s="1"/>
  <c r="AP772" i="3" s="1"/>
  <c r="AB772" i="3"/>
  <c r="I756" i="3"/>
  <c r="AN756" i="3" s="1"/>
  <c r="AO756" i="3" s="1"/>
  <c r="AP756" i="3" s="1"/>
  <c r="AB756" i="3"/>
  <c r="I740" i="3"/>
  <c r="AN740" i="3" s="1"/>
  <c r="AO740" i="3" s="1"/>
  <c r="AP740" i="3" s="1"/>
  <c r="AB740" i="3"/>
  <c r="I724" i="3"/>
  <c r="AN724" i="3" s="1"/>
  <c r="AO724" i="3" s="1"/>
  <c r="AP724" i="3" s="1"/>
  <c r="AB724" i="3"/>
  <c r="I674" i="3"/>
  <c r="AN674" i="3" s="1"/>
  <c r="AO674" i="3" s="1"/>
  <c r="AP674" i="3" s="1"/>
  <c r="AB674" i="3"/>
  <c r="I658" i="3"/>
  <c r="AN658" i="3" s="1"/>
  <c r="AO658" i="3" s="1"/>
  <c r="AP658" i="3" s="1"/>
  <c r="AB658" i="3"/>
  <c r="I642" i="3"/>
  <c r="AN642" i="3" s="1"/>
  <c r="AO642" i="3" s="1"/>
  <c r="AP642" i="3" s="1"/>
  <c r="AB642" i="3"/>
  <c r="I610" i="3"/>
  <c r="AN610" i="3" s="1"/>
  <c r="AO610" i="3" s="1"/>
  <c r="AP610" i="3" s="1"/>
  <c r="AB610" i="3"/>
  <c r="I594" i="3"/>
  <c r="AN594" i="3" s="1"/>
  <c r="AO594" i="3" s="1"/>
  <c r="AP594" i="3" s="1"/>
  <c r="AB594" i="3"/>
  <c r="I562" i="3"/>
  <c r="AN562" i="3" s="1"/>
  <c r="AO562" i="3" s="1"/>
  <c r="AP562" i="3" s="1"/>
  <c r="AB562" i="3"/>
  <c r="I546" i="3"/>
  <c r="AN546" i="3" s="1"/>
  <c r="AO546" i="3" s="1"/>
  <c r="AP546" i="3" s="1"/>
  <c r="AB546" i="3"/>
  <c r="I512" i="3"/>
  <c r="AN512" i="3" s="1"/>
  <c r="AO512" i="3" s="1"/>
  <c r="AP512" i="3" s="1"/>
  <c r="AB512" i="3"/>
  <c r="I489" i="3"/>
  <c r="AN489" i="3" s="1"/>
  <c r="AO489" i="3" s="1"/>
  <c r="AP489" i="3" s="1"/>
  <c r="AB489" i="3"/>
  <c r="I474" i="3"/>
  <c r="AN474" i="3" s="1"/>
  <c r="AO474" i="3" s="1"/>
  <c r="AP474" i="3" s="1"/>
  <c r="AB474" i="3"/>
  <c r="I456" i="3"/>
  <c r="AN456" i="3" s="1"/>
  <c r="AO456" i="3" s="1"/>
  <c r="AP456" i="3" s="1"/>
  <c r="AB456" i="3"/>
  <c r="AF851" i="3"/>
  <c r="AF1004" i="3"/>
  <c r="AF980" i="3"/>
  <c r="AF999" i="3"/>
  <c r="AF976" i="3"/>
  <c r="AF995" i="3"/>
  <c r="AF956" i="3"/>
  <c r="AF993" i="3"/>
  <c r="AF932" i="3"/>
  <c r="AF991" i="3"/>
  <c r="AF964" i="3"/>
  <c r="AF989" i="3"/>
  <c r="AF897" i="3"/>
  <c r="AF981" i="3"/>
  <c r="AF842" i="3"/>
  <c r="AF979" i="3"/>
  <c r="AF977" i="3"/>
  <c r="AF978" i="3"/>
  <c r="AF960" i="3"/>
  <c r="AF973" i="3"/>
  <c r="AF970" i="3"/>
  <c r="AF972" i="3"/>
  <c r="AF947" i="3"/>
  <c r="AF966" i="3"/>
  <c r="AF933" i="3"/>
  <c r="AF962" i="3"/>
  <c r="AF946" i="3"/>
  <c r="AF961" i="3"/>
  <c r="AF856" i="3"/>
  <c r="AF953" i="3"/>
  <c r="AF853" i="3"/>
  <c r="AF811" i="3"/>
  <c r="AF852" i="3"/>
  <c r="AF849" i="3"/>
  <c r="AF850" i="3"/>
  <c r="AF848" i="3"/>
  <c r="AF725" i="3"/>
  <c r="AF844" i="3"/>
  <c r="AF838" i="3"/>
  <c r="AF843" i="3"/>
  <c r="AF840" i="3"/>
  <c r="AF841" i="3"/>
  <c r="AF957" i="3"/>
  <c r="AF958" i="3"/>
  <c r="AF498" i="3"/>
  <c r="AF959" i="3"/>
  <c r="AF823" i="3"/>
  <c r="AF952" i="3"/>
  <c r="I831" i="3"/>
  <c r="AF821" i="3"/>
  <c r="AF948" i="3"/>
  <c r="AF942" i="3"/>
  <c r="AF945" i="3"/>
  <c r="AF820" i="3"/>
  <c r="AF944" i="3"/>
  <c r="AF819" i="3"/>
  <c r="AF940" i="3"/>
  <c r="AF662" i="3"/>
  <c r="AF939" i="3"/>
  <c r="AF896" i="3"/>
  <c r="AF938" i="3"/>
  <c r="AF935" i="3"/>
  <c r="AF936" i="3"/>
  <c r="AF934" i="3"/>
  <c r="AF902" i="3"/>
  <c r="AF928" i="3"/>
  <c r="AF931" i="3"/>
  <c r="AF930" i="3"/>
  <c r="AF929" i="3"/>
  <c r="I773" i="3"/>
  <c r="I930" i="3"/>
  <c r="I926" i="3"/>
  <c r="I924" i="3"/>
  <c r="I927" i="3"/>
  <c r="I929" i="3"/>
  <c r="I931" i="3"/>
  <c r="I921" i="3"/>
  <c r="I925" i="3"/>
  <c r="AN925" i="3" s="1"/>
  <c r="AO925" i="3" s="1"/>
  <c r="AP925" i="3" s="1"/>
  <c r="I922" i="3"/>
  <c r="I928" i="3"/>
  <c r="I923" i="3"/>
  <c r="I583" i="3"/>
  <c r="AN583" i="3" s="1"/>
  <c r="AO583" i="3" s="1"/>
  <c r="AP583" i="3" s="1"/>
  <c r="I634" i="3"/>
  <c r="I509" i="3"/>
  <c r="AN509" i="3" s="1"/>
  <c r="AO509" i="3" s="1"/>
  <c r="AP509" i="3" s="1"/>
  <c r="I559" i="3"/>
  <c r="I655" i="3"/>
  <c r="I659" i="3"/>
  <c r="I475" i="3"/>
  <c r="I58" i="3"/>
  <c r="I897" i="3"/>
  <c r="I720" i="3"/>
  <c r="I650" i="3"/>
  <c r="I813" i="3"/>
  <c r="I872" i="3"/>
  <c r="I527" i="3"/>
  <c r="I885" i="3"/>
  <c r="I627" i="3"/>
  <c r="I547" i="3"/>
  <c r="AN547" i="3" s="1"/>
  <c r="AO547" i="3" s="1"/>
  <c r="AP547" i="3" s="1"/>
  <c r="I77" i="3"/>
  <c r="I145" i="3"/>
  <c r="AN145" i="3" s="1"/>
  <c r="AO145" i="3" s="1"/>
  <c r="AP145" i="3" s="1"/>
  <c r="I469" i="3"/>
  <c r="I508" i="3"/>
  <c r="AN508" i="3" s="1"/>
  <c r="AO508" i="3" s="1"/>
  <c r="AP508" i="3" s="1"/>
  <c r="I797" i="3"/>
  <c r="I688" i="3"/>
  <c r="AN688" i="3" s="1"/>
  <c r="AO688" i="3" s="1"/>
  <c r="AP688" i="3" s="1"/>
  <c r="I729" i="3"/>
  <c r="I654" i="3"/>
  <c r="AN654" i="3" s="1"/>
  <c r="AO654" i="3" s="1"/>
  <c r="AP654" i="3" s="1"/>
  <c r="I643" i="3"/>
  <c r="I580" i="3"/>
  <c r="AN580" i="3" s="1"/>
  <c r="AO580" i="3" s="1"/>
  <c r="AP580" i="3" s="1"/>
  <c r="I570" i="3"/>
  <c r="I558" i="3"/>
  <c r="I543" i="3"/>
  <c r="I522" i="3"/>
  <c r="I127" i="3"/>
  <c r="I707" i="3"/>
  <c r="AN707" i="3" s="1"/>
  <c r="AO707" i="3" s="1"/>
  <c r="AP707" i="3" s="1"/>
  <c r="I869" i="3"/>
  <c r="I596" i="3"/>
  <c r="I526" i="3"/>
  <c r="I81" i="3"/>
  <c r="I23" i="3"/>
  <c r="I510" i="3"/>
  <c r="I515" i="3"/>
  <c r="I901" i="3"/>
  <c r="I876" i="3"/>
  <c r="I784" i="3"/>
  <c r="AN784" i="3" s="1"/>
  <c r="AO784" i="3" s="1"/>
  <c r="AP784" i="3" s="1"/>
  <c r="I752" i="3"/>
  <c r="I653" i="3"/>
  <c r="AN653" i="3" s="1"/>
  <c r="AO653" i="3" s="1"/>
  <c r="AP653" i="3" s="1"/>
  <c r="I640" i="3"/>
  <c r="I612" i="3"/>
  <c r="AN612" i="3" s="1"/>
  <c r="AO612" i="3" s="1"/>
  <c r="AP612" i="3" s="1"/>
  <c r="I531" i="3"/>
  <c r="AA2" i="3"/>
  <c r="J2" i="3" s="1"/>
  <c r="AM2" i="3" s="1"/>
  <c r="I123" i="3"/>
  <c r="I97" i="3"/>
  <c r="I14" i="3"/>
  <c r="I476" i="3"/>
  <c r="I683" i="3"/>
  <c r="I129" i="3"/>
  <c r="I483" i="3"/>
  <c r="I676" i="3"/>
  <c r="AN676" i="3" s="1"/>
  <c r="AO676" i="3" s="1"/>
  <c r="AP676" i="3" s="1"/>
  <c r="I789" i="3"/>
  <c r="I16" i="3"/>
  <c r="I589" i="3"/>
  <c r="I765" i="3"/>
  <c r="AN765" i="3" s="1"/>
  <c r="AO765" i="3" s="1"/>
  <c r="AP765" i="3" s="1"/>
  <c r="I66" i="3"/>
  <c r="I892" i="3"/>
  <c r="AN892" i="3" s="1"/>
  <c r="AO892" i="3" s="1"/>
  <c r="AP892" i="3" s="1"/>
  <c r="I684" i="3"/>
  <c r="I541" i="3"/>
  <c r="I912" i="3"/>
  <c r="I502" i="3"/>
  <c r="I477" i="3"/>
  <c r="I903" i="3"/>
  <c r="AN903" i="3" s="1"/>
  <c r="AO903" i="3" s="1"/>
  <c r="AP903" i="3" s="1"/>
  <c r="I788" i="3"/>
  <c r="I750" i="3"/>
  <c r="AN750" i="3" s="1"/>
  <c r="AO750" i="3" s="1"/>
  <c r="AP750" i="3" s="1"/>
  <c r="I733" i="3"/>
  <c r="I664" i="3"/>
  <c r="AN664" i="3" s="1"/>
  <c r="AO664" i="3" s="1"/>
  <c r="AP664" i="3" s="1"/>
  <c r="I629" i="3"/>
  <c r="I46" i="3"/>
  <c r="AN46" i="3" s="1"/>
  <c r="AO46" i="3" s="1"/>
  <c r="AP46" i="3" s="1"/>
  <c r="I501" i="3"/>
  <c r="I488" i="3"/>
  <c r="AN488" i="3" s="1"/>
  <c r="AO488" i="3" s="1"/>
  <c r="AP488" i="3" s="1"/>
  <c r="I615" i="3"/>
  <c r="I542" i="3"/>
  <c r="I874" i="3"/>
  <c r="I453" i="3"/>
  <c r="AN453" i="3" s="1"/>
  <c r="AO453" i="3" s="1"/>
  <c r="AP453" i="3" s="1"/>
  <c r="I652" i="3"/>
  <c r="I798" i="3"/>
  <c r="AN798" i="3" s="1"/>
  <c r="AO798" i="3" s="1"/>
  <c r="AP798" i="3" s="1"/>
  <c r="I687" i="3"/>
  <c r="I890" i="3"/>
  <c r="I636" i="3"/>
  <c r="I631" i="3"/>
  <c r="I530" i="3"/>
  <c r="I697" i="3"/>
  <c r="AN697" i="3" s="1"/>
  <c r="AO697" i="3" s="1"/>
  <c r="AP697" i="3" s="1"/>
  <c r="I709" i="3"/>
  <c r="I857" i="3"/>
  <c r="I781" i="3"/>
  <c r="I762" i="3"/>
  <c r="AN762" i="3" s="1"/>
  <c r="AO762" i="3" s="1"/>
  <c r="AP762" i="3" s="1"/>
  <c r="I717" i="3"/>
  <c r="I578" i="3"/>
  <c r="I533" i="3"/>
  <c r="I463" i="3"/>
  <c r="I686" i="3"/>
  <c r="I624" i="3"/>
  <c r="AN624" i="3" s="1"/>
  <c r="AO624" i="3" s="1"/>
  <c r="AP624" i="3" s="1"/>
  <c r="I701" i="3"/>
  <c r="I497" i="3"/>
  <c r="I59" i="3"/>
  <c r="I726" i="3"/>
  <c r="AN726" i="3" s="1"/>
  <c r="AO726" i="3" s="1"/>
  <c r="AP726" i="3" s="1"/>
  <c r="I565" i="3"/>
  <c r="I467" i="3"/>
  <c r="I811" i="3"/>
  <c r="I742" i="3"/>
  <c r="I832" i="3"/>
  <c r="I808" i="3"/>
  <c r="AN808" i="3" s="1"/>
  <c r="AO808" i="3" s="1"/>
  <c r="AP808" i="3" s="1"/>
  <c r="I786" i="3"/>
  <c r="I617" i="3"/>
  <c r="AN617" i="3" s="1"/>
  <c r="AO617" i="3" s="1"/>
  <c r="AP617" i="3" s="1"/>
  <c r="I466" i="3"/>
  <c r="I457" i="3"/>
  <c r="AN457" i="3" s="1"/>
  <c r="AO457" i="3" s="1"/>
  <c r="AP457" i="3" s="1"/>
  <c r="I779" i="3"/>
  <c r="I521" i="3"/>
  <c r="I799" i="3"/>
  <c r="I712" i="3"/>
  <c r="AN712" i="3" s="1"/>
  <c r="AO712" i="3" s="1"/>
  <c r="AP712" i="3" s="1"/>
  <c r="I455" i="3"/>
  <c r="I810" i="3"/>
  <c r="I770" i="3"/>
  <c r="I730" i="3"/>
  <c r="I825" i="3"/>
  <c r="I840" i="3"/>
  <c r="I800" i="3"/>
  <c r="I771" i="3"/>
  <c r="I609" i="3"/>
  <c r="I537" i="3"/>
  <c r="I511" i="3"/>
  <c r="I460" i="3"/>
  <c r="AN460" i="3" s="1"/>
  <c r="AO460" i="3" s="1"/>
  <c r="AP460" i="3" s="1"/>
  <c r="I915" i="3"/>
  <c r="I705" i="3"/>
  <c r="I878" i="3"/>
  <c r="I528" i="3"/>
  <c r="I677" i="3"/>
  <c r="I895" i="3"/>
  <c r="I673" i="3"/>
  <c r="I545" i="3"/>
  <c r="I503" i="3"/>
  <c r="I500" i="3"/>
  <c r="AN500" i="3" s="1"/>
  <c r="AO500" i="3" s="1"/>
  <c r="AP500" i="3" s="1"/>
  <c r="I824" i="3"/>
  <c r="I695" i="3"/>
  <c r="AN695" i="3" s="1"/>
  <c r="AO695" i="3" s="1"/>
  <c r="AP695" i="3" s="1"/>
  <c r="I656" i="3"/>
  <c r="I820" i="3"/>
  <c r="I910" i="3"/>
  <c r="I802" i="3"/>
  <c r="AN802" i="3" s="1"/>
  <c r="AO802" i="3" s="1"/>
  <c r="AP802" i="3" s="1"/>
  <c r="I907" i="3"/>
  <c r="I859" i="3"/>
  <c r="AN859" i="3" s="1"/>
  <c r="AO859" i="3" s="1"/>
  <c r="AP859" i="3" s="1"/>
  <c r="I719" i="3"/>
  <c r="I663" i="3"/>
  <c r="I600" i="3"/>
  <c r="I567" i="3"/>
  <c r="I12" i="3"/>
  <c r="I88" i="3"/>
  <c r="I482" i="3"/>
  <c r="I735" i="3"/>
  <c r="I722" i="3"/>
  <c r="I649" i="3"/>
  <c r="I626" i="3"/>
  <c r="I616" i="3"/>
  <c r="AN616" i="3" s="1"/>
  <c r="AO616" i="3" s="1"/>
  <c r="AP616" i="3" s="1"/>
  <c r="I597" i="3"/>
  <c r="I737" i="3"/>
  <c r="AN737" i="3" s="1"/>
  <c r="AO737" i="3" s="1"/>
  <c r="AP737" i="3" s="1"/>
  <c r="I573" i="3"/>
  <c r="I585" i="3"/>
  <c r="I525" i="3"/>
  <c r="I112" i="3"/>
  <c r="AN112" i="3" s="1"/>
  <c r="AO112" i="3" s="1"/>
  <c r="AP112" i="3" s="1"/>
  <c r="I43" i="3"/>
  <c r="I470" i="3"/>
  <c r="AN470" i="3" s="1"/>
  <c r="AO470" i="3" s="1"/>
  <c r="AP470" i="3" s="1"/>
  <c r="I514" i="3"/>
  <c r="I880" i="3"/>
  <c r="I838" i="3"/>
  <c r="I142" i="3"/>
  <c r="AN142" i="3" s="1"/>
  <c r="AO142" i="3" s="1"/>
  <c r="AP142" i="3" s="1"/>
  <c r="I31" i="3"/>
  <c r="I804" i="3"/>
  <c r="AN804" i="3" s="1"/>
  <c r="AO804" i="3" s="1"/>
  <c r="AP804" i="3" s="1"/>
  <c r="I882" i="3"/>
  <c r="I648" i="3"/>
  <c r="AN648" i="3" s="1"/>
  <c r="AO648" i="3" s="1"/>
  <c r="AP648" i="3" s="1"/>
  <c r="I582" i="3"/>
  <c r="I794" i="3"/>
  <c r="I604" i="3"/>
  <c r="I534" i="3"/>
  <c r="AN534" i="3" s="1"/>
  <c r="AO534" i="3" s="1"/>
  <c r="AP534" i="3" s="1"/>
  <c r="I481" i="3"/>
  <c r="I465" i="3"/>
  <c r="I685" i="3"/>
  <c r="I698" i="3"/>
  <c r="AN698" i="3" s="1"/>
  <c r="AO698" i="3" s="1"/>
  <c r="AP698" i="3" s="1"/>
  <c r="I899" i="3"/>
  <c r="I760" i="3"/>
  <c r="I576" i="3"/>
  <c r="I518" i="3"/>
  <c r="I90" i="3"/>
  <c r="I100" i="3"/>
  <c r="AN100" i="3" s="1"/>
  <c r="AO100" i="3" s="1"/>
  <c r="AP100" i="3" s="1"/>
  <c r="I505" i="3"/>
  <c r="I817" i="3"/>
  <c r="I893" i="3"/>
  <c r="I785" i="3"/>
  <c r="AN785" i="3" s="1"/>
  <c r="AO785" i="3" s="1"/>
  <c r="AP785" i="3" s="1"/>
  <c r="I753" i="3"/>
  <c r="I721" i="3"/>
  <c r="AN721" i="3" s="1"/>
  <c r="AO721" i="3" s="1"/>
  <c r="AP721" i="3" s="1"/>
  <c r="I620" i="3"/>
  <c r="I550" i="3"/>
  <c r="AN550" i="3" s="1"/>
  <c r="AO550" i="3" s="1"/>
  <c r="AP550" i="3" s="1"/>
  <c r="I520" i="3"/>
  <c r="I451" i="3"/>
  <c r="I806" i="3"/>
  <c r="I877" i="3"/>
  <c r="I792" i="3"/>
  <c r="I739" i="3"/>
  <c r="AN739" i="3" s="1"/>
  <c r="AO739" i="3" s="1"/>
  <c r="AP739" i="3" s="1"/>
  <c r="I728" i="3"/>
  <c r="I646" i="3"/>
  <c r="I614" i="3"/>
  <c r="I592" i="3"/>
  <c r="I548" i="3"/>
  <c r="I532" i="3"/>
  <c r="I834" i="3"/>
  <c r="I495" i="3"/>
  <c r="I454" i="3"/>
  <c r="I807" i="3"/>
  <c r="I805" i="3"/>
  <c r="I678" i="3"/>
  <c r="AN678" i="3" s="1"/>
  <c r="AO678" i="3" s="1"/>
  <c r="AP678" i="3" s="1"/>
  <c r="I690" i="3"/>
  <c r="I703" i="3"/>
  <c r="AN703" i="3" s="1"/>
  <c r="AO703" i="3" s="1"/>
  <c r="AP703" i="3" s="1"/>
  <c r="I693" i="3"/>
  <c r="I632" i="3"/>
  <c r="I587" i="3"/>
  <c r="I571" i="3"/>
  <c r="AN571" i="3" s="1"/>
  <c r="AO571" i="3" s="1"/>
  <c r="AP571" i="3" s="1"/>
  <c r="I549" i="3"/>
  <c r="I517" i="3"/>
  <c r="AN517" i="3" s="1"/>
  <c r="AO517" i="3" s="1"/>
  <c r="AP517" i="3" s="1"/>
  <c r="I833" i="3"/>
  <c r="I107" i="3"/>
  <c r="I57" i="3"/>
  <c r="I51" i="3"/>
  <c r="AN51" i="3" s="1"/>
  <c r="AO51" i="3" s="1"/>
  <c r="AP51" i="3" s="1"/>
  <c r="I823" i="3"/>
  <c r="I908" i="3"/>
  <c r="I694" i="3"/>
  <c r="I879" i="3"/>
  <c r="AN879" i="3" s="1"/>
  <c r="AO879" i="3" s="1"/>
  <c r="AP879" i="3" s="1"/>
  <c r="I795" i="3"/>
  <c r="I755" i="3"/>
  <c r="AN755" i="3" s="1"/>
  <c r="AO755" i="3" s="1"/>
  <c r="AP755" i="3" s="1"/>
  <c r="I731" i="3"/>
  <c r="I657" i="3"/>
  <c r="I633" i="3"/>
  <c r="I593" i="3"/>
  <c r="I569" i="3"/>
  <c r="I822" i="3"/>
  <c r="AN822" i="3" s="1"/>
  <c r="AO822" i="3" s="1"/>
  <c r="AP822" i="3" s="1"/>
  <c r="I916" i="3"/>
  <c r="I704" i="3"/>
  <c r="I887" i="3"/>
  <c r="I787" i="3"/>
  <c r="I763" i="3"/>
  <c r="I723" i="3"/>
  <c r="AN723" i="3" s="1"/>
  <c r="AO723" i="3" s="1"/>
  <c r="AP723" i="3" s="1"/>
  <c r="I665" i="3"/>
  <c r="I625" i="3"/>
  <c r="AN625" i="3" s="1"/>
  <c r="AO625" i="3" s="1"/>
  <c r="AP625" i="3" s="1"/>
  <c r="I601" i="3"/>
  <c r="I561" i="3"/>
  <c r="AN561" i="3" s="1"/>
  <c r="AO561" i="3" s="1"/>
  <c r="AP561" i="3" s="1"/>
  <c r="I827" i="3"/>
  <c r="AF910" i="3"/>
  <c r="AF836" i="3"/>
  <c r="AF837" i="3"/>
  <c r="AF891" i="3"/>
  <c r="AF924" i="3"/>
  <c r="AF827" i="3"/>
  <c r="AF829" i="3"/>
  <c r="AF830" i="3"/>
  <c r="AF835" i="3"/>
  <c r="AF831" i="3"/>
  <c r="AF833" i="3"/>
  <c r="AF832" i="3"/>
  <c r="AF818" i="3"/>
  <c r="AF922" i="3"/>
  <c r="AF923" i="3"/>
  <c r="AF826" i="3"/>
  <c r="AF828" i="3"/>
  <c r="AF824" i="3"/>
  <c r="AF825" i="3"/>
  <c r="AF312" i="3"/>
  <c r="AF822" i="3"/>
  <c r="AF657" i="3"/>
  <c r="AF815" i="3"/>
  <c r="AF660" i="3"/>
  <c r="AF816" i="3"/>
  <c r="AF313" i="3"/>
  <c r="AF817" i="3"/>
  <c r="AF808" i="3"/>
  <c r="AF812" i="3"/>
  <c r="AF661" i="3"/>
  <c r="AF810" i="3"/>
  <c r="AF807" i="3"/>
  <c r="AF809" i="3"/>
  <c r="AF804" i="3"/>
  <c r="AF806" i="3"/>
  <c r="AF802" i="3"/>
  <c r="AF805" i="3"/>
  <c r="AF800" i="3"/>
  <c r="AF803" i="3"/>
  <c r="AF798" i="3"/>
  <c r="AF801" i="3"/>
  <c r="AF890" i="3"/>
  <c r="AF797" i="3"/>
  <c r="AF865" i="3"/>
  <c r="AF912" i="3"/>
  <c r="AF884" i="3"/>
  <c r="AF911" i="3"/>
  <c r="AF766" i="3"/>
  <c r="AF909" i="3"/>
  <c r="AF866" i="3"/>
  <c r="AF908" i="3"/>
  <c r="AF646" i="3"/>
  <c r="AF903" i="3"/>
  <c r="AF899" i="3"/>
  <c r="AF900" i="3"/>
  <c r="AF885" i="3"/>
  <c r="AF898" i="3"/>
  <c r="AF892" i="3"/>
  <c r="AF893" i="3"/>
  <c r="AF720" i="3"/>
  <c r="AF889" i="3"/>
  <c r="AF887" i="3"/>
  <c r="AF888" i="3"/>
  <c r="AF880" i="3"/>
  <c r="AF886" i="3"/>
  <c r="AF677" i="3"/>
  <c r="AF883" i="3"/>
  <c r="AF790" i="3"/>
  <c r="AF882" i="3"/>
  <c r="AF794" i="3"/>
  <c r="AF881" i="3"/>
  <c r="AF873" i="3"/>
  <c r="AF879" i="3"/>
  <c r="AF875" i="3"/>
  <c r="AF878" i="3"/>
  <c r="AF721" i="3"/>
  <c r="AF876" i="3"/>
  <c r="AF861" i="3"/>
  <c r="AF874" i="3"/>
  <c r="AF871" i="3"/>
  <c r="AF872" i="3"/>
  <c r="AF796" i="3"/>
  <c r="AF870" i="3"/>
  <c r="AF868" i="3"/>
  <c r="AF869" i="3"/>
  <c r="AF771" i="3"/>
  <c r="AF867" i="3"/>
  <c r="AF789" i="3"/>
  <c r="AF862" i="3"/>
  <c r="AF858" i="3"/>
  <c r="AF860" i="3"/>
  <c r="AF857" i="3"/>
  <c r="AF859" i="3"/>
  <c r="AF786" i="3"/>
  <c r="AF795" i="3"/>
  <c r="AF788" i="3"/>
  <c r="AF792" i="3"/>
  <c r="AF770" i="3"/>
  <c r="AF785" i="3"/>
  <c r="AF781" i="3"/>
  <c r="AF784" i="3"/>
  <c r="AF482" i="3"/>
  <c r="AF783" i="3"/>
  <c r="AF775" i="3"/>
  <c r="AF778" i="3"/>
  <c r="AF535" i="3"/>
  <c r="AF777" i="3"/>
  <c r="AF472" i="3"/>
  <c r="AF776" i="3"/>
  <c r="AF417" i="3"/>
  <c r="AF773" i="3"/>
  <c r="AF763" i="3"/>
  <c r="AF765" i="3"/>
  <c r="AF761" i="3"/>
  <c r="AF764" i="3"/>
  <c r="AF757" i="3"/>
  <c r="AF762" i="3"/>
  <c r="AF750" i="3"/>
  <c r="AF758" i="3"/>
  <c r="AF753" i="3"/>
  <c r="AF755" i="3"/>
  <c r="AF597" i="3"/>
  <c r="AF754" i="3"/>
  <c r="AF700" i="3"/>
  <c r="AF752" i="3"/>
  <c r="AF746" i="3"/>
  <c r="AF751" i="3"/>
  <c r="AF745" i="3"/>
  <c r="AF747" i="3"/>
  <c r="AF741" i="3"/>
  <c r="AF744" i="3"/>
  <c r="AF724" i="3"/>
  <c r="AF743" i="3"/>
  <c r="AF740" i="3"/>
  <c r="AF742" i="3"/>
  <c r="AF735" i="3"/>
  <c r="AF739" i="3"/>
  <c r="AF718" i="3"/>
  <c r="AF738" i="3"/>
  <c r="AF734" i="3"/>
  <c r="AF737" i="3"/>
  <c r="AF704" i="3"/>
  <c r="AF736" i="3"/>
  <c r="AF726" i="3"/>
  <c r="AF730" i="3"/>
  <c r="AF428" i="3"/>
  <c r="AF722" i="3"/>
  <c r="AF715" i="3"/>
  <c r="AF717" i="3"/>
  <c r="AF714" i="3"/>
  <c r="AF716" i="3"/>
  <c r="AF713" i="3"/>
  <c r="AF620" i="3"/>
  <c r="AF698" i="3"/>
  <c r="AF694" i="3"/>
  <c r="AF674" i="3"/>
  <c r="AF707" i="3"/>
  <c r="AF703" i="3"/>
  <c r="AF699" i="3"/>
  <c r="AF684" i="3"/>
  <c r="AF679" i="3"/>
  <c r="AF648" i="3"/>
  <c r="AF710" i="3"/>
  <c r="AF611" i="3"/>
  <c r="AF709" i="3"/>
  <c r="AF706" i="3"/>
  <c r="AF680" i="3"/>
  <c r="AF678" i="3"/>
  <c r="AF615" i="3"/>
  <c r="AF676" i="3"/>
  <c r="AF358" i="3"/>
  <c r="AF681" i="3"/>
  <c r="AF711" i="3"/>
  <c r="AF705" i="3"/>
  <c r="AF701" i="3"/>
  <c r="AF695" i="3"/>
  <c r="AF690" i="3"/>
  <c r="AF686" i="3"/>
  <c r="AF682" i="3"/>
  <c r="AF605" i="3"/>
  <c r="AF692" i="3"/>
  <c r="AF689" i="3"/>
  <c r="AF685" i="3"/>
  <c r="AF669" i="3"/>
  <c r="AF673" i="3"/>
  <c r="AF546" i="3"/>
  <c r="AF672" i="3"/>
  <c r="AF618" i="3"/>
  <c r="AF671" i="3"/>
  <c r="AF663" i="3"/>
  <c r="AF667" i="3"/>
  <c r="AF630" i="3"/>
  <c r="AF666" i="3"/>
  <c r="AF447" i="3"/>
  <c r="AF665" i="3"/>
  <c r="AF659" i="3"/>
  <c r="AF664" i="3"/>
  <c r="AF631" i="3"/>
  <c r="AF658" i="3"/>
  <c r="AF651" i="3"/>
  <c r="AF656" i="3"/>
  <c r="AF645" i="3"/>
  <c r="AF653" i="3"/>
  <c r="AF647" i="3"/>
  <c r="AF652" i="3"/>
  <c r="AF540" i="3"/>
  <c r="AF643" i="3"/>
  <c r="AF489" i="3"/>
  <c r="AF636" i="3"/>
  <c r="AF629" i="3"/>
  <c r="AF635" i="3"/>
  <c r="AF594" i="3"/>
  <c r="AF633" i="3"/>
  <c r="AF490" i="3"/>
  <c r="AF632" i="3"/>
  <c r="AF491" i="3"/>
  <c r="AF628" i="3"/>
  <c r="AF624" i="3"/>
  <c r="AF627" i="3"/>
  <c r="AF623" i="3"/>
  <c r="AF626" i="3"/>
  <c r="AF617" i="3"/>
  <c r="AF622" i="3"/>
  <c r="AF588" i="3"/>
  <c r="AF621" i="3"/>
  <c r="AF399" i="3"/>
  <c r="AF616" i="3"/>
  <c r="AF484" i="3"/>
  <c r="AF613" i="3"/>
  <c r="AF469" i="3"/>
  <c r="AF610" i="3"/>
  <c r="AF579" i="3"/>
  <c r="AF606" i="3"/>
  <c r="AF598" i="3"/>
  <c r="AF603" i="3"/>
  <c r="AF570" i="3"/>
  <c r="AF601" i="3"/>
  <c r="AF593" i="3"/>
  <c r="AF596" i="3"/>
  <c r="AF524" i="3"/>
  <c r="AF592" i="3"/>
  <c r="AF585" i="3"/>
  <c r="AF591" i="3"/>
  <c r="AF587" i="3"/>
  <c r="AF589" i="3"/>
  <c r="AF584" i="3"/>
  <c r="AF586" i="3"/>
  <c r="AF580" i="3"/>
  <c r="AF583" i="3"/>
  <c r="AF537" i="3"/>
  <c r="AF582" i="3"/>
  <c r="AF577" i="3"/>
  <c r="AF578" i="3"/>
  <c r="AF543" i="3"/>
  <c r="AF573" i="3"/>
  <c r="AF538" i="3"/>
  <c r="AF572" i="3"/>
  <c r="AF568" i="3"/>
  <c r="AF571" i="3"/>
  <c r="AF562" i="3"/>
  <c r="AF567" i="3"/>
  <c r="AF457" i="3"/>
  <c r="AF563" i="3"/>
  <c r="AF553" i="3"/>
  <c r="AF561" i="3"/>
  <c r="AF429" i="3"/>
  <c r="AF556" i="3"/>
  <c r="AF550" i="3"/>
  <c r="AF555" i="3"/>
  <c r="AF523" i="3"/>
  <c r="AF547" i="3"/>
  <c r="AF481" i="3"/>
  <c r="AF544" i="3"/>
  <c r="AF541" i="3"/>
  <c r="AF542" i="3"/>
  <c r="AF456" i="3"/>
  <c r="AF536" i="3"/>
  <c r="AF527" i="3"/>
  <c r="AF530" i="3"/>
  <c r="AF525" i="3"/>
  <c r="AF528" i="3"/>
  <c r="AF522" i="3"/>
  <c r="AF526" i="3"/>
  <c r="AF449" i="3"/>
  <c r="AF521" i="3"/>
  <c r="AF461" i="3"/>
  <c r="AF518" i="3"/>
  <c r="AF516" i="3"/>
  <c r="AF517" i="3"/>
  <c r="I431" i="3"/>
  <c r="I63" i="3"/>
  <c r="I335" i="3"/>
  <c r="I154" i="3"/>
  <c r="AN154" i="3" s="1"/>
  <c r="AO154" i="3" s="1"/>
  <c r="AP154" i="3" s="1"/>
  <c r="I20" i="3"/>
  <c r="I27" i="3"/>
  <c r="AN27" i="3" s="1"/>
  <c r="AO27" i="3" s="1"/>
  <c r="AP27" i="3" s="1"/>
  <c r="I373" i="3"/>
  <c r="I309" i="3"/>
  <c r="I364" i="3"/>
  <c r="I61" i="3"/>
  <c r="AN61" i="3" s="1"/>
  <c r="AO61" i="3" s="1"/>
  <c r="AP61" i="3" s="1"/>
  <c r="I416" i="3"/>
  <c r="I174" i="3"/>
  <c r="I329" i="3"/>
  <c r="I448" i="3"/>
  <c r="AN448" i="3" s="1"/>
  <c r="AO448" i="3" s="1"/>
  <c r="AP448" i="3" s="1"/>
  <c r="I415" i="3"/>
  <c r="I304" i="3"/>
  <c r="AN304" i="3" s="1"/>
  <c r="AO304" i="3" s="1"/>
  <c r="AP304" i="3" s="1"/>
  <c r="I41" i="3"/>
  <c r="I118" i="3"/>
  <c r="I73" i="3"/>
  <c r="I442" i="3"/>
  <c r="AN442" i="3" s="1"/>
  <c r="AO442" i="3" s="1"/>
  <c r="AP442" i="3" s="1"/>
  <c r="I410" i="3"/>
  <c r="I390" i="3"/>
  <c r="AN390" i="3" s="1"/>
  <c r="AO390" i="3" s="1"/>
  <c r="AP390" i="3" s="1"/>
  <c r="I341" i="3"/>
  <c r="I418" i="3"/>
  <c r="AN418" i="3" s="1"/>
  <c r="AO418" i="3" s="1"/>
  <c r="AP418" i="3" s="1"/>
  <c r="I430" i="3"/>
  <c r="I368" i="3"/>
  <c r="I414" i="3"/>
  <c r="I337" i="3"/>
  <c r="I318" i="3"/>
  <c r="I340" i="3"/>
  <c r="AN340" i="3" s="1"/>
  <c r="AO340" i="3" s="1"/>
  <c r="AP340" i="3" s="1"/>
  <c r="I359" i="3"/>
  <c r="I447" i="3"/>
  <c r="I30" i="3"/>
  <c r="I330" i="3"/>
  <c r="I94" i="3"/>
  <c r="I21" i="3"/>
  <c r="I326" i="3"/>
  <c r="I361" i="3"/>
  <c r="I125" i="3"/>
  <c r="I124" i="3"/>
  <c r="AN124" i="3" s="1"/>
  <c r="AO124" i="3" s="1"/>
  <c r="AP124" i="3" s="1"/>
  <c r="I11" i="3"/>
  <c r="I420" i="3"/>
  <c r="I113" i="3"/>
  <c r="I331" i="3"/>
  <c r="I346" i="3"/>
  <c r="I132" i="3"/>
  <c r="AN132" i="3" s="1"/>
  <c r="AO132" i="3" s="1"/>
  <c r="AP132" i="3" s="1"/>
  <c r="I98" i="3"/>
  <c r="I28" i="3"/>
  <c r="I68" i="3"/>
  <c r="I119" i="3"/>
  <c r="AN119" i="3" s="1"/>
  <c r="AO119" i="3" s="1"/>
  <c r="AP119" i="3" s="1"/>
  <c r="I72" i="3"/>
  <c r="I450" i="3"/>
  <c r="I317" i="3"/>
  <c r="I343" i="3"/>
  <c r="AN343" i="3" s="1"/>
  <c r="AO343" i="3" s="1"/>
  <c r="AP343" i="3" s="1"/>
  <c r="I358" i="3"/>
  <c r="I84" i="3"/>
  <c r="I120" i="3"/>
  <c r="I312" i="3"/>
  <c r="I365" i="3"/>
  <c r="I40" i="3"/>
  <c r="AN40" i="3" s="1"/>
  <c r="AO40" i="3" s="1"/>
  <c r="AP40" i="3" s="1"/>
  <c r="I87" i="3"/>
  <c r="I92" i="3"/>
  <c r="AN92" i="3" s="1"/>
  <c r="AO92" i="3" s="1"/>
  <c r="AP92" i="3" s="1"/>
  <c r="I432" i="3"/>
  <c r="I323" i="3"/>
  <c r="I320" i="3"/>
  <c r="I348" i="3"/>
  <c r="AN348" i="3" s="1"/>
  <c r="AO348" i="3" s="1"/>
  <c r="AP348" i="3" s="1"/>
  <c r="I133" i="3"/>
  <c r="I385" i="3"/>
  <c r="I138" i="3"/>
  <c r="I389" i="3"/>
  <c r="AN389" i="3" s="1"/>
  <c r="AO389" i="3" s="1"/>
  <c r="AP389" i="3" s="1"/>
  <c r="I29" i="3"/>
  <c r="I384" i="3"/>
  <c r="I56" i="3"/>
  <c r="I10" i="3"/>
  <c r="I52" i="3"/>
  <c r="I78" i="3"/>
  <c r="I50" i="3"/>
  <c r="I436" i="3"/>
  <c r="I155" i="3"/>
  <c r="I355" i="3"/>
  <c r="AN355" i="3" s="1"/>
  <c r="AO355" i="3" s="1"/>
  <c r="AP355" i="3" s="1"/>
  <c r="I327" i="3"/>
  <c r="I314" i="3"/>
  <c r="AN314" i="3" s="1"/>
  <c r="AO314" i="3" s="1"/>
  <c r="AP314" i="3" s="1"/>
  <c r="I338" i="3"/>
  <c r="I356" i="3"/>
  <c r="AN356" i="3" s="1"/>
  <c r="AO356" i="3" s="1"/>
  <c r="AP356" i="3" s="1"/>
  <c r="I103" i="3"/>
  <c r="I6" i="3"/>
  <c r="AN6" i="3" s="1"/>
  <c r="AO6" i="3" s="1"/>
  <c r="AP6" i="3" s="1"/>
  <c r="I152" i="3"/>
  <c r="I435" i="3"/>
  <c r="I421" i="3"/>
  <c r="I235" i="3"/>
  <c r="I324" i="3"/>
  <c r="I347" i="3"/>
  <c r="AN347" i="3" s="1"/>
  <c r="AO347" i="3" s="1"/>
  <c r="AP347" i="3" s="1"/>
  <c r="I350" i="3"/>
  <c r="I360" i="3"/>
  <c r="AN360" i="3" s="1"/>
  <c r="AO360" i="3" s="1"/>
  <c r="AP360" i="3" s="1"/>
  <c r="I75" i="3"/>
  <c r="I86" i="3"/>
  <c r="I111" i="3"/>
  <c r="I18" i="3"/>
  <c r="I437" i="3"/>
  <c r="I419" i="3"/>
  <c r="AN419" i="3" s="1"/>
  <c r="AO419" i="3" s="1"/>
  <c r="AP419" i="3" s="1"/>
  <c r="I70" i="3"/>
  <c r="I131" i="3"/>
  <c r="AN131" i="3" s="1"/>
  <c r="AO131" i="3" s="1"/>
  <c r="AP131" i="3" s="1"/>
  <c r="I386" i="3"/>
  <c r="I313" i="3"/>
  <c r="AN313" i="3" s="1"/>
  <c r="AO313" i="3" s="1"/>
  <c r="AP313" i="3" s="1"/>
  <c r="I322" i="3"/>
  <c r="I354" i="3"/>
  <c r="I310" i="3"/>
  <c r="I121" i="3"/>
  <c r="I382" i="3"/>
  <c r="I426" i="3"/>
  <c r="I306" i="3"/>
  <c r="I54" i="3"/>
  <c r="AN54" i="3" s="1"/>
  <c r="AO54" i="3" s="1"/>
  <c r="AP54" i="3" s="1"/>
  <c r="I305" i="3"/>
  <c r="I363" i="3"/>
  <c r="I136" i="3"/>
  <c r="I114" i="3"/>
  <c r="I135" i="3"/>
  <c r="I83" i="3"/>
  <c r="I8" i="3"/>
  <c r="I64" i="3"/>
  <c r="I117" i="3"/>
  <c r="I80" i="3"/>
  <c r="I26" i="3"/>
  <c r="I128" i="3"/>
  <c r="I392" i="3"/>
  <c r="I440" i="3"/>
  <c r="AN440" i="3" s="1"/>
  <c r="AO440" i="3" s="1"/>
  <c r="AP440" i="3" s="1"/>
  <c r="I422" i="3"/>
  <c r="I177" i="3"/>
  <c r="AN177" i="3" s="1"/>
  <c r="AO177" i="3" s="1"/>
  <c r="AP177" i="3" s="1"/>
  <c r="I339" i="3"/>
  <c r="I336" i="3"/>
  <c r="AN336" i="3" s="1"/>
  <c r="AO336" i="3" s="1"/>
  <c r="AP336" i="3" s="1"/>
  <c r="I4" i="3"/>
  <c r="I308" i="3"/>
  <c r="I333" i="3"/>
  <c r="I344" i="3"/>
  <c r="I345" i="3"/>
  <c r="I357" i="3"/>
  <c r="I362" i="3"/>
  <c r="I351" i="3"/>
  <c r="I369" i="3"/>
  <c r="I143" i="3"/>
  <c r="I3" i="3"/>
  <c r="I116" i="3"/>
  <c r="AN116" i="3" s="1"/>
  <c r="AO116" i="3" s="1"/>
  <c r="AP116" i="3" s="1"/>
  <c r="I122" i="3"/>
  <c r="I91" i="3"/>
  <c r="AN91" i="3" s="1"/>
  <c r="AO91" i="3" s="1"/>
  <c r="AP91" i="3" s="1"/>
  <c r="I74" i="3"/>
  <c r="I439" i="3"/>
  <c r="AN439" i="3" s="1"/>
  <c r="AO439" i="3" s="1"/>
  <c r="AP439" i="3" s="1"/>
  <c r="I424" i="3"/>
  <c r="I205" i="3"/>
  <c r="AN205" i="3" s="1"/>
  <c r="AO205" i="3" s="1"/>
  <c r="AP205" i="3" s="1"/>
  <c r="I5" i="3"/>
  <c r="I311" i="3"/>
  <c r="AN311" i="3" s="1"/>
  <c r="AO311" i="3" s="1"/>
  <c r="AP311" i="3" s="1"/>
  <c r="I349" i="3"/>
  <c r="I36" i="3"/>
  <c r="I42" i="3"/>
  <c r="I150" i="3"/>
  <c r="I126" i="3"/>
  <c r="I7" i="3"/>
  <c r="I55" i="3"/>
  <c r="I423" i="3"/>
  <c r="AN423" i="3" s="1"/>
  <c r="AO423" i="3" s="1"/>
  <c r="AP423" i="3" s="1"/>
  <c r="I241" i="3"/>
  <c r="I284" i="3"/>
  <c r="AN284" i="3" s="1"/>
  <c r="AO284" i="3" s="1"/>
  <c r="AP284" i="3" s="1"/>
  <c r="I32" i="3"/>
  <c r="I104" i="3"/>
  <c r="I62" i="3"/>
  <c r="I375" i="3"/>
  <c r="AN375" i="3" s="1"/>
  <c r="AO375" i="3" s="1"/>
  <c r="AP375" i="3" s="1"/>
  <c r="I408" i="3"/>
  <c r="I444" i="3"/>
  <c r="AN444" i="3" s="1"/>
  <c r="AO444" i="3" s="1"/>
  <c r="AP444" i="3" s="1"/>
  <c r="I316" i="3"/>
  <c r="I325" i="3"/>
  <c r="AN325" i="3" s="1"/>
  <c r="AO325" i="3" s="1"/>
  <c r="AP325" i="3" s="1"/>
  <c r="I328" i="3"/>
  <c r="I33" i="3"/>
  <c r="AN33" i="3" s="1"/>
  <c r="AO33" i="3" s="1"/>
  <c r="AP33" i="3" s="1"/>
  <c r="I391" i="3"/>
  <c r="I307" i="3"/>
  <c r="I53" i="3"/>
  <c r="I37" i="3"/>
  <c r="I397" i="3"/>
  <c r="I427" i="3"/>
  <c r="I411" i="3"/>
  <c r="I170" i="3"/>
  <c r="AN170" i="3" s="1"/>
  <c r="AO170" i="3" s="1"/>
  <c r="AP170" i="3" s="1"/>
  <c r="I252" i="3"/>
  <c r="I187" i="3"/>
  <c r="I200" i="3"/>
  <c r="I342" i="3"/>
  <c r="AN342" i="3" s="1"/>
  <c r="AO342" i="3" s="1"/>
  <c r="AP342" i="3" s="1"/>
  <c r="I22" i="3"/>
  <c r="I96" i="3"/>
  <c r="AN96" i="3" s="1"/>
  <c r="AO96" i="3" s="1"/>
  <c r="AP96" i="3" s="1"/>
  <c r="I67" i="3"/>
  <c r="I147" i="3"/>
  <c r="AN147" i="3" s="1"/>
  <c r="AO147" i="3" s="1"/>
  <c r="AP147" i="3" s="1"/>
  <c r="I141" i="3"/>
  <c r="I146" i="3"/>
  <c r="I140" i="3"/>
  <c r="I398" i="3"/>
  <c r="I438" i="3"/>
  <c r="I434" i="3"/>
  <c r="AN434" i="3" s="1"/>
  <c r="AO434" i="3" s="1"/>
  <c r="AP434" i="3" s="1"/>
  <c r="I231" i="3"/>
  <c r="I160" i="3"/>
  <c r="I234" i="3"/>
  <c r="I157" i="3"/>
  <c r="I353" i="3"/>
  <c r="I332" i="3"/>
  <c r="I315" i="3"/>
  <c r="I334" i="3"/>
  <c r="AN334" i="3" s="1"/>
  <c r="AO334" i="3" s="1"/>
  <c r="AP334" i="3" s="1"/>
  <c r="I321" i="3"/>
  <c r="I352" i="3"/>
  <c r="AN352" i="3" s="1"/>
  <c r="AO352" i="3" s="1"/>
  <c r="AP352" i="3" s="1"/>
  <c r="I47" i="3"/>
  <c r="I105" i="3"/>
  <c r="I93" i="3"/>
  <c r="I65" i="3"/>
  <c r="AN65" i="3" s="1"/>
  <c r="AO65" i="3" s="1"/>
  <c r="AP65" i="3" s="1"/>
  <c r="I376" i="3"/>
  <c r="I404" i="3"/>
  <c r="I409" i="3"/>
  <c r="I446" i="3"/>
  <c r="I441" i="3"/>
  <c r="I433" i="3"/>
  <c r="I429" i="3"/>
  <c r="I425" i="3"/>
  <c r="I417" i="3"/>
  <c r="I413" i="3"/>
  <c r="I198" i="3"/>
  <c r="I181" i="3"/>
  <c r="AN181" i="3" s="1"/>
  <c r="AO181" i="3" s="1"/>
  <c r="AP181" i="3" s="1"/>
  <c r="I229" i="3"/>
  <c r="I191" i="3"/>
  <c r="AN191" i="3" s="1"/>
  <c r="AO191" i="3" s="1"/>
  <c r="AP191" i="3" s="1"/>
  <c r="I202" i="3"/>
  <c r="I272" i="3"/>
  <c r="AN272" i="3" s="1"/>
  <c r="AO272" i="3" s="1"/>
  <c r="AP272" i="3" s="1"/>
  <c r="I224" i="3"/>
  <c r="I319" i="3"/>
  <c r="AN319" i="3" s="1"/>
  <c r="AO319" i="3" s="1"/>
  <c r="AP319" i="3" s="1"/>
  <c r="I366" i="3"/>
  <c r="I367" i="3"/>
  <c r="I9" i="3"/>
  <c r="I139" i="3"/>
  <c r="AN139" i="3" s="1"/>
  <c r="AO139" i="3" s="1"/>
  <c r="AP139" i="3" s="1"/>
  <c r="I110" i="3"/>
  <c r="I151" i="3"/>
  <c r="I24" i="3"/>
  <c r="I399" i="3"/>
  <c r="AN399" i="3" s="1"/>
  <c r="AO399" i="3" s="1"/>
  <c r="AP399" i="3" s="1"/>
  <c r="I445" i="3"/>
  <c r="I428" i="3"/>
  <c r="AN428" i="3" s="1"/>
  <c r="AO428" i="3" s="1"/>
  <c r="AP428" i="3" s="1"/>
  <c r="I412" i="3"/>
  <c r="I248" i="3"/>
  <c r="AN248" i="3" s="1"/>
  <c r="AO248" i="3" s="1"/>
  <c r="AP248" i="3" s="1"/>
  <c r="I228" i="3"/>
  <c r="AN400" i="3"/>
  <c r="AO400" i="3" s="1"/>
  <c r="AP400" i="3" s="1"/>
  <c r="AN372" i="3"/>
  <c r="AO372" i="3" s="1"/>
  <c r="AP372" i="3" s="1"/>
  <c r="AN388" i="3"/>
  <c r="AO388" i="3" s="1"/>
  <c r="AP388" i="3" s="1"/>
  <c r="AN378" i="3"/>
  <c r="AO378" i="3" s="1"/>
  <c r="AP378" i="3" s="1"/>
  <c r="AN383" i="3"/>
  <c r="AO383" i="3" s="1"/>
  <c r="AP383" i="3" s="1"/>
  <c r="AN379" i="3"/>
  <c r="AO379" i="3" s="1"/>
  <c r="AP379" i="3" s="1"/>
  <c r="AN374" i="3"/>
  <c r="AO374" i="3" s="1"/>
  <c r="AP374" i="3" s="1"/>
  <c r="AN401" i="3"/>
  <c r="AO401" i="3" s="1"/>
  <c r="AP401" i="3" s="1"/>
  <c r="AN403" i="3"/>
  <c r="AO403" i="3" s="1"/>
  <c r="AP403" i="3" s="1"/>
  <c r="AN405" i="3"/>
  <c r="AO405" i="3" s="1"/>
  <c r="AP405" i="3" s="1"/>
  <c r="AN407" i="3"/>
  <c r="AO407" i="3" s="1"/>
  <c r="AP407" i="3" s="1"/>
  <c r="AN394" i="3"/>
  <c r="AO394" i="3" s="1"/>
  <c r="AP394" i="3" s="1"/>
  <c r="AN396" i="3"/>
  <c r="AO396" i="3" s="1"/>
  <c r="AP396" i="3" s="1"/>
  <c r="AN406" i="3"/>
  <c r="AO406" i="3" s="1"/>
  <c r="AP406" i="3" s="1"/>
  <c r="AN395" i="3"/>
  <c r="AO395" i="3" s="1"/>
  <c r="AP395" i="3" s="1"/>
  <c r="AN449" i="3"/>
  <c r="AO449" i="3" s="1"/>
  <c r="AP449" i="3" s="1"/>
  <c r="AN393" i="3"/>
  <c r="AO393" i="3" s="1"/>
  <c r="AP393" i="3" s="1"/>
  <c r="AN387" i="3"/>
  <c r="AO387" i="3" s="1"/>
  <c r="AP387" i="3" s="1"/>
  <c r="AN380" i="3"/>
  <c r="AO380" i="3" s="1"/>
  <c r="AP380" i="3" s="1"/>
  <c r="AN381" i="3"/>
  <c r="AO381" i="3" s="1"/>
  <c r="AP381" i="3" s="1"/>
  <c r="AN371" i="3"/>
  <c r="AO371" i="3" s="1"/>
  <c r="AP371" i="3" s="1"/>
  <c r="AN370" i="3"/>
  <c r="AO370" i="3" s="1"/>
  <c r="AP370" i="3" s="1"/>
  <c r="AN377" i="3"/>
  <c r="AO377" i="3" s="1"/>
  <c r="AP377" i="3" s="1"/>
  <c r="AN402" i="3"/>
  <c r="AO402" i="3" s="1"/>
  <c r="AP402" i="3" s="1"/>
  <c r="AF511" i="3"/>
  <c r="AF515" i="3"/>
  <c r="AF437" i="3"/>
  <c r="AF514" i="3"/>
  <c r="AF483" i="3"/>
  <c r="AF509" i="3"/>
  <c r="AF427" i="3"/>
  <c r="AF508" i="3"/>
  <c r="AF504" i="3"/>
  <c r="AF505" i="3"/>
  <c r="AF499" i="3"/>
  <c r="AF503" i="3"/>
  <c r="AF478" i="3"/>
  <c r="AF487" i="3"/>
  <c r="AF452" i="3"/>
  <c r="AF480" i="3"/>
  <c r="AF441" i="3"/>
  <c r="AF479" i="3"/>
  <c r="AF474" i="3"/>
  <c r="AF477" i="3"/>
  <c r="AF470" i="3"/>
  <c r="AF473" i="3"/>
  <c r="AF464" i="3"/>
  <c r="AF468" i="3"/>
  <c r="AF430" i="3"/>
  <c r="AF462" i="3"/>
  <c r="AF448" i="3"/>
  <c r="AF455" i="3"/>
  <c r="AF451" i="3"/>
  <c r="AF411" i="3"/>
  <c r="AF453" i="3"/>
  <c r="AF459" i="3"/>
  <c r="AF454" i="3"/>
  <c r="AF389" i="3"/>
  <c r="AF450" i="3"/>
  <c r="AF431" i="3"/>
  <c r="AF446" i="3"/>
  <c r="AF442" i="3"/>
  <c r="AF445" i="3"/>
  <c r="AF439" i="3"/>
  <c r="AF444" i="3"/>
  <c r="AF322" i="3"/>
  <c r="AF436" i="3"/>
  <c r="AF405" i="3"/>
  <c r="AF434" i="3"/>
  <c r="AF421" i="3"/>
  <c r="AF425" i="3"/>
  <c r="AF423" i="3"/>
  <c r="AF424" i="3"/>
  <c r="AF412" i="3"/>
  <c r="AF418" i="3"/>
  <c r="AF410" i="3"/>
  <c r="AF413" i="3"/>
  <c r="AF388" i="3"/>
  <c r="AF409" i="3"/>
  <c r="AF356" i="3"/>
  <c r="AF403" i="3"/>
  <c r="AF408" i="3"/>
  <c r="AF407" i="3"/>
  <c r="AF398" i="3"/>
  <c r="AF394" i="3"/>
  <c r="AF390" i="3"/>
  <c r="AF395" i="3"/>
  <c r="AF387" i="3"/>
  <c r="AF392" i="3"/>
  <c r="I211" i="3"/>
  <c r="AA164" i="3"/>
  <c r="AA189" i="3"/>
  <c r="AA183" i="3"/>
  <c r="AA250" i="3"/>
  <c r="AA297" i="3"/>
  <c r="AA265" i="3"/>
  <c r="AA179" i="3"/>
  <c r="AA246" i="3"/>
  <c r="AA175" i="3"/>
  <c r="AA219" i="3"/>
  <c r="AA233" i="3"/>
  <c r="AA225" i="3"/>
  <c r="AA186" i="3"/>
  <c r="AA286" i="3"/>
  <c r="AA238" i="3"/>
  <c r="AA303" i="3"/>
  <c r="AA185" i="3"/>
  <c r="AA249" i="3"/>
  <c r="AA279" i="3"/>
  <c r="AA192" i="3"/>
  <c r="AA232" i="3"/>
  <c r="AA158" i="3"/>
  <c r="AA268" i="3"/>
  <c r="AA262" i="3"/>
  <c r="I149" i="3"/>
  <c r="I137" i="3"/>
  <c r="I108" i="3"/>
  <c r="I89" i="3"/>
  <c r="I82" i="3"/>
  <c r="I44" i="3"/>
  <c r="I13" i="3"/>
  <c r="I95" i="3"/>
  <c r="I69" i="3"/>
  <c r="I45" i="3"/>
  <c r="I34" i="3"/>
  <c r="I60" i="3"/>
  <c r="I35" i="3"/>
  <c r="I99" i="3"/>
  <c r="I71" i="3"/>
  <c r="I49" i="3"/>
  <c r="I38" i="3"/>
  <c r="AA190" i="3"/>
  <c r="AA274" i="3"/>
  <c r="AA193" i="3"/>
  <c r="AA156" i="3"/>
  <c r="AA296" i="3"/>
  <c r="AA197" i="3"/>
  <c r="AA203" i="3"/>
  <c r="AA293" i="3"/>
  <c r="AA267" i="3"/>
  <c r="AA276" i="3"/>
  <c r="AA289" i="3"/>
  <c r="AA178" i="3"/>
  <c r="AA277" i="3"/>
  <c r="AA295" i="3"/>
  <c r="AA188" i="3"/>
  <c r="AA214" i="3"/>
  <c r="AA281" i="3"/>
  <c r="AA282" i="3"/>
  <c r="AA199" i="3"/>
  <c r="AA176" i="3"/>
  <c r="AA263" i="3"/>
  <c r="AA253" i="3"/>
  <c r="AA196" i="3"/>
  <c r="I76" i="3"/>
  <c r="I48" i="3"/>
  <c r="I25" i="3"/>
  <c r="I153" i="3"/>
  <c r="I144" i="3"/>
  <c r="I85" i="3"/>
  <c r="I79" i="3"/>
  <c r="I19" i="3"/>
  <c r="I130" i="3"/>
  <c r="I109" i="3"/>
  <c r="I102" i="3"/>
  <c r="I101" i="3"/>
  <c r="I39" i="3"/>
  <c r="I17" i="3"/>
  <c r="I134" i="3"/>
  <c r="I115" i="3"/>
  <c r="I106" i="3"/>
  <c r="I260" i="3"/>
  <c r="I212" i="3"/>
  <c r="I206" i="3"/>
  <c r="I184" i="3"/>
  <c r="I180" i="3"/>
  <c r="I204" i="3"/>
  <c r="I275" i="3"/>
  <c r="I285" i="3"/>
  <c r="I270" i="3"/>
  <c r="I216" i="3"/>
  <c r="I256" i="3"/>
  <c r="I236" i="3"/>
  <c r="I294" i="3"/>
  <c r="I161" i="3"/>
  <c r="I167" i="3"/>
  <c r="I168" i="3"/>
  <c r="I163" i="3"/>
  <c r="I240" i="3"/>
  <c r="I247" i="3"/>
  <c r="I243" i="3"/>
  <c r="I300" i="3"/>
  <c r="I278" i="3"/>
  <c r="I237" i="3"/>
  <c r="I159" i="3"/>
  <c r="I302" i="3"/>
  <c r="I290" i="3"/>
  <c r="I259" i="3"/>
  <c r="I162" i="3"/>
  <c r="I172" i="3"/>
  <c r="I222" i="3"/>
  <c r="I244" i="3"/>
  <c r="I269" i="3"/>
  <c r="I266" i="3"/>
  <c r="I227" i="3"/>
  <c r="I298" i="3"/>
  <c r="I215" i="3"/>
  <c r="I245" i="3"/>
  <c r="I223" i="3"/>
  <c r="I210" i="3"/>
  <c r="I221" i="3"/>
  <c r="I194" i="3"/>
  <c r="I171" i="3"/>
  <c r="I218" i="3"/>
  <c r="I166" i="3"/>
  <c r="I169" i="3"/>
  <c r="I220" i="3"/>
  <c r="I264" i="3"/>
  <c r="I209" i="3"/>
  <c r="I283" i="3"/>
  <c r="I299" i="3"/>
  <c r="I301" i="3"/>
  <c r="I195" i="3"/>
  <c r="I288" i="3"/>
  <c r="I239" i="3"/>
  <c r="I242" i="3"/>
  <c r="I273" i="3"/>
  <c r="I230" i="3"/>
  <c r="I255" i="3"/>
  <c r="I182" i="3"/>
  <c r="I280" i="3"/>
  <c r="I201" i="3"/>
  <c r="I165" i="3"/>
  <c r="I207" i="3"/>
  <c r="I257" i="3"/>
  <c r="I208" i="3"/>
  <c r="I217" i="3"/>
  <c r="I173" i="3"/>
  <c r="I148" i="3"/>
  <c r="I287" i="3"/>
  <c r="I261" i="3"/>
  <c r="I251" i="3"/>
  <c r="I213" i="3"/>
  <c r="I291" i="3"/>
  <c r="I292" i="3"/>
  <c r="I271" i="3"/>
  <c r="I15" i="3"/>
  <c r="I226" i="3"/>
  <c r="I258" i="3"/>
  <c r="AF331" i="3"/>
  <c r="AF391" i="3"/>
  <c r="AF384" i="3"/>
  <c r="AF386" i="3"/>
  <c r="AF382" i="3"/>
  <c r="AF364" i="3"/>
  <c r="AF383" i="3"/>
  <c r="AF372" i="3"/>
  <c r="AF328" i="3"/>
  <c r="AF371" i="3"/>
  <c r="AF370" i="3"/>
  <c r="AF369" i="3"/>
  <c r="AF368" i="3"/>
  <c r="AF366" i="3"/>
  <c r="AF367" i="3"/>
  <c r="AF365" i="3"/>
  <c r="AF362" i="3"/>
  <c r="AF361" i="3"/>
  <c r="AF360" i="3"/>
  <c r="AF330" i="3"/>
  <c r="AF326" i="3"/>
  <c r="AF318" i="3"/>
  <c r="AF353" i="3"/>
  <c r="AF350" i="3"/>
  <c r="AF357" i="3"/>
  <c r="AF351" i="3"/>
  <c r="AF348" i="3"/>
  <c r="AF336" i="3"/>
  <c r="AF335" i="3"/>
  <c r="AF334" i="3"/>
  <c r="AF329" i="3"/>
  <c r="AF321" i="3"/>
  <c r="AF320" i="3"/>
  <c r="AF344" i="3"/>
  <c r="AF342" i="3"/>
  <c r="AF339" i="3"/>
  <c r="AF340" i="3"/>
  <c r="AF332" i="3"/>
  <c r="AF343" i="3"/>
  <c r="AF341" i="3"/>
  <c r="AF338" i="3"/>
  <c r="AG308" i="3"/>
  <c r="AF308" i="3"/>
  <c r="AG306" i="3"/>
  <c r="AF306" i="3"/>
  <c r="AG309" i="3"/>
  <c r="AF311" i="3"/>
  <c r="AF309" i="3"/>
  <c r="AG304" i="3"/>
  <c r="AF304" i="3"/>
  <c r="AG307" i="3"/>
  <c r="AF307" i="3"/>
  <c r="AG295" i="3"/>
  <c r="AG298" i="3"/>
  <c r="AG303" i="3"/>
  <c r="AG258" i="3"/>
  <c r="AG262" i="3"/>
  <c r="AG261" i="3"/>
  <c r="AG37" i="3"/>
  <c r="AG13" i="3"/>
  <c r="AG86" i="3"/>
  <c r="AG12" i="3"/>
  <c r="AG217" i="3"/>
  <c r="AG159" i="3"/>
  <c r="AG155" i="3"/>
  <c r="AG87" i="3"/>
  <c r="AG290" i="3"/>
  <c r="AG288" i="3"/>
  <c r="AG235" i="3"/>
  <c r="AG68" i="3"/>
  <c r="AG219" i="3"/>
  <c r="AG42" i="3"/>
  <c r="AG38" i="3"/>
  <c r="AG30" i="3"/>
  <c r="AG26" i="3"/>
  <c r="AG170" i="3"/>
  <c r="AG222" i="3"/>
  <c r="AG80" i="3"/>
  <c r="AG49" i="3"/>
  <c r="AG6" i="3"/>
  <c r="AG27" i="3"/>
  <c r="AG233" i="3"/>
  <c r="AG131" i="3"/>
  <c r="AG123" i="3"/>
  <c r="AG99" i="3"/>
  <c r="AG48" i="3"/>
  <c r="AG166" i="3"/>
  <c r="AG98" i="3"/>
  <c r="AG149" i="3"/>
  <c r="AG147" i="3"/>
  <c r="AF252" i="3"/>
  <c r="AG252" i="3"/>
  <c r="AG153" i="3"/>
  <c r="AG156" i="3"/>
  <c r="AG24" i="3"/>
  <c r="AG23" i="3"/>
  <c r="AG28" i="3"/>
  <c r="AG141" i="3"/>
  <c r="AG127" i="3"/>
  <c r="AG113" i="3"/>
  <c r="AG85" i="3"/>
  <c r="AG16" i="3"/>
  <c r="AG241" i="3"/>
  <c r="AG243" i="3"/>
  <c r="AG211" i="3"/>
  <c r="AG278" i="3"/>
  <c r="AG47" i="3"/>
  <c r="AG213" i="3"/>
  <c r="AG236" i="3"/>
  <c r="AG52" i="3"/>
  <c r="AG5" i="3"/>
  <c r="AG216" i="3"/>
  <c r="AG116" i="3"/>
  <c r="AG122" i="3"/>
  <c r="AG223" i="3"/>
  <c r="AG234" i="3"/>
  <c r="AG209" i="3"/>
  <c r="AG176" i="3"/>
  <c r="AG172" i="3"/>
  <c r="AG224" i="3"/>
  <c r="AG59" i="3"/>
  <c r="AG111" i="3"/>
  <c r="AG91" i="3"/>
  <c r="AG94" i="3"/>
  <c r="AG44" i="3"/>
  <c r="AG40" i="3"/>
  <c r="AF162" i="3"/>
  <c r="AG133" i="3"/>
  <c r="AG142" i="3"/>
  <c r="AG162" i="3"/>
  <c r="AF188" i="3"/>
  <c r="AG188" i="3"/>
  <c r="AG11" i="3"/>
  <c r="AG18" i="3"/>
  <c r="AF143" i="3"/>
  <c r="AG143" i="3"/>
  <c r="AG246" i="3"/>
  <c r="AG65" i="3"/>
  <c r="AG17" i="3"/>
  <c r="AG225" i="3"/>
  <c r="AG184" i="3"/>
  <c r="AG279" i="3"/>
  <c r="AG112" i="3"/>
  <c r="AG108" i="3"/>
  <c r="AG237" i="3"/>
  <c r="AG286" i="3"/>
  <c r="AG289" i="3"/>
  <c r="AG292" i="3"/>
  <c r="AG256" i="3"/>
  <c r="AG257" i="3"/>
  <c r="AG186" i="3"/>
  <c r="AG109" i="3"/>
  <c r="AG62" i="3"/>
  <c r="AG34" i="3"/>
  <c r="AG154" i="3"/>
  <c r="AG150" i="3"/>
  <c r="AG181" i="3"/>
  <c r="AG132" i="3"/>
  <c r="AG57" i="3"/>
  <c r="AG29" i="3"/>
  <c r="AG118" i="3"/>
  <c r="AG39" i="3"/>
  <c r="AG119" i="3"/>
  <c r="AG83" i="3"/>
  <c r="AG56" i="3"/>
  <c r="AG32" i="3"/>
  <c r="AG82" i="3"/>
  <c r="AF247" i="3"/>
  <c r="AG248" i="3"/>
  <c r="AG247" i="3"/>
  <c r="AG269" i="3"/>
  <c r="AG36" i="3"/>
  <c r="AF268" i="3"/>
  <c r="AG268" i="3"/>
  <c r="AG239" i="3"/>
  <c r="AG198" i="3"/>
  <c r="AG177" i="3"/>
  <c r="AG19" i="3"/>
  <c r="AG20" i="3"/>
  <c r="AG103" i="3"/>
  <c r="AG60" i="3"/>
  <c r="AG240" i="3"/>
  <c r="AF146" i="3"/>
  <c r="AG146" i="3"/>
  <c r="AF272" i="3"/>
  <c r="AG272" i="3"/>
  <c r="AG129" i="3"/>
  <c r="AG139" i="3"/>
  <c r="AG210" i="3"/>
  <c r="AG84" i="3"/>
  <c r="AF267" i="3"/>
  <c r="AG267" i="3"/>
  <c r="AG212" i="3"/>
  <c r="AG167" i="3"/>
  <c r="AF138" i="3"/>
  <c r="AG138" i="3"/>
  <c r="AG294" i="3"/>
  <c r="AG287" i="3"/>
  <c r="AG291" i="3"/>
  <c r="AG259" i="3"/>
  <c r="AG271" i="3"/>
  <c r="AG260" i="3"/>
  <c r="AG277" i="3"/>
  <c r="AG270" i="3"/>
  <c r="AG214" i="3"/>
  <c r="AG125" i="3"/>
  <c r="AG93" i="3"/>
  <c r="AG66" i="3"/>
  <c r="AG183" i="3"/>
  <c r="AG114" i="3"/>
  <c r="AG124" i="3"/>
  <c r="AG96" i="3"/>
  <c r="AG45" i="3"/>
  <c r="AG10" i="3"/>
  <c r="AG90" i="3"/>
  <c r="AG63" i="3"/>
  <c r="AG4" i="3"/>
  <c r="AG208" i="3"/>
  <c r="AG180" i="3"/>
  <c r="AG115" i="3"/>
  <c r="AG9" i="3"/>
  <c r="AG178" i="3"/>
  <c r="AG51" i="3"/>
  <c r="AG8" i="3"/>
  <c r="AG140" i="3"/>
  <c r="AG128" i="3"/>
  <c r="AG245" i="3"/>
  <c r="AG194" i="3"/>
  <c r="AG74" i="3"/>
  <c r="AG193" i="3"/>
  <c r="AG14" i="3"/>
  <c r="AG106" i="3"/>
  <c r="AG244" i="3"/>
  <c r="AG107" i="3"/>
  <c r="AG195" i="3"/>
  <c r="AG165" i="3"/>
  <c r="AG101" i="3"/>
  <c r="AG160" i="3"/>
  <c r="AG104" i="3"/>
  <c r="AG100" i="3"/>
  <c r="AF273" i="3"/>
  <c r="AG273" i="3"/>
  <c r="AG97" i="3"/>
  <c r="AG46" i="3"/>
  <c r="AG43" i="3"/>
  <c r="AG189" i="3"/>
  <c r="AG185" i="3"/>
  <c r="AG92" i="3"/>
  <c r="AG73" i="3"/>
  <c r="AG69" i="3"/>
  <c r="AF134" i="3"/>
  <c r="AG134" i="3"/>
  <c r="AF81" i="3"/>
  <c r="AG81" i="3"/>
  <c r="AG145" i="3"/>
  <c r="AG144" i="3"/>
  <c r="AF130" i="3"/>
  <c r="AG130" i="3"/>
  <c r="AG22" i="3"/>
  <c r="AG21" i="3"/>
  <c r="AG137" i="3"/>
  <c r="AG136" i="3"/>
  <c r="AG296" i="3"/>
  <c r="AG293" i="3"/>
  <c r="AG255" i="3"/>
  <c r="AG253" i="3"/>
  <c r="AG157" i="3"/>
  <c r="AG117" i="3"/>
  <c r="AG54" i="3"/>
  <c r="AG50" i="3"/>
  <c r="AG102" i="3"/>
  <c r="AG53" i="3"/>
  <c r="AG95" i="3"/>
  <c r="AG55" i="3"/>
  <c r="AF152" i="3"/>
  <c r="AG15" i="3"/>
  <c r="AG152" i="3"/>
  <c r="AG25" i="3"/>
  <c r="AG227" i="3"/>
  <c r="AG238" i="3"/>
  <c r="AG230" i="3"/>
  <c r="AG199" i="3"/>
  <c r="AG242" i="3"/>
  <c r="AG226" i="3"/>
  <c r="AG200" i="3"/>
  <c r="AG206" i="3"/>
  <c r="AG207" i="3"/>
  <c r="AG203" i="3"/>
  <c r="AF41" i="3"/>
  <c r="AG41" i="3"/>
  <c r="AF151" i="3"/>
  <c r="AG151" i="3"/>
  <c r="AF293" i="3"/>
  <c r="AF296" i="3"/>
  <c r="AF303" i="3"/>
  <c r="AF295" i="3"/>
  <c r="AF298" i="3"/>
  <c r="AF288" i="3"/>
  <c r="AF290" i="3"/>
  <c r="AF292" i="3"/>
  <c r="AF289" i="3"/>
  <c r="AF286" i="3"/>
  <c r="AF294" i="3"/>
  <c r="AF291" i="3"/>
  <c r="AF287" i="3"/>
  <c r="AF36" i="3"/>
  <c r="AF269" i="3"/>
  <c r="AF248" i="3"/>
  <c r="AF245" i="3"/>
  <c r="AF244" i="3"/>
  <c r="AF258" i="3"/>
  <c r="AF261" i="3"/>
  <c r="AF262" i="3"/>
  <c r="AF217" i="3"/>
  <c r="AF243" i="3"/>
  <c r="AF241" i="3"/>
  <c r="AF240" i="3"/>
  <c r="AF239" i="3"/>
  <c r="AF68" i="3"/>
  <c r="AF235" i="3"/>
  <c r="AF233" i="3"/>
  <c r="AF222" i="3"/>
  <c r="AF219" i="3"/>
  <c r="AF213" i="3"/>
  <c r="AF278" i="3"/>
  <c r="AF236" i="3"/>
  <c r="AF216" i="3"/>
  <c r="AF184" i="3"/>
  <c r="AF246" i="3"/>
  <c r="AF225" i="3"/>
  <c r="AF234" i="3"/>
  <c r="AF224" i="3"/>
  <c r="AF223" i="3"/>
  <c r="AF253" i="3"/>
  <c r="AF255" i="3"/>
  <c r="AF279" i="3"/>
  <c r="AF237" i="3"/>
  <c r="AF199" i="3"/>
  <c r="AF238" i="3"/>
  <c r="AF230" i="3"/>
  <c r="AF227" i="3"/>
  <c r="AF200" i="3"/>
  <c r="AF242" i="3"/>
  <c r="AF226" i="3"/>
  <c r="AF256" i="3"/>
  <c r="AF257" i="3"/>
  <c r="AF259" i="3"/>
  <c r="AF260" i="3"/>
  <c r="AF270" i="3"/>
  <c r="AF271" i="3"/>
  <c r="AF277" i="3"/>
  <c r="AF147" i="3"/>
  <c r="AF149" i="3"/>
  <c r="AF103" i="3"/>
  <c r="AF177" i="3"/>
  <c r="AF198" i="3"/>
  <c r="AF209" i="3"/>
  <c r="AF176" i="3"/>
  <c r="AF172" i="3"/>
  <c r="AF185" i="3"/>
  <c r="AF189" i="3"/>
  <c r="AF156" i="3"/>
  <c r="AF153" i="3"/>
  <c r="AF113" i="3"/>
  <c r="AF211" i="3"/>
  <c r="AF84" i="3"/>
  <c r="AF210" i="3"/>
  <c r="AF212" i="3"/>
  <c r="AF167" i="3"/>
  <c r="AF181" i="3"/>
  <c r="AF154" i="3"/>
  <c r="AF150" i="3"/>
  <c r="AF186" i="3"/>
  <c r="AF194" i="3"/>
  <c r="AF195" i="3"/>
  <c r="AF193" i="3"/>
  <c r="AF159" i="3"/>
  <c r="AF155" i="3"/>
  <c r="AF170" i="3"/>
  <c r="AF166" i="3"/>
  <c r="AF165" i="3"/>
  <c r="AF160" i="3"/>
  <c r="AF117" i="3"/>
  <c r="AF157" i="3"/>
  <c r="AF206" i="3"/>
  <c r="AF207" i="3"/>
  <c r="AF203" i="3"/>
  <c r="AF208" i="3"/>
  <c r="AF178" i="3"/>
  <c r="AF183" i="3"/>
  <c r="AF214" i="3"/>
  <c r="AF180" i="3"/>
  <c r="AF141" i="3"/>
  <c r="AF127" i="3"/>
  <c r="AF145" i="3"/>
  <c r="AF144" i="3"/>
  <c r="AF123" i="3"/>
  <c r="AF131" i="3"/>
  <c r="AF139" i="3"/>
  <c r="AF129" i="3"/>
  <c r="AF137" i="3"/>
  <c r="AF136" i="3"/>
  <c r="AF142" i="3"/>
  <c r="AF133" i="3"/>
  <c r="AF119" i="3"/>
  <c r="AF132" i="3"/>
  <c r="AF140" i="3"/>
  <c r="AF128" i="3"/>
  <c r="AF116" i="3"/>
  <c r="AF122" i="3"/>
  <c r="AF125" i="3"/>
  <c r="AF124" i="3"/>
  <c r="AF108" i="3"/>
  <c r="AF112" i="3"/>
  <c r="AF109" i="3"/>
  <c r="AF118" i="3"/>
  <c r="AF96" i="3"/>
  <c r="AF115" i="3"/>
  <c r="AF114" i="3"/>
  <c r="AF94" i="3"/>
  <c r="AF111" i="3"/>
  <c r="AF107" i="3"/>
  <c r="AF106" i="3"/>
  <c r="AF80" i="3"/>
  <c r="AF99" i="3"/>
  <c r="AF98" i="3"/>
  <c r="AF104" i="3"/>
  <c r="AF101" i="3"/>
  <c r="AF100" i="3"/>
  <c r="AF102" i="3"/>
  <c r="AF95" i="3"/>
  <c r="AF92" i="3"/>
  <c r="AF97" i="3"/>
  <c r="AF59" i="3"/>
  <c r="AF91" i="3"/>
  <c r="AF90" i="3"/>
  <c r="AF93" i="3"/>
  <c r="AF14" i="3"/>
  <c r="AF74" i="3"/>
  <c r="AF37" i="3"/>
  <c r="AF87" i="3"/>
  <c r="AF86" i="3"/>
  <c r="AF16" i="3"/>
  <c r="AF85" i="3"/>
  <c r="AF62" i="3"/>
  <c r="AF83" i="3"/>
  <c r="AF82" i="3"/>
  <c r="AF69" i="3"/>
  <c r="AF73" i="3"/>
  <c r="AF17" i="3"/>
  <c r="AF65" i="3"/>
  <c r="AF66" i="3"/>
  <c r="AF63" i="3"/>
  <c r="AF28" i="3"/>
  <c r="AF24" i="3"/>
  <c r="AF23" i="3"/>
  <c r="AF60" i="3"/>
  <c r="AF20" i="3"/>
  <c r="AF19" i="3"/>
  <c r="AF6" i="3"/>
  <c r="AF49" i="3"/>
  <c r="AF48" i="3"/>
  <c r="AF42" i="3"/>
  <c r="AF38" i="3"/>
  <c r="AF30" i="3"/>
  <c r="AF27" i="3"/>
  <c r="AF26" i="3"/>
  <c r="AF5" i="3"/>
  <c r="AF52" i="3"/>
  <c r="AF47" i="3"/>
  <c r="AF22" i="3"/>
  <c r="AF21" i="3"/>
  <c r="AF55" i="3"/>
  <c r="AF54" i="3"/>
  <c r="AF53" i="3"/>
  <c r="AF50" i="3"/>
  <c r="AF44" i="3"/>
  <c r="AF40" i="3"/>
  <c r="AF25" i="3"/>
  <c r="AF15" i="3"/>
  <c r="AF57" i="3"/>
  <c r="AF56" i="3"/>
  <c r="AF39" i="3"/>
  <c r="AF34" i="3"/>
  <c r="AF32" i="3"/>
  <c r="AF29" i="3"/>
  <c r="AF11" i="3"/>
  <c r="AF18" i="3"/>
  <c r="AF51" i="3"/>
  <c r="AF45" i="3"/>
  <c r="AF46" i="3"/>
  <c r="AF43" i="3"/>
  <c r="AF12" i="3"/>
  <c r="AF13" i="3"/>
  <c r="AF10" i="3"/>
  <c r="AF9" i="3"/>
  <c r="AF8" i="3"/>
  <c r="AF4" i="3"/>
  <c r="AN773" i="3" l="1"/>
  <c r="AO773" i="3" s="1"/>
  <c r="AP773" i="3" s="1"/>
  <c r="AN820" i="3"/>
  <c r="AO820" i="3" s="1"/>
  <c r="AP820" i="3" s="1"/>
  <c r="AN528" i="3"/>
  <c r="AO528" i="3" s="1"/>
  <c r="AP528" i="3" s="1"/>
  <c r="AN537" i="3"/>
  <c r="AO537" i="3" s="1"/>
  <c r="AP537" i="3" s="1"/>
  <c r="AN463" i="3"/>
  <c r="AO463" i="3" s="1"/>
  <c r="AP463" i="3" s="1"/>
  <c r="AN450" i="3"/>
  <c r="AO450" i="3" s="1"/>
  <c r="AP450" i="3" s="1"/>
  <c r="AN585" i="3"/>
  <c r="AO585" i="3" s="1"/>
  <c r="AP585" i="3" s="1"/>
  <c r="AN518" i="3"/>
  <c r="AO518" i="3" s="1"/>
  <c r="AP518" i="3" s="1"/>
  <c r="AN475" i="3"/>
  <c r="AO475" i="3" s="1"/>
  <c r="AP475" i="3" s="1"/>
  <c r="AN810" i="3"/>
  <c r="AO810" i="3" s="1"/>
  <c r="AP810" i="3" s="1"/>
  <c r="AN86" i="3"/>
  <c r="AO86" i="3" s="1"/>
  <c r="AP86" i="3" s="1"/>
  <c r="AN7" i="3"/>
  <c r="AO7" i="3" s="1"/>
  <c r="AP7" i="3" s="1"/>
  <c r="AN436" i="3"/>
  <c r="AO436" i="3" s="1"/>
  <c r="AP436" i="3" s="1"/>
  <c r="AN497" i="3"/>
  <c r="AO497" i="3" s="1"/>
  <c r="AP497" i="3" s="1"/>
  <c r="AN2" i="3"/>
  <c r="AO2" i="3" s="1"/>
  <c r="AP2" i="3" s="1"/>
  <c r="AN567" i="3"/>
  <c r="AO567" i="3" s="1"/>
  <c r="AP567" i="3" s="1"/>
  <c r="AN254" i="3"/>
  <c r="AN522" i="3"/>
  <c r="AO522" i="3" s="1"/>
  <c r="AP522" i="3" s="1"/>
  <c r="AN412" i="3"/>
  <c r="AO412" i="3" s="1"/>
  <c r="AP412" i="3" s="1"/>
  <c r="AN441" i="3"/>
  <c r="AO441" i="3" s="1"/>
  <c r="AP441" i="3" s="1"/>
  <c r="AN47" i="3"/>
  <c r="AO47" i="3" s="1"/>
  <c r="AP47" i="3" s="1"/>
  <c r="AN438" i="3"/>
  <c r="AO438" i="3" s="1"/>
  <c r="AP438" i="3" s="1"/>
  <c r="AN391" i="3"/>
  <c r="AO391" i="3" s="1"/>
  <c r="AP391" i="3" s="1"/>
  <c r="AN316" i="3"/>
  <c r="AO316" i="3" s="1"/>
  <c r="AP316" i="3" s="1"/>
  <c r="AN8" i="3"/>
  <c r="AO8" i="3" s="1"/>
  <c r="AP8" i="3" s="1"/>
  <c r="AN136" i="3"/>
  <c r="AO136" i="3" s="1"/>
  <c r="AP136" i="3" s="1"/>
  <c r="AN75" i="3"/>
  <c r="AO75" i="3" s="1"/>
  <c r="AP75" i="3" s="1"/>
  <c r="AN52" i="3"/>
  <c r="AO52" i="3" s="1"/>
  <c r="AP52" i="3" s="1"/>
  <c r="AN73" i="3"/>
  <c r="AO73" i="3" s="1"/>
  <c r="AP73" i="3" s="1"/>
  <c r="AN415" i="3"/>
  <c r="AO415" i="3" s="1"/>
  <c r="AP415" i="3" s="1"/>
  <c r="AN569" i="3"/>
  <c r="AO569" i="3" s="1"/>
  <c r="AP569" i="3" s="1"/>
  <c r="AN693" i="3"/>
  <c r="AO693" i="3" s="1"/>
  <c r="AP693" i="3" s="1"/>
  <c r="AN792" i="3"/>
  <c r="AO792" i="3" s="1"/>
  <c r="AP792" i="3" s="1"/>
  <c r="AN685" i="3"/>
  <c r="AO685" i="3" s="1"/>
  <c r="AP685" i="3" s="1"/>
  <c r="AN600" i="3"/>
  <c r="AO600" i="3" s="1"/>
  <c r="AP600" i="3" s="1"/>
  <c r="AN907" i="3"/>
  <c r="AO907" i="3" s="1"/>
  <c r="AP907" i="3" s="1"/>
  <c r="AN609" i="3"/>
  <c r="AO609" i="3" s="1"/>
  <c r="AP609" i="3" s="1"/>
  <c r="AN717" i="3"/>
  <c r="AO717" i="3" s="1"/>
  <c r="AP717" i="3" s="1"/>
  <c r="AN912" i="3"/>
  <c r="AO912" i="3" s="1"/>
  <c r="AP912" i="3" s="1"/>
  <c r="AN66" i="3"/>
  <c r="AO66" i="3" s="1"/>
  <c r="AP66" i="3" s="1"/>
  <c r="AN640" i="3"/>
  <c r="AO640" i="3" s="1"/>
  <c r="AP640" i="3" s="1"/>
  <c r="AN876" i="3"/>
  <c r="AO876" i="3" s="1"/>
  <c r="AP876" i="3" s="1"/>
  <c r="AN77" i="3"/>
  <c r="AO77" i="3" s="1"/>
  <c r="AP77" i="3" s="1"/>
  <c r="AN433" i="3"/>
  <c r="AO433" i="3" s="1"/>
  <c r="AP433" i="3" s="1"/>
  <c r="AN105" i="3"/>
  <c r="AO105" i="3" s="1"/>
  <c r="AP105" i="3" s="1"/>
  <c r="AN146" i="3"/>
  <c r="AO146" i="3" s="1"/>
  <c r="AP146" i="3" s="1"/>
  <c r="AN187" i="3"/>
  <c r="AO187" i="3" s="1"/>
  <c r="AP187" i="3" s="1"/>
  <c r="AN427" i="3"/>
  <c r="AO427" i="3" s="1"/>
  <c r="AP427" i="3" s="1"/>
  <c r="AN36" i="3"/>
  <c r="AO36" i="3" s="1"/>
  <c r="AP36" i="3" s="1"/>
  <c r="AN357" i="3"/>
  <c r="AO357" i="3" s="1"/>
  <c r="AP357" i="3" s="1"/>
  <c r="AN128" i="3"/>
  <c r="AO128" i="3" s="1"/>
  <c r="AP128" i="3" s="1"/>
  <c r="AN114" i="3"/>
  <c r="AO114" i="3" s="1"/>
  <c r="AP114" i="3" s="1"/>
  <c r="AN435" i="3"/>
  <c r="AO435" i="3" s="1"/>
  <c r="AP435" i="3" s="1"/>
  <c r="AN384" i="3"/>
  <c r="AO384" i="3" s="1"/>
  <c r="AP384" i="3" s="1"/>
  <c r="AN323" i="3"/>
  <c r="AO323" i="3" s="1"/>
  <c r="AP323" i="3" s="1"/>
  <c r="AN84" i="3"/>
  <c r="AO84" i="3" s="1"/>
  <c r="AP84" i="3" s="1"/>
  <c r="AN28" i="3"/>
  <c r="AO28" i="3" s="1"/>
  <c r="AP28" i="3" s="1"/>
  <c r="AN21" i="3"/>
  <c r="AO21" i="3" s="1"/>
  <c r="AP21" i="3" s="1"/>
  <c r="AN309" i="3"/>
  <c r="AO309" i="3" s="1"/>
  <c r="AP309" i="3" s="1"/>
  <c r="AN787" i="3"/>
  <c r="AO787" i="3" s="1"/>
  <c r="AP787" i="3" s="1"/>
  <c r="AN657" i="3"/>
  <c r="AO657" i="3" s="1"/>
  <c r="AP657" i="3" s="1"/>
  <c r="AN495" i="3"/>
  <c r="AO495" i="3" s="1"/>
  <c r="AP495" i="3" s="1"/>
  <c r="AN228" i="3"/>
  <c r="AO228" i="3" s="1"/>
  <c r="AP228" i="3" s="1"/>
  <c r="AN445" i="3"/>
  <c r="AO445" i="3" s="1"/>
  <c r="AP445" i="3" s="1"/>
  <c r="AN110" i="3"/>
  <c r="AO110" i="3" s="1"/>
  <c r="AP110" i="3" s="1"/>
  <c r="AN366" i="3"/>
  <c r="AO366" i="3" s="1"/>
  <c r="AP366" i="3" s="1"/>
  <c r="AN429" i="3"/>
  <c r="AO429" i="3" s="1"/>
  <c r="AP429" i="3" s="1"/>
  <c r="AN409" i="3"/>
  <c r="AO409" i="3" s="1"/>
  <c r="AP409" i="3" s="1"/>
  <c r="AN353" i="3"/>
  <c r="AO353" i="3" s="1"/>
  <c r="AP353" i="3" s="1"/>
  <c r="AN140" i="3"/>
  <c r="AO140" i="3" s="1"/>
  <c r="AP140" i="3" s="1"/>
  <c r="AN67" i="3"/>
  <c r="AO67" i="3" s="1"/>
  <c r="AP67" i="3" s="1"/>
  <c r="AN200" i="3"/>
  <c r="AO200" i="3" s="1"/>
  <c r="AP200" i="3" s="1"/>
  <c r="AN32" i="3"/>
  <c r="AO32" i="3" s="1"/>
  <c r="AP32" i="3" s="1"/>
  <c r="AN5" i="3"/>
  <c r="AO5" i="3" s="1"/>
  <c r="AP5" i="3" s="1"/>
  <c r="AN3" i="3"/>
  <c r="AO3" i="3" s="1"/>
  <c r="AP3" i="3" s="1"/>
  <c r="AN333" i="3"/>
  <c r="AO333" i="3" s="1"/>
  <c r="AP333" i="3" s="1"/>
  <c r="AN392" i="3"/>
  <c r="AO392" i="3" s="1"/>
  <c r="AP392" i="3" s="1"/>
  <c r="AN117" i="3"/>
  <c r="AO117" i="3" s="1"/>
  <c r="AP117" i="3" s="1"/>
  <c r="AN135" i="3"/>
  <c r="AO135" i="3" s="1"/>
  <c r="AP135" i="3" s="1"/>
  <c r="AN305" i="3"/>
  <c r="AO305" i="3" s="1"/>
  <c r="AP305" i="3" s="1"/>
  <c r="AN322" i="3"/>
  <c r="AO322" i="3" s="1"/>
  <c r="AP322" i="3" s="1"/>
  <c r="AN111" i="3"/>
  <c r="AO111" i="3" s="1"/>
  <c r="AP111" i="3" s="1"/>
  <c r="AN350" i="3"/>
  <c r="AO350" i="3" s="1"/>
  <c r="AP350" i="3" s="1"/>
  <c r="AN327" i="3"/>
  <c r="AO327" i="3" s="1"/>
  <c r="AP327" i="3" s="1"/>
  <c r="AN138" i="3"/>
  <c r="AO138" i="3" s="1"/>
  <c r="AP138" i="3" s="1"/>
  <c r="AN320" i="3"/>
  <c r="AO320" i="3" s="1"/>
  <c r="AP320" i="3" s="1"/>
  <c r="AN68" i="3"/>
  <c r="AO68" i="3" s="1"/>
  <c r="AP68" i="3" s="1"/>
  <c r="AN326" i="3"/>
  <c r="AO326" i="3" s="1"/>
  <c r="AP326" i="3" s="1"/>
  <c r="AN30" i="3"/>
  <c r="AO30" i="3" s="1"/>
  <c r="AP30" i="3" s="1"/>
  <c r="AN318" i="3"/>
  <c r="AO318" i="3" s="1"/>
  <c r="AP318" i="3" s="1"/>
  <c r="AN430" i="3"/>
  <c r="AO430" i="3" s="1"/>
  <c r="AP430" i="3" s="1"/>
  <c r="AN410" i="3"/>
  <c r="AO410" i="3" s="1"/>
  <c r="AP410" i="3" s="1"/>
  <c r="AN364" i="3"/>
  <c r="AO364" i="3" s="1"/>
  <c r="AP364" i="3" s="1"/>
  <c r="AN601" i="3"/>
  <c r="AO601" i="3" s="1"/>
  <c r="AP601" i="3" s="1"/>
  <c r="AN763" i="3"/>
  <c r="AO763" i="3" s="1"/>
  <c r="AP763" i="3" s="1"/>
  <c r="AN633" i="3"/>
  <c r="AO633" i="3" s="1"/>
  <c r="AP633" i="3" s="1"/>
  <c r="AN795" i="3"/>
  <c r="AO795" i="3" s="1"/>
  <c r="AP795" i="3" s="1"/>
  <c r="AN587" i="3"/>
  <c r="AO587" i="3" s="1"/>
  <c r="AP587" i="3" s="1"/>
  <c r="AN690" i="3"/>
  <c r="AO690" i="3" s="1"/>
  <c r="AP690" i="3" s="1"/>
  <c r="AN548" i="3"/>
  <c r="AO548" i="3" s="1"/>
  <c r="AP548" i="3" s="1"/>
  <c r="AN728" i="3"/>
  <c r="AO728" i="3" s="1"/>
  <c r="AP728" i="3" s="1"/>
  <c r="AN620" i="3"/>
  <c r="AO620" i="3" s="1"/>
  <c r="AP620" i="3" s="1"/>
  <c r="AN90" i="3"/>
  <c r="AO90" i="3" s="1"/>
  <c r="AP90" i="3" s="1"/>
  <c r="AN31" i="3"/>
  <c r="AO31" i="3" s="1"/>
  <c r="AP31" i="3" s="1"/>
  <c r="AN514" i="3"/>
  <c r="AO514" i="3" s="1"/>
  <c r="AP514" i="3" s="1"/>
  <c r="AN525" i="3"/>
  <c r="AO525" i="3" s="1"/>
  <c r="AP525" i="3" s="1"/>
  <c r="AN597" i="3"/>
  <c r="AO597" i="3" s="1"/>
  <c r="AP597" i="3" s="1"/>
  <c r="AN722" i="3"/>
  <c r="AO722" i="3" s="1"/>
  <c r="AP722" i="3" s="1"/>
  <c r="AN824" i="3"/>
  <c r="AO824" i="3" s="1"/>
  <c r="AP824" i="3" s="1"/>
  <c r="AN511" i="3"/>
  <c r="AO511" i="3" s="1"/>
  <c r="AP511" i="3" s="1"/>
  <c r="AN800" i="3"/>
  <c r="AO800" i="3" s="1"/>
  <c r="AP800" i="3" s="1"/>
  <c r="AN832" i="3"/>
  <c r="AO832" i="3" s="1"/>
  <c r="AP832" i="3" s="1"/>
  <c r="AN533" i="3"/>
  <c r="AO533" i="3" s="1"/>
  <c r="AP533" i="3" s="1"/>
  <c r="AN687" i="3"/>
  <c r="AO687" i="3" s="1"/>
  <c r="AP687" i="3" s="1"/>
  <c r="AN874" i="3"/>
  <c r="AO874" i="3" s="1"/>
  <c r="AP874" i="3" s="1"/>
  <c r="AN501" i="3"/>
  <c r="AO501" i="3" s="1"/>
  <c r="AP501" i="3" s="1"/>
  <c r="AN477" i="3"/>
  <c r="AO477" i="3" s="1"/>
  <c r="AP477" i="3" s="1"/>
  <c r="AN684" i="3"/>
  <c r="AO684" i="3" s="1"/>
  <c r="AP684" i="3" s="1"/>
  <c r="AN483" i="3"/>
  <c r="AO483" i="3" s="1"/>
  <c r="AP483" i="3" s="1"/>
  <c r="AN752" i="3"/>
  <c r="AO752" i="3" s="1"/>
  <c r="AP752" i="3" s="1"/>
  <c r="AN515" i="3"/>
  <c r="AO515" i="3" s="1"/>
  <c r="AP515" i="3" s="1"/>
  <c r="AN127" i="3"/>
  <c r="AO127" i="3" s="1"/>
  <c r="AP127" i="3" s="1"/>
  <c r="AN570" i="3"/>
  <c r="AO570" i="3" s="1"/>
  <c r="AP570" i="3" s="1"/>
  <c r="AN729" i="3"/>
  <c r="AO729" i="3" s="1"/>
  <c r="AP729" i="3" s="1"/>
  <c r="AN469" i="3"/>
  <c r="AO469" i="3" s="1"/>
  <c r="AP469" i="3" s="1"/>
  <c r="AN559" i="3"/>
  <c r="AO559" i="3" s="1"/>
  <c r="AP559" i="3" s="1"/>
  <c r="AN831" i="3"/>
  <c r="AO831" i="3" s="1"/>
  <c r="AP831" i="3" s="1"/>
  <c r="AN735" i="3"/>
  <c r="AO735" i="3" s="1"/>
  <c r="AP735" i="3" s="1"/>
  <c r="AN895" i="3"/>
  <c r="AO895" i="3" s="1"/>
  <c r="AP895" i="3" s="1"/>
  <c r="AN705" i="3"/>
  <c r="AO705" i="3" s="1"/>
  <c r="AP705" i="3" s="1"/>
  <c r="AN840" i="3"/>
  <c r="AO840" i="3" s="1"/>
  <c r="AP840" i="3" s="1"/>
  <c r="AN521" i="3"/>
  <c r="AO521" i="3" s="1"/>
  <c r="AP521" i="3" s="1"/>
  <c r="AN742" i="3"/>
  <c r="AO742" i="3" s="1"/>
  <c r="AP742" i="3" s="1"/>
  <c r="AN578" i="3"/>
  <c r="AO578" i="3" s="1"/>
  <c r="AP578" i="3" s="1"/>
  <c r="AN857" i="3"/>
  <c r="AO857" i="3" s="1"/>
  <c r="AP857" i="3" s="1"/>
  <c r="AN631" i="3"/>
  <c r="AO631" i="3" s="1"/>
  <c r="AP631" i="3" s="1"/>
  <c r="AN542" i="3"/>
  <c r="AO542" i="3" s="1"/>
  <c r="AP542" i="3" s="1"/>
  <c r="AN502" i="3"/>
  <c r="AO502" i="3" s="1"/>
  <c r="AP502" i="3" s="1"/>
  <c r="AN129" i="3"/>
  <c r="AO129" i="3" s="1"/>
  <c r="AP129" i="3" s="1"/>
  <c r="AN97" i="3"/>
  <c r="AO97" i="3" s="1"/>
  <c r="AP97" i="3" s="1"/>
  <c r="AN510" i="3"/>
  <c r="AO510" i="3" s="1"/>
  <c r="AP510" i="3" s="1"/>
  <c r="AN596" i="3"/>
  <c r="AO596" i="3" s="1"/>
  <c r="AP596" i="3" s="1"/>
  <c r="AN885" i="3"/>
  <c r="AO885" i="3" s="1"/>
  <c r="AP885" i="3" s="1"/>
  <c r="AN650" i="3"/>
  <c r="AO650" i="3" s="1"/>
  <c r="AP650" i="3" s="1"/>
  <c r="AN928" i="3"/>
  <c r="AO928" i="3" s="1"/>
  <c r="AP928" i="3" s="1"/>
  <c r="AN931" i="3"/>
  <c r="AO931" i="3" s="1"/>
  <c r="AP931" i="3" s="1"/>
  <c r="AN926" i="3"/>
  <c r="AO926" i="3" s="1"/>
  <c r="AP926" i="3" s="1"/>
  <c r="AN16" i="3"/>
  <c r="AO16" i="3" s="1"/>
  <c r="AP16" i="3" s="1"/>
  <c r="AB176" i="3"/>
  <c r="J176" i="3"/>
  <c r="AM176" i="3" s="1"/>
  <c r="AB293" i="3"/>
  <c r="J293" i="3"/>
  <c r="AM293" i="3" s="1"/>
  <c r="AB186" i="3"/>
  <c r="J186" i="3"/>
  <c r="AM186" i="3" s="1"/>
  <c r="AB164" i="3"/>
  <c r="J164" i="3"/>
  <c r="AM164" i="3" s="1"/>
  <c r="AB196" i="3"/>
  <c r="J196" i="3"/>
  <c r="AM196" i="3" s="1"/>
  <c r="AB199" i="3"/>
  <c r="J199" i="3"/>
  <c r="AM199" i="3" s="1"/>
  <c r="AB188" i="3"/>
  <c r="J188" i="3"/>
  <c r="AM188" i="3" s="1"/>
  <c r="AB289" i="3"/>
  <c r="J289" i="3"/>
  <c r="AM289" i="3" s="1"/>
  <c r="AB203" i="3"/>
  <c r="J203" i="3"/>
  <c r="AM203" i="3" s="1"/>
  <c r="AB193" i="3"/>
  <c r="J193" i="3"/>
  <c r="AM193" i="3" s="1"/>
  <c r="AB262" i="3"/>
  <c r="J262" i="3"/>
  <c r="AM262" i="3" s="1"/>
  <c r="AB192" i="3"/>
  <c r="J192" i="3"/>
  <c r="AM192" i="3" s="1"/>
  <c r="AB303" i="3"/>
  <c r="J303" i="3"/>
  <c r="AM303" i="3" s="1"/>
  <c r="AB225" i="3"/>
  <c r="J225" i="3"/>
  <c r="AM225" i="3" s="1"/>
  <c r="AB246" i="3"/>
  <c r="J246" i="3"/>
  <c r="AM246" i="3" s="1"/>
  <c r="AB250" i="3"/>
  <c r="J250" i="3"/>
  <c r="AM250" i="3" s="1"/>
  <c r="AN24" i="3"/>
  <c r="AO24" i="3" s="1"/>
  <c r="AP24" i="3" s="1"/>
  <c r="AN9" i="3"/>
  <c r="AO9" i="3" s="1"/>
  <c r="AP9" i="3" s="1"/>
  <c r="AN224" i="3"/>
  <c r="AO224" i="3" s="1"/>
  <c r="AP224" i="3" s="1"/>
  <c r="AN417" i="3"/>
  <c r="AO417" i="3" s="1"/>
  <c r="AP417" i="3" s="1"/>
  <c r="AN376" i="3"/>
  <c r="AO376" i="3" s="1"/>
  <c r="AP376" i="3" s="1"/>
  <c r="AN315" i="3"/>
  <c r="AO315" i="3" s="1"/>
  <c r="AP315" i="3" s="1"/>
  <c r="AN141" i="3"/>
  <c r="AO141" i="3" s="1"/>
  <c r="AP141" i="3" s="1"/>
  <c r="AN22" i="3"/>
  <c r="AO22" i="3" s="1"/>
  <c r="AP22" i="3" s="1"/>
  <c r="AN252" i="3"/>
  <c r="AO252" i="3" s="1"/>
  <c r="AP252" i="3" s="1"/>
  <c r="AN397" i="3"/>
  <c r="AO397" i="3" s="1"/>
  <c r="AP397" i="3" s="1"/>
  <c r="AN62" i="3"/>
  <c r="AO62" i="3" s="1"/>
  <c r="AP62" i="3" s="1"/>
  <c r="AN126" i="3"/>
  <c r="AO126" i="3" s="1"/>
  <c r="AP126" i="3" s="1"/>
  <c r="AN349" i="3"/>
  <c r="AO349" i="3" s="1"/>
  <c r="AP349" i="3" s="1"/>
  <c r="AN424" i="3"/>
  <c r="AO424" i="3" s="1"/>
  <c r="AP424" i="3" s="1"/>
  <c r="AN369" i="3"/>
  <c r="AO369" i="3" s="1"/>
  <c r="AP369" i="3" s="1"/>
  <c r="AN345" i="3"/>
  <c r="AO345" i="3" s="1"/>
  <c r="AP345" i="3" s="1"/>
  <c r="AN4" i="3"/>
  <c r="AO4" i="3" s="1"/>
  <c r="AP4" i="3" s="1"/>
  <c r="AN422" i="3"/>
  <c r="AO422" i="3" s="1"/>
  <c r="AP422" i="3" s="1"/>
  <c r="AN26" i="3"/>
  <c r="AO26" i="3" s="1"/>
  <c r="AP26" i="3" s="1"/>
  <c r="AN306" i="3"/>
  <c r="AO306" i="3" s="1"/>
  <c r="AP306" i="3" s="1"/>
  <c r="AN310" i="3"/>
  <c r="AO310" i="3" s="1"/>
  <c r="AP310" i="3" s="1"/>
  <c r="AN324" i="3"/>
  <c r="AO324" i="3" s="1"/>
  <c r="AP324" i="3" s="1"/>
  <c r="AN152" i="3"/>
  <c r="AO152" i="3" s="1"/>
  <c r="AP152" i="3" s="1"/>
  <c r="AN155" i="3"/>
  <c r="AO155" i="3" s="1"/>
  <c r="AP155" i="3" s="1"/>
  <c r="AN133" i="3"/>
  <c r="AO133" i="3" s="1"/>
  <c r="AP133" i="3" s="1"/>
  <c r="AN72" i="3"/>
  <c r="AO72" i="3" s="1"/>
  <c r="AP72" i="3" s="1"/>
  <c r="AN98" i="3"/>
  <c r="AO98" i="3" s="1"/>
  <c r="AP98" i="3" s="1"/>
  <c r="AN113" i="3"/>
  <c r="AO113" i="3" s="1"/>
  <c r="AP113" i="3" s="1"/>
  <c r="AN125" i="3"/>
  <c r="AO125" i="3" s="1"/>
  <c r="AP125" i="3" s="1"/>
  <c r="AN359" i="3"/>
  <c r="AO359" i="3" s="1"/>
  <c r="AP359" i="3" s="1"/>
  <c r="AN414" i="3"/>
  <c r="AO414" i="3" s="1"/>
  <c r="AP414" i="3" s="1"/>
  <c r="AN341" i="3"/>
  <c r="AO341" i="3" s="1"/>
  <c r="AP341" i="3" s="1"/>
  <c r="AN416" i="3"/>
  <c r="AO416" i="3" s="1"/>
  <c r="AP416" i="3" s="1"/>
  <c r="AN373" i="3"/>
  <c r="AO373" i="3" s="1"/>
  <c r="AP373" i="3" s="1"/>
  <c r="AN335" i="3"/>
  <c r="AO335" i="3" s="1"/>
  <c r="AP335" i="3" s="1"/>
  <c r="AN887" i="3"/>
  <c r="AO887" i="3" s="1"/>
  <c r="AP887" i="3" s="1"/>
  <c r="AN731" i="3"/>
  <c r="AO731" i="3" s="1"/>
  <c r="AP731" i="3" s="1"/>
  <c r="AN694" i="3"/>
  <c r="AO694" i="3" s="1"/>
  <c r="AP694" i="3" s="1"/>
  <c r="AN57" i="3"/>
  <c r="AO57" i="3" s="1"/>
  <c r="AP57" i="3" s="1"/>
  <c r="AN549" i="3"/>
  <c r="AO549" i="3" s="1"/>
  <c r="AP549" i="3" s="1"/>
  <c r="AN805" i="3"/>
  <c r="AO805" i="3" s="1"/>
  <c r="AP805" i="3" s="1"/>
  <c r="AN520" i="3"/>
  <c r="AO520" i="3" s="1"/>
  <c r="AP520" i="3" s="1"/>
  <c r="AN753" i="3"/>
  <c r="AO753" i="3" s="1"/>
  <c r="AP753" i="3" s="1"/>
  <c r="AN505" i="3"/>
  <c r="AO505" i="3" s="1"/>
  <c r="AP505" i="3" s="1"/>
  <c r="AN576" i="3"/>
  <c r="AO576" i="3" s="1"/>
  <c r="AP576" i="3" s="1"/>
  <c r="AN604" i="3"/>
  <c r="AO604" i="3" s="1"/>
  <c r="AP604" i="3" s="1"/>
  <c r="AN882" i="3"/>
  <c r="AO882" i="3" s="1"/>
  <c r="AP882" i="3" s="1"/>
  <c r="AN43" i="3"/>
  <c r="AO43" i="3" s="1"/>
  <c r="AP43" i="3" s="1"/>
  <c r="AN626" i="3"/>
  <c r="AO626" i="3" s="1"/>
  <c r="AP626" i="3" s="1"/>
  <c r="AN482" i="3"/>
  <c r="AO482" i="3" s="1"/>
  <c r="AP482" i="3" s="1"/>
  <c r="AN656" i="3"/>
  <c r="AO656" i="3" s="1"/>
  <c r="AP656" i="3" s="1"/>
  <c r="AN503" i="3"/>
  <c r="AO503" i="3" s="1"/>
  <c r="AP503" i="3" s="1"/>
  <c r="AN455" i="3"/>
  <c r="AO455" i="3" s="1"/>
  <c r="AP455" i="3" s="1"/>
  <c r="AN779" i="3"/>
  <c r="AO779" i="3" s="1"/>
  <c r="AP779" i="3" s="1"/>
  <c r="AN811" i="3"/>
  <c r="AO811" i="3" s="1"/>
  <c r="AP811" i="3" s="1"/>
  <c r="AN686" i="3"/>
  <c r="AO686" i="3" s="1"/>
  <c r="AP686" i="3" s="1"/>
  <c r="AN709" i="3"/>
  <c r="AO709" i="3" s="1"/>
  <c r="AP709" i="3" s="1"/>
  <c r="AN636" i="3"/>
  <c r="AO636" i="3" s="1"/>
  <c r="AP636" i="3" s="1"/>
  <c r="AN615" i="3"/>
  <c r="AO615" i="3" s="1"/>
  <c r="AP615" i="3" s="1"/>
  <c r="AN789" i="3"/>
  <c r="AO789" i="3" s="1"/>
  <c r="AP789" i="3" s="1"/>
  <c r="AN23" i="3"/>
  <c r="AO23" i="3" s="1"/>
  <c r="AP23" i="3" s="1"/>
  <c r="AN869" i="3"/>
  <c r="AO869" i="3" s="1"/>
  <c r="AP869" i="3" s="1"/>
  <c r="AN543" i="3"/>
  <c r="AO543" i="3" s="1"/>
  <c r="AP543" i="3" s="1"/>
  <c r="AN720" i="3"/>
  <c r="AO720" i="3" s="1"/>
  <c r="AP720" i="3" s="1"/>
  <c r="AN659" i="3"/>
  <c r="AO659" i="3" s="1"/>
  <c r="AP659" i="3" s="1"/>
  <c r="AN634" i="3"/>
  <c r="AO634" i="3" s="1"/>
  <c r="AP634" i="3" s="1"/>
  <c r="AN922" i="3"/>
  <c r="AO922" i="3" s="1"/>
  <c r="AP922" i="3" s="1"/>
  <c r="AN930" i="3"/>
  <c r="AO930" i="3" s="1"/>
  <c r="AP930" i="3" s="1"/>
  <c r="AB178" i="3"/>
  <c r="J178" i="3"/>
  <c r="AM178" i="3" s="1"/>
  <c r="AB175" i="3"/>
  <c r="J175" i="3"/>
  <c r="AM175" i="3" s="1"/>
  <c r="AB253" i="3"/>
  <c r="J253" i="3"/>
  <c r="AM253" i="3" s="1"/>
  <c r="AB282" i="3"/>
  <c r="J282" i="3"/>
  <c r="AM282" i="3" s="1"/>
  <c r="AB295" i="3"/>
  <c r="J295" i="3"/>
  <c r="AM295" i="3" s="1"/>
  <c r="AB276" i="3"/>
  <c r="J276" i="3"/>
  <c r="AM276" i="3" s="1"/>
  <c r="AB197" i="3"/>
  <c r="J197" i="3"/>
  <c r="AM197" i="3" s="1"/>
  <c r="AB274" i="3"/>
  <c r="J274" i="3"/>
  <c r="AM274" i="3" s="1"/>
  <c r="AB268" i="3"/>
  <c r="J268" i="3"/>
  <c r="AM268" i="3" s="1"/>
  <c r="AB279" i="3"/>
  <c r="J279" i="3"/>
  <c r="AM279" i="3" s="1"/>
  <c r="AB238" i="3"/>
  <c r="J238" i="3"/>
  <c r="AM238" i="3" s="1"/>
  <c r="AB233" i="3"/>
  <c r="J233" i="3"/>
  <c r="AM233" i="3" s="1"/>
  <c r="AB179" i="3"/>
  <c r="J179" i="3"/>
  <c r="AM179" i="3" s="1"/>
  <c r="AB183" i="3"/>
  <c r="J183" i="3"/>
  <c r="AM183" i="3" s="1"/>
  <c r="AN151" i="3"/>
  <c r="AO151" i="3" s="1"/>
  <c r="AP151" i="3" s="1"/>
  <c r="AN367" i="3"/>
  <c r="AO367" i="3" s="1"/>
  <c r="AP367" i="3" s="1"/>
  <c r="AN425" i="3"/>
  <c r="AO425" i="3" s="1"/>
  <c r="AP425" i="3" s="1"/>
  <c r="AN446" i="3"/>
  <c r="AO446" i="3" s="1"/>
  <c r="AP446" i="3" s="1"/>
  <c r="AN332" i="3"/>
  <c r="AO332" i="3" s="1"/>
  <c r="AP332" i="3" s="1"/>
  <c r="AN160" i="3"/>
  <c r="AO160" i="3" s="1"/>
  <c r="AP160" i="3" s="1"/>
  <c r="AN398" i="3"/>
  <c r="AO398" i="3" s="1"/>
  <c r="AP398" i="3" s="1"/>
  <c r="AN37" i="3"/>
  <c r="AO37" i="3" s="1"/>
  <c r="AP37" i="3" s="1"/>
  <c r="AN104" i="3"/>
  <c r="AO104" i="3" s="1"/>
  <c r="AP104" i="3" s="1"/>
  <c r="AN150" i="3"/>
  <c r="AO150" i="3" s="1"/>
  <c r="AP150" i="3" s="1"/>
  <c r="AN351" i="3"/>
  <c r="AO351" i="3" s="1"/>
  <c r="AP351" i="3" s="1"/>
  <c r="AN344" i="3"/>
  <c r="AO344" i="3" s="1"/>
  <c r="AP344" i="3" s="1"/>
  <c r="AN80" i="3"/>
  <c r="AO80" i="3" s="1"/>
  <c r="AP80" i="3" s="1"/>
  <c r="AN83" i="3"/>
  <c r="AO83" i="3" s="1"/>
  <c r="AP83" i="3" s="1"/>
  <c r="AN363" i="3"/>
  <c r="AO363" i="3" s="1"/>
  <c r="AP363" i="3" s="1"/>
  <c r="AN426" i="3"/>
  <c r="AO426" i="3" s="1"/>
  <c r="AP426" i="3" s="1"/>
  <c r="AN354" i="3"/>
  <c r="AO354" i="3" s="1"/>
  <c r="AP354" i="3" s="1"/>
  <c r="AN18" i="3"/>
  <c r="AO18" i="3" s="1"/>
  <c r="AP18" i="3" s="1"/>
  <c r="AN235" i="3"/>
  <c r="AO235" i="3" s="1"/>
  <c r="AP235" i="3" s="1"/>
  <c r="AN10" i="3"/>
  <c r="AO10" i="3" s="1"/>
  <c r="AP10" i="3" s="1"/>
  <c r="AN312" i="3"/>
  <c r="AO312" i="3" s="1"/>
  <c r="AP312" i="3" s="1"/>
  <c r="AN420" i="3"/>
  <c r="AO420" i="3" s="1"/>
  <c r="AP420" i="3" s="1"/>
  <c r="AN361" i="3"/>
  <c r="AO361" i="3" s="1"/>
  <c r="AP361" i="3" s="1"/>
  <c r="AN330" i="3"/>
  <c r="AO330" i="3" s="1"/>
  <c r="AP330" i="3" s="1"/>
  <c r="AN368" i="3"/>
  <c r="AO368" i="3" s="1"/>
  <c r="AP368" i="3" s="1"/>
  <c r="AN118" i="3"/>
  <c r="AO118" i="3" s="1"/>
  <c r="AP118" i="3" s="1"/>
  <c r="AN63" i="3"/>
  <c r="AO63" i="3" s="1"/>
  <c r="AP63" i="3" s="1"/>
  <c r="AN704" i="3"/>
  <c r="AO704" i="3" s="1"/>
  <c r="AP704" i="3" s="1"/>
  <c r="AN593" i="3"/>
  <c r="AO593" i="3" s="1"/>
  <c r="AP593" i="3" s="1"/>
  <c r="AN908" i="3"/>
  <c r="AO908" i="3" s="1"/>
  <c r="AP908" i="3" s="1"/>
  <c r="AN107" i="3"/>
  <c r="AO107" i="3" s="1"/>
  <c r="AP107" i="3" s="1"/>
  <c r="AN807" i="3"/>
  <c r="AO807" i="3" s="1"/>
  <c r="AP807" i="3" s="1"/>
  <c r="AN532" i="3"/>
  <c r="AO532" i="3" s="1"/>
  <c r="AP532" i="3" s="1"/>
  <c r="AN646" i="3"/>
  <c r="AO646" i="3" s="1"/>
  <c r="AP646" i="3" s="1"/>
  <c r="AN877" i="3"/>
  <c r="AO877" i="3" s="1"/>
  <c r="AP877" i="3" s="1"/>
  <c r="AN760" i="3"/>
  <c r="AO760" i="3" s="1"/>
  <c r="AP760" i="3" s="1"/>
  <c r="AN465" i="3"/>
  <c r="AO465" i="3" s="1"/>
  <c r="AP465" i="3" s="1"/>
  <c r="AN794" i="3"/>
  <c r="AO794" i="3" s="1"/>
  <c r="AP794" i="3" s="1"/>
  <c r="AN880" i="3"/>
  <c r="AO880" i="3" s="1"/>
  <c r="AP880" i="3" s="1"/>
  <c r="AN649" i="3"/>
  <c r="AO649" i="3" s="1"/>
  <c r="AP649" i="3" s="1"/>
  <c r="AN88" i="3"/>
  <c r="AO88" i="3" s="1"/>
  <c r="AP88" i="3" s="1"/>
  <c r="AN663" i="3"/>
  <c r="AO663" i="3" s="1"/>
  <c r="AP663" i="3" s="1"/>
  <c r="AN545" i="3"/>
  <c r="AO545" i="3" s="1"/>
  <c r="AP545" i="3" s="1"/>
  <c r="AN771" i="3"/>
  <c r="AO771" i="3" s="1"/>
  <c r="AP771" i="3" s="1"/>
  <c r="AN730" i="3"/>
  <c r="AO730" i="3" s="1"/>
  <c r="AP730" i="3" s="1"/>
  <c r="AN467" i="3"/>
  <c r="AO467" i="3" s="1"/>
  <c r="AP467" i="3" s="1"/>
  <c r="AN890" i="3"/>
  <c r="AO890" i="3" s="1"/>
  <c r="AP890" i="3" s="1"/>
  <c r="AN541" i="3"/>
  <c r="AO541" i="3" s="1"/>
  <c r="AP541" i="3" s="1"/>
  <c r="AN476" i="3"/>
  <c r="AO476" i="3" s="1"/>
  <c r="AP476" i="3" s="1"/>
  <c r="AN901" i="3"/>
  <c r="AO901" i="3" s="1"/>
  <c r="AP901" i="3" s="1"/>
  <c r="AN81" i="3"/>
  <c r="AO81" i="3" s="1"/>
  <c r="AP81" i="3" s="1"/>
  <c r="AN558" i="3"/>
  <c r="AO558" i="3" s="1"/>
  <c r="AP558" i="3" s="1"/>
  <c r="AN872" i="3"/>
  <c r="AO872" i="3" s="1"/>
  <c r="AP872" i="3" s="1"/>
  <c r="AN655" i="3"/>
  <c r="AO655" i="3" s="1"/>
  <c r="AP655" i="3" s="1"/>
  <c r="AN927" i="3"/>
  <c r="AO927" i="3" s="1"/>
  <c r="AP927" i="3" s="1"/>
  <c r="AB214" i="3"/>
  <c r="J214" i="3"/>
  <c r="AM214" i="3" s="1"/>
  <c r="AB156" i="3"/>
  <c r="J156" i="3"/>
  <c r="AM156" i="3" s="1"/>
  <c r="AB232" i="3"/>
  <c r="J232" i="3"/>
  <c r="AM232" i="3" s="1"/>
  <c r="AB185" i="3"/>
  <c r="J185" i="3"/>
  <c r="AM185" i="3" s="1"/>
  <c r="AB297" i="3"/>
  <c r="J297" i="3"/>
  <c r="AM297" i="3" s="1"/>
  <c r="AB263" i="3"/>
  <c r="J263" i="3"/>
  <c r="AM263" i="3" s="1"/>
  <c r="AB281" i="3"/>
  <c r="J281" i="3"/>
  <c r="AM281" i="3" s="1"/>
  <c r="AB277" i="3"/>
  <c r="J277" i="3"/>
  <c r="AM277" i="3" s="1"/>
  <c r="AB267" i="3"/>
  <c r="J267" i="3"/>
  <c r="AM267" i="3" s="1"/>
  <c r="AB296" i="3"/>
  <c r="J296" i="3"/>
  <c r="AM296" i="3" s="1"/>
  <c r="AB190" i="3"/>
  <c r="J190" i="3"/>
  <c r="AM190" i="3" s="1"/>
  <c r="AB158" i="3"/>
  <c r="J158" i="3"/>
  <c r="AM158" i="3" s="1"/>
  <c r="AB249" i="3"/>
  <c r="J249" i="3"/>
  <c r="AM249" i="3" s="1"/>
  <c r="AB286" i="3"/>
  <c r="J286" i="3"/>
  <c r="AM286" i="3" s="1"/>
  <c r="AB219" i="3"/>
  <c r="J219" i="3"/>
  <c r="AM219" i="3" s="1"/>
  <c r="AB265" i="3"/>
  <c r="J265" i="3"/>
  <c r="AM265" i="3" s="1"/>
  <c r="AB189" i="3"/>
  <c r="J189" i="3"/>
  <c r="AM189" i="3" s="1"/>
  <c r="AN202" i="3"/>
  <c r="AO202" i="3" s="1"/>
  <c r="AP202" i="3" s="1"/>
  <c r="AN198" i="3"/>
  <c r="AO198" i="3" s="1"/>
  <c r="AP198" i="3" s="1"/>
  <c r="AN93" i="3"/>
  <c r="AO93" i="3" s="1"/>
  <c r="AP93" i="3" s="1"/>
  <c r="AN321" i="3"/>
  <c r="AO321" i="3" s="1"/>
  <c r="AP321" i="3" s="1"/>
  <c r="AN231" i="3"/>
  <c r="AO231" i="3" s="1"/>
  <c r="AP231" i="3" s="1"/>
  <c r="AN411" i="3"/>
  <c r="AO411" i="3" s="1"/>
  <c r="AP411" i="3" s="1"/>
  <c r="AN53" i="3"/>
  <c r="AO53" i="3" s="1"/>
  <c r="AP53" i="3" s="1"/>
  <c r="AN328" i="3"/>
  <c r="AO328" i="3" s="1"/>
  <c r="AP328" i="3" s="1"/>
  <c r="AN408" i="3"/>
  <c r="AO408" i="3" s="1"/>
  <c r="AP408" i="3" s="1"/>
  <c r="AN55" i="3"/>
  <c r="AO55" i="3" s="1"/>
  <c r="AP55" i="3" s="1"/>
  <c r="AN42" i="3"/>
  <c r="AO42" i="3" s="1"/>
  <c r="AP42" i="3" s="1"/>
  <c r="AN74" i="3"/>
  <c r="AO74" i="3" s="1"/>
  <c r="AP74" i="3" s="1"/>
  <c r="AN362" i="3"/>
  <c r="AO362" i="3" s="1"/>
  <c r="AP362" i="3" s="1"/>
  <c r="AN339" i="3"/>
  <c r="AO339" i="3" s="1"/>
  <c r="AP339" i="3" s="1"/>
  <c r="AN382" i="3"/>
  <c r="AO382" i="3" s="1"/>
  <c r="AP382" i="3" s="1"/>
  <c r="AN70" i="3"/>
  <c r="AO70" i="3" s="1"/>
  <c r="AP70" i="3" s="1"/>
  <c r="AN421" i="3"/>
  <c r="AO421" i="3" s="1"/>
  <c r="AP421" i="3" s="1"/>
  <c r="AN103" i="3"/>
  <c r="AO103" i="3" s="1"/>
  <c r="AP103" i="3" s="1"/>
  <c r="AN50" i="3"/>
  <c r="AO50" i="3" s="1"/>
  <c r="AP50" i="3" s="1"/>
  <c r="AN56" i="3"/>
  <c r="AO56" i="3" s="1"/>
  <c r="AP56" i="3" s="1"/>
  <c r="AN87" i="3"/>
  <c r="AO87" i="3" s="1"/>
  <c r="AP87" i="3" s="1"/>
  <c r="AN120" i="3"/>
  <c r="AO120" i="3" s="1"/>
  <c r="AP120" i="3" s="1"/>
  <c r="AN317" i="3"/>
  <c r="AO317" i="3" s="1"/>
  <c r="AP317" i="3" s="1"/>
  <c r="AN346" i="3"/>
  <c r="AO346" i="3" s="1"/>
  <c r="AP346" i="3" s="1"/>
  <c r="AN11" i="3"/>
  <c r="AO11" i="3" s="1"/>
  <c r="AP11" i="3" s="1"/>
  <c r="AN41" i="3"/>
  <c r="AO41" i="3" s="1"/>
  <c r="AP41" i="3" s="1"/>
  <c r="AN329" i="3"/>
  <c r="AO329" i="3" s="1"/>
  <c r="AP329" i="3" s="1"/>
  <c r="AN20" i="3"/>
  <c r="AO20" i="3" s="1"/>
  <c r="AP20" i="3" s="1"/>
  <c r="AN431" i="3"/>
  <c r="AO431" i="3" s="1"/>
  <c r="AP431" i="3" s="1"/>
  <c r="AN916" i="3"/>
  <c r="AO916" i="3" s="1"/>
  <c r="AP916" i="3" s="1"/>
  <c r="AN823" i="3"/>
  <c r="AO823" i="3" s="1"/>
  <c r="AP823" i="3" s="1"/>
  <c r="AN833" i="3"/>
  <c r="AO833" i="3" s="1"/>
  <c r="AP833" i="3" s="1"/>
  <c r="AN454" i="3"/>
  <c r="AO454" i="3" s="1"/>
  <c r="AP454" i="3" s="1"/>
  <c r="AN806" i="3"/>
  <c r="AO806" i="3" s="1"/>
  <c r="AP806" i="3" s="1"/>
  <c r="AN893" i="3"/>
  <c r="AO893" i="3" s="1"/>
  <c r="AP893" i="3" s="1"/>
  <c r="AN899" i="3"/>
  <c r="AO899" i="3" s="1"/>
  <c r="AP899" i="3" s="1"/>
  <c r="AN481" i="3"/>
  <c r="AO481" i="3" s="1"/>
  <c r="AP481" i="3" s="1"/>
  <c r="AN582" i="3"/>
  <c r="AO582" i="3" s="1"/>
  <c r="AP582" i="3" s="1"/>
  <c r="AN12" i="3"/>
  <c r="AO12" i="3" s="1"/>
  <c r="AP12" i="3" s="1"/>
  <c r="AN719" i="3"/>
  <c r="AO719" i="3" s="1"/>
  <c r="AP719" i="3" s="1"/>
  <c r="AN910" i="3"/>
  <c r="AO910" i="3" s="1"/>
  <c r="AP910" i="3" s="1"/>
  <c r="AN673" i="3"/>
  <c r="AO673" i="3" s="1"/>
  <c r="AP673" i="3" s="1"/>
  <c r="AN878" i="3"/>
  <c r="AO878" i="3" s="1"/>
  <c r="AP878" i="3" s="1"/>
  <c r="AN770" i="3"/>
  <c r="AO770" i="3" s="1"/>
  <c r="AP770" i="3" s="1"/>
  <c r="AN799" i="3"/>
  <c r="AO799" i="3" s="1"/>
  <c r="AP799" i="3" s="1"/>
  <c r="AN466" i="3"/>
  <c r="AO466" i="3" s="1"/>
  <c r="AP466" i="3" s="1"/>
  <c r="AN565" i="3"/>
  <c r="AO565" i="3" s="1"/>
  <c r="AP565" i="3" s="1"/>
  <c r="AN701" i="3"/>
  <c r="AO701" i="3" s="1"/>
  <c r="AP701" i="3" s="1"/>
  <c r="AN781" i="3"/>
  <c r="AO781" i="3" s="1"/>
  <c r="AP781" i="3" s="1"/>
  <c r="AN530" i="3"/>
  <c r="AO530" i="3" s="1"/>
  <c r="AP530" i="3" s="1"/>
  <c r="AN733" i="3"/>
  <c r="AO733" i="3" s="1"/>
  <c r="AP733" i="3" s="1"/>
  <c r="AN589" i="3"/>
  <c r="AO589" i="3" s="1"/>
  <c r="AP589" i="3" s="1"/>
  <c r="AN14" i="3"/>
  <c r="AO14" i="3" s="1"/>
  <c r="AP14" i="3" s="1"/>
  <c r="AN531" i="3"/>
  <c r="AO531" i="3" s="1"/>
  <c r="AP531" i="3" s="1"/>
  <c r="AN526" i="3"/>
  <c r="AO526" i="3" s="1"/>
  <c r="AP526" i="3" s="1"/>
  <c r="AN627" i="3"/>
  <c r="AO627" i="3" s="1"/>
  <c r="AP627" i="3" s="1"/>
  <c r="AN813" i="3"/>
  <c r="AO813" i="3" s="1"/>
  <c r="AP813" i="3" s="1"/>
  <c r="AN58" i="3"/>
  <c r="AO58" i="3" s="1"/>
  <c r="AP58" i="3" s="1"/>
  <c r="AN923" i="3"/>
  <c r="AO923" i="3" s="1"/>
  <c r="AP923" i="3" s="1"/>
  <c r="AN921" i="3"/>
  <c r="AO921" i="3" s="1"/>
  <c r="AP921" i="3" s="1"/>
  <c r="AN924" i="3"/>
  <c r="AO924" i="3" s="1"/>
  <c r="AP924" i="3" s="1"/>
  <c r="AB2" i="3"/>
  <c r="I2" i="3"/>
  <c r="AN17" i="3"/>
  <c r="AO17" i="3" s="1"/>
  <c r="AP17" i="3" s="1"/>
  <c r="AN85" i="3"/>
  <c r="AO85" i="3" s="1"/>
  <c r="AP85" i="3" s="1"/>
  <c r="AN99" i="3"/>
  <c r="AO99" i="3" s="1"/>
  <c r="AP99" i="3" s="1"/>
  <c r="AN44" i="3"/>
  <c r="AO44" i="3" s="1"/>
  <c r="AP44" i="3" s="1"/>
  <c r="AN106" i="3"/>
  <c r="AO106" i="3" s="1"/>
  <c r="AP106" i="3" s="1"/>
  <c r="AN39" i="3"/>
  <c r="AO39" i="3" s="1"/>
  <c r="AP39" i="3" s="1"/>
  <c r="AN130" i="3"/>
  <c r="AO130" i="3" s="1"/>
  <c r="AP130" i="3" s="1"/>
  <c r="AN144" i="3"/>
  <c r="AO144" i="3" s="1"/>
  <c r="AP144" i="3" s="1"/>
  <c r="AN76" i="3"/>
  <c r="AO76" i="3" s="1"/>
  <c r="AP76" i="3" s="1"/>
  <c r="AN38" i="3"/>
  <c r="AO38" i="3" s="1"/>
  <c r="AP38" i="3" s="1"/>
  <c r="AN35" i="3"/>
  <c r="AO35" i="3" s="1"/>
  <c r="AP35" i="3" s="1"/>
  <c r="AN69" i="3"/>
  <c r="AO69" i="3" s="1"/>
  <c r="AP69" i="3" s="1"/>
  <c r="AN82" i="3"/>
  <c r="AO82" i="3" s="1"/>
  <c r="AP82" i="3" s="1"/>
  <c r="AN149" i="3"/>
  <c r="AO149" i="3" s="1"/>
  <c r="AP149" i="3" s="1"/>
  <c r="AN115" i="3"/>
  <c r="AO115" i="3" s="1"/>
  <c r="AP115" i="3" s="1"/>
  <c r="AN101" i="3"/>
  <c r="AO101" i="3" s="1"/>
  <c r="AP101" i="3" s="1"/>
  <c r="AN19" i="3"/>
  <c r="AO19" i="3" s="1"/>
  <c r="AP19" i="3" s="1"/>
  <c r="AN153" i="3"/>
  <c r="AO153" i="3" s="1"/>
  <c r="AP153" i="3" s="1"/>
  <c r="AN49" i="3"/>
  <c r="AO49" i="3" s="1"/>
  <c r="AP49" i="3" s="1"/>
  <c r="AN60" i="3"/>
  <c r="AO60" i="3" s="1"/>
  <c r="AP60" i="3" s="1"/>
  <c r="AN95" i="3"/>
  <c r="AO95" i="3" s="1"/>
  <c r="AP95" i="3" s="1"/>
  <c r="AN89" i="3"/>
  <c r="AO89" i="3" s="1"/>
  <c r="AP89" i="3" s="1"/>
  <c r="AN211" i="3"/>
  <c r="AO211" i="3" s="1"/>
  <c r="AP211" i="3" s="1"/>
  <c r="AN109" i="3"/>
  <c r="AO109" i="3" s="1"/>
  <c r="AP109" i="3" s="1"/>
  <c r="AN48" i="3"/>
  <c r="AO48" i="3" s="1"/>
  <c r="AP48" i="3" s="1"/>
  <c r="AN45" i="3"/>
  <c r="AO45" i="3" s="1"/>
  <c r="AP45" i="3" s="1"/>
  <c r="AN137" i="3"/>
  <c r="AO137" i="3" s="1"/>
  <c r="AP137" i="3" s="1"/>
  <c r="AN134" i="3"/>
  <c r="AO134" i="3" s="1"/>
  <c r="AP134" i="3" s="1"/>
  <c r="AN102" i="3"/>
  <c r="AO102" i="3" s="1"/>
  <c r="AP102" i="3" s="1"/>
  <c r="AN79" i="3"/>
  <c r="AO79" i="3" s="1"/>
  <c r="AP79" i="3" s="1"/>
  <c r="AN25" i="3"/>
  <c r="AO25" i="3" s="1"/>
  <c r="AP25" i="3" s="1"/>
  <c r="AN71" i="3"/>
  <c r="AO71" i="3" s="1"/>
  <c r="AP71" i="3" s="1"/>
  <c r="AN34" i="3"/>
  <c r="AO34" i="3" s="1"/>
  <c r="AP34" i="3" s="1"/>
  <c r="AN13" i="3"/>
  <c r="AO13" i="3" s="1"/>
  <c r="AP13" i="3" s="1"/>
  <c r="AN108" i="3"/>
  <c r="AO108" i="3" s="1"/>
  <c r="AP108" i="3" s="1"/>
  <c r="I214" i="3"/>
  <c r="I293" i="3"/>
  <c r="I282" i="3"/>
  <c r="I276" i="3"/>
  <c r="I274" i="3"/>
  <c r="I176" i="3"/>
  <c r="I178" i="3"/>
  <c r="I156" i="3"/>
  <c r="I253" i="3"/>
  <c r="I295" i="3"/>
  <c r="I197" i="3"/>
  <c r="I196" i="3"/>
  <c r="I263" i="3"/>
  <c r="I199" i="3"/>
  <c r="I281" i="3"/>
  <c r="I188" i="3"/>
  <c r="I277" i="3"/>
  <c r="I289" i="3"/>
  <c r="I267" i="3"/>
  <c r="I203" i="3"/>
  <c r="I296" i="3"/>
  <c r="I193" i="3"/>
  <c r="I190" i="3"/>
  <c r="I262" i="3"/>
  <c r="I158" i="3"/>
  <c r="I192" i="3"/>
  <c r="I249" i="3"/>
  <c r="I303" i="3"/>
  <c r="I286" i="3"/>
  <c r="I225" i="3"/>
  <c r="I219" i="3"/>
  <c r="I246" i="3"/>
  <c r="I265" i="3"/>
  <c r="I250" i="3"/>
  <c r="I189" i="3"/>
  <c r="I268" i="3"/>
  <c r="I232" i="3"/>
  <c r="I279" i="3"/>
  <c r="I185" i="3"/>
  <c r="I238" i="3"/>
  <c r="I186" i="3"/>
  <c r="I233" i="3"/>
  <c r="I175" i="3"/>
  <c r="I179" i="3"/>
  <c r="I297" i="3"/>
  <c r="I183" i="3"/>
  <c r="I164" i="3"/>
  <c r="AN258" i="3"/>
  <c r="AO258" i="3" s="1"/>
  <c r="AP258" i="3" s="1"/>
  <c r="AN207" i="3"/>
  <c r="AO207" i="3" s="1"/>
  <c r="AP207" i="3" s="1"/>
  <c r="AN182" i="3"/>
  <c r="AO182" i="3" s="1"/>
  <c r="AP182" i="3" s="1"/>
  <c r="AN169" i="3"/>
  <c r="AO169" i="3" s="1"/>
  <c r="AP169" i="3" s="1"/>
  <c r="AN162" i="3"/>
  <c r="AO162" i="3" s="1"/>
  <c r="AP162" i="3" s="1"/>
  <c r="AN240" i="3"/>
  <c r="AO240" i="3" s="1"/>
  <c r="AP240" i="3" s="1"/>
  <c r="AN226" i="3"/>
  <c r="AO226" i="3" s="1"/>
  <c r="AP226" i="3" s="1"/>
  <c r="AN261" i="3"/>
  <c r="AO261" i="3" s="1"/>
  <c r="AP261" i="3" s="1"/>
  <c r="AN148" i="3"/>
  <c r="AO148" i="3" s="1"/>
  <c r="AP148" i="3" s="1"/>
  <c r="AN208" i="3"/>
  <c r="AO208" i="3" s="1"/>
  <c r="AP208" i="3" s="1"/>
  <c r="AN255" i="3"/>
  <c r="AO255" i="3" s="1"/>
  <c r="AP255" i="3" s="1"/>
  <c r="AN273" i="3"/>
  <c r="AO273" i="3" s="1"/>
  <c r="AP273" i="3" s="1"/>
  <c r="AN239" i="3"/>
  <c r="AO239" i="3" s="1"/>
  <c r="AP239" i="3" s="1"/>
  <c r="AN301" i="3"/>
  <c r="AO301" i="3" s="1"/>
  <c r="AP301" i="3" s="1"/>
  <c r="AN209" i="3"/>
  <c r="AO209" i="3" s="1"/>
  <c r="AP209" i="3" s="1"/>
  <c r="AN166" i="3"/>
  <c r="AO166" i="3" s="1"/>
  <c r="AP166" i="3" s="1"/>
  <c r="AN194" i="3"/>
  <c r="AO194" i="3" s="1"/>
  <c r="AP194" i="3" s="1"/>
  <c r="AN210" i="3"/>
  <c r="AO210" i="3" s="1"/>
  <c r="AP210" i="3" s="1"/>
  <c r="AN298" i="3"/>
  <c r="AO298" i="3" s="1"/>
  <c r="AP298" i="3" s="1"/>
  <c r="AN259" i="3"/>
  <c r="AO259" i="3" s="1"/>
  <c r="AP259" i="3" s="1"/>
  <c r="AN300" i="3"/>
  <c r="AO300" i="3" s="1"/>
  <c r="AP300" i="3" s="1"/>
  <c r="AN163" i="3"/>
  <c r="AO163" i="3" s="1"/>
  <c r="AP163" i="3" s="1"/>
  <c r="AN294" i="3"/>
  <c r="AO294" i="3" s="1"/>
  <c r="AP294" i="3" s="1"/>
  <c r="AN270" i="3"/>
  <c r="AO270" i="3" s="1"/>
  <c r="AP270" i="3" s="1"/>
  <c r="AN204" i="3"/>
  <c r="AO204" i="3" s="1"/>
  <c r="AP204" i="3" s="1"/>
  <c r="AN206" i="3"/>
  <c r="AO206" i="3" s="1"/>
  <c r="AP206" i="3" s="1"/>
  <c r="AN251" i="3"/>
  <c r="AO251" i="3" s="1"/>
  <c r="AP251" i="3" s="1"/>
  <c r="AN280" i="3"/>
  <c r="AO280" i="3" s="1"/>
  <c r="AP280" i="3" s="1"/>
  <c r="AN283" i="3"/>
  <c r="AO283" i="3" s="1"/>
  <c r="AP283" i="3" s="1"/>
  <c r="AN171" i="3"/>
  <c r="AO171" i="3" s="1"/>
  <c r="AP171" i="3" s="1"/>
  <c r="AN215" i="3"/>
  <c r="AO215" i="3" s="1"/>
  <c r="AP215" i="3" s="1"/>
  <c r="AN222" i="3"/>
  <c r="AO222" i="3" s="1"/>
  <c r="AP222" i="3" s="1"/>
  <c r="AN278" i="3"/>
  <c r="AO278" i="3" s="1"/>
  <c r="AP278" i="3" s="1"/>
  <c r="AN216" i="3"/>
  <c r="AO216" i="3" s="1"/>
  <c r="AP216" i="3" s="1"/>
  <c r="AN15" i="3"/>
  <c r="AO15" i="3" s="1"/>
  <c r="AP15" i="3" s="1"/>
  <c r="AN291" i="3"/>
  <c r="AO291" i="3" s="1"/>
  <c r="AP291" i="3" s="1"/>
  <c r="AN173" i="3"/>
  <c r="AO173" i="3" s="1"/>
  <c r="AP173" i="3" s="1"/>
  <c r="AN242" i="3"/>
  <c r="AO242" i="3" s="1"/>
  <c r="AP242" i="3" s="1"/>
  <c r="AN288" i="3"/>
  <c r="AO288" i="3" s="1"/>
  <c r="AP288" i="3" s="1"/>
  <c r="AN299" i="3"/>
  <c r="AO299" i="3" s="1"/>
  <c r="AP299" i="3" s="1"/>
  <c r="AN264" i="3"/>
  <c r="AO264" i="3" s="1"/>
  <c r="AP264" i="3" s="1"/>
  <c r="AN218" i="3"/>
  <c r="AO218" i="3" s="1"/>
  <c r="AP218" i="3" s="1"/>
  <c r="AN223" i="3"/>
  <c r="AO223" i="3" s="1"/>
  <c r="AP223" i="3" s="1"/>
  <c r="AN227" i="3"/>
  <c r="AO227" i="3" s="1"/>
  <c r="AP227" i="3" s="1"/>
  <c r="AN172" i="3"/>
  <c r="AO172" i="3" s="1"/>
  <c r="AP172" i="3" s="1"/>
  <c r="AN290" i="3"/>
  <c r="AO290" i="3" s="1"/>
  <c r="AP290" i="3" s="1"/>
  <c r="AN243" i="3"/>
  <c r="AO243" i="3" s="1"/>
  <c r="AP243" i="3" s="1"/>
  <c r="AN168" i="3"/>
  <c r="AO168" i="3" s="1"/>
  <c r="AP168" i="3" s="1"/>
  <c r="AN236" i="3"/>
  <c r="AO236" i="3" s="1"/>
  <c r="AP236" i="3" s="1"/>
  <c r="AN285" i="3"/>
  <c r="AO285" i="3" s="1"/>
  <c r="AP285" i="3" s="1"/>
  <c r="AN180" i="3"/>
  <c r="AO180" i="3" s="1"/>
  <c r="AP180" i="3" s="1"/>
  <c r="AN212" i="3"/>
  <c r="AO212" i="3" s="1"/>
  <c r="AP212" i="3" s="1"/>
  <c r="AN260" i="3"/>
  <c r="AO260" i="3" s="1"/>
  <c r="AP260" i="3" s="1"/>
  <c r="AN292" i="3"/>
  <c r="AO292" i="3" s="1"/>
  <c r="AP292" i="3" s="1"/>
  <c r="AN165" i="3"/>
  <c r="AO165" i="3" s="1"/>
  <c r="AP165" i="3" s="1"/>
  <c r="AN230" i="3"/>
  <c r="AO230" i="3" s="1"/>
  <c r="AP230" i="3" s="1"/>
  <c r="AN195" i="3"/>
  <c r="AO195" i="3" s="1"/>
  <c r="AP195" i="3" s="1"/>
  <c r="AN221" i="3"/>
  <c r="AO221" i="3" s="1"/>
  <c r="AP221" i="3" s="1"/>
  <c r="AN269" i="3"/>
  <c r="AO269" i="3" s="1"/>
  <c r="AP269" i="3" s="1"/>
  <c r="AN159" i="3"/>
  <c r="AO159" i="3" s="1"/>
  <c r="AP159" i="3" s="1"/>
  <c r="AN161" i="3"/>
  <c r="AO161" i="3" s="1"/>
  <c r="AP161" i="3" s="1"/>
  <c r="AN184" i="3"/>
  <c r="AO184" i="3" s="1"/>
  <c r="AP184" i="3" s="1"/>
  <c r="AN271" i="3"/>
  <c r="AO271" i="3" s="1"/>
  <c r="AP271" i="3" s="1"/>
  <c r="AN213" i="3"/>
  <c r="AO213" i="3" s="1"/>
  <c r="AP213" i="3" s="1"/>
  <c r="AN287" i="3"/>
  <c r="AO287" i="3" s="1"/>
  <c r="AP287" i="3" s="1"/>
  <c r="AN217" i="3"/>
  <c r="AO217" i="3" s="1"/>
  <c r="AP217" i="3" s="1"/>
  <c r="AN257" i="3"/>
  <c r="AO257" i="3" s="1"/>
  <c r="AP257" i="3" s="1"/>
  <c r="AN201" i="3"/>
  <c r="AO201" i="3" s="1"/>
  <c r="AP201" i="3" s="1"/>
  <c r="AN220" i="3"/>
  <c r="AO220" i="3" s="1"/>
  <c r="AP220" i="3" s="1"/>
  <c r="AN245" i="3"/>
  <c r="AO245" i="3" s="1"/>
  <c r="AP245" i="3" s="1"/>
  <c r="AN266" i="3"/>
  <c r="AO266" i="3" s="1"/>
  <c r="AP266" i="3" s="1"/>
  <c r="AN244" i="3"/>
  <c r="AO244" i="3" s="1"/>
  <c r="AP244" i="3" s="1"/>
  <c r="AN302" i="3"/>
  <c r="AO302" i="3" s="1"/>
  <c r="AP302" i="3" s="1"/>
  <c r="AN237" i="3"/>
  <c r="AO237" i="3" s="1"/>
  <c r="AP237" i="3" s="1"/>
  <c r="AN247" i="3"/>
  <c r="AO247" i="3" s="1"/>
  <c r="AP247" i="3" s="1"/>
  <c r="AN167" i="3"/>
  <c r="AO167" i="3" s="1"/>
  <c r="AP167" i="3" s="1"/>
  <c r="AN256" i="3"/>
  <c r="AO256" i="3" s="1"/>
  <c r="AP256" i="3" s="1"/>
  <c r="AN275" i="3"/>
  <c r="AO275" i="3" s="1"/>
  <c r="AP275" i="3" s="1"/>
  <c r="AO254" i="3" l="1"/>
  <c r="AP254" i="3" s="1"/>
  <c r="AN592" i="3"/>
  <c r="AN447" i="3"/>
  <c r="AN64" i="3"/>
  <c r="AN404" i="3"/>
  <c r="AN825" i="3"/>
  <c r="AN365" i="3"/>
  <c r="AN432" i="3"/>
  <c r="AN143" i="3"/>
  <c r="AN527" i="3"/>
  <c r="AN652" i="3"/>
  <c r="AN817" i="3"/>
  <c r="AN632" i="3"/>
  <c r="AN174" i="3"/>
  <c r="AN331" i="3"/>
  <c r="AN385" i="3"/>
  <c r="AN121" i="3"/>
  <c r="AN308" i="3"/>
  <c r="AN307" i="3"/>
  <c r="AN157" i="3"/>
  <c r="AN413" i="3"/>
  <c r="AN797" i="3"/>
  <c r="AN123" i="3"/>
  <c r="AN788" i="3"/>
  <c r="AN59" i="3"/>
  <c r="AN915" i="3"/>
  <c r="AN573" i="3"/>
  <c r="AN614" i="3"/>
  <c r="AN665" i="3"/>
  <c r="AN94" i="3"/>
  <c r="AN29" i="3"/>
  <c r="AN437" i="3"/>
  <c r="AN122" i="3"/>
  <c r="AN229" i="3"/>
  <c r="AN897" i="3"/>
  <c r="AN78" i="3"/>
  <c r="AN338" i="3"/>
  <c r="AN451" i="3"/>
  <c r="AN337" i="3"/>
  <c r="AN929" i="3"/>
  <c r="AN643" i="3"/>
  <c r="AN683" i="3"/>
  <c r="AN629" i="3"/>
  <c r="AN786" i="3"/>
  <c r="AN677" i="3"/>
  <c r="AN838" i="3"/>
  <c r="AN834" i="3"/>
  <c r="AN827" i="3"/>
  <c r="AN358" i="3"/>
  <c r="AN386" i="3"/>
  <c r="AN241" i="3"/>
  <c r="AN234" i="3"/>
  <c r="AN279" i="3"/>
  <c r="AO279" i="3" s="1"/>
  <c r="AP279" i="3" s="1"/>
  <c r="AN192" i="3"/>
  <c r="AO192" i="3" s="1"/>
  <c r="AP192" i="3" s="1"/>
  <c r="AN289" i="3"/>
  <c r="AO289" i="3" s="1"/>
  <c r="AP289" i="3" s="1"/>
  <c r="AN176" i="3"/>
  <c r="AO176" i="3" s="1"/>
  <c r="AP176" i="3" s="1"/>
  <c r="AN297" i="3"/>
  <c r="AO297" i="3" s="1"/>
  <c r="AP297" i="3" s="1"/>
  <c r="AN186" i="3"/>
  <c r="AO186" i="3" s="1"/>
  <c r="AP186" i="3" s="1"/>
  <c r="AN232" i="3"/>
  <c r="AO232" i="3" s="1"/>
  <c r="AP232" i="3" s="1"/>
  <c r="AN265" i="3"/>
  <c r="AO265" i="3" s="1"/>
  <c r="AP265" i="3" s="1"/>
  <c r="AN286" i="3"/>
  <c r="AO286" i="3" s="1"/>
  <c r="AP286" i="3" s="1"/>
  <c r="AN158" i="3"/>
  <c r="AO158" i="3" s="1"/>
  <c r="AP158" i="3" s="1"/>
  <c r="AN296" i="3"/>
  <c r="AO296" i="3" s="1"/>
  <c r="AP296" i="3" s="1"/>
  <c r="AN277" i="3"/>
  <c r="AO277" i="3" s="1"/>
  <c r="AP277" i="3" s="1"/>
  <c r="AN263" i="3"/>
  <c r="AO263" i="3" s="1"/>
  <c r="AP263" i="3" s="1"/>
  <c r="AN253" i="3"/>
  <c r="AO253" i="3" s="1"/>
  <c r="AP253" i="3" s="1"/>
  <c r="AN274" i="3"/>
  <c r="AO274" i="3" s="1"/>
  <c r="AP274" i="3" s="1"/>
  <c r="AN214" i="3"/>
  <c r="AO214" i="3" s="1"/>
  <c r="AP214" i="3" s="1"/>
  <c r="AN183" i="3"/>
  <c r="AO183" i="3" s="1"/>
  <c r="AP183" i="3" s="1"/>
  <c r="AN225" i="3"/>
  <c r="AO225" i="3" s="1"/>
  <c r="AP225" i="3" s="1"/>
  <c r="AN199" i="3"/>
  <c r="AO199" i="3" s="1"/>
  <c r="AP199" i="3" s="1"/>
  <c r="AN293" i="3"/>
  <c r="AO293" i="3" s="1"/>
  <c r="AP293" i="3" s="1"/>
  <c r="AN179" i="3"/>
  <c r="AO179" i="3" s="1"/>
  <c r="AP179" i="3" s="1"/>
  <c r="AN238" i="3"/>
  <c r="AO238" i="3" s="1"/>
  <c r="AP238" i="3" s="1"/>
  <c r="AN268" i="3"/>
  <c r="AO268" i="3" s="1"/>
  <c r="AP268" i="3" s="1"/>
  <c r="AN246" i="3"/>
  <c r="AO246" i="3" s="1"/>
  <c r="AP246" i="3" s="1"/>
  <c r="AN303" i="3"/>
  <c r="AO303" i="3" s="1"/>
  <c r="AP303" i="3" s="1"/>
  <c r="AN262" i="3"/>
  <c r="AO262" i="3" s="1"/>
  <c r="AP262" i="3" s="1"/>
  <c r="AN203" i="3"/>
  <c r="AO203" i="3" s="1"/>
  <c r="AP203" i="3" s="1"/>
  <c r="AN188" i="3"/>
  <c r="AO188" i="3" s="1"/>
  <c r="AP188" i="3" s="1"/>
  <c r="AN196" i="3"/>
  <c r="AO196" i="3" s="1"/>
  <c r="AP196" i="3" s="1"/>
  <c r="AN156" i="3"/>
  <c r="AO156" i="3" s="1"/>
  <c r="AP156" i="3" s="1"/>
  <c r="AN276" i="3"/>
  <c r="AO276" i="3" s="1"/>
  <c r="AP276" i="3" s="1"/>
  <c r="AN233" i="3"/>
  <c r="AO233" i="3" s="1"/>
  <c r="AP233" i="3" s="1"/>
  <c r="AN250" i="3"/>
  <c r="AO250" i="3" s="1"/>
  <c r="AP250" i="3" s="1"/>
  <c r="AN193" i="3"/>
  <c r="AO193" i="3" s="1"/>
  <c r="AP193" i="3" s="1"/>
  <c r="AN295" i="3"/>
  <c r="AO295" i="3" s="1"/>
  <c r="AP295" i="3" s="1"/>
  <c r="AN164" i="3"/>
  <c r="AO164" i="3" s="1"/>
  <c r="AP164" i="3" s="1"/>
  <c r="AN175" i="3"/>
  <c r="AO175" i="3" s="1"/>
  <c r="AP175" i="3" s="1"/>
  <c r="AN185" i="3"/>
  <c r="AO185" i="3" s="1"/>
  <c r="AP185" i="3" s="1"/>
  <c r="AN189" i="3"/>
  <c r="AO189" i="3" s="1"/>
  <c r="AP189" i="3" s="1"/>
  <c r="AN219" i="3"/>
  <c r="AO219" i="3" s="1"/>
  <c r="AP219" i="3" s="1"/>
  <c r="AN249" i="3"/>
  <c r="AO249" i="3" s="1"/>
  <c r="AP249" i="3" s="1"/>
  <c r="AN190" i="3"/>
  <c r="AO190" i="3" s="1"/>
  <c r="AP190" i="3" s="1"/>
  <c r="AN267" i="3"/>
  <c r="AO267" i="3" s="1"/>
  <c r="AP267" i="3" s="1"/>
  <c r="AN281" i="3"/>
  <c r="AO281" i="3" s="1"/>
  <c r="AP281" i="3" s="1"/>
  <c r="AN197" i="3"/>
  <c r="AO197" i="3" s="1"/>
  <c r="AP197" i="3" s="1"/>
  <c r="AN178" i="3"/>
  <c r="AO178" i="3" s="1"/>
  <c r="AP178" i="3" s="1"/>
  <c r="AN282" i="3"/>
  <c r="AO282" i="3" s="1"/>
  <c r="AP282" i="3" s="1"/>
  <c r="AO241" i="3" l="1"/>
  <c r="AP241" i="3" s="1"/>
  <c r="AO834" i="3"/>
  <c r="AP834" i="3" s="1"/>
  <c r="AO629" i="3"/>
  <c r="AP629" i="3" s="1"/>
  <c r="AO337" i="3"/>
  <c r="AP337" i="3" s="1"/>
  <c r="AO29" i="3"/>
  <c r="AP29" i="3" s="1"/>
  <c r="AO123" i="3"/>
  <c r="AP123" i="3" s="1"/>
  <c r="AO307" i="3"/>
  <c r="AP307" i="3" s="1"/>
  <c r="AO331" i="3"/>
  <c r="AP331" i="3" s="1"/>
  <c r="AO652" i="3"/>
  <c r="AP652" i="3" s="1"/>
  <c r="AO365" i="3"/>
  <c r="AP365" i="3" s="1"/>
  <c r="AO447" i="3"/>
  <c r="AP447" i="3" s="1"/>
  <c r="AO386" i="3"/>
  <c r="AP386" i="3" s="1"/>
  <c r="AO838" i="3"/>
  <c r="AP838" i="3" s="1"/>
  <c r="AO683" i="3"/>
  <c r="AP683" i="3" s="1"/>
  <c r="AO451" i="3"/>
  <c r="AP451" i="3" s="1"/>
  <c r="AO229" i="3"/>
  <c r="AP229" i="3" s="1"/>
  <c r="AO94" i="3"/>
  <c r="AP94" i="3" s="1"/>
  <c r="AO915" i="3"/>
  <c r="AP915" i="3" s="1"/>
  <c r="AO797" i="3"/>
  <c r="AP797" i="3" s="1"/>
  <c r="AO308" i="3"/>
  <c r="AP308" i="3" s="1"/>
  <c r="AO174" i="3"/>
  <c r="AP174" i="3" s="1"/>
  <c r="AO527" i="3"/>
  <c r="AP527" i="3" s="1"/>
  <c r="AO825" i="3"/>
  <c r="AP825" i="3" s="1"/>
  <c r="AO592" i="3"/>
  <c r="AP592" i="3" s="1"/>
  <c r="AO573" i="3"/>
  <c r="AP573" i="3" s="1"/>
  <c r="AO358" i="3"/>
  <c r="AP358" i="3" s="1"/>
  <c r="AO677" i="3"/>
  <c r="AP677" i="3" s="1"/>
  <c r="AO643" i="3"/>
  <c r="AP643" i="3" s="1"/>
  <c r="AO338" i="3"/>
  <c r="AP338" i="3" s="1"/>
  <c r="AO122" i="3"/>
  <c r="AP122" i="3" s="1"/>
  <c r="AO665" i="3"/>
  <c r="AP665" i="3" s="1"/>
  <c r="AO59" i="3"/>
  <c r="AP59" i="3" s="1"/>
  <c r="AO413" i="3"/>
  <c r="AP413" i="3" s="1"/>
  <c r="AO121" i="3"/>
  <c r="AP121" i="3" s="1"/>
  <c r="AO632" i="3"/>
  <c r="AP632" i="3" s="1"/>
  <c r="AO143" i="3"/>
  <c r="AP143" i="3" s="1"/>
  <c r="AO404" i="3"/>
  <c r="AP404" i="3" s="1"/>
  <c r="AO897" i="3"/>
  <c r="AP897" i="3" s="1"/>
  <c r="AO234" i="3"/>
  <c r="AP234" i="3" s="1"/>
  <c r="AO827" i="3"/>
  <c r="AP827" i="3" s="1"/>
  <c r="AO786" i="3"/>
  <c r="AP786" i="3" s="1"/>
  <c r="AO929" i="3"/>
  <c r="AP929" i="3" s="1"/>
  <c r="AO78" i="3"/>
  <c r="AP78" i="3" s="1"/>
  <c r="AO437" i="3"/>
  <c r="AP437" i="3" s="1"/>
  <c r="AO614" i="3"/>
  <c r="AP614" i="3" s="1"/>
  <c r="AO788" i="3"/>
  <c r="AP788" i="3" s="1"/>
  <c r="AO157" i="3"/>
  <c r="AP157" i="3" s="1"/>
  <c r="AO385" i="3"/>
  <c r="AP385" i="3" s="1"/>
  <c r="AO817" i="3"/>
  <c r="AP817" i="3" s="1"/>
  <c r="AO432" i="3"/>
  <c r="AP432" i="3" s="1"/>
  <c r="AO64" i="3"/>
  <c r="AP64" i="3" s="1"/>
</calcChain>
</file>

<file path=xl/sharedStrings.xml><?xml version="1.0" encoding="utf-8"?>
<sst xmlns="http://schemas.openxmlformats.org/spreadsheetml/2006/main" count="4913" uniqueCount="329">
  <si>
    <t>CUSTO MÉDIO</t>
  </si>
  <si>
    <t>CONSUMO OLEO / KG DE ALUMINIO</t>
  </si>
  <si>
    <t>Custo Médio Alumínio Fundido</t>
  </si>
  <si>
    <t>Tipo</t>
  </si>
  <si>
    <t>Valor</t>
  </si>
  <si>
    <t>Descrição</t>
  </si>
  <si>
    <t>Qtde Total Compra</t>
  </si>
  <si>
    <t>Valor Total</t>
  </si>
  <si>
    <t>Custo Médio</t>
  </si>
  <si>
    <t>Total Aluminio</t>
  </si>
  <si>
    <t>Compras Total</t>
  </si>
  <si>
    <t>Lingote</t>
  </si>
  <si>
    <t>Total Oleo</t>
  </si>
  <si>
    <t>Peso Aluminio Util</t>
  </si>
  <si>
    <t>Sucata</t>
  </si>
  <si>
    <t>Cada Litro de Oleo Funde (KG Alum.)</t>
  </si>
  <si>
    <t>Custo Médio/Kg Fundido</t>
  </si>
  <si>
    <t>Mistura</t>
  </si>
  <si>
    <t>Oleo</t>
  </si>
  <si>
    <t>Capacidade do Fornada KG</t>
  </si>
  <si>
    <t>Dias Uteis</t>
  </si>
  <si>
    <t>Insumos</t>
  </si>
  <si>
    <t>Qtde Oléo/Fornada</t>
  </si>
  <si>
    <t>Custo Lingote</t>
  </si>
  <si>
    <t>TOTAL</t>
  </si>
  <si>
    <t>Custo Oleo/Fornada</t>
  </si>
  <si>
    <t>Custo Sucata</t>
  </si>
  <si>
    <t>Custo Oleo / Kg Fundido</t>
  </si>
  <si>
    <t>COMPRAS LINGOTE</t>
  </si>
  <si>
    <t>COMPRAS SUCATA</t>
  </si>
  <si>
    <t>COMPRAS OLEO</t>
  </si>
  <si>
    <t>COMPRAS INSUMOS</t>
  </si>
  <si>
    <t>Custo Machos Kg</t>
  </si>
  <si>
    <t>Data</t>
  </si>
  <si>
    <t>Qtde Aluminio</t>
  </si>
  <si>
    <t>Custo/Kg Alumínio</t>
  </si>
  <si>
    <t>Total</t>
  </si>
  <si>
    <t>QTDE OLEO</t>
  </si>
  <si>
    <t>CUSTO / L</t>
  </si>
  <si>
    <t>Nome</t>
  </si>
  <si>
    <t>Função</t>
  </si>
  <si>
    <t>Salário</t>
  </si>
  <si>
    <t>Cartão</t>
  </si>
  <si>
    <t>Custo/h</t>
  </si>
  <si>
    <t>Marcelo Santos</t>
  </si>
  <si>
    <t>Moldador</t>
  </si>
  <si>
    <t>Daniel Garcia</t>
  </si>
  <si>
    <t>Claudio Henrique</t>
  </si>
  <si>
    <t>Ajudante</t>
  </si>
  <si>
    <t xml:space="preserve">Ajudante </t>
  </si>
  <si>
    <t>Anderson</t>
  </si>
  <si>
    <t>Renan Gabriel</t>
  </si>
  <si>
    <t>Rebarbador</t>
  </si>
  <si>
    <t>Victor Hugo</t>
  </si>
  <si>
    <t xml:space="preserve">William </t>
  </si>
  <si>
    <t>Forno</t>
  </si>
  <si>
    <t>Acabamento</t>
  </si>
  <si>
    <t>João Paulo</t>
  </si>
  <si>
    <t>Marco W</t>
  </si>
  <si>
    <t>Marlon</t>
  </si>
  <si>
    <t>Cód Placa - Descrição</t>
  </si>
  <si>
    <t>Qdt Peça Placa</t>
  </si>
  <si>
    <t>Peso Pç</t>
  </si>
  <si>
    <t>Peso Total Galho</t>
  </si>
  <si>
    <t>Retorno</t>
  </si>
  <si>
    <t>Peso Caixa Areia</t>
  </si>
  <si>
    <t>Qde macho / CX</t>
  </si>
  <si>
    <t>Peso Macho</t>
  </si>
  <si>
    <t>Caixa Usada</t>
  </si>
  <si>
    <t>Cód Cx Macho</t>
  </si>
  <si>
    <t>Cód Placa</t>
  </si>
  <si>
    <t>Tipo de Material</t>
  </si>
  <si>
    <t>Prço/Kg</t>
  </si>
  <si>
    <t>Cliente</t>
  </si>
  <si>
    <t>Usinagem Pintura Outros</t>
  </si>
  <si>
    <t xml:space="preserve">	276003 Flange Distribuidor De Ar / REGULADOR 26002 - Fundido</t>
  </si>
  <si>
    <t>Jumil</t>
  </si>
  <si>
    <t xml:space="preserve">	2766811 POLIA FUNDIDO</t>
  </si>
  <si>
    <t xml:space="preserve">	Corpo Visor Agua / Luz Fundido</t>
  </si>
  <si>
    <t>Senun</t>
  </si>
  <si>
    <t xml:space="preserve">	PROTEC TITAN 150 ES</t>
  </si>
  <si>
    <t>Protec</t>
  </si>
  <si>
    <t>0429005 TAMPA DO DISTRIBUIDOR (0432527P)</t>
  </si>
  <si>
    <t>0429011 ARO</t>
  </si>
  <si>
    <t>0429013 BICA DUPLA (0432155P)</t>
  </si>
  <si>
    <t>0460277 TAMPA DO DISTRIBUIDOR (0460276P)</t>
  </si>
  <si>
    <t>2760002 Regulador (3225354P) Fundido</t>
  </si>
  <si>
    <t>2760173 Base Do Condutor Da Semente (2749842P) Fundido</t>
  </si>
  <si>
    <t>2760174 Condutor Inclinado (2749843P) Fundido</t>
  </si>
  <si>
    <t>400418/01</t>
  </si>
  <si>
    <t>2760211 Tapo Deposito Unico De Sementes (2749147P) Fundido</t>
  </si>
  <si>
    <t>2760315 Base do Depósito (2729990P) - FUNDIDO</t>
  </si>
  <si>
    <t>2766824 Distribuidor de Ar 12s - FUNDIDO</t>
  </si>
  <si>
    <t>9990066 - Marcação luva 3,5x7 / 4x7 / 5x4 / Bacia - Fundido</t>
  </si>
  <si>
    <t>Oscar</t>
  </si>
  <si>
    <t>9990066 - Varão 1 / 2 / 3 / 4 - Fundido</t>
  </si>
  <si>
    <t>Acoplador 2750340 - FUNDIDO</t>
  </si>
  <si>
    <t>ACOPLADOR DO PRATO - DANILO</t>
  </si>
  <si>
    <t>Danilo</t>
  </si>
  <si>
    <t>ADAPTADOR  0429051</t>
  </si>
  <si>
    <t>ALÇA TRASEIRA TITAN DIR. ( PROTEC )</t>
  </si>
  <si>
    <t>ALÇA TRASEIRA TITAN ESQ. ( PROTEC )</t>
  </si>
  <si>
    <t>ANEL  300mm - TRATOMAG</t>
  </si>
  <si>
    <t>TRATOMAG</t>
  </si>
  <si>
    <t>BASE DE ACENTAMENTO DO DEPOSITO - FUNDIDO</t>
  </si>
  <si>
    <t>Base Depósito Semente 2760317 (2749444P) - FUNDIDO</t>
  </si>
  <si>
    <t>Base do Deposito 2761086 Fundido</t>
  </si>
  <si>
    <t>BIELA  M42</t>
  </si>
  <si>
    <t>MGA</t>
  </si>
  <si>
    <t>BLOCO FUNDIDO - MGA</t>
  </si>
  <si>
    <t>Bocal de Saida 0429034 Fundido</t>
  </si>
  <si>
    <t>Bocal de Saida 2761392 / 0429008 Fundido</t>
  </si>
  <si>
    <t>BRACINHO ARTICULADOR</t>
  </si>
  <si>
    <t>Marcelo</t>
  </si>
  <si>
    <t xml:space="preserve">CABEÇOTE DUPLO - DANILO </t>
  </si>
  <si>
    <t>Cachimbo Fundido 33 (-) Fundido</t>
  </si>
  <si>
    <t>Cachimbo Fundido 34,5 (+) Fundido</t>
  </si>
  <si>
    <t xml:space="preserve">CAIXA DA TAMPA 40 Kg - DANILO </t>
  </si>
  <si>
    <t xml:space="preserve">CAIXA TUDO DESCO EXATA </t>
  </si>
  <si>
    <t>Caracol HX55 - Fundido</t>
  </si>
  <si>
    <t>Caracol S300 John Deere 3520 - Fundido</t>
  </si>
  <si>
    <t>CARCAÇA T-924</t>
  </si>
  <si>
    <t>TPA/TEMPLA</t>
  </si>
  <si>
    <t>CARCAÇA T-925</t>
  </si>
  <si>
    <t>Centro da Banda (3224429P) - Fundido</t>
  </si>
  <si>
    <t>Chapa Churrasqueira 1 Fogareiro - Fundido</t>
  </si>
  <si>
    <t>Chapa Churrasqueira 2 Fogareiros Fundido</t>
  </si>
  <si>
    <t>Condutor Reto 2760209 - fundido</t>
  </si>
  <si>
    <t>0400413/01</t>
  </si>
  <si>
    <t>Corpo Case Kurokawa - Fundido</t>
  </si>
  <si>
    <t>Corpo do Distribuidor 0429006 (0427384P) - FUNDIDO</t>
  </si>
  <si>
    <t>0400410/01</t>
  </si>
  <si>
    <t xml:space="preserve">CORPO DO VISOR </t>
  </si>
  <si>
    <t>DISCO DO ACOPLADOR - 0,266KG</t>
  </si>
  <si>
    <t>Distribuidor de Ar 14S (3225353P) - FUNDIDO</t>
  </si>
  <si>
    <t>Distribuidor de Ar 8s 2761098 (3241145P) - FUNDIDO</t>
  </si>
  <si>
    <t>DIVISOR - Fundido</t>
  </si>
  <si>
    <t>Dobradiça (Mallascar) - Fundido</t>
  </si>
  <si>
    <t>Ejetor de Amendoim 0429053 - Fundido</t>
  </si>
  <si>
    <t>ESTRADO PARA HUNTER 10</t>
  </si>
  <si>
    <t>ESTRADO PARA HUNTER 20</t>
  </si>
  <si>
    <t>FLANGE DA TAMPA 0021/002 - DANILO</t>
  </si>
  <si>
    <t>FLANGE FIX. 39.01.04.004 - ( 0,800 )</t>
  </si>
  <si>
    <t>FLANGE FIXAÇÃO - 0,266</t>
  </si>
  <si>
    <t>Flange Menor Fundido</t>
  </si>
  <si>
    <t>Fogareiro Churrasqueira 2 Fog Fundido</t>
  </si>
  <si>
    <t>Frente Caixa de Correio Fit</t>
  </si>
  <si>
    <t>Frente Caixa de Correio Infinity</t>
  </si>
  <si>
    <t>Frente Caixa de Correio Master</t>
  </si>
  <si>
    <t>Frente Caixa de Correio Personnalite</t>
  </si>
  <si>
    <t>Frente Caixa de Correio Quadrada</t>
  </si>
  <si>
    <t>Frente Caixa de Correio Senun</t>
  </si>
  <si>
    <t>Frente Caixa de Correio Soft / Slim</t>
  </si>
  <si>
    <t xml:space="preserve">HANTER 10 </t>
  </si>
  <si>
    <t>HANTER 20</t>
  </si>
  <si>
    <t>Lateral Churrasqueira 1 Fogareiro - Fundido</t>
  </si>
  <si>
    <t>Lateral Churrasqueira 2 Fogareiro Fundido</t>
  </si>
  <si>
    <t>Mallascar Biela Fundido</t>
  </si>
  <si>
    <t>MANCAL  FPP 1,500</t>
  </si>
  <si>
    <t xml:space="preserve">MANCAL TRAVA DO PANO </t>
  </si>
  <si>
    <t>MODELO SOLTO -  09071</t>
  </si>
  <si>
    <t>MODELO SOLTO  - 09593</t>
  </si>
  <si>
    <t>MODELO SOLTO - 07494</t>
  </si>
  <si>
    <t>MODELO SOLTO - 07519</t>
  </si>
  <si>
    <t>MODELO SOLTO - 07661</t>
  </si>
  <si>
    <t>MODELO SOLTO - 07921</t>
  </si>
  <si>
    <t>MODELO SOLTO - 07928</t>
  </si>
  <si>
    <t>MODELO SOLTO - 07941</t>
  </si>
  <si>
    <t>MODELO SOLTO - 07986</t>
  </si>
  <si>
    <t>MODELO SOLTO - 08092</t>
  </si>
  <si>
    <t>MODELO SOLTO - 08093</t>
  </si>
  <si>
    <t>MODELO SOLTO - 08213</t>
  </si>
  <si>
    <t>MODELO SOLTO - 08307</t>
  </si>
  <si>
    <t>MODELO SOLTO - 08332</t>
  </si>
  <si>
    <t>MARCELO</t>
  </si>
  <si>
    <t>MODELO SOLTO - 08999</t>
  </si>
  <si>
    <t>MODELO SOLTO - 09034</t>
  </si>
  <si>
    <t>MODELO SOLTO - 09141</t>
  </si>
  <si>
    <t>MODELO SOLTO - 09226</t>
  </si>
  <si>
    <t>MODELO SOLTO - 09242</t>
  </si>
  <si>
    <t>MODELO SOLTO - 09251</t>
  </si>
  <si>
    <t>MODELO SOLTO - 09321</t>
  </si>
  <si>
    <t>MODELO SOLTO - 09551</t>
  </si>
  <si>
    <t>MODELO SOLTO - 09573</t>
  </si>
  <si>
    <t>MODELO SOLTO - 09585</t>
  </si>
  <si>
    <t>MODELO SOLTO - 09720</t>
  </si>
  <si>
    <t>MODELO SOLTO - 09781</t>
  </si>
  <si>
    <t>MODELO SOLTO - 09936</t>
  </si>
  <si>
    <t>MODELO SOLTO - OSCAR</t>
  </si>
  <si>
    <t>MODELO SOLTO -07661</t>
  </si>
  <si>
    <t>MODELO SOLTO DANILO - 07053</t>
  </si>
  <si>
    <t>MODELO SOLTO OSCAR - 06111</t>
  </si>
  <si>
    <t>MODELO SOLTO OSCAR - 06231</t>
  </si>
  <si>
    <t>MODELO SOLTO OSCAR - 06244</t>
  </si>
  <si>
    <t>MODELO SOLTO OSCAR - 06364</t>
  </si>
  <si>
    <t>MODELO SOLTO OSCAR - 06477</t>
  </si>
  <si>
    <t>MODELO SOLTO OSCAR - 06489</t>
  </si>
  <si>
    <t>MODELO SOLTO OSCAR - 06627</t>
  </si>
  <si>
    <t>MODELO SOLTO OSCAR - 06743</t>
  </si>
  <si>
    <t>MODELO SOLTO OSCAR - 06806</t>
  </si>
  <si>
    <t>MODELO SOLTO OSCAR - 06816</t>
  </si>
  <si>
    <t>MODELO SOLTO OSCAR - 06834</t>
  </si>
  <si>
    <t>MODELO SOLTO OSCAR - 06927</t>
  </si>
  <si>
    <t>MODELO SOLTO OSCAR - 06943</t>
  </si>
  <si>
    <t>MODELO SOLTO OSCAR - 07044</t>
  </si>
  <si>
    <t>MODELO SOLTO OSCAR - 07069</t>
  </si>
  <si>
    <t>MODELO SOLTO OSCAR - 07070</t>
  </si>
  <si>
    <t>MODELO SOLTO OSCAR - 07248</t>
  </si>
  <si>
    <t>MODELO SOLTO OSCAR - 07308</t>
  </si>
  <si>
    <t>MODELO SOLTO OSCAR - 07491</t>
  </si>
  <si>
    <t>MODELO SOLTO OSCAR - 7307</t>
  </si>
  <si>
    <t>MODELOS OLTO -  09105</t>
  </si>
  <si>
    <t>Numero 0 Fundido</t>
  </si>
  <si>
    <t>Numero 1 Fundido</t>
  </si>
  <si>
    <t>Numero 2 Fundido</t>
  </si>
  <si>
    <t>Numero 3 Fundido</t>
  </si>
  <si>
    <t>Numero 4 Fundido</t>
  </si>
  <si>
    <t>Numero 5 Fundido</t>
  </si>
  <si>
    <t>Numero 6 / 9 Fundido</t>
  </si>
  <si>
    <t>Numero 7 Fundido</t>
  </si>
  <si>
    <t>Numero 8 Fundido</t>
  </si>
  <si>
    <t>OLHAL 01</t>
  </si>
  <si>
    <t>OLHAL 02</t>
  </si>
  <si>
    <t>OLHAL 03</t>
  </si>
  <si>
    <t>OLHAL 04</t>
  </si>
  <si>
    <t>Pé Churrasqueira 1 Fogareiro - Fundido</t>
  </si>
  <si>
    <t>Pe Churrasqueira 2 Fogareiro Fundido</t>
  </si>
  <si>
    <t>PLACA FBO Fundido- OSCAR</t>
  </si>
  <si>
    <t xml:space="preserve">PLACA FDNX </t>
  </si>
  <si>
    <t>Polia 305J16 (2726161P) Fundido</t>
  </si>
  <si>
    <t>PP-1745-E-200 - SEPARADOR 200 SERRAS</t>
  </si>
  <si>
    <t>Busa</t>
  </si>
  <si>
    <t>PP-5541-E-242 - SEPARADOR 242 SERRAS - 0 6"</t>
  </si>
  <si>
    <t>PRATO DE ALUMINIO HPP</t>
  </si>
  <si>
    <t>PRATO DO AMORTECEDOR  39.01.04.002</t>
  </si>
  <si>
    <t>Prot Câm Dome C Acopl</t>
  </si>
  <si>
    <t>Prot Câm Dome C Acopl - SENUN METAL</t>
  </si>
  <si>
    <t>Prot Câm Dome Sem Acopl</t>
  </si>
  <si>
    <t>Prot Câm Dome Sem Acopl115 x 105 Fundido</t>
  </si>
  <si>
    <t>Prot Câm Mini Dome</t>
  </si>
  <si>
    <t>Prot. Interfone Agl Fundido</t>
  </si>
  <si>
    <t>Prot. Interfone Coletivo Intelbras 4,8 e 12 Canais Fundido</t>
  </si>
  <si>
    <t>Prot. Interfone F8 Antigo Fundido</t>
  </si>
  <si>
    <t>Prot. Interfone F8s Antigo Fundido</t>
  </si>
  <si>
    <t>Prot. Interfone Hdl F8 Novo Fundido</t>
  </si>
  <si>
    <t>Prot. Interfone Intelbras 7010 Fundido</t>
  </si>
  <si>
    <t>Prot. Interfone Intelbras IV4 / IV7 Novo</t>
  </si>
  <si>
    <t>Prot. Interfone Ivr 1010 Fundido</t>
  </si>
  <si>
    <t>Prot. Interfone Xpe 1001/1013 Plus Id Intelbras Fundido</t>
  </si>
  <si>
    <t>Prot. Interforne Hdl F8s Novo Fundido</t>
  </si>
  <si>
    <t>PROT. LR 570</t>
  </si>
  <si>
    <t>SENUN</t>
  </si>
  <si>
    <t>PROTEC TITAN 150 DIR</t>
  </si>
  <si>
    <t>PROTEC TITAN 160 DIR</t>
  </si>
  <si>
    <t>PROTEC TITAN 160 ES</t>
  </si>
  <si>
    <t>PROTEC TITAN 2000 DIR</t>
  </si>
  <si>
    <t>PROTEC TITAN 2000 ES</t>
  </si>
  <si>
    <t>Protetor de Campainha Intelbras - Fundido</t>
  </si>
  <si>
    <t>Reservatório Churrasqueira 1 Fogareiro - Fundido</t>
  </si>
  <si>
    <t>SUPORTE ABERTO - DANILO</t>
  </si>
  <si>
    <t>DANILO</t>
  </si>
  <si>
    <t>SUPORTE FECHADO  - DANILO</t>
  </si>
  <si>
    <t>Suporte Para Camera Fundido</t>
  </si>
  <si>
    <t>TAMPA 21L</t>
  </si>
  <si>
    <t xml:space="preserve">TAMPA CAIXA DE MACHO JUMIL </t>
  </si>
  <si>
    <t>Tampa Case Kurokawa - Fundido</t>
  </si>
  <si>
    <t xml:space="preserve">TAMPA CX DE MACHO - JUMIL </t>
  </si>
  <si>
    <t>JUMIL</t>
  </si>
  <si>
    <t>TAMPA DANILO 0021</t>
  </si>
  <si>
    <t>TAMPA DANILO 0022</t>
  </si>
  <si>
    <t>Tampa do Cubo da Roda Diant. Serie 4 rs205 - Fundido</t>
  </si>
  <si>
    <t>Lucas</t>
  </si>
  <si>
    <t>Tampa Do Reserv .0429043 Fundido</t>
  </si>
  <si>
    <t>TAMPA FP TURBO - 18Kg</t>
  </si>
  <si>
    <t>TAMPA FPX - 20,00 KG</t>
  </si>
  <si>
    <t xml:space="preserve">TAMPA GRANDE 4 FURO 22Kg - DANILO </t>
  </si>
  <si>
    <t xml:space="preserve">Tampa para caixa de macho - senun </t>
  </si>
  <si>
    <t>Tampa Rechaud Churrasqueira 1 Fogareiro - Fundido</t>
  </si>
  <si>
    <t>Tampa Rechaud Churrasqueira 2 Fogareiro Fundido</t>
  </si>
  <si>
    <t>TAMPA SENSOR DN 100</t>
  </si>
  <si>
    <t>DIGITROL</t>
  </si>
  <si>
    <t>TAMPA SENSOR DN 50</t>
  </si>
  <si>
    <t>TAMPA SENSOR DN 80</t>
  </si>
  <si>
    <t>TAMPA T-421</t>
  </si>
  <si>
    <t>Tampa Visor Agua Fundido</t>
  </si>
  <si>
    <t>Tampa Visor Luz Fundido</t>
  </si>
  <si>
    <t>TARUGO DE 35mm</t>
  </si>
  <si>
    <t>TARUGO DE 50mm</t>
  </si>
  <si>
    <t>Ventilador Grande 45093000 Fundido</t>
  </si>
  <si>
    <t>Bambozzi</t>
  </si>
  <si>
    <t>Ventilador Medio 60291000 Fundido</t>
  </si>
  <si>
    <t xml:space="preserve">VENTILADOR NOVO </t>
  </si>
  <si>
    <t>Carcaça T-068</t>
  </si>
  <si>
    <t>Produto</t>
  </si>
  <si>
    <t>O.P.</t>
  </si>
  <si>
    <t>Qtde Cx Produzida</t>
  </si>
  <si>
    <t>Tempo</t>
  </si>
  <si>
    <t>Perda Pçs</t>
  </si>
  <si>
    <t>Custo / Kg Util</t>
  </si>
  <si>
    <t>Custo / Pç</t>
  </si>
  <si>
    <t>Cx/H</t>
  </si>
  <si>
    <t>Previsto</t>
  </si>
  <si>
    <t>Realizado</t>
  </si>
  <si>
    <t>% Perda</t>
  </si>
  <si>
    <t>Tempo / Cx</t>
  </si>
  <si>
    <t>Cx Perdida</t>
  </si>
  <si>
    <t>Aluminio Util</t>
  </si>
  <si>
    <t>Aluminio Bruto</t>
  </si>
  <si>
    <t>Retorno Aluminio</t>
  </si>
  <si>
    <t>Qtde Oleo</t>
  </si>
  <si>
    <t>Custo M.O. / H</t>
  </si>
  <si>
    <t>Custo / Cx Moldada</t>
  </si>
  <si>
    <t>Custo M.O. Total</t>
  </si>
  <si>
    <t>Custo Aluminio</t>
  </si>
  <si>
    <t>Custo Machos</t>
  </si>
  <si>
    <t>Custo Oleo</t>
  </si>
  <si>
    <t>Custo Total</t>
  </si>
  <si>
    <t>Custo da Perda</t>
  </si>
  <si>
    <t>Peso Util/Pç</t>
  </si>
  <si>
    <t>Canal Retorno</t>
  </si>
  <si>
    <t>Custo/Kg</t>
  </si>
  <si>
    <t>Custo Usinagem</t>
  </si>
  <si>
    <t>Valor Mínimo Venda</t>
  </si>
  <si>
    <t>Tabela 1</t>
  </si>
  <si>
    <t>Tabela 2</t>
  </si>
  <si>
    <t>Tabela 3</t>
  </si>
  <si>
    <t>VICTOR HUGO</t>
  </si>
  <si>
    <t>MODELO SOLTO -7661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</si>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</sst>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h]:mm:ss;@"/>
    <numFmt numFmtId="165" formatCode="h:mm;@"/>
    <numFmt numFmtId="166" formatCode="_-* #,##0_-;\-* #,##0_-;_-* &quot;-&quot;??_-;_-@_-"/>
    <numFmt numFmtId="167" formatCode="dd/mm/yy;@"/>
    <numFmt numFmtId="168" formatCode="0.0%"/>
    <numFmt numFmtId="169" formatCode="0.000"/>
    <numFmt numFmtId="170" formatCode="_-* #,##0.000_-;\-* #,##0.000_-;_-* &quot;-&quot;??_-;_-@_-"/>
    <numFmt numFmtId="171" formatCode="d/m/yy;@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7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0" xfId="0" applyProtection="1">
      <protection locked="0"/>
    </xf>
    <xf numFmtId="44" fontId="0" fillId="0" borderId="0" xfId="2" applyFont="1" applyProtection="1">
      <protection locked="0"/>
    </xf>
    <xf numFmtId="43" fontId="0" fillId="0" borderId="0" xfId="1" applyFont="1" applyProtection="1">
      <protection locked="0"/>
    </xf>
    <xf numFmtId="167" fontId="0" fillId="0" borderId="0" xfId="0" applyNumberFormat="1" applyProtection="1">
      <protection locked="0"/>
    </xf>
    <xf numFmtId="167" fontId="0" fillId="0" borderId="0" xfId="0" applyNumberForma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5" fontId="0" fillId="0" borderId="0" xfId="0" applyNumberFormat="1" applyAlignment="1" applyProtection="1">
      <alignment horizontal="center" vertical="center" wrapText="1"/>
      <protection locked="0"/>
    </xf>
    <xf numFmtId="1" fontId="0" fillId="0" borderId="0" xfId="0" applyNumberFormat="1" applyProtection="1">
      <protection locked="0"/>
    </xf>
    <xf numFmtId="165" fontId="0" fillId="0" borderId="0" xfId="1" applyNumberFormat="1" applyFont="1" applyProtection="1">
      <protection locked="0"/>
    </xf>
    <xf numFmtId="166" fontId="0" fillId="0" borderId="0" xfId="1" applyNumberFormat="1" applyFont="1" applyProtection="1">
      <protection locked="0"/>
    </xf>
    <xf numFmtId="165" fontId="0" fillId="0" borderId="0" xfId="0" applyNumberFormat="1" applyProtection="1">
      <protection locked="0"/>
    </xf>
    <xf numFmtId="44" fontId="0" fillId="0" borderId="0" xfId="2" applyFont="1" applyAlignment="1" applyProtection="1">
      <alignment horizontal="center"/>
      <protection locked="0"/>
    </xf>
    <xf numFmtId="43" fontId="0" fillId="0" borderId="0" xfId="1" applyFont="1" applyProtection="1"/>
    <xf numFmtId="44" fontId="0" fillId="0" borderId="0" xfId="2" applyFont="1" applyProtection="1"/>
    <xf numFmtId="43" fontId="0" fillId="0" borderId="16" xfId="1" applyFont="1" applyBorder="1" applyProtection="1"/>
    <xf numFmtId="44" fontId="0" fillId="0" borderId="16" xfId="2" applyFont="1" applyBorder="1" applyProtection="1"/>
    <xf numFmtId="43" fontId="0" fillId="0" borderId="17" xfId="1" applyFont="1" applyBorder="1" applyProtection="1"/>
    <xf numFmtId="44" fontId="0" fillId="0" borderId="18" xfId="2" applyFont="1" applyBorder="1" applyProtection="1"/>
    <xf numFmtId="166" fontId="0" fillId="0" borderId="17" xfId="1" applyNumberFormat="1" applyFont="1" applyBorder="1" applyProtection="1"/>
    <xf numFmtId="44" fontId="0" fillId="0" borderId="17" xfId="2" applyFont="1" applyBorder="1" applyProtection="1"/>
    <xf numFmtId="44" fontId="0" fillId="0" borderId="0" xfId="2" applyFont="1" applyBorder="1" applyProtection="1"/>
    <xf numFmtId="44" fontId="0" fillId="0" borderId="0" xfId="2" applyFont="1" applyAlignment="1" applyProtection="1">
      <alignment horizontal="center" vertical="center" wrapText="1"/>
      <protection locked="0"/>
    </xf>
    <xf numFmtId="43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  <xf numFmtId="168" fontId="0" fillId="0" borderId="0" xfId="3" applyNumberFormat="1" applyFont="1" applyAlignment="1" applyProtection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4" fontId="1" fillId="0" borderId="0" xfId="0" applyNumberFormat="1" applyFont="1" applyAlignment="1">
      <alignment horizontal="center" vertical="center" wrapText="1"/>
    </xf>
    <xf numFmtId="44" fontId="1" fillId="0" borderId="0" xfId="2" applyFont="1" applyAlignment="1" applyProtection="1">
      <alignment horizontal="center" vertical="center" wrapText="1"/>
    </xf>
    <xf numFmtId="44" fontId="0" fillId="2" borderId="0" xfId="2" applyFont="1" applyFill="1" applyProtection="1"/>
    <xf numFmtId="44" fontId="0" fillId="2" borderId="0" xfId="0" applyNumberFormat="1" applyFill="1"/>
    <xf numFmtId="166" fontId="0" fillId="2" borderId="0" xfId="1" applyNumberFormat="1" applyFont="1" applyFill="1" applyProtection="1"/>
    <xf numFmtId="168" fontId="0" fillId="2" borderId="0" xfId="3" applyNumberFormat="1" applyFont="1" applyFill="1" applyProtection="1"/>
    <xf numFmtId="164" fontId="0" fillId="2" borderId="0" xfId="1" applyNumberFormat="1" applyFont="1" applyFill="1" applyProtection="1"/>
    <xf numFmtId="0" fontId="0" fillId="2" borderId="0" xfId="0" applyFill="1"/>
    <xf numFmtId="168" fontId="0" fillId="0" borderId="0" xfId="3" applyNumberFormat="1" applyFont="1" applyProtection="1"/>
    <xf numFmtId="164" fontId="0" fillId="0" borderId="0" xfId="0" applyNumberFormat="1"/>
    <xf numFmtId="0" fontId="0" fillId="0" borderId="0" xfId="0" applyAlignment="1" applyProtection="1">
      <alignment horizontal="center"/>
      <protection hidden="1"/>
    </xf>
    <xf numFmtId="44" fontId="0" fillId="0" borderId="0" xfId="0" applyNumberFormat="1" applyProtection="1">
      <protection hidden="1"/>
    </xf>
    <xf numFmtId="0" fontId="0" fillId="0" borderId="0" xfId="0" applyProtection="1">
      <protection hidden="1"/>
    </xf>
    <xf numFmtId="44" fontId="0" fillId="0" borderId="0" xfId="2" applyFont="1" applyAlignment="1" applyProtection="1">
      <alignment horizontal="center" vertical="center" wrapText="1"/>
    </xf>
    <xf numFmtId="44" fontId="0" fillId="2" borderId="0" xfId="1" applyNumberFormat="1" applyFont="1" applyFill="1" applyProtection="1"/>
    <xf numFmtId="0" fontId="0" fillId="2" borderId="0" xfId="2" applyNumberFormat="1" applyFont="1" applyFill="1" applyProtection="1"/>
    <xf numFmtId="16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70" fontId="0" fillId="0" borderId="0" xfId="1" applyNumberFormat="1" applyFont="1" applyAlignment="1" applyProtection="1">
      <alignment horizontal="center" vertical="center" wrapText="1"/>
    </xf>
    <xf numFmtId="170" fontId="0" fillId="0" borderId="0" xfId="1" applyNumberFormat="1" applyFont="1" applyProtection="1"/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43" fontId="0" fillId="0" borderId="0" xfId="1" applyFont="1"/>
    <xf numFmtId="43" fontId="0" fillId="0" borderId="0" xfId="1" applyFont="1" applyAlignment="1">
      <alignment horizontal="center" vertical="center" wrapText="1"/>
    </xf>
    <xf numFmtId="43" fontId="0" fillId="2" borderId="0" xfId="1" applyFont="1" applyFill="1" applyProtection="1"/>
    <xf numFmtId="0" fontId="0" fillId="3" borderId="0" xfId="0" applyFill="1" applyAlignment="1" applyProtection="1">
      <alignment horizontal="right" wrapText="1"/>
      <protection locked="0"/>
    </xf>
    <xf numFmtId="0" fontId="0" fillId="0" borderId="8" xfId="0" applyBorder="1" applyAlignment="1">
      <alignment horizontal="center"/>
    </xf>
    <xf numFmtId="44" fontId="0" fillId="0" borderId="10" xfId="2" applyFont="1" applyBorder="1" applyAlignment="1" applyProtection="1">
      <alignment horizontal="center"/>
    </xf>
    <xf numFmtId="0" fontId="0" fillId="0" borderId="11" xfId="0" applyBorder="1"/>
    <xf numFmtId="44" fontId="0" fillId="0" borderId="12" xfId="2" applyFont="1" applyBorder="1" applyProtection="1"/>
    <xf numFmtId="0" fontId="0" fillId="0" borderId="13" xfId="0" applyBorder="1"/>
    <xf numFmtId="44" fontId="0" fillId="0" borderId="15" xfId="2" applyFont="1" applyBorder="1" applyProtection="1"/>
    <xf numFmtId="44" fontId="0" fillId="0" borderId="0" xfId="2" applyFont="1" applyAlignment="1">
      <alignment horizontal="center" vertical="center" wrapText="1"/>
    </xf>
    <xf numFmtId="170" fontId="0" fillId="0" borderId="0" xfId="1" applyNumberFormat="1" applyFont="1" applyProtection="1">
      <protection locked="0"/>
    </xf>
    <xf numFmtId="170" fontId="0" fillId="0" borderId="0" xfId="1" applyNumberFormat="1" applyFont="1"/>
    <xf numFmtId="171" fontId="0" fillId="0" borderId="0" xfId="0" applyNumberFormat="1" applyAlignment="1" applyProtection="1">
      <alignment horizontal="center" vertical="center" wrapText="1"/>
      <protection locked="0"/>
    </xf>
    <xf numFmtId="171" fontId="0" fillId="0" borderId="0" xfId="0" applyNumberFormat="1" applyProtection="1">
      <protection locked="0"/>
    </xf>
    <xf numFmtId="0" fontId="0" fillId="0" borderId="20" xfId="0" applyBorder="1"/>
    <xf numFmtId="166" fontId="0" fillId="0" borderId="3" xfId="1" applyNumberFormat="1" applyFont="1" applyBorder="1" applyProtection="1"/>
    <xf numFmtId="0" fontId="0" fillId="2" borderId="0" xfId="0" applyFill="1" applyProtection="1">
      <protection locked="0"/>
    </xf>
    <xf numFmtId="0" fontId="4" fillId="0" borderId="0" xfId="0" applyFont="1"/>
    <xf numFmtId="0" fontId="0" fillId="0" borderId="19" xfId="0" applyBorder="1" applyProtection="1">
      <protection locked="0"/>
    </xf>
    <xf numFmtId="0" fontId="0" fillId="0" borderId="0" xfId="0" applyNumberFormat="1" applyProtection="1">
      <protection locked="0"/>
    </xf>
    <xf numFmtId="44" fontId="0" fillId="2" borderId="0" xfId="2" applyNumberFormat="1" applyFont="1" applyFill="1" applyProtection="1"/>
    <xf numFmtId="43" fontId="0" fillId="2" borderId="0" xfId="1" applyNumberFormat="1" applyFont="1" applyFill="1" applyProtection="1"/>
    <xf numFmtId="0" fontId="0" fillId="2" borderId="0" xfId="0" applyNumberFormat="1" applyFill="1" applyProtection="1"/>
    <xf numFmtId="44" fontId="0" fillId="2" borderId="0" xfId="0" applyNumberFormat="1" applyFill="1" applyProtection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7" fontId="0" fillId="0" borderId="8" xfId="0" applyNumberFormat="1" applyBorder="1" applyAlignment="1">
      <alignment horizontal="left"/>
    </xf>
    <xf numFmtId="167" fontId="0" fillId="0" borderId="9" xfId="0" applyNumberFormat="1" applyBorder="1" applyAlignment="1">
      <alignment horizontal="left"/>
    </xf>
    <xf numFmtId="167" fontId="0" fillId="0" borderId="10" xfId="0" applyNumberFormat="1" applyBorder="1" applyAlignment="1">
      <alignment horizontal="left"/>
    </xf>
    <xf numFmtId="167" fontId="0" fillId="0" borderId="11" xfId="0" applyNumberFormat="1" applyBorder="1" applyAlignment="1">
      <alignment horizontal="left"/>
    </xf>
    <xf numFmtId="167" fontId="0" fillId="0" borderId="7" xfId="0" applyNumberFormat="1" applyBorder="1" applyAlignment="1">
      <alignment horizontal="left"/>
    </xf>
    <xf numFmtId="167" fontId="0" fillId="0" borderId="12" xfId="0" applyNumberFormat="1" applyBorder="1" applyAlignment="1">
      <alignment horizontal="left"/>
    </xf>
    <xf numFmtId="167" fontId="0" fillId="0" borderId="13" xfId="0" applyNumberFormat="1" applyBorder="1" applyAlignment="1">
      <alignment horizontal="left"/>
    </xf>
    <xf numFmtId="167" fontId="0" fillId="0" borderId="14" xfId="0" applyNumberFormat="1" applyBorder="1" applyAlignment="1">
      <alignment horizontal="left"/>
    </xf>
    <xf numFmtId="167" fontId="0" fillId="0" borderId="15" xfId="0" applyNumberFormat="1" applyBorder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4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64"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protection locked="1" hidden="0"/>
    </dxf>
    <dxf>
      <numFmt numFmtId="164" formatCode="[h]:mm:ss;@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h]:mm:ss;@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%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%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protection locked="1" hidden="0"/>
    </dxf>
    <dxf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protection locked="0" hidden="0"/>
    </dxf>
    <dxf>
      <numFmt numFmtId="165" formatCode="h:mm;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h:mm;@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numFmt numFmtId="167" formatCode="dd/mm/yy;@"/>
      <protection locked="0" hidden="0"/>
    </dxf>
    <dxf>
      <protection locked="0" hidden="0"/>
    </dxf>
    <dxf>
      <numFmt numFmtId="171" formatCode="d/m/yy;@"/>
      <protection locked="0" hidden="0"/>
    </dxf>
    <dxf>
      <numFmt numFmtId="171" formatCode="d/m/yy;@"/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alignment horizontal="center" textRotation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70" formatCode="_-* #,##0.000_-;\-* #,##0.000_-;_-* &quot;-&quot;??_-;_-@_-"/>
      <protection locked="1" hidden="0"/>
    </dxf>
    <dxf>
      <numFmt numFmtId="2" formatCode="0.00"/>
      <protection locked="0" hidden="0"/>
    </dxf>
    <dxf>
      <numFmt numFmtId="169" formatCode="0.000"/>
      <protection locked="0" hidden="0"/>
    </dxf>
    <dxf>
      <protection locked="0" hidden="0"/>
    </dxf>
    <dxf>
      <fill>
        <patternFill patternType="none">
          <fgColor indexed="64"/>
          <bgColor auto="1"/>
        </patternFill>
      </fill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protection locked="1" hidden="1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numFmt numFmtId="167" formatCode="dd/mm/yy;@"/>
      <protection locked="0" hidden="0"/>
    </dxf>
    <dxf>
      <numFmt numFmtId="167" formatCode="dd/mm/yy;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numFmt numFmtId="167" formatCode="dd/mm/yy;@"/>
      <protection locked="0" hidden="0"/>
    </dxf>
    <dxf>
      <numFmt numFmtId="167" formatCode="dd/mm/yy;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protection locked="0" hidden="0"/>
    </dxf>
    <dxf>
      <numFmt numFmtId="35" formatCode="_-* #,##0.00_-;\-* #,##0.00_-;_-* &quot;-&quot;??_-;_-@_-"/>
      <protection locked="0" hidden="0"/>
    </dxf>
    <dxf>
      <numFmt numFmtId="0" formatCode="General"/>
      <protection locked="0" hidden="0"/>
    </dxf>
    <dxf>
      <protection locked="0" hidden="0"/>
    </dxf>
    <dxf>
      <numFmt numFmtId="167" formatCode="dd/mm/yy;@"/>
      <protection locked="0" hidden="0"/>
    </dxf>
    <dxf>
      <numFmt numFmtId="167" formatCode="dd/mm/yy;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protection locked="1" hidden="0"/>
    </dxf>
    <dxf>
      <numFmt numFmtId="34" formatCode="_-&quot;R$&quot;\ * #,##0.00_-;\-&quot;R$&quot;\ * #,##0.00_-;_-&quot;R$&quot;\ * &quot;-&quot;??_-;_-@_-"/>
    </dxf>
    <dxf>
      <protection locked="1" hidden="0"/>
    </dxf>
    <dxf>
      <numFmt numFmtId="34" formatCode="_-&quot;R$&quot;\ * #,##0.00_-;\-&quot;R$&quot;\ * #,##0.00_-;_-&quot;R$&quot;\ * &quot;-&quot;??_-;_-@_-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34" formatCode="_-&quot;R$&quot;\ * #,##0.00_-;\-&quot;R$&quot;\ * #,##0.00_-;_-&quot;R$&quot;\ * &quot;-&quot;??_-;_-@_-"/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protection locked="0" hidden="0"/>
    </dxf>
    <dxf>
      <numFmt numFmtId="35" formatCode="_-* #,##0.00_-;\-* #,##0.00_-;_-* &quot;-&quot;??_-;_-@_-"/>
      <protection locked="0" hidden="0"/>
    </dxf>
    <dxf>
      <numFmt numFmtId="0" formatCode="General"/>
      <protection locked="0" hidden="0"/>
    </dxf>
    <dxf>
      <protection locked="0" hidden="0"/>
    </dxf>
    <dxf>
      <numFmt numFmtId="167" formatCode="dd/mm/yy;@"/>
      <protection locked="0" hidden="0"/>
    </dxf>
    <dxf>
      <numFmt numFmtId="167" formatCode="dd/mm/yy;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numFmt numFmtId="34" formatCode="_-&quot;R$&quot;\ * #,##0.00_-;\-&quot;R$&quot;\ * #,##0.00_-;_-&quot;R$&quot;\ * &quot;-&quot;??_-;_-@_-"/>
      <protection locked="0" hidden="0"/>
    </dxf>
    <dxf>
      <protection locked="0" hidden="0"/>
    </dxf>
    <dxf>
      <numFmt numFmtId="35" formatCode="_-* #,##0.00_-;\-* #,##0.00_-;_-* &quot;-&quot;??_-;_-@_-"/>
      <protection locked="0" hidden="0"/>
    </dxf>
    <dxf>
      <numFmt numFmtId="0" formatCode="General"/>
      <protection locked="0" hidden="0"/>
    </dxf>
    <dxf>
      <protection locked="0" hidden="0"/>
    </dxf>
    <dxf>
      <numFmt numFmtId="167" formatCode="dd/mm/yy;@"/>
      <protection locked="0" hidden="0"/>
    </dxf>
    <dxf>
      <numFmt numFmtId="167" formatCode="dd/mm/yy;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59FAB-1D5E-47D5-9B25-4DE02C00BF27}" name="CmpLingote" displayName="CmpLingote" ref="A12:D33" totalsRowCount="1" headerRowDxfId="163" dataDxfId="162" totalsRowDxfId="161">
  <tableColumns count="4">
    <tableColumn id="1" xr3:uid="{0F760D46-C7E5-4431-9869-035A897CF40B}" name="Data" dataDxfId="159" totalsRowDxfId="160"/>
    <tableColumn id="2" xr3:uid="{8CC5EE8A-636C-446D-8553-9F96CB29721F}" name="Qtde Aluminio" totalsRowFunction="sum" dataDxfId="157" totalsRowDxfId="158"/>
    <tableColumn id="4" xr3:uid="{994C278C-2FAA-49D0-ADD9-4A3DF82CBF34}" name="Custo/Kg Alumínio" dataDxfId="155" totalsRowDxfId="156" dataCellStyle="Moeda"/>
    <tableColumn id="3" xr3:uid="{0FDD7CE9-C095-482A-B222-FC52559BF872}" name="Total" totalsRowFunction="sum" dataDxfId="153" totalsRowDxfId="154" dataCellStyle="Moeda">
      <calculatedColumnFormula>CmpLingote[[#This Row],[Custo/Kg Alumínio]]*CmpLingote[[#This Row],[Qtde Aluminio]]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56D29E-C0F9-42C1-ADB4-DEFC8F5A5225}" name="CompraOleo" displayName="CompraOleo" ref="K12:N33" totalsRowCount="1" headerRowDxfId="152" dataDxfId="151" totalsRowDxfId="150">
  <tableColumns count="4">
    <tableColumn id="1" xr3:uid="{96BD5D12-BD22-4529-8B1F-213687F16F74}" name="Data" dataDxfId="148" totalsRowDxfId="149"/>
    <tableColumn id="2" xr3:uid="{11382C9C-2A8C-4930-8327-D24F039C2A03}" name="QTDE OLEO" totalsRowFunction="sum" dataDxfId="146" totalsRowDxfId="147"/>
    <tableColumn id="4" xr3:uid="{240E0F11-6615-47FD-88AB-842103307D23}" name="CUSTO / L" totalsRowFunction="average" dataDxfId="144" totalsRowDxfId="145" dataCellStyle="Moeda"/>
    <tableColumn id="3" xr3:uid="{F1A41D09-7F38-40F8-B379-2A7D24DDE37A}" name="Total" totalsRowFunction="sum" dataDxfId="142" totalsRowDxfId="143" dataCellStyle="Moeda">
      <calculatedColumnFormula>CompraOleo[[#This Row],[CUSTO / L]]*CompraOleo[[#This Row],[QTDE OLEO]]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9C28E1-A177-41C5-8F4E-FD76A4BC1865}" name="Tabela8" displayName="Tabela8" ref="A2:D7" totalsRowCount="1" headerRowDxfId="141" dataDxfId="140" totalsRowDxfId="139">
  <tableColumns count="4">
    <tableColumn id="1" xr3:uid="{DF2C1229-C403-446D-84A1-87EDFA4C55D9}" name="Descrição" totalsRowLabel="TOTAL" dataDxfId="138"/>
    <tableColumn id="2" xr3:uid="{C86959C5-D9F7-46B5-A53B-60077ED9B1EE}" name="Qtde Total Compra" dataDxfId="137">
      <calculatedColumnFormula>CompraOleo[[#Totals],[QTDE OLEO]]</calculatedColumnFormula>
    </tableColumn>
    <tableColumn id="3" xr3:uid="{33741890-52D6-4052-B70E-51E44DBC3723}" name="Valor Total" totalsRowFunction="sum" dataDxfId="135" totalsRowDxfId="136" dataCellStyle="Moeda">
      <calculatedColumnFormula>CompraOleo[[#Totals],[Total]]</calculatedColumnFormula>
    </tableColumn>
    <tableColumn id="4" xr3:uid="{ED801F44-02C5-456D-ACC2-A06E8361FD2B}" name="Custo Médio" dataDxfId="133" totalsRowDxfId="134" dataCellStyle="Moeda">
      <calculatedColumnFormula>C3/B3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318076-0FA7-4FCB-8A6E-042824573710}" name="CmpSucata" displayName="CmpSucata" ref="F12:I33" totalsRowCount="1" headerRowDxfId="132" dataDxfId="131" totalsRowDxfId="130">
  <tableColumns count="4">
    <tableColumn id="1" xr3:uid="{32A4D71F-F246-4218-970E-DAE21A69BF2E}" name="Data" dataDxfId="128" totalsRowDxfId="129"/>
    <tableColumn id="2" xr3:uid="{B6A2340B-2BF1-45BA-99A1-2F6F55B8AFED}" name="Qtde Aluminio" totalsRowFunction="sum" dataDxfId="126" totalsRowDxfId="127"/>
    <tableColumn id="4" xr3:uid="{2FC817B8-B978-4A5B-8A8F-B2FF0E6115B7}" name="Custo/Kg Alumínio" dataDxfId="124" totalsRowDxfId="125" dataCellStyle="Moeda"/>
    <tableColumn id="3" xr3:uid="{611A6850-D4AA-451A-BAD2-1C82EEF485D2}" name="Total" totalsRowFunction="sum" dataDxfId="122" totalsRowDxfId="123" dataCellStyle="Moeda">
      <calculatedColumnFormula>CmpSucata[[#This Row],[Custo/Kg Alumínio]]*CmpSucata[[#This Row],[Qtde Aluminio]]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C63692-E003-40E5-A081-D163F6EAD7BE}" name="CompraInsumos" displayName="CompraInsumos" ref="P12:Q27" totalsRowCount="1" headerRowDxfId="121" dataDxfId="120" totalsRowDxfId="119">
  <tableColumns count="2">
    <tableColumn id="1" xr3:uid="{02E61487-2995-43C3-B64B-15F48F5D6686}" name="Data" dataDxfId="117" totalsRowDxfId="118"/>
    <tableColumn id="3" xr3:uid="{E8692B16-90DE-47BB-B3D0-FF7ABF88F9D8}" name="Total" totalsRowFunction="sum" dataDxfId="115" totalsRowDxfId="116" dataCellStyle="Moeda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B90B7F-FC43-4F60-92BC-ECABE2A131F7}" name="Tabela461213" displayName="Tabela461213" ref="S12:T26" totalsRowCount="1" headerRowDxfId="114" dataDxfId="113" totalsRowDxfId="112">
  <tableColumns count="2">
    <tableColumn id="1" xr3:uid="{CED26FA7-4EBF-4B3E-B8AF-E8134B20691B}" name="Data" dataDxfId="110" totalsRowDxfId="111"/>
    <tableColumn id="3" xr3:uid="{FD0D9235-51C9-49DD-943B-917DE8CC07BD}" name="Total" totalsRowFunction="average" dataDxfId="108" totalsRowDxfId="109" dataCellStyle="Moeda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FF3A1-F221-4E3F-9D28-7AB458063082}" name="Tabela1" displayName="Tabela1" ref="A1:E11" totalsRowShown="0" headerRowDxfId="107">
  <tableColumns count="5">
    <tableColumn id="1" xr3:uid="{55176C46-0942-4D23-B6D1-0D92C53909F2}" name="Nome" dataDxfId="106"/>
    <tableColumn id="2" xr3:uid="{A2FCDABB-B1FB-44C1-9D36-4F8F6F549F50}" name="Função" dataDxfId="105"/>
    <tableColumn id="4" xr3:uid="{4D38B57E-2EAB-4A17-9EED-33B1429FA74E}" name="Salário" dataDxfId="104" dataCellStyle="Moeda"/>
    <tableColumn id="3" xr3:uid="{F7795EA6-4FA3-44E5-857D-F0CFC0B0E3AD}" name="Cartão" dataDxfId="103" dataCellStyle="Moeda"/>
    <tableColumn id="5" xr3:uid="{633763BC-7399-4CF4-B13F-E6A3A8D2D6D3}" name="Custo/h" dataDxfId="102">
      <calculatedColumnFormula>(Tabela1[[#This Row],[Salário]]*1.45+Tabela1[[#This Row],[Cartão]])/180*1.05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31E36-95C5-4BAB-B7F6-DC0EB27E09B7}" name="Tabela2" displayName="Tabela2" ref="A1:O201" totalsRowShown="0" headerRowDxfId="101" dataDxfId="100">
  <autoFilter ref="A1:O201" xr:uid="{25E31E36-95C5-4BAB-B7F6-DC0EB27E09B7}"/>
  <sortState xmlns:xlrd2="http://schemas.microsoft.com/office/spreadsheetml/2017/richdata2" ref="A2:O201">
    <sortCondition ref="A1:A201"/>
  </sortState>
  <tableColumns count="15">
    <tableColumn id="2" xr3:uid="{2E877516-0432-4222-9A92-51F9DBAD6795}" name="Cód Placa - Descrição" dataDxfId="99"/>
    <tableColumn id="3" xr3:uid="{30F564A2-3507-45C5-9C28-B34527D96CF6}" name="Qdt Peça Placa" dataDxfId="98"/>
    <tableColumn id="4" xr3:uid="{A4364744-7BA8-4508-A32D-FC5229A89AC8}" name="Peso Pç" dataDxfId="97"/>
    <tableColumn id="5" xr3:uid="{6DB4216B-856B-49C1-9391-9A1FCE3D13AB}" name="Peso Total Galho" dataDxfId="96"/>
    <tableColumn id="9" xr3:uid="{AB385C42-76D6-4400-9C50-8CB144C03D32}" name="Retorno" dataDxfId="95" dataCellStyle="Vírgula">
      <calculatedColumnFormula>((Tabela2[[#This Row],[Peso Total Galho]]-(Tabela2[[#This Row],[Peso Pç]]*Tabela2[[#This Row],[Qdt Peça Placa]]))*0.9)</calculatedColumnFormula>
    </tableColumn>
    <tableColumn id="6" xr3:uid="{6B23FD7F-1C99-443E-AB55-4770DA97DCCD}" name="Peso Caixa Areia" dataDxfId="94"/>
    <tableColumn id="7" xr3:uid="{58667516-2C09-485B-8C81-5D82886A5C85}" name="Qde macho / CX" dataDxfId="93"/>
    <tableColumn id="8" xr3:uid="{820D0A7B-370F-4946-BD95-29A0ACDF9F87}" name="Peso Macho" dataDxfId="92"/>
    <tableColumn id="11" xr3:uid="{3AB66556-ED49-4BFE-B421-3EE4885A7441}" name="Caixa Usada" dataDxfId="91"/>
    <tableColumn id="10" xr3:uid="{AABE5E92-2826-4FEE-92B2-98F8102C6BA3}" name="Cód Cx Macho" dataDxfId="90"/>
    <tableColumn id="12" xr3:uid="{F136D28E-9ED9-4293-88A6-93037FEB0282}" name="Cód Placa" dataDxfId="89"/>
    <tableColumn id="1" xr3:uid="{DC91E345-10D2-48B1-AFD1-504A3F408984}" name="Tipo de Material" dataDxfId="88"/>
    <tableColumn id="13" xr3:uid="{A0D8EA1A-A063-4E58-8BC7-6A0354D14163}" name="Prço/Kg" dataDxfId="87" dataCellStyle="Moeda">
      <calculatedColumnFormula>VLOOKUP(Tabela2[[#This Row],[Tipo de Material]],Dados!$P$2:$Q$4,2,FALSE)</calculatedColumnFormula>
    </tableColumn>
    <tableColumn id="14" xr3:uid="{E4C41E59-E184-4FD2-88A6-CAFF6EF9C5FD}" name="Cliente" dataDxfId="86"/>
    <tableColumn id="15" xr3:uid="{FDBF5158-95AD-4180-9492-53C38A8DC7AB}" name="Usinagem Pintura Outros" dataDxfId="85" dataCellStyle="Moeda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204BF2-E0B2-4BCF-848B-88349CF748BC}" name="Tabela3" displayName="Tabela3" ref="A1:AP1391" totalsRowShown="0" headerRowDxfId="84">
  <autoFilter ref="A1:AP1391" xr:uid="{BA204BF2-E0B2-4BCF-848B-88349CF748BC}"/>
  <tableColumns count="42">
    <tableColumn id="1" xr3:uid="{A86B3840-2B67-453E-AE2B-510A51F70A2C}" name="Data" dataDxfId="82" totalsRowDxfId="83"/>
    <tableColumn id="3" xr3:uid="{7DA03A71-16D3-4575-9344-99EA0BD5C00B}" name="Produto" dataDxfId="80" totalsRowDxfId="81"/>
    <tableColumn id="36" xr3:uid="{A1E1516C-F57E-47DC-B116-7913D4B4644E}" name="O.P." dataDxfId="78" totalsRowDxfId="79"/>
    <tableColumn id="2" xr3:uid="{FD01D86F-8AC9-4F61-8EEA-3EAF9B6C583F}" name="Moldador" dataDxfId="76" totalsRowDxfId="77"/>
    <tableColumn id="28" xr3:uid="{B0689716-591A-4C47-99DB-2A580A72306F}" name="Ajudante" dataDxfId="74" totalsRowDxfId="75"/>
    <tableColumn id="4" xr3:uid="{D88DD5D6-BE58-4BD1-A9E3-428833948ABB}" name="Qtde Cx Produzida" dataDxfId="72" totalsRowDxfId="73"/>
    <tableColumn id="12" xr3:uid="{82021C57-9BDF-474D-8F76-D24EFA6CC362}" name="Tempo" dataDxfId="70" totalsRowDxfId="71" dataCellStyle="Vírgula" totalsRowCellStyle="Vírgula"/>
    <tableColumn id="20" xr3:uid="{C79B7A16-2A2D-4961-890D-D92FEDD052A3}" name="Perda Pçs" dataDxfId="68" totalsRowDxfId="69" dataCellStyle="Vírgula" totalsRowCellStyle="Vírgula"/>
    <tableColumn id="34" xr3:uid="{32123AF8-FAD5-4AAF-9239-93BFCA8CE032}" name="Custo / Kg Util" dataDxfId="66" totalsRowDxfId="67" dataCellStyle="Moeda" totalsRowCellStyle="Moeda">
      <calculatedColumnFormula>IFERROR(Tabela3[[#This Row],[Custo Total]]/Tabela3[[#This Row],[Aluminio Util]],0)</calculatedColumnFormula>
    </tableColumn>
    <tableColumn id="5" xr3:uid="{49506025-4A71-4014-8A98-71F7DF37F479}" name="Custo / Pç" dataDxfId="64" totalsRowDxfId="65" dataCellStyle="Moeda" totalsRowCellStyle="Moeda">
      <calculatedColumnFormula>Tabela3[[#This Row],[Custo Total]]/Tabela3[[#This Row],[Realizado]]</calculatedColumnFormula>
    </tableColumn>
    <tableColumn id="14" xr3:uid="{B08F9918-D879-4B2F-A6E3-39BE7E316B3A}" name="Cx/H" dataDxfId="62" totalsRowDxfId="63" dataCellStyle="Vírgula" totalsRowCellStyle="Vírgula">
      <calculatedColumnFormula>IFERROR(Tabela3[[#This Row],[Qtde Cx Produzida]]/Tabela3[[#This Row],[Tempo]]/24,0)</calculatedColumnFormula>
    </tableColumn>
    <tableColumn id="21" xr3:uid="{0E6E9628-5A22-48DF-AEC5-950BFF30048D}" name="Previsto" dataDxfId="60" totalsRowDxfId="61" dataCellStyle="Vírgula" totalsRowCellStyle="Vírgula">
      <calculatedColumnFormula>Tabela3[[#This Row],[Qtde Cx Produzida]]*Tabela3[[#This Row],[Qdt Peça Placa]]</calculatedColumnFormula>
    </tableColumn>
    <tableColumn id="37" xr3:uid="{A0864DE7-D46A-495D-A015-8E2708180094}" name="Realizado" dataDxfId="58" totalsRowDxfId="59" dataCellStyle="Vírgula" totalsRowCellStyle="Vírgula">
      <calculatedColumnFormula>Tabela3[[#This Row],[Previsto]]-Tabela3[[#This Row],[Perda Pçs]]</calculatedColumnFormula>
    </tableColumn>
    <tableColumn id="41" xr3:uid="{4AC0C999-0857-4CD0-B422-FE563B7C225F}" name="% Perda" dataDxfId="56" totalsRowDxfId="57" dataCellStyle="Porcentagem" totalsRowCellStyle="Porcentagem">
      <calculatedColumnFormula>IFERROR(Tabela3[[#This Row],[Perda Pçs]]/Tabela3[[#This Row],[Previsto]],0)</calculatedColumnFormula>
    </tableColumn>
    <tableColumn id="13" xr3:uid="{E665AF29-9498-4778-A91C-F9A9058D4713}" name="Tempo / Cx" dataDxfId="54" totalsRowDxfId="55" dataCellStyle="Vírgula" totalsRowCellStyle="Vírgula">
      <calculatedColumnFormula>IFERROR(IF(Tabela3[[#This Row],[Qtde Cx Produzida]] &lt;&gt; 0, Tabela3[[#This Row],[Tempo]] / Tabela3[[#This Row],[Qtde Cx Produzida]], 0),0)</calculatedColumnFormula>
    </tableColumn>
    <tableColumn id="18" xr3:uid="{8FF32F2D-3FB1-4CF2-9DD6-2F9BB82BA189}" name="Cx Perdida" dataDxfId="52" totalsRowDxfId="53" dataCellStyle="Vírgula" totalsRowCellStyle="Vírgula">
      <calculatedColumnFormula>IFERROR(Tabela3[[#This Row],[Perda Pçs]]/Tabela3[[#This Row],[Qdt Peça Placa]],0)</calculatedColumnFormula>
    </tableColumn>
    <tableColumn id="23" xr3:uid="{385D8FC6-DCE3-40E6-A376-445843F393B7}" name="Aluminio Util" dataDxfId="50" totalsRowDxfId="51" dataCellStyle="Vírgula" totalsRowCellStyle="Vírgula">
      <calculatedColumnFormula>IFERROR(Tabela3[[#This Row],[Realizado]]*Tabela3[[#This Row],[Peso Util/Pç]],0)</calculatedColumnFormula>
    </tableColumn>
    <tableColumn id="24" xr3:uid="{3DD2874C-1A81-4808-8332-84C168D3DFA1}" name="Aluminio Bruto" dataDxfId="48" totalsRowDxfId="49" dataCellStyle="Vírgula" totalsRowCellStyle="Vírgula">
      <calculatedColumnFormula>IFERROR(Tabela3[[#This Row],[Peso Total Galho]]*Tabela3[[#This Row],[Qtde Cx Produzida]]*1.055,0)</calculatedColumnFormula>
    </tableColumn>
    <tableColumn id="25" xr3:uid="{EFCF0C80-CA76-46AD-BB93-6465B1F36A4D}" name="Retorno Aluminio" dataDxfId="46" totalsRowDxfId="47" dataCellStyle="Vírgula" totalsRowCellStyle="Vírgula">
      <calculatedColumnFormula>(Tabela3[[#This Row],[Aluminio Bruto]]-Tabela3[[#This Row],[Aluminio Util]])*0.9</calculatedColumnFormula>
    </tableColumn>
    <tableColumn id="27" xr3:uid="{D191D36A-0FE0-4CE2-95C3-1BF4E922E2E4}" name="Qtde Oleo" dataDxfId="44" totalsRowDxfId="45" dataCellStyle="Vírgula" totalsRowCellStyle="Vírgula">
      <calculatedColumnFormula>Tabela3[[#This Row],[Aluminio Bruto]]/OleoKGAluminio</calculatedColumnFormula>
    </tableColumn>
    <tableColumn id="29" xr3:uid="{1ED79DD5-EF84-44D1-AF3B-90E6CCE66866}" name="Custo M.O. / H" dataDxfId="42" totalsRowDxfId="43" dataCellStyle="Moeda" totalsRowCellStyle="Moeda">
      <calculatedColumnFormula>IFERROR((VLOOKUP(Tabela3[[#This Row],[Moldador]],Tabela1[],5,)+(VLOOKUP(Tabela3[[#This Row],[Ajudante]],Tabela1[],5,))*3.5),0)</calculatedColumnFormula>
    </tableColumn>
    <tableColumn id="38" xr3:uid="{C89C0335-B21D-405A-8659-56910EFE1F76}" name="Custo / Cx Moldada" dataDxfId="40" totalsRowDxfId="41" dataCellStyle="Moeda" totalsRowCellStyle="Moeda">
      <calculatedColumnFormula>IFERROR(Tabela3[[#This Row],[Custo M.O. / H]]/((Tabela3[[#This Row],[Realizado]]/Tabela3[[#This Row],[Qdt Peça Placa]])/Tabela3[[#This Row],[Tempo]]/24),)</calculatedColumnFormula>
    </tableColumn>
    <tableColumn id="30" xr3:uid="{23CC484C-2C7D-481B-BF82-30C37E0FB6E4}" name="Custo M.O. Total" dataDxfId="38" totalsRowDxfId="39" dataCellStyle="Moeda" totalsRowCellStyle="Moeda">
      <calculatedColumnFormula>Tabela3[[#This Row],[Custo / Cx Moldada]]*Tabela3[[#This Row],[Qtde Cx Produzida]]</calculatedColumnFormula>
    </tableColumn>
    <tableColumn id="31" xr3:uid="{830B78E7-B5CA-449E-A495-312C26561817}" name="Custo Aluminio" dataDxfId="36" totalsRowDxfId="37" dataCellStyle="Moeda" totalsRowCellStyle="Moeda">
      <calculatedColumnFormula>Tabela3[[#This Row],[Aluminio Util]]*Tabela3[[#This Row],[Custo/Kg]]</calculatedColumnFormula>
    </tableColumn>
    <tableColumn id="40" xr3:uid="{AA86BF81-3F23-4080-88B2-EEE839A7191D}" name="Custo Machos" dataDxfId="34" totalsRowDxfId="35" dataCellStyle="Moeda" totalsRowCellStyle="Moeda">
      <calculatedColumnFormula>IFERROR(VLOOKUP(Tabela3[[#This Row],[Data]],Tabela461213[],2,1)*(Tabela3[[#This Row],[Qtde Cx Produzida]]*Tabela3[[#This Row],[Qde macho / CX]]*Tabela3[[#This Row],[Peso Macho]]),)</calculatedColumnFormula>
    </tableColumn>
    <tableColumn id="32" xr3:uid="{58945A51-B441-43EB-8D4D-7B2A868B6319}" name="Custo Oleo" dataDxfId="32" totalsRowDxfId="33" dataCellStyle="Moeda" totalsRowCellStyle="Moeda">
      <calculatedColumnFormula>IFERROR(Tabela3[[#This Row],[Qtde Oleo]]*(VLOOKUP(Tabela3[[#This Row],[Data]],CompraOleo[],3,TRUE))*1.05,0)</calculatedColumnFormula>
    </tableColumn>
    <tableColumn id="33" xr3:uid="{9B2CF910-610A-40DB-BF2A-1AE7C6D95A69}" name="Custo Total" dataDxfId="30" totalsRowDxfId="31" dataCellStyle="Vírgula" totalsRowCellStyle="Vírgula">
      <calculatedColumnFormula>(Tabela3[[#This Row],[Custo Oleo]]+Tabela3[[#This Row],[Custo Aluminio]]+Tabela3[[#This Row],[Custo M.O. Total]]+Tabela3[[#This Row],[Custo Machos]])</calculatedColumnFormula>
    </tableColumn>
    <tableColumn id="6" xr3:uid="{E76FA01E-F447-420F-AB3A-E5A3D4DA1606}" name="Custo da Perda" dataDxfId="28" totalsRowDxfId="29" dataCellStyle="Vírgula" totalsRowCellStyle="Vírgula">
      <calculatedColumnFormula>Tabela3[[#This Row],[Custo Total]]*Tabela3[[#This Row],[% Perda]]</calculatedColumnFormula>
    </tableColumn>
    <tableColumn id="15" xr3:uid="{C3695ADC-F1C5-48E9-B337-A4321C3B3DA0}" name="Qdt Peça Placa" dataDxfId="26" totalsRowDxfId="27" totalsRowCellStyle="Moeda">
      <calculatedColumnFormula>IFERROR(VLOOKUP(Tabela3[[#This Row],[Produto]],Tabela2[],2,0),0)</calculatedColumnFormula>
    </tableColumn>
    <tableColumn id="7" xr3:uid="{D19A1B6C-32AD-4289-8738-85BA747084B0}" name="Peso Util/Pç" dataDxfId="24" totalsRowDxfId="25" totalsRowCellStyle="Moeda">
      <calculatedColumnFormula>IFERROR(VLOOKUP(Tabela3[[#This Row],[Produto]],Tabela2[],3,0),0)</calculatedColumnFormula>
    </tableColumn>
    <tableColumn id="8" xr3:uid="{2547CCA6-32CF-443F-958E-E5F5A610E84D}" name="Peso Total Galho" dataDxfId="22" totalsRowDxfId="23" totalsRowCellStyle="Moeda">
      <calculatedColumnFormula>IFERROR(VLOOKUP(Tabela3[[#This Row],[Produto]],Tabela2[],4,0),0)</calculatedColumnFormula>
    </tableColumn>
    <tableColumn id="9" xr3:uid="{CA7F6DB6-83DF-4395-B502-4924C1BAFC12}" name="Canal Retorno" dataDxfId="20" totalsRowDxfId="21" totalsRowCellStyle="Moeda">
      <calculatedColumnFormula>IFERROR(VLOOKUP(Tabela3[[#This Row],[Produto]],Tabela2[],5,0),0)</calculatedColumnFormula>
    </tableColumn>
    <tableColumn id="11" xr3:uid="{B627A76F-C95B-44D0-A9B9-467424692D29}" name="Peso Caixa Areia" dataDxfId="18" totalsRowDxfId="19">
      <calculatedColumnFormula>IFERROR(VLOOKUP(Tabela3[[#This Row],[Produto]],Tabela2[],6,0),0)</calculatedColumnFormula>
    </tableColumn>
    <tableColumn id="19" xr3:uid="{DA48DA80-FDDE-4F5C-8BAC-FFB9698395AF}" name="Qde macho / CX" dataDxfId="16" totalsRowDxfId="17">
      <calculatedColumnFormula>IFERROR(VLOOKUP(Tabela3[[#This Row],[Produto]],Tabela2[],7,0),0)</calculatedColumnFormula>
    </tableColumn>
    <tableColumn id="39" xr3:uid="{512295C5-D11B-4E4B-81BF-E4DC58AD2B6E}" name="Peso Macho" dataDxfId="14" totalsRowDxfId="15">
      <calculatedColumnFormula>IFERROR(VLOOKUP(Tabela3[[#This Row],[Produto]],Tabela2[],8,0),0)</calculatedColumnFormula>
    </tableColumn>
    <tableColumn id="10" xr3:uid="{8B5CE225-A690-456F-AF43-7DBFF39A5964}" name="Custo/Kg" dataDxfId="12" totalsRowDxfId="13" dataCellStyle="Moeda" totalsRowCellStyle="Moeda">
      <calculatedColumnFormula>IFERROR(VLOOKUP(Tabela3[[#This Row],[Produto]],Tabela2[],13,0),0)</calculatedColumnFormula>
    </tableColumn>
    <tableColumn id="35" xr3:uid="{2F6AE571-8C5F-4C56-8AD2-3A8BA08AF466}" name="Cliente" dataDxfId="10" totalsRowDxfId="11">
      <calculatedColumnFormula>IFERROR(VLOOKUP(Tabela3[[#This Row],[Produto]],Tabela2[],14,0),0)</calculatedColumnFormula>
    </tableColumn>
    <tableColumn id="42" xr3:uid="{05E17199-0E84-40E4-B1D2-39BEB4F03382}" name="Custo Usinagem" dataDxfId="8" totalsRowDxfId="9">
      <calculatedColumnFormula>IFERROR(VLOOKUP(Tabela3[[#This Row],[Produto]],Tabela2[],15,0),0)</calculatedColumnFormula>
    </tableColumn>
    <tableColumn id="43" xr3:uid="{8DBB2B0A-5993-4372-AEC7-90B9800F5358}" name="Valor Mínimo Venda" dataDxfId="6" totalsRowDxfId="7">
      <calculatedColumnFormula>(Tabela3[[#This Row],[Custo Usinagem]]+Tabela3[[#This Row],[Custo / Pç]])*1.2</calculatedColumnFormula>
    </tableColumn>
    <tableColumn id="26" xr3:uid="{3FB31F58-A6E6-413B-A12E-352462C8298F}" name="Tabela 1" dataDxfId="4" totalsRowDxfId="5">
      <calculatedColumnFormula>Tabela3[[#This Row],[Valor Mínimo Venda]]*1.15</calculatedColumnFormula>
    </tableColumn>
    <tableColumn id="22" xr3:uid="{DE7B4AC3-C0B6-42C8-AC3B-A7A91A6FACD1}" name="Tabela 2" dataDxfId="2" totalsRowDxfId="3">
      <calculatedColumnFormula>Tabela3[[#This Row],[Tabela 1]]*1.08</calculatedColumnFormula>
    </tableColumn>
    <tableColumn id="16" xr3:uid="{F60029A3-6D82-405C-9A19-E2790F34779A}" name="Tabela 3" dataDxfId="0" totalsRowDxfId="1">
      <calculatedColumnFormula>Tabela3[[#This Row],[Tabela 2]]*1.15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0667-3079-4520-80BB-97464FBD6DAE}">
  <dimension ref="A1:T145"/>
  <sheetViews>
    <sheetView topLeftCell="A17" zoomScaleNormal="100" workbookViewId="0">
      <selection activeCell="K36" sqref="K36"/>
    </sheetView>
  </sheetViews>
  <sheetFormatPr defaultRowHeight="15"/>
  <cols>
    <col min="1" max="1" width="10.42578125" style="3" bestFit="1" customWidth="1"/>
    <col min="2" max="2" width="18.140625" bestFit="1" customWidth="1"/>
    <col min="3" max="3" width="16" bestFit="1" customWidth="1"/>
    <col min="4" max="4" width="16.42578125" style="4" customWidth="1"/>
    <col min="5" max="5" width="1.5703125" customWidth="1"/>
    <col min="6" max="6" width="13.7109375" style="3" bestFit="1" customWidth="1"/>
    <col min="7" max="7" width="9" bestFit="1" customWidth="1"/>
    <col min="8" max="8" width="9.5703125" bestFit="1" customWidth="1"/>
    <col min="9" max="9" width="16.42578125" style="4" customWidth="1"/>
    <col min="10" max="10" width="1.5703125" customWidth="1"/>
    <col min="11" max="11" width="10.42578125" style="3" bestFit="1" customWidth="1"/>
    <col min="12" max="12" width="9" bestFit="1" customWidth="1"/>
    <col min="13" max="13" width="12" customWidth="1"/>
    <col min="14" max="14" width="15.85546875" style="4" bestFit="1" customWidth="1"/>
    <col min="15" max="15" width="1.5703125" customWidth="1"/>
    <col min="16" max="16" width="10.85546875" customWidth="1"/>
    <col min="17" max="17" width="14" style="4" customWidth="1"/>
    <col min="18" max="18" width="1.5703125" customWidth="1"/>
    <col min="20" max="20" width="12.28515625" bestFit="1" customWidth="1"/>
  </cols>
  <sheetData>
    <row r="1" spans="1:20" ht="16.5" thickBot="1">
      <c r="A1" s="95" t="s">
        <v>0</v>
      </c>
      <c r="B1" s="96"/>
      <c r="C1" s="96"/>
      <c r="D1" s="97"/>
      <c r="F1" s="92" t="s">
        <v>1</v>
      </c>
      <c r="G1" s="93"/>
      <c r="H1" s="93"/>
      <c r="I1" s="94"/>
      <c r="K1" s="92" t="s">
        <v>2</v>
      </c>
      <c r="L1" s="93"/>
      <c r="M1" s="93"/>
      <c r="N1" s="94"/>
      <c r="P1" s="59" t="s">
        <v>3</v>
      </c>
      <c r="Q1" s="60" t="s">
        <v>4</v>
      </c>
    </row>
    <row r="2" spans="1:20">
      <c r="A2" t="s">
        <v>5</v>
      </c>
      <c r="B2" t="s">
        <v>6</v>
      </c>
      <c r="C2" s="20" t="s">
        <v>7</v>
      </c>
      <c r="D2" s="20" t="s">
        <v>8</v>
      </c>
      <c r="F2" s="82" t="s">
        <v>9</v>
      </c>
      <c r="G2" s="83"/>
      <c r="H2" s="84"/>
      <c r="I2" s="21">
        <f>CmpLingote[[#Totals],[Qtde Aluminio]]+CmpSucata[[#Totals],[Qtde Aluminio]]</f>
        <v>73689.100000000006</v>
      </c>
      <c r="K2" s="82" t="s">
        <v>10</v>
      </c>
      <c r="L2" s="83"/>
      <c r="M2" s="84"/>
      <c r="N2" s="22">
        <f>Tabela8[[#Totals],[Valor Total]]</f>
        <v>1039745.59</v>
      </c>
      <c r="P2" s="61" t="s">
        <v>11</v>
      </c>
      <c r="Q2" s="62">
        <f ca="1">(VLOOKUP(TODAY(),CmpLingote[],3,TRUE))*1.1</f>
        <v>17.600000000000001</v>
      </c>
    </row>
    <row r="3" spans="1:20">
      <c r="A3" t="s">
        <v>11</v>
      </c>
      <c r="B3">
        <f>CmpLingote[[#Totals],[Qtde Aluminio]]</f>
        <v>20524.8</v>
      </c>
      <c r="C3" s="20">
        <f>CmpLingote[[#Totals],[Total]]</f>
        <v>400378.85</v>
      </c>
      <c r="D3" s="20">
        <f>Tabela8[[#This Row],[Valor Total]]/(Tabela8[[#This Row],[Qtde Total Compra]]*0.9)</f>
        <v>21.674529782940095</v>
      </c>
      <c r="F3" s="85" t="s">
        <v>12</v>
      </c>
      <c r="G3" s="86"/>
      <c r="H3" s="87"/>
      <c r="I3" s="23">
        <f>CompraOleo[[#Totals],[QTDE OLEO]]</f>
        <v>34101</v>
      </c>
      <c r="K3" s="85" t="s">
        <v>13</v>
      </c>
      <c r="L3" s="86"/>
      <c r="M3" s="87"/>
      <c r="N3" s="23">
        <f>Tabela8[[#This Row],[Qtde Total Compra]]*0.9+B4*0.65</f>
        <v>53029.115000000005</v>
      </c>
      <c r="P3" s="61" t="s">
        <v>14</v>
      </c>
      <c r="Q3" s="62">
        <f ca="1">(VLOOKUP(TODAY(),CmpSucata[],3,TRUE))*1.3</f>
        <v>15.600000000000001</v>
      </c>
    </row>
    <row r="4" spans="1:20" ht="15.75" thickBot="1">
      <c r="A4" t="s">
        <v>14</v>
      </c>
      <c r="B4">
        <f>CmpSucata[[#Totals],[Qtde Aluminio]]</f>
        <v>53164.3</v>
      </c>
      <c r="C4" s="20">
        <f>CmpSucata[[#Totals],[Total]]</f>
        <v>542763.24</v>
      </c>
      <c r="D4" s="20">
        <f>Tabela8[[#This Row],[Valor Total]]/(Tabela8[[#This Row],[Qtde Total Compra]]*0.7)</f>
        <v>14.584524900033614</v>
      </c>
      <c r="F4" s="85" t="s">
        <v>15</v>
      </c>
      <c r="G4" s="86"/>
      <c r="H4" s="87"/>
      <c r="I4" s="23">
        <f>I2/I3*1.1</f>
        <v>2.3769980352482336</v>
      </c>
      <c r="K4" s="88" t="s">
        <v>16</v>
      </c>
      <c r="L4" s="89"/>
      <c r="M4" s="90"/>
      <c r="N4" s="24">
        <f>N2/N3</f>
        <v>19.607070380110997</v>
      </c>
      <c r="P4" s="63" t="s">
        <v>17</v>
      </c>
      <c r="Q4" s="64">
        <f ca="1">GEOMEAN(Q2:Q3)</f>
        <v>16.569852141766386</v>
      </c>
    </row>
    <row r="5" spans="1:20" ht="15.75" thickBot="1">
      <c r="A5" t="s">
        <v>18</v>
      </c>
      <c r="B5">
        <f>CompraOleo[[#Totals],[QTDE OLEO]]</f>
        <v>34101</v>
      </c>
      <c r="C5" s="20">
        <f>CompraOleo[[#Totals],[Total]]</f>
        <v>85252.5</v>
      </c>
      <c r="D5" s="20">
        <f>Tabela8[[#This Row],[Valor Total]]/(Tabela8[[#This Row],[Qtde Total Compra]]*0.95)</f>
        <v>2.6315789473684212</v>
      </c>
      <c r="F5" s="85" t="s">
        <v>19</v>
      </c>
      <c r="G5" s="86"/>
      <c r="H5" s="87"/>
      <c r="I5" s="25">
        <v>180</v>
      </c>
      <c r="K5" s="91"/>
      <c r="L5" s="91"/>
      <c r="M5" s="91"/>
      <c r="N5" s="27"/>
      <c r="P5" s="70" t="s">
        <v>20</v>
      </c>
      <c r="Q5" s="71">
        <v>22</v>
      </c>
    </row>
    <row r="6" spans="1:20">
      <c r="A6" t="s">
        <v>21</v>
      </c>
      <c r="C6" s="20">
        <f>CompraInsumos[[#Totals],[Total]]</f>
        <v>11351</v>
      </c>
      <c r="D6" s="20"/>
      <c r="F6" s="85" t="s">
        <v>22</v>
      </c>
      <c r="G6" s="86"/>
      <c r="H6" s="87"/>
      <c r="I6" s="25">
        <f>I5/I4</f>
        <v>75.725767262236005</v>
      </c>
      <c r="K6" s="91" t="s">
        <v>23</v>
      </c>
      <c r="L6" s="91"/>
      <c r="M6" s="91"/>
      <c r="N6" s="27">
        <f>CmpLingote[[#Totals],[Total]]/(CmpLingote[[#Totals],[Qtde Aluminio]]*0.9)</f>
        <v>21.674529782940095</v>
      </c>
      <c r="Q6" s="20"/>
    </row>
    <row r="7" spans="1:20">
      <c r="A7" t="s">
        <v>24</v>
      </c>
      <c r="C7" s="5">
        <f>SUBTOTAL(109,Tabela8[Valor Total])</f>
        <v>1039745.59</v>
      </c>
      <c r="D7" s="5"/>
      <c r="F7" s="85" t="s">
        <v>25</v>
      </c>
      <c r="G7" s="86"/>
      <c r="H7" s="87"/>
      <c r="I7" s="26">
        <f>I6*D5</f>
        <v>199.27833490062108</v>
      </c>
      <c r="K7" s="91" t="s">
        <v>26</v>
      </c>
      <c r="L7" s="91"/>
      <c r="M7" s="91"/>
      <c r="N7" s="27">
        <f>CmpSucata[[#Totals],[Total]]/(CmpSucata[[#Totals],[Qtde Aluminio]]*0.65)</f>
        <v>15.70641143080543</v>
      </c>
      <c r="Q7" s="20"/>
    </row>
    <row r="8" spans="1:20" ht="15.75" thickBot="1">
      <c r="A8"/>
      <c r="B8" s="19"/>
      <c r="C8" s="19"/>
      <c r="D8" s="19"/>
      <c r="F8" s="88" t="s">
        <v>27</v>
      </c>
      <c r="G8" s="89"/>
      <c r="H8" s="90"/>
      <c r="I8" s="24">
        <f>I7/I5</f>
        <v>1.1071018605590059</v>
      </c>
      <c r="K8" s="91"/>
      <c r="L8" s="91"/>
      <c r="M8" s="91"/>
      <c r="N8" s="27"/>
      <c r="Q8" s="20"/>
    </row>
    <row r="9" spans="1:20">
      <c r="A9"/>
      <c r="B9" s="19"/>
      <c r="C9" s="19"/>
      <c r="D9" s="19"/>
      <c r="I9" s="20"/>
      <c r="N9" s="20"/>
      <c r="Q9" s="20"/>
    </row>
    <row r="10" spans="1:20">
      <c r="D10" s="20"/>
      <c r="I10" s="20"/>
      <c r="N10" s="20"/>
      <c r="Q10" s="20"/>
    </row>
    <row r="11" spans="1:20">
      <c r="A11" s="81" t="s">
        <v>28</v>
      </c>
      <c r="B11" s="81"/>
      <c r="C11" s="81"/>
      <c r="D11" s="81"/>
      <c r="E11" s="6"/>
      <c r="F11" s="81" t="s">
        <v>29</v>
      </c>
      <c r="G11" s="81"/>
      <c r="H11" s="81"/>
      <c r="I11" s="81"/>
      <c r="J11" s="6"/>
      <c r="K11" s="81" t="s">
        <v>30</v>
      </c>
      <c r="L11" s="81"/>
      <c r="M11" s="81"/>
      <c r="N11" s="81"/>
      <c r="O11" s="6"/>
      <c r="P11" s="81" t="s">
        <v>31</v>
      </c>
      <c r="Q11" s="81"/>
      <c r="R11" s="6"/>
      <c r="S11" s="81" t="s">
        <v>32</v>
      </c>
      <c r="T11" s="81"/>
    </row>
    <row r="12" spans="1:20" s="2" customFormat="1" ht="30.75" customHeight="1">
      <c r="A12" s="10" t="s">
        <v>33</v>
      </c>
      <c r="B12" s="12" t="s">
        <v>34</v>
      </c>
      <c r="C12" s="12" t="s">
        <v>35</v>
      </c>
      <c r="D12" s="28" t="s">
        <v>36</v>
      </c>
      <c r="E12" s="12"/>
      <c r="F12" s="10" t="s">
        <v>33</v>
      </c>
      <c r="G12" s="12" t="s">
        <v>34</v>
      </c>
      <c r="H12" s="12" t="s">
        <v>35</v>
      </c>
      <c r="I12" s="28" t="s">
        <v>36</v>
      </c>
      <c r="J12" s="12"/>
      <c r="K12" s="10" t="s">
        <v>33</v>
      </c>
      <c r="L12" s="12" t="s">
        <v>37</v>
      </c>
      <c r="M12" s="12" t="s">
        <v>38</v>
      </c>
      <c r="N12" s="28" t="s">
        <v>36</v>
      </c>
      <c r="O12" s="12"/>
      <c r="P12" s="10" t="s">
        <v>33</v>
      </c>
      <c r="Q12" s="28" t="s">
        <v>36</v>
      </c>
      <c r="R12" s="12"/>
      <c r="S12" s="10" t="s">
        <v>33</v>
      </c>
      <c r="T12" s="28" t="s">
        <v>36</v>
      </c>
    </row>
    <row r="13" spans="1:20">
      <c r="A13" s="9">
        <v>45688</v>
      </c>
      <c r="B13" s="6">
        <v>6675.3</v>
      </c>
      <c r="C13" s="7">
        <v>16</v>
      </c>
      <c r="D13" s="7">
        <v>192328.4</v>
      </c>
      <c r="E13" s="6"/>
      <c r="F13" s="9">
        <v>45838</v>
      </c>
      <c r="G13" s="6">
        <v>20717.5</v>
      </c>
      <c r="H13" s="7">
        <v>10</v>
      </c>
      <c r="I13" s="7">
        <v>206393.59</v>
      </c>
      <c r="J13" s="6"/>
      <c r="K13" s="9">
        <v>45658</v>
      </c>
      <c r="L13" s="6">
        <v>1</v>
      </c>
      <c r="M13" s="7">
        <v>2.5</v>
      </c>
      <c r="N13" s="7">
        <f>CompraOleo[[#This Row],[CUSTO / L]]*CompraOleo[[#This Row],[QTDE OLEO]]</f>
        <v>2.5</v>
      </c>
      <c r="O13" s="6"/>
      <c r="P13" s="9">
        <v>45838</v>
      </c>
      <c r="Q13" s="7">
        <v>3417.5</v>
      </c>
      <c r="R13" s="6"/>
      <c r="S13" s="9">
        <v>45658</v>
      </c>
      <c r="T13" s="7">
        <v>1.5</v>
      </c>
    </row>
    <row r="14" spans="1:20">
      <c r="A14" s="9">
        <v>45930</v>
      </c>
      <c r="B14" s="6">
        <v>3804.5</v>
      </c>
      <c r="C14" s="7">
        <v>16</v>
      </c>
      <c r="D14" s="7">
        <v>56786.15</v>
      </c>
      <c r="E14" s="6"/>
      <c r="F14" s="9">
        <v>46295</v>
      </c>
      <c r="G14" s="6">
        <v>15683.8</v>
      </c>
      <c r="H14" s="7">
        <v>10</v>
      </c>
      <c r="I14" s="7">
        <v>155365.15</v>
      </c>
      <c r="J14" s="6"/>
      <c r="K14" s="9">
        <v>45838</v>
      </c>
      <c r="L14" s="6">
        <v>11900</v>
      </c>
      <c r="M14" s="7">
        <v>2.5</v>
      </c>
      <c r="N14" s="7">
        <f>CompraOleo[[#This Row],[CUSTO / L]]*CompraOleo[[#This Row],[QTDE OLEO]]</f>
        <v>29750</v>
      </c>
      <c r="O14" s="6"/>
      <c r="P14" s="9">
        <v>45930</v>
      </c>
      <c r="Q14" s="7">
        <v>3042.5</v>
      </c>
      <c r="R14" s="6"/>
      <c r="S14" s="9">
        <v>45748</v>
      </c>
      <c r="T14" s="7">
        <v>1.5</v>
      </c>
    </row>
    <row r="15" spans="1:20">
      <c r="A15" s="9">
        <v>45991</v>
      </c>
      <c r="B15" s="6">
        <v>1035</v>
      </c>
      <c r="C15" s="7">
        <v>14.7</v>
      </c>
      <c r="D15" s="7">
        <f>CmpLingote[[#This Row],[Custo/Kg Alumínio]]*CmpLingote[[#This Row],[Qtde Aluminio]]</f>
        <v>15214.5</v>
      </c>
      <c r="E15" s="6"/>
      <c r="F15" s="9">
        <v>45961</v>
      </c>
      <c r="G15" s="6">
        <v>3486</v>
      </c>
      <c r="H15" s="7">
        <v>10</v>
      </c>
      <c r="I15" s="7">
        <f>CmpSucata[[#This Row],[Custo/Kg Alumínio]]*CmpSucata[[#This Row],[Qtde Aluminio]]</f>
        <v>34860</v>
      </c>
      <c r="J15" s="6"/>
      <c r="K15" s="9">
        <v>45930</v>
      </c>
      <c r="L15" s="6">
        <v>7000</v>
      </c>
      <c r="M15" s="7">
        <v>2.5</v>
      </c>
      <c r="N15" s="7">
        <f>CompraOleo[[#This Row],[CUSTO / L]]*CompraOleo[[#This Row],[QTDE OLEO]]</f>
        <v>17500</v>
      </c>
      <c r="O15" s="6"/>
      <c r="P15" s="9">
        <v>45961</v>
      </c>
      <c r="Q15" s="7">
        <v>1305</v>
      </c>
      <c r="R15" s="6"/>
      <c r="S15" s="9">
        <v>45778</v>
      </c>
      <c r="T15" s="7">
        <v>1.5</v>
      </c>
    </row>
    <row r="16" spans="1:20">
      <c r="A16" s="9">
        <v>46022</v>
      </c>
      <c r="B16" s="6">
        <v>1003</v>
      </c>
      <c r="C16" s="7">
        <v>14.7</v>
      </c>
      <c r="D16" s="7">
        <f>CmpLingote[[#This Row],[Custo/Kg Alumínio]]*CmpLingote[[#This Row],[Qtde Aluminio]]</f>
        <v>14744.099999999999</v>
      </c>
      <c r="E16" s="6"/>
      <c r="F16" s="9">
        <v>45991</v>
      </c>
      <c r="G16" s="6">
        <v>3558</v>
      </c>
      <c r="H16" s="7">
        <v>10</v>
      </c>
      <c r="I16" s="7">
        <f>CmpSucata[[#This Row],[Qtde Aluminio]]*CmpSucata[[#This Row],[Custo/Kg Alumínio]]</f>
        <v>35580</v>
      </c>
      <c r="J16" s="6"/>
      <c r="K16" s="9">
        <v>45961</v>
      </c>
      <c r="L16" s="6">
        <v>2000</v>
      </c>
      <c r="M16" s="7">
        <v>2.5</v>
      </c>
      <c r="N16" s="7">
        <f>CompraOleo[[#This Row],[CUSTO / L]]*CompraOleo[[#This Row],[QTDE OLEO]]</f>
        <v>5000</v>
      </c>
      <c r="O16" s="6"/>
      <c r="P16" s="9">
        <v>45991</v>
      </c>
      <c r="Q16" s="7">
        <v>386</v>
      </c>
      <c r="R16" s="6"/>
      <c r="S16" s="9">
        <v>45809</v>
      </c>
      <c r="T16" s="7">
        <v>1.7</v>
      </c>
    </row>
    <row r="17" spans="1:20">
      <c r="A17" s="9">
        <v>46053</v>
      </c>
      <c r="B17" s="6">
        <v>1001</v>
      </c>
      <c r="C17" s="7">
        <v>14.7</v>
      </c>
      <c r="D17" s="7">
        <f>CmpLingote[[#This Row],[Custo/Kg Alumínio]]*CmpLingote[[#This Row],[Qtde Aluminio]]</f>
        <v>14714.699999999999</v>
      </c>
      <c r="E17" s="6"/>
      <c r="F17" s="9">
        <v>46022</v>
      </c>
      <c r="G17" s="6">
        <v>887</v>
      </c>
      <c r="H17" s="7">
        <v>10</v>
      </c>
      <c r="I17" s="7">
        <f>CmpSucata[[#This Row],[Custo/Kg Alumínio]]*CmpSucata[[#This Row],[Qtde Aluminio]]</f>
        <v>8870</v>
      </c>
      <c r="J17" s="6"/>
      <c r="K17" s="9">
        <v>45991</v>
      </c>
      <c r="L17" s="6">
        <v>2000</v>
      </c>
      <c r="M17" s="7">
        <v>2.5</v>
      </c>
      <c r="N17" s="7">
        <f>CompraOleo[[#This Row],[CUSTO / L]]*CompraOleo[[#This Row],[QTDE OLEO]]</f>
        <v>5000</v>
      </c>
      <c r="O17" s="6"/>
      <c r="P17" s="9">
        <v>46022</v>
      </c>
      <c r="Q17" s="7">
        <v>305</v>
      </c>
      <c r="R17" s="6"/>
      <c r="S17" s="9"/>
      <c r="T17" s="7"/>
    </row>
    <row r="18" spans="1:20">
      <c r="A18" s="9">
        <v>46063</v>
      </c>
      <c r="B18" s="6">
        <v>1000</v>
      </c>
      <c r="C18" s="7">
        <v>15</v>
      </c>
      <c r="D18" s="7">
        <f>CmpLingote[[#This Row],[Custo/Kg Alumínio]]*CmpLingote[[#This Row],[Qtde Aluminio]]</f>
        <v>15000</v>
      </c>
      <c r="E18" s="6"/>
      <c r="F18" s="9">
        <v>46053</v>
      </c>
      <c r="G18" s="6">
        <v>2357.5</v>
      </c>
      <c r="H18" s="7">
        <v>12</v>
      </c>
      <c r="I18" s="7">
        <f>CmpSucata[[#This Row],[Custo/Kg Alumínio]]*CmpSucata[[#This Row],[Qtde Aluminio]]</f>
        <v>28290</v>
      </c>
      <c r="J18" s="6"/>
      <c r="K18" s="9">
        <v>46022</v>
      </c>
      <c r="L18" s="6">
        <v>1000</v>
      </c>
      <c r="M18" s="7">
        <v>2.5</v>
      </c>
      <c r="N18" s="7">
        <f>CompraOleo[[#This Row],[CUSTO / L]]*CompraOleo[[#This Row],[QTDE OLEO]]</f>
        <v>2500</v>
      </c>
      <c r="O18" s="6"/>
      <c r="P18" s="9">
        <v>46053</v>
      </c>
      <c r="Q18" s="7">
        <f>500+295</f>
        <v>795</v>
      </c>
      <c r="R18" s="6"/>
      <c r="S18" s="9"/>
      <c r="T18" s="7"/>
    </row>
    <row r="19" spans="1:20">
      <c r="A19" s="9">
        <v>46083</v>
      </c>
      <c r="B19" s="6">
        <v>1004</v>
      </c>
      <c r="C19" s="7">
        <v>15</v>
      </c>
      <c r="D19" s="7">
        <f>CmpLingote[[#This Row],[Custo/Kg Alumínio]]*CmpLingote[[#This Row],[Qtde Aluminio]]</f>
        <v>15060</v>
      </c>
      <c r="E19" s="6"/>
      <c r="F19" s="9">
        <v>46066</v>
      </c>
      <c r="G19" s="6">
        <f>600+474+427</f>
        <v>1501</v>
      </c>
      <c r="H19" s="7">
        <v>11</v>
      </c>
      <c r="I19" s="7">
        <f>CmpSucata[[#This Row],[Custo/Kg Alumínio]]*CmpSucata[[#This Row],[Qtde Aluminio]]</f>
        <v>16511</v>
      </c>
      <c r="J19" s="6"/>
      <c r="K19" s="9">
        <v>46053</v>
      </c>
      <c r="L19" s="6">
        <v>1000</v>
      </c>
      <c r="M19" s="7">
        <v>2.5</v>
      </c>
      <c r="N19" s="7">
        <f>CompraOleo[[#This Row],[CUSTO / L]]*CompraOleo[[#This Row],[QTDE OLEO]]</f>
        <v>2500</v>
      </c>
      <c r="O19" s="6"/>
      <c r="P19" s="9">
        <v>46081</v>
      </c>
      <c r="Q19" s="7">
        <v>500</v>
      </c>
      <c r="R19" s="6"/>
      <c r="S19" s="9"/>
      <c r="T19" s="7"/>
    </row>
    <row r="20" spans="1:20">
      <c r="A20" s="9">
        <v>46098</v>
      </c>
      <c r="B20" s="6">
        <v>1000</v>
      </c>
      <c r="C20" s="7">
        <v>15</v>
      </c>
      <c r="D20" s="7">
        <f>CmpLingote[[#This Row],[Custo/Kg Alumínio]]*CmpLingote[[#This Row],[Qtde Aluminio]]</f>
        <v>15000</v>
      </c>
      <c r="E20" s="6"/>
      <c r="F20" s="9">
        <v>46085</v>
      </c>
      <c r="G20" s="6">
        <v>606</v>
      </c>
      <c r="H20" s="7">
        <v>10</v>
      </c>
      <c r="I20" s="7">
        <f>CmpSucata[[#This Row],[Custo/Kg Alumínio]]*CmpSucata[[#This Row],[Qtde Aluminio]]</f>
        <v>6060</v>
      </c>
      <c r="J20" s="6"/>
      <c r="K20" s="9">
        <v>46056</v>
      </c>
      <c r="L20" s="6">
        <v>1000</v>
      </c>
      <c r="M20" s="7">
        <v>2.5</v>
      </c>
      <c r="N20" s="7">
        <f>CompraOleo[[#This Row],[CUSTO / L]]*CompraOleo[[#This Row],[QTDE OLEO]]</f>
        <v>2500</v>
      </c>
      <c r="O20" s="6"/>
      <c r="P20" s="9">
        <v>46112</v>
      </c>
      <c r="Q20" s="7">
        <v>500</v>
      </c>
      <c r="R20" s="6"/>
      <c r="S20" s="9"/>
      <c r="T20" s="7"/>
    </row>
    <row r="21" spans="1:20">
      <c r="A21" s="9">
        <v>46106</v>
      </c>
      <c r="B21" s="6">
        <v>1001</v>
      </c>
      <c r="C21" s="7">
        <v>15</v>
      </c>
      <c r="D21" s="7">
        <f>CmpLingote[[#This Row],[Custo/Kg Alumínio]]*CmpLingote[[#This Row],[Qtde Aluminio]]</f>
        <v>15015</v>
      </c>
      <c r="E21" s="6"/>
      <c r="F21" s="9">
        <v>46090</v>
      </c>
      <c r="G21" s="6">
        <v>547</v>
      </c>
      <c r="H21" s="7">
        <v>10</v>
      </c>
      <c r="I21" s="7">
        <f>CmpSucata[[#This Row],[Custo/Kg Alumínio]]*CmpSucata[[#This Row],[Qtde Aluminio]]</f>
        <v>5470</v>
      </c>
      <c r="J21" s="6"/>
      <c r="K21" s="9">
        <v>46076</v>
      </c>
      <c r="L21" s="6">
        <v>1000</v>
      </c>
      <c r="M21" s="7">
        <v>2.5</v>
      </c>
      <c r="N21" s="7">
        <f>CompraOleo[[#This Row],[CUSTO / L]]*CompraOleo[[#This Row],[QTDE OLEO]]</f>
        <v>2500</v>
      </c>
      <c r="O21" s="6"/>
      <c r="P21" s="9">
        <v>46142</v>
      </c>
      <c r="Q21" s="7">
        <v>600</v>
      </c>
      <c r="R21" s="6"/>
      <c r="S21" s="9"/>
      <c r="T21" s="7"/>
    </row>
    <row r="22" spans="1:20">
      <c r="A22" s="9">
        <v>46133</v>
      </c>
      <c r="B22" s="6">
        <v>1000</v>
      </c>
      <c r="C22" s="7">
        <v>15</v>
      </c>
      <c r="D22" s="7">
        <f>CmpLingote[[#This Row],[Custo/Kg Alumínio]]*CmpLingote[[#This Row],[Qtde Aluminio]]</f>
        <v>15000</v>
      </c>
      <c r="E22" s="6"/>
      <c r="F22" s="9">
        <v>46092</v>
      </c>
      <c r="G22" s="6">
        <v>816.5</v>
      </c>
      <c r="H22" s="7">
        <v>12</v>
      </c>
      <c r="I22" s="7">
        <f>CmpSucata[[#This Row],[Custo/Kg Alumínio]]*CmpSucata[[#This Row],[Qtde Aluminio]]</f>
        <v>9798</v>
      </c>
      <c r="J22" s="6"/>
      <c r="K22" s="9">
        <v>46085</v>
      </c>
      <c r="L22" s="6">
        <v>1000</v>
      </c>
      <c r="M22" s="7">
        <v>2.5</v>
      </c>
      <c r="N22" s="7">
        <f>CompraOleo[[#This Row],[CUSTO / L]]*CompraOleo[[#This Row],[QTDE OLEO]]</f>
        <v>2500</v>
      </c>
      <c r="O22" s="6"/>
      <c r="P22" s="9">
        <v>46172</v>
      </c>
      <c r="Q22" s="7">
        <v>500</v>
      </c>
      <c r="R22" s="6"/>
      <c r="S22" s="9"/>
      <c r="T22" s="7"/>
    </row>
    <row r="23" spans="1:20">
      <c r="A23" s="9">
        <v>46141</v>
      </c>
      <c r="B23" s="6">
        <v>1000</v>
      </c>
      <c r="C23" s="7">
        <v>15.5</v>
      </c>
      <c r="D23" s="7">
        <f>CmpLingote[[#This Row],[Custo/Kg Alumínio]]*CmpLingote[[#This Row],[Qtde Aluminio]]</f>
        <v>15500</v>
      </c>
      <c r="E23" s="6"/>
      <c r="F23" s="9">
        <v>46099</v>
      </c>
      <c r="G23" s="6">
        <v>96.5</v>
      </c>
      <c r="H23" s="7">
        <v>7</v>
      </c>
      <c r="I23" s="7">
        <f>CmpSucata[[#This Row],[Custo/Kg Alumínio]]*CmpSucata[[#This Row],[Qtde Aluminio]]</f>
        <v>675.5</v>
      </c>
      <c r="J23" s="6"/>
      <c r="K23" s="9">
        <v>46094</v>
      </c>
      <c r="L23" s="6">
        <v>1000</v>
      </c>
      <c r="M23" s="7">
        <v>2.5</v>
      </c>
      <c r="N23" s="7">
        <f>CompraOleo[[#This Row],[CUSTO / L]]*CompraOleo[[#This Row],[QTDE OLEO]]</f>
        <v>2500</v>
      </c>
      <c r="O23" s="6"/>
      <c r="P23" s="9"/>
      <c r="Q23" s="7"/>
      <c r="R23" s="6"/>
      <c r="S23" s="9"/>
      <c r="T23" s="7"/>
    </row>
    <row r="24" spans="1:20">
      <c r="A24" s="9">
        <v>46161</v>
      </c>
      <c r="B24" s="6">
        <v>1001</v>
      </c>
      <c r="C24" s="7">
        <v>16</v>
      </c>
      <c r="D24" s="7">
        <f>CmpLingote[[#This Row],[Custo/Kg Alumínio]]*CmpLingote[[#This Row],[Qtde Aluminio]]</f>
        <v>16016</v>
      </c>
      <c r="E24" s="6"/>
      <c r="F24" s="9">
        <v>46122</v>
      </c>
      <c r="G24" s="6">
        <v>1607</v>
      </c>
      <c r="H24" s="7">
        <v>12</v>
      </c>
      <c r="I24" s="7">
        <f>CmpSucata[[#This Row],[Custo/Kg Alumínio]]*CmpSucata[[#This Row],[Qtde Aluminio]]</f>
        <v>19284</v>
      </c>
      <c r="J24" s="6"/>
      <c r="K24" s="9">
        <v>46106</v>
      </c>
      <c r="L24" s="6">
        <v>1000</v>
      </c>
      <c r="M24" s="7">
        <v>2.5</v>
      </c>
      <c r="N24" s="7">
        <f>CompraOleo[[#This Row],[CUSTO / L]]*CompraOleo[[#This Row],[QTDE OLEO]]</f>
        <v>2500</v>
      </c>
      <c r="O24" s="6"/>
      <c r="P24" s="9"/>
      <c r="Q24" s="7"/>
      <c r="R24" s="6"/>
      <c r="S24" s="9"/>
      <c r="T24" s="7"/>
    </row>
    <row r="25" spans="1:20">
      <c r="A25" s="9"/>
      <c r="B25" s="6"/>
      <c r="C25" s="7"/>
      <c r="D25" s="7">
        <f>CmpLingote[[#This Row],[Custo/Kg Alumínio]]*CmpLingote[[#This Row],[Qtde Aluminio]]</f>
        <v>0</v>
      </c>
      <c r="E25" s="6"/>
      <c r="F25" s="9">
        <v>46149</v>
      </c>
      <c r="G25" s="6">
        <v>710</v>
      </c>
      <c r="H25" s="7">
        <v>12</v>
      </c>
      <c r="I25" s="7">
        <f>CmpSucata[[#This Row],[Custo/Kg Alumínio]]*CmpSucata[[#This Row],[Qtde Aluminio]]</f>
        <v>8520</v>
      </c>
      <c r="J25" s="6"/>
      <c r="K25" s="9">
        <v>46114</v>
      </c>
      <c r="L25" s="6">
        <v>1000</v>
      </c>
      <c r="M25" s="7">
        <v>2.5</v>
      </c>
      <c r="N25" s="7">
        <f>CompraOleo[[#This Row],[CUSTO / L]]*CompraOleo[[#This Row],[QTDE OLEO]]</f>
        <v>2500</v>
      </c>
      <c r="O25" s="6"/>
      <c r="P25" s="9"/>
      <c r="Q25" s="7"/>
      <c r="R25" s="6"/>
      <c r="S25" s="9"/>
      <c r="T25" s="7"/>
    </row>
    <row r="26" spans="1:20">
      <c r="A26" s="9"/>
      <c r="B26" s="6"/>
      <c r="C26" s="7"/>
      <c r="D26" s="7">
        <f>CmpLingote[[#This Row],[Custo/Kg Alumínio]]*CmpLingote[[#This Row],[Qtde Aluminio]]</f>
        <v>0</v>
      </c>
      <c r="E26" s="6"/>
      <c r="F26" s="9">
        <v>46161</v>
      </c>
      <c r="G26" s="6">
        <v>590.5</v>
      </c>
      <c r="H26" s="7">
        <v>12</v>
      </c>
      <c r="I26" s="7">
        <f>CmpSucata[[#This Row],[Custo/Kg Alumínio]]*CmpSucata[[#This Row],[Qtde Aluminio]]</f>
        <v>7086</v>
      </c>
      <c r="J26" s="6"/>
      <c r="K26" s="9">
        <v>46122</v>
      </c>
      <c r="L26" s="6">
        <v>800</v>
      </c>
      <c r="M26" s="7">
        <v>2.5</v>
      </c>
      <c r="N26" s="7">
        <f>CompraOleo[[#This Row],[CUSTO / L]]*CompraOleo[[#This Row],[QTDE OLEO]]</f>
        <v>2000</v>
      </c>
      <c r="O26" s="6"/>
      <c r="P26" s="9"/>
      <c r="Q26" s="7"/>
      <c r="R26" s="6"/>
      <c r="S26" s="9"/>
      <c r="T26" s="30">
        <f>SUBTOTAL(101,Tabela461213[Total])</f>
        <v>1.55</v>
      </c>
    </row>
    <row r="27" spans="1:20">
      <c r="A27" s="9"/>
      <c r="B27" s="6"/>
      <c r="C27" s="7"/>
      <c r="D27" s="7">
        <f>CmpLingote[[#This Row],[Custo/Kg Alumínio]]*CmpLingote[[#This Row],[Qtde Aluminio]]</f>
        <v>0</v>
      </c>
      <c r="E27" s="6"/>
      <c r="F27" s="9"/>
      <c r="G27" s="6"/>
      <c r="H27" s="7"/>
      <c r="I27" s="7"/>
      <c r="J27" s="6"/>
      <c r="K27" s="9">
        <v>46133</v>
      </c>
      <c r="L27" s="6">
        <v>800</v>
      </c>
      <c r="M27" s="7">
        <v>2.5</v>
      </c>
      <c r="N27" s="7">
        <f>CompraOleo[[#This Row],[CUSTO / L]]*CompraOleo[[#This Row],[QTDE OLEO]]</f>
        <v>2000</v>
      </c>
      <c r="O27" s="6"/>
      <c r="P27" s="9"/>
      <c r="Q27" s="30">
        <f>SUBTOTAL(109,CompraInsumos[Total])</f>
        <v>11351</v>
      </c>
      <c r="R27" s="6"/>
    </row>
    <row r="28" spans="1:20">
      <c r="A28" s="9"/>
      <c r="B28" s="6"/>
      <c r="C28" s="7"/>
      <c r="D28" s="7">
        <f>CmpLingote[[#This Row],[Custo/Kg Alumínio]]*CmpLingote[[#This Row],[Qtde Aluminio]]</f>
        <v>0</v>
      </c>
      <c r="E28" s="6"/>
      <c r="F28" s="9"/>
      <c r="G28" s="6"/>
      <c r="H28" s="7"/>
      <c r="I28" s="7"/>
      <c r="J28" s="6"/>
      <c r="K28" s="9">
        <v>46149</v>
      </c>
      <c r="L28" s="6">
        <v>800</v>
      </c>
      <c r="M28" s="7">
        <v>2.5</v>
      </c>
      <c r="N28" s="7">
        <f>CompraOleo[[#This Row],[CUSTO / L]]*CompraOleo[[#This Row],[QTDE OLEO]]</f>
        <v>2000</v>
      </c>
      <c r="O28" s="6"/>
      <c r="P28" s="6"/>
      <c r="Q28" s="7"/>
      <c r="R28" s="6"/>
    </row>
    <row r="29" spans="1:20">
      <c r="A29" s="9"/>
      <c r="B29" s="6"/>
      <c r="C29" s="7"/>
      <c r="D29" s="7"/>
      <c r="E29" s="6"/>
      <c r="F29" s="9"/>
      <c r="G29" s="6"/>
      <c r="H29" s="7"/>
      <c r="I29" s="7"/>
      <c r="J29" s="6"/>
      <c r="K29" s="9">
        <v>46160</v>
      </c>
      <c r="L29" s="6">
        <v>800</v>
      </c>
      <c r="M29" s="7">
        <v>2.5</v>
      </c>
      <c r="N29" s="7">
        <f>CompraOleo[[#This Row],[CUSTO / L]]*CompraOleo[[#This Row],[QTDE OLEO]]</f>
        <v>2000</v>
      </c>
      <c r="O29" s="6"/>
      <c r="P29" s="6"/>
      <c r="Q29" s="7"/>
      <c r="R29" s="6"/>
    </row>
    <row r="30" spans="1:20">
      <c r="A30" s="9"/>
      <c r="B30" s="6"/>
      <c r="C30" s="7"/>
      <c r="D30" s="7"/>
      <c r="E30" s="6"/>
      <c r="F30" s="9"/>
      <c r="G30" s="6"/>
      <c r="H30" s="7"/>
      <c r="I30" s="7"/>
      <c r="J30" s="6"/>
      <c r="K30" s="9"/>
      <c r="L30" s="6"/>
      <c r="M30" s="7"/>
      <c r="N30" s="7"/>
      <c r="O30" s="6"/>
      <c r="P30" s="6"/>
      <c r="Q30" s="7"/>
      <c r="R30" s="6"/>
    </row>
    <row r="31" spans="1:20">
      <c r="A31" s="9"/>
      <c r="B31" s="6"/>
      <c r="C31" s="7"/>
      <c r="D31" s="7"/>
      <c r="E31" s="6"/>
      <c r="F31" s="9"/>
      <c r="G31" s="6"/>
      <c r="H31" s="7"/>
      <c r="I31" s="7"/>
      <c r="J31" s="6"/>
      <c r="K31" s="9"/>
      <c r="L31" s="6"/>
      <c r="M31" s="7"/>
      <c r="N31" s="7"/>
      <c r="O31" s="6"/>
      <c r="P31" s="6"/>
      <c r="Q31" s="7"/>
      <c r="R31" s="6"/>
    </row>
    <row r="32" spans="1:20">
      <c r="A32" s="9"/>
      <c r="B32" s="6"/>
      <c r="C32" s="7"/>
      <c r="D32" s="7"/>
      <c r="E32" s="6"/>
      <c r="F32" s="9"/>
      <c r="G32" s="6"/>
      <c r="H32" s="7"/>
      <c r="I32" s="7"/>
      <c r="J32" s="6"/>
      <c r="K32" s="9"/>
      <c r="L32" s="6"/>
      <c r="M32" s="7"/>
      <c r="N32" s="7"/>
      <c r="O32" s="6"/>
      <c r="P32" s="6"/>
      <c r="Q32" s="7"/>
      <c r="R32" s="6"/>
    </row>
    <row r="33" spans="1:18">
      <c r="A33" s="9"/>
      <c r="B33" s="6">
        <f>SUBTOTAL(109,CmpLingote[Qtde Aluminio])</f>
        <v>20524.8</v>
      </c>
      <c r="C33" s="29"/>
      <c r="D33" s="30">
        <f>SUBTOTAL(109,CmpLingote[Total])</f>
        <v>400378.85</v>
      </c>
      <c r="E33" s="6"/>
      <c r="F33" s="9"/>
      <c r="G33" s="6">
        <f>SUBTOTAL(109,CmpSucata[Qtde Aluminio])</f>
        <v>53164.3</v>
      </c>
      <c r="H33" s="29"/>
      <c r="I33" s="30">
        <f>SUBTOTAL(109,CmpSucata[Total])</f>
        <v>542763.24</v>
      </c>
      <c r="J33" s="6"/>
      <c r="K33" s="9"/>
      <c r="L33" s="6">
        <f>SUBTOTAL(109,CompraOleo[QTDE OLEO])</f>
        <v>34101</v>
      </c>
      <c r="M33" s="29">
        <f>SUBTOTAL(101,CompraOleo[CUSTO / L])</f>
        <v>2.5</v>
      </c>
      <c r="N33" s="30">
        <f>SUBTOTAL(109,CompraOleo[Total])</f>
        <v>85252.5</v>
      </c>
      <c r="O33" s="6"/>
      <c r="P33" s="6"/>
      <c r="Q33" s="7"/>
      <c r="R33" s="6"/>
    </row>
    <row r="34" spans="1:18">
      <c r="A34" s="9"/>
      <c r="B34" s="6"/>
      <c r="C34" s="8"/>
      <c r="D34" s="7"/>
      <c r="E34" s="6"/>
      <c r="F34" s="9"/>
      <c r="G34" s="6"/>
      <c r="H34" s="8"/>
      <c r="I34" s="7"/>
      <c r="J34" s="6"/>
      <c r="K34" s="9"/>
      <c r="L34" s="6"/>
      <c r="M34" s="8"/>
      <c r="N34" s="7"/>
      <c r="O34" s="6"/>
      <c r="P34" s="6"/>
      <c r="Q34" s="7"/>
      <c r="R34" s="6"/>
    </row>
    <row r="35" spans="1:18">
      <c r="A35" s="9"/>
      <c r="B35" s="6"/>
      <c r="C35" s="8"/>
      <c r="D35" s="7"/>
      <c r="E35" s="6"/>
      <c r="F35" s="9"/>
      <c r="G35" s="6"/>
      <c r="H35" s="8"/>
      <c r="I35" s="7"/>
      <c r="J35" s="6"/>
      <c r="K35" s="9"/>
      <c r="L35" s="6"/>
      <c r="M35" s="8"/>
      <c r="N35" s="7"/>
      <c r="O35" s="6"/>
      <c r="P35" s="6"/>
      <c r="Q35" s="7"/>
      <c r="R35" s="6"/>
    </row>
    <row r="36" spans="1:18">
      <c r="A36" s="9"/>
      <c r="B36" s="6"/>
      <c r="C36" s="8"/>
      <c r="D36" s="7"/>
      <c r="E36" s="6"/>
      <c r="F36" s="9"/>
      <c r="G36" s="6"/>
      <c r="H36" s="8"/>
      <c r="I36" s="7"/>
      <c r="J36" s="6"/>
      <c r="K36" s="9"/>
      <c r="L36" s="6"/>
      <c r="M36" s="8"/>
      <c r="N36" s="7"/>
      <c r="O36" s="6"/>
      <c r="P36" s="6"/>
      <c r="Q36" s="7"/>
      <c r="R36" s="6"/>
    </row>
    <row r="37" spans="1:18">
      <c r="A37" s="9"/>
      <c r="B37" s="6"/>
      <c r="C37" s="8"/>
      <c r="D37" s="7"/>
      <c r="E37" s="6"/>
      <c r="F37" s="9"/>
      <c r="G37" s="6"/>
      <c r="H37" s="8"/>
      <c r="I37" s="7"/>
      <c r="J37" s="6"/>
      <c r="K37" s="9"/>
      <c r="L37" s="6"/>
      <c r="M37" s="6"/>
      <c r="N37" s="7"/>
      <c r="O37" s="6"/>
      <c r="P37" s="6"/>
      <c r="Q37" s="7"/>
      <c r="R37" s="6"/>
    </row>
    <row r="38" spans="1:18">
      <c r="A38" s="9"/>
      <c r="B38" s="6"/>
      <c r="C38" s="8"/>
      <c r="D38" s="7"/>
      <c r="E38" s="6"/>
      <c r="F38" s="9"/>
      <c r="G38" s="6"/>
      <c r="H38" s="8"/>
      <c r="I38" s="7"/>
      <c r="J38" s="6"/>
      <c r="K38" s="9"/>
      <c r="L38" s="6"/>
      <c r="M38" s="6"/>
      <c r="N38" s="7"/>
      <c r="O38" s="6"/>
      <c r="P38" s="6"/>
      <c r="Q38" s="7"/>
      <c r="R38" s="6"/>
    </row>
    <row r="39" spans="1:18">
      <c r="A39" s="9"/>
      <c r="B39" s="6"/>
      <c r="C39" s="8"/>
      <c r="D39" s="7"/>
      <c r="E39" s="6"/>
      <c r="F39" s="9"/>
      <c r="G39" s="6"/>
      <c r="H39" s="8"/>
      <c r="I39" s="7"/>
      <c r="J39" s="6"/>
      <c r="K39" s="9"/>
      <c r="L39" s="6"/>
      <c r="M39" s="6"/>
      <c r="N39" s="7"/>
      <c r="O39" s="6"/>
      <c r="P39" s="6"/>
      <c r="Q39" s="7"/>
      <c r="R39" s="6"/>
    </row>
    <row r="40" spans="1:18">
      <c r="A40" s="9"/>
      <c r="B40" s="6"/>
      <c r="C40" s="8"/>
      <c r="D40" s="7"/>
      <c r="E40" s="6"/>
      <c r="F40" s="9"/>
      <c r="G40" s="6"/>
      <c r="H40" s="8"/>
      <c r="I40" s="7"/>
      <c r="J40" s="6"/>
      <c r="K40" s="9"/>
      <c r="L40" s="6"/>
      <c r="M40" s="6"/>
      <c r="N40" s="7"/>
      <c r="O40" s="6"/>
      <c r="P40" s="6"/>
      <c r="Q40" s="7"/>
      <c r="R40" s="6"/>
    </row>
    <row r="41" spans="1:18">
      <c r="A41" s="9"/>
      <c r="B41" s="6"/>
      <c r="C41" s="8"/>
      <c r="D41" s="7"/>
      <c r="E41" s="6"/>
      <c r="F41" s="9"/>
      <c r="G41" s="6"/>
      <c r="H41" s="8"/>
      <c r="I41" s="7"/>
      <c r="J41" s="6"/>
      <c r="K41" s="9"/>
      <c r="L41" s="6"/>
      <c r="M41" s="6"/>
      <c r="N41" s="7"/>
      <c r="O41" s="6"/>
      <c r="P41" s="6"/>
      <c r="Q41" s="7"/>
      <c r="R41" s="6"/>
    </row>
    <row r="42" spans="1:18">
      <c r="A42" s="9"/>
      <c r="B42" s="6"/>
      <c r="C42" s="8"/>
      <c r="D42" s="7"/>
      <c r="E42" s="6"/>
      <c r="F42" s="9"/>
      <c r="G42" s="6"/>
      <c r="H42" s="8"/>
      <c r="I42" s="7"/>
      <c r="J42" s="6"/>
      <c r="K42" s="9"/>
      <c r="L42" s="6"/>
      <c r="M42" s="6"/>
      <c r="N42" s="7"/>
      <c r="O42" s="6"/>
      <c r="P42" s="6"/>
      <c r="Q42" s="7"/>
      <c r="R42" s="6"/>
    </row>
    <row r="43" spans="1:18">
      <c r="A43" s="9"/>
      <c r="B43" s="6"/>
      <c r="C43" s="8"/>
      <c r="D43" s="7"/>
      <c r="E43" s="6"/>
      <c r="F43" s="9"/>
      <c r="G43" s="6"/>
      <c r="H43" s="8"/>
      <c r="I43" s="7"/>
      <c r="J43" s="6"/>
      <c r="K43" s="9"/>
      <c r="L43" s="6"/>
      <c r="M43" s="6"/>
      <c r="N43" s="7"/>
      <c r="O43" s="6"/>
      <c r="P43" s="6"/>
      <c r="Q43" s="7"/>
      <c r="R43" s="6"/>
    </row>
    <row r="44" spans="1:18">
      <c r="A44" s="9"/>
      <c r="B44" s="6"/>
      <c r="C44" s="8"/>
      <c r="D44" s="7"/>
      <c r="E44" s="6"/>
      <c r="F44" s="9"/>
      <c r="G44" s="6"/>
      <c r="H44" s="8"/>
      <c r="I44" s="7"/>
      <c r="J44" s="6"/>
      <c r="K44" s="9"/>
      <c r="L44" s="6"/>
      <c r="M44" s="6"/>
      <c r="N44" s="7"/>
      <c r="O44" s="6"/>
      <c r="P44" s="6"/>
      <c r="Q44" s="7"/>
      <c r="R44" s="6"/>
    </row>
    <row r="45" spans="1:18">
      <c r="A45" s="9"/>
      <c r="B45" s="6"/>
      <c r="C45" s="6"/>
      <c r="D45" s="7"/>
      <c r="E45" s="6"/>
      <c r="F45" s="9"/>
      <c r="G45" s="6"/>
      <c r="H45" s="8"/>
      <c r="I45" s="7"/>
      <c r="J45" s="6"/>
      <c r="K45" s="9"/>
      <c r="L45" s="6"/>
      <c r="M45" s="6"/>
      <c r="N45" s="7"/>
      <c r="O45" s="6"/>
      <c r="P45" s="6"/>
      <c r="Q45" s="7"/>
      <c r="R45" s="6"/>
    </row>
    <row r="46" spans="1:18">
      <c r="A46" s="9"/>
      <c r="B46" s="6"/>
      <c r="C46" s="6"/>
      <c r="D46" s="7"/>
      <c r="E46" s="6"/>
      <c r="F46" s="9"/>
      <c r="G46" s="6"/>
      <c r="H46" s="8"/>
      <c r="I46" s="7"/>
      <c r="J46" s="6"/>
      <c r="K46" s="9"/>
      <c r="L46" s="6"/>
      <c r="M46" s="6"/>
      <c r="N46" s="7"/>
      <c r="O46" s="6"/>
      <c r="P46" s="6"/>
      <c r="Q46" s="7"/>
      <c r="R46" s="6"/>
    </row>
    <row r="47" spans="1:18">
      <c r="A47" s="9"/>
      <c r="B47" s="6"/>
      <c r="C47" s="6"/>
      <c r="D47" s="7"/>
      <c r="E47" s="6"/>
      <c r="F47" s="9"/>
      <c r="G47" s="6"/>
      <c r="H47" s="8"/>
      <c r="I47" s="7"/>
      <c r="J47" s="6"/>
      <c r="K47" s="9"/>
      <c r="L47" s="6"/>
      <c r="M47" s="6"/>
      <c r="N47" s="7"/>
      <c r="O47" s="6"/>
      <c r="P47" s="6"/>
      <c r="Q47" s="7"/>
      <c r="R47" s="6"/>
    </row>
    <row r="48" spans="1:18">
      <c r="A48" s="9"/>
      <c r="B48" s="6"/>
      <c r="C48" s="6"/>
      <c r="D48" s="7"/>
      <c r="E48" s="6"/>
      <c r="F48" s="9"/>
      <c r="G48" s="6"/>
      <c r="H48" s="8"/>
      <c r="I48" s="7"/>
      <c r="J48" s="6"/>
      <c r="K48" s="9"/>
      <c r="L48" s="6"/>
      <c r="M48" s="6"/>
      <c r="N48" s="7"/>
      <c r="O48" s="6"/>
      <c r="P48" s="6"/>
      <c r="Q48" s="7"/>
      <c r="R48" s="6"/>
    </row>
    <row r="49" spans="1:18">
      <c r="A49" s="9"/>
      <c r="B49" s="6"/>
      <c r="C49" s="6"/>
      <c r="D49" s="7"/>
      <c r="E49" s="6"/>
      <c r="F49" s="9"/>
      <c r="G49" s="6"/>
      <c r="H49" s="8"/>
      <c r="I49" s="7"/>
      <c r="J49" s="6"/>
      <c r="K49" s="9"/>
      <c r="L49" s="6"/>
      <c r="M49" s="6"/>
      <c r="N49" s="7"/>
      <c r="O49" s="6"/>
      <c r="P49" s="6"/>
      <c r="Q49" s="7"/>
      <c r="R49" s="6"/>
    </row>
    <row r="50" spans="1:18">
      <c r="A50" s="9"/>
      <c r="B50" s="6"/>
      <c r="C50" s="6"/>
      <c r="D50" s="7"/>
      <c r="E50" s="6"/>
      <c r="F50" s="9"/>
      <c r="G50" s="6"/>
      <c r="H50" s="8"/>
      <c r="I50" s="7"/>
      <c r="J50" s="6"/>
      <c r="K50" s="9"/>
      <c r="L50" s="6"/>
      <c r="M50" s="6"/>
      <c r="N50" s="7"/>
      <c r="O50" s="6"/>
      <c r="P50" s="6"/>
      <c r="Q50" s="7"/>
      <c r="R50" s="6"/>
    </row>
    <row r="51" spans="1:18">
      <c r="A51" s="9"/>
      <c r="B51" s="6"/>
      <c r="C51" s="6"/>
      <c r="D51" s="7"/>
      <c r="E51" s="6"/>
      <c r="F51" s="9"/>
      <c r="G51" s="6"/>
      <c r="H51" s="8"/>
      <c r="I51" s="7"/>
      <c r="J51" s="6"/>
      <c r="K51" s="9"/>
      <c r="L51" s="6"/>
      <c r="M51" s="6"/>
      <c r="N51" s="7"/>
      <c r="O51" s="6"/>
      <c r="P51" s="6"/>
      <c r="Q51" s="7"/>
      <c r="R51" s="6"/>
    </row>
    <row r="52" spans="1:18">
      <c r="A52" s="9"/>
      <c r="B52" s="6"/>
      <c r="C52" s="6"/>
      <c r="D52" s="7"/>
      <c r="E52" s="6"/>
      <c r="F52" s="9"/>
      <c r="G52" s="6"/>
      <c r="H52" s="8"/>
      <c r="I52" s="7"/>
      <c r="J52" s="6"/>
      <c r="K52" s="9"/>
      <c r="L52" s="6"/>
      <c r="M52" s="6"/>
      <c r="N52" s="7"/>
      <c r="O52" s="6"/>
      <c r="P52" s="6"/>
      <c r="Q52" s="7"/>
      <c r="R52" s="6"/>
    </row>
    <row r="53" spans="1:18">
      <c r="A53" s="9"/>
      <c r="B53" s="6"/>
      <c r="C53" s="6"/>
      <c r="D53" s="7"/>
      <c r="E53" s="6"/>
      <c r="F53" s="9"/>
      <c r="G53" s="6"/>
      <c r="H53" s="8"/>
      <c r="I53" s="7"/>
      <c r="J53" s="6"/>
      <c r="K53" s="9"/>
      <c r="L53" s="6"/>
      <c r="M53" s="6"/>
      <c r="N53" s="7"/>
      <c r="O53" s="6"/>
      <c r="P53" s="6"/>
      <c r="Q53" s="7"/>
      <c r="R53" s="6"/>
    </row>
    <row r="54" spans="1:18">
      <c r="A54" s="9"/>
      <c r="B54" s="6"/>
      <c r="C54" s="6"/>
      <c r="D54" s="7"/>
      <c r="E54" s="6"/>
      <c r="F54" s="9"/>
      <c r="G54" s="6"/>
      <c r="H54" s="8"/>
      <c r="I54" s="7"/>
      <c r="J54" s="6"/>
      <c r="K54" s="9"/>
      <c r="L54" s="6"/>
      <c r="M54" s="6"/>
      <c r="N54" s="7"/>
      <c r="O54" s="6"/>
      <c r="P54" s="6"/>
      <c r="Q54" s="7"/>
      <c r="R54" s="6"/>
    </row>
    <row r="55" spans="1:18">
      <c r="A55" s="9"/>
      <c r="B55" s="6"/>
      <c r="C55" s="6"/>
      <c r="D55" s="7"/>
      <c r="E55" s="6"/>
      <c r="F55" s="9"/>
      <c r="G55" s="6"/>
      <c r="H55" s="8"/>
      <c r="I55" s="7"/>
      <c r="J55" s="6"/>
      <c r="K55" s="9"/>
      <c r="L55" s="6"/>
      <c r="M55" s="6"/>
      <c r="N55" s="7"/>
      <c r="O55" s="6"/>
      <c r="P55" s="6"/>
      <c r="Q55" s="7"/>
      <c r="R55" s="6"/>
    </row>
    <row r="56" spans="1:18">
      <c r="A56" s="9"/>
      <c r="B56" s="6"/>
      <c r="C56" s="6"/>
      <c r="D56" s="7"/>
      <c r="E56" s="6"/>
      <c r="F56" s="9"/>
      <c r="G56" s="6"/>
      <c r="H56" s="8"/>
      <c r="I56" s="7"/>
      <c r="J56" s="6"/>
      <c r="K56" s="9"/>
      <c r="L56" s="6"/>
      <c r="M56" s="6"/>
      <c r="N56" s="7"/>
      <c r="O56" s="6"/>
      <c r="P56" s="6"/>
      <c r="Q56" s="7"/>
      <c r="R56" s="6"/>
    </row>
    <row r="57" spans="1:18">
      <c r="A57" s="9"/>
      <c r="B57" s="6"/>
      <c r="C57" s="6"/>
      <c r="D57" s="7"/>
      <c r="E57" s="6"/>
      <c r="F57" s="9"/>
      <c r="G57" s="6"/>
      <c r="H57" s="8"/>
      <c r="I57" s="7"/>
      <c r="J57" s="6"/>
      <c r="K57" s="9"/>
      <c r="L57" s="6"/>
      <c r="M57" s="6"/>
      <c r="N57" s="7"/>
      <c r="O57" s="6"/>
      <c r="P57" s="6"/>
      <c r="Q57" s="7"/>
      <c r="R57" s="6"/>
    </row>
    <row r="58" spans="1:18">
      <c r="A58" s="9"/>
      <c r="B58" s="6"/>
      <c r="C58" s="6"/>
      <c r="D58" s="7"/>
      <c r="E58" s="6"/>
      <c r="F58" s="9"/>
      <c r="G58" s="6"/>
      <c r="H58" s="8"/>
      <c r="I58" s="7"/>
      <c r="J58" s="6"/>
      <c r="K58" s="9"/>
      <c r="L58" s="6"/>
      <c r="M58" s="6"/>
      <c r="N58" s="7"/>
      <c r="O58" s="6"/>
      <c r="P58" s="6"/>
      <c r="Q58" s="7"/>
      <c r="R58" s="6"/>
    </row>
    <row r="59" spans="1:18">
      <c r="A59" s="9"/>
      <c r="B59" s="6"/>
      <c r="C59" s="6"/>
      <c r="D59" s="7"/>
      <c r="E59" s="6"/>
      <c r="F59" s="9"/>
      <c r="G59" s="6"/>
      <c r="H59" s="8"/>
      <c r="I59" s="7"/>
      <c r="J59" s="6"/>
      <c r="K59" s="9"/>
      <c r="L59" s="6"/>
      <c r="M59" s="6"/>
      <c r="N59" s="7"/>
      <c r="O59" s="6"/>
      <c r="P59" s="6"/>
      <c r="Q59" s="7"/>
      <c r="R59" s="6"/>
    </row>
    <row r="60" spans="1:18">
      <c r="A60" s="9"/>
      <c r="B60" s="6"/>
      <c r="C60" s="6"/>
      <c r="D60" s="7"/>
      <c r="E60" s="6"/>
      <c r="F60" s="9"/>
      <c r="G60" s="6"/>
      <c r="H60" s="8"/>
      <c r="I60" s="7"/>
      <c r="J60" s="6"/>
      <c r="K60" s="9"/>
      <c r="L60" s="6"/>
      <c r="M60" s="6"/>
      <c r="N60" s="7"/>
      <c r="O60" s="6"/>
      <c r="P60" s="6"/>
      <c r="Q60" s="7"/>
      <c r="R60" s="6"/>
    </row>
    <row r="61" spans="1:18">
      <c r="A61" s="9"/>
      <c r="B61" s="6"/>
      <c r="C61" s="6"/>
      <c r="D61" s="7"/>
      <c r="E61" s="6"/>
      <c r="F61" s="9"/>
      <c r="G61" s="6"/>
      <c r="H61" s="8"/>
      <c r="I61" s="7"/>
      <c r="J61" s="6"/>
      <c r="K61" s="9"/>
      <c r="L61" s="6"/>
      <c r="M61" s="6"/>
      <c r="N61" s="7"/>
      <c r="O61" s="6"/>
      <c r="P61" s="6"/>
      <c r="Q61" s="7"/>
      <c r="R61" s="6"/>
    </row>
    <row r="62" spans="1:18">
      <c r="A62" s="9"/>
      <c r="B62" s="6"/>
      <c r="C62" s="6"/>
      <c r="D62" s="7"/>
      <c r="E62" s="6"/>
      <c r="F62" s="9"/>
      <c r="G62" s="6"/>
      <c r="H62" s="6"/>
      <c r="I62" s="7"/>
      <c r="J62" s="6"/>
      <c r="K62" s="9"/>
      <c r="L62" s="6"/>
      <c r="M62" s="6"/>
      <c r="N62" s="7"/>
      <c r="O62" s="6"/>
      <c r="P62" s="6"/>
      <c r="Q62" s="7"/>
      <c r="R62" s="6"/>
    </row>
    <row r="63" spans="1:18">
      <c r="A63" s="9"/>
      <c r="B63" s="6"/>
      <c r="C63" s="6"/>
      <c r="D63" s="7"/>
      <c r="E63" s="6"/>
      <c r="F63" s="9"/>
      <c r="G63" s="6"/>
      <c r="H63" s="6"/>
      <c r="I63" s="7"/>
      <c r="J63" s="6"/>
      <c r="K63" s="9"/>
      <c r="L63" s="6"/>
      <c r="M63" s="6"/>
      <c r="N63" s="7"/>
      <c r="O63" s="6"/>
      <c r="P63" s="6"/>
      <c r="Q63" s="7"/>
      <c r="R63" s="6"/>
    </row>
    <row r="64" spans="1:18">
      <c r="A64" s="9"/>
      <c r="B64" s="6"/>
      <c r="C64" s="6"/>
      <c r="D64" s="7"/>
      <c r="E64" s="6"/>
      <c r="F64" s="9"/>
      <c r="G64" s="6"/>
      <c r="H64" s="6"/>
      <c r="I64" s="7"/>
      <c r="J64" s="6"/>
      <c r="K64" s="9"/>
      <c r="L64" s="6"/>
      <c r="M64" s="6"/>
      <c r="N64" s="7"/>
      <c r="O64" s="6"/>
      <c r="P64" s="6"/>
      <c r="Q64" s="7"/>
      <c r="R64" s="6"/>
    </row>
    <row r="65" spans="1:18">
      <c r="A65" s="9"/>
      <c r="B65" s="6"/>
      <c r="C65" s="6"/>
      <c r="D65" s="7"/>
      <c r="E65" s="6"/>
      <c r="F65" s="9"/>
      <c r="G65" s="6"/>
      <c r="H65" s="6"/>
      <c r="I65" s="7"/>
      <c r="J65" s="6"/>
      <c r="K65" s="9"/>
      <c r="L65" s="6"/>
      <c r="M65" s="6"/>
      <c r="N65" s="7"/>
      <c r="O65" s="6"/>
      <c r="P65" s="6"/>
      <c r="Q65" s="7"/>
      <c r="R65" s="6"/>
    </row>
    <row r="66" spans="1:18">
      <c r="A66" s="9"/>
      <c r="B66" s="6"/>
      <c r="C66" s="6"/>
      <c r="D66" s="7"/>
      <c r="E66" s="6"/>
      <c r="F66" s="9"/>
      <c r="G66" s="6"/>
      <c r="H66" s="6"/>
      <c r="I66" s="7"/>
      <c r="J66" s="6"/>
      <c r="K66" s="9"/>
      <c r="L66" s="6"/>
      <c r="M66" s="6"/>
      <c r="N66" s="7"/>
      <c r="O66" s="6"/>
      <c r="P66" s="6"/>
      <c r="Q66" s="7"/>
      <c r="R66" s="6"/>
    </row>
    <row r="67" spans="1:18">
      <c r="A67" s="9"/>
      <c r="B67" s="6"/>
      <c r="C67" s="6"/>
      <c r="D67" s="7"/>
      <c r="E67" s="6"/>
      <c r="F67" s="9"/>
      <c r="G67" s="6"/>
      <c r="H67" s="6"/>
      <c r="I67" s="7"/>
      <c r="J67" s="6"/>
      <c r="K67" s="9"/>
      <c r="L67" s="6"/>
      <c r="M67" s="6"/>
      <c r="N67" s="7"/>
      <c r="O67" s="6"/>
      <c r="P67" s="6"/>
      <c r="Q67" s="7"/>
      <c r="R67" s="6"/>
    </row>
    <row r="68" spans="1:18">
      <c r="A68" s="9"/>
      <c r="B68" s="6"/>
      <c r="C68" s="6"/>
      <c r="D68" s="7"/>
      <c r="E68" s="6"/>
      <c r="F68" s="9"/>
      <c r="G68" s="6"/>
      <c r="H68" s="6"/>
      <c r="I68" s="7"/>
      <c r="J68" s="6"/>
      <c r="K68" s="9"/>
      <c r="L68" s="6"/>
      <c r="M68" s="6"/>
      <c r="N68" s="7"/>
      <c r="O68" s="6"/>
      <c r="P68" s="6"/>
      <c r="Q68" s="7"/>
      <c r="R68" s="6"/>
    </row>
    <row r="69" spans="1:18">
      <c r="A69" s="9"/>
      <c r="B69" s="6"/>
      <c r="C69" s="6"/>
      <c r="D69" s="7"/>
      <c r="E69" s="6"/>
      <c r="F69" s="9"/>
      <c r="G69" s="6"/>
      <c r="H69" s="6"/>
      <c r="I69" s="7"/>
      <c r="J69" s="6"/>
      <c r="K69" s="9"/>
      <c r="L69" s="6"/>
      <c r="M69" s="6"/>
      <c r="N69" s="7"/>
      <c r="O69" s="6"/>
      <c r="P69" s="6"/>
      <c r="Q69" s="7"/>
      <c r="R69" s="6"/>
    </row>
    <row r="70" spans="1:18">
      <c r="A70" s="9"/>
      <c r="B70" s="6"/>
      <c r="C70" s="6"/>
      <c r="D70" s="7"/>
      <c r="E70" s="6"/>
      <c r="F70" s="9"/>
      <c r="G70" s="6"/>
      <c r="H70" s="6"/>
      <c r="I70" s="7"/>
      <c r="J70" s="6"/>
      <c r="K70" s="9"/>
      <c r="L70" s="6"/>
      <c r="M70" s="6"/>
      <c r="N70" s="7"/>
      <c r="O70" s="6"/>
      <c r="P70" s="6"/>
      <c r="Q70" s="7"/>
      <c r="R70" s="6"/>
    </row>
    <row r="71" spans="1:18">
      <c r="A71" s="9"/>
      <c r="B71" s="6"/>
      <c r="C71" s="6"/>
      <c r="D71" s="7"/>
      <c r="E71" s="6"/>
      <c r="F71" s="9"/>
      <c r="G71" s="6"/>
      <c r="H71" s="6"/>
      <c r="I71" s="7"/>
      <c r="J71" s="6"/>
      <c r="K71" s="9"/>
      <c r="L71" s="6"/>
      <c r="M71" s="6"/>
      <c r="N71" s="7"/>
      <c r="O71" s="6"/>
      <c r="P71" s="6"/>
      <c r="Q71" s="7"/>
      <c r="R71" s="6"/>
    </row>
    <row r="72" spans="1:18">
      <c r="A72" s="9"/>
      <c r="B72" s="6"/>
      <c r="C72" s="6"/>
      <c r="D72" s="7"/>
      <c r="E72" s="6"/>
      <c r="F72" s="9"/>
      <c r="G72" s="6"/>
      <c r="H72" s="6"/>
      <c r="I72" s="7"/>
      <c r="J72" s="6"/>
      <c r="K72" s="9"/>
      <c r="L72" s="6"/>
      <c r="M72" s="6"/>
      <c r="N72" s="7"/>
      <c r="O72" s="6"/>
      <c r="P72" s="6"/>
      <c r="Q72" s="7"/>
      <c r="R72" s="6"/>
    </row>
    <row r="73" spans="1:18">
      <c r="A73" s="9"/>
      <c r="B73" s="6"/>
      <c r="C73" s="6"/>
      <c r="D73" s="7"/>
      <c r="E73" s="6"/>
      <c r="F73" s="9"/>
      <c r="G73" s="6"/>
      <c r="H73" s="6"/>
      <c r="I73" s="7"/>
      <c r="J73" s="6"/>
      <c r="K73" s="9"/>
      <c r="L73" s="6"/>
      <c r="M73" s="6"/>
      <c r="N73" s="7"/>
      <c r="O73" s="6"/>
      <c r="P73" s="6"/>
      <c r="Q73" s="7"/>
      <c r="R73" s="6"/>
    </row>
    <row r="74" spans="1:18">
      <c r="A74" s="9"/>
      <c r="B74" s="6"/>
      <c r="C74" s="6"/>
      <c r="D74" s="7"/>
      <c r="E74" s="6"/>
      <c r="F74" s="9"/>
      <c r="G74" s="6"/>
      <c r="H74" s="6"/>
      <c r="I74" s="7"/>
      <c r="J74" s="6"/>
      <c r="K74" s="9"/>
      <c r="L74" s="6"/>
      <c r="M74" s="6"/>
      <c r="N74" s="7"/>
      <c r="O74" s="6"/>
      <c r="P74" s="6"/>
      <c r="Q74" s="7"/>
      <c r="R74" s="6"/>
    </row>
    <row r="75" spans="1:18">
      <c r="A75" s="9"/>
      <c r="B75" s="6"/>
      <c r="C75" s="6"/>
      <c r="D75" s="7"/>
      <c r="E75" s="6"/>
      <c r="F75" s="9"/>
      <c r="G75" s="6"/>
      <c r="H75" s="6"/>
      <c r="I75" s="7"/>
      <c r="J75" s="6"/>
      <c r="K75" s="9"/>
      <c r="L75" s="6"/>
      <c r="M75" s="6"/>
      <c r="N75" s="7"/>
      <c r="O75" s="6"/>
      <c r="P75" s="6"/>
      <c r="Q75" s="7"/>
      <c r="R75" s="6"/>
    </row>
    <row r="76" spans="1:18">
      <c r="A76" s="9"/>
      <c r="B76" s="6"/>
      <c r="C76" s="6"/>
      <c r="D76" s="7"/>
      <c r="E76" s="6"/>
      <c r="F76" s="9"/>
      <c r="G76" s="6"/>
      <c r="H76" s="6"/>
      <c r="I76" s="7"/>
      <c r="J76" s="6"/>
      <c r="K76" s="9"/>
      <c r="L76" s="6"/>
      <c r="M76" s="6"/>
      <c r="N76" s="7"/>
      <c r="O76" s="6"/>
      <c r="P76" s="6"/>
      <c r="Q76" s="7"/>
      <c r="R76" s="6"/>
    </row>
    <row r="77" spans="1:18">
      <c r="A77" s="9"/>
      <c r="B77" s="6"/>
      <c r="C77" s="6"/>
      <c r="D77" s="7"/>
      <c r="E77" s="6"/>
      <c r="F77" s="9"/>
      <c r="G77" s="6"/>
      <c r="H77" s="6"/>
      <c r="I77" s="7"/>
      <c r="J77" s="6"/>
      <c r="K77" s="9"/>
      <c r="L77" s="6"/>
      <c r="M77" s="6"/>
      <c r="N77" s="7"/>
      <c r="O77" s="6"/>
      <c r="P77" s="6"/>
      <c r="Q77" s="7"/>
      <c r="R77" s="6"/>
    </row>
    <row r="78" spans="1:18">
      <c r="A78" s="9"/>
      <c r="B78" s="6"/>
      <c r="C78" s="6"/>
      <c r="D78" s="7"/>
      <c r="E78" s="6"/>
      <c r="F78" s="9"/>
      <c r="G78" s="6"/>
      <c r="H78" s="6"/>
      <c r="I78" s="7"/>
      <c r="J78" s="6"/>
      <c r="K78" s="9"/>
      <c r="L78" s="6"/>
      <c r="M78" s="6"/>
      <c r="N78" s="7"/>
      <c r="O78" s="6"/>
      <c r="P78" s="6"/>
      <c r="Q78" s="7"/>
      <c r="R78" s="6"/>
    </row>
    <row r="79" spans="1:18">
      <c r="A79" s="9"/>
      <c r="B79" s="6"/>
      <c r="C79" s="6"/>
      <c r="D79" s="7"/>
      <c r="E79" s="6"/>
      <c r="F79" s="9"/>
      <c r="G79" s="6"/>
      <c r="H79" s="6"/>
      <c r="I79" s="7"/>
      <c r="J79" s="6"/>
      <c r="K79" s="9"/>
      <c r="L79" s="6"/>
      <c r="M79" s="6"/>
      <c r="N79" s="7"/>
      <c r="O79" s="6"/>
      <c r="P79" s="6"/>
      <c r="Q79" s="7"/>
      <c r="R79" s="6"/>
    </row>
    <row r="80" spans="1:18">
      <c r="A80" s="9"/>
      <c r="B80" s="6"/>
      <c r="C80" s="6"/>
      <c r="D80" s="7"/>
      <c r="E80" s="6"/>
      <c r="F80" s="9"/>
      <c r="G80" s="6"/>
      <c r="H80" s="6"/>
      <c r="I80" s="7"/>
      <c r="J80" s="6"/>
      <c r="K80" s="9"/>
      <c r="L80" s="6"/>
      <c r="M80" s="6"/>
      <c r="N80" s="7"/>
      <c r="O80" s="6"/>
      <c r="P80" s="6"/>
      <c r="Q80" s="7"/>
      <c r="R80" s="6"/>
    </row>
    <row r="81" spans="1:18">
      <c r="A81" s="9"/>
      <c r="B81" s="6"/>
      <c r="C81" s="6"/>
      <c r="D81" s="7"/>
      <c r="E81" s="6"/>
      <c r="F81" s="9"/>
      <c r="G81" s="6"/>
      <c r="H81" s="6"/>
      <c r="I81" s="7"/>
      <c r="J81" s="6"/>
      <c r="K81" s="9"/>
      <c r="L81" s="6"/>
      <c r="M81" s="6"/>
      <c r="N81" s="7"/>
      <c r="O81" s="6"/>
      <c r="P81" s="6"/>
      <c r="Q81" s="7"/>
      <c r="R81" s="6"/>
    </row>
    <row r="82" spans="1:18">
      <c r="A82" s="9"/>
      <c r="B82" s="6"/>
      <c r="C82" s="6"/>
      <c r="D82" s="7"/>
      <c r="E82" s="6"/>
      <c r="F82" s="9"/>
      <c r="G82" s="6"/>
      <c r="H82" s="6"/>
      <c r="I82" s="7"/>
      <c r="J82" s="6"/>
      <c r="K82" s="9"/>
      <c r="L82" s="6"/>
      <c r="M82" s="6"/>
      <c r="N82" s="7"/>
      <c r="O82" s="6"/>
      <c r="P82" s="6"/>
      <c r="Q82" s="7"/>
      <c r="R82" s="6"/>
    </row>
    <row r="83" spans="1:18">
      <c r="A83" s="9"/>
      <c r="B83" s="6"/>
      <c r="C83" s="6"/>
      <c r="D83" s="7"/>
      <c r="E83" s="6"/>
      <c r="F83" s="9"/>
      <c r="G83" s="6"/>
      <c r="H83" s="6"/>
      <c r="I83" s="7"/>
      <c r="J83" s="6"/>
      <c r="K83" s="9"/>
      <c r="L83" s="6"/>
      <c r="M83" s="6"/>
      <c r="N83" s="7"/>
      <c r="O83" s="6"/>
      <c r="P83" s="6"/>
      <c r="Q83" s="7"/>
      <c r="R83" s="6"/>
    </row>
    <row r="84" spans="1:18">
      <c r="A84" s="9"/>
      <c r="B84" s="6"/>
      <c r="C84" s="6"/>
      <c r="D84" s="7"/>
      <c r="E84" s="6"/>
      <c r="F84" s="9"/>
      <c r="G84" s="6"/>
      <c r="H84" s="6"/>
      <c r="I84" s="7"/>
      <c r="J84" s="6"/>
      <c r="K84" s="9"/>
      <c r="L84" s="6"/>
      <c r="M84" s="6"/>
      <c r="N84" s="7"/>
      <c r="O84" s="6"/>
      <c r="P84" s="6"/>
      <c r="Q84" s="7"/>
      <c r="R84" s="6"/>
    </row>
    <row r="85" spans="1:18">
      <c r="A85" s="9"/>
      <c r="B85" s="6"/>
      <c r="C85" s="6"/>
      <c r="D85" s="7"/>
      <c r="E85" s="6"/>
      <c r="F85" s="9"/>
      <c r="G85" s="6"/>
      <c r="H85" s="6"/>
      <c r="I85" s="7"/>
      <c r="J85" s="6"/>
      <c r="K85" s="9"/>
      <c r="L85" s="6"/>
      <c r="M85" s="6"/>
      <c r="N85" s="7"/>
      <c r="O85" s="6"/>
      <c r="P85" s="6"/>
      <c r="Q85" s="7"/>
      <c r="R85" s="6"/>
    </row>
    <row r="86" spans="1:18">
      <c r="A86" s="9"/>
      <c r="B86" s="6"/>
      <c r="C86" s="6"/>
      <c r="D86" s="7"/>
      <c r="E86" s="6"/>
      <c r="F86" s="9"/>
      <c r="G86" s="6"/>
      <c r="H86" s="6"/>
      <c r="I86" s="7"/>
      <c r="J86" s="6"/>
      <c r="K86" s="9"/>
      <c r="L86" s="6"/>
      <c r="M86" s="6"/>
      <c r="N86" s="7"/>
      <c r="O86" s="6"/>
      <c r="P86" s="6"/>
      <c r="Q86" s="7"/>
      <c r="R86" s="6"/>
    </row>
    <row r="87" spans="1:18">
      <c r="A87" s="9"/>
      <c r="B87" s="6"/>
      <c r="C87" s="6"/>
      <c r="D87" s="7"/>
      <c r="E87" s="6"/>
      <c r="F87" s="9"/>
      <c r="G87" s="6"/>
      <c r="H87" s="6"/>
      <c r="I87" s="7"/>
      <c r="J87" s="6"/>
      <c r="K87" s="9"/>
      <c r="L87" s="6"/>
      <c r="M87" s="6"/>
      <c r="N87" s="7"/>
      <c r="O87" s="6"/>
      <c r="P87" s="6"/>
      <c r="Q87" s="7"/>
      <c r="R87" s="6"/>
    </row>
    <row r="88" spans="1:18">
      <c r="A88" s="9"/>
      <c r="B88" s="6"/>
      <c r="C88" s="6"/>
      <c r="D88" s="7"/>
      <c r="E88" s="6"/>
      <c r="F88" s="9"/>
      <c r="G88" s="6"/>
      <c r="H88" s="6"/>
      <c r="I88" s="7"/>
      <c r="J88" s="6"/>
      <c r="K88" s="9"/>
      <c r="L88" s="6"/>
      <c r="M88" s="6"/>
      <c r="N88" s="7"/>
      <c r="O88" s="6"/>
      <c r="P88" s="6"/>
      <c r="Q88" s="7"/>
      <c r="R88" s="6"/>
    </row>
    <row r="89" spans="1:18">
      <c r="A89" s="9"/>
      <c r="B89" s="6"/>
      <c r="C89" s="6"/>
      <c r="D89" s="7"/>
      <c r="E89" s="6"/>
      <c r="F89" s="9"/>
      <c r="G89" s="6"/>
      <c r="H89" s="6"/>
      <c r="I89" s="7"/>
      <c r="J89" s="6"/>
      <c r="K89" s="9"/>
      <c r="L89" s="6"/>
      <c r="M89" s="6"/>
      <c r="N89" s="7"/>
      <c r="O89" s="6"/>
      <c r="P89" s="6"/>
      <c r="Q89" s="7"/>
      <c r="R89" s="6"/>
    </row>
    <row r="90" spans="1:18">
      <c r="A90" s="9"/>
      <c r="B90" s="6"/>
      <c r="C90" s="6"/>
      <c r="D90" s="7"/>
      <c r="E90" s="6"/>
      <c r="F90" s="9"/>
      <c r="G90" s="6"/>
      <c r="H90" s="6"/>
      <c r="I90" s="7"/>
      <c r="J90" s="6"/>
      <c r="K90" s="9"/>
      <c r="L90" s="6"/>
      <c r="M90" s="6"/>
      <c r="N90" s="7"/>
      <c r="O90" s="6"/>
      <c r="P90" s="6"/>
      <c r="Q90" s="7"/>
      <c r="R90" s="6"/>
    </row>
    <row r="91" spans="1:18">
      <c r="A91" s="9"/>
      <c r="B91" s="6"/>
      <c r="C91" s="6"/>
      <c r="D91" s="7"/>
      <c r="E91" s="6"/>
      <c r="F91" s="9"/>
      <c r="G91" s="6"/>
      <c r="H91" s="6"/>
      <c r="I91" s="7"/>
      <c r="J91" s="6"/>
      <c r="K91" s="9"/>
      <c r="L91" s="6"/>
      <c r="M91" s="6"/>
      <c r="N91" s="7"/>
      <c r="O91" s="6"/>
      <c r="P91" s="6"/>
      <c r="Q91" s="7"/>
      <c r="R91" s="6"/>
    </row>
    <row r="92" spans="1:18">
      <c r="A92" s="9"/>
      <c r="B92" s="6"/>
      <c r="C92" s="6"/>
      <c r="D92" s="7"/>
      <c r="E92" s="6"/>
      <c r="F92" s="9"/>
      <c r="G92" s="6"/>
      <c r="H92" s="6"/>
      <c r="I92" s="7"/>
      <c r="J92" s="6"/>
      <c r="K92" s="9"/>
      <c r="L92" s="6"/>
      <c r="M92" s="6"/>
      <c r="N92" s="7"/>
      <c r="O92" s="6"/>
      <c r="P92" s="6"/>
      <c r="Q92" s="7"/>
      <c r="R92" s="6"/>
    </row>
    <row r="93" spans="1:18">
      <c r="A93" s="9"/>
      <c r="B93" s="6"/>
      <c r="C93" s="6"/>
      <c r="D93" s="7"/>
      <c r="E93" s="6"/>
      <c r="F93" s="9"/>
      <c r="G93" s="6"/>
      <c r="H93" s="6"/>
      <c r="I93" s="7"/>
      <c r="J93" s="6"/>
      <c r="K93" s="9"/>
      <c r="L93" s="6"/>
      <c r="M93" s="6"/>
      <c r="N93" s="7"/>
      <c r="O93" s="6"/>
      <c r="P93" s="6"/>
      <c r="Q93" s="7"/>
      <c r="R93" s="6"/>
    </row>
    <row r="94" spans="1:18">
      <c r="A94" s="9"/>
      <c r="B94" s="6"/>
      <c r="C94" s="6"/>
      <c r="D94" s="7"/>
      <c r="E94" s="6"/>
      <c r="F94" s="9"/>
      <c r="G94" s="6"/>
      <c r="H94" s="6"/>
      <c r="I94" s="7"/>
      <c r="J94" s="6"/>
      <c r="K94" s="9"/>
      <c r="L94" s="6"/>
      <c r="M94" s="6"/>
      <c r="N94" s="7"/>
      <c r="O94" s="6"/>
      <c r="P94" s="6"/>
      <c r="Q94" s="7"/>
      <c r="R94" s="6"/>
    </row>
    <row r="95" spans="1:18">
      <c r="A95" s="9"/>
      <c r="B95" s="6"/>
      <c r="C95" s="6"/>
      <c r="D95" s="7"/>
      <c r="E95" s="6"/>
      <c r="F95" s="9"/>
      <c r="G95" s="6"/>
      <c r="H95" s="6"/>
      <c r="I95" s="7"/>
      <c r="J95" s="6"/>
      <c r="K95" s="9"/>
      <c r="L95" s="6"/>
      <c r="M95" s="6"/>
      <c r="N95" s="7"/>
      <c r="O95" s="6"/>
      <c r="P95" s="6"/>
      <c r="Q95" s="7"/>
      <c r="R95" s="6"/>
    </row>
    <row r="96" spans="1:18">
      <c r="A96" s="9"/>
      <c r="B96" s="6"/>
      <c r="C96" s="6"/>
      <c r="D96" s="7"/>
      <c r="E96" s="6"/>
      <c r="F96" s="9"/>
      <c r="G96" s="6"/>
      <c r="H96" s="6"/>
      <c r="I96" s="7"/>
      <c r="J96" s="6"/>
      <c r="K96" s="9"/>
      <c r="L96" s="6"/>
      <c r="M96" s="6"/>
      <c r="N96" s="7"/>
      <c r="O96" s="6"/>
      <c r="P96" s="6"/>
      <c r="Q96" s="7"/>
      <c r="R96" s="6"/>
    </row>
    <row r="97" spans="1:18">
      <c r="A97" s="9"/>
      <c r="B97" s="6"/>
      <c r="C97" s="6"/>
      <c r="D97" s="7"/>
      <c r="E97" s="6"/>
      <c r="F97" s="9"/>
      <c r="G97" s="6"/>
      <c r="H97" s="6"/>
      <c r="I97" s="7"/>
      <c r="J97" s="6"/>
      <c r="K97" s="9"/>
      <c r="L97" s="6"/>
      <c r="M97" s="6"/>
      <c r="N97" s="7"/>
      <c r="O97" s="6"/>
      <c r="P97" s="6"/>
      <c r="Q97" s="7"/>
      <c r="R97" s="6"/>
    </row>
    <row r="98" spans="1:18">
      <c r="A98" s="9"/>
      <c r="B98" s="6"/>
      <c r="C98" s="6"/>
      <c r="D98" s="7"/>
      <c r="E98" s="6"/>
      <c r="F98" s="9"/>
      <c r="G98" s="6"/>
      <c r="H98" s="6"/>
      <c r="I98" s="7"/>
      <c r="J98" s="6"/>
      <c r="K98" s="9"/>
      <c r="L98" s="6"/>
      <c r="M98" s="6"/>
      <c r="N98" s="7"/>
      <c r="O98" s="6"/>
      <c r="P98" s="6"/>
      <c r="Q98" s="7"/>
      <c r="R98" s="6"/>
    </row>
    <row r="99" spans="1:18">
      <c r="A99" s="9"/>
      <c r="B99" s="6"/>
      <c r="C99" s="6"/>
      <c r="D99" s="7"/>
      <c r="E99" s="6"/>
      <c r="F99" s="9"/>
      <c r="G99" s="6"/>
      <c r="H99" s="6"/>
      <c r="I99" s="7"/>
      <c r="J99" s="6"/>
      <c r="K99" s="9"/>
      <c r="L99" s="6"/>
      <c r="M99" s="6"/>
      <c r="N99" s="7"/>
      <c r="O99" s="6"/>
      <c r="P99" s="6"/>
      <c r="Q99" s="7"/>
      <c r="R99" s="6"/>
    </row>
    <row r="100" spans="1:18">
      <c r="A100" s="9"/>
      <c r="B100" s="6"/>
      <c r="C100" s="6"/>
      <c r="D100" s="7"/>
      <c r="E100" s="6"/>
      <c r="F100" s="9"/>
      <c r="G100" s="6"/>
      <c r="H100" s="6"/>
      <c r="I100" s="7"/>
      <c r="J100" s="6"/>
      <c r="K100" s="9"/>
      <c r="L100" s="6"/>
      <c r="M100" s="6"/>
      <c r="N100" s="7"/>
      <c r="O100" s="6"/>
      <c r="P100" s="6"/>
      <c r="Q100" s="7"/>
      <c r="R100" s="6"/>
    </row>
    <row r="101" spans="1:18">
      <c r="A101" s="9"/>
      <c r="B101" s="6"/>
      <c r="C101" s="6"/>
      <c r="D101" s="7"/>
      <c r="E101" s="6"/>
      <c r="F101" s="9"/>
      <c r="G101" s="6"/>
      <c r="H101" s="6"/>
      <c r="I101" s="7"/>
      <c r="J101" s="6"/>
      <c r="K101" s="9"/>
      <c r="L101" s="6"/>
      <c r="M101" s="6"/>
      <c r="N101" s="7"/>
      <c r="O101" s="6"/>
      <c r="P101" s="6"/>
      <c r="Q101" s="7"/>
      <c r="R101" s="6"/>
    </row>
    <row r="102" spans="1:18">
      <c r="A102" s="9"/>
      <c r="B102" s="6"/>
      <c r="C102" s="6"/>
      <c r="D102" s="7"/>
      <c r="E102" s="6"/>
      <c r="F102" s="9"/>
      <c r="G102" s="6"/>
      <c r="H102" s="6"/>
      <c r="I102" s="7"/>
      <c r="J102" s="6"/>
      <c r="K102" s="9"/>
      <c r="L102" s="6"/>
      <c r="M102" s="6"/>
      <c r="N102" s="7"/>
      <c r="O102" s="6"/>
      <c r="P102" s="6"/>
      <c r="Q102" s="7"/>
      <c r="R102" s="6"/>
    </row>
    <row r="103" spans="1:18">
      <c r="A103" s="9"/>
      <c r="B103" s="6"/>
      <c r="C103" s="6"/>
      <c r="D103" s="7"/>
      <c r="E103" s="6"/>
      <c r="F103" s="9"/>
      <c r="G103" s="6"/>
      <c r="H103" s="6"/>
      <c r="I103" s="7"/>
      <c r="J103" s="6"/>
      <c r="K103" s="9"/>
      <c r="L103" s="6"/>
      <c r="M103" s="6"/>
      <c r="N103" s="7"/>
      <c r="O103" s="6"/>
      <c r="P103" s="6"/>
      <c r="Q103" s="7"/>
      <c r="R103" s="6"/>
    </row>
    <row r="104" spans="1:18">
      <c r="A104" s="9"/>
      <c r="B104" s="6"/>
      <c r="C104" s="6"/>
      <c r="D104" s="7"/>
      <c r="E104" s="6"/>
      <c r="F104" s="9"/>
      <c r="G104" s="6"/>
      <c r="H104" s="6"/>
      <c r="I104" s="7"/>
      <c r="J104" s="6"/>
      <c r="K104" s="9"/>
      <c r="L104" s="6"/>
      <c r="M104" s="6"/>
      <c r="N104" s="7"/>
      <c r="O104" s="6"/>
      <c r="P104" s="6"/>
      <c r="Q104" s="7"/>
      <c r="R104" s="6"/>
    </row>
    <row r="105" spans="1:18">
      <c r="A105" s="9"/>
      <c r="B105" s="6"/>
      <c r="C105" s="6"/>
      <c r="D105" s="7"/>
      <c r="E105" s="6"/>
      <c r="F105" s="9"/>
      <c r="G105" s="6"/>
      <c r="H105" s="6"/>
      <c r="I105" s="7"/>
      <c r="J105" s="6"/>
      <c r="K105" s="9"/>
      <c r="L105" s="6"/>
      <c r="M105" s="6"/>
      <c r="N105" s="7"/>
      <c r="O105" s="6"/>
      <c r="P105" s="6"/>
      <c r="Q105" s="7"/>
      <c r="R105" s="6"/>
    </row>
    <row r="106" spans="1:18">
      <c r="A106" s="9"/>
      <c r="B106" s="6"/>
      <c r="C106" s="6"/>
      <c r="D106" s="7"/>
      <c r="E106" s="6"/>
      <c r="F106" s="9"/>
      <c r="G106" s="6"/>
      <c r="H106" s="6"/>
      <c r="I106" s="7"/>
      <c r="J106" s="6"/>
      <c r="K106" s="9"/>
      <c r="L106" s="6"/>
      <c r="M106" s="6"/>
      <c r="N106" s="7"/>
      <c r="O106" s="6"/>
      <c r="P106" s="6"/>
      <c r="Q106" s="7"/>
      <c r="R106" s="6"/>
    </row>
    <row r="107" spans="1:18">
      <c r="A107" s="9"/>
      <c r="B107" s="6"/>
      <c r="C107" s="6"/>
      <c r="D107" s="7"/>
      <c r="E107" s="6"/>
      <c r="F107" s="9"/>
      <c r="G107" s="6"/>
      <c r="H107" s="6"/>
      <c r="I107" s="7"/>
      <c r="J107" s="6"/>
      <c r="K107" s="9"/>
      <c r="L107" s="6"/>
      <c r="M107" s="6"/>
      <c r="N107" s="7"/>
      <c r="O107" s="6"/>
      <c r="P107" s="6"/>
      <c r="Q107" s="7"/>
      <c r="R107" s="6"/>
    </row>
    <row r="108" spans="1:18">
      <c r="A108" s="9"/>
      <c r="B108" s="6"/>
      <c r="C108" s="6"/>
      <c r="D108" s="7"/>
      <c r="E108" s="6"/>
      <c r="F108" s="9"/>
      <c r="G108" s="6"/>
      <c r="H108" s="6"/>
      <c r="I108" s="7"/>
      <c r="J108" s="6"/>
      <c r="K108" s="9"/>
      <c r="L108" s="6"/>
      <c r="M108" s="6"/>
      <c r="N108" s="7"/>
      <c r="O108" s="6"/>
      <c r="P108" s="6"/>
      <c r="Q108" s="7"/>
      <c r="R108" s="6"/>
    </row>
    <row r="109" spans="1:18">
      <c r="A109" s="9"/>
      <c r="B109" s="6"/>
      <c r="C109" s="6"/>
      <c r="D109" s="7"/>
      <c r="E109" s="6"/>
      <c r="F109" s="9"/>
      <c r="G109" s="6"/>
      <c r="H109" s="6"/>
      <c r="I109" s="7"/>
      <c r="J109" s="6"/>
      <c r="K109" s="9"/>
      <c r="L109" s="6"/>
      <c r="M109" s="6"/>
      <c r="N109" s="7"/>
      <c r="O109" s="6"/>
      <c r="P109" s="6"/>
      <c r="Q109" s="7"/>
      <c r="R109" s="6"/>
    </row>
    <row r="110" spans="1:18">
      <c r="A110" s="9"/>
      <c r="B110" s="6"/>
      <c r="C110" s="6"/>
      <c r="D110" s="7"/>
      <c r="E110" s="6"/>
      <c r="F110" s="9"/>
      <c r="G110" s="6"/>
      <c r="H110" s="6"/>
      <c r="I110" s="7"/>
      <c r="J110" s="6"/>
      <c r="K110" s="9"/>
      <c r="L110" s="6"/>
      <c r="M110" s="6"/>
      <c r="N110" s="7"/>
      <c r="O110" s="6"/>
      <c r="P110" s="6"/>
      <c r="Q110" s="7"/>
      <c r="R110" s="6"/>
    </row>
    <row r="111" spans="1:18">
      <c r="A111" s="9"/>
      <c r="B111" s="6"/>
      <c r="C111" s="6"/>
      <c r="D111" s="7"/>
      <c r="E111" s="6"/>
      <c r="F111" s="9"/>
      <c r="G111" s="6"/>
      <c r="H111" s="6"/>
      <c r="I111" s="7"/>
      <c r="J111" s="6"/>
      <c r="K111" s="9"/>
      <c r="L111" s="6"/>
      <c r="M111" s="6"/>
      <c r="N111" s="7"/>
      <c r="O111" s="6"/>
      <c r="P111" s="6"/>
      <c r="Q111" s="7"/>
      <c r="R111" s="6"/>
    </row>
    <row r="112" spans="1:18">
      <c r="A112" s="9"/>
      <c r="B112" s="6"/>
      <c r="C112" s="6"/>
      <c r="D112" s="7"/>
      <c r="E112" s="6"/>
      <c r="F112" s="9"/>
      <c r="G112" s="6"/>
      <c r="H112" s="6"/>
      <c r="I112" s="7"/>
      <c r="J112" s="6"/>
      <c r="K112" s="9"/>
      <c r="L112" s="6"/>
      <c r="M112" s="6"/>
      <c r="N112" s="7"/>
      <c r="O112" s="6"/>
      <c r="P112" s="6"/>
      <c r="Q112" s="7"/>
      <c r="R112" s="6"/>
    </row>
    <row r="113" spans="1:18">
      <c r="A113" s="9"/>
      <c r="B113" s="6"/>
      <c r="C113" s="6"/>
      <c r="D113" s="7"/>
      <c r="E113" s="6"/>
      <c r="F113" s="9"/>
      <c r="G113" s="6"/>
      <c r="H113" s="6"/>
      <c r="I113" s="7"/>
      <c r="J113" s="6"/>
      <c r="K113" s="9"/>
      <c r="L113" s="6"/>
      <c r="M113" s="6"/>
      <c r="N113" s="7"/>
      <c r="O113" s="6"/>
      <c r="P113" s="6"/>
      <c r="Q113" s="7"/>
      <c r="R113" s="6"/>
    </row>
    <row r="114" spans="1:18">
      <c r="A114" s="9"/>
      <c r="B114" s="6"/>
      <c r="C114" s="6"/>
      <c r="D114" s="7"/>
      <c r="E114" s="6"/>
      <c r="F114" s="9"/>
      <c r="G114" s="6"/>
      <c r="H114" s="6"/>
      <c r="I114" s="7"/>
      <c r="J114" s="6"/>
      <c r="K114" s="9"/>
      <c r="L114" s="6"/>
      <c r="M114" s="6"/>
      <c r="N114" s="7"/>
      <c r="O114" s="6"/>
      <c r="P114" s="6"/>
      <c r="Q114" s="7"/>
      <c r="R114" s="6"/>
    </row>
    <row r="115" spans="1:18">
      <c r="A115" s="9"/>
      <c r="B115" s="6"/>
      <c r="C115" s="6"/>
      <c r="D115" s="7"/>
      <c r="E115" s="6"/>
      <c r="F115" s="9"/>
      <c r="G115" s="6"/>
      <c r="H115" s="6"/>
      <c r="I115" s="7"/>
      <c r="J115" s="6"/>
      <c r="K115" s="9"/>
      <c r="L115" s="6"/>
      <c r="M115" s="6"/>
      <c r="N115" s="7"/>
      <c r="O115" s="6"/>
      <c r="P115" s="6"/>
      <c r="Q115" s="7"/>
      <c r="R115" s="6"/>
    </row>
    <row r="116" spans="1:18">
      <c r="A116" s="9"/>
      <c r="B116" s="6"/>
      <c r="C116" s="6"/>
      <c r="D116" s="7"/>
      <c r="E116" s="6"/>
      <c r="F116" s="9"/>
      <c r="G116" s="6"/>
      <c r="H116" s="6"/>
      <c r="I116" s="7"/>
      <c r="J116" s="6"/>
      <c r="K116" s="9"/>
      <c r="L116" s="6"/>
      <c r="M116" s="6"/>
      <c r="N116" s="7"/>
      <c r="O116" s="6"/>
      <c r="P116" s="6"/>
      <c r="Q116" s="7"/>
      <c r="R116" s="6"/>
    </row>
    <row r="117" spans="1:18">
      <c r="A117" s="9"/>
      <c r="B117" s="6"/>
      <c r="C117" s="6"/>
      <c r="D117" s="7"/>
      <c r="E117" s="6"/>
      <c r="F117" s="9"/>
      <c r="G117" s="6"/>
      <c r="H117" s="6"/>
      <c r="I117" s="7"/>
      <c r="J117" s="6"/>
      <c r="K117" s="9"/>
      <c r="L117" s="6"/>
      <c r="M117" s="6"/>
      <c r="N117" s="7"/>
      <c r="O117" s="6"/>
      <c r="P117" s="6"/>
      <c r="Q117" s="7"/>
      <c r="R117" s="6"/>
    </row>
    <row r="118" spans="1:18">
      <c r="A118" s="9"/>
      <c r="B118" s="6"/>
      <c r="C118" s="6"/>
      <c r="D118" s="7"/>
      <c r="E118" s="6"/>
      <c r="F118" s="9"/>
      <c r="G118" s="6"/>
      <c r="H118" s="6"/>
      <c r="I118" s="7"/>
      <c r="J118" s="6"/>
      <c r="K118" s="9"/>
      <c r="L118" s="6"/>
      <c r="M118" s="6"/>
      <c r="N118" s="7"/>
      <c r="O118" s="6"/>
      <c r="P118" s="6"/>
      <c r="Q118" s="7"/>
      <c r="R118" s="6"/>
    </row>
    <row r="119" spans="1:18">
      <c r="A119" s="9"/>
      <c r="B119" s="6"/>
      <c r="C119" s="6"/>
      <c r="D119" s="7"/>
      <c r="E119" s="6"/>
      <c r="F119" s="9"/>
      <c r="G119" s="6"/>
      <c r="H119" s="6"/>
      <c r="I119" s="7"/>
      <c r="J119" s="6"/>
      <c r="K119" s="9"/>
      <c r="L119" s="6"/>
      <c r="M119" s="6"/>
      <c r="N119" s="7"/>
      <c r="O119" s="6"/>
      <c r="P119" s="6"/>
      <c r="Q119" s="7"/>
      <c r="R119" s="6"/>
    </row>
    <row r="120" spans="1:18">
      <c r="A120" s="9"/>
      <c r="B120" s="6"/>
      <c r="C120" s="6"/>
      <c r="D120" s="7"/>
      <c r="E120" s="6"/>
      <c r="F120" s="9"/>
      <c r="G120" s="6"/>
      <c r="H120" s="6"/>
      <c r="I120" s="7"/>
      <c r="J120" s="6"/>
      <c r="K120" s="9"/>
      <c r="L120" s="6"/>
      <c r="M120" s="6"/>
      <c r="N120" s="7"/>
      <c r="O120" s="6"/>
      <c r="P120" s="6"/>
      <c r="Q120" s="7"/>
      <c r="R120" s="6"/>
    </row>
    <row r="121" spans="1:18">
      <c r="A121" s="9"/>
      <c r="B121" s="6"/>
      <c r="C121" s="6"/>
      <c r="D121" s="7"/>
      <c r="E121" s="6"/>
      <c r="F121" s="9"/>
      <c r="G121" s="6"/>
      <c r="H121" s="6"/>
      <c r="I121" s="7"/>
      <c r="J121" s="6"/>
      <c r="K121" s="9"/>
      <c r="L121" s="6"/>
      <c r="M121" s="6"/>
      <c r="N121" s="7"/>
      <c r="O121" s="6"/>
      <c r="P121" s="6"/>
      <c r="Q121" s="7"/>
      <c r="R121" s="6"/>
    </row>
    <row r="122" spans="1:18">
      <c r="A122" s="9"/>
      <c r="B122" s="6"/>
      <c r="C122" s="6"/>
      <c r="D122" s="7"/>
      <c r="E122" s="6"/>
      <c r="F122" s="9"/>
      <c r="G122" s="6"/>
      <c r="H122" s="6"/>
      <c r="I122" s="7"/>
      <c r="J122" s="6"/>
      <c r="K122" s="9"/>
      <c r="L122" s="6"/>
      <c r="M122" s="6"/>
      <c r="N122" s="7"/>
      <c r="O122" s="6"/>
      <c r="P122" s="6"/>
      <c r="Q122" s="7"/>
      <c r="R122" s="6"/>
    </row>
    <row r="123" spans="1:18">
      <c r="A123" s="9"/>
      <c r="B123" s="6"/>
      <c r="C123" s="6"/>
      <c r="D123" s="7"/>
      <c r="E123" s="6"/>
      <c r="F123" s="9"/>
      <c r="G123" s="6"/>
      <c r="H123" s="6"/>
      <c r="I123" s="7"/>
      <c r="J123" s="6"/>
      <c r="K123" s="9"/>
      <c r="L123" s="6"/>
      <c r="M123" s="6"/>
      <c r="N123" s="7"/>
      <c r="O123" s="6"/>
      <c r="P123" s="6"/>
      <c r="Q123" s="7"/>
      <c r="R123" s="6"/>
    </row>
    <row r="124" spans="1:18">
      <c r="A124" s="9"/>
      <c r="B124" s="6"/>
      <c r="C124" s="6"/>
      <c r="D124" s="7"/>
      <c r="E124" s="6"/>
      <c r="F124" s="9"/>
      <c r="G124" s="6"/>
      <c r="H124" s="6"/>
      <c r="I124" s="7"/>
      <c r="J124" s="6"/>
      <c r="K124" s="9"/>
      <c r="L124" s="6"/>
      <c r="M124" s="6"/>
      <c r="N124" s="7"/>
      <c r="O124" s="6"/>
      <c r="P124" s="6"/>
      <c r="Q124" s="7"/>
      <c r="R124" s="6"/>
    </row>
    <row r="125" spans="1:18">
      <c r="A125" s="9"/>
      <c r="B125" s="6"/>
      <c r="C125" s="6"/>
      <c r="D125" s="7"/>
      <c r="E125" s="6"/>
      <c r="F125" s="9"/>
      <c r="G125" s="6"/>
      <c r="H125" s="6"/>
      <c r="I125" s="7"/>
      <c r="J125" s="6"/>
      <c r="K125" s="9"/>
      <c r="L125" s="6"/>
      <c r="M125" s="6"/>
      <c r="N125" s="7"/>
      <c r="O125" s="6"/>
      <c r="P125" s="6"/>
      <c r="Q125" s="7"/>
      <c r="R125" s="6"/>
    </row>
    <row r="126" spans="1:18">
      <c r="A126" s="9"/>
      <c r="B126" s="6"/>
      <c r="C126" s="6"/>
      <c r="D126" s="7"/>
      <c r="E126" s="6"/>
      <c r="F126" s="9"/>
      <c r="G126" s="6"/>
      <c r="H126" s="6"/>
      <c r="I126" s="7"/>
      <c r="J126" s="6"/>
      <c r="K126" s="9"/>
      <c r="L126" s="6"/>
      <c r="M126" s="6"/>
      <c r="N126" s="7"/>
      <c r="O126" s="6"/>
      <c r="P126" s="6"/>
      <c r="Q126" s="7"/>
      <c r="R126" s="6"/>
    </row>
    <row r="127" spans="1:18">
      <c r="A127" s="9"/>
      <c r="B127" s="6"/>
      <c r="C127" s="6"/>
      <c r="D127" s="7"/>
      <c r="E127" s="6"/>
      <c r="F127" s="9"/>
      <c r="G127" s="6"/>
      <c r="H127" s="6"/>
      <c r="I127" s="7"/>
      <c r="J127" s="6"/>
      <c r="O127" s="6"/>
      <c r="R127" s="6"/>
    </row>
    <row r="128" spans="1:18">
      <c r="A128" s="9"/>
      <c r="B128" s="6"/>
      <c r="C128" s="6"/>
      <c r="D128" s="7"/>
      <c r="F128" s="9"/>
      <c r="G128" s="6"/>
      <c r="H128" s="6"/>
      <c r="I128" s="7"/>
    </row>
    <row r="129" spans="1:9">
      <c r="A129" s="9"/>
      <c r="B129" s="6"/>
      <c r="C129" s="6"/>
      <c r="D129" s="7"/>
      <c r="F129" s="9"/>
      <c r="G129" s="6"/>
      <c r="H129" s="6"/>
      <c r="I129" s="7"/>
    </row>
    <row r="130" spans="1:9">
      <c r="A130" s="9"/>
      <c r="B130" s="6"/>
      <c r="C130" s="6"/>
      <c r="D130" s="7"/>
    </row>
    <row r="131" spans="1:9">
      <c r="A131" s="9"/>
      <c r="B131" s="6"/>
      <c r="C131" s="6"/>
      <c r="D131" s="7"/>
    </row>
    <row r="132" spans="1:9">
      <c r="A132" s="9"/>
      <c r="B132" s="6"/>
      <c r="C132" s="6"/>
      <c r="D132" s="7"/>
    </row>
    <row r="133" spans="1:9">
      <c r="A133" s="9"/>
      <c r="B133" s="6"/>
      <c r="C133" s="6"/>
      <c r="D133" s="7"/>
    </row>
    <row r="134" spans="1:9">
      <c r="A134" s="9"/>
      <c r="B134" s="6"/>
      <c r="C134" s="6"/>
      <c r="D134" s="7"/>
    </row>
    <row r="135" spans="1:9">
      <c r="A135" s="9"/>
      <c r="B135" s="6"/>
      <c r="C135" s="6"/>
      <c r="D135" s="7"/>
    </row>
    <row r="136" spans="1:9">
      <c r="A136" s="9"/>
      <c r="B136" s="6"/>
      <c r="C136" s="6"/>
      <c r="D136" s="7"/>
    </row>
    <row r="137" spans="1:9">
      <c r="A137" s="9"/>
      <c r="B137" s="6"/>
      <c r="C137" s="6"/>
      <c r="D137" s="7"/>
    </row>
    <row r="138" spans="1:9">
      <c r="A138" s="9"/>
      <c r="B138" s="6"/>
      <c r="C138" s="6"/>
      <c r="D138" s="7"/>
    </row>
    <row r="139" spans="1:9">
      <c r="A139" s="9"/>
      <c r="B139" s="6"/>
      <c r="C139" s="6"/>
      <c r="D139" s="7"/>
    </row>
    <row r="140" spans="1:9">
      <c r="A140" s="9"/>
      <c r="B140" s="6"/>
      <c r="C140" s="6"/>
      <c r="D140" s="7"/>
    </row>
    <row r="141" spans="1:9">
      <c r="A141" s="9"/>
      <c r="B141" s="6"/>
      <c r="C141" s="6"/>
      <c r="D141" s="7"/>
    </row>
    <row r="142" spans="1:9">
      <c r="A142" s="9"/>
      <c r="B142" s="6"/>
      <c r="C142" s="6"/>
      <c r="D142" s="7"/>
    </row>
    <row r="143" spans="1:9">
      <c r="A143" s="9"/>
      <c r="B143" s="6"/>
      <c r="C143" s="6"/>
      <c r="D143" s="7"/>
    </row>
    <row r="144" spans="1:9">
      <c r="A144" s="9"/>
      <c r="B144" s="6"/>
      <c r="C144" s="6"/>
      <c r="D144" s="7"/>
    </row>
    <row r="145" spans="1:4">
      <c r="A145" s="9"/>
      <c r="B145" s="6"/>
      <c r="C145" s="6"/>
      <c r="D145" s="7"/>
    </row>
  </sheetData>
  <mergeCells count="22">
    <mergeCell ref="F8:H8"/>
    <mergeCell ref="A11:D11"/>
    <mergeCell ref="K11:N11"/>
    <mergeCell ref="K1:N1"/>
    <mergeCell ref="A1:D1"/>
    <mergeCell ref="F11:I11"/>
    <mergeCell ref="F1:I1"/>
    <mergeCell ref="F2:H2"/>
    <mergeCell ref="F3:H3"/>
    <mergeCell ref="F4:H4"/>
    <mergeCell ref="F5:H5"/>
    <mergeCell ref="F6:H6"/>
    <mergeCell ref="F7:H7"/>
    <mergeCell ref="K8:M8"/>
    <mergeCell ref="P11:Q11"/>
    <mergeCell ref="S11:T11"/>
    <mergeCell ref="K2:M2"/>
    <mergeCell ref="K3:M3"/>
    <mergeCell ref="K4:M4"/>
    <mergeCell ref="K5:M5"/>
    <mergeCell ref="K6:M6"/>
    <mergeCell ref="K7:M7"/>
  </mergeCells>
  <pageMargins left="0.511811024" right="0.511811024" top="0.78740157499999996" bottom="0.78740157499999996" header="0.31496062000000002" footer="0.31496062000000002"/>
  <ignoredErrors>
    <ignoredError sqref="C3:C4 C6" calculatedColumn="1"/>
  </ignoredErrors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C6B7-0890-4CE3-93DD-7B25855033BA}">
  <sheetPr codeName="Planilha2"/>
  <dimension ref="A1:K11"/>
  <sheetViews>
    <sheetView workbookViewId="0">
      <selection activeCell="G5" sqref="G5"/>
    </sheetView>
  </sheetViews>
  <sheetFormatPr defaultRowHeight="15"/>
  <cols>
    <col min="1" max="2" width="16.85546875" style="6" customWidth="1"/>
    <col min="3" max="3" width="12.140625" style="7" bestFit="1" customWidth="1"/>
    <col min="4" max="4" width="11.42578125" style="7" customWidth="1"/>
    <col min="5" max="5" width="9.5703125" style="45" bestFit="1" customWidth="1"/>
    <col min="10" max="10" width="12.140625" bestFit="1" customWidth="1"/>
  </cols>
  <sheetData>
    <row r="1" spans="1:11" s="1" customFormat="1">
      <c r="A1" s="80" t="s">
        <v>39</v>
      </c>
      <c r="B1" s="80" t="s">
        <v>40</v>
      </c>
      <c r="C1" s="18" t="s">
        <v>41</v>
      </c>
      <c r="D1" s="18" t="s">
        <v>42</v>
      </c>
      <c r="E1" s="43" t="s">
        <v>43</v>
      </c>
    </row>
    <row r="2" spans="1:11">
      <c r="A2" s="6" t="s">
        <v>44</v>
      </c>
      <c r="B2" s="6" t="s">
        <v>45</v>
      </c>
      <c r="C2" s="7">
        <v>2968</v>
      </c>
      <c r="D2" s="7">
        <v>500</v>
      </c>
      <c r="E2" s="44">
        <f>(Tabela1[[#This Row],[Salário]]*1.45+Tabela1[[#This Row],[Cartão]])/180*1.05</f>
        <v>28.020999999999997</v>
      </c>
      <c r="J2" t="s">
        <v>45</v>
      </c>
      <c r="K2">
        <v>30.26</v>
      </c>
    </row>
    <row r="3" spans="1:11">
      <c r="A3" s="6" t="s">
        <v>46</v>
      </c>
      <c r="B3" s="6" t="s">
        <v>45</v>
      </c>
      <c r="C3" s="7">
        <v>2968</v>
      </c>
      <c r="D3" s="7">
        <v>500</v>
      </c>
      <c r="E3" s="44">
        <f>(Tabela1[[#This Row],[Salário]]*1.45+Tabela1[[#This Row],[Cartão]])/180*1.05</f>
        <v>28.020999999999997</v>
      </c>
      <c r="J3" t="s">
        <v>45</v>
      </c>
      <c r="K3">
        <v>30.26</v>
      </c>
    </row>
    <row r="4" spans="1:11">
      <c r="A4" s="6" t="s">
        <v>47</v>
      </c>
      <c r="B4" s="6" t="s">
        <v>48</v>
      </c>
      <c r="C4" s="7">
        <v>2236.6</v>
      </c>
      <c r="D4" s="7">
        <v>280</v>
      </c>
      <c r="E4" s="44">
        <f>(Tabela1[[#This Row],[Salário]]*1.45+Tabela1[[#This Row],[Cartão]])/180*1.05</f>
        <v>20.551241666666666</v>
      </c>
      <c r="J4" t="s">
        <v>49</v>
      </c>
      <c r="K4">
        <v>23</v>
      </c>
    </row>
    <row r="5" spans="1:11">
      <c r="A5" s="6" t="s">
        <v>50</v>
      </c>
      <c r="B5" s="6" t="s">
        <v>48</v>
      </c>
      <c r="C5" s="7">
        <v>2236.6</v>
      </c>
      <c r="D5" s="7">
        <v>280</v>
      </c>
      <c r="E5" s="44">
        <f>(Tabela1[[#This Row],[Salário]]*1.45+Tabela1[[#This Row],[Cartão]])/180*1.05</f>
        <v>20.551241666666666</v>
      </c>
      <c r="J5" t="s">
        <v>49</v>
      </c>
      <c r="K5">
        <v>23</v>
      </c>
    </row>
    <row r="6" spans="1:11">
      <c r="A6" s="6" t="s">
        <v>51</v>
      </c>
      <c r="B6" s="6" t="s">
        <v>48</v>
      </c>
      <c r="C6" s="7">
        <v>2236.6</v>
      </c>
      <c r="D6" s="7">
        <v>280</v>
      </c>
      <c r="E6" s="44">
        <f>(Tabela1[[#This Row],[Salário]]*1.45+Tabela1[[#This Row],[Cartão]])/180*1.05</f>
        <v>20.551241666666666</v>
      </c>
      <c r="J6" t="s">
        <v>52</v>
      </c>
      <c r="K6">
        <v>23</v>
      </c>
    </row>
    <row r="7" spans="1:11">
      <c r="A7" s="6" t="s">
        <v>53</v>
      </c>
      <c r="B7" s="6" t="s">
        <v>48</v>
      </c>
      <c r="C7" s="7">
        <v>2236.6</v>
      </c>
      <c r="D7" s="7">
        <v>280</v>
      </c>
      <c r="E7" s="44">
        <f>(Tabela1[[#This Row],[Salário]]*1.45+Tabela1[[#This Row],[Cartão]])/180*1.05</f>
        <v>20.551241666666666</v>
      </c>
    </row>
    <row r="8" spans="1:11">
      <c r="A8" s="6" t="s">
        <v>54</v>
      </c>
      <c r="B8" s="6" t="s">
        <v>55</v>
      </c>
      <c r="C8" s="7">
        <v>2968</v>
      </c>
      <c r="D8" s="7">
        <v>500</v>
      </c>
      <c r="E8" s="44">
        <f>(Tabela1[[#This Row],[Salário]]*1.45+Tabela1[[#This Row],[Cartão]])/180*1.05</f>
        <v>28.020999999999997</v>
      </c>
      <c r="J8" t="s">
        <v>56</v>
      </c>
      <c r="K8">
        <v>46</v>
      </c>
    </row>
    <row r="9" spans="1:11">
      <c r="A9" s="6" t="s">
        <v>57</v>
      </c>
      <c r="B9" s="6" t="s">
        <v>48</v>
      </c>
      <c r="C9" s="7">
        <v>2236.6</v>
      </c>
      <c r="D9" s="7">
        <v>280</v>
      </c>
      <c r="E9" s="44">
        <f>(Tabela1[[#This Row],[Salário]]*1.45+Tabela1[[#This Row],[Cartão]])/180*1.05</f>
        <v>20.551241666666666</v>
      </c>
    </row>
    <row r="10" spans="1:11">
      <c r="A10" s="6" t="s">
        <v>58</v>
      </c>
      <c r="B10" s="6" t="s">
        <v>48</v>
      </c>
      <c r="C10" s="7">
        <v>2236.6</v>
      </c>
      <c r="D10" s="7">
        <v>280</v>
      </c>
      <c r="E10" s="44">
        <f>(Tabela1[[#This Row],[Salário]]*1.45+Tabela1[[#This Row],[Cartão]])/180*1.05</f>
        <v>20.551241666666666</v>
      </c>
    </row>
    <row r="11" spans="1:11">
      <c r="A11" s="6" t="s">
        <v>59</v>
      </c>
      <c r="B11" s="6" t="s">
        <v>48</v>
      </c>
      <c r="C11" s="7">
        <v>2236.6</v>
      </c>
      <c r="D11" s="7">
        <v>280</v>
      </c>
      <c r="E11" s="44">
        <f>(Tabela1[[#This Row],[Salário]]*1.45+Tabela1[[#This Row],[Cartão]])/180*1.05</f>
        <v>20.551241666666666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11E7-FFA0-474A-B849-D7206DEB26F9}">
  <sheetPr codeName="Planilha3"/>
  <dimension ref="A1:O201"/>
  <sheetViews>
    <sheetView topLeftCell="A189" zoomScale="85" zoomScaleNormal="85" workbookViewId="0">
      <selection activeCell="G210" sqref="G210"/>
    </sheetView>
  </sheetViews>
  <sheetFormatPr defaultRowHeight="15"/>
  <cols>
    <col min="1" max="1" width="58.140625" style="6" bestFit="1" customWidth="1"/>
    <col min="2" max="2" width="14.140625" bestFit="1" customWidth="1"/>
    <col min="3" max="3" width="13.28515625" style="6" bestFit="1" customWidth="1"/>
    <col min="4" max="4" width="15.140625" style="6" bestFit="1" customWidth="1"/>
    <col min="5" max="5" width="13.42578125" style="6" bestFit="1" customWidth="1"/>
    <col min="6" max="6" width="15.7109375" style="52" bestFit="1" customWidth="1"/>
    <col min="7" max="7" width="16" style="6" bestFit="1" customWidth="1"/>
    <col min="8" max="8" width="12.140625" style="6" bestFit="1" customWidth="1"/>
    <col min="9" max="9" width="11.7109375" style="6" bestFit="1" customWidth="1"/>
    <col min="10" max="10" width="12.42578125" style="6" bestFit="1" customWidth="1"/>
    <col min="11" max="11" width="11.28515625" style="6" bestFit="1" customWidth="1"/>
    <col min="12" max="12" width="13.42578125" style="6" bestFit="1" customWidth="1"/>
    <col min="13" max="13" width="13.28515625" style="6" bestFit="1" customWidth="1"/>
    <col min="14" max="14" width="12.5703125" style="1" bestFit="1" customWidth="1"/>
    <col min="15" max="15" width="18.85546875" style="4" bestFit="1" customWidth="1"/>
  </cols>
  <sheetData>
    <row r="1" spans="1:15" s="2" customFormat="1" ht="32.25" customHeight="1">
      <c r="A1" s="12" t="s">
        <v>60</v>
      </c>
      <c r="B1" s="12" t="s">
        <v>61</v>
      </c>
      <c r="C1" s="12" t="s">
        <v>62</v>
      </c>
      <c r="D1" s="12" t="s">
        <v>63</v>
      </c>
      <c r="E1" s="51" t="s">
        <v>64</v>
      </c>
      <c r="F1" s="12" t="s">
        <v>65</v>
      </c>
      <c r="G1" s="12" t="s">
        <v>66</v>
      </c>
      <c r="H1" s="12" t="s">
        <v>67</v>
      </c>
      <c r="I1" s="12" t="s">
        <v>68</v>
      </c>
      <c r="J1" s="12" t="s">
        <v>69</v>
      </c>
      <c r="K1" s="12" t="s">
        <v>70</v>
      </c>
      <c r="L1" s="12" t="s">
        <v>71</v>
      </c>
      <c r="M1" s="2" t="s">
        <v>72</v>
      </c>
      <c r="N1" s="2" t="s">
        <v>73</v>
      </c>
      <c r="O1" s="65" t="s">
        <v>74</v>
      </c>
    </row>
    <row r="2" spans="1:15">
      <c r="A2" s="53" t="s">
        <v>75</v>
      </c>
      <c r="B2" s="6">
        <v>2</v>
      </c>
      <c r="C2" s="49"/>
      <c r="D2" s="50">
        <v>0</v>
      </c>
      <c r="E2" s="52">
        <f>((Tabela2[[#This Row],[Peso Total Galho]]-(Tabela2[[#This Row],[Peso Pç]]*Tabela2[[#This Row],[Qdt Peça Placa]]))*0.9)</f>
        <v>0</v>
      </c>
      <c r="F2" s="6"/>
      <c r="L2" s="6" t="s">
        <v>14</v>
      </c>
      <c r="M2" s="7">
        <f ca="1">VLOOKUP(Tabela2[[#This Row],[Tipo de Material]],Dados!$P$2:$Q$4,2,FALSE)</f>
        <v>15.600000000000001</v>
      </c>
      <c r="N2" s="80" t="s">
        <v>76</v>
      </c>
      <c r="O2" s="7">
        <v>3</v>
      </c>
    </row>
    <row r="3" spans="1:15">
      <c r="A3" s="6" t="s">
        <v>77</v>
      </c>
      <c r="B3" s="6">
        <v>1</v>
      </c>
      <c r="C3" s="49">
        <v>1.885</v>
      </c>
      <c r="D3" s="50">
        <v>3.335</v>
      </c>
      <c r="E3" s="52">
        <f>((Tabela2[[#This Row],[Peso Total Galho]]-(Tabela2[[#This Row],[Peso Pç]]*Tabela2[[#This Row],[Qdt Peça Placa]]))*0.9)</f>
        <v>1.3049999999999999</v>
      </c>
      <c r="F3" s="6"/>
      <c r="L3" s="6" t="s">
        <v>14</v>
      </c>
      <c r="M3" s="7">
        <f ca="1">VLOOKUP(Tabela2[[#This Row],[Tipo de Material]],Dados!$P$2:$Q$4,2,FALSE)</f>
        <v>15.600000000000001</v>
      </c>
      <c r="N3" s="80" t="s">
        <v>76</v>
      </c>
      <c r="O3" s="7">
        <v>4</v>
      </c>
    </row>
    <row r="4" spans="1:15">
      <c r="A4" s="6" t="s">
        <v>78</v>
      </c>
      <c r="B4" s="6">
        <v>2</v>
      </c>
      <c r="C4" s="49">
        <v>0.44400000000000001</v>
      </c>
      <c r="D4" s="50">
        <v>1.452</v>
      </c>
      <c r="E4" s="52">
        <f>((Tabela2[[#This Row],[Peso Total Galho]]-(Tabela2[[#This Row],[Peso Pç]]*Tabela2[[#This Row],[Qdt Peça Placa]]))*0.9)</f>
        <v>0.50759999999999994</v>
      </c>
      <c r="F4" s="6"/>
      <c r="L4" s="6" t="s">
        <v>14</v>
      </c>
      <c r="M4" s="7">
        <f ca="1">VLOOKUP(Tabela2[[#This Row],[Tipo de Material]],Dados!$P$2:$Q$4,2,FALSE)</f>
        <v>15.600000000000001</v>
      </c>
      <c r="N4" s="80" t="s">
        <v>79</v>
      </c>
      <c r="O4" s="7">
        <v>5</v>
      </c>
    </row>
    <row r="5" spans="1:15">
      <c r="A5" s="6" t="s">
        <v>80</v>
      </c>
      <c r="B5" s="6">
        <v>1</v>
      </c>
      <c r="C5" s="49">
        <v>1.2</v>
      </c>
      <c r="D5" s="50">
        <v>1.85</v>
      </c>
      <c r="E5" s="52">
        <f>((Tabela2[[#This Row],[Peso Total Galho]]-(Tabela2[[#This Row],[Peso Pç]]*Tabela2[[#This Row],[Qdt Peça Placa]]))*0.9)</f>
        <v>0.58500000000000019</v>
      </c>
      <c r="F5" s="6"/>
      <c r="L5" s="6" t="s">
        <v>11</v>
      </c>
      <c r="M5" s="7">
        <f ca="1">VLOOKUP(Tabela2[[#This Row],[Tipo de Material]],Dados!$P$2:$Q$4,2,FALSE)</f>
        <v>17.600000000000001</v>
      </c>
      <c r="N5" s="80" t="s">
        <v>81</v>
      </c>
      <c r="O5" s="7"/>
    </row>
    <row r="6" spans="1:15">
      <c r="A6" s="6" t="s">
        <v>82</v>
      </c>
      <c r="B6" s="6">
        <v>1</v>
      </c>
      <c r="C6" s="49">
        <v>2.99</v>
      </c>
      <c r="D6" s="50">
        <v>5.29</v>
      </c>
      <c r="E6" s="52">
        <f>((Tabela2[[#This Row],[Peso Total Galho]]-(Tabela2[[#This Row],[Peso Pç]]*Tabela2[[#This Row],[Qdt Peça Placa]]))*0.9)</f>
        <v>2.0699999999999998</v>
      </c>
      <c r="F6" s="6"/>
      <c r="G6" s="6">
        <v>1</v>
      </c>
      <c r="H6" s="6">
        <v>2</v>
      </c>
      <c r="J6" s="6">
        <v>400411</v>
      </c>
      <c r="L6" s="6" t="s">
        <v>14</v>
      </c>
      <c r="M6" s="7">
        <f ca="1">VLOOKUP(Tabela2[[#This Row],[Tipo de Material]],Dados!$P$2:$Q$4,2,FALSE)</f>
        <v>15.600000000000001</v>
      </c>
      <c r="N6" s="80" t="s">
        <v>76</v>
      </c>
      <c r="O6" s="7">
        <v>1</v>
      </c>
    </row>
    <row r="7" spans="1:15">
      <c r="A7" s="6" t="s">
        <v>83</v>
      </c>
      <c r="B7" s="6">
        <v>1</v>
      </c>
      <c r="C7" s="49">
        <v>1</v>
      </c>
      <c r="D7" s="50">
        <v>1.8</v>
      </c>
      <c r="E7" s="52">
        <f>((Tabela2[[#This Row],[Peso Total Galho]]-(Tabela2[[#This Row],[Peso Pç]]*Tabela2[[#This Row],[Qdt Peça Placa]]))*0.9)</f>
        <v>0.72000000000000008</v>
      </c>
      <c r="F7" s="6"/>
      <c r="L7" s="6" t="s">
        <v>14</v>
      </c>
      <c r="M7" s="7">
        <f ca="1">VLOOKUP(Tabela2[[#This Row],[Tipo de Material]],Dados!$P$2:$Q$4,2,FALSE)</f>
        <v>15.600000000000001</v>
      </c>
      <c r="N7" s="80" t="s">
        <v>76</v>
      </c>
      <c r="O7" s="7">
        <v>4</v>
      </c>
    </row>
    <row r="8" spans="1:15">
      <c r="A8" s="6" t="s">
        <v>84</v>
      </c>
      <c r="B8" s="6">
        <v>4</v>
      </c>
      <c r="C8" s="49">
        <v>0.185</v>
      </c>
      <c r="D8" s="50">
        <v>1.3080000000000001</v>
      </c>
      <c r="E8" s="52">
        <f>((Tabela2[[#This Row],[Peso Total Galho]]-(Tabela2[[#This Row],[Peso Pç]]*Tabela2[[#This Row],[Qdt Peça Placa]]))*0.9)</f>
        <v>0.5112000000000001</v>
      </c>
      <c r="F8" s="6"/>
      <c r="G8" s="6">
        <v>4</v>
      </c>
      <c r="H8" s="6">
        <v>0.17499999999999999</v>
      </c>
      <c r="J8" s="6">
        <v>400420</v>
      </c>
      <c r="L8" s="6" t="s">
        <v>14</v>
      </c>
      <c r="M8" s="7">
        <f ca="1">VLOOKUP(Tabela2[[#This Row],[Tipo de Material]],Dados!$P$2:$Q$4,2,FALSE)</f>
        <v>15.600000000000001</v>
      </c>
      <c r="N8" s="80" t="s">
        <v>76</v>
      </c>
      <c r="O8" s="7">
        <v>1</v>
      </c>
    </row>
    <row r="9" spans="1:15">
      <c r="A9" s="6" t="s">
        <v>85</v>
      </c>
      <c r="B9" s="6">
        <v>1</v>
      </c>
      <c r="C9" s="49">
        <v>1.8</v>
      </c>
      <c r="D9" s="50">
        <v>2</v>
      </c>
      <c r="E9" s="52">
        <f>((Tabela2[[#This Row],[Peso Total Galho]]-(Tabela2[[#This Row],[Peso Pç]]*Tabela2[[#This Row],[Qdt Peça Placa]]))*0.9)</f>
        <v>0.17999999999999997</v>
      </c>
      <c r="F9" s="6"/>
      <c r="G9" s="6">
        <v>1</v>
      </c>
      <c r="H9" s="6">
        <v>2.0299999999999998</v>
      </c>
      <c r="J9" s="6">
        <v>400421</v>
      </c>
      <c r="L9" s="6" t="s">
        <v>14</v>
      </c>
      <c r="M9" s="7">
        <f ca="1">VLOOKUP(Tabela2[[#This Row],[Tipo de Material]],Dados!$P$2:$Q$4,2,FALSE)</f>
        <v>15.600000000000001</v>
      </c>
      <c r="N9" s="80" t="s">
        <v>76</v>
      </c>
      <c r="O9" s="7">
        <v>15</v>
      </c>
    </row>
    <row r="10" spans="1:15">
      <c r="A10" s="6" t="s">
        <v>86</v>
      </c>
      <c r="B10" s="6">
        <v>4</v>
      </c>
      <c r="C10" s="49">
        <v>0.218</v>
      </c>
      <c r="D10" s="50">
        <v>1.544</v>
      </c>
      <c r="E10" s="52">
        <f>((Tabela2[[#This Row],[Peso Total Galho]]-(Tabela2[[#This Row],[Peso Pç]]*Tabela2[[#This Row],[Qdt Peça Placa]]))*0.9)</f>
        <v>0.6048</v>
      </c>
      <c r="F10" s="6"/>
      <c r="L10" s="6" t="s">
        <v>14</v>
      </c>
      <c r="M10" s="7">
        <f ca="1">VLOOKUP(Tabela2[[#This Row],[Tipo de Material]],Dados!$P$2:$Q$4,2,FALSE)</f>
        <v>15.600000000000001</v>
      </c>
      <c r="N10" s="80" t="s">
        <v>76</v>
      </c>
      <c r="O10" s="7">
        <v>3</v>
      </c>
    </row>
    <row r="11" spans="1:15">
      <c r="A11" s="6" t="s">
        <v>87</v>
      </c>
      <c r="B11" s="6">
        <v>2</v>
      </c>
      <c r="C11" s="49">
        <v>1.1499999999999999</v>
      </c>
      <c r="D11" s="50">
        <v>4.0599999999999996</v>
      </c>
      <c r="E11" s="52">
        <f>((Tabela2[[#This Row],[Peso Total Galho]]-(Tabela2[[#This Row],[Peso Pç]]*Tabela2[[#This Row],[Qdt Peça Placa]]))*0.9)</f>
        <v>1.5839999999999999</v>
      </c>
      <c r="F11" s="6"/>
      <c r="L11" s="6" t="s">
        <v>14</v>
      </c>
      <c r="M11" s="7">
        <f ca="1">VLOOKUP(Tabela2[[#This Row],[Tipo de Material]],Dados!$P$2:$Q$4,2,FALSE)</f>
        <v>15.600000000000001</v>
      </c>
      <c r="N11" s="80" t="s">
        <v>76</v>
      </c>
      <c r="O11" s="7">
        <v>8</v>
      </c>
    </row>
    <row r="12" spans="1:15">
      <c r="A12" s="6" t="s">
        <v>88</v>
      </c>
      <c r="B12" s="6">
        <v>2</v>
      </c>
      <c r="C12" s="49">
        <v>0.73699999999999999</v>
      </c>
      <c r="D12" s="50">
        <v>2.6080000000000001</v>
      </c>
      <c r="E12" s="52">
        <f>((Tabela2[[#This Row],[Peso Total Galho]]-(Tabela2[[#This Row],[Peso Pç]]*Tabela2[[#This Row],[Qdt Peça Placa]]))*0.9)</f>
        <v>1.0206000000000002</v>
      </c>
      <c r="F12" s="6"/>
      <c r="G12" s="53">
        <v>2</v>
      </c>
      <c r="H12" s="53">
        <v>0.49</v>
      </c>
      <c r="I12" s="53"/>
      <c r="J12" s="58" t="s">
        <v>89</v>
      </c>
      <c r="L12" s="6" t="s">
        <v>14</v>
      </c>
      <c r="M12" s="7">
        <f ca="1">VLOOKUP(Tabela2[[#This Row],[Tipo de Material]],Dados!$P$2:$Q$4,2,FALSE)</f>
        <v>15.600000000000001</v>
      </c>
      <c r="N12" s="80" t="s">
        <v>76</v>
      </c>
      <c r="O12" s="7">
        <v>1</v>
      </c>
    </row>
    <row r="13" spans="1:15">
      <c r="A13" s="53" t="s">
        <v>90</v>
      </c>
      <c r="B13" s="6"/>
      <c r="C13" s="49"/>
      <c r="D13" s="50">
        <v>0</v>
      </c>
      <c r="E13" s="52">
        <f>((Tabela2[[#This Row],[Peso Total Galho]]-(Tabela2[[#This Row],[Peso Pç]]*Tabela2[[#This Row],[Qdt Peça Placa]]))*0.9)</f>
        <v>0</v>
      </c>
      <c r="F13" s="6"/>
      <c r="L13" s="6" t="s">
        <v>14</v>
      </c>
      <c r="M13" s="7">
        <f ca="1">VLOOKUP(Tabela2[[#This Row],[Tipo de Material]],Dados!$P$2:$Q$4,2,FALSE)</f>
        <v>15.600000000000001</v>
      </c>
      <c r="N13" s="80" t="s">
        <v>76</v>
      </c>
      <c r="O13" s="7">
        <v>8</v>
      </c>
    </row>
    <row r="14" spans="1:15">
      <c r="A14" s="6" t="s">
        <v>91</v>
      </c>
      <c r="B14" s="6">
        <v>4</v>
      </c>
      <c r="C14" s="49">
        <v>0.78400000000000003</v>
      </c>
      <c r="D14" s="50">
        <v>5.548</v>
      </c>
      <c r="E14" s="52">
        <f>((Tabela2[[#This Row],[Peso Total Galho]]-(Tabela2[[#This Row],[Peso Pç]]*Tabela2[[#This Row],[Qdt Peça Placa]]))*0.9)</f>
        <v>2.1707999999999998</v>
      </c>
      <c r="F14" s="6"/>
      <c r="G14" s="6">
        <v>12</v>
      </c>
      <c r="H14" s="6">
        <v>2.6619999999999999</v>
      </c>
      <c r="J14" s="6">
        <v>400403</v>
      </c>
      <c r="L14" s="6" t="s">
        <v>14</v>
      </c>
      <c r="M14" s="7">
        <f ca="1">VLOOKUP(Tabela2[[#This Row],[Tipo de Material]],Dados!$P$2:$Q$4,2,FALSE)</f>
        <v>15.600000000000001</v>
      </c>
      <c r="N14" s="80" t="s">
        <v>76</v>
      </c>
      <c r="O14" s="7">
        <v>8</v>
      </c>
    </row>
    <row r="15" spans="1:15">
      <c r="A15" s="72" t="s">
        <v>92</v>
      </c>
      <c r="B15" s="6">
        <v>1</v>
      </c>
      <c r="C15" s="49">
        <v>2.4700000000000002</v>
      </c>
      <c r="D15" s="50">
        <v>1.8</v>
      </c>
      <c r="E15" s="52">
        <f>((Tabela2[[#This Row],[Peso Total Galho]]-(Tabela2[[#This Row],[Peso Pç]]*Tabela2[[#This Row],[Qdt Peça Placa]]))*0.9)</f>
        <v>-0.6030000000000002</v>
      </c>
      <c r="F15" s="6"/>
      <c r="G15" s="6">
        <v>1</v>
      </c>
      <c r="H15" s="6">
        <v>3.0059999999999998</v>
      </c>
      <c r="J15" s="6">
        <v>400417</v>
      </c>
      <c r="L15" s="6" t="s">
        <v>14</v>
      </c>
      <c r="M15" s="7">
        <f ca="1">VLOOKUP(Tabela2[[#This Row],[Tipo de Material]],Dados!$P$2:$Q$4,2,FALSE)</f>
        <v>15.600000000000001</v>
      </c>
      <c r="N15" s="80" t="s">
        <v>76</v>
      </c>
      <c r="O15" s="7">
        <v>4</v>
      </c>
    </row>
    <row r="16" spans="1:15">
      <c r="A16" s="6" t="s">
        <v>93</v>
      </c>
      <c r="B16" s="6">
        <v>3</v>
      </c>
      <c r="C16" s="49">
        <v>0.41199999999999998</v>
      </c>
      <c r="D16" s="50">
        <v>3.036</v>
      </c>
      <c r="E16" s="52">
        <f>((Tabela2[[#This Row],[Peso Total Galho]]-(Tabela2[[#This Row],[Peso Pç]]*Tabela2[[#This Row],[Qdt Peça Placa]]))*0.9)</f>
        <v>1.62</v>
      </c>
      <c r="F16" s="6"/>
      <c r="L16" s="6" t="s">
        <v>11</v>
      </c>
      <c r="M16" s="7">
        <f ca="1">VLOOKUP(Tabela2[[#This Row],[Tipo de Material]],Dados!$P$2:$Q$4,2,FALSE)</f>
        <v>17.600000000000001</v>
      </c>
      <c r="N16" s="80" t="s">
        <v>94</v>
      </c>
      <c r="O16" s="7">
        <v>4</v>
      </c>
    </row>
    <row r="17" spans="1:15">
      <c r="A17" s="6" t="s">
        <v>95</v>
      </c>
      <c r="B17" s="6">
        <v>4</v>
      </c>
      <c r="C17" s="49">
        <v>0.41199999999999998</v>
      </c>
      <c r="D17" s="50">
        <v>4.048</v>
      </c>
      <c r="E17" s="52">
        <f>((Tabela2[[#This Row],[Peso Total Galho]]-(Tabela2[[#This Row],[Peso Pç]]*Tabela2[[#This Row],[Qdt Peça Placa]]))*0.9)</f>
        <v>2.1600000000000006</v>
      </c>
      <c r="F17" s="6"/>
      <c r="L17" s="6" t="s">
        <v>11</v>
      </c>
      <c r="M17" s="7">
        <f ca="1">VLOOKUP(Tabela2[[#This Row],[Tipo de Material]],Dados!$P$2:$Q$4,2,FALSE)</f>
        <v>17.600000000000001</v>
      </c>
      <c r="N17" s="80" t="s">
        <v>94</v>
      </c>
      <c r="O17" s="7">
        <v>4</v>
      </c>
    </row>
    <row r="18" spans="1:15">
      <c r="A18" s="6" t="s">
        <v>96</v>
      </c>
      <c r="B18" s="6">
        <v>3</v>
      </c>
      <c r="C18" s="49">
        <v>0.88400000000000001</v>
      </c>
      <c r="D18" s="50">
        <v>4.6920000000000002</v>
      </c>
      <c r="E18" s="52">
        <f>((Tabela2[[#This Row],[Peso Total Galho]]-(Tabela2[[#This Row],[Peso Pç]]*Tabela2[[#This Row],[Qdt Peça Placa]]))*0.9)</f>
        <v>1.8360000000000001</v>
      </c>
      <c r="F18" s="6"/>
      <c r="G18" s="6">
        <v>9</v>
      </c>
      <c r="H18" s="6">
        <v>1.401</v>
      </c>
      <c r="J18" s="6">
        <v>400401</v>
      </c>
      <c r="L18" s="6" t="s">
        <v>14</v>
      </c>
      <c r="M18" s="7">
        <f ca="1">VLOOKUP(Tabela2[[#This Row],[Tipo de Material]],Dados!$P$2:$Q$4,2,FALSE)</f>
        <v>15.600000000000001</v>
      </c>
      <c r="N18" s="80" t="s">
        <v>76</v>
      </c>
      <c r="O18" s="7">
        <v>10</v>
      </c>
    </row>
    <row r="19" spans="1:15">
      <c r="A19" s="6" t="s">
        <v>97</v>
      </c>
      <c r="B19" s="6">
        <v>1</v>
      </c>
      <c r="C19" s="49">
        <v>1.1000000000000001</v>
      </c>
      <c r="D19" s="50">
        <v>1.6</v>
      </c>
      <c r="E19" s="52">
        <f>((Tabela2[[#This Row],[Peso Total Galho]]-(Tabela2[[#This Row],[Peso Pç]]*Tabela2[[#This Row],[Qdt Peça Placa]]))*0.9)</f>
        <v>0.45</v>
      </c>
      <c r="F19" s="66"/>
      <c r="L19" s="6" t="s">
        <v>11</v>
      </c>
      <c r="M19" s="7">
        <f ca="1">VLOOKUP(Tabela2[[#This Row],[Tipo de Material]],Dados!$P$2:$Q$4,2,FALSE)</f>
        <v>17.600000000000001</v>
      </c>
      <c r="N19" s="80" t="s">
        <v>98</v>
      </c>
      <c r="O19" s="7"/>
    </row>
    <row r="20" spans="1:15">
      <c r="A20" s="73" t="s">
        <v>99</v>
      </c>
      <c r="B20" s="6">
        <v>22</v>
      </c>
      <c r="C20" s="49">
        <v>2.4E-2</v>
      </c>
      <c r="D20" s="50">
        <v>1.65</v>
      </c>
      <c r="E20" s="52">
        <f>((Tabela2[[#This Row],[Peso Total Galho]]-(Tabela2[[#This Row],[Peso Pç]]*Tabela2[[#This Row],[Qdt Peça Placa]]))*0.9)</f>
        <v>1.0098</v>
      </c>
      <c r="F20" s="6"/>
      <c r="L20" s="6" t="s">
        <v>14</v>
      </c>
      <c r="M20" s="7">
        <f ca="1">VLOOKUP(Tabela2[[#This Row],[Tipo de Material]],Dados!$P$2:$Q$4,2,FALSE)</f>
        <v>15.600000000000001</v>
      </c>
      <c r="N20" s="80" t="s">
        <v>76</v>
      </c>
      <c r="O20" s="7">
        <v>1</v>
      </c>
    </row>
    <row r="21" spans="1:15">
      <c r="A21" s="53" t="s">
        <v>100</v>
      </c>
      <c r="B21" s="6">
        <v>2</v>
      </c>
      <c r="C21" s="49">
        <v>0.6</v>
      </c>
      <c r="D21" s="50">
        <v>2.2000000000000002</v>
      </c>
      <c r="E21" s="52">
        <f>((Tabela2[[#This Row],[Peso Total Galho]]-(Tabela2[[#This Row],[Peso Pç]]*Tabela2[[#This Row],[Qdt Peça Placa]]))*0.9)</f>
        <v>0.90000000000000024</v>
      </c>
      <c r="F21" s="6"/>
      <c r="L21" s="6" t="s">
        <v>11</v>
      </c>
      <c r="M21" s="7">
        <f ca="1">VLOOKUP(Tabela2[[#This Row],[Tipo de Material]],Dados!$P$2:$Q$4,2,FALSE)</f>
        <v>17.600000000000001</v>
      </c>
      <c r="N21" s="80" t="s">
        <v>81</v>
      </c>
      <c r="O21" s="7"/>
    </row>
    <row r="22" spans="1:15">
      <c r="A22" s="53" t="s">
        <v>101</v>
      </c>
      <c r="B22" s="6">
        <v>2</v>
      </c>
      <c r="C22" s="49">
        <v>0.6</v>
      </c>
      <c r="D22" s="50">
        <v>2.2000000000000002</v>
      </c>
      <c r="E22" s="52">
        <f>((Tabela2[[#This Row],[Peso Total Galho]]-(Tabela2[[#This Row],[Peso Pç]]*Tabela2[[#This Row],[Qdt Peça Placa]]))*0.9)</f>
        <v>0.90000000000000024</v>
      </c>
      <c r="F22" s="6"/>
      <c r="L22" s="6" t="s">
        <v>11</v>
      </c>
      <c r="M22" s="7">
        <f ca="1">VLOOKUP(Tabela2[[#This Row],[Tipo de Material]],Dados!$P$2:$Q$4,2,FALSE)</f>
        <v>17.600000000000001</v>
      </c>
      <c r="N22" s="80" t="s">
        <v>81</v>
      </c>
      <c r="O22" s="7"/>
    </row>
    <row r="23" spans="1:15">
      <c r="A23" s="6" t="s">
        <v>102</v>
      </c>
      <c r="B23" s="6">
        <v>1</v>
      </c>
      <c r="C23" s="49">
        <v>19.2</v>
      </c>
      <c r="D23" s="50">
        <v>20.6</v>
      </c>
      <c r="E23" s="52">
        <f>((Tabela2[[#This Row],[Peso Total Galho]]-(Tabela2[[#This Row],[Peso Pç]]*Tabela2[[#This Row],[Qdt Peça Placa]]))*0.9)</f>
        <v>1.260000000000002</v>
      </c>
      <c r="F23" s="66"/>
      <c r="L23" s="6" t="s">
        <v>11</v>
      </c>
      <c r="M23" s="7">
        <f ca="1">VLOOKUP(Tabela2[[#This Row],[Tipo de Material]],Dados!$P$2:$Q$4,2,FALSE)</f>
        <v>17.600000000000001</v>
      </c>
      <c r="N23" s="80" t="s">
        <v>103</v>
      </c>
      <c r="O23" s="7"/>
    </row>
    <row r="24" spans="1:15">
      <c r="A24" s="6" t="s">
        <v>104</v>
      </c>
      <c r="B24" s="6">
        <v>4</v>
      </c>
      <c r="C24" s="49">
        <v>0.77400000000000002</v>
      </c>
      <c r="D24" s="50">
        <v>5.4720000000000004</v>
      </c>
      <c r="E24" s="52">
        <f>((Tabela2[[#This Row],[Peso Total Galho]]-(Tabela2[[#This Row],[Peso Pç]]*Tabela2[[#This Row],[Qdt Peça Placa]]))*0.9)</f>
        <v>2.1384000000000003</v>
      </c>
      <c r="F24" s="6"/>
      <c r="L24" s="6" t="s">
        <v>14</v>
      </c>
      <c r="M24" s="7">
        <f ca="1">VLOOKUP(Tabela2[[#This Row],[Tipo de Material]],Dados!$P$2:$Q$4,2,FALSE)</f>
        <v>15.600000000000001</v>
      </c>
      <c r="N24" s="80" t="s">
        <v>76</v>
      </c>
      <c r="O24" s="7">
        <v>4</v>
      </c>
    </row>
    <row r="25" spans="1:15">
      <c r="A25" s="72" t="s">
        <v>105</v>
      </c>
      <c r="B25" s="6">
        <v>6</v>
      </c>
      <c r="C25" s="49">
        <v>0.78</v>
      </c>
      <c r="D25" s="50">
        <v>8.2799999999999994</v>
      </c>
      <c r="E25" s="52">
        <f>((Tabela2[[#This Row],[Peso Total Galho]]-(Tabela2[[#This Row],[Peso Pç]]*Tabela2[[#This Row],[Qdt Peça Placa]]))*0.9)</f>
        <v>3.2399999999999998</v>
      </c>
      <c r="F25" s="6"/>
      <c r="G25" s="6">
        <v>1</v>
      </c>
      <c r="H25" s="6">
        <v>4.9820000000000002</v>
      </c>
      <c r="J25" s="6">
        <v>400402</v>
      </c>
      <c r="L25" s="6" t="s">
        <v>14</v>
      </c>
      <c r="M25" s="7">
        <f ca="1">VLOOKUP(Tabela2[[#This Row],[Tipo de Material]],Dados!$P$2:$Q$4,2,FALSE)</f>
        <v>15.600000000000001</v>
      </c>
      <c r="N25" s="80" t="s">
        <v>76</v>
      </c>
      <c r="O25" s="7">
        <v>10</v>
      </c>
    </row>
    <row r="26" spans="1:15">
      <c r="A26" s="6" t="s">
        <v>106</v>
      </c>
      <c r="B26" s="6">
        <v>4</v>
      </c>
      <c r="C26" s="49">
        <v>0.79500000000000004</v>
      </c>
      <c r="D26" s="50">
        <v>5.6280000000000001</v>
      </c>
      <c r="E26" s="52">
        <f>((Tabela2[[#This Row],[Peso Total Galho]]-(Tabela2[[#This Row],[Peso Pç]]*Tabela2[[#This Row],[Qdt Peça Placa]]))*0.9)</f>
        <v>2.2031999999999998</v>
      </c>
      <c r="F26" s="6"/>
      <c r="G26" s="6">
        <v>4</v>
      </c>
      <c r="H26" s="6">
        <v>1.115</v>
      </c>
      <c r="J26" s="6">
        <v>400403</v>
      </c>
      <c r="L26" s="6" t="s">
        <v>14</v>
      </c>
      <c r="M26" s="7">
        <f ca="1">VLOOKUP(Tabela2[[#This Row],[Tipo de Material]],Dados!$P$2:$Q$4,2,FALSE)</f>
        <v>15.600000000000001</v>
      </c>
      <c r="N26" s="80" t="s">
        <v>76</v>
      </c>
      <c r="O26" s="7">
        <v>5</v>
      </c>
    </row>
    <row r="27" spans="1:15">
      <c r="A27" s="6" t="s">
        <v>107</v>
      </c>
      <c r="B27" s="6">
        <v>10</v>
      </c>
      <c r="C27" s="49">
        <v>0.16</v>
      </c>
      <c r="D27" s="50">
        <v>2.5</v>
      </c>
      <c r="E27" s="52">
        <f>((Tabela2[[#This Row],[Peso Total Galho]]-(Tabela2[[#This Row],[Peso Pç]]*Tabela2[[#This Row],[Qdt Peça Placa]]))*0.9)</f>
        <v>0.80999999999999994</v>
      </c>
      <c r="F27" s="66"/>
      <c r="L27" s="6" t="s">
        <v>11</v>
      </c>
      <c r="M27" s="7">
        <f ca="1">VLOOKUP(Tabela2[[#This Row],[Tipo de Material]],Dados!$P$2:$Q$4,2,FALSE)</f>
        <v>17.600000000000001</v>
      </c>
      <c r="N27" s="80" t="s">
        <v>108</v>
      </c>
      <c r="O27" s="7"/>
    </row>
    <row r="28" spans="1:15">
      <c r="A28" s="6" t="s">
        <v>109</v>
      </c>
      <c r="B28" s="6">
        <v>3</v>
      </c>
      <c r="C28" s="49">
        <v>2.5</v>
      </c>
      <c r="D28" s="50">
        <v>8.4</v>
      </c>
      <c r="E28" s="52">
        <f>((Tabela2[[#This Row],[Peso Total Galho]]-(Tabela2[[#This Row],[Peso Pç]]*Tabela2[[#This Row],[Qdt Peça Placa]]))*0.9)</f>
        <v>0.81000000000000039</v>
      </c>
      <c r="F28" s="66"/>
      <c r="L28" s="6" t="s">
        <v>11</v>
      </c>
      <c r="M28" s="7">
        <f ca="1">VLOOKUP(Tabela2[[#This Row],[Tipo de Material]],Dados!$P$2:$Q$4,2,FALSE)</f>
        <v>17.600000000000001</v>
      </c>
      <c r="N28" s="80" t="s">
        <v>108</v>
      </c>
      <c r="O28" s="7"/>
    </row>
    <row r="29" spans="1:15">
      <c r="A29" s="6" t="s">
        <v>110</v>
      </c>
      <c r="B29" s="6">
        <v>1</v>
      </c>
      <c r="C29" s="49">
        <v>1.95</v>
      </c>
      <c r="D29" s="50">
        <v>2.4</v>
      </c>
      <c r="E29" s="52">
        <f>((Tabela2[[#This Row],[Peso Total Galho]]-(Tabela2[[#This Row],[Peso Pç]]*Tabela2[[#This Row],[Qdt Peça Placa]]))*0.9)</f>
        <v>0.40499999999999997</v>
      </c>
      <c r="F29" s="6"/>
      <c r="G29" s="6">
        <v>1</v>
      </c>
      <c r="H29" s="53"/>
      <c r="L29" s="6" t="s">
        <v>14</v>
      </c>
      <c r="M29" s="7">
        <f ca="1">VLOOKUP(Tabela2[[#This Row],[Tipo de Material]],Dados!$P$2:$Q$4,2,FALSE)</f>
        <v>15.600000000000001</v>
      </c>
      <c r="N29" s="80" t="s">
        <v>76</v>
      </c>
      <c r="O29" s="7">
        <v>1</v>
      </c>
    </row>
    <row r="30" spans="1:15">
      <c r="A30" s="6" t="s">
        <v>111</v>
      </c>
      <c r="B30" s="6">
        <v>1</v>
      </c>
      <c r="C30" s="49">
        <v>1.95</v>
      </c>
      <c r="D30" s="50">
        <v>3.45</v>
      </c>
      <c r="E30" s="52">
        <f>((Tabela2[[#This Row],[Peso Total Galho]]-(Tabela2[[#This Row],[Peso Pç]]*Tabela2[[#This Row],[Qdt Peça Placa]]))*0.9)</f>
        <v>1.3500000000000003</v>
      </c>
      <c r="F30" s="6"/>
      <c r="L30" s="6" t="s">
        <v>14</v>
      </c>
      <c r="M30" s="7">
        <f ca="1">VLOOKUP(Tabela2[[#This Row],[Tipo de Material]],Dados!$P$2:$Q$4,2,FALSE)</f>
        <v>15.600000000000001</v>
      </c>
      <c r="N30" s="80" t="s">
        <v>76</v>
      </c>
      <c r="O30" s="7">
        <v>1</v>
      </c>
    </row>
    <row r="31" spans="1:15">
      <c r="A31" s="6" t="s">
        <v>112</v>
      </c>
      <c r="B31" s="6">
        <v>4</v>
      </c>
      <c r="C31" s="49">
        <v>0.5</v>
      </c>
      <c r="D31" s="50">
        <v>3.2</v>
      </c>
      <c r="E31" s="52">
        <f>((Tabela2[[#This Row],[Peso Total Galho]]-(Tabela2[[#This Row],[Peso Pç]]*Tabela2[[#This Row],[Qdt Peça Placa]]))*0.9)</f>
        <v>1.0800000000000003</v>
      </c>
      <c r="F31" s="6"/>
      <c r="L31" s="6" t="s">
        <v>11</v>
      </c>
      <c r="M31" s="7">
        <f ca="1">VLOOKUP(Tabela2[[#This Row],[Tipo de Material]],Dados!$P$2:$Q$4,2,FALSE)</f>
        <v>17.600000000000001</v>
      </c>
      <c r="N31" s="80" t="s">
        <v>113</v>
      </c>
      <c r="O31" s="7"/>
    </row>
    <row r="32" spans="1:15">
      <c r="A32" s="6" t="s">
        <v>114</v>
      </c>
      <c r="B32" s="6">
        <v>1</v>
      </c>
      <c r="C32" s="49">
        <v>20</v>
      </c>
      <c r="D32" s="50">
        <v>22.3</v>
      </c>
      <c r="E32" s="52">
        <f>((Tabela2[[#This Row],[Peso Total Galho]]-(Tabela2[[#This Row],[Peso Pç]]*Tabela2[[#This Row],[Qdt Peça Placa]]))*0.9)</f>
        <v>2.0700000000000007</v>
      </c>
      <c r="F32" s="66"/>
      <c r="L32" s="6" t="s">
        <v>17</v>
      </c>
      <c r="M32" s="7">
        <f ca="1">VLOOKUP(Tabela2[[#This Row],[Tipo de Material]],Dados!$P$2:$Q$4,2,FALSE)</f>
        <v>16.569852141766386</v>
      </c>
      <c r="N32" s="80" t="s">
        <v>98</v>
      </c>
      <c r="O32" s="7"/>
    </row>
    <row r="33" spans="1:15">
      <c r="A33" s="6" t="s">
        <v>115</v>
      </c>
      <c r="B33" s="6">
        <v>12</v>
      </c>
      <c r="C33" s="49">
        <v>0.26200000000000001</v>
      </c>
      <c r="D33" s="50">
        <v>5.57</v>
      </c>
      <c r="E33" s="52">
        <f>((Tabela2[[#This Row],[Peso Total Galho]]-(Tabela2[[#This Row],[Peso Pç]]*Tabela2[[#This Row],[Qdt Peça Placa]]))*0.9)</f>
        <v>2.1834000000000002</v>
      </c>
      <c r="F33" s="6"/>
      <c r="L33" s="6" t="s">
        <v>11</v>
      </c>
      <c r="M33" s="7">
        <f ca="1">VLOOKUP(Tabela2[[#This Row],[Tipo de Material]],Dados!$P$2:$Q$4,2,FALSE)</f>
        <v>17.600000000000001</v>
      </c>
      <c r="N33" s="80" t="s">
        <v>113</v>
      </c>
      <c r="O33" s="7">
        <v>5</v>
      </c>
    </row>
    <row r="34" spans="1:15">
      <c r="A34" s="6" t="s">
        <v>116</v>
      </c>
      <c r="B34" s="6">
        <v>12</v>
      </c>
      <c r="C34" s="49">
        <v>0.26200000000000001</v>
      </c>
      <c r="D34" s="50">
        <v>5.5679999999999996</v>
      </c>
      <c r="E34" s="52">
        <f>((Tabela2[[#This Row],[Peso Total Galho]]-(Tabela2[[#This Row],[Peso Pç]]*Tabela2[[#This Row],[Qdt Peça Placa]]))*0.9)</f>
        <v>2.1815999999999995</v>
      </c>
      <c r="F34" s="6"/>
      <c r="L34" s="6" t="s">
        <v>11</v>
      </c>
      <c r="M34" s="7">
        <f ca="1">VLOOKUP(Tabela2[[#This Row],[Tipo de Material]],Dados!$P$2:$Q$4,2,FALSE)</f>
        <v>17.600000000000001</v>
      </c>
      <c r="N34" s="80" t="s">
        <v>113</v>
      </c>
      <c r="O34" s="7">
        <v>1</v>
      </c>
    </row>
    <row r="35" spans="1:15">
      <c r="A35" s="6" t="s">
        <v>117</v>
      </c>
      <c r="B35" s="6">
        <v>1</v>
      </c>
      <c r="C35" s="49">
        <v>40</v>
      </c>
      <c r="D35" s="50">
        <v>40.299999999999997</v>
      </c>
      <c r="E35" s="52">
        <f>((Tabela2[[#This Row],[Peso Total Galho]]-(Tabela2[[#This Row],[Peso Pç]]*Tabela2[[#This Row],[Qdt Peça Placa]]))*0.9)</f>
        <v>0.26999999999999746</v>
      </c>
      <c r="F35" s="66"/>
      <c r="L35" s="6" t="s">
        <v>17</v>
      </c>
      <c r="M35" s="7">
        <f ca="1">VLOOKUP(Tabela2[[#This Row],[Tipo de Material]],Dados!$P$2:$Q$4,2,FALSE)</f>
        <v>16.569852141766386</v>
      </c>
      <c r="N35" s="80" t="s">
        <v>98</v>
      </c>
      <c r="O35" s="7"/>
    </row>
    <row r="36" spans="1:15">
      <c r="A36" s="6" t="s">
        <v>118</v>
      </c>
      <c r="B36" s="6">
        <v>2</v>
      </c>
      <c r="C36" s="49">
        <v>1.9</v>
      </c>
      <c r="D36" s="50">
        <v>4.7</v>
      </c>
      <c r="E36" s="52">
        <f>((Tabela2[[#This Row],[Peso Total Galho]]-(Tabela2[[#This Row],[Peso Pç]]*Tabela2[[#This Row],[Qdt Peça Placa]]))*0.9)</f>
        <v>0.81000000000000039</v>
      </c>
      <c r="F36" s="6"/>
      <c r="L36" s="6" t="s">
        <v>11</v>
      </c>
      <c r="M36" s="7">
        <f ca="1">VLOOKUP(Tabela2[[#This Row],[Tipo de Material]],Dados!$P$2:$Q$4,2,FALSE)</f>
        <v>17.600000000000001</v>
      </c>
      <c r="N36" s="80" t="s">
        <v>113</v>
      </c>
      <c r="O36" s="7"/>
    </row>
    <row r="37" spans="1:15">
      <c r="A37" s="6" t="s">
        <v>119</v>
      </c>
      <c r="B37" s="6">
        <v>1</v>
      </c>
      <c r="C37" s="49">
        <v>3.1</v>
      </c>
      <c r="D37" s="50">
        <v>3.8</v>
      </c>
      <c r="E37" s="52">
        <f>((Tabela2[[#This Row],[Peso Total Galho]]-(Tabela2[[#This Row],[Peso Pç]]*Tabela2[[#This Row],[Qdt Peça Placa]]))*0.9)</f>
        <v>0.62999999999999978</v>
      </c>
      <c r="F37" s="6"/>
      <c r="G37" s="6">
        <v>2</v>
      </c>
      <c r="H37" s="6">
        <v>1.25</v>
      </c>
      <c r="J37" s="6">
        <v>400301</v>
      </c>
      <c r="L37" s="6" t="s">
        <v>11</v>
      </c>
      <c r="M37" s="7">
        <f ca="1">VLOOKUP(Tabela2[[#This Row],[Tipo de Material]],Dados!$P$2:$Q$4,2,FALSE)</f>
        <v>17.600000000000001</v>
      </c>
      <c r="N37" s="80" t="s">
        <v>94</v>
      </c>
      <c r="O37" s="7">
        <v>20</v>
      </c>
    </row>
    <row r="38" spans="1:15">
      <c r="A38" s="6" t="s">
        <v>120</v>
      </c>
      <c r="B38" s="6">
        <v>1</v>
      </c>
      <c r="C38" s="49">
        <v>2</v>
      </c>
      <c r="D38" s="50">
        <v>2.4</v>
      </c>
      <c r="E38" s="52">
        <f>((Tabela2[[#This Row],[Peso Total Galho]]-(Tabela2[[#This Row],[Peso Pç]]*Tabela2[[#This Row],[Qdt Peça Placa]]))*0.9)</f>
        <v>0.35999999999999993</v>
      </c>
      <c r="F38" s="6"/>
      <c r="G38" s="6">
        <v>2</v>
      </c>
      <c r="H38" s="6">
        <v>1.175</v>
      </c>
      <c r="J38" s="6">
        <v>400302</v>
      </c>
      <c r="L38" s="6" t="s">
        <v>11</v>
      </c>
      <c r="M38" s="7">
        <f ca="1">VLOOKUP(Tabela2[[#This Row],[Tipo de Material]],Dados!$P$2:$Q$4,2,FALSE)</f>
        <v>17.600000000000001</v>
      </c>
      <c r="N38" s="80" t="s">
        <v>94</v>
      </c>
      <c r="O38" s="7">
        <v>20</v>
      </c>
    </row>
    <row r="39" spans="1:15">
      <c r="A39" s="6" t="s">
        <v>121</v>
      </c>
      <c r="B39" s="6">
        <v>4</v>
      </c>
      <c r="C39" s="49">
        <v>0.42499999999999999</v>
      </c>
      <c r="D39" s="50">
        <v>2.4</v>
      </c>
      <c r="E39" s="52">
        <f>((Tabela2[[#This Row],[Peso Total Galho]]-(Tabela2[[#This Row],[Peso Pç]]*Tabela2[[#This Row],[Qdt Peça Placa]]))*0.9)</f>
        <v>0.63</v>
      </c>
      <c r="F39" s="66"/>
      <c r="L39" s="6" t="s">
        <v>11</v>
      </c>
      <c r="M39" s="7">
        <f ca="1">VLOOKUP(Tabela2[[#This Row],[Tipo de Material]],Dados!$P$2:$Q$4,2,FALSE)</f>
        <v>17.600000000000001</v>
      </c>
      <c r="N39" s="80" t="s">
        <v>122</v>
      </c>
      <c r="O39" s="7"/>
    </row>
    <row r="40" spans="1:15">
      <c r="A40" s="6" t="s">
        <v>123</v>
      </c>
      <c r="B40" s="6">
        <v>4</v>
      </c>
      <c r="C40" s="49">
        <v>0.57499999999999996</v>
      </c>
      <c r="D40" s="50">
        <v>3.4</v>
      </c>
      <c r="E40" s="52">
        <f>((Tabela2[[#This Row],[Peso Total Galho]]-(Tabela2[[#This Row],[Peso Pç]]*Tabela2[[#This Row],[Qdt Peça Placa]]))*0.9)</f>
        <v>0.9900000000000001</v>
      </c>
      <c r="F40" s="66"/>
      <c r="L40" s="6" t="s">
        <v>11</v>
      </c>
      <c r="M40" s="7">
        <f ca="1">VLOOKUP(Tabela2[[#This Row],[Tipo de Material]],Dados!$P$2:$Q$4,2,FALSE)</f>
        <v>17.600000000000001</v>
      </c>
      <c r="N40" s="80" t="s">
        <v>122</v>
      </c>
      <c r="O40" s="7"/>
    </row>
    <row r="41" spans="1:15">
      <c r="A41" s="6" t="s">
        <v>124</v>
      </c>
      <c r="B41" s="6">
        <v>1</v>
      </c>
      <c r="C41" s="49">
        <v>1.69</v>
      </c>
      <c r="D41" s="50">
        <v>2.99</v>
      </c>
      <c r="E41" s="52">
        <f>((Tabela2[[#This Row],[Peso Total Galho]]-(Tabela2[[#This Row],[Peso Pç]]*Tabela2[[#This Row],[Qdt Peça Placa]]))*0.9)</f>
        <v>1.1700000000000004</v>
      </c>
      <c r="F41" s="6"/>
      <c r="L41" s="6" t="s">
        <v>14</v>
      </c>
      <c r="M41" s="7">
        <f ca="1">VLOOKUP(Tabela2[[#This Row],[Tipo de Material]],Dados!$P$2:$Q$4,2,FALSE)</f>
        <v>15.600000000000001</v>
      </c>
      <c r="N41" s="80" t="s">
        <v>76</v>
      </c>
      <c r="O41" s="7">
        <v>8</v>
      </c>
    </row>
    <row r="42" spans="1:15">
      <c r="A42" s="54" t="s">
        <v>125</v>
      </c>
      <c r="B42" s="6">
        <v>1</v>
      </c>
      <c r="C42" s="49">
        <v>1.4019999999999999</v>
      </c>
      <c r="D42" s="50">
        <v>1.95</v>
      </c>
      <c r="E42" s="52">
        <f>((Tabela2[[#This Row],[Peso Total Galho]]-(Tabela2[[#This Row],[Peso Pç]]*Tabela2[[#This Row],[Qdt Peça Placa]]))*0.9)</f>
        <v>0.49320000000000003</v>
      </c>
      <c r="F42" s="6"/>
      <c r="L42" s="6" t="s">
        <v>14</v>
      </c>
      <c r="M42" s="7">
        <f ca="1">VLOOKUP(Tabela2[[#This Row],[Tipo de Material]],Dados!$P$2:$Q$4,2,FALSE)</f>
        <v>15.600000000000001</v>
      </c>
      <c r="N42" s="80" t="s">
        <v>79</v>
      </c>
      <c r="O42" s="7">
        <v>6</v>
      </c>
    </row>
    <row r="43" spans="1:15">
      <c r="A43" s="72" t="s">
        <v>126</v>
      </c>
      <c r="B43" s="6">
        <v>1</v>
      </c>
      <c r="C43" s="49">
        <v>3.1419999999999999</v>
      </c>
      <c r="D43" s="50">
        <v>5.5590000000000002</v>
      </c>
      <c r="E43" s="52">
        <f>((Tabela2[[#This Row],[Peso Total Galho]]-(Tabela2[[#This Row],[Peso Pç]]*Tabela2[[#This Row],[Qdt Peça Placa]]))*0.9)</f>
        <v>2.1753000000000005</v>
      </c>
      <c r="F43" s="6"/>
      <c r="L43" s="6" t="s">
        <v>14</v>
      </c>
      <c r="M43" s="7">
        <f ca="1">VLOOKUP(Tabela2[[#This Row],[Tipo de Material]],Dados!$P$2:$Q$4,2,FALSE)</f>
        <v>15.600000000000001</v>
      </c>
      <c r="N43" s="80" t="s">
        <v>79</v>
      </c>
      <c r="O43" s="7">
        <v>6.5</v>
      </c>
    </row>
    <row r="44" spans="1:15">
      <c r="A44" s="6" t="s">
        <v>127</v>
      </c>
      <c r="B44" s="6">
        <v>6</v>
      </c>
      <c r="C44" s="49">
        <v>0.4</v>
      </c>
      <c r="D44" s="50">
        <v>3.6</v>
      </c>
      <c r="E44" s="52">
        <f>((Tabela2[[#This Row],[Peso Total Galho]]-(Tabela2[[#This Row],[Peso Pç]]*Tabela2[[#This Row],[Qdt Peça Placa]]))*0.9)</f>
        <v>1.0799999999999998</v>
      </c>
      <c r="F44" s="6"/>
      <c r="G44" s="6">
        <v>6</v>
      </c>
      <c r="H44" s="6">
        <v>0.89</v>
      </c>
      <c r="J44" s="6" t="s">
        <v>128</v>
      </c>
      <c r="L44" s="6" t="s">
        <v>14</v>
      </c>
      <c r="M44" s="7">
        <f ca="1">VLOOKUP(Tabela2[[#This Row],[Tipo de Material]],Dados!$P$2:$Q$4,2,FALSE)</f>
        <v>15.600000000000001</v>
      </c>
      <c r="N44" s="80" t="s">
        <v>76</v>
      </c>
      <c r="O44" s="7">
        <v>2</v>
      </c>
    </row>
    <row r="45" spans="1:15">
      <c r="A45" s="6" t="s">
        <v>129</v>
      </c>
      <c r="B45" s="6">
        <v>1</v>
      </c>
      <c r="C45" s="49">
        <v>1.62</v>
      </c>
      <c r="D45" s="50">
        <v>2.5</v>
      </c>
      <c r="E45" s="52">
        <f>((Tabela2[[#This Row],[Peso Total Galho]]-(Tabela2[[#This Row],[Peso Pç]]*Tabela2[[#This Row],[Qdt Peça Placa]]))*0.9)</f>
        <v>0.79199999999999993</v>
      </c>
      <c r="F45" s="6"/>
      <c r="L45" s="6" t="s">
        <v>11</v>
      </c>
      <c r="M45" s="7">
        <f ca="1">VLOOKUP(Tabela2[[#This Row],[Tipo de Material]],Dados!$P$2:$Q$4,2,FALSE)</f>
        <v>17.600000000000001</v>
      </c>
      <c r="N45" s="80" t="s">
        <v>76</v>
      </c>
      <c r="O45" s="7">
        <v>80</v>
      </c>
    </row>
    <row r="46" spans="1:15">
      <c r="A46" s="6" t="s">
        <v>130</v>
      </c>
      <c r="B46" s="6">
        <v>1</v>
      </c>
      <c r="C46" s="49">
        <v>2.93</v>
      </c>
      <c r="D46" s="50">
        <v>5.18</v>
      </c>
      <c r="E46" s="52">
        <f>((Tabela2[[#This Row],[Peso Total Galho]]-(Tabela2[[#This Row],[Peso Pç]]*Tabela2[[#This Row],[Qdt Peça Placa]]))*0.9)</f>
        <v>2.0249999999999995</v>
      </c>
      <c r="F46" s="6"/>
      <c r="G46" s="6">
        <v>3</v>
      </c>
      <c r="H46" s="6">
        <v>0.23</v>
      </c>
      <c r="J46" s="6" t="s">
        <v>131</v>
      </c>
      <c r="L46" s="6" t="s">
        <v>14</v>
      </c>
      <c r="M46" s="7">
        <f ca="1">VLOOKUP(Tabela2[[#This Row],[Tipo de Material]],Dados!$P$2:$Q$4,2,FALSE)</f>
        <v>15.600000000000001</v>
      </c>
      <c r="N46" s="80" t="s">
        <v>76</v>
      </c>
      <c r="O46" s="7">
        <v>1</v>
      </c>
    </row>
    <row r="47" spans="1:15">
      <c r="A47" s="6" t="s">
        <v>132</v>
      </c>
      <c r="B47" s="6">
        <v>2</v>
      </c>
      <c r="C47" s="49">
        <v>0.435</v>
      </c>
      <c r="D47" s="50">
        <v>1.5</v>
      </c>
      <c r="E47" s="52">
        <f>((Tabela2[[#This Row],[Peso Total Galho]]-(Tabela2[[#This Row],[Peso Pç]]*Tabela2[[#This Row],[Qdt Peça Placa]]))*0.9)</f>
        <v>0.56700000000000006</v>
      </c>
      <c r="F47" s="6"/>
      <c r="L47" s="6" t="s">
        <v>11</v>
      </c>
      <c r="M47" s="7">
        <f ca="1">VLOOKUP(Tabela2[[#This Row],[Tipo de Material]],Dados!$P$2:$Q$4,2,FALSE)</f>
        <v>17.600000000000001</v>
      </c>
      <c r="N47" s="80" t="s">
        <v>79</v>
      </c>
      <c r="O47" s="7"/>
    </row>
    <row r="48" spans="1:15">
      <c r="A48" s="6" t="s">
        <v>133</v>
      </c>
      <c r="B48" s="6">
        <v>3</v>
      </c>
      <c r="C48" s="49">
        <v>0.26600000000000001</v>
      </c>
      <c r="D48" s="50">
        <v>1.3</v>
      </c>
      <c r="E48" s="52">
        <f>((Tabela2[[#This Row],[Peso Total Galho]]-(Tabela2[[#This Row],[Peso Pç]]*Tabela2[[#This Row],[Qdt Peça Placa]]))*0.9)</f>
        <v>0.45180000000000003</v>
      </c>
      <c r="F48" s="66"/>
      <c r="L48" s="6" t="s">
        <v>11</v>
      </c>
      <c r="M48" s="7">
        <f ca="1">VLOOKUP(Tabela2[[#This Row],[Tipo de Material]],Dados!$P$2:$Q$4,2,FALSE)</f>
        <v>17.600000000000001</v>
      </c>
      <c r="N48" s="80" t="s">
        <v>98</v>
      </c>
      <c r="O48" s="7"/>
    </row>
    <row r="49" spans="1:15">
      <c r="A49" s="54" t="s">
        <v>134</v>
      </c>
      <c r="B49" s="6">
        <v>1</v>
      </c>
      <c r="C49" s="49">
        <v>3.65</v>
      </c>
      <c r="D49" s="50">
        <v>6.46</v>
      </c>
      <c r="E49" s="52">
        <f>((Tabela2[[#This Row],[Peso Total Galho]]-(Tabela2[[#This Row],[Peso Pç]]*Tabela2[[#This Row],[Qdt Peça Placa]]))*0.9)</f>
        <v>2.5289999999999999</v>
      </c>
      <c r="F49" s="6"/>
      <c r="G49" s="6">
        <v>1</v>
      </c>
      <c r="H49" s="6">
        <v>2.742</v>
      </c>
      <c r="J49" s="6">
        <v>400412</v>
      </c>
      <c r="L49" s="6" t="s">
        <v>14</v>
      </c>
      <c r="M49" s="7">
        <f ca="1">VLOOKUP(Tabela2[[#This Row],[Tipo de Material]],Dados!$P$2:$Q$4,2,FALSE)</f>
        <v>15.600000000000001</v>
      </c>
      <c r="N49" s="80" t="s">
        <v>76</v>
      </c>
      <c r="O49" s="7">
        <v>15</v>
      </c>
    </row>
    <row r="50" spans="1:15">
      <c r="A50" s="6" t="s">
        <v>135</v>
      </c>
      <c r="B50" s="6">
        <v>1</v>
      </c>
      <c r="C50" s="49">
        <v>1.77</v>
      </c>
      <c r="D50" s="50">
        <v>3.13</v>
      </c>
      <c r="E50" s="52">
        <f>((Tabela2[[#This Row],[Peso Total Galho]]-(Tabela2[[#This Row],[Peso Pç]]*Tabela2[[#This Row],[Qdt Peça Placa]]))*0.9)</f>
        <v>1.224</v>
      </c>
      <c r="F50" s="6"/>
      <c r="G50" s="6">
        <v>1</v>
      </c>
      <c r="H50" s="6">
        <v>2.657</v>
      </c>
      <c r="J50" s="6">
        <v>400405</v>
      </c>
      <c r="L50" s="6" t="s">
        <v>14</v>
      </c>
      <c r="M50" s="7">
        <f ca="1">VLOOKUP(Tabela2[[#This Row],[Tipo de Material]],Dados!$P$2:$Q$4,2,FALSE)</f>
        <v>15.600000000000001</v>
      </c>
      <c r="N50" s="80" t="s">
        <v>76</v>
      </c>
      <c r="O50" s="7">
        <v>10</v>
      </c>
    </row>
    <row r="51" spans="1:15">
      <c r="A51" s="6" t="s">
        <v>136</v>
      </c>
      <c r="B51" s="6">
        <v>6</v>
      </c>
      <c r="C51" s="49">
        <v>0.16600000000000001</v>
      </c>
      <c r="D51" s="50">
        <v>1.3919999999999999</v>
      </c>
      <c r="E51" s="52">
        <f>((Tabela2[[#This Row],[Peso Total Galho]]-(Tabela2[[#This Row],[Peso Pç]]*Tabela2[[#This Row],[Qdt Peça Placa]]))*0.9)</f>
        <v>0.35639999999999994</v>
      </c>
      <c r="F51" s="6"/>
      <c r="L51" s="6" t="s">
        <v>11</v>
      </c>
      <c r="M51" s="7">
        <f ca="1">VLOOKUP(Tabela2[[#This Row],[Tipo de Material]],Dados!$P$2:$Q$4,2,FALSE)</f>
        <v>17.600000000000001</v>
      </c>
      <c r="N51" s="80" t="s">
        <v>113</v>
      </c>
      <c r="O51" s="7">
        <v>10</v>
      </c>
    </row>
    <row r="52" spans="1:15">
      <c r="A52" s="6" t="s">
        <v>137</v>
      </c>
      <c r="B52" s="6">
        <v>6</v>
      </c>
      <c r="C52" s="49">
        <v>0.38700000000000001</v>
      </c>
      <c r="D52" s="50">
        <v>4.1100000000000003</v>
      </c>
      <c r="E52" s="52">
        <f>((Tabela2[[#This Row],[Peso Total Galho]]-(Tabela2[[#This Row],[Peso Pç]]*Tabela2[[#This Row],[Qdt Peça Placa]]))*0.9)</f>
        <v>1.6092000000000002</v>
      </c>
      <c r="F52" s="6"/>
      <c r="L52" s="6" t="s">
        <v>11</v>
      </c>
      <c r="M52" s="7">
        <f ca="1">VLOOKUP(Tabela2[[#This Row],[Tipo de Material]],Dados!$P$2:$Q$4,2,FALSE)</f>
        <v>17.600000000000001</v>
      </c>
      <c r="N52" s="80" t="s">
        <v>113</v>
      </c>
      <c r="O52" s="7">
        <v>5</v>
      </c>
    </row>
    <row r="53" spans="1:15">
      <c r="A53" s="54" t="s">
        <v>138</v>
      </c>
      <c r="B53" s="6">
        <v>8</v>
      </c>
      <c r="C53" s="49">
        <v>6.0999999999999999E-2</v>
      </c>
      <c r="D53" s="50">
        <v>1</v>
      </c>
      <c r="E53" s="52">
        <f>((Tabela2[[#This Row],[Peso Total Galho]]-(Tabela2[[#This Row],[Peso Pç]]*Tabela2[[#This Row],[Qdt Peça Placa]]))*0.9)</f>
        <v>0.46080000000000004</v>
      </c>
      <c r="F53" s="6"/>
      <c r="L53" s="6" t="s">
        <v>14</v>
      </c>
      <c r="M53" s="7">
        <f ca="1">VLOOKUP(Tabela2[[#This Row],[Tipo de Material]],Dados!$P$2:$Q$4,2,FALSE)</f>
        <v>15.600000000000001</v>
      </c>
      <c r="N53" s="80" t="s">
        <v>76</v>
      </c>
      <c r="O53" s="7">
        <v>4</v>
      </c>
    </row>
    <row r="54" spans="1:15">
      <c r="A54" s="6" t="s">
        <v>139</v>
      </c>
      <c r="B54" s="6">
        <v>1</v>
      </c>
      <c r="C54" s="49">
        <v>4.96</v>
      </c>
      <c r="D54" s="50">
        <v>5.3120000000000003</v>
      </c>
      <c r="E54" s="52">
        <f>((Tabela2[[#This Row],[Peso Total Galho]]-(Tabela2[[#This Row],[Peso Pç]]*Tabela2[[#This Row],[Qdt Peça Placa]]))*0.9)</f>
        <v>0.3168000000000003</v>
      </c>
      <c r="F54" s="6"/>
      <c r="L54" s="6" t="s">
        <v>14</v>
      </c>
      <c r="M54" s="7">
        <f ca="1">VLOOKUP(Tabela2[[#This Row],[Tipo de Material]],Dados!$P$2:$Q$4,2,FALSE)</f>
        <v>15.600000000000001</v>
      </c>
      <c r="N54" s="80" t="s">
        <v>76</v>
      </c>
      <c r="O54" s="7">
        <v>1</v>
      </c>
    </row>
    <row r="55" spans="1:15">
      <c r="A55" s="6" t="s">
        <v>140</v>
      </c>
      <c r="B55" s="6">
        <v>1</v>
      </c>
      <c r="C55" s="49">
        <v>11.8</v>
      </c>
      <c r="D55" s="50">
        <v>13</v>
      </c>
      <c r="E55" s="52">
        <f>((Tabela2[[#This Row],[Peso Total Galho]]-(Tabela2[[#This Row],[Peso Pç]]*Tabela2[[#This Row],[Qdt Peça Placa]]))*0.9)</f>
        <v>1.0799999999999994</v>
      </c>
      <c r="F55" s="6"/>
      <c r="L55" s="6" t="s">
        <v>14</v>
      </c>
      <c r="M55" s="7">
        <f ca="1">VLOOKUP(Tabela2[[#This Row],[Tipo de Material]],Dados!$P$2:$Q$4,2,FALSE)</f>
        <v>15.600000000000001</v>
      </c>
      <c r="N55" s="80" t="s">
        <v>76</v>
      </c>
      <c r="O55" s="7">
        <v>1</v>
      </c>
    </row>
    <row r="56" spans="1:15">
      <c r="A56" s="6" t="s">
        <v>141</v>
      </c>
      <c r="B56" s="6">
        <v>1</v>
      </c>
      <c r="C56" s="49">
        <v>3.1</v>
      </c>
      <c r="D56" s="50">
        <v>3.5</v>
      </c>
      <c r="E56" s="52">
        <f>((Tabela2[[#This Row],[Peso Total Galho]]-(Tabela2[[#This Row],[Peso Pç]]*Tabela2[[#This Row],[Qdt Peça Placa]]))*0.9)</f>
        <v>0.35999999999999993</v>
      </c>
      <c r="F56" s="6"/>
      <c r="L56" s="6" t="s">
        <v>11</v>
      </c>
      <c r="M56" s="7">
        <f ca="1">VLOOKUP(Tabela2[[#This Row],[Tipo de Material]],Dados!$P$2:$Q$4,2,FALSE)</f>
        <v>17.600000000000001</v>
      </c>
      <c r="N56" s="80" t="s">
        <v>98</v>
      </c>
      <c r="O56" s="7"/>
    </row>
    <row r="57" spans="1:15">
      <c r="A57" s="6" t="s">
        <v>142</v>
      </c>
      <c r="B57" s="6">
        <v>1</v>
      </c>
      <c r="C57" s="49">
        <v>0.8</v>
      </c>
      <c r="D57" s="50">
        <v>1.35</v>
      </c>
      <c r="E57" s="52">
        <f>((Tabela2[[#This Row],[Peso Total Galho]]-(Tabela2[[#This Row],[Peso Pç]]*Tabela2[[#This Row],[Qdt Peça Placa]]))*0.9)</f>
        <v>0.49500000000000005</v>
      </c>
      <c r="F57" s="66"/>
      <c r="L57" s="6" t="s">
        <v>17</v>
      </c>
      <c r="M57" s="7">
        <f ca="1">VLOOKUP(Tabela2[[#This Row],[Tipo de Material]],Dados!$P$2:$Q$4,2,FALSE)</f>
        <v>16.569852141766386</v>
      </c>
      <c r="N57" s="80" t="s">
        <v>98</v>
      </c>
      <c r="O57" s="7"/>
    </row>
    <row r="58" spans="1:15">
      <c r="A58" s="6" t="s">
        <v>143</v>
      </c>
      <c r="B58" s="6">
        <v>1</v>
      </c>
      <c r="C58" s="49">
        <v>0.26600000000000001</v>
      </c>
      <c r="D58" s="50">
        <v>1.2</v>
      </c>
      <c r="E58" s="52">
        <f>((Tabela2[[#This Row],[Peso Total Galho]]-(Tabela2[[#This Row],[Peso Pç]]*Tabela2[[#This Row],[Qdt Peça Placa]]))*0.9)</f>
        <v>0.84060000000000001</v>
      </c>
      <c r="F58" s="66"/>
      <c r="L58" s="6" t="s">
        <v>17</v>
      </c>
      <c r="M58" s="7">
        <f ca="1">VLOOKUP(Tabela2[[#This Row],[Tipo de Material]],Dados!$P$2:$Q$4,2,FALSE)</f>
        <v>16.569852141766386</v>
      </c>
      <c r="N58" s="80" t="s">
        <v>98</v>
      </c>
      <c r="O58" s="7"/>
    </row>
    <row r="59" spans="1:15">
      <c r="A59" s="6" t="s">
        <v>144</v>
      </c>
      <c r="B59" s="6">
        <v>4</v>
      </c>
      <c r="C59" s="49">
        <v>0.24099999999999999</v>
      </c>
      <c r="D59" s="50">
        <v>1.708</v>
      </c>
      <c r="E59" s="52">
        <f>((Tabela2[[#This Row],[Peso Total Galho]]-(Tabela2[[#This Row],[Peso Pç]]*Tabela2[[#This Row],[Qdt Peça Placa]]))*0.9)</f>
        <v>0.66959999999999997</v>
      </c>
      <c r="F59" s="6"/>
      <c r="L59" s="6" t="s">
        <v>11</v>
      </c>
      <c r="M59" s="7">
        <f ca="1">VLOOKUP(Tabela2[[#This Row],[Tipo de Material]],Dados!$P$2:$Q$4,2,FALSE)</f>
        <v>17.600000000000001</v>
      </c>
      <c r="N59" s="80" t="s">
        <v>79</v>
      </c>
      <c r="O59" s="7">
        <v>4</v>
      </c>
    </row>
    <row r="60" spans="1:15">
      <c r="A60" s="6" t="s">
        <v>145</v>
      </c>
      <c r="B60" s="6">
        <v>2</v>
      </c>
      <c r="C60" s="49">
        <v>1.014</v>
      </c>
      <c r="D60" s="50">
        <v>3.59</v>
      </c>
      <c r="E60" s="52">
        <f>((Tabela2[[#This Row],[Peso Total Galho]]-(Tabela2[[#This Row],[Peso Pç]]*Tabela2[[#This Row],[Qdt Peça Placa]]))*0.9)</f>
        <v>1.4057999999999999</v>
      </c>
      <c r="F60" s="6"/>
      <c r="L60" s="6" t="s">
        <v>14</v>
      </c>
      <c r="M60" s="7">
        <f ca="1">VLOOKUP(Tabela2[[#This Row],[Tipo de Material]],Dados!$P$2:$Q$4,2,FALSE)</f>
        <v>15.600000000000001</v>
      </c>
      <c r="N60" s="80" t="s">
        <v>79</v>
      </c>
      <c r="O60" s="7">
        <v>6</v>
      </c>
    </row>
    <row r="61" spans="1:15">
      <c r="A61" s="54" t="s">
        <v>146</v>
      </c>
      <c r="B61" s="6">
        <v>3</v>
      </c>
      <c r="C61" s="49">
        <v>0.53300000000000003</v>
      </c>
      <c r="D61" s="50">
        <v>2.4990000000000001</v>
      </c>
      <c r="E61" s="52">
        <f>((Tabela2[[#This Row],[Peso Total Galho]]-(Tabela2[[#This Row],[Peso Pç]]*Tabela2[[#This Row],[Qdt Peça Placa]]))*0.9)</f>
        <v>0.80999999999999994</v>
      </c>
      <c r="F61" s="6"/>
      <c r="L61" s="6" t="s">
        <v>14</v>
      </c>
      <c r="M61" s="7">
        <f ca="1">VLOOKUP(Tabela2[[#This Row],[Tipo de Material]],Dados!$P$2:$Q$4,2,FALSE)</f>
        <v>15.600000000000001</v>
      </c>
      <c r="N61" s="80" t="s">
        <v>79</v>
      </c>
      <c r="O61" s="7">
        <v>5</v>
      </c>
    </row>
    <row r="62" spans="1:15">
      <c r="A62" s="54" t="s">
        <v>147</v>
      </c>
      <c r="B62" s="6">
        <v>1</v>
      </c>
      <c r="C62" s="49">
        <v>1.98</v>
      </c>
      <c r="D62" s="50">
        <v>3.08</v>
      </c>
      <c r="E62" s="52">
        <f>((Tabela2[[#This Row],[Peso Total Galho]]-(Tabela2[[#This Row],[Peso Pç]]*Tabela2[[#This Row],[Qdt Peça Placa]]))*0.9)</f>
        <v>0.9900000000000001</v>
      </c>
      <c r="F62" s="6"/>
      <c r="L62" s="6" t="s">
        <v>14</v>
      </c>
      <c r="M62" s="7">
        <f ca="1">VLOOKUP(Tabela2[[#This Row],[Tipo de Material]],Dados!$P$2:$Q$4,2,FALSE)</f>
        <v>15.600000000000001</v>
      </c>
      <c r="N62" s="80" t="s">
        <v>79</v>
      </c>
      <c r="O62" s="7">
        <v>5</v>
      </c>
    </row>
    <row r="63" spans="1:15">
      <c r="A63" s="54" t="s">
        <v>148</v>
      </c>
      <c r="B63" s="6">
        <v>1</v>
      </c>
      <c r="C63" s="49">
        <v>1.5</v>
      </c>
      <c r="D63" s="50">
        <v>2.5</v>
      </c>
      <c r="E63" s="52">
        <f>((Tabela2[[#This Row],[Peso Total Galho]]-(Tabela2[[#This Row],[Peso Pç]]*Tabela2[[#This Row],[Qdt Peça Placa]]))*0.9)</f>
        <v>0.9</v>
      </c>
      <c r="F63" s="6"/>
      <c r="L63" s="6" t="s">
        <v>14</v>
      </c>
      <c r="M63" s="7">
        <f ca="1">VLOOKUP(Tabela2[[#This Row],[Tipo de Material]],Dados!$P$2:$Q$4,2,FALSE)</f>
        <v>15.600000000000001</v>
      </c>
      <c r="N63" s="80" t="s">
        <v>79</v>
      </c>
      <c r="O63" s="7">
        <v>5</v>
      </c>
    </row>
    <row r="64" spans="1:15">
      <c r="A64" s="72" t="s">
        <v>149</v>
      </c>
      <c r="B64" s="6">
        <v>1</v>
      </c>
      <c r="C64" s="49">
        <v>1.64</v>
      </c>
      <c r="D64" s="50">
        <v>2.37</v>
      </c>
      <c r="E64" s="52">
        <f>((Tabela2[[#This Row],[Peso Total Galho]]-(Tabela2[[#This Row],[Peso Pç]]*Tabela2[[#This Row],[Qdt Peça Placa]]))*0.9)</f>
        <v>0.65700000000000025</v>
      </c>
      <c r="F64" s="6"/>
      <c r="L64" s="6" t="s">
        <v>14</v>
      </c>
      <c r="M64" s="7">
        <f ca="1">VLOOKUP(Tabela2[[#This Row],[Tipo de Material]],Dados!$P$2:$Q$4,2,FALSE)</f>
        <v>15.600000000000001</v>
      </c>
      <c r="N64" s="80" t="s">
        <v>79</v>
      </c>
      <c r="O64" s="7">
        <v>5</v>
      </c>
    </row>
    <row r="65" spans="1:15">
      <c r="A65" s="72" t="s">
        <v>150</v>
      </c>
      <c r="B65" s="6">
        <v>2</v>
      </c>
      <c r="C65" s="49">
        <v>1.02</v>
      </c>
      <c r="D65" s="50">
        <v>3.2240000000000002</v>
      </c>
      <c r="E65" s="52">
        <f>((Tabela2[[#This Row],[Peso Total Galho]]-(Tabela2[[#This Row],[Peso Pç]]*Tabela2[[#This Row],[Qdt Peça Placa]]))*0.9)</f>
        <v>1.0656000000000001</v>
      </c>
      <c r="F65" s="6"/>
      <c r="L65" s="6" t="s">
        <v>14</v>
      </c>
      <c r="M65" s="7">
        <f ca="1">VLOOKUP(Tabela2[[#This Row],[Tipo de Material]],Dados!$P$2:$Q$4,2,FALSE)</f>
        <v>15.600000000000001</v>
      </c>
      <c r="N65" s="80" t="s">
        <v>79</v>
      </c>
      <c r="O65" s="7">
        <v>5</v>
      </c>
    </row>
    <row r="66" spans="1:15">
      <c r="A66" s="6" t="s">
        <v>151</v>
      </c>
      <c r="B66" s="6">
        <v>1</v>
      </c>
      <c r="C66" s="49">
        <v>1.45</v>
      </c>
      <c r="D66" s="50">
        <v>2.6</v>
      </c>
      <c r="E66" s="52">
        <f>((Tabela2[[#This Row],[Peso Total Galho]]-(Tabela2[[#This Row],[Peso Pç]]*Tabela2[[#This Row],[Qdt Peça Placa]]))*0.9)</f>
        <v>1.0350000000000001</v>
      </c>
      <c r="F66" s="6"/>
      <c r="L66" s="6" t="s">
        <v>14</v>
      </c>
      <c r="M66" s="7">
        <f ca="1">VLOOKUP(Tabela2[[#This Row],[Tipo de Material]],Dados!$P$2:$Q$4,2,FALSE)</f>
        <v>15.600000000000001</v>
      </c>
      <c r="N66" s="80" t="s">
        <v>79</v>
      </c>
      <c r="O66" s="7">
        <v>5</v>
      </c>
    </row>
    <row r="67" spans="1:15">
      <c r="A67" s="6" t="s">
        <v>152</v>
      </c>
      <c r="B67" s="6">
        <v>2</v>
      </c>
      <c r="C67" s="49">
        <v>0.65</v>
      </c>
      <c r="D67" s="50">
        <v>2</v>
      </c>
      <c r="E67" s="52">
        <f>((Tabela2[[#This Row],[Peso Total Galho]]-(Tabela2[[#This Row],[Peso Pç]]*Tabela2[[#This Row],[Qdt Peça Placa]]))*0.9)</f>
        <v>0.63</v>
      </c>
      <c r="F67" s="6"/>
      <c r="L67" s="6" t="s">
        <v>14</v>
      </c>
      <c r="M67" s="7">
        <f ca="1">VLOOKUP(Tabela2[[#This Row],[Tipo de Material]],Dados!$P$2:$Q$4,2,FALSE)</f>
        <v>15.600000000000001</v>
      </c>
      <c r="N67" s="80" t="s">
        <v>79</v>
      </c>
      <c r="O67" s="7">
        <v>5</v>
      </c>
    </row>
    <row r="68" spans="1:15">
      <c r="A68" s="6" t="s">
        <v>153</v>
      </c>
      <c r="B68" s="6">
        <v>1</v>
      </c>
      <c r="C68" s="49">
        <v>4.96</v>
      </c>
      <c r="D68" s="50">
        <v>5.3120000000000003</v>
      </c>
      <c r="E68" s="52">
        <f>((Tabela2[[#This Row],[Peso Total Galho]]-(Tabela2[[#This Row],[Peso Pç]]*Tabela2[[#This Row],[Qdt Peça Placa]]))*0.9)</f>
        <v>0.3168000000000003</v>
      </c>
      <c r="F68" s="6"/>
      <c r="L68" s="6" t="s">
        <v>11</v>
      </c>
      <c r="M68" s="7">
        <f ca="1">VLOOKUP(Tabela2[[#This Row],[Tipo de Material]],Dados!$P$2:$Q$4,2,FALSE)</f>
        <v>17.600000000000001</v>
      </c>
      <c r="N68" s="80" t="s">
        <v>76</v>
      </c>
      <c r="O68" s="7">
        <v>1</v>
      </c>
    </row>
    <row r="69" spans="1:15">
      <c r="A69" s="6" t="s">
        <v>154</v>
      </c>
      <c r="B69" s="6">
        <v>1</v>
      </c>
      <c r="C69" s="49">
        <v>11.8</v>
      </c>
      <c r="D69" s="50">
        <v>13</v>
      </c>
      <c r="E69" s="52">
        <f>((Tabela2[[#This Row],[Peso Total Galho]]-(Tabela2[[#This Row],[Peso Pç]]*Tabela2[[#This Row],[Qdt Peça Placa]]))*0.9)</f>
        <v>1.0799999999999994</v>
      </c>
      <c r="F69" s="6"/>
      <c r="L69" s="6" t="s">
        <v>11</v>
      </c>
      <c r="M69" s="7">
        <f ca="1">VLOOKUP(Tabela2[[#This Row],[Tipo de Material]],Dados!$P$2:$Q$4,2,FALSE)</f>
        <v>17.600000000000001</v>
      </c>
      <c r="N69" s="80" t="s">
        <v>76</v>
      </c>
      <c r="O69" s="7">
        <v>1</v>
      </c>
    </row>
    <row r="70" spans="1:15">
      <c r="A70" s="6" t="s">
        <v>155</v>
      </c>
      <c r="B70" s="6">
        <v>4</v>
      </c>
      <c r="C70" s="49">
        <v>0.26</v>
      </c>
      <c r="D70" s="50">
        <v>1.84</v>
      </c>
      <c r="E70" s="52">
        <f>((Tabela2[[#This Row],[Peso Total Galho]]-(Tabela2[[#This Row],[Peso Pç]]*Tabela2[[#This Row],[Qdt Peça Placa]]))*0.9)</f>
        <v>0.72000000000000008</v>
      </c>
      <c r="F70" s="6"/>
      <c r="L70" s="6" t="s">
        <v>14</v>
      </c>
      <c r="M70" s="7">
        <f ca="1">VLOOKUP(Tabela2[[#This Row],[Tipo de Material]],Dados!$P$2:$Q$4,2,FALSE)</f>
        <v>15.600000000000001</v>
      </c>
      <c r="N70" s="80" t="s">
        <v>79</v>
      </c>
      <c r="O70" s="7">
        <v>0</v>
      </c>
    </row>
    <row r="71" spans="1:15">
      <c r="A71" s="6" t="s">
        <v>156</v>
      </c>
      <c r="B71" s="6">
        <v>2</v>
      </c>
      <c r="C71" s="49">
        <v>0.52600000000000002</v>
      </c>
      <c r="D71" s="50">
        <v>1.8620000000000001</v>
      </c>
      <c r="E71" s="52">
        <f>((Tabela2[[#This Row],[Peso Total Galho]]-(Tabela2[[#This Row],[Peso Pç]]*Tabela2[[#This Row],[Qdt Peça Placa]]))*0.9)</f>
        <v>0.72900000000000009</v>
      </c>
      <c r="F71" s="6"/>
      <c r="L71" s="6" t="s">
        <v>14</v>
      </c>
      <c r="M71" s="7">
        <f ca="1">VLOOKUP(Tabela2[[#This Row],[Tipo de Material]],Dados!$P$2:$Q$4,2,FALSE)</f>
        <v>15.600000000000001</v>
      </c>
      <c r="N71" s="80" t="s">
        <v>79</v>
      </c>
      <c r="O71" s="7">
        <v>0</v>
      </c>
    </row>
    <row r="72" spans="1:15">
      <c r="A72" s="6" t="s">
        <v>157</v>
      </c>
      <c r="B72" s="6">
        <v>6</v>
      </c>
      <c r="C72" s="49">
        <v>0.33500000000000002</v>
      </c>
      <c r="D72" s="50">
        <v>3.5579999999999998</v>
      </c>
      <c r="E72" s="52">
        <f>((Tabela2[[#This Row],[Peso Total Galho]]-(Tabela2[[#This Row],[Peso Pç]]*Tabela2[[#This Row],[Qdt Peça Placa]]))*0.9)</f>
        <v>1.3931999999999998</v>
      </c>
      <c r="F72" s="6"/>
      <c r="L72" s="6" t="s">
        <v>11</v>
      </c>
      <c r="M72" s="7">
        <f ca="1">VLOOKUP(Tabela2[[#This Row],[Tipo de Material]],Dados!$P$2:$Q$4,2,FALSE)</f>
        <v>17.600000000000001</v>
      </c>
      <c r="N72" s="80" t="s">
        <v>113</v>
      </c>
      <c r="O72" s="7">
        <v>5</v>
      </c>
    </row>
    <row r="73" spans="1:15">
      <c r="A73" s="6" t="s">
        <v>158</v>
      </c>
      <c r="B73" s="6">
        <v>4</v>
      </c>
      <c r="C73" s="49">
        <v>1.5</v>
      </c>
      <c r="D73" s="50">
        <v>6.4</v>
      </c>
      <c r="E73" s="52">
        <f>((Tabela2[[#This Row],[Peso Total Galho]]-(Tabela2[[#This Row],[Peso Pç]]*Tabela2[[#This Row],[Qdt Peça Placa]]))*0.9)</f>
        <v>0.36000000000000032</v>
      </c>
      <c r="F73" s="66"/>
      <c r="L73" s="6" t="s">
        <v>11</v>
      </c>
      <c r="M73" s="7">
        <f ca="1">VLOOKUP(Tabela2[[#This Row],[Tipo de Material]],Dados!$P$2:$Q$4,2,FALSE)</f>
        <v>17.600000000000001</v>
      </c>
      <c r="N73" s="80" t="s">
        <v>98</v>
      </c>
      <c r="O73" s="7"/>
    </row>
    <row r="74" spans="1:15">
      <c r="A74" s="6" t="s">
        <v>159</v>
      </c>
      <c r="B74" s="6">
        <v>4</v>
      </c>
      <c r="C74" s="49">
        <v>1</v>
      </c>
      <c r="D74" s="50">
        <v>4.5</v>
      </c>
      <c r="E74" s="52">
        <f>((Tabela2[[#This Row],[Peso Total Galho]]-(Tabela2[[#This Row],[Peso Pç]]*Tabela2[[#This Row],[Qdt Peça Placa]]))*0.9)</f>
        <v>0.45</v>
      </c>
      <c r="F74" s="66"/>
      <c r="L74" s="6" t="s">
        <v>11</v>
      </c>
      <c r="M74" s="7">
        <f ca="1">VLOOKUP(Tabela2[[#This Row],[Tipo de Material]],Dados!$P$2:$Q$4,2,FALSE)</f>
        <v>17.600000000000001</v>
      </c>
      <c r="N74" s="80" t="s">
        <v>98</v>
      </c>
      <c r="O74" s="7"/>
    </row>
    <row r="75" spans="1:15">
      <c r="A75" s="6" t="s">
        <v>160</v>
      </c>
      <c r="B75" s="6">
        <v>1</v>
      </c>
      <c r="C75" s="49">
        <v>11.925000000000001</v>
      </c>
      <c r="D75" s="50">
        <v>12.925000000000001</v>
      </c>
      <c r="E75" s="52">
        <f>((Tabela2[[#This Row],[Peso Total Galho]]-(Tabela2[[#This Row],[Peso Pç]]*Tabela2[[#This Row],[Qdt Peça Placa]]))*0.9)</f>
        <v>0.9</v>
      </c>
      <c r="F75" s="66"/>
      <c r="L75" s="6" t="s">
        <v>11</v>
      </c>
      <c r="M75" s="7">
        <f ca="1">VLOOKUP(Tabela2[[#This Row],[Tipo de Material]],Dados!$P$2:$Q$4,2,FALSE)</f>
        <v>17.600000000000001</v>
      </c>
      <c r="N75" s="80" t="s">
        <v>94</v>
      </c>
      <c r="O75" s="7"/>
    </row>
    <row r="76" spans="1:15">
      <c r="A76" s="6" t="s">
        <v>161</v>
      </c>
      <c r="B76" s="6">
        <v>1</v>
      </c>
      <c r="C76" s="49">
        <v>16.2</v>
      </c>
      <c r="D76" s="50">
        <v>17.3</v>
      </c>
      <c r="E76" s="52">
        <f>((Tabela2[[#This Row],[Peso Total Galho]]-(Tabela2[[#This Row],[Peso Pç]]*Tabela2[[#This Row],[Qdt Peça Placa]]))*0.9)</f>
        <v>0.99000000000000132</v>
      </c>
      <c r="F76" s="66"/>
      <c r="L76" s="6" t="s">
        <v>11</v>
      </c>
      <c r="M76" s="7">
        <f ca="1">VLOOKUP(Tabela2[[#This Row],[Tipo de Material]],Dados!$P$2:$Q$4,2,FALSE)</f>
        <v>17.600000000000001</v>
      </c>
      <c r="N76" s="80" t="s">
        <v>94</v>
      </c>
      <c r="O76" s="7"/>
    </row>
    <row r="77" spans="1:15">
      <c r="A77" s="6" t="s">
        <v>162</v>
      </c>
      <c r="B77" s="6">
        <v>1</v>
      </c>
      <c r="C77" s="49">
        <v>35.15</v>
      </c>
      <c r="D77" s="50">
        <v>38.15</v>
      </c>
      <c r="E77" s="52">
        <f>((Tabela2[[#This Row],[Peso Total Galho]]-(Tabela2[[#This Row],[Peso Pç]]*Tabela2[[#This Row],[Qdt Peça Placa]]))*0.9)</f>
        <v>2.7</v>
      </c>
      <c r="F77" s="66"/>
      <c r="L77" s="6" t="s">
        <v>11</v>
      </c>
      <c r="M77" s="7">
        <f ca="1">VLOOKUP(Tabela2[[#This Row],[Tipo de Material]],Dados!$P$2:$Q$4,2,FALSE)</f>
        <v>17.600000000000001</v>
      </c>
      <c r="N77" s="80" t="s">
        <v>94</v>
      </c>
      <c r="O77" s="7"/>
    </row>
    <row r="78" spans="1:15">
      <c r="A78" s="6" t="s">
        <v>163</v>
      </c>
      <c r="B78" s="6">
        <v>5</v>
      </c>
      <c r="C78" s="49">
        <v>9.5399999999999991</v>
      </c>
      <c r="D78" s="50">
        <v>10.34</v>
      </c>
      <c r="E78" s="52">
        <f>((Tabela2[[#This Row],[Peso Total Galho]]-(Tabela2[[#This Row],[Peso Pç]]*Tabela2[[#This Row],[Qdt Peça Placa]]))*0.9)</f>
        <v>-33.624000000000002</v>
      </c>
      <c r="F78" s="66"/>
      <c r="L78" s="6" t="s">
        <v>11</v>
      </c>
      <c r="M78" s="7">
        <f ca="1">VLOOKUP(Tabela2[[#This Row],[Tipo de Material]],Dados!$P$2:$Q$4,2,FALSE)</f>
        <v>17.600000000000001</v>
      </c>
      <c r="N78" s="80" t="s">
        <v>94</v>
      </c>
      <c r="O78" s="7"/>
    </row>
    <row r="79" spans="1:15">
      <c r="A79" s="6" t="s">
        <v>164</v>
      </c>
      <c r="B79" s="6">
        <v>2</v>
      </c>
      <c r="C79" s="49">
        <v>19.649999999999999</v>
      </c>
      <c r="D79" s="50">
        <v>21.15</v>
      </c>
      <c r="E79" s="52">
        <f>((Tabela2[[#This Row],[Peso Total Galho]]-(Tabela2[[#This Row],[Peso Pç]]*Tabela2[[#This Row],[Qdt Peça Placa]]))*0.9)</f>
        <v>-16.335000000000001</v>
      </c>
      <c r="F79" s="66"/>
      <c r="L79" s="6" t="s">
        <v>11</v>
      </c>
      <c r="M79" s="7">
        <f ca="1">VLOOKUP(Tabela2[[#This Row],[Tipo de Material]],Dados!$P$2:$Q$4,2,FALSE)</f>
        <v>17.600000000000001</v>
      </c>
      <c r="N79" s="80" t="s">
        <v>94</v>
      </c>
      <c r="O79" s="7"/>
    </row>
    <row r="80" spans="1:15">
      <c r="A80" s="6" t="s">
        <v>165</v>
      </c>
      <c r="B80" s="6">
        <v>1</v>
      </c>
      <c r="C80" s="49">
        <v>5.82</v>
      </c>
      <c r="D80" s="50">
        <v>6.72</v>
      </c>
      <c r="E80" s="52">
        <f>((Tabela2[[#This Row],[Peso Total Galho]]-(Tabela2[[#This Row],[Peso Pç]]*Tabela2[[#This Row],[Qdt Peça Placa]]))*0.9)</f>
        <v>0.8099999999999995</v>
      </c>
      <c r="F80" s="66"/>
      <c r="L80" s="6" t="s">
        <v>11</v>
      </c>
      <c r="M80" s="7">
        <f ca="1">VLOOKUP(Tabela2[[#This Row],[Tipo de Material]],Dados!$P$2:$Q$4,2,FALSE)</f>
        <v>17.600000000000001</v>
      </c>
      <c r="N80" s="80" t="s">
        <v>94</v>
      </c>
      <c r="O80" s="7"/>
    </row>
    <row r="81" spans="1:15">
      <c r="A81" s="6" t="s">
        <v>165</v>
      </c>
      <c r="B81" s="6">
        <v>1</v>
      </c>
      <c r="C81" s="49">
        <v>8.3469999999999995</v>
      </c>
      <c r="D81" s="50">
        <v>9.06</v>
      </c>
      <c r="E81" s="52">
        <f>((Tabela2[[#This Row],[Peso Total Galho]]-(Tabela2[[#This Row],[Peso Pç]]*Tabela2[[#This Row],[Qdt Peça Placa]]))*0.9)</f>
        <v>0.64170000000000094</v>
      </c>
      <c r="F81" s="66"/>
      <c r="L81" s="6" t="s">
        <v>11</v>
      </c>
      <c r="M81" s="7">
        <f ca="1">VLOOKUP(Tabela2[[#This Row],[Tipo de Material]],Dados!$P$2:$Q$4,2,FALSE)</f>
        <v>17.600000000000001</v>
      </c>
      <c r="N81" s="80" t="s">
        <v>94</v>
      </c>
      <c r="O81" s="7"/>
    </row>
    <row r="82" spans="1:15">
      <c r="A82" s="6" t="s">
        <v>166</v>
      </c>
      <c r="B82" s="6">
        <v>1</v>
      </c>
      <c r="C82" s="49">
        <v>6.4329999999999998</v>
      </c>
      <c r="D82" s="50">
        <v>7.133</v>
      </c>
      <c r="E82" s="52">
        <f>((Tabela2[[#This Row],[Peso Total Galho]]-(Tabela2[[#This Row],[Peso Pç]]*Tabela2[[#This Row],[Qdt Peça Placa]]))*0.9)</f>
        <v>0.63000000000000023</v>
      </c>
      <c r="F82" s="66"/>
      <c r="L82" s="6" t="s">
        <v>11</v>
      </c>
      <c r="M82" s="7">
        <f ca="1">VLOOKUP(Tabela2[[#This Row],[Tipo de Material]],Dados!$P$2:$Q$4,2,FALSE)</f>
        <v>17.600000000000001</v>
      </c>
      <c r="N82" s="80" t="s">
        <v>94</v>
      </c>
      <c r="O82" s="7"/>
    </row>
    <row r="83" spans="1:15">
      <c r="A83" s="6" t="s">
        <v>167</v>
      </c>
      <c r="B83" s="6">
        <v>1</v>
      </c>
      <c r="C83" s="49">
        <v>49.4</v>
      </c>
      <c r="D83" s="50">
        <v>51.7</v>
      </c>
      <c r="E83" s="52">
        <f>((Tabela2[[#This Row],[Peso Total Galho]]-(Tabela2[[#This Row],[Peso Pç]]*Tabela2[[#This Row],[Qdt Peça Placa]]))*0.9)</f>
        <v>2.0700000000000038</v>
      </c>
      <c r="F83" s="66"/>
      <c r="L83" s="6" t="s">
        <v>11</v>
      </c>
      <c r="M83" s="7">
        <f ca="1">VLOOKUP(Tabela2[[#This Row],[Tipo de Material]],Dados!$P$2:$Q$4,2,FALSE)</f>
        <v>17.600000000000001</v>
      </c>
      <c r="N83" s="80" t="s">
        <v>94</v>
      </c>
      <c r="O83" s="7"/>
    </row>
    <row r="84" spans="1:15">
      <c r="A84" s="6" t="s">
        <v>168</v>
      </c>
      <c r="B84" s="6">
        <v>1</v>
      </c>
      <c r="C84" s="49">
        <v>25.7</v>
      </c>
      <c r="D84" s="50">
        <v>27.27</v>
      </c>
      <c r="E84" s="52">
        <f>((Tabela2[[#This Row],[Peso Total Galho]]-(Tabela2[[#This Row],[Peso Pç]]*Tabela2[[#This Row],[Qdt Peça Placa]]))*0.9)</f>
        <v>1.4130000000000003</v>
      </c>
      <c r="F84" s="66"/>
      <c r="L84" s="6" t="s">
        <v>11</v>
      </c>
      <c r="M84" s="7">
        <f ca="1">VLOOKUP(Tabela2[[#This Row],[Tipo de Material]],Dados!$P$2:$Q$4,2,FALSE)</f>
        <v>17.600000000000001</v>
      </c>
      <c r="N84" s="80" t="s">
        <v>94</v>
      </c>
      <c r="O84" s="7"/>
    </row>
    <row r="85" spans="1:15">
      <c r="A85" s="6" t="s">
        <v>169</v>
      </c>
      <c r="B85" s="6">
        <v>1</v>
      </c>
      <c r="C85" s="49">
        <v>20</v>
      </c>
      <c r="D85" s="50">
        <v>22.45</v>
      </c>
      <c r="E85" s="52">
        <f>((Tabela2[[#This Row],[Peso Total Galho]]-(Tabela2[[#This Row],[Peso Pç]]*Tabela2[[#This Row],[Qdt Peça Placa]]))*0.9)</f>
        <v>2.2049999999999996</v>
      </c>
      <c r="F85" s="66"/>
      <c r="L85" s="6" t="s">
        <v>11</v>
      </c>
      <c r="M85" s="7">
        <f ca="1">VLOOKUP(Tabela2[[#This Row],[Tipo de Material]],Dados!$P$2:$Q$4,2,FALSE)</f>
        <v>17.600000000000001</v>
      </c>
      <c r="N85" s="80" t="s">
        <v>94</v>
      </c>
      <c r="O85" s="7"/>
    </row>
    <row r="86" spans="1:15">
      <c r="A86" s="6" t="s">
        <v>170</v>
      </c>
      <c r="B86" s="6">
        <v>1</v>
      </c>
      <c r="C86" s="49">
        <v>30.4</v>
      </c>
      <c r="D86" s="50">
        <v>32.549999999999997</v>
      </c>
      <c r="E86" s="52">
        <f>((Tabela2[[#This Row],[Peso Total Galho]]-(Tabela2[[#This Row],[Peso Pç]]*Tabela2[[#This Row],[Qdt Peça Placa]]))*0.9)</f>
        <v>1.9349999999999987</v>
      </c>
      <c r="F86" s="66"/>
      <c r="L86" s="6" t="s">
        <v>11</v>
      </c>
      <c r="M86" s="7">
        <f ca="1">VLOOKUP(Tabela2[[#This Row],[Tipo de Material]],Dados!$P$2:$Q$4,2,FALSE)</f>
        <v>17.600000000000001</v>
      </c>
      <c r="N86" s="80" t="s">
        <v>94</v>
      </c>
      <c r="O86" s="7"/>
    </row>
    <row r="87" spans="1:15">
      <c r="A87" s="6" t="s">
        <v>171</v>
      </c>
      <c r="B87" s="6">
        <v>1</v>
      </c>
      <c r="C87" s="49">
        <v>4.2</v>
      </c>
      <c r="D87" s="50">
        <v>4.8239999999999998</v>
      </c>
      <c r="E87" s="52">
        <f>((Tabela2[[#This Row],[Peso Total Galho]]-(Tabela2[[#This Row],[Peso Pç]]*Tabela2[[#This Row],[Qdt Peça Placa]]))*0.9)</f>
        <v>0.56159999999999977</v>
      </c>
      <c r="F87" s="66"/>
      <c r="L87" s="6" t="s">
        <v>11</v>
      </c>
      <c r="M87" s="7">
        <f ca="1">VLOOKUP(Tabela2[[#This Row],[Tipo de Material]],Dados!$P$2:$Q$4,2,FALSE)</f>
        <v>17.600000000000001</v>
      </c>
      <c r="N87" s="80" t="s">
        <v>94</v>
      </c>
      <c r="O87" s="7"/>
    </row>
    <row r="88" spans="1:15">
      <c r="A88" s="6" t="s">
        <v>172</v>
      </c>
      <c r="B88" s="6">
        <v>1</v>
      </c>
      <c r="C88" s="49">
        <v>8.27</v>
      </c>
      <c r="D88" s="50">
        <v>9.2279999999999998</v>
      </c>
      <c r="E88" s="52">
        <f>((Tabela2[[#This Row],[Peso Total Galho]]-(Tabela2[[#This Row],[Peso Pç]]*Tabela2[[#This Row],[Qdt Peça Placa]]))*0.9)</f>
        <v>0.86220000000000019</v>
      </c>
      <c r="F88" s="66"/>
      <c r="L88" s="6" t="s">
        <v>11</v>
      </c>
      <c r="M88" s="7">
        <f ca="1">VLOOKUP(Tabela2[[#This Row],[Tipo de Material]],Dados!$P$2:$Q$4,2,FALSE)</f>
        <v>17.600000000000001</v>
      </c>
      <c r="N88" s="80" t="s">
        <v>94</v>
      </c>
      <c r="O88" s="7"/>
    </row>
    <row r="89" spans="1:15">
      <c r="A89" s="6" t="s">
        <v>173</v>
      </c>
      <c r="B89" s="6">
        <v>1</v>
      </c>
      <c r="C89" s="49">
        <v>58.7</v>
      </c>
      <c r="D89" s="50">
        <v>60.1</v>
      </c>
      <c r="E89" s="52">
        <f>((Tabela2[[#This Row],[Peso Total Galho]]-(Tabela2[[#This Row],[Peso Pç]]*Tabela2[[#This Row],[Qdt Peça Placa]]))*0.9)</f>
        <v>1.2599999999999987</v>
      </c>
      <c r="F89" s="66"/>
      <c r="L89" s="6" t="s">
        <v>11</v>
      </c>
      <c r="M89" s="7">
        <f ca="1">VLOOKUP(Tabela2[[#This Row],[Tipo de Material]],Dados!$P$2:$Q$4,2,FALSE)</f>
        <v>17.600000000000001</v>
      </c>
      <c r="N89" s="80" t="s">
        <v>174</v>
      </c>
      <c r="O89" s="7"/>
    </row>
    <row r="90" spans="1:15">
      <c r="A90" s="6" t="s">
        <v>175</v>
      </c>
      <c r="B90" s="6">
        <v>1</v>
      </c>
      <c r="C90" s="49">
        <v>9.3000000000000007</v>
      </c>
      <c r="D90" s="50">
        <v>10.35</v>
      </c>
      <c r="E90" s="52">
        <f>((Tabela2[[#This Row],[Peso Total Galho]]-(Tabela2[[#This Row],[Peso Pç]]*Tabela2[[#This Row],[Qdt Peça Placa]]))*0.9)</f>
        <v>0.94499999999999906</v>
      </c>
      <c r="F90" s="66"/>
      <c r="L90" s="6" t="s">
        <v>11</v>
      </c>
      <c r="M90" s="7">
        <f ca="1">VLOOKUP(Tabela2[[#This Row],[Tipo de Material]],Dados!$P$2:$Q$4,2,FALSE)</f>
        <v>17.600000000000001</v>
      </c>
      <c r="N90" s="80" t="s">
        <v>94</v>
      </c>
      <c r="O90" s="7"/>
    </row>
    <row r="91" spans="1:15">
      <c r="A91" s="6" t="s">
        <v>176</v>
      </c>
      <c r="B91" s="6">
        <v>1</v>
      </c>
      <c r="C91" s="49">
        <v>8.8719999999999999</v>
      </c>
      <c r="D91" s="50">
        <v>9.51</v>
      </c>
      <c r="E91" s="52">
        <f>((Tabela2[[#This Row],[Peso Total Galho]]-(Tabela2[[#This Row],[Peso Pç]]*Tabela2[[#This Row],[Qdt Peça Placa]]))*0.9)</f>
        <v>0.57419999999999993</v>
      </c>
      <c r="F91" s="66"/>
      <c r="L91" s="6" t="s">
        <v>11</v>
      </c>
      <c r="M91" s="7">
        <f ca="1">VLOOKUP(Tabela2[[#This Row],[Tipo de Material]],Dados!$P$2:$Q$4,2,FALSE)</f>
        <v>17.600000000000001</v>
      </c>
      <c r="N91" s="80" t="s">
        <v>94</v>
      </c>
      <c r="O91" s="7"/>
    </row>
    <row r="92" spans="1:15">
      <c r="A92" s="6" t="s">
        <v>177</v>
      </c>
      <c r="B92" s="6">
        <v>1</v>
      </c>
      <c r="C92" s="49">
        <v>17.5</v>
      </c>
      <c r="D92" s="50">
        <v>19.5</v>
      </c>
      <c r="E92" s="52">
        <f>((Tabela2[[#This Row],[Peso Total Galho]]-(Tabela2[[#This Row],[Peso Pç]]*Tabela2[[#This Row],[Qdt Peça Placa]]))*0.9)</f>
        <v>1.8</v>
      </c>
      <c r="F92" s="66"/>
      <c r="L92" s="6" t="s">
        <v>11</v>
      </c>
      <c r="M92" s="7">
        <f ca="1">VLOOKUP(Tabela2[[#This Row],[Tipo de Material]],Dados!$P$2:$Q$4,2,FALSE)</f>
        <v>17.600000000000001</v>
      </c>
      <c r="N92" s="80" t="s">
        <v>94</v>
      </c>
      <c r="O92" s="7"/>
    </row>
    <row r="93" spans="1:15">
      <c r="A93" s="6" t="s">
        <v>178</v>
      </c>
      <c r="B93" s="6">
        <v>1</v>
      </c>
      <c r="C93" s="49">
        <v>32.35</v>
      </c>
      <c r="D93" s="50">
        <v>35.299999999999997</v>
      </c>
      <c r="E93" s="52">
        <f>((Tabela2[[#This Row],[Peso Total Galho]]-(Tabela2[[#This Row],[Peso Pç]]*Tabela2[[#This Row],[Qdt Peça Placa]]))*0.9)</f>
        <v>2.6549999999999963</v>
      </c>
      <c r="F93" s="66"/>
      <c r="L93" s="6" t="s">
        <v>11</v>
      </c>
      <c r="M93" s="7">
        <f ca="1">VLOOKUP(Tabela2[[#This Row],[Tipo de Material]],Dados!$P$2:$Q$4,2,FALSE)</f>
        <v>17.600000000000001</v>
      </c>
      <c r="N93" s="80" t="s">
        <v>94</v>
      </c>
      <c r="O93" s="7"/>
    </row>
    <row r="94" spans="1:15">
      <c r="A94" s="6" t="s">
        <v>179</v>
      </c>
      <c r="B94" s="6">
        <v>1</v>
      </c>
      <c r="C94" s="49">
        <v>6.93</v>
      </c>
      <c r="D94" s="50">
        <v>7.9</v>
      </c>
      <c r="E94" s="52">
        <f>((Tabela2[[#This Row],[Peso Total Galho]]-(Tabela2[[#This Row],[Peso Pç]]*Tabela2[[#This Row],[Qdt Peça Placa]]))*0.9)</f>
        <v>0.87300000000000055</v>
      </c>
      <c r="F94" s="66"/>
      <c r="L94" s="6" t="s">
        <v>11</v>
      </c>
      <c r="M94" s="7">
        <f ca="1">VLOOKUP(Tabela2[[#This Row],[Tipo de Material]],Dados!$P$2:$Q$4,2,FALSE)</f>
        <v>17.600000000000001</v>
      </c>
      <c r="N94" s="80" t="s">
        <v>94</v>
      </c>
      <c r="O94" s="7"/>
    </row>
    <row r="95" spans="1:15">
      <c r="A95" s="6" t="s">
        <v>180</v>
      </c>
      <c r="B95" s="6">
        <v>1</v>
      </c>
      <c r="C95" s="49">
        <v>14.26</v>
      </c>
      <c r="D95" s="50">
        <v>15.5</v>
      </c>
      <c r="E95" s="52">
        <f>((Tabela2[[#This Row],[Peso Total Galho]]-(Tabela2[[#This Row],[Peso Pç]]*Tabela2[[#This Row],[Qdt Peça Placa]]))*0.9)</f>
        <v>1.1160000000000003</v>
      </c>
      <c r="F95" s="66"/>
      <c r="L95" s="6" t="s">
        <v>11</v>
      </c>
      <c r="M95" s="7">
        <f ca="1">VLOOKUP(Tabela2[[#This Row],[Tipo de Material]],Dados!$P$2:$Q$4,2,FALSE)</f>
        <v>17.600000000000001</v>
      </c>
      <c r="N95" s="80" t="s">
        <v>94</v>
      </c>
      <c r="O95" s="7"/>
    </row>
    <row r="96" spans="1:15">
      <c r="A96" s="6" t="s">
        <v>181</v>
      </c>
      <c r="B96" s="6">
        <v>1</v>
      </c>
      <c r="C96" s="49">
        <v>6.3529999999999998</v>
      </c>
      <c r="D96" s="50">
        <v>7.05</v>
      </c>
      <c r="E96" s="52">
        <f>((Tabela2[[#This Row],[Peso Total Galho]]-(Tabela2[[#This Row],[Peso Pç]]*Tabela2[[#This Row],[Qdt Peça Placa]]))*0.9)</f>
        <v>0.62730000000000008</v>
      </c>
      <c r="F96" s="66"/>
      <c r="L96" s="6" t="s">
        <v>11</v>
      </c>
      <c r="M96" s="7">
        <f ca="1">VLOOKUP(Tabela2[[#This Row],[Tipo de Material]],Dados!$P$2:$Q$4,2,FALSE)</f>
        <v>17.600000000000001</v>
      </c>
      <c r="N96" s="80" t="s">
        <v>94</v>
      </c>
      <c r="O96" s="7"/>
    </row>
    <row r="97" spans="1:15">
      <c r="A97" s="6" t="s">
        <v>182</v>
      </c>
      <c r="B97" s="6">
        <v>1</v>
      </c>
      <c r="C97" s="49">
        <v>12.1</v>
      </c>
      <c r="D97" s="50">
        <v>12.96</v>
      </c>
      <c r="E97" s="52">
        <f>((Tabela2[[#This Row],[Peso Total Galho]]-(Tabela2[[#This Row],[Peso Pç]]*Tabela2[[#This Row],[Qdt Peça Placa]]))*0.9)</f>
        <v>0.77400000000000113</v>
      </c>
      <c r="F97" s="66"/>
      <c r="L97" s="6" t="s">
        <v>11</v>
      </c>
      <c r="M97" s="7">
        <f ca="1">VLOOKUP(Tabela2[[#This Row],[Tipo de Material]],Dados!$P$2:$Q$4,2,FALSE)</f>
        <v>17.600000000000001</v>
      </c>
      <c r="N97" s="80" t="s">
        <v>94</v>
      </c>
      <c r="O97" s="7"/>
    </row>
    <row r="98" spans="1:15">
      <c r="A98" s="6" t="s">
        <v>183</v>
      </c>
      <c r="B98" s="6">
        <v>1</v>
      </c>
      <c r="C98" s="49">
        <v>2.5</v>
      </c>
      <c r="D98" s="50">
        <v>3</v>
      </c>
      <c r="E98" s="52">
        <f>((Tabela2[[#This Row],[Peso Total Galho]]-(Tabela2[[#This Row],[Peso Pç]]*Tabela2[[#This Row],[Qdt Peça Placa]]))*0.9)</f>
        <v>0.45</v>
      </c>
      <c r="F98" s="66"/>
      <c r="L98" s="6" t="s">
        <v>11</v>
      </c>
      <c r="M98" s="7">
        <f ca="1">VLOOKUP(Tabela2[[#This Row],[Tipo de Material]],Dados!$P$2:$Q$4,2,FALSE)</f>
        <v>17.600000000000001</v>
      </c>
      <c r="N98" s="80" t="s">
        <v>94</v>
      </c>
      <c r="O98" s="7"/>
    </row>
    <row r="99" spans="1:15">
      <c r="A99" s="6" t="s">
        <v>184</v>
      </c>
      <c r="B99" s="6">
        <v>1</v>
      </c>
      <c r="C99" s="49">
        <v>1.95</v>
      </c>
      <c r="D99" s="50">
        <v>2.5129999999999999</v>
      </c>
      <c r="E99" s="52">
        <f>((Tabela2[[#This Row],[Peso Total Galho]]-(Tabela2[[#This Row],[Peso Pç]]*Tabela2[[#This Row],[Qdt Peça Placa]]))*0.9)</f>
        <v>0.50669999999999993</v>
      </c>
      <c r="F99" s="66"/>
      <c r="L99" s="6" t="s">
        <v>11</v>
      </c>
      <c r="M99" s="7">
        <f ca="1">VLOOKUP(Tabela2[[#This Row],[Tipo de Material]],Dados!$P$2:$Q$4,2,FALSE)</f>
        <v>17.600000000000001</v>
      </c>
      <c r="N99" s="80" t="s">
        <v>94</v>
      </c>
      <c r="O99" s="7"/>
    </row>
    <row r="100" spans="1:15">
      <c r="A100" s="6" t="s">
        <v>185</v>
      </c>
      <c r="B100" s="6">
        <v>1</v>
      </c>
      <c r="C100" s="49">
        <v>13.2</v>
      </c>
      <c r="D100" s="50">
        <v>14.57</v>
      </c>
      <c r="E100" s="52">
        <f>((Tabela2[[#This Row],[Peso Total Galho]]-(Tabela2[[#This Row],[Peso Pç]]*Tabela2[[#This Row],[Qdt Peça Placa]]))*0.9)</f>
        <v>1.233000000000001</v>
      </c>
      <c r="F100" s="66"/>
      <c r="L100" s="6" t="s">
        <v>11</v>
      </c>
      <c r="M100" s="7">
        <f ca="1">VLOOKUP(Tabela2[[#This Row],[Tipo de Material]],Dados!$P$2:$Q$4,2,FALSE)</f>
        <v>17.600000000000001</v>
      </c>
      <c r="N100" s="80" t="s">
        <v>94</v>
      </c>
      <c r="O100" s="7"/>
    </row>
    <row r="101" spans="1:15">
      <c r="A101" s="6" t="s">
        <v>186</v>
      </c>
      <c r="B101" s="6">
        <v>1</v>
      </c>
      <c r="C101" s="49">
        <v>11.18</v>
      </c>
      <c r="D101" s="50">
        <v>12.26</v>
      </c>
      <c r="E101" s="52">
        <f>((Tabela2[[#This Row],[Peso Total Galho]]-(Tabela2[[#This Row],[Peso Pç]]*Tabela2[[#This Row],[Qdt Peça Placa]]))*0.9)</f>
        <v>0.97200000000000009</v>
      </c>
      <c r="F101" s="66"/>
      <c r="L101" s="6" t="s">
        <v>11</v>
      </c>
      <c r="M101" s="7">
        <f ca="1">VLOOKUP(Tabela2[[#This Row],[Tipo de Material]],Dados!$P$2:$Q$4,2,FALSE)</f>
        <v>17.600000000000001</v>
      </c>
      <c r="N101" s="80" t="s">
        <v>94</v>
      </c>
      <c r="O101" s="7"/>
    </row>
    <row r="102" spans="1:15">
      <c r="A102" s="6" t="s">
        <v>187</v>
      </c>
      <c r="B102" s="6">
        <v>1</v>
      </c>
      <c r="C102" s="49">
        <v>19.399999999999999</v>
      </c>
      <c r="D102" s="50">
        <v>22</v>
      </c>
      <c r="E102" s="52">
        <f>((Tabela2[[#This Row],[Peso Total Galho]]-(Tabela2[[#This Row],[Peso Pç]]*Tabela2[[#This Row],[Qdt Peça Placa]]))*0.9)</f>
        <v>2.3400000000000012</v>
      </c>
      <c r="F102" s="66"/>
      <c r="L102" s="6" t="s">
        <v>11</v>
      </c>
      <c r="M102" s="7">
        <f ca="1">VLOOKUP(Tabela2[[#This Row],[Tipo de Material]],Dados!$P$2:$Q$4,2,FALSE)</f>
        <v>17.600000000000001</v>
      </c>
      <c r="N102" s="80" t="s">
        <v>94</v>
      </c>
      <c r="O102" s="7"/>
    </row>
    <row r="103" spans="1:15">
      <c r="A103" s="54" t="s">
        <v>188</v>
      </c>
      <c r="B103" s="6">
        <v>1</v>
      </c>
      <c r="C103" s="49">
        <v>29.4</v>
      </c>
      <c r="D103" s="50">
        <v>31.1</v>
      </c>
      <c r="E103" s="52">
        <f>((Tabela2[[#This Row],[Peso Total Galho]]-(Tabela2[[#This Row],[Peso Pç]]*Tabela2[[#This Row],[Qdt Peça Placa]]))*0.9)</f>
        <v>1.5300000000000027</v>
      </c>
      <c r="F103" s="6"/>
      <c r="L103" s="6" t="s">
        <v>11</v>
      </c>
      <c r="M103" s="7">
        <f ca="1">VLOOKUP(Tabela2[[#This Row],[Tipo de Material]],Dados!$P$2:$Q$4,2,FALSE)</f>
        <v>17.600000000000001</v>
      </c>
      <c r="N103" s="80" t="s">
        <v>94</v>
      </c>
      <c r="O103" s="7">
        <v>4</v>
      </c>
    </row>
    <row r="104" spans="1:15">
      <c r="A104" s="6" t="s">
        <v>189</v>
      </c>
      <c r="B104" s="6">
        <v>1</v>
      </c>
      <c r="C104" s="49">
        <v>39.9</v>
      </c>
      <c r="D104" s="50">
        <v>43.1</v>
      </c>
      <c r="E104" s="52">
        <f>((Tabela2[[#This Row],[Peso Total Galho]]-(Tabela2[[#This Row],[Peso Pç]]*Tabela2[[#This Row],[Qdt Peça Placa]]))*0.9)</f>
        <v>2.8800000000000026</v>
      </c>
      <c r="F104" s="66"/>
      <c r="L104" s="6" t="s">
        <v>11</v>
      </c>
      <c r="M104" s="7">
        <f ca="1">VLOOKUP(Tabela2[[#This Row],[Tipo de Material]],Dados!$P$2:$Q$4,2,FALSE)</f>
        <v>17.600000000000001</v>
      </c>
      <c r="N104" s="80" t="s">
        <v>94</v>
      </c>
      <c r="O104" s="7"/>
    </row>
    <row r="105" spans="1:15">
      <c r="A105" s="6" t="s">
        <v>190</v>
      </c>
      <c r="B105" s="6">
        <v>1</v>
      </c>
      <c r="C105" s="49">
        <v>1.1000000000000001</v>
      </c>
      <c r="D105" s="50">
        <v>1.25</v>
      </c>
      <c r="E105" s="52">
        <f>((Tabela2[[#This Row],[Peso Total Galho]]-(Tabela2[[#This Row],[Peso Pç]]*Tabela2[[#This Row],[Qdt Peça Placa]]))*0.9)</f>
        <v>0.13499999999999993</v>
      </c>
      <c r="F105" s="66"/>
      <c r="L105" s="6" t="s">
        <v>11</v>
      </c>
      <c r="M105" s="7">
        <f ca="1">VLOOKUP(Tabela2[[#This Row],[Tipo de Material]],Dados!$P$2:$Q$4,2,FALSE)</f>
        <v>17.600000000000001</v>
      </c>
      <c r="N105" s="80" t="s">
        <v>98</v>
      </c>
      <c r="O105" s="7"/>
    </row>
    <row r="106" spans="1:15">
      <c r="A106" s="6" t="s">
        <v>191</v>
      </c>
      <c r="B106" s="6">
        <v>1</v>
      </c>
      <c r="C106" s="49">
        <v>9.68</v>
      </c>
      <c r="D106" s="50">
        <v>10.68</v>
      </c>
      <c r="E106" s="52">
        <f>((Tabela2[[#This Row],[Peso Total Galho]]-(Tabela2[[#This Row],[Peso Pç]]*Tabela2[[#This Row],[Qdt Peça Placa]]))*0.9)</f>
        <v>0.9</v>
      </c>
      <c r="F106" s="6"/>
      <c r="L106" s="6" t="s">
        <v>11</v>
      </c>
      <c r="M106" s="7">
        <f ca="1">VLOOKUP(Tabela2[[#This Row],[Tipo de Material]],Dados!$P$2:$Q$4,2,FALSE)</f>
        <v>17.600000000000001</v>
      </c>
      <c r="N106" s="80" t="s">
        <v>94</v>
      </c>
      <c r="O106" s="7"/>
    </row>
    <row r="107" spans="1:15">
      <c r="A107" s="74" t="s">
        <v>192</v>
      </c>
      <c r="B107" s="6">
        <v>1</v>
      </c>
      <c r="C107" s="49">
        <v>3.5209999999999999</v>
      </c>
      <c r="D107" s="50">
        <v>3.9569999999999999</v>
      </c>
      <c r="E107" s="52">
        <f>((Tabela2[[#This Row],[Peso Total Galho]]-(Tabela2[[#This Row],[Peso Pç]]*Tabela2[[#This Row],[Qdt Peça Placa]]))*0.9)</f>
        <v>0.39239999999999997</v>
      </c>
      <c r="F107" s="6"/>
      <c r="L107" s="6" t="s">
        <v>11</v>
      </c>
      <c r="M107" s="7">
        <f ca="1">VLOOKUP(Tabela2[[#This Row],[Tipo de Material]],Dados!$P$2:$Q$4,2,FALSE)</f>
        <v>17.600000000000001</v>
      </c>
      <c r="N107" s="80" t="s">
        <v>94</v>
      </c>
      <c r="O107" s="7"/>
    </row>
    <row r="108" spans="1:15">
      <c r="A108" s="6" t="s">
        <v>193</v>
      </c>
      <c r="B108" s="6">
        <v>2</v>
      </c>
      <c r="C108" s="49">
        <v>2.3919999999999999</v>
      </c>
      <c r="D108" s="50">
        <v>2.8580000000000001</v>
      </c>
      <c r="E108" s="52">
        <f>((Tabela2[[#This Row],[Peso Total Galho]]-(Tabela2[[#This Row],[Peso Pç]]*Tabela2[[#This Row],[Qdt Peça Placa]]))*0.9)</f>
        <v>-1.7333999999999998</v>
      </c>
      <c r="F108" s="6"/>
      <c r="L108" s="6" t="s">
        <v>11</v>
      </c>
      <c r="M108" s="7">
        <f ca="1">VLOOKUP(Tabela2[[#This Row],[Tipo de Material]],Dados!$P$2:$Q$4,2,FALSE)</f>
        <v>17.600000000000001</v>
      </c>
      <c r="N108" s="80" t="s">
        <v>94</v>
      </c>
      <c r="O108" s="7"/>
    </row>
    <row r="109" spans="1:15">
      <c r="A109" s="6" t="s">
        <v>194</v>
      </c>
      <c r="B109" s="6">
        <v>1</v>
      </c>
      <c r="C109" s="49">
        <v>3.7</v>
      </c>
      <c r="D109" s="50">
        <v>4.2</v>
      </c>
      <c r="E109" s="52">
        <f>((Tabela2[[#This Row],[Peso Total Galho]]-(Tabela2[[#This Row],[Peso Pç]]*Tabela2[[#This Row],[Qdt Peça Placa]]))*0.9)</f>
        <v>0.45</v>
      </c>
      <c r="F109" s="6"/>
      <c r="L109" s="6" t="s">
        <v>11</v>
      </c>
      <c r="M109" s="7">
        <f ca="1">VLOOKUP(Tabela2[[#This Row],[Tipo de Material]],Dados!$P$2:$Q$4,2,FALSE)</f>
        <v>17.600000000000001</v>
      </c>
      <c r="N109" s="80" t="s">
        <v>94</v>
      </c>
      <c r="O109" s="7"/>
    </row>
    <row r="110" spans="1:15">
      <c r="A110" s="6" t="s">
        <v>195</v>
      </c>
      <c r="B110" s="6">
        <v>1</v>
      </c>
      <c r="C110" s="49">
        <v>9</v>
      </c>
      <c r="D110" s="50">
        <v>10.1</v>
      </c>
      <c r="E110" s="52">
        <f>((Tabela2[[#This Row],[Peso Total Galho]]-(Tabela2[[#This Row],[Peso Pç]]*Tabela2[[#This Row],[Qdt Peça Placa]]))*0.9)</f>
        <v>0.98999999999999966</v>
      </c>
      <c r="F110" s="6"/>
      <c r="L110" s="6" t="s">
        <v>11</v>
      </c>
      <c r="M110" s="7">
        <f ca="1">VLOOKUP(Tabela2[[#This Row],[Tipo de Material]],Dados!$P$2:$Q$4,2,FALSE)</f>
        <v>17.600000000000001</v>
      </c>
      <c r="N110" s="80" t="s">
        <v>94</v>
      </c>
      <c r="O110" s="7"/>
    </row>
    <row r="111" spans="1:15">
      <c r="A111" s="6" t="s">
        <v>196</v>
      </c>
      <c r="B111" s="6">
        <v>1</v>
      </c>
      <c r="C111" s="49">
        <v>14.74</v>
      </c>
      <c r="D111" s="50">
        <v>16.213999999999999</v>
      </c>
      <c r="E111" s="52">
        <f>((Tabela2[[#This Row],[Peso Total Galho]]-(Tabela2[[#This Row],[Peso Pç]]*Tabela2[[#This Row],[Qdt Peça Placa]]))*0.9)</f>
        <v>1.3265999999999987</v>
      </c>
      <c r="F111" s="6"/>
      <c r="L111" s="6" t="s">
        <v>11</v>
      </c>
      <c r="M111" s="7">
        <f ca="1">VLOOKUP(Tabela2[[#This Row],[Tipo de Material]],Dados!$P$2:$Q$4,2,FALSE)</f>
        <v>17.600000000000001</v>
      </c>
      <c r="N111" s="80" t="s">
        <v>94</v>
      </c>
      <c r="O111" s="7"/>
    </row>
    <row r="112" spans="1:15">
      <c r="A112" s="6" t="s">
        <v>197</v>
      </c>
      <c r="B112" s="6">
        <v>1</v>
      </c>
      <c r="C112" s="49">
        <v>13.75</v>
      </c>
      <c r="D112" s="50">
        <v>14.55</v>
      </c>
      <c r="E112" s="52">
        <f>((Tabela2[[#This Row],[Peso Total Galho]]-(Tabela2[[#This Row],[Peso Pç]]*Tabela2[[#This Row],[Qdt Peça Placa]]))*0.9)</f>
        <v>0.72000000000000064</v>
      </c>
      <c r="F112" s="6"/>
      <c r="L112" s="6" t="s">
        <v>11</v>
      </c>
      <c r="M112" s="7">
        <f ca="1">VLOOKUP(Tabela2[[#This Row],[Tipo de Material]],Dados!$P$2:$Q$4,2,FALSE)</f>
        <v>17.600000000000001</v>
      </c>
      <c r="N112" s="80" t="s">
        <v>94</v>
      </c>
      <c r="O112" s="7"/>
    </row>
    <row r="113" spans="1:15">
      <c r="A113" s="6" t="s">
        <v>198</v>
      </c>
      <c r="B113" s="6">
        <v>1</v>
      </c>
      <c r="C113" s="49">
        <v>12.92</v>
      </c>
      <c r="D113" s="50">
        <v>13.76</v>
      </c>
      <c r="E113" s="52">
        <f>((Tabela2[[#This Row],[Peso Total Galho]]-(Tabela2[[#This Row],[Peso Pç]]*Tabela2[[#This Row],[Qdt Peça Placa]]))*0.9)</f>
        <v>0.75599999999999989</v>
      </c>
      <c r="F113" s="6"/>
      <c r="L113" s="6" t="s">
        <v>11</v>
      </c>
      <c r="M113" s="7">
        <f ca="1">VLOOKUP(Tabela2[[#This Row],[Tipo de Material]],Dados!$P$2:$Q$4,2,FALSE)</f>
        <v>17.600000000000001</v>
      </c>
      <c r="N113" s="80" t="s">
        <v>94</v>
      </c>
      <c r="O113" s="7"/>
    </row>
    <row r="114" spans="1:15">
      <c r="A114" s="6" t="s">
        <v>198</v>
      </c>
      <c r="B114" s="6">
        <v>1</v>
      </c>
      <c r="C114" s="49">
        <v>20.5</v>
      </c>
      <c r="D114" s="50">
        <v>20.96</v>
      </c>
      <c r="E114" s="52">
        <f>((Tabela2[[#This Row],[Peso Total Galho]]-(Tabela2[[#This Row],[Peso Pç]]*Tabela2[[#This Row],[Qdt Peça Placa]]))*0.9)</f>
        <v>0.41400000000000076</v>
      </c>
      <c r="F114" s="6"/>
      <c r="L114" s="6" t="s">
        <v>11</v>
      </c>
      <c r="M114" s="7">
        <f ca="1">VLOOKUP(Tabela2[[#This Row],[Tipo de Material]],Dados!$P$2:$Q$4,2,FALSE)</f>
        <v>17.600000000000001</v>
      </c>
      <c r="N114" s="80" t="s">
        <v>94</v>
      </c>
      <c r="O114" s="7"/>
    </row>
    <row r="115" spans="1:15">
      <c r="A115" s="6" t="s">
        <v>199</v>
      </c>
      <c r="B115" s="6">
        <v>1</v>
      </c>
      <c r="C115" s="49">
        <v>3.13</v>
      </c>
      <c r="D115" s="50">
        <v>3.75</v>
      </c>
      <c r="E115" s="52">
        <f>((Tabela2[[#This Row],[Peso Total Galho]]-(Tabela2[[#This Row],[Peso Pç]]*Tabela2[[#This Row],[Qdt Peça Placa]]))*0.9)</f>
        <v>0.55800000000000016</v>
      </c>
      <c r="F115" s="6"/>
      <c r="L115" s="6" t="s">
        <v>11</v>
      </c>
      <c r="M115" s="7">
        <f ca="1">VLOOKUP(Tabela2[[#This Row],[Tipo de Material]],Dados!$P$2:$Q$4,2,FALSE)</f>
        <v>17.600000000000001</v>
      </c>
      <c r="N115" s="80" t="s">
        <v>94</v>
      </c>
      <c r="O115" s="7"/>
    </row>
    <row r="116" spans="1:15">
      <c r="A116" s="6" t="s">
        <v>200</v>
      </c>
      <c r="B116" s="6">
        <v>1</v>
      </c>
      <c r="C116" s="49">
        <v>18.8</v>
      </c>
      <c r="D116" s="50">
        <v>20.100000000000001</v>
      </c>
      <c r="E116" s="52">
        <f>((Tabela2[[#This Row],[Peso Total Galho]]-(Tabela2[[#This Row],[Peso Pç]]*Tabela2[[#This Row],[Qdt Peça Placa]]))*0.9)</f>
        <v>1.1700000000000006</v>
      </c>
      <c r="F116" s="6"/>
      <c r="L116" s="6" t="s">
        <v>11</v>
      </c>
      <c r="M116" s="7">
        <f ca="1">VLOOKUP(Tabela2[[#This Row],[Tipo de Material]],Dados!$P$2:$Q$4,2,FALSE)</f>
        <v>17.600000000000001</v>
      </c>
      <c r="N116" s="80" t="s">
        <v>94</v>
      </c>
      <c r="O116" s="7"/>
    </row>
    <row r="117" spans="1:15">
      <c r="A117" s="6" t="s">
        <v>201</v>
      </c>
      <c r="B117" s="6">
        <v>1</v>
      </c>
      <c r="C117" s="49">
        <v>6.24</v>
      </c>
      <c r="D117" s="50">
        <v>6.9</v>
      </c>
      <c r="E117" s="52">
        <f>((Tabela2[[#This Row],[Peso Total Galho]]-(Tabela2[[#This Row],[Peso Pç]]*Tabela2[[#This Row],[Qdt Peça Placa]]))*0.9)</f>
        <v>0.59400000000000019</v>
      </c>
      <c r="F117" s="6"/>
      <c r="L117" s="6" t="s">
        <v>11</v>
      </c>
      <c r="M117" s="7">
        <f ca="1">VLOOKUP(Tabela2[[#This Row],[Tipo de Material]],Dados!$P$2:$Q$4,2,FALSE)</f>
        <v>17.600000000000001</v>
      </c>
      <c r="N117" s="80" t="s">
        <v>94</v>
      </c>
      <c r="O117" s="7"/>
    </row>
    <row r="118" spans="1:15">
      <c r="A118" s="6" t="s">
        <v>202</v>
      </c>
      <c r="B118" s="6">
        <v>1</v>
      </c>
      <c r="C118" s="49">
        <v>23.7</v>
      </c>
      <c r="D118" s="50">
        <v>27.15</v>
      </c>
      <c r="E118" s="52">
        <f>((Tabela2[[#This Row],[Peso Total Galho]]-(Tabela2[[#This Row],[Peso Pç]]*Tabela2[[#This Row],[Qdt Peça Placa]]))*0.9)</f>
        <v>3.1049999999999995</v>
      </c>
      <c r="F118" s="6"/>
      <c r="L118" s="6" t="s">
        <v>11</v>
      </c>
      <c r="M118" s="7">
        <f ca="1">VLOOKUP(Tabela2[[#This Row],[Tipo de Material]],Dados!$P$2:$Q$4,2,FALSE)</f>
        <v>17.600000000000001</v>
      </c>
      <c r="N118" s="80" t="s">
        <v>94</v>
      </c>
      <c r="O118" s="7"/>
    </row>
    <row r="119" spans="1:15">
      <c r="A119" s="6" t="s">
        <v>203</v>
      </c>
      <c r="B119" s="6">
        <v>1</v>
      </c>
      <c r="C119" s="49">
        <v>16.68</v>
      </c>
      <c r="D119" s="50">
        <v>18.52</v>
      </c>
      <c r="E119" s="52">
        <f>((Tabela2[[#This Row],[Peso Total Galho]]-(Tabela2[[#This Row],[Peso Pç]]*Tabela2[[#This Row],[Qdt Peça Placa]]))*0.9)</f>
        <v>1.6559999999999999</v>
      </c>
      <c r="F119" s="6"/>
      <c r="L119" s="6" t="s">
        <v>11</v>
      </c>
      <c r="M119" s="7">
        <f ca="1">VLOOKUP(Tabela2[[#This Row],[Tipo de Material]],Dados!$P$2:$Q$4,2,FALSE)</f>
        <v>17.600000000000001</v>
      </c>
      <c r="N119" s="80" t="s">
        <v>94</v>
      </c>
      <c r="O119" s="7"/>
    </row>
    <row r="120" spans="1:15">
      <c r="A120" s="6" t="s">
        <v>204</v>
      </c>
      <c r="B120" s="6">
        <v>1</v>
      </c>
      <c r="C120" s="49">
        <v>0.2</v>
      </c>
      <c r="D120" s="50">
        <v>1.7</v>
      </c>
      <c r="E120" s="52">
        <f>((Tabela2[[#This Row],[Peso Total Galho]]-(Tabela2[[#This Row],[Peso Pç]]*Tabela2[[#This Row],[Qdt Peça Placa]]))*0.9)</f>
        <v>1.35</v>
      </c>
      <c r="F120" s="66"/>
      <c r="L120" s="6" t="s">
        <v>11</v>
      </c>
      <c r="M120" s="7">
        <f ca="1">VLOOKUP(Tabela2[[#This Row],[Tipo de Material]],Dados!$P$2:$Q$4,2,FALSE)</f>
        <v>17.600000000000001</v>
      </c>
      <c r="N120" s="80" t="s">
        <v>94</v>
      </c>
      <c r="O120" s="7"/>
    </row>
    <row r="121" spans="1:15">
      <c r="A121" s="6" t="s">
        <v>205</v>
      </c>
      <c r="B121" s="6">
        <v>1</v>
      </c>
      <c r="C121" s="49">
        <v>6.3</v>
      </c>
      <c r="D121" s="50">
        <v>7.11</v>
      </c>
      <c r="E121" s="52">
        <f>((Tabela2[[#This Row],[Peso Total Galho]]-(Tabela2[[#This Row],[Peso Pç]]*Tabela2[[#This Row],[Qdt Peça Placa]]))*0.9)</f>
        <v>0.72900000000000043</v>
      </c>
      <c r="F121" s="66"/>
      <c r="L121" s="6" t="s">
        <v>11</v>
      </c>
      <c r="M121" s="7">
        <f ca="1">VLOOKUP(Tabela2[[#This Row],[Tipo de Material]],Dados!$P$2:$Q$4,2,FALSE)</f>
        <v>17.600000000000001</v>
      </c>
      <c r="N121" s="80" t="s">
        <v>94</v>
      </c>
      <c r="O121" s="7"/>
    </row>
    <row r="122" spans="1:15">
      <c r="A122" s="6" t="s">
        <v>206</v>
      </c>
      <c r="B122" s="6">
        <v>1</v>
      </c>
      <c r="C122" s="49">
        <v>2.27</v>
      </c>
      <c r="D122" s="50">
        <v>2.72</v>
      </c>
      <c r="E122" s="52">
        <f>((Tabela2[[#This Row],[Peso Total Galho]]-(Tabela2[[#This Row],[Peso Pç]]*Tabela2[[#This Row],[Qdt Peça Placa]]))*0.9)</f>
        <v>0.40500000000000019</v>
      </c>
      <c r="F122" s="66"/>
      <c r="L122" s="6" t="s">
        <v>11</v>
      </c>
      <c r="M122" s="7">
        <f ca="1">VLOOKUP(Tabela2[[#This Row],[Tipo de Material]],Dados!$P$2:$Q$4,2,FALSE)</f>
        <v>17.600000000000001</v>
      </c>
      <c r="N122" s="80" t="s">
        <v>94</v>
      </c>
      <c r="O122" s="7"/>
    </row>
    <row r="123" spans="1:15">
      <c r="A123" s="6" t="s">
        <v>207</v>
      </c>
      <c r="B123" s="6">
        <v>2</v>
      </c>
      <c r="C123" s="49">
        <v>3.12</v>
      </c>
      <c r="D123" s="50">
        <v>3.48</v>
      </c>
      <c r="E123" s="52">
        <f>((Tabela2[[#This Row],[Peso Total Galho]]-(Tabela2[[#This Row],[Peso Pç]]*Tabela2[[#This Row],[Qdt Peça Placa]]))*0.9)</f>
        <v>-2.4840000000000004</v>
      </c>
      <c r="F123" s="66"/>
      <c r="L123" s="6" t="s">
        <v>11</v>
      </c>
      <c r="M123" s="7">
        <f ca="1">VLOOKUP(Tabela2[[#This Row],[Tipo de Material]],Dados!$P$2:$Q$4,2,FALSE)</f>
        <v>17.600000000000001</v>
      </c>
      <c r="N123" s="80" t="s">
        <v>94</v>
      </c>
      <c r="O123" s="7"/>
    </row>
    <row r="124" spans="1:15">
      <c r="A124" s="6" t="s">
        <v>208</v>
      </c>
      <c r="B124" s="6">
        <v>1</v>
      </c>
      <c r="C124" s="49">
        <v>14.15</v>
      </c>
      <c r="D124" s="50">
        <v>15.75</v>
      </c>
      <c r="E124" s="52">
        <f>((Tabela2[[#This Row],[Peso Total Galho]]-(Tabela2[[#This Row],[Peso Pç]]*Tabela2[[#This Row],[Qdt Peça Placa]]))*0.9)</f>
        <v>1.4399999999999997</v>
      </c>
      <c r="F124" s="66"/>
      <c r="L124" s="6" t="s">
        <v>11</v>
      </c>
      <c r="M124" s="7">
        <f ca="1">VLOOKUP(Tabela2[[#This Row],[Tipo de Material]],Dados!$P$2:$Q$4,2,FALSE)</f>
        <v>17.600000000000001</v>
      </c>
      <c r="N124" s="80" t="s">
        <v>94</v>
      </c>
      <c r="O124" s="7"/>
    </row>
    <row r="125" spans="1:15">
      <c r="A125" s="6" t="s">
        <v>209</v>
      </c>
      <c r="B125" s="6">
        <v>1</v>
      </c>
      <c r="C125" s="49">
        <v>5.75</v>
      </c>
      <c r="D125" s="50">
        <v>6.4</v>
      </c>
      <c r="E125" s="52">
        <f>((Tabela2[[#This Row],[Peso Total Galho]]-(Tabela2[[#This Row],[Peso Pç]]*Tabela2[[#This Row],[Qdt Peça Placa]]))*0.9)</f>
        <v>0.5850000000000003</v>
      </c>
      <c r="F125" s="66"/>
      <c r="L125" s="6" t="s">
        <v>11</v>
      </c>
      <c r="M125" s="7">
        <f ca="1">VLOOKUP(Tabela2[[#This Row],[Tipo de Material]],Dados!$P$2:$Q$4,2,FALSE)</f>
        <v>17.600000000000001</v>
      </c>
      <c r="N125" s="80" t="s">
        <v>94</v>
      </c>
      <c r="O125" s="7"/>
    </row>
    <row r="126" spans="1:15">
      <c r="A126" s="6" t="s">
        <v>210</v>
      </c>
      <c r="B126" s="6">
        <v>1</v>
      </c>
      <c r="C126" s="49">
        <v>4.5</v>
      </c>
      <c r="D126" s="50">
        <v>5.0999999999999996</v>
      </c>
      <c r="E126" s="52">
        <f>((Tabela2[[#This Row],[Peso Total Galho]]-(Tabela2[[#This Row],[Peso Pç]]*Tabela2[[#This Row],[Qdt Peça Placa]]))*0.9)</f>
        <v>0.5399999999999997</v>
      </c>
      <c r="F126" s="66"/>
      <c r="L126" s="6" t="s">
        <v>11</v>
      </c>
      <c r="M126" s="7">
        <f ca="1">VLOOKUP(Tabela2[[#This Row],[Tipo de Material]],Dados!$P$2:$Q$4,2,FALSE)</f>
        <v>17.600000000000001</v>
      </c>
      <c r="N126" s="80" t="s">
        <v>94</v>
      </c>
      <c r="O126" s="7"/>
    </row>
    <row r="127" spans="1:15">
      <c r="A127" s="6" t="s">
        <v>211</v>
      </c>
      <c r="B127" s="6">
        <v>1</v>
      </c>
      <c r="C127" s="49">
        <v>5.3</v>
      </c>
      <c r="D127" s="50">
        <v>5.84</v>
      </c>
      <c r="E127" s="52">
        <f>((Tabela2[[#This Row],[Peso Total Galho]]-(Tabela2[[#This Row],[Peso Pç]]*Tabela2[[#This Row],[Qdt Peça Placa]]))*0.9)</f>
        <v>0.48600000000000004</v>
      </c>
      <c r="F127" s="66"/>
      <c r="L127" s="6" t="s">
        <v>11</v>
      </c>
      <c r="M127" s="7">
        <f ca="1">VLOOKUP(Tabela2[[#This Row],[Tipo de Material]],Dados!$P$2:$Q$4,2,FALSE)</f>
        <v>17.600000000000001</v>
      </c>
      <c r="N127" s="80" t="s">
        <v>94</v>
      </c>
      <c r="O127" s="7"/>
    </row>
    <row r="128" spans="1:15">
      <c r="A128" s="53" t="s">
        <v>212</v>
      </c>
      <c r="B128" s="6"/>
      <c r="C128" s="49">
        <v>0.14699999999999999</v>
      </c>
      <c r="D128" s="50">
        <v>0</v>
      </c>
      <c r="E128" s="52">
        <f>((Tabela2[[#This Row],[Peso Total Galho]]-(Tabela2[[#This Row],[Peso Pç]]*Tabela2[[#This Row],[Qdt Peça Placa]]))*0.9)</f>
        <v>0</v>
      </c>
      <c r="F128" s="6"/>
      <c r="L128" s="6" t="s">
        <v>14</v>
      </c>
      <c r="M128" s="7">
        <f ca="1">VLOOKUP(Tabela2[[#This Row],[Tipo de Material]],Dados!$P$2:$Q$4,2,FALSE)</f>
        <v>15.600000000000001</v>
      </c>
      <c r="N128" s="80" t="s">
        <v>79</v>
      </c>
      <c r="O128" s="7">
        <v>4</v>
      </c>
    </row>
    <row r="129" spans="1:15">
      <c r="A129" s="53" t="s">
        <v>213</v>
      </c>
      <c r="B129" s="6"/>
      <c r="C129" s="49">
        <v>7.6999999999999999E-2</v>
      </c>
      <c r="D129" s="50">
        <v>0</v>
      </c>
      <c r="E129" s="52">
        <f>((Tabela2[[#This Row],[Peso Total Galho]]-(Tabela2[[#This Row],[Peso Pç]]*Tabela2[[#This Row],[Qdt Peça Placa]]))*0.9)</f>
        <v>0</v>
      </c>
      <c r="F129" s="6"/>
      <c r="L129" s="6" t="s">
        <v>14</v>
      </c>
      <c r="M129" s="7">
        <f ca="1">VLOOKUP(Tabela2[[#This Row],[Tipo de Material]],Dados!$P$2:$Q$4,2,FALSE)</f>
        <v>15.600000000000001</v>
      </c>
      <c r="N129" s="80" t="s">
        <v>79</v>
      </c>
      <c r="O129" s="7">
        <v>4</v>
      </c>
    </row>
    <row r="130" spans="1:15">
      <c r="A130" s="53" t="s">
        <v>214</v>
      </c>
      <c r="B130" s="6"/>
      <c r="C130" s="49">
        <v>0.123</v>
      </c>
      <c r="D130" s="50">
        <v>0</v>
      </c>
      <c r="E130" s="52">
        <f>((Tabela2[[#This Row],[Peso Total Galho]]-(Tabela2[[#This Row],[Peso Pç]]*Tabela2[[#This Row],[Qdt Peça Placa]]))*0.9)</f>
        <v>0</v>
      </c>
      <c r="F130" s="6"/>
      <c r="L130" s="6" t="s">
        <v>14</v>
      </c>
      <c r="M130" s="7">
        <f ca="1">VLOOKUP(Tabela2[[#This Row],[Tipo de Material]],Dados!$P$2:$Q$4,2,FALSE)</f>
        <v>15.600000000000001</v>
      </c>
      <c r="N130" s="80" t="s">
        <v>79</v>
      </c>
      <c r="O130" s="7">
        <v>4</v>
      </c>
    </row>
    <row r="131" spans="1:15">
      <c r="A131" s="53" t="s">
        <v>215</v>
      </c>
      <c r="B131" s="6"/>
      <c r="C131" s="49">
        <v>0.13</v>
      </c>
      <c r="D131" s="50">
        <v>0</v>
      </c>
      <c r="E131" s="52">
        <f>((Tabela2[[#This Row],[Peso Total Galho]]-(Tabela2[[#This Row],[Peso Pç]]*Tabela2[[#This Row],[Qdt Peça Placa]]))*0.9)</f>
        <v>0</v>
      </c>
      <c r="F131" s="6"/>
      <c r="L131" s="6" t="s">
        <v>14</v>
      </c>
      <c r="M131" s="7">
        <f ca="1">VLOOKUP(Tabela2[[#This Row],[Tipo de Material]],Dados!$P$2:$Q$4,2,FALSE)</f>
        <v>15.600000000000001</v>
      </c>
      <c r="N131" s="80" t="s">
        <v>79</v>
      </c>
      <c r="O131" s="7">
        <v>4</v>
      </c>
    </row>
    <row r="132" spans="1:15">
      <c r="A132" s="53" t="s">
        <v>216</v>
      </c>
      <c r="B132" s="6"/>
      <c r="C132" s="49">
        <v>0.13</v>
      </c>
      <c r="D132" s="50">
        <v>0</v>
      </c>
      <c r="E132" s="52">
        <f>((Tabela2[[#This Row],[Peso Total Galho]]-(Tabela2[[#This Row],[Peso Pç]]*Tabela2[[#This Row],[Qdt Peça Placa]]))*0.9)</f>
        <v>0</v>
      </c>
      <c r="F132" s="6"/>
      <c r="L132" s="6" t="s">
        <v>14</v>
      </c>
      <c r="M132" s="7">
        <f ca="1">VLOOKUP(Tabela2[[#This Row],[Tipo de Material]],Dados!$P$2:$Q$4,2,FALSE)</f>
        <v>15.600000000000001</v>
      </c>
      <c r="N132" s="80" t="s">
        <v>79</v>
      </c>
      <c r="O132" s="7">
        <v>4</v>
      </c>
    </row>
    <row r="133" spans="1:15">
      <c r="A133" s="53" t="s">
        <v>217</v>
      </c>
      <c r="B133" s="6"/>
      <c r="C133" s="49">
        <v>0.13700000000000001</v>
      </c>
      <c r="D133" s="50">
        <v>0</v>
      </c>
      <c r="E133" s="52">
        <f>((Tabela2[[#This Row],[Peso Total Galho]]-(Tabela2[[#This Row],[Peso Pç]]*Tabela2[[#This Row],[Qdt Peça Placa]]))*0.9)</f>
        <v>0</v>
      </c>
      <c r="F133" s="6"/>
      <c r="L133" s="6" t="s">
        <v>14</v>
      </c>
      <c r="M133" s="7">
        <f ca="1">VLOOKUP(Tabela2[[#This Row],[Tipo de Material]],Dados!$P$2:$Q$4,2,FALSE)</f>
        <v>15.600000000000001</v>
      </c>
      <c r="N133" s="80" t="s">
        <v>79</v>
      </c>
      <c r="O133" s="7">
        <v>4</v>
      </c>
    </row>
    <row r="134" spans="1:15">
      <c r="A134" s="53" t="s">
        <v>218</v>
      </c>
      <c r="B134" s="6"/>
      <c r="C134" s="49">
        <v>0.16</v>
      </c>
      <c r="D134" s="50">
        <v>0</v>
      </c>
      <c r="E134" s="52">
        <f>((Tabela2[[#This Row],[Peso Total Galho]]-(Tabela2[[#This Row],[Peso Pç]]*Tabela2[[#This Row],[Qdt Peça Placa]]))*0.9)</f>
        <v>0</v>
      </c>
      <c r="F134" s="6"/>
      <c r="L134" s="6" t="s">
        <v>14</v>
      </c>
      <c r="M134" s="7">
        <f ca="1">VLOOKUP(Tabela2[[#This Row],[Tipo de Material]],Dados!$P$2:$Q$4,2,FALSE)</f>
        <v>15.600000000000001</v>
      </c>
      <c r="N134" s="80" t="s">
        <v>79</v>
      </c>
      <c r="O134" s="7">
        <v>4</v>
      </c>
    </row>
    <row r="135" spans="1:15">
      <c r="A135" s="53" t="s">
        <v>219</v>
      </c>
      <c r="B135" s="6"/>
      <c r="C135" s="49">
        <v>0.1</v>
      </c>
      <c r="D135" s="50">
        <v>0</v>
      </c>
      <c r="E135" s="52">
        <f>((Tabela2[[#This Row],[Peso Total Galho]]-(Tabela2[[#This Row],[Peso Pç]]*Tabela2[[#This Row],[Qdt Peça Placa]]))*0.9)</f>
        <v>0</v>
      </c>
      <c r="F135" s="6"/>
      <c r="L135" s="6" t="s">
        <v>14</v>
      </c>
      <c r="M135" s="7">
        <f ca="1">VLOOKUP(Tabela2[[#This Row],[Tipo de Material]],Dados!$P$2:$Q$4,2,FALSE)</f>
        <v>15.600000000000001</v>
      </c>
      <c r="N135" s="80" t="s">
        <v>79</v>
      </c>
      <c r="O135" s="7">
        <v>4</v>
      </c>
    </row>
    <row r="136" spans="1:15">
      <c r="A136" s="53" t="s">
        <v>220</v>
      </c>
      <c r="B136" s="6"/>
      <c r="C136" s="49">
        <v>0.14599999999999999</v>
      </c>
      <c r="D136" s="50">
        <v>0</v>
      </c>
      <c r="E136" s="52">
        <f>((Tabela2[[#This Row],[Peso Total Galho]]-(Tabela2[[#This Row],[Peso Pç]]*Tabela2[[#This Row],[Qdt Peça Placa]]))*0.9)</f>
        <v>0</v>
      </c>
      <c r="F136" s="6"/>
      <c r="L136" s="6" t="s">
        <v>14</v>
      </c>
      <c r="M136" s="7">
        <f ca="1">VLOOKUP(Tabela2[[#This Row],[Tipo de Material]],Dados!$P$2:$Q$4,2,FALSE)</f>
        <v>15.600000000000001</v>
      </c>
      <c r="N136" s="80" t="s">
        <v>79</v>
      </c>
      <c r="O136" s="7">
        <v>4</v>
      </c>
    </row>
    <row r="137" spans="1:15">
      <c r="A137" s="6" t="s">
        <v>221</v>
      </c>
      <c r="B137" s="6">
        <v>18</v>
      </c>
      <c r="C137" s="49">
        <v>0.127</v>
      </c>
      <c r="D137" s="50">
        <v>3.88</v>
      </c>
      <c r="E137" s="52">
        <f>((Tabela2[[#This Row],[Peso Total Galho]]-(Tabela2[[#This Row],[Peso Pç]]*Tabela2[[#This Row],[Qdt Peça Placa]]))*0.9)</f>
        <v>1.4345999999999999</v>
      </c>
      <c r="F137" s="6"/>
      <c r="L137" s="6" t="s">
        <v>17</v>
      </c>
      <c r="M137" s="7">
        <f ca="1">VLOOKUP(Tabela2[[#This Row],[Tipo de Material]],Dados!$P$2:$Q$4,2,FALSE)</f>
        <v>16.569852141766386</v>
      </c>
      <c r="N137" s="80" t="s">
        <v>113</v>
      </c>
      <c r="O137" s="7"/>
    </row>
    <row r="138" spans="1:15">
      <c r="A138" s="6" t="s">
        <v>222</v>
      </c>
      <c r="B138" s="6">
        <v>22</v>
      </c>
      <c r="C138" s="49">
        <v>0.109</v>
      </c>
      <c r="D138" s="50">
        <v>4.28</v>
      </c>
      <c r="E138" s="52">
        <f>((Tabela2[[#This Row],[Peso Total Galho]]-(Tabela2[[#This Row],[Peso Pç]]*Tabela2[[#This Row],[Qdt Peça Placa]]))*0.9)</f>
        <v>1.6938000000000002</v>
      </c>
      <c r="F138" s="6"/>
      <c r="L138" s="6" t="s">
        <v>17</v>
      </c>
      <c r="M138" s="7">
        <f ca="1">VLOOKUP(Tabela2[[#This Row],[Tipo de Material]],Dados!$P$2:$Q$4,2,FALSE)</f>
        <v>16.569852141766386</v>
      </c>
      <c r="N138" s="80" t="s">
        <v>113</v>
      </c>
      <c r="O138" s="7"/>
    </row>
    <row r="139" spans="1:15">
      <c r="A139" s="6" t="s">
        <v>223</v>
      </c>
      <c r="B139" s="6">
        <v>33</v>
      </c>
      <c r="C139" s="49">
        <v>0.104</v>
      </c>
      <c r="D139" s="50">
        <v>5.38</v>
      </c>
      <c r="E139" s="52">
        <f>((Tabela2[[#This Row],[Peso Total Galho]]-(Tabela2[[#This Row],[Peso Pç]]*Tabela2[[#This Row],[Qdt Peça Placa]]))*0.9)</f>
        <v>1.7532000000000001</v>
      </c>
      <c r="F139" s="6"/>
      <c r="L139" s="6" t="s">
        <v>17</v>
      </c>
      <c r="M139" s="7">
        <f ca="1">VLOOKUP(Tabela2[[#This Row],[Tipo de Material]],Dados!$P$2:$Q$4,2,FALSE)</f>
        <v>16.569852141766386</v>
      </c>
      <c r="N139" s="80" t="s">
        <v>113</v>
      </c>
      <c r="O139" s="7"/>
    </row>
    <row r="140" spans="1:15">
      <c r="A140" s="6" t="s">
        <v>224</v>
      </c>
      <c r="B140" s="6">
        <v>33</v>
      </c>
      <c r="C140" s="49">
        <v>6.4000000000000001E-2</v>
      </c>
      <c r="D140" s="50">
        <v>4.0999999999999996</v>
      </c>
      <c r="E140" s="52">
        <f>((Tabela2[[#This Row],[Peso Total Galho]]-(Tabela2[[#This Row],[Peso Pç]]*Tabela2[[#This Row],[Qdt Peça Placa]]))*0.9)</f>
        <v>1.7891999999999997</v>
      </c>
      <c r="F140" s="6"/>
      <c r="L140" s="6" t="s">
        <v>17</v>
      </c>
      <c r="M140" s="7">
        <f ca="1">VLOOKUP(Tabela2[[#This Row],[Tipo de Material]],Dados!$P$2:$Q$4,2,FALSE)</f>
        <v>16.569852141766386</v>
      </c>
      <c r="N140" s="80" t="s">
        <v>113</v>
      </c>
      <c r="O140" s="7"/>
    </row>
    <row r="141" spans="1:15">
      <c r="A141" s="6" t="s">
        <v>225</v>
      </c>
      <c r="B141" s="6">
        <v>4</v>
      </c>
      <c r="C141" s="49">
        <v>0.23</v>
      </c>
      <c r="D141" s="50">
        <v>1.6279999999999999</v>
      </c>
      <c r="E141" s="52">
        <f>((Tabela2[[#This Row],[Peso Total Galho]]-(Tabela2[[#This Row],[Peso Pç]]*Tabela2[[#This Row],[Qdt Peça Placa]]))*0.9)</f>
        <v>0.63719999999999988</v>
      </c>
      <c r="F141" s="6"/>
      <c r="L141" s="6" t="s">
        <v>14</v>
      </c>
      <c r="M141" s="7">
        <f ca="1">VLOOKUP(Tabela2[[#This Row],[Tipo de Material]],Dados!$P$2:$Q$4,2,FALSE)</f>
        <v>15.600000000000001</v>
      </c>
      <c r="N141" s="80" t="s">
        <v>79</v>
      </c>
      <c r="O141" s="7">
        <v>4</v>
      </c>
    </row>
    <row r="142" spans="1:15">
      <c r="A142" s="6" t="s">
        <v>226</v>
      </c>
      <c r="B142" s="6">
        <v>4</v>
      </c>
      <c r="C142" s="49">
        <v>0.23</v>
      </c>
      <c r="D142" s="50">
        <v>1.6279999999999999</v>
      </c>
      <c r="E142" s="52">
        <f>((Tabela2[[#This Row],[Peso Total Galho]]-(Tabela2[[#This Row],[Peso Pç]]*Tabela2[[#This Row],[Qdt Peça Placa]]))*0.9)</f>
        <v>0.63719999999999988</v>
      </c>
      <c r="F142" s="6"/>
      <c r="L142" s="6" t="s">
        <v>14</v>
      </c>
      <c r="M142" s="7">
        <f ca="1">VLOOKUP(Tabela2[[#This Row],[Tipo de Material]],Dados!$P$2:$Q$4,2,FALSE)</f>
        <v>15.600000000000001</v>
      </c>
      <c r="N142" s="80" t="s">
        <v>79</v>
      </c>
      <c r="O142" s="7">
        <v>4</v>
      </c>
    </row>
    <row r="143" spans="1:15">
      <c r="A143" s="6" t="s">
        <v>227</v>
      </c>
      <c r="B143" s="6">
        <v>1</v>
      </c>
      <c r="C143" s="49">
        <v>27</v>
      </c>
      <c r="D143" s="50">
        <v>29</v>
      </c>
      <c r="E143" s="52">
        <f>((Tabela2[[#This Row],[Peso Total Galho]]-(Tabela2[[#This Row],[Peso Pç]]*Tabela2[[#This Row],[Qdt Peça Placa]]))*0.9)</f>
        <v>1.8</v>
      </c>
      <c r="F143" s="6"/>
      <c r="L143" s="6" t="s">
        <v>11</v>
      </c>
      <c r="M143" s="7">
        <f ca="1">VLOOKUP(Tabela2[[#This Row],[Tipo de Material]],Dados!$P$2:$Q$4,2,FALSE)</f>
        <v>17.600000000000001</v>
      </c>
      <c r="N143" s="80" t="s">
        <v>94</v>
      </c>
      <c r="O143" s="7"/>
    </row>
    <row r="144" spans="1:15">
      <c r="A144" s="6" t="s">
        <v>228</v>
      </c>
      <c r="B144" s="6">
        <v>1</v>
      </c>
      <c r="C144" s="49">
        <v>18.600000000000001</v>
      </c>
      <c r="D144" s="50">
        <v>19.760000000000002</v>
      </c>
      <c r="E144" s="52">
        <f>((Tabela2[[#This Row],[Peso Total Galho]]-(Tabela2[[#This Row],[Peso Pç]]*Tabela2[[#This Row],[Qdt Peça Placa]]))*0.9)</f>
        <v>1.0440000000000003</v>
      </c>
      <c r="F144" s="6"/>
      <c r="L144" s="6" t="s">
        <v>11</v>
      </c>
      <c r="M144" s="7">
        <f ca="1">VLOOKUP(Tabela2[[#This Row],[Tipo de Material]],Dados!$P$2:$Q$4,2,FALSE)</f>
        <v>17.600000000000001</v>
      </c>
      <c r="N144" s="80" t="s">
        <v>94</v>
      </c>
      <c r="O144" s="7"/>
    </row>
    <row r="145" spans="1:15">
      <c r="A145" s="6" t="s">
        <v>229</v>
      </c>
      <c r="B145" s="6">
        <v>1</v>
      </c>
      <c r="C145" s="49">
        <v>2.7879999999999998</v>
      </c>
      <c r="D145" s="50">
        <v>3.65</v>
      </c>
      <c r="E145" s="52">
        <f>((Tabela2[[#This Row],[Peso Total Galho]]-(Tabela2[[#This Row],[Peso Pç]]*Tabela2[[#This Row],[Qdt Peça Placa]]))*0.9)</f>
        <v>0.77580000000000016</v>
      </c>
      <c r="F145" s="6"/>
      <c r="L145" s="6" t="s">
        <v>14</v>
      </c>
      <c r="M145" s="7">
        <f ca="1">VLOOKUP(Tabela2[[#This Row],[Tipo de Material]],Dados!$P$2:$Q$4,2,FALSE)</f>
        <v>15.600000000000001</v>
      </c>
      <c r="N145" s="80" t="s">
        <v>76</v>
      </c>
      <c r="O145" s="7">
        <v>35</v>
      </c>
    </row>
    <row r="146" spans="1:15">
      <c r="A146" s="6" t="s">
        <v>230</v>
      </c>
      <c r="B146" s="6">
        <v>4</v>
      </c>
      <c r="C146" s="49">
        <v>0.42299999999999999</v>
      </c>
      <c r="D146" s="50">
        <v>3.1320000000000001</v>
      </c>
      <c r="E146" s="52">
        <f>((Tabela2[[#This Row],[Peso Total Galho]]-(Tabela2[[#This Row],[Peso Pç]]*Tabela2[[#This Row],[Qdt Peça Placa]]))*0.9)</f>
        <v>1.2960000000000003</v>
      </c>
      <c r="F146" s="6"/>
      <c r="L146" s="6" t="s">
        <v>11</v>
      </c>
      <c r="M146" s="7">
        <f ca="1">VLOOKUP(Tabela2[[#This Row],[Tipo de Material]],Dados!$P$2:$Q$4,2,FALSE)</f>
        <v>17.600000000000001</v>
      </c>
      <c r="N146" s="80" t="s">
        <v>231</v>
      </c>
      <c r="O146" s="7">
        <v>0.5</v>
      </c>
    </row>
    <row r="147" spans="1:15">
      <c r="A147" s="6" t="s">
        <v>232</v>
      </c>
      <c r="B147" s="6">
        <v>4</v>
      </c>
      <c r="C147" s="49">
        <v>0.42099999999999999</v>
      </c>
      <c r="D147" s="50">
        <v>3.2160000000000002</v>
      </c>
      <c r="E147" s="52">
        <f>((Tabela2[[#This Row],[Peso Total Galho]]-(Tabela2[[#This Row],[Peso Pç]]*Tabela2[[#This Row],[Qdt Peça Placa]]))*0.9)</f>
        <v>1.3788000000000002</v>
      </c>
      <c r="F147" s="6"/>
      <c r="L147" s="6" t="s">
        <v>11</v>
      </c>
      <c r="M147" s="7">
        <f ca="1">VLOOKUP(Tabela2[[#This Row],[Tipo de Material]],Dados!$P$2:$Q$4,2,FALSE)</f>
        <v>17.600000000000001</v>
      </c>
      <c r="N147" s="80" t="s">
        <v>231</v>
      </c>
      <c r="O147" s="7">
        <v>0.5</v>
      </c>
    </row>
    <row r="148" spans="1:15">
      <c r="A148" s="6" t="s">
        <v>233</v>
      </c>
      <c r="B148" s="6">
        <v>1</v>
      </c>
      <c r="C148" s="49">
        <v>5.4</v>
      </c>
      <c r="D148" s="50">
        <v>6</v>
      </c>
      <c r="E148" s="52">
        <f>((Tabela2[[#This Row],[Peso Total Galho]]-(Tabela2[[#This Row],[Peso Pç]]*Tabela2[[#This Row],[Qdt Peça Placa]]))*0.9)</f>
        <v>0.5399999999999997</v>
      </c>
      <c r="F148" s="66"/>
      <c r="L148" s="6" t="s">
        <v>11</v>
      </c>
      <c r="M148" s="7">
        <f ca="1">VLOOKUP(Tabela2[[#This Row],[Tipo de Material]],Dados!$P$2:$Q$4,2,FALSE)</f>
        <v>17.600000000000001</v>
      </c>
      <c r="N148" s="80" t="s">
        <v>98</v>
      </c>
      <c r="O148" s="7"/>
    </row>
    <row r="149" spans="1:15">
      <c r="A149" s="6" t="s">
        <v>234</v>
      </c>
      <c r="B149" s="6">
        <v>1</v>
      </c>
      <c r="C149" s="49">
        <v>1.6</v>
      </c>
      <c r="D149" s="50">
        <v>2</v>
      </c>
      <c r="E149" s="52">
        <f>((Tabela2[[#This Row],[Peso Total Galho]]-(Tabela2[[#This Row],[Peso Pç]]*Tabela2[[#This Row],[Qdt Peça Placa]]))*0.9)</f>
        <v>0.35999999999999993</v>
      </c>
      <c r="F149" s="66"/>
      <c r="L149" s="6" t="s">
        <v>11</v>
      </c>
      <c r="M149" s="7">
        <f ca="1">VLOOKUP(Tabela2[[#This Row],[Tipo de Material]],Dados!$P$2:$Q$4,2,FALSE)</f>
        <v>17.600000000000001</v>
      </c>
      <c r="N149" s="80" t="s">
        <v>98</v>
      </c>
      <c r="O149" s="7"/>
    </row>
    <row r="150" spans="1:15">
      <c r="A150" s="6" t="s">
        <v>235</v>
      </c>
      <c r="B150" s="6">
        <v>6</v>
      </c>
      <c r="C150" s="49">
        <v>0.30599999999999999</v>
      </c>
      <c r="D150" s="50">
        <v>2.1680000000000001</v>
      </c>
      <c r="E150" s="52">
        <f>((Tabela2[[#This Row],[Peso Total Galho]]-(Tabela2[[#This Row],[Peso Pç]]*Tabela2[[#This Row],[Qdt Peça Placa]]))*0.9)</f>
        <v>0.29880000000000029</v>
      </c>
      <c r="F150" s="6"/>
      <c r="L150" s="6" t="s">
        <v>14</v>
      </c>
      <c r="M150" s="7">
        <f ca="1">VLOOKUP(Tabela2[[#This Row],[Tipo de Material]],Dados!$P$2:$Q$4,2,FALSE)</f>
        <v>15.600000000000001</v>
      </c>
      <c r="N150" s="80" t="s">
        <v>79</v>
      </c>
      <c r="O150" s="7">
        <v>4</v>
      </c>
    </row>
    <row r="151" spans="1:15">
      <c r="A151" s="6" t="s">
        <v>236</v>
      </c>
      <c r="B151" s="6">
        <v>6</v>
      </c>
      <c r="C151" s="49">
        <v>0.30199999999999999</v>
      </c>
      <c r="D151" s="50">
        <v>2.1520000000000001</v>
      </c>
      <c r="E151" s="52">
        <f>((Tabela2[[#This Row],[Peso Total Galho]]-(Tabela2[[#This Row],[Peso Pç]]*Tabela2[[#This Row],[Qdt Peça Placa]]))*0.9)</f>
        <v>0.30600000000000027</v>
      </c>
      <c r="F151" s="6"/>
      <c r="L151" s="6" t="s">
        <v>14</v>
      </c>
      <c r="M151" s="7">
        <f ca="1">VLOOKUP(Tabela2[[#This Row],[Tipo de Material]],Dados!$P$2:$Q$4,2,FALSE)</f>
        <v>15.600000000000001</v>
      </c>
      <c r="N151" s="80" t="s">
        <v>79</v>
      </c>
      <c r="O151" s="7">
        <v>4</v>
      </c>
    </row>
    <row r="152" spans="1:15">
      <c r="A152" s="54" t="s">
        <v>237</v>
      </c>
      <c r="B152" s="6">
        <v>6</v>
      </c>
      <c r="C152" s="49">
        <v>0.28999999999999998</v>
      </c>
      <c r="D152" s="50">
        <v>2</v>
      </c>
      <c r="E152" s="52">
        <f>((Tabela2[[#This Row],[Peso Total Galho]]-(Tabela2[[#This Row],[Peso Pç]]*Tabela2[[#This Row],[Qdt Peça Placa]]))*0.9)</f>
        <v>0.23400000000000021</v>
      </c>
      <c r="F152" s="6"/>
      <c r="L152" s="6" t="s">
        <v>14</v>
      </c>
      <c r="M152" s="7">
        <f ca="1">VLOOKUP(Tabela2[[#This Row],[Tipo de Material]],Dados!$P$2:$Q$4,2,FALSE)</f>
        <v>15.600000000000001</v>
      </c>
      <c r="N152" s="80" t="s">
        <v>79</v>
      </c>
      <c r="O152" s="7">
        <v>4</v>
      </c>
    </row>
    <row r="153" spans="1:15">
      <c r="A153" s="6" t="s">
        <v>238</v>
      </c>
      <c r="B153" s="6">
        <v>6</v>
      </c>
      <c r="C153" s="49">
        <v>0.36699999999999999</v>
      </c>
      <c r="D153" s="50">
        <v>2.6</v>
      </c>
      <c r="E153" s="52">
        <f>((Tabela2[[#This Row],[Peso Total Galho]]-(Tabela2[[#This Row],[Peso Pç]]*Tabela2[[#This Row],[Qdt Peça Placa]]))*0.9)</f>
        <v>0.35820000000000013</v>
      </c>
      <c r="F153" s="6"/>
      <c r="L153" s="6" t="s">
        <v>14</v>
      </c>
      <c r="M153" s="7">
        <f ca="1">VLOOKUP(Tabela2[[#This Row],[Tipo de Material]],Dados!$P$2:$Q$4,2,FALSE)</f>
        <v>15.600000000000001</v>
      </c>
      <c r="N153" s="80" t="s">
        <v>79</v>
      </c>
      <c r="O153" s="7">
        <v>4</v>
      </c>
    </row>
    <row r="154" spans="1:15">
      <c r="A154" s="6" t="s">
        <v>239</v>
      </c>
      <c r="B154" s="6">
        <v>4</v>
      </c>
      <c r="C154" s="49">
        <v>0.45600000000000002</v>
      </c>
      <c r="D154" s="50">
        <v>3.2280000000000002</v>
      </c>
      <c r="E154" s="52">
        <f>((Tabela2[[#This Row],[Peso Total Galho]]-(Tabela2[[#This Row],[Peso Pç]]*Tabela2[[#This Row],[Qdt Peça Placa]]))*0.9)</f>
        <v>1.2636000000000001</v>
      </c>
      <c r="F154" s="6"/>
      <c r="L154" s="6" t="s">
        <v>14</v>
      </c>
      <c r="M154" s="7">
        <f ca="1">VLOOKUP(Tabela2[[#This Row],[Tipo de Material]],Dados!$P$2:$Q$4,2,FALSE)</f>
        <v>15.600000000000001</v>
      </c>
      <c r="N154" s="80" t="s">
        <v>79</v>
      </c>
      <c r="O154" s="7">
        <v>4</v>
      </c>
    </row>
    <row r="155" spans="1:15">
      <c r="A155" s="6" t="s">
        <v>240</v>
      </c>
      <c r="B155" s="6">
        <v>4</v>
      </c>
      <c r="C155" s="49">
        <v>0.35699999999999998</v>
      </c>
      <c r="D155" s="50">
        <v>2.4279999999999999</v>
      </c>
      <c r="E155" s="52">
        <f>((Tabela2[[#This Row],[Peso Total Galho]]-(Tabela2[[#This Row],[Peso Pç]]*Tabela2[[#This Row],[Qdt Peça Placa]]))*0.9)</f>
        <v>0.9</v>
      </c>
      <c r="F155" s="6"/>
      <c r="L155" s="6" t="s">
        <v>14</v>
      </c>
      <c r="M155" s="7">
        <f ca="1">VLOOKUP(Tabela2[[#This Row],[Tipo de Material]],Dados!$P$2:$Q$4,2,FALSE)</f>
        <v>15.600000000000001</v>
      </c>
      <c r="N155" s="80" t="s">
        <v>79</v>
      </c>
      <c r="O155" s="7">
        <v>4</v>
      </c>
    </row>
    <row r="156" spans="1:15">
      <c r="A156" s="6" t="s">
        <v>241</v>
      </c>
      <c r="B156" s="6">
        <v>4</v>
      </c>
      <c r="C156" s="49">
        <v>0.61299999999999999</v>
      </c>
      <c r="D156" s="50">
        <v>4.3499999999999996</v>
      </c>
      <c r="E156" s="52">
        <f>((Tabela2[[#This Row],[Peso Total Galho]]-(Tabela2[[#This Row],[Peso Pç]]*Tabela2[[#This Row],[Qdt Peça Placa]]))*0.9)</f>
        <v>1.7081999999999997</v>
      </c>
      <c r="F156" s="6"/>
      <c r="L156" s="6" t="s">
        <v>14</v>
      </c>
      <c r="M156" s="7">
        <f ca="1">VLOOKUP(Tabela2[[#This Row],[Tipo de Material]],Dados!$P$2:$Q$4,2,FALSE)</f>
        <v>15.600000000000001</v>
      </c>
      <c r="N156" s="80" t="s">
        <v>79</v>
      </c>
      <c r="O156" s="7">
        <v>4</v>
      </c>
    </row>
    <row r="157" spans="1:15">
      <c r="A157" s="72" t="s">
        <v>242</v>
      </c>
      <c r="B157" s="6">
        <v>4</v>
      </c>
      <c r="C157" s="49">
        <v>0.60199999999999998</v>
      </c>
      <c r="D157" s="50">
        <v>2.7</v>
      </c>
      <c r="E157" s="52">
        <f>((Tabela2[[#This Row],[Peso Total Galho]]-(Tabela2[[#This Row],[Peso Pç]]*Tabela2[[#This Row],[Qdt Peça Placa]]))*0.9)</f>
        <v>0.26280000000000026</v>
      </c>
      <c r="F157" s="6"/>
      <c r="L157" s="6" t="s">
        <v>14</v>
      </c>
      <c r="M157" s="7">
        <f ca="1">VLOOKUP(Tabela2[[#This Row],[Tipo de Material]],Dados!$P$2:$Q$4,2,FALSE)</f>
        <v>15.600000000000001</v>
      </c>
      <c r="N157" s="80" t="s">
        <v>79</v>
      </c>
      <c r="O157" s="7">
        <v>4</v>
      </c>
    </row>
    <row r="158" spans="1:15">
      <c r="A158" s="54" t="s">
        <v>243</v>
      </c>
      <c r="B158" s="6">
        <v>4</v>
      </c>
      <c r="C158" s="49">
        <v>0.58599999999999997</v>
      </c>
      <c r="D158" s="50">
        <v>2.7</v>
      </c>
      <c r="E158" s="52">
        <f>((Tabela2[[#This Row],[Peso Total Galho]]-(Tabela2[[#This Row],[Peso Pç]]*Tabela2[[#This Row],[Qdt Peça Placa]]))*0.9)</f>
        <v>0.3204000000000003</v>
      </c>
      <c r="F158" s="6"/>
      <c r="L158" s="6" t="s">
        <v>14</v>
      </c>
      <c r="M158" s="7">
        <f ca="1">VLOOKUP(Tabela2[[#This Row],[Tipo de Material]],Dados!$P$2:$Q$4,2,FALSE)</f>
        <v>15.600000000000001</v>
      </c>
      <c r="N158" s="80" t="s">
        <v>79</v>
      </c>
      <c r="O158" s="7">
        <v>4</v>
      </c>
    </row>
    <row r="159" spans="1:15">
      <c r="A159" s="6" t="s">
        <v>244</v>
      </c>
      <c r="B159" s="6">
        <v>4</v>
      </c>
      <c r="C159" s="49">
        <v>0.47</v>
      </c>
      <c r="D159" s="50">
        <v>3.0960000000000001</v>
      </c>
      <c r="E159" s="52">
        <f>((Tabela2[[#This Row],[Peso Total Galho]]-(Tabela2[[#This Row],[Peso Pç]]*Tabela2[[#This Row],[Qdt Peça Placa]]))*0.9)</f>
        <v>1.0944000000000003</v>
      </c>
      <c r="F159" s="6"/>
      <c r="L159" s="6" t="s">
        <v>14</v>
      </c>
      <c r="M159" s="7">
        <f ca="1">VLOOKUP(Tabela2[[#This Row],[Tipo de Material]],Dados!$P$2:$Q$4,2,FALSE)</f>
        <v>15.600000000000001</v>
      </c>
      <c r="N159" s="80" t="s">
        <v>79</v>
      </c>
      <c r="O159" s="7">
        <v>4</v>
      </c>
    </row>
    <row r="160" spans="1:15">
      <c r="A160" s="6" t="s">
        <v>245</v>
      </c>
      <c r="B160" s="6">
        <v>4</v>
      </c>
      <c r="C160" s="49">
        <v>0.33200000000000002</v>
      </c>
      <c r="D160" s="50">
        <v>2.2999999999999998</v>
      </c>
      <c r="E160" s="52">
        <f>((Tabela2[[#This Row],[Peso Total Galho]]-(Tabela2[[#This Row],[Peso Pç]]*Tabela2[[#This Row],[Qdt Peça Placa]]))*0.9)</f>
        <v>0.8747999999999998</v>
      </c>
      <c r="F160" s="6"/>
      <c r="L160" s="6" t="s">
        <v>14</v>
      </c>
      <c r="M160" s="7">
        <f ca="1">VLOOKUP(Tabela2[[#This Row],[Tipo de Material]],Dados!$P$2:$Q$4,2,FALSE)</f>
        <v>15.600000000000001</v>
      </c>
      <c r="N160" s="80" t="s">
        <v>79</v>
      </c>
      <c r="O160" s="7">
        <v>3.5</v>
      </c>
    </row>
    <row r="161" spans="1:15">
      <c r="A161" s="6" t="s">
        <v>246</v>
      </c>
      <c r="B161" s="6">
        <v>4</v>
      </c>
      <c r="C161" s="49">
        <v>0.53300000000000003</v>
      </c>
      <c r="D161" s="50">
        <v>3.3</v>
      </c>
      <c r="E161" s="52">
        <f>((Tabela2[[#This Row],[Peso Total Galho]]-(Tabela2[[#This Row],[Peso Pç]]*Tabela2[[#This Row],[Qdt Peça Placa]]))*0.9)</f>
        <v>1.0511999999999997</v>
      </c>
      <c r="F161" s="6"/>
      <c r="L161" s="6" t="s">
        <v>14</v>
      </c>
      <c r="M161" s="7">
        <f ca="1">VLOOKUP(Tabela2[[#This Row],[Tipo de Material]],Dados!$P$2:$Q$4,2,FALSE)</f>
        <v>15.600000000000001</v>
      </c>
      <c r="N161" s="80" t="s">
        <v>79</v>
      </c>
      <c r="O161" s="7">
        <v>4</v>
      </c>
    </row>
    <row r="162" spans="1:15">
      <c r="A162" s="6" t="s">
        <v>247</v>
      </c>
      <c r="B162" s="6">
        <v>4</v>
      </c>
      <c r="C162" s="49">
        <v>0.3</v>
      </c>
      <c r="D162" s="50">
        <v>2.2999999999999998</v>
      </c>
      <c r="E162" s="52">
        <f>((Tabela2[[#This Row],[Peso Total Galho]]-(Tabela2[[#This Row],[Peso Pç]]*Tabela2[[#This Row],[Qdt Peça Placa]]))*0.9)</f>
        <v>0.98999999999999988</v>
      </c>
      <c r="F162" s="6"/>
      <c r="L162" s="6" t="s">
        <v>14</v>
      </c>
      <c r="M162" s="7">
        <f ca="1">VLOOKUP(Tabela2[[#This Row],[Tipo de Material]],Dados!$P$2:$Q$4,2,FALSE)</f>
        <v>15.600000000000001</v>
      </c>
      <c r="N162" s="80" t="s">
        <v>79</v>
      </c>
      <c r="O162" s="7">
        <v>3.5</v>
      </c>
    </row>
    <row r="163" spans="1:15">
      <c r="A163" s="6" t="s">
        <v>248</v>
      </c>
      <c r="B163" s="6">
        <v>4</v>
      </c>
      <c r="C163" s="49">
        <v>0.35799999999999998</v>
      </c>
      <c r="D163" s="50">
        <v>2.2999999999999998</v>
      </c>
      <c r="E163" s="52">
        <f>((Tabela2[[#This Row],[Peso Total Galho]]-(Tabela2[[#This Row],[Peso Pç]]*Tabela2[[#This Row],[Qdt Peça Placa]]))*0.9)</f>
        <v>0.78119999999999989</v>
      </c>
      <c r="F163" s="6"/>
      <c r="L163" s="6" t="s">
        <v>14</v>
      </c>
      <c r="M163" s="7">
        <f ca="1">VLOOKUP(Tabela2[[#This Row],[Tipo de Material]],Dados!$P$2:$Q$4,2,FALSE)</f>
        <v>15.600000000000001</v>
      </c>
      <c r="N163" s="80" t="s">
        <v>79</v>
      </c>
      <c r="O163" s="7">
        <v>4</v>
      </c>
    </row>
    <row r="164" spans="1:15">
      <c r="A164" s="6" t="s">
        <v>249</v>
      </c>
      <c r="B164" s="6">
        <v>4</v>
      </c>
      <c r="C164" s="49">
        <v>0.34200000000000003</v>
      </c>
      <c r="D164" s="50">
        <v>2.42</v>
      </c>
      <c r="E164" s="52">
        <f>((Tabela2[[#This Row],[Peso Total Galho]]-(Tabela2[[#This Row],[Peso Pç]]*Tabela2[[#This Row],[Qdt Peça Placa]]))*0.9)</f>
        <v>0.94679999999999986</v>
      </c>
      <c r="F164" s="6"/>
      <c r="L164" s="6" t="s">
        <v>14</v>
      </c>
      <c r="M164" s="7">
        <f ca="1">VLOOKUP(Tabela2[[#This Row],[Tipo de Material]],Dados!$P$2:$Q$4,2,FALSE)</f>
        <v>15.600000000000001</v>
      </c>
      <c r="N164" s="80" t="s">
        <v>79</v>
      </c>
      <c r="O164" s="7">
        <v>4</v>
      </c>
    </row>
    <row r="165" spans="1:15">
      <c r="A165" s="6" t="s">
        <v>250</v>
      </c>
      <c r="B165" s="6">
        <v>6</v>
      </c>
      <c r="C165" s="49">
        <v>0.28399999999999997</v>
      </c>
      <c r="D165" s="50">
        <v>2.2000000000000002</v>
      </c>
      <c r="E165" s="52">
        <f>((Tabela2[[#This Row],[Peso Total Galho]]-(Tabela2[[#This Row],[Peso Pç]]*Tabela2[[#This Row],[Qdt Peça Placa]]))*0.9)</f>
        <v>0.44640000000000041</v>
      </c>
      <c r="F165" s="66"/>
      <c r="L165" s="6" t="s">
        <v>17</v>
      </c>
      <c r="M165" s="7">
        <f ca="1">VLOOKUP(Tabela2[[#This Row],[Tipo de Material]],Dados!$P$2:$Q$4,2,FALSE)</f>
        <v>16.569852141766386</v>
      </c>
      <c r="N165" s="80" t="s">
        <v>251</v>
      </c>
      <c r="O165" s="7"/>
    </row>
    <row r="166" spans="1:15">
      <c r="A166" s="6" t="s">
        <v>252</v>
      </c>
      <c r="B166" s="6">
        <v>1</v>
      </c>
      <c r="C166" s="49">
        <v>1.3</v>
      </c>
      <c r="D166" s="50">
        <v>2.0499999999999998</v>
      </c>
      <c r="E166" s="52">
        <f>((Tabela2[[#This Row],[Peso Total Galho]]-(Tabela2[[#This Row],[Peso Pç]]*Tabela2[[#This Row],[Qdt Peça Placa]]))*0.9)</f>
        <v>0.67499999999999982</v>
      </c>
      <c r="F166" s="6"/>
      <c r="L166" s="6" t="s">
        <v>11</v>
      </c>
      <c r="M166" s="7">
        <f ca="1">VLOOKUP(Tabela2[[#This Row],[Tipo de Material]],Dados!$P$2:$Q$4,2,FALSE)</f>
        <v>17.600000000000001</v>
      </c>
      <c r="N166" s="80" t="s">
        <v>81</v>
      </c>
      <c r="O166" s="7"/>
    </row>
    <row r="167" spans="1:15">
      <c r="A167" s="6" t="s">
        <v>253</v>
      </c>
      <c r="B167" s="6">
        <v>1</v>
      </c>
      <c r="C167" s="49">
        <v>1.05</v>
      </c>
      <c r="D167" s="50">
        <v>2.0699999999999998</v>
      </c>
      <c r="E167" s="52">
        <f>((Tabela2[[#This Row],[Peso Total Galho]]-(Tabela2[[#This Row],[Peso Pç]]*Tabela2[[#This Row],[Qdt Peça Placa]]))*0.9)</f>
        <v>0.91799999999999982</v>
      </c>
      <c r="F167" s="6"/>
      <c r="L167" s="6" t="s">
        <v>11</v>
      </c>
      <c r="M167" s="7">
        <f ca="1">VLOOKUP(Tabela2[[#This Row],[Tipo de Material]],Dados!$P$2:$Q$4,2,FALSE)</f>
        <v>17.600000000000001</v>
      </c>
      <c r="N167" s="80" t="s">
        <v>81</v>
      </c>
      <c r="O167" s="7"/>
    </row>
    <row r="168" spans="1:15">
      <c r="A168" s="6" t="s">
        <v>254</v>
      </c>
      <c r="B168" s="6">
        <v>1</v>
      </c>
      <c r="C168" s="49">
        <v>0.91900000000000004</v>
      </c>
      <c r="D168" s="50">
        <v>1.819</v>
      </c>
      <c r="E168" s="52">
        <f>((Tabela2[[#This Row],[Peso Total Galho]]-(Tabela2[[#This Row],[Peso Pç]]*Tabela2[[#This Row],[Qdt Peça Placa]]))*0.9)</f>
        <v>0.80999999999999994</v>
      </c>
      <c r="F168" s="6"/>
      <c r="L168" s="6" t="s">
        <v>11</v>
      </c>
      <c r="M168" s="7">
        <f ca="1">VLOOKUP(Tabela2[[#This Row],[Tipo de Material]],Dados!$P$2:$Q$4,2,FALSE)</f>
        <v>17.600000000000001</v>
      </c>
      <c r="N168" s="80" t="s">
        <v>81</v>
      </c>
      <c r="O168" s="7"/>
    </row>
    <row r="169" spans="1:15">
      <c r="A169" s="6" t="s">
        <v>255</v>
      </c>
      <c r="B169" s="6">
        <v>1</v>
      </c>
      <c r="C169" s="49">
        <v>1.25</v>
      </c>
      <c r="D169" s="50">
        <v>1.85</v>
      </c>
      <c r="E169" s="52">
        <f>((Tabela2[[#This Row],[Peso Total Galho]]-(Tabela2[[#This Row],[Peso Pç]]*Tabela2[[#This Row],[Qdt Peça Placa]]))*0.9)</f>
        <v>0.54000000000000015</v>
      </c>
      <c r="F169" s="6"/>
      <c r="L169" s="6" t="s">
        <v>11</v>
      </c>
      <c r="M169" s="7">
        <f ca="1">VLOOKUP(Tabela2[[#This Row],[Tipo de Material]],Dados!$P$2:$Q$4,2,FALSE)</f>
        <v>17.600000000000001</v>
      </c>
      <c r="N169" s="80" t="s">
        <v>81</v>
      </c>
      <c r="O169" s="7"/>
    </row>
    <row r="170" spans="1:15">
      <c r="A170" s="6" t="s">
        <v>256</v>
      </c>
      <c r="B170" s="6">
        <v>2</v>
      </c>
      <c r="C170" s="49">
        <v>0.871</v>
      </c>
      <c r="D170" s="50">
        <v>3.0819999999999999</v>
      </c>
      <c r="E170" s="52">
        <f>((Tabela2[[#This Row],[Peso Total Galho]]-(Tabela2[[#This Row],[Peso Pç]]*Tabela2[[#This Row],[Qdt Peça Placa]]))*0.9)</f>
        <v>1.206</v>
      </c>
      <c r="F170" s="6"/>
      <c r="L170" s="6" t="s">
        <v>11</v>
      </c>
      <c r="M170" s="7">
        <f ca="1">VLOOKUP(Tabela2[[#This Row],[Tipo de Material]],Dados!$P$2:$Q$4,2,FALSE)</f>
        <v>17.600000000000001</v>
      </c>
      <c r="N170" s="80" t="s">
        <v>81</v>
      </c>
      <c r="O170" s="7"/>
    </row>
    <row r="171" spans="1:15">
      <c r="A171" s="6" t="s">
        <v>257</v>
      </c>
      <c r="B171" s="6">
        <v>8</v>
      </c>
      <c r="C171" s="49">
        <v>0.125</v>
      </c>
      <c r="D171" s="50">
        <v>2.2000000000000002</v>
      </c>
      <c r="E171" s="52">
        <f>((Tabela2[[#This Row],[Peso Total Galho]]-(Tabela2[[#This Row],[Peso Pç]]*Tabela2[[#This Row],[Qdt Peça Placa]]))*0.9)</f>
        <v>1.0800000000000003</v>
      </c>
      <c r="F171" s="6"/>
      <c r="L171" s="6" t="s">
        <v>14</v>
      </c>
      <c r="M171" s="7">
        <f ca="1">VLOOKUP(Tabela2[[#This Row],[Tipo de Material]],Dados!$P$2:$Q$4,2,FALSE)</f>
        <v>15.600000000000001</v>
      </c>
      <c r="N171" s="80" t="s">
        <v>79</v>
      </c>
      <c r="O171" s="7">
        <v>7</v>
      </c>
    </row>
    <row r="172" spans="1:15">
      <c r="A172" s="6" t="s">
        <v>258</v>
      </c>
      <c r="B172" s="6">
        <v>3</v>
      </c>
      <c r="C172" s="49">
        <v>0.47499999999999998</v>
      </c>
      <c r="D172" s="50">
        <v>2.5830000000000002</v>
      </c>
      <c r="E172" s="52">
        <f>((Tabela2[[#This Row],[Peso Total Galho]]-(Tabela2[[#This Row],[Peso Pç]]*Tabela2[[#This Row],[Qdt Peça Placa]]))*0.9)</f>
        <v>1.0422000000000005</v>
      </c>
      <c r="F172" s="6"/>
      <c r="L172" s="6" t="s">
        <v>14</v>
      </c>
      <c r="M172" s="7">
        <f ca="1">VLOOKUP(Tabela2[[#This Row],[Tipo de Material]],Dados!$P$2:$Q$4,2,FALSE)</f>
        <v>15.600000000000001</v>
      </c>
      <c r="N172" s="80" t="s">
        <v>79</v>
      </c>
      <c r="O172" s="7">
        <v>6</v>
      </c>
    </row>
    <row r="173" spans="1:15">
      <c r="A173" s="6" t="s">
        <v>259</v>
      </c>
      <c r="B173" s="6">
        <v>2</v>
      </c>
      <c r="C173" s="49">
        <v>0.6</v>
      </c>
      <c r="D173" s="50">
        <v>1.9</v>
      </c>
      <c r="E173" s="52">
        <f>((Tabela2[[#This Row],[Peso Total Galho]]-(Tabela2[[#This Row],[Peso Pç]]*Tabela2[[#This Row],[Qdt Peça Placa]]))*0.9)</f>
        <v>0.63</v>
      </c>
      <c r="F173" s="66"/>
      <c r="L173" s="6" t="s">
        <v>17</v>
      </c>
      <c r="M173" s="7">
        <f ca="1">VLOOKUP(Tabela2[[#This Row],[Tipo de Material]],Dados!$P$2:$Q$4,2,FALSE)</f>
        <v>16.569852141766386</v>
      </c>
      <c r="N173" s="80" t="s">
        <v>260</v>
      </c>
      <c r="O173" s="7"/>
    </row>
    <row r="174" spans="1:15">
      <c r="A174" s="6" t="s">
        <v>261</v>
      </c>
      <c r="B174" s="6">
        <v>2</v>
      </c>
      <c r="C174" s="49">
        <v>0.55000000000000004</v>
      </c>
      <c r="D174" s="50">
        <v>2</v>
      </c>
      <c r="E174" s="52">
        <f>((Tabela2[[#This Row],[Peso Total Galho]]-(Tabela2[[#This Row],[Peso Pç]]*Tabela2[[#This Row],[Qdt Peça Placa]]))*0.9)</f>
        <v>0.80999999999999994</v>
      </c>
      <c r="F174" s="66"/>
      <c r="L174" s="6" t="s">
        <v>17</v>
      </c>
      <c r="M174" s="7">
        <f ca="1">VLOOKUP(Tabela2[[#This Row],[Tipo de Material]],Dados!$P$2:$Q$4,2,FALSE)</f>
        <v>16.569852141766386</v>
      </c>
      <c r="N174" s="80" t="s">
        <v>98</v>
      </c>
      <c r="O174" s="7"/>
    </row>
    <row r="175" spans="1:15">
      <c r="A175" s="6" t="s">
        <v>262</v>
      </c>
      <c r="B175" s="6">
        <v>3</v>
      </c>
      <c r="C175" s="49">
        <v>0.57599999999999996</v>
      </c>
      <c r="D175" s="50">
        <v>2.1840000000000002</v>
      </c>
      <c r="E175" s="52">
        <f>((Tabela2[[#This Row],[Peso Total Galho]]-(Tabela2[[#This Row],[Peso Pç]]*Tabela2[[#This Row],[Qdt Peça Placa]]))*0.9)</f>
        <v>0.41040000000000038</v>
      </c>
      <c r="F175" s="6"/>
      <c r="G175" s="6">
        <v>1</v>
      </c>
      <c r="H175" s="6">
        <v>1.05</v>
      </c>
      <c r="L175" s="6" t="s">
        <v>14</v>
      </c>
      <c r="M175" s="7">
        <f ca="1">VLOOKUP(Tabela2[[#This Row],[Tipo de Material]],Dados!$P$2:$Q$4,2,FALSE)</f>
        <v>15.600000000000001</v>
      </c>
      <c r="N175" s="80" t="s">
        <v>79</v>
      </c>
      <c r="O175" s="7">
        <v>4</v>
      </c>
    </row>
    <row r="176" spans="1:15">
      <c r="A176" s="6" t="s">
        <v>263</v>
      </c>
      <c r="B176" s="6">
        <v>1</v>
      </c>
      <c r="C176" s="49">
        <v>3.3</v>
      </c>
      <c r="D176" s="50">
        <v>4.3</v>
      </c>
      <c r="E176" s="52">
        <f>((Tabela2[[#This Row],[Peso Total Galho]]-(Tabela2[[#This Row],[Peso Pç]]*Tabela2[[#This Row],[Qdt Peça Placa]]))*0.9)</f>
        <v>0.9</v>
      </c>
      <c r="F176" s="67">
        <f>((Tabela2[[#This Row],[Retorno]]-(Tabela2[[#This Row],[Peso Total Galho]]*Tabela2[[#This Row],[Peso Pç]]))*0.9)</f>
        <v>-11.961</v>
      </c>
      <c r="G176" s="67">
        <f>((Tabela2[[#This Row],[Peso Caixa Areia]]-(Tabela2[[#This Row],[Retorno]]*Tabela2[[#This Row],[Peso Total Galho]]))*0.9)</f>
        <v>-14.2479</v>
      </c>
      <c r="H176" s="67">
        <f>((Tabela2[[#This Row],[Qde macho / CX]]-(Tabela2[[#This Row],[Peso Caixa Areia]]*Tabela2[[#This Row],[Retorno]]))*0.9)</f>
        <v>-3.1346999999999992</v>
      </c>
      <c r="I176" s="67">
        <f>((Tabela2[[#This Row],[Peso Macho]]-(Tabela2[[#This Row],[Qde macho / CX]]*Tabela2[[#This Row],[Peso Caixa Areia]]))*0.9)</f>
        <v>-156.19844871000001</v>
      </c>
      <c r="J176" s="67">
        <f>((Tabela2[[#This Row],[Caixa Usada]]-(Tabela2[[#This Row],[Peso Macho]]*Tabela2[[#This Row],[Qde macho / CX]]))*0.9)</f>
        <v>-180.77520675599999</v>
      </c>
      <c r="K176" s="67">
        <f>((Tabela2[[#This Row],[Cód Cx Macho]]-(Tabela2[[#This Row],[Caixa Usada]]*Tabela2[[#This Row],[Peso Macho]]))*0.9)</f>
        <v>-603.36943553451317</v>
      </c>
      <c r="L176" s="6" t="s">
        <v>11</v>
      </c>
      <c r="M176" s="7">
        <f ca="1">VLOOKUP(Tabela2[[#This Row],[Tipo de Material]],Dados!$P$2:$Q$4,2,FALSE)</f>
        <v>17.600000000000001</v>
      </c>
      <c r="N176" s="80" t="s">
        <v>113</v>
      </c>
      <c r="O176" s="7"/>
    </row>
    <row r="177" spans="1:15">
      <c r="A177" s="6" t="s">
        <v>264</v>
      </c>
      <c r="B177" s="6">
        <v>1</v>
      </c>
      <c r="C177" s="49">
        <v>6.3</v>
      </c>
      <c r="D177" s="50">
        <v>6.4</v>
      </c>
      <c r="E177" s="52">
        <f>((Tabela2[[#This Row],[Peso Total Galho]]-(Tabela2[[#This Row],[Peso Pç]]*Tabela2[[#This Row],[Qdt Peça Placa]]))*0.9)</f>
        <v>9.0000000000000482E-2</v>
      </c>
      <c r="F177" s="66"/>
      <c r="L177" s="6" t="s">
        <v>11</v>
      </c>
      <c r="M177" s="7">
        <f ca="1">VLOOKUP(Tabela2[[#This Row],[Tipo de Material]],Dados!$P$2:$Q$4,2,FALSE)</f>
        <v>17.600000000000001</v>
      </c>
      <c r="N177" s="80" t="s">
        <v>76</v>
      </c>
      <c r="O177" s="7"/>
    </row>
    <row r="178" spans="1:15">
      <c r="A178" s="6" t="s">
        <v>265</v>
      </c>
      <c r="B178" s="6">
        <v>1</v>
      </c>
      <c r="C178" s="49">
        <v>1.7</v>
      </c>
      <c r="D178" s="50">
        <v>2.7</v>
      </c>
      <c r="E178" s="52">
        <f>((Tabela2[[#This Row],[Peso Total Galho]]-(Tabela2[[#This Row],[Peso Pç]]*Tabela2[[#This Row],[Qdt Peça Placa]]))*0.9)</f>
        <v>0.90000000000000024</v>
      </c>
      <c r="F178" s="6"/>
      <c r="L178" s="6" t="s">
        <v>11</v>
      </c>
      <c r="M178" s="7">
        <f ca="1">VLOOKUP(Tabela2[[#This Row],[Tipo de Material]],Dados!$P$2:$Q$4,2,FALSE)</f>
        <v>17.600000000000001</v>
      </c>
      <c r="N178" s="80" t="s">
        <v>76</v>
      </c>
      <c r="O178" s="7">
        <v>80</v>
      </c>
    </row>
    <row r="179" spans="1:15">
      <c r="A179" s="6" t="s">
        <v>266</v>
      </c>
      <c r="B179" s="6">
        <v>1</v>
      </c>
      <c r="C179" s="49">
        <v>6</v>
      </c>
      <c r="D179" s="50">
        <v>6.5</v>
      </c>
      <c r="E179" s="52">
        <f>((Tabela2[[#This Row],[Peso Total Galho]]-(Tabela2[[#This Row],[Peso Pç]]*Tabela2[[#This Row],[Qdt Peça Placa]]))*0.9)</f>
        <v>0.45</v>
      </c>
      <c r="F179" s="66"/>
      <c r="L179" s="6" t="s">
        <v>17</v>
      </c>
      <c r="M179" s="7">
        <f ca="1">VLOOKUP(Tabela2[[#This Row],[Tipo de Material]],Dados!$P$2:$Q$4,2,FALSE)</f>
        <v>16.569852141766386</v>
      </c>
      <c r="N179" s="80" t="s">
        <v>267</v>
      </c>
      <c r="O179" s="7"/>
    </row>
    <row r="180" spans="1:15">
      <c r="A180" s="6" t="s">
        <v>268</v>
      </c>
      <c r="B180" s="6">
        <v>1</v>
      </c>
      <c r="C180" s="49">
        <v>6.6</v>
      </c>
      <c r="D180" s="50">
        <v>7</v>
      </c>
      <c r="E180" s="52">
        <f>((Tabela2[[#This Row],[Peso Total Galho]]-(Tabela2[[#This Row],[Peso Pç]]*Tabela2[[#This Row],[Qdt Peça Placa]]))*0.9)</f>
        <v>0.36000000000000032</v>
      </c>
      <c r="F180" s="6"/>
      <c r="L180" s="6" t="s">
        <v>11</v>
      </c>
      <c r="M180" s="7">
        <f ca="1">VLOOKUP(Tabela2[[#This Row],[Tipo de Material]],Dados!$P$2:$Q$4,2,FALSE)</f>
        <v>17.600000000000001</v>
      </c>
      <c r="N180" s="80" t="s">
        <v>98</v>
      </c>
      <c r="O180" s="7"/>
    </row>
    <row r="181" spans="1:15">
      <c r="A181" s="6" t="s">
        <v>269</v>
      </c>
      <c r="B181" s="6">
        <v>1</v>
      </c>
      <c r="C181" s="49">
        <v>5.8</v>
      </c>
      <c r="D181" s="50">
        <v>6.2</v>
      </c>
      <c r="E181" s="52">
        <f>((Tabela2[[#This Row],[Peso Total Galho]]-(Tabela2[[#This Row],[Peso Pç]]*Tabela2[[#This Row],[Qdt Peça Placa]]))*0.9)</f>
        <v>0.36000000000000032</v>
      </c>
      <c r="F181" s="6"/>
      <c r="L181" s="6" t="s">
        <v>11</v>
      </c>
      <c r="M181" s="7">
        <f ca="1">VLOOKUP(Tabela2[[#This Row],[Tipo de Material]],Dados!$P$2:$Q$4,2,FALSE)</f>
        <v>17.600000000000001</v>
      </c>
      <c r="N181" s="80" t="s">
        <v>98</v>
      </c>
      <c r="O181" s="7"/>
    </row>
    <row r="182" spans="1:15">
      <c r="A182" s="53" t="s">
        <v>270</v>
      </c>
      <c r="B182" s="6">
        <v>4</v>
      </c>
      <c r="C182" s="49"/>
      <c r="D182" s="50">
        <v>3.53</v>
      </c>
      <c r="E182" s="52">
        <f>((Tabela2[[#This Row],[Peso Total Galho]]-(Tabela2[[#This Row],[Peso Pç]]*Tabela2[[#This Row],[Qdt Peça Placa]]))*0.9)</f>
        <v>3.177</v>
      </c>
      <c r="F182" s="6"/>
      <c r="L182" s="6" t="s">
        <v>11</v>
      </c>
      <c r="M182" s="7">
        <f ca="1">VLOOKUP(Tabela2[[#This Row],[Tipo de Material]],Dados!$P$2:$Q$4,2,FALSE)</f>
        <v>17.600000000000001</v>
      </c>
      <c r="N182" s="80" t="s">
        <v>271</v>
      </c>
      <c r="O182" s="7">
        <v>5</v>
      </c>
    </row>
    <row r="183" spans="1:15">
      <c r="A183" s="6" t="s">
        <v>272</v>
      </c>
      <c r="B183" s="6">
        <v>1</v>
      </c>
      <c r="C183" s="49">
        <v>1.38</v>
      </c>
      <c r="D183" s="50">
        <v>1.98</v>
      </c>
      <c r="E183" s="52">
        <f>((Tabela2[[#This Row],[Peso Total Galho]]-(Tabela2[[#This Row],[Peso Pç]]*Tabela2[[#This Row],[Qdt Peça Placa]]))*0.9)</f>
        <v>0.54000000000000015</v>
      </c>
      <c r="F183" s="6"/>
      <c r="G183" s="6">
        <v>3</v>
      </c>
      <c r="H183" s="6">
        <v>0.93</v>
      </c>
      <c r="J183" s="6">
        <v>400418</v>
      </c>
      <c r="L183" s="6" t="s">
        <v>14</v>
      </c>
      <c r="M183" s="7">
        <f ca="1">VLOOKUP(Tabela2[[#This Row],[Tipo de Material]],Dados!$P$2:$Q$4,2,FALSE)</f>
        <v>15.600000000000001</v>
      </c>
      <c r="N183" s="80" t="s">
        <v>76</v>
      </c>
      <c r="O183" s="7">
        <v>8</v>
      </c>
    </row>
    <row r="184" spans="1:15">
      <c r="A184" s="6" t="s">
        <v>273</v>
      </c>
      <c r="B184" s="6">
        <v>1</v>
      </c>
      <c r="C184" s="49">
        <v>18</v>
      </c>
      <c r="D184" s="50">
        <v>18.899999999999999</v>
      </c>
      <c r="E184" s="52">
        <f>((Tabela2[[#This Row],[Peso Total Galho]]-(Tabela2[[#This Row],[Peso Pç]]*Tabela2[[#This Row],[Qdt Peça Placa]]))*0.9)</f>
        <v>0.80999999999999872</v>
      </c>
      <c r="F184" s="66"/>
      <c r="L184" s="6" t="s">
        <v>17</v>
      </c>
      <c r="M184" s="7">
        <f ca="1">VLOOKUP(Tabela2[[#This Row],[Tipo de Material]],Dados!$P$2:$Q$4,2,FALSE)</f>
        <v>16.569852141766386</v>
      </c>
      <c r="N184" s="80" t="s">
        <v>98</v>
      </c>
      <c r="O184" s="7"/>
    </row>
    <row r="185" spans="1:15">
      <c r="A185" s="6" t="s">
        <v>274</v>
      </c>
      <c r="B185" s="6">
        <v>1</v>
      </c>
      <c r="C185" s="49">
        <v>20</v>
      </c>
      <c r="D185" s="50">
        <v>22</v>
      </c>
      <c r="E185" s="52">
        <f>((Tabela2[[#This Row],[Peso Total Galho]]-(Tabela2[[#This Row],[Peso Pç]]*Tabela2[[#This Row],[Qdt Peça Placa]]))*0.9)</f>
        <v>1.8</v>
      </c>
      <c r="F185" s="66"/>
      <c r="L185" s="6" t="s">
        <v>11</v>
      </c>
      <c r="M185" s="7">
        <f ca="1">VLOOKUP(Tabela2[[#This Row],[Tipo de Material]],Dados!$P$2:$Q$4,2,FALSE)</f>
        <v>17.600000000000001</v>
      </c>
      <c r="N185" s="80" t="s">
        <v>98</v>
      </c>
      <c r="O185" s="7"/>
    </row>
    <row r="186" spans="1:15">
      <c r="A186" s="6" t="s">
        <v>275</v>
      </c>
      <c r="B186" s="6">
        <v>1</v>
      </c>
      <c r="C186" s="49">
        <v>22</v>
      </c>
      <c r="D186" s="50">
        <v>22.3</v>
      </c>
      <c r="E186" s="52">
        <f>((Tabela2[[#This Row],[Peso Total Galho]]-(Tabela2[[#This Row],[Peso Pç]]*Tabela2[[#This Row],[Qdt Peça Placa]]))*0.9)</f>
        <v>0.27000000000000063</v>
      </c>
      <c r="F186" s="66"/>
      <c r="L186" s="6" t="s">
        <v>17</v>
      </c>
      <c r="M186" s="7">
        <f ca="1">VLOOKUP(Tabela2[[#This Row],[Tipo de Material]],Dados!$P$2:$Q$4,2,FALSE)</f>
        <v>16.569852141766386</v>
      </c>
      <c r="N186" s="80" t="s">
        <v>98</v>
      </c>
      <c r="O186" s="7"/>
    </row>
    <row r="187" spans="1:15">
      <c r="A187" s="6" t="s">
        <v>276</v>
      </c>
      <c r="B187" s="6">
        <v>1</v>
      </c>
      <c r="C187" s="49">
        <v>5.3</v>
      </c>
      <c r="D187" s="50">
        <v>6</v>
      </c>
      <c r="E187" s="52">
        <f>((Tabela2[[#This Row],[Peso Total Galho]]-(Tabela2[[#This Row],[Peso Pç]]*Tabela2[[#This Row],[Qdt Peça Placa]]))*0.9)</f>
        <v>0.63000000000000023</v>
      </c>
      <c r="F187" s="66"/>
      <c r="L187" s="6" t="s">
        <v>17</v>
      </c>
      <c r="M187" s="7">
        <f ca="1">VLOOKUP(Tabela2[[#This Row],[Tipo de Material]],Dados!$P$2:$Q$4,2,FALSE)</f>
        <v>16.569852141766386</v>
      </c>
      <c r="N187" s="80" t="s">
        <v>251</v>
      </c>
      <c r="O187" s="7"/>
    </row>
    <row r="188" spans="1:15">
      <c r="A188" s="6" t="s">
        <v>277</v>
      </c>
      <c r="B188" s="6">
        <v>6</v>
      </c>
      <c r="C188" s="49">
        <v>0.14000000000000001</v>
      </c>
      <c r="D188" s="50">
        <v>1.488</v>
      </c>
      <c r="E188" s="52">
        <f>((Tabela2[[#This Row],[Peso Total Galho]]-(Tabela2[[#This Row],[Peso Pç]]*Tabela2[[#This Row],[Qdt Peça Placa]]))*0.9)</f>
        <v>0.58319999999999994</v>
      </c>
      <c r="F188" s="6"/>
      <c r="L188" s="6" t="s">
        <v>14</v>
      </c>
      <c r="M188" s="7">
        <f ca="1">VLOOKUP(Tabela2[[#This Row],[Tipo de Material]],Dados!$P$2:$Q$4,2,FALSE)</f>
        <v>15.600000000000001</v>
      </c>
      <c r="N188" s="80" t="s">
        <v>79</v>
      </c>
      <c r="O188" s="7">
        <v>0</v>
      </c>
    </row>
    <row r="189" spans="1:15">
      <c r="A189" s="6" t="s">
        <v>278</v>
      </c>
      <c r="B189" s="6">
        <v>6</v>
      </c>
      <c r="C189" s="49">
        <v>0.14000000000000001</v>
      </c>
      <c r="D189" s="50">
        <v>1.488</v>
      </c>
      <c r="E189" s="52">
        <f>((Tabela2[[#This Row],[Peso Total Galho]]-(Tabela2[[#This Row],[Peso Pç]]*Tabela2[[#This Row],[Qdt Peça Placa]]))*0.9)</f>
        <v>0.58319999999999994</v>
      </c>
      <c r="F189" s="6"/>
      <c r="L189" s="6" t="s">
        <v>14</v>
      </c>
      <c r="M189" s="7">
        <f ca="1">VLOOKUP(Tabela2[[#This Row],[Tipo de Material]],Dados!$P$2:$Q$4,2,FALSE)</f>
        <v>15.600000000000001</v>
      </c>
      <c r="N189" s="80" t="s">
        <v>79</v>
      </c>
      <c r="O189" s="7">
        <v>0</v>
      </c>
    </row>
    <row r="190" spans="1:15">
      <c r="A190" s="6" t="s">
        <v>279</v>
      </c>
      <c r="B190" s="6">
        <v>18</v>
      </c>
      <c r="C190" s="49">
        <v>0.05</v>
      </c>
      <c r="D190" s="50">
        <v>2.5</v>
      </c>
      <c r="E190" s="52">
        <f>((Tabela2[[#This Row],[Peso Total Galho]]-(Tabela2[[#This Row],[Peso Pç]]*Tabela2[[#This Row],[Qdt Peça Placa]]))*0.9)</f>
        <v>1.4400000000000002</v>
      </c>
      <c r="F190" s="66"/>
      <c r="L190" s="6" t="s">
        <v>11</v>
      </c>
      <c r="M190" s="7">
        <f ca="1">VLOOKUP(Tabela2[[#This Row],[Tipo de Material]],Dados!$P$2:$Q$4,2,FALSE)</f>
        <v>17.600000000000001</v>
      </c>
      <c r="N190" s="80" t="s">
        <v>280</v>
      </c>
      <c r="O190" s="7"/>
    </row>
    <row r="191" spans="1:15">
      <c r="A191" s="6" t="s">
        <v>281</v>
      </c>
      <c r="B191" s="6">
        <v>24</v>
      </c>
      <c r="C191" s="49">
        <v>3.3000000000000002E-2</v>
      </c>
      <c r="D191" s="50">
        <v>3.1920000000000002</v>
      </c>
      <c r="E191" s="52">
        <f>((Tabela2[[#This Row],[Peso Total Galho]]-(Tabela2[[#This Row],[Peso Pç]]*Tabela2[[#This Row],[Qdt Peça Placa]]))*0.9)</f>
        <v>2.1600000000000006</v>
      </c>
      <c r="F191" s="66"/>
      <c r="L191" s="6" t="s">
        <v>11</v>
      </c>
      <c r="M191" s="7">
        <f ca="1">VLOOKUP(Tabela2[[#This Row],[Tipo de Material]],Dados!$P$2:$Q$4,2,FALSE)</f>
        <v>17.600000000000001</v>
      </c>
      <c r="N191" s="80" t="s">
        <v>94</v>
      </c>
      <c r="O191" s="7"/>
    </row>
    <row r="192" spans="1:15">
      <c r="A192" s="6" t="s">
        <v>282</v>
      </c>
      <c r="B192" s="6">
        <v>18</v>
      </c>
      <c r="C192" s="49">
        <v>4.2000000000000003E-2</v>
      </c>
      <c r="D192" s="50">
        <v>2</v>
      </c>
      <c r="E192" s="52">
        <f>((Tabela2[[#This Row],[Peso Total Galho]]-(Tabela2[[#This Row],[Peso Pç]]*Tabela2[[#This Row],[Qdt Peça Placa]]))*0.9)</f>
        <v>1.1195999999999999</v>
      </c>
      <c r="F192" s="66"/>
      <c r="L192" s="6" t="s">
        <v>11</v>
      </c>
      <c r="M192" s="7">
        <f ca="1">VLOOKUP(Tabela2[[#This Row],[Tipo de Material]],Dados!$P$2:$Q$4,2,FALSE)</f>
        <v>17.600000000000001</v>
      </c>
      <c r="N192" s="80" t="s">
        <v>280</v>
      </c>
      <c r="O192" s="7"/>
    </row>
    <row r="193" spans="1:15">
      <c r="A193" s="6" t="s">
        <v>283</v>
      </c>
      <c r="B193" s="6">
        <v>8</v>
      </c>
      <c r="C193" s="49">
        <v>0.18</v>
      </c>
      <c r="D193" s="50">
        <v>2.2000000000000002</v>
      </c>
      <c r="E193" s="52">
        <f>((Tabela2[[#This Row],[Peso Total Galho]]-(Tabela2[[#This Row],[Peso Pç]]*Tabela2[[#This Row],[Qdt Peça Placa]]))*0.9)</f>
        <v>0.68400000000000027</v>
      </c>
      <c r="F193" s="66"/>
      <c r="L193" s="6" t="s">
        <v>11</v>
      </c>
      <c r="M193" s="7">
        <f ca="1">VLOOKUP(Tabela2[[#This Row],[Tipo de Material]],Dados!$P$2:$Q$4,2,FALSE)</f>
        <v>17.600000000000001</v>
      </c>
      <c r="N193" s="80" t="s">
        <v>122</v>
      </c>
      <c r="O193" s="7"/>
    </row>
    <row r="194" spans="1:15">
      <c r="A194" s="6" t="s">
        <v>284</v>
      </c>
      <c r="B194" s="6">
        <v>6</v>
      </c>
      <c r="C194" s="49">
        <v>0.19500000000000001</v>
      </c>
      <c r="D194" s="50">
        <v>2.0699999999999998</v>
      </c>
      <c r="E194" s="52">
        <f>((Tabela2[[#This Row],[Peso Total Galho]]-(Tabela2[[#This Row],[Peso Pç]]*Tabela2[[#This Row],[Qdt Peça Placa]]))*0.9)</f>
        <v>0.80999999999999994</v>
      </c>
      <c r="F194" s="6"/>
      <c r="L194" s="6" t="s">
        <v>14</v>
      </c>
      <c r="M194" s="7">
        <f ca="1">VLOOKUP(Tabela2[[#This Row],[Tipo de Material]],Dados!$P$2:$Q$4,2,FALSE)</f>
        <v>15.600000000000001</v>
      </c>
      <c r="N194" s="80" t="s">
        <v>79</v>
      </c>
      <c r="O194" s="7">
        <v>5</v>
      </c>
    </row>
    <row r="195" spans="1:15">
      <c r="A195" s="6" t="s">
        <v>285</v>
      </c>
      <c r="B195" s="6">
        <v>6</v>
      </c>
      <c r="C195" s="49">
        <v>0.19500000000000001</v>
      </c>
      <c r="D195" s="50">
        <v>2.0699999999999998</v>
      </c>
      <c r="E195" s="52">
        <f>((Tabela2[[#This Row],[Peso Total Galho]]-(Tabela2[[#This Row],[Peso Pç]]*Tabela2[[#This Row],[Qdt Peça Placa]]))*0.9)</f>
        <v>0.80999999999999994</v>
      </c>
      <c r="F195" s="6"/>
      <c r="L195" s="6" t="s">
        <v>14</v>
      </c>
      <c r="M195" s="7">
        <f ca="1">VLOOKUP(Tabela2[[#This Row],[Tipo de Material]],Dados!$P$2:$Q$4,2,FALSE)</f>
        <v>15.600000000000001</v>
      </c>
      <c r="N195" s="80" t="s">
        <v>79</v>
      </c>
      <c r="O195" s="7">
        <v>5</v>
      </c>
    </row>
    <row r="196" spans="1:15">
      <c r="A196" s="6" t="s">
        <v>286</v>
      </c>
      <c r="B196" s="6">
        <v>1</v>
      </c>
      <c r="C196" s="49">
        <v>2</v>
      </c>
      <c r="D196" s="50">
        <v>2.2000000000000002</v>
      </c>
      <c r="E196" s="52">
        <f>((Tabela2[[#This Row],[Peso Total Galho]]-(Tabela2[[#This Row],[Peso Pç]]*Tabela2[[#This Row],[Qdt Peça Placa]]))*0.9)</f>
        <v>0.18000000000000016</v>
      </c>
      <c r="F196" s="6"/>
      <c r="L196" s="6" t="s">
        <v>11</v>
      </c>
      <c r="M196" s="7">
        <f ca="1">VLOOKUP(Tabela2[[#This Row],[Tipo de Material]],Dados!$P$2:$Q$4,2,FALSE)</f>
        <v>17.600000000000001</v>
      </c>
      <c r="N196" s="80" t="s">
        <v>94</v>
      </c>
      <c r="O196" s="7"/>
    </row>
    <row r="197" spans="1:15">
      <c r="A197" s="6" t="s">
        <v>287</v>
      </c>
      <c r="B197" s="6">
        <v>1</v>
      </c>
      <c r="C197" s="49">
        <v>4</v>
      </c>
      <c r="D197" s="50">
        <v>4.4000000000000004</v>
      </c>
      <c r="E197" s="52">
        <f>((Tabela2[[#This Row],[Peso Total Galho]]-(Tabela2[[#This Row],[Peso Pç]]*Tabela2[[#This Row],[Qdt Peça Placa]]))*0.9)</f>
        <v>0.36000000000000032</v>
      </c>
      <c r="F197" s="6"/>
      <c r="L197" s="6" t="s">
        <v>11</v>
      </c>
      <c r="M197" s="7">
        <f ca="1">VLOOKUP(Tabela2[[#This Row],[Tipo de Material]],Dados!$P$2:$Q$4,2,FALSE)</f>
        <v>17.600000000000001</v>
      </c>
      <c r="N197" s="80" t="s">
        <v>94</v>
      </c>
      <c r="O197" s="7"/>
    </row>
    <row r="198" spans="1:15">
      <c r="A198" s="6" t="s">
        <v>288</v>
      </c>
      <c r="B198" s="6">
        <v>1</v>
      </c>
      <c r="C198" s="49">
        <v>2.5299999999999998</v>
      </c>
      <c r="D198" s="50">
        <v>4.4800000000000004</v>
      </c>
      <c r="E198" s="52">
        <f>((Tabela2[[#This Row],[Peso Total Galho]]-(Tabela2[[#This Row],[Peso Pç]]*Tabela2[[#This Row],[Qdt Peça Placa]]))*0.9)</f>
        <v>1.7550000000000006</v>
      </c>
      <c r="F198" s="6"/>
      <c r="L198" s="6" t="s">
        <v>11</v>
      </c>
      <c r="M198" s="7">
        <f ca="1">VLOOKUP(Tabela2[[#This Row],[Tipo de Material]],Dados!$P$2:$Q$4,2,FALSE)</f>
        <v>17.600000000000001</v>
      </c>
      <c r="N198" s="80" t="s">
        <v>289</v>
      </c>
      <c r="O198" s="7">
        <v>15</v>
      </c>
    </row>
    <row r="199" spans="1:15">
      <c r="A199" s="6" t="s">
        <v>290</v>
      </c>
      <c r="B199" s="6">
        <v>1</v>
      </c>
      <c r="C199" s="49">
        <v>1.2350000000000001</v>
      </c>
      <c r="D199" s="50">
        <v>2.1850000000000001</v>
      </c>
      <c r="E199" s="52">
        <f>((Tabela2[[#This Row],[Peso Total Galho]]-(Tabela2[[#This Row],[Peso Pç]]*Tabela2[[#This Row],[Qdt Peça Placa]]))*0.9)</f>
        <v>0.85499999999999998</v>
      </c>
      <c r="F199" s="6"/>
      <c r="L199" s="6" t="s">
        <v>11</v>
      </c>
      <c r="M199" s="7">
        <f ca="1">VLOOKUP(Tabela2[[#This Row],[Tipo de Material]],Dados!$P$2:$Q$4,2,FALSE)</f>
        <v>17.600000000000001</v>
      </c>
      <c r="N199" s="80" t="s">
        <v>289</v>
      </c>
      <c r="O199" s="7">
        <v>12</v>
      </c>
    </row>
    <row r="200" spans="1:15">
      <c r="A200" s="6" t="s">
        <v>291</v>
      </c>
      <c r="B200" s="6">
        <v>1</v>
      </c>
      <c r="C200" s="49">
        <v>2.4500000000000002</v>
      </c>
      <c r="D200" s="50">
        <v>3.2</v>
      </c>
      <c r="E200" s="52">
        <f>((Tabela2[[#This Row],[Peso Total Galho]]-(Tabela2[[#This Row],[Peso Pç]]*Tabela2[[#This Row],[Qdt Peça Placa]]))*0.9)</f>
        <v>0.67500000000000004</v>
      </c>
      <c r="F200" s="6"/>
      <c r="L200" s="6" t="s">
        <v>11</v>
      </c>
      <c r="M200" s="7">
        <f ca="1">VLOOKUP(Tabela2[[#This Row],[Tipo de Material]],Dados!$P$2:$Q$4,2,FALSE)</f>
        <v>17.600000000000001</v>
      </c>
      <c r="N200" s="80" t="s">
        <v>289</v>
      </c>
      <c r="O200" s="7">
        <v>12</v>
      </c>
    </row>
    <row r="201" spans="1:15">
      <c r="A201" s="6" t="s">
        <v>292</v>
      </c>
      <c r="B201" s="6">
        <v>2</v>
      </c>
      <c r="C201" s="49">
        <v>1.1000000000000001</v>
      </c>
      <c r="D201" s="50">
        <v>3.2</v>
      </c>
      <c r="E201" s="52">
        <f>((Tabela2[[#This Row],[Peso Total Galho]]-(Tabela2[[#This Row],[Peso Pç]]*Tabela2[[#This Row],[Qdt Peça Placa]]))*0.9)</f>
        <v>0.9</v>
      </c>
      <c r="F201" s="66"/>
      <c r="L201" s="6" t="s">
        <v>11</v>
      </c>
      <c r="M201" s="7">
        <f ca="1">VLOOKUP(Tabela2[[#This Row],[Tipo de Material]],Dados!$P$2:$Q$4,2,FALSE)</f>
        <v>17.600000000000001</v>
      </c>
      <c r="N201" s="80" t="s">
        <v>122</v>
      </c>
      <c r="O201" s="7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10153B-FE9D-444D-9617-928C5AD5E46D}">
          <x14:formula1>
            <xm:f>Dados!$P$2:$P$4</xm:f>
          </x14:formula1>
          <xm:sqref>L2:L151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CAAE-9FD2-434A-A520-02D042983EE7}">
  <sheetPr codeName="Planilha4"/>
  <dimension ref="A1:AP1391"/>
  <sheetViews>
    <sheetView tabSelected="1" zoomScale="85" zoomScaleNormal="85" workbookViewId="0">
      <pane ySplit="1" topLeftCell="A1373" activePane="bottomLeft" state="frozen"/>
      <selection pane="bottomLeft" activeCell="G1391" sqref="G1391"/>
    </sheetView>
  </sheetViews>
  <sheetFormatPr defaultRowHeight="15"/>
  <cols>
    <col min="1" max="1" width="10.85546875" style="69" bestFit="1" customWidth="1"/>
    <col min="2" max="2" width="45" style="6" customWidth="1"/>
    <col min="3" max="3" width="9.5703125" style="14" bestFit="1" customWidth="1"/>
    <col min="4" max="4" width="14.140625" style="6" bestFit="1" customWidth="1"/>
    <col min="5" max="5" width="12.42578125" style="6" bestFit="1" customWidth="1"/>
    <col min="8" max="8" width="9.85546875" style="6" bestFit="1" customWidth="1"/>
    <col min="9" max="9" width="10.5703125" style="17" bestFit="1" customWidth="1"/>
    <col min="10" max="10" width="12.140625" style="20" bestFit="1" customWidth="1"/>
    <col min="11" max="11" width="7.7109375" style="20" bestFit="1" customWidth="1"/>
    <col min="12" max="12" width="7" bestFit="1" customWidth="1"/>
    <col min="13" max="13" width="8.5703125" bestFit="1" customWidth="1"/>
    <col min="14" max="14" width="8.140625" bestFit="1" customWidth="1"/>
    <col min="15" max="15" width="7.7109375" bestFit="1" customWidth="1"/>
    <col min="16" max="16" width="7.85546875" bestFit="1" customWidth="1"/>
    <col min="17" max="17" width="7.85546875" style="55" bestFit="1" customWidth="1"/>
    <col min="18" max="18" width="9" style="41" customWidth="1"/>
    <col min="19" max="19" width="9" style="42" bestFit="1" customWidth="1"/>
    <col min="20" max="20" width="7.140625" style="42" bestFit="1" customWidth="1"/>
    <col min="21" max="21" width="10.5703125" style="42" bestFit="1" customWidth="1"/>
    <col min="22" max="22" width="10.85546875" style="42" bestFit="1" customWidth="1"/>
    <col min="23" max="25" width="12.140625" bestFit="1" customWidth="1"/>
    <col min="26" max="26" width="11.5703125" bestFit="1" customWidth="1"/>
    <col min="27" max="27" width="12.140625" bestFit="1" customWidth="1"/>
    <col min="28" max="28" width="13.28515625" bestFit="1" customWidth="1"/>
    <col min="29" max="29" width="9" bestFit="1" customWidth="1"/>
    <col min="30" max="30" width="7.7109375" style="20" bestFit="1" customWidth="1"/>
    <col min="31" max="31" width="10.28515625" style="20" bestFit="1" customWidth="1"/>
    <col min="32" max="32" width="8.28515625" style="20" bestFit="1" customWidth="1"/>
    <col min="33" max="33" width="10.85546875" style="20" bestFit="1" customWidth="1"/>
    <col min="34" max="34" width="11.140625" bestFit="1" customWidth="1"/>
    <col min="35" max="35" width="6.85546875" bestFit="1" customWidth="1"/>
    <col min="36" max="36" width="9.5703125" bestFit="1" customWidth="1"/>
    <col min="37" max="37" width="11.7109375" style="4" bestFit="1" customWidth="1"/>
    <col min="38" max="38" width="9.85546875" bestFit="1" customWidth="1"/>
    <col min="39" max="39" width="12.140625" bestFit="1" customWidth="1"/>
    <col min="40" max="41" width="12.140625" customWidth="1"/>
    <col min="42" max="42" width="12.140625" bestFit="1" customWidth="1"/>
    <col min="48" max="48" width="13.28515625" bestFit="1" customWidth="1"/>
  </cols>
  <sheetData>
    <row r="1" spans="1:42" s="2" customFormat="1" ht="32.25" customHeight="1">
      <c r="A1" s="68" t="s">
        <v>33</v>
      </c>
      <c r="B1" s="12" t="s">
        <v>293</v>
      </c>
      <c r="C1" s="11" t="s">
        <v>294</v>
      </c>
      <c r="D1" s="12" t="s">
        <v>45</v>
      </c>
      <c r="E1" s="12" t="s">
        <v>48</v>
      </c>
      <c r="F1" s="12" t="s">
        <v>295</v>
      </c>
      <c r="G1" s="13" t="s">
        <v>296</v>
      </c>
      <c r="H1" s="12" t="s">
        <v>297</v>
      </c>
      <c r="I1" s="46" t="s">
        <v>298</v>
      </c>
      <c r="J1" s="46" t="s">
        <v>299</v>
      </c>
      <c r="K1" s="2" t="s">
        <v>300</v>
      </c>
      <c r="L1" s="2" t="s">
        <v>301</v>
      </c>
      <c r="M1" s="2" t="s">
        <v>302</v>
      </c>
      <c r="N1" s="31" t="s">
        <v>303</v>
      </c>
      <c r="O1" s="32" t="s">
        <v>304</v>
      </c>
      <c r="P1" s="56" t="s">
        <v>305</v>
      </c>
      <c r="Q1" s="2" t="s">
        <v>306</v>
      </c>
      <c r="R1" s="2" t="s">
        <v>307</v>
      </c>
      <c r="S1" s="2" t="s">
        <v>308</v>
      </c>
      <c r="T1" s="2" t="s">
        <v>309</v>
      </c>
      <c r="U1" s="33" t="s">
        <v>310</v>
      </c>
      <c r="V1" s="33" t="s">
        <v>311</v>
      </c>
      <c r="W1" s="33" t="s">
        <v>312</v>
      </c>
      <c r="X1" s="33" t="s">
        <v>313</v>
      </c>
      <c r="Y1" s="34" t="s">
        <v>314</v>
      </c>
      <c r="Z1" s="33" t="s">
        <v>315</v>
      </c>
      <c r="AA1" s="2" t="s">
        <v>316</v>
      </c>
      <c r="AB1" s="2" t="s">
        <v>317</v>
      </c>
      <c r="AC1" s="2" t="s">
        <v>61</v>
      </c>
      <c r="AD1" s="2" t="s">
        <v>318</v>
      </c>
      <c r="AE1" s="2" t="s">
        <v>63</v>
      </c>
      <c r="AF1" s="2" t="s">
        <v>319</v>
      </c>
      <c r="AG1" s="2" t="s">
        <v>65</v>
      </c>
      <c r="AH1" s="2" t="s">
        <v>66</v>
      </c>
      <c r="AI1" s="2" t="s">
        <v>67</v>
      </c>
      <c r="AJ1" s="65" t="s">
        <v>320</v>
      </c>
      <c r="AK1" s="2" t="s">
        <v>73</v>
      </c>
      <c r="AL1" s="2" t="s">
        <v>321</v>
      </c>
      <c r="AM1" s="2" t="s">
        <v>322</v>
      </c>
      <c r="AN1" s="2" t="s">
        <v>323</v>
      </c>
      <c r="AO1" s="2" t="s">
        <v>324</v>
      </c>
      <c r="AP1" s="2" t="s">
        <v>325</v>
      </c>
    </row>
    <row r="2" spans="1:42">
      <c r="A2" s="9">
        <v>45691</v>
      </c>
      <c r="B2" s="6" t="s">
        <v>252</v>
      </c>
      <c r="C2" s="14">
        <v>5169</v>
      </c>
      <c r="D2" s="6" t="s">
        <v>46</v>
      </c>
      <c r="E2" s="6" t="s">
        <v>53</v>
      </c>
      <c r="F2" s="6">
        <v>30</v>
      </c>
      <c r="G2" s="15">
        <v>0.12291666666666666</v>
      </c>
      <c r="H2" s="16">
        <v>1</v>
      </c>
      <c r="I2" s="35">
        <f ca="1">IFERROR(Tabela3[[#This Row],[Custo Total]]/Tabela3[[#This Row],[Aluminio Util]],0)</f>
        <v>27.591322031848499</v>
      </c>
      <c r="J2" s="35">
        <f ca="1">Tabela3[[#This Row],[Custo Total]]/Tabela3[[#This Row],[Realizado]]</f>
        <v>35.868718641403049</v>
      </c>
      <c r="K2" s="37">
        <f>IFERROR(Tabela3[[#This Row],[Qtde Cx Produzida]]/Tabela3[[#This Row],[Tempo]]/24,0)</f>
        <v>10.169491525423728</v>
      </c>
      <c r="L2" s="37">
        <f>Tabela3[[#This Row],[Qtde Cx Produzida]]*Tabela3[[#This Row],[Qdt Peça Placa]]</f>
        <v>30</v>
      </c>
      <c r="M2" s="37">
        <f>Tabela3[[#This Row],[Previsto]]-Tabela3[[#This Row],[Perda Pçs]]</f>
        <v>29</v>
      </c>
      <c r="N2" s="38">
        <f>IFERROR(Tabela3[[#This Row],[Perda Pçs]]/Tabela3[[#This Row],[Previsto]],0)</f>
        <v>3.3333333333333333E-2</v>
      </c>
      <c r="O2" s="39">
        <f>IFERROR(IF(Tabela3[[#This Row],[Qtde Cx Produzida]] &lt;&gt; 0, Tabela3[[#This Row],[Tempo]] / Tabela3[[#This Row],[Qtde Cx Produzida]], 0),0)</f>
        <v>4.0972222222222217E-3</v>
      </c>
      <c r="P2" s="57">
        <f>IFERROR(Tabela3[[#This Row],[Perda Pçs]]/Tabela3[[#This Row],[Qdt Peça Placa]],0)</f>
        <v>1</v>
      </c>
      <c r="Q2" s="37">
        <f>IFERROR(Tabela3[[#This Row],[Realizado]]*Tabela3[[#This Row],[Peso Util/Pç]],0)</f>
        <v>37.700000000000003</v>
      </c>
      <c r="R2" s="37">
        <f>IFERROR(Tabela3[[#This Row],[Peso Total Galho]]*Tabela3[[#This Row],[Qtde Cx Produzida]]*1.055,0)</f>
        <v>64.882499999999993</v>
      </c>
      <c r="S2" s="37">
        <f>(Tabela3[[#This Row],[Aluminio Bruto]]-Tabela3[[#This Row],[Aluminio Util]])*0.9</f>
        <v>24.464249999999993</v>
      </c>
      <c r="T2" s="37">
        <f>Tabela3[[#This Row],[Aluminio Bruto]]/OleoKGAluminio</f>
        <v>27.295983857733486</v>
      </c>
      <c r="U2" s="35">
        <f>IFERROR((VLOOKUP(Tabela3[[#This Row],[Moldador]],Tabela1[],5,)+(VLOOKUP(Tabela3[[#This Row],[Ajudante]],Tabela1[],5,))*3.5),0)</f>
        <v>99.95034583333333</v>
      </c>
      <c r="V2" s="35">
        <f>IFERROR(Tabela3[[#This Row],[Custo M.O. / H]]/((Tabela3[[#This Row],[Realizado]]/Tabela3[[#This Row],[Qdt Peça Placa]])/Tabela3[[#This Row],[Tempo]]/24),)</f>
        <v>10.167362765804597</v>
      </c>
      <c r="W2" s="35">
        <f>Tabela3[[#This Row],[Custo / Cx Moldada]]*Tabela3[[#This Row],[Qtde Cx Produzida]]</f>
        <v>305.02088297413792</v>
      </c>
      <c r="X2" s="35">
        <f ca="1">Tabela3[[#This Row],[Aluminio Util]]*Tabela3[[#This Row],[Custo/Kg]]</f>
        <v>663.5200000000001</v>
      </c>
      <c r="Y2" s="35">
        <f>IFERROR(VLOOKUP(Tabela3[[#This Row],[Data]],Tabela461213[],2,1)*(Tabela3[[#This Row],[Qtde Cx Produzida]]*Tabela3[[#This Row],[Qde macho / CX]]*Tabela3[[#This Row],[Peso Macho]]),)</f>
        <v>0</v>
      </c>
      <c r="Z2" s="35">
        <f>IFERROR(Tabela3[[#This Row],[Qtde Oleo]]*(VLOOKUP(Tabela3[[#This Row],[Data]],CompraOleo[],3,TRUE))*1.05,0)</f>
        <v>71.651957626550399</v>
      </c>
      <c r="AA2" s="36">
        <f ca="1">(Tabela3[[#This Row],[Custo Oleo]]+Tabela3[[#This Row],[Custo Aluminio]]+Tabela3[[#This Row],[Custo M.O. Total]]+Tabela3[[#This Row],[Custo Machos]])</f>
        <v>1040.1928406006884</v>
      </c>
      <c r="AB2" s="36">
        <f ca="1">Tabela3[[#This Row],[Custo Total]]*Tabela3[[#This Row],[% Perda]]</f>
        <v>34.673094686689616</v>
      </c>
      <c r="AC2" s="40">
        <f>IFERROR(VLOOKUP(Tabela3[[#This Row],[Produto]],Tabela2[],2,0),0)</f>
        <v>1</v>
      </c>
      <c r="AD2" s="40">
        <f>IFERROR(VLOOKUP(Tabela3[[#This Row],[Produto]],Tabela2[],3,0),0)</f>
        <v>1.3</v>
      </c>
      <c r="AE2" s="40">
        <f>IFERROR(VLOOKUP(Tabela3[[#This Row],[Produto]],Tabela2[],4,0),0)</f>
        <v>2.0499999999999998</v>
      </c>
      <c r="AF2" s="40">
        <f>IFERROR(VLOOKUP(Tabela3[[#This Row],[Produto]],Tabela2[],5,0),0)</f>
        <v>0.67499999999999982</v>
      </c>
      <c r="AG2" s="40">
        <f>IFERROR(VLOOKUP(Tabela3[[#This Row],[Produto]],Tabela2[],6,0),0)</f>
        <v>0</v>
      </c>
      <c r="AH2" s="40">
        <f>IFERROR(VLOOKUP(Tabela3[[#This Row],[Produto]],Tabela2[],7,0),0)</f>
        <v>0</v>
      </c>
      <c r="AI2" s="40">
        <f>IFERROR(VLOOKUP(Tabela3[[#This Row],[Produto]],Tabela2[],8,0),0)</f>
        <v>0</v>
      </c>
      <c r="AJ2" s="35">
        <f ca="1">IFERROR(VLOOKUP(Tabela3[[#This Row],[Produto]],Tabela2[],13,0),0)</f>
        <v>17.600000000000001</v>
      </c>
      <c r="AK2" s="40" t="str">
        <f>IFERROR(VLOOKUP(Tabela3[[#This Row],[Produto]],Tabela2[],14,0),0)</f>
        <v>Protec</v>
      </c>
      <c r="AL2" s="40">
        <f>IFERROR(VLOOKUP(Tabela3[[#This Row],[Produto]],Tabela2[],15,0),0)</f>
        <v>0</v>
      </c>
      <c r="AM2" s="36">
        <f ca="1">(Tabela3[[#This Row],[Custo Usinagem]]+Tabela3[[#This Row],[Custo / Pç]])*1.2</f>
        <v>43.042462369683655</v>
      </c>
      <c r="AN2" s="36">
        <f ca="1">Tabela3[[#This Row],[Valor Mínimo Venda]]*1.15</f>
        <v>49.498831725136199</v>
      </c>
      <c r="AO2" s="36">
        <f ca="1">Tabela3[[#This Row],[Tabela 1]]*1.08</f>
        <v>53.458738263147097</v>
      </c>
      <c r="AP2" s="36">
        <f ca="1">Tabela3[[#This Row],[Tabela 2]]*1.15</f>
        <v>61.477549002619156</v>
      </c>
    </row>
    <row r="3" spans="1:42">
      <c r="A3" s="9">
        <v>45691</v>
      </c>
      <c r="B3" s="6" t="s">
        <v>252</v>
      </c>
      <c r="C3" s="14">
        <v>5169</v>
      </c>
      <c r="D3" s="6" t="s">
        <v>44</v>
      </c>
      <c r="E3" s="6" t="s">
        <v>47</v>
      </c>
      <c r="F3" s="6">
        <v>30</v>
      </c>
      <c r="G3" s="15">
        <v>0.125</v>
      </c>
      <c r="H3" s="16">
        <v>2</v>
      </c>
      <c r="I3" s="35">
        <f ca="1">IFERROR(Tabela3[[#This Row],[Custo Total]]/Tabela3[[#This Row],[Aluminio Util]],0)</f>
        <v>28.394530944410729</v>
      </c>
      <c r="J3" s="35">
        <f ca="1">Tabela3[[#This Row],[Custo Total]]/Tabela3[[#This Row],[Realizado]]</f>
        <v>36.912890227733946</v>
      </c>
      <c r="K3" s="37">
        <f>IFERROR(Tabela3[[#This Row],[Qtde Cx Produzida]]/Tabela3[[#This Row],[Tempo]]/24,0)</f>
        <v>10</v>
      </c>
      <c r="L3" s="37">
        <f>Tabela3[[#This Row],[Qtde Cx Produzida]]*Tabela3[[#This Row],[Qdt Peça Placa]]</f>
        <v>30</v>
      </c>
      <c r="M3" s="37">
        <f>Tabela3[[#This Row],[Previsto]]-Tabela3[[#This Row],[Perda Pçs]]</f>
        <v>28</v>
      </c>
      <c r="N3" s="38">
        <f>IFERROR(Tabela3[[#This Row],[Perda Pçs]]/Tabela3[[#This Row],[Previsto]],0)</f>
        <v>6.6666666666666666E-2</v>
      </c>
      <c r="O3" s="39">
        <f>IFERROR(IF(Tabela3[[#This Row],[Qtde Cx Produzida]] &lt;&gt; 0, Tabela3[[#This Row],[Tempo]] / Tabela3[[#This Row],[Qtde Cx Produzida]], 0),0)</f>
        <v>4.1666666666666666E-3</v>
      </c>
      <c r="P3" s="57">
        <f>IFERROR(Tabela3[[#This Row],[Perda Pçs]]/Tabela3[[#This Row],[Qdt Peça Placa]],0)</f>
        <v>2</v>
      </c>
      <c r="Q3" s="37">
        <f>IFERROR(Tabela3[[#This Row],[Realizado]]*Tabela3[[#This Row],[Peso Util/Pç]],0)</f>
        <v>36.4</v>
      </c>
      <c r="R3" s="37">
        <f>IFERROR(Tabela3[[#This Row],[Peso Total Galho]]*Tabela3[[#This Row],[Qtde Cx Produzida]]*1.055,0)</f>
        <v>64.882499999999993</v>
      </c>
      <c r="S3" s="37">
        <f>(Tabela3[[#This Row],[Aluminio Bruto]]-Tabela3[[#This Row],[Aluminio Util]])*0.9</f>
        <v>25.634249999999994</v>
      </c>
      <c r="T3" s="37">
        <f>Tabela3[[#This Row],[Aluminio Bruto]]/OleoKGAluminio</f>
        <v>27.295983857733486</v>
      </c>
      <c r="U3" s="35">
        <f>IFERROR((VLOOKUP(Tabela3[[#This Row],[Moldador]],Tabela1[],5,)+(VLOOKUP(Tabela3[[#This Row],[Ajudante]],Tabela1[],5,))*3.5),0)</f>
        <v>99.95034583333333</v>
      </c>
      <c r="V3" s="35">
        <f>IFERROR(Tabela3[[#This Row],[Custo M.O. / H]]/((Tabela3[[#This Row],[Realizado]]/Tabela3[[#This Row],[Qdt Peça Placa]])/Tabela3[[#This Row],[Tempo]]/24),)</f>
        <v>10.708965624999999</v>
      </c>
      <c r="W3" s="35">
        <f>Tabela3[[#This Row],[Custo / Cx Moldada]]*Tabela3[[#This Row],[Qtde Cx Produzida]]</f>
        <v>321.26896875</v>
      </c>
      <c r="X3" s="35">
        <f ca="1">Tabela3[[#This Row],[Aluminio Util]]*Tabela3[[#This Row],[Custo/Kg]]</f>
        <v>640.64</v>
      </c>
      <c r="Y3" s="35">
        <f>IFERROR(VLOOKUP(Tabela3[[#This Row],[Data]],Tabela461213[],2,1)*(Tabela3[[#This Row],[Qtde Cx Produzida]]*Tabela3[[#This Row],[Qde macho / CX]]*Tabela3[[#This Row],[Peso Macho]]),)</f>
        <v>0</v>
      </c>
      <c r="Z3" s="35">
        <f>IFERROR(Tabela3[[#This Row],[Qtde Oleo]]*(VLOOKUP(Tabela3[[#This Row],[Data]],CompraOleo[],3,TRUE))*1.05,0)</f>
        <v>71.651957626550399</v>
      </c>
      <c r="AA3" s="47">
        <f ca="1">(Tabela3[[#This Row],[Custo Oleo]]+Tabela3[[#This Row],[Custo Aluminio]]+Tabela3[[#This Row],[Custo M.O. Total]]+Tabela3[[#This Row],[Custo Machos]])</f>
        <v>1033.5609263765505</v>
      </c>
      <c r="AB3" s="47">
        <f ca="1">Tabela3[[#This Row],[Custo Total]]*Tabela3[[#This Row],[% Perda]]</f>
        <v>68.904061758436697</v>
      </c>
      <c r="AC3" s="40">
        <f>IFERROR(VLOOKUP(Tabela3[[#This Row],[Produto]],Tabela2[],2,0),0)</f>
        <v>1</v>
      </c>
      <c r="AD3" s="40">
        <f>IFERROR(VLOOKUP(Tabela3[[#This Row],[Produto]],Tabela2[],3,0),0)</f>
        <v>1.3</v>
      </c>
      <c r="AE3" s="40">
        <f>IFERROR(VLOOKUP(Tabela3[[#This Row],[Produto]],Tabela2[],4,0),0)</f>
        <v>2.0499999999999998</v>
      </c>
      <c r="AF3" s="40">
        <f>IFERROR(VLOOKUP(Tabela3[[#This Row],[Produto]],Tabela2[],5,0),0)</f>
        <v>0.67499999999999982</v>
      </c>
      <c r="AG3" s="40">
        <f>IFERROR(VLOOKUP(Tabela3[[#This Row],[Produto]],Tabela2[],6,0),0)</f>
        <v>0</v>
      </c>
      <c r="AH3" s="40">
        <f>IFERROR(VLOOKUP(Tabela3[[#This Row],[Produto]],Tabela2[],7,0),0)</f>
        <v>0</v>
      </c>
      <c r="AI3" s="40">
        <f>IFERROR(VLOOKUP(Tabela3[[#This Row],[Produto]],Tabela2[],8,0),0)</f>
        <v>0</v>
      </c>
      <c r="AJ3" s="35">
        <f ca="1">IFERROR(VLOOKUP(Tabela3[[#This Row],[Produto]],Tabela2[],13,0),0)</f>
        <v>17.600000000000001</v>
      </c>
      <c r="AK3" s="40" t="str">
        <f>IFERROR(VLOOKUP(Tabela3[[#This Row],[Produto]],Tabela2[],14,0),0)</f>
        <v>Protec</v>
      </c>
      <c r="AL3" s="40">
        <f>IFERROR(VLOOKUP(Tabela3[[#This Row],[Produto]],Tabela2[],15,0),0)</f>
        <v>0</v>
      </c>
      <c r="AM3" s="36">
        <f ca="1">(Tabela3[[#This Row],[Custo Usinagem]]+Tabela3[[#This Row],[Custo / Pç]])*1.2</f>
        <v>44.295468273280733</v>
      </c>
      <c r="AN3" s="36">
        <f ca="1">Tabela3[[#This Row],[Valor Mínimo Venda]]*1.15</f>
        <v>50.939788514272841</v>
      </c>
      <c r="AO3" s="36">
        <f ca="1">Tabela3[[#This Row],[Tabela 1]]*1.08</f>
        <v>55.014971595414671</v>
      </c>
      <c r="AP3" s="36">
        <f ca="1">Tabela3[[#This Row],[Tabela 2]]*1.15</f>
        <v>63.267217334726865</v>
      </c>
    </row>
    <row r="4" spans="1:42">
      <c r="A4" s="9">
        <v>45691</v>
      </c>
      <c r="B4" s="6" t="s">
        <v>236</v>
      </c>
      <c r="C4" s="14">
        <v>5309</v>
      </c>
      <c r="D4" s="6" t="s">
        <v>46</v>
      </c>
      <c r="E4" s="6" t="s">
        <v>53</v>
      </c>
      <c r="F4" s="6">
        <v>40</v>
      </c>
      <c r="G4" s="15">
        <v>0.17847222222222223</v>
      </c>
      <c r="H4" s="16">
        <v>10</v>
      </c>
      <c r="I4" s="35">
        <f ca="1">IFERROR(Tabela3[[#This Row],[Custo Total]]/Tabela3[[#This Row],[Aluminio Util]],0)</f>
        <v>23.475381923847319</v>
      </c>
      <c r="J4" s="35">
        <f ca="1">Tabela3[[#This Row],[Custo Total]]/Tabela3[[#This Row],[Realizado]]</f>
        <v>7.0895653410018893</v>
      </c>
      <c r="K4" s="37">
        <f>IFERROR(Tabela3[[#This Row],[Qtde Cx Produzida]]/Tabela3[[#This Row],[Tempo]]/24,0)</f>
        <v>9.3385214007782107</v>
      </c>
      <c r="L4" s="37">
        <f>Tabela3[[#This Row],[Qtde Cx Produzida]]*Tabela3[[#This Row],[Qdt Peça Placa]]</f>
        <v>240</v>
      </c>
      <c r="M4" s="37">
        <f>Tabela3[[#This Row],[Previsto]]-Tabela3[[#This Row],[Perda Pçs]]</f>
        <v>230</v>
      </c>
      <c r="N4" s="38">
        <f>IFERROR(Tabela3[[#This Row],[Perda Pçs]]/Tabela3[[#This Row],[Previsto]],0)</f>
        <v>4.1666666666666664E-2</v>
      </c>
      <c r="O4" s="39">
        <f>IFERROR(IF(Tabela3[[#This Row],[Qtde Cx Produzida]] &lt;&gt; 0, Tabela3[[#This Row],[Tempo]] / Tabela3[[#This Row],[Qtde Cx Produzida]], 0),0)</f>
        <v>4.4618055555555557E-3</v>
      </c>
      <c r="P4" s="57">
        <f>IFERROR(Tabela3[[#This Row],[Perda Pçs]]/Tabela3[[#This Row],[Qdt Peça Placa]],0)</f>
        <v>1.6666666666666667</v>
      </c>
      <c r="Q4" s="37">
        <f>IFERROR(Tabela3[[#This Row],[Realizado]]*Tabela3[[#This Row],[Peso Util/Pç]],0)</f>
        <v>69.459999999999994</v>
      </c>
      <c r="R4" s="37">
        <f>IFERROR(Tabela3[[#This Row],[Peso Total Galho]]*Tabela3[[#This Row],[Qtde Cx Produzida]]*1.055,0)</f>
        <v>90.814400000000006</v>
      </c>
      <c r="S4" s="37">
        <f>(Tabela3[[#This Row],[Aluminio Bruto]]-Tabela3[[#This Row],[Aluminio Util]])*0.9</f>
        <v>19.218960000000013</v>
      </c>
      <c r="T4" s="37">
        <f>Tabela3[[#This Row],[Aluminio Bruto]]/OleoKGAluminio</f>
        <v>38.205500658108924</v>
      </c>
      <c r="U4" s="35">
        <f>IFERROR((VLOOKUP(Tabela3[[#This Row],[Moldador]],Tabela1[],5,)+(VLOOKUP(Tabela3[[#This Row],[Ajudante]],Tabela1[],5,))*3.5),0)</f>
        <v>99.95034583333333</v>
      </c>
      <c r="V4" s="35">
        <f>IFERROR(Tabela3[[#This Row],[Custo M.O. / H]]/((Tabela3[[#This Row],[Realizado]]/Tabela3[[#This Row],[Qdt Peça Placa]])/Tabela3[[#This Row],[Tempo]]/24),)</f>
        <v>11.168364730072463</v>
      </c>
      <c r="W4" s="35">
        <f>Tabela3[[#This Row],[Custo / Cx Moldada]]*Tabela3[[#This Row],[Qtde Cx Produzida]]</f>
        <v>446.73458920289852</v>
      </c>
      <c r="X4" s="35">
        <f ca="1">Tabela3[[#This Row],[Aluminio Util]]*Tabela3[[#This Row],[Custo/Kg]]</f>
        <v>1083.576</v>
      </c>
      <c r="Y4" s="35">
        <f>IFERROR(VLOOKUP(Tabela3[[#This Row],[Data]],Tabela461213[],2,1)*(Tabela3[[#This Row],[Qtde Cx Produzida]]*Tabela3[[#This Row],[Qde macho / CX]]*Tabela3[[#This Row],[Peso Macho]]),)</f>
        <v>0</v>
      </c>
      <c r="Z4" s="35">
        <f>IFERROR(Tabela3[[#This Row],[Qtde Oleo]]*(VLOOKUP(Tabela3[[#This Row],[Data]],CompraOleo[],3,TRUE))*1.05,0)</f>
        <v>100.28943922753592</v>
      </c>
      <c r="AA4" s="47">
        <f ca="1">(Tabela3[[#This Row],[Custo Oleo]]+Tabela3[[#This Row],[Custo Aluminio]]+Tabela3[[#This Row],[Custo M.O. Total]]+Tabela3[[#This Row],[Custo Machos]])</f>
        <v>1630.6000284304346</v>
      </c>
      <c r="AB4" s="47">
        <f ca="1">Tabela3[[#This Row],[Custo Total]]*Tabela3[[#This Row],[% Perda]]</f>
        <v>67.941667851268107</v>
      </c>
      <c r="AC4" s="48">
        <f>IFERROR(VLOOKUP(Tabela3[[#This Row],[Produto]],Tabela2[],2,0),0)</f>
        <v>6</v>
      </c>
      <c r="AD4" s="48">
        <f>IFERROR(VLOOKUP(Tabela3[[#This Row],[Produto]],Tabela2[],3,0),0)</f>
        <v>0.30199999999999999</v>
      </c>
      <c r="AE4" s="48">
        <f>IFERROR(VLOOKUP(Tabela3[[#This Row],[Produto]],Tabela2[],4,0),0)</f>
        <v>2.1520000000000001</v>
      </c>
      <c r="AF4" s="48">
        <f>IFERROR(VLOOKUP(Tabela3[[#This Row],[Produto]],Tabela2[],5,0),0)</f>
        <v>0.30600000000000027</v>
      </c>
      <c r="AG4" s="40">
        <f>IFERROR(VLOOKUP(Tabela3[[#This Row],[Produto]],Tabela2[],6,0),0)</f>
        <v>0</v>
      </c>
      <c r="AH4" s="40">
        <f>IFERROR(VLOOKUP(Tabela3[[#This Row],[Produto]],Tabela2[],7,0),0)</f>
        <v>0</v>
      </c>
      <c r="AI4" s="40">
        <f>IFERROR(VLOOKUP(Tabela3[[#This Row],[Produto]],Tabela2[],8,0),0)</f>
        <v>0</v>
      </c>
      <c r="AJ4" s="35">
        <f ca="1">IFERROR(VLOOKUP(Tabela3[[#This Row],[Produto]],Tabela2[],13,0),0)</f>
        <v>15.600000000000001</v>
      </c>
      <c r="AK4" s="40" t="str">
        <f>IFERROR(VLOOKUP(Tabela3[[#This Row],[Produto]],Tabela2[],14,0),0)</f>
        <v>Senun</v>
      </c>
      <c r="AL4" s="40">
        <f>IFERROR(VLOOKUP(Tabela3[[#This Row],[Produto]],Tabela2[],15,0),0)</f>
        <v>4</v>
      </c>
      <c r="AM4" s="36">
        <f ca="1">(Tabela3[[#This Row],[Custo Usinagem]]+Tabela3[[#This Row],[Custo / Pç]])*1.2</f>
        <v>13.307478409202268</v>
      </c>
      <c r="AN4" s="36">
        <f ca="1">Tabela3[[#This Row],[Valor Mínimo Venda]]*1.15</f>
        <v>15.303600170582607</v>
      </c>
      <c r="AO4" s="36">
        <f ca="1">Tabela3[[#This Row],[Tabela 1]]*1.08</f>
        <v>16.527888184229216</v>
      </c>
      <c r="AP4" s="36">
        <f ca="1">Tabela3[[#This Row],[Tabela 2]]*1.15</f>
        <v>19.007071411863596</v>
      </c>
    </row>
    <row r="5" spans="1:42">
      <c r="A5" s="9">
        <v>45691</v>
      </c>
      <c r="B5" s="6" t="s">
        <v>135</v>
      </c>
      <c r="C5" s="14">
        <v>5223</v>
      </c>
      <c r="D5" s="6" t="s">
        <v>44</v>
      </c>
      <c r="E5" s="6" t="s">
        <v>47</v>
      </c>
      <c r="F5" s="6">
        <v>20</v>
      </c>
      <c r="G5" s="15">
        <v>9.8611111111111108E-2</v>
      </c>
      <c r="H5" s="16">
        <v>1</v>
      </c>
      <c r="I5" s="35">
        <f ca="1">IFERROR(Tabela3[[#This Row],[Custo Total]]/Tabela3[[#This Row],[Aluminio Util]],0)</f>
        <v>27.542986753499818</v>
      </c>
      <c r="J5" s="35">
        <f ca="1">Tabela3[[#This Row],[Custo Total]]/Tabela3[[#This Row],[Realizado]]</f>
        <v>48.751086553694684</v>
      </c>
      <c r="K5" s="37">
        <f>IFERROR(Tabela3[[#This Row],[Qtde Cx Produzida]]/Tabela3[[#This Row],[Tempo]]/24,0)</f>
        <v>8.4507042253521139</v>
      </c>
      <c r="L5" s="37">
        <f>Tabela3[[#This Row],[Qtde Cx Produzida]]*Tabela3[[#This Row],[Qdt Peça Placa]]</f>
        <v>20</v>
      </c>
      <c r="M5" s="37">
        <f>Tabela3[[#This Row],[Previsto]]-Tabela3[[#This Row],[Perda Pçs]]</f>
        <v>19</v>
      </c>
      <c r="N5" s="38">
        <f>IFERROR(Tabela3[[#This Row],[Perda Pçs]]/Tabela3[[#This Row],[Previsto]],0)</f>
        <v>0.05</v>
      </c>
      <c r="O5" s="39">
        <f>IFERROR(IF(Tabela3[[#This Row],[Qtde Cx Produzida]] &lt;&gt; 0, Tabela3[[#This Row],[Tempo]] / Tabela3[[#This Row],[Qtde Cx Produzida]], 0),0)</f>
        <v>4.9305555555555552E-3</v>
      </c>
      <c r="P5" s="57">
        <f>IFERROR(Tabela3[[#This Row],[Perda Pçs]]/Tabela3[[#This Row],[Qdt Peça Placa]],0)</f>
        <v>1</v>
      </c>
      <c r="Q5" s="37">
        <f>IFERROR(Tabela3[[#This Row],[Realizado]]*Tabela3[[#This Row],[Peso Util/Pç]],0)</f>
        <v>33.630000000000003</v>
      </c>
      <c r="R5" s="37">
        <f>IFERROR(Tabela3[[#This Row],[Peso Total Galho]]*Tabela3[[#This Row],[Qtde Cx Produzida]]*1.055,0)</f>
        <v>66.042999999999992</v>
      </c>
      <c r="S5" s="37">
        <f>(Tabela3[[#This Row],[Aluminio Bruto]]-Tabela3[[#This Row],[Aluminio Util]])*0.9</f>
        <v>29.171699999999991</v>
      </c>
      <c r="T5" s="37">
        <f>Tabela3[[#This Row],[Aluminio Bruto]]/OleoKGAluminio</f>
        <v>27.784204707221399</v>
      </c>
      <c r="U5" s="35">
        <f>IFERROR((VLOOKUP(Tabela3[[#This Row],[Moldador]],Tabela1[],5,)+(VLOOKUP(Tabela3[[#This Row],[Ajudante]],Tabela1[],5,))*3.5),0)</f>
        <v>99.95034583333333</v>
      </c>
      <c r="V5" s="35">
        <f>IFERROR(Tabela3[[#This Row],[Custo M.O. / H]]/((Tabela3[[#This Row],[Realizado]]/Tabela3[[#This Row],[Qdt Peça Placa]])/Tabela3[[#This Row],[Tempo]]/24),)</f>
        <v>12.449955358187133</v>
      </c>
      <c r="W5" s="35">
        <f>Tabela3[[#This Row],[Custo / Cx Moldada]]*Tabela3[[#This Row],[Qtde Cx Produzida]]</f>
        <v>248.99910716374265</v>
      </c>
      <c r="X5" s="35">
        <f ca="1">Tabela3[[#This Row],[Aluminio Util]]*Tabela3[[#This Row],[Custo/Kg]]</f>
        <v>524.62800000000004</v>
      </c>
      <c r="Y5" s="35">
        <f>IFERROR(VLOOKUP(Tabela3[[#This Row],[Data]],Tabela461213[],2,1)*(Tabela3[[#This Row],[Qtde Cx Produzida]]*Tabela3[[#This Row],[Qde macho / CX]]*Tabela3[[#This Row],[Peso Macho]]),)</f>
        <v>79.710000000000008</v>
      </c>
      <c r="Z5" s="35">
        <f>IFERROR(Tabela3[[#This Row],[Qtde Oleo]]*(VLOOKUP(Tabela3[[#This Row],[Data]],CompraOleo[],3,TRUE))*1.05,0)</f>
        <v>72.933537356456171</v>
      </c>
      <c r="AA5" s="47">
        <f ca="1">(Tabela3[[#This Row],[Custo Oleo]]+Tabela3[[#This Row],[Custo Aluminio]]+Tabela3[[#This Row],[Custo M.O. Total]]+Tabela3[[#This Row],[Custo Machos]])</f>
        <v>926.27064452019897</v>
      </c>
      <c r="AB5" s="47">
        <f ca="1">Tabela3[[#This Row],[Custo Total]]*Tabela3[[#This Row],[% Perda]]</f>
        <v>46.313532226009954</v>
      </c>
      <c r="AC5" s="48">
        <f>IFERROR(VLOOKUP(Tabela3[[#This Row],[Produto]],Tabela2[],2,0),0)</f>
        <v>1</v>
      </c>
      <c r="AD5" s="48">
        <f>IFERROR(VLOOKUP(Tabela3[[#This Row],[Produto]],Tabela2[],3,0),0)</f>
        <v>1.77</v>
      </c>
      <c r="AE5" s="48">
        <f>IFERROR(VLOOKUP(Tabela3[[#This Row],[Produto]],Tabela2[],4,0),0)</f>
        <v>3.13</v>
      </c>
      <c r="AF5" s="48">
        <f>IFERROR(VLOOKUP(Tabela3[[#This Row],[Produto]],Tabela2[],5,0),0)</f>
        <v>1.224</v>
      </c>
      <c r="AG5" s="40">
        <f>IFERROR(VLOOKUP(Tabela3[[#This Row],[Produto]],Tabela2[],6,0),0)</f>
        <v>0</v>
      </c>
      <c r="AH5" s="40">
        <f>IFERROR(VLOOKUP(Tabela3[[#This Row],[Produto]],Tabela2[],7,0),0)</f>
        <v>1</v>
      </c>
      <c r="AI5" s="40">
        <f>IFERROR(VLOOKUP(Tabela3[[#This Row],[Produto]],Tabela2[],8,0),0)</f>
        <v>2.657</v>
      </c>
      <c r="AJ5" s="35">
        <f ca="1">IFERROR(VLOOKUP(Tabela3[[#This Row],[Produto]],Tabela2[],13,0),0)</f>
        <v>15.600000000000001</v>
      </c>
      <c r="AK5" s="40" t="str">
        <f>IFERROR(VLOOKUP(Tabela3[[#This Row],[Produto]],Tabela2[],14,0),0)</f>
        <v>Jumil</v>
      </c>
      <c r="AL5" s="40">
        <f>IFERROR(VLOOKUP(Tabela3[[#This Row],[Produto]],Tabela2[],15,0),0)</f>
        <v>10</v>
      </c>
      <c r="AM5" s="36">
        <f ca="1">(Tabela3[[#This Row],[Custo Usinagem]]+Tabela3[[#This Row],[Custo / Pç]])*1.2</f>
        <v>70.501303864433623</v>
      </c>
      <c r="AN5" s="36">
        <f ca="1">Tabela3[[#This Row],[Valor Mínimo Venda]]*1.15</f>
        <v>81.076499444098658</v>
      </c>
      <c r="AO5" s="36">
        <f ca="1">Tabela3[[#This Row],[Tabela 1]]*1.08</f>
        <v>87.562619399626556</v>
      </c>
      <c r="AP5" s="36">
        <f ca="1">Tabela3[[#This Row],[Tabela 2]]*1.15</f>
        <v>100.69701230957052</v>
      </c>
    </row>
    <row r="6" spans="1:42">
      <c r="A6" s="9">
        <v>45692</v>
      </c>
      <c r="B6" s="6" t="s">
        <v>124</v>
      </c>
      <c r="C6" s="14">
        <v>5295</v>
      </c>
      <c r="D6" s="6" t="s">
        <v>46</v>
      </c>
      <c r="E6" s="6" t="s">
        <v>53</v>
      </c>
      <c r="F6" s="6">
        <v>10</v>
      </c>
      <c r="G6" s="15">
        <v>3.4027777777777775E-2</v>
      </c>
      <c r="H6" s="16">
        <v>0</v>
      </c>
      <c r="I6" s="35">
        <f ca="1">IFERROR(Tabela3[[#This Row],[Custo Total]]/Tabela3[[#This Row],[Aluminio Util]],0)</f>
        <v>22.491229761401865</v>
      </c>
      <c r="J6" s="35">
        <f ca="1">Tabela3[[#This Row],[Custo Total]]/Tabela3[[#This Row],[Realizado]]</f>
        <v>38.010178296769148</v>
      </c>
      <c r="K6" s="37">
        <f>IFERROR(Tabela3[[#This Row],[Qtde Cx Produzida]]/Tabela3[[#This Row],[Tempo]]/24,0)</f>
        <v>12.244897959183675</v>
      </c>
      <c r="L6" s="37">
        <f>Tabela3[[#This Row],[Qtde Cx Produzida]]*Tabela3[[#This Row],[Qdt Peça Placa]]</f>
        <v>10</v>
      </c>
      <c r="M6" s="37">
        <f>Tabela3[[#This Row],[Previsto]]-Tabela3[[#This Row],[Perda Pçs]]</f>
        <v>10</v>
      </c>
      <c r="N6" s="38">
        <f>IFERROR(Tabela3[[#This Row],[Perda Pçs]]/Tabela3[[#This Row],[Previsto]],0)</f>
        <v>0</v>
      </c>
      <c r="O6" s="39">
        <f>IFERROR(IF(Tabela3[[#This Row],[Qtde Cx Produzida]] &lt;&gt; 0, Tabela3[[#This Row],[Tempo]] / Tabela3[[#This Row],[Qtde Cx Produzida]], 0),0)</f>
        <v>3.4027777777777776E-3</v>
      </c>
      <c r="P6" s="57">
        <f>IFERROR(Tabela3[[#This Row],[Perda Pçs]]/Tabela3[[#This Row],[Qdt Peça Placa]],0)</f>
        <v>0</v>
      </c>
      <c r="Q6" s="37">
        <f>IFERROR(Tabela3[[#This Row],[Realizado]]*Tabela3[[#This Row],[Peso Util/Pç]],0)</f>
        <v>16.899999999999999</v>
      </c>
      <c r="R6" s="37">
        <f>IFERROR(Tabela3[[#This Row],[Peso Total Galho]]*Tabela3[[#This Row],[Qtde Cx Produzida]]*1.055,0)</f>
        <v>31.544499999999999</v>
      </c>
      <c r="S6" s="37">
        <f>(Tabela3[[#This Row],[Aluminio Bruto]]-Tabela3[[#This Row],[Aluminio Util]])*0.9</f>
        <v>13.180050000000001</v>
      </c>
      <c r="T6" s="37">
        <f>Tabela3[[#This Row],[Aluminio Bruto]]/OleoKGAluminio</f>
        <v>13.270730363353353</v>
      </c>
      <c r="U6" s="35">
        <f>IFERROR((VLOOKUP(Tabela3[[#This Row],[Moldador]],Tabela1[],5,)+(VLOOKUP(Tabela3[[#This Row],[Ajudante]],Tabela1[],5,))*3.5),0)</f>
        <v>99.95034583333333</v>
      </c>
      <c r="V6" s="35">
        <f>IFERROR(Tabela3[[#This Row],[Custo M.O. / H]]/((Tabela3[[#This Row],[Realizado]]/Tabela3[[#This Row],[Qdt Peça Placa]])/Tabela3[[#This Row],[Tempo]]/24),)</f>
        <v>8.1626115763888887</v>
      </c>
      <c r="W6" s="35">
        <f>Tabela3[[#This Row],[Custo / Cx Moldada]]*Tabela3[[#This Row],[Qtde Cx Produzida]]</f>
        <v>81.62611576388889</v>
      </c>
      <c r="X6" s="35">
        <f ca="1">Tabela3[[#This Row],[Aluminio Util]]*Tabela3[[#This Row],[Custo/Kg]]</f>
        <v>263.64</v>
      </c>
      <c r="Y6" s="35">
        <f>IFERROR(VLOOKUP(Tabela3[[#This Row],[Data]],Tabela461213[],2,1)*(Tabela3[[#This Row],[Qtde Cx Produzida]]*Tabela3[[#This Row],[Qde macho / CX]]*Tabela3[[#This Row],[Peso Macho]]),)</f>
        <v>0</v>
      </c>
      <c r="Z6" s="35">
        <f>IFERROR(Tabela3[[#This Row],[Qtde Oleo]]*(VLOOKUP(Tabela3[[#This Row],[Data]],CompraOleo[],3,TRUE))*1.05,0)</f>
        <v>34.835667203802558</v>
      </c>
      <c r="AA6" s="47">
        <f ca="1">(Tabela3[[#This Row],[Custo Oleo]]+Tabela3[[#This Row],[Custo Aluminio]]+Tabela3[[#This Row],[Custo M.O. Total]]+Tabela3[[#This Row],[Custo Machos]])</f>
        <v>380.10178296769146</v>
      </c>
      <c r="AB6" s="47">
        <f ca="1">Tabela3[[#This Row],[Custo Total]]*Tabela3[[#This Row],[% Perda]]</f>
        <v>0</v>
      </c>
      <c r="AC6" s="48">
        <f>IFERROR(VLOOKUP(Tabela3[[#This Row],[Produto]],Tabela2[],2,0),0)</f>
        <v>1</v>
      </c>
      <c r="AD6" s="48">
        <f>IFERROR(VLOOKUP(Tabela3[[#This Row],[Produto]],Tabela2[],3,0),0)</f>
        <v>1.69</v>
      </c>
      <c r="AE6" s="48">
        <f>IFERROR(VLOOKUP(Tabela3[[#This Row],[Produto]],Tabela2[],4,0),0)</f>
        <v>2.99</v>
      </c>
      <c r="AF6" s="48">
        <f>IFERROR(VLOOKUP(Tabela3[[#This Row],[Produto]],Tabela2[],5,0),0)</f>
        <v>1.1700000000000004</v>
      </c>
      <c r="AG6" s="40">
        <f>IFERROR(VLOOKUP(Tabela3[[#This Row],[Produto]],Tabela2[],6,0),0)</f>
        <v>0</v>
      </c>
      <c r="AH6" s="40">
        <f>IFERROR(VLOOKUP(Tabela3[[#This Row],[Produto]],Tabela2[],7,0),0)</f>
        <v>0</v>
      </c>
      <c r="AI6" s="40">
        <f>IFERROR(VLOOKUP(Tabela3[[#This Row],[Produto]],Tabela2[],8,0),0)</f>
        <v>0</v>
      </c>
      <c r="AJ6" s="35">
        <f ca="1">IFERROR(VLOOKUP(Tabela3[[#This Row],[Produto]],Tabela2[],13,0),0)</f>
        <v>15.600000000000001</v>
      </c>
      <c r="AK6" s="40" t="str">
        <f>IFERROR(VLOOKUP(Tabela3[[#This Row],[Produto]],Tabela2[],14,0),0)</f>
        <v>Jumil</v>
      </c>
      <c r="AL6" s="40">
        <f>IFERROR(VLOOKUP(Tabela3[[#This Row],[Produto]],Tabela2[],15,0),0)</f>
        <v>8</v>
      </c>
      <c r="AM6" s="36">
        <f ca="1">(Tabela3[[#This Row],[Custo Usinagem]]+Tabela3[[#This Row],[Custo / Pç]])*1.2</f>
        <v>55.212213956122973</v>
      </c>
      <c r="AN6" s="36">
        <f ca="1">Tabela3[[#This Row],[Valor Mínimo Venda]]*1.15</f>
        <v>63.494046049541417</v>
      </c>
      <c r="AO6" s="36">
        <f ca="1">Tabela3[[#This Row],[Tabela 1]]*1.08</f>
        <v>68.57356973350474</v>
      </c>
      <c r="AP6" s="36">
        <f ca="1">Tabela3[[#This Row],[Tabela 2]]*1.15</f>
        <v>78.859605193530442</v>
      </c>
    </row>
    <row r="7" spans="1:42">
      <c r="A7" s="9">
        <v>45692</v>
      </c>
      <c r="B7" s="6" t="s">
        <v>256</v>
      </c>
      <c r="C7" s="14">
        <v>5173</v>
      </c>
      <c r="D7" s="6" t="s">
        <v>46</v>
      </c>
      <c r="E7" s="6" t="s">
        <v>53</v>
      </c>
      <c r="F7" s="6">
        <v>55</v>
      </c>
      <c r="G7" s="15">
        <v>0.22777777777777777</v>
      </c>
      <c r="H7" s="16">
        <v>4</v>
      </c>
      <c r="I7" s="35">
        <f ca="1">IFERROR(Tabela3[[#This Row],[Custo Total]]/Tabela3[[#This Row],[Aluminio Util]],0)</f>
        <v>25.880498970618138</v>
      </c>
      <c r="J7" s="35">
        <f ca="1">Tabela3[[#This Row],[Custo Total]]/Tabela3[[#This Row],[Realizado]]</f>
        <v>22.541914603408397</v>
      </c>
      <c r="K7" s="37">
        <f>IFERROR(Tabela3[[#This Row],[Qtde Cx Produzida]]/Tabela3[[#This Row],[Tempo]]/24,0)</f>
        <v>10.060975609756097</v>
      </c>
      <c r="L7" s="37">
        <f>Tabela3[[#This Row],[Qtde Cx Produzida]]*Tabela3[[#This Row],[Qdt Peça Placa]]</f>
        <v>110</v>
      </c>
      <c r="M7" s="37">
        <f>Tabela3[[#This Row],[Previsto]]-Tabela3[[#This Row],[Perda Pçs]]</f>
        <v>106</v>
      </c>
      <c r="N7" s="38">
        <f>IFERROR(Tabela3[[#This Row],[Perda Pçs]]/Tabela3[[#This Row],[Previsto]],0)</f>
        <v>3.6363636363636362E-2</v>
      </c>
      <c r="O7" s="39">
        <f>IFERROR(IF(Tabela3[[#This Row],[Qtde Cx Produzida]] &lt;&gt; 0, Tabela3[[#This Row],[Tempo]] / Tabela3[[#This Row],[Qtde Cx Produzida]], 0),0)</f>
        <v>4.1414141414141412E-3</v>
      </c>
      <c r="P7" s="57">
        <f>IFERROR(Tabela3[[#This Row],[Perda Pçs]]/Tabela3[[#This Row],[Qdt Peça Placa]],0)</f>
        <v>2</v>
      </c>
      <c r="Q7" s="37">
        <f>IFERROR(Tabela3[[#This Row],[Realizado]]*Tabela3[[#This Row],[Peso Util/Pç]],0)</f>
        <v>92.325999999999993</v>
      </c>
      <c r="R7" s="37">
        <f>IFERROR(Tabela3[[#This Row],[Peso Total Galho]]*Tabela3[[#This Row],[Qtde Cx Produzida]]*1.055,0)</f>
        <v>178.83304999999999</v>
      </c>
      <c r="S7" s="37">
        <f>(Tabela3[[#This Row],[Aluminio Bruto]]-Tabela3[[#This Row],[Aluminio Util]])*0.9</f>
        <v>77.85634499999999</v>
      </c>
      <c r="T7" s="37">
        <f>Tabela3[[#This Row],[Aluminio Bruto]]/OleoKGAluminio</f>
        <v>75.23483290608786</v>
      </c>
      <c r="U7" s="35">
        <f>IFERROR((VLOOKUP(Tabela3[[#This Row],[Moldador]],Tabela1[],5,)+(VLOOKUP(Tabela3[[#This Row],[Ajudante]],Tabela1[],5,))*3.5),0)</f>
        <v>99.95034583333333</v>
      </c>
      <c r="V7" s="35">
        <f>IFERROR(Tabela3[[#This Row],[Custo M.O. / H]]/((Tabela3[[#This Row],[Realizado]]/Tabela3[[#This Row],[Qdt Peça Placa]])/Tabela3[[#This Row],[Tempo]]/24),)</f>
        <v>10.309343846960168</v>
      </c>
      <c r="W7" s="35">
        <f>Tabela3[[#This Row],[Custo / Cx Moldada]]*Tabela3[[#This Row],[Qtde Cx Produzida]]</f>
        <v>567.01391158280921</v>
      </c>
      <c r="X7" s="35">
        <f ca="1">Tabela3[[#This Row],[Aluminio Util]]*Tabela3[[#This Row],[Custo/Kg]]</f>
        <v>1624.9376</v>
      </c>
      <c r="Y7" s="35">
        <f>IFERROR(VLOOKUP(Tabela3[[#This Row],[Data]],Tabela461213[],2,1)*(Tabela3[[#This Row],[Qtde Cx Produzida]]*Tabela3[[#This Row],[Qde macho / CX]]*Tabela3[[#This Row],[Peso Macho]]),)</f>
        <v>0</v>
      </c>
      <c r="Z7" s="35">
        <f>IFERROR(Tabela3[[#This Row],[Qtde Oleo]]*(VLOOKUP(Tabela3[[#This Row],[Data]],CompraOleo[],3,TRUE))*1.05,0)</f>
        <v>197.49143637848061</v>
      </c>
      <c r="AA7" s="47">
        <f ca="1">(Tabela3[[#This Row],[Custo Oleo]]+Tabela3[[#This Row],[Custo Aluminio]]+Tabela3[[#This Row],[Custo M.O. Total]]+Tabela3[[#This Row],[Custo Machos]])</f>
        <v>2389.44294796129</v>
      </c>
      <c r="AB7" s="47">
        <f ca="1">Tabela3[[#This Row],[Custo Total]]*Tabela3[[#This Row],[% Perda]]</f>
        <v>86.888834471319626</v>
      </c>
      <c r="AC7" s="48">
        <f>IFERROR(VLOOKUP(Tabela3[[#This Row],[Produto]],Tabela2[],2,0),0)</f>
        <v>2</v>
      </c>
      <c r="AD7" s="48">
        <f>IFERROR(VLOOKUP(Tabela3[[#This Row],[Produto]],Tabela2[],3,0),0)</f>
        <v>0.871</v>
      </c>
      <c r="AE7" s="48">
        <f>IFERROR(VLOOKUP(Tabela3[[#This Row],[Produto]],Tabela2[],4,0),0)</f>
        <v>3.0819999999999999</v>
      </c>
      <c r="AF7" s="48">
        <f>IFERROR(VLOOKUP(Tabela3[[#This Row],[Produto]],Tabela2[],5,0),0)</f>
        <v>1.206</v>
      </c>
      <c r="AG7" s="40">
        <f>IFERROR(VLOOKUP(Tabela3[[#This Row],[Produto]],Tabela2[],6,0),0)</f>
        <v>0</v>
      </c>
      <c r="AH7" s="40">
        <f>IFERROR(VLOOKUP(Tabela3[[#This Row],[Produto]],Tabela2[],7,0),0)</f>
        <v>0</v>
      </c>
      <c r="AI7" s="40">
        <f>IFERROR(VLOOKUP(Tabela3[[#This Row],[Produto]],Tabela2[],8,0),0)</f>
        <v>0</v>
      </c>
      <c r="AJ7" s="35">
        <f ca="1">IFERROR(VLOOKUP(Tabela3[[#This Row],[Produto]],Tabela2[],13,0),0)</f>
        <v>17.600000000000001</v>
      </c>
      <c r="AK7" s="40" t="str">
        <f>IFERROR(VLOOKUP(Tabela3[[#This Row],[Produto]],Tabela2[],14,0),0)</f>
        <v>Protec</v>
      </c>
      <c r="AL7" s="40">
        <f>IFERROR(VLOOKUP(Tabela3[[#This Row],[Produto]],Tabela2[],15,0),0)</f>
        <v>0</v>
      </c>
      <c r="AM7" s="36">
        <f ca="1">(Tabela3[[#This Row],[Custo Usinagem]]+Tabela3[[#This Row],[Custo / Pç]])*1.2</f>
        <v>27.050297524090077</v>
      </c>
      <c r="AN7" s="36">
        <f ca="1">Tabela3[[#This Row],[Valor Mínimo Venda]]*1.15</f>
        <v>31.107842152703586</v>
      </c>
      <c r="AO7" s="36">
        <f ca="1">Tabela3[[#This Row],[Tabela 1]]*1.08</f>
        <v>33.596469524919875</v>
      </c>
      <c r="AP7" s="36">
        <f ca="1">Tabela3[[#This Row],[Tabela 2]]*1.15</f>
        <v>38.635939953657854</v>
      </c>
    </row>
    <row r="8" spans="1:42">
      <c r="A8" s="9">
        <v>45692</v>
      </c>
      <c r="B8" s="6" t="s">
        <v>236</v>
      </c>
      <c r="C8" s="14">
        <v>5309</v>
      </c>
      <c r="D8" s="6" t="s">
        <v>46</v>
      </c>
      <c r="E8" s="6" t="s">
        <v>53</v>
      </c>
      <c r="F8" s="6">
        <v>25</v>
      </c>
      <c r="G8" s="15">
        <v>8.2638888888888887E-2</v>
      </c>
      <c r="H8" s="16">
        <v>0</v>
      </c>
      <c r="I8" s="35">
        <f ca="1">IFERROR(Tabela3[[#This Row],[Custo Total]]/Tabela3[[#This Row],[Aluminio Util]],0)</f>
        <v>21.359729626636966</v>
      </c>
      <c r="J8" s="35">
        <f ca="1">Tabela3[[#This Row],[Custo Total]]/Tabela3[[#This Row],[Realizado]]</f>
        <v>6.4506383472443627</v>
      </c>
      <c r="K8" s="37">
        <f>IFERROR(Tabela3[[#This Row],[Qtde Cx Produzida]]/Tabela3[[#This Row],[Tempo]]/24,0)</f>
        <v>12.605042016806722</v>
      </c>
      <c r="L8" s="37">
        <f>Tabela3[[#This Row],[Qtde Cx Produzida]]*Tabela3[[#This Row],[Qdt Peça Placa]]</f>
        <v>150</v>
      </c>
      <c r="M8" s="37">
        <f>Tabela3[[#This Row],[Previsto]]-Tabela3[[#This Row],[Perda Pçs]]</f>
        <v>150</v>
      </c>
      <c r="N8" s="38">
        <f>IFERROR(Tabela3[[#This Row],[Perda Pçs]]/Tabela3[[#This Row],[Previsto]],0)</f>
        <v>0</v>
      </c>
      <c r="O8" s="39">
        <f>IFERROR(IF(Tabela3[[#This Row],[Qtde Cx Produzida]] &lt;&gt; 0, Tabela3[[#This Row],[Tempo]] / Tabela3[[#This Row],[Qtde Cx Produzida]], 0),0)</f>
        <v>3.3055555555555555E-3</v>
      </c>
      <c r="P8" s="57">
        <f>IFERROR(Tabela3[[#This Row],[Perda Pçs]]/Tabela3[[#This Row],[Qdt Peça Placa]],0)</f>
        <v>0</v>
      </c>
      <c r="Q8" s="37">
        <f>IFERROR(Tabela3[[#This Row],[Realizado]]*Tabela3[[#This Row],[Peso Util/Pç]],0)</f>
        <v>45.3</v>
      </c>
      <c r="R8" s="37">
        <f>IFERROR(Tabela3[[#This Row],[Peso Total Galho]]*Tabela3[[#This Row],[Qtde Cx Produzida]]*1.055,0)</f>
        <v>56.759</v>
      </c>
      <c r="S8" s="37">
        <f>(Tabela3[[#This Row],[Aluminio Bruto]]-Tabela3[[#This Row],[Aluminio Util]])*0.9</f>
        <v>10.313100000000004</v>
      </c>
      <c r="T8" s="37">
        <f>Tabela3[[#This Row],[Aluminio Bruto]]/OleoKGAluminio</f>
        <v>23.878437911318077</v>
      </c>
      <c r="U8" s="35">
        <f>IFERROR((VLOOKUP(Tabela3[[#This Row],[Moldador]],Tabela1[],5,)+(VLOOKUP(Tabela3[[#This Row],[Ajudante]],Tabela1[],5,))*3.5),0)</f>
        <v>99.95034583333333</v>
      </c>
      <c r="V8" s="35">
        <f>IFERROR(Tabela3[[#This Row],[Custo M.O. / H]]/((Tabela3[[#This Row],[Realizado]]/Tabela3[[#This Row],[Qdt Peça Placa]])/Tabela3[[#This Row],[Tempo]]/24),)</f>
        <v>7.9293941027777777</v>
      </c>
      <c r="W8" s="35">
        <f>Tabela3[[#This Row],[Custo / Cx Moldada]]*Tabela3[[#This Row],[Qtde Cx Produzida]]</f>
        <v>198.23485256944446</v>
      </c>
      <c r="X8" s="35">
        <f ca="1">Tabela3[[#This Row],[Aluminio Util]]*Tabela3[[#This Row],[Custo/Kg]]</f>
        <v>706.68000000000006</v>
      </c>
      <c r="Y8" s="35">
        <f>IFERROR(VLOOKUP(Tabela3[[#This Row],[Data]],Tabela461213[],2,1)*(Tabela3[[#This Row],[Qtde Cx Produzida]]*Tabela3[[#This Row],[Qde macho / CX]]*Tabela3[[#This Row],[Peso Macho]]),)</f>
        <v>0</v>
      </c>
      <c r="Z8" s="35">
        <f>IFERROR(Tabela3[[#This Row],[Qtde Oleo]]*(VLOOKUP(Tabela3[[#This Row],[Data]],CompraOleo[],3,TRUE))*1.05,0)</f>
        <v>62.680899517209951</v>
      </c>
      <c r="AA8" s="47">
        <f ca="1">(Tabela3[[#This Row],[Custo Oleo]]+Tabela3[[#This Row],[Custo Aluminio]]+Tabela3[[#This Row],[Custo M.O. Total]]+Tabela3[[#This Row],[Custo Machos]])</f>
        <v>967.59575208665444</v>
      </c>
      <c r="AB8" s="47">
        <f ca="1">Tabela3[[#This Row],[Custo Total]]*Tabela3[[#This Row],[% Perda]]</f>
        <v>0</v>
      </c>
      <c r="AC8" s="48">
        <f>IFERROR(VLOOKUP(Tabela3[[#This Row],[Produto]],Tabela2[],2,0),0)</f>
        <v>6</v>
      </c>
      <c r="AD8" s="48">
        <f>IFERROR(VLOOKUP(Tabela3[[#This Row],[Produto]],Tabela2[],3,0),0)</f>
        <v>0.30199999999999999</v>
      </c>
      <c r="AE8" s="48">
        <f>IFERROR(VLOOKUP(Tabela3[[#This Row],[Produto]],Tabela2[],4,0),0)</f>
        <v>2.1520000000000001</v>
      </c>
      <c r="AF8" s="48">
        <f>IFERROR(VLOOKUP(Tabela3[[#This Row],[Produto]],Tabela2[],5,0),0)</f>
        <v>0.30600000000000027</v>
      </c>
      <c r="AG8" s="40">
        <f>IFERROR(VLOOKUP(Tabela3[[#This Row],[Produto]],Tabela2[],6,0),0)</f>
        <v>0</v>
      </c>
      <c r="AH8" s="40">
        <f>IFERROR(VLOOKUP(Tabela3[[#This Row],[Produto]],Tabela2[],7,0),0)</f>
        <v>0</v>
      </c>
      <c r="AI8" s="40">
        <f>IFERROR(VLOOKUP(Tabela3[[#This Row],[Produto]],Tabela2[],8,0),0)</f>
        <v>0</v>
      </c>
      <c r="AJ8" s="35">
        <f ca="1">IFERROR(VLOOKUP(Tabela3[[#This Row],[Produto]],Tabela2[],13,0),0)</f>
        <v>15.600000000000001</v>
      </c>
      <c r="AK8" s="40" t="str">
        <f>IFERROR(VLOOKUP(Tabela3[[#This Row],[Produto]],Tabela2[],14,0),0)</f>
        <v>Senun</v>
      </c>
      <c r="AL8" s="40">
        <f>IFERROR(VLOOKUP(Tabela3[[#This Row],[Produto]],Tabela2[],15,0),0)</f>
        <v>4</v>
      </c>
      <c r="AM8" s="36">
        <f ca="1">(Tabela3[[#This Row],[Custo Usinagem]]+Tabela3[[#This Row],[Custo / Pç]])*1.2</f>
        <v>12.540766016693235</v>
      </c>
      <c r="AN8" s="36">
        <f ca="1">Tabela3[[#This Row],[Valor Mínimo Venda]]*1.15</f>
        <v>14.421880919197219</v>
      </c>
      <c r="AO8" s="36">
        <f ca="1">Tabela3[[#This Row],[Tabela 1]]*1.08</f>
        <v>15.575631392732998</v>
      </c>
      <c r="AP8" s="36">
        <f ca="1">Tabela3[[#This Row],[Tabela 2]]*1.15</f>
        <v>17.911976101642946</v>
      </c>
    </row>
    <row r="9" spans="1:42">
      <c r="A9" s="9">
        <v>45693</v>
      </c>
      <c r="B9" s="6" t="s">
        <v>236</v>
      </c>
      <c r="C9" s="14">
        <v>5309</v>
      </c>
      <c r="D9" s="6" t="s">
        <v>46</v>
      </c>
      <c r="E9" s="6" t="s">
        <v>53</v>
      </c>
      <c r="F9" s="6">
        <v>82</v>
      </c>
      <c r="G9" s="15">
        <v>0.36805555555555558</v>
      </c>
      <c r="H9" s="16">
        <v>25</v>
      </c>
      <c r="I9" s="35">
        <f ca="1">IFERROR(Tabela3[[#This Row],[Custo Total]]/Tabela3[[#This Row],[Aluminio Util]],0)</f>
        <v>23.653038581705289</v>
      </c>
      <c r="J9" s="35">
        <f ca="1">Tabela3[[#This Row],[Custo Total]]/Tabela3[[#This Row],[Realizado]]</f>
        <v>7.1432176516749966</v>
      </c>
      <c r="K9" s="37">
        <f>IFERROR(Tabela3[[#This Row],[Qtde Cx Produzida]]/Tabela3[[#This Row],[Tempo]]/24,0)</f>
        <v>9.2830188679245271</v>
      </c>
      <c r="L9" s="37">
        <f>Tabela3[[#This Row],[Qtde Cx Produzida]]*Tabela3[[#This Row],[Qdt Peça Placa]]</f>
        <v>492</v>
      </c>
      <c r="M9" s="37">
        <f>Tabela3[[#This Row],[Previsto]]-Tabela3[[#This Row],[Perda Pçs]]</f>
        <v>467</v>
      </c>
      <c r="N9" s="38">
        <f>IFERROR(Tabela3[[#This Row],[Perda Pçs]]/Tabela3[[#This Row],[Previsto]],0)</f>
        <v>5.08130081300813E-2</v>
      </c>
      <c r="O9" s="39">
        <f>IFERROR(IF(Tabela3[[#This Row],[Qtde Cx Produzida]] &lt;&gt; 0, Tabela3[[#This Row],[Tempo]] / Tabela3[[#This Row],[Qtde Cx Produzida]], 0),0)</f>
        <v>4.4884823848238484E-3</v>
      </c>
      <c r="P9" s="57">
        <f>IFERROR(Tabela3[[#This Row],[Perda Pçs]]/Tabela3[[#This Row],[Qdt Peça Placa]],0)</f>
        <v>4.166666666666667</v>
      </c>
      <c r="Q9" s="37">
        <f>IFERROR(Tabela3[[#This Row],[Realizado]]*Tabela3[[#This Row],[Peso Util/Pç]],0)</f>
        <v>141.03399999999999</v>
      </c>
      <c r="R9" s="37">
        <f>IFERROR(Tabela3[[#This Row],[Peso Total Galho]]*Tabela3[[#This Row],[Qtde Cx Produzida]]*1.055,0)</f>
        <v>186.16951999999998</v>
      </c>
      <c r="S9" s="37">
        <f>(Tabela3[[#This Row],[Aluminio Bruto]]-Tabela3[[#This Row],[Aluminio Util]])*0.9</f>
        <v>40.621967999999988</v>
      </c>
      <c r="T9" s="37">
        <f>Tabela3[[#This Row],[Aluminio Bruto]]/OleoKGAluminio</f>
        <v>78.321276349123281</v>
      </c>
      <c r="U9" s="35">
        <f>IFERROR((VLOOKUP(Tabela3[[#This Row],[Moldador]],Tabela1[],5,)+(VLOOKUP(Tabela3[[#This Row],[Ajudante]],Tabela1[],5,))*3.5),0)</f>
        <v>99.95034583333333</v>
      </c>
      <c r="V9" s="35">
        <f>IFERROR(Tabela3[[#This Row],[Custo M.O. / H]]/((Tabela3[[#This Row],[Realizado]]/Tabela3[[#This Row],[Qdt Peça Placa]])/Tabela3[[#This Row],[Tempo]]/24),)</f>
        <v>11.343401133119203</v>
      </c>
      <c r="W9" s="35">
        <f>Tabela3[[#This Row],[Custo / Cx Moldada]]*Tabela3[[#This Row],[Qtde Cx Produzida]]</f>
        <v>930.15889291577469</v>
      </c>
      <c r="X9" s="35">
        <f ca="1">Tabela3[[#This Row],[Aluminio Util]]*Tabela3[[#This Row],[Custo/Kg]]</f>
        <v>2200.1304</v>
      </c>
      <c r="Y9" s="35">
        <f>IFERROR(VLOOKUP(Tabela3[[#This Row],[Data]],Tabela461213[],2,1)*(Tabela3[[#This Row],[Qtde Cx Produzida]]*Tabela3[[#This Row],[Qde macho / CX]]*Tabela3[[#This Row],[Peso Macho]]),)</f>
        <v>0</v>
      </c>
      <c r="Z9" s="35">
        <f>IFERROR(Tabela3[[#This Row],[Qtde Oleo]]*(VLOOKUP(Tabela3[[#This Row],[Data]],CompraOleo[],3,TRUE))*1.05,0)</f>
        <v>205.59335041644863</v>
      </c>
      <c r="AA9" s="47">
        <f ca="1">(Tabela3[[#This Row],[Custo Oleo]]+Tabela3[[#This Row],[Custo Aluminio]]+Tabela3[[#This Row],[Custo M.O. Total]]+Tabela3[[#This Row],[Custo Machos]])</f>
        <v>3335.8826433322233</v>
      </c>
      <c r="AB9" s="47">
        <f ca="1">Tabela3[[#This Row],[Custo Total]]*Tabela3[[#This Row],[% Perda]]</f>
        <v>169.50623187663737</v>
      </c>
      <c r="AC9" s="48">
        <f>IFERROR(VLOOKUP(Tabela3[[#This Row],[Produto]],Tabela2[],2,0),0)</f>
        <v>6</v>
      </c>
      <c r="AD9" s="48">
        <f>IFERROR(VLOOKUP(Tabela3[[#This Row],[Produto]],Tabela2[],3,0),0)</f>
        <v>0.30199999999999999</v>
      </c>
      <c r="AE9" s="48">
        <f>IFERROR(VLOOKUP(Tabela3[[#This Row],[Produto]],Tabela2[],4,0),0)</f>
        <v>2.1520000000000001</v>
      </c>
      <c r="AF9" s="48">
        <f>IFERROR(VLOOKUP(Tabela3[[#This Row],[Produto]],Tabela2[],5,0),0)</f>
        <v>0.30600000000000027</v>
      </c>
      <c r="AG9" s="40">
        <f>IFERROR(VLOOKUP(Tabela3[[#This Row],[Produto]],Tabela2[],6,0),0)</f>
        <v>0</v>
      </c>
      <c r="AH9" s="40">
        <f>IFERROR(VLOOKUP(Tabela3[[#This Row],[Produto]],Tabela2[],7,0),0)</f>
        <v>0</v>
      </c>
      <c r="AI9" s="40">
        <f>IFERROR(VLOOKUP(Tabela3[[#This Row],[Produto]],Tabela2[],8,0),0)</f>
        <v>0</v>
      </c>
      <c r="AJ9" s="35">
        <f ca="1">IFERROR(VLOOKUP(Tabela3[[#This Row],[Produto]],Tabela2[],13,0),0)</f>
        <v>15.600000000000001</v>
      </c>
      <c r="AK9" s="40" t="str">
        <f>IFERROR(VLOOKUP(Tabela3[[#This Row],[Produto]],Tabela2[],14,0),0)</f>
        <v>Senun</v>
      </c>
      <c r="AL9" s="40">
        <f>IFERROR(VLOOKUP(Tabela3[[#This Row],[Produto]],Tabela2[],15,0),0)</f>
        <v>4</v>
      </c>
      <c r="AM9" s="36">
        <f ca="1">(Tabela3[[#This Row],[Custo Usinagem]]+Tabela3[[#This Row],[Custo / Pç]])*1.2</f>
        <v>13.371861182009996</v>
      </c>
      <c r="AN9" s="36">
        <f ca="1">Tabela3[[#This Row],[Valor Mínimo Venda]]*1.15</f>
        <v>15.377640359311494</v>
      </c>
      <c r="AO9" s="36">
        <f ca="1">Tabela3[[#This Row],[Tabela 1]]*1.08</f>
        <v>16.607851588056416</v>
      </c>
      <c r="AP9" s="36">
        <f ca="1">Tabela3[[#This Row],[Tabela 2]]*1.15</f>
        <v>19.099029326264876</v>
      </c>
    </row>
    <row r="10" spans="1:42">
      <c r="A10" s="9">
        <v>45694</v>
      </c>
      <c r="B10" s="6" t="s">
        <v>236</v>
      </c>
      <c r="C10" s="14">
        <v>5309</v>
      </c>
      <c r="D10" s="6" t="s">
        <v>46</v>
      </c>
      <c r="E10" s="6" t="s">
        <v>53</v>
      </c>
      <c r="F10" s="6">
        <v>17</v>
      </c>
      <c r="G10" s="15">
        <v>7.3611111111111113E-2</v>
      </c>
      <c r="H10" s="16">
        <v>0</v>
      </c>
      <c r="I10" s="35">
        <f ca="1">IFERROR(Tabela3[[#This Row],[Custo Total]]/Tabela3[[#This Row],[Aluminio Util]],0)</f>
        <v>22.716022463876719</v>
      </c>
      <c r="J10" s="35">
        <f ca="1">Tabela3[[#This Row],[Custo Total]]/Tabela3[[#This Row],[Realizado]]</f>
        <v>6.860238784090769</v>
      </c>
      <c r="K10" s="37">
        <f>IFERROR(Tabela3[[#This Row],[Qtde Cx Produzida]]/Tabela3[[#This Row],[Tempo]]/24,0)</f>
        <v>9.6226415094339615</v>
      </c>
      <c r="L10" s="37">
        <f>Tabela3[[#This Row],[Qtde Cx Produzida]]*Tabela3[[#This Row],[Qdt Peça Placa]]</f>
        <v>102</v>
      </c>
      <c r="M10" s="37">
        <f>Tabela3[[#This Row],[Previsto]]-Tabela3[[#This Row],[Perda Pçs]]</f>
        <v>102</v>
      </c>
      <c r="N10" s="38">
        <f>IFERROR(Tabela3[[#This Row],[Perda Pçs]]/Tabela3[[#This Row],[Previsto]],0)</f>
        <v>0</v>
      </c>
      <c r="O10" s="39">
        <f>IFERROR(IF(Tabela3[[#This Row],[Qtde Cx Produzida]] &lt;&gt; 0, Tabela3[[#This Row],[Tempo]] / Tabela3[[#This Row],[Qtde Cx Produzida]], 0),0)</f>
        <v>4.3300653594771244E-3</v>
      </c>
      <c r="P10" s="57">
        <f>IFERROR(Tabela3[[#This Row],[Perda Pçs]]/Tabela3[[#This Row],[Qdt Peça Placa]],0)</f>
        <v>0</v>
      </c>
      <c r="Q10" s="37">
        <f>IFERROR(Tabela3[[#This Row],[Realizado]]*Tabela3[[#This Row],[Peso Util/Pç]],0)</f>
        <v>30.803999999999998</v>
      </c>
      <c r="R10" s="37">
        <f>IFERROR(Tabela3[[#This Row],[Peso Total Galho]]*Tabela3[[#This Row],[Qtde Cx Produzida]]*1.055,0)</f>
        <v>38.596119999999999</v>
      </c>
      <c r="S10" s="37">
        <f>(Tabela3[[#This Row],[Aluminio Bruto]]-Tabela3[[#This Row],[Aluminio Util]])*0.9</f>
        <v>7.0129080000000004</v>
      </c>
      <c r="T10" s="37">
        <f>Tabela3[[#This Row],[Aluminio Bruto]]/OleoKGAluminio</f>
        <v>16.23733777969629</v>
      </c>
      <c r="U10" s="35">
        <f>IFERROR((VLOOKUP(Tabela3[[#This Row],[Moldador]],Tabela1[],5,)+(VLOOKUP(Tabela3[[#This Row],[Ajudante]],Tabela1[],5,))*3.5),0)</f>
        <v>99.95034583333333</v>
      </c>
      <c r="V10" s="35">
        <f>IFERROR(Tabela3[[#This Row],[Custo M.O. / H]]/((Tabela3[[#This Row],[Realizado]]/Tabela3[[#This Row],[Qdt Peça Placa]])/Tabela3[[#This Row],[Tempo]]/24),)</f>
        <v>10.38699672385621</v>
      </c>
      <c r="W10" s="35">
        <f>Tabela3[[#This Row],[Custo / Cx Moldada]]*Tabela3[[#This Row],[Qtde Cx Produzida]]</f>
        <v>176.57894430555558</v>
      </c>
      <c r="X10" s="35">
        <f ca="1">Tabela3[[#This Row],[Aluminio Util]]*Tabela3[[#This Row],[Custo/Kg]]</f>
        <v>480.54240000000004</v>
      </c>
      <c r="Y10" s="35">
        <f>IFERROR(VLOOKUP(Tabela3[[#This Row],[Data]],Tabela461213[],2,1)*(Tabela3[[#This Row],[Qtde Cx Produzida]]*Tabela3[[#This Row],[Qde macho / CX]]*Tabela3[[#This Row],[Peso Macho]]),)</f>
        <v>0</v>
      </c>
      <c r="Z10" s="35">
        <f>IFERROR(Tabela3[[#This Row],[Qtde Oleo]]*(VLOOKUP(Tabela3[[#This Row],[Data]],CompraOleo[],3,TRUE))*1.05,0)</f>
        <v>42.623011671702763</v>
      </c>
      <c r="AA10" s="47">
        <f ca="1">(Tabela3[[#This Row],[Custo Oleo]]+Tabela3[[#This Row],[Custo Aluminio]]+Tabela3[[#This Row],[Custo M.O. Total]]+Tabela3[[#This Row],[Custo Machos]])</f>
        <v>699.74435597725846</v>
      </c>
      <c r="AB10" s="47">
        <f ca="1">Tabela3[[#This Row],[Custo Total]]*Tabela3[[#This Row],[% Perda]]</f>
        <v>0</v>
      </c>
      <c r="AC10" s="48">
        <f>IFERROR(VLOOKUP(Tabela3[[#This Row],[Produto]],Tabela2[],2,0),0)</f>
        <v>6</v>
      </c>
      <c r="AD10" s="48">
        <f>IFERROR(VLOOKUP(Tabela3[[#This Row],[Produto]],Tabela2[],3,0),0)</f>
        <v>0.30199999999999999</v>
      </c>
      <c r="AE10" s="48">
        <f>IFERROR(VLOOKUP(Tabela3[[#This Row],[Produto]],Tabela2[],4,0),0)</f>
        <v>2.1520000000000001</v>
      </c>
      <c r="AF10" s="48">
        <f>IFERROR(VLOOKUP(Tabela3[[#This Row],[Produto]],Tabela2[],5,0),0)</f>
        <v>0.30600000000000027</v>
      </c>
      <c r="AG10" s="40">
        <f>IFERROR(VLOOKUP(Tabela3[[#This Row],[Produto]],Tabela2[],6,0),0)</f>
        <v>0</v>
      </c>
      <c r="AH10" s="40">
        <f>IFERROR(VLOOKUP(Tabela3[[#This Row],[Produto]],Tabela2[],7,0),0)</f>
        <v>0</v>
      </c>
      <c r="AI10" s="40">
        <f>IFERROR(VLOOKUP(Tabela3[[#This Row],[Produto]],Tabela2[],8,0),0)</f>
        <v>0</v>
      </c>
      <c r="AJ10" s="35">
        <f ca="1">IFERROR(VLOOKUP(Tabela3[[#This Row],[Produto]],Tabela2[],13,0),0)</f>
        <v>15.600000000000001</v>
      </c>
      <c r="AK10" s="40" t="str">
        <f>IFERROR(VLOOKUP(Tabela3[[#This Row],[Produto]],Tabela2[],14,0),0)</f>
        <v>Senun</v>
      </c>
      <c r="AL10" s="40">
        <f>IFERROR(VLOOKUP(Tabela3[[#This Row],[Produto]],Tabela2[],15,0),0)</f>
        <v>4</v>
      </c>
      <c r="AM10" s="36">
        <f ca="1">(Tabela3[[#This Row],[Custo Usinagem]]+Tabela3[[#This Row],[Custo / Pç]])*1.2</f>
        <v>13.032286540908922</v>
      </c>
      <c r="AN10" s="36">
        <f ca="1">Tabela3[[#This Row],[Valor Mínimo Venda]]*1.15</f>
        <v>14.98712952204526</v>
      </c>
      <c r="AO10" s="36">
        <f ca="1">Tabela3[[#This Row],[Tabela 1]]*1.08</f>
        <v>16.186099883808883</v>
      </c>
      <c r="AP10" s="36">
        <f ca="1">Tabela3[[#This Row],[Tabela 2]]*1.15</f>
        <v>18.614014866380213</v>
      </c>
    </row>
    <row r="11" spans="1:42">
      <c r="A11" s="9">
        <v>45694</v>
      </c>
      <c r="B11" s="6" t="s">
        <v>115</v>
      </c>
      <c r="C11" s="14">
        <v>5443</v>
      </c>
      <c r="D11" s="6" t="s">
        <v>46</v>
      </c>
      <c r="E11" s="6" t="s">
        <v>53</v>
      </c>
      <c r="F11" s="6">
        <v>26</v>
      </c>
      <c r="G11" s="15">
        <v>0.17430555555555555</v>
      </c>
      <c r="H11" s="16">
        <v>107</v>
      </c>
      <c r="I11" s="35">
        <f ca="1">IFERROR(Tabela3[[#This Row],[Custo Total]]/Tabela3[[#This Row],[Aluminio Util]],0)</f>
        <v>32.589621747014462</v>
      </c>
      <c r="J11" s="35">
        <f ca="1">Tabela3[[#This Row],[Custo Total]]/Tabela3[[#This Row],[Realizado]]</f>
        <v>8.5384808977177897</v>
      </c>
      <c r="K11" s="37">
        <f>IFERROR(Tabela3[[#This Row],[Qtde Cx Produzida]]/Tabela3[[#This Row],[Tempo]]/24,0)</f>
        <v>6.2151394422310764</v>
      </c>
      <c r="L11" s="37">
        <f>Tabela3[[#This Row],[Qtde Cx Produzida]]*Tabela3[[#This Row],[Qdt Peça Placa]]</f>
        <v>312</v>
      </c>
      <c r="M11" s="37">
        <f>Tabela3[[#This Row],[Previsto]]-Tabela3[[#This Row],[Perda Pçs]]</f>
        <v>205</v>
      </c>
      <c r="N11" s="38">
        <f>IFERROR(Tabela3[[#This Row],[Perda Pçs]]/Tabela3[[#This Row],[Previsto]],0)</f>
        <v>0.34294871794871795</v>
      </c>
      <c r="O11" s="39">
        <f>IFERROR(IF(Tabela3[[#This Row],[Qtde Cx Produzida]] &lt;&gt; 0, Tabela3[[#This Row],[Tempo]] / Tabela3[[#This Row],[Qtde Cx Produzida]], 0),0)</f>
        <v>6.7040598290598287E-3</v>
      </c>
      <c r="P11" s="57">
        <f>IFERROR(Tabela3[[#This Row],[Perda Pçs]]/Tabela3[[#This Row],[Qdt Peça Placa]],0)</f>
        <v>8.9166666666666661</v>
      </c>
      <c r="Q11" s="37">
        <f>IFERROR(Tabela3[[#This Row],[Realizado]]*Tabela3[[#This Row],[Peso Util/Pç]],0)</f>
        <v>53.71</v>
      </c>
      <c r="R11" s="37">
        <f>IFERROR(Tabela3[[#This Row],[Peso Total Galho]]*Tabela3[[#This Row],[Qtde Cx Produzida]]*1.055,0)</f>
        <v>152.78509999999997</v>
      </c>
      <c r="S11" s="37">
        <f>(Tabela3[[#This Row],[Aluminio Bruto]]-Tabela3[[#This Row],[Aluminio Util]])*0.9</f>
        <v>89.167589999999976</v>
      </c>
      <c r="T11" s="37">
        <f>Tabela3[[#This Row],[Aluminio Bruto]]/OleoKGAluminio</f>
        <v>64.276494020763622</v>
      </c>
      <c r="U11" s="35">
        <f>IFERROR((VLOOKUP(Tabela3[[#This Row],[Moldador]],Tabela1[],5,)+(VLOOKUP(Tabela3[[#This Row],[Ajudante]],Tabela1[],5,))*3.5),0)</f>
        <v>99.95034583333333</v>
      </c>
      <c r="V11" s="35">
        <f>IFERROR(Tabela3[[#This Row],[Custo M.O. / H]]/((Tabela3[[#This Row],[Realizado]]/Tabela3[[#This Row],[Qdt Peça Placa]])/Tabela3[[#This Row],[Tempo]]/24),)</f>
        <v>24.475645662601625</v>
      </c>
      <c r="W11" s="35">
        <f>Tabela3[[#This Row],[Custo / Cx Moldada]]*Tabela3[[#This Row],[Qtde Cx Produzida]]</f>
        <v>636.36678722764225</v>
      </c>
      <c r="X11" s="35">
        <f ca="1">Tabela3[[#This Row],[Aluminio Util]]*Tabela3[[#This Row],[Custo/Kg]]</f>
        <v>945.29600000000005</v>
      </c>
      <c r="Y11" s="35">
        <f>IFERROR(VLOOKUP(Tabela3[[#This Row],[Data]],Tabela461213[],2,1)*(Tabela3[[#This Row],[Qtde Cx Produzida]]*Tabela3[[#This Row],[Qde macho / CX]]*Tabela3[[#This Row],[Peso Macho]]),)</f>
        <v>0</v>
      </c>
      <c r="Z11" s="35">
        <f>IFERROR(Tabela3[[#This Row],[Qtde Oleo]]*(VLOOKUP(Tabela3[[#This Row],[Data]],CompraOleo[],3,TRUE))*1.05,0)</f>
        <v>168.72579680450451</v>
      </c>
      <c r="AA11" s="47">
        <f ca="1">(Tabela3[[#This Row],[Custo Oleo]]+Tabela3[[#This Row],[Custo Aluminio]]+Tabela3[[#This Row],[Custo M.O. Total]]+Tabela3[[#This Row],[Custo Machos]])</f>
        <v>1750.3885840321468</v>
      </c>
      <c r="AB11" s="47">
        <f ca="1">Tabela3[[#This Row],[Custo Total]]*Tabela3[[#This Row],[% Perda]]</f>
        <v>600.29352080589649</v>
      </c>
      <c r="AC11" s="48">
        <f>IFERROR(VLOOKUP(Tabela3[[#This Row],[Produto]],Tabela2[],2,0),0)</f>
        <v>12</v>
      </c>
      <c r="AD11" s="48">
        <f>IFERROR(VLOOKUP(Tabela3[[#This Row],[Produto]],Tabela2[],3,0),0)</f>
        <v>0.26200000000000001</v>
      </c>
      <c r="AE11" s="48">
        <f>IFERROR(VLOOKUP(Tabela3[[#This Row],[Produto]],Tabela2[],4,0),0)</f>
        <v>5.57</v>
      </c>
      <c r="AF11" s="48">
        <f>IFERROR(VLOOKUP(Tabela3[[#This Row],[Produto]],Tabela2[],5,0),0)</f>
        <v>2.1834000000000002</v>
      </c>
      <c r="AG11" s="40">
        <f>IFERROR(VLOOKUP(Tabela3[[#This Row],[Produto]],Tabela2[],6,0),0)</f>
        <v>0</v>
      </c>
      <c r="AH11" s="40">
        <f>IFERROR(VLOOKUP(Tabela3[[#This Row],[Produto]],Tabela2[],7,0),0)</f>
        <v>0</v>
      </c>
      <c r="AI11" s="40">
        <f>IFERROR(VLOOKUP(Tabela3[[#This Row],[Produto]],Tabela2[],8,0),0)</f>
        <v>0</v>
      </c>
      <c r="AJ11" s="35">
        <f ca="1">IFERROR(VLOOKUP(Tabela3[[#This Row],[Produto]],Tabela2[],13,0),0)</f>
        <v>17.600000000000001</v>
      </c>
      <c r="AK11" s="40" t="str">
        <f>IFERROR(VLOOKUP(Tabela3[[#This Row],[Produto]],Tabela2[],14,0),0)</f>
        <v>Marcelo</v>
      </c>
      <c r="AL11" s="40">
        <f>IFERROR(VLOOKUP(Tabela3[[#This Row],[Produto]],Tabela2[],15,0),0)</f>
        <v>5</v>
      </c>
      <c r="AM11" s="36">
        <f ca="1">(Tabela3[[#This Row],[Custo Usinagem]]+Tabela3[[#This Row],[Custo / Pç]])*1.2</f>
        <v>16.246177077261347</v>
      </c>
      <c r="AN11" s="36">
        <f ca="1">Tabela3[[#This Row],[Valor Mínimo Venda]]*1.15</f>
        <v>18.683103638850547</v>
      </c>
      <c r="AO11" s="36">
        <f ca="1">Tabela3[[#This Row],[Tabela 1]]*1.08</f>
        <v>20.177751929958593</v>
      </c>
      <c r="AP11" s="36">
        <f ca="1">Tabela3[[#This Row],[Tabela 2]]*1.15</f>
        <v>23.20441471945238</v>
      </c>
    </row>
    <row r="12" spans="1:42">
      <c r="A12" s="9">
        <v>45694</v>
      </c>
      <c r="B12" s="6" t="s">
        <v>247</v>
      </c>
      <c r="C12" s="14">
        <v>5438</v>
      </c>
      <c r="D12" s="6" t="s">
        <v>46</v>
      </c>
      <c r="E12" s="6" t="s">
        <v>53</v>
      </c>
      <c r="F12" s="6">
        <v>22</v>
      </c>
      <c r="G12" s="15">
        <v>9.8611111111111108E-2</v>
      </c>
      <c r="H12" s="16">
        <v>6</v>
      </c>
      <c r="I12" s="35">
        <f ca="1">IFERROR(Tabela3[[#This Row],[Custo Total]]/Tabela3[[#This Row],[Aluminio Util]],0)</f>
        <v>28.315865605836553</v>
      </c>
      <c r="J12" s="35">
        <f ca="1">Tabela3[[#This Row],[Custo Total]]/Tabela3[[#This Row],[Realizado]]</f>
        <v>8.4947596817509652</v>
      </c>
      <c r="K12" s="37">
        <f>IFERROR(Tabela3[[#This Row],[Qtde Cx Produzida]]/Tabela3[[#This Row],[Tempo]]/24,0)</f>
        <v>9.295774647887324</v>
      </c>
      <c r="L12" s="37">
        <f>Tabela3[[#This Row],[Qtde Cx Produzida]]*Tabela3[[#This Row],[Qdt Peça Placa]]</f>
        <v>88</v>
      </c>
      <c r="M12" s="37">
        <f>Tabela3[[#This Row],[Previsto]]-Tabela3[[#This Row],[Perda Pçs]]</f>
        <v>82</v>
      </c>
      <c r="N12" s="38">
        <f>IFERROR(Tabela3[[#This Row],[Perda Pçs]]/Tabela3[[#This Row],[Previsto]],0)</f>
        <v>6.8181818181818177E-2</v>
      </c>
      <c r="O12" s="39">
        <f>IFERROR(IF(Tabela3[[#This Row],[Qtde Cx Produzida]] &lt;&gt; 0, Tabela3[[#This Row],[Tempo]] / Tabela3[[#This Row],[Qtde Cx Produzida]], 0),0)</f>
        <v>4.4823232323232326E-3</v>
      </c>
      <c r="P12" s="57">
        <f>IFERROR(Tabela3[[#This Row],[Perda Pçs]]/Tabela3[[#This Row],[Qdt Peça Placa]],0)</f>
        <v>1.5</v>
      </c>
      <c r="Q12" s="37">
        <f>IFERROR(Tabela3[[#This Row],[Realizado]]*Tabela3[[#This Row],[Peso Util/Pç]],0)</f>
        <v>24.599999999999998</v>
      </c>
      <c r="R12" s="37">
        <f>IFERROR(Tabela3[[#This Row],[Peso Total Galho]]*Tabela3[[#This Row],[Qtde Cx Produzida]]*1.055,0)</f>
        <v>53.382999999999988</v>
      </c>
      <c r="S12" s="37">
        <f>(Tabela3[[#This Row],[Aluminio Bruto]]-Tabela3[[#This Row],[Aluminio Util]])*0.9</f>
        <v>25.904699999999991</v>
      </c>
      <c r="T12" s="37">
        <f>Tabela3[[#This Row],[Aluminio Bruto]]/OleoKGAluminio</f>
        <v>22.458159076444133</v>
      </c>
      <c r="U12" s="35">
        <f>IFERROR((VLOOKUP(Tabela3[[#This Row],[Moldador]],Tabela1[],5,)+(VLOOKUP(Tabela3[[#This Row],[Ajudante]],Tabela1[],5,))*3.5),0)</f>
        <v>99.95034583333333</v>
      </c>
      <c r="V12" s="35">
        <f>IFERROR(Tabela3[[#This Row],[Custo M.O. / H]]/((Tabela3[[#This Row],[Realizado]]/Tabela3[[#This Row],[Qdt Peça Placa]])/Tabela3[[#This Row],[Tempo]]/24),)</f>
        <v>11.538983014905147</v>
      </c>
      <c r="W12" s="35">
        <f>Tabela3[[#This Row],[Custo / Cx Moldada]]*Tabela3[[#This Row],[Qtde Cx Produzida]]</f>
        <v>253.85762632791324</v>
      </c>
      <c r="X12" s="35">
        <f ca="1">Tabela3[[#This Row],[Aluminio Util]]*Tabela3[[#This Row],[Custo/Kg]]</f>
        <v>383.76</v>
      </c>
      <c r="Y12" s="35">
        <f>IFERROR(VLOOKUP(Tabela3[[#This Row],[Data]],Tabela461213[],2,1)*(Tabela3[[#This Row],[Qtde Cx Produzida]]*Tabela3[[#This Row],[Qde macho / CX]]*Tabela3[[#This Row],[Peso Macho]]),)</f>
        <v>0</v>
      </c>
      <c r="Z12" s="35">
        <f>IFERROR(Tabela3[[#This Row],[Qtde Oleo]]*(VLOOKUP(Tabela3[[#This Row],[Data]],CompraOleo[],3,TRUE))*1.05,0)</f>
        <v>58.952667575665849</v>
      </c>
      <c r="AA12" s="47">
        <f ca="1">(Tabela3[[#This Row],[Custo Oleo]]+Tabela3[[#This Row],[Custo Aluminio]]+Tabela3[[#This Row],[Custo M.O. Total]]+Tabela3[[#This Row],[Custo Machos]])</f>
        <v>696.57029390357911</v>
      </c>
      <c r="AB12" s="47">
        <f ca="1">Tabela3[[#This Row],[Custo Total]]*Tabela3[[#This Row],[% Perda]]</f>
        <v>47.493429129789483</v>
      </c>
      <c r="AC12" s="48">
        <f>IFERROR(VLOOKUP(Tabela3[[#This Row],[Produto]],Tabela2[],2,0),0)</f>
        <v>4</v>
      </c>
      <c r="AD12" s="48">
        <f>IFERROR(VLOOKUP(Tabela3[[#This Row],[Produto]],Tabela2[],3,0),0)</f>
        <v>0.3</v>
      </c>
      <c r="AE12" s="48">
        <f>IFERROR(VLOOKUP(Tabela3[[#This Row],[Produto]],Tabela2[],4,0),0)</f>
        <v>2.2999999999999998</v>
      </c>
      <c r="AF12" s="48">
        <f>IFERROR(VLOOKUP(Tabela3[[#This Row],[Produto]],Tabela2[],5,0),0)</f>
        <v>0.98999999999999988</v>
      </c>
      <c r="AG12" s="40">
        <f>IFERROR(VLOOKUP(Tabela3[[#This Row],[Produto]],Tabela2[],6,0),0)</f>
        <v>0</v>
      </c>
      <c r="AH12" s="40">
        <f>IFERROR(VLOOKUP(Tabela3[[#This Row],[Produto]],Tabela2[],7,0),0)</f>
        <v>0</v>
      </c>
      <c r="AI12" s="40">
        <f>IFERROR(VLOOKUP(Tabela3[[#This Row],[Produto]],Tabela2[],8,0),0)</f>
        <v>0</v>
      </c>
      <c r="AJ12" s="35">
        <f ca="1">IFERROR(VLOOKUP(Tabela3[[#This Row],[Produto]],Tabela2[],13,0),0)</f>
        <v>15.600000000000001</v>
      </c>
      <c r="AK12" s="40" t="str">
        <f>IFERROR(VLOOKUP(Tabela3[[#This Row],[Produto]],Tabela2[],14,0),0)</f>
        <v>Senun</v>
      </c>
      <c r="AL12" s="40">
        <f>IFERROR(VLOOKUP(Tabela3[[#This Row],[Produto]],Tabela2[],15,0),0)</f>
        <v>3.5</v>
      </c>
      <c r="AM12" s="36">
        <f ca="1">(Tabela3[[#This Row],[Custo Usinagem]]+Tabela3[[#This Row],[Custo / Pç]])*1.2</f>
        <v>14.393711618101158</v>
      </c>
      <c r="AN12" s="36">
        <f ca="1">Tabela3[[#This Row],[Valor Mínimo Venda]]*1.15</f>
        <v>16.55276836081633</v>
      </c>
      <c r="AO12" s="36">
        <f ca="1">Tabela3[[#This Row],[Tabela 1]]*1.08</f>
        <v>17.876989829681637</v>
      </c>
      <c r="AP12" s="36">
        <f ca="1">Tabela3[[#This Row],[Tabela 2]]*1.15</f>
        <v>20.558538304133883</v>
      </c>
    </row>
    <row r="13" spans="1:42">
      <c r="A13" s="9">
        <v>45695</v>
      </c>
      <c r="B13" s="6" t="s">
        <v>247</v>
      </c>
      <c r="C13" s="14">
        <v>5438</v>
      </c>
      <c r="D13" s="6" t="s">
        <v>46</v>
      </c>
      <c r="E13" s="6" t="s">
        <v>53</v>
      </c>
      <c r="F13" s="6">
        <v>18</v>
      </c>
      <c r="G13" s="15">
        <v>0.11874999999999999</v>
      </c>
      <c r="H13" s="16">
        <v>5</v>
      </c>
      <c r="I13" s="35">
        <f ca="1">IFERROR(Tabela3[[#This Row],[Custo Total]]/Tabela3[[#This Row],[Aluminio Util]],0)</f>
        <v>33.229382204521933</v>
      </c>
      <c r="J13" s="35">
        <f ca="1">Tabela3[[#This Row],[Custo Total]]/Tabela3[[#This Row],[Realizado]]</f>
        <v>9.9688146613565785</v>
      </c>
      <c r="K13" s="37">
        <f>IFERROR(Tabela3[[#This Row],[Qtde Cx Produzida]]/Tabela3[[#This Row],[Tempo]]/24,0)</f>
        <v>6.3157894736842115</v>
      </c>
      <c r="L13" s="37">
        <f>Tabela3[[#This Row],[Qtde Cx Produzida]]*Tabela3[[#This Row],[Qdt Peça Placa]]</f>
        <v>72</v>
      </c>
      <c r="M13" s="37">
        <f>Tabela3[[#This Row],[Previsto]]-Tabela3[[#This Row],[Perda Pçs]]</f>
        <v>67</v>
      </c>
      <c r="N13" s="38">
        <f>IFERROR(Tabela3[[#This Row],[Perda Pçs]]/Tabela3[[#This Row],[Previsto]],0)</f>
        <v>6.9444444444444448E-2</v>
      </c>
      <c r="O13" s="39">
        <f>IFERROR(IF(Tabela3[[#This Row],[Qtde Cx Produzida]] &lt;&gt; 0, Tabela3[[#This Row],[Tempo]] / Tabela3[[#This Row],[Qtde Cx Produzida]], 0),0)</f>
        <v>6.5972222222222222E-3</v>
      </c>
      <c r="P13" s="57">
        <f>IFERROR(Tabela3[[#This Row],[Perda Pçs]]/Tabela3[[#This Row],[Qdt Peça Placa]],0)</f>
        <v>1.25</v>
      </c>
      <c r="Q13" s="37">
        <f>IFERROR(Tabela3[[#This Row],[Realizado]]*Tabela3[[#This Row],[Peso Util/Pç]],0)</f>
        <v>20.099999999999998</v>
      </c>
      <c r="R13" s="37">
        <f>IFERROR(Tabela3[[#This Row],[Peso Total Galho]]*Tabela3[[#This Row],[Qtde Cx Produzida]]*1.055,0)</f>
        <v>43.676999999999992</v>
      </c>
      <c r="S13" s="37">
        <f>(Tabela3[[#This Row],[Aluminio Bruto]]-Tabela3[[#This Row],[Aluminio Util]])*0.9</f>
        <v>21.219299999999997</v>
      </c>
      <c r="T13" s="37">
        <f>Tabela3[[#This Row],[Aluminio Bruto]]/OleoKGAluminio</f>
        <v>18.374857426181563</v>
      </c>
      <c r="U13" s="35">
        <f>IFERROR((VLOOKUP(Tabela3[[#This Row],[Moldador]],Tabela1[],5,)+(VLOOKUP(Tabela3[[#This Row],[Ajudante]],Tabela1[],5,))*3.5),0)</f>
        <v>99.95034583333333</v>
      </c>
      <c r="V13" s="35">
        <f>IFERROR(Tabela3[[#This Row],[Custo M.O. / H]]/((Tabela3[[#This Row],[Realizado]]/Tabela3[[#This Row],[Qdt Peça Placa]])/Tabela3[[#This Row],[Tempo]]/24),)</f>
        <v>17.006476753731341</v>
      </c>
      <c r="W13" s="35">
        <f>Tabela3[[#This Row],[Custo / Cx Moldada]]*Tabela3[[#This Row],[Qtde Cx Produzida]]</f>
        <v>306.11658156716413</v>
      </c>
      <c r="X13" s="35">
        <f ca="1">Tabela3[[#This Row],[Aluminio Util]]*Tabela3[[#This Row],[Custo/Kg]]</f>
        <v>313.56</v>
      </c>
      <c r="Y13" s="35">
        <f>IFERROR(VLOOKUP(Tabela3[[#This Row],[Data]],Tabela461213[],2,1)*(Tabela3[[#This Row],[Qtde Cx Produzida]]*Tabela3[[#This Row],[Qde macho / CX]]*Tabela3[[#This Row],[Peso Macho]]),)</f>
        <v>0</v>
      </c>
      <c r="Z13" s="35">
        <f>IFERROR(Tabela3[[#This Row],[Qtde Oleo]]*(VLOOKUP(Tabela3[[#This Row],[Data]],CompraOleo[],3,TRUE))*1.05,0)</f>
        <v>48.234000743726604</v>
      </c>
      <c r="AA13" s="47">
        <f ca="1">(Tabela3[[#This Row],[Custo Oleo]]+Tabela3[[#This Row],[Custo Aluminio]]+Tabela3[[#This Row],[Custo M.O. Total]]+Tabela3[[#This Row],[Custo Machos]])</f>
        <v>667.91058231089073</v>
      </c>
      <c r="AB13" s="47">
        <f ca="1">Tabela3[[#This Row],[Custo Total]]*Tabela3[[#This Row],[% Perda]]</f>
        <v>46.38267932714519</v>
      </c>
      <c r="AC13" s="48">
        <f>IFERROR(VLOOKUP(Tabela3[[#This Row],[Produto]],Tabela2[],2,0),0)</f>
        <v>4</v>
      </c>
      <c r="AD13" s="48">
        <f>IFERROR(VLOOKUP(Tabela3[[#This Row],[Produto]],Tabela2[],3,0),0)</f>
        <v>0.3</v>
      </c>
      <c r="AE13" s="48">
        <f>IFERROR(VLOOKUP(Tabela3[[#This Row],[Produto]],Tabela2[],4,0),0)</f>
        <v>2.2999999999999998</v>
      </c>
      <c r="AF13" s="48">
        <f>IFERROR(VLOOKUP(Tabela3[[#This Row],[Produto]],Tabela2[],5,0),0)</f>
        <v>0.98999999999999988</v>
      </c>
      <c r="AG13" s="40">
        <f>IFERROR(VLOOKUP(Tabela3[[#This Row],[Produto]],Tabela2[],6,0),0)</f>
        <v>0</v>
      </c>
      <c r="AH13" s="40">
        <f>IFERROR(VLOOKUP(Tabela3[[#This Row],[Produto]],Tabela2[],7,0),0)</f>
        <v>0</v>
      </c>
      <c r="AI13" s="40">
        <f>IFERROR(VLOOKUP(Tabela3[[#This Row],[Produto]],Tabela2[],8,0),0)</f>
        <v>0</v>
      </c>
      <c r="AJ13" s="35">
        <f ca="1">IFERROR(VLOOKUP(Tabela3[[#This Row],[Produto]],Tabela2[],13,0),0)</f>
        <v>15.600000000000001</v>
      </c>
      <c r="AK13" s="40" t="str">
        <f>IFERROR(VLOOKUP(Tabela3[[#This Row],[Produto]],Tabela2[],14,0),0)</f>
        <v>Senun</v>
      </c>
      <c r="AL13" s="40">
        <f>IFERROR(VLOOKUP(Tabela3[[#This Row],[Produto]],Tabela2[],15,0),0)</f>
        <v>3.5</v>
      </c>
      <c r="AM13" s="36">
        <f ca="1">(Tabela3[[#This Row],[Custo Usinagem]]+Tabela3[[#This Row],[Custo / Pç]])*1.2</f>
        <v>16.162577593627894</v>
      </c>
      <c r="AN13" s="36">
        <f ca="1">Tabela3[[#This Row],[Valor Mínimo Venda]]*1.15</f>
        <v>18.586964232672077</v>
      </c>
      <c r="AO13" s="36">
        <f ca="1">Tabela3[[#This Row],[Tabela 1]]*1.08</f>
        <v>20.073921371285845</v>
      </c>
      <c r="AP13" s="36">
        <f ca="1">Tabela3[[#This Row],[Tabela 2]]*1.15</f>
        <v>23.08500957697872</v>
      </c>
    </row>
    <row r="14" spans="1:42">
      <c r="A14" s="9">
        <v>45695</v>
      </c>
      <c r="B14" s="6" t="s">
        <v>241</v>
      </c>
      <c r="C14" s="14">
        <v>5440</v>
      </c>
      <c r="D14" s="6" t="s">
        <v>46</v>
      </c>
      <c r="E14" s="6" t="s">
        <v>53</v>
      </c>
      <c r="F14" s="6">
        <v>30</v>
      </c>
      <c r="G14" s="15">
        <v>0.18611111111111112</v>
      </c>
      <c r="H14" s="16">
        <v>14</v>
      </c>
      <c r="I14" s="35">
        <f ca="1">IFERROR(Tabela3[[#This Row],[Custo Total]]/Tabela3[[#This Row],[Aluminio Util]],0)</f>
        <v>25.718059262797322</v>
      </c>
      <c r="J14" s="35">
        <f ca="1">Tabela3[[#This Row],[Custo Total]]/Tabela3[[#This Row],[Realizado]]</f>
        <v>15.765170328094758</v>
      </c>
      <c r="K14" s="37">
        <f>IFERROR(Tabela3[[#This Row],[Qtde Cx Produzida]]/Tabela3[[#This Row],[Tempo]]/24,0)</f>
        <v>6.7164179104477606</v>
      </c>
      <c r="L14" s="37">
        <f>Tabela3[[#This Row],[Qtde Cx Produzida]]*Tabela3[[#This Row],[Qdt Peça Placa]]</f>
        <v>120</v>
      </c>
      <c r="M14" s="37">
        <f>Tabela3[[#This Row],[Previsto]]-Tabela3[[#This Row],[Perda Pçs]]</f>
        <v>106</v>
      </c>
      <c r="N14" s="38">
        <f>IFERROR(Tabela3[[#This Row],[Perda Pçs]]/Tabela3[[#This Row],[Previsto]],0)</f>
        <v>0.11666666666666667</v>
      </c>
      <c r="O14" s="39">
        <f>IFERROR(IF(Tabela3[[#This Row],[Qtde Cx Produzida]] &lt;&gt; 0, Tabela3[[#This Row],[Tempo]] / Tabela3[[#This Row],[Qtde Cx Produzida]], 0),0)</f>
        <v>6.2037037037037035E-3</v>
      </c>
      <c r="P14" s="57">
        <f>IFERROR(Tabela3[[#This Row],[Perda Pçs]]/Tabela3[[#This Row],[Qdt Peça Placa]],0)</f>
        <v>3.5</v>
      </c>
      <c r="Q14" s="37">
        <f>IFERROR(Tabela3[[#This Row],[Realizado]]*Tabela3[[#This Row],[Peso Util/Pç]],0)</f>
        <v>64.977999999999994</v>
      </c>
      <c r="R14" s="37">
        <f>IFERROR(Tabela3[[#This Row],[Peso Total Galho]]*Tabela3[[#This Row],[Qtde Cx Produzida]]*1.055,0)</f>
        <v>137.67749999999998</v>
      </c>
      <c r="S14" s="37">
        <f>(Tabela3[[#This Row],[Aluminio Bruto]]-Tabela3[[#This Row],[Aluminio Util]])*0.9</f>
        <v>65.429549999999992</v>
      </c>
      <c r="T14" s="37">
        <f>Tabela3[[#This Row],[Aluminio Bruto]]/OleoKGAluminio</f>
        <v>57.920746234702762</v>
      </c>
      <c r="U14" s="35">
        <f>IFERROR((VLOOKUP(Tabela3[[#This Row],[Moldador]],Tabela1[],5,)+(VLOOKUP(Tabela3[[#This Row],[Ajudante]],Tabela1[],5,))*3.5),0)</f>
        <v>99.95034583333333</v>
      </c>
      <c r="V14" s="35">
        <f>IFERROR(Tabela3[[#This Row],[Custo M.O. / H]]/((Tabela3[[#This Row],[Realizado]]/Tabela3[[#This Row],[Qdt Peça Placa]])/Tabela3[[#This Row],[Tempo]]/24),)</f>
        <v>16.846976530398322</v>
      </c>
      <c r="W14" s="35">
        <f>Tabela3[[#This Row],[Custo / Cx Moldada]]*Tabela3[[#This Row],[Qtde Cx Produzida]]</f>
        <v>505.4092959119497</v>
      </c>
      <c r="X14" s="35">
        <f ca="1">Tabela3[[#This Row],[Aluminio Util]]*Tabela3[[#This Row],[Custo/Kg]]</f>
        <v>1013.6568</v>
      </c>
      <c r="Y14" s="35">
        <f>IFERROR(VLOOKUP(Tabela3[[#This Row],[Data]],Tabela461213[],2,1)*(Tabela3[[#This Row],[Qtde Cx Produzida]]*Tabela3[[#This Row],[Qde macho / CX]]*Tabela3[[#This Row],[Peso Macho]]),)</f>
        <v>0</v>
      </c>
      <c r="Z14" s="35">
        <f>IFERROR(Tabela3[[#This Row],[Qtde Oleo]]*(VLOOKUP(Tabela3[[#This Row],[Data]],CompraOleo[],3,TRUE))*1.05,0)</f>
        <v>152.04195886609475</v>
      </c>
      <c r="AA14" s="47">
        <f ca="1">(Tabela3[[#This Row],[Custo Oleo]]+Tabela3[[#This Row],[Custo Aluminio]]+Tabela3[[#This Row],[Custo M.O. Total]]+Tabela3[[#This Row],[Custo Machos]])</f>
        <v>1671.1080547780443</v>
      </c>
      <c r="AB14" s="47">
        <f ca="1">Tabela3[[#This Row],[Custo Total]]*Tabela3[[#This Row],[% Perda]]</f>
        <v>194.96260639077184</v>
      </c>
      <c r="AC14" s="48">
        <f>IFERROR(VLOOKUP(Tabela3[[#This Row],[Produto]],Tabela2[],2,0),0)</f>
        <v>4</v>
      </c>
      <c r="AD14" s="48">
        <f>IFERROR(VLOOKUP(Tabela3[[#This Row],[Produto]],Tabela2[],3,0),0)</f>
        <v>0.61299999999999999</v>
      </c>
      <c r="AE14" s="48">
        <f>IFERROR(VLOOKUP(Tabela3[[#This Row],[Produto]],Tabela2[],4,0),0)</f>
        <v>4.3499999999999996</v>
      </c>
      <c r="AF14" s="48">
        <f>IFERROR(VLOOKUP(Tabela3[[#This Row],[Produto]],Tabela2[],5,0),0)</f>
        <v>1.7081999999999997</v>
      </c>
      <c r="AG14" s="40">
        <f>IFERROR(VLOOKUP(Tabela3[[#This Row],[Produto]],Tabela2[],6,0),0)</f>
        <v>0</v>
      </c>
      <c r="AH14" s="40">
        <f>IFERROR(VLOOKUP(Tabela3[[#This Row],[Produto]],Tabela2[],7,0),0)</f>
        <v>0</v>
      </c>
      <c r="AI14" s="40">
        <f>IFERROR(VLOOKUP(Tabela3[[#This Row],[Produto]],Tabela2[],8,0),0)</f>
        <v>0</v>
      </c>
      <c r="AJ14" s="35">
        <f ca="1">IFERROR(VLOOKUP(Tabela3[[#This Row],[Produto]],Tabela2[],13,0),0)</f>
        <v>15.600000000000001</v>
      </c>
      <c r="AK14" s="40" t="str">
        <f>IFERROR(VLOOKUP(Tabela3[[#This Row],[Produto]],Tabela2[],14,0),0)</f>
        <v>Senun</v>
      </c>
      <c r="AL14" s="40">
        <f>IFERROR(VLOOKUP(Tabela3[[#This Row],[Produto]],Tabela2[],15,0),0)</f>
        <v>4</v>
      </c>
      <c r="AM14" s="36">
        <f ca="1">(Tabela3[[#This Row],[Custo Usinagem]]+Tabela3[[#This Row],[Custo / Pç]])*1.2</f>
        <v>23.718204393713709</v>
      </c>
      <c r="AN14" s="36">
        <f ca="1">Tabela3[[#This Row],[Valor Mínimo Venda]]*1.15</f>
        <v>27.275935052770762</v>
      </c>
      <c r="AO14" s="36">
        <f ca="1">Tabela3[[#This Row],[Tabela 1]]*1.08</f>
        <v>29.458009856992426</v>
      </c>
      <c r="AP14" s="36">
        <f ca="1">Tabela3[[#This Row],[Tabela 2]]*1.15</f>
        <v>33.876711335541287</v>
      </c>
    </row>
    <row r="15" spans="1:42">
      <c r="A15" s="9">
        <v>45695</v>
      </c>
      <c r="B15" s="6" t="s">
        <v>244</v>
      </c>
      <c r="C15" s="14">
        <v>5441</v>
      </c>
      <c r="D15" s="6" t="s">
        <v>46</v>
      </c>
      <c r="E15" s="6" t="s">
        <v>53</v>
      </c>
      <c r="F15" s="6">
        <v>10</v>
      </c>
      <c r="G15" s="15">
        <v>4.8611111111111112E-2</v>
      </c>
      <c r="H15" s="16">
        <v>6</v>
      </c>
      <c r="I15" s="35">
        <f ca="1">IFERROR(Tabela3[[#This Row],[Custo Total]]/Tabela3[[#This Row],[Aluminio Util]],0)</f>
        <v>26.442139750778828</v>
      </c>
      <c r="J15" s="35">
        <f ca="1">Tabela3[[#This Row],[Custo Total]]/Tabela3[[#This Row],[Realizado]]</f>
        <v>12.427805682866047</v>
      </c>
      <c r="K15" s="37">
        <f>IFERROR(Tabela3[[#This Row],[Qtde Cx Produzida]]/Tabela3[[#This Row],[Tempo]]/24,0)</f>
        <v>8.5714285714285712</v>
      </c>
      <c r="L15" s="37">
        <f>Tabela3[[#This Row],[Qtde Cx Produzida]]*Tabela3[[#This Row],[Qdt Peça Placa]]</f>
        <v>40</v>
      </c>
      <c r="M15" s="37">
        <f>Tabela3[[#This Row],[Previsto]]-Tabela3[[#This Row],[Perda Pçs]]</f>
        <v>34</v>
      </c>
      <c r="N15" s="38">
        <f>IFERROR(Tabela3[[#This Row],[Perda Pçs]]/Tabela3[[#This Row],[Previsto]],0)</f>
        <v>0.15</v>
      </c>
      <c r="O15" s="39">
        <f>IFERROR(IF(Tabela3[[#This Row],[Qtde Cx Produzida]] &lt;&gt; 0, Tabela3[[#This Row],[Tempo]] / Tabela3[[#This Row],[Qtde Cx Produzida]], 0),0)</f>
        <v>4.8611111111111112E-3</v>
      </c>
      <c r="P15" s="57">
        <f>IFERROR(Tabela3[[#This Row],[Perda Pçs]]/Tabela3[[#This Row],[Qdt Peça Placa]],0)</f>
        <v>1.5</v>
      </c>
      <c r="Q15" s="37">
        <f>IFERROR(Tabela3[[#This Row],[Realizado]]*Tabela3[[#This Row],[Peso Util/Pç]],0)</f>
        <v>15.979999999999999</v>
      </c>
      <c r="R15" s="37">
        <f>IFERROR(Tabela3[[#This Row],[Peso Total Galho]]*Tabela3[[#This Row],[Qtde Cx Produzida]]*1.055,0)</f>
        <v>32.662799999999997</v>
      </c>
      <c r="S15" s="37">
        <f>(Tabela3[[#This Row],[Aluminio Bruto]]-Tabela3[[#This Row],[Aluminio Util]])*0.9</f>
        <v>15.014520000000001</v>
      </c>
      <c r="T15" s="37">
        <f>Tabela3[[#This Row],[Aluminio Bruto]]/OleoKGAluminio</f>
        <v>13.741197727405345</v>
      </c>
      <c r="U15" s="35">
        <f>IFERROR((VLOOKUP(Tabela3[[#This Row],[Moldador]],Tabela1[],5,)+(VLOOKUP(Tabela3[[#This Row],[Ajudante]],Tabela1[],5,))*3.5),0)</f>
        <v>99.95034583333333</v>
      </c>
      <c r="V15" s="35">
        <f>IFERROR(Tabela3[[#This Row],[Custo M.O. / H]]/((Tabela3[[#This Row],[Realizado]]/Tabela3[[#This Row],[Qdt Peça Placa]])/Tabela3[[#This Row],[Tempo]]/24),)</f>
        <v>13.718674918300653</v>
      </c>
      <c r="W15" s="35">
        <f>Tabela3[[#This Row],[Custo / Cx Moldada]]*Tabela3[[#This Row],[Qtde Cx Produzida]]</f>
        <v>137.18674918300653</v>
      </c>
      <c r="X15" s="35">
        <f ca="1">Tabela3[[#This Row],[Aluminio Util]]*Tabela3[[#This Row],[Custo/Kg]]</f>
        <v>249.28800000000001</v>
      </c>
      <c r="Y15" s="35">
        <f>IFERROR(VLOOKUP(Tabela3[[#This Row],[Data]],Tabela461213[],2,1)*(Tabela3[[#This Row],[Qtde Cx Produzida]]*Tabela3[[#This Row],[Qde macho / CX]]*Tabela3[[#This Row],[Peso Macho]]),)</f>
        <v>0</v>
      </c>
      <c r="Z15" s="35">
        <f>IFERROR(Tabela3[[#This Row],[Qtde Oleo]]*(VLOOKUP(Tabela3[[#This Row],[Data]],CompraOleo[],3,TRUE))*1.05,0)</f>
        <v>36.070644034439027</v>
      </c>
      <c r="AA15" s="47">
        <f ca="1">(Tabela3[[#This Row],[Custo Oleo]]+Tabela3[[#This Row],[Custo Aluminio]]+Tabela3[[#This Row],[Custo M.O. Total]]+Tabela3[[#This Row],[Custo Machos]])</f>
        <v>422.54539321744562</v>
      </c>
      <c r="AB15" s="47">
        <f ca="1">Tabela3[[#This Row],[Custo Total]]*Tabela3[[#This Row],[% Perda]]</f>
        <v>63.381808982616839</v>
      </c>
      <c r="AC15" s="48">
        <f>IFERROR(VLOOKUP(Tabela3[[#This Row],[Produto]],Tabela2[],2,0),0)</f>
        <v>4</v>
      </c>
      <c r="AD15" s="48">
        <f>IFERROR(VLOOKUP(Tabela3[[#This Row],[Produto]],Tabela2[],3,0),0)</f>
        <v>0.47</v>
      </c>
      <c r="AE15" s="48">
        <f>IFERROR(VLOOKUP(Tabela3[[#This Row],[Produto]],Tabela2[],4,0),0)</f>
        <v>3.0960000000000001</v>
      </c>
      <c r="AF15" s="48">
        <f>IFERROR(VLOOKUP(Tabela3[[#This Row],[Produto]],Tabela2[],5,0),0)</f>
        <v>1.0944000000000003</v>
      </c>
      <c r="AG15" s="40">
        <f>IFERROR(VLOOKUP(Tabela3[[#This Row],[Produto]],Tabela2[],6,0),0)</f>
        <v>0</v>
      </c>
      <c r="AH15" s="40">
        <f>IFERROR(VLOOKUP(Tabela3[[#This Row],[Produto]],Tabela2[],7,0),0)</f>
        <v>0</v>
      </c>
      <c r="AI15" s="40">
        <f>IFERROR(VLOOKUP(Tabela3[[#This Row],[Produto]],Tabela2[],8,0),0)</f>
        <v>0</v>
      </c>
      <c r="AJ15" s="35">
        <f ca="1">IFERROR(VLOOKUP(Tabela3[[#This Row],[Produto]],Tabela2[],13,0),0)</f>
        <v>15.600000000000001</v>
      </c>
      <c r="AK15" s="40" t="str">
        <f>IFERROR(VLOOKUP(Tabela3[[#This Row],[Produto]],Tabela2[],14,0),0)</f>
        <v>Senun</v>
      </c>
      <c r="AL15" s="40">
        <f>IFERROR(VLOOKUP(Tabela3[[#This Row],[Produto]],Tabela2[],15,0),0)</f>
        <v>4</v>
      </c>
      <c r="AM15" s="36">
        <f ca="1">(Tabela3[[#This Row],[Custo Usinagem]]+Tabela3[[#This Row],[Custo / Pç]])*1.2</f>
        <v>19.713366819439255</v>
      </c>
      <c r="AN15" s="36">
        <f ca="1">Tabela3[[#This Row],[Valor Mínimo Venda]]*1.15</f>
        <v>22.670371842355141</v>
      </c>
      <c r="AO15" s="36">
        <f ca="1">Tabela3[[#This Row],[Tabela 1]]*1.08</f>
        <v>24.484001589743553</v>
      </c>
      <c r="AP15" s="36">
        <f ca="1">Tabela3[[#This Row],[Tabela 2]]*1.15</f>
        <v>28.156601828205083</v>
      </c>
    </row>
    <row r="16" spans="1:42">
      <c r="A16" s="9">
        <v>45698</v>
      </c>
      <c r="B16" s="6" t="s">
        <v>272</v>
      </c>
      <c r="C16" s="14">
        <v>5428</v>
      </c>
      <c r="D16" s="6" t="s">
        <v>46</v>
      </c>
      <c r="E16" s="6" t="s">
        <v>53</v>
      </c>
      <c r="F16" s="6">
        <v>14</v>
      </c>
      <c r="G16" s="15">
        <v>6.6666666666666666E-2</v>
      </c>
      <c r="H16" s="16">
        <v>0</v>
      </c>
      <c r="I16" s="35">
        <f ca="1">IFERROR(Tabela3[[#This Row],[Custo Total]]/Tabela3[[#This Row],[Aluminio Util]],0)</f>
        <v>28.581695782968893</v>
      </c>
      <c r="J16" s="35">
        <f ca="1">Tabela3[[#This Row],[Custo Total]]/Tabela3[[#This Row],[Realizado]]</f>
        <v>39.442740180497076</v>
      </c>
      <c r="K16" s="37">
        <f>IFERROR(Tabela3[[#This Row],[Qtde Cx Produzida]]/Tabela3[[#This Row],[Tempo]]/24,0)</f>
        <v>8.75</v>
      </c>
      <c r="L16" s="37">
        <f>Tabela3[[#This Row],[Qtde Cx Produzida]]*Tabela3[[#This Row],[Qdt Peça Placa]]</f>
        <v>14</v>
      </c>
      <c r="M16" s="37">
        <f>Tabela3[[#This Row],[Previsto]]-Tabela3[[#This Row],[Perda Pçs]]</f>
        <v>14</v>
      </c>
      <c r="N16" s="38">
        <f>IFERROR(Tabela3[[#This Row],[Perda Pçs]]/Tabela3[[#This Row],[Previsto]],0)</f>
        <v>0</v>
      </c>
      <c r="O16" s="39">
        <f>IFERROR(IF(Tabela3[[#This Row],[Qtde Cx Produzida]] &lt;&gt; 0, Tabela3[[#This Row],[Tempo]] / Tabela3[[#This Row],[Qtde Cx Produzida]], 0),0)</f>
        <v>4.7619047619047615E-3</v>
      </c>
      <c r="P16" s="57">
        <f>IFERROR(Tabela3[[#This Row],[Perda Pçs]]/Tabela3[[#This Row],[Qdt Peça Placa]],0)</f>
        <v>0</v>
      </c>
      <c r="Q16" s="37">
        <f>IFERROR(Tabela3[[#This Row],[Realizado]]*Tabela3[[#This Row],[Peso Util/Pç]],0)</f>
        <v>19.32</v>
      </c>
      <c r="R16" s="37">
        <f>IFERROR(Tabela3[[#This Row],[Peso Total Galho]]*Tabela3[[#This Row],[Qtde Cx Produzida]]*1.055,0)</f>
        <v>29.244599999999998</v>
      </c>
      <c r="S16" s="37">
        <f>(Tabela3[[#This Row],[Aluminio Bruto]]-Tabela3[[#This Row],[Aluminio Util]])*0.9</f>
        <v>8.9321399999999986</v>
      </c>
      <c r="T16" s="37">
        <f>Tabela3[[#This Row],[Aluminio Bruto]]/OleoKGAluminio</f>
        <v>12.303165407095483</v>
      </c>
      <c r="U16" s="35">
        <f>IFERROR((VLOOKUP(Tabela3[[#This Row],[Moldador]],Tabela1[],5,)+(VLOOKUP(Tabela3[[#This Row],[Ajudante]],Tabela1[],5,))*3.5),0)</f>
        <v>99.95034583333333</v>
      </c>
      <c r="V16" s="35">
        <f>IFERROR(Tabela3[[#This Row],[Custo M.O. / H]]/((Tabela3[[#This Row],[Realizado]]/Tabela3[[#This Row],[Qdt Peça Placa]])/Tabela3[[#This Row],[Tempo]]/24),)</f>
        <v>11.422896666666666</v>
      </c>
      <c r="W16" s="35">
        <f>Tabela3[[#This Row],[Custo / Cx Moldada]]*Tabela3[[#This Row],[Qtde Cx Produzida]]</f>
        <v>159.92055333333332</v>
      </c>
      <c r="X16" s="35">
        <f ca="1">Tabela3[[#This Row],[Aluminio Util]]*Tabela3[[#This Row],[Custo/Kg]]</f>
        <v>301.39200000000005</v>
      </c>
      <c r="Y16" s="35">
        <f>IFERROR(VLOOKUP(Tabela3[[#This Row],[Data]],Tabela461213[],2,1)*(Tabela3[[#This Row],[Qtde Cx Produzida]]*Tabela3[[#This Row],[Qde macho / CX]]*Tabela3[[#This Row],[Peso Macho]]),)</f>
        <v>58.59</v>
      </c>
      <c r="Z16" s="35">
        <f>IFERROR(Tabela3[[#This Row],[Qtde Oleo]]*(VLOOKUP(Tabela3[[#This Row],[Data]],CompraOleo[],3,TRUE))*1.05,0)</f>
        <v>32.295809193625644</v>
      </c>
      <c r="AA16" s="47">
        <f ca="1">(Tabela3[[#This Row],[Custo Oleo]]+Tabela3[[#This Row],[Custo Aluminio]]+Tabela3[[#This Row],[Custo M.O. Total]]+Tabela3[[#This Row],[Custo Machos]])</f>
        <v>552.19836252695904</v>
      </c>
      <c r="AB16" s="47">
        <f ca="1">Tabela3[[#This Row],[Custo Total]]*Tabela3[[#This Row],[% Perda]]</f>
        <v>0</v>
      </c>
      <c r="AC16" s="48">
        <f>IFERROR(VLOOKUP(Tabela3[[#This Row],[Produto]],Tabela2[],2,0),0)</f>
        <v>1</v>
      </c>
      <c r="AD16" s="48">
        <f>IFERROR(VLOOKUP(Tabela3[[#This Row],[Produto]],Tabela2[],3,0),0)</f>
        <v>1.38</v>
      </c>
      <c r="AE16" s="48">
        <f>IFERROR(VLOOKUP(Tabela3[[#This Row],[Produto]],Tabela2[],4,0),0)</f>
        <v>1.98</v>
      </c>
      <c r="AF16" s="48">
        <f>IFERROR(VLOOKUP(Tabela3[[#This Row],[Produto]],Tabela2[],5,0),0)</f>
        <v>0.54000000000000015</v>
      </c>
      <c r="AG16" s="40">
        <f>IFERROR(VLOOKUP(Tabela3[[#This Row],[Produto]],Tabela2[],6,0),0)</f>
        <v>0</v>
      </c>
      <c r="AH16" s="40">
        <f>IFERROR(VLOOKUP(Tabela3[[#This Row],[Produto]],Tabela2[],7,0),0)</f>
        <v>3</v>
      </c>
      <c r="AI16" s="40">
        <f>IFERROR(VLOOKUP(Tabela3[[#This Row],[Produto]],Tabela2[],8,0),0)</f>
        <v>0.93</v>
      </c>
      <c r="AJ16" s="35">
        <f ca="1">IFERROR(VLOOKUP(Tabela3[[#This Row],[Produto]],Tabela2[],13,0),0)</f>
        <v>15.600000000000001</v>
      </c>
      <c r="AK16" s="40" t="str">
        <f>IFERROR(VLOOKUP(Tabela3[[#This Row],[Produto]],Tabela2[],14,0),0)</f>
        <v>Jumil</v>
      </c>
      <c r="AL16" s="40">
        <f>IFERROR(VLOOKUP(Tabela3[[#This Row],[Produto]],Tabela2[],15,0),0)</f>
        <v>8</v>
      </c>
      <c r="AM16" s="36">
        <f ca="1">(Tabela3[[#This Row],[Custo Usinagem]]+Tabela3[[#This Row],[Custo / Pç]])*1.2</f>
        <v>56.931288216596492</v>
      </c>
      <c r="AN16" s="36">
        <f ca="1">Tabela3[[#This Row],[Valor Mínimo Venda]]*1.15</f>
        <v>65.470981449085954</v>
      </c>
      <c r="AO16" s="36">
        <f ca="1">Tabela3[[#This Row],[Tabela 1]]*1.08</f>
        <v>70.708659965012842</v>
      </c>
      <c r="AP16" s="36">
        <f ca="1">Tabela3[[#This Row],[Tabela 2]]*1.15</f>
        <v>81.314958959764766</v>
      </c>
    </row>
    <row r="17" spans="1:42">
      <c r="A17" s="9">
        <v>45698</v>
      </c>
      <c r="B17" s="6" t="s">
        <v>91</v>
      </c>
      <c r="C17" s="14">
        <v>5422</v>
      </c>
      <c r="D17" s="6" t="s">
        <v>46</v>
      </c>
      <c r="E17" s="6" t="s">
        <v>53</v>
      </c>
      <c r="F17" s="6">
        <v>15</v>
      </c>
      <c r="G17" s="15">
        <v>9.930555555555555E-2</v>
      </c>
      <c r="H17" s="16">
        <v>3</v>
      </c>
      <c r="I17" s="35">
        <f ca="1">IFERROR(Tabela3[[#This Row],[Custo Total]]/Tabela3[[#This Row],[Aluminio Util]],0)</f>
        <v>39.464347340062318</v>
      </c>
      <c r="J17" s="35">
        <f ca="1">Tabela3[[#This Row],[Custo Total]]/Tabela3[[#This Row],[Realizado]]</f>
        <v>30.940048314608859</v>
      </c>
      <c r="K17" s="37">
        <f>IFERROR(Tabela3[[#This Row],[Qtde Cx Produzida]]/Tabela3[[#This Row],[Tempo]]/24,0)</f>
        <v>6.2937062937062942</v>
      </c>
      <c r="L17" s="37">
        <f>Tabela3[[#This Row],[Qtde Cx Produzida]]*Tabela3[[#This Row],[Qdt Peça Placa]]</f>
        <v>60</v>
      </c>
      <c r="M17" s="37">
        <f>Tabela3[[#This Row],[Previsto]]-Tabela3[[#This Row],[Perda Pçs]]</f>
        <v>57</v>
      </c>
      <c r="N17" s="38">
        <f>IFERROR(Tabela3[[#This Row],[Perda Pçs]]/Tabela3[[#This Row],[Previsto]],0)</f>
        <v>0.05</v>
      </c>
      <c r="O17" s="39">
        <f>IFERROR(IF(Tabela3[[#This Row],[Qtde Cx Produzida]] &lt;&gt; 0, Tabela3[[#This Row],[Tempo]] / Tabela3[[#This Row],[Qtde Cx Produzida]], 0),0)</f>
        <v>6.6203703703703702E-3</v>
      </c>
      <c r="P17" s="57">
        <f>IFERROR(Tabela3[[#This Row],[Perda Pçs]]/Tabela3[[#This Row],[Qdt Peça Placa]],0)</f>
        <v>0.75</v>
      </c>
      <c r="Q17" s="37">
        <f>IFERROR(Tabela3[[#This Row],[Realizado]]*Tabela3[[#This Row],[Peso Util/Pç]],0)</f>
        <v>44.688000000000002</v>
      </c>
      <c r="R17" s="37">
        <f>IFERROR(Tabela3[[#This Row],[Peso Total Galho]]*Tabela3[[#This Row],[Qtde Cx Produzida]]*1.055,0)</f>
        <v>87.7971</v>
      </c>
      <c r="S17" s="37">
        <f>(Tabela3[[#This Row],[Aluminio Bruto]]-Tabela3[[#This Row],[Aluminio Util]])*0.9</f>
        <v>38.798189999999998</v>
      </c>
      <c r="T17" s="37">
        <f>Tabela3[[#This Row],[Aluminio Bruto]]/OleoKGAluminio</f>
        <v>36.936126449440337</v>
      </c>
      <c r="U17" s="35">
        <f>IFERROR((VLOOKUP(Tabela3[[#This Row],[Moldador]],Tabela1[],5,)+(VLOOKUP(Tabela3[[#This Row],[Ajudante]],Tabela1[],5,))*3.5),0)</f>
        <v>99.95034583333333</v>
      </c>
      <c r="V17" s="35">
        <f>IFERROR(Tabela3[[#This Row],[Custo M.O. / H]]/((Tabela3[[#This Row],[Realizado]]/Tabela3[[#This Row],[Qdt Peça Placa]])/Tabela3[[#This Row],[Tempo]]/24),)</f>
        <v>16.716841466861599</v>
      </c>
      <c r="W17" s="35">
        <f>Tabela3[[#This Row],[Custo / Cx Moldada]]*Tabela3[[#This Row],[Qtde Cx Produzida]]</f>
        <v>250.75262200292397</v>
      </c>
      <c r="X17" s="35">
        <f ca="1">Tabela3[[#This Row],[Aluminio Util]]*Tabela3[[#This Row],[Custo/Kg]]</f>
        <v>697.13280000000009</v>
      </c>
      <c r="Y17" s="35">
        <f>IFERROR(VLOOKUP(Tabela3[[#This Row],[Data]],Tabela461213[],2,1)*(Tabela3[[#This Row],[Qtde Cx Produzida]]*Tabela3[[#This Row],[Qde macho / CX]]*Tabela3[[#This Row],[Peso Macho]]),)</f>
        <v>718.74</v>
      </c>
      <c r="Z17" s="35">
        <f>IFERROR(Tabela3[[#This Row],[Qtde Oleo]]*(VLOOKUP(Tabela3[[#This Row],[Data]],CompraOleo[],3,TRUE))*1.05,0)</f>
        <v>96.957331929780892</v>
      </c>
      <c r="AA17" s="47">
        <f ca="1">(Tabela3[[#This Row],[Custo Oleo]]+Tabela3[[#This Row],[Custo Aluminio]]+Tabela3[[#This Row],[Custo M.O. Total]]+Tabela3[[#This Row],[Custo Machos]])</f>
        <v>1763.5827539327049</v>
      </c>
      <c r="AB17" s="47">
        <f ca="1">Tabela3[[#This Row],[Custo Total]]*Tabela3[[#This Row],[% Perda]]</f>
        <v>88.179137696635252</v>
      </c>
      <c r="AC17" s="48">
        <f>IFERROR(VLOOKUP(Tabela3[[#This Row],[Produto]],Tabela2[],2,0),0)</f>
        <v>4</v>
      </c>
      <c r="AD17" s="48">
        <f>IFERROR(VLOOKUP(Tabela3[[#This Row],[Produto]],Tabela2[],3,0),0)</f>
        <v>0.78400000000000003</v>
      </c>
      <c r="AE17" s="48">
        <f>IFERROR(VLOOKUP(Tabela3[[#This Row],[Produto]],Tabela2[],4,0),0)</f>
        <v>5.548</v>
      </c>
      <c r="AF17" s="48">
        <f>IFERROR(VLOOKUP(Tabela3[[#This Row],[Produto]],Tabela2[],5,0),0)</f>
        <v>2.1707999999999998</v>
      </c>
      <c r="AG17" s="40">
        <f>IFERROR(VLOOKUP(Tabela3[[#This Row],[Produto]],Tabela2[],6,0),0)</f>
        <v>0</v>
      </c>
      <c r="AH17" s="40">
        <f>IFERROR(VLOOKUP(Tabela3[[#This Row],[Produto]],Tabela2[],7,0),0)</f>
        <v>12</v>
      </c>
      <c r="AI17" s="40">
        <f>IFERROR(VLOOKUP(Tabela3[[#This Row],[Produto]],Tabela2[],8,0),0)</f>
        <v>2.6619999999999999</v>
      </c>
      <c r="AJ17" s="35">
        <f ca="1">IFERROR(VLOOKUP(Tabela3[[#This Row],[Produto]],Tabela2[],13,0),0)</f>
        <v>15.600000000000001</v>
      </c>
      <c r="AK17" s="40" t="str">
        <f>IFERROR(VLOOKUP(Tabela3[[#This Row],[Produto]],Tabela2[],14,0),0)</f>
        <v>Jumil</v>
      </c>
      <c r="AL17" s="40">
        <f>IFERROR(VLOOKUP(Tabela3[[#This Row],[Produto]],Tabela2[],15,0),0)</f>
        <v>8</v>
      </c>
      <c r="AM17" s="36">
        <f ca="1">(Tabela3[[#This Row],[Custo Usinagem]]+Tabela3[[#This Row],[Custo / Pç]])*1.2</f>
        <v>46.728057977530632</v>
      </c>
      <c r="AN17" s="36">
        <f ca="1">Tabela3[[#This Row],[Valor Mínimo Venda]]*1.15</f>
        <v>53.737266674160225</v>
      </c>
      <c r="AO17" s="36">
        <f ca="1">Tabela3[[#This Row],[Tabela 1]]*1.08</f>
        <v>58.036248008093047</v>
      </c>
      <c r="AP17" s="36">
        <f ca="1">Tabela3[[#This Row],[Tabela 2]]*1.15</f>
        <v>66.741685209306993</v>
      </c>
    </row>
    <row r="18" spans="1:42">
      <c r="A18" s="9">
        <v>45698</v>
      </c>
      <c r="B18" s="6" t="s">
        <v>115</v>
      </c>
      <c r="C18" s="14">
        <v>5454</v>
      </c>
      <c r="D18" s="6" t="s">
        <v>46</v>
      </c>
      <c r="E18" s="6" t="s">
        <v>53</v>
      </c>
      <c r="F18" s="6">
        <v>10</v>
      </c>
      <c r="G18" s="15">
        <v>6.0416666666666667E-2</v>
      </c>
      <c r="H18" s="16">
        <v>0</v>
      </c>
      <c r="I18" s="35">
        <f ca="1">IFERROR(Tabela3[[#This Row],[Custo Total]]/Tabela3[[#This Row],[Aluminio Util]],0)</f>
        <v>24.273744869301368</v>
      </c>
      <c r="J18" s="35">
        <f ca="1">Tabela3[[#This Row],[Custo Total]]/Tabela3[[#This Row],[Realizado]]</f>
        <v>6.3597211557569588</v>
      </c>
      <c r="K18" s="37">
        <f>IFERROR(Tabela3[[#This Row],[Qtde Cx Produzida]]/Tabela3[[#This Row],[Tempo]]/24,0)</f>
        <v>6.8965517241379315</v>
      </c>
      <c r="L18" s="37">
        <f>Tabela3[[#This Row],[Qtde Cx Produzida]]*Tabela3[[#This Row],[Qdt Peça Placa]]</f>
        <v>120</v>
      </c>
      <c r="M18" s="37">
        <f>Tabela3[[#This Row],[Previsto]]-Tabela3[[#This Row],[Perda Pçs]]</f>
        <v>120</v>
      </c>
      <c r="N18" s="38">
        <f>IFERROR(Tabela3[[#This Row],[Perda Pçs]]/Tabela3[[#This Row],[Previsto]],0)</f>
        <v>0</v>
      </c>
      <c r="O18" s="39">
        <f>IFERROR(IF(Tabela3[[#This Row],[Qtde Cx Produzida]] &lt;&gt; 0, Tabela3[[#This Row],[Tempo]] / Tabela3[[#This Row],[Qtde Cx Produzida]], 0),0)</f>
        <v>6.0416666666666665E-3</v>
      </c>
      <c r="P18" s="57">
        <f>IFERROR(Tabela3[[#This Row],[Perda Pçs]]/Tabela3[[#This Row],[Qdt Peça Placa]],0)</f>
        <v>0</v>
      </c>
      <c r="Q18" s="37">
        <f>IFERROR(Tabela3[[#This Row],[Realizado]]*Tabela3[[#This Row],[Peso Util/Pç]],0)</f>
        <v>31.44</v>
      </c>
      <c r="R18" s="37">
        <f>IFERROR(Tabela3[[#This Row],[Peso Total Galho]]*Tabela3[[#This Row],[Qtde Cx Produzida]]*1.055,0)</f>
        <v>58.763500000000001</v>
      </c>
      <c r="S18" s="37">
        <f>(Tabela3[[#This Row],[Aluminio Bruto]]-Tabela3[[#This Row],[Aluminio Util]])*0.9</f>
        <v>24.591149999999999</v>
      </c>
      <c r="T18" s="37">
        <f>Tabela3[[#This Row],[Aluminio Bruto]]/OleoKGAluminio</f>
        <v>24.721728469524475</v>
      </c>
      <c r="U18" s="35">
        <f>IFERROR((VLOOKUP(Tabela3[[#This Row],[Moldador]],Tabela1[],5,)+(VLOOKUP(Tabela3[[#This Row],[Ajudante]],Tabela1[],5,))*3.5),0)</f>
        <v>99.95034583333333</v>
      </c>
      <c r="V18" s="35">
        <f>IFERROR(Tabela3[[#This Row],[Custo M.O. / H]]/((Tabela3[[#This Row],[Realizado]]/Tabela3[[#This Row],[Qdt Peça Placa]])/Tabela3[[#This Row],[Tempo]]/24),)</f>
        <v>14.492800145833332</v>
      </c>
      <c r="W18" s="35">
        <f>Tabela3[[#This Row],[Custo / Cx Moldada]]*Tabela3[[#This Row],[Qtde Cx Produzida]]</f>
        <v>144.92800145833331</v>
      </c>
      <c r="X18" s="35">
        <f ca="1">Tabela3[[#This Row],[Aluminio Util]]*Tabela3[[#This Row],[Custo/Kg]]</f>
        <v>553.34400000000005</v>
      </c>
      <c r="Y18" s="35">
        <f>IFERROR(VLOOKUP(Tabela3[[#This Row],[Data]],Tabela461213[],2,1)*(Tabela3[[#This Row],[Qtde Cx Produzida]]*Tabela3[[#This Row],[Qde macho / CX]]*Tabela3[[#This Row],[Peso Macho]]),)</f>
        <v>0</v>
      </c>
      <c r="Z18" s="35">
        <f>IFERROR(Tabela3[[#This Row],[Qtde Oleo]]*(VLOOKUP(Tabela3[[#This Row],[Data]],CompraOleo[],3,TRUE))*1.05,0)</f>
        <v>64.894537232501747</v>
      </c>
      <c r="AA18" s="47">
        <f ca="1">(Tabela3[[#This Row],[Custo Oleo]]+Tabela3[[#This Row],[Custo Aluminio]]+Tabela3[[#This Row],[Custo M.O. Total]]+Tabela3[[#This Row],[Custo Machos]])</f>
        <v>763.16653869083507</v>
      </c>
      <c r="AB18" s="47">
        <f ca="1">Tabela3[[#This Row],[Custo Total]]*Tabela3[[#This Row],[% Perda]]</f>
        <v>0</v>
      </c>
      <c r="AC18" s="48">
        <f>IFERROR(VLOOKUP(Tabela3[[#This Row],[Produto]],Tabela2[],2,0),0)</f>
        <v>12</v>
      </c>
      <c r="AD18" s="48">
        <f>IFERROR(VLOOKUP(Tabela3[[#This Row],[Produto]],Tabela2[],3,0),0)</f>
        <v>0.26200000000000001</v>
      </c>
      <c r="AE18" s="48">
        <f>IFERROR(VLOOKUP(Tabela3[[#This Row],[Produto]],Tabela2[],4,0),0)</f>
        <v>5.57</v>
      </c>
      <c r="AF18" s="48">
        <f>IFERROR(VLOOKUP(Tabela3[[#This Row],[Produto]],Tabela2[],5,0),0)</f>
        <v>2.1834000000000002</v>
      </c>
      <c r="AG18" s="40">
        <f>IFERROR(VLOOKUP(Tabela3[[#This Row],[Produto]],Tabela2[],6,0),0)</f>
        <v>0</v>
      </c>
      <c r="AH18" s="40">
        <f>IFERROR(VLOOKUP(Tabela3[[#This Row],[Produto]],Tabela2[],7,0),0)</f>
        <v>0</v>
      </c>
      <c r="AI18" s="40">
        <f>IFERROR(VLOOKUP(Tabela3[[#This Row],[Produto]],Tabela2[],8,0),0)</f>
        <v>0</v>
      </c>
      <c r="AJ18" s="35">
        <f ca="1">IFERROR(VLOOKUP(Tabela3[[#This Row],[Produto]],Tabela2[],13,0),0)</f>
        <v>17.600000000000001</v>
      </c>
      <c r="AK18" s="40" t="str">
        <f>IFERROR(VLOOKUP(Tabela3[[#This Row],[Produto]],Tabela2[],14,0),0)</f>
        <v>Marcelo</v>
      </c>
      <c r="AL18" s="40">
        <f>IFERROR(VLOOKUP(Tabela3[[#This Row],[Produto]],Tabela2[],15,0),0)</f>
        <v>5</v>
      </c>
      <c r="AM18" s="36">
        <f ca="1">(Tabela3[[#This Row],[Custo Usinagem]]+Tabela3[[#This Row],[Custo / Pç]])*1.2</f>
        <v>13.631665386908349</v>
      </c>
      <c r="AN18" s="36">
        <f ca="1">Tabela3[[#This Row],[Valor Mínimo Venda]]*1.15</f>
        <v>15.6764151949446</v>
      </c>
      <c r="AO18" s="36">
        <f ca="1">Tabela3[[#This Row],[Tabela 1]]*1.08</f>
        <v>16.93052841054017</v>
      </c>
      <c r="AP18" s="36">
        <f ca="1">Tabela3[[#This Row],[Tabela 2]]*1.15</f>
        <v>19.470107672121195</v>
      </c>
    </row>
    <row r="19" spans="1:42">
      <c r="A19" s="9">
        <v>45698</v>
      </c>
      <c r="B19" s="6" t="s">
        <v>229</v>
      </c>
      <c r="C19" s="14">
        <v>5421</v>
      </c>
      <c r="D19" s="6" t="s">
        <v>46</v>
      </c>
      <c r="E19" s="6" t="s">
        <v>53</v>
      </c>
      <c r="F19" s="6">
        <v>18</v>
      </c>
      <c r="G19" s="15">
        <v>0.10069444444444445</v>
      </c>
      <c r="H19" s="16">
        <v>0</v>
      </c>
      <c r="I19" s="35">
        <f ca="1">IFERROR(Tabela3[[#This Row],[Custo Total]]/Tabela3[[#This Row],[Aluminio Util]],0)</f>
        <v>21.938512895485594</v>
      </c>
      <c r="J19" s="35">
        <f ca="1">Tabela3[[#This Row],[Custo Total]]/Tabela3[[#This Row],[Realizado]]</f>
        <v>61.164573952613836</v>
      </c>
      <c r="K19" s="37">
        <f>IFERROR(Tabela3[[#This Row],[Qtde Cx Produzida]]/Tabela3[[#This Row],[Tempo]]/24,0)</f>
        <v>7.4482758620689653</v>
      </c>
      <c r="L19" s="37">
        <f>Tabela3[[#This Row],[Qtde Cx Produzida]]*Tabela3[[#This Row],[Qdt Peça Placa]]</f>
        <v>18</v>
      </c>
      <c r="M19" s="37">
        <f>Tabela3[[#This Row],[Previsto]]-Tabela3[[#This Row],[Perda Pçs]]</f>
        <v>18</v>
      </c>
      <c r="N19" s="38">
        <f>IFERROR(Tabela3[[#This Row],[Perda Pçs]]/Tabela3[[#This Row],[Previsto]],0)</f>
        <v>0</v>
      </c>
      <c r="O19" s="39">
        <f>IFERROR(IF(Tabela3[[#This Row],[Qtde Cx Produzida]] &lt;&gt; 0, Tabela3[[#This Row],[Tempo]] / Tabela3[[#This Row],[Qtde Cx Produzida]], 0),0)</f>
        <v>5.5941358024691364E-3</v>
      </c>
      <c r="P19" s="57">
        <f>IFERROR(Tabela3[[#This Row],[Perda Pçs]]/Tabela3[[#This Row],[Qdt Peça Placa]],0)</f>
        <v>0</v>
      </c>
      <c r="Q19" s="37">
        <f>IFERROR(Tabela3[[#This Row],[Realizado]]*Tabela3[[#This Row],[Peso Util/Pç]],0)</f>
        <v>50.183999999999997</v>
      </c>
      <c r="R19" s="37">
        <f>IFERROR(Tabela3[[#This Row],[Peso Total Galho]]*Tabela3[[#This Row],[Qtde Cx Produzida]]*1.055,0)</f>
        <v>69.313500000000005</v>
      </c>
      <c r="S19" s="37">
        <f>(Tabela3[[#This Row],[Aluminio Bruto]]-Tabela3[[#This Row],[Aluminio Util]])*0.9</f>
        <v>17.216550000000009</v>
      </c>
      <c r="T19" s="37">
        <f>Tabela3[[#This Row],[Aluminio Bruto]]/OleoKGAluminio</f>
        <v>29.160099828505533</v>
      </c>
      <c r="U19" s="35">
        <f>IFERROR((VLOOKUP(Tabela3[[#This Row],[Moldador]],Tabela1[],5,)+(VLOOKUP(Tabela3[[#This Row],[Ajudante]],Tabela1[],5,))*3.5),0)</f>
        <v>99.95034583333333</v>
      </c>
      <c r="V19" s="35">
        <f>IFERROR(Tabela3[[#This Row],[Custo M.O. / H]]/((Tabela3[[#This Row],[Realizado]]/Tabela3[[#This Row],[Qdt Peça Placa]])/Tabela3[[#This Row],[Tempo]]/24),)</f>
        <v>13.419259394290123</v>
      </c>
      <c r="W19" s="35">
        <f>Tabela3[[#This Row],[Custo / Cx Moldada]]*Tabela3[[#This Row],[Qtde Cx Produzida]]</f>
        <v>241.54666909722221</v>
      </c>
      <c r="X19" s="35">
        <f ca="1">Tabela3[[#This Row],[Aluminio Util]]*Tabela3[[#This Row],[Custo/Kg]]</f>
        <v>782.87040000000002</v>
      </c>
      <c r="Y19" s="35">
        <f>IFERROR(VLOOKUP(Tabela3[[#This Row],[Data]],Tabela461213[],2,1)*(Tabela3[[#This Row],[Qtde Cx Produzida]]*Tabela3[[#This Row],[Qde macho / CX]]*Tabela3[[#This Row],[Peso Macho]]),)</f>
        <v>0</v>
      </c>
      <c r="Z19" s="35">
        <f>IFERROR(Tabela3[[#This Row],[Qtde Oleo]]*(VLOOKUP(Tabela3[[#This Row],[Data]],CompraOleo[],3,TRUE))*1.05,0)</f>
        <v>76.545262049827016</v>
      </c>
      <c r="AA19" s="47">
        <f ca="1">(Tabela3[[#This Row],[Custo Oleo]]+Tabela3[[#This Row],[Custo Aluminio]]+Tabela3[[#This Row],[Custo M.O. Total]]+Tabela3[[#This Row],[Custo Machos]])</f>
        <v>1100.9623311470491</v>
      </c>
      <c r="AB19" s="47">
        <f ca="1">Tabela3[[#This Row],[Custo Total]]*Tabela3[[#This Row],[% Perda]]</f>
        <v>0</v>
      </c>
      <c r="AC19" s="48">
        <f>IFERROR(VLOOKUP(Tabela3[[#This Row],[Produto]],Tabela2[],2,0),0)</f>
        <v>1</v>
      </c>
      <c r="AD19" s="48">
        <f>IFERROR(VLOOKUP(Tabela3[[#This Row],[Produto]],Tabela2[],3,0),0)</f>
        <v>2.7879999999999998</v>
      </c>
      <c r="AE19" s="48">
        <f>IFERROR(VLOOKUP(Tabela3[[#This Row],[Produto]],Tabela2[],4,0),0)</f>
        <v>3.65</v>
      </c>
      <c r="AF19" s="48">
        <f>IFERROR(VLOOKUP(Tabela3[[#This Row],[Produto]],Tabela2[],5,0),0)</f>
        <v>0.77580000000000016</v>
      </c>
      <c r="AG19" s="40">
        <f>IFERROR(VLOOKUP(Tabela3[[#This Row],[Produto]],Tabela2[],6,0),0)</f>
        <v>0</v>
      </c>
      <c r="AH19" s="40">
        <f>IFERROR(VLOOKUP(Tabela3[[#This Row],[Produto]],Tabela2[],7,0),0)</f>
        <v>0</v>
      </c>
      <c r="AI19" s="40">
        <f>IFERROR(VLOOKUP(Tabela3[[#This Row],[Produto]],Tabela2[],8,0),0)</f>
        <v>0</v>
      </c>
      <c r="AJ19" s="35">
        <f ca="1">IFERROR(VLOOKUP(Tabela3[[#This Row],[Produto]],Tabela2[],13,0),0)</f>
        <v>15.600000000000001</v>
      </c>
      <c r="AK19" s="40" t="str">
        <f>IFERROR(VLOOKUP(Tabela3[[#This Row],[Produto]],Tabela2[],14,0),0)</f>
        <v>Jumil</v>
      </c>
      <c r="AL19" s="40">
        <f>IFERROR(VLOOKUP(Tabela3[[#This Row],[Produto]],Tabela2[],15,0),0)</f>
        <v>35</v>
      </c>
      <c r="AM19" s="36">
        <f ca="1">(Tabela3[[#This Row],[Custo Usinagem]]+Tabela3[[#This Row],[Custo / Pç]])*1.2</f>
        <v>115.39748874313659</v>
      </c>
      <c r="AN19" s="36">
        <f ca="1">Tabela3[[#This Row],[Valor Mínimo Venda]]*1.15</f>
        <v>132.70711205460708</v>
      </c>
      <c r="AO19" s="36">
        <f ca="1">Tabela3[[#This Row],[Tabela 1]]*1.08</f>
        <v>143.32368101897566</v>
      </c>
      <c r="AP19" s="36">
        <f ca="1">Tabela3[[#This Row],[Tabela 2]]*1.15</f>
        <v>164.82223317182201</v>
      </c>
    </row>
    <row r="20" spans="1:42">
      <c r="A20" s="9">
        <v>45699</v>
      </c>
      <c r="B20" s="6" t="s">
        <v>229</v>
      </c>
      <c r="C20" s="14">
        <v>5421</v>
      </c>
      <c r="D20" s="6" t="s">
        <v>46</v>
      </c>
      <c r="E20" s="6" t="s">
        <v>53</v>
      </c>
      <c r="F20" s="6">
        <v>2</v>
      </c>
      <c r="G20" s="15">
        <v>2.2222222222222223E-2</v>
      </c>
      <c r="H20" s="16">
        <v>0</v>
      </c>
      <c r="I20" s="35">
        <f ca="1">IFERROR(Tabela3[[#This Row],[Custo Total]]/Tabela3[[#This Row],[Aluminio Util]],0)</f>
        <v>26.685344373701323</v>
      </c>
      <c r="J20" s="35">
        <f ca="1">Tabela3[[#This Row],[Custo Total]]/Tabela3[[#This Row],[Realizado]]</f>
        <v>74.398740113879285</v>
      </c>
      <c r="K20" s="37">
        <f>IFERROR(Tabela3[[#This Row],[Qtde Cx Produzida]]/Tabela3[[#This Row],[Tempo]]/24,0)</f>
        <v>3.75</v>
      </c>
      <c r="L20" s="37">
        <f>Tabela3[[#This Row],[Qtde Cx Produzida]]*Tabela3[[#This Row],[Qdt Peça Placa]]</f>
        <v>2</v>
      </c>
      <c r="M20" s="37">
        <f>Tabela3[[#This Row],[Previsto]]-Tabela3[[#This Row],[Perda Pçs]]</f>
        <v>2</v>
      </c>
      <c r="N20" s="38">
        <f>IFERROR(Tabela3[[#This Row],[Perda Pçs]]/Tabela3[[#This Row],[Previsto]],0)</f>
        <v>0</v>
      </c>
      <c r="O20" s="39">
        <f>IFERROR(IF(Tabela3[[#This Row],[Qtde Cx Produzida]] &lt;&gt; 0, Tabela3[[#This Row],[Tempo]] / Tabela3[[#This Row],[Qtde Cx Produzida]], 0),0)</f>
        <v>1.1111111111111112E-2</v>
      </c>
      <c r="P20" s="57">
        <f>IFERROR(Tabela3[[#This Row],[Perda Pçs]]/Tabela3[[#This Row],[Qdt Peça Placa]],0)</f>
        <v>0</v>
      </c>
      <c r="Q20" s="37">
        <f>IFERROR(Tabela3[[#This Row],[Realizado]]*Tabela3[[#This Row],[Peso Util/Pç]],0)</f>
        <v>5.5759999999999996</v>
      </c>
      <c r="R20" s="37">
        <f>IFERROR(Tabela3[[#This Row],[Peso Total Galho]]*Tabela3[[#This Row],[Qtde Cx Produzida]]*1.055,0)</f>
        <v>7.7014999999999993</v>
      </c>
      <c r="S20" s="37">
        <f>(Tabela3[[#This Row],[Aluminio Bruto]]-Tabela3[[#This Row],[Aluminio Util]])*0.9</f>
        <v>1.9129499999999997</v>
      </c>
      <c r="T20" s="37">
        <f>Tabela3[[#This Row],[Aluminio Bruto]]/OleoKGAluminio</f>
        <v>3.2400110920561698</v>
      </c>
      <c r="U20" s="35">
        <f>IFERROR((VLOOKUP(Tabela3[[#This Row],[Moldador]],Tabela1[],5,)+(VLOOKUP(Tabela3[[#This Row],[Ajudante]],Tabela1[],5,))*3.5),0)</f>
        <v>99.95034583333333</v>
      </c>
      <c r="V20" s="35">
        <f>IFERROR(Tabela3[[#This Row],[Custo M.O. / H]]/((Tabela3[[#This Row],[Realizado]]/Tabela3[[#This Row],[Qdt Peça Placa]])/Tabela3[[#This Row],[Tempo]]/24),)</f>
        <v>26.653425555555554</v>
      </c>
      <c r="W20" s="35">
        <f>Tabela3[[#This Row],[Custo / Cx Moldada]]*Tabela3[[#This Row],[Qtde Cx Produzida]]</f>
        <v>53.306851111111108</v>
      </c>
      <c r="X20" s="35">
        <f ca="1">Tabela3[[#This Row],[Aluminio Util]]*Tabela3[[#This Row],[Custo/Kg]]</f>
        <v>86.985600000000005</v>
      </c>
      <c r="Y20" s="35">
        <f>IFERROR(VLOOKUP(Tabela3[[#This Row],[Data]],Tabela461213[],2,1)*(Tabela3[[#This Row],[Qtde Cx Produzida]]*Tabela3[[#This Row],[Qde macho / CX]]*Tabela3[[#This Row],[Peso Macho]]),)</f>
        <v>0</v>
      </c>
      <c r="Z20" s="35">
        <f>IFERROR(Tabela3[[#This Row],[Qtde Oleo]]*(VLOOKUP(Tabela3[[#This Row],[Data]],CompraOleo[],3,TRUE))*1.05,0)</f>
        <v>8.5050291166474477</v>
      </c>
      <c r="AA20" s="47">
        <f ca="1">(Tabela3[[#This Row],[Custo Oleo]]+Tabela3[[#This Row],[Custo Aluminio]]+Tabela3[[#This Row],[Custo M.O. Total]]+Tabela3[[#This Row],[Custo Machos]])</f>
        <v>148.79748022775857</v>
      </c>
      <c r="AB20" s="47">
        <f ca="1">Tabela3[[#This Row],[Custo Total]]*Tabela3[[#This Row],[% Perda]]</f>
        <v>0</v>
      </c>
      <c r="AC20" s="48">
        <f>IFERROR(VLOOKUP(Tabela3[[#This Row],[Produto]],Tabela2[],2,0),0)</f>
        <v>1</v>
      </c>
      <c r="AD20" s="48">
        <f>IFERROR(VLOOKUP(Tabela3[[#This Row],[Produto]],Tabela2[],3,0),0)</f>
        <v>2.7879999999999998</v>
      </c>
      <c r="AE20" s="48">
        <f>IFERROR(VLOOKUP(Tabela3[[#This Row],[Produto]],Tabela2[],4,0),0)</f>
        <v>3.65</v>
      </c>
      <c r="AF20" s="48">
        <f>IFERROR(VLOOKUP(Tabela3[[#This Row],[Produto]],Tabela2[],5,0),0)</f>
        <v>0.77580000000000016</v>
      </c>
      <c r="AG20" s="40">
        <f>IFERROR(VLOOKUP(Tabela3[[#This Row],[Produto]],Tabela2[],6,0),0)</f>
        <v>0</v>
      </c>
      <c r="AH20" s="40">
        <f>IFERROR(VLOOKUP(Tabela3[[#This Row],[Produto]],Tabela2[],7,0),0)</f>
        <v>0</v>
      </c>
      <c r="AI20" s="40">
        <f>IFERROR(VLOOKUP(Tabela3[[#This Row],[Produto]],Tabela2[],8,0),0)</f>
        <v>0</v>
      </c>
      <c r="AJ20" s="35">
        <f ca="1">IFERROR(VLOOKUP(Tabela3[[#This Row],[Produto]],Tabela2[],13,0),0)</f>
        <v>15.600000000000001</v>
      </c>
      <c r="AK20" s="40" t="str">
        <f>IFERROR(VLOOKUP(Tabela3[[#This Row],[Produto]],Tabela2[],14,0),0)</f>
        <v>Jumil</v>
      </c>
      <c r="AL20" s="40">
        <f>IFERROR(VLOOKUP(Tabela3[[#This Row],[Produto]],Tabela2[],15,0),0)</f>
        <v>35</v>
      </c>
      <c r="AM20" s="36">
        <f ca="1">(Tabela3[[#This Row],[Custo Usinagem]]+Tabela3[[#This Row],[Custo / Pç]])*1.2</f>
        <v>131.27848813665514</v>
      </c>
      <c r="AN20" s="36">
        <f ca="1">Tabela3[[#This Row],[Valor Mínimo Venda]]*1.15</f>
        <v>150.97026135715339</v>
      </c>
      <c r="AO20" s="36">
        <f ca="1">Tabela3[[#This Row],[Tabela 1]]*1.08</f>
        <v>163.04788226572566</v>
      </c>
      <c r="AP20" s="36">
        <f ca="1">Tabela3[[#This Row],[Tabela 2]]*1.15</f>
        <v>187.50506460558449</v>
      </c>
    </row>
    <row r="21" spans="1:42">
      <c r="A21" s="9">
        <v>45699</v>
      </c>
      <c r="B21" s="6" t="s">
        <v>290</v>
      </c>
      <c r="C21" s="14">
        <v>5452</v>
      </c>
      <c r="D21" s="6" t="s">
        <v>46</v>
      </c>
      <c r="E21" s="6" t="s">
        <v>53</v>
      </c>
      <c r="F21" s="6">
        <v>78</v>
      </c>
      <c r="G21" s="15">
        <v>0.33819444444444446</v>
      </c>
      <c r="H21" s="16">
        <v>5</v>
      </c>
      <c r="I21" s="35">
        <f ca="1">IFERROR(Tabela3[[#This Row],[Custo Total]]/Tabela3[[#This Row],[Aluminio Util]],0)</f>
        <v>29.417347303781323</v>
      </c>
      <c r="J21" s="35">
        <f ca="1">Tabela3[[#This Row],[Custo Total]]/Tabela3[[#This Row],[Realizado]]</f>
        <v>36.330423920169935</v>
      </c>
      <c r="K21" s="37">
        <f>IFERROR(Tabela3[[#This Row],[Qtde Cx Produzida]]/Tabela3[[#This Row],[Tempo]]/24,0)</f>
        <v>9.6098562628336754</v>
      </c>
      <c r="L21" s="37">
        <f>Tabela3[[#This Row],[Qtde Cx Produzida]]*Tabela3[[#This Row],[Qdt Peça Placa]]</f>
        <v>78</v>
      </c>
      <c r="M21" s="37">
        <f>Tabela3[[#This Row],[Previsto]]-Tabela3[[#This Row],[Perda Pçs]]</f>
        <v>73</v>
      </c>
      <c r="N21" s="38">
        <f>IFERROR(Tabela3[[#This Row],[Perda Pçs]]/Tabela3[[#This Row],[Previsto]],0)</f>
        <v>6.4102564102564097E-2</v>
      </c>
      <c r="O21" s="39">
        <f>IFERROR(IF(Tabela3[[#This Row],[Qtde Cx Produzida]] &lt;&gt; 0, Tabela3[[#This Row],[Tempo]] / Tabela3[[#This Row],[Qtde Cx Produzida]], 0),0)</f>
        <v>4.3358262108262107E-3</v>
      </c>
      <c r="P21" s="57">
        <f>IFERROR(Tabela3[[#This Row],[Perda Pçs]]/Tabela3[[#This Row],[Qdt Peça Placa]],0)</f>
        <v>5</v>
      </c>
      <c r="Q21" s="37">
        <f>IFERROR(Tabela3[[#This Row],[Realizado]]*Tabela3[[#This Row],[Peso Util/Pç]],0)</f>
        <v>90.155000000000001</v>
      </c>
      <c r="R21" s="37">
        <f>IFERROR(Tabela3[[#This Row],[Peso Total Galho]]*Tabela3[[#This Row],[Qtde Cx Produzida]]*1.055,0)</f>
        <v>179.80365</v>
      </c>
      <c r="S21" s="37">
        <f>(Tabela3[[#This Row],[Aluminio Bruto]]-Tabela3[[#This Row],[Aluminio Util]])*0.9</f>
        <v>80.683785</v>
      </c>
      <c r="T21" s="37">
        <f>Tabela3[[#This Row],[Aluminio Bruto]]/OleoKGAluminio</f>
        <v>75.643163071114117</v>
      </c>
      <c r="U21" s="35">
        <f>IFERROR((VLOOKUP(Tabela3[[#This Row],[Moldador]],Tabela1[],5,)+(VLOOKUP(Tabela3[[#This Row],[Ajudante]],Tabela1[],5,))*3.5),0)</f>
        <v>99.95034583333333</v>
      </c>
      <c r="V21" s="35">
        <f>IFERROR(Tabela3[[#This Row],[Custo M.O. / H]]/((Tabela3[[#This Row],[Realizado]]/Tabela3[[#This Row],[Qdt Peça Placa]])/Tabela3[[#This Row],[Tempo]]/24),)</f>
        <v>11.113200552701676</v>
      </c>
      <c r="W21" s="35">
        <f>Tabela3[[#This Row],[Custo / Cx Moldada]]*Tabela3[[#This Row],[Qtde Cx Produzida]]</f>
        <v>866.82964311073067</v>
      </c>
      <c r="X21" s="35">
        <f ca="1">Tabela3[[#This Row],[Aluminio Util]]*Tabela3[[#This Row],[Custo/Kg]]</f>
        <v>1586.7280000000001</v>
      </c>
      <c r="Y21" s="35">
        <f>IFERROR(VLOOKUP(Tabela3[[#This Row],[Data]],Tabela461213[],2,1)*(Tabela3[[#This Row],[Qtde Cx Produzida]]*Tabela3[[#This Row],[Qde macho / CX]]*Tabela3[[#This Row],[Peso Macho]]),)</f>
        <v>0</v>
      </c>
      <c r="Z21" s="35">
        <f>IFERROR(Tabela3[[#This Row],[Qtde Oleo]]*(VLOOKUP(Tabela3[[#This Row],[Data]],CompraOleo[],3,TRUE))*1.05,0)</f>
        <v>198.56330306167459</v>
      </c>
      <c r="AA21" s="47">
        <f ca="1">(Tabela3[[#This Row],[Custo Oleo]]+Tabela3[[#This Row],[Custo Aluminio]]+Tabela3[[#This Row],[Custo M.O. Total]]+Tabela3[[#This Row],[Custo Machos]])</f>
        <v>2652.1209461724052</v>
      </c>
      <c r="AB21" s="47">
        <f ca="1">Tabela3[[#This Row],[Custo Total]]*Tabela3[[#This Row],[% Perda]]</f>
        <v>170.00775295976956</v>
      </c>
      <c r="AC21" s="48">
        <f>IFERROR(VLOOKUP(Tabela3[[#This Row],[Produto]],Tabela2[],2,0),0)</f>
        <v>1</v>
      </c>
      <c r="AD21" s="48">
        <f>IFERROR(VLOOKUP(Tabela3[[#This Row],[Produto]],Tabela2[],3,0),0)</f>
        <v>1.2350000000000001</v>
      </c>
      <c r="AE21" s="48">
        <f>IFERROR(VLOOKUP(Tabela3[[#This Row],[Produto]],Tabela2[],4,0),0)</f>
        <v>2.1850000000000001</v>
      </c>
      <c r="AF21" s="48">
        <f>IFERROR(VLOOKUP(Tabela3[[#This Row],[Produto]],Tabela2[],5,0),0)</f>
        <v>0.85499999999999998</v>
      </c>
      <c r="AG21" s="40">
        <f>IFERROR(VLOOKUP(Tabela3[[#This Row],[Produto]],Tabela2[],6,0),0)</f>
        <v>0</v>
      </c>
      <c r="AH21" s="40">
        <f>IFERROR(VLOOKUP(Tabela3[[#This Row],[Produto]],Tabela2[],7,0),0)</f>
        <v>0</v>
      </c>
      <c r="AI21" s="40">
        <f>IFERROR(VLOOKUP(Tabela3[[#This Row],[Produto]],Tabela2[],8,0),0)</f>
        <v>0</v>
      </c>
      <c r="AJ21" s="35">
        <f ca="1">IFERROR(VLOOKUP(Tabela3[[#This Row],[Produto]],Tabela2[],13,0),0)</f>
        <v>17.600000000000001</v>
      </c>
      <c r="AK21" s="40" t="str">
        <f>IFERROR(VLOOKUP(Tabela3[[#This Row],[Produto]],Tabela2[],14,0),0)</f>
        <v>Bambozzi</v>
      </c>
      <c r="AL21" s="40">
        <f>IFERROR(VLOOKUP(Tabela3[[#This Row],[Produto]],Tabela2[],15,0),0)</f>
        <v>12</v>
      </c>
      <c r="AM21" s="36">
        <f ca="1">(Tabela3[[#This Row],[Custo Usinagem]]+Tabela3[[#This Row],[Custo / Pç]])*1.2</f>
        <v>57.996508704203919</v>
      </c>
      <c r="AN21" s="36">
        <f ca="1">Tabela3[[#This Row],[Valor Mínimo Venda]]*1.15</f>
        <v>66.695985009834502</v>
      </c>
      <c r="AO21" s="36">
        <f ca="1">Tabela3[[#This Row],[Tabela 1]]*1.08</f>
        <v>72.031663810621268</v>
      </c>
      <c r="AP21" s="36">
        <f ca="1">Tabela3[[#This Row],[Tabela 2]]*1.15</f>
        <v>82.836413382214445</v>
      </c>
    </row>
    <row r="22" spans="1:42">
      <c r="A22" s="9">
        <v>45700</v>
      </c>
      <c r="B22" s="6" t="s">
        <v>290</v>
      </c>
      <c r="C22" s="14">
        <v>5452</v>
      </c>
      <c r="D22" s="6" t="s">
        <v>46</v>
      </c>
      <c r="E22" s="6" t="s">
        <v>53</v>
      </c>
      <c r="F22" s="6">
        <v>60</v>
      </c>
      <c r="G22" s="15">
        <v>0.25208333333333333</v>
      </c>
      <c r="H22" s="16">
        <v>0</v>
      </c>
      <c r="I22" s="35">
        <f ca="1">IFERROR(Tabela3[[#This Row],[Custo Total]]/Tabela3[[#This Row],[Aluminio Util]],0)</f>
        <v>27.821870373101227</v>
      </c>
      <c r="J22" s="35">
        <f ca="1">Tabela3[[#This Row],[Custo Total]]/Tabela3[[#This Row],[Realizado]]</f>
        <v>34.360009910780022</v>
      </c>
      <c r="K22" s="37">
        <f>IFERROR(Tabela3[[#This Row],[Qtde Cx Produzida]]/Tabela3[[#This Row],[Tempo]]/24,0)</f>
        <v>9.9173553719008272</v>
      </c>
      <c r="L22" s="37">
        <f>Tabela3[[#This Row],[Qtde Cx Produzida]]*Tabela3[[#This Row],[Qdt Peça Placa]]</f>
        <v>60</v>
      </c>
      <c r="M22" s="37">
        <f>Tabela3[[#This Row],[Previsto]]-Tabela3[[#This Row],[Perda Pçs]]</f>
        <v>60</v>
      </c>
      <c r="N22" s="38">
        <f>IFERROR(Tabela3[[#This Row],[Perda Pçs]]/Tabela3[[#This Row],[Previsto]],0)</f>
        <v>0</v>
      </c>
      <c r="O22" s="39">
        <f>IFERROR(IF(Tabela3[[#This Row],[Qtde Cx Produzida]] &lt;&gt; 0, Tabela3[[#This Row],[Tempo]] / Tabela3[[#This Row],[Qtde Cx Produzida]], 0),0)</f>
        <v>4.2013888888888891E-3</v>
      </c>
      <c r="P22" s="57">
        <f>IFERROR(Tabela3[[#This Row],[Perda Pçs]]/Tabela3[[#This Row],[Qdt Peça Placa]],0)</f>
        <v>0</v>
      </c>
      <c r="Q22" s="37">
        <f>IFERROR(Tabela3[[#This Row],[Realizado]]*Tabela3[[#This Row],[Peso Util/Pç]],0)</f>
        <v>74.100000000000009</v>
      </c>
      <c r="R22" s="37">
        <f>IFERROR(Tabela3[[#This Row],[Peso Total Galho]]*Tabela3[[#This Row],[Qtde Cx Produzida]]*1.055,0)</f>
        <v>138.31049999999999</v>
      </c>
      <c r="S22" s="37">
        <f>(Tabela3[[#This Row],[Aluminio Bruto]]-Tabela3[[#This Row],[Aluminio Util]])*0.9</f>
        <v>57.789449999999988</v>
      </c>
      <c r="T22" s="37">
        <f>Tabela3[[#This Row],[Aluminio Bruto]]/OleoKGAluminio</f>
        <v>58.187048516241624</v>
      </c>
      <c r="U22" s="35">
        <f>IFERROR((VLOOKUP(Tabela3[[#This Row],[Moldador]],Tabela1[],5,)+(VLOOKUP(Tabela3[[#This Row],[Ajudante]],Tabela1[],5,))*3.5),0)</f>
        <v>99.95034583333333</v>
      </c>
      <c r="V22" s="35">
        <f>IFERROR(Tabela3[[#This Row],[Custo M.O. / H]]/((Tabela3[[#This Row],[Realizado]]/Tabela3[[#This Row],[Qdt Peça Placa]])/Tabela3[[#This Row],[Tempo]]/24),)</f>
        <v>10.078326538194444</v>
      </c>
      <c r="W22" s="35">
        <f>Tabela3[[#This Row],[Custo / Cx Moldada]]*Tabela3[[#This Row],[Qtde Cx Produzida]]</f>
        <v>604.6995922916667</v>
      </c>
      <c r="X22" s="35">
        <f ca="1">Tabela3[[#This Row],[Aluminio Util]]*Tabela3[[#This Row],[Custo/Kg]]</f>
        <v>1304.1600000000003</v>
      </c>
      <c r="Y22" s="35">
        <f>IFERROR(VLOOKUP(Tabela3[[#This Row],[Data]],Tabela461213[],2,1)*(Tabela3[[#This Row],[Qtde Cx Produzida]]*Tabela3[[#This Row],[Qde macho / CX]]*Tabela3[[#This Row],[Peso Macho]]),)</f>
        <v>0</v>
      </c>
      <c r="Z22" s="35">
        <f>IFERROR(Tabela3[[#This Row],[Qtde Oleo]]*(VLOOKUP(Tabela3[[#This Row],[Data]],CompraOleo[],3,TRUE))*1.05,0)</f>
        <v>152.74100235513427</v>
      </c>
      <c r="AA22" s="47">
        <f ca="1">(Tabela3[[#This Row],[Custo Oleo]]+Tabela3[[#This Row],[Custo Aluminio]]+Tabela3[[#This Row],[Custo M.O. Total]]+Tabela3[[#This Row],[Custo Machos]])</f>
        <v>2061.6005946468013</v>
      </c>
      <c r="AB22" s="47">
        <f ca="1">Tabela3[[#This Row],[Custo Total]]*Tabela3[[#This Row],[% Perda]]</f>
        <v>0</v>
      </c>
      <c r="AC22" s="48">
        <f>IFERROR(VLOOKUP(Tabela3[[#This Row],[Produto]],Tabela2[],2,0),0)</f>
        <v>1</v>
      </c>
      <c r="AD22" s="48">
        <f>IFERROR(VLOOKUP(Tabela3[[#This Row],[Produto]],Tabela2[],3,0),0)</f>
        <v>1.2350000000000001</v>
      </c>
      <c r="AE22" s="48">
        <f>IFERROR(VLOOKUP(Tabela3[[#This Row],[Produto]],Tabela2[],4,0),0)</f>
        <v>2.1850000000000001</v>
      </c>
      <c r="AF22" s="48">
        <f>IFERROR(VLOOKUP(Tabela3[[#This Row],[Produto]],Tabela2[],5,0),0)</f>
        <v>0.85499999999999998</v>
      </c>
      <c r="AG22" s="40">
        <f>IFERROR(VLOOKUP(Tabela3[[#This Row],[Produto]],Tabela2[],6,0),0)</f>
        <v>0</v>
      </c>
      <c r="AH22" s="40">
        <f>IFERROR(VLOOKUP(Tabela3[[#This Row],[Produto]],Tabela2[],7,0),0)</f>
        <v>0</v>
      </c>
      <c r="AI22" s="40">
        <f>IFERROR(VLOOKUP(Tabela3[[#This Row],[Produto]],Tabela2[],8,0),0)</f>
        <v>0</v>
      </c>
      <c r="AJ22" s="35">
        <f ca="1">IFERROR(VLOOKUP(Tabela3[[#This Row],[Produto]],Tabela2[],13,0),0)</f>
        <v>17.600000000000001</v>
      </c>
      <c r="AK22" s="40" t="str">
        <f>IFERROR(VLOOKUP(Tabela3[[#This Row],[Produto]],Tabela2[],14,0),0)</f>
        <v>Bambozzi</v>
      </c>
      <c r="AL22" s="40">
        <f>IFERROR(VLOOKUP(Tabela3[[#This Row],[Produto]],Tabela2[],15,0),0)</f>
        <v>12</v>
      </c>
      <c r="AM22" s="36">
        <f ca="1">(Tabela3[[#This Row],[Custo Usinagem]]+Tabela3[[#This Row],[Custo / Pç]])*1.2</f>
        <v>55.632011892936028</v>
      </c>
      <c r="AN22" s="36">
        <f ca="1">Tabela3[[#This Row],[Valor Mínimo Venda]]*1.15</f>
        <v>63.976813676876425</v>
      </c>
      <c r="AO22" s="36">
        <f ca="1">Tabela3[[#This Row],[Tabela 1]]*1.08</f>
        <v>69.09495877102654</v>
      </c>
      <c r="AP22" s="36">
        <f ca="1">Tabela3[[#This Row],[Tabela 2]]*1.15</f>
        <v>79.459202586680519</v>
      </c>
    </row>
    <row r="23" spans="1:42">
      <c r="A23" s="9">
        <v>45700</v>
      </c>
      <c r="B23" s="6" t="s">
        <v>249</v>
      </c>
      <c r="C23" s="14">
        <v>5439</v>
      </c>
      <c r="D23" s="6" t="s">
        <v>46</v>
      </c>
      <c r="E23" s="6" t="s">
        <v>53</v>
      </c>
      <c r="F23" s="6">
        <v>2</v>
      </c>
      <c r="G23" s="15">
        <v>1.5277777777777777E-2</v>
      </c>
      <c r="H23" s="16">
        <v>0</v>
      </c>
      <c r="I23" s="35">
        <f ca="1">IFERROR(Tabela3[[#This Row],[Custo Total]]/Tabela3[[#This Row],[Aluminio Util]],0)</f>
        <v>31.055925054997928</v>
      </c>
      <c r="J23" s="35">
        <f ca="1">Tabela3[[#This Row],[Custo Total]]/Tabela3[[#This Row],[Realizado]]</f>
        <v>10.621126368809293</v>
      </c>
      <c r="K23" s="37">
        <f>IFERROR(Tabela3[[#This Row],[Qtde Cx Produzida]]/Tabela3[[#This Row],[Tempo]]/24,0)</f>
        <v>5.4545454545454541</v>
      </c>
      <c r="L23" s="37">
        <f>Tabela3[[#This Row],[Qtde Cx Produzida]]*Tabela3[[#This Row],[Qdt Peça Placa]]</f>
        <v>8</v>
      </c>
      <c r="M23" s="37">
        <f>Tabela3[[#This Row],[Previsto]]-Tabela3[[#This Row],[Perda Pçs]]</f>
        <v>8</v>
      </c>
      <c r="N23" s="38">
        <f>IFERROR(Tabela3[[#This Row],[Perda Pçs]]/Tabela3[[#This Row],[Previsto]],0)</f>
        <v>0</v>
      </c>
      <c r="O23" s="39">
        <f>IFERROR(IF(Tabela3[[#This Row],[Qtde Cx Produzida]] &lt;&gt; 0, Tabela3[[#This Row],[Tempo]] / Tabela3[[#This Row],[Qtde Cx Produzida]], 0),0)</f>
        <v>7.6388888888888886E-3</v>
      </c>
      <c r="P23" s="57">
        <f>IFERROR(Tabela3[[#This Row],[Perda Pçs]]/Tabela3[[#This Row],[Qdt Peça Placa]],0)</f>
        <v>0</v>
      </c>
      <c r="Q23" s="37">
        <f>IFERROR(Tabela3[[#This Row],[Realizado]]*Tabela3[[#This Row],[Peso Util/Pç]],0)</f>
        <v>2.7360000000000002</v>
      </c>
      <c r="R23" s="37">
        <f>IFERROR(Tabela3[[#This Row],[Peso Total Galho]]*Tabela3[[#This Row],[Qtde Cx Produzida]]*1.055,0)</f>
        <v>5.1061999999999994</v>
      </c>
      <c r="S23" s="37">
        <f>(Tabela3[[#This Row],[Aluminio Bruto]]-Tabela3[[#This Row],[Aluminio Util]])*0.9</f>
        <v>2.1331799999999994</v>
      </c>
      <c r="T23" s="37">
        <f>Tabela3[[#This Row],[Aluminio Bruto]]/OleoKGAluminio</f>
        <v>2.1481717377468303</v>
      </c>
      <c r="U23" s="35">
        <f>IFERROR((VLOOKUP(Tabela3[[#This Row],[Moldador]],Tabela1[],5,)+(VLOOKUP(Tabela3[[#This Row],[Ajudante]],Tabela1[],5,))*3.5),0)</f>
        <v>99.95034583333333</v>
      </c>
      <c r="V23" s="35">
        <f>IFERROR(Tabela3[[#This Row],[Custo M.O. / H]]/((Tabela3[[#This Row],[Realizado]]/Tabela3[[#This Row],[Qdt Peça Placa]])/Tabela3[[#This Row],[Tempo]]/24),)</f>
        <v>18.324230069444447</v>
      </c>
      <c r="W23" s="35">
        <f>Tabela3[[#This Row],[Custo / Cx Moldada]]*Tabela3[[#This Row],[Qtde Cx Produzida]]</f>
        <v>36.648460138888893</v>
      </c>
      <c r="X23" s="35">
        <f ca="1">Tabela3[[#This Row],[Aluminio Util]]*Tabela3[[#This Row],[Custo/Kg]]</f>
        <v>42.68160000000001</v>
      </c>
      <c r="Y23" s="35">
        <f>IFERROR(VLOOKUP(Tabela3[[#This Row],[Data]],Tabela461213[],2,1)*(Tabela3[[#This Row],[Qtde Cx Produzida]]*Tabela3[[#This Row],[Qde macho / CX]]*Tabela3[[#This Row],[Peso Macho]]),)</f>
        <v>0</v>
      </c>
      <c r="Z23" s="35">
        <f>IFERROR(Tabela3[[#This Row],[Qtde Oleo]]*(VLOOKUP(Tabela3[[#This Row],[Data]],CompraOleo[],3,TRUE))*1.05,0)</f>
        <v>5.6389508115854303</v>
      </c>
      <c r="AA23" s="47">
        <f ca="1">(Tabela3[[#This Row],[Custo Oleo]]+Tabela3[[#This Row],[Custo Aluminio]]+Tabela3[[#This Row],[Custo M.O. Total]]+Tabela3[[#This Row],[Custo Machos]])</f>
        <v>84.969010950474342</v>
      </c>
      <c r="AB23" s="47">
        <f ca="1">Tabela3[[#This Row],[Custo Total]]*Tabela3[[#This Row],[% Perda]]</f>
        <v>0</v>
      </c>
      <c r="AC23" s="48">
        <f>IFERROR(VLOOKUP(Tabela3[[#This Row],[Produto]],Tabela2[],2,0),0)</f>
        <v>4</v>
      </c>
      <c r="AD23" s="48">
        <f>IFERROR(VLOOKUP(Tabela3[[#This Row],[Produto]],Tabela2[],3,0),0)</f>
        <v>0.34200000000000003</v>
      </c>
      <c r="AE23" s="48">
        <f>IFERROR(VLOOKUP(Tabela3[[#This Row],[Produto]],Tabela2[],4,0),0)</f>
        <v>2.42</v>
      </c>
      <c r="AF23" s="48">
        <f>IFERROR(VLOOKUP(Tabela3[[#This Row],[Produto]],Tabela2[],5,0),0)</f>
        <v>0.94679999999999986</v>
      </c>
      <c r="AG23" s="40">
        <f>IFERROR(VLOOKUP(Tabela3[[#This Row],[Produto]],Tabela2[],6,0),0)</f>
        <v>0</v>
      </c>
      <c r="AH23" s="40">
        <f>IFERROR(VLOOKUP(Tabela3[[#This Row],[Produto]],Tabela2[],7,0),0)</f>
        <v>0</v>
      </c>
      <c r="AI23" s="40">
        <f>IFERROR(VLOOKUP(Tabela3[[#This Row],[Produto]],Tabela2[],8,0),0)</f>
        <v>0</v>
      </c>
      <c r="AJ23" s="35">
        <f ca="1">IFERROR(VLOOKUP(Tabela3[[#This Row],[Produto]],Tabela2[],13,0),0)</f>
        <v>15.600000000000001</v>
      </c>
      <c r="AK23" s="40" t="str">
        <f>IFERROR(VLOOKUP(Tabela3[[#This Row],[Produto]],Tabela2[],14,0),0)</f>
        <v>Senun</v>
      </c>
      <c r="AL23" s="40">
        <f>IFERROR(VLOOKUP(Tabela3[[#This Row],[Produto]],Tabela2[],15,0),0)</f>
        <v>4</v>
      </c>
      <c r="AM23" s="36">
        <f ca="1">(Tabela3[[#This Row],[Custo Usinagem]]+Tabela3[[#This Row],[Custo / Pç]])*1.2</f>
        <v>17.545351642571152</v>
      </c>
      <c r="AN23" s="36">
        <f ca="1">Tabela3[[#This Row],[Valor Mínimo Venda]]*1.15</f>
        <v>20.177154388956822</v>
      </c>
      <c r="AO23" s="36">
        <f ca="1">Tabela3[[#This Row],[Tabela 1]]*1.08</f>
        <v>21.791326740073369</v>
      </c>
      <c r="AP23" s="36">
        <f ca="1">Tabela3[[#This Row],[Tabela 2]]*1.15</f>
        <v>25.060025751084375</v>
      </c>
    </row>
    <row r="24" spans="1:42">
      <c r="A24" s="9">
        <v>45700</v>
      </c>
      <c r="B24" s="6" t="s">
        <v>249</v>
      </c>
      <c r="C24" s="14">
        <v>5439</v>
      </c>
      <c r="D24" s="6" t="s">
        <v>44</v>
      </c>
      <c r="E24" s="6" t="s">
        <v>47</v>
      </c>
      <c r="F24" s="6">
        <v>20</v>
      </c>
      <c r="G24" s="15">
        <v>9.0277777777777776E-2</v>
      </c>
      <c r="H24" s="16">
        <v>1</v>
      </c>
      <c r="I24" s="35">
        <f ca="1">IFERROR(Tabela3[[#This Row],[Custo Total]]/Tabela3[[#This Row],[Aluminio Util]],0)</f>
        <v>25.803932377132359</v>
      </c>
      <c r="J24" s="35">
        <f ca="1">Tabela3[[#This Row],[Custo Total]]/Tabela3[[#This Row],[Realizado]]</f>
        <v>8.8249448729792661</v>
      </c>
      <c r="K24" s="37">
        <f>IFERROR(Tabela3[[#This Row],[Qtde Cx Produzida]]/Tabela3[[#This Row],[Tempo]]/24,0)</f>
        <v>9.2307692307692317</v>
      </c>
      <c r="L24" s="37">
        <f>Tabela3[[#This Row],[Qtde Cx Produzida]]*Tabela3[[#This Row],[Qdt Peça Placa]]</f>
        <v>80</v>
      </c>
      <c r="M24" s="37">
        <f>Tabela3[[#This Row],[Previsto]]-Tabela3[[#This Row],[Perda Pçs]]</f>
        <v>79</v>
      </c>
      <c r="N24" s="38">
        <f>IFERROR(Tabela3[[#This Row],[Perda Pçs]]/Tabela3[[#This Row],[Previsto]],0)</f>
        <v>1.2500000000000001E-2</v>
      </c>
      <c r="O24" s="39">
        <f>IFERROR(IF(Tabela3[[#This Row],[Qtde Cx Produzida]] &lt;&gt; 0, Tabela3[[#This Row],[Tempo]] / Tabela3[[#This Row],[Qtde Cx Produzida]], 0),0)</f>
        <v>4.5138888888888885E-3</v>
      </c>
      <c r="P24" s="57">
        <f>IFERROR(Tabela3[[#This Row],[Perda Pçs]]/Tabela3[[#This Row],[Qdt Peça Placa]],0)</f>
        <v>0.25</v>
      </c>
      <c r="Q24" s="37">
        <f>IFERROR(Tabela3[[#This Row],[Realizado]]*Tabela3[[#This Row],[Peso Util/Pç]],0)</f>
        <v>27.018000000000001</v>
      </c>
      <c r="R24" s="37">
        <f>IFERROR(Tabela3[[#This Row],[Peso Total Galho]]*Tabela3[[#This Row],[Qtde Cx Produzida]]*1.055,0)</f>
        <v>51.061999999999998</v>
      </c>
      <c r="S24" s="37">
        <f>(Tabela3[[#This Row],[Aluminio Bruto]]-Tabela3[[#This Row],[Aluminio Util]])*0.9</f>
        <v>21.639599999999998</v>
      </c>
      <c r="T24" s="37">
        <f>Tabela3[[#This Row],[Aluminio Bruto]]/OleoKGAluminio</f>
        <v>21.481717377468303</v>
      </c>
      <c r="U24" s="35">
        <f>IFERROR((VLOOKUP(Tabela3[[#This Row],[Moldador]],Tabela1[],5,)+(VLOOKUP(Tabela3[[#This Row],[Ajudante]],Tabela1[],5,))*3.5),0)</f>
        <v>99.95034583333333</v>
      </c>
      <c r="V24" s="35">
        <f>IFERROR(Tabela3[[#This Row],[Custo M.O. / H]]/((Tabela3[[#This Row],[Realizado]]/Tabela3[[#This Row],[Qdt Peça Placa]])/Tabela3[[#This Row],[Tempo]]/24),)</f>
        <v>10.965016842475388</v>
      </c>
      <c r="W24" s="35">
        <f>Tabela3[[#This Row],[Custo / Cx Moldada]]*Tabela3[[#This Row],[Qtde Cx Produzida]]</f>
        <v>219.30033684950774</v>
      </c>
      <c r="X24" s="35">
        <f ca="1">Tabela3[[#This Row],[Aluminio Util]]*Tabela3[[#This Row],[Custo/Kg]]</f>
        <v>421.48080000000004</v>
      </c>
      <c r="Y24" s="35">
        <f>IFERROR(VLOOKUP(Tabela3[[#This Row],[Data]],Tabela461213[],2,1)*(Tabela3[[#This Row],[Qtde Cx Produzida]]*Tabela3[[#This Row],[Qde macho / CX]]*Tabela3[[#This Row],[Peso Macho]]),)</f>
        <v>0</v>
      </c>
      <c r="Z24" s="35">
        <f>IFERROR(Tabela3[[#This Row],[Qtde Oleo]]*(VLOOKUP(Tabela3[[#This Row],[Data]],CompraOleo[],3,TRUE))*1.05,0)</f>
        <v>56.389508115854298</v>
      </c>
      <c r="AA24" s="47">
        <f ca="1">(Tabela3[[#This Row],[Custo Oleo]]+Tabela3[[#This Row],[Custo Aluminio]]+Tabela3[[#This Row],[Custo M.O. Total]]+Tabela3[[#This Row],[Custo Machos]])</f>
        <v>697.17064496536204</v>
      </c>
      <c r="AB24" s="47">
        <f ca="1">Tabela3[[#This Row],[Custo Total]]*Tabela3[[#This Row],[% Perda]]</f>
        <v>8.7146330620670263</v>
      </c>
      <c r="AC24" s="48">
        <f>IFERROR(VLOOKUP(Tabela3[[#This Row],[Produto]],Tabela2[],2,0),0)</f>
        <v>4</v>
      </c>
      <c r="AD24" s="48">
        <f>IFERROR(VLOOKUP(Tabela3[[#This Row],[Produto]],Tabela2[],3,0),0)</f>
        <v>0.34200000000000003</v>
      </c>
      <c r="AE24" s="48">
        <f>IFERROR(VLOOKUP(Tabela3[[#This Row],[Produto]],Tabela2[],4,0),0)</f>
        <v>2.42</v>
      </c>
      <c r="AF24" s="48">
        <f>IFERROR(VLOOKUP(Tabela3[[#This Row],[Produto]],Tabela2[],5,0),0)</f>
        <v>0.94679999999999986</v>
      </c>
      <c r="AG24" s="40">
        <f>IFERROR(VLOOKUP(Tabela3[[#This Row],[Produto]],Tabela2[],6,0),0)</f>
        <v>0</v>
      </c>
      <c r="AH24" s="40">
        <f>IFERROR(VLOOKUP(Tabela3[[#This Row],[Produto]],Tabela2[],7,0),0)</f>
        <v>0</v>
      </c>
      <c r="AI24" s="40">
        <f>IFERROR(VLOOKUP(Tabela3[[#This Row],[Produto]],Tabela2[],8,0),0)</f>
        <v>0</v>
      </c>
      <c r="AJ24" s="35">
        <f ca="1">IFERROR(VLOOKUP(Tabela3[[#This Row],[Produto]],Tabela2[],13,0),0)</f>
        <v>15.600000000000001</v>
      </c>
      <c r="AK24" s="40" t="str">
        <f>IFERROR(VLOOKUP(Tabela3[[#This Row],[Produto]],Tabela2[],14,0),0)</f>
        <v>Senun</v>
      </c>
      <c r="AL24" s="40">
        <f>IFERROR(VLOOKUP(Tabela3[[#This Row],[Produto]],Tabela2[],15,0),0)</f>
        <v>4</v>
      </c>
      <c r="AM24" s="36">
        <f ca="1">(Tabela3[[#This Row],[Custo Usinagem]]+Tabela3[[#This Row],[Custo / Pç]])*1.2</f>
        <v>15.389933847575119</v>
      </c>
      <c r="AN24" s="36">
        <f ca="1">Tabela3[[#This Row],[Valor Mínimo Venda]]*1.15</f>
        <v>17.698423924711385</v>
      </c>
      <c r="AO24" s="36">
        <f ca="1">Tabela3[[#This Row],[Tabela 1]]*1.08</f>
        <v>19.114297838688298</v>
      </c>
      <c r="AP24" s="36">
        <f ca="1">Tabela3[[#This Row],[Tabela 2]]*1.15</f>
        <v>21.98144251449154</v>
      </c>
    </row>
    <row r="25" spans="1:42">
      <c r="A25" s="9">
        <v>45700</v>
      </c>
      <c r="B25" s="6" t="s">
        <v>244</v>
      </c>
      <c r="C25" s="14">
        <v>5441</v>
      </c>
      <c r="D25" s="6" t="s">
        <v>44</v>
      </c>
      <c r="E25" s="6" t="s">
        <v>47</v>
      </c>
      <c r="F25" s="6">
        <v>20</v>
      </c>
      <c r="G25" s="15">
        <v>9.2361111111111116E-2</v>
      </c>
      <c r="H25" s="16">
        <v>16</v>
      </c>
      <c r="I25" s="35">
        <f ca="1">IFERROR(Tabela3[[#This Row],[Custo Total]]/Tabela3[[#This Row],[Aluminio Util]],0)</f>
        <v>27.205287166957199</v>
      </c>
      <c r="J25" s="35">
        <f ca="1">Tabela3[[#This Row],[Custo Total]]/Tabela3[[#This Row],[Realizado]]</f>
        <v>12.786484968469882</v>
      </c>
      <c r="K25" s="37">
        <f>IFERROR(Tabela3[[#This Row],[Qtde Cx Produzida]]/Tabela3[[#This Row],[Tempo]]/24,0)</f>
        <v>9.022556390977444</v>
      </c>
      <c r="L25" s="37">
        <f>Tabela3[[#This Row],[Qtde Cx Produzida]]*Tabela3[[#This Row],[Qdt Peça Placa]]</f>
        <v>80</v>
      </c>
      <c r="M25" s="37">
        <f>Tabela3[[#This Row],[Previsto]]-Tabela3[[#This Row],[Perda Pçs]]</f>
        <v>64</v>
      </c>
      <c r="N25" s="38">
        <f>IFERROR(Tabela3[[#This Row],[Perda Pçs]]/Tabela3[[#This Row],[Previsto]],0)</f>
        <v>0.2</v>
      </c>
      <c r="O25" s="39">
        <f>IFERROR(IF(Tabela3[[#This Row],[Qtde Cx Produzida]] &lt;&gt; 0, Tabela3[[#This Row],[Tempo]] / Tabela3[[#This Row],[Qtde Cx Produzida]], 0),0)</f>
        <v>4.6180555555555558E-3</v>
      </c>
      <c r="P25" s="57">
        <f>IFERROR(Tabela3[[#This Row],[Perda Pçs]]/Tabela3[[#This Row],[Qdt Peça Placa]],0)</f>
        <v>4</v>
      </c>
      <c r="Q25" s="37">
        <f>IFERROR(Tabela3[[#This Row],[Realizado]]*Tabela3[[#This Row],[Peso Util/Pç]],0)</f>
        <v>30.08</v>
      </c>
      <c r="R25" s="37">
        <f>IFERROR(Tabela3[[#This Row],[Peso Total Galho]]*Tabela3[[#This Row],[Qtde Cx Produzida]]*1.055,0)</f>
        <v>65.325599999999994</v>
      </c>
      <c r="S25" s="37">
        <f>(Tabela3[[#This Row],[Aluminio Bruto]]-Tabela3[[#This Row],[Aluminio Util]])*0.9</f>
        <v>31.721039999999999</v>
      </c>
      <c r="T25" s="37">
        <f>Tabela3[[#This Row],[Aluminio Bruto]]/OleoKGAluminio</f>
        <v>27.482395454810689</v>
      </c>
      <c r="U25" s="35">
        <f>IFERROR((VLOOKUP(Tabela3[[#This Row],[Moldador]],Tabela1[],5,)+(VLOOKUP(Tabela3[[#This Row],[Ajudante]],Tabela1[],5,))*3.5),0)</f>
        <v>99.95034583333333</v>
      </c>
      <c r="V25" s="35">
        <f>IFERROR(Tabela3[[#This Row],[Custo M.O. / H]]/((Tabela3[[#This Row],[Realizado]]/Tabela3[[#This Row],[Qdt Peça Placa]])/Tabela3[[#This Row],[Tempo]]/24),)</f>
        <v>13.847287495659723</v>
      </c>
      <c r="W25" s="35">
        <f>Tabela3[[#This Row],[Custo / Cx Moldada]]*Tabela3[[#This Row],[Qtde Cx Produzida]]</f>
        <v>276.94574991319445</v>
      </c>
      <c r="X25" s="35">
        <f ca="1">Tabela3[[#This Row],[Aluminio Util]]*Tabela3[[#This Row],[Custo/Kg]]</f>
        <v>469.24799999999999</v>
      </c>
      <c r="Y25" s="35">
        <f>IFERROR(VLOOKUP(Tabela3[[#This Row],[Data]],Tabela461213[],2,1)*(Tabela3[[#This Row],[Qtde Cx Produzida]]*Tabela3[[#This Row],[Qde macho / CX]]*Tabela3[[#This Row],[Peso Macho]]),)</f>
        <v>0</v>
      </c>
      <c r="Z25" s="35">
        <f>IFERROR(Tabela3[[#This Row],[Qtde Oleo]]*(VLOOKUP(Tabela3[[#This Row],[Data]],CompraOleo[],3,TRUE))*1.05,0)</f>
        <v>72.141288068878055</v>
      </c>
      <c r="AA25" s="47">
        <f ca="1">(Tabela3[[#This Row],[Custo Oleo]]+Tabela3[[#This Row],[Custo Aluminio]]+Tabela3[[#This Row],[Custo M.O. Total]]+Tabela3[[#This Row],[Custo Machos]])</f>
        <v>818.33503798207244</v>
      </c>
      <c r="AB25" s="47">
        <f ca="1">Tabela3[[#This Row],[Custo Total]]*Tabela3[[#This Row],[% Perda]]</f>
        <v>163.66700759641449</v>
      </c>
      <c r="AC25" s="48">
        <f>IFERROR(VLOOKUP(Tabela3[[#This Row],[Produto]],Tabela2[],2,0),0)</f>
        <v>4</v>
      </c>
      <c r="AD25" s="48">
        <f>IFERROR(VLOOKUP(Tabela3[[#This Row],[Produto]],Tabela2[],3,0),0)</f>
        <v>0.47</v>
      </c>
      <c r="AE25" s="48">
        <f>IFERROR(VLOOKUP(Tabela3[[#This Row],[Produto]],Tabela2[],4,0),0)</f>
        <v>3.0960000000000001</v>
      </c>
      <c r="AF25" s="48">
        <f>IFERROR(VLOOKUP(Tabela3[[#This Row],[Produto]],Tabela2[],5,0),0)</f>
        <v>1.0944000000000003</v>
      </c>
      <c r="AG25" s="40">
        <f>IFERROR(VLOOKUP(Tabela3[[#This Row],[Produto]],Tabela2[],6,0),0)</f>
        <v>0</v>
      </c>
      <c r="AH25" s="40">
        <f>IFERROR(VLOOKUP(Tabela3[[#This Row],[Produto]],Tabela2[],7,0),0)</f>
        <v>0</v>
      </c>
      <c r="AI25" s="40">
        <f>IFERROR(VLOOKUP(Tabela3[[#This Row],[Produto]],Tabela2[],8,0),0)</f>
        <v>0</v>
      </c>
      <c r="AJ25" s="35">
        <f ca="1">IFERROR(VLOOKUP(Tabela3[[#This Row],[Produto]],Tabela2[],13,0),0)</f>
        <v>15.600000000000001</v>
      </c>
      <c r="AK25" s="40" t="str">
        <f>IFERROR(VLOOKUP(Tabela3[[#This Row],[Produto]],Tabela2[],14,0),0)</f>
        <v>Senun</v>
      </c>
      <c r="AL25" s="40">
        <f>IFERROR(VLOOKUP(Tabela3[[#This Row],[Produto]],Tabela2[],15,0),0)</f>
        <v>4</v>
      </c>
      <c r="AM25" s="36">
        <f ca="1">(Tabela3[[#This Row],[Custo Usinagem]]+Tabela3[[#This Row],[Custo / Pç]])*1.2</f>
        <v>20.143781962163857</v>
      </c>
      <c r="AN25" s="36">
        <f ca="1">Tabela3[[#This Row],[Valor Mínimo Venda]]*1.15</f>
        <v>23.165349256488433</v>
      </c>
      <c r="AO25" s="36">
        <f ca="1">Tabela3[[#This Row],[Tabela 1]]*1.08</f>
        <v>25.018577197007509</v>
      </c>
      <c r="AP25" s="36">
        <f ca="1">Tabela3[[#This Row],[Tabela 2]]*1.15</f>
        <v>28.771363776558633</v>
      </c>
    </row>
    <row r="26" spans="1:42">
      <c r="A26" s="9">
        <v>45700</v>
      </c>
      <c r="B26" s="6" t="s">
        <v>124</v>
      </c>
      <c r="C26" s="14">
        <v>5420</v>
      </c>
      <c r="D26" s="6" t="s">
        <v>44</v>
      </c>
      <c r="E26" s="6" t="s">
        <v>47</v>
      </c>
      <c r="F26" s="6">
        <v>35</v>
      </c>
      <c r="G26" s="15">
        <v>0.15347222222222223</v>
      </c>
      <c r="H26" s="16">
        <v>0</v>
      </c>
      <c r="I26" s="35">
        <f ca="1">IFERROR(Tabela3[[#This Row],[Custo Total]]/Tabela3[[#This Row],[Aluminio Util]],0)</f>
        <v>23.885296292466951</v>
      </c>
      <c r="J26" s="35">
        <f ca="1">Tabela3[[#This Row],[Custo Total]]/Tabela3[[#This Row],[Realizado]]</f>
        <v>40.366150734269141</v>
      </c>
      <c r="K26" s="37">
        <f>IFERROR(Tabela3[[#This Row],[Qtde Cx Produzida]]/Tabela3[[#This Row],[Tempo]]/24,0)</f>
        <v>9.502262443438914</v>
      </c>
      <c r="L26" s="37">
        <f>Tabela3[[#This Row],[Qtde Cx Produzida]]*Tabela3[[#This Row],[Qdt Peça Placa]]</f>
        <v>35</v>
      </c>
      <c r="M26" s="37">
        <f>Tabela3[[#This Row],[Previsto]]-Tabela3[[#This Row],[Perda Pçs]]</f>
        <v>35</v>
      </c>
      <c r="N26" s="38">
        <f>IFERROR(Tabela3[[#This Row],[Perda Pçs]]/Tabela3[[#This Row],[Previsto]],0)</f>
        <v>0</v>
      </c>
      <c r="O26" s="39">
        <f>IFERROR(IF(Tabela3[[#This Row],[Qtde Cx Produzida]] &lt;&gt; 0, Tabela3[[#This Row],[Tempo]] / Tabela3[[#This Row],[Qtde Cx Produzida]], 0),0)</f>
        <v>4.3849206349206348E-3</v>
      </c>
      <c r="P26" s="57">
        <f>IFERROR(Tabela3[[#This Row],[Perda Pçs]]/Tabela3[[#This Row],[Qdt Peça Placa]],0)</f>
        <v>0</v>
      </c>
      <c r="Q26" s="37">
        <f>IFERROR(Tabela3[[#This Row],[Realizado]]*Tabela3[[#This Row],[Peso Util/Pç]],0)</f>
        <v>59.15</v>
      </c>
      <c r="R26" s="37">
        <f>IFERROR(Tabela3[[#This Row],[Peso Total Galho]]*Tabela3[[#This Row],[Qtde Cx Produzida]]*1.055,0)</f>
        <v>110.40575</v>
      </c>
      <c r="S26" s="37">
        <f>(Tabela3[[#This Row],[Aluminio Bruto]]-Tabela3[[#This Row],[Aluminio Util]])*0.9</f>
        <v>46.130175000000001</v>
      </c>
      <c r="T26" s="37">
        <f>Tabela3[[#This Row],[Aluminio Bruto]]/OleoKGAluminio</f>
        <v>46.447556271736737</v>
      </c>
      <c r="U26" s="35">
        <f>IFERROR((VLOOKUP(Tabela3[[#This Row],[Moldador]],Tabela1[],5,)+(VLOOKUP(Tabela3[[#This Row],[Ajudante]],Tabela1[],5,))*3.5),0)</f>
        <v>99.95034583333333</v>
      </c>
      <c r="V26" s="35">
        <f>IFERROR(Tabela3[[#This Row],[Custo M.O. / H]]/((Tabela3[[#This Row],[Realizado]]/Tabela3[[#This Row],[Qdt Peça Placa]])/Tabela3[[#This Row],[Tempo]]/24),)</f>
        <v>10.518584013888889</v>
      </c>
      <c r="W26" s="35">
        <f>Tabela3[[#This Row],[Custo / Cx Moldada]]*Tabela3[[#This Row],[Qtde Cx Produzida]]</f>
        <v>368.15044048611111</v>
      </c>
      <c r="X26" s="35">
        <f ca="1">Tabela3[[#This Row],[Aluminio Util]]*Tabela3[[#This Row],[Custo/Kg]]</f>
        <v>922.74</v>
      </c>
      <c r="Y26" s="35">
        <f>IFERROR(VLOOKUP(Tabela3[[#This Row],[Data]],Tabela461213[],2,1)*(Tabela3[[#This Row],[Qtde Cx Produzida]]*Tabela3[[#This Row],[Qde macho / CX]]*Tabela3[[#This Row],[Peso Macho]]),)</f>
        <v>0</v>
      </c>
      <c r="Z26" s="35">
        <f>IFERROR(Tabela3[[#This Row],[Qtde Oleo]]*(VLOOKUP(Tabela3[[#This Row],[Data]],CompraOleo[],3,TRUE))*1.05,0)</f>
        <v>121.92483521330894</v>
      </c>
      <c r="AA26" s="47">
        <f ca="1">(Tabela3[[#This Row],[Custo Oleo]]+Tabela3[[#This Row],[Custo Aluminio]]+Tabela3[[#This Row],[Custo M.O. Total]]+Tabela3[[#This Row],[Custo Machos]])</f>
        <v>1412.81527569942</v>
      </c>
      <c r="AB26" s="47">
        <f ca="1">Tabela3[[#This Row],[Custo Total]]*Tabela3[[#This Row],[% Perda]]</f>
        <v>0</v>
      </c>
      <c r="AC26" s="48">
        <f>IFERROR(VLOOKUP(Tabela3[[#This Row],[Produto]],Tabela2[],2,0),0)</f>
        <v>1</v>
      </c>
      <c r="AD26" s="48">
        <f>IFERROR(VLOOKUP(Tabela3[[#This Row],[Produto]],Tabela2[],3,0),0)</f>
        <v>1.69</v>
      </c>
      <c r="AE26" s="48">
        <f>IFERROR(VLOOKUP(Tabela3[[#This Row],[Produto]],Tabela2[],4,0),0)</f>
        <v>2.99</v>
      </c>
      <c r="AF26" s="48">
        <f>IFERROR(VLOOKUP(Tabela3[[#This Row],[Produto]],Tabela2[],5,0),0)</f>
        <v>1.1700000000000004</v>
      </c>
      <c r="AG26" s="40">
        <f>IFERROR(VLOOKUP(Tabela3[[#This Row],[Produto]],Tabela2[],6,0),0)</f>
        <v>0</v>
      </c>
      <c r="AH26" s="40">
        <f>IFERROR(VLOOKUP(Tabela3[[#This Row],[Produto]],Tabela2[],7,0),0)</f>
        <v>0</v>
      </c>
      <c r="AI26" s="40">
        <f>IFERROR(VLOOKUP(Tabela3[[#This Row],[Produto]],Tabela2[],8,0),0)</f>
        <v>0</v>
      </c>
      <c r="AJ26" s="35">
        <f ca="1">IFERROR(VLOOKUP(Tabela3[[#This Row],[Produto]],Tabela2[],13,0),0)</f>
        <v>15.600000000000001</v>
      </c>
      <c r="AK26" s="40" t="str">
        <f>IFERROR(VLOOKUP(Tabela3[[#This Row],[Produto]],Tabela2[],14,0),0)</f>
        <v>Jumil</v>
      </c>
      <c r="AL26" s="40">
        <f>IFERROR(VLOOKUP(Tabela3[[#This Row],[Produto]],Tabela2[],15,0),0)</f>
        <v>8</v>
      </c>
      <c r="AM26" s="36">
        <f ca="1">(Tabela3[[#This Row],[Custo Usinagem]]+Tabela3[[#This Row],[Custo / Pç]])*1.2</f>
        <v>58.039380881122966</v>
      </c>
      <c r="AN26" s="36">
        <f ca="1">Tabela3[[#This Row],[Valor Mínimo Venda]]*1.15</f>
        <v>66.7452880132914</v>
      </c>
      <c r="AO26" s="36">
        <f ca="1">Tabela3[[#This Row],[Tabela 1]]*1.08</f>
        <v>72.08491105435472</v>
      </c>
      <c r="AP26" s="36">
        <f ca="1">Tabela3[[#This Row],[Tabela 2]]*1.15</f>
        <v>82.897647712507919</v>
      </c>
    </row>
    <row r="27" spans="1:42">
      <c r="A27" s="9">
        <v>45700</v>
      </c>
      <c r="B27" s="6" t="s">
        <v>124</v>
      </c>
      <c r="C27" s="14">
        <v>5420</v>
      </c>
      <c r="D27" s="6" t="s">
        <v>46</v>
      </c>
      <c r="E27" s="6" t="s">
        <v>53</v>
      </c>
      <c r="F27" s="6">
        <v>15</v>
      </c>
      <c r="G27" s="15">
        <v>6.458333333333334E-2</v>
      </c>
      <c r="H27" s="16">
        <v>0</v>
      </c>
      <c r="I27" s="35">
        <f ca="1">IFERROR(Tabela3[[#This Row],[Custo Total]]/Tabela3[[#This Row],[Aluminio Util]],0)</f>
        <v>23.772644451572802</v>
      </c>
      <c r="J27" s="35">
        <f ca="1">Tabela3[[#This Row],[Custo Total]]/Tabela3[[#This Row],[Realizado]]</f>
        <v>40.175769123158034</v>
      </c>
      <c r="K27" s="37">
        <f>IFERROR(Tabela3[[#This Row],[Qtde Cx Produzida]]/Tabela3[[#This Row],[Tempo]]/24,0)</f>
        <v>9.6774193548387082</v>
      </c>
      <c r="L27" s="37">
        <f>Tabela3[[#This Row],[Qtde Cx Produzida]]*Tabela3[[#This Row],[Qdt Peça Placa]]</f>
        <v>15</v>
      </c>
      <c r="M27" s="37">
        <f>Tabela3[[#This Row],[Previsto]]-Tabela3[[#This Row],[Perda Pçs]]</f>
        <v>15</v>
      </c>
      <c r="N27" s="38">
        <f>IFERROR(Tabela3[[#This Row],[Perda Pçs]]/Tabela3[[#This Row],[Previsto]],0)</f>
        <v>0</v>
      </c>
      <c r="O27" s="39">
        <f>IFERROR(IF(Tabela3[[#This Row],[Qtde Cx Produzida]] &lt;&gt; 0, Tabela3[[#This Row],[Tempo]] / Tabela3[[#This Row],[Qtde Cx Produzida]], 0),0)</f>
        <v>4.3055555555555564E-3</v>
      </c>
      <c r="P27" s="57">
        <f>IFERROR(Tabela3[[#This Row],[Perda Pçs]]/Tabela3[[#This Row],[Qdt Peça Placa]],0)</f>
        <v>0</v>
      </c>
      <c r="Q27" s="37">
        <f>IFERROR(Tabela3[[#This Row],[Realizado]]*Tabela3[[#This Row],[Peso Util/Pç]],0)</f>
        <v>25.349999999999998</v>
      </c>
      <c r="R27" s="37">
        <f>IFERROR(Tabela3[[#This Row],[Peso Total Galho]]*Tabela3[[#This Row],[Qtde Cx Produzida]]*1.055,0)</f>
        <v>47.316749999999999</v>
      </c>
      <c r="S27" s="37">
        <f>(Tabela3[[#This Row],[Aluminio Bruto]]-Tabela3[[#This Row],[Aluminio Util]])*0.9</f>
        <v>19.770075000000002</v>
      </c>
      <c r="T27" s="37">
        <f>Tabela3[[#This Row],[Aluminio Bruto]]/OleoKGAluminio</f>
        <v>19.906095545030031</v>
      </c>
      <c r="U27" s="35">
        <f>IFERROR((VLOOKUP(Tabela3[[#This Row],[Moldador]],Tabela1[],5,)+(VLOOKUP(Tabela3[[#This Row],[Ajudante]],Tabela1[],5,))*3.5),0)</f>
        <v>99.95034583333333</v>
      </c>
      <c r="V27" s="35">
        <f>IFERROR(Tabela3[[#This Row],[Custo M.O. / H]]/((Tabela3[[#This Row],[Realizado]]/Tabela3[[#This Row],[Qdt Peça Placa]])/Tabela3[[#This Row],[Tempo]]/24),)</f>
        <v>10.328202402777778</v>
      </c>
      <c r="W27" s="35">
        <f>Tabela3[[#This Row],[Custo / Cx Moldada]]*Tabela3[[#This Row],[Qtde Cx Produzida]]</f>
        <v>154.92303604166668</v>
      </c>
      <c r="X27" s="35">
        <f ca="1">Tabela3[[#This Row],[Aluminio Util]]*Tabela3[[#This Row],[Custo/Kg]]</f>
        <v>395.46</v>
      </c>
      <c r="Y27" s="35">
        <f>IFERROR(VLOOKUP(Tabela3[[#This Row],[Data]],Tabela461213[],2,1)*(Tabela3[[#This Row],[Qtde Cx Produzida]]*Tabela3[[#This Row],[Qde macho / CX]]*Tabela3[[#This Row],[Peso Macho]]),)</f>
        <v>0</v>
      </c>
      <c r="Z27" s="35">
        <f>IFERROR(Tabela3[[#This Row],[Qtde Oleo]]*(VLOOKUP(Tabela3[[#This Row],[Data]],CompraOleo[],3,TRUE))*1.05,0)</f>
        <v>52.25350080570383</v>
      </c>
      <c r="AA27" s="47">
        <f ca="1">(Tabela3[[#This Row],[Custo Oleo]]+Tabela3[[#This Row],[Custo Aluminio]]+Tabela3[[#This Row],[Custo M.O. Total]]+Tabela3[[#This Row],[Custo Machos]])</f>
        <v>602.63653684737051</v>
      </c>
      <c r="AB27" s="47">
        <f ca="1">Tabela3[[#This Row],[Custo Total]]*Tabela3[[#This Row],[% Perda]]</f>
        <v>0</v>
      </c>
      <c r="AC27" s="48">
        <f>IFERROR(VLOOKUP(Tabela3[[#This Row],[Produto]],Tabela2[],2,0),0)</f>
        <v>1</v>
      </c>
      <c r="AD27" s="48">
        <f>IFERROR(VLOOKUP(Tabela3[[#This Row],[Produto]],Tabela2[],3,0),0)</f>
        <v>1.69</v>
      </c>
      <c r="AE27" s="48">
        <f>IFERROR(VLOOKUP(Tabela3[[#This Row],[Produto]],Tabela2[],4,0),0)</f>
        <v>2.99</v>
      </c>
      <c r="AF27" s="48">
        <f>IFERROR(VLOOKUP(Tabela3[[#This Row],[Produto]],Tabela2[],5,0),0)</f>
        <v>1.1700000000000004</v>
      </c>
      <c r="AG27" s="40">
        <f>IFERROR(VLOOKUP(Tabela3[[#This Row],[Produto]],Tabela2[],6,0),0)</f>
        <v>0</v>
      </c>
      <c r="AH27" s="40">
        <f>IFERROR(VLOOKUP(Tabela3[[#This Row],[Produto]],Tabela2[],7,0),0)</f>
        <v>0</v>
      </c>
      <c r="AI27" s="40">
        <f>IFERROR(VLOOKUP(Tabela3[[#This Row],[Produto]],Tabela2[],8,0),0)</f>
        <v>0</v>
      </c>
      <c r="AJ27" s="35">
        <f ca="1">IFERROR(VLOOKUP(Tabela3[[#This Row],[Produto]],Tabela2[],13,0),0)</f>
        <v>15.600000000000001</v>
      </c>
      <c r="AK27" s="40" t="str">
        <f>IFERROR(VLOOKUP(Tabela3[[#This Row],[Produto]],Tabela2[],14,0),0)</f>
        <v>Jumil</v>
      </c>
      <c r="AL27" s="40">
        <f>IFERROR(VLOOKUP(Tabela3[[#This Row],[Produto]],Tabela2[],15,0),0)</f>
        <v>8</v>
      </c>
      <c r="AM27" s="36">
        <f ca="1">(Tabela3[[#This Row],[Custo Usinagem]]+Tabela3[[#This Row],[Custo / Pç]])*1.2</f>
        <v>57.810922947789635</v>
      </c>
      <c r="AN27" s="36">
        <f ca="1">Tabela3[[#This Row],[Valor Mínimo Venda]]*1.15</f>
        <v>66.482561389958079</v>
      </c>
      <c r="AO27" s="36">
        <f ca="1">Tabela3[[#This Row],[Tabela 1]]*1.08</f>
        <v>71.801166301154723</v>
      </c>
      <c r="AP27" s="36">
        <f ca="1">Tabela3[[#This Row],[Tabela 2]]*1.15</f>
        <v>82.571341246327918</v>
      </c>
    </row>
    <row r="28" spans="1:42">
      <c r="A28" s="9">
        <v>45701</v>
      </c>
      <c r="B28" s="6" t="s">
        <v>249</v>
      </c>
      <c r="C28" s="14">
        <v>5439</v>
      </c>
      <c r="D28" s="6" t="s">
        <v>46</v>
      </c>
      <c r="E28" s="6" t="s">
        <v>53</v>
      </c>
      <c r="F28" s="6">
        <v>9</v>
      </c>
      <c r="G28" s="15">
        <v>3.7499999999999999E-2</v>
      </c>
      <c r="H28" s="16">
        <v>0</v>
      </c>
      <c r="I28" s="35">
        <f ca="1">IFERROR(Tabela3[[#This Row],[Custo Total]]/Tabela3[[#This Row],[Aluminio Util]],0)</f>
        <v>24.967331863396236</v>
      </c>
      <c r="J28" s="35">
        <f ca="1">Tabela3[[#This Row],[Custo Total]]/Tabela3[[#This Row],[Realizado]]</f>
        <v>8.5388274972815132</v>
      </c>
      <c r="K28" s="37">
        <f>IFERROR(Tabela3[[#This Row],[Qtde Cx Produzida]]/Tabela3[[#This Row],[Tempo]]/24,0)</f>
        <v>10</v>
      </c>
      <c r="L28" s="37">
        <f>Tabela3[[#This Row],[Qtde Cx Produzida]]*Tabela3[[#This Row],[Qdt Peça Placa]]</f>
        <v>36</v>
      </c>
      <c r="M28" s="37">
        <f>Tabela3[[#This Row],[Previsto]]-Tabela3[[#This Row],[Perda Pçs]]</f>
        <v>36</v>
      </c>
      <c r="N28" s="38">
        <f>IFERROR(Tabela3[[#This Row],[Perda Pçs]]/Tabela3[[#This Row],[Previsto]],0)</f>
        <v>0</v>
      </c>
      <c r="O28" s="39">
        <f>IFERROR(IF(Tabela3[[#This Row],[Qtde Cx Produzida]] &lt;&gt; 0, Tabela3[[#This Row],[Tempo]] / Tabela3[[#This Row],[Qtde Cx Produzida]], 0),0)</f>
        <v>4.1666666666666666E-3</v>
      </c>
      <c r="P28" s="57">
        <f>IFERROR(Tabela3[[#This Row],[Perda Pçs]]/Tabela3[[#This Row],[Qdt Peça Placa]],0)</f>
        <v>0</v>
      </c>
      <c r="Q28" s="37">
        <f>IFERROR(Tabela3[[#This Row],[Realizado]]*Tabela3[[#This Row],[Peso Util/Pç]],0)</f>
        <v>12.312000000000001</v>
      </c>
      <c r="R28" s="37">
        <f>IFERROR(Tabela3[[#This Row],[Peso Total Galho]]*Tabela3[[#This Row],[Qtde Cx Produzida]]*1.055,0)</f>
        <v>22.977899999999998</v>
      </c>
      <c r="S28" s="37">
        <f>(Tabela3[[#This Row],[Aluminio Bruto]]-Tabela3[[#This Row],[Aluminio Util]])*0.9</f>
        <v>9.5993099999999973</v>
      </c>
      <c r="T28" s="37">
        <f>Tabela3[[#This Row],[Aluminio Bruto]]/OleoKGAluminio</f>
        <v>9.6667728198607374</v>
      </c>
      <c r="U28" s="35">
        <f>IFERROR((VLOOKUP(Tabela3[[#This Row],[Moldador]],Tabela1[],5,)+(VLOOKUP(Tabela3[[#This Row],[Ajudante]],Tabela1[],5,))*3.5),0)</f>
        <v>99.95034583333333</v>
      </c>
      <c r="V28" s="35">
        <f>IFERROR(Tabela3[[#This Row],[Custo M.O. / H]]/((Tabela3[[#This Row],[Realizado]]/Tabela3[[#This Row],[Qdt Peça Placa]])/Tabela3[[#This Row],[Tempo]]/24),)</f>
        <v>9.9950345833333323</v>
      </c>
      <c r="W28" s="35">
        <f>Tabela3[[#This Row],[Custo / Cx Moldada]]*Tabela3[[#This Row],[Qtde Cx Produzida]]</f>
        <v>89.955311249999994</v>
      </c>
      <c r="X28" s="35">
        <f ca="1">Tabela3[[#This Row],[Aluminio Util]]*Tabela3[[#This Row],[Custo/Kg]]</f>
        <v>192.06720000000004</v>
      </c>
      <c r="Y28" s="35">
        <f>IFERROR(VLOOKUP(Tabela3[[#This Row],[Data]],Tabela461213[],2,1)*(Tabela3[[#This Row],[Qtde Cx Produzida]]*Tabela3[[#This Row],[Qde macho / CX]]*Tabela3[[#This Row],[Peso Macho]]),)</f>
        <v>0</v>
      </c>
      <c r="Z28" s="35">
        <f>IFERROR(Tabela3[[#This Row],[Qtde Oleo]]*(VLOOKUP(Tabela3[[#This Row],[Data]],CompraOleo[],3,TRUE))*1.05,0)</f>
        <v>25.375278652134437</v>
      </c>
      <c r="AA28" s="47">
        <f ca="1">(Tabela3[[#This Row],[Custo Oleo]]+Tabela3[[#This Row],[Custo Aluminio]]+Tabela3[[#This Row],[Custo M.O. Total]]+Tabela3[[#This Row],[Custo Machos]])</f>
        <v>307.39778990213449</v>
      </c>
      <c r="AB28" s="47">
        <f ca="1">Tabela3[[#This Row],[Custo Total]]*Tabela3[[#This Row],[% Perda]]</f>
        <v>0</v>
      </c>
      <c r="AC28" s="48">
        <f>IFERROR(VLOOKUP(Tabela3[[#This Row],[Produto]],Tabela2[],2,0),0)</f>
        <v>4</v>
      </c>
      <c r="AD28" s="48">
        <f>IFERROR(VLOOKUP(Tabela3[[#This Row],[Produto]],Tabela2[],3,0),0)</f>
        <v>0.34200000000000003</v>
      </c>
      <c r="AE28" s="48">
        <f>IFERROR(VLOOKUP(Tabela3[[#This Row],[Produto]],Tabela2[],4,0),0)</f>
        <v>2.42</v>
      </c>
      <c r="AF28" s="48">
        <f>IFERROR(VLOOKUP(Tabela3[[#This Row],[Produto]],Tabela2[],5,0),0)</f>
        <v>0.94679999999999986</v>
      </c>
      <c r="AG28" s="40">
        <f>IFERROR(VLOOKUP(Tabela3[[#This Row],[Produto]],Tabela2[],6,0),0)</f>
        <v>0</v>
      </c>
      <c r="AH28" s="40">
        <f>IFERROR(VLOOKUP(Tabela3[[#This Row],[Produto]],Tabela2[],7,0),0)</f>
        <v>0</v>
      </c>
      <c r="AI28" s="40">
        <f>IFERROR(VLOOKUP(Tabela3[[#This Row],[Produto]],Tabela2[],8,0),0)</f>
        <v>0</v>
      </c>
      <c r="AJ28" s="35">
        <f ca="1">IFERROR(VLOOKUP(Tabela3[[#This Row],[Produto]],Tabela2[],13,0),0)</f>
        <v>15.600000000000001</v>
      </c>
      <c r="AK28" s="40" t="str">
        <f>IFERROR(VLOOKUP(Tabela3[[#This Row],[Produto]],Tabela2[],14,0),0)</f>
        <v>Senun</v>
      </c>
      <c r="AL28" s="40">
        <f>IFERROR(VLOOKUP(Tabela3[[#This Row],[Produto]],Tabela2[],15,0),0)</f>
        <v>4</v>
      </c>
      <c r="AM28" s="36">
        <f ca="1">(Tabela3[[#This Row],[Custo Usinagem]]+Tabela3[[#This Row],[Custo / Pç]])*1.2</f>
        <v>15.046592996737814</v>
      </c>
      <c r="AN28" s="36">
        <f ca="1">Tabela3[[#This Row],[Valor Mínimo Venda]]*1.15</f>
        <v>17.303581946248485</v>
      </c>
      <c r="AO28" s="36">
        <f ca="1">Tabela3[[#This Row],[Tabela 1]]*1.08</f>
        <v>18.687868501948365</v>
      </c>
      <c r="AP28" s="36">
        <f ca="1">Tabela3[[#This Row],[Tabela 2]]*1.15</f>
        <v>21.491048777240618</v>
      </c>
    </row>
    <row r="29" spans="1:42">
      <c r="A29" s="9">
        <v>45701</v>
      </c>
      <c r="B29" s="6" t="s">
        <v>245</v>
      </c>
      <c r="C29" s="14">
        <v>5529</v>
      </c>
      <c r="D29" s="6" t="s">
        <v>46</v>
      </c>
      <c r="E29" s="6" t="s">
        <v>53</v>
      </c>
      <c r="F29" s="6">
        <v>69</v>
      </c>
      <c r="G29" s="15">
        <v>0.30972222222222223</v>
      </c>
      <c r="H29" s="16">
        <v>15</v>
      </c>
      <c r="I29" s="35">
        <f ca="1">IFERROR(Tabela3[[#This Row],[Custo Total]]/Tabela3[[#This Row],[Aluminio Util]],0)</f>
        <v>26.80066858599082</v>
      </c>
      <c r="J29" s="35">
        <f ca="1">Tabela3[[#This Row],[Custo Total]]/Tabela3[[#This Row],[Realizado]]</f>
        <v>8.8978219705489536</v>
      </c>
      <c r="K29" s="37">
        <f>IFERROR(Tabela3[[#This Row],[Qtde Cx Produzida]]/Tabela3[[#This Row],[Tempo]]/24,0)</f>
        <v>9.2825112107623315</v>
      </c>
      <c r="L29" s="37">
        <f>Tabela3[[#This Row],[Qtde Cx Produzida]]*Tabela3[[#This Row],[Qdt Peça Placa]]</f>
        <v>276</v>
      </c>
      <c r="M29" s="37">
        <f>Tabela3[[#This Row],[Previsto]]-Tabela3[[#This Row],[Perda Pçs]]</f>
        <v>261</v>
      </c>
      <c r="N29" s="38">
        <f>IFERROR(Tabela3[[#This Row],[Perda Pçs]]/Tabela3[[#This Row],[Previsto]],0)</f>
        <v>5.434782608695652E-2</v>
      </c>
      <c r="O29" s="39">
        <f>IFERROR(IF(Tabela3[[#This Row],[Qtde Cx Produzida]] &lt;&gt; 0, Tabela3[[#This Row],[Tempo]] / Tabela3[[#This Row],[Qtde Cx Produzida]], 0),0)</f>
        <v>4.488727858293076E-3</v>
      </c>
      <c r="P29" s="57">
        <f>IFERROR(Tabela3[[#This Row],[Perda Pçs]]/Tabela3[[#This Row],[Qdt Peça Placa]],0)</f>
        <v>3.75</v>
      </c>
      <c r="Q29" s="37">
        <f>IFERROR(Tabela3[[#This Row],[Realizado]]*Tabela3[[#This Row],[Peso Util/Pç]],0)</f>
        <v>86.652000000000001</v>
      </c>
      <c r="R29" s="37">
        <f>IFERROR(Tabela3[[#This Row],[Peso Total Galho]]*Tabela3[[#This Row],[Qtde Cx Produzida]]*1.055,0)</f>
        <v>167.42849999999999</v>
      </c>
      <c r="S29" s="37">
        <f>(Tabela3[[#This Row],[Aluminio Bruto]]-Tabela3[[#This Row],[Aluminio Util]])*0.9</f>
        <v>72.698849999999993</v>
      </c>
      <c r="T29" s="37">
        <f>Tabela3[[#This Row],[Aluminio Bruto]]/OleoKGAluminio</f>
        <v>70.43695346702934</v>
      </c>
      <c r="U29" s="35">
        <f>IFERROR((VLOOKUP(Tabela3[[#This Row],[Moldador]],Tabela1[],5,)+(VLOOKUP(Tabela3[[#This Row],[Ajudante]],Tabela1[],5,))*3.5),0)</f>
        <v>99.95034583333333</v>
      </c>
      <c r="V29" s="35">
        <f>IFERROR(Tabela3[[#This Row],[Custo M.O. / H]]/((Tabela3[[#This Row],[Realizado]]/Tabela3[[#This Row],[Qdt Peça Placa]])/Tabela3[[#This Row],[Tempo]]/24),)</f>
        <v>11.386425093656875</v>
      </c>
      <c r="W29" s="35">
        <f>Tabela3[[#This Row],[Custo / Cx Moldada]]*Tabela3[[#This Row],[Qtde Cx Produzida]]</f>
        <v>785.66333146232444</v>
      </c>
      <c r="X29" s="35">
        <f ca="1">Tabela3[[#This Row],[Aluminio Util]]*Tabela3[[#This Row],[Custo/Kg]]</f>
        <v>1351.7712000000001</v>
      </c>
      <c r="Y29" s="35">
        <f>IFERROR(VLOOKUP(Tabela3[[#This Row],[Data]],Tabela461213[],2,1)*(Tabela3[[#This Row],[Qtde Cx Produzida]]*Tabela3[[#This Row],[Qde macho / CX]]*Tabela3[[#This Row],[Peso Macho]]),)</f>
        <v>0</v>
      </c>
      <c r="Z29" s="35">
        <f>IFERROR(Tabela3[[#This Row],[Qtde Oleo]]*(VLOOKUP(Tabela3[[#This Row],[Data]],CompraOleo[],3,TRUE))*1.05,0)</f>
        <v>184.89700285095202</v>
      </c>
      <c r="AA29" s="47">
        <f ca="1">(Tabela3[[#This Row],[Custo Oleo]]+Tabela3[[#This Row],[Custo Aluminio]]+Tabela3[[#This Row],[Custo M.O. Total]]+Tabela3[[#This Row],[Custo Machos]])</f>
        <v>2322.3315343132767</v>
      </c>
      <c r="AB29" s="47">
        <f ca="1">Tabela3[[#This Row],[Custo Total]]*Tabela3[[#This Row],[% Perda]]</f>
        <v>126.21367034311287</v>
      </c>
      <c r="AC29" s="48">
        <f>IFERROR(VLOOKUP(Tabela3[[#This Row],[Produto]],Tabela2[],2,0),0)</f>
        <v>4</v>
      </c>
      <c r="AD29" s="48">
        <f>IFERROR(VLOOKUP(Tabela3[[#This Row],[Produto]],Tabela2[],3,0),0)</f>
        <v>0.33200000000000002</v>
      </c>
      <c r="AE29" s="48">
        <f>IFERROR(VLOOKUP(Tabela3[[#This Row],[Produto]],Tabela2[],4,0),0)</f>
        <v>2.2999999999999998</v>
      </c>
      <c r="AF29" s="48">
        <f>IFERROR(VLOOKUP(Tabela3[[#This Row],[Produto]],Tabela2[],5,0),0)</f>
        <v>0.8747999999999998</v>
      </c>
      <c r="AG29" s="40">
        <f>IFERROR(VLOOKUP(Tabela3[[#This Row],[Produto]],Tabela2[],6,0),0)</f>
        <v>0</v>
      </c>
      <c r="AH29" s="40">
        <f>IFERROR(VLOOKUP(Tabela3[[#This Row],[Produto]],Tabela2[],7,0),0)</f>
        <v>0</v>
      </c>
      <c r="AI29" s="40">
        <f>IFERROR(VLOOKUP(Tabela3[[#This Row],[Produto]],Tabela2[],8,0),0)</f>
        <v>0</v>
      </c>
      <c r="AJ29" s="35">
        <f ca="1">IFERROR(VLOOKUP(Tabela3[[#This Row],[Produto]],Tabela2[],13,0),0)</f>
        <v>15.600000000000001</v>
      </c>
      <c r="AK29" s="40" t="str">
        <f>IFERROR(VLOOKUP(Tabela3[[#This Row],[Produto]],Tabela2[],14,0),0)</f>
        <v>Senun</v>
      </c>
      <c r="AL29" s="40">
        <f>IFERROR(VLOOKUP(Tabela3[[#This Row],[Produto]],Tabela2[],15,0),0)</f>
        <v>3.5</v>
      </c>
      <c r="AM29" s="36">
        <f ca="1">(Tabela3[[#This Row],[Custo Usinagem]]+Tabela3[[#This Row],[Custo / Pç]])*1.2</f>
        <v>14.877386364658744</v>
      </c>
      <c r="AN29" s="36">
        <f ca="1">Tabela3[[#This Row],[Valor Mínimo Venda]]*1.15</f>
        <v>17.108994319357553</v>
      </c>
      <c r="AO29" s="36">
        <f ca="1">Tabela3[[#This Row],[Tabela 1]]*1.08</f>
        <v>18.477713864906157</v>
      </c>
      <c r="AP29" s="36">
        <f ca="1">Tabela3[[#This Row],[Tabela 2]]*1.15</f>
        <v>21.249370944642077</v>
      </c>
    </row>
    <row r="30" spans="1:42">
      <c r="A30" s="9">
        <v>45701</v>
      </c>
      <c r="B30" s="6" t="s">
        <v>124</v>
      </c>
      <c r="C30" s="14">
        <v>5420</v>
      </c>
      <c r="D30" s="6" t="s">
        <v>44</v>
      </c>
      <c r="E30" s="6" t="s">
        <v>47</v>
      </c>
      <c r="F30" s="6">
        <v>30</v>
      </c>
      <c r="G30" s="15">
        <v>0.13263888888888889</v>
      </c>
      <c r="H30" s="16">
        <v>0</v>
      </c>
      <c r="I30" s="35">
        <f ca="1">IFERROR(Tabela3[[#This Row],[Custo Total]]/Tabela3[[#This Row],[Aluminio Util]],0)</f>
        <v>23.936928386210102</v>
      </c>
      <c r="J30" s="35">
        <f ca="1">Tabela3[[#This Row],[Custo Total]]/Tabela3[[#This Row],[Realizado]]</f>
        <v>40.453408972695073</v>
      </c>
      <c r="K30" s="37">
        <f>IFERROR(Tabela3[[#This Row],[Qtde Cx Produzida]]/Tabela3[[#This Row],[Tempo]]/24,0)</f>
        <v>9.4240837696335067</v>
      </c>
      <c r="L30" s="37">
        <f>Tabela3[[#This Row],[Qtde Cx Produzida]]*Tabela3[[#This Row],[Qdt Peça Placa]]</f>
        <v>30</v>
      </c>
      <c r="M30" s="37">
        <f>Tabela3[[#This Row],[Previsto]]-Tabela3[[#This Row],[Perda Pçs]]</f>
        <v>30</v>
      </c>
      <c r="N30" s="38">
        <f>IFERROR(Tabela3[[#This Row],[Perda Pçs]]/Tabela3[[#This Row],[Previsto]],0)</f>
        <v>0</v>
      </c>
      <c r="O30" s="39">
        <f>IFERROR(IF(Tabela3[[#This Row],[Qtde Cx Produzida]] &lt;&gt; 0, Tabela3[[#This Row],[Tempo]] / Tabela3[[#This Row],[Qtde Cx Produzida]], 0),0)</f>
        <v>4.4212962962962964E-3</v>
      </c>
      <c r="P30" s="57">
        <f>IFERROR(Tabela3[[#This Row],[Perda Pçs]]/Tabela3[[#This Row],[Qdt Peça Placa]],0)</f>
        <v>0</v>
      </c>
      <c r="Q30" s="37">
        <f>IFERROR(Tabela3[[#This Row],[Realizado]]*Tabela3[[#This Row],[Peso Util/Pç]],0)</f>
        <v>50.699999999999996</v>
      </c>
      <c r="R30" s="37">
        <f>IFERROR(Tabela3[[#This Row],[Peso Total Galho]]*Tabela3[[#This Row],[Qtde Cx Produzida]]*1.055,0)</f>
        <v>94.633499999999998</v>
      </c>
      <c r="S30" s="37">
        <f>(Tabela3[[#This Row],[Aluminio Bruto]]-Tabela3[[#This Row],[Aluminio Util]])*0.9</f>
        <v>39.540150000000004</v>
      </c>
      <c r="T30" s="37">
        <f>Tabela3[[#This Row],[Aluminio Bruto]]/OleoKGAluminio</f>
        <v>39.812191090060061</v>
      </c>
      <c r="U30" s="35">
        <f>IFERROR((VLOOKUP(Tabela3[[#This Row],[Moldador]],Tabela1[],5,)+(VLOOKUP(Tabela3[[#This Row],[Ajudante]],Tabela1[],5,))*3.5),0)</f>
        <v>99.95034583333333</v>
      </c>
      <c r="V30" s="35">
        <f>IFERROR(Tabela3[[#This Row],[Custo M.O. / H]]/((Tabela3[[#This Row],[Realizado]]/Tabela3[[#This Row],[Qdt Peça Placa]])/Tabela3[[#This Row],[Tempo]]/24),)</f>
        <v>10.605842252314815</v>
      </c>
      <c r="W30" s="35">
        <f>Tabela3[[#This Row],[Custo / Cx Moldada]]*Tabela3[[#This Row],[Qtde Cx Produzida]]</f>
        <v>318.17526756944449</v>
      </c>
      <c r="X30" s="35">
        <f ca="1">Tabela3[[#This Row],[Aluminio Util]]*Tabela3[[#This Row],[Custo/Kg]]</f>
        <v>790.92</v>
      </c>
      <c r="Y30" s="35">
        <f>IFERROR(VLOOKUP(Tabela3[[#This Row],[Data]],Tabela461213[],2,1)*(Tabela3[[#This Row],[Qtde Cx Produzida]]*Tabela3[[#This Row],[Qde macho / CX]]*Tabela3[[#This Row],[Peso Macho]]),)</f>
        <v>0</v>
      </c>
      <c r="Z30" s="35">
        <f>IFERROR(Tabela3[[#This Row],[Qtde Oleo]]*(VLOOKUP(Tabela3[[#This Row],[Data]],CompraOleo[],3,TRUE))*1.05,0)</f>
        <v>104.50700161140766</v>
      </c>
      <c r="AA30" s="47">
        <f ca="1">(Tabela3[[#This Row],[Custo Oleo]]+Tabela3[[#This Row],[Custo Aluminio]]+Tabela3[[#This Row],[Custo M.O. Total]]+Tabela3[[#This Row],[Custo Machos]])</f>
        <v>1213.6022691808521</v>
      </c>
      <c r="AB30" s="47">
        <f ca="1">Tabela3[[#This Row],[Custo Total]]*Tabela3[[#This Row],[% Perda]]</f>
        <v>0</v>
      </c>
      <c r="AC30" s="48">
        <f>IFERROR(VLOOKUP(Tabela3[[#This Row],[Produto]],Tabela2[],2,0),0)</f>
        <v>1</v>
      </c>
      <c r="AD30" s="48">
        <f>IFERROR(VLOOKUP(Tabela3[[#This Row],[Produto]],Tabela2[],3,0),0)</f>
        <v>1.69</v>
      </c>
      <c r="AE30" s="48">
        <f>IFERROR(VLOOKUP(Tabela3[[#This Row],[Produto]],Tabela2[],4,0),0)</f>
        <v>2.99</v>
      </c>
      <c r="AF30" s="48">
        <f>IFERROR(VLOOKUP(Tabela3[[#This Row],[Produto]],Tabela2[],5,0),0)</f>
        <v>1.1700000000000004</v>
      </c>
      <c r="AG30" s="40">
        <f>IFERROR(VLOOKUP(Tabela3[[#This Row],[Produto]],Tabela2[],6,0),0)</f>
        <v>0</v>
      </c>
      <c r="AH30" s="40">
        <f>IFERROR(VLOOKUP(Tabela3[[#This Row],[Produto]],Tabela2[],7,0),0)</f>
        <v>0</v>
      </c>
      <c r="AI30" s="40">
        <f>IFERROR(VLOOKUP(Tabela3[[#This Row],[Produto]],Tabela2[],8,0),0)</f>
        <v>0</v>
      </c>
      <c r="AJ30" s="35">
        <f ca="1">IFERROR(VLOOKUP(Tabela3[[#This Row],[Produto]],Tabela2[],13,0),0)</f>
        <v>15.600000000000001</v>
      </c>
      <c r="AK30" s="40" t="str">
        <f>IFERROR(VLOOKUP(Tabela3[[#This Row],[Produto]],Tabela2[],14,0),0)</f>
        <v>Jumil</v>
      </c>
      <c r="AL30" s="40">
        <f>IFERROR(VLOOKUP(Tabela3[[#This Row],[Produto]],Tabela2[],15,0),0)</f>
        <v>8</v>
      </c>
      <c r="AM30" s="36">
        <f ca="1">(Tabela3[[#This Row],[Custo Usinagem]]+Tabela3[[#This Row],[Custo / Pç]])*1.2</f>
        <v>58.144090767234083</v>
      </c>
      <c r="AN30" s="36">
        <f ca="1">Tabela3[[#This Row],[Valor Mínimo Venda]]*1.15</f>
        <v>66.865704382319194</v>
      </c>
      <c r="AO30" s="36">
        <f ca="1">Tabela3[[#This Row],[Tabela 1]]*1.08</f>
        <v>72.214960732904729</v>
      </c>
      <c r="AP30" s="36">
        <f ca="1">Tabela3[[#This Row],[Tabela 2]]*1.15</f>
        <v>83.047204842840429</v>
      </c>
    </row>
    <row r="31" spans="1:42">
      <c r="A31" s="9">
        <v>45701</v>
      </c>
      <c r="B31" s="6" t="s">
        <v>230</v>
      </c>
      <c r="C31" s="14">
        <v>5292</v>
      </c>
      <c r="D31" s="6" t="s">
        <v>44</v>
      </c>
      <c r="E31" s="6" t="s">
        <v>47</v>
      </c>
      <c r="F31" s="6">
        <v>45</v>
      </c>
      <c r="G31" s="15">
        <v>0.1986111111111111</v>
      </c>
      <c r="H31" s="16">
        <v>0</v>
      </c>
      <c r="I31" s="35">
        <f ca="1">IFERROR(Tabela3[[#This Row],[Custo Total]]/Tabela3[[#This Row],[Aluminio Util]],0)</f>
        <v>26.013912495152848</v>
      </c>
      <c r="J31" s="35">
        <f ca="1">Tabela3[[#This Row],[Custo Total]]/Tabela3[[#This Row],[Realizado]]</f>
        <v>11.003884985449655</v>
      </c>
      <c r="K31" s="37">
        <f>IFERROR(Tabela3[[#This Row],[Qtde Cx Produzida]]/Tabela3[[#This Row],[Tempo]]/24,0)</f>
        <v>9.4405594405594417</v>
      </c>
      <c r="L31" s="37">
        <f>Tabela3[[#This Row],[Qtde Cx Produzida]]*Tabela3[[#This Row],[Qdt Peça Placa]]</f>
        <v>180</v>
      </c>
      <c r="M31" s="37">
        <f>Tabela3[[#This Row],[Previsto]]-Tabela3[[#This Row],[Perda Pçs]]</f>
        <v>180</v>
      </c>
      <c r="N31" s="38">
        <f>IFERROR(Tabela3[[#This Row],[Perda Pçs]]/Tabela3[[#This Row],[Previsto]],0)</f>
        <v>0</v>
      </c>
      <c r="O31" s="39">
        <f>IFERROR(IF(Tabela3[[#This Row],[Qtde Cx Produzida]] &lt;&gt; 0, Tabela3[[#This Row],[Tempo]] / Tabela3[[#This Row],[Qtde Cx Produzida]], 0),0)</f>
        <v>4.4135802469135801E-3</v>
      </c>
      <c r="P31" s="57">
        <f>IFERROR(Tabela3[[#This Row],[Perda Pçs]]/Tabela3[[#This Row],[Qdt Peça Placa]],0)</f>
        <v>0</v>
      </c>
      <c r="Q31" s="37">
        <f>IFERROR(Tabela3[[#This Row],[Realizado]]*Tabela3[[#This Row],[Peso Util/Pç]],0)</f>
        <v>76.14</v>
      </c>
      <c r="R31" s="37">
        <f>IFERROR(Tabela3[[#This Row],[Peso Total Galho]]*Tabela3[[#This Row],[Qtde Cx Produzida]]*1.055,0)</f>
        <v>148.6917</v>
      </c>
      <c r="S31" s="37">
        <f>(Tabela3[[#This Row],[Aluminio Bruto]]-Tabela3[[#This Row],[Aluminio Util]])*0.9</f>
        <v>65.296530000000004</v>
      </c>
      <c r="T31" s="37">
        <f>Tabela3[[#This Row],[Aluminio Bruto]]/OleoKGAluminio</f>
        <v>62.554405933478989</v>
      </c>
      <c r="U31" s="35">
        <f>IFERROR((VLOOKUP(Tabela3[[#This Row],[Moldador]],Tabela1[],5,)+(VLOOKUP(Tabela3[[#This Row],[Ajudante]],Tabela1[],5,))*3.5),0)</f>
        <v>99.95034583333333</v>
      </c>
      <c r="V31" s="35">
        <f>IFERROR(Tabela3[[#This Row],[Custo M.O. / H]]/((Tabela3[[#This Row],[Realizado]]/Tabela3[[#This Row],[Qdt Peça Placa]])/Tabela3[[#This Row],[Tempo]]/24),)</f>
        <v>10.587332929012344</v>
      </c>
      <c r="W31" s="35">
        <f>Tabela3[[#This Row],[Custo / Cx Moldada]]*Tabela3[[#This Row],[Qtde Cx Produzida]]</f>
        <v>476.42998180555549</v>
      </c>
      <c r="X31" s="35">
        <f ca="1">Tabela3[[#This Row],[Aluminio Util]]*Tabela3[[#This Row],[Custo/Kg]]</f>
        <v>1340.0640000000001</v>
      </c>
      <c r="Y31" s="35">
        <f>IFERROR(VLOOKUP(Tabela3[[#This Row],[Data]],Tabela461213[],2,1)*(Tabela3[[#This Row],[Qtde Cx Produzida]]*Tabela3[[#This Row],[Qde macho / CX]]*Tabela3[[#This Row],[Peso Macho]]),)</f>
        <v>0</v>
      </c>
      <c r="Z31" s="35">
        <f>IFERROR(Tabela3[[#This Row],[Qtde Oleo]]*(VLOOKUP(Tabela3[[#This Row],[Data]],CompraOleo[],3,TRUE))*1.05,0)</f>
        <v>164.20531557538234</v>
      </c>
      <c r="AA31" s="47">
        <f ca="1">(Tabela3[[#This Row],[Custo Oleo]]+Tabela3[[#This Row],[Custo Aluminio]]+Tabela3[[#This Row],[Custo M.O. Total]]+Tabela3[[#This Row],[Custo Machos]])</f>
        <v>1980.6992973809379</v>
      </c>
      <c r="AB31" s="47">
        <f ca="1">Tabela3[[#This Row],[Custo Total]]*Tabela3[[#This Row],[% Perda]]</f>
        <v>0</v>
      </c>
      <c r="AC31" s="48">
        <f>IFERROR(VLOOKUP(Tabela3[[#This Row],[Produto]],Tabela2[],2,0),0)</f>
        <v>4</v>
      </c>
      <c r="AD31" s="48">
        <f>IFERROR(VLOOKUP(Tabela3[[#This Row],[Produto]],Tabela2[],3,0),0)</f>
        <v>0.42299999999999999</v>
      </c>
      <c r="AE31" s="48">
        <f>IFERROR(VLOOKUP(Tabela3[[#This Row],[Produto]],Tabela2[],4,0),0)</f>
        <v>3.1320000000000001</v>
      </c>
      <c r="AF31" s="48">
        <f>IFERROR(VLOOKUP(Tabela3[[#This Row],[Produto]],Tabela2[],5,0),0)</f>
        <v>1.2960000000000003</v>
      </c>
      <c r="AG31" s="40">
        <f>IFERROR(VLOOKUP(Tabela3[[#This Row],[Produto]],Tabela2[],6,0),0)</f>
        <v>0</v>
      </c>
      <c r="AH31" s="40">
        <f>IFERROR(VLOOKUP(Tabela3[[#This Row],[Produto]],Tabela2[],7,0),0)</f>
        <v>0</v>
      </c>
      <c r="AI31" s="40">
        <f>IFERROR(VLOOKUP(Tabela3[[#This Row],[Produto]],Tabela2[],8,0),0)</f>
        <v>0</v>
      </c>
      <c r="AJ31" s="35">
        <f ca="1">IFERROR(VLOOKUP(Tabela3[[#This Row],[Produto]],Tabela2[],13,0),0)</f>
        <v>17.600000000000001</v>
      </c>
      <c r="AK31" s="40" t="str">
        <f>IFERROR(VLOOKUP(Tabela3[[#This Row],[Produto]],Tabela2[],14,0),0)</f>
        <v>Busa</v>
      </c>
      <c r="AL31" s="40">
        <f>IFERROR(VLOOKUP(Tabela3[[#This Row],[Produto]],Tabela2[],15,0),0)</f>
        <v>0.5</v>
      </c>
      <c r="AM31" s="36">
        <f ca="1">(Tabela3[[#This Row],[Custo Usinagem]]+Tabela3[[#This Row],[Custo / Pç]])*1.2</f>
        <v>13.804661982539587</v>
      </c>
      <c r="AN31" s="36">
        <f ca="1">Tabela3[[#This Row],[Valor Mínimo Venda]]*1.15</f>
        <v>15.875361279920524</v>
      </c>
      <c r="AO31" s="36">
        <f ca="1">Tabela3[[#This Row],[Tabela 1]]*1.08</f>
        <v>17.145390182314166</v>
      </c>
      <c r="AP31" s="36">
        <f ca="1">Tabela3[[#This Row],[Tabela 2]]*1.15</f>
        <v>19.71719870966129</v>
      </c>
    </row>
    <row r="32" spans="1:42">
      <c r="A32" s="9">
        <v>45702</v>
      </c>
      <c r="B32" s="6" t="s">
        <v>245</v>
      </c>
      <c r="C32" s="14">
        <v>5529</v>
      </c>
      <c r="D32" s="6" t="s">
        <v>46</v>
      </c>
      <c r="E32" s="6" t="s">
        <v>53</v>
      </c>
      <c r="F32" s="6">
        <v>79</v>
      </c>
      <c r="G32" s="15">
        <v>0.3611111111111111</v>
      </c>
      <c r="H32" s="16">
        <v>17</v>
      </c>
      <c r="I32" s="35">
        <f ca="1">IFERROR(Tabela3[[#This Row],[Custo Total]]/Tabela3[[#This Row],[Aluminio Util]],0)</f>
        <v>26.954927021141401</v>
      </c>
      <c r="J32" s="35">
        <f ca="1">Tabela3[[#This Row],[Custo Total]]/Tabela3[[#This Row],[Realizado]]</f>
        <v>8.949035771018945</v>
      </c>
      <c r="K32" s="37">
        <f>IFERROR(Tabela3[[#This Row],[Qtde Cx Produzida]]/Tabela3[[#This Row],[Tempo]]/24,0)</f>
        <v>9.115384615384615</v>
      </c>
      <c r="L32" s="37">
        <f>Tabela3[[#This Row],[Qtde Cx Produzida]]*Tabela3[[#This Row],[Qdt Peça Placa]]</f>
        <v>316</v>
      </c>
      <c r="M32" s="37">
        <f>Tabela3[[#This Row],[Previsto]]-Tabela3[[#This Row],[Perda Pçs]]</f>
        <v>299</v>
      </c>
      <c r="N32" s="38">
        <f>IFERROR(Tabela3[[#This Row],[Perda Pçs]]/Tabela3[[#This Row],[Previsto]],0)</f>
        <v>5.3797468354430382E-2</v>
      </c>
      <c r="O32" s="39">
        <f>IFERROR(IF(Tabela3[[#This Row],[Qtde Cx Produzida]] &lt;&gt; 0, Tabela3[[#This Row],[Tempo]] / Tabela3[[#This Row],[Qtde Cx Produzida]], 0),0)</f>
        <v>4.5710267229254571E-3</v>
      </c>
      <c r="P32" s="57">
        <f>IFERROR(Tabela3[[#This Row],[Perda Pçs]]/Tabela3[[#This Row],[Qdt Peça Placa]],0)</f>
        <v>4.25</v>
      </c>
      <c r="Q32" s="37">
        <f>IFERROR(Tabela3[[#This Row],[Realizado]]*Tabela3[[#This Row],[Peso Util/Pç]],0)</f>
        <v>99.268000000000001</v>
      </c>
      <c r="R32" s="37">
        <f>IFERROR(Tabela3[[#This Row],[Peso Total Galho]]*Tabela3[[#This Row],[Qtde Cx Produzida]]*1.055,0)</f>
        <v>191.69349999999997</v>
      </c>
      <c r="S32" s="37">
        <f>(Tabela3[[#This Row],[Aluminio Bruto]]-Tabela3[[#This Row],[Aluminio Util]])*0.9</f>
        <v>83.182949999999977</v>
      </c>
      <c r="T32" s="37">
        <f>Tabela3[[#This Row],[Aluminio Bruto]]/OleoKGAluminio</f>
        <v>80.64520759268575</v>
      </c>
      <c r="U32" s="35">
        <f>IFERROR((VLOOKUP(Tabela3[[#This Row],[Moldador]],Tabela1[],5,)+(VLOOKUP(Tabela3[[#This Row],[Ajudante]],Tabela1[],5,))*3.5),0)</f>
        <v>99.95034583333333</v>
      </c>
      <c r="V32" s="35">
        <f>IFERROR(Tabela3[[#This Row],[Custo M.O. / H]]/((Tabela3[[#This Row],[Realizado]]/Tabela3[[#This Row],[Qdt Peça Placa]])/Tabela3[[#This Row],[Tempo]]/24),)</f>
        <v>11.588445893719806</v>
      </c>
      <c r="W32" s="35">
        <f>Tabela3[[#This Row],[Custo / Cx Moldada]]*Tabela3[[#This Row],[Qtde Cx Produzida]]</f>
        <v>915.48722560386466</v>
      </c>
      <c r="X32" s="35">
        <f ca="1">Tabela3[[#This Row],[Aluminio Util]]*Tabela3[[#This Row],[Custo/Kg]]</f>
        <v>1548.5808000000002</v>
      </c>
      <c r="Y32" s="35">
        <f>IFERROR(VLOOKUP(Tabela3[[#This Row],[Data]],Tabela461213[],2,1)*(Tabela3[[#This Row],[Qtde Cx Produzida]]*Tabela3[[#This Row],[Qde macho / CX]]*Tabela3[[#This Row],[Peso Macho]]),)</f>
        <v>0</v>
      </c>
      <c r="Z32" s="35">
        <f>IFERROR(Tabela3[[#This Row],[Qtde Oleo]]*(VLOOKUP(Tabela3[[#This Row],[Data]],CompraOleo[],3,TRUE))*1.05,0)</f>
        <v>211.69366993080013</v>
      </c>
      <c r="AA32" s="47">
        <f ca="1">(Tabela3[[#This Row],[Custo Oleo]]+Tabela3[[#This Row],[Custo Aluminio]]+Tabela3[[#This Row],[Custo M.O. Total]]+Tabela3[[#This Row],[Custo Machos]])</f>
        <v>2675.7616955346648</v>
      </c>
      <c r="AB32" s="47">
        <f ca="1">Tabela3[[#This Row],[Custo Total]]*Tabela3[[#This Row],[% Perda]]</f>
        <v>143.94920513952312</v>
      </c>
      <c r="AC32" s="48">
        <f>IFERROR(VLOOKUP(Tabela3[[#This Row],[Produto]],Tabela2[],2,0),0)</f>
        <v>4</v>
      </c>
      <c r="AD32" s="48">
        <f>IFERROR(VLOOKUP(Tabela3[[#This Row],[Produto]],Tabela2[],3,0),0)</f>
        <v>0.33200000000000002</v>
      </c>
      <c r="AE32" s="48">
        <f>IFERROR(VLOOKUP(Tabela3[[#This Row],[Produto]],Tabela2[],4,0),0)</f>
        <v>2.2999999999999998</v>
      </c>
      <c r="AF32" s="48">
        <f>IFERROR(VLOOKUP(Tabela3[[#This Row],[Produto]],Tabela2[],5,0),0)</f>
        <v>0.8747999999999998</v>
      </c>
      <c r="AG32" s="40">
        <f>IFERROR(VLOOKUP(Tabela3[[#This Row],[Produto]],Tabela2[],6,0),0)</f>
        <v>0</v>
      </c>
      <c r="AH32" s="40">
        <f>IFERROR(VLOOKUP(Tabela3[[#This Row],[Produto]],Tabela2[],7,0),0)</f>
        <v>0</v>
      </c>
      <c r="AI32" s="40">
        <f>IFERROR(VLOOKUP(Tabela3[[#This Row],[Produto]],Tabela2[],8,0),0)</f>
        <v>0</v>
      </c>
      <c r="AJ32" s="35">
        <f ca="1">IFERROR(VLOOKUP(Tabela3[[#This Row],[Produto]],Tabela2[],13,0),0)</f>
        <v>15.600000000000001</v>
      </c>
      <c r="AK32" s="40" t="str">
        <f>IFERROR(VLOOKUP(Tabela3[[#This Row],[Produto]],Tabela2[],14,0),0)</f>
        <v>Senun</v>
      </c>
      <c r="AL32" s="40">
        <f>IFERROR(VLOOKUP(Tabela3[[#This Row],[Produto]],Tabela2[],15,0),0)</f>
        <v>3.5</v>
      </c>
      <c r="AM32" s="36">
        <f ca="1">(Tabela3[[#This Row],[Custo Usinagem]]+Tabela3[[#This Row],[Custo / Pç]])*1.2</f>
        <v>14.938842925222733</v>
      </c>
      <c r="AN32" s="36">
        <f ca="1">Tabela3[[#This Row],[Valor Mínimo Venda]]*1.15</f>
        <v>17.179669364006141</v>
      </c>
      <c r="AO32" s="36">
        <f ca="1">Tabela3[[#This Row],[Tabela 1]]*1.08</f>
        <v>18.554042913126633</v>
      </c>
      <c r="AP32" s="36">
        <f ca="1">Tabela3[[#This Row],[Tabela 2]]*1.15</f>
        <v>21.337149350095626</v>
      </c>
    </row>
    <row r="33" spans="1:42">
      <c r="A33" s="9">
        <v>45702</v>
      </c>
      <c r="B33" s="6" t="s">
        <v>230</v>
      </c>
      <c r="C33" s="14">
        <v>5292</v>
      </c>
      <c r="D33" s="6" t="s">
        <v>44</v>
      </c>
      <c r="E33" s="6" t="s">
        <v>47</v>
      </c>
      <c r="F33" s="6">
        <v>74</v>
      </c>
      <c r="G33" s="15">
        <v>0.32777777777777778</v>
      </c>
      <c r="H33" s="16">
        <v>0</v>
      </c>
      <c r="I33" s="35">
        <f ca="1">IFERROR(Tabela3[[#This Row],[Custo Total]]/Tabela3[[#This Row],[Aluminio Util]],0)</f>
        <v>26.036382442296603</v>
      </c>
      <c r="J33" s="35">
        <f ca="1">Tabela3[[#This Row],[Custo Total]]/Tabela3[[#This Row],[Realizado]]</f>
        <v>11.013389773091463</v>
      </c>
      <c r="K33" s="37">
        <f>IFERROR(Tabela3[[#This Row],[Qtde Cx Produzida]]/Tabela3[[#This Row],[Tempo]]/24,0)</f>
        <v>9.4067796610169498</v>
      </c>
      <c r="L33" s="37">
        <f>Tabela3[[#This Row],[Qtde Cx Produzida]]*Tabela3[[#This Row],[Qdt Peça Placa]]</f>
        <v>296</v>
      </c>
      <c r="M33" s="37">
        <f>Tabela3[[#This Row],[Previsto]]-Tabela3[[#This Row],[Perda Pçs]]</f>
        <v>296</v>
      </c>
      <c r="N33" s="38">
        <f>IFERROR(Tabela3[[#This Row],[Perda Pçs]]/Tabela3[[#This Row],[Previsto]],0)</f>
        <v>0</v>
      </c>
      <c r="O33" s="39">
        <f>IFERROR(IF(Tabela3[[#This Row],[Qtde Cx Produzida]] &lt;&gt; 0, Tabela3[[#This Row],[Tempo]] / Tabela3[[#This Row],[Qtde Cx Produzida]], 0),0)</f>
        <v>4.4294294294294299E-3</v>
      </c>
      <c r="P33" s="57">
        <f>IFERROR(Tabela3[[#This Row],[Perda Pçs]]/Tabela3[[#This Row],[Qdt Peça Placa]],0)</f>
        <v>0</v>
      </c>
      <c r="Q33" s="37">
        <f>IFERROR(Tabela3[[#This Row],[Realizado]]*Tabela3[[#This Row],[Peso Util/Pç]],0)</f>
        <v>125.208</v>
      </c>
      <c r="R33" s="37">
        <f>IFERROR(Tabela3[[#This Row],[Peso Total Galho]]*Tabela3[[#This Row],[Qtde Cx Produzida]]*1.055,0)</f>
        <v>244.51523999999998</v>
      </c>
      <c r="S33" s="37">
        <f>(Tabela3[[#This Row],[Aluminio Bruto]]-Tabela3[[#This Row],[Aluminio Util]])*0.9</f>
        <v>107.37651599999998</v>
      </c>
      <c r="T33" s="37">
        <f>Tabela3[[#This Row],[Aluminio Bruto]]/OleoKGAluminio</f>
        <v>102.8672453128321</v>
      </c>
      <c r="U33" s="35">
        <f>IFERROR((VLOOKUP(Tabela3[[#This Row],[Moldador]],Tabela1[],5,)+(VLOOKUP(Tabela3[[#This Row],[Ajudante]],Tabela1[],5,))*3.5),0)</f>
        <v>99.95034583333333</v>
      </c>
      <c r="V33" s="35">
        <f>IFERROR(Tabela3[[#This Row],[Custo M.O. / H]]/((Tabela3[[#This Row],[Realizado]]/Tabela3[[#This Row],[Qdt Peça Placa]])/Tabela3[[#This Row],[Tempo]]/24),)</f>
        <v>10.625352079579578</v>
      </c>
      <c r="W33" s="35">
        <f>Tabela3[[#This Row],[Custo / Cx Moldada]]*Tabela3[[#This Row],[Qtde Cx Produzida]]</f>
        <v>786.27605388888878</v>
      </c>
      <c r="X33" s="35">
        <f ca="1">Tabela3[[#This Row],[Aluminio Util]]*Tabela3[[#This Row],[Custo/Kg]]</f>
        <v>2203.6608000000001</v>
      </c>
      <c r="Y33" s="35">
        <f>IFERROR(VLOOKUP(Tabela3[[#This Row],[Data]],Tabela461213[],2,1)*(Tabela3[[#This Row],[Qtde Cx Produzida]]*Tabela3[[#This Row],[Qde macho / CX]]*Tabela3[[#This Row],[Peso Macho]]),)</f>
        <v>0</v>
      </c>
      <c r="Z33" s="35">
        <f>IFERROR(Tabela3[[#This Row],[Qtde Oleo]]*(VLOOKUP(Tabela3[[#This Row],[Data]],CompraOleo[],3,TRUE))*1.05,0)</f>
        <v>270.02651894618424</v>
      </c>
      <c r="AA33" s="47">
        <f ca="1">(Tabela3[[#This Row],[Custo Oleo]]+Tabela3[[#This Row],[Custo Aluminio]]+Tabela3[[#This Row],[Custo M.O. Total]]+Tabela3[[#This Row],[Custo Machos]])</f>
        <v>3259.9633728350732</v>
      </c>
      <c r="AB33" s="47">
        <f ca="1">Tabela3[[#This Row],[Custo Total]]*Tabela3[[#This Row],[% Perda]]</f>
        <v>0</v>
      </c>
      <c r="AC33" s="48">
        <f>IFERROR(VLOOKUP(Tabela3[[#This Row],[Produto]],Tabela2[],2,0),0)</f>
        <v>4</v>
      </c>
      <c r="AD33" s="48">
        <f>IFERROR(VLOOKUP(Tabela3[[#This Row],[Produto]],Tabela2[],3,0),0)</f>
        <v>0.42299999999999999</v>
      </c>
      <c r="AE33" s="48">
        <f>IFERROR(VLOOKUP(Tabela3[[#This Row],[Produto]],Tabela2[],4,0),0)</f>
        <v>3.1320000000000001</v>
      </c>
      <c r="AF33" s="48">
        <f>IFERROR(VLOOKUP(Tabela3[[#This Row],[Produto]],Tabela2[],5,0),0)</f>
        <v>1.2960000000000003</v>
      </c>
      <c r="AG33" s="40">
        <f>IFERROR(VLOOKUP(Tabela3[[#This Row],[Produto]],Tabela2[],6,0),0)</f>
        <v>0</v>
      </c>
      <c r="AH33" s="40">
        <f>IFERROR(VLOOKUP(Tabela3[[#This Row],[Produto]],Tabela2[],7,0),0)</f>
        <v>0</v>
      </c>
      <c r="AI33" s="40">
        <f>IFERROR(VLOOKUP(Tabela3[[#This Row],[Produto]],Tabela2[],8,0),0)</f>
        <v>0</v>
      </c>
      <c r="AJ33" s="35">
        <f ca="1">IFERROR(VLOOKUP(Tabela3[[#This Row],[Produto]],Tabela2[],13,0),0)</f>
        <v>17.600000000000001</v>
      </c>
      <c r="AK33" s="40" t="str">
        <f>IFERROR(VLOOKUP(Tabela3[[#This Row],[Produto]],Tabela2[],14,0),0)</f>
        <v>Busa</v>
      </c>
      <c r="AL33" s="40">
        <f>IFERROR(VLOOKUP(Tabela3[[#This Row],[Produto]],Tabela2[],15,0),0)</f>
        <v>0.5</v>
      </c>
      <c r="AM33" s="36">
        <f ca="1">(Tabela3[[#This Row],[Custo Usinagem]]+Tabela3[[#This Row],[Custo / Pç]])*1.2</f>
        <v>13.816067727709756</v>
      </c>
      <c r="AN33" s="36">
        <f ca="1">Tabela3[[#This Row],[Valor Mínimo Venda]]*1.15</f>
        <v>15.888477886866218</v>
      </c>
      <c r="AO33" s="36">
        <f ca="1">Tabela3[[#This Row],[Tabela 1]]*1.08</f>
        <v>17.159556117815516</v>
      </c>
      <c r="AP33" s="36">
        <f ca="1">Tabela3[[#This Row],[Tabela 2]]*1.15</f>
        <v>19.733489535487841</v>
      </c>
    </row>
    <row r="34" spans="1:42">
      <c r="A34" s="9">
        <v>45705</v>
      </c>
      <c r="B34" s="6" t="s">
        <v>245</v>
      </c>
      <c r="C34" s="14">
        <v>5529</v>
      </c>
      <c r="D34" s="6" t="s">
        <v>46</v>
      </c>
      <c r="E34" s="6" t="s">
        <v>53</v>
      </c>
      <c r="F34" s="6">
        <v>84</v>
      </c>
      <c r="G34" s="15">
        <v>0.35833333333333334</v>
      </c>
      <c r="H34" s="16">
        <v>24</v>
      </c>
      <c r="I34" s="35">
        <f ca="1">IFERROR(Tabela3[[#This Row],[Custo Total]]/Tabela3[[#This Row],[Aluminio Util]],0)</f>
        <v>26.709688519947207</v>
      </c>
      <c r="J34" s="35">
        <f ca="1">Tabela3[[#This Row],[Custo Total]]/Tabela3[[#This Row],[Realizado]]</f>
        <v>8.8676165886224716</v>
      </c>
      <c r="K34" s="37">
        <f>IFERROR(Tabela3[[#This Row],[Qtde Cx Produzida]]/Tabela3[[#This Row],[Tempo]]/24,0)</f>
        <v>9.7674418604651159</v>
      </c>
      <c r="L34" s="37">
        <f>Tabela3[[#This Row],[Qtde Cx Produzida]]*Tabela3[[#This Row],[Qdt Peça Placa]]</f>
        <v>336</v>
      </c>
      <c r="M34" s="37">
        <f>Tabela3[[#This Row],[Previsto]]-Tabela3[[#This Row],[Perda Pçs]]</f>
        <v>312</v>
      </c>
      <c r="N34" s="38">
        <f>IFERROR(Tabela3[[#This Row],[Perda Pçs]]/Tabela3[[#This Row],[Previsto]],0)</f>
        <v>7.1428571428571425E-2</v>
      </c>
      <c r="O34" s="39">
        <f>IFERROR(IF(Tabela3[[#This Row],[Qtde Cx Produzida]] &lt;&gt; 0, Tabela3[[#This Row],[Tempo]] / Tabela3[[#This Row],[Qtde Cx Produzida]], 0),0)</f>
        <v>4.2658730158730163E-3</v>
      </c>
      <c r="P34" s="57">
        <f>IFERROR(Tabela3[[#This Row],[Perda Pçs]]/Tabela3[[#This Row],[Qdt Peça Placa]],0)</f>
        <v>6</v>
      </c>
      <c r="Q34" s="37">
        <f>IFERROR(Tabela3[[#This Row],[Realizado]]*Tabela3[[#This Row],[Peso Util/Pç]],0)</f>
        <v>103.584</v>
      </c>
      <c r="R34" s="37">
        <f>IFERROR(Tabela3[[#This Row],[Peso Total Galho]]*Tabela3[[#This Row],[Qtde Cx Produzida]]*1.055,0)</f>
        <v>203.82599999999996</v>
      </c>
      <c r="S34" s="37">
        <f>(Tabela3[[#This Row],[Aluminio Bruto]]-Tabela3[[#This Row],[Aluminio Util]])*0.9</f>
        <v>90.217799999999968</v>
      </c>
      <c r="T34" s="37">
        <f>Tabela3[[#This Row],[Aluminio Bruto]]/OleoKGAluminio</f>
        <v>85.749334655513962</v>
      </c>
      <c r="U34" s="35">
        <f>IFERROR((VLOOKUP(Tabela3[[#This Row],[Moldador]],Tabela1[],5,)+(VLOOKUP(Tabela3[[#This Row],[Ajudante]],Tabela1[],5,))*3.5),0)</f>
        <v>99.95034583333333</v>
      </c>
      <c r="V34" s="35">
        <f>IFERROR(Tabela3[[#This Row],[Custo M.O. / H]]/((Tabela3[[#This Row],[Realizado]]/Tabela3[[#This Row],[Qdt Peça Placa]])/Tabela3[[#This Row],[Tempo]]/24),)</f>
        <v>11.020166335470085</v>
      </c>
      <c r="W34" s="35">
        <f>Tabela3[[#This Row],[Custo / Cx Moldada]]*Tabela3[[#This Row],[Qtde Cx Produzida]]</f>
        <v>925.6939721794871</v>
      </c>
      <c r="X34" s="35">
        <f ca="1">Tabela3[[#This Row],[Aluminio Util]]*Tabela3[[#This Row],[Custo/Kg]]</f>
        <v>1615.9104000000002</v>
      </c>
      <c r="Y34" s="35">
        <f>IFERROR(VLOOKUP(Tabela3[[#This Row],[Data]],Tabela461213[],2,1)*(Tabela3[[#This Row],[Qtde Cx Produzida]]*Tabela3[[#This Row],[Qde macho / CX]]*Tabela3[[#This Row],[Peso Macho]]),)</f>
        <v>0</v>
      </c>
      <c r="Z34" s="35">
        <f>IFERROR(Tabela3[[#This Row],[Qtde Oleo]]*(VLOOKUP(Tabela3[[#This Row],[Data]],CompraOleo[],3,TRUE))*1.05,0)</f>
        <v>225.09200347072417</v>
      </c>
      <c r="AA34" s="47">
        <f ca="1">(Tabela3[[#This Row],[Custo Oleo]]+Tabela3[[#This Row],[Custo Aluminio]]+Tabela3[[#This Row],[Custo M.O. Total]]+Tabela3[[#This Row],[Custo Machos]])</f>
        <v>2766.6963756502114</v>
      </c>
      <c r="AB34" s="47">
        <f ca="1">Tabela3[[#This Row],[Custo Total]]*Tabela3[[#This Row],[% Perda]]</f>
        <v>197.62116968930081</v>
      </c>
      <c r="AC34" s="48">
        <f>IFERROR(VLOOKUP(Tabela3[[#This Row],[Produto]],Tabela2[],2,0),0)</f>
        <v>4</v>
      </c>
      <c r="AD34" s="48">
        <f>IFERROR(VLOOKUP(Tabela3[[#This Row],[Produto]],Tabela2[],3,0),0)</f>
        <v>0.33200000000000002</v>
      </c>
      <c r="AE34" s="48">
        <f>IFERROR(VLOOKUP(Tabela3[[#This Row],[Produto]],Tabela2[],4,0),0)</f>
        <v>2.2999999999999998</v>
      </c>
      <c r="AF34" s="48">
        <f>IFERROR(VLOOKUP(Tabela3[[#This Row],[Produto]],Tabela2[],5,0),0)</f>
        <v>0.8747999999999998</v>
      </c>
      <c r="AG34" s="40">
        <f>IFERROR(VLOOKUP(Tabela3[[#This Row],[Produto]],Tabela2[],6,0),0)</f>
        <v>0</v>
      </c>
      <c r="AH34" s="40">
        <f>IFERROR(VLOOKUP(Tabela3[[#This Row],[Produto]],Tabela2[],7,0),0)</f>
        <v>0</v>
      </c>
      <c r="AI34" s="40">
        <f>IFERROR(VLOOKUP(Tabela3[[#This Row],[Produto]],Tabela2[],8,0),0)</f>
        <v>0</v>
      </c>
      <c r="AJ34" s="35">
        <f ca="1">IFERROR(VLOOKUP(Tabela3[[#This Row],[Produto]],Tabela2[],13,0),0)</f>
        <v>15.600000000000001</v>
      </c>
      <c r="AK34" s="40" t="str">
        <f>IFERROR(VLOOKUP(Tabela3[[#This Row],[Produto]],Tabela2[],14,0),0)</f>
        <v>Senun</v>
      </c>
      <c r="AL34" s="40">
        <f>IFERROR(VLOOKUP(Tabela3[[#This Row],[Produto]],Tabela2[],15,0),0)</f>
        <v>3.5</v>
      </c>
      <c r="AM34" s="36">
        <f ca="1">(Tabela3[[#This Row],[Custo Usinagem]]+Tabela3[[#This Row],[Custo / Pç]])*1.2</f>
        <v>14.841139906346966</v>
      </c>
      <c r="AN34" s="36">
        <f ca="1">Tabela3[[#This Row],[Valor Mínimo Venda]]*1.15</f>
        <v>17.067310892299009</v>
      </c>
      <c r="AO34" s="36">
        <f ca="1">Tabela3[[#This Row],[Tabela 1]]*1.08</f>
        <v>18.432695763682929</v>
      </c>
      <c r="AP34" s="36">
        <f ca="1">Tabela3[[#This Row],[Tabela 2]]*1.15</f>
        <v>21.197600128235369</v>
      </c>
    </row>
    <row r="35" spans="1:42">
      <c r="A35" s="9">
        <v>45705</v>
      </c>
      <c r="B35" s="6" t="s">
        <v>230</v>
      </c>
      <c r="C35" s="14">
        <v>5292</v>
      </c>
      <c r="D35" s="6" t="s">
        <v>44</v>
      </c>
      <c r="E35" s="6" t="s">
        <v>47</v>
      </c>
      <c r="F35" s="6">
        <v>26</v>
      </c>
      <c r="G35" s="15">
        <v>0.10416666666666667</v>
      </c>
      <c r="H35" s="16">
        <v>0</v>
      </c>
      <c r="I35" s="35">
        <f ca="1">IFERROR(Tabela3[[#This Row],[Custo Total]]/Tabela3[[#This Row],[Aluminio Util]],0)</f>
        <v>25.436653185028561</v>
      </c>
      <c r="J35" s="35">
        <f ca="1">Tabela3[[#This Row],[Custo Total]]/Tabela3[[#This Row],[Realizado]]</f>
        <v>10.759704297267081</v>
      </c>
      <c r="K35" s="37">
        <f>IFERROR(Tabela3[[#This Row],[Qtde Cx Produzida]]/Tabela3[[#This Row],[Tempo]]/24,0)</f>
        <v>10.4</v>
      </c>
      <c r="L35" s="37">
        <f>Tabela3[[#This Row],[Qtde Cx Produzida]]*Tabela3[[#This Row],[Qdt Peça Placa]]</f>
        <v>104</v>
      </c>
      <c r="M35" s="37">
        <f>Tabela3[[#This Row],[Previsto]]-Tabela3[[#This Row],[Perda Pçs]]</f>
        <v>104</v>
      </c>
      <c r="N35" s="38">
        <f>IFERROR(Tabela3[[#This Row],[Perda Pçs]]/Tabela3[[#This Row],[Previsto]],0)</f>
        <v>0</v>
      </c>
      <c r="O35" s="39">
        <f>IFERROR(IF(Tabela3[[#This Row],[Qtde Cx Produzida]] &lt;&gt; 0, Tabela3[[#This Row],[Tempo]] / Tabela3[[#This Row],[Qtde Cx Produzida]], 0),0)</f>
        <v>4.0064102564102569E-3</v>
      </c>
      <c r="P35" s="57">
        <f>IFERROR(Tabela3[[#This Row],[Perda Pçs]]/Tabela3[[#This Row],[Qdt Peça Placa]],0)</f>
        <v>0</v>
      </c>
      <c r="Q35" s="37">
        <f>IFERROR(Tabela3[[#This Row],[Realizado]]*Tabela3[[#This Row],[Peso Util/Pç]],0)</f>
        <v>43.991999999999997</v>
      </c>
      <c r="R35" s="37">
        <f>IFERROR(Tabela3[[#This Row],[Peso Total Galho]]*Tabela3[[#This Row],[Qtde Cx Produzida]]*1.055,0)</f>
        <v>85.910759999999996</v>
      </c>
      <c r="S35" s="37">
        <f>(Tabela3[[#This Row],[Aluminio Bruto]]-Tabela3[[#This Row],[Aluminio Util]])*0.9</f>
        <v>37.726883999999998</v>
      </c>
      <c r="T35" s="37">
        <f>Tabela3[[#This Row],[Aluminio Bruto]]/OleoKGAluminio</f>
        <v>36.142545650454522</v>
      </c>
      <c r="U35" s="35">
        <f>IFERROR((VLOOKUP(Tabela3[[#This Row],[Moldador]],Tabela1[],5,)+(VLOOKUP(Tabela3[[#This Row],[Ajudante]],Tabela1[],5,))*3.5),0)</f>
        <v>99.95034583333333</v>
      </c>
      <c r="V35" s="35">
        <f>IFERROR(Tabela3[[#This Row],[Custo M.O. / H]]/((Tabela3[[#This Row],[Realizado]]/Tabela3[[#This Row],[Qdt Peça Placa]])/Tabela3[[#This Row],[Tempo]]/24),)</f>
        <v>9.6106101762820515</v>
      </c>
      <c r="W35" s="35">
        <f>Tabela3[[#This Row],[Custo / Cx Moldada]]*Tabela3[[#This Row],[Qtde Cx Produzida]]</f>
        <v>249.87586458333334</v>
      </c>
      <c r="X35" s="35">
        <f ca="1">Tabela3[[#This Row],[Aluminio Util]]*Tabela3[[#This Row],[Custo/Kg]]</f>
        <v>774.25919999999996</v>
      </c>
      <c r="Y35" s="35">
        <f>IFERROR(VLOOKUP(Tabela3[[#This Row],[Data]],Tabela461213[],2,1)*(Tabela3[[#This Row],[Qtde Cx Produzida]]*Tabela3[[#This Row],[Qde macho / CX]]*Tabela3[[#This Row],[Peso Macho]]),)</f>
        <v>0</v>
      </c>
      <c r="Z35" s="35">
        <f>IFERROR(Tabela3[[#This Row],[Qtde Oleo]]*(VLOOKUP(Tabela3[[#This Row],[Data]],CompraOleo[],3,TRUE))*1.05,0)</f>
        <v>94.874182332443112</v>
      </c>
      <c r="AA35" s="47">
        <f ca="1">(Tabela3[[#This Row],[Custo Oleo]]+Tabela3[[#This Row],[Custo Aluminio]]+Tabela3[[#This Row],[Custo M.O. Total]]+Tabela3[[#This Row],[Custo Machos]])</f>
        <v>1119.0092469157764</v>
      </c>
      <c r="AB35" s="47">
        <f ca="1">Tabela3[[#This Row],[Custo Total]]*Tabela3[[#This Row],[% Perda]]</f>
        <v>0</v>
      </c>
      <c r="AC35" s="48">
        <f>IFERROR(VLOOKUP(Tabela3[[#This Row],[Produto]],Tabela2[],2,0),0)</f>
        <v>4</v>
      </c>
      <c r="AD35" s="48">
        <f>IFERROR(VLOOKUP(Tabela3[[#This Row],[Produto]],Tabela2[],3,0),0)</f>
        <v>0.42299999999999999</v>
      </c>
      <c r="AE35" s="48">
        <f>IFERROR(VLOOKUP(Tabela3[[#This Row],[Produto]],Tabela2[],4,0),0)</f>
        <v>3.1320000000000001</v>
      </c>
      <c r="AF35" s="48">
        <f>IFERROR(VLOOKUP(Tabela3[[#This Row],[Produto]],Tabela2[],5,0),0)</f>
        <v>1.2960000000000003</v>
      </c>
      <c r="AG35" s="40">
        <f>IFERROR(VLOOKUP(Tabela3[[#This Row],[Produto]],Tabela2[],6,0),0)</f>
        <v>0</v>
      </c>
      <c r="AH35" s="40">
        <f>IFERROR(VLOOKUP(Tabela3[[#This Row],[Produto]],Tabela2[],7,0),0)</f>
        <v>0</v>
      </c>
      <c r="AI35" s="40">
        <f>IFERROR(VLOOKUP(Tabela3[[#This Row],[Produto]],Tabela2[],8,0),0)</f>
        <v>0</v>
      </c>
      <c r="AJ35" s="35">
        <f ca="1">IFERROR(VLOOKUP(Tabela3[[#This Row],[Produto]],Tabela2[],13,0),0)</f>
        <v>17.600000000000001</v>
      </c>
      <c r="AK35" s="40" t="str">
        <f>IFERROR(VLOOKUP(Tabela3[[#This Row],[Produto]],Tabela2[],14,0),0)</f>
        <v>Busa</v>
      </c>
      <c r="AL35" s="40">
        <f>IFERROR(VLOOKUP(Tabela3[[#This Row],[Produto]],Tabela2[],15,0),0)</f>
        <v>0.5</v>
      </c>
      <c r="AM35" s="36">
        <f ca="1">(Tabela3[[#This Row],[Custo Usinagem]]+Tabela3[[#This Row],[Custo / Pç]])*1.2</f>
        <v>13.511645156720498</v>
      </c>
      <c r="AN35" s="36">
        <f ca="1">Tabela3[[#This Row],[Valor Mínimo Venda]]*1.15</f>
        <v>15.53839193022857</v>
      </c>
      <c r="AO35" s="36">
        <f ca="1">Tabela3[[#This Row],[Tabela 1]]*1.08</f>
        <v>16.781463284646858</v>
      </c>
      <c r="AP35" s="36">
        <f ca="1">Tabela3[[#This Row],[Tabela 2]]*1.15</f>
        <v>19.298682777343885</v>
      </c>
    </row>
    <row r="36" spans="1:42">
      <c r="A36" s="9">
        <v>45705</v>
      </c>
      <c r="B36" s="6" t="s">
        <v>152</v>
      </c>
      <c r="C36" s="14">
        <v>5574</v>
      </c>
      <c r="D36" s="6" t="s">
        <v>44</v>
      </c>
      <c r="E36" s="6" t="s">
        <v>47</v>
      </c>
      <c r="F36" s="6">
        <v>10</v>
      </c>
      <c r="G36" s="15">
        <v>4.1666666666666664E-2</v>
      </c>
      <c r="H36" s="16">
        <v>0</v>
      </c>
      <c r="I36" s="35">
        <f ca="1">IFERROR(Tabela3[[#This Row],[Custo Total]]/Tabela3[[#This Row],[Aluminio Util]],0)</f>
        <v>25.080907343691067</v>
      </c>
      <c r="J36" s="35">
        <f ca="1">Tabela3[[#This Row],[Custo Total]]/Tabela3[[#This Row],[Realizado]]</f>
        <v>16.302589773399195</v>
      </c>
      <c r="K36" s="37">
        <f>IFERROR(Tabela3[[#This Row],[Qtde Cx Produzida]]/Tabela3[[#This Row],[Tempo]]/24,0)</f>
        <v>10</v>
      </c>
      <c r="L36" s="37">
        <f>Tabela3[[#This Row],[Qtde Cx Produzida]]*Tabela3[[#This Row],[Qdt Peça Placa]]</f>
        <v>20</v>
      </c>
      <c r="M36" s="37">
        <f>Tabela3[[#This Row],[Previsto]]-Tabela3[[#This Row],[Perda Pçs]]</f>
        <v>20</v>
      </c>
      <c r="N36" s="38">
        <f>IFERROR(Tabela3[[#This Row],[Perda Pçs]]/Tabela3[[#This Row],[Previsto]],0)</f>
        <v>0</v>
      </c>
      <c r="O36" s="39">
        <f>IFERROR(IF(Tabela3[[#This Row],[Qtde Cx Produzida]] &lt;&gt; 0, Tabela3[[#This Row],[Tempo]] / Tabela3[[#This Row],[Qtde Cx Produzida]], 0),0)</f>
        <v>4.1666666666666666E-3</v>
      </c>
      <c r="P36" s="57">
        <f>IFERROR(Tabela3[[#This Row],[Perda Pçs]]/Tabela3[[#This Row],[Qdt Peça Placa]],0)</f>
        <v>0</v>
      </c>
      <c r="Q36" s="37">
        <f>IFERROR(Tabela3[[#This Row],[Realizado]]*Tabela3[[#This Row],[Peso Util/Pç]],0)</f>
        <v>13</v>
      </c>
      <c r="R36" s="37">
        <f>IFERROR(Tabela3[[#This Row],[Peso Total Galho]]*Tabela3[[#This Row],[Qtde Cx Produzida]]*1.055,0)</f>
        <v>21.099999999999998</v>
      </c>
      <c r="S36" s="37">
        <f>(Tabela3[[#This Row],[Aluminio Bruto]]-Tabela3[[#This Row],[Aluminio Util]])*0.9</f>
        <v>7.2899999999999983</v>
      </c>
      <c r="T36" s="37">
        <f>Tabela3[[#This Row],[Aluminio Bruto]]/OleoKGAluminio</f>
        <v>8.8767427179621095</v>
      </c>
      <c r="U36" s="35">
        <f>IFERROR((VLOOKUP(Tabela3[[#This Row],[Moldador]],Tabela1[],5,)+(VLOOKUP(Tabela3[[#This Row],[Ajudante]],Tabela1[],5,))*3.5),0)</f>
        <v>99.95034583333333</v>
      </c>
      <c r="V36" s="35">
        <f>IFERROR(Tabela3[[#This Row],[Custo M.O. / H]]/((Tabela3[[#This Row],[Realizado]]/Tabela3[[#This Row],[Qdt Peça Placa]])/Tabela3[[#This Row],[Tempo]]/24),)</f>
        <v>9.9950345833333323</v>
      </c>
      <c r="W36" s="35">
        <f>Tabela3[[#This Row],[Custo / Cx Moldada]]*Tabela3[[#This Row],[Qtde Cx Produzida]]</f>
        <v>99.95034583333333</v>
      </c>
      <c r="X36" s="35">
        <f ca="1">Tabela3[[#This Row],[Aluminio Util]]*Tabela3[[#This Row],[Custo/Kg]]</f>
        <v>202.8</v>
      </c>
      <c r="Y36" s="35">
        <f>IFERROR(VLOOKUP(Tabela3[[#This Row],[Data]],Tabela461213[],2,1)*(Tabela3[[#This Row],[Qtde Cx Produzida]]*Tabela3[[#This Row],[Qde macho / CX]]*Tabela3[[#This Row],[Peso Macho]]),)</f>
        <v>0</v>
      </c>
      <c r="Z36" s="35">
        <f>IFERROR(Tabela3[[#This Row],[Qtde Oleo]]*(VLOOKUP(Tabela3[[#This Row],[Data]],CompraOleo[],3,TRUE))*1.05,0)</f>
        <v>23.301449634650538</v>
      </c>
      <c r="AA36" s="47">
        <f ca="1">(Tabela3[[#This Row],[Custo Oleo]]+Tabela3[[#This Row],[Custo Aluminio]]+Tabela3[[#This Row],[Custo M.O. Total]]+Tabela3[[#This Row],[Custo Machos]])</f>
        <v>326.05179546798388</v>
      </c>
      <c r="AB36" s="47">
        <f ca="1">Tabela3[[#This Row],[Custo Total]]*Tabela3[[#This Row],[% Perda]]</f>
        <v>0</v>
      </c>
      <c r="AC36" s="48">
        <f>IFERROR(VLOOKUP(Tabela3[[#This Row],[Produto]],Tabela2[],2,0),0)</f>
        <v>2</v>
      </c>
      <c r="AD36" s="48">
        <f>IFERROR(VLOOKUP(Tabela3[[#This Row],[Produto]],Tabela2[],3,0),0)</f>
        <v>0.65</v>
      </c>
      <c r="AE36" s="48">
        <f>IFERROR(VLOOKUP(Tabela3[[#This Row],[Produto]],Tabela2[],4,0),0)</f>
        <v>2</v>
      </c>
      <c r="AF36" s="48">
        <f>IFERROR(VLOOKUP(Tabela3[[#This Row],[Produto]],Tabela2[],5,0),0)</f>
        <v>0.63</v>
      </c>
      <c r="AG36" s="40">
        <f>IFERROR(VLOOKUP(Tabela3[[#This Row],[Produto]],Tabela2[],6,0),0)</f>
        <v>0</v>
      </c>
      <c r="AH36" s="40">
        <f>IFERROR(VLOOKUP(Tabela3[[#This Row],[Produto]],Tabela2[],7,0),0)</f>
        <v>0</v>
      </c>
      <c r="AI36" s="40">
        <f>IFERROR(VLOOKUP(Tabela3[[#This Row],[Produto]],Tabela2[],8,0),0)</f>
        <v>0</v>
      </c>
      <c r="AJ36" s="35">
        <f ca="1">IFERROR(VLOOKUP(Tabela3[[#This Row],[Produto]],Tabela2[],13,0),0)</f>
        <v>15.600000000000001</v>
      </c>
      <c r="AK36" s="40" t="str">
        <f>IFERROR(VLOOKUP(Tabela3[[#This Row],[Produto]],Tabela2[],14,0),0)</f>
        <v>Senun</v>
      </c>
      <c r="AL36" s="40">
        <f>IFERROR(VLOOKUP(Tabela3[[#This Row],[Produto]],Tabela2[],15,0),0)</f>
        <v>5</v>
      </c>
      <c r="AM36" s="36">
        <f ca="1">(Tabela3[[#This Row],[Custo Usinagem]]+Tabela3[[#This Row],[Custo / Pç]])*1.2</f>
        <v>25.563107728079032</v>
      </c>
      <c r="AN36" s="36">
        <f ca="1">Tabela3[[#This Row],[Valor Mínimo Venda]]*1.15</f>
        <v>29.397573887290886</v>
      </c>
      <c r="AO36" s="36">
        <f ca="1">Tabela3[[#This Row],[Tabela 1]]*1.08</f>
        <v>31.749379798274159</v>
      </c>
      <c r="AP36" s="36">
        <f ca="1">Tabela3[[#This Row],[Tabela 2]]*1.15</f>
        <v>36.511786768015277</v>
      </c>
    </row>
    <row r="37" spans="1:42">
      <c r="A37" s="9">
        <v>45705</v>
      </c>
      <c r="B37" s="6" t="s">
        <v>247</v>
      </c>
      <c r="C37" s="14">
        <v>5558</v>
      </c>
      <c r="D37" s="6" t="s">
        <v>44</v>
      </c>
      <c r="E37" s="6" t="s">
        <v>47</v>
      </c>
      <c r="F37" s="6">
        <v>30</v>
      </c>
      <c r="G37" s="15">
        <v>0.16527777777777777</v>
      </c>
      <c r="H37" s="16">
        <v>20</v>
      </c>
      <c r="I37" s="35">
        <f ca="1">IFERROR(Tabela3[[#This Row],[Custo Total]]/Tabela3[[#This Row],[Aluminio Util]],0)</f>
        <v>34.138454913540372</v>
      </c>
      <c r="J37" s="35">
        <f ca="1">Tabela3[[#This Row],[Custo Total]]/Tabela3[[#This Row],[Realizado]]</f>
        <v>10.24153647406211</v>
      </c>
      <c r="K37" s="37">
        <f>IFERROR(Tabela3[[#This Row],[Qtde Cx Produzida]]/Tabela3[[#This Row],[Tempo]]/24,0)</f>
        <v>7.5630252100840343</v>
      </c>
      <c r="L37" s="37">
        <f>Tabela3[[#This Row],[Qtde Cx Produzida]]*Tabela3[[#This Row],[Qdt Peça Placa]]</f>
        <v>120</v>
      </c>
      <c r="M37" s="37">
        <f>Tabela3[[#This Row],[Previsto]]-Tabela3[[#This Row],[Perda Pçs]]</f>
        <v>100</v>
      </c>
      <c r="N37" s="38">
        <f>IFERROR(Tabela3[[#This Row],[Perda Pçs]]/Tabela3[[#This Row],[Previsto]],0)</f>
        <v>0.16666666666666666</v>
      </c>
      <c r="O37" s="39">
        <f>IFERROR(IF(Tabela3[[#This Row],[Qtde Cx Produzida]] &lt;&gt; 0, Tabela3[[#This Row],[Tempo]] / Tabela3[[#This Row],[Qtde Cx Produzida]], 0),0)</f>
        <v>5.5092592592592589E-3</v>
      </c>
      <c r="P37" s="57">
        <f>IFERROR(Tabela3[[#This Row],[Perda Pçs]]/Tabela3[[#This Row],[Qdt Peça Placa]],0)</f>
        <v>5</v>
      </c>
      <c r="Q37" s="37">
        <f>IFERROR(Tabela3[[#This Row],[Realizado]]*Tabela3[[#This Row],[Peso Util/Pç]],0)</f>
        <v>30</v>
      </c>
      <c r="R37" s="37">
        <f>IFERROR(Tabela3[[#This Row],[Peso Total Galho]]*Tabela3[[#This Row],[Qtde Cx Produzida]]*1.055,0)</f>
        <v>72.795000000000002</v>
      </c>
      <c r="S37" s="37">
        <f>(Tabela3[[#This Row],[Aluminio Bruto]]-Tabela3[[#This Row],[Aluminio Util]])*0.9</f>
        <v>38.515500000000003</v>
      </c>
      <c r="T37" s="37">
        <f>Tabela3[[#This Row],[Aluminio Bruto]]/OleoKGAluminio</f>
        <v>30.624762376969279</v>
      </c>
      <c r="U37" s="35">
        <f>IFERROR((VLOOKUP(Tabela3[[#This Row],[Moldador]],Tabela1[],5,)+(VLOOKUP(Tabela3[[#This Row],[Ajudante]],Tabela1[],5,))*3.5),0)</f>
        <v>99.95034583333333</v>
      </c>
      <c r="V37" s="35">
        <f>IFERROR(Tabela3[[#This Row],[Custo M.O. / H]]/((Tabela3[[#This Row],[Realizado]]/Tabela3[[#This Row],[Qdt Peça Placa]])/Tabela3[[#This Row],[Tempo]]/24),)</f>
        <v>15.858788205555555</v>
      </c>
      <c r="W37" s="35">
        <f>Tabela3[[#This Row],[Custo / Cx Moldada]]*Tabela3[[#This Row],[Qtde Cx Produzida]]</f>
        <v>475.76364616666666</v>
      </c>
      <c r="X37" s="35">
        <f ca="1">Tabela3[[#This Row],[Aluminio Util]]*Tabela3[[#This Row],[Custo/Kg]]</f>
        <v>468.00000000000006</v>
      </c>
      <c r="Y37" s="35">
        <f>IFERROR(VLOOKUP(Tabela3[[#This Row],[Data]],Tabela461213[],2,1)*(Tabela3[[#This Row],[Qtde Cx Produzida]]*Tabela3[[#This Row],[Qde macho / CX]]*Tabela3[[#This Row],[Peso Macho]]),)</f>
        <v>0</v>
      </c>
      <c r="Z37" s="35">
        <f>IFERROR(Tabela3[[#This Row],[Qtde Oleo]]*(VLOOKUP(Tabela3[[#This Row],[Data]],CompraOleo[],3,TRUE))*1.05,0)</f>
        <v>80.390001239544361</v>
      </c>
      <c r="AA37" s="47">
        <f ca="1">(Tabela3[[#This Row],[Custo Oleo]]+Tabela3[[#This Row],[Custo Aluminio]]+Tabela3[[#This Row],[Custo M.O. Total]]+Tabela3[[#This Row],[Custo Machos]])</f>
        <v>1024.1536474062111</v>
      </c>
      <c r="AB37" s="47">
        <f ca="1">Tabela3[[#This Row],[Custo Total]]*Tabela3[[#This Row],[% Perda]]</f>
        <v>170.69227456770184</v>
      </c>
      <c r="AC37" s="48">
        <f>IFERROR(VLOOKUP(Tabela3[[#This Row],[Produto]],Tabela2[],2,0),0)</f>
        <v>4</v>
      </c>
      <c r="AD37" s="48">
        <f>IFERROR(VLOOKUP(Tabela3[[#This Row],[Produto]],Tabela2[],3,0),0)</f>
        <v>0.3</v>
      </c>
      <c r="AE37" s="48">
        <f>IFERROR(VLOOKUP(Tabela3[[#This Row],[Produto]],Tabela2[],4,0),0)</f>
        <v>2.2999999999999998</v>
      </c>
      <c r="AF37" s="48">
        <f>IFERROR(VLOOKUP(Tabela3[[#This Row],[Produto]],Tabela2[],5,0),0)</f>
        <v>0.98999999999999988</v>
      </c>
      <c r="AG37" s="40">
        <f>IFERROR(VLOOKUP(Tabela3[[#This Row],[Produto]],Tabela2[],6,0),0)</f>
        <v>0</v>
      </c>
      <c r="AH37" s="40">
        <f>IFERROR(VLOOKUP(Tabela3[[#This Row],[Produto]],Tabela2[],7,0),0)</f>
        <v>0</v>
      </c>
      <c r="AI37" s="40">
        <f>IFERROR(VLOOKUP(Tabela3[[#This Row],[Produto]],Tabela2[],8,0),0)</f>
        <v>0</v>
      </c>
      <c r="AJ37" s="35">
        <f ca="1">IFERROR(VLOOKUP(Tabela3[[#This Row],[Produto]],Tabela2[],13,0),0)</f>
        <v>15.600000000000001</v>
      </c>
      <c r="AK37" s="40" t="str">
        <f>IFERROR(VLOOKUP(Tabela3[[#This Row],[Produto]],Tabela2[],14,0),0)</f>
        <v>Senun</v>
      </c>
      <c r="AL37" s="40">
        <f>IFERROR(VLOOKUP(Tabela3[[#This Row],[Produto]],Tabela2[],15,0),0)</f>
        <v>3.5</v>
      </c>
      <c r="AM37" s="36">
        <f ca="1">(Tabela3[[#This Row],[Custo Usinagem]]+Tabela3[[#This Row],[Custo / Pç]])*1.2</f>
        <v>16.489843768874533</v>
      </c>
      <c r="AN37" s="36">
        <f ca="1">Tabela3[[#This Row],[Valor Mínimo Venda]]*1.15</f>
        <v>18.963320334205712</v>
      </c>
      <c r="AO37" s="36">
        <f ca="1">Tabela3[[#This Row],[Tabela 1]]*1.08</f>
        <v>20.480385960942169</v>
      </c>
      <c r="AP37" s="36">
        <f ca="1">Tabela3[[#This Row],[Tabela 2]]*1.15</f>
        <v>23.552443855083492</v>
      </c>
    </row>
    <row r="38" spans="1:42">
      <c r="A38" s="9">
        <v>45705</v>
      </c>
      <c r="B38" s="6" t="s">
        <v>124</v>
      </c>
      <c r="C38" s="14">
        <v>5420</v>
      </c>
      <c r="D38" s="6" t="s">
        <v>44</v>
      </c>
      <c r="E38" s="6" t="s">
        <v>47</v>
      </c>
      <c r="F38" s="6">
        <v>6</v>
      </c>
      <c r="G38" s="15">
        <v>2.9861111111111113E-2</v>
      </c>
      <c r="H38" s="16">
        <v>0</v>
      </c>
      <c r="I38" s="35">
        <f ca="1">IFERROR(Tabela3[[#This Row],[Custo Total]]/Tabela3[[#This Row],[Aluminio Util]],0)</f>
        <v>24.725491272469139</v>
      </c>
      <c r="J38" s="35">
        <f ca="1">Tabela3[[#This Row],[Custo Total]]/Tabela3[[#This Row],[Realizado]]</f>
        <v>41.78608025047285</v>
      </c>
      <c r="K38" s="37">
        <f>IFERROR(Tabela3[[#This Row],[Qtde Cx Produzida]]/Tabela3[[#This Row],[Tempo]]/24,0)</f>
        <v>8.3720930232558128</v>
      </c>
      <c r="L38" s="37">
        <f>Tabela3[[#This Row],[Qtde Cx Produzida]]*Tabela3[[#This Row],[Qdt Peça Placa]]</f>
        <v>6</v>
      </c>
      <c r="M38" s="37">
        <f>Tabela3[[#This Row],[Previsto]]-Tabela3[[#This Row],[Perda Pçs]]</f>
        <v>6</v>
      </c>
      <c r="N38" s="38">
        <f>IFERROR(Tabela3[[#This Row],[Perda Pçs]]/Tabela3[[#This Row],[Previsto]],0)</f>
        <v>0</v>
      </c>
      <c r="O38" s="39">
        <f>IFERROR(IF(Tabela3[[#This Row],[Qtde Cx Produzida]] &lt;&gt; 0, Tabela3[[#This Row],[Tempo]] / Tabela3[[#This Row],[Qtde Cx Produzida]], 0),0)</f>
        <v>4.9768518518518521E-3</v>
      </c>
      <c r="P38" s="57">
        <f>IFERROR(Tabela3[[#This Row],[Perda Pçs]]/Tabela3[[#This Row],[Qdt Peça Placa]],0)</f>
        <v>0</v>
      </c>
      <c r="Q38" s="37">
        <f>IFERROR(Tabela3[[#This Row],[Realizado]]*Tabela3[[#This Row],[Peso Util/Pç]],0)</f>
        <v>10.14</v>
      </c>
      <c r="R38" s="37">
        <f>IFERROR(Tabela3[[#This Row],[Peso Total Galho]]*Tabela3[[#This Row],[Qtde Cx Produzida]]*1.055,0)</f>
        <v>18.9267</v>
      </c>
      <c r="S38" s="37">
        <f>(Tabela3[[#This Row],[Aluminio Bruto]]-Tabela3[[#This Row],[Aluminio Util]])*0.9</f>
        <v>7.9080300000000001</v>
      </c>
      <c r="T38" s="37">
        <f>Tabela3[[#This Row],[Aluminio Bruto]]/OleoKGAluminio</f>
        <v>7.9624382180120126</v>
      </c>
      <c r="U38" s="35">
        <f>IFERROR((VLOOKUP(Tabela3[[#This Row],[Moldador]],Tabela1[],5,)+(VLOOKUP(Tabela3[[#This Row],[Ajudante]],Tabela1[],5,))*3.5),0)</f>
        <v>99.95034583333333</v>
      </c>
      <c r="V38" s="35">
        <f>IFERROR(Tabela3[[#This Row],[Custo M.O. / H]]/((Tabela3[[#This Row],[Realizado]]/Tabela3[[#This Row],[Qdt Peça Placa]])/Tabela3[[#This Row],[Tempo]]/24),)</f>
        <v>11.938513530092594</v>
      </c>
      <c r="W38" s="35">
        <f>Tabela3[[#This Row],[Custo / Cx Moldada]]*Tabela3[[#This Row],[Qtde Cx Produzida]]</f>
        <v>71.631081180555569</v>
      </c>
      <c r="X38" s="35">
        <f ca="1">Tabela3[[#This Row],[Aluminio Util]]*Tabela3[[#This Row],[Custo/Kg]]</f>
        <v>158.18400000000003</v>
      </c>
      <c r="Y38" s="35">
        <f>IFERROR(VLOOKUP(Tabela3[[#This Row],[Data]],Tabela461213[],2,1)*(Tabela3[[#This Row],[Qtde Cx Produzida]]*Tabela3[[#This Row],[Qde macho / CX]]*Tabela3[[#This Row],[Peso Macho]]),)</f>
        <v>0</v>
      </c>
      <c r="Z38" s="35">
        <f>IFERROR(Tabela3[[#This Row],[Qtde Oleo]]*(VLOOKUP(Tabela3[[#This Row],[Data]],CompraOleo[],3,TRUE))*1.05,0)</f>
        <v>20.901400322281532</v>
      </c>
      <c r="AA38" s="47">
        <f ca="1">(Tabela3[[#This Row],[Custo Oleo]]+Tabela3[[#This Row],[Custo Aluminio]]+Tabela3[[#This Row],[Custo M.O. Total]]+Tabela3[[#This Row],[Custo Machos]])</f>
        <v>250.7164815028371</v>
      </c>
      <c r="AB38" s="47">
        <f ca="1">Tabela3[[#This Row],[Custo Total]]*Tabela3[[#This Row],[% Perda]]</f>
        <v>0</v>
      </c>
      <c r="AC38" s="48">
        <f>IFERROR(VLOOKUP(Tabela3[[#This Row],[Produto]],Tabela2[],2,0),0)</f>
        <v>1</v>
      </c>
      <c r="AD38" s="48">
        <f>IFERROR(VLOOKUP(Tabela3[[#This Row],[Produto]],Tabela2[],3,0),0)</f>
        <v>1.69</v>
      </c>
      <c r="AE38" s="48">
        <f>IFERROR(VLOOKUP(Tabela3[[#This Row],[Produto]],Tabela2[],4,0),0)</f>
        <v>2.99</v>
      </c>
      <c r="AF38" s="48">
        <f>IFERROR(VLOOKUP(Tabela3[[#This Row],[Produto]],Tabela2[],5,0),0)</f>
        <v>1.1700000000000004</v>
      </c>
      <c r="AG38" s="40">
        <f>IFERROR(VLOOKUP(Tabela3[[#This Row],[Produto]],Tabela2[],6,0),0)</f>
        <v>0</v>
      </c>
      <c r="AH38" s="40">
        <f>IFERROR(VLOOKUP(Tabela3[[#This Row],[Produto]],Tabela2[],7,0),0)</f>
        <v>0</v>
      </c>
      <c r="AI38" s="40">
        <f>IFERROR(VLOOKUP(Tabela3[[#This Row],[Produto]],Tabela2[],8,0),0)</f>
        <v>0</v>
      </c>
      <c r="AJ38" s="35">
        <f ca="1">IFERROR(VLOOKUP(Tabela3[[#This Row],[Produto]],Tabela2[],13,0),0)</f>
        <v>15.600000000000001</v>
      </c>
      <c r="AK38" s="40" t="str">
        <f>IFERROR(VLOOKUP(Tabela3[[#This Row],[Produto]],Tabela2[],14,0),0)</f>
        <v>Jumil</v>
      </c>
      <c r="AL38" s="40">
        <f>IFERROR(VLOOKUP(Tabela3[[#This Row],[Produto]],Tabela2[],15,0),0)</f>
        <v>8</v>
      </c>
      <c r="AM38" s="36">
        <f ca="1">(Tabela3[[#This Row],[Custo Usinagem]]+Tabela3[[#This Row],[Custo / Pç]])*1.2</f>
        <v>59.743296300567415</v>
      </c>
      <c r="AN38" s="36">
        <f ca="1">Tabela3[[#This Row],[Valor Mínimo Venda]]*1.15</f>
        <v>68.704790745652517</v>
      </c>
      <c r="AO38" s="36">
        <f ca="1">Tabela3[[#This Row],[Tabela 1]]*1.08</f>
        <v>74.201174005304722</v>
      </c>
      <c r="AP38" s="36">
        <f ca="1">Tabela3[[#This Row],[Tabela 2]]*1.15</f>
        <v>85.33135010610043</v>
      </c>
    </row>
    <row r="39" spans="1:42">
      <c r="A39" s="9">
        <v>45706</v>
      </c>
      <c r="B39" s="6" t="s">
        <v>245</v>
      </c>
      <c r="C39" s="14">
        <v>5529</v>
      </c>
      <c r="D39" s="6" t="s">
        <v>46</v>
      </c>
      <c r="E39" s="6" t="s">
        <v>53</v>
      </c>
      <c r="F39" s="6">
        <v>48</v>
      </c>
      <c r="G39" s="15">
        <v>0.21111111111111111</v>
      </c>
      <c r="H39" s="16">
        <v>18</v>
      </c>
      <c r="I39" s="35">
        <f ca="1">IFERROR(Tabela3[[#This Row],[Custo Total]]/Tabela3[[#This Row],[Aluminio Util]],0)</f>
        <v>27.499786300548593</v>
      </c>
      <c r="J39" s="35">
        <f ca="1">Tabela3[[#This Row],[Custo Total]]/Tabela3[[#This Row],[Realizado]]</f>
        <v>9.129929051782133</v>
      </c>
      <c r="K39" s="37">
        <f>IFERROR(Tabela3[[#This Row],[Qtde Cx Produzida]]/Tabela3[[#This Row],[Tempo]]/24,0)</f>
        <v>9.4736842105263168</v>
      </c>
      <c r="L39" s="37">
        <f>Tabela3[[#This Row],[Qtde Cx Produzida]]*Tabela3[[#This Row],[Qdt Peça Placa]]</f>
        <v>192</v>
      </c>
      <c r="M39" s="37">
        <f>Tabela3[[#This Row],[Previsto]]-Tabela3[[#This Row],[Perda Pçs]]</f>
        <v>174</v>
      </c>
      <c r="N39" s="38">
        <f>IFERROR(Tabela3[[#This Row],[Perda Pçs]]/Tabela3[[#This Row],[Previsto]],0)</f>
        <v>9.375E-2</v>
      </c>
      <c r="O39" s="39">
        <f>IFERROR(IF(Tabela3[[#This Row],[Qtde Cx Produzida]] &lt;&gt; 0, Tabela3[[#This Row],[Tempo]] / Tabela3[[#This Row],[Qtde Cx Produzida]], 0),0)</f>
        <v>4.3981481481481484E-3</v>
      </c>
      <c r="P39" s="57">
        <f>IFERROR(Tabela3[[#This Row],[Perda Pçs]]/Tabela3[[#This Row],[Qdt Peça Placa]],0)</f>
        <v>4.5</v>
      </c>
      <c r="Q39" s="37">
        <f>IFERROR(Tabela3[[#This Row],[Realizado]]*Tabela3[[#This Row],[Peso Util/Pç]],0)</f>
        <v>57.768000000000001</v>
      </c>
      <c r="R39" s="37">
        <f>IFERROR(Tabela3[[#This Row],[Peso Total Galho]]*Tabela3[[#This Row],[Qtde Cx Produzida]]*1.055,0)</f>
        <v>116.47199999999998</v>
      </c>
      <c r="S39" s="37">
        <f>(Tabela3[[#This Row],[Aluminio Bruto]]-Tabela3[[#This Row],[Aluminio Util]])*0.9</f>
        <v>52.833599999999983</v>
      </c>
      <c r="T39" s="37">
        <f>Tabela3[[#This Row],[Aluminio Bruto]]/OleoKGAluminio</f>
        <v>48.999619803150836</v>
      </c>
      <c r="U39" s="35">
        <f>IFERROR((VLOOKUP(Tabela3[[#This Row],[Moldador]],Tabela1[],5,)+(VLOOKUP(Tabela3[[#This Row],[Ajudante]],Tabela1[],5,))*3.5),0)</f>
        <v>99.95034583333333</v>
      </c>
      <c r="V39" s="35">
        <f>IFERROR(Tabela3[[#This Row],[Custo M.O. / H]]/((Tabela3[[#This Row],[Realizado]]/Tabela3[[#This Row],[Qdt Peça Placa]])/Tabela3[[#This Row],[Tempo]]/24),)</f>
        <v>11.641726104725414</v>
      </c>
      <c r="W39" s="35">
        <f>Tabela3[[#This Row],[Custo / Cx Moldada]]*Tabela3[[#This Row],[Qtde Cx Produzida]]</f>
        <v>558.80285302681989</v>
      </c>
      <c r="X39" s="35">
        <f ca="1">Tabela3[[#This Row],[Aluminio Util]]*Tabela3[[#This Row],[Custo/Kg]]</f>
        <v>901.18080000000009</v>
      </c>
      <c r="Y39" s="35">
        <f>IFERROR(VLOOKUP(Tabela3[[#This Row],[Data]],Tabela461213[],2,1)*(Tabela3[[#This Row],[Qtde Cx Produzida]]*Tabela3[[#This Row],[Qde macho / CX]]*Tabela3[[#This Row],[Peso Macho]]),)</f>
        <v>0</v>
      </c>
      <c r="Z39" s="35">
        <f>IFERROR(Tabela3[[#This Row],[Qtde Oleo]]*(VLOOKUP(Tabela3[[#This Row],[Data]],CompraOleo[],3,TRUE))*1.05,0)</f>
        <v>128.62400198327094</v>
      </c>
      <c r="AA39" s="47">
        <f ca="1">(Tabela3[[#This Row],[Custo Oleo]]+Tabela3[[#This Row],[Custo Aluminio]]+Tabela3[[#This Row],[Custo M.O. Total]]+Tabela3[[#This Row],[Custo Machos]])</f>
        <v>1588.6076550100911</v>
      </c>
      <c r="AB39" s="47">
        <f ca="1">Tabela3[[#This Row],[Custo Total]]*Tabela3[[#This Row],[% Perda]]</f>
        <v>148.93196765719603</v>
      </c>
      <c r="AC39" s="48">
        <f>IFERROR(VLOOKUP(Tabela3[[#This Row],[Produto]],Tabela2[],2,0),0)</f>
        <v>4</v>
      </c>
      <c r="AD39" s="48">
        <f>IFERROR(VLOOKUP(Tabela3[[#This Row],[Produto]],Tabela2[],3,0),0)</f>
        <v>0.33200000000000002</v>
      </c>
      <c r="AE39" s="48">
        <f>IFERROR(VLOOKUP(Tabela3[[#This Row],[Produto]],Tabela2[],4,0),0)</f>
        <v>2.2999999999999998</v>
      </c>
      <c r="AF39" s="48">
        <f>IFERROR(VLOOKUP(Tabela3[[#This Row],[Produto]],Tabela2[],5,0),0)</f>
        <v>0.8747999999999998</v>
      </c>
      <c r="AG39" s="40">
        <f>IFERROR(VLOOKUP(Tabela3[[#This Row],[Produto]],Tabela2[],6,0),0)</f>
        <v>0</v>
      </c>
      <c r="AH39" s="40">
        <f>IFERROR(VLOOKUP(Tabela3[[#This Row],[Produto]],Tabela2[],7,0),0)</f>
        <v>0</v>
      </c>
      <c r="AI39" s="40">
        <f>IFERROR(VLOOKUP(Tabela3[[#This Row],[Produto]],Tabela2[],8,0),0)</f>
        <v>0</v>
      </c>
      <c r="AJ39" s="35">
        <f ca="1">IFERROR(VLOOKUP(Tabela3[[#This Row],[Produto]],Tabela2[],13,0),0)</f>
        <v>15.600000000000001</v>
      </c>
      <c r="AK39" s="40" t="str">
        <f>IFERROR(VLOOKUP(Tabela3[[#This Row],[Produto]],Tabela2[],14,0),0)</f>
        <v>Senun</v>
      </c>
      <c r="AL39" s="40">
        <f>IFERROR(VLOOKUP(Tabela3[[#This Row],[Produto]],Tabela2[],15,0),0)</f>
        <v>3.5</v>
      </c>
      <c r="AM39" s="36">
        <f ca="1">(Tabela3[[#This Row],[Custo Usinagem]]+Tabela3[[#This Row],[Custo / Pç]])*1.2</f>
        <v>15.155914862138559</v>
      </c>
      <c r="AN39" s="36">
        <f ca="1">Tabela3[[#This Row],[Valor Mínimo Venda]]*1.15</f>
        <v>17.429302091459341</v>
      </c>
      <c r="AO39" s="36">
        <f ca="1">Tabela3[[#This Row],[Tabela 1]]*1.08</f>
        <v>18.82364625877609</v>
      </c>
      <c r="AP39" s="36">
        <f ca="1">Tabela3[[#This Row],[Tabela 2]]*1.15</f>
        <v>21.647193197592504</v>
      </c>
    </row>
    <row r="40" spans="1:42">
      <c r="A40" s="9">
        <v>45706</v>
      </c>
      <c r="B40" s="6" t="s">
        <v>237</v>
      </c>
      <c r="C40" s="14">
        <v>5527</v>
      </c>
      <c r="D40" s="6" t="s">
        <v>46</v>
      </c>
      <c r="E40" s="6" t="s">
        <v>53</v>
      </c>
      <c r="F40" s="6">
        <v>9</v>
      </c>
      <c r="G40" s="15">
        <v>5.486111111111111E-2</v>
      </c>
      <c r="H40" s="16">
        <v>0</v>
      </c>
      <c r="I40" s="35">
        <f ca="1">IFERROR(Tabela3[[#This Row],[Custo Total]]/Tabela3[[#This Row],[Aluminio Util]],0)</f>
        <v>25.342822053112453</v>
      </c>
      <c r="J40" s="35">
        <f ca="1">Tabela3[[#This Row],[Custo Total]]/Tabela3[[#This Row],[Realizado]]</f>
        <v>7.3494183954026102</v>
      </c>
      <c r="K40" s="37">
        <f>IFERROR(Tabela3[[#This Row],[Qtde Cx Produzida]]/Tabela3[[#This Row],[Tempo]]/24,0)</f>
        <v>6.8354430379746836</v>
      </c>
      <c r="L40" s="37">
        <f>Tabela3[[#This Row],[Qtde Cx Produzida]]*Tabela3[[#This Row],[Qdt Peça Placa]]</f>
        <v>54</v>
      </c>
      <c r="M40" s="37">
        <f>Tabela3[[#This Row],[Previsto]]-Tabela3[[#This Row],[Perda Pçs]]</f>
        <v>54</v>
      </c>
      <c r="N40" s="38">
        <f>IFERROR(Tabela3[[#This Row],[Perda Pçs]]/Tabela3[[#This Row],[Previsto]],0)</f>
        <v>0</v>
      </c>
      <c r="O40" s="39">
        <f>IFERROR(IF(Tabela3[[#This Row],[Qtde Cx Produzida]] &lt;&gt; 0, Tabela3[[#This Row],[Tempo]] / Tabela3[[#This Row],[Qtde Cx Produzida]], 0),0)</f>
        <v>6.0956790123456788E-3</v>
      </c>
      <c r="P40" s="57">
        <f>IFERROR(Tabela3[[#This Row],[Perda Pçs]]/Tabela3[[#This Row],[Qdt Peça Placa]],0)</f>
        <v>0</v>
      </c>
      <c r="Q40" s="37">
        <f>IFERROR(Tabela3[[#This Row],[Realizado]]*Tabela3[[#This Row],[Peso Util/Pç]],0)</f>
        <v>15.659999999999998</v>
      </c>
      <c r="R40" s="37">
        <f>IFERROR(Tabela3[[#This Row],[Peso Total Galho]]*Tabela3[[#This Row],[Qtde Cx Produzida]]*1.055,0)</f>
        <v>18.989999999999998</v>
      </c>
      <c r="S40" s="37">
        <f>(Tabela3[[#This Row],[Aluminio Bruto]]-Tabela3[[#This Row],[Aluminio Util]])*0.9</f>
        <v>2.9970000000000003</v>
      </c>
      <c r="T40" s="37">
        <f>Tabela3[[#This Row],[Aluminio Bruto]]/OleoKGAluminio</f>
        <v>7.9890684461658985</v>
      </c>
      <c r="U40" s="35">
        <f>IFERROR((VLOOKUP(Tabela3[[#This Row],[Moldador]],Tabela1[],5,)+(VLOOKUP(Tabela3[[#This Row],[Ajudante]],Tabela1[],5,))*3.5),0)</f>
        <v>99.95034583333333</v>
      </c>
      <c r="V40" s="35">
        <f>IFERROR(Tabela3[[#This Row],[Custo M.O. / H]]/((Tabela3[[#This Row],[Realizado]]/Tabela3[[#This Row],[Qdt Peça Placa]])/Tabela3[[#This Row],[Tempo]]/24),)</f>
        <v>14.622365408950616</v>
      </c>
      <c r="W40" s="35">
        <f>Tabela3[[#This Row],[Custo / Cx Moldada]]*Tabela3[[#This Row],[Qtde Cx Produzida]]</f>
        <v>131.60128868055554</v>
      </c>
      <c r="X40" s="35">
        <f ca="1">Tabela3[[#This Row],[Aluminio Util]]*Tabela3[[#This Row],[Custo/Kg]]</f>
        <v>244.29599999999999</v>
      </c>
      <c r="Y40" s="35">
        <f>IFERROR(VLOOKUP(Tabela3[[#This Row],[Data]],Tabela461213[],2,1)*(Tabela3[[#This Row],[Qtde Cx Produzida]]*Tabela3[[#This Row],[Qde macho / CX]]*Tabela3[[#This Row],[Peso Macho]]),)</f>
        <v>0</v>
      </c>
      <c r="Z40" s="35">
        <f>IFERROR(Tabela3[[#This Row],[Qtde Oleo]]*(VLOOKUP(Tabela3[[#This Row],[Data]],CompraOleo[],3,TRUE))*1.05,0)</f>
        <v>20.971304671185486</v>
      </c>
      <c r="AA40" s="47">
        <f ca="1">(Tabela3[[#This Row],[Custo Oleo]]+Tabela3[[#This Row],[Custo Aluminio]]+Tabela3[[#This Row],[Custo M.O. Total]]+Tabela3[[#This Row],[Custo Machos]])</f>
        <v>396.86859335174097</v>
      </c>
      <c r="AB40" s="47">
        <f ca="1">Tabela3[[#This Row],[Custo Total]]*Tabela3[[#This Row],[% Perda]]</f>
        <v>0</v>
      </c>
      <c r="AC40" s="48">
        <f>IFERROR(VLOOKUP(Tabela3[[#This Row],[Produto]],Tabela2[],2,0),0)</f>
        <v>6</v>
      </c>
      <c r="AD40" s="48">
        <f>IFERROR(VLOOKUP(Tabela3[[#This Row],[Produto]],Tabela2[],3,0),0)</f>
        <v>0.28999999999999998</v>
      </c>
      <c r="AE40" s="48">
        <f>IFERROR(VLOOKUP(Tabela3[[#This Row],[Produto]],Tabela2[],4,0),0)</f>
        <v>2</v>
      </c>
      <c r="AF40" s="48">
        <f>IFERROR(VLOOKUP(Tabela3[[#This Row],[Produto]],Tabela2[],5,0),0)</f>
        <v>0.23400000000000021</v>
      </c>
      <c r="AG40" s="40">
        <f>IFERROR(VLOOKUP(Tabela3[[#This Row],[Produto]],Tabela2[],6,0),0)</f>
        <v>0</v>
      </c>
      <c r="AH40" s="40">
        <f>IFERROR(VLOOKUP(Tabela3[[#This Row],[Produto]],Tabela2[],7,0),0)</f>
        <v>0</v>
      </c>
      <c r="AI40" s="40">
        <f>IFERROR(VLOOKUP(Tabela3[[#This Row],[Produto]],Tabela2[],8,0),0)</f>
        <v>0</v>
      </c>
      <c r="AJ40" s="35">
        <f ca="1">IFERROR(VLOOKUP(Tabela3[[#This Row],[Produto]],Tabela2[],13,0),0)</f>
        <v>15.600000000000001</v>
      </c>
      <c r="AK40" s="40" t="str">
        <f>IFERROR(VLOOKUP(Tabela3[[#This Row],[Produto]],Tabela2[],14,0),0)</f>
        <v>Senun</v>
      </c>
      <c r="AL40" s="40">
        <f>IFERROR(VLOOKUP(Tabela3[[#This Row],[Produto]],Tabela2[],15,0),0)</f>
        <v>4</v>
      </c>
      <c r="AM40" s="36">
        <f ca="1">(Tabela3[[#This Row],[Custo Usinagem]]+Tabela3[[#This Row],[Custo / Pç]])*1.2</f>
        <v>13.619302074483132</v>
      </c>
      <c r="AN40" s="36">
        <f ca="1">Tabela3[[#This Row],[Valor Mínimo Venda]]*1.15</f>
        <v>15.662197385655601</v>
      </c>
      <c r="AO40" s="36">
        <f ca="1">Tabela3[[#This Row],[Tabela 1]]*1.08</f>
        <v>16.915173176508048</v>
      </c>
      <c r="AP40" s="36">
        <f ca="1">Tabela3[[#This Row],[Tabela 2]]*1.15</f>
        <v>19.452449152984254</v>
      </c>
    </row>
    <row r="41" spans="1:42">
      <c r="A41" s="9">
        <v>45706</v>
      </c>
      <c r="B41" s="6" t="s">
        <v>136</v>
      </c>
      <c r="C41" s="14">
        <v>5639</v>
      </c>
      <c r="D41" s="6" t="s">
        <v>46</v>
      </c>
      <c r="E41" s="6" t="s">
        <v>53</v>
      </c>
      <c r="F41" s="6">
        <v>22</v>
      </c>
      <c r="G41" s="15">
        <v>8.1250000000000003E-2</v>
      </c>
      <c r="H41" s="16">
        <v>0</v>
      </c>
      <c r="I41" s="35">
        <f ca="1">IFERROR(Tabela3[[#This Row],[Custo Total]]/Tabela3[[#This Row],[Aluminio Util]],0)</f>
        <v>28.123108527545497</v>
      </c>
      <c r="J41" s="35">
        <f ca="1">Tabela3[[#This Row],[Custo Total]]/Tabela3[[#This Row],[Realizado]]</f>
        <v>4.6684360155725528</v>
      </c>
      <c r="K41" s="37">
        <f>IFERROR(Tabela3[[#This Row],[Qtde Cx Produzida]]/Tabela3[[#This Row],[Tempo]]/24,0)</f>
        <v>11.282051282051283</v>
      </c>
      <c r="L41" s="37">
        <f>Tabela3[[#This Row],[Qtde Cx Produzida]]*Tabela3[[#This Row],[Qdt Peça Placa]]</f>
        <v>132</v>
      </c>
      <c r="M41" s="37">
        <f>Tabela3[[#This Row],[Previsto]]-Tabela3[[#This Row],[Perda Pçs]]</f>
        <v>132</v>
      </c>
      <c r="N41" s="38">
        <f>IFERROR(Tabela3[[#This Row],[Perda Pçs]]/Tabela3[[#This Row],[Previsto]],0)</f>
        <v>0</v>
      </c>
      <c r="O41" s="39">
        <f>IFERROR(IF(Tabela3[[#This Row],[Qtde Cx Produzida]] &lt;&gt; 0, Tabela3[[#This Row],[Tempo]] / Tabela3[[#This Row],[Qtde Cx Produzida]], 0),0)</f>
        <v>3.6931818181818181E-3</v>
      </c>
      <c r="P41" s="57">
        <f>IFERROR(Tabela3[[#This Row],[Perda Pçs]]/Tabela3[[#This Row],[Qdt Peça Placa]],0)</f>
        <v>0</v>
      </c>
      <c r="Q41" s="37">
        <f>IFERROR(Tabela3[[#This Row],[Realizado]]*Tabela3[[#This Row],[Peso Util/Pç]],0)</f>
        <v>21.912000000000003</v>
      </c>
      <c r="R41" s="37">
        <f>IFERROR(Tabela3[[#This Row],[Peso Total Galho]]*Tabela3[[#This Row],[Qtde Cx Produzida]]*1.055,0)</f>
        <v>32.308319999999995</v>
      </c>
      <c r="S41" s="37">
        <f>(Tabela3[[#This Row],[Aluminio Bruto]]-Tabela3[[#This Row],[Aluminio Util]])*0.9</f>
        <v>9.356687999999993</v>
      </c>
      <c r="T41" s="37">
        <f>Tabela3[[#This Row],[Aluminio Bruto]]/OleoKGAluminio</f>
        <v>13.59206844974358</v>
      </c>
      <c r="U41" s="35">
        <f>IFERROR((VLOOKUP(Tabela3[[#This Row],[Moldador]],Tabela1[],5,)+(VLOOKUP(Tabela3[[#This Row],[Ajudante]],Tabela1[],5,))*3.5),0)</f>
        <v>99.95034583333333</v>
      </c>
      <c r="V41" s="35">
        <f>IFERROR(Tabela3[[#This Row],[Custo M.O. / H]]/((Tabela3[[#This Row],[Realizado]]/Tabela3[[#This Row],[Qdt Peça Placa]])/Tabela3[[#This Row],[Tempo]]/24),)</f>
        <v>8.8592351988636349</v>
      </c>
      <c r="W41" s="35">
        <f>Tabela3[[#This Row],[Custo / Cx Moldada]]*Tabela3[[#This Row],[Qtde Cx Produzida]]</f>
        <v>194.90317437499996</v>
      </c>
      <c r="X41" s="35">
        <f ca="1">Tabela3[[#This Row],[Aluminio Util]]*Tabela3[[#This Row],[Custo/Kg]]</f>
        <v>385.65120000000007</v>
      </c>
      <c r="Y41" s="35">
        <f>IFERROR(VLOOKUP(Tabela3[[#This Row],[Data]],Tabela461213[],2,1)*(Tabela3[[#This Row],[Qtde Cx Produzida]]*Tabela3[[#This Row],[Qde macho / CX]]*Tabela3[[#This Row],[Peso Macho]]),)</f>
        <v>0</v>
      </c>
      <c r="Z41" s="35">
        <f>IFERROR(Tabela3[[#This Row],[Qtde Oleo]]*(VLOOKUP(Tabela3[[#This Row],[Data]],CompraOleo[],3,TRUE))*1.05,0)</f>
        <v>35.679179680576901</v>
      </c>
      <c r="AA41" s="47">
        <f ca="1">(Tabela3[[#This Row],[Custo Oleo]]+Tabela3[[#This Row],[Custo Aluminio]]+Tabela3[[#This Row],[Custo M.O. Total]]+Tabela3[[#This Row],[Custo Machos]])</f>
        <v>616.23355405557697</v>
      </c>
      <c r="AB41" s="47">
        <f ca="1">Tabela3[[#This Row],[Custo Total]]*Tabela3[[#This Row],[% Perda]]</f>
        <v>0</v>
      </c>
      <c r="AC41" s="48">
        <f>IFERROR(VLOOKUP(Tabela3[[#This Row],[Produto]],Tabela2[],2,0),0)</f>
        <v>6</v>
      </c>
      <c r="AD41" s="48">
        <f>IFERROR(VLOOKUP(Tabela3[[#This Row],[Produto]],Tabela2[],3,0),0)</f>
        <v>0.16600000000000001</v>
      </c>
      <c r="AE41" s="48">
        <f>IFERROR(VLOOKUP(Tabela3[[#This Row],[Produto]],Tabela2[],4,0),0)</f>
        <v>1.3919999999999999</v>
      </c>
      <c r="AF41" s="48">
        <f>IFERROR(VLOOKUP(Tabela3[[#This Row],[Produto]],Tabela2[],5,0),0)</f>
        <v>0.35639999999999994</v>
      </c>
      <c r="AG41" s="40">
        <f>IFERROR(VLOOKUP(Tabela3[[#This Row],[Produto]],Tabela2[],6,0),0)</f>
        <v>0</v>
      </c>
      <c r="AH41" s="40">
        <f>IFERROR(VLOOKUP(Tabela3[[#This Row],[Produto]],Tabela2[],7,0),0)</f>
        <v>0</v>
      </c>
      <c r="AI41" s="40">
        <f>IFERROR(VLOOKUP(Tabela3[[#This Row],[Produto]],Tabela2[],8,0),0)</f>
        <v>0</v>
      </c>
      <c r="AJ41" s="35">
        <f ca="1">IFERROR(VLOOKUP(Tabela3[[#This Row],[Produto]],Tabela2[],13,0),0)</f>
        <v>17.600000000000001</v>
      </c>
      <c r="AK41" s="40" t="str">
        <f>IFERROR(VLOOKUP(Tabela3[[#This Row],[Produto]],Tabela2[],14,0),0)</f>
        <v>Marcelo</v>
      </c>
      <c r="AL41" s="40">
        <f>IFERROR(VLOOKUP(Tabela3[[#This Row],[Produto]],Tabela2[],15,0),0)</f>
        <v>10</v>
      </c>
      <c r="AM41" s="36">
        <f ca="1">(Tabela3[[#This Row],[Custo Usinagem]]+Tabela3[[#This Row],[Custo / Pç]])*1.2</f>
        <v>17.602123218687062</v>
      </c>
      <c r="AN41" s="36">
        <f ca="1">Tabela3[[#This Row],[Valor Mínimo Venda]]*1.15</f>
        <v>20.242441701490119</v>
      </c>
      <c r="AO41" s="36">
        <f ca="1">Tabela3[[#This Row],[Tabela 1]]*1.08</f>
        <v>21.86183703760933</v>
      </c>
      <c r="AP41" s="36">
        <f ca="1">Tabela3[[#This Row],[Tabela 2]]*1.15</f>
        <v>25.141112593250728</v>
      </c>
    </row>
    <row r="42" spans="1:42">
      <c r="A42" s="9">
        <v>45706</v>
      </c>
      <c r="B42" s="6" t="s">
        <v>124</v>
      </c>
      <c r="C42" s="14">
        <v>5420</v>
      </c>
      <c r="D42" s="6" t="s">
        <v>44</v>
      </c>
      <c r="E42" s="6" t="s">
        <v>47</v>
      </c>
      <c r="F42" s="6">
        <v>74</v>
      </c>
      <c r="G42" s="15">
        <v>0.3215277777777778</v>
      </c>
      <c r="H42" s="16">
        <v>0</v>
      </c>
      <c r="I42" s="35">
        <f ca="1">IFERROR(Tabela3[[#This Row],[Custo Total]]/Tabela3[[#This Row],[Aluminio Util]],0)</f>
        <v>23.828589791476311</v>
      </c>
      <c r="J42" s="35">
        <f ca="1">Tabela3[[#This Row],[Custo Total]]/Tabela3[[#This Row],[Realizado]]</f>
        <v>40.270316747594968</v>
      </c>
      <c r="K42" s="37">
        <f>IFERROR(Tabela3[[#This Row],[Qtde Cx Produzida]]/Tabela3[[#This Row],[Tempo]]/24,0)</f>
        <v>9.5896328293736506</v>
      </c>
      <c r="L42" s="37">
        <f>Tabela3[[#This Row],[Qtde Cx Produzida]]*Tabela3[[#This Row],[Qdt Peça Placa]]</f>
        <v>74</v>
      </c>
      <c r="M42" s="37">
        <f>Tabela3[[#This Row],[Previsto]]-Tabela3[[#This Row],[Perda Pçs]]</f>
        <v>74</v>
      </c>
      <c r="N42" s="38">
        <f>IFERROR(Tabela3[[#This Row],[Perda Pçs]]/Tabela3[[#This Row],[Previsto]],0)</f>
        <v>0</v>
      </c>
      <c r="O42" s="39">
        <f>IFERROR(IF(Tabela3[[#This Row],[Qtde Cx Produzida]] &lt;&gt; 0, Tabela3[[#This Row],[Tempo]] / Tabela3[[#This Row],[Qtde Cx Produzida]], 0),0)</f>
        <v>4.3449699699699704E-3</v>
      </c>
      <c r="P42" s="57">
        <f>IFERROR(Tabela3[[#This Row],[Perda Pçs]]/Tabela3[[#This Row],[Qdt Peça Placa]],0)</f>
        <v>0</v>
      </c>
      <c r="Q42" s="37">
        <f>IFERROR(Tabela3[[#This Row],[Realizado]]*Tabela3[[#This Row],[Peso Util/Pç]],0)</f>
        <v>125.06</v>
      </c>
      <c r="R42" s="37">
        <f>IFERROR(Tabela3[[#This Row],[Peso Total Galho]]*Tabela3[[#This Row],[Qtde Cx Produzida]]*1.055,0)</f>
        <v>233.42930000000001</v>
      </c>
      <c r="S42" s="37">
        <f>(Tabela3[[#This Row],[Aluminio Bruto]]-Tabela3[[#This Row],[Aluminio Util]])*0.9</f>
        <v>97.532370000000014</v>
      </c>
      <c r="T42" s="37">
        <f>Tabela3[[#This Row],[Aluminio Bruto]]/OleoKGAluminio</f>
        <v>98.203404688814828</v>
      </c>
      <c r="U42" s="35">
        <f>IFERROR((VLOOKUP(Tabela3[[#This Row],[Moldador]],Tabela1[],5,)+(VLOOKUP(Tabela3[[#This Row],[Ajudante]],Tabela1[],5,))*3.5),0)</f>
        <v>99.95034583333333</v>
      </c>
      <c r="V42" s="35">
        <f>IFERROR(Tabela3[[#This Row],[Custo M.O. / H]]/((Tabela3[[#This Row],[Realizado]]/Tabela3[[#This Row],[Qdt Peça Placa]])/Tabela3[[#This Row],[Tempo]]/24),)</f>
        <v>10.422750027214715</v>
      </c>
      <c r="W42" s="35">
        <f>Tabela3[[#This Row],[Custo / Cx Moldada]]*Tabela3[[#This Row],[Qtde Cx Produzida]]</f>
        <v>771.28350201388889</v>
      </c>
      <c r="X42" s="35">
        <f ca="1">Tabela3[[#This Row],[Aluminio Util]]*Tabela3[[#This Row],[Custo/Kg]]</f>
        <v>1950.9360000000001</v>
      </c>
      <c r="Y42" s="35">
        <f>IFERROR(VLOOKUP(Tabela3[[#This Row],[Data]],Tabela461213[],2,1)*(Tabela3[[#This Row],[Qtde Cx Produzida]]*Tabela3[[#This Row],[Qde macho / CX]]*Tabela3[[#This Row],[Peso Macho]]),)</f>
        <v>0</v>
      </c>
      <c r="Z42" s="35">
        <f>IFERROR(Tabela3[[#This Row],[Qtde Oleo]]*(VLOOKUP(Tabela3[[#This Row],[Data]],CompraOleo[],3,TRUE))*1.05,0)</f>
        <v>257.78393730813895</v>
      </c>
      <c r="AA42" s="47">
        <f ca="1">(Tabela3[[#This Row],[Custo Oleo]]+Tabela3[[#This Row],[Custo Aluminio]]+Tabela3[[#This Row],[Custo M.O. Total]]+Tabela3[[#This Row],[Custo Machos]])</f>
        <v>2980.0034393220276</v>
      </c>
      <c r="AB42" s="47">
        <f ca="1">Tabela3[[#This Row],[Custo Total]]*Tabela3[[#This Row],[% Perda]]</f>
        <v>0</v>
      </c>
      <c r="AC42" s="48">
        <f>IFERROR(VLOOKUP(Tabela3[[#This Row],[Produto]],Tabela2[],2,0),0)</f>
        <v>1</v>
      </c>
      <c r="AD42" s="48">
        <f>IFERROR(VLOOKUP(Tabela3[[#This Row],[Produto]],Tabela2[],3,0),0)</f>
        <v>1.69</v>
      </c>
      <c r="AE42" s="48">
        <f>IFERROR(VLOOKUP(Tabela3[[#This Row],[Produto]],Tabela2[],4,0),0)</f>
        <v>2.99</v>
      </c>
      <c r="AF42" s="48">
        <f>IFERROR(VLOOKUP(Tabela3[[#This Row],[Produto]],Tabela2[],5,0),0)</f>
        <v>1.1700000000000004</v>
      </c>
      <c r="AG42" s="40">
        <f>IFERROR(VLOOKUP(Tabela3[[#This Row],[Produto]],Tabela2[],6,0),0)</f>
        <v>0</v>
      </c>
      <c r="AH42" s="40">
        <f>IFERROR(VLOOKUP(Tabela3[[#This Row],[Produto]],Tabela2[],7,0),0)</f>
        <v>0</v>
      </c>
      <c r="AI42" s="40">
        <f>IFERROR(VLOOKUP(Tabela3[[#This Row],[Produto]],Tabela2[],8,0),0)</f>
        <v>0</v>
      </c>
      <c r="AJ42" s="35">
        <f ca="1">IFERROR(VLOOKUP(Tabela3[[#This Row],[Produto]],Tabela2[],13,0),0)</f>
        <v>15.600000000000001</v>
      </c>
      <c r="AK42" s="40" t="str">
        <f>IFERROR(VLOOKUP(Tabela3[[#This Row],[Produto]],Tabela2[],14,0),0)</f>
        <v>Jumil</v>
      </c>
      <c r="AL42" s="40">
        <f>IFERROR(VLOOKUP(Tabela3[[#This Row],[Produto]],Tabela2[],15,0),0)</f>
        <v>8</v>
      </c>
      <c r="AM42" s="36">
        <f ca="1">(Tabela3[[#This Row],[Custo Usinagem]]+Tabela3[[#This Row],[Custo / Pç]])*1.2</f>
        <v>57.924380097113961</v>
      </c>
      <c r="AN42" s="36">
        <f ca="1">Tabela3[[#This Row],[Valor Mínimo Venda]]*1.15</f>
        <v>66.613037111681052</v>
      </c>
      <c r="AO42" s="36">
        <f ca="1">Tabela3[[#This Row],[Tabela 1]]*1.08</f>
        <v>71.94208008061554</v>
      </c>
      <c r="AP42" s="36">
        <f ca="1">Tabela3[[#This Row],[Tabela 2]]*1.15</f>
        <v>82.733392092707859</v>
      </c>
    </row>
    <row r="43" spans="1:42">
      <c r="A43" s="9">
        <v>45706</v>
      </c>
      <c r="B43" s="6" t="s">
        <v>246</v>
      </c>
      <c r="C43" s="14">
        <v>5519</v>
      </c>
      <c r="D43" s="6" t="s">
        <v>44</v>
      </c>
      <c r="E43" s="6" t="s">
        <v>47</v>
      </c>
      <c r="F43" s="6">
        <v>5</v>
      </c>
      <c r="G43" s="15">
        <v>3.0555555555555555E-2</v>
      </c>
      <c r="H43" s="16">
        <v>0</v>
      </c>
      <c r="I43" s="35">
        <f ca="1">IFERROR(Tabela3[[#This Row],[Custo Total]]/Tabela3[[#This Row],[Aluminio Util]],0)</f>
        <v>24.279232291403794</v>
      </c>
      <c r="J43" s="35">
        <f ca="1">Tabela3[[#This Row],[Custo Total]]/Tabela3[[#This Row],[Realizado]]</f>
        <v>12.940830811318222</v>
      </c>
      <c r="K43" s="37">
        <f>IFERROR(Tabela3[[#This Row],[Qtde Cx Produzida]]/Tabela3[[#This Row],[Tempo]]/24,0)</f>
        <v>6.8181818181818192</v>
      </c>
      <c r="L43" s="37">
        <f>Tabela3[[#This Row],[Qtde Cx Produzida]]*Tabela3[[#This Row],[Qdt Peça Placa]]</f>
        <v>20</v>
      </c>
      <c r="M43" s="37">
        <f>Tabela3[[#This Row],[Previsto]]-Tabela3[[#This Row],[Perda Pçs]]</f>
        <v>20</v>
      </c>
      <c r="N43" s="38">
        <f>IFERROR(Tabela3[[#This Row],[Perda Pçs]]/Tabela3[[#This Row],[Previsto]],0)</f>
        <v>0</v>
      </c>
      <c r="O43" s="39">
        <f>IFERROR(IF(Tabela3[[#This Row],[Qtde Cx Produzida]] &lt;&gt; 0, Tabela3[[#This Row],[Tempo]] / Tabela3[[#This Row],[Qtde Cx Produzida]], 0),0)</f>
        <v>6.1111111111111106E-3</v>
      </c>
      <c r="P43" s="57">
        <f>IFERROR(Tabela3[[#This Row],[Perda Pçs]]/Tabela3[[#This Row],[Qdt Peça Placa]],0)</f>
        <v>0</v>
      </c>
      <c r="Q43" s="37">
        <f>IFERROR(Tabela3[[#This Row],[Realizado]]*Tabela3[[#This Row],[Peso Util/Pç]],0)</f>
        <v>10.66</v>
      </c>
      <c r="R43" s="37">
        <f>IFERROR(Tabela3[[#This Row],[Peso Total Galho]]*Tabela3[[#This Row],[Qtde Cx Produzida]]*1.055,0)</f>
        <v>17.407499999999999</v>
      </c>
      <c r="S43" s="37">
        <f>(Tabela3[[#This Row],[Aluminio Bruto]]-Tabela3[[#This Row],[Aluminio Util]])*0.9</f>
        <v>6.0727499999999992</v>
      </c>
      <c r="T43" s="37">
        <f>Tabela3[[#This Row],[Aluminio Bruto]]/OleoKGAluminio</f>
        <v>7.3233127423187403</v>
      </c>
      <c r="U43" s="35">
        <f>IFERROR((VLOOKUP(Tabela3[[#This Row],[Moldador]],Tabela1[],5,)+(VLOOKUP(Tabela3[[#This Row],[Ajudante]],Tabela1[],5,))*3.5),0)</f>
        <v>99.95034583333333</v>
      </c>
      <c r="V43" s="35">
        <f>IFERROR(Tabela3[[#This Row],[Custo M.O. / H]]/((Tabela3[[#This Row],[Realizado]]/Tabela3[[#This Row],[Qdt Peça Placa]])/Tabela3[[#This Row],[Tempo]]/24),)</f>
        <v>14.659384055555552</v>
      </c>
      <c r="W43" s="35">
        <f>Tabela3[[#This Row],[Custo / Cx Moldada]]*Tabela3[[#This Row],[Qtde Cx Produzida]]</f>
        <v>73.296920277777758</v>
      </c>
      <c r="X43" s="35">
        <f ca="1">Tabela3[[#This Row],[Aluminio Util]]*Tabela3[[#This Row],[Custo/Kg]]</f>
        <v>166.29600000000002</v>
      </c>
      <c r="Y43" s="35">
        <f>IFERROR(VLOOKUP(Tabela3[[#This Row],[Data]],Tabela461213[],2,1)*(Tabela3[[#This Row],[Qtde Cx Produzida]]*Tabela3[[#This Row],[Qde macho / CX]]*Tabela3[[#This Row],[Peso Macho]]),)</f>
        <v>0</v>
      </c>
      <c r="Z43" s="35">
        <f>IFERROR(Tabela3[[#This Row],[Qtde Oleo]]*(VLOOKUP(Tabela3[[#This Row],[Data]],CompraOleo[],3,TRUE))*1.05,0)</f>
        <v>19.223695948586691</v>
      </c>
      <c r="AA43" s="47">
        <f ca="1">(Tabela3[[#This Row],[Custo Oleo]]+Tabela3[[#This Row],[Custo Aluminio]]+Tabela3[[#This Row],[Custo M.O. Total]]+Tabela3[[#This Row],[Custo Machos]])</f>
        <v>258.81661622636443</v>
      </c>
      <c r="AB43" s="47">
        <f ca="1">Tabela3[[#This Row],[Custo Total]]*Tabela3[[#This Row],[% Perda]]</f>
        <v>0</v>
      </c>
      <c r="AC43" s="48">
        <f>IFERROR(VLOOKUP(Tabela3[[#This Row],[Produto]],Tabela2[],2,0),0)</f>
        <v>4</v>
      </c>
      <c r="AD43" s="48">
        <f>IFERROR(VLOOKUP(Tabela3[[#This Row],[Produto]],Tabela2[],3,0),0)</f>
        <v>0.53300000000000003</v>
      </c>
      <c r="AE43" s="48">
        <f>IFERROR(VLOOKUP(Tabela3[[#This Row],[Produto]],Tabela2[],4,0),0)</f>
        <v>3.3</v>
      </c>
      <c r="AF43" s="48">
        <f>IFERROR(VLOOKUP(Tabela3[[#This Row],[Produto]],Tabela2[],5,0),0)</f>
        <v>1.0511999999999997</v>
      </c>
      <c r="AG43" s="40">
        <f>IFERROR(VLOOKUP(Tabela3[[#This Row],[Produto]],Tabela2[],6,0),0)</f>
        <v>0</v>
      </c>
      <c r="AH43" s="40">
        <f>IFERROR(VLOOKUP(Tabela3[[#This Row],[Produto]],Tabela2[],7,0),0)</f>
        <v>0</v>
      </c>
      <c r="AI43" s="40">
        <f>IFERROR(VLOOKUP(Tabela3[[#This Row],[Produto]],Tabela2[],8,0),0)</f>
        <v>0</v>
      </c>
      <c r="AJ43" s="35">
        <f ca="1">IFERROR(VLOOKUP(Tabela3[[#This Row],[Produto]],Tabela2[],13,0),0)</f>
        <v>15.600000000000001</v>
      </c>
      <c r="AK43" s="40" t="str">
        <f>IFERROR(VLOOKUP(Tabela3[[#This Row],[Produto]],Tabela2[],14,0),0)</f>
        <v>Senun</v>
      </c>
      <c r="AL43" s="40">
        <f>IFERROR(VLOOKUP(Tabela3[[#This Row],[Produto]],Tabela2[],15,0),0)</f>
        <v>4</v>
      </c>
      <c r="AM43" s="36">
        <f ca="1">(Tabela3[[#This Row],[Custo Usinagem]]+Tabela3[[#This Row],[Custo / Pç]])*1.2</f>
        <v>20.328996973581866</v>
      </c>
      <c r="AN43" s="36">
        <f ca="1">Tabela3[[#This Row],[Valor Mínimo Venda]]*1.15</f>
        <v>23.378346519619143</v>
      </c>
      <c r="AO43" s="36">
        <f ca="1">Tabela3[[#This Row],[Tabela 1]]*1.08</f>
        <v>25.248614241188676</v>
      </c>
      <c r="AP43" s="36">
        <f ca="1">Tabela3[[#This Row],[Tabela 2]]*1.15</f>
        <v>29.035906377366974</v>
      </c>
    </row>
    <row r="44" spans="1:42">
      <c r="A44" s="9">
        <v>45707</v>
      </c>
      <c r="B44" s="6" t="s">
        <v>237</v>
      </c>
      <c r="C44" s="14">
        <v>5527</v>
      </c>
      <c r="D44" s="6" t="s">
        <v>46</v>
      </c>
      <c r="E44" s="6" t="s">
        <v>53</v>
      </c>
      <c r="F44" s="6">
        <v>41</v>
      </c>
      <c r="G44" s="15">
        <v>0.2048611111111111</v>
      </c>
      <c r="H44" s="16">
        <v>0</v>
      </c>
      <c r="I44" s="35">
        <f ca="1">IFERROR(Tabela3[[#This Row],[Custo Total]]/Tabela3[[#This Row],[Aluminio Util]],0)</f>
        <v>23.827620930510555</v>
      </c>
      <c r="J44" s="35">
        <f ca="1">Tabela3[[#This Row],[Custo Total]]/Tabela3[[#This Row],[Realizado]]</f>
        <v>6.9100100698480604</v>
      </c>
      <c r="K44" s="37">
        <f>IFERROR(Tabela3[[#This Row],[Qtde Cx Produzida]]/Tabela3[[#This Row],[Tempo]]/24,0)</f>
        <v>8.3389830508474585</v>
      </c>
      <c r="L44" s="37">
        <f>Tabela3[[#This Row],[Qtde Cx Produzida]]*Tabela3[[#This Row],[Qdt Peça Placa]]</f>
        <v>246</v>
      </c>
      <c r="M44" s="37">
        <f>Tabela3[[#This Row],[Previsto]]-Tabela3[[#This Row],[Perda Pçs]]</f>
        <v>246</v>
      </c>
      <c r="N44" s="38">
        <f>IFERROR(Tabela3[[#This Row],[Perda Pçs]]/Tabela3[[#This Row],[Previsto]],0)</f>
        <v>0</v>
      </c>
      <c r="O44" s="39">
        <f>IFERROR(IF(Tabela3[[#This Row],[Qtde Cx Produzida]] &lt;&gt; 0, Tabela3[[#This Row],[Tempo]] / Tabela3[[#This Row],[Qtde Cx Produzida]], 0),0)</f>
        <v>4.9966124661246607E-3</v>
      </c>
      <c r="P44" s="57">
        <f>IFERROR(Tabela3[[#This Row],[Perda Pçs]]/Tabela3[[#This Row],[Qdt Peça Placa]],0)</f>
        <v>0</v>
      </c>
      <c r="Q44" s="37">
        <f>IFERROR(Tabela3[[#This Row],[Realizado]]*Tabela3[[#This Row],[Peso Util/Pç]],0)</f>
        <v>71.339999999999989</v>
      </c>
      <c r="R44" s="37">
        <f>IFERROR(Tabela3[[#This Row],[Peso Total Galho]]*Tabela3[[#This Row],[Qtde Cx Produzida]]*1.055,0)</f>
        <v>86.509999999999991</v>
      </c>
      <c r="S44" s="37">
        <f>(Tabela3[[#This Row],[Aluminio Bruto]]-Tabela3[[#This Row],[Aluminio Util]])*0.9</f>
        <v>13.653000000000002</v>
      </c>
      <c r="T44" s="37">
        <f>Tabela3[[#This Row],[Aluminio Bruto]]/OleoKGAluminio</f>
        <v>36.394645143644645</v>
      </c>
      <c r="U44" s="35">
        <f>IFERROR((VLOOKUP(Tabela3[[#This Row],[Moldador]],Tabela1[],5,)+(VLOOKUP(Tabela3[[#This Row],[Ajudante]],Tabela1[],5,))*3.5),0)</f>
        <v>99.95034583333333</v>
      </c>
      <c r="V44" s="35">
        <f>IFERROR(Tabela3[[#This Row],[Custo M.O. / H]]/((Tabela3[[#This Row],[Realizado]]/Tabela3[[#This Row],[Qdt Peça Placa]])/Tabela3[[#This Row],[Tempo]]/24),)</f>
        <v>11.985915455623305</v>
      </c>
      <c r="W44" s="35">
        <f>Tabela3[[#This Row],[Custo / Cx Moldada]]*Tabela3[[#This Row],[Qtde Cx Produzida]]</f>
        <v>491.42253368055549</v>
      </c>
      <c r="X44" s="35">
        <f ca="1">Tabela3[[#This Row],[Aluminio Util]]*Tabela3[[#This Row],[Custo/Kg]]</f>
        <v>1112.904</v>
      </c>
      <c r="Y44" s="35">
        <f>IFERROR(VLOOKUP(Tabela3[[#This Row],[Data]],Tabela461213[],2,1)*(Tabela3[[#This Row],[Qtde Cx Produzida]]*Tabela3[[#This Row],[Qde macho / CX]]*Tabela3[[#This Row],[Peso Macho]]),)</f>
        <v>0</v>
      </c>
      <c r="Z44" s="35">
        <f>IFERROR(Tabela3[[#This Row],[Qtde Oleo]]*(VLOOKUP(Tabela3[[#This Row],[Data]],CompraOleo[],3,TRUE))*1.05,0)</f>
        <v>95.535943502067198</v>
      </c>
      <c r="AA44" s="47">
        <f ca="1">(Tabela3[[#This Row],[Custo Oleo]]+Tabela3[[#This Row],[Custo Aluminio]]+Tabela3[[#This Row],[Custo M.O. Total]]+Tabela3[[#This Row],[Custo Machos]])</f>
        <v>1699.8624771826228</v>
      </c>
      <c r="AB44" s="47">
        <f ca="1">Tabela3[[#This Row],[Custo Total]]*Tabela3[[#This Row],[% Perda]]</f>
        <v>0</v>
      </c>
      <c r="AC44" s="48">
        <f>IFERROR(VLOOKUP(Tabela3[[#This Row],[Produto]],Tabela2[],2,0),0)</f>
        <v>6</v>
      </c>
      <c r="AD44" s="48">
        <f>IFERROR(VLOOKUP(Tabela3[[#This Row],[Produto]],Tabela2[],3,0),0)</f>
        <v>0.28999999999999998</v>
      </c>
      <c r="AE44" s="48">
        <f>IFERROR(VLOOKUP(Tabela3[[#This Row],[Produto]],Tabela2[],4,0),0)</f>
        <v>2</v>
      </c>
      <c r="AF44" s="48">
        <f>IFERROR(VLOOKUP(Tabela3[[#This Row],[Produto]],Tabela2[],5,0),0)</f>
        <v>0.23400000000000021</v>
      </c>
      <c r="AG44" s="40">
        <f>IFERROR(VLOOKUP(Tabela3[[#This Row],[Produto]],Tabela2[],6,0),0)</f>
        <v>0</v>
      </c>
      <c r="AH44" s="40">
        <f>IFERROR(VLOOKUP(Tabela3[[#This Row],[Produto]],Tabela2[],7,0),0)</f>
        <v>0</v>
      </c>
      <c r="AI44" s="40">
        <f>IFERROR(VLOOKUP(Tabela3[[#This Row],[Produto]],Tabela2[],8,0),0)</f>
        <v>0</v>
      </c>
      <c r="AJ44" s="35">
        <f ca="1">IFERROR(VLOOKUP(Tabela3[[#This Row],[Produto]],Tabela2[],13,0),0)</f>
        <v>15.600000000000001</v>
      </c>
      <c r="AK44" s="40" t="str">
        <f>IFERROR(VLOOKUP(Tabela3[[#This Row],[Produto]],Tabela2[],14,0),0)</f>
        <v>Senun</v>
      </c>
      <c r="AL44" s="40">
        <f>IFERROR(VLOOKUP(Tabela3[[#This Row],[Produto]],Tabela2[],15,0),0)</f>
        <v>4</v>
      </c>
      <c r="AM44" s="36">
        <f ca="1">(Tabela3[[#This Row],[Custo Usinagem]]+Tabela3[[#This Row],[Custo / Pç]])*1.2</f>
        <v>13.092012083817671</v>
      </c>
      <c r="AN44" s="36">
        <f ca="1">Tabela3[[#This Row],[Valor Mínimo Venda]]*1.15</f>
        <v>15.055813896390321</v>
      </c>
      <c r="AO44" s="36">
        <f ca="1">Tabela3[[#This Row],[Tabela 1]]*1.08</f>
        <v>16.260279008101548</v>
      </c>
      <c r="AP44" s="36">
        <f ca="1">Tabela3[[#This Row],[Tabela 2]]*1.15</f>
        <v>18.699320859316778</v>
      </c>
    </row>
    <row r="45" spans="1:42">
      <c r="A45" s="9">
        <v>45707</v>
      </c>
      <c r="B45" s="6" t="s">
        <v>236</v>
      </c>
      <c r="C45" s="14">
        <v>5557</v>
      </c>
      <c r="D45" s="6" t="s">
        <v>46</v>
      </c>
      <c r="E45" s="6" t="s">
        <v>53</v>
      </c>
      <c r="F45" s="6">
        <v>27</v>
      </c>
      <c r="G45" s="15">
        <v>0.15902777777777777</v>
      </c>
      <c r="H45" s="16">
        <v>8</v>
      </c>
      <c r="I45" s="35">
        <f ca="1">IFERROR(Tabela3[[#This Row],[Custo Total]]/Tabela3[[#This Row],[Aluminio Util]],0)</f>
        <v>25.684061230696294</v>
      </c>
      <c r="J45" s="35">
        <f ca="1">Tabela3[[#This Row],[Custo Total]]/Tabela3[[#This Row],[Realizado]]</f>
        <v>7.75658649167028</v>
      </c>
      <c r="K45" s="37">
        <f>IFERROR(Tabela3[[#This Row],[Qtde Cx Produzida]]/Tabela3[[#This Row],[Tempo]]/24,0)</f>
        <v>7.0742358078602621</v>
      </c>
      <c r="L45" s="37">
        <f>Tabela3[[#This Row],[Qtde Cx Produzida]]*Tabela3[[#This Row],[Qdt Peça Placa]]</f>
        <v>162</v>
      </c>
      <c r="M45" s="37">
        <f>Tabela3[[#This Row],[Previsto]]-Tabela3[[#This Row],[Perda Pçs]]</f>
        <v>154</v>
      </c>
      <c r="N45" s="38">
        <f>IFERROR(Tabela3[[#This Row],[Perda Pçs]]/Tabela3[[#This Row],[Previsto]],0)</f>
        <v>4.9382716049382713E-2</v>
      </c>
      <c r="O45" s="39">
        <f>IFERROR(IF(Tabela3[[#This Row],[Qtde Cx Produzida]] &lt;&gt; 0, Tabela3[[#This Row],[Tempo]] / Tabela3[[#This Row],[Qtde Cx Produzida]], 0),0)</f>
        <v>5.8899176954732508E-3</v>
      </c>
      <c r="P45" s="57">
        <f>IFERROR(Tabela3[[#This Row],[Perda Pçs]]/Tabela3[[#This Row],[Qdt Peça Placa]],0)</f>
        <v>1.3333333333333333</v>
      </c>
      <c r="Q45" s="37">
        <f>IFERROR(Tabela3[[#This Row],[Realizado]]*Tabela3[[#This Row],[Peso Util/Pç]],0)</f>
        <v>46.507999999999996</v>
      </c>
      <c r="R45" s="37">
        <f>IFERROR(Tabela3[[#This Row],[Peso Total Galho]]*Tabela3[[#This Row],[Qtde Cx Produzida]]*1.055,0)</f>
        <v>61.299720000000001</v>
      </c>
      <c r="S45" s="37">
        <f>(Tabela3[[#This Row],[Aluminio Bruto]]-Tabela3[[#This Row],[Aluminio Util]])*0.9</f>
        <v>13.312548000000005</v>
      </c>
      <c r="T45" s="37">
        <f>Tabela3[[#This Row],[Aluminio Bruto]]/OleoKGAluminio</f>
        <v>25.788712944223523</v>
      </c>
      <c r="U45" s="35">
        <f>IFERROR((VLOOKUP(Tabela3[[#This Row],[Moldador]],Tabela1[],5,)+(VLOOKUP(Tabela3[[#This Row],[Ajudante]],Tabela1[],5,))*3.5),0)</f>
        <v>99.95034583333333</v>
      </c>
      <c r="V45" s="35">
        <f>IFERROR(Tabela3[[#This Row],[Custo M.O. / H]]/((Tabela3[[#This Row],[Realizado]]/Tabela3[[#This Row],[Qdt Peça Placa]])/Tabela3[[#This Row],[Tempo]]/24),)</f>
        <v>14.862746231060603</v>
      </c>
      <c r="W45" s="35">
        <f>Tabela3[[#This Row],[Custo / Cx Moldada]]*Tabela3[[#This Row],[Qtde Cx Produzida]]</f>
        <v>401.2941482386363</v>
      </c>
      <c r="X45" s="35">
        <f ca="1">Tabela3[[#This Row],[Aluminio Util]]*Tabela3[[#This Row],[Custo/Kg]]</f>
        <v>725.52480000000003</v>
      </c>
      <c r="Y45" s="35">
        <f>IFERROR(VLOOKUP(Tabela3[[#This Row],[Data]],Tabela461213[],2,1)*(Tabela3[[#This Row],[Qtde Cx Produzida]]*Tabela3[[#This Row],[Qde macho / CX]]*Tabela3[[#This Row],[Peso Macho]]),)</f>
        <v>0</v>
      </c>
      <c r="Z45" s="35">
        <f>IFERROR(Tabela3[[#This Row],[Qtde Oleo]]*(VLOOKUP(Tabela3[[#This Row],[Data]],CompraOleo[],3,TRUE))*1.05,0)</f>
        <v>67.69537147858675</v>
      </c>
      <c r="AA45" s="47">
        <f ca="1">(Tabela3[[#This Row],[Custo Oleo]]+Tabela3[[#This Row],[Custo Aluminio]]+Tabela3[[#This Row],[Custo M.O. Total]]+Tabela3[[#This Row],[Custo Machos]])</f>
        <v>1194.5143197172231</v>
      </c>
      <c r="AB45" s="47">
        <f ca="1">Tabela3[[#This Row],[Custo Total]]*Tabela3[[#This Row],[% Perda]]</f>
        <v>58.988361467517187</v>
      </c>
      <c r="AC45" s="48">
        <f>IFERROR(VLOOKUP(Tabela3[[#This Row],[Produto]],Tabela2[],2,0),0)</f>
        <v>6</v>
      </c>
      <c r="AD45" s="48">
        <f>IFERROR(VLOOKUP(Tabela3[[#This Row],[Produto]],Tabela2[],3,0),0)</f>
        <v>0.30199999999999999</v>
      </c>
      <c r="AE45" s="48">
        <f>IFERROR(VLOOKUP(Tabela3[[#This Row],[Produto]],Tabela2[],4,0),0)</f>
        <v>2.1520000000000001</v>
      </c>
      <c r="AF45" s="48">
        <f>IFERROR(VLOOKUP(Tabela3[[#This Row],[Produto]],Tabela2[],5,0),0)</f>
        <v>0.30600000000000027</v>
      </c>
      <c r="AG45" s="40">
        <f>IFERROR(VLOOKUP(Tabela3[[#This Row],[Produto]],Tabela2[],6,0),0)</f>
        <v>0</v>
      </c>
      <c r="AH45" s="40">
        <f>IFERROR(VLOOKUP(Tabela3[[#This Row],[Produto]],Tabela2[],7,0),0)</f>
        <v>0</v>
      </c>
      <c r="AI45" s="40">
        <f>IFERROR(VLOOKUP(Tabela3[[#This Row],[Produto]],Tabela2[],8,0),0)</f>
        <v>0</v>
      </c>
      <c r="AJ45" s="35">
        <f ca="1">IFERROR(VLOOKUP(Tabela3[[#This Row],[Produto]],Tabela2[],13,0),0)</f>
        <v>15.600000000000001</v>
      </c>
      <c r="AK45" s="40" t="str">
        <f>IFERROR(VLOOKUP(Tabela3[[#This Row],[Produto]],Tabela2[],14,0),0)</f>
        <v>Senun</v>
      </c>
      <c r="AL45" s="40">
        <f>IFERROR(VLOOKUP(Tabela3[[#This Row],[Produto]],Tabela2[],15,0),0)</f>
        <v>4</v>
      </c>
      <c r="AM45" s="36">
        <f ca="1">(Tabela3[[#This Row],[Custo Usinagem]]+Tabela3[[#This Row],[Custo / Pç]])*1.2</f>
        <v>14.107903790004336</v>
      </c>
      <c r="AN45" s="36">
        <f ca="1">Tabela3[[#This Row],[Valor Mínimo Venda]]*1.15</f>
        <v>16.224089358504987</v>
      </c>
      <c r="AO45" s="36">
        <f ca="1">Tabela3[[#This Row],[Tabela 1]]*1.08</f>
        <v>17.522016507185388</v>
      </c>
      <c r="AP45" s="36">
        <f ca="1">Tabela3[[#This Row],[Tabela 2]]*1.15</f>
        <v>20.150318983263194</v>
      </c>
    </row>
    <row r="46" spans="1:42">
      <c r="A46" s="9">
        <v>45707</v>
      </c>
      <c r="B46" s="6" t="s">
        <v>246</v>
      </c>
      <c r="C46" s="14">
        <v>5519</v>
      </c>
      <c r="D46" s="6" t="s">
        <v>44</v>
      </c>
      <c r="E46" s="6" t="s">
        <v>47</v>
      </c>
      <c r="F46" s="6">
        <v>25</v>
      </c>
      <c r="G46" s="15">
        <v>0.13055555555555556</v>
      </c>
      <c r="H46" s="16">
        <v>0</v>
      </c>
      <c r="I46" s="35">
        <f ca="1">IFERROR(Tabela3[[#This Row],[Custo Total]]/Tabela3[[#This Row],[Aluminio Util]],0)</f>
        <v>23.279103752733796</v>
      </c>
      <c r="J46" s="35">
        <f ca="1">Tabela3[[#This Row],[Custo Total]]/Tabela3[[#This Row],[Realizado]]</f>
        <v>12.407762300207114</v>
      </c>
      <c r="K46" s="37">
        <f>IFERROR(Tabela3[[#This Row],[Qtde Cx Produzida]]/Tabela3[[#This Row],[Tempo]]/24,0)</f>
        <v>7.9787234042553186</v>
      </c>
      <c r="L46" s="37">
        <f>Tabela3[[#This Row],[Qtde Cx Produzida]]*Tabela3[[#This Row],[Qdt Peça Placa]]</f>
        <v>100</v>
      </c>
      <c r="M46" s="37">
        <f>Tabela3[[#This Row],[Previsto]]-Tabela3[[#This Row],[Perda Pçs]]</f>
        <v>100</v>
      </c>
      <c r="N46" s="38">
        <f>IFERROR(Tabela3[[#This Row],[Perda Pçs]]/Tabela3[[#This Row],[Previsto]],0)</f>
        <v>0</v>
      </c>
      <c r="O46" s="39">
        <f>IFERROR(IF(Tabela3[[#This Row],[Qtde Cx Produzida]] &lt;&gt; 0, Tabela3[[#This Row],[Tempo]] / Tabela3[[#This Row],[Qtde Cx Produzida]], 0),0)</f>
        <v>5.2222222222222227E-3</v>
      </c>
      <c r="P46" s="57">
        <f>IFERROR(Tabela3[[#This Row],[Perda Pçs]]/Tabela3[[#This Row],[Qdt Peça Placa]],0)</f>
        <v>0</v>
      </c>
      <c r="Q46" s="37">
        <f>IFERROR(Tabela3[[#This Row],[Realizado]]*Tabela3[[#This Row],[Peso Util/Pç]],0)</f>
        <v>53.300000000000004</v>
      </c>
      <c r="R46" s="37">
        <f>IFERROR(Tabela3[[#This Row],[Peso Total Galho]]*Tabela3[[#This Row],[Qtde Cx Produzida]]*1.055,0)</f>
        <v>87.037499999999994</v>
      </c>
      <c r="S46" s="37">
        <f>(Tabela3[[#This Row],[Aluminio Bruto]]-Tabela3[[#This Row],[Aluminio Util]])*0.9</f>
        <v>30.363749999999992</v>
      </c>
      <c r="T46" s="37">
        <f>Tabela3[[#This Row],[Aluminio Bruto]]/OleoKGAluminio</f>
        <v>36.616563711593699</v>
      </c>
      <c r="U46" s="35">
        <f>IFERROR((VLOOKUP(Tabela3[[#This Row],[Moldador]],Tabela1[],5,)+(VLOOKUP(Tabela3[[#This Row],[Ajudante]],Tabela1[],5,))*3.5),0)</f>
        <v>99.95034583333333</v>
      </c>
      <c r="V46" s="35">
        <f>IFERROR(Tabela3[[#This Row],[Custo M.O. / H]]/((Tabela3[[#This Row],[Realizado]]/Tabela3[[#This Row],[Qdt Peça Placa]])/Tabela3[[#This Row],[Tempo]]/24),)</f>
        <v>12.527110011111112</v>
      </c>
      <c r="W46" s="35">
        <f>Tabela3[[#This Row],[Custo / Cx Moldada]]*Tabela3[[#This Row],[Qtde Cx Produzida]]</f>
        <v>313.17775027777782</v>
      </c>
      <c r="X46" s="35">
        <f ca="1">Tabela3[[#This Row],[Aluminio Util]]*Tabela3[[#This Row],[Custo/Kg]]</f>
        <v>831.48000000000013</v>
      </c>
      <c r="Y46" s="35">
        <f>IFERROR(VLOOKUP(Tabela3[[#This Row],[Data]],Tabela461213[],2,1)*(Tabela3[[#This Row],[Qtde Cx Produzida]]*Tabela3[[#This Row],[Qde macho / CX]]*Tabela3[[#This Row],[Peso Macho]]),)</f>
        <v>0</v>
      </c>
      <c r="Z46" s="35">
        <f>IFERROR(Tabela3[[#This Row],[Qtde Oleo]]*(VLOOKUP(Tabela3[[#This Row],[Data]],CompraOleo[],3,TRUE))*1.05,0)</f>
        <v>96.118479742933459</v>
      </c>
      <c r="AA46" s="47">
        <f ca="1">(Tabela3[[#This Row],[Custo Oleo]]+Tabela3[[#This Row],[Custo Aluminio]]+Tabela3[[#This Row],[Custo M.O. Total]]+Tabela3[[#This Row],[Custo Machos]])</f>
        <v>1240.7762300207114</v>
      </c>
      <c r="AB46" s="47">
        <f ca="1">Tabela3[[#This Row],[Custo Total]]*Tabela3[[#This Row],[% Perda]]</f>
        <v>0</v>
      </c>
      <c r="AC46" s="48">
        <f>IFERROR(VLOOKUP(Tabela3[[#This Row],[Produto]],Tabela2[],2,0),0)</f>
        <v>4</v>
      </c>
      <c r="AD46" s="48">
        <f>IFERROR(VLOOKUP(Tabela3[[#This Row],[Produto]],Tabela2[],3,0),0)</f>
        <v>0.53300000000000003</v>
      </c>
      <c r="AE46" s="48">
        <f>IFERROR(VLOOKUP(Tabela3[[#This Row],[Produto]],Tabela2[],4,0),0)</f>
        <v>3.3</v>
      </c>
      <c r="AF46" s="48">
        <f>IFERROR(VLOOKUP(Tabela3[[#This Row],[Produto]],Tabela2[],5,0),0)</f>
        <v>1.0511999999999997</v>
      </c>
      <c r="AG46" s="40">
        <f>IFERROR(VLOOKUP(Tabela3[[#This Row],[Produto]],Tabela2[],6,0),0)</f>
        <v>0</v>
      </c>
      <c r="AH46" s="40">
        <f>IFERROR(VLOOKUP(Tabela3[[#This Row],[Produto]],Tabela2[],7,0),0)</f>
        <v>0</v>
      </c>
      <c r="AI46" s="40">
        <f>IFERROR(VLOOKUP(Tabela3[[#This Row],[Produto]],Tabela2[],8,0),0)</f>
        <v>0</v>
      </c>
      <c r="AJ46" s="35">
        <f ca="1">IFERROR(VLOOKUP(Tabela3[[#This Row],[Produto]],Tabela2[],13,0),0)</f>
        <v>15.600000000000001</v>
      </c>
      <c r="AK46" s="40" t="str">
        <f>IFERROR(VLOOKUP(Tabela3[[#This Row],[Produto]],Tabela2[],14,0),0)</f>
        <v>Senun</v>
      </c>
      <c r="AL46" s="40">
        <f>IFERROR(VLOOKUP(Tabela3[[#This Row],[Produto]],Tabela2[],15,0),0)</f>
        <v>4</v>
      </c>
      <c r="AM46" s="36">
        <f ca="1">(Tabela3[[#This Row],[Custo Usinagem]]+Tabela3[[#This Row],[Custo / Pç]])*1.2</f>
        <v>19.689314760248536</v>
      </c>
      <c r="AN46" s="36">
        <f ca="1">Tabela3[[#This Row],[Valor Mínimo Venda]]*1.15</f>
        <v>22.642711974285813</v>
      </c>
      <c r="AO46" s="36">
        <f ca="1">Tabela3[[#This Row],[Tabela 1]]*1.08</f>
        <v>24.454128932228681</v>
      </c>
      <c r="AP46" s="36">
        <f ca="1">Tabela3[[#This Row],[Tabela 2]]*1.15</f>
        <v>28.122248272062979</v>
      </c>
    </row>
    <row r="47" spans="1:42">
      <c r="A47" s="9">
        <v>45707</v>
      </c>
      <c r="B47" s="6" t="s">
        <v>135</v>
      </c>
      <c r="C47" s="14">
        <v>5427</v>
      </c>
      <c r="D47" s="6" t="s">
        <v>44</v>
      </c>
      <c r="E47" s="6" t="s">
        <v>47</v>
      </c>
      <c r="F47" s="6">
        <v>20</v>
      </c>
      <c r="G47" s="15">
        <v>9.5138888888888884E-2</v>
      </c>
      <c r="H47" s="16">
        <v>0</v>
      </c>
      <c r="I47" s="35">
        <f ca="1">IFERROR(Tabela3[[#This Row],[Custo Total]]/Tabela3[[#This Row],[Aluminio Util]],0)</f>
        <v>26.358855753556519</v>
      </c>
      <c r="J47" s="35">
        <f ca="1">Tabela3[[#This Row],[Custo Total]]/Tabela3[[#This Row],[Realizado]]</f>
        <v>46.655174683795039</v>
      </c>
      <c r="K47" s="37">
        <f>IFERROR(Tabela3[[#This Row],[Qtde Cx Produzida]]/Tabela3[[#This Row],[Tempo]]/24,0)</f>
        <v>8.7591240875912408</v>
      </c>
      <c r="L47" s="37">
        <f>Tabela3[[#This Row],[Qtde Cx Produzida]]*Tabela3[[#This Row],[Qdt Peça Placa]]</f>
        <v>20</v>
      </c>
      <c r="M47" s="37">
        <f>Tabela3[[#This Row],[Previsto]]-Tabela3[[#This Row],[Perda Pçs]]</f>
        <v>20</v>
      </c>
      <c r="N47" s="38">
        <f>IFERROR(Tabela3[[#This Row],[Perda Pçs]]/Tabela3[[#This Row],[Previsto]],0)</f>
        <v>0</v>
      </c>
      <c r="O47" s="39">
        <f>IFERROR(IF(Tabela3[[#This Row],[Qtde Cx Produzida]] &lt;&gt; 0, Tabela3[[#This Row],[Tempo]] / Tabela3[[#This Row],[Qtde Cx Produzida]], 0),0)</f>
        <v>4.7569444444444439E-3</v>
      </c>
      <c r="P47" s="57">
        <f>IFERROR(Tabela3[[#This Row],[Perda Pçs]]/Tabela3[[#This Row],[Qdt Peça Placa]],0)</f>
        <v>0</v>
      </c>
      <c r="Q47" s="37">
        <f>IFERROR(Tabela3[[#This Row],[Realizado]]*Tabela3[[#This Row],[Peso Util/Pç]],0)</f>
        <v>35.4</v>
      </c>
      <c r="R47" s="37">
        <f>IFERROR(Tabela3[[#This Row],[Peso Total Galho]]*Tabela3[[#This Row],[Qtde Cx Produzida]]*1.055,0)</f>
        <v>66.042999999999992</v>
      </c>
      <c r="S47" s="37">
        <f>(Tabela3[[#This Row],[Aluminio Bruto]]-Tabela3[[#This Row],[Aluminio Util]])*0.9</f>
        <v>27.578699999999994</v>
      </c>
      <c r="T47" s="37">
        <f>Tabela3[[#This Row],[Aluminio Bruto]]/OleoKGAluminio</f>
        <v>27.784204707221399</v>
      </c>
      <c r="U47" s="35">
        <f>IFERROR((VLOOKUP(Tabela3[[#This Row],[Moldador]],Tabela1[],5,)+(VLOOKUP(Tabela3[[#This Row],[Ajudante]],Tabela1[],5,))*3.5),0)</f>
        <v>99.95034583333333</v>
      </c>
      <c r="V47" s="35">
        <f>IFERROR(Tabela3[[#This Row],[Custo M.O. / H]]/((Tabela3[[#This Row],[Realizado]]/Tabela3[[#This Row],[Qdt Peça Placa]])/Tabela3[[#This Row],[Tempo]]/24),)</f>
        <v>11.410997815972221</v>
      </c>
      <c r="W47" s="35">
        <f>Tabela3[[#This Row],[Custo / Cx Moldada]]*Tabela3[[#This Row],[Qtde Cx Produzida]]</f>
        <v>228.21995631944444</v>
      </c>
      <c r="X47" s="35">
        <f ca="1">Tabela3[[#This Row],[Aluminio Util]]*Tabela3[[#This Row],[Custo/Kg]]</f>
        <v>552.24</v>
      </c>
      <c r="Y47" s="35">
        <f>IFERROR(VLOOKUP(Tabela3[[#This Row],[Data]],Tabela461213[],2,1)*(Tabela3[[#This Row],[Qtde Cx Produzida]]*Tabela3[[#This Row],[Qde macho / CX]]*Tabela3[[#This Row],[Peso Macho]]),)</f>
        <v>79.710000000000008</v>
      </c>
      <c r="Z47" s="35">
        <f>IFERROR(Tabela3[[#This Row],[Qtde Oleo]]*(VLOOKUP(Tabela3[[#This Row],[Data]],CompraOleo[],3,TRUE))*1.05,0)</f>
        <v>72.933537356456171</v>
      </c>
      <c r="AA47" s="47">
        <f ca="1">(Tabela3[[#This Row],[Custo Oleo]]+Tabela3[[#This Row],[Custo Aluminio]]+Tabela3[[#This Row],[Custo M.O. Total]]+Tabela3[[#This Row],[Custo Machos]])</f>
        <v>933.10349367590072</v>
      </c>
      <c r="AB47" s="47">
        <f ca="1">Tabela3[[#This Row],[Custo Total]]*Tabela3[[#This Row],[% Perda]]</f>
        <v>0</v>
      </c>
      <c r="AC47" s="48">
        <f>IFERROR(VLOOKUP(Tabela3[[#This Row],[Produto]],Tabela2[],2,0),0)</f>
        <v>1</v>
      </c>
      <c r="AD47" s="48">
        <f>IFERROR(VLOOKUP(Tabela3[[#This Row],[Produto]],Tabela2[],3,0),0)</f>
        <v>1.77</v>
      </c>
      <c r="AE47" s="48">
        <f>IFERROR(VLOOKUP(Tabela3[[#This Row],[Produto]],Tabela2[],4,0),0)</f>
        <v>3.13</v>
      </c>
      <c r="AF47" s="48">
        <f>IFERROR(VLOOKUP(Tabela3[[#This Row],[Produto]],Tabela2[],5,0),0)</f>
        <v>1.224</v>
      </c>
      <c r="AG47" s="40">
        <f>IFERROR(VLOOKUP(Tabela3[[#This Row],[Produto]],Tabela2[],6,0),0)</f>
        <v>0</v>
      </c>
      <c r="AH47" s="40">
        <f>IFERROR(VLOOKUP(Tabela3[[#This Row],[Produto]],Tabela2[],7,0),0)</f>
        <v>1</v>
      </c>
      <c r="AI47" s="40">
        <f>IFERROR(VLOOKUP(Tabela3[[#This Row],[Produto]],Tabela2[],8,0),0)</f>
        <v>2.657</v>
      </c>
      <c r="AJ47" s="35">
        <f ca="1">IFERROR(VLOOKUP(Tabela3[[#This Row],[Produto]],Tabela2[],13,0),0)</f>
        <v>15.600000000000001</v>
      </c>
      <c r="AK47" s="40" t="str">
        <f>IFERROR(VLOOKUP(Tabela3[[#This Row],[Produto]],Tabela2[],14,0),0)</f>
        <v>Jumil</v>
      </c>
      <c r="AL47" s="40">
        <f>IFERROR(VLOOKUP(Tabela3[[#This Row],[Produto]],Tabela2[],15,0),0)</f>
        <v>10</v>
      </c>
      <c r="AM47" s="36">
        <f ca="1">(Tabela3[[#This Row],[Custo Usinagem]]+Tabela3[[#This Row],[Custo / Pç]])*1.2</f>
        <v>67.98620962055405</v>
      </c>
      <c r="AN47" s="36">
        <f ca="1">Tabela3[[#This Row],[Valor Mínimo Venda]]*1.15</f>
        <v>78.184141063637156</v>
      </c>
      <c r="AO47" s="36">
        <f ca="1">Tabela3[[#This Row],[Tabela 1]]*1.08</f>
        <v>84.43887234872814</v>
      </c>
      <c r="AP47" s="36">
        <f ca="1">Tabela3[[#This Row],[Tabela 2]]*1.15</f>
        <v>97.104703201037353</v>
      </c>
    </row>
    <row r="48" spans="1:42">
      <c r="A48" s="9">
        <v>45707</v>
      </c>
      <c r="B48" s="6" t="s">
        <v>124</v>
      </c>
      <c r="C48" s="14">
        <v>5510</v>
      </c>
      <c r="D48" s="6" t="s">
        <v>44</v>
      </c>
      <c r="E48" s="6" t="s">
        <v>47</v>
      </c>
      <c r="F48" s="6">
        <v>26</v>
      </c>
      <c r="G48" s="15">
        <v>0.11527777777777778</v>
      </c>
      <c r="H48" s="16">
        <v>0</v>
      </c>
      <c r="I48" s="35">
        <f ca="1">IFERROR(Tabela3[[#This Row],[Custo Total]]/Tabela3[[#This Row],[Aluminio Util]],0)</f>
        <v>23.954620502247963</v>
      </c>
      <c r="J48" s="35">
        <f ca="1">Tabela3[[#This Row],[Custo Total]]/Tabela3[[#This Row],[Realizado]]</f>
        <v>40.483308648799053</v>
      </c>
      <c r="K48" s="37">
        <f>IFERROR(Tabela3[[#This Row],[Qtde Cx Produzida]]/Tabela3[[#This Row],[Tempo]]/24,0)</f>
        <v>9.3975903614457827</v>
      </c>
      <c r="L48" s="37">
        <f>Tabela3[[#This Row],[Qtde Cx Produzida]]*Tabela3[[#This Row],[Qdt Peça Placa]]</f>
        <v>26</v>
      </c>
      <c r="M48" s="37">
        <f>Tabela3[[#This Row],[Previsto]]-Tabela3[[#This Row],[Perda Pçs]]</f>
        <v>26</v>
      </c>
      <c r="N48" s="38">
        <f>IFERROR(Tabela3[[#This Row],[Perda Pçs]]/Tabela3[[#This Row],[Previsto]],0)</f>
        <v>0</v>
      </c>
      <c r="O48" s="39">
        <f>IFERROR(IF(Tabela3[[#This Row],[Qtde Cx Produzida]] &lt;&gt; 0, Tabela3[[#This Row],[Tempo]] / Tabela3[[#This Row],[Qtde Cx Produzida]], 0),0)</f>
        <v>4.4337606837606836E-3</v>
      </c>
      <c r="P48" s="57">
        <f>IFERROR(Tabela3[[#This Row],[Perda Pçs]]/Tabela3[[#This Row],[Qdt Peça Placa]],0)</f>
        <v>0</v>
      </c>
      <c r="Q48" s="37">
        <f>IFERROR(Tabela3[[#This Row],[Realizado]]*Tabela3[[#This Row],[Peso Util/Pç]],0)</f>
        <v>43.94</v>
      </c>
      <c r="R48" s="37">
        <f>IFERROR(Tabela3[[#This Row],[Peso Total Galho]]*Tabela3[[#This Row],[Qtde Cx Produzida]]*1.055,0)</f>
        <v>82.01570000000001</v>
      </c>
      <c r="S48" s="37">
        <f>(Tabela3[[#This Row],[Aluminio Bruto]]-Tabela3[[#This Row],[Aluminio Util]])*0.9</f>
        <v>34.268130000000014</v>
      </c>
      <c r="T48" s="37">
        <f>Tabela3[[#This Row],[Aluminio Bruto]]/OleoKGAluminio</f>
        <v>34.503898944718728</v>
      </c>
      <c r="U48" s="35">
        <f>IFERROR((VLOOKUP(Tabela3[[#This Row],[Moldador]],Tabela1[],5,)+(VLOOKUP(Tabela3[[#This Row],[Ajudante]],Tabela1[],5,))*3.5),0)</f>
        <v>99.95034583333333</v>
      </c>
      <c r="V48" s="35">
        <f>IFERROR(Tabela3[[#This Row],[Custo M.O. / H]]/((Tabela3[[#This Row],[Realizado]]/Tabela3[[#This Row],[Qdt Peça Placa]])/Tabela3[[#This Row],[Tempo]]/24),)</f>
        <v>10.635741928418803</v>
      </c>
      <c r="W48" s="35">
        <f>Tabela3[[#This Row],[Custo / Cx Moldada]]*Tabela3[[#This Row],[Qtde Cx Produzida]]</f>
        <v>276.52929013888888</v>
      </c>
      <c r="X48" s="35">
        <f ca="1">Tabela3[[#This Row],[Aluminio Util]]*Tabela3[[#This Row],[Custo/Kg]]</f>
        <v>685.46400000000006</v>
      </c>
      <c r="Y48" s="35">
        <f>IFERROR(VLOOKUP(Tabela3[[#This Row],[Data]],Tabela461213[],2,1)*(Tabela3[[#This Row],[Qtde Cx Produzida]]*Tabela3[[#This Row],[Qde macho / CX]]*Tabela3[[#This Row],[Peso Macho]]),)</f>
        <v>0</v>
      </c>
      <c r="Z48" s="35">
        <f>IFERROR(Tabela3[[#This Row],[Qtde Oleo]]*(VLOOKUP(Tabela3[[#This Row],[Data]],CompraOleo[],3,TRUE))*1.05,0)</f>
        <v>90.572734729886676</v>
      </c>
      <c r="AA48" s="47">
        <f ca="1">(Tabela3[[#This Row],[Custo Oleo]]+Tabela3[[#This Row],[Custo Aluminio]]+Tabela3[[#This Row],[Custo M.O. Total]]+Tabela3[[#This Row],[Custo Machos]])</f>
        <v>1052.5660248687755</v>
      </c>
      <c r="AB48" s="47">
        <f ca="1">Tabela3[[#This Row],[Custo Total]]*Tabela3[[#This Row],[% Perda]]</f>
        <v>0</v>
      </c>
      <c r="AC48" s="48">
        <f>IFERROR(VLOOKUP(Tabela3[[#This Row],[Produto]],Tabela2[],2,0),0)</f>
        <v>1</v>
      </c>
      <c r="AD48" s="48">
        <f>IFERROR(VLOOKUP(Tabela3[[#This Row],[Produto]],Tabela2[],3,0),0)</f>
        <v>1.69</v>
      </c>
      <c r="AE48" s="48">
        <f>IFERROR(VLOOKUP(Tabela3[[#This Row],[Produto]],Tabela2[],4,0),0)</f>
        <v>2.99</v>
      </c>
      <c r="AF48" s="48">
        <f>IFERROR(VLOOKUP(Tabela3[[#This Row],[Produto]],Tabela2[],5,0),0)</f>
        <v>1.1700000000000004</v>
      </c>
      <c r="AG48" s="40">
        <f>IFERROR(VLOOKUP(Tabela3[[#This Row],[Produto]],Tabela2[],6,0),0)</f>
        <v>0</v>
      </c>
      <c r="AH48" s="40">
        <f>IFERROR(VLOOKUP(Tabela3[[#This Row],[Produto]],Tabela2[],7,0),0)</f>
        <v>0</v>
      </c>
      <c r="AI48" s="40">
        <f>IFERROR(VLOOKUP(Tabela3[[#This Row],[Produto]],Tabela2[],8,0),0)</f>
        <v>0</v>
      </c>
      <c r="AJ48" s="35">
        <f ca="1">IFERROR(VLOOKUP(Tabela3[[#This Row],[Produto]],Tabela2[],13,0),0)</f>
        <v>15.600000000000001</v>
      </c>
      <c r="AK48" s="40" t="str">
        <f>IFERROR(VLOOKUP(Tabela3[[#This Row],[Produto]],Tabela2[],14,0),0)</f>
        <v>Jumil</v>
      </c>
      <c r="AL48" s="40">
        <f>IFERROR(VLOOKUP(Tabela3[[#This Row],[Produto]],Tabela2[],15,0),0)</f>
        <v>8</v>
      </c>
      <c r="AM48" s="36">
        <f ca="1">(Tabela3[[#This Row],[Custo Usinagem]]+Tabela3[[#This Row],[Custo / Pç]])*1.2</f>
        <v>58.179970378558863</v>
      </c>
      <c r="AN48" s="36">
        <f ca="1">Tabela3[[#This Row],[Valor Mínimo Venda]]*1.15</f>
        <v>66.906965935342683</v>
      </c>
      <c r="AO48" s="36">
        <f ca="1">Tabela3[[#This Row],[Tabela 1]]*1.08</f>
        <v>72.259523210170101</v>
      </c>
      <c r="AP48" s="36">
        <f ca="1">Tabela3[[#This Row],[Tabela 2]]*1.15</f>
        <v>83.098451691695615</v>
      </c>
    </row>
    <row r="49" spans="1:42">
      <c r="A49" s="9">
        <v>45708</v>
      </c>
      <c r="B49" s="6" t="s">
        <v>124</v>
      </c>
      <c r="C49" s="14">
        <v>5510</v>
      </c>
      <c r="D49" s="6" t="s">
        <v>44</v>
      </c>
      <c r="E49" s="6" t="s">
        <v>47</v>
      </c>
      <c r="F49" s="6">
        <v>54</v>
      </c>
      <c r="G49" s="15">
        <v>0.23333333333333334</v>
      </c>
      <c r="H49" s="16">
        <v>0</v>
      </c>
      <c r="I49" s="35">
        <f ca="1">IFERROR(Tabela3[[#This Row],[Custo Total]]/Tabela3[[#This Row],[Aluminio Util]],0)</f>
        <v>23.794548976191109</v>
      </c>
      <c r="J49" s="35">
        <f ca="1">Tabela3[[#This Row],[Custo Total]]/Tabela3[[#This Row],[Realizado]]</f>
        <v>40.212787769762969</v>
      </c>
      <c r="K49" s="37">
        <f>IFERROR(Tabela3[[#This Row],[Qtde Cx Produzida]]/Tabela3[[#This Row],[Tempo]]/24,0)</f>
        <v>9.6428571428571423</v>
      </c>
      <c r="L49" s="37">
        <f>Tabela3[[#This Row],[Qtde Cx Produzida]]*Tabela3[[#This Row],[Qdt Peça Placa]]</f>
        <v>54</v>
      </c>
      <c r="M49" s="37">
        <f>Tabela3[[#This Row],[Previsto]]-Tabela3[[#This Row],[Perda Pçs]]</f>
        <v>54</v>
      </c>
      <c r="N49" s="38">
        <f>IFERROR(Tabela3[[#This Row],[Perda Pçs]]/Tabela3[[#This Row],[Previsto]],0)</f>
        <v>0</v>
      </c>
      <c r="O49" s="39">
        <f>IFERROR(IF(Tabela3[[#This Row],[Qtde Cx Produzida]] &lt;&gt; 0, Tabela3[[#This Row],[Tempo]] / Tabela3[[#This Row],[Qtde Cx Produzida]], 0),0)</f>
        <v>4.3209876543209881E-3</v>
      </c>
      <c r="P49" s="57">
        <f>IFERROR(Tabela3[[#This Row],[Perda Pçs]]/Tabela3[[#This Row],[Qdt Peça Placa]],0)</f>
        <v>0</v>
      </c>
      <c r="Q49" s="37">
        <f>IFERROR(Tabela3[[#This Row],[Realizado]]*Tabela3[[#This Row],[Peso Util/Pç]],0)</f>
        <v>91.259999999999991</v>
      </c>
      <c r="R49" s="37">
        <f>IFERROR(Tabela3[[#This Row],[Peso Total Galho]]*Tabela3[[#This Row],[Qtde Cx Produzida]]*1.055,0)</f>
        <v>170.34029999999998</v>
      </c>
      <c r="S49" s="37">
        <f>(Tabela3[[#This Row],[Aluminio Bruto]]-Tabela3[[#This Row],[Aluminio Util]])*0.9</f>
        <v>71.172269999999997</v>
      </c>
      <c r="T49" s="37">
        <f>Tabela3[[#This Row],[Aluminio Bruto]]/OleoKGAluminio</f>
        <v>71.661943962108111</v>
      </c>
      <c r="U49" s="35">
        <f>IFERROR((VLOOKUP(Tabela3[[#This Row],[Moldador]],Tabela1[],5,)+(VLOOKUP(Tabela3[[#This Row],[Ajudante]],Tabela1[],5,))*3.5),0)</f>
        <v>99.95034583333333</v>
      </c>
      <c r="V49" s="35">
        <f>IFERROR(Tabela3[[#This Row],[Custo M.O. / H]]/((Tabela3[[#This Row],[Realizado]]/Tabela3[[#This Row],[Qdt Peça Placa]])/Tabela3[[#This Row],[Tempo]]/24),)</f>
        <v>10.365221049382717</v>
      </c>
      <c r="W49" s="35">
        <f>Tabela3[[#This Row],[Custo / Cx Moldada]]*Tabela3[[#This Row],[Qtde Cx Produzida]]</f>
        <v>559.72193666666669</v>
      </c>
      <c r="X49" s="35">
        <f ca="1">Tabela3[[#This Row],[Aluminio Util]]*Tabela3[[#This Row],[Custo/Kg]]</f>
        <v>1423.6559999999999</v>
      </c>
      <c r="Y49" s="35">
        <f>IFERROR(VLOOKUP(Tabela3[[#This Row],[Data]],Tabela461213[],2,1)*(Tabela3[[#This Row],[Qtde Cx Produzida]]*Tabela3[[#This Row],[Qde macho / CX]]*Tabela3[[#This Row],[Peso Macho]]),)</f>
        <v>0</v>
      </c>
      <c r="Z49" s="35">
        <f>IFERROR(Tabela3[[#This Row],[Qtde Oleo]]*(VLOOKUP(Tabela3[[#This Row],[Data]],CompraOleo[],3,TRUE))*1.05,0)</f>
        <v>188.1126029005338</v>
      </c>
      <c r="AA49" s="47">
        <f ca="1">(Tabela3[[#This Row],[Custo Oleo]]+Tabela3[[#This Row],[Custo Aluminio]]+Tabela3[[#This Row],[Custo M.O. Total]]+Tabela3[[#This Row],[Custo Machos]])</f>
        <v>2171.4905395672004</v>
      </c>
      <c r="AB49" s="47">
        <f ca="1">Tabela3[[#This Row],[Custo Total]]*Tabela3[[#This Row],[% Perda]]</f>
        <v>0</v>
      </c>
      <c r="AC49" s="48">
        <f>IFERROR(VLOOKUP(Tabela3[[#This Row],[Produto]],Tabela2[],2,0),0)</f>
        <v>1</v>
      </c>
      <c r="AD49" s="48">
        <f>IFERROR(VLOOKUP(Tabela3[[#This Row],[Produto]],Tabela2[],3,0),0)</f>
        <v>1.69</v>
      </c>
      <c r="AE49" s="48">
        <f>IFERROR(VLOOKUP(Tabela3[[#This Row],[Produto]],Tabela2[],4,0),0)</f>
        <v>2.99</v>
      </c>
      <c r="AF49" s="48">
        <f>IFERROR(VLOOKUP(Tabela3[[#This Row],[Produto]],Tabela2[],5,0),0)</f>
        <v>1.1700000000000004</v>
      </c>
      <c r="AG49" s="40">
        <f>IFERROR(VLOOKUP(Tabela3[[#This Row],[Produto]],Tabela2[],6,0),0)</f>
        <v>0</v>
      </c>
      <c r="AH49" s="40">
        <f>IFERROR(VLOOKUP(Tabela3[[#This Row],[Produto]],Tabela2[],7,0),0)</f>
        <v>0</v>
      </c>
      <c r="AI49" s="40">
        <f>IFERROR(VLOOKUP(Tabela3[[#This Row],[Produto]],Tabela2[],8,0),0)</f>
        <v>0</v>
      </c>
      <c r="AJ49" s="35">
        <f ca="1">IFERROR(VLOOKUP(Tabela3[[#This Row],[Produto]],Tabela2[],13,0),0)</f>
        <v>15.600000000000001</v>
      </c>
      <c r="AK49" s="40" t="str">
        <f>IFERROR(VLOOKUP(Tabela3[[#This Row],[Produto]],Tabela2[],14,0),0)</f>
        <v>Jumil</v>
      </c>
      <c r="AL49" s="40">
        <f>IFERROR(VLOOKUP(Tabela3[[#This Row],[Produto]],Tabela2[],15,0),0)</f>
        <v>8</v>
      </c>
      <c r="AM49" s="36">
        <f ca="1">(Tabela3[[#This Row],[Custo Usinagem]]+Tabela3[[#This Row],[Custo / Pç]])*1.2</f>
        <v>57.855345323715561</v>
      </c>
      <c r="AN49" s="36">
        <f ca="1">Tabela3[[#This Row],[Valor Mínimo Venda]]*1.15</f>
        <v>66.533647122272896</v>
      </c>
      <c r="AO49" s="36">
        <f ca="1">Tabela3[[#This Row],[Tabela 1]]*1.08</f>
        <v>71.856338892054737</v>
      </c>
      <c r="AP49" s="36">
        <f ca="1">Tabela3[[#This Row],[Tabela 2]]*1.15</f>
        <v>82.634789725862944</v>
      </c>
    </row>
    <row r="50" spans="1:42">
      <c r="A50" s="9">
        <v>45708</v>
      </c>
      <c r="B50" s="6" t="s">
        <v>257</v>
      </c>
      <c r="C50" s="14">
        <v>5650</v>
      </c>
      <c r="D50" s="6" t="s">
        <v>44</v>
      </c>
      <c r="E50" s="6" t="s">
        <v>47</v>
      </c>
      <c r="F50" s="6">
        <v>1</v>
      </c>
      <c r="G50" s="15">
        <v>8.3333333333333332E-3</v>
      </c>
      <c r="H50" s="16">
        <v>0</v>
      </c>
      <c r="I50" s="35">
        <f ca="1">IFERROR(Tabela3[[#This Row],[Custo Total]]/Tabela3[[#This Row],[Aluminio Util]],0)</f>
        <v>38.153228626478224</v>
      </c>
      <c r="J50" s="35">
        <f ca="1">Tabela3[[#This Row],[Custo Total]]/Tabela3[[#This Row],[Realizado]]</f>
        <v>4.769153578309778</v>
      </c>
      <c r="K50" s="37">
        <f>IFERROR(Tabela3[[#This Row],[Qtde Cx Produzida]]/Tabela3[[#This Row],[Tempo]]/24,0)</f>
        <v>5</v>
      </c>
      <c r="L50" s="37">
        <f>Tabela3[[#This Row],[Qtde Cx Produzida]]*Tabela3[[#This Row],[Qdt Peça Placa]]</f>
        <v>8</v>
      </c>
      <c r="M50" s="37">
        <f>Tabela3[[#This Row],[Previsto]]-Tabela3[[#This Row],[Perda Pçs]]</f>
        <v>8</v>
      </c>
      <c r="N50" s="38">
        <f>IFERROR(Tabela3[[#This Row],[Perda Pçs]]/Tabela3[[#This Row],[Previsto]],0)</f>
        <v>0</v>
      </c>
      <c r="O50" s="39">
        <f>IFERROR(IF(Tabela3[[#This Row],[Qtde Cx Produzida]] &lt;&gt; 0, Tabela3[[#This Row],[Tempo]] / Tabela3[[#This Row],[Qtde Cx Produzida]], 0),0)</f>
        <v>8.3333333333333332E-3</v>
      </c>
      <c r="P50" s="57">
        <f>IFERROR(Tabela3[[#This Row],[Perda Pçs]]/Tabela3[[#This Row],[Qdt Peça Placa]],0)</f>
        <v>0</v>
      </c>
      <c r="Q50" s="37">
        <f>IFERROR(Tabela3[[#This Row],[Realizado]]*Tabela3[[#This Row],[Peso Util/Pç]],0)</f>
        <v>1</v>
      </c>
      <c r="R50" s="37">
        <f>IFERROR(Tabela3[[#This Row],[Peso Total Galho]]*Tabela3[[#This Row],[Qtde Cx Produzida]]*1.055,0)</f>
        <v>2.3210000000000002</v>
      </c>
      <c r="S50" s="37">
        <f>(Tabela3[[#This Row],[Aluminio Bruto]]-Tabela3[[#This Row],[Aluminio Util]])*0.9</f>
        <v>1.1889000000000003</v>
      </c>
      <c r="T50" s="37">
        <f>Tabela3[[#This Row],[Aluminio Bruto]]/OleoKGAluminio</f>
        <v>0.97644169897583211</v>
      </c>
      <c r="U50" s="35">
        <f>IFERROR((VLOOKUP(Tabela3[[#This Row],[Moldador]],Tabela1[],5,)+(VLOOKUP(Tabela3[[#This Row],[Ajudante]],Tabela1[],5,))*3.5),0)</f>
        <v>99.95034583333333</v>
      </c>
      <c r="V50" s="35">
        <f>IFERROR(Tabela3[[#This Row],[Custo M.O. / H]]/((Tabela3[[#This Row],[Realizado]]/Tabela3[[#This Row],[Qdt Peça Placa]])/Tabela3[[#This Row],[Tempo]]/24),)</f>
        <v>19.990069166666665</v>
      </c>
      <c r="W50" s="35">
        <f>Tabela3[[#This Row],[Custo / Cx Moldada]]*Tabela3[[#This Row],[Qtde Cx Produzida]]</f>
        <v>19.990069166666665</v>
      </c>
      <c r="X50" s="35">
        <f ca="1">Tabela3[[#This Row],[Aluminio Util]]*Tabela3[[#This Row],[Custo/Kg]]</f>
        <v>15.600000000000001</v>
      </c>
      <c r="Y50" s="35">
        <f>IFERROR(VLOOKUP(Tabela3[[#This Row],[Data]],Tabela461213[],2,1)*(Tabela3[[#This Row],[Qtde Cx Produzida]]*Tabela3[[#This Row],[Qde macho / CX]]*Tabela3[[#This Row],[Peso Macho]]),)</f>
        <v>0</v>
      </c>
      <c r="Z50" s="35">
        <f>IFERROR(Tabela3[[#This Row],[Qtde Oleo]]*(VLOOKUP(Tabela3[[#This Row],[Data]],CompraOleo[],3,TRUE))*1.05,0)</f>
        <v>2.5631594598115592</v>
      </c>
      <c r="AA50" s="47">
        <f ca="1">(Tabela3[[#This Row],[Custo Oleo]]+Tabela3[[#This Row],[Custo Aluminio]]+Tabela3[[#This Row],[Custo M.O. Total]]+Tabela3[[#This Row],[Custo Machos]])</f>
        <v>38.153228626478224</v>
      </c>
      <c r="AB50" s="47">
        <f ca="1">Tabela3[[#This Row],[Custo Total]]*Tabela3[[#This Row],[% Perda]]</f>
        <v>0</v>
      </c>
      <c r="AC50" s="48">
        <f>IFERROR(VLOOKUP(Tabela3[[#This Row],[Produto]],Tabela2[],2,0),0)</f>
        <v>8</v>
      </c>
      <c r="AD50" s="48">
        <f>IFERROR(VLOOKUP(Tabela3[[#This Row],[Produto]],Tabela2[],3,0),0)</f>
        <v>0.125</v>
      </c>
      <c r="AE50" s="48">
        <f>IFERROR(VLOOKUP(Tabela3[[#This Row],[Produto]],Tabela2[],4,0),0)</f>
        <v>2.2000000000000002</v>
      </c>
      <c r="AF50" s="48">
        <f>IFERROR(VLOOKUP(Tabela3[[#This Row],[Produto]],Tabela2[],5,0),0)</f>
        <v>1.0800000000000003</v>
      </c>
      <c r="AG50" s="40">
        <f>IFERROR(VLOOKUP(Tabela3[[#This Row],[Produto]],Tabela2[],6,0),0)</f>
        <v>0</v>
      </c>
      <c r="AH50" s="40">
        <f>IFERROR(VLOOKUP(Tabela3[[#This Row],[Produto]],Tabela2[],7,0),0)</f>
        <v>0</v>
      </c>
      <c r="AI50" s="40">
        <f>IFERROR(VLOOKUP(Tabela3[[#This Row],[Produto]],Tabela2[],8,0),0)</f>
        <v>0</v>
      </c>
      <c r="AJ50" s="35">
        <f ca="1">IFERROR(VLOOKUP(Tabela3[[#This Row],[Produto]],Tabela2[],13,0),0)</f>
        <v>15.600000000000001</v>
      </c>
      <c r="AK50" s="40" t="str">
        <f>IFERROR(VLOOKUP(Tabela3[[#This Row],[Produto]],Tabela2[],14,0),0)</f>
        <v>Senun</v>
      </c>
      <c r="AL50" s="40">
        <f>IFERROR(VLOOKUP(Tabela3[[#This Row],[Produto]],Tabela2[],15,0),0)</f>
        <v>7</v>
      </c>
      <c r="AM50" s="36">
        <f ca="1">(Tabela3[[#This Row],[Custo Usinagem]]+Tabela3[[#This Row],[Custo / Pç]])*1.2</f>
        <v>14.122984293971733</v>
      </c>
      <c r="AN50" s="36">
        <f ca="1">Tabela3[[#This Row],[Valor Mínimo Venda]]*1.15</f>
        <v>16.241431938067493</v>
      </c>
      <c r="AO50" s="36">
        <f ca="1">Tabela3[[#This Row],[Tabela 1]]*1.08</f>
        <v>17.540746493112891</v>
      </c>
      <c r="AP50" s="36">
        <f ca="1">Tabela3[[#This Row],[Tabela 2]]*1.15</f>
        <v>20.171858467079822</v>
      </c>
    </row>
    <row r="51" spans="1:42">
      <c r="A51" s="9">
        <v>45708</v>
      </c>
      <c r="B51" s="6" t="s">
        <v>236</v>
      </c>
      <c r="C51" s="14">
        <v>5557</v>
      </c>
      <c r="D51" s="6" t="s">
        <v>46</v>
      </c>
      <c r="E51" s="6" t="s">
        <v>53</v>
      </c>
      <c r="F51" s="6">
        <v>23</v>
      </c>
      <c r="G51" s="15">
        <v>0.11388888888888889</v>
      </c>
      <c r="H51" s="16">
        <v>3</v>
      </c>
      <c r="I51" s="35">
        <f ca="1">IFERROR(Tabela3[[#This Row],[Custo Total]]/Tabela3[[#This Row],[Aluminio Util]],0)</f>
        <v>23.864289858805186</v>
      </c>
      <c r="J51" s="35">
        <f ca="1">Tabela3[[#This Row],[Custo Total]]/Tabela3[[#This Row],[Realizado]]</f>
        <v>7.2070155373591662</v>
      </c>
      <c r="K51" s="37">
        <f>IFERROR(Tabela3[[#This Row],[Qtde Cx Produzida]]/Tabela3[[#This Row],[Tempo]]/24,0)</f>
        <v>8.4146341463414647</v>
      </c>
      <c r="L51" s="37">
        <f>Tabela3[[#This Row],[Qtde Cx Produzida]]*Tabela3[[#This Row],[Qdt Peça Placa]]</f>
        <v>138</v>
      </c>
      <c r="M51" s="37">
        <f>Tabela3[[#This Row],[Previsto]]-Tabela3[[#This Row],[Perda Pçs]]</f>
        <v>135</v>
      </c>
      <c r="N51" s="38">
        <f>IFERROR(Tabela3[[#This Row],[Perda Pçs]]/Tabela3[[#This Row],[Previsto]],0)</f>
        <v>2.1739130434782608E-2</v>
      </c>
      <c r="O51" s="39">
        <f>IFERROR(IF(Tabela3[[#This Row],[Qtde Cx Produzida]] &lt;&gt; 0, Tabela3[[#This Row],[Tempo]] / Tabela3[[#This Row],[Qtde Cx Produzida]], 0),0)</f>
        <v>4.9516908212560388E-3</v>
      </c>
      <c r="P51" s="57">
        <f>IFERROR(Tabela3[[#This Row],[Perda Pçs]]/Tabela3[[#This Row],[Qdt Peça Placa]],0)</f>
        <v>0.5</v>
      </c>
      <c r="Q51" s="37">
        <f>IFERROR(Tabela3[[#This Row],[Realizado]]*Tabela3[[#This Row],[Peso Util/Pç]],0)</f>
        <v>40.769999999999996</v>
      </c>
      <c r="R51" s="37">
        <f>IFERROR(Tabela3[[#This Row],[Peso Total Galho]]*Tabela3[[#This Row],[Qtde Cx Produzida]]*1.055,0)</f>
        <v>52.21828</v>
      </c>
      <c r="S51" s="37">
        <f>(Tabela3[[#This Row],[Aluminio Bruto]]-Tabela3[[#This Row],[Aluminio Util]])*0.9</f>
        <v>10.303452000000004</v>
      </c>
      <c r="T51" s="37">
        <f>Tabela3[[#This Row],[Aluminio Bruto]]/OleoKGAluminio</f>
        <v>21.968162878412627</v>
      </c>
      <c r="U51" s="35">
        <f>IFERROR((VLOOKUP(Tabela3[[#This Row],[Moldador]],Tabela1[],5,)+(VLOOKUP(Tabela3[[#This Row],[Ajudante]],Tabela1[],5,))*3.5),0)</f>
        <v>99.95034583333333</v>
      </c>
      <c r="V51" s="35">
        <f>IFERROR(Tabela3[[#This Row],[Custo M.O. / H]]/((Tabela3[[#This Row],[Realizado]]/Tabela3[[#This Row],[Qdt Peça Placa]])/Tabela3[[#This Row],[Tempo]]/24),)</f>
        <v>12.142116086419751</v>
      </c>
      <c r="W51" s="35">
        <f>Tabela3[[#This Row],[Custo / Cx Moldada]]*Tabela3[[#This Row],[Qtde Cx Produzida]]</f>
        <v>279.26866998765428</v>
      </c>
      <c r="X51" s="35">
        <f ca="1">Tabela3[[#This Row],[Aluminio Util]]*Tabela3[[#This Row],[Custo/Kg]]</f>
        <v>636.01199999999994</v>
      </c>
      <c r="Y51" s="35">
        <f>IFERROR(VLOOKUP(Tabela3[[#This Row],[Data]],Tabela461213[],2,1)*(Tabela3[[#This Row],[Qtde Cx Produzida]]*Tabela3[[#This Row],[Qde macho / CX]]*Tabela3[[#This Row],[Peso Macho]]),)</f>
        <v>0</v>
      </c>
      <c r="Z51" s="35">
        <f>IFERROR(Tabela3[[#This Row],[Qtde Oleo]]*(VLOOKUP(Tabela3[[#This Row],[Data]],CompraOleo[],3,TRUE))*1.05,0)</f>
        <v>57.666427555833152</v>
      </c>
      <c r="AA51" s="47">
        <f ca="1">(Tabela3[[#This Row],[Custo Oleo]]+Tabela3[[#This Row],[Custo Aluminio]]+Tabela3[[#This Row],[Custo M.O. Total]]+Tabela3[[#This Row],[Custo Machos]])</f>
        <v>972.94709754348742</v>
      </c>
      <c r="AB51" s="47">
        <f ca="1">Tabela3[[#This Row],[Custo Total]]*Tabela3[[#This Row],[% Perda]]</f>
        <v>21.151023859641029</v>
      </c>
      <c r="AC51" s="48">
        <f>IFERROR(VLOOKUP(Tabela3[[#This Row],[Produto]],Tabela2[],2,0),0)</f>
        <v>6</v>
      </c>
      <c r="AD51" s="48">
        <f>IFERROR(VLOOKUP(Tabela3[[#This Row],[Produto]],Tabela2[],3,0),0)</f>
        <v>0.30199999999999999</v>
      </c>
      <c r="AE51" s="48">
        <f>IFERROR(VLOOKUP(Tabela3[[#This Row],[Produto]],Tabela2[],4,0),0)</f>
        <v>2.1520000000000001</v>
      </c>
      <c r="AF51" s="48">
        <f>IFERROR(VLOOKUP(Tabela3[[#This Row],[Produto]],Tabela2[],5,0),0)</f>
        <v>0.30600000000000027</v>
      </c>
      <c r="AG51" s="40">
        <f>IFERROR(VLOOKUP(Tabela3[[#This Row],[Produto]],Tabela2[],6,0),0)</f>
        <v>0</v>
      </c>
      <c r="AH51" s="40">
        <f>IFERROR(VLOOKUP(Tabela3[[#This Row],[Produto]],Tabela2[],7,0),0)</f>
        <v>0</v>
      </c>
      <c r="AI51" s="40">
        <f>IFERROR(VLOOKUP(Tabela3[[#This Row],[Produto]],Tabela2[],8,0),0)</f>
        <v>0</v>
      </c>
      <c r="AJ51" s="35">
        <f ca="1">IFERROR(VLOOKUP(Tabela3[[#This Row],[Produto]],Tabela2[],13,0),0)</f>
        <v>15.600000000000001</v>
      </c>
      <c r="AK51" s="40" t="str">
        <f>IFERROR(VLOOKUP(Tabela3[[#This Row],[Produto]],Tabela2[],14,0),0)</f>
        <v>Senun</v>
      </c>
      <c r="AL51" s="40">
        <f>IFERROR(VLOOKUP(Tabela3[[#This Row],[Produto]],Tabela2[],15,0),0)</f>
        <v>4</v>
      </c>
      <c r="AM51" s="36">
        <f ca="1">(Tabela3[[#This Row],[Custo Usinagem]]+Tabela3[[#This Row],[Custo / Pç]])*1.2</f>
        <v>13.448418644830998</v>
      </c>
      <c r="AN51" s="36">
        <f ca="1">Tabela3[[#This Row],[Valor Mínimo Venda]]*1.15</f>
        <v>15.465681441555645</v>
      </c>
      <c r="AO51" s="36">
        <f ca="1">Tabela3[[#This Row],[Tabela 1]]*1.08</f>
        <v>16.702935956880097</v>
      </c>
      <c r="AP51" s="36">
        <f ca="1">Tabela3[[#This Row],[Tabela 2]]*1.15</f>
        <v>19.208376350412109</v>
      </c>
    </row>
    <row r="52" spans="1:42">
      <c r="A52" s="9">
        <v>45708</v>
      </c>
      <c r="B52" s="6" t="s">
        <v>135</v>
      </c>
      <c r="C52" s="14">
        <v>5512</v>
      </c>
      <c r="D52" s="6" t="s">
        <v>46</v>
      </c>
      <c r="E52" s="6" t="s">
        <v>53</v>
      </c>
      <c r="F52" s="6">
        <v>20</v>
      </c>
      <c r="G52" s="15">
        <v>0.10138888888888889</v>
      </c>
      <c r="H52" s="16">
        <v>2</v>
      </c>
      <c r="I52" s="35">
        <f ca="1">IFERROR(Tabela3[[#This Row],[Custo Total]]/Tabela3[[#This Row],[Aluminio Util]],0)</f>
        <v>28.87305893196816</v>
      </c>
      <c r="J52" s="35">
        <f ca="1">Tabela3[[#This Row],[Custo Total]]/Tabela3[[#This Row],[Realizado]]</f>
        <v>51.10531430958364</v>
      </c>
      <c r="K52" s="37">
        <f>IFERROR(Tabela3[[#This Row],[Qtde Cx Produzida]]/Tabela3[[#This Row],[Tempo]]/24,0)</f>
        <v>8.2191780821917799</v>
      </c>
      <c r="L52" s="37">
        <f>Tabela3[[#This Row],[Qtde Cx Produzida]]*Tabela3[[#This Row],[Qdt Peça Placa]]</f>
        <v>20</v>
      </c>
      <c r="M52" s="37">
        <f>Tabela3[[#This Row],[Previsto]]-Tabela3[[#This Row],[Perda Pçs]]</f>
        <v>18</v>
      </c>
      <c r="N52" s="38">
        <f>IFERROR(Tabela3[[#This Row],[Perda Pçs]]/Tabela3[[#This Row],[Previsto]],0)</f>
        <v>0.1</v>
      </c>
      <c r="O52" s="39">
        <f>IFERROR(IF(Tabela3[[#This Row],[Qtde Cx Produzida]] &lt;&gt; 0, Tabela3[[#This Row],[Tempo]] / Tabela3[[#This Row],[Qtde Cx Produzida]], 0),0)</f>
        <v>5.0694444444444441E-3</v>
      </c>
      <c r="P52" s="57">
        <f>IFERROR(Tabela3[[#This Row],[Perda Pçs]]/Tabela3[[#This Row],[Qdt Peça Placa]],0)</f>
        <v>2</v>
      </c>
      <c r="Q52" s="37">
        <f>IFERROR(Tabela3[[#This Row],[Realizado]]*Tabela3[[#This Row],[Peso Util/Pç]],0)</f>
        <v>31.86</v>
      </c>
      <c r="R52" s="37">
        <f>IFERROR(Tabela3[[#This Row],[Peso Total Galho]]*Tabela3[[#This Row],[Qtde Cx Produzida]]*1.055,0)</f>
        <v>66.042999999999992</v>
      </c>
      <c r="S52" s="37">
        <f>(Tabela3[[#This Row],[Aluminio Bruto]]-Tabela3[[#This Row],[Aluminio Util]])*0.9</f>
        <v>30.764699999999994</v>
      </c>
      <c r="T52" s="37">
        <f>Tabela3[[#This Row],[Aluminio Bruto]]/OleoKGAluminio</f>
        <v>27.784204707221399</v>
      </c>
      <c r="U52" s="35">
        <f>IFERROR((VLOOKUP(Tabela3[[#This Row],[Moldador]],Tabela1[],5,)+(VLOOKUP(Tabela3[[#This Row],[Ajudante]],Tabela1[],5,))*3.5),0)</f>
        <v>99.95034583333333</v>
      </c>
      <c r="V52" s="35">
        <f>IFERROR(Tabela3[[#This Row],[Custo M.O. / H]]/((Tabela3[[#This Row],[Realizado]]/Tabela3[[#This Row],[Qdt Peça Placa]])/Tabela3[[#This Row],[Tempo]]/24),)</f>
        <v>13.51180601080247</v>
      </c>
      <c r="W52" s="35">
        <f>Tabela3[[#This Row],[Custo / Cx Moldada]]*Tabela3[[#This Row],[Qtde Cx Produzida]]</f>
        <v>270.23612021604941</v>
      </c>
      <c r="X52" s="35">
        <f ca="1">Tabela3[[#This Row],[Aluminio Util]]*Tabela3[[#This Row],[Custo/Kg]]</f>
        <v>497.01600000000002</v>
      </c>
      <c r="Y52" s="35">
        <f>IFERROR(VLOOKUP(Tabela3[[#This Row],[Data]],Tabela461213[],2,1)*(Tabela3[[#This Row],[Qtde Cx Produzida]]*Tabela3[[#This Row],[Qde macho / CX]]*Tabela3[[#This Row],[Peso Macho]]),)</f>
        <v>79.710000000000008</v>
      </c>
      <c r="Z52" s="35">
        <f>IFERROR(Tabela3[[#This Row],[Qtde Oleo]]*(VLOOKUP(Tabela3[[#This Row],[Data]],CompraOleo[],3,TRUE))*1.05,0)</f>
        <v>72.933537356456171</v>
      </c>
      <c r="AA52" s="47">
        <f ca="1">(Tabela3[[#This Row],[Custo Oleo]]+Tabela3[[#This Row],[Custo Aluminio]]+Tabela3[[#This Row],[Custo M.O. Total]]+Tabela3[[#This Row],[Custo Machos]])</f>
        <v>919.89565757250557</v>
      </c>
      <c r="AB52" s="47">
        <f ca="1">Tabela3[[#This Row],[Custo Total]]*Tabela3[[#This Row],[% Perda]]</f>
        <v>91.98956575725056</v>
      </c>
      <c r="AC52" s="48">
        <f>IFERROR(VLOOKUP(Tabela3[[#This Row],[Produto]],Tabela2[],2,0),0)</f>
        <v>1</v>
      </c>
      <c r="AD52" s="48">
        <f>IFERROR(VLOOKUP(Tabela3[[#This Row],[Produto]],Tabela2[],3,0),0)</f>
        <v>1.77</v>
      </c>
      <c r="AE52" s="48">
        <f>IFERROR(VLOOKUP(Tabela3[[#This Row],[Produto]],Tabela2[],4,0),0)</f>
        <v>3.13</v>
      </c>
      <c r="AF52" s="48">
        <f>IFERROR(VLOOKUP(Tabela3[[#This Row],[Produto]],Tabela2[],5,0),0)</f>
        <v>1.224</v>
      </c>
      <c r="AG52" s="40">
        <f>IFERROR(VLOOKUP(Tabela3[[#This Row],[Produto]],Tabela2[],6,0),0)</f>
        <v>0</v>
      </c>
      <c r="AH52" s="40">
        <f>IFERROR(VLOOKUP(Tabela3[[#This Row],[Produto]],Tabela2[],7,0),0)</f>
        <v>1</v>
      </c>
      <c r="AI52" s="40">
        <f>IFERROR(VLOOKUP(Tabela3[[#This Row],[Produto]],Tabela2[],8,0),0)</f>
        <v>2.657</v>
      </c>
      <c r="AJ52" s="35">
        <f ca="1">IFERROR(VLOOKUP(Tabela3[[#This Row],[Produto]],Tabela2[],13,0),0)</f>
        <v>15.600000000000001</v>
      </c>
      <c r="AK52" s="40" t="str">
        <f>IFERROR(VLOOKUP(Tabela3[[#This Row],[Produto]],Tabela2[],14,0),0)</f>
        <v>Jumil</v>
      </c>
      <c r="AL52" s="40">
        <f>IFERROR(VLOOKUP(Tabela3[[#This Row],[Produto]],Tabela2[],15,0),0)</f>
        <v>10</v>
      </c>
      <c r="AM52" s="36">
        <f ca="1">(Tabela3[[#This Row],[Custo Usinagem]]+Tabela3[[#This Row],[Custo / Pç]])*1.2</f>
        <v>73.326377171500368</v>
      </c>
      <c r="AN52" s="36">
        <f ca="1">Tabela3[[#This Row],[Valor Mínimo Venda]]*1.15</f>
        <v>84.325333747225415</v>
      </c>
      <c r="AO52" s="36">
        <f ca="1">Tabela3[[#This Row],[Tabela 1]]*1.08</f>
        <v>91.071360447003457</v>
      </c>
      <c r="AP52" s="36">
        <f ca="1">Tabela3[[#This Row],[Tabela 2]]*1.15</f>
        <v>104.73206451405397</v>
      </c>
    </row>
    <row r="53" spans="1:42">
      <c r="A53" s="9">
        <v>45708</v>
      </c>
      <c r="B53" s="6" t="s">
        <v>257</v>
      </c>
      <c r="C53" s="14">
        <v>5650</v>
      </c>
      <c r="D53" s="6" t="s">
        <v>46</v>
      </c>
      <c r="E53" s="6" t="s">
        <v>53</v>
      </c>
      <c r="F53" s="6">
        <v>16</v>
      </c>
      <c r="G53" s="15">
        <v>7.1527777777777773E-2</v>
      </c>
      <c r="H53" s="16">
        <v>0</v>
      </c>
      <c r="I53" s="35">
        <f ca="1">IFERROR(Tabela3[[#This Row],[Custo Total]]/Tabela3[[#This Row],[Aluminio Util]],0)</f>
        <v>28.886998648179613</v>
      </c>
      <c r="J53" s="35">
        <f ca="1">Tabela3[[#This Row],[Custo Total]]/Tabela3[[#This Row],[Realizado]]</f>
        <v>3.6108748310224517</v>
      </c>
      <c r="K53" s="37">
        <f>IFERROR(Tabela3[[#This Row],[Qtde Cx Produzida]]/Tabela3[[#This Row],[Tempo]]/24,0)</f>
        <v>9.3203883495145643</v>
      </c>
      <c r="L53" s="37">
        <f>Tabela3[[#This Row],[Qtde Cx Produzida]]*Tabela3[[#This Row],[Qdt Peça Placa]]</f>
        <v>128</v>
      </c>
      <c r="M53" s="37">
        <f>Tabela3[[#This Row],[Previsto]]-Tabela3[[#This Row],[Perda Pçs]]</f>
        <v>128</v>
      </c>
      <c r="N53" s="38">
        <f>IFERROR(Tabela3[[#This Row],[Perda Pçs]]/Tabela3[[#This Row],[Previsto]],0)</f>
        <v>0</v>
      </c>
      <c r="O53" s="39">
        <f>IFERROR(IF(Tabela3[[#This Row],[Qtde Cx Produzida]] &lt;&gt; 0, Tabela3[[#This Row],[Tempo]] / Tabela3[[#This Row],[Qtde Cx Produzida]], 0),0)</f>
        <v>4.4704861111111108E-3</v>
      </c>
      <c r="P53" s="57">
        <f>IFERROR(Tabela3[[#This Row],[Perda Pçs]]/Tabela3[[#This Row],[Qdt Peça Placa]],0)</f>
        <v>0</v>
      </c>
      <c r="Q53" s="37">
        <f>IFERROR(Tabela3[[#This Row],[Realizado]]*Tabela3[[#This Row],[Peso Util/Pç]],0)</f>
        <v>16</v>
      </c>
      <c r="R53" s="37">
        <f>IFERROR(Tabela3[[#This Row],[Peso Total Galho]]*Tabela3[[#This Row],[Qtde Cx Produzida]]*1.055,0)</f>
        <v>37.136000000000003</v>
      </c>
      <c r="S53" s="37">
        <f>(Tabela3[[#This Row],[Aluminio Bruto]]-Tabela3[[#This Row],[Aluminio Util]])*0.9</f>
        <v>19.022400000000005</v>
      </c>
      <c r="T53" s="37">
        <f>Tabela3[[#This Row],[Aluminio Bruto]]/OleoKGAluminio</f>
        <v>15.623067183613314</v>
      </c>
      <c r="U53" s="35">
        <f>IFERROR((VLOOKUP(Tabela3[[#This Row],[Moldador]],Tabela1[],5,)+(VLOOKUP(Tabela3[[#This Row],[Ajudante]],Tabela1[],5,))*3.5),0)</f>
        <v>99.95034583333333</v>
      </c>
      <c r="V53" s="35">
        <f>IFERROR(Tabela3[[#This Row],[Custo M.O. / H]]/((Tabela3[[#This Row],[Realizado]]/Tabela3[[#This Row],[Qdt Peça Placa]])/Tabela3[[#This Row],[Tempo]]/24),)</f>
        <v>10.723839188368053</v>
      </c>
      <c r="W53" s="35">
        <f>Tabela3[[#This Row],[Custo / Cx Moldada]]*Tabela3[[#This Row],[Qtde Cx Produzida]]</f>
        <v>171.58142701388886</v>
      </c>
      <c r="X53" s="35">
        <f ca="1">Tabela3[[#This Row],[Aluminio Util]]*Tabela3[[#This Row],[Custo/Kg]]</f>
        <v>249.60000000000002</v>
      </c>
      <c r="Y53" s="35">
        <f>IFERROR(VLOOKUP(Tabela3[[#This Row],[Data]],Tabela461213[],2,1)*(Tabela3[[#This Row],[Qtde Cx Produzida]]*Tabela3[[#This Row],[Qde macho / CX]]*Tabela3[[#This Row],[Peso Macho]]),)</f>
        <v>0</v>
      </c>
      <c r="Z53" s="35">
        <f>IFERROR(Tabela3[[#This Row],[Qtde Oleo]]*(VLOOKUP(Tabela3[[#This Row],[Data]],CompraOleo[],3,TRUE))*1.05,0)</f>
        <v>41.010551356984948</v>
      </c>
      <c r="AA53" s="47">
        <f ca="1">(Tabela3[[#This Row],[Custo Oleo]]+Tabela3[[#This Row],[Custo Aluminio]]+Tabela3[[#This Row],[Custo M.O. Total]]+Tabela3[[#This Row],[Custo Machos]])</f>
        <v>462.19197837087381</v>
      </c>
      <c r="AB53" s="47">
        <f ca="1">Tabela3[[#This Row],[Custo Total]]*Tabela3[[#This Row],[% Perda]]</f>
        <v>0</v>
      </c>
      <c r="AC53" s="48">
        <f>IFERROR(VLOOKUP(Tabela3[[#This Row],[Produto]],Tabela2[],2,0),0)</f>
        <v>8</v>
      </c>
      <c r="AD53" s="48">
        <f>IFERROR(VLOOKUP(Tabela3[[#This Row],[Produto]],Tabela2[],3,0),0)</f>
        <v>0.125</v>
      </c>
      <c r="AE53" s="48">
        <f>IFERROR(VLOOKUP(Tabela3[[#This Row],[Produto]],Tabela2[],4,0),0)</f>
        <v>2.2000000000000002</v>
      </c>
      <c r="AF53" s="48">
        <f>IFERROR(VLOOKUP(Tabela3[[#This Row],[Produto]],Tabela2[],5,0),0)</f>
        <v>1.0800000000000003</v>
      </c>
      <c r="AG53" s="40">
        <f>IFERROR(VLOOKUP(Tabela3[[#This Row],[Produto]],Tabela2[],6,0),0)</f>
        <v>0</v>
      </c>
      <c r="AH53" s="40">
        <f>IFERROR(VLOOKUP(Tabela3[[#This Row],[Produto]],Tabela2[],7,0),0)</f>
        <v>0</v>
      </c>
      <c r="AI53" s="40">
        <f>IFERROR(VLOOKUP(Tabela3[[#This Row],[Produto]],Tabela2[],8,0),0)</f>
        <v>0</v>
      </c>
      <c r="AJ53" s="35">
        <f ca="1">IFERROR(VLOOKUP(Tabela3[[#This Row],[Produto]],Tabela2[],13,0),0)</f>
        <v>15.600000000000001</v>
      </c>
      <c r="AK53" s="40" t="str">
        <f>IFERROR(VLOOKUP(Tabela3[[#This Row],[Produto]],Tabela2[],14,0),0)</f>
        <v>Senun</v>
      </c>
      <c r="AL53" s="40">
        <f>IFERROR(VLOOKUP(Tabela3[[#This Row],[Produto]],Tabela2[],15,0),0)</f>
        <v>7</v>
      </c>
      <c r="AM53" s="36">
        <f ca="1">(Tabela3[[#This Row],[Custo Usinagem]]+Tabela3[[#This Row],[Custo / Pç]])*1.2</f>
        <v>12.733049797226942</v>
      </c>
      <c r="AN53" s="36">
        <f ca="1">Tabela3[[#This Row],[Valor Mínimo Venda]]*1.15</f>
        <v>14.643007266810981</v>
      </c>
      <c r="AO53" s="36">
        <f ca="1">Tabela3[[#This Row],[Tabela 1]]*1.08</f>
        <v>15.814447848155861</v>
      </c>
      <c r="AP53" s="36">
        <f ca="1">Tabela3[[#This Row],[Tabela 2]]*1.15</f>
        <v>18.18661502537924</v>
      </c>
    </row>
    <row r="54" spans="1:42">
      <c r="A54" s="9">
        <v>45709</v>
      </c>
      <c r="B54" s="6" t="s">
        <v>257</v>
      </c>
      <c r="C54" s="14">
        <v>5650</v>
      </c>
      <c r="D54" s="6" t="s">
        <v>46</v>
      </c>
      <c r="E54" s="6" t="s">
        <v>53</v>
      </c>
      <c r="F54" s="6">
        <v>15</v>
      </c>
      <c r="G54" s="15">
        <v>8.5416666666666669E-2</v>
      </c>
      <c r="H54" s="16">
        <v>0</v>
      </c>
      <c r="I54" s="35">
        <f ca="1">IFERROR(Tabela3[[#This Row],[Custo Total]]/Tabela3[[#This Row],[Aluminio Util]],0)</f>
        <v>31.823040057033783</v>
      </c>
      <c r="J54" s="35">
        <f ca="1">Tabela3[[#This Row],[Custo Total]]/Tabela3[[#This Row],[Realizado]]</f>
        <v>3.9778800071292229</v>
      </c>
      <c r="K54" s="37">
        <f>IFERROR(Tabela3[[#This Row],[Qtde Cx Produzida]]/Tabela3[[#This Row],[Tempo]]/24,0)</f>
        <v>7.3170731707317067</v>
      </c>
      <c r="L54" s="37">
        <f>Tabela3[[#This Row],[Qtde Cx Produzida]]*Tabela3[[#This Row],[Qdt Peça Placa]]</f>
        <v>120</v>
      </c>
      <c r="M54" s="37">
        <f>Tabela3[[#This Row],[Previsto]]-Tabela3[[#This Row],[Perda Pçs]]</f>
        <v>120</v>
      </c>
      <c r="N54" s="38">
        <f>IFERROR(Tabela3[[#This Row],[Perda Pçs]]/Tabela3[[#This Row],[Previsto]],0)</f>
        <v>0</v>
      </c>
      <c r="O54" s="39">
        <f>IFERROR(IF(Tabela3[[#This Row],[Qtde Cx Produzida]] &lt;&gt; 0, Tabela3[[#This Row],[Tempo]] / Tabela3[[#This Row],[Qtde Cx Produzida]], 0),0)</f>
        <v>5.6944444444444447E-3</v>
      </c>
      <c r="P54" s="57">
        <f>IFERROR(Tabela3[[#This Row],[Perda Pçs]]/Tabela3[[#This Row],[Qdt Peça Placa]],0)</f>
        <v>0</v>
      </c>
      <c r="Q54" s="37">
        <f>IFERROR(Tabela3[[#This Row],[Realizado]]*Tabela3[[#This Row],[Peso Util/Pç]],0)</f>
        <v>15</v>
      </c>
      <c r="R54" s="37">
        <f>IFERROR(Tabela3[[#This Row],[Peso Total Galho]]*Tabela3[[#This Row],[Qtde Cx Produzida]]*1.055,0)</f>
        <v>34.814999999999998</v>
      </c>
      <c r="S54" s="37">
        <f>(Tabela3[[#This Row],[Aluminio Bruto]]-Tabela3[[#This Row],[Aluminio Util]])*0.9</f>
        <v>17.833499999999997</v>
      </c>
      <c r="T54" s="37">
        <f>Tabela3[[#This Row],[Aluminio Bruto]]/OleoKGAluminio</f>
        <v>14.646625484637481</v>
      </c>
      <c r="U54" s="35">
        <f>IFERROR((VLOOKUP(Tabela3[[#This Row],[Moldador]],Tabela1[],5,)+(VLOOKUP(Tabela3[[#This Row],[Ajudante]],Tabela1[],5,))*3.5),0)</f>
        <v>99.95034583333333</v>
      </c>
      <c r="V54" s="35">
        <f>IFERROR(Tabela3[[#This Row],[Custo M.O. / H]]/((Tabela3[[#This Row],[Realizado]]/Tabela3[[#This Row],[Qdt Peça Placa]])/Tabela3[[#This Row],[Tempo]]/24),)</f>
        <v>13.659880597222223</v>
      </c>
      <c r="W54" s="35">
        <f>Tabela3[[#This Row],[Custo / Cx Moldada]]*Tabela3[[#This Row],[Qtde Cx Produzida]]</f>
        <v>204.89820895833336</v>
      </c>
      <c r="X54" s="35">
        <f ca="1">Tabela3[[#This Row],[Aluminio Util]]*Tabela3[[#This Row],[Custo/Kg]]</f>
        <v>234.00000000000003</v>
      </c>
      <c r="Y54" s="35">
        <f>IFERROR(VLOOKUP(Tabela3[[#This Row],[Data]],Tabela461213[],2,1)*(Tabela3[[#This Row],[Qtde Cx Produzida]]*Tabela3[[#This Row],[Qde macho / CX]]*Tabela3[[#This Row],[Peso Macho]]),)</f>
        <v>0</v>
      </c>
      <c r="Z54" s="35">
        <f>IFERROR(Tabela3[[#This Row],[Qtde Oleo]]*(VLOOKUP(Tabela3[[#This Row],[Data]],CompraOleo[],3,TRUE))*1.05,0)</f>
        <v>38.447391897173382</v>
      </c>
      <c r="AA54" s="47">
        <f ca="1">(Tabela3[[#This Row],[Custo Oleo]]+Tabela3[[#This Row],[Custo Aluminio]]+Tabela3[[#This Row],[Custo M.O. Total]]+Tabela3[[#This Row],[Custo Machos]])</f>
        <v>477.34560085550675</v>
      </c>
      <c r="AB54" s="47">
        <f ca="1">Tabela3[[#This Row],[Custo Total]]*Tabela3[[#This Row],[% Perda]]</f>
        <v>0</v>
      </c>
      <c r="AC54" s="48">
        <f>IFERROR(VLOOKUP(Tabela3[[#This Row],[Produto]],Tabela2[],2,0),0)</f>
        <v>8</v>
      </c>
      <c r="AD54" s="48">
        <f>IFERROR(VLOOKUP(Tabela3[[#This Row],[Produto]],Tabela2[],3,0),0)</f>
        <v>0.125</v>
      </c>
      <c r="AE54" s="48">
        <f>IFERROR(VLOOKUP(Tabela3[[#This Row],[Produto]],Tabela2[],4,0),0)</f>
        <v>2.2000000000000002</v>
      </c>
      <c r="AF54" s="48">
        <f>IFERROR(VLOOKUP(Tabela3[[#This Row],[Produto]],Tabela2[],5,0),0)</f>
        <v>1.0800000000000003</v>
      </c>
      <c r="AG54" s="40">
        <f>IFERROR(VLOOKUP(Tabela3[[#This Row],[Produto]],Tabela2[],6,0),0)</f>
        <v>0</v>
      </c>
      <c r="AH54" s="40">
        <f>IFERROR(VLOOKUP(Tabela3[[#This Row],[Produto]],Tabela2[],7,0),0)</f>
        <v>0</v>
      </c>
      <c r="AI54" s="40">
        <f>IFERROR(VLOOKUP(Tabela3[[#This Row],[Produto]],Tabela2[],8,0),0)</f>
        <v>0</v>
      </c>
      <c r="AJ54" s="35">
        <f ca="1">IFERROR(VLOOKUP(Tabela3[[#This Row],[Produto]],Tabela2[],13,0),0)</f>
        <v>15.600000000000001</v>
      </c>
      <c r="AK54" s="40" t="str">
        <f>IFERROR(VLOOKUP(Tabela3[[#This Row],[Produto]],Tabela2[],14,0),0)</f>
        <v>Senun</v>
      </c>
      <c r="AL54" s="40">
        <f>IFERROR(VLOOKUP(Tabela3[[#This Row],[Produto]],Tabela2[],15,0),0)</f>
        <v>7</v>
      </c>
      <c r="AM54" s="36">
        <f ca="1">(Tabela3[[#This Row],[Custo Usinagem]]+Tabela3[[#This Row],[Custo / Pç]])*1.2</f>
        <v>13.173456008555066</v>
      </c>
      <c r="AN54" s="36">
        <f ca="1">Tabela3[[#This Row],[Valor Mínimo Venda]]*1.15</f>
        <v>15.149474409838325</v>
      </c>
      <c r="AO54" s="36">
        <f ca="1">Tabela3[[#This Row],[Tabela 1]]*1.08</f>
        <v>16.361432362625393</v>
      </c>
      <c r="AP54" s="36">
        <f ca="1">Tabela3[[#This Row],[Tabela 2]]*1.15</f>
        <v>18.815647217019201</v>
      </c>
    </row>
    <row r="55" spans="1:42">
      <c r="A55" s="9">
        <v>45709</v>
      </c>
      <c r="B55" s="6" t="s">
        <v>257</v>
      </c>
      <c r="C55" s="14">
        <v>5650</v>
      </c>
      <c r="D55" s="6" t="s">
        <v>44</v>
      </c>
      <c r="E55" s="6" t="s">
        <v>47</v>
      </c>
      <c r="F55" s="6">
        <v>38</v>
      </c>
      <c r="G55" s="15">
        <v>0.16527777777777777</v>
      </c>
      <c r="H55" s="16">
        <v>10</v>
      </c>
      <c r="I55" s="35">
        <f ca="1">IFERROR(Tabela3[[#This Row],[Custo Total]]/Tabela3[[#This Row],[Aluminio Util]],0)</f>
        <v>29.405581734206763</v>
      </c>
      <c r="J55" s="35">
        <f ca="1">Tabela3[[#This Row],[Custo Total]]/Tabela3[[#This Row],[Realizado]]</f>
        <v>3.6756977167758453</v>
      </c>
      <c r="K55" s="37">
        <f>IFERROR(Tabela3[[#This Row],[Qtde Cx Produzida]]/Tabela3[[#This Row],[Tempo]]/24,0)</f>
        <v>9.579831932773109</v>
      </c>
      <c r="L55" s="37">
        <f>Tabela3[[#This Row],[Qtde Cx Produzida]]*Tabela3[[#This Row],[Qdt Peça Placa]]</f>
        <v>304</v>
      </c>
      <c r="M55" s="37">
        <f>Tabela3[[#This Row],[Previsto]]-Tabela3[[#This Row],[Perda Pçs]]</f>
        <v>294</v>
      </c>
      <c r="N55" s="38">
        <f>IFERROR(Tabela3[[#This Row],[Perda Pçs]]/Tabela3[[#This Row],[Previsto]],0)</f>
        <v>3.2894736842105261E-2</v>
      </c>
      <c r="O55" s="39">
        <f>IFERROR(IF(Tabela3[[#This Row],[Qtde Cx Produzida]] &lt;&gt; 0, Tabela3[[#This Row],[Tempo]] / Tabela3[[#This Row],[Qtde Cx Produzida]], 0),0)</f>
        <v>4.3494152046783625E-3</v>
      </c>
      <c r="P55" s="57">
        <f>IFERROR(Tabela3[[#This Row],[Perda Pçs]]/Tabela3[[#This Row],[Qdt Peça Placa]],0)</f>
        <v>1.25</v>
      </c>
      <c r="Q55" s="37">
        <f>IFERROR(Tabela3[[#This Row],[Realizado]]*Tabela3[[#This Row],[Peso Util/Pç]],0)</f>
        <v>36.75</v>
      </c>
      <c r="R55" s="37">
        <f>IFERROR(Tabela3[[#This Row],[Peso Total Galho]]*Tabela3[[#This Row],[Qtde Cx Produzida]]*1.055,0)</f>
        <v>88.198000000000008</v>
      </c>
      <c r="S55" s="37">
        <f>(Tabela3[[#This Row],[Aluminio Bruto]]-Tabela3[[#This Row],[Aluminio Util]])*0.9</f>
        <v>46.303200000000011</v>
      </c>
      <c r="T55" s="37">
        <f>Tabela3[[#This Row],[Aluminio Bruto]]/OleoKGAluminio</f>
        <v>37.104784561081622</v>
      </c>
      <c r="U55" s="35">
        <f>IFERROR((VLOOKUP(Tabela3[[#This Row],[Moldador]],Tabela1[],5,)+(VLOOKUP(Tabela3[[#This Row],[Ajudante]],Tabela1[],5,))*3.5),0)</f>
        <v>99.95034583333333</v>
      </c>
      <c r="V55" s="35">
        <f>IFERROR(Tabela3[[#This Row],[Custo M.O. / H]]/((Tabela3[[#This Row],[Realizado]]/Tabela3[[#This Row],[Qdt Peça Placa]])/Tabela3[[#This Row],[Tempo]]/24),)</f>
        <v>10.788291296296297</v>
      </c>
      <c r="W55" s="35">
        <f>Tabela3[[#This Row],[Custo / Cx Moldada]]*Tabela3[[#This Row],[Qtde Cx Produzida]]</f>
        <v>409.95506925925929</v>
      </c>
      <c r="X55" s="35">
        <f ca="1">Tabela3[[#This Row],[Aluminio Util]]*Tabela3[[#This Row],[Custo/Kg]]</f>
        <v>573.30000000000007</v>
      </c>
      <c r="Y55" s="35">
        <f>IFERROR(VLOOKUP(Tabela3[[#This Row],[Data]],Tabela461213[],2,1)*(Tabela3[[#This Row],[Qtde Cx Produzida]]*Tabela3[[#This Row],[Qde macho / CX]]*Tabela3[[#This Row],[Peso Macho]]),)</f>
        <v>0</v>
      </c>
      <c r="Z55" s="35">
        <f>IFERROR(Tabela3[[#This Row],[Qtde Oleo]]*(VLOOKUP(Tabela3[[#This Row],[Data]],CompraOleo[],3,TRUE))*1.05,0)</f>
        <v>97.40005947283926</v>
      </c>
      <c r="AA55" s="47">
        <f ca="1">(Tabela3[[#This Row],[Custo Oleo]]+Tabela3[[#This Row],[Custo Aluminio]]+Tabela3[[#This Row],[Custo M.O. Total]]+Tabela3[[#This Row],[Custo Machos]])</f>
        <v>1080.6551287320985</v>
      </c>
      <c r="AB55" s="47">
        <f ca="1">Tabela3[[#This Row],[Custo Total]]*Tabela3[[#This Row],[% Perda]]</f>
        <v>35.547866076713767</v>
      </c>
      <c r="AC55" s="48">
        <f>IFERROR(VLOOKUP(Tabela3[[#This Row],[Produto]],Tabela2[],2,0),0)</f>
        <v>8</v>
      </c>
      <c r="AD55" s="48">
        <f>IFERROR(VLOOKUP(Tabela3[[#This Row],[Produto]],Tabela2[],3,0),0)</f>
        <v>0.125</v>
      </c>
      <c r="AE55" s="48">
        <f>IFERROR(VLOOKUP(Tabela3[[#This Row],[Produto]],Tabela2[],4,0),0)</f>
        <v>2.2000000000000002</v>
      </c>
      <c r="AF55" s="48">
        <f>IFERROR(VLOOKUP(Tabela3[[#This Row],[Produto]],Tabela2[],5,0),0)</f>
        <v>1.0800000000000003</v>
      </c>
      <c r="AG55" s="40">
        <f>IFERROR(VLOOKUP(Tabela3[[#This Row],[Produto]],Tabela2[],6,0),0)</f>
        <v>0</v>
      </c>
      <c r="AH55" s="40">
        <f>IFERROR(VLOOKUP(Tabela3[[#This Row],[Produto]],Tabela2[],7,0),0)</f>
        <v>0</v>
      </c>
      <c r="AI55" s="40">
        <f>IFERROR(VLOOKUP(Tabela3[[#This Row],[Produto]],Tabela2[],8,0),0)</f>
        <v>0</v>
      </c>
      <c r="AJ55" s="35">
        <f ca="1">IFERROR(VLOOKUP(Tabela3[[#This Row],[Produto]],Tabela2[],13,0),0)</f>
        <v>15.600000000000001</v>
      </c>
      <c r="AK55" s="40" t="str">
        <f>IFERROR(VLOOKUP(Tabela3[[#This Row],[Produto]],Tabela2[],14,0),0)</f>
        <v>Senun</v>
      </c>
      <c r="AL55" s="40">
        <f>IFERROR(VLOOKUP(Tabela3[[#This Row],[Produto]],Tabela2[],15,0),0)</f>
        <v>7</v>
      </c>
      <c r="AM55" s="36">
        <f ca="1">(Tabela3[[#This Row],[Custo Usinagem]]+Tabela3[[#This Row],[Custo / Pç]])*1.2</f>
        <v>12.810837260131015</v>
      </c>
      <c r="AN55" s="36">
        <f ca="1">Tabela3[[#This Row],[Valor Mínimo Venda]]*1.15</f>
        <v>14.732462849150666</v>
      </c>
      <c r="AO55" s="36">
        <f ca="1">Tabela3[[#This Row],[Tabela 1]]*1.08</f>
        <v>15.911059877082721</v>
      </c>
      <c r="AP55" s="36">
        <f ca="1">Tabela3[[#This Row],[Tabela 2]]*1.15</f>
        <v>18.297718858645126</v>
      </c>
    </row>
    <row r="56" spans="1:42">
      <c r="A56" s="9">
        <v>45709</v>
      </c>
      <c r="B56" s="6" t="s">
        <v>245</v>
      </c>
      <c r="C56" s="14">
        <v>5649</v>
      </c>
      <c r="D56" s="6" t="s">
        <v>46</v>
      </c>
      <c r="E56" s="6" t="s">
        <v>53</v>
      </c>
      <c r="F56" s="6">
        <v>54</v>
      </c>
      <c r="G56" s="15">
        <v>0.25624999999999998</v>
      </c>
      <c r="H56" s="16">
        <v>40</v>
      </c>
      <c r="I56" s="35">
        <f ca="1">IFERROR(Tabela3[[#This Row],[Custo Total]]/Tabela3[[#This Row],[Aluminio Util]],0)</f>
        <v>30.987115850834346</v>
      </c>
      <c r="J56" s="35">
        <f ca="1">Tabela3[[#This Row],[Custo Total]]/Tabela3[[#This Row],[Realizado]]</f>
        <v>10.287722462477005</v>
      </c>
      <c r="K56" s="37">
        <f>IFERROR(Tabela3[[#This Row],[Qtde Cx Produzida]]/Tabela3[[#This Row],[Tempo]]/24,0)</f>
        <v>8.7804878048780495</v>
      </c>
      <c r="L56" s="37">
        <f>Tabela3[[#This Row],[Qtde Cx Produzida]]*Tabela3[[#This Row],[Qdt Peça Placa]]</f>
        <v>216</v>
      </c>
      <c r="M56" s="37">
        <f>Tabela3[[#This Row],[Previsto]]-Tabela3[[#This Row],[Perda Pçs]]</f>
        <v>176</v>
      </c>
      <c r="N56" s="38">
        <f>IFERROR(Tabela3[[#This Row],[Perda Pçs]]/Tabela3[[#This Row],[Previsto]],0)</f>
        <v>0.18518518518518517</v>
      </c>
      <c r="O56" s="39">
        <f>IFERROR(IF(Tabela3[[#This Row],[Qtde Cx Produzida]] &lt;&gt; 0, Tabela3[[#This Row],[Tempo]] / Tabela3[[#This Row],[Qtde Cx Produzida]], 0),0)</f>
        <v>4.7453703703703703E-3</v>
      </c>
      <c r="P56" s="57">
        <f>IFERROR(Tabela3[[#This Row],[Perda Pçs]]/Tabela3[[#This Row],[Qdt Peça Placa]],0)</f>
        <v>10</v>
      </c>
      <c r="Q56" s="37">
        <f>IFERROR(Tabela3[[#This Row],[Realizado]]*Tabela3[[#This Row],[Peso Util/Pç]],0)</f>
        <v>58.432000000000002</v>
      </c>
      <c r="R56" s="37">
        <f>IFERROR(Tabela3[[#This Row],[Peso Total Galho]]*Tabela3[[#This Row],[Qtde Cx Produzida]]*1.055,0)</f>
        <v>131.03099999999998</v>
      </c>
      <c r="S56" s="37">
        <f>(Tabela3[[#This Row],[Aluminio Bruto]]-Tabela3[[#This Row],[Aluminio Util]])*0.9</f>
        <v>65.339099999999974</v>
      </c>
      <c r="T56" s="37">
        <f>Tabela3[[#This Row],[Aluminio Bruto]]/OleoKGAluminio</f>
        <v>55.12457227854469</v>
      </c>
      <c r="U56" s="35">
        <f>IFERROR((VLOOKUP(Tabela3[[#This Row],[Moldador]],Tabela1[],5,)+(VLOOKUP(Tabela3[[#This Row],[Ajudante]],Tabela1[],5,))*3.5),0)</f>
        <v>99.95034583333333</v>
      </c>
      <c r="V56" s="35">
        <f>IFERROR(Tabela3[[#This Row],[Custo M.O. / H]]/((Tabela3[[#This Row],[Realizado]]/Tabela3[[#This Row],[Qdt Peça Placa]])/Tabela3[[#This Row],[Tempo]]/24),)</f>
        <v>13.970332428977271</v>
      </c>
      <c r="W56" s="35">
        <f>Tabela3[[#This Row],[Custo / Cx Moldada]]*Tabela3[[#This Row],[Qtde Cx Produzida]]</f>
        <v>754.39795116477262</v>
      </c>
      <c r="X56" s="35">
        <f ca="1">Tabela3[[#This Row],[Aluminio Util]]*Tabela3[[#This Row],[Custo/Kg]]</f>
        <v>911.53920000000016</v>
      </c>
      <c r="Y56" s="35">
        <f>IFERROR(VLOOKUP(Tabela3[[#This Row],[Data]],Tabela461213[],2,1)*(Tabela3[[#This Row],[Qtde Cx Produzida]]*Tabela3[[#This Row],[Qde macho / CX]]*Tabela3[[#This Row],[Peso Macho]]),)</f>
        <v>0</v>
      </c>
      <c r="Z56" s="35">
        <f>IFERROR(Tabela3[[#This Row],[Qtde Oleo]]*(VLOOKUP(Tabela3[[#This Row],[Data]],CompraOleo[],3,TRUE))*1.05,0)</f>
        <v>144.70200223117982</v>
      </c>
      <c r="AA56" s="47">
        <f ca="1">(Tabela3[[#This Row],[Custo Oleo]]+Tabela3[[#This Row],[Custo Aluminio]]+Tabela3[[#This Row],[Custo M.O. Total]]+Tabela3[[#This Row],[Custo Machos]])</f>
        <v>1810.6391533959527</v>
      </c>
      <c r="AB56" s="47">
        <f ca="1">Tabela3[[#This Row],[Custo Total]]*Tabela3[[#This Row],[% Perda]]</f>
        <v>335.30354692517642</v>
      </c>
      <c r="AC56" s="48">
        <f>IFERROR(VLOOKUP(Tabela3[[#This Row],[Produto]],Tabela2[],2,0),0)</f>
        <v>4</v>
      </c>
      <c r="AD56" s="48">
        <f>IFERROR(VLOOKUP(Tabela3[[#This Row],[Produto]],Tabela2[],3,0),0)</f>
        <v>0.33200000000000002</v>
      </c>
      <c r="AE56" s="48">
        <f>IFERROR(VLOOKUP(Tabela3[[#This Row],[Produto]],Tabela2[],4,0),0)</f>
        <v>2.2999999999999998</v>
      </c>
      <c r="AF56" s="48">
        <f>IFERROR(VLOOKUP(Tabela3[[#This Row],[Produto]],Tabela2[],5,0),0)</f>
        <v>0.8747999999999998</v>
      </c>
      <c r="AG56" s="40">
        <f>IFERROR(VLOOKUP(Tabela3[[#This Row],[Produto]],Tabela2[],6,0),0)</f>
        <v>0</v>
      </c>
      <c r="AH56" s="40">
        <f>IFERROR(VLOOKUP(Tabela3[[#This Row],[Produto]],Tabela2[],7,0),0)</f>
        <v>0</v>
      </c>
      <c r="AI56" s="40">
        <f>IFERROR(VLOOKUP(Tabela3[[#This Row],[Produto]],Tabela2[],8,0),0)</f>
        <v>0</v>
      </c>
      <c r="AJ56" s="35">
        <f ca="1">IFERROR(VLOOKUP(Tabela3[[#This Row],[Produto]],Tabela2[],13,0),0)</f>
        <v>15.600000000000001</v>
      </c>
      <c r="AK56" s="40" t="str">
        <f>IFERROR(VLOOKUP(Tabela3[[#This Row],[Produto]],Tabela2[],14,0),0)</f>
        <v>Senun</v>
      </c>
      <c r="AL56" s="40">
        <f>IFERROR(VLOOKUP(Tabela3[[#This Row],[Produto]],Tabela2[],15,0),0)</f>
        <v>3.5</v>
      </c>
      <c r="AM56" s="36">
        <f ca="1">(Tabela3[[#This Row],[Custo Usinagem]]+Tabela3[[#This Row],[Custo / Pç]])*1.2</f>
        <v>16.545266954972405</v>
      </c>
      <c r="AN56" s="36">
        <f ca="1">Tabela3[[#This Row],[Valor Mínimo Venda]]*1.15</f>
        <v>19.027056998218264</v>
      </c>
      <c r="AO56" s="36">
        <f ca="1">Tabela3[[#This Row],[Tabela 1]]*1.08</f>
        <v>20.549221558075725</v>
      </c>
      <c r="AP56" s="36">
        <f ca="1">Tabela3[[#This Row],[Tabela 2]]*1.15</f>
        <v>23.631604791787083</v>
      </c>
    </row>
    <row r="57" spans="1:42">
      <c r="A57" s="9">
        <v>45712</v>
      </c>
      <c r="B57" s="6" t="s">
        <v>245</v>
      </c>
      <c r="C57" s="14">
        <v>5649</v>
      </c>
      <c r="D57" s="6" t="s">
        <v>46</v>
      </c>
      <c r="E57" s="6" t="s">
        <v>53</v>
      </c>
      <c r="F57" s="6">
        <v>80</v>
      </c>
      <c r="G57" s="15">
        <v>0.3611111111111111</v>
      </c>
      <c r="H57" s="16">
        <v>60</v>
      </c>
      <c r="I57" s="35">
        <f ca="1">IFERROR(Tabela3[[#This Row],[Custo Total]]/Tabela3[[#This Row],[Aluminio Util]],0)</f>
        <v>30.434457354738267</v>
      </c>
      <c r="J57" s="35">
        <f ca="1">Tabela3[[#This Row],[Custo Total]]/Tabela3[[#This Row],[Realizado]]</f>
        <v>10.104239841773106</v>
      </c>
      <c r="K57" s="37">
        <f>IFERROR(Tabela3[[#This Row],[Qtde Cx Produzida]]/Tabela3[[#This Row],[Tempo]]/24,0)</f>
        <v>9.2307692307692317</v>
      </c>
      <c r="L57" s="37">
        <f>Tabela3[[#This Row],[Qtde Cx Produzida]]*Tabela3[[#This Row],[Qdt Peça Placa]]</f>
        <v>320</v>
      </c>
      <c r="M57" s="37">
        <f>Tabela3[[#This Row],[Previsto]]-Tabela3[[#This Row],[Perda Pçs]]</f>
        <v>260</v>
      </c>
      <c r="N57" s="38">
        <f>IFERROR(Tabela3[[#This Row],[Perda Pçs]]/Tabela3[[#This Row],[Previsto]],0)</f>
        <v>0.1875</v>
      </c>
      <c r="O57" s="39">
        <f>IFERROR(IF(Tabela3[[#This Row],[Qtde Cx Produzida]] &lt;&gt; 0, Tabela3[[#This Row],[Tempo]] / Tabela3[[#This Row],[Qtde Cx Produzida]], 0),0)</f>
        <v>4.5138888888888885E-3</v>
      </c>
      <c r="P57" s="57">
        <f>IFERROR(Tabela3[[#This Row],[Perda Pçs]]/Tabela3[[#This Row],[Qdt Peça Placa]],0)</f>
        <v>15</v>
      </c>
      <c r="Q57" s="37">
        <f>IFERROR(Tabela3[[#This Row],[Realizado]]*Tabela3[[#This Row],[Peso Util/Pç]],0)</f>
        <v>86.320000000000007</v>
      </c>
      <c r="R57" s="37">
        <f>IFERROR(Tabela3[[#This Row],[Peso Total Galho]]*Tabela3[[#This Row],[Qtde Cx Produzida]]*1.055,0)</f>
        <v>194.11999999999998</v>
      </c>
      <c r="S57" s="37">
        <f>(Tabela3[[#This Row],[Aluminio Bruto]]-Tabela3[[#This Row],[Aluminio Util]])*0.9</f>
        <v>97.019999999999968</v>
      </c>
      <c r="T57" s="37">
        <f>Tabela3[[#This Row],[Aluminio Bruto]]/OleoKGAluminio</f>
        <v>81.666033005251393</v>
      </c>
      <c r="U57" s="35">
        <f>IFERROR((VLOOKUP(Tabela3[[#This Row],[Moldador]],Tabela1[],5,)+(VLOOKUP(Tabela3[[#This Row],[Ajudante]],Tabela1[],5,))*3.5),0)</f>
        <v>99.95034583333333</v>
      </c>
      <c r="V57" s="35">
        <f>IFERROR(Tabela3[[#This Row],[Custo M.O. / H]]/((Tabela3[[#This Row],[Realizado]]/Tabela3[[#This Row],[Qdt Peça Placa]])/Tabela3[[#This Row],[Tempo]]/24),)</f>
        <v>13.326712777777777</v>
      </c>
      <c r="W57" s="35">
        <f>Tabela3[[#This Row],[Custo / Cx Moldada]]*Tabela3[[#This Row],[Qtde Cx Produzida]]</f>
        <v>1066.1370222222222</v>
      </c>
      <c r="X57" s="35">
        <f ca="1">Tabela3[[#This Row],[Aluminio Util]]*Tabela3[[#This Row],[Custo/Kg]]</f>
        <v>1346.5920000000003</v>
      </c>
      <c r="Y57" s="35">
        <f>IFERROR(VLOOKUP(Tabela3[[#This Row],[Data]],Tabela461213[],2,1)*(Tabela3[[#This Row],[Qtde Cx Produzida]]*Tabela3[[#This Row],[Qde macho / CX]]*Tabela3[[#This Row],[Peso Macho]]),)</f>
        <v>0</v>
      </c>
      <c r="Z57" s="35">
        <f>IFERROR(Tabela3[[#This Row],[Qtde Oleo]]*(VLOOKUP(Tabela3[[#This Row],[Data]],CompraOleo[],3,TRUE))*1.05,0)</f>
        <v>214.37333663878491</v>
      </c>
      <c r="AA57" s="47">
        <f ca="1">(Tabela3[[#This Row],[Custo Oleo]]+Tabela3[[#This Row],[Custo Aluminio]]+Tabela3[[#This Row],[Custo M.O. Total]]+Tabela3[[#This Row],[Custo Machos]])</f>
        <v>2627.1023588610074</v>
      </c>
      <c r="AB57" s="47">
        <f ca="1">Tabela3[[#This Row],[Custo Total]]*Tabela3[[#This Row],[% Perda]]</f>
        <v>492.58169228643885</v>
      </c>
      <c r="AC57" s="48">
        <f>IFERROR(VLOOKUP(Tabela3[[#This Row],[Produto]],Tabela2[],2,0),0)</f>
        <v>4</v>
      </c>
      <c r="AD57" s="48">
        <f>IFERROR(VLOOKUP(Tabela3[[#This Row],[Produto]],Tabela2[],3,0),0)</f>
        <v>0.33200000000000002</v>
      </c>
      <c r="AE57" s="48">
        <f>IFERROR(VLOOKUP(Tabela3[[#This Row],[Produto]],Tabela2[],4,0),0)</f>
        <v>2.2999999999999998</v>
      </c>
      <c r="AF57" s="48">
        <f>IFERROR(VLOOKUP(Tabela3[[#This Row],[Produto]],Tabela2[],5,0),0)</f>
        <v>0.8747999999999998</v>
      </c>
      <c r="AG57" s="40">
        <f>IFERROR(VLOOKUP(Tabela3[[#This Row],[Produto]],Tabela2[],6,0),0)</f>
        <v>0</v>
      </c>
      <c r="AH57" s="40">
        <f>IFERROR(VLOOKUP(Tabela3[[#This Row],[Produto]],Tabela2[],7,0),0)</f>
        <v>0</v>
      </c>
      <c r="AI57" s="40">
        <f>IFERROR(VLOOKUP(Tabela3[[#This Row],[Produto]],Tabela2[],8,0),0)</f>
        <v>0</v>
      </c>
      <c r="AJ57" s="35">
        <f ca="1">IFERROR(VLOOKUP(Tabela3[[#This Row],[Produto]],Tabela2[],13,0),0)</f>
        <v>15.600000000000001</v>
      </c>
      <c r="AK57" s="40" t="str">
        <f>IFERROR(VLOOKUP(Tabela3[[#This Row],[Produto]],Tabela2[],14,0),0)</f>
        <v>Senun</v>
      </c>
      <c r="AL57" s="40">
        <f>IFERROR(VLOOKUP(Tabela3[[#This Row],[Produto]],Tabela2[],15,0),0)</f>
        <v>3.5</v>
      </c>
      <c r="AM57" s="36">
        <f ca="1">(Tabela3[[#This Row],[Custo Usinagem]]+Tabela3[[#This Row],[Custo / Pç]])*1.2</f>
        <v>16.325087810127727</v>
      </c>
      <c r="AN57" s="36">
        <f ca="1">Tabela3[[#This Row],[Valor Mínimo Venda]]*1.15</f>
        <v>18.773850981646884</v>
      </c>
      <c r="AO57" s="36">
        <f ca="1">Tabela3[[#This Row],[Tabela 1]]*1.08</f>
        <v>20.275759060178636</v>
      </c>
      <c r="AP57" s="36">
        <f ca="1">Tabela3[[#This Row],[Tabela 2]]*1.15</f>
        <v>23.317122919205431</v>
      </c>
    </row>
    <row r="58" spans="1:42">
      <c r="A58" s="9">
        <v>45712</v>
      </c>
      <c r="B58" s="6" t="s">
        <v>227</v>
      </c>
      <c r="C58" s="14">
        <v>5711</v>
      </c>
      <c r="D58" s="6" t="s">
        <v>44</v>
      </c>
      <c r="E58" s="6" t="s">
        <v>47</v>
      </c>
      <c r="F58" s="6">
        <v>2</v>
      </c>
      <c r="G58" s="15">
        <v>3.1944444444444442E-2</v>
      </c>
      <c r="H58" s="16">
        <v>0</v>
      </c>
      <c r="I58" s="35">
        <f ca="1">IFERROR(Tabela3[[#This Row],[Custo Total]]/Tabela3[[#This Row],[Aluminio Util]],0)</f>
        <v>20.270422266902013</v>
      </c>
      <c r="J58" s="35">
        <f ca="1">Tabela3[[#This Row],[Custo Total]]/Tabela3[[#This Row],[Realizado]]</f>
        <v>547.3014012063544</v>
      </c>
      <c r="K58" s="37">
        <f>IFERROR(Tabela3[[#This Row],[Qtde Cx Produzida]]/Tabela3[[#This Row],[Tempo]]/24,0)</f>
        <v>2.6086956521739135</v>
      </c>
      <c r="L58" s="37">
        <f>Tabela3[[#This Row],[Qtde Cx Produzida]]*Tabela3[[#This Row],[Qdt Peça Placa]]</f>
        <v>2</v>
      </c>
      <c r="M58" s="37">
        <f>Tabela3[[#This Row],[Previsto]]-Tabela3[[#This Row],[Perda Pçs]]</f>
        <v>2</v>
      </c>
      <c r="N58" s="38">
        <f>IFERROR(Tabela3[[#This Row],[Perda Pçs]]/Tabela3[[#This Row],[Previsto]],0)</f>
        <v>0</v>
      </c>
      <c r="O58" s="39">
        <f>IFERROR(IF(Tabela3[[#This Row],[Qtde Cx Produzida]] &lt;&gt; 0, Tabela3[[#This Row],[Tempo]] / Tabela3[[#This Row],[Qtde Cx Produzida]], 0),0)</f>
        <v>1.5972222222222221E-2</v>
      </c>
      <c r="P58" s="57">
        <f>IFERROR(Tabela3[[#This Row],[Perda Pçs]]/Tabela3[[#This Row],[Qdt Peça Placa]],0)</f>
        <v>0</v>
      </c>
      <c r="Q58" s="37">
        <f>IFERROR(Tabela3[[#This Row],[Realizado]]*Tabela3[[#This Row],[Peso Util/Pç]],0)</f>
        <v>54</v>
      </c>
      <c r="R58" s="37">
        <f>IFERROR(Tabela3[[#This Row],[Peso Total Galho]]*Tabela3[[#This Row],[Qtde Cx Produzida]]*1.055,0)</f>
        <v>61.19</v>
      </c>
      <c r="S58" s="37">
        <f>(Tabela3[[#This Row],[Aluminio Bruto]]-Tabela3[[#This Row],[Aluminio Util]])*0.9</f>
        <v>6.4709999999999983</v>
      </c>
      <c r="T58" s="37">
        <f>Tabela3[[#This Row],[Aluminio Bruto]]/OleoKGAluminio</f>
        <v>25.742553882090117</v>
      </c>
      <c r="U58" s="35">
        <f>IFERROR((VLOOKUP(Tabela3[[#This Row],[Moldador]],Tabela1[],5,)+(VLOOKUP(Tabela3[[#This Row],[Ajudante]],Tabela1[],5,))*3.5),0)</f>
        <v>99.95034583333333</v>
      </c>
      <c r="V58" s="35">
        <f>IFERROR(Tabela3[[#This Row],[Custo M.O. / H]]/((Tabela3[[#This Row],[Realizado]]/Tabela3[[#This Row],[Qdt Peça Placa]])/Tabela3[[#This Row],[Tempo]]/24),)</f>
        <v>38.314299236111104</v>
      </c>
      <c r="W58" s="35">
        <f>Tabela3[[#This Row],[Custo / Cx Moldada]]*Tabela3[[#This Row],[Qtde Cx Produzida]]</f>
        <v>76.628598472222208</v>
      </c>
      <c r="X58" s="35">
        <f ca="1">Tabela3[[#This Row],[Aluminio Util]]*Tabela3[[#This Row],[Custo/Kg]]</f>
        <v>950.40000000000009</v>
      </c>
      <c r="Y58" s="35">
        <f>IFERROR(VLOOKUP(Tabela3[[#This Row],[Data]],Tabela461213[],2,1)*(Tabela3[[#This Row],[Qtde Cx Produzida]]*Tabela3[[#This Row],[Qde macho / CX]]*Tabela3[[#This Row],[Peso Macho]]),)</f>
        <v>0</v>
      </c>
      <c r="Z58" s="35">
        <f>IFERROR(Tabela3[[#This Row],[Qtde Oleo]]*(VLOOKUP(Tabela3[[#This Row],[Data]],CompraOleo[],3,TRUE))*1.05,0)</f>
        <v>67.574203940486569</v>
      </c>
      <c r="AA58" s="47">
        <f ca="1">(Tabela3[[#This Row],[Custo Oleo]]+Tabela3[[#This Row],[Custo Aluminio]]+Tabela3[[#This Row],[Custo M.O. Total]]+Tabela3[[#This Row],[Custo Machos]])</f>
        <v>1094.6028024127088</v>
      </c>
      <c r="AB58" s="47">
        <f ca="1">Tabela3[[#This Row],[Custo Total]]*Tabela3[[#This Row],[% Perda]]</f>
        <v>0</v>
      </c>
      <c r="AC58" s="48">
        <f>IFERROR(VLOOKUP(Tabela3[[#This Row],[Produto]],Tabela2[],2,0),0)</f>
        <v>1</v>
      </c>
      <c r="AD58" s="48">
        <f>IFERROR(VLOOKUP(Tabela3[[#This Row],[Produto]],Tabela2[],3,0),0)</f>
        <v>27</v>
      </c>
      <c r="AE58" s="48">
        <f>IFERROR(VLOOKUP(Tabela3[[#This Row],[Produto]],Tabela2[],4,0),0)</f>
        <v>29</v>
      </c>
      <c r="AF58" s="48">
        <f>IFERROR(VLOOKUP(Tabela3[[#This Row],[Produto]],Tabela2[],5,0),0)</f>
        <v>1.8</v>
      </c>
      <c r="AG58" s="40">
        <f>IFERROR(VLOOKUP(Tabela3[[#This Row],[Produto]],Tabela2[],6,0),0)</f>
        <v>0</v>
      </c>
      <c r="AH58" s="40">
        <f>IFERROR(VLOOKUP(Tabela3[[#This Row],[Produto]],Tabela2[],7,0),0)</f>
        <v>0</v>
      </c>
      <c r="AI58" s="40">
        <f>IFERROR(VLOOKUP(Tabela3[[#This Row],[Produto]],Tabela2[],8,0),0)</f>
        <v>0</v>
      </c>
      <c r="AJ58" s="35">
        <f ca="1">IFERROR(VLOOKUP(Tabela3[[#This Row],[Produto]],Tabela2[],13,0),0)</f>
        <v>17.600000000000001</v>
      </c>
      <c r="AK58" s="40" t="str">
        <f>IFERROR(VLOOKUP(Tabela3[[#This Row],[Produto]],Tabela2[],14,0),0)</f>
        <v>Oscar</v>
      </c>
      <c r="AL58" s="40">
        <f>IFERROR(VLOOKUP(Tabela3[[#This Row],[Produto]],Tabela2[],15,0),0)</f>
        <v>0</v>
      </c>
      <c r="AM58" s="36">
        <f ca="1">(Tabela3[[#This Row],[Custo Usinagem]]+Tabela3[[#This Row],[Custo / Pç]])*1.2</f>
        <v>656.76168144762528</v>
      </c>
      <c r="AN58" s="36">
        <f ca="1">Tabela3[[#This Row],[Valor Mínimo Venda]]*1.15</f>
        <v>755.27593366476901</v>
      </c>
      <c r="AO58" s="36">
        <f ca="1">Tabela3[[#This Row],[Tabela 1]]*1.08</f>
        <v>815.69800835795058</v>
      </c>
      <c r="AP58" s="36">
        <f ca="1">Tabela3[[#This Row],[Tabela 2]]*1.15</f>
        <v>938.05270961164308</v>
      </c>
    </row>
    <row r="59" spans="1:42">
      <c r="A59" s="9">
        <v>45712</v>
      </c>
      <c r="B59" s="6" t="s">
        <v>188</v>
      </c>
      <c r="C59" s="14">
        <v>5704</v>
      </c>
      <c r="D59" s="6" t="s">
        <v>44</v>
      </c>
      <c r="E59" s="6" t="s">
        <v>47</v>
      </c>
      <c r="F59" s="6">
        <v>9</v>
      </c>
      <c r="G59" s="15">
        <v>7.7777777777777779E-2</v>
      </c>
      <c r="H59" s="16">
        <v>0</v>
      </c>
      <c r="I59" s="35">
        <f ca="1">IFERROR(Tabela3[[#This Row],[Custo Total]]/Tabela3[[#This Row],[Aluminio Util]],0)</f>
        <v>19.537557696620649</v>
      </c>
      <c r="J59" s="35">
        <f ca="1">Tabela3[[#This Row],[Custo Total]]/Tabela3[[#This Row],[Realizado]]</f>
        <v>574.40419628064706</v>
      </c>
      <c r="K59" s="37">
        <f>IFERROR(Tabela3[[#This Row],[Qtde Cx Produzida]]/Tabela3[[#This Row],[Tempo]]/24,0)</f>
        <v>4.8214285714285712</v>
      </c>
      <c r="L59" s="37">
        <f>Tabela3[[#This Row],[Qtde Cx Produzida]]*Tabela3[[#This Row],[Qdt Peça Placa]]</f>
        <v>9</v>
      </c>
      <c r="M59" s="37">
        <f>Tabela3[[#This Row],[Previsto]]-Tabela3[[#This Row],[Perda Pçs]]</f>
        <v>9</v>
      </c>
      <c r="N59" s="38">
        <f>IFERROR(Tabela3[[#This Row],[Perda Pçs]]/Tabela3[[#This Row],[Previsto]],0)</f>
        <v>0</v>
      </c>
      <c r="O59" s="39">
        <f>IFERROR(IF(Tabela3[[#This Row],[Qtde Cx Produzida]] &lt;&gt; 0, Tabela3[[#This Row],[Tempo]] / Tabela3[[#This Row],[Qtde Cx Produzida]], 0),0)</f>
        <v>8.6419753086419762E-3</v>
      </c>
      <c r="P59" s="57">
        <f>IFERROR(Tabela3[[#This Row],[Perda Pçs]]/Tabela3[[#This Row],[Qdt Peça Placa]],0)</f>
        <v>0</v>
      </c>
      <c r="Q59" s="37">
        <f>IFERROR(Tabela3[[#This Row],[Realizado]]*Tabela3[[#This Row],[Peso Util/Pç]],0)</f>
        <v>264.59999999999997</v>
      </c>
      <c r="R59" s="37">
        <f>IFERROR(Tabela3[[#This Row],[Peso Total Galho]]*Tabela3[[#This Row],[Qtde Cx Produzida]]*1.055,0)</f>
        <v>295.29450000000003</v>
      </c>
      <c r="S59" s="37">
        <f>(Tabela3[[#This Row],[Aluminio Bruto]]-Tabela3[[#This Row],[Aluminio Util]])*0.9</f>
        <v>27.625050000000055</v>
      </c>
      <c r="T59" s="37">
        <f>Tabela3[[#This Row],[Aluminio Bruto]]/OleoKGAluminio</f>
        <v>124.23001433787974</v>
      </c>
      <c r="U59" s="35">
        <f>IFERROR((VLOOKUP(Tabela3[[#This Row],[Moldador]],Tabela1[],5,)+(VLOOKUP(Tabela3[[#This Row],[Ajudante]],Tabela1[],5,))*3.5),0)</f>
        <v>99.95034583333333</v>
      </c>
      <c r="V59" s="35">
        <f>IFERROR(Tabela3[[#This Row],[Custo M.O. / H]]/((Tabela3[[#This Row],[Realizado]]/Tabela3[[#This Row],[Qdt Peça Placa]])/Tabela3[[#This Row],[Tempo]]/24),)</f>
        <v>20.730442098765433</v>
      </c>
      <c r="W59" s="35">
        <f>Tabela3[[#This Row],[Custo / Cx Moldada]]*Tabela3[[#This Row],[Qtde Cx Produzida]]</f>
        <v>186.57397888888889</v>
      </c>
      <c r="X59" s="35">
        <f ca="1">Tabela3[[#This Row],[Aluminio Util]]*Tabela3[[#This Row],[Custo/Kg]]</f>
        <v>4656.96</v>
      </c>
      <c r="Y59" s="35">
        <f>IFERROR(VLOOKUP(Tabela3[[#This Row],[Data]],Tabela461213[],2,1)*(Tabela3[[#This Row],[Qtde Cx Produzida]]*Tabela3[[#This Row],[Qde macho / CX]]*Tabela3[[#This Row],[Peso Macho]]),)</f>
        <v>0</v>
      </c>
      <c r="Z59" s="35">
        <f>IFERROR(Tabela3[[#This Row],[Qtde Oleo]]*(VLOOKUP(Tabela3[[#This Row],[Data]],CompraOleo[],3,TRUE))*1.05,0)</f>
        <v>326.10378763693433</v>
      </c>
      <c r="AA59" s="47">
        <f ca="1">(Tabela3[[#This Row],[Custo Oleo]]+Tabela3[[#This Row],[Custo Aluminio]]+Tabela3[[#This Row],[Custo M.O. Total]]+Tabela3[[#This Row],[Custo Machos]])</f>
        <v>5169.6377665258233</v>
      </c>
      <c r="AB59" s="47">
        <f ca="1">Tabela3[[#This Row],[Custo Total]]*Tabela3[[#This Row],[% Perda]]</f>
        <v>0</v>
      </c>
      <c r="AC59" s="48">
        <f>IFERROR(VLOOKUP(Tabela3[[#This Row],[Produto]],Tabela2[],2,0),0)</f>
        <v>1</v>
      </c>
      <c r="AD59" s="48">
        <f>IFERROR(VLOOKUP(Tabela3[[#This Row],[Produto]],Tabela2[],3,0),0)</f>
        <v>29.4</v>
      </c>
      <c r="AE59" s="48">
        <f>IFERROR(VLOOKUP(Tabela3[[#This Row],[Produto]],Tabela2[],4,0),0)</f>
        <v>31.1</v>
      </c>
      <c r="AF59" s="48">
        <f>IFERROR(VLOOKUP(Tabela3[[#This Row],[Produto]],Tabela2[],5,0),0)</f>
        <v>1.5300000000000027</v>
      </c>
      <c r="AG59" s="40">
        <f>IFERROR(VLOOKUP(Tabela3[[#This Row],[Produto]],Tabela2[],6,0),0)</f>
        <v>0</v>
      </c>
      <c r="AH59" s="40">
        <f>IFERROR(VLOOKUP(Tabela3[[#This Row],[Produto]],Tabela2[],7,0),0)</f>
        <v>0</v>
      </c>
      <c r="AI59" s="40">
        <f>IFERROR(VLOOKUP(Tabela3[[#This Row],[Produto]],Tabela2[],8,0),0)</f>
        <v>0</v>
      </c>
      <c r="AJ59" s="35">
        <f ca="1">IFERROR(VLOOKUP(Tabela3[[#This Row],[Produto]],Tabela2[],13,0),0)</f>
        <v>17.600000000000001</v>
      </c>
      <c r="AK59" s="40" t="str">
        <f>IFERROR(VLOOKUP(Tabela3[[#This Row],[Produto]],Tabela2[],14,0),0)</f>
        <v>Oscar</v>
      </c>
      <c r="AL59" s="40">
        <f>IFERROR(VLOOKUP(Tabela3[[#This Row],[Produto]],Tabela2[],15,0),0)</f>
        <v>4</v>
      </c>
      <c r="AM59" s="36">
        <f ca="1">(Tabela3[[#This Row],[Custo Usinagem]]+Tabela3[[#This Row],[Custo / Pç]])*1.2</f>
        <v>694.08503553677645</v>
      </c>
      <c r="AN59" s="36">
        <f ca="1">Tabela3[[#This Row],[Valor Mínimo Venda]]*1.15</f>
        <v>798.19779086729284</v>
      </c>
      <c r="AO59" s="36">
        <f ca="1">Tabela3[[#This Row],[Tabela 1]]*1.08</f>
        <v>862.05361413667629</v>
      </c>
      <c r="AP59" s="36">
        <f ca="1">Tabela3[[#This Row],[Tabela 2]]*1.15</f>
        <v>991.36165625717763</v>
      </c>
    </row>
    <row r="60" spans="1:42">
      <c r="A60" s="9">
        <v>45712</v>
      </c>
      <c r="B60" s="6" t="s">
        <v>229</v>
      </c>
      <c r="C60" s="14">
        <v>5653</v>
      </c>
      <c r="D60" s="6" t="s">
        <v>44</v>
      </c>
      <c r="E60" s="6" t="s">
        <v>47</v>
      </c>
      <c r="F60" s="6">
        <v>20</v>
      </c>
      <c r="G60" s="15">
        <v>0.10208333333333333</v>
      </c>
      <c r="H60" s="16">
        <v>0</v>
      </c>
      <c r="I60" s="35">
        <f ca="1">IFERROR(Tabela3[[#This Row],[Custo Total]]/Tabela3[[#This Row],[Aluminio Util]],0)</f>
        <v>21.516941148818891</v>
      </c>
      <c r="J60" s="35">
        <f ca="1">Tabela3[[#This Row],[Custo Total]]/Tabela3[[#This Row],[Realizado]]</f>
        <v>59.989231922907059</v>
      </c>
      <c r="K60" s="37">
        <f>IFERROR(Tabela3[[#This Row],[Qtde Cx Produzida]]/Tabela3[[#This Row],[Tempo]]/24,0)</f>
        <v>8.1632653061224492</v>
      </c>
      <c r="L60" s="37">
        <f>Tabela3[[#This Row],[Qtde Cx Produzida]]*Tabela3[[#This Row],[Qdt Peça Placa]]</f>
        <v>20</v>
      </c>
      <c r="M60" s="37">
        <f>Tabela3[[#This Row],[Previsto]]-Tabela3[[#This Row],[Perda Pçs]]</f>
        <v>20</v>
      </c>
      <c r="N60" s="38">
        <f>IFERROR(Tabela3[[#This Row],[Perda Pçs]]/Tabela3[[#This Row],[Previsto]],0)</f>
        <v>0</v>
      </c>
      <c r="O60" s="39">
        <f>IFERROR(IF(Tabela3[[#This Row],[Qtde Cx Produzida]] &lt;&gt; 0, Tabela3[[#This Row],[Tempo]] / Tabela3[[#This Row],[Qtde Cx Produzida]], 0),0)</f>
        <v>5.1041666666666666E-3</v>
      </c>
      <c r="P60" s="57">
        <f>IFERROR(Tabela3[[#This Row],[Perda Pçs]]/Tabela3[[#This Row],[Qdt Peça Placa]],0)</f>
        <v>0</v>
      </c>
      <c r="Q60" s="37">
        <f>IFERROR(Tabela3[[#This Row],[Realizado]]*Tabela3[[#This Row],[Peso Util/Pç]],0)</f>
        <v>55.76</v>
      </c>
      <c r="R60" s="37">
        <f>IFERROR(Tabela3[[#This Row],[Peso Total Galho]]*Tabela3[[#This Row],[Qtde Cx Produzida]]*1.055,0)</f>
        <v>77.015000000000001</v>
      </c>
      <c r="S60" s="37">
        <f>(Tabela3[[#This Row],[Aluminio Bruto]]-Tabela3[[#This Row],[Aluminio Util]])*0.9</f>
        <v>19.129500000000004</v>
      </c>
      <c r="T60" s="37">
        <f>Tabela3[[#This Row],[Aluminio Bruto]]/OleoKGAluminio</f>
        <v>32.400110920561701</v>
      </c>
      <c r="U60" s="35">
        <f>IFERROR((VLOOKUP(Tabela3[[#This Row],[Moldador]],Tabela1[],5,)+(VLOOKUP(Tabela3[[#This Row],[Ajudante]],Tabela1[],5,))*3.5),0)</f>
        <v>99.95034583333333</v>
      </c>
      <c r="V60" s="35">
        <f>IFERROR(Tabela3[[#This Row],[Custo M.O. / H]]/((Tabela3[[#This Row],[Realizado]]/Tabela3[[#This Row],[Qdt Peça Placa]])/Tabela3[[#This Row],[Tempo]]/24),)</f>
        <v>12.243917364583332</v>
      </c>
      <c r="W60" s="35">
        <f>Tabela3[[#This Row],[Custo / Cx Moldada]]*Tabela3[[#This Row],[Qtde Cx Produzida]]</f>
        <v>244.87834729166664</v>
      </c>
      <c r="X60" s="35">
        <f ca="1">Tabela3[[#This Row],[Aluminio Util]]*Tabela3[[#This Row],[Custo/Kg]]</f>
        <v>869.85599999999999</v>
      </c>
      <c r="Y60" s="35">
        <f>IFERROR(VLOOKUP(Tabela3[[#This Row],[Data]],Tabela461213[],2,1)*(Tabela3[[#This Row],[Qtde Cx Produzida]]*Tabela3[[#This Row],[Qde macho / CX]]*Tabela3[[#This Row],[Peso Macho]]),)</f>
        <v>0</v>
      </c>
      <c r="Z60" s="35">
        <f>IFERROR(Tabela3[[#This Row],[Qtde Oleo]]*(VLOOKUP(Tabela3[[#This Row],[Data]],CompraOleo[],3,TRUE))*1.05,0)</f>
        <v>85.050291166474466</v>
      </c>
      <c r="AA60" s="47">
        <f ca="1">(Tabela3[[#This Row],[Custo Oleo]]+Tabela3[[#This Row],[Custo Aluminio]]+Tabela3[[#This Row],[Custo M.O. Total]]+Tabela3[[#This Row],[Custo Machos]])</f>
        <v>1199.7846384581412</v>
      </c>
      <c r="AB60" s="47">
        <f ca="1">Tabela3[[#This Row],[Custo Total]]*Tabela3[[#This Row],[% Perda]]</f>
        <v>0</v>
      </c>
      <c r="AC60" s="48">
        <f>IFERROR(VLOOKUP(Tabela3[[#This Row],[Produto]],Tabela2[],2,0),0)</f>
        <v>1</v>
      </c>
      <c r="AD60" s="48">
        <f>IFERROR(VLOOKUP(Tabela3[[#This Row],[Produto]],Tabela2[],3,0),0)</f>
        <v>2.7879999999999998</v>
      </c>
      <c r="AE60" s="48">
        <f>IFERROR(VLOOKUP(Tabela3[[#This Row],[Produto]],Tabela2[],4,0),0)</f>
        <v>3.65</v>
      </c>
      <c r="AF60" s="48">
        <f>IFERROR(VLOOKUP(Tabela3[[#This Row],[Produto]],Tabela2[],5,0),0)</f>
        <v>0.77580000000000016</v>
      </c>
      <c r="AG60" s="40">
        <f>IFERROR(VLOOKUP(Tabela3[[#This Row],[Produto]],Tabela2[],6,0),0)</f>
        <v>0</v>
      </c>
      <c r="AH60" s="40">
        <f>IFERROR(VLOOKUP(Tabela3[[#This Row],[Produto]],Tabela2[],7,0),0)</f>
        <v>0</v>
      </c>
      <c r="AI60" s="40">
        <f>IFERROR(VLOOKUP(Tabela3[[#This Row],[Produto]],Tabela2[],8,0),0)</f>
        <v>0</v>
      </c>
      <c r="AJ60" s="35">
        <f ca="1">IFERROR(VLOOKUP(Tabela3[[#This Row],[Produto]],Tabela2[],13,0),0)</f>
        <v>15.600000000000001</v>
      </c>
      <c r="AK60" s="40" t="str">
        <f>IFERROR(VLOOKUP(Tabela3[[#This Row],[Produto]],Tabela2[],14,0),0)</f>
        <v>Jumil</v>
      </c>
      <c r="AL60" s="40">
        <f>IFERROR(VLOOKUP(Tabela3[[#This Row],[Produto]],Tabela2[],15,0),0)</f>
        <v>35</v>
      </c>
      <c r="AM60" s="36">
        <f ca="1">(Tabela3[[#This Row],[Custo Usinagem]]+Tabela3[[#This Row],[Custo / Pç]])*1.2</f>
        <v>113.98707830748847</v>
      </c>
      <c r="AN60" s="36">
        <f ca="1">Tabela3[[#This Row],[Valor Mínimo Venda]]*1.15</f>
        <v>131.08514005361172</v>
      </c>
      <c r="AO60" s="36">
        <f ca="1">Tabela3[[#This Row],[Tabela 1]]*1.08</f>
        <v>141.57195125790068</v>
      </c>
      <c r="AP60" s="36">
        <f ca="1">Tabela3[[#This Row],[Tabela 2]]*1.15</f>
        <v>162.80774394658576</v>
      </c>
    </row>
    <row r="61" spans="1:42">
      <c r="A61" s="9">
        <v>45712</v>
      </c>
      <c r="B61" s="6" t="s">
        <v>254</v>
      </c>
      <c r="C61" s="14">
        <v>5171</v>
      </c>
      <c r="D61" s="6" t="s">
        <v>44</v>
      </c>
      <c r="E61" s="6" t="s">
        <v>47</v>
      </c>
      <c r="F61" s="6">
        <v>9</v>
      </c>
      <c r="G61" s="15">
        <v>0.05</v>
      </c>
      <c r="H61" s="16">
        <v>0</v>
      </c>
      <c r="I61" s="35">
        <f ca="1">IFERROR(Tabela3[[#This Row],[Custo Total]]/Tabela3[[#This Row],[Aluminio Util]],0)</f>
        <v>34.407377173067729</v>
      </c>
      <c r="J61" s="35">
        <f ca="1">Tabela3[[#This Row],[Custo Total]]/Tabela3[[#This Row],[Realizado]]</f>
        <v>31.620379622049242</v>
      </c>
      <c r="K61" s="37">
        <f>IFERROR(Tabela3[[#This Row],[Qtde Cx Produzida]]/Tabela3[[#This Row],[Tempo]]/24,0)</f>
        <v>7.5</v>
      </c>
      <c r="L61" s="37">
        <f>Tabela3[[#This Row],[Qtde Cx Produzida]]*Tabela3[[#This Row],[Qdt Peça Placa]]</f>
        <v>9</v>
      </c>
      <c r="M61" s="37">
        <f>Tabela3[[#This Row],[Previsto]]-Tabela3[[#This Row],[Perda Pçs]]</f>
        <v>9</v>
      </c>
      <c r="N61" s="38">
        <f>IFERROR(Tabela3[[#This Row],[Perda Pçs]]/Tabela3[[#This Row],[Previsto]],0)</f>
        <v>0</v>
      </c>
      <c r="O61" s="39">
        <f>IFERROR(IF(Tabela3[[#This Row],[Qtde Cx Produzida]] &lt;&gt; 0, Tabela3[[#This Row],[Tempo]] / Tabela3[[#This Row],[Qtde Cx Produzida]], 0),0)</f>
        <v>5.5555555555555558E-3</v>
      </c>
      <c r="P61" s="57">
        <f>IFERROR(Tabela3[[#This Row],[Perda Pçs]]/Tabela3[[#This Row],[Qdt Peça Placa]],0)</f>
        <v>0</v>
      </c>
      <c r="Q61" s="37">
        <f>IFERROR(Tabela3[[#This Row],[Realizado]]*Tabela3[[#This Row],[Peso Util/Pç]],0)</f>
        <v>8.2710000000000008</v>
      </c>
      <c r="R61" s="37">
        <f>IFERROR(Tabela3[[#This Row],[Peso Total Galho]]*Tabela3[[#This Row],[Qtde Cx Produzida]]*1.055,0)</f>
        <v>17.271404999999998</v>
      </c>
      <c r="S61" s="37">
        <f>(Tabela3[[#This Row],[Aluminio Bruto]]-Tabela3[[#This Row],[Aluminio Util]])*0.9</f>
        <v>8.1003644999999977</v>
      </c>
      <c r="T61" s="37">
        <f>Tabela3[[#This Row],[Aluminio Bruto]]/OleoKGAluminio</f>
        <v>7.2660577517878844</v>
      </c>
      <c r="U61" s="35">
        <f>IFERROR((VLOOKUP(Tabela3[[#This Row],[Moldador]],Tabela1[],5,)+(VLOOKUP(Tabela3[[#This Row],[Ajudante]],Tabela1[],5,))*3.5),0)</f>
        <v>99.95034583333333</v>
      </c>
      <c r="V61" s="35">
        <f>IFERROR(Tabela3[[#This Row],[Custo M.O. / H]]/((Tabela3[[#This Row],[Realizado]]/Tabela3[[#This Row],[Qdt Peça Placa]])/Tabela3[[#This Row],[Tempo]]/24),)</f>
        <v>13.326712777777777</v>
      </c>
      <c r="W61" s="35">
        <f>Tabela3[[#This Row],[Custo / Cx Moldada]]*Tabela3[[#This Row],[Qtde Cx Produzida]]</f>
        <v>119.94041499999999</v>
      </c>
      <c r="X61" s="35">
        <f ca="1">Tabela3[[#This Row],[Aluminio Util]]*Tabela3[[#This Row],[Custo/Kg]]</f>
        <v>145.56960000000004</v>
      </c>
      <c r="Y61" s="35">
        <f>IFERROR(VLOOKUP(Tabela3[[#This Row],[Data]],Tabela461213[],2,1)*(Tabela3[[#This Row],[Qtde Cx Produzida]]*Tabela3[[#This Row],[Qde macho / CX]]*Tabela3[[#This Row],[Peso Macho]]),)</f>
        <v>0</v>
      </c>
      <c r="Z61" s="35">
        <f>IFERROR(Tabela3[[#This Row],[Qtde Oleo]]*(VLOOKUP(Tabela3[[#This Row],[Data]],CompraOleo[],3,TRUE))*1.05,0)</f>
        <v>19.073401598443198</v>
      </c>
      <c r="AA61" s="47">
        <f ca="1">(Tabela3[[#This Row],[Custo Oleo]]+Tabela3[[#This Row],[Custo Aluminio]]+Tabela3[[#This Row],[Custo M.O. Total]]+Tabela3[[#This Row],[Custo Machos]])</f>
        <v>284.58341659844319</v>
      </c>
      <c r="AB61" s="47">
        <f ca="1">Tabela3[[#This Row],[Custo Total]]*Tabela3[[#This Row],[% Perda]]</f>
        <v>0</v>
      </c>
      <c r="AC61" s="48">
        <f>IFERROR(VLOOKUP(Tabela3[[#This Row],[Produto]],Tabela2[],2,0),0)</f>
        <v>1</v>
      </c>
      <c r="AD61" s="48">
        <f>IFERROR(VLOOKUP(Tabela3[[#This Row],[Produto]],Tabela2[],3,0),0)</f>
        <v>0.91900000000000004</v>
      </c>
      <c r="AE61" s="48">
        <f>IFERROR(VLOOKUP(Tabela3[[#This Row],[Produto]],Tabela2[],4,0),0)</f>
        <v>1.819</v>
      </c>
      <c r="AF61" s="48">
        <f>IFERROR(VLOOKUP(Tabela3[[#This Row],[Produto]],Tabela2[],5,0),0)</f>
        <v>0.80999999999999994</v>
      </c>
      <c r="AG61" s="40">
        <f>IFERROR(VLOOKUP(Tabela3[[#This Row],[Produto]],Tabela2[],6,0),0)</f>
        <v>0</v>
      </c>
      <c r="AH61" s="40">
        <f>IFERROR(VLOOKUP(Tabela3[[#This Row],[Produto]],Tabela2[],7,0),0)</f>
        <v>0</v>
      </c>
      <c r="AI61" s="40">
        <f>IFERROR(VLOOKUP(Tabela3[[#This Row],[Produto]],Tabela2[],8,0),0)</f>
        <v>0</v>
      </c>
      <c r="AJ61" s="35">
        <f ca="1">IFERROR(VLOOKUP(Tabela3[[#This Row],[Produto]],Tabela2[],13,0),0)</f>
        <v>17.600000000000001</v>
      </c>
      <c r="AK61" s="40" t="str">
        <f>IFERROR(VLOOKUP(Tabela3[[#This Row],[Produto]],Tabela2[],14,0),0)</f>
        <v>Protec</v>
      </c>
      <c r="AL61" s="40">
        <f>IFERROR(VLOOKUP(Tabela3[[#This Row],[Produto]],Tabela2[],15,0),0)</f>
        <v>0</v>
      </c>
      <c r="AM61" s="36">
        <f ca="1">(Tabela3[[#This Row],[Custo Usinagem]]+Tabela3[[#This Row],[Custo / Pç]])*1.2</f>
        <v>37.944455546459089</v>
      </c>
      <c r="AN61" s="36">
        <f ca="1">Tabela3[[#This Row],[Valor Mínimo Venda]]*1.15</f>
        <v>43.636123878427952</v>
      </c>
      <c r="AO61" s="36">
        <f ca="1">Tabela3[[#This Row],[Tabela 1]]*1.08</f>
        <v>47.127013788702193</v>
      </c>
      <c r="AP61" s="36">
        <f ca="1">Tabela3[[#This Row],[Tabela 2]]*1.15</f>
        <v>54.196065857007518</v>
      </c>
    </row>
    <row r="62" spans="1:42">
      <c r="A62" s="9">
        <v>45713</v>
      </c>
      <c r="B62" s="6" t="s">
        <v>245</v>
      </c>
      <c r="C62" s="14">
        <v>5649</v>
      </c>
      <c r="D62" s="6" t="s">
        <v>46</v>
      </c>
      <c r="E62" s="6" t="s">
        <v>53</v>
      </c>
      <c r="F62" s="6">
        <v>66</v>
      </c>
      <c r="G62" s="15">
        <v>0.32291666666666669</v>
      </c>
      <c r="H62" s="16">
        <v>0</v>
      </c>
      <c r="I62" s="35">
        <f ca="1">IFERROR(Tabela3[[#This Row],[Custo Total]]/Tabela3[[#This Row],[Aluminio Util]],0)</f>
        <v>26.45561773155498</v>
      </c>
      <c r="J62" s="35">
        <f ca="1">Tabela3[[#This Row],[Custo Total]]/Tabela3[[#This Row],[Realizado]]</f>
        <v>8.7832650868762538</v>
      </c>
      <c r="K62" s="37">
        <f>IFERROR(Tabela3[[#This Row],[Qtde Cx Produzida]]/Tabela3[[#This Row],[Tempo]]/24,0)</f>
        <v>8.5161290322580641</v>
      </c>
      <c r="L62" s="37">
        <f>Tabela3[[#This Row],[Qtde Cx Produzida]]*Tabela3[[#This Row],[Qdt Peça Placa]]</f>
        <v>264</v>
      </c>
      <c r="M62" s="37">
        <f>Tabela3[[#This Row],[Previsto]]-Tabela3[[#This Row],[Perda Pçs]]</f>
        <v>264</v>
      </c>
      <c r="N62" s="38">
        <f>IFERROR(Tabela3[[#This Row],[Perda Pçs]]/Tabela3[[#This Row],[Previsto]],0)</f>
        <v>0</v>
      </c>
      <c r="O62" s="39">
        <f>IFERROR(IF(Tabela3[[#This Row],[Qtde Cx Produzida]] &lt;&gt; 0, Tabela3[[#This Row],[Tempo]] / Tabela3[[#This Row],[Qtde Cx Produzida]], 0),0)</f>
        <v>4.892676767676768E-3</v>
      </c>
      <c r="P62" s="57">
        <f>IFERROR(Tabela3[[#This Row],[Perda Pçs]]/Tabela3[[#This Row],[Qdt Peça Placa]],0)</f>
        <v>0</v>
      </c>
      <c r="Q62" s="37">
        <f>IFERROR(Tabela3[[#This Row],[Realizado]]*Tabela3[[#This Row],[Peso Util/Pç]],0)</f>
        <v>87.64800000000001</v>
      </c>
      <c r="R62" s="37">
        <f>IFERROR(Tabela3[[#This Row],[Peso Total Galho]]*Tabela3[[#This Row],[Qtde Cx Produzida]]*1.055,0)</f>
        <v>160.14899999999997</v>
      </c>
      <c r="S62" s="37">
        <f>(Tabela3[[#This Row],[Aluminio Bruto]]-Tabela3[[#This Row],[Aluminio Util]])*0.9</f>
        <v>65.250899999999973</v>
      </c>
      <c r="T62" s="37">
        <f>Tabela3[[#This Row],[Aluminio Bruto]]/OleoKGAluminio</f>
        <v>67.374477229332399</v>
      </c>
      <c r="U62" s="35">
        <f>IFERROR((VLOOKUP(Tabela3[[#This Row],[Moldador]],Tabela1[],5,)+(VLOOKUP(Tabela3[[#This Row],[Ajudante]],Tabela1[],5,))*3.5),0)</f>
        <v>99.95034583333333</v>
      </c>
      <c r="V62" s="35">
        <f>IFERROR(Tabela3[[#This Row],[Custo M.O. / H]]/((Tabela3[[#This Row],[Realizado]]/Tabela3[[#This Row],[Qdt Peça Placa]])/Tabela3[[#This Row],[Tempo]]/24),)</f>
        <v>11.736593639520203</v>
      </c>
      <c r="W62" s="35">
        <f>Tabela3[[#This Row],[Custo / Cx Moldada]]*Tabela3[[#This Row],[Qtde Cx Produzida]]</f>
        <v>774.61518020833341</v>
      </c>
      <c r="X62" s="35">
        <f ca="1">Tabela3[[#This Row],[Aluminio Util]]*Tabela3[[#This Row],[Custo/Kg]]</f>
        <v>1367.3088000000002</v>
      </c>
      <c r="Y62" s="35">
        <f>IFERROR(VLOOKUP(Tabela3[[#This Row],[Data]],Tabela461213[],2,1)*(Tabela3[[#This Row],[Qtde Cx Produzida]]*Tabela3[[#This Row],[Qde macho / CX]]*Tabela3[[#This Row],[Peso Macho]]),)</f>
        <v>0</v>
      </c>
      <c r="Z62" s="35">
        <f>IFERROR(Tabela3[[#This Row],[Qtde Oleo]]*(VLOOKUP(Tabela3[[#This Row],[Data]],CompraOleo[],3,TRUE))*1.05,0)</f>
        <v>176.85800272699757</v>
      </c>
      <c r="AA62" s="47">
        <f ca="1">(Tabela3[[#This Row],[Custo Oleo]]+Tabela3[[#This Row],[Custo Aluminio]]+Tabela3[[#This Row],[Custo M.O. Total]]+Tabela3[[#This Row],[Custo Machos]])</f>
        <v>2318.7819829353311</v>
      </c>
      <c r="AB62" s="47">
        <f ca="1">Tabela3[[#This Row],[Custo Total]]*Tabela3[[#This Row],[% Perda]]</f>
        <v>0</v>
      </c>
      <c r="AC62" s="48">
        <f>IFERROR(VLOOKUP(Tabela3[[#This Row],[Produto]],Tabela2[],2,0),0)</f>
        <v>4</v>
      </c>
      <c r="AD62" s="48">
        <f>IFERROR(VLOOKUP(Tabela3[[#This Row],[Produto]],Tabela2[],3,0),0)</f>
        <v>0.33200000000000002</v>
      </c>
      <c r="AE62" s="48">
        <f>IFERROR(VLOOKUP(Tabela3[[#This Row],[Produto]],Tabela2[],4,0),0)</f>
        <v>2.2999999999999998</v>
      </c>
      <c r="AF62" s="48">
        <f>IFERROR(VLOOKUP(Tabela3[[#This Row],[Produto]],Tabela2[],5,0),0)</f>
        <v>0.8747999999999998</v>
      </c>
      <c r="AG62" s="40">
        <f>IFERROR(VLOOKUP(Tabela3[[#This Row],[Produto]],Tabela2[],6,0),0)</f>
        <v>0</v>
      </c>
      <c r="AH62" s="40">
        <f>IFERROR(VLOOKUP(Tabela3[[#This Row],[Produto]],Tabela2[],7,0),0)</f>
        <v>0</v>
      </c>
      <c r="AI62" s="40">
        <f>IFERROR(VLOOKUP(Tabela3[[#This Row],[Produto]],Tabela2[],8,0),0)</f>
        <v>0</v>
      </c>
      <c r="AJ62" s="35">
        <f ca="1">IFERROR(VLOOKUP(Tabela3[[#This Row],[Produto]],Tabela2[],13,0),0)</f>
        <v>15.600000000000001</v>
      </c>
      <c r="AK62" s="40" t="str">
        <f>IFERROR(VLOOKUP(Tabela3[[#This Row],[Produto]],Tabela2[],14,0),0)</f>
        <v>Senun</v>
      </c>
      <c r="AL62" s="40">
        <f>IFERROR(VLOOKUP(Tabela3[[#This Row],[Produto]],Tabela2[],15,0),0)</f>
        <v>3.5</v>
      </c>
      <c r="AM62" s="36">
        <f ca="1">(Tabela3[[#This Row],[Custo Usinagem]]+Tabela3[[#This Row],[Custo / Pç]])*1.2</f>
        <v>14.739918104251505</v>
      </c>
      <c r="AN62" s="36">
        <f ca="1">Tabela3[[#This Row],[Valor Mínimo Venda]]*1.15</f>
        <v>16.950905819889229</v>
      </c>
      <c r="AO62" s="36">
        <f ca="1">Tabela3[[#This Row],[Tabela 1]]*1.08</f>
        <v>18.306978285480369</v>
      </c>
      <c r="AP62" s="36">
        <f ca="1">Tabela3[[#This Row],[Tabela 2]]*1.15</f>
        <v>21.053025028302422</v>
      </c>
    </row>
    <row r="63" spans="1:42">
      <c r="A63" s="9">
        <v>45713</v>
      </c>
      <c r="B63" s="6" t="s">
        <v>236</v>
      </c>
      <c r="C63" s="14">
        <v>5692</v>
      </c>
      <c r="D63" s="6" t="s">
        <v>46</v>
      </c>
      <c r="E63" s="6" t="s">
        <v>53</v>
      </c>
      <c r="F63" s="6">
        <v>2</v>
      </c>
      <c r="G63" s="15">
        <v>1.3888888888888888E-2</v>
      </c>
      <c r="H63" s="16">
        <v>0</v>
      </c>
      <c r="I63" s="35">
        <f ca="1">IFERROR(Tabela3[[#This Row],[Custo Total]]/Tabela3[[#This Row],[Aluminio Util]],0)</f>
        <v>26.177056817279592</v>
      </c>
      <c r="J63" s="35">
        <f ca="1">Tabela3[[#This Row],[Custo Total]]/Tabela3[[#This Row],[Realizado]]</f>
        <v>7.9054711588184361</v>
      </c>
      <c r="K63" s="37">
        <f>IFERROR(Tabela3[[#This Row],[Qtde Cx Produzida]]/Tabela3[[#This Row],[Tempo]]/24,0)</f>
        <v>6</v>
      </c>
      <c r="L63" s="37">
        <f>Tabela3[[#This Row],[Qtde Cx Produzida]]*Tabela3[[#This Row],[Qdt Peça Placa]]</f>
        <v>12</v>
      </c>
      <c r="M63" s="37">
        <f>Tabela3[[#This Row],[Previsto]]-Tabela3[[#This Row],[Perda Pçs]]</f>
        <v>12</v>
      </c>
      <c r="N63" s="38">
        <f>IFERROR(Tabela3[[#This Row],[Perda Pçs]]/Tabela3[[#This Row],[Previsto]],0)</f>
        <v>0</v>
      </c>
      <c r="O63" s="39">
        <f>IFERROR(IF(Tabela3[[#This Row],[Qtde Cx Produzida]] &lt;&gt; 0, Tabela3[[#This Row],[Tempo]] / Tabela3[[#This Row],[Qtde Cx Produzida]], 0),0)</f>
        <v>6.9444444444444441E-3</v>
      </c>
      <c r="P63" s="57">
        <f>IFERROR(Tabela3[[#This Row],[Perda Pçs]]/Tabela3[[#This Row],[Qdt Peça Placa]],0)</f>
        <v>0</v>
      </c>
      <c r="Q63" s="37">
        <f>IFERROR(Tabela3[[#This Row],[Realizado]]*Tabela3[[#This Row],[Peso Util/Pç]],0)</f>
        <v>3.6239999999999997</v>
      </c>
      <c r="R63" s="37">
        <f>IFERROR(Tabela3[[#This Row],[Peso Total Galho]]*Tabela3[[#This Row],[Qtde Cx Produzida]]*1.055,0)</f>
        <v>4.5407200000000003</v>
      </c>
      <c r="S63" s="37">
        <f>(Tabela3[[#This Row],[Aluminio Bruto]]-Tabela3[[#This Row],[Aluminio Util]])*0.9</f>
        <v>0.82504800000000056</v>
      </c>
      <c r="T63" s="37">
        <f>Tabela3[[#This Row],[Aluminio Bruto]]/OleoKGAluminio</f>
        <v>1.9102750329054461</v>
      </c>
      <c r="U63" s="35">
        <f>IFERROR((VLOOKUP(Tabela3[[#This Row],[Moldador]],Tabela1[],5,)+(VLOOKUP(Tabela3[[#This Row],[Ajudante]],Tabela1[],5,))*3.5),0)</f>
        <v>99.95034583333333</v>
      </c>
      <c r="V63" s="35">
        <f>IFERROR(Tabela3[[#This Row],[Custo M.O. / H]]/((Tabela3[[#This Row],[Realizado]]/Tabela3[[#This Row],[Qdt Peça Placa]])/Tabela3[[#This Row],[Tempo]]/24),)</f>
        <v>16.658390972222222</v>
      </c>
      <c r="W63" s="35">
        <f>Tabela3[[#This Row],[Custo / Cx Moldada]]*Tabela3[[#This Row],[Qtde Cx Produzida]]</f>
        <v>33.316781944444443</v>
      </c>
      <c r="X63" s="35">
        <f ca="1">Tabela3[[#This Row],[Aluminio Util]]*Tabela3[[#This Row],[Custo/Kg]]</f>
        <v>56.534399999999998</v>
      </c>
      <c r="Y63" s="35">
        <f>IFERROR(VLOOKUP(Tabela3[[#This Row],[Data]],Tabela461213[],2,1)*(Tabela3[[#This Row],[Qtde Cx Produzida]]*Tabela3[[#This Row],[Qde macho / CX]]*Tabela3[[#This Row],[Peso Macho]]),)</f>
        <v>0</v>
      </c>
      <c r="Z63" s="35">
        <f>IFERROR(Tabela3[[#This Row],[Qtde Oleo]]*(VLOOKUP(Tabela3[[#This Row],[Data]],CompraOleo[],3,TRUE))*1.05,0)</f>
        <v>5.0144719613767963</v>
      </c>
      <c r="AA63" s="47">
        <f ca="1">(Tabela3[[#This Row],[Custo Oleo]]+Tabela3[[#This Row],[Custo Aluminio]]+Tabela3[[#This Row],[Custo M.O. Total]]+Tabela3[[#This Row],[Custo Machos]])</f>
        <v>94.865653905821233</v>
      </c>
      <c r="AB63" s="47">
        <f ca="1">Tabela3[[#This Row],[Custo Total]]*Tabela3[[#This Row],[% Perda]]</f>
        <v>0</v>
      </c>
      <c r="AC63" s="48">
        <f>IFERROR(VLOOKUP(Tabela3[[#This Row],[Produto]],Tabela2[],2,0),0)</f>
        <v>6</v>
      </c>
      <c r="AD63" s="48">
        <f>IFERROR(VLOOKUP(Tabela3[[#This Row],[Produto]],Tabela2[],3,0),0)</f>
        <v>0.30199999999999999</v>
      </c>
      <c r="AE63" s="48">
        <f>IFERROR(VLOOKUP(Tabela3[[#This Row],[Produto]],Tabela2[],4,0),0)</f>
        <v>2.1520000000000001</v>
      </c>
      <c r="AF63" s="48">
        <f>IFERROR(VLOOKUP(Tabela3[[#This Row],[Produto]],Tabela2[],5,0),0)</f>
        <v>0.30600000000000027</v>
      </c>
      <c r="AG63" s="40">
        <f>IFERROR(VLOOKUP(Tabela3[[#This Row],[Produto]],Tabela2[],6,0),0)</f>
        <v>0</v>
      </c>
      <c r="AH63" s="40">
        <f>IFERROR(VLOOKUP(Tabela3[[#This Row],[Produto]],Tabela2[],7,0),0)</f>
        <v>0</v>
      </c>
      <c r="AI63" s="40">
        <f>IFERROR(VLOOKUP(Tabela3[[#This Row],[Produto]],Tabela2[],8,0),0)</f>
        <v>0</v>
      </c>
      <c r="AJ63" s="35">
        <f ca="1">IFERROR(VLOOKUP(Tabela3[[#This Row],[Produto]],Tabela2[],13,0),0)</f>
        <v>15.600000000000001</v>
      </c>
      <c r="AK63" s="40" t="str">
        <f>IFERROR(VLOOKUP(Tabela3[[#This Row],[Produto]],Tabela2[],14,0),0)</f>
        <v>Senun</v>
      </c>
      <c r="AL63" s="40">
        <f>IFERROR(VLOOKUP(Tabela3[[#This Row],[Produto]],Tabela2[],15,0),0)</f>
        <v>4</v>
      </c>
      <c r="AM63" s="36">
        <f ca="1">(Tabela3[[#This Row],[Custo Usinagem]]+Tabela3[[#This Row],[Custo / Pç]])*1.2</f>
        <v>14.286565390582123</v>
      </c>
      <c r="AN63" s="36">
        <f ca="1">Tabela3[[#This Row],[Valor Mínimo Venda]]*1.15</f>
        <v>16.429550199169441</v>
      </c>
      <c r="AO63" s="36">
        <f ca="1">Tabela3[[#This Row],[Tabela 1]]*1.08</f>
        <v>17.743914215102997</v>
      </c>
      <c r="AP63" s="36">
        <f ca="1">Tabela3[[#This Row],[Tabela 2]]*1.15</f>
        <v>20.405501347368446</v>
      </c>
    </row>
    <row r="64" spans="1:42">
      <c r="A64" s="9">
        <v>45713</v>
      </c>
      <c r="B64" s="6" t="s">
        <v>254</v>
      </c>
      <c r="C64" s="14">
        <v>5171</v>
      </c>
      <c r="D64" s="6" t="s">
        <v>44</v>
      </c>
      <c r="E64" s="6" t="s">
        <v>47</v>
      </c>
      <c r="F64" s="6">
        <v>21</v>
      </c>
      <c r="G64" s="15">
        <v>0.11736111111111111</v>
      </c>
      <c r="H64" s="16">
        <v>0</v>
      </c>
      <c r="I64" s="35">
        <f ca="1">IFERROR(Tabela3[[#This Row],[Custo Total]]/Tabela3[[#This Row],[Aluminio Util]],0)</f>
        <v>34.493694552062614</v>
      </c>
      <c r="J64" s="35">
        <f ca="1">Tabela3[[#This Row],[Custo Total]]/Tabela3[[#This Row],[Realizado]]</f>
        <v>31.699705293345541</v>
      </c>
      <c r="K64" s="37">
        <f>IFERROR(Tabela3[[#This Row],[Qtde Cx Produzida]]/Tabela3[[#This Row],[Tempo]]/24,0)</f>
        <v>7.4556213017751487</v>
      </c>
      <c r="L64" s="37">
        <f>Tabela3[[#This Row],[Qtde Cx Produzida]]*Tabela3[[#This Row],[Qdt Peça Placa]]</f>
        <v>21</v>
      </c>
      <c r="M64" s="37">
        <f>Tabela3[[#This Row],[Previsto]]-Tabela3[[#This Row],[Perda Pçs]]</f>
        <v>21</v>
      </c>
      <c r="N64" s="38">
        <f>IFERROR(Tabela3[[#This Row],[Perda Pçs]]/Tabela3[[#This Row],[Previsto]],0)</f>
        <v>0</v>
      </c>
      <c r="O64" s="39">
        <f>IFERROR(IF(Tabela3[[#This Row],[Qtde Cx Produzida]] &lt;&gt; 0, Tabela3[[#This Row],[Tempo]] / Tabela3[[#This Row],[Qtde Cx Produzida]], 0),0)</f>
        <v>5.588624338624339E-3</v>
      </c>
      <c r="P64" s="57">
        <f>IFERROR(Tabela3[[#This Row],[Perda Pçs]]/Tabela3[[#This Row],[Qdt Peça Placa]],0)</f>
        <v>0</v>
      </c>
      <c r="Q64" s="37">
        <f>IFERROR(Tabela3[[#This Row],[Realizado]]*Tabela3[[#This Row],[Peso Util/Pç]],0)</f>
        <v>19.298999999999999</v>
      </c>
      <c r="R64" s="37">
        <f>IFERROR(Tabela3[[#This Row],[Peso Total Galho]]*Tabela3[[#This Row],[Qtde Cx Produzida]]*1.055,0)</f>
        <v>40.299944999999994</v>
      </c>
      <c r="S64" s="37">
        <f>(Tabela3[[#This Row],[Aluminio Bruto]]-Tabela3[[#This Row],[Aluminio Util]])*0.9</f>
        <v>18.900850499999997</v>
      </c>
      <c r="T64" s="37">
        <f>Tabela3[[#This Row],[Aluminio Bruto]]/OleoKGAluminio</f>
        <v>16.954134754171729</v>
      </c>
      <c r="U64" s="35">
        <f>IFERROR((VLOOKUP(Tabela3[[#This Row],[Moldador]],Tabela1[],5,)+(VLOOKUP(Tabela3[[#This Row],[Ajudante]],Tabela1[],5,))*3.5),0)</f>
        <v>99.95034583333333</v>
      </c>
      <c r="V64" s="35">
        <f>IFERROR(Tabela3[[#This Row],[Custo M.O. / H]]/((Tabela3[[#This Row],[Realizado]]/Tabela3[[#This Row],[Qdt Peça Placa]])/Tabela3[[#This Row],[Tempo]]/24),)</f>
        <v>13.406038449074073</v>
      </c>
      <c r="W64" s="35">
        <f>Tabela3[[#This Row],[Custo / Cx Moldada]]*Tabela3[[#This Row],[Qtde Cx Produzida]]</f>
        <v>281.52680743055555</v>
      </c>
      <c r="X64" s="35">
        <f ca="1">Tabela3[[#This Row],[Aluminio Util]]*Tabela3[[#This Row],[Custo/Kg]]</f>
        <v>339.66239999999999</v>
      </c>
      <c r="Y64" s="35">
        <f>IFERROR(VLOOKUP(Tabela3[[#This Row],[Data]],Tabela461213[],2,1)*(Tabela3[[#This Row],[Qtde Cx Produzida]]*Tabela3[[#This Row],[Qde macho / CX]]*Tabela3[[#This Row],[Peso Macho]]),)</f>
        <v>0</v>
      </c>
      <c r="Z64" s="35">
        <f>IFERROR(Tabela3[[#This Row],[Qtde Oleo]]*(VLOOKUP(Tabela3[[#This Row],[Data]],CompraOleo[],3,TRUE))*1.05,0)</f>
        <v>44.50460372970079</v>
      </c>
      <c r="AA64" s="47">
        <f ca="1">(Tabela3[[#This Row],[Custo Oleo]]+Tabela3[[#This Row],[Custo Aluminio]]+Tabela3[[#This Row],[Custo M.O. Total]]+Tabela3[[#This Row],[Custo Machos]])</f>
        <v>665.69381116025636</v>
      </c>
      <c r="AB64" s="47">
        <f ca="1">Tabela3[[#This Row],[Custo Total]]*Tabela3[[#This Row],[% Perda]]</f>
        <v>0</v>
      </c>
      <c r="AC64" s="48">
        <f>IFERROR(VLOOKUP(Tabela3[[#This Row],[Produto]],Tabela2[],2,0),0)</f>
        <v>1</v>
      </c>
      <c r="AD64" s="48">
        <f>IFERROR(VLOOKUP(Tabela3[[#This Row],[Produto]],Tabela2[],3,0),0)</f>
        <v>0.91900000000000004</v>
      </c>
      <c r="AE64" s="48">
        <f>IFERROR(VLOOKUP(Tabela3[[#This Row],[Produto]],Tabela2[],4,0),0)</f>
        <v>1.819</v>
      </c>
      <c r="AF64" s="48">
        <f>IFERROR(VLOOKUP(Tabela3[[#This Row],[Produto]],Tabela2[],5,0),0)</f>
        <v>0.80999999999999994</v>
      </c>
      <c r="AG64" s="40">
        <f>IFERROR(VLOOKUP(Tabela3[[#This Row],[Produto]],Tabela2[],6,0),0)</f>
        <v>0</v>
      </c>
      <c r="AH64" s="40">
        <f>IFERROR(VLOOKUP(Tabela3[[#This Row],[Produto]],Tabela2[],7,0),0)</f>
        <v>0</v>
      </c>
      <c r="AI64" s="40">
        <f>IFERROR(VLOOKUP(Tabela3[[#This Row],[Produto]],Tabela2[],8,0),0)</f>
        <v>0</v>
      </c>
      <c r="AJ64" s="35">
        <f ca="1">IFERROR(VLOOKUP(Tabela3[[#This Row],[Produto]],Tabela2[],13,0),0)</f>
        <v>17.600000000000001</v>
      </c>
      <c r="AK64" s="40" t="str">
        <f>IFERROR(VLOOKUP(Tabela3[[#This Row],[Produto]],Tabela2[],14,0),0)</f>
        <v>Protec</v>
      </c>
      <c r="AL64" s="40">
        <f>IFERROR(VLOOKUP(Tabela3[[#This Row],[Produto]],Tabela2[],15,0),0)</f>
        <v>0</v>
      </c>
      <c r="AM64" s="36">
        <f ca="1">(Tabela3[[#This Row],[Custo Usinagem]]+Tabela3[[#This Row],[Custo / Pç]])*1.2</f>
        <v>38.03964635201465</v>
      </c>
      <c r="AN64" s="36">
        <f ca="1">Tabela3[[#This Row],[Valor Mínimo Venda]]*1.15</f>
        <v>43.745593304816843</v>
      </c>
      <c r="AO64" s="36">
        <f ca="1">Tabela3[[#This Row],[Tabela 1]]*1.08</f>
        <v>47.245240769202191</v>
      </c>
      <c r="AP64" s="36">
        <f ca="1">Tabela3[[#This Row],[Tabela 2]]*1.15</f>
        <v>54.332026884582518</v>
      </c>
    </row>
    <row r="65" spans="1:42">
      <c r="A65" s="9">
        <v>45713</v>
      </c>
      <c r="B65" s="6" t="s">
        <v>91</v>
      </c>
      <c r="C65" s="14">
        <v>5705</v>
      </c>
      <c r="D65" s="6" t="s">
        <v>44</v>
      </c>
      <c r="E65" s="6" t="s">
        <v>47</v>
      </c>
      <c r="F65" s="6">
        <v>25</v>
      </c>
      <c r="G65" s="15">
        <v>0.16388888888888889</v>
      </c>
      <c r="H65" s="16">
        <v>0</v>
      </c>
      <c r="I65" s="35">
        <f ca="1">IFERROR(Tabela3[[#This Row],[Custo Total]]/Tabela3[[#This Row],[Aluminio Util]],0)</f>
        <v>37.955020155111555</v>
      </c>
      <c r="J65" s="35">
        <f ca="1">Tabela3[[#This Row],[Custo Total]]/Tabela3[[#This Row],[Realizado]]</f>
        <v>29.756735801607462</v>
      </c>
      <c r="K65" s="37">
        <f>IFERROR(Tabela3[[#This Row],[Qtde Cx Produzida]]/Tabela3[[#This Row],[Tempo]]/24,0)</f>
        <v>6.3559322033898304</v>
      </c>
      <c r="L65" s="37">
        <f>Tabela3[[#This Row],[Qtde Cx Produzida]]*Tabela3[[#This Row],[Qdt Peça Placa]]</f>
        <v>100</v>
      </c>
      <c r="M65" s="37">
        <f>Tabela3[[#This Row],[Previsto]]-Tabela3[[#This Row],[Perda Pçs]]</f>
        <v>100</v>
      </c>
      <c r="N65" s="38">
        <f>IFERROR(Tabela3[[#This Row],[Perda Pçs]]/Tabela3[[#This Row],[Previsto]],0)</f>
        <v>0</v>
      </c>
      <c r="O65" s="39">
        <f>IFERROR(IF(Tabela3[[#This Row],[Qtde Cx Produzida]] &lt;&gt; 0, Tabela3[[#This Row],[Tempo]] / Tabela3[[#This Row],[Qtde Cx Produzida]], 0),0)</f>
        <v>6.5555555555555558E-3</v>
      </c>
      <c r="P65" s="57">
        <f>IFERROR(Tabela3[[#This Row],[Perda Pçs]]/Tabela3[[#This Row],[Qdt Peça Placa]],0)</f>
        <v>0</v>
      </c>
      <c r="Q65" s="37">
        <f>IFERROR(Tabela3[[#This Row],[Realizado]]*Tabela3[[#This Row],[Peso Util/Pç]],0)</f>
        <v>78.400000000000006</v>
      </c>
      <c r="R65" s="37">
        <f>IFERROR(Tabela3[[#This Row],[Peso Total Galho]]*Tabela3[[#This Row],[Qtde Cx Produzida]]*1.055,0)</f>
        <v>146.32849999999999</v>
      </c>
      <c r="S65" s="37">
        <f>(Tabela3[[#This Row],[Aluminio Bruto]]-Tabela3[[#This Row],[Aluminio Util]])*0.9</f>
        <v>61.135649999999991</v>
      </c>
      <c r="T65" s="37">
        <f>Tabela3[[#This Row],[Aluminio Bruto]]/OleoKGAluminio</f>
        <v>61.560210749067231</v>
      </c>
      <c r="U65" s="35">
        <f>IFERROR((VLOOKUP(Tabela3[[#This Row],[Moldador]],Tabela1[],5,)+(VLOOKUP(Tabela3[[#This Row],[Ajudante]],Tabela1[],5,))*3.5),0)</f>
        <v>99.95034583333333</v>
      </c>
      <c r="V65" s="35">
        <f>IFERROR(Tabela3[[#This Row],[Custo M.O. / H]]/((Tabela3[[#This Row],[Realizado]]/Tabela3[[#This Row],[Qdt Peça Placa]])/Tabela3[[#This Row],[Tempo]]/24),)</f>
        <v>15.725521077777778</v>
      </c>
      <c r="W65" s="35">
        <f>Tabela3[[#This Row],[Custo / Cx Moldada]]*Tabela3[[#This Row],[Qtde Cx Produzida]]</f>
        <v>393.13802694444445</v>
      </c>
      <c r="X65" s="35">
        <f ca="1">Tabela3[[#This Row],[Aluminio Util]]*Tabela3[[#This Row],[Custo/Kg]]</f>
        <v>1223.0400000000002</v>
      </c>
      <c r="Y65" s="35">
        <f>IFERROR(VLOOKUP(Tabela3[[#This Row],[Data]],Tabela461213[],2,1)*(Tabela3[[#This Row],[Qtde Cx Produzida]]*Tabela3[[#This Row],[Qde macho / CX]]*Tabela3[[#This Row],[Peso Macho]]),)</f>
        <v>1197.9000000000001</v>
      </c>
      <c r="Z65" s="35">
        <f>IFERROR(Tabela3[[#This Row],[Qtde Oleo]]*(VLOOKUP(Tabela3[[#This Row],[Data]],CompraOleo[],3,TRUE))*1.05,0)</f>
        <v>161.59555321630148</v>
      </c>
      <c r="AA65" s="47">
        <f ca="1">(Tabela3[[#This Row],[Custo Oleo]]+Tabela3[[#This Row],[Custo Aluminio]]+Tabela3[[#This Row],[Custo M.O. Total]]+Tabela3[[#This Row],[Custo Machos]])</f>
        <v>2975.673580160746</v>
      </c>
      <c r="AB65" s="47">
        <f ca="1">Tabela3[[#This Row],[Custo Total]]*Tabela3[[#This Row],[% Perda]]</f>
        <v>0</v>
      </c>
      <c r="AC65" s="48">
        <f>IFERROR(VLOOKUP(Tabela3[[#This Row],[Produto]],Tabela2[],2,0),0)</f>
        <v>4</v>
      </c>
      <c r="AD65" s="48">
        <f>IFERROR(VLOOKUP(Tabela3[[#This Row],[Produto]],Tabela2[],3,0),0)</f>
        <v>0.78400000000000003</v>
      </c>
      <c r="AE65" s="48">
        <f>IFERROR(VLOOKUP(Tabela3[[#This Row],[Produto]],Tabela2[],4,0),0)</f>
        <v>5.548</v>
      </c>
      <c r="AF65" s="48">
        <f>IFERROR(VLOOKUP(Tabela3[[#This Row],[Produto]],Tabela2[],5,0),0)</f>
        <v>2.1707999999999998</v>
      </c>
      <c r="AG65" s="40">
        <f>IFERROR(VLOOKUP(Tabela3[[#This Row],[Produto]],Tabela2[],6,0),0)</f>
        <v>0</v>
      </c>
      <c r="AH65" s="40">
        <f>IFERROR(VLOOKUP(Tabela3[[#This Row],[Produto]],Tabela2[],7,0),0)</f>
        <v>12</v>
      </c>
      <c r="AI65" s="40">
        <f>IFERROR(VLOOKUP(Tabela3[[#This Row],[Produto]],Tabela2[],8,0),0)</f>
        <v>2.6619999999999999</v>
      </c>
      <c r="AJ65" s="35">
        <f ca="1">IFERROR(VLOOKUP(Tabela3[[#This Row],[Produto]],Tabela2[],13,0),0)</f>
        <v>15.600000000000001</v>
      </c>
      <c r="AK65" s="40" t="str">
        <f>IFERROR(VLOOKUP(Tabela3[[#This Row],[Produto]],Tabela2[],14,0),0)</f>
        <v>Jumil</v>
      </c>
      <c r="AL65" s="40">
        <f>IFERROR(VLOOKUP(Tabela3[[#This Row],[Produto]],Tabela2[],15,0),0)</f>
        <v>8</v>
      </c>
      <c r="AM65" s="36">
        <f ca="1">(Tabela3[[#This Row],[Custo Usinagem]]+Tabela3[[#This Row],[Custo / Pç]])*1.2</f>
        <v>45.308082961928953</v>
      </c>
      <c r="AN65" s="36">
        <f ca="1">Tabela3[[#This Row],[Valor Mínimo Venda]]*1.15</f>
        <v>52.104295406218291</v>
      </c>
      <c r="AO65" s="36">
        <f ca="1">Tabela3[[#This Row],[Tabela 1]]*1.08</f>
        <v>56.272639038715759</v>
      </c>
      <c r="AP65" s="36">
        <f ca="1">Tabela3[[#This Row],[Tabela 2]]*1.15</f>
        <v>64.713534894523121</v>
      </c>
    </row>
    <row r="66" spans="1:42">
      <c r="A66" s="9">
        <v>45714</v>
      </c>
      <c r="B66" s="6" t="s">
        <v>236</v>
      </c>
      <c r="C66" s="14">
        <v>5692</v>
      </c>
      <c r="D66" s="6" t="s">
        <v>46</v>
      </c>
      <c r="E66" s="6" t="s">
        <v>53</v>
      </c>
      <c r="F66" s="6">
        <v>48</v>
      </c>
      <c r="G66" s="15">
        <v>0.25694444444444442</v>
      </c>
      <c r="H66" s="16">
        <v>15</v>
      </c>
      <c r="I66" s="35">
        <f ca="1">IFERROR(Tabela3[[#This Row],[Custo Total]]/Tabela3[[#This Row],[Aluminio Util]],0)</f>
        <v>24.946405558960638</v>
      </c>
      <c r="J66" s="35">
        <f ca="1">Tabela3[[#This Row],[Custo Total]]/Tabela3[[#This Row],[Realizado]]</f>
        <v>7.5338144788061125</v>
      </c>
      <c r="K66" s="37">
        <f>IFERROR(Tabela3[[#This Row],[Qtde Cx Produzida]]/Tabela3[[#This Row],[Tempo]]/24,0)</f>
        <v>7.7837837837837851</v>
      </c>
      <c r="L66" s="37">
        <f>Tabela3[[#This Row],[Qtde Cx Produzida]]*Tabela3[[#This Row],[Qdt Peça Placa]]</f>
        <v>288</v>
      </c>
      <c r="M66" s="37">
        <f>Tabela3[[#This Row],[Previsto]]-Tabela3[[#This Row],[Perda Pçs]]</f>
        <v>273</v>
      </c>
      <c r="N66" s="38">
        <f>IFERROR(Tabela3[[#This Row],[Perda Pçs]]/Tabela3[[#This Row],[Previsto]],0)</f>
        <v>5.2083333333333336E-2</v>
      </c>
      <c r="O66" s="39">
        <f>IFERROR(IF(Tabela3[[#This Row],[Qtde Cx Produzida]] &lt;&gt; 0, Tabela3[[#This Row],[Tempo]] / Tabela3[[#This Row],[Qtde Cx Produzida]], 0),0)</f>
        <v>5.3530092592592587E-3</v>
      </c>
      <c r="P66" s="57">
        <f>IFERROR(Tabela3[[#This Row],[Perda Pçs]]/Tabela3[[#This Row],[Qdt Peça Placa]],0)</f>
        <v>2.5</v>
      </c>
      <c r="Q66" s="37">
        <f>IFERROR(Tabela3[[#This Row],[Realizado]]*Tabela3[[#This Row],[Peso Util/Pç]],0)</f>
        <v>82.445999999999998</v>
      </c>
      <c r="R66" s="37">
        <f>IFERROR(Tabela3[[#This Row],[Peso Total Galho]]*Tabela3[[#This Row],[Qtde Cx Produzida]]*1.055,0)</f>
        <v>108.97728000000001</v>
      </c>
      <c r="S66" s="37">
        <f>(Tabela3[[#This Row],[Aluminio Bruto]]-Tabela3[[#This Row],[Aluminio Util]])*0.9</f>
        <v>23.878152000000011</v>
      </c>
      <c r="T66" s="37">
        <f>Tabela3[[#This Row],[Aluminio Bruto]]/OleoKGAluminio</f>
        <v>45.846600789730708</v>
      </c>
      <c r="U66" s="35">
        <f>IFERROR((VLOOKUP(Tabela3[[#This Row],[Moldador]],Tabela1[],5,)+(VLOOKUP(Tabela3[[#This Row],[Ajudante]],Tabela1[],5,))*3.5),0)</f>
        <v>99.95034583333333</v>
      </c>
      <c r="V66" s="35">
        <f>IFERROR(Tabela3[[#This Row],[Custo M.O. / H]]/((Tabela3[[#This Row],[Realizado]]/Tabela3[[#This Row],[Qdt Peça Placa]])/Tabela3[[#This Row],[Tempo]]/24),)</f>
        <v>13.546383867521365</v>
      </c>
      <c r="W66" s="35">
        <f>Tabela3[[#This Row],[Custo / Cx Moldada]]*Tabela3[[#This Row],[Qtde Cx Produzida]]</f>
        <v>650.22642564102557</v>
      </c>
      <c r="X66" s="35">
        <f ca="1">Tabela3[[#This Row],[Aluminio Util]]*Tabela3[[#This Row],[Custo/Kg]]</f>
        <v>1286.1576</v>
      </c>
      <c r="Y66" s="35">
        <f>IFERROR(VLOOKUP(Tabela3[[#This Row],[Data]],Tabela461213[],2,1)*(Tabela3[[#This Row],[Qtde Cx Produzida]]*Tabela3[[#This Row],[Qde macho / CX]]*Tabela3[[#This Row],[Peso Macho]]),)</f>
        <v>0</v>
      </c>
      <c r="Z66" s="35">
        <f>IFERROR(Tabela3[[#This Row],[Qtde Oleo]]*(VLOOKUP(Tabela3[[#This Row],[Data]],CompraOleo[],3,TRUE))*1.05,0)</f>
        <v>120.3473270730431</v>
      </c>
      <c r="AA66" s="47">
        <f ca="1">(Tabela3[[#This Row],[Custo Oleo]]+Tabela3[[#This Row],[Custo Aluminio]]+Tabela3[[#This Row],[Custo M.O. Total]]+Tabela3[[#This Row],[Custo Machos]])</f>
        <v>2056.7313527140686</v>
      </c>
      <c r="AB66" s="47">
        <f ca="1">Tabela3[[#This Row],[Custo Total]]*Tabela3[[#This Row],[% Perda]]</f>
        <v>107.12142462052441</v>
      </c>
      <c r="AC66" s="48">
        <f>IFERROR(VLOOKUP(Tabela3[[#This Row],[Produto]],Tabela2[],2,0),0)</f>
        <v>6</v>
      </c>
      <c r="AD66" s="48">
        <f>IFERROR(VLOOKUP(Tabela3[[#This Row],[Produto]],Tabela2[],3,0),0)</f>
        <v>0.30199999999999999</v>
      </c>
      <c r="AE66" s="48">
        <f>IFERROR(VLOOKUP(Tabela3[[#This Row],[Produto]],Tabela2[],4,0),0)</f>
        <v>2.1520000000000001</v>
      </c>
      <c r="AF66" s="48">
        <f>IFERROR(VLOOKUP(Tabela3[[#This Row],[Produto]],Tabela2[],5,0),0)</f>
        <v>0.30600000000000027</v>
      </c>
      <c r="AG66" s="40">
        <f>IFERROR(VLOOKUP(Tabela3[[#This Row],[Produto]],Tabela2[],6,0),0)</f>
        <v>0</v>
      </c>
      <c r="AH66" s="40">
        <f>IFERROR(VLOOKUP(Tabela3[[#This Row],[Produto]],Tabela2[],7,0),0)</f>
        <v>0</v>
      </c>
      <c r="AI66" s="40">
        <f>IFERROR(VLOOKUP(Tabela3[[#This Row],[Produto]],Tabela2[],8,0),0)</f>
        <v>0</v>
      </c>
      <c r="AJ66" s="35">
        <f ca="1">IFERROR(VLOOKUP(Tabela3[[#This Row],[Produto]],Tabela2[],13,0),0)</f>
        <v>15.600000000000001</v>
      </c>
      <c r="AK66" s="40" t="str">
        <f>IFERROR(VLOOKUP(Tabela3[[#This Row],[Produto]],Tabela2[],14,0),0)</f>
        <v>Senun</v>
      </c>
      <c r="AL66" s="40">
        <f>IFERROR(VLOOKUP(Tabela3[[#This Row],[Produto]],Tabela2[],15,0),0)</f>
        <v>4</v>
      </c>
      <c r="AM66" s="36">
        <f ca="1">(Tabela3[[#This Row],[Custo Usinagem]]+Tabela3[[#This Row],[Custo / Pç]])*1.2</f>
        <v>13.840577374567335</v>
      </c>
      <c r="AN66" s="36">
        <f ca="1">Tabela3[[#This Row],[Valor Mínimo Venda]]*1.15</f>
        <v>15.916663980752434</v>
      </c>
      <c r="AO66" s="36">
        <f ca="1">Tabela3[[#This Row],[Tabela 1]]*1.08</f>
        <v>17.189997099212629</v>
      </c>
      <c r="AP66" s="36">
        <f ca="1">Tabela3[[#This Row],[Tabela 2]]*1.15</f>
        <v>19.768496664094521</v>
      </c>
    </row>
    <row r="67" spans="1:42">
      <c r="A67" s="9">
        <v>45714</v>
      </c>
      <c r="B67" s="6" t="s">
        <v>291</v>
      </c>
      <c r="C67" s="14">
        <v>5798</v>
      </c>
      <c r="D67" s="6" t="s">
        <v>46</v>
      </c>
      <c r="E67" s="6" t="s">
        <v>53</v>
      </c>
      <c r="F67" s="6">
        <v>8</v>
      </c>
      <c r="G67" s="15">
        <v>8.6805555555555552E-2</v>
      </c>
      <c r="H67" s="16">
        <v>0</v>
      </c>
      <c r="I67" s="35">
        <f ca="1">IFERROR(Tabela3[[#This Row],[Custo Total]]/Tabela3[[#This Row],[Aluminio Util]],0)</f>
        <v>29.745701157404621</v>
      </c>
      <c r="J67" s="35">
        <f ca="1">Tabela3[[#This Row],[Custo Total]]/Tabela3[[#This Row],[Realizado]]</f>
        <v>72.876967835641324</v>
      </c>
      <c r="K67" s="37">
        <f>IFERROR(Tabela3[[#This Row],[Qtde Cx Produzida]]/Tabela3[[#This Row],[Tempo]]/24,0)</f>
        <v>3.84</v>
      </c>
      <c r="L67" s="37">
        <f>Tabela3[[#This Row],[Qtde Cx Produzida]]*Tabela3[[#This Row],[Qdt Peça Placa]]</f>
        <v>8</v>
      </c>
      <c r="M67" s="37">
        <f>Tabela3[[#This Row],[Previsto]]-Tabela3[[#This Row],[Perda Pçs]]</f>
        <v>8</v>
      </c>
      <c r="N67" s="38">
        <f>IFERROR(Tabela3[[#This Row],[Perda Pçs]]/Tabela3[[#This Row],[Previsto]],0)</f>
        <v>0</v>
      </c>
      <c r="O67" s="39">
        <f>IFERROR(IF(Tabela3[[#This Row],[Qtde Cx Produzida]] &lt;&gt; 0, Tabela3[[#This Row],[Tempo]] / Tabela3[[#This Row],[Qtde Cx Produzida]], 0),0)</f>
        <v>1.0850694444444444E-2</v>
      </c>
      <c r="P67" s="57">
        <f>IFERROR(Tabela3[[#This Row],[Perda Pçs]]/Tabela3[[#This Row],[Qdt Peça Placa]],0)</f>
        <v>0</v>
      </c>
      <c r="Q67" s="37">
        <f>IFERROR(Tabela3[[#This Row],[Realizado]]*Tabela3[[#This Row],[Peso Util/Pç]],0)</f>
        <v>19.600000000000001</v>
      </c>
      <c r="R67" s="37">
        <f>IFERROR(Tabela3[[#This Row],[Peso Total Galho]]*Tabela3[[#This Row],[Qtde Cx Produzida]]*1.055,0)</f>
        <v>27.007999999999999</v>
      </c>
      <c r="S67" s="37">
        <f>(Tabela3[[#This Row],[Aluminio Bruto]]-Tabela3[[#This Row],[Aluminio Util]])*0.9</f>
        <v>6.6671999999999985</v>
      </c>
      <c r="T67" s="37">
        <f>Tabela3[[#This Row],[Aluminio Bruto]]/OleoKGAluminio</f>
        <v>11.3622306789915</v>
      </c>
      <c r="U67" s="35">
        <f>IFERROR((VLOOKUP(Tabela3[[#This Row],[Moldador]],Tabela1[],5,)+(VLOOKUP(Tabela3[[#This Row],[Ajudante]],Tabela1[],5,))*3.5),0)</f>
        <v>99.95034583333333</v>
      </c>
      <c r="V67" s="35">
        <f>IFERROR(Tabela3[[#This Row],[Custo M.O. / H]]/((Tabela3[[#This Row],[Realizado]]/Tabela3[[#This Row],[Qdt Peça Placa]])/Tabela3[[#This Row],[Tempo]]/24),)</f>
        <v>26.028735894097224</v>
      </c>
      <c r="W67" s="35">
        <f>Tabela3[[#This Row],[Custo / Cx Moldada]]*Tabela3[[#This Row],[Qtde Cx Produzida]]</f>
        <v>208.22988715277779</v>
      </c>
      <c r="X67" s="35">
        <f ca="1">Tabela3[[#This Row],[Aluminio Util]]*Tabela3[[#This Row],[Custo/Kg]]</f>
        <v>344.96000000000004</v>
      </c>
      <c r="Y67" s="35">
        <f>IFERROR(VLOOKUP(Tabela3[[#This Row],[Data]],Tabela461213[],2,1)*(Tabela3[[#This Row],[Qtde Cx Produzida]]*Tabela3[[#This Row],[Qde macho / CX]]*Tabela3[[#This Row],[Peso Macho]]),)</f>
        <v>0</v>
      </c>
      <c r="Z67" s="35">
        <f>IFERROR(Tabela3[[#This Row],[Qtde Oleo]]*(VLOOKUP(Tabela3[[#This Row],[Data]],CompraOleo[],3,TRUE))*1.05,0)</f>
        <v>29.825855532352691</v>
      </c>
      <c r="AA67" s="47">
        <f ca="1">(Tabela3[[#This Row],[Custo Oleo]]+Tabela3[[#This Row],[Custo Aluminio]]+Tabela3[[#This Row],[Custo M.O. Total]]+Tabela3[[#This Row],[Custo Machos]])</f>
        <v>583.01574268513059</v>
      </c>
      <c r="AB67" s="47">
        <f ca="1">Tabela3[[#This Row],[Custo Total]]*Tabela3[[#This Row],[% Perda]]</f>
        <v>0</v>
      </c>
      <c r="AC67" s="48">
        <f>IFERROR(VLOOKUP(Tabela3[[#This Row],[Produto]],Tabela2[],2,0),0)</f>
        <v>1</v>
      </c>
      <c r="AD67" s="48">
        <f>IFERROR(VLOOKUP(Tabela3[[#This Row],[Produto]],Tabela2[],3,0),0)</f>
        <v>2.4500000000000002</v>
      </c>
      <c r="AE67" s="48">
        <f>IFERROR(VLOOKUP(Tabela3[[#This Row],[Produto]],Tabela2[],4,0),0)</f>
        <v>3.2</v>
      </c>
      <c r="AF67" s="48">
        <f>IFERROR(VLOOKUP(Tabela3[[#This Row],[Produto]],Tabela2[],5,0),0)</f>
        <v>0.67500000000000004</v>
      </c>
      <c r="AG67" s="40">
        <f>IFERROR(VLOOKUP(Tabela3[[#This Row],[Produto]],Tabela2[],6,0),0)</f>
        <v>0</v>
      </c>
      <c r="AH67" s="40">
        <f>IFERROR(VLOOKUP(Tabela3[[#This Row],[Produto]],Tabela2[],7,0),0)</f>
        <v>0</v>
      </c>
      <c r="AI67" s="40">
        <f>IFERROR(VLOOKUP(Tabela3[[#This Row],[Produto]],Tabela2[],8,0),0)</f>
        <v>0</v>
      </c>
      <c r="AJ67" s="35">
        <f ca="1">IFERROR(VLOOKUP(Tabela3[[#This Row],[Produto]],Tabela2[],13,0),0)</f>
        <v>17.600000000000001</v>
      </c>
      <c r="AK67" s="40" t="str">
        <f>IFERROR(VLOOKUP(Tabela3[[#This Row],[Produto]],Tabela2[],14,0),0)</f>
        <v>Bambozzi</v>
      </c>
      <c r="AL67" s="40">
        <f>IFERROR(VLOOKUP(Tabela3[[#This Row],[Produto]],Tabela2[],15,0),0)</f>
        <v>12</v>
      </c>
      <c r="AM67" s="36">
        <f ca="1">(Tabela3[[#This Row],[Custo Usinagem]]+Tabela3[[#This Row],[Custo / Pç]])*1.2</f>
        <v>101.85236140276959</v>
      </c>
      <c r="AN67" s="36">
        <f ca="1">Tabela3[[#This Row],[Valor Mínimo Venda]]*1.15</f>
        <v>117.13021561318502</v>
      </c>
      <c r="AO67" s="36">
        <f ca="1">Tabela3[[#This Row],[Tabela 1]]*1.08</f>
        <v>126.50063286223983</v>
      </c>
      <c r="AP67" s="36">
        <f ca="1">Tabela3[[#This Row],[Tabela 2]]*1.15</f>
        <v>145.47572779157579</v>
      </c>
    </row>
    <row r="68" spans="1:42">
      <c r="A68" s="9">
        <v>45714</v>
      </c>
      <c r="B68" s="6" t="s">
        <v>96</v>
      </c>
      <c r="C68" s="14">
        <v>5709</v>
      </c>
      <c r="D68" s="6" t="s">
        <v>44</v>
      </c>
      <c r="E68" s="6" t="s">
        <v>47</v>
      </c>
      <c r="F68" s="6">
        <v>40</v>
      </c>
      <c r="G68" s="15">
        <v>0.21736111111111112</v>
      </c>
      <c r="H68" s="16">
        <v>1</v>
      </c>
      <c r="I68" s="35">
        <f ca="1">IFERROR(Tabela3[[#This Row],[Custo Total]]/Tabela3[[#This Row],[Aluminio Util]],0)</f>
        <v>29.868508475486209</v>
      </c>
      <c r="J68" s="35">
        <f ca="1">Tabela3[[#This Row],[Custo Total]]/Tabela3[[#This Row],[Realizado]]</f>
        <v>26.40376149232981</v>
      </c>
      <c r="K68" s="37">
        <f>IFERROR(Tabela3[[#This Row],[Qtde Cx Produzida]]/Tabela3[[#This Row],[Tempo]]/24,0)</f>
        <v>7.6677316293929714</v>
      </c>
      <c r="L68" s="37">
        <f>Tabela3[[#This Row],[Qtde Cx Produzida]]*Tabela3[[#This Row],[Qdt Peça Placa]]</f>
        <v>120</v>
      </c>
      <c r="M68" s="37">
        <f>Tabela3[[#This Row],[Previsto]]-Tabela3[[#This Row],[Perda Pçs]]</f>
        <v>119</v>
      </c>
      <c r="N68" s="38">
        <f>IFERROR(Tabela3[[#This Row],[Perda Pçs]]/Tabela3[[#This Row],[Previsto]],0)</f>
        <v>8.3333333333333332E-3</v>
      </c>
      <c r="O68" s="39">
        <f>IFERROR(IF(Tabela3[[#This Row],[Qtde Cx Produzida]] &lt;&gt; 0, Tabela3[[#This Row],[Tempo]] / Tabela3[[#This Row],[Qtde Cx Produzida]], 0),0)</f>
        <v>5.4340277777777781E-3</v>
      </c>
      <c r="P68" s="57">
        <f>IFERROR(Tabela3[[#This Row],[Perda Pçs]]/Tabela3[[#This Row],[Qdt Peça Placa]],0)</f>
        <v>0.33333333333333331</v>
      </c>
      <c r="Q68" s="37">
        <f>IFERROR(Tabela3[[#This Row],[Realizado]]*Tabela3[[#This Row],[Peso Util/Pç]],0)</f>
        <v>105.196</v>
      </c>
      <c r="R68" s="37">
        <f>IFERROR(Tabela3[[#This Row],[Peso Total Galho]]*Tabela3[[#This Row],[Qtde Cx Produzida]]*1.055,0)</f>
        <v>198.00239999999999</v>
      </c>
      <c r="S68" s="37">
        <f>(Tabela3[[#This Row],[Aluminio Bruto]]-Tabela3[[#This Row],[Aluminio Util]])*0.9</f>
        <v>83.525760000000005</v>
      </c>
      <c r="T68" s="37">
        <f>Tabela3[[#This Row],[Aluminio Bruto]]/OleoKGAluminio</f>
        <v>83.299353665356435</v>
      </c>
      <c r="U68" s="35">
        <f>IFERROR((VLOOKUP(Tabela3[[#This Row],[Moldador]],Tabela1[],5,)+(VLOOKUP(Tabela3[[#This Row],[Ajudante]],Tabela1[],5,))*3.5),0)</f>
        <v>99.95034583333333</v>
      </c>
      <c r="V68" s="35">
        <f>IFERROR(Tabela3[[#This Row],[Custo M.O. / H]]/((Tabela3[[#This Row],[Realizado]]/Tabela3[[#This Row],[Qdt Peça Placa]])/Tabela3[[#This Row],[Tempo]]/24),)</f>
        <v>13.144730355392158</v>
      </c>
      <c r="W68" s="35">
        <f>Tabela3[[#This Row],[Custo / Cx Moldada]]*Tabela3[[#This Row],[Qtde Cx Produzida]]</f>
        <v>525.78921421568634</v>
      </c>
      <c r="X68" s="35">
        <f ca="1">Tabela3[[#This Row],[Aluminio Util]]*Tabela3[[#This Row],[Custo/Kg]]</f>
        <v>1641.0576000000001</v>
      </c>
      <c r="Y68" s="35">
        <f>IFERROR(VLOOKUP(Tabela3[[#This Row],[Data]],Tabela461213[],2,1)*(Tabela3[[#This Row],[Qtde Cx Produzida]]*Tabela3[[#This Row],[Qde macho / CX]]*Tabela3[[#This Row],[Peso Macho]]),)</f>
        <v>756.54</v>
      </c>
      <c r="Z68" s="35">
        <f>IFERROR(Tabela3[[#This Row],[Qtde Oleo]]*(VLOOKUP(Tabela3[[#This Row],[Data]],CompraOleo[],3,TRUE))*1.05,0)</f>
        <v>218.66080337156063</v>
      </c>
      <c r="AA68" s="47">
        <f ca="1">(Tabela3[[#This Row],[Custo Oleo]]+Tabela3[[#This Row],[Custo Aluminio]]+Tabela3[[#This Row],[Custo M.O. Total]]+Tabela3[[#This Row],[Custo Machos]])</f>
        <v>3142.0476175872473</v>
      </c>
      <c r="AB68" s="47">
        <f ca="1">Tabela3[[#This Row],[Custo Total]]*Tabela3[[#This Row],[% Perda]]</f>
        <v>26.183730146560393</v>
      </c>
      <c r="AC68" s="48">
        <f>IFERROR(VLOOKUP(Tabela3[[#This Row],[Produto]],Tabela2[],2,0),0)</f>
        <v>3</v>
      </c>
      <c r="AD68" s="48">
        <f>IFERROR(VLOOKUP(Tabela3[[#This Row],[Produto]],Tabela2[],3,0),0)</f>
        <v>0.88400000000000001</v>
      </c>
      <c r="AE68" s="48">
        <f>IFERROR(VLOOKUP(Tabela3[[#This Row],[Produto]],Tabela2[],4,0),0)</f>
        <v>4.6920000000000002</v>
      </c>
      <c r="AF68" s="48">
        <f>IFERROR(VLOOKUP(Tabela3[[#This Row],[Produto]],Tabela2[],5,0),0)</f>
        <v>1.8360000000000001</v>
      </c>
      <c r="AG68" s="40">
        <f>IFERROR(VLOOKUP(Tabela3[[#This Row],[Produto]],Tabela2[],6,0),0)</f>
        <v>0</v>
      </c>
      <c r="AH68" s="40">
        <f>IFERROR(VLOOKUP(Tabela3[[#This Row],[Produto]],Tabela2[],7,0),0)</f>
        <v>9</v>
      </c>
      <c r="AI68" s="40">
        <f>IFERROR(VLOOKUP(Tabela3[[#This Row],[Produto]],Tabela2[],8,0),0)</f>
        <v>1.401</v>
      </c>
      <c r="AJ68" s="35">
        <f ca="1">IFERROR(VLOOKUP(Tabela3[[#This Row],[Produto]],Tabela2[],13,0),0)</f>
        <v>15.600000000000001</v>
      </c>
      <c r="AK68" s="40" t="str">
        <f>IFERROR(VLOOKUP(Tabela3[[#This Row],[Produto]],Tabela2[],14,0),0)</f>
        <v>Jumil</v>
      </c>
      <c r="AL68" s="40">
        <f>IFERROR(VLOOKUP(Tabela3[[#This Row],[Produto]],Tabela2[],15,0),0)</f>
        <v>10</v>
      </c>
      <c r="AM68" s="36">
        <f ca="1">(Tabela3[[#This Row],[Custo Usinagem]]+Tabela3[[#This Row],[Custo / Pç]])*1.2</f>
        <v>43.684513790795769</v>
      </c>
      <c r="AN68" s="36">
        <f ca="1">Tabela3[[#This Row],[Valor Mínimo Venda]]*1.15</f>
        <v>50.237190859415129</v>
      </c>
      <c r="AO68" s="36">
        <f ca="1">Tabela3[[#This Row],[Tabela 1]]*1.08</f>
        <v>54.256166128168346</v>
      </c>
      <c r="AP68" s="36">
        <f ca="1">Tabela3[[#This Row],[Tabela 2]]*1.15</f>
        <v>62.39459104739359</v>
      </c>
    </row>
    <row r="69" spans="1:42">
      <c r="A69" s="9">
        <v>45714</v>
      </c>
      <c r="B69" s="6" t="s">
        <v>246</v>
      </c>
      <c r="C69" s="14">
        <v>5675</v>
      </c>
      <c r="D69" s="6" t="s">
        <v>44</v>
      </c>
      <c r="E69" s="6" t="s">
        <v>47</v>
      </c>
      <c r="F69" s="6">
        <v>19</v>
      </c>
      <c r="G69" s="15">
        <v>0.11458333333333333</v>
      </c>
      <c r="H69" s="16">
        <v>6</v>
      </c>
      <c r="I69" s="35">
        <f ca="1">IFERROR(Tabela3[[#This Row],[Custo Total]]/Tabela3[[#This Row],[Aluminio Util]],0)</f>
        <v>25.556398285212975</v>
      </c>
      <c r="J69" s="35">
        <f ca="1">Tabela3[[#This Row],[Custo Total]]/Tabela3[[#This Row],[Realizado]]</f>
        <v>13.621560286018516</v>
      </c>
      <c r="K69" s="37">
        <f>IFERROR(Tabela3[[#This Row],[Qtde Cx Produzida]]/Tabela3[[#This Row],[Tempo]]/24,0)</f>
        <v>6.9090909090909092</v>
      </c>
      <c r="L69" s="37">
        <f>Tabela3[[#This Row],[Qtde Cx Produzida]]*Tabela3[[#This Row],[Qdt Peça Placa]]</f>
        <v>76</v>
      </c>
      <c r="M69" s="37">
        <f>Tabela3[[#This Row],[Previsto]]-Tabela3[[#This Row],[Perda Pçs]]</f>
        <v>70</v>
      </c>
      <c r="N69" s="38">
        <f>IFERROR(Tabela3[[#This Row],[Perda Pçs]]/Tabela3[[#This Row],[Previsto]],0)</f>
        <v>7.8947368421052627E-2</v>
      </c>
      <c r="O69" s="39">
        <f>IFERROR(IF(Tabela3[[#This Row],[Qtde Cx Produzida]] &lt;&gt; 0, Tabela3[[#This Row],[Tempo]] / Tabela3[[#This Row],[Qtde Cx Produzida]], 0),0)</f>
        <v>6.0307017543859646E-3</v>
      </c>
      <c r="P69" s="57">
        <f>IFERROR(Tabela3[[#This Row],[Perda Pçs]]/Tabela3[[#This Row],[Qdt Peça Placa]],0)</f>
        <v>1.5</v>
      </c>
      <c r="Q69" s="37">
        <f>IFERROR(Tabela3[[#This Row],[Realizado]]*Tabela3[[#This Row],[Peso Util/Pç]],0)</f>
        <v>37.31</v>
      </c>
      <c r="R69" s="37">
        <f>IFERROR(Tabela3[[#This Row],[Peso Total Galho]]*Tabela3[[#This Row],[Qtde Cx Produzida]]*1.055,0)</f>
        <v>66.148499999999999</v>
      </c>
      <c r="S69" s="37">
        <f>(Tabela3[[#This Row],[Aluminio Bruto]]-Tabela3[[#This Row],[Aluminio Util]])*0.9</f>
        <v>25.954649999999997</v>
      </c>
      <c r="T69" s="37">
        <f>Tabela3[[#This Row],[Aluminio Bruto]]/OleoKGAluminio</f>
        <v>27.828588420811215</v>
      </c>
      <c r="U69" s="35">
        <f>IFERROR((VLOOKUP(Tabela3[[#This Row],[Moldador]],Tabela1[],5,)+(VLOOKUP(Tabela3[[#This Row],[Ajudante]],Tabela1[],5,))*3.5),0)</f>
        <v>99.95034583333333</v>
      </c>
      <c r="V69" s="35">
        <f>IFERROR(Tabela3[[#This Row],[Custo M.O. / H]]/((Tabela3[[#This Row],[Realizado]]/Tabela3[[#This Row],[Qdt Peça Placa]])/Tabela3[[#This Row],[Tempo]]/24),)</f>
        <v>15.706482916666667</v>
      </c>
      <c r="W69" s="35">
        <f>Tabela3[[#This Row],[Custo / Cx Moldada]]*Tabela3[[#This Row],[Qtde Cx Produzida]]</f>
        <v>298.42317541666665</v>
      </c>
      <c r="X69" s="35">
        <f ca="1">Tabela3[[#This Row],[Aluminio Util]]*Tabela3[[#This Row],[Custo/Kg]]</f>
        <v>582.03600000000006</v>
      </c>
      <c r="Y69" s="35">
        <f>IFERROR(VLOOKUP(Tabela3[[#This Row],[Data]],Tabela461213[],2,1)*(Tabela3[[#This Row],[Qtde Cx Produzida]]*Tabela3[[#This Row],[Qde macho / CX]]*Tabela3[[#This Row],[Peso Macho]]),)</f>
        <v>0</v>
      </c>
      <c r="Z69" s="35">
        <f>IFERROR(Tabela3[[#This Row],[Qtde Oleo]]*(VLOOKUP(Tabela3[[#This Row],[Data]],CompraOleo[],3,TRUE))*1.05,0)</f>
        <v>73.050044604629448</v>
      </c>
      <c r="AA69" s="47">
        <f ca="1">(Tabela3[[#This Row],[Custo Oleo]]+Tabela3[[#This Row],[Custo Aluminio]]+Tabela3[[#This Row],[Custo M.O. Total]]+Tabela3[[#This Row],[Custo Machos]])</f>
        <v>953.50922002129619</v>
      </c>
      <c r="AB69" s="47">
        <f ca="1">Tabela3[[#This Row],[Custo Total]]*Tabela3[[#This Row],[% Perda]]</f>
        <v>75.277043685891798</v>
      </c>
      <c r="AC69" s="48">
        <f>IFERROR(VLOOKUP(Tabela3[[#This Row],[Produto]],Tabela2[],2,0),0)</f>
        <v>4</v>
      </c>
      <c r="AD69" s="48">
        <f>IFERROR(VLOOKUP(Tabela3[[#This Row],[Produto]],Tabela2[],3,0),0)</f>
        <v>0.53300000000000003</v>
      </c>
      <c r="AE69" s="48">
        <f>IFERROR(VLOOKUP(Tabela3[[#This Row],[Produto]],Tabela2[],4,0),0)</f>
        <v>3.3</v>
      </c>
      <c r="AF69" s="48">
        <f>IFERROR(VLOOKUP(Tabela3[[#This Row],[Produto]],Tabela2[],5,0),0)</f>
        <v>1.0511999999999997</v>
      </c>
      <c r="AG69" s="40">
        <f>IFERROR(VLOOKUP(Tabela3[[#This Row],[Produto]],Tabela2[],6,0),0)</f>
        <v>0</v>
      </c>
      <c r="AH69" s="40">
        <f>IFERROR(VLOOKUP(Tabela3[[#This Row],[Produto]],Tabela2[],7,0),0)</f>
        <v>0</v>
      </c>
      <c r="AI69" s="40">
        <f>IFERROR(VLOOKUP(Tabela3[[#This Row],[Produto]],Tabela2[],8,0),0)</f>
        <v>0</v>
      </c>
      <c r="AJ69" s="35">
        <f ca="1">IFERROR(VLOOKUP(Tabela3[[#This Row],[Produto]],Tabela2[],13,0),0)</f>
        <v>15.600000000000001</v>
      </c>
      <c r="AK69" s="40" t="str">
        <f>IFERROR(VLOOKUP(Tabela3[[#This Row],[Produto]],Tabela2[],14,0),0)</f>
        <v>Senun</v>
      </c>
      <c r="AL69" s="40">
        <f>IFERROR(VLOOKUP(Tabela3[[#This Row],[Produto]],Tabela2[],15,0),0)</f>
        <v>4</v>
      </c>
      <c r="AM69" s="36">
        <f ca="1">(Tabela3[[#This Row],[Custo Usinagem]]+Tabela3[[#This Row],[Custo / Pç]])*1.2</f>
        <v>21.145872343222216</v>
      </c>
      <c r="AN69" s="36">
        <f ca="1">Tabela3[[#This Row],[Valor Mínimo Venda]]*1.15</f>
        <v>24.317753194705546</v>
      </c>
      <c r="AO69" s="36">
        <f ca="1">Tabela3[[#This Row],[Tabela 1]]*1.08</f>
        <v>26.26317345028199</v>
      </c>
      <c r="AP69" s="36">
        <f ca="1">Tabela3[[#This Row],[Tabela 2]]*1.15</f>
        <v>30.202649467824287</v>
      </c>
    </row>
    <row r="70" spans="1:42">
      <c r="A70" s="9">
        <v>45715</v>
      </c>
      <c r="B70" s="6" t="s">
        <v>291</v>
      </c>
      <c r="C70" s="14">
        <v>5798</v>
      </c>
      <c r="D70" s="6" t="s">
        <v>46</v>
      </c>
      <c r="E70" s="6" t="s">
        <v>53</v>
      </c>
      <c r="F70" s="6">
        <v>17</v>
      </c>
      <c r="G70" s="15">
        <v>0.2013888888888889</v>
      </c>
      <c r="H70" s="16">
        <v>6</v>
      </c>
      <c r="I70" s="35">
        <f ca="1">IFERROR(Tabela3[[#This Row],[Custo Total]]/Tabela3[[#This Row],[Aluminio Util]],0)</f>
        <v>47.654869699356723</v>
      </c>
      <c r="J70" s="35">
        <f ca="1">Tabela3[[#This Row],[Custo Total]]/Tabela3[[#This Row],[Realizado]]</f>
        <v>116.75443076342398</v>
      </c>
      <c r="K70" s="37">
        <f>IFERROR(Tabela3[[#This Row],[Qtde Cx Produzida]]/Tabela3[[#This Row],[Tempo]]/24,0)</f>
        <v>3.5172413793103448</v>
      </c>
      <c r="L70" s="37">
        <f>Tabela3[[#This Row],[Qtde Cx Produzida]]*Tabela3[[#This Row],[Qdt Peça Placa]]</f>
        <v>17</v>
      </c>
      <c r="M70" s="37">
        <f>Tabela3[[#This Row],[Previsto]]-Tabela3[[#This Row],[Perda Pçs]]</f>
        <v>11</v>
      </c>
      <c r="N70" s="38">
        <f>IFERROR(Tabela3[[#This Row],[Perda Pçs]]/Tabela3[[#This Row],[Previsto]],0)</f>
        <v>0.35294117647058826</v>
      </c>
      <c r="O70" s="39">
        <f>IFERROR(IF(Tabela3[[#This Row],[Qtde Cx Produzida]] &lt;&gt; 0, Tabela3[[#This Row],[Tempo]] / Tabela3[[#This Row],[Qtde Cx Produzida]], 0),0)</f>
        <v>1.1846405228758169E-2</v>
      </c>
      <c r="P70" s="57">
        <f>IFERROR(Tabela3[[#This Row],[Perda Pçs]]/Tabela3[[#This Row],[Qdt Peça Placa]],0)</f>
        <v>6</v>
      </c>
      <c r="Q70" s="37">
        <f>IFERROR(Tabela3[[#This Row],[Realizado]]*Tabela3[[#This Row],[Peso Util/Pç]],0)</f>
        <v>26.950000000000003</v>
      </c>
      <c r="R70" s="37">
        <f>IFERROR(Tabela3[[#This Row],[Peso Total Galho]]*Tabela3[[#This Row],[Qtde Cx Produzida]]*1.055,0)</f>
        <v>57.392000000000003</v>
      </c>
      <c r="S70" s="37">
        <f>(Tabela3[[#This Row],[Aluminio Bruto]]-Tabela3[[#This Row],[Aluminio Util]])*0.9</f>
        <v>27.3978</v>
      </c>
      <c r="T70" s="37">
        <f>Tabela3[[#This Row],[Aluminio Bruto]]/OleoKGAluminio</f>
        <v>24.14474019285694</v>
      </c>
      <c r="U70" s="35">
        <f>IFERROR((VLOOKUP(Tabela3[[#This Row],[Moldador]],Tabela1[],5,)+(VLOOKUP(Tabela3[[#This Row],[Ajudante]],Tabela1[],5,))*3.5),0)</f>
        <v>99.95034583333333</v>
      </c>
      <c r="V70" s="35">
        <f>IFERROR(Tabela3[[#This Row],[Custo M.O. / H]]/((Tabela3[[#This Row],[Realizado]]/Tabela3[[#This Row],[Qdt Peça Placa]])/Tabela3[[#This Row],[Tempo]]/24),)</f>
        <v>43.917576199494945</v>
      </c>
      <c r="W70" s="35">
        <f>Tabela3[[#This Row],[Custo / Cx Moldada]]*Tabela3[[#This Row],[Qtde Cx Produzida]]</f>
        <v>746.59879539141411</v>
      </c>
      <c r="X70" s="35">
        <f ca="1">Tabela3[[#This Row],[Aluminio Util]]*Tabela3[[#This Row],[Custo/Kg]]</f>
        <v>474.32000000000011</v>
      </c>
      <c r="Y70" s="35">
        <f>IFERROR(VLOOKUP(Tabela3[[#This Row],[Data]],Tabela461213[],2,1)*(Tabela3[[#This Row],[Qtde Cx Produzida]]*Tabela3[[#This Row],[Qde macho / CX]]*Tabela3[[#This Row],[Peso Macho]]),)</f>
        <v>0</v>
      </c>
      <c r="Z70" s="35">
        <f>IFERROR(Tabela3[[#This Row],[Qtde Oleo]]*(VLOOKUP(Tabela3[[#This Row],[Data]],CompraOleo[],3,TRUE))*1.05,0)</f>
        <v>63.379943006249469</v>
      </c>
      <c r="AA70" s="47">
        <f ca="1">(Tabela3[[#This Row],[Custo Oleo]]+Tabela3[[#This Row],[Custo Aluminio]]+Tabela3[[#This Row],[Custo M.O. Total]]+Tabela3[[#This Row],[Custo Machos]])</f>
        <v>1284.2987383976638</v>
      </c>
      <c r="AB70" s="47">
        <f ca="1">Tabela3[[#This Row],[Custo Total]]*Tabela3[[#This Row],[% Perda]]</f>
        <v>453.28190766976371</v>
      </c>
      <c r="AC70" s="48">
        <f>IFERROR(VLOOKUP(Tabela3[[#This Row],[Produto]],Tabela2[],2,0),0)</f>
        <v>1</v>
      </c>
      <c r="AD70" s="48">
        <f>IFERROR(VLOOKUP(Tabela3[[#This Row],[Produto]],Tabela2[],3,0),0)</f>
        <v>2.4500000000000002</v>
      </c>
      <c r="AE70" s="48">
        <f>IFERROR(VLOOKUP(Tabela3[[#This Row],[Produto]],Tabela2[],4,0),0)</f>
        <v>3.2</v>
      </c>
      <c r="AF70" s="48">
        <f>IFERROR(VLOOKUP(Tabela3[[#This Row],[Produto]],Tabela2[],5,0),0)</f>
        <v>0.67500000000000004</v>
      </c>
      <c r="AG70" s="40">
        <f>IFERROR(VLOOKUP(Tabela3[[#This Row],[Produto]],Tabela2[],6,0),0)</f>
        <v>0</v>
      </c>
      <c r="AH70" s="40">
        <f>IFERROR(VLOOKUP(Tabela3[[#This Row],[Produto]],Tabela2[],7,0),0)</f>
        <v>0</v>
      </c>
      <c r="AI70" s="40">
        <f>IFERROR(VLOOKUP(Tabela3[[#This Row],[Produto]],Tabela2[],8,0),0)</f>
        <v>0</v>
      </c>
      <c r="AJ70" s="35">
        <f ca="1">IFERROR(VLOOKUP(Tabela3[[#This Row],[Produto]],Tabela2[],13,0),0)</f>
        <v>17.600000000000001</v>
      </c>
      <c r="AK70" s="40" t="str">
        <f>IFERROR(VLOOKUP(Tabela3[[#This Row],[Produto]],Tabela2[],14,0),0)</f>
        <v>Bambozzi</v>
      </c>
      <c r="AL70" s="40">
        <f>IFERROR(VLOOKUP(Tabela3[[#This Row],[Produto]],Tabela2[],15,0),0)</f>
        <v>12</v>
      </c>
      <c r="AM70" s="36">
        <f ca="1">(Tabela3[[#This Row],[Custo Usinagem]]+Tabela3[[#This Row],[Custo / Pç]])*1.2</f>
        <v>154.50531691610877</v>
      </c>
      <c r="AN70" s="36">
        <f ca="1">Tabela3[[#This Row],[Valor Mínimo Venda]]*1.15</f>
        <v>177.68111445352508</v>
      </c>
      <c r="AO70" s="36">
        <f ca="1">Tabela3[[#This Row],[Tabela 1]]*1.08</f>
        <v>191.8956036098071</v>
      </c>
      <c r="AP70" s="36">
        <f ca="1">Tabela3[[#This Row],[Tabela 2]]*1.15</f>
        <v>220.67994415127814</v>
      </c>
    </row>
    <row r="71" spans="1:42">
      <c r="A71" s="9">
        <v>45715</v>
      </c>
      <c r="B71" s="6" t="s">
        <v>221</v>
      </c>
      <c r="C71" s="14">
        <v>5801</v>
      </c>
      <c r="D71" s="6" t="s">
        <v>46</v>
      </c>
      <c r="E71" s="6" t="s">
        <v>53</v>
      </c>
      <c r="F71" s="6">
        <v>20</v>
      </c>
      <c r="G71" s="15">
        <v>9.0972222222222218E-2</v>
      </c>
      <c r="H71" s="16">
        <v>6</v>
      </c>
      <c r="I71" s="35">
        <f ca="1">IFERROR(Tabela3[[#This Row],[Custo Total]]/Tabela3[[#This Row],[Aluminio Util]],0)</f>
        <v>23.517075634929068</v>
      </c>
      <c r="J71" s="35">
        <f ca="1">Tabela3[[#This Row],[Custo Total]]/Tabela3[[#This Row],[Realizado]]</f>
        <v>2.9866686056359915</v>
      </c>
      <c r="K71" s="37">
        <f>IFERROR(Tabela3[[#This Row],[Qtde Cx Produzida]]/Tabela3[[#This Row],[Tempo]]/24,0)</f>
        <v>9.1603053435114514</v>
      </c>
      <c r="L71" s="37">
        <f>Tabela3[[#This Row],[Qtde Cx Produzida]]*Tabela3[[#This Row],[Qdt Peça Placa]]</f>
        <v>360</v>
      </c>
      <c r="M71" s="37">
        <f>Tabela3[[#This Row],[Previsto]]-Tabela3[[#This Row],[Perda Pçs]]</f>
        <v>354</v>
      </c>
      <c r="N71" s="38">
        <f>IFERROR(Tabela3[[#This Row],[Perda Pçs]]/Tabela3[[#This Row],[Previsto]],0)</f>
        <v>1.6666666666666666E-2</v>
      </c>
      <c r="O71" s="39">
        <f>IFERROR(IF(Tabela3[[#This Row],[Qtde Cx Produzida]] &lt;&gt; 0, Tabela3[[#This Row],[Tempo]] / Tabela3[[#This Row],[Qtde Cx Produzida]], 0),0)</f>
        <v>4.5486111111111109E-3</v>
      </c>
      <c r="P71" s="57">
        <f>IFERROR(Tabela3[[#This Row],[Perda Pçs]]/Tabela3[[#This Row],[Qdt Peça Placa]],0)</f>
        <v>0.33333333333333331</v>
      </c>
      <c r="Q71" s="37">
        <f>IFERROR(Tabela3[[#This Row],[Realizado]]*Tabela3[[#This Row],[Peso Util/Pç]],0)</f>
        <v>44.957999999999998</v>
      </c>
      <c r="R71" s="37">
        <f>IFERROR(Tabela3[[#This Row],[Peso Total Galho]]*Tabela3[[#This Row],[Qtde Cx Produzida]]*1.055,0)</f>
        <v>81.867999999999995</v>
      </c>
      <c r="S71" s="37">
        <f>(Tabela3[[#This Row],[Aluminio Bruto]]-Tabela3[[#This Row],[Aluminio Util]])*0.9</f>
        <v>33.219000000000001</v>
      </c>
      <c r="T71" s="37">
        <f>Tabela3[[#This Row],[Aluminio Bruto]]/OleoKGAluminio</f>
        <v>34.441761745692986</v>
      </c>
      <c r="U71" s="35">
        <f>IFERROR((VLOOKUP(Tabela3[[#This Row],[Moldador]],Tabela1[],5,)+(VLOOKUP(Tabela3[[#This Row],[Ajudante]],Tabela1[],5,))*3.5),0)</f>
        <v>99.95034583333333</v>
      </c>
      <c r="V71" s="35">
        <f>IFERROR(Tabela3[[#This Row],[Custo M.O. / H]]/((Tabela3[[#This Row],[Realizado]]/Tabela3[[#This Row],[Qdt Peça Placa]])/Tabela3[[#This Row],[Tempo]]/24),)</f>
        <v>11.09618246115819</v>
      </c>
      <c r="W71" s="35">
        <f>Tabela3[[#This Row],[Custo / Cx Moldada]]*Tabela3[[#This Row],[Qtde Cx Produzida]]</f>
        <v>221.92364922316381</v>
      </c>
      <c r="X71" s="35">
        <f ca="1">Tabela3[[#This Row],[Aluminio Util]]*Tabela3[[#This Row],[Custo/Kg]]</f>
        <v>744.9474125895332</v>
      </c>
      <c r="Y71" s="35">
        <f>IFERROR(VLOOKUP(Tabela3[[#This Row],[Data]],Tabela461213[],2,1)*(Tabela3[[#This Row],[Qtde Cx Produzida]]*Tabela3[[#This Row],[Qde macho / CX]]*Tabela3[[#This Row],[Peso Macho]]),)</f>
        <v>0</v>
      </c>
      <c r="Z71" s="35">
        <f>IFERROR(Tabela3[[#This Row],[Qtde Oleo]]*(VLOOKUP(Tabela3[[#This Row],[Data]],CompraOleo[],3,TRUE))*1.05,0)</f>
        <v>90.409624582444096</v>
      </c>
      <c r="AA71" s="47">
        <f ca="1">(Tabela3[[#This Row],[Custo Oleo]]+Tabela3[[#This Row],[Custo Aluminio]]+Tabela3[[#This Row],[Custo M.O. Total]]+Tabela3[[#This Row],[Custo Machos]])</f>
        <v>1057.2806863951409</v>
      </c>
      <c r="AB71" s="47">
        <f ca="1">Tabela3[[#This Row],[Custo Total]]*Tabela3[[#This Row],[% Perda]]</f>
        <v>17.62134477325235</v>
      </c>
      <c r="AC71" s="48">
        <f>IFERROR(VLOOKUP(Tabela3[[#This Row],[Produto]],Tabela2[],2,0),0)</f>
        <v>18</v>
      </c>
      <c r="AD71" s="48">
        <f>IFERROR(VLOOKUP(Tabela3[[#This Row],[Produto]],Tabela2[],3,0),0)</f>
        <v>0.127</v>
      </c>
      <c r="AE71" s="48">
        <f>IFERROR(VLOOKUP(Tabela3[[#This Row],[Produto]],Tabela2[],4,0),0)</f>
        <v>3.88</v>
      </c>
      <c r="AF71" s="48">
        <f>IFERROR(VLOOKUP(Tabela3[[#This Row],[Produto]],Tabela2[],5,0),0)</f>
        <v>1.4345999999999999</v>
      </c>
      <c r="AG71" s="40">
        <f>IFERROR(VLOOKUP(Tabela3[[#This Row],[Produto]],Tabela2[],6,0),0)</f>
        <v>0</v>
      </c>
      <c r="AH71" s="40">
        <f>IFERROR(VLOOKUP(Tabela3[[#This Row],[Produto]],Tabela2[],7,0),0)</f>
        <v>0</v>
      </c>
      <c r="AI71" s="40">
        <f>IFERROR(VLOOKUP(Tabela3[[#This Row],[Produto]],Tabela2[],8,0),0)</f>
        <v>0</v>
      </c>
      <c r="AJ71" s="35">
        <f ca="1">IFERROR(VLOOKUP(Tabela3[[#This Row],[Produto]],Tabela2[],13,0),0)</f>
        <v>16.569852141766386</v>
      </c>
      <c r="AK71" s="40" t="str">
        <f>IFERROR(VLOOKUP(Tabela3[[#This Row],[Produto]],Tabela2[],14,0),0)</f>
        <v>Marcelo</v>
      </c>
      <c r="AL71" s="40">
        <f>IFERROR(VLOOKUP(Tabela3[[#This Row],[Produto]],Tabela2[],15,0),0)</f>
        <v>0</v>
      </c>
      <c r="AM71" s="36">
        <f ca="1">(Tabela3[[#This Row],[Custo Usinagem]]+Tabela3[[#This Row],[Custo / Pç]])*1.2</f>
        <v>3.5840023267631897</v>
      </c>
      <c r="AN71" s="36">
        <f ca="1">Tabela3[[#This Row],[Valor Mínimo Venda]]*1.15</f>
        <v>4.1216026757776678</v>
      </c>
      <c r="AO71" s="36">
        <f ca="1">Tabela3[[#This Row],[Tabela 1]]*1.08</f>
        <v>4.4513308898398813</v>
      </c>
      <c r="AP71" s="36">
        <f ca="1">Tabela3[[#This Row],[Tabela 2]]*1.15</f>
        <v>5.1190305233158631</v>
      </c>
    </row>
    <row r="72" spans="1:42">
      <c r="A72" s="9">
        <v>45715</v>
      </c>
      <c r="B72" s="6" t="s">
        <v>222</v>
      </c>
      <c r="C72" s="14">
        <v>5802</v>
      </c>
      <c r="D72" s="6" t="s">
        <v>46</v>
      </c>
      <c r="E72" s="6" t="s">
        <v>53</v>
      </c>
      <c r="F72" s="6">
        <v>8</v>
      </c>
      <c r="G72" s="15">
        <v>5.347222222222222E-2</v>
      </c>
      <c r="H72" s="16">
        <v>4</v>
      </c>
      <c r="I72" s="35">
        <f ca="1">IFERROR(Tabela3[[#This Row],[Custo Total]]/Tabela3[[#This Row],[Aluminio Util]],0)</f>
        <v>25.698543546608725</v>
      </c>
      <c r="J72" s="35">
        <f ca="1">Tabela3[[#This Row],[Custo Total]]/Tabela3[[#This Row],[Realizado]]</f>
        <v>2.8011412465803516</v>
      </c>
      <c r="K72" s="37">
        <f>IFERROR(Tabela3[[#This Row],[Qtde Cx Produzida]]/Tabela3[[#This Row],[Tempo]]/24,0)</f>
        <v>6.233766233766235</v>
      </c>
      <c r="L72" s="37">
        <f>Tabela3[[#This Row],[Qtde Cx Produzida]]*Tabela3[[#This Row],[Qdt Peça Placa]]</f>
        <v>176</v>
      </c>
      <c r="M72" s="37">
        <f>Tabela3[[#This Row],[Previsto]]-Tabela3[[#This Row],[Perda Pçs]]</f>
        <v>172</v>
      </c>
      <c r="N72" s="38">
        <f>IFERROR(Tabela3[[#This Row],[Perda Pçs]]/Tabela3[[#This Row],[Previsto]],0)</f>
        <v>2.2727272727272728E-2</v>
      </c>
      <c r="O72" s="39">
        <f>IFERROR(IF(Tabela3[[#This Row],[Qtde Cx Produzida]] &lt;&gt; 0, Tabela3[[#This Row],[Tempo]] / Tabela3[[#This Row],[Qtde Cx Produzida]], 0),0)</f>
        <v>6.6840277777777775E-3</v>
      </c>
      <c r="P72" s="57">
        <f>IFERROR(Tabela3[[#This Row],[Perda Pçs]]/Tabela3[[#This Row],[Qdt Peça Placa]],0)</f>
        <v>0.18181818181818182</v>
      </c>
      <c r="Q72" s="37">
        <f>IFERROR(Tabela3[[#This Row],[Realizado]]*Tabela3[[#This Row],[Peso Util/Pç]],0)</f>
        <v>18.748000000000001</v>
      </c>
      <c r="R72" s="37">
        <f>IFERROR(Tabela3[[#This Row],[Peso Total Galho]]*Tabela3[[#This Row],[Qtde Cx Produzida]]*1.055,0)</f>
        <v>36.123199999999997</v>
      </c>
      <c r="S72" s="37">
        <f>(Tabela3[[#This Row],[Aluminio Bruto]]-Tabela3[[#This Row],[Aluminio Util]])*0.9</f>
        <v>15.637679999999996</v>
      </c>
      <c r="T72" s="37">
        <f>Tabela3[[#This Row],[Aluminio Bruto]]/OleoKGAluminio</f>
        <v>15.19698353315113</v>
      </c>
      <c r="U72" s="35">
        <f>IFERROR((VLOOKUP(Tabela3[[#This Row],[Moldador]],Tabela1[],5,)+(VLOOKUP(Tabela3[[#This Row],[Ajudante]],Tabela1[],5,))*3.5),0)</f>
        <v>99.95034583333333</v>
      </c>
      <c r="V72" s="35">
        <f>IFERROR(Tabela3[[#This Row],[Custo M.O. / H]]/((Tabela3[[#This Row],[Realizado]]/Tabela3[[#This Row],[Qdt Peça Placa]])/Tabela3[[#This Row],[Tempo]]/24),)</f>
        <v>16.406578085432812</v>
      </c>
      <c r="W72" s="35">
        <f>Tabela3[[#This Row],[Custo / Cx Moldada]]*Tabela3[[#This Row],[Qtde Cx Produzida]]</f>
        <v>131.2526246834625</v>
      </c>
      <c r="X72" s="35">
        <f ca="1">Tabela3[[#This Row],[Aluminio Util]]*Tabela3[[#This Row],[Custo/Kg]]</f>
        <v>310.65158795383621</v>
      </c>
      <c r="Y72" s="35">
        <f>IFERROR(VLOOKUP(Tabela3[[#This Row],[Data]],Tabela461213[],2,1)*(Tabela3[[#This Row],[Qtde Cx Produzida]]*Tabela3[[#This Row],[Qde macho / CX]]*Tabela3[[#This Row],[Peso Macho]]),)</f>
        <v>0</v>
      </c>
      <c r="Z72" s="35">
        <f>IFERROR(Tabela3[[#This Row],[Qtde Oleo]]*(VLOOKUP(Tabela3[[#This Row],[Data]],CompraOleo[],3,TRUE))*1.05,0)</f>
        <v>39.892081774521714</v>
      </c>
      <c r="AA72" s="47">
        <f ca="1">(Tabela3[[#This Row],[Custo Oleo]]+Tabela3[[#This Row],[Custo Aluminio]]+Tabela3[[#This Row],[Custo M.O. Total]]+Tabela3[[#This Row],[Custo Machos]])</f>
        <v>481.79629441182044</v>
      </c>
      <c r="AB72" s="47">
        <f ca="1">Tabela3[[#This Row],[Custo Total]]*Tabela3[[#This Row],[% Perda]]</f>
        <v>10.949915782086828</v>
      </c>
      <c r="AC72" s="48">
        <f>IFERROR(VLOOKUP(Tabela3[[#This Row],[Produto]],Tabela2[],2,0),0)</f>
        <v>22</v>
      </c>
      <c r="AD72" s="48">
        <f>IFERROR(VLOOKUP(Tabela3[[#This Row],[Produto]],Tabela2[],3,0),0)</f>
        <v>0.109</v>
      </c>
      <c r="AE72" s="48">
        <f>IFERROR(VLOOKUP(Tabela3[[#This Row],[Produto]],Tabela2[],4,0),0)</f>
        <v>4.28</v>
      </c>
      <c r="AF72" s="48">
        <f>IFERROR(VLOOKUP(Tabela3[[#This Row],[Produto]],Tabela2[],5,0),0)</f>
        <v>1.6938000000000002</v>
      </c>
      <c r="AG72" s="40">
        <f>IFERROR(VLOOKUP(Tabela3[[#This Row],[Produto]],Tabela2[],6,0),0)</f>
        <v>0</v>
      </c>
      <c r="AH72" s="40">
        <f>IFERROR(VLOOKUP(Tabela3[[#This Row],[Produto]],Tabela2[],7,0),0)</f>
        <v>0</v>
      </c>
      <c r="AI72" s="40">
        <f>IFERROR(VLOOKUP(Tabela3[[#This Row],[Produto]],Tabela2[],8,0),0)</f>
        <v>0</v>
      </c>
      <c r="AJ72" s="35">
        <f ca="1">IFERROR(VLOOKUP(Tabela3[[#This Row],[Produto]],Tabela2[],13,0),0)</f>
        <v>16.569852141766386</v>
      </c>
      <c r="AK72" s="40" t="str">
        <f>IFERROR(VLOOKUP(Tabela3[[#This Row],[Produto]],Tabela2[],14,0),0)</f>
        <v>Marcelo</v>
      </c>
      <c r="AL72" s="40">
        <f>IFERROR(VLOOKUP(Tabela3[[#This Row],[Produto]],Tabela2[],15,0),0)</f>
        <v>0</v>
      </c>
      <c r="AM72" s="36">
        <f ca="1">(Tabela3[[#This Row],[Custo Usinagem]]+Tabela3[[#This Row],[Custo / Pç]])*1.2</f>
        <v>3.361369495896422</v>
      </c>
      <c r="AN72" s="36">
        <f ca="1">Tabela3[[#This Row],[Valor Mínimo Venda]]*1.15</f>
        <v>3.8655749202808849</v>
      </c>
      <c r="AO72" s="36">
        <f ca="1">Tabela3[[#This Row],[Tabela 1]]*1.08</f>
        <v>4.1748209139033561</v>
      </c>
      <c r="AP72" s="36">
        <f ca="1">Tabela3[[#This Row],[Tabela 2]]*1.15</f>
        <v>4.8010440509888594</v>
      </c>
    </row>
    <row r="73" spans="1:42">
      <c r="A73" s="9">
        <v>45715</v>
      </c>
      <c r="B73" s="6" t="s">
        <v>246</v>
      </c>
      <c r="C73" s="14">
        <v>5675</v>
      </c>
      <c r="D73" s="6" t="s">
        <v>44</v>
      </c>
      <c r="E73" s="6" t="s">
        <v>47</v>
      </c>
      <c r="F73" s="6">
        <v>11</v>
      </c>
      <c r="G73" s="15">
        <v>6.1111111111111109E-2</v>
      </c>
      <c r="H73" s="16">
        <v>0</v>
      </c>
      <c r="I73" s="35">
        <f ca="1">IFERROR(Tabela3[[#This Row],[Custo Total]]/Tabela3[[#This Row],[Aluminio Util]],0)</f>
        <v>23.654151954735045</v>
      </c>
      <c r="J73" s="35">
        <f ca="1">Tabela3[[#This Row],[Custo Total]]/Tabela3[[#This Row],[Realizado]]</f>
        <v>12.607662991873781</v>
      </c>
      <c r="K73" s="37">
        <f>IFERROR(Tabela3[[#This Row],[Qtde Cx Produzida]]/Tabela3[[#This Row],[Tempo]]/24,0)</f>
        <v>7.5</v>
      </c>
      <c r="L73" s="37">
        <f>Tabela3[[#This Row],[Qtde Cx Produzida]]*Tabela3[[#This Row],[Qdt Peça Placa]]</f>
        <v>44</v>
      </c>
      <c r="M73" s="37">
        <f>Tabela3[[#This Row],[Previsto]]-Tabela3[[#This Row],[Perda Pçs]]</f>
        <v>44</v>
      </c>
      <c r="N73" s="38">
        <f>IFERROR(Tabela3[[#This Row],[Perda Pçs]]/Tabela3[[#This Row],[Previsto]],0)</f>
        <v>0</v>
      </c>
      <c r="O73" s="39">
        <f>IFERROR(IF(Tabela3[[#This Row],[Qtde Cx Produzida]] &lt;&gt; 0, Tabela3[[#This Row],[Tempo]] / Tabela3[[#This Row],[Qtde Cx Produzida]], 0),0)</f>
        <v>5.5555555555555558E-3</v>
      </c>
      <c r="P73" s="57">
        <f>IFERROR(Tabela3[[#This Row],[Perda Pçs]]/Tabela3[[#This Row],[Qdt Peça Placa]],0)</f>
        <v>0</v>
      </c>
      <c r="Q73" s="37">
        <f>IFERROR(Tabela3[[#This Row],[Realizado]]*Tabela3[[#This Row],[Peso Util/Pç]],0)</f>
        <v>23.452000000000002</v>
      </c>
      <c r="R73" s="37">
        <f>IFERROR(Tabela3[[#This Row],[Peso Total Galho]]*Tabela3[[#This Row],[Qtde Cx Produzida]]*1.055,0)</f>
        <v>38.296499999999995</v>
      </c>
      <c r="S73" s="37">
        <f>(Tabela3[[#This Row],[Aluminio Bruto]]-Tabela3[[#This Row],[Aluminio Util]])*0.9</f>
        <v>13.360049999999994</v>
      </c>
      <c r="T73" s="37">
        <f>Tabela3[[#This Row],[Aluminio Bruto]]/OleoKGAluminio</f>
        <v>16.111288033101228</v>
      </c>
      <c r="U73" s="35">
        <f>IFERROR((VLOOKUP(Tabela3[[#This Row],[Moldador]],Tabela1[],5,)+(VLOOKUP(Tabela3[[#This Row],[Ajudante]],Tabela1[],5,))*3.5),0)</f>
        <v>99.95034583333333</v>
      </c>
      <c r="V73" s="35">
        <f>IFERROR(Tabela3[[#This Row],[Custo M.O. / H]]/((Tabela3[[#This Row],[Realizado]]/Tabela3[[#This Row],[Qdt Peça Placa]])/Tabela3[[#This Row],[Tempo]]/24),)</f>
        <v>13.326712777777777</v>
      </c>
      <c r="W73" s="35">
        <f>Tabela3[[#This Row],[Custo / Cx Moldada]]*Tabela3[[#This Row],[Qtde Cx Produzida]]</f>
        <v>146.59384055555554</v>
      </c>
      <c r="X73" s="35">
        <f ca="1">Tabela3[[#This Row],[Aluminio Util]]*Tabela3[[#This Row],[Custo/Kg]]</f>
        <v>365.85120000000006</v>
      </c>
      <c r="Y73" s="35">
        <f>IFERROR(VLOOKUP(Tabela3[[#This Row],[Data]],Tabela461213[],2,1)*(Tabela3[[#This Row],[Qtde Cx Produzida]]*Tabela3[[#This Row],[Qde macho / CX]]*Tabela3[[#This Row],[Peso Macho]]),)</f>
        <v>0</v>
      </c>
      <c r="Z73" s="35">
        <f>IFERROR(Tabela3[[#This Row],[Qtde Oleo]]*(VLOOKUP(Tabela3[[#This Row],[Data]],CompraOleo[],3,TRUE))*1.05,0)</f>
        <v>42.292131086890727</v>
      </c>
      <c r="AA73" s="47">
        <f ca="1">(Tabela3[[#This Row],[Custo Oleo]]+Tabela3[[#This Row],[Custo Aluminio]]+Tabela3[[#This Row],[Custo M.O. Total]]+Tabela3[[#This Row],[Custo Machos]])</f>
        <v>554.73717164244636</v>
      </c>
      <c r="AB73" s="47">
        <f ca="1">Tabela3[[#This Row],[Custo Total]]*Tabela3[[#This Row],[% Perda]]</f>
        <v>0</v>
      </c>
      <c r="AC73" s="48">
        <f>IFERROR(VLOOKUP(Tabela3[[#This Row],[Produto]],Tabela2[],2,0),0)</f>
        <v>4</v>
      </c>
      <c r="AD73" s="48">
        <f>IFERROR(VLOOKUP(Tabela3[[#This Row],[Produto]],Tabela2[],3,0),0)</f>
        <v>0.53300000000000003</v>
      </c>
      <c r="AE73" s="48">
        <f>IFERROR(VLOOKUP(Tabela3[[#This Row],[Produto]],Tabela2[],4,0),0)</f>
        <v>3.3</v>
      </c>
      <c r="AF73" s="48">
        <f>IFERROR(VLOOKUP(Tabela3[[#This Row],[Produto]],Tabela2[],5,0),0)</f>
        <v>1.0511999999999997</v>
      </c>
      <c r="AG73" s="40">
        <f>IFERROR(VLOOKUP(Tabela3[[#This Row],[Produto]],Tabela2[],6,0),0)</f>
        <v>0</v>
      </c>
      <c r="AH73" s="40">
        <f>IFERROR(VLOOKUP(Tabela3[[#This Row],[Produto]],Tabela2[],7,0),0)</f>
        <v>0</v>
      </c>
      <c r="AI73" s="40">
        <f>IFERROR(VLOOKUP(Tabela3[[#This Row],[Produto]],Tabela2[],8,0),0)</f>
        <v>0</v>
      </c>
      <c r="AJ73" s="35">
        <f ca="1">IFERROR(VLOOKUP(Tabela3[[#This Row],[Produto]],Tabela2[],13,0),0)</f>
        <v>15.600000000000001</v>
      </c>
      <c r="AK73" s="40" t="str">
        <f>IFERROR(VLOOKUP(Tabela3[[#This Row],[Produto]],Tabela2[],14,0),0)</f>
        <v>Senun</v>
      </c>
      <c r="AL73" s="40">
        <f>IFERROR(VLOOKUP(Tabela3[[#This Row],[Produto]],Tabela2[],15,0),0)</f>
        <v>4</v>
      </c>
      <c r="AM73" s="36">
        <f ca="1">(Tabela3[[#This Row],[Custo Usinagem]]+Tabela3[[#This Row],[Custo / Pç]])*1.2</f>
        <v>19.929195590248536</v>
      </c>
      <c r="AN73" s="36">
        <f ca="1">Tabela3[[#This Row],[Valor Mínimo Venda]]*1.15</f>
        <v>22.918574928785816</v>
      </c>
      <c r="AO73" s="36">
        <f ca="1">Tabela3[[#This Row],[Tabela 1]]*1.08</f>
        <v>24.752060923088681</v>
      </c>
      <c r="AP73" s="36">
        <f ca="1">Tabela3[[#This Row],[Tabela 2]]*1.15</f>
        <v>28.464870061551981</v>
      </c>
    </row>
    <row r="74" spans="1:42">
      <c r="A74" s="9">
        <v>45715</v>
      </c>
      <c r="B74" s="6" t="s">
        <v>241</v>
      </c>
      <c r="C74" s="14">
        <v>5674</v>
      </c>
      <c r="D74" s="6" t="s">
        <v>44</v>
      </c>
      <c r="E74" s="6" t="s">
        <v>47</v>
      </c>
      <c r="F74" s="6">
        <v>30</v>
      </c>
      <c r="G74" s="15">
        <v>0.20069444444444445</v>
      </c>
      <c r="H74" s="16">
        <v>10</v>
      </c>
      <c r="I74" s="35">
        <f ca="1">IFERROR(Tabela3[[#This Row],[Custo Total]]/Tabela3[[#This Row],[Aluminio Util]],0)</f>
        <v>25.643535432965781</v>
      </c>
      <c r="J74" s="35">
        <f ca="1">Tabela3[[#This Row],[Custo Total]]/Tabela3[[#This Row],[Realizado]]</f>
        <v>15.719487220408023</v>
      </c>
      <c r="K74" s="37">
        <f>IFERROR(Tabela3[[#This Row],[Qtde Cx Produzida]]/Tabela3[[#This Row],[Tempo]]/24,0)</f>
        <v>6.2283737024221457</v>
      </c>
      <c r="L74" s="37">
        <f>Tabela3[[#This Row],[Qtde Cx Produzida]]*Tabela3[[#This Row],[Qdt Peça Placa]]</f>
        <v>120</v>
      </c>
      <c r="M74" s="37">
        <f>Tabela3[[#This Row],[Previsto]]-Tabela3[[#This Row],[Perda Pçs]]</f>
        <v>110</v>
      </c>
      <c r="N74" s="38">
        <f>IFERROR(Tabela3[[#This Row],[Perda Pçs]]/Tabela3[[#This Row],[Previsto]],0)</f>
        <v>8.3333333333333329E-2</v>
      </c>
      <c r="O74" s="39">
        <f>IFERROR(IF(Tabela3[[#This Row],[Qtde Cx Produzida]] &lt;&gt; 0, Tabela3[[#This Row],[Tempo]] / Tabela3[[#This Row],[Qtde Cx Produzida]], 0),0)</f>
        <v>6.6898148148148151E-3</v>
      </c>
      <c r="P74" s="57">
        <f>IFERROR(Tabela3[[#This Row],[Perda Pçs]]/Tabela3[[#This Row],[Qdt Peça Placa]],0)</f>
        <v>2.5</v>
      </c>
      <c r="Q74" s="37">
        <f>IFERROR(Tabela3[[#This Row],[Realizado]]*Tabela3[[#This Row],[Peso Util/Pç]],0)</f>
        <v>67.429999999999993</v>
      </c>
      <c r="R74" s="37">
        <f>IFERROR(Tabela3[[#This Row],[Peso Total Galho]]*Tabela3[[#This Row],[Qtde Cx Produzida]]*1.055,0)</f>
        <v>137.67749999999998</v>
      </c>
      <c r="S74" s="37">
        <f>(Tabela3[[#This Row],[Aluminio Bruto]]-Tabela3[[#This Row],[Aluminio Util]])*0.9</f>
        <v>63.222749999999991</v>
      </c>
      <c r="T74" s="37">
        <f>Tabela3[[#This Row],[Aluminio Bruto]]/OleoKGAluminio</f>
        <v>57.920746234702762</v>
      </c>
      <c r="U74" s="35">
        <f>IFERROR((VLOOKUP(Tabela3[[#This Row],[Moldador]],Tabela1[],5,)+(VLOOKUP(Tabela3[[#This Row],[Ajudante]],Tabela1[],5,))*3.5),0)</f>
        <v>99.95034583333333</v>
      </c>
      <c r="V74" s="35">
        <f>IFERROR(Tabela3[[#This Row],[Custo M.O. / H]]/((Tabela3[[#This Row],[Realizado]]/Tabela3[[#This Row],[Qdt Peça Placa]])/Tabela3[[#This Row],[Tempo]]/24),)</f>
        <v>17.506454512626263</v>
      </c>
      <c r="W74" s="35">
        <f>Tabela3[[#This Row],[Custo / Cx Moldada]]*Tabela3[[#This Row],[Qtde Cx Produzida]]</f>
        <v>525.19363537878792</v>
      </c>
      <c r="X74" s="35">
        <f ca="1">Tabela3[[#This Row],[Aluminio Util]]*Tabela3[[#This Row],[Custo/Kg]]</f>
        <v>1051.9079999999999</v>
      </c>
      <c r="Y74" s="35">
        <f>IFERROR(VLOOKUP(Tabela3[[#This Row],[Data]],Tabela461213[],2,1)*(Tabela3[[#This Row],[Qtde Cx Produzida]]*Tabela3[[#This Row],[Qde macho / CX]]*Tabela3[[#This Row],[Peso Macho]]),)</f>
        <v>0</v>
      </c>
      <c r="Z74" s="35">
        <f>IFERROR(Tabela3[[#This Row],[Qtde Oleo]]*(VLOOKUP(Tabela3[[#This Row],[Data]],CompraOleo[],3,TRUE))*1.05,0)</f>
        <v>152.04195886609475</v>
      </c>
      <c r="AA74" s="47">
        <f ca="1">(Tabela3[[#This Row],[Custo Oleo]]+Tabela3[[#This Row],[Custo Aluminio]]+Tabela3[[#This Row],[Custo M.O. Total]]+Tabela3[[#This Row],[Custo Machos]])</f>
        <v>1729.1435942448825</v>
      </c>
      <c r="AB74" s="47">
        <f ca="1">Tabela3[[#This Row],[Custo Total]]*Tabela3[[#This Row],[% Perda]]</f>
        <v>144.09529952040685</v>
      </c>
      <c r="AC74" s="48">
        <f>IFERROR(VLOOKUP(Tabela3[[#This Row],[Produto]],Tabela2[],2,0),0)</f>
        <v>4</v>
      </c>
      <c r="AD74" s="48">
        <f>IFERROR(VLOOKUP(Tabela3[[#This Row],[Produto]],Tabela2[],3,0),0)</f>
        <v>0.61299999999999999</v>
      </c>
      <c r="AE74" s="48">
        <f>IFERROR(VLOOKUP(Tabela3[[#This Row],[Produto]],Tabela2[],4,0),0)</f>
        <v>4.3499999999999996</v>
      </c>
      <c r="AF74" s="48">
        <f>IFERROR(VLOOKUP(Tabela3[[#This Row],[Produto]],Tabela2[],5,0),0)</f>
        <v>1.7081999999999997</v>
      </c>
      <c r="AG74" s="40">
        <f>IFERROR(VLOOKUP(Tabela3[[#This Row],[Produto]],Tabela2[],6,0),0)</f>
        <v>0</v>
      </c>
      <c r="AH74" s="40">
        <f>IFERROR(VLOOKUP(Tabela3[[#This Row],[Produto]],Tabela2[],7,0),0)</f>
        <v>0</v>
      </c>
      <c r="AI74" s="40">
        <f>IFERROR(VLOOKUP(Tabela3[[#This Row],[Produto]],Tabela2[],8,0),0)</f>
        <v>0</v>
      </c>
      <c r="AJ74" s="35">
        <f ca="1">IFERROR(VLOOKUP(Tabela3[[#This Row],[Produto]],Tabela2[],13,0),0)</f>
        <v>15.600000000000001</v>
      </c>
      <c r="AK74" s="40" t="str">
        <f>IFERROR(VLOOKUP(Tabela3[[#This Row],[Produto]],Tabela2[],14,0),0)</f>
        <v>Senun</v>
      </c>
      <c r="AL74" s="40">
        <f>IFERROR(VLOOKUP(Tabela3[[#This Row],[Produto]],Tabela2[],15,0),0)</f>
        <v>4</v>
      </c>
      <c r="AM74" s="36">
        <f ca="1">(Tabela3[[#This Row],[Custo Usinagem]]+Tabela3[[#This Row],[Custo / Pç]])*1.2</f>
        <v>23.663384664489627</v>
      </c>
      <c r="AN74" s="36">
        <f ca="1">Tabela3[[#This Row],[Valor Mínimo Venda]]*1.15</f>
        <v>27.212892364163068</v>
      </c>
      <c r="AO74" s="36">
        <f ca="1">Tabela3[[#This Row],[Tabela 1]]*1.08</f>
        <v>29.389923753296117</v>
      </c>
      <c r="AP74" s="36">
        <f ca="1">Tabela3[[#This Row],[Tabela 2]]*1.15</f>
        <v>33.798412316290531</v>
      </c>
    </row>
    <row r="75" spans="1:42">
      <c r="A75" s="9">
        <v>45715</v>
      </c>
      <c r="B75" s="6" t="s">
        <v>254</v>
      </c>
      <c r="C75" s="14">
        <v>5171</v>
      </c>
      <c r="D75" s="6" t="s">
        <v>44</v>
      </c>
      <c r="E75" s="6" t="s">
        <v>47</v>
      </c>
      <c r="F75" s="6">
        <v>17</v>
      </c>
      <c r="G75" s="15">
        <v>8.0555555555555561E-2</v>
      </c>
      <c r="H75" s="16">
        <v>0</v>
      </c>
      <c r="I75" s="35">
        <f ca="1">IFERROR(Tabela3[[#This Row],[Custo Total]]/Tabela3[[#This Row],[Aluminio Util]],0)</f>
        <v>32.274830162605944</v>
      </c>
      <c r="J75" s="35">
        <f ca="1">Tabela3[[#This Row],[Custo Total]]/Tabela3[[#This Row],[Realizado]]</f>
        <v>29.660568919434866</v>
      </c>
      <c r="K75" s="37">
        <f>IFERROR(Tabela3[[#This Row],[Qtde Cx Produzida]]/Tabela3[[#This Row],[Tempo]]/24,0)</f>
        <v>8.7931034482758612</v>
      </c>
      <c r="L75" s="37">
        <f>Tabela3[[#This Row],[Qtde Cx Produzida]]*Tabela3[[#This Row],[Qdt Peça Placa]]</f>
        <v>17</v>
      </c>
      <c r="M75" s="37">
        <f>Tabela3[[#This Row],[Previsto]]-Tabela3[[#This Row],[Perda Pçs]]</f>
        <v>17</v>
      </c>
      <c r="N75" s="38">
        <f>IFERROR(Tabela3[[#This Row],[Perda Pçs]]/Tabela3[[#This Row],[Previsto]],0)</f>
        <v>0</v>
      </c>
      <c r="O75" s="39">
        <f>IFERROR(IF(Tabela3[[#This Row],[Qtde Cx Produzida]] &lt;&gt; 0, Tabela3[[#This Row],[Tempo]] / Tabela3[[#This Row],[Qtde Cx Produzida]], 0),0)</f>
        <v>4.7385620915032685E-3</v>
      </c>
      <c r="P75" s="57">
        <f>IFERROR(Tabela3[[#This Row],[Perda Pçs]]/Tabela3[[#This Row],[Qdt Peça Placa]],0)</f>
        <v>0</v>
      </c>
      <c r="Q75" s="37">
        <f>IFERROR(Tabela3[[#This Row],[Realizado]]*Tabela3[[#This Row],[Peso Util/Pç]],0)</f>
        <v>15.623000000000001</v>
      </c>
      <c r="R75" s="37">
        <f>IFERROR(Tabela3[[#This Row],[Peso Total Galho]]*Tabela3[[#This Row],[Qtde Cx Produzida]]*1.055,0)</f>
        <v>32.623764999999999</v>
      </c>
      <c r="S75" s="37">
        <f>(Tabela3[[#This Row],[Aluminio Bruto]]-Tabela3[[#This Row],[Aluminio Util]])*0.9</f>
        <v>15.300688499999998</v>
      </c>
      <c r="T75" s="37">
        <f>Tabela3[[#This Row],[Aluminio Bruto]]/OleoKGAluminio</f>
        <v>13.724775753377115</v>
      </c>
      <c r="U75" s="35">
        <f>IFERROR((VLOOKUP(Tabela3[[#This Row],[Moldador]],Tabela1[],5,)+(VLOOKUP(Tabela3[[#This Row],[Ajudante]],Tabela1[],5,))*3.5),0)</f>
        <v>99.95034583333333</v>
      </c>
      <c r="V75" s="35">
        <f>IFERROR(Tabela3[[#This Row],[Custo M.O. / H]]/((Tabela3[[#This Row],[Realizado]]/Tabela3[[#This Row],[Qdt Peça Placa]])/Tabela3[[#This Row],[Tempo]]/24),)</f>
        <v>11.366902075163399</v>
      </c>
      <c r="W75" s="35">
        <f>Tabela3[[#This Row],[Custo / Cx Moldada]]*Tabela3[[#This Row],[Qtde Cx Produzida]]</f>
        <v>193.23733527777779</v>
      </c>
      <c r="X75" s="35">
        <f ca="1">Tabela3[[#This Row],[Aluminio Util]]*Tabela3[[#This Row],[Custo/Kg]]</f>
        <v>274.96480000000003</v>
      </c>
      <c r="Y75" s="35">
        <f>IFERROR(VLOOKUP(Tabela3[[#This Row],[Data]],Tabela461213[],2,1)*(Tabela3[[#This Row],[Qtde Cx Produzida]]*Tabela3[[#This Row],[Qde macho / CX]]*Tabela3[[#This Row],[Peso Macho]]),)</f>
        <v>0</v>
      </c>
      <c r="Z75" s="35">
        <f>IFERROR(Tabela3[[#This Row],[Qtde Oleo]]*(VLOOKUP(Tabela3[[#This Row],[Data]],CompraOleo[],3,TRUE))*1.05,0)</f>
        <v>36.027536352614923</v>
      </c>
      <c r="AA75" s="47">
        <f ca="1">(Tabela3[[#This Row],[Custo Oleo]]+Tabela3[[#This Row],[Custo Aluminio]]+Tabela3[[#This Row],[Custo M.O. Total]]+Tabela3[[#This Row],[Custo Machos]])</f>
        <v>504.22967163039272</v>
      </c>
      <c r="AB75" s="47">
        <f ca="1">Tabela3[[#This Row],[Custo Total]]*Tabela3[[#This Row],[% Perda]]</f>
        <v>0</v>
      </c>
      <c r="AC75" s="48">
        <f>IFERROR(VLOOKUP(Tabela3[[#This Row],[Produto]],Tabela2[],2,0),0)</f>
        <v>1</v>
      </c>
      <c r="AD75" s="48">
        <f>IFERROR(VLOOKUP(Tabela3[[#This Row],[Produto]],Tabela2[],3,0),0)</f>
        <v>0.91900000000000004</v>
      </c>
      <c r="AE75" s="48">
        <f>IFERROR(VLOOKUP(Tabela3[[#This Row],[Produto]],Tabela2[],4,0),0)</f>
        <v>1.819</v>
      </c>
      <c r="AF75" s="48">
        <f>IFERROR(VLOOKUP(Tabela3[[#This Row],[Produto]],Tabela2[],5,0),0)</f>
        <v>0.80999999999999994</v>
      </c>
      <c r="AG75" s="40">
        <f>IFERROR(VLOOKUP(Tabela3[[#This Row],[Produto]],Tabela2[],6,0),0)</f>
        <v>0</v>
      </c>
      <c r="AH75" s="40">
        <f>IFERROR(VLOOKUP(Tabela3[[#This Row],[Produto]],Tabela2[],7,0),0)</f>
        <v>0</v>
      </c>
      <c r="AI75" s="40">
        <f>IFERROR(VLOOKUP(Tabela3[[#This Row],[Produto]],Tabela2[],8,0),0)</f>
        <v>0</v>
      </c>
      <c r="AJ75" s="35">
        <f ca="1">IFERROR(VLOOKUP(Tabela3[[#This Row],[Produto]],Tabela2[],13,0),0)</f>
        <v>17.600000000000001</v>
      </c>
      <c r="AK75" s="40" t="str">
        <f>IFERROR(VLOOKUP(Tabela3[[#This Row],[Produto]],Tabela2[],14,0),0)</f>
        <v>Protec</v>
      </c>
      <c r="AL75" s="40">
        <f>IFERROR(VLOOKUP(Tabela3[[#This Row],[Produto]],Tabela2[],15,0),0)</f>
        <v>0</v>
      </c>
      <c r="AM75" s="36">
        <f ca="1">(Tabela3[[#This Row],[Custo Usinagem]]+Tabela3[[#This Row],[Custo / Pç]])*1.2</f>
        <v>35.592682703321834</v>
      </c>
      <c r="AN75" s="36">
        <f ca="1">Tabela3[[#This Row],[Valor Mínimo Venda]]*1.15</f>
        <v>40.931585108820109</v>
      </c>
      <c r="AO75" s="36">
        <f ca="1">Tabela3[[#This Row],[Tabela 1]]*1.08</f>
        <v>44.206111917525718</v>
      </c>
      <c r="AP75" s="36">
        <f ca="1">Tabela3[[#This Row],[Tabela 2]]*1.15</f>
        <v>50.837028705154573</v>
      </c>
    </row>
    <row r="76" spans="1:42">
      <c r="A76" s="9">
        <v>45716</v>
      </c>
      <c r="B76" s="6" t="s">
        <v>222</v>
      </c>
      <c r="C76" s="14">
        <v>5802</v>
      </c>
      <c r="D76" s="6" t="s">
        <v>46</v>
      </c>
      <c r="E76" s="6" t="s">
        <v>53</v>
      </c>
      <c r="F76" s="6">
        <v>3</v>
      </c>
      <c r="G76" s="15">
        <v>2.2916666666666665E-2</v>
      </c>
      <c r="H76" s="16">
        <v>0</v>
      </c>
      <c r="I76" s="35">
        <f ca="1">IFERROR(Tabela3[[#This Row],[Custo Total]]/Tabela3[[#This Row],[Aluminio Util]],0)</f>
        <v>26.290761354134887</v>
      </c>
      <c r="J76" s="35">
        <f ca="1">Tabela3[[#This Row],[Custo Total]]/Tabela3[[#This Row],[Realizado]]</f>
        <v>2.8656929876007027</v>
      </c>
      <c r="K76" s="37">
        <f>IFERROR(Tabela3[[#This Row],[Qtde Cx Produzida]]/Tabela3[[#This Row],[Tempo]]/24,0)</f>
        <v>5.4545454545454541</v>
      </c>
      <c r="L76" s="37">
        <f>Tabela3[[#This Row],[Qtde Cx Produzida]]*Tabela3[[#This Row],[Qdt Peça Placa]]</f>
        <v>66</v>
      </c>
      <c r="M76" s="37">
        <f>Tabela3[[#This Row],[Previsto]]-Tabela3[[#This Row],[Perda Pçs]]</f>
        <v>66</v>
      </c>
      <c r="N76" s="38">
        <f>IFERROR(Tabela3[[#This Row],[Perda Pçs]]/Tabela3[[#This Row],[Previsto]],0)</f>
        <v>0</v>
      </c>
      <c r="O76" s="39">
        <f>IFERROR(IF(Tabela3[[#This Row],[Qtde Cx Produzida]] &lt;&gt; 0, Tabela3[[#This Row],[Tempo]] / Tabela3[[#This Row],[Qtde Cx Produzida]], 0),0)</f>
        <v>7.6388888888888886E-3</v>
      </c>
      <c r="P76" s="57">
        <f>IFERROR(Tabela3[[#This Row],[Perda Pçs]]/Tabela3[[#This Row],[Qdt Peça Placa]],0)</f>
        <v>0</v>
      </c>
      <c r="Q76" s="37">
        <f>IFERROR(Tabela3[[#This Row],[Realizado]]*Tabela3[[#This Row],[Peso Util/Pç]],0)</f>
        <v>7.194</v>
      </c>
      <c r="R76" s="37">
        <f>IFERROR(Tabela3[[#This Row],[Peso Total Galho]]*Tabela3[[#This Row],[Qtde Cx Produzida]]*1.055,0)</f>
        <v>13.546199999999999</v>
      </c>
      <c r="S76" s="37">
        <f>(Tabela3[[#This Row],[Aluminio Bruto]]-Tabela3[[#This Row],[Aluminio Util]])*0.9</f>
        <v>5.7169799999999995</v>
      </c>
      <c r="T76" s="37">
        <f>Tabela3[[#This Row],[Aluminio Bruto]]/OleoKGAluminio</f>
        <v>5.6988688249316741</v>
      </c>
      <c r="U76" s="35">
        <f>IFERROR((VLOOKUP(Tabela3[[#This Row],[Moldador]],Tabela1[],5,)+(VLOOKUP(Tabela3[[#This Row],[Ajudante]],Tabela1[],5,))*3.5),0)</f>
        <v>99.95034583333333</v>
      </c>
      <c r="V76" s="35">
        <f>IFERROR(Tabela3[[#This Row],[Custo M.O. / H]]/((Tabela3[[#This Row],[Realizado]]/Tabela3[[#This Row],[Qdt Peça Placa]])/Tabela3[[#This Row],[Tempo]]/24),)</f>
        <v>18.324230069444447</v>
      </c>
      <c r="W76" s="35">
        <f>Tabela3[[#This Row],[Custo / Cx Moldada]]*Tabela3[[#This Row],[Qtde Cx Produzida]]</f>
        <v>54.97269020833334</v>
      </c>
      <c r="X76" s="35">
        <f ca="1">Tabela3[[#This Row],[Aluminio Util]]*Tabela3[[#This Row],[Custo/Kg]]</f>
        <v>119.20351630786737</v>
      </c>
      <c r="Y76" s="35">
        <f>IFERROR(VLOOKUP(Tabela3[[#This Row],[Data]],Tabela461213[],2,1)*(Tabela3[[#This Row],[Qtde Cx Produzida]]*Tabela3[[#This Row],[Qde macho / CX]]*Tabela3[[#This Row],[Peso Macho]]),)</f>
        <v>0</v>
      </c>
      <c r="Z76" s="35">
        <f>IFERROR(Tabela3[[#This Row],[Qtde Oleo]]*(VLOOKUP(Tabela3[[#This Row],[Data]],CompraOleo[],3,TRUE))*1.05,0)</f>
        <v>14.959530665445644</v>
      </c>
      <c r="AA76" s="47">
        <f ca="1">(Tabela3[[#This Row],[Custo Oleo]]+Tabela3[[#This Row],[Custo Aluminio]]+Tabela3[[#This Row],[Custo M.O. Total]]+Tabela3[[#This Row],[Custo Machos]])</f>
        <v>189.13573718164636</v>
      </c>
      <c r="AB76" s="47">
        <f ca="1">Tabela3[[#This Row],[Custo Total]]*Tabela3[[#This Row],[% Perda]]</f>
        <v>0</v>
      </c>
      <c r="AC76" s="48">
        <f>IFERROR(VLOOKUP(Tabela3[[#This Row],[Produto]],Tabela2[],2,0),0)</f>
        <v>22</v>
      </c>
      <c r="AD76" s="48">
        <f>IFERROR(VLOOKUP(Tabela3[[#This Row],[Produto]],Tabela2[],3,0),0)</f>
        <v>0.109</v>
      </c>
      <c r="AE76" s="48">
        <f>IFERROR(VLOOKUP(Tabela3[[#This Row],[Produto]],Tabela2[],4,0),0)</f>
        <v>4.28</v>
      </c>
      <c r="AF76" s="48">
        <f>IFERROR(VLOOKUP(Tabela3[[#This Row],[Produto]],Tabela2[],5,0),0)</f>
        <v>1.6938000000000002</v>
      </c>
      <c r="AG76" s="40">
        <f>IFERROR(VLOOKUP(Tabela3[[#This Row],[Produto]],Tabela2[],6,0),0)</f>
        <v>0</v>
      </c>
      <c r="AH76" s="40">
        <f>IFERROR(VLOOKUP(Tabela3[[#This Row],[Produto]],Tabela2[],7,0),0)</f>
        <v>0</v>
      </c>
      <c r="AI76" s="40">
        <f>IFERROR(VLOOKUP(Tabela3[[#This Row],[Produto]],Tabela2[],8,0),0)</f>
        <v>0</v>
      </c>
      <c r="AJ76" s="35">
        <f ca="1">IFERROR(VLOOKUP(Tabela3[[#This Row],[Produto]],Tabela2[],13,0),0)</f>
        <v>16.569852141766386</v>
      </c>
      <c r="AK76" s="40" t="str">
        <f>IFERROR(VLOOKUP(Tabela3[[#This Row],[Produto]],Tabela2[],14,0),0)</f>
        <v>Marcelo</v>
      </c>
      <c r="AL76" s="40">
        <f>IFERROR(VLOOKUP(Tabela3[[#This Row],[Produto]],Tabela2[],15,0),0)</f>
        <v>0</v>
      </c>
      <c r="AM76" s="36">
        <f ca="1">(Tabela3[[#This Row],[Custo Usinagem]]+Tabela3[[#This Row],[Custo / Pç]])*1.2</f>
        <v>3.4388315851208433</v>
      </c>
      <c r="AN76" s="36">
        <f ca="1">Tabela3[[#This Row],[Valor Mínimo Venda]]*1.15</f>
        <v>3.9546563228889693</v>
      </c>
      <c r="AO76" s="36">
        <f ca="1">Tabela3[[#This Row],[Tabela 1]]*1.08</f>
        <v>4.2710288287200875</v>
      </c>
      <c r="AP76" s="36">
        <f ca="1">Tabela3[[#This Row],[Tabela 2]]*1.15</f>
        <v>4.9116831530281004</v>
      </c>
    </row>
    <row r="77" spans="1:42">
      <c r="A77" s="9">
        <v>45716</v>
      </c>
      <c r="B77" s="6" t="s">
        <v>223</v>
      </c>
      <c r="C77" s="14">
        <v>5803</v>
      </c>
      <c r="D77" s="6" t="s">
        <v>46</v>
      </c>
      <c r="E77" s="6" t="s">
        <v>53</v>
      </c>
      <c r="F77" s="6">
        <v>22</v>
      </c>
      <c r="G77" s="15">
        <v>0.11041666666666666</v>
      </c>
      <c r="H77" s="16">
        <v>15</v>
      </c>
      <c r="I77" s="35">
        <f ca="1">IFERROR(Tabela3[[#This Row],[Custo Total]]/Tabela3[[#This Row],[Aluminio Util]],0)</f>
        <v>22.092333163508343</v>
      </c>
      <c r="J77" s="35">
        <f ca="1">Tabela3[[#This Row],[Custo Total]]/Tabela3[[#This Row],[Realizado]]</f>
        <v>2.297602649004868</v>
      </c>
      <c r="K77" s="37">
        <f>IFERROR(Tabela3[[#This Row],[Qtde Cx Produzida]]/Tabela3[[#This Row],[Tempo]]/24,0)</f>
        <v>8.3018867924528301</v>
      </c>
      <c r="L77" s="37">
        <f>Tabela3[[#This Row],[Qtde Cx Produzida]]*Tabela3[[#This Row],[Qdt Peça Placa]]</f>
        <v>726</v>
      </c>
      <c r="M77" s="37">
        <f>Tabela3[[#This Row],[Previsto]]-Tabela3[[#This Row],[Perda Pçs]]</f>
        <v>711</v>
      </c>
      <c r="N77" s="38">
        <f>IFERROR(Tabela3[[#This Row],[Perda Pçs]]/Tabela3[[#This Row],[Previsto]],0)</f>
        <v>2.0661157024793389E-2</v>
      </c>
      <c r="O77" s="39">
        <f>IFERROR(IF(Tabela3[[#This Row],[Qtde Cx Produzida]] &lt;&gt; 0, Tabela3[[#This Row],[Tempo]] / Tabela3[[#This Row],[Qtde Cx Produzida]], 0),0)</f>
        <v>5.0189393939393942E-3</v>
      </c>
      <c r="P77" s="57">
        <f>IFERROR(Tabela3[[#This Row],[Perda Pçs]]/Tabela3[[#This Row],[Qdt Peça Placa]],0)</f>
        <v>0.45454545454545453</v>
      </c>
      <c r="Q77" s="37">
        <f>IFERROR(Tabela3[[#This Row],[Realizado]]*Tabela3[[#This Row],[Peso Util/Pç]],0)</f>
        <v>73.944000000000003</v>
      </c>
      <c r="R77" s="37">
        <f>IFERROR(Tabela3[[#This Row],[Peso Total Galho]]*Tabela3[[#This Row],[Qtde Cx Produzida]]*1.055,0)</f>
        <v>124.8698</v>
      </c>
      <c r="S77" s="37">
        <f>(Tabela3[[#This Row],[Aluminio Bruto]]-Tabela3[[#This Row],[Aluminio Util]])*0.9</f>
        <v>45.833219999999997</v>
      </c>
      <c r="T77" s="37">
        <f>Tabela3[[#This Row],[Aluminio Bruto]]/OleoKGAluminio</f>
        <v>52.532563404899761</v>
      </c>
      <c r="U77" s="35">
        <f>IFERROR((VLOOKUP(Tabela3[[#This Row],[Moldador]],Tabela1[],5,)+(VLOOKUP(Tabela3[[#This Row],[Ajudante]],Tabela1[],5,))*3.5),0)</f>
        <v>99.95034583333333</v>
      </c>
      <c r="V77" s="35">
        <f>IFERROR(Tabela3[[#This Row],[Custo M.O. / H]]/((Tabela3[[#This Row],[Realizado]]/Tabela3[[#This Row],[Qdt Peça Placa]])/Tabela3[[#This Row],[Tempo]]/24),)</f>
        <v>12.293470806082981</v>
      </c>
      <c r="W77" s="35">
        <f>Tabela3[[#This Row],[Custo / Cx Moldada]]*Tabela3[[#This Row],[Qtde Cx Produzida]]</f>
        <v>270.4563577338256</v>
      </c>
      <c r="X77" s="35">
        <f ca="1">Tabela3[[#This Row],[Aluminio Util]]*Tabela3[[#This Row],[Custo/Kg]]</f>
        <v>1225.2411467707736</v>
      </c>
      <c r="Y77" s="35">
        <f>IFERROR(VLOOKUP(Tabela3[[#This Row],[Data]],Tabela461213[],2,1)*(Tabela3[[#This Row],[Qtde Cx Produzida]]*Tabela3[[#This Row],[Qde macho / CX]]*Tabela3[[#This Row],[Peso Macho]]),)</f>
        <v>0</v>
      </c>
      <c r="Z77" s="35">
        <f>IFERROR(Tabela3[[#This Row],[Qtde Oleo]]*(VLOOKUP(Tabela3[[#This Row],[Data]],CompraOleo[],3,TRUE))*1.05,0)</f>
        <v>137.89797893786186</v>
      </c>
      <c r="AA77" s="47">
        <f ca="1">(Tabela3[[#This Row],[Custo Oleo]]+Tabela3[[#This Row],[Custo Aluminio]]+Tabela3[[#This Row],[Custo M.O. Total]]+Tabela3[[#This Row],[Custo Machos]])</f>
        <v>1633.595483442461</v>
      </c>
      <c r="AB77" s="47">
        <f ca="1">Tabela3[[#This Row],[Custo Total]]*Tabela3[[#This Row],[% Perda]]</f>
        <v>33.751972798397958</v>
      </c>
      <c r="AC77" s="48">
        <f>IFERROR(VLOOKUP(Tabela3[[#This Row],[Produto]],Tabela2[],2,0),0)</f>
        <v>33</v>
      </c>
      <c r="AD77" s="48">
        <f>IFERROR(VLOOKUP(Tabela3[[#This Row],[Produto]],Tabela2[],3,0),0)</f>
        <v>0.104</v>
      </c>
      <c r="AE77" s="48">
        <f>IFERROR(VLOOKUP(Tabela3[[#This Row],[Produto]],Tabela2[],4,0),0)</f>
        <v>5.38</v>
      </c>
      <c r="AF77" s="48">
        <f>IFERROR(VLOOKUP(Tabela3[[#This Row],[Produto]],Tabela2[],5,0),0)</f>
        <v>1.7532000000000001</v>
      </c>
      <c r="AG77" s="40">
        <f>IFERROR(VLOOKUP(Tabela3[[#This Row],[Produto]],Tabela2[],6,0),0)</f>
        <v>0</v>
      </c>
      <c r="AH77" s="40">
        <f>IFERROR(VLOOKUP(Tabela3[[#This Row],[Produto]],Tabela2[],7,0),0)</f>
        <v>0</v>
      </c>
      <c r="AI77" s="40">
        <f>IFERROR(VLOOKUP(Tabela3[[#This Row],[Produto]],Tabela2[],8,0),0)</f>
        <v>0</v>
      </c>
      <c r="AJ77" s="35">
        <f ca="1">IFERROR(VLOOKUP(Tabela3[[#This Row],[Produto]],Tabela2[],13,0),0)</f>
        <v>16.569852141766386</v>
      </c>
      <c r="AK77" s="40" t="str">
        <f>IFERROR(VLOOKUP(Tabela3[[#This Row],[Produto]],Tabela2[],14,0),0)</f>
        <v>Marcelo</v>
      </c>
      <c r="AL77" s="40">
        <f>IFERROR(VLOOKUP(Tabela3[[#This Row],[Produto]],Tabela2[],15,0),0)</f>
        <v>0</v>
      </c>
      <c r="AM77" s="36">
        <f ca="1">(Tabela3[[#This Row],[Custo Usinagem]]+Tabela3[[#This Row],[Custo / Pç]])*1.2</f>
        <v>2.7571231788058417</v>
      </c>
      <c r="AN77" s="36">
        <f ca="1">Tabela3[[#This Row],[Valor Mínimo Venda]]*1.15</f>
        <v>3.1706916556267175</v>
      </c>
      <c r="AO77" s="36">
        <f ca="1">Tabela3[[#This Row],[Tabela 1]]*1.08</f>
        <v>3.4243469880768553</v>
      </c>
      <c r="AP77" s="36">
        <f ca="1">Tabela3[[#This Row],[Tabela 2]]*1.15</f>
        <v>3.9379990362883834</v>
      </c>
    </row>
    <row r="78" spans="1:42">
      <c r="A78" s="9">
        <v>45716</v>
      </c>
      <c r="B78" s="6" t="s">
        <v>224</v>
      </c>
      <c r="C78" s="14">
        <v>5804</v>
      </c>
      <c r="D78" s="6" t="s">
        <v>46</v>
      </c>
      <c r="E78" s="6" t="s">
        <v>53</v>
      </c>
      <c r="F78" s="6">
        <v>8</v>
      </c>
      <c r="G78" s="15">
        <v>3.4027777777777775E-2</v>
      </c>
      <c r="H78" s="16">
        <v>0</v>
      </c>
      <c r="I78" s="35">
        <f ca="1">IFERROR(Tabela3[[#This Row],[Custo Total]]/Tabela3[[#This Row],[Aluminio Util]],0)</f>
        <v>23.662684360322007</v>
      </c>
      <c r="J78" s="35">
        <f ca="1">Tabela3[[#This Row],[Custo Total]]/Tabela3[[#This Row],[Realizado]]</f>
        <v>1.5144117990606085</v>
      </c>
      <c r="K78" s="37">
        <f>IFERROR(Tabela3[[#This Row],[Qtde Cx Produzida]]/Tabela3[[#This Row],[Tempo]]/24,0)</f>
        <v>9.7959183673469408</v>
      </c>
      <c r="L78" s="37">
        <f>Tabela3[[#This Row],[Qtde Cx Produzida]]*Tabela3[[#This Row],[Qdt Peça Placa]]</f>
        <v>264</v>
      </c>
      <c r="M78" s="37">
        <f>Tabela3[[#This Row],[Previsto]]-Tabela3[[#This Row],[Perda Pçs]]</f>
        <v>264</v>
      </c>
      <c r="N78" s="38">
        <f>IFERROR(Tabela3[[#This Row],[Perda Pçs]]/Tabela3[[#This Row],[Previsto]],0)</f>
        <v>0</v>
      </c>
      <c r="O78" s="39">
        <f>IFERROR(IF(Tabela3[[#This Row],[Qtde Cx Produzida]] &lt;&gt; 0, Tabela3[[#This Row],[Tempo]] / Tabela3[[#This Row],[Qtde Cx Produzida]], 0),0)</f>
        <v>4.2534722222222219E-3</v>
      </c>
      <c r="P78" s="57">
        <f>IFERROR(Tabela3[[#This Row],[Perda Pçs]]/Tabela3[[#This Row],[Qdt Peça Placa]],0)</f>
        <v>0</v>
      </c>
      <c r="Q78" s="37">
        <f>IFERROR(Tabela3[[#This Row],[Realizado]]*Tabela3[[#This Row],[Peso Util/Pç]],0)</f>
        <v>16.896000000000001</v>
      </c>
      <c r="R78" s="37">
        <f>IFERROR(Tabela3[[#This Row],[Peso Total Galho]]*Tabela3[[#This Row],[Qtde Cx Produzida]]*1.055,0)</f>
        <v>34.603999999999992</v>
      </c>
      <c r="S78" s="37">
        <f>(Tabela3[[#This Row],[Aluminio Bruto]]-Tabela3[[#This Row],[Aluminio Util]])*0.9</f>
        <v>15.937199999999992</v>
      </c>
      <c r="T78" s="37">
        <f>Tabela3[[#This Row],[Aluminio Bruto]]/OleoKGAluminio</f>
        <v>14.557858057457857</v>
      </c>
      <c r="U78" s="35">
        <f>IFERROR((VLOOKUP(Tabela3[[#This Row],[Moldador]],Tabela1[],5,)+(VLOOKUP(Tabela3[[#This Row],[Ajudante]],Tabela1[],5,))*3.5),0)</f>
        <v>99.95034583333333</v>
      </c>
      <c r="V78" s="35">
        <f>IFERROR(Tabela3[[#This Row],[Custo M.O. / H]]/((Tabela3[[#This Row],[Realizado]]/Tabela3[[#This Row],[Qdt Peça Placa]])/Tabela3[[#This Row],[Tempo]]/24),)</f>
        <v>10.20326447048611</v>
      </c>
      <c r="W78" s="35">
        <f>Tabela3[[#This Row],[Custo / Cx Moldada]]*Tabela3[[#This Row],[Qtde Cx Produzida]]</f>
        <v>81.626115763888876</v>
      </c>
      <c r="X78" s="35">
        <f ca="1">Tabela3[[#This Row],[Aluminio Util]]*Tabela3[[#This Row],[Custo/Kg]]</f>
        <v>279.96422178728488</v>
      </c>
      <c r="Y78" s="35">
        <f>IFERROR(VLOOKUP(Tabela3[[#This Row],[Data]],Tabela461213[],2,1)*(Tabela3[[#This Row],[Qtde Cx Produzida]]*Tabela3[[#This Row],[Qde macho / CX]]*Tabela3[[#This Row],[Peso Macho]]),)</f>
        <v>0</v>
      </c>
      <c r="Z78" s="35">
        <f>IFERROR(Tabela3[[#This Row],[Qtde Oleo]]*(VLOOKUP(Tabela3[[#This Row],[Data]],CompraOleo[],3,TRUE))*1.05,0)</f>
        <v>38.214377400826869</v>
      </c>
      <c r="AA78" s="47">
        <f ca="1">(Tabela3[[#This Row],[Custo Oleo]]+Tabela3[[#This Row],[Custo Aluminio]]+Tabela3[[#This Row],[Custo M.O. Total]]+Tabela3[[#This Row],[Custo Machos]])</f>
        <v>399.80471495200067</v>
      </c>
      <c r="AB78" s="47">
        <f ca="1">Tabela3[[#This Row],[Custo Total]]*Tabela3[[#This Row],[% Perda]]</f>
        <v>0</v>
      </c>
      <c r="AC78" s="48">
        <f>IFERROR(VLOOKUP(Tabela3[[#This Row],[Produto]],Tabela2[],2,0),0)</f>
        <v>33</v>
      </c>
      <c r="AD78" s="48">
        <f>IFERROR(VLOOKUP(Tabela3[[#This Row],[Produto]],Tabela2[],3,0),0)</f>
        <v>6.4000000000000001E-2</v>
      </c>
      <c r="AE78" s="48">
        <f>IFERROR(VLOOKUP(Tabela3[[#This Row],[Produto]],Tabela2[],4,0),0)</f>
        <v>4.0999999999999996</v>
      </c>
      <c r="AF78" s="48">
        <f>IFERROR(VLOOKUP(Tabela3[[#This Row],[Produto]],Tabela2[],5,0),0)</f>
        <v>1.7891999999999997</v>
      </c>
      <c r="AG78" s="40">
        <f>IFERROR(VLOOKUP(Tabela3[[#This Row],[Produto]],Tabela2[],6,0),0)</f>
        <v>0</v>
      </c>
      <c r="AH78" s="40">
        <f>IFERROR(VLOOKUP(Tabela3[[#This Row],[Produto]],Tabela2[],7,0),0)</f>
        <v>0</v>
      </c>
      <c r="AI78" s="40">
        <f>IFERROR(VLOOKUP(Tabela3[[#This Row],[Produto]],Tabela2[],8,0),0)</f>
        <v>0</v>
      </c>
      <c r="AJ78" s="35">
        <f ca="1">IFERROR(VLOOKUP(Tabela3[[#This Row],[Produto]],Tabela2[],13,0),0)</f>
        <v>16.569852141766386</v>
      </c>
      <c r="AK78" s="40" t="str">
        <f>IFERROR(VLOOKUP(Tabela3[[#This Row],[Produto]],Tabela2[],14,0),0)</f>
        <v>Marcelo</v>
      </c>
      <c r="AL78" s="40">
        <f>IFERROR(VLOOKUP(Tabela3[[#This Row],[Produto]],Tabela2[],15,0),0)</f>
        <v>0</v>
      </c>
      <c r="AM78" s="36">
        <f ca="1">(Tabela3[[#This Row],[Custo Usinagem]]+Tabela3[[#This Row],[Custo / Pç]])*1.2</f>
        <v>1.81729415887273</v>
      </c>
      <c r="AN78" s="36">
        <f ca="1">Tabela3[[#This Row],[Valor Mínimo Venda]]*1.15</f>
        <v>2.0898882827036394</v>
      </c>
      <c r="AO78" s="36">
        <f ca="1">Tabela3[[#This Row],[Tabela 1]]*1.08</f>
        <v>2.2570793453199305</v>
      </c>
      <c r="AP78" s="36">
        <f ca="1">Tabela3[[#This Row],[Tabela 2]]*1.15</f>
        <v>2.59564124711792</v>
      </c>
    </row>
    <row r="79" spans="1:42">
      <c r="A79" s="9">
        <v>45716</v>
      </c>
      <c r="B79" s="6" t="s">
        <v>254</v>
      </c>
      <c r="C79" s="14">
        <v>5171</v>
      </c>
      <c r="D79" s="6" t="s">
        <v>46</v>
      </c>
      <c r="E79" s="6" t="s">
        <v>53</v>
      </c>
      <c r="F79" s="6">
        <v>38</v>
      </c>
      <c r="G79" s="15">
        <v>0.17847222222222223</v>
      </c>
      <c r="H79" s="16">
        <v>0</v>
      </c>
      <c r="I79" s="35">
        <f ca="1">IFERROR(Tabela3[[#This Row],[Custo Total]]/Tabela3[[#This Row],[Aluminio Util]],0)</f>
        <v>32.165396829174355</v>
      </c>
      <c r="J79" s="35">
        <f ca="1">Tabela3[[#This Row],[Custo Total]]/Tabela3[[#This Row],[Realizado]]</f>
        <v>29.559999686011235</v>
      </c>
      <c r="K79" s="37">
        <f>IFERROR(Tabela3[[#This Row],[Qtde Cx Produzida]]/Tabela3[[#This Row],[Tempo]]/24,0)</f>
        <v>8.8715953307392983</v>
      </c>
      <c r="L79" s="37">
        <f>Tabela3[[#This Row],[Qtde Cx Produzida]]*Tabela3[[#This Row],[Qdt Peça Placa]]</f>
        <v>38</v>
      </c>
      <c r="M79" s="37">
        <f>Tabela3[[#This Row],[Previsto]]-Tabela3[[#This Row],[Perda Pçs]]</f>
        <v>38</v>
      </c>
      <c r="N79" s="38">
        <f>IFERROR(Tabela3[[#This Row],[Perda Pçs]]/Tabela3[[#This Row],[Previsto]],0)</f>
        <v>0</v>
      </c>
      <c r="O79" s="39">
        <f>IFERROR(IF(Tabela3[[#This Row],[Qtde Cx Produzida]] &lt;&gt; 0, Tabela3[[#This Row],[Tempo]] / Tabela3[[#This Row],[Qtde Cx Produzida]], 0),0)</f>
        <v>4.6966374269005852E-3</v>
      </c>
      <c r="P79" s="57">
        <f>IFERROR(Tabela3[[#This Row],[Perda Pçs]]/Tabela3[[#This Row],[Qdt Peça Placa]],0)</f>
        <v>0</v>
      </c>
      <c r="Q79" s="37">
        <f>IFERROR(Tabela3[[#This Row],[Realizado]]*Tabela3[[#This Row],[Peso Util/Pç]],0)</f>
        <v>34.922000000000004</v>
      </c>
      <c r="R79" s="37">
        <f>IFERROR(Tabela3[[#This Row],[Peso Total Galho]]*Tabela3[[#This Row],[Qtde Cx Produzida]]*1.055,0)</f>
        <v>72.92371</v>
      </c>
      <c r="S79" s="37">
        <f>(Tabela3[[#This Row],[Aluminio Bruto]]-Tabela3[[#This Row],[Aluminio Util]])*0.9</f>
        <v>34.201538999999997</v>
      </c>
      <c r="T79" s="37">
        <f>Tabela3[[#This Row],[Aluminio Bruto]]/OleoKGAluminio</f>
        <v>30.678910507548846</v>
      </c>
      <c r="U79" s="35">
        <f>IFERROR((VLOOKUP(Tabela3[[#This Row],[Moldador]],Tabela1[],5,)+(VLOOKUP(Tabela3[[#This Row],[Ajudante]],Tabela1[],5,))*3.5),0)</f>
        <v>99.95034583333333</v>
      </c>
      <c r="V79" s="35">
        <f>IFERROR(Tabela3[[#This Row],[Custo M.O. / H]]/((Tabela3[[#This Row],[Realizado]]/Tabela3[[#This Row],[Qdt Peça Placa]])/Tabela3[[#This Row],[Tempo]]/24),)</f>
        <v>11.266332841739768</v>
      </c>
      <c r="W79" s="35">
        <f>Tabela3[[#This Row],[Custo / Cx Moldada]]*Tabela3[[#This Row],[Qtde Cx Produzida]]</f>
        <v>428.12064798611118</v>
      </c>
      <c r="X79" s="35">
        <f ca="1">Tabela3[[#This Row],[Aluminio Util]]*Tabela3[[#This Row],[Custo/Kg]]</f>
        <v>614.62720000000013</v>
      </c>
      <c r="Y79" s="35">
        <f>IFERROR(VLOOKUP(Tabela3[[#This Row],[Data]],Tabela461213[],2,1)*(Tabela3[[#This Row],[Qtde Cx Produzida]]*Tabela3[[#This Row],[Qde macho / CX]]*Tabela3[[#This Row],[Peso Macho]]),)</f>
        <v>0</v>
      </c>
      <c r="Z79" s="35">
        <f>IFERROR(Tabela3[[#This Row],[Qtde Oleo]]*(VLOOKUP(Tabela3[[#This Row],[Data]],CompraOleo[],3,TRUE))*1.05,0)</f>
        <v>80.532140082315721</v>
      </c>
      <c r="AA79" s="47">
        <f ca="1">(Tabela3[[#This Row],[Custo Oleo]]+Tabela3[[#This Row],[Custo Aluminio]]+Tabela3[[#This Row],[Custo M.O. Total]]+Tabela3[[#This Row],[Custo Machos]])</f>
        <v>1123.279988068427</v>
      </c>
      <c r="AB79" s="47">
        <f ca="1">Tabela3[[#This Row],[Custo Total]]*Tabela3[[#This Row],[% Perda]]</f>
        <v>0</v>
      </c>
      <c r="AC79" s="48">
        <f>IFERROR(VLOOKUP(Tabela3[[#This Row],[Produto]],Tabela2[],2,0),0)</f>
        <v>1</v>
      </c>
      <c r="AD79" s="48">
        <f>IFERROR(VLOOKUP(Tabela3[[#This Row],[Produto]],Tabela2[],3,0),0)</f>
        <v>0.91900000000000004</v>
      </c>
      <c r="AE79" s="48">
        <f>IFERROR(VLOOKUP(Tabela3[[#This Row],[Produto]],Tabela2[],4,0),0)</f>
        <v>1.819</v>
      </c>
      <c r="AF79" s="48">
        <f>IFERROR(VLOOKUP(Tabela3[[#This Row],[Produto]],Tabela2[],5,0),0)</f>
        <v>0.80999999999999994</v>
      </c>
      <c r="AG79" s="40">
        <f>IFERROR(VLOOKUP(Tabela3[[#This Row],[Produto]],Tabela2[],6,0),0)</f>
        <v>0</v>
      </c>
      <c r="AH79" s="40">
        <f>IFERROR(VLOOKUP(Tabela3[[#This Row],[Produto]],Tabela2[],7,0),0)</f>
        <v>0</v>
      </c>
      <c r="AI79" s="40">
        <f>IFERROR(VLOOKUP(Tabela3[[#This Row],[Produto]],Tabela2[],8,0),0)</f>
        <v>0</v>
      </c>
      <c r="AJ79" s="35">
        <f ca="1">IFERROR(VLOOKUP(Tabela3[[#This Row],[Produto]],Tabela2[],13,0),0)</f>
        <v>17.600000000000001</v>
      </c>
      <c r="AK79" s="40" t="str">
        <f>IFERROR(VLOOKUP(Tabela3[[#This Row],[Produto]],Tabela2[],14,0),0)</f>
        <v>Protec</v>
      </c>
      <c r="AL79" s="40">
        <f>IFERROR(VLOOKUP(Tabela3[[#This Row],[Produto]],Tabela2[],15,0),0)</f>
        <v>0</v>
      </c>
      <c r="AM79" s="36">
        <f ca="1">(Tabela3[[#This Row],[Custo Usinagem]]+Tabela3[[#This Row],[Custo / Pç]])*1.2</f>
        <v>35.471999623213478</v>
      </c>
      <c r="AN79" s="36">
        <f ca="1">Tabela3[[#This Row],[Valor Mínimo Venda]]*1.15</f>
        <v>40.792799566695493</v>
      </c>
      <c r="AO79" s="36">
        <f ca="1">Tabela3[[#This Row],[Tabela 1]]*1.08</f>
        <v>44.056223532031133</v>
      </c>
      <c r="AP79" s="36">
        <f ca="1">Tabela3[[#This Row],[Tabela 2]]*1.15</f>
        <v>50.664657061835797</v>
      </c>
    </row>
    <row r="80" spans="1:42">
      <c r="A80" s="9">
        <v>45721</v>
      </c>
      <c r="B80" s="6" t="s">
        <v>124</v>
      </c>
      <c r="C80" s="14">
        <v>5602</v>
      </c>
      <c r="D80" s="6" t="s">
        <v>46</v>
      </c>
      <c r="E80" s="6" t="s">
        <v>53</v>
      </c>
      <c r="F80" s="6">
        <v>80</v>
      </c>
      <c r="G80" s="15">
        <v>0.29722222222222222</v>
      </c>
      <c r="H80" s="16">
        <v>1</v>
      </c>
      <c r="I80" s="35">
        <f ca="1">IFERROR(Tabela3[[#This Row],[Custo Total]]/Tabela3[[#This Row],[Aluminio Util]],0)</f>
        <v>23.095240233433621</v>
      </c>
      <c r="J80" s="35">
        <f ca="1">Tabela3[[#This Row],[Custo Total]]/Tabela3[[#This Row],[Realizado]]</f>
        <v>39.030955994502818</v>
      </c>
      <c r="K80" s="37">
        <f>IFERROR(Tabela3[[#This Row],[Qtde Cx Produzida]]/Tabela3[[#This Row],[Tempo]]/24,0)</f>
        <v>11.214953271028037</v>
      </c>
      <c r="L80" s="37">
        <f>Tabela3[[#This Row],[Qtde Cx Produzida]]*Tabela3[[#This Row],[Qdt Peça Placa]]</f>
        <v>80</v>
      </c>
      <c r="M80" s="37">
        <f>Tabela3[[#This Row],[Previsto]]-Tabela3[[#This Row],[Perda Pçs]]</f>
        <v>79</v>
      </c>
      <c r="N80" s="38">
        <f>IFERROR(Tabela3[[#This Row],[Perda Pçs]]/Tabela3[[#This Row],[Previsto]],0)</f>
        <v>1.2500000000000001E-2</v>
      </c>
      <c r="O80" s="39">
        <f>IFERROR(IF(Tabela3[[#This Row],[Qtde Cx Produzida]] &lt;&gt; 0, Tabela3[[#This Row],[Tempo]] / Tabela3[[#This Row],[Qtde Cx Produzida]], 0),0)</f>
        <v>3.7152777777777778E-3</v>
      </c>
      <c r="P80" s="57">
        <f>IFERROR(Tabela3[[#This Row],[Perda Pçs]]/Tabela3[[#This Row],[Qdt Peça Placa]],0)</f>
        <v>1</v>
      </c>
      <c r="Q80" s="37">
        <f>IFERROR(Tabela3[[#This Row],[Realizado]]*Tabela3[[#This Row],[Peso Util/Pç]],0)</f>
        <v>133.51</v>
      </c>
      <c r="R80" s="37">
        <f>IFERROR(Tabela3[[#This Row],[Peso Total Galho]]*Tabela3[[#This Row],[Qtde Cx Produzida]]*1.055,0)</f>
        <v>252.35599999999999</v>
      </c>
      <c r="S80" s="37">
        <f>(Tabela3[[#This Row],[Aluminio Bruto]]-Tabela3[[#This Row],[Aluminio Util]])*0.9</f>
        <v>106.96140000000001</v>
      </c>
      <c r="T80" s="37">
        <f>Tabela3[[#This Row],[Aluminio Bruto]]/OleoKGAluminio</f>
        <v>106.16584290682682</v>
      </c>
      <c r="U80" s="35">
        <f>IFERROR((VLOOKUP(Tabela3[[#This Row],[Moldador]],Tabela1[],5,)+(VLOOKUP(Tabela3[[#This Row],[Ajudante]],Tabela1[],5,))*3.5),0)</f>
        <v>99.95034583333333</v>
      </c>
      <c r="V80" s="35">
        <f>IFERROR(Tabela3[[#This Row],[Custo M.O. / H]]/((Tabela3[[#This Row],[Realizado]]/Tabela3[[#This Row],[Qdt Peça Placa]])/Tabela3[[#This Row],[Tempo]]/24),)</f>
        <v>9.0250523241912806</v>
      </c>
      <c r="W80" s="35">
        <f>Tabela3[[#This Row],[Custo / Cx Moldada]]*Tabela3[[#This Row],[Qtde Cx Produzida]]</f>
        <v>722.00418593530242</v>
      </c>
      <c r="X80" s="35">
        <f ca="1">Tabela3[[#This Row],[Aluminio Util]]*Tabela3[[#This Row],[Custo/Kg]]</f>
        <v>2082.7559999999999</v>
      </c>
      <c r="Y80" s="35">
        <f>IFERROR(VLOOKUP(Tabela3[[#This Row],[Data]],Tabela461213[],2,1)*(Tabela3[[#This Row],[Qtde Cx Produzida]]*Tabela3[[#This Row],[Qde macho / CX]]*Tabela3[[#This Row],[Peso Macho]]),)</f>
        <v>0</v>
      </c>
      <c r="Z80" s="35">
        <f>IFERROR(Tabela3[[#This Row],[Qtde Oleo]]*(VLOOKUP(Tabela3[[#This Row],[Data]],CompraOleo[],3,TRUE))*1.05,0)</f>
        <v>278.68533763042046</v>
      </c>
      <c r="AA80" s="47">
        <f ca="1">(Tabela3[[#This Row],[Custo Oleo]]+Tabela3[[#This Row],[Custo Aluminio]]+Tabela3[[#This Row],[Custo M.O. Total]]+Tabela3[[#This Row],[Custo Machos]])</f>
        <v>3083.4455235657224</v>
      </c>
      <c r="AB80" s="47">
        <f ca="1">Tabela3[[#This Row],[Custo Total]]*Tabela3[[#This Row],[% Perda]]</f>
        <v>38.543069044571531</v>
      </c>
      <c r="AC80" s="48">
        <f>IFERROR(VLOOKUP(Tabela3[[#This Row],[Produto]],Tabela2[],2,0),0)</f>
        <v>1</v>
      </c>
      <c r="AD80" s="48">
        <f>IFERROR(VLOOKUP(Tabela3[[#This Row],[Produto]],Tabela2[],3,0),0)</f>
        <v>1.69</v>
      </c>
      <c r="AE80" s="48">
        <f>IFERROR(VLOOKUP(Tabela3[[#This Row],[Produto]],Tabela2[],4,0),0)</f>
        <v>2.99</v>
      </c>
      <c r="AF80" s="48">
        <f>IFERROR(VLOOKUP(Tabela3[[#This Row],[Produto]],Tabela2[],5,0),0)</f>
        <v>1.1700000000000004</v>
      </c>
      <c r="AG80" s="40">
        <f>IFERROR(VLOOKUP(Tabela3[[#This Row],[Produto]],Tabela2[],6,0),0)</f>
        <v>0</v>
      </c>
      <c r="AH80" s="40">
        <f>IFERROR(VLOOKUP(Tabela3[[#This Row],[Produto]],Tabela2[],7,0),0)</f>
        <v>0</v>
      </c>
      <c r="AI80" s="40">
        <f>IFERROR(VLOOKUP(Tabela3[[#This Row],[Produto]],Tabela2[],8,0),0)</f>
        <v>0</v>
      </c>
      <c r="AJ80" s="35">
        <f ca="1">IFERROR(VLOOKUP(Tabela3[[#This Row],[Produto]],Tabela2[],13,0),0)</f>
        <v>15.600000000000001</v>
      </c>
      <c r="AK80" s="40" t="str">
        <f>IFERROR(VLOOKUP(Tabela3[[#This Row],[Produto]],Tabela2[],14,0),0)</f>
        <v>Jumil</v>
      </c>
      <c r="AL80" s="40">
        <f>IFERROR(VLOOKUP(Tabela3[[#This Row],[Produto]],Tabela2[],15,0),0)</f>
        <v>8</v>
      </c>
      <c r="AM80" s="36">
        <f ca="1">(Tabela3[[#This Row],[Custo Usinagem]]+Tabela3[[#This Row],[Custo / Pç]])*1.2</f>
        <v>56.437147193403383</v>
      </c>
      <c r="AN80" s="36">
        <f ca="1">Tabela3[[#This Row],[Valor Mínimo Venda]]*1.15</f>
        <v>64.90271927241389</v>
      </c>
      <c r="AO80" s="36">
        <f ca="1">Tabela3[[#This Row],[Tabela 1]]*1.08</f>
        <v>70.094936814207003</v>
      </c>
      <c r="AP80" s="36">
        <f ca="1">Tabela3[[#This Row],[Tabela 2]]*1.15</f>
        <v>80.60917733633805</v>
      </c>
    </row>
    <row r="81" spans="1:42">
      <c r="A81" s="9">
        <v>45721</v>
      </c>
      <c r="B81" s="6" t="s">
        <v>239</v>
      </c>
      <c r="C81" s="14">
        <v>5754</v>
      </c>
      <c r="D81" s="6" t="s">
        <v>46</v>
      </c>
      <c r="E81" s="6" t="s">
        <v>53</v>
      </c>
      <c r="F81" s="6">
        <v>15</v>
      </c>
      <c r="G81" s="15">
        <v>5.1388888888888887E-2</v>
      </c>
      <c r="H81" s="16">
        <v>1</v>
      </c>
      <c r="I81" s="35">
        <f ca="1">IFERROR(Tabela3[[#This Row],[Custo Total]]/Tabela3[[#This Row],[Aluminio Util]],0)</f>
        <v>22.356402775487052</v>
      </c>
      <c r="J81" s="35">
        <f ca="1">Tabela3[[#This Row],[Custo Total]]/Tabela3[[#This Row],[Realizado]]</f>
        <v>10.194519665622096</v>
      </c>
      <c r="K81" s="37">
        <f>IFERROR(Tabela3[[#This Row],[Qtde Cx Produzida]]/Tabela3[[#This Row],[Tempo]]/24,0)</f>
        <v>12.162162162162163</v>
      </c>
      <c r="L81" s="37">
        <f>Tabela3[[#This Row],[Qtde Cx Produzida]]*Tabela3[[#This Row],[Qdt Peça Placa]]</f>
        <v>60</v>
      </c>
      <c r="M81" s="37">
        <f>Tabela3[[#This Row],[Previsto]]-Tabela3[[#This Row],[Perda Pçs]]</f>
        <v>59</v>
      </c>
      <c r="N81" s="38">
        <f>IFERROR(Tabela3[[#This Row],[Perda Pçs]]/Tabela3[[#This Row],[Previsto]],0)</f>
        <v>1.6666666666666666E-2</v>
      </c>
      <c r="O81" s="39">
        <f>IFERROR(IF(Tabela3[[#This Row],[Qtde Cx Produzida]] &lt;&gt; 0, Tabela3[[#This Row],[Tempo]] / Tabela3[[#This Row],[Qtde Cx Produzida]], 0),0)</f>
        <v>3.4259259259259256E-3</v>
      </c>
      <c r="P81" s="57">
        <f>IFERROR(Tabela3[[#This Row],[Perda Pçs]]/Tabela3[[#This Row],[Qdt Peça Placa]],0)</f>
        <v>0.25</v>
      </c>
      <c r="Q81" s="37">
        <f>IFERROR(Tabela3[[#This Row],[Realizado]]*Tabela3[[#This Row],[Peso Util/Pç]],0)</f>
        <v>26.904</v>
      </c>
      <c r="R81" s="37">
        <f>IFERROR(Tabela3[[#This Row],[Peso Total Galho]]*Tabela3[[#This Row],[Qtde Cx Produzida]]*1.055,0)</f>
        <v>51.083100000000002</v>
      </c>
      <c r="S81" s="37">
        <f>(Tabela3[[#This Row],[Aluminio Bruto]]-Tabela3[[#This Row],[Aluminio Util]])*0.9</f>
        <v>21.761190000000003</v>
      </c>
      <c r="T81" s="37">
        <f>Tabela3[[#This Row],[Aluminio Bruto]]/OleoKGAluminio</f>
        <v>21.49059412018627</v>
      </c>
      <c r="U81" s="35">
        <f>IFERROR((VLOOKUP(Tabela3[[#This Row],[Moldador]],Tabela1[],5,)+(VLOOKUP(Tabela3[[#This Row],[Ajudante]],Tabela1[],5,))*3.5),0)</f>
        <v>99.95034583333333</v>
      </c>
      <c r="V81" s="35">
        <f>IFERROR(Tabela3[[#This Row],[Custo M.O. / H]]/((Tabela3[[#This Row],[Realizado]]/Tabela3[[#This Row],[Qdt Peça Placa]])/Tabela3[[#This Row],[Tempo]]/24),)</f>
        <v>8.3574300470809781</v>
      </c>
      <c r="W81" s="35">
        <f>Tabela3[[#This Row],[Custo / Cx Moldada]]*Tabela3[[#This Row],[Qtde Cx Produzida]]</f>
        <v>125.36145070621467</v>
      </c>
      <c r="X81" s="35">
        <f ca="1">Tabela3[[#This Row],[Aluminio Util]]*Tabela3[[#This Row],[Custo/Kg]]</f>
        <v>419.70240000000001</v>
      </c>
      <c r="Y81" s="35">
        <f>IFERROR(VLOOKUP(Tabela3[[#This Row],[Data]],Tabela461213[],2,1)*(Tabela3[[#This Row],[Qtde Cx Produzida]]*Tabela3[[#This Row],[Qde macho / CX]]*Tabela3[[#This Row],[Peso Macho]]),)</f>
        <v>0</v>
      </c>
      <c r="Z81" s="35">
        <f>IFERROR(Tabela3[[#This Row],[Qtde Oleo]]*(VLOOKUP(Tabela3[[#This Row],[Data]],CompraOleo[],3,TRUE))*1.05,0)</f>
        <v>56.412809565488963</v>
      </c>
      <c r="AA81" s="47">
        <f ca="1">(Tabela3[[#This Row],[Custo Oleo]]+Tabela3[[#This Row],[Custo Aluminio]]+Tabela3[[#This Row],[Custo M.O. Total]]+Tabela3[[#This Row],[Custo Machos]])</f>
        <v>601.47666027170362</v>
      </c>
      <c r="AB81" s="47">
        <f ca="1">Tabela3[[#This Row],[Custo Total]]*Tabela3[[#This Row],[% Perda]]</f>
        <v>10.024611004528394</v>
      </c>
      <c r="AC81" s="48">
        <f>IFERROR(VLOOKUP(Tabela3[[#This Row],[Produto]],Tabela2[],2,0),0)</f>
        <v>4</v>
      </c>
      <c r="AD81" s="48">
        <f>IFERROR(VLOOKUP(Tabela3[[#This Row],[Produto]],Tabela2[],3,0),0)</f>
        <v>0.45600000000000002</v>
      </c>
      <c r="AE81" s="48">
        <f>IFERROR(VLOOKUP(Tabela3[[#This Row],[Produto]],Tabela2[],4,0),0)</f>
        <v>3.2280000000000002</v>
      </c>
      <c r="AF81" s="48">
        <f>IFERROR(VLOOKUP(Tabela3[[#This Row],[Produto]],Tabela2[],5,0),0)</f>
        <v>1.2636000000000001</v>
      </c>
      <c r="AG81" s="40">
        <f>IFERROR(VLOOKUP(Tabela3[[#This Row],[Produto]],Tabela2[],6,0),0)</f>
        <v>0</v>
      </c>
      <c r="AH81" s="40">
        <f>IFERROR(VLOOKUP(Tabela3[[#This Row],[Produto]],Tabela2[],7,0),0)</f>
        <v>0</v>
      </c>
      <c r="AI81" s="40">
        <f>IFERROR(VLOOKUP(Tabela3[[#This Row],[Produto]],Tabela2[],8,0),0)</f>
        <v>0</v>
      </c>
      <c r="AJ81" s="35">
        <f ca="1">IFERROR(VLOOKUP(Tabela3[[#This Row],[Produto]],Tabela2[],13,0),0)</f>
        <v>15.600000000000001</v>
      </c>
      <c r="AK81" s="40" t="str">
        <f>IFERROR(VLOOKUP(Tabela3[[#This Row],[Produto]],Tabela2[],14,0),0)</f>
        <v>Senun</v>
      </c>
      <c r="AL81" s="40">
        <f>IFERROR(VLOOKUP(Tabela3[[#This Row],[Produto]],Tabela2[],15,0),0)</f>
        <v>4</v>
      </c>
      <c r="AM81" s="36">
        <f ca="1">(Tabela3[[#This Row],[Custo Usinagem]]+Tabela3[[#This Row],[Custo / Pç]])*1.2</f>
        <v>17.033423598746513</v>
      </c>
      <c r="AN81" s="36">
        <f ca="1">Tabela3[[#This Row],[Valor Mínimo Venda]]*1.15</f>
        <v>19.58843713855849</v>
      </c>
      <c r="AO81" s="36">
        <f ca="1">Tabela3[[#This Row],[Tabela 1]]*1.08</f>
        <v>21.155512109643169</v>
      </c>
      <c r="AP81" s="36">
        <f ca="1">Tabela3[[#This Row],[Tabela 2]]*1.15</f>
        <v>24.328838926089642</v>
      </c>
    </row>
    <row r="82" spans="1:42">
      <c r="A82" s="9">
        <v>45722</v>
      </c>
      <c r="B82" s="6" t="s">
        <v>245</v>
      </c>
      <c r="C82" s="14">
        <v>5816</v>
      </c>
      <c r="D82" s="6" t="s">
        <v>46</v>
      </c>
      <c r="E82" s="6" t="s">
        <v>53</v>
      </c>
      <c r="F82" s="6">
        <v>92</v>
      </c>
      <c r="G82" s="15">
        <v>0.35555555555555557</v>
      </c>
      <c r="H82" s="16">
        <v>19</v>
      </c>
      <c r="I82" s="35">
        <f ca="1">IFERROR(Tabela3[[#This Row],[Custo Total]]/Tabela3[[#This Row],[Aluminio Util]],0)</f>
        <v>25.489464129921348</v>
      </c>
      <c r="J82" s="35">
        <f ca="1">Tabela3[[#This Row],[Custo Total]]/Tabela3[[#This Row],[Realizado]]</f>
        <v>8.4625020911338886</v>
      </c>
      <c r="K82" s="37">
        <f>IFERROR(Tabela3[[#This Row],[Qtde Cx Produzida]]/Tabela3[[#This Row],[Tempo]]/24,0)</f>
        <v>10.78125</v>
      </c>
      <c r="L82" s="37">
        <f>Tabela3[[#This Row],[Qtde Cx Produzida]]*Tabela3[[#This Row],[Qdt Peça Placa]]</f>
        <v>368</v>
      </c>
      <c r="M82" s="37">
        <f>Tabela3[[#This Row],[Previsto]]-Tabela3[[#This Row],[Perda Pçs]]</f>
        <v>349</v>
      </c>
      <c r="N82" s="38">
        <f>IFERROR(Tabela3[[#This Row],[Perda Pçs]]/Tabela3[[#This Row],[Previsto]],0)</f>
        <v>5.1630434782608696E-2</v>
      </c>
      <c r="O82" s="39">
        <f>IFERROR(IF(Tabela3[[#This Row],[Qtde Cx Produzida]] &lt;&gt; 0, Tabela3[[#This Row],[Tempo]] / Tabela3[[#This Row],[Qtde Cx Produzida]], 0),0)</f>
        <v>3.8647342995169085E-3</v>
      </c>
      <c r="P82" s="57">
        <f>IFERROR(Tabela3[[#This Row],[Perda Pçs]]/Tabela3[[#This Row],[Qdt Peça Placa]],0)</f>
        <v>4.75</v>
      </c>
      <c r="Q82" s="37">
        <f>IFERROR(Tabela3[[#This Row],[Realizado]]*Tabela3[[#This Row],[Peso Util/Pç]],0)</f>
        <v>115.86800000000001</v>
      </c>
      <c r="R82" s="37">
        <f>IFERROR(Tabela3[[#This Row],[Peso Total Galho]]*Tabela3[[#This Row],[Qtde Cx Produzida]]*1.055,0)</f>
        <v>223.23799999999997</v>
      </c>
      <c r="S82" s="37">
        <f>(Tabela3[[#This Row],[Aluminio Bruto]]-Tabela3[[#This Row],[Aluminio Util]])*0.9</f>
        <v>96.632999999999967</v>
      </c>
      <c r="T82" s="37">
        <f>Tabela3[[#This Row],[Aluminio Bruto]]/OleoKGAluminio</f>
        <v>93.915937956039116</v>
      </c>
      <c r="U82" s="35">
        <f>IFERROR((VLOOKUP(Tabela3[[#This Row],[Moldador]],Tabela1[],5,)+(VLOOKUP(Tabela3[[#This Row],[Ajudante]],Tabela1[],5,))*3.5),0)</f>
        <v>99.95034583333333</v>
      </c>
      <c r="V82" s="35">
        <f>IFERROR(Tabela3[[#This Row],[Custo M.O. / H]]/((Tabela3[[#This Row],[Realizado]]/Tabela3[[#This Row],[Qdt Peça Placa]])/Tabela3[[#This Row],[Tempo]]/24),)</f>
        <v>9.7754683985991715</v>
      </c>
      <c r="W82" s="35">
        <f>Tabela3[[#This Row],[Custo / Cx Moldada]]*Tabela3[[#This Row],[Qtde Cx Produzida]]</f>
        <v>899.34309267112383</v>
      </c>
      <c r="X82" s="35">
        <f ca="1">Tabela3[[#This Row],[Aluminio Util]]*Tabela3[[#This Row],[Custo/Kg]]</f>
        <v>1807.5408000000002</v>
      </c>
      <c r="Y82" s="35">
        <f>IFERROR(VLOOKUP(Tabela3[[#This Row],[Data]],Tabela461213[],2,1)*(Tabela3[[#This Row],[Qtde Cx Produzida]]*Tabela3[[#This Row],[Qde macho / CX]]*Tabela3[[#This Row],[Peso Macho]]),)</f>
        <v>0</v>
      </c>
      <c r="Z82" s="35">
        <f>IFERROR(Tabela3[[#This Row],[Qtde Oleo]]*(VLOOKUP(Tabela3[[#This Row],[Data]],CompraOleo[],3,TRUE))*1.05,0)</f>
        <v>246.52933713460268</v>
      </c>
      <c r="AA82" s="47">
        <f ca="1">(Tabela3[[#This Row],[Custo Oleo]]+Tabela3[[#This Row],[Custo Aluminio]]+Tabela3[[#This Row],[Custo M.O. Total]]+Tabela3[[#This Row],[Custo Machos]])</f>
        <v>2953.413229805727</v>
      </c>
      <c r="AB82" s="47">
        <f ca="1">Tabela3[[#This Row],[Custo Total]]*Tabela3[[#This Row],[% Perda]]</f>
        <v>152.4860091475783</v>
      </c>
      <c r="AC82" s="48">
        <f>IFERROR(VLOOKUP(Tabela3[[#This Row],[Produto]],Tabela2[],2,0),0)</f>
        <v>4</v>
      </c>
      <c r="AD82" s="48">
        <f>IFERROR(VLOOKUP(Tabela3[[#This Row],[Produto]],Tabela2[],3,0),0)</f>
        <v>0.33200000000000002</v>
      </c>
      <c r="AE82" s="48">
        <f>IFERROR(VLOOKUP(Tabela3[[#This Row],[Produto]],Tabela2[],4,0),0)</f>
        <v>2.2999999999999998</v>
      </c>
      <c r="AF82" s="48">
        <f>IFERROR(VLOOKUP(Tabela3[[#This Row],[Produto]],Tabela2[],5,0),0)</f>
        <v>0.8747999999999998</v>
      </c>
      <c r="AG82" s="40">
        <f>IFERROR(VLOOKUP(Tabela3[[#This Row],[Produto]],Tabela2[],6,0),0)</f>
        <v>0</v>
      </c>
      <c r="AH82" s="40">
        <f>IFERROR(VLOOKUP(Tabela3[[#This Row],[Produto]],Tabela2[],7,0),0)</f>
        <v>0</v>
      </c>
      <c r="AI82" s="40">
        <f>IFERROR(VLOOKUP(Tabela3[[#This Row],[Produto]],Tabela2[],8,0),0)</f>
        <v>0</v>
      </c>
      <c r="AJ82" s="35">
        <f ca="1">IFERROR(VLOOKUP(Tabela3[[#This Row],[Produto]],Tabela2[],13,0),0)</f>
        <v>15.600000000000001</v>
      </c>
      <c r="AK82" s="40" t="str">
        <f>IFERROR(VLOOKUP(Tabela3[[#This Row],[Produto]],Tabela2[],14,0),0)</f>
        <v>Senun</v>
      </c>
      <c r="AL82" s="40">
        <f>IFERROR(VLOOKUP(Tabela3[[#This Row],[Produto]],Tabela2[],15,0),0)</f>
        <v>3.5</v>
      </c>
      <c r="AM82" s="36">
        <f ca="1">(Tabela3[[#This Row],[Custo Usinagem]]+Tabela3[[#This Row],[Custo / Pç]])*1.2</f>
        <v>14.355002509360666</v>
      </c>
      <c r="AN82" s="36">
        <f ca="1">Tabela3[[#This Row],[Valor Mínimo Venda]]*1.15</f>
        <v>16.508252885764765</v>
      </c>
      <c r="AO82" s="36">
        <f ca="1">Tabela3[[#This Row],[Tabela 1]]*1.08</f>
        <v>17.828913116625948</v>
      </c>
      <c r="AP82" s="36">
        <f ca="1">Tabela3[[#This Row],[Tabela 2]]*1.15</f>
        <v>20.503250084119838</v>
      </c>
    </row>
    <row r="83" spans="1:42">
      <c r="A83" s="9">
        <v>45723</v>
      </c>
      <c r="B83" s="6" t="s">
        <v>245</v>
      </c>
      <c r="C83" s="14">
        <v>5816</v>
      </c>
      <c r="D83" s="6" t="s">
        <v>46</v>
      </c>
      <c r="E83" s="6" t="s">
        <v>53</v>
      </c>
      <c r="F83" s="6">
        <v>8</v>
      </c>
      <c r="G83" s="15">
        <v>2.9166666666666667E-2</v>
      </c>
      <c r="H83" s="16">
        <v>0</v>
      </c>
      <c r="I83" s="35">
        <f ca="1">IFERROR(Tabela3[[#This Row],[Custo Total]]/Tabela3[[#This Row],[Aluminio Util]],0)</f>
        <v>24.203405096687863</v>
      </c>
      <c r="J83" s="35">
        <f ca="1">Tabela3[[#This Row],[Custo Total]]/Tabela3[[#This Row],[Realizado]]</f>
        <v>8.0355304921003707</v>
      </c>
      <c r="K83" s="37">
        <f>IFERROR(Tabela3[[#This Row],[Qtde Cx Produzida]]/Tabela3[[#This Row],[Tempo]]/24,0)</f>
        <v>11.428571428571429</v>
      </c>
      <c r="L83" s="37">
        <f>Tabela3[[#This Row],[Qtde Cx Produzida]]*Tabela3[[#This Row],[Qdt Peça Placa]]</f>
        <v>32</v>
      </c>
      <c r="M83" s="37">
        <f>Tabela3[[#This Row],[Previsto]]-Tabela3[[#This Row],[Perda Pçs]]</f>
        <v>32</v>
      </c>
      <c r="N83" s="38">
        <f>IFERROR(Tabela3[[#This Row],[Perda Pçs]]/Tabela3[[#This Row],[Previsto]],0)</f>
        <v>0</v>
      </c>
      <c r="O83" s="39">
        <f>IFERROR(IF(Tabela3[[#This Row],[Qtde Cx Produzida]] &lt;&gt; 0, Tabela3[[#This Row],[Tempo]] / Tabela3[[#This Row],[Qtde Cx Produzida]], 0),0)</f>
        <v>3.6458333333333334E-3</v>
      </c>
      <c r="P83" s="57">
        <f>IFERROR(Tabela3[[#This Row],[Perda Pçs]]/Tabela3[[#This Row],[Qdt Peça Placa]],0)</f>
        <v>0</v>
      </c>
      <c r="Q83" s="37">
        <f>IFERROR(Tabela3[[#This Row],[Realizado]]*Tabela3[[#This Row],[Peso Util/Pç]],0)</f>
        <v>10.624000000000001</v>
      </c>
      <c r="R83" s="37">
        <f>IFERROR(Tabela3[[#This Row],[Peso Total Galho]]*Tabela3[[#This Row],[Qtde Cx Produzida]]*1.055,0)</f>
        <v>19.411999999999999</v>
      </c>
      <c r="S83" s="37">
        <f>(Tabela3[[#This Row],[Aluminio Bruto]]-Tabela3[[#This Row],[Aluminio Util]])*0.9</f>
        <v>7.9091999999999985</v>
      </c>
      <c r="T83" s="37">
        <f>Tabela3[[#This Row],[Aluminio Bruto]]/OleoKGAluminio</f>
        <v>8.1666033005251411</v>
      </c>
      <c r="U83" s="35">
        <f>IFERROR((VLOOKUP(Tabela3[[#This Row],[Moldador]],Tabela1[],5,)+(VLOOKUP(Tabela3[[#This Row],[Ajudante]],Tabela1[],5,))*3.5),0)</f>
        <v>99.95034583333333</v>
      </c>
      <c r="V83" s="35">
        <f>IFERROR(Tabela3[[#This Row],[Custo M.O. / H]]/((Tabela3[[#This Row],[Realizado]]/Tabela3[[#This Row],[Qdt Peça Placa]])/Tabela3[[#This Row],[Tempo]]/24),)</f>
        <v>8.7456552604166653</v>
      </c>
      <c r="W83" s="35">
        <f>Tabela3[[#This Row],[Custo / Cx Moldada]]*Tabela3[[#This Row],[Qtde Cx Produzida]]</f>
        <v>69.965242083333322</v>
      </c>
      <c r="X83" s="35">
        <f ca="1">Tabela3[[#This Row],[Aluminio Util]]*Tabela3[[#This Row],[Custo/Kg]]</f>
        <v>165.73440000000002</v>
      </c>
      <c r="Y83" s="35">
        <f>IFERROR(VLOOKUP(Tabela3[[#This Row],[Data]],Tabela461213[],2,1)*(Tabela3[[#This Row],[Qtde Cx Produzida]]*Tabela3[[#This Row],[Qde macho / CX]]*Tabela3[[#This Row],[Peso Macho]]),)</f>
        <v>0</v>
      </c>
      <c r="Z83" s="35">
        <f>IFERROR(Tabela3[[#This Row],[Qtde Oleo]]*(VLOOKUP(Tabela3[[#This Row],[Data]],CompraOleo[],3,TRUE))*1.05,0)</f>
        <v>21.437333663878494</v>
      </c>
      <c r="AA83" s="47">
        <f ca="1">(Tabela3[[#This Row],[Custo Oleo]]+Tabela3[[#This Row],[Custo Aluminio]]+Tabela3[[#This Row],[Custo M.O. Total]]+Tabela3[[#This Row],[Custo Machos]])</f>
        <v>257.13697574721186</v>
      </c>
      <c r="AB83" s="47">
        <f ca="1">Tabela3[[#This Row],[Custo Total]]*Tabela3[[#This Row],[% Perda]]</f>
        <v>0</v>
      </c>
      <c r="AC83" s="48">
        <f>IFERROR(VLOOKUP(Tabela3[[#This Row],[Produto]],Tabela2[],2,0),0)</f>
        <v>4</v>
      </c>
      <c r="AD83" s="48">
        <f>IFERROR(VLOOKUP(Tabela3[[#This Row],[Produto]],Tabela2[],3,0),0)</f>
        <v>0.33200000000000002</v>
      </c>
      <c r="AE83" s="48">
        <f>IFERROR(VLOOKUP(Tabela3[[#This Row],[Produto]],Tabela2[],4,0),0)</f>
        <v>2.2999999999999998</v>
      </c>
      <c r="AF83" s="48">
        <f>IFERROR(VLOOKUP(Tabela3[[#This Row],[Produto]],Tabela2[],5,0),0)</f>
        <v>0.8747999999999998</v>
      </c>
      <c r="AG83" s="40">
        <f>IFERROR(VLOOKUP(Tabela3[[#This Row],[Produto]],Tabela2[],6,0),0)</f>
        <v>0</v>
      </c>
      <c r="AH83" s="40">
        <f>IFERROR(VLOOKUP(Tabela3[[#This Row],[Produto]],Tabela2[],7,0),0)</f>
        <v>0</v>
      </c>
      <c r="AI83" s="40">
        <f>IFERROR(VLOOKUP(Tabela3[[#This Row],[Produto]],Tabela2[],8,0),0)</f>
        <v>0</v>
      </c>
      <c r="AJ83" s="35">
        <f ca="1">IFERROR(VLOOKUP(Tabela3[[#This Row],[Produto]],Tabela2[],13,0),0)</f>
        <v>15.600000000000001</v>
      </c>
      <c r="AK83" s="40" t="str">
        <f>IFERROR(VLOOKUP(Tabela3[[#This Row],[Produto]],Tabela2[],14,0),0)</f>
        <v>Senun</v>
      </c>
      <c r="AL83" s="40">
        <f>IFERROR(VLOOKUP(Tabela3[[#This Row],[Produto]],Tabela2[],15,0),0)</f>
        <v>3.5</v>
      </c>
      <c r="AM83" s="36">
        <f ca="1">(Tabela3[[#This Row],[Custo Usinagem]]+Tabela3[[#This Row],[Custo / Pç]])*1.2</f>
        <v>13.842636590520444</v>
      </c>
      <c r="AN83" s="36">
        <f ca="1">Tabela3[[#This Row],[Valor Mínimo Venda]]*1.15</f>
        <v>15.919032079098509</v>
      </c>
      <c r="AO83" s="36">
        <f ca="1">Tabela3[[#This Row],[Tabela 1]]*1.08</f>
        <v>17.192554645426391</v>
      </c>
      <c r="AP83" s="36">
        <f ca="1">Tabela3[[#This Row],[Tabela 2]]*1.15</f>
        <v>19.771437842240349</v>
      </c>
    </row>
    <row r="84" spans="1:42">
      <c r="A84" s="9">
        <v>45723</v>
      </c>
      <c r="B84" s="6" t="s">
        <v>84</v>
      </c>
      <c r="C84" s="14">
        <v>5821</v>
      </c>
      <c r="D84" s="6" t="s">
        <v>46</v>
      </c>
      <c r="E84" s="6" t="s">
        <v>53</v>
      </c>
      <c r="F84" s="6">
        <v>25</v>
      </c>
      <c r="G84" s="15">
        <v>0.1111111111111111</v>
      </c>
      <c r="H84" s="16">
        <v>9</v>
      </c>
      <c r="I84" s="35">
        <f ca="1">IFERROR(Tabela3[[#This Row],[Custo Total]]/Tabela3[[#This Row],[Aluminio Util]],0)</f>
        <v>36.82023501499495</v>
      </c>
      <c r="J84" s="35">
        <f ca="1">Tabela3[[#This Row],[Custo Total]]/Tabela3[[#This Row],[Realizado]]</f>
        <v>6.8117434777740664</v>
      </c>
      <c r="K84" s="37">
        <f>IFERROR(Tabela3[[#This Row],[Qtde Cx Produzida]]/Tabela3[[#This Row],[Tempo]]/24,0)</f>
        <v>9.375</v>
      </c>
      <c r="L84" s="37">
        <f>Tabela3[[#This Row],[Qtde Cx Produzida]]*Tabela3[[#This Row],[Qdt Peça Placa]]</f>
        <v>100</v>
      </c>
      <c r="M84" s="37">
        <f>Tabela3[[#This Row],[Previsto]]-Tabela3[[#This Row],[Perda Pçs]]</f>
        <v>91</v>
      </c>
      <c r="N84" s="38">
        <f>IFERROR(Tabela3[[#This Row],[Perda Pçs]]/Tabela3[[#This Row],[Previsto]],0)</f>
        <v>0.09</v>
      </c>
      <c r="O84" s="39">
        <f>IFERROR(IF(Tabela3[[#This Row],[Qtde Cx Produzida]] &lt;&gt; 0, Tabela3[[#This Row],[Tempo]] / Tabela3[[#This Row],[Qtde Cx Produzida]], 0),0)</f>
        <v>4.4444444444444444E-3</v>
      </c>
      <c r="P84" s="57">
        <f>IFERROR(Tabela3[[#This Row],[Perda Pçs]]/Tabela3[[#This Row],[Qdt Peça Placa]],0)</f>
        <v>2.25</v>
      </c>
      <c r="Q84" s="37">
        <f>IFERROR(Tabela3[[#This Row],[Realizado]]*Tabela3[[#This Row],[Peso Util/Pç]],0)</f>
        <v>16.835000000000001</v>
      </c>
      <c r="R84" s="37">
        <f>IFERROR(Tabela3[[#This Row],[Peso Total Galho]]*Tabela3[[#This Row],[Qtde Cx Produzida]]*1.055,0)</f>
        <v>34.4985</v>
      </c>
      <c r="S84" s="37">
        <f>(Tabela3[[#This Row],[Aluminio Bruto]]-Tabela3[[#This Row],[Aluminio Util]])*0.9</f>
        <v>15.89715</v>
      </c>
      <c r="T84" s="37">
        <f>Tabela3[[#This Row],[Aluminio Bruto]]/OleoKGAluminio</f>
        <v>14.513474343868049</v>
      </c>
      <c r="U84" s="35">
        <f>IFERROR((VLOOKUP(Tabela3[[#This Row],[Moldador]],Tabela1[],5,)+(VLOOKUP(Tabela3[[#This Row],[Ajudante]],Tabela1[],5,))*3.5),0)</f>
        <v>99.95034583333333</v>
      </c>
      <c r="V84" s="35">
        <f>IFERROR(Tabela3[[#This Row],[Custo M.O. / H]]/((Tabela3[[#This Row],[Realizado]]/Tabela3[[#This Row],[Qdt Peça Placa]])/Tabela3[[#This Row],[Tempo]]/24),)</f>
        <v>11.715791452991452</v>
      </c>
      <c r="W84" s="35">
        <f>Tabela3[[#This Row],[Custo / Cx Moldada]]*Tabela3[[#This Row],[Qtde Cx Produzida]]</f>
        <v>292.89478632478631</v>
      </c>
      <c r="X84" s="35">
        <f ca="1">Tabela3[[#This Row],[Aluminio Util]]*Tabela3[[#This Row],[Custo/Kg]]</f>
        <v>262.62600000000003</v>
      </c>
      <c r="Y84" s="35">
        <f>IFERROR(VLOOKUP(Tabela3[[#This Row],[Data]],Tabela461213[],2,1)*(Tabela3[[#This Row],[Qtde Cx Produzida]]*Tabela3[[#This Row],[Qde macho / CX]]*Tabela3[[#This Row],[Peso Macho]]),)</f>
        <v>26.25</v>
      </c>
      <c r="Z84" s="35">
        <f>IFERROR(Tabela3[[#This Row],[Qtde Oleo]]*(VLOOKUP(Tabela3[[#This Row],[Data]],CompraOleo[],3,TRUE))*1.05,0)</f>
        <v>38.097870152653627</v>
      </c>
      <c r="AA84" s="47">
        <f ca="1">(Tabela3[[#This Row],[Custo Oleo]]+Tabela3[[#This Row],[Custo Aluminio]]+Tabela3[[#This Row],[Custo M.O. Total]]+Tabela3[[#This Row],[Custo Machos]])</f>
        <v>619.86865647744003</v>
      </c>
      <c r="AB84" s="47">
        <f ca="1">Tabela3[[#This Row],[Custo Total]]*Tabela3[[#This Row],[% Perda]]</f>
        <v>55.788179082969599</v>
      </c>
      <c r="AC84" s="48">
        <f>IFERROR(VLOOKUP(Tabela3[[#This Row],[Produto]],Tabela2[],2,0),0)</f>
        <v>4</v>
      </c>
      <c r="AD84" s="48">
        <f>IFERROR(VLOOKUP(Tabela3[[#This Row],[Produto]],Tabela2[],3,0),0)</f>
        <v>0.185</v>
      </c>
      <c r="AE84" s="48">
        <f>IFERROR(VLOOKUP(Tabela3[[#This Row],[Produto]],Tabela2[],4,0),0)</f>
        <v>1.3080000000000001</v>
      </c>
      <c r="AF84" s="48">
        <f>IFERROR(VLOOKUP(Tabela3[[#This Row],[Produto]],Tabela2[],5,0),0)</f>
        <v>0.5112000000000001</v>
      </c>
      <c r="AG84" s="40">
        <f>IFERROR(VLOOKUP(Tabela3[[#This Row],[Produto]],Tabela2[],6,0),0)</f>
        <v>0</v>
      </c>
      <c r="AH84" s="40">
        <f>IFERROR(VLOOKUP(Tabela3[[#This Row],[Produto]],Tabela2[],7,0),0)</f>
        <v>4</v>
      </c>
      <c r="AI84" s="40">
        <f>IFERROR(VLOOKUP(Tabela3[[#This Row],[Produto]],Tabela2[],8,0),0)</f>
        <v>0.17499999999999999</v>
      </c>
      <c r="AJ84" s="35">
        <f ca="1">IFERROR(VLOOKUP(Tabela3[[#This Row],[Produto]],Tabela2[],13,0),0)</f>
        <v>15.600000000000001</v>
      </c>
      <c r="AK84" s="40" t="str">
        <f>IFERROR(VLOOKUP(Tabela3[[#This Row],[Produto]],Tabela2[],14,0),0)</f>
        <v>Jumil</v>
      </c>
      <c r="AL84" s="40">
        <f>IFERROR(VLOOKUP(Tabela3[[#This Row],[Produto]],Tabela2[],15,0),0)</f>
        <v>1</v>
      </c>
      <c r="AM84" s="36">
        <f ca="1">(Tabela3[[#This Row],[Custo Usinagem]]+Tabela3[[#This Row],[Custo / Pç]])*1.2</f>
        <v>9.3740921733288793</v>
      </c>
      <c r="AN84" s="36">
        <f ca="1">Tabela3[[#This Row],[Valor Mínimo Venda]]*1.15</f>
        <v>10.78020599932821</v>
      </c>
      <c r="AO84" s="36">
        <f ca="1">Tabela3[[#This Row],[Tabela 1]]*1.08</f>
        <v>11.642622479274468</v>
      </c>
      <c r="AP84" s="36">
        <f ca="1">Tabela3[[#This Row],[Tabela 2]]*1.15</f>
        <v>13.389015851165638</v>
      </c>
    </row>
    <row r="85" spans="1:42">
      <c r="A85" s="9">
        <v>45723</v>
      </c>
      <c r="B85" s="6" t="s">
        <v>272</v>
      </c>
      <c r="C85" s="14">
        <v>5820</v>
      </c>
      <c r="D85" s="6" t="s">
        <v>46</v>
      </c>
      <c r="E85" s="6" t="s">
        <v>53</v>
      </c>
      <c r="F85" s="6">
        <v>20</v>
      </c>
      <c r="G85" s="15">
        <v>8.3333333333333329E-2</v>
      </c>
      <c r="H85" s="16">
        <v>0</v>
      </c>
      <c r="I85" s="35">
        <f ca="1">IFERROR(Tabela3[[#This Row],[Custo Total]]/Tabela3[[#This Row],[Aluminio Util]],0)</f>
        <v>27.54701311388677</v>
      </c>
      <c r="J85" s="35">
        <f ca="1">Tabela3[[#This Row],[Custo Total]]/Tabela3[[#This Row],[Realizado]]</f>
        <v>38.014878097163738</v>
      </c>
      <c r="K85" s="37">
        <f>IFERROR(Tabela3[[#This Row],[Qtde Cx Produzida]]/Tabela3[[#This Row],[Tempo]]/24,0)</f>
        <v>10</v>
      </c>
      <c r="L85" s="37">
        <f>Tabela3[[#This Row],[Qtde Cx Produzida]]*Tabela3[[#This Row],[Qdt Peça Placa]]</f>
        <v>20</v>
      </c>
      <c r="M85" s="37">
        <f>Tabela3[[#This Row],[Previsto]]-Tabela3[[#This Row],[Perda Pçs]]</f>
        <v>20</v>
      </c>
      <c r="N85" s="38">
        <f>IFERROR(Tabela3[[#This Row],[Perda Pçs]]/Tabela3[[#This Row],[Previsto]],0)</f>
        <v>0</v>
      </c>
      <c r="O85" s="39">
        <f>IFERROR(IF(Tabela3[[#This Row],[Qtde Cx Produzida]] &lt;&gt; 0, Tabela3[[#This Row],[Tempo]] / Tabela3[[#This Row],[Qtde Cx Produzida]], 0),0)</f>
        <v>4.1666666666666666E-3</v>
      </c>
      <c r="P85" s="57">
        <f>IFERROR(Tabela3[[#This Row],[Perda Pçs]]/Tabela3[[#This Row],[Qdt Peça Placa]],0)</f>
        <v>0</v>
      </c>
      <c r="Q85" s="37">
        <f>IFERROR(Tabela3[[#This Row],[Realizado]]*Tabela3[[#This Row],[Peso Util/Pç]],0)</f>
        <v>27.599999999999998</v>
      </c>
      <c r="R85" s="37">
        <f>IFERROR(Tabela3[[#This Row],[Peso Total Galho]]*Tabela3[[#This Row],[Qtde Cx Produzida]]*1.055,0)</f>
        <v>41.777999999999999</v>
      </c>
      <c r="S85" s="37">
        <f>(Tabela3[[#This Row],[Aluminio Bruto]]-Tabela3[[#This Row],[Aluminio Util]])*0.9</f>
        <v>12.760200000000001</v>
      </c>
      <c r="T85" s="37">
        <f>Tabela3[[#This Row],[Aluminio Bruto]]/OleoKGAluminio</f>
        <v>17.575950581564978</v>
      </c>
      <c r="U85" s="35">
        <f>IFERROR((VLOOKUP(Tabela3[[#This Row],[Moldador]],Tabela1[],5,)+(VLOOKUP(Tabela3[[#This Row],[Ajudante]],Tabela1[],5,))*3.5),0)</f>
        <v>99.95034583333333</v>
      </c>
      <c r="V85" s="35">
        <f>IFERROR(Tabela3[[#This Row],[Custo M.O. / H]]/((Tabela3[[#This Row],[Realizado]]/Tabela3[[#This Row],[Qdt Peça Placa]])/Tabela3[[#This Row],[Tempo]]/24),)</f>
        <v>9.9950345833333323</v>
      </c>
      <c r="W85" s="35">
        <f>Tabela3[[#This Row],[Custo / Cx Moldada]]*Tabela3[[#This Row],[Qtde Cx Produzida]]</f>
        <v>199.90069166666666</v>
      </c>
      <c r="X85" s="35">
        <f ca="1">Tabela3[[#This Row],[Aluminio Util]]*Tabela3[[#This Row],[Custo/Kg]]</f>
        <v>430.56</v>
      </c>
      <c r="Y85" s="35">
        <f>IFERROR(VLOOKUP(Tabela3[[#This Row],[Data]],Tabela461213[],2,1)*(Tabela3[[#This Row],[Qtde Cx Produzida]]*Tabela3[[#This Row],[Qde macho / CX]]*Tabela3[[#This Row],[Peso Macho]]),)</f>
        <v>83.7</v>
      </c>
      <c r="Z85" s="35">
        <f>IFERROR(Tabela3[[#This Row],[Qtde Oleo]]*(VLOOKUP(Tabela3[[#This Row],[Data]],CompraOleo[],3,TRUE))*1.05,0)</f>
        <v>46.136870276608072</v>
      </c>
      <c r="AA85" s="47">
        <f ca="1">(Tabela3[[#This Row],[Custo Oleo]]+Tabela3[[#This Row],[Custo Aluminio]]+Tabela3[[#This Row],[Custo M.O. Total]]+Tabela3[[#This Row],[Custo Machos]])</f>
        <v>760.29756194327479</v>
      </c>
      <c r="AB85" s="47">
        <f ca="1">Tabela3[[#This Row],[Custo Total]]*Tabela3[[#This Row],[% Perda]]</f>
        <v>0</v>
      </c>
      <c r="AC85" s="48">
        <f>IFERROR(VLOOKUP(Tabela3[[#This Row],[Produto]],Tabela2[],2,0),0)</f>
        <v>1</v>
      </c>
      <c r="AD85" s="48">
        <f>IFERROR(VLOOKUP(Tabela3[[#This Row],[Produto]],Tabela2[],3,0),0)</f>
        <v>1.38</v>
      </c>
      <c r="AE85" s="48">
        <f>IFERROR(VLOOKUP(Tabela3[[#This Row],[Produto]],Tabela2[],4,0),0)</f>
        <v>1.98</v>
      </c>
      <c r="AF85" s="48">
        <f>IFERROR(VLOOKUP(Tabela3[[#This Row],[Produto]],Tabela2[],5,0),0)</f>
        <v>0.54000000000000015</v>
      </c>
      <c r="AG85" s="40">
        <f>IFERROR(VLOOKUP(Tabela3[[#This Row],[Produto]],Tabela2[],6,0),0)</f>
        <v>0</v>
      </c>
      <c r="AH85" s="40">
        <f>IFERROR(VLOOKUP(Tabela3[[#This Row],[Produto]],Tabela2[],7,0),0)</f>
        <v>3</v>
      </c>
      <c r="AI85" s="40">
        <f>IFERROR(VLOOKUP(Tabela3[[#This Row],[Produto]],Tabela2[],8,0),0)</f>
        <v>0.93</v>
      </c>
      <c r="AJ85" s="35">
        <f ca="1">IFERROR(VLOOKUP(Tabela3[[#This Row],[Produto]],Tabela2[],13,0),0)</f>
        <v>15.600000000000001</v>
      </c>
      <c r="AK85" s="40" t="str">
        <f>IFERROR(VLOOKUP(Tabela3[[#This Row],[Produto]],Tabela2[],14,0),0)</f>
        <v>Jumil</v>
      </c>
      <c r="AL85" s="40">
        <f>IFERROR(VLOOKUP(Tabela3[[#This Row],[Produto]],Tabela2[],15,0),0)</f>
        <v>8</v>
      </c>
      <c r="AM85" s="36">
        <f ca="1">(Tabela3[[#This Row],[Custo Usinagem]]+Tabela3[[#This Row],[Custo / Pç]])*1.2</f>
        <v>55.217853716596487</v>
      </c>
      <c r="AN85" s="36">
        <f ca="1">Tabela3[[#This Row],[Valor Mínimo Venda]]*1.15</f>
        <v>63.500531774085957</v>
      </c>
      <c r="AO85" s="36">
        <f ca="1">Tabela3[[#This Row],[Tabela 1]]*1.08</f>
        <v>68.580574316012843</v>
      </c>
      <c r="AP85" s="36">
        <f ca="1">Tabela3[[#This Row],[Tabela 2]]*1.15</f>
        <v>78.867660463414765</v>
      </c>
    </row>
    <row r="86" spans="1:42">
      <c r="A86" s="9">
        <v>45723</v>
      </c>
      <c r="B86" s="6" t="s">
        <v>247</v>
      </c>
      <c r="C86" s="14">
        <v>5823</v>
      </c>
      <c r="D86" s="6" t="s">
        <v>46</v>
      </c>
      <c r="E86" s="6" t="s">
        <v>53</v>
      </c>
      <c r="F86" s="6">
        <v>27</v>
      </c>
      <c r="G86" s="15">
        <v>0.125</v>
      </c>
      <c r="H86" s="16">
        <v>5</v>
      </c>
      <c r="I86" s="35">
        <f ca="1">IFERROR(Tabela3[[#This Row],[Custo Total]]/Tabela3[[#This Row],[Aluminio Util]],0)</f>
        <v>28.116437353475277</v>
      </c>
      <c r="J86" s="35">
        <f ca="1">Tabela3[[#This Row],[Custo Total]]/Tabela3[[#This Row],[Realizado]]</f>
        <v>8.4349312060425827</v>
      </c>
      <c r="K86" s="37">
        <f>IFERROR(Tabela3[[#This Row],[Qtde Cx Produzida]]/Tabela3[[#This Row],[Tempo]]/24,0)</f>
        <v>9</v>
      </c>
      <c r="L86" s="37">
        <f>Tabela3[[#This Row],[Qtde Cx Produzida]]*Tabela3[[#This Row],[Qdt Peça Placa]]</f>
        <v>108</v>
      </c>
      <c r="M86" s="37">
        <f>Tabela3[[#This Row],[Previsto]]-Tabela3[[#This Row],[Perda Pçs]]</f>
        <v>103</v>
      </c>
      <c r="N86" s="38">
        <f>IFERROR(Tabela3[[#This Row],[Perda Pçs]]/Tabela3[[#This Row],[Previsto]],0)</f>
        <v>4.6296296296296294E-2</v>
      </c>
      <c r="O86" s="39">
        <f>IFERROR(IF(Tabela3[[#This Row],[Qtde Cx Produzida]] &lt;&gt; 0, Tabela3[[#This Row],[Tempo]] / Tabela3[[#This Row],[Qtde Cx Produzida]], 0),0)</f>
        <v>4.6296296296296294E-3</v>
      </c>
      <c r="P86" s="57">
        <f>IFERROR(Tabela3[[#This Row],[Perda Pçs]]/Tabela3[[#This Row],[Qdt Peça Placa]],0)</f>
        <v>1.25</v>
      </c>
      <c r="Q86" s="37">
        <f>IFERROR(Tabela3[[#This Row],[Realizado]]*Tabela3[[#This Row],[Peso Util/Pç]],0)</f>
        <v>30.9</v>
      </c>
      <c r="R86" s="37">
        <f>IFERROR(Tabela3[[#This Row],[Peso Total Galho]]*Tabela3[[#This Row],[Qtde Cx Produzida]]*1.055,0)</f>
        <v>65.515499999999989</v>
      </c>
      <c r="S86" s="37">
        <f>(Tabela3[[#This Row],[Aluminio Bruto]]-Tabela3[[#This Row],[Aluminio Util]])*0.9</f>
        <v>31.153949999999991</v>
      </c>
      <c r="T86" s="37">
        <f>Tabela3[[#This Row],[Aluminio Bruto]]/OleoKGAluminio</f>
        <v>27.562286139272345</v>
      </c>
      <c r="U86" s="35">
        <f>IFERROR((VLOOKUP(Tabela3[[#This Row],[Moldador]],Tabela1[],5,)+(VLOOKUP(Tabela3[[#This Row],[Ajudante]],Tabela1[],5,))*3.5),0)</f>
        <v>99.95034583333333</v>
      </c>
      <c r="V86" s="35">
        <f>IFERROR(Tabela3[[#This Row],[Custo M.O. / H]]/((Tabela3[[#This Row],[Realizado]]/Tabela3[[#This Row],[Qdt Peça Placa]])/Tabela3[[#This Row],[Tempo]]/24),)</f>
        <v>11.644700485436893</v>
      </c>
      <c r="W86" s="35">
        <f>Tabela3[[#This Row],[Custo / Cx Moldada]]*Tabela3[[#This Row],[Qtde Cx Produzida]]</f>
        <v>314.40691310679608</v>
      </c>
      <c r="X86" s="35">
        <f ca="1">Tabela3[[#This Row],[Aluminio Util]]*Tabela3[[#This Row],[Custo/Kg]]</f>
        <v>482.04</v>
      </c>
      <c r="Y86" s="35">
        <f>IFERROR(VLOOKUP(Tabela3[[#This Row],[Data]],Tabela461213[],2,1)*(Tabela3[[#This Row],[Qtde Cx Produzida]]*Tabela3[[#This Row],[Qde macho / CX]]*Tabela3[[#This Row],[Peso Macho]]),)</f>
        <v>0</v>
      </c>
      <c r="Z86" s="35">
        <f>IFERROR(Tabela3[[#This Row],[Qtde Oleo]]*(VLOOKUP(Tabela3[[#This Row],[Data]],CompraOleo[],3,TRUE))*1.05,0)</f>
        <v>72.351001115589909</v>
      </c>
      <c r="AA86" s="47">
        <f ca="1">(Tabela3[[#This Row],[Custo Oleo]]+Tabela3[[#This Row],[Custo Aluminio]]+Tabela3[[#This Row],[Custo M.O. Total]]+Tabela3[[#This Row],[Custo Machos]])</f>
        <v>868.797914222386</v>
      </c>
      <c r="AB86" s="47">
        <f ca="1">Tabela3[[#This Row],[Custo Total]]*Tabela3[[#This Row],[% Perda]]</f>
        <v>40.222125658443794</v>
      </c>
      <c r="AC86" s="48">
        <f>IFERROR(VLOOKUP(Tabela3[[#This Row],[Produto]],Tabela2[],2,0),0)</f>
        <v>4</v>
      </c>
      <c r="AD86" s="48">
        <f>IFERROR(VLOOKUP(Tabela3[[#This Row],[Produto]],Tabela2[],3,0),0)</f>
        <v>0.3</v>
      </c>
      <c r="AE86" s="48">
        <f>IFERROR(VLOOKUP(Tabela3[[#This Row],[Produto]],Tabela2[],4,0),0)</f>
        <v>2.2999999999999998</v>
      </c>
      <c r="AF86" s="48">
        <f>IFERROR(VLOOKUP(Tabela3[[#This Row],[Produto]],Tabela2[],5,0),0)</f>
        <v>0.98999999999999988</v>
      </c>
      <c r="AG86" s="40">
        <f>IFERROR(VLOOKUP(Tabela3[[#This Row],[Produto]],Tabela2[],6,0),0)</f>
        <v>0</v>
      </c>
      <c r="AH86" s="40">
        <f>IFERROR(VLOOKUP(Tabela3[[#This Row],[Produto]],Tabela2[],7,0),0)</f>
        <v>0</v>
      </c>
      <c r="AI86" s="40">
        <f>IFERROR(VLOOKUP(Tabela3[[#This Row],[Produto]],Tabela2[],8,0),0)</f>
        <v>0</v>
      </c>
      <c r="AJ86" s="35">
        <f ca="1">IFERROR(VLOOKUP(Tabela3[[#This Row],[Produto]],Tabela2[],13,0),0)</f>
        <v>15.600000000000001</v>
      </c>
      <c r="AK86" s="40" t="str">
        <f>IFERROR(VLOOKUP(Tabela3[[#This Row],[Produto]],Tabela2[],14,0),0)</f>
        <v>Senun</v>
      </c>
      <c r="AL86" s="40">
        <f>IFERROR(VLOOKUP(Tabela3[[#This Row],[Produto]],Tabela2[],15,0),0)</f>
        <v>3.5</v>
      </c>
      <c r="AM86" s="36">
        <f ca="1">(Tabela3[[#This Row],[Custo Usinagem]]+Tabela3[[#This Row],[Custo / Pç]])*1.2</f>
        <v>14.321917447251099</v>
      </c>
      <c r="AN86" s="36">
        <f ca="1">Tabela3[[#This Row],[Valor Mínimo Venda]]*1.15</f>
        <v>16.470205064338764</v>
      </c>
      <c r="AO86" s="36">
        <f ca="1">Tabela3[[#This Row],[Tabela 1]]*1.08</f>
        <v>17.787821469485866</v>
      </c>
      <c r="AP86" s="36">
        <f ca="1">Tabela3[[#This Row],[Tabela 2]]*1.15</f>
        <v>20.455994689908746</v>
      </c>
    </row>
    <row r="87" spans="1:42">
      <c r="A87" s="9">
        <v>45726</v>
      </c>
      <c r="B87" s="6" t="s">
        <v>247</v>
      </c>
      <c r="C87" s="14">
        <v>5823</v>
      </c>
      <c r="D87" s="6" t="s">
        <v>46</v>
      </c>
      <c r="E87" s="6" t="s">
        <v>53</v>
      </c>
      <c r="F87" s="6">
        <v>75</v>
      </c>
      <c r="G87" s="15">
        <v>0.34722222222222221</v>
      </c>
      <c r="H87" s="16">
        <v>18</v>
      </c>
      <c r="I87" s="35">
        <f ca="1">IFERROR(Tabela3[[#This Row],[Custo Total]]/Tabela3[[#This Row],[Aluminio Util]],0)</f>
        <v>28.449404601429009</v>
      </c>
      <c r="J87" s="35">
        <f ca="1">Tabela3[[#This Row],[Custo Total]]/Tabela3[[#This Row],[Realizado]]</f>
        <v>8.534821380428701</v>
      </c>
      <c r="K87" s="37">
        <f>IFERROR(Tabela3[[#This Row],[Qtde Cx Produzida]]/Tabela3[[#This Row],[Tempo]]/24,0)</f>
        <v>9</v>
      </c>
      <c r="L87" s="37">
        <f>Tabela3[[#This Row],[Qtde Cx Produzida]]*Tabela3[[#This Row],[Qdt Peça Placa]]</f>
        <v>300</v>
      </c>
      <c r="M87" s="37">
        <f>Tabela3[[#This Row],[Previsto]]-Tabela3[[#This Row],[Perda Pçs]]</f>
        <v>282</v>
      </c>
      <c r="N87" s="38">
        <f>IFERROR(Tabela3[[#This Row],[Perda Pçs]]/Tabela3[[#This Row],[Previsto]],0)</f>
        <v>0.06</v>
      </c>
      <c r="O87" s="39">
        <f>IFERROR(IF(Tabela3[[#This Row],[Qtde Cx Produzida]] &lt;&gt; 0, Tabela3[[#This Row],[Tempo]] / Tabela3[[#This Row],[Qtde Cx Produzida]], 0),0)</f>
        <v>4.6296296296296294E-3</v>
      </c>
      <c r="P87" s="57">
        <f>IFERROR(Tabela3[[#This Row],[Perda Pçs]]/Tabela3[[#This Row],[Qdt Peça Placa]],0)</f>
        <v>4.5</v>
      </c>
      <c r="Q87" s="37">
        <f>IFERROR(Tabela3[[#This Row],[Realizado]]*Tabela3[[#This Row],[Peso Util/Pç]],0)</f>
        <v>84.6</v>
      </c>
      <c r="R87" s="37">
        <f>IFERROR(Tabela3[[#This Row],[Peso Total Galho]]*Tabela3[[#This Row],[Qtde Cx Produzida]]*1.055,0)</f>
        <v>181.98749999999998</v>
      </c>
      <c r="S87" s="37">
        <f>(Tabela3[[#This Row],[Aluminio Bruto]]-Tabela3[[#This Row],[Aluminio Util]])*0.9</f>
        <v>87.648749999999993</v>
      </c>
      <c r="T87" s="37">
        <f>Tabela3[[#This Row],[Aluminio Bruto]]/OleoKGAluminio</f>
        <v>76.561905942423195</v>
      </c>
      <c r="U87" s="35">
        <f>IFERROR((VLOOKUP(Tabela3[[#This Row],[Moldador]],Tabela1[],5,)+(VLOOKUP(Tabela3[[#This Row],[Ajudante]],Tabela1[],5,))*3.5),0)</f>
        <v>99.95034583333333</v>
      </c>
      <c r="V87" s="35">
        <f>IFERROR(Tabela3[[#This Row],[Custo M.O. / H]]/((Tabela3[[#This Row],[Realizado]]/Tabela3[[#This Row],[Qdt Peça Placa]])/Tabela3[[#This Row],[Tempo]]/24),)</f>
        <v>11.814461682427106</v>
      </c>
      <c r="W87" s="35">
        <f>Tabela3[[#This Row],[Custo / Cx Moldada]]*Tabela3[[#This Row],[Qtde Cx Produzida]]</f>
        <v>886.08462618203293</v>
      </c>
      <c r="X87" s="35">
        <f ca="1">Tabela3[[#This Row],[Aluminio Util]]*Tabela3[[#This Row],[Custo/Kg]]</f>
        <v>1319.76</v>
      </c>
      <c r="Y87" s="35">
        <f>IFERROR(VLOOKUP(Tabela3[[#This Row],[Data]],Tabela461213[],2,1)*(Tabela3[[#This Row],[Qtde Cx Produzida]]*Tabela3[[#This Row],[Qde macho / CX]]*Tabela3[[#This Row],[Peso Macho]]),)</f>
        <v>0</v>
      </c>
      <c r="Z87" s="35">
        <f>IFERROR(Tabela3[[#This Row],[Qtde Oleo]]*(VLOOKUP(Tabela3[[#This Row],[Data]],CompraOleo[],3,TRUE))*1.05,0)</f>
        <v>200.9750030988609</v>
      </c>
      <c r="AA87" s="47">
        <f ca="1">(Tabela3[[#This Row],[Custo Oleo]]+Tabela3[[#This Row],[Custo Aluminio]]+Tabela3[[#This Row],[Custo M.O. Total]]+Tabela3[[#This Row],[Custo Machos]])</f>
        <v>2406.8196292808939</v>
      </c>
      <c r="AB87" s="47">
        <f ca="1">Tabela3[[#This Row],[Custo Total]]*Tabela3[[#This Row],[% Perda]]</f>
        <v>144.40917775685364</v>
      </c>
      <c r="AC87" s="48">
        <f>IFERROR(VLOOKUP(Tabela3[[#This Row],[Produto]],Tabela2[],2,0),0)</f>
        <v>4</v>
      </c>
      <c r="AD87" s="48">
        <f>IFERROR(VLOOKUP(Tabela3[[#This Row],[Produto]],Tabela2[],3,0),0)</f>
        <v>0.3</v>
      </c>
      <c r="AE87" s="48">
        <f>IFERROR(VLOOKUP(Tabela3[[#This Row],[Produto]],Tabela2[],4,0),0)</f>
        <v>2.2999999999999998</v>
      </c>
      <c r="AF87" s="48">
        <f>IFERROR(VLOOKUP(Tabela3[[#This Row],[Produto]],Tabela2[],5,0),0)</f>
        <v>0.98999999999999988</v>
      </c>
      <c r="AG87" s="40">
        <f>IFERROR(VLOOKUP(Tabela3[[#This Row],[Produto]],Tabela2[],6,0),0)</f>
        <v>0</v>
      </c>
      <c r="AH87" s="40">
        <f>IFERROR(VLOOKUP(Tabela3[[#This Row],[Produto]],Tabela2[],7,0),0)</f>
        <v>0</v>
      </c>
      <c r="AI87" s="40">
        <f>IFERROR(VLOOKUP(Tabela3[[#This Row],[Produto]],Tabela2[],8,0),0)</f>
        <v>0</v>
      </c>
      <c r="AJ87" s="35">
        <f ca="1">IFERROR(VLOOKUP(Tabela3[[#This Row],[Produto]],Tabela2[],13,0),0)</f>
        <v>15.600000000000001</v>
      </c>
      <c r="AK87" s="40" t="str">
        <f>IFERROR(VLOOKUP(Tabela3[[#This Row],[Produto]],Tabela2[],14,0),0)</f>
        <v>Senun</v>
      </c>
      <c r="AL87" s="40">
        <f>IFERROR(VLOOKUP(Tabela3[[#This Row],[Produto]],Tabela2[],15,0),0)</f>
        <v>3.5</v>
      </c>
      <c r="AM87" s="36">
        <f ca="1">(Tabela3[[#This Row],[Custo Usinagem]]+Tabela3[[#This Row],[Custo / Pç]])*1.2</f>
        <v>14.44178565651444</v>
      </c>
      <c r="AN87" s="36">
        <f ca="1">Tabela3[[#This Row],[Valor Mínimo Venda]]*1.15</f>
        <v>16.608053504991606</v>
      </c>
      <c r="AO87" s="36">
        <f ca="1">Tabela3[[#This Row],[Tabela 1]]*1.08</f>
        <v>17.936697785390937</v>
      </c>
      <c r="AP87" s="36">
        <f ca="1">Tabela3[[#This Row],[Tabela 2]]*1.15</f>
        <v>20.627202453199576</v>
      </c>
    </row>
    <row r="88" spans="1:42">
      <c r="A88" s="9">
        <v>45726</v>
      </c>
      <c r="B88" s="6" t="s">
        <v>255</v>
      </c>
      <c r="C88" s="14">
        <v>5172</v>
      </c>
      <c r="D88" s="6" t="s">
        <v>44</v>
      </c>
      <c r="E88" s="6" t="s">
        <v>47</v>
      </c>
      <c r="F88" s="6">
        <v>34</v>
      </c>
      <c r="G88" s="15">
        <v>0.1451388888888889</v>
      </c>
      <c r="H88" s="16">
        <v>0</v>
      </c>
      <c r="I88" s="35">
        <f ca="1">IFERROR(Tabela3[[#This Row],[Custo Total]]/Tabela3[[#This Row],[Aluminio Util]],0)</f>
        <v>27.516316009892247</v>
      </c>
      <c r="J88" s="35">
        <f ca="1">Tabela3[[#This Row],[Custo Total]]/Tabela3[[#This Row],[Realizado]]</f>
        <v>34.395395012365313</v>
      </c>
      <c r="K88" s="37">
        <f>IFERROR(Tabela3[[#This Row],[Qtde Cx Produzida]]/Tabela3[[#This Row],[Tempo]]/24,0)</f>
        <v>9.760765550239233</v>
      </c>
      <c r="L88" s="37">
        <f>Tabela3[[#This Row],[Qtde Cx Produzida]]*Tabela3[[#This Row],[Qdt Peça Placa]]</f>
        <v>34</v>
      </c>
      <c r="M88" s="37">
        <f>Tabela3[[#This Row],[Previsto]]-Tabela3[[#This Row],[Perda Pçs]]</f>
        <v>34</v>
      </c>
      <c r="N88" s="38">
        <f>IFERROR(Tabela3[[#This Row],[Perda Pçs]]/Tabela3[[#This Row],[Previsto]],0)</f>
        <v>0</v>
      </c>
      <c r="O88" s="39">
        <f>IFERROR(IF(Tabela3[[#This Row],[Qtde Cx Produzida]] &lt;&gt; 0, Tabela3[[#This Row],[Tempo]] / Tabela3[[#This Row],[Qtde Cx Produzida]], 0),0)</f>
        <v>4.2687908496732031E-3</v>
      </c>
      <c r="P88" s="57">
        <f>IFERROR(Tabela3[[#This Row],[Perda Pçs]]/Tabela3[[#This Row],[Qdt Peça Placa]],0)</f>
        <v>0</v>
      </c>
      <c r="Q88" s="37">
        <f>IFERROR(Tabela3[[#This Row],[Realizado]]*Tabela3[[#This Row],[Peso Util/Pç]],0)</f>
        <v>42.5</v>
      </c>
      <c r="R88" s="37">
        <f>IFERROR(Tabela3[[#This Row],[Peso Total Galho]]*Tabela3[[#This Row],[Qtde Cx Produzida]]*1.055,0)</f>
        <v>66.359499999999997</v>
      </c>
      <c r="S88" s="37">
        <f>(Tabela3[[#This Row],[Aluminio Bruto]]-Tabela3[[#This Row],[Aluminio Util]])*0.9</f>
        <v>21.473549999999999</v>
      </c>
      <c r="T88" s="37">
        <f>Tabela3[[#This Row],[Aluminio Bruto]]/OleoKGAluminio</f>
        <v>27.917355847990834</v>
      </c>
      <c r="U88" s="35">
        <f>IFERROR((VLOOKUP(Tabela3[[#This Row],[Moldador]],Tabela1[],5,)+(VLOOKUP(Tabela3[[#This Row],[Ajudante]],Tabela1[],5,))*3.5),0)</f>
        <v>99.95034583333333</v>
      </c>
      <c r="V88" s="35">
        <f>IFERROR(Tabela3[[#This Row],[Custo M.O. / H]]/((Tabela3[[#This Row],[Realizado]]/Tabela3[[#This Row],[Qdt Peça Placa]])/Tabela3[[#This Row],[Tempo]]/24),)</f>
        <v>10.240010921160131</v>
      </c>
      <c r="W88" s="35">
        <f>Tabela3[[#This Row],[Custo / Cx Moldada]]*Tabela3[[#This Row],[Qtde Cx Produzida]]</f>
        <v>348.16037131944444</v>
      </c>
      <c r="X88" s="35">
        <f ca="1">Tabela3[[#This Row],[Aluminio Util]]*Tabela3[[#This Row],[Custo/Kg]]</f>
        <v>748.00000000000011</v>
      </c>
      <c r="Y88" s="35">
        <f>IFERROR(VLOOKUP(Tabela3[[#This Row],[Data]],Tabela461213[],2,1)*(Tabela3[[#This Row],[Qtde Cx Produzida]]*Tabela3[[#This Row],[Qde macho / CX]]*Tabela3[[#This Row],[Peso Macho]]),)</f>
        <v>0</v>
      </c>
      <c r="Z88" s="35">
        <f>IFERROR(Tabela3[[#This Row],[Qtde Oleo]]*(VLOOKUP(Tabela3[[#This Row],[Data]],CompraOleo[],3,TRUE))*1.05,0)</f>
        <v>73.283059100975947</v>
      </c>
      <c r="AA88" s="47">
        <f ca="1">(Tabela3[[#This Row],[Custo Oleo]]+Tabela3[[#This Row],[Custo Aluminio]]+Tabela3[[#This Row],[Custo M.O. Total]]+Tabela3[[#This Row],[Custo Machos]])</f>
        <v>1169.4434304204206</v>
      </c>
      <c r="AB88" s="47">
        <f ca="1">Tabela3[[#This Row],[Custo Total]]*Tabela3[[#This Row],[% Perda]]</f>
        <v>0</v>
      </c>
      <c r="AC88" s="48">
        <f>IFERROR(VLOOKUP(Tabela3[[#This Row],[Produto]],Tabela2[],2,0),0)</f>
        <v>1</v>
      </c>
      <c r="AD88" s="48">
        <f>IFERROR(VLOOKUP(Tabela3[[#This Row],[Produto]],Tabela2[],3,0),0)</f>
        <v>1.25</v>
      </c>
      <c r="AE88" s="48">
        <f>IFERROR(VLOOKUP(Tabela3[[#This Row],[Produto]],Tabela2[],4,0),0)</f>
        <v>1.85</v>
      </c>
      <c r="AF88" s="48">
        <f>IFERROR(VLOOKUP(Tabela3[[#This Row],[Produto]],Tabela2[],5,0),0)</f>
        <v>0.54000000000000015</v>
      </c>
      <c r="AG88" s="40">
        <f>IFERROR(VLOOKUP(Tabela3[[#This Row],[Produto]],Tabela2[],6,0),0)</f>
        <v>0</v>
      </c>
      <c r="AH88" s="40">
        <f>IFERROR(VLOOKUP(Tabela3[[#This Row],[Produto]],Tabela2[],7,0),0)</f>
        <v>0</v>
      </c>
      <c r="AI88" s="40">
        <f>IFERROR(VLOOKUP(Tabela3[[#This Row],[Produto]],Tabela2[],8,0),0)</f>
        <v>0</v>
      </c>
      <c r="AJ88" s="35">
        <f ca="1">IFERROR(VLOOKUP(Tabela3[[#This Row],[Produto]],Tabela2[],13,0),0)</f>
        <v>17.600000000000001</v>
      </c>
      <c r="AK88" s="40" t="str">
        <f>IFERROR(VLOOKUP(Tabela3[[#This Row],[Produto]],Tabela2[],14,0),0)</f>
        <v>Protec</v>
      </c>
      <c r="AL88" s="40">
        <f>IFERROR(VLOOKUP(Tabela3[[#This Row],[Produto]],Tabela2[],15,0),0)</f>
        <v>0</v>
      </c>
      <c r="AM88" s="36">
        <f ca="1">(Tabela3[[#This Row],[Custo Usinagem]]+Tabela3[[#This Row],[Custo / Pç]])*1.2</f>
        <v>41.274474014838376</v>
      </c>
      <c r="AN88" s="36">
        <f ca="1">Tabela3[[#This Row],[Valor Mínimo Venda]]*1.15</f>
        <v>47.465645117064128</v>
      </c>
      <c r="AO88" s="36">
        <f ca="1">Tabela3[[#This Row],[Tabela 1]]*1.08</f>
        <v>51.262896726429261</v>
      </c>
      <c r="AP88" s="36">
        <f ca="1">Tabela3[[#This Row],[Tabela 2]]*1.15</f>
        <v>58.952331235393643</v>
      </c>
    </row>
    <row r="89" spans="1:42">
      <c r="A89" s="9">
        <v>45726</v>
      </c>
      <c r="B89" s="6" t="s">
        <v>99</v>
      </c>
      <c r="C89" s="14">
        <v>5634</v>
      </c>
      <c r="D89" s="6" t="s">
        <v>44</v>
      </c>
      <c r="E89" s="6" t="s">
        <v>47</v>
      </c>
      <c r="F89" s="6">
        <v>10</v>
      </c>
      <c r="G89" s="15">
        <v>4.7222222222222221E-2</v>
      </c>
      <c r="H89" s="16">
        <v>0</v>
      </c>
      <c r="I89" s="35">
        <f ca="1">IFERROR(Tabela3[[#This Row],[Custo Total]]/Tabela3[[#This Row],[Aluminio Util]],0)</f>
        <v>40.69483987873064</v>
      </c>
      <c r="J89" s="35">
        <f ca="1">Tabela3[[#This Row],[Custo Total]]/Tabela3[[#This Row],[Realizado]]</f>
        <v>0.97667615708953548</v>
      </c>
      <c r="K89" s="37">
        <f>IFERROR(Tabela3[[#This Row],[Qtde Cx Produzida]]/Tabela3[[#This Row],[Tempo]]/24,0)</f>
        <v>8.8235294117647065</v>
      </c>
      <c r="L89" s="37">
        <f>Tabela3[[#This Row],[Qtde Cx Produzida]]*Tabela3[[#This Row],[Qdt Peça Placa]]</f>
        <v>220</v>
      </c>
      <c r="M89" s="37">
        <f>Tabela3[[#This Row],[Previsto]]-Tabela3[[#This Row],[Perda Pçs]]</f>
        <v>220</v>
      </c>
      <c r="N89" s="38">
        <f>IFERROR(Tabela3[[#This Row],[Perda Pçs]]/Tabela3[[#This Row],[Previsto]],0)</f>
        <v>0</v>
      </c>
      <c r="O89" s="39">
        <f>IFERROR(IF(Tabela3[[#This Row],[Qtde Cx Produzida]] &lt;&gt; 0, Tabela3[[#This Row],[Tempo]] / Tabela3[[#This Row],[Qtde Cx Produzida]], 0),0)</f>
        <v>4.7222222222222223E-3</v>
      </c>
      <c r="P89" s="57">
        <f>IFERROR(Tabela3[[#This Row],[Perda Pçs]]/Tabela3[[#This Row],[Qdt Peça Placa]],0)</f>
        <v>0</v>
      </c>
      <c r="Q89" s="37">
        <f>IFERROR(Tabela3[[#This Row],[Realizado]]*Tabela3[[#This Row],[Peso Util/Pç]],0)</f>
        <v>5.28</v>
      </c>
      <c r="R89" s="37">
        <f>IFERROR(Tabela3[[#This Row],[Peso Total Galho]]*Tabela3[[#This Row],[Qtde Cx Produzida]]*1.055,0)</f>
        <v>17.407499999999999</v>
      </c>
      <c r="S89" s="37">
        <f>(Tabela3[[#This Row],[Aluminio Bruto]]-Tabela3[[#This Row],[Aluminio Util]])*0.9</f>
        <v>10.914749999999998</v>
      </c>
      <c r="T89" s="37">
        <f>Tabela3[[#This Row],[Aluminio Bruto]]/OleoKGAluminio</f>
        <v>7.3233127423187403</v>
      </c>
      <c r="U89" s="35">
        <f>IFERROR((VLOOKUP(Tabela3[[#This Row],[Moldador]],Tabela1[],5,)+(VLOOKUP(Tabela3[[#This Row],[Ajudante]],Tabela1[],5,))*3.5),0)</f>
        <v>99.95034583333333</v>
      </c>
      <c r="V89" s="35">
        <f>IFERROR(Tabela3[[#This Row],[Custo M.O. / H]]/((Tabela3[[#This Row],[Realizado]]/Tabela3[[#This Row],[Qdt Peça Placa]])/Tabela3[[#This Row],[Tempo]]/24),)</f>
        <v>11.327705861111109</v>
      </c>
      <c r="W89" s="35">
        <f>Tabela3[[#This Row],[Custo / Cx Moldada]]*Tabela3[[#This Row],[Qtde Cx Produzida]]</f>
        <v>113.2770586111111</v>
      </c>
      <c r="X89" s="35">
        <f ca="1">Tabela3[[#This Row],[Aluminio Util]]*Tabela3[[#This Row],[Custo/Kg]]</f>
        <v>82.368000000000009</v>
      </c>
      <c r="Y89" s="35">
        <f>IFERROR(VLOOKUP(Tabela3[[#This Row],[Data]],Tabela461213[],2,1)*(Tabela3[[#This Row],[Qtde Cx Produzida]]*Tabela3[[#This Row],[Qde macho / CX]]*Tabela3[[#This Row],[Peso Macho]]),)</f>
        <v>0</v>
      </c>
      <c r="Z89" s="35">
        <f>IFERROR(Tabela3[[#This Row],[Qtde Oleo]]*(VLOOKUP(Tabela3[[#This Row],[Data]],CompraOleo[],3,TRUE))*1.05,0)</f>
        <v>19.223695948586691</v>
      </c>
      <c r="AA89" s="47">
        <f ca="1">(Tabela3[[#This Row],[Custo Oleo]]+Tabela3[[#This Row],[Custo Aluminio]]+Tabela3[[#This Row],[Custo M.O. Total]]+Tabela3[[#This Row],[Custo Machos]])</f>
        <v>214.86875455969781</v>
      </c>
      <c r="AB89" s="47">
        <f ca="1">Tabela3[[#This Row],[Custo Total]]*Tabela3[[#This Row],[% Perda]]</f>
        <v>0</v>
      </c>
      <c r="AC89" s="48">
        <f>IFERROR(VLOOKUP(Tabela3[[#This Row],[Produto]],Tabela2[],2,0),0)</f>
        <v>22</v>
      </c>
      <c r="AD89" s="48">
        <f>IFERROR(VLOOKUP(Tabela3[[#This Row],[Produto]],Tabela2[],3,0),0)</f>
        <v>2.4E-2</v>
      </c>
      <c r="AE89" s="48">
        <f>IFERROR(VLOOKUP(Tabela3[[#This Row],[Produto]],Tabela2[],4,0),0)</f>
        <v>1.65</v>
      </c>
      <c r="AF89" s="48">
        <f>IFERROR(VLOOKUP(Tabela3[[#This Row],[Produto]],Tabela2[],5,0),0)</f>
        <v>1.0098</v>
      </c>
      <c r="AG89" s="40">
        <f>IFERROR(VLOOKUP(Tabela3[[#This Row],[Produto]],Tabela2[],6,0),0)</f>
        <v>0</v>
      </c>
      <c r="AH89" s="40">
        <f>IFERROR(VLOOKUP(Tabela3[[#This Row],[Produto]],Tabela2[],7,0),0)</f>
        <v>0</v>
      </c>
      <c r="AI89" s="40">
        <f>IFERROR(VLOOKUP(Tabela3[[#This Row],[Produto]],Tabela2[],8,0),0)</f>
        <v>0</v>
      </c>
      <c r="AJ89" s="35">
        <f ca="1">IFERROR(VLOOKUP(Tabela3[[#This Row],[Produto]],Tabela2[],13,0),0)</f>
        <v>15.600000000000001</v>
      </c>
      <c r="AK89" s="40" t="str">
        <f>IFERROR(VLOOKUP(Tabela3[[#This Row],[Produto]],Tabela2[],14,0),0)</f>
        <v>Jumil</v>
      </c>
      <c r="AL89" s="40">
        <f>IFERROR(VLOOKUP(Tabela3[[#This Row],[Produto]],Tabela2[],15,0),0)</f>
        <v>1</v>
      </c>
      <c r="AM89" s="36">
        <f ca="1">(Tabela3[[#This Row],[Custo Usinagem]]+Tabela3[[#This Row],[Custo / Pç]])*1.2</f>
        <v>2.3720113885074423</v>
      </c>
      <c r="AN89" s="36">
        <f ca="1">Tabela3[[#This Row],[Valor Mínimo Venda]]*1.15</f>
        <v>2.7278130967835583</v>
      </c>
      <c r="AO89" s="36">
        <f ca="1">Tabela3[[#This Row],[Tabela 1]]*1.08</f>
        <v>2.9460381445262431</v>
      </c>
      <c r="AP89" s="36">
        <f ca="1">Tabela3[[#This Row],[Tabela 2]]*1.15</f>
        <v>3.3879438662051795</v>
      </c>
    </row>
    <row r="90" spans="1:42">
      <c r="A90" s="9">
        <v>45726</v>
      </c>
      <c r="B90" s="6" t="s">
        <v>236</v>
      </c>
      <c r="C90" s="14">
        <v>5822</v>
      </c>
      <c r="D90" s="6" t="s">
        <v>44</v>
      </c>
      <c r="E90" s="6" t="s">
        <v>47</v>
      </c>
      <c r="F90" s="6">
        <v>4</v>
      </c>
      <c r="G90" s="15">
        <v>2.6388888888888889E-2</v>
      </c>
      <c r="H90" s="16">
        <v>0</v>
      </c>
      <c r="I90" s="35">
        <f ca="1">IFERROR(Tabela3[[#This Row],[Custo Total]]/Tabela3[[#This Row],[Aluminio Util]],0)</f>
        <v>25.717388192218277</v>
      </c>
      <c r="J90" s="35">
        <f ca="1">Tabela3[[#This Row],[Custo Total]]/Tabela3[[#This Row],[Realizado]]</f>
        <v>7.7666512340499194</v>
      </c>
      <c r="K90" s="37">
        <f>IFERROR(Tabela3[[#This Row],[Qtde Cx Produzida]]/Tabela3[[#This Row],[Tempo]]/24,0)</f>
        <v>6.3157894736842097</v>
      </c>
      <c r="L90" s="37">
        <f>Tabela3[[#This Row],[Qtde Cx Produzida]]*Tabela3[[#This Row],[Qdt Peça Placa]]</f>
        <v>24</v>
      </c>
      <c r="M90" s="37">
        <f>Tabela3[[#This Row],[Previsto]]-Tabela3[[#This Row],[Perda Pçs]]</f>
        <v>24</v>
      </c>
      <c r="N90" s="38">
        <f>IFERROR(Tabela3[[#This Row],[Perda Pçs]]/Tabela3[[#This Row],[Previsto]],0)</f>
        <v>0</v>
      </c>
      <c r="O90" s="39">
        <f>IFERROR(IF(Tabela3[[#This Row],[Qtde Cx Produzida]] &lt;&gt; 0, Tabela3[[#This Row],[Tempo]] / Tabela3[[#This Row],[Qtde Cx Produzida]], 0),0)</f>
        <v>6.5972222222222222E-3</v>
      </c>
      <c r="P90" s="57">
        <f>IFERROR(Tabela3[[#This Row],[Perda Pçs]]/Tabela3[[#This Row],[Qdt Peça Placa]],0)</f>
        <v>0</v>
      </c>
      <c r="Q90" s="37">
        <f>IFERROR(Tabela3[[#This Row],[Realizado]]*Tabela3[[#This Row],[Peso Util/Pç]],0)</f>
        <v>7.2479999999999993</v>
      </c>
      <c r="R90" s="37">
        <f>IFERROR(Tabela3[[#This Row],[Peso Total Galho]]*Tabela3[[#This Row],[Qtde Cx Produzida]]*1.055,0)</f>
        <v>9.0814400000000006</v>
      </c>
      <c r="S90" s="37">
        <f>(Tabela3[[#This Row],[Aluminio Bruto]]-Tabela3[[#This Row],[Aluminio Util]])*0.9</f>
        <v>1.6500960000000011</v>
      </c>
      <c r="T90" s="37">
        <f>Tabela3[[#This Row],[Aluminio Bruto]]/OleoKGAluminio</f>
        <v>3.8205500658108922</v>
      </c>
      <c r="U90" s="35">
        <f>IFERROR((VLOOKUP(Tabela3[[#This Row],[Moldador]],Tabela1[],5,)+(VLOOKUP(Tabela3[[#This Row],[Ajudante]],Tabela1[],5,))*3.5),0)</f>
        <v>99.95034583333333</v>
      </c>
      <c r="V90" s="35">
        <f>IFERROR(Tabela3[[#This Row],[Custo M.O. / H]]/((Tabela3[[#This Row],[Realizado]]/Tabela3[[#This Row],[Qdt Peça Placa]])/Tabela3[[#This Row],[Tempo]]/24),)</f>
        <v>15.825471423611113</v>
      </c>
      <c r="W90" s="35">
        <f>Tabela3[[#This Row],[Custo / Cx Moldada]]*Tabela3[[#This Row],[Qtde Cx Produzida]]</f>
        <v>63.301885694444451</v>
      </c>
      <c r="X90" s="35">
        <f ca="1">Tabela3[[#This Row],[Aluminio Util]]*Tabela3[[#This Row],[Custo/Kg]]</f>
        <v>113.0688</v>
      </c>
      <c r="Y90" s="35">
        <f>IFERROR(VLOOKUP(Tabela3[[#This Row],[Data]],Tabela461213[],2,1)*(Tabela3[[#This Row],[Qtde Cx Produzida]]*Tabela3[[#This Row],[Qde macho / CX]]*Tabela3[[#This Row],[Peso Macho]]),)</f>
        <v>0</v>
      </c>
      <c r="Z90" s="35">
        <f>IFERROR(Tabela3[[#This Row],[Qtde Oleo]]*(VLOOKUP(Tabela3[[#This Row],[Data]],CompraOleo[],3,TRUE))*1.05,0)</f>
        <v>10.028943922753593</v>
      </c>
      <c r="AA90" s="47">
        <f ca="1">(Tabela3[[#This Row],[Custo Oleo]]+Tabela3[[#This Row],[Custo Aluminio]]+Tabela3[[#This Row],[Custo M.O. Total]]+Tabela3[[#This Row],[Custo Machos]])</f>
        <v>186.39962961719806</v>
      </c>
      <c r="AB90" s="47">
        <f ca="1">Tabela3[[#This Row],[Custo Total]]*Tabela3[[#This Row],[% Perda]]</f>
        <v>0</v>
      </c>
      <c r="AC90" s="48">
        <f>IFERROR(VLOOKUP(Tabela3[[#This Row],[Produto]],Tabela2[],2,0),0)</f>
        <v>6</v>
      </c>
      <c r="AD90" s="48">
        <f>IFERROR(VLOOKUP(Tabela3[[#This Row],[Produto]],Tabela2[],3,0),0)</f>
        <v>0.30199999999999999</v>
      </c>
      <c r="AE90" s="48">
        <f>IFERROR(VLOOKUP(Tabela3[[#This Row],[Produto]],Tabela2[],4,0),0)</f>
        <v>2.1520000000000001</v>
      </c>
      <c r="AF90" s="48">
        <f>IFERROR(VLOOKUP(Tabela3[[#This Row],[Produto]],Tabela2[],5,0),0)</f>
        <v>0.30600000000000027</v>
      </c>
      <c r="AG90" s="40">
        <f>IFERROR(VLOOKUP(Tabela3[[#This Row],[Produto]],Tabela2[],6,0),0)</f>
        <v>0</v>
      </c>
      <c r="AH90" s="40">
        <f>IFERROR(VLOOKUP(Tabela3[[#This Row],[Produto]],Tabela2[],7,0),0)</f>
        <v>0</v>
      </c>
      <c r="AI90" s="40">
        <f>IFERROR(VLOOKUP(Tabela3[[#This Row],[Produto]],Tabela2[],8,0),0)</f>
        <v>0</v>
      </c>
      <c r="AJ90" s="35">
        <f ca="1">IFERROR(VLOOKUP(Tabela3[[#This Row],[Produto]],Tabela2[],13,0),0)</f>
        <v>15.600000000000001</v>
      </c>
      <c r="AK90" s="40" t="str">
        <f>IFERROR(VLOOKUP(Tabela3[[#This Row],[Produto]],Tabela2[],14,0),0)</f>
        <v>Senun</v>
      </c>
      <c r="AL90" s="40">
        <f>IFERROR(VLOOKUP(Tabela3[[#This Row],[Produto]],Tabela2[],15,0),0)</f>
        <v>4</v>
      </c>
      <c r="AM90" s="36">
        <f ca="1">(Tabela3[[#This Row],[Custo Usinagem]]+Tabela3[[#This Row],[Custo / Pç]])*1.2</f>
        <v>14.119981480859904</v>
      </c>
      <c r="AN90" s="36">
        <f ca="1">Tabela3[[#This Row],[Valor Mínimo Venda]]*1.15</f>
        <v>16.237978702988887</v>
      </c>
      <c r="AO90" s="36">
        <f ca="1">Tabela3[[#This Row],[Tabela 1]]*1.08</f>
        <v>17.537016999227998</v>
      </c>
      <c r="AP90" s="36">
        <f ca="1">Tabela3[[#This Row],[Tabela 2]]*1.15</f>
        <v>20.167569549112194</v>
      </c>
    </row>
    <row r="91" spans="1:42">
      <c r="A91" s="9">
        <v>45726</v>
      </c>
      <c r="B91" s="6" t="s">
        <v>188</v>
      </c>
      <c r="C91" s="14">
        <v>5893</v>
      </c>
      <c r="D91" s="6" t="s">
        <v>44</v>
      </c>
      <c r="E91" s="6" t="s">
        <v>47</v>
      </c>
      <c r="F91" s="6">
        <v>4</v>
      </c>
      <c r="G91" s="15">
        <v>9.375E-2</v>
      </c>
      <c r="H91" s="16">
        <v>0</v>
      </c>
      <c r="I91" s="35">
        <f ca="1">IFERROR(Tabela3[[#This Row],[Custo Total]]/Tabela3[[#This Row],[Aluminio Util]],0)</f>
        <v>20.744755908609921</v>
      </c>
      <c r="J91" s="35">
        <f ca="1">Tabela3[[#This Row],[Custo Total]]/Tabela3[[#This Row],[Realizado]]</f>
        <v>609.89582371313168</v>
      </c>
      <c r="K91" s="37">
        <f>IFERROR(Tabela3[[#This Row],[Qtde Cx Produzida]]/Tabela3[[#This Row],[Tempo]]/24,0)</f>
        <v>1.7777777777777777</v>
      </c>
      <c r="L91" s="37">
        <f>Tabela3[[#This Row],[Qtde Cx Produzida]]*Tabela3[[#This Row],[Qdt Peça Placa]]</f>
        <v>4</v>
      </c>
      <c r="M91" s="37">
        <f>Tabela3[[#This Row],[Previsto]]-Tabela3[[#This Row],[Perda Pçs]]</f>
        <v>4</v>
      </c>
      <c r="N91" s="38">
        <f>IFERROR(Tabela3[[#This Row],[Perda Pçs]]/Tabela3[[#This Row],[Previsto]],0)</f>
        <v>0</v>
      </c>
      <c r="O91" s="39">
        <f>IFERROR(IF(Tabela3[[#This Row],[Qtde Cx Produzida]] &lt;&gt; 0, Tabela3[[#This Row],[Tempo]] / Tabela3[[#This Row],[Qtde Cx Produzida]], 0),0)</f>
        <v>2.34375E-2</v>
      </c>
      <c r="P91" s="57">
        <f>IFERROR(Tabela3[[#This Row],[Perda Pçs]]/Tabela3[[#This Row],[Qdt Peça Placa]],0)</f>
        <v>0</v>
      </c>
      <c r="Q91" s="37">
        <f>IFERROR(Tabela3[[#This Row],[Realizado]]*Tabela3[[#This Row],[Peso Util/Pç]],0)</f>
        <v>117.6</v>
      </c>
      <c r="R91" s="37">
        <f>IFERROR(Tabela3[[#This Row],[Peso Total Galho]]*Tabela3[[#This Row],[Qtde Cx Produzida]]*1.055,0)</f>
        <v>131.24199999999999</v>
      </c>
      <c r="S91" s="37">
        <f>(Tabela3[[#This Row],[Aluminio Bruto]]-Tabela3[[#This Row],[Aluminio Util]])*0.9</f>
        <v>12.277799999999997</v>
      </c>
      <c r="T91" s="37">
        <f>Tabela3[[#This Row],[Aluminio Bruto]]/OleoKGAluminio</f>
        <v>55.213339705724316</v>
      </c>
      <c r="U91" s="35">
        <f>IFERROR((VLOOKUP(Tabela3[[#This Row],[Moldador]],Tabela1[],5,)+(VLOOKUP(Tabela3[[#This Row],[Ajudante]],Tabela1[],5,))*3.5),0)</f>
        <v>99.95034583333333</v>
      </c>
      <c r="V91" s="35">
        <f>IFERROR(Tabela3[[#This Row],[Custo M.O. / H]]/((Tabela3[[#This Row],[Realizado]]/Tabela3[[#This Row],[Qdt Peça Placa]])/Tabela3[[#This Row],[Tempo]]/24),)</f>
        <v>56.22206953125</v>
      </c>
      <c r="W91" s="35">
        <f>Tabela3[[#This Row],[Custo / Cx Moldada]]*Tabela3[[#This Row],[Qtde Cx Produzida]]</f>
        <v>224.888278125</v>
      </c>
      <c r="X91" s="35">
        <f ca="1">Tabela3[[#This Row],[Aluminio Util]]*Tabela3[[#This Row],[Custo/Kg]]</f>
        <v>2069.7600000000002</v>
      </c>
      <c r="Y91" s="35">
        <f>IFERROR(VLOOKUP(Tabela3[[#This Row],[Data]],Tabela461213[],2,1)*(Tabela3[[#This Row],[Qtde Cx Produzida]]*Tabela3[[#This Row],[Qde macho / CX]]*Tabela3[[#This Row],[Peso Macho]]),)</f>
        <v>0</v>
      </c>
      <c r="Z91" s="35">
        <f>IFERROR(Tabela3[[#This Row],[Qtde Oleo]]*(VLOOKUP(Tabela3[[#This Row],[Data]],CompraOleo[],3,TRUE))*1.05,0)</f>
        <v>144.93501672752635</v>
      </c>
      <c r="AA91" s="47">
        <f ca="1">(Tabela3[[#This Row],[Custo Oleo]]+Tabela3[[#This Row],[Custo Aluminio]]+Tabela3[[#This Row],[Custo M.O. Total]]+Tabela3[[#This Row],[Custo Machos]])</f>
        <v>2439.5832948525267</v>
      </c>
      <c r="AB91" s="47">
        <f ca="1">Tabela3[[#This Row],[Custo Total]]*Tabela3[[#This Row],[% Perda]]</f>
        <v>0</v>
      </c>
      <c r="AC91" s="48">
        <f>IFERROR(VLOOKUP(Tabela3[[#This Row],[Produto]],Tabela2[],2,0),0)</f>
        <v>1</v>
      </c>
      <c r="AD91" s="48">
        <f>IFERROR(VLOOKUP(Tabela3[[#This Row],[Produto]],Tabela2[],3,0),0)</f>
        <v>29.4</v>
      </c>
      <c r="AE91" s="48">
        <f>IFERROR(VLOOKUP(Tabela3[[#This Row],[Produto]],Tabela2[],4,0),0)</f>
        <v>31.1</v>
      </c>
      <c r="AF91" s="48">
        <f>IFERROR(VLOOKUP(Tabela3[[#This Row],[Produto]],Tabela2[],5,0),0)</f>
        <v>1.5300000000000027</v>
      </c>
      <c r="AG91" s="40">
        <f>IFERROR(VLOOKUP(Tabela3[[#This Row],[Produto]],Tabela2[],6,0),0)</f>
        <v>0</v>
      </c>
      <c r="AH91" s="40">
        <f>IFERROR(VLOOKUP(Tabela3[[#This Row],[Produto]],Tabela2[],7,0),0)</f>
        <v>0</v>
      </c>
      <c r="AI91" s="40">
        <f>IFERROR(VLOOKUP(Tabela3[[#This Row],[Produto]],Tabela2[],8,0),0)</f>
        <v>0</v>
      </c>
      <c r="AJ91" s="35">
        <f ca="1">IFERROR(VLOOKUP(Tabela3[[#This Row],[Produto]],Tabela2[],13,0),0)</f>
        <v>17.600000000000001</v>
      </c>
      <c r="AK91" s="40" t="str">
        <f>IFERROR(VLOOKUP(Tabela3[[#This Row],[Produto]],Tabela2[],14,0),0)</f>
        <v>Oscar</v>
      </c>
      <c r="AL91" s="40">
        <f>IFERROR(VLOOKUP(Tabela3[[#This Row],[Produto]],Tabela2[],15,0),0)</f>
        <v>4</v>
      </c>
      <c r="AM91" s="36">
        <f ca="1">(Tabela3[[#This Row],[Custo Usinagem]]+Tabela3[[#This Row],[Custo / Pç]])*1.2</f>
        <v>736.67498845575801</v>
      </c>
      <c r="AN91" s="36">
        <f ca="1">Tabela3[[#This Row],[Valor Mínimo Venda]]*1.15</f>
        <v>847.17623672412162</v>
      </c>
      <c r="AO91" s="36">
        <f ca="1">Tabela3[[#This Row],[Tabela 1]]*1.08</f>
        <v>914.95033566205143</v>
      </c>
      <c r="AP91" s="36">
        <f ca="1">Tabela3[[#This Row],[Tabela 2]]*1.15</f>
        <v>1052.192886011359</v>
      </c>
    </row>
    <row r="92" spans="1:42">
      <c r="A92" s="9">
        <v>45727</v>
      </c>
      <c r="B92" s="6" t="s">
        <v>246</v>
      </c>
      <c r="C92" s="14">
        <v>5755</v>
      </c>
      <c r="D92" s="6" t="s">
        <v>46</v>
      </c>
      <c r="E92" s="6" t="s">
        <v>53</v>
      </c>
      <c r="F92" s="6">
        <v>69</v>
      </c>
      <c r="G92" s="15">
        <v>0.36666666666666664</v>
      </c>
      <c r="H92" s="16">
        <v>10</v>
      </c>
      <c r="I92" s="35">
        <f ca="1">IFERROR(Tabela3[[#This Row],[Custo Total]]/Tabela3[[#This Row],[Aluminio Util]],0)</f>
        <v>23.90817423893969</v>
      </c>
      <c r="J92" s="35">
        <f ca="1">Tabela3[[#This Row],[Custo Total]]/Tabela3[[#This Row],[Realizado]]</f>
        <v>12.743056869354856</v>
      </c>
      <c r="K92" s="37">
        <f>IFERROR(Tabela3[[#This Row],[Qtde Cx Produzida]]/Tabela3[[#This Row],[Tempo]]/24,0)</f>
        <v>7.8409090909090908</v>
      </c>
      <c r="L92" s="37">
        <f>Tabela3[[#This Row],[Qtde Cx Produzida]]*Tabela3[[#This Row],[Qdt Peça Placa]]</f>
        <v>276</v>
      </c>
      <c r="M92" s="37">
        <f>Tabela3[[#This Row],[Previsto]]-Tabela3[[#This Row],[Perda Pçs]]</f>
        <v>266</v>
      </c>
      <c r="N92" s="38">
        <f>IFERROR(Tabela3[[#This Row],[Perda Pçs]]/Tabela3[[#This Row],[Previsto]],0)</f>
        <v>3.6231884057971016E-2</v>
      </c>
      <c r="O92" s="39">
        <f>IFERROR(IF(Tabela3[[#This Row],[Qtde Cx Produzida]] &lt;&gt; 0, Tabela3[[#This Row],[Tempo]] / Tabela3[[#This Row],[Qtde Cx Produzida]], 0),0)</f>
        <v>5.3140096618357483E-3</v>
      </c>
      <c r="P92" s="57">
        <f>IFERROR(Tabela3[[#This Row],[Perda Pçs]]/Tabela3[[#This Row],[Qdt Peça Placa]],0)</f>
        <v>2.5</v>
      </c>
      <c r="Q92" s="37">
        <f>IFERROR(Tabela3[[#This Row],[Realizado]]*Tabela3[[#This Row],[Peso Util/Pç]],0)</f>
        <v>141.77800000000002</v>
      </c>
      <c r="R92" s="37">
        <f>IFERROR(Tabela3[[#This Row],[Peso Total Galho]]*Tabela3[[#This Row],[Qtde Cx Produzida]]*1.055,0)</f>
        <v>240.22349999999997</v>
      </c>
      <c r="S92" s="37">
        <f>(Tabela3[[#This Row],[Aluminio Bruto]]-Tabela3[[#This Row],[Aluminio Util]])*0.9</f>
        <v>88.600949999999955</v>
      </c>
      <c r="T92" s="37">
        <f>Tabela3[[#This Row],[Aluminio Bruto]]/OleoKGAluminio</f>
        <v>101.06171584399861</v>
      </c>
      <c r="U92" s="35">
        <f>IFERROR((VLOOKUP(Tabela3[[#This Row],[Moldador]],Tabela1[],5,)+(VLOOKUP(Tabela3[[#This Row],[Ajudante]],Tabela1[],5,))*3.5),0)</f>
        <v>99.95034583333333</v>
      </c>
      <c r="V92" s="35">
        <f>IFERROR(Tabela3[[#This Row],[Custo M.O. / H]]/((Tabela3[[#This Row],[Realizado]]/Tabela3[[#This Row],[Qdt Peça Placa]])/Tabela3[[#This Row],[Tempo]]/24),)</f>
        <v>13.226511929824559</v>
      </c>
      <c r="W92" s="35">
        <f>Tabela3[[#This Row],[Custo / Cx Moldada]]*Tabela3[[#This Row],[Qtde Cx Produzida]]</f>
        <v>912.62932315789453</v>
      </c>
      <c r="X92" s="35">
        <f ca="1">Tabela3[[#This Row],[Aluminio Util]]*Tabela3[[#This Row],[Custo/Kg]]</f>
        <v>2211.7368000000006</v>
      </c>
      <c r="Y92" s="35">
        <f>IFERROR(VLOOKUP(Tabela3[[#This Row],[Data]],Tabela461213[],2,1)*(Tabela3[[#This Row],[Qtde Cx Produzida]]*Tabela3[[#This Row],[Qde macho / CX]]*Tabela3[[#This Row],[Peso Macho]]),)</f>
        <v>0</v>
      </c>
      <c r="Z92" s="35">
        <f>IFERROR(Tabela3[[#This Row],[Qtde Oleo]]*(VLOOKUP(Tabela3[[#This Row],[Data]],CompraOleo[],3,TRUE))*1.05,0)</f>
        <v>265.2870040904964</v>
      </c>
      <c r="AA92" s="47">
        <f ca="1">(Tabela3[[#This Row],[Custo Oleo]]+Tabela3[[#This Row],[Custo Aluminio]]+Tabela3[[#This Row],[Custo M.O. Total]]+Tabela3[[#This Row],[Custo Machos]])</f>
        <v>3389.6531272483917</v>
      </c>
      <c r="AB92" s="47">
        <f ca="1">Tabela3[[#This Row],[Custo Total]]*Tabela3[[#This Row],[% Perda]]</f>
        <v>122.81351910320261</v>
      </c>
      <c r="AC92" s="48">
        <f>IFERROR(VLOOKUP(Tabela3[[#This Row],[Produto]],Tabela2[],2,0),0)</f>
        <v>4</v>
      </c>
      <c r="AD92" s="48">
        <f>IFERROR(VLOOKUP(Tabela3[[#This Row],[Produto]],Tabela2[],3,0),0)</f>
        <v>0.53300000000000003</v>
      </c>
      <c r="AE92" s="48">
        <f>IFERROR(VLOOKUP(Tabela3[[#This Row],[Produto]],Tabela2[],4,0),0)</f>
        <v>3.3</v>
      </c>
      <c r="AF92" s="48">
        <f>IFERROR(VLOOKUP(Tabela3[[#This Row],[Produto]],Tabela2[],5,0),0)</f>
        <v>1.0511999999999997</v>
      </c>
      <c r="AG92" s="40">
        <f>IFERROR(VLOOKUP(Tabela3[[#This Row],[Produto]],Tabela2[],6,0),0)</f>
        <v>0</v>
      </c>
      <c r="AH92" s="40">
        <f>IFERROR(VLOOKUP(Tabela3[[#This Row],[Produto]],Tabela2[],7,0),0)</f>
        <v>0</v>
      </c>
      <c r="AI92" s="40">
        <f>IFERROR(VLOOKUP(Tabela3[[#This Row],[Produto]],Tabela2[],8,0),0)</f>
        <v>0</v>
      </c>
      <c r="AJ92" s="35">
        <f ca="1">IFERROR(VLOOKUP(Tabela3[[#This Row],[Produto]],Tabela2[],13,0),0)</f>
        <v>15.600000000000001</v>
      </c>
      <c r="AK92" s="40" t="str">
        <f>IFERROR(VLOOKUP(Tabela3[[#This Row],[Produto]],Tabela2[],14,0),0)</f>
        <v>Senun</v>
      </c>
      <c r="AL92" s="40">
        <f>IFERROR(VLOOKUP(Tabela3[[#This Row],[Produto]],Tabela2[],15,0),0)</f>
        <v>4</v>
      </c>
      <c r="AM92" s="36">
        <f ca="1">(Tabela3[[#This Row],[Custo Usinagem]]+Tabela3[[#This Row],[Custo / Pç]])*1.2</f>
        <v>20.091668243225826</v>
      </c>
      <c r="AN92" s="36">
        <f ca="1">Tabela3[[#This Row],[Valor Mínimo Venda]]*1.15</f>
        <v>23.105418479709698</v>
      </c>
      <c r="AO92" s="36">
        <f ca="1">Tabela3[[#This Row],[Tabela 1]]*1.08</f>
        <v>24.953851958086474</v>
      </c>
      <c r="AP92" s="36">
        <f ca="1">Tabela3[[#This Row],[Tabela 2]]*1.15</f>
        <v>28.696929751799445</v>
      </c>
    </row>
    <row r="93" spans="1:42">
      <c r="A93" s="9">
        <v>45727</v>
      </c>
      <c r="B93" s="6" t="s">
        <v>236</v>
      </c>
      <c r="C93" s="14">
        <v>5822</v>
      </c>
      <c r="D93" s="6" t="s">
        <v>44</v>
      </c>
      <c r="E93" s="6" t="s">
        <v>47</v>
      </c>
      <c r="F93" s="6">
        <v>66</v>
      </c>
      <c r="G93" s="15">
        <v>0.35486111111111113</v>
      </c>
      <c r="H93" s="16">
        <v>0</v>
      </c>
      <c r="I93" s="35">
        <f ca="1">IFERROR(Tabela3[[#This Row],[Custo Total]]/Tabela3[[#This Row],[Aluminio Util]],0)</f>
        <v>24.101583328366363</v>
      </c>
      <c r="J93" s="35">
        <f ca="1">Tabela3[[#This Row],[Custo Total]]/Tabela3[[#This Row],[Realizado]]</f>
        <v>7.2786781651666415</v>
      </c>
      <c r="K93" s="37">
        <f>IFERROR(Tabela3[[#This Row],[Qtde Cx Produzida]]/Tabela3[[#This Row],[Tempo]]/24,0)</f>
        <v>7.7495107632093934</v>
      </c>
      <c r="L93" s="37">
        <f>Tabela3[[#This Row],[Qtde Cx Produzida]]*Tabela3[[#This Row],[Qdt Peça Placa]]</f>
        <v>396</v>
      </c>
      <c r="M93" s="37">
        <f>Tabela3[[#This Row],[Previsto]]-Tabela3[[#This Row],[Perda Pçs]]</f>
        <v>396</v>
      </c>
      <c r="N93" s="38">
        <f>IFERROR(Tabela3[[#This Row],[Perda Pçs]]/Tabela3[[#This Row],[Previsto]],0)</f>
        <v>0</v>
      </c>
      <c r="O93" s="39">
        <f>IFERROR(IF(Tabela3[[#This Row],[Qtde Cx Produzida]] &lt;&gt; 0, Tabela3[[#This Row],[Tempo]] / Tabela3[[#This Row],[Qtde Cx Produzida]], 0),0)</f>
        <v>5.3766835016835022E-3</v>
      </c>
      <c r="P93" s="57">
        <f>IFERROR(Tabela3[[#This Row],[Perda Pçs]]/Tabela3[[#This Row],[Qdt Peça Placa]],0)</f>
        <v>0</v>
      </c>
      <c r="Q93" s="37">
        <f>IFERROR(Tabela3[[#This Row],[Realizado]]*Tabela3[[#This Row],[Peso Util/Pç]],0)</f>
        <v>119.592</v>
      </c>
      <c r="R93" s="37">
        <f>IFERROR(Tabela3[[#This Row],[Peso Total Galho]]*Tabela3[[#This Row],[Qtde Cx Produzida]]*1.055,0)</f>
        <v>149.84376</v>
      </c>
      <c r="S93" s="37">
        <f>(Tabela3[[#This Row],[Aluminio Bruto]]-Tabela3[[#This Row],[Aluminio Util]])*0.9</f>
        <v>27.226584000000006</v>
      </c>
      <c r="T93" s="37">
        <f>Tabela3[[#This Row],[Aluminio Bruto]]/OleoKGAluminio</f>
        <v>63.039076085879721</v>
      </c>
      <c r="U93" s="35">
        <f>IFERROR((VLOOKUP(Tabela3[[#This Row],[Moldador]],Tabela1[],5,)+(VLOOKUP(Tabela3[[#This Row],[Ajudante]],Tabela1[],5,))*3.5),0)</f>
        <v>99.95034583333333</v>
      </c>
      <c r="V93" s="35">
        <f>IFERROR(Tabela3[[#This Row],[Custo M.O. / H]]/((Tabela3[[#This Row],[Realizado]]/Tabela3[[#This Row],[Qdt Peça Placa]])/Tabela3[[#This Row],[Tempo]]/24),)</f>
        <v>12.897633010311447</v>
      </c>
      <c r="W93" s="35">
        <f>Tabela3[[#This Row],[Custo / Cx Moldada]]*Tabela3[[#This Row],[Qtde Cx Produzida]]</f>
        <v>851.24377868055547</v>
      </c>
      <c r="X93" s="35">
        <f ca="1">Tabela3[[#This Row],[Aluminio Util]]*Tabela3[[#This Row],[Custo/Kg]]</f>
        <v>1865.6352000000002</v>
      </c>
      <c r="Y93" s="35">
        <f>IFERROR(VLOOKUP(Tabela3[[#This Row],[Data]],Tabela461213[],2,1)*(Tabela3[[#This Row],[Qtde Cx Produzida]]*Tabela3[[#This Row],[Qde macho / CX]]*Tabela3[[#This Row],[Peso Macho]]),)</f>
        <v>0</v>
      </c>
      <c r="Z93" s="35">
        <f>IFERROR(Tabela3[[#This Row],[Qtde Oleo]]*(VLOOKUP(Tabela3[[#This Row],[Data]],CompraOleo[],3,TRUE))*1.05,0)</f>
        <v>165.47757472543427</v>
      </c>
      <c r="AA93" s="47">
        <f ca="1">(Tabela3[[#This Row],[Custo Oleo]]+Tabela3[[#This Row],[Custo Aluminio]]+Tabela3[[#This Row],[Custo M.O. Total]]+Tabela3[[#This Row],[Custo Machos]])</f>
        <v>2882.3565534059899</v>
      </c>
      <c r="AB93" s="47">
        <f ca="1">Tabela3[[#This Row],[Custo Total]]*Tabela3[[#This Row],[% Perda]]</f>
        <v>0</v>
      </c>
      <c r="AC93" s="48">
        <f>IFERROR(VLOOKUP(Tabela3[[#This Row],[Produto]],Tabela2[],2,0),0)</f>
        <v>6</v>
      </c>
      <c r="AD93" s="48">
        <f>IFERROR(VLOOKUP(Tabela3[[#This Row],[Produto]],Tabela2[],3,0),0)</f>
        <v>0.30199999999999999</v>
      </c>
      <c r="AE93" s="48">
        <f>IFERROR(VLOOKUP(Tabela3[[#This Row],[Produto]],Tabela2[],4,0),0)</f>
        <v>2.1520000000000001</v>
      </c>
      <c r="AF93" s="48">
        <f>IFERROR(VLOOKUP(Tabela3[[#This Row],[Produto]],Tabela2[],5,0),0)</f>
        <v>0.30600000000000027</v>
      </c>
      <c r="AG93" s="40">
        <f>IFERROR(VLOOKUP(Tabela3[[#This Row],[Produto]],Tabela2[],6,0),0)</f>
        <v>0</v>
      </c>
      <c r="AH93" s="40">
        <f>IFERROR(VLOOKUP(Tabela3[[#This Row],[Produto]],Tabela2[],7,0),0)</f>
        <v>0</v>
      </c>
      <c r="AI93" s="40">
        <f>IFERROR(VLOOKUP(Tabela3[[#This Row],[Produto]],Tabela2[],8,0),0)</f>
        <v>0</v>
      </c>
      <c r="AJ93" s="35">
        <f ca="1">IFERROR(VLOOKUP(Tabela3[[#This Row],[Produto]],Tabela2[],13,0),0)</f>
        <v>15.600000000000001</v>
      </c>
      <c r="AK93" s="40" t="str">
        <f>IFERROR(VLOOKUP(Tabela3[[#This Row],[Produto]],Tabela2[],14,0),0)</f>
        <v>Senun</v>
      </c>
      <c r="AL93" s="40">
        <f>IFERROR(VLOOKUP(Tabela3[[#This Row],[Produto]],Tabela2[],15,0),0)</f>
        <v>4</v>
      </c>
      <c r="AM93" s="36">
        <f ca="1">(Tabela3[[#This Row],[Custo Usinagem]]+Tabela3[[#This Row],[Custo / Pç]])*1.2</f>
        <v>13.534413798199971</v>
      </c>
      <c r="AN93" s="36">
        <f ca="1">Tabela3[[#This Row],[Valor Mínimo Venda]]*1.15</f>
        <v>15.564575867929966</v>
      </c>
      <c r="AO93" s="36">
        <f ca="1">Tabela3[[#This Row],[Tabela 1]]*1.08</f>
        <v>16.809741937364365</v>
      </c>
      <c r="AP93" s="36">
        <f ca="1">Tabela3[[#This Row],[Tabela 2]]*1.15</f>
        <v>19.331203227969016</v>
      </c>
    </row>
    <row r="94" spans="1:42">
      <c r="A94" s="9">
        <v>45728</v>
      </c>
      <c r="B94" s="6" t="s">
        <v>188</v>
      </c>
      <c r="C94" s="14">
        <v>5894</v>
      </c>
      <c r="D94" s="6" t="s">
        <v>44</v>
      </c>
      <c r="E94" s="6" t="s">
        <v>47</v>
      </c>
      <c r="F94" s="6">
        <v>2</v>
      </c>
      <c r="G94" s="15">
        <v>4.3749999999999997E-2</v>
      </c>
      <c r="H94" s="16">
        <v>0</v>
      </c>
      <c r="I94" s="35">
        <f ca="1">IFERROR(Tabela3[[#This Row],[Custo Total]]/Tabela3[[#This Row],[Aluminio Util]],0)</f>
        <v>20.617268222598018</v>
      </c>
      <c r="J94" s="35">
        <f ca="1">Tabela3[[#This Row],[Custo Total]]/Tabela3[[#This Row],[Realizado]]</f>
        <v>606.14768574438165</v>
      </c>
      <c r="K94" s="37">
        <f>IFERROR(Tabela3[[#This Row],[Qtde Cx Produzida]]/Tabela3[[#This Row],[Tempo]]/24,0)</f>
        <v>1.9047619047619049</v>
      </c>
      <c r="L94" s="37">
        <f>Tabela3[[#This Row],[Qtde Cx Produzida]]*Tabela3[[#This Row],[Qdt Peça Placa]]</f>
        <v>2</v>
      </c>
      <c r="M94" s="37">
        <f>Tabela3[[#This Row],[Previsto]]-Tabela3[[#This Row],[Perda Pçs]]</f>
        <v>2</v>
      </c>
      <c r="N94" s="38">
        <f>IFERROR(Tabela3[[#This Row],[Perda Pçs]]/Tabela3[[#This Row],[Previsto]],0)</f>
        <v>0</v>
      </c>
      <c r="O94" s="39">
        <f>IFERROR(IF(Tabela3[[#This Row],[Qtde Cx Produzida]] &lt;&gt; 0, Tabela3[[#This Row],[Tempo]] / Tabela3[[#This Row],[Qtde Cx Produzida]], 0),0)</f>
        <v>2.1874999999999999E-2</v>
      </c>
      <c r="P94" s="57">
        <f>IFERROR(Tabela3[[#This Row],[Perda Pçs]]/Tabela3[[#This Row],[Qdt Peça Placa]],0)</f>
        <v>0</v>
      </c>
      <c r="Q94" s="37">
        <f>IFERROR(Tabela3[[#This Row],[Realizado]]*Tabela3[[#This Row],[Peso Util/Pç]],0)</f>
        <v>58.8</v>
      </c>
      <c r="R94" s="37">
        <f>IFERROR(Tabela3[[#This Row],[Peso Total Galho]]*Tabela3[[#This Row],[Qtde Cx Produzida]]*1.055,0)</f>
        <v>65.620999999999995</v>
      </c>
      <c r="S94" s="37">
        <f>(Tabela3[[#This Row],[Aluminio Bruto]]-Tabela3[[#This Row],[Aluminio Util]])*0.9</f>
        <v>6.1388999999999987</v>
      </c>
      <c r="T94" s="37">
        <f>Tabela3[[#This Row],[Aluminio Bruto]]/OleoKGAluminio</f>
        <v>27.606669852862158</v>
      </c>
      <c r="U94" s="35">
        <f>IFERROR((VLOOKUP(Tabela3[[#This Row],[Moldador]],Tabela1[],5,)+(VLOOKUP(Tabela3[[#This Row],[Ajudante]],Tabela1[],5,))*3.5),0)</f>
        <v>99.95034583333333</v>
      </c>
      <c r="V94" s="35">
        <f>IFERROR(Tabela3[[#This Row],[Custo M.O. / H]]/((Tabela3[[#This Row],[Realizado]]/Tabela3[[#This Row],[Qdt Peça Placa]])/Tabela3[[#This Row],[Tempo]]/24),)</f>
        <v>52.473931562499992</v>
      </c>
      <c r="W94" s="35">
        <f>Tabela3[[#This Row],[Custo / Cx Moldada]]*Tabela3[[#This Row],[Qtde Cx Produzida]]</f>
        <v>104.94786312499998</v>
      </c>
      <c r="X94" s="35">
        <f ca="1">Tabela3[[#This Row],[Aluminio Util]]*Tabela3[[#This Row],[Custo/Kg]]</f>
        <v>1034.8800000000001</v>
      </c>
      <c r="Y94" s="35">
        <f>IFERROR(VLOOKUP(Tabela3[[#This Row],[Data]],Tabela461213[],2,1)*(Tabela3[[#This Row],[Qtde Cx Produzida]]*Tabela3[[#This Row],[Qde macho / CX]]*Tabela3[[#This Row],[Peso Macho]]),)</f>
        <v>0</v>
      </c>
      <c r="Z94" s="35">
        <f>IFERROR(Tabela3[[#This Row],[Qtde Oleo]]*(VLOOKUP(Tabela3[[#This Row],[Data]],CompraOleo[],3,TRUE))*1.05,0)</f>
        <v>72.467508363763173</v>
      </c>
      <c r="AA94" s="47">
        <f ca="1">(Tabela3[[#This Row],[Custo Oleo]]+Tabela3[[#This Row],[Custo Aluminio]]+Tabela3[[#This Row],[Custo M.O. Total]]+Tabela3[[#This Row],[Custo Machos]])</f>
        <v>1212.2953714887633</v>
      </c>
      <c r="AB94" s="47">
        <f ca="1">Tabela3[[#This Row],[Custo Total]]*Tabela3[[#This Row],[% Perda]]</f>
        <v>0</v>
      </c>
      <c r="AC94" s="48">
        <f>IFERROR(VLOOKUP(Tabela3[[#This Row],[Produto]],Tabela2[],2,0),0)</f>
        <v>1</v>
      </c>
      <c r="AD94" s="48">
        <f>IFERROR(VLOOKUP(Tabela3[[#This Row],[Produto]],Tabela2[],3,0),0)</f>
        <v>29.4</v>
      </c>
      <c r="AE94" s="48">
        <f>IFERROR(VLOOKUP(Tabela3[[#This Row],[Produto]],Tabela2[],4,0),0)</f>
        <v>31.1</v>
      </c>
      <c r="AF94" s="48">
        <f>IFERROR(VLOOKUP(Tabela3[[#This Row],[Produto]],Tabela2[],5,0),0)</f>
        <v>1.5300000000000027</v>
      </c>
      <c r="AG94" s="40">
        <f>IFERROR(VLOOKUP(Tabela3[[#This Row],[Produto]],Tabela2[],6,0),0)</f>
        <v>0</v>
      </c>
      <c r="AH94" s="40">
        <f>IFERROR(VLOOKUP(Tabela3[[#This Row],[Produto]],Tabela2[],7,0),0)</f>
        <v>0</v>
      </c>
      <c r="AI94" s="40">
        <f>IFERROR(VLOOKUP(Tabela3[[#This Row],[Produto]],Tabela2[],8,0),0)</f>
        <v>0</v>
      </c>
      <c r="AJ94" s="35">
        <f ca="1">IFERROR(VLOOKUP(Tabela3[[#This Row],[Produto]],Tabela2[],13,0),0)</f>
        <v>17.600000000000001</v>
      </c>
      <c r="AK94" s="40" t="str">
        <f>IFERROR(VLOOKUP(Tabela3[[#This Row],[Produto]],Tabela2[],14,0),0)</f>
        <v>Oscar</v>
      </c>
      <c r="AL94" s="40">
        <f>IFERROR(VLOOKUP(Tabela3[[#This Row],[Produto]],Tabela2[],15,0),0)</f>
        <v>4</v>
      </c>
      <c r="AM94" s="36">
        <f ca="1">(Tabela3[[#This Row],[Custo Usinagem]]+Tabela3[[#This Row],[Custo / Pç]])*1.2</f>
        <v>732.17722289325798</v>
      </c>
      <c r="AN94" s="36">
        <f ca="1">Tabela3[[#This Row],[Valor Mínimo Venda]]*1.15</f>
        <v>842.00380632724659</v>
      </c>
      <c r="AO94" s="36">
        <f ca="1">Tabela3[[#This Row],[Tabela 1]]*1.08</f>
        <v>909.36411083342637</v>
      </c>
      <c r="AP94" s="36">
        <f ca="1">Tabela3[[#This Row],[Tabela 2]]*1.15</f>
        <v>1045.7687274584403</v>
      </c>
    </row>
    <row r="95" spans="1:42">
      <c r="A95" s="9">
        <v>45728</v>
      </c>
      <c r="B95" s="6" t="s">
        <v>257</v>
      </c>
      <c r="C95" s="14">
        <v>5856</v>
      </c>
      <c r="D95" s="6" t="s">
        <v>44</v>
      </c>
      <c r="E95" s="6" t="s">
        <v>47</v>
      </c>
      <c r="F95" s="6">
        <v>20</v>
      </c>
      <c r="G95" s="15">
        <v>9.8611111111111108E-2</v>
      </c>
      <c r="H95" s="16">
        <v>12</v>
      </c>
      <c r="I95" s="35">
        <f ca="1">IFERROR(Tabela3[[#This Row],[Custo Total]]/Tabela3[[#This Row],[Aluminio Util]],0)</f>
        <v>32.194162268053724</v>
      </c>
      <c r="J95" s="35">
        <f ca="1">Tabela3[[#This Row],[Custo Total]]/Tabela3[[#This Row],[Realizado]]</f>
        <v>4.0242702835067155</v>
      </c>
      <c r="K95" s="37">
        <f>IFERROR(Tabela3[[#This Row],[Qtde Cx Produzida]]/Tabela3[[#This Row],[Tempo]]/24,0)</f>
        <v>8.4507042253521139</v>
      </c>
      <c r="L95" s="37">
        <f>Tabela3[[#This Row],[Qtde Cx Produzida]]*Tabela3[[#This Row],[Qdt Peça Placa]]</f>
        <v>160</v>
      </c>
      <c r="M95" s="37">
        <f>Tabela3[[#This Row],[Previsto]]-Tabela3[[#This Row],[Perda Pçs]]</f>
        <v>148</v>
      </c>
      <c r="N95" s="38">
        <f>IFERROR(Tabela3[[#This Row],[Perda Pçs]]/Tabela3[[#This Row],[Previsto]],0)</f>
        <v>7.4999999999999997E-2</v>
      </c>
      <c r="O95" s="39">
        <f>IFERROR(IF(Tabela3[[#This Row],[Qtde Cx Produzida]] &lt;&gt; 0, Tabela3[[#This Row],[Tempo]] / Tabela3[[#This Row],[Qtde Cx Produzida]], 0),0)</f>
        <v>4.9305555555555552E-3</v>
      </c>
      <c r="P95" s="57">
        <f>IFERROR(Tabela3[[#This Row],[Perda Pçs]]/Tabela3[[#This Row],[Qdt Peça Placa]],0)</f>
        <v>1.5</v>
      </c>
      <c r="Q95" s="37">
        <f>IFERROR(Tabela3[[#This Row],[Realizado]]*Tabela3[[#This Row],[Peso Util/Pç]],0)</f>
        <v>18.5</v>
      </c>
      <c r="R95" s="37">
        <f>IFERROR(Tabela3[[#This Row],[Peso Total Galho]]*Tabela3[[#This Row],[Qtde Cx Produzida]]*1.055,0)</f>
        <v>46.419999999999995</v>
      </c>
      <c r="S95" s="37">
        <f>(Tabela3[[#This Row],[Aluminio Bruto]]-Tabela3[[#This Row],[Aluminio Util]])*0.9</f>
        <v>25.127999999999997</v>
      </c>
      <c r="T95" s="37">
        <f>Tabela3[[#This Row],[Aluminio Bruto]]/OleoKGAluminio</f>
        <v>19.528833979516641</v>
      </c>
      <c r="U95" s="35">
        <f>IFERROR((VLOOKUP(Tabela3[[#This Row],[Moldador]],Tabela1[],5,)+(VLOOKUP(Tabela3[[#This Row],[Ajudante]],Tabela1[],5,))*3.5),0)</f>
        <v>99.95034583333333</v>
      </c>
      <c r="V95" s="35">
        <f>IFERROR(Tabela3[[#This Row],[Custo M.O. / H]]/((Tabela3[[#This Row],[Realizado]]/Tabela3[[#This Row],[Qdt Peça Placa]])/Tabela3[[#This Row],[Tempo]]/24),)</f>
        <v>12.786440638138139</v>
      </c>
      <c r="W95" s="35">
        <f>Tabela3[[#This Row],[Custo / Cx Moldada]]*Tabela3[[#This Row],[Qtde Cx Produzida]]</f>
        <v>255.72881276276277</v>
      </c>
      <c r="X95" s="35">
        <f ca="1">Tabela3[[#This Row],[Aluminio Util]]*Tabela3[[#This Row],[Custo/Kg]]</f>
        <v>288.60000000000002</v>
      </c>
      <c r="Y95" s="35">
        <f>IFERROR(VLOOKUP(Tabela3[[#This Row],[Data]],Tabela461213[],2,1)*(Tabela3[[#This Row],[Qtde Cx Produzida]]*Tabela3[[#This Row],[Qde macho / CX]]*Tabela3[[#This Row],[Peso Macho]]),)</f>
        <v>0</v>
      </c>
      <c r="Z95" s="35">
        <f>IFERROR(Tabela3[[#This Row],[Qtde Oleo]]*(VLOOKUP(Tabela3[[#This Row],[Data]],CompraOleo[],3,TRUE))*1.05,0)</f>
        <v>51.263189196231181</v>
      </c>
      <c r="AA95" s="47">
        <f ca="1">(Tabela3[[#This Row],[Custo Oleo]]+Tabela3[[#This Row],[Custo Aluminio]]+Tabela3[[#This Row],[Custo M.O. Total]]+Tabela3[[#This Row],[Custo Machos]])</f>
        <v>595.59200195899393</v>
      </c>
      <c r="AB95" s="47">
        <f ca="1">Tabela3[[#This Row],[Custo Total]]*Tabela3[[#This Row],[% Perda]]</f>
        <v>44.669400146924545</v>
      </c>
      <c r="AC95" s="48">
        <f>IFERROR(VLOOKUP(Tabela3[[#This Row],[Produto]],Tabela2[],2,0),0)</f>
        <v>8</v>
      </c>
      <c r="AD95" s="48">
        <f>IFERROR(VLOOKUP(Tabela3[[#This Row],[Produto]],Tabela2[],3,0),0)</f>
        <v>0.125</v>
      </c>
      <c r="AE95" s="48">
        <f>IFERROR(VLOOKUP(Tabela3[[#This Row],[Produto]],Tabela2[],4,0),0)</f>
        <v>2.2000000000000002</v>
      </c>
      <c r="AF95" s="48">
        <f>IFERROR(VLOOKUP(Tabela3[[#This Row],[Produto]],Tabela2[],5,0),0)</f>
        <v>1.0800000000000003</v>
      </c>
      <c r="AG95" s="40">
        <f>IFERROR(VLOOKUP(Tabela3[[#This Row],[Produto]],Tabela2[],6,0),0)</f>
        <v>0</v>
      </c>
      <c r="AH95" s="40">
        <f>IFERROR(VLOOKUP(Tabela3[[#This Row],[Produto]],Tabela2[],7,0),0)</f>
        <v>0</v>
      </c>
      <c r="AI95" s="40">
        <f>IFERROR(VLOOKUP(Tabela3[[#This Row],[Produto]],Tabela2[],8,0),0)</f>
        <v>0</v>
      </c>
      <c r="AJ95" s="35">
        <f ca="1">IFERROR(VLOOKUP(Tabela3[[#This Row],[Produto]],Tabela2[],13,0),0)</f>
        <v>15.600000000000001</v>
      </c>
      <c r="AK95" s="40" t="str">
        <f>IFERROR(VLOOKUP(Tabela3[[#This Row],[Produto]],Tabela2[],14,0),0)</f>
        <v>Senun</v>
      </c>
      <c r="AL95" s="40">
        <f>IFERROR(VLOOKUP(Tabela3[[#This Row],[Produto]],Tabela2[],15,0),0)</f>
        <v>7</v>
      </c>
      <c r="AM95" s="36">
        <f ca="1">(Tabela3[[#This Row],[Custo Usinagem]]+Tabela3[[#This Row],[Custo / Pç]])*1.2</f>
        <v>13.22912434020806</v>
      </c>
      <c r="AN95" s="36">
        <f ca="1">Tabela3[[#This Row],[Valor Mínimo Venda]]*1.15</f>
        <v>15.213492991239267</v>
      </c>
      <c r="AO95" s="36">
        <f ca="1">Tabela3[[#This Row],[Tabela 1]]*1.08</f>
        <v>16.430572430538408</v>
      </c>
      <c r="AP95" s="36">
        <f ca="1">Tabela3[[#This Row],[Tabela 2]]*1.15</f>
        <v>18.895158295119167</v>
      </c>
    </row>
    <row r="96" spans="1:42">
      <c r="A96" s="9">
        <v>45728</v>
      </c>
      <c r="B96" s="6" t="s">
        <v>236</v>
      </c>
      <c r="C96" s="14">
        <v>5822</v>
      </c>
      <c r="D96" s="6" t="s">
        <v>44</v>
      </c>
      <c r="E96" s="6" t="s">
        <v>47</v>
      </c>
      <c r="F96" s="6">
        <v>30</v>
      </c>
      <c r="G96" s="15">
        <v>0.15833333333333333</v>
      </c>
      <c r="H96" s="16">
        <v>9</v>
      </c>
      <c r="I96" s="35">
        <f ca="1">IFERROR(Tabela3[[#This Row],[Custo Total]]/Tabela3[[#This Row],[Aluminio Util]],0)</f>
        <v>24.798297175825592</v>
      </c>
      <c r="J96" s="35">
        <f ca="1">Tabela3[[#This Row],[Custo Total]]/Tabela3[[#This Row],[Realizado]]</f>
        <v>7.4890857470993284</v>
      </c>
      <c r="K96" s="37">
        <f>IFERROR(Tabela3[[#This Row],[Qtde Cx Produzida]]/Tabela3[[#This Row],[Tempo]]/24,0)</f>
        <v>7.8947368421052637</v>
      </c>
      <c r="L96" s="37">
        <f>Tabela3[[#This Row],[Qtde Cx Produzida]]*Tabela3[[#This Row],[Qdt Peça Placa]]</f>
        <v>180</v>
      </c>
      <c r="M96" s="37">
        <f>Tabela3[[#This Row],[Previsto]]-Tabela3[[#This Row],[Perda Pçs]]</f>
        <v>171</v>
      </c>
      <c r="N96" s="38">
        <f>IFERROR(Tabela3[[#This Row],[Perda Pçs]]/Tabela3[[#This Row],[Previsto]],0)</f>
        <v>0.05</v>
      </c>
      <c r="O96" s="39">
        <f>IFERROR(IF(Tabela3[[#This Row],[Qtde Cx Produzida]] &lt;&gt; 0, Tabela3[[#This Row],[Tempo]] / Tabela3[[#This Row],[Qtde Cx Produzida]], 0),0)</f>
        <v>5.2777777777777779E-3</v>
      </c>
      <c r="P96" s="57">
        <f>IFERROR(Tabela3[[#This Row],[Perda Pçs]]/Tabela3[[#This Row],[Qdt Peça Placa]],0)</f>
        <v>1.5</v>
      </c>
      <c r="Q96" s="37">
        <f>IFERROR(Tabela3[[#This Row],[Realizado]]*Tabela3[[#This Row],[Peso Util/Pç]],0)</f>
        <v>51.641999999999996</v>
      </c>
      <c r="R96" s="37">
        <f>IFERROR(Tabela3[[#This Row],[Peso Total Galho]]*Tabela3[[#This Row],[Qtde Cx Produzida]]*1.055,0)</f>
        <v>68.110799999999998</v>
      </c>
      <c r="S96" s="37">
        <f>(Tabela3[[#This Row],[Aluminio Bruto]]-Tabela3[[#This Row],[Aluminio Util]])*0.9</f>
        <v>14.821920000000002</v>
      </c>
      <c r="T96" s="37">
        <f>Tabela3[[#This Row],[Aluminio Bruto]]/OleoKGAluminio</f>
        <v>28.654125493581688</v>
      </c>
      <c r="U96" s="35">
        <f>IFERROR((VLOOKUP(Tabela3[[#This Row],[Moldador]],Tabela1[],5,)+(VLOOKUP(Tabela3[[#This Row],[Ajudante]],Tabela1[],5,))*3.5),0)</f>
        <v>99.95034583333333</v>
      </c>
      <c r="V96" s="35">
        <f>IFERROR(Tabela3[[#This Row],[Custo M.O. / H]]/((Tabela3[[#This Row],[Realizado]]/Tabela3[[#This Row],[Qdt Peça Placa]])/Tabela3[[#This Row],[Tempo]]/24),)</f>
        <v>13.326712777777777</v>
      </c>
      <c r="W96" s="35">
        <f>Tabela3[[#This Row],[Custo / Cx Moldada]]*Tabela3[[#This Row],[Qtde Cx Produzida]]</f>
        <v>399.80138333333332</v>
      </c>
      <c r="X96" s="35">
        <f ca="1">Tabela3[[#This Row],[Aluminio Util]]*Tabela3[[#This Row],[Custo/Kg]]</f>
        <v>805.61519999999996</v>
      </c>
      <c r="Y96" s="35">
        <f>IFERROR(VLOOKUP(Tabela3[[#This Row],[Data]],Tabela461213[],2,1)*(Tabela3[[#This Row],[Qtde Cx Produzida]]*Tabela3[[#This Row],[Qde macho / CX]]*Tabela3[[#This Row],[Peso Macho]]),)</f>
        <v>0</v>
      </c>
      <c r="Z96" s="35">
        <f>IFERROR(Tabela3[[#This Row],[Qtde Oleo]]*(VLOOKUP(Tabela3[[#This Row],[Data]],CompraOleo[],3,TRUE))*1.05,0)</f>
        <v>75.217079420651928</v>
      </c>
      <c r="AA96" s="47">
        <f ca="1">(Tabela3[[#This Row],[Custo Oleo]]+Tabela3[[#This Row],[Custo Aluminio]]+Tabela3[[#This Row],[Custo M.O. Total]]+Tabela3[[#This Row],[Custo Machos]])</f>
        <v>1280.6336627539852</v>
      </c>
      <c r="AB96" s="47">
        <f ca="1">Tabela3[[#This Row],[Custo Total]]*Tabela3[[#This Row],[% Perda]]</f>
        <v>64.031683137699261</v>
      </c>
      <c r="AC96" s="48">
        <f>IFERROR(VLOOKUP(Tabela3[[#This Row],[Produto]],Tabela2[],2,0),0)</f>
        <v>6</v>
      </c>
      <c r="AD96" s="48">
        <f>IFERROR(VLOOKUP(Tabela3[[#This Row],[Produto]],Tabela2[],3,0),0)</f>
        <v>0.30199999999999999</v>
      </c>
      <c r="AE96" s="48">
        <f>IFERROR(VLOOKUP(Tabela3[[#This Row],[Produto]],Tabela2[],4,0),0)</f>
        <v>2.1520000000000001</v>
      </c>
      <c r="AF96" s="48">
        <f>IFERROR(VLOOKUP(Tabela3[[#This Row],[Produto]],Tabela2[],5,0),0)</f>
        <v>0.30600000000000027</v>
      </c>
      <c r="AG96" s="40">
        <f>IFERROR(VLOOKUP(Tabela3[[#This Row],[Produto]],Tabela2[],6,0),0)</f>
        <v>0</v>
      </c>
      <c r="AH96" s="40">
        <f>IFERROR(VLOOKUP(Tabela3[[#This Row],[Produto]],Tabela2[],7,0),0)</f>
        <v>0</v>
      </c>
      <c r="AI96" s="40">
        <f>IFERROR(VLOOKUP(Tabela3[[#This Row],[Produto]],Tabela2[],8,0),0)</f>
        <v>0</v>
      </c>
      <c r="AJ96" s="35">
        <f ca="1">IFERROR(VLOOKUP(Tabela3[[#This Row],[Produto]],Tabela2[],13,0),0)</f>
        <v>15.600000000000001</v>
      </c>
      <c r="AK96" s="40" t="str">
        <f>IFERROR(VLOOKUP(Tabela3[[#This Row],[Produto]],Tabela2[],14,0),0)</f>
        <v>Senun</v>
      </c>
      <c r="AL96" s="40">
        <f>IFERROR(VLOOKUP(Tabela3[[#This Row],[Produto]],Tabela2[],15,0),0)</f>
        <v>4</v>
      </c>
      <c r="AM96" s="36">
        <f ca="1">(Tabela3[[#This Row],[Custo Usinagem]]+Tabela3[[#This Row],[Custo / Pç]])*1.2</f>
        <v>13.786902896519193</v>
      </c>
      <c r="AN96" s="36">
        <f ca="1">Tabela3[[#This Row],[Valor Mínimo Venda]]*1.15</f>
        <v>15.85493833099707</v>
      </c>
      <c r="AO96" s="36">
        <f ca="1">Tabela3[[#This Row],[Tabela 1]]*1.08</f>
        <v>17.123333397476838</v>
      </c>
      <c r="AP96" s="36">
        <f ca="1">Tabela3[[#This Row],[Tabela 2]]*1.15</f>
        <v>19.691833407098361</v>
      </c>
    </row>
    <row r="97" spans="1:42">
      <c r="A97" s="9">
        <v>45728</v>
      </c>
      <c r="B97" s="6" t="s">
        <v>246</v>
      </c>
      <c r="C97" s="14">
        <v>5755</v>
      </c>
      <c r="D97" s="6" t="s">
        <v>46</v>
      </c>
      <c r="E97" s="6" t="s">
        <v>53</v>
      </c>
      <c r="F97" s="6">
        <v>31</v>
      </c>
      <c r="G97" s="15">
        <v>0.1388888888888889</v>
      </c>
      <c r="H97" s="16">
        <v>0</v>
      </c>
      <c r="I97" s="35">
        <f ca="1">IFERROR(Tabela3[[#This Row],[Custo Total]]/Tabela3[[#This Row],[Aluminio Util]],0)</f>
        <v>22.444319045053593</v>
      </c>
      <c r="J97" s="35">
        <f ca="1">Tabela3[[#This Row],[Custo Total]]/Tabela3[[#This Row],[Realizado]]</f>
        <v>11.962822051013566</v>
      </c>
      <c r="K97" s="37">
        <f>IFERROR(Tabela3[[#This Row],[Qtde Cx Produzida]]/Tabela3[[#This Row],[Tempo]]/24,0)</f>
        <v>9.2999999999999989</v>
      </c>
      <c r="L97" s="37">
        <f>Tabela3[[#This Row],[Qtde Cx Produzida]]*Tabela3[[#This Row],[Qdt Peça Placa]]</f>
        <v>124</v>
      </c>
      <c r="M97" s="37">
        <f>Tabela3[[#This Row],[Previsto]]-Tabela3[[#This Row],[Perda Pçs]]</f>
        <v>124</v>
      </c>
      <c r="N97" s="38">
        <f>IFERROR(Tabela3[[#This Row],[Perda Pçs]]/Tabela3[[#This Row],[Previsto]],0)</f>
        <v>0</v>
      </c>
      <c r="O97" s="39">
        <f>IFERROR(IF(Tabela3[[#This Row],[Qtde Cx Produzida]] &lt;&gt; 0, Tabela3[[#This Row],[Tempo]] / Tabela3[[#This Row],[Qtde Cx Produzida]], 0),0)</f>
        <v>4.4802867383512543E-3</v>
      </c>
      <c r="P97" s="57">
        <f>IFERROR(Tabela3[[#This Row],[Perda Pçs]]/Tabela3[[#This Row],[Qdt Peça Placa]],0)</f>
        <v>0</v>
      </c>
      <c r="Q97" s="37">
        <f>IFERROR(Tabela3[[#This Row],[Realizado]]*Tabela3[[#This Row],[Peso Util/Pç]],0)</f>
        <v>66.091999999999999</v>
      </c>
      <c r="R97" s="37">
        <f>IFERROR(Tabela3[[#This Row],[Peso Total Galho]]*Tabela3[[#This Row],[Qtde Cx Produzida]]*1.055,0)</f>
        <v>107.92649999999999</v>
      </c>
      <c r="S97" s="37">
        <f>(Tabela3[[#This Row],[Aluminio Bruto]]-Tabela3[[#This Row],[Aluminio Util]])*0.9</f>
        <v>37.651049999999991</v>
      </c>
      <c r="T97" s="37">
        <f>Tabela3[[#This Row],[Aluminio Bruto]]/OleoKGAluminio</f>
        <v>45.40453900237619</v>
      </c>
      <c r="U97" s="35">
        <f>IFERROR((VLOOKUP(Tabela3[[#This Row],[Moldador]],Tabela1[],5,)+(VLOOKUP(Tabela3[[#This Row],[Ajudante]],Tabela1[],5,))*3.5),0)</f>
        <v>99.95034583333333</v>
      </c>
      <c r="V97" s="35">
        <f>IFERROR(Tabela3[[#This Row],[Custo M.O. / H]]/((Tabela3[[#This Row],[Realizado]]/Tabela3[[#This Row],[Qdt Peça Placa]])/Tabela3[[#This Row],[Tempo]]/24),)</f>
        <v>10.747349014336919</v>
      </c>
      <c r="W97" s="35">
        <f>Tabela3[[#This Row],[Custo / Cx Moldada]]*Tabela3[[#This Row],[Qtde Cx Produzida]]</f>
        <v>333.16781944444449</v>
      </c>
      <c r="X97" s="35">
        <f ca="1">Tabela3[[#This Row],[Aluminio Util]]*Tabela3[[#This Row],[Custo/Kg]]</f>
        <v>1031.0352</v>
      </c>
      <c r="Y97" s="35">
        <f>IFERROR(VLOOKUP(Tabela3[[#This Row],[Data]],Tabela461213[],2,1)*(Tabela3[[#This Row],[Qtde Cx Produzida]]*Tabela3[[#This Row],[Qde macho / CX]]*Tabela3[[#This Row],[Peso Macho]]),)</f>
        <v>0</v>
      </c>
      <c r="Z97" s="35">
        <f>IFERROR(Tabela3[[#This Row],[Qtde Oleo]]*(VLOOKUP(Tabela3[[#This Row],[Data]],CompraOleo[],3,TRUE))*1.05,0)</f>
        <v>119.18691488123751</v>
      </c>
      <c r="AA97" s="47">
        <f ca="1">(Tabela3[[#This Row],[Custo Oleo]]+Tabela3[[#This Row],[Custo Aluminio]]+Tabela3[[#This Row],[Custo M.O. Total]]+Tabela3[[#This Row],[Custo Machos]])</f>
        <v>1483.3899343256821</v>
      </c>
      <c r="AB97" s="47">
        <f ca="1">Tabela3[[#This Row],[Custo Total]]*Tabela3[[#This Row],[% Perda]]</f>
        <v>0</v>
      </c>
      <c r="AC97" s="48">
        <f>IFERROR(VLOOKUP(Tabela3[[#This Row],[Produto]],Tabela2[],2,0),0)</f>
        <v>4</v>
      </c>
      <c r="AD97" s="48">
        <f>IFERROR(VLOOKUP(Tabela3[[#This Row],[Produto]],Tabela2[],3,0),0)</f>
        <v>0.53300000000000003</v>
      </c>
      <c r="AE97" s="48">
        <f>IFERROR(VLOOKUP(Tabela3[[#This Row],[Produto]],Tabela2[],4,0),0)</f>
        <v>3.3</v>
      </c>
      <c r="AF97" s="48">
        <f>IFERROR(VLOOKUP(Tabela3[[#This Row],[Produto]],Tabela2[],5,0),0)</f>
        <v>1.0511999999999997</v>
      </c>
      <c r="AG97" s="40">
        <f>IFERROR(VLOOKUP(Tabela3[[#This Row],[Produto]],Tabela2[],6,0),0)</f>
        <v>0</v>
      </c>
      <c r="AH97" s="40">
        <f>IFERROR(VLOOKUP(Tabela3[[#This Row],[Produto]],Tabela2[],7,0),0)</f>
        <v>0</v>
      </c>
      <c r="AI97" s="40">
        <f>IFERROR(VLOOKUP(Tabela3[[#This Row],[Produto]],Tabela2[],8,0),0)</f>
        <v>0</v>
      </c>
      <c r="AJ97" s="35">
        <f ca="1">IFERROR(VLOOKUP(Tabela3[[#This Row],[Produto]],Tabela2[],13,0),0)</f>
        <v>15.600000000000001</v>
      </c>
      <c r="AK97" s="40" t="str">
        <f>IFERROR(VLOOKUP(Tabela3[[#This Row],[Produto]],Tabela2[],14,0),0)</f>
        <v>Senun</v>
      </c>
      <c r="AL97" s="40">
        <f>IFERROR(VLOOKUP(Tabela3[[#This Row],[Produto]],Tabela2[],15,0),0)</f>
        <v>4</v>
      </c>
      <c r="AM97" s="36">
        <f ca="1">(Tabela3[[#This Row],[Custo Usinagem]]+Tabela3[[#This Row],[Custo / Pç]])*1.2</f>
        <v>19.155386461216278</v>
      </c>
      <c r="AN97" s="36">
        <f ca="1">Tabela3[[#This Row],[Valor Mínimo Venda]]*1.15</f>
        <v>22.028694430398719</v>
      </c>
      <c r="AO97" s="36">
        <f ca="1">Tabela3[[#This Row],[Tabela 1]]*1.08</f>
        <v>23.790989984830617</v>
      </c>
      <c r="AP97" s="36">
        <f ca="1">Tabela3[[#This Row],[Tabela 2]]*1.15</f>
        <v>27.359638482555209</v>
      </c>
    </row>
    <row r="98" spans="1:42">
      <c r="A98" s="9">
        <v>45728</v>
      </c>
      <c r="B98" s="6" t="s">
        <v>124</v>
      </c>
      <c r="C98" s="14">
        <v>5751</v>
      </c>
      <c r="D98" s="6" t="s">
        <v>46</v>
      </c>
      <c r="E98" s="6" t="s">
        <v>53</v>
      </c>
      <c r="F98" s="6">
        <v>51</v>
      </c>
      <c r="G98" s="15">
        <v>0.21944444444444444</v>
      </c>
      <c r="H98" s="16">
        <v>0</v>
      </c>
      <c r="I98" s="35">
        <f ca="1">IFERROR(Tabela3[[#This Row],[Custo Total]]/Tabela3[[#This Row],[Aluminio Util]],0)</f>
        <v>23.768778947228398</v>
      </c>
      <c r="J98" s="35">
        <f ca="1">Tabela3[[#This Row],[Custo Total]]/Tabela3[[#This Row],[Realizado]]</f>
        <v>40.169236420815992</v>
      </c>
      <c r="K98" s="37">
        <f>IFERROR(Tabela3[[#This Row],[Qtde Cx Produzida]]/Tabela3[[#This Row],[Tempo]]/24,0)</f>
        <v>9.6835443037974684</v>
      </c>
      <c r="L98" s="37">
        <f>Tabela3[[#This Row],[Qtde Cx Produzida]]*Tabela3[[#This Row],[Qdt Peça Placa]]</f>
        <v>51</v>
      </c>
      <c r="M98" s="37">
        <f>Tabela3[[#This Row],[Previsto]]-Tabela3[[#This Row],[Perda Pçs]]</f>
        <v>51</v>
      </c>
      <c r="N98" s="38">
        <f>IFERROR(Tabela3[[#This Row],[Perda Pçs]]/Tabela3[[#This Row],[Previsto]],0)</f>
        <v>0</v>
      </c>
      <c r="O98" s="39">
        <f>IFERROR(IF(Tabela3[[#This Row],[Qtde Cx Produzida]] &lt;&gt; 0, Tabela3[[#This Row],[Tempo]] / Tabela3[[#This Row],[Qtde Cx Produzida]], 0),0)</f>
        <v>4.3028322440087146E-3</v>
      </c>
      <c r="P98" s="57">
        <f>IFERROR(Tabela3[[#This Row],[Perda Pçs]]/Tabela3[[#This Row],[Qdt Peça Placa]],0)</f>
        <v>0</v>
      </c>
      <c r="Q98" s="37">
        <f>IFERROR(Tabela3[[#This Row],[Realizado]]*Tabela3[[#This Row],[Peso Util/Pç]],0)</f>
        <v>86.19</v>
      </c>
      <c r="R98" s="37">
        <f>IFERROR(Tabela3[[#This Row],[Peso Total Galho]]*Tabela3[[#This Row],[Qtde Cx Produzida]]*1.055,0)</f>
        <v>160.87694999999999</v>
      </c>
      <c r="S98" s="37">
        <f>(Tabela3[[#This Row],[Aluminio Bruto]]-Tabela3[[#This Row],[Aluminio Util]])*0.9</f>
        <v>67.218254999999999</v>
      </c>
      <c r="T98" s="37">
        <f>Tabela3[[#This Row],[Aluminio Bruto]]/OleoKGAluminio</f>
        <v>67.680724853102106</v>
      </c>
      <c r="U98" s="35">
        <f>IFERROR((VLOOKUP(Tabela3[[#This Row],[Moldador]],Tabela1[],5,)+(VLOOKUP(Tabela3[[#This Row],[Ajudante]],Tabela1[],5,))*3.5),0)</f>
        <v>99.95034583333333</v>
      </c>
      <c r="V98" s="35">
        <f>IFERROR(Tabela3[[#This Row],[Custo M.O. / H]]/((Tabela3[[#This Row],[Realizado]]/Tabela3[[#This Row],[Qdt Peça Placa]])/Tabela3[[#This Row],[Tempo]]/24),)</f>
        <v>10.321669700435729</v>
      </c>
      <c r="W98" s="35">
        <f>Tabela3[[#This Row],[Custo / Cx Moldada]]*Tabela3[[#This Row],[Qtde Cx Produzida]]</f>
        <v>526.40515472222216</v>
      </c>
      <c r="X98" s="35">
        <f ca="1">Tabela3[[#This Row],[Aluminio Util]]*Tabela3[[#This Row],[Custo/Kg]]</f>
        <v>1344.5640000000001</v>
      </c>
      <c r="Y98" s="35">
        <f>IFERROR(VLOOKUP(Tabela3[[#This Row],[Data]],Tabela461213[],2,1)*(Tabela3[[#This Row],[Qtde Cx Produzida]]*Tabela3[[#This Row],[Qde macho / CX]]*Tabela3[[#This Row],[Peso Macho]]),)</f>
        <v>0</v>
      </c>
      <c r="Z98" s="35">
        <f>IFERROR(Tabela3[[#This Row],[Qtde Oleo]]*(VLOOKUP(Tabela3[[#This Row],[Data]],CompraOleo[],3,TRUE))*1.05,0)</f>
        <v>177.66190273939304</v>
      </c>
      <c r="AA98" s="47">
        <f ca="1">(Tabela3[[#This Row],[Custo Oleo]]+Tabela3[[#This Row],[Custo Aluminio]]+Tabela3[[#This Row],[Custo M.O. Total]]+Tabela3[[#This Row],[Custo Machos]])</f>
        <v>2048.6310574616155</v>
      </c>
      <c r="AB98" s="47">
        <f ca="1">Tabela3[[#This Row],[Custo Total]]*Tabela3[[#This Row],[% Perda]]</f>
        <v>0</v>
      </c>
      <c r="AC98" s="48">
        <f>IFERROR(VLOOKUP(Tabela3[[#This Row],[Produto]],Tabela2[],2,0),0)</f>
        <v>1</v>
      </c>
      <c r="AD98" s="48">
        <f>IFERROR(VLOOKUP(Tabela3[[#This Row],[Produto]],Tabela2[],3,0),0)</f>
        <v>1.69</v>
      </c>
      <c r="AE98" s="48">
        <f>IFERROR(VLOOKUP(Tabela3[[#This Row],[Produto]],Tabela2[],4,0),0)</f>
        <v>2.99</v>
      </c>
      <c r="AF98" s="48">
        <f>IFERROR(VLOOKUP(Tabela3[[#This Row],[Produto]],Tabela2[],5,0),0)</f>
        <v>1.1700000000000004</v>
      </c>
      <c r="AG98" s="40">
        <f>IFERROR(VLOOKUP(Tabela3[[#This Row],[Produto]],Tabela2[],6,0),0)</f>
        <v>0</v>
      </c>
      <c r="AH98" s="40">
        <f>IFERROR(VLOOKUP(Tabela3[[#This Row],[Produto]],Tabela2[],7,0),0)</f>
        <v>0</v>
      </c>
      <c r="AI98" s="40">
        <f>IFERROR(VLOOKUP(Tabela3[[#This Row],[Produto]],Tabela2[],8,0),0)</f>
        <v>0</v>
      </c>
      <c r="AJ98" s="35">
        <f ca="1">IFERROR(VLOOKUP(Tabela3[[#This Row],[Produto]],Tabela2[],13,0),0)</f>
        <v>15.600000000000001</v>
      </c>
      <c r="AK98" s="40" t="str">
        <f>IFERROR(VLOOKUP(Tabela3[[#This Row],[Produto]],Tabela2[],14,0),0)</f>
        <v>Jumil</v>
      </c>
      <c r="AL98" s="40">
        <f>IFERROR(VLOOKUP(Tabela3[[#This Row],[Produto]],Tabela2[],15,0),0)</f>
        <v>8</v>
      </c>
      <c r="AM98" s="36">
        <f ca="1">(Tabela3[[#This Row],[Custo Usinagem]]+Tabela3[[#This Row],[Custo / Pç]])*1.2</f>
        <v>57.803083704979187</v>
      </c>
      <c r="AN98" s="36">
        <f ca="1">Tabela3[[#This Row],[Valor Mínimo Venda]]*1.15</f>
        <v>66.473546260726053</v>
      </c>
      <c r="AO98" s="36">
        <f ca="1">Tabela3[[#This Row],[Tabela 1]]*1.08</f>
        <v>71.791429961584143</v>
      </c>
      <c r="AP98" s="36">
        <f ca="1">Tabela3[[#This Row],[Tabela 2]]*1.15</f>
        <v>82.560144455821757</v>
      </c>
    </row>
    <row r="99" spans="1:42">
      <c r="A99" s="9">
        <v>45729</v>
      </c>
      <c r="B99" s="6" t="s">
        <v>124</v>
      </c>
      <c r="C99" s="14">
        <v>5751</v>
      </c>
      <c r="D99" s="6" t="s">
        <v>46</v>
      </c>
      <c r="E99" s="6" t="s">
        <v>53</v>
      </c>
      <c r="F99" s="6">
        <v>49</v>
      </c>
      <c r="G99" s="15">
        <v>0.19166666666666668</v>
      </c>
      <c r="H99" s="16">
        <v>0</v>
      </c>
      <c r="I99" s="35">
        <f ca="1">IFERROR(Tabela3[[#This Row],[Custo Total]]/Tabela3[[#This Row],[Aluminio Util]],0)</f>
        <v>23.213408527133993</v>
      </c>
      <c r="J99" s="35">
        <f ca="1">Tabela3[[#This Row],[Custo Total]]/Tabela3[[#This Row],[Realizado]]</f>
        <v>39.230660410856451</v>
      </c>
      <c r="K99" s="37">
        <f>IFERROR(Tabela3[[#This Row],[Qtde Cx Produzida]]/Tabela3[[#This Row],[Tempo]]/24,0)</f>
        <v>10.652173913043478</v>
      </c>
      <c r="L99" s="37">
        <f>Tabela3[[#This Row],[Qtde Cx Produzida]]*Tabela3[[#This Row],[Qdt Peça Placa]]</f>
        <v>49</v>
      </c>
      <c r="M99" s="37">
        <f>Tabela3[[#This Row],[Previsto]]-Tabela3[[#This Row],[Perda Pçs]]</f>
        <v>49</v>
      </c>
      <c r="N99" s="38">
        <f>IFERROR(Tabela3[[#This Row],[Perda Pçs]]/Tabela3[[#This Row],[Previsto]],0)</f>
        <v>0</v>
      </c>
      <c r="O99" s="39">
        <f>IFERROR(IF(Tabela3[[#This Row],[Qtde Cx Produzida]] &lt;&gt; 0, Tabela3[[#This Row],[Tempo]] / Tabela3[[#This Row],[Qtde Cx Produzida]], 0),0)</f>
        <v>3.9115646258503405E-3</v>
      </c>
      <c r="P99" s="57">
        <f>IFERROR(Tabela3[[#This Row],[Perda Pçs]]/Tabela3[[#This Row],[Qdt Peça Placa]],0)</f>
        <v>0</v>
      </c>
      <c r="Q99" s="37">
        <f>IFERROR(Tabela3[[#This Row],[Realizado]]*Tabela3[[#This Row],[Peso Util/Pç]],0)</f>
        <v>82.81</v>
      </c>
      <c r="R99" s="37">
        <f>IFERROR(Tabela3[[#This Row],[Peso Total Galho]]*Tabela3[[#This Row],[Qtde Cx Produzida]]*1.055,0)</f>
        <v>154.56805</v>
      </c>
      <c r="S99" s="37">
        <f>(Tabela3[[#This Row],[Aluminio Bruto]]-Tabela3[[#This Row],[Aluminio Util]])*0.9</f>
        <v>64.582245</v>
      </c>
      <c r="T99" s="37">
        <f>Tabela3[[#This Row],[Aluminio Bruto]]/OleoKGAluminio</f>
        <v>65.026578780431436</v>
      </c>
      <c r="U99" s="35">
        <f>IFERROR((VLOOKUP(Tabela3[[#This Row],[Moldador]],Tabela1[],5,)+(VLOOKUP(Tabela3[[#This Row],[Ajudante]],Tabela1[],5,))*3.5),0)</f>
        <v>99.95034583333333</v>
      </c>
      <c r="V99" s="35">
        <f>IFERROR(Tabela3[[#This Row],[Custo M.O. / H]]/((Tabela3[[#This Row],[Realizado]]/Tabela3[[#This Row],[Qdt Peça Placa]])/Tabela3[[#This Row],[Tempo]]/24),)</f>
        <v>9.3830936904761906</v>
      </c>
      <c r="W99" s="35">
        <f>Tabela3[[#This Row],[Custo / Cx Moldada]]*Tabela3[[#This Row],[Qtde Cx Produzida]]</f>
        <v>459.77159083333333</v>
      </c>
      <c r="X99" s="35">
        <f ca="1">Tabela3[[#This Row],[Aluminio Util]]*Tabela3[[#This Row],[Custo/Kg]]</f>
        <v>1291.8360000000002</v>
      </c>
      <c r="Y99" s="35">
        <f>IFERROR(VLOOKUP(Tabela3[[#This Row],[Data]],Tabela461213[],2,1)*(Tabela3[[#This Row],[Qtde Cx Produzida]]*Tabela3[[#This Row],[Qde macho / CX]]*Tabela3[[#This Row],[Peso Macho]]),)</f>
        <v>0</v>
      </c>
      <c r="Z99" s="35">
        <f>IFERROR(Tabela3[[#This Row],[Qtde Oleo]]*(VLOOKUP(Tabela3[[#This Row],[Data]],CompraOleo[],3,TRUE))*1.05,0)</f>
        <v>170.69476929863254</v>
      </c>
      <c r="AA99" s="47">
        <f ca="1">(Tabela3[[#This Row],[Custo Oleo]]+Tabela3[[#This Row],[Custo Aluminio]]+Tabela3[[#This Row],[Custo M.O. Total]]+Tabela3[[#This Row],[Custo Machos]])</f>
        <v>1922.302360131966</v>
      </c>
      <c r="AB99" s="47">
        <f ca="1">Tabela3[[#This Row],[Custo Total]]*Tabela3[[#This Row],[% Perda]]</f>
        <v>0</v>
      </c>
      <c r="AC99" s="48">
        <f>IFERROR(VLOOKUP(Tabela3[[#This Row],[Produto]],Tabela2[],2,0),0)</f>
        <v>1</v>
      </c>
      <c r="AD99" s="48">
        <f>IFERROR(VLOOKUP(Tabela3[[#This Row],[Produto]],Tabela2[],3,0),0)</f>
        <v>1.69</v>
      </c>
      <c r="AE99" s="48">
        <f>IFERROR(VLOOKUP(Tabela3[[#This Row],[Produto]],Tabela2[],4,0),0)</f>
        <v>2.99</v>
      </c>
      <c r="AF99" s="48">
        <f>IFERROR(VLOOKUP(Tabela3[[#This Row],[Produto]],Tabela2[],5,0),0)</f>
        <v>1.1700000000000004</v>
      </c>
      <c r="AG99" s="40">
        <f>IFERROR(VLOOKUP(Tabela3[[#This Row],[Produto]],Tabela2[],6,0),0)</f>
        <v>0</v>
      </c>
      <c r="AH99" s="40">
        <f>IFERROR(VLOOKUP(Tabela3[[#This Row],[Produto]],Tabela2[],7,0),0)</f>
        <v>0</v>
      </c>
      <c r="AI99" s="40">
        <f>IFERROR(VLOOKUP(Tabela3[[#This Row],[Produto]],Tabela2[],8,0),0)</f>
        <v>0</v>
      </c>
      <c r="AJ99" s="35">
        <f ca="1">IFERROR(VLOOKUP(Tabela3[[#This Row],[Produto]],Tabela2[],13,0),0)</f>
        <v>15.600000000000001</v>
      </c>
      <c r="AK99" s="40" t="str">
        <f>IFERROR(VLOOKUP(Tabela3[[#This Row],[Produto]],Tabela2[],14,0),0)</f>
        <v>Jumil</v>
      </c>
      <c r="AL99" s="40">
        <f>IFERROR(VLOOKUP(Tabela3[[#This Row],[Produto]],Tabela2[],15,0),0)</f>
        <v>8</v>
      </c>
      <c r="AM99" s="36">
        <f ca="1">(Tabela3[[#This Row],[Custo Usinagem]]+Tabela3[[#This Row],[Custo / Pç]])*1.2</f>
        <v>56.67679249302774</v>
      </c>
      <c r="AN99" s="36">
        <f ca="1">Tabela3[[#This Row],[Valor Mínimo Venda]]*1.15</f>
        <v>65.178311366981902</v>
      </c>
      <c r="AO99" s="36">
        <f ca="1">Tabela3[[#This Row],[Tabela 1]]*1.08</f>
        <v>70.392576276340463</v>
      </c>
      <c r="AP99" s="36">
        <f ca="1">Tabela3[[#This Row],[Tabela 2]]*1.15</f>
        <v>80.951462717791529</v>
      </c>
    </row>
    <row r="100" spans="1:42">
      <c r="A100" s="9">
        <v>45729</v>
      </c>
      <c r="B100" s="6" t="s">
        <v>288</v>
      </c>
      <c r="C100" s="14">
        <v>5891</v>
      </c>
      <c r="D100" s="6" t="s">
        <v>46</v>
      </c>
      <c r="E100" s="6" t="s">
        <v>53</v>
      </c>
      <c r="F100" s="6">
        <v>16</v>
      </c>
      <c r="G100" s="15">
        <v>0.15972222222222221</v>
      </c>
      <c r="H100" s="16"/>
      <c r="I100" s="35">
        <f ca="1">IFERROR(Tabela3[[#This Row],[Custo Total]]/Tabela3[[#This Row],[Aluminio Util]],0)</f>
        <v>29.128048118866076</v>
      </c>
      <c r="J100" s="35">
        <f ca="1">Tabela3[[#This Row],[Custo Total]]/Tabela3[[#This Row],[Realizado]]</f>
        <v>73.693961740731169</v>
      </c>
      <c r="K100" s="37">
        <f>IFERROR(Tabela3[[#This Row],[Qtde Cx Produzida]]/Tabela3[[#This Row],[Tempo]]/24,0)</f>
        <v>4.1739130434782608</v>
      </c>
      <c r="L100" s="37">
        <f>Tabela3[[#This Row],[Qtde Cx Produzida]]*Tabela3[[#This Row],[Qdt Peça Placa]]</f>
        <v>16</v>
      </c>
      <c r="M100" s="37">
        <f>Tabela3[[#This Row],[Previsto]]-Tabela3[[#This Row],[Perda Pçs]]</f>
        <v>16</v>
      </c>
      <c r="N100" s="38">
        <f>IFERROR(Tabela3[[#This Row],[Perda Pçs]]/Tabela3[[#This Row],[Previsto]],0)</f>
        <v>0</v>
      </c>
      <c r="O100" s="39">
        <f>IFERROR(IF(Tabela3[[#This Row],[Qtde Cx Produzida]] &lt;&gt; 0, Tabela3[[#This Row],[Tempo]] / Tabela3[[#This Row],[Qtde Cx Produzida]], 0),0)</f>
        <v>9.9826388888888881E-3</v>
      </c>
      <c r="P100" s="57">
        <f>IFERROR(Tabela3[[#This Row],[Perda Pçs]]/Tabela3[[#This Row],[Qdt Peça Placa]],0)</f>
        <v>0</v>
      </c>
      <c r="Q100" s="37">
        <f>IFERROR(Tabela3[[#This Row],[Realizado]]*Tabela3[[#This Row],[Peso Util/Pç]],0)</f>
        <v>40.479999999999997</v>
      </c>
      <c r="R100" s="37">
        <f>IFERROR(Tabela3[[#This Row],[Peso Total Galho]]*Tabela3[[#This Row],[Qtde Cx Produzida]]*1.055,0)</f>
        <v>75.622399999999999</v>
      </c>
      <c r="S100" s="37">
        <f>(Tabela3[[#This Row],[Aluminio Bruto]]-Tabela3[[#This Row],[Aluminio Util]])*0.9</f>
        <v>31.628160000000001</v>
      </c>
      <c r="T100" s="37">
        <f>Tabela3[[#This Row],[Aluminio Bruto]]/OleoKGAluminio</f>
        <v>31.8142459011762</v>
      </c>
      <c r="U100" s="35">
        <f>IFERROR((VLOOKUP(Tabela3[[#This Row],[Moldador]],Tabela1[],5,)+(VLOOKUP(Tabela3[[#This Row],[Ajudante]],Tabela1[],5,))*3.5),0)</f>
        <v>99.95034583333333</v>
      </c>
      <c r="V100" s="35">
        <f>IFERROR(Tabela3[[#This Row],[Custo M.O. / H]]/((Tabela3[[#This Row],[Realizado]]/Tabela3[[#This Row],[Qdt Peça Placa]])/Tabela3[[#This Row],[Tempo]]/24),)</f>
        <v>23.946437022569445</v>
      </c>
      <c r="W100" s="35">
        <f>Tabela3[[#This Row],[Custo / Cx Moldada]]*Tabela3[[#This Row],[Qtde Cx Produzida]]</f>
        <v>383.14299236111111</v>
      </c>
      <c r="X100" s="35">
        <f ca="1">Tabela3[[#This Row],[Aluminio Util]]*Tabela3[[#This Row],[Custo/Kg]]</f>
        <v>712.44799999999998</v>
      </c>
      <c r="Y100" s="35">
        <f>IFERROR(VLOOKUP(Tabela3[[#This Row],[Data]],Tabela461213[],2,1)*(Tabela3[[#This Row],[Qtde Cx Produzida]]*Tabela3[[#This Row],[Qde macho / CX]]*Tabela3[[#This Row],[Peso Macho]]),)</f>
        <v>0</v>
      </c>
      <c r="Z100" s="35">
        <f>IFERROR(Tabela3[[#This Row],[Qtde Oleo]]*(VLOOKUP(Tabela3[[#This Row],[Data]],CompraOleo[],3,TRUE))*1.05,0)</f>
        <v>83.512395490587537</v>
      </c>
      <c r="AA100" s="47">
        <f ca="1">(Tabela3[[#This Row],[Custo Oleo]]+Tabela3[[#This Row],[Custo Aluminio]]+Tabela3[[#This Row],[Custo M.O. Total]]+Tabela3[[#This Row],[Custo Machos]])</f>
        <v>1179.1033878516987</v>
      </c>
      <c r="AB100" s="47">
        <f ca="1">Tabela3[[#This Row],[Custo Total]]*Tabela3[[#This Row],[% Perda]]</f>
        <v>0</v>
      </c>
      <c r="AC100" s="48">
        <f>IFERROR(VLOOKUP(Tabela3[[#This Row],[Produto]],Tabela2[],2,0),0)</f>
        <v>1</v>
      </c>
      <c r="AD100" s="48">
        <f>IFERROR(VLOOKUP(Tabela3[[#This Row],[Produto]],Tabela2[],3,0),0)</f>
        <v>2.5299999999999998</v>
      </c>
      <c r="AE100" s="48">
        <f>IFERROR(VLOOKUP(Tabela3[[#This Row],[Produto]],Tabela2[],4,0),0)</f>
        <v>4.4800000000000004</v>
      </c>
      <c r="AF100" s="48">
        <f>IFERROR(VLOOKUP(Tabela3[[#This Row],[Produto]],Tabela2[],5,0),0)</f>
        <v>1.7550000000000006</v>
      </c>
      <c r="AG100" s="40">
        <f>IFERROR(VLOOKUP(Tabela3[[#This Row],[Produto]],Tabela2[],6,0),0)</f>
        <v>0</v>
      </c>
      <c r="AH100" s="40">
        <f>IFERROR(VLOOKUP(Tabela3[[#This Row],[Produto]],Tabela2[],7,0),0)</f>
        <v>0</v>
      </c>
      <c r="AI100" s="40">
        <f>IFERROR(VLOOKUP(Tabela3[[#This Row],[Produto]],Tabela2[],8,0),0)</f>
        <v>0</v>
      </c>
      <c r="AJ100" s="35">
        <f ca="1">IFERROR(VLOOKUP(Tabela3[[#This Row],[Produto]],Tabela2[],13,0),0)</f>
        <v>17.600000000000001</v>
      </c>
      <c r="AK100" s="40" t="str">
        <f>IFERROR(VLOOKUP(Tabela3[[#This Row],[Produto]],Tabela2[],14,0),0)</f>
        <v>Bambozzi</v>
      </c>
      <c r="AL100" s="40">
        <f>IFERROR(VLOOKUP(Tabela3[[#This Row],[Produto]],Tabela2[],15,0),0)</f>
        <v>15</v>
      </c>
      <c r="AM100" s="36">
        <f ca="1">(Tabela3[[#This Row],[Custo Usinagem]]+Tabela3[[#This Row],[Custo / Pç]])*1.2</f>
        <v>106.4327540888774</v>
      </c>
      <c r="AN100" s="36">
        <f ca="1">Tabela3[[#This Row],[Valor Mínimo Venda]]*1.15</f>
        <v>122.39766720220901</v>
      </c>
      <c r="AO100" s="36">
        <f ca="1">Tabela3[[#This Row],[Tabela 1]]*1.08</f>
        <v>132.18948057838574</v>
      </c>
      <c r="AP100" s="36">
        <f ca="1">Tabela3[[#This Row],[Tabela 2]]*1.15</f>
        <v>152.01790266514359</v>
      </c>
    </row>
    <row r="101" spans="1:42">
      <c r="A101" s="9">
        <v>45730</v>
      </c>
      <c r="B101" s="6" t="s">
        <v>288</v>
      </c>
      <c r="C101" s="14">
        <v>5891</v>
      </c>
      <c r="D101" s="6" t="s">
        <v>46</v>
      </c>
      <c r="E101" s="6" t="s">
        <v>53</v>
      </c>
      <c r="F101" s="6">
        <v>67</v>
      </c>
      <c r="G101" s="15">
        <v>0.36041666666666666</v>
      </c>
      <c r="H101" s="16">
        <v>1</v>
      </c>
      <c r="I101" s="35">
        <f ca="1">IFERROR(Tabela3[[#This Row],[Custo Total]]/Tabela3[[#This Row],[Aluminio Util]],0)</f>
        <v>24.950450356186685</v>
      </c>
      <c r="J101" s="35">
        <f ca="1">Tabela3[[#This Row],[Custo Total]]/Tabela3[[#This Row],[Realizado]]</f>
        <v>63.124639401152308</v>
      </c>
      <c r="K101" s="37">
        <f>IFERROR(Tabela3[[#This Row],[Qtde Cx Produzida]]/Tabela3[[#This Row],[Tempo]]/24,0)</f>
        <v>7.7456647398843934</v>
      </c>
      <c r="L101" s="37">
        <f>Tabela3[[#This Row],[Qtde Cx Produzida]]*Tabela3[[#This Row],[Qdt Peça Placa]]</f>
        <v>67</v>
      </c>
      <c r="M101" s="37">
        <f>Tabela3[[#This Row],[Previsto]]-Tabela3[[#This Row],[Perda Pçs]]</f>
        <v>66</v>
      </c>
      <c r="N101" s="38">
        <f>IFERROR(Tabela3[[#This Row],[Perda Pçs]]/Tabela3[[#This Row],[Previsto]],0)</f>
        <v>1.4925373134328358E-2</v>
      </c>
      <c r="O101" s="39">
        <f>IFERROR(IF(Tabela3[[#This Row],[Qtde Cx Produzida]] &lt;&gt; 0, Tabela3[[#This Row],[Tempo]] / Tabela3[[#This Row],[Qtde Cx Produzida]], 0),0)</f>
        <v>5.3793532338308461E-3</v>
      </c>
      <c r="P101" s="57">
        <f>IFERROR(Tabela3[[#This Row],[Perda Pçs]]/Tabela3[[#This Row],[Qdt Peça Placa]],0)</f>
        <v>1</v>
      </c>
      <c r="Q101" s="37">
        <f>IFERROR(Tabela3[[#This Row],[Realizado]]*Tabela3[[#This Row],[Peso Util/Pç]],0)</f>
        <v>166.98</v>
      </c>
      <c r="R101" s="37">
        <f>IFERROR(Tabela3[[#This Row],[Peso Total Galho]]*Tabela3[[#This Row],[Qtde Cx Produzida]]*1.055,0)</f>
        <v>316.66880000000003</v>
      </c>
      <c r="S101" s="37">
        <f>(Tabela3[[#This Row],[Aluminio Bruto]]-Tabela3[[#This Row],[Aluminio Util]])*0.9</f>
        <v>134.71992000000003</v>
      </c>
      <c r="T101" s="37">
        <f>Tabela3[[#This Row],[Aluminio Bruto]]/OleoKGAluminio</f>
        <v>133.22215471117536</v>
      </c>
      <c r="U101" s="35">
        <f>IFERROR((VLOOKUP(Tabela3[[#This Row],[Moldador]],Tabela1[],5,)+(VLOOKUP(Tabela3[[#This Row],[Ajudante]],Tabela1[],5,))*3.5),0)</f>
        <v>99.95034583333333</v>
      </c>
      <c r="V101" s="35">
        <f>IFERROR(Tabela3[[#This Row],[Custo M.O. / H]]/((Tabela3[[#This Row],[Realizado]]/Tabela3[[#This Row],[Qdt Peça Placa]])/Tabela3[[#This Row],[Tempo]]/24),)</f>
        <v>13.099552900883838</v>
      </c>
      <c r="W101" s="35">
        <f>Tabela3[[#This Row],[Custo / Cx Moldada]]*Tabela3[[#This Row],[Qtde Cx Produzida]]</f>
        <v>877.67004435921717</v>
      </c>
      <c r="X101" s="35">
        <f ca="1">Tabela3[[#This Row],[Aluminio Util]]*Tabela3[[#This Row],[Custo/Kg]]</f>
        <v>2938.848</v>
      </c>
      <c r="Y101" s="35">
        <f>IFERROR(VLOOKUP(Tabela3[[#This Row],[Data]],Tabela461213[],2,1)*(Tabela3[[#This Row],[Qtde Cx Produzida]]*Tabela3[[#This Row],[Qde macho / CX]]*Tabela3[[#This Row],[Peso Macho]]),)</f>
        <v>0</v>
      </c>
      <c r="Z101" s="35">
        <f>IFERROR(Tabela3[[#This Row],[Qtde Oleo]]*(VLOOKUP(Tabela3[[#This Row],[Data]],CompraOleo[],3,TRUE))*1.05,0)</f>
        <v>349.70815611683531</v>
      </c>
      <c r="AA101" s="47">
        <f ca="1">(Tabela3[[#This Row],[Custo Oleo]]+Tabela3[[#This Row],[Custo Aluminio]]+Tabela3[[#This Row],[Custo M.O. Total]]+Tabela3[[#This Row],[Custo Machos]])</f>
        <v>4166.2262004760523</v>
      </c>
      <c r="AB101" s="47">
        <f ca="1">Tabela3[[#This Row],[Custo Total]]*Tabela3[[#This Row],[% Perda]]</f>
        <v>62.18248060412018</v>
      </c>
      <c r="AC101" s="48">
        <f>IFERROR(VLOOKUP(Tabela3[[#This Row],[Produto]],Tabela2[],2,0),0)</f>
        <v>1</v>
      </c>
      <c r="AD101" s="48">
        <f>IFERROR(VLOOKUP(Tabela3[[#This Row],[Produto]],Tabela2[],3,0),0)</f>
        <v>2.5299999999999998</v>
      </c>
      <c r="AE101" s="48">
        <f>IFERROR(VLOOKUP(Tabela3[[#This Row],[Produto]],Tabela2[],4,0),0)</f>
        <v>4.4800000000000004</v>
      </c>
      <c r="AF101" s="48">
        <f>IFERROR(VLOOKUP(Tabela3[[#This Row],[Produto]],Tabela2[],5,0),0)</f>
        <v>1.7550000000000006</v>
      </c>
      <c r="AG101" s="40">
        <f>IFERROR(VLOOKUP(Tabela3[[#This Row],[Produto]],Tabela2[],6,0),0)</f>
        <v>0</v>
      </c>
      <c r="AH101" s="40">
        <f>IFERROR(VLOOKUP(Tabela3[[#This Row],[Produto]],Tabela2[],7,0),0)</f>
        <v>0</v>
      </c>
      <c r="AI101" s="40">
        <f>IFERROR(VLOOKUP(Tabela3[[#This Row],[Produto]],Tabela2[],8,0),0)</f>
        <v>0</v>
      </c>
      <c r="AJ101" s="35">
        <f ca="1">IFERROR(VLOOKUP(Tabela3[[#This Row],[Produto]],Tabela2[],13,0),0)</f>
        <v>17.600000000000001</v>
      </c>
      <c r="AK101" s="40" t="str">
        <f>IFERROR(VLOOKUP(Tabela3[[#This Row],[Produto]],Tabela2[],14,0),0)</f>
        <v>Bambozzi</v>
      </c>
      <c r="AL101" s="40">
        <f>IFERROR(VLOOKUP(Tabela3[[#This Row],[Produto]],Tabela2[],15,0),0)</f>
        <v>15</v>
      </c>
      <c r="AM101" s="36">
        <f ca="1">(Tabela3[[#This Row],[Custo Usinagem]]+Tabela3[[#This Row],[Custo / Pç]])*1.2</f>
        <v>93.749567281382767</v>
      </c>
      <c r="AN101" s="36">
        <f ca="1">Tabela3[[#This Row],[Valor Mínimo Venda]]*1.15</f>
        <v>107.81200237359018</v>
      </c>
      <c r="AO101" s="36">
        <f ca="1">Tabela3[[#This Row],[Tabela 1]]*1.08</f>
        <v>116.43696256347739</v>
      </c>
      <c r="AP101" s="36">
        <f ca="1">Tabela3[[#This Row],[Tabela 2]]*1.15</f>
        <v>133.902506947999</v>
      </c>
    </row>
    <row r="102" spans="1:42">
      <c r="A102" s="9">
        <v>45730</v>
      </c>
      <c r="B102" s="6" t="s">
        <v>257</v>
      </c>
      <c r="C102" s="14">
        <v>5856</v>
      </c>
      <c r="D102" s="6" t="s">
        <v>44</v>
      </c>
      <c r="E102" s="6" t="s">
        <v>47</v>
      </c>
      <c r="F102" s="6">
        <v>34</v>
      </c>
      <c r="G102" s="15">
        <v>0.17777777777777778</v>
      </c>
      <c r="H102" s="16">
        <v>0</v>
      </c>
      <c r="I102" s="35">
        <f ca="1">IFERROR(Tabela3[[#This Row],[Custo Total]]/Tabela3[[#This Row],[Aluminio Util]],0)</f>
        <v>30.705947956543589</v>
      </c>
      <c r="J102" s="35">
        <f ca="1">Tabela3[[#This Row],[Custo Total]]/Tabela3[[#This Row],[Realizado]]</f>
        <v>3.8382434945679487</v>
      </c>
      <c r="K102" s="37">
        <f>IFERROR(Tabela3[[#This Row],[Qtde Cx Produzida]]/Tabela3[[#This Row],[Tempo]]/24,0)</f>
        <v>7.96875</v>
      </c>
      <c r="L102" s="37">
        <f>Tabela3[[#This Row],[Qtde Cx Produzida]]*Tabela3[[#This Row],[Qdt Peça Placa]]</f>
        <v>272</v>
      </c>
      <c r="M102" s="37">
        <f>Tabela3[[#This Row],[Previsto]]-Tabela3[[#This Row],[Perda Pçs]]</f>
        <v>272</v>
      </c>
      <c r="N102" s="38">
        <f>IFERROR(Tabela3[[#This Row],[Perda Pçs]]/Tabela3[[#This Row],[Previsto]],0)</f>
        <v>0</v>
      </c>
      <c r="O102" s="39">
        <f>IFERROR(IF(Tabela3[[#This Row],[Qtde Cx Produzida]] &lt;&gt; 0, Tabela3[[#This Row],[Tempo]] / Tabela3[[#This Row],[Qtde Cx Produzida]], 0),0)</f>
        <v>5.228758169934641E-3</v>
      </c>
      <c r="P102" s="57">
        <f>IFERROR(Tabela3[[#This Row],[Perda Pçs]]/Tabela3[[#This Row],[Qdt Peça Placa]],0)</f>
        <v>0</v>
      </c>
      <c r="Q102" s="37">
        <f>IFERROR(Tabela3[[#This Row],[Realizado]]*Tabela3[[#This Row],[Peso Util/Pç]],0)</f>
        <v>34</v>
      </c>
      <c r="R102" s="37">
        <f>IFERROR(Tabela3[[#This Row],[Peso Total Galho]]*Tabela3[[#This Row],[Qtde Cx Produzida]]*1.055,0)</f>
        <v>78.914000000000001</v>
      </c>
      <c r="S102" s="37">
        <f>(Tabela3[[#This Row],[Aluminio Bruto]]-Tabela3[[#This Row],[Aluminio Util]])*0.9</f>
        <v>40.422600000000003</v>
      </c>
      <c r="T102" s="37">
        <f>Tabela3[[#This Row],[Aluminio Bruto]]/OleoKGAluminio</f>
        <v>33.19901776517829</v>
      </c>
      <c r="U102" s="35">
        <f>IFERROR((VLOOKUP(Tabela3[[#This Row],[Moldador]],Tabela1[],5,)+(VLOOKUP(Tabela3[[#This Row],[Ajudante]],Tabela1[],5,))*3.5),0)</f>
        <v>99.95034583333333</v>
      </c>
      <c r="V102" s="35">
        <f>IFERROR(Tabela3[[#This Row],[Custo M.O. / H]]/((Tabela3[[#This Row],[Realizado]]/Tabela3[[#This Row],[Qdt Peça Placa]])/Tabela3[[#This Row],[Tempo]]/24),)</f>
        <v>12.542788496732026</v>
      </c>
      <c r="W102" s="35">
        <f>Tabela3[[#This Row],[Custo / Cx Moldada]]*Tabela3[[#This Row],[Qtde Cx Produzida]]</f>
        <v>426.45480888888886</v>
      </c>
      <c r="X102" s="35">
        <f ca="1">Tabela3[[#This Row],[Aluminio Util]]*Tabela3[[#This Row],[Custo/Kg]]</f>
        <v>530.40000000000009</v>
      </c>
      <c r="Y102" s="35">
        <f>IFERROR(VLOOKUP(Tabela3[[#This Row],[Data]],Tabela461213[],2,1)*(Tabela3[[#This Row],[Qtde Cx Produzida]]*Tabela3[[#This Row],[Qde macho / CX]]*Tabela3[[#This Row],[Peso Macho]]),)</f>
        <v>0</v>
      </c>
      <c r="Z102" s="35">
        <f>IFERROR(Tabela3[[#This Row],[Qtde Oleo]]*(VLOOKUP(Tabela3[[#This Row],[Data]],CompraOleo[],3,TRUE))*1.05,0)</f>
        <v>87.147421633593012</v>
      </c>
      <c r="AA102" s="47">
        <f ca="1">(Tabela3[[#This Row],[Custo Oleo]]+Tabela3[[#This Row],[Custo Aluminio]]+Tabela3[[#This Row],[Custo M.O. Total]]+Tabela3[[#This Row],[Custo Machos]])</f>
        <v>1044.002230522482</v>
      </c>
      <c r="AB102" s="47">
        <f ca="1">Tabela3[[#This Row],[Custo Total]]*Tabela3[[#This Row],[% Perda]]</f>
        <v>0</v>
      </c>
      <c r="AC102" s="48">
        <f>IFERROR(VLOOKUP(Tabela3[[#This Row],[Produto]],Tabela2[],2,0),0)</f>
        <v>8</v>
      </c>
      <c r="AD102" s="48">
        <f>IFERROR(VLOOKUP(Tabela3[[#This Row],[Produto]],Tabela2[],3,0),0)</f>
        <v>0.125</v>
      </c>
      <c r="AE102" s="48">
        <f>IFERROR(VLOOKUP(Tabela3[[#This Row],[Produto]],Tabela2[],4,0),0)</f>
        <v>2.2000000000000002</v>
      </c>
      <c r="AF102" s="48">
        <f>IFERROR(VLOOKUP(Tabela3[[#This Row],[Produto]],Tabela2[],5,0),0)</f>
        <v>1.0800000000000003</v>
      </c>
      <c r="AG102" s="40">
        <f>IFERROR(VLOOKUP(Tabela3[[#This Row],[Produto]],Tabela2[],6,0),0)</f>
        <v>0</v>
      </c>
      <c r="AH102" s="40">
        <f>IFERROR(VLOOKUP(Tabela3[[#This Row],[Produto]],Tabela2[],7,0),0)</f>
        <v>0</v>
      </c>
      <c r="AI102" s="40">
        <f>IFERROR(VLOOKUP(Tabela3[[#This Row],[Produto]],Tabela2[],8,0),0)</f>
        <v>0</v>
      </c>
      <c r="AJ102" s="35">
        <f ca="1">IFERROR(VLOOKUP(Tabela3[[#This Row],[Produto]],Tabela2[],13,0),0)</f>
        <v>15.600000000000001</v>
      </c>
      <c r="AK102" s="40" t="str">
        <f>IFERROR(VLOOKUP(Tabela3[[#This Row],[Produto]],Tabela2[],14,0),0)</f>
        <v>Senun</v>
      </c>
      <c r="AL102" s="40">
        <f>IFERROR(VLOOKUP(Tabela3[[#This Row],[Produto]],Tabela2[],15,0),0)</f>
        <v>7</v>
      </c>
      <c r="AM102" s="36">
        <f ca="1">(Tabela3[[#This Row],[Custo Usinagem]]+Tabela3[[#This Row],[Custo / Pç]])*1.2</f>
        <v>13.005892193481538</v>
      </c>
      <c r="AN102" s="36">
        <f ca="1">Tabela3[[#This Row],[Valor Mínimo Venda]]*1.15</f>
        <v>14.956776022503767</v>
      </c>
      <c r="AO102" s="36">
        <f ca="1">Tabela3[[#This Row],[Tabela 1]]*1.08</f>
        <v>16.15331810430407</v>
      </c>
      <c r="AP102" s="36">
        <f ca="1">Tabela3[[#This Row],[Tabela 2]]*1.15</f>
        <v>18.576315819949677</v>
      </c>
    </row>
    <row r="103" spans="1:42">
      <c r="A103" s="9">
        <v>45730</v>
      </c>
      <c r="B103" s="6" t="s">
        <v>229</v>
      </c>
      <c r="C103" s="14">
        <v>5928</v>
      </c>
      <c r="D103" s="6" t="s">
        <v>44</v>
      </c>
      <c r="E103" s="6" t="s">
        <v>47</v>
      </c>
      <c r="F103" s="6">
        <v>20</v>
      </c>
      <c r="G103" s="15">
        <v>9.8611111111111108E-2</v>
      </c>
      <c r="H103" s="16">
        <v>0</v>
      </c>
      <c r="I103" s="35">
        <f ca="1">IFERROR(Tabela3[[#This Row],[Custo Total]]/Tabela3[[#This Row],[Aluminio Util]],0)</f>
        <v>21.367565333070839</v>
      </c>
      <c r="J103" s="35">
        <f ca="1">Tabela3[[#This Row],[Custo Total]]/Tabela3[[#This Row],[Realizado]]</f>
        <v>59.572772148601494</v>
      </c>
      <c r="K103" s="37">
        <f>IFERROR(Tabela3[[#This Row],[Qtde Cx Produzida]]/Tabela3[[#This Row],[Tempo]]/24,0)</f>
        <v>8.4507042253521139</v>
      </c>
      <c r="L103" s="37">
        <f>Tabela3[[#This Row],[Qtde Cx Produzida]]*Tabela3[[#This Row],[Qdt Peça Placa]]</f>
        <v>20</v>
      </c>
      <c r="M103" s="37">
        <f>Tabela3[[#This Row],[Previsto]]-Tabela3[[#This Row],[Perda Pçs]]</f>
        <v>20</v>
      </c>
      <c r="N103" s="38">
        <f>IFERROR(Tabela3[[#This Row],[Perda Pçs]]/Tabela3[[#This Row],[Previsto]],0)</f>
        <v>0</v>
      </c>
      <c r="O103" s="39">
        <f>IFERROR(IF(Tabela3[[#This Row],[Qtde Cx Produzida]] &lt;&gt; 0, Tabela3[[#This Row],[Tempo]] / Tabela3[[#This Row],[Qtde Cx Produzida]], 0),0)</f>
        <v>4.9305555555555552E-3</v>
      </c>
      <c r="P103" s="57">
        <f>IFERROR(Tabela3[[#This Row],[Perda Pçs]]/Tabela3[[#This Row],[Qdt Peça Placa]],0)</f>
        <v>0</v>
      </c>
      <c r="Q103" s="37">
        <f>IFERROR(Tabela3[[#This Row],[Realizado]]*Tabela3[[#This Row],[Peso Util/Pç]],0)</f>
        <v>55.76</v>
      </c>
      <c r="R103" s="37">
        <f>IFERROR(Tabela3[[#This Row],[Peso Total Galho]]*Tabela3[[#This Row],[Qtde Cx Produzida]]*1.055,0)</f>
        <v>77.015000000000001</v>
      </c>
      <c r="S103" s="37">
        <f>(Tabela3[[#This Row],[Aluminio Bruto]]-Tabela3[[#This Row],[Aluminio Util]])*0.9</f>
        <v>19.129500000000004</v>
      </c>
      <c r="T103" s="37">
        <f>Tabela3[[#This Row],[Aluminio Bruto]]/OleoKGAluminio</f>
        <v>32.400110920561701</v>
      </c>
      <c r="U103" s="35">
        <f>IFERROR((VLOOKUP(Tabela3[[#This Row],[Moldador]],Tabela1[],5,)+(VLOOKUP(Tabela3[[#This Row],[Ajudante]],Tabela1[],5,))*3.5),0)</f>
        <v>99.95034583333333</v>
      </c>
      <c r="V103" s="35">
        <f>IFERROR(Tabela3[[#This Row],[Custo M.O. / H]]/((Tabela3[[#This Row],[Realizado]]/Tabela3[[#This Row],[Qdt Peça Placa]])/Tabela3[[#This Row],[Tempo]]/24),)</f>
        <v>11.827457590277776</v>
      </c>
      <c r="W103" s="35">
        <f>Tabela3[[#This Row],[Custo / Cx Moldada]]*Tabela3[[#This Row],[Qtde Cx Produzida]]</f>
        <v>236.54915180555551</v>
      </c>
      <c r="X103" s="35">
        <f ca="1">Tabela3[[#This Row],[Aluminio Util]]*Tabela3[[#This Row],[Custo/Kg]]</f>
        <v>869.85599999999999</v>
      </c>
      <c r="Y103" s="35">
        <f>IFERROR(VLOOKUP(Tabela3[[#This Row],[Data]],Tabela461213[],2,1)*(Tabela3[[#This Row],[Qtde Cx Produzida]]*Tabela3[[#This Row],[Qde macho / CX]]*Tabela3[[#This Row],[Peso Macho]]),)</f>
        <v>0</v>
      </c>
      <c r="Z103" s="35">
        <f>IFERROR(Tabela3[[#This Row],[Qtde Oleo]]*(VLOOKUP(Tabela3[[#This Row],[Data]],CompraOleo[],3,TRUE))*1.05,0)</f>
        <v>85.050291166474466</v>
      </c>
      <c r="AA103" s="47">
        <f ca="1">(Tabela3[[#This Row],[Custo Oleo]]+Tabela3[[#This Row],[Custo Aluminio]]+Tabela3[[#This Row],[Custo M.O. Total]]+Tabela3[[#This Row],[Custo Machos]])</f>
        <v>1191.4554429720299</v>
      </c>
      <c r="AB103" s="47">
        <f ca="1">Tabela3[[#This Row],[Custo Total]]*Tabela3[[#This Row],[% Perda]]</f>
        <v>0</v>
      </c>
      <c r="AC103" s="48">
        <f>IFERROR(VLOOKUP(Tabela3[[#This Row],[Produto]],Tabela2[],2,0),0)</f>
        <v>1</v>
      </c>
      <c r="AD103" s="48">
        <f>IFERROR(VLOOKUP(Tabela3[[#This Row],[Produto]],Tabela2[],3,0),0)</f>
        <v>2.7879999999999998</v>
      </c>
      <c r="AE103" s="48">
        <f>IFERROR(VLOOKUP(Tabela3[[#This Row],[Produto]],Tabela2[],4,0),0)</f>
        <v>3.65</v>
      </c>
      <c r="AF103" s="48">
        <f>IFERROR(VLOOKUP(Tabela3[[#This Row],[Produto]],Tabela2[],5,0),0)</f>
        <v>0.77580000000000016</v>
      </c>
      <c r="AG103" s="40">
        <f>IFERROR(VLOOKUP(Tabela3[[#This Row],[Produto]],Tabela2[],6,0),0)</f>
        <v>0</v>
      </c>
      <c r="AH103" s="40">
        <f>IFERROR(VLOOKUP(Tabela3[[#This Row],[Produto]],Tabela2[],7,0),0)</f>
        <v>0</v>
      </c>
      <c r="AI103" s="40">
        <f>IFERROR(VLOOKUP(Tabela3[[#This Row],[Produto]],Tabela2[],8,0),0)</f>
        <v>0</v>
      </c>
      <c r="AJ103" s="35">
        <f ca="1">IFERROR(VLOOKUP(Tabela3[[#This Row],[Produto]],Tabela2[],13,0),0)</f>
        <v>15.600000000000001</v>
      </c>
      <c r="AK103" s="40" t="str">
        <f>IFERROR(VLOOKUP(Tabela3[[#This Row],[Produto]],Tabela2[],14,0),0)</f>
        <v>Jumil</v>
      </c>
      <c r="AL103" s="40">
        <f>IFERROR(VLOOKUP(Tabela3[[#This Row],[Produto]],Tabela2[],15,0),0)</f>
        <v>35</v>
      </c>
      <c r="AM103" s="36">
        <f ca="1">(Tabela3[[#This Row],[Custo Usinagem]]+Tabela3[[#This Row],[Custo / Pç]])*1.2</f>
        <v>113.4873265783218</v>
      </c>
      <c r="AN103" s="36">
        <f ca="1">Tabela3[[#This Row],[Valor Mínimo Venda]]*1.15</f>
        <v>130.51042556507005</v>
      </c>
      <c r="AO103" s="36">
        <f ca="1">Tabela3[[#This Row],[Tabela 1]]*1.08</f>
        <v>140.95125961027566</v>
      </c>
      <c r="AP103" s="36">
        <f ca="1">Tabela3[[#This Row],[Tabela 2]]*1.15</f>
        <v>162.09394855181699</v>
      </c>
    </row>
    <row r="104" spans="1:42">
      <c r="A104" s="9">
        <v>45733</v>
      </c>
      <c r="B104" s="6" t="s">
        <v>288</v>
      </c>
      <c r="C104" s="14">
        <v>5891</v>
      </c>
      <c r="D104" s="6" t="s">
        <v>46</v>
      </c>
      <c r="E104" s="6" t="s">
        <v>44</v>
      </c>
      <c r="F104" s="6">
        <v>17</v>
      </c>
      <c r="G104" s="15">
        <v>7.5694444444444439E-2</v>
      </c>
      <c r="H104" s="16">
        <v>0</v>
      </c>
      <c r="I104" s="35">
        <f ca="1">IFERROR(Tabela3[[#This Row],[Custo Total]]/Tabela3[[#This Row],[Aluminio Util]],0)</f>
        <v>24.989062897204121</v>
      </c>
      <c r="J104" s="35">
        <f ca="1">Tabela3[[#This Row],[Custo Total]]/Tabela3[[#This Row],[Realizado]]</f>
        <v>63.222329129926429</v>
      </c>
      <c r="K104" s="37">
        <f>IFERROR(Tabela3[[#This Row],[Qtde Cx Produzida]]/Tabela3[[#This Row],[Tempo]]/24,0)</f>
        <v>9.3577981651376145</v>
      </c>
      <c r="L104" s="37">
        <f>Tabela3[[#This Row],[Qtde Cx Produzida]]*Tabela3[[#This Row],[Qdt Peça Placa]]</f>
        <v>17</v>
      </c>
      <c r="M104" s="37">
        <f>Tabela3[[#This Row],[Previsto]]-Tabela3[[#This Row],[Perda Pçs]]</f>
        <v>17</v>
      </c>
      <c r="N104" s="38">
        <f>IFERROR(Tabela3[[#This Row],[Perda Pçs]]/Tabela3[[#This Row],[Previsto]],0)</f>
        <v>0</v>
      </c>
      <c r="O104" s="39">
        <f>IFERROR(IF(Tabela3[[#This Row],[Qtde Cx Produzida]] &lt;&gt; 0, Tabela3[[#This Row],[Tempo]] / Tabela3[[#This Row],[Qtde Cx Produzida]], 0),0)</f>
        <v>4.4526143790849671E-3</v>
      </c>
      <c r="P104" s="57">
        <f>IFERROR(Tabela3[[#This Row],[Perda Pçs]]/Tabela3[[#This Row],[Qdt Peça Placa]],0)</f>
        <v>0</v>
      </c>
      <c r="Q104" s="37">
        <f>IFERROR(Tabela3[[#This Row],[Realizado]]*Tabela3[[#This Row],[Peso Util/Pç]],0)</f>
        <v>43.01</v>
      </c>
      <c r="R104" s="37">
        <f>IFERROR(Tabela3[[#This Row],[Peso Total Galho]]*Tabela3[[#This Row],[Qtde Cx Produzida]]*1.055,0)</f>
        <v>80.348800000000011</v>
      </c>
      <c r="S104" s="37">
        <f>(Tabela3[[#This Row],[Aluminio Bruto]]-Tabela3[[#This Row],[Aluminio Util]])*0.9</f>
        <v>33.604920000000014</v>
      </c>
      <c r="T104" s="37">
        <f>Tabela3[[#This Row],[Aluminio Bruto]]/OleoKGAluminio</f>
        <v>33.802636269999716</v>
      </c>
      <c r="U104" s="35">
        <f>IFERROR((VLOOKUP(Tabela3[[#This Row],[Moldador]],Tabela1[],5,)+(VLOOKUP(Tabela3[[#This Row],[Ajudante]],Tabela1[],5,))*3.5),0)</f>
        <v>126.0945</v>
      </c>
      <c r="V104" s="35">
        <f>IFERROR(Tabela3[[#This Row],[Custo M.O. / H]]/((Tabela3[[#This Row],[Realizado]]/Tabela3[[#This Row],[Qdt Peça Placa]])/Tabela3[[#This Row],[Tempo]]/24),)</f>
        <v>13.474804411764707</v>
      </c>
      <c r="W104" s="35">
        <f>Tabela3[[#This Row],[Custo / Cx Moldada]]*Tabela3[[#This Row],[Qtde Cx Produzida]]</f>
        <v>229.071675</v>
      </c>
      <c r="X104" s="35">
        <f ca="1">Tabela3[[#This Row],[Aluminio Util]]*Tabela3[[#This Row],[Custo/Kg]]</f>
        <v>756.976</v>
      </c>
      <c r="Y104" s="35">
        <f>IFERROR(VLOOKUP(Tabela3[[#This Row],[Data]],Tabela461213[],2,1)*(Tabela3[[#This Row],[Qtde Cx Produzida]]*Tabela3[[#This Row],[Qde macho / CX]]*Tabela3[[#This Row],[Peso Macho]]),)</f>
        <v>0</v>
      </c>
      <c r="Z104" s="35">
        <f>IFERROR(Tabela3[[#This Row],[Qtde Oleo]]*(VLOOKUP(Tabela3[[#This Row],[Data]],CompraOleo[],3,TRUE))*1.05,0)</f>
        <v>88.731920208749258</v>
      </c>
      <c r="AA104" s="47">
        <f ca="1">(Tabela3[[#This Row],[Custo Oleo]]+Tabela3[[#This Row],[Custo Aluminio]]+Tabela3[[#This Row],[Custo M.O. Total]]+Tabela3[[#This Row],[Custo Machos]])</f>
        <v>1074.7795952087492</v>
      </c>
      <c r="AB104" s="47">
        <f ca="1">Tabela3[[#This Row],[Custo Total]]*Tabela3[[#This Row],[% Perda]]</f>
        <v>0</v>
      </c>
      <c r="AC104" s="48">
        <f>IFERROR(VLOOKUP(Tabela3[[#This Row],[Produto]],Tabela2[],2,0),0)</f>
        <v>1</v>
      </c>
      <c r="AD104" s="48">
        <f>IFERROR(VLOOKUP(Tabela3[[#This Row],[Produto]],Tabela2[],3,0),0)</f>
        <v>2.5299999999999998</v>
      </c>
      <c r="AE104" s="48">
        <f>IFERROR(VLOOKUP(Tabela3[[#This Row],[Produto]],Tabela2[],4,0),0)</f>
        <v>4.4800000000000004</v>
      </c>
      <c r="AF104" s="48">
        <f>IFERROR(VLOOKUP(Tabela3[[#This Row],[Produto]],Tabela2[],5,0),0)</f>
        <v>1.7550000000000006</v>
      </c>
      <c r="AG104" s="40">
        <f>IFERROR(VLOOKUP(Tabela3[[#This Row],[Produto]],Tabela2[],6,0),0)</f>
        <v>0</v>
      </c>
      <c r="AH104" s="40">
        <f>IFERROR(VLOOKUP(Tabela3[[#This Row],[Produto]],Tabela2[],7,0),0)</f>
        <v>0</v>
      </c>
      <c r="AI104" s="40">
        <f>IFERROR(VLOOKUP(Tabela3[[#This Row],[Produto]],Tabela2[],8,0),0)</f>
        <v>0</v>
      </c>
      <c r="AJ104" s="35">
        <f ca="1">IFERROR(VLOOKUP(Tabela3[[#This Row],[Produto]],Tabela2[],13,0),0)</f>
        <v>17.600000000000001</v>
      </c>
      <c r="AK104" s="40" t="str">
        <f>IFERROR(VLOOKUP(Tabela3[[#This Row],[Produto]],Tabela2[],14,0),0)</f>
        <v>Bambozzi</v>
      </c>
      <c r="AL104" s="40">
        <f>IFERROR(VLOOKUP(Tabela3[[#This Row],[Produto]],Tabela2[],15,0),0)</f>
        <v>15</v>
      </c>
      <c r="AM104" s="36">
        <f ca="1">(Tabela3[[#This Row],[Custo Usinagem]]+Tabela3[[#This Row],[Custo / Pç]])*1.2</f>
        <v>93.866794955911715</v>
      </c>
      <c r="AN104" s="36">
        <f ca="1">Tabela3[[#This Row],[Valor Mínimo Venda]]*1.15</f>
        <v>107.94681419929846</v>
      </c>
      <c r="AO104" s="36">
        <f ca="1">Tabela3[[#This Row],[Tabela 1]]*1.08</f>
        <v>116.58255933524234</v>
      </c>
      <c r="AP104" s="36">
        <f ca="1">Tabela3[[#This Row],[Tabela 2]]*1.15</f>
        <v>134.06994323552868</v>
      </c>
    </row>
    <row r="105" spans="1:42">
      <c r="A105" s="9">
        <v>45733</v>
      </c>
      <c r="B105" s="6" t="s">
        <v>291</v>
      </c>
      <c r="C105" s="14">
        <v>5968</v>
      </c>
      <c r="D105" s="6" t="s">
        <v>46</v>
      </c>
      <c r="E105" s="6" t="s">
        <v>44</v>
      </c>
      <c r="F105" s="6">
        <v>15</v>
      </c>
      <c r="G105" s="15">
        <v>0.12847222222222221</v>
      </c>
      <c r="H105" s="16">
        <v>0</v>
      </c>
      <c r="I105" s="35">
        <f ca="1">IFERROR(Tabela3[[#This Row],[Custo Total]]/Tabela3[[#This Row],[Aluminio Util]],0)</f>
        <v>29.701084465936361</v>
      </c>
      <c r="J105" s="35">
        <f ca="1">Tabela3[[#This Row],[Custo Total]]/Tabela3[[#This Row],[Realizado]]</f>
        <v>72.767656941544089</v>
      </c>
      <c r="K105" s="37">
        <f>IFERROR(Tabela3[[#This Row],[Qtde Cx Produzida]]/Tabela3[[#This Row],[Tempo]]/24,0)</f>
        <v>4.8648648648648658</v>
      </c>
      <c r="L105" s="37">
        <f>Tabela3[[#This Row],[Qtde Cx Produzida]]*Tabela3[[#This Row],[Qdt Peça Placa]]</f>
        <v>15</v>
      </c>
      <c r="M105" s="37">
        <f>Tabela3[[#This Row],[Previsto]]-Tabela3[[#This Row],[Perda Pçs]]</f>
        <v>15</v>
      </c>
      <c r="N105" s="38">
        <f>IFERROR(Tabela3[[#This Row],[Perda Pçs]]/Tabela3[[#This Row],[Previsto]],0)</f>
        <v>0</v>
      </c>
      <c r="O105" s="39">
        <f>IFERROR(IF(Tabela3[[#This Row],[Qtde Cx Produzida]] &lt;&gt; 0, Tabela3[[#This Row],[Tempo]] / Tabela3[[#This Row],[Qtde Cx Produzida]], 0),0)</f>
        <v>8.5648148148148133E-3</v>
      </c>
      <c r="P105" s="57">
        <f>IFERROR(Tabela3[[#This Row],[Perda Pçs]]/Tabela3[[#This Row],[Qdt Peça Placa]],0)</f>
        <v>0</v>
      </c>
      <c r="Q105" s="37">
        <f>IFERROR(Tabela3[[#This Row],[Realizado]]*Tabela3[[#This Row],[Peso Util/Pç]],0)</f>
        <v>36.75</v>
      </c>
      <c r="R105" s="37">
        <f>IFERROR(Tabela3[[#This Row],[Peso Total Galho]]*Tabela3[[#This Row],[Qtde Cx Produzida]]*1.055,0)</f>
        <v>50.64</v>
      </c>
      <c r="S105" s="37">
        <f>(Tabela3[[#This Row],[Aluminio Bruto]]-Tabela3[[#This Row],[Aluminio Util]])*0.9</f>
        <v>12.501000000000001</v>
      </c>
      <c r="T105" s="37">
        <f>Tabela3[[#This Row],[Aluminio Bruto]]/OleoKGAluminio</f>
        <v>21.304182523109063</v>
      </c>
      <c r="U105" s="35">
        <f>IFERROR((VLOOKUP(Tabela3[[#This Row],[Moldador]],Tabela1[],5,)+(VLOOKUP(Tabela3[[#This Row],[Ajudante]],Tabela1[],5,))*3.5),0)</f>
        <v>126.0945</v>
      </c>
      <c r="V105" s="35">
        <f>IFERROR(Tabela3[[#This Row],[Custo M.O. / H]]/((Tabela3[[#This Row],[Realizado]]/Tabela3[[#This Row],[Qdt Peça Placa]])/Tabela3[[#This Row],[Tempo]]/24),)</f>
        <v>25.919424999999993</v>
      </c>
      <c r="W105" s="35">
        <f>Tabela3[[#This Row],[Custo / Cx Moldada]]*Tabela3[[#This Row],[Qtde Cx Produzida]]</f>
        <v>388.7913749999999</v>
      </c>
      <c r="X105" s="35">
        <f ca="1">Tabela3[[#This Row],[Aluminio Util]]*Tabela3[[#This Row],[Custo/Kg]]</f>
        <v>646.80000000000007</v>
      </c>
      <c r="Y105" s="35">
        <f>IFERROR(VLOOKUP(Tabela3[[#This Row],[Data]],Tabela461213[],2,1)*(Tabela3[[#This Row],[Qtde Cx Produzida]]*Tabela3[[#This Row],[Qde macho / CX]]*Tabela3[[#This Row],[Peso Macho]]),)</f>
        <v>0</v>
      </c>
      <c r="Z105" s="35">
        <f>IFERROR(Tabela3[[#This Row],[Qtde Oleo]]*(VLOOKUP(Tabela3[[#This Row],[Data]],CompraOleo[],3,TRUE))*1.05,0)</f>
        <v>55.923479123161293</v>
      </c>
      <c r="AA105" s="47">
        <f ca="1">(Tabela3[[#This Row],[Custo Oleo]]+Tabela3[[#This Row],[Custo Aluminio]]+Tabela3[[#This Row],[Custo M.O. Total]]+Tabela3[[#This Row],[Custo Machos]])</f>
        <v>1091.5148541231613</v>
      </c>
      <c r="AB105" s="47">
        <f ca="1">Tabela3[[#This Row],[Custo Total]]*Tabela3[[#This Row],[% Perda]]</f>
        <v>0</v>
      </c>
      <c r="AC105" s="48">
        <f>IFERROR(VLOOKUP(Tabela3[[#This Row],[Produto]],Tabela2[],2,0),0)</f>
        <v>1</v>
      </c>
      <c r="AD105" s="48">
        <f>IFERROR(VLOOKUP(Tabela3[[#This Row],[Produto]],Tabela2[],3,0),0)</f>
        <v>2.4500000000000002</v>
      </c>
      <c r="AE105" s="48">
        <f>IFERROR(VLOOKUP(Tabela3[[#This Row],[Produto]],Tabela2[],4,0),0)</f>
        <v>3.2</v>
      </c>
      <c r="AF105" s="48">
        <f>IFERROR(VLOOKUP(Tabela3[[#This Row],[Produto]],Tabela2[],5,0),0)</f>
        <v>0.67500000000000004</v>
      </c>
      <c r="AG105" s="40">
        <f>IFERROR(VLOOKUP(Tabela3[[#This Row],[Produto]],Tabela2[],6,0),0)</f>
        <v>0</v>
      </c>
      <c r="AH105" s="40">
        <f>IFERROR(VLOOKUP(Tabela3[[#This Row],[Produto]],Tabela2[],7,0),0)</f>
        <v>0</v>
      </c>
      <c r="AI105" s="40">
        <f>IFERROR(VLOOKUP(Tabela3[[#This Row],[Produto]],Tabela2[],8,0),0)</f>
        <v>0</v>
      </c>
      <c r="AJ105" s="35">
        <f ca="1">IFERROR(VLOOKUP(Tabela3[[#This Row],[Produto]],Tabela2[],13,0),0)</f>
        <v>17.600000000000001</v>
      </c>
      <c r="AK105" s="40" t="str">
        <f>IFERROR(VLOOKUP(Tabela3[[#This Row],[Produto]],Tabela2[],14,0),0)</f>
        <v>Bambozzi</v>
      </c>
      <c r="AL105" s="40">
        <f>IFERROR(VLOOKUP(Tabela3[[#This Row],[Produto]],Tabela2[],15,0),0)</f>
        <v>12</v>
      </c>
      <c r="AM105" s="36">
        <f ca="1">(Tabela3[[#This Row],[Custo Usinagem]]+Tabela3[[#This Row],[Custo / Pç]])*1.2</f>
        <v>101.72118832985291</v>
      </c>
      <c r="AN105" s="36">
        <f ca="1">Tabela3[[#This Row],[Valor Mínimo Venda]]*1.15</f>
        <v>116.97936657933083</v>
      </c>
      <c r="AO105" s="36">
        <f ca="1">Tabela3[[#This Row],[Tabela 1]]*1.08</f>
        <v>126.3377159056773</v>
      </c>
      <c r="AP105" s="36">
        <f ca="1">Tabela3[[#This Row],[Tabela 2]]*1.15</f>
        <v>145.28837329152887</v>
      </c>
    </row>
    <row r="106" spans="1:42">
      <c r="A106" s="9">
        <v>45733</v>
      </c>
      <c r="B106" s="6" t="s">
        <v>241</v>
      </c>
      <c r="C106" s="14">
        <v>5927</v>
      </c>
      <c r="D106" s="6" t="s">
        <v>46</v>
      </c>
      <c r="E106" s="6" t="s">
        <v>44</v>
      </c>
      <c r="F106" s="6">
        <v>26</v>
      </c>
      <c r="G106" s="15">
        <v>0.1423611111111111</v>
      </c>
      <c r="H106" s="16">
        <v>5</v>
      </c>
      <c r="I106" s="35">
        <f ca="1">IFERROR(Tabela3[[#This Row],[Custo Total]]/Tabela3[[#This Row],[Aluminio Util]],0)</f>
        <v>25.228937066333067</v>
      </c>
      <c r="J106" s="35">
        <f ca="1">Tabela3[[#This Row],[Custo Total]]/Tabela3[[#This Row],[Realizado]]</f>
        <v>15.465338421662171</v>
      </c>
      <c r="K106" s="37">
        <f>IFERROR(Tabela3[[#This Row],[Qtde Cx Produzida]]/Tabela3[[#This Row],[Tempo]]/24,0)</f>
        <v>7.6097560975609762</v>
      </c>
      <c r="L106" s="37">
        <f>Tabela3[[#This Row],[Qtde Cx Produzida]]*Tabela3[[#This Row],[Qdt Peça Placa]]</f>
        <v>104</v>
      </c>
      <c r="M106" s="37">
        <f>Tabela3[[#This Row],[Previsto]]-Tabela3[[#This Row],[Perda Pçs]]</f>
        <v>99</v>
      </c>
      <c r="N106" s="38">
        <f>IFERROR(Tabela3[[#This Row],[Perda Pçs]]/Tabela3[[#This Row],[Previsto]],0)</f>
        <v>4.807692307692308E-2</v>
      </c>
      <c r="O106" s="39">
        <f>IFERROR(IF(Tabela3[[#This Row],[Qtde Cx Produzida]] &lt;&gt; 0, Tabela3[[#This Row],[Tempo]] / Tabela3[[#This Row],[Qtde Cx Produzida]], 0),0)</f>
        <v>5.4754273504273501E-3</v>
      </c>
      <c r="P106" s="57">
        <f>IFERROR(Tabela3[[#This Row],[Perda Pçs]]/Tabela3[[#This Row],[Qdt Peça Placa]],0)</f>
        <v>1.25</v>
      </c>
      <c r="Q106" s="37">
        <f>IFERROR(Tabela3[[#This Row],[Realizado]]*Tabela3[[#This Row],[Peso Util/Pç]],0)</f>
        <v>60.686999999999998</v>
      </c>
      <c r="R106" s="37">
        <f>IFERROR(Tabela3[[#This Row],[Peso Total Galho]]*Tabela3[[#This Row],[Qtde Cx Produzida]]*1.055,0)</f>
        <v>119.32049999999998</v>
      </c>
      <c r="S106" s="37">
        <f>(Tabela3[[#This Row],[Aluminio Bruto]]-Tabela3[[#This Row],[Aluminio Util]])*0.9</f>
        <v>52.770149999999987</v>
      </c>
      <c r="T106" s="37">
        <f>Tabela3[[#This Row],[Aluminio Bruto]]/OleoKGAluminio</f>
        <v>50.197980070075722</v>
      </c>
      <c r="U106" s="35">
        <f>IFERROR((VLOOKUP(Tabela3[[#This Row],[Moldador]],Tabela1[],5,)+(VLOOKUP(Tabela3[[#This Row],[Ajudante]],Tabela1[],5,))*3.5),0)</f>
        <v>126.0945</v>
      </c>
      <c r="V106" s="35">
        <f>IFERROR(Tabela3[[#This Row],[Custo M.O. / H]]/((Tabela3[[#This Row],[Realizado]]/Tabela3[[#This Row],[Qdt Peça Placa]])/Tabela3[[#This Row],[Tempo]]/24),)</f>
        <v>17.406984848484846</v>
      </c>
      <c r="W106" s="35">
        <f>Tabela3[[#This Row],[Custo / Cx Moldada]]*Tabela3[[#This Row],[Qtde Cx Produzida]]</f>
        <v>452.58160606060602</v>
      </c>
      <c r="X106" s="35">
        <f ca="1">Tabela3[[#This Row],[Aluminio Util]]*Tabela3[[#This Row],[Custo/Kg]]</f>
        <v>946.71720000000005</v>
      </c>
      <c r="Y106" s="35">
        <f>IFERROR(VLOOKUP(Tabela3[[#This Row],[Data]],Tabela461213[],2,1)*(Tabela3[[#This Row],[Qtde Cx Produzida]]*Tabela3[[#This Row],[Qde macho / CX]]*Tabela3[[#This Row],[Peso Macho]]),)</f>
        <v>0</v>
      </c>
      <c r="Z106" s="35">
        <f>IFERROR(Tabela3[[#This Row],[Qtde Oleo]]*(VLOOKUP(Tabela3[[#This Row],[Data]],CompraOleo[],3,TRUE))*1.05,0)</f>
        <v>131.76969768394878</v>
      </c>
      <c r="AA106" s="47">
        <f ca="1">(Tabela3[[#This Row],[Custo Oleo]]+Tabela3[[#This Row],[Custo Aluminio]]+Tabela3[[#This Row],[Custo M.O. Total]]+Tabela3[[#This Row],[Custo Machos]])</f>
        <v>1531.0685037445548</v>
      </c>
      <c r="AB106" s="47">
        <f ca="1">Tabela3[[#This Row],[Custo Total]]*Tabela3[[#This Row],[% Perda]]</f>
        <v>73.609062680026682</v>
      </c>
      <c r="AC106" s="48">
        <f>IFERROR(VLOOKUP(Tabela3[[#This Row],[Produto]],Tabela2[],2,0),0)</f>
        <v>4</v>
      </c>
      <c r="AD106" s="48">
        <f>IFERROR(VLOOKUP(Tabela3[[#This Row],[Produto]],Tabela2[],3,0),0)</f>
        <v>0.61299999999999999</v>
      </c>
      <c r="AE106" s="48">
        <f>IFERROR(VLOOKUP(Tabela3[[#This Row],[Produto]],Tabela2[],4,0),0)</f>
        <v>4.3499999999999996</v>
      </c>
      <c r="AF106" s="48">
        <f>IFERROR(VLOOKUP(Tabela3[[#This Row],[Produto]],Tabela2[],5,0),0)</f>
        <v>1.7081999999999997</v>
      </c>
      <c r="AG106" s="40">
        <f>IFERROR(VLOOKUP(Tabela3[[#This Row],[Produto]],Tabela2[],6,0),0)</f>
        <v>0</v>
      </c>
      <c r="AH106" s="40">
        <f>IFERROR(VLOOKUP(Tabela3[[#This Row],[Produto]],Tabela2[],7,0),0)</f>
        <v>0</v>
      </c>
      <c r="AI106" s="40">
        <f>IFERROR(VLOOKUP(Tabela3[[#This Row],[Produto]],Tabela2[],8,0),0)</f>
        <v>0</v>
      </c>
      <c r="AJ106" s="35">
        <f ca="1">IFERROR(VLOOKUP(Tabela3[[#This Row],[Produto]],Tabela2[],13,0),0)</f>
        <v>15.600000000000001</v>
      </c>
      <c r="AK106" s="40" t="str">
        <f>IFERROR(VLOOKUP(Tabela3[[#This Row],[Produto]],Tabela2[],14,0),0)</f>
        <v>Senun</v>
      </c>
      <c r="AL106" s="40">
        <f>IFERROR(VLOOKUP(Tabela3[[#This Row],[Produto]],Tabela2[],15,0),0)</f>
        <v>4</v>
      </c>
      <c r="AM106" s="36">
        <f ca="1">(Tabela3[[#This Row],[Custo Usinagem]]+Tabela3[[#This Row],[Custo / Pç]])*1.2</f>
        <v>23.358406105994604</v>
      </c>
      <c r="AN106" s="36">
        <f ca="1">Tabela3[[#This Row],[Valor Mínimo Venda]]*1.15</f>
        <v>26.862167021893793</v>
      </c>
      <c r="AO106" s="36">
        <f ca="1">Tabela3[[#This Row],[Tabela 1]]*1.08</f>
        <v>29.011140383645298</v>
      </c>
      <c r="AP106" s="36">
        <f ca="1">Tabela3[[#This Row],[Tabela 2]]*1.15</f>
        <v>33.362811441192093</v>
      </c>
    </row>
    <row r="107" spans="1:42">
      <c r="A107" s="9">
        <v>45734</v>
      </c>
      <c r="B107" s="6" t="s">
        <v>241</v>
      </c>
      <c r="C107" s="14">
        <v>5927</v>
      </c>
      <c r="D107" s="6" t="s">
        <v>46</v>
      </c>
      <c r="E107" s="6" t="s">
        <v>53</v>
      </c>
      <c r="F107" s="6">
        <v>24</v>
      </c>
      <c r="G107" s="15">
        <v>0.13055555555555556</v>
      </c>
      <c r="H107" s="16">
        <v>0</v>
      </c>
      <c r="I107" s="35">
        <f ca="1">IFERROR(Tabela3[[#This Row],[Custo Total]]/Tabela3[[#This Row],[Aluminio Util]],0)</f>
        <v>22.988718688326767</v>
      </c>
      <c r="J107" s="35">
        <f ca="1">Tabela3[[#This Row],[Custo Total]]/Tabela3[[#This Row],[Realizado]]</f>
        <v>14.092084555944309</v>
      </c>
      <c r="K107" s="37">
        <f>IFERROR(Tabela3[[#This Row],[Qtde Cx Produzida]]/Tabela3[[#This Row],[Tempo]]/24,0)</f>
        <v>7.6595744680851068</v>
      </c>
      <c r="L107" s="37">
        <f>Tabela3[[#This Row],[Qtde Cx Produzida]]*Tabela3[[#This Row],[Qdt Peça Placa]]</f>
        <v>96</v>
      </c>
      <c r="M107" s="37">
        <f>Tabela3[[#This Row],[Previsto]]-Tabela3[[#This Row],[Perda Pçs]]</f>
        <v>96</v>
      </c>
      <c r="N107" s="38">
        <f>IFERROR(Tabela3[[#This Row],[Perda Pçs]]/Tabela3[[#This Row],[Previsto]],0)</f>
        <v>0</v>
      </c>
      <c r="O107" s="39">
        <f>IFERROR(IF(Tabela3[[#This Row],[Qtde Cx Produzida]] &lt;&gt; 0, Tabela3[[#This Row],[Tempo]] / Tabela3[[#This Row],[Qtde Cx Produzida]], 0),0)</f>
        <v>5.4398148148148149E-3</v>
      </c>
      <c r="P107" s="57">
        <f>IFERROR(Tabela3[[#This Row],[Perda Pçs]]/Tabela3[[#This Row],[Qdt Peça Placa]],0)</f>
        <v>0</v>
      </c>
      <c r="Q107" s="37">
        <f>IFERROR(Tabela3[[#This Row],[Realizado]]*Tabela3[[#This Row],[Peso Util/Pç]],0)</f>
        <v>58.847999999999999</v>
      </c>
      <c r="R107" s="37">
        <f>IFERROR(Tabela3[[#This Row],[Peso Total Galho]]*Tabela3[[#This Row],[Qtde Cx Produzida]]*1.055,0)</f>
        <v>110.14199999999998</v>
      </c>
      <c r="S107" s="37">
        <f>(Tabela3[[#This Row],[Aluminio Bruto]]-Tabela3[[#This Row],[Aluminio Util]])*0.9</f>
        <v>46.164599999999986</v>
      </c>
      <c r="T107" s="37">
        <f>Tabela3[[#This Row],[Aluminio Bruto]]/OleoKGAluminio</f>
        <v>46.336596987762206</v>
      </c>
      <c r="U107" s="35">
        <f>IFERROR((VLOOKUP(Tabela3[[#This Row],[Moldador]],Tabela1[],5,)+(VLOOKUP(Tabela3[[#This Row],[Ajudante]],Tabela1[],5,))*3.5),0)</f>
        <v>99.95034583333333</v>
      </c>
      <c r="V107" s="35">
        <f>IFERROR(Tabela3[[#This Row],[Custo M.O. / H]]/((Tabela3[[#This Row],[Realizado]]/Tabela3[[#This Row],[Qdt Peça Placa]])/Tabela3[[#This Row],[Tempo]]/24),)</f>
        <v>13.04907292824074</v>
      </c>
      <c r="W107" s="35">
        <f>Tabela3[[#This Row],[Custo / Cx Moldada]]*Tabela3[[#This Row],[Qtde Cx Produzida]]</f>
        <v>313.17775027777776</v>
      </c>
      <c r="X107" s="35">
        <f ca="1">Tabela3[[#This Row],[Aluminio Util]]*Tabela3[[#This Row],[Custo/Kg]]</f>
        <v>918.02880000000005</v>
      </c>
      <c r="Y107" s="35">
        <f>IFERROR(VLOOKUP(Tabela3[[#This Row],[Data]],Tabela461213[],2,1)*(Tabela3[[#This Row],[Qtde Cx Produzida]]*Tabela3[[#This Row],[Qde macho / CX]]*Tabela3[[#This Row],[Peso Macho]]),)</f>
        <v>0</v>
      </c>
      <c r="Z107" s="35">
        <f>IFERROR(Tabela3[[#This Row],[Qtde Oleo]]*(VLOOKUP(Tabela3[[#This Row],[Data]],CompraOleo[],3,TRUE))*1.05,0)</f>
        <v>121.63356709287581</v>
      </c>
      <c r="AA107" s="47">
        <f ca="1">(Tabela3[[#This Row],[Custo Oleo]]+Tabela3[[#This Row],[Custo Aluminio]]+Tabela3[[#This Row],[Custo M.O. Total]]+Tabela3[[#This Row],[Custo Machos]])</f>
        <v>1352.8401173706536</v>
      </c>
      <c r="AB107" s="47">
        <f ca="1">Tabela3[[#This Row],[Custo Total]]*Tabela3[[#This Row],[% Perda]]</f>
        <v>0</v>
      </c>
      <c r="AC107" s="48">
        <f>IFERROR(VLOOKUP(Tabela3[[#This Row],[Produto]],Tabela2[],2,0),0)</f>
        <v>4</v>
      </c>
      <c r="AD107" s="48">
        <f>IFERROR(VLOOKUP(Tabela3[[#This Row],[Produto]],Tabela2[],3,0),0)</f>
        <v>0.61299999999999999</v>
      </c>
      <c r="AE107" s="48">
        <f>IFERROR(VLOOKUP(Tabela3[[#This Row],[Produto]],Tabela2[],4,0),0)</f>
        <v>4.3499999999999996</v>
      </c>
      <c r="AF107" s="48">
        <f>IFERROR(VLOOKUP(Tabela3[[#This Row],[Produto]],Tabela2[],5,0),0)</f>
        <v>1.7081999999999997</v>
      </c>
      <c r="AG107" s="40">
        <f>IFERROR(VLOOKUP(Tabela3[[#This Row],[Produto]],Tabela2[],6,0),0)</f>
        <v>0</v>
      </c>
      <c r="AH107" s="40">
        <f>IFERROR(VLOOKUP(Tabela3[[#This Row],[Produto]],Tabela2[],7,0),0)</f>
        <v>0</v>
      </c>
      <c r="AI107" s="40">
        <f>IFERROR(VLOOKUP(Tabela3[[#This Row],[Produto]],Tabela2[],8,0),0)</f>
        <v>0</v>
      </c>
      <c r="AJ107" s="35">
        <f ca="1">IFERROR(VLOOKUP(Tabela3[[#This Row],[Produto]],Tabela2[],13,0),0)</f>
        <v>15.600000000000001</v>
      </c>
      <c r="AK107" s="40" t="str">
        <f>IFERROR(VLOOKUP(Tabela3[[#This Row],[Produto]],Tabela2[],14,0),0)</f>
        <v>Senun</v>
      </c>
      <c r="AL107" s="40">
        <f>IFERROR(VLOOKUP(Tabela3[[#This Row],[Produto]],Tabela2[],15,0),0)</f>
        <v>4</v>
      </c>
      <c r="AM107" s="36">
        <f ca="1">(Tabela3[[#This Row],[Custo Usinagem]]+Tabela3[[#This Row],[Custo / Pç]])*1.2</f>
        <v>21.710501467133174</v>
      </c>
      <c r="AN107" s="36">
        <f ca="1">Tabela3[[#This Row],[Valor Mínimo Venda]]*1.15</f>
        <v>24.967076687203146</v>
      </c>
      <c r="AO107" s="36">
        <f ca="1">Tabela3[[#This Row],[Tabela 1]]*1.08</f>
        <v>26.9644428221794</v>
      </c>
      <c r="AP107" s="36">
        <f ca="1">Tabela3[[#This Row],[Tabela 2]]*1.15</f>
        <v>31.009109245506309</v>
      </c>
    </row>
    <row r="108" spans="1:42">
      <c r="A108" s="9">
        <v>45734</v>
      </c>
      <c r="B108" s="6" t="s">
        <v>248</v>
      </c>
      <c r="C108" s="14">
        <v>5926</v>
      </c>
      <c r="D108" s="6" t="s">
        <v>46</v>
      </c>
      <c r="E108" s="6" t="s">
        <v>53</v>
      </c>
      <c r="F108" s="6">
        <v>41</v>
      </c>
      <c r="G108" s="15">
        <v>0.22291666666666668</v>
      </c>
      <c r="H108" s="16">
        <v>23</v>
      </c>
      <c r="I108" s="35">
        <f ca="1">IFERROR(Tabela3[[#This Row],[Custo Total]]/Tabela3[[#This Row],[Aluminio Util]],0)</f>
        <v>30.097936840545785</v>
      </c>
      <c r="J108" s="35">
        <f ca="1">Tabela3[[#This Row],[Custo Total]]/Tabela3[[#This Row],[Realizado]]</f>
        <v>10.77506138891539</v>
      </c>
      <c r="K108" s="37">
        <f>IFERROR(Tabela3[[#This Row],[Qtde Cx Produzida]]/Tabela3[[#This Row],[Tempo]]/24,0)</f>
        <v>7.6635514018691593</v>
      </c>
      <c r="L108" s="37">
        <f>Tabela3[[#This Row],[Qtde Cx Produzida]]*Tabela3[[#This Row],[Qdt Peça Placa]]</f>
        <v>164</v>
      </c>
      <c r="M108" s="37">
        <f>Tabela3[[#This Row],[Previsto]]-Tabela3[[#This Row],[Perda Pçs]]</f>
        <v>141</v>
      </c>
      <c r="N108" s="38">
        <f>IFERROR(Tabela3[[#This Row],[Perda Pçs]]/Tabela3[[#This Row],[Previsto]],0)</f>
        <v>0.1402439024390244</v>
      </c>
      <c r="O108" s="39">
        <f>IFERROR(IF(Tabela3[[#This Row],[Qtde Cx Produzida]] &lt;&gt; 0, Tabela3[[#This Row],[Tempo]] / Tabela3[[#This Row],[Qtde Cx Produzida]], 0),0)</f>
        <v>5.4369918699186991E-3</v>
      </c>
      <c r="P108" s="57">
        <f>IFERROR(Tabela3[[#This Row],[Perda Pçs]]/Tabela3[[#This Row],[Qdt Peça Placa]],0)</f>
        <v>5.75</v>
      </c>
      <c r="Q108" s="37">
        <f>IFERROR(Tabela3[[#This Row],[Realizado]]*Tabela3[[#This Row],[Peso Util/Pç]],0)</f>
        <v>50.477999999999994</v>
      </c>
      <c r="R108" s="37">
        <f>IFERROR(Tabela3[[#This Row],[Peso Total Galho]]*Tabela3[[#This Row],[Qtde Cx Produzida]]*1.055,0)</f>
        <v>99.486499999999992</v>
      </c>
      <c r="S108" s="37">
        <f>(Tabela3[[#This Row],[Aluminio Bruto]]-Tabela3[[#This Row],[Aluminio Util]])*0.9</f>
        <v>44.10765</v>
      </c>
      <c r="T108" s="37">
        <f>Tabela3[[#This Row],[Aluminio Bruto]]/OleoKGAluminio</f>
        <v>41.853841915191346</v>
      </c>
      <c r="U108" s="35">
        <f>IFERROR((VLOOKUP(Tabela3[[#This Row],[Moldador]],Tabela1[],5,)+(VLOOKUP(Tabela3[[#This Row],[Ajudante]],Tabela1[],5,))*3.5),0)</f>
        <v>99.95034583333333</v>
      </c>
      <c r="V108" s="35">
        <f>IFERROR(Tabela3[[#This Row],[Custo M.O. / H]]/((Tabela3[[#This Row],[Realizado]]/Tabela3[[#This Row],[Qdt Peça Placa]])/Tabela3[[#This Row],[Tempo]]/24),)</f>
        <v>15.169768800236406</v>
      </c>
      <c r="W108" s="35">
        <f>Tabela3[[#This Row],[Custo / Cx Moldada]]*Tabela3[[#This Row],[Qtde Cx Produzida]]</f>
        <v>621.96052080969264</v>
      </c>
      <c r="X108" s="35">
        <f ca="1">Tabela3[[#This Row],[Aluminio Util]]*Tabela3[[#This Row],[Custo/Kg]]</f>
        <v>787.45679999999993</v>
      </c>
      <c r="Y108" s="35">
        <f>IFERROR(VLOOKUP(Tabela3[[#This Row],[Data]],Tabela461213[],2,1)*(Tabela3[[#This Row],[Qtde Cx Produzida]]*Tabela3[[#This Row],[Qde macho / CX]]*Tabela3[[#This Row],[Peso Macho]]),)</f>
        <v>0</v>
      </c>
      <c r="Z108" s="35">
        <f>IFERROR(Tabela3[[#This Row],[Qtde Oleo]]*(VLOOKUP(Tabela3[[#This Row],[Data]],CompraOleo[],3,TRUE))*1.05,0)</f>
        <v>109.86633502737729</v>
      </c>
      <c r="AA108" s="47">
        <f ca="1">(Tabela3[[#This Row],[Custo Oleo]]+Tabela3[[#This Row],[Custo Aluminio]]+Tabela3[[#This Row],[Custo M.O. Total]]+Tabela3[[#This Row],[Custo Machos]])</f>
        <v>1519.28365583707</v>
      </c>
      <c r="AB108" s="47">
        <f ca="1">Tabela3[[#This Row],[Custo Total]]*Tabela3[[#This Row],[% Perda]]</f>
        <v>213.07026880641837</v>
      </c>
      <c r="AC108" s="48">
        <f>IFERROR(VLOOKUP(Tabela3[[#This Row],[Produto]],Tabela2[],2,0),0)</f>
        <v>4</v>
      </c>
      <c r="AD108" s="48">
        <f>IFERROR(VLOOKUP(Tabela3[[#This Row],[Produto]],Tabela2[],3,0),0)</f>
        <v>0.35799999999999998</v>
      </c>
      <c r="AE108" s="48">
        <f>IFERROR(VLOOKUP(Tabela3[[#This Row],[Produto]],Tabela2[],4,0),0)</f>
        <v>2.2999999999999998</v>
      </c>
      <c r="AF108" s="48">
        <f>IFERROR(VLOOKUP(Tabela3[[#This Row],[Produto]],Tabela2[],5,0),0)</f>
        <v>0.78119999999999989</v>
      </c>
      <c r="AG108" s="40">
        <f>IFERROR(VLOOKUP(Tabela3[[#This Row],[Produto]],Tabela2[],6,0),0)</f>
        <v>0</v>
      </c>
      <c r="AH108" s="40">
        <f>IFERROR(VLOOKUP(Tabela3[[#This Row],[Produto]],Tabela2[],7,0),0)</f>
        <v>0</v>
      </c>
      <c r="AI108" s="40">
        <f>IFERROR(VLOOKUP(Tabela3[[#This Row],[Produto]],Tabela2[],8,0),0)</f>
        <v>0</v>
      </c>
      <c r="AJ108" s="35">
        <f ca="1">IFERROR(VLOOKUP(Tabela3[[#This Row],[Produto]],Tabela2[],13,0),0)</f>
        <v>15.600000000000001</v>
      </c>
      <c r="AK108" s="40" t="str">
        <f>IFERROR(VLOOKUP(Tabela3[[#This Row],[Produto]],Tabela2[],14,0),0)</f>
        <v>Senun</v>
      </c>
      <c r="AL108" s="40">
        <f>IFERROR(VLOOKUP(Tabela3[[#This Row],[Produto]],Tabela2[],15,0),0)</f>
        <v>4</v>
      </c>
      <c r="AM108" s="36">
        <f ca="1">(Tabela3[[#This Row],[Custo Usinagem]]+Tabela3[[#This Row],[Custo / Pç]])*1.2</f>
        <v>17.730073666698466</v>
      </c>
      <c r="AN108" s="36">
        <f ca="1">Tabela3[[#This Row],[Valor Mínimo Venda]]*1.15</f>
        <v>20.389584716703233</v>
      </c>
      <c r="AO108" s="36">
        <f ca="1">Tabela3[[#This Row],[Tabela 1]]*1.08</f>
        <v>22.020751494039494</v>
      </c>
      <c r="AP108" s="36">
        <f ca="1">Tabela3[[#This Row],[Tabela 2]]*1.15</f>
        <v>25.323864218145417</v>
      </c>
    </row>
    <row r="109" spans="1:42">
      <c r="A109" s="9">
        <v>45734</v>
      </c>
      <c r="B109" s="6" t="s">
        <v>245</v>
      </c>
      <c r="C109" s="14">
        <v>5944</v>
      </c>
      <c r="D109" s="6" t="s">
        <v>44</v>
      </c>
      <c r="E109" s="6" t="s">
        <v>47</v>
      </c>
      <c r="F109" s="6">
        <v>48</v>
      </c>
      <c r="G109" s="15">
        <v>0.22083333333333333</v>
      </c>
      <c r="H109" s="16">
        <v>25</v>
      </c>
      <c r="I109" s="35">
        <f ca="1">IFERROR(Tabela3[[#This Row],[Custo Total]]/Tabela3[[#This Row],[Aluminio Util]],0)</f>
        <v>28.904645335748629</v>
      </c>
      <c r="J109" s="35">
        <f ca="1">Tabela3[[#This Row],[Custo Total]]/Tabela3[[#This Row],[Realizado]]</f>
        <v>9.5963422514685455</v>
      </c>
      <c r="K109" s="37">
        <f>IFERROR(Tabela3[[#This Row],[Qtde Cx Produzida]]/Tabela3[[#This Row],[Tempo]]/24,0)</f>
        <v>9.0566037735849054</v>
      </c>
      <c r="L109" s="37">
        <f>Tabela3[[#This Row],[Qtde Cx Produzida]]*Tabela3[[#This Row],[Qdt Peça Placa]]</f>
        <v>192</v>
      </c>
      <c r="M109" s="37">
        <f>Tabela3[[#This Row],[Previsto]]-Tabela3[[#This Row],[Perda Pçs]]</f>
        <v>167</v>
      </c>
      <c r="N109" s="38">
        <f>IFERROR(Tabela3[[#This Row],[Perda Pçs]]/Tabela3[[#This Row],[Previsto]],0)</f>
        <v>0.13020833333333334</v>
      </c>
      <c r="O109" s="39">
        <f>IFERROR(IF(Tabela3[[#This Row],[Qtde Cx Produzida]] &lt;&gt; 0, Tabela3[[#This Row],[Tempo]] / Tabela3[[#This Row],[Qtde Cx Produzida]], 0),0)</f>
        <v>4.6006944444444446E-3</v>
      </c>
      <c r="P109" s="57">
        <f>IFERROR(Tabela3[[#This Row],[Perda Pçs]]/Tabela3[[#This Row],[Qdt Peça Placa]],0)</f>
        <v>6.25</v>
      </c>
      <c r="Q109" s="37">
        <f>IFERROR(Tabela3[[#This Row],[Realizado]]*Tabela3[[#This Row],[Peso Util/Pç]],0)</f>
        <v>55.444000000000003</v>
      </c>
      <c r="R109" s="37">
        <f>IFERROR(Tabela3[[#This Row],[Peso Total Galho]]*Tabela3[[#This Row],[Qtde Cx Produzida]]*1.055,0)</f>
        <v>116.47199999999998</v>
      </c>
      <c r="S109" s="37">
        <f>(Tabela3[[#This Row],[Aluminio Bruto]]-Tabela3[[#This Row],[Aluminio Util]])*0.9</f>
        <v>54.925199999999982</v>
      </c>
      <c r="T109" s="37">
        <f>Tabela3[[#This Row],[Aluminio Bruto]]/OleoKGAluminio</f>
        <v>48.999619803150836</v>
      </c>
      <c r="U109" s="35">
        <f>IFERROR((VLOOKUP(Tabela3[[#This Row],[Moldador]],Tabela1[],5,)+(VLOOKUP(Tabela3[[#This Row],[Ajudante]],Tabela1[],5,))*3.5),0)</f>
        <v>99.95034583333333</v>
      </c>
      <c r="V109" s="35">
        <f>IFERROR(Tabela3[[#This Row],[Custo M.O. / H]]/((Tabela3[[#This Row],[Realizado]]/Tabela3[[#This Row],[Qdt Peça Placa]])/Tabela3[[#This Row],[Tempo]]/24),)</f>
        <v>12.688307375249499</v>
      </c>
      <c r="W109" s="35">
        <f>Tabela3[[#This Row],[Custo / Cx Moldada]]*Tabela3[[#This Row],[Qtde Cx Produzida]]</f>
        <v>609.03875401197593</v>
      </c>
      <c r="X109" s="35">
        <f ca="1">Tabela3[[#This Row],[Aluminio Util]]*Tabela3[[#This Row],[Custo/Kg]]</f>
        <v>864.92640000000017</v>
      </c>
      <c r="Y109" s="35">
        <f>IFERROR(VLOOKUP(Tabela3[[#This Row],[Data]],Tabela461213[],2,1)*(Tabela3[[#This Row],[Qtde Cx Produzida]]*Tabela3[[#This Row],[Qde macho / CX]]*Tabela3[[#This Row],[Peso Macho]]),)</f>
        <v>0</v>
      </c>
      <c r="Z109" s="35">
        <f>IFERROR(Tabela3[[#This Row],[Qtde Oleo]]*(VLOOKUP(Tabela3[[#This Row],[Data]],CompraOleo[],3,TRUE))*1.05,0)</f>
        <v>128.62400198327094</v>
      </c>
      <c r="AA109" s="47">
        <f ca="1">(Tabela3[[#This Row],[Custo Oleo]]+Tabela3[[#This Row],[Custo Aluminio]]+Tabela3[[#This Row],[Custo M.O. Total]]+Tabela3[[#This Row],[Custo Machos]])</f>
        <v>1602.589155995247</v>
      </c>
      <c r="AB109" s="47">
        <f ca="1">Tabela3[[#This Row],[Custo Total]]*Tabela3[[#This Row],[% Perda]]</f>
        <v>208.67046302021447</v>
      </c>
      <c r="AC109" s="48">
        <f>IFERROR(VLOOKUP(Tabela3[[#This Row],[Produto]],Tabela2[],2,0),0)</f>
        <v>4</v>
      </c>
      <c r="AD109" s="48">
        <f>IFERROR(VLOOKUP(Tabela3[[#This Row],[Produto]],Tabela2[],3,0),0)</f>
        <v>0.33200000000000002</v>
      </c>
      <c r="AE109" s="48">
        <f>IFERROR(VLOOKUP(Tabela3[[#This Row],[Produto]],Tabela2[],4,0),0)</f>
        <v>2.2999999999999998</v>
      </c>
      <c r="AF109" s="48">
        <f>IFERROR(VLOOKUP(Tabela3[[#This Row],[Produto]],Tabela2[],5,0),0)</f>
        <v>0.8747999999999998</v>
      </c>
      <c r="AG109" s="40">
        <f>IFERROR(VLOOKUP(Tabela3[[#This Row],[Produto]],Tabela2[],6,0),0)</f>
        <v>0</v>
      </c>
      <c r="AH109" s="40">
        <f>IFERROR(VLOOKUP(Tabela3[[#This Row],[Produto]],Tabela2[],7,0),0)</f>
        <v>0</v>
      </c>
      <c r="AI109" s="40">
        <f>IFERROR(VLOOKUP(Tabela3[[#This Row],[Produto]],Tabela2[],8,0),0)</f>
        <v>0</v>
      </c>
      <c r="AJ109" s="35">
        <f ca="1">IFERROR(VLOOKUP(Tabela3[[#This Row],[Produto]],Tabela2[],13,0),0)</f>
        <v>15.600000000000001</v>
      </c>
      <c r="AK109" s="40" t="str">
        <f>IFERROR(VLOOKUP(Tabela3[[#This Row],[Produto]],Tabela2[],14,0),0)</f>
        <v>Senun</v>
      </c>
      <c r="AL109" s="40">
        <f>IFERROR(VLOOKUP(Tabela3[[#This Row],[Produto]],Tabela2[],15,0),0)</f>
        <v>3.5</v>
      </c>
      <c r="AM109" s="36">
        <f ca="1">(Tabela3[[#This Row],[Custo Usinagem]]+Tabela3[[#This Row],[Custo / Pç]])*1.2</f>
        <v>15.715610701762253</v>
      </c>
      <c r="AN109" s="36">
        <f ca="1">Tabela3[[#This Row],[Valor Mínimo Venda]]*1.15</f>
        <v>18.07295230702659</v>
      </c>
      <c r="AO109" s="36">
        <f ca="1">Tabela3[[#This Row],[Tabela 1]]*1.08</f>
        <v>19.518788491588719</v>
      </c>
      <c r="AP109" s="36">
        <f ca="1">Tabela3[[#This Row],[Tabela 2]]*1.15</f>
        <v>22.446606765327026</v>
      </c>
    </row>
    <row r="110" spans="1:42">
      <c r="A110" s="9">
        <v>45734</v>
      </c>
      <c r="B110" s="6" t="s">
        <v>227</v>
      </c>
      <c r="C110" s="14">
        <v>5711</v>
      </c>
      <c r="D110" s="6" t="s">
        <v>44</v>
      </c>
      <c r="E110" s="6" t="s">
        <v>47</v>
      </c>
      <c r="F110" s="6">
        <v>7</v>
      </c>
      <c r="G110" s="15">
        <v>0.11180555555555556</v>
      </c>
      <c r="H110" s="16">
        <v>0</v>
      </c>
      <c r="I110" s="35">
        <f ca="1">IFERROR(Tabela3[[#This Row],[Custo Total]]/Tabela3[[#This Row],[Aluminio Util]],0)</f>
        <v>20.270422266902013</v>
      </c>
      <c r="J110" s="35">
        <f ca="1">Tabela3[[#This Row],[Custo Total]]/Tabela3[[#This Row],[Realizado]]</f>
        <v>547.3014012063544</v>
      </c>
      <c r="K110" s="37">
        <f>IFERROR(Tabela3[[#This Row],[Qtde Cx Produzida]]/Tabela3[[#This Row],[Tempo]]/24,0)</f>
        <v>2.6086956521739126</v>
      </c>
      <c r="L110" s="37">
        <f>Tabela3[[#This Row],[Qtde Cx Produzida]]*Tabela3[[#This Row],[Qdt Peça Placa]]</f>
        <v>7</v>
      </c>
      <c r="M110" s="37">
        <f>Tabela3[[#This Row],[Previsto]]-Tabela3[[#This Row],[Perda Pçs]]</f>
        <v>7</v>
      </c>
      <c r="N110" s="38">
        <f>IFERROR(Tabela3[[#This Row],[Perda Pçs]]/Tabela3[[#This Row],[Previsto]],0)</f>
        <v>0</v>
      </c>
      <c r="O110" s="39">
        <f>IFERROR(IF(Tabela3[[#This Row],[Qtde Cx Produzida]] &lt;&gt; 0, Tabela3[[#This Row],[Tempo]] / Tabela3[[#This Row],[Qtde Cx Produzida]], 0),0)</f>
        <v>1.5972222222222224E-2</v>
      </c>
      <c r="P110" s="57">
        <f>IFERROR(Tabela3[[#This Row],[Perda Pçs]]/Tabela3[[#This Row],[Qdt Peça Placa]],0)</f>
        <v>0</v>
      </c>
      <c r="Q110" s="37">
        <f>IFERROR(Tabela3[[#This Row],[Realizado]]*Tabela3[[#This Row],[Peso Util/Pç]],0)</f>
        <v>189</v>
      </c>
      <c r="R110" s="37">
        <f>IFERROR(Tabela3[[#This Row],[Peso Total Galho]]*Tabela3[[#This Row],[Qtde Cx Produzida]]*1.055,0)</f>
        <v>214.16499999999999</v>
      </c>
      <c r="S110" s="37">
        <f>(Tabela3[[#This Row],[Aluminio Bruto]]-Tabela3[[#This Row],[Aluminio Util]])*0.9</f>
        <v>22.648499999999995</v>
      </c>
      <c r="T110" s="37">
        <f>Tabela3[[#This Row],[Aluminio Bruto]]/OleoKGAluminio</f>
        <v>90.098938587315416</v>
      </c>
      <c r="U110" s="35">
        <f>IFERROR((VLOOKUP(Tabela3[[#This Row],[Moldador]],Tabela1[],5,)+(VLOOKUP(Tabela3[[#This Row],[Ajudante]],Tabela1[],5,))*3.5),0)</f>
        <v>99.95034583333333</v>
      </c>
      <c r="V110" s="35">
        <f>IFERROR(Tabela3[[#This Row],[Custo M.O. / H]]/((Tabela3[[#This Row],[Realizado]]/Tabela3[[#This Row],[Qdt Peça Placa]])/Tabela3[[#This Row],[Tempo]]/24),)</f>
        <v>38.314299236111118</v>
      </c>
      <c r="W110" s="35">
        <f>Tabela3[[#This Row],[Custo / Cx Moldada]]*Tabela3[[#This Row],[Qtde Cx Produzida]]</f>
        <v>268.20009465277781</v>
      </c>
      <c r="X110" s="35">
        <f ca="1">Tabela3[[#This Row],[Aluminio Util]]*Tabela3[[#This Row],[Custo/Kg]]</f>
        <v>3326.4</v>
      </c>
      <c r="Y110" s="35">
        <f>IFERROR(VLOOKUP(Tabela3[[#This Row],[Data]],Tabela461213[],2,1)*(Tabela3[[#This Row],[Qtde Cx Produzida]]*Tabela3[[#This Row],[Qde macho / CX]]*Tabela3[[#This Row],[Peso Macho]]),)</f>
        <v>0</v>
      </c>
      <c r="Z110" s="35">
        <f>IFERROR(Tabela3[[#This Row],[Qtde Oleo]]*(VLOOKUP(Tabela3[[#This Row],[Data]],CompraOleo[],3,TRUE))*1.05,0)</f>
        <v>236.50971379170295</v>
      </c>
      <c r="AA110" s="47">
        <f ca="1">(Tabela3[[#This Row],[Custo Oleo]]+Tabela3[[#This Row],[Custo Aluminio]]+Tabela3[[#This Row],[Custo M.O. Total]]+Tabela3[[#This Row],[Custo Machos]])</f>
        <v>3831.1098084444807</v>
      </c>
      <c r="AB110" s="47">
        <f ca="1">Tabela3[[#This Row],[Custo Total]]*Tabela3[[#This Row],[% Perda]]</f>
        <v>0</v>
      </c>
      <c r="AC110" s="48">
        <f>IFERROR(VLOOKUP(Tabela3[[#This Row],[Produto]],Tabela2[],2,0),0)</f>
        <v>1</v>
      </c>
      <c r="AD110" s="48">
        <f>IFERROR(VLOOKUP(Tabela3[[#This Row],[Produto]],Tabela2[],3,0),0)</f>
        <v>27</v>
      </c>
      <c r="AE110" s="48">
        <f>IFERROR(VLOOKUP(Tabela3[[#This Row],[Produto]],Tabela2[],4,0),0)</f>
        <v>29</v>
      </c>
      <c r="AF110" s="48">
        <f>IFERROR(VLOOKUP(Tabela3[[#This Row],[Produto]],Tabela2[],5,0),0)</f>
        <v>1.8</v>
      </c>
      <c r="AG110" s="40">
        <f>IFERROR(VLOOKUP(Tabela3[[#This Row],[Produto]],Tabela2[],6,0),0)</f>
        <v>0</v>
      </c>
      <c r="AH110" s="40">
        <f>IFERROR(VLOOKUP(Tabela3[[#This Row],[Produto]],Tabela2[],7,0),0)</f>
        <v>0</v>
      </c>
      <c r="AI110" s="40">
        <f>IFERROR(VLOOKUP(Tabela3[[#This Row],[Produto]],Tabela2[],8,0),0)</f>
        <v>0</v>
      </c>
      <c r="AJ110" s="35">
        <f ca="1">IFERROR(VLOOKUP(Tabela3[[#This Row],[Produto]],Tabela2[],13,0),0)</f>
        <v>17.600000000000001</v>
      </c>
      <c r="AK110" s="40" t="str">
        <f>IFERROR(VLOOKUP(Tabela3[[#This Row],[Produto]],Tabela2[],14,0),0)</f>
        <v>Oscar</v>
      </c>
      <c r="AL110" s="40">
        <f>IFERROR(VLOOKUP(Tabela3[[#This Row],[Produto]],Tabela2[],15,0),0)</f>
        <v>0</v>
      </c>
      <c r="AM110" s="36">
        <f ca="1">(Tabela3[[#This Row],[Custo Usinagem]]+Tabela3[[#This Row],[Custo / Pç]])*1.2</f>
        <v>656.76168144762528</v>
      </c>
      <c r="AN110" s="36">
        <f ca="1">Tabela3[[#This Row],[Valor Mínimo Venda]]*1.15</f>
        <v>755.27593366476901</v>
      </c>
      <c r="AO110" s="36">
        <f ca="1">Tabela3[[#This Row],[Tabela 1]]*1.08</f>
        <v>815.69800835795058</v>
      </c>
      <c r="AP110" s="36">
        <f ca="1">Tabela3[[#This Row],[Tabela 2]]*1.15</f>
        <v>938.05270961164308</v>
      </c>
    </row>
    <row r="111" spans="1:42">
      <c r="A111" s="9">
        <v>45734</v>
      </c>
      <c r="B111" s="6" t="s">
        <v>188</v>
      </c>
      <c r="C111" s="14">
        <v>6045</v>
      </c>
      <c r="D111" s="6" t="s">
        <v>44</v>
      </c>
      <c r="E111" s="6" t="s">
        <v>47</v>
      </c>
      <c r="F111" s="6">
        <v>2</v>
      </c>
      <c r="G111" s="15">
        <v>1.3888888888888888E-2</v>
      </c>
      <c r="H111" s="16">
        <v>0</v>
      </c>
      <c r="I111" s="35">
        <f ca="1">IFERROR(Tabela3[[#This Row],[Custo Total]]/Tabela3[[#This Row],[Aluminio Util]],0)</f>
        <v>19.399052556262042</v>
      </c>
      <c r="J111" s="35">
        <f ca="1">Tabela3[[#This Row],[Custo Total]]/Tabela3[[#This Row],[Realizado]]</f>
        <v>570.33214515410396</v>
      </c>
      <c r="K111" s="37">
        <f>IFERROR(Tabela3[[#This Row],[Qtde Cx Produzida]]/Tabela3[[#This Row],[Tempo]]/24,0)</f>
        <v>6</v>
      </c>
      <c r="L111" s="37">
        <f>Tabela3[[#This Row],[Qtde Cx Produzida]]*Tabela3[[#This Row],[Qdt Peça Placa]]</f>
        <v>2</v>
      </c>
      <c r="M111" s="37">
        <f>Tabela3[[#This Row],[Previsto]]-Tabela3[[#This Row],[Perda Pçs]]</f>
        <v>2</v>
      </c>
      <c r="N111" s="38">
        <f>IFERROR(Tabela3[[#This Row],[Perda Pçs]]/Tabela3[[#This Row],[Previsto]],0)</f>
        <v>0</v>
      </c>
      <c r="O111" s="39">
        <f>IFERROR(IF(Tabela3[[#This Row],[Qtde Cx Produzida]] &lt;&gt; 0, Tabela3[[#This Row],[Tempo]] / Tabela3[[#This Row],[Qtde Cx Produzida]], 0),0)</f>
        <v>6.9444444444444441E-3</v>
      </c>
      <c r="P111" s="57">
        <f>IFERROR(Tabela3[[#This Row],[Perda Pçs]]/Tabela3[[#This Row],[Qdt Peça Placa]],0)</f>
        <v>0</v>
      </c>
      <c r="Q111" s="37">
        <f>IFERROR(Tabela3[[#This Row],[Realizado]]*Tabela3[[#This Row],[Peso Util/Pç]],0)</f>
        <v>58.8</v>
      </c>
      <c r="R111" s="37">
        <f>IFERROR(Tabela3[[#This Row],[Peso Total Galho]]*Tabela3[[#This Row],[Qtde Cx Produzida]]*1.055,0)</f>
        <v>65.620999999999995</v>
      </c>
      <c r="S111" s="37">
        <f>(Tabela3[[#This Row],[Aluminio Bruto]]-Tabela3[[#This Row],[Aluminio Util]])*0.9</f>
        <v>6.1388999999999987</v>
      </c>
      <c r="T111" s="37">
        <f>Tabela3[[#This Row],[Aluminio Bruto]]/OleoKGAluminio</f>
        <v>27.606669852862158</v>
      </c>
      <c r="U111" s="35">
        <f>IFERROR((VLOOKUP(Tabela3[[#This Row],[Moldador]],Tabela1[],5,)+(VLOOKUP(Tabela3[[#This Row],[Ajudante]],Tabela1[],5,))*3.5),0)</f>
        <v>99.95034583333333</v>
      </c>
      <c r="V111" s="35">
        <f>IFERROR(Tabela3[[#This Row],[Custo M.O. / H]]/((Tabela3[[#This Row],[Realizado]]/Tabela3[[#This Row],[Qdt Peça Placa]])/Tabela3[[#This Row],[Tempo]]/24),)</f>
        <v>16.658390972222222</v>
      </c>
      <c r="W111" s="35">
        <f>Tabela3[[#This Row],[Custo / Cx Moldada]]*Tabela3[[#This Row],[Qtde Cx Produzida]]</f>
        <v>33.316781944444443</v>
      </c>
      <c r="X111" s="35">
        <f ca="1">Tabela3[[#This Row],[Aluminio Util]]*Tabela3[[#This Row],[Custo/Kg]]</f>
        <v>1034.8800000000001</v>
      </c>
      <c r="Y111" s="35">
        <f>IFERROR(VLOOKUP(Tabela3[[#This Row],[Data]],Tabela461213[],2,1)*(Tabela3[[#This Row],[Qtde Cx Produzida]]*Tabela3[[#This Row],[Qde macho / CX]]*Tabela3[[#This Row],[Peso Macho]]),)</f>
        <v>0</v>
      </c>
      <c r="Z111" s="35">
        <f>IFERROR(Tabela3[[#This Row],[Qtde Oleo]]*(VLOOKUP(Tabela3[[#This Row],[Data]],CompraOleo[],3,TRUE))*1.05,0)</f>
        <v>72.467508363763173</v>
      </c>
      <c r="AA111" s="47">
        <f ca="1">(Tabela3[[#This Row],[Custo Oleo]]+Tabela3[[#This Row],[Custo Aluminio]]+Tabela3[[#This Row],[Custo M.O. Total]]+Tabela3[[#This Row],[Custo Machos]])</f>
        <v>1140.6642903082079</v>
      </c>
      <c r="AB111" s="47">
        <f ca="1">Tabela3[[#This Row],[Custo Total]]*Tabela3[[#This Row],[% Perda]]</f>
        <v>0</v>
      </c>
      <c r="AC111" s="48">
        <f>IFERROR(VLOOKUP(Tabela3[[#This Row],[Produto]],Tabela2[],2,0),0)</f>
        <v>1</v>
      </c>
      <c r="AD111" s="48">
        <f>IFERROR(VLOOKUP(Tabela3[[#This Row],[Produto]],Tabela2[],3,0),0)</f>
        <v>29.4</v>
      </c>
      <c r="AE111" s="48">
        <f>IFERROR(VLOOKUP(Tabela3[[#This Row],[Produto]],Tabela2[],4,0),0)</f>
        <v>31.1</v>
      </c>
      <c r="AF111" s="48">
        <f>IFERROR(VLOOKUP(Tabela3[[#This Row],[Produto]],Tabela2[],5,0),0)</f>
        <v>1.5300000000000027</v>
      </c>
      <c r="AG111" s="40">
        <f>IFERROR(VLOOKUP(Tabela3[[#This Row],[Produto]],Tabela2[],6,0),0)</f>
        <v>0</v>
      </c>
      <c r="AH111" s="40">
        <f>IFERROR(VLOOKUP(Tabela3[[#This Row],[Produto]],Tabela2[],7,0),0)</f>
        <v>0</v>
      </c>
      <c r="AI111" s="40">
        <f>IFERROR(VLOOKUP(Tabela3[[#This Row],[Produto]],Tabela2[],8,0),0)</f>
        <v>0</v>
      </c>
      <c r="AJ111" s="35">
        <f ca="1">IFERROR(VLOOKUP(Tabela3[[#This Row],[Produto]],Tabela2[],13,0),0)</f>
        <v>17.600000000000001</v>
      </c>
      <c r="AK111" s="40" t="str">
        <f>IFERROR(VLOOKUP(Tabela3[[#This Row],[Produto]],Tabela2[],14,0),0)</f>
        <v>Oscar</v>
      </c>
      <c r="AL111" s="40">
        <f>IFERROR(VLOOKUP(Tabela3[[#This Row],[Produto]],Tabela2[],15,0),0)</f>
        <v>4</v>
      </c>
      <c r="AM111" s="36">
        <f ca="1">(Tabela3[[#This Row],[Custo Usinagem]]+Tabela3[[#This Row],[Custo / Pç]])*1.2</f>
        <v>689.19857418492472</v>
      </c>
      <c r="AN111" s="36">
        <f ca="1">Tabela3[[#This Row],[Valor Mínimo Venda]]*1.15</f>
        <v>792.57836031266334</v>
      </c>
      <c r="AO111" s="36">
        <f ca="1">Tabela3[[#This Row],[Tabela 1]]*1.08</f>
        <v>855.98462913767651</v>
      </c>
      <c r="AP111" s="36">
        <f ca="1">Tabela3[[#This Row],[Tabela 2]]*1.15</f>
        <v>984.38232350832789</v>
      </c>
    </row>
    <row r="112" spans="1:42">
      <c r="A112" s="9">
        <v>45735</v>
      </c>
      <c r="B112" s="6" t="s">
        <v>248</v>
      </c>
      <c r="C112" s="14">
        <v>5926</v>
      </c>
      <c r="D112" s="6" t="s">
        <v>46</v>
      </c>
      <c r="E112" s="6" t="s">
        <v>53</v>
      </c>
      <c r="F112" s="6">
        <v>9</v>
      </c>
      <c r="G112" s="15">
        <v>5.2083333333333336E-2</v>
      </c>
      <c r="H112" s="16">
        <v>5</v>
      </c>
      <c r="I112" s="35">
        <f ca="1">IFERROR(Tabela3[[#This Row],[Custo Total]]/Tabela3[[#This Row],[Aluminio Util]],0)</f>
        <v>30.846550014904643</v>
      </c>
      <c r="J112" s="35">
        <f ca="1">Tabela3[[#This Row],[Custo Total]]/Tabela3[[#This Row],[Realizado]]</f>
        <v>11.043064905335862</v>
      </c>
      <c r="K112" s="37">
        <f>IFERROR(Tabela3[[#This Row],[Qtde Cx Produzida]]/Tabela3[[#This Row],[Tempo]]/24,0)</f>
        <v>7.1999999999999993</v>
      </c>
      <c r="L112" s="37">
        <f>Tabela3[[#This Row],[Qtde Cx Produzida]]*Tabela3[[#This Row],[Qdt Peça Placa]]</f>
        <v>36</v>
      </c>
      <c r="M112" s="37">
        <f>Tabela3[[#This Row],[Previsto]]-Tabela3[[#This Row],[Perda Pçs]]</f>
        <v>31</v>
      </c>
      <c r="N112" s="38">
        <f>IFERROR(Tabela3[[#This Row],[Perda Pçs]]/Tabela3[[#This Row],[Previsto]],0)</f>
        <v>0.1388888888888889</v>
      </c>
      <c r="O112" s="39">
        <f>IFERROR(IF(Tabela3[[#This Row],[Qtde Cx Produzida]] &lt;&gt; 0, Tabela3[[#This Row],[Tempo]] / Tabela3[[#This Row],[Qtde Cx Produzida]], 0),0)</f>
        <v>5.7870370370370376E-3</v>
      </c>
      <c r="P112" s="57">
        <f>IFERROR(Tabela3[[#This Row],[Perda Pçs]]/Tabela3[[#This Row],[Qdt Peça Placa]],0)</f>
        <v>1.25</v>
      </c>
      <c r="Q112" s="37">
        <f>IFERROR(Tabela3[[#This Row],[Realizado]]*Tabela3[[#This Row],[Peso Util/Pç]],0)</f>
        <v>11.097999999999999</v>
      </c>
      <c r="R112" s="37">
        <f>IFERROR(Tabela3[[#This Row],[Peso Total Galho]]*Tabela3[[#This Row],[Qtde Cx Produzida]]*1.055,0)</f>
        <v>21.838499999999996</v>
      </c>
      <c r="S112" s="37">
        <f>(Tabela3[[#This Row],[Aluminio Bruto]]-Tabela3[[#This Row],[Aluminio Util]])*0.9</f>
        <v>9.6664499999999975</v>
      </c>
      <c r="T112" s="37">
        <f>Tabela3[[#This Row],[Aluminio Bruto]]/OleoKGAluminio</f>
        <v>9.1874287130907817</v>
      </c>
      <c r="U112" s="35">
        <f>IFERROR((VLOOKUP(Tabela3[[#This Row],[Moldador]],Tabela1[],5,)+(VLOOKUP(Tabela3[[#This Row],[Ajudante]],Tabela1[],5,))*3.5),0)</f>
        <v>99.95034583333333</v>
      </c>
      <c r="V112" s="35">
        <f>IFERROR(Tabela3[[#This Row],[Custo M.O. / H]]/((Tabela3[[#This Row],[Realizado]]/Tabela3[[#This Row],[Qdt Peça Placa]])/Tabela3[[#This Row],[Tempo]]/24),)</f>
        <v>16.121023521505379</v>
      </c>
      <c r="W112" s="35">
        <f>Tabela3[[#This Row],[Custo / Cx Moldada]]*Tabela3[[#This Row],[Qtde Cx Produzida]]</f>
        <v>145.08921169354841</v>
      </c>
      <c r="X112" s="35">
        <f ca="1">Tabela3[[#This Row],[Aluminio Util]]*Tabela3[[#This Row],[Custo/Kg]]</f>
        <v>173.12880000000001</v>
      </c>
      <c r="Y112" s="35">
        <f>IFERROR(VLOOKUP(Tabela3[[#This Row],[Data]],Tabela461213[],2,1)*(Tabela3[[#This Row],[Qtde Cx Produzida]]*Tabela3[[#This Row],[Qde macho / CX]]*Tabela3[[#This Row],[Peso Macho]]),)</f>
        <v>0</v>
      </c>
      <c r="Z112" s="35">
        <f>IFERROR(Tabela3[[#This Row],[Qtde Oleo]]*(VLOOKUP(Tabela3[[#This Row],[Data]],CompraOleo[],3,TRUE))*1.05,0)</f>
        <v>24.117000371863302</v>
      </c>
      <c r="AA112" s="47">
        <f ca="1">(Tabela3[[#This Row],[Custo Oleo]]+Tabela3[[#This Row],[Custo Aluminio]]+Tabela3[[#This Row],[Custo M.O. Total]]+Tabela3[[#This Row],[Custo Machos]])</f>
        <v>342.33501206541172</v>
      </c>
      <c r="AB112" s="47">
        <f ca="1">Tabela3[[#This Row],[Custo Total]]*Tabela3[[#This Row],[% Perda]]</f>
        <v>47.546529453529409</v>
      </c>
      <c r="AC112" s="48">
        <f>IFERROR(VLOOKUP(Tabela3[[#This Row],[Produto]],Tabela2[],2,0),0)</f>
        <v>4</v>
      </c>
      <c r="AD112" s="48">
        <f>IFERROR(VLOOKUP(Tabela3[[#This Row],[Produto]],Tabela2[],3,0),0)</f>
        <v>0.35799999999999998</v>
      </c>
      <c r="AE112" s="48">
        <f>IFERROR(VLOOKUP(Tabela3[[#This Row],[Produto]],Tabela2[],4,0),0)</f>
        <v>2.2999999999999998</v>
      </c>
      <c r="AF112" s="48">
        <f>IFERROR(VLOOKUP(Tabela3[[#This Row],[Produto]],Tabela2[],5,0),0)</f>
        <v>0.78119999999999989</v>
      </c>
      <c r="AG112" s="40">
        <f>IFERROR(VLOOKUP(Tabela3[[#This Row],[Produto]],Tabela2[],6,0),0)</f>
        <v>0</v>
      </c>
      <c r="AH112" s="40">
        <f>IFERROR(VLOOKUP(Tabela3[[#This Row],[Produto]],Tabela2[],7,0),0)</f>
        <v>0</v>
      </c>
      <c r="AI112" s="40">
        <f>IFERROR(VLOOKUP(Tabela3[[#This Row],[Produto]],Tabela2[],8,0),0)</f>
        <v>0</v>
      </c>
      <c r="AJ112" s="35">
        <f ca="1">IFERROR(VLOOKUP(Tabela3[[#This Row],[Produto]],Tabela2[],13,0),0)</f>
        <v>15.600000000000001</v>
      </c>
      <c r="AK112" s="40" t="str">
        <f>IFERROR(VLOOKUP(Tabela3[[#This Row],[Produto]],Tabela2[],14,0),0)</f>
        <v>Senun</v>
      </c>
      <c r="AL112" s="40">
        <f>IFERROR(VLOOKUP(Tabela3[[#This Row],[Produto]],Tabela2[],15,0),0)</f>
        <v>4</v>
      </c>
      <c r="AM112" s="36">
        <f ca="1">(Tabela3[[#This Row],[Custo Usinagem]]+Tabela3[[#This Row],[Custo / Pç]])*1.2</f>
        <v>18.051677886403034</v>
      </c>
      <c r="AN112" s="36">
        <f ca="1">Tabela3[[#This Row],[Valor Mínimo Venda]]*1.15</f>
        <v>20.759429569363487</v>
      </c>
      <c r="AO112" s="36">
        <f ca="1">Tabela3[[#This Row],[Tabela 1]]*1.08</f>
        <v>22.420183934912568</v>
      </c>
      <c r="AP112" s="36">
        <f ca="1">Tabela3[[#This Row],[Tabela 2]]*1.15</f>
        <v>25.783211525149451</v>
      </c>
    </row>
    <row r="113" spans="1:42">
      <c r="A113" s="9">
        <v>45735</v>
      </c>
      <c r="B113" s="6" t="s">
        <v>272</v>
      </c>
      <c r="C113" s="14">
        <v>5929</v>
      </c>
      <c r="D113" s="6" t="s">
        <v>46</v>
      </c>
      <c r="E113" s="6" t="s">
        <v>53</v>
      </c>
      <c r="F113" s="6">
        <v>10</v>
      </c>
      <c r="G113" s="15">
        <v>4.1666666666666664E-2</v>
      </c>
      <c r="H113" s="16">
        <v>0</v>
      </c>
      <c r="I113" s="35">
        <f ca="1">IFERROR(Tabela3[[#This Row],[Custo Total]]/Tabela3[[#This Row],[Aluminio Util]],0)</f>
        <v>27.54701311388677</v>
      </c>
      <c r="J113" s="35">
        <f ca="1">Tabela3[[#This Row],[Custo Total]]/Tabela3[[#This Row],[Realizado]]</f>
        <v>38.014878097163738</v>
      </c>
      <c r="K113" s="37">
        <f>IFERROR(Tabela3[[#This Row],[Qtde Cx Produzida]]/Tabela3[[#This Row],[Tempo]]/24,0)</f>
        <v>10</v>
      </c>
      <c r="L113" s="37">
        <f>Tabela3[[#This Row],[Qtde Cx Produzida]]*Tabela3[[#This Row],[Qdt Peça Placa]]</f>
        <v>10</v>
      </c>
      <c r="M113" s="37">
        <f>Tabela3[[#This Row],[Previsto]]-Tabela3[[#This Row],[Perda Pçs]]</f>
        <v>10</v>
      </c>
      <c r="N113" s="38">
        <f>IFERROR(Tabela3[[#This Row],[Perda Pçs]]/Tabela3[[#This Row],[Previsto]],0)</f>
        <v>0</v>
      </c>
      <c r="O113" s="39">
        <f>IFERROR(IF(Tabela3[[#This Row],[Qtde Cx Produzida]] &lt;&gt; 0, Tabela3[[#This Row],[Tempo]] / Tabela3[[#This Row],[Qtde Cx Produzida]], 0),0)</f>
        <v>4.1666666666666666E-3</v>
      </c>
      <c r="P113" s="57">
        <f>IFERROR(Tabela3[[#This Row],[Perda Pçs]]/Tabela3[[#This Row],[Qdt Peça Placa]],0)</f>
        <v>0</v>
      </c>
      <c r="Q113" s="37">
        <f>IFERROR(Tabela3[[#This Row],[Realizado]]*Tabela3[[#This Row],[Peso Util/Pç]],0)</f>
        <v>13.799999999999999</v>
      </c>
      <c r="R113" s="37">
        <f>IFERROR(Tabela3[[#This Row],[Peso Total Galho]]*Tabela3[[#This Row],[Qtde Cx Produzida]]*1.055,0)</f>
        <v>20.888999999999999</v>
      </c>
      <c r="S113" s="37">
        <f>(Tabela3[[#This Row],[Aluminio Bruto]]-Tabela3[[#This Row],[Aluminio Util]])*0.9</f>
        <v>6.3801000000000005</v>
      </c>
      <c r="T113" s="37">
        <f>Tabela3[[#This Row],[Aluminio Bruto]]/OleoKGAluminio</f>
        <v>8.7879752907824891</v>
      </c>
      <c r="U113" s="35">
        <f>IFERROR((VLOOKUP(Tabela3[[#This Row],[Moldador]],Tabela1[],5,)+(VLOOKUP(Tabela3[[#This Row],[Ajudante]],Tabela1[],5,))*3.5),0)</f>
        <v>99.95034583333333</v>
      </c>
      <c r="V113" s="35">
        <f>IFERROR(Tabela3[[#This Row],[Custo M.O. / H]]/((Tabela3[[#This Row],[Realizado]]/Tabela3[[#This Row],[Qdt Peça Placa]])/Tabela3[[#This Row],[Tempo]]/24),)</f>
        <v>9.9950345833333323</v>
      </c>
      <c r="W113" s="35">
        <f>Tabela3[[#This Row],[Custo / Cx Moldada]]*Tabela3[[#This Row],[Qtde Cx Produzida]]</f>
        <v>99.95034583333333</v>
      </c>
      <c r="X113" s="35">
        <f ca="1">Tabela3[[#This Row],[Aluminio Util]]*Tabela3[[#This Row],[Custo/Kg]]</f>
        <v>215.28</v>
      </c>
      <c r="Y113" s="35">
        <f>IFERROR(VLOOKUP(Tabela3[[#This Row],[Data]],Tabela461213[],2,1)*(Tabela3[[#This Row],[Qtde Cx Produzida]]*Tabela3[[#This Row],[Qde macho / CX]]*Tabela3[[#This Row],[Peso Macho]]),)</f>
        <v>41.85</v>
      </c>
      <c r="Z113" s="35">
        <f>IFERROR(Tabela3[[#This Row],[Qtde Oleo]]*(VLOOKUP(Tabela3[[#This Row],[Data]],CompraOleo[],3,TRUE))*1.05,0)</f>
        <v>23.068435138304036</v>
      </c>
      <c r="AA113" s="47">
        <f ca="1">(Tabela3[[#This Row],[Custo Oleo]]+Tabela3[[#This Row],[Custo Aluminio]]+Tabela3[[#This Row],[Custo M.O. Total]]+Tabela3[[#This Row],[Custo Machos]])</f>
        <v>380.14878097163739</v>
      </c>
      <c r="AB113" s="47">
        <f ca="1">Tabela3[[#This Row],[Custo Total]]*Tabela3[[#This Row],[% Perda]]</f>
        <v>0</v>
      </c>
      <c r="AC113" s="48">
        <f>IFERROR(VLOOKUP(Tabela3[[#This Row],[Produto]],Tabela2[],2,0),0)</f>
        <v>1</v>
      </c>
      <c r="AD113" s="48">
        <f>IFERROR(VLOOKUP(Tabela3[[#This Row],[Produto]],Tabela2[],3,0),0)</f>
        <v>1.38</v>
      </c>
      <c r="AE113" s="48">
        <f>IFERROR(VLOOKUP(Tabela3[[#This Row],[Produto]],Tabela2[],4,0),0)</f>
        <v>1.98</v>
      </c>
      <c r="AF113" s="48">
        <f>IFERROR(VLOOKUP(Tabela3[[#This Row],[Produto]],Tabela2[],5,0),0)</f>
        <v>0.54000000000000015</v>
      </c>
      <c r="AG113" s="40">
        <f>IFERROR(VLOOKUP(Tabela3[[#This Row],[Produto]],Tabela2[],6,0),0)</f>
        <v>0</v>
      </c>
      <c r="AH113" s="40">
        <f>IFERROR(VLOOKUP(Tabela3[[#This Row],[Produto]],Tabela2[],7,0),0)</f>
        <v>3</v>
      </c>
      <c r="AI113" s="40">
        <f>IFERROR(VLOOKUP(Tabela3[[#This Row],[Produto]],Tabela2[],8,0),0)</f>
        <v>0.93</v>
      </c>
      <c r="AJ113" s="35">
        <f ca="1">IFERROR(VLOOKUP(Tabela3[[#This Row],[Produto]],Tabela2[],13,0),0)</f>
        <v>15.600000000000001</v>
      </c>
      <c r="AK113" s="40" t="str">
        <f>IFERROR(VLOOKUP(Tabela3[[#This Row],[Produto]],Tabela2[],14,0),0)</f>
        <v>Jumil</v>
      </c>
      <c r="AL113" s="40">
        <f>IFERROR(VLOOKUP(Tabela3[[#This Row],[Produto]],Tabela2[],15,0),0)</f>
        <v>8</v>
      </c>
      <c r="AM113" s="36">
        <f ca="1">(Tabela3[[#This Row],[Custo Usinagem]]+Tabela3[[#This Row],[Custo / Pç]])*1.2</f>
        <v>55.217853716596487</v>
      </c>
      <c r="AN113" s="36">
        <f ca="1">Tabela3[[#This Row],[Valor Mínimo Venda]]*1.15</f>
        <v>63.500531774085957</v>
      </c>
      <c r="AO113" s="36">
        <f ca="1">Tabela3[[#This Row],[Tabela 1]]*1.08</f>
        <v>68.580574316012843</v>
      </c>
      <c r="AP113" s="36">
        <f ca="1">Tabela3[[#This Row],[Tabela 2]]*1.15</f>
        <v>78.867660463414765</v>
      </c>
    </row>
    <row r="114" spans="1:42">
      <c r="A114" s="9">
        <v>45735</v>
      </c>
      <c r="B114" s="6" t="s">
        <v>236</v>
      </c>
      <c r="C114" s="14">
        <v>5964</v>
      </c>
      <c r="D114" s="6" t="s">
        <v>46</v>
      </c>
      <c r="E114" s="6" t="s">
        <v>53</v>
      </c>
      <c r="F114" s="6">
        <v>42</v>
      </c>
      <c r="G114" s="15">
        <v>0.22013888888888888</v>
      </c>
      <c r="H114" s="16">
        <v>7</v>
      </c>
      <c r="I114" s="35">
        <f ca="1">IFERROR(Tabela3[[#This Row],[Custo Total]]/Tabela3[[#This Row],[Aluminio Util]],0)</f>
        <v>24.364193102972195</v>
      </c>
      <c r="J114" s="35">
        <f ca="1">Tabela3[[#This Row],[Custo Total]]/Tabela3[[#This Row],[Realizado]]</f>
        <v>7.3579863170976028</v>
      </c>
      <c r="K114" s="37">
        <f>IFERROR(Tabela3[[#This Row],[Qtde Cx Produzida]]/Tabela3[[#This Row],[Tempo]]/24,0)</f>
        <v>7.9495268138801265</v>
      </c>
      <c r="L114" s="37">
        <f>Tabela3[[#This Row],[Qtde Cx Produzida]]*Tabela3[[#This Row],[Qdt Peça Placa]]</f>
        <v>252</v>
      </c>
      <c r="M114" s="37">
        <f>Tabela3[[#This Row],[Previsto]]-Tabela3[[#This Row],[Perda Pçs]]</f>
        <v>245</v>
      </c>
      <c r="N114" s="38">
        <f>IFERROR(Tabela3[[#This Row],[Perda Pçs]]/Tabela3[[#This Row],[Previsto]],0)</f>
        <v>2.7777777777777776E-2</v>
      </c>
      <c r="O114" s="39">
        <f>IFERROR(IF(Tabela3[[#This Row],[Qtde Cx Produzida]] &lt;&gt; 0, Tabela3[[#This Row],[Tempo]] / Tabela3[[#This Row],[Qtde Cx Produzida]], 0),0)</f>
        <v>5.2414021164021163E-3</v>
      </c>
      <c r="P114" s="57">
        <f>IFERROR(Tabela3[[#This Row],[Perda Pçs]]/Tabela3[[#This Row],[Qdt Peça Placa]],0)</f>
        <v>1.1666666666666667</v>
      </c>
      <c r="Q114" s="37">
        <f>IFERROR(Tabela3[[#This Row],[Realizado]]*Tabela3[[#This Row],[Peso Util/Pç]],0)</f>
        <v>73.989999999999995</v>
      </c>
      <c r="R114" s="37">
        <f>IFERROR(Tabela3[[#This Row],[Peso Total Galho]]*Tabela3[[#This Row],[Qtde Cx Produzida]]*1.055,0)</f>
        <v>95.355119999999999</v>
      </c>
      <c r="S114" s="37">
        <f>(Tabela3[[#This Row],[Aluminio Bruto]]-Tabela3[[#This Row],[Aluminio Util]])*0.9</f>
        <v>19.228608000000005</v>
      </c>
      <c r="T114" s="37">
        <f>Tabela3[[#This Row],[Aluminio Bruto]]/OleoKGAluminio</f>
        <v>40.115775691014363</v>
      </c>
      <c r="U114" s="35">
        <f>IFERROR((VLOOKUP(Tabela3[[#This Row],[Moldador]],Tabela1[],5,)+(VLOOKUP(Tabela3[[#This Row],[Ajudante]],Tabela1[],5,))*3.5),0)</f>
        <v>99.95034583333333</v>
      </c>
      <c r="V114" s="35">
        <f>IFERROR(Tabela3[[#This Row],[Custo M.O. / H]]/((Tabela3[[#This Row],[Realizado]]/Tabela3[[#This Row],[Qdt Peça Placa]])/Tabela3[[#This Row],[Tempo]]/24),)</f>
        <v>12.932350869047617</v>
      </c>
      <c r="W114" s="35">
        <f>Tabela3[[#This Row],[Custo / Cx Moldada]]*Tabela3[[#This Row],[Qtde Cx Produzida]]</f>
        <v>543.15873649999992</v>
      </c>
      <c r="X114" s="35">
        <f ca="1">Tabela3[[#This Row],[Aluminio Util]]*Tabela3[[#This Row],[Custo/Kg]]</f>
        <v>1154.2439999999999</v>
      </c>
      <c r="Y114" s="35">
        <f>IFERROR(VLOOKUP(Tabela3[[#This Row],[Data]],Tabela461213[],2,1)*(Tabela3[[#This Row],[Qtde Cx Produzida]]*Tabela3[[#This Row],[Qde macho / CX]]*Tabela3[[#This Row],[Peso Macho]]),)</f>
        <v>0</v>
      </c>
      <c r="Z114" s="35">
        <f>IFERROR(Tabela3[[#This Row],[Qtde Oleo]]*(VLOOKUP(Tabela3[[#This Row],[Data]],CompraOleo[],3,TRUE))*1.05,0)</f>
        <v>105.30391118891271</v>
      </c>
      <c r="AA114" s="47">
        <f ca="1">(Tabela3[[#This Row],[Custo Oleo]]+Tabela3[[#This Row],[Custo Aluminio]]+Tabela3[[#This Row],[Custo M.O. Total]]+Tabela3[[#This Row],[Custo Machos]])</f>
        <v>1802.7066476889127</v>
      </c>
      <c r="AB114" s="47">
        <f ca="1">Tabela3[[#This Row],[Custo Total]]*Tabela3[[#This Row],[% Perda]]</f>
        <v>50.07518465802535</v>
      </c>
      <c r="AC114" s="48">
        <f>IFERROR(VLOOKUP(Tabela3[[#This Row],[Produto]],Tabela2[],2,0),0)</f>
        <v>6</v>
      </c>
      <c r="AD114" s="48">
        <f>IFERROR(VLOOKUP(Tabela3[[#This Row],[Produto]],Tabela2[],3,0),0)</f>
        <v>0.30199999999999999</v>
      </c>
      <c r="AE114" s="48">
        <f>IFERROR(VLOOKUP(Tabela3[[#This Row],[Produto]],Tabela2[],4,0),0)</f>
        <v>2.1520000000000001</v>
      </c>
      <c r="AF114" s="48">
        <f>IFERROR(VLOOKUP(Tabela3[[#This Row],[Produto]],Tabela2[],5,0),0)</f>
        <v>0.30600000000000027</v>
      </c>
      <c r="AG114" s="40">
        <f>IFERROR(VLOOKUP(Tabela3[[#This Row],[Produto]],Tabela2[],6,0),0)</f>
        <v>0</v>
      </c>
      <c r="AH114" s="40">
        <f>IFERROR(VLOOKUP(Tabela3[[#This Row],[Produto]],Tabela2[],7,0),0)</f>
        <v>0</v>
      </c>
      <c r="AI114" s="40">
        <f>IFERROR(VLOOKUP(Tabela3[[#This Row],[Produto]],Tabela2[],8,0),0)</f>
        <v>0</v>
      </c>
      <c r="AJ114" s="35">
        <f ca="1">IFERROR(VLOOKUP(Tabela3[[#This Row],[Produto]],Tabela2[],13,0),0)</f>
        <v>15.600000000000001</v>
      </c>
      <c r="AK114" s="40" t="str">
        <f>IFERROR(VLOOKUP(Tabela3[[#This Row],[Produto]],Tabela2[],14,0),0)</f>
        <v>Senun</v>
      </c>
      <c r="AL114" s="40">
        <f>IFERROR(VLOOKUP(Tabela3[[#This Row],[Produto]],Tabela2[],15,0),0)</f>
        <v>4</v>
      </c>
      <c r="AM114" s="36">
        <f ca="1">(Tabela3[[#This Row],[Custo Usinagem]]+Tabela3[[#This Row],[Custo / Pç]])*1.2</f>
        <v>13.629583580517123</v>
      </c>
      <c r="AN114" s="36">
        <f ca="1">Tabela3[[#This Row],[Valor Mínimo Venda]]*1.15</f>
        <v>15.674021117594689</v>
      </c>
      <c r="AO114" s="36">
        <f ca="1">Tabela3[[#This Row],[Tabela 1]]*1.08</f>
        <v>16.927942807002264</v>
      </c>
      <c r="AP114" s="36">
        <f ca="1">Tabela3[[#This Row],[Tabela 2]]*1.15</f>
        <v>19.467134228052601</v>
      </c>
    </row>
    <row r="115" spans="1:42">
      <c r="A115" s="9">
        <v>45736</v>
      </c>
      <c r="B115" s="6" t="s">
        <v>236</v>
      </c>
      <c r="C115" s="14">
        <v>5964</v>
      </c>
      <c r="D115" s="6" t="s">
        <v>46</v>
      </c>
      <c r="E115" s="6" t="s">
        <v>53</v>
      </c>
      <c r="F115" s="6">
        <v>58</v>
      </c>
      <c r="G115" s="15">
        <v>0.26597222222222222</v>
      </c>
      <c r="H115" s="16">
        <v>0</v>
      </c>
      <c r="I115" s="35">
        <f ca="1">IFERROR(Tabela3[[#This Row],[Custo Total]]/Tabela3[[#This Row],[Aluminio Util]],0)</f>
        <v>23.054480295311318</v>
      </c>
      <c r="J115" s="35">
        <f ca="1">Tabela3[[#This Row],[Custo Total]]/Tabela3[[#This Row],[Realizado]]</f>
        <v>6.9624530491840186</v>
      </c>
      <c r="K115" s="37">
        <f>IFERROR(Tabela3[[#This Row],[Qtde Cx Produzida]]/Tabela3[[#This Row],[Tempo]]/24,0)</f>
        <v>9.0861618798955615</v>
      </c>
      <c r="L115" s="37">
        <f>Tabela3[[#This Row],[Qtde Cx Produzida]]*Tabela3[[#This Row],[Qdt Peça Placa]]</f>
        <v>348</v>
      </c>
      <c r="M115" s="37">
        <f>Tabela3[[#This Row],[Previsto]]-Tabela3[[#This Row],[Perda Pçs]]</f>
        <v>348</v>
      </c>
      <c r="N115" s="38">
        <f>IFERROR(Tabela3[[#This Row],[Perda Pçs]]/Tabela3[[#This Row],[Previsto]],0)</f>
        <v>0</v>
      </c>
      <c r="O115" s="39">
        <f>IFERROR(IF(Tabela3[[#This Row],[Qtde Cx Produzida]] &lt;&gt; 0, Tabela3[[#This Row],[Tempo]] / Tabela3[[#This Row],[Qtde Cx Produzida]], 0),0)</f>
        <v>4.585727969348659E-3</v>
      </c>
      <c r="P115" s="57">
        <f>IFERROR(Tabela3[[#This Row],[Perda Pçs]]/Tabela3[[#This Row],[Qdt Peça Placa]],0)</f>
        <v>0</v>
      </c>
      <c r="Q115" s="37">
        <f>IFERROR(Tabela3[[#This Row],[Realizado]]*Tabela3[[#This Row],[Peso Util/Pç]],0)</f>
        <v>105.096</v>
      </c>
      <c r="R115" s="37">
        <f>IFERROR(Tabela3[[#This Row],[Peso Total Galho]]*Tabela3[[#This Row],[Qtde Cx Produzida]]*1.055,0)</f>
        <v>131.68088</v>
      </c>
      <c r="S115" s="37">
        <f>(Tabela3[[#This Row],[Aluminio Bruto]]-Tabela3[[#This Row],[Aluminio Util]])*0.9</f>
        <v>23.926392</v>
      </c>
      <c r="T115" s="37">
        <f>Tabela3[[#This Row],[Aluminio Bruto]]/OleoKGAluminio</f>
        <v>55.397975954257937</v>
      </c>
      <c r="U115" s="35">
        <f>IFERROR((VLOOKUP(Tabela3[[#This Row],[Moldador]],Tabela1[],5,)+(VLOOKUP(Tabela3[[#This Row],[Ajudante]],Tabela1[],5,))*3.5),0)</f>
        <v>99.95034583333333</v>
      </c>
      <c r="V115" s="35">
        <f>IFERROR(Tabela3[[#This Row],[Custo M.O. / H]]/((Tabela3[[#This Row],[Realizado]]/Tabela3[[#This Row],[Qdt Peça Placa]])/Tabela3[[#This Row],[Tempo]]/24),)</f>
        <v>11.000282314415708</v>
      </c>
      <c r="W115" s="35">
        <f>Tabela3[[#This Row],[Custo / Cx Moldada]]*Tabela3[[#This Row],[Qtde Cx Produzida]]</f>
        <v>638.01637423611112</v>
      </c>
      <c r="X115" s="35">
        <f ca="1">Tabela3[[#This Row],[Aluminio Util]]*Tabela3[[#This Row],[Custo/Kg]]</f>
        <v>1639.4976000000001</v>
      </c>
      <c r="Y115" s="35">
        <f>IFERROR(VLOOKUP(Tabela3[[#This Row],[Data]],Tabela461213[],2,1)*(Tabela3[[#This Row],[Qtde Cx Produzida]]*Tabela3[[#This Row],[Qde macho / CX]]*Tabela3[[#This Row],[Peso Macho]]),)</f>
        <v>0</v>
      </c>
      <c r="Z115" s="35">
        <f>IFERROR(Tabela3[[#This Row],[Qtde Oleo]]*(VLOOKUP(Tabela3[[#This Row],[Data]],CompraOleo[],3,TRUE))*1.05,0)</f>
        <v>145.4196868799271</v>
      </c>
      <c r="AA115" s="47">
        <f ca="1">(Tabela3[[#This Row],[Custo Oleo]]+Tabela3[[#This Row],[Custo Aluminio]]+Tabela3[[#This Row],[Custo M.O. Total]]+Tabela3[[#This Row],[Custo Machos]])</f>
        <v>2422.9336611160384</v>
      </c>
      <c r="AB115" s="47">
        <f ca="1">Tabela3[[#This Row],[Custo Total]]*Tabela3[[#This Row],[% Perda]]</f>
        <v>0</v>
      </c>
      <c r="AC115" s="48">
        <f>IFERROR(VLOOKUP(Tabela3[[#This Row],[Produto]],Tabela2[],2,0),0)</f>
        <v>6</v>
      </c>
      <c r="AD115" s="48">
        <f>IFERROR(VLOOKUP(Tabela3[[#This Row],[Produto]],Tabela2[],3,0),0)</f>
        <v>0.30199999999999999</v>
      </c>
      <c r="AE115" s="48">
        <f>IFERROR(VLOOKUP(Tabela3[[#This Row],[Produto]],Tabela2[],4,0),0)</f>
        <v>2.1520000000000001</v>
      </c>
      <c r="AF115" s="48">
        <f>IFERROR(VLOOKUP(Tabela3[[#This Row],[Produto]],Tabela2[],5,0),0)</f>
        <v>0.30600000000000027</v>
      </c>
      <c r="AG115" s="40">
        <f>IFERROR(VLOOKUP(Tabela3[[#This Row],[Produto]],Tabela2[],6,0),0)</f>
        <v>0</v>
      </c>
      <c r="AH115" s="40">
        <f>IFERROR(VLOOKUP(Tabela3[[#This Row],[Produto]],Tabela2[],7,0),0)</f>
        <v>0</v>
      </c>
      <c r="AI115" s="40">
        <f>IFERROR(VLOOKUP(Tabela3[[#This Row],[Produto]],Tabela2[],8,0),0)</f>
        <v>0</v>
      </c>
      <c r="AJ115" s="35">
        <f ca="1">IFERROR(VLOOKUP(Tabela3[[#This Row],[Produto]],Tabela2[],13,0),0)</f>
        <v>15.600000000000001</v>
      </c>
      <c r="AK115" s="40" t="str">
        <f>IFERROR(VLOOKUP(Tabela3[[#This Row],[Produto]],Tabela2[],14,0),0)</f>
        <v>Senun</v>
      </c>
      <c r="AL115" s="40">
        <f>IFERROR(VLOOKUP(Tabela3[[#This Row],[Produto]],Tabela2[],15,0),0)</f>
        <v>4</v>
      </c>
      <c r="AM115" s="36">
        <f ca="1">(Tabela3[[#This Row],[Custo Usinagem]]+Tabela3[[#This Row],[Custo / Pç]])*1.2</f>
        <v>13.154943659020821</v>
      </c>
      <c r="AN115" s="36">
        <f ca="1">Tabela3[[#This Row],[Valor Mínimo Venda]]*1.15</f>
        <v>15.128185207873944</v>
      </c>
      <c r="AO115" s="36">
        <f ca="1">Tabela3[[#This Row],[Tabela 1]]*1.08</f>
        <v>16.338440024503861</v>
      </c>
      <c r="AP115" s="36">
        <f ca="1">Tabela3[[#This Row],[Tabela 2]]*1.15</f>
        <v>18.789206028179439</v>
      </c>
    </row>
    <row r="116" spans="1:42">
      <c r="A116" s="9">
        <v>45736</v>
      </c>
      <c r="B116" s="6" t="s">
        <v>139</v>
      </c>
      <c r="C116" s="14">
        <v>6054</v>
      </c>
      <c r="D116" s="6" t="s">
        <v>46</v>
      </c>
      <c r="E116" s="6" t="s">
        <v>53</v>
      </c>
      <c r="F116" s="6">
        <v>9</v>
      </c>
      <c r="G116" s="15">
        <v>4.9305555555555554E-2</v>
      </c>
      <c r="H116" s="16">
        <v>0</v>
      </c>
      <c r="I116" s="35">
        <f ca="1">IFERROR(Tabela3[[#This Row],[Custo Total]]/Tabela3[[#This Row],[Aluminio Util]],0)</f>
        <v>19.497275114458926</v>
      </c>
      <c r="J116" s="35">
        <f ca="1">Tabela3[[#This Row],[Custo Total]]/Tabela3[[#This Row],[Realizado]]</f>
        <v>96.706484567716274</v>
      </c>
      <c r="K116" s="37">
        <f>IFERROR(Tabela3[[#This Row],[Qtde Cx Produzida]]/Tabela3[[#This Row],[Tempo]]/24,0)</f>
        <v>7.605633802816901</v>
      </c>
      <c r="L116" s="37">
        <f>Tabela3[[#This Row],[Qtde Cx Produzida]]*Tabela3[[#This Row],[Qdt Peça Placa]]</f>
        <v>9</v>
      </c>
      <c r="M116" s="37">
        <f>Tabela3[[#This Row],[Previsto]]-Tabela3[[#This Row],[Perda Pçs]]</f>
        <v>9</v>
      </c>
      <c r="N116" s="38">
        <f>IFERROR(Tabela3[[#This Row],[Perda Pçs]]/Tabela3[[#This Row],[Previsto]],0)</f>
        <v>0</v>
      </c>
      <c r="O116" s="39">
        <f>IFERROR(IF(Tabela3[[#This Row],[Qtde Cx Produzida]] &lt;&gt; 0, Tabela3[[#This Row],[Tempo]] / Tabela3[[#This Row],[Qtde Cx Produzida]], 0),0)</f>
        <v>5.4783950617283946E-3</v>
      </c>
      <c r="P116" s="57">
        <f>IFERROR(Tabela3[[#This Row],[Perda Pçs]]/Tabela3[[#This Row],[Qdt Peça Placa]],0)</f>
        <v>0</v>
      </c>
      <c r="Q116" s="37">
        <f>IFERROR(Tabela3[[#This Row],[Realizado]]*Tabela3[[#This Row],[Peso Util/Pç]],0)</f>
        <v>44.64</v>
      </c>
      <c r="R116" s="37">
        <f>IFERROR(Tabela3[[#This Row],[Peso Total Galho]]*Tabela3[[#This Row],[Qtde Cx Produzida]]*1.055,0)</f>
        <v>50.437439999999995</v>
      </c>
      <c r="S116" s="37">
        <f>(Tabela3[[#This Row],[Aluminio Bruto]]-Tabela3[[#This Row],[Aluminio Util]])*0.9</f>
        <v>5.2176959999999957</v>
      </c>
      <c r="T116" s="37">
        <f>Tabela3[[#This Row],[Aluminio Bruto]]/OleoKGAluminio</f>
        <v>21.218965793016626</v>
      </c>
      <c r="U116" s="35">
        <f>IFERROR((VLOOKUP(Tabela3[[#This Row],[Moldador]],Tabela1[],5,)+(VLOOKUP(Tabela3[[#This Row],[Ajudante]],Tabela1[],5,))*3.5),0)</f>
        <v>99.95034583333333</v>
      </c>
      <c r="V116" s="35">
        <f>IFERROR(Tabela3[[#This Row],[Custo M.O. / H]]/((Tabela3[[#This Row],[Realizado]]/Tabela3[[#This Row],[Qdt Peça Placa]])/Tabela3[[#This Row],[Tempo]]/24),)</f>
        <v>13.141619544753087</v>
      </c>
      <c r="W116" s="35">
        <f>Tabela3[[#This Row],[Custo / Cx Moldada]]*Tabela3[[#This Row],[Qtde Cx Produzida]]</f>
        <v>118.27457590277778</v>
      </c>
      <c r="X116" s="35">
        <f ca="1">Tabela3[[#This Row],[Aluminio Util]]*Tabela3[[#This Row],[Custo/Kg]]</f>
        <v>696.38400000000013</v>
      </c>
      <c r="Y116" s="35">
        <f>IFERROR(VLOOKUP(Tabela3[[#This Row],[Data]],Tabela461213[],2,1)*(Tabela3[[#This Row],[Qtde Cx Produzida]]*Tabela3[[#This Row],[Qde macho / CX]]*Tabela3[[#This Row],[Peso Macho]]),)</f>
        <v>0</v>
      </c>
      <c r="Z116" s="35">
        <f>IFERROR(Tabela3[[#This Row],[Qtde Oleo]]*(VLOOKUP(Tabela3[[#This Row],[Data]],CompraOleo[],3,TRUE))*1.05,0)</f>
        <v>55.699785206668643</v>
      </c>
      <c r="AA116" s="47">
        <f ca="1">(Tabela3[[#This Row],[Custo Oleo]]+Tabela3[[#This Row],[Custo Aluminio]]+Tabela3[[#This Row],[Custo M.O. Total]]+Tabela3[[#This Row],[Custo Machos]])</f>
        <v>870.35836110944649</v>
      </c>
      <c r="AB116" s="47">
        <f ca="1">Tabela3[[#This Row],[Custo Total]]*Tabela3[[#This Row],[% Perda]]</f>
        <v>0</v>
      </c>
      <c r="AC116" s="48">
        <f>IFERROR(VLOOKUP(Tabela3[[#This Row],[Produto]],Tabela2[],2,0),0)</f>
        <v>1</v>
      </c>
      <c r="AD116" s="48">
        <f>IFERROR(VLOOKUP(Tabela3[[#This Row],[Produto]],Tabela2[],3,0),0)</f>
        <v>4.96</v>
      </c>
      <c r="AE116" s="48">
        <f>IFERROR(VLOOKUP(Tabela3[[#This Row],[Produto]],Tabela2[],4,0),0)</f>
        <v>5.3120000000000003</v>
      </c>
      <c r="AF116" s="48">
        <f>IFERROR(VLOOKUP(Tabela3[[#This Row],[Produto]],Tabela2[],5,0),0)</f>
        <v>0.3168000000000003</v>
      </c>
      <c r="AG116" s="40">
        <f>IFERROR(VLOOKUP(Tabela3[[#This Row],[Produto]],Tabela2[],6,0),0)</f>
        <v>0</v>
      </c>
      <c r="AH116" s="40">
        <f>IFERROR(VLOOKUP(Tabela3[[#This Row],[Produto]],Tabela2[],7,0),0)</f>
        <v>0</v>
      </c>
      <c r="AI116" s="40">
        <f>IFERROR(VLOOKUP(Tabela3[[#This Row],[Produto]],Tabela2[],8,0),0)</f>
        <v>0</v>
      </c>
      <c r="AJ116" s="35">
        <f ca="1">IFERROR(VLOOKUP(Tabela3[[#This Row],[Produto]],Tabela2[],13,0),0)</f>
        <v>15.600000000000001</v>
      </c>
      <c r="AK116" s="40" t="str">
        <f>IFERROR(VLOOKUP(Tabela3[[#This Row],[Produto]],Tabela2[],14,0),0)</f>
        <v>Jumil</v>
      </c>
      <c r="AL116" s="40">
        <f>IFERROR(VLOOKUP(Tabela3[[#This Row],[Produto]],Tabela2[],15,0),0)</f>
        <v>1</v>
      </c>
      <c r="AM116" s="36">
        <f ca="1">(Tabela3[[#This Row],[Custo Usinagem]]+Tabela3[[#This Row],[Custo / Pç]])*1.2</f>
        <v>117.24778148125952</v>
      </c>
      <c r="AN116" s="36">
        <f ca="1">Tabela3[[#This Row],[Valor Mínimo Venda]]*1.15</f>
        <v>134.83494870344845</v>
      </c>
      <c r="AO116" s="36">
        <f ca="1">Tabela3[[#This Row],[Tabela 1]]*1.08</f>
        <v>145.62174459972434</v>
      </c>
      <c r="AP116" s="36">
        <f ca="1">Tabela3[[#This Row],[Tabela 2]]*1.15</f>
        <v>167.46500628968298</v>
      </c>
    </row>
    <row r="117" spans="1:42">
      <c r="A117" s="9">
        <v>45736</v>
      </c>
      <c r="B117" s="6" t="s">
        <v>257</v>
      </c>
      <c r="C117" s="14">
        <v>5930</v>
      </c>
      <c r="D117" s="6" t="s">
        <v>44</v>
      </c>
      <c r="E117" s="6" t="s">
        <v>47</v>
      </c>
      <c r="F117" s="6">
        <v>27</v>
      </c>
      <c r="G117" s="15">
        <v>0.11944444444444445</v>
      </c>
      <c r="H117" s="16">
        <v>7</v>
      </c>
      <c r="I117" s="35">
        <f ca="1">IFERROR(Tabela3[[#This Row],[Custo Total]]/Tabela3[[#This Row],[Aluminio Util]],0)</f>
        <v>29.583775640981965</v>
      </c>
      <c r="J117" s="35">
        <f ca="1">Tabela3[[#This Row],[Custo Total]]/Tabela3[[#This Row],[Realizado]]</f>
        <v>3.6979719551227457</v>
      </c>
      <c r="K117" s="37">
        <f>IFERROR(Tabela3[[#This Row],[Qtde Cx Produzida]]/Tabela3[[#This Row],[Tempo]]/24,0)</f>
        <v>9.4186046511627897</v>
      </c>
      <c r="L117" s="37">
        <f>Tabela3[[#This Row],[Qtde Cx Produzida]]*Tabela3[[#This Row],[Qdt Peça Placa]]</f>
        <v>216</v>
      </c>
      <c r="M117" s="37">
        <f>Tabela3[[#This Row],[Previsto]]-Tabela3[[#This Row],[Perda Pçs]]</f>
        <v>209</v>
      </c>
      <c r="N117" s="38">
        <f>IFERROR(Tabela3[[#This Row],[Perda Pçs]]/Tabela3[[#This Row],[Previsto]],0)</f>
        <v>3.2407407407407406E-2</v>
      </c>
      <c r="O117" s="39">
        <f>IFERROR(IF(Tabela3[[#This Row],[Qtde Cx Produzida]] &lt;&gt; 0, Tabela3[[#This Row],[Tempo]] / Tabela3[[#This Row],[Qtde Cx Produzida]], 0),0)</f>
        <v>4.4238683127572022E-3</v>
      </c>
      <c r="P117" s="57">
        <f>IFERROR(Tabela3[[#This Row],[Perda Pçs]]/Tabela3[[#This Row],[Qdt Peça Placa]],0)</f>
        <v>0.875</v>
      </c>
      <c r="Q117" s="37">
        <f>IFERROR(Tabela3[[#This Row],[Realizado]]*Tabela3[[#This Row],[Peso Util/Pç]],0)</f>
        <v>26.125</v>
      </c>
      <c r="R117" s="37">
        <f>IFERROR(Tabela3[[#This Row],[Peso Total Galho]]*Tabela3[[#This Row],[Qtde Cx Produzida]]*1.055,0)</f>
        <v>62.667000000000002</v>
      </c>
      <c r="S117" s="37">
        <f>(Tabela3[[#This Row],[Aluminio Bruto]]-Tabela3[[#This Row],[Aluminio Util]])*0.9</f>
        <v>32.887800000000006</v>
      </c>
      <c r="T117" s="37">
        <f>Tabela3[[#This Row],[Aluminio Bruto]]/OleoKGAluminio</f>
        <v>26.363925872347465</v>
      </c>
      <c r="U117" s="35">
        <f>IFERROR((VLOOKUP(Tabela3[[#This Row],[Moldador]],Tabela1[],5,)+(VLOOKUP(Tabela3[[#This Row],[Ajudante]],Tabela1[],5,))*3.5),0)</f>
        <v>99.95034583333333</v>
      </c>
      <c r="V117" s="35">
        <f>IFERROR(Tabela3[[#This Row],[Custo M.O. / H]]/((Tabela3[[#This Row],[Realizado]]/Tabela3[[#This Row],[Qdt Peça Placa]])/Tabela3[[#This Row],[Tempo]]/24),)</f>
        <v>10.96743826687932</v>
      </c>
      <c r="W117" s="35">
        <f>Tabela3[[#This Row],[Custo / Cx Moldada]]*Tabela3[[#This Row],[Qtde Cx Produzida]]</f>
        <v>296.12083320574163</v>
      </c>
      <c r="X117" s="35">
        <f ca="1">Tabela3[[#This Row],[Aluminio Util]]*Tabela3[[#This Row],[Custo/Kg]]</f>
        <v>407.55</v>
      </c>
      <c r="Y117" s="35">
        <f>IFERROR(VLOOKUP(Tabela3[[#This Row],[Data]],Tabela461213[],2,1)*(Tabela3[[#This Row],[Qtde Cx Produzida]]*Tabela3[[#This Row],[Qde macho / CX]]*Tabela3[[#This Row],[Peso Macho]]),)</f>
        <v>0</v>
      </c>
      <c r="Z117" s="35">
        <f>IFERROR(Tabela3[[#This Row],[Qtde Oleo]]*(VLOOKUP(Tabela3[[#This Row],[Data]],CompraOleo[],3,TRUE))*1.05,0)</f>
        <v>69.205305414912104</v>
      </c>
      <c r="AA117" s="47">
        <f ca="1">(Tabela3[[#This Row],[Custo Oleo]]+Tabela3[[#This Row],[Custo Aluminio]]+Tabela3[[#This Row],[Custo M.O. Total]]+Tabela3[[#This Row],[Custo Machos]])</f>
        <v>772.87613862065382</v>
      </c>
      <c r="AB117" s="47">
        <f ca="1">Tabela3[[#This Row],[Custo Total]]*Tabela3[[#This Row],[% Perda]]</f>
        <v>25.04691189974341</v>
      </c>
      <c r="AC117" s="48">
        <f>IFERROR(VLOOKUP(Tabela3[[#This Row],[Produto]],Tabela2[],2,0),0)</f>
        <v>8</v>
      </c>
      <c r="AD117" s="48">
        <f>IFERROR(VLOOKUP(Tabela3[[#This Row],[Produto]],Tabela2[],3,0),0)</f>
        <v>0.125</v>
      </c>
      <c r="AE117" s="48">
        <f>IFERROR(VLOOKUP(Tabela3[[#This Row],[Produto]],Tabela2[],4,0),0)</f>
        <v>2.2000000000000002</v>
      </c>
      <c r="AF117" s="48">
        <f>IFERROR(VLOOKUP(Tabela3[[#This Row],[Produto]],Tabela2[],5,0),0)</f>
        <v>1.0800000000000003</v>
      </c>
      <c r="AG117" s="40">
        <f>IFERROR(VLOOKUP(Tabela3[[#This Row],[Produto]],Tabela2[],6,0),0)</f>
        <v>0</v>
      </c>
      <c r="AH117" s="40">
        <f>IFERROR(VLOOKUP(Tabela3[[#This Row],[Produto]],Tabela2[],7,0),0)</f>
        <v>0</v>
      </c>
      <c r="AI117" s="40">
        <f>IFERROR(VLOOKUP(Tabela3[[#This Row],[Produto]],Tabela2[],8,0),0)</f>
        <v>0</v>
      </c>
      <c r="AJ117" s="35">
        <f ca="1">IFERROR(VLOOKUP(Tabela3[[#This Row],[Produto]],Tabela2[],13,0),0)</f>
        <v>15.600000000000001</v>
      </c>
      <c r="AK117" s="40" t="str">
        <f>IFERROR(VLOOKUP(Tabela3[[#This Row],[Produto]],Tabela2[],14,0),0)</f>
        <v>Senun</v>
      </c>
      <c r="AL117" s="40">
        <f>IFERROR(VLOOKUP(Tabela3[[#This Row],[Produto]],Tabela2[],15,0),0)</f>
        <v>7</v>
      </c>
      <c r="AM117" s="36">
        <f ca="1">(Tabela3[[#This Row],[Custo Usinagem]]+Tabela3[[#This Row],[Custo / Pç]])*1.2</f>
        <v>12.837566346147295</v>
      </c>
      <c r="AN117" s="36">
        <f ca="1">Tabela3[[#This Row],[Valor Mínimo Venda]]*1.15</f>
        <v>14.763201298069388</v>
      </c>
      <c r="AO117" s="36">
        <f ca="1">Tabela3[[#This Row],[Tabela 1]]*1.08</f>
        <v>15.944257401914941</v>
      </c>
      <c r="AP117" s="36">
        <f ca="1">Tabela3[[#This Row],[Tabela 2]]*1.15</f>
        <v>18.335896012202181</v>
      </c>
    </row>
    <row r="118" spans="1:42">
      <c r="A118" s="9">
        <v>45736</v>
      </c>
      <c r="B118" s="6" t="s">
        <v>245</v>
      </c>
      <c r="C118" s="14">
        <v>5944</v>
      </c>
      <c r="D118" s="6" t="s">
        <v>44</v>
      </c>
      <c r="E118" s="6" t="s">
        <v>47</v>
      </c>
      <c r="F118" s="6">
        <v>51</v>
      </c>
      <c r="G118" s="15">
        <v>0.24513888888888888</v>
      </c>
      <c r="H118" s="16">
        <v>25</v>
      </c>
      <c r="I118" s="35">
        <f ca="1">IFERROR(Tabela3[[#This Row],[Custo Total]]/Tabela3[[#This Row],[Aluminio Util]],0)</f>
        <v>29.17664506341837</v>
      </c>
      <c r="J118" s="35">
        <f ca="1">Tabela3[[#This Row],[Custo Total]]/Tabela3[[#This Row],[Realizado]]</f>
        <v>9.6866461610549006</v>
      </c>
      <c r="K118" s="37">
        <f>IFERROR(Tabela3[[#This Row],[Qtde Cx Produzida]]/Tabela3[[#This Row],[Tempo]]/24,0)</f>
        <v>8.6685552407932018</v>
      </c>
      <c r="L118" s="37">
        <f>Tabela3[[#This Row],[Qtde Cx Produzida]]*Tabela3[[#This Row],[Qdt Peça Placa]]</f>
        <v>204</v>
      </c>
      <c r="M118" s="37">
        <f>Tabela3[[#This Row],[Previsto]]-Tabela3[[#This Row],[Perda Pçs]]</f>
        <v>179</v>
      </c>
      <c r="N118" s="38">
        <f>IFERROR(Tabela3[[#This Row],[Perda Pçs]]/Tabela3[[#This Row],[Previsto]],0)</f>
        <v>0.12254901960784313</v>
      </c>
      <c r="O118" s="39">
        <f>IFERROR(IF(Tabela3[[#This Row],[Qtde Cx Produzida]] &lt;&gt; 0, Tabela3[[#This Row],[Tempo]] / Tabela3[[#This Row],[Qtde Cx Produzida]], 0),0)</f>
        <v>4.8066448801742916E-3</v>
      </c>
      <c r="P118" s="57">
        <f>IFERROR(Tabela3[[#This Row],[Perda Pçs]]/Tabela3[[#This Row],[Qdt Peça Placa]],0)</f>
        <v>6.25</v>
      </c>
      <c r="Q118" s="37">
        <f>IFERROR(Tabela3[[#This Row],[Realizado]]*Tabela3[[#This Row],[Peso Util/Pç]],0)</f>
        <v>59.428000000000004</v>
      </c>
      <c r="R118" s="37">
        <f>IFERROR(Tabela3[[#This Row],[Peso Total Galho]]*Tabela3[[#This Row],[Qtde Cx Produzida]]*1.055,0)</f>
        <v>123.75149999999999</v>
      </c>
      <c r="S118" s="37">
        <f>(Tabela3[[#This Row],[Aluminio Bruto]]-Tabela3[[#This Row],[Aluminio Util]])*0.9</f>
        <v>57.891149999999996</v>
      </c>
      <c r="T118" s="37">
        <f>Tabela3[[#This Row],[Aluminio Bruto]]/OleoKGAluminio</f>
        <v>52.06209604084777</v>
      </c>
      <c r="U118" s="35">
        <f>IFERROR((VLOOKUP(Tabela3[[#This Row],[Moldador]],Tabela1[],5,)+(VLOOKUP(Tabela3[[#This Row],[Ajudante]],Tabela1[],5,))*3.5),0)</f>
        <v>99.95034583333333</v>
      </c>
      <c r="V118" s="35">
        <f>IFERROR(Tabela3[[#This Row],[Custo M.O. / H]]/((Tabela3[[#This Row],[Realizado]]/Tabela3[[#This Row],[Qdt Peça Placa]])/Tabela3[[#This Row],[Tempo]]/24),)</f>
        <v>13.140585504345127</v>
      </c>
      <c r="W118" s="35">
        <f>Tabela3[[#This Row],[Custo / Cx Moldada]]*Tabela3[[#This Row],[Qtde Cx Produzida]]</f>
        <v>670.16986072160148</v>
      </c>
      <c r="X118" s="35">
        <f ca="1">Tabela3[[#This Row],[Aluminio Util]]*Tabela3[[#This Row],[Custo/Kg]]</f>
        <v>927.07680000000016</v>
      </c>
      <c r="Y118" s="35">
        <f>IFERROR(VLOOKUP(Tabela3[[#This Row],[Data]],Tabela461213[],2,1)*(Tabela3[[#This Row],[Qtde Cx Produzida]]*Tabela3[[#This Row],[Qde macho / CX]]*Tabela3[[#This Row],[Peso Macho]]),)</f>
        <v>0</v>
      </c>
      <c r="Z118" s="35">
        <f>IFERROR(Tabela3[[#This Row],[Qtde Oleo]]*(VLOOKUP(Tabela3[[#This Row],[Data]],CompraOleo[],3,TRUE))*1.05,0)</f>
        <v>136.6630021072254</v>
      </c>
      <c r="AA118" s="47">
        <f ca="1">(Tabela3[[#This Row],[Custo Oleo]]+Tabela3[[#This Row],[Custo Aluminio]]+Tabela3[[#This Row],[Custo M.O. Total]]+Tabela3[[#This Row],[Custo Machos]])</f>
        <v>1733.9096628288271</v>
      </c>
      <c r="AB118" s="47">
        <f ca="1">Tabela3[[#This Row],[Custo Total]]*Tabela3[[#This Row],[% Perda]]</f>
        <v>212.48892926823859</v>
      </c>
      <c r="AC118" s="48">
        <f>IFERROR(VLOOKUP(Tabela3[[#This Row],[Produto]],Tabela2[],2,0),0)</f>
        <v>4</v>
      </c>
      <c r="AD118" s="48">
        <f>IFERROR(VLOOKUP(Tabela3[[#This Row],[Produto]],Tabela2[],3,0),0)</f>
        <v>0.33200000000000002</v>
      </c>
      <c r="AE118" s="48">
        <f>IFERROR(VLOOKUP(Tabela3[[#This Row],[Produto]],Tabela2[],4,0),0)</f>
        <v>2.2999999999999998</v>
      </c>
      <c r="AF118" s="48">
        <f>IFERROR(VLOOKUP(Tabela3[[#This Row],[Produto]],Tabela2[],5,0),0)</f>
        <v>0.8747999999999998</v>
      </c>
      <c r="AG118" s="40">
        <f>IFERROR(VLOOKUP(Tabela3[[#This Row],[Produto]],Tabela2[],6,0),0)</f>
        <v>0</v>
      </c>
      <c r="AH118" s="40">
        <f>IFERROR(VLOOKUP(Tabela3[[#This Row],[Produto]],Tabela2[],7,0),0)</f>
        <v>0</v>
      </c>
      <c r="AI118" s="40">
        <f>IFERROR(VLOOKUP(Tabela3[[#This Row],[Produto]],Tabela2[],8,0),0)</f>
        <v>0</v>
      </c>
      <c r="AJ118" s="35">
        <f ca="1">IFERROR(VLOOKUP(Tabela3[[#This Row],[Produto]],Tabela2[],13,0),0)</f>
        <v>15.600000000000001</v>
      </c>
      <c r="AK118" s="40" t="str">
        <f>IFERROR(VLOOKUP(Tabela3[[#This Row],[Produto]],Tabela2[],14,0),0)</f>
        <v>Senun</v>
      </c>
      <c r="AL118" s="40">
        <f>IFERROR(VLOOKUP(Tabela3[[#This Row],[Produto]],Tabela2[],15,0),0)</f>
        <v>3.5</v>
      </c>
      <c r="AM118" s="36">
        <f ca="1">(Tabela3[[#This Row],[Custo Usinagem]]+Tabela3[[#This Row],[Custo / Pç]])*1.2</f>
        <v>15.823975393265879</v>
      </c>
      <c r="AN118" s="36">
        <f ca="1">Tabela3[[#This Row],[Valor Mínimo Venda]]*1.15</f>
        <v>18.197571702255761</v>
      </c>
      <c r="AO118" s="36">
        <f ca="1">Tabela3[[#This Row],[Tabela 1]]*1.08</f>
        <v>19.653377438436223</v>
      </c>
      <c r="AP118" s="36">
        <f ca="1">Tabela3[[#This Row],[Tabela 2]]*1.15</f>
        <v>22.601384054201656</v>
      </c>
    </row>
    <row r="119" spans="1:42">
      <c r="A119" s="9">
        <v>45737</v>
      </c>
      <c r="B119" s="6" t="s">
        <v>245</v>
      </c>
      <c r="C119" s="14">
        <v>5944</v>
      </c>
      <c r="D119" s="6" t="s">
        <v>44</v>
      </c>
      <c r="E119" s="6" t="s">
        <v>47</v>
      </c>
      <c r="F119" s="6">
        <v>7</v>
      </c>
      <c r="G119" s="15">
        <v>3.1944444444444442E-2</v>
      </c>
      <c r="H119" s="16">
        <v>0</v>
      </c>
      <c r="I119" s="35">
        <f ca="1">IFERROR(Tabela3[[#This Row],[Custo Total]]/Tabela3[[#This Row],[Aluminio Util]],0)</f>
        <v>25.861001014212121</v>
      </c>
      <c r="J119" s="35">
        <f ca="1">Tabela3[[#This Row],[Custo Total]]/Tabela3[[#This Row],[Realizado]]</f>
        <v>8.5858523367184265</v>
      </c>
      <c r="K119" s="37">
        <f>IFERROR(Tabela3[[#This Row],[Qtde Cx Produzida]]/Tabela3[[#This Row],[Tempo]]/24,0)</f>
        <v>9.1304347826086971</v>
      </c>
      <c r="L119" s="37">
        <f>Tabela3[[#This Row],[Qtde Cx Produzida]]*Tabela3[[#This Row],[Qdt Peça Placa]]</f>
        <v>28</v>
      </c>
      <c r="M119" s="37">
        <f>Tabela3[[#This Row],[Previsto]]-Tabela3[[#This Row],[Perda Pçs]]</f>
        <v>28</v>
      </c>
      <c r="N119" s="38">
        <f>IFERROR(Tabela3[[#This Row],[Perda Pçs]]/Tabela3[[#This Row],[Previsto]],0)</f>
        <v>0</v>
      </c>
      <c r="O119" s="39">
        <f>IFERROR(IF(Tabela3[[#This Row],[Qtde Cx Produzida]] &lt;&gt; 0, Tabela3[[#This Row],[Tempo]] / Tabela3[[#This Row],[Qtde Cx Produzida]], 0),0)</f>
        <v>4.5634920634920629E-3</v>
      </c>
      <c r="P119" s="57">
        <f>IFERROR(Tabela3[[#This Row],[Perda Pçs]]/Tabela3[[#This Row],[Qdt Peça Placa]],0)</f>
        <v>0</v>
      </c>
      <c r="Q119" s="37">
        <f>IFERROR(Tabela3[[#This Row],[Realizado]]*Tabela3[[#This Row],[Peso Util/Pç]],0)</f>
        <v>9.2960000000000012</v>
      </c>
      <c r="R119" s="37">
        <f>IFERROR(Tabela3[[#This Row],[Peso Total Galho]]*Tabela3[[#This Row],[Qtde Cx Produzida]]*1.055,0)</f>
        <v>16.985499999999998</v>
      </c>
      <c r="S119" s="37">
        <f>(Tabela3[[#This Row],[Aluminio Bruto]]-Tabela3[[#This Row],[Aluminio Util]])*0.9</f>
        <v>6.9205499999999978</v>
      </c>
      <c r="T119" s="37">
        <f>Tabela3[[#This Row],[Aluminio Bruto]]/OleoKGAluminio</f>
        <v>7.1457778879594978</v>
      </c>
      <c r="U119" s="35">
        <f>IFERROR((VLOOKUP(Tabela3[[#This Row],[Moldador]],Tabela1[],5,)+(VLOOKUP(Tabela3[[#This Row],[Ajudante]],Tabela1[],5,))*3.5),0)</f>
        <v>99.95034583333333</v>
      </c>
      <c r="V119" s="35">
        <f>IFERROR(Tabela3[[#This Row],[Custo M.O. / H]]/((Tabela3[[#This Row],[Realizado]]/Tabela3[[#This Row],[Qdt Peça Placa]])/Tabela3[[#This Row],[Tempo]]/24),)</f>
        <v>10.946942638888887</v>
      </c>
      <c r="W119" s="35">
        <f>Tabela3[[#This Row],[Custo / Cx Moldada]]*Tabela3[[#This Row],[Qtde Cx Produzida]]</f>
        <v>76.628598472222208</v>
      </c>
      <c r="X119" s="35">
        <f ca="1">Tabela3[[#This Row],[Aluminio Util]]*Tabela3[[#This Row],[Custo/Kg]]</f>
        <v>145.01760000000004</v>
      </c>
      <c r="Y119" s="35">
        <f>IFERROR(VLOOKUP(Tabela3[[#This Row],[Data]],Tabela461213[],2,1)*(Tabela3[[#This Row],[Qtde Cx Produzida]]*Tabela3[[#This Row],[Qde macho / CX]]*Tabela3[[#This Row],[Peso Macho]]),)</f>
        <v>0</v>
      </c>
      <c r="Z119" s="35">
        <f>IFERROR(Tabela3[[#This Row],[Qtde Oleo]]*(VLOOKUP(Tabela3[[#This Row],[Data]],CompraOleo[],3,TRUE))*1.05,0)</f>
        <v>18.757666955893683</v>
      </c>
      <c r="AA119" s="47">
        <f ca="1">(Tabela3[[#This Row],[Custo Oleo]]+Tabela3[[#This Row],[Custo Aluminio]]+Tabela3[[#This Row],[Custo M.O. Total]]+Tabela3[[#This Row],[Custo Machos]])</f>
        <v>240.40386542811592</v>
      </c>
      <c r="AB119" s="47">
        <f ca="1">Tabela3[[#This Row],[Custo Total]]*Tabela3[[#This Row],[% Perda]]</f>
        <v>0</v>
      </c>
      <c r="AC119" s="48">
        <f>IFERROR(VLOOKUP(Tabela3[[#This Row],[Produto]],Tabela2[],2,0),0)</f>
        <v>4</v>
      </c>
      <c r="AD119" s="48">
        <f>IFERROR(VLOOKUP(Tabela3[[#This Row],[Produto]],Tabela2[],3,0),0)</f>
        <v>0.33200000000000002</v>
      </c>
      <c r="AE119" s="48">
        <f>IFERROR(VLOOKUP(Tabela3[[#This Row],[Produto]],Tabela2[],4,0),0)</f>
        <v>2.2999999999999998</v>
      </c>
      <c r="AF119" s="48">
        <f>IFERROR(VLOOKUP(Tabela3[[#This Row],[Produto]],Tabela2[],5,0),0)</f>
        <v>0.8747999999999998</v>
      </c>
      <c r="AG119" s="40">
        <f>IFERROR(VLOOKUP(Tabela3[[#This Row],[Produto]],Tabela2[],6,0),0)</f>
        <v>0</v>
      </c>
      <c r="AH119" s="40">
        <f>IFERROR(VLOOKUP(Tabela3[[#This Row],[Produto]],Tabela2[],7,0),0)</f>
        <v>0</v>
      </c>
      <c r="AI119" s="40">
        <f>IFERROR(VLOOKUP(Tabela3[[#This Row],[Produto]],Tabela2[],8,0),0)</f>
        <v>0</v>
      </c>
      <c r="AJ119" s="35">
        <f ca="1">IFERROR(VLOOKUP(Tabela3[[#This Row],[Produto]],Tabela2[],13,0),0)</f>
        <v>15.600000000000001</v>
      </c>
      <c r="AK119" s="40" t="str">
        <f>IFERROR(VLOOKUP(Tabela3[[#This Row],[Produto]],Tabela2[],14,0),0)</f>
        <v>Senun</v>
      </c>
      <c r="AL119" s="40">
        <f>IFERROR(VLOOKUP(Tabela3[[#This Row],[Produto]],Tabela2[],15,0),0)</f>
        <v>3.5</v>
      </c>
      <c r="AM119" s="36">
        <f ca="1">(Tabela3[[#This Row],[Custo Usinagem]]+Tabela3[[#This Row],[Custo / Pç]])*1.2</f>
        <v>14.503022804062111</v>
      </c>
      <c r="AN119" s="36">
        <f ca="1">Tabela3[[#This Row],[Valor Mínimo Venda]]*1.15</f>
        <v>16.678476224671424</v>
      </c>
      <c r="AO119" s="36">
        <f ca="1">Tabela3[[#This Row],[Tabela 1]]*1.08</f>
        <v>18.01275432264514</v>
      </c>
      <c r="AP119" s="36">
        <f ca="1">Tabela3[[#This Row],[Tabela 2]]*1.15</f>
        <v>20.71466747104191</v>
      </c>
    </row>
    <row r="120" spans="1:42">
      <c r="A120" s="9">
        <v>45737</v>
      </c>
      <c r="B120" s="6" t="s">
        <v>287</v>
      </c>
      <c r="C120" s="14">
        <v>6050</v>
      </c>
      <c r="D120" s="6" t="s">
        <v>44</v>
      </c>
      <c r="E120" s="6" t="s">
        <v>47</v>
      </c>
      <c r="F120" s="6">
        <v>10</v>
      </c>
      <c r="G120" s="15">
        <v>3.8194444444444448E-2</v>
      </c>
      <c r="H120" s="16">
        <v>0</v>
      </c>
      <c r="I120" s="35">
        <f ca="1">IFERROR(Tabela3[[#This Row],[Custo Total]]/Tabela3[[#This Row],[Aluminio Util]],0)</f>
        <v>21.172108488586339</v>
      </c>
      <c r="J120" s="35">
        <f ca="1">Tabela3[[#This Row],[Custo Total]]/Tabela3[[#This Row],[Realizado]]</f>
        <v>84.688433954345356</v>
      </c>
      <c r="K120" s="37">
        <f>IFERROR(Tabela3[[#This Row],[Qtde Cx Produzida]]/Tabela3[[#This Row],[Tempo]]/24,0)</f>
        <v>10.909090909090908</v>
      </c>
      <c r="L120" s="37">
        <f>Tabela3[[#This Row],[Qtde Cx Produzida]]*Tabela3[[#This Row],[Qdt Peça Placa]]</f>
        <v>10</v>
      </c>
      <c r="M120" s="37">
        <f>Tabela3[[#This Row],[Previsto]]-Tabela3[[#This Row],[Perda Pçs]]</f>
        <v>10</v>
      </c>
      <c r="N120" s="38">
        <f>IFERROR(Tabela3[[#This Row],[Perda Pçs]]/Tabela3[[#This Row],[Previsto]],0)</f>
        <v>0</v>
      </c>
      <c r="O120" s="39">
        <f>IFERROR(IF(Tabela3[[#This Row],[Qtde Cx Produzida]] &lt;&gt; 0, Tabela3[[#This Row],[Tempo]] / Tabela3[[#This Row],[Qtde Cx Produzida]], 0),0)</f>
        <v>3.8194444444444448E-3</v>
      </c>
      <c r="P120" s="57">
        <f>IFERROR(Tabela3[[#This Row],[Perda Pçs]]/Tabela3[[#This Row],[Qdt Peça Placa]],0)</f>
        <v>0</v>
      </c>
      <c r="Q120" s="37">
        <f>IFERROR(Tabela3[[#This Row],[Realizado]]*Tabela3[[#This Row],[Peso Util/Pç]],0)</f>
        <v>40</v>
      </c>
      <c r="R120" s="37">
        <f>IFERROR(Tabela3[[#This Row],[Peso Total Galho]]*Tabela3[[#This Row],[Qtde Cx Produzida]]*1.055,0)</f>
        <v>46.419999999999995</v>
      </c>
      <c r="S120" s="37">
        <f>(Tabela3[[#This Row],[Aluminio Bruto]]-Tabela3[[#This Row],[Aluminio Util]])*0.9</f>
        <v>5.7779999999999951</v>
      </c>
      <c r="T120" s="37">
        <f>Tabela3[[#This Row],[Aluminio Bruto]]/OleoKGAluminio</f>
        <v>19.528833979516641</v>
      </c>
      <c r="U120" s="35">
        <f>IFERROR((VLOOKUP(Tabela3[[#This Row],[Moldador]],Tabela1[],5,)+(VLOOKUP(Tabela3[[#This Row],[Ajudante]],Tabela1[],5,))*3.5),0)</f>
        <v>99.95034583333333</v>
      </c>
      <c r="V120" s="35">
        <f>IFERROR(Tabela3[[#This Row],[Custo M.O. / H]]/((Tabela3[[#This Row],[Realizado]]/Tabela3[[#This Row],[Qdt Peça Placa]])/Tabela3[[#This Row],[Tempo]]/24),)</f>
        <v>9.1621150347222233</v>
      </c>
      <c r="W120" s="35">
        <f>Tabela3[[#This Row],[Custo / Cx Moldada]]*Tabela3[[#This Row],[Qtde Cx Produzida]]</f>
        <v>91.621150347222226</v>
      </c>
      <c r="X120" s="35">
        <f ca="1">Tabela3[[#This Row],[Aluminio Util]]*Tabela3[[#This Row],[Custo/Kg]]</f>
        <v>704</v>
      </c>
      <c r="Y120" s="35">
        <f>IFERROR(VLOOKUP(Tabela3[[#This Row],[Data]],Tabela461213[],2,1)*(Tabela3[[#This Row],[Qtde Cx Produzida]]*Tabela3[[#This Row],[Qde macho / CX]]*Tabela3[[#This Row],[Peso Macho]]),)</f>
        <v>0</v>
      </c>
      <c r="Z120" s="35">
        <f>IFERROR(Tabela3[[#This Row],[Qtde Oleo]]*(VLOOKUP(Tabela3[[#This Row],[Data]],CompraOleo[],3,TRUE))*1.05,0)</f>
        <v>51.263189196231181</v>
      </c>
      <c r="AA120" s="47">
        <f ca="1">(Tabela3[[#This Row],[Custo Oleo]]+Tabela3[[#This Row],[Custo Aluminio]]+Tabela3[[#This Row],[Custo M.O. Total]]+Tabela3[[#This Row],[Custo Machos]])</f>
        <v>846.88433954345351</v>
      </c>
      <c r="AB120" s="47">
        <f ca="1">Tabela3[[#This Row],[Custo Total]]*Tabela3[[#This Row],[% Perda]]</f>
        <v>0</v>
      </c>
      <c r="AC120" s="48">
        <f>IFERROR(VLOOKUP(Tabela3[[#This Row],[Produto]],Tabela2[],2,0),0)</f>
        <v>1</v>
      </c>
      <c r="AD120" s="48">
        <f>IFERROR(VLOOKUP(Tabela3[[#This Row],[Produto]],Tabela2[],3,0),0)</f>
        <v>4</v>
      </c>
      <c r="AE120" s="48">
        <f>IFERROR(VLOOKUP(Tabela3[[#This Row],[Produto]],Tabela2[],4,0),0)</f>
        <v>4.4000000000000004</v>
      </c>
      <c r="AF120" s="48">
        <f>IFERROR(VLOOKUP(Tabela3[[#This Row],[Produto]],Tabela2[],5,0),0)</f>
        <v>0.36000000000000032</v>
      </c>
      <c r="AG120" s="40">
        <f>IFERROR(VLOOKUP(Tabela3[[#This Row],[Produto]],Tabela2[],6,0),0)</f>
        <v>0</v>
      </c>
      <c r="AH120" s="40">
        <f>IFERROR(VLOOKUP(Tabela3[[#This Row],[Produto]],Tabela2[],7,0),0)</f>
        <v>0</v>
      </c>
      <c r="AI120" s="40">
        <f>IFERROR(VLOOKUP(Tabela3[[#This Row],[Produto]],Tabela2[],8,0),0)</f>
        <v>0</v>
      </c>
      <c r="AJ120" s="35">
        <f ca="1">IFERROR(VLOOKUP(Tabela3[[#This Row],[Produto]],Tabela2[],13,0),0)</f>
        <v>17.600000000000001</v>
      </c>
      <c r="AK120" s="40" t="str">
        <f>IFERROR(VLOOKUP(Tabela3[[#This Row],[Produto]],Tabela2[],14,0),0)</f>
        <v>Oscar</v>
      </c>
      <c r="AL120" s="40">
        <f>IFERROR(VLOOKUP(Tabela3[[#This Row],[Produto]],Tabela2[],15,0),0)</f>
        <v>0</v>
      </c>
      <c r="AM120" s="36">
        <f ca="1">(Tabela3[[#This Row],[Custo Usinagem]]+Tabela3[[#This Row],[Custo / Pç]])*1.2</f>
        <v>101.62612074521442</v>
      </c>
      <c r="AN120" s="36">
        <f ca="1">Tabela3[[#This Row],[Valor Mínimo Venda]]*1.15</f>
        <v>116.87003885699657</v>
      </c>
      <c r="AO120" s="36">
        <f ca="1">Tabela3[[#This Row],[Tabela 1]]*1.08</f>
        <v>126.21964196555631</v>
      </c>
      <c r="AP120" s="36">
        <f ca="1">Tabela3[[#This Row],[Tabela 2]]*1.15</f>
        <v>145.15258826038973</v>
      </c>
    </row>
    <row r="121" spans="1:42">
      <c r="A121" s="9">
        <v>45737</v>
      </c>
      <c r="B121" s="6" t="s">
        <v>286</v>
      </c>
      <c r="C121" s="14">
        <v>6051</v>
      </c>
      <c r="D121" s="6" t="s">
        <v>44</v>
      </c>
      <c r="E121" s="6" t="s">
        <v>47</v>
      </c>
      <c r="F121" s="6">
        <v>20</v>
      </c>
      <c r="G121" s="15">
        <v>8.3333333333333329E-2</v>
      </c>
      <c r="H121" s="16">
        <v>0</v>
      </c>
      <c r="I121" s="35">
        <f ca="1">IFERROR(Tabela3[[#This Row],[Custo Total]]/Tabela3[[#This Row],[Aluminio Util]],0)</f>
        <v>23.879097021572449</v>
      </c>
      <c r="J121" s="35">
        <f ca="1">Tabela3[[#This Row],[Custo Total]]/Tabela3[[#This Row],[Realizado]]</f>
        <v>47.758194043144897</v>
      </c>
      <c r="K121" s="37">
        <f>IFERROR(Tabela3[[#This Row],[Qtde Cx Produzida]]/Tabela3[[#This Row],[Tempo]]/24,0)</f>
        <v>10</v>
      </c>
      <c r="L121" s="37">
        <f>Tabela3[[#This Row],[Qtde Cx Produzida]]*Tabela3[[#This Row],[Qdt Peça Placa]]</f>
        <v>20</v>
      </c>
      <c r="M121" s="37">
        <f>Tabela3[[#This Row],[Previsto]]-Tabela3[[#This Row],[Perda Pçs]]</f>
        <v>20</v>
      </c>
      <c r="N121" s="38">
        <f>IFERROR(Tabela3[[#This Row],[Perda Pçs]]/Tabela3[[#This Row],[Previsto]],0)</f>
        <v>0</v>
      </c>
      <c r="O121" s="39">
        <f>IFERROR(IF(Tabela3[[#This Row],[Qtde Cx Produzida]] &lt;&gt; 0, Tabela3[[#This Row],[Tempo]] / Tabela3[[#This Row],[Qtde Cx Produzida]], 0),0)</f>
        <v>4.1666666666666666E-3</v>
      </c>
      <c r="P121" s="57">
        <f>IFERROR(Tabela3[[#This Row],[Perda Pçs]]/Tabela3[[#This Row],[Qdt Peça Placa]],0)</f>
        <v>0</v>
      </c>
      <c r="Q121" s="37">
        <f>IFERROR(Tabela3[[#This Row],[Realizado]]*Tabela3[[#This Row],[Peso Util/Pç]],0)</f>
        <v>40</v>
      </c>
      <c r="R121" s="37">
        <f>IFERROR(Tabela3[[#This Row],[Peso Total Galho]]*Tabela3[[#This Row],[Qtde Cx Produzida]]*1.055,0)</f>
        <v>46.419999999999995</v>
      </c>
      <c r="S121" s="37">
        <f>(Tabela3[[#This Row],[Aluminio Bruto]]-Tabela3[[#This Row],[Aluminio Util]])*0.9</f>
        <v>5.7779999999999951</v>
      </c>
      <c r="T121" s="37">
        <f>Tabela3[[#This Row],[Aluminio Bruto]]/OleoKGAluminio</f>
        <v>19.528833979516641</v>
      </c>
      <c r="U121" s="35">
        <f>IFERROR((VLOOKUP(Tabela3[[#This Row],[Moldador]],Tabela1[],5,)+(VLOOKUP(Tabela3[[#This Row],[Ajudante]],Tabela1[],5,))*3.5),0)</f>
        <v>99.95034583333333</v>
      </c>
      <c r="V121" s="35">
        <f>IFERROR(Tabela3[[#This Row],[Custo M.O. / H]]/((Tabela3[[#This Row],[Realizado]]/Tabela3[[#This Row],[Qdt Peça Placa]])/Tabela3[[#This Row],[Tempo]]/24),)</f>
        <v>9.9950345833333323</v>
      </c>
      <c r="W121" s="35">
        <f>Tabela3[[#This Row],[Custo / Cx Moldada]]*Tabela3[[#This Row],[Qtde Cx Produzida]]</f>
        <v>199.90069166666666</v>
      </c>
      <c r="X121" s="35">
        <f ca="1">Tabela3[[#This Row],[Aluminio Util]]*Tabela3[[#This Row],[Custo/Kg]]</f>
        <v>704</v>
      </c>
      <c r="Y121" s="35">
        <f>IFERROR(VLOOKUP(Tabela3[[#This Row],[Data]],Tabela461213[],2,1)*(Tabela3[[#This Row],[Qtde Cx Produzida]]*Tabela3[[#This Row],[Qde macho / CX]]*Tabela3[[#This Row],[Peso Macho]]),)</f>
        <v>0</v>
      </c>
      <c r="Z121" s="35">
        <f>IFERROR(Tabela3[[#This Row],[Qtde Oleo]]*(VLOOKUP(Tabela3[[#This Row],[Data]],CompraOleo[],3,TRUE))*1.05,0)</f>
        <v>51.263189196231181</v>
      </c>
      <c r="AA121" s="47">
        <f ca="1">(Tabela3[[#This Row],[Custo Oleo]]+Tabela3[[#This Row],[Custo Aluminio]]+Tabela3[[#This Row],[Custo M.O. Total]]+Tabela3[[#This Row],[Custo Machos]])</f>
        <v>955.16388086289794</v>
      </c>
      <c r="AB121" s="47">
        <f ca="1">Tabela3[[#This Row],[Custo Total]]*Tabela3[[#This Row],[% Perda]]</f>
        <v>0</v>
      </c>
      <c r="AC121" s="48">
        <f>IFERROR(VLOOKUP(Tabela3[[#This Row],[Produto]],Tabela2[],2,0),0)</f>
        <v>1</v>
      </c>
      <c r="AD121" s="48">
        <f>IFERROR(VLOOKUP(Tabela3[[#This Row],[Produto]],Tabela2[],3,0),0)</f>
        <v>2</v>
      </c>
      <c r="AE121" s="48">
        <f>IFERROR(VLOOKUP(Tabela3[[#This Row],[Produto]],Tabela2[],4,0),0)</f>
        <v>2.2000000000000002</v>
      </c>
      <c r="AF121" s="48">
        <f>IFERROR(VLOOKUP(Tabela3[[#This Row],[Produto]],Tabela2[],5,0),0)</f>
        <v>0.18000000000000016</v>
      </c>
      <c r="AG121" s="40">
        <f>IFERROR(VLOOKUP(Tabela3[[#This Row],[Produto]],Tabela2[],6,0),0)</f>
        <v>0</v>
      </c>
      <c r="AH121" s="40">
        <f>IFERROR(VLOOKUP(Tabela3[[#This Row],[Produto]],Tabela2[],7,0),0)</f>
        <v>0</v>
      </c>
      <c r="AI121" s="40">
        <f>IFERROR(VLOOKUP(Tabela3[[#This Row],[Produto]],Tabela2[],8,0),0)</f>
        <v>0</v>
      </c>
      <c r="AJ121" s="35">
        <f ca="1">IFERROR(VLOOKUP(Tabela3[[#This Row],[Produto]],Tabela2[],13,0),0)</f>
        <v>17.600000000000001</v>
      </c>
      <c r="AK121" s="40" t="str">
        <f>IFERROR(VLOOKUP(Tabela3[[#This Row],[Produto]],Tabela2[],14,0),0)</f>
        <v>Oscar</v>
      </c>
      <c r="AL121" s="40">
        <f>IFERROR(VLOOKUP(Tabela3[[#This Row],[Produto]],Tabela2[],15,0),0)</f>
        <v>0</v>
      </c>
      <c r="AM121" s="36">
        <f ca="1">(Tabela3[[#This Row],[Custo Usinagem]]+Tabela3[[#This Row],[Custo / Pç]])*1.2</f>
        <v>57.309832851773876</v>
      </c>
      <c r="AN121" s="36">
        <f ca="1">Tabela3[[#This Row],[Valor Mínimo Venda]]*1.15</f>
        <v>65.906307779539958</v>
      </c>
      <c r="AO121" s="36">
        <f ca="1">Tabela3[[#This Row],[Tabela 1]]*1.08</f>
        <v>71.178812401903159</v>
      </c>
      <c r="AP121" s="36">
        <f ca="1">Tabela3[[#This Row],[Tabela 2]]*1.15</f>
        <v>81.85563426218863</v>
      </c>
    </row>
    <row r="122" spans="1:42">
      <c r="A122" s="9">
        <v>45737</v>
      </c>
      <c r="B122" s="6" t="s">
        <v>139</v>
      </c>
      <c r="C122" s="14">
        <v>6054</v>
      </c>
      <c r="D122" s="6" t="s">
        <v>46</v>
      </c>
      <c r="E122" s="6" t="s">
        <v>53</v>
      </c>
      <c r="F122" s="6">
        <v>51</v>
      </c>
      <c r="G122" s="15">
        <v>0.26597222222222222</v>
      </c>
      <c r="H122" s="16"/>
      <c r="I122" s="35">
        <f ca="1">IFERROR(Tabela3[[#This Row],[Custo Total]]/Tabela3[[#This Row],[Aluminio Util]],0)</f>
        <v>19.369957662900195</v>
      </c>
      <c r="J122" s="35">
        <f ca="1">Tabela3[[#This Row],[Custo Total]]/Tabela3[[#This Row],[Realizado]]</f>
        <v>96.074990007984965</v>
      </c>
      <c r="K122" s="37">
        <f>IFERROR(Tabela3[[#This Row],[Qtde Cx Produzida]]/Tabela3[[#This Row],[Tempo]]/24,0)</f>
        <v>7.9895561357702354</v>
      </c>
      <c r="L122" s="37">
        <f>Tabela3[[#This Row],[Qtde Cx Produzida]]*Tabela3[[#This Row],[Qdt Peça Placa]]</f>
        <v>51</v>
      </c>
      <c r="M122" s="37">
        <f>Tabela3[[#This Row],[Previsto]]-Tabela3[[#This Row],[Perda Pçs]]</f>
        <v>51</v>
      </c>
      <c r="N122" s="38">
        <f>IFERROR(Tabela3[[#This Row],[Perda Pçs]]/Tabela3[[#This Row],[Previsto]],0)</f>
        <v>0</v>
      </c>
      <c r="O122" s="39">
        <f>IFERROR(IF(Tabela3[[#This Row],[Qtde Cx Produzida]] &lt;&gt; 0, Tabela3[[#This Row],[Tempo]] / Tabela3[[#This Row],[Qtde Cx Produzida]], 0),0)</f>
        <v>5.2151416122004357E-3</v>
      </c>
      <c r="P122" s="57">
        <f>IFERROR(Tabela3[[#This Row],[Perda Pçs]]/Tabela3[[#This Row],[Qdt Peça Placa]],0)</f>
        <v>0</v>
      </c>
      <c r="Q122" s="37">
        <f>IFERROR(Tabela3[[#This Row],[Realizado]]*Tabela3[[#This Row],[Peso Util/Pç]],0)</f>
        <v>252.96</v>
      </c>
      <c r="R122" s="37">
        <f>IFERROR(Tabela3[[#This Row],[Peso Total Galho]]*Tabela3[[#This Row],[Qtde Cx Produzida]]*1.055,0)</f>
        <v>285.81216000000001</v>
      </c>
      <c r="S122" s="37">
        <f>(Tabela3[[#This Row],[Aluminio Bruto]]-Tabela3[[#This Row],[Aluminio Util]])*0.9</f>
        <v>29.566943999999999</v>
      </c>
      <c r="T122" s="37">
        <f>Tabela3[[#This Row],[Aluminio Bruto]]/OleoKGAluminio</f>
        <v>120.24080616042755</v>
      </c>
      <c r="U122" s="35">
        <f>IFERROR((VLOOKUP(Tabela3[[#This Row],[Moldador]],Tabela1[],5,)+(VLOOKUP(Tabela3[[#This Row],[Ajudante]],Tabela1[],5,))*3.5),0)</f>
        <v>99.95034583333333</v>
      </c>
      <c r="V122" s="35">
        <f>IFERROR(Tabela3[[#This Row],[Custo M.O. / H]]/((Tabela3[[#This Row],[Realizado]]/Tabela3[[#This Row],[Qdt Peça Placa]])/Tabela3[[#This Row],[Tempo]]/24),)</f>
        <v>12.510124985021786</v>
      </c>
      <c r="W122" s="35">
        <f>Tabela3[[#This Row],[Custo / Cx Moldada]]*Tabela3[[#This Row],[Qtde Cx Produzida]]</f>
        <v>638.01637423611112</v>
      </c>
      <c r="X122" s="35">
        <f ca="1">Tabela3[[#This Row],[Aluminio Util]]*Tabela3[[#This Row],[Custo/Kg]]</f>
        <v>3946.1760000000004</v>
      </c>
      <c r="Y122" s="35">
        <f>IFERROR(VLOOKUP(Tabela3[[#This Row],[Data]],Tabela461213[],2,1)*(Tabela3[[#This Row],[Qtde Cx Produzida]]*Tabela3[[#This Row],[Qde macho / CX]]*Tabela3[[#This Row],[Peso Macho]]),)</f>
        <v>0</v>
      </c>
      <c r="Z122" s="35">
        <f>IFERROR(Tabela3[[#This Row],[Qtde Oleo]]*(VLOOKUP(Tabela3[[#This Row],[Data]],CompraOleo[],3,TRUE))*1.05,0)</f>
        <v>315.63211617112239</v>
      </c>
      <c r="AA122" s="47">
        <f ca="1">(Tabela3[[#This Row],[Custo Oleo]]+Tabela3[[#This Row],[Custo Aluminio]]+Tabela3[[#This Row],[Custo M.O. Total]]+Tabela3[[#This Row],[Custo Machos]])</f>
        <v>4899.8244904072335</v>
      </c>
      <c r="AB122" s="47">
        <f ca="1">Tabela3[[#This Row],[Custo Total]]*Tabela3[[#This Row],[% Perda]]</f>
        <v>0</v>
      </c>
      <c r="AC122" s="48">
        <f>IFERROR(VLOOKUP(Tabela3[[#This Row],[Produto]],Tabela2[],2,0),0)</f>
        <v>1</v>
      </c>
      <c r="AD122" s="48">
        <f>IFERROR(VLOOKUP(Tabela3[[#This Row],[Produto]],Tabela2[],3,0),0)</f>
        <v>4.96</v>
      </c>
      <c r="AE122" s="48">
        <f>IFERROR(VLOOKUP(Tabela3[[#This Row],[Produto]],Tabela2[],4,0),0)</f>
        <v>5.3120000000000003</v>
      </c>
      <c r="AF122" s="48">
        <f>IFERROR(VLOOKUP(Tabela3[[#This Row],[Produto]],Tabela2[],5,0),0)</f>
        <v>0.3168000000000003</v>
      </c>
      <c r="AG122" s="40">
        <f>IFERROR(VLOOKUP(Tabela3[[#This Row],[Produto]],Tabela2[],6,0),0)</f>
        <v>0</v>
      </c>
      <c r="AH122" s="40">
        <f>IFERROR(VLOOKUP(Tabela3[[#This Row],[Produto]],Tabela2[],7,0),0)</f>
        <v>0</v>
      </c>
      <c r="AI122" s="40">
        <f>IFERROR(VLOOKUP(Tabela3[[#This Row],[Produto]],Tabela2[],8,0),0)</f>
        <v>0</v>
      </c>
      <c r="AJ122" s="35">
        <f ca="1">IFERROR(VLOOKUP(Tabela3[[#This Row],[Produto]],Tabela2[],13,0),0)</f>
        <v>15.600000000000001</v>
      </c>
      <c r="AK122" s="40" t="str">
        <f>IFERROR(VLOOKUP(Tabela3[[#This Row],[Produto]],Tabela2[],14,0),0)</f>
        <v>Jumil</v>
      </c>
      <c r="AL122" s="40">
        <f>IFERROR(VLOOKUP(Tabela3[[#This Row],[Produto]],Tabela2[],15,0),0)</f>
        <v>1</v>
      </c>
      <c r="AM122" s="36">
        <f ca="1">(Tabela3[[#This Row],[Custo Usinagem]]+Tabela3[[#This Row],[Custo / Pç]])*1.2</f>
        <v>116.48998800958195</v>
      </c>
      <c r="AN122" s="36">
        <f ca="1">Tabela3[[#This Row],[Valor Mínimo Venda]]*1.15</f>
        <v>133.96348621101924</v>
      </c>
      <c r="AO122" s="36">
        <f ca="1">Tabela3[[#This Row],[Tabela 1]]*1.08</f>
        <v>144.6805651079008</v>
      </c>
      <c r="AP122" s="36">
        <f ca="1">Tabela3[[#This Row],[Tabela 2]]*1.15</f>
        <v>166.3826498740859</v>
      </c>
    </row>
    <row r="123" spans="1:42">
      <c r="A123" s="9">
        <v>45740</v>
      </c>
      <c r="B123" s="6" t="s">
        <v>124</v>
      </c>
      <c r="C123" s="14">
        <v>6013</v>
      </c>
      <c r="D123" s="6" t="s">
        <v>46</v>
      </c>
      <c r="E123" s="6" t="s">
        <v>53</v>
      </c>
      <c r="F123" s="6">
        <v>90</v>
      </c>
      <c r="G123" s="15">
        <v>0.35694444444444445</v>
      </c>
      <c r="H123" s="16">
        <v>0</v>
      </c>
      <c r="I123" s="35">
        <f ca="1">IFERROR(Tabela3[[#This Row],[Custo Total]]/Tabela3[[#This Row],[Aluminio Util]],0)</f>
        <v>23.290744909970051</v>
      </c>
      <c r="J123" s="35">
        <f ca="1">Tabela3[[#This Row],[Custo Total]]/Tabela3[[#This Row],[Realizado]]</f>
        <v>39.361358897849385</v>
      </c>
      <c r="K123" s="37">
        <f>IFERROR(Tabela3[[#This Row],[Qtde Cx Produzida]]/Tabela3[[#This Row],[Tempo]]/24,0)</f>
        <v>10.505836575875486</v>
      </c>
      <c r="L123" s="37">
        <f>Tabela3[[#This Row],[Qtde Cx Produzida]]*Tabela3[[#This Row],[Qdt Peça Placa]]</f>
        <v>90</v>
      </c>
      <c r="M123" s="37">
        <f>Tabela3[[#This Row],[Previsto]]-Tabela3[[#This Row],[Perda Pçs]]</f>
        <v>90</v>
      </c>
      <c r="N123" s="38">
        <f>IFERROR(Tabela3[[#This Row],[Perda Pçs]]/Tabela3[[#This Row],[Previsto]],0)</f>
        <v>0</v>
      </c>
      <c r="O123" s="39">
        <f>IFERROR(IF(Tabela3[[#This Row],[Qtde Cx Produzida]] &lt;&gt; 0, Tabela3[[#This Row],[Tempo]] / Tabela3[[#This Row],[Qtde Cx Produzida]], 0),0)</f>
        <v>3.9660493827160491E-3</v>
      </c>
      <c r="P123" s="57">
        <f>IFERROR(Tabela3[[#This Row],[Perda Pçs]]/Tabela3[[#This Row],[Qdt Peça Placa]],0)</f>
        <v>0</v>
      </c>
      <c r="Q123" s="37">
        <f>IFERROR(Tabela3[[#This Row],[Realizado]]*Tabela3[[#This Row],[Peso Util/Pç]],0)</f>
        <v>152.1</v>
      </c>
      <c r="R123" s="37">
        <f>IFERROR(Tabela3[[#This Row],[Peso Total Galho]]*Tabela3[[#This Row],[Qtde Cx Produzida]]*1.055,0)</f>
        <v>283.90050000000002</v>
      </c>
      <c r="S123" s="37">
        <f>(Tabela3[[#This Row],[Aluminio Bruto]]-Tabela3[[#This Row],[Aluminio Util]])*0.9</f>
        <v>118.62045000000003</v>
      </c>
      <c r="T123" s="37">
        <f>Tabela3[[#This Row],[Aluminio Bruto]]/OleoKGAluminio</f>
        <v>119.43657327018019</v>
      </c>
      <c r="U123" s="35">
        <f>IFERROR((VLOOKUP(Tabela3[[#This Row],[Moldador]],Tabela1[],5,)+(VLOOKUP(Tabela3[[#This Row],[Ajudante]],Tabela1[],5,))*3.5),0)</f>
        <v>99.95034583333333</v>
      </c>
      <c r="V123" s="35">
        <f>IFERROR(Tabela3[[#This Row],[Custo M.O. / H]]/((Tabela3[[#This Row],[Realizado]]/Tabela3[[#This Row],[Qdt Peça Placa]])/Tabela3[[#This Row],[Tempo]]/24),)</f>
        <v>9.513792177469135</v>
      </c>
      <c r="W123" s="35">
        <f>Tabela3[[#This Row],[Custo / Cx Moldada]]*Tabela3[[#This Row],[Qtde Cx Produzida]]</f>
        <v>856.24129597222213</v>
      </c>
      <c r="X123" s="35">
        <f ca="1">Tabela3[[#This Row],[Aluminio Util]]*Tabela3[[#This Row],[Custo/Kg]]</f>
        <v>2372.7600000000002</v>
      </c>
      <c r="Y123" s="35">
        <f>IFERROR(VLOOKUP(Tabela3[[#This Row],[Data]],Tabela461213[],2,1)*(Tabela3[[#This Row],[Qtde Cx Produzida]]*Tabela3[[#This Row],[Qde macho / CX]]*Tabela3[[#This Row],[Peso Macho]]),)</f>
        <v>0</v>
      </c>
      <c r="Z123" s="35">
        <f>IFERROR(Tabela3[[#This Row],[Qtde Oleo]]*(VLOOKUP(Tabela3[[#This Row],[Data]],CompraOleo[],3,TRUE))*1.05,0)</f>
        <v>313.52100483422299</v>
      </c>
      <c r="AA123" s="47">
        <f ca="1">(Tabela3[[#This Row],[Custo Oleo]]+Tabela3[[#This Row],[Custo Aluminio]]+Tabela3[[#This Row],[Custo M.O. Total]]+Tabela3[[#This Row],[Custo Machos]])</f>
        <v>3542.5223008064449</v>
      </c>
      <c r="AB123" s="47">
        <f ca="1">Tabela3[[#This Row],[Custo Total]]*Tabela3[[#This Row],[% Perda]]</f>
        <v>0</v>
      </c>
      <c r="AC123" s="48">
        <f>IFERROR(VLOOKUP(Tabela3[[#This Row],[Produto]],Tabela2[],2,0),0)</f>
        <v>1</v>
      </c>
      <c r="AD123" s="48">
        <f>IFERROR(VLOOKUP(Tabela3[[#This Row],[Produto]],Tabela2[],3,0),0)</f>
        <v>1.69</v>
      </c>
      <c r="AE123" s="48">
        <f>IFERROR(VLOOKUP(Tabela3[[#This Row],[Produto]],Tabela2[],4,0),0)</f>
        <v>2.99</v>
      </c>
      <c r="AF123" s="48">
        <f>IFERROR(VLOOKUP(Tabela3[[#This Row],[Produto]],Tabela2[],5,0),0)</f>
        <v>1.1700000000000004</v>
      </c>
      <c r="AG123" s="40">
        <f>IFERROR(VLOOKUP(Tabela3[[#This Row],[Produto]],Tabela2[],6,0),0)</f>
        <v>0</v>
      </c>
      <c r="AH123" s="40">
        <f>IFERROR(VLOOKUP(Tabela3[[#This Row],[Produto]],Tabela2[],7,0),0)</f>
        <v>0</v>
      </c>
      <c r="AI123" s="40">
        <f>IFERROR(VLOOKUP(Tabela3[[#This Row],[Produto]],Tabela2[],8,0),0)</f>
        <v>0</v>
      </c>
      <c r="AJ123" s="35">
        <f ca="1">IFERROR(VLOOKUP(Tabela3[[#This Row],[Produto]],Tabela2[],13,0),0)</f>
        <v>15.600000000000001</v>
      </c>
      <c r="AK123" s="40" t="str">
        <f>IFERROR(VLOOKUP(Tabela3[[#This Row],[Produto]],Tabela2[],14,0),0)</f>
        <v>Jumil</v>
      </c>
      <c r="AL123" s="40">
        <f>IFERROR(VLOOKUP(Tabela3[[#This Row],[Produto]],Tabela2[],15,0),0)</f>
        <v>8</v>
      </c>
      <c r="AM123" s="36">
        <f ca="1">(Tabela3[[#This Row],[Custo Usinagem]]+Tabela3[[#This Row],[Custo / Pç]])*1.2</f>
        <v>56.833630677419258</v>
      </c>
      <c r="AN123" s="36">
        <f ca="1">Tabela3[[#This Row],[Valor Mínimo Venda]]*1.15</f>
        <v>65.358675279032141</v>
      </c>
      <c r="AO123" s="36">
        <f ca="1">Tabela3[[#This Row],[Tabela 1]]*1.08</f>
        <v>70.587369301354713</v>
      </c>
      <c r="AP123" s="36">
        <f ca="1">Tabela3[[#This Row],[Tabela 2]]*1.15</f>
        <v>81.175474696557913</v>
      </c>
    </row>
    <row r="124" spans="1:42">
      <c r="A124" s="9">
        <v>45740</v>
      </c>
      <c r="B124" s="6" t="s">
        <v>236</v>
      </c>
      <c r="C124" s="14">
        <v>6060</v>
      </c>
      <c r="D124" s="6" t="s">
        <v>44</v>
      </c>
      <c r="E124" s="6" t="s">
        <v>47</v>
      </c>
      <c r="F124" s="6">
        <v>61</v>
      </c>
      <c r="G124" s="15">
        <v>0.33819444444444446</v>
      </c>
      <c r="H124" s="16">
        <v>0</v>
      </c>
      <c r="I124" s="35">
        <f ca="1">IFERROR(Tabela3[[#This Row],[Custo Total]]/Tabela3[[#This Row],[Aluminio Util]],0)</f>
        <v>24.323311214573287</v>
      </c>
      <c r="J124" s="35">
        <f ca="1">Tabela3[[#This Row],[Custo Total]]/Tabela3[[#This Row],[Realizado]]</f>
        <v>7.3456399868011326</v>
      </c>
      <c r="K124" s="37">
        <f>IFERROR(Tabela3[[#This Row],[Qtde Cx Produzida]]/Tabela3[[#This Row],[Tempo]]/24,0)</f>
        <v>7.5154004106776178</v>
      </c>
      <c r="L124" s="37">
        <f>Tabela3[[#This Row],[Qtde Cx Produzida]]*Tabela3[[#This Row],[Qdt Peça Placa]]</f>
        <v>366</v>
      </c>
      <c r="M124" s="37">
        <f>Tabela3[[#This Row],[Previsto]]-Tabela3[[#This Row],[Perda Pçs]]</f>
        <v>366</v>
      </c>
      <c r="N124" s="38">
        <f>IFERROR(Tabela3[[#This Row],[Perda Pçs]]/Tabela3[[#This Row],[Previsto]],0)</f>
        <v>0</v>
      </c>
      <c r="O124" s="39">
        <f>IFERROR(IF(Tabela3[[#This Row],[Qtde Cx Produzida]] &lt;&gt; 0, Tabela3[[#This Row],[Tempo]] / Tabela3[[#This Row],[Qtde Cx Produzida]], 0),0)</f>
        <v>5.5441712204007286E-3</v>
      </c>
      <c r="P124" s="57">
        <f>IFERROR(Tabela3[[#This Row],[Perda Pçs]]/Tabela3[[#This Row],[Qdt Peça Placa]],0)</f>
        <v>0</v>
      </c>
      <c r="Q124" s="37">
        <f>IFERROR(Tabela3[[#This Row],[Realizado]]*Tabela3[[#This Row],[Peso Util/Pç]],0)</f>
        <v>110.532</v>
      </c>
      <c r="R124" s="37">
        <f>IFERROR(Tabela3[[#This Row],[Peso Total Galho]]*Tabela3[[#This Row],[Qtde Cx Produzida]]*1.055,0)</f>
        <v>138.49196000000001</v>
      </c>
      <c r="S124" s="37">
        <f>(Tabela3[[#This Row],[Aluminio Bruto]]-Tabela3[[#This Row],[Aluminio Util]])*0.9</f>
        <v>25.163964000000011</v>
      </c>
      <c r="T124" s="37">
        <f>Tabela3[[#This Row],[Aluminio Bruto]]/OleoKGAluminio</f>
        <v>58.263388503616106</v>
      </c>
      <c r="U124" s="35">
        <f>IFERROR((VLOOKUP(Tabela3[[#This Row],[Moldador]],Tabela1[],5,)+(VLOOKUP(Tabela3[[#This Row],[Ajudante]],Tabela1[],5,))*3.5),0)</f>
        <v>99.95034583333333</v>
      </c>
      <c r="V124" s="35">
        <f>IFERROR(Tabela3[[#This Row],[Custo M.O. / H]]/((Tabela3[[#This Row],[Realizado]]/Tabela3[[#This Row],[Qdt Peça Placa]])/Tabela3[[#This Row],[Tempo]]/24),)</f>
        <v>13.299403940118397</v>
      </c>
      <c r="W124" s="35">
        <f>Tabela3[[#This Row],[Custo / Cx Moldada]]*Tabela3[[#This Row],[Qtde Cx Produzida]]</f>
        <v>811.26364034722224</v>
      </c>
      <c r="X124" s="35">
        <f ca="1">Tabela3[[#This Row],[Aluminio Util]]*Tabela3[[#This Row],[Custo/Kg]]</f>
        <v>1724.2992000000002</v>
      </c>
      <c r="Y124" s="35">
        <f>IFERROR(VLOOKUP(Tabela3[[#This Row],[Data]],Tabela461213[],2,1)*(Tabela3[[#This Row],[Qtde Cx Produzida]]*Tabela3[[#This Row],[Qde macho / CX]]*Tabela3[[#This Row],[Peso Macho]]),)</f>
        <v>0</v>
      </c>
      <c r="Z124" s="35">
        <f>IFERROR(Tabela3[[#This Row],[Qtde Oleo]]*(VLOOKUP(Tabela3[[#This Row],[Data]],CompraOleo[],3,TRUE))*1.05,0)</f>
        <v>152.94139482199228</v>
      </c>
      <c r="AA124" s="47">
        <f ca="1">(Tabela3[[#This Row],[Custo Oleo]]+Tabela3[[#This Row],[Custo Aluminio]]+Tabela3[[#This Row],[Custo M.O. Total]]+Tabela3[[#This Row],[Custo Machos]])</f>
        <v>2688.5042351692146</v>
      </c>
      <c r="AB124" s="47">
        <f ca="1">Tabela3[[#This Row],[Custo Total]]*Tabela3[[#This Row],[% Perda]]</f>
        <v>0</v>
      </c>
      <c r="AC124" s="48">
        <f>IFERROR(VLOOKUP(Tabela3[[#This Row],[Produto]],Tabela2[],2,0),0)</f>
        <v>6</v>
      </c>
      <c r="AD124" s="48">
        <f>IFERROR(VLOOKUP(Tabela3[[#This Row],[Produto]],Tabela2[],3,0),0)</f>
        <v>0.30199999999999999</v>
      </c>
      <c r="AE124" s="48">
        <f>IFERROR(VLOOKUP(Tabela3[[#This Row],[Produto]],Tabela2[],4,0),0)</f>
        <v>2.1520000000000001</v>
      </c>
      <c r="AF124" s="48">
        <f>IFERROR(VLOOKUP(Tabela3[[#This Row],[Produto]],Tabela2[],5,0),0)</f>
        <v>0.30600000000000027</v>
      </c>
      <c r="AG124" s="40">
        <f>IFERROR(VLOOKUP(Tabela3[[#This Row],[Produto]],Tabela2[],6,0),0)</f>
        <v>0</v>
      </c>
      <c r="AH124" s="40">
        <f>IFERROR(VLOOKUP(Tabela3[[#This Row],[Produto]],Tabela2[],7,0),0)</f>
        <v>0</v>
      </c>
      <c r="AI124" s="40">
        <f>IFERROR(VLOOKUP(Tabela3[[#This Row],[Produto]],Tabela2[],8,0),0)</f>
        <v>0</v>
      </c>
      <c r="AJ124" s="35">
        <f ca="1">IFERROR(VLOOKUP(Tabela3[[#This Row],[Produto]],Tabela2[],13,0),0)</f>
        <v>15.600000000000001</v>
      </c>
      <c r="AK124" s="40" t="str">
        <f>IFERROR(VLOOKUP(Tabela3[[#This Row],[Produto]],Tabela2[],14,0),0)</f>
        <v>Senun</v>
      </c>
      <c r="AL124" s="40">
        <f>IFERROR(VLOOKUP(Tabela3[[#This Row],[Produto]],Tabela2[],15,0),0)</f>
        <v>4</v>
      </c>
      <c r="AM124" s="36">
        <f ca="1">(Tabela3[[#This Row],[Custo Usinagem]]+Tabela3[[#This Row],[Custo / Pç]])*1.2</f>
        <v>13.614767984161357</v>
      </c>
      <c r="AN124" s="36">
        <f ca="1">Tabela3[[#This Row],[Valor Mínimo Venda]]*1.15</f>
        <v>15.656983181785559</v>
      </c>
      <c r="AO124" s="36">
        <f ca="1">Tabela3[[#This Row],[Tabela 1]]*1.08</f>
        <v>16.909541836328405</v>
      </c>
      <c r="AP124" s="36">
        <f ca="1">Tabela3[[#This Row],[Tabela 2]]*1.15</f>
        <v>19.445973111777665</v>
      </c>
    </row>
    <row r="125" spans="1:42">
      <c r="A125" s="9">
        <v>45741</v>
      </c>
      <c r="B125" s="6" t="s">
        <v>236</v>
      </c>
      <c r="C125" s="14">
        <v>6060</v>
      </c>
      <c r="D125" s="6" t="s">
        <v>44</v>
      </c>
      <c r="E125" s="6" t="s">
        <v>47</v>
      </c>
      <c r="F125" s="6">
        <v>39</v>
      </c>
      <c r="G125" s="15">
        <v>0.24097222222222223</v>
      </c>
      <c r="H125" s="16">
        <v>0</v>
      </c>
      <c r="I125" s="35">
        <f ca="1">IFERROR(Tabela3[[#This Row],[Custo Total]]/Tabela3[[#This Row],[Aluminio Util]],0)</f>
        <v>25.163428567144372</v>
      </c>
      <c r="J125" s="35">
        <f ca="1">Tabela3[[#This Row],[Custo Total]]/Tabela3[[#This Row],[Realizado]]</f>
        <v>7.5993554272776001</v>
      </c>
      <c r="K125" s="37">
        <f>IFERROR(Tabela3[[#This Row],[Qtde Cx Produzida]]/Tabela3[[#This Row],[Tempo]]/24,0)</f>
        <v>6.7435158501440924</v>
      </c>
      <c r="L125" s="37">
        <f>Tabela3[[#This Row],[Qtde Cx Produzida]]*Tabela3[[#This Row],[Qdt Peça Placa]]</f>
        <v>234</v>
      </c>
      <c r="M125" s="37">
        <f>Tabela3[[#This Row],[Previsto]]-Tabela3[[#This Row],[Perda Pçs]]</f>
        <v>234</v>
      </c>
      <c r="N125" s="38">
        <f>IFERROR(Tabela3[[#This Row],[Perda Pçs]]/Tabela3[[#This Row],[Previsto]],0)</f>
        <v>0</v>
      </c>
      <c r="O125" s="39">
        <f>IFERROR(IF(Tabela3[[#This Row],[Qtde Cx Produzida]] &lt;&gt; 0, Tabela3[[#This Row],[Tempo]] / Tabela3[[#This Row],[Qtde Cx Produzida]], 0),0)</f>
        <v>6.1787749287749291E-3</v>
      </c>
      <c r="P125" s="57">
        <f>IFERROR(Tabela3[[#This Row],[Perda Pçs]]/Tabela3[[#This Row],[Qdt Peça Placa]],0)</f>
        <v>0</v>
      </c>
      <c r="Q125" s="37">
        <f>IFERROR(Tabela3[[#This Row],[Realizado]]*Tabela3[[#This Row],[Peso Util/Pç]],0)</f>
        <v>70.667999999999992</v>
      </c>
      <c r="R125" s="37">
        <f>IFERROR(Tabela3[[#This Row],[Peso Total Galho]]*Tabela3[[#This Row],[Qtde Cx Produzida]]*1.055,0)</f>
        <v>88.54404000000001</v>
      </c>
      <c r="S125" s="37">
        <f>(Tabela3[[#This Row],[Aluminio Bruto]]-Tabela3[[#This Row],[Aluminio Util]])*0.9</f>
        <v>16.088436000000016</v>
      </c>
      <c r="T125" s="37">
        <f>Tabela3[[#This Row],[Aluminio Bruto]]/OleoKGAluminio</f>
        <v>37.250363141656202</v>
      </c>
      <c r="U125" s="35">
        <f>IFERROR((VLOOKUP(Tabela3[[#This Row],[Moldador]],Tabela1[],5,)+(VLOOKUP(Tabela3[[#This Row],[Ajudante]],Tabela1[],5,))*3.5),0)</f>
        <v>99.95034583333333</v>
      </c>
      <c r="V125" s="35">
        <f>IFERROR(Tabela3[[#This Row],[Custo M.O. / H]]/((Tabela3[[#This Row],[Realizado]]/Tabela3[[#This Row],[Qdt Peça Placa]])/Tabela3[[#This Row],[Tempo]]/24),)</f>
        <v>14.821696582977207</v>
      </c>
      <c r="W125" s="35">
        <f>Tabela3[[#This Row],[Custo / Cx Moldada]]*Tabela3[[#This Row],[Qtde Cx Produzida]]</f>
        <v>578.0461667361111</v>
      </c>
      <c r="X125" s="35">
        <f ca="1">Tabela3[[#This Row],[Aluminio Util]]*Tabela3[[#This Row],[Custo/Kg]]</f>
        <v>1102.4207999999999</v>
      </c>
      <c r="Y125" s="35">
        <f>IFERROR(VLOOKUP(Tabela3[[#This Row],[Data]],Tabela461213[],2,1)*(Tabela3[[#This Row],[Qtde Cx Produzida]]*Tabela3[[#This Row],[Qde macho / CX]]*Tabela3[[#This Row],[Peso Macho]]),)</f>
        <v>0</v>
      </c>
      <c r="Z125" s="35">
        <f>IFERROR(Tabela3[[#This Row],[Qtde Oleo]]*(VLOOKUP(Tabela3[[#This Row],[Data]],CompraOleo[],3,TRUE))*1.05,0)</f>
        <v>97.78220324684753</v>
      </c>
      <c r="AA125" s="47">
        <f ca="1">(Tabela3[[#This Row],[Custo Oleo]]+Tabela3[[#This Row],[Custo Aluminio]]+Tabela3[[#This Row],[Custo M.O. Total]]+Tabela3[[#This Row],[Custo Machos]])</f>
        <v>1778.2491699829584</v>
      </c>
      <c r="AB125" s="47">
        <f ca="1">Tabela3[[#This Row],[Custo Total]]*Tabela3[[#This Row],[% Perda]]</f>
        <v>0</v>
      </c>
      <c r="AC125" s="48">
        <f>IFERROR(VLOOKUP(Tabela3[[#This Row],[Produto]],Tabela2[],2,0),0)</f>
        <v>6</v>
      </c>
      <c r="AD125" s="48">
        <f>IFERROR(VLOOKUP(Tabela3[[#This Row],[Produto]],Tabela2[],3,0),0)</f>
        <v>0.30199999999999999</v>
      </c>
      <c r="AE125" s="48">
        <f>IFERROR(VLOOKUP(Tabela3[[#This Row],[Produto]],Tabela2[],4,0),0)</f>
        <v>2.1520000000000001</v>
      </c>
      <c r="AF125" s="48">
        <f>IFERROR(VLOOKUP(Tabela3[[#This Row],[Produto]],Tabela2[],5,0),0)</f>
        <v>0.30600000000000027</v>
      </c>
      <c r="AG125" s="40">
        <f>IFERROR(VLOOKUP(Tabela3[[#This Row],[Produto]],Tabela2[],6,0),0)</f>
        <v>0</v>
      </c>
      <c r="AH125" s="40">
        <f>IFERROR(VLOOKUP(Tabela3[[#This Row],[Produto]],Tabela2[],7,0),0)</f>
        <v>0</v>
      </c>
      <c r="AI125" s="40">
        <f>IFERROR(VLOOKUP(Tabela3[[#This Row],[Produto]],Tabela2[],8,0),0)</f>
        <v>0</v>
      </c>
      <c r="AJ125" s="35">
        <f ca="1">IFERROR(VLOOKUP(Tabela3[[#This Row],[Produto]],Tabela2[],13,0),0)</f>
        <v>15.600000000000001</v>
      </c>
      <c r="AK125" s="40" t="str">
        <f>IFERROR(VLOOKUP(Tabela3[[#This Row],[Produto]],Tabela2[],14,0),0)</f>
        <v>Senun</v>
      </c>
      <c r="AL125" s="40">
        <f>IFERROR(VLOOKUP(Tabela3[[#This Row],[Produto]],Tabela2[],15,0),0)</f>
        <v>4</v>
      </c>
      <c r="AM125" s="36">
        <f ca="1">(Tabela3[[#This Row],[Custo Usinagem]]+Tabela3[[#This Row],[Custo / Pç]])*1.2</f>
        <v>13.91922651273312</v>
      </c>
      <c r="AN125" s="36">
        <f ca="1">Tabela3[[#This Row],[Valor Mínimo Venda]]*1.15</f>
        <v>16.007110489643086</v>
      </c>
      <c r="AO125" s="36">
        <f ca="1">Tabela3[[#This Row],[Tabela 1]]*1.08</f>
        <v>17.287679328814534</v>
      </c>
      <c r="AP125" s="36">
        <f ca="1">Tabela3[[#This Row],[Tabela 2]]*1.15</f>
        <v>19.880831228136714</v>
      </c>
    </row>
    <row r="126" spans="1:42">
      <c r="A126" s="9">
        <v>45741</v>
      </c>
      <c r="B126" s="6" t="s">
        <v>112</v>
      </c>
      <c r="C126" s="14">
        <v>6064</v>
      </c>
      <c r="D126" s="6" t="s">
        <v>44</v>
      </c>
      <c r="E126" s="6" t="s">
        <v>47</v>
      </c>
      <c r="F126" s="6">
        <v>10</v>
      </c>
      <c r="G126" s="15">
        <v>5.2777777777777778E-2</v>
      </c>
      <c r="H126" s="16">
        <v>0</v>
      </c>
      <c r="I126" s="35">
        <f ca="1">IFERROR(Tabela3[[#This Row],[Custo Total]]/Tabela3[[#This Row],[Aluminio Util]],0)</f>
        <v>25.794304540216483</v>
      </c>
      <c r="J126" s="35">
        <f ca="1">Tabela3[[#This Row],[Custo Total]]/Tabela3[[#This Row],[Realizado]]</f>
        <v>12.897152270108242</v>
      </c>
      <c r="K126" s="37">
        <f>IFERROR(Tabela3[[#This Row],[Qtde Cx Produzida]]/Tabela3[[#This Row],[Tempo]]/24,0)</f>
        <v>7.8947368421052637</v>
      </c>
      <c r="L126" s="37">
        <f>Tabela3[[#This Row],[Qtde Cx Produzida]]*Tabela3[[#This Row],[Qdt Peça Placa]]</f>
        <v>40</v>
      </c>
      <c r="M126" s="37">
        <f>Tabela3[[#This Row],[Previsto]]-Tabela3[[#This Row],[Perda Pçs]]</f>
        <v>40</v>
      </c>
      <c r="N126" s="38">
        <f>IFERROR(Tabela3[[#This Row],[Perda Pçs]]/Tabela3[[#This Row],[Previsto]],0)</f>
        <v>0</v>
      </c>
      <c r="O126" s="39">
        <f>IFERROR(IF(Tabela3[[#This Row],[Qtde Cx Produzida]] &lt;&gt; 0, Tabela3[[#This Row],[Tempo]] / Tabela3[[#This Row],[Qtde Cx Produzida]], 0),0)</f>
        <v>5.2777777777777779E-3</v>
      </c>
      <c r="P126" s="57">
        <f>IFERROR(Tabela3[[#This Row],[Perda Pçs]]/Tabela3[[#This Row],[Qdt Peça Placa]],0)</f>
        <v>0</v>
      </c>
      <c r="Q126" s="37">
        <f>IFERROR(Tabela3[[#This Row],[Realizado]]*Tabela3[[#This Row],[Peso Util/Pç]],0)</f>
        <v>20</v>
      </c>
      <c r="R126" s="37">
        <f>IFERROR(Tabela3[[#This Row],[Peso Total Galho]]*Tabela3[[#This Row],[Qtde Cx Produzida]]*1.055,0)</f>
        <v>33.76</v>
      </c>
      <c r="S126" s="37">
        <f>(Tabela3[[#This Row],[Aluminio Bruto]]-Tabela3[[#This Row],[Aluminio Util]])*0.9</f>
        <v>12.383999999999999</v>
      </c>
      <c r="T126" s="37">
        <f>Tabela3[[#This Row],[Aluminio Bruto]]/OleoKGAluminio</f>
        <v>14.202788348739375</v>
      </c>
      <c r="U126" s="35">
        <f>IFERROR((VLOOKUP(Tabela3[[#This Row],[Moldador]],Tabela1[],5,)+(VLOOKUP(Tabela3[[#This Row],[Ajudante]],Tabela1[],5,))*3.5),0)</f>
        <v>99.95034583333333</v>
      </c>
      <c r="V126" s="35">
        <f>IFERROR(Tabela3[[#This Row],[Custo M.O. / H]]/((Tabela3[[#This Row],[Realizado]]/Tabela3[[#This Row],[Qdt Peça Placa]])/Tabela3[[#This Row],[Tempo]]/24),)</f>
        <v>12.660377138888888</v>
      </c>
      <c r="W126" s="35">
        <f>Tabela3[[#This Row],[Custo / Cx Moldada]]*Tabela3[[#This Row],[Qtde Cx Produzida]]</f>
        <v>126.60377138888889</v>
      </c>
      <c r="X126" s="35">
        <f ca="1">Tabela3[[#This Row],[Aluminio Util]]*Tabela3[[#This Row],[Custo/Kg]]</f>
        <v>352</v>
      </c>
      <c r="Y126" s="35">
        <f>IFERROR(VLOOKUP(Tabela3[[#This Row],[Data]],Tabela461213[],2,1)*(Tabela3[[#This Row],[Qtde Cx Produzida]]*Tabela3[[#This Row],[Qde macho / CX]]*Tabela3[[#This Row],[Peso Macho]]),)</f>
        <v>0</v>
      </c>
      <c r="Z126" s="35">
        <f>IFERROR(Tabela3[[#This Row],[Qtde Oleo]]*(VLOOKUP(Tabela3[[#This Row],[Data]],CompraOleo[],3,TRUE))*1.05,0)</f>
        <v>37.28231941544086</v>
      </c>
      <c r="AA126" s="47">
        <f ca="1">(Tabela3[[#This Row],[Custo Oleo]]+Tabela3[[#This Row],[Custo Aluminio]]+Tabela3[[#This Row],[Custo M.O. Total]]+Tabela3[[#This Row],[Custo Machos]])</f>
        <v>515.88609080432968</v>
      </c>
      <c r="AB126" s="47">
        <f ca="1">Tabela3[[#This Row],[Custo Total]]*Tabela3[[#This Row],[% Perda]]</f>
        <v>0</v>
      </c>
      <c r="AC126" s="48">
        <f>IFERROR(VLOOKUP(Tabela3[[#This Row],[Produto]],Tabela2[],2,0),0)</f>
        <v>4</v>
      </c>
      <c r="AD126" s="48">
        <f>IFERROR(VLOOKUP(Tabela3[[#This Row],[Produto]],Tabela2[],3,0),0)</f>
        <v>0.5</v>
      </c>
      <c r="AE126" s="48">
        <f>IFERROR(VLOOKUP(Tabela3[[#This Row],[Produto]],Tabela2[],4,0),0)</f>
        <v>3.2</v>
      </c>
      <c r="AF126" s="48">
        <f>IFERROR(VLOOKUP(Tabela3[[#This Row],[Produto]],Tabela2[],5,0),0)</f>
        <v>1.0800000000000003</v>
      </c>
      <c r="AG126" s="40">
        <f>IFERROR(VLOOKUP(Tabela3[[#This Row],[Produto]],Tabela2[],6,0),0)</f>
        <v>0</v>
      </c>
      <c r="AH126" s="40">
        <f>IFERROR(VLOOKUP(Tabela3[[#This Row],[Produto]],Tabela2[],7,0),0)</f>
        <v>0</v>
      </c>
      <c r="AI126" s="40">
        <f>IFERROR(VLOOKUP(Tabela3[[#This Row],[Produto]],Tabela2[],8,0),0)</f>
        <v>0</v>
      </c>
      <c r="AJ126" s="35">
        <f ca="1">IFERROR(VLOOKUP(Tabela3[[#This Row],[Produto]],Tabela2[],13,0),0)</f>
        <v>17.600000000000001</v>
      </c>
      <c r="AK126" s="40" t="str">
        <f>IFERROR(VLOOKUP(Tabela3[[#This Row],[Produto]],Tabela2[],14,0),0)</f>
        <v>Marcelo</v>
      </c>
      <c r="AL126" s="40">
        <f>IFERROR(VLOOKUP(Tabela3[[#This Row],[Produto]],Tabela2[],15,0),0)</f>
        <v>0</v>
      </c>
      <c r="AM126" s="36">
        <f ca="1">(Tabela3[[#This Row],[Custo Usinagem]]+Tabela3[[#This Row],[Custo / Pç]])*1.2</f>
        <v>15.476582724129889</v>
      </c>
      <c r="AN126" s="36">
        <f ca="1">Tabela3[[#This Row],[Valor Mínimo Venda]]*1.15</f>
        <v>17.79807013274937</v>
      </c>
      <c r="AO126" s="36">
        <f ca="1">Tabela3[[#This Row],[Tabela 1]]*1.08</f>
        <v>19.221915743369319</v>
      </c>
      <c r="AP126" s="36">
        <f ca="1">Tabela3[[#This Row],[Tabela 2]]*1.15</f>
        <v>22.105203104874715</v>
      </c>
    </row>
    <row r="127" spans="1:42">
      <c r="A127" s="9">
        <v>45741</v>
      </c>
      <c r="B127" s="6" t="s">
        <v>155</v>
      </c>
      <c r="C127" s="14">
        <v>6073</v>
      </c>
      <c r="D127" s="6" t="s">
        <v>44</v>
      </c>
      <c r="E127" s="6" t="s">
        <v>47</v>
      </c>
      <c r="F127" s="6">
        <v>2</v>
      </c>
      <c r="G127" s="15">
        <v>5.5555555555555558E-3</v>
      </c>
      <c r="H127" s="16">
        <v>0</v>
      </c>
      <c r="I127" s="35">
        <f ca="1">IFERROR(Tabela3[[#This Row],[Custo Total]]/Tabela3[[#This Row],[Aluminio Util]],0)</f>
        <v>24.068355533919945</v>
      </c>
      <c r="J127" s="35">
        <f ca="1">Tabela3[[#This Row],[Custo Total]]/Tabela3[[#This Row],[Realizado]]</f>
        <v>6.2577724388191855</v>
      </c>
      <c r="K127" s="37">
        <f>IFERROR(Tabela3[[#This Row],[Qtde Cx Produzida]]/Tabela3[[#This Row],[Tempo]]/24,0)</f>
        <v>15</v>
      </c>
      <c r="L127" s="37">
        <f>Tabela3[[#This Row],[Qtde Cx Produzida]]*Tabela3[[#This Row],[Qdt Peça Placa]]</f>
        <v>8</v>
      </c>
      <c r="M127" s="37">
        <f>Tabela3[[#This Row],[Previsto]]-Tabela3[[#This Row],[Perda Pçs]]</f>
        <v>8</v>
      </c>
      <c r="N127" s="38">
        <f>IFERROR(Tabela3[[#This Row],[Perda Pçs]]/Tabela3[[#This Row],[Previsto]],0)</f>
        <v>0</v>
      </c>
      <c r="O127" s="39">
        <f>IFERROR(IF(Tabela3[[#This Row],[Qtde Cx Produzida]] &lt;&gt; 0, Tabela3[[#This Row],[Tempo]] / Tabela3[[#This Row],[Qtde Cx Produzida]], 0),0)</f>
        <v>2.7777777777777779E-3</v>
      </c>
      <c r="P127" s="57">
        <f>IFERROR(Tabela3[[#This Row],[Perda Pçs]]/Tabela3[[#This Row],[Qdt Peça Placa]],0)</f>
        <v>0</v>
      </c>
      <c r="Q127" s="37">
        <f>IFERROR(Tabela3[[#This Row],[Realizado]]*Tabela3[[#This Row],[Peso Util/Pç]],0)</f>
        <v>2.08</v>
      </c>
      <c r="R127" s="37">
        <f>IFERROR(Tabela3[[#This Row],[Peso Total Galho]]*Tabela3[[#This Row],[Qtde Cx Produzida]]*1.055,0)</f>
        <v>3.8824000000000001</v>
      </c>
      <c r="S127" s="37">
        <f>(Tabela3[[#This Row],[Aluminio Bruto]]-Tabela3[[#This Row],[Aluminio Util]])*0.9</f>
        <v>1.62216</v>
      </c>
      <c r="T127" s="37">
        <f>Tabela3[[#This Row],[Aluminio Bruto]]/OleoKGAluminio</f>
        <v>1.6333206601050283</v>
      </c>
      <c r="U127" s="35">
        <f>IFERROR((VLOOKUP(Tabela3[[#This Row],[Moldador]],Tabela1[],5,)+(VLOOKUP(Tabela3[[#This Row],[Ajudante]],Tabela1[],5,))*3.5),0)</f>
        <v>99.95034583333333</v>
      </c>
      <c r="V127" s="35">
        <f>IFERROR(Tabela3[[#This Row],[Custo M.O. / H]]/((Tabela3[[#This Row],[Realizado]]/Tabela3[[#This Row],[Qdt Peça Placa]])/Tabela3[[#This Row],[Tempo]]/24),)</f>
        <v>6.6633563888888885</v>
      </c>
      <c r="W127" s="35">
        <f>Tabela3[[#This Row],[Custo / Cx Moldada]]*Tabela3[[#This Row],[Qtde Cx Produzida]]</f>
        <v>13.326712777777777</v>
      </c>
      <c r="X127" s="35">
        <f ca="1">Tabela3[[#This Row],[Aluminio Util]]*Tabela3[[#This Row],[Custo/Kg]]</f>
        <v>32.448000000000008</v>
      </c>
      <c r="Y127" s="35">
        <f>IFERROR(VLOOKUP(Tabela3[[#This Row],[Data]],Tabela461213[],2,1)*(Tabela3[[#This Row],[Qtde Cx Produzida]]*Tabela3[[#This Row],[Qde macho / CX]]*Tabela3[[#This Row],[Peso Macho]]),)</f>
        <v>0</v>
      </c>
      <c r="Z127" s="35">
        <f>IFERROR(Tabela3[[#This Row],[Qtde Oleo]]*(VLOOKUP(Tabela3[[#This Row],[Data]],CompraOleo[],3,TRUE))*1.05,0)</f>
        <v>4.287466732775699</v>
      </c>
      <c r="AA127" s="47">
        <f ca="1">(Tabela3[[#This Row],[Custo Oleo]]+Tabela3[[#This Row],[Custo Aluminio]]+Tabela3[[#This Row],[Custo M.O. Total]]+Tabela3[[#This Row],[Custo Machos]])</f>
        <v>50.062179510553484</v>
      </c>
      <c r="AB127" s="47">
        <f ca="1">Tabela3[[#This Row],[Custo Total]]*Tabela3[[#This Row],[% Perda]]</f>
        <v>0</v>
      </c>
      <c r="AC127" s="48">
        <f>IFERROR(VLOOKUP(Tabela3[[#This Row],[Produto]],Tabela2[],2,0),0)</f>
        <v>4</v>
      </c>
      <c r="AD127" s="48">
        <f>IFERROR(VLOOKUP(Tabela3[[#This Row],[Produto]],Tabela2[],3,0),0)</f>
        <v>0.26</v>
      </c>
      <c r="AE127" s="48">
        <f>IFERROR(VLOOKUP(Tabela3[[#This Row],[Produto]],Tabela2[],4,0),0)</f>
        <v>1.84</v>
      </c>
      <c r="AF127" s="48">
        <f>IFERROR(VLOOKUP(Tabela3[[#This Row],[Produto]],Tabela2[],5,0),0)</f>
        <v>0.72000000000000008</v>
      </c>
      <c r="AG127" s="40">
        <f>IFERROR(VLOOKUP(Tabela3[[#This Row],[Produto]],Tabela2[],6,0),0)</f>
        <v>0</v>
      </c>
      <c r="AH127" s="40">
        <f>IFERROR(VLOOKUP(Tabela3[[#This Row],[Produto]],Tabela2[],7,0),0)</f>
        <v>0</v>
      </c>
      <c r="AI127" s="40">
        <f>IFERROR(VLOOKUP(Tabela3[[#This Row],[Produto]],Tabela2[],8,0),0)</f>
        <v>0</v>
      </c>
      <c r="AJ127" s="35">
        <f ca="1">IFERROR(VLOOKUP(Tabela3[[#This Row],[Produto]],Tabela2[],13,0),0)</f>
        <v>15.600000000000001</v>
      </c>
      <c r="AK127" s="40" t="str">
        <f>IFERROR(VLOOKUP(Tabela3[[#This Row],[Produto]],Tabela2[],14,0),0)</f>
        <v>Senun</v>
      </c>
      <c r="AL127" s="40">
        <f>IFERROR(VLOOKUP(Tabela3[[#This Row],[Produto]],Tabela2[],15,0),0)</f>
        <v>0</v>
      </c>
      <c r="AM127" s="36">
        <f ca="1">(Tabela3[[#This Row],[Custo Usinagem]]+Tabela3[[#This Row],[Custo / Pç]])*1.2</f>
        <v>7.5093269265830225</v>
      </c>
      <c r="AN127" s="36">
        <f ca="1">Tabela3[[#This Row],[Valor Mínimo Venda]]*1.15</f>
        <v>8.6357259655704759</v>
      </c>
      <c r="AO127" s="36">
        <f ca="1">Tabela3[[#This Row],[Tabela 1]]*1.08</f>
        <v>9.3265840428161138</v>
      </c>
      <c r="AP127" s="36">
        <f ca="1">Tabela3[[#This Row],[Tabela 2]]*1.15</f>
        <v>10.72557164923853</v>
      </c>
    </row>
    <row r="128" spans="1:42">
      <c r="A128" s="9">
        <v>45741</v>
      </c>
      <c r="B128" s="6" t="s">
        <v>225</v>
      </c>
      <c r="C128" s="14">
        <v>6074</v>
      </c>
      <c r="D128" s="6" t="s">
        <v>44</v>
      </c>
      <c r="E128" s="6" t="s">
        <v>47</v>
      </c>
      <c r="F128" s="6">
        <v>2</v>
      </c>
      <c r="G128" s="15">
        <v>1.1111111111111112E-2</v>
      </c>
      <c r="H128" s="16">
        <v>0</v>
      </c>
      <c r="I128" s="35">
        <f ca="1">IFERROR(Tabela3[[#This Row],[Custo Total]]/Tabela3[[#This Row],[Aluminio Util]],0)</f>
        <v>32.147229106563401</v>
      </c>
      <c r="J128" s="35">
        <f ca="1">Tabela3[[#This Row],[Custo Total]]/Tabela3[[#This Row],[Realizado]]</f>
        <v>7.3938626945095827</v>
      </c>
      <c r="K128" s="37">
        <f>IFERROR(Tabela3[[#This Row],[Qtde Cx Produzida]]/Tabela3[[#This Row],[Tempo]]/24,0)</f>
        <v>7.5</v>
      </c>
      <c r="L128" s="37">
        <f>Tabela3[[#This Row],[Qtde Cx Produzida]]*Tabela3[[#This Row],[Qdt Peça Placa]]</f>
        <v>8</v>
      </c>
      <c r="M128" s="37">
        <f>Tabela3[[#This Row],[Previsto]]-Tabela3[[#This Row],[Perda Pçs]]</f>
        <v>8</v>
      </c>
      <c r="N128" s="38">
        <f>IFERROR(Tabela3[[#This Row],[Perda Pçs]]/Tabela3[[#This Row],[Previsto]],0)</f>
        <v>0</v>
      </c>
      <c r="O128" s="39">
        <f>IFERROR(IF(Tabela3[[#This Row],[Qtde Cx Produzida]] &lt;&gt; 0, Tabela3[[#This Row],[Tempo]] / Tabela3[[#This Row],[Qtde Cx Produzida]], 0),0)</f>
        <v>5.5555555555555558E-3</v>
      </c>
      <c r="P128" s="57">
        <f>IFERROR(Tabela3[[#This Row],[Perda Pçs]]/Tabela3[[#This Row],[Qdt Peça Placa]],0)</f>
        <v>0</v>
      </c>
      <c r="Q128" s="37">
        <f>IFERROR(Tabela3[[#This Row],[Realizado]]*Tabela3[[#This Row],[Peso Util/Pç]],0)</f>
        <v>1.84</v>
      </c>
      <c r="R128" s="37">
        <f>IFERROR(Tabela3[[#This Row],[Peso Total Galho]]*Tabela3[[#This Row],[Qtde Cx Produzida]]*1.055,0)</f>
        <v>3.4350799999999997</v>
      </c>
      <c r="S128" s="37">
        <f>(Tabela3[[#This Row],[Aluminio Bruto]]-Tabela3[[#This Row],[Aluminio Util]])*0.9</f>
        <v>1.4355719999999996</v>
      </c>
      <c r="T128" s="37">
        <f>Tabela3[[#This Row],[Aluminio Bruto]]/OleoKGAluminio</f>
        <v>1.4451337144842313</v>
      </c>
      <c r="U128" s="35">
        <f>IFERROR((VLOOKUP(Tabela3[[#This Row],[Moldador]],Tabela1[],5,)+(VLOOKUP(Tabela3[[#This Row],[Ajudante]],Tabela1[],5,))*3.5),0)</f>
        <v>99.95034583333333</v>
      </c>
      <c r="V128" s="35">
        <f>IFERROR(Tabela3[[#This Row],[Custo M.O. / H]]/((Tabela3[[#This Row],[Realizado]]/Tabela3[[#This Row],[Qdt Peça Placa]])/Tabela3[[#This Row],[Tempo]]/24),)</f>
        <v>13.326712777777777</v>
      </c>
      <c r="W128" s="35">
        <f>Tabela3[[#This Row],[Custo / Cx Moldada]]*Tabela3[[#This Row],[Qtde Cx Produzida]]</f>
        <v>26.653425555555554</v>
      </c>
      <c r="X128" s="35">
        <f ca="1">Tabela3[[#This Row],[Aluminio Util]]*Tabela3[[#This Row],[Custo/Kg]]</f>
        <v>28.704000000000004</v>
      </c>
      <c r="Y128" s="35">
        <f>IFERROR(VLOOKUP(Tabela3[[#This Row],[Data]],Tabela461213[],2,1)*(Tabela3[[#This Row],[Qtde Cx Produzida]]*Tabela3[[#This Row],[Qde macho / CX]]*Tabela3[[#This Row],[Peso Macho]]),)</f>
        <v>0</v>
      </c>
      <c r="Z128" s="35">
        <f>IFERROR(Tabela3[[#This Row],[Qtde Oleo]]*(VLOOKUP(Tabela3[[#This Row],[Data]],CompraOleo[],3,TRUE))*1.05,0)</f>
        <v>3.7934760005211072</v>
      </c>
      <c r="AA128" s="47">
        <f ca="1">(Tabela3[[#This Row],[Custo Oleo]]+Tabela3[[#This Row],[Custo Aluminio]]+Tabela3[[#This Row],[Custo M.O. Total]]+Tabela3[[#This Row],[Custo Machos]])</f>
        <v>59.150901556076661</v>
      </c>
      <c r="AB128" s="47">
        <f ca="1">Tabela3[[#This Row],[Custo Total]]*Tabela3[[#This Row],[% Perda]]</f>
        <v>0</v>
      </c>
      <c r="AC128" s="48">
        <f>IFERROR(VLOOKUP(Tabela3[[#This Row],[Produto]],Tabela2[],2,0),0)</f>
        <v>4</v>
      </c>
      <c r="AD128" s="48">
        <f>IFERROR(VLOOKUP(Tabela3[[#This Row],[Produto]],Tabela2[],3,0),0)</f>
        <v>0.23</v>
      </c>
      <c r="AE128" s="48">
        <f>IFERROR(VLOOKUP(Tabela3[[#This Row],[Produto]],Tabela2[],4,0),0)</f>
        <v>1.6279999999999999</v>
      </c>
      <c r="AF128" s="48">
        <f>IFERROR(VLOOKUP(Tabela3[[#This Row],[Produto]],Tabela2[],5,0),0)</f>
        <v>0.63719999999999988</v>
      </c>
      <c r="AG128" s="40">
        <f>IFERROR(VLOOKUP(Tabela3[[#This Row],[Produto]],Tabela2[],6,0),0)</f>
        <v>0</v>
      </c>
      <c r="AH128" s="40">
        <f>IFERROR(VLOOKUP(Tabela3[[#This Row],[Produto]],Tabela2[],7,0),0)</f>
        <v>0</v>
      </c>
      <c r="AI128" s="40">
        <f>IFERROR(VLOOKUP(Tabela3[[#This Row],[Produto]],Tabela2[],8,0),0)</f>
        <v>0</v>
      </c>
      <c r="AJ128" s="35">
        <f ca="1">IFERROR(VLOOKUP(Tabela3[[#This Row],[Produto]],Tabela2[],13,0),0)</f>
        <v>15.600000000000001</v>
      </c>
      <c r="AK128" s="40" t="str">
        <f>IFERROR(VLOOKUP(Tabela3[[#This Row],[Produto]],Tabela2[],14,0),0)</f>
        <v>Senun</v>
      </c>
      <c r="AL128" s="40">
        <f>IFERROR(VLOOKUP(Tabela3[[#This Row],[Produto]],Tabela2[],15,0),0)</f>
        <v>4</v>
      </c>
      <c r="AM128" s="36">
        <f ca="1">(Tabela3[[#This Row],[Custo Usinagem]]+Tabela3[[#This Row],[Custo / Pç]])*1.2</f>
        <v>13.6726352334115</v>
      </c>
      <c r="AN128" s="36">
        <f ca="1">Tabela3[[#This Row],[Valor Mínimo Venda]]*1.15</f>
        <v>15.723530518423223</v>
      </c>
      <c r="AO128" s="36">
        <f ca="1">Tabela3[[#This Row],[Tabela 1]]*1.08</f>
        <v>16.981412959897082</v>
      </c>
      <c r="AP128" s="36">
        <f ca="1">Tabela3[[#This Row],[Tabela 2]]*1.15</f>
        <v>19.528624903881642</v>
      </c>
    </row>
    <row r="129" spans="1:42">
      <c r="A129" s="9">
        <v>45741</v>
      </c>
      <c r="B129" s="6" t="s">
        <v>277</v>
      </c>
      <c r="C129" s="14">
        <v>6075</v>
      </c>
      <c r="D129" s="6" t="s">
        <v>44</v>
      </c>
      <c r="E129" s="6" t="s">
        <v>47</v>
      </c>
      <c r="F129" s="6">
        <v>2</v>
      </c>
      <c r="G129" s="15">
        <v>9.7222222222222224E-3</v>
      </c>
      <c r="H129" s="16">
        <v>0</v>
      </c>
      <c r="I129" s="35">
        <f ca="1">IFERROR(Tabela3[[#This Row],[Custo Total]]/Tabela3[[#This Row],[Aluminio Util]],0)</f>
        <v>31.54583515877804</v>
      </c>
      <c r="J129" s="35">
        <f ca="1">Tabela3[[#This Row],[Custo Total]]/Tabela3[[#This Row],[Realizado]]</f>
        <v>4.416416922228926</v>
      </c>
      <c r="K129" s="37">
        <f>IFERROR(Tabela3[[#This Row],[Qtde Cx Produzida]]/Tabela3[[#This Row],[Tempo]]/24,0)</f>
        <v>8.5714285714285712</v>
      </c>
      <c r="L129" s="37">
        <f>Tabela3[[#This Row],[Qtde Cx Produzida]]*Tabela3[[#This Row],[Qdt Peça Placa]]</f>
        <v>12</v>
      </c>
      <c r="M129" s="37">
        <f>Tabela3[[#This Row],[Previsto]]-Tabela3[[#This Row],[Perda Pçs]]</f>
        <v>12</v>
      </c>
      <c r="N129" s="38">
        <f>IFERROR(Tabela3[[#This Row],[Perda Pçs]]/Tabela3[[#This Row],[Previsto]],0)</f>
        <v>0</v>
      </c>
      <c r="O129" s="39">
        <f>IFERROR(IF(Tabela3[[#This Row],[Qtde Cx Produzida]] &lt;&gt; 0, Tabela3[[#This Row],[Tempo]] / Tabela3[[#This Row],[Qtde Cx Produzida]], 0),0)</f>
        <v>4.8611111111111112E-3</v>
      </c>
      <c r="P129" s="57">
        <f>IFERROR(Tabela3[[#This Row],[Perda Pçs]]/Tabela3[[#This Row],[Qdt Peça Placa]],0)</f>
        <v>0</v>
      </c>
      <c r="Q129" s="37">
        <f>IFERROR(Tabela3[[#This Row],[Realizado]]*Tabela3[[#This Row],[Peso Util/Pç]],0)</f>
        <v>1.6800000000000002</v>
      </c>
      <c r="R129" s="37">
        <f>IFERROR(Tabela3[[#This Row],[Peso Total Galho]]*Tabela3[[#This Row],[Qtde Cx Produzida]]*1.055,0)</f>
        <v>3.1396799999999998</v>
      </c>
      <c r="S129" s="37">
        <f>(Tabela3[[#This Row],[Aluminio Bruto]]-Tabela3[[#This Row],[Aluminio Util]])*0.9</f>
        <v>1.3137119999999998</v>
      </c>
      <c r="T129" s="37">
        <f>Tabela3[[#This Row],[Aluminio Bruto]]/OleoKGAluminio</f>
        <v>1.3208593164327618</v>
      </c>
      <c r="U129" s="35">
        <f>IFERROR((VLOOKUP(Tabela3[[#This Row],[Moldador]],Tabela1[],5,)+(VLOOKUP(Tabela3[[#This Row],[Ajudante]],Tabela1[],5,))*3.5),0)</f>
        <v>99.95034583333333</v>
      </c>
      <c r="V129" s="35">
        <f>IFERROR(Tabela3[[#This Row],[Custo M.O. / H]]/((Tabela3[[#This Row],[Realizado]]/Tabela3[[#This Row],[Qdt Peça Placa]])/Tabela3[[#This Row],[Tempo]]/24),)</f>
        <v>11.660873680555556</v>
      </c>
      <c r="W129" s="35">
        <f>Tabela3[[#This Row],[Custo / Cx Moldada]]*Tabela3[[#This Row],[Qtde Cx Produzida]]</f>
        <v>23.321747361111111</v>
      </c>
      <c r="X129" s="35">
        <f ca="1">Tabela3[[#This Row],[Aluminio Util]]*Tabela3[[#This Row],[Custo/Kg]]</f>
        <v>26.208000000000006</v>
      </c>
      <c r="Y129" s="35">
        <f>IFERROR(VLOOKUP(Tabela3[[#This Row],[Data]],Tabela461213[],2,1)*(Tabela3[[#This Row],[Qtde Cx Produzida]]*Tabela3[[#This Row],[Qde macho / CX]]*Tabela3[[#This Row],[Peso Macho]]),)</f>
        <v>0</v>
      </c>
      <c r="Z129" s="35">
        <f>IFERROR(Tabela3[[#This Row],[Qtde Oleo]]*(VLOOKUP(Tabela3[[#This Row],[Data]],CompraOleo[],3,TRUE))*1.05,0)</f>
        <v>3.4672557056359996</v>
      </c>
      <c r="AA129" s="47">
        <f ca="1">(Tabela3[[#This Row],[Custo Oleo]]+Tabela3[[#This Row],[Custo Aluminio]]+Tabela3[[#This Row],[Custo M.O. Total]]+Tabela3[[#This Row],[Custo Machos]])</f>
        <v>52.997003066747112</v>
      </c>
      <c r="AB129" s="47">
        <f ca="1">Tabela3[[#This Row],[Custo Total]]*Tabela3[[#This Row],[% Perda]]</f>
        <v>0</v>
      </c>
      <c r="AC129" s="48">
        <f>IFERROR(VLOOKUP(Tabela3[[#This Row],[Produto]],Tabela2[],2,0),0)</f>
        <v>6</v>
      </c>
      <c r="AD129" s="48">
        <f>IFERROR(VLOOKUP(Tabela3[[#This Row],[Produto]],Tabela2[],3,0),0)</f>
        <v>0.14000000000000001</v>
      </c>
      <c r="AE129" s="48">
        <f>IFERROR(VLOOKUP(Tabela3[[#This Row],[Produto]],Tabela2[],4,0),0)</f>
        <v>1.488</v>
      </c>
      <c r="AF129" s="48">
        <f>IFERROR(VLOOKUP(Tabela3[[#This Row],[Produto]],Tabela2[],5,0),0)</f>
        <v>0.58319999999999994</v>
      </c>
      <c r="AG129" s="40">
        <f>IFERROR(VLOOKUP(Tabela3[[#This Row],[Produto]],Tabela2[],6,0),0)</f>
        <v>0</v>
      </c>
      <c r="AH129" s="40">
        <f>IFERROR(VLOOKUP(Tabela3[[#This Row],[Produto]],Tabela2[],7,0),0)</f>
        <v>0</v>
      </c>
      <c r="AI129" s="40">
        <f>IFERROR(VLOOKUP(Tabela3[[#This Row],[Produto]],Tabela2[],8,0),0)</f>
        <v>0</v>
      </c>
      <c r="AJ129" s="35">
        <f ca="1">IFERROR(VLOOKUP(Tabela3[[#This Row],[Produto]],Tabela2[],13,0),0)</f>
        <v>15.600000000000001</v>
      </c>
      <c r="AK129" s="40" t="str">
        <f>IFERROR(VLOOKUP(Tabela3[[#This Row],[Produto]],Tabela2[],14,0),0)</f>
        <v>Senun</v>
      </c>
      <c r="AL129" s="40">
        <f>IFERROR(VLOOKUP(Tabela3[[#This Row],[Produto]],Tabela2[],15,0),0)</f>
        <v>0</v>
      </c>
      <c r="AM129" s="36">
        <f ca="1">(Tabela3[[#This Row],[Custo Usinagem]]+Tabela3[[#This Row],[Custo / Pç]])*1.2</f>
        <v>5.299700306674711</v>
      </c>
      <c r="AN129" s="36">
        <f ca="1">Tabela3[[#This Row],[Valor Mínimo Venda]]*1.15</f>
        <v>6.0946553526759173</v>
      </c>
      <c r="AO129" s="36">
        <f ca="1">Tabela3[[#This Row],[Tabela 1]]*1.08</f>
        <v>6.5822277808899914</v>
      </c>
      <c r="AP129" s="36">
        <f ca="1">Tabela3[[#This Row],[Tabela 2]]*1.15</f>
        <v>7.5695619480234893</v>
      </c>
    </row>
    <row r="130" spans="1:42">
      <c r="A130" s="9">
        <v>45741</v>
      </c>
      <c r="B130" s="6" t="s">
        <v>258</v>
      </c>
      <c r="C130" s="14">
        <v>6094</v>
      </c>
      <c r="D130" s="6" t="s">
        <v>44</v>
      </c>
      <c r="E130" s="6" t="s">
        <v>47</v>
      </c>
      <c r="F130" s="6">
        <v>2</v>
      </c>
      <c r="G130" s="15">
        <v>8.3333333333333332E-3</v>
      </c>
      <c r="H130" s="16">
        <v>0</v>
      </c>
      <c r="I130" s="35">
        <f ca="1">IFERROR(Tabela3[[#This Row],[Custo Total]]/Tabela3[[#This Row],[Aluminio Util]],0)</f>
        <v>24.725906528876109</v>
      </c>
      <c r="J130" s="35">
        <f ca="1">Tabela3[[#This Row],[Custo Total]]/Tabela3[[#This Row],[Realizado]]</f>
        <v>11.74480560121615</v>
      </c>
      <c r="K130" s="37">
        <f>IFERROR(Tabela3[[#This Row],[Qtde Cx Produzida]]/Tabela3[[#This Row],[Tempo]]/24,0)</f>
        <v>10</v>
      </c>
      <c r="L130" s="37">
        <f>Tabela3[[#This Row],[Qtde Cx Produzida]]*Tabela3[[#This Row],[Qdt Peça Placa]]</f>
        <v>6</v>
      </c>
      <c r="M130" s="37">
        <f>Tabela3[[#This Row],[Previsto]]-Tabela3[[#This Row],[Perda Pçs]]</f>
        <v>6</v>
      </c>
      <c r="N130" s="38">
        <f>IFERROR(Tabela3[[#This Row],[Perda Pçs]]/Tabela3[[#This Row],[Previsto]],0)</f>
        <v>0</v>
      </c>
      <c r="O130" s="39">
        <f>IFERROR(IF(Tabela3[[#This Row],[Qtde Cx Produzida]] &lt;&gt; 0, Tabela3[[#This Row],[Tempo]] / Tabela3[[#This Row],[Qtde Cx Produzida]], 0),0)</f>
        <v>4.1666666666666666E-3</v>
      </c>
      <c r="P130" s="57">
        <f>IFERROR(Tabela3[[#This Row],[Perda Pçs]]/Tabela3[[#This Row],[Qdt Peça Placa]],0)</f>
        <v>0</v>
      </c>
      <c r="Q130" s="37">
        <f>IFERROR(Tabela3[[#This Row],[Realizado]]*Tabela3[[#This Row],[Peso Util/Pç]],0)</f>
        <v>2.8499999999999996</v>
      </c>
      <c r="R130" s="37">
        <f>IFERROR(Tabela3[[#This Row],[Peso Total Galho]]*Tabela3[[#This Row],[Qtde Cx Produzida]]*1.055,0)</f>
        <v>5.4501299999999997</v>
      </c>
      <c r="S130" s="37">
        <f>(Tabela3[[#This Row],[Aluminio Bruto]]-Tabela3[[#This Row],[Aluminio Util]])*0.9</f>
        <v>2.3401170000000002</v>
      </c>
      <c r="T130" s="37">
        <f>Tabela3[[#This Row],[Aluminio Bruto]]/OleoKGAluminio</f>
        <v>2.2928626440496127</v>
      </c>
      <c r="U130" s="35">
        <f>IFERROR((VLOOKUP(Tabela3[[#This Row],[Moldador]],Tabela1[],5,)+(VLOOKUP(Tabela3[[#This Row],[Ajudante]],Tabela1[],5,))*3.5),0)</f>
        <v>99.95034583333333</v>
      </c>
      <c r="V130" s="35">
        <f>IFERROR(Tabela3[[#This Row],[Custo M.O. / H]]/((Tabela3[[#This Row],[Realizado]]/Tabela3[[#This Row],[Qdt Peça Placa]])/Tabela3[[#This Row],[Tempo]]/24),)</f>
        <v>9.9950345833333323</v>
      </c>
      <c r="W130" s="35">
        <f>Tabela3[[#This Row],[Custo / Cx Moldada]]*Tabela3[[#This Row],[Qtde Cx Produzida]]</f>
        <v>19.990069166666665</v>
      </c>
      <c r="X130" s="35">
        <f ca="1">Tabela3[[#This Row],[Aluminio Util]]*Tabela3[[#This Row],[Custo/Kg]]</f>
        <v>44.46</v>
      </c>
      <c r="Y130" s="35">
        <f>IFERROR(VLOOKUP(Tabela3[[#This Row],[Data]],Tabela461213[],2,1)*(Tabela3[[#This Row],[Qtde Cx Produzida]]*Tabela3[[#This Row],[Qde macho / CX]]*Tabela3[[#This Row],[Peso Macho]]),)</f>
        <v>0</v>
      </c>
      <c r="Z130" s="35">
        <f>IFERROR(Tabela3[[#This Row],[Qtde Oleo]]*(VLOOKUP(Tabela3[[#This Row],[Data]],CompraOleo[],3,TRUE))*1.05,0)</f>
        <v>6.0187644406302336</v>
      </c>
      <c r="AA130" s="47">
        <f ca="1">(Tabela3[[#This Row],[Custo Oleo]]+Tabela3[[#This Row],[Custo Aluminio]]+Tabela3[[#This Row],[Custo M.O. Total]]+Tabela3[[#This Row],[Custo Machos]])</f>
        <v>70.468833607296901</v>
      </c>
      <c r="AB130" s="47">
        <f ca="1">Tabela3[[#This Row],[Custo Total]]*Tabela3[[#This Row],[% Perda]]</f>
        <v>0</v>
      </c>
      <c r="AC130" s="48">
        <f>IFERROR(VLOOKUP(Tabela3[[#This Row],[Produto]],Tabela2[],2,0),0)</f>
        <v>3</v>
      </c>
      <c r="AD130" s="48">
        <f>IFERROR(VLOOKUP(Tabela3[[#This Row],[Produto]],Tabela2[],3,0),0)</f>
        <v>0.47499999999999998</v>
      </c>
      <c r="AE130" s="48">
        <f>IFERROR(VLOOKUP(Tabela3[[#This Row],[Produto]],Tabela2[],4,0),0)</f>
        <v>2.5830000000000002</v>
      </c>
      <c r="AF130" s="48">
        <f>IFERROR(VLOOKUP(Tabela3[[#This Row],[Produto]],Tabela2[],5,0),0)</f>
        <v>1.0422000000000005</v>
      </c>
      <c r="AG130" s="40">
        <f>IFERROR(VLOOKUP(Tabela3[[#This Row],[Produto]],Tabela2[],6,0),0)</f>
        <v>0</v>
      </c>
      <c r="AH130" s="40">
        <f>IFERROR(VLOOKUP(Tabela3[[#This Row],[Produto]],Tabela2[],7,0),0)</f>
        <v>0</v>
      </c>
      <c r="AI130" s="40">
        <f>IFERROR(VLOOKUP(Tabela3[[#This Row],[Produto]],Tabela2[],8,0),0)</f>
        <v>0</v>
      </c>
      <c r="AJ130" s="35">
        <f ca="1">IFERROR(VLOOKUP(Tabela3[[#This Row],[Produto]],Tabela2[],13,0),0)</f>
        <v>15.600000000000001</v>
      </c>
      <c r="AK130" s="40" t="str">
        <f>IFERROR(VLOOKUP(Tabela3[[#This Row],[Produto]],Tabela2[],14,0),0)</f>
        <v>Senun</v>
      </c>
      <c r="AL130" s="40">
        <f>IFERROR(VLOOKUP(Tabela3[[#This Row],[Produto]],Tabela2[],15,0),0)</f>
        <v>6</v>
      </c>
      <c r="AM130" s="36">
        <f ca="1">(Tabela3[[#This Row],[Custo Usinagem]]+Tabela3[[#This Row],[Custo / Pç]])*1.2</f>
        <v>21.293766721459381</v>
      </c>
      <c r="AN130" s="36">
        <f ca="1">Tabela3[[#This Row],[Valor Mínimo Venda]]*1.15</f>
        <v>24.487831729678287</v>
      </c>
      <c r="AO130" s="36">
        <f ca="1">Tabela3[[#This Row],[Tabela 1]]*1.08</f>
        <v>26.446858268052551</v>
      </c>
      <c r="AP130" s="36">
        <f ca="1">Tabela3[[#This Row],[Tabela 2]]*1.15</f>
        <v>30.413887008260431</v>
      </c>
    </row>
    <row r="131" spans="1:42">
      <c r="A131" s="9">
        <v>45741</v>
      </c>
      <c r="B131" s="6" t="s">
        <v>124</v>
      </c>
      <c r="C131" s="14">
        <v>6013</v>
      </c>
      <c r="D131" s="6" t="s">
        <v>46</v>
      </c>
      <c r="E131" s="6" t="s">
        <v>53</v>
      </c>
      <c r="F131" s="6">
        <v>5</v>
      </c>
      <c r="G131" s="15">
        <v>1.6666666666666666E-2</v>
      </c>
      <c r="H131" s="16"/>
      <c r="I131" s="35">
        <f ca="1">IFERROR(Tabela3[[#This Row],[Custo Total]]/Tabela3[[#This Row],[Aluminio Util]],0)</f>
        <v>22.392659400619486</v>
      </c>
      <c r="J131" s="35">
        <f ca="1">Tabela3[[#This Row],[Custo Total]]/Tabela3[[#This Row],[Realizado]]</f>
        <v>37.843594387046927</v>
      </c>
      <c r="K131" s="37">
        <f>IFERROR(Tabela3[[#This Row],[Qtde Cx Produzida]]/Tabela3[[#This Row],[Tempo]]/24,0)</f>
        <v>12.5</v>
      </c>
      <c r="L131" s="37">
        <f>Tabela3[[#This Row],[Qtde Cx Produzida]]*Tabela3[[#This Row],[Qdt Peça Placa]]</f>
        <v>5</v>
      </c>
      <c r="M131" s="37">
        <f>Tabela3[[#This Row],[Previsto]]-Tabela3[[#This Row],[Perda Pçs]]</f>
        <v>5</v>
      </c>
      <c r="N131" s="38">
        <f>IFERROR(Tabela3[[#This Row],[Perda Pçs]]/Tabela3[[#This Row],[Previsto]],0)</f>
        <v>0</v>
      </c>
      <c r="O131" s="39">
        <f>IFERROR(IF(Tabela3[[#This Row],[Qtde Cx Produzida]] &lt;&gt; 0, Tabela3[[#This Row],[Tempo]] / Tabela3[[#This Row],[Qtde Cx Produzida]], 0),0)</f>
        <v>3.3333333333333331E-3</v>
      </c>
      <c r="P131" s="57">
        <f>IFERROR(Tabela3[[#This Row],[Perda Pçs]]/Tabela3[[#This Row],[Qdt Peça Placa]],0)</f>
        <v>0</v>
      </c>
      <c r="Q131" s="37">
        <f>IFERROR(Tabela3[[#This Row],[Realizado]]*Tabela3[[#This Row],[Peso Util/Pç]],0)</f>
        <v>8.4499999999999993</v>
      </c>
      <c r="R131" s="37">
        <f>IFERROR(Tabela3[[#This Row],[Peso Total Galho]]*Tabela3[[#This Row],[Qtde Cx Produzida]]*1.055,0)</f>
        <v>15.77225</v>
      </c>
      <c r="S131" s="37">
        <f>(Tabela3[[#This Row],[Aluminio Bruto]]-Tabela3[[#This Row],[Aluminio Util]])*0.9</f>
        <v>6.5900250000000007</v>
      </c>
      <c r="T131" s="37">
        <f>Tabela3[[#This Row],[Aluminio Bruto]]/OleoKGAluminio</f>
        <v>6.6353651816766765</v>
      </c>
      <c r="U131" s="35">
        <f>IFERROR((VLOOKUP(Tabela3[[#This Row],[Moldador]],Tabela1[],5,)+(VLOOKUP(Tabela3[[#This Row],[Ajudante]],Tabela1[],5,))*3.5),0)</f>
        <v>99.95034583333333</v>
      </c>
      <c r="V131" s="35">
        <f>IFERROR(Tabela3[[#This Row],[Custo M.O. / H]]/((Tabela3[[#This Row],[Realizado]]/Tabela3[[#This Row],[Qdt Peça Placa]])/Tabela3[[#This Row],[Tempo]]/24),)</f>
        <v>7.9960276666666665</v>
      </c>
      <c r="W131" s="35">
        <f>Tabela3[[#This Row],[Custo / Cx Moldada]]*Tabela3[[#This Row],[Qtde Cx Produzida]]</f>
        <v>39.980138333333329</v>
      </c>
      <c r="X131" s="35">
        <f ca="1">Tabela3[[#This Row],[Aluminio Util]]*Tabela3[[#This Row],[Custo/Kg]]</f>
        <v>131.82</v>
      </c>
      <c r="Y131" s="35">
        <f>IFERROR(VLOOKUP(Tabela3[[#This Row],[Data]],Tabela461213[],2,1)*(Tabela3[[#This Row],[Qtde Cx Produzida]]*Tabela3[[#This Row],[Qde macho / CX]]*Tabela3[[#This Row],[Peso Macho]]),)</f>
        <v>0</v>
      </c>
      <c r="Z131" s="35">
        <f>IFERROR(Tabela3[[#This Row],[Qtde Oleo]]*(VLOOKUP(Tabela3[[#This Row],[Data]],CompraOleo[],3,TRUE))*1.05,0)</f>
        <v>17.417833601901279</v>
      </c>
      <c r="AA131" s="47">
        <f ca="1">(Tabela3[[#This Row],[Custo Oleo]]+Tabela3[[#This Row],[Custo Aluminio]]+Tabela3[[#This Row],[Custo M.O. Total]]+Tabela3[[#This Row],[Custo Machos]])</f>
        <v>189.21797193523463</v>
      </c>
      <c r="AB131" s="47">
        <f ca="1">Tabela3[[#This Row],[Custo Total]]*Tabela3[[#This Row],[% Perda]]</f>
        <v>0</v>
      </c>
      <c r="AC131" s="48">
        <f>IFERROR(VLOOKUP(Tabela3[[#This Row],[Produto]],Tabela2[],2,0),0)</f>
        <v>1</v>
      </c>
      <c r="AD131" s="48">
        <f>IFERROR(VLOOKUP(Tabela3[[#This Row],[Produto]],Tabela2[],3,0),0)</f>
        <v>1.69</v>
      </c>
      <c r="AE131" s="48">
        <f>IFERROR(VLOOKUP(Tabela3[[#This Row],[Produto]],Tabela2[],4,0),0)</f>
        <v>2.99</v>
      </c>
      <c r="AF131" s="48">
        <f>IFERROR(VLOOKUP(Tabela3[[#This Row],[Produto]],Tabela2[],5,0),0)</f>
        <v>1.1700000000000004</v>
      </c>
      <c r="AG131" s="40">
        <f>IFERROR(VLOOKUP(Tabela3[[#This Row],[Produto]],Tabela2[],6,0),0)</f>
        <v>0</v>
      </c>
      <c r="AH131" s="40">
        <f>IFERROR(VLOOKUP(Tabela3[[#This Row],[Produto]],Tabela2[],7,0),0)</f>
        <v>0</v>
      </c>
      <c r="AI131" s="40">
        <f>IFERROR(VLOOKUP(Tabela3[[#This Row],[Produto]],Tabela2[],8,0),0)</f>
        <v>0</v>
      </c>
      <c r="AJ131" s="35">
        <f ca="1">IFERROR(VLOOKUP(Tabela3[[#This Row],[Produto]],Tabela2[],13,0),0)</f>
        <v>15.600000000000001</v>
      </c>
      <c r="AK131" s="40" t="str">
        <f>IFERROR(VLOOKUP(Tabela3[[#This Row],[Produto]],Tabela2[],14,0),0)</f>
        <v>Jumil</v>
      </c>
      <c r="AL131" s="40">
        <f>IFERROR(VLOOKUP(Tabela3[[#This Row],[Produto]],Tabela2[],15,0),0)</f>
        <v>8</v>
      </c>
      <c r="AM131" s="36">
        <f ca="1">(Tabela3[[#This Row],[Custo Usinagem]]+Tabela3[[#This Row],[Custo / Pç]])*1.2</f>
        <v>55.01231326445631</v>
      </c>
      <c r="AN131" s="36">
        <f ca="1">Tabela3[[#This Row],[Valor Mínimo Venda]]*1.15</f>
        <v>63.264160254124754</v>
      </c>
      <c r="AO131" s="36">
        <f ca="1">Tabela3[[#This Row],[Tabela 1]]*1.08</f>
        <v>68.325293074454734</v>
      </c>
      <c r="AP131" s="36">
        <f ca="1">Tabela3[[#This Row],[Tabela 2]]*1.15</f>
        <v>78.574087035622938</v>
      </c>
    </row>
    <row r="132" spans="1:42">
      <c r="A132" s="9">
        <v>45741</v>
      </c>
      <c r="B132" s="6" t="s">
        <v>245</v>
      </c>
      <c r="C132" s="14">
        <v>6061</v>
      </c>
      <c r="D132" s="6" t="s">
        <v>46</v>
      </c>
      <c r="E132" s="6" t="s">
        <v>53</v>
      </c>
      <c r="F132" s="6">
        <v>76</v>
      </c>
      <c r="G132" s="15">
        <v>0.34097222222222223</v>
      </c>
      <c r="H132" s="16">
        <v>23</v>
      </c>
      <c r="I132" s="35">
        <f ca="1">IFERROR(Tabela3[[#This Row],[Custo Total]]/Tabela3[[#This Row],[Aluminio Util]],0)</f>
        <v>27.267982547717299</v>
      </c>
      <c r="J132" s="35">
        <f ca="1">Tabela3[[#This Row],[Custo Total]]/Tabela3[[#This Row],[Realizado]]</f>
        <v>9.0529702058421435</v>
      </c>
      <c r="K132" s="37">
        <f>IFERROR(Tabela3[[#This Row],[Qtde Cx Produzida]]/Tabela3[[#This Row],[Tempo]]/24,0)</f>
        <v>9.2871690427698574</v>
      </c>
      <c r="L132" s="37">
        <f>Tabela3[[#This Row],[Qtde Cx Produzida]]*Tabela3[[#This Row],[Qdt Peça Placa]]</f>
        <v>304</v>
      </c>
      <c r="M132" s="37">
        <f>Tabela3[[#This Row],[Previsto]]-Tabela3[[#This Row],[Perda Pçs]]</f>
        <v>281</v>
      </c>
      <c r="N132" s="38">
        <f>IFERROR(Tabela3[[#This Row],[Perda Pçs]]/Tabela3[[#This Row],[Previsto]],0)</f>
        <v>7.5657894736842105E-2</v>
      </c>
      <c r="O132" s="39">
        <f>IFERROR(IF(Tabela3[[#This Row],[Qtde Cx Produzida]] &lt;&gt; 0, Tabela3[[#This Row],[Tempo]] / Tabela3[[#This Row],[Qtde Cx Produzida]], 0),0)</f>
        <v>4.4864766081871349E-3</v>
      </c>
      <c r="P132" s="57">
        <f>IFERROR(Tabela3[[#This Row],[Perda Pçs]]/Tabela3[[#This Row],[Qdt Peça Placa]],0)</f>
        <v>5.75</v>
      </c>
      <c r="Q132" s="37">
        <f>IFERROR(Tabela3[[#This Row],[Realizado]]*Tabela3[[#This Row],[Peso Util/Pç]],0)</f>
        <v>93.292000000000002</v>
      </c>
      <c r="R132" s="37">
        <f>IFERROR(Tabela3[[#This Row],[Peso Total Galho]]*Tabela3[[#This Row],[Qtde Cx Produzida]]*1.055,0)</f>
        <v>184.41399999999996</v>
      </c>
      <c r="S132" s="37">
        <f>(Tabela3[[#This Row],[Aluminio Bruto]]-Tabela3[[#This Row],[Aluminio Util]])*0.9</f>
        <v>82.00979999999997</v>
      </c>
      <c r="T132" s="37">
        <f>Tabela3[[#This Row],[Aluminio Bruto]]/OleoKGAluminio</f>
        <v>77.582731354988823</v>
      </c>
      <c r="U132" s="35">
        <f>IFERROR((VLOOKUP(Tabela3[[#This Row],[Moldador]],Tabela1[],5,)+(VLOOKUP(Tabela3[[#This Row],[Ajudante]],Tabela1[],5,))*3.5),0)</f>
        <v>99.95034583333333</v>
      </c>
      <c r="V132" s="35">
        <f>IFERROR(Tabela3[[#This Row],[Custo M.O. / H]]/((Tabela3[[#This Row],[Realizado]]/Tabela3[[#This Row],[Qdt Peça Placa]])/Tabela3[[#This Row],[Tempo]]/24),)</f>
        <v>11.643088921510477</v>
      </c>
      <c r="W132" s="35">
        <f>Tabela3[[#This Row],[Custo / Cx Moldada]]*Tabela3[[#This Row],[Qtde Cx Produzida]]</f>
        <v>884.87475803479629</v>
      </c>
      <c r="X132" s="35">
        <f ca="1">Tabela3[[#This Row],[Aluminio Util]]*Tabela3[[#This Row],[Custo/Kg]]</f>
        <v>1455.3552000000002</v>
      </c>
      <c r="Y132" s="35">
        <f>IFERROR(VLOOKUP(Tabela3[[#This Row],[Data]],Tabela461213[],2,1)*(Tabela3[[#This Row],[Qtde Cx Produzida]]*Tabela3[[#This Row],[Qde macho / CX]]*Tabela3[[#This Row],[Peso Macho]]),)</f>
        <v>0</v>
      </c>
      <c r="Z132" s="35">
        <f>IFERROR(Tabela3[[#This Row],[Qtde Oleo]]*(VLOOKUP(Tabela3[[#This Row],[Data]],CompraOleo[],3,TRUE))*1.05,0)</f>
        <v>203.65466980684567</v>
      </c>
      <c r="AA132" s="47">
        <f ca="1">(Tabela3[[#This Row],[Custo Oleo]]+Tabela3[[#This Row],[Custo Aluminio]]+Tabela3[[#This Row],[Custo M.O. Total]]+Tabela3[[#This Row],[Custo Machos]])</f>
        <v>2543.8846278416422</v>
      </c>
      <c r="AB132" s="47">
        <f ca="1">Tabela3[[#This Row],[Custo Total]]*Tabela3[[#This Row],[% Perda]]</f>
        <v>192.46495539591371</v>
      </c>
      <c r="AC132" s="48">
        <f>IFERROR(VLOOKUP(Tabela3[[#This Row],[Produto]],Tabela2[],2,0),0)</f>
        <v>4</v>
      </c>
      <c r="AD132" s="48">
        <f>IFERROR(VLOOKUP(Tabela3[[#This Row],[Produto]],Tabela2[],3,0),0)</f>
        <v>0.33200000000000002</v>
      </c>
      <c r="AE132" s="48">
        <f>IFERROR(VLOOKUP(Tabela3[[#This Row],[Produto]],Tabela2[],4,0),0)</f>
        <v>2.2999999999999998</v>
      </c>
      <c r="AF132" s="48">
        <f>IFERROR(VLOOKUP(Tabela3[[#This Row],[Produto]],Tabela2[],5,0),0)</f>
        <v>0.8747999999999998</v>
      </c>
      <c r="AG132" s="40">
        <f>IFERROR(VLOOKUP(Tabela3[[#This Row],[Produto]],Tabela2[],6,0),0)</f>
        <v>0</v>
      </c>
      <c r="AH132" s="40">
        <f>IFERROR(VLOOKUP(Tabela3[[#This Row],[Produto]],Tabela2[],7,0),0)</f>
        <v>0</v>
      </c>
      <c r="AI132" s="40">
        <f>IFERROR(VLOOKUP(Tabela3[[#This Row],[Produto]],Tabela2[],8,0),0)</f>
        <v>0</v>
      </c>
      <c r="AJ132" s="35">
        <f ca="1">IFERROR(VLOOKUP(Tabela3[[#This Row],[Produto]],Tabela2[],13,0),0)</f>
        <v>15.600000000000001</v>
      </c>
      <c r="AK132" s="40" t="str">
        <f>IFERROR(VLOOKUP(Tabela3[[#This Row],[Produto]],Tabela2[],14,0),0)</f>
        <v>Senun</v>
      </c>
      <c r="AL132" s="40">
        <f>IFERROR(VLOOKUP(Tabela3[[#This Row],[Produto]],Tabela2[],15,0),0)</f>
        <v>3.5</v>
      </c>
      <c r="AM132" s="36">
        <f ca="1">(Tabela3[[#This Row],[Custo Usinagem]]+Tabela3[[#This Row],[Custo / Pç]])*1.2</f>
        <v>15.063564247010572</v>
      </c>
      <c r="AN132" s="36">
        <f ca="1">Tabela3[[#This Row],[Valor Mínimo Venda]]*1.15</f>
        <v>17.323098884062155</v>
      </c>
      <c r="AO132" s="36">
        <f ca="1">Tabela3[[#This Row],[Tabela 1]]*1.08</f>
        <v>18.708946794787128</v>
      </c>
      <c r="AP132" s="36">
        <f ca="1">Tabela3[[#This Row],[Tabela 2]]*1.15</f>
        <v>21.515288814005196</v>
      </c>
    </row>
    <row r="133" spans="1:42">
      <c r="A133" s="9">
        <v>45742</v>
      </c>
      <c r="B133" s="6" t="s">
        <v>156</v>
      </c>
      <c r="C133" s="14">
        <v>6059</v>
      </c>
      <c r="D133" s="6" t="s">
        <v>46</v>
      </c>
      <c r="E133" s="6" t="s">
        <v>53</v>
      </c>
      <c r="F133" s="6">
        <v>7</v>
      </c>
      <c r="G133" s="15">
        <v>3.5416666666666666E-2</v>
      </c>
      <c r="H133" s="16">
        <v>0</v>
      </c>
      <c r="I133" s="35">
        <f ca="1">IFERROR(Tabela3[[#This Row],[Custo Total]]/Tabela3[[#This Row],[Aluminio Util]],0)</f>
        <v>29.19904246133013</v>
      </c>
      <c r="J133" s="35">
        <f ca="1">Tabela3[[#This Row],[Custo Total]]/Tabela3[[#This Row],[Realizado]]</f>
        <v>15.358696334659651</v>
      </c>
      <c r="K133" s="37">
        <f>IFERROR(Tabela3[[#This Row],[Qtde Cx Produzida]]/Tabela3[[#This Row],[Tempo]]/24,0)</f>
        <v>8.2352941176470598</v>
      </c>
      <c r="L133" s="37">
        <f>Tabela3[[#This Row],[Qtde Cx Produzida]]*Tabela3[[#This Row],[Qdt Peça Placa]]</f>
        <v>14</v>
      </c>
      <c r="M133" s="37">
        <f>Tabela3[[#This Row],[Previsto]]-Tabela3[[#This Row],[Perda Pçs]]</f>
        <v>14</v>
      </c>
      <c r="N133" s="38">
        <f>IFERROR(Tabela3[[#This Row],[Perda Pçs]]/Tabela3[[#This Row],[Previsto]],0)</f>
        <v>0</v>
      </c>
      <c r="O133" s="39">
        <f>IFERROR(IF(Tabela3[[#This Row],[Qtde Cx Produzida]] &lt;&gt; 0, Tabela3[[#This Row],[Tempo]] / Tabela3[[#This Row],[Qtde Cx Produzida]], 0),0)</f>
        <v>5.0595238095238098E-3</v>
      </c>
      <c r="P133" s="57">
        <f>IFERROR(Tabela3[[#This Row],[Perda Pçs]]/Tabela3[[#This Row],[Qdt Peça Placa]],0)</f>
        <v>0</v>
      </c>
      <c r="Q133" s="37">
        <f>IFERROR(Tabela3[[#This Row],[Realizado]]*Tabela3[[#This Row],[Peso Util/Pç]],0)</f>
        <v>7.3640000000000008</v>
      </c>
      <c r="R133" s="37">
        <f>IFERROR(Tabela3[[#This Row],[Peso Total Galho]]*Tabela3[[#This Row],[Qtde Cx Produzida]]*1.055,0)</f>
        <v>13.750869999999999</v>
      </c>
      <c r="S133" s="37">
        <f>(Tabela3[[#This Row],[Aluminio Bruto]]-Tabela3[[#This Row],[Aluminio Util]])*0.9</f>
        <v>5.7481829999999983</v>
      </c>
      <c r="T133" s="37">
        <f>Tabela3[[#This Row],[Aluminio Bruto]]/OleoKGAluminio</f>
        <v>5.7849732292959066</v>
      </c>
      <c r="U133" s="35">
        <f>IFERROR((VLOOKUP(Tabela3[[#This Row],[Moldador]],Tabela1[],5,)+(VLOOKUP(Tabela3[[#This Row],[Ajudante]],Tabela1[],5,))*3.5),0)</f>
        <v>99.95034583333333</v>
      </c>
      <c r="V133" s="35">
        <f>IFERROR(Tabela3[[#This Row],[Custo M.O. / H]]/((Tabela3[[#This Row],[Realizado]]/Tabela3[[#This Row],[Qdt Peça Placa]])/Tabela3[[#This Row],[Tempo]]/24),)</f>
        <v>12.136827708333332</v>
      </c>
      <c r="W133" s="35">
        <f>Tabela3[[#This Row],[Custo / Cx Moldada]]*Tabela3[[#This Row],[Qtde Cx Produzida]]</f>
        <v>84.957793958333326</v>
      </c>
      <c r="X133" s="35">
        <f ca="1">Tabela3[[#This Row],[Aluminio Util]]*Tabela3[[#This Row],[Custo/Kg]]</f>
        <v>114.87840000000003</v>
      </c>
      <c r="Y133" s="35">
        <f>IFERROR(VLOOKUP(Tabela3[[#This Row],[Data]],Tabela461213[],2,1)*(Tabela3[[#This Row],[Qtde Cx Produzida]]*Tabela3[[#This Row],[Qde macho / CX]]*Tabela3[[#This Row],[Peso Macho]]),)</f>
        <v>0</v>
      </c>
      <c r="Z133" s="35">
        <f>IFERROR(Tabela3[[#This Row],[Qtde Oleo]]*(VLOOKUP(Tabela3[[#This Row],[Data]],CompraOleo[],3,TRUE))*1.05,0)</f>
        <v>15.185554726901756</v>
      </c>
      <c r="AA133" s="47">
        <f ca="1">(Tabela3[[#This Row],[Custo Oleo]]+Tabela3[[#This Row],[Custo Aluminio]]+Tabela3[[#This Row],[Custo M.O. Total]]+Tabela3[[#This Row],[Custo Machos]])</f>
        <v>215.02174868523511</v>
      </c>
      <c r="AB133" s="47">
        <f ca="1">Tabela3[[#This Row],[Custo Total]]*Tabela3[[#This Row],[% Perda]]</f>
        <v>0</v>
      </c>
      <c r="AC133" s="48">
        <f>IFERROR(VLOOKUP(Tabela3[[#This Row],[Produto]],Tabela2[],2,0),0)</f>
        <v>2</v>
      </c>
      <c r="AD133" s="48">
        <f>IFERROR(VLOOKUP(Tabela3[[#This Row],[Produto]],Tabela2[],3,0),0)</f>
        <v>0.52600000000000002</v>
      </c>
      <c r="AE133" s="48">
        <f>IFERROR(VLOOKUP(Tabela3[[#This Row],[Produto]],Tabela2[],4,0),0)</f>
        <v>1.8620000000000001</v>
      </c>
      <c r="AF133" s="48">
        <f>IFERROR(VLOOKUP(Tabela3[[#This Row],[Produto]],Tabela2[],5,0),0)</f>
        <v>0.72900000000000009</v>
      </c>
      <c r="AG133" s="40">
        <f>IFERROR(VLOOKUP(Tabela3[[#This Row],[Produto]],Tabela2[],6,0),0)</f>
        <v>0</v>
      </c>
      <c r="AH133" s="40">
        <f>IFERROR(VLOOKUP(Tabela3[[#This Row],[Produto]],Tabela2[],7,0),0)</f>
        <v>0</v>
      </c>
      <c r="AI133" s="40">
        <f>IFERROR(VLOOKUP(Tabela3[[#This Row],[Produto]],Tabela2[],8,0),0)</f>
        <v>0</v>
      </c>
      <c r="AJ133" s="35">
        <f ca="1">IFERROR(VLOOKUP(Tabela3[[#This Row],[Produto]],Tabela2[],13,0),0)</f>
        <v>15.600000000000001</v>
      </c>
      <c r="AK133" s="40" t="str">
        <f>IFERROR(VLOOKUP(Tabela3[[#This Row],[Produto]],Tabela2[],14,0),0)</f>
        <v>Senun</v>
      </c>
      <c r="AL133" s="40">
        <f>IFERROR(VLOOKUP(Tabela3[[#This Row],[Produto]],Tabela2[],15,0),0)</f>
        <v>0</v>
      </c>
      <c r="AM133" s="36">
        <f ca="1">(Tabela3[[#This Row],[Custo Usinagem]]+Tabela3[[#This Row],[Custo / Pç]])*1.2</f>
        <v>18.430435601591579</v>
      </c>
      <c r="AN133" s="36">
        <f ca="1">Tabela3[[#This Row],[Valor Mínimo Venda]]*1.15</f>
        <v>21.195000941830315</v>
      </c>
      <c r="AO133" s="36">
        <f ca="1">Tabela3[[#This Row],[Tabela 1]]*1.08</f>
        <v>22.890601017176742</v>
      </c>
      <c r="AP133" s="36">
        <f ca="1">Tabela3[[#This Row],[Tabela 2]]*1.15</f>
        <v>26.324191169753252</v>
      </c>
    </row>
    <row r="134" spans="1:42">
      <c r="A134" s="9">
        <v>45742</v>
      </c>
      <c r="B134" s="6" t="s">
        <v>126</v>
      </c>
      <c r="C134" s="14">
        <v>6058</v>
      </c>
      <c r="D134" s="6" t="s">
        <v>46</v>
      </c>
      <c r="E134" s="6" t="s">
        <v>53</v>
      </c>
      <c r="F134" s="6">
        <v>60</v>
      </c>
      <c r="G134" s="15">
        <v>0.3125</v>
      </c>
      <c r="H134" s="16">
        <v>3</v>
      </c>
      <c r="I134" s="35">
        <f ca="1">IFERROR(Tabela3[[#This Row],[Custo Total]]/Tabela3[[#This Row],[Aluminio Util]],0)</f>
        <v>22.175764420855227</v>
      </c>
      <c r="J134" s="35">
        <f ca="1">Tabela3[[#This Row],[Custo Total]]/Tabela3[[#This Row],[Realizado]]</f>
        <v>69.67625181032713</v>
      </c>
      <c r="K134" s="37">
        <f>IFERROR(Tabela3[[#This Row],[Qtde Cx Produzida]]/Tabela3[[#This Row],[Tempo]]/24,0)</f>
        <v>8</v>
      </c>
      <c r="L134" s="37">
        <f>Tabela3[[#This Row],[Qtde Cx Produzida]]*Tabela3[[#This Row],[Qdt Peça Placa]]</f>
        <v>60</v>
      </c>
      <c r="M134" s="37">
        <f>Tabela3[[#This Row],[Previsto]]-Tabela3[[#This Row],[Perda Pçs]]</f>
        <v>57</v>
      </c>
      <c r="N134" s="38">
        <f>IFERROR(Tabela3[[#This Row],[Perda Pçs]]/Tabela3[[#This Row],[Previsto]],0)</f>
        <v>0.05</v>
      </c>
      <c r="O134" s="39">
        <f>IFERROR(IF(Tabela3[[#This Row],[Qtde Cx Produzida]] &lt;&gt; 0, Tabela3[[#This Row],[Tempo]] / Tabela3[[#This Row],[Qtde Cx Produzida]], 0),0)</f>
        <v>5.208333333333333E-3</v>
      </c>
      <c r="P134" s="57">
        <f>IFERROR(Tabela3[[#This Row],[Perda Pçs]]/Tabela3[[#This Row],[Qdt Peça Placa]],0)</f>
        <v>3</v>
      </c>
      <c r="Q134" s="37">
        <f>IFERROR(Tabela3[[#This Row],[Realizado]]*Tabela3[[#This Row],[Peso Util/Pç]],0)</f>
        <v>179.09399999999999</v>
      </c>
      <c r="R134" s="37">
        <f>IFERROR(Tabela3[[#This Row],[Peso Total Galho]]*Tabela3[[#This Row],[Qtde Cx Produzida]]*1.055,0)</f>
        <v>351.88470000000001</v>
      </c>
      <c r="S134" s="37">
        <f>(Tabela3[[#This Row],[Aluminio Bruto]]-Tabela3[[#This Row],[Aluminio Util]])*0.9</f>
        <v>155.51163000000003</v>
      </c>
      <c r="T134" s="37">
        <f>Tabela3[[#This Row],[Aluminio Bruto]]/OleoKGAluminio</f>
        <v>148.0374383074541</v>
      </c>
      <c r="U134" s="35">
        <f>IFERROR((VLOOKUP(Tabela3[[#This Row],[Moldador]],Tabela1[],5,)+(VLOOKUP(Tabela3[[#This Row],[Ajudante]],Tabela1[],5,))*3.5),0)</f>
        <v>99.95034583333333</v>
      </c>
      <c r="V134" s="35">
        <f>IFERROR(Tabela3[[#This Row],[Custo M.O. / H]]/((Tabela3[[#This Row],[Realizado]]/Tabela3[[#This Row],[Qdt Peça Placa]])/Tabela3[[#This Row],[Tempo]]/24),)</f>
        <v>13.151361293859647</v>
      </c>
      <c r="W134" s="35">
        <f>Tabela3[[#This Row],[Custo / Cx Moldada]]*Tabela3[[#This Row],[Qtde Cx Produzida]]</f>
        <v>789.08167763157883</v>
      </c>
      <c r="X134" s="35">
        <f ca="1">Tabela3[[#This Row],[Aluminio Util]]*Tabela3[[#This Row],[Custo/Kg]]</f>
        <v>2793.8664000000003</v>
      </c>
      <c r="Y134" s="35">
        <f>IFERROR(VLOOKUP(Tabela3[[#This Row],[Data]],Tabela461213[],2,1)*(Tabela3[[#This Row],[Qtde Cx Produzida]]*Tabela3[[#This Row],[Qde macho / CX]]*Tabela3[[#This Row],[Peso Macho]]),)</f>
        <v>0</v>
      </c>
      <c r="Z134" s="35">
        <f>IFERROR(Tabela3[[#This Row],[Qtde Oleo]]*(VLOOKUP(Tabela3[[#This Row],[Data]],CompraOleo[],3,TRUE))*1.05,0)</f>
        <v>388.59827555706698</v>
      </c>
      <c r="AA134" s="47">
        <f ca="1">(Tabela3[[#This Row],[Custo Oleo]]+Tabela3[[#This Row],[Custo Aluminio]]+Tabela3[[#This Row],[Custo M.O. Total]]+Tabela3[[#This Row],[Custo Machos]])</f>
        <v>3971.5463531886462</v>
      </c>
      <c r="AB134" s="47">
        <f ca="1">Tabela3[[#This Row],[Custo Total]]*Tabela3[[#This Row],[% Perda]]</f>
        <v>198.57731765943231</v>
      </c>
      <c r="AC134" s="48">
        <f>IFERROR(VLOOKUP(Tabela3[[#This Row],[Produto]],Tabela2[],2,0),0)</f>
        <v>1</v>
      </c>
      <c r="AD134" s="48">
        <f>IFERROR(VLOOKUP(Tabela3[[#This Row],[Produto]],Tabela2[],3,0),0)</f>
        <v>3.1419999999999999</v>
      </c>
      <c r="AE134" s="48">
        <f>IFERROR(VLOOKUP(Tabela3[[#This Row],[Produto]],Tabela2[],4,0),0)</f>
        <v>5.5590000000000002</v>
      </c>
      <c r="AF134" s="48">
        <f>IFERROR(VLOOKUP(Tabela3[[#This Row],[Produto]],Tabela2[],5,0),0)</f>
        <v>2.1753000000000005</v>
      </c>
      <c r="AG134" s="40">
        <f>IFERROR(VLOOKUP(Tabela3[[#This Row],[Produto]],Tabela2[],6,0),0)</f>
        <v>0</v>
      </c>
      <c r="AH134" s="40">
        <f>IFERROR(VLOOKUP(Tabela3[[#This Row],[Produto]],Tabela2[],7,0),0)</f>
        <v>0</v>
      </c>
      <c r="AI134" s="40">
        <f>IFERROR(VLOOKUP(Tabela3[[#This Row],[Produto]],Tabela2[],8,0),0)</f>
        <v>0</v>
      </c>
      <c r="AJ134" s="35">
        <f ca="1">IFERROR(VLOOKUP(Tabela3[[#This Row],[Produto]],Tabela2[],13,0),0)</f>
        <v>15.600000000000001</v>
      </c>
      <c r="AK134" s="40" t="str">
        <f>IFERROR(VLOOKUP(Tabela3[[#This Row],[Produto]],Tabela2[],14,0),0)</f>
        <v>Senun</v>
      </c>
      <c r="AL134" s="40">
        <f>IFERROR(VLOOKUP(Tabela3[[#This Row],[Produto]],Tabela2[],15,0),0)</f>
        <v>6.5</v>
      </c>
      <c r="AM134" s="36">
        <f ca="1">(Tabela3[[#This Row],[Custo Usinagem]]+Tabela3[[#This Row],[Custo / Pç]])*1.2</f>
        <v>91.411502172392559</v>
      </c>
      <c r="AN134" s="36">
        <f ca="1">Tabela3[[#This Row],[Valor Mínimo Venda]]*1.15</f>
        <v>105.12322749825144</v>
      </c>
      <c r="AO134" s="36">
        <f ca="1">Tabela3[[#This Row],[Tabela 1]]*1.08</f>
        <v>113.53308569811156</v>
      </c>
      <c r="AP134" s="36">
        <f ca="1">Tabela3[[#This Row],[Tabela 2]]*1.15</f>
        <v>130.56304855282829</v>
      </c>
    </row>
    <row r="135" spans="1:42">
      <c r="A135" s="9">
        <v>45742</v>
      </c>
      <c r="B135" s="6" t="s">
        <v>112</v>
      </c>
      <c r="C135" s="14">
        <v>6064</v>
      </c>
      <c r="D135" s="6" t="s">
        <v>44</v>
      </c>
      <c r="E135" s="6" t="s">
        <v>47</v>
      </c>
      <c r="F135" s="6">
        <v>27</v>
      </c>
      <c r="G135" s="15">
        <v>0.17083333333333334</v>
      </c>
      <c r="H135" s="16">
        <v>0</v>
      </c>
      <c r="I135" s="35">
        <f ca="1">IFERROR(Tabela3[[#This Row],[Custo Total]]/Tabela3[[#This Row],[Aluminio Util]],0)</f>
        <v>27.052938524784388</v>
      </c>
      <c r="J135" s="35">
        <f ca="1">Tabela3[[#This Row],[Custo Total]]/Tabela3[[#This Row],[Realizado]]</f>
        <v>13.526469262392194</v>
      </c>
      <c r="K135" s="37">
        <f>IFERROR(Tabela3[[#This Row],[Qtde Cx Produzida]]/Tabela3[[#This Row],[Tempo]]/24,0)</f>
        <v>6.5853658536585362</v>
      </c>
      <c r="L135" s="37">
        <f>Tabela3[[#This Row],[Qtde Cx Produzida]]*Tabela3[[#This Row],[Qdt Peça Placa]]</f>
        <v>108</v>
      </c>
      <c r="M135" s="37">
        <f>Tabela3[[#This Row],[Previsto]]-Tabela3[[#This Row],[Perda Pçs]]</f>
        <v>108</v>
      </c>
      <c r="N135" s="38">
        <f>IFERROR(Tabela3[[#This Row],[Perda Pçs]]/Tabela3[[#This Row],[Previsto]],0)</f>
        <v>0</v>
      </c>
      <c r="O135" s="39">
        <f>IFERROR(IF(Tabela3[[#This Row],[Qtde Cx Produzida]] &lt;&gt; 0, Tabela3[[#This Row],[Tempo]] / Tabela3[[#This Row],[Qtde Cx Produzida]], 0),0)</f>
        <v>6.3271604938271607E-3</v>
      </c>
      <c r="P135" s="57">
        <f>IFERROR(Tabela3[[#This Row],[Perda Pçs]]/Tabela3[[#This Row],[Qdt Peça Placa]],0)</f>
        <v>0</v>
      </c>
      <c r="Q135" s="37">
        <f>IFERROR(Tabela3[[#This Row],[Realizado]]*Tabela3[[#This Row],[Peso Util/Pç]],0)</f>
        <v>54</v>
      </c>
      <c r="R135" s="37">
        <f>IFERROR(Tabela3[[#This Row],[Peso Total Galho]]*Tabela3[[#This Row],[Qtde Cx Produzida]]*1.055,0)</f>
        <v>91.152000000000001</v>
      </c>
      <c r="S135" s="37">
        <f>(Tabela3[[#This Row],[Aluminio Bruto]]-Tabela3[[#This Row],[Aluminio Util]])*0.9</f>
        <v>33.436800000000005</v>
      </c>
      <c r="T135" s="37">
        <f>Tabela3[[#This Row],[Aluminio Bruto]]/OleoKGAluminio</f>
        <v>38.347528541596311</v>
      </c>
      <c r="U135" s="35">
        <f>IFERROR((VLOOKUP(Tabela3[[#This Row],[Moldador]],Tabela1[],5,)+(VLOOKUP(Tabela3[[#This Row],[Ajudante]],Tabela1[],5,))*3.5),0)</f>
        <v>99.95034583333333</v>
      </c>
      <c r="V135" s="35">
        <f>IFERROR(Tabela3[[#This Row],[Custo M.O. / H]]/((Tabela3[[#This Row],[Realizado]]/Tabela3[[#This Row],[Qdt Peça Placa]])/Tabela3[[#This Row],[Tempo]]/24),)</f>
        <v>15.177645108024691</v>
      </c>
      <c r="W135" s="35">
        <f>Tabela3[[#This Row],[Custo / Cx Moldada]]*Tabela3[[#This Row],[Qtde Cx Produzida]]</f>
        <v>409.79641791666666</v>
      </c>
      <c r="X135" s="35">
        <f ca="1">Tabela3[[#This Row],[Aluminio Util]]*Tabela3[[#This Row],[Custo/Kg]]</f>
        <v>950.40000000000009</v>
      </c>
      <c r="Y135" s="35">
        <f>IFERROR(VLOOKUP(Tabela3[[#This Row],[Data]],Tabela461213[],2,1)*(Tabela3[[#This Row],[Qtde Cx Produzida]]*Tabela3[[#This Row],[Qde macho / CX]]*Tabela3[[#This Row],[Peso Macho]]),)</f>
        <v>0</v>
      </c>
      <c r="Z135" s="35">
        <f>IFERROR(Tabela3[[#This Row],[Qtde Oleo]]*(VLOOKUP(Tabela3[[#This Row],[Data]],CompraOleo[],3,TRUE))*1.05,0)</f>
        <v>100.66226242169033</v>
      </c>
      <c r="AA135" s="47">
        <f ca="1">(Tabela3[[#This Row],[Custo Oleo]]+Tabela3[[#This Row],[Custo Aluminio]]+Tabela3[[#This Row],[Custo M.O. Total]]+Tabela3[[#This Row],[Custo Machos]])</f>
        <v>1460.8586803383569</v>
      </c>
      <c r="AB135" s="47">
        <f ca="1">Tabela3[[#This Row],[Custo Total]]*Tabela3[[#This Row],[% Perda]]</f>
        <v>0</v>
      </c>
      <c r="AC135" s="48">
        <f>IFERROR(VLOOKUP(Tabela3[[#This Row],[Produto]],Tabela2[],2,0),0)</f>
        <v>4</v>
      </c>
      <c r="AD135" s="48">
        <f>IFERROR(VLOOKUP(Tabela3[[#This Row],[Produto]],Tabela2[],3,0),0)</f>
        <v>0.5</v>
      </c>
      <c r="AE135" s="48">
        <f>IFERROR(VLOOKUP(Tabela3[[#This Row],[Produto]],Tabela2[],4,0),0)</f>
        <v>3.2</v>
      </c>
      <c r="AF135" s="48">
        <f>IFERROR(VLOOKUP(Tabela3[[#This Row],[Produto]],Tabela2[],5,0),0)</f>
        <v>1.0800000000000003</v>
      </c>
      <c r="AG135" s="40">
        <f>IFERROR(VLOOKUP(Tabela3[[#This Row],[Produto]],Tabela2[],6,0),0)</f>
        <v>0</v>
      </c>
      <c r="AH135" s="40">
        <f>IFERROR(VLOOKUP(Tabela3[[#This Row],[Produto]],Tabela2[],7,0),0)</f>
        <v>0</v>
      </c>
      <c r="AI135" s="40">
        <f>IFERROR(VLOOKUP(Tabela3[[#This Row],[Produto]],Tabela2[],8,0),0)</f>
        <v>0</v>
      </c>
      <c r="AJ135" s="35">
        <f ca="1">IFERROR(VLOOKUP(Tabela3[[#This Row],[Produto]],Tabela2[],13,0),0)</f>
        <v>17.600000000000001</v>
      </c>
      <c r="AK135" s="40" t="str">
        <f>IFERROR(VLOOKUP(Tabela3[[#This Row],[Produto]],Tabela2[],14,0),0)</f>
        <v>Marcelo</v>
      </c>
      <c r="AL135" s="40">
        <f>IFERROR(VLOOKUP(Tabela3[[#This Row],[Produto]],Tabela2[],15,0),0)</f>
        <v>0</v>
      </c>
      <c r="AM135" s="36">
        <f ca="1">(Tabela3[[#This Row],[Custo Usinagem]]+Tabela3[[#This Row],[Custo / Pç]])*1.2</f>
        <v>16.231763114870631</v>
      </c>
      <c r="AN135" s="36">
        <f ca="1">Tabela3[[#This Row],[Valor Mínimo Venda]]*1.15</f>
        <v>18.666527582101224</v>
      </c>
      <c r="AO135" s="36">
        <f ca="1">Tabela3[[#This Row],[Tabela 1]]*1.08</f>
        <v>20.159849788669323</v>
      </c>
      <c r="AP135" s="36">
        <f ca="1">Tabela3[[#This Row],[Tabela 2]]*1.15</f>
        <v>23.183827256969721</v>
      </c>
    </row>
    <row r="136" spans="1:42">
      <c r="A136" s="9">
        <v>45742</v>
      </c>
      <c r="B136" s="6" t="s">
        <v>125</v>
      </c>
      <c r="C136" s="14">
        <v>6076</v>
      </c>
      <c r="D136" s="6" t="s">
        <v>44</v>
      </c>
      <c r="E136" s="6" t="s">
        <v>47</v>
      </c>
      <c r="F136" s="6">
        <v>39</v>
      </c>
      <c r="G136" s="15">
        <v>0.1763888888888889</v>
      </c>
      <c r="H136" s="16">
        <v>0</v>
      </c>
      <c r="I136" s="35">
        <f ca="1">IFERROR(Tabela3[[#This Row],[Custo Total]]/Tabela3[[#This Row],[Aluminio Util]],0)</f>
        <v>24.958917534112498</v>
      </c>
      <c r="J136" s="35">
        <f ca="1">Tabela3[[#This Row],[Custo Total]]/Tabela3[[#This Row],[Realizado]]</f>
        <v>34.992402382825716</v>
      </c>
      <c r="K136" s="37">
        <f>IFERROR(Tabela3[[#This Row],[Qtde Cx Produzida]]/Tabela3[[#This Row],[Tempo]]/24,0)</f>
        <v>9.21259842519685</v>
      </c>
      <c r="L136" s="37">
        <f>Tabela3[[#This Row],[Qtde Cx Produzida]]*Tabela3[[#This Row],[Qdt Peça Placa]]</f>
        <v>39</v>
      </c>
      <c r="M136" s="37">
        <f>Tabela3[[#This Row],[Previsto]]-Tabela3[[#This Row],[Perda Pçs]]</f>
        <v>39</v>
      </c>
      <c r="N136" s="38">
        <f>IFERROR(Tabela3[[#This Row],[Perda Pçs]]/Tabela3[[#This Row],[Previsto]],0)</f>
        <v>0</v>
      </c>
      <c r="O136" s="39">
        <f>IFERROR(IF(Tabela3[[#This Row],[Qtde Cx Produzida]] &lt;&gt; 0, Tabela3[[#This Row],[Tempo]] / Tabela3[[#This Row],[Qtde Cx Produzida]], 0),0)</f>
        <v>4.5227920227920229E-3</v>
      </c>
      <c r="P136" s="57">
        <f>IFERROR(Tabela3[[#This Row],[Perda Pçs]]/Tabela3[[#This Row],[Qdt Peça Placa]],0)</f>
        <v>0</v>
      </c>
      <c r="Q136" s="37">
        <f>IFERROR(Tabela3[[#This Row],[Realizado]]*Tabela3[[#This Row],[Peso Util/Pç]],0)</f>
        <v>54.677999999999997</v>
      </c>
      <c r="R136" s="37">
        <f>IFERROR(Tabela3[[#This Row],[Peso Total Galho]]*Tabela3[[#This Row],[Qtde Cx Produzida]]*1.055,0)</f>
        <v>80.232749999999996</v>
      </c>
      <c r="S136" s="37">
        <f>(Tabela3[[#This Row],[Aluminio Bruto]]-Tabela3[[#This Row],[Aluminio Util]])*0.9</f>
        <v>22.999275000000001</v>
      </c>
      <c r="T136" s="37">
        <f>Tabela3[[#This Row],[Aluminio Bruto]]/OleoKGAluminio</f>
        <v>33.753814185050921</v>
      </c>
      <c r="U136" s="35">
        <f>IFERROR((VLOOKUP(Tabela3[[#This Row],[Moldador]],Tabela1[],5,)+(VLOOKUP(Tabela3[[#This Row],[Ajudante]],Tabela1[],5,))*3.5),0)</f>
        <v>99.95034583333333</v>
      </c>
      <c r="V136" s="35">
        <f>IFERROR(Tabela3[[#This Row],[Custo M.O. / H]]/((Tabela3[[#This Row],[Realizado]]/Tabela3[[#This Row],[Qdt Peça Placa]])/Tabela3[[#This Row],[Tempo]]/24),)</f>
        <v>10.849311043447294</v>
      </c>
      <c r="W136" s="35">
        <f>Tabela3[[#This Row],[Custo / Cx Moldada]]*Tabela3[[#This Row],[Qtde Cx Produzida]]</f>
        <v>423.12313069444446</v>
      </c>
      <c r="X136" s="35">
        <f ca="1">Tabela3[[#This Row],[Aluminio Util]]*Tabela3[[#This Row],[Custo/Kg]]</f>
        <v>852.97680000000003</v>
      </c>
      <c r="Y136" s="35">
        <f>IFERROR(VLOOKUP(Tabela3[[#This Row],[Data]],Tabela461213[],2,1)*(Tabela3[[#This Row],[Qtde Cx Produzida]]*Tabela3[[#This Row],[Qde macho / CX]]*Tabela3[[#This Row],[Peso Macho]]),)</f>
        <v>0</v>
      </c>
      <c r="Z136" s="35">
        <f>IFERROR(Tabela3[[#This Row],[Qtde Oleo]]*(VLOOKUP(Tabela3[[#This Row],[Data]],CompraOleo[],3,TRUE))*1.05,0)</f>
        <v>88.603762235758666</v>
      </c>
      <c r="AA136" s="47">
        <f ca="1">(Tabela3[[#This Row],[Custo Oleo]]+Tabela3[[#This Row],[Custo Aluminio]]+Tabela3[[#This Row],[Custo M.O. Total]]+Tabela3[[#This Row],[Custo Machos]])</f>
        <v>1364.703692930203</v>
      </c>
      <c r="AB136" s="47">
        <f ca="1">Tabela3[[#This Row],[Custo Total]]*Tabela3[[#This Row],[% Perda]]</f>
        <v>0</v>
      </c>
      <c r="AC136" s="48">
        <f>IFERROR(VLOOKUP(Tabela3[[#This Row],[Produto]],Tabela2[],2,0),0)</f>
        <v>1</v>
      </c>
      <c r="AD136" s="48">
        <f>IFERROR(VLOOKUP(Tabela3[[#This Row],[Produto]],Tabela2[],3,0),0)</f>
        <v>1.4019999999999999</v>
      </c>
      <c r="AE136" s="48">
        <f>IFERROR(VLOOKUP(Tabela3[[#This Row],[Produto]],Tabela2[],4,0),0)</f>
        <v>1.95</v>
      </c>
      <c r="AF136" s="48">
        <f>IFERROR(VLOOKUP(Tabela3[[#This Row],[Produto]],Tabela2[],5,0),0)</f>
        <v>0.49320000000000003</v>
      </c>
      <c r="AG136" s="40">
        <f>IFERROR(VLOOKUP(Tabela3[[#This Row],[Produto]],Tabela2[],6,0),0)</f>
        <v>0</v>
      </c>
      <c r="AH136" s="40">
        <f>IFERROR(VLOOKUP(Tabela3[[#This Row],[Produto]],Tabela2[],7,0),0)</f>
        <v>0</v>
      </c>
      <c r="AI136" s="40">
        <f>IFERROR(VLOOKUP(Tabela3[[#This Row],[Produto]],Tabela2[],8,0),0)</f>
        <v>0</v>
      </c>
      <c r="AJ136" s="35">
        <f ca="1">IFERROR(VLOOKUP(Tabela3[[#This Row],[Produto]],Tabela2[],13,0),0)</f>
        <v>15.600000000000001</v>
      </c>
      <c r="AK136" s="40" t="str">
        <f>IFERROR(VLOOKUP(Tabela3[[#This Row],[Produto]],Tabela2[],14,0),0)</f>
        <v>Senun</v>
      </c>
      <c r="AL136" s="40">
        <f>IFERROR(VLOOKUP(Tabela3[[#This Row],[Produto]],Tabela2[],15,0),0)</f>
        <v>6</v>
      </c>
      <c r="AM136" s="36">
        <f ca="1">(Tabela3[[#This Row],[Custo Usinagem]]+Tabela3[[#This Row],[Custo / Pç]])*1.2</f>
        <v>49.190882859390861</v>
      </c>
      <c r="AN136" s="36">
        <f ca="1">Tabela3[[#This Row],[Valor Mínimo Venda]]*1.15</f>
        <v>56.569515288299485</v>
      </c>
      <c r="AO136" s="36">
        <f ca="1">Tabela3[[#This Row],[Tabela 1]]*1.08</f>
        <v>61.095076511363445</v>
      </c>
      <c r="AP136" s="36">
        <f ca="1">Tabela3[[#This Row],[Tabela 2]]*1.15</f>
        <v>70.259337988067955</v>
      </c>
    </row>
    <row r="137" spans="1:42">
      <c r="A137" s="9">
        <v>45743</v>
      </c>
      <c r="B137" s="6" t="s">
        <v>125</v>
      </c>
      <c r="C137" s="14">
        <v>6076</v>
      </c>
      <c r="D137" s="6" t="s">
        <v>44</v>
      </c>
      <c r="E137" s="6" t="s">
        <v>47</v>
      </c>
      <c r="F137" s="6">
        <v>16</v>
      </c>
      <c r="G137" s="15">
        <v>6.805555555555555E-2</v>
      </c>
      <c r="H137" s="16">
        <v>0</v>
      </c>
      <c r="I137" s="35">
        <f ca="1">IFERROR(Tabela3[[#This Row],[Custo Total]]/Tabela3[[#This Row],[Aluminio Util]],0)</f>
        <v>24.498113987064581</v>
      </c>
      <c r="J137" s="35">
        <f ca="1">Tabela3[[#This Row],[Custo Total]]/Tabela3[[#This Row],[Realizado]]</f>
        <v>34.346355809864541</v>
      </c>
      <c r="K137" s="37">
        <f>IFERROR(Tabela3[[#This Row],[Qtde Cx Produzida]]/Tabela3[[#This Row],[Tempo]]/24,0)</f>
        <v>9.7959183673469408</v>
      </c>
      <c r="L137" s="37">
        <f>Tabela3[[#This Row],[Qtde Cx Produzida]]*Tabela3[[#This Row],[Qdt Peça Placa]]</f>
        <v>16</v>
      </c>
      <c r="M137" s="37">
        <f>Tabela3[[#This Row],[Previsto]]-Tabela3[[#This Row],[Perda Pçs]]</f>
        <v>16</v>
      </c>
      <c r="N137" s="38">
        <f>IFERROR(Tabela3[[#This Row],[Perda Pçs]]/Tabela3[[#This Row],[Previsto]],0)</f>
        <v>0</v>
      </c>
      <c r="O137" s="39">
        <f>IFERROR(IF(Tabela3[[#This Row],[Qtde Cx Produzida]] &lt;&gt; 0, Tabela3[[#This Row],[Tempo]] / Tabela3[[#This Row],[Qtde Cx Produzida]], 0),0)</f>
        <v>4.2534722222222219E-3</v>
      </c>
      <c r="P137" s="57">
        <f>IFERROR(Tabela3[[#This Row],[Perda Pçs]]/Tabela3[[#This Row],[Qdt Peça Placa]],0)</f>
        <v>0</v>
      </c>
      <c r="Q137" s="37">
        <f>IFERROR(Tabela3[[#This Row],[Realizado]]*Tabela3[[#This Row],[Peso Util/Pç]],0)</f>
        <v>22.431999999999999</v>
      </c>
      <c r="R137" s="37">
        <f>IFERROR(Tabela3[[#This Row],[Peso Total Galho]]*Tabela3[[#This Row],[Qtde Cx Produzida]]*1.055,0)</f>
        <v>32.915999999999997</v>
      </c>
      <c r="S137" s="37">
        <f>(Tabela3[[#This Row],[Aluminio Bruto]]-Tabela3[[#This Row],[Aluminio Util]])*0.9</f>
        <v>9.4355999999999991</v>
      </c>
      <c r="T137" s="37">
        <f>Tabela3[[#This Row],[Aluminio Bruto]]/OleoKGAluminio</f>
        <v>13.84771864002089</v>
      </c>
      <c r="U137" s="35">
        <f>IFERROR((VLOOKUP(Tabela3[[#This Row],[Moldador]],Tabela1[],5,)+(VLOOKUP(Tabela3[[#This Row],[Ajudante]],Tabela1[],5,))*3.5),0)</f>
        <v>99.95034583333333</v>
      </c>
      <c r="V137" s="35">
        <f>IFERROR(Tabela3[[#This Row],[Custo M.O. / H]]/((Tabela3[[#This Row],[Realizado]]/Tabela3[[#This Row],[Qdt Peça Placa]])/Tabela3[[#This Row],[Tempo]]/24),)</f>
        <v>10.20326447048611</v>
      </c>
      <c r="W137" s="35">
        <f>Tabela3[[#This Row],[Custo / Cx Moldada]]*Tabela3[[#This Row],[Qtde Cx Produzida]]</f>
        <v>163.25223152777775</v>
      </c>
      <c r="X137" s="35">
        <f ca="1">Tabela3[[#This Row],[Aluminio Util]]*Tabela3[[#This Row],[Custo/Kg]]</f>
        <v>349.93920000000003</v>
      </c>
      <c r="Y137" s="35">
        <f>IFERROR(VLOOKUP(Tabela3[[#This Row],[Data]],Tabela461213[],2,1)*(Tabela3[[#This Row],[Qtde Cx Produzida]]*Tabela3[[#This Row],[Qde macho / CX]]*Tabela3[[#This Row],[Peso Macho]]),)</f>
        <v>0</v>
      </c>
      <c r="Z137" s="35">
        <f>IFERROR(Tabela3[[#This Row],[Qtde Oleo]]*(VLOOKUP(Tabela3[[#This Row],[Data]],CompraOleo[],3,TRUE))*1.05,0)</f>
        <v>36.350261430054836</v>
      </c>
      <c r="AA137" s="47">
        <f ca="1">(Tabela3[[#This Row],[Custo Oleo]]+Tabela3[[#This Row],[Custo Aluminio]]+Tabela3[[#This Row],[Custo M.O. Total]]+Tabela3[[#This Row],[Custo Machos]])</f>
        <v>549.54169295783265</v>
      </c>
      <c r="AB137" s="47">
        <f ca="1">Tabela3[[#This Row],[Custo Total]]*Tabela3[[#This Row],[% Perda]]</f>
        <v>0</v>
      </c>
      <c r="AC137" s="48">
        <f>IFERROR(VLOOKUP(Tabela3[[#This Row],[Produto]],Tabela2[],2,0),0)</f>
        <v>1</v>
      </c>
      <c r="AD137" s="48">
        <f>IFERROR(VLOOKUP(Tabela3[[#This Row],[Produto]],Tabela2[],3,0),0)</f>
        <v>1.4019999999999999</v>
      </c>
      <c r="AE137" s="48">
        <f>IFERROR(VLOOKUP(Tabela3[[#This Row],[Produto]],Tabela2[],4,0),0)</f>
        <v>1.95</v>
      </c>
      <c r="AF137" s="48">
        <f>IFERROR(VLOOKUP(Tabela3[[#This Row],[Produto]],Tabela2[],5,0),0)</f>
        <v>0.49320000000000003</v>
      </c>
      <c r="AG137" s="40">
        <f>IFERROR(VLOOKUP(Tabela3[[#This Row],[Produto]],Tabela2[],6,0),0)</f>
        <v>0</v>
      </c>
      <c r="AH137" s="40">
        <f>IFERROR(VLOOKUP(Tabela3[[#This Row],[Produto]],Tabela2[],7,0),0)</f>
        <v>0</v>
      </c>
      <c r="AI137" s="40">
        <f>IFERROR(VLOOKUP(Tabela3[[#This Row],[Produto]],Tabela2[],8,0),0)</f>
        <v>0</v>
      </c>
      <c r="AJ137" s="35">
        <f ca="1">IFERROR(VLOOKUP(Tabela3[[#This Row],[Produto]],Tabela2[],13,0),0)</f>
        <v>15.600000000000001</v>
      </c>
      <c r="AK137" s="40" t="str">
        <f>IFERROR(VLOOKUP(Tabela3[[#This Row],[Produto]],Tabela2[],14,0),0)</f>
        <v>Senun</v>
      </c>
      <c r="AL137" s="40">
        <f>IFERROR(VLOOKUP(Tabela3[[#This Row],[Produto]],Tabela2[],15,0),0)</f>
        <v>6</v>
      </c>
      <c r="AM137" s="36">
        <f ca="1">(Tabela3[[#This Row],[Custo Usinagem]]+Tabela3[[#This Row],[Custo / Pç]])*1.2</f>
        <v>48.415626971837447</v>
      </c>
      <c r="AN137" s="36">
        <f ca="1">Tabela3[[#This Row],[Valor Mínimo Venda]]*1.15</f>
        <v>55.677971017613061</v>
      </c>
      <c r="AO137" s="36">
        <f ca="1">Tabela3[[#This Row],[Tabela 1]]*1.08</f>
        <v>60.132208699022108</v>
      </c>
      <c r="AP137" s="36">
        <f ca="1">Tabela3[[#This Row],[Tabela 2]]*1.15</f>
        <v>69.152040003875413</v>
      </c>
    </row>
    <row r="138" spans="1:42">
      <c r="A138" s="9">
        <v>45743</v>
      </c>
      <c r="B138" s="6" t="s">
        <v>150</v>
      </c>
      <c r="C138" s="14">
        <v>6093</v>
      </c>
      <c r="D138" s="6" t="s">
        <v>44</v>
      </c>
      <c r="E138" s="6" t="s">
        <v>47</v>
      </c>
      <c r="F138" s="6">
        <v>5</v>
      </c>
      <c r="G138" s="15">
        <v>2.2916666666666665E-2</v>
      </c>
      <c r="H138" s="16">
        <v>0</v>
      </c>
      <c r="I138" s="35">
        <f ca="1">IFERROR(Tabela3[[#This Row],[Custo Total]]/Tabela3[[#This Row],[Aluminio Util]],0)</f>
        <v>22.830750844496244</v>
      </c>
      <c r="J138" s="35">
        <f ca="1">Tabela3[[#This Row],[Custo Total]]/Tabela3[[#This Row],[Realizado]]</f>
        <v>23.287365861386167</v>
      </c>
      <c r="K138" s="37">
        <f>IFERROR(Tabela3[[#This Row],[Qtde Cx Produzida]]/Tabela3[[#This Row],[Tempo]]/24,0)</f>
        <v>9.0909090909090917</v>
      </c>
      <c r="L138" s="37">
        <f>Tabela3[[#This Row],[Qtde Cx Produzida]]*Tabela3[[#This Row],[Qdt Peça Placa]]</f>
        <v>10</v>
      </c>
      <c r="M138" s="37">
        <f>Tabela3[[#This Row],[Previsto]]-Tabela3[[#This Row],[Perda Pçs]]</f>
        <v>10</v>
      </c>
      <c r="N138" s="38">
        <f>IFERROR(Tabela3[[#This Row],[Perda Pçs]]/Tabela3[[#This Row],[Previsto]],0)</f>
        <v>0</v>
      </c>
      <c r="O138" s="39">
        <f>IFERROR(IF(Tabela3[[#This Row],[Qtde Cx Produzida]] &lt;&gt; 0, Tabela3[[#This Row],[Tempo]] / Tabela3[[#This Row],[Qtde Cx Produzida]], 0),0)</f>
        <v>4.5833333333333334E-3</v>
      </c>
      <c r="P138" s="57">
        <f>IFERROR(Tabela3[[#This Row],[Perda Pçs]]/Tabela3[[#This Row],[Qdt Peça Placa]],0)</f>
        <v>0</v>
      </c>
      <c r="Q138" s="37">
        <f>IFERROR(Tabela3[[#This Row],[Realizado]]*Tabela3[[#This Row],[Peso Util/Pç]],0)</f>
        <v>10.199999999999999</v>
      </c>
      <c r="R138" s="37">
        <f>IFERROR(Tabela3[[#This Row],[Peso Total Galho]]*Tabela3[[#This Row],[Qtde Cx Produzida]]*1.055,0)</f>
        <v>17.006599999999999</v>
      </c>
      <c r="S138" s="37">
        <f>(Tabela3[[#This Row],[Aluminio Bruto]]-Tabela3[[#This Row],[Aluminio Util]])*0.9</f>
        <v>6.1259399999999999</v>
      </c>
      <c r="T138" s="37">
        <f>Tabela3[[#This Row],[Aluminio Bruto]]/OleoKGAluminio</f>
        <v>7.1546546306774603</v>
      </c>
      <c r="U138" s="35">
        <f>IFERROR((VLOOKUP(Tabela3[[#This Row],[Moldador]],Tabela1[],5,)+(VLOOKUP(Tabela3[[#This Row],[Ajudante]],Tabela1[],5,))*3.5),0)</f>
        <v>99.95034583333333</v>
      </c>
      <c r="V138" s="35">
        <f>IFERROR(Tabela3[[#This Row],[Custo M.O. / H]]/((Tabela3[[#This Row],[Realizado]]/Tabela3[[#This Row],[Qdt Peça Placa]])/Tabela3[[#This Row],[Tempo]]/24),)</f>
        <v>10.994538041666665</v>
      </c>
      <c r="W138" s="35">
        <f>Tabela3[[#This Row],[Custo / Cx Moldada]]*Tabela3[[#This Row],[Qtde Cx Produzida]]</f>
        <v>54.972690208333326</v>
      </c>
      <c r="X138" s="35">
        <f ca="1">Tabela3[[#This Row],[Aluminio Util]]*Tabela3[[#This Row],[Custo/Kg]]</f>
        <v>159.12</v>
      </c>
      <c r="Y138" s="35">
        <f>IFERROR(VLOOKUP(Tabela3[[#This Row],[Data]],Tabela461213[],2,1)*(Tabela3[[#This Row],[Qtde Cx Produzida]]*Tabela3[[#This Row],[Qde macho / CX]]*Tabela3[[#This Row],[Peso Macho]]),)</f>
        <v>0</v>
      </c>
      <c r="Z138" s="35">
        <f>IFERROR(Tabela3[[#This Row],[Qtde Oleo]]*(VLOOKUP(Tabela3[[#This Row],[Data]],CompraOleo[],3,TRUE))*1.05,0)</f>
        <v>18.780968405528334</v>
      </c>
      <c r="AA138" s="47">
        <f ca="1">(Tabela3[[#This Row],[Custo Oleo]]+Tabela3[[#This Row],[Custo Aluminio]]+Tabela3[[#This Row],[Custo M.O. Total]]+Tabela3[[#This Row],[Custo Machos]])</f>
        <v>232.87365861386166</v>
      </c>
      <c r="AB138" s="47">
        <f ca="1">Tabela3[[#This Row],[Custo Total]]*Tabela3[[#This Row],[% Perda]]</f>
        <v>0</v>
      </c>
      <c r="AC138" s="48">
        <f>IFERROR(VLOOKUP(Tabela3[[#This Row],[Produto]],Tabela2[],2,0),0)</f>
        <v>2</v>
      </c>
      <c r="AD138" s="48">
        <f>IFERROR(VLOOKUP(Tabela3[[#This Row],[Produto]],Tabela2[],3,0),0)</f>
        <v>1.02</v>
      </c>
      <c r="AE138" s="48">
        <f>IFERROR(VLOOKUP(Tabela3[[#This Row],[Produto]],Tabela2[],4,0),0)</f>
        <v>3.2240000000000002</v>
      </c>
      <c r="AF138" s="48">
        <f>IFERROR(VLOOKUP(Tabela3[[#This Row],[Produto]],Tabela2[],5,0),0)</f>
        <v>1.0656000000000001</v>
      </c>
      <c r="AG138" s="40">
        <f>IFERROR(VLOOKUP(Tabela3[[#This Row],[Produto]],Tabela2[],6,0),0)</f>
        <v>0</v>
      </c>
      <c r="AH138" s="40">
        <f>IFERROR(VLOOKUP(Tabela3[[#This Row],[Produto]],Tabela2[],7,0),0)</f>
        <v>0</v>
      </c>
      <c r="AI138" s="40">
        <f>IFERROR(VLOOKUP(Tabela3[[#This Row],[Produto]],Tabela2[],8,0),0)</f>
        <v>0</v>
      </c>
      <c r="AJ138" s="35">
        <f ca="1">IFERROR(VLOOKUP(Tabela3[[#This Row],[Produto]],Tabela2[],13,0),0)</f>
        <v>15.600000000000001</v>
      </c>
      <c r="AK138" s="40" t="str">
        <f>IFERROR(VLOOKUP(Tabela3[[#This Row],[Produto]],Tabela2[],14,0),0)</f>
        <v>Senun</v>
      </c>
      <c r="AL138" s="40">
        <f>IFERROR(VLOOKUP(Tabela3[[#This Row],[Produto]],Tabela2[],15,0),0)</f>
        <v>5</v>
      </c>
      <c r="AM138" s="36">
        <f ca="1">(Tabela3[[#This Row],[Custo Usinagem]]+Tabela3[[#This Row],[Custo / Pç]])*1.2</f>
        <v>33.944839033663399</v>
      </c>
      <c r="AN138" s="36">
        <f ca="1">Tabela3[[#This Row],[Valor Mínimo Venda]]*1.15</f>
        <v>39.036564888712903</v>
      </c>
      <c r="AO138" s="36">
        <f ca="1">Tabela3[[#This Row],[Tabela 1]]*1.08</f>
        <v>42.159490079809935</v>
      </c>
      <c r="AP138" s="36">
        <f ca="1">Tabela3[[#This Row],[Tabela 2]]*1.15</f>
        <v>48.483413591781421</v>
      </c>
    </row>
    <row r="139" spans="1:42">
      <c r="A139" s="9">
        <v>45743</v>
      </c>
      <c r="B139" s="6" t="s">
        <v>277</v>
      </c>
      <c r="C139" s="14">
        <v>6075</v>
      </c>
      <c r="D139" s="6" t="s">
        <v>44</v>
      </c>
      <c r="E139" s="6" t="s">
        <v>47</v>
      </c>
      <c r="F139" s="6">
        <v>8</v>
      </c>
      <c r="G139" s="15">
        <v>3.5416666666666666E-2</v>
      </c>
      <c r="H139" s="16">
        <v>0</v>
      </c>
      <c r="I139" s="35">
        <f ca="1">IFERROR(Tabela3[[#This Row],[Custo Total]]/Tabela3[[#This Row],[Aluminio Util]],0)</f>
        <v>30.306371544773413</v>
      </c>
      <c r="J139" s="35">
        <f ca="1">Tabela3[[#This Row],[Custo Total]]/Tabela3[[#This Row],[Realizado]]</f>
        <v>4.2428920162682777</v>
      </c>
      <c r="K139" s="37">
        <f>IFERROR(Tabela3[[#This Row],[Qtde Cx Produzida]]/Tabela3[[#This Row],[Tempo]]/24,0)</f>
        <v>9.4117647058823533</v>
      </c>
      <c r="L139" s="37">
        <f>Tabela3[[#This Row],[Qtde Cx Produzida]]*Tabela3[[#This Row],[Qdt Peça Placa]]</f>
        <v>48</v>
      </c>
      <c r="M139" s="37">
        <f>Tabela3[[#This Row],[Previsto]]-Tabela3[[#This Row],[Perda Pçs]]</f>
        <v>48</v>
      </c>
      <c r="N139" s="38">
        <f>IFERROR(Tabela3[[#This Row],[Perda Pçs]]/Tabela3[[#This Row],[Previsto]],0)</f>
        <v>0</v>
      </c>
      <c r="O139" s="39">
        <f>IFERROR(IF(Tabela3[[#This Row],[Qtde Cx Produzida]] &lt;&gt; 0, Tabela3[[#This Row],[Tempo]] / Tabela3[[#This Row],[Qtde Cx Produzida]], 0),0)</f>
        <v>4.4270833333333332E-3</v>
      </c>
      <c r="P139" s="57">
        <f>IFERROR(Tabela3[[#This Row],[Perda Pçs]]/Tabela3[[#This Row],[Qdt Peça Placa]],0)</f>
        <v>0</v>
      </c>
      <c r="Q139" s="37">
        <f>IFERROR(Tabela3[[#This Row],[Realizado]]*Tabela3[[#This Row],[Peso Util/Pç]],0)</f>
        <v>6.7200000000000006</v>
      </c>
      <c r="R139" s="37">
        <f>IFERROR(Tabela3[[#This Row],[Peso Total Galho]]*Tabela3[[#This Row],[Qtde Cx Produzida]]*1.055,0)</f>
        <v>12.558719999999999</v>
      </c>
      <c r="S139" s="37">
        <f>(Tabela3[[#This Row],[Aluminio Bruto]]-Tabela3[[#This Row],[Aluminio Util]])*0.9</f>
        <v>5.2548479999999991</v>
      </c>
      <c r="T139" s="37">
        <f>Tabela3[[#This Row],[Aluminio Bruto]]/OleoKGAluminio</f>
        <v>5.2834372657310471</v>
      </c>
      <c r="U139" s="35">
        <f>IFERROR((VLOOKUP(Tabela3[[#This Row],[Moldador]],Tabela1[],5,)+(VLOOKUP(Tabela3[[#This Row],[Ajudante]],Tabela1[],5,))*3.5),0)</f>
        <v>99.95034583333333</v>
      </c>
      <c r="V139" s="35">
        <f>IFERROR(Tabela3[[#This Row],[Custo M.O. / H]]/((Tabela3[[#This Row],[Realizado]]/Tabela3[[#This Row],[Qdt Peça Placa]])/Tabela3[[#This Row],[Tempo]]/24),)</f>
        <v>10.619724244791666</v>
      </c>
      <c r="W139" s="35">
        <f>Tabela3[[#This Row],[Custo / Cx Moldada]]*Tabela3[[#This Row],[Qtde Cx Produzida]]</f>
        <v>84.957793958333326</v>
      </c>
      <c r="X139" s="35">
        <f ca="1">Tabela3[[#This Row],[Aluminio Util]]*Tabela3[[#This Row],[Custo/Kg]]</f>
        <v>104.83200000000002</v>
      </c>
      <c r="Y139" s="35">
        <f>IFERROR(VLOOKUP(Tabela3[[#This Row],[Data]],Tabela461213[],2,1)*(Tabela3[[#This Row],[Qtde Cx Produzida]]*Tabela3[[#This Row],[Qde macho / CX]]*Tabela3[[#This Row],[Peso Macho]]),)</f>
        <v>0</v>
      </c>
      <c r="Z139" s="35">
        <f>IFERROR(Tabela3[[#This Row],[Qtde Oleo]]*(VLOOKUP(Tabela3[[#This Row],[Data]],CompraOleo[],3,TRUE))*1.05,0)</f>
        <v>13.869022822543998</v>
      </c>
      <c r="AA139" s="47">
        <f ca="1">(Tabela3[[#This Row],[Custo Oleo]]+Tabela3[[#This Row],[Custo Aluminio]]+Tabela3[[#This Row],[Custo M.O. Total]]+Tabela3[[#This Row],[Custo Machos]])</f>
        <v>203.65881678087734</v>
      </c>
      <c r="AB139" s="47">
        <f ca="1">Tabela3[[#This Row],[Custo Total]]*Tabela3[[#This Row],[% Perda]]</f>
        <v>0</v>
      </c>
      <c r="AC139" s="48">
        <f>IFERROR(VLOOKUP(Tabela3[[#This Row],[Produto]],Tabela2[],2,0),0)</f>
        <v>6</v>
      </c>
      <c r="AD139" s="48">
        <f>IFERROR(VLOOKUP(Tabela3[[#This Row],[Produto]],Tabela2[],3,0),0)</f>
        <v>0.14000000000000001</v>
      </c>
      <c r="AE139" s="48">
        <f>IFERROR(VLOOKUP(Tabela3[[#This Row],[Produto]],Tabela2[],4,0),0)</f>
        <v>1.488</v>
      </c>
      <c r="AF139" s="48">
        <f>IFERROR(VLOOKUP(Tabela3[[#This Row],[Produto]],Tabela2[],5,0),0)</f>
        <v>0.58319999999999994</v>
      </c>
      <c r="AG139" s="40">
        <f>IFERROR(VLOOKUP(Tabela3[[#This Row],[Produto]],Tabela2[],6,0),0)</f>
        <v>0</v>
      </c>
      <c r="AH139" s="40">
        <f>IFERROR(VLOOKUP(Tabela3[[#This Row],[Produto]],Tabela2[],7,0),0)</f>
        <v>0</v>
      </c>
      <c r="AI139" s="40">
        <f>IFERROR(VLOOKUP(Tabela3[[#This Row],[Produto]],Tabela2[],8,0),0)</f>
        <v>0</v>
      </c>
      <c r="AJ139" s="35">
        <f ca="1">IFERROR(VLOOKUP(Tabela3[[#This Row],[Produto]],Tabela2[],13,0),0)</f>
        <v>15.600000000000001</v>
      </c>
      <c r="AK139" s="40" t="str">
        <f>IFERROR(VLOOKUP(Tabela3[[#This Row],[Produto]],Tabela2[],14,0),0)</f>
        <v>Senun</v>
      </c>
      <c r="AL139" s="40">
        <f>IFERROR(VLOOKUP(Tabela3[[#This Row],[Produto]],Tabela2[],15,0),0)</f>
        <v>0</v>
      </c>
      <c r="AM139" s="36">
        <f ca="1">(Tabela3[[#This Row],[Custo Usinagem]]+Tabela3[[#This Row],[Custo / Pç]])*1.2</f>
        <v>5.0914704195219329</v>
      </c>
      <c r="AN139" s="36">
        <f ca="1">Tabela3[[#This Row],[Valor Mínimo Venda]]*1.15</f>
        <v>5.855190982450222</v>
      </c>
      <c r="AO139" s="36">
        <f ca="1">Tabela3[[#This Row],[Tabela 1]]*1.08</f>
        <v>6.3236062610462405</v>
      </c>
      <c r="AP139" s="36">
        <f ca="1">Tabela3[[#This Row],[Tabela 2]]*1.15</f>
        <v>7.2721472002031762</v>
      </c>
    </row>
    <row r="140" spans="1:42">
      <c r="A140" s="9">
        <v>45743</v>
      </c>
      <c r="B140" s="6" t="s">
        <v>225</v>
      </c>
      <c r="C140" s="14">
        <v>6074</v>
      </c>
      <c r="D140" s="6" t="s">
        <v>44</v>
      </c>
      <c r="E140" s="6" t="s">
        <v>47</v>
      </c>
      <c r="F140" s="6">
        <v>23</v>
      </c>
      <c r="G140" s="15">
        <v>9.7916666666666666E-2</v>
      </c>
      <c r="H140" s="16">
        <v>0</v>
      </c>
      <c r="I140" s="35">
        <f ca="1">IFERROR(Tabela3[[#This Row],[Custo Total]]/Tabela3[[#This Row],[Aluminio Util]],0)</f>
        <v>28.762017330544708</v>
      </c>
      <c r="J140" s="35">
        <f ca="1">Tabela3[[#This Row],[Custo Total]]/Tabela3[[#This Row],[Realizado]]</f>
        <v>6.6152639860252824</v>
      </c>
      <c r="K140" s="37">
        <f>IFERROR(Tabela3[[#This Row],[Qtde Cx Produzida]]/Tabela3[[#This Row],[Tempo]]/24,0)</f>
        <v>9.7872340425531927</v>
      </c>
      <c r="L140" s="37">
        <f>Tabela3[[#This Row],[Qtde Cx Produzida]]*Tabela3[[#This Row],[Qdt Peça Placa]]</f>
        <v>92</v>
      </c>
      <c r="M140" s="37">
        <f>Tabela3[[#This Row],[Previsto]]-Tabela3[[#This Row],[Perda Pçs]]</f>
        <v>92</v>
      </c>
      <c r="N140" s="38">
        <f>IFERROR(Tabela3[[#This Row],[Perda Pçs]]/Tabela3[[#This Row],[Previsto]],0)</f>
        <v>0</v>
      </c>
      <c r="O140" s="39">
        <f>IFERROR(IF(Tabela3[[#This Row],[Qtde Cx Produzida]] &lt;&gt; 0, Tabela3[[#This Row],[Tempo]] / Tabela3[[#This Row],[Qtde Cx Produzida]], 0),0)</f>
        <v>4.2572463768115942E-3</v>
      </c>
      <c r="P140" s="57">
        <f>IFERROR(Tabela3[[#This Row],[Perda Pçs]]/Tabela3[[#This Row],[Qdt Peça Placa]],0)</f>
        <v>0</v>
      </c>
      <c r="Q140" s="37">
        <f>IFERROR(Tabela3[[#This Row],[Realizado]]*Tabela3[[#This Row],[Peso Util/Pç]],0)</f>
        <v>21.16</v>
      </c>
      <c r="R140" s="37">
        <f>IFERROR(Tabela3[[#This Row],[Peso Total Galho]]*Tabela3[[#This Row],[Qtde Cx Produzida]]*1.055,0)</f>
        <v>39.503419999999991</v>
      </c>
      <c r="S140" s="37">
        <f>(Tabela3[[#This Row],[Aluminio Bruto]]-Tabela3[[#This Row],[Aluminio Util]])*0.9</f>
        <v>16.509077999999992</v>
      </c>
      <c r="T140" s="37">
        <f>Tabela3[[#This Row],[Aluminio Bruto]]/OleoKGAluminio</f>
        <v>16.619037716568659</v>
      </c>
      <c r="U140" s="35">
        <f>IFERROR((VLOOKUP(Tabela3[[#This Row],[Moldador]],Tabela1[],5,)+(VLOOKUP(Tabela3[[#This Row],[Ajudante]],Tabela1[],5,))*3.5),0)</f>
        <v>99.95034583333333</v>
      </c>
      <c r="V140" s="35">
        <f>IFERROR(Tabela3[[#This Row],[Custo M.O. / H]]/((Tabela3[[#This Row],[Realizado]]/Tabela3[[#This Row],[Qdt Peça Placa]])/Tabela3[[#This Row],[Tempo]]/24),)</f>
        <v>10.212317943840578</v>
      </c>
      <c r="W140" s="35">
        <f>Tabela3[[#This Row],[Custo / Cx Moldada]]*Tabela3[[#This Row],[Qtde Cx Produzida]]</f>
        <v>234.88331270833328</v>
      </c>
      <c r="X140" s="35">
        <f ca="1">Tabela3[[#This Row],[Aluminio Util]]*Tabela3[[#This Row],[Custo/Kg]]</f>
        <v>330.09600000000006</v>
      </c>
      <c r="Y140" s="35">
        <f>IFERROR(VLOOKUP(Tabela3[[#This Row],[Data]],Tabela461213[],2,1)*(Tabela3[[#This Row],[Qtde Cx Produzida]]*Tabela3[[#This Row],[Qde macho / CX]]*Tabela3[[#This Row],[Peso Macho]]),)</f>
        <v>0</v>
      </c>
      <c r="Z140" s="35">
        <f>IFERROR(Tabela3[[#This Row],[Qtde Oleo]]*(VLOOKUP(Tabela3[[#This Row],[Data]],CompraOleo[],3,TRUE))*1.05,0)</f>
        <v>43.624974005992733</v>
      </c>
      <c r="AA140" s="47">
        <f ca="1">(Tabela3[[#This Row],[Custo Oleo]]+Tabela3[[#This Row],[Custo Aluminio]]+Tabela3[[#This Row],[Custo M.O. Total]]+Tabela3[[#This Row],[Custo Machos]])</f>
        <v>608.60428671432601</v>
      </c>
      <c r="AB140" s="47">
        <f ca="1">Tabela3[[#This Row],[Custo Total]]*Tabela3[[#This Row],[% Perda]]</f>
        <v>0</v>
      </c>
      <c r="AC140" s="48">
        <f>IFERROR(VLOOKUP(Tabela3[[#This Row],[Produto]],Tabela2[],2,0),0)</f>
        <v>4</v>
      </c>
      <c r="AD140" s="48">
        <f>IFERROR(VLOOKUP(Tabela3[[#This Row],[Produto]],Tabela2[],3,0),0)</f>
        <v>0.23</v>
      </c>
      <c r="AE140" s="48">
        <f>IFERROR(VLOOKUP(Tabela3[[#This Row],[Produto]],Tabela2[],4,0),0)</f>
        <v>1.6279999999999999</v>
      </c>
      <c r="AF140" s="48">
        <f>IFERROR(VLOOKUP(Tabela3[[#This Row],[Produto]],Tabela2[],5,0),0)</f>
        <v>0.63719999999999988</v>
      </c>
      <c r="AG140" s="40">
        <f>IFERROR(VLOOKUP(Tabela3[[#This Row],[Produto]],Tabela2[],6,0),0)</f>
        <v>0</v>
      </c>
      <c r="AH140" s="40">
        <f>IFERROR(VLOOKUP(Tabela3[[#This Row],[Produto]],Tabela2[],7,0),0)</f>
        <v>0</v>
      </c>
      <c r="AI140" s="40">
        <f>IFERROR(VLOOKUP(Tabela3[[#This Row],[Produto]],Tabela2[],8,0),0)</f>
        <v>0</v>
      </c>
      <c r="AJ140" s="35">
        <f ca="1">IFERROR(VLOOKUP(Tabela3[[#This Row],[Produto]],Tabela2[],13,0),0)</f>
        <v>15.600000000000001</v>
      </c>
      <c r="AK140" s="40" t="str">
        <f>IFERROR(VLOOKUP(Tabela3[[#This Row],[Produto]],Tabela2[],14,0),0)</f>
        <v>Senun</v>
      </c>
      <c r="AL140" s="40">
        <f>IFERROR(VLOOKUP(Tabela3[[#This Row],[Produto]],Tabela2[],15,0),0)</f>
        <v>4</v>
      </c>
      <c r="AM140" s="36">
        <f ca="1">(Tabela3[[#This Row],[Custo Usinagem]]+Tabela3[[#This Row],[Custo / Pç]])*1.2</f>
        <v>12.73831678323034</v>
      </c>
      <c r="AN140" s="36">
        <f ca="1">Tabela3[[#This Row],[Valor Mínimo Venda]]*1.15</f>
        <v>14.64906430071489</v>
      </c>
      <c r="AO140" s="36">
        <f ca="1">Tabela3[[#This Row],[Tabela 1]]*1.08</f>
        <v>15.820989444772083</v>
      </c>
      <c r="AP140" s="36">
        <f ca="1">Tabela3[[#This Row],[Tabela 2]]*1.15</f>
        <v>18.194137861487896</v>
      </c>
    </row>
    <row r="141" spans="1:42">
      <c r="A141" s="9">
        <v>45743</v>
      </c>
      <c r="B141" s="6" t="s">
        <v>155</v>
      </c>
      <c r="C141" s="14">
        <v>6073</v>
      </c>
      <c r="D141" s="6" t="s">
        <v>44</v>
      </c>
      <c r="E141" s="6" t="s">
        <v>47</v>
      </c>
      <c r="F141" s="6">
        <v>23</v>
      </c>
      <c r="G141" s="15">
        <v>0.10555555555555556</v>
      </c>
      <c r="H141" s="16">
        <v>0</v>
      </c>
      <c r="I141" s="35">
        <f ca="1">IFERROR(Tabela3[[#This Row],[Custo Total]]/Tabela3[[#This Row],[Aluminio Util]],0)</f>
        <v>28.246881697520831</v>
      </c>
      <c r="J141" s="35">
        <f ca="1">Tabela3[[#This Row],[Custo Total]]/Tabela3[[#This Row],[Realizado]]</f>
        <v>7.3441892413554166</v>
      </c>
      <c r="K141" s="37">
        <f>IFERROR(Tabela3[[#This Row],[Qtde Cx Produzida]]/Tabela3[[#This Row],[Tempo]]/24,0)</f>
        <v>9.0789473684210531</v>
      </c>
      <c r="L141" s="37">
        <f>Tabela3[[#This Row],[Qtde Cx Produzida]]*Tabela3[[#This Row],[Qdt Peça Placa]]</f>
        <v>92</v>
      </c>
      <c r="M141" s="37">
        <f>Tabela3[[#This Row],[Previsto]]-Tabela3[[#This Row],[Perda Pçs]]</f>
        <v>92</v>
      </c>
      <c r="N141" s="38">
        <f>IFERROR(Tabela3[[#This Row],[Perda Pçs]]/Tabela3[[#This Row],[Previsto]],0)</f>
        <v>0</v>
      </c>
      <c r="O141" s="39">
        <f>IFERROR(IF(Tabela3[[#This Row],[Qtde Cx Produzida]] &lt;&gt; 0, Tabela3[[#This Row],[Tempo]] / Tabela3[[#This Row],[Qtde Cx Produzida]], 0),0)</f>
        <v>4.5893719806763284E-3</v>
      </c>
      <c r="P141" s="57">
        <f>IFERROR(Tabela3[[#This Row],[Perda Pçs]]/Tabela3[[#This Row],[Qdt Peça Placa]],0)</f>
        <v>0</v>
      </c>
      <c r="Q141" s="37">
        <f>IFERROR(Tabela3[[#This Row],[Realizado]]*Tabela3[[#This Row],[Peso Util/Pç]],0)</f>
        <v>23.92</v>
      </c>
      <c r="R141" s="37">
        <f>IFERROR(Tabela3[[#This Row],[Peso Total Galho]]*Tabela3[[#This Row],[Qtde Cx Produzida]]*1.055,0)</f>
        <v>44.647599999999997</v>
      </c>
      <c r="S141" s="37">
        <f>(Tabela3[[#This Row],[Aluminio Bruto]]-Tabela3[[#This Row],[Aluminio Util]])*0.9</f>
        <v>18.654839999999997</v>
      </c>
      <c r="T141" s="37">
        <f>Tabela3[[#This Row],[Aluminio Bruto]]/OleoKGAluminio</f>
        <v>18.783187591207824</v>
      </c>
      <c r="U141" s="35">
        <f>IFERROR((VLOOKUP(Tabela3[[#This Row],[Moldador]],Tabela1[],5,)+(VLOOKUP(Tabela3[[#This Row],[Ajudante]],Tabela1[],5,))*3.5),0)</f>
        <v>99.95034583333333</v>
      </c>
      <c r="V141" s="35">
        <f>IFERROR(Tabela3[[#This Row],[Custo M.O. / H]]/((Tabela3[[#This Row],[Realizado]]/Tabela3[[#This Row],[Qdt Peça Placa]])/Tabela3[[#This Row],[Tempo]]/24),)</f>
        <v>11.009023599033815</v>
      </c>
      <c r="W141" s="35">
        <f>Tabela3[[#This Row],[Custo / Cx Moldada]]*Tabela3[[#This Row],[Qtde Cx Produzida]]</f>
        <v>253.20754277777775</v>
      </c>
      <c r="X141" s="35">
        <f ca="1">Tabela3[[#This Row],[Aluminio Util]]*Tabela3[[#This Row],[Custo/Kg]]</f>
        <v>373.15200000000004</v>
      </c>
      <c r="Y141" s="35">
        <f>IFERROR(VLOOKUP(Tabela3[[#This Row],[Data]],Tabela461213[],2,1)*(Tabela3[[#This Row],[Qtde Cx Produzida]]*Tabela3[[#This Row],[Qde macho / CX]]*Tabela3[[#This Row],[Peso Macho]]),)</f>
        <v>0</v>
      </c>
      <c r="Z141" s="35">
        <f>IFERROR(Tabela3[[#This Row],[Qtde Oleo]]*(VLOOKUP(Tabela3[[#This Row],[Data]],CompraOleo[],3,TRUE))*1.05,0)</f>
        <v>49.305867426920535</v>
      </c>
      <c r="AA141" s="47">
        <f ca="1">(Tabela3[[#This Row],[Custo Oleo]]+Tabela3[[#This Row],[Custo Aluminio]]+Tabela3[[#This Row],[Custo M.O. Total]]+Tabela3[[#This Row],[Custo Machos]])</f>
        <v>675.66541020469833</v>
      </c>
      <c r="AB141" s="47">
        <f ca="1">Tabela3[[#This Row],[Custo Total]]*Tabela3[[#This Row],[% Perda]]</f>
        <v>0</v>
      </c>
      <c r="AC141" s="48">
        <f>IFERROR(VLOOKUP(Tabela3[[#This Row],[Produto]],Tabela2[],2,0),0)</f>
        <v>4</v>
      </c>
      <c r="AD141" s="48">
        <f>IFERROR(VLOOKUP(Tabela3[[#This Row],[Produto]],Tabela2[],3,0),0)</f>
        <v>0.26</v>
      </c>
      <c r="AE141" s="48">
        <f>IFERROR(VLOOKUP(Tabela3[[#This Row],[Produto]],Tabela2[],4,0),0)</f>
        <v>1.84</v>
      </c>
      <c r="AF141" s="48">
        <f>IFERROR(VLOOKUP(Tabela3[[#This Row],[Produto]],Tabela2[],5,0),0)</f>
        <v>0.72000000000000008</v>
      </c>
      <c r="AG141" s="40">
        <f>IFERROR(VLOOKUP(Tabela3[[#This Row],[Produto]],Tabela2[],6,0),0)</f>
        <v>0</v>
      </c>
      <c r="AH141" s="40">
        <f>IFERROR(VLOOKUP(Tabela3[[#This Row],[Produto]],Tabela2[],7,0),0)</f>
        <v>0</v>
      </c>
      <c r="AI141" s="40">
        <f>IFERROR(VLOOKUP(Tabela3[[#This Row],[Produto]],Tabela2[],8,0),0)</f>
        <v>0</v>
      </c>
      <c r="AJ141" s="35">
        <f ca="1">IFERROR(VLOOKUP(Tabela3[[#This Row],[Produto]],Tabela2[],13,0),0)</f>
        <v>15.600000000000001</v>
      </c>
      <c r="AK141" s="40" t="str">
        <f>IFERROR(VLOOKUP(Tabela3[[#This Row],[Produto]],Tabela2[],14,0),0)</f>
        <v>Senun</v>
      </c>
      <c r="AL141" s="40">
        <f>IFERROR(VLOOKUP(Tabela3[[#This Row],[Produto]],Tabela2[],15,0),0)</f>
        <v>0</v>
      </c>
      <c r="AM141" s="36">
        <f ca="1">(Tabela3[[#This Row],[Custo Usinagem]]+Tabela3[[#This Row],[Custo / Pç]])*1.2</f>
        <v>8.8130270896264999</v>
      </c>
      <c r="AN141" s="36">
        <f ca="1">Tabela3[[#This Row],[Valor Mínimo Venda]]*1.15</f>
        <v>10.134981153070473</v>
      </c>
      <c r="AO141" s="36">
        <f ca="1">Tabela3[[#This Row],[Tabela 1]]*1.08</f>
        <v>10.945779645316112</v>
      </c>
      <c r="AP141" s="36">
        <f ca="1">Tabela3[[#This Row],[Tabela 2]]*1.15</f>
        <v>12.587646592113527</v>
      </c>
    </row>
    <row r="142" spans="1:42">
      <c r="A142" s="9">
        <v>45743</v>
      </c>
      <c r="B142" s="6" t="s">
        <v>156</v>
      </c>
      <c r="C142" s="14">
        <v>6059</v>
      </c>
      <c r="D142" s="6" t="s">
        <v>46</v>
      </c>
      <c r="E142" s="6" t="s">
        <v>53</v>
      </c>
      <c r="F142" s="6">
        <v>43</v>
      </c>
      <c r="G142" s="15">
        <v>0.19930555555555557</v>
      </c>
      <c r="H142" s="16">
        <v>2</v>
      </c>
      <c r="I142" s="35">
        <f ca="1">IFERROR(Tabela3[[#This Row],[Custo Total]]/Tabela3[[#This Row],[Aluminio Util]],0)</f>
        <v>28.789429387474939</v>
      </c>
      <c r="J142" s="35">
        <f ca="1">Tabela3[[#This Row],[Custo Total]]/Tabela3[[#This Row],[Realizado]]</f>
        <v>15.143239857811821</v>
      </c>
      <c r="K142" s="37">
        <f>IFERROR(Tabela3[[#This Row],[Qtde Cx Produzida]]/Tabela3[[#This Row],[Tempo]]/24,0)</f>
        <v>8.989547038327526</v>
      </c>
      <c r="L142" s="37">
        <f>Tabela3[[#This Row],[Qtde Cx Produzida]]*Tabela3[[#This Row],[Qdt Peça Placa]]</f>
        <v>86</v>
      </c>
      <c r="M142" s="37">
        <f>Tabela3[[#This Row],[Previsto]]-Tabela3[[#This Row],[Perda Pçs]]</f>
        <v>84</v>
      </c>
      <c r="N142" s="38">
        <f>IFERROR(Tabela3[[#This Row],[Perda Pçs]]/Tabela3[[#This Row],[Previsto]],0)</f>
        <v>2.3255813953488372E-2</v>
      </c>
      <c r="O142" s="39">
        <f>IFERROR(IF(Tabela3[[#This Row],[Qtde Cx Produzida]] &lt;&gt; 0, Tabela3[[#This Row],[Tempo]] / Tabela3[[#This Row],[Qtde Cx Produzida]], 0),0)</f>
        <v>4.6350129198966415E-3</v>
      </c>
      <c r="P142" s="57">
        <f>IFERROR(Tabela3[[#This Row],[Perda Pçs]]/Tabela3[[#This Row],[Qdt Peça Placa]],0)</f>
        <v>1</v>
      </c>
      <c r="Q142" s="37">
        <f>IFERROR(Tabela3[[#This Row],[Realizado]]*Tabela3[[#This Row],[Peso Util/Pç]],0)</f>
        <v>44.184000000000005</v>
      </c>
      <c r="R142" s="37">
        <f>IFERROR(Tabela3[[#This Row],[Peso Total Galho]]*Tabela3[[#This Row],[Qtde Cx Produzida]]*1.055,0)</f>
        <v>84.469629999999995</v>
      </c>
      <c r="S142" s="37">
        <f>(Tabela3[[#This Row],[Aluminio Bruto]]-Tabela3[[#This Row],[Aluminio Util]])*0.9</f>
        <v>36.257066999999992</v>
      </c>
      <c r="T142" s="37">
        <f>Tabela3[[#This Row],[Aluminio Bruto]]/OleoKGAluminio</f>
        <v>35.536264122817713</v>
      </c>
      <c r="U142" s="35">
        <f>IFERROR((VLOOKUP(Tabela3[[#This Row],[Moldador]],Tabela1[],5,)+(VLOOKUP(Tabela3[[#This Row],[Ajudante]],Tabela1[],5,))*3.5),0)</f>
        <v>99.95034583333333</v>
      </c>
      <c r="V142" s="35">
        <f>IFERROR(Tabela3[[#This Row],[Custo M.O. / H]]/((Tabela3[[#This Row],[Realizado]]/Tabela3[[#This Row],[Qdt Peça Placa]])/Tabela3[[#This Row],[Tempo]]/24),)</f>
        <v>11.38323383101852</v>
      </c>
      <c r="W142" s="35">
        <f>Tabela3[[#This Row],[Custo / Cx Moldada]]*Tabela3[[#This Row],[Qtde Cx Produzida]]</f>
        <v>489.47905473379637</v>
      </c>
      <c r="X142" s="35">
        <f ca="1">Tabela3[[#This Row],[Aluminio Util]]*Tabela3[[#This Row],[Custo/Kg]]</f>
        <v>689.27040000000011</v>
      </c>
      <c r="Y142" s="35">
        <f>IFERROR(VLOOKUP(Tabela3[[#This Row],[Data]],Tabela461213[],2,1)*(Tabela3[[#This Row],[Qtde Cx Produzida]]*Tabela3[[#This Row],[Qde macho / CX]]*Tabela3[[#This Row],[Peso Macho]]),)</f>
        <v>0</v>
      </c>
      <c r="Z142" s="35">
        <f>IFERROR(Tabela3[[#This Row],[Qtde Oleo]]*(VLOOKUP(Tabela3[[#This Row],[Data]],CompraOleo[],3,TRUE))*1.05,0)</f>
        <v>93.282693322396511</v>
      </c>
      <c r="AA142" s="47">
        <f ca="1">(Tabela3[[#This Row],[Custo Oleo]]+Tabela3[[#This Row],[Custo Aluminio]]+Tabela3[[#This Row],[Custo M.O. Total]]+Tabela3[[#This Row],[Custo Machos]])</f>
        <v>1272.0321480561929</v>
      </c>
      <c r="AB142" s="47">
        <f ca="1">Tabela3[[#This Row],[Custo Total]]*Tabela3[[#This Row],[% Perda]]</f>
        <v>29.582142978050996</v>
      </c>
      <c r="AC142" s="48">
        <f>IFERROR(VLOOKUP(Tabela3[[#This Row],[Produto]],Tabela2[],2,0),0)</f>
        <v>2</v>
      </c>
      <c r="AD142" s="48">
        <f>IFERROR(VLOOKUP(Tabela3[[#This Row],[Produto]],Tabela2[],3,0),0)</f>
        <v>0.52600000000000002</v>
      </c>
      <c r="AE142" s="48">
        <f>IFERROR(VLOOKUP(Tabela3[[#This Row],[Produto]],Tabela2[],4,0),0)</f>
        <v>1.8620000000000001</v>
      </c>
      <c r="AF142" s="48">
        <f>IFERROR(VLOOKUP(Tabela3[[#This Row],[Produto]],Tabela2[],5,0),0)</f>
        <v>0.72900000000000009</v>
      </c>
      <c r="AG142" s="40">
        <f>IFERROR(VLOOKUP(Tabela3[[#This Row],[Produto]],Tabela2[],6,0),0)</f>
        <v>0</v>
      </c>
      <c r="AH142" s="40">
        <f>IFERROR(VLOOKUP(Tabela3[[#This Row],[Produto]],Tabela2[],7,0),0)</f>
        <v>0</v>
      </c>
      <c r="AI142" s="40">
        <f>IFERROR(VLOOKUP(Tabela3[[#This Row],[Produto]],Tabela2[],8,0),0)</f>
        <v>0</v>
      </c>
      <c r="AJ142" s="35">
        <f ca="1">IFERROR(VLOOKUP(Tabela3[[#This Row],[Produto]],Tabela2[],13,0),0)</f>
        <v>15.600000000000001</v>
      </c>
      <c r="AK142" s="40" t="str">
        <f>IFERROR(VLOOKUP(Tabela3[[#This Row],[Produto]],Tabela2[],14,0),0)</f>
        <v>Senun</v>
      </c>
      <c r="AL142" s="40">
        <f>IFERROR(VLOOKUP(Tabela3[[#This Row],[Produto]],Tabela2[],15,0),0)</f>
        <v>0</v>
      </c>
      <c r="AM142" s="36">
        <f ca="1">(Tabela3[[#This Row],[Custo Usinagem]]+Tabela3[[#This Row],[Custo / Pç]])*1.2</f>
        <v>18.171887829374185</v>
      </c>
      <c r="AN142" s="36">
        <f ca="1">Tabela3[[#This Row],[Valor Mínimo Venda]]*1.15</f>
        <v>20.89767100378031</v>
      </c>
      <c r="AO142" s="36">
        <f ca="1">Tabela3[[#This Row],[Tabela 1]]*1.08</f>
        <v>22.569484684082738</v>
      </c>
      <c r="AP142" s="36">
        <f ca="1">Tabela3[[#This Row],[Tabela 2]]*1.15</f>
        <v>25.954907386695147</v>
      </c>
    </row>
    <row r="143" spans="1:42">
      <c r="A143" s="9">
        <v>45743</v>
      </c>
      <c r="B143" s="6" t="s">
        <v>145</v>
      </c>
      <c r="C143" s="14">
        <v>6078</v>
      </c>
      <c r="D143" s="6" t="s">
        <v>46</v>
      </c>
      <c r="E143" s="6" t="s">
        <v>53</v>
      </c>
      <c r="F143" s="6">
        <v>18</v>
      </c>
      <c r="G143" s="15">
        <v>9.5138888888888884E-2</v>
      </c>
      <c r="H143" s="16">
        <v>0</v>
      </c>
      <c r="I143" s="35">
        <f ca="1">IFERROR(Tabela3[[#This Row],[Custo Total]]/Tabela3[[#This Row],[Aluminio Util]],0)</f>
        <v>23.914347471208643</v>
      </c>
      <c r="J143" s="35">
        <f ca="1">Tabela3[[#This Row],[Custo Total]]/Tabela3[[#This Row],[Realizado]]</f>
        <v>24.249148335805565</v>
      </c>
      <c r="K143" s="37">
        <f>IFERROR(Tabela3[[#This Row],[Qtde Cx Produzida]]/Tabela3[[#This Row],[Tempo]]/24,0)</f>
        <v>7.8832116788321178</v>
      </c>
      <c r="L143" s="37">
        <f>Tabela3[[#This Row],[Qtde Cx Produzida]]*Tabela3[[#This Row],[Qdt Peça Placa]]</f>
        <v>36</v>
      </c>
      <c r="M143" s="37">
        <f>Tabela3[[#This Row],[Previsto]]-Tabela3[[#This Row],[Perda Pçs]]</f>
        <v>36</v>
      </c>
      <c r="N143" s="38">
        <f>IFERROR(Tabela3[[#This Row],[Perda Pçs]]/Tabela3[[#This Row],[Previsto]],0)</f>
        <v>0</v>
      </c>
      <c r="O143" s="39">
        <f>IFERROR(IF(Tabela3[[#This Row],[Qtde Cx Produzida]] &lt;&gt; 0, Tabela3[[#This Row],[Tempo]] / Tabela3[[#This Row],[Qtde Cx Produzida]], 0),0)</f>
        <v>5.2854938271604934E-3</v>
      </c>
      <c r="P143" s="57">
        <f>IFERROR(Tabela3[[#This Row],[Perda Pçs]]/Tabela3[[#This Row],[Qdt Peça Placa]],0)</f>
        <v>0</v>
      </c>
      <c r="Q143" s="37">
        <f>IFERROR(Tabela3[[#This Row],[Realizado]]*Tabela3[[#This Row],[Peso Util/Pç]],0)</f>
        <v>36.503999999999998</v>
      </c>
      <c r="R143" s="37">
        <f>IFERROR(Tabela3[[#This Row],[Peso Total Galho]]*Tabela3[[#This Row],[Qtde Cx Produzida]]*1.055,0)</f>
        <v>68.174099999999996</v>
      </c>
      <c r="S143" s="37">
        <f>(Tabela3[[#This Row],[Aluminio Bruto]]-Tabela3[[#This Row],[Aluminio Util]])*0.9</f>
        <v>28.50309</v>
      </c>
      <c r="T143" s="37">
        <f>Tabela3[[#This Row],[Aluminio Bruto]]/OleoKGAluminio</f>
        <v>28.680755721735576</v>
      </c>
      <c r="U143" s="35">
        <f>IFERROR((VLOOKUP(Tabela3[[#This Row],[Moldador]],Tabela1[],5,)+(VLOOKUP(Tabela3[[#This Row],[Ajudante]],Tabela1[],5,))*3.5),0)</f>
        <v>99.95034583333333</v>
      </c>
      <c r="V143" s="35">
        <f>IFERROR(Tabela3[[#This Row],[Custo M.O. / H]]/((Tabela3[[#This Row],[Realizado]]/Tabela3[[#This Row],[Qdt Peça Placa]])/Tabela3[[#This Row],[Tempo]]/24),)</f>
        <v>12.678886462191356</v>
      </c>
      <c r="W143" s="35">
        <f>Tabela3[[#This Row],[Custo / Cx Moldada]]*Tabela3[[#This Row],[Qtde Cx Produzida]]</f>
        <v>228.21995631944441</v>
      </c>
      <c r="X143" s="35">
        <f ca="1">Tabela3[[#This Row],[Aluminio Util]]*Tabela3[[#This Row],[Custo/Kg]]</f>
        <v>569.4624</v>
      </c>
      <c r="Y143" s="35">
        <f>IFERROR(VLOOKUP(Tabela3[[#This Row],[Data]],Tabela461213[],2,1)*(Tabela3[[#This Row],[Qtde Cx Produzida]]*Tabela3[[#This Row],[Qde macho / CX]]*Tabela3[[#This Row],[Peso Macho]]),)</f>
        <v>0</v>
      </c>
      <c r="Z143" s="35">
        <f>IFERROR(Tabela3[[#This Row],[Qtde Oleo]]*(VLOOKUP(Tabela3[[#This Row],[Data]],CompraOleo[],3,TRUE))*1.05,0)</f>
        <v>75.286983769555889</v>
      </c>
      <c r="AA143" s="47">
        <f ca="1">(Tabela3[[#This Row],[Custo Oleo]]+Tabela3[[#This Row],[Custo Aluminio]]+Tabela3[[#This Row],[Custo M.O. Total]]+Tabela3[[#This Row],[Custo Machos]])</f>
        <v>872.9693400890003</v>
      </c>
      <c r="AB143" s="47">
        <f ca="1">Tabela3[[#This Row],[Custo Total]]*Tabela3[[#This Row],[% Perda]]</f>
        <v>0</v>
      </c>
      <c r="AC143" s="48">
        <f>IFERROR(VLOOKUP(Tabela3[[#This Row],[Produto]],Tabela2[],2,0),0)</f>
        <v>2</v>
      </c>
      <c r="AD143" s="48">
        <f>IFERROR(VLOOKUP(Tabela3[[#This Row],[Produto]],Tabela2[],3,0),0)</f>
        <v>1.014</v>
      </c>
      <c r="AE143" s="48">
        <f>IFERROR(VLOOKUP(Tabela3[[#This Row],[Produto]],Tabela2[],4,0),0)</f>
        <v>3.59</v>
      </c>
      <c r="AF143" s="48">
        <f>IFERROR(VLOOKUP(Tabela3[[#This Row],[Produto]],Tabela2[],5,0),0)</f>
        <v>1.4057999999999999</v>
      </c>
      <c r="AG143" s="40">
        <f>IFERROR(VLOOKUP(Tabela3[[#This Row],[Produto]],Tabela2[],6,0),0)</f>
        <v>0</v>
      </c>
      <c r="AH143" s="40">
        <f>IFERROR(VLOOKUP(Tabela3[[#This Row],[Produto]],Tabela2[],7,0),0)</f>
        <v>0</v>
      </c>
      <c r="AI143" s="40">
        <f>IFERROR(VLOOKUP(Tabela3[[#This Row],[Produto]],Tabela2[],8,0),0)</f>
        <v>0</v>
      </c>
      <c r="AJ143" s="35">
        <f ca="1">IFERROR(VLOOKUP(Tabela3[[#This Row],[Produto]],Tabela2[],13,0),0)</f>
        <v>15.600000000000001</v>
      </c>
      <c r="AK143" s="40" t="str">
        <f>IFERROR(VLOOKUP(Tabela3[[#This Row],[Produto]],Tabela2[],14,0),0)</f>
        <v>Senun</v>
      </c>
      <c r="AL143" s="40">
        <f>IFERROR(VLOOKUP(Tabela3[[#This Row],[Produto]],Tabela2[],15,0),0)</f>
        <v>6</v>
      </c>
      <c r="AM143" s="36">
        <f ca="1">(Tabela3[[#This Row],[Custo Usinagem]]+Tabela3[[#This Row],[Custo / Pç]])*1.2</f>
        <v>36.298978002966678</v>
      </c>
      <c r="AN143" s="36">
        <f ca="1">Tabela3[[#This Row],[Valor Mínimo Venda]]*1.15</f>
        <v>41.743824703411676</v>
      </c>
      <c r="AO143" s="36">
        <f ca="1">Tabela3[[#This Row],[Tabela 1]]*1.08</f>
        <v>45.083330679684614</v>
      </c>
      <c r="AP143" s="36">
        <f ca="1">Tabela3[[#This Row],[Tabela 2]]*1.15</f>
        <v>51.845830281637305</v>
      </c>
    </row>
    <row r="144" spans="1:42">
      <c r="A144" s="9">
        <v>45743</v>
      </c>
      <c r="B144" s="6" t="s">
        <v>278</v>
      </c>
      <c r="C144" s="14">
        <v>6079</v>
      </c>
      <c r="D144" s="6" t="s">
        <v>46</v>
      </c>
      <c r="E144" s="6" t="s">
        <v>53</v>
      </c>
      <c r="F144" s="6">
        <v>11</v>
      </c>
      <c r="G144" s="15">
        <v>5.0694444444444445E-2</v>
      </c>
      <c r="H144" s="16">
        <v>0</v>
      </c>
      <c r="I144" s="35">
        <f ca="1">IFERROR(Tabela3[[#This Row],[Custo Total]]/Tabela3[[#This Row],[Aluminio Util]],0)</f>
        <v>30.824692692448075</v>
      </c>
      <c r="J144" s="35">
        <f ca="1">Tabela3[[#This Row],[Custo Total]]/Tabela3[[#This Row],[Realizado]]</f>
        <v>4.3154569769427304</v>
      </c>
      <c r="K144" s="37">
        <f>IFERROR(Tabela3[[#This Row],[Qtde Cx Produzida]]/Tabela3[[#This Row],[Tempo]]/24,0)</f>
        <v>9.0410958904109595</v>
      </c>
      <c r="L144" s="37">
        <f>Tabela3[[#This Row],[Qtde Cx Produzida]]*Tabela3[[#This Row],[Qdt Peça Placa]]</f>
        <v>66</v>
      </c>
      <c r="M144" s="37">
        <f>Tabela3[[#This Row],[Previsto]]-Tabela3[[#This Row],[Perda Pçs]]</f>
        <v>66</v>
      </c>
      <c r="N144" s="38">
        <f>IFERROR(Tabela3[[#This Row],[Perda Pçs]]/Tabela3[[#This Row],[Previsto]],0)</f>
        <v>0</v>
      </c>
      <c r="O144" s="39">
        <f>IFERROR(IF(Tabela3[[#This Row],[Qtde Cx Produzida]] &lt;&gt; 0, Tabela3[[#This Row],[Tempo]] / Tabela3[[#This Row],[Qtde Cx Produzida]], 0),0)</f>
        <v>4.6085858585858588E-3</v>
      </c>
      <c r="P144" s="57">
        <f>IFERROR(Tabela3[[#This Row],[Perda Pçs]]/Tabela3[[#This Row],[Qdt Peça Placa]],0)</f>
        <v>0</v>
      </c>
      <c r="Q144" s="37">
        <f>IFERROR(Tabela3[[#This Row],[Realizado]]*Tabela3[[#This Row],[Peso Util/Pç]],0)</f>
        <v>9.24</v>
      </c>
      <c r="R144" s="37">
        <f>IFERROR(Tabela3[[#This Row],[Peso Total Galho]]*Tabela3[[#This Row],[Qtde Cx Produzida]]*1.055,0)</f>
        <v>17.268239999999999</v>
      </c>
      <c r="S144" s="37">
        <f>(Tabela3[[#This Row],[Aluminio Bruto]]-Tabela3[[#This Row],[Aluminio Util]])*0.9</f>
        <v>7.2254159999999992</v>
      </c>
      <c r="T144" s="37">
        <f>Tabela3[[#This Row],[Aluminio Bruto]]/OleoKGAluminio</f>
        <v>7.26472624038019</v>
      </c>
      <c r="U144" s="35">
        <f>IFERROR((VLOOKUP(Tabela3[[#This Row],[Moldador]],Tabela1[],5,)+(VLOOKUP(Tabela3[[#This Row],[Ajudante]],Tabela1[],5,))*3.5),0)</f>
        <v>99.95034583333333</v>
      </c>
      <c r="V144" s="35">
        <f>IFERROR(Tabela3[[#This Row],[Custo M.O. / H]]/((Tabela3[[#This Row],[Realizado]]/Tabela3[[#This Row],[Qdt Peça Placa]])/Tabela3[[#This Row],[Tempo]]/24),)</f>
        <v>11.055114008838382</v>
      </c>
      <c r="W144" s="35">
        <f>Tabela3[[#This Row],[Custo / Cx Moldada]]*Tabela3[[#This Row],[Qtde Cx Produzida]]</f>
        <v>121.60625409722221</v>
      </c>
      <c r="X144" s="35">
        <f ca="1">Tabela3[[#This Row],[Aluminio Util]]*Tabela3[[#This Row],[Custo/Kg]]</f>
        <v>144.14400000000001</v>
      </c>
      <c r="Y144" s="35">
        <f>IFERROR(VLOOKUP(Tabela3[[#This Row],[Data]],Tabela461213[],2,1)*(Tabela3[[#This Row],[Qtde Cx Produzida]]*Tabela3[[#This Row],[Qde macho / CX]]*Tabela3[[#This Row],[Peso Macho]]),)</f>
        <v>0</v>
      </c>
      <c r="Z144" s="35">
        <f>IFERROR(Tabela3[[#This Row],[Qtde Oleo]]*(VLOOKUP(Tabela3[[#This Row],[Data]],CompraOleo[],3,TRUE))*1.05,0)</f>
        <v>19.069906380997999</v>
      </c>
      <c r="AA144" s="47">
        <f ca="1">(Tabela3[[#This Row],[Custo Oleo]]+Tabela3[[#This Row],[Custo Aluminio]]+Tabela3[[#This Row],[Custo M.O. Total]]+Tabela3[[#This Row],[Custo Machos]])</f>
        <v>284.8201604782202</v>
      </c>
      <c r="AB144" s="47">
        <f ca="1">Tabela3[[#This Row],[Custo Total]]*Tabela3[[#This Row],[% Perda]]</f>
        <v>0</v>
      </c>
      <c r="AC144" s="48">
        <f>IFERROR(VLOOKUP(Tabela3[[#This Row],[Produto]],Tabela2[],2,0),0)</f>
        <v>6</v>
      </c>
      <c r="AD144" s="48">
        <f>IFERROR(VLOOKUP(Tabela3[[#This Row],[Produto]],Tabela2[],3,0),0)</f>
        <v>0.14000000000000001</v>
      </c>
      <c r="AE144" s="48">
        <f>IFERROR(VLOOKUP(Tabela3[[#This Row],[Produto]],Tabela2[],4,0),0)</f>
        <v>1.488</v>
      </c>
      <c r="AF144" s="48">
        <f>IFERROR(VLOOKUP(Tabela3[[#This Row],[Produto]],Tabela2[],5,0),0)</f>
        <v>0.58319999999999994</v>
      </c>
      <c r="AG144" s="40">
        <f>IFERROR(VLOOKUP(Tabela3[[#This Row],[Produto]],Tabela2[],6,0),0)</f>
        <v>0</v>
      </c>
      <c r="AH144" s="40">
        <f>IFERROR(VLOOKUP(Tabela3[[#This Row],[Produto]],Tabela2[],7,0),0)</f>
        <v>0</v>
      </c>
      <c r="AI144" s="40">
        <f>IFERROR(VLOOKUP(Tabela3[[#This Row],[Produto]],Tabela2[],8,0),0)</f>
        <v>0</v>
      </c>
      <c r="AJ144" s="35">
        <f ca="1">IFERROR(VLOOKUP(Tabela3[[#This Row],[Produto]],Tabela2[],13,0),0)</f>
        <v>15.600000000000001</v>
      </c>
      <c r="AK144" s="40" t="str">
        <f>IFERROR(VLOOKUP(Tabela3[[#This Row],[Produto]],Tabela2[],14,0),0)</f>
        <v>Senun</v>
      </c>
      <c r="AL144" s="40">
        <f>IFERROR(VLOOKUP(Tabela3[[#This Row],[Produto]],Tabela2[],15,0),0)</f>
        <v>0</v>
      </c>
      <c r="AM144" s="36">
        <f ca="1">(Tabela3[[#This Row],[Custo Usinagem]]+Tabela3[[#This Row],[Custo / Pç]])*1.2</f>
        <v>5.1785483723312762</v>
      </c>
      <c r="AN144" s="36">
        <f ca="1">Tabela3[[#This Row],[Valor Mínimo Venda]]*1.15</f>
        <v>5.9553306281809668</v>
      </c>
      <c r="AO144" s="36">
        <f ca="1">Tabela3[[#This Row],[Tabela 1]]*1.08</f>
        <v>6.431757078435445</v>
      </c>
      <c r="AP144" s="36">
        <f ca="1">Tabela3[[#This Row],[Tabela 2]]*1.15</f>
        <v>7.3965206402007615</v>
      </c>
    </row>
    <row r="145" spans="1:42">
      <c r="A145" s="9">
        <v>45744</v>
      </c>
      <c r="B145" s="6" t="s">
        <v>278</v>
      </c>
      <c r="C145" s="14">
        <v>6078</v>
      </c>
      <c r="D145" s="6" t="s">
        <v>46</v>
      </c>
      <c r="E145" s="6" t="s">
        <v>53</v>
      </c>
      <c r="F145" s="6">
        <v>9</v>
      </c>
      <c r="G145" s="15">
        <v>3.6805555555555557E-2</v>
      </c>
      <c r="H145" s="16">
        <v>0</v>
      </c>
      <c r="I145" s="35">
        <f ca="1">IFERROR(Tabela3[[#This Row],[Custo Total]]/Tabela3[[#This Row],[Aluminio Util]],0)</f>
        <v>29.342344289436483</v>
      </c>
      <c r="J145" s="35">
        <f ca="1">Tabela3[[#This Row],[Custo Total]]/Tabela3[[#This Row],[Realizado]]</f>
        <v>4.1079282005211075</v>
      </c>
      <c r="K145" s="37">
        <f>IFERROR(Tabela3[[#This Row],[Qtde Cx Produzida]]/Tabela3[[#This Row],[Tempo]]/24,0)</f>
        <v>10.188679245283017</v>
      </c>
      <c r="L145" s="37">
        <f>Tabela3[[#This Row],[Qtde Cx Produzida]]*Tabela3[[#This Row],[Qdt Peça Placa]]</f>
        <v>54</v>
      </c>
      <c r="M145" s="37">
        <f>Tabela3[[#This Row],[Previsto]]-Tabela3[[#This Row],[Perda Pçs]]</f>
        <v>54</v>
      </c>
      <c r="N145" s="38">
        <f>IFERROR(Tabela3[[#This Row],[Perda Pçs]]/Tabela3[[#This Row],[Previsto]],0)</f>
        <v>0</v>
      </c>
      <c r="O145" s="39">
        <f>IFERROR(IF(Tabela3[[#This Row],[Qtde Cx Produzida]] &lt;&gt; 0, Tabela3[[#This Row],[Tempo]] / Tabela3[[#This Row],[Qtde Cx Produzida]], 0),0)</f>
        <v>4.0895061728395063E-3</v>
      </c>
      <c r="P145" s="57">
        <f>IFERROR(Tabela3[[#This Row],[Perda Pçs]]/Tabela3[[#This Row],[Qdt Peça Placa]],0)</f>
        <v>0</v>
      </c>
      <c r="Q145" s="37">
        <f>IFERROR(Tabela3[[#This Row],[Realizado]]*Tabela3[[#This Row],[Peso Util/Pç]],0)</f>
        <v>7.5600000000000005</v>
      </c>
      <c r="R145" s="37">
        <f>IFERROR(Tabela3[[#This Row],[Peso Total Galho]]*Tabela3[[#This Row],[Qtde Cx Produzida]]*1.055,0)</f>
        <v>14.128559999999998</v>
      </c>
      <c r="S145" s="37">
        <f>(Tabela3[[#This Row],[Aluminio Bruto]]-Tabela3[[#This Row],[Aluminio Util]])*0.9</f>
        <v>5.9117039999999985</v>
      </c>
      <c r="T145" s="37">
        <f>Tabela3[[#This Row],[Aluminio Bruto]]/OleoKGAluminio</f>
        <v>5.9438669239474278</v>
      </c>
      <c r="U145" s="35">
        <f>IFERROR((VLOOKUP(Tabela3[[#This Row],[Moldador]],Tabela1[],5,)+(VLOOKUP(Tabela3[[#This Row],[Ajudante]],Tabela1[],5,))*3.5),0)</f>
        <v>99.95034583333333</v>
      </c>
      <c r="V145" s="35">
        <f>IFERROR(Tabela3[[#This Row],[Custo M.O. / H]]/((Tabela3[[#This Row],[Realizado]]/Tabela3[[#This Row],[Qdt Peça Placa]])/Tabela3[[#This Row],[Tempo]]/24),)</f>
        <v>9.8099413503086428</v>
      </c>
      <c r="W145" s="35">
        <f>Tabela3[[#This Row],[Custo / Cx Moldada]]*Tabela3[[#This Row],[Qtde Cx Produzida]]</f>
        <v>88.28947215277779</v>
      </c>
      <c r="X145" s="35">
        <f ca="1">Tabela3[[#This Row],[Aluminio Util]]*Tabela3[[#This Row],[Custo/Kg]]</f>
        <v>117.93600000000002</v>
      </c>
      <c r="Y145" s="35">
        <f>IFERROR(VLOOKUP(Tabela3[[#This Row],[Data]],Tabela461213[],2,1)*(Tabela3[[#This Row],[Qtde Cx Produzida]]*Tabela3[[#This Row],[Qde macho / CX]]*Tabela3[[#This Row],[Peso Macho]]),)</f>
        <v>0</v>
      </c>
      <c r="Z145" s="35">
        <f>IFERROR(Tabela3[[#This Row],[Qtde Oleo]]*(VLOOKUP(Tabela3[[#This Row],[Data]],CompraOleo[],3,TRUE))*1.05,0)</f>
        <v>15.602650675362</v>
      </c>
      <c r="AA145" s="47">
        <f ca="1">(Tabela3[[#This Row],[Custo Oleo]]+Tabela3[[#This Row],[Custo Aluminio]]+Tabela3[[#This Row],[Custo M.O. Total]]+Tabela3[[#This Row],[Custo Machos]])</f>
        <v>221.82812282813981</v>
      </c>
      <c r="AB145" s="47">
        <f ca="1">Tabela3[[#This Row],[Custo Total]]*Tabela3[[#This Row],[% Perda]]</f>
        <v>0</v>
      </c>
      <c r="AC145" s="48">
        <f>IFERROR(VLOOKUP(Tabela3[[#This Row],[Produto]],Tabela2[],2,0),0)</f>
        <v>6</v>
      </c>
      <c r="AD145" s="48">
        <f>IFERROR(VLOOKUP(Tabela3[[#This Row],[Produto]],Tabela2[],3,0),0)</f>
        <v>0.14000000000000001</v>
      </c>
      <c r="AE145" s="48">
        <f>IFERROR(VLOOKUP(Tabela3[[#This Row],[Produto]],Tabela2[],4,0),0)</f>
        <v>1.488</v>
      </c>
      <c r="AF145" s="48">
        <f>IFERROR(VLOOKUP(Tabela3[[#This Row],[Produto]],Tabela2[],5,0),0)</f>
        <v>0.58319999999999994</v>
      </c>
      <c r="AG145" s="40">
        <f>IFERROR(VLOOKUP(Tabela3[[#This Row],[Produto]],Tabela2[],6,0),0)</f>
        <v>0</v>
      </c>
      <c r="AH145" s="40">
        <f>IFERROR(VLOOKUP(Tabela3[[#This Row],[Produto]],Tabela2[],7,0),0)</f>
        <v>0</v>
      </c>
      <c r="AI145" s="40">
        <f>IFERROR(VLOOKUP(Tabela3[[#This Row],[Produto]],Tabela2[],8,0),0)</f>
        <v>0</v>
      </c>
      <c r="AJ145" s="35">
        <f ca="1">IFERROR(VLOOKUP(Tabela3[[#This Row],[Produto]],Tabela2[],13,0),0)</f>
        <v>15.600000000000001</v>
      </c>
      <c r="AK145" s="40" t="str">
        <f>IFERROR(VLOOKUP(Tabela3[[#This Row],[Produto]],Tabela2[],14,0),0)</f>
        <v>Senun</v>
      </c>
      <c r="AL145" s="40">
        <f>IFERROR(VLOOKUP(Tabela3[[#This Row],[Produto]],Tabela2[],15,0),0)</f>
        <v>0</v>
      </c>
      <c r="AM145" s="36">
        <f ca="1">(Tabela3[[#This Row],[Custo Usinagem]]+Tabela3[[#This Row],[Custo / Pç]])*1.2</f>
        <v>4.9295138406253285</v>
      </c>
      <c r="AN145" s="36">
        <f ca="1">Tabela3[[#This Row],[Valor Mínimo Venda]]*1.15</f>
        <v>5.6689409167191274</v>
      </c>
      <c r="AO145" s="36">
        <f ca="1">Tabela3[[#This Row],[Tabela 1]]*1.08</f>
        <v>6.1224561900566581</v>
      </c>
      <c r="AP145" s="36">
        <f ca="1">Tabela3[[#This Row],[Tabela 2]]*1.15</f>
        <v>7.0408246185651562</v>
      </c>
    </row>
    <row r="146" spans="1:42">
      <c r="A146" s="9">
        <v>45744</v>
      </c>
      <c r="B146" s="6" t="s">
        <v>226</v>
      </c>
      <c r="C146" s="14">
        <v>6077</v>
      </c>
      <c r="D146" s="6" t="s">
        <v>46</v>
      </c>
      <c r="E146" s="6" t="s">
        <v>53</v>
      </c>
      <c r="F146" s="6">
        <v>25</v>
      </c>
      <c r="G146" s="15">
        <v>0.1</v>
      </c>
      <c r="H146" s="16">
        <v>0</v>
      </c>
      <c r="I146" s="35">
        <f ca="1">IFERROR(Tabela3[[#This Row],[Custo Total]]/Tabela3[[#This Row],[Aluminio Util]],0)</f>
        <v>28.091273043761475</v>
      </c>
      <c r="J146" s="35">
        <f ca="1">Tabela3[[#This Row],[Custo Total]]/Tabela3[[#This Row],[Realizado]]</f>
        <v>6.4609928000651395</v>
      </c>
      <c r="K146" s="37">
        <f>IFERROR(Tabela3[[#This Row],[Qtde Cx Produzida]]/Tabela3[[#This Row],[Tempo]]/24,0)</f>
        <v>10.416666666666666</v>
      </c>
      <c r="L146" s="37">
        <f>Tabela3[[#This Row],[Qtde Cx Produzida]]*Tabela3[[#This Row],[Qdt Peça Placa]]</f>
        <v>100</v>
      </c>
      <c r="M146" s="37">
        <f>Tabela3[[#This Row],[Previsto]]-Tabela3[[#This Row],[Perda Pçs]]</f>
        <v>100</v>
      </c>
      <c r="N146" s="38">
        <f>IFERROR(Tabela3[[#This Row],[Perda Pçs]]/Tabela3[[#This Row],[Previsto]],0)</f>
        <v>0</v>
      </c>
      <c r="O146" s="39">
        <f>IFERROR(IF(Tabela3[[#This Row],[Qtde Cx Produzida]] &lt;&gt; 0, Tabela3[[#This Row],[Tempo]] / Tabela3[[#This Row],[Qtde Cx Produzida]], 0),0)</f>
        <v>4.0000000000000001E-3</v>
      </c>
      <c r="P146" s="57">
        <f>IFERROR(Tabela3[[#This Row],[Perda Pçs]]/Tabela3[[#This Row],[Qdt Peça Placa]],0)</f>
        <v>0</v>
      </c>
      <c r="Q146" s="37">
        <f>IFERROR(Tabela3[[#This Row],[Realizado]]*Tabela3[[#This Row],[Peso Util/Pç]],0)</f>
        <v>23</v>
      </c>
      <c r="R146" s="37">
        <f>IFERROR(Tabela3[[#This Row],[Peso Total Galho]]*Tabela3[[#This Row],[Qtde Cx Produzida]]*1.055,0)</f>
        <v>42.938499999999991</v>
      </c>
      <c r="S146" s="37">
        <f>(Tabela3[[#This Row],[Aluminio Bruto]]-Tabela3[[#This Row],[Aluminio Util]])*0.9</f>
        <v>17.944649999999992</v>
      </c>
      <c r="T146" s="37">
        <f>Tabela3[[#This Row],[Aluminio Bruto]]/OleoKGAluminio</f>
        <v>18.064171431052891</v>
      </c>
      <c r="U146" s="35">
        <f>IFERROR((VLOOKUP(Tabela3[[#This Row],[Moldador]],Tabela1[],5,)+(VLOOKUP(Tabela3[[#This Row],[Ajudante]],Tabela1[],5,))*3.5),0)</f>
        <v>99.95034583333333</v>
      </c>
      <c r="V146" s="35">
        <f>IFERROR(Tabela3[[#This Row],[Custo M.O. / H]]/((Tabela3[[#This Row],[Realizado]]/Tabela3[[#This Row],[Qdt Peça Placa]])/Tabela3[[#This Row],[Tempo]]/24),)</f>
        <v>9.5952332000000009</v>
      </c>
      <c r="W146" s="35">
        <f>Tabela3[[#This Row],[Custo / Cx Moldada]]*Tabela3[[#This Row],[Qtde Cx Produzida]]</f>
        <v>239.88083000000003</v>
      </c>
      <c r="X146" s="35">
        <f ca="1">Tabela3[[#This Row],[Aluminio Util]]*Tabela3[[#This Row],[Custo/Kg]]</f>
        <v>358.8</v>
      </c>
      <c r="Y146" s="35">
        <f>IFERROR(VLOOKUP(Tabela3[[#This Row],[Data]],Tabela461213[],2,1)*(Tabela3[[#This Row],[Qtde Cx Produzida]]*Tabela3[[#This Row],[Qde macho / CX]]*Tabela3[[#This Row],[Peso Macho]]),)</f>
        <v>0</v>
      </c>
      <c r="Z146" s="35">
        <f>IFERROR(Tabela3[[#This Row],[Qtde Oleo]]*(VLOOKUP(Tabela3[[#This Row],[Data]],CompraOleo[],3,TRUE))*1.05,0)</f>
        <v>47.418450006513844</v>
      </c>
      <c r="AA146" s="47">
        <f ca="1">(Tabela3[[#This Row],[Custo Oleo]]+Tabela3[[#This Row],[Custo Aluminio]]+Tabela3[[#This Row],[Custo M.O. Total]]+Tabela3[[#This Row],[Custo Machos]])</f>
        <v>646.09928000651394</v>
      </c>
      <c r="AB146" s="47">
        <f ca="1">Tabela3[[#This Row],[Custo Total]]*Tabela3[[#This Row],[% Perda]]</f>
        <v>0</v>
      </c>
      <c r="AC146" s="48">
        <f>IFERROR(VLOOKUP(Tabela3[[#This Row],[Produto]],Tabela2[],2,0),0)</f>
        <v>4</v>
      </c>
      <c r="AD146" s="48">
        <f>IFERROR(VLOOKUP(Tabela3[[#This Row],[Produto]],Tabela2[],3,0),0)</f>
        <v>0.23</v>
      </c>
      <c r="AE146" s="48">
        <f>IFERROR(VLOOKUP(Tabela3[[#This Row],[Produto]],Tabela2[],4,0),0)</f>
        <v>1.6279999999999999</v>
      </c>
      <c r="AF146" s="48">
        <f>IFERROR(VLOOKUP(Tabela3[[#This Row],[Produto]],Tabela2[],5,0),0)</f>
        <v>0.63719999999999988</v>
      </c>
      <c r="AG146" s="40">
        <f>IFERROR(VLOOKUP(Tabela3[[#This Row],[Produto]],Tabela2[],6,0),0)</f>
        <v>0</v>
      </c>
      <c r="AH146" s="40">
        <f>IFERROR(VLOOKUP(Tabela3[[#This Row],[Produto]],Tabela2[],7,0),0)</f>
        <v>0</v>
      </c>
      <c r="AI146" s="40">
        <f>IFERROR(VLOOKUP(Tabela3[[#This Row],[Produto]],Tabela2[],8,0),0)</f>
        <v>0</v>
      </c>
      <c r="AJ146" s="35">
        <f ca="1">IFERROR(VLOOKUP(Tabela3[[#This Row],[Produto]],Tabela2[],13,0),0)</f>
        <v>15.600000000000001</v>
      </c>
      <c r="AK146" s="40" t="str">
        <f>IFERROR(VLOOKUP(Tabela3[[#This Row],[Produto]],Tabela2[],14,0),0)</f>
        <v>Senun</v>
      </c>
      <c r="AL146" s="40">
        <f>IFERROR(VLOOKUP(Tabela3[[#This Row],[Produto]],Tabela2[],15,0),0)</f>
        <v>4</v>
      </c>
      <c r="AM146" s="36">
        <f ca="1">(Tabela3[[#This Row],[Custo Usinagem]]+Tabela3[[#This Row],[Custo / Pç]])*1.2</f>
        <v>12.553191360078166</v>
      </c>
      <c r="AN146" s="36">
        <f ca="1">Tabela3[[#This Row],[Valor Mínimo Venda]]*1.15</f>
        <v>14.43617006408989</v>
      </c>
      <c r="AO146" s="36">
        <f ca="1">Tabela3[[#This Row],[Tabela 1]]*1.08</f>
        <v>15.591063669217082</v>
      </c>
      <c r="AP146" s="36">
        <f ca="1">Tabela3[[#This Row],[Tabela 2]]*1.15</f>
        <v>17.929723219599644</v>
      </c>
    </row>
    <row r="147" spans="1:42">
      <c r="A147" s="9">
        <v>45744</v>
      </c>
      <c r="B147" s="6" t="s">
        <v>240</v>
      </c>
      <c r="C147" s="14">
        <v>6095</v>
      </c>
      <c r="D147" s="6" t="s">
        <v>46</v>
      </c>
      <c r="E147" s="6" t="s">
        <v>53</v>
      </c>
      <c r="F147" s="6">
        <v>30</v>
      </c>
      <c r="G147" s="15">
        <v>0.16875000000000001</v>
      </c>
      <c r="H147" s="16">
        <v>27</v>
      </c>
      <c r="I147" s="35">
        <f ca="1">IFERROR(Tabela3[[#This Row],[Custo Total]]/Tabela3[[#This Row],[Aluminio Util]],0)</f>
        <v>33.888155226233295</v>
      </c>
      <c r="J147" s="35">
        <f ca="1">Tabela3[[#This Row],[Custo Total]]/Tabela3[[#This Row],[Realizado]]</f>
        <v>12.098071415765286</v>
      </c>
      <c r="K147" s="37">
        <f>IFERROR(Tabela3[[#This Row],[Qtde Cx Produzida]]/Tabela3[[#This Row],[Tempo]]/24,0)</f>
        <v>7.4074074074074074</v>
      </c>
      <c r="L147" s="37">
        <f>Tabela3[[#This Row],[Qtde Cx Produzida]]*Tabela3[[#This Row],[Qdt Peça Placa]]</f>
        <v>120</v>
      </c>
      <c r="M147" s="37">
        <f>Tabela3[[#This Row],[Previsto]]-Tabela3[[#This Row],[Perda Pçs]]</f>
        <v>93</v>
      </c>
      <c r="N147" s="38">
        <f>IFERROR(Tabela3[[#This Row],[Perda Pçs]]/Tabela3[[#This Row],[Previsto]],0)</f>
        <v>0.22500000000000001</v>
      </c>
      <c r="O147" s="39">
        <f>IFERROR(IF(Tabela3[[#This Row],[Qtde Cx Produzida]] &lt;&gt; 0, Tabela3[[#This Row],[Tempo]] / Tabela3[[#This Row],[Qtde Cx Produzida]], 0),0)</f>
        <v>5.6250000000000007E-3</v>
      </c>
      <c r="P147" s="57">
        <f>IFERROR(Tabela3[[#This Row],[Perda Pçs]]/Tabela3[[#This Row],[Qdt Peça Placa]],0)</f>
        <v>6.75</v>
      </c>
      <c r="Q147" s="37">
        <f>IFERROR(Tabela3[[#This Row],[Realizado]]*Tabela3[[#This Row],[Peso Util/Pç]],0)</f>
        <v>33.201000000000001</v>
      </c>
      <c r="R147" s="37">
        <f>IFERROR(Tabela3[[#This Row],[Peso Total Galho]]*Tabela3[[#This Row],[Qtde Cx Produzida]]*1.055,0)</f>
        <v>76.846199999999996</v>
      </c>
      <c r="S147" s="37">
        <f>(Tabela3[[#This Row],[Aluminio Bruto]]-Tabela3[[#This Row],[Aluminio Util]])*0.9</f>
        <v>39.280679999999997</v>
      </c>
      <c r="T147" s="37">
        <f>Tabela3[[#This Row],[Aluminio Bruto]]/OleoKGAluminio</f>
        <v>32.329096978818001</v>
      </c>
      <c r="U147" s="35">
        <f>IFERROR((VLOOKUP(Tabela3[[#This Row],[Moldador]],Tabela1[],5,)+(VLOOKUP(Tabela3[[#This Row],[Ajudante]],Tabela1[],5,))*3.5),0)</f>
        <v>99.95034583333333</v>
      </c>
      <c r="V147" s="35">
        <f>IFERROR(Tabela3[[#This Row],[Custo M.O. / H]]/((Tabela3[[#This Row],[Realizado]]/Tabela3[[#This Row],[Qdt Peça Placa]])/Tabela3[[#This Row],[Tempo]]/24),)</f>
        <v>17.410705403225808</v>
      </c>
      <c r="W147" s="35">
        <f>Tabela3[[#This Row],[Custo / Cx Moldada]]*Tabela3[[#This Row],[Qtde Cx Produzida]]</f>
        <v>522.32116209677429</v>
      </c>
      <c r="X147" s="35">
        <f ca="1">Tabela3[[#This Row],[Aluminio Util]]*Tabela3[[#This Row],[Custo/Kg]]</f>
        <v>517.93560000000002</v>
      </c>
      <c r="Y147" s="35">
        <f>IFERROR(VLOOKUP(Tabela3[[#This Row],[Data]],Tabela461213[],2,1)*(Tabela3[[#This Row],[Qtde Cx Produzida]]*Tabela3[[#This Row],[Qde macho / CX]]*Tabela3[[#This Row],[Peso Macho]]),)</f>
        <v>0</v>
      </c>
      <c r="Z147" s="35">
        <f>IFERROR(Tabela3[[#This Row],[Qtde Oleo]]*(VLOOKUP(Tabela3[[#This Row],[Data]],CompraOleo[],3,TRUE))*1.05,0)</f>
        <v>84.863879569397255</v>
      </c>
      <c r="AA147" s="47">
        <f ca="1">(Tabela3[[#This Row],[Custo Oleo]]+Tabela3[[#This Row],[Custo Aluminio]]+Tabela3[[#This Row],[Custo M.O. Total]]+Tabela3[[#This Row],[Custo Machos]])</f>
        <v>1125.1206416661717</v>
      </c>
      <c r="AB147" s="47">
        <f ca="1">Tabela3[[#This Row],[Custo Total]]*Tabela3[[#This Row],[% Perda]]</f>
        <v>253.15214437488862</v>
      </c>
      <c r="AC147" s="48">
        <f>IFERROR(VLOOKUP(Tabela3[[#This Row],[Produto]],Tabela2[],2,0),0)</f>
        <v>4</v>
      </c>
      <c r="AD147" s="48">
        <f>IFERROR(VLOOKUP(Tabela3[[#This Row],[Produto]],Tabela2[],3,0),0)</f>
        <v>0.35699999999999998</v>
      </c>
      <c r="AE147" s="48">
        <f>IFERROR(VLOOKUP(Tabela3[[#This Row],[Produto]],Tabela2[],4,0),0)</f>
        <v>2.4279999999999999</v>
      </c>
      <c r="AF147" s="48">
        <f>IFERROR(VLOOKUP(Tabela3[[#This Row],[Produto]],Tabela2[],5,0),0)</f>
        <v>0.9</v>
      </c>
      <c r="AG147" s="40">
        <f>IFERROR(VLOOKUP(Tabela3[[#This Row],[Produto]],Tabela2[],6,0),0)</f>
        <v>0</v>
      </c>
      <c r="AH147" s="40">
        <f>IFERROR(VLOOKUP(Tabela3[[#This Row],[Produto]],Tabela2[],7,0),0)</f>
        <v>0</v>
      </c>
      <c r="AI147" s="40">
        <f>IFERROR(VLOOKUP(Tabela3[[#This Row],[Produto]],Tabela2[],8,0),0)</f>
        <v>0</v>
      </c>
      <c r="AJ147" s="35">
        <f ca="1">IFERROR(VLOOKUP(Tabela3[[#This Row],[Produto]],Tabela2[],13,0),0)</f>
        <v>15.600000000000001</v>
      </c>
      <c r="AK147" s="40" t="str">
        <f>IFERROR(VLOOKUP(Tabela3[[#This Row],[Produto]],Tabela2[],14,0),0)</f>
        <v>Senun</v>
      </c>
      <c r="AL147" s="40">
        <f>IFERROR(VLOOKUP(Tabela3[[#This Row],[Produto]],Tabela2[],15,0),0)</f>
        <v>4</v>
      </c>
      <c r="AM147" s="36">
        <f ca="1">(Tabela3[[#This Row],[Custo Usinagem]]+Tabela3[[#This Row],[Custo / Pç]])*1.2</f>
        <v>19.317685698918343</v>
      </c>
      <c r="AN147" s="36">
        <f ca="1">Tabela3[[#This Row],[Valor Mínimo Venda]]*1.15</f>
        <v>22.215338553756091</v>
      </c>
      <c r="AO147" s="36">
        <f ca="1">Tabela3[[#This Row],[Tabela 1]]*1.08</f>
        <v>23.992565638056579</v>
      </c>
      <c r="AP147" s="36">
        <f ca="1">Tabela3[[#This Row],[Tabela 2]]*1.15</f>
        <v>27.591450483765065</v>
      </c>
    </row>
    <row r="148" spans="1:42">
      <c r="A148" s="9">
        <v>45744</v>
      </c>
      <c r="B148" s="6" t="s">
        <v>191</v>
      </c>
      <c r="C148" s="14">
        <v>6111</v>
      </c>
      <c r="D148" s="6" t="s">
        <v>44</v>
      </c>
      <c r="E148" s="6" t="s">
        <v>47</v>
      </c>
      <c r="F148" s="6">
        <v>4</v>
      </c>
      <c r="G148" s="15">
        <v>4.027777777777778E-2</v>
      </c>
      <c r="H148" s="16">
        <v>0</v>
      </c>
      <c r="I148" s="35">
        <f ca="1">IFERROR(Tabela3[[#This Row],[Custo Total]]/Tabela3[[#This Row],[Aluminio Util]],0)</f>
        <v>21.38074803870099</v>
      </c>
      <c r="J148" s="35">
        <f ca="1">Tabela3[[#This Row],[Custo Total]]/Tabela3[[#This Row],[Realizado]]</f>
        <v>206.96564101462559</v>
      </c>
      <c r="K148" s="37">
        <f>IFERROR(Tabela3[[#This Row],[Qtde Cx Produzida]]/Tabela3[[#This Row],[Tempo]]/24,0)</f>
        <v>4.1379310344827589</v>
      </c>
      <c r="L148" s="37">
        <f>Tabela3[[#This Row],[Qtde Cx Produzida]]*Tabela3[[#This Row],[Qdt Peça Placa]]</f>
        <v>4</v>
      </c>
      <c r="M148" s="37">
        <f>Tabela3[[#This Row],[Previsto]]-Tabela3[[#This Row],[Perda Pçs]]</f>
        <v>4</v>
      </c>
      <c r="N148" s="38">
        <f>IFERROR(Tabela3[[#This Row],[Perda Pçs]]/Tabela3[[#This Row],[Previsto]],0)</f>
        <v>0</v>
      </c>
      <c r="O148" s="39">
        <f>IFERROR(IF(Tabela3[[#This Row],[Qtde Cx Produzida]] &lt;&gt; 0, Tabela3[[#This Row],[Tempo]] / Tabela3[[#This Row],[Qtde Cx Produzida]], 0),0)</f>
        <v>1.0069444444444445E-2</v>
      </c>
      <c r="P148" s="57">
        <f>IFERROR(Tabela3[[#This Row],[Perda Pçs]]/Tabela3[[#This Row],[Qdt Peça Placa]],0)</f>
        <v>0</v>
      </c>
      <c r="Q148" s="37">
        <f>IFERROR(Tabela3[[#This Row],[Realizado]]*Tabela3[[#This Row],[Peso Util/Pç]],0)</f>
        <v>38.72</v>
      </c>
      <c r="R148" s="37">
        <f>IFERROR(Tabela3[[#This Row],[Peso Total Galho]]*Tabela3[[#This Row],[Qtde Cx Produzida]]*1.055,0)</f>
        <v>45.069599999999994</v>
      </c>
      <c r="S148" s="37">
        <f>(Tabela3[[#This Row],[Aluminio Bruto]]-Tabela3[[#This Row],[Aluminio Util]])*0.9</f>
        <v>5.7146399999999957</v>
      </c>
      <c r="T148" s="37">
        <f>Tabela3[[#This Row],[Aluminio Bruto]]/OleoKGAluminio</f>
        <v>18.960722445567065</v>
      </c>
      <c r="U148" s="35">
        <f>IFERROR((VLOOKUP(Tabela3[[#This Row],[Moldador]],Tabela1[],5,)+(VLOOKUP(Tabela3[[#This Row],[Ajudante]],Tabela1[],5,))*3.5),0)</f>
        <v>99.95034583333333</v>
      </c>
      <c r="V148" s="35">
        <f>IFERROR(Tabela3[[#This Row],[Custo M.O. / H]]/((Tabela3[[#This Row],[Realizado]]/Tabela3[[#This Row],[Qdt Peça Placa]])/Tabela3[[#This Row],[Tempo]]/24),)</f>
        <v>24.15466690972222</v>
      </c>
      <c r="W148" s="35">
        <f>Tabela3[[#This Row],[Custo / Cx Moldada]]*Tabela3[[#This Row],[Qtde Cx Produzida]]</f>
        <v>96.61866763888888</v>
      </c>
      <c r="X148" s="35">
        <f ca="1">Tabela3[[#This Row],[Aluminio Util]]*Tabela3[[#This Row],[Custo/Kg]]</f>
        <v>681.47199999999998</v>
      </c>
      <c r="Y148" s="35">
        <f>IFERROR(VLOOKUP(Tabela3[[#This Row],[Data]],Tabela461213[],2,1)*(Tabela3[[#This Row],[Qtde Cx Produzida]]*Tabela3[[#This Row],[Qde macho / CX]]*Tabela3[[#This Row],[Peso Macho]]),)</f>
        <v>0</v>
      </c>
      <c r="Z148" s="35">
        <f>IFERROR(Tabela3[[#This Row],[Qtde Oleo]]*(VLOOKUP(Tabela3[[#This Row],[Data]],CompraOleo[],3,TRUE))*1.05,0)</f>
        <v>49.77189641961354</v>
      </c>
      <c r="AA148" s="47">
        <f ca="1">(Tabela3[[#This Row],[Custo Oleo]]+Tabela3[[#This Row],[Custo Aluminio]]+Tabela3[[#This Row],[Custo M.O. Total]]+Tabela3[[#This Row],[Custo Machos]])</f>
        <v>827.86256405850236</v>
      </c>
      <c r="AB148" s="47">
        <f ca="1">Tabela3[[#This Row],[Custo Total]]*Tabela3[[#This Row],[% Perda]]</f>
        <v>0</v>
      </c>
      <c r="AC148" s="48">
        <f>IFERROR(VLOOKUP(Tabela3[[#This Row],[Produto]],Tabela2[],2,0),0)</f>
        <v>1</v>
      </c>
      <c r="AD148" s="48">
        <f>IFERROR(VLOOKUP(Tabela3[[#This Row],[Produto]],Tabela2[],3,0),0)</f>
        <v>9.68</v>
      </c>
      <c r="AE148" s="48">
        <f>IFERROR(VLOOKUP(Tabela3[[#This Row],[Produto]],Tabela2[],4,0),0)</f>
        <v>10.68</v>
      </c>
      <c r="AF148" s="48">
        <f>IFERROR(VLOOKUP(Tabela3[[#This Row],[Produto]],Tabela2[],5,0),0)</f>
        <v>0.9</v>
      </c>
      <c r="AG148" s="40">
        <f>IFERROR(VLOOKUP(Tabela3[[#This Row],[Produto]],Tabela2[],6,0),0)</f>
        <v>0</v>
      </c>
      <c r="AH148" s="40">
        <f>IFERROR(VLOOKUP(Tabela3[[#This Row],[Produto]],Tabela2[],7,0),0)</f>
        <v>0</v>
      </c>
      <c r="AI148" s="40">
        <f>IFERROR(VLOOKUP(Tabela3[[#This Row],[Produto]],Tabela2[],8,0),0)</f>
        <v>0</v>
      </c>
      <c r="AJ148" s="35">
        <f ca="1">IFERROR(VLOOKUP(Tabela3[[#This Row],[Produto]],Tabela2[],13,0),0)</f>
        <v>17.600000000000001</v>
      </c>
      <c r="AK148" s="40" t="str">
        <f>IFERROR(VLOOKUP(Tabela3[[#This Row],[Produto]],Tabela2[],14,0),0)</f>
        <v>Oscar</v>
      </c>
      <c r="AL148" s="40">
        <f>IFERROR(VLOOKUP(Tabela3[[#This Row],[Produto]],Tabela2[],15,0),0)</f>
        <v>0</v>
      </c>
      <c r="AM148" s="36">
        <f ca="1">(Tabela3[[#This Row],[Custo Usinagem]]+Tabela3[[#This Row],[Custo / Pç]])*1.2</f>
        <v>248.3587692175507</v>
      </c>
      <c r="AN148" s="36">
        <f ca="1">Tabela3[[#This Row],[Valor Mínimo Venda]]*1.15</f>
        <v>285.61258460018331</v>
      </c>
      <c r="AO148" s="36">
        <f ca="1">Tabela3[[#This Row],[Tabela 1]]*1.08</f>
        <v>308.46159136819801</v>
      </c>
      <c r="AP148" s="36">
        <f ca="1">Tabela3[[#This Row],[Tabela 2]]*1.15</f>
        <v>354.73083007342768</v>
      </c>
    </row>
    <row r="149" spans="1:42">
      <c r="A149" s="9">
        <v>45747</v>
      </c>
      <c r="B149" s="6" t="s">
        <v>240</v>
      </c>
      <c r="C149" s="14">
        <v>6095</v>
      </c>
      <c r="D149" s="6" t="s">
        <v>46</v>
      </c>
      <c r="E149" s="6" t="s">
        <v>53</v>
      </c>
      <c r="F149" s="6">
        <v>26</v>
      </c>
      <c r="G149" s="15">
        <v>0.1111111111111111</v>
      </c>
      <c r="H149" s="16">
        <v>0</v>
      </c>
      <c r="I149" s="35">
        <f ca="1">IFERROR(Tabela3[[#This Row],[Custo Total]]/Tabela3[[#This Row],[Aluminio Util]],0)</f>
        <v>24.759743352250769</v>
      </c>
      <c r="J149" s="35">
        <f ca="1">Tabela3[[#This Row],[Custo Total]]/Tabela3[[#This Row],[Realizado]]</f>
        <v>8.8392283767535247</v>
      </c>
      <c r="K149" s="37">
        <f>IFERROR(Tabela3[[#This Row],[Qtde Cx Produzida]]/Tabela3[[#This Row],[Tempo]]/24,0)</f>
        <v>9.75</v>
      </c>
      <c r="L149" s="37">
        <f>Tabela3[[#This Row],[Qtde Cx Produzida]]*Tabela3[[#This Row],[Qdt Peça Placa]]</f>
        <v>104</v>
      </c>
      <c r="M149" s="37">
        <f>Tabela3[[#This Row],[Previsto]]-Tabela3[[#This Row],[Perda Pçs]]</f>
        <v>104</v>
      </c>
      <c r="N149" s="38">
        <f>IFERROR(Tabela3[[#This Row],[Perda Pçs]]/Tabela3[[#This Row],[Previsto]],0)</f>
        <v>0</v>
      </c>
      <c r="O149" s="39">
        <f>IFERROR(IF(Tabela3[[#This Row],[Qtde Cx Produzida]] &lt;&gt; 0, Tabela3[[#This Row],[Tempo]] / Tabela3[[#This Row],[Qtde Cx Produzida]], 0),0)</f>
        <v>4.2735042735042731E-3</v>
      </c>
      <c r="P149" s="57">
        <f>IFERROR(Tabela3[[#This Row],[Perda Pçs]]/Tabela3[[#This Row],[Qdt Peça Placa]],0)</f>
        <v>0</v>
      </c>
      <c r="Q149" s="37">
        <f>IFERROR(Tabela3[[#This Row],[Realizado]]*Tabela3[[#This Row],[Peso Util/Pç]],0)</f>
        <v>37.128</v>
      </c>
      <c r="R149" s="37">
        <f>IFERROR(Tabela3[[#This Row],[Peso Total Galho]]*Tabela3[[#This Row],[Qtde Cx Produzida]]*1.055,0)</f>
        <v>66.600039999999993</v>
      </c>
      <c r="S149" s="37">
        <f>(Tabela3[[#This Row],[Aluminio Bruto]]-Tabela3[[#This Row],[Aluminio Util]])*0.9</f>
        <v>26.524835999999993</v>
      </c>
      <c r="T149" s="37">
        <f>Tabela3[[#This Row],[Aluminio Bruto]]/OleoKGAluminio</f>
        <v>28.0185507149756</v>
      </c>
      <c r="U149" s="35">
        <f>IFERROR((VLOOKUP(Tabela3[[#This Row],[Moldador]],Tabela1[],5,)+(VLOOKUP(Tabela3[[#This Row],[Ajudante]],Tabela1[],5,))*3.5),0)</f>
        <v>99.95034583333333</v>
      </c>
      <c r="V149" s="35">
        <f>IFERROR(Tabela3[[#This Row],[Custo M.O. / H]]/((Tabela3[[#This Row],[Realizado]]/Tabela3[[#This Row],[Qdt Peça Placa]])/Tabela3[[#This Row],[Tempo]]/24),)</f>
        <v>10.251317521367522</v>
      </c>
      <c r="W149" s="35">
        <f>Tabela3[[#This Row],[Custo / Cx Moldada]]*Tabela3[[#This Row],[Qtde Cx Produzida]]</f>
        <v>266.53425555555555</v>
      </c>
      <c r="X149" s="35">
        <f ca="1">Tabela3[[#This Row],[Aluminio Util]]*Tabela3[[#This Row],[Custo/Kg]]</f>
        <v>579.19680000000005</v>
      </c>
      <c r="Y149" s="35">
        <f>IFERROR(VLOOKUP(Tabela3[[#This Row],[Data]],Tabela461213[],2,1)*(Tabela3[[#This Row],[Qtde Cx Produzida]]*Tabela3[[#This Row],[Qde macho / CX]]*Tabela3[[#This Row],[Peso Macho]]),)</f>
        <v>0</v>
      </c>
      <c r="Z149" s="35">
        <f>IFERROR(Tabela3[[#This Row],[Qtde Oleo]]*(VLOOKUP(Tabela3[[#This Row],[Data]],CompraOleo[],3,TRUE))*1.05,0)</f>
        <v>73.548695626810954</v>
      </c>
      <c r="AA149" s="47">
        <f ca="1">(Tabela3[[#This Row],[Custo Oleo]]+Tabela3[[#This Row],[Custo Aluminio]]+Tabela3[[#This Row],[Custo M.O. Total]]+Tabela3[[#This Row],[Custo Machos]])</f>
        <v>919.27975118236657</v>
      </c>
      <c r="AB149" s="47">
        <f ca="1">Tabela3[[#This Row],[Custo Total]]*Tabela3[[#This Row],[% Perda]]</f>
        <v>0</v>
      </c>
      <c r="AC149" s="48">
        <f>IFERROR(VLOOKUP(Tabela3[[#This Row],[Produto]],Tabela2[],2,0),0)</f>
        <v>4</v>
      </c>
      <c r="AD149" s="48">
        <f>IFERROR(VLOOKUP(Tabela3[[#This Row],[Produto]],Tabela2[],3,0),0)</f>
        <v>0.35699999999999998</v>
      </c>
      <c r="AE149" s="48">
        <f>IFERROR(VLOOKUP(Tabela3[[#This Row],[Produto]],Tabela2[],4,0),0)</f>
        <v>2.4279999999999999</v>
      </c>
      <c r="AF149" s="48">
        <f>IFERROR(VLOOKUP(Tabela3[[#This Row],[Produto]],Tabela2[],5,0),0)</f>
        <v>0.9</v>
      </c>
      <c r="AG149" s="40">
        <f>IFERROR(VLOOKUP(Tabela3[[#This Row],[Produto]],Tabela2[],6,0),0)</f>
        <v>0</v>
      </c>
      <c r="AH149" s="40">
        <f>IFERROR(VLOOKUP(Tabela3[[#This Row],[Produto]],Tabela2[],7,0),0)</f>
        <v>0</v>
      </c>
      <c r="AI149" s="40">
        <f>IFERROR(VLOOKUP(Tabela3[[#This Row],[Produto]],Tabela2[],8,0),0)</f>
        <v>0</v>
      </c>
      <c r="AJ149" s="35">
        <f ca="1">IFERROR(VLOOKUP(Tabela3[[#This Row],[Produto]],Tabela2[],13,0),0)</f>
        <v>15.600000000000001</v>
      </c>
      <c r="AK149" s="40" t="str">
        <f>IFERROR(VLOOKUP(Tabela3[[#This Row],[Produto]],Tabela2[],14,0),0)</f>
        <v>Senun</v>
      </c>
      <c r="AL149" s="40">
        <f>IFERROR(VLOOKUP(Tabela3[[#This Row],[Produto]],Tabela2[],15,0),0)</f>
        <v>4</v>
      </c>
      <c r="AM149" s="36">
        <f ca="1">(Tabela3[[#This Row],[Custo Usinagem]]+Tabela3[[#This Row],[Custo / Pç]])*1.2</f>
        <v>15.407074052104228</v>
      </c>
      <c r="AN149" s="36">
        <f ca="1">Tabela3[[#This Row],[Valor Mínimo Venda]]*1.15</f>
        <v>17.718135159919861</v>
      </c>
      <c r="AO149" s="36">
        <f ca="1">Tabela3[[#This Row],[Tabela 1]]*1.08</f>
        <v>19.13558597271345</v>
      </c>
      <c r="AP149" s="36">
        <f ca="1">Tabela3[[#This Row],[Tabela 2]]*1.15</f>
        <v>22.005923868620467</v>
      </c>
    </row>
    <row r="150" spans="1:42">
      <c r="A150" s="9">
        <v>45747</v>
      </c>
      <c r="B150" s="6" t="s">
        <v>245</v>
      </c>
      <c r="C150" s="14">
        <v>6190</v>
      </c>
      <c r="D150" s="6" t="s">
        <v>46</v>
      </c>
      <c r="E150" s="6" t="s">
        <v>53</v>
      </c>
      <c r="F150" s="6">
        <v>54</v>
      </c>
      <c r="G150" s="15">
        <v>0.24027777777777778</v>
      </c>
      <c r="H150" s="16">
        <v>0</v>
      </c>
      <c r="I150" s="35">
        <f ca="1">IFERROR(Tabela3[[#This Row],[Custo Total]]/Tabela3[[#This Row],[Aluminio Util]],0)</f>
        <v>25.655253372797699</v>
      </c>
      <c r="J150" s="35">
        <f ca="1">Tabela3[[#This Row],[Custo Total]]/Tabela3[[#This Row],[Realizado]]</f>
        <v>8.5175441197688357</v>
      </c>
      <c r="K150" s="37">
        <f>IFERROR(Tabela3[[#This Row],[Qtde Cx Produzida]]/Tabela3[[#This Row],[Tempo]]/24,0)</f>
        <v>9.3641618497109835</v>
      </c>
      <c r="L150" s="37">
        <f>Tabela3[[#This Row],[Qtde Cx Produzida]]*Tabela3[[#This Row],[Qdt Peça Placa]]</f>
        <v>216</v>
      </c>
      <c r="M150" s="37">
        <f>Tabela3[[#This Row],[Previsto]]-Tabela3[[#This Row],[Perda Pçs]]</f>
        <v>216</v>
      </c>
      <c r="N150" s="38">
        <f>IFERROR(Tabela3[[#This Row],[Perda Pçs]]/Tabela3[[#This Row],[Previsto]],0)</f>
        <v>0</v>
      </c>
      <c r="O150" s="39">
        <f>IFERROR(IF(Tabela3[[#This Row],[Qtde Cx Produzida]] &lt;&gt; 0, Tabela3[[#This Row],[Tempo]] / Tabela3[[#This Row],[Qtde Cx Produzida]], 0),0)</f>
        <v>4.449588477366255E-3</v>
      </c>
      <c r="P150" s="57">
        <f>IFERROR(Tabela3[[#This Row],[Perda Pçs]]/Tabela3[[#This Row],[Qdt Peça Placa]],0)</f>
        <v>0</v>
      </c>
      <c r="Q150" s="37">
        <f>IFERROR(Tabela3[[#This Row],[Realizado]]*Tabela3[[#This Row],[Peso Util/Pç]],0)</f>
        <v>71.712000000000003</v>
      </c>
      <c r="R150" s="37">
        <f>IFERROR(Tabela3[[#This Row],[Peso Total Galho]]*Tabela3[[#This Row],[Qtde Cx Produzida]]*1.055,0)</f>
        <v>131.03099999999998</v>
      </c>
      <c r="S150" s="37">
        <f>(Tabela3[[#This Row],[Aluminio Bruto]]-Tabela3[[#This Row],[Aluminio Util]])*0.9</f>
        <v>53.387099999999975</v>
      </c>
      <c r="T150" s="37">
        <f>Tabela3[[#This Row],[Aluminio Bruto]]/OleoKGAluminio</f>
        <v>55.12457227854469</v>
      </c>
      <c r="U150" s="35">
        <f>IFERROR((VLOOKUP(Tabela3[[#This Row],[Moldador]],Tabela1[],5,)+(VLOOKUP(Tabela3[[#This Row],[Ajudante]],Tabela1[],5,))*3.5),0)</f>
        <v>99.95034583333333</v>
      </c>
      <c r="V150" s="35">
        <f>IFERROR(Tabela3[[#This Row],[Custo M.O. / H]]/((Tabela3[[#This Row],[Realizado]]/Tabela3[[#This Row],[Qdt Peça Placa]])/Tabela3[[#This Row],[Tempo]]/24),)</f>
        <v>10.673709771090534</v>
      </c>
      <c r="W150" s="35">
        <f>Tabela3[[#This Row],[Custo / Cx Moldada]]*Tabela3[[#This Row],[Qtde Cx Produzida]]</f>
        <v>576.38032763888884</v>
      </c>
      <c r="X150" s="35">
        <f ca="1">Tabela3[[#This Row],[Aluminio Util]]*Tabela3[[#This Row],[Custo/Kg]]</f>
        <v>1118.7072000000001</v>
      </c>
      <c r="Y150" s="35">
        <f>IFERROR(VLOOKUP(Tabela3[[#This Row],[Data]],Tabela461213[],2,1)*(Tabela3[[#This Row],[Qtde Cx Produzida]]*Tabela3[[#This Row],[Qde macho / CX]]*Tabela3[[#This Row],[Peso Macho]]),)</f>
        <v>0</v>
      </c>
      <c r="Z150" s="35">
        <f>IFERROR(Tabela3[[#This Row],[Qtde Oleo]]*(VLOOKUP(Tabela3[[#This Row],[Data]],CompraOleo[],3,TRUE))*1.05,0)</f>
        <v>144.70200223117982</v>
      </c>
      <c r="AA150" s="47">
        <f ca="1">(Tabela3[[#This Row],[Custo Oleo]]+Tabela3[[#This Row],[Custo Aluminio]]+Tabela3[[#This Row],[Custo M.O. Total]]+Tabela3[[#This Row],[Custo Machos]])</f>
        <v>1839.7895298700687</v>
      </c>
      <c r="AB150" s="47">
        <f ca="1">Tabela3[[#This Row],[Custo Total]]*Tabela3[[#This Row],[% Perda]]</f>
        <v>0</v>
      </c>
      <c r="AC150" s="48">
        <f>IFERROR(VLOOKUP(Tabela3[[#This Row],[Produto]],Tabela2[],2,0),0)</f>
        <v>4</v>
      </c>
      <c r="AD150" s="48">
        <f>IFERROR(VLOOKUP(Tabela3[[#This Row],[Produto]],Tabela2[],3,0),0)</f>
        <v>0.33200000000000002</v>
      </c>
      <c r="AE150" s="48">
        <f>IFERROR(VLOOKUP(Tabela3[[#This Row],[Produto]],Tabela2[],4,0),0)</f>
        <v>2.2999999999999998</v>
      </c>
      <c r="AF150" s="48">
        <f>IFERROR(VLOOKUP(Tabela3[[#This Row],[Produto]],Tabela2[],5,0),0)</f>
        <v>0.8747999999999998</v>
      </c>
      <c r="AG150" s="40">
        <f>IFERROR(VLOOKUP(Tabela3[[#This Row],[Produto]],Tabela2[],6,0),0)</f>
        <v>0</v>
      </c>
      <c r="AH150" s="40">
        <f>IFERROR(VLOOKUP(Tabela3[[#This Row],[Produto]],Tabela2[],7,0),0)</f>
        <v>0</v>
      </c>
      <c r="AI150" s="40">
        <f>IFERROR(VLOOKUP(Tabela3[[#This Row],[Produto]],Tabela2[],8,0),0)</f>
        <v>0</v>
      </c>
      <c r="AJ150" s="35">
        <f ca="1">IFERROR(VLOOKUP(Tabela3[[#This Row],[Produto]],Tabela2[],13,0),0)</f>
        <v>15.600000000000001</v>
      </c>
      <c r="AK150" s="40" t="str">
        <f>IFERROR(VLOOKUP(Tabela3[[#This Row],[Produto]],Tabela2[],14,0),0)</f>
        <v>Senun</v>
      </c>
      <c r="AL150" s="40">
        <f>IFERROR(VLOOKUP(Tabela3[[#This Row],[Produto]],Tabela2[],15,0),0)</f>
        <v>3.5</v>
      </c>
      <c r="AM150" s="36">
        <f ca="1">(Tabela3[[#This Row],[Custo Usinagem]]+Tabela3[[#This Row],[Custo / Pç]])*1.2</f>
        <v>14.421052943722602</v>
      </c>
      <c r="AN150" s="36">
        <f ca="1">Tabela3[[#This Row],[Valor Mínimo Venda]]*1.15</f>
        <v>16.584210885280992</v>
      </c>
      <c r="AO150" s="36">
        <f ca="1">Tabela3[[#This Row],[Tabela 1]]*1.08</f>
        <v>17.910947756103472</v>
      </c>
      <c r="AP150" s="36">
        <f ca="1">Tabela3[[#This Row],[Tabela 2]]*1.15</f>
        <v>20.597589919518992</v>
      </c>
    </row>
    <row r="151" spans="1:42">
      <c r="A151" s="9">
        <v>45747</v>
      </c>
      <c r="B151" s="6" t="s">
        <v>243</v>
      </c>
      <c r="C151" s="14">
        <v>6189</v>
      </c>
      <c r="D151" s="6" t="s">
        <v>44</v>
      </c>
      <c r="E151" s="6" t="s">
        <v>47</v>
      </c>
      <c r="F151" s="6">
        <v>25</v>
      </c>
      <c r="G151" s="15">
        <v>0.12916666666666668</v>
      </c>
      <c r="H151" s="16">
        <v>5</v>
      </c>
      <c r="I151" s="35">
        <f ca="1">IFERROR(Tabela3[[#This Row],[Custo Total]]/Tabela3[[#This Row],[Aluminio Util]],0)</f>
        <v>22.871351762253727</v>
      </c>
      <c r="J151" s="35">
        <f ca="1">Tabela3[[#This Row],[Custo Total]]/Tabela3[[#This Row],[Realizado]]</f>
        <v>13.402612132680684</v>
      </c>
      <c r="K151" s="37">
        <f>IFERROR(Tabela3[[#This Row],[Qtde Cx Produzida]]/Tabela3[[#This Row],[Tempo]]/24,0)</f>
        <v>8.064516129032258</v>
      </c>
      <c r="L151" s="37">
        <f>Tabela3[[#This Row],[Qtde Cx Produzida]]*Tabela3[[#This Row],[Qdt Peça Placa]]</f>
        <v>100</v>
      </c>
      <c r="M151" s="37">
        <f>Tabela3[[#This Row],[Previsto]]-Tabela3[[#This Row],[Perda Pçs]]</f>
        <v>95</v>
      </c>
      <c r="N151" s="38">
        <f>IFERROR(Tabela3[[#This Row],[Perda Pçs]]/Tabela3[[#This Row],[Previsto]],0)</f>
        <v>0.05</v>
      </c>
      <c r="O151" s="39">
        <f>IFERROR(IF(Tabela3[[#This Row],[Qtde Cx Produzida]] &lt;&gt; 0, Tabela3[[#This Row],[Tempo]] / Tabela3[[#This Row],[Qtde Cx Produzida]], 0),0)</f>
        <v>5.1666666666666675E-3</v>
      </c>
      <c r="P151" s="57">
        <f>IFERROR(Tabela3[[#This Row],[Perda Pçs]]/Tabela3[[#This Row],[Qdt Peça Placa]],0)</f>
        <v>1.25</v>
      </c>
      <c r="Q151" s="37">
        <f>IFERROR(Tabela3[[#This Row],[Realizado]]*Tabela3[[#This Row],[Peso Util/Pç]],0)</f>
        <v>55.669999999999995</v>
      </c>
      <c r="R151" s="37">
        <f>IFERROR(Tabela3[[#This Row],[Peso Total Galho]]*Tabela3[[#This Row],[Qtde Cx Produzida]]*1.055,0)</f>
        <v>71.212499999999991</v>
      </c>
      <c r="S151" s="37">
        <f>(Tabela3[[#This Row],[Aluminio Bruto]]-Tabela3[[#This Row],[Aluminio Util]])*0.9</f>
        <v>13.988249999999997</v>
      </c>
      <c r="T151" s="37">
        <f>Tabela3[[#This Row],[Aluminio Bruto]]/OleoKGAluminio</f>
        <v>29.959006673122119</v>
      </c>
      <c r="U151" s="35">
        <f>IFERROR((VLOOKUP(Tabela3[[#This Row],[Moldador]],Tabela1[],5,)+(VLOOKUP(Tabela3[[#This Row],[Ajudante]],Tabela1[],5,))*3.5),0)</f>
        <v>99.95034583333333</v>
      </c>
      <c r="V151" s="35">
        <f>IFERROR(Tabela3[[#This Row],[Custo M.O. / H]]/((Tabela3[[#This Row],[Realizado]]/Tabela3[[#This Row],[Qdt Peça Placa]])/Tabela3[[#This Row],[Tempo]]/24),)</f>
        <v>13.046150403508774</v>
      </c>
      <c r="W151" s="35">
        <f>Tabela3[[#This Row],[Custo / Cx Moldada]]*Tabela3[[#This Row],[Qtde Cx Produzida]]</f>
        <v>326.15376008771932</v>
      </c>
      <c r="X151" s="35">
        <f ca="1">Tabela3[[#This Row],[Aluminio Util]]*Tabela3[[#This Row],[Custo/Kg]]</f>
        <v>868.452</v>
      </c>
      <c r="Y151" s="35">
        <f>IFERROR(VLOOKUP(Tabela3[[#This Row],[Data]],Tabela461213[],2,1)*(Tabela3[[#This Row],[Qtde Cx Produzida]]*Tabela3[[#This Row],[Qde macho / CX]]*Tabela3[[#This Row],[Peso Macho]]),)</f>
        <v>0</v>
      </c>
      <c r="Z151" s="35">
        <f>IFERROR(Tabela3[[#This Row],[Qtde Oleo]]*(VLOOKUP(Tabela3[[#This Row],[Data]],CompraOleo[],3,TRUE))*1.05,0)</f>
        <v>78.642392516945577</v>
      </c>
      <c r="AA151" s="47">
        <f ca="1">(Tabela3[[#This Row],[Custo Oleo]]+Tabela3[[#This Row],[Custo Aluminio]]+Tabela3[[#This Row],[Custo M.O. Total]]+Tabela3[[#This Row],[Custo Machos]])</f>
        <v>1273.2481526046649</v>
      </c>
      <c r="AB151" s="47">
        <f ca="1">Tabela3[[#This Row],[Custo Total]]*Tabela3[[#This Row],[% Perda]]</f>
        <v>63.662407630233247</v>
      </c>
      <c r="AC151" s="48">
        <f>IFERROR(VLOOKUP(Tabela3[[#This Row],[Produto]],Tabela2[],2,0),0)</f>
        <v>4</v>
      </c>
      <c r="AD151" s="48">
        <f>IFERROR(VLOOKUP(Tabela3[[#This Row],[Produto]],Tabela2[],3,0),0)</f>
        <v>0.58599999999999997</v>
      </c>
      <c r="AE151" s="48">
        <f>IFERROR(VLOOKUP(Tabela3[[#This Row],[Produto]],Tabela2[],4,0),0)</f>
        <v>2.7</v>
      </c>
      <c r="AF151" s="48">
        <f>IFERROR(VLOOKUP(Tabela3[[#This Row],[Produto]],Tabela2[],5,0),0)</f>
        <v>0.3204000000000003</v>
      </c>
      <c r="AG151" s="40">
        <f>IFERROR(VLOOKUP(Tabela3[[#This Row],[Produto]],Tabela2[],6,0),0)</f>
        <v>0</v>
      </c>
      <c r="AH151" s="40">
        <f>IFERROR(VLOOKUP(Tabela3[[#This Row],[Produto]],Tabela2[],7,0),0)</f>
        <v>0</v>
      </c>
      <c r="AI151" s="40">
        <f>IFERROR(VLOOKUP(Tabela3[[#This Row],[Produto]],Tabela2[],8,0),0)</f>
        <v>0</v>
      </c>
      <c r="AJ151" s="35">
        <f ca="1">IFERROR(VLOOKUP(Tabela3[[#This Row],[Produto]],Tabela2[],13,0),0)</f>
        <v>15.600000000000001</v>
      </c>
      <c r="AK151" s="40" t="str">
        <f>IFERROR(VLOOKUP(Tabela3[[#This Row],[Produto]],Tabela2[],14,0),0)</f>
        <v>Senun</v>
      </c>
      <c r="AL151" s="40">
        <f>IFERROR(VLOOKUP(Tabela3[[#This Row],[Produto]],Tabela2[],15,0),0)</f>
        <v>4</v>
      </c>
      <c r="AM151" s="36">
        <f ca="1">(Tabela3[[#This Row],[Custo Usinagem]]+Tabela3[[#This Row],[Custo / Pç]])*1.2</f>
        <v>20.88313455921682</v>
      </c>
      <c r="AN151" s="36">
        <f ca="1">Tabela3[[#This Row],[Valor Mínimo Venda]]*1.15</f>
        <v>24.015604743099342</v>
      </c>
      <c r="AO151" s="36">
        <f ca="1">Tabela3[[#This Row],[Tabela 1]]*1.08</f>
        <v>25.936853122547291</v>
      </c>
      <c r="AP151" s="36">
        <f ca="1">Tabela3[[#This Row],[Tabela 2]]*1.15</f>
        <v>29.827381090929382</v>
      </c>
    </row>
    <row r="152" spans="1:42">
      <c r="A152" s="9">
        <v>45747</v>
      </c>
      <c r="B152" s="6" t="s">
        <v>244</v>
      </c>
      <c r="C152" s="14">
        <v>6192</v>
      </c>
      <c r="D152" s="6" t="s">
        <v>44</v>
      </c>
      <c r="E152" s="6" t="s">
        <v>47</v>
      </c>
      <c r="F152" s="6">
        <v>25</v>
      </c>
      <c r="G152" s="15">
        <v>0.12152777777777778</v>
      </c>
      <c r="H152" s="16">
        <v>0</v>
      </c>
      <c r="I152" s="35">
        <f ca="1">IFERROR(Tabela3[[#This Row],[Custo Total]]/Tabela3[[#This Row],[Aluminio Util]],0)</f>
        <v>23.721243661701841</v>
      </c>
      <c r="J152" s="35">
        <f ca="1">Tabela3[[#This Row],[Custo Total]]/Tabela3[[#This Row],[Realizado]]</f>
        <v>11.148984520999866</v>
      </c>
      <c r="K152" s="37">
        <f>IFERROR(Tabela3[[#This Row],[Qtde Cx Produzida]]/Tabela3[[#This Row],[Tempo]]/24,0)</f>
        <v>8.5714285714285712</v>
      </c>
      <c r="L152" s="37">
        <f>Tabela3[[#This Row],[Qtde Cx Produzida]]*Tabela3[[#This Row],[Qdt Peça Placa]]</f>
        <v>100</v>
      </c>
      <c r="M152" s="37">
        <f>Tabela3[[#This Row],[Previsto]]-Tabela3[[#This Row],[Perda Pçs]]</f>
        <v>100</v>
      </c>
      <c r="N152" s="38">
        <f>IFERROR(Tabela3[[#This Row],[Perda Pçs]]/Tabela3[[#This Row],[Previsto]],0)</f>
        <v>0</v>
      </c>
      <c r="O152" s="39">
        <f>IFERROR(IF(Tabela3[[#This Row],[Qtde Cx Produzida]] &lt;&gt; 0, Tabela3[[#This Row],[Tempo]] / Tabela3[[#This Row],[Qtde Cx Produzida]], 0),0)</f>
        <v>4.8611111111111112E-3</v>
      </c>
      <c r="P152" s="57">
        <f>IFERROR(Tabela3[[#This Row],[Perda Pçs]]/Tabela3[[#This Row],[Qdt Peça Placa]],0)</f>
        <v>0</v>
      </c>
      <c r="Q152" s="37">
        <f>IFERROR(Tabela3[[#This Row],[Realizado]]*Tabela3[[#This Row],[Peso Util/Pç]],0)</f>
        <v>47</v>
      </c>
      <c r="R152" s="37">
        <f>IFERROR(Tabela3[[#This Row],[Peso Total Galho]]*Tabela3[[#This Row],[Qtde Cx Produzida]]*1.055,0)</f>
        <v>81.656999999999996</v>
      </c>
      <c r="S152" s="37">
        <f>(Tabela3[[#This Row],[Aluminio Bruto]]-Tabela3[[#This Row],[Aluminio Util]])*0.9</f>
        <v>31.191299999999998</v>
      </c>
      <c r="T152" s="37">
        <f>Tabela3[[#This Row],[Aluminio Bruto]]/OleoKGAluminio</f>
        <v>34.35299431851336</v>
      </c>
      <c r="U152" s="35">
        <f>IFERROR((VLOOKUP(Tabela3[[#This Row],[Moldador]],Tabela1[],5,)+(VLOOKUP(Tabela3[[#This Row],[Ajudante]],Tabela1[],5,))*3.5),0)</f>
        <v>99.95034583333333</v>
      </c>
      <c r="V152" s="35">
        <f>IFERROR(Tabela3[[#This Row],[Custo M.O. / H]]/((Tabela3[[#This Row],[Realizado]]/Tabela3[[#This Row],[Qdt Peça Placa]])/Tabela3[[#This Row],[Tempo]]/24),)</f>
        <v>11.660873680555556</v>
      </c>
      <c r="W152" s="35">
        <f>Tabela3[[#This Row],[Custo / Cx Moldada]]*Tabela3[[#This Row],[Qtde Cx Produzida]]</f>
        <v>291.52184201388889</v>
      </c>
      <c r="X152" s="35">
        <f ca="1">Tabela3[[#This Row],[Aluminio Util]]*Tabela3[[#This Row],[Custo/Kg]]</f>
        <v>733.2</v>
      </c>
      <c r="Y152" s="35">
        <f>IFERROR(VLOOKUP(Tabela3[[#This Row],[Data]],Tabela461213[],2,1)*(Tabela3[[#This Row],[Qtde Cx Produzida]]*Tabela3[[#This Row],[Qde macho / CX]]*Tabela3[[#This Row],[Peso Macho]]),)</f>
        <v>0</v>
      </c>
      <c r="Z152" s="35">
        <f>IFERROR(Tabela3[[#This Row],[Qtde Oleo]]*(VLOOKUP(Tabela3[[#This Row],[Data]],CompraOleo[],3,TRUE))*1.05,0)</f>
        <v>90.176610086097583</v>
      </c>
      <c r="AA152" s="47">
        <f ca="1">(Tabela3[[#This Row],[Custo Oleo]]+Tabela3[[#This Row],[Custo Aluminio]]+Tabela3[[#This Row],[Custo M.O. Total]]+Tabela3[[#This Row],[Custo Machos]])</f>
        <v>1114.8984520999866</v>
      </c>
      <c r="AB152" s="47">
        <f ca="1">Tabela3[[#This Row],[Custo Total]]*Tabela3[[#This Row],[% Perda]]</f>
        <v>0</v>
      </c>
      <c r="AC152" s="48">
        <f>IFERROR(VLOOKUP(Tabela3[[#This Row],[Produto]],Tabela2[],2,0),0)</f>
        <v>4</v>
      </c>
      <c r="AD152" s="48">
        <f>IFERROR(VLOOKUP(Tabela3[[#This Row],[Produto]],Tabela2[],3,0),0)</f>
        <v>0.47</v>
      </c>
      <c r="AE152" s="48">
        <f>IFERROR(VLOOKUP(Tabela3[[#This Row],[Produto]],Tabela2[],4,0),0)</f>
        <v>3.0960000000000001</v>
      </c>
      <c r="AF152" s="48">
        <f>IFERROR(VLOOKUP(Tabela3[[#This Row],[Produto]],Tabela2[],5,0),0)</f>
        <v>1.0944000000000003</v>
      </c>
      <c r="AG152" s="40">
        <f>IFERROR(VLOOKUP(Tabela3[[#This Row],[Produto]],Tabela2[],6,0),0)</f>
        <v>0</v>
      </c>
      <c r="AH152" s="40">
        <f>IFERROR(VLOOKUP(Tabela3[[#This Row],[Produto]],Tabela2[],7,0),0)</f>
        <v>0</v>
      </c>
      <c r="AI152" s="40">
        <f>IFERROR(VLOOKUP(Tabela3[[#This Row],[Produto]],Tabela2[],8,0),0)</f>
        <v>0</v>
      </c>
      <c r="AJ152" s="35">
        <f ca="1">IFERROR(VLOOKUP(Tabela3[[#This Row],[Produto]],Tabela2[],13,0),0)</f>
        <v>15.600000000000001</v>
      </c>
      <c r="AK152" s="40" t="str">
        <f>IFERROR(VLOOKUP(Tabela3[[#This Row],[Produto]],Tabela2[],14,0),0)</f>
        <v>Senun</v>
      </c>
      <c r="AL152" s="40">
        <f>IFERROR(VLOOKUP(Tabela3[[#This Row],[Produto]],Tabela2[],15,0),0)</f>
        <v>4</v>
      </c>
      <c r="AM152" s="36">
        <f ca="1">(Tabela3[[#This Row],[Custo Usinagem]]+Tabela3[[#This Row],[Custo / Pç]])*1.2</f>
        <v>18.178781425199837</v>
      </c>
      <c r="AN152" s="36">
        <f ca="1">Tabela3[[#This Row],[Valor Mínimo Venda]]*1.15</f>
        <v>20.905598638979811</v>
      </c>
      <c r="AO152" s="36">
        <f ca="1">Tabela3[[#This Row],[Tabela 1]]*1.08</f>
        <v>22.578046530098199</v>
      </c>
      <c r="AP152" s="36">
        <f ca="1">Tabela3[[#This Row],[Tabela 2]]*1.15</f>
        <v>25.964753509612926</v>
      </c>
    </row>
    <row r="153" spans="1:42">
      <c r="A153" s="9">
        <v>45747</v>
      </c>
      <c r="B153" s="6" t="s">
        <v>249</v>
      </c>
      <c r="C153" s="14">
        <v>6191</v>
      </c>
      <c r="D153" s="6" t="s">
        <v>44</v>
      </c>
      <c r="E153" s="6" t="s">
        <v>47</v>
      </c>
      <c r="F153" s="6">
        <v>17</v>
      </c>
      <c r="G153" s="15">
        <v>7.9166666666666663E-2</v>
      </c>
      <c r="H153" s="16">
        <v>0</v>
      </c>
      <c r="I153" s="35">
        <f ca="1">IFERROR(Tabela3[[#This Row],[Custo Total]]/Tabela3[[#This Row],[Aluminio Util]],0)</f>
        <v>25.82689796103412</v>
      </c>
      <c r="J153" s="35">
        <f ca="1">Tabela3[[#This Row],[Custo Total]]/Tabela3[[#This Row],[Realizado]]</f>
        <v>8.8327991026736683</v>
      </c>
      <c r="K153" s="37">
        <f>IFERROR(Tabela3[[#This Row],[Qtde Cx Produzida]]/Tabela3[[#This Row],[Tempo]]/24,0)</f>
        <v>8.9473684210526319</v>
      </c>
      <c r="L153" s="37">
        <f>Tabela3[[#This Row],[Qtde Cx Produzida]]*Tabela3[[#This Row],[Qdt Peça Placa]]</f>
        <v>68</v>
      </c>
      <c r="M153" s="37">
        <f>Tabela3[[#This Row],[Previsto]]-Tabela3[[#This Row],[Perda Pçs]]</f>
        <v>68</v>
      </c>
      <c r="N153" s="38">
        <f>IFERROR(Tabela3[[#This Row],[Perda Pçs]]/Tabela3[[#This Row],[Previsto]],0)</f>
        <v>0</v>
      </c>
      <c r="O153" s="39">
        <f>IFERROR(IF(Tabela3[[#This Row],[Qtde Cx Produzida]] &lt;&gt; 0, Tabela3[[#This Row],[Tempo]] / Tabela3[[#This Row],[Qtde Cx Produzida]], 0),0)</f>
        <v>4.6568627450980392E-3</v>
      </c>
      <c r="P153" s="57">
        <f>IFERROR(Tabela3[[#This Row],[Perda Pçs]]/Tabela3[[#This Row],[Qdt Peça Placa]],0)</f>
        <v>0</v>
      </c>
      <c r="Q153" s="37">
        <f>IFERROR(Tabela3[[#This Row],[Realizado]]*Tabela3[[#This Row],[Peso Util/Pç]],0)</f>
        <v>23.256</v>
      </c>
      <c r="R153" s="37">
        <f>IFERROR(Tabela3[[#This Row],[Peso Total Galho]]*Tabela3[[#This Row],[Qtde Cx Produzida]]*1.055,0)</f>
        <v>43.402699999999996</v>
      </c>
      <c r="S153" s="37">
        <f>(Tabela3[[#This Row],[Aluminio Bruto]]-Tabela3[[#This Row],[Aluminio Util]])*0.9</f>
        <v>18.132029999999997</v>
      </c>
      <c r="T153" s="37">
        <f>Tabela3[[#This Row],[Aluminio Bruto]]/OleoKGAluminio</f>
        <v>18.259459770848057</v>
      </c>
      <c r="U153" s="35">
        <f>IFERROR((VLOOKUP(Tabela3[[#This Row],[Moldador]],Tabela1[],5,)+(VLOOKUP(Tabela3[[#This Row],[Ajudante]],Tabela1[],5,))*3.5),0)</f>
        <v>99.95034583333333</v>
      </c>
      <c r="V153" s="35">
        <f>IFERROR(Tabela3[[#This Row],[Custo M.O. / H]]/((Tabela3[[#This Row],[Realizado]]/Tabela3[[#This Row],[Qdt Peça Placa]])/Tabela3[[#This Row],[Tempo]]/24),)</f>
        <v>11.17092100490196</v>
      </c>
      <c r="W153" s="35">
        <f>Tabela3[[#This Row],[Custo / Cx Moldada]]*Tabela3[[#This Row],[Qtde Cx Produzida]]</f>
        <v>189.90565708333332</v>
      </c>
      <c r="X153" s="35">
        <f ca="1">Tabela3[[#This Row],[Aluminio Util]]*Tabela3[[#This Row],[Custo/Kg]]</f>
        <v>362.79360000000003</v>
      </c>
      <c r="Y153" s="35">
        <f>IFERROR(VLOOKUP(Tabela3[[#This Row],[Data]],Tabela461213[],2,1)*(Tabela3[[#This Row],[Qtde Cx Produzida]]*Tabela3[[#This Row],[Qde macho / CX]]*Tabela3[[#This Row],[Peso Macho]]),)</f>
        <v>0</v>
      </c>
      <c r="Z153" s="35">
        <f>IFERROR(Tabela3[[#This Row],[Qtde Oleo]]*(VLOOKUP(Tabela3[[#This Row],[Data]],CompraOleo[],3,TRUE))*1.05,0)</f>
        <v>47.931081898476151</v>
      </c>
      <c r="AA153" s="47">
        <f ca="1">(Tabela3[[#This Row],[Custo Oleo]]+Tabela3[[#This Row],[Custo Aluminio]]+Tabela3[[#This Row],[Custo M.O. Total]]+Tabela3[[#This Row],[Custo Machos]])</f>
        <v>600.63033898180947</v>
      </c>
      <c r="AB153" s="47">
        <f ca="1">Tabela3[[#This Row],[Custo Total]]*Tabela3[[#This Row],[% Perda]]</f>
        <v>0</v>
      </c>
      <c r="AC153" s="48">
        <f>IFERROR(VLOOKUP(Tabela3[[#This Row],[Produto]],Tabela2[],2,0),0)</f>
        <v>4</v>
      </c>
      <c r="AD153" s="48">
        <f>IFERROR(VLOOKUP(Tabela3[[#This Row],[Produto]],Tabela2[],3,0),0)</f>
        <v>0.34200000000000003</v>
      </c>
      <c r="AE153" s="48">
        <f>IFERROR(VLOOKUP(Tabela3[[#This Row],[Produto]],Tabela2[],4,0),0)</f>
        <v>2.42</v>
      </c>
      <c r="AF153" s="48">
        <f>IFERROR(VLOOKUP(Tabela3[[#This Row],[Produto]],Tabela2[],5,0),0)</f>
        <v>0.94679999999999986</v>
      </c>
      <c r="AG153" s="40">
        <f>IFERROR(VLOOKUP(Tabela3[[#This Row],[Produto]],Tabela2[],6,0),0)</f>
        <v>0</v>
      </c>
      <c r="AH153" s="40">
        <f>IFERROR(VLOOKUP(Tabela3[[#This Row],[Produto]],Tabela2[],7,0),0)</f>
        <v>0</v>
      </c>
      <c r="AI153" s="40">
        <f>IFERROR(VLOOKUP(Tabela3[[#This Row],[Produto]],Tabela2[],8,0),0)</f>
        <v>0</v>
      </c>
      <c r="AJ153" s="35">
        <f ca="1">IFERROR(VLOOKUP(Tabela3[[#This Row],[Produto]],Tabela2[],13,0),0)</f>
        <v>15.600000000000001</v>
      </c>
      <c r="AK153" s="40" t="str">
        <f>IFERROR(VLOOKUP(Tabela3[[#This Row],[Produto]],Tabela2[],14,0),0)</f>
        <v>Senun</v>
      </c>
      <c r="AL153" s="40">
        <f>IFERROR(VLOOKUP(Tabela3[[#This Row],[Produto]],Tabela2[],15,0),0)</f>
        <v>4</v>
      </c>
      <c r="AM153" s="36">
        <f ca="1">(Tabela3[[#This Row],[Custo Usinagem]]+Tabela3[[#This Row],[Custo / Pç]])*1.2</f>
        <v>15.399358923208402</v>
      </c>
      <c r="AN153" s="36">
        <f ca="1">Tabela3[[#This Row],[Valor Mínimo Venda]]*1.15</f>
        <v>17.709262761689661</v>
      </c>
      <c r="AO153" s="36">
        <f ca="1">Tabela3[[#This Row],[Tabela 1]]*1.08</f>
        <v>19.126003782624835</v>
      </c>
      <c r="AP153" s="36">
        <f ca="1">Tabela3[[#This Row],[Tabela 2]]*1.15</f>
        <v>21.994904350018558</v>
      </c>
    </row>
    <row r="154" spans="1:42">
      <c r="A154" s="9">
        <v>45748</v>
      </c>
      <c r="B154" s="6" t="s">
        <v>245</v>
      </c>
      <c r="C154" s="14">
        <v>6190</v>
      </c>
      <c r="D154" s="6" t="s">
        <v>46</v>
      </c>
      <c r="E154" s="6" t="s">
        <v>53</v>
      </c>
      <c r="F154" s="6">
        <v>46</v>
      </c>
      <c r="G154" s="15">
        <v>0.18124999999999999</v>
      </c>
      <c r="H154" s="16">
        <v>0</v>
      </c>
      <c r="I154" s="35">
        <f ca="1">IFERROR(Tabela3[[#This Row],[Custo Total]]/Tabela3[[#This Row],[Aluminio Util]],0)</f>
        <v>24.735160308772613</v>
      </c>
      <c r="J154" s="35">
        <f ca="1">Tabela3[[#This Row],[Custo Total]]/Tabela3[[#This Row],[Realizado]]</f>
        <v>8.2120732225125082</v>
      </c>
      <c r="K154" s="37">
        <f>IFERROR(Tabela3[[#This Row],[Qtde Cx Produzida]]/Tabela3[[#This Row],[Tempo]]/24,0)</f>
        <v>10.574712643678161</v>
      </c>
      <c r="L154" s="37">
        <f>Tabela3[[#This Row],[Qtde Cx Produzida]]*Tabela3[[#This Row],[Qdt Peça Placa]]</f>
        <v>184</v>
      </c>
      <c r="M154" s="37">
        <f>Tabela3[[#This Row],[Previsto]]-Tabela3[[#This Row],[Perda Pçs]]</f>
        <v>184</v>
      </c>
      <c r="N154" s="38">
        <f>IFERROR(Tabela3[[#This Row],[Perda Pçs]]/Tabela3[[#This Row],[Previsto]],0)</f>
        <v>0</v>
      </c>
      <c r="O154" s="39">
        <f>IFERROR(IF(Tabela3[[#This Row],[Qtde Cx Produzida]] &lt;&gt; 0, Tabela3[[#This Row],[Tempo]] / Tabela3[[#This Row],[Qtde Cx Produzida]], 0),0)</f>
        <v>3.9402173913043476E-3</v>
      </c>
      <c r="P154" s="57">
        <f>IFERROR(Tabela3[[#This Row],[Perda Pçs]]/Tabela3[[#This Row],[Qdt Peça Placa]],0)</f>
        <v>0</v>
      </c>
      <c r="Q154" s="37">
        <f>IFERROR(Tabela3[[#This Row],[Realizado]]*Tabela3[[#This Row],[Peso Util/Pç]],0)</f>
        <v>61.088000000000001</v>
      </c>
      <c r="R154" s="37">
        <f>IFERROR(Tabela3[[#This Row],[Peso Total Galho]]*Tabela3[[#This Row],[Qtde Cx Produzida]]*1.055,0)</f>
        <v>111.61899999999999</v>
      </c>
      <c r="S154" s="37">
        <f>(Tabela3[[#This Row],[Aluminio Bruto]]-Tabela3[[#This Row],[Aluminio Util]])*0.9</f>
        <v>45.477899999999984</v>
      </c>
      <c r="T154" s="37">
        <f>Tabela3[[#This Row],[Aluminio Bruto]]/OleoKGAluminio</f>
        <v>46.957968978019558</v>
      </c>
      <c r="U154" s="35">
        <f>IFERROR((VLOOKUP(Tabela3[[#This Row],[Moldador]],Tabela1[],5,)+(VLOOKUP(Tabela3[[#This Row],[Ajudante]],Tabela1[],5,))*3.5),0)</f>
        <v>99.95034583333333</v>
      </c>
      <c r="V154" s="35">
        <f>IFERROR(Tabela3[[#This Row],[Custo M.O. / H]]/((Tabela3[[#This Row],[Realizado]]/Tabela3[[#This Row],[Qdt Peça Placa]])/Tabela3[[#This Row],[Tempo]]/24),)</f>
        <v>9.4518261820652167</v>
      </c>
      <c r="W154" s="35">
        <f>Tabela3[[#This Row],[Custo / Cx Moldada]]*Tabela3[[#This Row],[Qtde Cx Produzida]]</f>
        <v>434.78400437499999</v>
      </c>
      <c r="X154" s="35">
        <f ca="1">Tabela3[[#This Row],[Aluminio Util]]*Tabela3[[#This Row],[Custo/Kg]]</f>
        <v>952.97280000000012</v>
      </c>
      <c r="Y154" s="35">
        <f>IFERROR(VLOOKUP(Tabela3[[#This Row],[Data]],Tabela461213[],2,1)*(Tabela3[[#This Row],[Qtde Cx Produzida]]*Tabela3[[#This Row],[Qde macho / CX]]*Tabela3[[#This Row],[Peso Macho]]),)</f>
        <v>0</v>
      </c>
      <c r="Z154" s="35">
        <f>IFERROR(Tabela3[[#This Row],[Qtde Oleo]]*(VLOOKUP(Tabela3[[#This Row],[Data]],CompraOleo[],3,TRUE))*1.05,0)</f>
        <v>123.26466856730134</v>
      </c>
      <c r="AA154" s="47">
        <f ca="1">(Tabela3[[#This Row],[Custo Oleo]]+Tabela3[[#This Row],[Custo Aluminio]]+Tabela3[[#This Row],[Custo M.O. Total]]+Tabela3[[#This Row],[Custo Machos]])</f>
        <v>1511.0214729423014</v>
      </c>
      <c r="AB154" s="47">
        <f ca="1">Tabela3[[#This Row],[Custo Total]]*Tabela3[[#This Row],[% Perda]]</f>
        <v>0</v>
      </c>
      <c r="AC154" s="48">
        <f>IFERROR(VLOOKUP(Tabela3[[#This Row],[Produto]],Tabela2[],2,0),0)</f>
        <v>4</v>
      </c>
      <c r="AD154" s="48">
        <f>IFERROR(VLOOKUP(Tabela3[[#This Row],[Produto]],Tabela2[],3,0),0)</f>
        <v>0.33200000000000002</v>
      </c>
      <c r="AE154" s="48">
        <f>IFERROR(VLOOKUP(Tabela3[[#This Row],[Produto]],Tabela2[],4,0),0)</f>
        <v>2.2999999999999998</v>
      </c>
      <c r="AF154" s="48">
        <f>IFERROR(VLOOKUP(Tabela3[[#This Row],[Produto]],Tabela2[],5,0),0)</f>
        <v>0.8747999999999998</v>
      </c>
      <c r="AG154" s="40">
        <f>IFERROR(VLOOKUP(Tabela3[[#This Row],[Produto]],Tabela2[],6,0),0)</f>
        <v>0</v>
      </c>
      <c r="AH154" s="40">
        <f>IFERROR(VLOOKUP(Tabela3[[#This Row],[Produto]],Tabela2[],7,0),0)</f>
        <v>0</v>
      </c>
      <c r="AI154" s="40">
        <f>IFERROR(VLOOKUP(Tabela3[[#This Row],[Produto]],Tabela2[],8,0),0)</f>
        <v>0</v>
      </c>
      <c r="AJ154" s="35">
        <f ca="1">IFERROR(VLOOKUP(Tabela3[[#This Row],[Produto]],Tabela2[],13,0),0)</f>
        <v>15.600000000000001</v>
      </c>
      <c r="AK154" s="40" t="str">
        <f>IFERROR(VLOOKUP(Tabela3[[#This Row],[Produto]],Tabela2[],14,0),0)</f>
        <v>Senun</v>
      </c>
      <c r="AL154" s="40">
        <f>IFERROR(VLOOKUP(Tabela3[[#This Row],[Produto]],Tabela2[],15,0),0)</f>
        <v>3.5</v>
      </c>
      <c r="AM154" s="36">
        <f ca="1">(Tabela3[[#This Row],[Custo Usinagem]]+Tabela3[[#This Row],[Custo / Pç]])*1.2</f>
        <v>14.054487867015009</v>
      </c>
      <c r="AN154" s="36">
        <f ca="1">Tabela3[[#This Row],[Valor Mínimo Venda]]*1.15</f>
        <v>16.16266104706726</v>
      </c>
      <c r="AO154" s="36">
        <f ca="1">Tabela3[[#This Row],[Tabela 1]]*1.08</f>
        <v>17.455673930832642</v>
      </c>
      <c r="AP154" s="36">
        <f ca="1">Tabela3[[#This Row],[Tabela 2]]*1.15</f>
        <v>20.074025020457537</v>
      </c>
    </row>
    <row r="155" spans="1:42">
      <c r="A155" s="9">
        <v>45748</v>
      </c>
      <c r="B155" s="6" t="s">
        <v>247</v>
      </c>
      <c r="C155" s="14">
        <v>6142</v>
      </c>
      <c r="D155" s="6" t="s">
        <v>46</v>
      </c>
      <c r="E155" s="6" t="s">
        <v>53</v>
      </c>
      <c r="F155" s="6">
        <v>36</v>
      </c>
      <c r="G155" s="15">
        <v>0.15833333333333333</v>
      </c>
      <c r="H155" s="16">
        <v>11</v>
      </c>
      <c r="I155" s="35">
        <f ca="1">IFERROR(Tabela3[[#This Row],[Custo Total]]/Tabela3[[#This Row],[Aluminio Util]],0)</f>
        <v>28.324117330512617</v>
      </c>
      <c r="J155" s="35">
        <f ca="1">Tabela3[[#This Row],[Custo Total]]/Tabela3[[#This Row],[Realizado]]</f>
        <v>8.4972351991537849</v>
      </c>
      <c r="K155" s="37">
        <f>IFERROR(Tabela3[[#This Row],[Qtde Cx Produzida]]/Tabela3[[#This Row],[Tempo]]/24,0)</f>
        <v>9.4736842105263168</v>
      </c>
      <c r="L155" s="37">
        <f>Tabela3[[#This Row],[Qtde Cx Produzida]]*Tabela3[[#This Row],[Qdt Peça Placa]]</f>
        <v>144</v>
      </c>
      <c r="M155" s="37">
        <f>Tabela3[[#This Row],[Previsto]]-Tabela3[[#This Row],[Perda Pçs]]</f>
        <v>133</v>
      </c>
      <c r="N155" s="38">
        <f>IFERROR(Tabela3[[#This Row],[Perda Pçs]]/Tabela3[[#This Row],[Previsto]],0)</f>
        <v>7.6388888888888895E-2</v>
      </c>
      <c r="O155" s="39">
        <f>IFERROR(IF(Tabela3[[#This Row],[Qtde Cx Produzida]] &lt;&gt; 0, Tabela3[[#This Row],[Tempo]] / Tabela3[[#This Row],[Qtde Cx Produzida]], 0),0)</f>
        <v>4.3981481481481476E-3</v>
      </c>
      <c r="P155" s="57">
        <f>IFERROR(Tabela3[[#This Row],[Perda Pçs]]/Tabela3[[#This Row],[Qdt Peça Placa]],0)</f>
        <v>2.75</v>
      </c>
      <c r="Q155" s="37">
        <f>IFERROR(Tabela3[[#This Row],[Realizado]]*Tabela3[[#This Row],[Peso Util/Pç]],0)</f>
        <v>39.9</v>
      </c>
      <c r="R155" s="37">
        <f>IFERROR(Tabela3[[#This Row],[Peso Total Galho]]*Tabela3[[#This Row],[Qtde Cx Produzida]]*1.055,0)</f>
        <v>87.353999999999985</v>
      </c>
      <c r="S155" s="37">
        <f>(Tabela3[[#This Row],[Aluminio Bruto]]-Tabela3[[#This Row],[Aluminio Util]])*0.9</f>
        <v>42.70859999999999</v>
      </c>
      <c r="T155" s="37">
        <f>Tabela3[[#This Row],[Aluminio Bruto]]/OleoKGAluminio</f>
        <v>36.749714852363127</v>
      </c>
      <c r="U155" s="35">
        <f>IFERROR((VLOOKUP(Tabela3[[#This Row],[Moldador]],Tabela1[],5,)+(VLOOKUP(Tabela3[[#This Row],[Ajudante]],Tabela1[],5,))*3.5),0)</f>
        <v>99.95034583333333</v>
      </c>
      <c r="V155" s="35">
        <f>IFERROR(Tabela3[[#This Row],[Custo M.O. / H]]/((Tabela3[[#This Row],[Realizado]]/Tabela3[[#This Row],[Qdt Peça Placa]])/Tabela3[[#This Row],[Tempo]]/24),)</f>
        <v>11.422896666666666</v>
      </c>
      <c r="W155" s="35">
        <f>Tabela3[[#This Row],[Custo / Cx Moldada]]*Tabela3[[#This Row],[Qtde Cx Produzida]]</f>
        <v>411.22428000000002</v>
      </c>
      <c r="X155" s="35">
        <f ca="1">Tabela3[[#This Row],[Aluminio Util]]*Tabela3[[#This Row],[Custo/Kg]]</f>
        <v>622.44000000000005</v>
      </c>
      <c r="Y155" s="35">
        <f>IFERROR(VLOOKUP(Tabela3[[#This Row],[Data]],Tabela461213[],2,1)*(Tabela3[[#This Row],[Qtde Cx Produzida]]*Tabela3[[#This Row],[Qde macho / CX]]*Tabela3[[#This Row],[Peso Macho]]),)</f>
        <v>0</v>
      </c>
      <c r="Z155" s="35">
        <f>IFERROR(Tabela3[[#This Row],[Qtde Oleo]]*(VLOOKUP(Tabela3[[#This Row],[Data]],CompraOleo[],3,TRUE))*1.05,0)</f>
        <v>96.468001487453208</v>
      </c>
      <c r="AA155" s="47">
        <f ca="1">(Tabela3[[#This Row],[Custo Oleo]]+Tabela3[[#This Row],[Custo Aluminio]]+Tabela3[[#This Row],[Custo M.O. Total]]+Tabela3[[#This Row],[Custo Machos]])</f>
        <v>1130.1322814874534</v>
      </c>
      <c r="AB155" s="47">
        <f ca="1">Tabela3[[#This Row],[Custo Total]]*Tabela3[[#This Row],[% Perda]]</f>
        <v>86.329549280291587</v>
      </c>
      <c r="AC155" s="48">
        <f>IFERROR(VLOOKUP(Tabela3[[#This Row],[Produto]],Tabela2[],2,0),0)</f>
        <v>4</v>
      </c>
      <c r="AD155" s="48">
        <f>IFERROR(VLOOKUP(Tabela3[[#This Row],[Produto]],Tabela2[],3,0),0)</f>
        <v>0.3</v>
      </c>
      <c r="AE155" s="48">
        <f>IFERROR(VLOOKUP(Tabela3[[#This Row],[Produto]],Tabela2[],4,0),0)</f>
        <v>2.2999999999999998</v>
      </c>
      <c r="AF155" s="48">
        <f>IFERROR(VLOOKUP(Tabela3[[#This Row],[Produto]],Tabela2[],5,0),0)</f>
        <v>0.98999999999999988</v>
      </c>
      <c r="AG155" s="40">
        <f>IFERROR(VLOOKUP(Tabela3[[#This Row],[Produto]],Tabela2[],6,0),0)</f>
        <v>0</v>
      </c>
      <c r="AH155" s="40">
        <f>IFERROR(VLOOKUP(Tabela3[[#This Row],[Produto]],Tabela2[],7,0),0)</f>
        <v>0</v>
      </c>
      <c r="AI155" s="40">
        <f>IFERROR(VLOOKUP(Tabela3[[#This Row],[Produto]],Tabela2[],8,0),0)</f>
        <v>0</v>
      </c>
      <c r="AJ155" s="35">
        <f ca="1">IFERROR(VLOOKUP(Tabela3[[#This Row],[Produto]],Tabela2[],13,0),0)</f>
        <v>15.600000000000001</v>
      </c>
      <c r="AK155" s="40" t="str">
        <f>IFERROR(VLOOKUP(Tabela3[[#This Row],[Produto]],Tabela2[],14,0),0)</f>
        <v>Senun</v>
      </c>
      <c r="AL155" s="40">
        <f>IFERROR(VLOOKUP(Tabela3[[#This Row],[Produto]],Tabela2[],15,0),0)</f>
        <v>3.5</v>
      </c>
      <c r="AM155" s="36">
        <f ca="1">(Tabela3[[#This Row],[Custo Usinagem]]+Tabela3[[#This Row],[Custo / Pç]])*1.2</f>
        <v>14.396682238984541</v>
      </c>
      <c r="AN155" s="36">
        <f ca="1">Tabela3[[#This Row],[Valor Mínimo Venda]]*1.15</f>
        <v>16.556184574832219</v>
      </c>
      <c r="AO155" s="36">
        <f ca="1">Tabela3[[#This Row],[Tabela 1]]*1.08</f>
        <v>17.880679340818798</v>
      </c>
      <c r="AP155" s="36">
        <f ca="1">Tabela3[[#This Row],[Tabela 2]]*1.15</f>
        <v>20.562781241941614</v>
      </c>
    </row>
    <row r="156" spans="1:42">
      <c r="A156" s="9">
        <v>45748</v>
      </c>
      <c r="B156" s="6" t="s">
        <v>249</v>
      </c>
      <c r="C156" s="14">
        <v>6191</v>
      </c>
      <c r="D156" s="6" t="s">
        <v>44</v>
      </c>
      <c r="E156" s="6" t="s">
        <v>47</v>
      </c>
      <c r="F156" s="6">
        <v>8</v>
      </c>
      <c r="G156" s="15">
        <v>3.5416666666666666E-2</v>
      </c>
      <c r="H156" s="16">
        <v>0</v>
      </c>
      <c r="I156" s="35">
        <f ca="1">IFERROR(Tabela3[[#This Row],[Custo Total]]/Tabela3[[#This Row],[Aluminio Util]],0)</f>
        <v>25.423976352766363</v>
      </c>
      <c r="J156" s="35">
        <f ca="1">Tabela3[[#This Row],[Custo Total]]/Tabela3[[#This Row],[Realizado]]</f>
        <v>8.6949999126460966</v>
      </c>
      <c r="K156" s="37">
        <f>IFERROR(Tabela3[[#This Row],[Qtde Cx Produzida]]/Tabela3[[#This Row],[Tempo]]/24,0)</f>
        <v>9.4117647058823533</v>
      </c>
      <c r="L156" s="37">
        <f>Tabela3[[#This Row],[Qtde Cx Produzida]]*Tabela3[[#This Row],[Qdt Peça Placa]]</f>
        <v>32</v>
      </c>
      <c r="M156" s="37">
        <f>Tabela3[[#This Row],[Previsto]]-Tabela3[[#This Row],[Perda Pçs]]</f>
        <v>32</v>
      </c>
      <c r="N156" s="38">
        <f>IFERROR(Tabela3[[#This Row],[Perda Pçs]]/Tabela3[[#This Row],[Previsto]],0)</f>
        <v>0</v>
      </c>
      <c r="O156" s="39">
        <f>IFERROR(IF(Tabela3[[#This Row],[Qtde Cx Produzida]] &lt;&gt; 0, Tabela3[[#This Row],[Tempo]] / Tabela3[[#This Row],[Qtde Cx Produzida]], 0),0)</f>
        <v>4.4270833333333332E-3</v>
      </c>
      <c r="P156" s="57">
        <f>IFERROR(Tabela3[[#This Row],[Perda Pçs]]/Tabela3[[#This Row],[Qdt Peça Placa]],0)</f>
        <v>0</v>
      </c>
      <c r="Q156" s="37">
        <f>IFERROR(Tabela3[[#This Row],[Realizado]]*Tabela3[[#This Row],[Peso Util/Pç]],0)</f>
        <v>10.944000000000001</v>
      </c>
      <c r="R156" s="37">
        <f>IFERROR(Tabela3[[#This Row],[Peso Total Galho]]*Tabela3[[#This Row],[Qtde Cx Produzida]]*1.055,0)</f>
        <v>20.424799999999998</v>
      </c>
      <c r="S156" s="37">
        <f>(Tabela3[[#This Row],[Aluminio Bruto]]-Tabela3[[#This Row],[Aluminio Util]])*0.9</f>
        <v>8.5327199999999976</v>
      </c>
      <c r="T156" s="37">
        <f>Tabela3[[#This Row],[Aluminio Bruto]]/OleoKGAluminio</f>
        <v>8.5926869509873214</v>
      </c>
      <c r="U156" s="35">
        <f>IFERROR((VLOOKUP(Tabela3[[#This Row],[Moldador]],Tabela1[],5,)+(VLOOKUP(Tabela3[[#This Row],[Ajudante]],Tabela1[],5,))*3.5),0)</f>
        <v>99.95034583333333</v>
      </c>
      <c r="V156" s="35">
        <f>IFERROR(Tabela3[[#This Row],[Custo M.O. / H]]/((Tabela3[[#This Row],[Realizado]]/Tabela3[[#This Row],[Qdt Peça Placa]])/Tabela3[[#This Row],[Tempo]]/24),)</f>
        <v>10.619724244791666</v>
      </c>
      <c r="W156" s="35">
        <f>Tabela3[[#This Row],[Custo / Cx Moldada]]*Tabela3[[#This Row],[Qtde Cx Produzida]]</f>
        <v>84.957793958333326</v>
      </c>
      <c r="X156" s="35">
        <f ca="1">Tabela3[[#This Row],[Aluminio Util]]*Tabela3[[#This Row],[Custo/Kg]]</f>
        <v>170.72640000000004</v>
      </c>
      <c r="Y156" s="35">
        <f>IFERROR(VLOOKUP(Tabela3[[#This Row],[Data]],Tabela461213[],2,1)*(Tabela3[[#This Row],[Qtde Cx Produzida]]*Tabela3[[#This Row],[Qde macho / CX]]*Tabela3[[#This Row],[Peso Macho]]),)</f>
        <v>0</v>
      </c>
      <c r="Z156" s="35">
        <f>IFERROR(Tabela3[[#This Row],[Qtde Oleo]]*(VLOOKUP(Tabela3[[#This Row],[Data]],CompraOleo[],3,TRUE))*1.05,0)</f>
        <v>22.555803246341721</v>
      </c>
      <c r="AA156" s="47">
        <f ca="1">(Tabela3[[#This Row],[Custo Oleo]]+Tabela3[[#This Row],[Custo Aluminio]]+Tabela3[[#This Row],[Custo M.O. Total]]+Tabela3[[#This Row],[Custo Machos]])</f>
        <v>278.23999720467509</v>
      </c>
      <c r="AB156" s="47">
        <f ca="1">Tabela3[[#This Row],[Custo Total]]*Tabela3[[#This Row],[% Perda]]</f>
        <v>0</v>
      </c>
      <c r="AC156" s="48">
        <f>IFERROR(VLOOKUP(Tabela3[[#This Row],[Produto]],Tabela2[],2,0),0)</f>
        <v>4</v>
      </c>
      <c r="AD156" s="48">
        <f>IFERROR(VLOOKUP(Tabela3[[#This Row],[Produto]],Tabela2[],3,0),0)</f>
        <v>0.34200000000000003</v>
      </c>
      <c r="AE156" s="48">
        <f>IFERROR(VLOOKUP(Tabela3[[#This Row],[Produto]],Tabela2[],4,0),0)</f>
        <v>2.42</v>
      </c>
      <c r="AF156" s="48">
        <f>IFERROR(VLOOKUP(Tabela3[[#This Row],[Produto]],Tabela2[],5,0),0)</f>
        <v>0.94679999999999986</v>
      </c>
      <c r="AG156" s="40">
        <f>IFERROR(VLOOKUP(Tabela3[[#This Row],[Produto]],Tabela2[],6,0),0)</f>
        <v>0</v>
      </c>
      <c r="AH156" s="40">
        <f>IFERROR(VLOOKUP(Tabela3[[#This Row],[Produto]],Tabela2[],7,0),0)</f>
        <v>0</v>
      </c>
      <c r="AI156" s="40">
        <f>IFERROR(VLOOKUP(Tabela3[[#This Row],[Produto]],Tabela2[],8,0),0)</f>
        <v>0</v>
      </c>
      <c r="AJ156" s="35">
        <f ca="1">IFERROR(VLOOKUP(Tabela3[[#This Row],[Produto]],Tabela2[],13,0),0)</f>
        <v>15.600000000000001</v>
      </c>
      <c r="AK156" s="40" t="str">
        <f>IFERROR(VLOOKUP(Tabela3[[#This Row],[Produto]],Tabela2[],14,0),0)</f>
        <v>Senun</v>
      </c>
      <c r="AL156" s="40">
        <f>IFERROR(VLOOKUP(Tabela3[[#This Row],[Produto]],Tabela2[],15,0),0)</f>
        <v>4</v>
      </c>
      <c r="AM156" s="36">
        <f ca="1">(Tabela3[[#This Row],[Custo Usinagem]]+Tabela3[[#This Row],[Custo / Pç]])*1.2</f>
        <v>15.233999895175316</v>
      </c>
      <c r="AN156" s="36">
        <f ca="1">Tabela3[[#This Row],[Valor Mínimo Venda]]*1.15</f>
        <v>17.519099879451613</v>
      </c>
      <c r="AO156" s="36">
        <f ca="1">Tabela3[[#This Row],[Tabela 1]]*1.08</f>
        <v>18.920627869807742</v>
      </c>
      <c r="AP156" s="36">
        <f ca="1">Tabela3[[#This Row],[Tabela 2]]*1.15</f>
        <v>21.758722050278902</v>
      </c>
    </row>
    <row r="157" spans="1:42">
      <c r="A157" s="9">
        <v>45748</v>
      </c>
      <c r="B157" s="6" t="s">
        <v>257</v>
      </c>
      <c r="C157" s="14">
        <v>6179</v>
      </c>
      <c r="D157" s="6" t="s">
        <v>44</v>
      </c>
      <c r="E157" s="6" t="s">
        <v>47</v>
      </c>
      <c r="F157" s="6">
        <v>45</v>
      </c>
      <c r="G157" s="15">
        <v>0.20833333333333334</v>
      </c>
      <c r="H157" s="16">
        <v>0</v>
      </c>
      <c r="I157" s="35">
        <f ca="1">IFERROR(Tabela3[[#This Row],[Custo Total]]/Tabela3[[#This Row],[Aluminio Util]],0)</f>
        <v>29.268753441293043</v>
      </c>
      <c r="J157" s="35">
        <f ca="1">Tabela3[[#This Row],[Custo Total]]/Tabela3[[#This Row],[Realizado]]</f>
        <v>3.6585941801616304</v>
      </c>
      <c r="K157" s="37">
        <f>IFERROR(Tabela3[[#This Row],[Qtde Cx Produzida]]/Tabela3[[#This Row],[Tempo]]/24,0)</f>
        <v>9</v>
      </c>
      <c r="L157" s="37">
        <f>Tabela3[[#This Row],[Qtde Cx Produzida]]*Tabela3[[#This Row],[Qdt Peça Placa]]</f>
        <v>360</v>
      </c>
      <c r="M157" s="37">
        <f>Tabela3[[#This Row],[Previsto]]-Tabela3[[#This Row],[Perda Pçs]]</f>
        <v>360</v>
      </c>
      <c r="N157" s="38">
        <f>IFERROR(Tabela3[[#This Row],[Perda Pçs]]/Tabela3[[#This Row],[Previsto]],0)</f>
        <v>0</v>
      </c>
      <c r="O157" s="39">
        <f>IFERROR(IF(Tabela3[[#This Row],[Qtde Cx Produzida]] &lt;&gt; 0, Tabela3[[#This Row],[Tempo]] / Tabela3[[#This Row],[Qtde Cx Produzida]], 0),0)</f>
        <v>4.6296296296296302E-3</v>
      </c>
      <c r="P157" s="57">
        <f>IFERROR(Tabela3[[#This Row],[Perda Pçs]]/Tabela3[[#This Row],[Qdt Peça Placa]],0)</f>
        <v>0</v>
      </c>
      <c r="Q157" s="37">
        <f>IFERROR(Tabela3[[#This Row],[Realizado]]*Tabela3[[#This Row],[Peso Util/Pç]],0)</f>
        <v>45</v>
      </c>
      <c r="R157" s="37">
        <f>IFERROR(Tabela3[[#This Row],[Peso Total Galho]]*Tabela3[[#This Row],[Qtde Cx Produzida]]*1.055,0)</f>
        <v>104.44500000000001</v>
      </c>
      <c r="S157" s="37">
        <f>(Tabela3[[#This Row],[Aluminio Bruto]]-Tabela3[[#This Row],[Aluminio Util]])*0.9</f>
        <v>53.500500000000009</v>
      </c>
      <c r="T157" s="37">
        <f>Tabela3[[#This Row],[Aluminio Bruto]]/OleoKGAluminio</f>
        <v>43.939876453912447</v>
      </c>
      <c r="U157" s="35">
        <f>IFERROR((VLOOKUP(Tabela3[[#This Row],[Moldador]],Tabela1[],5,)+(VLOOKUP(Tabela3[[#This Row],[Ajudante]],Tabela1[],5,))*3.5),0)</f>
        <v>99.95034583333333</v>
      </c>
      <c r="V157" s="35">
        <f>IFERROR(Tabela3[[#This Row],[Custo M.O. / H]]/((Tabela3[[#This Row],[Realizado]]/Tabela3[[#This Row],[Qdt Peça Placa]])/Tabela3[[#This Row],[Tempo]]/24),)</f>
        <v>11.105593981481482</v>
      </c>
      <c r="W157" s="35">
        <f>Tabela3[[#This Row],[Custo / Cx Moldada]]*Tabela3[[#This Row],[Qtde Cx Produzida]]</f>
        <v>499.75172916666668</v>
      </c>
      <c r="X157" s="35">
        <f ca="1">Tabela3[[#This Row],[Aluminio Util]]*Tabela3[[#This Row],[Custo/Kg]]</f>
        <v>702.00000000000011</v>
      </c>
      <c r="Y157" s="35">
        <f>IFERROR(VLOOKUP(Tabela3[[#This Row],[Data]],Tabela461213[],2,1)*(Tabela3[[#This Row],[Qtde Cx Produzida]]*Tabela3[[#This Row],[Qde macho / CX]]*Tabela3[[#This Row],[Peso Macho]]),)</f>
        <v>0</v>
      </c>
      <c r="Z157" s="35">
        <f>IFERROR(Tabela3[[#This Row],[Qtde Oleo]]*(VLOOKUP(Tabela3[[#This Row],[Data]],CompraOleo[],3,TRUE))*1.05,0)</f>
        <v>115.34217569152018</v>
      </c>
      <c r="AA157" s="47">
        <f ca="1">(Tabela3[[#This Row],[Custo Oleo]]+Tabela3[[#This Row],[Custo Aluminio]]+Tabela3[[#This Row],[Custo M.O. Total]]+Tabela3[[#This Row],[Custo Machos]])</f>
        <v>1317.093904858187</v>
      </c>
      <c r="AB157" s="47">
        <f ca="1">Tabela3[[#This Row],[Custo Total]]*Tabela3[[#This Row],[% Perda]]</f>
        <v>0</v>
      </c>
      <c r="AC157" s="48">
        <f>IFERROR(VLOOKUP(Tabela3[[#This Row],[Produto]],Tabela2[],2,0),0)</f>
        <v>8</v>
      </c>
      <c r="AD157" s="48">
        <f>IFERROR(VLOOKUP(Tabela3[[#This Row],[Produto]],Tabela2[],3,0),0)</f>
        <v>0.125</v>
      </c>
      <c r="AE157" s="48">
        <f>IFERROR(VLOOKUP(Tabela3[[#This Row],[Produto]],Tabela2[],4,0),0)</f>
        <v>2.2000000000000002</v>
      </c>
      <c r="AF157" s="48">
        <f>IFERROR(VLOOKUP(Tabela3[[#This Row],[Produto]],Tabela2[],5,0),0)</f>
        <v>1.0800000000000003</v>
      </c>
      <c r="AG157" s="40">
        <f>IFERROR(VLOOKUP(Tabela3[[#This Row],[Produto]],Tabela2[],6,0),0)</f>
        <v>0</v>
      </c>
      <c r="AH157" s="40">
        <f>IFERROR(VLOOKUP(Tabela3[[#This Row],[Produto]],Tabela2[],7,0),0)</f>
        <v>0</v>
      </c>
      <c r="AI157" s="40">
        <f>IFERROR(VLOOKUP(Tabela3[[#This Row],[Produto]],Tabela2[],8,0),0)</f>
        <v>0</v>
      </c>
      <c r="AJ157" s="35">
        <f ca="1">IFERROR(VLOOKUP(Tabela3[[#This Row],[Produto]],Tabela2[],13,0),0)</f>
        <v>15.600000000000001</v>
      </c>
      <c r="AK157" s="40" t="str">
        <f>IFERROR(VLOOKUP(Tabela3[[#This Row],[Produto]],Tabela2[],14,0),0)</f>
        <v>Senun</v>
      </c>
      <c r="AL157" s="40">
        <f>IFERROR(VLOOKUP(Tabela3[[#This Row],[Produto]],Tabela2[],15,0),0)</f>
        <v>7</v>
      </c>
      <c r="AM157" s="36">
        <f ca="1">(Tabela3[[#This Row],[Custo Usinagem]]+Tabela3[[#This Row],[Custo / Pç]])*1.2</f>
        <v>12.790313016193956</v>
      </c>
      <c r="AN157" s="36">
        <f ca="1">Tabela3[[#This Row],[Valor Mínimo Venda]]*1.15</f>
        <v>14.708859968623049</v>
      </c>
      <c r="AO157" s="36">
        <f ca="1">Tabela3[[#This Row],[Tabela 1]]*1.08</f>
        <v>15.885568766112893</v>
      </c>
      <c r="AP157" s="36">
        <f ca="1">Tabela3[[#This Row],[Tabela 2]]*1.15</f>
        <v>18.268404081029825</v>
      </c>
    </row>
    <row r="158" spans="1:42">
      <c r="A158" s="9">
        <v>45748</v>
      </c>
      <c r="B158" s="6" t="s">
        <v>221</v>
      </c>
      <c r="C158" s="14">
        <v>6212</v>
      </c>
      <c r="D158" s="6" t="s">
        <v>44</v>
      </c>
      <c r="E158" s="6" t="s">
        <v>47</v>
      </c>
      <c r="F158" s="6">
        <v>23</v>
      </c>
      <c r="G158" s="15">
        <v>0.1</v>
      </c>
      <c r="H158" s="16">
        <v>0</v>
      </c>
      <c r="I158" s="35">
        <f ca="1">IFERROR(Tabela3[[#This Row],[Custo Total]]/Tabela3[[#This Row],[Aluminio Util]],0)</f>
        <v>23.109695769706029</v>
      </c>
      <c r="J158" s="35">
        <f ca="1">Tabela3[[#This Row],[Custo Total]]/Tabela3[[#This Row],[Realizado]]</f>
        <v>2.9349313627526659</v>
      </c>
      <c r="K158" s="37">
        <f>IFERROR(Tabela3[[#This Row],[Qtde Cx Produzida]]/Tabela3[[#This Row],[Tempo]]/24,0)</f>
        <v>9.5833333333333339</v>
      </c>
      <c r="L158" s="37">
        <f>Tabela3[[#This Row],[Qtde Cx Produzida]]*Tabela3[[#This Row],[Qdt Peça Placa]]</f>
        <v>414</v>
      </c>
      <c r="M158" s="37">
        <f>Tabela3[[#This Row],[Previsto]]-Tabela3[[#This Row],[Perda Pçs]]</f>
        <v>414</v>
      </c>
      <c r="N158" s="38">
        <f>IFERROR(Tabela3[[#This Row],[Perda Pçs]]/Tabela3[[#This Row],[Previsto]],0)</f>
        <v>0</v>
      </c>
      <c r="O158" s="39">
        <f>IFERROR(IF(Tabela3[[#This Row],[Qtde Cx Produzida]] &lt;&gt; 0, Tabela3[[#This Row],[Tempo]] / Tabela3[[#This Row],[Qtde Cx Produzida]], 0),0)</f>
        <v>4.3478260869565218E-3</v>
      </c>
      <c r="P158" s="57">
        <f>IFERROR(Tabela3[[#This Row],[Perda Pçs]]/Tabela3[[#This Row],[Qdt Peça Placa]],0)</f>
        <v>0</v>
      </c>
      <c r="Q158" s="37">
        <f>IFERROR(Tabela3[[#This Row],[Realizado]]*Tabela3[[#This Row],[Peso Util/Pç]],0)</f>
        <v>52.578000000000003</v>
      </c>
      <c r="R158" s="37">
        <f>IFERROR(Tabela3[[#This Row],[Peso Total Galho]]*Tabela3[[#This Row],[Qtde Cx Produzida]]*1.055,0)</f>
        <v>94.148199999999989</v>
      </c>
      <c r="S158" s="37">
        <f>(Tabela3[[#This Row],[Aluminio Bruto]]-Tabela3[[#This Row],[Aluminio Util]])*0.9</f>
        <v>37.41317999999999</v>
      </c>
      <c r="T158" s="37">
        <f>Tabela3[[#This Row],[Aluminio Bruto]]/OleoKGAluminio</f>
        <v>39.608026007546925</v>
      </c>
      <c r="U158" s="35">
        <f>IFERROR((VLOOKUP(Tabela3[[#This Row],[Moldador]],Tabela1[],5,)+(VLOOKUP(Tabela3[[#This Row],[Ajudante]],Tabela1[],5,))*3.5),0)</f>
        <v>99.95034583333333</v>
      </c>
      <c r="V158" s="35">
        <f>IFERROR(Tabela3[[#This Row],[Custo M.O. / H]]/((Tabela3[[#This Row],[Realizado]]/Tabela3[[#This Row],[Qdt Peça Placa]])/Tabela3[[#This Row],[Tempo]]/24),)</f>
        <v>10.429601304347825</v>
      </c>
      <c r="W158" s="35">
        <f>Tabela3[[#This Row],[Custo / Cx Moldada]]*Tabela3[[#This Row],[Qtde Cx Produzida]]</f>
        <v>239.88082999999997</v>
      </c>
      <c r="X158" s="35">
        <f ca="1">Tabela3[[#This Row],[Aluminio Util]]*Tabela3[[#This Row],[Custo/Kg]]</f>
        <v>871.20968590979305</v>
      </c>
      <c r="Y158" s="35">
        <f>IFERROR(VLOOKUP(Tabela3[[#This Row],[Data]],Tabela461213[],2,1)*(Tabela3[[#This Row],[Qtde Cx Produzida]]*Tabela3[[#This Row],[Qde macho / CX]]*Tabela3[[#This Row],[Peso Macho]]),)</f>
        <v>0</v>
      </c>
      <c r="Z158" s="35">
        <f>IFERROR(Tabela3[[#This Row],[Qtde Oleo]]*(VLOOKUP(Tabela3[[#This Row],[Data]],CompraOleo[],3,TRUE))*1.05,0)</f>
        <v>103.97106826981069</v>
      </c>
      <c r="AA158" s="47">
        <f ca="1">(Tabela3[[#This Row],[Custo Oleo]]+Tabela3[[#This Row],[Custo Aluminio]]+Tabela3[[#This Row],[Custo M.O. Total]]+Tabela3[[#This Row],[Custo Machos]])</f>
        <v>1215.0615841796036</v>
      </c>
      <c r="AB158" s="47">
        <f ca="1">Tabela3[[#This Row],[Custo Total]]*Tabela3[[#This Row],[% Perda]]</f>
        <v>0</v>
      </c>
      <c r="AC158" s="48">
        <f>IFERROR(VLOOKUP(Tabela3[[#This Row],[Produto]],Tabela2[],2,0),0)</f>
        <v>18</v>
      </c>
      <c r="AD158" s="48">
        <f>IFERROR(VLOOKUP(Tabela3[[#This Row],[Produto]],Tabela2[],3,0),0)</f>
        <v>0.127</v>
      </c>
      <c r="AE158" s="48">
        <f>IFERROR(VLOOKUP(Tabela3[[#This Row],[Produto]],Tabela2[],4,0),0)</f>
        <v>3.88</v>
      </c>
      <c r="AF158" s="48">
        <f>IFERROR(VLOOKUP(Tabela3[[#This Row],[Produto]],Tabela2[],5,0),0)</f>
        <v>1.4345999999999999</v>
      </c>
      <c r="AG158" s="40">
        <f>IFERROR(VLOOKUP(Tabela3[[#This Row],[Produto]],Tabela2[],6,0),0)</f>
        <v>0</v>
      </c>
      <c r="AH158" s="40">
        <f>IFERROR(VLOOKUP(Tabela3[[#This Row],[Produto]],Tabela2[],7,0),0)</f>
        <v>0</v>
      </c>
      <c r="AI158" s="40">
        <f>IFERROR(VLOOKUP(Tabela3[[#This Row],[Produto]],Tabela2[],8,0),0)</f>
        <v>0</v>
      </c>
      <c r="AJ158" s="35">
        <f ca="1">IFERROR(VLOOKUP(Tabela3[[#This Row],[Produto]],Tabela2[],13,0),0)</f>
        <v>16.569852141766386</v>
      </c>
      <c r="AK158" s="40" t="str">
        <f>IFERROR(VLOOKUP(Tabela3[[#This Row],[Produto]],Tabela2[],14,0),0)</f>
        <v>Marcelo</v>
      </c>
      <c r="AL158" s="40">
        <f>IFERROR(VLOOKUP(Tabela3[[#This Row],[Produto]],Tabela2[],15,0),0)</f>
        <v>0</v>
      </c>
      <c r="AM158" s="36">
        <f ca="1">(Tabela3[[#This Row],[Custo Usinagem]]+Tabela3[[#This Row],[Custo / Pç]])*1.2</f>
        <v>3.5219176353031991</v>
      </c>
      <c r="AN158" s="36">
        <f ca="1">Tabela3[[#This Row],[Valor Mínimo Venda]]*1.15</f>
        <v>4.0502052805986786</v>
      </c>
      <c r="AO158" s="36">
        <f ca="1">Tabela3[[#This Row],[Tabela 1]]*1.08</f>
        <v>4.3742217030465733</v>
      </c>
      <c r="AP158" s="36">
        <f ca="1">Tabela3[[#This Row],[Tabela 2]]*1.15</f>
        <v>5.0303549585035592</v>
      </c>
    </row>
    <row r="159" spans="1:42">
      <c r="A159" s="9">
        <v>45749</v>
      </c>
      <c r="B159" s="6" t="s">
        <v>247</v>
      </c>
      <c r="C159" s="14">
        <v>6142</v>
      </c>
      <c r="D159" s="6" t="s">
        <v>46</v>
      </c>
      <c r="E159" s="6" t="s">
        <v>53</v>
      </c>
      <c r="F159" s="6">
        <v>26</v>
      </c>
      <c r="G159" s="15">
        <v>0.11666666666666667</v>
      </c>
      <c r="H159" s="16">
        <v>0</v>
      </c>
      <c r="I159" s="35">
        <f ca="1">IFERROR(Tabela3[[#This Row],[Custo Total]]/Tabela3[[#This Row],[Aluminio Util]],0)</f>
        <v>26.802958421183927</v>
      </c>
      <c r="J159" s="35">
        <f ca="1">Tabela3[[#This Row],[Custo Total]]/Tabela3[[#This Row],[Realizado]]</f>
        <v>8.0408875263551778</v>
      </c>
      <c r="K159" s="37">
        <f>IFERROR(Tabela3[[#This Row],[Qtde Cx Produzida]]/Tabela3[[#This Row],[Tempo]]/24,0)</f>
        <v>9.2857142857142865</v>
      </c>
      <c r="L159" s="37">
        <f>Tabela3[[#This Row],[Qtde Cx Produzida]]*Tabela3[[#This Row],[Qdt Peça Placa]]</f>
        <v>104</v>
      </c>
      <c r="M159" s="37">
        <f>Tabela3[[#This Row],[Previsto]]-Tabela3[[#This Row],[Perda Pçs]]</f>
        <v>104</v>
      </c>
      <c r="N159" s="38">
        <f>IFERROR(Tabela3[[#This Row],[Perda Pçs]]/Tabela3[[#This Row],[Previsto]],0)</f>
        <v>0</v>
      </c>
      <c r="O159" s="39">
        <f>IFERROR(IF(Tabela3[[#This Row],[Qtde Cx Produzida]] &lt;&gt; 0, Tabela3[[#This Row],[Tempo]] / Tabela3[[#This Row],[Qtde Cx Produzida]], 0),0)</f>
        <v>4.4871794871794869E-3</v>
      </c>
      <c r="P159" s="57">
        <f>IFERROR(Tabela3[[#This Row],[Perda Pçs]]/Tabela3[[#This Row],[Qdt Peça Placa]],0)</f>
        <v>0</v>
      </c>
      <c r="Q159" s="37">
        <f>IFERROR(Tabela3[[#This Row],[Realizado]]*Tabela3[[#This Row],[Peso Util/Pç]],0)</f>
        <v>31.2</v>
      </c>
      <c r="R159" s="37">
        <f>IFERROR(Tabela3[[#This Row],[Peso Total Galho]]*Tabela3[[#This Row],[Qtde Cx Produzida]]*1.055,0)</f>
        <v>63.088999999999992</v>
      </c>
      <c r="S159" s="37">
        <f>(Tabela3[[#This Row],[Aluminio Bruto]]-Tabela3[[#This Row],[Aluminio Util]])*0.9</f>
        <v>28.700099999999992</v>
      </c>
      <c r="T159" s="37">
        <f>Tabela3[[#This Row],[Aluminio Bruto]]/OleoKGAluminio</f>
        <v>26.541460726706706</v>
      </c>
      <c r="U159" s="35">
        <f>IFERROR((VLOOKUP(Tabela3[[#This Row],[Moldador]],Tabela1[],5,)+(VLOOKUP(Tabela3[[#This Row],[Ajudante]],Tabela1[],5,))*3.5),0)</f>
        <v>99.95034583333333</v>
      </c>
      <c r="V159" s="35">
        <f>IFERROR(Tabela3[[#This Row],[Custo M.O. / H]]/((Tabela3[[#This Row],[Realizado]]/Tabela3[[#This Row],[Qdt Peça Placa]])/Tabela3[[#This Row],[Tempo]]/24),)</f>
        <v>10.763883397435896</v>
      </c>
      <c r="W159" s="35">
        <f>Tabela3[[#This Row],[Custo / Cx Moldada]]*Tabela3[[#This Row],[Qtde Cx Produzida]]</f>
        <v>279.86096833333329</v>
      </c>
      <c r="X159" s="35">
        <f ca="1">Tabela3[[#This Row],[Aluminio Util]]*Tabela3[[#This Row],[Custo/Kg]]</f>
        <v>486.72</v>
      </c>
      <c r="Y159" s="35">
        <f>IFERROR(VLOOKUP(Tabela3[[#This Row],[Data]],Tabela461213[],2,1)*(Tabela3[[#This Row],[Qtde Cx Produzida]]*Tabela3[[#This Row],[Qde macho / CX]]*Tabela3[[#This Row],[Peso Macho]]),)</f>
        <v>0</v>
      </c>
      <c r="Z159" s="35">
        <f>IFERROR(Tabela3[[#This Row],[Qtde Oleo]]*(VLOOKUP(Tabela3[[#This Row],[Data]],CompraOleo[],3,TRUE))*1.05,0)</f>
        <v>69.671334407605116</v>
      </c>
      <c r="AA159" s="47">
        <f ca="1">(Tabela3[[#This Row],[Custo Oleo]]+Tabela3[[#This Row],[Custo Aluminio]]+Tabela3[[#This Row],[Custo M.O. Total]]+Tabela3[[#This Row],[Custo Machos]])</f>
        <v>836.25230274093849</v>
      </c>
      <c r="AB159" s="47">
        <f ca="1">Tabela3[[#This Row],[Custo Total]]*Tabela3[[#This Row],[% Perda]]</f>
        <v>0</v>
      </c>
      <c r="AC159" s="48">
        <f>IFERROR(VLOOKUP(Tabela3[[#This Row],[Produto]],Tabela2[],2,0),0)</f>
        <v>4</v>
      </c>
      <c r="AD159" s="48">
        <f>IFERROR(VLOOKUP(Tabela3[[#This Row],[Produto]],Tabela2[],3,0),0)</f>
        <v>0.3</v>
      </c>
      <c r="AE159" s="48">
        <f>IFERROR(VLOOKUP(Tabela3[[#This Row],[Produto]],Tabela2[],4,0),0)</f>
        <v>2.2999999999999998</v>
      </c>
      <c r="AF159" s="48">
        <f>IFERROR(VLOOKUP(Tabela3[[#This Row],[Produto]],Tabela2[],5,0),0)</f>
        <v>0.98999999999999988</v>
      </c>
      <c r="AG159" s="40">
        <f>IFERROR(VLOOKUP(Tabela3[[#This Row],[Produto]],Tabela2[],6,0),0)</f>
        <v>0</v>
      </c>
      <c r="AH159" s="40">
        <f>IFERROR(VLOOKUP(Tabela3[[#This Row],[Produto]],Tabela2[],7,0),0)</f>
        <v>0</v>
      </c>
      <c r="AI159" s="40">
        <f>IFERROR(VLOOKUP(Tabela3[[#This Row],[Produto]],Tabela2[],8,0),0)</f>
        <v>0</v>
      </c>
      <c r="AJ159" s="35">
        <f ca="1">IFERROR(VLOOKUP(Tabela3[[#This Row],[Produto]],Tabela2[],13,0),0)</f>
        <v>15.600000000000001</v>
      </c>
      <c r="AK159" s="40" t="str">
        <f>IFERROR(VLOOKUP(Tabela3[[#This Row],[Produto]],Tabela2[],14,0),0)</f>
        <v>Senun</v>
      </c>
      <c r="AL159" s="40">
        <f>IFERROR(VLOOKUP(Tabela3[[#This Row],[Produto]],Tabela2[],15,0),0)</f>
        <v>3.5</v>
      </c>
      <c r="AM159" s="36">
        <f ca="1">(Tabela3[[#This Row],[Custo Usinagem]]+Tabela3[[#This Row],[Custo / Pç]])*1.2</f>
        <v>13.849065031626212</v>
      </c>
      <c r="AN159" s="36">
        <f ca="1">Tabela3[[#This Row],[Valor Mínimo Venda]]*1.15</f>
        <v>15.926424786370143</v>
      </c>
      <c r="AO159" s="36">
        <f ca="1">Tabela3[[#This Row],[Tabela 1]]*1.08</f>
        <v>17.200538769279756</v>
      </c>
      <c r="AP159" s="36">
        <f ca="1">Tabela3[[#This Row],[Tabela 2]]*1.15</f>
        <v>19.780619584671719</v>
      </c>
    </row>
    <row r="160" spans="1:42">
      <c r="A160" s="9">
        <v>45749</v>
      </c>
      <c r="B160" s="6" t="s">
        <v>288</v>
      </c>
      <c r="C160" s="14">
        <v>6176</v>
      </c>
      <c r="D160" s="6" t="s">
        <v>46</v>
      </c>
      <c r="E160" s="6" t="s">
        <v>53</v>
      </c>
      <c r="F160" s="6">
        <v>53</v>
      </c>
      <c r="G160" s="15">
        <v>0.22847222222222222</v>
      </c>
      <c r="H160" s="16">
        <v>0</v>
      </c>
      <c r="I160" s="35">
        <f ca="1">IFERROR(Tabela3[[#This Row],[Custo Total]]/Tabela3[[#This Row],[Aluminio Util]],0)</f>
        <v>23.750316004539357</v>
      </c>
      <c r="J160" s="35">
        <f ca="1">Tabela3[[#This Row],[Custo Total]]/Tabela3[[#This Row],[Realizado]]</f>
        <v>60.088299491484577</v>
      </c>
      <c r="K160" s="37">
        <f>IFERROR(Tabela3[[#This Row],[Qtde Cx Produzida]]/Tabela3[[#This Row],[Tempo]]/24,0)</f>
        <v>9.6656534954407309</v>
      </c>
      <c r="L160" s="37">
        <f>Tabela3[[#This Row],[Qtde Cx Produzida]]*Tabela3[[#This Row],[Qdt Peça Placa]]</f>
        <v>53</v>
      </c>
      <c r="M160" s="37">
        <f>Tabela3[[#This Row],[Previsto]]-Tabela3[[#This Row],[Perda Pçs]]</f>
        <v>53</v>
      </c>
      <c r="N160" s="38">
        <f>IFERROR(Tabela3[[#This Row],[Perda Pçs]]/Tabela3[[#This Row],[Previsto]],0)</f>
        <v>0</v>
      </c>
      <c r="O160" s="39">
        <f>IFERROR(IF(Tabela3[[#This Row],[Qtde Cx Produzida]] &lt;&gt; 0, Tabela3[[#This Row],[Tempo]] / Tabela3[[#This Row],[Qtde Cx Produzida]], 0),0)</f>
        <v>4.3107966457023063E-3</v>
      </c>
      <c r="P160" s="57">
        <f>IFERROR(Tabela3[[#This Row],[Perda Pçs]]/Tabela3[[#This Row],[Qdt Peça Placa]],0)</f>
        <v>0</v>
      </c>
      <c r="Q160" s="37">
        <f>IFERROR(Tabela3[[#This Row],[Realizado]]*Tabela3[[#This Row],[Peso Util/Pç]],0)</f>
        <v>134.09</v>
      </c>
      <c r="R160" s="37">
        <f>IFERROR(Tabela3[[#This Row],[Peso Total Galho]]*Tabela3[[#This Row],[Qtde Cx Produzida]]*1.055,0)</f>
        <v>250.4992</v>
      </c>
      <c r="S160" s="37">
        <f>(Tabela3[[#This Row],[Aluminio Bruto]]-Tabela3[[#This Row],[Aluminio Util]])*0.9</f>
        <v>104.76828</v>
      </c>
      <c r="T160" s="37">
        <f>Tabela3[[#This Row],[Aluminio Bruto]]/OleoKGAluminio</f>
        <v>105.38468954764616</v>
      </c>
      <c r="U160" s="35">
        <f>IFERROR((VLOOKUP(Tabela3[[#This Row],[Moldador]],Tabela1[],5,)+(VLOOKUP(Tabela3[[#This Row],[Ajudante]],Tabela1[],5,))*3.5),0)</f>
        <v>99.95034583333333</v>
      </c>
      <c r="V160" s="35">
        <f>IFERROR(Tabela3[[#This Row],[Custo M.O. / H]]/((Tabela3[[#This Row],[Realizado]]/Tabela3[[#This Row],[Qdt Peça Placa]])/Tabela3[[#This Row],[Tempo]]/24),)</f>
        <v>10.340774773322849</v>
      </c>
      <c r="W160" s="35">
        <f>Tabela3[[#This Row],[Custo / Cx Moldada]]*Tabela3[[#This Row],[Qtde Cx Produzida]]</f>
        <v>548.06106298611098</v>
      </c>
      <c r="X160" s="35">
        <f ca="1">Tabela3[[#This Row],[Aluminio Util]]*Tabela3[[#This Row],[Custo/Kg]]</f>
        <v>2359.9840000000004</v>
      </c>
      <c r="Y160" s="35">
        <f>IFERROR(VLOOKUP(Tabela3[[#This Row],[Data]],Tabela461213[],2,1)*(Tabela3[[#This Row],[Qtde Cx Produzida]]*Tabela3[[#This Row],[Qde macho / CX]]*Tabela3[[#This Row],[Peso Macho]]),)</f>
        <v>0</v>
      </c>
      <c r="Z160" s="35">
        <f>IFERROR(Tabela3[[#This Row],[Qtde Oleo]]*(VLOOKUP(Tabela3[[#This Row],[Data]],CompraOleo[],3,TRUE))*1.05,0)</f>
        <v>276.6348100625712</v>
      </c>
      <c r="AA160" s="47">
        <f ca="1">(Tabela3[[#This Row],[Custo Oleo]]+Tabela3[[#This Row],[Custo Aluminio]]+Tabela3[[#This Row],[Custo M.O. Total]]+Tabela3[[#This Row],[Custo Machos]])</f>
        <v>3184.6798730486826</v>
      </c>
      <c r="AB160" s="47">
        <f ca="1">Tabela3[[#This Row],[Custo Total]]*Tabela3[[#This Row],[% Perda]]</f>
        <v>0</v>
      </c>
      <c r="AC160" s="48">
        <f>IFERROR(VLOOKUP(Tabela3[[#This Row],[Produto]],Tabela2[],2,0),0)</f>
        <v>1</v>
      </c>
      <c r="AD160" s="48">
        <f>IFERROR(VLOOKUP(Tabela3[[#This Row],[Produto]],Tabela2[],3,0),0)</f>
        <v>2.5299999999999998</v>
      </c>
      <c r="AE160" s="48">
        <f>IFERROR(VLOOKUP(Tabela3[[#This Row],[Produto]],Tabela2[],4,0),0)</f>
        <v>4.4800000000000004</v>
      </c>
      <c r="AF160" s="48">
        <f>IFERROR(VLOOKUP(Tabela3[[#This Row],[Produto]],Tabela2[],5,0),0)</f>
        <v>1.7550000000000006</v>
      </c>
      <c r="AG160" s="40">
        <f>IFERROR(VLOOKUP(Tabela3[[#This Row],[Produto]],Tabela2[],6,0),0)</f>
        <v>0</v>
      </c>
      <c r="AH160" s="40">
        <f>IFERROR(VLOOKUP(Tabela3[[#This Row],[Produto]],Tabela2[],7,0),0)</f>
        <v>0</v>
      </c>
      <c r="AI160" s="40">
        <f>IFERROR(VLOOKUP(Tabela3[[#This Row],[Produto]],Tabela2[],8,0),0)</f>
        <v>0</v>
      </c>
      <c r="AJ160" s="35">
        <f ca="1">IFERROR(VLOOKUP(Tabela3[[#This Row],[Produto]],Tabela2[],13,0),0)</f>
        <v>17.600000000000001</v>
      </c>
      <c r="AK160" s="40" t="str">
        <f>IFERROR(VLOOKUP(Tabela3[[#This Row],[Produto]],Tabela2[],14,0),0)</f>
        <v>Bambozzi</v>
      </c>
      <c r="AL160" s="40">
        <f>IFERROR(VLOOKUP(Tabela3[[#This Row],[Produto]],Tabela2[],15,0),0)</f>
        <v>15</v>
      </c>
      <c r="AM160" s="36">
        <f ca="1">(Tabela3[[#This Row],[Custo Usinagem]]+Tabela3[[#This Row],[Custo / Pç]])*1.2</f>
        <v>90.105959389781489</v>
      </c>
      <c r="AN160" s="36">
        <f ca="1">Tabela3[[#This Row],[Valor Mínimo Venda]]*1.15</f>
        <v>103.62185329824871</v>
      </c>
      <c r="AO160" s="36">
        <f ca="1">Tabela3[[#This Row],[Tabela 1]]*1.08</f>
        <v>111.91160156210861</v>
      </c>
      <c r="AP160" s="36">
        <f ca="1">Tabela3[[#This Row],[Tabela 2]]*1.15</f>
        <v>128.6983417964249</v>
      </c>
    </row>
    <row r="161" spans="1:42">
      <c r="A161" s="9">
        <v>45749</v>
      </c>
      <c r="B161" s="6" t="s">
        <v>221</v>
      </c>
      <c r="C161" s="14">
        <v>6212</v>
      </c>
      <c r="D161" s="6" t="s">
        <v>44</v>
      </c>
      <c r="E161" s="6" t="s">
        <v>47</v>
      </c>
      <c r="F161" s="6">
        <v>7</v>
      </c>
      <c r="G161" s="15">
        <v>3.1944444444444442E-2</v>
      </c>
      <c r="H161" s="16">
        <v>0</v>
      </c>
      <c r="I161" s="35">
        <f ca="1">IFERROR(Tabela3[[#This Row],[Custo Total]]/Tabela3[[#This Row],[Aluminio Util]],0)</f>
        <v>23.336004314999588</v>
      </c>
      <c r="J161" s="35">
        <f ca="1">Tabela3[[#This Row],[Custo Total]]/Tabela3[[#This Row],[Realizado]]</f>
        <v>2.9636725480049475</v>
      </c>
      <c r="K161" s="37">
        <f>IFERROR(Tabela3[[#This Row],[Qtde Cx Produzida]]/Tabela3[[#This Row],[Tempo]]/24,0)</f>
        <v>9.1304347826086971</v>
      </c>
      <c r="L161" s="37">
        <f>Tabela3[[#This Row],[Qtde Cx Produzida]]*Tabela3[[#This Row],[Qdt Peça Placa]]</f>
        <v>126</v>
      </c>
      <c r="M161" s="37">
        <f>Tabela3[[#This Row],[Previsto]]-Tabela3[[#This Row],[Perda Pçs]]</f>
        <v>126</v>
      </c>
      <c r="N161" s="38">
        <f>IFERROR(Tabela3[[#This Row],[Perda Pçs]]/Tabela3[[#This Row],[Previsto]],0)</f>
        <v>0</v>
      </c>
      <c r="O161" s="39">
        <f>IFERROR(IF(Tabela3[[#This Row],[Qtde Cx Produzida]] &lt;&gt; 0, Tabela3[[#This Row],[Tempo]] / Tabela3[[#This Row],[Qtde Cx Produzida]], 0),0)</f>
        <v>4.5634920634920629E-3</v>
      </c>
      <c r="P161" s="57">
        <f>IFERROR(Tabela3[[#This Row],[Perda Pçs]]/Tabela3[[#This Row],[Qdt Peça Placa]],0)</f>
        <v>0</v>
      </c>
      <c r="Q161" s="37">
        <f>IFERROR(Tabela3[[#This Row],[Realizado]]*Tabela3[[#This Row],[Peso Util/Pç]],0)</f>
        <v>16.001999999999999</v>
      </c>
      <c r="R161" s="37">
        <f>IFERROR(Tabela3[[#This Row],[Peso Total Galho]]*Tabela3[[#This Row],[Qtde Cx Produzida]]*1.055,0)</f>
        <v>28.653799999999997</v>
      </c>
      <c r="S161" s="37">
        <f>(Tabela3[[#This Row],[Aluminio Bruto]]-Tabela3[[#This Row],[Aluminio Util]])*0.9</f>
        <v>11.386619999999999</v>
      </c>
      <c r="T161" s="37">
        <f>Tabela3[[#This Row],[Aluminio Bruto]]/OleoKGAluminio</f>
        <v>12.054616610992543</v>
      </c>
      <c r="U161" s="35">
        <f>IFERROR((VLOOKUP(Tabela3[[#This Row],[Moldador]],Tabela1[],5,)+(VLOOKUP(Tabela3[[#This Row],[Ajudante]],Tabela1[],5,))*3.5),0)</f>
        <v>99.95034583333333</v>
      </c>
      <c r="V161" s="35">
        <f>IFERROR(Tabela3[[#This Row],[Custo M.O. / H]]/((Tabela3[[#This Row],[Realizado]]/Tabela3[[#This Row],[Qdt Peça Placa]])/Tabela3[[#This Row],[Tempo]]/24),)</f>
        <v>10.946942638888887</v>
      </c>
      <c r="W161" s="35">
        <f>Tabela3[[#This Row],[Custo / Cx Moldada]]*Tabela3[[#This Row],[Qtde Cx Produzida]]</f>
        <v>76.628598472222208</v>
      </c>
      <c r="X161" s="35">
        <f ca="1">Tabela3[[#This Row],[Aluminio Util]]*Tabela3[[#This Row],[Custo/Kg]]</f>
        <v>265.15077397254572</v>
      </c>
      <c r="Y161" s="35">
        <f>IFERROR(VLOOKUP(Tabela3[[#This Row],[Data]],Tabela461213[],2,1)*(Tabela3[[#This Row],[Qtde Cx Produzida]]*Tabela3[[#This Row],[Qde macho / CX]]*Tabela3[[#This Row],[Peso Macho]]),)</f>
        <v>0</v>
      </c>
      <c r="Z161" s="35">
        <f>IFERROR(Tabela3[[#This Row],[Qtde Oleo]]*(VLOOKUP(Tabela3[[#This Row],[Data]],CompraOleo[],3,TRUE))*1.05,0)</f>
        <v>31.643368603855425</v>
      </c>
      <c r="AA161" s="47">
        <f ca="1">(Tabela3[[#This Row],[Custo Oleo]]+Tabela3[[#This Row],[Custo Aluminio]]+Tabela3[[#This Row],[Custo M.O. Total]]+Tabela3[[#This Row],[Custo Machos]])</f>
        <v>373.42274104862338</v>
      </c>
      <c r="AB161" s="47">
        <f ca="1">Tabela3[[#This Row],[Custo Total]]*Tabela3[[#This Row],[% Perda]]</f>
        <v>0</v>
      </c>
      <c r="AC161" s="48">
        <f>IFERROR(VLOOKUP(Tabela3[[#This Row],[Produto]],Tabela2[],2,0),0)</f>
        <v>18</v>
      </c>
      <c r="AD161" s="48">
        <f>IFERROR(VLOOKUP(Tabela3[[#This Row],[Produto]],Tabela2[],3,0),0)</f>
        <v>0.127</v>
      </c>
      <c r="AE161" s="48">
        <f>IFERROR(VLOOKUP(Tabela3[[#This Row],[Produto]],Tabela2[],4,0),0)</f>
        <v>3.88</v>
      </c>
      <c r="AF161" s="48">
        <f>IFERROR(VLOOKUP(Tabela3[[#This Row],[Produto]],Tabela2[],5,0),0)</f>
        <v>1.4345999999999999</v>
      </c>
      <c r="AG161" s="40">
        <f>IFERROR(VLOOKUP(Tabela3[[#This Row],[Produto]],Tabela2[],6,0),0)</f>
        <v>0</v>
      </c>
      <c r="AH161" s="40">
        <f>IFERROR(VLOOKUP(Tabela3[[#This Row],[Produto]],Tabela2[],7,0),0)</f>
        <v>0</v>
      </c>
      <c r="AI161" s="40">
        <f>IFERROR(VLOOKUP(Tabela3[[#This Row],[Produto]],Tabela2[],8,0),0)</f>
        <v>0</v>
      </c>
      <c r="AJ161" s="35">
        <f ca="1">IFERROR(VLOOKUP(Tabela3[[#This Row],[Produto]],Tabela2[],13,0),0)</f>
        <v>16.569852141766386</v>
      </c>
      <c r="AK161" s="40" t="str">
        <f>IFERROR(VLOOKUP(Tabela3[[#This Row],[Produto]],Tabela2[],14,0),0)</f>
        <v>Marcelo</v>
      </c>
      <c r="AL161" s="40">
        <f>IFERROR(VLOOKUP(Tabela3[[#This Row],[Produto]],Tabela2[],15,0),0)</f>
        <v>0</v>
      </c>
      <c r="AM161" s="36">
        <f ca="1">(Tabela3[[#This Row],[Custo Usinagem]]+Tabela3[[#This Row],[Custo / Pç]])*1.2</f>
        <v>3.556407057605937</v>
      </c>
      <c r="AN161" s="36">
        <f ca="1">Tabela3[[#This Row],[Valor Mínimo Venda]]*1.15</f>
        <v>4.0898681162468273</v>
      </c>
      <c r="AO161" s="36">
        <f ca="1">Tabela3[[#This Row],[Tabela 1]]*1.08</f>
        <v>4.4170575655465738</v>
      </c>
      <c r="AP161" s="36">
        <f ca="1">Tabela3[[#This Row],[Tabela 2]]*1.15</f>
        <v>5.0796162003785597</v>
      </c>
    </row>
    <row r="162" spans="1:42">
      <c r="A162" s="9">
        <v>45749</v>
      </c>
      <c r="B162" s="6" t="s">
        <v>156</v>
      </c>
      <c r="C162" s="14">
        <v>6216</v>
      </c>
      <c r="D162" s="6" t="s">
        <v>44</v>
      </c>
      <c r="E162" s="6" t="s">
        <v>47</v>
      </c>
      <c r="F162" s="6">
        <v>7</v>
      </c>
      <c r="G162" s="15">
        <v>3.6111111111111108E-2</v>
      </c>
      <c r="H162" s="16">
        <v>0</v>
      </c>
      <c r="I162" s="35">
        <f ca="1">IFERROR(Tabela3[[#This Row],[Custo Total]]/Tabela3[[#This Row],[Aluminio Util]],0)</f>
        <v>29.425256352859492</v>
      </c>
      <c r="J162" s="35">
        <f ca="1">Tabela3[[#This Row],[Custo Total]]/Tabela3[[#This Row],[Realizado]]</f>
        <v>15.477684841604093</v>
      </c>
      <c r="K162" s="37">
        <f>IFERROR(Tabela3[[#This Row],[Qtde Cx Produzida]]/Tabela3[[#This Row],[Tempo]]/24,0)</f>
        <v>8.0769230769230784</v>
      </c>
      <c r="L162" s="37">
        <f>Tabela3[[#This Row],[Qtde Cx Produzida]]*Tabela3[[#This Row],[Qdt Peça Placa]]</f>
        <v>14</v>
      </c>
      <c r="M162" s="37">
        <f>Tabela3[[#This Row],[Previsto]]-Tabela3[[#This Row],[Perda Pçs]]</f>
        <v>14</v>
      </c>
      <c r="N162" s="38">
        <f>IFERROR(Tabela3[[#This Row],[Perda Pçs]]/Tabela3[[#This Row],[Previsto]],0)</f>
        <v>0</v>
      </c>
      <c r="O162" s="39">
        <f>IFERROR(IF(Tabela3[[#This Row],[Qtde Cx Produzida]] &lt;&gt; 0, Tabela3[[#This Row],[Tempo]] / Tabela3[[#This Row],[Qtde Cx Produzida]], 0),0)</f>
        <v>5.1587301587301586E-3</v>
      </c>
      <c r="P162" s="57">
        <f>IFERROR(Tabela3[[#This Row],[Perda Pçs]]/Tabela3[[#This Row],[Qdt Peça Placa]],0)</f>
        <v>0</v>
      </c>
      <c r="Q162" s="37">
        <f>IFERROR(Tabela3[[#This Row],[Realizado]]*Tabela3[[#This Row],[Peso Util/Pç]],0)</f>
        <v>7.3640000000000008</v>
      </c>
      <c r="R162" s="37">
        <f>IFERROR(Tabela3[[#This Row],[Peso Total Galho]]*Tabela3[[#This Row],[Qtde Cx Produzida]]*1.055,0)</f>
        <v>13.750869999999999</v>
      </c>
      <c r="S162" s="37">
        <f>(Tabela3[[#This Row],[Aluminio Bruto]]-Tabela3[[#This Row],[Aluminio Util]])*0.9</f>
        <v>5.7481829999999983</v>
      </c>
      <c r="T162" s="37">
        <f>Tabela3[[#This Row],[Aluminio Bruto]]/OleoKGAluminio</f>
        <v>5.7849732292959066</v>
      </c>
      <c r="U162" s="35">
        <f>IFERROR((VLOOKUP(Tabela3[[#This Row],[Moldador]],Tabela1[],5,)+(VLOOKUP(Tabela3[[#This Row],[Ajudante]],Tabela1[],5,))*3.5),0)</f>
        <v>99.95034583333333</v>
      </c>
      <c r="V162" s="35">
        <f>IFERROR(Tabela3[[#This Row],[Custo M.O. / H]]/((Tabela3[[#This Row],[Realizado]]/Tabela3[[#This Row],[Qdt Peça Placa]])/Tabela3[[#This Row],[Tempo]]/24),)</f>
        <v>12.374804722222219</v>
      </c>
      <c r="W162" s="35">
        <f>Tabela3[[#This Row],[Custo / Cx Moldada]]*Tabela3[[#This Row],[Qtde Cx Produzida]]</f>
        <v>86.62363305555553</v>
      </c>
      <c r="X162" s="35">
        <f ca="1">Tabela3[[#This Row],[Aluminio Util]]*Tabela3[[#This Row],[Custo/Kg]]</f>
        <v>114.87840000000003</v>
      </c>
      <c r="Y162" s="35">
        <f>IFERROR(VLOOKUP(Tabela3[[#This Row],[Data]],Tabela461213[],2,1)*(Tabela3[[#This Row],[Qtde Cx Produzida]]*Tabela3[[#This Row],[Qde macho / CX]]*Tabela3[[#This Row],[Peso Macho]]),)</f>
        <v>0</v>
      </c>
      <c r="Z162" s="35">
        <f>IFERROR(Tabela3[[#This Row],[Qtde Oleo]]*(VLOOKUP(Tabela3[[#This Row],[Data]],CompraOleo[],3,TRUE))*1.05,0)</f>
        <v>15.185554726901756</v>
      </c>
      <c r="AA162" s="47">
        <f ca="1">(Tabela3[[#This Row],[Custo Oleo]]+Tabela3[[#This Row],[Custo Aluminio]]+Tabela3[[#This Row],[Custo M.O. Total]]+Tabela3[[#This Row],[Custo Machos]])</f>
        <v>216.68758778245731</v>
      </c>
      <c r="AB162" s="47">
        <f ca="1">Tabela3[[#This Row],[Custo Total]]*Tabela3[[#This Row],[% Perda]]</f>
        <v>0</v>
      </c>
      <c r="AC162" s="48">
        <f>IFERROR(VLOOKUP(Tabela3[[#This Row],[Produto]],Tabela2[],2,0),0)</f>
        <v>2</v>
      </c>
      <c r="AD162" s="48">
        <f>IFERROR(VLOOKUP(Tabela3[[#This Row],[Produto]],Tabela2[],3,0),0)</f>
        <v>0.52600000000000002</v>
      </c>
      <c r="AE162" s="48">
        <f>IFERROR(VLOOKUP(Tabela3[[#This Row],[Produto]],Tabela2[],4,0),0)</f>
        <v>1.8620000000000001</v>
      </c>
      <c r="AF162" s="48">
        <f>IFERROR(VLOOKUP(Tabela3[[#This Row],[Produto]],Tabela2[],5,0),0)</f>
        <v>0.72900000000000009</v>
      </c>
      <c r="AG162" s="40">
        <f>IFERROR(VLOOKUP(Tabela3[[#This Row],[Produto]],Tabela2[],6,0),0)</f>
        <v>0</v>
      </c>
      <c r="AH162" s="40">
        <f>IFERROR(VLOOKUP(Tabela3[[#This Row],[Produto]],Tabela2[],7,0),0)</f>
        <v>0</v>
      </c>
      <c r="AI162" s="40">
        <f>IFERROR(VLOOKUP(Tabela3[[#This Row],[Produto]],Tabela2[],8,0),0)</f>
        <v>0</v>
      </c>
      <c r="AJ162" s="35">
        <f ca="1">IFERROR(VLOOKUP(Tabela3[[#This Row],[Produto]],Tabela2[],13,0),0)</f>
        <v>15.600000000000001</v>
      </c>
      <c r="AK162" s="40" t="str">
        <f>IFERROR(VLOOKUP(Tabela3[[#This Row],[Produto]],Tabela2[],14,0),0)</f>
        <v>Senun</v>
      </c>
      <c r="AL162" s="40">
        <f>IFERROR(VLOOKUP(Tabela3[[#This Row],[Produto]],Tabela2[],15,0),0)</f>
        <v>0</v>
      </c>
      <c r="AM162" s="36">
        <f ca="1">(Tabela3[[#This Row],[Custo Usinagem]]+Tabela3[[#This Row],[Custo / Pç]])*1.2</f>
        <v>18.57322180992491</v>
      </c>
      <c r="AN162" s="36">
        <f ca="1">Tabela3[[#This Row],[Valor Mínimo Venda]]*1.15</f>
        <v>21.359205081413645</v>
      </c>
      <c r="AO162" s="36">
        <f ca="1">Tabela3[[#This Row],[Tabela 1]]*1.08</f>
        <v>23.067941487926738</v>
      </c>
      <c r="AP162" s="36">
        <f ca="1">Tabela3[[#This Row],[Tabela 2]]*1.15</f>
        <v>26.528132711115749</v>
      </c>
    </row>
    <row r="163" spans="1:42">
      <c r="A163" s="9">
        <v>45749</v>
      </c>
      <c r="B163" s="6" t="s">
        <v>252</v>
      </c>
      <c r="C163" s="14">
        <v>6066</v>
      </c>
      <c r="D163" s="6" t="s">
        <v>44</v>
      </c>
      <c r="E163" s="6" t="s">
        <v>47</v>
      </c>
      <c r="F163" s="6">
        <v>35</v>
      </c>
      <c r="G163" s="15">
        <v>0.15277777777777779</v>
      </c>
      <c r="H163" s="16">
        <v>18</v>
      </c>
      <c r="I163" s="35">
        <f ca="1">IFERROR(Tabela3[[#This Row],[Custo Total]]/Tabela3[[#This Row],[Aluminio Util]],0)</f>
        <v>55.524030365196602</v>
      </c>
      <c r="J163" s="35">
        <f ca="1">Tabela3[[#This Row],[Custo Total]]/Tabela3[[#This Row],[Realizado]]</f>
        <v>72.181239474755586</v>
      </c>
      <c r="K163" s="37">
        <f>IFERROR(Tabela3[[#This Row],[Qtde Cx Produzida]]/Tabela3[[#This Row],[Tempo]]/24,0)</f>
        <v>9.545454545454545</v>
      </c>
      <c r="L163" s="37">
        <f>Tabela3[[#This Row],[Qtde Cx Produzida]]*Tabela3[[#This Row],[Qdt Peça Placa]]</f>
        <v>35</v>
      </c>
      <c r="M163" s="37">
        <f>Tabela3[[#This Row],[Previsto]]-Tabela3[[#This Row],[Perda Pçs]]</f>
        <v>17</v>
      </c>
      <c r="N163" s="38">
        <f>IFERROR(Tabela3[[#This Row],[Perda Pçs]]/Tabela3[[#This Row],[Previsto]],0)</f>
        <v>0.51428571428571423</v>
      </c>
      <c r="O163" s="39">
        <f>IFERROR(IF(Tabela3[[#This Row],[Qtde Cx Produzida]] &lt;&gt; 0, Tabela3[[#This Row],[Tempo]] / Tabela3[[#This Row],[Qtde Cx Produzida]], 0),0)</f>
        <v>4.3650793650793652E-3</v>
      </c>
      <c r="P163" s="57">
        <f>IFERROR(Tabela3[[#This Row],[Perda Pçs]]/Tabela3[[#This Row],[Qdt Peça Placa]],0)</f>
        <v>18</v>
      </c>
      <c r="Q163" s="37">
        <f>IFERROR(Tabela3[[#This Row],[Realizado]]*Tabela3[[#This Row],[Peso Util/Pç]],0)</f>
        <v>22.1</v>
      </c>
      <c r="R163" s="37">
        <f>IFERROR(Tabela3[[#This Row],[Peso Total Galho]]*Tabela3[[#This Row],[Qtde Cx Produzida]]*1.055,0)</f>
        <v>75.696249999999992</v>
      </c>
      <c r="S163" s="37">
        <f>(Tabela3[[#This Row],[Aluminio Bruto]]-Tabela3[[#This Row],[Aluminio Util]])*0.9</f>
        <v>48.236624999999989</v>
      </c>
      <c r="T163" s="37">
        <f>Tabela3[[#This Row],[Aluminio Bruto]]/OleoKGAluminio</f>
        <v>31.845314500689064</v>
      </c>
      <c r="U163" s="35">
        <f>IFERROR((VLOOKUP(Tabela3[[#This Row],[Moldador]],Tabela1[],5,)+(VLOOKUP(Tabela3[[#This Row],[Ajudante]],Tabela1[],5,))*3.5),0)</f>
        <v>99.95034583333333</v>
      </c>
      <c r="V163" s="35">
        <f>IFERROR(Tabela3[[#This Row],[Custo M.O. / H]]/((Tabela3[[#This Row],[Realizado]]/Tabela3[[#This Row],[Qdt Peça Placa]])/Tabela3[[#This Row],[Tempo]]/24),)</f>
        <v>21.557917728758174</v>
      </c>
      <c r="W163" s="35">
        <f>Tabela3[[#This Row],[Custo / Cx Moldada]]*Tabela3[[#This Row],[Qtde Cx Produzida]]</f>
        <v>754.52712050653611</v>
      </c>
      <c r="X163" s="35">
        <f ca="1">Tabela3[[#This Row],[Aluminio Util]]*Tabela3[[#This Row],[Custo/Kg]]</f>
        <v>388.96000000000004</v>
      </c>
      <c r="Y163" s="35">
        <f>IFERROR(VLOOKUP(Tabela3[[#This Row],[Data]],Tabela461213[],2,1)*(Tabela3[[#This Row],[Qtde Cx Produzida]]*Tabela3[[#This Row],[Qde macho / CX]]*Tabela3[[#This Row],[Peso Macho]]),)</f>
        <v>0</v>
      </c>
      <c r="Z163" s="35">
        <f>IFERROR(Tabela3[[#This Row],[Qtde Oleo]]*(VLOOKUP(Tabela3[[#This Row],[Data]],CompraOleo[],3,TRUE))*1.05,0)</f>
        <v>83.593950564308798</v>
      </c>
      <c r="AA163" s="47">
        <f ca="1">(Tabela3[[#This Row],[Custo Oleo]]+Tabela3[[#This Row],[Custo Aluminio]]+Tabela3[[#This Row],[Custo M.O. Total]]+Tabela3[[#This Row],[Custo Machos]])</f>
        <v>1227.0810710708449</v>
      </c>
      <c r="AB163" s="47">
        <f ca="1">Tabela3[[#This Row],[Custo Total]]*Tabela3[[#This Row],[% Perda]]</f>
        <v>631.07026512214873</v>
      </c>
      <c r="AC163" s="48">
        <f>IFERROR(VLOOKUP(Tabela3[[#This Row],[Produto]],Tabela2[],2,0),0)</f>
        <v>1</v>
      </c>
      <c r="AD163" s="48">
        <f>IFERROR(VLOOKUP(Tabela3[[#This Row],[Produto]],Tabela2[],3,0),0)</f>
        <v>1.3</v>
      </c>
      <c r="AE163" s="48">
        <f>IFERROR(VLOOKUP(Tabela3[[#This Row],[Produto]],Tabela2[],4,0),0)</f>
        <v>2.0499999999999998</v>
      </c>
      <c r="AF163" s="48">
        <f>IFERROR(VLOOKUP(Tabela3[[#This Row],[Produto]],Tabela2[],5,0),0)</f>
        <v>0.67499999999999982</v>
      </c>
      <c r="AG163" s="40">
        <f>IFERROR(VLOOKUP(Tabela3[[#This Row],[Produto]],Tabela2[],6,0),0)</f>
        <v>0</v>
      </c>
      <c r="AH163" s="40">
        <f>IFERROR(VLOOKUP(Tabela3[[#This Row],[Produto]],Tabela2[],7,0),0)</f>
        <v>0</v>
      </c>
      <c r="AI163" s="40">
        <f>IFERROR(VLOOKUP(Tabela3[[#This Row],[Produto]],Tabela2[],8,0),0)</f>
        <v>0</v>
      </c>
      <c r="AJ163" s="35">
        <f ca="1">IFERROR(VLOOKUP(Tabela3[[#This Row],[Produto]],Tabela2[],13,0),0)</f>
        <v>17.600000000000001</v>
      </c>
      <c r="AK163" s="40" t="str">
        <f>IFERROR(VLOOKUP(Tabela3[[#This Row],[Produto]],Tabela2[],14,0),0)</f>
        <v>Protec</v>
      </c>
      <c r="AL163" s="40">
        <f>IFERROR(VLOOKUP(Tabela3[[#This Row],[Produto]],Tabela2[],15,0),0)</f>
        <v>0</v>
      </c>
      <c r="AM163" s="36">
        <f ca="1">(Tabela3[[#This Row],[Custo Usinagem]]+Tabela3[[#This Row],[Custo / Pç]])*1.2</f>
        <v>86.617487369706694</v>
      </c>
      <c r="AN163" s="36">
        <f ca="1">Tabela3[[#This Row],[Valor Mínimo Venda]]*1.15</f>
        <v>99.610110475162685</v>
      </c>
      <c r="AO163" s="36">
        <f ca="1">Tabela3[[#This Row],[Tabela 1]]*1.08</f>
        <v>107.5789193131757</v>
      </c>
      <c r="AP163" s="36">
        <f ca="1">Tabela3[[#This Row],[Tabela 2]]*1.15</f>
        <v>123.71575721015205</v>
      </c>
    </row>
    <row r="164" spans="1:42">
      <c r="A164" s="9">
        <v>45749</v>
      </c>
      <c r="B164" s="6" t="s">
        <v>253</v>
      </c>
      <c r="C164" s="14">
        <v>6067</v>
      </c>
      <c r="D164" s="6" t="s">
        <v>44</v>
      </c>
      <c r="E164" s="6" t="s">
        <v>47</v>
      </c>
      <c r="F164" s="6">
        <v>23</v>
      </c>
      <c r="G164" s="15">
        <v>0.10416666666666667</v>
      </c>
      <c r="H164" s="16">
        <v>10</v>
      </c>
      <c r="I164" s="35">
        <f ca="1">IFERROR(Tabela3[[#This Row],[Custo Total]]/Tabela3[[#This Row],[Aluminio Util]],0)</f>
        <v>54.051074649396334</v>
      </c>
      <c r="J164" s="35">
        <f ca="1">Tabela3[[#This Row],[Custo Total]]/Tabela3[[#This Row],[Realizado]]</f>
        <v>56.75362838186615</v>
      </c>
      <c r="K164" s="37">
        <f>IFERROR(Tabela3[[#This Row],[Qtde Cx Produzida]]/Tabela3[[#This Row],[Tempo]]/24,0)</f>
        <v>9.1999999999999993</v>
      </c>
      <c r="L164" s="37">
        <f>Tabela3[[#This Row],[Qtde Cx Produzida]]*Tabela3[[#This Row],[Qdt Peça Placa]]</f>
        <v>23</v>
      </c>
      <c r="M164" s="37">
        <f>Tabela3[[#This Row],[Previsto]]-Tabela3[[#This Row],[Perda Pçs]]</f>
        <v>13</v>
      </c>
      <c r="N164" s="38">
        <f>IFERROR(Tabela3[[#This Row],[Perda Pçs]]/Tabela3[[#This Row],[Previsto]],0)</f>
        <v>0.43478260869565216</v>
      </c>
      <c r="O164" s="39">
        <f>IFERROR(IF(Tabela3[[#This Row],[Qtde Cx Produzida]] &lt;&gt; 0, Tabela3[[#This Row],[Tempo]] / Tabela3[[#This Row],[Qtde Cx Produzida]], 0),0)</f>
        <v>4.528985507246377E-3</v>
      </c>
      <c r="P164" s="57">
        <f>IFERROR(Tabela3[[#This Row],[Perda Pçs]]/Tabela3[[#This Row],[Qdt Peça Placa]],0)</f>
        <v>10</v>
      </c>
      <c r="Q164" s="37">
        <f>IFERROR(Tabela3[[#This Row],[Realizado]]*Tabela3[[#This Row],[Peso Util/Pç]],0)</f>
        <v>13.65</v>
      </c>
      <c r="R164" s="37">
        <f>IFERROR(Tabela3[[#This Row],[Peso Total Galho]]*Tabela3[[#This Row],[Qtde Cx Produzida]]*1.055,0)</f>
        <v>50.228549999999998</v>
      </c>
      <c r="S164" s="37">
        <f>(Tabela3[[#This Row],[Aluminio Bruto]]-Tabela3[[#This Row],[Aluminio Util]])*0.9</f>
        <v>32.920695000000002</v>
      </c>
      <c r="T164" s="37">
        <f>Tabela3[[#This Row],[Aluminio Bruto]]/OleoKGAluminio</f>
        <v>21.131086040108801</v>
      </c>
      <c r="U164" s="35">
        <f>IFERROR((VLOOKUP(Tabela3[[#This Row],[Moldador]],Tabela1[],5,)+(VLOOKUP(Tabela3[[#This Row],[Ajudante]],Tabela1[],5,))*3.5),0)</f>
        <v>99.95034583333333</v>
      </c>
      <c r="V164" s="35">
        <f>IFERROR(Tabela3[[#This Row],[Custo M.O. / H]]/((Tabela3[[#This Row],[Realizado]]/Tabela3[[#This Row],[Qdt Peça Placa]])/Tabela3[[#This Row],[Tempo]]/24),)</f>
        <v>19.221220352564103</v>
      </c>
      <c r="W164" s="35">
        <f>Tabela3[[#This Row],[Custo / Cx Moldada]]*Tabela3[[#This Row],[Qtde Cx Produzida]]</f>
        <v>442.08806810897437</v>
      </c>
      <c r="X164" s="35">
        <f ca="1">Tabela3[[#This Row],[Aluminio Util]]*Tabela3[[#This Row],[Custo/Kg]]</f>
        <v>240.24000000000004</v>
      </c>
      <c r="Y164" s="35">
        <f>IFERROR(VLOOKUP(Tabela3[[#This Row],[Data]],Tabela461213[],2,1)*(Tabela3[[#This Row],[Qtde Cx Produzida]]*Tabela3[[#This Row],[Qde macho / CX]]*Tabela3[[#This Row],[Peso Macho]]),)</f>
        <v>0</v>
      </c>
      <c r="Z164" s="35">
        <f>IFERROR(Tabela3[[#This Row],[Qtde Oleo]]*(VLOOKUP(Tabela3[[#This Row],[Data]],CompraOleo[],3,TRUE))*1.05,0)</f>
        <v>55.469100855285603</v>
      </c>
      <c r="AA164" s="47">
        <f ca="1">(Tabela3[[#This Row],[Custo Oleo]]+Tabela3[[#This Row],[Custo Aluminio]]+Tabela3[[#This Row],[Custo M.O. Total]]+Tabela3[[#This Row],[Custo Machos]])</f>
        <v>737.79716896425998</v>
      </c>
      <c r="AB164" s="47">
        <f ca="1">Tabela3[[#This Row],[Custo Total]]*Tabela3[[#This Row],[% Perda]]</f>
        <v>320.78137781054778</v>
      </c>
      <c r="AC164" s="48">
        <f>IFERROR(VLOOKUP(Tabela3[[#This Row],[Produto]],Tabela2[],2,0),0)</f>
        <v>1</v>
      </c>
      <c r="AD164" s="48">
        <f>IFERROR(VLOOKUP(Tabela3[[#This Row],[Produto]],Tabela2[],3,0),0)</f>
        <v>1.05</v>
      </c>
      <c r="AE164" s="48">
        <f>IFERROR(VLOOKUP(Tabela3[[#This Row],[Produto]],Tabela2[],4,0),0)</f>
        <v>2.0699999999999998</v>
      </c>
      <c r="AF164" s="48">
        <f>IFERROR(VLOOKUP(Tabela3[[#This Row],[Produto]],Tabela2[],5,0),0)</f>
        <v>0.91799999999999982</v>
      </c>
      <c r="AG164" s="40">
        <f>IFERROR(VLOOKUP(Tabela3[[#This Row],[Produto]],Tabela2[],6,0),0)</f>
        <v>0</v>
      </c>
      <c r="AH164" s="40">
        <f>IFERROR(VLOOKUP(Tabela3[[#This Row],[Produto]],Tabela2[],7,0),0)</f>
        <v>0</v>
      </c>
      <c r="AI164" s="40">
        <f>IFERROR(VLOOKUP(Tabela3[[#This Row],[Produto]],Tabela2[],8,0),0)</f>
        <v>0</v>
      </c>
      <c r="AJ164" s="35">
        <f ca="1">IFERROR(VLOOKUP(Tabela3[[#This Row],[Produto]],Tabela2[],13,0),0)</f>
        <v>17.600000000000001</v>
      </c>
      <c r="AK164" s="40" t="str">
        <f>IFERROR(VLOOKUP(Tabela3[[#This Row],[Produto]],Tabela2[],14,0),0)</f>
        <v>Protec</v>
      </c>
      <c r="AL164" s="40">
        <f>IFERROR(VLOOKUP(Tabela3[[#This Row],[Produto]],Tabela2[],15,0),0)</f>
        <v>0</v>
      </c>
      <c r="AM164" s="36">
        <f ca="1">(Tabela3[[#This Row],[Custo Usinagem]]+Tabela3[[#This Row],[Custo / Pç]])*1.2</f>
        <v>68.10435405823938</v>
      </c>
      <c r="AN164" s="36">
        <f ca="1">Tabela3[[#This Row],[Valor Mínimo Venda]]*1.15</f>
        <v>78.320007166975287</v>
      </c>
      <c r="AO164" s="36">
        <f ca="1">Tabela3[[#This Row],[Tabela 1]]*1.08</f>
        <v>84.585607740333316</v>
      </c>
      <c r="AP164" s="36">
        <f ca="1">Tabela3[[#This Row],[Tabela 2]]*1.15</f>
        <v>97.273448901383304</v>
      </c>
    </row>
    <row r="165" spans="1:42">
      <c r="A165" s="9">
        <v>45750</v>
      </c>
      <c r="B165" s="6" t="s">
        <v>288</v>
      </c>
      <c r="C165" s="14">
        <v>6176</v>
      </c>
      <c r="D165" s="6" t="s">
        <v>46</v>
      </c>
      <c r="E165" s="6" t="s">
        <v>53</v>
      </c>
      <c r="F165" s="6">
        <v>57</v>
      </c>
      <c r="G165" s="15">
        <v>0.21805555555555556</v>
      </c>
      <c r="H165" s="16">
        <v>9</v>
      </c>
      <c r="I165" s="35">
        <f ca="1">IFERROR(Tabela3[[#This Row],[Custo Total]]/Tabela3[[#This Row],[Aluminio Util]],0)</f>
        <v>25.16474524301675</v>
      </c>
      <c r="J165" s="35">
        <f ca="1">Tabela3[[#This Row],[Custo Total]]/Tabela3[[#This Row],[Realizado]]</f>
        <v>63.666805464832379</v>
      </c>
      <c r="K165" s="37">
        <f>IFERROR(Tabela3[[#This Row],[Qtde Cx Produzida]]/Tabela3[[#This Row],[Tempo]]/24,0)</f>
        <v>10.891719745222929</v>
      </c>
      <c r="L165" s="37">
        <f>Tabela3[[#This Row],[Qtde Cx Produzida]]*Tabela3[[#This Row],[Qdt Peça Placa]]</f>
        <v>57</v>
      </c>
      <c r="M165" s="37">
        <f>Tabela3[[#This Row],[Previsto]]-Tabela3[[#This Row],[Perda Pçs]]</f>
        <v>48</v>
      </c>
      <c r="N165" s="38">
        <f>IFERROR(Tabela3[[#This Row],[Perda Pçs]]/Tabela3[[#This Row],[Previsto]],0)</f>
        <v>0.15789473684210525</v>
      </c>
      <c r="O165" s="39">
        <f>IFERROR(IF(Tabela3[[#This Row],[Qtde Cx Produzida]] &lt;&gt; 0, Tabela3[[#This Row],[Tempo]] / Tabela3[[#This Row],[Qtde Cx Produzida]], 0),0)</f>
        <v>3.8255360623781678E-3</v>
      </c>
      <c r="P165" s="57">
        <f>IFERROR(Tabela3[[#This Row],[Perda Pçs]]/Tabela3[[#This Row],[Qdt Peça Placa]],0)</f>
        <v>9</v>
      </c>
      <c r="Q165" s="37">
        <f>IFERROR(Tabela3[[#This Row],[Realizado]]*Tabela3[[#This Row],[Peso Util/Pç]],0)</f>
        <v>121.44</v>
      </c>
      <c r="R165" s="37">
        <f>IFERROR(Tabela3[[#This Row],[Peso Total Galho]]*Tabela3[[#This Row],[Qtde Cx Produzida]]*1.055,0)</f>
        <v>269.40480000000002</v>
      </c>
      <c r="S165" s="37">
        <f>(Tabela3[[#This Row],[Aluminio Bruto]]-Tabela3[[#This Row],[Aluminio Util]])*0.9</f>
        <v>133.16832000000002</v>
      </c>
      <c r="T165" s="37">
        <f>Tabela3[[#This Row],[Aluminio Bruto]]/OleoKGAluminio</f>
        <v>113.33825102294023</v>
      </c>
      <c r="U165" s="35">
        <f>IFERROR((VLOOKUP(Tabela3[[#This Row],[Moldador]],Tabela1[],5,)+(VLOOKUP(Tabela3[[#This Row],[Ajudante]],Tabela1[],5,))*3.5),0)</f>
        <v>99.95034583333333</v>
      </c>
      <c r="V165" s="35">
        <f>IFERROR(Tabela3[[#This Row],[Custo M.O. / H]]/((Tabela3[[#This Row],[Realizado]]/Tabela3[[#This Row],[Qdt Peça Placa]])/Tabela3[[#This Row],[Tempo]]/24),)</f>
        <v>10.897364094328704</v>
      </c>
      <c r="W165" s="35">
        <f>Tabela3[[#This Row],[Custo / Cx Moldada]]*Tabela3[[#This Row],[Qtde Cx Produzida]]</f>
        <v>621.14975337673616</v>
      </c>
      <c r="X165" s="35">
        <f ca="1">Tabela3[[#This Row],[Aluminio Util]]*Tabela3[[#This Row],[Custo/Kg]]</f>
        <v>2137.3440000000001</v>
      </c>
      <c r="Y165" s="35">
        <f>IFERROR(VLOOKUP(Tabela3[[#This Row],[Data]],Tabela461213[],2,1)*(Tabela3[[#This Row],[Qtde Cx Produzida]]*Tabela3[[#This Row],[Qde macho / CX]]*Tabela3[[#This Row],[Peso Macho]]),)</f>
        <v>0</v>
      </c>
      <c r="Z165" s="35">
        <f>IFERROR(Tabela3[[#This Row],[Qtde Oleo]]*(VLOOKUP(Tabela3[[#This Row],[Data]],CompraOleo[],3,TRUE))*1.05,0)</f>
        <v>297.51290893521809</v>
      </c>
      <c r="AA165" s="47">
        <f ca="1">(Tabela3[[#This Row],[Custo Oleo]]+Tabela3[[#This Row],[Custo Aluminio]]+Tabela3[[#This Row],[Custo M.O. Total]]+Tabela3[[#This Row],[Custo Machos]])</f>
        <v>3056.0066623119542</v>
      </c>
      <c r="AB165" s="47">
        <f ca="1">Tabela3[[#This Row],[Custo Total]]*Tabela3[[#This Row],[% Perda]]</f>
        <v>482.52736773346641</v>
      </c>
      <c r="AC165" s="48">
        <f>IFERROR(VLOOKUP(Tabela3[[#This Row],[Produto]],Tabela2[],2,0),0)</f>
        <v>1</v>
      </c>
      <c r="AD165" s="48">
        <f>IFERROR(VLOOKUP(Tabela3[[#This Row],[Produto]],Tabela2[],3,0),0)</f>
        <v>2.5299999999999998</v>
      </c>
      <c r="AE165" s="48">
        <f>IFERROR(VLOOKUP(Tabela3[[#This Row],[Produto]],Tabela2[],4,0),0)</f>
        <v>4.4800000000000004</v>
      </c>
      <c r="AF165" s="48">
        <f>IFERROR(VLOOKUP(Tabela3[[#This Row],[Produto]],Tabela2[],5,0),0)</f>
        <v>1.7550000000000006</v>
      </c>
      <c r="AG165" s="40">
        <f>IFERROR(VLOOKUP(Tabela3[[#This Row],[Produto]],Tabela2[],6,0),0)</f>
        <v>0</v>
      </c>
      <c r="AH165" s="40">
        <f>IFERROR(VLOOKUP(Tabela3[[#This Row],[Produto]],Tabela2[],7,0),0)</f>
        <v>0</v>
      </c>
      <c r="AI165" s="40">
        <f>IFERROR(VLOOKUP(Tabela3[[#This Row],[Produto]],Tabela2[],8,0),0)</f>
        <v>0</v>
      </c>
      <c r="AJ165" s="35">
        <f ca="1">IFERROR(VLOOKUP(Tabela3[[#This Row],[Produto]],Tabela2[],13,0),0)</f>
        <v>17.600000000000001</v>
      </c>
      <c r="AK165" s="40" t="str">
        <f>IFERROR(VLOOKUP(Tabela3[[#This Row],[Produto]],Tabela2[],14,0),0)</f>
        <v>Bambozzi</v>
      </c>
      <c r="AL165" s="40">
        <f>IFERROR(VLOOKUP(Tabela3[[#This Row],[Produto]],Tabela2[],15,0),0)</f>
        <v>15</v>
      </c>
      <c r="AM165" s="36">
        <f ca="1">(Tabela3[[#This Row],[Custo Usinagem]]+Tabela3[[#This Row],[Custo / Pç]])*1.2</f>
        <v>94.400166557798855</v>
      </c>
      <c r="AN165" s="36">
        <f ca="1">Tabela3[[#This Row],[Valor Mínimo Venda]]*1.15</f>
        <v>108.56019154146867</v>
      </c>
      <c r="AO165" s="36">
        <f ca="1">Tabela3[[#This Row],[Tabela 1]]*1.08</f>
        <v>117.24500686478618</v>
      </c>
      <c r="AP165" s="36">
        <f ca="1">Tabela3[[#This Row],[Tabela 2]]*1.15</f>
        <v>134.83175789450408</v>
      </c>
    </row>
    <row r="166" spans="1:42">
      <c r="A166" s="9">
        <v>45750</v>
      </c>
      <c r="B166" s="6" t="s">
        <v>124</v>
      </c>
      <c r="C166" s="14">
        <v>6166</v>
      </c>
      <c r="D166" s="6" t="s">
        <v>46</v>
      </c>
      <c r="E166" s="6" t="s">
        <v>53</v>
      </c>
      <c r="F166" s="6">
        <v>31</v>
      </c>
      <c r="G166" s="15">
        <v>0.12361111111111112</v>
      </c>
      <c r="H166" s="16">
        <v>0</v>
      </c>
      <c r="I166" s="35">
        <f ca="1">IFERROR(Tabela3[[#This Row],[Custo Total]]/Tabela3[[#This Row],[Aluminio Util]],0)</f>
        <v>23.321128605408351</v>
      </c>
      <c r="J166" s="35">
        <f ca="1">Tabela3[[#This Row],[Custo Total]]/Tabela3[[#This Row],[Realizado]]</f>
        <v>39.412707343140113</v>
      </c>
      <c r="K166" s="37">
        <f>IFERROR(Tabela3[[#This Row],[Qtde Cx Produzida]]/Tabela3[[#This Row],[Tempo]]/24,0)</f>
        <v>10.44943820224719</v>
      </c>
      <c r="L166" s="37">
        <f>Tabela3[[#This Row],[Qtde Cx Produzida]]*Tabela3[[#This Row],[Qdt Peça Placa]]</f>
        <v>31</v>
      </c>
      <c r="M166" s="37">
        <f>Tabela3[[#This Row],[Previsto]]-Tabela3[[#This Row],[Perda Pçs]]</f>
        <v>31</v>
      </c>
      <c r="N166" s="38">
        <f>IFERROR(Tabela3[[#This Row],[Perda Pçs]]/Tabela3[[#This Row],[Previsto]],0)</f>
        <v>0</v>
      </c>
      <c r="O166" s="39">
        <f>IFERROR(IF(Tabela3[[#This Row],[Qtde Cx Produzida]] &lt;&gt; 0, Tabela3[[#This Row],[Tempo]] / Tabela3[[#This Row],[Qtde Cx Produzida]], 0),0)</f>
        <v>3.9874551971326166E-3</v>
      </c>
      <c r="P166" s="57">
        <f>IFERROR(Tabela3[[#This Row],[Perda Pçs]]/Tabela3[[#This Row],[Qdt Peça Placa]],0)</f>
        <v>0</v>
      </c>
      <c r="Q166" s="37">
        <f>IFERROR(Tabela3[[#This Row],[Realizado]]*Tabela3[[#This Row],[Peso Util/Pç]],0)</f>
        <v>52.39</v>
      </c>
      <c r="R166" s="37">
        <f>IFERROR(Tabela3[[#This Row],[Peso Total Galho]]*Tabela3[[#This Row],[Qtde Cx Produzida]]*1.055,0)</f>
        <v>97.787950000000009</v>
      </c>
      <c r="S166" s="37">
        <f>(Tabela3[[#This Row],[Aluminio Bruto]]-Tabela3[[#This Row],[Aluminio Util]])*0.9</f>
        <v>40.858155000000011</v>
      </c>
      <c r="T166" s="37">
        <f>Tabela3[[#This Row],[Aluminio Bruto]]/OleoKGAluminio</f>
        <v>41.139264126395403</v>
      </c>
      <c r="U166" s="35">
        <f>IFERROR((VLOOKUP(Tabela3[[#This Row],[Moldador]],Tabela1[],5,)+(VLOOKUP(Tabela3[[#This Row],[Ajudante]],Tabela1[],5,))*3.5),0)</f>
        <v>99.95034583333333</v>
      </c>
      <c r="V166" s="35">
        <f>IFERROR(Tabela3[[#This Row],[Custo M.O. / H]]/((Tabela3[[#This Row],[Realizado]]/Tabela3[[#This Row],[Qdt Peça Placa]])/Tabela3[[#This Row],[Tempo]]/24),)</f>
        <v>9.5651406227598574</v>
      </c>
      <c r="W166" s="35">
        <f>Tabela3[[#This Row],[Custo / Cx Moldada]]*Tabela3[[#This Row],[Qtde Cx Produzida]]</f>
        <v>296.51935930555555</v>
      </c>
      <c r="X166" s="35">
        <f ca="1">Tabela3[[#This Row],[Aluminio Util]]*Tabela3[[#This Row],[Custo/Kg]]</f>
        <v>817.28400000000011</v>
      </c>
      <c r="Y166" s="35">
        <f>IFERROR(VLOOKUP(Tabela3[[#This Row],[Data]],Tabela461213[],2,1)*(Tabela3[[#This Row],[Qtde Cx Produzida]]*Tabela3[[#This Row],[Qde macho / CX]]*Tabela3[[#This Row],[Peso Macho]]),)</f>
        <v>0</v>
      </c>
      <c r="Z166" s="35">
        <f>IFERROR(Tabela3[[#This Row],[Qtde Oleo]]*(VLOOKUP(Tabela3[[#This Row],[Data]],CompraOleo[],3,TRUE))*1.05,0)</f>
        <v>107.99056833178794</v>
      </c>
      <c r="AA166" s="47">
        <f ca="1">(Tabela3[[#This Row],[Custo Oleo]]+Tabela3[[#This Row],[Custo Aluminio]]+Tabela3[[#This Row],[Custo M.O. Total]]+Tabela3[[#This Row],[Custo Machos]])</f>
        <v>1221.7939276373436</v>
      </c>
      <c r="AB166" s="47">
        <f ca="1">Tabela3[[#This Row],[Custo Total]]*Tabela3[[#This Row],[% Perda]]</f>
        <v>0</v>
      </c>
      <c r="AC166" s="48">
        <f>IFERROR(VLOOKUP(Tabela3[[#This Row],[Produto]],Tabela2[],2,0),0)</f>
        <v>1</v>
      </c>
      <c r="AD166" s="48">
        <f>IFERROR(VLOOKUP(Tabela3[[#This Row],[Produto]],Tabela2[],3,0),0)</f>
        <v>1.69</v>
      </c>
      <c r="AE166" s="48">
        <f>IFERROR(VLOOKUP(Tabela3[[#This Row],[Produto]],Tabela2[],4,0),0)</f>
        <v>2.99</v>
      </c>
      <c r="AF166" s="48">
        <f>IFERROR(VLOOKUP(Tabela3[[#This Row],[Produto]],Tabela2[],5,0),0)</f>
        <v>1.1700000000000004</v>
      </c>
      <c r="AG166" s="40">
        <f>IFERROR(VLOOKUP(Tabela3[[#This Row],[Produto]],Tabela2[],6,0),0)</f>
        <v>0</v>
      </c>
      <c r="AH166" s="40">
        <f>IFERROR(VLOOKUP(Tabela3[[#This Row],[Produto]],Tabela2[],7,0),0)</f>
        <v>0</v>
      </c>
      <c r="AI166" s="40">
        <f>IFERROR(VLOOKUP(Tabela3[[#This Row],[Produto]],Tabela2[],8,0),0)</f>
        <v>0</v>
      </c>
      <c r="AJ166" s="35">
        <f ca="1">IFERROR(VLOOKUP(Tabela3[[#This Row],[Produto]],Tabela2[],13,0),0)</f>
        <v>15.600000000000001</v>
      </c>
      <c r="AK166" s="40" t="str">
        <f>IFERROR(VLOOKUP(Tabela3[[#This Row],[Produto]],Tabela2[],14,0),0)</f>
        <v>Jumil</v>
      </c>
      <c r="AL166" s="40">
        <f>IFERROR(VLOOKUP(Tabela3[[#This Row],[Produto]],Tabela2[],15,0),0)</f>
        <v>8</v>
      </c>
      <c r="AM166" s="36">
        <f ca="1">(Tabela3[[#This Row],[Custo Usinagem]]+Tabela3[[#This Row],[Custo / Pç]])*1.2</f>
        <v>56.895248811768134</v>
      </c>
      <c r="AN166" s="36">
        <f ca="1">Tabela3[[#This Row],[Valor Mínimo Venda]]*1.15</f>
        <v>65.429536133533347</v>
      </c>
      <c r="AO166" s="36">
        <f ca="1">Tabela3[[#This Row],[Tabela 1]]*1.08</f>
        <v>70.663899024216022</v>
      </c>
      <c r="AP166" s="36">
        <f ca="1">Tabela3[[#This Row],[Tabela 2]]*1.15</f>
        <v>81.263483877848415</v>
      </c>
    </row>
    <row r="167" spans="1:42">
      <c r="A167" s="9">
        <v>45750</v>
      </c>
      <c r="B167" s="6" t="s">
        <v>111</v>
      </c>
      <c r="C167" s="14">
        <v>6218</v>
      </c>
      <c r="D167" s="6" t="s">
        <v>44</v>
      </c>
      <c r="E167" s="6" t="s">
        <v>47</v>
      </c>
      <c r="F167" s="6">
        <v>7</v>
      </c>
      <c r="G167" s="15">
        <v>4.7222222222222221E-2</v>
      </c>
      <c r="H167" s="16">
        <v>0</v>
      </c>
      <c r="I167" s="35">
        <f ca="1">IFERROR(Tabela3[[#This Row],[Custo Total]]/Tabela3[[#This Row],[Aluminio Util]],0)</f>
        <v>25.959967695600856</v>
      </c>
      <c r="J167" s="35">
        <f ca="1">Tabela3[[#This Row],[Custo Total]]/Tabela3[[#This Row],[Realizado]]</f>
        <v>50.621937006421668</v>
      </c>
      <c r="K167" s="37">
        <f>IFERROR(Tabela3[[#This Row],[Qtde Cx Produzida]]/Tabela3[[#This Row],[Tempo]]/24,0)</f>
        <v>6.1764705882352944</v>
      </c>
      <c r="L167" s="37">
        <f>Tabela3[[#This Row],[Qtde Cx Produzida]]*Tabela3[[#This Row],[Qdt Peça Placa]]</f>
        <v>7</v>
      </c>
      <c r="M167" s="37">
        <f>Tabela3[[#This Row],[Previsto]]-Tabela3[[#This Row],[Perda Pçs]]</f>
        <v>7</v>
      </c>
      <c r="N167" s="38">
        <f>IFERROR(Tabela3[[#This Row],[Perda Pçs]]/Tabela3[[#This Row],[Previsto]],0)</f>
        <v>0</v>
      </c>
      <c r="O167" s="39">
        <f>IFERROR(IF(Tabela3[[#This Row],[Qtde Cx Produzida]] &lt;&gt; 0, Tabela3[[#This Row],[Tempo]] / Tabela3[[#This Row],[Qtde Cx Produzida]], 0),0)</f>
        <v>6.7460317460317455E-3</v>
      </c>
      <c r="P167" s="57">
        <f>IFERROR(Tabela3[[#This Row],[Perda Pçs]]/Tabela3[[#This Row],[Qdt Peça Placa]],0)</f>
        <v>0</v>
      </c>
      <c r="Q167" s="37">
        <f>IFERROR(Tabela3[[#This Row],[Realizado]]*Tabela3[[#This Row],[Peso Util/Pç]],0)</f>
        <v>13.65</v>
      </c>
      <c r="R167" s="37">
        <f>IFERROR(Tabela3[[#This Row],[Peso Total Galho]]*Tabela3[[#This Row],[Qtde Cx Produzida]]*1.055,0)</f>
        <v>25.478249999999999</v>
      </c>
      <c r="S167" s="37">
        <f>(Tabela3[[#This Row],[Aluminio Bruto]]-Tabela3[[#This Row],[Aluminio Util]])*0.9</f>
        <v>10.645424999999999</v>
      </c>
      <c r="T167" s="37">
        <f>Tabela3[[#This Row],[Aluminio Bruto]]/OleoKGAluminio</f>
        <v>10.718666831939247</v>
      </c>
      <c r="U167" s="35">
        <f>IFERROR((VLOOKUP(Tabela3[[#This Row],[Moldador]],Tabela1[],5,)+(VLOOKUP(Tabela3[[#This Row],[Ajudante]],Tabela1[],5,))*3.5),0)</f>
        <v>99.95034583333333</v>
      </c>
      <c r="V167" s="35">
        <f>IFERROR(Tabela3[[#This Row],[Custo M.O. / H]]/((Tabela3[[#This Row],[Realizado]]/Tabela3[[#This Row],[Qdt Peça Placa]])/Tabela3[[#This Row],[Tempo]]/24),)</f>
        <v>16.182436944444444</v>
      </c>
      <c r="W167" s="35">
        <f>Tabela3[[#This Row],[Custo / Cx Moldada]]*Tabela3[[#This Row],[Qtde Cx Produzida]]</f>
        <v>113.2770586111111</v>
      </c>
      <c r="X167" s="35">
        <f ca="1">Tabela3[[#This Row],[Aluminio Util]]*Tabela3[[#This Row],[Custo/Kg]]</f>
        <v>212.94000000000003</v>
      </c>
      <c r="Y167" s="35">
        <f>IFERROR(VLOOKUP(Tabela3[[#This Row],[Data]],Tabela461213[],2,1)*(Tabela3[[#This Row],[Qtde Cx Produzida]]*Tabela3[[#This Row],[Qde macho / CX]]*Tabela3[[#This Row],[Peso Macho]]),)</f>
        <v>0</v>
      </c>
      <c r="Z167" s="35">
        <f>IFERROR(Tabela3[[#This Row],[Qtde Oleo]]*(VLOOKUP(Tabela3[[#This Row],[Data]],CompraOleo[],3,TRUE))*1.05,0)</f>
        <v>28.136500433840524</v>
      </c>
      <c r="AA167" s="47">
        <f ca="1">(Tabela3[[#This Row],[Custo Oleo]]+Tabela3[[#This Row],[Custo Aluminio]]+Tabela3[[#This Row],[Custo M.O. Total]]+Tabela3[[#This Row],[Custo Machos]])</f>
        <v>354.35355904495168</v>
      </c>
      <c r="AB167" s="47">
        <f ca="1">Tabela3[[#This Row],[Custo Total]]*Tabela3[[#This Row],[% Perda]]</f>
        <v>0</v>
      </c>
      <c r="AC167" s="48">
        <f>IFERROR(VLOOKUP(Tabela3[[#This Row],[Produto]],Tabela2[],2,0),0)</f>
        <v>1</v>
      </c>
      <c r="AD167" s="48">
        <f>IFERROR(VLOOKUP(Tabela3[[#This Row],[Produto]],Tabela2[],3,0),0)</f>
        <v>1.95</v>
      </c>
      <c r="AE167" s="48">
        <f>IFERROR(VLOOKUP(Tabela3[[#This Row],[Produto]],Tabela2[],4,0),0)</f>
        <v>3.45</v>
      </c>
      <c r="AF167" s="48">
        <f>IFERROR(VLOOKUP(Tabela3[[#This Row],[Produto]],Tabela2[],5,0),0)</f>
        <v>1.3500000000000003</v>
      </c>
      <c r="AG167" s="40">
        <f>IFERROR(VLOOKUP(Tabela3[[#This Row],[Produto]],Tabela2[],6,0),0)</f>
        <v>0</v>
      </c>
      <c r="AH167" s="40">
        <f>IFERROR(VLOOKUP(Tabela3[[#This Row],[Produto]],Tabela2[],7,0),0)</f>
        <v>0</v>
      </c>
      <c r="AI167" s="40">
        <f>IFERROR(VLOOKUP(Tabela3[[#This Row],[Produto]],Tabela2[],8,0),0)</f>
        <v>0</v>
      </c>
      <c r="AJ167" s="35">
        <f ca="1">IFERROR(VLOOKUP(Tabela3[[#This Row],[Produto]],Tabela2[],13,0),0)</f>
        <v>15.600000000000001</v>
      </c>
      <c r="AK167" s="40" t="str">
        <f>IFERROR(VLOOKUP(Tabela3[[#This Row],[Produto]],Tabela2[],14,0),0)</f>
        <v>Jumil</v>
      </c>
      <c r="AL167" s="40">
        <f>IFERROR(VLOOKUP(Tabela3[[#This Row],[Produto]],Tabela2[],15,0),0)</f>
        <v>1</v>
      </c>
      <c r="AM167" s="36">
        <f ca="1">(Tabela3[[#This Row],[Custo Usinagem]]+Tabela3[[#This Row],[Custo / Pç]])*1.2</f>
        <v>61.946324407706001</v>
      </c>
      <c r="AN167" s="36">
        <f ca="1">Tabela3[[#This Row],[Valor Mínimo Venda]]*1.15</f>
        <v>71.238273068861901</v>
      </c>
      <c r="AO167" s="36">
        <f ca="1">Tabela3[[#This Row],[Tabela 1]]*1.08</f>
        <v>76.937334914370851</v>
      </c>
      <c r="AP167" s="36">
        <f ca="1">Tabela3[[#This Row],[Tabela 2]]*1.15</f>
        <v>88.477935151526466</v>
      </c>
    </row>
    <row r="168" spans="1:42">
      <c r="A168" s="9">
        <v>45750</v>
      </c>
      <c r="B168" s="6" t="s">
        <v>255</v>
      </c>
      <c r="C168" s="14">
        <v>6068</v>
      </c>
      <c r="D168" s="6" t="s">
        <v>44</v>
      </c>
      <c r="E168" s="6" t="s">
        <v>47</v>
      </c>
      <c r="F168" s="6">
        <v>62</v>
      </c>
      <c r="G168" s="15">
        <v>0.29444444444444445</v>
      </c>
      <c r="H168" s="16">
        <v>0</v>
      </c>
      <c r="I168" s="35">
        <f ca="1">IFERROR(Tabela3[[#This Row],[Custo Total]]/Tabela3[[#This Row],[Aluminio Util]],0)</f>
        <v>28.438059237121848</v>
      </c>
      <c r="J168" s="35">
        <f ca="1">Tabela3[[#This Row],[Custo Total]]/Tabela3[[#This Row],[Realizado]]</f>
        <v>35.54757404640231</v>
      </c>
      <c r="K168" s="37">
        <f>IFERROR(Tabela3[[#This Row],[Qtde Cx Produzida]]/Tabela3[[#This Row],[Tempo]]/24,0)</f>
        <v>8.7735849056603765</v>
      </c>
      <c r="L168" s="37">
        <f>Tabela3[[#This Row],[Qtde Cx Produzida]]*Tabela3[[#This Row],[Qdt Peça Placa]]</f>
        <v>62</v>
      </c>
      <c r="M168" s="37">
        <f>Tabela3[[#This Row],[Previsto]]-Tabela3[[#This Row],[Perda Pçs]]</f>
        <v>62</v>
      </c>
      <c r="N168" s="38">
        <f>IFERROR(Tabela3[[#This Row],[Perda Pçs]]/Tabela3[[#This Row],[Previsto]],0)</f>
        <v>0</v>
      </c>
      <c r="O168" s="39">
        <f>IFERROR(IF(Tabela3[[#This Row],[Qtde Cx Produzida]] &lt;&gt; 0, Tabela3[[#This Row],[Tempo]] / Tabela3[[#This Row],[Qtde Cx Produzida]], 0),0)</f>
        <v>4.7491039426523296E-3</v>
      </c>
      <c r="P168" s="57">
        <f>IFERROR(Tabela3[[#This Row],[Perda Pçs]]/Tabela3[[#This Row],[Qdt Peça Placa]],0)</f>
        <v>0</v>
      </c>
      <c r="Q168" s="37">
        <f>IFERROR(Tabela3[[#This Row],[Realizado]]*Tabela3[[#This Row],[Peso Util/Pç]],0)</f>
        <v>77.5</v>
      </c>
      <c r="R168" s="37">
        <f>IFERROR(Tabela3[[#This Row],[Peso Total Galho]]*Tabela3[[#This Row],[Qtde Cx Produzida]]*1.055,0)</f>
        <v>121.0085</v>
      </c>
      <c r="S168" s="37">
        <f>(Tabela3[[#This Row],[Aluminio Bruto]]-Tabela3[[#This Row],[Aluminio Util]])*0.9</f>
        <v>39.157649999999997</v>
      </c>
      <c r="T168" s="37">
        <f>Tabela3[[#This Row],[Aluminio Bruto]]/OleoKGAluminio</f>
        <v>50.9081194875127</v>
      </c>
      <c r="U168" s="35">
        <f>IFERROR((VLOOKUP(Tabela3[[#This Row],[Moldador]],Tabela1[],5,)+(VLOOKUP(Tabela3[[#This Row],[Ajudante]],Tabela1[],5,))*3.5),0)</f>
        <v>99.95034583333333</v>
      </c>
      <c r="V168" s="35">
        <f>IFERROR(Tabela3[[#This Row],[Custo M.O. / H]]/((Tabela3[[#This Row],[Realizado]]/Tabela3[[#This Row],[Qdt Peça Placa]])/Tabela3[[#This Row],[Tempo]]/24),)</f>
        <v>11.392189955197134</v>
      </c>
      <c r="W168" s="35">
        <f>Tabela3[[#This Row],[Custo / Cx Moldada]]*Tabela3[[#This Row],[Qtde Cx Produzida]]</f>
        <v>706.31577722222232</v>
      </c>
      <c r="X168" s="35">
        <f ca="1">Tabela3[[#This Row],[Aluminio Util]]*Tabela3[[#This Row],[Custo/Kg]]</f>
        <v>1364</v>
      </c>
      <c r="Y168" s="35">
        <f>IFERROR(VLOOKUP(Tabela3[[#This Row],[Data]],Tabela461213[],2,1)*(Tabela3[[#This Row],[Qtde Cx Produzida]]*Tabela3[[#This Row],[Qde macho / CX]]*Tabela3[[#This Row],[Peso Macho]]),)</f>
        <v>0</v>
      </c>
      <c r="Z168" s="35">
        <f>IFERROR(Tabela3[[#This Row],[Qtde Oleo]]*(VLOOKUP(Tabela3[[#This Row],[Data]],CompraOleo[],3,TRUE))*1.05,0)</f>
        <v>133.63381365472083</v>
      </c>
      <c r="AA168" s="47">
        <f ca="1">(Tabela3[[#This Row],[Custo Oleo]]+Tabela3[[#This Row],[Custo Aluminio]]+Tabela3[[#This Row],[Custo M.O. Total]]+Tabela3[[#This Row],[Custo Machos]])</f>
        <v>2203.9495908769431</v>
      </c>
      <c r="AB168" s="47">
        <f ca="1">Tabela3[[#This Row],[Custo Total]]*Tabela3[[#This Row],[% Perda]]</f>
        <v>0</v>
      </c>
      <c r="AC168" s="48">
        <f>IFERROR(VLOOKUP(Tabela3[[#This Row],[Produto]],Tabela2[],2,0),0)</f>
        <v>1</v>
      </c>
      <c r="AD168" s="48">
        <f>IFERROR(VLOOKUP(Tabela3[[#This Row],[Produto]],Tabela2[],3,0),0)</f>
        <v>1.25</v>
      </c>
      <c r="AE168" s="48">
        <f>IFERROR(VLOOKUP(Tabela3[[#This Row],[Produto]],Tabela2[],4,0),0)</f>
        <v>1.85</v>
      </c>
      <c r="AF168" s="48">
        <f>IFERROR(VLOOKUP(Tabela3[[#This Row],[Produto]],Tabela2[],5,0),0)</f>
        <v>0.54000000000000015</v>
      </c>
      <c r="AG168" s="40">
        <f>IFERROR(VLOOKUP(Tabela3[[#This Row],[Produto]],Tabela2[],6,0),0)</f>
        <v>0</v>
      </c>
      <c r="AH168" s="40">
        <f>IFERROR(VLOOKUP(Tabela3[[#This Row],[Produto]],Tabela2[],7,0),0)</f>
        <v>0</v>
      </c>
      <c r="AI168" s="40">
        <f>IFERROR(VLOOKUP(Tabela3[[#This Row],[Produto]],Tabela2[],8,0),0)</f>
        <v>0</v>
      </c>
      <c r="AJ168" s="35">
        <f ca="1">IFERROR(VLOOKUP(Tabela3[[#This Row],[Produto]],Tabela2[],13,0),0)</f>
        <v>17.600000000000001</v>
      </c>
      <c r="AK168" s="40" t="str">
        <f>IFERROR(VLOOKUP(Tabela3[[#This Row],[Produto]],Tabela2[],14,0),0)</f>
        <v>Protec</v>
      </c>
      <c r="AL168" s="40">
        <f>IFERROR(VLOOKUP(Tabela3[[#This Row],[Produto]],Tabela2[],15,0),0)</f>
        <v>0</v>
      </c>
      <c r="AM168" s="36">
        <f ca="1">(Tabela3[[#This Row],[Custo Usinagem]]+Tabela3[[#This Row],[Custo / Pç]])*1.2</f>
        <v>42.657088855682773</v>
      </c>
      <c r="AN168" s="36">
        <f ca="1">Tabela3[[#This Row],[Valor Mínimo Venda]]*1.15</f>
        <v>49.055652184035182</v>
      </c>
      <c r="AO168" s="36">
        <f ca="1">Tabela3[[#This Row],[Tabela 1]]*1.08</f>
        <v>52.980104358757998</v>
      </c>
      <c r="AP168" s="36">
        <f ca="1">Tabela3[[#This Row],[Tabela 2]]*1.15</f>
        <v>60.927120012571692</v>
      </c>
    </row>
    <row r="169" spans="1:42">
      <c r="A169" s="9">
        <v>45750</v>
      </c>
      <c r="B169" s="6" t="s">
        <v>253</v>
      </c>
      <c r="C169" s="14">
        <v>6067</v>
      </c>
      <c r="D169" s="6" t="s">
        <v>44</v>
      </c>
      <c r="E169" s="6" t="s">
        <v>47</v>
      </c>
      <c r="F169" s="6">
        <v>12</v>
      </c>
      <c r="G169" s="15">
        <v>5.2777777777777778E-2</v>
      </c>
      <c r="H169" s="16"/>
      <c r="I169" s="35">
        <f ca="1">IFERROR(Tabela3[[#This Row],[Custo Total]]/Tabela3[[#This Row],[Aluminio Util]],0)</f>
        <v>29.944775542470225</v>
      </c>
      <c r="J169" s="35">
        <f ca="1">Tabela3[[#This Row],[Custo Total]]/Tabela3[[#This Row],[Realizado]]</f>
        <v>31.442014319593738</v>
      </c>
      <c r="K169" s="37">
        <f>IFERROR(Tabela3[[#This Row],[Qtde Cx Produzida]]/Tabela3[[#This Row],[Tempo]]/24,0)</f>
        <v>9.4736842105263168</v>
      </c>
      <c r="L169" s="37">
        <f>Tabela3[[#This Row],[Qtde Cx Produzida]]*Tabela3[[#This Row],[Qdt Peça Placa]]</f>
        <v>12</v>
      </c>
      <c r="M169" s="37">
        <f>Tabela3[[#This Row],[Previsto]]-Tabela3[[#This Row],[Perda Pçs]]</f>
        <v>12</v>
      </c>
      <c r="N169" s="38">
        <f>IFERROR(Tabela3[[#This Row],[Perda Pçs]]/Tabela3[[#This Row],[Previsto]],0)</f>
        <v>0</v>
      </c>
      <c r="O169" s="39">
        <f>IFERROR(IF(Tabela3[[#This Row],[Qtde Cx Produzida]] &lt;&gt; 0, Tabela3[[#This Row],[Tempo]] / Tabela3[[#This Row],[Qtde Cx Produzida]], 0),0)</f>
        <v>4.3981481481481484E-3</v>
      </c>
      <c r="P169" s="57">
        <f>IFERROR(Tabela3[[#This Row],[Perda Pçs]]/Tabela3[[#This Row],[Qdt Peça Placa]],0)</f>
        <v>0</v>
      </c>
      <c r="Q169" s="37">
        <f>IFERROR(Tabela3[[#This Row],[Realizado]]*Tabela3[[#This Row],[Peso Util/Pç]],0)</f>
        <v>12.600000000000001</v>
      </c>
      <c r="R169" s="37">
        <f>IFERROR(Tabela3[[#This Row],[Peso Total Galho]]*Tabela3[[#This Row],[Qtde Cx Produzida]]*1.055,0)</f>
        <v>26.206199999999995</v>
      </c>
      <c r="S169" s="37">
        <f>(Tabela3[[#This Row],[Aluminio Bruto]]-Tabela3[[#This Row],[Aluminio Util]])*0.9</f>
        <v>12.245579999999995</v>
      </c>
      <c r="T169" s="37">
        <f>Tabela3[[#This Row],[Aluminio Bruto]]/OleoKGAluminio</f>
        <v>11.024914455708938</v>
      </c>
      <c r="U169" s="35">
        <f>IFERROR((VLOOKUP(Tabela3[[#This Row],[Moldador]],Tabela1[],5,)+(VLOOKUP(Tabela3[[#This Row],[Ajudante]],Tabela1[],5,))*3.5),0)</f>
        <v>99.95034583333333</v>
      </c>
      <c r="V169" s="35">
        <f>IFERROR(Tabela3[[#This Row],[Custo M.O. / H]]/((Tabela3[[#This Row],[Realizado]]/Tabela3[[#This Row],[Qdt Peça Placa]])/Tabela3[[#This Row],[Tempo]]/24),)</f>
        <v>10.550314282407406</v>
      </c>
      <c r="W169" s="35">
        <f>Tabela3[[#This Row],[Custo / Cx Moldada]]*Tabela3[[#This Row],[Qtde Cx Produzida]]</f>
        <v>126.60377138888887</v>
      </c>
      <c r="X169" s="35">
        <f ca="1">Tabela3[[#This Row],[Aluminio Util]]*Tabela3[[#This Row],[Custo/Kg]]</f>
        <v>221.76000000000005</v>
      </c>
      <c r="Y169" s="35">
        <f>IFERROR(VLOOKUP(Tabela3[[#This Row],[Data]],Tabela461213[],2,1)*(Tabela3[[#This Row],[Qtde Cx Produzida]]*Tabela3[[#This Row],[Qde macho / CX]]*Tabela3[[#This Row],[Peso Macho]]),)</f>
        <v>0</v>
      </c>
      <c r="Z169" s="35">
        <f>IFERROR(Tabela3[[#This Row],[Qtde Oleo]]*(VLOOKUP(Tabela3[[#This Row],[Data]],CompraOleo[],3,TRUE))*1.05,0)</f>
        <v>28.940400446235962</v>
      </c>
      <c r="AA169" s="47">
        <f ca="1">(Tabela3[[#This Row],[Custo Oleo]]+Tabela3[[#This Row],[Custo Aluminio]]+Tabela3[[#This Row],[Custo M.O. Total]]+Tabela3[[#This Row],[Custo Machos]])</f>
        <v>377.30417183512486</v>
      </c>
      <c r="AB169" s="47">
        <f ca="1">Tabela3[[#This Row],[Custo Total]]*Tabela3[[#This Row],[% Perda]]</f>
        <v>0</v>
      </c>
      <c r="AC169" s="48">
        <f>IFERROR(VLOOKUP(Tabela3[[#This Row],[Produto]],Tabela2[],2,0),0)</f>
        <v>1</v>
      </c>
      <c r="AD169" s="48">
        <f>IFERROR(VLOOKUP(Tabela3[[#This Row],[Produto]],Tabela2[],3,0),0)</f>
        <v>1.05</v>
      </c>
      <c r="AE169" s="48">
        <f>IFERROR(VLOOKUP(Tabela3[[#This Row],[Produto]],Tabela2[],4,0),0)</f>
        <v>2.0699999999999998</v>
      </c>
      <c r="AF169" s="48">
        <f>IFERROR(VLOOKUP(Tabela3[[#This Row],[Produto]],Tabela2[],5,0),0)</f>
        <v>0.91799999999999982</v>
      </c>
      <c r="AG169" s="40">
        <f>IFERROR(VLOOKUP(Tabela3[[#This Row],[Produto]],Tabela2[],6,0),0)</f>
        <v>0</v>
      </c>
      <c r="AH169" s="40">
        <f>IFERROR(VLOOKUP(Tabela3[[#This Row],[Produto]],Tabela2[],7,0),0)</f>
        <v>0</v>
      </c>
      <c r="AI169" s="40">
        <f>IFERROR(VLOOKUP(Tabela3[[#This Row],[Produto]],Tabela2[],8,0),0)</f>
        <v>0</v>
      </c>
      <c r="AJ169" s="35">
        <f ca="1">IFERROR(VLOOKUP(Tabela3[[#This Row],[Produto]],Tabela2[],13,0),0)</f>
        <v>17.600000000000001</v>
      </c>
      <c r="AK169" s="40" t="str">
        <f>IFERROR(VLOOKUP(Tabela3[[#This Row],[Produto]],Tabela2[],14,0),0)</f>
        <v>Protec</v>
      </c>
      <c r="AL169" s="40">
        <f>IFERROR(VLOOKUP(Tabela3[[#This Row],[Produto]],Tabela2[],15,0),0)</f>
        <v>0</v>
      </c>
      <c r="AM169" s="36">
        <f ca="1">(Tabela3[[#This Row],[Custo Usinagem]]+Tabela3[[#This Row],[Custo / Pç]])*1.2</f>
        <v>37.730417183512486</v>
      </c>
      <c r="AN169" s="36">
        <f ca="1">Tabela3[[#This Row],[Valor Mínimo Venda]]*1.15</f>
        <v>43.389979761039356</v>
      </c>
      <c r="AO169" s="36">
        <f ca="1">Tabela3[[#This Row],[Tabela 1]]*1.08</f>
        <v>46.861178141922508</v>
      </c>
      <c r="AP169" s="36">
        <f ca="1">Tabela3[[#This Row],[Tabela 2]]*1.15</f>
        <v>53.890354863210881</v>
      </c>
    </row>
    <row r="170" spans="1:42">
      <c r="A170" s="9">
        <v>45751</v>
      </c>
      <c r="B170" s="6" t="s">
        <v>124</v>
      </c>
      <c r="C170" s="14">
        <v>6166</v>
      </c>
      <c r="D170" s="6" t="s">
        <v>46</v>
      </c>
      <c r="E170" s="6" t="s">
        <v>53</v>
      </c>
      <c r="F170" s="6">
        <v>65</v>
      </c>
      <c r="G170" s="15">
        <v>0.2722222222222222</v>
      </c>
      <c r="H170" s="16">
        <v>2</v>
      </c>
      <c r="I170" s="35">
        <f ca="1">IFERROR(Tabela3[[#This Row],[Custo Total]]/Tabela3[[#This Row],[Aluminio Util]],0)</f>
        <v>24.054693388133686</v>
      </c>
      <c r="J170" s="35">
        <f ca="1">Tabela3[[#This Row],[Custo Total]]/Tabela3[[#This Row],[Realizado]]</f>
        <v>40.652431825945925</v>
      </c>
      <c r="K170" s="37">
        <f>IFERROR(Tabela3[[#This Row],[Qtde Cx Produzida]]/Tabela3[[#This Row],[Tempo]]/24,0)</f>
        <v>9.9489795918367356</v>
      </c>
      <c r="L170" s="37">
        <f>Tabela3[[#This Row],[Qtde Cx Produzida]]*Tabela3[[#This Row],[Qdt Peça Placa]]</f>
        <v>65</v>
      </c>
      <c r="M170" s="37">
        <f>Tabela3[[#This Row],[Previsto]]-Tabela3[[#This Row],[Perda Pçs]]</f>
        <v>63</v>
      </c>
      <c r="N170" s="38">
        <f>IFERROR(Tabela3[[#This Row],[Perda Pçs]]/Tabela3[[#This Row],[Previsto]],0)</f>
        <v>3.0769230769230771E-2</v>
      </c>
      <c r="O170" s="39">
        <f>IFERROR(IF(Tabela3[[#This Row],[Qtde Cx Produzida]] &lt;&gt; 0, Tabela3[[#This Row],[Tempo]] / Tabela3[[#This Row],[Qtde Cx Produzida]], 0),0)</f>
        <v>4.1880341880341874E-3</v>
      </c>
      <c r="P170" s="57">
        <f>IFERROR(Tabela3[[#This Row],[Perda Pçs]]/Tabela3[[#This Row],[Qdt Peça Placa]],0)</f>
        <v>2</v>
      </c>
      <c r="Q170" s="37">
        <f>IFERROR(Tabela3[[#This Row],[Realizado]]*Tabela3[[#This Row],[Peso Util/Pç]],0)</f>
        <v>106.47</v>
      </c>
      <c r="R170" s="37">
        <f>IFERROR(Tabela3[[#This Row],[Peso Total Galho]]*Tabela3[[#This Row],[Qtde Cx Produzida]]*1.055,0)</f>
        <v>205.03925000000001</v>
      </c>
      <c r="S170" s="37">
        <f>(Tabela3[[#This Row],[Aluminio Bruto]]-Tabela3[[#This Row],[Aluminio Util]])*0.9</f>
        <v>88.712325000000007</v>
      </c>
      <c r="T170" s="37">
        <f>Tabela3[[#This Row],[Aluminio Bruto]]/OleoKGAluminio</f>
        <v>86.259747361796812</v>
      </c>
      <c r="U170" s="35">
        <f>IFERROR((VLOOKUP(Tabela3[[#This Row],[Moldador]],Tabela1[],5,)+(VLOOKUP(Tabela3[[#This Row],[Ajudante]],Tabela1[],5,))*3.5),0)</f>
        <v>99.95034583333333</v>
      </c>
      <c r="V170" s="35">
        <f>IFERROR(Tabela3[[#This Row],[Custo M.O. / H]]/((Tabela3[[#This Row],[Realizado]]/Tabela3[[#This Row],[Qdt Peça Placa]])/Tabela3[[#This Row],[Tempo]]/24),)</f>
        <v>10.365221049382715</v>
      </c>
      <c r="W170" s="35">
        <f>Tabela3[[#This Row],[Custo / Cx Moldada]]*Tabela3[[#This Row],[Qtde Cx Produzida]]</f>
        <v>673.73936820987649</v>
      </c>
      <c r="X170" s="35">
        <f ca="1">Tabela3[[#This Row],[Aluminio Util]]*Tabela3[[#This Row],[Custo/Kg]]</f>
        <v>1660.9320000000002</v>
      </c>
      <c r="Y170" s="35">
        <f>IFERROR(VLOOKUP(Tabela3[[#This Row],[Data]],Tabela461213[],2,1)*(Tabela3[[#This Row],[Qtde Cx Produzida]]*Tabela3[[#This Row],[Qde macho / CX]]*Tabela3[[#This Row],[Peso Macho]]),)</f>
        <v>0</v>
      </c>
      <c r="Z170" s="35">
        <f>IFERROR(Tabela3[[#This Row],[Qtde Oleo]]*(VLOOKUP(Tabela3[[#This Row],[Data]],CompraOleo[],3,TRUE))*1.05,0)</f>
        <v>226.43183682471664</v>
      </c>
      <c r="AA170" s="47">
        <f ca="1">(Tabela3[[#This Row],[Custo Oleo]]+Tabela3[[#This Row],[Custo Aluminio]]+Tabela3[[#This Row],[Custo M.O. Total]]+Tabela3[[#This Row],[Custo Machos]])</f>
        <v>2561.1032050345934</v>
      </c>
      <c r="AB170" s="47">
        <f ca="1">Tabela3[[#This Row],[Custo Total]]*Tabela3[[#This Row],[% Perda]]</f>
        <v>78.803175539525952</v>
      </c>
      <c r="AC170" s="48">
        <f>IFERROR(VLOOKUP(Tabela3[[#This Row],[Produto]],Tabela2[],2,0),0)</f>
        <v>1</v>
      </c>
      <c r="AD170" s="48">
        <f>IFERROR(VLOOKUP(Tabela3[[#This Row],[Produto]],Tabela2[],3,0),0)</f>
        <v>1.69</v>
      </c>
      <c r="AE170" s="48">
        <f>IFERROR(VLOOKUP(Tabela3[[#This Row],[Produto]],Tabela2[],4,0),0)</f>
        <v>2.99</v>
      </c>
      <c r="AF170" s="48">
        <f>IFERROR(VLOOKUP(Tabela3[[#This Row],[Produto]],Tabela2[],5,0),0)</f>
        <v>1.1700000000000004</v>
      </c>
      <c r="AG170" s="40">
        <f>IFERROR(VLOOKUP(Tabela3[[#This Row],[Produto]],Tabela2[],6,0),0)</f>
        <v>0</v>
      </c>
      <c r="AH170" s="40">
        <f>IFERROR(VLOOKUP(Tabela3[[#This Row],[Produto]],Tabela2[],7,0),0)</f>
        <v>0</v>
      </c>
      <c r="AI170" s="40">
        <f>IFERROR(VLOOKUP(Tabela3[[#This Row],[Produto]],Tabela2[],8,0),0)</f>
        <v>0</v>
      </c>
      <c r="AJ170" s="35">
        <f ca="1">IFERROR(VLOOKUP(Tabela3[[#This Row],[Produto]],Tabela2[],13,0),0)</f>
        <v>15.600000000000001</v>
      </c>
      <c r="AK170" s="40" t="str">
        <f>IFERROR(VLOOKUP(Tabela3[[#This Row],[Produto]],Tabela2[],14,0),0)</f>
        <v>Jumil</v>
      </c>
      <c r="AL170" s="40">
        <f>IFERROR(VLOOKUP(Tabela3[[#This Row],[Produto]],Tabela2[],15,0),0)</f>
        <v>8</v>
      </c>
      <c r="AM170" s="36">
        <f ca="1">(Tabela3[[#This Row],[Custo Usinagem]]+Tabela3[[#This Row],[Custo / Pç]])*1.2</f>
        <v>58.382918191135104</v>
      </c>
      <c r="AN170" s="36">
        <f ca="1">Tabela3[[#This Row],[Valor Mínimo Venda]]*1.15</f>
        <v>67.140355919805359</v>
      </c>
      <c r="AO170" s="36">
        <f ca="1">Tabela3[[#This Row],[Tabela 1]]*1.08</f>
        <v>72.511584393389796</v>
      </c>
      <c r="AP170" s="36">
        <f ca="1">Tabela3[[#This Row],[Tabela 2]]*1.15</f>
        <v>83.388322052398266</v>
      </c>
    </row>
    <row r="171" spans="1:42">
      <c r="A171" s="9">
        <v>45751</v>
      </c>
      <c r="B171" s="6" t="s">
        <v>253</v>
      </c>
      <c r="C171" s="14">
        <v>6067</v>
      </c>
      <c r="D171" s="6" t="s">
        <v>46</v>
      </c>
      <c r="E171" s="6" t="s">
        <v>53</v>
      </c>
      <c r="F171" s="6">
        <v>12</v>
      </c>
      <c r="G171" s="15">
        <v>7.5694444444444439E-2</v>
      </c>
      <c r="H171" s="16">
        <v>0</v>
      </c>
      <c r="I171" s="35">
        <f ca="1">IFERROR(Tabela3[[#This Row],[Custo Total]]/Tabela3[[#This Row],[Aluminio Util]],0)</f>
        <v>34.30768746376652</v>
      </c>
      <c r="J171" s="35">
        <f ca="1">Tabela3[[#This Row],[Custo Total]]/Tabela3[[#This Row],[Realizado]]</f>
        <v>36.023071836954848</v>
      </c>
      <c r="K171" s="37">
        <f>IFERROR(Tabela3[[#This Row],[Qtde Cx Produzida]]/Tabela3[[#This Row],[Tempo]]/24,0)</f>
        <v>6.6055045871559637</v>
      </c>
      <c r="L171" s="37">
        <f>Tabela3[[#This Row],[Qtde Cx Produzida]]*Tabela3[[#This Row],[Qdt Peça Placa]]</f>
        <v>12</v>
      </c>
      <c r="M171" s="37">
        <f>Tabela3[[#This Row],[Previsto]]-Tabela3[[#This Row],[Perda Pçs]]</f>
        <v>12</v>
      </c>
      <c r="N171" s="38">
        <f>IFERROR(Tabela3[[#This Row],[Perda Pçs]]/Tabela3[[#This Row],[Previsto]],0)</f>
        <v>0</v>
      </c>
      <c r="O171" s="39">
        <f>IFERROR(IF(Tabela3[[#This Row],[Qtde Cx Produzida]] &lt;&gt; 0, Tabela3[[#This Row],[Tempo]] / Tabela3[[#This Row],[Qtde Cx Produzida]], 0),0)</f>
        <v>6.3078703703703699E-3</v>
      </c>
      <c r="P171" s="57">
        <f>IFERROR(Tabela3[[#This Row],[Perda Pçs]]/Tabela3[[#This Row],[Qdt Peça Placa]],0)</f>
        <v>0</v>
      </c>
      <c r="Q171" s="37">
        <f>IFERROR(Tabela3[[#This Row],[Realizado]]*Tabela3[[#This Row],[Peso Util/Pç]],0)</f>
        <v>12.600000000000001</v>
      </c>
      <c r="R171" s="37">
        <f>IFERROR(Tabela3[[#This Row],[Peso Total Galho]]*Tabela3[[#This Row],[Qtde Cx Produzida]]*1.055,0)</f>
        <v>26.206199999999995</v>
      </c>
      <c r="S171" s="37">
        <f>(Tabela3[[#This Row],[Aluminio Bruto]]-Tabela3[[#This Row],[Aluminio Util]])*0.9</f>
        <v>12.245579999999995</v>
      </c>
      <c r="T171" s="37">
        <f>Tabela3[[#This Row],[Aluminio Bruto]]/OleoKGAluminio</f>
        <v>11.024914455708938</v>
      </c>
      <c r="U171" s="35">
        <f>IFERROR((VLOOKUP(Tabela3[[#This Row],[Moldador]],Tabela1[],5,)+(VLOOKUP(Tabela3[[#This Row],[Ajudante]],Tabela1[],5,))*3.5),0)</f>
        <v>99.95034583333333</v>
      </c>
      <c r="V171" s="35">
        <f>IFERROR(Tabela3[[#This Row],[Custo M.O. / H]]/((Tabela3[[#This Row],[Realizado]]/Tabela3[[#This Row],[Qdt Peça Placa]])/Tabela3[[#This Row],[Tempo]]/24),)</f>
        <v>15.131371799768518</v>
      </c>
      <c r="W171" s="35">
        <f>Tabela3[[#This Row],[Custo / Cx Moldada]]*Tabela3[[#This Row],[Qtde Cx Produzida]]</f>
        <v>181.57646159722222</v>
      </c>
      <c r="X171" s="35">
        <f ca="1">Tabela3[[#This Row],[Aluminio Util]]*Tabela3[[#This Row],[Custo/Kg]]</f>
        <v>221.76000000000005</v>
      </c>
      <c r="Y171" s="35">
        <f>IFERROR(VLOOKUP(Tabela3[[#This Row],[Data]],Tabela461213[],2,1)*(Tabela3[[#This Row],[Qtde Cx Produzida]]*Tabela3[[#This Row],[Qde macho / CX]]*Tabela3[[#This Row],[Peso Macho]]),)</f>
        <v>0</v>
      </c>
      <c r="Z171" s="35">
        <f>IFERROR(Tabela3[[#This Row],[Qtde Oleo]]*(VLOOKUP(Tabela3[[#This Row],[Data]],CompraOleo[],3,TRUE))*1.05,0)</f>
        <v>28.940400446235962</v>
      </c>
      <c r="AA171" s="47">
        <f ca="1">(Tabela3[[#This Row],[Custo Oleo]]+Tabela3[[#This Row],[Custo Aluminio]]+Tabela3[[#This Row],[Custo M.O. Total]]+Tabela3[[#This Row],[Custo Machos]])</f>
        <v>432.27686204345821</v>
      </c>
      <c r="AB171" s="47">
        <f ca="1">Tabela3[[#This Row],[Custo Total]]*Tabela3[[#This Row],[% Perda]]</f>
        <v>0</v>
      </c>
      <c r="AC171" s="48">
        <f>IFERROR(VLOOKUP(Tabela3[[#This Row],[Produto]],Tabela2[],2,0),0)</f>
        <v>1</v>
      </c>
      <c r="AD171" s="48">
        <f>IFERROR(VLOOKUP(Tabela3[[#This Row],[Produto]],Tabela2[],3,0),0)</f>
        <v>1.05</v>
      </c>
      <c r="AE171" s="48">
        <f>IFERROR(VLOOKUP(Tabela3[[#This Row],[Produto]],Tabela2[],4,0),0)</f>
        <v>2.0699999999999998</v>
      </c>
      <c r="AF171" s="48">
        <f>IFERROR(VLOOKUP(Tabela3[[#This Row],[Produto]],Tabela2[],5,0),0)</f>
        <v>0.91799999999999982</v>
      </c>
      <c r="AG171" s="40">
        <f>IFERROR(VLOOKUP(Tabela3[[#This Row],[Produto]],Tabela2[],6,0),0)</f>
        <v>0</v>
      </c>
      <c r="AH171" s="40">
        <f>IFERROR(VLOOKUP(Tabela3[[#This Row],[Produto]],Tabela2[],7,0),0)</f>
        <v>0</v>
      </c>
      <c r="AI171" s="40">
        <f>IFERROR(VLOOKUP(Tabela3[[#This Row],[Produto]],Tabela2[],8,0),0)</f>
        <v>0</v>
      </c>
      <c r="AJ171" s="35">
        <f ca="1">IFERROR(VLOOKUP(Tabela3[[#This Row],[Produto]],Tabela2[],13,0),0)</f>
        <v>17.600000000000001</v>
      </c>
      <c r="AK171" s="40" t="str">
        <f>IFERROR(VLOOKUP(Tabela3[[#This Row],[Produto]],Tabela2[],14,0),0)</f>
        <v>Protec</v>
      </c>
      <c r="AL171" s="40">
        <f>IFERROR(VLOOKUP(Tabela3[[#This Row],[Produto]],Tabela2[],15,0),0)</f>
        <v>0</v>
      </c>
      <c r="AM171" s="36">
        <f ca="1">(Tabela3[[#This Row],[Custo Usinagem]]+Tabela3[[#This Row],[Custo / Pç]])*1.2</f>
        <v>43.227686204345815</v>
      </c>
      <c r="AN171" s="36">
        <f ca="1">Tabela3[[#This Row],[Valor Mínimo Venda]]*1.15</f>
        <v>49.711839134997682</v>
      </c>
      <c r="AO171" s="36">
        <f ca="1">Tabela3[[#This Row],[Tabela 1]]*1.08</f>
        <v>53.688786265797496</v>
      </c>
      <c r="AP171" s="36">
        <f ca="1">Tabela3[[#This Row],[Tabela 2]]*1.15</f>
        <v>61.742104205667118</v>
      </c>
    </row>
    <row r="172" spans="1:42">
      <c r="A172" s="9">
        <v>45751</v>
      </c>
      <c r="B172" s="6" t="s">
        <v>134</v>
      </c>
      <c r="C172" s="14">
        <v>6168</v>
      </c>
      <c r="D172" s="6" t="s">
        <v>44</v>
      </c>
      <c r="E172" s="6" t="s">
        <v>47</v>
      </c>
      <c r="F172" s="6">
        <v>3</v>
      </c>
      <c r="G172" s="15">
        <v>3.125E-2</v>
      </c>
      <c r="H172" s="16">
        <v>0</v>
      </c>
      <c r="I172" s="35">
        <f ca="1">IFERROR(Tabela3[[#This Row],[Custo Total]]/Tabela3[[#This Row],[Aluminio Util]],0)</f>
        <v>25.634782106938484</v>
      </c>
      <c r="J172" s="35">
        <f ca="1">Tabela3[[#This Row],[Custo Total]]/Tabela3[[#This Row],[Realizado]]</f>
        <v>93.56695469032546</v>
      </c>
      <c r="K172" s="37">
        <f>IFERROR(Tabela3[[#This Row],[Qtde Cx Produzida]]/Tabela3[[#This Row],[Tempo]]/24,0)</f>
        <v>4</v>
      </c>
      <c r="L172" s="37">
        <f>Tabela3[[#This Row],[Qtde Cx Produzida]]*Tabela3[[#This Row],[Qdt Peça Placa]]</f>
        <v>3</v>
      </c>
      <c r="M172" s="37">
        <f>Tabela3[[#This Row],[Previsto]]-Tabela3[[#This Row],[Perda Pçs]]</f>
        <v>3</v>
      </c>
      <c r="N172" s="38">
        <f>IFERROR(Tabela3[[#This Row],[Perda Pçs]]/Tabela3[[#This Row],[Previsto]],0)</f>
        <v>0</v>
      </c>
      <c r="O172" s="39">
        <f>IFERROR(IF(Tabela3[[#This Row],[Qtde Cx Produzida]] &lt;&gt; 0, Tabela3[[#This Row],[Tempo]] / Tabela3[[#This Row],[Qtde Cx Produzida]], 0),0)</f>
        <v>1.0416666666666666E-2</v>
      </c>
      <c r="P172" s="57">
        <f>IFERROR(Tabela3[[#This Row],[Perda Pçs]]/Tabela3[[#This Row],[Qdt Peça Placa]],0)</f>
        <v>0</v>
      </c>
      <c r="Q172" s="37">
        <f>IFERROR(Tabela3[[#This Row],[Realizado]]*Tabela3[[#This Row],[Peso Util/Pç]],0)</f>
        <v>10.95</v>
      </c>
      <c r="R172" s="37">
        <f>IFERROR(Tabela3[[#This Row],[Peso Total Galho]]*Tabela3[[#This Row],[Qtde Cx Produzida]]*1.055,0)</f>
        <v>20.445899999999998</v>
      </c>
      <c r="S172" s="37">
        <f>(Tabela3[[#This Row],[Aluminio Bruto]]-Tabela3[[#This Row],[Aluminio Util]])*0.9</f>
        <v>8.5463100000000001</v>
      </c>
      <c r="T172" s="37">
        <f>Tabela3[[#This Row],[Aluminio Bruto]]/OleoKGAluminio</f>
        <v>8.601563693705284</v>
      </c>
      <c r="U172" s="35">
        <f>IFERROR((VLOOKUP(Tabela3[[#This Row],[Moldador]],Tabela1[],5,)+(VLOOKUP(Tabela3[[#This Row],[Ajudante]],Tabela1[],5,))*3.5),0)</f>
        <v>99.95034583333333</v>
      </c>
      <c r="V172" s="35">
        <f>IFERROR(Tabela3[[#This Row],[Custo M.O. / H]]/((Tabela3[[#This Row],[Realizado]]/Tabela3[[#This Row],[Qdt Peça Placa]])/Tabela3[[#This Row],[Tempo]]/24),)</f>
        <v>24.987586458333332</v>
      </c>
      <c r="W172" s="35">
        <f>Tabela3[[#This Row],[Custo / Cx Moldada]]*Tabela3[[#This Row],[Qtde Cx Produzida]]</f>
        <v>74.96275937499999</v>
      </c>
      <c r="X172" s="35">
        <f ca="1">Tabela3[[#This Row],[Aluminio Util]]*Tabela3[[#This Row],[Custo/Kg]]</f>
        <v>170.82</v>
      </c>
      <c r="Y172" s="35">
        <f>IFERROR(VLOOKUP(Tabela3[[#This Row],[Data]],Tabela461213[],2,1)*(Tabela3[[#This Row],[Qtde Cx Produzida]]*Tabela3[[#This Row],[Qde macho / CX]]*Tabela3[[#This Row],[Peso Macho]]),)</f>
        <v>12.338999999999999</v>
      </c>
      <c r="Z172" s="35">
        <f>IFERROR(Tabela3[[#This Row],[Qtde Oleo]]*(VLOOKUP(Tabela3[[#This Row],[Data]],CompraOleo[],3,TRUE))*1.05,0)</f>
        <v>22.579104695976373</v>
      </c>
      <c r="AA172" s="47">
        <f ca="1">(Tabela3[[#This Row],[Custo Oleo]]+Tabela3[[#This Row],[Custo Aluminio]]+Tabela3[[#This Row],[Custo M.O. Total]]+Tabela3[[#This Row],[Custo Machos]])</f>
        <v>280.70086407097637</v>
      </c>
      <c r="AB172" s="47">
        <f ca="1">Tabela3[[#This Row],[Custo Total]]*Tabela3[[#This Row],[% Perda]]</f>
        <v>0</v>
      </c>
      <c r="AC172" s="48">
        <f>IFERROR(VLOOKUP(Tabela3[[#This Row],[Produto]],Tabela2[],2,0),0)</f>
        <v>1</v>
      </c>
      <c r="AD172" s="48">
        <f>IFERROR(VLOOKUP(Tabela3[[#This Row],[Produto]],Tabela2[],3,0),0)</f>
        <v>3.65</v>
      </c>
      <c r="AE172" s="48">
        <f>IFERROR(VLOOKUP(Tabela3[[#This Row],[Produto]],Tabela2[],4,0),0)</f>
        <v>6.46</v>
      </c>
      <c r="AF172" s="48">
        <f>IFERROR(VLOOKUP(Tabela3[[#This Row],[Produto]],Tabela2[],5,0),0)</f>
        <v>2.5289999999999999</v>
      </c>
      <c r="AG172" s="40">
        <f>IFERROR(VLOOKUP(Tabela3[[#This Row],[Produto]],Tabela2[],6,0),0)</f>
        <v>0</v>
      </c>
      <c r="AH172" s="40">
        <f>IFERROR(VLOOKUP(Tabela3[[#This Row],[Produto]],Tabela2[],7,0),0)</f>
        <v>1</v>
      </c>
      <c r="AI172" s="40">
        <f>IFERROR(VLOOKUP(Tabela3[[#This Row],[Produto]],Tabela2[],8,0),0)</f>
        <v>2.742</v>
      </c>
      <c r="AJ172" s="35">
        <f ca="1">IFERROR(VLOOKUP(Tabela3[[#This Row],[Produto]],Tabela2[],13,0),0)</f>
        <v>15.600000000000001</v>
      </c>
      <c r="AK172" s="40" t="str">
        <f>IFERROR(VLOOKUP(Tabela3[[#This Row],[Produto]],Tabela2[],14,0),0)</f>
        <v>Jumil</v>
      </c>
      <c r="AL172" s="40">
        <f>IFERROR(VLOOKUP(Tabela3[[#This Row],[Produto]],Tabela2[],15,0),0)</f>
        <v>15</v>
      </c>
      <c r="AM172" s="36">
        <f ca="1">(Tabela3[[#This Row],[Custo Usinagem]]+Tabela3[[#This Row],[Custo / Pç]])*1.2</f>
        <v>130.28034562839053</v>
      </c>
      <c r="AN172" s="36">
        <f ca="1">Tabela3[[#This Row],[Valor Mínimo Venda]]*1.15</f>
        <v>149.8223974726491</v>
      </c>
      <c r="AO172" s="36">
        <f ca="1">Tabela3[[#This Row],[Tabela 1]]*1.08</f>
        <v>161.80818927046104</v>
      </c>
      <c r="AP172" s="36">
        <f ca="1">Tabela3[[#This Row],[Tabela 2]]*1.15</f>
        <v>186.07941766103019</v>
      </c>
    </row>
    <row r="173" spans="1:42">
      <c r="A173" s="9">
        <v>45751</v>
      </c>
      <c r="B173" s="6" t="s">
        <v>255</v>
      </c>
      <c r="C173" s="14">
        <v>6068</v>
      </c>
      <c r="D173" s="6" t="s">
        <v>44</v>
      </c>
      <c r="E173" s="6" t="s">
        <v>47</v>
      </c>
      <c r="F173" s="6">
        <v>7</v>
      </c>
      <c r="G173" s="15">
        <v>3.9583333333333331E-2</v>
      </c>
      <c r="H173" s="16">
        <v>0</v>
      </c>
      <c r="I173" s="35">
        <f ca="1">IFERROR(Tabela3[[#This Row],[Custo Total]]/Tabela3[[#This Row],[Aluminio Util]],0)</f>
        <v>30.176059106297473</v>
      </c>
      <c r="J173" s="35">
        <f ca="1">Tabela3[[#This Row],[Custo Total]]/Tabela3[[#This Row],[Realizado]]</f>
        <v>37.720073882871837</v>
      </c>
      <c r="K173" s="37">
        <f>IFERROR(Tabela3[[#This Row],[Qtde Cx Produzida]]/Tabela3[[#This Row],[Tempo]]/24,0)</f>
        <v>7.3684210526315788</v>
      </c>
      <c r="L173" s="37">
        <f>Tabela3[[#This Row],[Qtde Cx Produzida]]*Tabela3[[#This Row],[Qdt Peça Placa]]</f>
        <v>7</v>
      </c>
      <c r="M173" s="37">
        <f>Tabela3[[#This Row],[Previsto]]-Tabela3[[#This Row],[Perda Pçs]]</f>
        <v>7</v>
      </c>
      <c r="N173" s="38">
        <f>IFERROR(Tabela3[[#This Row],[Perda Pçs]]/Tabela3[[#This Row],[Previsto]],0)</f>
        <v>0</v>
      </c>
      <c r="O173" s="39">
        <f>IFERROR(IF(Tabela3[[#This Row],[Qtde Cx Produzida]] &lt;&gt; 0, Tabela3[[#This Row],[Tempo]] / Tabela3[[#This Row],[Qtde Cx Produzida]], 0),0)</f>
        <v>5.6547619047619046E-3</v>
      </c>
      <c r="P173" s="57">
        <f>IFERROR(Tabela3[[#This Row],[Perda Pçs]]/Tabela3[[#This Row],[Qdt Peça Placa]],0)</f>
        <v>0</v>
      </c>
      <c r="Q173" s="37">
        <f>IFERROR(Tabela3[[#This Row],[Realizado]]*Tabela3[[#This Row],[Peso Util/Pç]],0)</f>
        <v>8.75</v>
      </c>
      <c r="R173" s="37">
        <f>IFERROR(Tabela3[[#This Row],[Peso Total Galho]]*Tabela3[[#This Row],[Qtde Cx Produzida]]*1.055,0)</f>
        <v>13.66225</v>
      </c>
      <c r="S173" s="37">
        <f>(Tabela3[[#This Row],[Aluminio Bruto]]-Tabela3[[#This Row],[Aluminio Util]])*0.9</f>
        <v>4.4210250000000002</v>
      </c>
      <c r="T173" s="37">
        <f>Tabela3[[#This Row],[Aluminio Bruto]]/OleoKGAluminio</f>
        <v>5.7476909098804665</v>
      </c>
      <c r="U173" s="35">
        <f>IFERROR((VLOOKUP(Tabela3[[#This Row],[Moldador]],Tabela1[],5,)+(VLOOKUP(Tabela3[[#This Row],[Ajudante]],Tabela1[],5,))*3.5),0)</f>
        <v>99.95034583333333</v>
      </c>
      <c r="V173" s="35">
        <f>IFERROR(Tabela3[[#This Row],[Custo M.O. / H]]/((Tabela3[[#This Row],[Realizado]]/Tabela3[[#This Row],[Qdt Peça Placa]])/Tabela3[[#This Row],[Tempo]]/24),)</f>
        <v>13.564689791666666</v>
      </c>
      <c r="W173" s="35">
        <f>Tabela3[[#This Row],[Custo / Cx Moldada]]*Tabela3[[#This Row],[Qtde Cx Produzida]]</f>
        <v>94.952828541666662</v>
      </c>
      <c r="X173" s="35">
        <f ca="1">Tabela3[[#This Row],[Aluminio Util]]*Tabela3[[#This Row],[Custo/Kg]]</f>
        <v>154</v>
      </c>
      <c r="Y173" s="35">
        <f>IFERROR(VLOOKUP(Tabela3[[#This Row],[Data]],Tabela461213[],2,1)*(Tabela3[[#This Row],[Qtde Cx Produzida]]*Tabela3[[#This Row],[Qde macho / CX]]*Tabela3[[#This Row],[Peso Macho]]),)</f>
        <v>0</v>
      </c>
      <c r="Z173" s="35">
        <f>IFERROR(Tabela3[[#This Row],[Qtde Oleo]]*(VLOOKUP(Tabela3[[#This Row],[Data]],CompraOleo[],3,TRUE))*1.05,0)</f>
        <v>15.087688638436227</v>
      </c>
      <c r="AA173" s="47">
        <f ca="1">(Tabela3[[#This Row],[Custo Oleo]]+Tabela3[[#This Row],[Custo Aluminio]]+Tabela3[[#This Row],[Custo M.O. Total]]+Tabela3[[#This Row],[Custo Machos]])</f>
        <v>264.04051718010288</v>
      </c>
      <c r="AB173" s="47">
        <f ca="1">Tabela3[[#This Row],[Custo Total]]*Tabela3[[#This Row],[% Perda]]</f>
        <v>0</v>
      </c>
      <c r="AC173" s="48">
        <f>IFERROR(VLOOKUP(Tabela3[[#This Row],[Produto]],Tabela2[],2,0),0)</f>
        <v>1</v>
      </c>
      <c r="AD173" s="48">
        <f>IFERROR(VLOOKUP(Tabela3[[#This Row],[Produto]],Tabela2[],3,0),0)</f>
        <v>1.25</v>
      </c>
      <c r="AE173" s="48">
        <f>IFERROR(VLOOKUP(Tabela3[[#This Row],[Produto]],Tabela2[],4,0),0)</f>
        <v>1.85</v>
      </c>
      <c r="AF173" s="48">
        <f>IFERROR(VLOOKUP(Tabela3[[#This Row],[Produto]],Tabela2[],5,0),0)</f>
        <v>0.54000000000000015</v>
      </c>
      <c r="AG173" s="40">
        <f>IFERROR(VLOOKUP(Tabela3[[#This Row],[Produto]],Tabela2[],6,0),0)</f>
        <v>0</v>
      </c>
      <c r="AH173" s="40">
        <f>IFERROR(VLOOKUP(Tabela3[[#This Row],[Produto]],Tabela2[],7,0),0)</f>
        <v>0</v>
      </c>
      <c r="AI173" s="40">
        <f>IFERROR(VLOOKUP(Tabela3[[#This Row],[Produto]],Tabela2[],8,0),0)</f>
        <v>0</v>
      </c>
      <c r="AJ173" s="35">
        <f ca="1">IFERROR(VLOOKUP(Tabela3[[#This Row],[Produto]],Tabela2[],13,0),0)</f>
        <v>17.600000000000001</v>
      </c>
      <c r="AK173" s="40" t="str">
        <f>IFERROR(VLOOKUP(Tabela3[[#This Row],[Produto]],Tabela2[],14,0),0)</f>
        <v>Protec</v>
      </c>
      <c r="AL173" s="40">
        <f>IFERROR(VLOOKUP(Tabela3[[#This Row],[Produto]],Tabela2[],15,0),0)</f>
        <v>0</v>
      </c>
      <c r="AM173" s="36">
        <f ca="1">(Tabela3[[#This Row],[Custo Usinagem]]+Tabela3[[#This Row],[Custo / Pç]])*1.2</f>
        <v>45.264088659446202</v>
      </c>
      <c r="AN173" s="36">
        <f ca="1">Tabela3[[#This Row],[Valor Mínimo Venda]]*1.15</f>
        <v>52.053701958363128</v>
      </c>
      <c r="AO173" s="36">
        <f ca="1">Tabela3[[#This Row],[Tabela 1]]*1.08</f>
        <v>56.217998115032181</v>
      </c>
      <c r="AP173" s="36">
        <f ca="1">Tabela3[[#This Row],[Tabela 2]]*1.15</f>
        <v>64.650697832287008</v>
      </c>
    </row>
    <row r="174" spans="1:42">
      <c r="A174" s="9">
        <v>45751</v>
      </c>
      <c r="B174" s="6" t="s">
        <v>192</v>
      </c>
      <c r="C174" s="14">
        <v>6231</v>
      </c>
      <c r="D174" s="6" t="s">
        <v>44</v>
      </c>
      <c r="E174" s="6" t="s">
        <v>47</v>
      </c>
      <c r="F174" s="6">
        <v>38</v>
      </c>
      <c r="G174" s="15">
        <v>0.24930555555555556</v>
      </c>
      <c r="H174" s="16">
        <v>0</v>
      </c>
      <c r="I174" s="35">
        <f ca="1">IFERROR(Tabela3[[#This Row],[Custo Total]]/Tabela3[[#This Row],[Aluminio Util]],0)</f>
        <v>23.379036493004165</v>
      </c>
      <c r="J174" s="35">
        <f ca="1">Tabela3[[#This Row],[Custo Total]]/Tabela3[[#This Row],[Realizado]]</f>
        <v>82.317587491867656</v>
      </c>
      <c r="K174" s="37">
        <f>IFERROR(Tabela3[[#This Row],[Qtde Cx Produzida]]/Tabela3[[#This Row],[Tempo]]/24,0)</f>
        <v>6.350974930362117</v>
      </c>
      <c r="L174" s="37">
        <f>Tabela3[[#This Row],[Qtde Cx Produzida]]*Tabela3[[#This Row],[Qdt Peça Placa]]</f>
        <v>38</v>
      </c>
      <c r="M174" s="37">
        <f>Tabela3[[#This Row],[Previsto]]-Tabela3[[#This Row],[Perda Pçs]]</f>
        <v>38</v>
      </c>
      <c r="N174" s="38">
        <f>IFERROR(Tabela3[[#This Row],[Perda Pçs]]/Tabela3[[#This Row],[Previsto]],0)</f>
        <v>0</v>
      </c>
      <c r="O174" s="39">
        <f>IFERROR(IF(Tabela3[[#This Row],[Qtde Cx Produzida]] &lt;&gt; 0, Tabela3[[#This Row],[Tempo]] / Tabela3[[#This Row],[Qtde Cx Produzida]], 0),0)</f>
        <v>6.5606725146198832E-3</v>
      </c>
      <c r="P174" s="57">
        <f>IFERROR(Tabela3[[#This Row],[Perda Pçs]]/Tabela3[[#This Row],[Qdt Peça Placa]],0)</f>
        <v>0</v>
      </c>
      <c r="Q174" s="37">
        <f>IFERROR(Tabela3[[#This Row],[Realizado]]*Tabela3[[#This Row],[Peso Util/Pç]],0)</f>
        <v>133.798</v>
      </c>
      <c r="R174" s="37">
        <f>IFERROR(Tabela3[[#This Row],[Peso Total Galho]]*Tabela3[[#This Row],[Qtde Cx Produzida]]*1.055,0)</f>
        <v>158.63612999999998</v>
      </c>
      <c r="S174" s="37">
        <f>(Tabela3[[#This Row],[Aluminio Bruto]]-Tabela3[[#This Row],[Aluminio Util]])*0.9</f>
        <v>22.35431699999998</v>
      </c>
      <c r="T174" s="37">
        <f>Tabela3[[#This Row],[Aluminio Bruto]]/OleoKGAluminio</f>
        <v>66.73801477645452</v>
      </c>
      <c r="U174" s="35">
        <f>IFERROR((VLOOKUP(Tabela3[[#This Row],[Moldador]],Tabela1[],5,)+(VLOOKUP(Tabela3[[#This Row],[Ajudante]],Tabela1[],5,))*3.5),0)</f>
        <v>99.95034583333333</v>
      </c>
      <c r="V174" s="35">
        <f>IFERROR(Tabela3[[#This Row],[Custo M.O. / H]]/((Tabela3[[#This Row],[Realizado]]/Tabela3[[#This Row],[Qdt Peça Placa]])/Tabela3[[#This Row],[Tempo]]/24),)</f>
        <v>15.737795681652047</v>
      </c>
      <c r="W174" s="35">
        <f>Tabela3[[#This Row],[Custo / Cx Moldada]]*Tabela3[[#This Row],[Qtde Cx Produzida]]</f>
        <v>598.03623590277778</v>
      </c>
      <c r="X174" s="35">
        <f ca="1">Tabela3[[#This Row],[Aluminio Util]]*Tabela3[[#This Row],[Custo/Kg]]</f>
        <v>2354.8448000000003</v>
      </c>
      <c r="Y174" s="35">
        <f>IFERROR(VLOOKUP(Tabela3[[#This Row],[Data]],Tabela461213[],2,1)*(Tabela3[[#This Row],[Qtde Cx Produzida]]*Tabela3[[#This Row],[Qde macho / CX]]*Tabela3[[#This Row],[Peso Macho]]),)</f>
        <v>0</v>
      </c>
      <c r="Z174" s="35">
        <f>IFERROR(Tabela3[[#This Row],[Qtde Oleo]]*(VLOOKUP(Tabela3[[#This Row],[Data]],CompraOleo[],3,TRUE))*1.05,0)</f>
        <v>175.18728878819311</v>
      </c>
      <c r="AA174" s="47">
        <f ca="1">(Tabela3[[#This Row],[Custo Oleo]]+Tabela3[[#This Row],[Custo Aluminio]]+Tabela3[[#This Row],[Custo M.O. Total]]+Tabela3[[#This Row],[Custo Machos]])</f>
        <v>3128.0683246909712</v>
      </c>
      <c r="AB174" s="47">
        <f ca="1">Tabela3[[#This Row],[Custo Total]]*Tabela3[[#This Row],[% Perda]]</f>
        <v>0</v>
      </c>
      <c r="AC174" s="48">
        <f>IFERROR(VLOOKUP(Tabela3[[#This Row],[Produto]],Tabela2[],2,0),0)</f>
        <v>1</v>
      </c>
      <c r="AD174" s="48">
        <f>IFERROR(VLOOKUP(Tabela3[[#This Row],[Produto]],Tabela2[],3,0),0)</f>
        <v>3.5209999999999999</v>
      </c>
      <c r="AE174" s="48">
        <f>IFERROR(VLOOKUP(Tabela3[[#This Row],[Produto]],Tabela2[],4,0),0)</f>
        <v>3.9569999999999999</v>
      </c>
      <c r="AF174" s="48">
        <f>IFERROR(VLOOKUP(Tabela3[[#This Row],[Produto]],Tabela2[],5,0),0)</f>
        <v>0.39239999999999997</v>
      </c>
      <c r="AG174" s="40">
        <f>IFERROR(VLOOKUP(Tabela3[[#This Row],[Produto]],Tabela2[],6,0),0)</f>
        <v>0</v>
      </c>
      <c r="AH174" s="40">
        <f>IFERROR(VLOOKUP(Tabela3[[#This Row],[Produto]],Tabela2[],7,0),0)</f>
        <v>0</v>
      </c>
      <c r="AI174" s="40">
        <f>IFERROR(VLOOKUP(Tabela3[[#This Row],[Produto]],Tabela2[],8,0),0)</f>
        <v>0</v>
      </c>
      <c r="AJ174" s="35">
        <f ca="1">IFERROR(VLOOKUP(Tabela3[[#This Row],[Produto]],Tabela2[],13,0),0)</f>
        <v>17.600000000000001</v>
      </c>
      <c r="AK174" s="40" t="str">
        <f>IFERROR(VLOOKUP(Tabela3[[#This Row],[Produto]],Tabela2[],14,0),0)</f>
        <v>Oscar</v>
      </c>
      <c r="AL174" s="40">
        <f>IFERROR(VLOOKUP(Tabela3[[#This Row],[Produto]],Tabela2[],15,0),0)</f>
        <v>0</v>
      </c>
      <c r="AM174" s="36">
        <f ca="1">(Tabela3[[#This Row],[Custo Usinagem]]+Tabela3[[#This Row],[Custo / Pç]])*1.2</f>
        <v>98.78110499024119</v>
      </c>
      <c r="AN174" s="36">
        <f ca="1">Tabela3[[#This Row],[Valor Mínimo Venda]]*1.15</f>
        <v>113.59827073877736</v>
      </c>
      <c r="AO174" s="36">
        <f ca="1">Tabela3[[#This Row],[Tabela 1]]*1.08</f>
        <v>122.68613239787956</v>
      </c>
      <c r="AP174" s="36">
        <f ca="1">Tabela3[[#This Row],[Tabela 2]]*1.15</f>
        <v>141.08905225756149</v>
      </c>
    </row>
    <row r="175" spans="1:42">
      <c r="A175" s="9">
        <v>45754</v>
      </c>
      <c r="B175" s="6" t="s">
        <v>253</v>
      </c>
      <c r="C175" s="14">
        <v>6067</v>
      </c>
      <c r="D175" s="6" t="s">
        <v>46</v>
      </c>
      <c r="E175" s="6" t="s">
        <v>53</v>
      </c>
      <c r="F175" s="6">
        <v>23</v>
      </c>
      <c r="G175" s="15">
        <v>0.11458333333333333</v>
      </c>
      <c r="H175" s="16">
        <v>0</v>
      </c>
      <c r="I175" s="35">
        <f ca="1">IFERROR(Tabela3[[#This Row],[Custo Total]]/Tabela3[[#This Row],[Aluminio Util]],0)</f>
        <v>31.278366538176073</v>
      </c>
      <c r="J175" s="35">
        <f ca="1">Tabela3[[#This Row],[Custo Total]]/Tabela3[[#This Row],[Realizado]]</f>
        <v>32.842284865084878</v>
      </c>
      <c r="K175" s="37">
        <f>IFERROR(Tabela3[[#This Row],[Qtde Cx Produzida]]/Tabela3[[#This Row],[Tempo]]/24,0)</f>
        <v>8.3636363636363651</v>
      </c>
      <c r="L175" s="37">
        <f>Tabela3[[#This Row],[Qtde Cx Produzida]]*Tabela3[[#This Row],[Qdt Peça Placa]]</f>
        <v>23</v>
      </c>
      <c r="M175" s="37">
        <f>Tabela3[[#This Row],[Previsto]]-Tabela3[[#This Row],[Perda Pçs]]</f>
        <v>23</v>
      </c>
      <c r="N175" s="38">
        <f>IFERROR(Tabela3[[#This Row],[Perda Pçs]]/Tabela3[[#This Row],[Previsto]],0)</f>
        <v>0</v>
      </c>
      <c r="O175" s="39">
        <f>IFERROR(IF(Tabela3[[#This Row],[Qtde Cx Produzida]] &lt;&gt; 0, Tabela3[[#This Row],[Tempo]] / Tabela3[[#This Row],[Qtde Cx Produzida]], 0),0)</f>
        <v>4.9818840579710141E-3</v>
      </c>
      <c r="P175" s="57">
        <f>IFERROR(Tabela3[[#This Row],[Perda Pçs]]/Tabela3[[#This Row],[Qdt Peça Placa]],0)</f>
        <v>0</v>
      </c>
      <c r="Q175" s="37">
        <f>IFERROR(Tabela3[[#This Row],[Realizado]]*Tabela3[[#This Row],[Peso Util/Pç]],0)</f>
        <v>24.150000000000002</v>
      </c>
      <c r="R175" s="37">
        <f>IFERROR(Tabela3[[#This Row],[Peso Total Galho]]*Tabela3[[#This Row],[Qtde Cx Produzida]]*1.055,0)</f>
        <v>50.228549999999998</v>
      </c>
      <c r="S175" s="37">
        <f>(Tabela3[[#This Row],[Aluminio Bruto]]-Tabela3[[#This Row],[Aluminio Util]])*0.9</f>
        <v>23.470694999999996</v>
      </c>
      <c r="T175" s="37">
        <f>Tabela3[[#This Row],[Aluminio Bruto]]/OleoKGAluminio</f>
        <v>21.131086040108801</v>
      </c>
      <c r="U175" s="35">
        <f>IFERROR((VLOOKUP(Tabela3[[#This Row],[Moldador]],Tabela1[],5,)+(VLOOKUP(Tabela3[[#This Row],[Ajudante]],Tabela1[],5,))*3.5),0)</f>
        <v>99.95034583333333</v>
      </c>
      <c r="V175" s="35">
        <f>IFERROR(Tabela3[[#This Row],[Custo M.O. / H]]/((Tabela3[[#This Row],[Realizado]]/Tabela3[[#This Row],[Qdt Peça Placa]])/Tabela3[[#This Row],[Tempo]]/24),)</f>
        <v>11.950584827898549</v>
      </c>
      <c r="W175" s="35">
        <f>Tabela3[[#This Row],[Custo / Cx Moldada]]*Tabela3[[#This Row],[Qtde Cx Produzida]]</f>
        <v>274.86345104166662</v>
      </c>
      <c r="X175" s="35">
        <f ca="1">Tabela3[[#This Row],[Aluminio Util]]*Tabela3[[#This Row],[Custo/Kg]]</f>
        <v>425.04000000000008</v>
      </c>
      <c r="Y175" s="35">
        <f>IFERROR(VLOOKUP(Tabela3[[#This Row],[Data]],Tabela461213[],2,1)*(Tabela3[[#This Row],[Qtde Cx Produzida]]*Tabela3[[#This Row],[Qde macho / CX]]*Tabela3[[#This Row],[Peso Macho]]),)</f>
        <v>0</v>
      </c>
      <c r="Z175" s="35">
        <f>IFERROR(Tabela3[[#This Row],[Qtde Oleo]]*(VLOOKUP(Tabela3[[#This Row],[Data]],CompraOleo[],3,TRUE))*1.05,0)</f>
        <v>55.469100855285603</v>
      </c>
      <c r="AA175" s="47">
        <f ca="1">(Tabela3[[#This Row],[Custo Oleo]]+Tabela3[[#This Row],[Custo Aluminio]]+Tabela3[[#This Row],[Custo M.O. Total]]+Tabela3[[#This Row],[Custo Machos]])</f>
        <v>755.37255189695225</v>
      </c>
      <c r="AB175" s="47">
        <f ca="1">Tabela3[[#This Row],[Custo Total]]*Tabela3[[#This Row],[% Perda]]</f>
        <v>0</v>
      </c>
      <c r="AC175" s="48">
        <f>IFERROR(VLOOKUP(Tabela3[[#This Row],[Produto]],Tabela2[],2,0),0)</f>
        <v>1</v>
      </c>
      <c r="AD175" s="48">
        <f>IFERROR(VLOOKUP(Tabela3[[#This Row],[Produto]],Tabela2[],3,0),0)</f>
        <v>1.05</v>
      </c>
      <c r="AE175" s="48">
        <f>IFERROR(VLOOKUP(Tabela3[[#This Row],[Produto]],Tabela2[],4,0),0)</f>
        <v>2.0699999999999998</v>
      </c>
      <c r="AF175" s="48">
        <f>IFERROR(VLOOKUP(Tabela3[[#This Row],[Produto]],Tabela2[],5,0),0)</f>
        <v>0.91799999999999982</v>
      </c>
      <c r="AG175" s="40">
        <f>IFERROR(VLOOKUP(Tabela3[[#This Row],[Produto]],Tabela2[],6,0),0)</f>
        <v>0</v>
      </c>
      <c r="AH175" s="40">
        <f>IFERROR(VLOOKUP(Tabela3[[#This Row],[Produto]],Tabela2[],7,0),0)</f>
        <v>0</v>
      </c>
      <c r="AI175" s="40">
        <f>IFERROR(VLOOKUP(Tabela3[[#This Row],[Produto]],Tabela2[],8,0),0)</f>
        <v>0</v>
      </c>
      <c r="AJ175" s="35">
        <f ca="1">IFERROR(VLOOKUP(Tabela3[[#This Row],[Produto]],Tabela2[],13,0),0)</f>
        <v>17.600000000000001</v>
      </c>
      <c r="AK175" s="40" t="str">
        <f>IFERROR(VLOOKUP(Tabela3[[#This Row],[Produto]],Tabela2[],14,0),0)</f>
        <v>Protec</v>
      </c>
      <c r="AL175" s="40">
        <f>IFERROR(VLOOKUP(Tabela3[[#This Row],[Produto]],Tabela2[],15,0),0)</f>
        <v>0</v>
      </c>
      <c r="AM175" s="36">
        <f ca="1">(Tabela3[[#This Row],[Custo Usinagem]]+Tabela3[[#This Row],[Custo / Pç]])*1.2</f>
        <v>39.410741838101849</v>
      </c>
      <c r="AN175" s="36">
        <f ca="1">Tabela3[[#This Row],[Valor Mínimo Venda]]*1.15</f>
        <v>45.322353113817123</v>
      </c>
      <c r="AO175" s="36">
        <f ca="1">Tabela3[[#This Row],[Tabela 1]]*1.08</f>
        <v>48.948141362922499</v>
      </c>
      <c r="AP175" s="36">
        <f ca="1">Tabela3[[#This Row],[Tabela 2]]*1.15</f>
        <v>56.290362567360866</v>
      </c>
    </row>
    <row r="176" spans="1:42">
      <c r="A176" s="9">
        <v>45754</v>
      </c>
      <c r="B176" s="6" t="s">
        <v>134</v>
      </c>
      <c r="C176" s="14">
        <v>6168</v>
      </c>
      <c r="D176" s="6" t="s">
        <v>46</v>
      </c>
      <c r="E176" s="6" t="s">
        <v>53</v>
      </c>
      <c r="F176" s="6">
        <v>7</v>
      </c>
      <c r="G176" s="15">
        <v>4.8611111111111112E-2</v>
      </c>
      <c r="H176" s="16">
        <v>2</v>
      </c>
      <c r="I176" s="35">
        <f ca="1">IFERROR(Tabela3[[#This Row],[Custo Total]]/Tabela3[[#This Row],[Aluminio Util]],0)</f>
        <v>29.009742967217676</v>
      </c>
      <c r="J176" s="35">
        <f ca="1">Tabela3[[#This Row],[Custo Total]]/Tabela3[[#This Row],[Realizado]]</f>
        <v>105.88556183034453</v>
      </c>
      <c r="K176" s="37">
        <f>IFERROR(Tabela3[[#This Row],[Qtde Cx Produzida]]/Tabela3[[#This Row],[Tempo]]/24,0)</f>
        <v>6</v>
      </c>
      <c r="L176" s="37">
        <f>Tabela3[[#This Row],[Qtde Cx Produzida]]*Tabela3[[#This Row],[Qdt Peça Placa]]</f>
        <v>7</v>
      </c>
      <c r="M176" s="37">
        <f>Tabela3[[#This Row],[Previsto]]-Tabela3[[#This Row],[Perda Pçs]]</f>
        <v>5</v>
      </c>
      <c r="N176" s="38">
        <f>IFERROR(Tabela3[[#This Row],[Perda Pçs]]/Tabela3[[#This Row],[Previsto]],0)</f>
        <v>0.2857142857142857</v>
      </c>
      <c r="O176" s="39">
        <f>IFERROR(IF(Tabela3[[#This Row],[Qtde Cx Produzida]] &lt;&gt; 0, Tabela3[[#This Row],[Tempo]] / Tabela3[[#This Row],[Qtde Cx Produzida]], 0),0)</f>
        <v>6.9444444444444449E-3</v>
      </c>
      <c r="P176" s="57">
        <f>IFERROR(Tabela3[[#This Row],[Perda Pçs]]/Tabela3[[#This Row],[Qdt Peça Placa]],0)</f>
        <v>2</v>
      </c>
      <c r="Q176" s="37">
        <f>IFERROR(Tabela3[[#This Row],[Realizado]]*Tabela3[[#This Row],[Peso Util/Pç]],0)</f>
        <v>18.25</v>
      </c>
      <c r="R176" s="37">
        <f>IFERROR(Tabela3[[#This Row],[Peso Total Galho]]*Tabela3[[#This Row],[Qtde Cx Produzida]]*1.055,0)</f>
        <v>47.707099999999997</v>
      </c>
      <c r="S176" s="37">
        <f>(Tabela3[[#This Row],[Aluminio Bruto]]-Tabela3[[#This Row],[Aluminio Util]])*0.9</f>
        <v>26.511389999999999</v>
      </c>
      <c r="T176" s="37">
        <f>Tabela3[[#This Row],[Aluminio Bruto]]/OleoKGAluminio</f>
        <v>20.070315285312329</v>
      </c>
      <c r="U176" s="35">
        <f>IFERROR((VLOOKUP(Tabela3[[#This Row],[Moldador]],Tabela1[],5,)+(VLOOKUP(Tabela3[[#This Row],[Ajudante]],Tabela1[],5,))*3.5),0)</f>
        <v>99.95034583333333</v>
      </c>
      <c r="V176" s="35">
        <f>IFERROR(Tabela3[[#This Row],[Custo M.O. / H]]/((Tabela3[[#This Row],[Realizado]]/Tabela3[[#This Row],[Qdt Peça Placa]])/Tabela3[[#This Row],[Tempo]]/24),)</f>
        <v>23.321747361111111</v>
      </c>
      <c r="W176" s="35">
        <f>Tabela3[[#This Row],[Custo / Cx Moldada]]*Tabela3[[#This Row],[Qtde Cx Produzida]]</f>
        <v>163.25223152777778</v>
      </c>
      <c r="X176" s="35">
        <f ca="1">Tabela3[[#This Row],[Aluminio Util]]*Tabela3[[#This Row],[Custo/Kg]]</f>
        <v>284.70000000000005</v>
      </c>
      <c r="Y176" s="35">
        <f>IFERROR(VLOOKUP(Tabela3[[#This Row],[Data]],Tabela461213[],2,1)*(Tabela3[[#This Row],[Qtde Cx Produzida]]*Tabela3[[#This Row],[Qde macho / CX]]*Tabela3[[#This Row],[Peso Macho]]),)</f>
        <v>28.790999999999997</v>
      </c>
      <c r="Z176" s="35">
        <f>IFERROR(Tabela3[[#This Row],[Qtde Oleo]]*(VLOOKUP(Tabela3[[#This Row],[Data]],CompraOleo[],3,TRUE))*1.05,0)</f>
        <v>52.684577623944868</v>
      </c>
      <c r="AA176" s="47">
        <f ca="1">(Tabela3[[#This Row],[Custo Oleo]]+Tabela3[[#This Row],[Custo Aluminio]]+Tabela3[[#This Row],[Custo M.O. Total]]+Tabela3[[#This Row],[Custo Machos]])</f>
        <v>529.42780915172261</v>
      </c>
      <c r="AB176" s="47">
        <f ca="1">Tabela3[[#This Row],[Custo Total]]*Tabela3[[#This Row],[% Perda]]</f>
        <v>151.26508832906359</v>
      </c>
      <c r="AC176" s="48">
        <f>IFERROR(VLOOKUP(Tabela3[[#This Row],[Produto]],Tabela2[],2,0),0)</f>
        <v>1</v>
      </c>
      <c r="AD176" s="48">
        <f>IFERROR(VLOOKUP(Tabela3[[#This Row],[Produto]],Tabela2[],3,0),0)</f>
        <v>3.65</v>
      </c>
      <c r="AE176" s="48">
        <f>IFERROR(VLOOKUP(Tabela3[[#This Row],[Produto]],Tabela2[],4,0),0)</f>
        <v>6.46</v>
      </c>
      <c r="AF176" s="48">
        <f>IFERROR(VLOOKUP(Tabela3[[#This Row],[Produto]],Tabela2[],5,0),0)</f>
        <v>2.5289999999999999</v>
      </c>
      <c r="AG176" s="40">
        <f>IFERROR(VLOOKUP(Tabela3[[#This Row],[Produto]],Tabela2[],6,0),0)</f>
        <v>0</v>
      </c>
      <c r="AH176" s="40">
        <f>IFERROR(VLOOKUP(Tabela3[[#This Row],[Produto]],Tabela2[],7,0),0)</f>
        <v>1</v>
      </c>
      <c r="AI176" s="40">
        <f>IFERROR(VLOOKUP(Tabela3[[#This Row],[Produto]],Tabela2[],8,0),0)</f>
        <v>2.742</v>
      </c>
      <c r="AJ176" s="35">
        <f ca="1">IFERROR(VLOOKUP(Tabela3[[#This Row],[Produto]],Tabela2[],13,0),0)</f>
        <v>15.600000000000001</v>
      </c>
      <c r="AK176" s="40" t="str">
        <f>IFERROR(VLOOKUP(Tabela3[[#This Row],[Produto]],Tabela2[],14,0),0)</f>
        <v>Jumil</v>
      </c>
      <c r="AL176" s="40">
        <f>IFERROR(VLOOKUP(Tabela3[[#This Row],[Produto]],Tabela2[],15,0),0)</f>
        <v>15</v>
      </c>
      <c r="AM176" s="36">
        <f ca="1">(Tabela3[[#This Row],[Custo Usinagem]]+Tabela3[[#This Row],[Custo / Pç]])*1.2</f>
        <v>145.06267419641344</v>
      </c>
      <c r="AN176" s="36">
        <f ca="1">Tabela3[[#This Row],[Valor Mínimo Venda]]*1.15</f>
        <v>166.82207532587543</v>
      </c>
      <c r="AO176" s="36">
        <f ca="1">Tabela3[[#This Row],[Tabela 1]]*1.08</f>
        <v>180.16784135194547</v>
      </c>
      <c r="AP176" s="36">
        <f ca="1">Tabela3[[#This Row],[Tabela 2]]*1.15</f>
        <v>207.19301755473728</v>
      </c>
    </row>
    <row r="177" spans="1:42">
      <c r="A177" s="9">
        <v>45754</v>
      </c>
      <c r="B177" s="6" t="s">
        <v>229</v>
      </c>
      <c r="C177" s="14">
        <v>6175</v>
      </c>
      <c r="D177" s="6" t="s">
        <v>46</v>
      </c>
      <c r="E177" s="6" t="s">
        <v>53</v>
      </c>
      <c r="F177" s="6">
        <v>35</v>
      </c>
      <c r="G177" s="15">
        <v>0.16527777777777777</v>
      </c>
      <c r="H177" s="16">
        <v>2</v>
      </c>
      <c r="I177" s="35">
        <f ca="1">IFERROR(Tabela3[[#This Row],[Custo Total]]/Tabela3[[#This Row],[Aluminio Util]],0)</f>
        <v>21.788167706385963</v>
      </c>
      <c r="J177" s="35">
        <f ca="1">Tabela3[[#This Row],[Custo Total]]/Tabela3[[#This Row],[Realizado]]</f>
        <v>60.745411565404055</v>
      </c>
      <c r="K177" s="37">
        <f>IFERROR(Tabela3[[#This Row],[Qtde Cx Produzida]]/Tabela3[[#This Row],[Tempo]]/24,0)</f>
        <v>8.8235294117647065</v>
      </c>
      <c r="L177" s="37">
        <f>Tabela3[[#This Row],[Qtde Cx Produzida]]*Tabela3[[#This Row],[Qdt Peça Placa]]</f>
        <v>35</v>
      </c>
      <c r="M177" s="37">
        <f>Tabela3[[#This Row],[Previsto]]-Tabela3[[#This Row],[Perda Pçs]]</f>
        <v>33</v>
      </c>
      <c r="N177" s="38">
        <f>IFERROR(Tabela3[[#This Row],[Perda Pçs]]/Tabela3[[#This Row],[Previsto]],0)</f>
        <v>5.7142857142857141E-2</v>
      </c>
      <c r="O177" s="39">
        <f>IFERROR(IF(Tabela3[[#This Row],[Qtde Cx Produzida]] &lt;&gt; 0, Tabela3[[#This Row],[Tempo]] / Tabela3[[#This Row],[Qtde Cx Produzida]], 0),0)</f>
        <v>4.7222222222222223E-3</v>
      </c>
      <c r="P177" s="57">
        <f>IFERROR(Tabela3[[#This Row],[Perda Pçs]]/Tabela3[[#This Row],[Qdt Peça Placa]],0)</f>
        <v>2</v>
      </c>
      <c r="Q177" s="37">
        <f>IFERROR(Tabela3[[#This Row],[Realizado]]*Tabela3[[#This Row],[Peso Util/Pç]],0)</f>
        <v>92.003999999999991</v>
      </c>
      <c r="R177" s="37">
        <f>IFERROR(Tabela3[[#This Row],[Peso Total Galho]]*Tabela3[[#This Row],[Qtde Cx Produzida]]*1.055,0)</f>
        <v>134.77625</v>
      </c>
      <c r="S177" s="37">
        <f>(Tabela3[[#This Row],[Aluminio Bruto]]-Tabela3[[#This Row],[Aluminio Util]])*0.9</f>
        <v>38.495025000000012</v>
      </c>
      <c r="T177" s="37">
        <f>Tabela3[[#This Row],[Aluminio Bruto]]/OleoKGAluminio</f>
        <v>56.700194110982977</v>
      </c>
      <c r="U177" s="35">
        <f>IFERROR((VLOOKUP(Tabela3[[#This Row],[Moldador]],Tabela1[],5,)+(VLOOKUP(Tabela3[[#This Row],[Ajudante]],Tabela1[],5,))*3.5),0)</f>
        <v>99.95034583333333</v>
      </c>
      <c r="V177" s="35">
        <f>IFERROR(Tabela3[[#This Row],[Custo M.O. / H]]/((Tabela3[[#This Row],[Realizado]]/Tabela3[[#This Row],[Qdt Peça Placa]])/Tabela3[[#This Row],[Tempo]]/24),)</f>
        <v>12.014233489057238</v>
      </c>
      <c r="W177" s="35">
        <f>Tabela3[[#This Row],[Custo / Cx Moldada]]*Tabela3[[#This Row],[Qtde Cx Produzida]]</f>
        <v>420.49817211700332</v>
      </c>
      <c r="X177" s="35">
        <f ca="1">Tabela3[[#This Row],[Aluminio Util]]*Tabela3[[#This Row],[Custo/Kg]]</f>
        <v>1435.2624000000001</v>
      </c>
      <c r="Y177" s="35">
        <f>IFERROR(VLOOKUP(Tabela3[[#This Row],[Data]],Tabela461213[],2,1)*(Tabela3[[#This Row],[Qtde Cx Produzida]]*Tabela3[[#This Row],[Qde macho / CX]]*Tabela3[[#This Row],[Peso Macho]]),)</f>
        <v>0</v>
      </c>
      <c r="Z177" s="35">
        <f>IFERROR(Tabela3[[#This Row],[Qtde Oleo]]*(VLOOKUP(Tabela3[[#This Row],[Data]],CompraOleo[],3,TRUE))*1.05,0)</f>
        <v>148.83800954133031</v>
      </c>
      <c r="AA177" s="47">
        <f ca="1">(Tabela3[[#This Row],[Custo Oleo]]+Tabela3[[#This Row],[Custo Aluminio]]+Tabela3[[#This Row],[Custo M.O. Total]]+Tabela3[[#This Row],[Custo Machos]])</f>
        <v>2004.5985816583338</v>
      </c>
      <c r="AB177" s="47">
        <f ca="1">Tabela3[[#This Row],[Custo Total]]*Tabela3[[#This Row],[% Perda]]</f>
        <v>114.54849038047621</v>
      </c>
      <c r="AC177" s="48">
        <f>IFERROR(VLOOKUP(Tabela3[[#This Row],[Produto]],Tabela2[],2,0),0)</f>
        <v>1</v>
      </c>
      <c r="AD177" s="48">
        <f>IFERROR(VLOOKUP(Tabela3[[#This Row],[Produto]],Tabela2[],3,0),0)</f>
        <v>2.7879999999999998</v>
      </c>
      <c r="AE177" s="48">
        <f>IFERROR(VLOOKUP(Tabela3[[#This Row],[Produto]],Tabela2[],4,0),0)</f>
        <v>3.65</v>
      </c>
      <c r="AF177" s="48">
        <f>IFERROR(VLOOKUP(Tabela3[[#This Row],[Produto]],Tabela2[],5,0),0)</f>
        <v>0.77580000000000016</v>
      </c>
      <c r="AG177" s="40">
        <f>IFERROR(VLOOKUP(Tabela3[[#This Row],[Produto]],Tabela2[],6,0),0)</f>
        <v>0</v>
      </c>
      <c r="AH177" s="40">
        <f>IFERROR(VLOOKUP(Tabela3[[#This Row],[Produto]],Tabela2[],7,0),0)</f>
        <v>0</v>
      </c>
      <c r="AI177" s="40">
        <f>IFERROR(VLOOKUP(Tabela3[[#This Row],[Produto]],Tabela2[],8,0),0)</f>
        <v>0</v>
      </c>
      <c r="AJ177" s="35">
        <f ca="1">IFERROR(VLOOKUP(Tabela3[[#This Row],[Produto]],Tabela2[],13,0),0)</f>
        <v>15.600000000000001</v>
      </c>
      <c r="AK177" s="40" t="str">
        <f>IFERROR(VLOOKUP(Tabela3[[#This Row],[Produto]],Tabela2[],14,0),0)</f>
        <v>Jumil</v>
      </c>
      <c r="AL177" s="40">
        <f>IFERROR(VLOOKUP(Tabela3[[#This Row],[Produto]],Tabela2[],15,0),0)</f>
        <v>35</v>
      </c>
      <c r="AM177" s="36">
        <f ca="1">(Tabela3[[#This Row],[Custo Usinagem]]+Tabela3[[#This Row],[Custo / Pç]])*1.2</f>
        <v>114.89449387848487</v>
      </c>
      <c r="AN177" s="36">
        <f ca="1">Tabela3[[#This Row],[Valor Mínimo Venda]]*1.15</f>
        <v>132.12866796025759</v>
      </c>
      <c r="AO177" s="36">
        <f ca="1">Tabela3[[#This Row],[Tabela 1]]*1.08</f>
        <v>142.69896139707819</v>
      </c>
      <c r="AP177" s="36">
        <f ca="1">Tabela3[[#This Row],[Tabela 2]]*1.15</f>
        <v>164.10380560663992</v>
      </c>
    </row>
    <row r="178" spans="1:42">
      <c r="A178" s="9">
        <v>45754</v>
      </c>
      <c r="B178" s="6" t="s">
        <v>236</v>
      </c>
      <c r="C178" s="14">
        <v>6213</v>
      </c>
      <c r="D178" s="6" t="s">
        <v>46</v>
      </c>
      <c r="E178" s="6" t="s">
        <v>53</v>
      </c>
      <c r="F178" s="6">
        <v>1</v>
      </c>
      <c r="G178" s="15">
        <v>6.9444444444444441E-3</v>
      </c>
      <c r="H178" s="16">
        <v>0</v>
      </c>
      <c r="I178" s="35">
        <f ca="1">IFERROR(Tabela3[[#This Row],[Custo Total]]/Tabela3[[#This Row],[Aluminio Util]],0)</f>
        <v>26.177056817279592</v>
      </c>
      <c r="J178" s="35">
        <f ca="1">Tabela3[[#This Row],[Custo Total]]/Tabela3[[#This Row],[Realizado]]</f>
        <v>7.9054711588184361</v>
      </c>
      <c r="K178" s="37">
        <f>IFERROR(Tabela3[[#This Row],[Qtde Cx Produzida]]/Tabela3[[#This Row],[Tempo]]/24,0)</f>
        <v>6</v>
      </c>
      <c r="L178" s="37">
        <f>Tabela3[[#This Row],[Qtde Cx Produzida]]*Tabela3[[#This Row],[Qdt Peça Placa]]</f>
        <v>6</v>
      </c>
      <c r="M178" s="37">
        <f>Tabela3[[#This Row],[Previsto]]-Tabela3[[#This Row],[Perda Pçs]]</f>
        <v>6</v>
      </c>
      <c r="N178" s="38">
        <f>IFERROR(Tabela3[[#This Row],[Perda Pçs]]/Tabela3[[#This Row],[Previsto]],0)</f>
        <v>0</v>
      </c>
      <c r="O178" s="39">
        <f>IFERROR(IF(Tabela3[[#This Row],[Qtde Cx Produzida]] &lt;&gt; 0, Tabela3[[#This Row],[Tempo]] / Tabela3[[#This Row],[Qtde Cx Produzida]], 0),0)</f>
        <v>6.9444444444444441E-3</v>
      </c>
      <c r="P178" s="57">
        <f>IFERROR(Tabela3[[#This Row],[Perda Pçs]]/Tabela3[[#This Row],[Qdt Peça Placa]],0)</f>
        <v>0</v>
      </c>
      <c r="Q178" s="37">
        <f>IFERROR(Tabela3[[#This Row],[Realizado]]*Tabela3[[#This Row],[Peso Util/Pç]],0)</f>
        <v>1.8119999999999998</v>
      </c>
      <c r="R178" s="37">
        <f>IFERROR(Tabela3[[#This Row],[Peso Total Galho]]*Tabela3[[#This Row],[Qtde Cx Produzida]]*1.055,0)</f>
        <v>2.2703600000000002</v>
      </c>
      <c r="S178" s="37">
        <f>(Tabela3[[#This Row],[Aluminio Bruto]]-Tabela3[[#This Row],[Aluminio Util]])*0.9</f>
        <v>0.41252400000000028</v>
      </c>
      <c r="T178" s="37">
        <f>Tabela3[[#This Row],[Aluminio Bruto]]/OleoKGAluminio</f>
        <v>0.95513751645272305</v>
      </c>
      <c r="U178" s="35">
        <f>IFERROR((VLOOKUP(Tabela3[[#This Row],[Moldador]],Tabela1[],5,)+(VLOOKUP(Tabela3[[#This Row],[Ajudante]],Tabela1[],5,))*3.5),0)</f>
        <v>99.95034583333333</v>
      </c>
      <c r="V178" s="35">
        <f>IFERROR(Tabela3[[#This Row],[Custo M.O. / H]]/((Tabela3[[#This Row],[Realizado]]/Tabela3[[#This Row],[Qdt Peça Placa]])/Tabela3[[#This Row],[Tempo]]/24),)</f>
        <v>16.658390972222222</v>
      </c>
      <c r="W178" s="35">
        <f>Tabela3[[#This Row],[Custo / Cx Moldada]]*Tabela3[[#This Row],[Qtde Cx Produzida]]</f>
        <v>16.658390972222222</v>
      </c>
      <c r="X178" s="35">
        <f ca="1">Tabela3[[#This Row],[Aluminio Util]]*Tabela3[[#This Row],[Custo/Kg]]</f>
        <v>28.267199999999999</v>
      </c>
      <c r="Y178" s="35">
        <f>IFERROR(VLOOKUP(Tabela3[[#This Row],[Data]],Tabela461213[],2,1)*(Tabela3[[#This Row],[Qtde Cx Produzida]]*Tabela3[[#This Row],[Qde macho / CX]]*Tabela3[[#This Row],[Peso Macho]]),)</f>
        <v>0</v>
      </c>
      <c r="Z178" s="35">
        <f>IFERROR(Tabela3[[#This Row],[Qtde Oleo]]*(VLOOKUP(Tabela3[[#This Row],[Data]],CompraOleo[],3,TRUE))*1.05,0)</f>
        <v>2.5072359806883981</v>
      </c>
      <c r="AA178" s="47">
        <f ca="1">(Tabela3[[#This Row],[Custo Oleo]]+Tabela3[[#This Row],[Custo Aluminio]]+Tabela3[[#This Row],[Custo M.O. Total]]+Tabela3[[#This Row],[Custo Machos]])</f>
        <v>47.432826952910617</v>
      </c>
      <c r="AB178" s="47">
        <f ca="1">Tabela3[[#This Row],[Custo Total]]*Tabela3[[#This Row],[% Perda]]</f>
        <v>0</v>
      </c>
      <c r="AC178" s="48">
        <f>IFERROR(VLOOKUP(Tabela3[[#This Row],[Produto]],Tabela2[],2,0),0)</f>
        <v>6</v>
      </c>
      <c r="AD178" s="48">
        <f>IFERROR(VLOOKUP(Tabela3[[#This Row],[Produto]],Tabela2[],3,0),0)</f>
        <v>0.30199999999999999</v>
      </c>
      <c r="AE178" s="48">
        <f>IFERROR(VLOOKUP(Tabela3[[#This Row],[Produto]],Tabela2[],4,0),0)</f>
        <v>2.1520000000000001</v>
      </c>
      <c r="AF178" s="48">
        <f>IFERROR(VLOOKUP(Tabela3[[#This Row],[Produto]],Tabela2[],5,0),0)</f>
        <v>0.30600000000000027</v>
      </c>
      <c r="AG178" s="40">
        <f>IFERROR(VLOOKUP(Tabela3[[#This Row],[Produto]],Tabela2[],6,0),0)</f>
        <v>0</v>
      </c>
      <c r="AH178" s="40">
        <f>IFERROR(VLOOKUP(Tabela3[[#This Row],[Produto]],Tabela2[],7,0),0)</f>
        <v>0</v>
      </c>
      <c r="AI178" s="40">
        <f>IFERROR(VLOOKUP(Tabela3[[#This Row],[Produto]],Tabela2[],8,0),0)</f>
        <v>0</v>
      </c>
      <c r="AJ178" s="35">
        <f ca="1">IFERROR(VLOOKUP(Tabela3[[#This Row],[Produto]],Tabela2[],13,0),0)</f>
        <v>15.600000000000001</v>
      </c>
      <c r="AK178" s="40" t="str">
        <f>IFERROR(VLOOKUP(Tabela3[[#This Row],[Produto]],Tabela2[],14,0),0)</f>
        <v>Senun</v>
      </c>
      <c r="AL178" s="40">
        <f>IFERROR(VLOOKUP(Tabela3[[#This Row],[Produto]],Tabela2[],15,0),0)</f>
        <v>4</v>
      </c>
      <c r="AM178" s="36">
        <f ca="1">(Tabela3[[#This Row],[Custo Usinagem]]+Tabela3[[#This Row],[Custo / Pç]])*1.2</f>
        <v>14.286565390582123</v>
      </c>
      <c r="AN178" s="36">
        <f ca="1">Tabela3[[#This Row],[Valor Mínimo Venda]]*1.15</f>
        <v>16.429550199169441</v>
      </c>
      <c r="AO178" s="36">
        <f ca="1">Tabela3[[#This Row],[Tabela 1]]*1.08</f>
        <v>17.743914215102997</v>
      </c>
      <c r="AP178" s="36">
        <f ca="1">Tabela3[[#This Row],[Tabela 2]]*1.15</f>
        <v>20.405501347368446</v>
      </c>
    </row>
    <row r="179" spans="1:42">
      <c r="A179" s="9">
        <v>45754</v>
      </c>
      <c r="B179" s="6" t="s">
        <v>154</v>
      </c>
      <c r="C179" s="14">
        <v>6055</v>
      </c>
      <c r="D179" s="6" t="s">
        <v>44</v>
      </c>
      <c r="E179" s="6" t="s">
        <v>47</v>
      </c>
      <c r="F179" s="6">
        <v>22</v>
      </c>
      <c r="G179" s="15">
        <v>0.33333333333333331</v>
      </c>
      <c r="H179" s="16">
        <v>0</v>
      </c>
      <c r="I179" s="35">
        <f ca="1">IFERROR(Tabela3[[#This Row],[Custo Total]]/Tabela3[[#This Row],[Aluminio Util]],0)</f>
        <v>21.963688353012984</v>
      </c>
      <c r="J179" s="35">
        <f ca="1">Tabela3[[#This Row],[Custo Total]]/Tabela3[[#This Row],[Realizado]]</f>
        <v>259.17152256555323</v>
      </c>
      <c r="K179" s="37">
        <f>IFERROR(Tabela3[[#This Row],[Qtde Cx Produzida]]/Tabela3[[#This Row],[Tempo]]/24,0)</f>
        <v>2.75</v>
      </c>
      <c r="L179" s="37">
        <f>Tabela3[[#This Row],[Qtde Cx Produzida]]*Tabela3[[#This Row],[Qdt Peça Placa]]</f>
        <v>22</v>
      </c>
      <c r="M179" s="37">
        <f>Tabela3[[#This Row],[Previsto]]-Tabela3[[#This Row],[Perda Pçs]]</f>
        <v>22</v>
      </c>
      <c r="N179" s="38">
        <f>IFERROR(Tabela3[[#This Row],[Perda Pçs]]/Tabela3[[#This Row],[Previsto]],0)</f>
        <v>0</v>
      </c>
      <c r="O179" s="39">
        <f>IFERROR(IF(Tabela3[[#This Row],[Qtde Cx Produzida]] &lt;&gt; 0, Tabela3[[#This Row],[Tempo]] / Tabela3[[#This Row],[Qtde Cx Produzida]], 0),0)</f>
        <v>1.515151515151515E-2</v>
      </c>
      <c r="P179" s="57">
        <f>IFERROR(Tabela3[[#This Row],[Perda Pçs]]/Tabela3[[#This Row],[Qdt Peça Placa]],0)</f>
        <v>0</v>
      </c>
      <c r="Q179" s="37">
        <f>IFERROR(Tabela3[[#This Row],[Realizado]]*Tabela3[[#This Row],[Peso Util/Pç]],0)</f>
        <v>259.60000000000002</v>
      </c>
      <c r="R179" s="37">
        <f>IFERROR(Tabela3[[#This Row],[Peso Total Galho]]*Tabela3[[#This Row],[Qtde Cx Produzida]]*1.055,0)</f>
        <v>301.72999999999996</v>
      </c>
      <c r="S179" s="37">
        <f>(Tabela3[[#This Row],[Aluminio Bruto]]-Tabela3[[#This Row],[Aluminio Util]])*0.9</f>
        <v>37.916999999999945</v>
      </c>
      <c r="T179" s="37">
        <f>Tabela3[[#This Row],[Aluminio Bruto]]/OleoKGAluminio</f>
        <v>126.93742086685815</v>
      </c>
      <c r="U179" s="35">
        <f>IFERROR((VLOOKUP(Tabela3[[#This Row],[Moldador]],Tabela1[],5,)+(VLOOKUP(Tabela3[[#This Row],[Ajudante]],Tabela1[],5,))*3.5),0)</f>
        <v>99.95034583333333</v>
      </c>
      <c r="V179" s="35">
        <f>IFERROR(Tabela3[[#This Row],[Custo M.O. / H]]/((Tabela3[[#This Row],[Realizado]]/Tabela3[[#This Row],[Qdt Peça Placa]])/Tabela3[[#This Row],[Tempo]]/24),)</f>
        <v>36.345580303030303</v>
      </c>
      <c r="W179" s="35">
        <f>Tabela3[[#This Row],[Custo / Cx Moldada]]*Tabela3[[#This Row],[Qtde Cx Produzida]]</f>
        <v>799.60276666666664</v>
      </c>
      <c r="X179" s="35">
        <f ca="1">Tabela3[[#This Row],[Aluminio Util]]*Tabela3[[#This Row],[Custo/Kg]]</f>
        <v>4568.9600000000009</v>
      </c>
      <c r="Y179" s="35">
        <f>IFERROR(VLOOKUP(Tabela3[[#This Row],[Data]],Tabela461213[],2,1)*(Tabela3[[#This Row],[Qtde Cx Produzida]]*Tabela3[[#This Row],[Qde macho / CX]]*Tabela3[[#This Row],[Peso Macho]]),)</f>
        <v>0</v>
      </c>
      <c r="Z179" s="35">
        <f>IFERROR(Tabela3[[#This Row],[Qtde Oleo]]*(VLOOKUP(Tabela3[[#This Row],[Data]],CompraOleo[],3,TRUE))*1.05,0)</f>
        <v>333.21072977550267</v>
      </c>
      <c r="AA179" s="47">
        <f ca="1">(Tabela3[[#This Row],[Custo Oleo]]+Tabela3[[#This Row],[Custo Aluminio]]+Tabela3[[#This Row],[Custo M.O. Total]]+Tabela3[[#This Row],[Custo Machos]])</f>
        <v>5701.7734964421707</v>
      </c>
      <c r="AB179" s="47">
        <f ca="1">Tabela3[[#This Row],[Custo Total]]*Tabela3[[#This Row],[% Perda]]</f>
        <v>0</v>
      </c>
      <c r="AC179" s="48">
        <f>IFERROR(VLOOKUP(Tabela3[[#This Row],[Produto]],Tabela2[],2,0),0)</f>
        <v>1</v>
      </c>
      <c r="AD179" s="48">
        <f>IFERROR(VLOOKUP(Tabela3[[#This Row],[Produto]],Tabela2[],3,0),0)</f>
        <v>11.8</v>
      </c>
      <c r="AE179" s="48">
        <f>IFERROR(VLOOKUP(Tabela3[[#This Row],[Produto]],Tabela2[],4,0),0)</f>
        <v>13</v>
      </c>
      <c r="AF179" s="48">
        <f>IFERROR(VLOOKUP(Tabela3[[#This Row],[Produto]],Tabela2[],5,0),0)</f>
        <v>1.0799999999999994</v>
      </c>
      <c r="AG179" s="40">
        <f>IFERROR(VLOOKUP(Tabela3[[#This Row],[Produto]],Tabela2[],6,0),0)</f>
        <v>0</v>
      </c>
      <c r="AH179" s="40">
        <f>IFERROR(VLOOKUP(Tabela3[[#This Row],[Produto]],Tabela2[],7,0),0)</f>
        <v>0</v>
      </c>
      <c r="AI179" s="40">
        <f>IFERROR(VLOOKUP(Tabela3[[#This Row],[Produto]],Tabela2[],8,0),0)</f>
        <v>0</v>
      </c>
      <c r="AJ179" s="35">
        <f ca="1">IFERROR(VLOOKUP(Tabela3[[#This Row],[Produto]],Tabela2[],13,0),0)</f>
        <v>17.600000000000001</v>
      </c>
      <c r="AK179" s="40" t="str">
        <f>IFERROR(VLOOKUP(Tabela3[[#This Row],[Produto]],Tabela2[],14,0),0)</f>
        <v>Jumil</v>
      </c>
      <c r="AL179" s="40">
        <f>IFERROR(VLOOKUP(Tabela3[[#This Row],[Produto]],Tabela2[],15,0),0)</f>
        <v>1</v>
      </c>
      <c r="AM179" s="36">
        <f ca="1">(Tabela3[[#This Row],[Custo Usinagem]]+Tabela3[[#This Row],[Custo / Pç]])*1.2</f>
        <v>312.20582707866384</v>
      </c>
      <c r="AN179" s="36">
        <f ca="1">Tabela3[[#This Row],[Valor Mínimo Venda]]*1.15</f>
        <v>359.03670114046338</v>
      </c>
      <c r="AO179" s="36">
        <f ca="1">Tabela3[[#This Row],[Tabela 1]]*1.08</f>
        <v>387.75963723170048</v>
      </c>
      <c r="AP179" s="36">
        <f ca="1">Tabela3[[#This Row],[Tabela 2]]*1.15</f>
        <v>445.92358281645551</v>
      </c>
    </row>
    <row r="180" spans="1:42">
      <c r="A180" s="9">
        <v>45755</v>
      </c>
      <c r="B180" s="6" t="s">
        <v>236</v>
      </c>
      <c r="C180" s="14">
        <v>6213</v>
      </c>
      <c r="D180" s="6" t="s">
        <v>46</v>
      </c>
      <c r="E180" s="6" t="s">
        <v>53</v>
      </c>
      <c r="F180" s="6">
        <v>66</v>
      </c>
      <c r="G180" s="15">
        <v>0.3576388888888889</v>
      </c>
      <c r="H180" s="16">
        <v>16</v>
      </c>
      <c r="I180" s="35">
        <f ca="1">IFERROR(Tabela3[[#This Row],[Custo Total]]/Tabela3[[#This Row],[Aluminio Util]],0)</f>
        <v>24.832372912879169</v>
      </c>
      <c r="J180" s="35">
        <f ca="1">Tabela3[[#This Row],[Custo Total]]/Tabela3[[#This Row],[Realizado]]</f>
        <v>7.4993766196895084</v>
      </c>
      <c r="K180" s="37">
        <f>IFERROR(Tabela3[[#This Row],[Qtde Cx Produzida]]/Tabela3[[#This Row],[Tempo]]/24,0)</f>
        <v>7.6893203883495147</v>
      </c>
      <c r="L180" s="37">
        <f>Tabela3[[#This Row],[Qtde Cx Produzida]]*Tabela3[[#This Row],[Qdt Peça Placa]]</f>
        <v>396</v>
      </c>
      <c r="M180" s="37">
        <f>Tabela3[[#This Row],[Previsto]]-Tabela3[[#This Row],[Perda Pçs]]</f>
        <v>380</v>
      </c>
      <c r="N180" s="38">
        <f>IFERROR(Tabela3[[#This Row],[Perda Pçs]]/Tabela3[[#This Row],[Previsto]],0)</f>
        <v>4.0404040404040407E-2</v>
      </c>
      <c r="O180" s="39">
        <f>IFERROR(IF(Tabela3[[#This Row],[Qtde Cx Produzida]] &lt;&gt; 0, Tabela3[[#This Row],[Tempo]] / Tabela3[[#This Row],[Qtde Cx Produzida]], 0),0)</f>
        <v>5.4187710437710443E-3</v>
      </c>
      <c r="P180" s="57">
        <f>IFERROR(Tabela3[[#This Row],[Perda Pçs]]/Tabela3[[#This Row],[Qdt Peça Placa]],0)</f>
        <v>2.6666666666666665</v>
      </c>
      <c r="Q180" s="37">
        <f>IFERROR(Tabela3[[#This Row],[Realizado]]*Tabela3[[#This Row],[Peso Util/Pç]],0)</f>
        <v>114.75999999999999</v>
      </c>
      <c r="R180" s="37">
        <f>IFERROR(Tabela3[[#This Row],[Peso Total Galho]]*Tabela3[[#This Row],[Qtde Cx Produzida]]*1.055,0)</f>
        <v>149.84376</v>
      </c>
      <c r="S180" s="37">
        <f>(Tabela3[[#This Row],[Aluminio Bruto]]-Tabela3[[#This Row],[Aluminio Util]])*0.9</f>
        <v>31.57538400000001</v>
      </c>
      <c r="T180" s="37">
        <f>Tabela3[[#This Row],[Aluminio Bruto]]/OleoKGAluminio</f>
        <v>63.039076085879721</v>
      </c>
      <c r="U180" s="35">
        <f>IFERROR((VLOOKUP(Tabela3[[#This Row],[Moldador]],Tabela1[],5,)+(VLOOKUP(Tabela3[[#This Row],[Ajudante]],Tabela1[],5,))*3.5),0)</f>
        <v>99.95034583333333</v>
      </c>
      <c r="V180" s="35">
        <f>IFERROR(Tabela3[[#This Row],[Custo M.O. / H]]/((Tabela3[[#This Row],[Realizado]]/Tabela3[[#This Row],[Qdt Peça Placa]])/Tabela3[[#This Row],[Tempo]]/24),)</f>
        <v>13.545902132675437</v>
      </c>
      <c r="W180" s="35">
        <f>Tabela3[[#This Row],[Custo / Cx Moldada]]*Tabela3[[#This Row],[Qtde Cx Produzida]]</f>
        <v>894.02954075657885</v>
      </c>
      <c r="X180" s="35">
        <f ca="1">Tabela3[[#This Row],[Aluminio Util]]*Tabela3[[#This Row],[Custo/Kg]]</f>
        <v>1790.2560000000001</v>
      </c>
      <c r="Y180" s="35">
        <f>IFERROR(VLOOKUP(Tabela3[[#This Row],[Data]],Tabela461213[],2,1)*(Tabela3[[#This Row],[Qtde Cx Produzida]]*Tabela3[[#This Row],[Qde macho / CX]]*Tabela3[[#This Row],[Peso Macho]]),)</f>
        <v>0</v>
      </c>
      <c r="Z180" s="35">
        <f>IFERROR(Tabela3[[#This Row],[Qtde Oleo]]*(VLOOKUP(Tabela3[[#This Row],[Data]],CompraOleo[],3,TRUE))*1.05,0)</f>
        <v>165.47757472543427</v>
      </c>
      <c r="AA180" s="47">
        <f ca="1">(Tabela3[[#This Row],[Custo Oleo]]+Tabela3[[#This Row],[Custo Aluminio]]+Tabela3[[#This Row],[Custo M.O. Total]]+Tabela3[[#This Row],[Custo Machos]])</f>
        <v>2849.7631154820133</v>
      </c>
      <c r="AB180" s="47">
        <f ca="1">Tabela3[[#This Row],[Custo Total]]*Tabela3[[#This Row],[% Perda]]</f>
        <v>115.14194405987934</v>
      </c>
      <c r="AC180" s="48">
        <f>IFERROR(VLOOKUP(Tabela3[[#This Row],[Produto]],Tabela2[],2,0),0)</f>
        <v>6</v>
      </c>
      <c r="AD180" s="48">
        <f>IFERROR(VLOOKUP(Tabela3[[#This Row],[Produto]],Tabela2[],3,0),0)</f>
        <v>0.30199999999999999</v>
      </c>
      <c r="AE180" s="48">
        <f>IFERROR(VLOOKUP(Tabela3[[#This Row],[Produto]],Tabela2[],4,0),0)</f>
        <v>2.1520000000000001</v>
      </c>
      <c r="AF180" s="48">
        <f>IFERROR(VLOOKUP(Tabela3[[#This Row],[Produto]],Tabela2[],5,0),0)</f>
        <v>0.30600000000000027</v>
      </c>
      <c r="AG180" s="40">
        <f>IFERROR(VLOOKUP(Tabela3[[#This Row],[Produto]],Tabela2[],6,0),0)</f>
        <v>0</v>
      </c>
      <c r="AH180" s="40">
        <f>IFERROR(VLOOKUP(Tabela3[[#This Row],[Produto]],Tabela2[],7,0),0)</f>
        <v>0</v>
      </c>
      <c r="AI180" s="40">
        <f>IFERROR(VLOOKUP(Tabela3[[#This Row],[Produto]],Tabela2[],8,0),0)</f>
        <v>0</v>
      </c>
      <c r="AJ180" s="35">
        <f ca="1">IFERROR(VLOOKUP(Tabela3[[#This Row],[Produto]],Tabela2[],13,0),0)</f>
        <v>15.600000000000001</v>
      </c>
      <c r="AK180" s="40" t="str">
        <f>IFERROR(VLOOKUP(Tabela3[[#This Row],[Produto]],Tabela2[],14,0),0)</f>
        <v>Senun</v>
      </c>
      <c r="AL180" s="40">
        <f>IFERROR(VLOOKUP(Tabela3[[#This Row],[Produto]],Tabela2[],15,0),0)</f>
        <v>4</v>
      </c>
      <c r="AM180" s="36">
        <f ca="1">(Tabela3[[#This Row],[Custo Usinagem]]+Tabela3[[#This Row],[Custo / Pç]])*1.2</f>
        <v>13.799251943627409</v>
      </c>
      <c r="AN180" s="36">
        <f ca="1">Tabela3[[#This Row],[Valor Mínimo Venda]]*1.15</f>
        <v>15.869139735171519</v>
      </c>
      <c r="AO180" s="36">
        <f ca="1">Tabela3[[#This Row],[Tabela 1]]*1.08</f>
        <v>17.138670913985241</v>
      </c>
      <c r="AP180" s="36">
        <f ca="1">Tabela3[[#This Row],[Tabela 2]]*1.15</f>
        <v>19.709471551083027</v>
      </c>
    </row>
    <row r="181" spans="1:42">
      <c r="A181" s="9">
        <v>45755</v>
      </c>
      <c r="B181" s="6" t="s">
        <v>245</v>
      </c>
      <c r="C181" s="14">
        <v>6238</v>
      </c>
      <c r="D181" s="6" t="s">
        <v>44</v>
      </c>
      <c r="E181" s="6" t="s">
        <v>47</v>
      </c>
      <c r="F181" s="6">
        <v>60</v>
      </c>
      <c r="G181" s="15">
        <v>0.27777777777777779</v>
      </c>
      <c r="H181" s="16">
        <v>12</v>
      </c>
      <c r="I181" s="35">
        <f ca="1">IFERROR(Tabela3[[#This Row],[Custo Total]]/Tabela3[[#This Row],[Aluminio Util]],0)</f>
        <v>26.990112266851664</v>
      </c>
      <c r="J181" s="35">
        <f ca="1">Tabela3[[#This Row],[Custo Total]]/Tabela3[[#This Row],[Realizado]]</f>
        <v>8.9607172725947528</v>
      </c>
      <c r="K181" s="37">
        <f>IFERROR(Tabela3[[#This Row],[Qtde Cx Produzida]]/Tabela3[[#This Row],[Tempo]]/24,0)</f>
        <v>9</v>
      </c>
      <c r="L181" s="37">
        <f>Tabela3[[#This Row],[Qtde Cx Produzida]]*Tabela3[[#This Row],[Qdt Peça Placa]]</f>
        <v>240</v>
      </c>
      <c r="M181" s="37">
        <f>Tabela3[[#This Row],[Previsto]]-Tabela3[[#This Row],[Perda Pçs]]</f>
        <v>228</v>
      </c>
      <c r="N181" s="38">
        <f>IFERROR(Tabela3[[#This Row],[Perda Pçs]]/Tabela3[[#This Row],[Previsto]],0)</f>
        <v>0.05</v>
      </c>
      <c r="O181" s="39">
        <f>IFERROR(IF(Tabela3[[#This Row],[Qtde Cx Produzida]] &lt;&gt; 0, Tabela3[[#This Row],[Tempo]] / Tabela3[[#This Row],[Qtde Cx Produzida]], 0),0)</f>
        <v>4.6296296296296302E-3</v>
      </c>
      <c r="P181" s="57">
        <f>IFERROR(Tabela3[[#This Row],[Perda Pçs]]/Tabela3[[#This Row],[Qdt Peça Placa]],0)</f>
        <v>3</v>
      </c>
      <c r="Q181" s="37">
        <f>IFERROR(Tabela3[[#This Row],[Realizado]]*Tabela3[[#This Row],[Peso Util/Pç]],0)</f>
        <v>75.695999999999998</v>
      </c>
      <c r="R181" s="37">
        <f>IFERROR(Tabela3[[#This Row],[Peso Total Galho]]*Tabela3[[#This Row],[Qtde Cx Produzida]]*1.055,0)</f>
        <v>145.59</v>
      </c>
      <c r="S181" s="37">
        <f>(Tabela3[[#This Row],[Aluminio Bruto]]-Tabela3[[#This Row],[Aluminio Util]])*0.9</f>
        <v>62.904600000000009</v>
      </c>
      <c r="T181" s="37">
        <f>Tabela3[[#This Row],[Aluminio Bruto]]/OleoKGAluminio</f>
        <v>61.249524753938559</v>
      </c>
      <c r="U181" s="35">
        <f>IFERROR((VLOOKUP(Tabela3[[#This Row],[Moldador]],Tabela1[],5,)+(VLOOKUP(Tabela3[[#This Row],[Ajudante]],Tabela1[],5,))*3.5),0)</f>
        <v>99.95034583333333</v>
      </c>
      <c r="V181" s="35">
        <f>IFERROR(Tabela3[[#This Row],[Custo M.O. / H]]/((Tabela3[[#This Row],[Realizado]]/Tabela3[[#This Row],[Qdt Peça Placa]])/Tabela3[[#This Row],[Tempo]]/24),)</f>
        <v>11.690098927875244</v>
      </c>
      <c r="W181" s="35">
        <f>Tabela3[[#This Row],[Custo / Cx Moldada]]*Tabela3[[#This Row],[Qtde Cx Produzida]]</f>
        <v>701.4059356725146</v>
      </c>
      <c r="X181" s="35">
        <f ca="1">Tabela3[[#This Row],[Aluminio Util]]*Tabela3[[#This Row],[Custo/Kg]]</f>
        <v>1180.8576</v>
      </c>
      <c r="Y181" s="35">
        <f>IFERROR(VLOOKUP(Tabela3[[#This Row],[Data]],Tabela461213[],2,1)*(Tabela3[[#This Row],[Qtde Cx Produzida]]*Tabela3[[#This Row],[Qde macho / CX]]*Tabela3[[#This Row],[Peso Macho]]),)</f>
        <v>0</v>
      </c>
      <c r="Z181" s="35">
        <f>IFERROR(Tabela3[[#This Row],[Qtde Oleo]]*(VLOOKUP(Tabela3[[#This Row],[Data]],CompraOleo[],3,TRUE))*1.05,0)</f>
        <v>160.78000247908872</v>
      </c>
      <c r="AA181" s="47">
        <f ca="1">(Tabela3[[#This Row],[Custo Oleo]]+Tabela3[[#This Row],[Custo Aluminio]]+Tabela3[[#This Row],[Custo M.O. Total]]+Tabela3[[#This Row],[Custo Machos]])</f>
        <v>2043.0435381516036</v>
      </c>
      <c r="AB181" s="47">
        <f ca="1">Tabela3[[#This Row],[Custo Total]]*Tabela3[[#This Row],[% Perda]]</f>
        <v>102.15217690758018</v>
      </c>
      <c r="AC181" s="48">
        <f>IFERROR(VLOOKUP(Tabela3[[#This Row],[Produto]],Tabela2[],2,0),0)</f>
        <v>4</v>
      </c>
      <c r="AD181" s="48">
        <f>IFERROR(VLOOKUP(Tabela3[[#This Row],[Produto]],Tabela2[],3,0),0)</f>
        <v>0.33200000000000002</v>
      </c>
      <c r="AE181" s="48">
        <f>IFERROR(VLOOKUP(Tabela3[[#This Row],[Produto]],Tabela2[],4,0),0)</f>
        <v>2.2999999999999998</v>
      </c>
      <c r="AF181" s="48">
        <f>IFERROR(VLOOKUP(Tabela3[[#This Row],[Produto]],Tabela2[],5,0),0)</f>
        <v>0.8747999999999998</v>
      </c>
      <c r="AG181" s="40">
        <f>IFERROR(VLOOKUP(Tabela3[[#This Row],[Produto]],Tabela2[],6,0),0)</f>
        <v>0</v>
      </c>
      <c r="AH181" s="40">
        <f>IFERROR(VLOOKUP(Tabela3[[#This Row],[Produto]],Tabela2[],7,0),0)</f>
        <v>0</v>
      </c>
      <c r="AI181" s="40">
        <f>IFERROR(VLOOKUP(Tabela3[[#This Row],[Produto]],Tabela2[],8,0),0)</f>
        <v>0</v>
      </c>
      <c r="AJ181" s="35">
        <f ca="1">IFERROR(VLOOKUP(Tabela3[[#This Row],[Produto]],Tabela2[],13,0),0)</f>
        <v>15.600000000000001</v>
      </c>
      <c r="AK181" s="40" t="str">
        <f>IFERROR(VLOOKUP(Tabela3[[#This Row],[Produto]],Tabela2[],14,0),0)</f>
        <v>Senun</v>
      </c>
      <c r="AL181" s="40">
        <f>IFERROR(VLOOKUP(Tabela3[[#This Row],[Produto]],Tabela2[],15,0),0)</f>
        <v>3.5</v>
      </c>
      <c r="AM181" s="36">
        <f ca="1">(Tabela3[[#This Row],[Custo Usinagem]]+Tabela3[[#This Row],[Custo / Pç]])*1.2</f>
        <v>14.952860727113702</v>
      </c>
      <c r="AN181" s="36">
        <f ca="1">Tabela3[[#This Row],[Valor Mínimo Venda]]*1.15</f>
        <v>17.195789836180754</v>
      </c>
      <c r="AO181" s="36">
        <f ca="1">Tabela3[[#This Row],[Tabela 1]]*1.08</f>
        <v>18.571453023075215</v>
      </c>
      <c r="AP181" s="36">
        <f ca="1">Tabela3[[#This Row],[Tabela 2]]*1.15</f>
        <v>21.357170976536494</v>
      </c>
    </row>
    <row r="182" spans="1:42">
      <c r="A182" s="9">
        <v>45755</v>
      </c>
      <c r="B182" s="6" t="s">
        <v>193</v>
      </c>
      <c r="C182" s="14">
        <v>6244</v>
      </c>
      <c r="D182" s="6" t="s">
        <v>44</v>
      </c>
      <c r="E182" s="6" t="s">
        <v>47</v>
      </c>
      <c r="F182" s="6">
        <v>8</v>
      </c>
      <c r="G182" s="15">
        <v>6.1805555555555558E-2</v>
      </c>
      <c r="H182" s="16">
        <v>0</v>
      </c>
      <c r="I182" s="35">
        <f ca="1">IFERROR(Tabela3[[#This Row],[Custo Total]]/Tabela3[[#This Row],[Aluminio Util]],0)</f>
        <v>22.169865616511036</v>
      </c>
      <c r="J182" s="35">
        <f ca="1">Tabela3[[#This Row],[Custo Total]]/Tabela3[[#This Row],[Realizado]]</f>
        <v>53.030318554694396</v>
      </c>
      <c r="K182" s="37">
        <f>IFERROR(Tabela3[[#This Row],[Qtde Cx Produzida]]/Tabela3[[#This Row],[Tempo]]/24,0)</f>
        <v>5.393258426966292</v>
      </c>
      <c r="L182" s="37">
        <f>Tabela3[[#This Row],[Qtde Cx Produzida]]*Tabela3[[#This Row],[Qdt Peça Placa]]</f>
        <v>16</v>
      </c>
      <c r="M182" s="37">
        <f>Tabela3[[#This Row],[Previsto]]-Tabela3[[#This Row],[Perda Pçs]]</f>
        <v>16</v>
      </c>
      <c r="N182" s="38">
        <f>IFERROR(Tabela3[[#This Row],[Perda Pçs]]/Tabela3[[#This Row],[Previsto]],0)</f>
        <v>0</v>
      </c>
      <c r="O182" s="39">
        <f>IFERROR(IF(Tabela3[[#This Row],[Qtde Cx Produzida]] &lt;&gt; 0, Tabela3[[#This Row],[Tempo]] / Tabela3[[#This Row],[Qtde Cx Produzida]], 0),0)</f>
        <v>7.7256944444444448E-3</v>
      </c>
      <c r="P182" s="57">
        <f>IFERROR(Tabela3[[#This Row],[Perda Pçs]]/Tabela3[[#This Row],[Qdt Peça Placa]],0)</f>
        <v>0</v>
      </c>
      <c r="Q182" s="37">
        <f>IFERROR(Tabela3[[#This Row],[Realizado]]*Tabela3[[#This Row],[Peso Util/Pç]],0)</f>
        <v>38.271999999999998</v>
      </c>
      <c r="R182" s="37">
        <f>IFERROR(Tabela3[[#This Row],[Peso Total Galho]]*Tabela3[[#This Row],[Qtde Cx Produzida]]*1.055,0)</f>
        <v>24.12152</v>
      </c>
      <c r="S182" s="37">
        <f>(Tabela3[[#This Row],[Aluminio Bruto]]-Tabela3[[#This Row],[Aluminio Util]])*0.9</f>
        <v>-12.735431999999999</v>
      </c>
      <c r="T182" s="37">
        <f>Tabela3[[#This Row],[Aluminio Bruto]]/OleoKGAluminio</f>
        <v>10.147892275174284</v>
      </c>
      <c r="U182" s="35">
        <f>IFERROR((VLOOKUP(Tabela3[[#This Row],[Moldador]],Tabela1[],5,)+(VLOOKUP(Tabela3[[#This Row],[Ajudante]],Tabela1[],5,))*3.5),0)</f>
        <v>99.95034583333333</v>
      </c>
      <c r="V182" s="35">
        <f>IFERROR(Tabela3[[#This Row],[Custo M.O. / H]]/((Tabela3[[#This Row],[Realizado]]/Tabela3[[#This Row],[Qdt Peça Placa]])/Tabela3[[#This Row],[Tempo]]/24),)</f>
        <v>18.532459956597222</v>
      </c>
      <c r="W182" s="35">
        <f>Tabela3[[#This Row],[Custo / Cx Moldada]]*Tabela3[[#This Row],[Qtde Cx Produzida]]</f>
        <v>148.25967965277778</v>
      </c>
      <c r="X182" s="35">
        <f ca="1">Tabela3[[#This Row],[Aluminio Util]]*Tabela3[[#This Row],[Custo/Kg]]</f>
        <v>673.58720000000005</v>
      </c>
      <c r="Y182" s="35">
        <f>IFERROR(VLOOKUP(Tabela3[[#This Row],[Data]],Tabela461213[],2,1)*(Tabela3[[#This Row],[Qtde Cx Produzida]]*Tabela3[[#This Row],[Qde macho / CX]]*Tabela3[[#This Row],[Peso Macho]]),)</f>
        <v>0</v>
      </c>
      <c r="Z182" s="35">
        <f>IFERROR(Tabela3[[#This Row],[Qtde Oleo]]*(VLOOKUP(Tabela3[[#This Row],[Data]],CompraOleo[],3,TRUE))*1.05,0)</f>
        <v>26.638217222332496</v>
      </c>
      <c r="AA182" s="47">
        <f ca="1">(Tabela3[[#This Row],[Custo Oleo]]+Tabela3[[#This Row],[Custo Aluminio]]+Tabela3[[#This Row],[Custo M.O. Total]]+Tabela3[[#This Row],[Custo Machos]])</f>
        <v>848.48509687511034</v>
      </c>
      <c r="AB182" s="47">
        <f ca="1">Tabela3[[#This Row],[Custo Total]]*Tabela3[[#This Row],[% Perda]]</f>
        <v>0</v>
      </c>
      <c r="AC182" s="48">
        <f>IFERROR(VLOOKUP(Tabela3[[#This Row],[Produto]],Tabela2[],2,0),0)</f>
        <v>2</v>
      </c>
      <c r="AD182" s="48">
        <f>IFERROR(VLOOKUP(Tabela3[[#This Row],[Produto]],Tabela2[],3,0),0)</f>
        <v>2.3919999999999999</v>
      </c>
      <c r="AE182" s="48">
        <f>IFERROR(VLOOKUP(Tabela3[[#This Row],[Produto]],Tabela2[],4,0),0)</f>
        <v>2.8580000000000001</v>
      </c>
      <c r="AF182" s="48">
        <f>IFERROR(VLOOKUP(Tabela3[[#This Row],[Produto]],Tabela2[],5,0),0)</f>
        <v>-1.7333999999999998</v>
      </c>
      <c r="AG182" s="40">
        <f>IFERROR(VLOOKUP(Tabela3[[#This Row],[Produto]],Tabela2[],6,0),0)</f>
        <v>0</v>
      </c>
      <c r="AH182" s="40">
        <f>IFERROR(VLOOKUP(Tabela3[[#This Row],[Produto]],Tabela2[],7,0),0)</f>
        <v>0</v>
      </c>
      <c r="AI182" s="40">
        <f>IFERROR(VLOOKUP(Tabela3[[#This Row],[Produto]],Tabela2[],8,0),0)</f>
        <v>0</v>
      </c>
      <c r="AJ182" s="35">
        <f ca="1">IFERROR(VLOOKUP(Tabela3[[#This Row],[Produto]],Tabela2[],13,0),0)</f>
        <v>17.600000000000001</v>
      </c>
      <c r="AK182" s="40" t="str">
        <f>IFERROR(VLOOKUP(Tabela3[[#This Row],[Produto]],Tabela2[],14,0),0)</f>
        <v>Oscar</v>
      </c>
      <c r="AL182" s="40">
        <f>IFERROR(VLOOKUP(Tabela3[[#This Row],[Produto]],Tabela2[],15,0),0)</f>
        <v>0</v>
      </c>
      <c r="AM182" s="36">
        <f ca="1">(Tabela3[[#This Row],[Custo Usinagem]]+Tabela3[[#This Row],[Custo / Pç]])*1.2</f>
        <v>63.636382265633273</v>
      </c>
      <c r="AN182" s="36">
        <f ca="1">Tabela3[[#This Row],[Valor Mínimo Venda]]*1.15</f>
        <v>73.18183960547826</v>
      </c>
      <c r="AO182" s="36">
        <f ca="1">Tabela3[[#This Row],[Tabela 1]]*1.08</f>
        <v>79.036386773916519</v>
      </c>
      <c r="AP182" s="36">
        <f ca="1">Tabela3[[#This Row],[Tabela 2]]*1.15</f>
        <v>90.891844790003987</v>
      </c>
    </row>
    <row r="183" spans="1:42">
      <c r="A183" s="9">
        <v>45756</v>
      </c>
      <c r="B183" s="6" t="s">
        <v>236</v>
      </c>
      <c r="C183" s="14">
        <v>6213</v>
      </c>
      <c r="D183" s="6" t="s">
        <v>46</v>
      </c>
      <c r="E183" s="6" t="s">
        <v>53</v>
      </c>
      <c r="F183" s="6">
        <v>33</v>
      </c>
      <c r="G183" s="15">
        <v>0.16111111111111112</v>
      </c>
      <c r="H183" s="16">
        <v>0</v>
      </c>
      <c r="I183" s="35">
        <f ca="1">IFERROR(Tabela3[[#This Row],[Custo Total]]/Tabela3[[#This Row],[Aluminio Util]],0)</f>
        <v>23.446903771460846</v>
      </c>
      <c r="J183" s="35">
        <f ca="1">Tabela3[[#This Row],[Custo Total]]/Tabela3[[#This Row],[Realizado]]</f>
        <v>7.0809649389811762</v>
      </c>
      <c r="K183" s="37">
        <f>IFERROR(Tabela3[[#This Row],[Qtde Cx Produzida]]/Tabela3[[#This Row],[Tempo]]/24,0)</f>
        <v>8.5344827586206886</v>
      </c>
      <c r="L183" s="37">
        <f>Tabela3[[#This Row],[Qtde Cx Produzida]]*Tabela3[[#This Row],[Qdt Peça Placa]]</f>
        <v>198</v>
      </c>
      <c r="M183" s="37">
        <f>Tabela3[[#This Row],[Previsto]]-Tabela3[[#This Row],[Perda Pçs]]</f>
        <v>198</v>
      </c>
      <c r="N183" s="38">
        <f>IFERROR(Tabela3[[#This Row],[Perda Pçs]]/Tabela3[[#This Row],[Previsto]],0)</f>
        <v>0</v>
      </c>
      <c r="O183" s="39">
        <f>IFERROR(IF(Tabela3[[#This Row],[Qtde Cx Produzida]] &lt;&gt; 0, Tabela3[[#This Row],[Tempo]] / Tabela3[[#This Row],[Qtde Cx Produzida]], 0),0)</f>
        <v>4.8821548821548827E-3</v>
      </c>
      <c r="P183" s="57">
        <f>IFERROR(Tabela3[[#This Row],[Perda Pçs]]/Tabela3[[#This Row],[Qdt Peça Placa]],0)</f>
        <v>0</v>
      </c>
      <c r="Q183" s="37">
        <f>IFERROR(Tabela3[[#This Row],[Realizado]]*Tabela3[[#This Row],[Peso Util/Pç]],0)</f>
        <v>59.795999999999999</v>
      </c>
      <c r="R183" s="37">
        <f>IFERROR(Tabela3[[#This Row],[Peso Total Galho]]*Tabela3[[#This Row],[Qtde Cx Produzida]]*1.055,0)</f>
        <v>74.921880000000002</v>
      </c>
      <c r="S183" s="37">
        <f>(Tabela3[[#This Row],[Aluminio Bruto]]-Tabela3[[#This Row],[Aluminio Util]])*0.9</f>
        <v>13.613292000000003</v>
      </c>
      <c r="T183" s="37">
        <f>Tabela3[[#This Row],[Aluminio Bruto]]/OleoKGAluminio</f>
        <v>31.51953804293986</v>
      </c>
      <c r="U183" s="35">
        <f>IFERROR((VLOOKUP(Tabela3[[#This Row],[Moldador]],Tabela1[],5,)+(VLOOKUP(Tabela3[[#This Row],[Ajudante]],Tabela1[],5,))*3.5),0)</f>
        <v>99.95034583333333</v>
      </c>
      <c r="V183" s="35">
        <f>IFERROR(Tabela3[[#This Row],[Custo M.O. / H]]/((Tabela3[[#This Row],[Realizado]]/Tabela3[[#This Row],[Qdt Peça Placa]])/Tabela3[[#This Row],[Tempo]]/24),)</f>
        <v>11.711353653198655</v>
      </c>
      <c r="W183" s="35">
        <f>Tabela3[[#This Row],[Custo / Cx Moldada]]*Tabela3[[#This Row],[Qtde Cx Produzida]]</f>
        <v>386.47467055555563</v>
      </c>
      <c r="X183" s="35">
        <f ca="1">Tabela3[[#This Row],[Aluminio Util]]*Tabela3[[#This Row],[Custo/Kg]]</f>
        <v>932.81760000000008</v>
      </c>
      <c r="Y183" s="35">
        <f>IFERROR(VLOOKUP(Tabela3[[#This Row],[Data]],Tabela461213[],2,1)*(Tabela3[[#This Row],[Qtde Cx Produzida]]*Tabela3[[#This Row],[Qde macho / CX]]*Tabela3[[#This Row],[Peso Macho]]),)</f>
        <v>0</v>
      </c>
      <c r="Z183" s="35">
        <f>IFERROR(Tabela3[[#This Row],[Qtde Oleo]]*(VLOOKUP(Tabela3[[#This Row],[Data]],CompraOleo[],3,TRUE))*1.05,0)</f>
        <v>82.738787362717133</v>
      </c>
      <c r="AA183" s="47">
        <f ca="1">(Tabela3[[#This Row],[Custo Oleo]]+Tabela3[[#This Row],[Custo Aluminio]]+Tabela3[[#This Row],[Custo M.O. Total]]+Tabela3[[#This Row],[Custo Machos]])</f>
        <v>1402.0310579182728</v>
      </c>
      <c r="AB183" s="47">
        <f ca="1">Tabela3[[#This Row],[Custo Total]]*Tabela3[[#This Row],[% Perda]]</f>
        <v>0</v>
      </c>
      <c r="AC183" s="48">
        <f>IFERROR(VLOOKUP(Tabela3[[#This Row],[Produto]],Tabela2[],2,0),0)</f>
        <v>6</v>
      </c>
      <c r="AD183" s="48">
        <f>IFERROR(VLOOKUP(Tabela3[[#This Row],[Produto]],Tabela2[],3,0),0)</f>
        <v>0.30199999999999999</v>
      </c>
      <c r="AE183" s="48">
        <f>IFERROR(VLOOKUP(Tabela3[[#This Row],[Produto]],Tabela2[],4,0),0)</f>
        <v>2.1520000000000001</v>
      </c>
      <c r="AF183" s="48">
        <f>IFERROR(VLOOKUP(Tabela3[[#This Row],[Produto]],Tabela2[],5,0),0)</f>
        <v>0.30600000000000027</v>
      </c>
      <c r="AG183" s="40">
        <f>IFERROR(VLOOKUP(Tabela3[[#This Row],[Produto]],Tabela2[],6,0),0)</f>
        <v>0</v>
      </c>
      <c r="AH183" s="40">
        <f>IFERROR(VLOOKUP(Tabela3[[#This Row],[Produto]],Tabela2[],7,0),0)</f>
        <v>0</v>
      </c>
      <c r="AI183" s="40">
        <f>IFERROR(VLOOKUP(Tabela3[[#This Row],[Produto]],Tabela2[],8,0),0)</f>
        <v>0</v>
      </c>
      <c r="AJ183" s="35">
        <f ca="1">IFERROR(VLOOKUP(Tabela3[[#This Row],[Produto]],Tabela2[],13,0),0)</f>
        <v>15.600000000000001</v>
      </c>
      <c r="AK183" s="40" t="str">
        <f>IFERROR(VLOOKUP(Tabela3[[#This Row],[Produto]],Tabela2[],14,0),0)</f>
        <v>Senun</v>
      </c>
      <c r="AL183" s="40">
        <f>IFERROR(VLOOKUP(Tabela3[[#This Row],[Produto]],Tabela2[],15,0),0)</f>
        <v>4</v>
      </c>
      <c r="AM183" s="36">
        <f ca="1">(Tabela3[[#This Row],[Custo Usinagem]]+Tabela3[[#This Row],[Custo / Pç]])*1.2</f>
        <v>13.297157926777411</v>
      </c>
      <c r="AN183" s="36">
        <f ca="1">Tabela3[[#This Row],[Valor Mínimo Venda]]*1.15</f>
        <v>15.291731615794021</v>
      </c>
      <c r="AO183" s="36">
        <f ca="1">Tabela3[[#This Row],[Tabela 1]]*1.08</f>
        <v>16.515070145057543</v>
      </c>
      <c r="AP183" s="36">
        <f ca="1">Tabela3[[#This Row],[Tabela 2]]*1.15</f>
        <v>18.992330666816173</v>
      </c>
    </row>
    <row r="184" spans="1:42">
      <c r="A184" s="9">
        <v>45756</v>
      </c>
      <c r="B184" s="6" t="s">
        <v>91</v>
      </c>
      <c r="C184" s="14">
        <v>6234</v>
      </c>
      <c r="D184" s="6" t="s">
        <v>46</v>
      </c>
      <c r="E184" s="6" t="s">
        <v>53</v>
      </c>
      <c r="F184" s="6">
        <v>10</v>
      </c>
      <c r="G184" s="15">
        <v>6.6666666666666666E-2</v>
      </c>
      <c r="H184" s="16">
        <v>1</v>
      </c>
      <c r="I184" s="35">
        <f ca="1">IFERROR(Tabela3[[#This Row],[Custo Total]]/Tabela3[[#This Row],[Aluminio Util]],0)</f>
        <v>38.749506201870773</v>
      </c>
      <c r="J184" s="35">
        <f ca="1">Tabela3[[#This Row],[Custo Total]]/Tabela3[[#This Row],[Realizado]]</f>
        <v>30.379612862266686</v>
      </c>
      <c r="K184" s="37">
        <f>IFERROR(Tabela3[[#This Row],[Qtde Cx Produzida]]/Tabela3[[#This Row],[Tempo]]/24,0)</f>
        <v>6.25</v>
      </c>
      <c r="L184" s="37">
        <f>Tabela3[[#This Row],[Qtde Cx Produzida]]*Tabela3[[#This Row],[Qdt Peça Placa]]</f>
        <v>40</v>
      </c>
      <c r="M184" s="37">
        <f>Tabela3[[#This Row],[Previsto]]-Tabela3[[#This Row],[Perda Pçs]]</f>
        <v>39</v>
      </c>
      <c r="N184" s="38">
        <f>IFERROR(Tabela3[[#This Row],[Perda Pçs]]/Tabela3[[#This Row],[Previsto]],0)</f>
        <v>2.5000000000000001E-2</v>
      </c>
      <c r="O184" s="39">
        <f>IFERROR(IF(Tabela3[[#This Row],[Qtde Cx Produzida]] &lt;&gt; 0, Tabela3[[#This Row],[Tempo]] / Tabela3[[#This Row],[Qtde Cx Produzida]], 0),0)</f>
        <v>6.6666666666666662E-3</v>
      </c>
      <c r="P184" s="57">
        <f>IFERROR(Tabela3[[#This Row],[Perda Pçs]]/Tabela3[[#This Row],[Qdt Peça Placa]],0)</f>
        <v>0.25</v>
      </c>
      <c r="Q184" s="37">
        <f>IFERROR(Tabela3[[#This Row],[Realizado]]*Tabela3[[#This Row],[Peso Util/Pç]],0)</f>
        <v>30.576000000000001</v>
      </c>
      <c r="R184" s="37">
        <f>IFERROR(Tabela3[[#This Row],[Peso Total Galho]]*Tabela3[[#This Row],[Qtde Cx Produzida]]*1.055,0)</f>
        <v>58.531399999999998</v>
      </c>
      <c r="S184" s="37">
        <f>(Tabela3[[#This Row],[Aluminio Bruto]]-Tabela3[[#This Row],[Aluminio Util]])*0.9</f>
        <v>25.159859999999998</v>
      </c>
      <c r="T184" s="37">
        <f>Tabela3[[#This Row],[Aluminio Bruto]]/OleoKGAluminio</f>
        <v>24.62408429962689</v>
      </c>
      <c r="U184" s="35">
        <f>IFERROR((VLOOKUP(Tabela3[[#This Row],[Moldador]],Tabela1[],5,)+(VLOOKUP(Tabela3[[#This Row],[Ajudante]],Tabela1[],5,))*3.5),0)</f>
        <v>99.95034583333333</v>
      </c>
      <c r="V184" s="35">
        <f>IFERROR(Tabela3[[#This Row],[Custo M.O. / H]]/((Tabela3[[#This Row],[Realizado]]/Tabela3[[#This Row],[Qdt Peça Placa]])/Tabela3[[#This Row],[Tempo]]/24),)</f>
        <v>16.402108034188032</v>
      </c>
      <c r="W184" s="35">
        <f>Tabela3[[#This Row],[Custo / Cx Moldada]]*Tabela3[[#This Row],[Qtde Cx Produzida]]</f>
        <v>164.02108034188032</v>
      </c>
      <c r="X184" s="35">
        <f ca="1">Tabela3[[#This Row],[Aluminio Util]]*Tabela3[[#This Row],[Custo/Kg]]</f>
        <v>476.98560000000003</v>
      </c>
      <c r="Y184" s="35">
        <f>IFERROR(VLOOKUP(Tabela3[[#This Row],[Data]],Tabela461213[],2,1)*(Tabela3[[#This Row],[Qtde Cx Produzida]]*Tabela3[[#This Row],[Qde macho / CX]]*Tabela3[[#This Row],[Peso Macho]]),)</f>
        <v>479.15999999999997</v>
      </c>
      <c r="Z184" s="35">
        <f>IFERROR(Tabela3[[#This Row],[Qtde Oleo]]*(VLOOKUP(Tabela3[[#This Row],[Data]],CompraOleo[],3,TRUE))*1.05,0)</f>
        <v>64.63822128652059</v>
      </c>
      <c r="AA184" s="47">
        <f ca="1">(Tabela3[[#This Row],[Custo Oleo]]+Tabela3[[#This Row],[Custo Aluminio]]+Tabela3[[#This Row],[Custo M.O. Total]]+Tabela3[[#This Row],[Custo Machos]])</f>
        <v>1184.8049016284008</v>
      </c>
      <c r="AB184" s="47">
        <f ca="1">Tabela3[[#This Row],[Custo Total]]*Tabela3[[#This Row],[% Perda]]</f>
        <v>29.620122540710021</v>
      </c>
      <c r="AC184" s="48">
        <f>IFERROR(VLOOKUP(Tabela3[[#This Row],[Produto]],Tabela2[],2,0),0)</f>
        <v>4</v>
      </c>
      <c r="AD184" s="48">
        <f>IFERROR(VLOOKUP(Tabela3[[#This Row],[Produto]],Tabela2[],3,0),0)</f>
        <v>0.78400000000000003</v>
      </c>
      <c r="AE184" s="48">
        <f>IFERROR(VLOOKUP(Tabela3[[#This Row],[Produto]],Tabela2[],4,0),0)</f>
        <v>5.548</v>
      </c>
      <c r="AF184" s="48">
        <f>IFERROR(VLOOKUP(Tabela3[[#This Row],[Produto]],Tabela2[],5,0),0)</f>
        <v>2.1707999999999998</v>
      </c>
      <c r="AG184" s="40">
        <f>IFERROR(VLOOKUP(Tabela3[[#This Row],[Produto]],Tabela2[],6,0),0)</f>
        <v>0</v>
      </c>
      <c r="AH184" s="40">
        <f>IFERROR(VLOOKUP(Tabela3[[#This Row],[Produto]],Tabela2[],7,0),0)</f>
        <v>12</v>
      </c>
      <c r="AI184" s="40">
        <f>IFERROR(VLOOKUP(Tabela3[[#This Row],[Produto]],Tabela2[],8,0),0)</f>
        <v>2.6619999999999999</v>
      </c>
      <c r="AJ184" s="35">
        <f ca="1">IFERROR(VLOOKUP(Tabela3[[#This Row],[Produto]],Tabela2[],13,0),0)</f>
        <v>15.600000000000001</v>
      </c>
      <c r="AK184" s="40" t="str">
        <f>IFERROR(VLOOKUP(Tabela3[[#This Row],[Produto]],Tabela2[],14,0),0)</f>
        <v>Jumil</v>
      </c>
      <c r="AL184" s="40">
        <f>IFERROR(VLOOKUP(Tabela3[[#This Row],[Produto]],Tabela2[],15,0),0)</f>
        <v>8</v>
      </c>
      <c r="AM184" s="36">
        <f ca="1">(Tabela3[[#This Row],[Custo Usinagem]]+Tabela3[[#This Row],[Custo / Pç]])*1.2</f>
        <v>46.055535434720021</v>
      </c>
      <c r="AN184" s="36">
        <f ca="1">Tabela3[[#This Row],[Valor Mínimo Venda]]*1.15</f>
        <v>52.963865749928019</v>
      </c>
      <c r="AO184" s="36">
        <f ca="1">Tabela3[[#This Row],[Tabela 1]]*1.08</f>
        <v>57.200975009922267</v>
      </c>
      <c r="AP184" s="36">
        <f ca="1">Tabela3[[#This Row],[Tabela 2]]*1.15</f>
        <v>65.781121261410604</v>
      </c>
    </row>
    <row r="185" spans="1:42">
      <c r="A185" s="9">
        <v>45756</v>
      </c>
      <c r="B185" s="6" t="s">
        <v>246</v>
      </c>
      <c r="C185" s="14">
        <v>6242</v>
      </c>
      <c r="D185" s="6" t="s">
        <v>46</v>
      </c>
      <c r="E185" s="6" t="s">
        <v>53</v>
      </c>
      <c r="F185" s="6">
        <v>23</v>
      </c>
      <c r="G185" s="15">
        <v>0.12638888888888888</v>
      </c>
      <c r="H185" s="16">
        <v>26</v>
      </c>
      <c r="I185" s="35">
        <f ca="1">IFERROR(Tabela3[[#This Row],[Custo Total]]/Tabela3[[#This Row],[Aluminio Util]],0)</f>
        <v>30.12746979167412</v>
      </c>
      <c r="J185" s="35">
        <f ca="1">Tabela3[[#This Row],[Custo Total]]/Tabela3[[#This Row],[Realizado]]</f>
        <v>16.05794139896231</v>
      </c>
      <c r="K185" s="37">
        <f>IFERROR(Tabela3[[#This Row],[Qtde Cx Produzida]]/Tabela3[[#This Row],[Tempo]]/24,0)</f>
        <v>7.582417582417583</v>
      </c>
      <c r="L185" s="37">
        <f>Tabela3[[#This Row],[Qtde Cx Produzida]]*Tabela3[[#This Row],[Qdt Peça Placa]]</f>
        <v>92</v>
      </c>
      <c r="M185" s="37">
        <f>Tabela3[[#This Row],[Previsto]]-Tabela3[[#This Row],[Perda Pçs]]</f>
        <v>66</v>
      </c>
      <c r="N185" s="38">
        <f>IFERROR(Tabela3[[#This Row],[Perda Pçs]]/Tabela3[[#This Row],[Previsto]],0)</f>
        <v>0.28260869565217389</v>
      </c>
      <c r="O185" s="39">
        <f>IFERROR(IF(Tabela3[[#This Row],[Qtde Cx Produzida]] &lt;&gt; 0, Tabela3[[#This Row],[Tempo]] / Tabela3[[#This Row],[Qtde Cx Produzida]], 0),0)</f>
        <v>5.4951690821256035E-3</v>
      </c>
      <c r="P185" s="57">
        <f>IFERROR(Tabela3[[#This Row],[Perda Pçs]]/Tabela3[[#This Row],[Qdt Peça Placa]],0)</f>
        <v>6.5</v>
      </c>
      <c r="Q185" s="37">
        <f>IFERROR(Tabela3[[#This Row],[Realizado]]*Tabela3[[#This Row],[Peso Util/Pç]],0)</f>
        <v>35.178000000000004</v>
      </c>
      <c r="R185" s="37">
        <f>IFERROR(Tabela3[[#This Row],[Peso Total Galho]]*Tabela3[[#This Row],[Qtde Cx Produzida]]*1.055,0)</f>
        <v>80.074499999999986</v>
      </c>
      <c r="S185" s="37">
        <f>(Tabela3[[#This Row],[Aluminio Bruto]]-Tabela3[[#This Row],[Aluminio Util]])*0.9</f>
        <v>40.406849999999984</v>
      </c>
      <c r="T185" s="37">
        <f>Tabela3[[#This Row],[Aluminio Bruto]]/OleoKGAluminio</f>
        <v>33.6872386146662</v>
      </c>
      <c r="U185" s="35">
        <f>IFERROR((VLOOKUP(Tabela3[[#This Row],[Moldador]],Tabela1[],5,)+(VLOOKUP(Tabela3[[#This Row],[Ajudante]],Tabela1[],5,))*3.5),0)</f>
        <v>99.95034583333333</v>
      </c>
      <c r="V185" s="35">
        <f>IFERROR(Tabela3[[#This Row],[Custo M.O. / H]]/((Tabela3[[#This Row],[Realizado]]/Tabela3[[#This Row],[Qdt Peça Placa]])/Tabela3[[#This Row],[Tempo]]/24),)</f>
        <v>18.374710042087543</v>
      </c>
      <c r="W185" s="35">
        <f>Tabela3[[#This Row],[Custo / Cx Moldada]]*Tabela3[[#This Row],[Qtde Cx Produzida]]</f>
        <v>422.61833096801348</v>
      </c>
      <c r="X185" s="35">
        <f ca="1">Tabela3[[#This Row],[Aluminio Util]]*Tabela3[[#This Row],[Custo/Kg]]</f>
        <v>548.77680000000009</v>
      </c>
      <c r="Y185" s="35">
        <f>IFERROR(VLOOKUP(Tabela3[[#This Row],[Data]],Tabela461213[],2,1)*(Tabela3[[#This Row],[Qtde Cx Produzida]]*Tabela3[[#This Row],[Qde macho / CX]]*Tabela3[[#This Row],[Peso Macho]]),)</f>
        <v>0</v>
      </c>
      <c r="Z185" s="35">
        <f>IFERROR(Tabela3[[#This Row],[Qtde Oleo]]*(VLOOKUP(Tabela3[[#This Row],[Data]],CompraOleo[],3,TRUE))*1.05,0)</f>
        <v>88.429001363498784</v>
      </c>
      <c r="AA185" s="47">
        <f ca="1">(Tabela3[[#This Row],[Custo Oleo]]+Tabela3[[#This Row],[Custo Aluminio]]+Tabela3[[#This Row],[Custo M.O. Total]]+Tabela3[[#This Row],[Custo Machos]])</f>
        <v>1059.8241323315124</v>
      </c>
      <c r="AB185" s="47">
        <f ca="1">Tabela3[[#This Row],[Custo Total]]*Tabela3[[#This Row],[% Perda]]</f>
        <v>299.51551565890566</v>
      </c>
      <c r="AC185" s="48">
        <f>IFERROR(VLOOKUP(Tabela3[[#This Row],[Produto]],Tabela2[],2,0),0)</f>
        <v>4</v>
      </c>
      <c r="AD185" s="48">
        <f>IFERROR(VLOOKUP(Tabela3[[#This Row],[Produto]],Tabela2[],3,0),0)</f>
        <v>0.53300000000000003</v>
      </c>
      <c r="AE185" s="48">
        <f>IFERROR(VLOOKUP(Tabela3[[#This Row],[Produto]],Tabela2[],4,0),0)</f>
        <v>3.3</v>
      </c>
      <c r="AF185" s="48">
        <f>IFERROR(VLOOKUP(Tabela3[[#This Row],[Produto]],Tabela2[],5,0),0)</f>
        <v>1.0511999999999997</v>
      </c>
      <c r="AG185" s="40">
        <f>IFERROR(VLOOKUP(Tabela3[[#This Row],[Produto]],Tabela2[],6,0),0)</f>
        <v>0</v>
      </c>
      <c r="AH185" s="40">
        <f>IFERROR(VLOOKUP(Tabela3[[#This Row],[Produto]],Tabela2[],7,0),0)</f>
        <v>0</v>
      </c>
      <c r="AI185" s="40">
        <f>IFERROR(VLOOKUP(Tabela3[[#This Row],[Produto]],Tabela2[],8,0),0)</f>
        <v>0</v>
      </c>
      <c r="AJ185" s="35">
        <f ca="1">IFERROR(VLOOKUP(Tabela3[[#This Row],[Produto]],Tabela2[],13,0),0)</f>
        <v>15.600000000000001</v>
      </c>
      <c r="AK185" s="40" t="str">
        <f>IFERROR(VLOOKUP(Tabela3[[#This Row],[Produto]],Tabela2[],14,0),0)</f>
        <v>Senun</v>
      </c>
      <c r="AL185" s="40">
        <f>IFERROR(VLOOKUP(Tabela3[[#This Row],[Produto]],Tabela2[],15,0),0)</f>
        <v>4</v>
      </c>
      <c r="AM185" s="36">
        <f ca="1">(Tabela3[[#This Row],[Custo Usinagem]]+Tabela3[[#This Row],[Custo / Pç]])*1.2</f>
        <v>24.069529678754773</v>
      </c>
      <c r="AN185" s="36">
        <f ca="1">Tabela3[[#This Row],[Valor Mínimo Venda]]*1.15</f>
        <v>27.679959130567987</v>
      </c>
      <c r="AO185" s="36">
        <f ca="1">Tabela3[[#This Row],[Tabela 1]]*1.08</f>
        <v>29.894355861013427</v>
      </c>
      <c r="AP185" s="36">
        <f ca="1">Tabela3[[#This Row],[Tabela 2]]*1.15</f>
        <v>34.378509240165435</v>
      </c>
    </row>
    <row r="186" spans="1:42">
      <c r="A186" s="9">
        <v>45756</v>
      </c>
      <c r="B186" s="6" t="s">
        <v>245</v>
      </c>
      <c r="C186" s="14">
        <v>6238</v>
      </c>
      <c r="D186" s="6" t="s">
        <v>44</v>
      </c>
      <c r="E186" s="6" t="s">
        <v>47</v>
      </c>
      <c r="F186" s="6">
        <v>40</v>
      </c>
      <c r="G186" s="15">
        <v>0.18888888888888888</v>
      </c>
      <c r="H186" s="16">
        <v>0</v>
      </c>
      <c r="I186" s="35">
        <f ca="1">IFERROR(Tabela3[[#This Row],[Custo Total]]/Tabela3[[#This Row],[Aluminio Util]],0)</f>
        <v>26.147720308054158</v>
      </c>
      <c r="J186" s="35">
        <f ca="1">Tabela3[[#This Row],[Custo Total]]/Tabela3[[#This Row],[Realizado]]</f>
        <v>8.6810431422739818</v>
      </c>
      <c r="K186" s="37">
        <f>IFERROR(Tabela3[[#This Row],[Qtde Cx Produzida]]/Tabela3[[#This Row],[Tempo]]/24,0)</f>
        <v>8.8235294117647065</v>
      </c>
      <c r="L186" s="37">
        <f>Tabela3[[#This Row],[Qtde Cx Produzida]]*Tabela3[[#This Row],[Qdt Peça Placa]]</f>
        <v>160</v>
      </c>
      <c r="M186" s="37">
        <f>Tabela3[[#This Row],[Previsto]]-Tabela3[[#This Row],[Perda Pçs]]</f>
        <v>160</v>
      </c>
      <c r="N186" s="38">
        <f>IFERROR(Tabela3[[#This Row],[Perda Pçs]]/Tabela3[[#This Row],[Previsto]],0)</f>
        <v>0</v>
      </c>
      <c r="O186" s="39">
        <f>IFERROR(IF(Tabela3[[#This Row],[Qtde Cx Produzida]] &lt;&gt; 0, Tabela3[[#This Row],[Tempo]] / Tabela3[[#This Row],[Qtde Cx Produzida]], 0),0)</f>
        <v>4.7222222222222223E-3</v>
      </c>
      <c r="P186" s="57">
        <f>IFERROR(Tabela3[[#This Row],[Perda Pçs]]/Tabela3[[#This Row],[Qdt Peça Placa]],0)</f>
        <v>0</v>
      </c>
      <c r="Q186" s="37">
        <f>IFERROR(Tabela3[[#This Row],[Realizado]]*Tabela3[[#This Row],[Peso Util/Pç]],0)</f>
        <v>53.120000000000005</v>
      </c>
      <c r="R186" s="37">
        <f>IFERROR(Tabela3[[#This Row],[Peso Total Galho]]*Tabela3[[#This Row],[Qtde Cx Produzida]]*1.055,0)</f>
        <v>97.059999999999988</v>
      </c>
      <c r="S186" s="37">
        <f>(Tabela3[[#This Row],[Aluminio Bruto]]-Tabela3[[#This Row],[Aluminio Util]])*0.9</f>
        <v>39.545999999999985</v>
      </c>
      <c r="T186" s="37">
        <f>Tabela3[[#This Row],[Aluminio Bruto]]/OleoKGAluminio</f>
        <v>40.833016502625696</v>
      </c>
      <c r="U186" s="35">
        <f>IFERROR((VLOOKUP(Tabela3[[#This Row],[Moldador]],Tabela1[],5,)+(VLOOKUP(Tabela3[[#This Row],[Ajudante]],Tabela1[],5,))*3.5),0)</f>
        <v>99.95034583333333</v>
      </c>
      <c r="V186" s="35">
        <f>IFERROR(Tabela3[[#This Row],[Custo M.O. / H]]/((Tabela3[[#This Row],[Realizado]]/Tabela3[[#This Row],[Qdt Peça Placa]])/Tabela3[[#This Row],[Tempo]]/24),)</f>
        <v>11.327705861111109</v>
      </c>
      <c r="W186" s="35">
        <f>Tabela3[[#This Row],[Custo / Cx Moldada]]*Tabela3[[#This Row],[Qtde Cx Produzida]]</f>
        <v>453.10823444444441</v>
      </c>
      <c r="X186" s="35">
        <f ca="1">Tabela3[[#This Row],[Aluminio Util]]*Tabela3[[#This Row],[Custo/Kg]]</f>
        <v>828.67200000000014</v>
      </c>
      <c r="Y186" s="35">
        <f>IFERROR(VLOOKUP(Tabela3[[#This Row],[Data]],Tabela461213[],2,1)*(Tabela3[[#This Row],[Qtde Cx Produzida]]*Tabela3[[#This Row],[Qde macho / CX]]*Tabela3[[#This Row],[Peso Macho]]),)</f>
        <v>0</v>
      </c>
      <c r="Z186" s="35">
        <f>IFERROR(Tabela3[[#This Row],[Qtde Oleo]]*(VLOOKUP(Tabela3[[#This Row],[Data]],CompraOleo[],3,TRUE))*1.05,0)</f>
        <v>107.18666831939245</v>
      </c>
      <c r="AA186" s="47">
        <f ca="1">(Tabela3[[#This Row],[Custo Oleo]]+Tabela3[[#This Row],[Custo Aluminio]]+Tabela3[[#This Row],[Custo M.O. Total]]+Tabela3[[#This Row],[Custo Machos]])</f>
        <v>1388.966902763837</v>
      </c>
      <c r="AB186" s="47">
        <f ca="1">Tabela3[[#This Row],[Custo Total]]*Tabela3[[#This Row],[% Perda]]</f>
        <v>0</v>
      </c>
      <c r="AC186" s="48">
        <f>IFERROR(VLOOKUP(Tabela3[[#This Row],[Produto]],Tabela2[],2,0),0)</f>
        <v>4</v>
      </c>
      <c r="AD186" s="48">
        <f>IFERROR(VLOOKUP(Tabela3[[#This Row],[Produto]],Tabela2[],3,0),0)</f>
        <v>0.33200000000000002</v>
      </c>
      <c r="AE186" s="48">
        <f>IFERROR(VLOOKUP(Tabela3[[#This Row],[Produto]],Tabela2[],4,0),0)</f>
        <v>2.2999999999999998</v>
      </c>
      <c r="AF186" s="48">
        <f>IFERROR(VLOOKUP(Tabela3[[#This Row],[Produto]],Tabela2[],5,0),0)</f>
        <v>0.8747999999999998</v>
      </c>
      <c r="AG186" s="40">
        <f>IFERROR(VLOOKUP(Tabela3[[#This Row],[Produto]],Tabela2[],6,0),0)</f>
        <v>0</v>
      </c>
      <c r="AH186" s="40">
        <f>IFERROR(VLOOKUP(Tabela3[[#This Row],[Produto]],Tabela2[],7,0),0)</f>
        <v>0</v>
      </c>
      <c r="AI186" s="40">
        <f>IFERROR(VLOOKUP(Tabela3[[#This Row],[Produto]],Tabela2[],8,0),0)</f>
        <v>0</v>
      </c>
      <c r="AJ186" s="35">
        <f ca="1">IFERROR(VLOOKUP(Tabela3[[#This Row],[Produto]],Tabela2[],13,0),0)</f>
        <v>15.600000000000001</v>
      </c>
      <c r="AK186" s="40" t="str">
        <f>IFERROR(VLOOKUP(Tabela3[[#This Row],[Produto]],Tabela2[],14,0),0)</f>
        <v>Senun</v>
      </c>
      <c r="AL186" s="40">
        <f>IFERROR(VLOOKUP(Tabela3[[#This Row],[Produto]],Tabela2[],15,0),0)</f>
        <v>3.5</v>
      </c>
      <c r="AM186" s="36">
        <f ca="1">(Tabela3[[#This Row],[Custo Usinagem]]+Tabela3[[#This Row],[Custo / Pç]])*1.2</f>
        <v>14.617251770728778</v>
      </c>
      <c r="AN186" s="36">
        <f ca="1">Tabela3[[#This Row],[Valor Mínimo Venda]]*1.15</f>
        <v>16.809839536338092</v>
      </c>
      <c r="AO186" s="36">
        <f ca="1">Tabela3[[#This Row],[Tabela 1]]*1.08</f>
        <v>18.154626699245142</v>
      </c>
      <c r="AP186" s="36">
        <f ca="1">Tabela3[[#This Row],[Tabela 2]]*1.15</f>
        <v>20.877820704131913</v>
      </c>
    </row>
    <row r="187" spans="1:42">
      <c r="A187" s="9">
        <v>45756</v>
      </c>
      <c r="B187" s="6" t="s">
        <v>85</v>
      </c>
      <c r="C187" s="14">
        <v>6247</v>
      </c>
      <c r="D187" s="6" t="s">
        <v>44</v>
      </c>
      <c r="E187" s="6" t="s">
        <v>47</v>
      </c>
      <c r="F187" s="6">
        <v>11</v>
      </c>
      <c r="G187" s="15">
        <v>0.10416666666666667</v>
      </c>
      <c r="H187" s="16">
        <v>2</v>
      </c>
      <c r="I187" s="35">
        <f ca="1">IFERROR(Tabela3[[#This Row],[Custo Total]]/Tabela3[[#This Row],[Aluminio Util]],0)</f>
        <v>38.101878338818295</v>
      </c>
      <c r="J187" s="35">
        <f ca="1">Tabela3[[#This Row],[Custo Total]]/Tabela3[[#This Row],[Realizado]]</f>
        <v>68.583381009872923</v>
      </c>
      <c r="K187" s="37">
        <f>IFERROR(Tabela3[[#This Row],[Qtde Cx Produzida]]/Tabela3[[#This Row],[Tempo]]/24,0)</f>
        <v>4.3999999999999995</v>
      </c>
      <c r="L187" s="37">
        <f>Tabela3[[#This Row],[Qtde Cx Produzida]]*Tabela3[[#This Row],[Qdt Peça Placa]]</f>
        <v>11</v>
      </c>
      <c r="M187" s="37">
        <f>Tabela3[[#This Row],[Previsto]]-Tabela3[[#This Row],[Perda Pçs]]</f>
        <v>9</v>
      </c>
      <c r="N187" s="38">
        <f>IFERROR(Tabela3[[#This Row],[Perda Pçs]]/Tabela3[[#This Row],[Previsto]],0)</f>
        <v>0.18181818181818182</v>
      </c>
      <c r="O187" s="39">
        <f>IFERROR(IF(Tabela3[[#This Row],[Qtde Cx Produzida]] &lt;&gt; 0, Tabela3[[#This Row],[Tempo]] / Tabela3[[#This Row],[Qtde Cx Produzida]], 0),0)</f>
        <v>9.46969696969697E-3</v>
      </c>
      <c r="P187" s="57">
        <f>IFERROR(Tabela3[[#This Row],[Perda Pçs]]/Tabela3[[#This Row],[Qdt Peça Placa]],0)</f>
        <v>2</v>
      </c>
      <c r="Q187" s="37">
        <f>IFERROR(Tabela3[[#This Row],[Realizado]]*Tabela3[[#This Row],[Peso Util/Pç]],0)</f>
        <v>16.2</v>
      </c>
      <c r="R187" s="37">
        <f>IFERROR(Tabela3[[#This Row],[Peso Total Galho]]*Tabela3[[#This Row],[Qtde Cx Produzida]]*1.055,0)</f>
        <v>23.209999999999997</v>
      </c>
      <c r="S187" s="37">
        <f>(Tabela3[[#This Row],[Aluminio Bruto]]-Tabela3[[#This Row],[Aluminio Util]])*0.9</f>
        <v>6.3089999999999984</v>
      </c>
      <c r="T187" s="37">
        <f>Tabela3[[#This Row],[Aluminio Bruto]]/OleoKGAluminio</f>
        <v>9.7644169897583204</v>
      </c>
      <c r="U187" s="35">
        <f>IFERROR((VLOOKUP(Tabela3[[#This Row],[Moldador]],Tabela1[],5,)+(VLOOKUP(Tabela3[[#This Row],[Ajudante]],Tabela1[],5,))*3.5),0)</f>
        <v>99.95034583333333</v>
      </c>
      <c r="V187" s="35">
        <f>IFERROR(Tabela3[[#This Row],[Custo M.O. / H]]/((Tabela3[[#This Row],[Realizado]]/Tabela3[[#This Row],[Qdt Peça Placa]])/Tabela3[[#This Row],[Tempo]]/24),)</f>
        <v>27.763984953703705</v>
      </c>
      <c r="W187" s="35">
        <f>Tabela3[[#This Row],[Custo / Cx Moldada]]*Tabela3[[#This Row],[Qtde Cx Produzida]]</f>
        <v>305.40383449074073</v>
      </c>
      <c r="X187" s="35">
        <f ca="1">Tabela3[[#This Row],[Aluminio Util]]*Tabela3[[#This Row],[Custo/Kg]]</f>
        <v>252.72</v>
      </c>
      <c r="Y187" s="35">
        <f>IFERROR(VLOOKUP(Tabela3[[#This Row],[Data]],Tabela461213[],2,1)*(Tabela3[[#This Row],[Qtde Cx Produzida]]*Tabela3[[#This Row],[Qde macho / CX]]*Tabela3[[#This Row],[Peso Macho]]),)</f>
        <v>33.494999999999997</v>
      </c>
      <c r="Z187" s="35">
        <f>IFERROR(Tabela3[[#This Row],[Qtde Oleo]]*(VLOOKUP(Tabela3[[#This Row],[Data]],CompraOleo[],3,TRUE))*1.05,0)</f>
        <v>25.631594598115591</v>
      </c>
      <c r="AA187" s="47">
        <f ca="1">(Tabela3[[#This Row],[Custo Oleo]]+Tabela3[[#This Row],[Custo Aluminio]]+Tabela3[[#This Row],[Custo M.O. Total]]+Tabela3[[#This Row],[Custo Machos]])</f>
        <v>617.25042908885632</v>
      </c>
      <c r="AB187" s="47">
        <f ca="1">Tabela3[[#This Row],[Custo Total]]*Tabela3[[#This Row],[% Perda]]</f>
        <v>112.22735074342843</v>
      </c>
      <c r="AC187" s="48">
        <f>IFERROR(VLOOKUP(Tabela3[[#This Row],[Produto]],Tabela2[],2,0),0)</f>
        <v>1</v>
      </c>
      <c r="AD187" s="48">
        <f>IFERROR(VLOOKUP(Tabela3[[#This Row],[Produto]],Tabela2[],3,0),0)</f>
        <v>1.8</v>
      </c>
      <c r="AE187" s="48">
        <f>IFERROR(VLOOKUP(Tabela3[[#This Row],[Produto]],Tabela2[],4,0),0)</f>
        <v>2</v>
      </c>
      <c r="AF187" s="48">
        <f>IFERROR(VLOOKUP(Tabela3[[#This Row],[Produto]],Tabela2[],5,0),0)</f>
        <v>0.17999999999999997</v>
      </c>
      <c r="AG187" s="40">
        <f>IFERROR(VLOOKUP(Tabela3[[#This Row],[Produto]],Tabela2[],6,0),0)</f>
        <v>0</v>
      </c>
      <c r="AH187" s="40">
        <f>IFERROR(VLOOKUP(Tabela3[[#This Row],[Produto]],Tabela2[],7,0),0)</f>
        <v>1</v>
      </c>
      <c r="AI187" s="40">
        <f>IFERROR(VLOOKUP(Tabela3[[#This Row],[Produto]],Tabela2[],8,0),0)</f>
        <v>2.0299999999999998</v>
      </c>
      <c r="AJ187" s="35">
        <f ca="1">IFERROR(VLOOKUP(Tabela3[[#This Row],[Produto]],Tabela2[],13,0),0)</f>
        <v>15.600000000000001</v>
      </c>
      <c r="AK187" s="40" t="str">
        <f>IFERROR(VLOOKUP(Tabela3[[#This Row],[Produto]],Tabela2[],14,0),0)</f>
        <v>Jumil</v>
      </c>
      <c r="AL187" s="40">
        <f>IFERROR(VLOOKUP(Tabela3[[#This Row],[Produto]],Tabela2[],15,0),0)</f>
        <v>15</v>
      </c>
      <c r="AM187" s="36">
        <f ca="1">(Tabela3[[#This Row],[Custo Usinagem]]+Tabela3[[#This Row],[Custo / Pç]])*1.2</f>
        <v>100.3000572118475</v>
      </c>
      <c r="AN187" s="36">
        <f ca="1">Tabela3[[#This Row],[Valor Mínimo Venda]]*1.15</f>
        <v>115.34506579362461</v>
      </c>
      <c r="AO187" s="36">
        <f ca="1">Tabela3[[#This Row],[Tabela 1]]*1.08</f>
        <v>124.57267105711459</v>
      </c>
      <c r="AP187" s="36">
        <f ca="1">Tabela3[[#This Row],[Tabela 2]]*1.15</f>
        <v>143.25857171568177</v>
      </c>
    </row>
    <row r="188" spans="1:42">
      <c r="A188" s="9">
        <v>45756</v>
      </c>
      <c r="B188" s="6" t="s">
        <v>75</v>
      </c>
      <c r="C188" s="14">
        <v>6173</v>
      </c>
      <c r="D188" s="6" t="s">
        <v>44</v>
      </c>
      <c r="E188" s="6" t="s">
        <v>47</v>
      </c>
      <c r="F188" s="6">
        <v>10</v>
      </c>
      <c r="G188" s="15">
        <v>3.8194444444444448E-2</v>
      </c>
      <c r="H188" s="16">
        <v>0</v>
      </c>
      <c r="I188" s="35">
        <f ca="1">IFERROR(Tabela3[[#This Row],[Custo Total]]/Tabela3[[#This Row],[Aluminio Util]],0)</f>
        <v>0</v>
      </c>
      <c r="J188" s="35">
        <f ca="1">Tabela3[[#This Row],[Custo Total]]/Tabela3[[#This Row],[Realizado]]</f>
        <v>4.5810575173611117</v>
      </c>
      <c r="K188" s="37">
        <f>IFERROR(Tabela3[[#This Row],[Qtde Cx Produzida]]/Tabela3[[#This Row],[Tempo]]/24,0)</f>
        <v>10.909090909090908</v>
      </c>
      <c r="L188" s="37">
        <f>Tabela3[[#This Row],[Qtde Cx Produzida]]*Tabela3[[#This Row],[Qdt Peça Placa]]</f>
        <v>20</v>
      </c>
      <c r="M188" s="37">
        <f>Tabela3[[#This Row],[Previsto]]-Tabela3[[#This Row],[Perda Pçs]]</f>
        <v>20</v>
      </c>
      <c r="N188" s="38">
        <f>IFERROR(Tabela3[[#This Row],[Perda Pçs]]/Tabela3[[#This Row],[Previsto]],0)</f>
        <v>0</v>
      </c>
      <c r="O188" s="39">
        <f>IFERROR(IF(Tabela3[[#This Row],[Qtde Cx Produzida]] &lt;&gt; 0, Tabela3[[#This Row],[Tempo]] / Tabela3[[#This Row],[Qtde Cx Produzida]], 0),0)</f>
        <v>3.8194444444444448E-3</v>
      </c>
      <c r="P188" s="57">
        <f>IFERROR(Tabela3[[#This Row],[Perda Pçs]]/Tabela3[[#This Row],[Qdt Peça Placa]],0)</f>
        <v>0</v>
      </c>
      <c r="Q188" s="37">
        <f>IFERROR(Tabela3[[#This Row],[Realizado]]*Tabela3[[#This Row],[Peso Util/Pç]],0)</f>
        <v>0</v>
      </c>
      <c r="R188" s="37">
        <f>IFERROR(Tabela3[[#This Row],[Peso Total Galho]]*Tabela3[[#This Row],[Qtde Cx Produzida]]*1.055,0)</f>
        <v>0</v>
      </c>
      <c r="S188" s="37">
        <f>(Tabela3[[#This Row],[Aluminio Bruto]]-Tabela3[[#This Row],[Aluminio Util]])*0.9</f>
        <v>0</v>
      </c>
      <c r="T188" s="37">
        <f>Tabela3[[#This Row],[Aluminio Bruto]]/OleoKGAluminio</f>
        <v>0</v>
      </c>
      <c r="U188" s="35">
        <f>IFERROR((VLOOKUP(Tabela3[[#This Row],[Moldador]],Tabela1[],5,)+(VLOOKUP(Tabela3[[#This Row],[Ajudante]],Tabela1[],5,))*3.5),0)</f>
        <v>99.95034583333333</v>
      </c>
      <c r="V188" s="35">
        <f>IFERROR(Tabela3[[#This Row],[Custo M.O. / H]]/((Tabela3[[#This Row],[Realizado]]/Tabela3[[#This Row],[Qdt Peça Placa]])/Tabela3[[#This Row],[Tempo]]/24),)</f>
        <v>9.1621150347222233</v>
      </c>
      <c r="W188" s="35">
        <f>Tabela3[[#This Row],[Custo / Cx Moldada]]*Tabela3[[#This Row],[Qtde Cx Produzida]]</f>
        <v>91.621150347222226</v>
      </c>
      <c r="X188" s="35">
        <f ca="1">Tabela3[[#This Row],[Aluminio Util]]*Tabela3[[#This Row],[Custo/Kg]]</f>
        <v>0</v>
      </c>
      <c r="Y188" s="35">
        <f>IFERROR(VLOOKUP(Tabela3[[#This Row],[Data]],Tabela461213[],2,1)*(Tabela3[[#This Row],[Qtde Cx Produzida]]*Tabela3[[#This Row],[Qde macho / CX]]*Tabela3[[#This Row],[Peso Macho]]),)</f>
        <v>0</v>
      </c>
      <c r="Z188" s="35">
        <f>IFERROR(Tabela3[[#This Row],[Qtde Oleo]]*(VLOOKUP(Tabela3[[#This Row],[Data]],CompraOleo[],3,TRUE))*1.05,0)</f>
        <v>0</v>
      </c>
      <c r="AA188" s="47">
        <f ca="1">(Tabela3[[#This Row],[Custo Oleo]]+Tabela3[[#This Row],[Custo Aluminio]]+Tabela3[[#This Row],[Custo M.O. Total]]+Tabela3[[#This Row],[Custo Machos]])</f>
        <v>91.621150347222226</v>
      </c>
      <c r="AB188" s="47">
        <f ca="1">Tabela3[[#This Row],[Custo Total]]*Tabela3[[#This Row],[% Perda]]</f>
        <v>0</v>
      </c>
      <c r="AC188" s="48">
        <f>IFERROR(VLOOKUP(Tabela3[[#This Row],[Produto]],Tabela2[],2,0),0)</f>
        <v>2</v>
      </c>
      <c r="AD188" s="48">
        <f>IFERROR(VLOOKUP(Tabela3[[#This Row],[Produto]],Tabela2[],3,0),0)</f>
        <v>0</v>
      </c>
      <c r="AE188" s="48">
        <f>IFERROR(VLOOKUP(Tabela3[[#This Row],[Produto]],Tabela2[],4,0),0)</f>
        <v>0</v>
      </c>
      <c r="AF188" s="48">
        <f>IFERROR(VLOOKUP(Tabela3[[#This Row],[Produto]],Tabela2[],5,0),0)</f>
        <v>0</v>
      </c>
      <c r="AG188" s="40">
        <f>IFERROR(VLOOKUP(Tabela3[[#This Row],[Produto]],Tabela2[],6,0),0)</f>
        <v>0</v>
      </c>
      <c r="AH188" s="40">
        <f>IFERROR(VLOOKUP(Tabela3[[#This Row],[Produto]],Tabela2[],7,0),0)</f>
        <v>0</v>
      </c>
      <c r="AI188" s="40">
        <f>IFERROR(VLOOKUP(Tabela3[[#This Row],[Produto]],Tabela2[],8,0),0)</f>
        <v>0</v>
      </c>
      <c r="AJ188" s="35">
        <f ca="1">IFERROR(VLOOKUP(Tabela3[[#This Row],[Produto]],Tabela2[],13,0),0)</f>
        <v>15.600000000000001</v>
      </c>
      <c r="AK188" s="40" t="str">
        <f>IFERROR(VLOOKUP(Tabela3[[#This Row],[Produto]],Tabela2[],14,0),0)</f>
        <v>Jumil</v>
      </c>
      <c r="AL188" s="40">
        <f>IFERROR(VLOOKUP(Tabela3[[#This Row],[Produto]],Tabela2[],15,0),0)</f>
        <v>3</v>
      </c>
      <c r="AM188" s="36">
        <f ca="1">(Tabela3[[#This Row],[Custo Usinagem]]+Tabela3[[#This Row],[Custo / Pç]])*1.2</f>
        <v>9.097269020833334</v>
      </c>
      <c r="AN188" s="36">
        <f ca="1">Tabela3[[#This Row],[Valor Mínimo Venda]]*1.15</f>
        <v>10.461859373958333</v>
      </c>
      <c r="AO188" s="36">
        <f ca="1">Tabela3[[#This Row],[Tabela 1]]*1.08</f>
        <v>11.298808123875</v>
      </c>
      <c r="AP188" s="36">
        <f ca="1">Tabela3[[#This Row],[Tabela 2]]*1.15</f>
        <v>12.993629342456249</v>
      </c>
    </row>
    <row r="189" spans="1:42">
      <c r="A189" s="9">
        <v>45757</v>
      </c>
      <c r="B189" s="6" t="s">
        <v>246</v>
      </c>
      <c r="C189" s="14">
        <v>6242</v>
      </c>
      <c r="D189" s="6" t="s">
        <v>46</v>
      </c>
      <c r="E189" s="6" t="s">
        <v>47</v>
      </c>
      <c r="F189" s="6">
        <v>37</v>
      </c>
      <c r="G189" s="15">
        <v>0.1701388888888889</v>
      </c>
      <c r="H189" s="16">
        <v>0</v>
      </c>
      <c r="I189" s="35">
        <f ca="1">IFERROR(Tabela3[[#This Row],[Custo Total]]/Tabela3[[#This Row],[Aluminio Util]],0)</f>
        <v>22.577155428717941</v>
      </c>
      <c r="J189" s="35">
        <f ca="1">Tabela3[[#This Row],[Custo Total]]/Tabela3[[#This Row],[Realizado]]</f>
        <v>12.033623843506662</v>
      </c>
      <c r="K189" s="37">
        <f>IFERROR(Tabela3[[#This Row],[Qtde Cx Produzida]]/Tabela3[[#This Row],[Tempo]]/24,0)</f>
        <v>9.0612244897959169</v>
      </c>
      <c r="L189" s="37">
        <f>Tabela3[[#This Row],[Qtde Cx Produzida]]*Tabela3[[#This Row],[Qdt Peça Placa]]</f>
        <v>148</v>
      </c>
      <c r="M189" s="37">
        <f>Tabela3[[#This Row],[Previsto]]-Tabela3[[#This Row],[Perda Pçs]]</f>
        <v>148</v>
      </c>
      <c r="N189" s="38">
        <f>IFERROR(Tabela3[[#This Row],[Perda Pçs]]/Tabela3[[#This Row],[Previsto]],0)</f>
        <v>0</v>
      </c>
      <c r="O189" s="39">
        <f>IFERROR(IF(Tabela3[[#This Row],[Qtde Cx Produzida]] &lt;&gt; 0, Tabela3[[#This Row],[Tempo]] / Tabela3[[#This Row],[Qtde Cx Produzida]], 0),0)</f>
        <v>4.5983483483483488E-3</v>
      </c>
      <c r="P189" s="57">
        <f>IFERROR(Tabela3[[#This Row],[Perda Pçs]]/Tabela3[[#This Row],[Qdt Peça Placa]],0)</f>
        <v>0</v>
      </c>
      <c r="Q189" s="37">
        <f>IFERROR(Tabela3[[#This Row],[Realizado]]*Tabela3[[#This Row],[Peso Util/Pç]],0)</f>
        <v>78.884</v>
      </c>
      <c r="R189" s="37">
        <f>IFERROR(Tabela3[[#This Row],[Peso Total Galho]]*Tabela3[[#This Row],[Qtde Cx Produzida]]*1.055,0)</f>
        <v>128.81549999999999</v>
      </c>
      <c r="S189" s="37">
        <f>(Tabela3[[#This Row],[Aluminio Bruto]]-Tabela3[[#This Row],[Aluminio Util]])*0.9</f>
        <v>44.938349999999986</v>
      </c>
      <c r="T189" s="37">
        <f>Tabela3[[#This Row],[Aluminio Bruto]]/OleoKGAluminio</f>
        <v>54.192514293158673</v>
      </c>
      <c r="U189" s="35">
        <f>IFERROR((VLOOKUP(Tabela3[[#This Row],[Moldador]],Tabela1[],5,)+(VLOOKUP(Tabela3[[#This Row],[Ajudante]],Tabela1[],5,))*3.5),0)</f>
        <v>99.95034583333333</v>
      </c>
      <c r="V189" s="35">
        <f>IFERROR(Tabela3[[#This Row],[Custo M.O. / H]]/((Tabela3[[#This Row],[Realizado]]/Tabela3[[#This Row],[Qdt Peça Placa]])/Tabela3[[#This Row],[Tempo]]/24),)</f>
        <v>11.030556184309312</v>
      </c>
      <c r="W189" s="35">
        <f>Tabela3[[#This Row],[Custo / Cx Moldada]]*Tabela3[[#This Row],[Qtde Cx Produzida]]</f>
        <v>408.13057881944451</v>
      </c>
      <c r="X189" s="35">
        <f ca="1">Tabela3[[#This Row],[Aluminio Util]]*Tabela3[[#This Row],[Custo/Kg]]</f>
        <v>1230.5904</v>
      </c>
      <c r="Y189" s="35">
        <f>IFERROR(VLOOKUP(Tabela3[[#This Row],[Data]],Tabela461213[],2,1)*(Tabela3[[#This Row],[Qtde Cx Produzida]]*Tabela3[[#This Row],[Qde macho / CX]]*Tabela3[[#This Row],[Peso Macho]]),)</f>
        <v>0</v>
      </c>
      <c r="Z189" s="35">
        <f>IFERROR(Tabela3[[#This Row],[Qtde Oleo]]*(VLOOKUP(Tabela3[[#This Row],[Data]],CompraOleo[],3,TRUE))*1.05,0)</f>
        <v>142.25535001954151</v>
      </c>
      <c r="AA189" s="47">
        <f ca="1">(Tabela3[[#This Row],[Custo Oleo]]+Tabela3[[#This Row],[Custo Aluminio]]+Tabela3[[#This Row],[Custo M.O. Total]]+Tabela3[[#This Row],[Custo Machos]])</f>
        <v>1780.9763288389861</v>
      </c>
      <c r="AB189" s="47">
        <f ca="1">Tabela3[[#This Row],[Custo Total]]*Tabela3[[#This Row],[% Perda]]</f>
        <v>0</v>
      </c>
      <c r="AC189" s="48">
        <f>IFERROR(VLOOKUP(Tabela3[[#This Row],[Produto]],Tabela2[],2,0),0)</f>
        <v>4</v>
      </c>
      <c r="AD189" s="48">
        <f>IFERROR(VLOOKUP(Tabela3[[#This Row],[Produto]],Tabela2[],3,0),0)</f>
        <v>0.53300000000000003</v>
      </c>
      <c r="AE189" s="48">
        <f>IFERROR(VLOOKUP(Tabela3[[#This Row],[Produto]],Tabela2[],4,0),0)</f>
        <v>3.3</v>
      </c>
      <c r="AF189" s="48">
        <f>IFERROR(VLOOKUP(Tabela3[[#This Row],[Produto]],Tabela2[],5,0),0)</f>
        <v>1.0511999999999997</v>
      </c>
      <c r="AG189" s="40">
        <f>IFERROR(VLOOKUP(Tabela3[[#This Row],[Produto]],Tabela2[],6,0),0)</f>
        <v>0</v>
      </c>
      <c r="AH189" s="40">
        <f>IFERROR(VLOOKUP(Tabela3[[#This Row],[Produto]],Tabela2[],7,0),0)</f>
        <v>0</v>
      </c>
      <c r="AI189" s="40">
        <f>IFERROR(VLOOKUP(Tabela3[[#This Row],[Produto]],Tabela2[],8,0),0)</f>
        <v>0</v>
      </c>
      <c r="AJ189" s="35">
        <f ca="1">IFERROR(VLOOKUP(Tabela3[[#This Row],[Produto]],Tabela2[],13,0),0)</f>
        <v>15.600000000000001</v>
      </c>
      <c r="AK189" s="40" t="str">
        <f>IFERROR(VLOOKUP(Tabela3[[#This Row],[Produto]],Tabela2[],14,0),0)</f>
        <v>Senun</v>
      </c>
      <c r="AL189" s="40">
        <f>IFERROR(VLOOKUP(Tabela3[[#This Row],[Produto]],Tabela2[],15,0),0)</f>
        <v>4</v>
      </c>
      <c r="AM189" s="36">
        <f ca="1">(Tabela3[[#This Row],[Custo Usinagem]]+Tabela3[[#This Row],[Custo / Pç]])*1.2</f>
        <v>19.240348612207992</v>
      </c>
      <c r="AN189" s="36">
        <f ca="1">Tabela3[[#This Row],[Valor Mínimo Venda]]*1.15</f>
        <v>22.12640090403919</v>
      </c>
      <c r="AO189" s="36">
        <f ca="1">Tabela3[[#This Row],[Tabela 1]]*1.08</f>
        <v>23.896512976362327</v>
      </c>
      <c r="AP189" s="36">
        <f ca="1">Tabela3[[#This Row],[Tabela 2]]*1.15</f>
        <v>27.480989922816676</v>
      </c>
    </row>
    <row r="190" spans="1:42">
      <c r="A190" s="9">
        <v>45757</v>
      </c>
      <c r="B190" s="6" t="s">
        <v>221</v>
      </c>
      <c r="C190" s="14">
        <v>6239</v>
      </c>
      <c r="D190" s="6" t="s">
        <v>46</v>
      </c>
      <c r="E190" s="6" t="s">
        <v>47</v>
      </c>
      <c r="F190" s="6">
        <v>40</v>
      </c>
      <c r="G190" s="15">
        <v>0.17499999999999999</v>
      </c>
      <c r="H190" s="16">
        <v>8</v>
      </c>
      <c r="I190" s="35">
        <f ca="1">IFERROR(Tabela3[[#This Row],[Custo Total]]/Tabela3[[#This Row],[Aluminio Util]],0)</f>
        <v>23.264175104233722</v>
      </c>
      <c r="J190" s="35">
        <f ca="1">Tabela3[[#This Row],[Custo Total]]/Tabela3[[#This Row],[Realizado]]</f>
        <v>2.9545502382376827</v>
      </c>
      <c r="K190" s="37">
        <f>IFERROR(Tabela3[[#This Row],[Qtde Cx Produzida]]/Tabela3[[#This Row],[Tempo]]/24,0)</f>
        <v>9.5238095238095237</v>
      </c>
      <c r="L190" s="37">
        <f>Tabela3[[#This Row],[Qtde Cx Produzida]]*Tabela3[[#This Row],[Qdt Peça Placa]]</f>
        <v>720</v>
      </c>
      <c r="M190" s="37">
        <f>Tabela3[[#This Row],[Previsto]]-Tabela3[[#This Row],[Perda Pçs]]</f>
        <v>712</v>
      </c>
      <c r="N190" s="38">
        <f>IFERROR(Tabela3[[#This Row],[Perda Pçs]]/Tabela3[[#This Row],[Previsto]],0)</f>
        <v>1.1111111111111112E-2</v>
      </c>
      <c r="O190" s="39">
        <f>IFERROR(IF(Tabela3[[#This Row],[Qtde Cx Produzida]] &lt;&gt; 0, Tabela3[[#This Row],[Tempo]] / Tabela3[[#This Row],[Qtde Cx Produzida]], 0),0)</f>
        <v>4.3749999999999995E-3</v>
      </c>
      <c r="P190" s="57">
        <f>IFERROR(Tabela3[[#This Row],[Perda Pçs]]/Tabela3[[#This Row],[Qdt Peça Placa]],0)</f>
        <v>0.44444444444444442</v>
      </c>
      <c r="Q190" s="37">
        <f>IFERROR(Tabela3[[#This Row],[Realizado]]*Tabela3[[#This Row],[Peso Util/Pç]],0)</f>
        <v>90.424000000000007</v>
      </c>
      <c r="R190" s="37">
        <f>IFERROR(Tabela3[[#This Row],[Peso Total Galho]]*Tabela3[[#This Row],[Qtde Cx Produzida]]*1.055,0)</f>
        <v>163.73599999999999</v>
      </c>
      <c r="S190" s="37">
        <f>(Tabela3[[#This Row],[Aluminio Bruto]]-Tabela3[[#This Row],[Aluminio Util]])*0.9</f>
        <v>65.980799999999988</v>
      </c>
      <c r="T190" s="37">
        <f>Tabela3[[#This Row],[Aluminio Bruto]]/OleoKGAluminio</f>
        <v>68.883523491385972</v>
      </c>
      <c r="U190" s="35">
        <f>IFERROR((VLOOKUP(Tabela3[[#This Row],[Moldador]],Tabela1[],5,)+(VLOOKUP(Tabela3[[#This Row],[Ajudante]],Tabela1[],5,))*3.5),0)</f>
        <v>99.95034583333333</v>
      </c>
      <c r="V190" s="35">
        <f>IFERROR(Tabela3[[#This Row],[Custo M.O. / H]]/((Tabela3[[#This Row],[Realizado]]/Tabela3[[#This Row],[Qdt Peça Placa]])/Tabela3[[#This Row],[Tempo]]/24),)</f>
        <v>10.61270525983146</v>
      </c>
      <c r="W190" s="35">
        <f>Tabela3[[#This Row],[Custo / Cx Moldada]]*Tabela3[[#This Row],[Qtde Cx Produzida]]</f>
        <v>424.50821039325837</v>
      </c>
      <c r="X190" s="35">
        <f ca="1">Tabela3[[#This Row],[Aluminio Util]]*Tabela3[[#This Row],[Custo/Kg]]</f>
        <v>1498.3123100670839</v>
      </c>
      <c r="Y190" s="35">
        <f>IFERROR(VLOOKUP(Tabela3[[#This Row],[Data]],Tabela461213[],2,1)*(Tabela3[[#This Row],[Qtde Cx Produzida]]*Tabela3[[#This Row],[Qde macho / CX]]*Tabela3[[#This Row],[Peso Macho]]),)</f>
        <v>0</v>
      </c>
      <c r="Z190" s="35">
        <f>IFERROR(Tabela3[[#This Row],[Qtde Oleo]]*(VLOOKUP(Tabela3[[#This Row],[Data]],CompraOleo[],3,TRUE))*1.05,0)</f>
        <v>180.81924916488819</v>
      </c>
      <c r="AA190" s="47">
        <f ca="1">(Tabela3[[#This Row],[Custo Oleo]]+Tabela3[[#This Row],[Custo Aluminio]]+Tabela3[[#This Row],[Custo M.O. Total]]+Tabela3[[#This Row],[Custo Machos]])</f>
        <v>2103.6397696252302</v>
      </c>
      <c r="AB190" s="47">
        <f ca="1">Tabela3[[#This Row],[Custo Total]]*Tabela3[[#This Row],[% Perda]]</f>
        <v>23.373775218058114</v>
      </c>
      <c r="AC190" s="48">
        <f>IFERROR(VLOOKUP(Tabela3[[#This Row],[Produto]],Tabela2[],2,0),0)</f>
        <v>18</v>
      </c>
      <c r="AD190" s="48">
        <f>IFERROR(VLOOKUP(Tabela3[[#This Row],[Produto]],Tabela2[],3,0),0)</f>
        <v>0.127</v>
      </c>
      <c r="AE190" s="48">
        <f>IFERROR(VLOOKUP(Tabela3[[#This Row],[Produto]],Tabela2[],4,0),0)</f>
        <v>3.88</v>
      </c>
      <c r="AF190" s="48">
        <f>IFERROR(VLOOKUP(Tabela3[[#This Row],[Produto]],Tabela2[],5,0),0)</f>
        <v>1.4345999999999999</v>
      </c>
      <c r="AG190" s="40">
        <f>IFERROR(VLOOKUP(Tabela3[[#This Row],[Produto]],Tabela2[],6,0),0)</f>
        <v>0</v>
      </c>
      <c r="AH190" s="40">
        <f>IFERROR(VLOOKUP(Tabela3[[#This Row],[Produto]],Tabela2[],7,0),0)</f>
        <v>0</v>
      </c>
      <c r="AI190" s="40">
        <f>IFERROR(VLOOKUP(Tabela3[[#This Row],[Produto]],Tabela2[],8,0),0)</f>
        <v>0</v>
      </c>
      <c r="AJ190" s="35">
        <f ca="1">IFERROR(VLOOKUP(Tabela3[[#This Row],[Produto]],Tabela2[],13,0),0)</f>
        <v>16.569852141766386</v>
      </c>
      <c r="AK190" s="40" t="str">
        <f>IFERROR(VLOOKUP(Tabela3[[#This Row],[Produto]],Tabela2[],14,0),0)</f>
        <v>Marcelo</v>
      </c>
      <c r="AL190" s="40">
        <f>IFERROR(VLOOKUP(Tabela3[[#This Row],[Produto]],Tabela2[],15,0),0)</f>
        <v>0</v>
      </c>
      <c r="AM190" s="36">
        <f ca="1">(Tabela3[[#This Row],[Custo Usinagem]]+Tabela3[[#This Row],[Custo / Pç]])*1.2</f>
        <v>3.5454602858852193</v>
      </c>
      <c r="AN190" s="36">
        <f ca="1">Tabela3[[#This Row],[Valor Mínimo Venda]]*1.15</f>
        <v>4.077279328768002</v>
      </c>
      <c r="AO190" s="36">
        <f ca="1">Tabela3[[#This Row],[Tabela 1]]*1.08</f>
        <v>4.4034616750694422</v>
      </c>
      <c r="AP190" s="36">
        <f ca="1">Tabela3[[#This Row],[Tabela 2]]*1.15</f>
        <v>5.0639809263298581</v>
      </c>
    </row>
    <row r="191" spans="1:42">
      <c r="A191" s="9">
        <v>45757</v>
      </c>
      <c r="B191" s="6" t="s">
        <v>85</v>
      </c>
      <c r="C191" s="14">
        <v>6247</v>
      </c>
      <c r="D191" s="6" t="s">
        <v>44</v>
      </c>
      <c r="E191" s="6" t="s">
        <v>47</v>
      </c>
      <c r="F191" s="6">
        <v>15</v>
      </c>
      <c r="G191" s="15">
        <v>0.12569444444444444</v>
      </c>
      <c r="H191" s="16">
        <v>0</v>
      </c>
      <c r="I191" s="35">
        <f ca="1">IFERROR(Tabela3[[#This Row],[Custo Total]]/Tabela3[[#This Row],[Aluminio Util]],0)</f>
        <v>29.75348337219252</v>
      </c>
      <c r="J191" s="35">
        <f ca="1">Tabela3[[#This Row],[Custo Total]]/Tabela3[[#This Row],[Realizado]]</f>
        <v>53.556270069946535</v>
      </c>
      <c r="K191" s="37">
        <f>IFERROR(Tabela3[[#This Row],[Qtde Cx Produzida]]/Tabela3[[#This Row],[Tempo]]/24,0)</f>
        <v>4.972375690607735</v>
      </c>
      <c r="L191" s="37">
        <f>Tabela3[[#This Row],[Qtde Cx Produzida]]*Tabela3[[#This Row],[Qdt Peça Placa]]</f>
        <v>15</v>
      </c>
      <c r="M191" s="37">
        <f>Tabela3[[#This Row],[Previsto]]-Tabela3[[#This Row],[Perda Pçs]]</f>
        <v>15</v>
      </c>
      <c r="N191" s="38">
        <f>IFERROR(Tabela3[[#This Row],[Perda Pçs]]/Tabela3[[#This Row],[Previsto]],0)</f>
        <v>0</v>
      </c>
      <c r="O191" s="39">
        <f>IFERROR(IF(Tabela3[[#This Row],[Qtde Cx Produzida]] &lt;&gt; 0, Tabela3[[#This Row],[Tempo]] / Tabela3[[#This Row],[Qtde Cx Produzida]], 0),0)</f>
        <v>8.3796296296296292E-3</v>
      </c>
      <c r="P191" s="57">
        <f>IFERROR(Tabela3[[#This Row],[Perda Pçs]]/Tabela3[[#This Row],[Qdt Peça Placa]],0)</f>
        <v>0</v>
      </c>
      <c r="Q191" s="37">
        <f>IFERROR(Tabela3[[#This Row],[Realizado]]*Tabela3[[#This Row],[Peso Util/Pç]],0)</f>
        <v>27</v>
      </c>
      <c r="R191" s="37">
        <f>IFERROR(Tabela3[[#This Row],[Peso Total Galho]]*Tabela3[[#This Row],[Qtde Cx Produzida]]*1.055,0)</f>
        <v>31.65</v>
      </c>
      <c r="S191" s="37">
        <f>(Tabela3[[#This Row],[Aluminio Bruto]]-Tabela3[[#This Row],[Aluminio Util]])*0.9</f>
        <v>4.1849999999999987</v>
      </c>
      <c r="T191" s="37">
        <f>Tabela3[[#This Row],[Aluminio Bruto]]/OleoKGAluminio</f>
        <v>13.315114076943164</v>
      </c>
      <c r="U191" s="35">
        <f>IFERROR((VLOOKUP(Tabela3[[#This Row],[Moldador]],Tabela1[],5,)+(VLOOKUP(Tabela3[[#This Row],[Ajudante]],Tabela1[],5,))*3.5),0)</f>
        <v>99.95034583333333</v>
      </c>
      <c r="V191" s="35">
        <f>IFERROR(Tabela3[[#This Row],[Custo M.O. / H]]/((Tabela3[[#This Row],[Realizado]]/Tabela3[[#This Row],[Qdt Peça Placa]])/Tabela3[[#This Row],[Tempo]]/24),)</f>
        <v>20.101125106481479</v>
      </c>
      <c r="W191" s="35">
        <f>Tabela3[[#This Row],[Custo / Cx Moldada]]*Tabela3[[#This Row],[Qtde Cx Produzida]]</f>
        <v>301.51687659722216</v>
      </c>
      <c r="X191" s="35">
        <f ca="1">Tabela3[[#This Row],[Aluminio Util]]*Tabela3[[#This Row],[Custo/Kg]]</f>
        <v>421.20000000000005</v>
      </c>
      <c r="Y191" s="35">
        <f>IFERROR(VLOOKUP(Tabela3[[#This Row],[Data]],Tabela461213[],2,1)*(Tabela3[[#This Row],[Qtde Cx Produzida]]*Tabela3[[#This Row],[Qde macho / CX]]*Tabela3[[#This Row],[Peso Macho]]),)</f>
        <v>45.674999999999997</v>
      </c>
      <c r="Z191" s="35">
        <f>IFERROR(Tabela3[[#This Row],[Qtde Oleo]]*(VLOOKUP(Tabela3[[#This Row],[Data]],CompraOleo[],3,TRUE))*1.05,0)</f>
        <v>34.952174451975807</v>
      </c>
      <c r="AA191" s="47">
        <f ca="1">(Tabela3[[#This Row],[Custo Oleo]]+Tabela3[[#This Row],[Custo Aluminio]]+Tabela3[[#This Row],[Custo M.O. Total]]+Tabela3[[#This Row],[Custo Machos]])</f>
        <v>803.34405104919801</v>
      </c>
      <c r="AB191" s="47">
        <f ca="1">Tabela3[[#This Row],[Custo Total]]*Tabela3[[#This Row],[% Perda]]</f>
        <v>0</v>
      </c>
      <c r="AC191" s="48">
        <f>IFERROR(VLOOKUP(Tabela3[[#This Row],[Produto]],Tabela2[],2,0),0)</f>
        <v>1</v>
      </c>
      <c r="AD191" s="48">
        <f>IFERROR(VLOOKUP(Tabela3[[#This Row],[Produto]],Tabela2[],3,0),0)</f>
        <v>1.8</v>
      </c>
      <c r="AE191" s="48">
        <f>IFERROR(VLOOKUP(Tabela3[[#This Row],[Produto]],Tabela2[],4,0),0)</f>
        <v>2</v>
      </c>
      <c r="AF191" s="48">
        <f>IFERROR(VLOOKUP(Tabela3[[#This Row],[Produto]],Tabela2[],5,0),0)</f>
        <v>0.17999999999999997</v>
      </c>
      <c r="AG191" s="40">
        <f>IFERROR(VLOOKUP(Tabela3[[#This Row],[Produto]],Tabela2[],6,0),0)</f>
        <v>0</v>
      </c>
      <c r="AH191" s="40">
        <f>IFERROR(VLOOKUP(Tabela3[[#This Row],[Produto]],Tabela2[],7,0),0)</f>
        <v>1</v>
      </c>
      <c r="AI191" s="40">
        <f>IFERROR(VLOOKUP(Tabela3[[#This Row],[Produto]],Tabela2[],8,0),0)</f>
        <v>2.0299999999999998</v>
      </c>
      <c r="AJ191" s="35">
        <f ca="1">IFERROR(VLOOKUP(Tabela3[[#This Row],[Produto]],Tabela2[],13,0),0)</f>
        <v>15.600000000000001</v>
      </c>
      <c r="AK191" s="40" t="str">
        <f>IFERROR(VLOOKUP(Tabela3[[#This Row],[Produto]],Tabela2[],14,0),0)</f>
        <v>Jumil</v>
      </c>
      <c r="AL191" s="40">
        <f>IFERROR(VLOOKUP(Tabela3[[#This Row],[Produto]],Tabela2[],15,0),0)</f>
        <v>15</v>
      </c>
      <c r="AM191" s="36">
        <f ca="1">(Tabela3[[#This Row],[Custo Usinagem]]+Tabela3[[#This Row],[Custo / Pç]])*1.2</f>
        <v>82.267524083935839</v>
      </c>
      <c r="AN191" s="36">
        <f ca="1">Tabela3[[#This Row],[Valor Mínimo Venda]]*1.15</f>
        <v>94.607652696526202</v>
      </c>
      <c r="AO191" s="36">
        <f ca="1">Tabela3[[#This Row],[Tabela 1]]*1.08</f>
        <v>102.1762649122483</v>
      </c>
      <c r="AP191" s="36">
        <f ca="1">Tabela3[[#This Row],[Tabela 2]]*1.15</f>
        <v>117.50270464908553</v>
      </c>
    </row>
    <row r="192" spans="1:42">
      <c r="A192" s="9">
        <v>45757</v>
      </c>
      <c r="B192" s="6" t="s">
        <v>252</v>
      </c>
      <c r="C192" s="14">
        <v>6066</v>
      </c>
      <c r="D192" s="6" t="s">
        <v>44</v>
      </c>
      <c r="E192" s="6" t="s">
        <v>47</v>
      </c>
      <c r="F192" s="6">
        <v>35</v>
      </c>
      <c r="G192" s="15">
        <v>0.16250000000000001</v>
      </c>
      <c r="H192" s="16">
        <v>0</v>
      </c>
      <c r="I192" s="35">
        <f ca="1">IFERROR(Tabela3[[#This Row],[Custo Total]]/Tabela3[[#This Row],[Aluminio Util]],0)</f>
        <v>28.004402182732061</v>
      </c>
      <c r="J192" s="35">
        <f ca="1">Tabela3[[#This Row],[Custo Total]]/Tabela3[[#This Row],[Realizado]]</f>
        <v>36.405722837551679</v>
      </c>
      <c r="K192" s="37">
        <f>IFERROR(Tabela3[[#This Row],[Qtde Cx Produzida]]/Tabela3[[#This Row],[Tempo]]/24,0)</f>
        <v>8.9743589743589745</v>
      </c>
      <c r="L192" s="37">
        <f>Tabela3[[#This Row],[Qtde Cx Produzida]]*Tabela3[[#This Row],[Qdt Peça Placa]]</f>
        <v>35</v>
      </c>
      <c r="M192" s="37">
        <f>Tabela3[[#This Row],[Previsto]]-Tabela3[[#This Row],[Perda Pçs]]</f>
        <v>35</v>
      </c>
      <c r="N192" s="38">
        <f>IFERROR(Tabela3[[#This Row],[Perda Pçs]]/Tabela3[[#This Row],[Previsto]],0)</f>
        <v>0</v>
      </c>
      <c r="O192" s="39">
        <f>IFERROR(IF(Tabela3[[#This Row],[Qtde Cx Produzida]] &lt;&gt; 0, Tabela3[[#This Row],[Tempo]] / Tabela3[[#This Row],[Qtde Cx Produzida]], 0),0)</f>
        <v>4.642857142857143E-3</v>
      </c>
      <c r="P192" s="57">
        <f>IFERROR(Tabela3[[#This Row],[Perda Pçs]]/Tabela3[[#This Row],[Qdt Peça Placa]],0)</f>
        <v>0</v>
      </c>
      <c r="Q192" s="37">
        <f>IFERROR(Tabela3[[#This Row],[Realizado]]*Tabela3[[#This Row],[Peso Util/Pç]],0)</f>
        <v>45.5</v>
      </c>
      <c r="R192" s="37">
        <f>IFERROR(Tabela3[[#This Row],[Peso Total Galho]]*Tabela3[[#This Row],[Qtde Cx Produzida]]*1.055,0)</f>
        <v>75.696249999999992</v>
      </c>
      <c r="S192" s="37">
        <f>(Tabela3[[#This Row],[Aluminio Bruto]]-Tabela3[[#This Row],[Aluminio Util]])*0.9</f>
        <v>27.176624999999994</v>
      </c>
      <c r="T192" s="37">
        <f>Tabela3[[#This Row],[Aluminio Bruto]]/OleoKGAluminio</f>
        <v>31.845314500689064</v>
      </c>
      <c r="U192" s="35">
        <f>IFERROR((VLOOKUP(Tabela3[[#This Row],[Moldador]],Tabela1[],5,)+(VLOOKUP(Tabela3[[#This Row],[Ajudante]],Tabela1[],5,))*3.5),0)</f>
        <v>99.95034583333333</v>
      </c>
      <c r="V192" s="35">
        <f>IFERROR(Tabela3[[#This Row],[Custo M.O. / H]]/((Tabela3[[#This Row],[Realizado]]/Tabela3[[#This Row],[Qdt Peça Placa]])/Tabela3[[#This Row],[Tempo]]/24),)</f>
        <v>11.137324249999999</v>
      </c>
      <c r="W192" s="35">
        <f>Tabela3[[#This Row],[Custo / Cx Moldada]]*Tabela3[[#This Row],[Qtde Cx Produzida]]</f>
        <v>389.80634874999998</v>
      </c>
      <c r="X192" s="35">
        <f ca="1">Tabela3[[#This Row],[Aluminio Util]]*Tabela3[[#This Row],[Custo/Kg]]</f>
        <v>800.80000000000007</v>
      </c>
      <c r="Y192" s="35">
        <f>IFERROR(VLOOKUP(Tabela3[[#This Row],[Data]],Tabela461213[],2,1)*(Tabela3[[#This Row],[Qtde Cx Produzida]]*Tabela3[[#This Row],[Qde macho / CX]]*Tabela3[[#This Row],[Peso Macho]]),)</f>
        <v>0</v>
      </c>
      <c r="Z192" s="35">
        <f>IFERROR(Tabela3[[#This Row],[Qtde Oleo]]*(VLOOKUP(Tabela3[[#This Row],[Data]],CompraOleo[],3,TRUE))*1.05,0)</f>
        <v>83.593950564308798</v>
      </c>
      <c r="AA192" s="47">
        <f ca="1">(Tabela3[[#This Row],[Custo Oleo]]+Tabela3[[#This Row],[Custo Aluminio]]+Tabela3[[#This Row],[Custo M.O. Total]]+Tabela3[[#This Row],[Custo Machos]])</f>
        <v>1274.2002993143087</v>
      </c>
      <c r="AB192" s="47">
        <f ca="1">Tabela3[[#This Row],[Custo Total]]*Tabela3[[#This Row],[% Perda]]</f>
        <v>0</v>
      </c>
      <c r="AC192" s="48">
        <f>IFERROR(VLOOKUP(Tabela3[[#This Row],[Produto]],Tabela2[],2,0),0)</f>
        <v>1</v>
      </c>
      <c r="AD192" s="48">
        <f>IFERROR(VLOOKUP(Tabela3[[#This Row],[Produto]],Tabela2[],3,0),0)</f>
        <v>1.3</v>
      </c>
      <c r="AE192" s="48">
        <f>IFERROR(VLOOKUP(Tabela3[[#This Row],[Produto]],Tabela2[],4,0),0)</f>
        <v>2.0499999999999998</v>
      </c>
      <c r="AF192" s="48">
        <f>IFERROR(VLOOKUP(Tabela3[[#This Row],[Produto]],Tabela2[],5,0),0)</f>
        <v>0.67499999999999982</v>
      </c>
      <c r="AG192" s="40">
        <f>IFERROR(VLOOKUP(Tabela3[[#This Row],[Produto]],Tabela2[],6,0),0)</f>
        <v>0</v>
      </c>
      <c r="AH192" s="40">
        <f>IFERROR(VLOOKUP(Tabela3[[#This Row],[Produto]],Tabela2[],7,0),0)</f>
        <v>0</v>
      </c>
      <c r="AI192" s="40">
        <f>IFERROR(VLOOKUP(Tabela3[[#This Row],[Produto]],Tabela2[],8,0),0)</f>
        <v>0</v>
      </c>
      <c r="AJ192" s="35">
        <f ca="1">IFERROR(VLOOKUP(Tabela3[[#This Row],[Produto]],Tabela2[],13,0),0)</f>
        <v>17.600000000000001</v>
      </c>
      <c r="AK192" s="40" t="str">
        <f>IFERROR(VLOOKUP(Tabela3[[#This Row],[Produto]],Tabela2[],14,0),0)</f>
        <v>Protec</v>
      </c>
      <c r="AL192" s="40">
        <f>IFERROR(VLOOKUP(Tabela3[[#This Row],[Produto]],Tabela2[],15,0),0)</f>
        <v>0</v>
      </c>
      <c r="AM192" s="36">
        <f ca="1">(Tabela3[[#This Row],[Custo Usinagem]]+Tabela3[[#This Row],[Custo / Pç]])*1.2</f>
        <v>43.68686740506201</v>
      </c>
      <c r="AN192" s="36">
        <f ca="1">Tabela3[[#This Row],[Valor Mínimo Venda]]*1.15</f>
        <v>50.239897515821305</v>
      </c>
      <c r="AO192" s="36">
        <f ca="1">Tabela3[[#This Row],[Tabela 1]]*1.08</f>
        <v>54.25908931708701</v>
      </c>
      <c r="AP192" s="36">
        <f ca="1">Tabela3[[#This Row],[Tabela 2]]*1.15</f>
        <v>62.39795271465006</v>
      </c>
    </row>
    <row r="193" spans="1:42">
      <c r="A193" s="9">
        <v>45757</v>
      </c>
      <c r="B193" s="6" t="s">
        <v>241</v>
      </c>
      <c r="C193" s="14">
        <v>6562</v>
      </c>
      <c r="D193" s="6" t="s">
        <v>44</v>
      </c>
      <c r="E193" s="6" t="s">
        <v>47</v>
      </c>
      <c r="F193" s="6">
        <v>7</v>
      </c>
      <c r="G193" s="15">
        <v>4.4444444444444446E-2</v>
      </c>
      <c r="H193" s="16">
        <v>0</v>
      </c>
      <c r="I193" s="35">
        <f ca="1">IFERROR(Tabela3[[#This Row],[Custo Total]]/Tabela3[[#This Row],[Aluminio Util]],0)</f>
        <v>23.878382620075605</v>
      </c>
      <c r="J193" s="35">
        <f ca="1">Tabela3[[#This Row],[Custo Total]]/Tabela3[[#This Row],[Realizado]]</f>
        <v>14.637448546106347</v>
      </c>
      <c r="K193" s="37">
        <f>IFERROR(Tabela3[[#This Row],[Qtde Cx Produzida]]/Tabela3[[#This Row],[Tempo]]/24,0)</f>
        <v>6.5625</v>
      </c>
      <c r="L193" s="37">
        <f>Tabela3[[#This Row],[Qtde Cx Produzida]]*Tabela3[[#This Row],[Qdt Peça Placa]]</f>
        <v>28</v>
      </c>
      <c r="M193" s="37">
        <f>Tabela3[[#This Row],[Previsto]]-Tabela3[[#This Row],[Perda Pçs]]</f>
        <v>28</v>
      </c>
      <c r="N193" s="38">
        <f>IFERROR(Tabela3[[#This Row],[Perda Pçs]]/Tabela3[[#This Row],[Previsto]],0)</f>
        <v>0</v>
      </c>
      <c r="O193" s="39">
        <f>IFERROR(IF(Tabela3[[#This Row],[Qtde Cx Produzida]] &lt;&gt; 0, Tabela3[[#This Row],[Tempo]] / Tabela3[[#This Row],[Qtde Cx Produzida]], 0),0)</f>
        <v>6.3492063492063492E-3</v>
      </c>
      <c r="P193" s="57">
        <f>IFERROR(Tabela3[[#This Row],[Perda Pçs]]/Tabela3[[#This Row],[Qdt Peça Placa]],0)</f>
        <v>0</v>
      </c>
      <c r="Q193" s="37">
        <f>IFERROR(Tabela3[[#This Row],[Realizado]]*Tabela3[[#This Row],[Peso Util/Pç]],0)</f>
        <v>17.164000000000001</v>
      </c>
      <c r="R193" s="37">
        <f>IFERROR(Tabela3[[#This Row],[Peso Total Galho]]*Tabela3[[#This Row],[Qtde Cx Produzida]]*1.055,0)</f>
        <v>32.124749999999992</v>
      </c>
      <c r="S193" s="37">
        <f>(Tabela3[[#This Row],[Aluminio Bruto]]-Tabela3[[#This Row],[Aluminio Util]])*0.9</f>
        <v>13.464674999999991</v>
      </c>
      <c r="T193" s="37">
        <f>Tabela3[[#This Row],[Aluminio Bruto]]/OleoKGAluminio</f>
        <v>13.514840788097308</v>
      </c>
      <c r="U193" s="35">
        <f>IFERROR((VLOOKUP(Tabela3[[#This Row],[Moldador]],Tabela1[],5,)+(VLOOKUP(Tabela3[[#This Row],[Ajudante]],Tabela1[],5,))*3.5),0)</f>
        <v>99.95034583333333</v>
      </c>
      <c r="V193" s="35">
        <f>IFERROR(Tabela3[[#This Row],[Custo M.O. / H]]/((Tabela3[[#This Row],[Realizado]]/Tabela3[[#This Row],[Qdt Peça Placa]])/Tabela3[[#This Row],[Tempo]]/24),)</f>
        <v>15.230528888888889</v>
      </c>
      <c r="W193" s="35">
        <f>Tabela3[[#This Row],[Custo / Cx Moldada]]*Tabela3[[#This Row],[Qtde Cx Produzida]]</f>
        <v>106.61370222222223</v>
      </c>
      <c r="X193" s="35">
        <f ca="1">Tabela3[[#This Row],[Aluminio Util]]*Tabela3[[#This Row],[Custo/Kg]]</f>
        <v>267.75840000000005</v>
      </c>
      <c r="Y193" s="35">
        <f>IFERROR(VLOOKUP(Tabela3[[#This Row],[Data]],Tabela461213[],2,1)*(Tabela3[[#This Row],[Qtde Cx Produzida]]*Tabela3[[#This Row],[Qde macho / CX]]*Tabela3[[#This Row],[Peso Macho]]),)</f>
        <v>0</v>
      </c>
      <c r="Z193" s="35">
        <f>IFERROR(Tabela3[[#This Row],[Qtde Oleo]]*(VLOOKUP(Tabela3[[#This Row],[Data]],CompraOleo[],3,TRUE))*1.05,0)</f>
        <v>35.476457068755437</v>
      </c>
      <c r="AA193" s="47">
        <f ca="1">(Tabela3[[#This Row],[Custo Oleo]]+Tabela3[[#This Row],[Custo Aluminio]]+Tabela3[[#This Row],[Custo M.O. Total]]+Tabela3[[#This Row],[Custo Machos]])</f>
        <v>409.84855929097773</v>
      </c>
      <c r="AB193" s="47">
        <f ca="1">Tabela3[[#This Row],[Custo Total]]*Tabela3[[#This Row],[% Perda]]</f>
        <v>0</v>
      </c>
      <c r="AC193" s="48">
        <f>IFERROR(VLOOKUP(Tabela3[[#This Row],[Produto]],Tabela2[],2,0),0)</f>
        <v>4</v>
      </c>
      <c r="AD193" s="48">
        <f>IFERROR(VLOOKUP(Tabela3[[#This Row],[Produto]],Tabela2[],3,0),0)</f>
        <v>0.61299999999999999</v>
      </c>
      <c r="AE193" s="48">
        <f>IFERROR(VLOOKUP(Tabela3[[#This Row],[Produto]],Tabela2[],4,0),0)</f>
        <v>4.3499999999999996</v>
      </c>
      <c r="AF193" s="48">
        <f>IFERROR(VLOOKUP(Tabela3[[#This Row],[Produto]],Tabela2[],5,0),0)</f>
        <v>1.7081999999999997</v>
      </c>
      <c r="AG193" s="40">
        <f>IFERROR(VLOOKUP(Tabela3[[#This Row],[Produto]],Tabela2[],6,0),0)</f>
        <v>0</v>
      </c>
      <c r="AH193" s="40">
        <f>IFERROR(VLOOKUP(Tabela3[[#This Row],[Produto]],Tabela2[],7,0),0)</f>
        <v>0</v>
      </c>
      <c r="AI193" s="40">
        <f>IFERROR(VLOOKUP(Tabela3[[#This Row],[Produto]],Tabela2[],8,0),0)</f>
        <v>0</v>
      </c>
      <c r="AJ193" s="35">
        <f ca="1">IFERROR(VLOOKUP(Tabela3[[#This Row],[Produto]],Tabela2[],13,0),0)</f>
        <v>15.600000000000001</v>
      </c>
      <c r="AK193" s="40" t="str">
        <f>IFERROR(VLOOKUP(Tabela3[[#This Row],[Produto]],Tabela2[],14,0),0)</f>
        <v>Senun</v>
      </c>
      <c r="AL193" s="40">
        <f>IFERROR(VLOOKUP(Tabela3[[#This Row],[Produto]],Tabela2[],15,0),0)</f>
        <v>4</v>
      </c>
      <c r="AM193" s="36">
        <f ca="1">(Tabela3[[#This Row],[Custo Usinagem]]+Tabela3[[#This Row],[Custo / Pç]])*1.2</f>
        <v>22.364938255327619</v>
      </c>
      <c r="AN193" s="36">
        <f ca="1">Tabela3[[#This Row],[Valor Mínimo Venda]]*1.15</f>
        <v>25.719678993626761</v>
      </c>
      <c r="AO193" s="36">
        <f ca="1">Tabela3[[#This Row],[Tabela 1]]*1.08</f>
        <v>27.777253313116905</v>
      </c>
      <c r="AP193" s="36">
        <f ca="1">Tabela3[[#This Row],[Tabela 2]]*1.15</f>
        <v>31.943841310084437</v>
      </c>
    </row>
    <row r="194" spans="1:42">
      <c r="A194" s="9">
        <v>45758</v>
      </c>
      <c r="B194" s="6" t="s">
        <v>241</v>
      </c>
      <c r="C194" s="14">
        <v>6252</v>
      </c>
      <c r="D194" s="6" t="s">
        <v>44</v>
      </c>
      <c r="E194" s="6" t="s">
        <v>47</v>
      </c>
      <c r="F194" s="6">
        <v>12</v>
      </c>
      <c r="G194" s="15">
        <v>7.4999999999999997E-2</v>
      </c>
      <c r="H194" s="16">
        <v>0</v>
      </c>
      <c r="I194" s="35">
        <f ca="1">IFERROR(Tabela3[[#This Row],[Custo Total]]/Tabela3[[#This Row],[Aluminio Util]],0)</f>
        <v>23.781328372975732</v>
      </c>
      <c r="J194" s="35">
        <f ca="1">Tabela3[[#This Row],[Custo Total]]/Tabela3[[#This Row],[Realizado]]</f>
        <v>14.577954292634123</v>
      </c>
      <c r="K194" s="37">
        <f>IFERROR(Tabela3[[#This Row],[Qtde Cx Produzida]]/Tabela3[[#This Row],[Tempo]]/24,0)</f>
        <v>6.666666666666667</v>
      </c>
      <c r="L194" s="37">
        <f>Tabela3[[#This Row],[Qtde Cx Produzida]]*Tabela3[[#This Row],[Qdt Peça Placa]]</f>
        <v>48</v>
      </c>
      <c r="M194" s="37">
        <f>Tabela3[[#This Row],[Previsto]]-Tabela3[[#This Row],[Perda Pçs]]</f>
        <v>48</v>
      </c>
      <c r="N194" s="38">
        <f>IFERROR(Tabela3[[#This Row],[Perda Pçs]]/Tabela3[[#This Row],[Previsto]],0)</f>
        <v>0</v>
      </c>
      <c r="O194" s="39">
        <f>IFERROR(IF(Tabela3[[#This Row],[Qtde Cx Produzida]] &lt;&gt; 0, Tabela3[[#This Row],[Tempo]] / Tabela3[[#This Row],[Qtde Cx Produzida]], 0),0)</f>
        <v>6.2499999999999995E-3</v>
      </c>
      <c r="P194" s="57">
        <f>IFERROR(Tabela3[[#This Row],[Perda Pçs]]/Tabela3[[#This Row],[Qdt Peça Placa]],0)</f>
        <v>0</v>
      </c>
      <c r="Q194" s="37">
        <f>IFERROR(Tabela3[[#This Row],[Realizado]]*Tabela3[[#This Row],[Peso Util/Pç]],0)</f>
        <v>29.423999999999999</v>
      </c>
      <c r="R194" s="37">
        <f>IFERROR(Tabela3[[#This Row],[Peso Total Galho]]*Tabela3[[#This Row],[Qtde Cx Produzida]]*1.055,0)</f>
        <v>55.070999999999991</v>
      </c>
      <c r="S194" s="37">
        <f>(Tabela3[[#This Row],[Aluminio Bruto]]-Tabela3[[#This Row],[Aluminio Util]])*0.9</f>
        <v>23.082299999999993</v>
      </c>
      <c r="T194" s="37">
        <f>Tabela3[[#This Row],[Aluminio Bruto]]/OleoKGAluminio</f>
        <v>23.168298493881103</v>
      </c>
      <c r="U194" s="35">
        <f>IFERROR((VLOOKUP(Tabela3[[#This Row],[Moldador]],Tabela1[],5,)+(VLOOKUP(Tabela3[[#This Row],[Ajudante]],Tabela1[],5,))*3.5),0)</f>
        <v>99.95034583333333</v>
      </c>
      <c r="V194" s="35">
        <f>IFERROR(Tabela3[[#This Row],[Custo M.O. / H]]/((Tabela3[[#This Row],[Realizado]]/Tabela3[[#This Row],[Qdt Peça Placa]])/Tabela3[[#This Row],[Tempo]]/24),)</f>
        <v>14.992551874999998</v>
      </c>
      <c r="W194" s="35">
        <f>Tabela3[[#This Row],[Custo / Cx Moldada]]*Tabela3[[#This Row],[Qtde Cx Produzida]]</f>
        <v>179.91062249999999</v>
      </c>
      <c r="X194" s="35">
        <f ca="1">Tabela3[[#This Row],[Aluminio Util]]*Tabela3[[#This Row],[Custo/Kg]]</f>
        <v>459.01440000000002</v>
      </c>
      <c r="Y194" s="35">
        <f>IFERROR(VLOOKUP(Tabela3[[#This Row],[Data]],Tabela461213[],2,1)*(Tabela3[[#This Row],[Qtde Cx Produzida]]*Tabela3[[#This Row],[Qde macho / CX]]*Tabela3[[#This Row],[Peso Macho]]),)</f>
        <v>0</v>
      </c>
      <c r="Z194" s="35">
        <f>IFERROR(Tabela3[[#This Row],[Qtde Oleo]]*(VLOOKUP(Tabela3[[#This Row],[Data]],CompraOleo[],3,TRUE))*1.05,0)</f>
        <v>60.816783546437904</v>
      </c>
      <c r="AA194" s="47">
        <f ca="1">(Tabela3[[#This Row],[Custo Oleo]]+Tabela3[[#This Row],[Custo Aluminio]]+Tabela3[[#This Row],[Custo M.O. Total]]+Tabela3[[#This Row],[Custo Machos]])</f>
        <v>699.74180604643789</v>
      </c>
      <c r="AB194" s="47">
        <f ca="1">Tabela3[[#This Row],[Custo Total]]*Tabela3[[#This Row],[% Perda]]</f>
        <v>0</v>
      </c>
      <c r="AC194" s="48">
        <f>IFERROR(VLOOKUP(Tabela3[[#This Row],[Produto]],Tabela2[],2,0),0)</f>
        <v>4</v>
      </c>
      <c r="AD194" s="48">
        <f>IFERROR(VLOOKUP(Tabela3[[#This Row],[Produto]],Tabela2[],3,0),0)</f>
        <v>0.61299999999999999</v>
      </c>
      <c r="AE194" s="48">
        <f>IFERROR(VLOOKUP(Tabela3[[#This Row],[Produto]],Tabela2[],4,0),0)</f>
        <v>4.3499999999999996</v>
      </c>
      <c r="AF194" s="48">
        <f>IFERROR(VLOOKUP(Tabela3[[#This Row],[Produto]],Tabela2[],5,0),0)</f>
        <v>1.7081999999999997</v>
      </c>
      <c r="AG194" s="40">
        <f>IFERROR(VLOOKUP(Tabela3[[#This Row],[Produto]],Tabela2[],6,0),0)</f>
        <v>0</v>
      </c>
      <c r="AH194" s="40">
        <f>IFERROR(VLOOKUP(Tabela3[[#This Row],[Produto]],Tabela2[],7,0),0)</f>
        <v>0</v>
      </c>
      <c r="AI194" s="40">
        <f>IFERROR(VLOOKUP(Tabela3[[#This Row],[Produto]],Tabela2[],8,0),0)</f>
        <v>0</v>
      </c>
      <c r="AJ194" s="35">
        <f ca="1">IFERROR(VLOOKUP(Tabela3[[#This Row],[Produto]],Tabela2[],13,0),0)</f>
        <v>15.600000000000001</v>
      </c>
      <c r="AK194" s="40" t="str">
        <f>IFERROR(VLOOKUP(Tabela3[[#This Row],[Produto]],Tabela2[],14,0),0)</f>
        <v>Senun</v>
      </c>
      <c r="AL194" s="40">
        <f>IFERROR(VLOOKUP(Tabela3[[#This Row],[Produto]],Tabela2[],15,0),0)</f>
        <v>4</v>
      </c>
      <c r="AM194" s="36">
        <f ca="1">(Tabela3[[#This Row],[Custo Usinagem]]+Tabela3[[#This Row],[Custo / Pç]])*1.2</f>
        <v>22.293545151160949</v>
      </c>
      <c r="AN194" s="36">
        <f ca="1">Tabela3[[#This Row],[Valor Mínimo Venda]]*1.15</f>
        <v>25.637576923835088</v>
      </c>
      <c r="AO194" s="36">
        <f ca="1">Tabela3[[#This Row],[Tabela 1]]*1.08</f>
        <v>27.688583077741896</v>
      </c>
      <c r="AP194" s="36">
        <f ca="1">Tabela3[[#This Row],[Tabela 2]]*1.15</f>
        <v>31.841870539403178</v>
      </c>
    </row>
    <row r="195" spans="1:42">
      <c r="A195" s="9">
        <v>45758</v>
      </c>
      <c r="B195" s="6" t="s">
        <v>241</v>
      </c>
      <c r="C195" s="14">
        <v>6252</v>
      </c>
      <c r="D195" s="6" t="s">
        <v>46</v>
      </c>
      <c r="E195" s="6" t="s">
        <v>44</v>
      </c>
      <c r="F195" s="6">
        <v>31</v>
      </c>
      <c r="G195" s="15">
        <v>0.17222222222222222</v>
      </c>
      <c r="H195" s="16">
        <v>10</v>
      </c>
      <c r="I195" s="35">
        <f ca="1">IFERROR(Tabela3[[#This Row],[Custo Total]]/Tabela3[[#This Row],[Aluminio Util]],0)</f>
        <v>25.960594972179411</v>
      </c>
      <c r="J195" s="35">
        <f ca="1">Tabela3[[#This Row],[Custo Total]]/Tabela3[[#This Row],[Realizado]]</f>
        <v>15.913844717945981</v>
      </c>
      <c r="K195" s="37">
        <f>IFERROR(Tabela3[[#This Row],[Qtde Cx Produzida]]/Tabela3[[#This Row],[Tempo]]/24,0)</f>
        <v>7.5</v>
      </c>
      <c r="L195" s="37">
        <f>Tabela3[[#This Row],[Qtde Cx Produzida]]*Tabela3[[#This Row],[Qdt Peça Placa]]</f>
        <v>124</v>
      </c>
      <c r="M195" s="37">
        <f>Tabela3[[#This Row],[Previsto]]-Tabela3[[#This Row],[Perda Pçs]]</f>
        <v>114</v>
      </c>
      <c r="N195" s="38">
        <f>IFERROR(Tabela3[[#This Row],[Perda Pçs]]/Tabela3[[#This Row],[Previsto]],0)</f>
        <v>8.0645161290322578E-2</v>
      </c>
      <c r="O195" s="39">
        <f>IFERROR(IF(Tabela3[[#This Row],[Qtde Cx Produzida]] &lt;&gt; 0, Tabela3[[#This Row],[Tempo]] / Tabela3[[#This Row],[Qtde Cx Produzida]], 0),0)</f>
        <v>5.5555555555555558E-3</v>
      </c>
      <c r="P195" s="57">
        <f>IFERROR(Tabela3[[#This Row],[Perda Pçs]]/Tabela3[[#This Row],[Qdt Peça Placa]],0)</f>
        <v>2.5</v>
      </c>
      <c r="Q195" s="37">
        <f>IFERROR(Tabela3[[#This Row],[Realizado]]*Tabela3[[#This Row],[Peso Util/Pç]],0)</f>
        <v>69.882000000000005</v>
      </c>
      <c r="R195" s="37">
        <f>IFERROR(Tabela3[[#This Row],[Peso Total Galho]]*Tabela3[[#This Row],[Qtde Cx Produzida]]*1.055,0)</f>
        <v>142.26674999999997</v>
      </c>
      <c r="S195" s="37">
        <f>(Tabela3[[#This Row],[Aluminio Bruto]]-Tabela3[[#This Row],[Aluminio Util]])*0.9</f>
        <v>65.146274999999974</v>
      </c>
      <c r="T195" s="37">
        <f>Tabela3[[#This Row],[Aluminio Bruto]]/OleoKGAluminio</f>
        <v>59.851437775859516</v>
      </c>
      <c r="U195" s="35">
        <f>IFERROR((VLOOKUP(Tabela3[[#This Row],[Moldador]],Tabela1[],5,)+(VLOOKUP(Tabela3[[#This Row],[Ajudante]],Tabela1[],5,))*3.5),0)</f>
        <v>126.0945</v>
      </c>
      <c r="V195" s="35">
        <f>IFERROR(Tabela3[[#This Row],[Custo M.O. / H]]/((Tabela3[[#This Row],[Realizado]]/Tabela3[[#This Row],[Qdt Peça Placa]])/Tabela3[[#This Row],[Tempo]]/24),)</f>
        <v>18.287389473684208</v>
      </c>
      <c r="W195" s="35">
        <f>Tabela3[[#This Row],[Custo / Cx Moldada]]*Tabela3[[#This Row],[Qtde Cx Produzida]]</f>
        <v>566.9090736842104</v>
      </c>
      <c r="X195" s="35">
        <f ca="1">Tabela3[[#This Row],[Aluminio Util]]*Tabela3[[#This Row],[Custo/Kg]]</f>
        <v>1090.1592000000003</v>
      </c>
      <c r="Y195" s="35">
        <f>IFERROR(VLOOKUP(Tabela3[[#This Row],[Data]],Tabela461213[],2,1)*(Tabela3[[#This Row],[Qtde Cx Produzida]]*Tabela3[[#This Row],[Qde macho / CX]]*Tabela3[[#This Row],[Peso Macho]]),)</f>
        <v>0</v>
      </c>
      <c r="Z195" s="35">
        <f>IFERROR(Tabela3[[#This Row],[Qtde Oleo]]*(VLOOKUP(Tabela3[[#This Row],[Data]],CompraOleo[],3,TRUE))*1.05,0)</f>
        <v>157.11002416163123</v>
      </c>
      <c r="AA195" s="47">
        <f ca="1">(Tabela3[[#This Row],[Custo Oleo]]+Tabela3[[#This Row],[Custo Aluminio]]+Tabela3[[#This Row],[Custo M.O. Total]]+Tabela3[[#This Row],[Custo Machos]])</f>
        <v>1814.1782978458418</v>
      </c>
      <c r="AB195" s="47">
        <f ca="1">Tabela3[[#This Row],[Custo Total]]*Tabela3[[#This Row],[% Perda]]</f>
        <v>146.30470143918077</v>
      </c>
      <c r="AC195" s="48">
        <f>IFERROR(VLOOKUP(Tabela3[[#This Row],[Produto]],Tabela2[],2,0),0)</f>
        <v>4</v>
      </c>
      <c r="AD195" s="48">
        <f>IFERROR(VLOOKUP(Tabela3[[#This Row],[Produto]],Tabela2[],3,0),0)</f>
        <v>0.61299999999999999</v>
      </c>
      <c r="AE195" s="48">
        <f>IFERROR(VLOOKUP(Tabela3[[#This Row],[Produto]],Tabela2[],4,0),0)</f>
        <v>4.3499999999999996</v>
      </c>
      <c r="AF195" s="48">
        <f>IFERROR(VLOOKUP(Tabela3[[#This Row],[Produto]],Tabela2[],5,0),0)</f>
        <v>1.7081999999999997</v>
      </c>
      <c r="AG195" s="40">
        <f>IFERROR(VLOOKUP(Tabela3[[#This Row],[Produto]],Tabela2[],6,0),0)</f>
        <v>0</v>
      </c>
      <c r="AH195" s="40">
        <f>IFERROR(VLOOKUP(Tabela3[[#This Row],[Produto]],Tabela2[],7,0),0)</f>
        <v>0</v>
      </c>
      <c r="AI195" s="40">
        <f>IFERROR(VLOOKUP(Tabela3[[#This Row],[Produto]],Tabela2[],8,0),0)</f>
        <v>0</v>
      </c>
      <c r="AJ195" s="35">
        <f ca="1">IFERROR(VLOOKUP(Tabela3[[#This Row],[Produto]],Tabela2[],13,0),0)</f>
        <v>15.600000000000001</v>
      </c>
      <c r="AK195" s="40" t="str">
        <f>IFERROR(VLOOKUP(Tabela3[[#This Row],[Produto]],Tabela2[],14,0),0)</f>
        <v>Senun</v>
      </c>
      <c r="AL195" s="40">
        <f>IFERROR(VLOOKUP(Tabela3[[#This Row],[Produto]],Tabela2[],15,0),0)</f>
        <v>4</v>
      </c>
      <c r="AM195" s="36">
        <f ca="1">(Tabela3[[#This Row],[Custo Usinagem]]+Tabela3[[#This Row],[Custo / Pç]])*1.2</f>
        <v>23.896613661535177</v>
      </c>
      <c r="AN195" s="36">
        <f ca="1">Tabela3[[#This Row],[Valor Mínimo Venda]]*1.15</f>
        <v>27.481105710765451</v>
      </c>
      <c r="AO195" s="36">
        <f ca="1">Tabela3[[#This Row],[Tabela 1]]*1.08</f>
        <v>29.679594167626689</v>
      </c>
      <c r="AP195" s="36">
        <f ca="1">Tabela3[[#This Row],[Tabela 2]]*1.15</f>
        <v>34.13153329277069</v>
      </c>
    </row>
    <row r="196" spans="1:42">
      <c r="A196" s="9">
        <v>45758</v>
      </c>
      <c r="B196" s="6" t="s">
        <v>223</v>
      </c>
      <c r="C196" s="14">
        <v>6240</v>
      </c>
      <c r="D196" s="6" t="s">
        <v>46</v>
      </c>
      <c r="E196" s="6" t="s">
        <v>44</v>
      </c>
      <c r="F196" s="6">
        <v>16</v>
      </c>
      <c r="G196" s="15">
        <v>0.10486111111111111</v>
      </c>
      <c r="H196" s="16">
        <v>12</v>
      </c>
      <c r="I196" s="35">
        <f ca="1">IFERROR(Tabela3[[#This Row],[Custo Total]]/Tabela3[[#This Row],[Aluminio Util]],0)</f>
        <v>24.489634745488445</v>
      </c>
      <c r="J196" s="35">
        <f ca="1">Tabela3[[#This Row],[Custo Total]]/Tabela3[[#This Row],[Realizado]]</f>
        <v>2.5469220135307982</v>
      </c>
      <c r="K196" s="37">
        <f>IFERROR(Tabela3[[#This Row],[Qtde Cx Produzida]]/Tabela3[[#This Row],[Tempo]]/24,0)</f>
        <v>6.3576158940397347</v>
      </c>
      <c r="L196" s="37">
        <f>Tabela3[[#This Row],[Qtde Cx Produzida]]*Tabela3[[#This Row],[Qdt Peça Placa]]</f>
        <v>528</v>
      </c>
      <c r="M196" s="37">
        <f>Tabela3[[#This Row],[Previsto]]-Tabela3[[#This Row],[Perda Pçs]]</f>
        <v>516</v>
      </c>
      <c r="N196" s="38">
        <f>IFERROR(Tabela3[[#This Row],[Perda Pçs]]/Tabela3[[#This Row],[Previsto]],0)</f>
        <v>2.2727272727272728E-2</v>
      </c>
      <c r="O196" s="39">
        <f>IFERROR(IF(Tabela3[[#This Row],[Qtde Cx Produzida]] &lt;&gt; 0, Tabela3[[#This Row],[Tempo]] / Tabela3[[#This Row],[Qtde Cx Produzida]], 0),0)</f>
        <v>6.5538194444444446E-3</v>
      </c>
      <c r="P196" s="57">
        <f>IFERROR(Tabela3[[#This Row],[Perda Pçs]]/Tabela3[[#This Row],[Qdt Peça Placa]],0)</f>
        <v>0.36363636363636365</v>
      </c>
      <c r="Q196" s="37">
        <f>IFERROR(Tabela3[[#This Row],[Realizado]]*Tabela3[[#This Row],[Peso Util/Pç]],0)</f>
        <v>53.663999999999994</v>
      </c>
      <c r="R196" s="37">
        <f>IFERROR(Tabela3[[#This Row],[Peso Total Galho]]*Tabela3[[#This Row],[Qtde Cx Produzida]]*1.055,0)</f>
        <v>90.814399999999992</v>
      </c>
      <c r="S196" s="37">
        <f>(Tabela3[[#This Row],[Aluminio Bruto]]-Tabela3[[#This Row],[Aluminio Util]])*0.9</f>
        <v>33.435359999999996</v>
      </c>
      <c r="T196" s="37">
        <f>Tabela3[[#This Row],[Aluminio Bruto]]/OleoKGAluminio</f>
        <v>38.205500658108917</v>
      </c>
      <c r="U196" s="35">
        <f>IFERROR((VLOOKUP(Tabela3[[#This Row],[Moldador]],Tabela1[],5,)+(VLOOKUP(Tabela3[[#This Row],[Ajudante]],Tabela1[],5,))*3.5),0)</f>
        <v>126.0945</v>
      </c>
      <c r="V196" s="35">
        <f>IFERROR(Tabela3[[#This Row],[Custo M.O. / H]]/((Tabela3[[#This Row],[Realizado]]/Tabela3[[#This Row],[Qdt Peça Placa]])/Tabela3[[#This Row],[Tempo]]/24),)</f>
        <v>20.294860901162792</v>
      </c>
      <c r="W196" s="35">
        <f>Tabela3[[#This Row],[Custo / Cx Moldada]]*Tabela3[[#This Row],[Qtde Cx Produzida]]</f>
        <v>324.71777441860468</v>
      </c>
      <c r="X196" s="35">
        <f ca="1">Tabela3[[#This Row],[Aluminio Util]]*Tabela3[[#This Row],[Custo/Kg]]</f>
        <v>889.20454533575128</v>
      </c>
      <c r="Y196" s="35">
        <f>IFERROR(VLOOKUP(Tabela3[[#This Row],[Data]],Tabela461213[],2,1)*(Tabela3[[#This Row],[Qtde Cx Produzida]]*Tabela3[[#This Row],[Qde macho / CX]]*Tabela3[[#This Row],[Peso Macho]]),)</f>
        <v>0</v>
      </c>
      <c r="Z196" s="35">
        <f>IFERROR(Tabela3[[#This Row],[Qtde Oleo]]*(VLOOKUP(Tabela3[[#This Row],[Data]],CompraOleo[],3,TRUE))*1.05,0)</f>
        <v>100.28943922753591</v>
      </c>
      <c r="AA196" s="47">
        <f ca="1">(Tabela3[[#This Row],[Custo Oleo]]+Tabela3[[#This Row],[Custo Aluminio]]+Tabela3[[#This Row],[Custo M.O. Total]]+Tabela3[[#This Row],[Custo Machos]])</f>
        <v>1314.2117589818918</v>
      </c>
      <c r="AB196" s="47">
        <f ca="1">Tabela3[[#This Row],[Custo Total]]*Tabela3[[#This Row],[% Perda]]</f>
        <v>29.868449067770268</v>
      </c>
      <c r="AC196" s="48">
        <f>IFERROR(VLOOKUP(Tabela3[[#This Row],[Produto]],Tabela2[],2,0),0)</f>
        <v>33</v>
      </c>
      <c r="AD196" s="48">
        <f>IFERROR(VLOOKUP(Tabela3[[#This Row],[Produto]],Tabela2[],3,0),0)</f>
        <v>0.104</v>
      </c>
      <c r="AE196" s="48">
        <f>IFERROR(VLOOKUP(Tabela3[[#This Row],[Produto]],Tabela2[],4,0),0)</f>
        <v>5.38</v>
      </c>
      <c r="AF196" s="48">
        <f>IFERROR(VLOOKUP(Tabela3[[#This Row],[Produto]],Tabela2[],5,0),0)</f>
        <v>1.7532000000000001</v>
      </c>
      <c r="AG196" s="40">
        <f>IFERROR(VLOOKUP(Tabela3[[#This Row],[Produto]],Tabela2[],6,0),0)</f>
        <v>0</v>
      </c>
      <c r="AH196" s="40">
        <f>IFERROR(VLOOKUP(Tabela3[[#This Row],[Produto]],Tabela2[],7,0),0)</f>
        <v>0</v>
      </c>
      <c r="AI196" s="40">
        <f>IFERROR(VLOOKUP(Tabela3[[#This Row],[Produto]],Tabela2[],8,0),0)</f>
        <v>0</v>
      </c>
      <c r="AJ196" s="35">
        <f ca="1">IFERROR(VLOOKUP(Tabela3[[#This Row],[Produto]],Tabela2[],13,0),0)</f>
        <v>16.569852141766386</v>
      </c>
      <c r="AK196" s="40" t="str">
        <f>IFERROR(VLOOKUP(Tabela3[[#This Row],[Produto]],Tabela2[],14,0),0)</f>
        <v>Marcelo</v>
      </c>
      <c r="AL196" s="40">
        <f>IFERROR(VLOOKUP(Tabela3[[#This Row],[Produto]],Tabela2[],15,0),0)</f>
        <v>0</v>
      </c>
      <c r="AM196" s="36">
        <f ca="1">(Tabela3[[#This Row],[Custo Usinagem]]+Tabela3[[#This Row],[Custo / Pç]])*1.2</f>
        <v>3.0563064162369575</v>
      </c>
      <c r="AN196" s="36">
        <f ca="1">Tabela3[[#This Row],[Valor Mínimo Venda]]*1.15</f>
        <v>3.514752378672501</v>
      </c>
      <c r="AO196" s="36">
        <f ca="1">Tabela3[[#This Row],[Tabela 1]]*1.08</f>
        <v>3.7959325689663013</v>
      </c>
      <c r="AP196" s="36">
        <f ca="1">Tabela3[[#This Row],[Tabela 2]]*1.15</f>
        <v>4.3653224543112463</v>
      </c>
    </row>
    <row r="197" spans="1:42">
      <c r="A197" s="9">
        <v>45761</v>
      </c>
      <c r="B197" s="6" t="s">
        <v>223</v>
      </c>
      <c r="C197" s="14">
        <v>6240</v>
      </c>
      <c r="D197" s="6" t="s">
        <v>46</v>
      </c>
      <c r="E197" s="6" t="s">
        <v>53</v>
      </c>
      <c r="F197" s="6">
        <v>6</v>
      </c>
      <c r="G197" s="15">
        <v>2.5000000000000001E-2</v>
      </c>
      <c r="H197" s="16">
        <v>0</v>
      </c>
      <c r="I197" s="35">
        <f ca="1">IFERROR(Tabela3[[#This Row],[Custo Total]]/Tabela3[[#This Row],[Aluminio Util]],0)</f>
        <v>21.308524791840494</v>
      </c>
      <c r="J197" s="35">
        <f ca="1">Tabela3[[#This Row],[Custo Total]]/Tabela3[[#This Row],[Realizado]]</f>
        <v>2.216086578351411</v>
      </c>
      <c r="K197" s="37">
        <f>IFERROR(Tabela3[[#This Row],[Qtde Cx Produzida]]/Tabela3[[#This Row],[Tempo]]/24,0)</f>
        <v>10</v>
      </c>
      <c r="L197" s="37">
        <f>Tabela3[[#This Row],[Qtde Cx Produzida]]*Tabela3[[#This Row],[Qdt Peça Placa]]</f>
        <v>198</v>
      </c>
      <c r="M197" s="37">
        <f>Tabela3[[#This Row],[Previsto]]-Tabela3[[#This Row],[Perda Pçs]]</f>
        <v>198</v>
      </c>
      <c r="N197" s="38">
        <f>IFERROR(Tabela3[[#This Row],[Perda Pçs]]/Tabela3[[#This Row],[Previsto]],0)</f>
        <v>0</v>
      </c>
      <c r="O197" s="39">
        <f>IFERROR(IF(Tabela3[[#This Row],[Qtde Cx Produzida]] &lt;&gt; 0, Tabela3[[#This Row],[Tempo]] / Tabela3[[#This Row],[Qtde Cx Produzida]], 0),0)</f>
        <v>4.1666666666666666E-3</v>
      </c>
      <c r="P197" s="57">
        <f>IFERROR(Tabela3[[#This Row],[Perda Pçs]]/Tabela3[[#This Row],[Qdt Peça Placa]],0)</f>
        <v>0</v>
      </c>
      <c r="Q197" s="37">
        <f>IFERROR(Tabela3[[#This Row],[Realizado]]*Tabela3[[#This Row],[Peso Util/Pç]],0)</f>
        <v>20.591999999999999</v>
      </c>
      <c r="R197" s="37">
        <f>IFERROR(Tabela3[[#This Row],[Peso Total Galho]]*Tabela3[[#This Row],[Qtde Cx Produzida]]*1.055,0)</f>
        <v>34.055399999999999</v>
      </c>
      <c r="S197" s="37">
        <f>(Tabela3[[#This Row],[Aluminio Bruto]]-Tabela3[[#This Row],[Aluminio Util]])*0.9</f>
        <v>12.11706</v>
      </c>
      <c r="T197" s="37">
        <f>Tabela3[[#This Row],[Aluminio Bruto]]/OleoKGAluminio</f>
        <v>14.327062746790844</v>
      </c>
      <c r="U197" s="35">
        <f>IFERROR((VLOOKUP(Tabela3[[#This Row],[Moldador]],Tabela1[],5,)+(VLOOKUP(Tabela3[[#This Row],[Ajudante]],Tabela1[],5,))*3.5),0)</f>
        <v>99.95034583333333</v>
      </c>
      <c r="V197" s="35">
        <f>IFERROR(Tabela3[[#This Row],[Custo M.O. / H]]/((Tabela3[[#This Row],[Realizado]]/Tabela3[[#This Row],[Qdt Peça Placa]])/Tabela3[[#This Row],[Tempo]]/24),)</f>
        <v>9.9950345833333323</v>
      </c>
      <c r="W197" s="35">
        <f>Tabela3[[#This Row],[Custo / Cx Moldada]]*Tabela3[[#This Row],[Qtde Cx Produzida]]</f>
        <v>59.970207499999994</v>
      </c>
      <c r="X197" s="35">
        <f ca="1">Tabela3[[#This Row],[Aluminio Util]]*Tabela3[[#This Row],[Custo/Kg]]</f>
        <v>341.20639530325343</v>
      </c>
      <c r="Y197" s="35">
        <f>IFERROR(VLOOKUP(Tabela3[[#This Row],[Data]],Tabela461213[],2,1)*(Tabela3[[#This Row],[Qtde Cx Produzida]]*Tabela3[[#This Row],[Qde macho / CX]]*Tabela3[[#This Row],[Peso Macho]]),)</f>
        <v>0</v>
      </c>
      <c r="Z197" s="35">
        <f>IFERROR(Tabela3[[#This Row],[Qtde Oleo]]*(VLOOKUP(Tabela3[[#This Row],[Data]],CompraOleo[],3,TRUE))*1.05,0)</f>
        <v>37.608539710325964</v>
      </c>
      <c r="AA197" s="47">
        <f ca="1">(Tabela3[[#This Row],[Custo Oleo]]+Tabela3[[#This Row],[Custo Aluminio]]+Tabela3[[#This Row],[Custo M.O. Total]]+Tabela3[[#This Row],[Custo Machos]])</f>
        <v>438.78514251357939</v>
      </c>
      <c r="AB197" s="47">
        <f ca="1">Tabela3[[#This Row],[Custo Total]]*Tabela3[[#This Row],[% Perda]]</f>
        <v>0</v>
      </c>
      <c r="AC197" s="48">
        <f>IFERROR(VLOOKUP(Tabela3[[#This Row],[Produto]],Tabela2[],2,0),0)</f>
        <v>33</v>
      </c>
      <c r="AD197" s="48">
        <f>IFERROR(VLOOKUP(Tabela3[[#This Row],[Produto]],Tabela2[],3,0),0)</f>
        <v>0.104</v>
      </c>
      <c r="AE197" s="48">
        <f>IFERROR(VLOOKUP(Tabela3[[#This Row],[Produto]],Tabela2[],4,0),0)</f>
        <v>5.38</v>
      </c>
      <c r="AF197" s="48">
        <f>IFERROR(VLOOKUP(Tabela3[[#This Row],[Produto]],Tabela2[],5,0),0)</f>
        <v>1.7532000000000001</v>
      </c>
      <c r="AG197" s="40">
        <f>IFERROR(VLOOKUP(Tabela3[[#This Row],[Produto]],Tabela2[],6,0),0)</f>
        <v>0</v>
      </c>
      <c r="AH197" s="40">
        <f>IFERROR(VLOOKUP(Tabela3[[#This Row],[Produto]],Tabela2[],7,0),0)</f>
        <v>0</v>
      </c>
      <c r="AI197" s="40">
        <f>IFERROR(VLOOKUP(Tabela3[[#This Row],[Produto]],Tabela2[],8,0),0)</f>
        <v>0</v>
      </c>
      <c r="AJ197" s="35">
        <f ca="1">IFERROR(VLOOKUP(Tabela3[[#This Row],[Produto]],Tabela2[],13,0),0)</f>
        <v>16.569852141766386</v>
      </c>
      <c r="AK197" s="40" t="str">
        <f>IFERROR(VLOOKUP(Tabela3[[#This Row],[Produto]],Tabela2[],14,0),0)</f>
        <v>Marcelo</v>
      </c>
      <c r="AL197" s="40">
        <f>IFERROR(VLOOKUP(Tabela3[[#This Row],[Produto]],Tabela2[],15,0),0)</f>
        <v>0</v>
      </c>
      <c r="AM197" s="36">
        <f ca="1">(Tabela3[[#This Row],[Custo Usinagem]]+Tabela3[[#This Row],[Custo / Pç]])*1.2</f>
        <v>2.6593038940216931</v>
      </c>
      <c r="AN197" s="36">
        <f ca="1">Tabela3[[#This Row],[Valor Mínimo Venda]]*1.15</f>
        <v>3.0581994781249469</v>
      </c>
      <c r="AO197" s="36">
        <f ca="1">Tabela3[[#This Row],[Tabela 1]]*1.08</f>
        <v>3.3028554363749429</v>
      </c>
      <c r="AP197" s="36">
        <f ca="1">Tabela3[[#This Row],[Tabela 2]]*1.15</f>
        <v>3.7982837518311841</v>
      </c>
    </row>
    <row r="198" spans="1:42">
      <c r="A198" s="9">
        <v>45761</v>
      </c>
      <c r="B198" s="6" t="s">
        <v>229</v>
      </c>
      <c r="C198" s="14">
        <v>6267</v>
      </c>
      <c r="D198" s="6" t="s">
        <v>46</v>
      </c>
      <c r="E198" s="6" t="s">
        <v>53</v>
      </c>
      <c r="F198" s="6">
        <v>30</v>
      </c>
      <c r="G198" s="15">
        <v>0.1361111111111111</v>
      </c>
      <c r="H198" s="16">
        <v>0</v>
      </c>
      <c r="I198" s="35">
        <f ca="1">IFERROR(Tabela3[[#This Row],[Custo Total]]/Tabela3[[#This Row],[Aluminio Util]],0)</f>
        <v>21.028980150708598</v>
      </c>
      <c r="J198" s="35">
        <f ca="1">Tabela3[[#This Row],[Custo Total]]/Tabela3[[#This Row],[Realizado]]</f>
        <v>58.628796660175574</v>
      </c>
      <c r="K198" s="37">
        <f>IFERROR(Tabela3[[#This Row],[Qtde Cx Produzida]]/Tabela3[[#This Row],[Tempo]]/24,0)</f>
        <v>9.183673469387756</v>
      </c>
      <c r="L198" s="37">
        <f>Tabela3[[#This Row],[Qtde Cx Produzida]]*Tabela3[[#This Row],[Qdt Peça Placa]]</f>
        <v>30</v>
      </c>
      <c r="M198" s="37">
        <f>Tabela3[[#This Row],[Previsto]]-Tabela3[[#This Row],[Perda Pçs]]</f>
        <v>30</v>
      </c>
      <c r="N198" s="38">
        <f>IFERROR(Tabela3[[#This Row],[Perda Pçs]]/Tabela3[[#This Row],[Previsto]],0)</f>
        <v>0</v>
      </c>
      <c r="O198" s="39">
        <f>IFERROR(IF(Tabela3[[#This Row],[Qtde Cx Produzida]] &lt;&gt; 0, Tabela3[[#This Row],[Tempo]] / Tabela3[[#This Row],[Qtde Cx Produzida]], 0),0)</f>
        <v>4.5370370370370365E-3</v>
      </c>
      <c r="P198" s="57">
        <f>IFERROR(Tabela3[[#This Row],[Perda Pçs]]/Tabela3[[#This Row],[Qdt Peça Placa]],0)</f>
        <v>0</v>
      </c>
      <c r="Q198" s="37">
        <f>IFERROR(Tabela3[[#This Row],[Realizado]]*Tabela3[[#This Row],[Peso Util/Pç]],0)</f>
        <v>83.64</v>
      </c>
      <c r="R198" s="37">
        <f>IFERROR(Tabela3[[#This Row],[Peso Total Galho]]*Tabela3[[#This Row],[Qtde Cx Produzida]]*1.055,0)</f>
        <v>115.52249999999999</v>
      </c>
      <c r="S198" s="37">
        <f>(Tabela3[[#This Row],[Aluminio Bruto]]-Tabela3[[#This Row],[Aluminio Util]])*0.9</f>
        <v>28.694249999999993</v>
      </c>
      <c r="T198" s="37">
        <f>Tabela3[[#This Row],[Aluminio Bruto]]/OleoKGAluminio</f>
        <v>48.600166380842545</v>
      </c>
      <c r="U198" s="35">
        <f>IFERROR((VLOOKUP(Tabela3[[#This Row],[Moldador]],Tabela1[],5,)+(VLOOKUP(Tabela3[[#This Row],[Ajudante]],Tabela1[],5,))*3.5),0)</f>
        <v>99.95034583333333</v>
      </c>
      <c r="V198" s="35">
        <f>IFERROR(Tabela3[[#This Row],[Custo M.O. / H]]/((Tabela3[[#This Row],[Realizado]]/Tabela3[[#This Row],[Qdt Peça Placa]])/Tabela3[[#This Row],[Tempo]]/24),)</f>
        <v>10.88348210185185</v>
      </c>
      <c r="W198" s="35">
        <f>Tabela3[[#This Row],[Custo / Cx Moldada]]*Tabela3[[#This Row],[Qtde Cx Produzida]]</f>
        <v>326.5044630555555</v>
      </c>
      <c r="X198" s="35">
        <f ca="1">Tabela3[[#This Row],[Aluminio Util]]*Tabela3[[#This Row],[Custo/Kg]]</f>
        <v>1304.7840000000001</v>
      </c>
      <c r="Y198" s="35">
        <f>IFERROR(VLOOKUP(Tabela3[[#This Row],[Data]],Tabela461213[],2,1)*(Tabela3[[#This Row],[Qtde Cx Produzida]]*Tabela3[[#This Row],[Qde macho / CX]]*Tabela3[[#This Row],[Peso Macho]]),)</f>
        <v>0</v>
      </c>
      <c r="Z198" s="35">
        <f>IFERROR(Tabela3[[#This Row],[Qtde Oleo]]*(VLOOKUP(Tabela3[[#This Row],[Data]],CompraOleo[],3,TRUE))*1.05,0)</f>
        <v>127.57543674971168</v>
      </c>
      <c r="AA198" s="47">
        <f ca="1">(Tabela3[[#This Row],[Custo Oleo]]+Tabela3[[#This Row],[Custo Aluminio]]+Tabela3[[#This Row],[Custo M.O. Total]]+Tabela3[[#This Row],[Custo Machos]])</f>
        <v>1758.8638998052672</v>
      </c>
      <c r="AB198" s="47">
        <f ca="1">Tabela3[[#This Row],[Custo Total]]*Tabela3[[#This Row],[% Perda]]</f>
        <v>0</v>
      </c>
      <c r="AC198" s="48">
        <f>IFERROR(VLOOKUP(Tabela3[[#This Row],[Produto]],Tabela2[],2,0),0)</f>
        <v>1</v>
      </c>
      <c r="AD198" s="48">
        <f>IFERROR(VLOOKUP(Tabela3[[#This Row],[Produto]],Tabela2[],3,0),0)</f>
        <v>2.7879999999999998</v>
      </c>
      <c r="AE198" s="48">
        <f>IFERROR(VLOOKUP(Tabela3[[#This Row],[Produto]],Tabela2[],4,0),0)</f>
        <v>3.65</v>
      </c>
      <c r="AF198" s="48">
        <f>IFERROR(VLOOKUP(Tabela3[[#This Row],[Produto]],Tabela2[],5,0),0)</f>
        <v>0.77580000000000016</v>
      </c>
      <c r="AG198" s="40">
        <f>IFERROR(VLOOKUP(Tabela3[[#This Row],[Produto]],Tabela2[],6,0),0)</f>
        <v>0</v>
      </c>
      <c r="AH198" s="40">
        <f>IFERROR(VLOOKUP(Tabela3[[#This Row],[Produto]],Tabela2[],7,0),0)</f>
        <v>0</v>
      </c>
      <c r="AI198" s="40">
        <f>IFERROR(VLOOKUP(Tabela3[[#This Row],[Produto]],Tabela2[],8,0),0)</f>
        <v>0</v>
      </c>
      <c r="AJ198" s="35">
        <f ca="1">IFERROR(VLOOKUP(Tabela3[[#This Row],[Produto]],Tabela2[],13,0),0)</f>
        <v>15.600000000000001</v>
      </c>
      <c r="AK198" s="40" t="str">
        <f>IFERROR(VLOOKUP(Tabela3[[#This Row],[Produto]],Tabela2[],14,0),0)</f>
        <v>Jumil</v>
      </c>
      <c r="AL198" s="40">
        <f>IFERROR(VLOOKUP(Tabela3[[#This Row],[Produto]],Tabela2[],15,0),0)</f>
        <v>35</v>
      </c>
      <c r="AM198" s="36">
        <f ca="1">(Tabela3[[#This Row],[Custo Usinagem]]+Tabela3[[#This Row],[Custo / Pç]])*1.2</f>
        <v>112.35455599221068</v>
      </c>
      <c r="AN198" s="36">
        <f ca="1">Tabela3[[#This Row],[Valor Mínimo Venda]]*1.15</f>
        <v>129.20773939104228</v>
      </c>
      <c r="AO198" s="36">
        <f ca="1">Tabela3[[#This Row],[Tabela 1]]*1.08</f>
        <v>139.54435854232568</v>
      </c>
      <c r="AP198" s="36">
        <f ca="1">Tabela3[[#This Row],[Tabela 2]]*1.15</f>
        <v>160.47601232367452</v>
      </c>
    </row>
    <row r="199" spans="1:42">
      <c r="A199" s="9">
        <v>45761</v>
      </c>
      <c r="B199" s="6" t="s">
        <v>129</v>
      </c>
      <c r="C199" s="14">
        <v>6254</v>
      </c>
      <c r="D199" s="6" t="s">
        <v>46</v>
      </c>
      <c r="E199" s="6" t="s">
        <v>53</v>
      </c>
      <c r="F199" s="6">
        <v>13</v>
      </c>
      <c r="G199" s="15">
        <v>8.5416666666666669E-2</v>
      </c>
      <c r="H199" s="16">
        <v>1</v>
      </c>
      <c r="I199" s="35">
        <f ca="1">IFERROR(Tabela3[[#This Row],[Custo Total]]/Tabela3[[#This Row],[Aluminio Util]],0)</f>
        <v>30.966147909525116</v>
      </c>
      <c r="J199" s="35">
        <f ca="1">Tabela3[[#This Row],[Custo Total]]/Tabela3[[#This Row],[Realizado]]</f>
        <v>50.165159613430689</v>
      </c>
      <c r="K199" s="37">
        <f>IFERROR(Tabela3[[#This Row],[Qtde Cx Produzida]]/Tabela3[[#This Row],[Tempo]]/24,0)</f>
        <v>6.3414634146341458</v>
      </c>
      <c r="L199" s="37">
        <f>Tabela3[[#This Row],[Qtde Cx Produzida]]*Tabela3[[#This Row],[Qdt Peça Placa]]</f>
        <v>13</v>
      </c>
      <c r="M199" s="37">
        <f>Tabela3[[#This Row],[Previsto]]-Tabela3[[#This Row],[Perda Pçs]]</f>
        <v>12</v>
      </c>
      <c r="N199" s="38">
        <f>IFERROR(Tabela3[[#This Row],[Perda Pçs]]/Tabela3[[#This Row],[Previsto]],0)</f>
        <v>7.6923076923076927E-2</v>
      </c>
      <c r="O199" s="39">
        <f>IFERROR(IF(Tabela3[[#This Row],[Qtde Cx Produzida]] &lt;&gt; 0, Tabela3[[#This Row],[Tempo]] / Tabela3[[#This Row],[Qtde Cx Produzida]], 0),0)</f>
        <v>6.5705128205128206E-3</v>
      </c>
      <c r="P199" s="57">
        <f>IFERROR(Tabela3[[#This Row],[Perda Pçs]]/Tabela3[[#This Row],[Qdt Peça Placa]],0)</f>
        <v>1</v>
      </c>
      <c r="Q199" s="37">
        <f>IFERROR(Tabela3[[#This Row],[Realizado]]*Tabela3[[#This Row],[Peso Util/Pç]],0)</f>
        <v>19.440000000000001</v>
      </c>
      <c r="R199" s="37">
        <f>IFERROR(Tabela3[[#This Row],[Peso Total Galho]]*Tabela3[[#This Row],[Qtde Cx Produzida]]*1.055,0)</f>
        <v>34.287500000000001</v>
      </c>
      <c r="S199" s="37">
        <f>(Tabela3[[#This Row],[Aluminio Bruto]]-Tabela3[[#This Row],[Aluminio Util]])*0.9</f>
        <v>13.36275</v>
      </c>
      <c r="T199" s="37">
        <f>Tabela3[[#This Row],[Aluminio Bruto]]/OleoKGAluminio</f>
        <v>14.424706916688429</v>
      </c>
      <c r="U199" s="35">
        <f>IFERROR((VLOOKUP(Tabela3[[#This Row],[Moldador]],Tabela1[],5,)+(VLOOKUP(Tabela3[[#This Row],[Ajudante]],Tabela1[],5,))*3.5),0)</f>
        <v>99.95034583333333</v>
      </c>
      <c r="V199" s="35">
        <f>IFERROR(Tabela3[[#This Row],[Custo M.O. / H]]/((Tabela3[[#This Row],[Realizado]]/Tabela3[[#This Row],[Qdt Peça Placa]])/Tabela3[[#This Row],[Tempo]]/24),)</f>
        <v>17.074850746527776</v>
      </c>
      <c r="W199" s="35">
        <f>Tabela3[[#This Row],[Custo / Cx Moldada]]*Tabela3[[#This Row],[Qtde Cx Produzida]]</f>
        <v>221.9730597048611</v>
      </c>
      <c r="X199" s="35">
        <f ca="1">Tabela3[[#This Row],[Aluminio Util]]*Tabela3[[#This Row],[Custo/Kg]]</f>
        <v>342.14400000000006</v>
      </c>
      <c r="Y199" s="35">
        <f>IFERROR(VLOOKUP(Tabela3[[#This Row],[Data]],Tabela461213[],2,1)*(Tabela3[[#This Row],[Qtde Cx Produzida]]*Tabela3[[#This Row],[Qde macho / CX]]*Tabela3[[#This Row],[Peso Macho]]),)</f>
        <v>0</v>
      </c>
      <c r="Z199" s="35">
        <f>IFERROR(Tabela3[[#This Row],[Qtde Oleo]]*(VLOOKUP(Tabela3[[#This Row],[Data]],CompraOleo[],3,TRUE))*1.05,0)</f>
        <v>37.864855656307121</v>
      </c>
      <c r="AA199" s="47">
        <f ca="1">(Tabela3[[#This Row],[Custo Oleo]]+Tabela3[[#This Row],[Custo Aluminio]]+Tabela3[[#This Row],[Custo M.O. Total]]+Tabela3[[#This Row],[Custo Machos]])</f>
        <v>601.98191536116826</v>
      </c>
      <c r="AB199" s="47">
        <f ca="1">Tabela3[[#This Row],[Custo Total]]*Tabela3[[#This Row],[% Perda]]</f>
        <v>46.306301181628328</v>
      </c>
      <c r="AC199" s="48">
        <f>IFERROR(VLOOKUP(Tabela3[[#This Row],[Produto]],Tabela2[],2,0),0)</f>
        <v>1</v>
      </c>
      <c r="AD199" s="48">
        <f>IFERROR(VLOOKUP(Tabela3[[#This Row],[Produto]],Tabela2[],3,0),0)</f>
        <v>1.62</v>
      </c>
      <c r="AE199" s="48">
        <f>IFERROR(VLOOKUP(Tabela3[[#This Row],[Produto]],Tabela2[],4,0),0)</f>
        <v>2.5</v>
      </c>
      <c r="AF199" s="48">
        <f>IFERROR(VLOOKUP(Tabela3[[#This Row],[Produto]],Tabela2[],5,0),0)</f>
        <v>0.79199999999999993</v>
      </c>
      <c r="AG199" s="40">
        <f>IFERROR(VLOOKUP(Tabela3[[#This Row],[Produto]],Tabela2[],6,0),0)</f>
        <v>0</v>
      </c>
      <c r="AH199" s="40">
        <f>IFERROR(VLOOKUP(Tabela3[[#This Row],[Produto]],Tabela2[],7,0),0)</f>
        <v>0</v>
      </c>
      <c r="AI199" s="40">
        <f>IFERROR(VLOOKUP(Tabela3[[#This Row],[Produto]],Tabela2[],8,0),0)</f>
        <v>0</v>
      </c>
      <c r="AJ199" s="35">
        <f ca="1">IFERROR(VLOOKUP(Tabela3[[#This Row],[Produto]],Tabela2[],13,0),0)</f>
        <v>17.600000000000001</v>
      </c>
      <c r="AK199" s="40" t="str">
        <f>IFERROR(VLOOKUP(Tabela3[[#This Row],[Produto]],Tabela2[],14,0),0)</f>
        <v>Jumil</v>
      </c>
      <c r="AL199" s="40">
        <f>IFERROR(VLOOKUP(Tabela3[[#This Row],[Produto]],Tabela2[],15,0),0)</f>
        <v>80</v>
      </c>
      <c r="AM199" s="36">
        <f ca="1">(Tabela3[[#This Row],[Custo Usinagem]]+Tabela3[[#This Row],[Custo / Pç]])*1.2</f>
        <v>156.19819153611681</v>
      </c>
      <c r="AN199" s="36">
        <f ca="1">Tabela3[[#This Row],[Valor Mínimo Venda]]*1.15</f>
        <v>179.62792026653432</v>
      </c>
      <c r="AO199" s="36">
        <f ca="1">Tabela3[[#This Row],[Tabela 1]]*1.08</f>
        <v>193.99815388785709</v>
      </c>
      <c r="AP199" s="36">
        <f ca="1">Tabela3[[#This Row],[Tabela 2]]*1.15</f>
        <v>223.09787697103562</v>
      </c>
    </row>
    <row r="200" spans="1:42">
      <c r="A200" s="9">
        <v>45761</v>
      </c>
      <c r="B200" s="6" t="s">
        <v>265</v>
      </c>
      <c r="C200" s="14">
        <v>6253</v>
      </c>
      <c r="D200" s="6" t="s">
        <v>46</v>
      </c>
      <c r="E200" s="6" t="s">
        <v>53</v>
      </c>
      <c r="F200" s="6">
        <v>13</v>
      </c>
      <c r="G200" s="15">
        <v>7.9861111111111105E-2</v>
      </c>
      <c r="H200" s="16">
        <v>0</v>
      </c>
      <c r="I200" s="35">
        <f ca="1">IFERROR(Tabela3[[#This Row],[Custo Total]]/Tabela3[[#This Row],[Aluminio Util]],0)</f>
        <v>28.118802728025667</v>
      </c>
      <c r="J200" s="35">
        <f ca="1">Tabela3[[#This Row],[Custo Total]]/Tabela3[[#This Row],[Realizado]]</f>
        <v>47.801964637643628</v>
      </c>
      <c r="K200" s="37">
        <f>IFERROR(Tabela3[[#This Row],[Qtde Cx Produzida]]/Tabela3[[#This Row],[Tempo]]/24,0)</f>
        <v>6.7826086956521747</v>
      </c>
      <c r="L200" s="37">
        <f>Tabela3[[#This Row],[Qtde Cx Produzida]]*Tabela3[[#This Row],[Qdt Peça Placa]]</f>
        <v>13</v>
      </c>
      <c r="M200" s="37">
        <f>Tabela3[[#This Row],[Previsto]]-Tabela3[[#This Row],[Perda Pçs]]</f>
        <v>13</v>
      </c>
      <c r="N200" s="38">
        <f>IFERROR(Tabela3[[#This Row],[Perda Pçs]]/Tabela3[[#This Row],[Previsto]],0)</f>
        <v>0</v>
      </c>
      <c r="O200" s="39">
        <f>IFERROR(IF(Tabela3[[#This Row],[Qtde Cx Produzida]] &lt;&gt; 0, Tabela3[[#This Row],[Tempo]] / Tabela3[[#This Row],[Qtde Cx Produzida]], 0),0)</f>
        <v>6.143162393162393E-3</v>
      </c>
      <c r="P200" s="57">
        <f>IFERROR(Tabela3[[#This Row],[Perda Pçs]]/Tabela3[[#This Row],[Qdt Peça Placa]],0)</f>
        <v>0</v>
      </c>
      <c r="Q200" s="37">
        <f>IFERROR(Tabela3[[#This Row],[Realizado]]*Tabela3[[#This Row],[Peso Util/Pç]],0)</f>
        <v>22.099999999999998</v>
      </c>
      <c r="R200" s="37">
        <f>IFERROR(Tabela3[[#This Row],[Peso Total Galho]]*Tabela3[[#This Row],[Qtde Cx Produzida]]*1.055,0)</f>
        <v>37.030499999999996</v>
      </c>
      <c r="S200" s="37">
        <f>(Tabela3[[#This Row],[Aluminio Bruto]]-Tabela3[[#This Row],[Aluminio Util]])*0.9</f>
        <v>13.437449999999998</v>
      </c>
      <c r="T200" s="37">
        <f>Tabela3[[#This Row],[Aluminio Bruto]]/OleoKGAluminio</f>
        <v>15.578683470023501</v>
      </c>
      <c r="U200" s="35">
        <f>IFERROR((VLOOKUP(Tabela3[[#This Row],[Moldador]],Tabela1[],5,)+(VLOOKUP(Tabela3[[#This Row],[Ajudante]],Tabela1[],5,))*3.5),0)</f>
        <v>99.95034583333333</v>
      </c>
      <c r="V200" s="35">
        <f>IFERROR(Tabela3[[#This Row],[Custo M.O. / H]]/((Tabela3[[#This Row],[Realizado]]/Tabela3[[#This Row],[Qdt Peça Placa]])/Tabela3[[#This Row],[Tempo]]/24),)</f>
        <v>14.736268936965809</v>
      </c>
      <c r="W200" s="35">
        <f>Tabela3[[#This Row],[Custo / Cx Moldada]]*Tabela3[[#This Row],[Qtde Cx Produzida]]</f>
        <v>191.57149618055553</v>
      </c>
      <c r="X200" s="35">
        <f ca="1">Tabela3[[#This Row],[Aluminio Util]]*Tabela3[[#This Row],[Custo/Kg]]</f>
        <v>388.96</v>
      </c>
      <c r="Y200" s="35">
        <f>IFERROR(VLOOKUP(Tabela3[[#This Row],[Data]],Tabela461213[],2,1)*(Tabela3[[#This Row],[Qtde Cx Produzida]]*Tabela3[[#This Row],[Qde macho / CX]]*Tabela3[[#This Row],[Peso Macho]]),)</f>
        <v>0</v>
      </c>
      <c r="Z200" s="35">
        <f>IFERROR(Tabela3[[#This Row],[Qtde Oleo]]*(VLOOKUP(Tabela3[[#This Row],[Data]],CompraOleo[],3,TRUE))*1.05,0)</f>
        <v>40.894044108811691</v>
      </c>
      <c r="AA200" s="47">
        <f ca="1">(Tabela3[[#This Row],[Custo Oleo]]+Tabela3[[#This Row],[Custo Aluminio]]+Tabela3[[#This Row],[Custo M.O. Total]]+Tabela3[[#This Row],[Custo Machos]])</f>
        <v>621.42554028936718</v>
      </c>
      <c r="AB200" s="47">
        <f ca="1">Tabela3[[#This Row],[Custo Total]]*Tabela3[[#This Row],[% Perda]]</f>
        <v>0</v>
      </c>
      <c r="AC200" s="48">
        <f>IFERROR(VLOOKUP(Tabela3[[#This Row],[Produto]],Tabela2[],2,0),0)</f>
        <v>1</v>
      </c>
      <c r="AD200" s="48">
        <f>IFERROR(VLOOKUP(Tabela3[[#This Row],[Produto]],Tabela2[],3,0),0)</f>
        <v>1.7</v>
      </c>
      <c r="AE200" s="48">
        <f>IFERROR(VLOOKUP(Tabela3[[#This Row],[Produto]],Tabela2[],4,0),0)</f>
        <v>2.7</v>
      </c>
      <c r="AF200" s="48">
        <f>IFERROR(VLOOKUP(Tabela3[[#This Row],[Produto]],Tabela2[],5,0),0)</f>
        <v>0.90000000000000024</v>
      </c>
      <c r="AG200" s="40">
        <f>IFERROR(VLOOKUP(Tabela3[[#This Row],[Produto]],Tabela2[],6,0),0)</f>
        <v>0</v>
      </c>
      <c r="AH200" s="40">
        <f>IFERROR(VLOOKUP(Tabela3[[#This Row],[Produto]],Tabela2[],7,0),0)</f>
        <v>0</v>
      </c>
      <c r="AI200" s="40">
        <f>IFERROR(VLOOKUP(Tabela3[[#This Row],[Produto]],Tabela2[],8,0),0)</f>
        <v>0</v>
      </c>
      <c r="AJ200" s="35">
        <f ca="1">IFERROR(VLOOKUP(Tabela3[[#This Row],[Produto]],Tabela2[],13,0),0)</f>
        <v>17.600000000000001</v>
      </c>
      <c r="AK200" s="40" t="str">
        <f>IFERROR(VLOOKUP(Tabela3[[#This Row],[Produto]],Tabela2[],14,0),0)</f>
        <v>Jumil</v>
      </c>
      <c r="AL200" s="40">
        <f>IFERROR(VLOOKUP(Tabela3[[#This Row],[Produto]],Tabela2[],15,0),0)</f>
        <v>80</v>
      </c>
      <c r="AM200" s="36">
        <f ca="1">(Tabela3[[#This Row],[Custo Usinagem]]+Tabela3[[#This Row],[Custo / Pç]])*1.2</f>
        <v>153.36235756517235</v>
      </c>
      <c r="AN200" s="36">
        <f ca="1">Tabela3[[#This Row],[Valor Mínimo Venda]]*1.15</f>
        <v>176.36671119994818</v>
      </c>
      <c r="AO200" s="36">
        <f ca="1">Tabela3[[#This Row],[Tabela 1]]*1.08</f>
        <v>190.47604809594407</v>
      </c>
      <c r="AP200" s="36">
        <f ca="1">Tabela3[[#This Row],[Tabela 2]]*1.15</f>
        <v>219.04745531033566</v>
      </c>
    </row>
    <row r="201" spans="1:42">
      <c r="A201" s="9">
        <v>45761</v>
      </c>
      <c r="B201" s="6" t="s">
        <v>253</v>
      </c>
      <c r="C201" s="14">
        <v>6265</v>
      </c>
      <c r="D201" s="6" t="s">
        <v>44</v>
      </c>
      <c r="E201" s="6" t="s">
        <v>47</v>
      </c>
      <c r="F201" s="6">
        <v>20</v>
      </c>
      <c r="G201" s="15">
        <v>9.5138888888888884E-2</v>
      </c>
      <c r="H201" s="16">
        <v>0</v>
      </c>
      <c r="I201" s="35">
        <f ca="1">IFERROR(Tabela3[[#This Row],[Custo Total]]/Tabela3[[#This Row],[Aluminio Util]],0)</f>
        <v>30.76447414586529</v>
      </c>
      <c r="J201" s="35">
        <f ca="1">Tabela3[[#This Row],[Custo Total]]/Tabela3[[#This Row],[Realizado]]</f>
        <v>32.302697853158556</v>
      </c>
      <c r="K201" s="37">
        <f>IFERROR(Tabela3[[#This Row],[Qtde Cx Produzida]]/Tabela3[[#This Row],[Tempo]]/24,0)</f>
        <v>8.7591240875912408</v>
      </c>
      <c r="L201" s="37">
        <f>Tabela3[[#This Row],[Qtde Cx Produzida]]*Tabela3[[#This Row],[Qdt Peça Placa]]</f>
        <v>20</v>
      </c>
      <c r="M201" s="37">
        <f>Tabela3[[#This Row],[Previsto]]-Tabela3[[#This Row],[Perda Pçs]]</f>
        <v>20</v>
      </c>
      <c r="N201" s="38">
        <f>IFERROR(Tabela3[[#This Row],[Perda Pçs]]/Tabela3[[#This Row],[Previsto]],0)</f>
        <v>0</v>
      </c>
      <c r="O201" s="39">
        <f>IFERROR(IF(Tabela3[[#This Row],[Qtde Cx Produzida]] &lt;&gt; 0, Tabela3[[#This Row],[Tempo]] / Tabela3[[#This Row],[Qtde Cx Produzida]], 0),0)</f>
        <v>4.7569444444444439E-3</v>
      </c>
      <c r="P201" s="57">
        <f>IFERROR(Tabela3[[#This Row],[Perda Pçs]]/Tabela3[[#This Row],[Qdt Peça Placa]],0)</f>
        <v>0</v>
      </c>
      <c r="Q201" s="37">
        <f>IFERROR(Tabela3[[#This Row],[Realizado]]*Tabela3[[#This Row],[Peso Util/Pç]],0)</f>
        <v>21</v>
      </c>
      <c r="R201" s="37">
        <f>IFERROR(Tabela3[[#This Row],[Peso Total Galho]]*Tabela3[[#This Row],[Qtde Cx Produzida]]*1.055,0)</f>
        <v>43.676999999999992</v>
      </c>
      <c r="S201" s="37">
        <f>(Tabela3[[#This Row],[Aluminio Bruto]]-Tabela3[[#This Row],[Aluminio Util]])*0.9</f>
        <v>20.409299999999995</v>
      </c>
      <c r="T201" s="37">
        <f>Tabela3[[#This Row],[Aluminio Bruto]]/OleoKGAluminio</f>
        <v>18.374857426181563</v>
      </c>
      <c r="U201" s="35">
        <f>IFERROR((VLOOKUP(Tabela3[[#This Row],[Moldador]],Tabela1[],5,)+(VLOOKUP(Tabela3[[#This Row],[Ajudante]],Tabela1[],5,))*3.5),0)</f>
        <v>99.95034583333333</v>
      </c>
      <c r="V201" s="35">
        <f>IFERROR(Tabela3[[#This Row],[Custo M.O. / H]]/((Tabela3[[#This Row],[Realizado]]/Tabela3[[#This Row],[Qdt Peça Placa]])/Tabela3[[#This Row],[Tempo]]/24),)</f>
        <v>11.410997815972221</v>
      </c>
      <c r="W201" s="35">
        <f>Tabela3[[#This Row],[Custo / Cx Moldada]]*Tabela3[[#This Row],[Qtde Cx Produzida]]</f>
        <v>228.21995631944444</v>
      </c>
      <c r="X201" s="35">
        <f ca="1">Tabela3[[#This Row],[Aluminio Util]]*Tabela3[[#This Row],[Custo/Kg]]</f>
        <v>369.6</v>
      </c>
      <c r="Y201" s="35">
        <f>IFERROR(VLOOKUP(Tabela3[[#This Row],[Data]],Tabela461213[],2,1)*(Tabela3[[#This Row],[Qtde Cx Produzida]]*Tabela3[[#This Row],[Qde macho / CX]]*Tabela3[[#This Row],[Peso Macho]]),)</f>
        <v>0</v>
      </c>
      <c r="Z201" s="35">
        <f>IFERROR(Tabela3[[#This Row],[Qtde Oleo]]*(VLOOKUP(Tabela3[[#This Row],[Data]],CompraOleo[],3,TRUE))*1.05,0)</f>
        <v>48.234000743726604</v>
      </c>
      <c r="AA201" s="47">
        <f ca="1">(Tabela3[[#This Row],[Custo Oleo]]+Tabela3[[#This Row],[Custo Aluminio]]+Tabela3[[#This Row],[Custo M.O. Total]]+Tabela3[[#This Row],[Custo Machos]])</f>
        <v>646.05395706317108</v>
      </c>
      <c r="AB201" s="47">
        <f ca="1">Tabela3[[#This Row],[Custo Total]]*Tabela3[[#This Row],[% Perda]]</f>
        <v>0</v>
      </c>
      <c r="AC201" s="48">
        <f>IFERROR(VLOOKUP(Tabela3[[#This Row],[Produto]],Tabela2[],2,0),0)</f>
        <v>1</v>
      </c>
      <c r="AD201" s="48">
        <f>IFERROR(VLOOKUP(Tabela3[[#This Row],[Produto]],Tabela2[],3,0),0)</f>
        <v>1.05</v>
      </c>
      <c r="AE201" s="48">
        <f>IFERROR(VLOOKUP(Tabela3[[#This Row],[Produto]],Tabela2[],4,0),0)</f>
        <v>2.0699999999999998</v>
      </c>
      <c r="AF201" s="48">
        <f>IFERROR(VLOOKUP(Tabela3[[#This Row],[Produto]],Tabela2[],5,0),0)</f>
        <v>0.91799999999999982</v>
      </c>
      <c r="AG201" s="40">
        <f>IFERROR(VLOOKUP(Tabela3[[#This Row],[Produto]],Tabela2[],6,0),0)</f>
        <v>0</v>
      </c>
      <c r="AH201" s="40">
        <f>IFERROR(VLOOKUP(Tabela3[[#This Row],[Produto]],Tabela2[],7,0),0)</f>
        <v>0</v>
      </c>
      <c r="AI201" s="40">
        <f>IFERROR(VLOOKUP(Tabela3[[#This Row],[Produto]],Tabela2[],8,0),0)</f>
        <v>0</v>
      </c>
      <c r="AJ201" s="35">
        <f ca="1">IFERROR(VLOOKUP(Tabela3[[#This Row],[Produto]],Tabela2[],13,0),0)</f>
        <v>17.600000000000001</v>
      </c>
      <c r="AK201" s="40" t="str">
        <f>IFERROR(VLOOKUP(Tabela3[[#This Row],[Produto]],Tabela2[],14,0),0)</f>
        <v>Protec</v>
      </c>
      <c r="AL201" s="40">
        <f>IFERROR(VLOOKUP(Tabela3[[#This Row],[Produto]],Tabela2[],15,0),0)</f>
        <v>0</v>
      </c>
      <c r="AM201" s="36">
        <f ca="1">(Tabela3[[#This Row],[Custo Usinagem]]+Tabela3[[#This Row],[Custo / Pç]])*1.2</f>
        <v>38.763237423790265</v>
      </c>
      <c r="AN201" s="36">
        <f ca="1">Tabela3[[#This Row],[Valor Mínimo Venda]]*1.15</f>
        <v>44.577723037358801</v>
      </c>
      <c r="AO201" s="36">
        <f ca="1">Tabela3[[#This Row],[Tabela 1]]*1.08</f>
        <v>48.143940880347508</v>
      </c>
      <c r="AP201" s="36">
        <f ca="1">Tabela3[[#This Row],[Tabela 2]]*1.15</f>
        <v>55.365532012399626</v>
      </c>
    </row>
    <row r="202" spans="1:42">
      <c r="A202" s="9">
        <v>45761</v>
      </c>
      <c r="B202" s="6" t="s">
        <v>255</v>
      </c>
      <c r="C202" s="14">
        <v>6266</v>
      </c>
      <c r="D202" s="6" t="s">
        <v>44</v>
      </c>
      <c r="E202" s="6" t="s">
        <v>47</v>
      </c>
      <c r="F202" s="6">
        <v>20</v>
      </c>
      <c r="G202" s="15">
        <v>8.6805555555555552E-2</v>
      </c>
      <c r="H202" s="16">
        <v>0</v>
      </c>
      <c r="I202" s="35">
        <f ca="1">IFERROR(Tabela3[[#This Row],[Custo Total]]/Tabela3[[#This Row],[Aluminio Util]],0)</f>
        <v>27.653502759075256</v>
      </c>
      <c r="J202" s="35">
        <f ca="1">Tabela3[[#This Row],[Custo Total]]/Tabela3[[#This Row],[Realizado]]</f>
        <v>34.566878448844065</v>
      </c>
      <c r="K202" s="37">
        <f>IFERROR(Tabela3[[#This Row],[Qtde Cx Produzida]]/Tabela3[[#This Row],[Tempo]]/24,0)</f>
        <v>9.6</v>
      </c>
      <c r="L202" s="37">
        <f>Tabela3[[#This Row],[Qtde Cx Produzida]]*Tabela3[[#This Row],[Qdt Peça Placa]]</f>
        <v>20</v>
      </c>
      <c r="M202" s="37">
        <f>Tabela3[[#This Row],[Previsto]]-Tabela3[[#This Row],[Perda Pçs]]</f>
        <v>20</v>
      </c>
      <c r="N202" s="38">
        <f>IFERROR(Tabela3[[#This Row],[Perda Pçs]]/Tabela3[[#This Row],[Previsto]],0)</f>
        <v>0</v>
      </c>
      <c r="O202" s="39">
        <f>IFERROR(IF(Tabela3[[#This Row],[Qtde Cx Produzida]] &lt;&gt; 0, Tabela3[[#This Row],[Tempo]] / Tabela3[[#This Row],[Qtde Cx Produzida]], 0),0)</f>
        <v>4.340277777777778E-3</v>
      </c>
      <c r="P202" s="57">
        <f>IFERROR(Tabela3[[#This Row],[Perda Pçs]]/Tabela3[[#This Row],[Qdt Peça Placa]],0)</f>
        <v>0</v>
      </c>
      <c r="Q202" s="37">
        <f>IFERROR(Tabela3[[#This Row],[Realizado]]*Tabela3[[#This Row],[Peso Util/Pç]],0)</f>
        <v>25</v>
      </c>
      <c r="R202" s="37">
        <f>IFERROR(Tabela3[[#This Row],[Peso Total Galho]]*Tabela3[[#This Row],[Qtde Cx Produzida]]*1.055,0)</f>
        <v>39.034999999999997</v>
      </c>
      <c r="S202" s="37">
        <f>(Tabela3[[#This Row],[Aluminio Bruto]]-Tabela3[[#This Row],[Aluminio Util]])*0.9</f>
        <v>12.631499999999997</v>
      </c>
      <c r="T202" s="37">
        <f>Tabela3[[#This Row],[Aluminio Bruto]]/OleoKGAluminio</f>
        <v>16.421974028229901</v>
      </c>
      <c r="U202" s="35">
        <f>IFERROR((VLOOKUP(Tabela3[[#This Row],[Moldador]],Tabela1[],5,)+(VLOOKUP(Tabela3[[#This Row],[Ajudante]],Tabela1[],5,))*3.5),0)</f>
        <v>99.95034583333333</v>
      </c>
      <c r="V202" s="35">
        <f>IFERROR(Tabela3[[#This Row],[Custo M.O. / H]]/((Tabela3[[#This Row],[Realizado]]/Tabela3[[#This Row],[Qdt Peça Placa]])/Tabela3[[#This Row],[Tempo]]/24),)</f>
        <v>10.411494357638889</v>
      </c>
      <c r="W202" s="35">
        <f>Tabela3[[#This Row],[Custo / Cx Moldada]]*Tabela3[[#This Row],[Qtde Cx Produzida]]</f>
        <v>208.22988715277776</v>
      </c>
      <c r="X202" s="35">
        <f ca="1">Tabela3[[#This Row],[Aluminio Util]]*Tabela3[[#This Row],[Custo/Kg]]</f>
        <v>440.00000000000006</v>
      </c>
      <c r="Y202" s="35">
        <f>IFERROR(VLOOKUP(Tabela3[[#This Row],[Data]],Tabela461213[],2,1)*(Tabela3[[#This Row],[Qtde Cx Produzida]]*Tabela3[[#This Row],[Qde macho / CX]]*Tabela3[[#This Row],[Peso Macho]]),)</f>
        <v>0</v>
      </c>
      <c r="Z202" s="35">
        <f>IFERROR(Tabela3[[#This Row],[Qtde Oleo]]*(VLOOKUP(Tabela3[[#This Row],[Data]],CompraOleo[],3,TRUE))*1.05,0)</f>
        <v>43.107681824103487</v>
      </c>
      <c r="AA202" s="47">
        <f ca="1">(Tabela3[[#This Row],[Custo Oleo]]+Tabela3[[#This Row],[Custo Aluminio]]+Tabela3[[#This Row],[Custo M.O. Total]]+Tabela3[[#This Row],[Custo Machos]])</f>
        <v>691.33756897688136</v>
      </c>
      <c r="AB202" s="47">
        <f ca="1">Tabela3[[#This Row],[Custo Total]]*Tabela3[[#This Row],[% Perda]]</f>
        <v>0</v>
      </c>
      <c r="AC202" s="48">
        <f>IFERROR(VLOOKUP(Tabela3[[#This Row],[Produto]],Tabela2[],2,0),0)</f>
        <v>1</v>
      </c>
      <c r="AD202" s="48">
        <f>IFERROR(VLOOKUP(Tabela3[[#This Row],[Produto]],Tabela2[],3,0),0)</f>
        <v>1.25</v>
      </c>
      <c r="AE202" s="48">
        <f>IFERROR(VLOOKUP(Tabela3[[#This Row],[Produto]],Tabela2[],4,0),0)</f>
        <v>1.85</v>
      </c>
      <c r="AF202" s="48">
        <f>IFERROR(VLOOKUP(Tabela3[[#This Row],[Produto]],Tabela2[],5,0),0)</f>
        <v>0.54000000000000015</v>
      </c>
      <c r="AG202" s="40">
        <f>IFERROR(VLOOKUP(Tabela3[[#This Row],[Produto]],Tabela2[],6,0),0)</f>
        <v>0</v>
      </c>
      <c r="AH202" s="40">
        <f>IFERROR(VLOOKUP(Tabela3[[#This Row],[Produto]],Tabela2[],7,0),0)</f>
        <v>0</v>
      </c>
      <c r="AI202" s="40">
        <f>IFERROR(VLOOKUP(Tabela3[[#This Row],[Produto]],Tabela2[],8,0),0)</f>
        <v>0</v>
      </c>
      <c r="AJ202" s="35">
        <f ca="1">IFERROR(VLOOKUP(Tabela3[[#This Row],[Produto]],Tabela2[],13,0),0)</f>
        <v>17.600000000000001</v>
      </c>
      <c r="AK202" s="40" t="str">
        <f>IFERROR(VLOOKUP(Tabela3[[#This Row],[Produto]],Tabela2[],14,0),0)</f>
        <v>Protec</v>
      </c>
      <c r="AL202" s="40">
        <f>IFERROR(VLOOKUP(Tabela3[[#This Row],[Produto]],Tabela2[],15,0),0)</f>
        <v>0</v>
      </c>
      <c r="AM202" s="36">
        <f ca="1">(Tabela3[[#This Row],[Custo Usinagem]]+Tabela3[[#This Row],[Custo / Pç]])*1.2</f>
        <v>41.480254138612878</v>
      </c>
      <c r="AN202" s="36">
        <f ca="1">Tabela3[[#This Row],[Valor Mínimo Venda]]*1.15</f>
        <v>47.702292259404807</v>
      </c>
      <c r="AO202" s="36">
        <f ca="1">Tabela3[[#This Row],[Tabela 1]]*1.08</f>
        <v>51.518475640157192</v>
      </c>
      <c r="AP202" s="36">
        <f ca="1">Tabela3[[#This Row],[Tabela 2]]*1.15</f>
        <v>59.246246986180765</v>
      </c>
    </row>
    <row r="203" spans="1:42">
      <c r="A203" s="9">
        <v>45761</v>
      </c>
      <c r="B203" s="6" t="s">
        <v>83</v>
      </c>
      <c r="C203" s="14">
        <v>6258</v>
      </c>
      <c r="D203" s="6" t="s">
        <v>44</v>
      </c>
      <c r="E203" s="6" t="s">
        <v>47</v>
      </c>
      <c r="F203" s="6">
        <v>6</v>
      </c>
      <c r="G203" s="15">
        <v>3.125E-2</v>
      </c>
      <c r="H203" s="16">
        <v>0</v>
      </c>
      <c r="I203" s="35">
        <f ca="1">IFERROR(Tabela3[[#This Row],[Custo Total]]/Tabela3[[#This Row],[Aluminio Util]],0)</f>
        <v>30.190923696285214</v>
      </c>
      <c r="J203" s="35">
        <f ca="1">Tabela3[[#This Row],[Custo Total]]/Tabela3[[#This Row],[Realizado]]</f>
        <v>30.190923696285214</v>
      </c>
      <c r="K203" s="37">
        <f>IFERROR(Tabela3[[#This Row],[Qtde Cx Produzida]]/Tabela3[[#This Row],[Tempo]]/24,0)</f>
        <v>8</v>
      </c>
      <c r="L203" s="37">
        <f>Tabela3[[#This Row],[Qtde Cx Produzida]]*Tabela3[[#This Row],[Qdt Peça Placa]]</f>
        <v>6</v>
      </c>
      <c r="M203" s="37">
        <f>Tabela3[[#This Row],[Previsto]]-Tabela3[[#This Row],[Perda Pçs]]</f>
        <v>6</v>
      </c>
      <c r="N203" s="38">
        <f>IFERROR(Tabela3[[#This Row],[Perda Pçs]]/Tabela3[[#This Row],[Previsto]],0)</f>
        <v>0</v>
      </c>
      <c r="O203" s="39">
        <f>IFERROR(IF(Tabela3[[#This Row],[Qtde Cx Produzida]] &lt;&gt; 0, Tabela3[[#This Row],[Tempo]] / Tabela3[[#This Row],[Qtde Cx Produzida]], 0),0)</f>
        <v>5.208333333333333E-3</v>
      </c>
      <c r="P203" s="57">
        <f>IFERROR(Tabela3[[#This Row],[Perda Pçs]]/Tabela3[[#This Row],[Qdt Peça Placa]],0)</f>
        <v>0</v>
      </c>
      <c r="Q203" s="37">
        <f>IFERROR(Tabela3[[#This Row],[Realizado]]*Tabela3[[#This Row],[Peso Util/Pç]],0)</f>
        <v>6</v>
      </c>
      <c r="R203" s="37">
        <f>IFERROR(Tabela3[[#This Row],[Peso Total Galho]]*Tabela3[[#This Row],[Qtde Cx Produzida]]*1.055,0)</f>
        <v>11.394</v>
      </c>
      <c r="S203" s="37">
        <f>(Tabela3[[#This Row],[Aluminio Bruto]]-Tabela3[[#This Row],[Aluminio Util]])*0.9</f>
        <v>4.8546000000000005</v>
      </c>
      <c r="T203" s="37">
        <f>Tabela3[[#This Row],[Aluminio Bruto]]/OleoKGAluminio</f>
        <v>4.7934410676995389</v>
      </c>
      <c r="U203" s="35">
        <f>IFERROR((VLOOKUP(Tabela3[[#This Row],[Moldador]],Tabela1[],5,)+(VLOOKUP(Tabela3[[#This Row],[Ajudante]],Tabela1[],5,))*3.5),0)</f>
        <v>99.95034583333333</v>
      </c>
      <c r="V203" s="35">
        <f>IFERROR(Tabela3[[#This Row],[Custo M.O. / H]]/((Tabela3[[#This Row],[Realizado]]/Tabela3[[#This Row],[Qdt Peça Placa]])/Tabela3[[#This Row],[Tempo]]/24),)</f>
        <v>12.493793229166666</v>
      </c>
      <c r="W203" s="35">
        <f>Tabela3[[#This Row],[Custo / Cx Moldada]]*Tabela3[[#This Row],[Qtde Cx Produzida]]</f>
        <v>74.96275937499999</v>
      </c>
      <c r="X203" s="35">
        <f ca="1">Tabela3[[#This Row],[Aluminio Util]]*Tabela3[[#This Row],[Custo/Kg]]</f>
        <v>93.600000000000009</v>
      </c>
      <c r="Y203" s="35">
        <f>IFERROR(VLOOKUP(Tabela3[[#This Row],[Data]],Tabela461213[],2,1)*(Tabela3[[#This Row],[Qtde Cx Produzida]]*Tabela3[[#This Row],[Qde macho / CX]]*Tabela3[[#This Row],[Peso Macho]]),)</f>
        <v>0</v>
      </c>
      <c r="Z203" s="35">
        <f>IFERROR(Tabela3[[#This Row],[Qtde Oleo]]*(VLOOKUP(Tabela3[[#This Row],[Data]],CompraOleo[],3,TRUE))*1.05,0)</f>
        <v>12.582782802711291</v>
      </c>
      <c r="AA203" s="47">
        <f ca="1">(Tabela3[[#This Row],[Custo Oleo]]+Tabela3[[#This Row],[Custo Aluminio]]+Tabela3[[#This Row],[Custo M.O. Total]]+Tabela3[[#This Row],[Custo Machos]])</f>
        <v>181.14554217771129</v>
      </c>
      <c r="AB203" s="47">
        <f ca="1">Tabela3[[#This Row],[Custo Total]]*Tabela3[[#This Row],[% Perda]]</f>
        <v>0</v>
      </c>
      <c r="AC203" s="48">
        <f>IFERROR(VLOOKUP(Tabela3[[#This Row],[Produto]],Tabela2[],2,0),0)</f>
        <v>1</v>
      </c>
      <c r="AD203" s="48">
        <f>IFERROR(VLOOKUP(Tabela3[[#This Row],[Produto]],Tabela2[],3,0),0)</f>
        <v>1</v>
      </c>
      <c r="AE203" s="48">
        <f>IFERROR(VLOOKUP(Tabela3[[#This Row],[Produto]],Tabela2[],4,0),0)</f>
        <v>1.8</v>
      </c>
      <c r="AF203" s="48">
        <f>IFERROR(VLOOKUP(Tabela3[[#This Row],[Produto]],Tabela2[],5,0),0)</f>
        <v>0.72000000000000008</v>
      </c>
      <c r="AG203" s="40">
        <f>IFERROR(VLOOKUP(Tabela3[[#This Row],[Produto]],Tabela2[],6,0),0)</f>
        <v>0</v>
      </c>
      <c r="AH203" s="40">
        <f>IFERROR(VLOOKUP(Tabela3[[#This Row],[Produto]],Tabela2[],7,0),0)</f>
        <v>0</v>
      </c>
      <c r="AI203" s="40">
        <f>IFERROR(VLOOKUP(Tabela3[[#This Row],[Produto]],Tabela2[],8,0),0)</f>
        <v>0</v>
      </c>
      <c r="AJ203" s="35">
        <f ca="1">IFERROR(VLOOKUP(Tabela3[[#This Row],[Produto]],Tabela2[],13,0),0)</f>
        <v>15.600000000000001</v>
      </c>
      <c r="AK203" s="40" t="str">
        <f>IFERROR(VLOOKUP(Tabela3[[#This Row],[Produto]],Tabela2[],14,0),0)</f>
        <v>Jumil</v>
      </c>
      <c r="AL203" s="40">
        <f>IFERROR(VLOOKUP(Tabela3[[#This Row],[Produto]],Tabela2[],15,0),0)</f>
        <v>4</v>
      </c>
      <c r="AM203" s="36">
        <f ca="1">(Tabela3[[#This Row],[Custo Usinagem]]+Tabela3[[#This Row],[Custo / Pç]])*1.2</f>
        <v>41.029108435542248</v>
      </c>
      <c r="AN203" s="36">
        <f ca="1">Tabela3[[#This Row],[Valor Mínimo Venda]]*1.15</f>
        <v>47.183474700873582</v>
      </c>
      <c r="AO203" s="36">
        <f ca="1">Tabela3[[#This Row],[Tabela 1]]*1.08</f>
        <v>50.95815267694347</v>
      </c>
      <c r="AP203" s="36">
        <f ca="1">Tabela3[[#This Row],[Tabela 2]]*1.15</f>
        <v>58.601875578484986</v>
      </c>
    </row>
    <row r="204" spans="1:42">
      <c r="A204" s="9">
        <v>45761</v>
      </c>
      <c r="B204" s="6" t="s">
        <v>85</v>
      </c>
      <c r="C204" s="14">
        <v>6264</v>
      </c>
      <c r="D204" s="6" t="s">
        <v>44</v>
      </c>
      <c r="E204" s="6" t="s">
        <v>47</v>
      </c>
      <c r="F204" s="6">
        <v>10</v>
      </c>
      <c r="G204" s="15">
        <v>0.10555555555555556</v>
      </c>
      <c r="H204" s="16">
        <v>4</v>
      </c>
      <c r="I204" s="35">
        <f ca="1">IFERROR(Tabela3[[#This Row],[Custo Total]]/Tabela3[[#This Row],[Aluminio Util]],0)</f>
        <v>59.652224160272851</v>
      </c>
      <c r="J204" s="35">
        <f ca="1">Tabela3[[#This Row],[Custo Total]]/Tabela3[[#This Row],[Realizado]]</f>
        <v>107.37400348849114</v>
      </c>
      <c r="K204" s="37">
        <f>IFERROR(Tabela3[[#This Row],[Qtde Cx Produzida]]/Tabela3[[#This Row],[Tempo]]/24,0)</f>
        <v>3.9473684210526319</v>
      </c>
      <c r="L204" s="37">
        <f>Tabela3[[#This Row],[Qtde Cx Produzida]]*Tabela3[[#This Row],[Qdt Peça Placa]]</f>
        <v>10</v>
      </c>
      <c r="M204" s="37">
        <f>Tabela3[[#This Row],[Previsto]]-Tabela3[[#This Row],[Perda Pçs]]</f>
        <v>6</v>
      </c>
      <c r="N204" s="38">
        <f>IFERROR(Tabela3[[#This Row],[Perda Pçs]]/Tabela3[[#This Row],[Previsto]],0)</f>
        <v>0.4</v>
      </c>
      <c r="O204" s="39">
        <f>IFERROR(IF(Tabela3[[#This Row],[Qtde Cx Produzida]] &lt;&gt; 0, Tabela3[[#This Row],[Tempo]] / Tabela3[[#This Row],[Qtde Cx Produzida]], 0),0)</f>
        <v>1.0555555555555556E-2</v>
      </c>
      <c r="P204" s="57">
        <f>IFERROR(Tabela3[[#This Row],[Perda Pçs]]/Tabela3[[#This Row],[Qdt Peça Placa]],0)</f>
        <v>4</v>
      </c>
      <c r="Q204" s="37">
        <f>IFERROR(Tabela3[[#This Row],[Realizado]]*Tabela3[[#This Row],[Peso Util/Pç]],0)</f>
        <v>10.8</v>
      </c>
      <c r="R204" s="37">
        <f>IFERROR(Tabela3[[#This Row],[Peso Total Galho]]*Tabela3[[#This Row],[Qtde Cx Produzida]]*1.055,0)</f>
        <v>21.099999999999998</v>
      </c>
      <c r="S204" s="37">
        <f>(Tabela3[[#This Row],[Aluminio Bruto]]-Tabela3[[#This Row],[Aluminio Util]])*0.9</f>
        <v>9.2699999999999978</v>
      </c>
      <c r="T204" s="37">
        <f>Tabela3[[#This Row],[Aluminio Bruto]]/OleoKGAluminio</f>
        <v>8.8767427179621095</v>
      </c>
      <c r="U204" s="35">
        <f>IFERROR((VLOOKUP(Tabela3[[#This Row],[Moldador]],Tabela1[],5,)+(VLOOKUP(Tabela3[[#This Row],[Ajudante]],Tabela1[],5,))*3.5),0)</f>
        <v>99.95034583333333</v>
      </c>
      <c r="V204" s="35">
        <f>IFERROR(Tabela3[[#This Row],[Custo M.O. / H]]/((Tabela3[[#This Row],[Realizado]]/Tabela3[[#This Row],[Qdt Peça Placa]])/Tabela3[[#This Row],[Tempo]]/24),)</f>
        <v>42.201257129629624</v>
      </c>
      <c r="W204" s="35">
        <f>Tabela3[[#This Row],[Custo / Cx Moldada]]*Tabela3[[#This Row],[Qtde Cx Produzida]]</f>
        <v>422.01257129629624</v>
      </c>
      <c r="X204" s="35">
        <f ca="1">Tabela3[[#This Row],[Aluminio Util]]*Tabela3[[#This Row],[Custo/Kg]]</f>
        <v>168.48000000000002</v>
      </c>
      <c r="Y204" s="35">
        <f>IFERROR(VLOOKUP(Tabela3[[#This Row],[Data]],Tabela461213[],2,1)*(Tabela3[[#This Row],[Qtde Cx Produzida]]*Tabela3[[#This Row],[Qde macho / CX]]*Tabela3[[#This Row],[Peso Macho]]),)</f>
        <v>30.449999999999996</v>
      </c>
      <c r="Z204" s="35">
        <f>IFERROR(Tabela3[[#This Row],[Qtde Oleo]]*(VLOOKUP(Tabela3[[#This Row],[Data]],CompraOleo[],3,TRUE))*1.05,0)</f>
        <v>23.301449634650538</v>
      </c>
      <c r="AA204" s="47">
        <f ca="1">(Tabela3[[#This Row],[Custo Oleo]]+Tabela3[[#This Row],[Custo Aluminio]]+Tabela3[[#This Row],[Custo M.O. Total]]+Tabela3[[#This Row],[Custo Machos]])</f>
        <v>644.24402093094682</v>
      </c>
      <c r="AB204" s="47">
        <f ca="1">Tabela3[[#This Row],[Custo Total]]*Tabela3[[#This Row],[% Perda]]</f>
        <v>257.69760837237874</v>
      </c>
      <c r="AC204" s="48">
        <f>IFERROR(VLOOKUP(Tabela3[[#This Row],[Produto]],Tabela2[],2,0),0)</f>
        <v>1</v>
      </c>
      <c r="AD204" s="48">
        <f>IFERROR(VLOOKUP(Tabela3[[#This Row],[Produto]],Tabela2[],3,0),0)</f>
        <v>1.8</v>
      </c>
      <c r="AE204" s="48">
        <f>IFERROR(VLOOKUP(Tabela3[[#This Row],[Produto]],Tabela2[],4,0),0)</f>
        <v>2</v>
      </c>
      <c r="AF204" s="48">
        <f>IFERROR(VLOOKUP(Tabela3[[#This Row],[Produto]],Tabela2[],5,0),0)</f>
        <v>0.17999999999999997</v>
      </c>
      <c r="AG204" s="40">
        <f>IFERROR(VLOOKUP(Tabela3[[#This Row],[Produto]],Tabela2[],6,0),0)</f>
        <v>0</v>
      </c>
      <c r="AH204" s="40">
        <f>IFERROR(VLOOKUP(Tabela3[[#This Row],[Produto]],Tabela2[],7,0),0)</f>
        <v>1</v>
      </c>
      <c r="AI204" s="40">
        <f>IFERROR(VLOOKUP(Tabela3[[#This Row],[Produto]],Tabela2[],8,0),0)</f>
        <v>2.0299999999999998</v>
      </c>
      <c r="AJ204" s="35">
        <f ca="1">IFERROR(VLOOKUP(Tabela3[[#This Row],[Produto]],Tabela2[],13,0),0)</f>
        <v>15.600000000000001</v>
      </c>
      <c r="AK204" s="40" t="str">
        <f>IFERROR(VLOOKUP(Tabela3[[#This Row],[Produto]],Tabela2[],14,0),0)</f>
        <v>Jumil</v>
      </c>
      <c r="AL204" s="40">
        <f>IFERROR(VLOOKUP(Tabela3[[#This Row],[Produto]],Tabela2[],15,0),0)</f>
        <v>15</v>
      </c>
      <c r="AM204" s="36">
        <f ca="1">(Tabela3[[#This Row],[Custo Usinagem]]+Tabela3[[#This Row],[Custo / Pç]])*1.2</f>
        <v>146.84880418618937</v>
      </c>
      <c r="AN204" s="36">
        <f ca="1">Tabela3[[#This Row],[Valor Mínimo Venda]]*1.15</f>
        <v>168.87612481411776</v>
      </c>
      <c r="AO204" s="36">
        <f ca="1">Tabela3[[#This Row],[Tabela 1]]*1.08</f>
        <v>182.3862147992472</v>
      </c>
      <c r="AP204" s="36">
        <f ca="1">Tabela3[[#This Row],[Tabela 2]]*1.15</f>
        <v>209.74414701913426</v>
      </c>
    </row>
    <row r="205" spans="1:42">
      <c r="A205" s="9">
        <v>45762</v>
      </c>
      <c r="B205" s="6" t="s">
        <v>194</v>
      </c>
      <c r="C205" s="14">
        <v>6364</v>
      </c>
      <c r="D205" s="6" t="s">
        <v>46</v>
      </c>
      <c r="E205" s="6" t="s">
        <v>53</v>
      </c>
      <c r="F205" s="6">
        <v>2</v>
      </c>
      <c r="G205" s="15">
        <v>1.7361111111111112E-2</v>
      </c>
      <c r="H205" s="16">
        <v>0</v>
      </c>
      <c r="I205" s="35">
        <f ca="1">IFERROR(Tabela3[[#This Row],[Custo Total]]/Tabela3[[#This Row],[Aluminio Util]],0)</f>
        <v>24.550349496906591</v>
      </c>
      <c r="J205" s="35">
        <f ca="1">Tabela3[[#This Row],[Custo Total]]/Tabela3[[#This Row],[Realizado]]</f>
        <v>90.836293138554396</v>
      </c>
      <c r="K205" s="37">
        <f>IFERROR(Tabela3[[#This Row],[Qtde Cx Produzida]]/Tabela3[[#This Row],[Tempo]]/24,0)</f>
        <v>4.8</v>
      </c>
      <c r="L205" s="37">
        <f>Tabela3[[#This Row],[Qtde Cx Produzida]]*Tabela3[[#This Row],[Qdt Peça Placa]]</f>
        <v>2</v>
      </c>
      <c r="M205" s="37">
        <f>Tabela3[[#This Row],[Previsto]]-Tabela3[[#This Row],[Perda Pçs]]</f>
        <v>2</v>
      </c>
      <c r="N205" s="38">
        <f>IFERROR(Tabela3[[#This Row],[Perda Pçs]]/Tabela3[[#This Row],[Previsto]],0)</f>
        <v>0</v>
      </c>
      <c r="O205" s="39">
        <f>IFERROR(IF(Tabela3[[#This Row],[Qtde Cx Produzida]] &lt;&gt; 0, Tabela3[[#This Row],[Tempo]] / Tabela3[[#This Row],[Qtde Cx Produzida]], 0),0)</f>
        <v>8.6805555555555559E-3</v>
      </c>
      <c r="P205" s="57">
        <f>IFERROR(Tabela3[[#This Row],[Perda Pçs]]/Tabela3[[#This Row],[Qdt Peça Placa]],0)</f>
        <v>0</v>
      </c>
      <c r="Q205" s="37">
        <f>IFERROR(Tabela3[[#This Row],[Realizado]]*Tabela3[[#This Row],[Peso Util/Pç]],0)</f>
        <v>7.4</v>
      </c>
      <c r="R205" s="37">
        <f>IFERROR(Tabela3[[#This Row],[Peso Total Galho]]*Tabela3[[#This Row],[Qtde Cx Produzida]]*1.055,0)</f>
        <v>8.8620000000000001</v>
      </c>
      <c r="S205" s="37">
        <f>(Tabela3[[#This Row],[Aluminio Bruto]]-Tabela3[[#This Row],[Aluminio Util]])*0.9</f>
        <v>1.3157999999999999</v>
      </c>
      <c r="T205" s="37">
        <f>Tabela3[[#This Row],[Aluminio Bruto]]/OleoKGAluminio</f>
        <v>3.7282319415440863</v>
      </c>
      <c r="U205" s="35">
        <f>IFERROR((VLOOKUP(Tabela3[[#This Row],[Moldador]],Tabela1[],5,)+(VLOOKUP(Tabela3[[#This Row],[Ajudante]],Tabela1[],5,))*3.5),0)</f>
        <v>99.95034583333333</v>
      </c>
      <c r="V205" s="35">
        <f>IFERROR(Tabela3[[#This Row],[Custo M.O. / H]]/((Tabela3[[#This Row],[Realizado]]/Tabela3[[#This Row],[Qdt Peça Placa]])/Tabela3[[#This Row],[Tempo]]/24),)</f>
        <v>20.822988715277777</v>
      </c>
      <c r="W205" s="35">
        <f>Tabela3[[#This Row],[Custo / Cx Moldada]]*Tabela3[[#This Row],[Qtde Cx Produzida]]</f>
        <v>41.645977430555554</v>
      </c>
      <c r="X205" s="35">
        <f ca="1">Tabela3[[#This Row],[Aluminio Util]]*Tabela3[[#This Row],[Custo/Kg]]</f>
        <v>130.24</v>
      </c>
      <c r="Y205" s="35">
        <f>IFERROR(VLOOKUP(Tabela3[[#This Row],[Data]],Tabela461213[],2,1)*(Tabela3[[#This Row],[Qtde Cx Produzida]]*Tabela3[[#This Row],[Qde macho / CX]]*Tabela3[[#This Row],[Peso Macho]]),)</f>
        <v>0</v>
      </c>
      <c r="Z205" s="35">
        <f>IFERROR(Tabela3[[#This Row],[Qtde Oleo]]*(VLOOKUP(Tabela3[[#This Row],[Data]],CompraOleo[],3,TRUE))*1.05,0)</f>
        <v>9.7866088465532286</v>
      </c>
      <c r="AA205" s="47">
        <f ca="1">(Tabela3[[#This Row],[Custo Oleo]]+Tabela3[[#This Row],[Custo Aluminio]]+Tabela3[[#This Row],[Custo M.O. Total]]+Tabela3[[#This Row],[Custo Machos]])</f>
        <v>181.67258627710879</v>
      </c>
      <c r="AB205" s="47">
        <f ca="1">Tabela3[[#This Row],[Custo Total]]*Tabela3[[#This Row],[% Perda]]</f>
        <v>0</v>
      </c>
      <c r="AC205" s="48">
        <f>IFERROR(VLOOKUP(Tabela3[[#This Row],[Produto]],Tabela2[],2,0),0)</f>
        <v>1</v>
      </c>
      <c r="AD205" s="48">
        <f>IFERROR(VLOOKUP(Tabela3[[#This Row],[Produto]],Tabela2[],3,0),0)</f>
        <v>3.7</v>
      </c>
      <c r="AE205" s="48">
        <f>IFERROR(VLOOKUP(Tabela3[[#This Row],[Produto]],Tabela2[],4,0),0)</f>
        <v>4.2</v>
      </c>
      <c r="AF205" s="48">
        <f>IFERROR(VLOOKUP(Tabela3[[#This Row],[Produto]],Tabela2[],5,0),0)</f>
        <v>0.45</v>
      </c>
      <c r="AG205" s="40">
        <f>IFERROR(VLOOKUP(Tabela3[[#This Row],[Produto]],Tabela2[],6,0),0)</f>
        <v>0</v>
      </c>
      <c r="AH205" s="40">
        <f>IFERROR(VLOOKUP(Tabela3[[#This Row],[Produto]],Tabela2[],7,0),0)</f>
        <v>0</v>
      </c>
      <c r="AI205" s="40">
        <f>IFERROR(VLOOKUP(Tabela3[[#This Row],[Produto]],Tabela2[],8,0),0)</f>
        <v>0</v>
      </c>
      <c r="AJ205" s="35">
        <f ca="1">IFERROR(VLOOKUP(Tabela3[[#This Row],[Produto]],Tabela2[],13,0),0)</f>
        <v>17.600000000000001</v>
      </c>
      <c r="AK205" s="40" t="str">
        <f>IFERROR(VLOOKUP(Tabela3[[#This Row],[Produto]],Tabela2[],14,0),0)</f>
        <v>Oscar</v>
      </c>
      <c r="AL205" s="40">
        <f>IFERROR(VLOOKUP(Tabela3[[#This Row],[Produto]],Tabela2[],15,0),0)</f>
        <v>0</v>
      </c>
      <c r="AM205" s="36">
        <f ca="1">(Tabela3[[#This Row],[Custo Usinagem]]+Tabela3[[#This Row],[Custo / Pç]])*1.2</f>
        <v>109.00355176626528</v>
      </c>
      <c r="AN205" s="36">
        <f ca="1">Tabela3[[#This Row],[Valor Mínimo Venda]]*1.15</f>
        <v>125.35408453120506</v>
      </c>
      <c r="AO205" s="36">
        <f ca="1">Tabela3[[#This Row],[Tabela 1]]*1.08</f>
        <v>135.38241129370147</v>
      </c>
      <c r="AP205" s="36">
        <f ca="1">Tabela3[[#This Row],[Tabela 2]]*1.15</f>
        <v>155.68977298775667</v>
      </c>
    </row>
    <row r="206" spans="1:42">
      <c r="A206" s="9">
        <v>45762</v>
      </c>
      <c r="B206" s="6" t="s">
        <v>83</v>
      </c>
      <c r="C206" s="14">
        <v>6258</v>
      </c>
      <c r="D206" s="6" t="s">
        <v>46</v>
      </c>
      <c r="E206" s="6" t="s">
        <v>53</v>
      </c>
      <c r="F206" s="6">
        <v>9</v>
      </c>
      <c r="G206" s="15">
        <v>5.6250000000000001E-2</v>
      </c>
      <c r="H206" s="16">
        <v>0</v>
      </c>
      <c r="I206" s="35">
        <f ca="1">IFERROR(Tabela3[[#This Row],[Custo Total]]/Tabela3[[#This Row],[Aluminio Util]],0)</f>
        <v>32.689682342118545</v>
      </c>
      <c r="J206" s="35">
        <f ca="1">Tabela3[[#This Row],[Custo Total]]/Tabela3[[#This Row],[Realizado]]</f>
        <v>32.689682342118545</v>
      </c>
      <c r="K206" s="37">
        <f>IFERROR(Tabela3[[#This Row],[Qtde Cx Produzida]]/Tabela3[[#This Row],[Tempo]]/24,0)</f>
        <v>6.666666666666667</v>
      </c>
      <c r="L206" s="37">
        <f>Tabela3[[#This Row],[Qtde Cx Produzida]]*Tabela3[[#This Row],[Qdt Peça Placa]]</f>
        <v>9</v>
      </c>
      <c r="M206" s="37">
        <f>Tabela3[[#This Row],[Previsto]]-Tabela3[[#This Row],[Perda Pçs]]</f>
        <v>9</v>
      </c>
      <c r="N206" s="38">
        <f>IFERROR(Tabela3[[#This Row],[Perda Pçs]]/Tabela3[[#This Row],[Previsto]],0)</f>
        <v>0</v>
      </c>
      <c r="O206" s="39">
        <f>IFERROR(IF(Tabela3[[#This Row],[Qtde Cx Produzida]] &lt;&gt; 0, Tabela3[[#This Row],[Tempo]] / Tabela3[[#This Row],[Qtde Cx Produzida]], 0),0)</f>
        <v>6.2500000000000003E-3</v>
      </c>
      <c r="P206" s="57">
        <f>IFERROR(Tabela3[[#This Row],[Perda Pçs]]/Tabela3[[#This Row],[Qdt Peça Placa]],0)</f>
        <v>0</v>
      </c>
      <c r="Q206" s="37">
        <f>IFERROR(Tabela3[[#This Row],[Realizado]]*Tabela3[[#This Row],[Peso Util/Pç]],0)</f>
        <v>9</v>
      </c>
      <c r="R206" s="37">
        <f>IFERROR(Tabela3[[#This Row],[Peso Total Galho]]*Tabela3[[#This Row],[Qtde Cx Produzida]]*1.055,0)</f>
        <v>17.090999999999998</v>
      </c>
      <c r="S206" s="37">
        <f>(Tabela3[[#This Row],[Aluminio Bruto]]-Tabela3[[#This Row],[Aluminio Util]])*0.9</f>
        <v>7.2818999999999976</v>
      </c>
      <c r="T206" s="37">
        <f>Tabela3[[#This Row],[Aluminio Bruto]]/OleoKGAluminio</f>
        <v>7.1901616015493079</v>
      </c>
      <c r="U206" s="35">
        <f>IFERROR((VLOOKUP(Tabela3[[#This Row],[Moldador]],Tabela1[],5,)+(VLOOKUP(Tabela3[[#This Row],[Ajudante]],Tabela1[],5,))*3.5),0)</f>
        <v>99.95034583333333</v>
      </c>
      <c r="V206" s="35">
        <f>IFERROR(Tabela3[[#This Row],[Custo M.O. / H]]/((Tabela3[[#This Row],[Realizado]]/Tabela3[[#This Row],[Qdt Peça Placa]])/Tabela3[[#This Row],[Tempo]]/24),)</f>
        <v>14.992551874999998</v>
      </c>
      <c r="W206" s="35">
        <f>Tabela3[[#This Row],[Custo / Cx Moldada]]*Tabela3[[#This Row],[Qtde Cx Produzida]]</f>
        <v>134.93296687499998</v>
      </c>
      <c r="X206" s="35">
        <f ca="1">Tabela3[[#This Row],[Aluminio Util]]*Tabela3[[#This Row],[Custo/Kg]]</f>
        <v>140.4</v>
      </c>
      <c r="Y206" s="35">
        <f>IFERROR(VLOOKUP(Tabela3[[#This Row],[Data]],Tabela461213[],2,1)*(Tabela3[[#This Row],[Qtde Cx Produzida]]*Tabela3[[#This Row],[Qde macho / CX]]*Tabela3[[#This Row],[Peso Macho]]),)</f>
        <v>0</v>
      </c>
      <c r="Z206" s="35">
        <f>IFERROR(Tabela3[[#This Row],[Qtde Oleo]]*(VLOOKUP(Tabela3[[#This Row],[Data]],CompraOleo[],3,TRUE))*1.05,0)</f>
        <v>18.874174204066932</v>
      </c>
      <c r="AA206" s="47">
        <f ca="1">(Tabela3[[#This Row],[Custo Oleo]]+Tabela3[[#This Row],[Custo Aluminio]]+Tabela3[[#This Row],[Custo M.O. Total]]+Tabela3[[#This Row],[Custo Machos]])</f>
        <v>294.2071410790669</v>
      </c>
      <c r="AB206" s="47">
        <f ca="1">Tabela3[[#This Row],[Custo Total]]*Tabela3[[#This Row],[% Perda]]</f>
        <v>0</v>
      </c>
      <c r="AC206" s="48">
        <f>IFERROR(VLOOKUP(Tabela3[[#This Row],[Produto]],Tabela2[],2,0),0)</f>
        <v>1</v>
      </c>
      <c r="AD206" s="48">
        <f>IFERROR(VLOOKUP(Tabela3[[#This Row],[Produto]],Tabela2[],3,0),0)</f>
        <v>1</v>
      </c>
      <c r="AE206" s="48">
        <f>IFERROR(VLOOKUP(Tabela3[[#This Row],[Produto]],Tabela2[],4,0),0)</f>
        <v>1.8</v>
      </c>
      <c r="AF206" s="48">
        <f>IFERROR(VLOOKUP(Tabela3[[#This Row],[Produto]],Tabela2[],5,0),0)</f>
        <v>0.72000000000000008</v>
      </c>
      <c r="AG206" s="40">
        <f>IFERROR(VLOOKUP(Tabela3[[#This Row],[Produto]],Tabela2[],6,0),0)</f>
        <v>0</v>
      </c>
      <c r="AH206" s="40">
        <f>IFERROR(VLOOKUP(Tabela3[[#This Row],[Produto]],Tabela2[],7,0),0)</f>
        <v>0</v>
      </c>
      <c r="AI206" s="40">
        <f>IFERROR(VLOOKUP(Tabela3[[#This Row],[Produto]],Tabela2[],8,0),0)</f>
        <v>0</v>
      </c>
      <c r="AJ206" s="35">
        <f ca="1">IFERROR(VLOOKUP(Tabela3[[#This Row],[Produto]],Tabela2[],13,0),0)</f>
        <v>15.600000000000001</v>
      </c>
      <c r="AK206" s="40" t="str">
        <f>IFERROR(VLOOKUP(Tabela3[[#This Row],[Produto]],Tabela2[],14,0),0)</f>
        <v>Jumil</v>
      </c>
      <c r="AL206" s="40">
        <f>IFERROR(VLOOKUP(Tabela3[[#This Row],[Produto]],Tabela2[],15,0),0)</f>
        <v>4</v>
      </c>
      <c r="AM206" s="36">
        <f ca="1">(Tabela3[[#This Row],[Custo Usinagem]]+Tabela3[[#This Row],[Custo / Pç]])*1.2</f>
        <v>44.027618810542251</v>
      </c>
      <c r="AN206" s="36">
        <f ca="1">Tabela3[[#This Row],[Valor Mínimo Venda]]*1.15</f>
        <v>50.631761632123585</v>
      </c>
      <c r="AO206" s="36">
        <f ca="1">Tabela3[[#This Row],[Tabela 1]]*1.08</f>
        <v>54.682302562693472</v>
      </c>
      <c r="AP206" s="36">
        <f ca="1">Tabela3[[#This Row],[Tabela 2]]*1.15</f>
        <v>62.884647947097491</v>
      </c>
    </row>
    <row r="207" spans="1:42">
      <c r="A207" s="9">
        <v>45763</v>
      </c>
      <c r="B207" s="6" t="s">
        <v>83</v>
      </c>
      <c r="C207" s="14">
        <v>6258</v>
      </c>
      <c r="D207" s="6" t="s">
        <v>46</v>
      </c>
      <c r="E207" s="6" t="s">
        <v>53</v>
      </c>
      <c r="F207" s="6">
        <v>7</v>
      </c>
      <c r="G207" s="15">
        <v>2.9861111111111113E-2</v>
      </c>
      <c r="H207" s="16">
        <v>0</v>
      </c>
      <c r="I207" s="35">
        <f ca="1">IFERROR(Tabela3[[#This Row],[Custo Total]]/Tabela3[[#This Row],[Aluminio Util]],0)</f>
        <v>27.930142064340771</v>
      </c>
      <c r="J207" s="35">
        <f ca="1">Tabela3[[#This Row],[Custo Total]]/Tabela3[[#This Row],[Realizado]]</f>
        <v>27.930142064340771</v>
      </c>
      <c r="K207" s="37">
        <f>IFERROR(Tabela3[[#This Row],[Qtde Cx Produzida]]/Tabela3[[#This Row],[Tempo]]/24,0)</f>
        <v>9.7674418604651159</v>
      </c>
      <c r="L207" s="37">
        <f>Tabela3[[#This Row],[Qtde Cx Produzida]]*Tabela3[[#This Row],[Qdt Peça Placa]]</f>
        <v>7</v>
      </c>
      <c r="M207" s="37">
        <f>Tabela3[[#This Row],[Previsto]]-Tabela3[[#This Row],[Perda Pçs]]</f>
        <v>7</v>
      </c>
      <c r="N207" s="38">
        <f>IFERROR(Tabela3[[#This Row],[Perda Pçs]]/Tabela3[[#This Row],[Previsto]],0)</f>
        <v>0</v>
      </c>
      <c r="O207" s="39">
        <f>IFERROR(IF(Tabela3[[#This Row],[Qtde Cx Produzida]] &lt;&gt; 0, Tabela3[[#This Row],[Tempo]] / Tabela3[[#This Row],[Qtde Cx Produzida]], 0),0)</f>
        <v>4.2658730158730163E-3</v>
      </c>
      <c r="P207" s="57">
        <f>IFERROR(Tabela3[[#This Row],[Perda Pçs]]/Tabela3[[#This Row],[Qdt Peça Placa]],0)</f>
        <v>0</v>
      </c>
      <c r="Q207" s="37">
        <f>IFERROR(Tabela3[[#This Row],[Realizado]]*Tabela3[[#This Row],[Peso Util/Pç]],0)</f>
        <v>7</v>
      </c>
      <c r="R207" s="37">
        <f>IFERROR(Tabela3[[#This Row],[Peso Total Galho]]*Tabela3[[#This Row],[Qtde Cx Produzida]]*1.055,0)</f>
        <v>13.292999999999999</v>
      </c>
      <c r="S207" s="37">
        <f>(Tabela3[[#This Row],[Aluminio Bruto]]-Tabela3[[#This Row],[Aluminio Util]])*0.9</f>
        <v>5.6636999999999995</v>
      </c>
      <c r="T207" s="37">
        <f>Tabela3[[#This Row],[Aluminio Bruto]]/OleoKGAluminio</f>
        <v>5.5923479123161286</v>
      </c>
      <c r="U207" s="35">
        <f>IFERROR((VLOOKUP(Tabela3[[#This Row],[Moldador]],Tabela1[],5,)+(VLOOKUP(Tabela3[[#This Row],[Ajudante]],Tabela1[],5,))*3.5),0)</f>
        <v>99.95034583333333</v>
      </c>
      <c r="V207" s="35">
        <f>IFERROR(Tabela3[[#This Row],[Custo M.O. / H]]/((Tabela3[[#This Row],[Realizado]]/Tabela3[[#This Row],[Qdt Peça Placa]])/Tabela3[[#This Row],[Tempo]]/24),)</f>
        <v>10.233011597222223</v>
      </c>
      <c r="W207" s="35">
        <f>Tabela3[[#This Row],[Custo / Cx Moldada]]*Tabela3[[#This Row],[Qtde Cx Produzida]]</f>
        <v>71.631081180555555</v>
      </c>
      <c r="X207" s="35">
        <f ca="1">Tabela3[[#This Row],[Aluminio Util]]*Tabela3[[#This Row],[Custo/Kg]]</f>
        <v>109.20000000000002</v>
      </c>
      <c r="Y207" s="35">
        <f>IFERROR(VLOOKUP(Tabela3[[#This Row],[Data]],Tabela461213[],2,1)*(Tabela3[[#This Row],[Qtde Cx Produzida]]*Tabela3[[#This Row],[Qde macho / CX]]*Tabela3[[#This Row],[Peso Macho]]),)</f>
        <v>0</v>
      </c>
      <c r="Z207" s="35">
        <f>IFERROR(Tabela3[[#This Row],[Qtde Oleo]]*(VLOOKUP(Tabela3[[#This Row],[Data]],CompraOleo[],3,TRUE))*1.05,0)</f>
        <v>14.679913269829838</v>
      </c>
      <c r="AA207" s="47">
        <f ca="1">(Tabela3[[#This Row],[Custo Oleo]]+Tabela3[[#This Row],[Custo Aluminio]]+Tabela3[[#This Row],[Custo M.O. Total]]+Tabela3[[#This Row],[Custo Machos]])</f>
        <v>195.5109944503854</v>
      </c>
      <c r="AB207" s="47">
        <f ca="1">Tabela3[[#This Row],[Custo Total]]*Tabela3[[#This Row],[% Perda]]</f>
        <v>0</v>
      </c>
      <c r="AC207" s="48">
        <f>IFERROR(VLOOKUP(Tabela3[[#This Row],[Produto]],Tabela2[],2,0),0)</f>
        <v>1</v>
      </c>
      <c r="AD207" s="48">
        <f>IFERROR(VLOOKUP(Tabela3[[#This Row],[Produto]],Tabela2[],3,0),0)</f>
        <v>1</v>
      </c>
      <c r="AE207" s="48">
        <f>IFERROR(VLOOKUP(Tabela3[[#This Row],[Produto]],Tabela2[],4,0),0)</f>
        <v>1.8</v>
      </c>
      <c r="AF207" s="48">
        <f>IFERROR(VLOOKUP(Tabela3[[#This Row],[Produto]],Tabela2[],5,0),0)</f>
        <v>0.72000000000000008</v>
      </c>
      <c r="AG207" s="40">
        <f>IFERROR(VLOOKUP(Tabela3[[#This Row],[Produto]],Tabela2[],6,0),0)</f>
        <v>0</v>
      </c>
      <c r="AH207" s="40">
        <f>IFERROR(VLOOKUP(Tabela3[[#This Row],[Produto]],Tabela2[],7,0),0)</f>
        <v>0</v>
      </c>
      <c r="AI207" s="40">
        <f>IFERROR(VLOOKUP(Tabela3[[#This Row],[Produto]],Tabela2[],8,0),0)</f>
        <v>0</v>
      </c>
      <c r="AJ207" s="35">
        <f ca="1">IFERROR(VLOOKUP(Tabela3[[#This Row],[Produto]],Tabela2[],13,0),0)</f>
        <v>15.600000000000001</v>
      </c>
      <c r="AK207" s="40" t="str">
        <f>IFERROR(VLOOKUP(Tabela3[[#This Row],[Produto]],Tabela2[],14,0),0)</f>
        <v>Jumil</v>
      </c>
      <c r="AL207" s="40">
        <f>IFERROR(VLOOKUP(Tabela3[[#This Row],[Produto]],Tabela2[],15,0),0)</f>
        <v>4</v>
      </c>
      <c r="AM207" s="36">
        <f ca="1">(Tabela3[[#This Row],[Custo Usinagem]]+Tabela3[[#This Row],[Custo / Pç]])*1.2</f>
        <v>38.316170477208921</v>
      </c>
      <c r="AN207" s="36">
        <f ca="1">Tabela3[[#This Row],[Valor Mínimo Venda]]*1.15</f>
        <v>44.063596048790252</v>
      </c>
      <c r="AO207" s="36">
        <f ca="1">Tabela3[[#This Row],[Tabela 1]]*1.08</f>
        <v>47.588683732693475</v>
      </c>
      <c r="AP207" s="36">
        <f ca="1">Tabela3[[#This Row],[Tabela 2]]*1.15</f>
        <v>54.726986292597495</v>
      </c>
    </row>
    <row r="208" spans="1:42">
      <c r="A208" s="9">
        <v>45763</v>
      </c>
      <c r="B208" s="6" t="s">
        <v>236</v>
      </c>
      <c r="C208" s="14">
        <v>6365</v>
      </c>
      <c r="D208" s="6" t="s">
        <v>46</v>
      </c>
      <c r="E208" s="6" t="s">
        <v>53</v>
      </c>
      <c r="F208" s="6">
        <v>63</v>
      </c>
      <c r="G208" s="15">
        <v>0.32361111111111113</v>
      </c>
      <c r="H208" s="16">
        <v>30</v>
      </c>
      <c r="I208" s="35">
        <f ca="1">IFERROR(Tabela3[[#This Row],[Custo Total]]/Tabela3[[#This Row],[Aluminio Util]],0)</f>
        <v>25.126125291307623</v>
      </c>
      <c r="J208" s="35">
        <f ca="1">Tabela3[[#This Row],[Custo Total]]/Tabela3[[#This Row],[Realizado]]</f>
        <v>7.588089837974902</v>
      </c>
      <c r="K208" s="37">
        <f>IFERROR(Tabela3[[#This Row],[Qtde Cx Produzida]]/Tabela3[[#This Row],[Tempo]]/24,0)</f>
        <v>8.1115879828326172</v>
      </c>
      <c r="L208" s="37">
        <f>Tabela3[[#This Row],[Qtde Cx Produzida]]*Tabela3[[#This Row],[Qdt Peça Placa]]</f>
        <v>378</v>
      </c>
      <c r="M208" s="37">
        <f>Tabela3[[#This Row],[Previsto]]-Tabela3[[#This Row],[Perda Pçs]]</f>
        <v>348</v>
      </c>
      <c r="N208" s="38">
        <f>IFERROR(Tabela3[[#This Row],[Perda Pçs]]/Tabela3[[#This Row],[Previsto]],0)</f>
        <v>7.9365079365079361E-2</v>
      </c>
      <c r="O208" s="39">
        <f>IFERROR(IF(Tabela3[[#This Row],[Qtde Cx Produzida]] &lt;&gt; 0, Tabela3[[#This Row],[Tempo]] / Tabela3[[#This Row],[Qtde Cx Produzida]], 0),0)</f>
        <v>5.1366843033509701E-3</v>
      </c>
      <c r="P208" s="57">
        <f>IFERROR(Tabela3[[#This Row],[Perda Pçs]]/Tabela3[[#This Row],[Qdt Peça Placa]],0)</f>
        <v>5</v>
      </c>
      <c r="Q208" s="37">
        <f>IFERROR(Tabela3[[#This Row],[Realizado]]*Tabela3[[#This Row],[Peso Util/Pç]],0)</f>
        <v>105.096</v>
      </c>
      <c r="R208" s="37">
        <f>IFERROR(Tabela3[[#This Row],[Peso Total Galho]]*Tabela3[[#This Row],[Qtde Cx Produzida]]*1.055,0)</f>
        <v>143.03268000000003</v>
      </c>
      <c r="S208" s="37">
        <f>(Tabela3[[#This Row],[Aluminio Bruto]]-Tabela3[[#This Row],[Aluminio Util]])*0.9</f>
        <v>34.14301200000002</v>
      </c>
      <c r="T208" s="37">
        <f>Tabela3[[#This Row],[Aluminio Bruto]]/OleoKGAluminio</f>
        <v>60.173663536521559</v>
      </c>
      <c r="U208" s="35">
        <f>IFERROR((VLOOKUP(Tabela3[[#This Row],[Moldador]],Tabela1[],5,)+(VLOOKUP(Tabela3[[#This Row],[Ajudante]],Tabela1[],5,))*3.5),0)</f>
        <v>99.95034583333333</v>
      </c>
      <c r="V208" s="35">
        <f>IFERROR(Tabela3[[#This Row],[Custo M.O. / H]]/((Tabela3[[#This Row],[Realizado]]/Tabela3[[#This Row],[Qdt Peça Placa]])/Tabela3[[#This Row],[Tempo]]/24),)</f>
        <v>13.384155505268199</v>
      </c>
      <c r="W208" s="35">
        <f>Tabela3[[#This Row],[Custo / Cx Moldada]]*Tabela3[[#This Row],[Qtde Cx Produzida]]</f>
        <v>843.20179683189656</v>
      </c>
      <c r="X208" s="35">
        <f ca="1">Tabela3[[#This Row],[Aluminio Util]]*Tabela3[[#This Row],[Custo/Kg]]</f>
        <v>1639.4976000000001</v>
      </c>
      <c r="Y208" s="35">
        <f>IFERROR(VLOOKUP(Tabela3[[#This Row],[Data]],Tabela461213[],2,1)*(Tabela3[[#This Row],[Qtde Cx Produzida]]*Tabela3[[#This Row],[Qde macho / CX]]*Tabela3[[#This Row],[Peso Macho]]),)</f>
        <v>0</v>
      </c>
      <c r="Z208" s="35">
        <f>IFERROR(Tabela3[[#This Row],[Qtde Oleo]]*(VLOOKUP(Tabela3[[#This Row],[Data]],CompraOleo[],3,TRUE))*1.05,0)</f>
        <v>157.95586678336909</v>
      </c>
      <c r="AA208" s="47">
        <f ca="1">(Tabela3[[#This Row],[Custo Oleo]]+Tabela3[[#This Row],[Custo Aluminio]]+Tabela3[[#This Row],[Custo M.O. Total]]+Tabela3[[#This Row],[Custo Machos]])</f>
        <v>2640.655263615266</v>
      </c>
      <c r="AB208" s="47">
        <f ca="1">Tabela3[[#This Row],[Custo Total]]*Tabela3[[#This Row],[% Perda]]</f>
        <v>209.57581457264016</v>
      </c>
      <c r="AC208" s="48">
        <f>IFERROR(VLOOKUP(Tabela3[[#This Row],[Produto]],Tabela2[],2,0),0)</f>
        <v>6</v>
      </c>
      <c r="AD208" s="48">
        <f>IFERROR(VLOOKUP(Tabela3[[#This Row],[Produto]],Tabela2[],3,0),0)</f>
        <v>0.30199999999999999</v>
      </c>
      <c r="AE208" s="48">
        <f>IFERROR(VLOOKUP(Tabela3[[#This Row],[Produto]],Tabela2[],4,0),0)</f>
        <v>2.1520000000000001</v>
      </c>
      <c r="AF208" s="48">
        <f>IFERROR(VLOOKUP(Tabela3[[#This Row],[Produto]],Tabela2[],5,0),0)</f>
        <v>0.30600000000000027</v>
      </c>
      <c r="AG208" s="40">
        <f>IFERROR(VLOOKUP(Tabela3[[#This Row],[Produto]],Tabela2[],6,0),0)</f>
        <v>0</v>
      </c>
      <c r="AH208" s="40">
        <f>IFERROR(VLOOKUP(Tabela3[[#This Row],[Produto]],Tabela2[],7,0),0)</f>
        <v>0</v>
      </c>
      <c r="AI208" s="40">
        <f>IFERROR(VLOOKUP(Tabela3[[#This Row],[Produto]],Tabela2[],8,0),0)</f>
        <v>0</v>
      </c>
      <c r="AJ208" s="35">
        <f ca="1">IFERROR(VLOOKUP(Tabela3[[#This Row],[Produto]],Tabela2[],13,0),0)</f>
        <v>15.600000000000001</v>
      </c>
      <c r="AK208" s="40" t="str">
        <f>IFERROR(VLOOKUP(Tabela3[[#This Row],[Produto]],Tabela2[],14,0),0)</f>
        <v>Senun</v>
      </c>
      <c r="AL208" s="40">
        <f>IFERROR(VLOOKUP(Tabela3[[#This Row],[Produto]],Tabela2[],15,0),0)</f>
        <v>4</v>
      </c>
      <c r="AM208" s="36">
        <f ca="1">(Tabela3[[#This Row],[Custo Usinagem]]+Tabela3[[#This Row],[Custo / Pç]])*1.2</f>
        <v>13.905707805569882</v>
      </c>
      <c r="AN208" s="36">
        <f ca="1">Tabela3[[#This Row],[Valor Mínimo Venda]]*1.15</f>
        <v>15.991563976405363</v>
      </c>
      <c r="AO208" s="36">
        <f ca="1">Tabela3[[#This Row],[Tabela 1]]*1.08</f>
        <v>17.270889094517795</v>
      </c>
      <c r="AP208" s="36">
        <f ca="1">Tabela3[[#This Row],[Tabela 2]]*1.15</f>
        <v>19.861522458695461</v>
      </c>
    </row>
    <row r="209" spans="1:42">
      <c r="A209" s="9">
        <v>45763</v>
      </c>
      <c r="B209" s="6" t="s">
        <v>134</v>
      </c>
      <c r="C209" s="14">
        <v>6168</v>
      </c>
      <c r="D209" s="6" t="s">
        <v>44</v>
      </c>
      <c r="E209" s="6" t="s">
        <v>47</v>
      </c>
      <c r="F209" s="6">
        <v>6</v>
      </c>
      <c r="G209" s="15">
        <v>5.4166666666666669E-2</v>
      </c>
      <c r="H209" s="16">
        <v>0</v>
      </c>
      <c r="I209" s="35">
        <f ca="1">IFERROR(Tabela3[[#This Row],[Custo Total]]/Tabela3[[#This Row],[Aluminio Util]],0)</f>
        <v>24.721993560515347</v>
      </c>
      <c r="J209" s="35">
        <f ca="1">Tabela3[[#This Row],[Custo Total]]/Tabela3[[#This Row],[Realizado]]</f>
        <v>90.23527649588101</v>
      </c>
      <c r="K209" s="37">
        <f>IFERROR(Tabela3[[#This Row],[Qtde Cx Produzida]]/Tabela3[[#This Row],[Tempo]]/24,0)</f>
        <v>4.615384615384615</v>
      </c>
      <c r="L209" s="37">
        <f>Tabela3[[#This Row],[Qtde Cx Produzida]]*Tabela3[[#This Row],[Qdt Peça Placa]]</f>
        <v>6</v>
      </c>
      <c r="M209" s="37">
        <f>Tabela3[[#This Row],[Previsto]]-Tabela3[[#This Row],[Perda Pçs]]</f>
        <v>6</v>
      </c>
      <c r="N209" s="38">
        <f>IFERROR(Tabela3[[#This Row],[Perda Pçs]]/Tabela3[[#This Row],[Previsto]],0)</f>
        <v>0</v>
      </c>
      <c r="O209" s="39">
        <f>IFERROR(IF(Tabela3[[#This Row],[Qtde Cx Produzida]] &lt;&gt; 0, Tabela3[[#This Row],[Tempo]] / Tabela3[[#This Row],[Qtde Cx Produzida]], 0),0)</f>
        <v>9.0277777777777787E-3</v>
      </c>
      <c r="P209" s="57">
        <f>IFERROR(Tabela3[[#This Row],[Perda Pçs]]/Tabela3[[#This Row],[Qdt Peça Placa]],0)</f>
        <v>0</v>
      </c>
      <c r="Q209" s="37">
        <f>IFERROR(Tabela3[[#This Row],[Realizado]]*Tabela3[[#This Row],[Peso Util/Pç]],0)</f>
        <v>21.9</v>
      </c>
      <c r="R209" s="37">
        <f>IFERROR(Tabela3[[#This Row],[Peso Total Galho]]*Tabela3[[#This Row],[Qtde Cx Produzida]]*1.055,0)</f>
        <v>40.891799999999996</v>
      </c>
      <c r="S209" s="37">
        <f>(Tabela3[[#This Row],[Aluminio Bruto]]-Tabela3[[#This Row],[Aluminio Util]])*0.9</f>
        <v>17.09262</v>
      </c>
      <c r="T209" s="37">
        <f>Tabela3[[#This Row],[Aluminio Bruto]]/OleoKGAluminio</f>
        <v>17.203127387410568</v>
      </c>
      <c r="U209" s="35">
        <f>IFERROR((VLOOKUP(Tabela3[[#This Row],[Moldador]],Tabela1[],5,)+(VLOOKUP(Tabela3[[#This Row],[Ajudante]],Tabela1[],5,))*3.5),0)</f>
        <v>99.95034583333333</v>
      </c>
      <c r="V209" s="35">
        <f>IFERROR(Tabela3[[#This Row],[Custo M.O. / H]]/((Tabela3[[#This Row],[Realizado]]/Tabela3[[#This Row],[Qdt Peça Placa]])/Tabela3[[#This Row],[Tempo]]/24),)</f>
        <v>21.65590826388889</v>
      </c>
      <c r="W209" s="35">
        <f>Tabela3[[#This Row],[Custo / Cx Moldada]]*Tabela3[[#This Row],[Qtde Cx Produzida]]</f>
        <v>129.93544958333334</v>
      </c>
      <c r="X209" s="35">
        <f ca="1">Tabela3[[#This Row],[Aluminio Util]]*Tabela3[[#This Row],[Custo/Kg]]</f>
        <v>341.64</v>
      </c>
      <c r="Y209" s="35">
        <f>IFERROR(VLOOKUP(Tabela3[[#This Row],[Data]],Tabela461213[],2,1)*(Tabela3[[#This Row],[Qtde Cx Produzida]]*Tabela3[[#This Row],[Qde macho / CX]]*Tabela3[[#This Row],[Peso Macho]]),)</f>
        <v>24.677999999999997</v>
      </c>
      <c r="Z209" s="35">
        <f>IFERROR(Tabela3[[#This Row],[Qtde Oleo]]*(VLOOKUP(Tabela3[[#This Row],[Data]],CompraOleo[],3,TRUE))*1.05,0)</f>
        <v>45.158209391952745</v>
      </c>
      <c r="AA209" s="47">
        <f ca="1">(Tabela3[[#This Row],[Custo Oleo]]+Tabela3[[#This Row],[Custo Aluminio]]+Tabela3[[#This Row],[Custo M.O. Total]]+Tabela3[[#This Row],[Custo Machos]])</f>
        <v>541.41165897528606</v>
      </c>
      <c r="AB209" s="47">
        <f ca="1">Tabela3[[#This Row],[Custo Total]]*Tabela3[[#This Row],[% Perda]]</f>
        <v>0</v>
      </c>
      <c r="AC209" s="48">
        <f>IFERROR(VLOOKUP(Tabela3[[#This Row],[Produto]],Tabela2[],2,0),0)</f>
        <v>1</v>
      </c>
      <c r="AD209" s="48">
        <f>IFERROR(VLOOKUP(Tabela3[[#This Row],[Produto]],Tabela2[],3,0),0)</f>
        <v>3.65</v>
      </c>
      <c r="AE209" s="48">
        <f>IFERROR(VLOOKUP(Tabela3[[#This Row],[Produto]],Tabela2[],4,0),0)</f>
        <v>6.46</v>
      </c>
      <c r="AF209" s="48">
        <f>IFERROR(VLOOKUP(Tabela3[[#This Row],[Produto]],Tabela2[],5,0),0)</f>
        <v>2.5289999999999999</v>
      </c>
      <c r="AG209" s="40">
        <f>IFERROR(VLOOKUP(Tabela3[[#This Row],[Produto]],Tabela2[],6,0),0)</f>
        <v>0</v>
      </c>
      <c r="AH209" s="40">
        <f>IFERROR(VLOOKUP(Tabela3[[#This Row],[Produto]],Tabela2[],7,0),0)</f>
        <v>1</v>
      </c>
      <c r="AI209" s="40">
        <f>IFERROR(VLOOKUP(Tabela3[[#This Row],[Produto]],Tabela2[],8,0),0)</f>
        <v>2.742</v>
      </c>
      <c r="AJ209" s="35">
        <f ca="1">IFERROR(VLOOKUP(Tabela3[[#This Row],[Produto]],Tabela2[],13,0),0)</f>
        <v>15.600000000000001</v>
      </c>
      <c r="AK209" s="40" t="str">
        <f>IFERROR(VLOOKUP(Tabela3[[#This Row],[Produto]],Tabela2[],14,0),0)</f>
        <v>Jumil</v>
      </c>
      <c r="AL209" s="40">
        <f>IFERROR(VLOOKUP(Tabela3[[#This Row],[Produto]],Tabela2[],15,0),0)</f>
        <v>15</v>
      </c>
      <c r="AM209" s="36">
        <f ca="1">(Tabela3[[#This Row],[Custo Usinagem]]+Tabela3[[#This Row],[Custo / Pç]])*1.2</f>
        <v>126.2823317950572</v>
      </c>
      <c r="AN209" s="36">
        <f ca="1">Tabela3[[#This Row],[Valor Mínimo Venda]]*1.15</f>
        <v>145.22468156431577</v>
      </c>
      <c r="AO209" s="36">
        <f ca="1">Tabela3[[#This Row],[Tabela 1]]*1.08</f>
        <v>156.84265608946106</v>
      </c>
      <c r="AP209" s="36">
        <f ca="1">Tabela3[[#This Row],[Tabela 2]]*1.15</f>
        <v>180.3690545028802</v>
      </c>
    </row>
    <row r="210" spans="1:42">
      <c r="A210" s="9">
        <v>45763</v>
      </c>
      <c r="B210" s="6" t="s">
        <v>84</v>
      </c>
      <c r="C210" s="14">
        <v>6298</v>
      </c>
      <c r="D210" s="6" t="s">
        <v>44</v>
      </c>
      <c r="E210" s="6" t="s">
        <v>47</v>
      </c>
      <c r="F210" s="6">
        <v>20</v>
      </c>
      <c r="G210" s="15">
        <v>9.375E-2</v>
      </c>
      <c r="H210" s="16">
        <v>0</v>
      </c>
      <c r="I210" s="35">
        <f ca="1">IFERROR(Tabela3[[#This Row],[Custo Total]]/Tabela3[[#This Row],[Aluminio Util]],0)</f>
        <v>34.273417178859653</v>
      </c>
      <c r="J210" s="35">
        <f ca="1">Tabela3[[#This Row],[Custo Total]]/Tabela3[[#This Row],[Realizado]]</f>
        <v>6.3405821780890363</v>
      </c>
      <c r="K210" s="37">
        <f>IFERROR(Tabela3[[#This Row],[Qtde Cx Produzida]]/Tabela3[[#This Row],[Tempo]]/24,0)</f>
        <v>8.8888888888888893</v>
      </c>
      <c r="L210" s="37">
        <f>Tabela3[[#This Row],[Qtde Cx Produzida]]*Tabela3[[#This Row],[Qdt Peça Placa]]</f>
        <v>80</v>
      </c>
      <c r="M210" s="37">
        <f>Tabela3[[#This Row],[Previsto]]-Tabela3[[#This Row],[Perda Pçs]]</f>
        <v>80</v>
      </c>
      <c r="N210" s="38">
        <f>IFERROR(Tabela3[[#This Row],[Perda Pçs]]/Tabela3[[#This Row],[Previsto]],0)</f>
        <v>0</v>
      </c>
      <c r="O210" s="39">
        <f>IFERROR(IF(Tabela3[[#This Row],[Qtde Cx Produzida]] &lt;&gt; 0, Tabela3[[#This Row],[Tempo]] / Tabela3[[#This Row],[Qtde Cx Produzida]], 0),0)</f>
        <v>4.6874999999999998E-3</v>
      </c>
      <c r="P210" s="57">
        <f>IFERROR(Tabela3[[#This Row],[Perda Pçs]]/Tabela3[[#This Row],[Qdt Peça Placa]],0)</f>
        <v>0</v>
      </c>
      <c r="Q210" s="37">
        <f>IFERROR(Tabela3[[#This Row],[Realizado]]*Tabela3[[#This Row],[Peso Util/Pç]],0)</f>
        <v>14.8</v>
      </c>
      <c r="R210" s="37">
        <f>IFERROR(Tabela3[[#This Row],[Peso Total Galho]]*Tabela3[[#This Row],[Qtde Cx Produzida]]*1.055,0)</f>
        <v>27.598799999999997</v>
      </c>
      <c r="S210" s="37">
        <f>(Tabela3[[#This Row],[Aluminio Bruto]]-Tabela3[[#This Row],[Aluminio Util]])*0.9</f>
        <v>11.518919999999998</v>
      </c>
      <c r="T210" s="37">
        <f>Tabela3[[#This Row],[Aluminio Bruto]]/OleoKGAluminio</f>
        <v>11.610779475094438</v>
      </c>
      <c r="U210" s="35">
        <f>IFERROR((VLOOKUP(Tabela3[[#This Row],[Moldador]],Tabela1[],5,)+(VLOOKUP(Tabela3[[#This Row],[Ajudante]],Tabela1[],5,))*3.5),0)</f>
        <v>99.95034583333333</v>
      </c>
      <c r="V210" s="35">
        <f>IFERROR(Tabela3[[#This Row],[Custo M.O. / H]]/((Tabela3[[#This Row],[Realizado]]/Tabela3[[#This Row],[Qdt Peça Placa]])/Tabela3[[#This Row],[Tempo]]/24),)</f>
        <v>11.244413906249999</v>
      </c>
      <c r="W210" s="35">
        <f>Tabela3[[#This Row],[Custo / Cx Moldada]]*Tabela3[[#This Row],[Qtde Cx Produzida]]</f>
        <v>224.888278125</v>
      </c>
      <c r="X210" s="35">
        <f ca="1">Tabela3[[#This Row],[Aluminio Util]]*Tabela3[[#This Row],[Custo/Kg]]</f>
        <v>230.88000000000002</v>
      </c>
      <c r="Y210" s="35">
        <f>IFERROR(VLOOKUP(Tabela3[[#This Row],[Data]],Tabela461213[],2,1)*(Tabela3[[#This Row],[Qtde Cx Produzida]]*Tabela3[[#This Row],[Qde macho / CX]]*Tabela3[[#This Row],[Peso Macho]]),)</f>
        <v>21</v>
      </c>
      <c r="Z210" s="35">
        <f>IFERROR(Tabela3[[#This Row],[Qtde Oleo]]*(VLOOKUP(Tabela3[[#This Row],[Data]],CompraOleo[],3,TRUE))*1.05,0)</f>
        <v>30.478296122122902</v>
      </c>
      <c r="AA210" s="47">
        <f ca="1">(Tabela3[[#This Row],[Custo Oleo]]+Tabela3[[#This Row],[Custo Aluminio]]+Tabela3[[#This Row],[Custo M.O. Total]]+Tabela3[[#This Row],[Custo Machos]])</f>
        <v>507.24657424712291</v>
      </c>
      <c r="AB210" s="47">
        <f ca="1">Tabela3[[#This Row],[Custo Total]]*Tabela3[[#This Row],[% Perda]]</f>
        <v>0</v>
      </c>
      <c r="AC210" s="48">
        <f>IFERROR(VLOOKUP(Tabela3[[#This Row],[Produto]],Tabela2[],2,0),0)</f>
        <v>4</v>
      </c>
      <c r="AD210" s="48">
        <f>IFERROR(VLOOKUP(Tabela3[[#This Row],[Produto]],Tabela2[],3,0),0)</f>
        <v>0.185</v>
      </c>
      <c r="AE210" s="48">
        <f>IFERROR(VLOOKUP(Tabela3[[#This Row],[Produto]],Tabela2[],4,0),0)</f>
        <v>1.3080000000000001</v>
      </c>
      <c r="AF210" s="48">
        <f>IFERROR(VLOOKUP(Tabela3[[#This Row],[Produto]],Tabela2[],5,0),0)</f>
        <v>0.5112000000000001</v>
      </c>
      <c r="AG210" s="40">
        <f>IFERROR(VLOOKUP(Tabela3[[#This Row],[Produto]],Tabela2[],6,0),0)</f>
        <v>0</v>
      </c>
      <c r="AH210" s="40">
        <f>IFERROR(VLOOKUP(Tabela3[[#This Row],[Produto]],Tabela2[],7,0),0)</f>
        <v>4</v>
      </c>
      <c r="AI210" s="40">
        <f>IFERROR(VLOOKUP(Tabela3[[#This Row],[Produto]],Tabela2[],8,0),0)</f>
        <v>0.17499999999999999</v>
      </c>
      <c r="AJ210" s="35">
        <f ca="1">IFERROR(VLOOKUP(Tabela3[[#This Row],[Produto]],Tabela2[],13,0),0)</f>
        <v>15.600000000000001</v>
      </c>
      <c r="AK210" s="40" t="str">
        <f>IFERROR(VLOOKUP(Tabela3[[#This Row],[Produto]],Tabela2[],14,0),0)</f>
        <v>Jumil</v>
      </c>
      <c r="AL210" s="40">
        <f>IFERROR(VLOOKUP(Tabela3[[#This Row],[Produto]],Tabela2[],15,0),0)</f>
        <v>1</v>
      </c>
      <c r="AM210" s="36">
        <f ca="1">(Tabela3[[#This Row],[Custo Usinagem]]+Tabela3[[#This Row],[Custo / Pç]])*1.2</f>
        <v>8.8086986137068433</v>
      </c>
      <c r="AN210" s="36">
        <f ca="1">Tabela3[[#This Row],[Valor Mínimo Venda]]*1.15</f>
        <v>10.130003405762869</v>
      </c>
      <c r="AO210" s="36">
        <f ca="1">Tabela3[[#This Row],[Tabela 1]]*1.08</f>
        <v>10.9404036782239</v>
      </c>
      <c r="AP210" s="36">
        <f ca="1">Tabela3[[#This Row],[Tabela 2]]*1.15</f>
        <v>12.581464229957485</v>
      </c>
    </row>
    <row r="211" spans="1:42">
      <c r="A211" s="9">
        <v>45763</v>
      </c>
      <c r="B211" s="6" t="s">
        <v>272</v>
      </c>
      <c r="C211" s="14">
        <v>6341</v>
      </c>
      <c r="D211" s="6" t="s">
        <v>44</v>
      </c>
      <c r="E211" s="6" t="s">
        <v>47</v>
      </c>
      <c r="F211" s="6">
        <v>20</v>
      </c>
      <c r="G211" s="15">
        <v>0.10486111111111111</v>
      </c>
      <c r="H211" s="16">
        <v>0</v>
      </c>
      <c r="I211" s="35">
        <f ca="1">IFERROR(Tabela3[[#This Row],[Custo Total]]/Tabela3[[#This Row],[Aluminio Util]],0)</f>
        <v>29.41806427381028</v>
      </c>
      <c r="J211" s="35">
        <f ca="1">Tabela3[[#This Row],[Custo Total]]/Tabela3[[#This Row],[Realizado]]</f>
        <v>40.596928697858189</v>
      </c>
      <c r="K211" s="37">
        <f>IFERROR(Tabela3[[#This Row],[Qtde Cx Produzida]]/Tabela3[[#This Row],[Tempo]]/24,0)</f>
        <v>7.9470198675496695</v>
      </c>
      <c r="L211" s="37">
        <f>Tabela3[[#This Row],[Qtde Cx Produzida]]*Tabela3[[#This Row],[Qdt Peça Placa]]</f>
        <v>20</v>
      </c>
      <c r="M211" s="37">
        <f>Tabela3[[#This Row],[Previsto]]-Tabela3[[#This Row],[Perda Pçs]]</f>
        <v>20</v>
      </c>
      <c r="N211" s="38">
        <f>IFERROR(Tabela3[[#This Row],[Perda Pçs]]/Tabela3[[#This Row],[Previsto]],0)</f>
        <v>0</v>
      </c>
      <c r="O211" s="39">
        <f>IFERROR(IF(Tabela3[[#This Row],[Qtde Cx Produzida]] &lt;&gt; 0, Tabela3[[#This Row],[Tempo]] / Tabela3[[#This Row],[Qtde Cx Produzida]], 0),0)</f>
        <v>5.2430555555555555E-3</v>
      </c>
      <c r="P211" s="57">
        <f>IFERROR(Tabela3[[#This Row],[Perda Pçs]]/Tabela3[[#This Row],[Qdt Peça Placa]],0)</f>
        <v>0</v>
      </c>
      <c r="Q211" s="37">
        <f>IFERROR(Tabela3[[#This Row],[Realizado]]*Tabela3[[#This Row],[Peso Util/Pç]],0)</f>
        <v>27.599999999999998</v>
      </c>
      <c r="R211" s="37">
        <f>IFERROR(Tabela3[[#This Row],[Peso Total Galho]]*Tabela3[[#This Row],[Qtde Cx Produzida]]*1.055,0)</f>
        <v>41.777999999999999</v>
      </c>
      <c r="S211" s="37">
        <f>(Tabela3[[#This Row],[Aluminio Bruto]]-Tabela3[[#This Row],[Aluminio Util]])*0.9</f>
        <v>12.760200000000001</v>
      </c>
      <c r="T211" s="37">
        <f>Tabela3[[#This Row],[Aluminio Bruto]]/OleoKGAluminio</f>
        <v>17.575950581564978</v>
      </c>
      <c r="U211" s="35">
        <f>IFERROR((VLOOKUP(Tabela3[[#This Row],[Moldador]],Tabela1[],5,)+(VLOOKUP(Tabela3[[#This Row],[Ajudante]],Tabela1[],5,))*3.5),0)</f>
        <v>99.95034583333333</v>
      </c>
      <c r="V211" s="35">
        <f>IFERROR(Tabela3[[#This Row],[Custo M.O. / H]]/((Tabela3[[#This Row],[Realizado]]/Tabela3[[#This Row],[Qdt Peça Placa]])/Tabela3[[#This Row],[Tempo]]/24),)</f>
        <v>12.577085184027776</v>
      </c>
      <c r="W211" s="35">
        <f>Tabela3[[#This Row],[Custo / Cx Moldada]]*Tabela3[[#This Row],[Qtde Cx Produzida]]</f>
        <v>251.54170368055554</v>
      </c>
      <c r="X211" s="35">
        <f ca="1">Tabela3[[#This Row],[Aluminio Util]]*Tabela3[[#This Row],[Custo/Kg]]</f>
        <v>430.56</v>
      </c>
      <c r="Y211" s="35">
        <f>IFERROR(VLOOKUP(Tabela3[[#This Row],[Data]],Tabela461213[],2,1)*(Tabela3[[#This Row],[Qtde Cx Produzida]]*Tabela3[[#This Row],[Qde macho / CX]]*Tabela3[[#This Row],[Peso Macho]]),)</f>
        <v>83.7</v>
      </c>
      <c r="Z211" s="35">
        <f>IFERROR(Tabela3[[#This Row],[Qtde Oleo]]*(VLOOKUP(Tabela3[[#This Row],[Data]],CompraOleo[],3,TRUE))*1.05,0)</f>
        <v>46.136870276608072</v>
      </c>
      <c r="AA211" s="47">
        <f ca="1">(Tabela3[[#This Row],[Custo Oleo]]+Tabela3[[#This Row],[Custo Aluminio]]+Tabela3[[#This Row],[Custo M.O. Total]]+Tabela3[[#This Row],[Custo Machos]])</f>
        <v>811.93857395716373</v>
      </c>
      <c r="AB211" s="47">
        <f ca="1">Tabela3[[#This Row],[Custo Total]]*Tabela3[[#This Row],[% Perda]]</f>
        <v>0</v>
      </c>
      <c r="AC211" s="48">
        <f>IFERROR(VLOOKUP(Tabela3[[#This Row],[Produto]],Tabela2[],2,0),0)</f>
        <v>1</v>
      </c>
      <c r="AD211" s="48">
        <f>IFERROR(VLOOKUP(Tabela3[[#This Row],[Produto]],Tabela2[],3,0),0)</f>
        <v>1.38</v>
      </c>
      <c r="AE211" s="48">
        <f>IFERROR(VLOOKUP(Tabela3[[#This Row],[Produto]],Tabela2[],4,0),0)</f>
        <v>1.98</v>
      </c>
      <c r="AF211" s="48">
        <f>IFERROR(VLOOKUP(Tabela3[[#This Row],[Produto]],Tabela2[],5,0),0)</f>
        <v>0.54000000000000015</v>
      </c>
      <c r="AG211" s="40">
        <f>IFERROR(VLOOKUP(Tabela3[[#This Row],[Produto]],Tabela2[],6,0),0)</f>
        <v>0</v>
      </c>
      <c r="AH211" s="40">
        <f>IFERROR(VLOOKUP(Tabela3[[#This Row],[Produto]],Tabela2[],7,0),0)</f>
        <v>3</v>
      </c>
      <c r="AI211" s="40">
        <f>IFERROR(VLOOKUP(Tabela3[[#This Row],[Produto]],Tabela2[],8,0),0)</f>
        <v>0.93</v>
      </c>
      <c r="AJ211" s="35">
        <f ca="1">IFERROR(VLOOKUP(Tabela3[[#This Row],[Produto]],Tabela2[],13,0),0)</f>
        <v>15.600000000000001</v>
      </c>
      <c r="AK211" s="40" t="str">
        <f>IFERROR(VLOOKUP(Tabela3[[#This Row],[Produto]],Tabela2[],14,0),0)</f>
        <v>Jumil</v>
      </c>
      <c r="AL211" s="40">
        <f>IFERROR(VLOOKUP(Tabela3[[#This Row],[Produto]],Tabela2[],15,0),0)</f>
        <v>8</v>
      </c>
      <c r="AM211" s="36">
        <f ca="1">(Tabela3[[#This Row],[Custo Usinagem]]+Tabela3[[#This Row],[Custo / Pç]])*1.2</f>
        <v>58.316314437429824</v>
      </c>
      <c r="AN211" s="36">
        <f ca="1">Tabela3[[#This Row],[Valor Mínimo Venda]]*1.15</f>
        <v>67.063761603044298</v>
      </c>
      <c r="AO211" s="36">
        <f ca="1">Tabela3[[#This Row],[Tabela 1]]*1.08</f>
        <v>72.428862531287848</v>
      </c>
      <c r="AP211" s="36">
        <f ca="1">Tabela3[[#This Row],[Tabela 2]]*1.15</f>
        <v>83.293191910981022</v>
      </c>
    </row>
    <row r="212" spans="1:42">
      <c r="A212" s="9">
        <v>45763</v>
      </c>
      <c r="B212" s="6" t="s">
        <v>111</v>
      </c>
      <c r="C212" s="14">
        <v>6361</v>
      </c>
      <c r="D212" s="6" t="s">
        <v>44</v>
      </c>
      <c r="E212" s="6" t="s">
        <v>47</v>
      </c>
      <c r="F212" s="6">
        <v>5</v>
      </c>
      <c r="G212" s="15">
        <v>3.1944444444444442E-2</v>
      </c>
      <c r="H212" s="16">
        <v>0</v>
      </c>
      <c r="I212" s="35">
        <f ca="1">IFERROR(Tabela3[[#This Row],[Custo Total]]/Tabela3[[#This Row],[Aluminio Util]],0)</f>
        <v>25.520625516113675</v>
      </c>
      <c r="J212" s="35">
        <f ca="1">Tabela3[[#This Row],[Custo Total]]/Tabela3[[#This Row],[Realizado]]</f>
        <v>49.765219756421672</v>
      </c>
      <c r="K212" s="37">
        <f>IFERROR(Tabela3[[#This Row],[Qtde Cx Produzida]]/Tabela3[[#This Row],[Tempo]]/24,0)</f>
        <v>6.5217391304347823</v>
      </c>
      <c r="L212" s="37">
        <f>Tabela3[[#This Row],[Qtde Cx Produzida]]*Tabela3[[#This Row],[Qdt Peça Placa]]</f>
        <v>5</v>
      </c>
      <c r="M212" s="37">
        <f>Tabela3[[#This Row],[Previsto]]-Tabela3[[#This Row],[Perda Pçs]]</f>
        <v>5</v>
      </c>
      <c r="N212" s="38">
        <f>IFERROR(Tabela3[[#This Row],[Perda Pçs]]/Tabela3[[#This Row],[Previsto]],0)</f>
        <v>0</v>
      </c>
      <c r="O212" s="39">
        <f>IFERROR(IF(Tabela3[[#This Row],[Qtde Cx Produzida]] &lt;&gt; 0, Tabela3[[#This Row],[Tempo]] / Tabela3[[#This Row],[Qtde Cx Produzida]], 0),0)</f>
        <v>6.3888888888888884E-3</v>
      </c>
      <c r="P212" s="57">
        <f>IFERROR(Tabela3[[#This Row],[Perda Pçs]]/Tabela3[[#This Row],[Qdt Peça Placa]],0)</f>
        <v>0</v>
      </c>
      <c r="Q212" s="37">
        <f>IFERROR(Tabela3[[#This Row],[Realizado]]*Tabela3[[#This Row],[Peso Util/Pç]],0)</f>
        <v>9.75</v>
      </c>
      <c r="R212" s="37">
        <f>IFERROR(Tabela3[[#This Row],[Peso Total Galho]]*Tabela3[[#This Row],[Qtde Cx Produzida]]*1.055,0)</f>
        <v>18.19875</v>
      </c>
      <c r="S212" s="37">
        <f>(Tabela3[[#This Row],[Aluminio Bruto]]-Tabela3[[#This Row],[Aluminio Util]])*0.9</f>
        <v>7.6038750000000004</v>
      </c>
      <c r="T212" s="37">
        <f>Tabela3[[#This Row],[Aluminio Bruto]]/OleoKGAluminio</f>
        <v>7.6561905942423198</v>
      </c>
      <c r="U212" s="35">
        <f>IFERROR((VLOOKUP(Tabela3[[#This Row],[Moldador]],Tabela1[],5,)+(VLOOKUP(Tabela3[[#This Row],[Ajudante]],Tabela1[],5,))*3.5),0)</f>
        <v>99.95034583333333</v>
      </c>
      <c r="V212" s="35">
        <f>IFERROR(Tabela3[[#This Row],[Custo M.O. / H]]/((Tabela3[[#This Row],[Realizado]]/Tabela3[[#This Row],[Qdt Peça Placa]])/Tabela3[[#This Row],[Tempo]]/24),)</f>
        <v>15.325719694444444</v>
      </c>
      <c r="W212" s="35">
        <f>Tabela3[[#This Row],[Custo / Cx Moldada]]*Tabela3[[#This Row],[Qtde Cx Produzida]]</f>
        <v>76.628598472222222</v>
      </c>
      <c r="X212" s="35">
        <f ca="1">Tabela3[[#This Row],[Aluminio Util]]*Tabela3[[#This Row],[Custo/Kg]]</f>
        <v>152.10000000000002</v>
      </c>
      <c r="Y212" s="35">
        <f>IFERROR(VLOOKUP(Tabela3[[#This Row],[Data]],Tabela461213[],2,1)*(Tabela3[[#This Row],[Qtde Cx Produzida]]*Tabela3[[#This Row],[Qde macho / CX]]*Tabela3[[#This Row],[Peso Macho]]),)</f>
        <v>0</v>
      </c>
      <c r="Z212" s="35">
        <f>IFERROR(Tabela3[[#This Row],[Qtde Oleo]]*(VLOOKUP(Tabela3[[#This Row],[Data]],CompraOleo[],3,TRUE))*1.05,0)</f>
        <v>20.09750030988609</v>
      </c>
      <c r="AA212" s="47">
        <f ca="1">(Tabela3[[#This Row],[Custo Oleo]]+Tabela3[[#This Row],[Custo Aluminio]]+Tabela3[[#This Row],[Custo M.O. Total]]+Tabela3[[#This Row],[Custo Machos]])</f>
        <v>248.82609878210835</v>
      </c>
      <c r="AB212" s="47">
        <f ca="1">Tabela3[[#This Row],[Custo Total]]*Tabela3[[#This Row],[% Perda]]</f>
        <v>0</v>
      </c>
      <c r="AC212" s="48">
        <f>IFERROR(VLOOKUP(Tabela3[[#This Row],[Produto]],Tabela2[],2,0),0)</f>
        <v>1</v>
      </c>
      <c r="AD212" s="48">
        <f>IFERROR(VLOOKUP(Tabela3[[#This Row],[Produto]],Tabela2[],3,0),0)</f>
        <v>1.95</v>
      </c>
      <c r="AE212" s="48">
        <f>IFERROR(VLOOKUP(Tabela3[[#This Row],[Produto]],Tabela2[],4,0),0)</f>
        <v>3.45</v>
      </c>
      <c r="AF212" s="48">
        <f>IFERROR(VLOOKUP(Tabela3[[#This Row],[Produto]],Tabela2[],5,0),0)</f>
        <v>1.3500000000000003</v>
      </c>
      <c r="AG212" s="40">
        <f>IFERROR(VLOOKUP(Tabela3[[#This Row],[Produto]],Tabela2[],6,0),0)</f>
        <v>0</v>
      </c>
      <c r="AH212" s="40">
        <f>IFERROR(VLOOKUP(Tabela3[[#This Row],[Produto]],Tabela2[],7,0),0)</f>
        <v>0</v>
      </c>
      <c r="AI212" s="40">
        <f>IFERROR(VLOOKUP(Tabela3[[#This Row],[Produto]],Tabela2[],8,0),0)</f>
        <v>0</v>
      </c>
      <c r="AJ212" s="35">
        <f ca="1">IFERROR(VLOOKUP(Tabela3[[#This Row],[Produto]],Tabela2[],13,0),0)</f>
        <v>15.600000000000001</v>
      </c>
      <c r="AK212" s="40" t="str">
        <f>IFERROR(VLOOKUP(Tabela3[[#This Row],[Produto]],Tabela2[],14,0),0)</f>
        <v>Jumil</v>
      </c>
      <c r="AL212" s="40">
        <f>IFERROR(VLOOKUP(Tabela3[[#This Row],[Produto]],Tabela2[],15,0),0)</f>
        <v>1</v>
      </c>
      <c r="AM212" s="36">
        <f ca="1">(Tabela3[[#This Row],[Custo Usinagem]]+Tabela3[[#This Row],[Custo / Pç]])*1.2</f>
        <v>60.918263707706004</v>
      </c>
      <c r="AN212" s="36">
        <f ca="1">Tabela3[[#This Row],[Valor Mínimo Venda]]*1.15</f>
        <v>70.056003263861896</v>
      </c>
      <c r="AO212" s="36">
        <f ca="1">Tabela3[[#This Row],[Tabela 1]]*1.08</f>
        <v>75.660483524970857</v>
      </c>
      <c r="AP212" s="36">
        <f ca="1">Tabela3[[#This Row],[Tabela 2]]*1.15</f>
        <v>87.00955605371648</v>
      </c>
    </row>
    <row r="213" spans="1:42">
      <c r="A213" s="9">
        <v>45763</v>
      </c>
      <c r="B213" s="6" t="s">
        <v>135</v>
      </c>
      <c r="C213" s="14">
        <v>6271</v>
      </c>
      <c r="D213" s="6" t="s">
        <v>44</v>
      </c>
      <c r="E213" s="6" t="s">
        <v>47</v>
      </c>
      <c r="F213" s="6">
        <v>5</v>
      </c>
      <c r="G213" s="15">
        <v>2.9861111111111113E-2</v>
      </c>
      <c r="H213" s="16">
        <v>0</v>
      </c>
      <c r="I213" s="35">
        <f ca="1">IFERROR(Tabela3[[#This Row],[Custo Total]]/Tabela3[[#This Row],[Aluminio Util]],0)</f>
        <v>28.005871810132163</v>
      </c>
      <c r="J213" s="35">
        <f ca="1">Tabela3[[#This Row],[Custo Total]]/Tabela3[[#This Row],[Realizado]]</f>
        <v>49.570393103933931</v>
      </c>
      <c r="K213" s="37">
        <f>IFERROR(Tabela3[[#This Row],[Qtde Cx Produzida]]/Tabela3[[#This Row],[Tempo]]/24,0)</f>
        <v>6.9767441860465107</v>
      </c>
      <c r="L213" s="37">
        <f>Tabela3[[#This Row],[Qtde Cx Produzida]]*Tabela3[[#This Row],[Qdt Peça Placa]]</f>
        <v>5</v>
      </c>
      <c r="M213" s="37">
        <f>Tabela3[[#This Row],[Previsto]]-Tabela3[[#This Row],[Perda Pçs]]</f>
        <v>5</v>
      </c>
      <c r="N213" s="38">
        <f>IFERROR(Tabela3[[#This Row],[Perda Pçs]]/Tabela3[[#This Row],[Previsto]],0)</f>
        <v>0</v>
      </c>
      <c r="O213" s="39">
        <f>IFERROR(IF(Tabela3[[#This Row],[Qtde Cx Produzida]] &lt;&gt; 0, Tabela3[[#This Row],[Tempo]] / Tabela3[[#This Row],[Qtde Cx Produzida]], 0),0)</f>
        <v>5.9722222222222225E-3</v>
      </c>
      <c r="P213" s="57">
        <f>IFERROR(Tabela3[[#This Row],[Perda Pçs]]/Tabela3[[#This Row],[Qdt Peça Placa]],0)</f>
        <v>0</v>
      </c>
      <c r="Q213" s="37">
        <f>IFERROR(Tabela3[[#This Row],[Realizado]]*Tabela3[[#This Row],[Peso Util/Pç]],0)</f>
        <v>8.85</v>
      </c>
      <c r="R213" s="37">
        <f>IFERROR(Tabela3[[#This Row],[Peso Total Galho]]*Tabela3[[#This Row],[Qtde Cx Produzida]]*1.055,0)</f>
        <v>16.510749999999998</v>
      </c>
      <c r="S213" s="37">
        <f>(Tabela3[[#This Row],[Aluminio Bruto]]-Tabela3[[#This Row],[Aluminio Util]])*0.9</f>
        <v>6.8946749999999986</v>
      </c>
      <c r="T213" s="37">
        <f>Tabela3[[#This Row],[Aluminio Bruto]]/OleoKGAluminio</f>
        <v>6.9460511768053497</v>
      </c>
      <c r="U213" s="35">
        <f>IFERROR((VLOOKUP(Tabela3[[#This Row],[Moldador]],Tabela1[],5,)+(VLOOKUP(Tabela3[[#This Row],[Ajudante]],Tabela1[],5,))*3.5),0)</f>
        <v>99.95034583333333</v>
      </c>
      <c r="V213" s="35">
        <f>IFERROR(Tabela3[[#This Row],[Custo M.O. / H]]/((Tabela3[[#This Row],[Realizado]]/Tabela3[[#This Row],[Qdt Peça Placa]])/Tabela3[[#This Row],[Tempo]]/24),)</f>
        <v>14.326216236111113</v>
      </c>
      <c r="W213" s="35">
        <f>Tabela3[[#This Row],[Custo / Cx Moldada]]*Tabela3[[#This Row],[Qtde Cx Produzida]]</f>
        <v>71.631081180555569</v>
      </c>
      <c r="X213" s="35">
        <f ca="1">Tabela3[[#This Row],[Aluminio Util]]*Tabela3[[#This Row],[Custo/Kg]]</f>
        <v>138.06</v>
      </c>
      <c r="Y213" s="35">
        <f>IFERROR(VLOOKUP(Tabela3[[#This Row],[Data]],Tabela461213[],2,1)*(Tabela3[[#This Row],[Qtde Cx Produzida]]*Tabela3[[#This Row],[Qde macho / CX]]*Tabela3[[#This Row],[Peso Macho]]),)</f>
        <v>19.927500000000002</v>
      </c>
      <c r="Z213" s="35">
        <f>IFERROR(Tabela3[[#This Row],[Qtde Oleo]]*(VLOOKUP(Tabela3[[#This Row],[Data]],CompraOleo[],3,TRUE))*1.05,0)</f>
        <v>18.233384339114043</v>
      </c>
      <c r="AA213" s="47">
        <f ca="1">(Tabela3[[#This Row],[Custo Oleo]]+Tabela3[[#This Row],[Custo Aluminio]]+Tabela3[[#This Row],[Custo M.O. Total]]+Tabela3[[#This Row],[Custo Machos]])</f>
        <v>247.85196551966965</v>
      </c>
      <c r="AB213" s="47">
        <f ca="1">Tabela3[[#This Row],[Custo Total]]*Tabela3[[#This Row],[% Perda]]</f>
        <v>0</v>
      </c>
      <c r="AC213" s="48">
        <f>IFERROR(VLOOKUP(Tabela3[[#This Row],[Produto]],Tabela2[],2,0),0)</f>
        <v>1</v>
      </c>
      <c r="AD213" s="48">
        <f>IFERROR(VLOOKUP(Tabela3[[#This Row],[Produto]],Tabela2[],3,0),0)</f>
        <v>1.77</v>
      </c>
      <c r="AE213" s="48">
        <f>IFERROR(VLOOKUP(Tabela3[[#This Row],[Produto]],Tabela2[],4,0),0)</f>
        <v>3.13</v>
      </c>
      <c r="AF213" s="48">
        <f>IFERROR(VLOOKUP(Tabela3[[#This Row],[Produto]],Tabela2[],5,0),0)</f>
        <v>1.224</v>
      </c>
      <c r="AG213" s="40">
        <f>IFERROR(VLOOKUP(Tabela3[[#This Row],[Produto]],Tabela2[],6,0),0)</f>
        <v>0</v>
      </c>
      <c r="AH213" s="40">
        <f>IFERROR(VLOOKUP(Tabela3[[#This Row],[Produto]],Tabela2[],7,0),0)</f>
        <v>1</v>
      </c>
      <c r="AI213" s="40">
        <f>IFERROR(VLOOKUP(Tabela3[[#This Row],[Produto]],Tabela2[],8,0),0)</f>
        <v>2.657</v>
      </c>
      <c r="AJ213" s="35">
        <f ca="1">IFERROR(VLOOKUP(Tabela3[[#This Row],[Produto]],Tabela2[],13,0),0)</f>
        <v>15.600000000000001</v>
      </c>
      <c r="AK213" s="40" t="str">
        <f>IFERROR(VLOOKUP(Tabela3[[#This Row],[Produto]],Tabela2[],14,0),0)</f>
        <v>Jumil</v>
      </c>
      <c r="AL213" s="40">
        <f>IFERROR(VLOOKUP(Tabela3[[#This Row],[Produto]],Tabela2[],15,0),0)</f>
        <v>10</v>
      </c>
      <c r="AM213" s="36">
        <f ca="1">(Tabela3[[#This Row],[Custo Usinagem]]+Tabela3[[#This Row],[Custo / Pç]])*1.2</f>
        <v>71.48447172472072</v>
      </c>
      <c r="AN213" s="36">
        <f ca="1">Tabela3[[#This Row],[Valor Mínimo Venda]]*1.15</f>
        <v>82.207142483428825</v>
      </c>
      <c r="AO213" s="36">
        <f ca="1">Tabela3[[#This Row],[Tabela 1]]*1.08</f>
        <v>88.783713882103143</v>
      </c>
      <c r="AP213" s="36">
        <f ca="1">Tabela3[[#This Row],[Tabela 2]]*1.15</f>
        <v>102.1012709644186</v>
      </c>
    </row>
    <row r="214" spans="1:42">
      <c r="A214" s="9">
        <v>45764</v>
      </c>
      <c r="B214" s="6" t="s">
        <v>236</v>
      </c>
      <c r="C214" s="14">
        <v>6365</v>
      </c>
      <c r="D214" s="6" t="s">
        <v>46</v>
      </c>
      <c r="E214" s="6" t="s">
        <v>53</v>
      </c>
      <c r="F214" s="6">
        <v>37</v>
      </c>
      <c r="G214" s="15">
        <v>0.18472222222222223</v>
      </c>
      <c r="H214" s="16">
        <v>0</v>
      </c>
      <c r="I214" s="35">
        <f ca="1">IFERROR(Tabela3[[#This Row],[Custo Total]]/Tabela3[[#This Row],[Aluminio Util]],0)</f>
        <v>23.592973735853796</v>
      </c>
      <c r="J214" s="35">
        <f ca="1">Tabela3[[#This Row],[Custo Total]]/Tabela3[[#This Row],[Realizado]]</f>
        <v>7.1250780682278467</v>
      </c>
      <c r="K214" s="37">
        <f>IFERROR(Tabela3[[#This Row],[Qtde Cx Produzida]]/Tabela3[[#This Row],[Tempo]]/24,0)</f>
        <v>8.3458646616541348</v>
      </c>
      <c r="L214" s="37">
        <f>Tabela3[[#This Row],[Qtde Cx Produzida]]*Tabela3[[#This Row],[Qdt Peça Placa]]</f>
        <v>222</v>
      </c>
      <c r="M214" s="37">
        <f>Tabela3[[#This Row],[Previsto]]-Tabela3[[#This Row],[Perda Pçs]]</f>
        <v>222</v>
      </c>
      <c r="N214" s="38">
        <f>IFERROR(Tabela3[[#This Row],[Perda Pçs]]/Tabela3[[#This Row],[Previsto]],0)</f>
        <v>0</v>
      </c>
      <c r="O214" s="39">
        <f>IFERROR(IF(Tabela3[[#This Row],[Qtde Cx Produzida]] &lt;&gt; 0, Tabela3[[#This Row],[Tempo]] / Tabela3[[#This Row],[Qtde Cx Produzida]], 0),0)</f>
        <v>4.9924924924924924E-3</v>
      </c>
      <c r="P214" s="57">
        <f>IFERROR(Tabela3[[#This Row],[Perda Pçs]]/Tabela3[[#This Row],[Qdt Peça Placa]],0)</f>
        <v>0</v>
      </c>
      <c r="Q214" s="37">
        <f>IFERROR(Tabela3[[#This Row],[Realizado]]*Tabela3[[#This Row],[Peso Util/Pç]],0)</f>
        <v>67.043999999999997</v>
      </c>
      <c r="R214" s="37">
        <f>IFERROR(Tabela3[[#This Row],[Peso Total Galho]]*Tabela3[[#This Row],[Qtde Cx Produzida]]*1.055,0)</f>
        <v>84.003320000000002</v>
      </c>
      <c r="S214" s="37">
        <f>(Tabela3[[#This Row],[Aluminio Bruto]]-Tabela3[[#This Row],[Aluminio Util]])*0.9</f>
        <v>15.263388000000004</v>
      </c>
      <c r="T214" s="37">
        <f>Tabela3[[#This Row],[Aluminio Bruto]]/OleoKGAluminio</f>
        <v>35.340088108750756</v>
      </c>
      <c r="U214" s="35">
        <f>IFERROR((VLOOKUP(Tabela3[[#This Row],[Moldador]],Tabela1[],5,)+(VLOOKUP(Tabela3[[#This Row],[Ajudante]],Tabela1[],5,))*3.5),0)</f>
        <v>99.95034583333333</v>
      </c>
      <c r="V214" s="35">
        <f>IFERROR(Tabela3[[#This Row],[Custo M.O. / H]]/((Tabela3[[#This Row],[Realizado]]/Tabela3[[#This Row],[Qdt Peça Placa]])/Tabela3[[#This Row],[Tempo]]/24),)</f>
        <v>11.976032428678678</v>
      </c>
      <c r="W214" s="35">
        <f>Tabela3[[#This Row],[Custo / Cx Moldada]]*Tabela3[[#This Row],[Qtde Cx Produzida]]</f>
        <v>443.11319986111107</v>
      </c>
      <c r="X214" s="35">
        <f ca="1">Tabela3[[#This Row],[Aluminio Util]]*Tabela3[[#This Row],[Custo/Kg]]</f>
        <v>1045.8864000000001</v>
      </c>
      <c r="Y214" s="35">
        <f>IFERROR(VLOOKUP(Tabela3[[#This Row],[Data]],Tabela461213[],2,1)*(Tabela3[[#This Row],[Qtde Cx Produzida]]*Tabela3[[#This Row],[Qde macho / CX]]*Tabela3[[#This Row],[Peso Macho]]),)</f>
        <v>0</v>
      </c>
      <c r="Z214" s="35">
        <f>IFERROR(Tabela3[[#This Row],[Qtde Oleo]]*(VLOOKUP(Tabela3[[#This Row],[Data]],CompraOleo[],3,TRUE))*1.05,0)</f>
        <v>92.767731285470745</v>
      </c>
      <c r="AA214" s="47">
        <f ca="1">(Tabela3[[#This Row],[Custo Oleo]]+Tabela3[[#This Row],[Custo Aluminio]]+Tabela3[[#This Row],[Custo M.O. Total]]+Tabela3[[#This Row],[Custo Machos]])</f>
        <v>1581.7673311465819</v>
      </c>
      <c r="AB214" s="47">
        <f ca="1">Tabela3[[#This Row],[Custo Total]]*Tabela3[[#This Row],[% Perda]]</f>
        <v>0</v>
      </c>
      <c r="AC214" s="48">
        <f>IFERROR(VLOOKUP(Tabela3[[#This Row],[Produto]],Tabela2[],2,0),0)</f>
        <v>6</v>
      </c>
      <c r="AD214" s="48">
        <f>IFERROR(VLOOKUP(Tabela3[[#This Row],[Produto]],Tabela2[],3,0),0)</f>
        <v>0.30199999999999999</v>
      </c>
      <c r="AE214" s="48">
        <f>IFERROR(VLOOKUP(Tabela3[[#This Row],[Produto]],Tabela2[],4,0),0)</f>
        <v>2.1520000000000001</v>
      </c>
      <c r="AF214" s="48">
        <f>IFERROR(VLOOKUP(Tabela3[[#This Row],[Produto]],Tabela2[],5,0),0)</f>
        <v>0.30600000000000027</v>
      </c>
      <c r="AG214" s="40">
        <f>IFERROR(VLOOKUP(Tabela3[[#This Row],[Produto]],Tabela2[],6,0),0)</f>
        <v>0</v>
      </c>
      <c r="AH214" s="40">
        <f>IFERROR(VLOOKUP(Tabela3[[#This Row],[Produto]],Tabela2[],7,0),0)</f>
        <v>0</v>
      </c>
      <c r="AI214" s="40">
        <f>IFERROR(VLOOKUP(Tabela3[[#This Row],[Produto]],Tabela2[],8,0),0)</f>
        <v>0</v>
      </c>
      <c r="AJ214" s="35">
        <f ca="1">IFERROR(VLOOKUP(Tabela3[[#This Row],[Produto]],Tabela2[],13,0),0)</f>
        <v>15.600000000000001</v>
      </c>
      <c r="AK214" s="40" t="str">
        <f>IFERROR(VLOOKUP(Tabela3[[#This Row],[Produto]],Tabela2[],14,0),0)</f>
        <v>Senun</v>
      </c>
      <c r="AL214" s="40">
        <f>IFERROR(VLOOKUP(Tabela3[[#This Row],[Produto]],Tabela2[],15,0),0)</f>
        <v>4</v>
      </c>
      <c r="AM214" s="36">
        <f ca="1">(Tabela3[[#This Row],[Custo Usinagem]]+Tabela3[[#This Row],[Custo / Pç]])*1.2</f>
        <v>13.350093681873416</v>
      </c>
      <c r="AN214" s="36">
        <f ca="1">Tabela3[[#This Row],[Valor Mínimo Venda]]*1.15</f>
        <v>15.352607734154427</v>
      </c>
      <c r="AO214" s="36">
        <f ca="1">Tabela3[[#This Row],[Tabela 1]]*1.08</f>
        <v>16.580816352886782</v>
      </c>
      <c r="AP214" s="36">
        <f ca="1">Tabela3[[#This Row],[Tabela 2]]*1.15</f>
        <v>19.067938805819796</v>
      </c>
    </row>
    <row r="215" spans="1:42">
      <c r="A215" s="9">
        <v>45764</v>
      </c>
      <c r="B215" s="6" t="s">
        <v>269</v>
      </c>
      <c r="C215" s="14">
        <v>6382</v>
      </c>
      <c r="D215" s="6" t="s">
        <v>46</v>
      </c>
      <c r="E215" s="6" t="s">
        <v>53</v>
      </c>
      <c r="F215" s="6">
        <v>23</v>
      </c>
      <c r="G215" s="15">
        <v>0.13402777777777777</v>
      </c>
      <c r="H215" s="16">
        <v>0</v>
      </c>
      <c r="I215" s="35">
        <f ca="1">IFERROR(Tabela3[[#This Row],[Custo Total]]/Tabela3[[#This Row],[Aluminio Util]],0)</f>
        <v>21.25551935276572</v>
      </c>
      <c r="J215" s="35">
        <f ca="1">Tabela3[[#This Row],[Custo Total]]/Tabela3[[#This Row],[Realizado]]</f>
        <v>123.28201224604118</v>
      </c>
      <c r="K215" s="37">
        <f>IFERROR(Tabela3[[#This Row],[Qtde Cx Produzida]]/Tabela3[[#This Row],[Tempo]]/24,0)</f>
        <v>7.1502590673575135</v>
      </c>
      <c r="L215" s="37">
        <f>Tabela3[[#This Row],[Qtde Cx Produzida]]*Tabela3[[#This Row],[Qdt Peça Placa]]</f>
        <v>23</v>
      </c>
      <c r="M215" s="37">
        <f>Tabela3[[#This Row],[Previsto]]-Tabela3[[#This Row],[Perda Pçs]]</f>
        <v>23</v>
      </c>
      <c r="N215" s="38">
        <f>IFERROR(Tabela3[[#This Row],[Perda Pçs]]/Tabela3[[#This Row],[Previsto]],0)</f>
        <v>0</v>
      </c>
      <c r="O215" s="39">
        <f>IFERROR(IF(Tabela3[[#This Row],[Qtde Cx Produzida]] &lt;&gt; 0, Tabela3[[#This Row],[Tempo]] / Tabela3[[#This Row],[Qtde Cx Produzida]], 0),0)</f>
        <v>5.8272946859903377E-3</v>
      </c>
      <c r="P215" s="57">
        <f>IFERROR(Tabela3[[#This Row],[Perda Pçs]]/Tabela3[[#This Row],[Qdt Peça Placa]],0)</f>
        <v>0</v>
      </c>
      <c r="Q215" s="37">
        <f>IFERROR(Tabela3[[#This Row],[Realizado]]*Tabela3[[#This Row],[Peso Util/Pç]],0)</f>
        <v>133.4</v>
      </c>
      <c r="R215" s="37">
        <f>IFERROR(Tabela3[[#This Row],[Peso Total Galho]]*Tabela3[[#This Row],[Qtde Cx Produzida]]*1.055,0)</f>
        <v>150.44299999999998</v>
      </c>
      <c r="S215" s="37">
        <f>(Tabela3[[#This Row],[Aluminio Bruto]]-Tabela3[[#This Row],[Aluminio Util]])*0.9</f>
        <v>15.33869999999998</v>
      </c>
      <c r="T215" s="37">
        <f>Tabela3[[#This Row],[Aluminio Bruto]]/OleoKGAluminio</f>
        <v>63.291175579069836</v>
      </c>
      <c r="U215" s="35">
        <f>IFERROR((VLOOKUP(Tabela3[[#This Row],[Moldador]],Tabela1[],5,)+(VLOOKUP(Tabela3[[#This Row],[Ajudante]],Tabela1[],5,))*3.5),0)</f>
        <v>99.95034583333333</v>
      </c>
      <c r="V215" s="35">
        <f>IFERROR(Tabela3[[#This Row],[Custo M.O. / H]]/((Tabela3[[#This Row],[Realizado]]/Tabela3[[#This Row],[Qdt Peça Placa]])/Tabela3[[#This Row],[Tempo]]/24),)</f>
        <v>13.978562859299515</v>
      </c>
      <c r="W215" s="35">
        <f>Tabela3[[#This Row],[Custo / Cx Moldada]]*Tabela3[[#This Row],[Qtde Cx Produzida]]</f>
        <v>321.50694576388884</v>
      </c>
      <c r="X215" s="35">
        <f ca="1">Tabela3[[#This Row],[Aluminio Util]]*Tabela3[[#This Row],[Custo/Kg]]</f>
        <v>2347.84</v>
      </c>
      <c r="Y215" s="35">
        <f>IFERROR(VLOOKUP(Tabela3[[#This Row],[Data]],Tabela461213[],2,1)*(Tabela3[[#This Row],[Qtde Cx Produzida]]*Tabela3[[#This Row],[Qde macho / CX]]*Tabela3[[#This Row],[Peso Macho]]),)</f>
        <v>0</v>
      </c>
      <c r="Z215" s="35">
        <f>IFERROR(Tabela3[[#This Row],[Qtde Oleo]]*(VLOOKUP(Tabela3[[#This Row],[Data]],CompraOleo[],3,TRUE))*1.05,0)</f>
        <v>166.13933589505834</v>
      </c>
      <c r="AA215" s="47">
        <f ca="1">(Tabela3[[#This Row],[Custo Oleo]]+Tabela3[[#This Row],[Custo Aluminio]]+Tabela3[[#This Row],[Custo M.O. Total]]+Tabela3[[#This Row],[Custo Machos]])</f>
        <v>2835.4862816589471</v>
      </c>
      <c r="AB215" s="47">
        <f ca="1">Tabela3[[#This Row],[Custo Total]]*Tabela3[[#This Row],[% Perda]]</f>
        <v>0</v>
      </c>
      <c r="AC215" s="48">
        <f>IFERROR(VLOOKUP(Tabela3[[#This Row],[Produto]],Tabela2[],2,0),0)</f>
        <v>1</v>
      </c>
      <c r="AD215" s="48">
        <f>IFERROR(VLOOKUP(Tabela3[[#This Row],[Produto]],Tabela2[],3,0),0)</f>
        <v>5.8</v>
      </c>
      <c r="AE215" s="48">
        <f>IFERROR(VLOOKUP(Tabela3[[#This Row],[Produto]],Tabela2[],4,0),0)</f>
        <v>6.2</v>
      </c>
      <c r="AF215" s="48">
        <f>IFERROR(VLOOKUP(Tabela3[[#This Row],[Produto]],Tabela2[],5,0),0)</f>
        <v>0.36000000000000032</v>
      </c>
      <c r="AG215" s="40">
        <f>IFERROR(VLOOKUP(Tabela3[[#This Row],[Produto]],Tabela2[],6,0),0)</f>
        <v>0</v>
      </c>
      <c r="AH215" s="40">
        <f>IFERROR(VLOOKUP(Tabela3[[#This Row],[Produto]],Tabela2[],7,0),0)</f>
        <v>0</v>
      </c>
      <c r="AI215" s="40">
        <f>IFERROR(VLOOKUP(Tabela3[[#This Row],[Produto]],Tabela2[],8,0),0)</f>
        <v>0</v>
      </c>
      <c r="AJ215" s="35">
        <f ca="1">IFERROR(VLOOKUP(Tabela3[[#This Row],[Produto]],Tabela2[],13,0),0)</f>
        <v>17.600000000000001</v>
      </c>
      <c r="AK215" s="40" t="str">
        <f>IFERROR(VLOOKUP(Tabela3[[#This Row],[Produto]],Tabela2[],14,0),0)</f>
        <v>Danilo</v>
      </c>
      <c r="AL215" s="40">
        <f>IFERROR(VLOOKUP(Tabela3[[#This Row],[Produto]],Tabela2[],15,0),0)</f>
        <v>0</v>
      </c>
      <c r="AM215" s="36">
        <f ca="1">(Tabela3[[#This Row],[Custo Usinagem]]+Tabela3[[#This Row],[Custo / Pç]])*1.2</f>
        <v>147.93841469524941</v>
      </c>
      <c r="AN215" s="36">
        <f ca="1">Tabela3[[#This Row],[Valor Mínimo Venda]]*1.15</f>
        <v>170.12917689953682</v>
      </c>
      <c r="AO215" s="36">
        <f ca="1">Tabela3[[#This Row],[Tabela 1]]*1.08</f>
        <v>183.73951105149976</v>
      </c>
      <c r="AP215" s="36">
        <f ca="1">Tabela3[[#This Row],[Tabela 2]]*1.15</f>
        <v>211.3004377092247</v>
      </c>
    </row>
    <row r="216" spans="1:42">
      <c r="A216" s="9">
        <v>45764</v>
      </c>
      <c r="B216" s="6" t="s">
        <v>135</v>
      </c>
      <c r="C216" s="14">
        <v>6271</v>
      </c>
      <c r="D216" s="6" t="s">
        <v>44</v>
      </c>
      <c r="E216" s="6" t="s">
        <v>47</v>
      </c>
      <c r="F216" s="6">
        <v>9</v>
      </c>
      <c r="G216" s="15">
        <v>0.05</v>
      </c>
      <c r="H216" s="16">
        <v>1</v>
      </c>
      <c r="I216" s="35">
        <f ca="1">IFERROR(Tabela3[[#This Row],[Custo Total]]/Tabela3[[#This Row],[Aluminio Util]],0)</f>
        <v>29.980124200946701</v>
      </c>
      <c r="J216" s="35">
        <f ca="1">Tabela3[[#This Row],[Custo Total]]/Tabela3[[#This Row],[Realizado]]</f>
        <v>53.064819835675664</v>
      </c>
      <c r="K216" s="37">
        <f>IFERROR(Tabela3[[#This Row],[Qtde Cx Produzida]]/Tabela3[[#This Row],[Tempo]]/24,0)</f>
        <v>7.5</v>
      </c>
      <c r="L216" s="37">
        <f>Tabela3[[#This Row],[Qtde Cx Produzida]]*Tabela3[[#This Row],[Qdt Peça Placa]]</f>
        <v>9</v>
      </c>
      <c r="M216" s="37">
        <f>Tabela3[[#This Row],[Previsto]]-Tabela3[[#This Row],[Perda Pçs]]</f>
        <v>8</v>
      </c>
      <c r="N216" s="38">
        <f>IFERROR(Tabela3[[#This Row],[Perda Pçs]]/Tabela3[[#This Row],[Previsto]],0)</f>
        <v>0.1111111111111111</v>
      </c>
      <c r="O216" s="39">
        <f>IFERROR(IF(Tabela3[[#This Row],[Qtde Cx Produzida]] &lt;&gt; 0, Tabela3[[#This Row],[Tempo]] / Tabela3[[#This Row],[Qtde Cx Produzida]], 0),0)</f>
        <v>5.5555555555555558E-3</v>
      </c>
      <c r="P216" s="57">
        <f>IFERROR(Tabela3[[#This Row],[Perda Pçs]]/Tabela3[[#This Row],[Qdt Peça Placa]],0)</f>
        <v>1</v>
      </c>
      <c r="Q216" s="37">
        <f>IFERROR(Tabela3[[#This Row],[Realizado]]*Tabela3[[#This Row],[Peso Util/Pç]],0)</f>
        <v>14.16</v>
      </c>
      <c r="R216" s="37">
        <f>IFERROR(Tabela3[[#This Row],[Peso Total Galho]]*Tabela3[[#This Row],[Qtde Cx Produzida]]*1.055,0)</f>
        <v>29.719349999999995</v>
      </c>
      <c r="S216" s="37">
        <f>(Tabela3[[#This Row],[Aluminio Bruto]]-Tabela3[[#This Row],[Aluminio Util]])*0.9</f>
        <v>14.003414999999995</v>
      </c>
      <c r="T216" s="37">
        <f>Tabela3[[#This Row],[Aluminio Bruto]]/OleoKGAluminio</f>
        <v>12.50289211824963</v>
      </c>
      <c r="U216" s="35">
        <f>IFERROR((VLOOKUP(Tabela3[[#This Row],[Moldador]],Tabela1[],5,)+(VLOOKUP(Tabela3[[#This Row],[Ajudante]],Tabela1[],5,))*3.5),0)</f>
        <v>99.95034583333333</v>
      </c>
      <c r="V216" s="35">
        <f>IFERROR(Tabela3[[#This Row],[Custo M.O. / H]]/((Tabela3[[#This Row],[Realizado]]/Tabela3[[#This Row],[Qdt Peça Placa]])/Tabela3[[#This Row],[Tempo]]/24),)</f>
        <v>14.992551874999998</v>
      </c>
      <c r="W216" s="35">
        <f>Tabela3[[#This Row],[Custo / Cx Moldada]]*Tabela3[[#This Row],[Qtde Cx Produzida]]</f>
        <v>134.93296687499998</v>
      </c>
      <c r="X216" s="35">
        <f ca="1">Tabela3[[#This Row],[Aluminio Util]]*Tabela3[[#This Row],[Custo/Kg]]</f>
        <v>220.89600000000002</v>
      </c>
      <c r="Y216" s="35">
        <f>IFERROR(VLOOKUP(Tabela3[[#This Row],[Data]],Tabela461213[],2,1)*(Tabela3[[#This Row],[Qtde Cx Produzida]]*Tabela3[[#This Row],[Qde macho / CX]]*Tabela3[[#This Row],[Peso Macho]]),)</f>
        <v>35.869500000000002</v>
      </c>
      <c r="Z216" s="35">
        <f>IFERROR(Tabela3[[#This Row],[Qtde Oleo]]*(VLOOKUP(Tabela3[[#This Row],[Data]],CompraOleo[],3,TRUE))*1.05,0)</f>
        <v>32.82009181040528</v>
      </c>
      <c r="AA216" s="47">
        <f ca="1">(Tabela3[[#This Row],[Custo Oleo]]+Tabela3[[#This Row],[Custo Aluminio]]+Tabela3[[#This Row],[Custo M.O. Total]]+Tabela3[[#This Row],[Custo Machos]])</f>
        <v>424.51855868540531</v>
      </c>
      <c r="AB216" s="47">
        <f ca="1">Tabela3[[#This Row],[Custo Total]]*Tabela3[[#This Row],[% Perda]]</f>
        <v>47.168728742822807</v>
      </c>
      <c r="AC216" s="48">
        <f>IFERROR(VLOOKUP(Tabela3[[#This Row],[Produto]],Tabela2[],2,0),0)</f>
        <v>1</v>
      </c>
      <c r="AD216" s="48">
        <f>IFERROR(VLOOKUP(Tabela3[[#This Row],[Produto]],Tabela2[],3,0),0)</f>
        <v>1.77</v>
      </c>
      <c r="AE216" s="48">
        <f>IFERROR(VLOOKUP(Tabela3[[#This Row],[Produto]],Tabela2[],4,0),0)</f>
        <v>3.13</v>
      </c>
      <c r="AF216" s="48">
        <f>IFERROR(VLOOKUP(Tabela3[[#This Row],[Produto]],Tabela2[],5,0),0)</f>
        <v>1.224</v>
      </c>
      <c r="AG216" s="40">
        <f>IFERROR(VLOOKUP(Tabela3[[#This Row],[Produto]],Tabela2[],6,0),0)</f>
        <v>0</v>
      </c>
      <c r="AH216" s="40">
        <f>IFERROR(VLOOKUP(Tabela3[[#This Row],[Produto]],Tabela2[],7,0),0)</f>
        <v>1</v>
      </c>
      <c r="AI216" s="40">
        <f>IFERROR(VLOOKUP(Tabela3[[#This Row],[Produto]],Tabela2[],8,0),0)</f>
        <v>2.657</v>
      </c>
      <c r="AJ216" s="35">
        <f ca="1">IFERROR(VLOOKUP(Tabela3[[#This Row],[Produto]],Tabela2[],13,0),0)</f>
        <v>15.600000000000001</v>
      </c>
      <c r="AK216" s="40" t="str">
        <f>IFERROR(VLOOKUP(Tabela3[[#This Row],[Produto]],Tabela2[],14,0),0)</f>
        <v>Jumil</v>
      </c>
      <c r="AL216" s="40">
        <f>IFERROR(VLOOKUP(Tabela3[[#This Row],[Produto]],Tabela2[],15,0),0)</f>
        <v>10</v>
      </c>
      <c r="AM216" s="36">
        <f ca="1">(Tabela3[[#This Row],[Custo Usinagem]]+Tabela3[[#This Row],[Custo / Pç]])*1.2</f>
        <v>75.677783802810794</v>
      </c>
      <c r="AN216" s="36">
        <f ca="1">Tabela3[[#This Row],[Valor Mínimo Venda]]*1.15</f>
        <v>87.029451373232405</v>
      </c>
      <c r="AO216" s="36">
        <f ca="1">Tabela3[[#This Row],[Tabela 1]]*1.08</f>
        <v>93.991807483091009</v>
      </c>
      <c r="AP216" s="36">
        <f ca="1">Tabela3[[#This Row],[Tabela 2]]*1.15</f>
        <v>108.09057860555465</v>
      </c>
    </row>
    <row r="217" spans="1:42">
      <c r="A217" s="9">
        <v>45764</v>
      </c>
      <c r="B217" s="6" t="s">
        <v>247</v>
      </c>
      <c r="C217" s="14">
        <v>6377</v>
      </c>
      <c r="D217" s="6" t="s">
        <v>44</v>
      </c>
      <c r="E217" s="6" t="s">
        <v>47</v>
      </c>
      <c r="F217" s="6">
        <v>47</v>
      </c>
      <c r="G217" s="15">
        <v>0.24513888888888888</v>
      </c>
      <c r="H217" s="16">
        <v>0</v>
      </c>
      <c r="I217" s="35">
        <f ca="1">IFERROR(Tabela3[[#This Row],[Custo Total]]/Tabela3[[#This Row],[Aluminio Util]],0)</f>
        <v>28.259318024729268</v>
      </c>
      <c r="J217" s="35">
        <f ca="1">Tabela3[[#This Row],[Custo Total]]/Tabela3[[#This Row],[Realizado]]</f>
        <v>8.47779540741878</v>
      </c>
      <c r="K217" s="37">
        <f>IFERROR(Tabela3[[#This Row],[Qtde Cx Produzida]]/Tabela3[[#This Row],[Tempo]]/24,0)</f>
        <v>7.9886685552407934</v>
      </c>
      <c r="L217" s="37">
        <f>Tabela3[[#This Row],[Qtde Cx Produzida]]*Tabela3[[#This Row],[Qdt Peça Placa]]</f>
        <v>188</v>
      </c>
      <c r="M217" s="37">
        <f>Tabela3[[#This Row],[Previsto]]-Tabela3[[#This Row],[Perda Pçs]]</f>
        <v>188</v>
      </c>
      <c r="N217" s="38">
        <f>IFERROR(Tabela3[[#This Row],[Perda Pçs]]/Tabela3[[#This Row],[Previsto]],0)</f>
        <v>0</v>
      </c>
      <c r="O217" s="39">
        <f>IFERROR(IF(Tabela3[[#This Row],[Qtde Cx Produzida]] &lt;&gt; 0, Tabela3[[#This Row],[Tempo]] / Tabela3[[#This Row],[Qtde Cx Produzida]], 0),0)</f>
        <v>5.215721040189125E-3</v>
      </c>
      <c r="P217" s="57">
        <f>IFERROR(Tabela3[[#This Row],[Perda Pçs]]/Tabela3[[#This Row],[Qdt Peça Placa]],0)</f>
        <v>0</v>
      </c>
      <c r="Q217" s="37">
        <f>IFERROR(Tabela3[[#This Row],[Realizado]]*Tabela3[[#This Row],[Peso Util/Pç]],0)</f>
        <v>56.4</v>
      </c>
      <c r="R217" s="37">
        <f>IFERROR(Tabela3[[#This Row],[Peso Total Galho]]*Tabela3[[#This Row],[Qtde Cx Produzida]]*1.055,0)</f>
        <v>114.04549999999999</v>
      </c>
      <c r="S217" s="37">
        <f>(Tabela3[[#This Row],[Aluminio Bruto]]-Tabela3[[#This Row],[Aluminio Util]])*0.9</f>
        <v>51.880949999999991</v>
      </c>
      <c r="T217" s="37">
        <f>Tabela3[[#This Row],[Aluminio Bruto]]/OleoKGAluminio</f>
        <v>47.9787943905852</v>
      </c>
      <c r="U217" s="35">
        <f>IFERROR((VLOOKUP(Tabela3[[#This Row],[Moldador]],Tabela1[],5,)+(VLOOKUP(Tabela3[[#This Row],[Ajudante]],Tabela1[],5,))*3.5),0)</f>
        <v>99.95034583333333</v>
      </c>
      <c r="V217" s="35">
        <f>IFERROR(Tabela3[[#This Row],[Custo M.O. / H]]/((Tabela3[[#This Row],[Realizado]]/Tabela3[[#This Row],[Qdt Peça Placa]])/Tabela3[[#This Row],[Tempo]]/24),)</f>
        <v>12.511514921690306</v>
      </c>
      <c r="W217" s="35">
        <f>Tabela3[[#This Row],[Custo / Cx Moldada]]*Tabela3[[#This Row],[Qtde Cx Produzida]]</f>
        <v>588.04120131944444</v>
      </c>
      <c r="X217" s="35">
        <f ca="1">Tabela3[[#This Row],[Aluminio Util]]*Tabela3[[#This Row],[Custo/Kg]]</f>
        <v>879.84</v>
      </c>
      <c r="Y217" s="35">
        <f>IFERROR(VLOOKUP(Tabela3[[#This Row],[Data]],Tabela461213[],2,1)*(Tabela3[[#This Row],[Qtde Cx Produzida]]*Tabela3[[#This Row],[Qde macho / CX]]*Tabela3[[#This Row],[Peso Macho]]),)</f>
        <v>0</v>
      </c>
      <c r="Z217" s="35">
        <f>IFERROR(Tabela3[[#This Row],[Qtde Oleo]]*(VLOOKUP(Tabela3[[#This Row],[Data]],CompraOleo[],3,TRUE))*1.05,0)</f>
        <v>125.94433527528615</v>
      </c>
      <c r="AA217" s="47">
        <f ca="1">(Tabela3[[#This Row],[Custo Oleo]]+Tabela3[[#This Row],[Custo Aluminio]]+Tabela3[[#This Row],[Custo M.O. Total]]+Tabela3[[#This Row],[Custo Machos]])</f>
        <v>1593.8255365947307</v>
      </c>
      <c r="AB217" s="47">
        <f ca="1">Tabela3[[#This Row],[Custo Total]]*Tabela3[[#This Row],[% Perda]]</f>
        <v>0</v>
      </c>
      <c r="AC217" s="48">
        <f>IFERROR(VLOOKUP(Tabela3[[#This Row],[Produto]],Tabela2[],2,0),0)</f>
        <v>4</v>
      </c>
      <c r="AD217" s="48">
        <f>IFERROR(VLOOKUP(Tabela3[[#This Row],[Produto]],Tabela2[],3,0),0)</f>
        <v>0.3</v>
      </c>
      <c r="AE217" s="48">
        <f>IFERROR(VLOOKUP(Tabela3[[#This Row],[Produto]],Tabela2[],4,0),0)</f>
        <v>2.2999999999999998</v>
      </c>
      <c r="AF217" s="48">
        <f>IFERROR(VLOOKUP(Tabela3[[#This Row],[Produto]],Tabela2[],5,0),0)</f>
        <v>0.98999999999999988</v>
      </c>
      <c r="AG217" s="40">
        <f>IFERROR(VLOOKUP(Tabela3[[#This Row],[Produto]],Tabela2[],6,0),0)</f>
        <v>0</v>
      </c>
      <c r="AH217" s="40">
        <f>IFERROR(VLOOKUP(Tabela3[[#This Row],[Produto]],Tabela2[],7,0),0)</f>
        <v>0</v>
      </c>
      <c r="AI217" s="40">
        <f>IFERROR(VLOOKUP(Tabela3[[#This Row],[Produto]],Tabela2[],8,0),0)</f>
        <v>0</v>
      </c>
      <c r="AJ217" s="35">
        <f ca="1">IFERROR(VLOOKUP(Tabela3[[#This Row],[Produto]],Tabela2[],13,0),0)</f>
        <v>15.600000000000001</v>
      </c>
      <c r="AK217" s="40" t="str">
        <f>IFERROR(VLOOKUP(Tabela3[[#This Row],[Produto]],Tabela2[],14,0),0)</f>
        <v>Senun</v>
      </c>
      <c r="AL217" s="40">
        <f>IFERROR(VLOOKUP(Tabela3[[#This Row],[Produto]],Tabela2[],15,0),0)</f>
        <v>3.5</v>
      </c>
      <c r="AM217" s="36">
        <f ca="1">(Tabela3[[#This Row],[Custo Usinagem]]+Tabela3[[#This Row],[Custo / Pç]])*1.2</f>
        <v>14.373354488902535</v>
      </c>
      <c r="AN217" s="36">
        <f ca="1">Tabela3[[#This Row],[Valor Mínimo Venda]]*1.15</f>
        <v>16.529357662237913</v>
      </c>
      <c r="AO217" s="36">
        <f ca="1">Tabela3[[#This Row],[Tabela 1]]*1.08</f>
        <v>17.851706275216948</v>
      </c>
      <c r="AP217" s="36">
        <f ca="1">Tabela3[[#This Row],[Tabela 2]]*1.15</f>
        <v>20.529462216499489</v>
      </c>
    </row>
    <row r="218" spans="1:42">
      <c r="A218" s="9">
        <v>45769</v>
      </c>
      <c r="B218" s="6" t="s">
        <v>85</v>
      </c>
      <c r="C218" s="14">
        <v>6374</v>
      </c>
      <c r="D218" s="6" t="s">
        <v>46</v>
      </c>
      <c r="E218" s="6" t="s">
        <v>53</v>
      </c>
      <c r="F218" s="6">
        <v>10</v>
      </c>
      <c r="G218" s="15">
        <v>9.7916666666666666E-2</v>
      </c>
      <c r="H218" s="16">
        <v>3</v>
      </c>
      <c r="I218" s="35">
        <f ca="1">IFERROR(Tabela3[[#This Row],[Custo Total]]/Tabela3[[#This Row],[Aluminio Util]],0)</f>
        <v>46.496749144284436</v>
      </c>
      <c r="J218" s="35">
        <f ca="1">Tabela3[[#This Row],[Custo Total]]/Tabela3[[#This Row],[Realizado]]</f>
        <v>83.694148459711982</v>
      </c>
      <c r="K218" s="37">
        <f>IFERROR(Tabela3[[#This Row],[Qtde Cx Produzida]]/Tabela3[[#This Row],[Tempo]]/24,0)</f>
        <v>4.2553191489361701</v>
      </c>
      <c r="L218" s="37">
        <f>Tabela3[[#This Row],[Qtde Cx Produzida]]*Tabela3[[#This Row],[Qdt Peça Placa]]</f>
        <v>10</v>
      </c>
      <c r="M218" s="37">
        <f>Tabela3[[#This Row],[Previsto]]-Tabela3[[#This Row],[Perda Pçs]]</f>
        <v>7</v>
      </c>
      <c r="N218" s="38">
        <f>IFERROR(Tabela3[[#This Row],[Perda Pçs]]/Tabela3[[#This Row],[Previsto]],0)</f>
        <v>0.3</v>
      </c>
      <c r="O218" s="39">
        <f>IFERROR(IF(Tabela3[[#This Row],[Qtde Cx Produzida]] &lt;&gt; 0, Tabela3[[#This Row],[Tempo]] / Tabela3[[#This Row],[Qtde Cx Produzida]], 0),0)</f>
        <v>9.7916666666666673E-3</v>
      </c>
      <c r="P218" s="57">
        <f>IFERROR(Tabela3[[#This Row],[Perda Pçs]]/Tabela3[[#This Row],[Qdt Peça Placa]],0)</f>
        <v>3</v>
      </c>
      <c r="Q218" s="37">
        <f>IFERROR(Tabela3[[#This Row],[Realizado]]*Tabela3[[#This Row],[Peso Util/Pç]],0)</f>
        <v>12.6</v>
      </c>
      <c r="R218" s="37">
        <f>IFERROR(Tabela3[[#This Row],[Peso Total Galho]]*Tabela3[[#This Row],[Qtde Cx Produzida]]*1.055,0)</f>
        <v>21.099999999999998</v>
      </c>
      <c r="S218" s="37">
        <f>(Tabela3[[#This Row],[Aluminio Bruto]]-Tabela3[[#This Row],[Aluminio Util]])*0.9</f>
        <v>7.6499999999999986</v>
      </c>
      <c r="T218" s="37">
        <f>Tabela3[[#This Row],[Aluminio Bruto]]/OleoKGAluminio</f>
        <v>8.8767427179621095</v>
      </c>
      <c r="U218" s="35">
        <f>IFERROR((VLOOKUP(Tabela3[[#This Row],[Moldador]],Tabela1[],5,)+(VLOOKUP(Tabela3[[#This Row],[Ajudante]],Tabela1[],5,))*3.5),0)</f>
        <v>99.95034583333333</v>
      </c>
      <c r="V218" s="35">
        <f>IFERROR(Tabela3[[#This Row],[Custo M.O. / H]]/((Tabela3[[#This Row],[Realizado]]/Tabela3[[#This Row],[Qdt Peça Placa]])/Tabela3[[#This Row],[Tempo]]/24),)</f>
        <v>33.554758958333331</v>
      </c>
      <c r="W218" s="35">
        <f>Tabela3[[#This Row],[Custo / Cx Moldada]]*Tabela3[[#This Row],[Qtde Cx Produzida]]</f>
        <v>335.54758958333332</v>
      </c>
      <c r="X218" s="35">
        <f ca="1">Tabela3[[#This Row],[Aluminio Util]]*Tabela3[[#This Row],[Custo/Kg]]</f>
        <v>196.56</v>
      </c>
      <c r="Y218" s="35">
        <f>IFERROR(VLOOKUP(Tabela3[[#This Row],[Data]],Tabela461213[],2,1)*(Tabela3[[#This Row],[Qtde Cx Produzida]]*Tabela3[[#This Row],[Qde macho / CX]]*Tabela3[[#This Row],[Peso Macho]]),)</f>
        <v>30.449999999999996</v>
      </c>
      <c r="Z218" s="35">
        <f>IFERROR(Tabela3[[#This Row],[Qtde Oleo]]*(VLOOKUP(Tabela3[[#This Row],[Data]],CompraOleo[],3,TRUE))*1.05,0)</f>
        <v>23.301449634650538</v>
      </c>
      <c r="AA218" s="47">
        <f ca="1">(Tabela3[[#This Row],[Custo Oleo]]+Tabela3[[#This Row],[Custo Aluminio]]+Tabela3[[#This Row],[Custo M.O. Total]]+Tabela3[[#This Row],[Custo Machos]])</f>
        <v>585.85903921798388</v>
      </c>
      <c r="AB218" s="47">
        <f ca="1">Tabela3[[#This Row],[Custo Total]]*Tabela3[[#This Row],[% Perda]]</f>
        <v>175.75771176539516</v>
      </c>
      <c r="AC218" s="48">
        <f>IFERROR(VLOOKUP(Tabela3[[#This Row],[Produto]],Tabela2[],2,0),0)</f>
        <v>1</v>
      </c>
      <c r="AD218" s="48">
        <f>IFERROR(VLOOKUP(Tabela3[[#This Row],[Produto]],Tabela2[],3,0),0)</f>
        <v>1.8</v>
      </c>
      <c r="AE218" s="48">
        <f>IFERROR(VLOOKUP(Tabela3[[#This Row],[Produto]],Tabela2[],4,0),0)</f>
        <v>2</v>
      </c>
      <c r="AF218" s="48">
        <f>IFERROR(VLOOKUP(Tabela3[[#This Row],[Produto]],Tabela2[],5,0),0)</f>
        <v>0.17999999999999997</v>
      </c>
      <c r="AG218" s="40">
        <f>IFERROR(VLOOKUP(Tabela3[[#This Row],[Produto]],Tabela2[],6,0),0)</f>
        <v>0</v>
      </c>
      <c r="AH218" s="40">
        <f>IFERROR(VLOOKUP(Tabela3[[#This Row],[Produto]],Tabela2[],7,0),0)</f>
        <v>1</v>
      </c>
      <c r="AI218" s="40">
        <f>IFERROR(VLOOKUP(Tabela3[[#This Row],[Produto]],Tabela2[],8,0),0)</f>
        <v>2.0299999999999998</v>
      </c>
      <c r="AJ218" s="35">
        <f ca="1">IFERROR(VLOOKUP(Tabela3[[#This Row],[Produto]],Tabela2[],13,0),0)</f>
        <v>15.600000000000001</v>
      </c>
      <c r="AK218" s="40" t="str">
        <f>IFERROR(VLOOKUP(Tabela3[[#This Row],[Produto]],Tabela2[],14,0),0)</f>
        <v>Jumil</v>
      </c>
      <c r="AL218" s="40">
        <f>IFERROR(VLOOKUP(Tabela3[[#This Row],[Produto]],Tabela2[],15,0),0)</f>
        <v>15</v>
      </c>
      <c r="AM218" s="36">
        <f ca="1">(Tabela3[[#This Row],[Custo Usinagem]]+Tabela3[[#This Row],[Custo / Pç]])*1.2</f>
        <v>118.43297815165437</v>
      </c>
      <c r="AN218" s="36">
        <f ca="1">Tabela3[[#This Row],[Valor Mínimo Venda]]*1.15</f>
        <v>136.1979248744025</v>
      </c>
      <c r="AO218" s="36">
        <f ca="1">Tabela3[[#This Row],[Tabela 1]]*1.08</f>
        <v>147.09375886435473</v>
      </c>
      <c r="AP218" s="36">
        <f ca="1">Tabela3[[#This Row],[Tabela 2]]*1.15</f>
        <v>169.15782269400793</v>
      </c>
    </row>
    <row r="219" spans="1:42">
      <c r="A219" s="9">
        <v>45769</v>
      </c>
      <c r="B219" s="6" t="s">
        <v>124</v>
      </c>
      <c r="C219" s="14">
        <v>6370</v>
      </c>
      <c r="D219" s="6" t="s">
        <v>46</v>
      </c>
      <c r="E219" s="6" t="s">
        <v>53</v>
      </c>
      <c r="F219" s="6">
        <v>26</v>
      </c>
      <c r="G219" s="15">
        <v>8.8888888888888892E-2</v>
      </c>
      <c r="H219" s="16">
        <v>4</v>
      </c>
      <c r="I219" s="35">
        <f ca="1">IFERROR(Tabela3[[#This Row],[Custo Total]]/Tabela3[[#This Row],[Aluminio Util]],0)</f>
        <v>24.81379123626224</v>
      </c>
      <c r="J219" s="35">
        <f ca="1">Tabela3[[#This Row],[Custo Total]]/Tabela3[[#This Row],[Realizado]]</f>
        <v>41.935307189283186</v>
      </c>
      <c r="K219" s="37">
        <f>IFERROR(Tabela3[[#This Row],[Qtde Cx Produzida]]/Tabela3[[#This Row],[Tempo]]/24,0)</f>
        <v>12.1875</v>
      </c>
      <c r="L219" s="37">
        <f>Tabela3[[#This Row],[Qtde Cx Produzida]]*Tabela3[[#This Row],[Qdt Peça Placa]]</f>
        <v>26</v>
      </c>
      <c r="M219" s="37">
        <f>Tabela3[[#This Row],[Previsto]]-Tabela3[[#This Row],[Perda Pçs]]</f>
        <v>22</v>
      </c>
      <c r="N219" s="38">
        <f>IFERROR(Tabela3[[#This Row],[Perda Pçs]]/Tabela3[[#This Row],[Previsto]],0)</f>
        <v>0.15384615384615385</v>
      </c>
      <c r="O219" s="39">
        <f>IFERROR(IF(Tabela3[[#This Row],[Qtde Cx Produzida]] &lt;&gt; 0, Tabela3[[#This Row],[Tempo]] / Tabela3[[#This Row],[Qtde Cx Produzida]], 0),0)</f>
        <v>3.4188034188034188E-3</v>
      </c>
      <c r="P219" s="57">
        <f>IFERROR(Tabela3[[#This Row],[Perda Pçs]]/Tabela3[[#This Row],[Qdt Peça Placa]],0)</f>
        <v>4</v>
      </c>
      <c r="Q219" s="37">
        <f>IFERROR(Tabela3[[#This Row],[Realizado]]*Tabela3[[#This Row],[Peso Util/Pç]],0)</f>
        <v>37.18</v>
      </c>
      <c r="R219" s="37">
        <f>IFERROR(Tabela3[[#This Row],[Peso Total Galho]]*Tabela3[[#This Row],[Qtde Cx Produzida]]*1.055,0)</f>
        <v>82.01570000000001</v>
      </c>
      <c r="S219" s="37">
        <f>(Tabela3[[#This Row],[Aluminio Bruto]]-Tabela3[[#This Row],[Aluminio Util]])*0.9</f>
        <v>40.35213000000001</v>
      </c>
      <c r="T219" s="37">
        <f>Tabela3[[#This Row],[Aluminio Bruto]]/OleoKGAluminio</f>
        <v>34.503898944718728</v>
      </c>
      <c r="U219" s="35">
        <f>IFERROR((VLOOKUP(Tabela3[[#This Row],[Moldador]],Tabela1[],5,)+(VLOOKUP(Tabela3[[#This Row],[Ajudante]],Tabela1[],5,))*3.5),0)</f>
        <v>99.95034583333333</v>
      </c>
      <c r="V219" s="35">
        <f>IFERROR(Tabela3[[#This Row],[Custo M.O. / H]]/((Tabela3[[#This Row],[Realizado]]/Tabela3[[#This Row],[Qdt Peça Placa]])/Tabela3[[#This Row],[Tempo]]/24),)</f>
        <v>9.6921547474747474</v>
      </c>
      <c r="W219" s="35">
        <f>Tabela3[[#This Row],[Custo / Cx Moldada]]*Tabela3[[#This Row],[Qtde Cx Produzida]]</f>
        <v>251.99602343434344</v>
      </c>
      <c r="X219" s="35">
        <f ca="1">Tabela3[[#This Row],[Aluminio Util]]*Tabela3[[#This Row],[Custo/Kg]]</f>
        <v>580.00800000000004</v>
      </c>
      <c r="Y219" s="35">
        <f>IFERROR(VLOOKUP(Tabela3[[#This Row],[Data]],Tabela461213[],2,1)*(Tabela3[[#This Row],[Qtde Cx Produzida]]*Tabela3[[#This Row],[Qde macho / CX]]*Tabela3[[#This Row],[Peso Macho]]),)</f>
        <v>0</v>
      </c>
      <c r="Z219" s="35">
        <f>IFERROR(Tabela3[[#This Row],[Qtde Oleo]]*(VLOOKUP(Tabela3[[#This Row],[Data]],CompraOleo[],3,TRUE))*1.05,0)</f>
        <v>90.572734729886676</v>
      </c>
      <c r="AA219" s="47">
        <f ca="1">(Tabela3[[#This Row],[Custo Oleo]]+Tabela3[[#This Row],[Custo Aluminio]]+Tabela3[[#This Row],[Custo M.O. Total]]+Tabela3[[#This Row],[Custo Machos]])</f>
        <v>922.57675816423011</v>
      </c>
      <c r="AB219" s="47">
        <f ca="1">Tabela3[[#This Row],[Custo Total]]*Tabela3[[#This Row],[% Perda]]</f>
        <v>141.93488587142002</v>
      </c>
      <c r="AC219" s="48">
        <f>IFERROR(VLOOKUP(Tabela3[[#This Row],[Produto]],Tabela2[],2,0),0)</f>
        <v>1</v>
      </c>
      <c r="AD219" s="48">
        <f>IFERROR(VLOOKUP(Tabela3[[#This Row],[Produto]],Tabela2[],3,0),0)</f>
        <v>1.69</v>
      </c>
      <c r="AE219" s="48">
        <f>IFERROR(VLOOKUP(Tabela3[[#This Row],[Produto]],Tabela2[],4,0),0)</f>
        <v>2.99</v>
      </c>
      <c r="AF219" s="48">
        <f>IFERROR(VLOOKUP(Tabela3[[#This Row],[Produto]],Tabela2[],5,0),0)</f>
        <v>1.1700000000000004</v>
      </c>
      <c r="AG219" s="40">
        <f>IFERROR(VLOOKUP(Tabela3[[#This Row],[Produto]],Tabela2[],6,0),0)</f>
        <v>0</v>
      </c>
      <c r="AH219" s="40">
        <f>IFERROR(VLOOKUP(Tabela3[[#This Row],[Produto]],Tabela2[],7,0),0)</f>
        <v>0</v>
      </c>
      <c r="AI219" s="40">
        <f>IFERROR(VLOOKUP(Tabela3[[#This Row],[Produto]],Tabela2[],8,0),0)</f>
        <v>0</v>
      </c>
      <c r="AJ219" s="35">
        <f ca="1">IFERROR(VLOOKUP(Tabela3[[#This Row],[Produto]],Tabela2[],13,0),0)</f>
        <v>15.600000000000001</v>
      </c>
      <c r="AK219" s="40" t="str">
        <f>IFERROR(VLOOKUP(Tabela3[[#This Row],[Produto]],Tabela2[],14,0),0)</f>
        <v>Jumil</v>
      </c>
      <c r="AL219" s="40">
        <f>IFERROR(VLOOKUP(Tabela3[[#This Row],[Produto]],Tabela2[],15,0),0)</f>
        <v>8</v>
      </c>
      <c r="AM219" s="36">
        <f ca="1">(Tabela3[[#This Row],[Custo Usinagem]]+Tabela3[[#This Row],[Custo / Pç]])*1.2</f>
        <v>59.922368627139818</v>
      </c>
      <c r="AN219" s="36">
        <f ca="1">Tabela3[[#This Row],[Valor Mínimo Venda]]*1.15</f>
        <v>68.910723921210788</v>
      </c>
      <c r="AO219" s="36">
        <f ca="1">Tabela3[[#This Row],[Tabela 1]]*1.08</f>
        <v>74.423581834907651</v>
      </c>
      <c r="AP219" s="36">
        <f ca="1">Tabela3[[#This Row],[Tabela 2]]*1.15</f>
        <v>85.587119110143789</v>
      </c>
    </row>
    <row r="220" spans="1:42">
      <c r="A220" s="9">
        <v>45769</v>
      </c>
      <c r="B220" s="6" t="s">
        <v>269</v>
      </c>
      <c r="C220" s="14">
        <v>6382</v>
      </c>
      <c r="D220" s="6" t="s">
        <v>46</v>
      </c>
      <c r="E220" s="6" t="s">
        <v>53</v>
      </c>
      <c r="F220" s="6">
        <v>2</v>
      </c>
      <c r="G220" s="15">
        <v>2.0833333333333332E-2</v>
      </c>
      <c r="H220" s="16">
        <v>0</v>
      </c>
      <c r="I220" s="35">
        <f ca="1">IFERROR(Tabela3[[#This Row],[Custo Total]]/Tabela3[[#This Row],[Aluminio Util]],0)</f>
        <v>23.153626869840515</v>
      </c>
      <c r="J220" s="35">
        <f ca="1">Tabela3[[#This Row],[Custo Total]]/Tabela3[[#This Row],[Realizado]]</f>
        <v>134.29103584507499</v>
      </c>
      <c r="K220" s="37">
        <f>IFERROR(Tabela3[[#This Row],[Qtde Cx Produzida]]/Tabela3[[#This Row],[Tempo]]/24,0)</f>
        <v>4</v>
      </c>
      <c r="L220" s="37">
        <f>Tabela3[[#This Row],[Qtde Cx Produzida]]*Tabela3[[#This Row],[Qdt Peça Placa]]</f>
        <v>2</v>
      </c>
      <c r="M220" s="37">
        <f>Tabela3[[#This Row],[Previsto]]-Tabela3[[#This Row],[Perda Pçs]]</f>
        <v>2</v>
      </c>
      <c r="N220" s="38">
        <f>IFERROR(Tabela3[[#This Row],[Perda Pçs]]/Tabela3[[#This Row],[Previsto]],0)</f>
        <v>0</v>
      </c>
      <c r="O220" s="39">
        <f>IFERROR(IF(Tabela3[[#This Row],[Qtde Cx Produzida]] &lt;&gt; 0, Tabela3[[#This Row],[Tempo]] / Tabela3[[#This Row],[Qtde Cx Produzida]], 0),0)</f>
        <v>1.0416666666666666E-2</v>
      </c>
      <c r="P220" s="57">
        <f>IFERROR(Tabela3[[#This Row],[Perda Pçs]]/Tabela3[[#This Row],[Qdt Peça Placa]],0)</f>
        <v>0</v>
      </c>
      <c r="Q220" s="37">
        <f>IFERROR(Tabela3[[#This Row],[Realizado]]*Tabela3[[#This Row],[Peso Util/Pç]],0)</f>
        <v>11.6</v>
      </c>
      <c r="R220" s="37">
        <f>IFERROR(Tabela3[[#This Row],[Peso Total Galho]]*Tabela3[[#This Row],[Qtde Cx Produzida]]*1.055,0)</f>
        <v>13.081999999999999</v>
      </c>
      <c r="S220" s="37">
        <f>(Tabela3[[#This Row],[Aluminio Bruto]]-Tabela3[[#This Row],[Aluminio Util]])*0.9</f>
        <v>1.3337999999999994</v>
      </c>
      <c r="T220" s="37">
        <f>Tabela3[[#This Row],[Aluminio Bruto]]/OleoKGAluminio</f>
        <v>5.5035804851365073</v>
      </c>
      <c r="U220" s="35">
        <f>IFERROR((VLOOKUP(Tabela3[[#This Row],[Moldador]],Tabela1[],5,)+(VLOOKUP(Tabela3[[#This Row],[Ajudante]],Tabela1[],5,))*3.5),0)</f>
        <v>99.95034583333333</v>
      </c>
      <c r="V220" s="35">
        <f>IFERROR(Tabela3[[#This Row],[Custo M.O. / H]]/((Tabela3[[#This Row],[Realizado]]/Tabela3[[#This Row],[Qdt Peça Placa]])/Tabela3[[#This Row],[Tempo]]/24),)</f>
        <v>24.987586458333332</v>
      </c>
      <c r="W220" s="35">
        <f>Tabela3[[#This Row],[Custo / Cx Moldada]]*Tabela3[[#This Row],[Qtde Cx Produzida]]</f>
        <v>49.975172916666665</v>
      </c>
      <c r="X220" s="35">
        <f ca="1">Tabela3[[#This Row],[Aluminio Util]]*Tabela3[[#This Row],[Custo/Kg]]</f>
        <v>204.16</v>
      </c>
      <c r="Y220" s="35">
        <f>IFERROR(VLOOKUP(Tabela3[[#This Row],[Data]],Tabela461213[],2,1)*(Tabela3[[#This Row],[Qtde Cx Produzida]]*Tabela3[[#This Row],[Qde macho / CX]]*Tabela3[[#This Row],[Peso Macho]]),)</f>
        <v>0</v>
      </c>
      <c r="Z220" s="35">
        <f>IFERROR(Tabela3[[#This Row],[Qtde Oleo]]*(VLOOKUP(Tabela3[[#This Row],[Data]],CompraOleo[],3,TRUE))*1.05,0)</f>
        <v>14.446898773483332</v>
      </c>
      <c r="AA220" s="47">
        <f ca="1">(Tabela3[[#This Row],[Custo Oleo]]+Tabela3[[#This Row],[Custo Aluminio]]+Tabela3[[#This Row],[Custo M.O. Total]]+Tabela3[[#This Row],[Custo Machos]])</f>
        <v>268.58207169014997</v>
      </c>
      <c r="AB220" s="47">
        <f ca="1">Tabela3[[#This Row],[Custo Total]]*Tabela3[[#This Row],[% Perda]]</f>
        <v>0</v>
      </c>
      <c r="AC220" s="48">
        <f>IFERROR(VLOOKUP(Tabela3[[#This Row],[Produto]],Tabela2[],2,0),0)</f>
        <v>1</v>
      </c>
      <c r="AD220" s="48">
        <f>IFERROR(VLOOKUP(Tabela3[[#This Row],[Produto]],Tabela2[],3,0),0)</f>
        <v>5.8</v>
      </c>
      <c r="AE220" s="48">
        <f>IFERROR(VLOOKUP(Tabela3[[#This Row],[Produto]],Tabela2[],4,0),0)</f>
        <v>6.2</v>
      </c>
      <c r="AF220" s="48">
        <f>IFERROR(VLOOKUP(Tabela3[[#This Row],[Produto]],Tabela2[],5,0),0)</f>
        <v>0.36000000000000032</v>
      </c>
      <c r="AG220" s="40">
        <f>IFERROR(VLOOKUP(Tabela3[[#This Row],[Produto]],Tabela2[],6,0),0)</f>
        <v>0</v>
      </c>
      <c r="AH220" s="40">
        <f>IFERROR(VLOOKUP(Tabela3[[#This Row],[Produto]],Tabela2[],7,0),0)</f>
        <v>0</v>
      </c>
      <c r="AI220" s="40">
        <f>IFERROR(VLOOKUP(Tabela3[[#This Row],[Produto]],Tabela2[],8,0),0)</f>
        <v>0</v>
      </c>
      <c r="AJ220" s="35">
        <f ca="1">IFERROR(VLOOKUP(Tabela3[[#This Row],[Produto]],Tabela2[],13,0),0)</f>
        <v>17.600000000000001</v>
      </c>
      <c r="AK220" s="40" t="str">
        <f>IFERROR(VLOOKUP(Tabela3[[#This Row],[Produto]],Tabela2[],14,0),0)</f>
        <v>Danilo</v>
      </c>
      <c r="AL220" s="40">
        <f>IFERROR(VLOOKUP(Tabela3[[#This Row],[Produto]],Tabela2[],15,0),0)</f>
        <v>0</v>
      </c>
      <c r="AM220" s="36">
        <f ca="1">(Tabela3[[#This Row],[Custo Usinagem]]+Tabela3[[#This Row],[Custo / Pç]])*1.2</f>
        <v>161.14924301408999</v>
      </c>
      <c r="AN220" s="36">
        <f ca="1">Tabela3[[#This Row],[Valor Mínimo Venda]]*1.15</f>
        <v>185.32162946620346</v>
      </c>
      <c r="AO220" s="36">
        <f ca="1">Tabela3[[#This Row],[Tabela 1]]*1.08</f>
        <v>200.14735982349976</v>
      </c>
      <c r="AP220" s="36">
        <f ca="1">Tabela3[[#This Row],[Tabela 2]]*1.15</f>
        <v>230.16946379702469</v>
      </c>
    </row>
    <row r="221" spans="1:42">
      <c r="A221" s="9">
        <v>45769</v>
      </c>
      <c r="B221" s="6" t="s">
        <v>268</v>
      </c>
      <c r="C221" s="14">
        <v>6381</v>
      </c>
      <c r="D221" s="6" t="s">
        <v>46</v>
      </c>
      <c r="E221" s="6" t="s">
        <v>53</v>
      </c>
      <c r="F221" s="6">
        <v>25</v>
      </c>
      <c r="G221" s="15">
        <v>0.11874999999999999</v>
      </c>
      <c r="H221" s="16">
        <v>0</v>
      </c>
      <c r="I221" s="35">
        <f ca="1">IFERROR(Tabela3[[#This Row],[Custo Total]]/Tabela3[[#This Row],[Aluminio Util]],0)</f>
        <v>20.562097999564802</v>
      </c>
      <c r="J221" s="35">
        <f ca="1">Tabela3[[#This Row],[Custo Total]]/Tabela3[[#This Row],[Realizado]]</f>
        <v>135.70984679712771</v>
      </c>
      <c r="K221" s="37">
        <f>IFERROR(Tabela3[[#This Row],[Qtde Cx Produzida]]/Tabela3[[#This Row],[Tempo]]/24,0)</f>
        <v>8.7719298245614041</v>
      </c>
      <c r="L221" s="37">
        <f>Tabela3[[#This Row],[Qtde Cx Produzida]]*Tabela3[[#This Row],[Qdt Peça Placa]]</f>
        <v>25</v>
      </c>
      <c r="M221" s="37">
        <f>Tabela3[[#This Row],[Previsto]]-Tabela3[[#This Row],[Perda Pçs]]</f>
        <v>25</v>
      </c>
      <c r="N221" s="38">
        <f>IFERROR(Tabela3[[#This Row],[Perda Pçs]]/Tabela3[[#This Row],[Previsto]],0)</f>
        <v>0</v>
      </c>
      <c r="O221" s="39">
        <f>IFERROR(IF(Tabela3[[#This Row],[Qtde Cx Produzida]] &lt;&gt; 0, Tabela3[[#This Row],[Tempo]] / Tabela3[[#This Row],[Qtde Cx Produzida]], 0),0)</f>
        <v>4.7499999999999999E-3</v>
      </c>
      <c r="P221" s="57">
        <f>IFERROR(Tabela3[[#This Row],[Perda Pçs]]/Tabela3[[#This Row],[Qdt Peça Placa]],0)</f>
        <v>0</v>
      </c>
      <c r="Q221" s="37">
        <f>IFERROR(Tabela3[[#This Row],[Realizado]]*Tabela3[[#This Row],[Peso Util/Pç]],0)</f>
        <v>165</v>
      </c>
      <c r="R221" s="37">
        <f>IFERROR(Tabela3[[#This Row],[Peso Total Galho]]*Tabela3[[#This Row],[Qtde Cx Produzida]]*1.055,0)</f>
        <v>184.625</v>
      </c>
      <c r="S221" s="37">
        <f>(Tabela3[[#This Row],[Aluminio Bruto]]-Tabela3[[#This Row],[Aluminio Util]])*0.9</f>
        <v>17.662500000000001</v>
      </c>
      <c r="T221" s="37">
        <f>Tabela3[[#This Row],[Aluminio Bruto]]/OleoKGAluminio</f>
        <v>77.671498782168456</v>
      </c>
      <c r="U221" s="35">
        <f>IFERROR((VLOOKUP(Tabela3[[#This Row],[Moldador]],Tabela1[],5,)+(VLOOKUP(Tabela3[[#This Row],[Ajudante]],Tabela1[],5,))*3.5),0)</f>
        <v>99.95034583333333</v>
      </c>
      <c r="V221" s="35">
        <f>IFERROR(Tabela3[[#This Row],[Custo M.O. / H]]/((Tabela3[[#This Row],[Realizado]]/Tabela3[[#This Row],[Qdt Peça Placa]])/Tabela3[[#This Row],[Tempo]]/24),)</f>
        <v>11.394339424999998</v>
      </c>
      <c r="W221" s="35">
        <f>Tabela3[[#This Row],[Custo / Cx Moldada]]*Tabela3[[#This Row],[Qtde Cx Produzida]]</f>
        <v>284.85848562499996</v>
      </c>
      <c r="X221" s="35">
        <f ca="1">Tabela3[[#This Row],[Aluminio Util]]*Tabela3[[#This Row],[Custo/Kg]]</f>
        <v>2904.0000000000005</v>
      </c>
      <c r="Y221" s="35">
        <f>IFERROR(VLOOKUP(Tabela3[[#This Row],[Data]],Tabela461213[],2,1)*(Tabela3[[#This Row],[Qtde Cx Produzida]]*Tabela3[[#This Row],[Qde macho / CX]]*Tabela3[[#This Row],[Peso Macho]]),)</f>
        <v>0</v>
      </c>
      <c r="Z221" s="35">
        <f>IFERROR(Tabela3[[#This Row],[Qtde Oleo]]*(VLOOKUP(Tabela3[[#This Row],[Data]],CompraOleo[],3,TRUE))*1.05,0)</f>
        <v>203.8876843031922</v>
      </c>
      <c r="AA221" s="47">
        <f ca="1">(Tabela3[[#This Row],[Custo Oleo]]+Tabela3[[#This Row],[Custo Aluminio]]+Tabela3[[#This Row],[Custo M.O. Total]]+Tabela3[[#This Row],[Custo Machos]])</f>
        <v>3392.7461699281926</v>
      </c>
      <c r="AB221" s="47">
        <f ca="1">Tabela3[[#This Row],[Custo Total]]*Tabela3[[#This Row],[% Perda]]</f>
        <v>0</v>
      </c>
      <c r="AC221" s="48">
        <f>IFERROR(VLOOKUP(Tabela3[[#This Row],[Produto]],Tabela2[],2,0),0)</f>
        <v>1</v>
      </c>
      <c r="AD221" s="48">
        <f>IFERROR(VLOOKUP(Tabela3[[#This Row],[Produto]],Tabela2[],3,0),0)</f>
        <v>6.6</v>
      </c>
      <c r="AE221" s="48">
        <f>IFERROR(VLOOKUP(Tabela3[[#This Row],[Produto]],Tabela2[],4,0),0)</f>
        <v>7</v>
      </c>
      <c r="AF221" s="48">
        <f>IFERROR(VLOOKUP(Tabela3[[#This Row],[Produto]],Tabela2[],5,0),0)</f>
        <v>0.36000000000000032</v>
      </c>
      <c r="AG221" s="40">
        <f>IFERROR(VLOOKUP(Tabela3[[#This Row],[Produto]],Tabela2[],6,0),0)</f>
        <v>0</v>
      </c>
      <c r="AH221" s="40">
        <f>IFERROR(VLOOKUP(Tabela3[[#This Row],[Produto]],Tabela2[],7,0),0)</f>
        <v>0</v>
      </c>
      <c r="AI221" s="40">
        <f>IFERROR(VLOOKUP(Tabela3[[#This Row],[Produto]],Tabela2[],8,0),0)</f>
        <v>0</v>
      </c>
      <c r="AJ221" s="35">
        <f ca="1">IFERROR(VLOOKUP(Tabela3[[#This Row],[Produto]],Tabela2[],13,0),0)</f>
        <v>17.600000000000001</v>
      </c>
      <c r="AK221" s="40" t="str">
        <f>IFERROR(VLOOKUP(Tabela3[[#This Row],[Produto]],Tabela2[],14,0),0)</f>
        <v>Danilo</v>
      </c>
      <c r="AL221" s="40">
        <f>IFERROR(VLOOKUP(Tabela3[[#This Row],[Produto]],Tabela2[],15,0),0)</f>
        <v>0</v>
      </c>
      <c r="AM221" s="36">
        <f ca="1">(Tabela3[[#This Row],[Custo Usinagem]]+Tabela3[[#This Row],[Custo / Pç]])*1.2</f>
        <v>162.85181615655324</v>
      </c>
      <c r="AN221" s="36">
        <f ca="1">Tabela3[[#This Row],[Valor Mínimo Venda]]*1.15</f>
        <v>187.2795885800362</v>
      </c>
      <c r="AO221" s="36">
        <f ca="1">Tabela3[[#This Row],[Tabela 1]]*1.08</f>
        <v>202.26195566643912</v>
      </c>
      <c r="AP221" s="36">
        <f ca="1">Tabela3[[#This Row],[Tabela 2]]*1.15</f>
        <v>232.60124901640498</v>
      </c>
    </row>
    <row r="222" spans="1:42">
      <c r="A222" s="9">
        <v>45770</v>
      </c>
      <c r="B222" s="6" t="s">
        <v>124</v>
      </c>
      <c r="C222" s="14">
        <v>6370</v>
      </c>
      <c r="D222" s="6" t="s">
        <v>46</v>
      </c>
      <c r="E222" s="6" t="s">
        <v>53</v>
      </c>
      <c r="F222" s="6">
        <v>74</v>
      </c>
      <c r="G222" s="15">
        <v>0.26666666666666666</v>
      </c>
      <c r="H222" s="16">
        <v>8</v>
      </c>
      <c r="I222" s="35">
        <f ca="1">IFERROR(Tabela3[[#This Row],[Custo Total]]/Tabela3[[#This Row],[Aluminio Util]],0)</f>
        <v>24.341289121582129</v>
      </c>
      <c r="J222" s="35">
        <f ca="1">Tabela3[[#This Row],[Custo Total]]/Tabela3[[#This Row],[Realizado]]</f>
        <v>41.136778615473794</v>
      </c>
      <c r="K222" s="37">
        <f>IFERROR(Tabela3[[#This Row],[Qtde Cx Produzida]]/Tabela3[[#This Row],[Tempo]]/24,0)</f>
        <v>11.5625</v>
      </c>
      <c r="L222" s="37">
        <f>Tabela3[[#This Row],[Qtde Cx Produzida]]*Tabela3[[#This Row],[Qdt Peça Placa]]</f>
        <v>74</v>
      </c>
      <c r="M222" s="37">
        <f>Tabela3[[#This Row],[Previsto]]-Tabela3[[#This Row],[Perda Pçs]]</f>
        <v>66</v>
      </c>
      <c r="N222" s="38">
        <f>IFERROR(Tabela3[[#This Row],[Perda Pçs]]/Tabela3[[#This Row],[Previsto]],0)</f>
        <v>0.10810810810810811</v>
      </c>
      <c r="O222" s="39">
        <f>IFERROR(IF(Tabela3[[#This Row],[Qtde Cx Produzida]] &lt;&gt; 0, Tabela3[[#This Row],[Tempo]] / Tabela3[[#This Row],[Qtde Cx Produzida]], 0),0)</f>
        <v>3.6036036036036037E-3</v>
      </c>
      <c r="P222" s="57">
        <f>IFERROR(Tabela3[[#This Row],[Perda Pçs]]/Tabela3[[#This Row],[Qdt Peça Placa]],0)</f>
        <v>8</v>
      </c>
      <c r="Q222" s="37">
        <f>IFERROR(Tabela3[[#This Row],[Realizado]]*Tabela3[[#This Row],[Peso Util/Pç]],0)</f>
        <v>111.53999999999999</v>
      </c>
      <c r="R222" s="37">
        <f>IFERROR(Tabela3[[#This Row],[Peso Total Galho]]*Tabela3[[#This Row],[Qtde Cx Produzida]]*1.055,0)</f>
        <v>233.42930000000001</v>
      </c>
      <c r="S222" s="37">
        <f>(Tabela3[[#This Row],[Aluminio Bruto]]-Tabela3[[#This Row],[Aluminio Util]])*0.9</f>
        <v>109.70037000000002</v>
      </c>
      <c r="T222" s="37">
        <f>Tabela3[[#This Row],[Aluminio Bruto]]/OleoKGAluminio</f>
        <v>98.203404688814828</v>
      </c>
      <c r="U222" s="35">
        <f>IFERROR((VLOOKUP(Tabela3[[#This Row],[Moldador]],Tabela1[],5,)+(VLOOKUP(Tabela3[[#This Row],[Ajudante]],Tabela1[],5,))*3.5),0)</f>
        <v>99.95034583333333</v>
      </c>
      <c r="V222" s="35">
        <f>IFERROR(Tabela3[[#This Row],[Custo M.O. / H]]/((Tabela3[[#This Row],[Realizado]]/Tabela3[[#This Row],[Qdt Peça Placa]])/Tabela3[[#This Row],[Tempo]]/24),)</f>
        <v>9.6921547474747474</v>
      </c>
      <c r="W222" s="35">
        <f>Tabela3[[#This Row],[Custo / Cx Moldada]]*Tabela3[[#This Row],[Qtde Cx Produzida]]</f>
        <v>717.21945131313134</v>
      </c>
      <c r="X222" s="35">
        <f ca="1">Tabela3[[#This Row],[Aluminio Util]]*Tabela3[[#This Row],[Custo/Kg]]</f>
        <v>1740.0240000000001</v>
      </c>
      <c r="Y222" s="35">
        <f>IFERROR(VLOOKUP(Tabela3[[#This Row],[Data]],Tabela461213[],2,1)*(Tabela3[[#This Row],[Qtde Cx Produzida]]*Tabela3[[#This Row],[Qde macho / CX]]*Tabela3[[#This Row],[Peso Macho]]),)</f>
        <v>0</v>
      </c>
      <c r="Z222" s="35">
        <f>IFERROR(Tabela3[[#This Row],[Qtde Oleo]]*(VLOOKUP(Tabela3[[#This Row],[Data]],CompraOleo[],3,TRUE))*1.05,0)</f>
        <v>257.78393730813895</v>
      </c>
      <c r="AA222" s="47">
        <f ca="1">(Tabela3[[#This Row],[Custo Oleo]]+Tabela3[[#This Row],[Custo Aluminio]]+Tabela3[[#This Row],[Custo M.O. Total]]+Tabela3[[#This Row],[Custo Machos]])</f>
        <v>2715.0273886212703</v>
      </c>
      <c r="AB222" s="47">
        <f ca="1">Tabela3[[#This Row],[Custo Total]]*Tabela3[[#This Row],[% Perda]]</f>
        <v>293.51647444554277</v>
      </c>
      <c r="AC222" s="48">
        <f>IFERROR(VLOOKUP(Tabela3[[#This Row],[Produto]],Tabela2[],2,0),0)</f>
        <v>1</v>
      </c>
      <c r="AD222" s="48">
        <f>IFERROR(VLOOKUP(Tabela3[[#This Row],[Produto]],Tabela2[],3,0),0)</f>
        <v>1.69</v>
      </c>
      <c r="AE222" s="48">
        <f>IFERROR(VLOOKUP(Tabela3[[#This Row],[Produto]],Tabela2[],4,0),0)</f>
        <v>2.99</v>
      </c>
      <c r="AF222" s="48">
        <f>IFERROR(VLOOKUP(Tabela3[[#This Row],[Produto]],Tabela2[],5,0),0)</f>
        <v>1.1700000000000004</v>
      </c>
      <c r="AG222" s="40">
        <f>IFERROR(VLOOKUP(Tabela3[[#This Row],[Produto]],Tabela2[],6,0),0)</f>
        <v>0</v>
      </c>
      <c r="AH222" s="40">
        <f>IFERROR(VLOOKUP(Tabela3[[#This Row],[Produto]],Tabela2[],7,0),0)</f>
        <v>0</v>
      </c>
      <c r="AI222" s="40">
        <f>IFERROR(VLOOKUP(Tabela3[[#This Row],[Produto]],Tabela2[],8,0),0)</f>
        <v>0</v>
      </c>
      <c r="AJ222" s="35">
        <f ca="1">IFERROR(VLOOKUP(Tabela3[[#This Row],[Produto]],Tabela2[],13,0),0)</f>
        <v>15.600000000000001</v>
      </c>
      <c r="AK222" s="40" t="str">
        <f>IFERROR(VLOOKUP(Tabela3[[#This Row],[Produto]],Tabela2[],14,0),0)</f>
        <v>Jumil</v>
      </c>
      <c r="AL222" s="40">
        <f>IFERROR(VLOOKUP(Tabela3[[#This Row],[Produto]],Tabela2[],15,0),0)</f>
        <v>8</v>
      </c>
      <c r="AM222" s="36">
        <f ca="1">(Tabela3[[#This Row],[Custo Usinagem]]+Tabela3[[#This Row],[Custo / Pç]])*1.2</f>
        <v>58.964134338568549</v>
      </c>
      <c r="AN222" s="36">
        <f ca="1">Tabela3[[#This Row],[Valor Mínimo Venda]]*1.15</f>
        <v>67.808754489353831</v>
      </c>
      <c r="AO222" s="36">
        <f ca="1">Tabela3[[#This Row],[Tabela 1]]*1.08</f>
        <v>73.233454848502149</v>
      </c>
      <c r="AP222" s="36">
        <f ca="1">Tabela3[[#This Row],[Tabela 2]]*1.15</f>
        <v>84.218473075777467</v>
      </c>
    </row>
    <row r="223" spans="1:42">
      <c r="A223" s="9">
        <v>45770</v>
      </c>
      <c r="B223" s="6" t="s">
        <v>134</v>
      </c>
      <c r="C223" s="14">
        <v>6168</v>
      </c>
      <c r="D223" s="6" t="s">
        <v>46</v>
      </c>
      <c r="E223" s="6" t="s">
        <v>53</v>
      </c>
      <c r="F223" s="6">
        <v>11</v>
      </c>
      <c r="G223" s="15">
        <v>8.0555555555555561E-2</v>
      </c>
      <c r="H223" s="16">
        <v>2</v>
      </c>
      <c r="I223" s="35">
        <f ca="1">IFERROR(Tabela3[[#This Row],[Custo Total]]/Tabela3[[#This Row],[Aluminio Util]],0)</f>
        <v>26.687123771428293</v>
      </c>
      <c r="J223" s="35">
        <f ca="1">Tabela3[[#This Row],[Custo Total]]/Tabela3[[#This Row],[Realizado]]</f>
        <v>97.40800176571328</v>
      </c>
      <c r="K223" s="37">
        <f>IFERROR(Tabela3[[#This Row],[Qtde Cx Produzida]]/Tabela3[[#This Row],[Tempo]]/24,0)</f>
        <v>5.6896551724137927</v>
      </c>
      <c r="L223" s="37">
        <f>Tabela3[[#This Row],[Qtde Cx Produzida]]*Tabela3[[#This Row],[Qdt Peça Placa]]</f>
        <v>11</v>
      </c>
      <c r="M223" s="37">
        <f>Tabela3[[#This Row],[Previsto]]-Tabela3[[#This Row],[Perda Pçs]]</f>
        <v>9</v>
      </c>
      <c r="N223" s="38">
        <f>IFERROR(Tabela3[[#This Row],[Perda Pçs]]/Tabela3[[#This Row],[Previsto]],0)</f>
        <v>0.18181818181818182</v>
      </c>
      <c r="O223" s="39">
        <f>IFERROR(IF(Tabela3[[#This Row],[Qtde Cx Produzida]] &lt;&gt; 0, Tabela3[[#This Row],[Tempo]] / Tabela3[[#This Row],[Qtde Cx Produzida]], 0),0)</f>
        <v>7.3232323232323236E-3</v>
      </c>
      <c r="P223" s="57">
        <f>IFERROR(Tabela3[[#This Row],[Perda Pçs]]/Tabela3[[#This Row],[Qdt Peça Placa]],0)</f>
        <v>2</v>
      </c>
      <c r="Q223" s="37">
        <f>IFERROR(Tabela3[[#This Row],[Realizado]]*Tabela3[[#This Row],[Peso Util/Pç]],0)</f>
        <v>32.85</v>
      </c>
      <c r="R223" s="37">
        <f>IFERROR(Tabela3[[#This Row],[Peso Total Galho]]*Tabela3[[#This Row],[Qtde Cx Produzida]]*1.055,0)</f>
        <v>74.968299999999999</v>
      </c>
      <c r="S223" s="37">
        <f>(Tabela3[[#This Row],[Aluminio Bruto]]-Tabela3[[#This Row],[Aluminio Util]])*0.9</f>
        <v>37.906469999999999</v>
      </c>
      <c r="T223" s="37">
        <f>Tabela3[[#This Row],[Aluminio Bruto]]/OleoKGAluminio</f>
        <v>31.539066876919374</v>
      </c>
      <c r="U223" s="35">
        <f>IFERROR((VLOOKUP(Tabela3[[#This Row],[Moldador]],Tabela1[],5,)+(VLOOKUP(Tabela3[[#This Row],[Ajudante]],Tabela1[],5,))*3.5),0)</f>
        <v>99.95034583333333</v>
      </c>
      <c r="V223" s="35">
        <f>IFERROR(Tabela3[[#This Row],[Custo M.O. / H]]/((Tabela3[[#This Row],[Realizado]]/Tabela3[[#This Row],[Qdt Peça Placa]])/Tabela3[[#This Row],[Tempo]]/24),)</f>
        <v>21.470815030864198</v>
      </c>
      <c r="W223" s="35">
        <f>Tabela3[[#This Row],[Custo / Cx Moldada]]*Tabela3[[#This Row],[Qtde Cx Produzida]]</f>
        <v>236.17896533950619</v>
      </c>
      <c r="X223" s="35">
        <f ca="1">Tabela3[[#This Row],[Aluminio Util]]*Tabela3[[#This Row],[Custo/Kg]]</f>
        <v>512.46</v>
      </c>
      <c r="Y223" s="35">
        <f>IFERROR(VLOOKUP(Tabela3[[#This Row],[Data]],Tabela461213[],2,1)*(Tabela3[[#This Row],[Qtde Cx Produzida]]*Tabela3[[#This Row],[Qde macho / CX]]*Tabela3[[#This Row],[Peso Macho]]),)</f>
        <v>45.242999999999995</v>
      </c>
      <c r="Z223" s="35">
        <f>IFERROR(Tabela3[[#This Row],[Qtde Oleo]]*(VLOOKUP(Tabela3[[#This Row],[Data]],CompraOleo[],3,TRUE))*1.05,0)</f>
        <v>82.790050551913353</v>
      </c>
      <c r="AA223" s="47">
        <f ca="1">(Tabela3[[#This Row],[Custo Oleo]]+Tabela3[[#This Row],[Custo Aluminio]]+Tabela3[[#This Row],[Custo M.O. Total]]+Tabela3[[#This Row],[Custo Machos]])</f>
        <v>876.67201589141951</v>
      </c>
      <c r="AB223" s="47">
        <f ca="1">Tabela3[[#This Row],[Custo Total]]*Tabela3[[#This Row],[% Perda]]</f>
        <v>159.39491198025809</v>
      </c>
      <c r="AC223" s="48">
        <f>IFERROR(VLOOKUP(Tabela3[[#This Row],[Produto]],Tabela2[],2,0),0)</f>
        <v>1</v>
      </c>
      <c r="AD223" s="48">
        <f>IFERROR(VLOOKUP(Tabela3[[#This Row],[Produto]],Tabela2[],3,0),0)</f>
        <v>3.65</v>
      </c>
      <c r="AE223" s="48">
        <f>IFERROR(VLOOKUP(Tabela3[[#This Row],[Produto]],Tabela2[],4,0),0)</f>
        <v>6.46</v>
      </c>
      <c r="AF223" s="48">
        <f>IFERROR(VLOOKUP(Tabela3[[#This Row],[Produto]],Tabela2[],5,0),0)</f>
        <v>2.5289999999999999</v>
      </c>
      <c r="AG223" s="40">
        <f>IFERROR(VLOOKUP(Tabela3[[#This Row],[Produto]],Tabela2[],6,0),0)</f>
        <v>0</v>
      </c>
      <c r="AH223" s="40">
        <f>IFERROR(VLOOKUP(Tabela3[[#This Row],[Produto]],Tabela2[],7,0),0)</f>
        <v>1</v>
      </c>
      <c r="AI223" s="40">
        <f>IFERROR(VLOOKUP(Tabela3[[#This Row],[Produto]],Tabela2[],8,0),0)</f>
        <v>2.742</v>
      </c>
      <c r="AJ223" s="35">
        <f ca="1">IFERROR(VLOOKUP(Tabela3[[#This Row],[Produto]],Tabela2[],13,0),0)</f>
        <v>15.600000000000001</v>
      </c>
      <c r="AK223" s="40" t="str">
        <f>IFERROR(VLOOKUP(Tabela3[[#This Row],[Produto]],Tabela2[],14,0),0)</f>
        <v>Jumil</v>
      </c>
      <c r="AL223" s="40">
        <f>IFERROR(VLOOKUP(Tabela3[[#This Row],[Produto]],Tabela2[],15,0),0)</f>
        <v>15</v>
      </c>
      <c r="AM223" s="36">
        <f ca="1">(Tabela3[[#This Row],[Custo Usinagem]]+Tabela3[[#This Row],[Custo / Pç]])*1.2</f>
        <v>134.88960211885592</v>
      </c>
      <c r="AN223" s="36">
        <f ca="1">Tabela3[[#This Row],[Valor Mínimo Venda]]*1.15</f>
        <v>155.1230424366843</v>
      </c>
      <c r="AO223" s="36">
        <f ca="1">Tabela3[[#This Row],[Tabela 1]]*1.08</f>
        <v>167.53288583161907</v>
      </c>
      <c r="AP223" s="36">
        <f ca="1">Tabela3[[#This Row],[Tabela 2]]*1.15</f>
        <v>192.66281870636192</v>
      </c>
    </row>
    <row r="224" spans="1:42">
      <c r="A224" s="9">
        <v>45771</v>
      </c>
      <c r="B224" s="6" t="s">
        <v>134</v>
      </c>
      <c r="C224" s="14">
        <v>6168</v>
      </c>
      <c r="D224" s="6" t="s">
        <v>46</v>
      </c>
      <c r="E224" s="6" t="s">
        <v>53</v>
      </c>
      <c r="F224" s="6">
        <v>4</v>
      </c>
      <c r="G224" s="15">
        <v>2.4305555555555556E-2</v>
      </c>
      <c r="H224" s="16">
        <v>0</v>
      </c>
      <c r="I224" s="35">
        <f ca="1">IFERROR(Tabela3[[#This Row],[Custo Total]]/Tabela3[[#This Row],[Aluminio Util]],0)</f>
        <v>22.782317899366184</v>
      </c>
      <c r="J224" s="35">
        <f ca="1">Tabela3[[#This Row],[Custo Total]]/Tabela3[[#This Row],[Realizado]]</f>
        <v>83.155460332686573</v>
      </c>
      <c r="K224" s="37">
        <f>IFERROR(Tabela3[[#This Row],[Qtde Cx Produzida]]/Tabela3[[#This Row],[Tempo]]/24,0)</f>
        <v>6.8571428571428568</v>
      </c>
      <c r="L224" s="37">
        <f>Tabela3[[#This Row],[Qtde Cx Produzida]]*Tabela3[[#This Row],[Qdt Peça Placa]]</f>
        <v>4</v>
      </c>
      <c r="M224" s="37">
        <f>Tabela3[[#This Row],[Previsto]]-Tabela3[[#This Row],[Perda Pçs]]</f>
        <v>4</v>
      </c>
      <c r="N224" s="38">
        <f>IFERROR(Tabela3[[#This Row],[Perda Pçs]]/Tabela3[[#This Row],[Previsto]],0)</f>
        <v>0</v>
      </c>
      <c r="O224" s="39">
        <f>IFERROR(IF(Tabela3[[#This Row],[Qtde Cx Produzida]] &lt;&gt; 0, Tabela3[[#This Row],[Tempo]] / Tabela3[[#This Row],[Qtde Cx Produzida]], 0),0)</f>
        <v>6.076388888888889E-3</v>
      </c>
      <c r="P224" s="57">
        <f>IFERROR(Tabela3[[#This Row],[Perda Pçs]]/Tabela3[[#This Row],[Qdt Peça Placa]],0)</f>
        <v>0</v>
      </c>
      <c r="Q224" s="37">
        <f>IFERROR(Tabela3[[#This Row],[Realizado]]*Tabela3[[#This Row],[Peso Util/Pç]],0)</f>
        <v>14.6</v>
      </c>
      <c r="R224" s="37">
        <f>IFERROR(Tabela3[[#This Row],[Peso Total Galho]]*Tabela3[[#This Row],[Qtde Cx Produzida]]*1.055,0)</f>
        <v>27.261199999999999</v>
      </c>
      <c r="S224" s="37">
        <f>(Tabela3[[#This Row],[Aluminio Bruto]]-Tabela3[[#This Row],[Aluminio Util]])*0.9</f>
        <v>11.39508</v>
      </c>
      <c r="T224" s="37">
        <f>Tabela3[[#This Row],[Aluminio Bruto]]/OleoKGAluminio</f>
        <v>11.468751591607045</v>
      </c>
      <c r="U224" s="35">
        <f>IFERROR((VLOOKUP(Tabela3[[#This Row],[Moldador]],Tabela1[],5,)+(VLOOKUP(Tabela3[[#This Row],[Ajudante]],Tabela1[],5,))*3.5),0)</f>
        <v>99.95034583333333</v>
      </c>
      <c r="V224" s="35">
        <f>IFERROR(Tabela3[[#This Row],[Custo M.O. / H]]/((Tabela3[[#This Row],[Realizado]]/Tabela3[[#This Row],[Qdt Peça Placa]])/Tabela3[[#This Row],[Tempo]]/24),)</f>
        <v>14.576092100694444</v>
      </c>
      <c r="W224" s="35">
        <f>Tabela3[[#This Row],[Custo / Cx Moldada]]*Tabela3[[#This Row],[Qtde Cx Produzida]]</f>
        <v>58.304368402777776</v>
      </c>
      <c r="X224" s="35">
        <f ca="1">Tabela3[[#This Row],[Aluminio Util]]*Tabela3[[#This Row],[Custo/Kg]]</f>
        <v>227.76000000000002</v>
      </c>
      <c r="Y224" s="35">
        <f>IFERROR(VLOOKUP(Tabela3[[#This Row],[Data]],Tabela461213[],2,1)*(Tabela3[[#This Row],[Qtde Cx Produzida]]*Tabela3[[#This Row],[Qde macho / CX]]*Tabela3[[#This Row],[Peso Macho]]),)</f>
        <v>16.451999999999998</v>
      </c>
      <c r="Z224" s="35">
        <f>IFERROR(Tabela3[[#This Row],[Qtde Oleo]]*(VLOOKUP(Tabela3[[#This Row],[Data]],CompraOleo[],3,TRUE))*1.05,0)</f>
        <v>30.105472927968496</v>
      </c>
      <c r="AA224" s="47">
        <f ca="1">(Tabela3[[#This Row],[Custo Oleo]]+Tabela3[[#This Row],[Custo Aluminio]]+Tabela3[[#This Row],[Custo M.O. Total]]+Tabela3[[#This Row],[Custo Machos]])</f>
        <v>332.62184133074629</v>
      </c>
      <c r="AB224" s="47">
        <f ca="1">Tabela3[[#This Row],[Custo Total]]*Tabela3[[#This Row],[% Perda]]</f>
        <v>0</v>
      </c>
      <c r="AC224" s="48">
        <f>IFERROR(VLOOKUP(Tabela3[[#This Row],[Produto]],Tabela2[],2,0),0)</f>
        <v>1</v>
      </c>
      <c r="AD224" s="48">
        <f>IFERROR(VLOOKUP(Tabela3[[#This Row],[Produto]],Tabela2[],3,0),0)</f>
        <v>3.65</v>
      </c>
      <c r="AE224" s="48">
        <f>IFERROR(VLOOKUP(Tabela3[[#This Row],[Produto]],Tabela2[],4,0),0)</f>
        <v>6.46</v>
      </c>
      <c r="AF224" s="48">
        <f>IFERROR(VLOOKUP(Tabela3[[#This Row],[Produto]],Tabela2[],5,0),0)</f>
        <v>2.5289999999999999</v>
      </c>
      <c r="AG224" s="40">
        <f>IFERROR(VLOOKUP(Tabela3[[#This Row],[Produto]],Tabela2[],6,0),0)</f>
        <v>0</v>
      </c>
      <c r="AH224" s="40">
        <f>IFERROR(VLOOKUP(Tabela3[[#This Row],[Produto]],Tabela2[],7,0),0)</f>
        <v>1</v>
      </c>
      <c r="AI224" s="40">
        <f>IFERROR(VLOOKUP(Tabela3[[#This Row],[Produto]],Tabela2[],8,0),0)</f>
        <v>2.742</v>
      </c>
      <c r="AJ224" s="35">
        <f ca="1">IFERROR(VLOOKUP(Tabela3[[#This Row],[Produto]],Tabela2[],13,0),0)</f>
        <v>15.600000000000001</v>
      </c>
      <c r="AK224" s="40" t="str">
        <f>IFERROR(VLOOKUP(Tabela3[[#This Row],[Produto]],Tabela2[],14,0),0)</f>
        <v>Jumil</v>
      </c>
      <c r="AL224" s="40">
        <f>IFERROR(VLOOKUP(Tabela3[[#This Row],[Produto]],Tabela2[],15,0),0)</f>
        <v>15</v>
      </c>
      <c r="AM224" s="36">
        <f ca="1">(Tabela3[[#This Row],[Custo Usinagem]]+Tabela3[[#This Row],[Custo / Pç]])*1.2</f>
        <v>117.78655239922388</v>
      </c>
      <c r="AN224" s="36">
        <f ca="1">Tabela3[[#This Row],[Valor Mínimo Venda]]*1.15</f>
        <v>135.45453525910744</v>
      </c>
      <c r="AO224" s="36">
        <f ca="1">Tabela3[[#This Row],[Tabela 1]]*1.08</f>
        <v>146.29089807983604</v>
      </c>
      <c r="AP224" s="36">
        <f ca="1">Tabela3[[#This Row],[Tabela 2]]*1.15</f>
        <v>168.23453279181143</v>
      </c>
    </row>
    <row r="225" spans="1:42">
      <c r="A225" s="9">
        <v>45771</v>
      </c>
      <c r="B225" s="6" t="s">
        <v>91</v>
      </c>
      <c r="C225" s="14">
        <v>6372</v>
      </c>
      <c r="D225" s="6" t="s">
        <v>46</v>
      </c>
      <c r="E225" s="6" t="s">
        <v>53</v>
      </c>
      <c r="F225" s="6">
        <v>15</v>
      </c>
      <c r="G225" s="15">
        <v>8.3333333333333329E-2</v>
      </c>
      <c r="H225" s="16">
        <v>6</v>
      </c>
      <c r="I225" s="35">
        <f ca="1">IFERROR(Tabela3[[#This Row],[Custo Total]]/Tabela3[[#This Row],[Aluminio Util]],0)</f>
        <v>40.113634059887815</v>
      </c>
      <c r="J225" s="35">
        <f ca="1">Tabela3[[#This Row],[Custo Total]]/Tabela3[[#This Row],[Realizado]]</f>
        <v>31.449089102952048</v>
      </c>
      <c r="K225" s="37">
        <f>IFERROR(Tabela3[[#This Row],[Qtde Cx Produzida]]/Tabela3[[#This Row],[Tempo]]/24,0)</f>
        <v>7.5</v>
      </c>
      <c r="L225" s="37">
        <f>Tabela3[[#This Row],[Qtde Cx Produzida]]*Tabela3[[#This Row],[Qdt Peça Placa]]</f>
        <v>60</v>
      </c>
      <c r="M225" s="37">
        <f>Tabela3[[#This Row],[Previsto]]-Tabela3[[#This Row],[Perda Pçs]]</f>
        <v>54</v>
      </c>
      <c r="N225" s="38">
        <f>IFERROR(Tabela3[[#This Row],[Perda Pçs]]/Tabela3[[#This Row],[Previsto]],0)</f>
        <v>0.1</v>
      </c>
      <c r="O225" s="39">
        <f>IFERROR(IF(Tabela3[[#This Row],[Qtde Cx Produzida]] &lt;&gt; 0, Tabela3[[#This Row],[Tempo]] / Tabela3[[#This Row],[Qtde Cx Produzida]], 0),0)</f>
        <v>5.5555555555555549E-3</v>
      </c>
      <c r="P225" s="57">
        <f>IFERROR(Tabela3[[#This Row],[Perda Pçs]]/Tabela3[[#This Row],[Qdt Peça Placa]],0)</f>
        <v>1.5</v>
      </c>
      <c r="Q225" s="37">
        <f>IFERROR(Tabela3[[#This Row],[Realizado]]*Tabela3[[#This Row],[Peso Util/Pç]],0)</f>
        <v>42.335999999999999</v>
      </c>
      <c r="R225" s="37">
        <f>IFERROR(Tabela3[[#This Row],[Peso Total Galho]]*Tabela3[[#This Row],[Qtde Cx Produzida]]*1.055,0)</f>
        <v>87.7971</v>
      </c>
      <c r="S225" s="37">
        <f>(Tabela3[[#This Row],[Aluminio Bruto]]-Tabela3[[#This Row],[Aluminio Util]])*0.9</f>
        <v>40.914990000000003</v>
      </c>
      <c r="T225" s="37">
        <f>Tabela3[[#This Row],[Aluminio Bruto]]/OleoKGAluminio</f>
        <v>36.936126449440337</v>
      </c>
      <c r="U225" s="35">
        <f>IFERROR((VLOOKUP(Tabela3[[#This Row],[Moldador]],Tabela1[],5,)+(VLOOKUP(Tabela3[[#This Row],[Ajudante]],Tabela1[],5,))*3.5),0)</f>
        <v>99.95034583333333</v>
      </c>
      <c r="V225" s="35">
        <f>IFERROR(Tabela3[[#This Row],[Custo M.O. / H]]/((Tabela3[[#This Row],[Realizado]]/Tabela3[[#This Row],[Qdt Peça Placa]])/Tabela3[[#This Row],[Tempo]]/24),)</f>
        <v>14.807458641975309</v>
      </c>
      <c r="W225" s="35">
        <f>Tabela3[[#This Row],[Custo / Cx Moldada]]*Tabela3[[#This Row],[Qtde Cx Produzida]]</f>
        <v>222.11187962962964</v>
      </c>
      <c r="X225" s="35">
        <f ca="1">Tabela3[[#This Row],[Aluminio Util]]*Tabela3[[#This Row],[Custo/Kg]]</f>
        <v>660.44159999999999</v>
      </c>
      <c r="Y225" s="35">
        <f>IFERROR(VLOOKUP(Tabela3[[#This Row],[Data]],Tabela461213[],2,1)*(Tabela3[[#This Row],[Qtde Cx Produzida]]*Tabela3[[#This Row],[Qde macho / CX]]*Tabela3[[#This Row],[Peso Macho]]),)</f>
        <v>718.74</v>
      </c>
      <c r="Z225" s="35">
        <f>IFERROR(Tabela3[[#This Row],[Qtde Oleo]]*(VLOOKUP(Tabela3[[#This Row],[Data]],CompraOleo[],3,TRUE))*1.05,0)</f>
        <v>96.957331929780892</v>
      </c>
      <c r="AA225" s="47">
        <f ca="1">(Tabela3[[#This Row],[Custo Oleo]]+Tabela3[[#This Row],[Custo Aluminio]]+Tabela3[[#This Row],[Custo M.O. Total]]+Tabela3[[#This Row],[Custo Machos]])</f>
        <v>1698.2508115594105</v>
      </c>
      <c r="AB225" s="47">
        <f ca="1">Tabela3[[#This Row],[Custo Total]]*Tabela3[[#This Row],[% Perda]]</f>
        <v>169.82508115594106</v>
      </c>
      <c r="AC225" s="48">
        <f>IFERROR(VLOOKUP(Tabela3[[#This Row],[Produto]],Tabela2[],2,0),0)</f>
        <v>4</v>
      </c>
      <c r="AD225" s="48">
        <f>IFERROR(VLOOKUP(Tabela3[[#This Row],[Produto]],Tabela2[],3,0),0)</f>
        <v>0.78400000000000003</v>
      </c>
      <c r="AE225" s="48">
        <f>IFERROR(VLOOKUP(Tabela3[[#This Row],[Produto]],Tabela2[],4,0),0)</f>
        <v>5.548</v>
      </c>
      <c r="AF225" s="48">
        <f>IFERROR(VLOOKUP(Tabela3[[#This Row],[Produto]],Tabela2[],5,0),0)</f>
        <v>2.1707999999999998</v>
      </c>
      <c r="AG225" s="40">
        <f>IFERROR(VLOOKUP(Tabela3[[#This Row],[Produto]],Tabela2[],6,0),0)</f>
        <v>0</v>
      </c>
      <c r="AH225" s="40">
        <f>IFERROR(VLOOKUP(Tabela3[[#This Row],[Produto]],Tabela2[],7,0),0)</f>
        <v>12</v>
      </c>
      <c r="AI225" s="40">
        <f>IFERROR(VLOOKUP(Tabela3[[#This Row],[Produto]],Tabela2[],8,0),0)</f>
        <v>2.6619999999999999</v>
      </c>
      <c r="AJ225" s="35">
        <f ca="1">IFERROR(VLOOKUP(Tabela3[[#This Row],[Produto]],Tabela2[],13,0),0)</f>
        <v>15.600000000000001</v>
      </c>
      <c r="AK225" s="40" t="str">
        <f>IFERROR(VLOOKUP(Tabela3[[#This Row],[Produto]],Tabela2[],14,0),0)</f>
        <v>Jumil</v>
      </c>
      <c r="AL225" s="40">
        <f>IFERROR(VLOOKUP(Tabela3[[#This Row],[Produto]],Tabela2[],15,0),0)</f>
        <v>8</v>
      </c>
      <c r="AM225" s="36">
        <f ca="1">(Tabela3[[#This Row],[Custo Usinagem]]+Tabela3[[#This Row],[Custo / Pç]])*1.2</f>
        <v>47.338906923542453</v>
      </c>
      <c r="AN225" s="36">
        <f ca="1">Tabela3[[#This Row],[Valor Mínimo Venda]]*1.15</f>
        <v>54.439742962073815</v>
      </c>
      <c r="AO225" s="36">
        <f ca="1">Tabela3[[#This Row],[Tabela 1]]*1.08</f>
        <v>58.794922399039727</v>
      </c>
      <c r="AP225" s="36">
        <f ca="1">Tabela3[[#This Row],[Tabela 2]]*1.15</f>
        <v>67.614160758895679</v>
      </c>
    </row>
    <row r="226" spans="1:42">
      <c r="A226" s="9">
        <v>45771</v>
      </c>
      <c r="B226" s="6" t="s">
        <v>265</v>
      </c>
      <c r="C226" s="14">
        <v>6403</v>
      </c>
      <c r="D226" s="6" t="s">
        <v>46</v>
      </c>
      <c r="E226" s="6" t="s">
        <v>53</v>
      </c>
      <c r="F226" s="6">
        <v>15</v>
      </c>
      <c r="G226" s="15">
        <v>9.7916666666666666E-2</v>
      </c>
      <c r="H226" s="16">
        <v>6</v>
      </c>
      <c r="I226" s="35">
        <f ca="1">IFERROR(Tabela3[[#This Row],[Custo Total]]/Tabela3[[#This Row],[Aluminio Util]],0)</f>
        <v>46.270432899175795</v>
      </c>
      <c r="J226" s="35">
        <f ca="1">Tabela3[[#This Row],[Custo Total]]/Tabela3[[#This Row],[Realizado]]</f>
        <v>78.659735928598849</v>
      </c>
      <c r="K226" s="37">
        <f>IFERROR(Tabela3[[#This Row],[Qtde Cx Produzida]]/Tabela3[[#This Row],[Tempo]]/24,0)</f>
        <v>6.3829787234042561</v>
      </c>
      <c r="L226" s="37">
        <f>Tabela3[[#This Row],[Qtde Cx Produzida]]*Tabela3[[#This Row],[Qdt Peça Placa]]</f>
        <v>15</v>
      </c>
      <c r="M226" s="37">
        <f>Tabela3[[#This Row],[Previsto]]-Tabela3[[#This Row],[Perda Pçs]]</f>
        <v>9</v>
      </c>
      <c r="N226" s="38">
        <f>IFERROR(Tabela3[[#This Row],[Perda Pçs]]/Tabela3[[#This Row],[Previsto]],0)</f>
        <v>0.4</v>
      </c>
      <c r="O226" s="39">
        <f>IFERROR(IF(Tabela3[[#This Row],[Qtde Cx Produzida]] &lt;&gt; 0, Tabela3[[#This Row],[Tempo]] / Tabela3[[#This Row],[Qtde Cx Produzida]], 0),0)</f>
        <v>6.5277777777777773E-3</v>
      </c>
      <c r="P226" s="57">
        <f>IFERROR(Tabela3[[#This Row],[Perda Pçs]]/Tabela3[[#This Row],[Qdt Peça Placa]],0)</f>
        <v>6</v>
      </c>
      <c r="Q226" s="37">
        <f>IFERROR(Tabela3[[#This Row],[Realizado]]*Tabela3[[#This Row],[Peso Util/Pç]],0)</f>
        <v>15.299999999999999</v>
      </c>
      <c r="R226" s="37">
        <f>IFERROR(Tabela3[[#This Row],[Peso Total Galho]]*Tabela3[[#This Row],[Qtde Cx Produzida]]*1.055,0)</f>
        <v>42.727499999999999</v>
      </c>
      <c r="S226" s="37">
        <f>(Tabela3[[#This Row],[Aluminio Bruto]]-Tabela3[[#This Row],[Aluminio Util]])*0.9</f>
        <v>24.684750000000001</v>
      </c>
      <c r="T226" s="37">
        <f>Tabela3[[#This Row],[Aluminio Bruto]]/OleoKGAluminio</f>
        <v>17.975404003873273</v>
      </c>
      <c r="U226" s="35">
        <f>IFERROR((VLOOKUP(Tabela3[[#This Row],[Moldador]],Tabela1[],5,)+(VLOOKUP(Tabela3[[#This Row],[Ajudante]],Tabela1[],5,))*3.5),0)</f>
        <v>99.95034583333333</v>
      </c>
      <c r="V226" s="35">
        <f>IFERROR(Tabela3[[#This Row],[Custo M.O. / H]]/((Tabela3[[#This Row],[Realizado]]/Tabela3[[#This Row],[Qdt Peça Placa]])/Tabela3[[#This Row],[Tempo]]/24),)</f>
        <v>26.09814585648148</v>
      </c>
      <c r="W226" s="35">
        <f>Tabela3[[#This Row],[Custo / Cx Moldada]]*Tabela3[[#This Row],[Qtde Cx Produzida]]</f>
        <v>391.47218784722219</v>
      </c>
      <c r="X226" s="35">
        <f ca="1">Tabela3[[#This Row],[Aluminio Util]]*Tabela3[[#This Row],[Custo/Kg]]</f>
        <v>269.28000000000003</v>
      </c>
      <c r="Y226" s="35">
        <f>IFERROR(VLOOKUP(Tabela3[[#This Row],[Data]],Tabela461213[],2,1)*(Tabela3[[#This Row],[Qtde Cx Produzida]]*Tabela3[[#This Row],[Qde macho / CX]]*Tabela3[[#This Row],[Peso Macho]]),)</f>
        <v>0</v>
      </c>
      <c r="Z226" s="35">
        <f>IFERROR(Tabela3[[#This Row],[Qtde Oleo]]*(VLOOKUP(Tabela3[[#This Row],[Data]],CompraOleo[],3,TRUE))*1.05,0)</f>
        <v>47.185435510167345</v>
      </c>
      <c r="AA226" s="47">
        <f ca="1">(Tabela3[[#This Row],[Custo Oleo]]+Tabela3[[#This Row],[Custo Aluminio]]+Tabela3[[#This Row],[Custo M.O. Total]]+Tabela3[[#This Row],[Custo Machos]])</f>
        <v>707.93762335738961</v>
      </c>
      <c r="AB226" s="47">
        <f ca="1">Tabela3[[#This Row],[Custo Total]]*Tabela3[[#This Row],[% Perda]]</f>
        <v>283.17504934295584</v>
      </c>
      <c r="AC226" s="48">
        <f>IFERROR(VLOOKUP(Tabela3[[#This Row],[Produto]],Tabela2[],2,0),0)</f>
        <v>1</v>
      </c>
      <c r="AD226" s="48">
        <f>IFERROR(VLOOKUP(Tabela3[[#This Row],[Produto]],Tabela2[],3,0),0)</f>
        <v>1.7</v>
      </c>
      <c r="AE226" s="48">
        <f>IFERROR(VLOOKUP(Tabela3[[#This Row],[Produto]],Tabela2[],4,0),0)</f>
        <v>2.7</v>
      </c>
      <c r="AF226" s="48">
        <f>IFERROR(VLOOKUP(Tabela3[[#This Row],[Produto]],Tabela2[],5,0),0)</f>
        <v>0.90000000000000024</v>
      </c>
      <c r="AG226" s="40">
        <f>IFERROR(VLOOKUP(Tabela3[[#This Row],[Produto]],Tabela2[],6,0),0)</f>
        <v>0</v>
      </c>
      <c r="AH226" s="40">
        <f>IFERROR(VLOOKUP(Tabela3[[#This Row],[Produto]],Tabela2[],7,0),0)</f>
        <v>0</v>
      </c>
      <c r="AI226" s="40">
        <f>IFERROR(VLOOKUP(Tabela3[[#This Row],[Produto]],Tabela2[],8,0),0)</f>
        <v>0</v>
      </c>
      <c r="AJ226" s="35">
        <f ca="1">IFERROR(VLOOKUP(Tabela3[[#This Row],[Produto]],Tabela2[],13,0),0)</f>
        <v>17.600000000000001</v>
      </c>
      <c r="AK226" s="40" t="str">
        <f>IFERROR(VLOOKUP(Tabela3[[#This Row],[Produto]],Tabela2[],14,0),0)</f>
        <v>Jumil</v>
      </c>
      <c r="AL226" s="40">
        <f>IFERROR(VLOOKUP(Tabela3[[#This Row],[Produto]],Tabela2[],15,0),0)</f>
        <v>80</v>
      </c>
      <c r="AM226" s="36">
        <f ca="1">(Tabela3[[#This Row],[Custo Usinagem]]+Tabela3[[#This Row],[Custo / Pç]])*1.2</f>
        <v>190.39168311431862</v>
      </c>
      <c r="AN226" s="36">
        <f ca="1">Tabela3[[#This Row],[Valor Mínimo Venda]]*1.15</f>
        <v>218.95043558146639</v>
      </c>
      <c r="AO226" s="36">
        <f ca="1">Tabela3[[#This Row],[Tabela 1]]*1.08</f>
        <v>236.46647042798372</v>
      </c>
      <c r="AP226" s="36">
        <f ca="1">Tabela3[[#This Row],[Tabela 2]]*1.15</f>
        <v>271.93644099218125</v>
      </c>
    </row>
    <row r="227" spans="1:42">
      <c r="A227" s="9">
        <v>45771</v>
      </c>
      <c r="B227" s="6" t="s">
        <v>129</v>
      </c>
      <c r="C227" s="14">
        <v>6404</v>
      </c>
      <c r="D227" s="6" t="s">
        <v>46</v>
      </c>
      <c r="E227" s="6" t="s">
        <v>53</v>
      </c>
      <c r="F227" s="6">
        <v>8</v>
      </c>
      <c r="G227" s="15">
        <v>6.3194444444444442E-2</v>
      </c>
      <c r="H227" s="16">
        <v>2</v>
      </c>
      <c r="I227" s="35">
        <f ca="1">IFERROR(Tabela3[[#This Row],[Custo Total]]/Tabela3[[#This Row],[Aluminio Util]],0)</f>
        <v>40.7916934256804</v>
      </c>
      <c r="J227" s="35">
        <f ca="1">Tabela3[[#This Row],[Custo Total]]/Tabela3[[#This Row],[Realizado]]</f>
        <v>66.082543349602247</v>
      </c>
      <c r="K227" s="37">
        <f>IFERROR(Tabela3[[#This Row],[Qtde Cx Produzida]]/Tabela3[[#This Row],[Tempo]]/24,0)</f>
        <v>5.2747252747252746</v>
      </c>
      <c r="L227" s="37">
        <f>Tabela3[[#This Row],[Qtde Cx Produzida]]*Tabela3[[#This Row],[Qdt Peça Placa]]</f>
        <v>8</v>
      </c>
      <c r="M227" s="37">
        <f>Tabela3[[#This Row],[Previsto]]-Tabela3[[#This Row],[Perda Pçs]]</f>
        <v>6</v>
      </c>
      <c r="N227" s="38">
        <f>IFERROR(Tabela3[[#This Row],[Perda Pçs]]/Tabela3[[#This Row],[Previsto]],0)</f>
        <v>0.25</v>
      </c>
      <c r="O227" s="39">
        <f>IFERROR(IF(Tabela3[[#This Row],[Qtde Cx Produzida]] &lt;&gt; 0, Tabela3[[#This Row],[Tempo]] / Tabela3[[#This Row],[Qtde Cx Produzida]], 0),0)</f>
        <v>7.8993055555555552E-3</v>
      </c>
      <c r="P227" s="57">
        <f>IFERROR(Tabela3[[#This Row],[Perda Pçs]]/Tabela3[[#This Row],[Qdt Peça Placa]],0)</f>
        <v>2</v>
      </c>
      <c r="Q227" s="37">
        <f>IFERROR(Tabela3[[#This Row],[Realizado]]*Tabela3[[#This Row],[Peso Util/Pç]],0)</f>
        <v>9.7200000000000006</v>
      </c>
      <c r="R227" s="37">
        <f>IFERROR(Tabela3[[#This Row],[Peso Total Galho]]*Tabela3[[#This Row],[Qtde Cx Produzida]]*1.055,0)</f>
        <v>21.099999999999998</v>
      </c>
      <c r="S227" s="37">
        <f>(Tabela3[[#This Row],[Aluminio Bruto]]-Tabela3[[#This Row],[Aluminio Util]])*0.9</f>
        <v>10.241999999999997</v>
      </c>
      <c r="T227" s="37">
        <f>Tabela3[[#This Row],[Aluminio Bruto]]/OleoKGAluminio</f>
        <v>8.8767427179621095</v>
      </c>
      <c r="U227" s="35">
        <f>IFERROR((VLOOKUP(Tabela3[[#This Row],[Moldador]],Tabela1[],5,)+(VLOOKUP(Tabela3[[#This Row],[Ajudante]],Tabela1[],5,))*3.5),0)</f>
        <v>99.95034583333333</v>
      </c>
      <c r="V227" s="35">
        <f>IFERROR(Tabela3[[#This Row],[Custo M.O. / H]]/((Tabela3[[#This Row],[Realizado]]/Tabela3[[#This Row],[Qdt Peça Placa]])/Tabela3[[#This Row],[Tempo]]/24),)</f>
        <v>25.265226307870368</v>
      </c>
      <c r="W227" s="35">
        <f>Tabela3[[#This Row],[Custo / Cx Moldada]]*Tabela3[[#This Row],[Qtde Cx Produzida]]</f>
        <v>202.12181046296294</v>
      </c>
      <c r="X227" s="35">
        <f ca="1">Tabela3[[#This Row],[Aluminio Util]]*Tabela3[[#This Row],[Custo/Kg]]</f>
        <v>171.07200000000003</v>
      </c>
      <c r="Y227" s="35">
        <f>IFERROR(VLOOKUP(Tabela3[[#This Row],[Data]],Tabela461213[],2,1)*(Tabela3[[#This Row],[Qtde Cx Produzida]]*Tabela3[[#This Row],[Qde macho / CX]]*Tabela3[[#This Row],[Peso Macho]]),)</f>
        <v>0</v>
      </c>
      <c r="Z227" s="35">
        <f>IFERROR(Tabela3[[#This Row],[Qtde Oleo]]*(VLOOKUP(Tabela3[[#This Row],[Data]],CompraOleo[],3,TRUE))*1.05,0)</f>
        <v>23.301449634650538</v>
      </c>
      <c r="AA227" s="47">
        <f ca="1">(Tabela3[[#This Row],[Custo Oleo]]+Tabela3[[#This Row],[Custo Aluminio]]+Tabela3[[#This Row],[Custo M.O. Total]]+Tabela3[[#This Row],[Custo Machos]])</f>
        <v>396.49526009761348</v>
      </c>
      <c r="AB227" s="47">
        <f ca="1">Tabela3[[#This Row],[Custo Total]]*Tabela3[[#This Row],[% Perda]]</f>
        <v>99.12381502440337</v>
      </c>
      <c r="AC227" s="48">
        <f>IFERROR(VLOOKUP(Tabela3[[#This Row],[Produto]],Tabela2[],2,0),0)</f>
        <v>1</v>
      </c>
      <c r="AD227" s="48">
        <f>IFERROR(VLOOKUP(Tabela3[[#This Row],[Produto]],Tabela2[],3,0),0)</f>
        <v>1.62</v>
      </c>
      <c r="AE227" s="48">
        <f>IFERROR(VLOOKUP(Tabela3[[#This Row],[Produto]],Tabela2[],4,0),0)</f>
        <v>2.5</v>
      </c>
      <c r="AF227" s="48">
        <f>IFERROR(VLOOKUP(Tabela3[[#This Row],[Produto]],Tabela2[],5,0),0)</f>
        <v>0.79199999999999993</v>
      </c>
      <c r="AG227" s="40">
        <f>IFERROR(VLOOKUP(Tabela3[[#This Row],[Produto]],Tabela2[],6,0),0)</f>
        <v>0</v>
      </c>
      <c r="AH227" s="40">
        <f>IFERROR(VLOOKUP(Tabela3[[#This Row],[Produto]],Tabela2[],7,0),0)</f>
        <v>0</v>
      </c>
      <c r="AI227" s="40">
        <f>IFERROR(VLOOKUP(Tabela3[[#This Row],[Produto]],Tabela2[],8,0),0)</f>
        <v>0</v>
      </c>
      <c r="AJ227" s="35">
        <f ca="1">IFERROR(VLOOKUP(Tabela3[[#This Row],[Produto]],Tabela2[],13,0),0)</f>
        <v>17.600000000000001</v>
      </c>
      <c r="AK227" s="40" t="str">
        <f>IFERROR(VLOOKUP(Tabela3[[#This Row],[Produto]],Tabela2[],14,0),0)</f>
        <v>Jumil</v>
      </c>
      <c r="AL227" s="40">
        <f>IFERROR(VLOOKUP(Tabela3[[#This Row],[Produto]],Tabela2[],15,0),0)</f>
        <v>80</v>
      </c>
      <c r="AM227" s="36">
        <f ca="1">(Tabela3[[#This Row],[Custo Usinagem]]+Tabela3[[#This Row],[Custo / Pç]])*1.2</f>
        <v>175.29905201952269</v>
      </c>
      <c r="AN227" s="36">
        <f ca="1">Tabela3[[#This Row],[Valor Mínimo Venda]]*1.15</f>
        <v>201.59390982245108</v>
      </c>
      <c r="AO227" s="36">
        <f ca="1">Tabela3[[#This Row],[Tabela 1]]*1.08</f>
        <v>217.7214226082472</v>
      </c>
      <c r="AP227" s="36">
        <f ca="1">Tabela3[[#This Row],[Tabela 2]]*1.15</f>
        <v>250.37963599948426</v>
      </c>
    </row>
    <row r="228" spans="1:42">
      <c r="A228" s="9">
        <v>45771</v>
      </c>
      <c r="B228" s="6" t="s">
        <v>85</v>
      </c>
      <c r="C228" s="14">
        <v>6406</v>
      </c>
      <c r="D228" s="6" t="s">
        <v>46</v>
      </c>
      <c r="E228" s="6" t="s">
        <v>53</v>
      </c>
      <c r="F228" s="6">
        <v>6</v>
      </c>
      <c r="G228" s="15">
        <v>5.6250000000000001E-2</v>
      </c>
      <c r="H228" s="16">
        <v>0</v>
      </c>
      <c r="I228" s="35">
        <f ca="1">IFERROR(Tabela3[[#This Row],[Custo Total]]/Tabela3[[#This Row],[Aluminio Util]],0)</f>
        <v>31.079984875536137</v>
      </c>
      <c r="J228" s="35">
        <f ca="1">Tabela3[[#This Row],[Custo Total]]/Tabela3[[#This Row],[Realizado]]</f>
        <v>55.943972775965051</v>
      </c>
      <c r="K228" s="37">
        <f>IFERROR(Tabela3[[#This Row],[Qtde Cx Produzida]]/Tabela3[[#This Row],[Tempo]]/24,0)</f>
        <v>4.4444444444444438</v>
      </c>
      <c r="L228" s="37">
        <f>Tabela3[[#This Row],[Qtde Cx Produzida]]*Tabela3[[#This Row],[Qdt Peça Placa]]</f>
        <v>6</v>
      </c>
      <c r="M228" s="37">
        <f>Tabela3[[#This Row],[Previsto]]-Tabela3[[#This Row],[Perda Pçs]]</f>
        <v>6</v>
      </c>
      <c r="N228" s="38">
        <f>IFERROR(Tabela3[[#This Row],[Perda Pçs]]/Tabela3[[#This Row],[Previsto]],0)</f>
        <v>0</v>
      </c>
      <c r="O228" s="39">
        <f>IFERROR(IF(Tabela3[[#This Row],[Qtde Cx Produzida]] &lt;&gt; 0, Tabela3[[#This Row],[Tempo]] / Tabela3[[#This Row],[Qtde Cx Produzida]], 0),0)</f>
        <v>9.3749999999999997E-3</v>
      </c>
      <c r="P228" s="57">
        <f>IFERROR(Tabela3[[#This Row],[Perda Pçs]]/Tabela3[[#This Row],[Qdt Peça Placa]],0)</f>
        <v>0</v>
      </c>
      <c r="Q228" s="37">
        <f>IFERROR(Tabela3[[#This Row],[Realizado]]*Tabela3[[#This Row],[Peso Util/Pç]],0)</f>
        <v>10.8</v>
      </c>
      <c r="R228" s="37">
        <f>IFERROR(Tabela3[[#This Row],[Peso Total Galho]]*Tabela3[[#This Row],[Qtde Cx Produzida]]*1.055,0)</f>
        <v>12.66</v>
      </c>
      <c r="S228" s="37">
        <f>(Tabela3[[#This Row],[Aluminio Bruto]]-Tabela3[[#This Row],[Aluminio Util]])*0.9</f>
        <v>1.6739999999999995</v>
      </c>
      <c r="T228" s="37">
        <f>Tabela3[[#This Row],[Aluminio Bruto]]/OleoKGAluminio</f>
        <v>5.3260456307772657</v>
      </c>
      <c r="U228" s="35">
        <f>IFERROR((VLOOKUP(Tabela3[[#This Row],[Moldador]],Tabela1[],5,)+(VLOOKUP(Tabela3[[#This Row],[Ajudante]],Tabela1[],5,))*3.5),0)</f>
        <v>99.95034583333333</v>
      </c>
      <c r="V228" s="35">
        <f>IFERROR(Tabela3[[#This Row],[Custo M.O. / H]]/((Tabela3[[#This Row],[Realizado]]/Tabela3[[#This Row],[Qdt Peça Placa]])/Tabela3[[#This Row],[Tempo]]/24),)</f>
        <v>22.488827812500002</v>
      </c>
      <c r="W228" s="35">
        <f>Tabela3[[#This Row],[Custo / Cx Moldada]]*Tabela3[[#This Row],[Qtde Cx Produzida]]</f>
        <v>134.93296687500001</v>
      </c>
      <c r="X228" s="35">
        <f ca="1">Tabela3[[#This Row],[Aluminio Util]]*Tabela3[[#This Row],[Custo/Kg]]</f>
        <v>168.48000000000002</v>
      </c>
      <c r="Y228" s="35">
        <f>IFERROR(VLOOKUP(Tabela3[[#This Row],[Data]],Tabela461213[],2,1)*(Tabela3[[#This Row],[Qtde Cx Produzida]]*Tabela3[[#This Row],[Qde macho / CX]]*Tabela3[[#This Row],[Peso Macho]]),)</f>
        <v>18.27</v>
      </c>
      <c r="Z228" s="35">
        <f>IFERROR(Tabela3[[#This Row],[Qtde Oleo]]*(VLOOKUP(Tabela3[[#This Row],[Data]],CompraOleo[],3,TRUE))*1.05,0)</f>
        <v>13.980869780790323</v>
      </c>
      <c r="AA228" s="47">
        <f ca="1">(Tabela3[[#This Row],[Custo Oleo]]+Tabela3[[#This Row],[Custo Aluminio]]+Tabela3[[#This Row],[Custo M.O. Total]]+Tabela3[[#This Row],[Custo Machos]])</f>
        <v>335.66383665579031</v>
      </c>
      <c r="AB228" s="47">
        <f ca="1">Tabela3[[#This Row],[Custo Total]]*Tabela3[[#This Row],[% Perda]]</f>
        <v>0</v>
      </c>
      <c r="AC228" s="48">
        <f>IFERROR(VLOOKUP(Tabela3[[#This Row],[Produto]],Tabela2[],2,0),0)</f>
        <v>1</v>
      </c>
      <c r="AD228" s="48">
        <f>IFERROR(VLOOKUP(Tabela3[[#This Row],[Produto]],Tabela2[],3,0),0)</f>
        <v>1.8</v>
      </c>
      <c r="AE228" s="48">
        <f>IFERROR(VLOOKUP(Tabela3[[#This Row],[Produto]],Tabela2[],4,0),0)</f>
        <v>2</v>
      </c>
      <c r="AF228" s="48">
        <f>IFERROR(VLOOKUP(Tabela3[[#This Row],[Produto]],Tabela2[],5,0),0)</f>
        <v>0.17999999999999997</v>
      </c>
      <c r="AG228" s="40">
        <f>IFERROR(VLOOKUP(Tabela3[[#This Row],[Produto]],Tabela2[],6,0),0)</f>
        <v>0</v>
      </c>
      <c r="AH228" s="40">
        <f>IFERROR(VLOOKUP(Tabela3[[#This Row],[Produto]],Tabela2[],7,0),0)</f>
        <v>1</v>
      </c>
      <c r="AI228" s="40">
        <f>IFERROR(VLOOKUP(Tabela3[[#This Row],[Produto]],Tabela2[],8,0),0)</f>
        <v>2.0299999999999998</v>
      </c>
      <c r="AJ228" s="35">
        <f ca="1">IFERROR(VLOOKUP(Tabela3[[#This Row],[Produto]],Tabela2[],13,0),0)</f>
        <v>15.600000000000001</v>
      </c>
      <c r="AK228" s="40" t="str">
        <f>IFERROR(VLOOKUP(Tabela3[[#This Row],[Produto]],Tabela2[],14,0),0)</f>
        <v>Jumil</v>
      </c>
      <c r="AL228" s="40">
        <f>IFERROR(VLOOKUP(Tabela3[[#This Row],[Produto]],Tabela2[],15,0),0)</f>
        <v>15</v>
      </c>
      <c r="AM228" s="36">
        <f ca="1">(Tabela3[[#This Row],[Custo Usinagem]]+Tabela3[[#This Row],[Custo / Pç]])*1.2</f>
        <v>85.132767331158064</v>
      </c>
      <c r="AN228" s="36">
        <f ca="1">Tabela3[[#This Row],[Valor Mínimo Venda]]*1.15</f>
        <v>97.90268243083176</v>
      </c>
      <c r="AO228" s="36">
        <f ca="1">Tabela3[[#This Row],[Tabela 1]]*1.08</f>
        <v>105.73489702529831</v>
      </c>
      <c r="AP228" s="36">
        <f ca="1">Tabela3[[#This Row],[Tabela 2]]*1.15</f>
        <v>121.59513157909305</v>
      </c>
    </row>
    <row r="229" spans="1:42">
      <c r="A229" s="9">
        <v>45772</v>
      </c>
      <c r="B229" s="6" t="s">
        <v>85</v>
      </c>
      <c r="C229" s="14">
        <v>6406</v>
      </c>
      <c r="D229" s="6" t="s">
        <v>46</v>
      </c>
      <c r="E229" s="6" t="s">
        <v>53</v>
      </c>
      <c r="F229" s="6">
        <v>11</v>
      </c>
      <c r="G229" s="15">
        <v>0.1076388888888889</v>
      </c>
      <c r="H229" s="16">
        <v>3</v>
      </c>
      <c r="I229" s="35">
        <f ca="1">IFERROR(Tabela3[[#This Row],[Custo Total]]/Tabela3[[#This Row],[Aluminio Util]],0)</f>
        <v>44.361010569000122</v>
      </c>
      <c r="J229" s="35">
        <f ca="1">Tabela3[[#This Row],[Custo Total]]/Tabela3[[#This Row],[Realizado]]</f>
        <v>79.849819024200215</v>
      </c>
      <c r="K229" s="37">
        <f>IFERROR(Tabela3[[#This Row],[Qtde Cx Produzida]]/Tabela3[[#This Row],[Tempo]]/24,0)</f>
        <v>4.258064516129032</v>
      </c>
      <c r="L229" s="37">
        <f>Tabela3[[#This Row],[Qtde Cx Produzida]]*Tabela3[[#This Row],[Qdt Peça Placa]]</f>
        <v>11</v>
      </c>
      <c r="M229" s="37">
        <f>Tabela3[[#This Row],[Previsto]]-Tabela3[[#This Row],[Perda Pçs]]</f>
        <v>8</v>
      </c>
      <c r="N229" s="38">
        <f>IFERROR(Tabela3[[#This Row],[Perda Pçs]]/Tabela3[[#This Row],[Previsto]],0)</f>
        <v>0.27272727272727271</v>
      </c>
      <c r="O229" s="39">
        <f>IFERROR(IF(Tabela3[[#This Row],[Qtde Cx Produzida]] &lt;&gt; 0, Tabela3[[#This Row],[Tempo]] / Tabela3[[#This Row],[Qtde Cx Produzida]], 0),0)</f>
        <v>9.7853535353535359E-3</v>
      </c>
      <c r="P229" s="57">
        <f>IFERROR(Tabela3[[#This Row],[Perda Pçs]]/Tabela3[[#This Row],[Qdt Peça Placa]],0)</f>
        <v>3</v>
      </c>
      <c r="Q229" s="37">
        <f>IFERROR(Tabela3[[#This Row],[Realizado]]*Tabela3[[#This Row],[Peso Util/Pç]],0)</f>
        <v>14.4</v>
      </c>
      <c r="R229" s="37">
        <f>IFERROR(Tabela3[[#This Row],[Peso Total Galho]]*Tabela3[[#This Row],[Qtde Cx Produzida]]*1.055,0)</f>
        <v>23.209999999999997</v>
      </c>
      <c r="S229" s="37">
        <f>(Tabela3[[#This Row],[Aluminio Bruto]]-Tabela3[[#This Row],[Aluminio Util]])*0.9</f>
        <v>7.9289999999999976</v>
      </c>
      <c r="T229" s="37">
        <f>Tabela3[[#This Row],[Aluminio Bruto]]/OleoKGAluminio</f>
        <v>9.7644169897583204</v>
      </c>
      <c r="U229" s="35">
        <f>IFERROR((VLOOKUP(Tabela3[[#This Row],[Moldador]],Tabela1[],5,)+(VLOOKUP(Tabela3[[#This Row],[Ajudante]],Tabela1[],5,))*3.5),0)</f>
        <v>99.95034583333333</v>
      </c>
      <c r="V229" s="35">
        <f>IFERROR(Tabela3[[#This Row],[Custo M.O. / H]]/((Tabela3[[#This Row],[Realizado]]/Tabela3[[#This Row],[Qdt Peça Placa]])/Tabela3[[#This Row],[Tempo]]/24),)</f>
        <v>32.275632508680559</v>
      </c>
      <c r="W229" s="35">
        <f>Tabela3[[#This Row],[Custo / Cx Moldada]]*Tabela3[[#This Row],[Qtde Cx Produzida]]</f>
        <v>355.03195759548612</v>
      </c>
      <c r="X229" s="35">
        <f ca="1">Tabela3[[#This Row],[Aluminio Util]]*Tabela3[[#This Row],[Custo/Kg]]</f>
        <v>224.64000000000001</v>
      </c>
      <c r="Y229" s="35">
        <f>IFERROR(VLOOKUP(Tabela3[[#This Row],[Data]],Tabela461213[],2,1)*(Tabela3[[#This Row],[Qtde Cx Produzida]]*Tabela3[[#This Row],[Qde macho / CX]]*Tabela3[[#This Row],[Peso Macho]]),)</f>
        <v>33.494999999999997</v>
      </c>
      <c r="Z229" s="35">
        <f>IFERROR(Tabela3[[#This Row],[Qtde Oleo]]*(VLOOKUP(Tabela3[[#This Row],[Data]],CompraOleo[],3,TRUE))*1.05,0)</f>
        <v>25.631594598115591</v>
      </c>
      <c r="AA229" s="47">
        <f ca="1">(Tabela3[[#This Row],[Custo Oleo]]+Tabela3[[#This Row],[Custo Aluminio]]+Tabela3[[#This Row],[Custo M.O. Total]]+Tabela3[[#This Row],[Custo Machos]])</f>
        <v>638.79855219360172</v>
      </c>
      <c r="AB229" s="47">
        <f ca="1">Tabela3[[#This Row],[Custo Total]]*Tabela3[[#This Row],[% Perda]]</f>
        <v>174.21778696189136</v>
      </c>
      <c r="AC229" s="48">
        <f>IFERROR(VLOOKUP(Tabela3[[#This Row],[Produto]],Tabela2[],2,0),0)</f>
        <v>1</v>
      </c>
      <c r="AD229" s="48">
        <f>IFERROR(VLOOKUP(Tabela3[[#This Row],[Produto]],Tabela2[],3,0),0)</f>
        <v>1.8</v>
      </c>
      <c r="AE229" s="48">
        <f>IFERROR(VLOOKUP(Tabela3[[#This Row],[Produto]],Tabela2[],4,0),0)</f>
        <v>2</v>
      </c>
      <c r="AF229" s="48">
        <f>IFERROR(VLOOKUP(Tabela3[[#This Row],[Produto]],Tabela2[],5,0),0)</f>
        <v>0.17999999999999997</v>
      </c>
      <c r="AG229" s="40">
        <f>IFERROR(VLOOKUP(Tabela3[[#This Row],[Produto]],Tabela2[],6,0),0)</f>
        <v>0</v>
      </c>
      <c r="AH229" s="40">
        <f>IFERROR(VLOOKUP(Tabela3[[#This Row],[Produto]],Tabela2[],7,0),0)</f>
        <v>1</v>
      </c>
      <c r="AI229" s="40">
        <f>IFERROR(VLOOKUP(Tabela3[[#This Row],[Produto]],Tabela2[],8,0),0)</f>
        <v>2.0299999999999998</v>
      </c>
      <c r="AJ229" s="35">
        <f ca="1">IFERROR(VLOOKUP(Tabela3[[#This Row],[Produto]],Tabela2[],13,0),0)</f>
        <v>15.600000000000001</v>
      </c>
      <c r="AK229" s="40" t="str">
        <f>IFERROR(VLOOKUP(Tabela3[[#This Row],[Produto]],Tabela2[],14,0),0)</f>
        <v>Jumil</v>
      </c>
      <c r="AL229" s="40">
        <f>IFERROR(VLOOKUP(Tabela3[[#This Row],[Produto]],Tabela2[],15,0),0)</f>
        <v>15</v>
      </c>
      <c r="AM229" s="36">
        <f ca="1">(Tabela3[[#This Row],[Custo Usinagem]]+Tabela3[[#This Row],[Custo / Pç]])*1.2</f>
        <v>113.81978282904025</v>
      </c>
      <c r="AN229" s="36">
        <f ca="1">Tabela3[[#This Row],[Valor Mínimo Venda]]*1.15</f>
        <v>130.89275025339629</v>
      </c>
      <c r="AO229" s="36">
        <f ca="1">Tabela3[[#This Row],[Tabela 1]]*1.08</f>
        <v>141.36417027366801</v>
      </c>
      <c r="AP229" s="36">
        <f ca="1">Tabela3[[#This Row],[Tabela 2]]*1.15</f>
        <v>162.56879581471819</v>
      </c>
    </row>
    <row r="230" spans="1:42">
      <c r="A230" s="9">
        <v>45772</v>
      </c>
      <c r="B230" s="6" t="s">
        <v>129</v>
      </c>
      <c r="C230" s="14">
        <v>6404</v>
      </c>
      <c r="D230" s="6" t="s">
        <v>46</v>
      </c>
      <c r="E230" s="6" t="s">
        <v>53</v>
      </c>
      <c r="F230" s="6">
        <v>5</v>
      </c>
      <c r="G230" s="15">
        <v>2.9166666666666667E-2</v>
      </c>
      <c r="H230" s="16">
        <v>0</v>
      </c>
      <c r="I230" s="35">
        <f ca="1">IFERROR(Tabela3[[#This Row],[Custo Total]]/Tabela3[[#This Row],[Aluminio Util]],0)</f>
        <v>28.035635568517272</v>
      </c>
      <c r="J230" s="35">
        <f ca="1">Tabela3[[#This Row],[Custo Total]]/Tabela3[[#This Row],[Realizado]]</f>
        <v>45.417729620997989</v>
      </c>
      <c r="K230" s="37">
        <f>IFERROR(Tabela3[[#This Row],[Qtde Cx Produzida]]/Tabela3[[#This Row],[Tempo]]/24,0)</f>
        <v>7.1428571428571423</v>
      </c>
      <c r="L230" s="37">
        <f>Tabela3[[#This Row],[Qtde Cx Produzida]]*Tabela3[[#This Row],[Qdt Peça Placa]]</f>
        <v>5</v>
      </c>
      <c r="M230" s="37">
        <f>Tabela3[[#This Row],[Previsto]]-Tabela3[[#This Row],[Perda Pçs]]</f>
        <v>5</v>
      </c>
      <c r="N230" s="38">
        <f>IFERROR(Tabela3[[#This Row],[Perda Pçs]]/Tabela3[[#This Row],[Previsto]],0)</f>
        <v>0</v>
      </c>
      <c r="O230" s="39">
        <f>IFERROR(IF(Tabela3[[#This Row],[Qtde Cx Produzida]] &lt;&gt; 0, Tabela3[[#This Row],[Tempo]] / Tabela3[[#This Row],[Qtde Cx Produzida]], 0),0)</f>
        <v>5.8333333333333336E-3</v>
      </c>
      <c r="P230" s="57">
        <f>IFERROR(Tabela3[[#This Row],[Perda Pçs]]/Tabela3[[#This Row],[Qdt Peça Placa]],0)</f>
        <v>0</v>
      </c>
      <c r="Q230" s="37">
        <f>IFERROR(Tabela3[[#This Row],[Realizado]]*Tabela3[[#This Row],[Peso Util/Pç]],0)</f>
        <v>8.1000000000000014</v>
      </c>
      <c r="R230" s="37">
        <f>IFERROR(Tabela3[[#This Row],[Peso Total Galho]]*Tabela3[[#This Row],[Qtde Cx Produzida]]*1.055,0)</f>
        <v>13.1875</v>
      </c>
      <c r="S230" s="37">
        <f>(Tabela3[[#This Row],[Aluminio Bruto]]-Tabela3[[#This Row],[Aluminio Util]])*0.9</f>
        <v>4.5787499999999985</v>
      </c>
      <c r="T230" s="37">
        <f>Tabela3[[#This Row],[Aluminio Bruto]]/OleoKGAluminio</f>
        <v>5.5479641987263184</v>
      </c>
      <c r="U230" s="35">
        <f>IFERROR((VLOOKUP(Tabela3[[#This Row],[Moldador]],Tabela1[],5,)+(VLOOKUP(Tabela3[[#This Row],[Ajudante]],Tabela1[],5,))*3.5),0)</f>
        <v>99.95034583333333</v>
      </c>
      <c r="V230" s="35">
        <f>IFERROR(Tabela3[[#This Row],[Custo M.O. / H]]/((Tabela3[[#This Row],[Realizado]]/Tabela3[[#This Row],[Qdt Peça Placa]])/Tabela3[[#This Row],[Tempo]]/24),)</f>
        <v>13.993048416666667</v>
      </c>
      <c r="W230" s="35">
        <f>Tabela3[[#This Row],[Custo / Cx Moldada]]*Tabela3[[#This Row],[Qtde Cx Produzida]]</f>
        <v>69.965242083333337</v>
      </c>
      <c r="X230" s="35">
        <f ca="1">Tabela3[[#This Row],[Aluminio Util]]*Tabela3[[#This Row],[Custo/Kg]]</f>
        <v>142.56000000000003</v>
      </c>
      <c r="Y230" s="35">
        <f>IFERROR(VLOOKUP(Tabela3[[#This Row],[Data]],Tabela461213[],2,1)*(Tabela3[[#This Row],[Qtde Cx Produzida]]*Tabela3[[#This Row],[Qde macho / CX]]*Tabela3[[#This Row],[Peso Macho]]),)</f>
        <v>0</v>
      </c>
      <c r="Z230" s="35">
        <f>IFERROR(Tabela3[[#This Row],[Qtde Oleo]]*(VLOOKUP(Tabela3[[#This Row],[Data]],CompraOleo[],3,TRUE))*1.05,0)</f>
        <v>14.563406021656586</v>
      </c>
      <c r="AA230" s="47">
        <f ca="1">(Tabela3[[#This Row],[Custo Oleo]]+Tabela3[[#This Row],[Custo Aluminio]]+Tabela3[[#This Row],[Custo M.O. Total]]+Tabela3[[#This Row],[Custo Machos]])</f>
        <v>227.08864810498994</v>
      </c>
      <c r="AB230" s="47">
        <f ca="1">Tabela3[[#This Row],[Custo Total]]*Tabela3[[#This Row],[% Perda]]</f>
        <v>0</v>
      </c>
      <c r="AC230" s="48">
        <f>IFERROR(VLOOKUP(Tabela3[[#This Row],[Produto]],Tabela2[],2,0),0)</f>
        <v>1</v>
      </c>
      <c r="AD230" s="48">
        <f>IFERROR(VLOOKUP(Tabela3[[#This Row],[Produto]],Tabela2[],3,0),0)</f>
        <v>1.62</v>
      </c>
      <c r="AE230" s="48">
        <f>IFERROR(VLOOKUP(Tabela3[[#This Row],[Produto]],Tabela2[],4,0),0)</f>
        <v>2.5</v>
      </c>
      <c r="AF230" s="48">
        <f>IFERROR(VLOOKUP(Tabela3[[#This Row],[Produto]],Tabela2[],5,0),0)</f>
        <v>0.79199999999999993</v>
      </c>
      <c r="AG230" s="40">
        <f>IFERROR(VLOOKUP(Tabela3[[#This Row],[Produto]],Tabela2[],6,0),0)</f>
        <v>0</v>
      </c>
      <c r="AH230" s="40">
        <f>IFERROR(VLOOKUP(Tabela3[[#This Row],[Produto]],Tabela2[],7,0),0)</f>
        <v>0</v>
      </c>
      <c r="AI230" s="40">
        <f>IFERROR(VLOOKUP(Tabela3[[#This Row],[Produto]],Tabela2[],8,0),0)</f>
        <v>0</v>
      </c>
      <c r="AJ230" s="35">
        <f ca="1">IFERROR(VLOOKUP(Tabela3[[#This Row],[Produto]],Tabela2[],13,0),0)</f>
        <v>17.600000000000001</v>
      </c>
      <c r="AK230" s="40" t="str">
        <f>IFERROR(VLOOKUP(Tabela3[[#This Row],[Produto]],Tabela2[],14,0),0)</f>
        <v>Jumil</v>
      </c>
      <c r="AL230" s="40">
        <f>IFERROR(VLOOKUP(Tabela3[[#This Row],[Produto]],Tabela2[],15,0),0)</f>
        <v>80</v>
      </c>
      <c r="AM230" s="36">
        <f ca="1">(Tabela3[[#This Row],[Custo Usinagem]]+Tabela3[[#This Row],[Custo / Pç]])*1.2</f>
        <v>150.50127554519759</v>
      </c>
      <c r="AN230" s="36">
        <f ca="1">Tabela3[[#This Row],[Valor Mínimo Venda]]*1.15</f>
        <v>173.07646687697721</v>
      </c>
      <c r="AO230" s="36">
        <f ca="1">Tabela3[[#This Row],[Tabela 1]]*1.08</f>
        <v>186.92258422713539</v>
      </c>
      <c r="AP230" s="36">
        <f ca="1">Tabela3[[#This Row],[Tabela 2]]*1.15</f>
        <v>214.96097186120568</v>
      </c>
    </row>
    <row r="231" spans="1:42">
      <c r="A231" s="9">
        <v>45772</v>
      </c>
      <c r="B231" s="6" t="s">
        <v>99</v>
      </c>
      <c r="C231" s="14">
        <v>6408</v>
      </c>
      <c r="D231" s="6" t="s">
        <v>46</v>
      </c>
      <c r="E231" s="6" t="s">
        <v>53</v>
      </c>
      <c r="F231" s="6">
        <v>10</v>
      </c>
      <c r="G231" s="15">
        <v>3.888888888888889E-2</v>
      </c>
      <c r="H231" s="16">
        <v>0</v>
      </c>
      <c r="I231" s="35">
        <f ca="1">IFERROR(Tabela3[[#This Row],[Custo Total]]/Tabela3[[#This Row],[Aluminio Util]],0)</f>
        <v>36.908841930498326</v>
      </c>
      <c r="J231" s="35">
        <f ca="1">Tabela3[[#This Row],[Custo Total]]/Tabela3[[#This Row],[Realizado]]</f>
        <v>0.88581220633195978</v>
      </c>
      <c r="K231" s="37">
        <f>IFERROR(Tabela3[[#This Row],[Qtde Cx Produzida]]/Tabela3[[#This Row],[Tempo]]/24,0)</f>
        <v>10.714285714285714</v>
      </c>
      <c r="L231" s="37">
        <f>Tabela3[[#This Row],[Qtde Cx Produzida]]*Tabela3[[#This Row],[Qdt Peça Placa]]</f>
        <v>220</v>
      </c>
      <c r="M231" s="37">
        <f>Tabela3[[#This Row],[Previsto]]-Tabela3[[#This Row],[Perda Pçs]]</f>
        <v>220</v>
      </c>
      <c r="N231" s="38">
        <f>IFERROR(Tabela3[[#This Row],[Perda Pçs]]/Tabela3[[#This Row],[Previsto]],0)</f>
        <v>0</v>
      </c>
      <c r="O231" s="39">
        <f>IFERROR(IF(Tabela3[[#This Row],[Qtde Cx Produzida]] &lt;&gt; 0, Tabela3[[#This Row],[Tempo]] / Tabela3[[#This Row],[Qtde Cx Produzida]], 0),0)</f>
        <v>3.8888888888888888E-3</v>
      </c>
      <c r="P231" s="57">
        <f>IFERROR(Tabela3[[#This Row],[Perda Pçs]]/Tabela3[[#This Row],[Qdt Peça Placa]],0)</f>
        <v>0</v>
      </c>
      <c r="Q231" s="37">
        <f>IFERROR(Tabela3[[#This Row],[Realizado]]*Tabela3[[#This Row],[Peso Util/Pç]],0)</f>
        <v>5.28</v>
      </c>
      <c r="R231" s="37">
        <f>IFERROR(Tabela3[[#This Row],[Peso Total Galho]]*Tabela3[[#This Row],[Qtde Cx Produzida]]*1.055,0)</f>
        <v>17.407499999999999</v>
      </c>
      <c r="S231" s="37">
        <f>(Tabela3[[#This Row],[Aluminio Bruto]]-Tabela3[[#This Row],[Aluminio Util]])*0.9</f>
        <v>10.914749999999998</v>
      </c>
      <c r="T231" s="37">
        <f>Tabela3[[#This Row],[Aluminio Bruto]]/OleoKGAluminio</f>
        <v>7.3233127423187403</v>
      </c>
      <c r="U231" s="35">
        <f>IFERROR((VLOOKUP(Tabela3[[#This Row],[Moldador]],Tabela1[],5,)+(VLOOKUP(Tabela3[[#This Row],[Ajudante]],Tabela1[],5,))*3.5),0)</f>
        <v>99.95034583333333</v>
      </c>
      <c r="V231" s="35">
        <f>IFERROR(Tabela3[[#This Row],[Custo M.O. / H]]/((Tabela3[[#This Row],[Realizado]]/Tabela3[[#This Row],[Qdt Peça Placa]])/Tabela3[[#This Row],[Tempo]]/24),)</f>
        <v>9.3286989444444455</v>
      </c>
      <c r="W231" s="35">
        <f>Tabela3[[#This Row],[Custo / Cx Moldada]]*Tabela3[[#This Row],[Qtde Cx Produzida]]</f>
        <v>93.286989444444458</v>
      </c>
      <c r="X231" s="35">
        <f ca="1">Tabela3[[#This Row],[Aluminio Util]]*Tabela3[[#This Row],[Custo/Kg]]</f>
        <v>82.368000000000009</v>
      </c>
      <c r="Y231" s="35">
        <f>IFERROR(VLOOKUP(Tabela3[[#This Row],[Data]],Tabela461213[],2,1)*(Tabela3[[#This Row],[Qtde Cx Produzida]]*Tabela3[[#This Row],[Qde macho / CX]]*Tabela3[[#This Row],[Peso Macho]]),)</f>
        <v>0</v>
      </c>
      <c r="Z231" s="35">
        <f>IFERROR(Tabela3[[#This Row],[Qtde Oleo]]*(VLOOKUP(Tabela3[[#This Row],[Data]],CompraOleo[],3,TRUE))*1.05,0)</f>
        <v>19.223695948586691</v>
      </c>
      <c r="AA231" s="47">
        <f ca="1">(Tabela3[[#This Row],[Custo Oleo]]+Tabela3[[#This Row],[Custo Aluminio]]+Tabela3[[#This Row],[Custo M.O. Total]]+Tabela3[[#This Row],[Custo Machos]])</f>
        <v>194.87868539303116</v>
      </c>
      <c r="AB231" s="47">
        <f ca="1">Tabela3[[#This Row],[Custo Total]]*Tabela3[[#This Row],[% Perda]]</f>
        <v>0</v>
      </c>
      <c r="AC231" s="48">
        <f>IFERROR(VLOOKUP(Tabela3[[#This Row],[Produto]],Tabela2[],2,0),0)</f>
        <v>22</v>
      </c>
      <c r="AD231" s="48">
        <f>IFERROR(VLOOKUP(Tabela3[[#This Row],[Produto]],Tabela2[],3,0),0)</f>
        <v>2.4E-2</v>
      </c>
      <c r="AE231" s="48">
        <f>IFERROR(VLOOKUP(Tabela3[[#This Row],[Produto]],Tabela2[],4,0),0)</f>
        <v>1.65</v>
      </c>
      <c r="AF231" s="48">
        <f>IFERROR(VLOOKUP(Tabela3[[#This Row],[Produto]],Tabela2[],5,0),0)</f>
        <v>1.0098</v>
      </c>
      <c r="AG231" s="40">
        <f>IFERROR(VLOOKUP(Tabela3[[#This Row],[Produto]],Tabela2[],6,0),0)</f>
        <v>0</v>
      </c>
      <c r="AH231" s="40">
        <f>IFERROR(VLOOKUP(Tabela3[[#This Row],[Produto]],Tabela2[],7,0),0)</f>
        <v>0</v>
      </c>
      <c r="AI231" s="40">
        <f>IFERROR(VLOOKUP(Tabela3[[#This Row],[Produto]],Tabela2[],8,0),0)</f>
        <v>0</v>
      </c>
      <c r="AJ231" s="35">
        <f ca="1">IFERROR(VLOOKUP(Tabela3[[#This Row],[Produto]],Tabela2[],13,0),0)</f>
        <v>15.600000000000001</v>
      </c>
      <c r="AK231" s="40" t="str">
        <f>IFERROR(VLOOKUP(Tabela3[[#This Row],[Produto]],Tabela2[],14,0),0)</f>
        <v>Jumil</v>
      </c>
      <c r="AL231" s="40">
        <f>IFERROR(VLOOKUP(Tabela3[[#This Row],[Produto]],Tabela2[],15,0),0)</f>
        <v>1</v>
      </c>
      <c r="AM231" s="36">
        <f ca="1">(Tabela3[[#This Row],[Custo Usinagem]]+Tabela3[[#This Row],[Custo / Pç]])*1.2</f>
        <v>2.2629746475983517</v>
      </c>
      <c r="AN231" s="36">
        <f ca="1">Tabela3[[#This Row],[Valor Mínimo Venda]]*1.15</f>
        <v>2.6024208447381043</v>
      </c>
      <c r="AO231" s="36">
        <f ca="1">Tabela3[[#This Row],[Tabela 1]]*1.08</f>
        <v>2.8106145123171529</v>
      </c>
      <c r="AP231" s="36">
        <f ca="1">Tabela3[[#This Row],[Tabela 2]]*1.15</f>
        <v>3.2322066891647254</v>
      </c>
    </row>
    <row r="232" spans="1:42">
      <c r="A232" s="9">
        <v>45772</v>
      </c>
      <c r="B232" s="6" t="s">
        <v>195</v>
      </c>
      <c r="C232" s="14">
        <v>6477</v>
      </c>
      <c r="D232" s="6" t="s">
        <v>46</v>
      </c>
      <c r="E232" s="6" t="s">
        <v>53</v>
      </c>
      <c r="F232" s="6">
        <v>3</v>
      </c>
      <c r="G232" s="15">
        <v>3.0555555555555555E-2</v>
      </c>
      <c r="H232" s="16">
        <v>0</v>
      </c>
      <c r="I232" s="35">
        <f ca="1">IFERROR(Tabela3[[#This Row],[Custo Total]]/Tabela3[[#This Row],[Aluminio Util]],0)</f>
        <v>21.622170980528647</v>
      </c>
      <c r="J232" s="35">
        <f ca="1">Tabela3[[#This Row],[Custo Total]]/Tabela3[[#This Row],[Realizado]]</f>
        <v>194.59953882475781</v>
      </c>
      <c r="K232" s="37">
        <f>IFERROR(Tabela3[[#This Row],[Qtde Cx Produzida]]/Tabela3[[#This Row],[Tempo]]/24,0)</f>
        <v>4.0909090909090908</v>
      </c>
      <c r="L232" s="37">
        <f>Tabela3[[#This Row],[Qtde Cx Produzida]]*Tabela3[[#This Row],[Qdt Peça Placa]]</f>
        <v>3</v>
      </c>
      <c r="M232" s="37">
        <f>Tabela3[[#This Row],[Previsto]]-Tabela3[[#This Row],[Perda Pçs]]</f>
        <v>3</v>
      </c>
      <c r="N232" s="38">
        <f>IFERROR(Tabela3[[#This Row],[Perda Pçs]]/Tabela3[[#This Row],[Previsto]],0)</f>
        <v>0</v>
      </c>
      <c r="O232" s="39">
        <f>IFERROR(IF(Tabela3[[#This Row],[Qtde Cx Produzida]] &lt;&gt; 0, Tabela3[[#This Row],[Tempo]] / Tabela3[[#This Row],[Qtde Cx Produzida]], 0),0)</f>
        <v>1.0185185185185184E-2</v>
      </c>
      <c r="P232" s="57">
        <f>IFERROR(Tabela3[[#This Row],[Perda Pçs]]/Tabela3[[#This Row],[Qdt Peça Placa]],0)</f>
        <v>0</v>
      </c>
      <c r="Q232" s="37">
        <f>IFERROR(Tabela3[[#This Row],[Realizado]]*Tabela3[[#This Row],[Peso Util/Pç]],0)</f>
        <v>27</v>
      </c>
      <c r="R232" s="37">
        <f>IFERROR(Tabela3[[#This Row],[Peso Total Galho]]*Tabela3[[#This Row],[Qtde Cx Produzida]]*1.055,0)</f>
        <v>31.966499999999996</v>
      </c>
      <c r="S232" s="37">
        <f>(Tabela3[[#This Row],[Aluminio Bruto]]-Tabela3[[#This Row],[Aluminio Util]])*0.9</f>
        <v>4.4698499999999965</v>
      </c>
      <c r="T232" s="37">
        <f>Tabela3[[#This Row],[Aluminio Bruto]]/OleoKGAluminio</f>
        <v>13.448265217712596</v>
      </c>
      <c r="U232" s="35">
        <f>IFERROR((VLOOKUP(Tabela3[[#This Row],[Moldador]],Tabela1[],5,)+(VLOOKUP(Tabela3[[#This Row],[Ajudante]],Tabela1[],5,))*3.5),0)</f>
        <v>99.95034583333333</v>
      </c>
      <c r="V232" s="35">
        <f>IFERROR(Tabela3[[#This Row],[Custo M.O. / H]]/((Tabela3[[#This Row],[Realizado]]/Tabela3[[#This Row],[Qdt Peça Placa]])/Tabela3[[#This Row],[Tempo]]/24),)</f>
        <v>24.432306759259259</v>
      </c>
      <c r="W232" s="35">
        <f>Tabela3[[#This Row],[Custo / Cx Moldada]]*Tabela3[[#This Row],[Qtde Cx Produzida]]</f>
        <v>73.296920277777772</v>
      </c>
      <c r="X232" s="35">
        <f ca="1">Tabela3[[#This Row],[Aluminio Util]]*Tabela3[[#This Row],[Custo/Kg]]</f>
        <v>475.20000000000005</v>
      </c>
      <c r="Y232" s="35">
        <f>IFERROR(VLOOKUP(Tabela3[[#This Row],[Data]],Tabela461213[],2,1)*(Tabela3[[#This Row],[Qtde Cx Produzida]]*Tabela3[[#This Row],[Qde macho / CX]]*Tabela3[[#This Row],[Peso Macho]]),)</f>
        <v>0</v>
      </c>
      <c r="Z232" s="35">
        <f>IFERROR(Tabela3[[#This Row],[Qtde Oleo]]*(VLOOKUP(Tabela3[[#This Row],[Data]],CompraOleo[],3,TRUE))*1.05,0)</f>
        <v>35.301696196495563</v>
      </c>
      <c r="AA232" s="47">
        <f ca="1">(Tabela3[[#This Row],[Custo Oleo]]+Tabela3[[#This Row],[Custo Aluminio]]+Tabela3[[#This Row],[Custo M.O. Total]]+Tabela3[[#This Row],[Custo Machos]])</f>
        <v>583.79861647427344</v>
      </c>
      <c r="AB232" s="47">
        <f ca="1">Tabela3[[#This Row],[Custo Total]]*Tabela3[[#This Row],[% Perda]]</f>
        <v>0</v>
      </c>
      <c r="AC232" s="48">
        <f>IFERROR(VLOOKUP(Tabela3[[#This Row],[Produto]],Tabela2[],2,0),0)</f>
        <v>1</v>
      </c>
      <c r="AD232" s="48">
        <f>IFERROR(VLOOKUP(Tabela3[[#This Row],[Produto]],Tabela2[],3,0),0)</f>
        <v>9</v>
      </c>
      <c r="AE232" s="48">
        <f>IFERROR(VLOOKUP(Tabela3[[#This Row],[Produto]],Tabela2[],4,0),0)</f>
        <v>10.1</v>
      </c>
      <c r="AF232" s="48">
        <f>IFERROR(VLOOKUP(Tabela3[[#This Row],[Produto]],Tabela2[],5,0),0)</f>
        <v>0.98999999999999966</v>
      </c>
      <c r="AG232" s="40">
        <f>IFERROR(VLOOKUP(Tabela3[[#This Row],[Produto]],Tabela2[],6,0),0)</f>
        <v>0</v>
      </c>
      <c r="AH232" s="40">
        <f>IFERROR(VLOOKUP(Tabela3[[#This Row],[Produto]],Tabela2[],7,0),0)</f>
        <v>0</v>
      </c>
      <c r="AI232" s="40">
        <f>IFERROR(VLOOKUP(Tabela3[[#This Row],[Produto]],Tabela2[],8,0),0)</f>
        <v>0</v>
      </c>
      <c r="AJ232" s="35">
        <f ca="1">IFERROR(VLOOKUP(Tabela3[[#This Row],[Produto]],Tabela2[],13,0),0)</f>
        <v>17.600000000000001</v>
      </c>
      <c r="AK232" s="40" t="str">
        <f>IFERROR(VLOOKUP(Tabela3[[#This Row],[Produto]],Tabela2[],14,0),0)</f>
        <v>Oscar</v>
      </c>
      <c r="AL232" s="40">
        <f>IFERROR(VLOOKUP(Tabela3[[#This Row],[Produto]],Tabela2[],15,0),0)</f>
        <v>0</v>
      </c>
      <c r="AM232" s="36">
        <f ca="1">(Tabela3[[#This Row],[Custo Usinagem]]+Tabela3[[#This Row],[Custo / Pç]])*1.2</f>
        <v>233.51944658970936</v>
      </c>
      <c r="AN232" s="36">
        <f ca="1">Tabela3[[#This Row],[Valor Mínimo Venda]]*1.15</f>
        <v>268.54736357816574</v>
      </c>
      <c r="AO232" s="36">
        <f ca="1">Tabela3[[#This Row],[Tabela 1]]*1.08</f>
        <v>290.03115266441904</v>
      </c>
      <c r="AP232" s="36">
        <f ca="1">Tabela3[[#This Row],[Tabela 2]]*1.15</f>
        <v>333.53582556408185</v>
      </c>
    </row>
    <row r="233" spans="1:42">
      <c r="A233" s="9">
        <v>45772</v>
      </c>
      <c r="B233" s="6" t="s">
        <v>124</v>
      </c>
      <c r="C233" s="14">
        <v>6478</v>
      </c>
      <c r="D233" s="6" t="s">
        <v>46</v>
      </c>
      <c r="E233" s="6" t="s">
        <v>53</v>
      </c>
      <c r="F233" s="6">
        <v>20</v>
      </c>
      <c r="G233" s="15">
        <v>0.11388888888888889</v>
      </c>
      <c r="H233" s="16">
        <v>0</v>
      </c>
      <c r="I233" s="35">
        <f ca="1">IFERROR(Tabela3[[#This Row],[Custo Total]]/Tabela3[[#This Row],[Aluminio Util]],0)</f>
        <v>25.744051667220401</v>
      </c>
      <c r="J233" s="35">
        <f ca="1">Tabela3[[#This Row],[Custo Total]]/Tabela3[[#This Row],[Realizado]]</f>
        <v>43.507447317602477</v>
      </c>
      <c r="K233" s="37">
        <f>IFERROR(Tabela3[[#This Row],[Qtde Cx Produzida]]/Tabela3[[#This Row],[Tempo]]/24,0)</f>
        <v>7.3170731707317076</v>
      </c>
      <c r="L233" s="37">
        <f>Tabela3[[#This Row],[Qtde Cx Produzida]]*Tabela3[[#This Row],[Qdt Peça Placa]]</f>
        <v>20</v>
      </c>
      <c r="M233" s="37">
        <f>Tabela3[[#This Row],[Previsto]]-Tabela3[[#This Row],[Perda Pçs]]</f>
        <v>20</v>
      </c>
      <c r="N233" s="38">
        <f>IFERROR(Tabela3[[#This Row],[Perda Pçs]]/Tabela3[[#This Row],[Previsto]],0)</f>
        <v>0</v>
      </c>
      <c r="O233" s="39">
        <f>IFERROR(IF(Tabela3[[#This Row],[Qtde Cx Produzida]] &lt;&gt; 0, Tabela3[[#This Row],[Tempo]] / Tabela3[[#This Row],[Qtde Cx Produzida]], 0),0)</f>
        <v>5.6944444444444447E-3</v>
      </c>
      <c r="P233" s="57">
        <f>IFERROR(Tabela3[[#This Row],[Perda Pçs]]/Tabela3[[#This Row],[Qdt Peça Placa]],0)</f>
        <v>0</v>
      </c>
      <c r="Q233" s="37">
        <f>IFERROR(Tabela3[[#This Row],[Realizado]]*Tabela3[[#This Row],[Peso Util/Pç]],0)</f>
        <v>33.799999999999997</v>
      </c>
      <c r="R233" s="37">
        <f>IFERROR(Tabela3[[#This Row],[Peso Total Galho]]*Tabela3[[#This Row],[Qtde Cx Produzida]]*1.055,0)</f>
        <v>63.088999999999999</v>
      </c>
      <c r="S233" s="37">
        <f>(Tabela3[[#This Row],[Aluminio Bruto]]-Tabela3[[#This Row],[Aluminio Util]])*0.9</f>
        <v>26.360100000000003</v>
      </c>
      <c r="T233" s="37">
        <f>Tabela3[[#This Row],[Aluminio Bruto]]/OleoKGAluminio</f>
        <v>26.541460726706706</v>
      </c>
      <c r="U233" s="35">
        <f>IFERROR((VLOOKUP(Tabela3[[#This Row],[Moldador]],Tabela1[],5,)+(VLOOKUP(Tabela3[[#This Row],[Ajudante]],Tabela1[],5,))*3.5),0)</f>
        <v>99.95034583333333</v>
      </c>
      <c r="V233" s="35">
        <f>IFERROR(Tabela3[[#This Row],[Custo M.O. / H]]/((Tabela3[[#This Row],[Realizado]]/Tabela3[[#This Row],[Qdt Peça Placa]])/Tabela3[[#This Row],[Tempo]]/24),)</f>
        <v>13.659880597222221</v>
      </c>
      <c r="W233" s="35">
        <f>Tabela3[[#This Row],[Custo / Cx Moldada]]*Tabela3[[#This Row],[Qtde Cx Produzida]]</f>
        <v>273.19761194444442</v>
      </c>
      <c r="X233" s="35">
        <f ca="1">Tabela3[[#This Row],[Aluminio Util]]*Tabela3[[#This Row],[Custo/Kg]]</f>
        <v>527.28</v>
      </c>
      <c r="Y233" s="35">
        <f>IFERROR(VLOOKUP(Tabela3[[#This Row],[Data]],Tabela461213[],2,1)*(Tabela3[[#This Row],[Qtde Cx Produzida]]*Tabela3[[#This Row],[Qde macho / CX]]*Tabela3[[#This Row],[Peso Macho]]),)</f>
        <v>0</v>
      </c>
      <c r="Z233" s="35">
        <f>IFERROR(Tabela3[[#This Row],[Qtde Oleo]]*(VLOOKUP(Tabela3[[#This Row],[Data]],CompraOleo[],3,TRUE))*1.05,0)</f>
        <v>69.671334407605116</v>
      </c>
      <c r="AA233" s="47">
        <f ca="1">(Tabela3[[#This Row],[Custo Oleo]]+Tabela3[[#This Row],[Custo Aluminio]]+Tabela3[[#This Row],[Custo M.O. Total]]+Tabela3[[#This Row],[Custo Machos]])</f>
        <v>870.14894635204951</v>
      </c>
      <c r="AB233" s="47">
        <f ca="1">Tabela3[[#This Row],[Custo Total]]*Tabela3[[#This Row],[% Perda]]</f>
        <v>0</v>
      </c>
      <c r="AC233" s="48">
        <f>IFERROR(VLOOKUP(Tabela3[[#This Row],[Produto]],Tabela2[],2,0),0)</f>
        <v>1</v>
      </c>
      <c r="AD233" s="48">
        <f>IFERROR(VLOOKUP(Tabela3[[#This Row],[Produto]],Tabela2[],3,0),0)</f>
        <v>1.69</v>
      </c>
      <c r="AE233" s="48">
        <f>IFERROR(VLOOKUP(Tabela3[[#This Row],[Produto]],Tabela2[],4,0),0)</f>
        <v>2.99</v>
      </c>
      <c r="AF233" s="48">
        <f>IFERROR(VLOOKUP(Tabela3[[#This Row],[Produto]],Tabela2[],5,0),0)</f>
        <v>1.1700000000000004</v>
      </c>
      <c r="AG233" s="40">
        <f>IFERROR(VLOOKUP(Tabela3[[#This Row],[Produto]],Tabela2[],6,0),0)</f>
        <v>0</v>
      </c>
      <c r="AH233" s="40">
        <f>IFERROR(VLOOKUP(Tabela3[[#This Row],[Produto]],Tabela2[],7,0),0)</f>
        <v>0</v>
      </c>
      <c r="AI233" s="40">
        <f>IFERROR(VLOOKUP(Tabela3[[#This Row],[Produto]],Tabela2[],8,0),0)</f>
        <v>0</v>
      </c>
      <c r="AJ233" s="35">
        <f ca="1">IFERROR(VLOOKUP(Tabela3[[#This Row],[Produto]],Tabela2[],13,0),0)</f>
        <v>15.600000000000001</v>
      </c>
      <c r="AK233" s="40" t="str">
        <f>IFERROR(VLOOKUP(Tabela3[[#This Row],[Produto]],Tabela2[],14,0),0)</f>
        <v>Jumil</v>
      </c>
      <c r="AL233" s="40">
        <f>IFERROR(VLOOKUP(Tabela3[[#This Row],[Produto]],Tabela2[],15,0),0)</f>
        <v>8</v>
      </c>
      <c r="AM233" s="36">
        <f ca="1">(Tabela3[[#This Row],[Custo Usinagem]]+Tabela3[[#This Row],[Custo / Pç]])*1.2</f>
        <v>61.808936781122966</v>
      </c>
      <c r="AN233" s="36">
        <f ca="1">Tabela3[[#This Row],[Valor Mínimo Venda]]*1.15</f>
        <v>71.080277298291406</v>
      </c>
      <c r="AO233" s="36">
        <f ca="1">Tabela3[[#This Row],[Tabela 1]]*1.08</f>
        <v>76.766699482154721</v>
      </c>
      <c r="AP233" s="36">
        <f ca="1">Tabela3[[#This Row],[Tabela 2]]*1.15</f>
        <v>88.281704404477921</v>
      </c>
    </row>
    <row r="234" spans="1:42">
      <c r="A234" s="9">
        <v>45772</v>
      </c>
      <c r="B234" s="6" t="s">
        <v>134</v>
      </c>
      <c r="C234" s="14">
        <v>6480</v>
      </c>
      <c r="D234" s="6" t="s">
        <v>46</v>
      </c>
      <c r="E234" s="6" t="s">
        <v>53</v>
      </c>
      <c r="F234" s="6">
        <v>5</v>
      </c>
      <c r="G234" s="15">
        <v>3.2638888888888891E-2</v>
      </c>
      <c r="H234" s="16">
        <v>1</v>
      </c>
      <c r="I234" s="35">
        <f ca="1">IFERROR(Tabela3[[#This Row],[Custo Total]]/Tabela3[[#This Row],[Aluminio Util]],0)</f>
        <v>26.289375898751107</v>
      </c>
      <c r="J234" s="35">
        <f ca="1">Tabela3[[#This Row],[Custo Total]]/Tabela3[[#This Row],[Realizado]]</f>
        <v>95.956222030441538</v>
      </c>
      <c r="K234" s="37">
        <f>IFERROR(Tabela3[[#This Row],[Qtde Cx Produzida]]/Tabela3[[#This Row],[Tempo]]/24,0)</f>
        <v>6.3829787234042543</v>
      </c>
      <c r="L234" s="37">
        <f>Tabela3[[#This Row],[Qtde Cx Produzida]]*Tabela3[[#This Row],[Qdt Peça Placa]]</f>
        <v>5</v>
      </c>
      <c r="M234" s="37">
        <f>Tabela3[[#This Row],[Previsto]]-Tabela3[[#This Row],[Perda Pçs]]</f>
        <v>4</v>
      </c>
      <c r="N234" s="38">
        <f>IFERROR(Tabela3[[#This Row],[Perda Pçs]]/Tabela3[[#This Row],[Previsto]],0)</f>
        <v>0.2</v>
      </c>
      <c r="O234" s="39">
        <f>IFERROR(IF(Tabela3[[#This Row],[Qtde Cx Produzida]] &lt;&gt; 0, Tabela3[[#This Row],[Tempo]] / Tabela3[[#This Row],[Qtde Cx Produzida]], 0),0)</f>
        <v>6.5277777777777782E-3</v>
      </c>
      <c r="P234" s="57">
        <f>IFERROR(Tabela3[[#This Row],[Perda Pçs]]/Tabela3[[#This Row],[Qdt Peça Placa]],0)</f>
        <v>1</v>
      </c>
      <c r="Q234" s="37">
        <f>IFERROR(Tabela3[[#This Row],[Realizado]]*Tabela3[[#This Row],[Peso Util/Pç]],0)</f>
        <v>14.6</v>
      </c>
      <c r="R234" s="37">
        <f>IFERROR(Tabela3[[#This Row],[Peso Total Galho]]*Tabela3[[#This Row],[Qtde Cx Produzida]]*1.055,0)</f>
        <v>34.076499999999996</v>
      </c>
      <c r="S234" s="37">
        <f>(Tabela3[[#This Row],[Aluminio Bruto]]-Tabela3[[#This Row],[Aluminio Util]])*0.9</f>
        <v>17.528849999999995</v>
      </c>
      <c r="T234" s="37">
        <f>Tabela3[[#This Row],[Aluminio Bruto]]/OleoKGAluminio</f>
        <v>14.335939489508805</v>
      </c>
      <c r="U234" s="35">
        <f>IFERROR((VLOOKUP(Tabela3[[#This Row],[Moldador]],Tabela1[],5,)+(VLOOKUP(Tabela3[[#This Row],[Ajudante]],Tabela1[],5,))*3.5),0)</f>
        <v>99.95034583333333</v>
      </c>
      <c r="V234" s="35">
        <f>IFERROR(Tabela3[[#This Row],[Custo M.O. / H]]/((Tabela3[[#This Row],[Realizado]]/Tabela3[[#This Row],[Qdt Peça Placa]])/Tabela3[[#This Row],[Tempo]]/24),)</f>
        <v>19.573609392361114</v>
      </c>
      <c r="W234" s="35">
        <f>Tabela3[[#This Row],[Custo / Cx Moldada]]*Tabela3[[#This Row],[Qtde Cx Produzida]]</f>
        <v>97.868046961805561</v>
      </c>
      <c r="X234" s="35">
        <f ca="1">Tabela3[[#This Row],[Aluminio Util]]*Tabela3[[#This Row],[Custo/Kg]]</f>
        <v>227.76000000000002</v>
      </c>
      <c r="Y234" s="35">
        <f>IFERROR(VLOOKUP(Tabela3[[#This Row],[Data]],Tabela461213[],2,1)*(Tabela3[[#This Row],[Qtde Cx Produzida]]*Tabela3[[#This Row],[Qde macho / CX]]*Tabela3[[#This Row],[Peso Macho]]),)</f>
        <v>20.565000000000001</v>
      </c>
      <c r="Z234" s="35">
        <f>IFERROR(Tabela3[[#This Row],[Qtde Oleo]]*(VLOOKUP(Tabela3[[#This Row],[Data]],CompraOleo[],3,TRUE))*1.05,0)</f>
        <v>37.631841159960615</v>
      </c>
      <c r="AA234" s="47">
        <f ca="1">(Tabela3[[#This Row],[Custo Oleo]]+Tabela3[[#This Row],[Custo Aluminio]]+Tabela3[[#This Row],[Custo M.O. Total]]+Tabela3[[#This Row],[Custo Machos]])</f>
        <v>383.82488812176615</v>
      </c>
      <c r="AB234" s="47">
        <f ca="1">Tabela3[[#This Row],[Custo Total]]*Tabela3[[#This Row],[% Perda]]</f>
        <v>76.764977624353236</v>
      </c>
      <c r="AC234" s="48">
        <f>IFERROR(VLOOKUP(Tabela3[[#This Row],[Produto]],Tabela2[],2,0),0)</f>
        <v>1</v>
      </c>
      <c r="AD234" s="48">
        <f>IFERROR(VLOOKUP(Tabela3[[#This Row],[Produto]],Tabela2[],3,0),0)</f>
        <v>3.65</v>
      </c>
      <c r="AE234" s="48">
        <f>IFERROR(VLOOKUP(Tabela3[[#This Row],[Produto]],Tabela2[],4,0),0)</f>
        <v>6.46</v>
      </c>
      <c r="AF234" s="48">
        <f>IFERROR(VLOOKUP(Tabela3[[#This Row],[Produto]],Tabela2[],5,0),0)</f>
        <v>2.5289999999999999</v>
      </c>
      <c r="AG234" s="40">
        <f>IFERROR(VLOOKUP(Tabela3[[#This Row],[Produto]],Tabela2[],6,0),0)</f>
        <v>0</v>
      </c>
      <c r="AH234" s="40">
        <f>IFERROR(VLOOKUP(Tabela3[[#This Row],[Produto]],Tabela2[],7,0),0)</f>
        <v>1</v>
      </c>
      <c r="AI234" s="40">
        <f>IFERROR(VLOOKUP(Tabela3[[#This Row],[Produto]],Tabela2[],8,0),0)</f>
        <v>2.742</v>
      </c>
      <c r="AJ234" s="35">
        <f ca="1">IFERROR(VLOOKUP(Tabela3[[#This Row],[Produto]],Tabela2[],13,0),0)</f>
        <v>15.600000000000001</v>
      </c>
      <c r="AK234" s="40" t="str">
        <f>IFERROR(VLOOKUP(Tabela3[[#This Row],[Produto]],Tabela2[],14,0),0)</f>
        <v>Jumil</v>
      </c>
      <c r="AL234" s="40">
        <f>IFERROR(VLOOKUP(Tabela3[[#This Row],[Produto]],Tabela2[],15,0),0)</f>
        <v>15</v>
      </c>
      <c r="AM234" s="36">
        <f ca="1">(Tabela3[[#This Row],[Custo Usinagem]]+Tabela3[[#This Row],[Custo / Pç]])*1.2</f>
        <v>133.14746643652984</v>
      </c>
      <c r="AN234" s="36">
        <f ca="1">Tabela3[[#This Row],[Valor Mínimo Venda]]*1.15</f>
        <v>153.1195864020093</v>
      </c>
      <c r="AO234" s="36">
        <f ca="1">Tabela3[[#This Row],[Tabela 1]]*1.08</f>
        <v>165.36915331417006</v>
      </c>
      <c r="AP234" s="36">
        <f ca="1">Tabela3[[#This Row],[Tabela 2]]*1.15</f>
        <v>190.17452631129555</v>
      </c>
    </row>
    <row r="235" spans="1:42">
      <c r="A235" s="9">
        <v>45775</v>
      </c>
      <c r="B235" s="6" t="s">
        <v>96</v>
      </c>
      <c r="C235" s="14">
        <v>6407</v>
      </c>
      <c r="D235" s="6" t="s">
        <v>46</v>
      </c>
      <c r="E235" s="6" t="s">
        <v>53</v>
      </c>
      <c r="F235" s="6">
        <v>35</v>
      </c>
      <c r="G235" s="15">
        <v>0.17430555555555555</v>
      </c>
      <c r="H235" s="16">
        <v>0</v>
      </c>
      <c r="I235" s="35">
        <f ca="1">IFERROR(Tabela3[[#This Row],[Custo Total]]/Tabela3[[#This Row],[Aluminio Util]],0)</f>
        <v>29.297762511882063</v>
      </c>
      <c r="J235" s="35">
        <f ca="1">Tabela3[[#This Row],[Custo Total]]/Tabela3[[#This Row],[Realizado]]</f>
        <v>25.899222060503746</v>
      </c>
      <c r="K235" s="37">
        <f>IFERROR(Tabela3[[#This Row],[Qtde Cx Produzida]]/Tabela3[[#This Row],[Tempo]]/24,0)</f>
        <v>8.3665338645418341</v>
      </c>
      <c r="L235" s="37">
        <f>Tabela3[[#This Row],[Qtde Cx Produzida]]*Tabela3[[#This Row],[Qdt Peça Placa]]</f>
        <v>105</v>
      </c>
      <c r="M235" s="37">
        <f>Tabela3[[#This Row],[Previsto]]-Tabela3[[#This Row],[Perda Pçs]]</f>
        <v>105</v>
      </c>
      <c r="N235" s="38">
        <f>IFERROR(Tabela3[[#This Row],[Perda Pçs]]/Tabela3[[#This Row],[Previsto]],0)</f>
        <v>0</v>
      </c>
      <c r="O235" s="39">
        <f>IFERROR(IF(Tabela3[[#This Row],[Qtde Cx Produzida]] &lt;&gt; 0, Tabela3[[#This Row],[Tempo]] / Tabela3[[#This Row],[Qtde Cx Produzida]], 0),0)</f>
        <v>4.9801587301587296E-3</v>
      </c>
      <c r="P235" s="57">
        <f>IFERROR(Tabela3[[#This Row],[Perda Pçs]]/Tabela3[[#This Row],[Qdt Peça Placa]],0)</f>
        <v>0</v>
      </c>
      <c r="Q235" s="37">
        <f>IFERROR(Tabela3[[#This Row],[Realizado]]*Tabela3[[#This Row],[Peso Util/Pç]],0)</f>
        <v>92.820000000000007</v>
      </c>
      <c r="R235" s="37">
        <f>IFERROR(Tabela3[[#This Row],[Peso Total Galho]]*Tabela3[[#This Row],[Qtde Cx Produzida]]*1.055,0)</f>
        <v>173.25209999999998</v>
      </c>
      <c r="S235" s="37">
        <f>(Tabela3[[#This Row],[Aluminio Bruto]]-Tabela3[[#This Row],[Aluminio Util]])*0.9</f>
        <v>72.388889999999975</v>
      </c>
      <c r="T235" s="37">
        <f>Tabela3[[#This Row],[Aluminio Bruto]]/OleoKGAluminio</f>
        <v>72.886934457186882</v>
      </c>
      <c r="U235" s="35">
        <f>IFERROR((VLOOKUP(Tabela3[[#This Row],[Moldador]],Tabela1[],5,)+(VLOOKUP(Tabela3[[#This Row],[Ajudante]],Tabela1[],5,))*3.5),0)</f>
        <v>99.95034583333333</v>
      </c>
      <c r="V235" s="35">
        <f>IFERROR(Tabela3[[#This Row],[Custo M.O. / H]]/((Tabela3[[#This Row],[Realizado]]/Tabela3[[#This Row],[Qdt Peça Placa]])/Tabela3[[#This Row],[Tempo]]/24),)</f>
        <v>11.94644609722222</v>
      </c>
      <c r="W235" s="35">
        <f>Tabela3[[#This Row],[Custo / Cx Moldada]]*Tabela3[[#This Row],[Qtde Cx Produzida]]</f>
        <v>418.12561340277767</v>
      </c>
      <c r="X235" s="35">
        <f ca="1">Tabela3[[#This Row],[Aluminio Util]]*Tabela3[[#This Row],[Custo/Kg]]</f>
        <v>1447.9920000000002</v>
      </c>
      <c r="Y235" s="35">
        <f>IFERROR(VLOOKUP(Tabela3[[#This Row],[Data]],Tabela461213[],2,1)*(Tabela3[[#This Row],[Qtde Cx Produzida]]*Tabela3[[#This Row],[Qde macho / CX]]*Tabela3[[#This Row],[Peso Macho]]),)</f>
        <v>661.97249999999997</v>
      </c>
      <c r="Z235" s="35">
        <f>IFERROR(Tabela3[[#This Row],[Qtde Oleo]]*(VLOOKUP(Tabela3[[#This Row],[Data]],CompraOleo[],3,TRUE))*1.05,0)</f>
        <v>191.32820295011558</v>
      </c>
      <c r="AA235" s="47">
        <f ca="1">(Tabela3[[#This Row],[Custo Oleo]]+Tabela3[[#This Row],[Custo Aluminio]]+Tabela3[[#This Row],[Custo M.O. Total]]+Tabela3[[#This Row],[Custo Machos]])</f>
        <v>2719.4183163528933</v>
      </c>
      <c r="AB235" s="47">
        <f ca="1">Tabela3[[#This Row],[Custo Total]]*Tabela3[[#This Row],[% Perda]]</f>
        <v>0</v>
      </c>
      <c r="AC235" s="48">
        <f>IFERROR(VLOOKUP(Tabela3[[#This Row],[Produto]],Tabela2[],2,0),0)</f>
        <v>3</v>
      </c>
      <c r="AD235" s="48">
        <f>IFERROR(VLOOKUP(Tabela3[[#This Row],[Produto]],Tabela2[],3,0),0)</f>
        <v>0.88400000000000001</v>
      </c>
      <c r="AE235" s="48">
        <f>IFERROR(VLOOKUP(Tabela3[[#This Row],[Produto]],Tabela2[],4,0),0)</f>
        <v>4.6920000000000002</v>
      </c>
      <c r="AF235" s="48">
        <f>IFERROR(VLOOKUP(Tabela3[[#This Row],[Produto]],Tabela2[],5,0),0)</f>
        <v>1.8360000000000001</v>
      </c>
      <c r="AG235" s="40">
        <f>IFERROR(VLOOKUP(Tabela3[[#This Row],[Produto]],Tabela2[],6,0),0)</f>
        <v>0</v>
      </c>
      <c r="AH235" s="40">
        <f>IFERROR(VLOOKUP(Tabela3[[#This Row],[Produto]],Tabela2[],7,0),0)</f>
        <v>9</v>
      </c>
      <c r="AI235" s="40">
        <f>IFERROR(VLOOKUP(Tabela3[[#This Row],[Produto]],Tabela2[],8,0),0)</f>
        <v>1.401</v>
      </c>
      <c r="AJ235" s="35">
        <f ca="1">IFERROR(VLOOKUP(Tabela3[[#This Row],[Produto]],Tabela2[],13,0),0)</f>
        <v>15.600000000000001</v>
      </c>
      <c r="AK235" s="40" t="str">
        <f>IFERROR(VLOOKUP(Tabela3[[#This Row],[Produto]],Tabela2[],14,0),0)</f>
        <v>Jumil</v>
      </c>
      <c r="AL235" s="40">
        <f>IFERROR(VLOOKUP(Tabela3[[#This Row],[Produto]],Tabela2[],15,0),0)</f>
        <v>10</v>
      </c>
      <c r="AM235" s="36">
        <f ca="1">(Tabela3[[#This Row],[Custo Usinagem]]+Tabela3[[#This Row],[Custo / Pç]])*1.2</f>
        <v>43.079066472604495</v>
      </c>
      <c r="AN235" s="36">
        <f ca="1">Tabela3[[#This Row],[Valor Mínimo Venda]]*1.15</f>
        <v>49.540926443495167</v>
      </c>
      <c r="AO235" s="36">
        <f ca="1">Tabela3[[#This Row],[Tabela 1]]*1.08</f>
        <v>53.50420055897478</v>
      </c>
      <c r="AP235" s="36">
        <f ca="1">Tabela3[[#This Row],[Tabela 2]]*1.15</f>
        <v>61.52983064282099</v>
      </c>
    </row>
    <row r="236" spans="1:42">
      <c r="A236" s="9">
        <v>45775</v>
      </c>
      <c r="B236" s="6" t="s">
        <v>135</v>
      </c>
      <c r="C236" s="14">
        <v>6485</v>
      </c>
      <c r="D236" s="6" t="s">
        <v>46</v>
      </c>
      <c r="E236" s="6" t="s">
        <v>53</v>
      </c>
      <c r="F236" s="6">
        <v>20</v>
      </c>
      <c r="G236" s="15">
        <v>9.6527777777777782E-2</v>
      </c>
      <c r="H236" s="16">
        <v>2</v>
      </c>
      <c r="I236" s="35">
        <f ca="1">IFERROR(Tabela3[[#This Row],[Custo Total]]/Tabela3[[#This Row],[Aluminio Util]],0)</f>
        <v>28.466388300714918</v>
      </c>
      <c r="J236" s="35">
        <f ca="1">Tabela3[[#This Row],[Custo Total]]/Tabela3[[#This Row],[Realizado]]</f>
        <v>50.385507292265402</v>
      </c>
      <c r="K236" s="37">
        <f>IFERROR(Tabela3[[#This Row],[Qtde Cx Produzida]]/Tabela3[[#This Row],[Tempo]]/24,0)</f>
        <v>8.6330935251798557</v>
      </c>
      <c r="L236" s="37">
        <f>Tabela3[[#This Row],[Qtde Cx Produzida]]*Tabela3[[#This Row],[Qdt Peça Placa]]</f>
        <v>20</v>
      </c>
      <c r="M236" s="37">
        <f>Tabela3[[#This Row],[Previsto]]-Tabela3[[#This Row],[Perda Pçs]]</f>
        <v>18</v>
      </c>
      <c r="N236" s="38">
        <f>IFERROR(Tabela3[[#This Row],[Perda Pçs]]/Tabela3[[#This Row],[Previsto]],0)</f>
        <v>0.1</v>
      </c>
      <c r="O236" s="39">
        <f>IFERROR(IF(Tabela3[[#This Row],[Qtde Cx Produzida]] &lt;&gt; 0, Tabela3[[#This Row],[Tempo]] / Tabela3[[#This Row],[Qtde Cx Produzida]], 0),0)</f>
        <v>4.8263888888888887E-3</v>
      </c>
      <c r="P236" s="57">
        <f>IFERROR(Tabela3[[#This Row],[Perda Pçs]]/Tabela3[[#This Row],[Qdt Peça Placa]],0)</f>
        <v>2</v>
      </c>
      <c r="Q236" s="37">
        <f>IFERROR(Tabela3[[#This Row],[Realizado]]*Tabela3[[#This Row],[Peso Util/Pç]],0)</f>
        <v>31.86</v>
      </c>
      <c r="R236" s="37">
        <f>IFERROR(Tabela3[[#This Row],[Peso Total Galho]]*Tabela3[[#This Row],[Qtde Cx Produzida]]*1.055,0)</f>
        <v>66.042999999999992</v>
      </c>
      <c r="S236" s="37">
        <f>(Tabela3[[#This Row],[Aluminio Bruto]]-Tabela3[[#This Row],[Aluminio Util]])*0.9</f>
        <v>30.764699999999994</v>
      </c>
      <c r="T236" s="37">
        <f>Tabela3[[#This Row],[Aluminio Bruto]]/OleoKGAluminio</f>
        <v>27.784204707221399</v>
      </c>
      <c r="U236" s="35">
        <f>IFERROR((VLOOKUP(Tabela3[[#This Row],[Moldador]],Tabela1[],5,)+(VLOOKUP(Tabela3[[#This Row],[Ajudante]],Tabela1[],5,))*3.5),0)</f>
        <v>99.95034583333333</v>
      </c>
      <c r="V236" s="35">
        <f>IFERROR(Tabela3[[#This Row],[Custo M.O. / H]]/((Tabela3[[#This Row],[Realizado]]/Tabela3[[#This Row],[Qdt Peça Placa]])/Tabela3[[#This Row],[Tempo]]/24),)</f>
        <v>12.863979695216049</v>
      </c>
      <c r="W236" s="35">
        <f>Tabela3[[#This Row],[Custo / Cx Moldada]]*Tabela3[[#This Row],[Qtde Cx Produzida]]</f>
        <v>257.27959390432096</v>
      </c>
      <c r="X236" s="35">
        <f ca="1">Tabela3[[#This Row],[Aluminio Util]]*Tabela3[[#This Row],[Custo/Kg]]</f>
        <v>497.01600000000002</v>
      </c>
      <c r="Y236" s="35">
        <f>IFERROR(VLOOKUP(Tabela3[[#This Row],[Data]],Tabela461213[],2,1)*(Tabela3[[#This Row],[Qtde Cx Produzida]]*Tabela3[[#This Row],[Qde macho / CX]]*Tabela3[[#This Row],[Peso Macho]]),)</f>
        <v>79.710000000000008</v>
      </c>
      <c r="Z236" s="35">
        <f>IFERROR(Tabela3[[#This Row],[Qtde Oleo]]*(VLOOKUP(Tabela3[[#This Row],[Data]],CompraOleo[],3,TRUE))*1.05,0)</f>
        <v>72.933537356456171</v>
      </c>
      <c r="AA236" s="47">
        <f ca="1">(Tabela3[[#This Row],[Custo Oleo]]+Tabela3[[#This Row],[Custo Aluminio]]+Tabela3[[#This Row],[Custo M.O. Total]]+Tabela3[[#This Row],[Custo Machos]])</f>
        <v>906.93913126077723</v>
      </c>
      <c r="AB236" s="47">
        <f ca="1">Tabela3[[#This Row],[Custo Total]]*Tabela3[[#This Row],[% Perda]]</f>
        <v>90.693913126077732</v>
      </c>
      <c r="AC236" s="48">
        <f>IFERROR(VLOOKUP(Tabela3[[#This Row],[Produto]],Tabela2[],2,0),0)</f>
        <v>1</v>
      </c>
      <c r="AD236" s="48">
        <f>IFERROR(VLOOKUP(Tabela3[[#This Row],[Produto]],Tabela2[],3,0),0)</f>
        <v>1.77</v>
      </c>
      <c r="AE236" s="48">
        <f>IFERROR(VLOOKUP(Tabela3[[#This Row],[Produto]],Tabela2[],4,0),0)</f>
        <v>3.13</v>
      </c>
      <c r="AF236" s="48">
        <f>IFERROR(VLOOKUP(Tabela3[[#This Row],[Produto]],Tabela2[],5,0),0)</f>
        <v>1.224</v>
      </c>
      <c r="AG236" s="40">
        <f>IFERROR(VLOOKUP(Tabela3[[#This Row],[Produto]],Tabela2[],6,0),0)</f>
        <v>0</v>
      </c>
      <c r="AH236" s="40">
        <f>IFERROR(VLOOKUP(Tabela3[[#This Row],[Produto]],Tabela2[],7,0),0)</f>
        <v>1</v>
      </c>
      <c r="AI236" s="40">
        <f>IFERROR(VLOOKUP(Tabela3[[#This Row],[Produto]],Tabela2[],8,0),0)</f>
        <v>2.657</v>
      </c>
      <c r="AJ236" s="35">
        <f ca="1">IFERROR(VLOOKUP(Tabela3[[#This Row],[Produto]],Tabela2[],13,0),0)</f>
        <v>15.600000000000001</v>
      </c>
      <c r="AK236" s="40" t="str">
        <f>IFERROR(VLOOKUP(Tabela3[[#This Row],[Produto]],Tabela2[],14,0),0)</f>
        <v>Jumil</v>
      </c>
      <c r="AL236" s="40">
        <f>IFERROR(VLOOKUP(Tabela3[[#This Row],[Produto]],Tabela2[],15,0),0)</f>
        <v>10</v>
      </c>
      <c r="AM236" s="36">
        <f ca="1">(Tabela3[[#This Row],[Custo Usinagem]]+Tabela3[[#This Row],[Custo / Pç]])*1.2</f>
        <v>72.462608750718474</v>
      </c>
      <c r="AN236" s="36">
        <f ca="1">Tabela3[[#This Row],[Valor Mínimo Venda]]*1.15</f>
        <v>83.332000063326234</v>
      </c>
      <c r="AO236" s="36">
        <f ca="1">Tabela3[[#This Row],[Tabela 1]]*1.08</f>
        <v>89.998560068392337</v>
      </c>
      <c r="AP236" s="36">
        <f ca="1">Tabela3[[#This Row],[Tabela 2]]*1.15</f>
        <v>103.49834407865117</v>
      </c>
    </row>
    <row r="237" spans="1:42">
      <c r="A237" s="9">
        <v>45775</v>
      </c>
      <c r="B237" s="6" t="s">
        <v>248</v>
      </c>
      <c r="C237" s="14">
        <v>6484</v>
      </c>
      <c r="D237" s="6" t="s">
        <v>46</v>
      </c>
      <c r="E237" s="6" t="s">
        <v>53</v>
      </c>
      <c r="F237" s="6">
        <v>10</v>
      </c>
      <c r="G237" s="15">
        <v>7.2222222222222215E-2</v>
      </c>
      <c r="H237" s="16">
        <v>10</v>
      </c>
      <c r="I237" s="35">
        <f ca="1">IFERROR(Tabela3[[#This Row],[Custo Total]]/Tabela3[[#This Row],[Aluminio Util]],0)</f>
        <v>39.603074664307528</v>
      </c>
      <c r="J237" s="35">
        <f ca="1">Tabela3[[#This Row],[Custo Total]]/Tabela3[[#This Row],[Realizado]]</f>
        <v>14.177900729822095</v>
      </c>
      <c r="K237" s="37">
        <f>IFERROR(Tabela3[[#This Row],[Qtde Cx Produzida]]/Tabela3[[#This Row],[Tempo]]/24,0)</f>
        <v>5.7692307692307701</v>
      </c>
      <c r="L237" s="37">
        <f>Tabela3[[#This Row],[Qtde Cx Produzida]]*Tabela3[[#This Row],[Qdt Peça Placa]]</f>
        <v>40</v>
      </c>
      <c r="M237" s="37">
        <f>Tabela3[[#This Row],[Previsto]]-Tabela3[[#This Row],[Perda Pçs]]</f>
        <v>30</v>
      </c>
      <c r="N237" s="38">
        <f>IFERROR(Tabela3[[#This Row],[Perda Pçs]]/Tabela3[[#This Row],[Previsto]],0)</f>
        <v>0.25</v>
      </c>
      <c r="O237" s="39">
        <f>IFERROR(IF(Tabela3[[#This Row],[Qtde Cx Produzida]] &lt;&gt; 0, Tabela3[[#This Row],[Tempo]] / Tabela3[[#This Row],[Qtde Cx Produzida]], 0),0)</f>
        <v>7.2222222222222219E-3</v>
      </c>
      <c r="P237" s="57">
        <f>IFERROR(Tabela3[[#This Row],[Perda Pçs]]/Tabela3[[#This Row],[Qdt Peça Placa]],0)</f>
        <v>2.5</v>
      </c>
      <c r="Q237" s="37">
        <f>IFERROR(Tabela3[[#This Row],[Realizado]]*Tabela3[[#This Row],[Peso Util/Pç]],0)</f>
        <v>10.74</v>
      </c>
      <c r="R237" s="37">
        <f>IFERROR(Tabela3[[#This Row],[Peso Total Galho]]*Tabela3[[#This Row],[Qtde Cx Produzida]]*1.055,0)</f>
        <v>24.264999999999997</v>
      </c>
      <c r="S237" s="37">
        <f>(Tabela3[[#This Row],[Aluminio Bruto]]-Tabela3[[#This Row],[Aluminio Util]])*0.9</f>
        <v>12.172499999999998</v>
      </c>
      <c r="T237" s="37">
        <f>Tabela3[[#This Row],[Aluminio Bruto]]/OleoKGAluminio</f>
        <v>10.208254125656424</v>
      </c>
      <c r="U237" s="35">
        <f>IFERROR((VLOOKUP(Tabela3[[#This Row],[Moldador]],Tabela1[],5,)+(VLOOKUP(Tabela3[[#This Row],[Ajudante]],Tabela1[],5,))*3.5),0)</f>
        <v>99.95034583333333</v>
      </c>
      <c r="V237" s="35">
        <f>IFERROR(Tabela3[[#This Row],[Custo M.O. / H]]/((Tabela3[[#This Row],[Realizado]]/Tabela3[[#This Row],[Qdt Peça Placa]])/Tabela3[[#This Row],[Tempo]]/24),)</f>
        <v>23.099635481481478</v>
      </c>
      <c r="W237" s="35">
        <f>Tabela3[[#This Row],[Custo / Cx Moldada]]*Tabela3[[#This Row],[Qtde Cx Produzida]]</f>
        <v>230.99635481481477</v>
      </c>
      <c r="X237" s="35">
        <f ca="1">Tabela3[[#This Row],[Aluminio Util]]*Tabela3[[#This Row],[Custo/Kg]]</f>
        <v>167.54400000000001</v>
      </c>
      <c r="Y237" s="35">
        <f>IFERROR(VLOOKUP(Tabela3[[#This Row],[Data]],Tabela461213[],2,1)*(Tabela3[[#This Row],[Qtde Cx Produzida]]*Tabela3[[#This Row],[Qde macho / CX]]*Tabela3[[#This Row],[Peso Macho]]),)</f>
        <v>0</v>
      </c>
      <c r="Z237" s="35">
        <f>IFERROR(Tabela3[[#This Row],[Qtde Oleo]]*(VLOOKUP(Tabela3[[#This Row],[Data]],CompraOleo[],3,TRUE))*1.05,0)</f>
        <v>26.796667079848113</v>
      </c>
      <c r="AA237" s="47">
        <f ca="1">(Tabela3[[#This Row],[Custo Oleo]]+Tabela3[[#This Row],[Custo Aluminio]]+Tabela3[[#This Row],[Custo M.O. Total]]+Tabela3[[#This Row],[Custo Machos]])</f>
        <v>425.33702189466288</v>
      </c>
      <c r="AB237" s="47">
        <f ca="1">Tabela3[[#This Row],[Custo Total]]*Tabela3[[#This Row],[% Perda]]</f>
        <v>106.33425547366572</v>
      </c>
      <c r="AC237" s="48">
        <f>IFERROR(VLOOKUP(Tabela3[[#This Row],[Produto]],Tabela2[],2,0),0)</f>
        <v>4</v>
      </c>
      <c r="AD237" s="48">
        <f>IFERROR(VLOOKUP(Tabela3[[#This Row],[Produto]],Tabela2[],3,0),0)</f>
        <v>0.35799999999999998</v>
      </c>
      <c r="AE237" s="48">
        <f>IFERROR(VLOOKUP(Tabela3[[#This Row],[Produto]],Tabela2[],4,0),0)</f>
        <v>2.2999999999999998</v>
      </c>
      <c r="AF237" s="48">
        <f>IFERROR(VLOOKUP(Tabela3[[#This Row],[Produto]],Tabela2[],5,0),0)</f>
        <v>0.78119999999999989</v>
      </c>
      <c r="AG237" s="40">
        <f>IFERROR(VLOOKUP(Tabela3[[#This Row],[Produto]],Tabela2[],6,0),0)</f>
        <v>0</v>
      </c>
      <c r="AH237" s="40">
        <f>IFERROR(VLOOKUP(Tabela3[[#This Row],[Produto]],Tabela2[],7,0),0)</f>
        <v>0</v>
      </c>
      <c r="AI237" s="40">
        <f>IFERROR(VLOOKUP(Tabela3[[#This Row],[Produto]],Tabela2[],8,0),0)</f>
        <v>0</v>
      </c>
      <c r="AJ237" s="35">
        <f ca="1">IFERROR(VLOOKUP(Tabela3[[#This Row],[Produto]],Tabela2[],13,0),0)</f>
        <v>15.600000000000001</v>
      </c>
      <c r="AK237" s="40" t="str">
        <f>IFERROR(VLOOKUP(Tabela3[[#This Row],[Produto]],Tabela2[],14,0),0)</f>
        <v>Senun</v>
      </c>
      <c r="AL237" s="40">
        <f>IFERROR(VLOOKUP(Tabela3[[#This Row],[Produto]],Tabela2[],15,0),0)</f>
        <v>4</v>
      </c>
      <c r="AM237" s="36">
        <f ca="1">(Tabela3[[#This Row],[Custo Usinagem]]+Tabela3[[#This Row],[Custo / Pç]])*1.2</f>
        <v>21.813480875786514</v>
      </c>
      <c r="AN237" s="36">
        <f ca="1">Tabela3[[#This Row],[Valor Mínimo Venda]]*1.15</f>
        <v>25.08550300715449</v>
      </c>
      <c r="AO237" s="36">
        <f ca="1">Tabela3[[#This Row],[Tabela 1]]*1.08</f>
        <v>27.092343247726852</v>
      </c>
      <c r="AP237" s="36">
        <f ca="1">Tabela3[[#This Row],[Tabela 2]]*1.15</f>
        <v>31.156194734885876</v>
      </c>
    </row>
    <row r="238" spans="1:42">
      <c r="A238" s="9">
        <v>45776</v>
      </c>
      <c r="B238" s="6" t="s">
        <v>129</v>
      </c>
      <c r="C238" s="14">
        <v>6490</v>
      </c>
      <c r="D238" s="6" t="s">
        <v>46</v>
      </c>
      <c r="E238" s="6" t="s">
        <v>53</v>
      </c>
      <c r="F238" s="6">
        <v>10</v>
      </c>
      <c r="G238" s="15">
        <v>7.2916666666666671E-2</v>
      </c>
      <c r="H238" s="16">
        <v>0</v>
      </c>
      <c r="I238" s="35">
        <f ca="1">IFERROR(Tabela3[[#This Row],[Custo Total]]/Tabela3[[#This Row],[Aluminio Util]],0)</f>
        <v>30.195056620472005</v>
      </c>
      <c r="J238" s="35">
        <f ca="1">Tabela3[[#This Row],[Custo Total]]/Tabela3[[#This Row],[Realizado]]</f>
        <v>48.915991725164659</v>
      </c>
      <c r="K238" s="37">
        <f>IFERROR(Tabela3[[#This Row],[Qtde Cx Produzida]]/Tabela3[[#This Row],[Tempo]]/24,0)</f>
        <v>5.7142857142857144</v>
      </c>
      <c r="L238" s="37">
        <f>Tabela3[[#This Row],[Qtde Cx Produzida]]*Tabela3[[#This Row],[Qdt Peça Placa]]</f>
        <v>10</v>
      </c>
      <c r="M238" s="37">
        <f>Tabela3[[#This Row],[Previsto]]-Tabela3[[#This Row],[Perda Pçs]]</f>
        <v>10</v>
      </c>
      <c r="N238" s="38">
        <f>IFERROR(Tabela3[[#This Row],[Perda Pçs]]/Tabela3[[#This Row],[Previsto]],0)</f>
        <v>0</v>
      </c>
      <c r="O238" s="39">
        <f>IFERROR(IF(Tabela3[[#This Row],[Qtde Cx Produzida]] &lt;&gt; 0, Tabela3[[#This Row],[Tempo]] / Tabela3[[#This Row],[Qtde Cx Produzida]], 0),0)</f>
        <v>7.2916666666666668E-3</v>
      </c>
      <c r="P238" s="57">
        <f>IFERROR(Tabela3[[#This Row],[Perda Pçs]]/Tabela3[[#This Row],[Qdt Peça Placa]],0)</f>
        <v>0</v>
      </c>
      <c r="Q238" s="37">
        <f>IFERROR(Tabela3[[#This Row],[Realizado]]*Tabela3[[#This Row],[Peso Util/Pç]],0)</f>
        <v>16.200000000000003</v>
      </c>
      <c r="R238" s="37">
        <f>IFERROR(Tabela3[[#This Row],[Peso Total Galho]]*Tabela3[[#This Row],[Qtde Cx Produzida]]*1.055,0)</f>
        <v>26.375</v>
      </c>
      <c r="S238" s="37">
        <f>(Tabela3[[#This Row],[Aluminio Bruto]]-Tabela3[[#This Row],[Aluminio Util]])*0.9</f>
        <v>9.1574999999999971</v>
      </c>
      <c r="T238" s="37">
        <f>Tabela3[[#This Row],[Aluminio Bruto]]/OleoKGAluminio</f>
        <v>11.095928397452637</v>
      </c>
      <c r="U238" s="35">
        <f>IFERROR((VLOOKUP(Tabela3[[#This Row],[Moldador]],Tabela1[],5,)+(VLOOKUP(Tabela3[[#This Row],[Ajudante]],Tabela1[],5,))*3.5),0)</f>
        <v>99.95034583333333</v>
      </c>
      <c r="V238" s="35">
        <f>IFERROR(Tabela3[[#This Row],[Custo M.O. / H]]/((Tabela3[[#This Row],[Realizado]]/Tabela3[[#This Row],[Qdt Peça Placa]])/Tabela3[[#This Row],[Tempo]]/24),)</f>
        <v>17.491310520833331</v>
      </c>
      <c r="W238" s="35">
        <f>Tabela3[[#This Row],[Custo / Cx Moldada]]*Tabela3[[#This Row],[Qtde Cx Produzida]]</f>
        <v>174.91310520833332</v>
      </c>
      <c r="X238" s="35">
        <f ca="1">Tabela3[[#This Row],[Aluminio Util]]*Tabela3[[#This Row],[Custo/Kg]]</f>
        <v>285.12000000000006</v>
      </c>
      <c r="Y238" s="35">
        <f>IFERROR(VLOOKUP(Tabela3[[#This Row],[Data]],Tabela461213[],2,1)*(Tabela3[[#This Row],[Qtde Cx Produzida]]*Tabela3[[#This Row],[Qde macho / CX]]*Tabela3[[#This Row],[Peso Macho]]),)</f>
        <v>0</v>
      </c>
      <c r="Z238" s="35">
        <f>IFERROR(Tabela3[[#This Row],[Qtde Oleo]]*(VLOOKUP(Tabela3[[#This Row],[Data]],CompraOleo[],3,TRUE))*1.05,0)</f>
        <v>29.126812043313173</v>
      </c>
      <c r="AA238" s="47">
        <f ca="1">(Tabela3[[#This Row],[Custo Oleo]]+Tabela3[[#This Row],[Custo Aluminio]]+Tabela3[[#This Row],[Custo M.O. Total]]+Tabela3[[#This Row],[Custo Machos]])</f>
        <v>489.15991725164656</v>
      </c>
      <c r="AB238" s="47">
        <f ca="1">Tabela3[[#This Row],[Custo Total]]*Tabela3[[#This Row],[% Perda]]</f>
        <v>0</v>
      </c>
      <c r="AC238" s="48">
        <f>IFERROR(VLOOKUP(Tabela3[[#This Row],[Produto]],Tabela2[],2,0),0)</f>
        <v>1</v>
      </c>
      <c r="AD238" s="48">
        <f>IFERROR(VLOOKUP(Tabela3[[#This Row],[Produto]],Tabela2[],3,0),0)</f>
        <v>1.62</v>
      </c>
      <c r="AE238" s="48">
        <f>IFERROR(VLOOKUP(Tabela3[[#This Row],[Produto]],Tabela2[],4,0),0)</f>
        <v>2.5</v>
      </c>
      <c r="AF238" s="48">
        <f>IFERROR(VLOOKUP(Tabela3[[#This Row],[Produto]],Tabela2[],5,0),0)</f>
        <v>0.79199999999999993</v>
      </c>
      <c r="AG238" s="40">
        <f>IFERROR(VLOOKUP(Tabela3[[#This Row],[Produto]],Tabela2[],6,0),0)</f>
        <v>0</v>
      </c>
      <c r="AH238" s="40">
        <f>IFERROR(VLOOKUP(Tabela3[[#This Row],[Produto]],Tabela2[],7,0),0)</f>
        <v>0</v>
      </c>
      <c r="AI238" s="40">
        <f>IFERROR(VLOOKUP(Tabela3[[#This Row],[Produto]],Tabela2[],8,0),0)</f>
        <v>0</v>
      </c>
      <c r="AJ238" s="35">
        <f ca="1">IFERROR(VLOOKUP(Tabela3[[#This Row],[Produto]],Tabela2[],13,0),0)</f>
        <v>17.600000000000001</v>
      </c>
      <c r="AK238" s="40" t="str">
        <f>IFERROR(VLOOKUP(Tabela3[[#This Row],[Produto]],Tabela2[],14,0),0)</f>
        <v>Jumil</v>
      </c>
      <c r="AL238" s="40">
        <f>IFERROR(VLOOKUP(Tabela3[[#This Row],[Produto]],Tabela2[],15,0),0)</f>
        <v>80</v>
      </c>
      <c r="AM238" s="36">
        <f ca="1">(Tabela3[[#This Row],[Custo Usinagem]]+Tabela3[[#This Row],[Custo / Pç]])*1.2</f>
        <v>154.69919007019757</v>
      </c>
      <c r="AN238" s="36">
        <f ca="1">Tabela3[[#This Row],[Valor Mínimo Venda]]*1.15</f>
        <v>177.9040685807272</v>
      </c>
      <c r="AO238" s="36">
        <f ca="1">Tabela3[[#This Row],[Tabela 1]]*1.08</f>
        <v>192.13639406718539</v>
      </c>
      <c r="AP238" s="36">
        <f ca="1">Tabela3[[#This Row],[Tabela 2]]*1.15</f>
        <v>220.95685317726318</v>
      </c>
    </row>
    <row r="239" spans="1:42">
      <c r="A239" s="9">
        <v>45776</v>
      </c>
      <c r="B239" s="6" t="s">
        <v>229</v>
      </c>
      <c r="C239" s="14">
        <v>6448</v>
      </c>
      <c r="D239" s="6" t="s">
        <v>46</v>
      </c>
      <c r="E239" s="6" t="s">
        <v>53</v>
      </c>
      <c r="F239" s="6">
        <v>17</v>
      </c>
      <c r="G239" s="15">
        <v>7.8472222222222221E-2</v>
      </c>
      <c r="H239" s="16">
        <v>0</v>
      </c>
      <c r="I239" s="35">
        <f ca="1">IFERROR(Tabela3[[#This Row],[Custo Total]]/Tabela3[[#This Row],[Aluminio Util]],0)</f>
        <v>21.096931502186145</v>
      </c>
      <c r="J239" s="35">
        <f ca="1">Tabela3[[#This Row],[Custo Total]]/Tabela3[[#This Row],[Realizado]]</f>
        <v>58.818245028094964</v>
      </c>
      <c r="K239" s="37">
        <f>IFERROR(Tabela3[[#This Row],[Qtde Cx Produzida]]/Tabela3[[#This Row],[Tempo]]/24,0)</f>
        <v>9.0265486725663724</v>
      </c>
      <c r="L239" s="37">
        <f>Tabela3[[#This Row],[Qtde Cx Produzida]]*Tabela3[[#This Row],[Qdt Peça Placa]]</f>
        <v>17</v>
      </c>
      <c r="M239" s="37">
        <f>Tabela3[[#This Row],[Previsto]]-Tabela3[[#This Row],[Perda Pçs]]</f>
        <v>17</v>
      </c>
      <c r="N239" s="38">
        <f>IFERROR(Tabela3[[#This Row],[Perda Pçs]]/Tabela3[[#This Row],[Previsto]],0)</f>
        <v>0</v>
      </c>
      <c r="O239" s="39">
        <f>IFERROR(IF(Tabela3[[#This Row],[Qtde Cx Produzida]] &lt;&gt; 0, Tabela3[[#This Row],[Tempo]] / Tabela3[[#This Row],[Qtde Cx Produzida]], 0),0)</f>
        <v>4.6160130718954249E-3</v>
      </c>
      <c r="P239" s="57">
        <f>IFERROR(Tabela3[[#This Row],[Perda Pçs]]/Tabela3[[#This Row],[Qdt Peça Placa]],0)</f>
        <v>0</v>
      </c>
      <c r="Q239" s="37">
        <f>IFERROR(Tabela3[[#This Row],[Realizado]]*Tabela3[[#This Row],[Peso Util/Pç]],0)</f>
        <v>47.395999999999994</v>
      </c>
      <c r="R239" s="37">
        <f>IFERROR(Tabela3[[#This Row],[Peso Total Galho]]*Tabela3[[#This Row],[Qtde Cx Produzida]]*1.055,0)</f>
        <v>65.46275</v>
      </c>
      <c r="S239" s="37">
        <f>(Tabela3[[#This Row],[Aluminio Bruto]]-Tabela3[[#This Row],[Aluminio Util]])*0.9</f>
        <v>16.260075000000008</v>
      </c>
      <c r="T239" s="37">
        <f>Tabela3[[#This Row],[Aluminio Bruto]]/OleoKGAluminio</f>
        <v>27.540094282477444</v>
      </c>
      <c r="U239" s="35">
        <f>IFERROR((VLOOKUP(Tabela3[[#This Row],[Moldador]],Tabela1[],5,)+(VLOOKUP(Tabela3[[#This Row],[Ajudante]],Tabela1[],5,))*3.5),0)</f>
        <v>99.95034583333333</v>
      </c>
      <c r="V239" s="35">
        <f>IFERROR(Tabela3[[#This Row],[Custo M.O. / H]]/((Tabela3[[#This Row],[Realizado]]/Tabela3[[#This Row],[Qdt Peça Placa]])/Tabela3[[#This Row],[Tempo]]/24),)</f>
        <v>11.07293046977124</v>
      </c>
      <c r="W239" s="35">
        <f>Tabela3[[#This Row],[Custo / Cx Moldada]]*Tabela3[[#This Row],[Qtde Cx Produzida]]</f>
        <v>188.23981798611109</v>
      </c>
      <c r="X239" s="35">
        <f ca="1">Tabela3[[#This Row],[Aluminio Util]]*Tabela3[[#This Row],[Custo/Kg]]</f>
        <v>739.37759999999992</v>
      </c>
      <c r="Y239" s="35">
        <f>IFERROR(VLOOKUP(Tabela3[[#This Row],[Data]],Tabela461213[],2,1)*(Tabela3[[#This Row],[Qtde Cx Produzida]]*Tabela3[[#This Row],[Qde macho / CX]]*Tabela3[[#This Row],[Peso Macho]]),)</f>
        <v>0</v>
      </c>
      <c r="Z239" s="35">
        <f>IFERROR(Tabela3[[#This Row],[Qtde Oleo]]*(VLOOKUP(Tabela3[[#This Row],[Data]],CompraOleo[],3,TRUE))*1.05,0)</f>
        <v>72.292747491503306</v>
      </c>
      <c r="AA239" s="47">
        <f ca="1">(Tabela3[[#This Row],[Custo Oleo]]+Tabela3[[#This Row],[Custo Aluminio]]+Tabela3[[#This Row],[Custo M.O. Total]]+Tabela3[[#This Row],[Custo Machos]])</f>
        <v>999.91016547761433</v>
      </c>
      <c r="AB239" s="47">
        <f ca="1">Tabela3[[#This Row],[Custo Total]]*Tabela3[[#This Row],[% Perda]]</f>
        <v>0</v>
      </c>
      <c r="AC239" s="48">
        <f>IFERROR(VLOOKUP(Tabela3[[#This Row],[Produto]],Tabela2[],2,0),0)</f>
        <v>1</v>
      </c>
      <c r="AD239" s="48">
        <f>IFERROR(VLOOKUP(Tabela3[[#This Row],[Produto]],Tabela2[],3,0),0)</f>
        <v>2.7879999999999998</v>
      </c>
      <c r="AE239" s="48">
        <f>IFERROR(VLOOKUP(Tabela3[[#This Row],[Produto]],Tabela2[],4,0),0)</f>
        <v>3.65</v>
      </c>
      <c r="AF239" s="48">
        <f>IFERROR(VLOOKUP(Tabela3[[#This Row],[Produto]],Tabela2[],5,0),0)</f>
        <v>0.77580000000000016</v>
      </c>
      <c r="AG239" s="40">
        <f>IFERROR(VLOOKUP(Tabela3[[#This Row],[Produto]],Tabela2[],6,0),0)</f>
        <v>0</v>
      </c>
      <c r="AH239" s="40">
        <f>IFERROR(VLOOKUP(Tabela3[[#This Row],[Produto]],Tabela2[],7,0),0)</f>
        <v>0</v>
      </c>
      <c r="AI239" s="40">
        <f>IFERROR(VLOOKUP(Tabela3[[#This Row],[Produto]],Tabela2[],8,0),0)</f>
        <v>0</v>
      </c>
      <c r="AJ239" s="35">
        <f ca="1">IFERROR(VLOOKUP(Tabela3[[#This Row],[Produto]],Tabela2[],13,0),0)</f>
        <v>15.600000000000001</v>
      </c>
      <c r="AK239" s="40" t="str">
        <f>IFERROR(VLOOKUP(Tabela3[[#This Row],[Produto]],Tabela2[],14,0),0)</f>
        <v>Jumil</v>
      </c>
      <c r="AL239" s="40">
        <f>IFERROR(VLOOKUP(Tabela3[[#This Row],[Produto]],Tabela2[],15,0),0)</f>
        <v>35</v>
      </c>
      <c r="AM239" s="36">
        <f ca="1">(Tabela3[[#This Row],[Custo Usinagem]]+Tabela3[[#This Row],[Custo / Pç]])*1.2</f>
        <v>112.58189403371395</v>
      </c>
      <c r="AN239" s="36">
        <f ca="1">Tabela3[[#This Row],[Valor Mínimo Venda]]*1.15</f>
        <v>129.46917813877104</v>
      </c>
      <c r="AO239" s="36">
        <f ca="1">Tabela3[[#This Row],[Tabela 1]]*1.08</f>
        <v>139.82671238987274</v>
      </c>
      <c r="AP239" s="36">
        <f ca="1">Tabela3[[#This Row],[Tabela 2]]*1.15</f>
        <v>160.80071924835363</v>
      </c>
    </row>
    <row r="240" spans="1:42">
      <c r="A240" s="9">
        <v>45777</v>
      </c>
      <c r="B240" s="6" t="s">
        <v>229</v>
      </c>
      <c r="C240" s="14">
        <v>6448</v>
      </c>
      <c r="D240" s="6" t="s">
        <v>46</v>
      </c>
      <c r="E240" s="6" t="s">
        <v>53</v>
      </c>
      <c r="F240" s="6">
        <v>23</v>
      </c>
      <c r="G240" s="15">
        <v>0.10625</v>
      </c>
      <c r="H240" s="16">
        <v>0</v>
      </c>
      <c r="I240" s="35">
        <f ca="1">IFERROR(Tabela3[[#This Row],[Custo Total]]/Tabela3[[#This Row],[Aluminio Util]],0)</f>
        <v>21.099987784861298</v>
      </c>
      <c r="J240" s="35">
        <f ca="1">Tabela3[[#This Row],[Custo Total]]/Tabela3[[#This Row],[Realizado]]</f>
        <v>58.826765944193291</v>
      </c>
      <c r="K240" s="37">
        <f>IFERROR(Tabela3[[#This Row],[Qtde Cx Produzida]]/Tabela3[[#This Row],[Tempo]]/24,0)</f>
        <v>9.0196078431372548</v>
      </c>
      <c r="L240" s="37">
        <f>Tabela3[[#This Row],[Qtde Cx Produzida]]*Tabela3[[#This Row],[Qdt Peça Placa]]</f>
        <v>23</v>
      </c>
      <c r="M240" s="37">
        <f>Tabela3[[#This Row],[Previsto]]-Tabela3[[#This Row],[Perda Pçs]]</f>
        <v>23</v>
      </c>
      <c r="N240" s="38">
        <f>IFERROR(Tabela3[[#This Row],[Perda Pçs]]/Tabela3[[#This Row],[Previsto]],0)</f>
        <v>0</v>
      </c>
      <c r="O240" s="39">
        <f>IFERROR(IF(Tabela3[[#This Row],[Qtde Cx Produzida]] &lt;&gt; 0, Tabela3[[#This Row],[Tempo]] / Tabela3[[#This Row],[Qtde Cx Produzida]], 0),0)</f>
        <v>4.6195652173913046E-3</v>
      </c>
      <c r="P240" s="57">
        <f>IFERROR(Tabela3[[#This Row],[Perda Pçs]]/Tabela3[[#This Row],[Qdt Peça Placa]],0)</f>
        <v>0</v>
      </c>
      <c r="Q240" s="37">
        <f>IFERROR(Tabela3[[#This Row],[Realizado]]*Tabela3[[#This Row],[Peso Util/Pç]],0)</f>
        <v>64.123999999999995</v>
      </c>
      <c r="R240" s="37">
        <f>IFERROR(Tabela3[[#This Row],[Peso Total Galho]]*Tabela3[[#This Row],[Qtde Cx Produzida]]*1.055,0)</f>
        <v>88.567250000000001</v>
      </c>
      <c r="S240" s="37">
        <f>(Tabela3[[#This Row],[Aluminio Bruto]]-Tabela3[[#This Row],[Aluminio Util]])*0.9</f>
        <v>21.998925000000007</v>
      </c>
      <c r="T240" s="37">
        <f>Tabela3[[#This Row],[Aluminio Bruto]]/OleoKGAluminio</f>
        <v>37.260127558645955</v>
      </c>
      <c r="U240" s="35">
        <f>IFERROR((VLOOKUP(Tabela3[[#This Row],[Moldador]],Tabela1[],5,)+(VLOOKUP(Tabela3[[#This Row],[Ajudante]],Tabela1[],5,))*3.5),0)</f>
        <v>99.95034583333333</v>
      </c>
      <c r="V240" s="35">
        <f>IFERROR(Tabela3[[#This Row],[Custo M.O. / H]]/((Tabela3[[#This Row],[Realizado]]/Tabela3[[#This Row],[Qdt Peça Placa]])/Tabela3[[#This Row],[Tempo]]/24),)</f>
        <v>11.081451385869565</v>
      </c>
      <c r="W240" s="35">
        <f>Tabela3[[#This Row],[Custo / Cx Moldada]]*Tabela3[[#This Row],[Qtde Cx Produzida]]</f>
        <v>254.87338187500001</v>
      </c>
      <c r="X240" s="35">
        <f ca="1">Tabela3[[#This Row],[Aluminio Util]]*Tabela3[[#This Row],[Custo/Kg]]</f>
        <v>1000.3344000000001</v>
      </c>
      <c r="Y240" s="35">
        <f>IFERROR(VLOOKUP(Tabela3[[#This Row],[Data]],Tabela461213[],2,1)*(Tabela3[[#This Row],[Qtde Cx Produzida]]*Tabela3[[#This Row],[Qde macho / CX]]*Tabela3[[#This Row],[Peso Macho]]),)</f>
        <v>0</v>
      </c>
      <c r="Z240" s="35">
        <f>IFERROR(Tabela3[[#This Row],[Qtde Oleo]]*(VLOOKUP(Tabela3[[#This Row],[Data]],CompraOleo[],3,TRUE))*1.05,0)</f>
        <v>97.80783484144564</v>
      </c>
      <c r="AA240" s="47">
        <f ca="1">(Tabela3[[#This Row],[Custo Oleo]]+Tabela3[[#This Row],[Custo Aluminio]]+Tabela3[[#This Row],[Custo M.O. Total]]+Tabela3[[#This Row],[Custo Machos]])</f>
        <v>1353.0156167164457</v>
      </c>
      <c r="AB240" s="47">
        <f ca="1">Tabela3[[#This Row],[Custo Total]]*Tabela3[[#This Row],[% Perda]]</f>
        <v>0</v>
      </c>
      <c r="AC240" s="48">
        <f>IFERROR(VLOOKUP(Tabela3[[#This Row],[Produto]],Tabela2[],2,0),0)</f>
        <v>1</v>
      </c>
      <c r="AD240" s="48">
        <f>IFERROR(VLOOKUP(Tabela3[[#This Row],[Produto]],Tabela2[],3,0),0)</f>
        <v>2.7879999999999998</v>
      </c>
      <c r="AE240" s="48">
        <f>IFERROR(VLOOKUP(Tabela3[[#This Row],[Produto]],Tabela2[],4,0),0)</f>
        <v>3.65</v>
      </c>
      <c r="AF240" s="48">
        <f>IFERROR(VLOOKUP(Tabela3[[#This Row],[Produto]],Tabela2[],5,0),0)</f>
        <v>0.77580000000000016</v>
      </c>
      <c r="AG240" s="40">
        <f>IFERROR(VLOOKUP(Tabela3[[#This Row],[Produto]],Tabela2[],6,0),0)</f>
        <v>0</v>
      </c>
      <c r="AH240" s="40">
        <f>IFERROR(VLOOKUP(Tabela3[[#This Row],[Produto]],Tabela2[],7,0),0)</f>
        <v>0</v>
      </c>
      <c r="AI240" s="40">
        <f>IFERROR(VLOOKUP(Tabela3[[#This Row],[Produto]],Tabela2[],8,0),0)</f>
        <v>0</v>
      </c>
      <c r="AJ240" s="35">
        <f ca="1">IFERROR(VLOOKUP(Tabela3[[#This Row],[Produto]],Tabela2[],13,0),0)</f>
        <v>15.600000000000001</v>
      </c>
      <c r="AK240" s="40" t="str">
        <f>IFERROR(VLOOKUP(Tabela3[[#This Row],[Produto]],Tabela2[],14,0),0)</f>
        <v>Jumil</v>
      </c>
      <c r="AL240" s="40">
        <f>IFERROR(VLOOKUP(Tabela3[[#This Row],[Produto]],Tabela2[],15,0),0)</f>
        <v>35</v>
      </c>
      <c r="AM240" s="36">
        <f ca="1">(Tabela3[[#This Row],[Custo Usinagem]]+Tabela3[[#This Row],[Custo / Pç]])*1.2</f>
        <v>112.59211913303194</v>
      </c>
      <c r="AN240" s="36">
        <f ca="1">Tabela3[[#This Row],[Valor Mínimo Venda]]*1.15</f>
        <v>129.48093700298674</v>
      </c>
      <c r="AO240" s="36">
        <f ca="1">Tabela3[[#This Row],[Tabela 1]]*1.08</f>
        <v>139.83941196322567</v>
      </c>
      <c r="AP240" s="36">
        <f ca="1">Tabela3[[#This Row],[Tabela 2]]*1.15</f>
        <v>160.81532375770951</v>
      </c>
    </row>
    <row r="241" spans="1:42">
      <c r="A241" s="9">
        <v>45777</v>
      </c>
      <c r="B241" s="6" t="s">
        <v>272</v>
      </c>
      <c r="C241" s="14">
        <v>6492</v>
      </c>
      <c r="D241" s="6" t="s">
        <v>46</v>
      </c>
      <c r="E241" s="6" t="s">
        <v>53</v>
      </c>
      <c r="F241" s="6">
        <v>4</v>
      </c>
      <c r="G241" s="15">
        <v>3.4722222222222224E-2</v>
      </c>
      <c r="H241" s="16">
        <v>0</v>
      </c>
      <c r="I241" s="35">
        <f ca="1">IFERROR(Tabela3[[#This Row],[Custo Total]]/Tabela3[[#This Row],[Aluminio Util]],0)</f>
        <v>35.393356687759557</v>
      </c>
      <c r="J241" s="35">
        <f ca="1">Tabela3[[#This Row],[Custo Total]]/Tabela3[[#This Row],[Realizado]]</f>
        <v>48.842832229108183</v>
      </c>
      <c r="K241" s="37">
        <f>IFERROR(Tabela3[[#This Row],[Qtde Cx Produzida]]/Tabela3[[#This Row],[Tempo]]/24,0)</f>
        <v>4.8</v>
      </c>
      <c r="L241" s="37">
        <f>Tabela3[[#This Row],[Qtde Cx Produzida]]*Tabela3[[#This Row],[Qdt Peça Placa]]</f>
        <v>4</v>
      </c>
      <c r="M241" s="37">
        <f>Tabela3[[#This Row],[Previsto]]-Tabela3[[#This Row],[Perda Pçs]]</f>
        <v>4</v>
      </c>
      <c r="N241" s="38">
        <f>IFERROR(Tabela3[[#This Row],[Perda Pçs]]/Tabela3[[#This Row],[Previsto]],0)</f>
        <v>0</v>
      </c>
      <c r="O241" s="39">
        <f>IFERROR(IF(Tabela3[[#This Row],[Qtde Cx Produzida]] &lt;&gt; 0, Tabela3[[#This Row],[Tempo]] / Tabela3[[#This Row],[Qtde Cx Produzida]], 0),0)</f>
        <v>8.6805555555555559E-3</v>
      </c>
      <c r="P241" s="57">
        <f>IFERROR(Tabela3[[#This Row],[Perda Pçs]]/Tabela3[[#This Row],[Qdt Peça Placa]],0)</f>
        <v>0</v>
      </c>
      <c r="Q241" s="37">
        <f>IFERROR(Tabela3[[#This Row],[Realizado]]*Tabela3[[#This Row],[Peso Util/Pç]],0)</f>
        <v>5.52</v>
      </c>
      <c r="R241" s="37">
        <f>IFERROR(Tabela3[[#This Row],[Peso Total Galho]]*Tabela3[[#This Row],[Qtde Cx Produzida]]*1.055,0)</f>
        <v>8.355599999999999</v>
      </c>
      <c r="S241" s="37">
        <f>(Tabela3[[#This Row],[Aluminio Bruto]]-Tabela3[[#This Row],[Aluminio Util]])*0.9</f>
        <v>2.5520399999999994</v>
      </c>
      <c r="T241" s="37">
        <f>Tabela3[[#This Row],[Aluminio Bruto]]/OleoKGAluminio</f>
        <v>3.5151901163129953</v>
      </c>
      <c r="U241" s="35">
        <f>IFERROR((VLOOKUP(Tabela3[[#This Row],[Moldador]],Tabela1[],5,)+(VLOOKUP(Tabela3[[#This Row],[Ajudante]],Tabela1[],5,))*3.5),0)</f>
        <v>99.95034583333333</v>
      </c>
      <c r="V241" s="35">
        <f>IFERROR(Tabela3[[#This Row],[Custo M.O. / H]]/((Tabela3[[#This Row],[Realizado]]/Tabela3[[#This Row],[Qdt Peça Placa]])/Tabela3[[#This Row],[Tempo]]/24),)</f>
        <v>20.822988715277777</v>
      </c>
      <c r="W241" s="35">
        <f>Tabela3[[#This Row],[Custo / Cx Moldada]]*Tabela3[[#This Row],[Qtde Cx Produzida]]</f>
        <v>83.291954861111108</v>
      </c>
      <c r="X241" s="35">
        <f ca="1">Tabela3[[#This Row],[Aluminio Util]]*Tabela3[[#This Row],[Custo/Kg]]</f>
        <v>86.111999999999995</v>
      </c>
      <c r="Y241" s="35">
        <f>IFERROR(VLOOKUP(Tabela3[[#This Row],[Data]],Tabela461213[],2,1)*(Tabela3[[#This Row],[Qtde Cx Produzida]]*Tabela3[[#This Row],[Qde macho / CX]]*Tabela3[[#This Row],[Peso Macho]]),)</f>
        <v>16.740000000000002</v>
      </c>
      <c r="Z241" s="35">
        <f>IFERROR(Tabela3[[#This Row],[Qtde Oleo]]*(VLOOKUP(Tabela3[[#This Row],[Data]],CompraOleo[],3,TRUE))*1.05,0)</f>
        <v>9.2273740553216115</v>
      </c>
      <c r="AA241" s="47">
        <f ca="1">(Tabela3[[#This Row],[Custo Oleo]]+Tabela3[[#This Row],[Custo Aluminio]]+Tabela3[[#This Row],[Custo M.O. Total]]+Tabela3[[#This Row],[Custo Machos]])</f>
        <v>195.37132891643273</v>
      </c>
      <c r="AB241" s="47">
        <f ca="1">Tabela3[[#This Row],[Custo Total]]*Tabela3[[#This Row],[% Perda]]</f>
        <v>0</v>
      </c>
      <c r="AC241" s="48">
        <f>IFERROR(VLOOKUP(Tabela3[[#This Row],[Produto]],Tabela2[],2,0),0)</f>
        <v>1</v>
      </c>
      <c r="AD241" s="48">
        <f>IFERROR(VLOOKUP(Tabela3[[#This Row],[Produto]],Tabela2[],3,0),0)</f>
        <v>1.38</v>
      </c>
      <c r="AE241" s="48">
        <f>IFERROR(VLOOKUP(Tabela3[[#This Row],[Produto]],Tabela2[],4,0),0)</f>
        <v>1.98</v>
      </c>
      <c r="AF241" s="48">
        <f>IFERROR(VLOOKUP(Tabela3[[#This Row],[Produto]],Tabela2[],5,0),0)</f>
        <v>0.54000000000000015</v>
      </c>
      <c r="AG241" s="40">
        <f>IFERROR(VLOOKUP(Tabela3[[#This Row],[Produto]],Tabela2[],6,0),0)</f>
        <v>0</v>
      </c>
      <c r="AH241" s="40">
        <f>IFERROR(VLOOKUP(Tabela3[[#This Row],[Produto]],Tabela2[],7,0),0)</f>
        <v>3</v>
      </c>
      <c r="AI241" s="40">
        <f>IFERROR(VLOOKUP(Tabela3[[#This Row],[Produto]],Tabela2[],8,0),0)</f>
        <v>0.93</v>
      </c>
      <c r="AJ241" s="35">
        <f ca="1">IFERROR(VLOOKUP(Tabela3[[#This Row],[Produto]],Tabela2[],13,0),0)</f>
        <v>15.600000000000001</v>
      </c>
      <c r="AK241" s="40" t="str">
        <f>IFERROR(VLOOKUP(Tabela3[[#This Row],[Produto]],Tabela2[],14,0),0)</f>
        <v>Jumil</v>
      </c>
      <c r="AL241" s="40">
        <f>IFERROR(VLOOKUP(Tabela3[[#This Row],[Produto]],Tabela2[],15,0),0)</f>
        <v>8</v>
      </c>
      <c r="AM241" s="36">
        <f ca="1">(Tabela3[[#This Row],[Custo Usinagem]]+Tabela3[[#This Row],[Custo / Pç]])*1.2</f>
        <v>68.211398674929811</v>
      </c>
      <c r="AN241" s="36">
        <f ca="1">Tabela3[[#This Row],[Valor Mínimo Venda]]*1.15</f>
        <v>78.443108476169272</v>
      </c>
      <c r="AO241" s="36">
        <f ca="1">Tabela3[[#This Row],[Tabela 1]]*1.08</f>
        <v>84.718557154262825</v>
      </c>
      <c r="AP241" s="36">
        <f ca="1">Tabela3[[#This Row],[Tabela 2]]*1.15</f>
        <v>97.426340727402248</v>
      </c>
    </row>
    <row r="242" spans="1:42">
      <c r="A242" s="9">
        <v>45777</v>
      </c>
      <c r="B242" s="6" t="s">
        <v>265</v>
      </c>
      <c r="C242" s="14">
        <v>6491</v>
      </c>
      <c r="D242" s="6" t="s">
        <v>46</v>
      </c>
      <c r="E242" s="6" t="s">
        <v>53</v>
      </c>
      <c r="F242" s="6">
        <v>10</v>
      </c>
      <c r="G242" s="15">
        <v>5.486111111111111E-2</v>
      </c>
      <c r="H242" s="16">
        <v>0</v>
      </c>
      <c r="I242" s="35">
        <f ca="1">IFERROR(Tabela3[[#This Row],[Custo Total]]/Tabela3[[#This Row],[Aluminio Util]],0)</f>
        <v>27.191661511019635</v>
      </c>
      <c r="J242" s="35">
        <f ca="1">Tabela3[[#This Row],[Custo Total]]/Tabela3[[#This Row],[Realizado]]</f>
        <v>46.22582456873338</v>
      </c>
      <c r="K242" s="37">
        <f>IFERROR(Tabela3[[#This Row],[Qtde Cx Produzida]]/Tabela3[[#This Row],[Tempo]]/24,0)</f>
        <v>7.59493670886076</v>
      </c>
      <c r="L242" s="37">
        <f>Tabela3[[#This Row],[Qtde Cx Produzida]]*Tabela3[[#This Row],[Qdt Peça Placa]]</f>
        <v>10</v>
      </c>
      <c r="M242" s="37">
        <f>Tabela3[[#This Row],[Previsto]]-Tabela3[[#This Row],[Perda Pçs]]</f>
        <v>10</v>
      </c>
      <c r="N242" s="38">
        <f>IFERROR(Tabela3[[#This Row],[Perda Pçs]]/Tabela3[[#This Row],[Previsto]],0)</f>
        <v>0</v>
      </c>
      <c r="O242" s="39">
        <f>IFERROR(IF(Tabela3[[#This Row],[Qtde Cx Produzida]] &lt;&gt; 0, Tabela3[[#This Row],[Tempo]] / Tabela3[[#This Row],[Qtde Cx Produzida]], 0),0)</f>
        <v>5.4861111111111109E-3</v>
      </c>
      <c r="P242" s="57">
        <f>IFERROR(Tabela3[[#This Row],[Perda Pçs]]/Tabela3[[#This Row],[Qdt Peça Placa]],0)</f>
        <v>0</v>
      </c>
      <c r="Q242" s="37">
        <f>IFERROR(Tabela3[[#This Row],[Realizado]]*Tabela3[[#This Row],[Peso Util/Pç]],0)</f>
        <v>17</v>
      </c>
      <c r="R242" s="37">
        <f>IFERROR(Tabela3[[#This Row],[Peso Total Galho]]*Tabela3[[#This Row],[Qtde Cx Produzida]]*1.055,0)</f>
        <v>28.484999999999999</v>
      </c>
      <c r="S242" s="37">
        <f>(Tabela3[[#This Row],[Aluminio Bruto]]-Tabela3[[#This Row],[Aluminio Util]])*0.9</f>
        <v>10.336499999999999</v>
      </c>
      <c r="T242" s="37">
        <f>Tabela3[[#This Row],[Aluminio Bruto]]/OleoKGAluminio</f>
        <v>11.983602669248848</v>
      </c>
      <c r="U242" s="35">
        <f>IFERROR((VLOOKUP(Tabela3[[#This Row],[Moldador]],Tabela1[],5,)+(VLOOKUP(Tabela3[[#This Row],[Ajudante]],Tabela1[],5,))*3.5),0)</f>
        <v>99.95034583333333</v>
      </c>
      <c r="V242" s="35">
        <f>IFERROR(Tabela3[[#This Row],[Custo M.O. / H]]/((Tabela3[[#This Row],[Realizado]]/Tabela3[[#This Row],[Qdt Peça Placa]])/Tabela3[[#This Row],[Tempo]]/24),)</f>
        <v>13.160128868055555</v>
      </c>
      <c r="W242" s="35">
        <f>Tabela3[[#This Row],[Custo / Cx Moldada]]*Tabela3[[#This Row],[Qtde Cx Produzida]]</f>
        <v>131.60128868055554</v>
      </c>
      <c r="X242" s="35">
        <f ca="1">Tabela3[[#This Row],[Aluminio Util]]*Tabela3[[#This Row],[Custo/Kg]]</f>
        <v>299.20000000000005</v>
      </c>
      <c r="Y242" s="35">
        <f>IFERROR(VLOOKUP(Tabela3[[#This Row],[Data]],Tabela461213[],2,1)*(Tabela3[[#This Row],[Qtde Cx Produzida]]*Tabela3[[#This Row],[Qde macho / CX]]*Tabela3[[#This Row],[Peso Macho]]),)</f>
        <v>0</v>
      </c>
      <c r="Z242" s="35">
        <f>IFERROR(Tabela3[[#This Row],[Qtde Oleo]]*(VLOOKUP(Tabela3[[#This Row],[Data]],CompraOleo[],3,TRUE))*1.05,0)</f>
        <v>31.456957006778225</v>
      </c>
      <c r="AA242" s="47">
        <f ca="1">(Tabela3[[#This Row],[Custo Oleo]]+Tabela3[[#This Row],[Custo Aluminio]]+Tabela3[[#This Row],[Custo M.O. Total]]+Tabela3[[#This Row],[Custo Machos]])</f>
        <v>462.25824568733378</v>
      </c>
      <c r="AB242" s="47">
        <f ca="1">Tabela3[[#This Row],[Custo Total]]*Tabela3[[#This Row],[% Perda]]</f>
        <v>0</v>
      </c>
      <c r="AC242" s="48">
        <f>IFERROR(VLOOKUP(Tabela3[[#This Row],[Produto]],Tabela2[],2,0),0)</f>
        <v>1</v>
      </c>
      <c r="AD242" s="48">
        <f>IFERROR(VLOOKUP(Tabela3[[#This Row],[Produto]],Tabela2[],3,0),0)</f>
        <v>1.7</v>
      </c>
      <c r="AE242" s="48">
        <f>IFERROR(VLOOKUP(Tabela3[[#This Row],[Produto]],Tabela2[],4,0),0)</f>
        <v>2.7</v>
      </c>
      <c r="AF242" s="48">
        <f>IFERROR(VLOOKUP(Tabela3[[#This Row],[Produto]],Tabela2[],5,0),0)</f>
        <v>0.90000000000000024</v>
      </c>
      <c r="AG242" s="40">
        <f>IFERROR(VLOOKUP(Tabela3[[#This Row],[Produto]],Tabela2[],6,0),0)</f>
        <v>0</v>
      </c>
      <c r="AH242" s="40">
        <f>IFERROR(VLOOKUP(Tabela3[[#This Row],[Produto]],Tabela2[],7,0),0)</f>
        <v>0</v>
      </c>
      <c r="AI242" s="40">
        <f>IFERROR(VLOOKUP(Tabela3[[#This Row],[Produto]],Tabela2[],8,0),0)</f>
        <v>0</v>
      </c>
      <c r="AJ242" s="35">
        <f ca="1">IFERROR(VLOOKUP(Tabela3[[#This Row],[Produto]],Tabela2[],13,0),0)</f>
        <v>17.600000000000001</v>
      </c>
      <c r="AK242" s="40" t="str">
        <f>IFERROR(VLOOKUP(Tabela3[[#This Row],[Produto]],Tabela2[],14,0),0)</f>
        <v>Jumil</v>
      </c>
      <c r="AL242" s="40">
        <f>IFERROR(VLOOKUP(Tabela3[[#This Row],[Produto]],Tabela2[],15,0),0)</f>
        <v>80</v>
      </c>
      <c r="AM242" s="36">
        <f ca="1">(Tabela3[[#This Row],[Custo Usinagem]]+Tabela3[[#This Row],[Custo / Pç]])*1.2</f>
        <v>151.47098948248004</v>
      </c>
      <c r="AN242" s="36">
        <f ca="1">Tabela3[[#This Row],[Valor Mínimo Venda]]*1.15</f>
        <v>174.19163790485203</v>
      </c>
      <c r="AO242" s="36">
        <f ca="1">Tabela3[[#This Row],[Tabela 1]]*1.08</f>
        <v>188.12696893724021</v>
      </c>
      <c r="AP242" s="36">
        <f ca="1">Tabela3[[#This Row],[Tabela 2]]*1.15</f>
        <v>216.34601427782621</v>
      </c>
    </row>
    <row r="243" spans="1:42">
      <c r="A243" s="9">
        <v>45782</v>
      </c>
      <c r="B243" s="6" t="s">
        <v>272</v>
      </c>
      <c r="C243" s="14">
        <v>6492</v>
      </c>
      <c r="D243" s="6" t="s">
        <v>46</v>
      </c>
      <c r="E243" s="6" t="s">
        <v>53</v>
      </c>
      <c r="F243" s="6">
        <v>19</v>
      </c>
      <c r="G243" s="15">
        <v>7.2222222222222215E-2</v>
      </c>
      <c r="H243" s="16">
        <v>0</v>
      </c>
      <c r="I243" s="35">
        <f ca="1">IFERROR(Tabela3[[#This Row],[Custo Total]]/Tabela3[[#This Row],[Aluminio Util]],0)</f>
        <v>26.911681650415286</v>
      </c>
      <c r="J243" s="35">
        <f ca="1">Tabela3[[#This Row],[Custo Total]]/Tabela3[[#This Row],[Realizado]]</f>
        <v>37.138120677573092</v>
      </c>
      <c r="K243" s="37">
        <f>IFERROR(Tabela3[[#This Row],[Qtde Cx Produzida]]/Tabela3[[#This Row],[Tempo]]/24,0)</f>
        <v>10.961538461538462</v>
      </c>
      <c r="L243" s="37">
        <f>Tabela3[[#This Row],[Qtde Cx Produzida]]*Tabela3[[#This Row],[Qdt Peça Placa]]</f>
        <v>19</v>
      </c>
      <c r="M243" s="37">
        <f>Tabela3[[#This Row],[Previsto]]-Tabela3[[#This Row],[Perda Pçs]]</f>
        <v>19</v>
      </c>
      <c r="N243" s="38">
        <f>IFERROR(Tabela3[[#This Row],[Perda Pçs]]/Tabela3[[#This Row],[Previsto]],0)</f>
        <v>0</v>
      </c>
      <c r="O243" s="39">
        <f>IFERROR(IF(Tabela3[[#This Row],[Qtde Cx Produzida]] &lt;&gt; 0, Tabela3[[#This Row],[Tempo]] / Tabela3[[#This Row],[Qtde Cx Produzida]], 0),0)</f>
        <v>3.8011695906432744E-3</v>
      </c>
      <c r="P243" s="57">
        <f>IFERROR(Tabela3[[#This Row],[Perda Pçs]]/Tabela3[[#This Row],[Qdt Peça Placa]],0)</f>
        <v>0</v>
      </c>
      <c r="Q243" s="37">
        <f>IFERROR(Tabela3[[#This Row],[Realizado]]*Tabela3[[#This Row],[Peso Util/Pç]],0)</f>
        <v>26.22</v>
      </c>
      <c r="R243" s="37">
        <f>IFERROR(Tabela3[[#This Row],[Peso Total Galho]]*Tabela3[[#This Row],[Qtde Cx Produzida]]*1.055,0)</f>
        <v>39.689099999999996</v>
      </c>
      <c r="S243" s="37">
        <f>(Tabela3[[#This Row],[Aluminio Bruto]]-Tabela3[[#This Row],[Aluminio Util]])*0.9</f>
        <v>12.122189999999998</v>
      </c>
      <c r="T243" s="37">
        <f>Tabela3[[#This Row],[Aluminio Bruto]]/OleoKGAluminio</f>
        <v>16.697153052486726</v>
      </c>
      <c r="U243" s="35">
        <f>IFERROR((VLOOKUP(Tabela3[[#This Row],[Moldador]],Tabela1[],5,)+(VLOOKUP(Tabela3[[#This Row],[Ajudante]],Tabela1[],5,))*3.5),0)</f>
        <v>99.95034583333333</v>
      </c>
      <c r="V243" s="35">
        <f>IFERROR(Tabela3[[#This Row],[Custo M.O. / H]]/((Tabela3[[#This Row],[Realizado]]/Tabela3[[#This Row],[Qdt Peça Placa]])/Tabela3[[#This Row],[Tempo]]/24),)</f>
        <v>9.1182771637426896</v>
      </c>
      <c r="W243" s="35">
        <f>Tabela3[[#This Row],[Custo / Cx Moldada]]*Tabela3[[#This Row],[Qtde Cx Produzida]]</f>
        <v>173.24726611111112</v>
      </c>
      <c r="X243" s="35">
        <f ca="1">Tabela3[[#This Row],[Aluminio Util]]*Tabela3[[#This Row],[Custo/Kg]]</f>
        <v>409.03200000000004</v>
      </c>
      <c r="Y243" s="35">
        <f>IFERROR(VLOOKUP(Tabela3[[#This Row],[Data]],Tabela461213[],2,1)*(Tabela3[[#This Row],[Qtde Cx Produzida]]*Tabela3[[#This Row],[Qde macho / CX]]*Tabela3[[#This Row],[Peso Macho]]),)</f>
        <v>79.515000000000015</v>
      </c>
      <c r="Z243" s="35">
        <f>IFERROR(Tabela3[[#This Row],[Qtde Oleo]]*(VLOOKUP(Tabela3[[#This Row],[Data]],CompraOleo[],3,TRUE))*1.05,0)</f>
        <v>43.830026762777656</v>
      </c>
      <c r="AA243" s="47">
        <f ca="1">(Tabela3[[#This Row],[Custo Oleo]]+Tabela3[[#This Row],[Custo Aluminio]]+Tabela3[[#This Row],[Custo M.O. Total]]+Tabela3[[#This Row],[Custo Machos]])</f>
        <v>705.62429287388875</v>
      </c>
      <c r="AB243" s="47">
        <f ca="1">Tabela3[[#This Row],[Custo Total]]*Tabela3[[#This Row],[% Perda]]</f>
        <v>0</v>
      </c>
      <c r="AC243" s="48">
        <f>IFERROR(VLOOKUP(Tabela3[[#This Row],[Produto]],Tabela2[],2,0),0)</f>
        <v>1</v>
      </c>
      <c r="AD243" s="48">
        <f>IFERROR(VLOOKUP(Tabela3[[#This Row],[Produto]],Tabela2[],3,0),0)</f>
        <v>1.38</v>
      </c>
      <c r="AE243" s="48">
        <f>IFERROR(VLOOKUP(Tabela3[[#This Row],[Produto]],Tabela2[],4,0),0)</f>
        <v>1.98</v>
      </c>
      <c r="AF243" s="48">
        <f>IFERROR(VLOOKUP(Tabela3[[#This Row],[Produto]],Tabela2[],5,0),0)</f>
        <v>0.54000000000000015</v>
      </c>
      <c r="AG243" s="40">
        <f>IFERROR(VLOOKUP(Tabela3[[#This Row],[Produto]],Tabela2[],6,0),0)</f>
        <v>0</v>
      </c>
      <c r="AH243" s="40">
        <f>IFERROR(VLOOKUP(Tabela3[[#This Row],[Produto]],Tabela2[],7,0),0)</f>
        <v>3</v>
      </c>
      <c r="AI243" s="40">
        <f>IFERROR(VLOOKUP(Tabela3[[#This Row],[Produto]],Tabela2[],8,0),0)</f>
        <v>0.93</v>
      </c>
      <c r="AJ243" s="35">
        <f ca="1">IFERROR(VLOOKUP(Tabela3[[#This Row],[Produto]],Tabela2[],13,0),0)</f>
        <v>15.600000000000001</v>
      </c>
      <c r="AK243" s="40" t="str">
        <f>IFERROR(VLOOKUP(Tabela3[[#This Row],[Produto]],Tabela2[],14,0),0)</f>
        <v>Jumil</v>
      </c>
      <c r="AL243" s="40">
        <f>IFERROR(VLOOKUP(Tabela3[[#This Row],[Produto]],Tabela2[],15,0),0)</f>
        <v>8</v>
      </c>
      <c r="AM243" s="36">
        <f ca="1">(Tabela3[[#This Row],[Custo Usinagem]]+Tabela3[[#This Row],[Custo / Pç]])*1.2</f>
        <v>54.165744813087706</v>
      </c>
      <c r="AN243" s="36">
        <f ca="1">Tabela3[[#This Row],[Valor Mínimo Venda]]*1.15</f>
        <v>62.290606535050856</v>
      </c>
      <c r="AO243" s="36">
        <f ca="1">Tabela3[[#This Row],[Tabela 1]]*1.08</f>
        <v>67.273855057854931</v>
      </c>
      <c r="AP243" s="36">
        <f ca="1">Tabela3[[#This Row],[Tabela 2]]*1.15</f>
        <v>77.364933316533168</v>
      </c>
    </row>
    <row r="244" spans="1:42">
      <c r="A244" s="9">
        <v>45782</v>
      </c>
      <c r="B244" s="6" t="s">
        <v>241</v>
      </c>
      <c r="C244" s="14">
        <v>6501</v>
      </c>
      <c r="D244" s="6" t="s">
        <v>46</v>
      </c>
      <c r="E244" s="6" t="s">
        <v>53</v>
      </c>
      <c r="F244" s="6">
        <v>45</v>
      </c>
      <c r="G244" s="15">
        <v>0.24097222222222223</v>
      </c>
      <c r="H244" s="16">
        <v>15</v>
      </c>
      <c r="I244" s="35">
        <f ca="1">IFERROR(Tabela3[[#This Row],[Custo Total]]/Tabela3[[#This Row],[Aluminio Util]],0)</f>
        <v>24.089384117422689</v>
      </c>
      <c r="J244" s="35">
        <f ca="1">Tabela3[[#This Row],[Custo Total]]/Tabela3[[#This Row],[Realizado]]</f>
        <v>14.766792463980108</v>
      </c>
      <c r="K244" s="37">
        <f>IFERROR(Tabela3[[#This Row],[Qtde Cx Produzida]]/Tabela3[[#This Row],[Tempo]]/24,0)</f>
        <v>7.7809798270893369</v>
      </c>
      <c r="L244" s="37">
        <f>Tabela3[[#This Row],[Qtde Cx Produzida]]*Tabela3[[#This Row],[Qdt Peça Placa]]</f>
        <v>180</v>
      </c>
      <c r="M244" s="37">
        <f>Tabela3[[#This Row],[Previsto]]-Tabela3[[#This Row],[Perda Pçs]]</f>
        <v>165</v>
      </c>
      <c r="N244" s="38">
        <f>IFERROR(Tabela3[[#This Row],[Perda Pçs]]/Tabela3[[#This Row],[Previsto]],0)</f>
        <v>8.3333333333333329E-2</v>
      </c>
      <c r="O244" s="39">
        <f>IFERROR(IF(Tabela3[[#This Row],[Qtde Cx Produzida]] &lt;&gt; 0, Tabela3[[#This Row],[Tempo]] / Tabela3[[#This Row],[Qtde Cx Produzida]], 0),0)</f>
        <v>5.3549382716049383E-3</v>
      </c>
      <c r="P244" s="57">
        <f>IFERROR(Tabela3[[#This Row],[Perda Pçs]]/Tabela3[[#This Row],[Qdt Peça Placa]],0)</f>
        <v>3.75</v>
      </c>
      <c r="Q244" s="37">
        <f>IFERROR(Tabela3[[#This Row],[Realizado]]*Tabela3[[#This Row],[Peso Util/Pç]],0)</f>
        <v>101.145</v>
      </c>
      <c r="R244" s="37">
        <f>IFERROR(Tabela3[[#This Row],[Peso Total Galho]]*Tabela3[[#This Row],[Qtde Cx Produzida]]*1.055,0)</f>
        <v>206.51624999999996</v>
      </c>
      <c r="S244" s="37">
        <f>(Tabela3[[#This Row],[Aluminio Bruto]]-Tabela3[[#This Row],[Aluminio Util]])*0.9</f>
        <v>94.834124999999972</v>
      </c>
      <c r="T244" s="37">
        <f>Tabela3[[#This Row],[Aluminio Bruto]]/OleoKGAluminio</f>
        <v>86.881119352054128</v>
      </c>
      <c r="U244" s="35">
        <f>IFERROR((VLOOKUP(Tabela3[[#This Row],[Moldador]],Tabela1[],5,)+(VLOOKUP(Tabela3[[#This Row],[Ajudante]],Tabela1[],5,))*3.5),0)</f>
        <v>99.95034583333333</v>
      </c>
      <c r="V244" s="35">
        <f>IFERROR(Tabela3[[#This Row],[Custo M.O. / H]]/((Tabela3[[#This Row],[Realizado]]/Tabela3[[#This Row],[Qdt Peça Placa]])/Tabela3[[#This Row],[Tempo]]/24),)</f>
        <v>14.013240405723906</v>
      </c>
      <c r="W244" s="35">
        <f>Tabela3[[#This Row],[Custo / Cx Moldada]]*Tabela3[[#This Row],[Qtde Cx Produzida]]</f>
        <v>630.59581825757573</v>
      </c>
      <c r="X244" s="35">
        <f ca="1">Tabela3[[#This Row],[Aluminio Util]]*Tabela3[[#This Row],[Custo/Kg]]</f>
        <v>1577.8620000000001</v>
      </c>
      <c r="Y244" s="35">
        <f>IFERROR(VLOOKUP(Tabela3[[#This Row],[Data]],Tabela461213[],2,1)*(Tabela3[[#This Row],[Qtde Cx Produzida]]*Tabela3[[#This Row],[Qde macho / CX]]*Tabela3[[#This Row],[Peso Macho]]),)</f>
        <v>0</v>
      </c>
      <c r="Z244" s="35">
        <f>IFERROR(Tabela3[[#This Row],[Qtde Oleo]]*(VLOOKUP(Tabela3[[#This Row],[Data]],CompraOleo[],3,TRUE))*1.05,0)</f>
        <v>228.0629382991421</v>
      </c>
      <c r="AA244" s="47">
        <f ca="1">(Tabela3[[#This Row],[Custo Oleo]]+Tabela3[[#This Row],[Custo Aluminio]]+Tabela3[[#This Row],[Custo M.O. Total]]+Tabela3[[#This Row],[Custo Machos]])</f>
        <v>2436.520756556718</v>
      </c>
      <c r="AB244" s="47">
        <f ca="1">Tabela3[[#This Row],[Custo Total]]*Tabela3[[#This Row],[% Perda]]</f>
        <v>203.04339637972649</v>
      </c>
      <c r="AC244" s="48">
        <f>IFERROR(VLOOKUP(Tabela3[[#This Row],[Produto]],Tabela2[],2,0),0)</f>
        <v>4</v>
      </c>
      <c r="AD244" s="48">
        <f>IFERROR(VLOOKUP(Tabela3[[#This Row],[Produto]],Tabela2[],3,0),0)</f>
        <v>0.61299999999999999</v>
      </c>
      <c r="AE244" s="48">
        <f>IFERROR(VLOOKUP(Tabela3[[#This Row],[Produto]],Tabela2[],4,0),0)</f>
        <v>4.3499999999999996</v>
      </c>
      <c r="AF244" s="48">
        <f>IFERROR(VLOOKUP(Tabela3[[#This Row],[Produto]],Tabela2[],5,0),0)</f>
        <v>1.7081999999999997</v>
      </c>
      <c r="AG244" s="40">
        <f>IFERROR(VLOOKUP(Tabela3[[#This Row],[Produto]],Tabela2[],6,0),0)</f>
        <v>0</v>
      </c>
      <c r="AH244" s="40">
        <f>IFERROR(VLOOKUP(Tabela3[[#This Row],[Produto]],Tabela2[],7,0),0)</f>
        <v>0</v>
      </c>
      <c r="AI244" s="40">
        <f>IFERROR(VLOOKUP(Tabela3[[#This Row],[Produto]],Tabela2[],8,0),0)</f>
        <v>0</v>
      </c>
      <c r="AJ244" s="35">
        <f ca="1">IFERROR(VLOOKUP(Tabela3[[#This Row],[Produto]],Tabela2[],13,0),0)</f>
        <v>15.600000000000001</v>
      </c>
      <c r="AK244" s="40" t="str">
        <f>IFERROR(VLOOKUP(Tabela3[[#This Row],[Produto]],Tabela2[],14,0),0)</f>
        <v>Senun</v>
      </c>
      <c r="AL244" s="40">
        <f>IFERROR(VLOOKUP(Tabela3[[#This Row],[Produto]],Tabela2[],15,0),0)</f>
        <v>4</v>
      </c>
      <c r="AM244" s="36">
        <f ca="1">(Tabela3[[#This Row],[Custo Usinagem]]+Tabela3[[#This Row],[Custo / Pç]])*1.2</f>
        <v>22.520150956776131</v>
      </c>
      <c r="AN244" s="36">
        <f ca="1">Tabela3[[#This Row],[Valor Mínimo Venda]]*1.15</f>
        <v>25.898173600292548</v>
      </c>
      <c r="AO244" s="36">
        <f ca="1">Tabela3[[#This Row],[Tabela 1]]*1.08</f>
        <v>27.970027488315953</v>
      </c>
      <c r="AP244" s="36">
        <f ca="1">Tabela3[[#This Row],[Tabela 2]]*1.15</f>
        <v>32.165531611563345</v>
      </c>
    </row>
    <row r="245" spans="1:42">
      <c r="A245" s="9">
        <v>45783</v>
      </c>
      <c r="B245" s="6" t="s">
        <v>241</v>
      </c>
      <c r="C245" s="14">
        <v>6501</v>
      </c>
      <c r="D245" s="6" t="s">
        <v>46</v>
      </c>
      <c r="E245" s="6" t="s">
        <v>53</v>
      </c>
      <c r="F245" s="6">
        <v>5</v>
      </c>
      <c r="G245" s="15">
        <v>2.9861111111111113E-2</v>
      </c>
      <c r="H245" s="16">
        <v>0</v>
      </c>
      <c r="I245" s="35">
        <f ca="1">IFERROR(Tabela3[[#This Row],[Custo Total]]/Tabela3[[#This Row],[Aluminio Util]],0)</f>
        <v>23.509576481096087</v>
      </c>
      <c r="J245" s="35">
        <f ca="1">Tabela3[[#This Row],[Custo Total]]/Tabela3[[#This Row],[Realizado]]</f>
        <v>14.411370382911901</v>
      </c>
      <c r="K245" s="37">
        <f>IFERROR(Tabela3[[#This Row],[Qtde Cx Produzida]]/Tabela3[[#This Row],[Tempo]]/24,0)</f>
        <v>6.9767441860465107</v>
      </c>
      <c r="L245" s="37">
        <f>Tabela3[[#This Row],[Qtde Cx Produzida]]*Tabela3[[#This Row],[Qdt Peça Placa]]</f>
        <v>20</v>
      </c>
      <c r="M245" s="37">
        <f>Tabela3[[#This Row],[Previsto]]-Tabela3[[#This Row],[Perda Pçs]]</f>
        <v>20</v>
      </c>
      <c r="N245" s="38">
        <f>IFERROR(Tabela3[[#This Row],[Perda Pçs]]/Tabela3[[#This Row],[Previsto]],0)</f>
        <v>0</v>
      </c>
      <c r="O245" s="39">
        <f>IFERROR(IF(Tabela3[[#This Row],[Qtde Cx Produzida]] &lt;&gt; 0, Tabela3[[#This Row],[Tempo]] / Tabela3[[#This Row],[Qtde Cx Produzida]], 0),0)</f>
        <v>5.9722222222222225E-3</v>
      </c>
      <c r="P245" s="57">
        <f>IFERROR(Tabela3[[#This Row],[Perda Pçs]]/Tabela3[[#This Row],[Qdt Peça Placa]],0)</f>
        <v>0</v>
      </c>
      <c r="Q245" s="37">
        <f>IFERROR(Tabela3[[#This Row],[Realizado]]*Tabela3[[#This Row],[Peso Util/Pç]],0)</f>
        <v>12.26</v>
      </c>
      <c r="R245" s="37">
        <f>IFERROR(Tabela3[[#This Row],[Peso Total Galho]]*Tabela3[[#This Row],[Qtde Cx Produzida]]*1.055,0)</f>
        <v>22.946249999999999</v>
      </c>
      <c r="S245" s="37">
        <f>(Tabela3[[#This Row],[Aluminio Bruto]]-Tabela3[[#This Row],[Aluminio Util]])*0.9</f>
        <v>9.6176250000000003</v>
      </c>
      <c r="T245" s="37">
        <f>Tabela3[[#This Row],[Aluminio Bruto]]/OleoKGAluminio</f>
        <v>9.6534577057837936</v>
      </c>
      <c r="U245" s="35">
        <f>IFERROR((VLOOKUP(Tabela3[[#This Row],[Moldador]],Tabela1[],5,)+(VLOOKUP(Tabela3[[#This Row],[Ajudante]],Tabela1[],5,))*3.5),0)</f>
        <v>99.95034583333333</v>
      </c>
      <c r="V245" s="35">
        <f>IFERROR(Tabela3[[#This Row],[Custo M.O. / H]]/((Tabela3[[#This Row],[Realizado]]/Tabela3[[#This Row],[Qdt Peça Placa]])/Tabela3[[#This Row],[Tempo]]/24),)</f>
        <v>14.326216236111113</v>
      </c>
      <c r="W245" s="35">
        <f>Tabela3[[#This Row],[Custo / Cx Moldada]]*Tabela3[[#This Row],[Qtde Cx Produzida]]</f>
        <v>71.631081180555569</v>
      </c>
      <c r="X245" s="35">
        <f ca="1">Tabela3[[#This Row],[Aluminio Util]]*Tabela3[[#This Row],[Custo/Kg]]</f>
        <v>191.256</v>
      </c>
      <c r="Y245" s="35">
        <f>IFERROR(VLOOKUP(Tabela3[[#This Row],[Data]],Tabela461213[],2,1)*(Tabela3[[#This Row],[Qtde Cx Produzida]]*Tabela3[[#This Row],[Qde macho / CX]]*Tabela3[[#This Row],[Peso Macho]]),)</f>
        <v>0</v>
      </c>
      <c r="Z245" s="35">
        <f>IFERROR(Tabela3[[#This Row],[Qtde Oleo]]*(VLOOKUP(Tabela3[[#This Row],[Data]],CompraOleo[],3,TRUE))*1.05,0)</f>
        <v>25.34032647768246</v>
      </c>
      <c r="AA245" s="47">
        <f ca="1">(Tabela3[[#This Row],[Custo Oleo]]+Tabela3[[#This Row],[Custo Aluminio]]+Tabela3[[#This Row],[Custo M.O. Total]]+Tabela3[[#This Row],[Custo Machos]])</f>
        <v>288.22740765823801</v>
      </c>
      <c r="AB245" s="47">
        <f ca="1">Tabela3[[#This Row],[Custo Total]]*Tabela3[[#This Row],[% Perda]]</f>
        <v>0</v>
      </c>
      <c r="AC245" s="48">
        <f>IFERROR(VLOOKUP(Tabela3[[#This Row],[Produto]],Tabela2[],2,0),0)</f>
        <v>4</v>
      </c>
      <c r="AD245" s="48">
        <f>IFERROR(VLOOKUP(Tabela3[[#This Row],[Produto]],Tabela2[],3,0),0)</f>
        <v>0.61299999999999999</v>
      </c>
      <c r="AE245" s="48">
        <f>IFERROR(VLOOKUP(Tabela3[[#This Row],[Produto]],Tabela2[],4,0),0)</f>
        <v>4.3499999999999996</v>
      </c>
      <c r="AF245" s="48">
        <f>IFERROR(VLOOKUP(Tabela3[[#This Row],[Produto]],Tabela2[],5,0),0)</f>
        <v>1.7081999999999997</v>
      </c>
      <c r="AG245" s="40">
        <f>IFERROR(VLOOKUP(Tabela3[[#This Row],[Produto]],Tabela2[],6,0),0)</f>
        <v>0</v>
      </c>
      <c r="AH245" s="40">
        <f>IFERROR(VLOOKUP(Tabela3[[#This Row],[Produto]],Tabela2[],7,0),0)</f>
        <v>0</v>
      </c>
      <c r="AI245" s="40">
        <f>IFERROR(VLOOKUP(Tabela3[[#This Row],[Produto]],Tabela2[],8,0),0)</f>
        <v>0</v>
      </c>
      <c r="AJ245" s="35">
        <f ca="1">IFERROR(VLOOKUP(Tabela3[[#This Row],[Produto]],Tabela2[],13,0),0)</f>
        <v>15.600000000000001</v>
      </c>
      <c r="AK245" s="40" t="str">
        <f>IFERROR(VLOOKUP(Tabela3[[#This Row],[Produto]],Tabela2[],14,0),0)</f>
        <v>Senun</v>
      </c>
      <c r="AL245" s="40">
        <f>IFERROR(VLOOKUP(Tabela3[[#This Row],[Produto]],Tabela2[],15,0),0)</f>
        <v>4</v>
      </c>
      <c r="AM245" s="36">
        <f ca="1">(Tabela3[[#This Row],[Custo Usinagem]]+Tabela3[[#This Row],[Custo / Pç]])*1.2</f>
        <v>22.093644459494282</v>
      </c>
      <c r="AN245" s="36">
        <f ca="1">Tabela3[[#This Row],[Valor Mínimo Venda]]*1.15</f>
        <v>25.407691128418421</v>
      </c>
      <c r="AO245" s="36">
        <f ca="1">Tabela3[[#This Row],[Tabela 1]]*1.08</f>
        <v>27.440306418691897</v>
      </c>
      <c r="AP245" s="36">
        <f ca="1">Tabela3[[#This Row],[Tabela 2]]*1.15</f>
        <v>31.556352381495678</v>
      </c>
    </row>
    <row r="246" spans="1:42">
      <c r="A246" s="9">
        <v>45783</v>
      </c>
      <c r="B246" s="6" t="s">
        <v>91</v>
      </c>
      <c r="C246" s="14">
        <v>6503</v>
      </c>
      <c r="D246" s="6" t="s">
        <v>46</v>
      </c>
      <c r="E246" s="6" t="s">
        <v>53</v>
      </c>
      <c r="F246" s="6">
        <v>15</v>
      </c>
      <c r="G246" s="15">
        <v>8.611111111111111E-2</v>
      </c>
      <c r="H246" s="16">
        <v>0</v>
      </c>
      <c r="I246" s="35">
        <f ca="1">IFERROR(Tabela3[[#This Row],[Custo Total]]/Tabela3[[#This Row],[Aluminio Util]],0)</f>
        <v>37.331747023497805</v>
      </c>
      <c r="J246" s="35">
        <f ca="1">Tabela3[[#This Row],[Custo Total]]/Tabela3[[#This Row],[Realizado]]</f>
        <v>29.268089666422277</v>
      </c>
      <c r="K246" s="37">
        <f>IFERROR(Tabela3[[#This Row],[Qtde Cx Produzida]]/Tabela3[[#This Row],[Tempo]]/24,0)</f>
        <v>7.258064516129032</v>
      </c>
      <c r="L246" s="37">
        <f>Tabela3[[#This Row],[Qtde Cx Produzida]]*Tabela3[[#This Row],[Qdt Peça Placa]]</f>
        <v>60</v>
      </c>
      <c r="M246" s="37">
        <f>Tabela3[[#This Row],[Previsto]]-Tabela3[[#This Row],[Perda Pçs]]</f>
        <v>60</v>
      </c>
      <c r="N246" s="38">
        <f>IFERROR(Tabela3[[#This Row],[Perda Pçs]]/Tabela3[[#This Row],[Previsto]],0)</f>
        <v>0</v>
      </c>
      <c r="O246" s="39">
        <f>IFERROR(IF(Tabela3[[#This Row],[Qtde Cx Produzida]] &lt;&gt; 0, Tabela3[[#This Row],[Tempo]] / Tabela3[[#This Row],[Qtde Cx Produzida]], 0),0)</f>
        <v>5.7407407407407407E-3</v>
      </c>
      <c r="P246" s="57">
        <f>IFERROR(Tabela3[[#This Row],[Perda Pçs]]/Tabela3[[#This Row],[Qdt Peça Placa]],0)</f>
        <v>0</v>
      </c>
      <c r="Q246" s="37">
        <f>IFERROR(Tabela3[[#This Row],[Realizado]]*Tabela3[[#This Row],[Peso Util/Pç]],0)</f>
        <v>47.04</v>
      </c>
      <c r="R246" s="37">
        <f>IFERROR(Tabela3[[#This Row],[Peso Total Galho]]*Tabela3[[#This Row],[Qtde Cx Produzida]]*1.055,0)</f>
        <v>87.7971</v>
      </c>
      <c r="S246" s="37">
        <f>(Tabela3[[#This Row],[Aluminio Bruto]]-Tabela3[[#This Row],[Aluminio Util]])*0.9</f>
        <v>36.68139</v>
      </c>
      <c r="T246" s="37">
        <f>Tabela3[[#This Row],[Aluminio Bruto]]/OleoKGAluminio</f>
        <v>36.936126449440337</v>
      </c>
      <c r="U246" s="35">
        <f>IFERROR((VLOOKUP(Tabela3[[#This Row],[Moldador]],Tabela1[],5,)+(VLOOKUP(Tabela3[[#This Row],[Ajudante]],Tabela1[],5,))*3.5),0)</f>
        <v>99.95034583333333</v>
      </c>
      <c r="V246" s="35">
        <f>IFERROR(Tabela3[[#This Row],[Custo M.O. / H]]/((Tabela3[[#This Row],[Realizado]]/Tabela3[[#This Row],[Qdt Peça Placa]])/Tabela3[[#This Row],[Tempo]]/24),)</f>
        <v>13.770936537037038</v>
      </c>
      <c r="W246" s="35">
        <f>Tabela3[[#This Row],[Custo / Cx Moldada]]*Tabela3[[#This Row],[Qtde Cx Produzida]]</f>
        <v>206.56404805555556</v>
      </c>
      <c r="X246" s="35">
        <f ca="1">Tabela3[[#This Row],[Aluminio Util]]*Tabela3[[#This Row],[Custo/Kg]]</f>
        <v>733.82400000000007</v>
      </c>
      <c r="Y246" s="35">
        <f>IFERROR(VLOOKUP(Tabela3[[#This Row],[Data]],Tabela461213[],2,1)*(Tabela3[[#This Row],[Qtde Cx Produzida]]*Tabela3[[#This Row],[Qde macho / CX]]*Tabela3[[#This Row],[Peso Macho]]),)</f>
        <v>718.74</v>
      </c>
      <c r="Z246" s="35">
        <f>IFERROR(Tabela3[[#This Row],[Qtde Oleo]]*(VLOOKUP(Tabela3[[#This Row],[Data]],CompraOleo[],3,TRUE))*1.05,0)</f>
        <v>96.957331929780892</v>
      </c>
      <c r="AA246" s="47">
        <f ca="1">(Tabela3[[#This Row],[Custo Oleo]]+Tabela3[[#This Row],[Custo Aluminio]]+Tabela3[[#This Row],[Custo M.O. Total]]+Tabela3[[#This Row],[Custo Machos]])</f>
        <v>1756.0853799853367</v>
      </c>
      <c r="AB246" s="47">
        <f ca="1">Tabela3[[#This Row],[Custo Total]]*Tabela3[[#This Row],[% Perda]]</f>
        <v>0</v>
      </c>
      <c r="AC246" s="48">
        <f>IFERROR(VLOOKUP(Tabela3[[#This Row],[Produto]],Tabela2[],2,0),0)</f>
        <v>4</v>
      </c>
      <c r="AD246" s="48">
        <f>IFERROR(VLOOKUP(Tabela3[[#This Row],[Produto]],Tabela2[],3,0),0)</f>
        <v>0.78400000000000003</v>
      </c>
      <c r="AE246" s="48">
        <f>IFERROR(VLOOKUP(Tabela3[[#This Row],[Produto]],Tabela2[],4,0),0)</f>
        <v>5.548</v>
      </c>
      <c r="AF246" s="48">
        <f>IFERROR(VLOOKUP(Tabela3[[#This Row],[Produto]],Tabela2[],5,0),0)</f>
        <v>2.1707999999999998</v>
      </c>
      <c r="AG246" s="40">
        <f>IFERROR(VLOOKUP(Tabela3[[#This Row],[Produto]],Tabela2[],6,0),0)</f>
        <v>0</v>
      </c>
      <c r="AH246" s="40">
        <f>IFERROR(VLOOKUP(Tabela3[[#This Row],[Produto]],Tabela2[],7,0),0)</f>
        <v>12</v>
      </c>
      <c r="AI246" s="40">
        <f>IFERROR(VLOOKUP(Tabela3[[#This Row],[Produto]],Tabela2[],8,0),0)</f>
        <v>2.6619999999999999</v>
      </c>
      <c r="AJ246" s="35">
        <f ca="1">IFERROR(VLOOKUP(Tabela3[[#This Row],[Produto]],Tabela2[],13,0),0)</f>
        <v>15.600000000000001</v>
      </c>
      <c r="AK246" s="40" t="str">
        <f>IFERROR(VLOOKUP(Tabela3[[#This Row],[Produto]],Tabela2[],14,0),0)</f>
        <v>Jumil</v>
      </c>
      <c r="AL246" s="40">
        <f>IFERROR(VLOOKUP(Tabela3[[#This Row],[Produto]],Tabela2[],15,0),0)</f>
        <v>8</v>
      </c>
      <c r="AM246" s="36">
        <f ca="1">(Tabela3[[#This Row],[Custo Usinagem]]+Tabela3[[#This Row],[Custo / Pç]])*1.2</f>
        <v>44.721707599706733</v>
      </c>
      <c r="AN246" s="36">
        <f ca="1">Tabela3[[#This Row],[Valor Mínimo Venda]]*1.15</f>
        <v>51.429963739662739</v>
      </c>
      <c r="AO246" s="36">
        <f ca="1">Tabela3[[#This Row],[Tabela 1]]*1.08</f>
        <v>55.544360838835765</v>
      </c>
      <c r="AP246" s="36">
        <f ca="1">Tabela3[[#This Row],[Tabela 2]]*1.15</f>
        <v>63.876014964661124</v>
      </c>
    </row>
    <row r="247" spans="1:42">
      <c r="A247" s="9">
        <v>45783</v>
      </c>
      <c r="B247" s="6" t="s">
        <v>152</v>
      </c>
      <c r="C247" s="14">
        <v>6547</v>
      </c>
      <c r="D247" s="6" t="s">
        <v>46</v>
      </c>
      <c r="E247" s="6" t="s">
        <v>53</v>
      </c>
      <c r="F247" s="6">
        <v>2</v>
      </c>
      <c r="G247" s="15">
        <v>1.1805555555555555E-2</v>
      </c>
      <c r="H247" s="16">
        <v>0</v>
      </c>
      <c r="I247" s="35">
        <f ca="1">IFERROR(Tabela3[[#This Row],[Custo Total]]/Tabela3[[#This Row],[Aluminio Util]],0)</f>
        <v>28.284444069118415</v>
      </c>
      <c r="J247" s="35">
        <f ca="1">Tabela3[[#This Row],[Custo Total]]/Tabela3[[#This Row],[Realizado]]</f>
        <v>18.384888644926971</v>
      </c>
      <c r="K247" s="37">
        <f>IFERROR(Tabela3[[#This Row],[Qtde Cx Produzida]]/Tabela3[[#This Row],[Tempo]]/24,0)</f>
        <v>7.0588235294117645</v>
      </c>
      <c r="L247" s="37">
        <f>Tabela3[[#This Row],[Qtde Cx Produzida]]*Tabela3[[#This Row],[Qdt Peça Placa]]</f>
        <v>4</v>
      </c>
      <c r="M247" s="37">
        <f>Tabela3[[#This Row],[Previsto]]-Tabela3[[#This Row],[Perda Pçs]]</f>
        <v>4</v>
      </c>
      <c r="N247" s="38">
        <f>IFERROR(Tabela3[[#This Row],[Perda Pçs]]/Tabela3[[#This Row],[Previsto]],0)</f>
        <v>0</v>
      </c>
      <c r="O247" s="39">
        <f>IFERROR(IF(Tabela3[[#This Row],[Qtde Cx Produzida]] &lt;&gt; 0, Tabela3[[#This Row],[Tempo]] / Tabela3[[#This Row],[Qtde Cx Produzida]], 0),0)</f>
        <v>5.9027777777777776E-3</v>
      </c>
      <c r="P247" s="57">
        <f>IFERROR(Tabela3[[#This Row],[Perda Pçs]]/Tabela3[[#This Row],[Qdt Peça Placa]],0)</f>
        <v>0</v>
      </c>
      <c r="Q247" s="37">
        <f>IFERROR(Tabela3[[#This Row],[Realizado]]*Tabela3[[#This Row],[Peso Util/Pç]],0)</f>
        <v>2.6</v>
      </c>
      <c r="R247" s="37">
        <f>IFERROR(Tabela3[[#This Row],[Peso Total Galho]]*Tabela3[[#This Row],[Qtde Cx Produzida]]*1.055,0)</f>
        <v>4.22</v>
      </c>
      <c r="S247" s="37">
        <f>(Tabela3[[#This Row],[Aluminio Bruto]]-Tabela3[[#This Row],[Aluminio Util]])*0.9</f>
        <v>1.4579999999999997</v>
      </c>
      <c r="T247" s="37">
        <f>Tabela3[[#This Row],[Aluminio Bruto]]/OleoKGAluminio</f>
        <v>1.7753485435924219</v>
      </c>
      <c r="U247" s="35">
        <f>IFERROR((VLOOKUP(Tabela3[[#This Row],[Moldador]],Tabela1[],5,)+(VLOOKUP(Tabela3[[#This Row],[Ajudante]],Tabela1[],5,))*3.5),0)</f>
        <v>99.95034583333333</v>
      </c>
      <c r="V247" s="35">
        <f>IFERROR(Tabela3[[#This Row],[Custo M.O. / H]]/((Tabela3[[#This Row],[Realizado]]/Tabela3[[#This Row],[Qdt Peça Placa]])/Tabela3[[#This Row],[Tempo]]/24),)</f>
        <v>14.159632326388889</v>
      </c>
      <c r="W247" s="35">
        <f>Tabela3[[#This Row],[Custo / Cx Moldada]]*Tabela3[[#This Row],[Qtde Cx Produzida]]</f>
        <v>28.319264652777779</v>
      </c>
      <c r="X247" s="35">
        <f ca="1">Tabela3[[#This Row],[Aluminio Util]]*Tabela3[[#This Row],[Custo/Kg]]</f>
        <v>40.56</v>
      </c>
      <c r="Y247" s="35">
        <f>IFERROR(VLOOKUP(Tabela3[[#This Row],[Data]],Tabela461213[],2,1)*(Tabela3[[#This Row],[Qtde Cx Produzida]]*Tabela3[[#This Row],[Qde macho / CX]]*Tabela3[[#This Row],[Peso Macho]]),)</f>
        <v>0</v>
      </c>
      <c r="Z247" s="35">
        <f>IFERROR(Tabela3[[#This Row],[Qtde Oleo]]*(VLOOKUP(Tabela3[[#This Row],[Data]],CompraOleo[],3,TRUE))*1.05,0)</f>
        <v>4.6602899269301075</v>
      </c>
      <c r="AA247" s="47">
        <f ca="1">(Tabela3[[#This Row],[Custo Oleo]]+Tabela3[[#This Row],[Custo Aluminio]]+Tabela3[[#This Row],[Custo M.O. Total]]+Tabela3[[#This Row],[Custo Machos]])</f>
        <v>73.539554579707882</v>
      </c>
      <c r="AB247" s="47">
        <f ca="1">Tabela3[[#This Row],[Custo Total]]*Tabela3[[#This Row],[% Perda]]</f>
        <v>0</v>
      </c>
      <c r="AC247" s="48">
        <f>IFERROR(VLOOKUP(Tabela3[[#This Row],[Produto]],Tabela2[],2,0),0)</f>
        <v>2</v>
      </c>
      <c r="AD247" s="48">
        <f>IFERROR(VLOOKUP(Tabela3[[#This Row],[Produto]],Tabela2[],3,0),0)</f>
        <v>0.65</v>
      </c>
      <c r="AE247" s="48">
        <f>IFERROR(VLOOKUP(Tabela3[[#This Row],[Produto]],Tabela2[],4,0),0)</f>
        <v>2</v>
      </c>
      <c r="AF247" s="48">
        <f>IFERROR(VLOOKUP(Tabela3[[#This Row],[Produto]],Tabela2[],5,0),0)</f>
        <v>0.63</v>
      </c>
      <c r="AG247" s="40">
        <f>IFERROR(VLOOKUP(Tabela3[[#This Row],[Produto]],Tabela2[],6,0),0)</f>
        <v>0</v>
      </c>
      <c r="AH247" s="40">
        <f>IFERROR(VLOOKUP(Tabela3[[#This Row],[Produto]],Tabela2[],7,0),0)</f>
        <v>0</v>
      </c>
      <c r="AI247" s="40">
        <f>IFERROR(VLOOKUP(Tabela3[[#This Row],[Produto]],Tabela2[],8,0),0)</f>
        <v>0</v>
      </c>
      <c r="AJ247" s="35">
        <f ca="1">IFERROR(VLOOKUP(Tabela3[[#This Row],[Produto]],Tabela2[],13,0),0)</f>
        <v>15.600000000000001</v>
      </c>
      <c r="AK247" s="40" t="str">
        <f>IFERROR(VLOOKUP(Tabela3[[#This Row],[Produto]],Tabela2[],14,0),0)</f>
        <v>Senun</v>
      </c>
      <c r="AL247" s="40">
        <f>IFERROR(VLOOKUP(Tabela3[[#This Row],[Produto]],Tabela2[],15,0),0)</f>
        <v>5</v>
      </c>
      <c r="AM247" s="36">
        <f ca="1">(Tabela3[[#This Row],[Custo Usinagem]]+Tabela3[[#This Row],[Custo / Pç]])*1.2</f>
        <v>28.061866373912363</v>
      </c>
      <c r="AN247" s="36">
        <f ca="1">Tabela3[[#This Row],[Valor Mínimo Venda]]*1.15</f>
        <v>32.271146329999212</v>
      </c>
      <c r="AO247" s="36">
        <f ca="1">Tabela3[[#This Row],[Tabela 1]]*1.08</f>
        <v>34.852838036399149</v>
      </c>
      <c r="AP247" s="36">
        <f ca="1">Tabela3[[#This Row],[Tabela 2]]*1.15</f>
        <v>40.080763741859016</v>
      </c>
    </row>
    <row r="248" spans="1:42">
      <c r="A248" s="9">
        <v>45784</v>
      </c>
      <c r="B248" s="6" t="s">
        <v>152</v>
      </c>
      <c r="C248" s="14">
        <v>6547</v>
      </c>
      <c r="D248" s="6" t="s">
        <v>46</v>
      </c>
      <c r="E248" s="6" t="s">
        <v>53</v>
      </c>
      <c r="F248" s="6">
        <v>18</v>
      </c>
      <c r="G248" s="15">
        <v>8.1250000000000003E-2</v>
      </c>
      <c r="H248" s="16">
        <v>0</v>
      </c>
      <c r="I248" s="35">
        <f ca="1">IFERROR(Tabela3[[#This Row],[Custo Total]]/Tabela3[[#This Row],[Aluminio Util]],0)</f>
        <v>25.721614688776537</v>
      </c>
      <c r="J248" s="35">
        <f ca="1">Tabela3[[#This Row],[Custo Total]]/Tabela3[[#This Row],[Realizado]]</f>
        <v>16.719049547704753</v>
      </c>
      <c r="K248" s="37">
        <f>IFERROR(Tabela3[[#This Row],[Qtde Cx Produzida]]/Tabela3[[#This Row],[Tempo]]/24,0)</f>
        <v>9.2307692307692299</v>
      </c>
      <c r="L248" s="37">
        <f>Tabela3[[#This Row],[Qtde Cx Produzida]]*Tabela3[[#This Row],[Qdt Peça Placa]]</f>
        <v>36</v>
      </c>
      <c r="M248" s="37">
        <f>Tabela3[[#This Row],[Previsto]]-Tabela3[[#This Row],[Perda Pçs]]</f>
        <v>36</v>
      </c>
      <c r="N248" s="38">
        <f>IFERROR(Tabela3[[#This Row],[Perda Pçs]]/Tabela3[[#This Row],[Previsto]],0)</f>
        <v>0</v>
      </c>
      <c r="O248" s="39">
        <f>IFERROR(IF(Tabela3[[#This Row],[Qtde Cx Produzida]] &lt;&gt; 0, Tabela3[[#This Row],[Tempo]] / Tabela3[[#This Row],[Qtde Cx Produzida]], 0),0)</f>
        <v>4.5138888888888893E-3</v>
      </c>
      <c r="P248" s="57">
        <f>IFERROR(Tabela3[[#This Row],[Perda Pçs]]/Tabela3[[#This Row],[Qdt Peça Placa]],0)</f>
        <v>0</v>
      </c>
      <c r="Q248" s="37">
        <f>IFERROR(Tabela3[[#This Row],[Realizado]]*Tabela3[[#This Row],[Peso Util/Pç]],0)</f>
        <v>23.400000000000002</v>
      </c>
      <c r="R248" s="37">
        <f>IFERROR(Tabela3[[#This Row],[Peso Total Galho]]*Tabela3[[#This Row],[Qtde Cx Produzida]]*1.055,0)</f>
        <v>37.979999999999997</v>
      </c>
      <c r="S248" s="37">
        <f>(Tabela3[[#This Row],[Aluminio Bruto]]-Tabela3[[#This Row],[Aluminio Util]])*0.9</f>
        <v>13.121999999999996</v>
      </c>
      <c r="T248" s="37">
        <f>Tabela3[[#This Row],[Aluminio Bruto]]/OleoKGAluminio</f>
        <v>15.978136892331797</v>
      </c>
      <c r="U248" s="35">
        <f>IFERROR((VLOOKUP(Tabela3[[#This Row],[Moldador]],Tabela1[],5,)+(VLOOKUP(Tabela3[[#This Row],[Ajudante]],Tabela1[],5,))*3.5),0)</f>
        <v>99.95034583333333</v>
      </c>
      <c r="V248" s="35">
        <f>IFERROR(Tabela3[[#This Row],[Custo M.O. / H]]/((Tabela3[[#This Row],[Realizado]]/Tabela3[[#This Row],[Qdt Peça Placa]])/Tabela3[[#This Row],[Tempo]]/24),)</f>
        <v>10.827954131944445</v>
      </c>
      <c r="W248" s="35">
        <f>Tabela3[[#This Row],[Custo / Cx Moldada]]*Tabela3[[#This Row],[Qtde Cx Produzida]]</f>
        <v>194.90317437499999</v>
      </c>
      <c r="X248" s="35">
        <f ca="1">Tabela3[[#This Row],[Aluminio Util]]*Tabela3[[#This Row],[Custo/Kg]]</f>
        <v>365.04000000000008</v>
      </c>
      <c r="Y248" s="35">
        <f>IFERROR(VLOOKUP(Tabela3[[#This Row],[Data]],Tabela461213[],2,1)*(Tabela3[[#This Row],[Qtde Cx Produzida]]*Tabela3[[#This Row],[Qde macho / CX]]*Tabela3[[#This Row],[Peso Macho]]),)</f>
        <v>0</v>
      </c>
      <c r="Z248" s="35">
        <f>IFERROR(Tabela3[[#This Row],[Qtde Oleo]]*(VLOOKUP(Tabela3[[#This Row],[Data]],CompraOleo[],3,TRUE))*1.05,0)</f>
        <v>41.942609342370972</v>
      </c>
      <c r="AA248" s="47">
        <f ca="1">(Tabela3[[#This Row],[Custo Oleo]]+Tabela3[[#This Row],[Custo Aluminio]]+Tabela3[[#This Row],[Custo M.O. Total]]+Tabela3[[#This Row],[Custo Machos]])</f>
        <v>601.88578371737105</v>
      </c>
      <c r="AB248" s="47">
        <f ca="1">Tabela3[[#This Row],[Custo Total]]*Tabela3[[#This Row],[% Perda]]</f>
        <v>0</v>
      </c>
      <c r="AC248" s="48">
        <f>IFERROR(VLOOKUP(Tabela3[[#This Row],[Produto]],Tabela2[],2,0),0)</f>
        <v>2</v>
      </c>
      <c r="AD248" s="48">
        <f>IFERROR(VLOOKUP(Tabela3[[#This Row],[Produto]],Tabela2[],3,0),0)</f>
        <v>0.65</v>
      </c>
      <c r="AE248" s="48">
        <f>IFERROR(VLOOKUP(Tabela3[[#This Row],[Produto]],Tabela2[],4,0),0)</f>
        <v>2</v>
      </c>
      <c r="AF248" s="48">
        <f>IFERROR(VLOOKUP(Tabela3[[#This Row],[Produto]],Tabela2[],5,0),0)</f>
        <v>0.63</v>
      </c>
      <c r="AG248" s="40">
        <f>IFERROR(VLOOKUP(Tabela3[[#This Row],[Produto]],Tabela2[],6,0),0)</f>
        <v>0</v>
      </c>
      <c r="AH248" s="40">
        <f>IFERROR(VLOOKUP(Tabela3[[#This Row],[Produto]],Tabela2[],7,0),0)</f>
        <v>0</v>
      </c>
      <c r="AI248" s="40">
        <f>IFERROR(VLOOKUP(Tabela3[[#This Row],[Produto]],Tabela2[],8,0),0)</f>
        <v>0</v>
      </c>
      <c r="AJ248" s="35">
        <f ca="1">IFERROR(VLOOKUP(Tabela3[[#This Row],[Produto]],Tabela2[],13,0),0)</f>
        <v>15.600000000000001</v>
      </c>
      <c r="AK248" s="40" t="str">
        <f>IFERROR(VLOOKUP(Tabela3[[#This Row],[Produto]],Tabela2[],14,0),0)</f>
        <v>Senun</v>
      </c>
      <c r="AL248" s="40">
        <f>IFERROR(VLOOKUP(Tabela3[[#This Row],[Produto]],Tabela2[],15,0),0)</f>
        <v>5</v>
      </c>
      <c r="AM248" s="36">
        <f ca="1">(Tabela3[[#This Row],[Custo Usinagem]]+Tabela3[[#This Row],[Custo / Pç]])*1.2</f>
        <v>26.062859457245704</v>
      </c>
      <c r="AN248" s="36">
        <f ca="1">Tabela3[[#This Row],[Valor Mínimo Venda]]*1.15</f>
        <v>29.972288375832559</v>
      </c>
      <c r="AO248" s="36">
        <f ca="1">Tabela3[[#This Row],[Tabela 1]]*1.08</f>
        <v>32.370071445899164</v>
      </c>
      <c r="AP248" s="36">
        <f ca="1">Tabela3[[#This Row],[Tabela 2]]*1.15</f>
        <v>37.225582162784036</v>
      </c>
    </row>
    <row r="249" spans="1:42">
      <c r="A249" s="9">
        <v>45784</v>
      </c>
      <c r="B249" s="6" t="s">
        <v>132</v>
      </c>
      <c r="C249" s="14">
        <v>6553</v>
      </c>
      <c r="D249" s="6" t="s">
        <v>46</v>
      </c>
      <c r="E249" s="6" t="s">
        <v>53</v>
      </c>
      <c r="F249" s="6">
        <v>12</v>
      </c>
      <c r="G249" s="15">
        <v>7.0833333333333331E-2</v>
      </c>
      <c r="H249" s="16">
        <v>0</v>
      </c>
      <c r="I249" s="35">
        <f ca="1">IFERROR(Tabela3[[#This Row],[Custo Total]]/Tabela3[[#This Row],[Aluminio Util]],0)</f>
        <v>35.88418511377894</v>
      </c>
      <c r="J249" s="35">
        <f ca="1">Tabela3[[#This Row],[Custo Total]]/Tabela3[[#This Row],[Realizado]]</f>
        <v>15.60962052449384</v>
      </c>
      <c r="K249" s="37">
        <f>IFERROR(Tabela3[[#This Row],[Qtde Cx Produzida]]/Tabela3[[#This Row],[Tempo]]/24,0)</f>
        <v>7.0588235294117645</v>
      </c>
      <c r="L249" s="37">
        <f>Tabela3[[#This Row],[Qtde Cx Produzida]]*Tabela3[[#This Row],[Qdt Peça Placa]]</f>
        <v>24</v>
      </c>
      <c r="M249" s="37">
        <f>Tabela3[[#This Row],[Previsto]]-Tabela3[[#This Row],[Perda Pçs]]</f>
        <v>24</v>
      </c>
      <c r="N249" s="38">
        <f>IFERROR(Tabela3[[#This Row],[Perda Pçs]]/Tabela3[[#This Row],[Previsto]],0)</f>
        <v>0</v>
      </c>
      <c r="O249" s="39">
        <f>IFERROR(IF(Tabela3[[#This Row],[Qtde Cx Produzida]] &lt;&gt; 0, Tabela3[[#This Row],[Tempo]] / Tabela3[[#This Row],[Qtde Cx Produzida]], 0),0)</f>
        <v>5.9027777777777776E-3</v>
      </c>
      <c r="P249" s="57">
        <f>IFERROR(Tabela3[[#This Row],[Perda Pçs]]/Tabela3[[#This Row],[Qdt Peça Placa]],0)</f>
        <v>0</v>
      </c>
      <c r="Q249" s="37">
        <f>IFERROR(Tabela3[[#This Row],[Realizado]]*Tabela3[[#This Row],[Peso Util/Pç]],0)</f>
        <v>10.44</v>
      </c>
      <c r="R249" s="37">
        <f>IFERROR(Tabela3[[#This Row],[Peso Total Galho]]*Tabela3[[#This Row],[Qtde Cx Produzida]]*1.055,0)</f>
        <v>18.989999999999998</v>
      </c>
      <c r="S249" s="37">
        <f>(Tabela3[[#This Row],[Aluminio Bruto]]-Tabela3[[#This Row],[Aluminio Util]])*0.9</f>
        <v>7.6949999999999994</v>
      </c>
      <c r="T249" s="37">
        <f>Tabela3[[#This Row],[Aluminio Bruto]]/OleoKGAluminio</f>
        <v>7.9890684461658985</v>
      </c>
      <c r="U249" s="35">
        <f>IFERROR((VLOOKUP(Tabela3[[#This Row],[Moldador]],Tabela1[],5,)+(VLOOKUP(Tabela3[[#This Row],[Ajudante]],Tabela1[],5,))*3.5),0)</f>
        <v>99.95034583333333</v>
      </c>
      <c r="V249" s="35">
        <f>IFERROR(Tabela3[[#This Row],[Custo M.O. / H]]/((Tabela3[[#This Row],[Realizado]]/Tabela3[[#This Row],[Qdt Peça Placa]])/Tabela3[[#This Row],[Tempo]]/24),)</f>
        <v>14.159632326388889</v>
      </c>
      <c r="W249" s="35">
        <f>Tabela3[[#This Row],[Custo / Cx Moldada]]*Tabela3[[#This Row],[Qtde Cx Produzida]]</f>
        <v>169.91558791666668</v>
      </c>
      <c r="X249" s="35">
        <f ca="1">Tabela3[[#This Row],[Aluminio Util]]*Tabela3[[#This Row],[Custo/Kg]]</f>
        <v>183.744</v>
      </c>
      <c r="Y249" s="35">
        <f>IFERROR(VLOOKUP(Tabela3[[#This Row],[Data]],Tabela461213[],2,1)*(Tabela3[[#This Row],[Qtde Cx Produzida]]*Tabela3[[#This Row],[Qde macho / CX]]*Tabela3[[#This Row],[Peso Macho]]),)</f>
        <v>0</v>
      </c>
      <c r="Z249" s="35">
        <f>IFERROR(Tabela3[[#This Row],[Qtde Oleo]]*(VLOOKUP(Tabela3[[#This Row],[Data]],CompraOleo[],3,TRUE))*1.05,0)</f>
        <v>20.971304671185486</v>
      </c>
      <c r="AA249" s="47">
        <f ca="1">(Tabela3[[#This Row],[Custo Oleo]]+Tabela3[[#This Row],[Custo Aluminio]]+Tabela3[[#This Row],[Custo M.O. Total]]+Tabela3[[#This Row],[Custo Machos]])</f>
        <v>374.63089258785214</v>
      </c>
      <c r="AB249" s="47">
        <f ca="1">Tabela3[[#This Row],[Custo Total]]*Tabela3[[#This Row],[% Perda]]</f>
        <v>0</v>
      </c>
      <c r="AC249" s="48">
        <f>IFERROR(VLOOKUP(Tabela3[[#This Row],[Produto]],Tabela2[],2,0),0)</f>
        <v>2</v>
      </c>
      <c r="AD249" s="48">
        <f>IFERROR(VLOOKUP(Tabela3[[#This Row],[Produto]],Tabela2[],3,0),0)</f>
        <v>0.435</v>
      </c>
      <c r="AE249" s="48">
        <f>IFERROR(VLOOKUP(Tabela3[[#This Row],[Produto]],Tabela2[],4,0),0)</f>
        <v>1.5</v>
      </c>
      <c r="AF249" s="48">
        <f>IFERROR(VLOOKUP(Tabela3[[#This Row],[Produto]],Tabela2[],5,0),0)</f>
        <v>0.56700000000000006</v>
      </c>
      <c r="AG249" s="40">
        <f>IFERROR(VLOOKUP(Tabela3[[#This Row],[Produto]],Tabela2[],6,0),0)</f>
        <v>0</v>
      </c>
      <c r="AH249" s="40">
        <f>IFERROR(VLOOKUP(Tabela3[[#This Row],[Produto]],Tabela2[],7,0),0)</f>
        <v>0</v>
      </c>
      <c r="AI249" s="40">
        <f>IFERROR(VLOOKUP(Tabela3[[#This Row],[Produto]],Tabela2[],8,0),0)</f>
        <v>0</v>
      </c>
      <c r="AJ249" s="35">
        <f ca="1">IFERROR(VLOOKUP(Tabela3[[#This Row],[Produto]],Tabela2[],13,0),0)</f>
        <v>17.600000000000001</v>
      </c>
      <c r="AK249" s="40" t="str">
        <f>IFERROR(VLOOKUP(Tabela3[[#This Row],[Produto]],Tabela2[],14,0),0)</f>
        <v>Senun</v>
      </c>
      <c r="AL249" s="40">
        <f>IFERROR(VLOOKUP(Tabela3[[#This Row],[Produto]],Tabela2[],15,0),0)</f>
        <v>0</v>
      </c>
      <c r="AM249" s="36">
        <f ca="1">(Tabela3[[#This Row],[Custo Usinagem]]+Tabela3[[#This Row],[Custo / Pç]])*1.2</f>
        <v>18.731544629392609</v>
      </c>
      <c r="AN249" s="36">
        <f ca="1">Tabela3[[#This Row],[Valor Mínimo Venda]]*1.15</f>
        <v>21.541276323801497</v>
      </c>
      <c r="AO249" s="36">
        <f ca="1">Tabela3[[#This Row],[Tabela 1]]*1.08</f>
        <v>23.264578429705619</v>
      </c>
      <c r="AP249" s="36">
        <f ca="1">Tabela3[[#This Row],[Tabela 2]]*1.15</f>
        <v>26.754265194161459</v>
      </c>
    </row>
    <row r="250" spans="1:42">
      <c r="A250" s="9">
        <v>45784</v>
      </c>
      <c r="B250" s="6" t="s">
        <v>196</v>
      </c>
      <c r="C250" s="14">
        <v>6489</v>
      </c>
      <c r="D250" s="6" t="s">
        <v>46</v>
      </c>
      <c r="E250" s="6" t="s">
        <v>53</v>
      </c>
      <c r="F250" s="6">
        <v>6</v>
      </c>
      <c r="G250" s="15">
        <v>0.11041666666666666</v>
      </c>
      <c r="H250" s="16">
        <v>0</v>
      </c>
      <c r="I250" s="35">
        <f ca="1">IFERROR(Tabela3[[#This Row],[Custo Total]]/Tabela3[[#This Row],[Aluminio Util]],0)</f>
        <v>21.876473629253738</v>
      </c>
      <c r="J250" s="35">
        <f ca="1">Tabela3[[#This Row],[Custo Total]]/Tabela3[[#This Row],[Realizado]]</f>
        <v>322.45922129520005</v>
      </c>
      <c r="K250" s="37">
        <f>IFERROR(Tabela3[[#This Row],[Qtde Cx Produzida]]/Tabela3[[#This Row],[Tempo]]/24,0)</f>
        <v>2.2641509433962264</v>
      </c>
      <c r="L250" s="37">
        <f>Tabela3[[#This Row],[Qtde Cx Produzida]]*Tabela3[[#This Row],[Qdt Peça Placa]]</f>
        <v>6</v>
      </c>
      <c r="M250" s="37">
        <f>Tabela3[[#This Row],[Previsto]]-Tabela3[[#This Row],[Perda Pçs]]</f>
        <v>6</v>
      </c>
      <c r="N250" s="38">
        <f>IFERROR(Tabela3[[#This Row],[Perda Pçs]]/Tabela3[[#This Row],[Previsto]],0)</f>
        <v>0</v>
      </c>
      <c r="O250" s="39">
        <f>IFERROR(IF(Tabela3[[#This Row],[Qtde Cx Produzida]] &lt;&gt; 0, Tabela3[[#This Row],[Tempo]] / Tabela3[[#This Row],[Qtde Cx Produzida]], 0),0)</f>
        <v>1.8402777777777778E-2</v>
      </c>
      <c r="P250" s="57">
        <f>IFERROR(Tabela3[[#This Row],[Perda Pçs]]/Tabela3[[#This Row],[Qdt Peça Placa]],0)</f>
        <v>0</v>
      </c>
      <c r="Q250" s="37">
        <f>IFERROR(Tabela3[[#This Row],[Realizado]]*Tabela3[[#This Row],[Peso Util/Pç]],0)</f>
        <v>88.44</v>
      </c>
      <c r="R250" s="37">
        <f>IFERROR(Tabela3[[#This Row],[Peso Total Galho]]*Tabela3[[#This Row],[Qtde Cx Produzida]]*1.055,0)</f>
        <v>102.63461999999998</v>
      </c>
      <c r="S250" s="37">
        <f>(Tabela3[[#This Row],[Aluminio Bruto]]-Tabela3[[#This Row],[Aluminio Util]])*0.9</f>
        <v>12.775157999999989</v>
      </c>
      <c r="T250" s="37">
        <f>Tabela3[[#This Row],[Aluminio Bruto]]/OleoKGAluminio</f>
        <v>43.17825192871129</v>
      </c>
      <c r="U250" s="35">
        <f>IFERROR((VLOOKUP(Tabela3[[#This Row],[Moldador]],Tabela1[],5,)+(VLOOKUP(Tabela3[[#This Row],[Ajudante]],Tabela1[],5,))*3.5),0)</f>
        <v>99.95034583333333</v>
      </c>
      <c r="V250" s="35">
        <f>IFERROR(Tabela3[[#This Row],[Custo M.O. / H]]/((Tabela3[[#This Row],[Realizado]]/Tabela3[[#This Row],[Qdt Peça Placa]])/Tabela3[[#This Row],[Tempo]]/24),)</f>
        <v>44.144736076388888</v>
      </c>
      <c r="W250" s="35">
        <f>Tabela3[[#This Row],[Custo / Cx Moldada]]*Tabela3[[#This Row],[Qtde Cx Produzida]]</f>
        <v>264.86841645833334</v>
      </c>
      <c r="X250" s="35">
        <f ca="1">Tabela3[[#This Row],[Aluminio Util]]*Tabela3[[#This Row],[Custo/Kg]]</f>
        <v>1556.5440000000001</v>
      </c>
      <c r="Y250" s="35">
        <f>IFERROR(VLOOKUP(Tabela3[[#This Row],[Data]],Tabela461213[],2,1)*(Tabela3[[#This Row],[Qtde Cx Produzida]]*Tabela3[[#This Row],[Qde macho / CX]]*Tabela3[[#This Row],[Peso Macho]]),)</f>
        <v>0</v>
      </c>
      <c r="Z250" s="35">
        <f>IFERROR(Tabela3[[#This Row],[Qtde Oleo]]*(VLOOKUP(Tabela3[[#This Row],[Data]],CompraOleo[],3,TRUE))*1.05,0)</f>
        <v>113.34291131286714</v>
      </c>
      <c r="AA250" s="47">
        <f ca="1">(Tabela3[[#This Row],[Custo Oleo]]+Tabela3[[#This Row],[Custo Aluminio]]+Tabela3[[#This Row],[Custo M.O. Total]]+Tabela3[[#This Row],[Custo Machos]])</f>
        <v>1934.7553277712004</v>
      </c>
      <c r="AB250" s="47">
        <f ca="1">Tabela3[[#This Row],[Custo Total]]*Tabela3[[#This Row],[% Perda]]</f>
        <v>0</v>
      </c>
      <c r="AC250" s="48">
        <f>IFERROR(VLOOKUP(Tabela3[[#This Row],[Produto]],Tabela2[],2,0),0)</f>
        <v>1</v>
      </c>
      <c r="AD250" s="48">
        <f>IFERROR(VLOOKUP(Tabela3[[#This Row],[Produto]],Tabela2[],3,0),0)</f>
        <v>14.74</v>
      </c>
      <c r="AE250" s="48">
        <f>IFERROR(VLOOKUP(Tabela3[[#This Row],[Produto]],Tabela2[],4,0),0)</f>
        <v>16.213999999999999</v>
      </c>
      <c r="AF250" s="48">
        <f>IFERROR(VLOOKUP(Tabela3[[#This Row],[Produto]],Tabela2[],5,0),0)</f>
        <v>1.3265999999999987</v>
      </c>
      <c r="AG250" s="40">
        <f>IFERROR(VLOOKUP(Tabela3[[#This Row],[Produto]],Tabela2[],6,0),0)</f>
        <v>0</v>
      </c>
      <c r="AH250" s="40">
        <f>IFERROR(VLOOKUP(Tabela3[[#This Row],[Produto]],Tabela2[],7,0),0)</f>
        <v>0</v>
      </c>
      <c r="AI250" s="40">
        <f>IFERROR(VLOOKUP(Tabela3[[#This Row],[Produto]],Tabela2[],8,0),0)</f>
        <v>0</v>
      </c>
      <c r="AJ250" s="35">
        <f ca="1">IFERROR(VLOOKUP(Tabela3[[#This Row],[Produto]],Tabela2[],13,0),0)</f>
        <v>17.600000000000001</v>
      </c>
      <c r="AK250" s="40" t="str">
        <f>IFERROR(VLOOKUP(Tabela3[[#This Row],[Produto]],Tabela2[],14,0),0)</f>
        <v>Oscar</v>
      </c>
      <c r="AL250" s="40">
        <f>IFERROR(VLOOKUP(Tabela3[[#This Row],[Produto]],Tabela2[],15,0),0)</f>
        <v>0</v>
      </c>
      <c r="AM250" s="36">
        <f ca="1">(Tabela3[[#This Row],[Custo Usinagem]]+Tabela3[[#This Row],[Custo / Pç]])*1.2</f>
        <v>386.95106555424007</v>
      </c>
      <c r="AN250" s="36">
        <f ca="1">Tabela3[[#This Row],[Valor Mínimo Venda]]*1.15</f>
        <v>444.99372538737606</v>
      </c>
      <c r="AO250" s="36">
        <f ca="1">Tabela3[[#This Row],[Tabela 1]]*1.08</f>
        <v>480.59322341836616</v>
      </c>
      <c r="AP250" s="36">
        <f ca="1">Tabela3[[#This Row],[Tabela 2]]*1.15</f>
        <v>552.68220693112107</v>
      </c>
    </row>
    <row r="251" spans="1:42">
      <c r="A251" s="9">
        <v>45785</v>
      </c>
      <c r="B251" s="6" t="s">
        <v>132</v>
      </c>
      <c r="C251" s="14">
        <v>6553</v>
      </c>
      <c r="D251" s="6" t="s">
        <v>46</v>
      </c>
      <c r="E251" s="6" t="s">
        <v>53</v>
      </c>
      <c r="F251" s="6">
        <v>8</v>
      </c>
      <c r="G251" s="15">
        <v>3.2638888888888891E-2</v>
      </c>
      <c r="H251" s="16">
        <v>0</v>
      </c>
      <c r="I251" s="35">
        <f ca="1">IFERROR(Tabela3[[#This Row],[Custo Total]]/Tabela3[[#This Row],[Aluminio Util]],0)</f>
        <v>30.857946458367067</v>
      </c>
      <c r="J251" s="35">
        <f ca="1">Tabela3[[#This Row],[Custo Total]]/Tabela3[[#This Row],[Realizado]]</f>
        <v>13.423206709389675</v>
      </c>
      <c r="K251" s="37">
        <f>IFERROR(Tabela3[[#This Row],[Qtde Cx Produzida]]/Tabela3[[#This Row],[Tempo]]/24,0)</f>
        <v>10.212765957446807</v>
      </c>
      <c r="L251" s="37">
        <f>Tabela3[[#This Row],[Qtde Cx Produzida]]*Tabela3[[#This Row],[Qdt Peça Placa]]</f>
        <v>16</v>
      </c>
      <c r="M251" s="37">
        <f>Tabela3[[#This Row],[Previsto]]-Tabela3[[#This Row],[Perda Pçs]]</f>
        <v>16</v>
      </c>
      <c r="N251" s="38">
        <f>IFERROR(Tabela3[[#This Row],[Perda Pçs]]/Tabela3[[#This Row],[Previsto]],0)</f>
        <v>0</v>
      </c>
      <c r="O251" s="39">
        <f>IFERROR(IF(Tabela3[[#This Row],[Qtde Cx Produzida]] &lt;&gt; 0, Tabela3[[#This Row],[Tempo]] / Tabela3[[#This Row],[Qtde Cx Produzida]], 0),0)</f>
        <v>4.0798611111111114E-3</v>
      </c>
      <c r="P251" s="57">
        <f>IFERROR(Tabela3[[#This Row],[Perda Pçs]]/Tabela3[[#This Row],[Qdt Peça Placa]],0)</f>
        <v>0</v>
      </c>
      <c r="Q251" s="37">
        <f>IFERROR(Tabela3[[#This Row],[Realizado]]*Tabela3[[#This Row],[Peso Util/Pç]],0)</f>
        <v>6.96</v>
      </c>
      <c r="R251" s="37">
        <f>IFERROR(Tabela3[[#This Row],[Peso Total Galho]]*Tabela3[[#This Row],[Qtde Cx Produzida]]*1.055,0)</f>
        <v>12.66</v>
      </c>
      <c r="S251" s="37">
        <f>(Tabela3[[#This Row],[Aluminio Bruto]]-Tabela3[[#This Row],[Aluminio Util]])*0.9</f>
        <v>5.13</v>
      </c>
      <c r="T251" s="37">
        <f>Tabela3[[#This Row],[Aluminio Bruto]]/OleoKGAluminio</f>
        <v>5.3260456307772657</v>
      </c>
      <c r="U251" s="35">
        <f>IFERROR((VLOOKUP(Tabela3[[#This Row],[Moldador]],Tabela1[],5,)+(VLOOKUP(Tabela3[[#This Row],[Ajudante]],Tabela1[],5,))*3.5),0)</f>
        <v>99.95034583333333</v>
      </c>
      <c r="V251" s="35">
        <f>IFERROR(Tabela3[[#This Row],[Custo M.O. / H]]/((Tabela3[[#This Row],[Realizado]]/Tabela3[[#This Row],[Qdt Peça Placa]])/Tabela3[[#This Row],[Tempo]]/24),)</f>
        <v>9.7868046961805568</v>
      </c>
      <c r="W251" s="35">
        <f>Tabela3[[#This Row],[Custo / Cx Moldada]]*Tabela3[[#This Row],[Qtde Cx Produzida]]</f>
        <v>78.294437569444455</v>
      </c>
      <c r="X251" s="35">
        <f ca="1">Tabela3[[#This Row],[Aluminio Util]]*Tabela3[[#This Row],[Custo/Kg]]</f>
        <v>122.49600000000001</v>
      </c>
      <c r="Y251" s="35">
        <f>IFERROR(VLOOKUP(Tabela3[[#This Row],[Data]],Tabela461213[],2,1)*(Tabela3[[#This Row],[Qtde Cx Produzida]]*Tabela3[[#This Row],[Qde macho / CX]]*Tabela3[[#This Row],[Peso Macho]]),)</f>
        <v>0</v>
      </c>
      <c r="Z251" s="35">
        <f>IFERROR(Tabela3[[#This Row],[Qtde Oleo]]*(VLOOKUP(Tabela3[[#This Row],[Data]],CompraOleo[],3,TRUE))*1.05,0)</f>
        <v>13.980869780790323</v>
      </c>
      <c r="AA251" s="47">
        <f ca="1">(Tabela3[[#This Row],[Custo Oleo]]+Tabela3[[#This Row],[Custo Aluminio]]+Tabela3[[#This Row],[Custo M.O. Total]]+Tabela3[[#This Row],[Custo Machos]])</f>
        <v>214.77130735023479</v>
      </c>
      <c r="AB251" s="47">
        <f ca="1">Tabela3[[#This Row],[Custo Total]]*Tabela3[[#This Row],[% Perda]]</f>
        <v>0</v>
      </c>
      <c r="AC251" s="48">
        <f>IFERROR(VLOOKUP(Tabela3[[#This Row],[Produto]],Tabela2[],2,0),0)</f>
        <v>2</v>
      </c>
      <c r="AD251" s="48">
        <f>IFERROR(VLOOKUP(Tabela3[[#This Row],[Produto]],Tabela2[],3,0),0)</f>
        <v>0.435</v>
      </c>
      <c r="AE251" s="48">
        <f>IFERROR(VLOOKUP(Tabela3[[#This Row],[Produto]],Tabela2[],4,0),0)</f>
        <v>1.5</v>
      </c>
      <c r="AF251" s="48">
        <f>IFERROR(VLOOKUP(Tabela3[[#This Row],[Produto]],Tabela2[],5,0),0)</f>
        <v>0.56700000000000006</v>
      </c>
      <c r="AG251" s="40">
        <f>IFERROR(VLOOKUP(Tabela3[[#This Row],[Produto]],Tabela2[],6,0),0)</f>
        <v>0</v>
      </c>
      <c r="AH251" s="40">
        <f>IFERROR(VLOOKUP(Tabela3[[#This Row],[Produto]],Tabela2[],7,0),0)</f>
        <v>0</v>
      </c>
      <c r="AI251" s="40">
        <f>IFERROR(VLOOKUP(Tabela3[[#This Row],[Produto]],Tabela2[],8,0),0)</f>
        <v>0</v>
      </c>
      <c r="AJ251" s="35">
        <f ca="1">IFERROR(VLOOKUP(Tabela3[[#This Row],[Produto]],Tabela2[],13,0),0)</f>
        <v>17.600000000000001</v>
      </c>
      <c r="AK251" s="40" t="str">
        <f>IFERROR(VLOOKUP(Tabela3[[#This Row],[Produto]],Tabela2[],14,0),0)</f>
        <v>Senun</v>
      </c>
      <c r="AL251" s="40">
        <f>IFERROR(VLOOKUP(Tabela3[[#This Row],[Produto]],Tabela2[],15,0),0)</f>
        <v>0</v>
      </c>
      <c r="AM251" s="36">
        <f ca="1">(Tabela3[[#This Row],[Custo Usinagem]]+Tabela3[[#This Row],[Custo / Pç]])*1.2</f>
        <v>16.107848051267609</v>
      </c>
      <c r="AN251" s="36">
        <f ca="1">Tabela3[[#This Row],[Valor Mínimo Venda]]*1.15</f>
        <v>18.524025258957749</v>
      </c>
      <c r="AO251" s="36">
        <f ca="1">Tabela3[[#This Row],[Tabela 1]]*1.08</f>
        <v>20.00594727967437</v>
      </c>
      <c r="AP251" s="36">
        <f ca="1">Tabela3[[#This Row],[Tabela 2]]*1.15</f>
        <v>23.006839371625524</v>
      </c>
    </row>
    <row r="252" spans="1:42">
      <c r="A252" s="9">
        <v>45785</v>
      </c>
      <c r="B252" s="6" t="s">
        <v>249</v>
      </c>
      <c r="C252" s="14">
        <v>6548</v>
      </c>
      <c r="D252" s="6" t="s">
        <v>46</v>
      </c>
      <c r="E252" s="6" t="s">
        <v>53</v>
      </c>
      <c r="F252" s="6">
        <v>25</v>
      </c>
      <c r="G252" s="15">
        <v>9.583333333333334E-2</v>
      </c>
      <c r="H252" s="16">
        <v>15</v>
      </c>
      <c r="I252" s="35">
        <f ca="1">IFERROR(Tabela3[[#This Row],[Custo Total]]/Tabela3[[#This Row],[Aluminio Util]],0)</f>
        <v>27.32826839028559</v>
      </c>
      <c r="J252" s="35">
        <f ca="1">Tabela3[[#This Row],[Custo Total]]/Tabela3[[#This Row],[Realizado]]</f>
        <v>9.3462677894776736</v>
      </c>
      <c r="K252" s="37">
        <f>IFERROR(Tabela3[[#This Row],[Qtde Cx Produzida]]/Tabela3[[#This Row],[Tempo]]/24,0)</f>
        <v>10.869565217391305</v>
      </c>
      <c r="L252" s="37">
        <f>Tabela3[[#This Row],[Qtde Cx Produzida]]*Tabela3[[#This Row],[Qdt Peça Placa]]</f>
        <v>100</v>
      </c>
      <c r="M252" s="37">
        <f>Tabela3[[#This Row],[Previsto]]-Tabela3[[#This Row],[Perda Pçs]]</f>
        <v>85</v>
      </c>
      <c r="N252" s="38">
        <f>IFERROR(Tabela3[[#This Row],[Perda Pçs]]/Tabela3[[#This Row],[Previsto]],0)</f>
        <v>0.15</v>
      </c>
      <c r="O252" s="39">
        <f>IFERROR(IF(Tabela3[[#This Row],[Qtde Cx Produzida]] &lt;&gt; 0, Tabela3[[#This Row],[Tempo]] / Tabela3[[#This Row],[Qtde Cx Produzida]], 0),0)</f>
        <v>3.8333333333333336E-3</v>
      </c>
      <c r="P252" s="57">
        <f>IFERROR(Tabela3[[#This Row],[Perda Pçs]]/Tabela3[[#This Row],[Qdt Peça Placa]],0)</f>
        <v>3.75</v>
      </c>
      <c r="Q252" s="37">
        <f>IFERROR(Tabela3[[#This Row],[Realizado]]*Tabela3[[#This Row],[Peso Util/Pç]],0)</f>
        <v>29.070000000000004</v>
      </c>
      <c r="R252" s="37">
        <f>IFERROR(Tabela3[[#This Row],[Peso Total Galho]]*Tabela3[[#This Row],[Qtde Cx Produzida]]*1.055,0)</f>
        <v>63.827499999999993</v>
      </c>
      <c r="S252" s="37">
        <f>(Tabela3[[#This Row],[Aluminio Bruto]]-Tabela3[[#This Row],[Aluminio Util]])*0.9</f>
        <v>31.281749999999995</v>
      </c>
      <c r="T252" s="37">
        <f>Tabela3[[#This Row],[Aluminio Bruto]]/OleoKGAluminio</f>
        <v>26.852146721835378</v>
      </c>
      <c r="U252" s="35">
        <f>IFERROR((VLOOKUP(Tabela3[[#This Row],[Moldador]],Tabela1[],5,)+(VLOOKUP(Tabela3[[#This Row],[Ajudante]],Tabela1[],5,))*3.5),0)</f>
        <v>99.95034583333333</v>
      </c>
      <c r="V252" s="35">
        <f>IFERROR(Tabela3[[#This Row],[Custo M.O. / H]]/((Tabela3[[#This Row],[Realizado]]/Tabela3[[#This Row],[Qdt Peça Placa]])/Tabela3[[#This Row],[Tempo]]/24),)</f>
        <v>10.818155078431374</v>
      </c>
      <c r="W252" s="35">
        <f>Tabela3[[#This Row],[Custo / Cx Moldada]]*Tabela3[[#This Row],[Qtde Cx Produzida]]</f>
        <v>270.45387696078433</v>
      </c>
      <c r="X252" s="35">
        <f ca="1">Tabela3[[#This Row],[Aluminio Util]]*Tabela3[[#This Row],[Custo/Kg]]</f>
        <v>453.49200000000008</v>
      </c>
      <c r="Y252" s="35">
        <f>IFERROR(VLOOKUP(Tabela3[[#This Row],[Data]],Tabela461213[],2,1)*(Tabela3[[#This Row],[Qtde Cx Produzida]]*Tabela3[[#This Row],[Qde macho / CX]]*Tabela3[[#This Row],[Peso Macho]]),)</f>
        <v>0</v>
      </c>
      <c r="Z252" s="35">
        <f>IFERROR(Tabela3[[#This Row],[Qtde Oleo]]*(VLOOKUP(Tabela3[[#This Row],[Data]],CompraOleo[],3,TRUE))*1.05,0)</f>
        <v>70.486885144817876</v>
      </c>
      <c r="AA252" s="47">
        <f ca="1">(Tabela3[[#This Row],[Custo Oleo]]+Tabela3[[#This Row],[Custo Aluminio]]+Tabela3[[#This Row],[Custo M.O. Total]]+Tabela3[[#This Row],[Custo Machos]])</f>
        <v>794.43276210560225</v>
      </c>
      <c r="AB252" s="47">
        <f ca="1">Tabela3[[#This Row],[Custo Total]]*Tabela3[[#This Row],[% Perda]]</f>
        <v>119.16491431584033</v>
      </c>
      <c r="AC252" s="48">
        <f>IFERROR(VLOOKUP(Tabela3[[#This Row],[Produto]],Tabela2[],2,0),0)</f>
        <v>4</v>
      </c>
      <c r="AD252" s="48">
        <f>IFERROR(VLOOKUP(Tabela3[[#This Row],[Produto]],Tabela2[],3,0),0)</f>
        <v>0.34200000000000003</v>
      </c>
      <c r="AE252" s="48">
        <f>IFERROR(VLOOKUP(Tabela3[[#This Row],[Produto]],Tabela2[],4,0),0)</f>
        <v>2.42</v>
      </c>
      <c r="AF252" s="48">
        <f>IFERROR(VLOOKUP(Tabela3[[#This Row],[Produto]],Tabela2[],5,0),0)</f>
        <v>0.94679999999999986</v>
      </c>
      <c r="AG252" s="40">
        <f>IFERROR(VLOOKUP(Tabela3[[#This Row],[Produto]],Tabela2[],6,0),0)</f>
        <v>0</v>
      </c>
      <c r="AH252" s="40">
        <f>IFERROR(VLOOKUP(Tabela3[[#This Row],[Produto]],Tabela2[],7,0),0)</f>
        <v>0</v>
      </c>
      <c r="AI252" s="40">
        <f>IFERROR(VLOOKUP(Tabela3[[#This Row],[Produto]],Tabela2[],8,0),0)</f>
        <v>0</v>
      </c>
      <c r="AJ252" s="35">
        <f ca="1">IFERROR(VLOOKUP(Tabela3[[#This Row],[Produto]],Tabela2[],13,0),0)</f>
        <v>15.600000000000001</v>
      </c>
      <c r="AK252" s="40" t="str">
        <f>IFERROR(VLOOKUP(Tabela3[[#This Row],[Produto]],Tabela2[],14,0),0)</f>
        <v>Senun</v>
      </c>
      <c r="AL252" s="40">
        <f>IFERROR(VLOOKUP(Tabela3[[#This Row],[Produto]],Tabela2[],15,0),0)</f>
        <v>4</v>
      </c>
      <c r="AM252" s="36">
        <f ca="1">(Tabela3[[#This Row],[Custo Usinagem]]+Tabela3[[#This Row],[Custo / Pç]])*1.2</f>
        <v>16.015521347373209</v>
      </c>
      <c r="AN252" s="36">
        <f ca="1">Tabela3[[#This Row],[Valor Mínimo Venda]]*1.15</f>
        <v>18.41784954947919</v>
      </c>
      <c r="AO252" s="36">
        <f ca="1">Tabela3[[#This Row],[Tabela 1]]*1.08</f>
        <v>19.891277513437526</v>
      </c>
      <c r="AP252" s="36">
        <f ca="1">Tabela3[[#This Row],[Tabela 2]]*1.15</f>
        <v>22.874969140453153</v>
      </c>
    </row>
    <row r="253" spans="1:42">
      <c r="A253" s="9">
        <v>45785</v>
      </c>
      <c r="B253" s="6" t="s">
        <v>257</v>
      </c>
      <c r="C253" s="14">
        <v>6504</v>
      </c>
      <c r="D253" s="6" t="s">
        <v>46</v>
      </c>
      <c r="E253" s="6" t="s">
        <v>53</v>
      </c>
      <c r="F253" s="6">
        <v>34</v>
      </c>
      <c r="G253" s="15">
        <v>0.15625</v>
      </c>
      <c r="H253" s="16">
        <v>11</v>
      </c>
      <c r="I253" s="35">
        <f ca="1">IFERROR(Tabela3[[#This Row],[Custo Total]]/Tabela3[[#This Row],[Aluminio Util]],0)</f>
        <v>30.243922408228627</v>
      </c>
      <c r="J253" s="35">
        <f ca="1">Tabela3[[#This Row],[Custo Total]]/Tabela3[[#This Row],[Realizado]]</f>
        <v>3.7804903010285784</v>
      </c>
      <c r="K253" s="37">
        <f>IFERROR(Tabela3[[#This Row],[Qtde Cx Produzida]]/Tabela3[[#This Row],[Tempo]]/24,0)</f>
        <v>9.0666666666666664</v>
      </c>
      <c r="L253" s="37">
        <f>Tabela3[[#This Row],[Qtde Cx Produzida]]*Tabela3[[#This Row],[Qdt Peça Placa]]</f>
        <v>272</v>
      </c>
      <c r="M253" s="37">
        <f>Tabela3[[#This Row],[Previsto]]-Tabela3[[#This Row],[Perda Pçs]]</f>
        <v>261</v>
      </c>
      <c r="N253" s="38">
        <f>IFERROR(Tabela3[[#This Row],[Perda Pçs]]/Tabela3[[#This Row],[Previsto]],0)</f>
        <v>4.0441176470588237E-2</v>
      </c>
      <c r="O253" s="39">
        <f>IFERROR(IF(Tabela3[[#This Row],[Qtde Cx Produzida]] &lt;&gt; 0, Tabela3[[#This Row],[Tempo]] / Tabela3[[#This Row],[Qtde Cx Produzida]], 0),0)</f>
        <v>4.5955882352941178E-3</v>
      </c>
      <c r="P253" s="57">
        <f>IFERROR(Tabela3[[#This Row],[Perda Pçs]]/Tabela3[[#This Row],[Qdt Peça Placa]],0)</f>
        <v>1.375</v>
      </c>
      <c r="Q253" s="37">
        <f>IFERROR(Tabela3[[#This Row],[Realizado]]*Tabela3[[#This Row],[Peso Util/Pç]],0)</f>
        <v>32.625</v>
      </c>
      <c r="R253" s="37">
        <f>IFERROR(Tabela3[[#This Row],[Peso Total Galho]]*Tabela3[[#This Row],[Qtde Cx Produzida]]*1.055,0)</f>
        <v>78.914000000000001</v>
      </c>
      <c r="S253" s="37">
        <f>(Tabela3[[#This Row],[Aluminio Bruto]]-Tabela3[[#This Row],[Aluminio Util]])*0.9</f>
        <v>41.6601</v>
      </c>
      <c r="T253" s="37">
        <f>Tabela3[[#This Row],[Aluminio Bruto]]/OleoKGAluminio</f>
        <v>33.19901776517829</v>
      </c>
      <c r="U253" s="35">
        <f>IFERROR((VLOOKUP(Tabela3[[#This Row],[Moldador]],Tabela1[],5,)+(VLOOKUP(Tabela3[[#This Row],[Ajudante]],Tabela1[],5,))*3.5),0)</f>
        <v>99.95034583333333</v>
      </c>
      <c r="V253" s="35">
        <f>IFERROR(Tabela3[[#This Row],[Custo M.O. / H]]/((Tabela3[[#This Row],[Realizado]]/Tabela3[[#This Row],[Qdt Peça Placa]])/Tabela3[[#This Row],[Tempo]]/24),)</f>
        <v>11.488545498084289</v>
      </c>
      <c r="W253" s="35">
        <f>Tabela3[[#This Row],[Custo / Cx Moldada]]*Tabela3[[#This Row],[Qtde Cx Produzida]]</f>
        <v>390.61054693486579</v>
      </c>
      <c r="X253" s="35">
        <f ca="1">Tabela3[[#This Row],[Aluminio Util]]*Tabela3[[#This Row],[Custo/Kg]]</f>
        <v>508.95000000000005</v>
      </c>
      <c r="Y253" s="35">
        <f>IFERROR(VLOOKUP(Tabela3[[#This Row],[Data]],Tabela461213[],2,1)*(Tabela3[[#This Row],[Qtde Cx Produzida]]*Tabela3[[#This Row],[Qde macho / CX]]*Tabela3[[#This Row],[Peso Macho]]),)</f>
        <v>0</v>
      </c>
      <c r="Z253" s="35">
        <f>IFERROR(Tabela3[[#This Row],[Qtde Oleo]]*(VLOOKUP(Tabela3[[#This Row],[Data]],CompraOleo[],3,TRUE))*1.05,0)</f>
        <v>87.147421633593012</v>
      </c>
      <c r="AA253" s="47">
        <f ca="1">(Tabela3[[#This Row],[Custo Oleo]]+Tabela3[[#This Row],[Custo Aluminio]]+Tabela3[[#This Row],[Custo M.O. Total]]+Tabela3[[#This Row],[Custo Machos]])</f>
        <v>986.70796856845891</v>
      </c>
      <c r="AB253" s="47">
        <f ca="1">Tabela3[[#This Row],[Custo Total]]*Tabela3[[#This Row],[% Perda]]</f>
        <v>39.903631081812676</v>
      </c>
      <c r="AC253" s="48">
        <f>IFERROR(VLOOKUP(Tabela3[[#This Row],[Produto]],Tabela2[],2,0),0)</f>
        <v>8</v>
      </c>
      <c r="AD253" s="48">
        <f>IFERROR(VLOOKUP(Tabela3[[#This Row],[Produto]],Tabela2[],3,0),0)</f>
        <v>0.125</v>
      </c>
      <c r="AE253" s="48">
        <f>IFERROR(VLOOKUP(Tabela3[[#This Row],[Produto]],Tabela2[],4,0),0)</f>
        <v>2.2000000000000002</v>
      </c>
      <c r="AF253" s="48">
        <f>IFERROR(VLOOKUP(Tabela3[[#This Row],[Produto]],Tabela2[],5,0),0)</f>
        <v>1.0800000000000003</v>
      </c>
      <c r="AG253" s="40">
        <f>IFERROR(VLOOKUP(Tabela3[[#This Row],[Produto]],Tabela2[],6,0),0)</f>
        <v>0</v>
      </c>
      <c r="AH253" s="40">
        <f>IFERROR(VLOOKUP(Tabela3[[#This Row],[Produto]],Tabela2[],7,0),0)</f>
        <v>0</v>
      </c>
      <c r="AI253" s="40">
        <f>IFERROR(VLOOKUP(Tabela3[[#This Row],[Produto]],Tabela2[],8,0),0)</f>
        <v>0</v>
      </c>
      <c r="AJ253" s="35">
        <f ca="1">IFERROR(VLOOKUP(Tabela3[[#This Row],[Produto]],Tabela2[],13,0),0)</f>
        <v>15.600000000000001</v>
      </c>
      <c r="AK253" s="40" t="str">
        <f>IFERROR(VLOOKUP(Tabela3[[#This Row],[Produto]],Tabela2[],14,0),0)</f>
        <v>Senun</v>
      </c>
      <c r="AL253" s="40">
        <f>IFERROR(VLOOKUP(Tabela3[[#This Row],[Produto]],Tabela2[],15,0),0)</f>
        <v>7</v>
      </c>
      <c r="AM253" s="36">
        <f ca="1">(Tabela3[[#This Row],[Custo Usinagem]]+Tabela3[[#This Row],[Custo / Pç]])*1.2</f>
        <v>12.936588361234294</v>
      </c>
      <c r="AN253" s="36">
        <f ca="1">Tabela3[[#This Row],[Valor Mínimo Venda]]*1.15</f>
        <v>14.877076615419437</v>
      </c>
      <c r="AO253" s="36">
        <f ca="1">Tabela3[[#This Row],[Tabela 1]]*1.08</f>
        <v>16.067242744652994</v>
      </c>
      <c r="AP253" s="36">
        <f ca="1">Tabela3[[#This Row],[Tabela 2]]*1.15</f>
        <v>18.47732915635094</v>
      </c>
    </row>
    <row r="254" spans="1:42">
      <c r="A254" s="9">
        <v>45785</v>
      </c>
      <c r="B254" s="6" t="s">
        <v>196</v>
      </c>
      <c r="C254" s="14">
        <v>6489</v>
      </c>
      <c r="D254" s="6" t="s">
        <v>46</v>
      </c>
      <c r="E254" s="6" t="s">
        <v>53</v>
      </c>
      <c r="F254" s="6">
        <v>1</v>
      </c>
      <c r="G254" s="15">
        <v>2.7777777777777776E-2</v>
      </c>
      <c r="H254" s="16">
        <v>0</v>
      </c>
      <c r="I254" s="35">
        <f ca="1">IFERROR(Tabela3[[#This Row],[Custo Total]]/Tabela3[[#This Row],[Aluminio Util]],0)</f>
        <v>23.402174294959302</v>
      </c>
      <c r="J254" s="35">
        <f ca="1">Tabela3[[#This Row],[Custo Total]]/Tabela3[[#This Row],[Realizado]]</f>
        <v>344.94804910770011</v>
      </c>
      <c r="K254" s="37">
        <f>IFERROR(Tabela3[[#This Row],[Qtde Cx Produzida]]/Tabela3[[#This Row],[Tempo]]/24,0)</f>
        <v>1.5</v>
      </c>
      <c r="L254" s="37">
        <f>Tabela3[[#This Row],[Qtde Cx Produzida]]*Tabela3[[#This Row],[Qdt Peça Placa]]</f>
        <v>1</v>
      </c>
      <c r="M254" s="37">
        <f>Tabela3[[#This Row],[Previsto]]-Tabela3[[#This Row],[Perda Pçs]]</f>
        <v>1</v>
      </c>
      <c r="N254" s="38">
        <f>IFERROR(Tabela3[[#This Row],[Perda Pçs]]/Tabela3[[#This Row],[Previsto]],0)</f>
        <v>0</v>
      </c>
      <c r="O254" s="39">
        <f>IFERROR(IF(Tabela3[[#This Row],[Qtde Cx Produzida]] &lt;&gt; 0, Tabela3[[#This Row],[Tempo]] / Tabela3[[#This Row],[Qtde Cx Produzida]], 0),0)</f>
        <v>2.7777777777777776E-2</v>
      </c>
      <c r="P254" s="57">
        <f>IFERROR(Tabela3[[#This Row],[Perda Pçs]]/Tabela3[[#This Row],[Qdt Peça Placa]],0)</f>
        <v>0</v>
      </c>
      <c r="Q254" s="37">
        <f>IFERROR(Tabela3[[#This Row],[Realizado]]*Tabela3[[#This Row],[Peso Util/Pç]],0)</f>
        <v>14.74</v>
      </c>
      <c r="R254" s="37">
        <f>IFERROR(Tabela3[[#This Row],[Peso Total Galho]]*Tabela3[[#This Row],[Qtde Cx Produzida]]*1.055,0)</f>
        <v>17.105769999999996</v>
      </c>
      <c r="S254" s="37">
        <f>(Tabela3[[#This Row],[Aluminio Bruto]]-Tabela3[[#This Row],[Aluminio Util]])*0.9</f>
        <v>2.1291929999999963</v>
      </c>
      <c r="T254" s="37">
        <f>Tabela3[[#This Row],[Aluminio Bruto]]/OleoKGAluminio</f>
        <v>7.1963753214518809</v>
      </c>
      <c r="U254" s="35">
        <f>IFERROR((VLOOKUP(Tabela3[[#This Row],[Moldador]],Tabela1[],5,)+(VLOOKUP(Tabela3[[#This Row],[Ajudante]],Tabela1[],5,))*3.5),0)</f>
        <v>99.95034583333333</v>
      </c>
      <c r="V254" s="35">
        <f>IFERROR(Tabela3[[#This Row],[Custo M.O. / H]]/((Tabela3[[#This Row],[Realizado]]/Tabela3[[#This Row],[Qdt Peça Placa]])/Tabela3[[#This Row],[Tempo]]/24),)</f>
        <v>66.633563888888887</v>
      </c>
      <c r="W254" s="35">
        <f>Tabela3[[#This Row],[Custo / Cx Moldada]]*Tabela3[[#This Row],[Qtde Cx Produzida]]</f>
        <v>66.633563888888887</v>
      </c>
      <c r="X254" s="35">
        <f ca="1">Tabela3[[#This Row],[Aluminio Util]]*Tabela3[[#This Row],[Custo/Kg]]</f>
        <v>259.42400000000004</v>
      </c>
      <c r="Y254" s="35">
        <f>IFERROR(VLOOKUP(Tabela3[[#This Row],[Data]],Tabela461213[],2,1)*(Tabela3[[#This Row],[Qtde Cx Produzida]]*Tabela3[[#This Row],[Qde macho / CX]]*Tabela3[[#This Row],[Peso Macho]]),)</f>
        <v>0</v>
      </c>
      <c r="Z254" s="35">
        <f>IFERROR(Tabela3[[#This Row],[Qtde Oleo]]*(VLOOKUP(Tabela3[[#This Row],[Data]],CompraOleo[],3,TRUE))*1.05,0)</f>
        <v>18.890485218811186</v>
      </c>
      <c r="AA254" s="47">
        <f ca="1">(Tabela3[[#This Row],[Custo Oleo]]+Tabela3[[#This Row],[Custo Aluminio]]+Tabela3[[#This Row],[Custo M.O. Total]]+Tabela3[[#This Row],[Custo Machos]])</f>
        <v>344.94804910770011</v>
      </c>
      <c r="AB254" s="47">
        <f ca="1">Tabela3[[#This Row],[Custo Total]]*Tabela3[[#This Row],[% Perda]]</f>
        <v>0</v>
      </c>
      <c r="AC254" s="48">
        <f>IFERROR(VLOOKUP(Tabela3[[#This Row],[Produto]],Tabela2[],2,0),0)</f>
        <v>1</v>
      </c>
      <c r="AD254" s="48">
        <f>IFERROR(VLOOKUP(Tabela3[[#This Row],[Produto]],Tabela2[],3,0),0)</f>
        <v>14.74</v>
      </c>
      <c r="AE254" s="48">
        <f>IFERROR(VLOOKUP(Tabela3[[#This Row],[Produto]],Tabela2[],4,0),0)</f>
        <v>16.213999999999999</v>
      </c>
      <c r="AF254" s="48">
        <f>IFERROR(VLOOKUP(Tabela3[[#This Row],[Produto]],Tabela2[],5,0),0)</f>
        <v>1.3265999999999987</v>
      </c>
      <c r="AG254" s="40">
        <f>IFERROR(VLOOKUP(Tabela3[[#This Row],[Produto]],Tabela2[],6,0),0)</f>
        <v>0</v>
      </c>
      <c r="AH254" s="40">
        <f>IFERROR(VLOOKUP(Tabela3[[#This Row],[Produto]],Tabela2[],7,0),0)</f>
        <v>0</v>
      </c>
      <c r="AI254" s="40">
        <f>IFERROR(VLOOKUP(Tabela3[[#This Row],[Produto]],Tabela2[],8,0),0)</f>
        <v>0</v>
      </c>
      <c r="AJ254" s="35">
        <f ca="1">IFERROR(VLOOKUP(Tabela3[[#This Row],[Produto]],Tabela2[],13,0),0)</f>
        <v>17.600000000000001</v>
      </c>
      <c r="AK254" s="40" t="str">
        <f>IFERROR(VLOOKUP(Tabela3[[#This Row],[Produto]],Tabela2[],14,0),0)</f>
        <v>Oscar</v>
      </c>
      <c r="AL254" s="40">
        <f>IFERROR(VLOOKUP(Tabela3[[#This Row],[Produto]],Tabela2[],15,0),0)</f>
        <v>0</v>
      </c>
      <c r="AM254" s="36">
        <f ca="1">(Tabela3[[#This Row],[Custo Usinagem]]+Tabela3[[#This Row],[Custo / Pç]])*1.2</f>
        <v>413.93765892924011</v>
      </c>
      <c r="AN254" s="36">
        <f ca="1">Tabela3[[#This Row],[Valor Mínimo Venda]]*1.15</f>
        <v>476.02830776862612</v>
      </c>
      <c r="AO254" s="36">
        <f ca="1">Tabela3[[#This Row],[Tabela 1]]*1.08</f>
        <v>514.1105723901162</v>
      </c>
      <c r="AP254" s="36">
        <f ca="1">Tabela3[[#This Row],[Tabela 2]]*1.15</f>
        <v>591.2271582486336</v>
      </c>
    </row>
    <row r="255" spans="1:42">
      <c r="A255" s="9">
        <v>45786</v>
      </c>
      <c r="B255" s="6" t="s">
        <v>257</v>
      </c>
      <c r="C255" s="14">
        <v>6504</v>
      </c>
      <c r="D255" s="6" t="s">
        <v>46</v>
      </c>
      <c r="E255" s="6" t="s">
        <v>53</v>
      </c>
      <c r="F255" s="6">
        <v>16</v>
      </c>
      <c r="G255" s="15">
        <v>7.5694444444444439E-2</v>
      </c>
      <c r="H255" s="16">
        <v>5</v>
      </c>
      <c r="I255" s="35">
        <f ca="1">IFERROR(Tabela3[[#This Row],[Custo Total]]/Tabela3[[#This Row],[Aluminio Util]],0)</f>
        <v>30.557279345021399</v>
      </c>
      <c r="J255" s="35">
        <f ca="1">Tabela3[[#This Row],[Custo Total]]/Tabela3[[#This Row],[Realizado]]</f>
        <v>3.8196599181276749</v>
      </c>
      <c r="K255" s="37">
        <f>IFERROR(Tabela3[[#This Row],[Qtde Cx Produzida]]/Tabela3[[#This Row],[Tempo]]/24,0)</f>
        <v>8.8073394495412849</v>
      </c>
      <c r="L255" s="37">
        <f>Tabela3[[#This Row],[Qtde Cx Produzida]]*Tabela3[[#This Row],[Qdt Peça Placa]]</f>
        <v>128</v>
      </c>
      <c r="M255" s="37">
        <f>Tabela3[[#This Row],[Previsto]]-Tabela3[[#This Row],[Perda Pçs]]</f>
        <v>123</v>
      </c>
      <c r="N255" s="38">
        <f>IFERROR(Tabela3[[#This Row],[Perda Pçs]]/Tabela3[[#This Row],[Previsto]],0)</f>
        <v>3.90625E-2</v>
      </c>
      <c r="O255" s="39">
        <f>IFERROR(IF(Tabela3[[#This Row],[Qtde Cx Produzida]] &lt;&gt; 0, Tabela3[[#This Row],[Tempo]] / Tabela3[[#This Row],[Qtde Cx Produzida]], 0),0)</f>
        <v>4.7309027777777775E-3</v>
      </c>
      <c r="P255" s="57">
        <f>IFERROR(Tabela3[[#This Row],[Perda Pçs]]/Tabela3[[#This Row],[Qdt Peça Placa]],0)</f>
        <v>0.625</v>
      </c>
      <c r="Q255" s="37">
        <f>IFERROR(Tabela3[[#This Row],[Realizado]]*Tabela3[[#This Row],[Peso Util/Pç]],0)</f>
        <v>15.375</v>
      </c>
      <c r="R255" s="37">
        <f>IFERROR(Tabela3[[#This Row],[Peso Total Galho]]*Tabela3[[#This Row],[Qtde Cx Produzida]]*1.055,0)</f>
        <v>37.136000000000003</v>
      </c>
      <c r="S255" s="37">
        <f>(Tabela3[[#This Row],[Aluminio Bruto]]-Tabela3[[#This Row],[Aluminio Util]])*0.9</f>
        <v>19.584900000000005</v>
      </c>
      <c r="T255" s="37">
        <f>Tabela3[[#This Row],[Aluminio Bruto]]/OleoKGAluminio</f>
        <v>15.623067183613314</v>
      </c>
      <c r="U255" s="35">
        <f>IFERROR((VLOOKUP(Tabela3[[#This Row],[Moldador]],Tabela1[],5,)+(VLOOKUP(Tabela3[[#This Row],[Ajudante]],Tabela1[],5,))*3.5),0)</f>
        <v>99.95034583333333</v>
      </c>
      <c r="V255" s="35">
        <f>IFERROR(Tabela3[[#This Row],[Custo M.O. / H]]/((Tabela3[[#This Row],[Realizado]]/Tabela3[[#This Row],[Qdt Peça Placa]])/Tabela3[[#This Row],[Tempo]]/24),)</f>
        <v>11.80985116079494</v>
      </c>
      <c r="W255" s="35">
        <f>Tabela3[[#This Row],[Custo / Cx Moldada]]*Tabela3[[#This Row],[Qtde Cx Produzida]]</f>
        <v>188.95761857271904</v>
      </c>
      <c r="X255" s="35">
        <f ca="1">Tabela3[[#This Row],[Aluminio Util]]*Tabela3[[#This Row],[Custo/Kg]]</f>
        <v>239.85000000000002</v>
      </c>
      <c r="Y255" s="35">
        <f>IFERROR(VLOOKUP(Tabela3[[#This Row],[Data]],Tabela461213[],2,1)*(Tabela3[[#This Row],[Qtde Cx Produzida]]*Tabela3[[#This Row],[Qde macho / CX]]*Tabela3[[#This Row],[Peso Macho]]),)</f>
        <v>0</v>
      </c>
      <c r="Z255" s="35">
        <f>IFERROR(Tabela3[[#This Row],[Qtde Oleo]]*(VLOOKUP(Tabela3[[#This Row],[Data]],CompraOleo[],3,TRUE))*1.05,0)</f>
        <v>41.010551356984948</v>
      </c>
      <c r="AA255" s="47">
        <f ca="1">(Tabela3[[#This Row],[Custo Oleo]]+Tabela3[[#This Row],[Custo Aluminio]]+Tabela3[[#This Row],[Custo M.O. Total]]+Tabela3[[#This Row],[Custo Machos]])</f>
        <v>469.81816992970403</v>
      </c>
      <c r="AB255" s="47">
        <f ca="1">Tabela3[[#This Row],[Custo Total]]*Tabela3[[#This Row],[% Perda]]</f>
        <v>18.352272262879062</v>
      </c>
      <c r="AC255" s="48">
        <f>IFERROR(VLOOKUP(Tabela3[[#This Row],[Produto]],Tabela2[],2,0),0)</f>
        <v>8</v>
      </c>
      <c r="AD255" s="48">
        <f>IFERROR(VLOOKUP(Tabela3[[#This Row],[Produto]],Tabela2[],3,0),0)</f>
        <v>0.125</v>
      </c>
      <c r="AE255" s="48">
        <f>IFERROR(VLOOKUP(Tabela3[[#This Row],[Produto]],Tabela2[],4,0),0)</f>
        <v>2.2000000000000002</v>
      </c>
      <c r="AF255" s="48">
        <f>IFERROR(VLOOKUP(Tabela3[[#This Row],[Produto]],Tabela2[],5,0),0)</f>
        <v>1.0800000000000003</v>
      </c>
      <c r="AG255" s="40">
        <f>IFERROR(VLOOKUP(Tabela3[[#This Row],[Produto]],Tabela2[],6,0),0)</f>
        <v>0</v>
      </c>
      <c r="AH255" s="40">
        <f>IFERROR(VLOOKUP(Tabela3[[#This Row],[Produto]],Tabela2[],7,0),0)</f>
        <v>0</v>
      </c>
      <c r="AI255" s="40">
        <f>IFERROR(VLOOKUP(Tabela3[[#This Row],[Produto]],Tabela2[],8,0),0)</f>
        <v>0</v>
      </c>
      <c r="AJ255" s="35">
        <f ca="1">IFERROR(VLOOKUP(Tabela3[[#This Row],[Produto]],Tabela2[],13,0),0)</f>
        <v>15.600000000000001</v>
      </c>
      <c r="AK255" s="40" t="str">
        <f>IFERROR(VLOOKUP(Tabela3[[#This Row],[Produto]],Tabela2[],14,0),0)</f>
        <v>Senun</v>
      </c>
      <c r="AL255" s="40">
        <f>IFERROR(VLOOKUP(Tabela3[[#This Row],[Produto]],Tabela2[],15,0),0)</f>
        <v>7</v>
      </c>
      <c r="AM255" s="36">
        <f ca="1">(Tabela3[[#This Row],[Custo Usinagem]]+Tabela3[[#This Row],[Custo / Pç]])*1.2</f>
        <v>12.98359190175321</v>
      </c>
      <c r="AN255" s="36">
        <f ca="1">Tabela3[[#This Row],[Valor Mínimo Venda]]*1.15</f>
        <v>14.931130687016189</v>
      </c>
      <c r="AO255" s="36">
        <f ca="1">Tabela3[[#This Row],[Tabela 1]]*1.08</f>
        <v>16.125621141977486</v>
      </c>
      <c r="AP255" s="36">
        <f ca="1">Tabela3[[#This Row],[Tabela 2]]*1.15</f>
        <v>18.544464313274108</v>
      </c>
    </row>
    <row r="256" spans="1:42">
      <c r="A256" s="9">
        <v>45786</v>
      </c>
      <c r="B256" s="6" t="s">
        <v>245</v>
      </c>
      <c r="C256" s="14">
        <v>6505</v>
      </c>
      <c r="D256" s="6" t="s">
        <v>46</v>
      </c>
      <c r="E256" s="6" t="s">
        <v>53</v>
      </c>
      <c r="F256" s="6">
        <v>62</v>
      </c>
      <c r="G256" s="15">
        <v>0.26527777777777778</v>
      </c>
      <c r="H256" s="16">
        <v>25</v>
      </c>
      <c r="I256" s="35">
        <f ca="1">IFERROR(Tabela3[[#This Row],[Custo Total]]/Tabela3[[#This Row],[Aluminio Util]],0)</f>
        <v>27.402766453154555</v>
      </c>
      <c r="J256" s="35">
        <f ca="1">Tabela3[[#This Row],[Custo Total]]/Tabela3[[#This Row],[Realizado]]</f>
        <v>9.0977184624473129</v>
      </c>
      <c r="K256" s="37">
        <f>IFERROR(Tabela3[[#This Row],[Qtde Cx Produzida]]/Tabela3[[#This Row],[Tempo]]/24,0)</f>
        <v>9.7382198952879584</v>
      </c>
      <c r="L256" s="37">
        <f>Tabela3[[#This Row],[Qtde Cx Produzida]]*Tabela3[[#This Row],[Qdt Peça Placa]]</f>
        <v>248</v>
      </c>
      <c r="M256" s="37">
        <f>Tabela3[[#This Row],[Previsto]]-Tabela3[[#This Row],[Perda Pçs]]</f>
        <v>223</v>
      </c>
      <c r="N256" s="38">
        <f>IFERROR(Tabela3[[#This Row],[Perda Pçs]]/Tabela3[[#This Row],[Previsto]],0)</f>
        <v>0.10080645161290322</v>
      </c>
      <c r="O256" s="39">
        <f>IFERROR(IF(Tabela3[[#This Row],[Qtde Cx Produzida]] &lt;&gt; 0, Tabela3[[#This Row],[Tempo]] / Tabela3[[#This Row],[Qtde Cx Produzida]], 0),0)</f>
        <v>4.2786738351254482E-3</v>
      </c>
      <c r="P256" s="57">
        <f>IFERROR(Tabela3[[#This Row],[Perda Pçs]]/Tabela3[[#This Row],[Qdt Peça Placa]],0)</f>
        <v>6.25</v>
      </c>
      <c r="Q256" s="37">
        <f>IFERROR(Tabela3[[#This Row],[Realizado]]*Tabela3[[#This Row],[Peso Util/Pç]],0)</f>
        <v>74.036000000000001</v>
      </c>
      <c r="R256" s="37">
        <f>IFERROR(Tabela3[[#This Row],[Peso Total Galho]]*Tabela3[[#This Row],[Qtde Cx Produzida]]*1.055,0)</f>
        <v>150.44299999999998</v>
      </c>
      <c r="S256" s="37">
        <f>(Tabela3[[#This Row],[Aluminio Bruto]]-Tabela3[[#This Row],[Aluminio Util]])*0.9</f>
        <v>68.766299999999987</v>
      </c>
      <c r="T256" s="37">
        <f>Tabela3[[#This Row],[Aluminio Bruto]]/OleoKGAluminio</f>
        <v>63.291175579069836</v>
      </c>
      <c r="U256" s="35">
        <f>IFERROR((VLOOKUP(Tabela3[[#This Row],[Moldador]],Tabela1[],5,)+(VLOOKUP(Tabela3[[#This Row],[Ajudante]],Tabela1[],5,))*3.5),0)</f>
        <v>99.95034583333333</v>
      </c>
      <c r="V256" s="35">
        <f>IFERROR(Tabela3[[#This Row],[Custo M.O. / H]]/((Tabela3[[#This Row],[Realizado]]/Tabela3[[#This Row],[Qdt Peça Placa]])/Tabela3[[#This Row],[Tempo]]/24),)</f>
        <v>11.414359374688589</v>
      </c>
      <c r="W256" s="35">
        <f>Tabela3[[#This Row],[Custo / Cx Moldada]]*Tabela3[[#This Row],[Qtde Cx Produzida]]</f>
        <v>707.69028123069245</v>
      </c>
      <c r="X256" s="35">
        <f ca="1">Tabela3[[#This Row],[Aluminio Util]]*Tabela3[[#This Row],[Custo/Kg]]</f>
        <v>1154.9616000000001</v>
      </c>
      <c r="Y256" s="35">
        <f>IFERROR(VLOOKUP(Tabela3[[#This Row],[Data]],Tabela461213[],2,1)*(Tabela3[[#This Row],[Qtde Cx Produzida]]*Tabela3[[#This Row],[Qde macho / CX]]*Tabela3[[#This Row],[Peso Macho]]),)</f>
        <v>0</v>
      </c>
      <c r="Z256" s="35">
        <f>IFERROR(Tabela3[[#This Row],[Qtde Oleo]]*(VLOOKUP(Tabela3[[#This Row],[Data]],CompraOleo[],3,TRUE))*1.05,0)</f>
        <v>166.13933589505834</v>
      </c>
      <c r="AA256" s="47">
        <f ca="1">(Tabela3[[#This Row],[Custo Oleo]]+Tabela3[[#This Row],[Custo Aluminio]]+Tabela3[[#This Row],[Custo M.O. Total]]+Tabela3[[#This Row],[Custo Machos]])</f>
        <v>2028.7912171257508</v>
      </c>
      <c r="AB256" s="47">
        <f ca="1">Tabela3[[#This Row],[Custo Total]]*Tabela3[[#This Row],[% Perda]]</f>
        <v>204.51524366187002</v>
      </c>
      <c r="AC256" s="48">
        <f>IFERROR(VLOOKUP(Tabela3[[#This Row],[Produto]],Tabela2[],2,0),0)</f>
        <v>4</v>
      </c>
      <c r="AD256" s="48">
        <f>IFERROR(VLOOKUP(Tabela3[[#This Row],[Produto]],Tabela2[],3,0),0)</f>
        <v>0.33200000000000002</v>
      </c>
      <c r="AE256" s="48">
        <f>IFERROR(VLOOKUP(Tabela3[[#This Row],[Produto]],Tabela2[],4,0),0)</f>
        <v>2.2999999999999998</v>
      </c>
      <c r="AF256" s="48">
        <f>IFERROR(VLOOKUP(Tabela3[[#This Row],[Produto]],Tabela2[],5,0),0)</f>
        <v>0.8747999999999998</v>
      </c>
      <c r="AG256" s="40">
        <f>IFERROR(VLOOKUP(Tabela3[[#This Row],[Produto]],Tabela2[],6,0),0)</f>
        <v>0</v>
      </c>
      <c r="AH256" s="40">
        <f>IFERROR(VLOOKUP(Tabela3[[#This Row],[Produto]],Tabela2[],7,0),0)</f>
        <v>0</v>
      </c>
      <c r="AI256" s="40">
        <f>IFERROR(VLOOKUP(Tabela3[[#This Row],[Produto]],Tabela2[],8,0),0)</f>
        <v>0</v>
      </c>
      <c r="AJ256" s="35">
        <f ca="1">IFERROR(VLOOKUP(Tabela3[[#This Row],[Produto]],Tabela2[],13,0),0)</f>
        <v>15.600000000000001</v>
      </c>
      <c r="AK256" s="40" t="str">
        <f>IFERROR(VLOOKUP(Tabela3[[#This Row],[Produto]],Tabela2[],14,0),0)</f>
        <v>Senun</v>
      </c>
      <c r="AL256" s="40">
        <f>IFERROR(VLOOKUP(Tabela3[[#This Row],[Produto]],Tabela2[],15,0),0)</f>
        <v>3.5</v>
      </c>
      <c r="AM256" s="36">
        <f ca="1">(Tabela3[[#This Row],[Custo Usinagem]]+Tabela3[[#This Row],[Custo / Pç]])*1.2</f>
        <v>15.117262154936775</v>
      </c>
      <c r="AN256" s="36">
        <f ca="1">Tabela3[[#This Row],[Valor Mínimo Venda]]*1.15</f>
        <v>17.384851478177289</v>
      </c>
      <c r="AO256" s="36">
        <f ca="1">Tabela3[[#This Row],[Tabela 1]]*1.08</f>
        <v>18.775639596431475</v>
      </c>
      <c r="AP256" s="36">
        <f ca="1">Tabela3[[#This Row],[Tabela 2]]*1.15</f>
        <v>21.591985535896196</v>
      </c>
    </row>
    <row r="257" spans="1:42">
      <c r="A257" s="9">
        <v>45789</v>
      </c>
      <c r="B257" s="6" t="s">
        <v>245</v>
      </c>
      <c r="C257" s="14">
        <v>6505</v>
      </c>
      <c r="D257" s="6" t="s">
        <v>46</v>
      </c>
      <c r="E257" s="6" t="s">
        <v>53</v>
      </c>
      <c r="F257" s="6">
        <v>38</v>
      </c>
      <c r="G257" s="15">
        <v>0.1451388888888889</v>
      </c>
      <c r="H257" s="16">
        <v>8</v>
      </c>
      <c r="I257" s="35">
        <f ca="1">IFERROR(Tabela3[[#This Row],[Custo Total]]/Tabela3[[#This Row],[Aluminio Util]],0)</f>
        <v>25.416975173066174</v>
      </c>
      <c r="J257" s="35">
        <f ca="1">Tabela3[[#This Row],[Custo Total]]/Tabela3[[#This Row],[Realizado]]</f>
        <v>8.4384357574579703</v>
      </c>
      <c r="K257" s="37">
        <f>IFERROR(Tabela3[[#This Row],[Qtde Cx Produzida]]/Tabela3[[#This Row],[Tempo]]/24,0)</f>
        <v>10.909090909090908</v>
      </c>
      <c r="L257" s="37">
        <f>Tabela3[[#This Row],[Qtde Cx Produzida]]*Tabela3[[#This Row],[Qdt Peça Placa]]</f>
        <v>152</v>
      </c>
      <c r="M257" s="37">
        <f>Tabela3[[#This Row],[Previsto]]-Tabela3[[#This Row],[Perda Pçs]]</f>
        <v>144</v>
      </c>
      <c r="N257" s="38">
        <f>IFERROR(Tabela3[[#This Row],[Perda Pçs]]/Tabela3[[#This Row],[Previsto]],0)</f>
        <v>5.2631578947368418E-2</v>
      </c>
      <c r="O257" s="39">
        <f>IFERROR(IF(Tabela3[[#This Row],[Qtde Cx Produzida]] &lt;&gt; 0, Tabela3[[#This Row],[Tempo]] / Tabela3[[#This Row],[Qtde Cx Produzida]], 0),0)</f>
        <v>3.8194444444444448E-3</v>
      </c>
      <c r="P257" s="57">
        <f>IFERROR(Tabela3[[#This Row],[Perda Pçs]]/Tabela3[[#This Row],[Qdt Peça Placa]],0)</f>
        <v>2</v>
      </c>
      <c r="Q257" s="37">
        <f>IFERROR(Tabela3[[#This Row],[Realizado]]*Tabela3[[#This Row],[Peso Util/Pç]],0)</f>
        <v>47.808</v>
      </c>
      <c r="R257" s="37">
        <f>IFERROR(Tabela3[[#This Row],[Peso Total Galho]]*Tabela3[[#This Row],[Qtde Cx Produzida]]*1.055,0)</f>
        <v>92.206999999999979</v>
      </c>
      <c r="S257" s="37">
        <f>(Tabela3[[#This Row],[Aluminio Bruto]]-Tabela3[[#This Row],[Aluminio Util]])*0.9</f>
        <v>39.959099999999985</v>
      </c>
      <c r="T257" s="37">
        <f>Tabela3[[#This Row],[Aluminio Bruto]]/OleoKGAluminio</f>
        <v>38.791365677494412</v>
      </c>
      <c r="U257" s="35">
        <f>IFERROR((VLOOKUP(Tabela3[[#This Row],[Moldador]],Tabela1[],5,)+(VLOOKUP(Tabela3[[#This Row],[Ajudante]],Tabela1[],5,))*3.5),0)</f>
        <v>99.95034583333333</v>
      </c>
      <c r="V257" s="35">
        <f>IFERROR(Tabela3[[#This Row],[Custo M.O. / H]]/((Tabela3[[#This Row],[Realizado]]/Tabela3[[#This Row],[Qdt Peça Placa]])/Tabela3[[#This Row],[Tempo]]/24),)</f>
        <v>9.6711214255401234</v>
      </c>
      <c r="W257" s="35">
        <f>Tabela3[[#This Row],[Custo / Cx Moldada]]*Tabela3[[#This Row],[Qtde Cx Produzida]]</f>
        <v>367.50261417052468</v>
      </c>
      <c r="X257" s="35">
        <f ca="1">Tabela3[[#This Row],[Aluminio Util]]*Tabela3[[#This Row],[Custo/Kg]]</f>
        <v>745.80480000000011</v>
      </c>
      <c r="Y257" s="35">
        <f>IFERROR(VLOOKUP(Tabela3[[#This Row],[Data]],Tabela461213[],2,1)*(Tabela3[[#This Row],[Qtde Cx Produzida]]*Tabela3[[#This Row],[Qde macho / CX]]*Tabela3[[#This Row],[Peso Macho]]),)</f>
        <v>0</v>
      </c>
      <c r="Z257" s="35">
        <f>IFERROR(Tabela3[[#This Row],[Qtde Oleo]]*(VLOOKUP(Tabela3[[#This Row],[Data]],CompraOleo[],3,TRUE))*1.05,0)</f>
        <v>101.82733490342284</v>
      </c>
      <c r="AA257" s="47">
        <f ca="1">(Tabela3[[#This Row],[Custo Oleo]]+Tabela3[[#This Row],[Custo Aluminio]]+Tabela3[[#This Row],[Custo M.O. Total]]+Tabela3[[#This Row],[Custo Machos]])</f>
        <v>1215.1347490739477</v>
      </c>
      <c r="AB257" s="47">
        <f ca="1">Tabela3[[#This Row],[Custo Total]]*Tabela3[[#This Row],[% Perda]]</f>
        <v>63.954460477576191</v>
      </c>
      <c r="AC257" s="48">
        <f>IFERROR(VLOOKUP(Tabela3[[#This Row],[Produto]],Tabela2[],2,0),0)</f>
        <v>4</v>
      </c>
      <c r="AD257" s="48">
        <f>IFERROR(VLOOKUP(Tabela3[[#This Row],[Produto]],Tabela2[],3,0),0)</f>
        <v>0.33200000000000002</v>
      </c>
      <c r="AE257" s="48">
        <f>IFERROR(VLOOKUP(Tabela3[[#This Row],[Produto]],Tabela2[],4,0),0)</f>
        <v>2.2999999999999998</v>
      </c>
      <c r="AF257" s="48">
        <f>IFERROR(VLOOKUP(Tabela3[[#This Row],[Produto]],Tabela2[],5,0),0)</f>
        <v>0.8747999999999998</v>
      </c>
      <c r="AG257" s="40">
        <f>IFERROR(VLOOKUP(Tabela3[[#This Row],[Produto]],Tabela2[],6,0),0)</f>
        <v>0</v>
      </c>
      <c r="AH257" s="40">
        <f>IFERROR(VLOOKUP(Tabela3[[#This Row],[Produto]],Tabela2[],7,0),0)</f>
        <v>0</v>
      </c>
      <c r="AI257" s="40">
        <f>IFERROR(VLOOKUP(Tabela3[[#This Row],[Produto]],Tabela2[],8,0),0)</f>
        <v>0</v>
      </c>
      <c r="AJ257" s="35">
        <f ca="1">IFERROR(VLOOKUP(Tabela3[[#This Row],[Produto]],Tabela2[],13,0),0)</f>
        <v>15.600000000000001</v>
      </c>
      <c r="AK257" s="40" t="str">
        <f>IFERROR(VLOOKUP(Tabela3[[#This Row],[Produto]],Tabela2[],14,0),0)</f>
        <v>Senun</v>
      </c>
      <c r="AL257" s="40">
        <f>IFERROR(VLOOKUP(Tabela3[[#This Row],[Produto]],Tabela2[],15,0),0)</f>
        <v>3.5</v>
      </c>
      <c r="AM257" s="36">
        <f ca="1">(Tabela3[[#This Row],[Custo Usinagem]]+Tabela3[[#This Row],[Custo / Pç]])*1.2</f>
        <v>14.326122908949564</v>
      </c>
      <c r="AN257" s="36">
        <f ca="1">Tabela3[[#This Row],[Valor Mínimo Venda]]*1.15</f>
        <v>16.475041345291999</v>
      </c>
      <c r="AO257" s="36">
        <f ca="1">Tabela3[[#This Row],[Tabela 1]]*1.08</f>
        <v>17.793044652915359</v>
      </c>
      <c r="AP257" s="36">
        <f ca="1">Tabela3[[#This Row],[Tabela 2]]*1.15</f>
        <v>20.462001350852663</v>
      </c>
    </row>
    <row r="258" spans="1:42">
      <c r="A258" s="9">
        <v>45789</v>
      </c>
      <c r="B258" s="6" t="s">
        <v>247</v>
      </c>
      <c r="C258" s="14">
        <v>6575</v>
      </c>
      <c r="D258" s="6" t="s">
        <v>46</v>
      </c>
      <c r="E258" s="6" t="s">
        <v>53</v>
      </c>
      <c r="F258" s="6">
        <v>2</v>
      </c>
      <c r="G258" s="15">
        <v>9.7222222222222224E-3</v>
      </c>
      <c r="H258" s="16">
        <v>0</v>
      </c>
      <c r="I258" s="35">
        <f ca="1">IFERROR(Tabela3[[#This Row],[Custo Total]]/Tabela3[[#This Row],[Aluminio Util]],0)</f>
        <v>27.55045032378364</v>
      </c>
      <c r="J258" s="35">
        <f ca="1">Tabela3[[#This Row],[Custo Total]]/Tabela3[[#This Row],[Realizado]]</f>
        <v>8.2651350971350919</v>
      </c>
      <c r="K258" s="37">
        <f>IFERROR(Tabela3[[#This Row],[Qtde Cx Produzida]]/Tabela3[[#This Row],[Tempo]]/24,0)</f>
        <v>8.5714285714285712</v>
      </c>
      <c r="L258" s="37">
        <f>Tabela3[[#This Row],[Qtde Cx Produzida]]*Tabela3[[#This Row],[Qdt Peça Placa]]</f>
        <v>8</v>
      </c>
      <c r="M258" s="37">
        <f>Tabela3[[#This Row],[Previsto]]-Tabela3[[#This Row],[Perda Pçs]]</f>
        <v>8</v>
      </c>
      <c r="N258" s="38">
        <f>IFERROR(Tabela3[[#This Row],[Perda Pçs]]/Tabela3[[#This Row],[Previsto]],0)</f>
        <v>0</v>
      </c>
      <c r="O258" s="39">
        <f>IFERROR(IF(Tabela3[[#This Row],[Qtde Cx Produzida]] &lt;&gt; 0, Tabela3[[#This Row],[Tempo]] / Tabela3[[#This Row],[Qtde Cx Produzida]], 0),0)</f>
        <v>4.8611111111111112E-3</v>
      </c>
      <c r="P258" s="57">
        <f>IFERROR(Tabela3[[#This Row],[Perda Pçs]]/Tabela3[[#This Row],[Qdt Peça Placa]],0)</f>
        <v>0</v>
      </c>
      <c r="Q258" s="37">
        <f>IFERROR(Tabela3[[#This Row],[Realizado]]*Tabela3[[#This Row],[Peso Util/Pç]],0)</f>
        <v>2.4</v>
      </c>
      <c r="R258" s="37">
        <f>IFERROR(Tabela3[[#This Row],[Peso Total Galho]]*Tabela3[[#This Row],[Qtde Cx Produzida]]*1.055,0)</f>
        <v>4.8529999999999998</v>
      </c>
      <c r="S258" s="37">
        <f>(Tabela3[[#This Row],[Aluminio Bruto]]-Tabela3[[#This Row],[Aluminio Util]])*0.9</f>
        <v>2.2077</v>
      </c>
      <c r="T258" s="37">
        <f>Tabela3[[#This Row],[Aluminio Bruto]]/OleoKGAluminio</f>
        <v>2.0416508251312853</v>
      </c>
      <c r="U258" s="35">
        <f>IFERROR((VLOOKUP(Tabela3[[#This Row],[Moldador]],Tabela1[],5,)+(VLOOKUP(Tabela3[[#This Row],[Ajudante]],Tabela1[],5,))*3.5),0)</f>
        <v>99.95034583333333</v>
      </c>
      <c r="V258" s="35">
        <f>IFERROR(Tabela3[[#This Row],[Custo M.O. / H]]/((Tabela3[[#This Row],[Realizado]]/Tabela3[[#This Row],[Qdt Peça Placa]])/Tabela3[[#This Row],[Tempo]]/24),)</f>
        <v>11.660873680555556</v>
      </c>
      <c r="W258" s="35">
        <f>Tabela3[[#This Row],[Custo / Cx Moldada]]*Tabela3[[#This Row],[Qtde Cx Produzida]]</f>
        <v>23.321747361111111</v>
      </c>
      <c r="X258" s="35">
        <f ca="1">Tabela3[[#This Row],[Aluminio Util]]*Tabela3[[#This Row],[Custo/Kg]]</f>
        <v>37.440000000000005</v>
      </c>
      <c r="Y258" s="35">
        <f>IFERROR(VLOOKUP(Tabela3[[#This Row],[Data]],Tabela461213[],2,1)*(Tabela3[[#This Row],[Qtde Cx Produzida]]*Tabela3[[#This Row],[Qde macho / CX]]*Tabela3[[#This Row],[Peso Macho]]),)</f>
        <v>0</v>
      </c>
      <c r="Z258" s="35">
        <f>IFERROR(Tabela3[[#This Row],[Qtde Oleo]]*(VLOOKUP(Tabela3[[#This Row],[Data]],CompraOleo[],3,TRUE))*1.05,0)</f>
        <v>5.3593334159696235</v>
      </c>
      <c r="AA258" s="47">
        <f ca="1">(Tabela3[[#This Row],[Custo Oleo]]+Tabela3[[#This Row],[Custo Aluminio]]+Tabela3[[#This Row],[Custo M.O. Total]]+Tabela3[[#This Row],[Custo Machos]])</f>
        <v>66.121080777080735</v>
      </c>
      <c r="AB258" s="47">
        <f ca="1">Tabela3[[#This Row],[Custo Total]]*Tabela3[[#This Row],[% Perda]]</f>
        <v>0</v>
      </c>
      <c r="AC258" s="48">
        <f>IFERROR(VLOOKUP(Tabela3[[#This Row],[Produto]],Tabela2[],2,0),0)</f>
        <v>4</v>
      </c>
      <c r="AD258" s="48">
        <f>IFERROR(VLOOKUP(Tabela3[[#This Row],[Produto]],Tabela2[],3,0),0)</f>
        <v>0.3</v>
      </c>
      <c r="AE258" s="48">
        <f>IFERROR(VLOOKUP(Tabela3[[#This Row],[Produto]],Tabela2[],4,0),0)</f>
        <v>2.2999999999999998</v>
      </c>
      <c r="AF258" s="48">
        <f>IFERROR(VLOOKUP(Tabela3[[#This Row],[Produto]],Tabela2[],5,0),0)</f>
        <v>0.98999999999999988</v>
      </c>
      <c r="AG258" s="40">
        <f>IFERROR(VLOOKUP(Tabela3[[#This Row],[Produto]],Tabela2[],6,0),0)</f>
        <v>0</v>
      </c>
      <c r="AH258" s="40">
        <f>IFERROR(VLOOKUP(Tabela3[[#This Row],[Produto]],Tabela2[],7,0),0)</f>
        <v>0</v>
      </c>
      <c r="AI258" s="40">
        <f>IFERROR(VLOOKUP(Tabela3[[#This Row],[Produto]],Tabela2[],8,0),0)</f>
        <v>0</v>
      </c>
      <c r="AJ258" s="35">
        <f ca="1">IFERROR(VLOOKUP(Tabela3[[#This Row],[Produto]],Tabela2[],13,0),0)</f>
        <v>15.600000000000001</v>
      </c>
      <c r="AK258" s="40" t="str">
        <f>IFERROR(VLOOKUP(Tabela3[[#This Row],[Produto]],Tabela2[],14,0),0)</f>
        <v>Senun</v>
      </c>
      <c r="AL258" s="40">
        <f>IFERROR(VLOOKUP(Tabela3[[#This Row],[Produto]],Tabela2[],15,0),0)</f>
        <v>3.5</v>
      </c>
      <c r="AM258" s="36">
        <f ca="1">(Tabela3[[#This Row],[Custo Usinagem]]+Tabela3[[#This Row],[Custo / Pç]])*1.2</f>
        <v>14.118162116562109</v>
      </c>
      <c r="AN258" s="36">
        <f ca="1">Tabela3[[#This Row],[Valor Mínimo Venda]]*1.15</f>
        <v>16.235886434046424</v>
      </c>
      <c r="AO258" s="36">
        <f ca="1">Tabela3[[#This Row],[Tabela 1]]*1.08</f>
        <v>17.534757348770139</v>
      </c>
      <c r="AP258" s="36">
        <f ca="1">Tabela3[[#This Row],[Tabela 2]]*1.15</f>
        <v>20.164970951085657</v>
      </c>
    </row>
    <row r="259" spans="1:42">
      <c r="A259" s="9">
        <v>45789</v>
      </c>
      <c r="B259" s="6" t="s">
        <v>236</v>
      </c>
      <c r="C259" s="14">
        <v>6481</v>
      </c>
      <c r="D259" s="6" t="s">
        <v>46</v>
      </c>
      <c r="E259" s="6" t="s">
        <v>53</v>
      </c>
      <c r="F259" s="6">
        <v>35</v>
      </c>
      <c r="G259" s="15">
        <v>0.19166666666666668</v>
      </c>
      <c r="H259" s="16">
        <v>0</v>
      </c>
      <c r="I259" s="35">
        <f ca="1">IFERROR(Tabela3[[#This Row],[Custo Total]]/Tabela3[[#This Row],[Aluminio Util]],0)</f>
        <v>24.233315202734584</v>
      </c>
      <c r="J259" s="35">
        <f ca="1">Tabela3[[#This Row],[Custo Total]]/Tabela3[[#This Row],[Realizado]]</f>
        <v>7.3184611912258442</v>
      </c>
      <c r="K259" s="37">
        <f>IFERROR(Tabela3[[#This Row],[Qtde Cx Produzida]]/Tabela3[[#This Row],[Tempo]]/24,0)</f>
        <v>7.6086956521739131</v>
      </c>
      <c r="L259" s="37">
        <f>Tabela3[[#This Row],[Qtde Cx Produzida]]*Tabela3[[#This Row],[Qdt Peça Placa]]</f>
        <v>210</v>
      </c>
      <c r="M259" s="37">
        <f>Tabela3[[#This Row],[Previsto]]-Tabela3[[#This Row],[Perda Pçs]]</f>
        <v>210</v>
      </c>
      <c r="N259" s="38">
        <f>IFERROR(Tabela3[[#This Row],[Perda Pçs]]/Tabela3[[#This Row],[Previsto]],0)</f>
        <v>0</v>
      </c>
      <c r="O259" s="39">
        <f>IFERROR(IF(Tabela3[[#This Row],[Qtde Cx Produzida]] &lt;&gt; 0, Tabela3[[#This Row],[Tempo]] / Tabela3[[#This Row],[Qtde Cx Produzida]], 0),0)</f>
        <v>5.4761904761904765E-3</v>
      </c>
      <c r="P259" s="57">
        <f>IFERROR(Tabela3[[#This Row],[Perda Pçs]]/Tabela3[[#This Row],[Qdt Peça Placa]],0)</f>
        <v>0</v>
      </c>
      <c r="Q259" s="37">
        <f>IFERROR(Tabela3[[#This Row],[Realizado]]*Tabela3[[#This Row],[Peso Util/Pç]],0)</f>
        <v>63.419999999999995</v>
      </c>
      <c r="R259" s="37">
        <f>IFERROR(Tabela3[[#This Row],[Peso Total Galho]]*Tabela3[[#This Row],[Qtde Cx Produzida]]*1.055,0)</f>
        <v>79.462600000000009</v>
      </c>
      <c r="S259" s="37">
        <f>(Tabela3[[#This Row],[Aluminio Bruto]]-Tabela3[[#This Row],[Aluminio Util]])*0.9</f>
        <v>14.438340000000013</v>
      </c>
      <c r="T259" s="37">
        <f>Tabela3[[#This Row],[Aluminio Bruto]]/OleoKGAluminio</f>
        <v>33.42981307584531</v>
      </c>
      <c r="U259" s="35">
        <f>IFERROR((VLOOKUP(Tabela3[[#This Row],[Moldador]],Tabela1[],5,)+(VLOOKUP(Tabela3[[#This Row],[Ajudante]],Tabela1[],5,))*3.5),0)</f>
        <v>99.95034583333333</v>
      </c>
      <c r="V259" s="35">
        <f>IFERROR(Tabela3[[#This Row],[Custo M.O. / H]]/((Tabela3[[#This Row],[Realizado]]/Tabela3[[#This Row],[Qdt Peça Placa]])/Tabela3[[#This Row],[Tempo]]/24),)</f>
        <v>13.136331166666666</v>
      </c>
      <c r="W259" s="35">
        <f>Tabela3[[#This Row],[Custo / Cx Moldada]]*Tabela3[[#This Row],[Qtde Cx Produzida]]</f>
        <v>459.77159083333333</v>
      </c>
      <c r="X259" s="35">
        <f ca="1">Tabela3[[#This Row],[Aluminio Util]]*Tabela3[[#This Row],[Custo/Kg]]</f>
        <v>989.35199999999998</v>
      </c>
      <c r="Y259" s="35">
        <f>IFERROR(VLOOKUP(Tabela3[[#This Row],[Data]],Tabela461213[],2,1)*(Tabela3[[#This Row],[Qtde Cx Produzida]]*Tabela3[[#This Row],[Qde macho / CX]]*Tabela3[[#This Row],[Peso Macho]]),)</f>
        <v>0</v>
      </c>
      <c r="Z259" s="35">
        <f>IFERROR(Tabela3[[#This Row],[Qtde Oleo]]*(VLOOKUP(Tabela3[[#This Row],[Data]],CompraOleo[],3,TRUE))*1.05,0)</f>
        <v>87.753259324093946</v>
      </c>
      <c r="AA259" s="47">
        <f ca="1">(Tabela3[[#This Row],[Custo Oleo]]+Tabela3[[#This Row],[Custo Aluminio]]+Tabela3[[#This Row],[Custo M.O. Total]]+Tabela3[[#This Row],[Custo Machos]])</f>
        <v>1536.8768501574273</v>
      </c>
      <c r="AB259" s="47">
        <f ca="1">Tabela3[[#This Row],[Custo Total]]*Tabela3[[#This Row],[% Perda]]</f>
        <v>0</v>
      </c>
      <c r="AC259" s="48">
        <f>IFERROR(VLOOKUP(Tabela3[[#This Row],[Produto]],Tabela2[],2,0),0)</f>
        <v>6</v>
      </c>
      <c r="AD259" s="48">
        <f>IFERROR(VLOOKUP(Tabela3[[#This Row],[Produto]],Tabela2[],3,0),0)</f>
        <v>0.30199999999999999</v>
      </c>
      <c r="AE259" s="48">
        <f>IFERROR(VLOOKUP(Tabela3[[#This Row],[Produto]],Tabela2[],4,0),0)</f>
        <v>2.1520000000000001</v>
      </c>
      <c r="AF259" s="48">
        <f>IFERROR(VLOOKUP(Tabela3[[#This Row],[Produto]],Tabela2[],5,0),0)</f>
        <v>0.30600000000000027</v>
      </c>
      <c r="AG259" s="40">
        <f>IFERROR(VLOOKUP(Tabela3[[#This Row],[Produto]],Tabela2[],6,0),0)</f>
        <v>0</v>
      </c>
      <c r="AH259" s="40">
        <f>IFERROR(VLOOKUP(Tabela3[[#This Row],[Produto]],Tabela2[],7,0),0)</f>
        <v>0</v>
      </c>
      <c r="AI259" s="40">
        <f>IFERROR(VLOOKUP(Tabela3[[#This Row],[Produto]],Tabela2[],8,0),0)</f>
        <v>0</v>
      </c>
      <c r="AJ259" s="35">
        <f ca="1">IFERROR(VLOOKUP(Tabela3[[#This Row],[Produto]],Tabela2[],13,0),0)</f>
        <v>15.600000000000001</v>
      </c>
      <c r="AK259" s="40" t="str">
        <f>IFERROR(VLOOKUP(Tabela3[[#This Row],[Produto]],Tabela2[],14,0),0)</f>
        <v>Senun</v>
      </c>
      <c r="AL259" s="40">
        <f>IFERROR(VLOOKUP(Tabela3[[#This Row],[Produto]],Tabela2[],15,0),0)</f>
        <v>4</v>
      </c>
      <c r="AM259" s="36">
        <f ca="1">(Tabela3[[#This Row],[Custo Usinagem]]+Tabela3[[#This Row],[Custo / Pç]])*1.2</f>
        <v>13.582153429471012</v>
      </c>
      <c r="AN259" s="36">
        <f ca="1">Tabela3[[#This Row],[Valor Mínimo Venda]]*1.15</f>
        <v>15.619476443891662</v>
      </c>
      <c r="AO259" s="36">
        <f ca="1">Tabela3[[#This Row],[Tabela 1]]*1.08</f>
        <v>16.869034559402994</v>
      </c>
      <c r="AP259" s="36">
        <f ca="1">Tabela3[[#This Row],[Tabela 2]]*1.15</f>
        <v>19.399389743313442</v>
      </c>
    </row>
    <row r="260" spans="1:42">
      <c r="A260" s="9">
        <v>45790</v>
      </c>
      <c r="B260" s="6" t="s">
        <v>236</v>
      </c>
      <c r="C260" s="14">
        <v>6481</v>
      </c>
      <c r="D260" s="6" t="s">
        <v>46</v>
      </c>
      <c r="E260" s="6" t="s">
        <v>53</v>
      </c>
      <c r="F260" s="6">
        <v>42</v>
      </c>
      <c r="G260" s="15">
        <v>0.18194444444444444</v>
      </c>
      <c r="H260" s="16">
        <v>0</v>
      </c>
      <c r="I260" s="35">
        <f ca="1">IFERROR(Tabela3[[#This Row],[Custo Total]]/Tabela3[[#This Row],[Aluminio Util]],0)</f>
        <v>22.718597638246809</v>
      </c>
      <c r="J260" s="35">
        <f ca="1">Tabela3[[#This Row],[Custo Total]]/Tabela3[[#This Row],[Realizado]]</f>
        <v>6.8610164867505361</v>
      </c>
      <c r="K260" s="37">
        <f>IFERROR(Tabela3[[#This Row],[Qtde Cx Produzida]]/Tabela3[[#This Row],[Tempo]]/24,0)</f>
        <v>9.6183206106870234</v>
      </c>
      <c r="L260" s="37">
        <f>Tabela3[[#This Row],[Qtde Cx Produzida]]*Tabela3[[#This Row],[Qdt Peça Placa]]</f>
        <v>252</v>
      </c>
      <c r="M260" s="37">
        <f>Tabela3[[#This Row],[Previsto]]-Tabela3[[#This Row],[Perda Pçs]]</f>
        <v>252</v>
      </c>
      <c r="N260" s="38">
        <f>IFERROR(Tabela3[[#This Row],[Perda Pçs]]/Tabela3[[#This Row],[Previsto]],0)</f>
        <v>0</v>
      </c>
      <c r="O260" s="39">
        <f>IFERROR(IF(Tabela3[[#This Row],[Qtde Cx Produzida]] &lt;&gt; 0, Tabela3[[#This Row],[Tempo]] / Tabela3[[#This Row],[Qtde Cx Produzida]], 0),0)</f>
        <v>4.3320105820105819E-3</v>
      </c>
      <c r="P260" s="57">
        <f>IFERROR(Tabela3[[#This Row],[Perda Pçs]]/Tabela3[[#This Row],[Qdt Peça Placa]],0)</f>
        <v>0</v>
      </c>
      <c r="Q260" s="37">
        <f>IFERROR(Tabela3[[#This Row],[Realizado]]*Tabela3[[#This Row],[Peso Util/Pç]],0)</f>
        <v>76.103999999999999</v>
      </c>
      <c r="R260" s="37">
        <f>IFERROR(Tabela3[[#This Row],[Peso Total Galho]]*Tabela3[[#This Row],[Qtde Cx Produzida]]*1.055,0)</f>
        <v>95.355119999999999</v>
      </c>
      <c r="S260" s="37">
        <f>(Tabela3[[#This Row],[Aluminio Bruto]]-Tabela3[[#This Row],[Aluminio Util]])*0.9</f>
        <v>17.326008000000002</v>
      </c>
      <c r="T260" s="37">
        <f>Tabela3[[#This Row],[Aluminio Bruto]]/OleoKGAluminio</f>
        <v>40.115775691014363</v>
      </c>
      <c r="U260" s="35">
        <f>IFERROR((VLOOKUP(Tabela3[[#This Row],[Moldador]],Tabela1[],5,)+(VLOOKUP(Tabela3[[#This Row],[Ajudante]],Tabela1[],5,))*3.5),0)</f>
        <v>99.95034583333333</v>
      </c>
      <c r="V260" s="35">
        <f>IFERROR(Tabela3[[#This Row],[Custo M.O. / H]]/((Tabela3[[#This Row],[Realizado]]/Tabela3[[#This Row],[Qdt Peça Placa]])/Tabela3[[#This Row],[Tempo]]/24),)</f>
        <v>10.391662939814815</v>
      </c>
      <c r="W260" s="35">
        <f>Tabela3[[#This Row],[Custo / Cx Moldada]]*Tabela3[[#This Row],[Qtde Cx Produzida]]</f>
        <v>436.4498434722222</v>
      </c>
      <c r="X260" s="35">
        <f ca="1">Tabela3[[#This Row],[Aluminio Util]]*Tabela3[[#This Row],[Custo/Kg]]</f>
        <v>1187.2224000000001</v>
      </c>
      <c r="Y260" s="35">
        <f>IFERROR(VLOOKUP(Tabela3[[#This Row],[Data]],Tabela461213[],2,1)*(Tabela3[[#This Row],[Qtde Cx Produzida]]*Tabela3[[#This Row],[Qde macho / CX]]*Tabela3[[#This Row],[Peso Macho]]),)</f>
        <v>0</v>
      </c>
      <c r="Z260" s="35">
        <f>IFERROR(Tabela3[[#This Row],[Qtde Oleo]]*(VLOOKUP(Tabela3[[#This Row],[Data]],CompraOleo[],3,TRUE))*1.05,0)</f>
        <v>105.30391118891271</v>
      </c>
      <c r="AA260" s="47">
        <f ca="1">(Tabela3[[#This Row],[Custo Oleo]]+Tabela3[[#This Row],[Custo Aluminio]]+Tabela3[[#This Row],[Custo M.O. Total]]+Tabela3[[#This Row],[Custo Machos]])</f>
        <v>1728.9761546611351</v>
      </c>
      <c r="AB260" s="47">
        <f ca="1">Tabela3[[#This Row],[Custo Total]]*Tabela3[[#This Row],[% Perda]]</f>
        <v>0</v>
      </c>
      <c r="AC260" s="48">
        <f>IFERROR(VLOOKUP(Tabela3[[#This Row],[Produto]],Tabela2[],2,0),0)</f>
        <v>6</v>
      </c>
      <c r="AD260" s="48">
        <f>IFERROR(VLOOKUP(Tabela3[[#This Row],[Produto]],Tabela2[],3,0),0)</f>
        <v>0.30199999999999999</v>
      </c>
      <c r="AE260" s="48">
        <f>IFERROR(VLOOKUP(Tabela3[[#This Row],[Produto]],Tabela2[],4,0),0)</f>
        <v>2.1520000000000001</v>
      </c>
      <c r="AF260" s="48">
        <f>IFERROR(VLOOKUP(Tabela3[[#This Row],[Produto]],Tabela2[],5,0),0)</f>
        <v>0.30600000000000027</v>
      </c>
      <c r="AG260" s="40">
        <f>IFERROR(VLOOKUP(Tabela3[[#This Row],[Produto]],Tabela2[],6,0),0)</f>
        <v>0</v>
      </c>
      <c r="AH260" s="40">
        <f>IFERROR(VLOOKUP(Tabela3[[#This Row],[Produto]],Tabela2[],7,0),0)</f>
        <v>0</v>
      </c>
      <c r="AI260" s="40">
        <f>IFERROR(VLOOKUP(Tabela3[[#This Row],[Produto]],Tabela2[],8,0),0)</f>
        <v>0</v>
      </c>
      <c r="AJ260" s="35">
        <f ca="1">IFERROR(VLOOKUP(Tabela3[[#This Row],[Produto]],Tabela2[],13,0),0)</f>
        <v>15.600000000000001</v>
      </c>
      <c r="AK260" s="40" t="str">
        <f>IFERROR(VLOOKUP(Tabela3[[#This Row],[Produto]],Tabela2[],14,0),0)</f>
        <v>Senun</v>
      </c>
      <c r="AL260" s="40">
        <f>IFERROR(VLOOKUP(Tabela3[[#This Row],[Produto]],Tabela2[],15,0),0)</f>
        <v>4</v>
      </c>
      <c r="AM260" s="36">
        <f ca="1">(Tabela3[[#This Row],[Custo Usinagem]]+Tabela3[[#This Row],[Custo / Pç]])*1.2</f>
        <v>13.033219784100643</v>
      </c>
      <c r="AN260" s="36">
        <f ca="1">Tabela3[[#This Row],[Valor Mínimo Venda]]*1.15</f>
        <v>14.988202751715738</v>
      </c>
      <c r="AO260" s="36">
        <f ca="1">Tabela3[[#This Row],[Tabela 1]]*1.08</f>
        <v>16.187258971852998</v>
      </c>
      <c r="AP260" s="36">
        <f ca="1">Tabela3[[#This Row],[Tabela 2]]*1.15</f>
        <v>18.615347817630948</v>
      </c>
    </row>
    <row r="261" spans="1:42">
      <c r="A261" s="9">
        <v>45790</v>
      </c>
      <c r="B261" s="6" t="s">
        <v>247</v>
      </c>
      <c r="C261" s="14">
        <v>6575</v>
      </c>
      <c r="D261" s="6" t="s">
        <v>46</v>
      </c>
      <c r="E261" s="6" t="s">
        <v>53</v>
      </c>
      <c r="F261" s="6">
        <v>28</v>
      </c>
      <c r="G261" s="15">
        <v>0.12291666666666666</v>
      </c>
      <c r="H261" s="16">
        <v>20</v>
      </c>
      <c r="I261" s="35">
        <f ca="1">IFERROR(Tabela3[[#This Row],[Custo Total]]/Tabela3[[#This Row],[Aluminio Util]],0)</f>
        <v>31.324013745708179</v>
      </c>
      <c r="J261" s="35">
        <f ca="1">Tabela3[[#This Row],[Custo Total]]/Tabela3[[#This Row],[Realizado]]</f>
        <v>9.3972041237124522</v>
      </c>
      <c r="K261" s="37">
        <f>IFERROR(Tabela3[[#This Row],[Qtde Cx Produzida]]/Tabela3[[#This Row],[Tempo]]/24,0)</f>
        <v>9.4915254237288149</v>
      </c>
      <c r="L261" s="37">
        <f>Tabela3[[#This Row],[Qtde Cx Produzida]]*Tabela3[[#This Row],[Qdt Peça Placa]]</f>
        <v>112</v>
      </c>
      <c r="M261" s="37">
        <f>Tabela3[[#This Row],[Previsto]]-Tabela3[[#This Row],[Perda Pçs]]</f>
        <v>92</v>
      </c>
      <c r="N261" s="38">
        <f>IFERROR(Tabela3[[#This Row],[Perda Pçs]]/Tabela3[[#This Row],[Previsto]],0)</f>
        <v>0.17857142857142858</v>
      </c>
      <c r="O261" s="39">
        <f>IFERROR(IF(Tabela3[[#This Row],[Qtde Cx Produzida]] &lt;&gt; 0, Tabela3[[#This Row],[Tempo]] / Tabela3[[#This Row],[Qtde Cx Produzida]], 0),0)</f>
        <v>4.3898809523809524E-3</v>
      </c>
      <c r="P261" s="57">
        <f>IFERROR(Tabela3[[#This Row],[Perda Pçs]]/Tabela3[[#This Row],[Qdt Peça Placa]],0)</f>
        <v>5</v>
      </c>
      <c r="Q261" s="37">
        <f>IFERROR(Tabela3[[#This Row],[Realizado]]*Tabela3[[#This Row],[Peso Util/Pç]],0)</f>
        <v>27.599999999999998</v>
      </c>
      <c r="R261" s="37">
        <f>IFERROR(Tabela3[[#This Row],[Peso Total Galho]]*Tabela3[[#This Row],[Qtde Cx Produzida]]*1.055,0)</f>
        <v>67.941999999999993</v>
      </c>
      <c r="S261" s="37">
        <f>(Tabela3[[#This Row],[Aluminio Bruto]]-Tabela3[[#This Row],[Aluminio Util]])*0.9</f>
        <v>36.3078</v>
      </c>
      <c r="T261" s="37">
        <f>Tabela3[[#This Row],[Aluminio Bruto]]/OleoKGAluminio</f>
        <v>28.583111551837991</v>
      </c>
      <c r="U261" s="35">
        <f>IFERROR((VLOOKUP(Tabela3[[#This Row],[Moldador]],Tabela1[],5,)+(VLOOKUP(Tabela3[[#This Row],[Ajudante]],Tabela1[],5,))*3.5),0)</f>
        <v>99.95034583333333</v>
      </c>
      <c r="V261" s="35">
        <f>IFERROR(Tabela3[[#This Row],[Custo M.O. / H]]/((Tabela3[[#This Row],[Realizado]]/Tabela3[[#This Row],[Qdt Peça Placa]])/Tabela3[[#This Row],[Tempo]]/24),)</f>
        <v>12.819718269927534</v>
      </c>
      <c r="W261" s="35">
        <f>Tabela3[[#This Row],[Custo / Cx Moldada]]*Tabela3[[#This Row],[Qtde Cx Produzida]]</f>
        <v>358.95211155797097</v>
      </c>
      <c r="X261" s="35">
        <f ca="1">Tabela3[[#This Row],[Aluminio Util]]*Tabela3[[#This Row],[Custo/Kg]]</f>
        <v>430.56</v>
      </c>
      <c r="Y261" s="35">
        <f>IFERROR(VLOOKUP(Tabela3[[#This Row],[Data]],Tabela461213[],2,1)*(Tabela3[[#This Row],[Qtde Cx Produzida]]*Tabela3[[#This Row],[Qde macho / CX]]*Tabela3[[#This Row],[Peso Macho]]),)</f>
        <v>0</v>
      </c>
      <c r="Z261" s="35">
        <f>IFERROR(Tabela3[[#This Row],[Qtde Oleo]]*(VLOOKUP(Tabela3[[#This Row],[Data]],CompraOleo[],3,TRUE))*1.05,0)</f>
        <v>75.030667823574731</v>
      </c>
      <c r="AA261" s="47">
        <f ca="1">(Tabela3[[#This Row],[Custo Oleo]]+Tabela3[[#This Row],[Custo Aluminio]]+Tabela3[[#This Row],[Custo M.O. Total]]+Tabela3[[#This Row],[Custo Machos]])</f>
        <v>864.54277938154564</v>
      </c>
      <c r="AB261" s="47">
        <f ca="1">Tabela3[[#This Row],[Custo Total]]*Tabela3[[#This Row],[% Perda]]</f>
        <v>154.38263917527601</v>
      </c>
      <c r="AC261" s="48">
        <f>IFERROR(VLOOKUP(Tabela3[[#This Row],[Produto]],Tabela2[],2,0),0)</f>
        <v>4</v>
      </c>
      <c r="AD261" s="48">
        <f>IFERROR(VLOOKUP(Tabela3[[#This Row],[Produto]],Tabela2[],3,0),0)</f>
        <v>0.3</v>
      </c>
      <c r="AE261" s="48">
        <f>IFERROR(VLOOKUP(Tabela3[[#This Row],[Produto]],Tabela2[],4,0),0)</f>
        <v>2.2999999999999998</v>
      </c>
      <c r="AF261" s="48">
        <f>IFERROR(VLOOKUP(Tabela3[[#This Row],[Produto]],Tabela2[],5,0),0)</f>
        <v>0.98999999999999988</v>
      </c>
      <c r="AG261" s="40">
        <f>IFERROR(VLOOKUP(Tabela3[[#This Row],[Produto]],Tabela2[],6,0),0)</f>
        <v>0</v>
      </c>
      <c r="AH261" s="40">
        <f>IFERROR(VLOOKUP(Tabela3[[#This Row],[Produto]],Tabela2[],7,0),0)</f>
        <v>0</v>
      </c>
      <c r="AI261" s="40">
        <f>IFERROR(VLOOKUP(Tabela3[[#This Row],[Produto]],Tabela2[],8,0),0)</f>
        <v>0</v>
      </c>
      <c r="AJ261" s="35">
        <f ca="1">IFERROR(VLOOKUP(Tabela3[[#This Row],[Produto]],Tabela2[],13,0),0)</f>
        <v>15.600000000000001</v>
      </c>
      <c r="AK261" s="40" t="str">
        <f>IFERROR(VLOOKUP(Tabela3[[#This Row],[Produto]],Tabela2[],14,0),0)</f>
        <v>Senun</v>
      </c>
      <c r="AL261" s="40">
        <f>IFERROR(VLOOKUP(Tabela3[[#This Row],[Produto]],Tabela2[],15,0),0)</f>
        <v>3.5</v>
      </c>
      <c r="AM261" s="36">
        <f ca="1">(Tabela3[[#This Row],[Custo Usinagem]]+Tabela3[[#This Row],[Custo / Pç]])*1.2</f>
        <v>15.476644948454942</v>
      </c>
      <c r="AN261" s="36">
        <f ca="1">Tabela3[[#This Row],[Valor Mínimo Venda]]*1.15</f>
        <v>17.798141690723181</v>
      </c>
      <c r="AO261" s="36">
        <f ca="1">Tabela3[[#This Row],[Tabela 1]]*1.08</f>
        <v>19.221993025981035</v>
      </c>
      <c r="AP261" s="36">
        <f ca="1">Tabela3[[#This Row],[Tabela 2]]*1.15</f>
        <v>22.105291979878189</v>
      </c>
    </row>
    <row r="262" spans="1:42">
      <c r="A262" s="9">
        <v>45791</v>
      </c>
      <c r="B262" s="6" t="s">
        <v>247</v>
      </c>
      <c r="C262" s="14">
        <v>6575</v>
      </c>
      <c r="D262" s="6" t="s">
        <v>46</v>
      </c>
      <c r="E262" s="6" t="s">
        <v>53</v>
      </c>
      <c r="F262" s="6">
        <v>20</v>
      </c>
      <c r="G262" s="15">
        <v>7.8472222222222221E-2</v>
      </c>
      <c r="H262" s="16">
        <v>7</v>
      </c>
      <c r="I262" s="35">
        <f ca="1">IFERROR(Tabela3[[#This Row],[Custo Total]]/Tabela3[[#This Row],[Aluminio Util]],0)</f>
        <v>27.466828568553648</v>
      </c>
      <c r="J262" s="35">
        <f ca="1">Tabela3[[#This Row],[Custo Total]]/Tabela3[[#This Row],[Realizado]]</f>
        <v>8.2400485705660937</v>
      </c>
      <c r="K262" s="37">
        <f>IFERROR(Tabela3[[#This Row],[Qtde Cx Produzida]]/Tabela3[[#This Row],[Tempo]]/24,0)</f>
        <v>10.619469026548673</v>
      </c>
      <c r="L262" s="37">
        <f>Tabela3[[#This Row],[Qtde Cx Produzida]]*Tabela3[[#This Row],[Qdt Peça Placa]]</f>
        <v>80</v>
      </c>
      <c r="M262" s="37">
        <f>Tabela3[[#This Row],[Previsto]]-Tabela3[[#This Row],[Perda Pçs]]</f>
        <v>73</v>
      </c>
      <c r="N262" s="38">
        <f>IFERROR(Tabela3[[#This Row],[Perda Pçs]]/Tabela3[[#This Row],[Previsto]],0)</f>
        <v>8.7499999999999994E-2</v>
      </c>
      <c r="O262" s="39">
        <f>IFERROR(IF(Tabela3[[#This Row],[Qtde Cx Produzida]] &lt;&gt; 0, Tabela3[[#This Row],[Tempo]] / Tabela3[[#This Row],[Qtde Cx Produzida]], 0),0)</f>
        <v>3.9236111111111112E-3</v>
      </c>
      <c r="P262" s="57">
        <f>IFERROR(Tabela3[[#This Row],[Perda Pçs]]/Tabela3[[#This Row],[Qdt Peça Placa]],0)</f>
        <v>1.75</v>
      </c>
      <c r="Q262" s="37">
        <f>IFERROR(Tabela3[[#This Row],[Realizado]]*Tabela3[[#This Row],[Peso Util/Pç]],0)</f>
        <v>21.9</v>
      </c>
      <c r="R262" s="37">
        <f>IFERROR(Tabela3[[#This Row],[Peso Total Galho]]*Tabela3[[#This Row],[Qtde Cx Produzida]]*1.055,0)</f>
        <v>48.529999999999994</v>
      </c>
      <c r="S262" s="37">
        <f>(Tabela3[[#This Row],[Aluminio Bruto]]-Tabela3[[#This Row],[Aluminio Util]])*0.9</f>
        <v>23.966999999999995</v>
      </c>
      <c r="T262" s="37">
        <f>Tabela3[[#This Row],[Aluminio Bruto]]/OleoKGAluminio</f>
        <v>20.416508251312848</v>
      </c>
      <c r="U262" s="35">
        <f>IFERROR((VLOOKUP(Tabela3[[#This Row],[Moldador]],Tabela1[],5,)+(VLOOKUP(Tabela3[[#This Row],[Ajudante]],Tabela1[],5,))*3.5),0)</f>
        <v>99.95034583333333</v>
      </c>
      <c r="V262" s="35">
        <f>IFERROR(Tabela3[[#This Row],[Custo M.O. / H]]/((Tabela3[[#This Row],[Realizado]]/Tabela3[[#This Row],[Qdt Peça Placa]])/Tabela3[[#This Row],[Tempo]]/24),)</f>
        <v>10.31451057458143</v>
      </c>
      <c r="W262" s="35">
        <f>Tabela3[[#This Row],[Custo / Cx Moldada]]*Tabela3[[#This Row],[Qtde Cx Produzida]]</f>
        <v>206.29021149162861</v>
      </c>
      <c r="X262" s="35">
        <f ca="1">Tabela3[[#This Row],[Aluminio Util]]*Tabela3[[#This Row],[Custo/Kg]]</f>
        <v>341.64</v>
      </c>
      <c r="Y262" s="35">
        <f>IFERROR(VLOOKUP(Tabela3[[#This Row],[Data]],Tabela461213[],2,1)*(Tabela3[[#This Row],[Qtde Cx Produzida]]*Tabela3[[#This Row],[Qde macho / CX]]*Tabela3[[#This Row],[Peso Macho]]),)</f>
        <v>0</v>
      </c>
      <c r="Z262" s="35">
        <f>IFERROR(Tabela3[[#This Row],[Qtde Oleo]]*(VLOOKUP(Tabela3[[#This Row],[Data]],CompraOleo[],3,TRUE))*1.05,0)</f>
        <v>53.593334159696226</v>
      </c>
      <c r="AA262" s="47">
        <f ca="1">(Tabela3[[#This Row],[Custo Oleo]]+Tabela3[[#This Row],[Custo Aluminio]]+Tabela3[[#This Row],[Custo M.O. Total]]+Tabela3[[#This Row],[Custo Machos]])</f>
        <v>601.52354565132487</v>
      </c>
      <c r="AB262" s="47">
        <f ca="1">Tabela3[[#This Row],[Custo Total]]*Tabela3[[#This Row],[% Perda]]</f>
        <v>52.633310244490922</v>
      </c>
      <c r="AC262" s="48">
        <f>IFERROR(VLOOKUP(Tabela3[[#This Row],[Produto]],Tabela2[],2,0),0)</f>
        <v>4</v>
      </c>
      <c r="AD262" s="48">
        <f>IFERROR(VLOOKUP(Tabela3[[#This Row],[Produto]],Tabela2[],3,0),0)</f>
        <v>0.3</v>
      </c>
      <c r="AE262" s="48">
        <f>IFERROR(VLOOKUP(Tabela3[[#This Row],[Produto]],Tabela2[],4,0),0)</f>
        <v>2.2999999999999998</v>
      </c>
      <c r="AF262" s="48">
        <f>IFERROR(VLOOKUP(Tabela3[[#This Row],[Produto]],Tabela2[],5,0),0)</f>
        <v>0.98999999999999988</v>
      </c>
      <c r="AG262" s="40">
        <f>IFERROR(VLOOKUP(Tabela3[[#This Row],[Produto]],Tabela2[],6,0),0)</f>
        <v>0</v>
      </c>
      <c r="AH262" s="40">
        <f>IFERROR(VLOOKUP(Tabela3[[#This Row],[Produto]],Tabela2[],7,0),0)</f>
        <v>0</v>
      </c>
      <c r="AI262" s="40">
        <f>IFERROR(VLOOKUP(Tabela3[[#This Row],[Produto]],Tabela2[],8,0),0)</f>
        <v>0</v>
      </c>
      <c r="AJ262" s="35">
        <f ca="1">IFERROR(VLOOKUP(Tabela3[[#This Row],[Produto]],Tabela2[],13,0),0)</f>
        <v>15.600000000000001</v>
      </c>
      <c r="AK262" s="40" t="str">
        <f>IFERROR(VLOOKUP(Tabela3[[#This Row],[Produto]],Tabela2[],14,0),0)</f>
        <v>Senun</v>
      </c>
      <c r="AL262" s="40">
        <f>IFERROR(VLOOKUP(Tabela3[[#This Row],[Produto]],Tabela2[],15,0),0)</f>
        <v>3.5</v>
      </c>
      <c r="AM262" s="36">
        <f ca="1">(Tabela3[[#This Row],[Custo Usinagem]]+Tabela3[[#This Row],[Custo / Pç]])*1.2</f>
        <v>14.088058284679311</v>
      </c>
      <c r="AN262" s="36">
        <f ca="1">Tabela3[[#This Row],[Valor Mínimo Venda]]*1.15</f>
        <v>16.201267027381206</v>
      </c>
      <c r="AO262" s="36">
        <f ca="1">Tabela3[[#This Row],[Tabela 1]]*1.08</f>
        <v>17.497368389571704</v>
      </c>
      <c r="AP262" s="36">
        <f ca="1">Tabela3[[#This Row],[Tabela 2]]*1.15</f>
        <v>20.121973648007458</v>
      </c>
    </row>
    <row r="263" spans="1:42">
      <c r="A263" s="9">
        <v>45791</v>
      </c>
      <c r="B263" s="6" t="s">
        <v>232</v>
      </c>
      <c r="C263" s="14">
        <v>6605</v>
      </c>
      <c r="D263" s="6" t="s">
        <v>46</v>
      </c>
      <c r="E263" s="6" t="s">
        <v>53</v>
      </c>
      <c r="F263" s="6">
        <v>64</v>
      </c>
      <c r="G263" s="15">
        <v>0.27430555555555558</v>
      </c>
      <c r="H263" s="16">
        <v>0</v>
      </c>
      <c r="I263" s="35">
        <f ca="1">IFERROR(Tabela3[[#This Row],[Custo Total]]/Tabela3[[#This Row],[Aluminio Util]],0)</f>
        <v>25.930299156425303</v>
      </c>
      <c r="J263" s="35">
        <f ca="1">Tabela3[[#This Row],[Custo Total]]/Tabela3[[#This Row],[Realizado]]</f>
        <v>10.916655944855052</v>
      </c>
      <c r="K263" s="37">
        <f>IFERROR(Tabela3[[#This Row],[Qtde Cx Produzida]]/Tabela3[[#This Row],[Tempo]]/24,0)</f>
        <v>9.7215189873417724</v>
      </c>
      <c r="L263" s="37">
        <f>Tabela3[[#This Row],[Qtde Cx Produzida]]*Tabela3[[#This Row],[Qdt Peça Placa]]</f>
        <v>256</v>
      </c>
      <c r="M263" s="37">
        <f>Tabela3[[#This Row],[Previsto]]-Tabela3[[#This Row],[Perda Pçs]]</f>
        <v>256</v>
      </c>
      <c r="N263" s="38">
        <f>IFERROR(Tabela3[[#This Row],[Perda Pçs]]/Tabela3[[#This Row],[Previsto]],0)</f>
        <v>0</v>
      </c>
      <c r="O263" s="39">
        <f>IFERROR(IF(Tabela3[[#This Row],[Qtde Cx Produzida]] &lt;&gt; 0, Tabela3[[#This Row],[Tempo]] / Tabela3[[#This Row],[Qtde Cx Produzida]], 0),0)</f>
        <v>4.2860243055555559E-3</v>
      </c>
      <c r="P263" s="57">
        <f>IFERROR(Tabela3[[#This Row],[Perda Pçs]]/Tabela3[[#This Row],[Qdt Peça Placa]],0)</f>
        <v>0</v>
      </c>
      <c r="Q263" s="37">
        <f>IFERROR(Tabela3[[#This Row],[Realizado]]*Tabela3[[#This Row],[Peso Util/Pç]],0)</f>
        <v>107.776</v>
      </c>
      <c r="R263" s="37">
        <f>IFERROR(Tabela3[[#This Row],[Peso Total Galho]]*Tabela3[[#This Row],[Qtde Cx Produzida]]*1.055,0)</f>
        <v>217.14431999999999</v>
      </c>
      <c r="S263" s="37">
        <f>(Tabela3[[#This Row],[Aluminio Bruto]]-Tabela3[[#This Row],[Aluminio Util]])*0.9</f>
        <v>98.431488000000002</v>
      </c>
      <c r="T263" s="37">
        <f>Tabela3[[#This Row],[Aluminio Bruto]]/OleoKGAluminio</f>
        <v>91.352334659091667</v>
      </c>
      <c r="U263" s="35">
        <f>IFERROR((VLOOKUP(Tabela3[[#This Row],[Moldador]],Tabela1[],5,)+(VLOOKUP(Tabela3[[#This Row],[Ajudante]],Tabela1[],5,))*3.5),0)</f>
        <v>99.95034583333333</v>
      </c>
      <c r="V263" s="35">
        <f>IFERROR(Tabela3[[#This Row],[Custo M.O. / H]]/((Tabela3[[#This Row],[Realizado]]/Tabela3[[#This Row],[Qdt Peça Placa]])/Tabela3[[#This Row],[Tempo]]/24),)</f>
        <v>10.281350678168403</v>
      </c>
      <c r="W263" s="35">
        <f>Tabela3[[#This Row],[Custo / Cx Moldada]]*Tabela3[[#This Row],[Qtde Cx Produzida]]</f>
        <v>658.00644340277779</v>
      </c>
      <c r="X263" s="35">
        <f ca="1">Tabela3[[#This Row],[Aluminio Util]]*Tabela3[[#This Row],[Custo/Kg]]</f>
        <v>1896.8576</v>
      </c>
      <c r="Y263" s="35">
        <f>IFERROR(VLOOKUP(Tabela3[[#This Row],[Data]],Tabela461213[],2,1)*(Tabela3[[#This Row],[Qtde Cx Produzida]]*Tabela3[[#This Row],[Qde macho / CX]]*Tabela3[[#This Row],[Peso Macho]]),)</f>
        <v>0</v>
      </c>
      <c r="Z263" s="35">
        <f>IFERROR(Tabela3[[#This Row],[Qtde Oleo]]*(VLOOKUP(Tabela3[[#This Row],[Data]],CompraOleo[],3,TRUE))*1.05,0)</f>
        <v>239.79987848011561</v>
      </c>
      <c r="AA263" s="47">
        <f ca="1">(Tabela3[[#This Row],[Custo Oleo]]+Tabela3[[#This Row],[Custo Aluminio]]+Tabela3[[#This Row],[Custo M.O. Total]]+Tabela3[[#This Row],[Custo Machos]])</f>
        <v>2794.6639218828932</v>
      </c>
      <c r="AB263" s="47">
        <f ca="1">Tabela3[[#This Row],[Custo Total]]*Tabela3[[#This Row],[% Perda]]</f>
        <v>0</v>
      </c>
      <c r="AC263" s="48">
        <f>IFERROR(VLOOKUP(Tabela3[[#This Row],[Produto]],Tabela2[],2,0),0)</f>
        <v>4</v>
      </c>
      <c r="AD263" s="48">
        <f>IFERROR(VLOOKUP(Tabela3[[#This Row],[Produto]],Tabela2[],3,0),0)</f>
        <v>0.42099999999999999</v>
      </c>
      <c r="AE263" s="48">
        <f>IFERROR(VLOOKUP(Tabela3[[#This Row],[Produto]],Tabela2[],4,0),0)</f>
        <v>3.2160000000000002</v>
      </c>
      <c r="AF263" s="48">
        <f>IFERROR(VLOOKUP(Tabela3[[#This Row],[Produto]],Tabela2[],5,0),0)</f>
        <v>1.3788000000000002</v>
      </c>
      <c r="AG263" s="40">
        <f>IFERROR(VLOOKUP(Tabela3[[#This Row],[Produto]],Tabela2[],6,0),0)</f>
        <v>0</v>
      </c>
      <c r="AH263" s="40">
        <f>IFERROR(VLOOKUP(Tabela3[[#This Row],[Produto]],Tabela2[],7,0),0)</f>
        <v>0</v>
      </c>
      <c r="AI263" s="40">
        <f>IFERROR(VLOOKUP(Tabela3[[#This Row],[Produto]],Tabela2[],8,0),0)</f>
        <v>0</v>
      </c>
      <c r="AJ263" s="35">
        <f ca="1">IFERROR(VLOOKUP(Tabela3[[#This Row],[Produto]],Tabela2[],13,0),0)</f>
        <v>17.600000000000001</v>
      </c>
      <c r="AK263" s="40" t="str">
        <f>IFERROR(VLOOKUP(Tabela3[[#This Row],[Produto]],Tabela2[],14,0),0)</f>
        <v>Busa</v>
      </c>
      <c r="AL263" s="40">
        <f>IFERROR(VLOOKUP(Tabela3[[#This Row],[Produto]],Tabela2[],15,0),0)</f>
        <v>0.5</v>
      </c>
      <c r="AM263" s="36">
        <f ca="1">(Tabela3[[#This Row],[Custo Usinagem]]+Tabela3[[#This Row],[Custo / Pç]])*1.2</f>
        <v>13.699987133826061</v>
      </c>
      <c r="AN263" s="36">
        <f ca="1">Tabela3[[#This Row],[Valor Mínimo Venda]]*1.15</f>
        <v>15.75498520389997</v>
      </c>
      <c r="AO263" s="36">
        <f ca="1">Tabela3[[#This Row],[Tabela 1]]*1.08</f>
        <v>17.015384020211968</v>
      </c>
      <c r="AP263" s="36">
        <f ca="1">Tabela3[[#This Row],[Tabela 2]]*1.15</f>
        <v>19.567691623243761</v>
      </c>
    </row>
    <row r="264" spans="1:42">
      <c r="A264" s="9">
        <v>45792</v>
      </c>
      <c r="B264" s="6" t="s">
        <v>232</v>
      </c>
      <c r="C264" s="14">
        <v>6605</v>
      </c>
      <c r="D264" s="6" t="s">
        <v>46</v>
      </c>
      <c r="E264" s="6" t="s">
        <v>53</v>
      </c>
      <c r="F264" s="6">
        <v>63</v>
      </c>
      <c r="G264" s="15">
        <v>0.29375000000000001</v>
      </c>
      <c r="H264" s="16">
        <v>0</v>
      </c>
      <c r="I264" s="35">
        <f ca="1">IFERROR(Tabela3[[#This Row],[Custo Total]]/Tabela3[[#This Row],[Aluminio Util]],0)</f>
        <v>26.466860305243223</v>
      </c>
      <c r="J264" s="35">
        <f ca="1">Tabela3[[#This Row],[Custo Total]]/Tabela3[[#This Row],[Realizado]]</f>
        <v>11.142548188507396</v>
      </c>
      <c r="K264" s="37">
        <f>IFERROR(Tabela3[[#This Row],[Qtde Cx Produzida]]/Tabela3[[#This Row],[Tempo]]/24,0)</f>
        <v>8.9361702127659566</v>
      </c>
      <c r="L264" s="37">
        <f>Tabela3[[#This Row],[Qtde Cx Produzida]]*Tabela3[[#This Row],[Qdt Peça Placa]]</f>
        <v>252</v>
      </c>
      <c r="M264" s="37">
        <f>Tabela3[[#This Row],[Previsto]]-Tabela3[[#This Row],[Perda Pçs]]</f>
        <v>252</v>
      </c>
      <c r="N264" s="38">
        <f>IFERROR(Tabela3[[#This Row],[Perda Pçs]]/Tabela3[[#This Row],[Previsto]],0)</f>
        <v>0</v>
      </c>
      <c r="O264" s="39">
        <f>IFERROR(IF(Tabela3[[#This Row],[Qtde Cx Produzida]] &lt;&gt; 0, Tabela3[[#This Row],[Tempo]] / Tabela3[[#This Row],[Qtde Cx Produzida]], 0),0)</f>
        <v>4.6626984126984126E-3</v>
      </c>
      <c r="P264" s="57">
        <f>IFERROR(Tabela3[[#This Row],[Perda Pçs]]/Tabela3[[#This Row],[Qdt Peça Placa]],0)</f>
        <v>0</v>
      </c>
      <c r="Q264" s="37">
        <f>IFERROR(Tabela3[[#This Row],[Realizado]]*Tabela3[[#This Row],[Peso Util/Pç]],0)</f>
        <v>106.092</v>
      </c>
      <c r="R264" s="37">
        <f>IFERROR(Tabela3[[#This Row],[Peso Total Galho]]*Tabela3[[#This Row],[Qtde Cx Produzida]]*1.055,0)</f>
        <v>213.75144</v>
      </c>
      <c r="S264" s="37">
        <f>(Tabela3[[#This Row],[Aluminio Bruto]]-Tabela3[[#This Row],[Aluminio Util]])*0.9</f>
        <v>96.893495999999999</v>
      </c>
      <c r="T264" s="37">
        <f>Tabela3[[#This Row],[Aluminio Bruto]]/OleoKGAluminio</f>
        <v>89.924954430043357</v>
      </c>
      <c r="U264" s="35">
        <f>IFERROR((VLOOKUP(Tabela3[[#This Row],[Moldador]],Tabela1[],5,)+(VLOOKUP(Tabela3[[#This Row],[Ajudante]],Tabela1[],5,))*3.5),0)</f>
        <v>99.95034583333333</v>
      </c>
      <c r="V264" s="35">
        <f>IFERROR(Tabela3[[#This Row],[Custo M.O. / H]]/((Tabela3[[#This Row],[Realizado]]/Tabela3[[#This Row],[Qdt Peça Placa]])/Tabela3[[#This Row],[Tempo]]/24),)</f>
        <v>11.184919652777779</v>
      </c>
      <c r="W264" s="35">
        <f>Tabela3[[#This Row],[Custo / Cx Moldada]]*Tabela3[[#This Row],[Qtde Cx Produzida]]</f>
        <v>704.64993812500006</v>
      </c>
      <c r="X264" s="35">
        <f ca="1">Tabela3[[#This Row],[Aluminio Util]]*Tabela3[[#This Row],[Custo/Kg]]</f>
        <v>1867.2192000000002</v>
      </c>
      <c r="Y264" s="35">
        <f>IFERROR(VLOOKUP(Tabela3[[#This Row],[Data]],Tabela461213[],2,1)*(Tabela3[[#This Row],[Qtde Cx Produzida]]*Tabela3[[#This Row],[Qde macho / CX]]*Tabela3[[#This Row],[Peso Macho]]),)</f>
        <v>0</v>
      </c>
      <c r="Z264" s="35">
        <f>IFERROR(Tabela3[[#This Row],[Qtde Oleo]]*(VLOOKUP(Tabela3[[#This Row],[Data]],CompraOleo[],3,TRUE))*1.05,0)</f>
        <v>236.05300537886384</v>
      </c>
      <c r="AA264" s="47">
        <f ca="1">(Tabela3[[#This Row],[Custo Oleo]]+Tabela3[[#This Row],[Custo Aluminio]]+Tabela3[[#This Row],[Custo M.O. Total]]+Tabela3[[#This Row],[Custo Machos]])</f>
        <v>2807.9221435038639</v>
      </c>
      <c r="AB264" s="47">
        <f ca="1">Tabela3[[#This Row],[Custo Total]]*Tabela3[[#This Row],[% Perda]]</f>
        <v>0</v>
      </c>
      <c r="AC264" s="48">
        <f>IFERROR(VLOOKUP(Tabela3[[#This Row],[Produto]],Tabela2[],2,0),0)</f>
        <v>4</v>
      </c>
      <c r="AD264" s="48">
        <f>IFERROR(VLOOKUP(Tabela3[[#This Row],[Produto]],Tabela2[],3,0),0)</f>
        <v>0.42099999999999999</v>
      </c>
      <c r="AE264" s="48">
        <f>IFERROR(VLOOKUP(Tabela3[[#This Row],[Produto]],Tabela2[],4,0),0)</f>
        <v>3.2160000000000002</v>
      </c>
      <c r="AF264" s="48">
        <f>IFERROR(VLOOKUP(Tabela3[[#This Row],[Produto]],Tabela2[],5,0),0)</f>
        <v>1.3788000000000002</v>
      </c>
      <c r="AG264" s="40">
        <f>IFERROR(VLOOKUP(Tabela3[[#This Row],[Produto]],Tabela2[],6,0),0)</f>
        <v>0</v>
      </c>
      <c r="AH264" s="40">
        <f>IFERROR(VLOOKUP(Tabela3[[#This Row],[Produto]],Tabela2[],7,0),0)</f>
        <v>0</v>
      </c>
      <c r="AI264" s="40">
        <f>IFERROR(VLOOKUP(Tabela3[[#This Row],[Produto]],Tabela2[],8,0),0)</f>
        <v>0</v>
      </c>
      <c r="AJ264" s="35">
        <f ca="1">IFERROR(VLOOKUP(Tabela3[[#This Row],[Produto]],Tabela2[],13,0),0)</f>
        <v>17.600000000000001</v>
      </c>
      <c r="AK264" s="40" t="str">
        <f>IFERROR(VLOOKUP(Tabela3[[#This Row],[Produto]],Tabela2[],14,0),0)</f>
        <v>Busa</v>
      </c>
      <c r="AL264" s="40">
        <f>IFERROR(VLOOKUP(Tabela3[[#This Row],[Produto]],Tabela2[],15,0),0)</f>
        <v>0.5</v>
      </c>
      <c r="AM264" s="36">
        <f ca="1">(Tabela3[[#This Row],[Custo Usinagem]]+Tabela3[[#This Row],[Custo / Pç]])*1.2</f>
        <v>13.971057826208876</v>
      </c>
      <c r="AN264" s="36">
        <f ca="1">Tabela3[[#This Row],[Valor Mínimo Venda]]*1.15</f>
        <v>16.066716500140206</v>
      </c>
      <c r="AO264" s="36">
        <f ca="1">Tabela3[[#This Row],[Tabela 1]]*1.08</f>
        <v>17.352053820151422</v>
      </c>
      <c r="AP264" s="36">
        <f ca="1">Tabela3[[#This Row],[Tabela 2]]*1.15</f>
        <v>19.954861893174133</v>
      </c>
    </row>
    <row r="265" spans="1:42">
      <c r="A265" s="9">
        <v>45792</v>
      </c>
      <c r="B265" s="6" t="s">
        <v>197</v>
      </c>
      <c r="C265" s="14">
        <v>6627</v>
      </c>
      <c r="D265" s="6" t="s">
        <v>46</v>
      </c>
      <c r="E265" s="6" t="s">
        <v>53</v>
      </c>
      <c r="F265" s="6">
        <v>2</v>
      </c>
      <c r="G265" s="15">
        <v>4.583333333333333E-2</v>
      </c>
      <c r="H265" s="16">
        <v>0</v>
      </c>
      <c r="I265" s="35">
        <f ca="1">IFERROR(Tabela3[[#This Row],[Custo Total]]/Tabela3[[#This Row],[Aluminio Util]],0)</f>
        <v>22.830872350366665</v>
      </c>
      <c r="J265" s="35">
        <f ca="1">Tabela3[[#This Row],[Custo Total]]/Tabela3[[#This Row],[Realizado]]</f>
        <v>313.92449481754164</v>
      </c>
      <c r="K265" s="37">
        <f>IFERROR(Tabela3[[#This Row],[Qtde Cx Produzida]]/Tabela3[[#This Row],[Tempo]]/24,0)</f>
        <v>1.8181818181818183</v>
      </c>
      <c r="L265" s="37">
        <f>Tabela3[[#This Row],[Qtde Cx Produzida]]*Tabela3[[#This Row],[Qdt Peça Placa]]</f>
        <v>2</v>
      </c>
      <c r="M265" s="37">
        <f>Tabela3[[#This Row],[Previsto]]-Tabela3[[#This Row],[Perda Pçs]]</f>
        <v>2</v>
      </c>
      <c r="N265" s="38">
        <f>IFERROR(Tabela3[[#This Row],[Perda Pçs]]/Tabela3[[#This Row],[Previsto]],0)</f>
        <v>0</v>
      </c>
      <c r="O265" s="39">
        <f>IFERROR(IF(Tabela3[[#This Row],[Qtde Cx Produzida]] &lt;&gt; 0, Tabela3[[#This Row],[Tempo]] / Tabela3[[#This Row],[Qtde Cx Produzida]], 0),0)</f>
        <v>2.2916666666666665E-2</v>
      </c>
      <c r="P265" s="57">
        <f>IFERROR(Tabela3[[#This Row],[Perda Pçs]]/Tabela3[[#This Row],[Qdt Peça Placa]],0)</f>
        <v>0</v>
      </c>
      <c r="Q265" s="37">
        <f>IFERROR(Tabela3[[#This Row],[Realizado]]*Tabela3[[#This Row],[Peso Util/Pç]],0)</f>
        <v>27.5</v>
      </c>
      <c r="R265" s="37">
        <f>IFERROR(Tabela3[[#This Row],[Peso Total Galho]]*Tabela3[[#This Row],[Qtde Cx Produzida]]*1.055,0)</f>
        <v>30.700499999999998</v>
      </c>
      <c r="S265" s="37">
        <f>(Tabela3[[#This Row],[Aluminio Bruto]]-Tabela3[[#This Row],[Aluminio Util]])*0.9</f>
        <v>2.8804499999999984</v>
      </c>
      <c r="T265" s="37">
        <f>Tabela3[[#This Row],[Aluminio Bruto]]/OleoKGAluminio</f>
        <v>12.91566065463487</v>
      </c>
      <c r="U265" s="35">
        <f>IFERROR((VLOOKUP(Tabela3[[#This Row],[Moldador]],Tabela1[],5,)+(VLOOKUP(Tabela3[[#This Row],[Ajudante]],Tabela1[],5,))*3.5),0)</f>
        <v>99.95034583333333</v>
      </c>
      <c r="V265" s="35">
        <f>IFERROR(Tabela3[[#This Row],[Custo M.O. / H]]/((Tabela3[[#This Row],[Realizado]]/Tabela3[[#This Row],[Qdt Peça Placa]])/Tabela3[[#This Row],[Tempo]]/24),)</f>
        <v>54.972690208333326</v>
      </c>
      <c r="W265" s="35">
        <f>Tabela3[[#This Row],[Custo / Cx Moldada]]*Tabela3[[#This Row],[Qtde Cx Produzida]]</f>
        <v>109.94538041666665</v>
      </c>
      <c r="X265" s="35">
        <f ca="1">Tabela3[[#This Row],[Aluminio Util]]*Tabela3[[#This Row],[Custo/Kg]]</f>
        <v>484.00000000000006</v>
      </c>
      <c r="Y265" s="35">
        <f>IFERROR(VLOOKUP(Tabela3[[#This Row],[Data]],Tabela461213[],2,1)*(Tabela3[[#This Row],[Qtde Cx Produzida]]*Tabela3[[#This Row],[Qde macho / CX]]*Tabela3[[#This Row],[Peso Macho]]),)</f>
        <v>0</v>
      </c>
      <c r="Z265" s="35">
        <f>IFERROR(Tabela3[[#This Row],[Qtde Oleo]]*(VLOOKUP(Tabela3[[#This Row],[Data]],CompraOleo[],3,TRUE))*1.05,0)</f>
        <v>33.903609218416541</v>
      </c>
      <c r="AA265" s="47">
        <f ca="1">(Tabela3[[#This Row],[Custo Oleo]]+Tabela3[[#This Row],[Custo Aluminio]]+Tabela3[[#This Row],[Custo M.O. Total]]+Tabela3[[#This Row],[Custo Machos]])</f>
        <v>627.84898963508329</v>
      </c>
      <c r="AB265" s="47">
        <f ca="1">Tabela3[[#This Row],[Custo Total]]*Tabela3[[#This Row],[% Perda]]</f>
        <v>0</v>
      </c>
      <c r="AC265" s="48">
        <f>IFERROR(VLOOKUP(Tabela3[[#This Row],[Produto]],Tabela2[],2,0),0)</f>
        <v>1</v>
      </c>
      <c r="AD265" s="48">
        <f>IFERROR(VLOOKUP(Tabela3[[#This Row],[Produto]],Tabela2[],3,0),0)</f>
        <v>13.75</v>
      </c>
      <c r="AE265" s="48">
        <f>IFERROR(VLOOKUP(Tabela3[[#This Row],[Produto]],Tabela2[],4,0),0)</f>
        <v>14.55</v>
      </c>
      <c r="AF265" s="48">
        <f>IFERROR(VLOOKUP(Tabela3[[#This Row],[Produto]],Tabela2[],5,0),0)</f>
        <v>0.72000000000000064</v>
      </c>
      <c r="AG265" s="40">
        <f>IFERROR(VLOOKUP(Tabela3[[#This Row],[Produto]],Tabela2[],6,0),0)</f>
        <v>0</v>
      </c>
      <c r="AH265" s="40">
        <f>IFERROR(VLOOKUP(Tabela3[[#This Row],[Produto]],Tabela2[],7,0),0)</f>
        <v>0</v>
      </c>
      <c r="AI265" s="40">
        <f>IFERROR(VLOOKUP(Tabela3[[#This Row],[Produto]],Tabela2[],8,0),0)</f>
        <v>0</v>
      </c>
      <c r="AJ265" s="35">
        <f ca="1">IFERROR(VLOOKUP(Tabela3[[#This Row],[Produto]],Tabela2[],13,0),0)</f>
        <v>17.600000000000001</v>
      </c>
      <c r="AK265" s="40" t="str">
        <f>IFERROR(VLOOKUP(Tabela3[[#This Row],[Produto]],Tabela2[],14,0),0)</f>
        <v>Oscar</v>
      </c>
      <c r="AL265" s="40">
        <f>IFERROR(VLOOKUP(Tabela3[[#This Row],[Produto]],Tabela2[],15,0),0)</f>
        <v>0</v>
      </c>
      <c r="AM265" s="36">
        <f ca="1">(Tabela3[[#This Row],[Custo Usinagem]]+Tabela3[[#This Row],[Custo / Pç]])*1.2</f>
        <v>376.70939378104998</v>
      </c>
      <c r="AN265" s="36">
        <f ca="1">Tabela3[[#This Row],[Valor Mínimo Venda]]*1.15</f>
        <v>433.21580284820743</v>
      </c>
      <c r="AO265" s="36">
        <f ca="1">Tabela3[[#This Row],[Tabela 1]]*1.08</f>
        <v>467.87306707606405</v>
      </c>
      <c r="AP265" s="36">
        <f ca="1">Tabela3[[#This Row],[Tabela 2]]*1.15</f>
        <v>538.05402713747367</v>
      </c>
    </row>
    <row r="266" spans="1:42">
      <c r="A266" s="9">
        <v>45793</v>
      </c>
      <c r="B266" s="6" t="s">
        <v>232</v>
      </c>
      <c r="C266" s="14">
        <v>6605</v>
      </c>
      <c r="D266" s="6" t="s">
        <v>46</v>
      </c>
      <c r="E266" s="6" t="s">
        <v>53</v>
      </c>
      <c r="F266" s="6">
        <v>35</v>
      </c>
      <c r="G266" s="15">
        <v>0.16041666666666668</v>
      </c>
      <c r="H266" s="16">
        <v>0</v>
      </c>
      <c r="I266" s="35">
        <f ca="1">IFERROR(Tabela3[[#This Row],[Custo Total]]/Tabela3[[#This Row],[Aluminio Util]],0)</f>
        <v>26.353807091994344</v>
      </c>
      <c r="J266" s="35">
        <f ca="1">Tabela3[[#This Row],[Custo Total]]/Tabela3[[#This Row],[Realizado]]</f>
        <v>11.094952785729619</v>
      </c>
      <c r="K266" s="37">
        <f>IFERROR(Tabela3[[#This Row],[Qtde Cx Produzida]]/Tabela3[[#This Row],[Tempo]]/24,0)</f>
        <v>9.0909090909090899</v>
      </c>
      <c r="L266" s="37">
        <f>Tabela3[[#This Row],[Qtde Cx Produzida]]*Tabela3[[#This Row],[Qdt Peça Placa]]</f>
        <v>140</v>
      </c>
      <c r="M266" s="37">
        <f>Tabela3[[#This Row],[Previsto]]-Tabela3[[#This Row],[Perda Pçs]]</f>
        <v>140</v>
      </c>
      <c r="N266" s="38">
        <f>IFERROR(Tabela3[[#This Row],[Perda Pçs]]/Tabela3[[#This Row],[Previsto]],0)</f>
        <v>0</v>
      </c>
      <c r="O266" s="39">
        <f>IFERROR(IF(Tabela3[[#This Row],[Qtde Cx Produzida]] &lt;&gt; 0, Tabela3[[#This Row],[Tempo]] / Tabela3[[#This Row],[Qtde Cx Produzida]], 0),0)</f>
        <v>4.5833333333333334E-3</v>
      </c>
      <c r="P266" s="57">
        <f>IFERROR(Tabela3[[#This Row],[Perda Pçs]]/Tabela3[[#This Row],[Qdt Peça Placa]],0)</f>
        <v>0</v>
      </c>
      <c r="Q266" s="37">
        <f>IFERROR(Tabela3[[#This Row],[Realizado]]*Tabela3[[#This Row],[Peso Util/Pç]],0)</f>
        <v>58.94</v>
      </c>
      <c r="R266" s="37">
        <f>IFERROR(Tabela3[[#This Row],[Peso Total Galho]]*Tabela3[[#This Row],[Qtde Cx Produzida]]*1.055,0)</f>
        <v>118.7508</v>
      </c>
      <c r="S266" s="37">
        <f>(Tabela3[[#This Row],[Aluminio Bruto]]-Tabela3[[#This Row],[Aluminio Util]])*0.9</f>
        <v>53.829720000000002</v>
      </c>
      <c r="T266" s="37">
        <f>Tabela3[[#This Row],[Aluminio Bruto]]/OleoKGAluminio</f>
        <v>49.958308016690751</v>
      </c>
      <c r="U266" s="35">
        <f>IFERROR((VLOOKUP(Tabela3[[#This Row],[Moldador]],Tabela1[],5,)+(VLOOKUP(Tabela3[[#This Row],[Ajudante]],Tabela1[],5,))*3.5),0)</f>
        <v>99.95034583333333</v>
      </c>
      <c r="V266" s="35">
        <f>IFERROR(Tabela3[[#This Row],[Custo M.O. / H]]/((Tabela3[[#This Row],[Realizado]]/Tabela3[[#This Row],[Qdt Peça Placa]])/Tabela3[[#This Row],[Tempo]]/24),)</f>
        <v>10.994538041666667</v>
      </c>
      <c r="W266" s="35">
        <f>Tabela3[[#This Row],[Custo / Cx Moldada]]*Tabela3[[#This Row],[Qtde Cx Produzida]]</f>
        <v>384.80883145833332</v>
      </c>
      <c r="X266" s="35">
        <f ca="1">Tabela3[[#This Row],[Aluminio Util]]*Tabela3[[#This Row],[Custo/Kg]]</f>
        <v>1037.3440000000001</v>
      </c>
      <c r="Y266" s="35">
        <f>IFERROR(VLOOKUP(Tabela3[[#This Row],[Data]],Tabela461213[],2,1)*(Tabela3[[#This Row],[Qtde Cx Produzida]]*Tabela3[[#This Row],[Qde macho / CX]]*Tabela3[[#This Row],[Peso Macho]]),)</f>
        <v>0</v>
      </c>
      <c r="Z266" s="35">
        <f>IFERROR(Tabela3[[#This Row],[Qtde Oleo]]*(VLOOKUP(Tabela3[[#This Row],[Data]],CompraOleo[],3,TRUE))*1.05,0)</f>
        <v>131.14055854381323</v>
      </c>
      <c r="AA266" s="47">
        <f ca="1">(Tabela3[[#This Row],[Custo Oleo]]+Tabela3[[#This Row],[Custo Aluminio]]+Tabela3[[#This Row],[Custo M.O. Total]]+Tabela3[[#This Row],[Custo Machos]])</f>
        <v>1553.2933900021467</v>
      </c>
      <c r="AB266" s="47">
        <f ca="1">Tabela3[[#This Row],[Custo Total]]*Tabela3[[#This Row],[% Perda]]</f>
        <v>0</v>
      </c>
      <c r="AC266" s="48">
        <f>IFERROR(VLOOKUP(Tabela3[[#This Row],[Produto]],Tabela2[],2,0),0)</f>
        <v>4</v>
      </c>
      <c r="AD266" s="48">
        <f>IFERROR(VLOOKUP(Tabela3[[#This Row],[Produto]],Tabela2[],3,0),0)</f>
        <v>0.42099999999999999</v>
      </c>
      <c r="AE266" s="48">
        <f>IFERROR(VLOOKUP(Tabela3[[#This Row],[Produto]],Tabela2[],4,0),0)</f>
        <v>3.2160000000000002</v>
      </c>
      <c r="AF266" s="48">
        <f>IFERROR(VLOOKUP(Tabela3[[#This Row],[Produto]],Tabela2[],5,0),0)</f>
        <v>1.3788000000000002</v>
      </c>
      <c r="AG266" s="40">
        <f>IFERROR(VLOOKUP(Tabela3[[#This Row],[Produto]],Tabela2[],6,0),0)</f>
        <v>0</v>
      </c>
      <c r="AH266" s="40">
        <f>IFERROR(VLOOKUP(Tabela3[[#This Row],[Produto]],Tabela2[],7,0),0)</f>
        <v>0</v>
      </c>
      <c r="AI266" s="40">
        <f>IFERROR(VLOOKUP(Tabela3[[#This Row],[Produto]],Tabela2[],8,0),0)</f>
        <v>0</v>
      </c>
      <c r="AJ266" s="35">
        <f ca="1">IFERROR(VLOOKUP(Tabela3[[#This Row],[Produto]],Tabela2[],13,0),0)</f>
        <v>17.600000000000001</v>
      </c>
      <c r="AK266" s="40" t="str">
        <f>IFERROR(VLOOKUP(Tabela3[[#This Row],[Produto]],Tabela2[],14,0),0)</f>
        <v>Busa</v>
      </c>
      <c r="AL266" s="40">
        <f>IFERROR(VLOOKUP(Tabela3[[#This Row],[Produto]],Tabela2[],15,0),0)</f>
        <v>0.5</v>
      </c>
      <c r="AM266" s="36">
        <f ca="1">(Tabela3[[#This Row],[Custo Usinagem]]+Tabela3[[#This Row],[Custo / Pç]])*1.2</f>
        <v>13.913943342875543</v>
      </c>
      <c r="AN266" s="36">
        <f ca="1">Tabela3[[#This Row],[Valor Mínimo Venda]]*1.15</f>
        <v>16.001034844306872</v>
      </c>
      <c r="AO266" s="36">
        <f ca="1">Tabela3[[#This Row],[Tabela 1]]*1.08</f>
        <v>17.281117631851423</v>
      </c>
      <c r="AP266" s="36">
        <f ca="1">Tabela3[[#This Row],[Tabela 2]]*1.15</f>
        <v>19.873285276629133</v>
      </c>
    </row>
    <row r="267" spans="1:42">
      <c r="A267" s="9">
        <v>45793</v>
      </c>
      <c r="B267" s="6" t="s">
        <v>111</v>
      </c>
      <c r="C267" s="14">
        <v>6606</v>
      </c>
      <c r="D267" s="6" t="s">
        <v>46</v>
      </c>
      <c r="E267" s="6" t="s">
        <v>53</v>
      </c>
      <c r="F267" s="6">
        <v>6</v>
      </c>
      <c r="G267" s="15">
        <v>4.583333333333333E-2</v>
      </c>
      <c r="H267" s="16">
        <v>0</v>
      </c>
      <c r="I267" s="35">
        <f ca="1">IFERROR(Tabela3[[#This Row],[Custo Total]]/Tabela3[[#This Row],[Aluminio Util]],0)</f>
        <v>27.058323144318802</v>
      </c>
      <c r="J267" s="35">
        <f ca="1">Tabela3[[#This Row],[Custo Total]]/Tabela3[[#This Row],[Realizado]]</f>
        <v>52.76373013142166</v>
      </c>
      <c r="K267" s="37">
        <f>IFERROR(Tabela3[[#This Row],[Qtde Cx Produzida]]/Tabela3[[#This Row],[Tempo]]/24,0)</f>
        <v>5.4545454545454541</v>
      </c>
      <c r="L267" s="37">
        <f>Tabela3[[#This Row],[Qtde Cx Produzida]]*Tabela3[[#This Row],[Qdt Peça Placa]]</f>
        <v>6</v>
      </c>
      <c r="M267" s="37">
        <f>Tabela3[[#This Row],[Previsto]]-Tabela3[[#This Row],[Perda Pçs]]</f>
        <v>6</v>
      </c>
      <c r="N267" s="38">
        <f>IFERROR(Tabela3[[#This Row],[Perda Pçs]]/Tabela3[[#This Row],[Previsto]],0)</f>
        <v>0</v>
      </c>
      <c r="O267" s="39">
        <f>IFERROR(IF(Tabela3[[#This Row],[Qtde Cx Produzida]] &lt;&gt; 0, Tabela3[[#This Row],[Tempo]] / Tabela3[[#This Row],[Qtde Cx Produzida]], 0),0)</f>
        <v>7.6388888888888886E-3</v>
      </c>
      <c r="P267" s="57">
        <f>IFERROR(Tabela3[[#This Row],[Perda Pçs]]/Tabela3[[#This Row],[Qdt Peça Placa]],0)</f>
        <v>0</v>
      </c>
      <c r="Q267" s="37">
        <f>IFERROR(Tabela3[[#This Row],[Realizado]]*Tabela3[[#This Row],[Peso Util/Pç]],0)</f>
        <v>11.7</v>
      </c>
      <c r="R267" s="37">
        <f>IFERROR(Tabela3[[#This Row],[Peso Total Galho]]*Tabela3[[#This Row],[Qtde Cx Produzida]]*1.055,0)</f>
        <v>21.838500000000003</v>
      </c>
      <c r="S267" s="37">
        <f>(Tabela3[[#This Row],[Aluminio Bruto]]-Tabela3[[#This Row],[Aluminio Util]])*0.9</f>
        <v>9.1246500000000044</v>
      </c>
      <c r="T267" s="37">
        <f>Tabela3[[#This Row],[Aluminio Bruto]]/OleoKGAluminio</f>
        <v>9.1874287130907852</v>
      </c>
      <c r="U267" s="35">
        <f>IFERROR((VLOOKUP(Tabela3[[#This Row],[Moldador]],Tabela1[],5,)+(VLOOKUP(Tabela3[[#This Row],[Ajudante]],Tabela1[],5,))*3.5),0)</f>
        <v>99.95034583333333</v>
      </c>
      <c r="V267" s="35">
        <f>IFERROR(Tabela3[[#This Row],[Custo M.O. / H]]/((Tabela3[[#This Row],[Realizado]]/Tabela3[[#This Row],[Qdt Peça Placa]])/Tabela3[[#This Row],[Tempo]]/24),)</f>
        <v>18.324230069444447</v>
      </c>
      <c r="W267" s="35">
        <f>Tabela3[[#This Row],[Custo / Cx Moldada]]*Tabela3[[#This Row],[Qtde Cx Produzida]]</f>
        <v>109.94538041666668</v>
      </c>
      <c r="X267" s="35">
        <f ca="1">Tabela3[[#This Row],[Aluminio Util]]*Tabela3[[#This Row],[Custo/Kg]]</f>
        <v>182.52</v>
      </c>
      <c r="Y267" s="35">
        <f>IFERROR(VLOOKUP(Tabela3[[#This Row],[Data]],Tabela461213[],2,1)*(Tabela3[[#This Row],[Qtde Cx Produzida]]*Tabela3[[#This Row],[Qde macho / CX]]*Tabela3[[#This Row],[Peso Macho]]),)</f>
        <v>0</v>
      </c>
      <c r="Z267" s="35">
        <f>IFERROR(Tabela3[[#This Row],[Qtde Oleo]]*(VLOOKUP(Tabela3[[#This Row],[Data]],CompraOleo[],3,TRUE))*1.05,0)</f>
        <v>24.117000371863309</v>
      </c>
      <c r="AA267" s="47">
        <f ca="1">(Tabela3[[#This Row],[Custo Oleo]]+Tabela3[[#This Row],[Custo Aluminio]]+Tabela3[[#This Row],[Custo M.O. Total]]+Tabela3[[#This Row],[Custo Machos]])</f>
        <v>316.58238078852997</v>
      </c>
      <c r="AB267" s="47">
        <f ca="1">Tabela3[[#This Row],[Custo Total]]*Tabela3[[#This Row],[% Perda]]</f>
        <v>0</v>
      </c>
      <c r="AC267" s="48">
        <f>IFERROR(VLOOKUP(Tabela3[[#This Row],[Produto]],Tabela2[],2,0),0)</f>
        <v>1</v>
      </c>
      <c r="AD267" s="48">
        <f>IFERROR(VLOOKUP(Tabela3[[#This Row],[Produto]],Tabela2[],3,0),0)</f>
        <v>1.95</v>
      </c>
      <c r="AE267" s="48">
        <f>IFERROR(VLOOKUP(Tabela3[[#This Row],[Produto]],Tabela2[],4,0),0)</f>
        <v>3.45</v>
      </c>
      <c r="AF267" s="48">
        <f>IFERROR(VLOOKUP(Tabela3[[#This Row],[Produto]],Tabela2[],5,0),0)</f>
        <v>1.3500000000000003</v>
      </c>
      <c r="AG267" s="40">
        <f>IFERROR(VLOOKUP(Tabela3[[#This Row],[Produto]],Tabela2[],6,0),0)</f>
        <v>0</v>
      </c>
      <c r="AH267" s="40">
        <f>IFERROR(VLOOKUP(Tabela3[[#This Row],[Produto]],Tabela2[],7,0),0)</f>
        <v>0</v>
      </c>
      <c r="AI267" s="40">
        <f>IFERROR(VLOOKUP(Tabela3[[#This Row],[Produto]],Tabela2[],8,0),0)</f>
        <v>0</v>
      </c>
      <c r="AJ267" s="35">
        <f ca="1">IFERROR(VLOOKUP(Tabela3[[#This Row],[Produto]],Tabela2[],13,0),0)</f>
        <v>15.600000000000001</v>
      </c>
      <c r="AK267" s="40" t="str">
        <f>IFERROR(VLOOKUP(Tabela3[[#This Row],[Produto]],Tabela2[],14,0),0)</f>
        <v>Jumil</v>
      </c>
      <c r="AL267" s="40">
        <f>IFERROR(VLOOKUP(Tabela3[[#This Row],[Produto]],Tabela2[],15,0),0)</f>
        <v>1</v>
      </c>
      <c r="AM267" s="36">
        <f ca="1">(Tabela3[[#This Row],[Custo Usinagem]]+Tabela3[[#This Row],[Custo / Pç]])*1.2</f>
        <v>64.516476157705995</v>
      </c>
      <c r="AN267" s="36">
        <f ca="1">Tabela3[[#This Row],[Valor Mínimo Venda]]*1.15</f>
        <v>74.193947581361883</v>
      </c>
      <c r="AO267" s="36">
        <f ca="1">Tabela3[[#This Row],[Tabela 1]]*1.08</f>
        <v>80.129463387870842</v>
      </c>
      <c r="AP267" s="36">
        <f ca="1">Tabela3[[#This Row],[Tabela 2]]*1.15</f>
        <v>92.148882896051461</v>
      </c>
    </row>
    <row r="268" spans="1:42">
      <c r="A268" s="9">
        <v>45793</v>
      </c>
      <c r="B268" s="6" t="s">
        <v>149</v>
      </c>
      <c r="C268" s="14">
        <v>6630</v>
      </c>
      <c r="D268" s="6" t="s">
        <v>46</v>
      </c>
      <c r="E268" s="6" t="s">
        <v>53</v>
      </c>
      <c r="F268" s="6">
        <v>10</v>
      </c>
      <c r="G268" s="15">
        <v>4.4444444444444446E-2</v>
      </c>
      <c r="H268" s="16">
        <v>2</v>
      </c>
      <c r="I268" s="35">
        <f ca="1">IFERROR(Tabela3[[#This Row],[Custo Total]]/Tabela3[[#This Row],[Aluminio Util]],0)</f>
        <v>27.862145243509048</v>
      </c>
      <c r="J268" s="35">
        <f ca="1">Tabela3[[#This Row],[Custo Total]]/Tabela3[[#This Row],[Realizado]]</f>
        <v>45.693918199354833</v>
      </c>
      <c r="K268" s="37">
        <f>IFERROR(Tabela3[[#This Row],[Qtde Cx Produzida]]/Tabela3[[#This Row],[Tempo]]/24,0)</f>
        <v>9.375</v>
      </c>
      <c r="L268" s="37">
        <f>Tabela3[[#This Row],[Qtde Cx Produzida]]*Tabela3[[#This Row],[Qdt Peça Placa]]</f>
        <v>10</v>
      </c>
      <c r="M268" s="37">
        <f>Tabela3[[#This Row],[Previsto]]-Tabela3[[#This Row],[Perda Pçs]]</f>
        <v>8</v>
      </c>
      <c r="N268" s="38">
        <f>IFERROR(Tabela3[[#This Row],[Perda Pçs]]/Tabela3[[#This Row],[Previsto]],0)</f>
        <v>0.2</v>
      </c>
      <c r="O268" s="39">
        <f>IFERROR(IF(Tabela3[[#This Row],[Qtde Cx Produzida]] &lt;&gt; 0, Tabela3[[#This Row],[Tempo]] / Tabela3[[#This Row],[Qtde Cx Produzida]], 0),0)</f>
        <v>4.4444444444444444E-3</v>
      </c>
      <c r="P268" s="57">
        <f>IFERROR(Tabela3[[#This Row],[Perda Pçs]]/Tabela3[[#This Row],[Qdt Peça Placa]],0)</f>
        <v>2</v>
      </c>
      <c r="Q268" s="37">
        <f>IFERROR(Tabela3[[#This Row],[Realizado]]*Tabela3[[#This Row],[Peso Util/Pç]],0)</f>
        <v>13.12</v>
      </c>
      <c r="R268" s="37">
        <f>IFERROR(Tabela3[[#This Row],[Peso Total Galho]]*Tabela3[[#This Row],[Qtde Cx Produzida]]*1.055,0)</f>
        <v>25.003500000000003</v>
      </c>
      <c r="S268" s="37">
        <f>(Tabela3[[#This Row],[Aluminio Bruto]]-Tabela3[[#This Row],[Aluminio Util]])*0.9</f>
        <v>10.695150000000003</v>
      </c>
      <c r="T268" s="37">
        <f>Tabela3[[#This Row],[Aluminio Bruto]]/OleoKGAluminio</f>
        <v>10.518940120785102</v>
      </c>
      <c r="U268" s="35">
        <f>IFERROR((VLOOKUP(Tabela3[[#This Row],[Moldador]],Tabela1[],5,)+(VLOOKUP(Tabela3[[#This Row],[Ajudante]],Tabela1[],5,))*3.5),0)</f>
        <v>99.95034583333333</v>
      </c>
      <c r="V268" s="35">
        <f>IFERROR(Tabela3[[#This Row],[Custo M.O. / H]]/((Tabela3[[#This Row],[Realizado]]/Tabela3[[#This Row],[Qdt Peça Placa]])/Tabela3[[#This Row],[Tempo]]/24),)</f>
        <v>13.326712777777777</v>
      </c>
      <c r="W268" s="35">
        <f>Tabela3[[#This Row],[Custo / Cx Moldada]]*Tabela3[[#This Row],[Qtde Cx Produzida]]</f>
        <v>133.26712777777777</v>
      </c>
      <c r="X268" s="35">
        <f ca="1">Tabela3[[#This Row],[Aluminio Util]]*Tabela3[[#This Row],[Custo/Kg]]</f>
        <v>204.672</v>
      </c>
      <c r="Y268" s="35">
        <f>IFERROR(VLOOKUP(Tabela3[[#This Row],[Data]],Tabela461213[],2,1)*(Tabela3[[#This Row],[Qtde Cx Produzida]]*Tabela3[[#This Row],[Qde macho / CX]]*Tabela3[[#This Row],[Peso Macho]]),)</f>
        <v>0</v>
      </c>
      <c r="Z268" s="35">
        <f>IFERROR(Tabela3[[#This Row],[Qtde Oleo]]*(VLOOKUP(Tabela3[[#This Row],[Data]],CompraOleo[],3,TRUE))*1.05,0)</f>
        <v>27.612217817060895</v>
      </c>
      <c r="AA268" s="47">
        <f ca="1">(Tabela3[[#This Row],[Custo Oleo]]+Tabela3[[#This Row],[Custo Aluminio]]+Tabela3[[#This Row],[Custo M.O. Total]]+Tabela3[[#This Row],[Custo Machos]])</f>
        <v>365.55134559483866</v>
      </c>
      <c r="AB268" s="47">
        <f ca="1">Tabela3[[#This Row],[Custo Total]]*Tabela3[[#This Row],[% Perda]]</f>
        <v>73.110269118967736</v>
      </c>
      <c r="AC268" s="48">
        <f>IFERROR(VLOOKUP(Tabela3[[#This Row],[Produto]],Tabela2[],2,0),0)</f>
        <v>1</v>
      </c>
      <c r="AD268" s="48">
        <f>IFERROR(VLOOKUP(Tabela3[[#This Row],[Produto]],Tabela2[],3,0),0)</f>
        <v>1.64</v>
      </c>
      <c r="AE268" s="48">
        <f>IFERROR(VLOOKUP(Tabela3[[#This Row],[Produto]],Tabela2[],4,0),0)</f>
        <v>2.37</v>
      </c>
      <c r="AF268" s="48">
        <f>IFERROR(VLOOKUP(Tabela3[[#This Row],[Produto]],Tabela2[],5,0),0)</f>
        <v>0.65700000000000025</v>
      </c>
      <c r="AG268" s="40">
        <f>IFERROR(VLOOKUP(Tabela3[[#This Row],[Produto]],Tabela2[],6,0),0)</f>
        <v>0</v>
      </c>
      <c r="AH268" s="40">
        <f>IFERROR(VLOOKUP(Tabela3[[#This Row],[Produto]],Tabela2[],7,0),0)</f>
        <v>0</v>
      </c>
      <c r="AI268" s="40">
        <f>IFERROR(VLOOKUP(Tabela3[[#This Row],[Produto]],Tabela2[],8,0),0)</f>
        <v>0</v>
      </c>
      <c r="AJ268" s="35">
        <f ca="1">IFERROR(VLOOKUP(Tabela3[[#This Row],[Produto]],Tabela2[],13,0),0)</f>
        <v>15.600000000000001</v>
      </c>
      <c r="AK268" s="40" t="str">
        <f>IFERROR(VLOOKUP(Tabela3[[#This Row],[Produto]],Tabela2[],14,0),0)</f>
        <v>Senun</v>
      </c>
      <c r="AL268" s="40">
        <f>IFERROR(VLOOKUP(Tabela3[[#This Row],[Produto]],Tabela2[],15,0),0)</f>
        <v>5</v>
      </c>
      <c r="AM268" s="36">
        <f ca="1">(Tabela3[[#This Row],[Custo Usinagem]]+Tabela3[[#This Row],[Custo / Pç]])*1.2</f>
        <v>60.832701839225798</v>
      </c>
      <c r="AN268" s="36">
        <f ca="1">Tabela3[[#This Row],[Valor Mínimo Venda]]*1.15</f>
        <v>69.957607115109667</v>
      </c>
      <c r="AO268" s="36">
        <f ca="1">Tabela3[[#This Row],[Tabela 1]]*1.08</f>
        <v>75.55421568431845</v>
      </c>
      <c r="AP268" s="36">
        <f ca="1">Tabela3[[#This Row],[Tabela 2]]*1.15</f>
        <v>86.887348036966216</v>
      </c>
    </row>
    <row r="269" spans="1:42">
      <c r="A269" s="9">
        <v>45793</v>
      </c>
      <c r="B269" s="6" t="s">
        <v>152</v>
      </c>
      <c r="C269" s="14">
        <v>6631</v>
      </c>
      <c r="D269" s="6" t="s">
        <v>46</v>
      </c>
      <c r="E269" s="6" t="s">
        <v>53</v>
      </c>
      <c r="F269" s="6">
        <v>20</v>
      </c>
      <c r="G269" s="15">
        <v>8.2638888888888887E-2</v>
      </c>
      <c r="H269" s="16">
        <v>0</v>
      </c>
      <c r="I269" s="35">
        <f ca="1">IFERROR(Tabela3[[#This Row],[Custo Total]]/Tabela3[[#This Row],[Aluminio Util]],0)</f>
        <v>25.016836609182519</v>
      </c>
      <c r="J269" s="35">
        <f ca="1">Tabela3[[#This Row],[Custo Total]]/Tabela3[[#This Row],[Realizado]]</f>
        <v>16.260943795968636</v>
      </c>
      <c r="K269" s="37">
        <f>IFERROR(Tabela3[[#This Row],[Qtde Cx Produzida]]/Tabela3[[#This Row],[Tempo]]/24,0)</f>
        <v>10.084033613445378</v>
      </c>
      <c r="L269" s="37">
        <f>Tabela3[[#This Row],[Qtde Cx Produzida]]*Tabela3[[#This Row],[Qdt Peça Placa]]</f>
        <v>40</v>
      </c>
      <c r="M269" s="37">
        <f>Tabela3[[#This Row],[Previsto]]-Tabela3[[#This Row],[Perda Pçs]]</f>
        <v>40</v>
      </c>
      <c r="N269" s="38">
        <f>IFERROR(Tabela3[[#This Row],[Perda Pçs]]/Tabela3[[#This Row],[Previsto]],0)</f>
        <v>0</v>
      </c>
      <c r="O269" s="39">
        <f>IFERROR(IF(Tabela3[[#This Row],[Qtde Cx Produzida]] &lt;&gt; 0, Tabela3[[#This Row],[Tempo]] / Tabela3[[#This Row],[Qtde Cx Produzida]], 0),0)</f>
        <v>4.1319444444444442E-3</v>
      </c>
      <c r="P269" s="57">
        <f>IFERROR(Tabela3[[#This Row],[Perda Pçs]]/Tabela3[[#This Row],[Qdt Peça Placa]],0)</f>
        <v>0</v>
      </c>
      <c r="Q269" s="37">
        <f>IFERROR(Tabela3[[#This Row],[Realizado]]*Tabela3[[#This Row],[Peso Util/Pç]],0)</f>
        <v>26</v>
      </c>
      <c r="R269" s="37">
        <f>IFERROR(Tabela3[[#This Row],[Peso Total Galho]]*Tabela3[[#This Row],[Qtde Cx Produzida]]*1.055,0)</f>
        <v>42.199999999999996</v>
      </c>
      <c r="S269" s="37">
        <f>(Tabela3[[#This Row],[Aluminio Bruto]]-Tabela3[[#This Row],[Aluminio Util]])*0.9</f>
        <v>14.579999999999997</v>
      </c>
      <c r="T269" s="37">
        <f>Tabela3[[#This Row],[Aluminio Bruto]]/OleoKGAluminio</f>
        <v>17.753485435924219</v>
      </c>
      <c r="U269" s="35">
        <f>IFERROR((VLOOKUP(Tabela3[[#This Row],[Moldador]],Tabela1[],5,)+(VLOOKUP(Tabela3[[#This Row],[Ajudante]],Tabela1[],5,))*3.5),0)</f>
        <v>99.95034583333333</v>
      </c>
      <c r="V269" s="35">
        <f>IFERROR(Tabela3[[#This Row],[Custo M.O. / H]]/((Tabela3[[#This Row],[Realizado]]/Tabela3[[#This Row],[Qdt Peça Placa]])/Tabela3[[#This Row],[Tempo]]/24),)</f>
        <v>9.9117426284722221</v>
      </c>
      <c r="W269" s="35">
        <f>Tabela3[[#This Row],[Custo / Cx Moldada]]*Tabela3[[#This Row],[Qtde Cx Produzida]]</f>
        <v>198.23485256944446</v>
      </c>
      <c r="X269" s="35">
        <f ca="1">Tabela3[[#This Row],[Aluminio Util]]*Tabela3[[#This Row],[Custo/Kg]]</f>
        <v>405.6</v>
      </c>
      <c r="Y269" s="35">
        <f>IFERROR(VLOOKUP(Tabela3[[#This Row],[Data]],Tabela461213[],2,1)*(Tabela3[[#This Row],[Qtde Cx Produzida]]*Tabela3[[#This Row],[Qde macho / CX]]*Tabela3[[#This Row],[Peso Macho]]),)</f>
        <v>0</v>
      </c>
      <c r="Z269" s="35">
        <f>IFERROR(Tabela3[[#This Row],[Qtde Oleo]]*(VLOOKUP(Tabela3[[#This Row],[Data]],CompraOleo[],3,TRUE))*1.05,0)</f>
        <v>46.602899269301076</v>
      </c>
      <c r="AA269" s="47">
        <f ca="1">(Tabela3[[#This Row],[Custo Oleo]]+Tabela3[[#This Row],[Custo Aluminio]]+Tabela3[[#This Row],[Custo M.O. Total]]+Tabela3[[#This Row],[Custo Machos]])</f>
        <v>650.4377518387455</v>
      </c>
      <c r="AB269" s="47">
        <f ca="1">Tabela3[[#This Row],[Custo Total]]*Tabela3[[#This Row],[% Perda]]</f>
        <v>0</v>
      </c>
      <c r="AC269" s="48">
        <f>IFERROR(VLOOKUP(Tabela3[[#This Row],[Produto]],Tabela2[],2,0),0)</f>
        <v>2</v>
      </c>
      <c r="AD269" s="48">
        <f>IFERROR(VLOOKUP(Tabela3[[#This Row],[Produto]],Tabela2[],3,0),0)</f>
        <v>0.65</v>
      </c>
      <c r="AE269" s="48">
        <f>IFERROR(VLOOKUP(Tabela3[[#This Row],[Produto]],Tabela2[],4,0),0)</f>
        <v>2</v>
      </c>
      <c r="AF269" s="48">
        <f>IFERROR(VLOOKUP(Tabela3[[#This Row],[Produto]],Tabela2[],5,0),0)</f>
        <v>0.63</v>
      </c>
      <c r="AG269" s="40">
        <f>IFERROR(VLOOKUP(Tabela3[[#This Row],[Produto]],Tabela2[],6,0),0)</f>
        <v>0</v>
      </c>
      <c r="AH269" s="40">
        <f>IFERROR(VLOOKUP(Tabela3[[#This Row],[Produto]],Tabela2[],7,0),0)</f>
        <v>0</v>
      </c>
      <c r="AI269" s="40">
        <f>IFERROR(VLOOKUP(Tabela3[[#This Row],[Produto]],Tabela2[],8,0),0)</f>
        <v>0</v>
      </c>
      <c r="AJ269" s="35">
        <f ca="1">IFERROR(VLOOKUP(Tabela3[[#This Row],[Produto]],Tabela2[],13,0),0)</f>
        <v>15.600000000000001</v>
      </c>
      <c r="AK269" s="40" t="str">
        <f>IFERROR(VLOOKUP(Tabela3[[#This Row],[Produto]],Tabela2[],14,0),0)</f>
        <v>Senun</v>
      </c>
      <c r="AL269" s="40">
        <f>IFERROR(VLOOKUP(Tabela3[[#This Row],[Produto]],Tabela2[],15,0),0)</f>
        <v>5</v>
      </c>
      <c r="AM269" s="36">
        <f ca="1">(Tabela3[[#This Row],[Custo Usinagem]]+Tabela3[[#This Row],[Custo / Pç]])*1.2</f>
        <v>25.513132555162361</v>
      </c>
      <c r="AN269" s="36">
        <f ca="1">Tabela3[[#This Row],[Valor Mínimo Venda]]*1.15</f>
        <v>29.340102438436713</v>
      </c>
      <c r="AO269" s="36">
        <f ca="1">Tabela3[[#This Row],[Tabela 1]]*1.08</f>
        <v>31.68731063351165</v>
      </c>
      <c r="AP269" s="36">
        <f ca="1">Tabela3[[#This Row],[Tabela 2]]*1.15</f>
        <v>36.440407228538398</v>
      </c>
    </row>
    <row r="270" spans="1:42">
      <c r="A270" s="9">
        <v>45796</v>
      </c>
      <c r="B270" s="6" t="s">
        <v>236</v>
      </c>
      <c r="C270" s="14">
        <v>6481</v>
      </c>
      <c r="D270" s="6" t="s">
        <v>46</v>
      </c>
      <c r="E270" s="6" t="s">
        <v>53</v>
      </c>
      <c r="F270" s="6">
        <v>74</v>
      </c>
      <c r="G270" s="15">
        <v>0.35902777777777778</v>
      </c>
      <c r="H270" s="16">
        <v>12</v>
      </c>
      <c r="I270" s="35">
        <f ca="1">IFERROR(Tabela3[[#This Row],[Custo Total]]/Tabela3[[#This Row],[Aluminio Util]],0)</f>
        <v>23.806843084707442</v>
      </c>
      <c r="J270" s="35">
        <f ca="1">Tabela3[[#This Row],[Custo Total]]/Tabela3[[#This Row],[Realizado]]</f>
        <v>7.1896666115816474</v>
      </c>
      <c r="K270" s="37">
        <f>IFERROR(Tabela3[[#This Row],[Qtde Cx Produzida]]/Tabela3[[#This Row],[Tempo]]/24,0)</f>
        <v>8.5880077369439061</v>
      </c>
      <c r="L270" s="37">
        <f>Tabela3[[#This Row],[Qtde Cx Produzida]]*Tabela3[[#This Row],[Qdt Peça Placa]]</f>
        <v>444</v>
      </c>
      <c r="M270" s="37">
        <f>Tabela3[[#This Row],[Previsto]]-Tabela3[[#This Row],[Perda Pçs]]</f>
        <v>432</v>
      </c>
      <c r="N270" s="38">
        <f>IFERROR(Tabela3[[#This Row],[Perda Pçs]]/Tabela3[[#This Row],[Previsto]],0)</f>
        <v>2.7027027027027029E-2</v>
      </c>
      <c r="O270" s="39">
        <f>IFERROR(IF(Tabela3[[#This Row],[Qtde Cx Produzida]] &lt;&gt; 0, Tabela3[[#This Row],[Tempo]] / Tabela3[[#This Row],[Qtde Cx Produzida]], 0),0)</f>
        <v>4.8517267267267263E-3</v>
      </c>
      <c r="P270" s="57">
        <f>IFERROR(Tabela3[[#This Row],[Perda Pçs]]/Tabela3[[#This Row],[Qdt Peça Placa]],0)</f>
        <v>2</v>
      </c>
      <c r="Q270" s="37">
        <f>IFERROR(Tabela3[[#This Row],[Realizado]]*Tabela3[[#This Row],[Peso Util/Pç]],0)</f>
        <v>130.464</v>
      </c>
      <c r="R270" s="37">
        <f>IFERROR(Tabela3[[#This Row],[Peso Total Galho]]*Tabela3[[#This Row],[Qtde Cx Produzida]]*1.055,0)</f>
        <v>168.00664</v>
      </c>
      <c r="S270" s="37">
        <f>(Tabela3[[#This Row],[Aluminio Bruto]]-Tabela3[[#This Row],[Aluminio Util]])*0.9</f>
        <v>33.788376000000007</v>
      </c>
      <c r="T270" s="37">
        <f>Tabela3[[#This Row],[Aluminio Bruto]]/OleoKGAluminio</f>
        <v>70.680176217501511</v>
      </c>
      <c r="U270" s="35">
        <f>IFERROR((VLOOKUP(Tabela3[[#This Row],[Moldador]],Tabela1[],5,)+(VLOOKUP(Tabela3[[#This Row],[Ajudante]],Tabela1[],5,))*3.5),0)</f>
        <v>99.95034583333333</v>
      </c>
      <c r="V270" s="35">
        <f>IFERROR(Tabela3[[#This Row],[Custo M.O. / H]]/((Tabela3[[#This Row],[Realizado]]/Tabela3[[#This Row],[Qdt Peça Placa]])/Tabela3[[#This Row],[Tempo]]/24),)</f>
        <v>11.961650184220678</v>
      </c>
      <c r="W270" s="35">
        <f>Tabela3[[#This Row],[Custo / Cx Moldada]]*Tabela3[[#This Row],[Qtde Cx Produzida]]</f>
        <v>885.16211363233015</v>
      </c>
      <c r="X270" s="35">
        <f ca="1">Tabela3[[#This Row],[Aluminio Util]]*Tabela3[[#This Row],[Custo/Kg]]</f>
        <v>2035.2384000000002</v>
      </c>
      <c r="Y270" s="35">
        <f>IFERROR(VLOOKUP(Tabela3[[#This Row],[Data]],Tabela461213[],2,1)*(Tabela3[[#This Row],[Qtde Cx Produzida]]*Tabela3[[#This Row],[Qde macho / CX]]*Tabela3[[#This Row],[Peso Macho]]),)</f>
        <v>0</v>
      </c>
      <c r="Z270" s="35">
        <f>IFERROR(Tabela3[[#This Row],[Qtde Oleo]]*(VLOOKUP(Tabela3[[#This Row],[Data]],CompraOleo[],3,TRUE))*1.05,0)</f>
        <v>185.53546257094149</v>
      </c>
      <c r="AA270" s="47">
        <f ca="1">(Tabela3[[#This Row],[Custo Oleo]]+Tabela3[[#This Row],[Custo Aluminio]]+Tabela3[[#This Row],[Custo M.O. Total]]+Tabela3[[#This Row],[Custo Machos]])</f>
        <v>3105.9359762032718</v>
      </c>
      <c r="AB270" s="47">
        <f ca="1">Tabela3[[#This Row],[Custo Total]]*Tabela3[[#This Row],[% Perda]]</f>
        <v>83.944215573061399</v>
      </c>
      <c r="AC270" s="48">
        <f>IFERROR(VLOOKUP(Tabela3[[#This Row],[Produto]],Tabela2[],2,0),0)</f>
        <v>6</v>
      </c>
      <c r="AD270" s="48">
        <f>IFERROR(VLOOKUP(Tabela3[[#This Row],[Produto]],Tabela2[],3,0),0)</f>
        <v>0.30199999999999999</v>
      </c>
      <c r="AE270" s="48">
        <f>IFERROR(VLOOKUP(Tabela3[[#This Row],[Produto]],Tabela2[],4,0),0)</f>
        <v>2.1520000000000001</v>
      </c>
      <c r="AF270" s="48">
        <f>IFERROR(VLOOKUP(Tabela3[[#This Row],[Produto]],Tabela2[],5,0),0)</f>
        <v>0.30600000000000027</v>
      </c>
      <c r="AG270" s="40">
        <f>IFERROR(VLOOKUP(Tabela3[[#This Row],[Produto]],Tabela2[],6,0),0)</f>
        <v>0</v>
      </c>
      <c r="AH270" s="40">
        <f>IFERROR(VLOOKUP(Tabela3[[#This Row],[Produto]],Tabela2[],7,0),0)</f>
        <v>0</v>
      </c>
      <c r="AI270" s="40">
        <f>IFERROR(VLOOKUP(Tabela3[[#This Row],[Produto]],Tabela2[],8,0),0)</f>
        <v>0</v>
      </c>
      <c r="AJ270" s="35">
        <f ca="1">IFERROR(VLOOKUP(Tabela3[[#This Row],[Produto]],Tabela2[],13,0),0)</f>
        <v>15.600000000000001</v>
      </c>
      <c r="AK270" s="40" t="str">
        <f>IFERROR(VLOOKUP(Tabela3[[#This Row],[Produto]],Tabela2[],14,0),0)</f>
        <v>Senun</v>
      </c>
      <c r="AL270" s="40">
        <f>IFERROR(VLOOKUP(Tabela3[[#This Row],[Produto]],Tabela2[],15,0),0)</f>
        <v>4</v>
      </c>
      <c r="AM270" s="36">
        <f ca="1">(Tabela3[[#This Row],[Custo Usinagem]]+Tabela3[[#This Row],[Custo / Pç]])*1.2</f>
        <v>13.427599933897975</v>
      </c>
      <c r="AN270" s="36">
        <f ca="1">Tabela3[[#This Row],[Valor Mínimo Venda]]*1.15</f>
        <v>15.44173992398267</v>
      </c>
      <c r="AO270" s="36">
        <f ca="1">Tabela3[[#This Row],[Tabela 1]]*1.08</f>
        <v>16.677079117901286</v>
      </c>
      <c r="AP270" s="36">
        <f ca="1">Tabela3[[#This Row],[Tabela 2]]*1.15</f>
        <v>19.178640985586476</v>
      </c>
    </row>
    <row r="271" spans="1:42">
      <c r="A271" s="9">
        <v>45797</v>
      </c>
      <c r="B271" s="6" t="s">
        <v>236</v>
      </c>
      <c r="C271" s="14">
        <v>6481</v>
      </c>
      <c r="D271" s="6" t="s">
        <v>46</v>
      </c>
      <c r="E271" s="6" t="s">
        <v>53</v>
      </c>
      <c r="F271" s="6">
        <v>67</v>
      </c>
      <c r="G271" s="15">
        <v>0.34513888888888888</v>
      </c>
      <c r="H271" s="16">
        <v>0</v>
      </c>
      <c r="I271" s="35">
        <f ca="1">IFERROR(Tabela3[[#This Row],[Custo Total]]/Tabela3[[#This Row],[Aluminio Util]],0)</f>
        <v>23.803245708753973</v>
      </c>
      <c r="J271" s="35">
        <f ca="1">Tabela3[[#This Row],[Custo Total]]/Tabela3[[#This Row],[Realizado]]</f>
        <v>7.1885802040436992</v>
      </c>
      <c r="K271" s="37">
        <f>IFERROR(Tabela3[[#This Row],[Qtde Cx Produzida]]/Tabela3[[#This Row],[Tempo]]/24,0)</f>
        <v>8.0885311871227366</v>
      </c>
      <c r="L271" s="37">
        <f>Tabela3[[#This Row],[Qtde Cx Produzida]]*Tabela3[[#This Row],[Qdt Peça Placa]]</f>
        <v>402</v>
      </c>
      <c r="M271" s="37">
        <f>Tabela3[[#This Row],[Previsto]]-Tabela3[[#This Row],[Perda Pçs]]</f>
        <v>402</v>
      </c>
      <c r="N271" s="38">
        <f>IFERROR(Tabela3[[#This Row],[Perda Pçs]]/Tabela3[[#This Row],[Previsto]],0)</f>
        <v>0</v>
      </c>
      <c r="O271" s="39">
        <f>IFERROR(IF(Tabela3[[#This Row],[Qtde Cx Produzida]] &lt;&gt; 0, Tabela3[[#This Row],[Tempo]] / Tabela3[[#This Row],[Qtde Cx Produzida]], 0),0)</f>
        <v>5.1513266998341623E-3</v>
      </c>
      <c r="P271" s="57">
        <f>IFERROR(Tabela3[[#This Row],[Perda Pçs]]/Tabela3[[#This Row],[Qdt Peça Placa]],0)</f>
        <v>0</v>
      </c>
      <c r="Q271" s="37">
        <f>IFERROR(Tabela3[[#This Row],[Realizado]]*Tabela3[[#This Row],[Peso Util/Pç]],0)</f>
        <v>121.404</v>
      </c>
      <c r="R271" s="37">
        <f>IFERROR(Tabela3[[#This Row],[Peso Total Galho]]*Tabela3[[#This Row],[Qtde Cx Produzida]]*1.055,0)</f>
        <v>152.11411999999999</v>
      </c>
      <c r="S271" s="37">
        <f>(Tabela3[[#This Row],[Aluminio Bruto]]-Tabela3[[#This Row],[Aluminio Util]])*0.9</f>
        <v>27.63910799999999</v>
      </c>
      <c r="T271" s="37">
        <f>Tabela3[[#This Row],[Aluminio Bruto]]/OleoKGAluminio</f>
        <v>63.994213602332437</v>
      </c>
      <c r="U271" s="35">
        <f>IFERROR((VLOOKUP(Tabela3[[#This Row],[Moldador]],Tabela1[],5,)+(VLOOKUP(Tabela3[[#This Row],[Ajudante]],Tabela1[],5,))*3.5),0)</f>
        <v>99.95034583333333</v>
      </c>
      <c r="V271" s="35">
        <f>IFERROR(Tabela3[[#This Row],[Custo M.O. / H]]/((Tabela3[[#This Row],[Realizado]]/Tabela3[[#This Row],[Qdt Peça Placa]])/Tabela3[[#This Row],[Tempo]]/24),)</f>
        <v>12.357045243573797</v>
      </c>
      <c r="W271" s="35">
        <f>Tabela3[[#This Row],[Custo / Cx Moldada]]*Tabela3[[#This Row],[Qtde Cx Produzida]]</f>
        <v>827.92203131944439</v>
      </c>
      <c r="X271" s="35">
        <f ca="1">Tabela3[[#This Row],[Aluminio Util]]*Tabela3[[#This Row],[Custo/Kg]]</f>
        <v>1893.9024000000002</v>
      </c>
      <c r="Y271" s="35">
        <f>IFERROR(VLOOKUP(Tabela3[[#This Row],[Data]],Tabela461213[],2,1)*(Tabela3[[#This Row],[Qtde Cx Produzida]]*Tabela3[[#This Row],[Qde macho / CX]]*Tabela3[[#This Row],[Peso Macho]]),)</f>
        <v>0</v>
      </c>
      <c r="Z271" s="35">
        <f>IFERROR(Tabela3[[#This Row],[Qtde Oleo]]*(VLOOKUP(Tabela3[[#This Row],[Data]],CompraOleo[],3,TRUE))*1.05,0)</f>
        <v>167.98481070612266</v>
      </c>
      <c r="AA271" s="47">
        <f ca="1">(Tabela3[[#This Row],[Custo Oleo]]+Tabela3[[#This Row],[Custo Aluminio]]+Tabela3[[#This Row],[Custo M.O. Total]]+Tabela3[[#This Row],[Custo Machos]])</f>
        <v>2889.8092420255671</v>
      </c>
      <c r="AB271" s="47">
        <f ca="1">Tabela3[[#This Row],[Custo Total]]*Tabela3[[#This Row],[% Perda]]</f>
        <v>0</v>
      </c>
      <c r="AC271" s="48">
        <f>IFERROR(VLOOKUP(Tabela3[[#This Row],[Produto]],Tabela2[],2,0),0)</f>
        <v>6</v>
      </c>
      <c r="AD271" s="48">
        <f>IFERROR(VLOOKUP(Tabela3[[#This Row],[Produto]],Tabela2[],3,0),0)</f>
        <v>0.30199999999999999</v>
      </c>
      <c r="AE271" s="48">
        <f>IFERROR(VLOOKUP(Tabela3[[#This Row],[Produto]],Tabela2[],4,0),0)</f>
        <v>2.1520000000000001</v>
      </c>
      <c r="AF271" s="48">
        <f>IFERROR(VLOOKUP(Tabela3[[#This Row],[Produto]],Tabela2[],5,0),0)</f>
        <v>0.30600000000000027</v>
      </c>
      <c r="AG271" s="40">
        <f>IFERROR(VLOOKUP(Tabela3[[#This Row],[Produto]],Tabela2[],6,0),0)</f>
        <v>0</v>
      </c>
      <c r="AH271" s="40">
        <f>IFERROR(VLOOKUP(Tabela3[[#This Row],[Produto]],Tabela2[],7,0),0)</f>
        <v>0</v>
      </c>
      <c r="AI271" s="40">
        <f>IFERROR(VLOOKUP(Tabela3[[#This Row],[Produto]],Tabela2[],8,0),0)</f>
        <v>0</v>
      </c>
      <c r="AJ271" s="35">
        <f ca="1">IFERROR(VLOOKUP(Tabela3[[#This Row],[Produto]],Tabela2[],13,0),0)</f>
        <v>15.600000000000001</v>
      </c>
      <c r="AK271" s="40" t="str">
        <f>IFERROR(VLOOKUP(Tabela3[[#This Row],[Produto]],Tabela2[],14,0),0)</f>
        <v>Senun</v>
      </c>
      <c r="AL271" s="40">
        <f>IFERROR(VLOOKUP(Tabela3[[#This Row],[Produto]],Tabela2[],15,0),0)</f>
        <v>4</v>
      </c>
      <c r="AM271" s="36">
        <f ca="1">(Tabela3[[#This Row],[Custo Usinagem]]+Tabela3[[#This Row],[Custo / Pç]])*1.2</f>
        <v>13.426296244852439</v>
      </c>
      <c r="AN271" s="36">
        <f ca="1">Tabela3[[#This Row],[Valor Mínimo Venda]]*1.15</f>
        <v>15.440240681580304</v>
      </c>
      <c r="AO271" s="36">
        <f ca="1">Tabela3[[#This Row],[Tabela 1]]*1.08</f>
        <v>16.67545993610673</v>
      </c>
      <c r="AP271" s="36">
        <f ca="1">Tabela3[[#This Row],[Tabela 2]]*1.15</f>
        <v>19.176778926522736</v>
      </c>
    </row>
    <row r="272" spans="1:42">
      <c r="A272" s="9">
        <v>45797</v>
      </c>
      <c r="B272" s="6" t="s">
        <v>88</v>
      </c>
      <c r="C272" s="14">
        <v>6636</v>
      </c>
      <c r="D272" s="6" t="s">
        <v>44</v>
      </c>
      <c r="E272" s="6" t="s">
        <v>47</v>
      </c>
      <c r="F272" s="6">
        <v>5</v>
      </c>
      <c r="G272" s="15">
        <v>2.4305555555555556E-2</v>
      </c>
      <c r="H272" s="16">
        <v>0</v>
      </c>
      <c r="I272" s="35">
        <f ca="1">IFERROR(Tabela3[[#This Row],[Custo Total]]/Tabela3[[#This Row],[Aluminio Util]],0)</f>
        <v>26.569730470090899</v>
      </c>
      <c r="J272" s="35">
        <f ca="1">Tabela3[[#This Row],[Custo Total]]/Tabela3[[#This Row],[Realizado]]</f>
        <v>19.581891356456993</v>
      </c>
      <c r="K272" s="37">
        <f>IFERROR(Tabela3[[#This Row],[Qtde Cx Produzida]]/Tabela3[[#This Row],[Tempo]]/24,0)</f>
        <v>8.5714285714285712</v>
      </c>
      <c r="L272" s="37">
        <f>Tabela3[[#This Row],[Qtde Cx Produzida]]*Tabela3[[#This Row],[Qdt Peça Placa]]</f>
        <v>10</v>
      </c>
      <c r="M272" s="37">
        <f>Tabela3[[#This Row],[Previsto]]-Tabela3[[#This Row],[Perda Pçs]]</f>
        <v>10</v>
      </c>
      <c r="N272" s="38">
        <f>IFERROR(Tabela3[[#This Row],[Perda Pçs]]/Tabela3[[#This Row],[Previsto]],0)</f>
        <v>0</v>
      </c>
      <c r="O272" s="39">
        <f>IFERROR(IF(Tabela3[[#This Row],[Qtde Cx Produzida]] &lt;&gt; 0, Tabela3[[#This Row],[Tempo]] / Tabela3[[#This Row],[Qtde Cx Produzida]], 0),0)</f>
        <v>4.8611111111111112E-3</v>
      </c>
      <c r="P272" s="57">
        <f>IFERROR(Tabela3[[#This Row],[Perda Pçs]]/Tabela3[[#This Row],[Qdt Peça Placa]],0)</f>
        <v>0</v>
      </c>
      <c r="Q272" s="37">
        <f>IFERROR(Tabela3[[#This Row],[Realizado]]*Tabela3[[#This Row],[Peso Util/Pç]],0)</f>
        <v>7.37</v>
      </c>
      <c r="R272" s="37">
        <f>IFERROR(Tabela3[[#This Row],[Peso Total Galho]]*Tabela3[[#This Row],[Qtde Cx Produzida]]*1.055,0)</f>
        <v>13.757200000000001</v>
      </c>
      <c r="S272" s="37">
        <f>(Tabela3[[#This Row],[Aluminio Bruto]]-Tabela3[[#This Row],[Aluminio Util]])*0.9</f>
        <v>5.7484800000000007</v>
      </c>
      <c r="T272" s="37">
        <f>Tabela3[[#This Row],[Aluminio Bruto]]/OleoKGAluminio</f>
        <v>5.7876362521112963</v>
      </c>
      <c r="U272" s="35">
        <f>IFERROR((VLOOKUP(Tabela3[[#This Row],[Moldador]],Tabela1[],5,)+(VLOOKUP(Tabela3[[#This Row],[Ajudante]],Tabela1[],5,))*3.5),0)</f>
        <v>99.95034583333333</v>
      </c>
      <c r="V272" s="35">
        <f>IFERROR(Tabela3[[#This Row],[Custo M.O. / H]]/((Tabela3[[#This Row],[Realizado]]/Tabela3[[#This Row],[Qdt Peça Placa]])/Tabela3[[#This Row],[Tempo]]/24),)</f>
        <v>11.660873680555556</v>
      </c>
      <c r="W272" s="35">
        <f>Tabela3[[#This Row],[Custo / Cx Moldada]]*Tabela3[[#This Row],[Qtde Cx Produzida]]</f>
        <v>58.304368402777776</v>
      </c>
      <c r="X272" s="35">
        <f ca="1">Tabela3[[#This Row],[Aluminio Util]]*Tabela3[[#This Row],[Custo/Kg]]</f>
        <v>114.97200000000001</v>
      </c>
      <c r="Y272" s="35">
        <f>IFERROR(VLOOKUP(Tabela3[[#This Row],[Data]],Tabela461213[],2,1)*(Tabela3[[#This Row],[Qtde Cx Produzida]]*Tabela3[[#This Row],[Qde macho / CX]]*Tabela3[[#This Row],[Peso Macho]]),)</f>
        <v>7.3500000000000005</v>
      </c>
      <c r="Z272" s="35">
        <f>IFERROR(Tabela3[[#This Row],[Qtde Oleo]]*(VLOOKUP(Tabela3[[#This Row],[Data]],CompraOleo[],3,TRUE))*1.05,0)</f>
        <v>15.192545161792154</v>
      </c>
      <c r="AA272" s="47">
        <f ca="1">(Tabela3[[#This Row],[Custo Oleo]]+Tabela3[[#This Row],[Custo Aluminio]]+Tabela3[[#This Row],[Custo M.O. Total]]+Tabela3[[#This Row],[Custo Machos]])</f>
        <v>195.81891356456993</v>
      </c>
      <c r="AB272" s="47">
        <f ca="1">Tabela3[[#This Row],[Custo Total]]*Tabela3[[#This Row],[% Perda]]</f>
        <v>0</v>
      </c>
      <c r="AC272" s="48">
        <f>IFERROR(VLOOKUP(Tabela3[[#This Row],[Produto]],Tabela2[],2,0),0)</f>
        <v>2</v>
      </c>
      <c r="AD272" s="48">
        <f>IFERROR(VLOOKUP(Tabela3[[#This Row],[Produto]],Tabela2[],3,0),0)</f>
        <v>0.73699999999999999</v>
      </c>
      <c r="AE272" s="48">
        <f>IFERROR(VLOOKUP(Tabela3[[#This Row],[Produto]],Tabela2[],4,0),0)</f>
        <v>2.6080000000000001</v>
      </c>
      <c r="AF272" s="48">
        <f>IFERROR(VLOOKUP(Tabela3[[#This Row],[Produto]],Tabela2[],5,0),0)</f>
        <v>1.0206000000000002</v>
      </c>
      <c r="AG272" s="40">
        <f>IFERROR(VLOOKUP(Tabela3[[#This Row],[Produto]],Tabela2[],6,0),0)</f>
        <v>0</v>
      </c>
      <c r="AH272" s="40">
        <f>IFERROR(VLOOKUP(Tabela3[[#This Row],[Produto]],Tabela2[],7,0),0)</f>
        <v>2</v>
      </c>
      <c r="AI272" s="40">
        <f>IFERROR(VLOOKUP(Tabela3[[#This Row],[Produto]],Tabela2[],8,0),0)</f>
        <v>0.49</v>
      </c>
      <c r="AJ272" s="35">
        <f ca="1">IFERROR(VLOOKUP(Tabela3[[#This Row],[Produto]],Tabela2[],13,0),0)</f>
        <v>15.600000000000001</v>
      </c>
      <c r="AK272" s="40" t="str">
        <f>IFERROR(VLOOKUP(Tabela3[[#This Row],[Produto]],Tabela2[],14,0),0)</f>
        <v>Jumil</v>
      </c>
      <c r="AL272" s="40">
        <f>IFERROR(VLOOKUP(Tabela3[[#This Row],[Produto]],Tabela2[],15,0),0)</f>
        <v>1</v>
      </c>
      <c r="AM272" s="36">
        <f ca="1">(Tabela3[[#This Row],[Custo Usinagem]]+Tabela3[[#This Row],[Custo / Pç]])*1.2</f>
        <v>24.698269627748392</v>
      </c>
      <c r="AN272" s="36">
        <f ca="1">Tabela3[[#This Row],[Valor Mínimo Venda]]*1.15</f>
        <v>28.40301007191065</v>
      </c>
      <c r="AO272" s="36">
        <f ca="1">Tabela3[[#This Row],[Tabela 1]]*1.08</f>
        <v>30.675250877663505</v>
      </c>
      <c r="AP272" s="36">
        <f ca="1">Tabela3[[#This Row],[Tabela 2]]*1.15</f>
        <v>35.276538509313028</v>
      </c>
    </row>
    <row r="273" spans="1:42">
      <c r="A273" s="9">
        <v>45797</v>
      </c>
      <c r="B273" s="6" t="s">
        <v>246</v>
      </c>
      <c r="C273" s="14">
        <v>6639</v>
      </c>
      <c r="D273" s="6" t="s">
        <v>44</v>
      </c>
      <c r="E273" s="6" t="s">
        <v>47</v>
      </c>
      <c r="F273" s="6">
        <v>20</v>
      </c>
      <c r="G273" s="15">
        <v>0.10486111111111111</v>
      </c>
      <c r="H273" s="16">
        <v>21</v>
      </c>
      <c r="I273" s="35">
        <f ca="1">IFERROR(Tabela3[[#This Row],[Custo Total]]/Tabela3[[#This Row],[Aluminio Util]],0)</f>
        <v>28.891197262389234</v>
      </c>
      <c r="J273" s="35">
        <f ca="1">Tabela3[[#This Row],[Custo Total]]/Tabela3[[#This Row],[Realizado]]</f>
        <v>15.399008140853464</v>
      </c>
      <c r="K273" s="37">
        <f>IFERROR(Tabela3[[#This Row],[Qtde Cx Produzida]]/Tabela3[[#This Row],[Tempo]]/24,0)</f>
        <v>7.9470198675496695</v>
      </c>
      <c r="L273" s="37">
        <f>Tabela3[[#This Row],[Qtde Cx Produzida]]*Tabela3[[#This Row],[Qdt Peça Placa]]</f>
        <v>80</v>
      </c>
      <c r="M273" s="37">
        <f>Tabela3[[#This Row],[Previsto]]-Tabela3[[#This Row],[Perda Pçs]]</f>
        <v>59</v>
      </c>
      <c r="N273" s="38">
        <f>IFERROR(Tabela3[[#This Row],[Perda Pçs]]/Tabela3[[#This Row],[Previsto]],0)</f>
        <v>0.26250000000000001</v>
      </c>
      <c r="O273" s="39">
        <f>IFERROR(IF(Tabela3[[#This Row],[Qtde Cx Produzida]] &lt;&gt; 0, Tabela3[[#This Row],[Tempo]] / Tabela3[[#This Row],[Qtde Cx Produzida]], 0),0)</f>
        <v>5.2430555555555555E-3</v>
      </c>
      <c r="P273" s="57">
        <f>IFERROR(Tabela3[[#This Row],[Perda Pçs]]/Tabela3[[#This Row],[Qdt Peça Placa]],0)</f>
        <v>5.25</v>
      </c>
      <c r="Q273" s="37">
        <f>IFERROR(Tabela3[[#This Row],[Realizado]]*Tabela3[[#This Row],[Peso Util/Pç]],0)</f>
        <v>31.447000000000003</v>
      </c>
      <c r="R273" s="37">
        <f>IFERROR(Tabela3[[#This Row],[Peso Total Galho]]*Tabela3[[#This Row],[Qtde Cx Produzida]]*1.055,0)</f>
        <v>69.63</v>
      </c>
      <c r="S273" s="37">
        <f>(Tabela3[[#This Row],[Aluminio Bruto]]-Tabela3[[#This Row],[Aluminio Util]])*0.9</f>
        <v>34.364699999999992</v>
      </c>
      <c r="T273" s="37">
        <f>Tabela3[[#This Row],[Aluminio Bruto]]/OleoKGAluminio</f>
        <v>29.293250969274961</v>
      </c>
      <c r="U273" s="35">
        <f>IFERROR((VLOOKUP(Tabela3[[#This Row],[Moldador]],Tabela1[],5,)+(VLOOKUP(Tabela3[[#This Row],[Ajudante]],Tabela1[],5,))*3.5),0)</f>
        <v>99.95034583333333</v>
      </c>
      <c r="V273" s="35">
        <f>IFERROR(Tabela3[[#This Row],[Custo M.O. / H]]/((Tabela3[[#This Row],[Realizado]]/Tabela3[[#This Row],[Qdt Peça Placa]])/Tabela3[[#This Row],[Tempo]]/24),)</f>
        <v>17.053674825800375</v>
      </c>
      <c r="W273" s="35">
        <f>Tabela3[[#This Row],[Custo / Cx Moldada]]*Tabela3[[#This Row],[Qtde Cx Produzida]]</f>
        <v>341.07349651600748</v>
      </c>
      <c r="X273" s="35">
        <f ca="1">Tabela3[[#This Row],[Aluminio Util]]*Tabela3[[#This Row],[Custo/Kg]]</f>
        <v>490.5732000000001</v>
      </c>
      <c r="Y273" s="35">
        <f>IFERROR(VLOOKUP(Tabela3[[#This Row],[Data]],Tabela461213[],2,1)*(Tabela3[[#This Row],[Qtde Cx Produzida]]*Tabela3[[#This Row],[Qde macho / CX]]*Tabela3[[#This Row],[Peso Macho]]),)</f>
        <v>0</v>
      </c>
      <c r="Z273" s="35">
        <f>IFERROR(Tabela3[[#This Row],[Qtde Oleo]]*(VLOOKUP(Tabela3[[#This Row],[Data]],CompraOleo[],3,TRUE))*1.05,0)</f>
        <v>76.894783794346765</v>
      </c>
      <c r="AA273" s="47">
        <f ca="1">(Tabela3[[#This Row],[Custo Oleo]]+Tabela3[[#This Row],[Custo Aluminio]]+Tabela3[[#This Row],[Custo M.O. Total]]+Tabela3[[#This Row],[Custo Machos]])</f>
        <v>908.54148031035436</v>
      </c>
      <c r="AB273" s="47">
        <f ca="1">Tabela3[[#This Row],[Custo Total]]*Tabela3[[#This Row],[% Perda]]</f>
        <v>238.49213858146803</v>
      </c>
      <c r="AC273" s="48">
        <f>IFERROR(VLOOKUP(Tabela3[[#This Row],[Produto]],Tabela2[],2,0),0)</f>
        <v>4</v>
      </c>
      <c r="AD273" s="48">
        <f>IFERROR(VLOOKUP(Tabela3[[#This Row],[Produto]],Tabela2[],3,0),0)</f>
        <v>0.53300000000000003</v>
      </c>
      <c r="AE273" s="48">
        <f>IFERROR(VLOOKUP(Tabela3[[#This Row],[Produto]],Tabela2[],4,0),0)</f>
        <v>3.3</v>
      </c>
      <c r="AF273" s="48">
        <f>IFERROR(VLOOKUP(Tabela3[[#This Row],[Produto]],Tabela2[],5,0),0)</f>
        <v>1.0511999999999997</v>
      </c>
      <c r="AG273" s="40">
        <f>IFERROR(VLOOKUP(Tabela3[[#This Row],[Produto]],Tabela2[],6,0),0)</f>
        <v>0</v>
      </c>
      <c r="AH273" s="40">
        <f>IFERROR(VLOOKUP(Tabela3[[#This Row],[Produto]],Tabela2[],7,0),0)</f>
        <v>0</v>
      </c>
      <c r="AI273" s="40">
        <f>IFERROR(VLOOKUP(Tabela3[[#This Row],[Produto]],Tabela2[],8,0),0)</f>
        <v>0</v>
      </c>
      <c r="AJ273" s="35">
        <f ca="1">IFERROR(VLOOKUP(Tabela3[[#This Row],[Produto]],Tabela2[],13,0),0)</f>
        <v>15.600000000000001</v>
      </c>
      <c r="AK273" s="40" t="str">
        <f>IFERROR(VLOOKUP(Tabela3[[#This Row],[Produto]],Tabela2[],14,0),0)</f>
        <v>Senun</v>
      </c>
      <c r="AL273" s="40">
        <f>IFERROR(VLOOKUP(Tabela3[[#This Row],[Produto]],Tabela2[],15,0),0)</f>
        <v>4</v>
      </c>
      <c r="AM273" s="36">
        <f ca="1">(Tabela3[[#This Row],[Custo Usinagem]]+Tabela3[[#This Row],[Custo / Pç]])*1.2</f>
        <v>23.278809769024157</v>
      </c>
      <c r="AN273" s="36">
        <f ca="1">Tabela3[[#This Row],[Valor Mínimo Venda]]*1.15</f>
        <v>26.770631234377777</v>
      </c>
      <c r="AO273" s="36">
        <f ca="1">Tabela3[[#This Row],[Tabela 1]]*1.08</f>
        <v>28.912281733128001</v>
      </c>
      <c r="AP273" s="36">
        <f ca="1">Tabela3[[#This Row],[Tabela 2]]*1.15</f>
        <v>33.2491239930972</v>
      </c>
    </row>
    <row r="274" spans="1:42">
      <c r="A274" s="9">
        <v>45797</v>
      </c>
      <c r="B274" s="6" t="s">
        <v>232</v>
      </c>
      <c r="C274" s="14">
        <v>6605</v>
      </c>
      <c r="D274" s="6" t="s">
        <v>44</v>
      </c>
      <c r="E274" s="6" t="s">
        <v>47</v>
      </c>
      <c r="F274" s="6">
        <v>27</v>
      </c>
      <c r="G274" s="15">
        <v>0.13055555555555556</v>
      </c>
      <c r="H274" s="16">
        <v>0</v>
      </c>
      <c r="I274" s="35">
        <f ca="1">IFERROR(Tabela3[[#This Row],[Custo Total]]/Tabela3[[#This Row],[Aluminio Util]],0)</f>
        <v>26.71285572296069</v>
      </c>
      <c r="J274" s="35">
        <f ca="1">Tabela3[[#This Row],[Custo Total]]/Tabela3[[#This Row],[Realizado]]</f>
        <v>11.24611225936645</v>
      </c>
      <c r="K274" s="37">
        <f>IFERROR(Tabela3[[#This Row],[Qtde Cx Produzida]]/Tabela3[[#This Row],[Tempo]]/24,0)</f>
        <v>8.6170212765957448</v>
      </c>
      <c r="L274" s="37">
        <f>Tabela3[[#This Row],[Qtde Cx Produzida]]*Tabela3[[#This Row],[Qdt Peça Placa]]</f>
        <v>108</v>
      </c>
      <c r="M274" s="37">
        <f>Tabela3[[#This Row],[Previsto]]-Tabela3[[#This Row],[Perda Pçs]]</f>
        <v>108</v>
      </c>
      <c r="N274" s="38">
        <f>IFERROR(Tabela3[[#This Row],[Perda Pçs]]/Tabela3[[#This Row],[Previsto]],0)</f>
        <v>0</v>
      </c>
      <c r="O274" s="39">
        <f>IFERROR(IF(Tabela3[[#This Row],[Qtde Cx Produzida]] &lt;&gt; 0, Tabela3[[#This Row],[Tempo]] / Tabela3[[#This Row],[Qtde Cx Produzida]], 0),0)</f>
        <v>4.8353909465020583E-3</v>
      </c>
      <c r="P274" s="57">
        <f>IFERROR(Tabela3[[#This Row],[Perda Pçs]]/Tabela3[[#This Row],[Qdt Peça Placa]],0)</f>
        <v>0</v>
      </c>
      <c r="Q274" s="37">
        <f>IFERROR(Tabela3[[#This Row],[Realizado]]*Tabela3[[#This Row],[Peso Util/Pç]],0)</f>
        <v>45.467999999999996</v>
      </c>
      <c r="R274" s="37">
        <f>IFERROR(Tabela3[[#This Row],[Peso Total Galho]]*Tabela3[[#This Row],[Qtde Cx Produzida]]*1.055,0)</f>
        <v>91.607759999999999</v>
      </c>
      <c r="S274" s="37">
        <f>(Tabela3[[#This Row],[Aluminio Bruto]]-Tabela3[[#This Row],[Aluminio Util]])*0.9</f>
        <v>41.525784000000002</v>
      </c>
      <c r="T274" s="37">
        <f>Tabela3[[#This Row],[Aluminio Bruto]]/OleoKGAluminio</f>
        <v>38.539266184304296</v>
      </c>
      <c r="U274" s="35">
        <f>IFERROR((VLOOKUP(Tabela3[[#This Row],[Moldador]],Tabela1[],5,)+(VLOOKUP(Tabela3[[#This Row],[Ajudante]],Tabela1[],5,))*3.5),0)</f>
        <v>99.95034583333333</v>
      </c>
      <c r="V274" s="35">
        <f>IFERROR(Tabela3[[#This Row],[Custo M.O. / H]]/((Tabela3[[#This Row],[Realizado]]/Tabela3[[#This Row],[Qdt Peça Placa]])/Tabela3[[#This Row],[Tempo]]/24),)</f>
        <v>11.599175936213991</v>
      </c>
      <c r="W274" s="35">
        <f>Tabela3[[#This Row],[Custo / Cx Moldada]]*Tabela3[[#This Row],[Qtde Cx Produzida]]</f>
        <v>313.17775027777776</v>
      </c>
      <c r="X274" s="35">
        <f ca="1">Tabela3[[#This Row],[Aluminio Util]]*Tabela3[[#This Row],[Custo/Kg]]</f>
        <v>800.23680000000002</v>
      </c>
      <c r="Y274" s="35">
        <f>IFERROR(VLOOKUP(Tabela3[[#This Row],[Data]],Tabela461213[],2,1)*(Tabela3[[#This Row],[Qtde Cx Produzida]]*Tabela3[[#This Row],[Qde macho / CX]]*Tabela3[[#This Row],[Peso Macho]]),)</f>
        <v>0</v>
      </c>
      <c r="Z274" s="35">
        <f>IFERROR(Tabela3[[#This Row],[Qtde Oleo]]*(VLOOKUP(Tabela3[[#This Row],[Data]],CompraOleo[],3,TRUE))*1.05,0)</f>
        <v>101.16557373379878</v>
      </c>
      <c r="AA274" s="47">
        <f ca="1">(Tabela3[[#This Row],[Custo Oleo]]+Tabela3[[#This Row],[Custo Aluminio]]+Tabela3[[#This Row],[Custo M.O. Total]]+Tabela3[[#This Row],[Custo Machos]])</f>
        <v>1214.5801240115766</v>
      </c>
      <c r="AB274" s="47">
        <f ca="1">Tabela3[[#This Row],[Custo Total]]*Tabela3[[#This Row],[% Perda]]</f>
        <v>0</v>
      </c>
      <c r="AC274" s="48">
        <f>IFERROR(VLOOKUP(Tabela3[[#This Row],[Produto]],Tabela2[],2,0),0)</f>
        <v>4</v>
      </c>
      <c r="AD274" s="48">
        <f>IFERROR(VLOOKUP(Tabela3[[#This Row],[Produto]],Tabela2[],3,0),0)</f>
        <v>0.42099999999999999</v>
      </c>
      <c r="AE274" s="48">
        <f>IFERROR(VLOOKUP(Tabela3[[#This Row],[Produto]],Tabela2[],4,0),0)</f>
        <v>3.2160000000000002</v>
      </c>
      <c r="AF274" s="48">
        <f>IFERROR(VLOOKUP(Tabela3[[#This Row],[Produto]],Tabela2[],5,0),0)</f>
        <v>1.3788000000000002</v>
      </c>
      <c r="AG274" s="40">
        <f>IFERROR(VLOOKUP(Tabela3[[#This Row],[Produto]],Tabela2[],6,0),0)</f>
        <v>0</v>
      </c>
      <c r="AH274" s="40">
        <f>IFERROR(VLOOKUP(Tabela3[[#This Row],[Produto]],Tabela2[],7,0),0)</f>
        <v>0</v>
      </c>
      <c r="AI274" s="40">
        <f>IFERROR(VLOOKUP(Tabela3[[#This Row],[Produto]],Tabela2[],8,0),0)</f>
        <v>0</v>
      </c>
      <c r="AJ274" s="35">
        <f ca="1">IFERROR(VLOOKUP(Tabela3[[#This Row],[Produto]],Tabela2[],13,0),0)</f>
        <v>17.600000000000001</v>
      </c>
      <c r="AK274" s="40" t="str">
        <f>IFERROR(VLOOKUP(Tabela3[[#This Row],[Produto]],Tabela2[],14,0),0)</f>
        <v>Busa</v>
      </c>
      <c r="AL274" s="40">
        <f>IFERROR(VLOOKUP(Tabela3[[#This Row],[Produto]],Tabela2[],15,0),0)</f>
        <v>0.5</v>
      </c>
      <c r="AM274" s="36">
        <f ca="1">(Tabela3[[#This Row],[Custo Usinagem]]+Tabela3[[#This Row],[Custo / Pç]])*1.2</f>
        <v>14.09533471123974</v>
      </c>
      <c r="AN274" s="36">
        <f ca="1">Tabela3[[#This Row],[Valor Mínimo Venda]]*1.15</f>
        <v>16.209634917925701</v>
      </c>
      <c r="AO274" s="36">
        <f ca="1">Tabela3[[#This Row],[Tabela 1]]*1.08</f>
        <v>17.506405711359758</v>
      </c>
      <c r="AP274" s="36">
        <f ca="1">Tabela3[[#This Row],[Tabela 2]]*1.15</f>
        <v>20.13236656806372</v>
      </c>
    </row>
    <row r="275" spans="1:42">
      <c r="A275" s="9">
        <v>45797</v>
      </c>
      <c r="B275" s="6" t="s">
        <v>228</v>
      </c>
      <c r="C275" s="14">
        <v>6649</v>
      </c>
      <c r="D275" s="6" t="s">
        <v>44</v>
      </c>
      <c r="E275" s="6" t="s">
        <v>47</v>
      </c>
      <c r="F275" s="6">
        <v>3</v>
      </c>
      <c r="G275" s="15">
        <v>5.9027777777777776E-2</v>
      </c>
      <c r="H275" s="16">
        <v>0</v>
      </c>
      <c r="I275" s="35">
        <f ca="1">IFERROR(Tabela3[[#This Row],[Custo Total]]/Tabela3[[#This Row],[Aluminio Util]],0)</f>
        <v>21.375301433351133</v>
      </c>
      <c r="J275" s="35">
        <f ca="1">Tabela3[[#This Row],[Custo Total]]/Tabela3[[#This Row],[Realizado]]</f>
        <v>397.58060666033111</v>
      </c>
      <c r="K275" s="37">
        <f>IFERROR(Tabela3[[#This Row],[Qtde Cx Produzida]]/Tabela3[[#This Row],[Tempo]]/24,0)</f>
        <v>2.1176470588235294</v>
      </c>
      <c r="L275" s="37">
        <f>Tabela3[[#This Row],[Qtde Cx Produzida]]*Tabela3[[#This Row],[Qdt Peça Placa]]</f>
        <v>3</v>
      </c>
      <c r="M275" s="37">
        <f>Tabela3[[#This Row],[Previsto]]-Tabela3[[#This Row],[Perda Pçs]]</f>
        <v>3</v>
      </c>
      <c r="N275" s="38">
        <f>IFERROR(Tabela3[[#This Row],[Perda Pçs]]/Tabela3[[#This Row],[Previsto]],0)</f>
        <v>0</v>
      </c>
      <c r="O275" s="39">
        <f>IFERROR(IF(Tabela3[[#This Row],[Qtde Cx Produzida]] &lt;&gt; 0, Tabela3[[#This Row],[Tempo]] / Tabela3[[#This Row],[Qtde Cx Produzida]], 0),0)</f>
        <v>1.9675925925925927E-2</v>
      </c>
      <c r="P275" s="57">
        <f>IFERROR(Tabela3[[#This Row],[Perda Pçs]]/Tabela3[[#This Row],[Qdt Peça Placa]],0)</f>
        <v>0</v>
      </c>
      <c r="Q275" s="37">
        <f>IFERROR(Tabela3[[#This Row],[Realizado]]*Tabela3[[#This Row],[Peso Util/Pç]],0)</f>
        <v>55.800000000000004</v>
      </c>
      <c r="R275" s="37">
        <f>IFERROR(Tabela3[[#This Row],[Peso Total Galho]]*Tabela3[[#This Row],[Qtde Cx Produzida]]*1.055,0)</f>
        <v>62.540399999999998</v>
      </c>
      <c r="S275" s="37">
        <f>(Tabela3[[#This Row],[Aluminio Bruto]]-Tabela3[[#This Row],[Aluminio Util]])*0.9</f>
        <v>6.0663599999999951</v>
      </c>
      <c r="T275" s="37">
        <f>Tabela3[[#This Row],[Aluminio Bruto]]/OleoKGAluminio</f>
        <v>26.310665416039694</v>
      </c>
      <c r="U275" s="35">
        <f>IFERROR((VLOOKUP(Tabela3[[#This Row],[Moldador]],Tabela1[],5,)+(VLOOKUP(Tabela3[[#This Row],[Ajudante]],Tabela1[],5,))*3.5),0)</f>
        <v>99.95034583333333</v>
      </c>
      <c r="V275" s="35">
        <f>IFERROR(Tabela3[[#This Row],[Custo M.O. / H]]/((Tabela3[[#This Row],[Realizado]]/Tabela3[[#This Row],[Qdt Peça Placa]])/Tabela3[[#This Row],[Tempo]]/24),)</f>
        <v>47.198774421296292</v>
      </c>
      <c r="W275" s="35">
        <f>Tabela3[[#This Row],[Custo / Cx Moldada]]*Tabela3[[#This Row],[Qtde Cx Produzida]]</f>
        <v>141.59632326388888</v>
      </c>
      <c r="X275" s="35">
        <f ca="1">Tabela3[[#This Row],[Aluminio Util]]*Tabela3[[#This Row],[Custo/Kg]]</f>
        <v>982.08000000000015</v>
      </c>
      <c r="Y275" s="35">
        <f>IFERROR(VLOOKUP(Tabela3[[#This Row],[Data]],Tabela461213[],2,1)*(Tabela3[[#This Row],[Qtde Cx Produzida]]*Tabela3[[#This Row],[Qde macho / CX]]*Tabela3[[#This Row],[Peso Macho]]),)</f>
        <v>0</v>
      </c>
      <c r="Z275" s="35">
        <f>IFERROR(Tabela3[[#This Row],[Qtde Oleo]]*(VLOOKUP(Tabela3[[#This Row],[Data]],CompraOleo[],3,TRUE))*1.05,0)</f>
        <v>69.065496717104196</v>
      </c>
      <c r="AA275" s="47">
        <f ca="1">(Tabela3[[#This Row],[Custo Oleo]]+Tabela3[[#This Row],[Custo Aluminio]]+Tabela3[[#This Row],[Custo M.O. Total]]+Tabela3[[#This Row],[Custo Machos]])</f>
        <v>1192.7418199809933</v>
      </c>
      <c r="AB275" s="47">
        <f ca="1">Tabela3[[#This Row],[Custo Total]]*Tabela3[[#This Row],[% Perda]]</f>
        <v>0</v>
      </c>
      <c r="AC275" s="48">
        <f>IFERROR(VLOOKUP(Tabela3[[#This Row],[Produto]],Tabela2[],2,0),0)</f>
        <v>1</v>
      </c>
      <c r="AD275" s="48">
        <f>IFERROR(VLOOKUP(Tabela3[[#This Row],[Produto]],Tabela2[],3,0),0)</f>
        <v>18.600000000000001</v>
      </c>
      <c r="AE275" s="48">
        <f>IFERROR(VLOOKUP(Tabela3[[#This Row],[Produto]],Tabela2[],4,0),0)</f>
        <v>19.760000000000002</v>
      </c>
      <c r="AF275" s="48">
        <f>IFERROR(VLOOKUP(Tabela3[[#This Row],[Produto]],Tabela2[],5,0),0)</f>
        <v>1.0440000000000003</v>
      </c>
      <c r="AG275" s="40">
        <f>IFERROR(VLOOKUP(Tabela3[[#This Row],[Produto]],Tabela2[],6,0),0)</f>
        <v>0</v>
      </c>
      <c r="AH275" s="40">
        <f>IFERROR(VLOOKUP(Tabela3[[#This Row],[Produto]],Tabela2[],7,0),0)</f>
        <v>0</v>
      </c>
      <c r="AI275" s="40">
        <f>IFERROR(VLOOKUP(Tabela3[[#This Row],[Produto]],Tabela2[],8,0),0)</f>
        <v>0</v>
      </c>
      <c r="AJ275" s="35">
        <f ca="1">IFERROR(VLOOKUP(Tabela3[[#This Row],[Produto]],Tabela2[],13,0),0)</f>
        <v>17.600000000000001</v>
      </c>
      <c r="AK275" s="40" t="str">
        <f>IFERROR(VLOOKUP(Tabela3[[#This Row],[Produto]],Tabela2[],14,0),0)</f>
        <v>Oscar</v>
      </c>
      <c r="AL275" s="40">
        <f>IFERROR(VLOOKUP(Tabela3[[#This Row],[Produto]],Tabela2[],15,0),0)</f>
        <v>0</v>
      </c>
      <c r="AM275" s="36">
        <f ca="1">(Tabela3[[#This Row],[Custo Usinagem]]+Tabela3[[#This Row],[Custo / Pç]])*1.2</f>
        <v>477.09672799239729</v>
      </c>
      <c r="AN275" s="36">
        <f ca="1">Tabela3[[#This Row],[Valor Mínimo Venda]]*1.15</f>
        <v>548.66123719125687</v>
      </c>
      <c r="AO275" s="36">
        <f ca="1">Tabela3[[#This Row],[Tabela 1]]*1.08</f>
        <v>592.55413616655744</v>
      </c>
      <c r="AP275" s="36">
        <f ca="1">Tabela3[[#This Row],[Tabela 2]]*1.15</f>
        <v>681.43725659154097</v>
      </c>
    </row>
    <row r="276" spans="1:42">
      <c r="A276" s="9">
        <v>45798</v>
      </c>
      <c r="B276" s="6" t="s">
        <v>232</v>
      </c>
      <c r="C276" s="14">
        <v>6605</v>
      </c>
      <c r="D276" s="6" t="s">
        <v>44</v>
      </c>
      <c r="E276" s="6" t="s">
        <v>47</v>
      </c>
      <c r="F276" s="6">
        <v>81</v>
      </c>
      <c r="G276" s="15">
        <v>0.35625000000000001</v>
      </c>
      <c r="H276" s="16">
        <v>0</v>
      </c>
      <c r="I276" s="35">
        <f ca="1">IFERROR(Tabela3[[#This Row],[Custo Total]]/Tabela3[[#This Row],[Aluminio Util]],0)</f>
        <v>26.09001626108029</v>
      </c>
      <c r="J276" s="35">
        <f ca="1">Tabela3[[#This Row],[Custo Total]]/Tabela3[[#This Row],[Realizado]]</f>
        <v>10.983896845914803</v>
      </c>
      <c r="K276" s="37">
        <f>IFERROR(Tabela3[[#This Row],[Qtde Cx Produzida]]/Tabela3[[#This Row],[Tempo]]/24,0)</f>
        <v>9.473684210526315</v>
      </c>
      <c r="L276" s="37">
        <f>Tabela3[[#This Row],[Qtde Cx Produzida]]*Tabela3[[#This Row],[Qdt Peça Placa]]</f>
        <v>324</v>
      </c>
      <c r="M276" s="37">
        <f>Tabela3[[#This Row],[Previsto]]-Tabela3[[#This Row],[Perda Pçs]]</f>
        <v>324</v>
      </c>
      <c r="N276" s="38">
        <f>IFERROR(Tabela3[[#This Row],[Perda Pçs]]/Tabela3[[#This Row],[Previsto]],0)</f>
        <v>0</v>
      </c>
      <c r="O276" s="39">
        <f>IFERROR(IF(Tabela3[[#This Row],[Qtde Cx Produzida]] &lt;&gt; 0, Tabela3[[#This Row],[Tempo]] / Tabela3[[#This Row],[Qtde Cx Produzida]], 0),0)</f>
        <v>4.3981481481481484E-3</v>
      </c>
      <c r="P276" s="57">
        <f>IFERROR(Tabela3[[#This Row],[Perda Pçs]]/Tabela3[[#This Row],[Qdt Peça Placa]],0)</f>
        <v>0</v>
      </c>
      <c r="Q276" s="37">
        <f>IFERROR(Tabela3[[#This Row],[Realizado]]*Tabela3[[#This Row],[Peso Util/Pç]],0)</f>
        <v>136.404</v>
      </c>
      <c r="R276" s="37">
        <f>IFERROR(Tabela3[[#This Row],[Peso Total Galho]]*Tabela3[[#This Row],[Qtde Cx Produzida]]*1.055,0)</f>
        <v>274.82328000000001</v>
      </c>
      <c r="S276" s="37">
        <f>(Tabela3[[#This Row],[Aluminio Bruto]]-Tabela3[[#This Row],[Aluminio Util]])*0.9</f>
        <v>124.57735200000002</v>
      </c>
      <c r="T276" s="37">
        <f>Tabela3[[#This Row],[Aluminio Bruto]]/OleoKGAluminio</f>
        <v>115.61779855291289</v>
      </c>
      <c r="U276" s="35">
        <f>IFERROR((VLOOKUP(Tabela3[[#This Row],[Moldador]],Tabela1[],5,)+(VLOOKUP(Tabela3[[#This Row],[Ajudante]],Tabela1[],5,))*3.5),0)</f>
        <v>99.95034583333333</v>
      </c>
      <c r="V276" s="35">
        <f>IFERROR(Tabela3[[#This Row],[Custo M.O. / H]]/((Tabela3[[#This Row],[Realizado]]/Tabela3[[#This Row],[Qdt Peça Placa]])/Tabela3[[#This Row],[Tempo]]/24),)</f>
        <v>10.550314282407408</v>
      </c>
      <c r="W276" s="35">
        <f>Tabela3[[#This Row],[Custo / Cx Moldada]]*Tabela3[[#This Row],[Qtde Cx Produzida]]</f>
        <v>854.57545687499999</v>
      </c>
      <c r="X276" s="35">
        <f ca="1">Tabela3[[#This Row],[Aluminio Util]]*Tabela3[[#This Row],[Custo/Kg]]</f>
        <v>2400.7103999999999</v>
      </c>
      <c r="Y276" s="35">
        <f>IFERROR(VLOOKUP(Tabela3[[#This Row],[Data]],Tabela461213[],2,1)*(Tabela3[[#This Row],[Qtde Cx Produzida]]*Tabela3[[#This Row],[Qde macho / CX]]*Tabela3[[#This Row],[Peso Macho]]),)</f>
        <v>0</v>
      </c>
      <c r="Z276" s="35">
        <f>IFERROR(Tabela3[[#This Row],[Qtde Oleo]]*(VLOOKUP(Tabela3[[#This Row],[Data]],CompraOleo[],3,TRUE))*1.05,0)</f>
        <v>303.49672120139633</v>
      </c>
      <c r="AA276" s="47">
        <f ca="1">(Tabela3[[#This Row],[Custo Oleo]]+Tabela3[[#This Row],[Custo Aluminio]]+Tabela3[[#This Row],[Custo M.O. Total]]+Tabela3[[#This Row],[Custo Machos]])</f>
        <v>3558.782578076396</v>
      </c>
      <c r="AB276" s="47">
        <f ca="1">Tabela3[[#This Row],[Custo Total]]*Tabela3[[#This Row],[% Perda]]</f>
        <v>0</v>
      </c>
      <c r="AC276" s="48">
        <f>IFERROR(VLOOKUP(Tabela3[[#This Row],[Produto]],Tabela2[],2,0),0)</f>
        <v>4</v>
      </c>
      <c r="AD276" s="48">
        <f>IFERROR(VLOOKUP(Tabela3[[#This Row],[Produto]],Tabela2[],3,0),0)</f>
        <v>0.42099999999999999</v>
      </c>
      <c r="AE276" s="48">
        <f>IFERROR(VLOOKUP(Tabela3[[#This Row],[Produto]],Tabela2[],4,0),0)</f>
        <v>3.2160000000000002</v>
      </c>
      <c r="AF276" s="48">
        <f>IFERROR(VLOOKUP(Tabela3[[#This Row],[Produto]],Tabela2[],5,0),0)</f>
        <v>1.3788000000000002</v>
      </c>
      <c r="AG276" s="40">
        <f>IFERROR(VLOOKUP(Tabela3[[#This Row],[Produto]],Tabela2[],6,0),0)</f>
        <v>0</v>
      </c>
      <c r="AH276" s="40">
        <f>IFERROR(VLOOKUP(Tabela3[[#This Row],[Produto]],Tabela2[],7,0),0)</f>
        <v>0</v>
      </c>
      <c r="AI276" s="40">
        <f>IFERROR(VLOOKUP(Tabela3[[#This Row],[Produto]],Tabela2[],8,0),0)</f>
        <v>0</v>
      </c>
      <c r="AJ276" s="35">
        <f ca="1">IFERROR(VLOOKUP(Tabela3[[#This Row],[Produto]],Tabela2[],13,0),0)</f>
        <v>17.600000000000001</v>
      </c>
      <c r="AK276" s="40" t="str">
        <f>IFERROR(VLOOKUP(Tabela3[[#This Row],[Produto]],Tabela2[],14,0),0)</f>
        <v>Busa</v>
      </c>
      <c r="AL276" s="40">
        <f>IFERROR(VLOOKUP(Tabela3[[#This Row],[Produto]],Tabela2[],15,0),0)</f>
        <v>0.5</v>
      </c>
      <c r="AM276" s="36">
        <f ca="1">(Tabela3[[#This Row],[Custo Usinagem]]+Tabela3[[#This Row],[Custo / Pç]])*1.2</f>
        <v>13.780676215097763</v>
      </c>
      <c r="AN276" s="36">
        <f ca="1">Tabela3[[#This Row],[Valor Mínimo Venda]]*1.15</f>
        <v>15.847777647362427</v>
      </c>
      <c r="AO276" s="36">
        <f ca="1">Tabela3[[#This Row],[Tabela 1]]*1.08</f>
        <v>17.115599859151423</v>
      </c>
      <c r="AP276" s="36">
        <f ca="1">Tabela3[[#This Row],[Tabela 2]]*1.15</f>
        <v>19.682939838024136</v>
      </c>
    </row>
    <row r="277" spans="1:42">
      <c r="A277" s="9">
        <v>45799</v>
      </c>
      <c r="B277" s="6" t="s">
        <v>236</v>
      </c>
      <c r="C277" s="14">
        <v>6481</v>
      </c>
      <c r="D277" s="6" t="s">
        <v>46</v>
      </c>
      <c r="E277" s="6" t="s">
        <v>53</v>
      </c>
      <c r="F277" s="6">
        <v>32</v>
      </c>
      <c r="G277" s="15">
        <v>0.16180555555555556</v>
      </c>
      <c r="H277" s="16">
        <v>0</v>
      </c>
      <c r="I277" s="35">
        <f ca="1">IFERROR(Tabela3[[#This Row],[Custo Total]]/Tabela3[[#This Row],[Aluminio Util]],0)</f>
        <v>23.677608668508668</v>
      </c>
      <c r="J277" s="35">
        <f ca="1">Tabela3[[#This Row],[Custo Total]]/Tabela3[[#This Row],[Realizado]]</f>
        <v>7.1506378178896171</v>
      </c>
      <c r="K277" s="37">
        <f>IFERROR(Tabela3[[#This Row],[Qtde Cx Produzida]]/Tabela3[[#This Row],[Tempo]]/24,0)</f>
        <v>8.2403433476394845</v>
      </c>
      <c r="L277" s="37">
        <f>Tabela3[[#This Row],[Qtde Cx Produzida]]*Tabela3[[#This Row],[Qdt Peça Placa]]</f>
        <v>192</v>
      </c>
      <c r="M277" s="37">
        <f>Tabela3[[#This Row],[Previsto]]-Tabela3[[#This Row],[Perda Pçs]]</f>
        <v>192</v>
      </c>
      <c r="N277" s="38">
        <f>IFERROR(Tabela3[[#This Row],[Perda Pçs]]/Tabela3[[#This Row],[Previsto]],0)</f>
        <v>0</v>
      </c>
      <c r="O277" s="39">
        <f>IFERROR(IF(Tabela3[[#This Row],[Qtde Cx Produzida]] &lt;&gt; 0, Tabela3[[#This Row],[Tempo]] / Tabela3[[#This Row],[Qtde Cx Produzida]], 0),0)</f>
        <v>5.0564236111111114E-3</v>
      </c>
      <c r="P277" s="57">
        <f>IFERROR(Tabela3[[#This Row],[Perda Pçs]]/Tabela3[[#This Row],[Qdt Peça Placa]],0)</f>
        <v>0</v>
      </c>
      <c r="Q277" s="37">
        <f>IFERROR(Tabela3[[#This Row],[Realizado]]*Tabela3[[#This Row],[Peso Util/Pç]],0)</f>
        <v>57.983999999999995</v>
      </c>
      <c r="R277" s="37">
        <f>IFERROR(Tabela3[[#This Row],[Peso Total Galho]]*Tabela3[[#This Row],[Qtde Cx Produzida]]*1.055,0)</f>
        <v>72.651520000000005</v>
      </c>
      <c r="S277" s="37">
        <f>(Tabela3[[#This Row],[Aluminio Bruto]]-Tabela3[[#This Row],[Aluminio Util]])*0.9</f>
        <v>13.200768000000009</v>
      </c>
      <c r="T277" s="37">
        <f>Tabela3[[#This Row],[Aluminio Bruto]]/OleoKGAluminio</f>
        <v>30.564400526487137</v>
      </c>
      <c r="U277" s="35">
        <f>IFERROR((VLOOKUP(Tabela3[[#This Row],[Moldador]],Tabela1[],5,)+(VLOOKUP(Tabela3[[#This Row],[Ajudante]],Tabela1[],5,))*3.5),0)</f>
        <v>99.95034583333333</v>
      </c>
      <c r="V277" s="35">
        <f>IFERROR(Tabela3[[#This Row],[Custo M.O. / H]]/((Tabela3[[#This Row],[Realizado]]/Tabela3[[#This Row],[Qdt Peça Placa]])/Tabela3[[#This Row],[Tempo]]/24),)</f>
        <v>12.129390926649306</v>
      </c>
      <c r="W277" s="35">
        <f>Tabela3[[#This Row],[Custo / Cx Moldada]]*Tabela3[[#This Row],[Qtde Cx Produzida]]</f>
        <v>388.14050965277778</v>
      </c>
      <c r="X277" s="35">
        <f ca="1">Tabela3[[#This Row],[Aluminio Util]]*Tabela3[[#This Row],[Custo/Kg]]</f>
        <v>904.55039999999997</v>
      </c>
      <c r="Y277" s="35">
        <f>IFERROR(VLOOKUP(Tabela3[[#This Row],[Data]],Tabela461213[],2,1)*(Tabela3[[#This Row],[Qtde Cx Produzida]]*Tabela3[[#This Row],[Qde macho / CX]]*Tabela3[[#This Row],[Peso Macho]]),)</f>
        <v>0</v>
      </c>
      <c r="Z277" s="35">
        <f>IFERROR(Tabela3[[#This Row],[Qtde Oleo]]*(VLOOKUP(Tabela3[[#This Row],[Data]],CompraOleo[],3,TRUE))*1.05,0)</f>
        <v>80.231551382028741</v>
      </c>
      <c r="AA277" s="47">
        <f ca="1">(Tabela3[[#This Row],[Custo Oleo]]+Tabela3[[#This Row],[Custo Aluminio]]+Tabela3[[#This Row],[Custo M.O. Total]]+Tabela3[[#This Row],[Custo Machos]])</f>
        <v>1372.9224610348065</v>
      </c>
      <c r="AB277" s="47">
        <f ca="1">Tabela3[[#This Row],[Custo Total]]*Tabela3[[#This Row],[% Perda]]</f>
        <v>0</v>
      </c>
      <c r="AC277" s="48">
        <f>IFERROR(VLOOKUP(Tabela3[[#This Row],[Produto]],Tabela2[],2,0),0)</f>
        <v>6</v>
      </c>
      <c r="AD277" s="48">
        <f>IFERROR(VLOOKUP(Tabela3[[#This Row],[Produto]],Tabela2[],3,0),0)</f>
        <v>0.30199999999999999</v>
      </c>
      <c r="AE277" s="48">
        <f>IFERROR(VLOOKUP(Tabela3[[#This Row],[Produto]],Tabela2[],4,0),0)</f>
        <v>2.1520000000000001</v>
      </c>
      <c r="AF277" s="48">
        <f>IFERROR(VLOOKUP(Tabela3[[#This Row],[Produto]],Tabela2[],5,0),0)</f>
        <v>0.30600000000000027</v>
      </c>
      <c r="AG277" s="40">
        <f>IFERROR(VLOOKUP(Tabela3[[#This Row],[Produto]],Tabela2[],6,0),0)</f>
        <v>0</v>
      </c>
      <c r="AH277" s="40">
        <f>IFERROR(VLOOKUP(Tabela3[[#This Row],[Produto]],Tabela2[],7,0),0)</f>
        <v>0</v>
      </c>
      <c r="AI277" s="40">
        <f>IFERROR(VLOOKUP(Tabela3[[#This Row],[Produto]],Tabela2[],8,0),0)</f>
        <v>0</v>
      </c>
      <c r="AJ277" s="35">
        <f ca="1">IFERROR(VLOOKUP(Tabela3[[#This Row],[Produto]],Tabela2[],13,0),0)</f>
        <v>15.600000000000001</v>
      </c>
      <c r="AK277" s="40" t="str">
        <f>IFERROR(VLOOKUP(Tabela3[[#This Row],[Produto]],Tabela2[],14,0),0)</f>
        <v>Senun</v>
      </c>
      <c r="AL277" s="40">
        <f>IFERROR(VLOOKUP(Tabela3[[#This Row],[Produto]],Tabela2[],15,0),0)</f>
        <v>4</v>
      </c>
      <c r="AM277" s="36">
        <f ca="1">(Tabela3[[#This Row],[Custo Usinagem]]+Tabela3[[#This Row],[Custo / Pç]])*1.2</f>
        <v>13.38076538146754</v>
      </c>
      <c r="AN277" s="36">
        <f ca="1">Tabela3[[#This Row],[Valor Mínimo Venda]]*1.15</f>
        <v>15.387880188687671</v>
      </c>
      <c r="AO277" s="36">
        <f ca="1">Tabela3[[#This Row],[Tabela 1]]*1.08</f>
        <v>16.618910603782684</v>
      </c>
      <c r="AP277" s="36">
        <f ca="1">Tabela3[[#This Row],[Tabela 2]]*1.15</f>
        <v>19.111747194350084</v>
      </c>
    </row>
    <row r="278" spans="1:42">
      <c r="A278" s="9">
        <v>45799</v>
      </c>
      <c r="B278" s="6" t="s">
        <v>135</v>
      </c>
      <c r="C278" s="14">
        <v>6637</v>
      </c>
      <c r="D278" s="6" t="s">
        <v>46</v>
      </c>
      <c r="E278" s="6" t="s">
        <v>53</v>
      </c>
      <c r="F278" s="6">
        <v>12</v>
      </c>
      <c r="G278" s="15">
        <v>5.4166666666666669E-2</v>
      </c>
      <c r="H278" s="16">
        <v>0</v>
      </c>
      <c r="I278" s="35">
        <f ca="1">IFERROR(Tabela3[[#This Row],[Custo Total]]/Tabela3[[#This Row],[Aluminio Util]],0)</f>
        <v>26.029452542241387</v>
      </c>
      <c r="J278" s="35">
        <f ca="1">Tabela3[[#This Row],[Custo Total]]/Tabela3[[#This Row],[Realizado]]</f>
        <v>46.072130999767261</v>
      </c>
      <c r="K278" s="37">
        <f>IFERROR(Tabela3[[#This Row],[Qtde Cx Produzida]]/Tabela3[[#This Row],[Tempo]]/24,0)</f>
        <v>9.2307692307692299</v>
      </c>
      <c r="L278" s="37">
        <f>Tabela3[[#This Row],[Qtde Cx Produzida]]*Tabela3[[#This Row],[Qdt Peça Placa]]</f>
        <v>12</v>
      </c>
      <c r="M278" s="37">
        <f>Tabela3[[#This Row],[Previsto]]-Tabela3[[#This Row],[Perda Pçs]]</f>
        <v>12</v>
      </c>
      <c r="N278" s="38">
        <f>IFERROR(Tabela3[[#This Row],[Perda Pçs]]/Tabela3[[#This Row],[Previsto]],0)</f>
        <v>0</v>
      </c>
      <c r="O278" s="39">
        <f>IFERROR(IF(Tabela3[[#This Row],[Qtde Cx Produzida]] &lt;&gt; 0, Tabela3[[#This Row],[Tempo]] / Tabela3[[#This Row],[Qtde Cx Produzida]], 0),0)</f>
        <v>4.5138888888888893E-3</v>
      </c>
      <c r="P278" s="57">
        <f>IFERROR(Tabela3[[#This Row],[Perda Pçs]]/Tabela3[[#This Row],[Qdt Peça Placa]],0)</f>
        <v>0</v>
      </c>
      <c r="Q278" s="37">
        <f>IFERROR(Tabela3[[#This Row],[Realizado]]*Tabela3[[#This Row],[Peso Util/Pç]],0)</f>
        <v>21.240000000000002</v>
      </c>
      <c r="R278" s="37">
        <f>IFERROR(Tabela3[[#This Row],[Peso Total Galho]]*Tabela3[[#This Row],[Qtde Cx Produzida]]*1.055,0)</f>
        <v>39.625799999999998</v>
      </c>
      <c r="S278" s="37">
        <f>(Tabela3[[#This Row],[Aluminio Bruto]]-Tabela3[[#This Row],[Aluminio Util]])*0.9</f>
        <v>16.547219999999996</v>
      </c>
      <c r="T278" s="37">
        <f>Tabela3[[#This Row],[Aluminio Bruto]]/OleoKGAluminio</f>
        <v>16.670522824332842</v>
      </c>
      <c r="U278" s="35">
        <f>IFERROR((VLOOKUP(Tabela3[[#This Row],[Moldador]],Tabela1[],5,)+(VLOOKUP(Tabela3[[#This Row],[Ajudante]],Tabela1[],5,))*3.5),0)</f>
        <v>99.95034583333333</v>
      </c>
      <c r="V278" s="35">
        <f>IFERROR(Tabela3[[#This Row],[Custo M.O. / H]]/((Tabela3[[#This Row],[Realizado]]/Tabela3[[#This Row],[Qdt Peça Placa]])/Tabela3[[#This Row],[Tempo]]/24),)</f>
        <v>10.827954131944445</v>
      </c>
      <c r="W278" s="35">
        <f>Tabela3[[#This Row],[Custo / Cx Moldada]]*Tabela3[[#This Row],[Qtde Cx Produzida]]</f>
        <v>129.93544958333334</v>
      </c>
      <c r="X278" s="35">
        <f ca="1">Tabela3[[#This Row],[Aluminio Util]]*Tabela3[[#This Row],[Custo/Kg]]</f>
        <v>331.34400000000005</v>
      </c>
      <c r="Y278" s="35">
        <f>IFERROR(VLOOKUP(Tabela3[[#This Row],[Data]],Tabela461213[],2,1)*(Tabela3[[#This Row],[Qtde Cx Produzida]]*Tabela3[[#This Row],[Qde macho / CX]]*Tabela3[[#This Row],[Peso Macho]]),)</f>
        <v>47.826000000000001</v>
      </c>
      <c r="Z278" s="35">
        <f>IFERROR(Tabela3[[#This Row],[Qtde Oleo]]*(VLOOKUP(Tabela3[[#This Row],[Data]],CompraOleo[],3,TRUE))*1.05,0)</f>
        <v>43.760122413873709</v>
      </c>
      <c r="AA278" s="47">
        <f ca="1">(Tabela3[[#This Row],[Custo Oleo]]+Tabela3[[#This Row],[Custo Aluminio]]+Tabela3[[#This Row],[Custo M.O. Total]]+Tabela3[[#This Row],[Custo Machos]])</f>
        <v>552.8655719972071</v>
      </c>
      <c r="AB278" s="47">
        <f ca="1">Tabela3[[#This Row],[Custo Total]]*Tabela3[[#This Row],[% Perda]]</f>
        <v>0</v>
      </c>
      <c r="AC278" s="48">
        <f>IFERROR(VLOOKUP(Tabela3[[#This Row],[Produto]],Tabela2[],2,0),0)</f>
        <v>1</v>
      </c>
      <c r="AD278" s="48">
        <f>IFERROR(VLOOKUP(Tabela3[[#This Row],[Produto]],Tabela2[],3,0),0)</f>
        <v>1.77</v>
      </c>
      <c r="AE278" s="48">
        <f>IFERROR(VLOOKUP(Tabela3[[#This Row],[Produto]],Tabela2[],4,0),0)</f>
        <v>3.13</v>
      </c>
      <c r="AF278" s="48">
        <f>IFERROR(VLOOKUP(Tabela3[[#This Row],[Produto]],Tabela2[],5,0),0)</f>
        <v>1.224</v>
      </c>
      <c r="AG278" s="40">
        <f>IFERROR(VLOOKUP(Tabela3[[#This Row],[Produto]],Tabela2[],6,0),0)</f>
        <v>0</v>
      </c>
      <c r="AH278" s="40">
        <f>IFERROR(VLOOKUP(Tabela3[[#This Row],[Produto]],Tabela2[],7,0),0)</f>
        <v>1</v>
      </c>
      <c r="AI278" s="40">
        <f>IFERROR(VLOOKUP(Tabela3[[#This Row],[Produto]],Tabela2[],8,0),0)</f>
        <v>2.657</v>
      </c>
      <c r="AJ278" s="35">
        <f ca="1">IFERROR(VLOOKUP(Tabela3[[#This Row],[Produto]],Tabela2[],13,0),0)</f>
        <v>15.600000000000001</v>
      </c>
      <c r="AK278" s="40" t="str">
        <f>IFERROR(VLOOKUP(Tabela3[[#This Row],[Produto]],Tabela2[],14,0),0)</f>
        <v>Jumil</v>
      </c>
      <c r="AL278" s="40">
        <f>IFERROR(VLOOKUP(Tabela3[[#This Row],[Produto]],Tabela2[],15,0),0)</f>
        <v>10</v>
      </c>
      <c r="AM278" s="36">
        <f ca="1">(Tabela3[[#This Row],[Custo Usinagem]]+Tabela3[[#This Row],[Custo / Pç]])*1.2</f>
        <v>67.286557199720704</v>
      </c>
      <c r="AN278" s="36">
        <f ca="1">Tabela3[[#This Row],[Valor Mínimo Venda]]*1.15</f>
        <v>77.379540779678806</v>
      </c>
      <c r="AO278" s="36">
        <f ca="1">Tabela3[[#This Row],[Tabela 1]]*1.08</f>
        <v>83.569904042053111</v>
      </c>
      <c r="AP278" s="36">
        <f ca="1">Tabela3[[#This Row],[Tabela 2]]*1.15</f>
        <v>96.105389648361069</v>
      </c>
    </row>
    <row r="279" spans="1:42">
      <c r="A279" s="9">
        <v>45799</v>
      </c>
      <c r="B279" s="6" t="s">
        <v>248</v>
      </c>
      <c r="C279" s="14">
        <v>6711</v>
      </c>
      <c r="D279" s="6" t="s">
        <v>46</v>
      </c>
      <c r="E279" s="6" t="s">
        <v>53</v>
      </c>
      <c r="F279" s="6">
        <v>15</v>
      </c>
      <c r="G279" s="15">
        <v>9.583333333333334E-2</v>
      </c>
      <c r="H279" s="16">
        <v>14</v>
      </c>
      <c r="I279" s="35">
        <f ca="1">IFERROR(Tabela3[[#This Row],[Custo Total]]/Tabela3[[#This Row],[Aluminio Util]],0)</f>
        <v>36.248897141108344</v>
      </c>
      <c r="J279" s="35">
        <f ca="1">Tabela3[[#This Row],[Custo Total]]/Tabela3[[#This Row],[Realizado]]</f>
        <v>12.977105176516787</v>
      </c>
      <c r="K279" s="37">
        <f>IFERROR(Tabela3[[#This Row],[Qtde Cx Produzida]]/Tabela3[[#This Row],[Tempo]]/24,0)</f>
        <v>6.5217391304347823</v>
      </c>
      <c r="L279" s="37">
        <f>Tabela3[[#This Row],[Qtde Cx Produzida]]*Tabela3[[#This Row],[Qdt Peça Placa]]</f>
        <v>60</v>
      </c>
      <c r="M279" s="37">
        <f>Tabela3[[#This Row],[Previsto]]-Tabela3[[#This Row],[Perda Pçs]]</f>
        <v>46</v>
      </c>
      <c r="N279" s="38">
        <f>IFERROR(Tabela3[[#This Row],[Perda Pçs]]/Tabela3[[#This Row],[Previsto]],0)</f>
        <v>0.23333333333333334</v>
      </c>
      <c r="O279" s="39">
        <f>IFERROR(IF(Tabela3[[#This Row],[Qtde Cx Produzida]] &lt;&gt; 0, Tabela3[[#This Row],[Tempo]] / Tabela3[[#This Row],[Qtde Cx Produzida]], 0),0)</f>
        <v>6.3888888888888893E-3</v>
      </c>
      <c r="P279" s="57">
        <f>IFERROR(Tabela3[[#This Row],[Perda Pçs]]/Tabela3[[#This Row],[Qdt Peça Placa]],0)</f>
        <v>3.5</v>
      </c>
      <c r="Q279" s="37">
        <f>IFERROR(Tabela3[[#This Row],[Realizado]]*Tabela3[[#This Row],[Peso Util/Pç]],0)</f>
        <v>16.468</v>
      </c>
      <c r="R279" s="37">
        <f>IFERROR(Tabela3[[#This Row],[Peso Total Galho]]*Tabela3[[#This Row],[Qtde Cx Produzida]]*1.055,0)</f>
        <v>36.397500000000001</v>
      </c>
      <c r="S279" s="37">
        <f>(Tabela3[[#This Row],[Aluminio Bruto]]-Tabela3[[#This Row],[Aluminio Util]])*0.9</f>
        <v>17.93655</v>
      </c>
      <c r="T279" s="37">
        <f>Tabela3[[#This Row],[Aluminio Bruto]]/OleoKGAluminio</f>
        <v>15.31238118848464</v>
      </c>
      <c r="U279" s="35">
        <f>IFERROR((VLOOKUP(Tabela3[[#This Row],[Moldador]],Tabela1[],5,)+(VLOOKUP(Tabela3[[#This Row],[Ajudante]],Tabela1[],5,))*3.5),0)</f>
        <v>99.95034583333333</v>
      </c>
      <c r="V279" s="35">
        <f>IFERROR(Tabela3[[#This Row],[Custo M.O. / H]]/((Tabela3[[#This Row],[Realizado]]/Tabela3[[#This Row],[Qdt Peça Placa]])/Tabela3[[#This Row],[Tempo]]/24),)</f>
        <v>19.990069166666668</v>
      </c>
      <c r="W279" s="35">
        <f>Tabela3[[#This Row],[Custo / Cx Moldada]]*Tabela3[[#This Row],[Qtde Cx Produzida]]</f>
        <v>299.85103750000002</v>
      </c>
      <c r="X279" s="35">
        <f ca="1">Tabela3[[#This Row],[Aluminio Util]]*Tabela3[[#This Row],[Custo/Kg]]</f>
        <v>256.9008</v>
      </c>
      <c r="Y279" s="35">
        <f>IFERROR(VLOOKUP(Tabela3[[#This Row],[Data]],Tabela461213[],2,1)*(Tabela3[[#This Row],[Qtde Cx Produzida]]*Tabela3[[#This Row],[Qde macho / CX]]*Tabela3[[#This Row],[Peso Macho]]),)</f>
        <v>0</v>
      </c>
      <c r="Z279" s="35">
        <f>IFERROR(Tabela3[[#This Row],[Qtde Oleo]]*(VLOOKUP(Tabela3[[#This Row],[Data]],CompraOleo[],3,TRUE))*1.05,0)</f>
        <v>40.195000619772181</v>
      </c>
      <c r="AA279" s="47">
        <f ca="1">(Tabela3[[#This Row],[Custo Oleo]]+Tabela3[[#This Row],[Custo Aluminio]]+Tabela3[[#This Row],[Custo M.O. Total]]+Tabela3[[#This Row],[Custo Machos]])</f>
        <v>596.94683811977222</v>
      </c>
      <c r="AB279" s="47">
        <f ca="1">Tabela3[[#This Row],[Custo Total]]*Tabela3[[#This Row],[% Perda]]</f>
        <v>139.2875955612802</v>
      </c>
      <c r="AC279" s="48">
        <f>IFERROR(VLOOKUP(Tabela3[[#This Row],[Produto]],Tabela2[],2,0),0)</f>
        <v>4</v>
      </c>
      <c r="AD279" s="48">
        <f>IFERROR(VLOOKUP(Tabela3[[#This Row],[Produto]],Tabela2[],3,0),0)</f>
        <v>0.35799999999999998</v>
      </c>
      <c r="AE279" s="48">
        <f>IFERROR(VLOOKUP(Tabela3[[#This Row],[Produto]],Tabela2[],4,0),0)</f>
        <v>2.2999999999999998</v>
      </c>
      <c r="AF279" s="48">
        <f>IFERROR(VLOOKUP(Tabela3[[#This Row],[Produto]],Tabela2[],5,0),0)</f>
        <v>0.78119999999999989</v>
      </c>
      <c r="AG279" s="40">
        <f>IFERROR(VLOOKUP(Tabela3[[#This Row],[Produto]],Tabela2[],6,0),0)</f>
        <v>0</v>
      </c>
      <c r="AH279" s="40">
        <f>IFERROR(VLOOKUP(Tabela3[[#This Row],[Produto]],Tabela2[],7,0),0)</f>
        <v>0</v>
      </c>
      <c r="AI279" s="40">
        <f>IFERROR(VLOOKUP(Tabela3[[#This Row],[Produto]],Tabela2[],8,0),0)</f>
        <v>0</v>
      </c>
      <c r="AJ279" s="35">
        <f ca="1">IFERROR(VLOOKUP(Tabela3[[#This Row],[Produto]],Tabela2[],13,0),0)</f>
        <v>15.600000000000001</v>
      </c>
      <c r="AK279" s="40" t="str">
        <f>IFERROR(VLOOKUP(Tabela3[[#This Row],[Produto]],Tabela2[],14,0),0)</f>
        <v>Senun</v>
      </c>
      <c r="AL279" s="40">
        <f>IFERROR(VLOOKUP(Tabela3[[#This Row],[Produto]],Tabela2[],15,0),0)</f>
        <v>4</v>
      </c>
      <c r="AM279" s="36">
        <f ca="1">(Tabela3[[#This Row],[Custo Usinagem]]+Tabela3[[#This Row],[Custo / Pç]])*1.2</f>
        <v>20.372526211820144</v>
      </c>
      <c r="AN279" s="36">
        <f ca="1">Tabela3[[#This Row],[Valor Mínimo Venda]]*1.15</f>
        <v>23.428405143593164</v>
      </c>
      <c r="AO279" s="36">
        <f ca="1">Tabela3[[#This Row],[Tabela 1]]*1.08</f>
        <v>25.302677555080617</v>
      </c>
      <c r="AP279" s="36">
        <f ca="1">Tabela3[[#This Row],[Tabela 2]]*1.15</f>
        <v>29.098079188342709</v>
      </c>
    </row>
    <row r="280" spans="1:42">
      <c r="A280" s="9">
        <v>45799</v>
      </c>
      <c r="B280" s="6" t="s">
        <v>223</v>
      </c>
      <c r="C280" s="14">
        <v>6506</v>
      </c>
      <c r="D280" s="6" t="s">
        <v>46</v>
      </c>
      <c r="E280" s="6" t="s">
        <v>53</v>
      </c>
      <c r="F280" s="6">
        <v>5</v>
      </c>
      <c r="G280" s="15">
        <v>2.1527777777777778E-2</v>
      </c>
      <c r="H280" s="16">
        <v>0</v>
      </c>
      <c r="I280" s="35">
        <f ca="1">IFERROR(Tabela3[[#This Row],[Custo Total]]/Tabela3[[#This Row],[Aluminio Util]],0)</f>
        <v>21.405601662307983</v>
      </c>
      <c r="J280" s="35">
        <f ca="1">Tabela3[[#This Row],[Custo Total]]/Tabela3[[#This Row],[Realizado]]</f>
        <v>2.2261825728800302</v>
      </c>
      <c r="K280" s="37">
        <f>IFERROR(Tabela3[[#This Row],[Qtde Cx Produzida]]/Tabela3[[#This Row],[Tempo]]/24,0)</f>
        <v>9.67741935483871</v>
      </c>
      <c r="L280" s="37">
        <f>Tabela3[[#This Row],[Qtde Cx Produzida]]*Tabela3[[#This Row],[Qdt Peça Placa]]</f>
        <v>165</v>
      </c>
      <c r="M280" s="37">
        <f>Tabela3[[#This Row],[Previsto]]-Tabela3[[#This Row],[Perda Pçs]]</f>
        <v>165</v>
      </c>
      <c r="N280" s="38">
        <f>IFERROR(Tabela3[[#This Row],[Perda Pçs]]/Tabela3[[#This Row],[Previsto]],0)</f>
        <v>0</v>
      </c>
      <c r="O280" s="39">
        <f>IFERROR(IF(Tabela3[[#This Row],[Qtde Cx Produzida]] &lt;&gt; 0, Tabela3[[#This Row],[Tempo]] / Tabela3[[#This Row],[Qtde Cx Produzida]], 0),0)</f>
        <v>4.3055555555555555E-3</v>
      </c>
      <c r="P280" s="57">
        <f>IFERROR(Tabela3[[#This Row],[Perda Pçs]]/Tabela3[[#This Row],[Qdt Peça Placa]],0)</f>
        <v>0</v>
      </c>
      <c r="Q280" s="37">
        <f>IFERROR(Tabela3[[#This Row],[Realizado]]*Tabela3[[#This Row],[Peso Util/Pç]],0)</f>
        <v>17.16</v>
      </c>
      <c r="R280" s="37">
        <f>IFERROR(Tabela3[[#This Row],[Peso Total Galho]]*Tabela3[[#This Row],[Qtde Cx Produzida]]*1.055,0)</f>
        <v>28.379499999999997</v>
      </c>
      <c r="S280" s="37">
        <f>(Tabela3[[#This Row],[Aluminio Bruto]]-Tabela3[[#This Row],[Aluminio Util]])*0.9</f>
        <v>10.097549999999996</v>
      </c>
      <c r="T280" s="37">
        <f>Tabela3[[#This Row],[Aluminio Bruto]]/OleoKGAluminio</f>
        <v>11.939218955659037</v>
      </c>
      <c r="U280" s="35">
        <f>IFERROR((VLOOKUP(Tabela3[[#This Row],[Moldador]],Tabela1[],5,)+(VLOOKUP(Tabela3[[#This Row],[Ajudante]],Tabela1[],5,))*3.5),0)</f>
        <v>99.95034583333333</v>
      </c>
      <c r="V280" s="35">
        <f>IFERROR(Tabela3[[#This Row],[Custo M.O. / H]]/((Tabela3[[#This Row],[Realizado]]/Tabela3[[#This Row],[Qdt Peça Placa]])/Tabela3[[#This Row],[Tempo]]/24),)</f>
        <v>10.328202402777777</v>
      </c>
      <c r="W280" s="35">
        <f>Tabela3[[#This Row],[Custo / Cx Moldada]]*Tabela3[[#This Row],[Qtde Cx Produzida]]</f>
        <v>51.641012013888883</v>
      </c>
      <c r="X280" s="35">
        <f ca="1">Tabela3[[#This Row],[Aluminio Util]]*Tabela3[[#This Row],[Custo/Kg]]</f>
        <v>284.33866275271117</v>
      </c>
      <c r="Y280" s="35">
        <f>IFERROR(VLOOKUP(Tabela3[[#This Row],[Data]],Tabela461213[],2,1)*(Tabela3[[#This Row],[Qtde Cx Produzida]]*Tabela3[[#This Row],[Qde macho / CX]]*Tabela3[[#This Row],[Peso Macho]]),)</f>
        <v>0</v>
      </c>
      <c r="Z280" s="35">
        <f>IFERROR(Tabela3[[#This Row],[Qtde Oleo]]*(VLOOKUP(Tabela3[[#This Row],[Data]],CompraOleo[],3,TRUE))*1.05,0)</f>
        <v>31.340449758604972</v>
      </c>
      <c r="AA280" s="47">
        <f ca="1">(Tabela3[[#This Row],[Custo Oleo]]+Tabela3[[#This Row],[Custo Aluminio]]+Tabela3[[#This Row],[Custo M.O. Total]]+Tabela3[[#This Row],[Custo Machos]])</f>
        <v>367.32012452520502</v>
      </c>
      <c r="AB280" s="47">
        <f ca="1">Tabela3[[#This Row],[Custo Total]]*Tabela3[[#This Row],[% Perda]]</f>
        <v>0</v>
      </c>
      <c r="AC280" s="48">
        <f>IFERROR(VLOOKUP(Tabela3[[#This Row],[Produto]],Tabela2[],2,0),0)</f>
        <v>33</v>
      </c>
      <c r="AD280" s="48">
        <f>IFERROR(VLOOKUP(Tabela3[[#This Row],[Produto]],Tabela2[],3,0),0)</f>
        <v>0.104</v>
      </c>
      <c r="AE280" s="48">
        <f>IFERROR(VLOOKUP(Tabela3[[#This Row],[Produto]],Tabela2[],4,0),0)</f>
        <v>5.38</v>
      </c>
      <c r="AF280" s="48">
        <f>IFERROR(VLOOKUP(Tabela3[[#This Row],[Produto]],Tabela2[],5,0),0)</f>
        <v>1.7532000000000001</v>
      </c>
      <c r="AG280" s="40">
        <f>IFERROR(VLOOKUP(Tabela3[[#This Row],[Produto]],Tabela2[],6,0),0)</f>
        <v>0</v>
      </c>
      <c r="AH280" s="40">
        <f>IFERROR(VLOOKUP(Tabela3[[#This Row],[Produto]],Tabela2[],7,0),0)</f>
        <v>0</v>
      </c>
      <c r="AI280" s="40">
        <f>IFERROR(VLOOKUP(Tabela3[[#This Row],[Produto]],Tabela2[],8,0),0)</f>
        <v>0</v>
      </c>
      <c r="AJ280" s="35">
        <f ca="1">IFERROR(VLOOKUP(Tabela3[[#This Row],[Produto]],Tabela2[],13,0),0)</f>
        <v>16.569852141766386</v>
      </c>
      <c r="AK280" s="40" t="str">
        <f>IFERROR(VLOOKUP(Tabela3[[#This Row],[Produto]],Tabela2[],14,0),0)</f>
        <v>Marcelo</v>
      </c>
      <c r="AL280" s="40">
        <f>IFERROR(VLOOKUP(Tabela3[[#This Row],[Produto]],Tabela2[],15,0),0)</f>
        <v>0</v>
      </c>
      <c r="AM280" s="36">
        <f ca="1">(Tabela3[[#This Row],[Custo Usinagem]]+Tabela3[[#This Row],[Custo / Pç]])*1.2</f>
        <v>2.671419087456036</v>
      </c>
      <c r="AN280" s="36">
        <f ca="1">Tabela3[[#This Row],[Valor Mínimo Venda]]*1.15</f>
        <v>3.0721319505744411</v>
      </c>
      <c r="AO280" s="36">
        <f ca="1">Tabela3[[#This Row],[Tabela 1]]*1.08</f>
        <v>3.3179025066203964</v>
      </c>
      <c r="AP280" s="36">
        <f ca="1">Tabela3[[#This Row],[Tabela 2]]*1.15</f>
        <v>3.8155878826134555</v>
      </c>
    </row>
    <row r="281" spans="1:42">
      <c r="A281" s="9">
        <v>45799</v>
      </c>
      <c r="B281" s="6" t="s">
        <v>232</v>
      </c>
      <c r="C281" s="14">
        <v>6605</v>
      </c>
      <c r="D281" s="6" t="s">
        <v>44</v>
      </c>
      <c r="E281" s="6" t="s">
        <v>47</v>
      </c>
      <c r="F281" s="6">
        <v>40</v>
      </c>
      <c r="G281" s="15">
        <v>0.16180555555555556</v>
      </c>
      <c r="H281" s="16">
        <v>0</v>
      </c>
      <c r="I281" s="35">
        <f ca="1">IFERROR(Tabela3[[#This Row],[Custo Total]]/Tabela3[[#This Row],[Aluminio Util]],0)</f>
        <v>25.587164989650383</v>
      </c>
      <c r="J281" s="35">
        <f ca="1">Tabela3[[#This Row],[Custo Total]]/Tabela3[[#This Row],[Realizado]]</f>
        <v>10.772196460642812</v>
      </c>
      <c r="K281" s="37">
        <f>IFERROR(Tabela3[[#This Row],[Qtde Cx Produzida]]/Tabela3[[#This Row],[Tempo]]/24,0)</f>
        <v>10.300429184549357</v>
      </c>
      <c r="L281" s="37">
        <f>Tabela3[[#This Row],[Qtde Cx Produzida]]*Tabela3[[#This Row],[Qdt Peça Placa]]</f>
        <v>160</v>
      </c>
      <c r="M281" s="37">
        <f>Tabela3[[#This Row],[Previsto]]-Tabela3[[#This Row],[Perda Pçs]]</f>
        <v>160</v>
      </c>
      <c r="N281" s="38">
        <f>IFERROR(Tabela3[[#This Row],[Perda Pçs]]/Tabela3[[#This Row],[Previsto]],0)</f>
        <v>0</v>
      </c>
      <c r="O281" s="39">
        <f>IFERROR(IF(Tabela3[[#This Row],[Qtde Cx Produzida]] &lt;&gt; 0, Tabela3[[#This Row],[Tempo]] / Tabela3[[#This Row],[Qtde Cx Produzida]], 0),0)</f>
        <v>4.0451388888888889E-3</v>
      </c>
      <c r="P281" s="57">
        <f>IFERROR(Tabela3[[#This Row],[Perda Pçs]]/Tabela3[[#This Row],[Qdt Peça Placa]],0)</f>
        <v>0</v>
      </c>
      <c r="Q281" s="37">
        <f>IFERROR(Tabela3[[#This Row],[Realizado]]*Tabela3[[#This Row],[Peso Util/Pç]],0)</f>
        <v>67.36</v>
      </c>
      <c r="R281" s="37">
        <f>IFERROR(Tabela3[[#This Row],[Peso Total Galho]]*Tabela3[[#This Row],[Qtde Cx Produzida]]*1.055,0)</f>
        <v>135.71520000000001</v>
      </c>
      <c r="S281" s="37">
        <f>(Tabela3[[#This Row],[Aluminio Bruto]]-Tabela3[[#This Row],[Aluminio Util]])*0.9</f>
        <v>61.519680000000008</v>
      </c>
      <c r="T281" s="37">
        <f>Tabela3[[#This Row],[Aluminio Bruto]]/OleoKGAluminio</f>
        <v>57.095209161932296</v>
      </c>
      <c r="U281" s="35">
        <f>IFERROR((VLOOKUP(Tabela3[[#This Row],[Moldador]],Tabela1[],5,)+(VLOOKUP(Tabela3[[#This Row],[Ajudante]],Tabela1[],5,))*3.5),0)</f>
        <v>99.95034583333333</v>
      </c>
      <c r="V281" s="35">
        <f>IFERROR(Tabela3[[#This Row],[Custo M.O. / H]]/((Tabela3[[#This Row],[Realizado]]/Tabela3[[#This Row],[Qdt Peça Placa]])/Tabela3[[#This Row],[Tempo]]/24),)</f>
        <v>9.7035127413194431</v>
      </c>
      <c r="W281" s="35">
        <f>Tabela3[[#This Row],[Custo / Cx Moldada]]*Tabela3[[#This Row],[Qtde Cx Produzida]]</f>
        <v>388.14050965277772</v>
      </c>
      <c r="X281" s="35">
        <f ca="1">Tabela3[[#This Row],[Aluminio Util]]*Tabela3[[#This Row],[Custo/Kg]]</f>
        <v>1185.5360000000001</v>
      </c>
      <c r="Y281" s="35">
        <f>IFERROR(VLOOKUP(Tabela3[[#This Row],[Data]],Tabela461213[],2,1)*(Tabela3[[#This Row],[Qtde Cx Produzida]]*Tabela3[[#This Row],[Qde macho / CX]]*Tabela3[[#This Row],[Peso Macho]]),)</f>
        <v>0</v>
      </c>
      <c r="Z281" s="35">
        <f>IFERROR(Tabela3[[#This Row],[Qtde Oleo]]*(VLOOKUP(Tabela3[[#This Row],[Data]],CompraOleo[],3,TRUE))*1.05,0)</f>
        <v>149.87492405007228</v>
      </c>
      <c r="AA281" s="47">
        <f ca="1">(Tabela3[[#This Row],[Custo Oleo]]+Tabela3[[#This Row],[Custo Aluminio]]+Tabela3[[#This Row],[Custo M.O. Total]]+Tabela3[[#This Row],[Custo Machos]])</f>
        <v>1723.5514337028499</v>
      </c>
      <c r="AB281" s="47">
        <f ca="1">Tabela3[[#This Row],[Custo Total]]*Tabela3[[#This Row],[% Perda]]</f>
        <v>0</v>
      </c>
      <c r="AC281" s="48">
        <f>IFERROR(VLOOKUP(Tabela3[[#This Row],[Produto]],Tabela2[],2,0),0)</f>
        <v>4</v>
      </c>
      <c r="AD281" s="48">
        <f>IFERROR(VLOOKUP(Tabela3[[#This Row],[Produto]],Tabela2[],3,0),0)</f>
        <v>0.42099999999999999</v>
      </c>
      <c r="AE281" s="48">
        <f>IFERROR(VLOOKUP(Tabela3[[#This Row],[Produto]],Tabela2[],4,0),0)</f>
        <v>3.2160000000000002</v>
      </c>
      <c r="AF281" s="48">
        <f>IFERROR(VLOOKUP(Tabela3[[#This Row],[Produto]],Tabela2[],5,0),0)</f>
        <v>1.3788000000000002</v>
      </c>
      <c r="AG281" s="40">
        <f>IFERROR(VLOOKUP(Tabela3[[#This Row],[Produto]],Tabela2[],6,0),0)</f>
        <v>0</v>
      </c>
      <c r="AH281" s="40">
        <f>IFERROR(VLOOKUP(Tabela3[[#This Row],[Produto]],Tabela2[],7,0),0)</f>
        <v>0</v>
      </c>
      <c r="AI281" s="40">
        <f>IFERROR(VLOOKUP(Tabela3[[#This Row],[Produto]],Tabela2[],8,0),0)</f>
        <v>0</v>
      </c>
      <c r="AJ281" s="35">
        <f ca="1">IFERROR(VLOOKUP(Tabela3[[#This Row],[Produto]],Tabela2[],13,0),0)</f>
        <v>17.600000000000001</v>
      </c>
      <c r="AK281" s="40" t="str">
        <f>IFERROR(VLOOKUP(Tabela3[[#This Row],[Produto]],Tabela2[],14,0),0)</f>
        <v>Busa</v>
      </c>
      <c r="AL281" s="40">
        <f>IFERROR(VLOOKUP(Tabela3[[#This Row],[Produto]],Tabela2[],15,0),0)</f>
        <v>0.5</v>
      </c>
      <c r="AM281" s="36">
        <f ca="1">(Tabela3[[#This Row],[Custo Usinagem]]+Tabela3[[#This Row],[Custo / Pç]])*1.2</f>
        <v>13.526635752771375</v>
      </c>
      <c r="AN281" s="36">
        <f ca="1">Tabela3[[#This Row],[Valor Mínimo Venda]]*1.15</f>
        <v>15.555631115687079</v>
      </c>
      <c r="AO281" s="36">
        <f ca="1">Tabela3[[#This Row],[Tabela 1]]*1.08</f>
        <v>16.800081604942047</v>
      </c>
      <c r="AP281" s="36">
        <f ca="1">Tabela3[[#This Row],[Tabela 2]]*1.15</f>
        <v>19.320093845683353</v>
      </c>
    </row>
    <row r="282" spans="1:42">
      <c r="A282" s="9">
        <v>45800</v>
      </c>
      <c r="B282" s="6" t="s">
        <v>223</v>
      </c>
      <c r="C282" s="14">
        <v>6506</v>
      </c>
      <c r="D282" s="6" t="s">
        <v>46</v>
      </c>
      <c r="E282" s="6" t="s">
        <v>44</v>
      </c>
      <c r="F282" s="6">
        <v>30</v>
      </c>
      <c r="G282" s="15">
        <v>0.15416666666666667</v>
      </c>
      <c r="H282" s="16">
        <v>10</v>
      </c>
      <c r="I282" s="35">
        <f ca="1">IFERROR(Tabela3[[#This Row],[Custo Total]]/Tabela3[[#This Row],[Aluminio Util]],0)</f>
        <v>23.039171797044208</v>
      </c>
      <c r="J282" s="35">
        <f ca="1">Tabela3[[#This Row],[Custo Total]]/Tabela3[[#This Row],[Realizado]]</f>
        <v>2.3960738668925976</v>
      </c>
      <c r="K282" s="37">
        <f>IFERROR(Tabela3[[#This Row],[Qtde Cx Produzida]]/Tabela3[[#This Row],[Tempo]]/24,0)</f>
        <v>8.108108108108107</v>
      </c>
      <c r="L282" s="37">
        <f>Tabela3[[#This Row],[Qtde Cx Produzida]]*Tabela3[[#This Row],[Qdt Peça Placa]]</f>
        <v>990</v>
      </c>
      <c r="M282" s="37">
        <f>Tabela3[[#This Row],[Previsto]]-Tabela3[[#This Row],[Perda Pçs]]</f>
        <v>980</v>
      </c>
      <c r="N282" s="38">
        <f>IFERROR(Tabela3[[#This Row],[Perda Pçs]]/Tabela3[[#This Row],[Previsto]],0)</f>
        <v>1.0101010101010102E-2</v>
      </c>
      <c r="O282" s="39">
        <f>IFERROR(IF(Tabela3[[#This Row],[Qtde Cx Produzida]] &lt;&gt; 0, Tabela3[[#This Row],[Tempo]] / Tabela3[[#This Row],[Qtde Cx Produzida]], 0),0)</f>
        <v>5.138888888888889E-3</v>
      </c>
      <c r="P282" s="57">
        <f>IFERROR(Tabela3[[#This Row],[Perda Pçs]]/Tabela3[[#This Row],[Qdt Peça Placa]],0)</f>
        <v>0.30303030303030304</v>
      </c>
      <c r="Q282" s="37">
        <f>IFERROR(Tabela3[[#This Row],[Realizado]]*Tabela3[[#This Row],[Peso Util/Pç]],0)</f>
        <v>101.92</v>
      </c>
      <c r="R282" s="37">
        <f>IFERROR(Tabela3[[#This Row],[Peso Total Galho]]*Tabela3[[#This Row],[Qtde Cx Produzida]]*1.055,0)</f>
        <v>170.27699999999999</v>
      </c>
      <c r="S282" s="37">
        <f>(Tabela3[[#This Row],[Aluminio Bruto]]-Tabela3[[#This Row],[Aluminio Util]])*0.9</f>
        <v>61.521299999999989</v>
      </c>
      <c r="T282" s="37">
        <f>Tabela3[[#This Row],[Aluminio Bruto]]/OleoKGAluminio</f>
        <v>71.63531373395422</v>
      </c>
      <c r="U282" s="35">
        <f>IFERROR((VLOOKUP(Tabela3[[#This Row],[Moldador]],Tabela1[],5,)+(VLOOKUP(Tabela3[[#This Row],[Ajudante]],Tabela1[],5,))*3.5),0)</f>
        <v>126.0945</v>
      </c>
      <c r="V282" s="35">
        <f>IFERROR(Tabela3[[#This Row],[Custo M.O. / H]]/((Tabela3[[#This Row],[Realizado]]/Tabela3[[#This Row],[Qdt Peça Placa]])/Tabela3[[#This Row],[Tempo]]/24),)</f>
        <v>15.710345357142856</v>
      </c>
      <c r="W282" s="35">
        <f>Tabela3[[#This Row],[Custo / Cx Moldada]]*Tabela3[[#This Row],[Qtde Cx Produzida]]</f>
        <v>471.31036071428571</v>
      </c>
      <c r="X282" s="35">
        <f ca="1">Tabela3[[#This Row],[Aluminio Util]]*Tabela3[[#This Row],[Custo/Kg]]</f>
        <v>1688.7993302888301</v>
      </c>
      <c r="Y282" s="35">
        <f>IFERROR(VLOOKUP(Tabela3[[#This Row],[Data]],Tabela461213[],2,1)*(Tabela3[[#This Row],[Qtde Cx Produzida]]*Tabela3[[#This Row],[Qde macho / CX]]*Tabela3[[#This Row],[Peso Macho]]),)</f>
        <v>0</v>
      </c>
      <c r="Z282" s="35">
        <f>IFERROR(Tabela3[[#This Row],[Qtde Oleo]]*(VLOOKUP(Tabela3[[#This Row],[Data]],CompraOleo[],3,TRUE))*1.05,0)</f>
        <v>188.04269855162983</v>
      </c>
      <c r="AA282" s="47">
        <f ca="1">(Tabela3[[#This Row],[Custo Oleo]]+Tabela3[[#This Row],[Custo Aluminio]]+Tabela3[[#This Row],[Custo M.O. Total]]+Tabela3[[#This Row],[Custo Machos]])</f>
        <v>2348.1523895547457</v>
      </c>
      <c r="AB282" s="47">
        <f ca="1">Tabela3[[#This Row],[Custo Total]]*Tabela3[[#This Row],[% Perda]]</f>
        <v>23.718711005603495</v>
      </c>
      <c r="AC282" s="48">
        <f>IFERROR(VLOOKUP(Tabela3[[#This Row],[Produto]],Tabela2[],2,0),0)</f>
        <v>33</v>
      </c>
      <c r="AD282" s="48">
        <f>IFERROR(VLOOKUP(Tabela3[[#This Row],[Produto]],Tabela2[],3,0),0)</f>
        <v>0.104</v>
      </c>
      <c r="AE282" s="48">
        <f>IFERROR(VLOOKUP(Tabela3[[#This Row],[Produto]],Tabela2[],4,0),0)</f>
        <v>5.38</v>
      </c>
      <c r="AF282" s="48">
        <f>IFERROR(VLOOKUP(Tabela3[[#This Row],[Produto]],Tabela2[],5,0),0)</f>
        <v>1.7532000000000001</v>
      </c>
      <c r="AG282" s="40">
        <f>IFERROR(VLOOKUP(Tabela3[[#This Row],[Produto]],Tabela2[],6,0),0)</f>
        <v>0</v>
      </c>
      <c r="AH282" s="40">
        <f>IFERROR(VLOOKUP(Tabela3[[#This Row],[Produto]],Tabela2[],7,0),0)</f>
        <v>0</v>
      </c>
      <c r="AI282" s="40">
        <f>IFERROR(VLOOKUP(Tabela3[[#This Row],[Produto]],Tabela2[],8,0),0)</f>
        <v>0</v>
      </c>
      <c r="AJ282" s="35">
        <f ca="1">IFERROR(VLOOKUP(Tabela3[[#This Row],[Produto]],Tabela2[],13,0),0)</f>
        <v>16.569852141766386</v>
      </c>
      <c r="AK282" s="40" t="str">
        <f>IFERROR(VLOOKUP(Tabela3[[#This Row],[Produto]],Tabela2[],14,0),0)</f>
        <v>Marcelo</v>
      </c>
      <c r="AL282" s="40">
        <f>IFERROR(VLOOKUP(Tabela3[[#This Row],[Produto]],Tabela2[],15,0),0)</f>
        <v>0</v>
      </c>
      <c r="AM282" s="36">
        <f ca="1">(Tabela3[[#This Row],[Custo Usinagem]]+Tabela3[[#This Row],[Custo / Pç]])*1.2</f>
        <v>2.8752886402711169</v>
      </c>
      <c r="AN282" s="36">
        <f ca="1">Tabela3[[#This Row],[Valor Mínimo Venda]]*1.15</f>
        <v>3.3065819363117841</v>
      </c>
      <c r="AO282" s="36">
        <f ca="1">Tabela3[[#This Row],[Tabela 1]]*1.08</f>
        <v>3.571108491216727</v>
      </c>
      <c r="AP282" s="36">
        <f ca="1">Tabela3[[#This Row],[Tabela 2]]*1.15</f>
        <v>4.1067747648992361</v>
      </c>
    </row>
    <row r="283" spans="1:42">
      <c r="A283" s="9">
        <v>45800</v>
      </c>
      <c r="B283" s="6" t="s">
        <v>227</v>
      </c>
      <c r="C283" s="14">
        <v>6742</v>
      </c>
      <c r="D283" s="6" t="s">
        <v>46</v>
      </c>
      <c r="E283" s="6" t="s">
        <v>44</v>
      </c>
      <c r="F283" s="6">
        <v>2</v>
      </c>
      <c r="G283" s="15">
        <v>2.4305555555555556E-2</v>
      </c>
      <c r="H283" s="16">
        <v>0</v>
      </c>
      <c r="I283" s="35">
        <f ca="1">IFERROR(Tabela3[[#This Row],[Custo Total]]/Tabela3[[#This Row],[Aluminio Util]],0)</f>
        <v>20.213506091490494</v>
      </c>
      <c r="J283" s="35">
        <f ca="1">Tabela3[[#This Row],[Custo Total]]/Tabela3[[#This Row],[Realizado]]</f>
        <v>545.76466447024336</v>
      </c>
      <c r="K283" s="37">
        <f>IFERROR(Tabela3[[#This Row],[Qtde Cx Produzida]]/Tabela3[[#This Row],[Tempo]]/24,0)</f>
        <v>3.4285714285714284</v>
      </c>
      <c r="L283" s="37">
        <f>Tabela3[[#This Row],[Qtde Cx Produzida]]*Tabela3[[#This Row],[Qdt Peça Placa]]</f>
        <v>2</v>
      </c>
      <c r="M283" s="37">
        <f>Tabela3[[#This Row],[Previsto]]-Tabela3[[#This Row],[Perda Pçs]]</f>
        <v>2</v>
      </c>
      <c r="N283" s="38">
        <f>IFERROR(Tabela3[[#This Row],[Perda Pçs]]/Tabela3[[#This Row],[Previsto]],0)</f>
        <v>0</v>
      </c>
      <c r="O283" s="39">
        <f>IFERROR(IF(Tabela3[[#This Row],[Qtde Cx Produzida]] &lt;&gt; 0, Tabela3[[#This Row],[Tempo]] / Tabela3[[#This Row],[Qtde Cx Produzida]], 0),0)</f>
        <v>1.2152777777777778E-2</v>
      </c>
      <c r="P283" s="57">
        <f>IFERROR(Tabela3[[#This Row],[Perda Pçs]]/Tabela3[[#This Row],[Qdt Peça Placa]],0)</f>
        <v>0</v>
      </c>
      <c r="Q283" s="37">
        <f>IFERROR(Tabela3[[#This Row],[Realizado]]*Tabela3[[#This Row],[Peso Util/Pç]],0)</f>
        <v>54</v>
      </c>
      <c r="R283" s="37">
        <f>IFERROR(Tabela3[[#This Row],[Peso Total Galho]]*Tabela3[[#This Row],[Qtde Cx Produzida]]*1.055,0)</f>
        <v>61.19</v>
      </c>
      <c r="S283" s="37">
        <f>(Tabela3[[#This Row],[Aluminio Bruto]]-Tabela3[[#This Row],[Aluminio Util]])*0.9</f>
        <v>6.4709999999999983</v>
      </c>
      <c r="T283" s="37">
        <f>Tabela3[[#This Row],[Aluminio Bruto]]/OleoKGAluminio</f>
        <v>25.742553882090117</v>
      </c>
      <c r="U283" s="35">
        <f>IFERROR((VLOOKUP(Tabela3[[#This Row],[Moldador]],Tabela1[],5,)+(VLOOKUP(Tabela3[[#This Row],[Ajudante]],Tabela1[],5,))*3.5),0)</f>
        <v>126.0945</v>
      </c>
      <c r="V283" s="35">
        <f>IFERROR(Tabela3[[#This Row],[Custo M.O. / H]]/((Tabela3[[#This Row],[Realizado]]/Tabela3[[#This Row],[Qdt Peça Placa]])/Tabela3[[#This Row],[Tempo]]/24),)</f>
        <v>36.777562500000002</v>
      </c>
      <c r="W283" s="35">
        <f>Tabela3[[#This Row],[Custo / Cx Moldada]]*Tabela3[[#This Row],[Qtde Cx Produzida]]</f>
        <v>73.555125000000004</v>
      </c>
      <c r="X283" s="35">
        <f ca="1">Tabela3[[#This Row],[Aluminio Util]]*Tabela3[[#This Row],[Custo/Kg]]</f>
        <v>950.40000000000009</v>
      </c>
      <c r="Y283" s="35">
        <f>IFERROR(VLOOKUP(Tabela3[[#This Row],[Data]],Tabela461213[],2,1)*(Tabela3[[#This Row],[Qtde Cx Produzida]]*Tabela3[[#This Row],[Qde macho / CX]]*Tabela3[[#This Row],[Peso Macho]]),)</f>
        <v>0</v>
      </c>
      <c r="Z283" s="35">
        <f>IFERROR(Tabela3[[#This Row],[Qtde Oleo]]*(VLOOKUP(Tabela3[[#This Row],[Data]],CompraOleo[],3,TRUE))*1.05,0)</f>
        <v>67.574203940486569</v>
      </c>
      <c r="AA283" s="47">
        <f ca="1">(Tabela3[[#This Row],[Custo Oleo]]+Tabela3[[#This Row],[Custo Aluminio]]+Tabela3[[#This Row],[Custo M.O. Total]]+Tabela3[[#This Row],[Custo Machos]])</f>
        <v>1091.5293289404867</v>
      </c>
      <c r="AB283" s="47">
        <f ca="1">Tabela3[[#This Row],[Custo Total]]*Tabela3[[#This Row],[% Perda]]</f>
        <v>0</v>
      </c>
      <c r="AC283" s="48">
        <f>IFERROR(VLOOKUP(Tabela3[[#This Row],[Produto]],Tabela2[],2,0),0)</f>
        <v>1</v>
      </c>
      <c r="AD283" s="48">
        <f>IFERROR(VLOOKUP(Tabela3[[#This Row],[Produto]],Tabela2[],3,0),0)</f>
        <v>27</v>
      </c>
      <c r="AE283" s="48">
        <f>IFERROR(VLOOKUP(Tabela3[[#This Row],[Produto]],Tabela2[],4,0),0)</f>
        <v>29</v>
      </c>
      <c r="AF283" s="48">
        <f>IFERROR(VLOOKUP(Tabela3[[#This Row],[Produto]],Tabela2[],5,0),0)</f>
        <v>1.8</v>
      </c>
      <c r="AG283" s="40">
        <f>IFERROR(VLOOKUP(Tabela3[[#This Row],[Produto]],Tabela2[],6,0),0)</f>
        <v>0</v>
      </c>
      <c r="AH283" s="40">
        <f>IFERROR(VLOOKUP(Tabela3[[#This Row],[Produto]],Tabela2[],7,0),0)</f>
        <v>0</v>
      </c>
      <c r="AI283" s="40">
        <f>IFERROR(VLOOKUP(Tabela3[[#This Row],[Produto]],Tabela2[],8,0),0)</f>
        <v>0</v>
      </c>
      <c r="AJ283" s="35">
        <f ca="1">IFERROR(VLOOKUP(Tabela3[[#This Row],[Produto]],Tabela2[],13,0),0)</f>
        <v>17.600000000000001</v>
      </c>
      <c r="AK283" s="40" t="str">
        <f>IFERROR(VLOOKUP(Tabela3[[#This Row],[Produto]],Tabela2[],14,0),0)</f>
        <v>Oscar</v>
      </c>
      <c r="AL283" s="40">
        <f>IFERROR(VLOOKUP(Tabela3[[#This Row],[Produto]],Tabela2[],15,0),0)</f>
        <v>0</v>
      </c>
      <c r="AM283" s="36">
        <f ca="1">(Tabela3[[#This Row],[Custo Usinagem]]+Tabela3[[#This Row],[Custo / Pç]])*1.2</f>
        <v>654.91759736429196</v>
      </c>
      <c r="AN283" s="36">
        <f ca="1">Tabela3[[#This Row],[Valor Mínimo Venda]]*1.15</f>
        <v>753.1552369689357</v>
      </c>
      <c r="AO283" s="36">
        <f ca="1">Tabela3[[#This Row],[Tabela 1]]*1.08</f>
        <v>813.40765592645062</v>
      </c>
      <c r="AP283" s="36">
        <f ca="1">Tabela3[[#This Row],[Tabela 2]]*1.15</f>
        <v>935.41880431541813</v>
      </c>
    </row>
    <row r="284" spans="1:42">
      <c r="A284" s="9">
        <v>45800</v>
      </c>
      <c r="B284" s="6" t="s">
        <v>198</v>
      </c>
      <c r="C284" s="14">
        <v>6743</v>
      </c>
      <c r="D284" s="6" t="s">
        <v>46</v>
      </c>
      <c r="E284" s="6" t="s">
        <v>44</v>
      </c>
      <c r="F284" s="6">
        <v>5</v>
      </c>
      <c r="G284" s="15">
        <v>7.6388888888888895E-2</v>
      </c>
      <c r="H284" s="16">
        <v>0</v>
      </c>
      <c r="I284" s="35">
        <f ca="1">IFERROR(Tabela3[[#This Row],[Custo Total]]/Tabela3[[#This Row],[Aluminio Util]],0)</f>
        <v>22.419353509956625</v>
      </c>
      <c r="J284" s="35">
        <f ca="1">Tabela3[[#This Row],[Custo Total]]/Tabela3[[#This Row],[Realizado]]</f>
        <v>289.65804734863957</v>
      </c>
      <c r="K284" s="37">
        <f>IFERROR(Tabela3[[#This Row],[Qtde Cx Produzida]]/Tabela3[[#This Row],[Tempo]]/24,0)</f>
        <v>2.7272727272727271</v>
      </c>
      <c r="L284" s="37">
        <f>Tabela3[[#This Row],[Qtde Cx Produzida]]*Tabela3[[#This Row],[Qdt Peça Placa]]</f>
        <v>5</v>
      </c>
      <c r="M284" s="37">
        <f>Tabela3[[#This Row],[Previsto]]-Tabela3[[#This Row],[Perda Pçs]]</f>
        <v>5</v>
      </c>
      <c r="N284" s="38">
        <f>IFERROR(Tabela3[[#This Row],[Perda Pçs]]/Tabela3[[#This Row],[Previsto]],0)</f>
        <v>0</v>
      </c>
      <c r="O284" s="39">
        <f>IFERROR(IF(Tabela3[[#This Row],[Qtde Cx Produzida]] &lt;&gt; 0, Tabela3[[#This Row],[Tempo]] / Tabela3[[#This Row],[Qtde Cx Produzida]], 0),0)</f>
        <v>1.5277777777777779E-2</v>
      </c>
      <c r="P284" s="57">
        <f>IFERROR(Tabela3[[#This Row],[Perda Pçs]]/Tabela3[[#This Row],[Qdt Peça Placa]],0)</f>
        <v>0</v>
      </c>
      <c r="Q284" s="37">
        <f>IFERROR(Tabela3[[#This Row],[Realizado]]*Tabela3[[#This Row],[Peso Util/Pç]],0)</f>
        <v>64.599999999999994</v>
      </c>
      <c r="R284" s="37">
        <f>IFERROR(Tabela3[[#This Row],[Peso Total Galho]]*Tabela3[[#This Row],[Qtde Cx Produzida]]*1.055,0)</f>
        <v>72.583999999999989</v>
      </c>
      <c r="S284" s="37">
        <f>(Tabela3[[#This Row],[Aluminio Bruto]]-Tabela3[[#This Row],[Aluminio Util]])*0.9</f>
        <v>7.1855999999999955</v>
      </c>
      <c r="T284" s="37">
        <f>Tabela3[[#This Row],[Aluminio Bruto]]/OleoKGAluminio</f>
        <v>30.535994949789654</v>
      </c>
      <c r="U284" s="35">
        <f>IFERROR((VLOOKUP(Tabela3[[#This Row],[Moldador]],Tabela1[],5,)+(VLOOKUP(Tabela3[[#This Row],[Ajudante]],Tabela1[],5,))*3.5),0)</f>
        <v>126.0945</v>
      </c>
      <c r="V284" s="35">
        <f>IFERROR(Tabela3[[#This Row],[Custo M.O. / H]]/((Tabela3[[#This Row],[Realizado]]/Tabela3[[#This Row],[Qdt Peça Placa]])/Tabela3[[#This Row],[Tempo]]/24),)</f>
        <v>46.234650000000002</v>
      </c>
      <c r="W284" s="35">
        <f>Tabela3[[#This Row],[Custo / Cx Moldada]]*Tabela3[[#This Row],[Qtde Cx Produzida]]</f>
        <v>231.17325</v>
      </c>
      <c r="X284" s="35">
        <f ca="1">Tabela3[[#This Row],[Aluminio Util]]*Tabela3[[#This Row],[Custo/Kg]]</f>
        <v>1136.96</v>
      </c>
      <c r="Y284" s="35">
        <f>IFERROR(VLOOKUP(Tabela3[[#This Row],[Data]],Tabela461213[],2,1)*(Tabela3[[#This Row],[Qtde Cx Produzida]]*Tabela3[[#This Row],[Qde macho / CX]]*Tabela3[[#This Row],[Peso Macho]]),)</f>
        <v>0</v>
      </c>
      <c r="Z284" s="35">
        <f>IFERROR(Tabela3[[#This Row],[Qtde Oleo]]*(VLOOKUP(Tabela3[[#This Row],[Data]],CompraOleo[],3,TRUE))*1.05,0)</f>
        <v>80.156986743197848</v>
      </c>
      <c r="AA284" s="47">
        <f ca="1">(Tabela3[[#This Row],[Custo Oleo]]+Tabela3[[#This Row],[Custo Aluminio]]+Tabela3[[#This Row],[Custo M.O. Total]]+Tabela3[[#This Row],[Custo Machos]])</f>
        <v>1448.290236743198</v>
      </c>
      <c r="AB284" s="47">
        <f ca="1">Tabela3[[#This Row],[Custo Total]]*Tabela3[[#This Row],[% Perda]]</f>
        <v>0</v>
      </c>
      <c r="AC284" s="48">
        <f>IFERROR(VLOOKUP(Tabela3[[#This Row],[Produto]],Tabela2[],2,0),0)</f>
        <v>1</v>
      </c>
      <c r="AD284" s="48">
        <f>IFERROR(VLOOKUP(Tabela3[[#This Row],[Produto]],Tabela2[],3,0),0)</f>
        <v>12.92</v>
      </c>
      <c r="AE284" s="48">
        <f>IFERROR(VLOOKUP(Tabela3[[#This Row],[Produto]],Tabela2[],4,0),0)</f>
        <v>13.76</v>
      </c>
      <c r="AF284" s="48">
        <f>IFERROR(VLOOKUP(Tabela3[[#This Row],[Produto]],Tabela2[],5,0),0)</f>
        <v>0.75599999999999989</v>
      </c>
      <c r="AG284" s="40">
        <f>IFERROR(VLOOKUP(Tabela3[[#This Row],[Produto]],Tabela2[],6,0),0)</f>
        <v>0</v>
      </c>
      <c r="AH284" s="40">
        <f>IFERROR(VLOOKUP(Tabela3[[#This Row],[Produto]],Tabela2[],7,0),0)</f>
        <v>0</v>
      </c>
      <c r="AI284" s="40">
        <f>IFERROR(VLOOKUP(Tabela3[[#This Row],[Produto]],Tabela2[],8,0),0)</f>
        <v>0</v>
      </c>
      <c r="AJ284" s="35">
        <f ca="1">IFERROR(VLOOKUP(Tabela3[[#This Row],[Produto]],Tabela2[],13,0),0)</f>
        <v>17.600000000000001</v>
      </c>
      <c r="AK284" s="40" t="str">
        <f>IFERROR(VLOOKUP(Tabela3[[#This Row],[Produto]],Tabela2[],14,0),0)</f>
        <v>Oscar</v>
      </c>
      <c r="AL284" s="40">
        <f>IFERROR(VLOOKUP(Tabela3[[#This Row],[Produto]],Tabela2[],15,0),0)</f>
        <v>0</v>
      </c>
      <c r="AM284" s="36">
        <f ca="1">(Tabela3[[#This Row],[Custo Usinagem]]+Tabela3[[#This Row],[Custo / Pç]])*1.2</f>
        <v>347.58965681836747</v>
      </c>
      <c r="AN284" s="36">
        <f ca="1">Tabela3[[#This Row],[Valor Mínimo Venda]]*1.15</f>
        <v>399.72810534112256</v>
      </c>
      <c r="AO284" s="36">
        <f ca="1">Tabela3[[#This Row],[Tabela 1]]*1.08</f>
        <v>431.70635376841238</v>
      </c>
      <c r="AP284" s="36">
        <f ca="1">Tabela3[[#This Row],[Tabela 2]]*1.15</f>
        <v>496.46230683367418</v>
      </c>
    </row>
    <row r="285" spans="1:42">
      <c r="A285" s="9">
        <v>45800</v>
      </c>
      <c r="B285" s="6" t="s">
        <v>223</v>
      </c>
      <c r="C285" s="14">
        <v>6506</v>
      </c>
      <c r="D285" s="6" t="s">
        <v>46</v>
      </c>
      <c r="E285" s="6" t="s">
        <v>44</v>
      </c>
      <c r="F285" s="6">
        <v>5</v>
      </c>
      <c r="G285" s="15">
        <v>3.0555555555555555E-2</v>
      </c>
      <c r="H285" s="16">
        <v>0</v>
      </c>
      <c r="I285" s="35">
        <f ca="1">IFERROR(Tabela3[[#This Row],[Custo Total]]/Tabela3[[#This Row],[Aluminio Util]],0)</f>
        <v>23.784872523969469</v>
      </c>
      <c r="J285" s="35">
        <f ca="1">Tabela3[[#This Row],[Custo Total]]/Tabela3[[#This Row],[Realizado]]</f>
        <v>2.4736267424928249</v>
      </c>
      <c r="K285" s="37">
        <f>IFERROR(Tabela3[[#This Row],[Qtde Cx Produzida]]/Tabela3[[#This Row],[Tempo]]/24,0)</f>
        <v>6.8181818181818192</v>
      </c>
      <c r="L285" s="37">
        <f>Tabela3[[#This Row],[Qtde Cx Produzida]]*Tabela3[[#This Row],[Qdt Peça Placa]]</f>
        <v>165</v>
      </c>
      <c r="M285" s="37">
        <f>Tabela3[[#This Row],[Previsto]]-Tabela3[[#This Row],[Perda Pçs]]</f>
        <v>165</v>
      </c>
      <c r="N285" s="38">
        <f>IFERROR(Tabela3[[#This Row],[Perda Pçs]]/Tabela3[[#This Row],[Previsto]],0)</f>
        <v>0</v>
      </c>
      <c r="O285" s="39">
        <f>IFERROR(IF(Tabela3[[#This Row],[Qtde Cx Produzida]] &lt;&gt; 0, Tabela3[[#This Row],[Tempo]] / Tabela3[[#This Row],[Qtde Cx Produzida]], 0),0)</f>
        <v>6.1111111111111106E-3</v>
      </c>
      <c r="P285" s="57">
        <f>IFERROR(Tabela3[[#This Row],[Perda Pçs]]/Tabela3[[#This Row],[Qdt Peça Placa]],0)</f>
        <v>0</v>
      </c>
      <c r="Q285" s="37">
        <f>IFERROR(Tabela3[[#This Row],[Realizado]]*Tabela3[[#This Row],[Peso Util/Pç]],0)</f>
        <v>17.16</v>
      </c>
      <c r="R285" s="37">
        <f>IFERROR(Tabela3[[#This Row],[Peso Total Galho]]*Tabela3[[#This Row],[Qtde Cx Produzida]]*1.055,0)</f>
        <v>28.379499999999997</v>
      </c>
      <c r="S285" s="37">
        <f>(Tabela3[[#This Row],[Aluminio Bruto]]-Tabela3[[#This Row],[Aluminio Util]])*0.9</f>
        <v>10.097549999999996</v>
      </c>
      <c r="T285" s="37">
        <f>Tabela3[[#This Row],[Aluminio Bruto]]/OleoKGAluminio</f>
        <v>11.939218955659037</v>
      </c>
      <c r="U285" s="35">
        <f>IFERROR((VLOOKUP(Tabela3[[#This Row],[Moldador]],Tabela1[],5,)+(VLOOKUP(Tabela3[[#This Row],[Ajudante]],Tabela1[],5,))*3.5),0)</f>
        <v>126.0945</v>
      </c>
      <c r="V285" s="35">
        <f>IFERROR(Tabela3[[#This Row],[Custo M.O. / H]]/((Tabela3[[#This Row],[Realizado]]/Tabela3[[#This Row],[Qdt Peça Placa]])/Tabela3[[#This Row],[Tempo]]/24),)</f>
        <v>18.493859999999998</v>
      </c>
      <c r="W285" s="35">
        <f>Tabela3[[#This Row],[Custo / Cx Moldada]]*Tabela3[[#This Row],[Qtde Cx Produzida]]</f>
        <v>92.46929999999999</v>
      </c>
      <c r="X285" s="35">
        <f ca="1">Tabela3[[#This Row],[Aluminio Util]]*Tabela3[[#This Row],[Custo/Kg]]</f>
        <v>284.33866275271117</v>
      </c>
      <c r="Y285" s="35">
        <f>IFERROR(VLOOKUP(Tabela3[[#This Row],[Data]],Tabela461213[],2,1)*(Tabela3[[#This Row],[Qtde Cx Produzida]]*Tabela3[[#This Row],[Qde macho / CX]]*Tabela3[[#This Row],[Peso Macho]]),)</f>
        <v>0</v>
      </c>
      <c r="Z285" s="35">
        <f>IFERROR(Tabela3[[#This Row],[Qtde Oleo]]*(VLOOKUP(Tabela3[[#This Row],[Data]],CompraOleo[],3,TRUE))*1.05,0)</f>
        <v>31.340449758604972</v>
      </c>
      <c r="AA285" s="47">
        <f ca="1">(Tabela3[[#This Row],[Custo Oleo]]+Tabela3[[#This Row],[Custo Aluminio]]+Tabela3[[#This Row],[Custo M.O. Total]]+Tabela3[[#This Row],[Custo Machos]])</f>
        <v>408.14841251131611</v>
      </c>
      <c r="AB285" s="47">
        <f ca="1">Tabela3[[#This Row],[Custo Total]]*Tabela3[[#This Row],[% Perda]]</f>
        <v>0</v>
      </c>
      <c r="AC285" s="48">
        <f>IFERROR(VLOOKUP(Tabela3[[#This Row],[Produto]],Tabela2[],2,0),0)</f>
        <v>33</v>
      </c>
      <c r="AD285" s="48">
        <f>IFERROR(VLOOKUP(Tabela3[[#This Row],[Produto]],Tabela2[],3,0),0)</f>
        <v>0.104</v>
      </c>
      <c r="AE285" s="48">
        <f>IFERROR(VLOOKUP(Tabela3[[#This Row],[Produto]],Tabela2[],4,0),0)</f>
        <v>5.38</v>
      </c>
      <c r="AF285" s="48">
        <f>IFERROR(VLOOKUP(Tabela3[[#This Row],[Produto]],Tabela2[],5,0),0)</f>
        <v>1.7532000000000001</v>
      </c>
      <c r="AG285" s="40">
        <f>IFERROR(VLOOKUP(Tabela3[[#This Row],[Produto]],Tabela2[],6,0),0)</f>
        <v>0</v>
      </c>
      <c r="AH285" s="40">
        <f>IFERROR(VLOOKUP(Tabela3[[#This Row],[Produto]],Tabela2[],7,0),0)</f>
        <v>0</v>
      </c>
      <c r="AI285" s="40">
        <f>IFERROR(VLOOKUP(Tabela3[[#This Row],[Produto]],Tabela2[],8,0),0)</f>
        <v>0</v>
      </c>
      <c r="AJ285" s="35">
        <f ca="1">IFERROR(VLOOKUP(Tabela3[[#This Row],[Produto]],Tabela2[],13,0),0)</f>
        <v>16.569852141766386</v>
      </c>
      <c r="AK285" s="40" t="str">
        <f>IFERROR(VLOOKUP(Tabela3[[#This Row],[Produto]],Tabela2[],14,0),0)</f>
        <v>Marcelo</v>
      </c>
      <c r="AL285" s="40">
        <f>IFERROR(VLOOKUP(Tabela3[[#This Row],[Produto]],Tabela2[],15,0),0)</f>
        <v>0</v>
      </c>
      <c r="AM285" s="36">
        <f ca="1">(Tabela3[[#This Row],[Custo Usinagem]]+Tabela3[[#This Row],[Custo / Pç]])*1.2</f>
        <v>2.9683520909913899</v>
      </c>
      <c r="AN285" s="36">
        <f ca="1">Tabela3[[#This Row],[Valor Mínimo Venda]]*1.15</f>
        <v>3.4136049046400982</v>
      </c>
      <c r="AO285" s="36">
        <f ca="1">Tabela3[[#This Row],[Tabela 1]]*1.08</f>
        <v>3.6866932970113062</v>
      </c>
      <c r="AP285" s="36">
        <f ca="1">Tabela3[[#This Row],[Tabela 2]]*1.15</f>
        <v>4.2396972915630018</v>
      </c>
    </row>
    <row r="286" spans="1:42">
      <c r="A286" s="9">
        <v>45803</v>
      </c>
      <c r="B286" s="6" t="s">
        <v>245</v>
      </c>
      <c r="C286" s="14">
        <v>6724</v>
      </c>
      <c r="D286" s="6" t="s">
        <v>46</v>
      </c>
      <c r="E286" s="6" t="s">
        <v>53</v>
      </c>
      <c r="F286" s="6">
        <v>95</v>
      </c>
      <c r="G286" s="15">
        <v>0.4375</v>
      </c>
      <c r="H286" s="16">
        <v>35</v>
      </c>
      <c r="I286" s="35">
        <f ca="1">IFERROR(Tabela3[[#This Row],[Custo Total]]/Tabela3[[#This Row],[Aluminio Util]],0)</f>
        <v>27.914613367881159</v>
      </c>
      <c r="J286" s="35">
        <f ca="1">Tabela3[[#This Row],[Custo Total]]/Tabela3[[#This Row],[Realizado]]</f>
        <v>9.2676516381365452</v>
      </c>
      <c r="K286" s="37">
        <f>IFERROR(Tabela3[[#This Row],[Qtde Cx Produzida]]/Tabela3[[#This Row],[Tempo]]/24,0)</f>
        <v>9.0476190476190474</v>
      </c>
      <c r="L286" s="37">
        <f>Tabela3[[#This Row],[Qtde Cx Produzida]]*Tabela3[[#This Row],[Qdt Peça Placa]]</f>
        <v>380</v>
      </c>
      <c r="M286" s="37">
        <f>Tabela3[[#This Row],[Previsto]]-Tabela3[[#This Row],[Perda Pçs]]</f>
        <v>345</v>
      </c>
      <c r="N286" s="38">
        <f>IFERROR(Tabela3[[#This Row],[Perda Pçs]]/Tabela3[[#This Row],[Previsto]],0)</f>
        <v>9.2105263157894732E-2</v>
      </c>
      <c r="O286" s="39">
        <f>IFERROR(IF(Tabela3[[#This Row],[Qtde Cx Produzida]] &lt;&gt; 0, Tabela3[[#This Row],[Tempo]] / Tabela3[[#This Row],[Qtde Cx Produzida]], 0),0)</f>
        <v>4.6052631578947364E-3</v>
      </c>
      <c r="P286" s="57">
        <f>IFERROR(Tabela3[[#This Row],[Perda Pçs]]/Tabela3[[#This Row],[Qdt Peça Placa]],0)</f>
        <v>8.75</v>
      </c>
      <c r="Q286" s="37">
        <f>IFERROR(Tabela3[[#This Row],[Realizado]]*Tabela3[[#This Row],[Peso Util/Pç]],0)</f>
        <v>114.54</v>
      </c>
      <c r="R286" s="37">
        <f>IFERROR(Tabela3[[#This Row],[Peso Total Galho]]*Tabela3[[#This Row],[Qtde Cx Produzida]]*1.055,0)</f>
        <v>230.51749999999996</v>
      </c>
      <c r="S286" s="37">
        <f>(Tabela3[[#This Row],[Aluminio Bruto]]-Tabela3[[#This Row],[Aluminio Util]])*0.9</f>
        <v>104.37974999999996</v>
      </c>
      <c r="T286" s="37">
        <f>Tabela3[[#This Row],[Aluminio Bruto]]/OleoKGAluminio</f>
        <v>96.978414193736029</v>
      </c>
      <c r="U286" s="35">
        <f>IFERROR((VLOOKUP(Tabela3[[#This Row],[Moldador]],Tabela1[],5,)+(VLOOKUP(Tabela3[[#This Row],[Ajudante]],Tabela1[],5,))*3.5),0)</f>
        <v>99.95034583333333</v>
      </c>
      <c r="V286" s="35">
        <f>IFERROR(Tabela3[[#This Row],[Custo M.O. / H]]/((Tabela3[[#This Row],[Realizado]]/Tabela3[[#This Row],[Qdt Peça Placa]])/Tabela3[[#This Row],[Tempo]]/24),)</f>
        <v>12.167868188405798</v>
      </c>
      <c r="W286" s="35">
        <f>Tabela3[[#This Row],[Custo / Cx Moldada]]*Tabela3[[#This Row],[Qtde Cx Produzida]]</f>
        <v>1155.9474778985509</v>
      </c>
      <c r="X286" s="35">
        <f ca="1">Tabela3[[#This Row],[Aluminio Util]]*Tabela3[[#This Row],[Custo/Kg]]</f>
        <v>1786.8240000000003</v>
      </c>
      <c r="Y286" s="35">
        <f>IFERROR(VLOOKUP(Tabela3[[#This Row],[Data]],Tabela461213[],2,1)*(Tabela3[[#This Row],[Qtde Cx Produzida]]*Tabela3[[#This Row],[Qde macho / CX]]*Tabela3[[#This Row],[Peso Macho]]),)</f>
        <v>0</v>
      </c>
      <c r="Z286" s="35">
        <f>IFERROR(Tabela3[[#This Row],[Qtde Oleo]]*(VLOOKUP(Tabela3[[#This Row],[Data]],CompraOleo[],3,TRUE))*1.05,0)</f>
        <v>254.56833725855711</v>
      </c>
      <c r="AA286" s="47">
        <f ca="1">(Tabela3[[#This Row],[Custo Oleo]]+Tabela3[[#This Row],[Custo Aluminio]]+Tabela3[[#This Row],[Custo M.O. Total]]+Tabela3[[#This Row],[Custo Machos]])</f>
        <v>3197.3398151571082</v>
      </c>
      <c r="AB286" s="47">
        <f ca="1">Tabela3[[#This Row],[Custo Total]]*Tabela3[[#This Row],[% Perda]]</f>
        <v>294.49182508025996</v>
      </c>
      <c r="AC286" s="48">
        <f>IFERROR(VLOOKUP(Tabela3[[#This Row],[Produto]],Tabela2[],2,0),0)</f>
        <v>4</v>
      </c>
      <c r="AD286" s="48">
        <f>IFERROR(VLOOKUP(Tabela3[[#This Row],[Produto]],Tabela2[],3,0),0)</f>
        <v>0.33200000000000002</v>
      </c>
      <c r="AE286" s="48">
        <f>IFERROR(VLOOKUP(Tabela3[[#This Row],[Produto]],Tabela2[],4,0),0)</f>
        <v>2.2999999999999998</v>
      </c>
      <c r="AF286" s="48">
        <f>IFERROR(VLOOKUP(Tabela3[[#This Row],[Produto]],Tabela2[],5,0),0)</f>
        <v>0.8747999999999998</v>
      </c>
      <c r="AG286" s="40">
        <f>IFERROR(VLOOKUP(Tabela3[[#This Row],[Produto]],Tabela2[],6,0),0)</f>
        <v>0</v>
      </c>
      <c r="AH286" s="40">
        <f>IFERROR(VLOOKUP(Tabela3[[#This Row],[Produto]],Tabela2[],7,0),0)</f>
        <v>0</v>
      </c>
      <c r="AI286" s="40">
        <f>IFERROR(VLOOKUP(Tabela3[[#This Row],[Produto]],Tabela2[],8,0),0)</f>
        <v>0</v>
      </c>
      <c r="AJ286" s="35">
        <f ca="1">IFERROR(VLOOKUP(Tabela3[[#This Row],[Produto]],Tabela2[],13,0),0)</f>
        <v>15.600000000000001</v>
      </c>
      <c r="AK286" s="40" t="str">
        <f>IFERROR(VLOOKUP(Tabela3[[#This Row],[Produto]],Tabela2[],14,0),0)</f>
        <v>Senun</v>
      </c>
      <c r="AL286" s="40">
        <f>IFERROR(VLOOKUP(Tabela3[[#This Row],[Produto]],Tabela2[],15,0),0)</f>
        <v>3.5</v>
      </c>
      <c r="AM286" s="36">
        <f ca="1">(Tabela3[[#This Row],[Custo Usinagem]]+Tabela3[[#This Row],[Custo / Pç]])*1.2</f>
        <v>15.321181965763854</v>
      </c>
      <c r="AN286" s="36">
        <f ca="1">Tabela3[[#This Row],[Valor Mínimo Venda]]*1.15</f>
        <v>17.619359260628432</v>
      </c>
      <c r="AO286" s="36">
        <f ca="1">Tabela3[[#This Row],[Tabela 1]]*1.08</f>
        <v>19.028908001478708</v>
      </c>
      <c r="AP286" s="36">
        <f ca="1">Tabela3[[#This Row],[Tabela 2]]*1.15</f>
        <v>21.883244201700514</v>
      </c>
    </row>
    <row r="287" spans="1:42">
      <c r="A287" s="9">
        <v>45803</v>
      </c>
      <c r="B287" s="6" t="s">
        <v>236</v>
      </c>
      <c r="C287" s="14">
        <v>6730</v>
      </c>
      <c r="D287" s="6" t="s">
        <v>44</v>
      </c>
      <c r="E287" s="6" t="s">
        <v>47</v>
      </c>
      <c r="F287" s="6">
        <v>42</v>
      </c>
      <c r="G287" s="15">
        <v>0.24097222222222223</v>
      </c>
      <c r="H287" s="16">
        <v>0</v>
      </c>
      <c r="I287" s="35">
        <f ca="1">IFERROR(Tabela3[[#This Row],[Custo Total]]/Tabela3[[#This Row],[Aluminio Util]],0)</f>
        <v>24.579161120637863</v>
      </c>
      <c r="J287" s="35">
        <f ca="1">Tabela3[[#This Row],[Custo Total]]/Tabela3[[#This Row],[Realizado]]</f>
        <v>7.422906658432634</v>
      </c>
      <c r="K287" s="37">
        <f>IFERROR(Tabela3[[#This Row],[Qtde Cx Produzida]]/Tabela3[[#This Row],[Tempo]]/24,0)</f>
        <v>7.2622478386167151</v>
      </c>
      <c r="L287" s="37">
        <f>Tabela3[[#This Row],[Qtde Cx Produzida]]*Tabela3[[#This Row],[Qdt Peça Placa]]</f>
        <v>252</v>
      </c>
      <c r="M287" s="37">
        <f>Tabela3[[#This Row],[Previsto]]-Tabela3[[#This Row],[Perda Pçs]]</f>
        <v>252</v>
      </c>
      <c r="N287" s="38">
        <f>IFERROR(Tabela3[[#This Row],[Perda Pçs]]/Tabela3[[#This Row],[Previsto]],0)</f>
        <v>0</v>
      </c>
      <c r="O287" s="39">
        <f>IFERROR(IF(Tabela3[[#This Row],[Qtde Cx Produzida]] &lt;&gt; 0, Tabela3[[#This Row],[Tempo]] / Tabela3[[#This Row],[Qtde Cx Produzida]], 0),0)</f>
        <v>5.7374338624338623E-3</v>
      </c>
      <c r="P287" s="57">
        <f>IFERROR(Tabela3[[#This Row],[Perda Pçs]]/Tabela3[[#This Row],[Qdt Peça Placa]],0)</f>
        <v>0</v>
      </c>
      <c r="Q287" s="37">
        <f>IFERROR(Tabela3[[#This Row],[Realizado]]*Tabela3[[#This Row],[Peso Util/Pç]],0)</f>
        <v>76.103999999999999</v>
      </c>
      <c r="R287" s="37">
        <f>IFERROR(Tabela3[[#This Row],[Peso Total Galho]]*Tabela3[[#This Row],[Qtde Cx Produzida]]*1.055,0)</f>
        <v>95.355119999999999</v>
      </c>
      <c r="S287" s="37">
        <f>(Tabela3[[#This Row],[Aluminio Bruto]]-Tabela3[[#This Row],[Aluminio Util]])*0.9</f>
        <v>17.326008000000002</v>
      </c>
      <c r="T287" s="37">
        <f>Tabela3[[#This Row],[Aluminio Bruto]]/OleoKGAluminio</f>
        <v>40.115775691014363</v>
      </c>
      <c r="U287" s="35">
        <f>IFERROR((VLOOKUP(Tabela3[[#This Row],[Moldador]],Tabela1[],5,)+(VLOOKUP(Tabela3[[#This Row],[Ajudante]],Tabela1[],5,))*3.5),0)</f>
        <v>99.95034583333333</v>
      </c>
      <c r="V287" s="35">
        <f>IFERROR(Tabela3[[#This Row],[Custo M.O. / H]]/((Tabela3[[#This Row],[Realizado]]/Tabela3[[#This Row],[Qdt Peça Placa]])/Tabela3[[#This Row],[Tempo]]/24),)</f>
        <v>13.763003969907405</v>
      </c>
      <c r="W287" s="35">
        <f>Tabela3[[#This Row],[Custo / Cx Moldada]]*Tabela3[[#This Row],[Qtde Cx Produzida]]</f>
        <v>578.04616673611099</v>
      </c>
      <c r="X287" s="35">
        <f ca="1">Tabela3[[#This Row],[Aluminio Util]]*Tabela3[[#This Row],[Custo/Kg]]</f>
        <v>1187.2224000000001</v>
      </c>
      <c r="Y287" s="35">
        <f>IFERROR(VLOOKUP(Tabela3[[#This Row],[Data]],Tabela461213[],2,1)*(Tabela3[[#This Row],[Qtde Cx Produzida]]*Tabela3[[#This Row],[Qde macho / CX]]*Tabela3[[#This Row],[Peso Macho]]),)</f>
        <v>0</v>
      </c>
      <c r="Z287" s="35">
        <f>IFERROR(Tabela3[[#This Row],[Qtde Oleo]]*(VLOOKUP(Tabela3[[#This Row],[Data]],CompraOleo[],3,TRUE))*1.05,0)</f>
        <v>105.30391118891271</v>
      </c>
      <c r="AA287" s="47">
        <f ca="1">(Tabela3[[#This Row],[Custo Oleo]]+Tabela3[[#This Row],[Custo Aluminio]]+Tabela3[[#This Row],[Custo M.O. Total]]+Tabela3[[#This Row],[Custo Machos]])</f>
        <v>1870.5724779250238</v>
      </c>
      <c r="AB287" s="47">
        <f ca="1">Tabela3[[#This Row],[Custo Total]]*Tabela3[[#This Row],[% Perda]]</f>
        <v>0</v>
      </c>
      <c r="AC287" s="48">
        <f>IFERROR(VLOOKUP(Tabela3[[#This Row],[Produto]],Tabela2[],2,0),0)</f>
        <v>6</v>
      </c>
      <c r="AD287" s="48">
        <f>IFERROR(VLOOKUP(Tabela3[[#This Row],[Produto]],Tabela2[],3,0),0)</f>
        <v>0.30199999999999999</v>
      </c>
      <c r="AE287" s="48">
        <f>IFERROR(VLOOKUP(Tabela3[[#This Row],[Produto]],Tabela2[],4,0),0)</f>
        <v>2.1520000000000001</v>
      </c>
      <c r="AF287" s="48">
        <f>IFERROR(VLOOKUP(Tabela3[[#This Row],[Produto]],Tabela2[],5,0),0)</f>
        <v>0.30600000000000027</v>
      </c>
      <c r="AG287" s="40">
        <f>IFERROR(VLOOKUP(Tabela3[[#This Row],[Produto]],Tabela2[],6,0),0)</f>
        <v>0</v>
      </c>
      <c r="AH287" s="40">
        <f>IFERROR(VLOOKUP(Tabela3[[#This Row],[Produto]],Tabela2[],7,0),0)</f>
        <v>0</v>
      </c>
      <c r="AI287" s="40">
        <f>IFERROR(VLOOKUP(Tabela3[[#This Row],[Produto]],Tabela2[],8,0),0)</f>
        <v>0</v>
      </c>
      <c r="AJ287" s="35">
        <f ca="1">IFERROR(VLOOKUP(Tabela3[[#This Row],[Produto]],Tabela2[],13,0),0)</f>
        <v>15.600000000000001</v>
      </c>
      <c r="AK287" s="40" t="str">
        <f>IFERROR(VLOOKUP(Tabela3[[#This Row],[Produto]],Tabela2[],14,0),0)</f>
        <v>Senun</v>
      </c>
      <c r="AL287" s="40">
        <f>IFERROR(VLOOKUP(Tabela3[[#This Row],[Produto]],Tabela2[],15,0),0)</f>
        <v>4</v>
      </c>
      <c r="AM287" s="36">
        <f ca="1">(Tabela3[[#This Row],[Custo Usinagem]]+Tabela3[[#This Row],[Custo / Pç]])*1.2</f>
        <v>13.70748799011916</v>
      </c>
      <c r="AN287" s="36">
        <f ca="1">Tabela3[[#This Row],[Valor Mínimo Venda]]*1.15</f>
        <v>15.763611188637034</v>
      </c>
      <c r="AO287" s="36">
        <f ca="1">Tabela3[[#This Row],[Tabela 1]]*1.08</f>
        <v>17.024700083727996</v>
      </c>
      <c r="AP287" s="36">
        <f ca="1">Tabela3[[#This Row],[Tabela 2]]*1.15</f>
        <v>19.578405096287195</v>
      </c>
    </row>
    <row r="288" spans="1:42">
      <c r="A288" s="9">
        <v>45803</v>
      </c>
      <c r="B288" s="6" t="s">
        <v>96</v>
      </c>
      <c r="C288" s="14">
        <v>6709</v>
      </c>
      <c r="D288" s="6" t="s">
        <v>44</v>
      </c>
      <c r="E288" s="6" t="s">
        <v>47</v>
      </c>
      <c r="F288" s="6">
        <v>20</v>
      </c>
      <c r="G288" s="15">
        <v>0.1125</v>
      </c>
      <c r="H288" s="16">
        <v>0</v>
      </c>
      <c r="I288" s="35">
        <f ca="1">IFERROR(Tabela3[[#This Row],[Custo Total]]/Tabela3[[#This Row],[Aluminio Util]],0)</f>
        <v>29.881039506707776</v>
      </c>
      <c r="J288" s="35">
        <f ca="1">Tabela3[[#This Row],[Custo Total]]/Tabela3[[#This Row],[Realizado]]</f>
        <v>26.414838923929672</v>
      </c>
      <c r="K288" s="37">
        <f>IFERROR(Tabela3[[#This Row],[Qtde Cx Produzida]]/Tabela3[[#This Row],[Tempo]]/24,0)</f>
        <v>7.4074074074074074</v>
      </c>
      <c r="L288" s="37">
        <f>Tabela3[[#This Row],[Qtde Cx Produzida]]*Tabela3[[#This Row],[Qdt Peça Placa]]</f>
        <v>60</v>
      </c>
      <c r="M288" s="37">
        <f>Tabela3[[#This Row],[Previsto]]-Tabela3[[#This Row],[Perda Pçs]]</f>
        <v>60</v>
      </c>
      <c r="N288" s="38">
        <f>IFERROR(Tabela3[[#This Row],[Perda Pçs]]/Tabela3[[#This Row],[Previsto]],0)</f>
        <v>0</v>
      </c>
      <c r="O288" s="39">
        <f>IFERROR(IF(Tabela3[[#This Row],[Qtde Cx Produzida]] &lt;&gt; 0, Tabela3[[#This Row],[Tempo]] / Tabela3[[#This Row],[Qtde Cx Produzida]], 0),0)</f>
        <v>5.6249999999999998E-3</v>
      </c>
      <c r="P288" s="57">
        <f>IFERROR(Tabela3[[#This Row],[Perda Pçs]]/Tabela3[[#This Row],[Qdt Peça Placa]],0)</f>
        <v>0</v>
      </c>
      <c r="Q288" s="37">
        <f>IFERROR(Tabela3[[#This Row],[Realizado]]*Tabela3[[#This Row],[Peso Util/Pç]],0)</f>
        <v>53.04</v>
      </c>
      <c r="R288" s="37">
        <f>IFERROR(Tabela3[[#This Row],[Peso Total Galho]]*Tabela3[[#This Row],[Qtde Cx Produzida]]*1.055,0)</f>
        <v>99.001199999999997</v>
      </c>
      <c r="S288" s="37">
        <f>(Tabela3[[#This Row],[Aluminio Bruto]]-Tabela3[[#This Row],[Aluminio Util]])*0.9</f>
        <v>41.365079999999999</v>
      </c>
      <c r="T288" s="37">
        <f>Tabela3[[#This Row],[Aluminio Bruto]]/OleoKGAluminio</f>
        <v>41.649676832678217</v>
      </c>
      <c r="U288" s="35">
        <f>IFERROR((VLOOKUP(Tabela3[[#This Row],[Moldador]],Tabela1[],5,)+(VLOOKUP(Tabela3[[#This Row],[Ajudante]],Tabela1[],5,))*3.5),0)</f>
        <v>99.95034583333333</v>
      </c>
      <c r="V288" s="35">
        <f>IFERROR(Tabela3[[#This Row],[Custo M.O. / H]]/((Tabela3[[#This Row],[Realizado]]/Tabela3[[#This Row],[Qdt Peça Placa]])/Tabela3[[#This Row],[Tempo]]/24),)</f>
        <v>13.493296687499999</v>
      </c>
      <c r="W288" s="35">
        <f>Tabela3[[#This Row],[Custo / Cx Moldada]]*Tabela3[[#This Row],[Qtde Cx Produzida]]</f>
        <v>269.86593374999995</v>
      </c>
      <c r="X288" s="35">
        <f ca="1">Tabela3[[#This Row],[Aluminio Util]]*Tabela3[[#This Row],[Custo/Kg]]</f>
        <v>827.42400000000009</v>
      </c>
      <c r="Y288" s="35">
        <f>IFERROR(VLOOKUP(Tabela3[[#This Row],[Data]],Tabela461213[],2,1)*(Tabela3[[#This Row],[Qtde Cx Produzida]]*Tabela3[[#This Row],[Qde macho / CX]]*Tabela3[[#This Row],[Peso Macho]]),)</f>
        <v>378.27</v>
      </c>
      <c r="Z288" s="35">
        <f>IFERROR(Tabela3[[#This Row],[Qtde Oleo]]*(VLOOKUP(Tabela3[[#This Row],[Data]],CompraOleo[],3,TRUE))*1.05,0)</f>
        <v>109.33040168578032</v>
      </c>
      <c r="AA288" s="47">
        <f ca="1">(Tabela3[[#This Row],[Custo Oleo]]+Tabela3[[#This Row],[Custo Aluminio]]+Tabela3[[#This Row],[Custo M.O. Total]]+Tabela3[[#This Row],[Custo Machos]])</f>
        <v>1584.8903354357803</v>
      </c>
      <c r="AB288" s="47">
        <f ca="1">Tabela3[[#This Row],[Custo Total]]*Tabela3[[#This Row],[% Perda]]</f>
        <v>0</v>
      </c>
      <c r="AC288" s="48">
        <f>IFERROR(VLOOKUP(Tabela3[[#This Row],[Produto]],Tabela2[],2,0),0)</f>
        <v>3</v>
      </c>
      <c r="AD288" s="48">
        <f>IFERROR(VLOOKUP(Tabela3[[#This Row],[Produto]],Tabela2[],3,0),0)</f>
        <v>0.88400000000000001</v>
      </c>
      <c r="AE288" s="48">
        <f>IFERROR(VLOOKUP(Tabela3[[#This Row],[Produto]],Tabela2[],4,0),0)</f>
        <v>4.6920000000000002</v>
      </c>
      <c r="AF288" s="48">
        <f>IFERROR(VLOOKUP(Tabela3[[#This Row],[Produto]],Tabela2[],5,0),0)</f>
        <v>1.8360000000000001</v>
      </c>
      <c r="AG288" s="40">
        <f>IFERROR(VLOOKUP(Tabela3[[#This Row],[Produto]],Tabela2[],6,0),0)</f>
        <v>0</v>
      </c>
      <c r="AH288" s="40">
        <f>IFERROR(VLOOKUP(Tabela3[[#This Row],[Produto]],Tabela2[],7,0),0)</f>
        <v>9</v>
      </c>
      <c r="AI288" s="40">
        <f>IFERROR(VLOOKUP(Tabela3[[#This Row],[Produto]],Tabela2[],8,0),0)</f>
        <v>1.401</v>
      </c>
      <c r="AJ288" s="35">
        <f ca="1">IFERROR(VLOOKUP(Tabela3[[#This Row],[Produto]],Tabela2[],13,0),0)</f>
        <v>15.600000000000001</v>
      </c>
      <c r="AK288" s="40" t="str">
        <f>IFERROR(VLOOKUP(Tabela3[[#This Row],[Produto]],Tabela2[],14,0),0)</f>
        <v>Jumil</v>
      </c>
      <c r="AL288" s="40">
        <f>IFERROR(VLOOKUP(Tabela3[[#This Row],[Produto]],Tabela2[],15,0),0)</f>
        <v>10</v>
      </c>
      <c r="AM288" s="36">
        <f ca="1">(Tabela3[[#This Row],[Custo Usinagem]]+Tabela3[[#This Row],[Custo / Pç]])*1.2</f>
        <v>43.697806708715603</v>
      </c>
      <c r="AN288" s="36">
        <f ca="1">Tabela3[[#This Row],[Valor Mínimo Venda]]*1.15</f>
        <v>50.252477715022941</v>
      </c>
      <c r="AO288" s="36">
        <f ca="1">Tabela3[[#This Row],[Tabela 1]]*1.08</f>
        <v>54.272675932224779</v>
      </c>
      <c r="AP288" s="36">
        <f ca="1">Tabela3[[#This Row],[Tabela 2]]*1.15</f>
        <v>62.413577322058494</v>
      </c>
    </row>
    <row r="289" spans="1:42">
      <c r="A289" s="9">
        <v>45804</v>
      </c>
      <c r="B289" s="6" t="s">
        <v>245</v>
      </c>
      <c r="C289" s="14">
        <v>6724</v>
      </c>
      <c r="D289" s="6" t="s">
        <v>46</v>
      </c>
      <c r="E289" s="6" t="s">
        <v>53</v>
      </c>
      <c r="F289" s="6">
        <v>100</v>
      </c>
      <c r="G289" s="15">
        <v>0.43541666666666667</v>
      </c>
      <c r="H289" s="16">
        <v>37</v>
      </c>
      <c r="I289" s="35">
        <f ca="1">IFERROR(Tabela3[[#This Row],[Custo Total]]/Tabela3[[#This Row],[Aluminio Util]],0)</f>
        <v>27.373623809793784</v>
      </c>
      <c r="J289" s="35">
        <f ca="1">Tabela3[[#This Row],[Custo Total]]/Tabela3[[#This Row],[Realizado]]</f>
        <v>9.0880431048515362</v>
      </c>
      <c r="K289" s="37">
        <f>IFERROR(Tabela3[[#This Row],[Qtde Cx Produzida]]/Tabela3[[#This Row],[Tempo]]/24,0)</f>
        <v>9.5693779904306222</v>
      </c>
      <c r="L289" s="37">
        <f>Tabela3[[#This Row],[Qtde Cx Produzida]]*Tabela3[[#This Row],[Qdt Peça Placa]]</f>
        <v>400</v>
      </c>
      <c r="M289" s="37">
        <f>Tabela3[[#This Row],[Previsto]]-Tabela3[[#This Row],[Perda Pçs]]</f>
        <v>363</v>
      </c>
      <c r="N289" s="38">
        <f>IFERROR(Tabela3[[#This Row],[Perda Pçs]]/Tabela3[[#This Row],[Previsto]],0)</f>
        <v>9.2499999999999999E-2</v>
      </c>
      <c r="O289" s="39">
        <f>IFERROR(IF(Tabela3[[#This Row],[Qtde Cx Produzida]] &lt;&gt; 0, Tabela3[[#This Row],[Tempo]] / Tabela3[[#This Row],[Qtde Cx Produzida]], 0),0)</f>
        <v>4.3541666666666668E-3</v>
      </c>
      <c r="P289" s="57">
        <f>IFERROR(Tabela3[[#This Row],[Perda Pçs]]/Tabela3[[#This Row],[Qdt Peça Placa]],0)</f>
        <v>9.25</v>
      </c>
      <c r="Q289" s="37">
        <f>IFERROR(Tabela3[[#This Row],[Realizado]]*Tabela3[[#This Row],[Peso Util/Pç]],0)</f>
        <v>120.51600000000001</v>
      </c>
      <c r="R289" s="37">
        <f>IFERROR(Tabela3[[#This Row],[Peso Total Galho]]*Tabela3[[#This Row],[Qtde Cx Produzida]]*1.055,0)</f>
        <v>242.64999999999995</v>
      </c>
      <c r="S289" s="37">
        <f>(Tabela3[[#This Row],[Aluminio Bruto]]-Tabela3[[#This Row],[Aluminio Util]])*0.9</f>
        <v>109.92059999999995</v>
      </c>
      <c r="T289" s="37">
        <f>Tabela3[[#This Row],[Aluminio Bruto]]/OleoKGAluminio</f>
        <v>102.08254125656424</v>
      </c>
      <c r="U289" s="35">
        <f>IFERROR((VLOOKUP(Tabela3[[#This Row],[Moldador]],Tabela1[],5,)+(VLOOKUP(Tabela3[[#This Row],[Ajudante]],Tabela1[],5,))*3.5),0)</f>
        <v>99.95034583333333</v>
      </c>
      <c r="V289" s="35">
        <f>IFERROR(Tabela3[[#This Row],[Custo M.O. / H]]/((Tabela3[[#This Row],[Realizado]]/Tabela3[[#This Row],[Qdt Peça Placa]])/Tabela3[[#This Row],[Tempo]]/24),)</f>
        <v>11.509433762626262</v>
      </c>
      <c r="W289" s="35">
        <f>Tabela3[[#This Row],[Custo / Cx Moldada]]*Tabela3[[#This Row],[Qtde Cx Produzida]]</f>
        <v>1150.9433762626263</v>
      </c>
      <c r="X289" s="35">
        <f ca="1">Tabela3[[#This Row],[Aluminio Util]]*Tabela3[[#This Row],[Custo/Kg]]</f>
        <v>1880.0496000000003</v>
      </c>
      <c r="Y289" s="35">
        <f>IFERROR(VLOOKUP(Tabela3[[#This Row],[Data]],Tabela461213[],2,1)*(Tabela3[[#This Row],[Qtde Cx Produzida]]*Tabela3[[#This Row],[Qde macho / CX]]*Tabela3[[#This Row],[Peso Macho]]),)</f>
        <v>0</v>
      </c>
      <c r="Z289" s="35">
        <f>IFERROR(Tabela3[[#This Row],[Qtde Oleo]]*(VLOOKUP(Tabela3[[#This Row],[Data]],CompraOleo[],3,TRUE))*1.05,0)</f>
        <v>267.96667079848112</v>
      </c>
      <c r="AA289" s="47">
        <f ca="1">(Tabela3[[#This Row],[Custo Oleo]]+Tabela3[[#This Row],[Custo Aluminio]]+Tabela3[[#This Row],[Custo M.O. Total]]+Tabela3[[#This Row],[Custo Machos]])</f>
        <v>3298.9596470611077</v>
      </c>
      <c r="AB289" s="47">
        <f ca="1">Tabela3[[#This Row],[Custo Total]]*Tabela3[[#This Row],[% Perda]]</f>
        <v>305.15376735315243</v>
      </c>
      <c r="AC289" s="48">
        <f>IFERROR(VLOOKUP(Tabela3[[#This Row],[Produto]],Tabela2[],2,0),0)</f>
        <v>4</v>
      </c>
      <c r="AD289" s="48">
        <f>IFERROR(VLOOKUP(Tabela3[[#This Row],[Produto]],Tabela2[],3,0),0)</f>
        <v>0.33200000000000002</v>
      </c>
      <c r="AE289" s="48">
        <f>IFERROR(VLOOKUP(Tabela3[[#This Row],[Produto]],Tabela2[],4,0),0)</f>
        <v>2.2999999999999998</v>
      </c>
      <c r="AF289" s="48">
        <f>IFERROR(VLOOKUP(Tabela3[[#This Row],[Produto]],Tabela2[],5,0),0)</f>
        <v>0.8747999999999998</v>
      </c>
      <c r="AG289" s="40">
        <f>IFERROR(VLOOKUP(Tabela3[[#This Row],[Produto]],Tabela2[],6,0),0)</f>
        <v>0</v>
      </c>
      <c r="AH289" s="40">
        <f>IFERROR(VLOOKUP(Tabela3[[#This Row],[Produto]],Tabela2[],7,0),0)</f>
        <v>0</v>
      </c>
      <c r="AI289" s="40">
        <f>IFERROR(VLOOKUP(Tabela3[[#This Row],[Produto]],Tabela2[],8,0),0)</f>
        <v>0</v>
      </c>
      <c r="AJ289" s="35">
        <f ca="1">IFERROR(VLOOKUP(Tabela3[[#This Row],[Produto]],Tabela2[],13,0),0)</f>
        <v>15.600000000000001</v>
      </c>
      <c r="AK289" s="40" t="str">
        <f>IFERROR(VLOOKUP(Tabela3[[#This Row],[Produto]],Tabela2[],14,0),0)</f>
        <v>Senun</v>
      </c>
      <c r="AL289" s="40">
        <f>IFERROR(VLOOKUP(Tabela3[[#This Row],[Produto]],Tabela2[],15,0),0)</f>
        <v>3.5</v>
      </c>
      <c r="AM289" s="36">
        <f ca="1">(Tabela3[[#This Row],[Custo Usinagem]]+Tabela3[[#This Row],[Custo / Pç]])*1.2</f>
        <v>15.105651725821843</v>
      </c>
      <c r="AN289" s="36">
        <f ca="1">Tabela3[[#This Row],[Valor Mínimo Venda]]*1.15</f>
        <v>17.371499484695118</v>
      </c>
      <c r="AO289" s="36">
        <f ca="1">Tabela3[[#This Row],[Tabela 1]]*1.08</f>
        <v>18.761219443470729</v>
      </c>
      <c r="AP289" s="36">
        <f ca="1">Tabela3[[#This Row],[Tabela 2]]*1.15</f>
        <v>21.575402359991337</v>
      </c>
    </row>
    <row r="290" spans="1:42">
      <c r="A290" s="9">
        <v>45804</v>
      </c>
      <c r="B290" s="6" t="s">
        <v>96</v>
      </c>
      <c r="C290" s="14">
        <v>6709</v>
      </c>
      <c r="D290" s="6" t="s">
        <v>44</v>
      </c>
      <c r="E290" s="6" t="s">
        <v>47</v>
      </c>
      <c r="F290" s="6">
        <v>16</v>
      </c>
      <c r="G290" s="15">
        <v>0.10069444444444445</v>
      </c>
      <c r="H290" s="16">
        <v>2</v>
      </c>
      <c r="I290" s="35">
        <f ca="1">IFERROR(Tabela3[[#This Row],[Custo Total]]/Tabela3[[#This Row],[Aluminio Util]],0)</f>
        <v>31.391093338998378</v>
      </c>
      <c r="J290" s="35">
        <f ca="1">Tabela3[[#This Row],[Custo Total]]/Tabela3[[#This Row],[Realizado]]</f>
        <v>27.749726511674567</v>
      </c>
      <c r="K290" s="37">
        <f>IFERROR(Tabela3[[#This Row],[Qtde Cx Produzida]]/Tabela3[[#This Row],[Tempo]]/24,0)</f>
        <v>6.6206896551724137</v>
      </c>
      <c r="L290" s="37">
        <f>Tabela3[[#This Row],[Qtde Cx Produzida]]*Tabela3[[#This Row],[Qdt Peça Placa]]</f>
        <v>48</v>
      </c>
      <c r="M290" s="37">
        <f>Tabela3[[#This Row],[Previsto]]-Tabela3[[#This Row],[Perda Pçs]]</f>
        <v>46</v>
      </c>
      <c r="N290" s="38">
        <f>IFERROR(Tabela3[[#This Row],[Perda Pçs]]/Tabela3[[#This Row],[Previsto]],0)</f>
        <v>4.1666666666666664E-2</v>
      </c>
      <c r="O290" s="39">
        <f>IFERROR(IF(Tabela3[[#This Row],[Qtde Cx Produzida]] &lt;&gt; 0, Tabela3[[#This Row],[Tempo]] / Tabela3[[#This Row],[Qtde Cx Produzida]], 0),0)</f>
        <v>6.293402777777778E-3</v>
      </c>
      <c r="P290" s="57">
        <f>IFERROR(Tabela3[[#This Row],[Perda Pçs]]/Tabela3[[#This Row],[Qdt Peça Placa]],0)</f>
        <v>0.66666666666666663</v>
      </c>
      <c r="Q290" s="37">
        <f>IFERROR(Tabela3[[#This Row],[Realizado]]*Tabela3[[#This Row],[Peso Util/Pç]],0)</f>
        <v>40.664000000000001</v>
      </c>
      <c r="R290" s="37">
        <f>IFERROR(Tabela3[[#This Row],[Peso Total Galho]]*Tabela3[[#This Row],[Qtde Cx Produzida]]*1.055,0)</f>
        <v>79.200959999999995</v>
      </c>
      <c r="S290" s="37">
        <f>(Tabela3[[#This Row],[Aluminio Bruto]]-Tabela3[[#This Row],[Aluminio Util]])*0.9</f>
        <v>34.683263999999994</v>
      </c>
      <c r="T290" s="37">
        <f>Tabela3[[#This Row],[Aluminio Bruto]]/OleoKGAluminio</f>
        <v>33.319741466142574</v>
      </c>
      <c r="U290" s="35">
        <f>IFERROR((VLOOKUP(Tabela3[[#This Row],[Moldador]],Tabela1[],5,)+(VLOOKUP(Tabela3[[#This Row],[Ajudante]],Tabela1[],5,))*3.5),0)</f>
        <v>99.95034583333333</v>
      </c>
      <c r="V290" s="35">
        <f>IFERROR(Tabela3[[#This Row],[Custo M.O. / H]]/((Tabela3[[#This Row],[Realizado]]/Tabela3[[#This Row],[Qdt Peça Placa]])/Tabela3[[#This Row],[Tempo]]/24),)</f>
        <v>15.753043636775361</v>
      </c>
      <c r="W290" s="35">
        <f>Tabela3[[#This Row],[Custo / Cx Moldada]]*Tabela3[[#This Row],[Qtde Cx Produzida]]</f>
        <v>252.04869818840578</v>
      </c>
      <c r="X290" s="35">
        <f ca="1">Tabela3[[#This Row],[Aluminio Util]]*Tabela3[[#This Row],[Custo/Kg]]</f>
        <v>634.35840000000007</v>
      </c>
      <c r="Y290" s="35">
        <f>IFERROR(VLOOKUP(Tabela3[[#This Row],[Data]],Tabela461213[],2,1)*(Tabela3[[#This Row],[Qtde Cx Produzida]]*Tabela3[[#This Row],[Qde macho / CX]]*Tabela3[[#This Row],[Peso Macho]]),)</f>
        <v>302.61599999999999</v>
      </c>
      <c r="Z290" s="35">
        <f>IFERROR(Tabela3[[#This Row],[Qtde Oleo]]*(VLOOKUP(Tabela3[[#This Row],[Data]],CompraOleo[],3,TRUE))*1.05,0)</f>
        <v>87.464321348624267</v>
      </c>
      <c r="AA290" s="47">
        <f ca="1">(Tabela3[[#This Row],[Custo Oleo]]+Tabela3[[#This Row],[Custo Aluminio]]+Tabela3[[#This Row],[Custo M.O. Total]]+Tabela3[[#This Row],[Custo Machos]])</f>
        <v>1276.4874195370301</v>
      </c>
      <c r="AB290" s="47">
        <f ca="1">Tabela3[[#This Row],[Custo Total]]*Tabela3[[#This Row],[% Perda]]</f>
        <v>53.186975814042917</v>
      </c>
      <c r="AC290" s="48">
        <f>IFERROR(VLOOKUP(Tabela3[[#This Row],[Produto]],Tabela2[],2,0),0)</f>
        <v>3</v>
      </c>
      <c r="AD290" s="48">
        <f>IFERROR(VLOOKUP(Tabela3[[#This Row],[Produto]],Tabela2[],3,0),0)</f>
        <v>0.88400000000000001</v>
      </c>
      <c r="AE290" s="48">
        <f>IFERROR(VLOOKUP(Tabela3[[#This Row],[Produto]],Tabela2[],4,0),0)</f>
        <v>4.6920000000000002</v>
      </c>
      <c r="AF290" s="48">
        <f>IFERROR(VLOOKUP(Tabela3[[#This Row],[Produto]],Tabela2[],5,0),0)</f>
        <v>1.8360000000000001</v>
      </c>
      <c r="AG290" s="40">
        <f>IFERROR(VLOOKUP(Tabela3[[#This Row],[Produto]],Tabela2[],6,0),0)</f>
        <v>0</v>
      </c>
      <c r="AH290" s="40">
        <f>IFERROR(VLOOKUP(Tabela3[[#This Row],[Produto]],Tabela2[],7,0),0)</f>
        <v>9</v>
      </c>
      <c r="AI290" s="40">
        <f>IFERROR(VLOOKUP(Tabela3[[#This Row],[Produto]],Tabela2[],8,0),0)</f>
        <v>1.401</v>
      </c>
      <c r="AJ290" s="35">
        <f ca="1">IFERROR(VLOOKUP(Tabela3[[#This Row],[Produto]],Tabela2[],13,0),0)</f>
        <v>15.600000000000001</v>
      </c>
      <c r="AK290" s="40" t="str">
        <f>IFERROR(VLOOKUP(Tabela3[[#This Row],[Produto]],Tabela2[],14,0),0)</f>
        <v>Jumil</v>
      </c>
      <c r="AL290" s="40">
        <f>IFERROR(VLOOKUP(Tabela3[[#This Row],[Produto]],Tabela2[],15,0),0)</f>
        <v>10</v>
      </c>
      <c r="AM290" s="36">
        <f ca="1">(Tabela3[[#This Row],[Custo Usinagem]]+Tabela3[[#This Row],[Custo / Pç]])*1.2</f>
        <v>45.299671814009479</v>
      </c>
      <c r="AN290" s="36">
        <f ca="1">Tabela3[[#This Row],[Valor Mínimo Venda]]*1.15</f>
        <v>52.094622586110894</v>
      </c>
      <c r="AO290" s="36">
        <f ca="1">Tabela3[[#This Row],[Tabela 1]]*1.08</f>
        <v>56.262192392999772</v>
      </c>
      <c r="AP290" s="36">
        <f ca="1">Tabela3[[#This Row],[Tabela 2]]*1.15</f>
        <v>64.701521251949728</v>
      </c>
    </row>
    <row r="291" spans="1:42">
      <c r="A291" s="9">
        <v>45804</v>
      </c>
      <c r="B291" s="6" t="s">
        <v>236</v>
      </c>
      <c r="C291" s="14">
        <v>6730</v>
      </c>
      <c r="D291" s="6" t="s">
        <v>44</v>
      </c>
      <c r="E291" s="6" t="s">
        <v>47</v>
      </c>
      <c r="F291" s="6">
        <v>52</v>
      </c>
      <c r="G291" s="15">
        <v>0.28749999999999998</v>
      </c>
      <c r="H291" s="16">
        <v>11</v>
      </c>
      <c r="I291" s="35">
        <f ca="1">IFERROR(Tabela3[[#This Row],[Custo Total]]/Tabela3[[#This Row],[Aluminio Util]],0)</f>
        <v>24.898333186523708</v>
      </c>
      <c r="J291" s="35">
        <f ca="1">Tabela3[[#This Row],[Custo Total]]/Tabela3[[#This Row],[Realizado]]</f>
        <v>7.5192966223301596</v>
      </c>
      <c r="K291" s="37">
        <f>IFERROR(Tabela3[[#This Row],[Qtde Cx Produzida]]/Tabela3[[#This Row],[Tempo]]/24,0)</f>
        <v>7.5362318840579716</v>
      </c>
      <c r="L291" s="37">
        <f>Tabela3[[#This Row],[Qtde Cx Produzida]]*Tabela3[[#This Row],[Qdt Peça Placa]]</f>
        <v>312</v>
      </c>
      <c r="M291" s="37">
        <f>Tabela3[[#This Row],[Previsto]]-Tabela3[[#This Row],[Perda Pçs]]</f>
        <v>301</v>
      </c>
      <c r="N291" s="38">
        <f>IFERROR(Tabela3[[#This Row],[Perda Pçs]]/Tabela3[[#This Row],[Previsto]],0)</f>
        <v>3.5256410256410256E-2</v>
      </c>
      <c r="O291" s="39">
        <f>IFERROR(IF(Tabela3[[#This Row],[Qtde Cx Produzida]] &lt;&gt; 0, Tabela3[[#This Row],[Tempo]] / Tabela3[[#This Row],[Qtde Cx Produzida]], 0),0)</f>
        <v>5.5288461538461533E-3</v>
      </c>
      <c r="P291" s="57">
        <f>IFERROR(Tabela3[[#This Row],[Perda Pçs]]/Tabela3[[#This Row],[Qdt Peça Placa]],0)</f>
        <v>1.8333333333333333</v>
      </c>
      <c r="Q291" s="37">
        <f>IFERROR(Tabela3[[#This Row],[Realizado]]*Tabela3[[#This Row],[Peso Util/Pç]],0)</f>
        <v>90.902000000000001</v>
      </c>
      <c r="R291" s="37">
        <f>IFERROR(Tabela3[[#This Row],[Peso Total Galho]]*Tabela3[[#This Row],[Qtde Cx Produzida]]*1.055,0)</f>
        <v>118.05872000000001</v>
      </c>
      <c r="S291" s="37">
        <f>(Tabela3[[#This Row],[Aluminio Bruto]]-Tabela3[[#This Row],[Aluminio Util]])*0.9</f>
        <v>24.441048000000006</v>
      </c>
      <c r="T291" s="37">
        <f>Tabela3[[#This Row],[Aluminio Bruto]]/OleoKGAluminio</f>
        <v>49.6671508555416</v>
      </c>
      <c r="U291" s="35">
        <f>IFERROR((VLOOKUP(Tabela3[[#This Row],[Moldador]],Tabela1[],5,)+(VLOOKUP(Tabela3[[#This Row],[Ajudante]],Tabela1[],5,))*3.5),0)</f>
        <v>99.95034583333333</v>
      </c>
      <c r="V291" s="35">
        <f>IFERROR(Tabela3[[#This Row],[Custo M.O. / H]]/((Tabela3[[#This Row],[Realizado]]/Tabela3[[#This Row],[Qdt Peça Placa]])/Tabela3[[#This Row],[Tempo]]/24),)</f>
        <v>13.747323313953487</v>
      </c>
      <c r="W291" s="35">
        <f>Tabela3[[#This Row],[Custo / Cx Moldada]]*Tabela3[[#This Row],[Qtde Cx Produzida]]</f>
        <v>714.86081232558126</v>
      </c>
      <c r="X291" s="35">
        <f ca="1">Tabela3[[#This Row],[Aluminio Util]]*Tabela3[[#This Row],[Custo/Kg]]</f>
        <v>1418.0712000000001</v>
      </c>
      <c r="Y291" s="35">
        <f>IFERROR(VLOOKUP(Tabela3[[#This Row],[Data]],Tabela461213[],2,1)*(Tabela3[[#This Row],[Qtde Cx Produzida]]*Tabela3[[#This Row],[Qde macho / CX]]*Tabela3[[#This Row],[Peso Macho]]),)</f>
        <v>0</v>
      </c>
      <c r="Z291" s="35">
        <f>IFERROR(Tabela3[[#This Row],[Qtde Oleo]]*(VLOOKUP(Tabela3[[#This Row],[Data]],CompraOleo[],3,TRUE))*1.05,0)</f>
        <v>130.37627099579669</v>
      </c>
      <c r="AA291" s="47">
        <f ca="1">(Tabela3[[#This Row],[Custo Oleo]]+Tabela3[[#This Row],[Custo Aluminio]]+Tabela3[[#This Row],[Custo M.O. Total]]+Tabela3[[#This Row],[Custo Machos]])</f>
        <v>2263.308283321378</v>
      </c>
      <c r="AB291" s="47">
        <f ca="1">Tabela3[[#This Row],[Custo Total]]*Tabela3[[#This Row],[% Perda]]</f>
        <v>79.796125373510122</v>
      </c>
      <c r="AC291" s="48">
        <f>IFERROR(VLOOKUP(Tabela3[[#This Row],[Produto]],Tabela2[],2,0),0)</f>
        <v>6</v>
      </c>
      <c r="AD291" s="48">
        <f>IFERROR(VLOOKUP(Tabela3[[#This Row],[Produto]],Tabela2[],3,0),0)</f>
        <v>0.30199999999999999</v>
      </c>
      <c r="AE291" s="48">
        <f>IFERROR(VLOOKUP(Tabela3[[#This Row],[Produto]],Tabela2[],4,0),0)</f>
        <v>2.1520000000000001</v>
      </c>
      <c r="AF291" s="48">
        <f>IFERROR(VLOOKUP(Tabela3[[#This Row],[Produto]],Tabela2[],5,0),0)</f>
        <v>0.30600000000000027</v>
      </c>
      <c r="AG291" s="40">
        <f>IFERROR(VLOOKUP(Tabela3[[#This Row],[Produto]],Tabela2[],6,0),0)</f>
        <v>0</v>
      </c>
      <c r="AH291" s="40">
        <f>IFERROR(VLOOKUP(Tabela3[[#This Row],[Produto]],Tabela2[],7,0),0)</f>
        <v>0</v>
      </c>
      <c r="AI291" s="40">
        <f>IFERROR(VLOOKUP(Tabela3[[#This Row],[Produto]],Tabela2[],8,0),0)</f>
        <v>0</v>
      </c>
      <c r="AJ291" s="35">
        <f ca="1">IFERROR(VLOOKUP(Tabela3[[#This Row],[Produto]],Tabela2[],13,0),0)</f>
        <v>15.600000000000001</v>
      </c>
      <c r="AK291" s="40" t="str">
        <f>IFERROR(VLOOKUP(Tabela3[[#This Row],[Produto]],Tabela2[],14,0),0)</f>
        <v>Senun</v>
      </c>
      <c r="AL291" s="40">
        <f>IFERROR(VLOOKUP(Tabela3[[#This Row],[Produto]],Tabela2[],15,0),0)</f>
        <v>4</v>
      </c>
      <c r="AM291" s="36">
        <f ca="1">(Tabela3[[#This Row],[Custo Usinagem]]+Tabela3[[#This Row],[Custo / Pç]])*1.2</f>
        <v>13.823155946796192</v>
      </c>
      <c r="AN291" s="36">
        <f ca="1">Tabela3[[#This Row],[Valor Mínimo Venda]]*1.15</f>
        <v>15.89662933881562</v>
      </c>
      <c r="AO291" s="36">
        <f ca="1">Tabela3[[#This Row],[Tabela 1]]*1.08</f>
        <v>17.168359685920869</v>
      </c>
      <c r="AP291" s="36">
        <f ca="1">Tabela3[[#This Row],[Tabela 2]]*1.15</f>
        <v>19.743613638808998</v>
      </c>
    </row>
    <row r="292" spans="1:42">
      <c r="A292" s="9">
        <v>45805</v>
      </c>
      <c r="B292" s="6" t="s">
        <v>245</v>
      </c>
      <c r="C292" s="14">
        <v>6724</v>
      </c>
      <c r="D292" s="6" t="s">
        <v>46</v>
      </c>
      <c r="E292" s="6" t="s">
        <v>53</v>
      </c>
      <c r="F292" s="6">
        <v>55</v>
      </c>
      <c r="G292" s="15">
        <v>0.22083333333333333</v>
      </c>
      <c r="H292" s="16">
        <v>21</v>
      </c>
      <c r="I292" s="35">
        <f ca="1">IFERROR(Tabela3[[#This Row],[Custo Total]]/Tabela3[[#This Row],[Aluminio Util]],0)</f>
        <v>26.694938225711144</v>
      </c>
      <c r="J292" s="35">
        <f ca="1">Tabela3[[#This Row],[Custo Total]]/Tabela3[[#This Row],[Realizado]]</f>
        <v>8.8627194909360991</v>
      </c>
      <c r="K292" s="37">
        <f>IFERROR(Tabela3[[#This Row],[Qtde Cx Produzida]]/Tabela3[[#This Row],[Tempo]]/24,0)</f>
        <v>10.377358490566039</v>
      </c>
      <c r="L292" s="37">
        <f>Tabela3[[#This Row],[Qtde Cx Produzida]]*Tabela3[[#This Row],[Qdt Peça Placa]]</f>
        <v>220</v>
      </c>
      <c r="M292" s="37">
        <f>Tabela3[[#This Row],[Previsto]]-Tabela3[[#This Row],[Perda Pçs]]</f>
        <v>199</v>
      </c>
      <c r="N292" s="38">
        <f>IFERROR(Tabela3[[#This Row],[Perda Pçs]]/Tabela3[[#This Row],[Previsto]],0)</f>
        <v>9.5454545454545459E-2</v>
      </c>
      <c r="O292" s="39">
        <f>IFERROR(IF(Tabela3[[#This Row],[Qtde Cx Produzida]] &lt;&gt; 0, Tabela3[[#This Row],[Tempo]] / Tabela3[[#This Row],[Qtde Cx Produzida]], 0),0)</f>
        <v>4.015151515151515E-3</v>
      </c>
      <c r="P292" s="57">
        <f>IFERROR(Tabela3[[#This Row],[Perda Pçs]]/Tabela3[[#This Row],[Qdt Peça Placa]],0)</f>
        <v>5.25</v>
      </c>
      <c r="Q292" s="37">
        <f>IFERROR(Tabela3[[#This Row],[Realizado]]*Tabela3[[#This Row],[Peso Util/Pç]],0)</f>
        <v>66.067999999999998</v>
      </c>
      <c r="R292" s="37">
        <f>IFERROR(Tabela3[[#This Row],[Peso Total Galho]]*Tabela3[[#This Row],[Qtde Cx Produzida]]*1.055,0)</f>
        <v>133.45749999999998</v>
      </c>
      <c r="S292" s="37">
        <f>(Tabela3[[#This Row],[Aluminio Bruto]]-Tabela3[[#This Row],[Aluminio Util]])*0.9</f>
        <v>60.650549999999988</v>
      </c>
      <c r="T292" s="37">
        <f>Tabela3[[#This Row],[Aluminio Bruto]]/OleoKGAluminio</f>
        <v>56.14539769111034</v>
      </c>
      <c r="U292" s="35">
        <f>IFERROR((VLOOKUP(Tabela3[[#This Row],[Moldador]],Tabela1[],5,)+(VLOOKUP(Tabela3[[#This Row],[Ajudante]],Tabela1[],5,))*3.5),0)</f>
        <v>99.95034583333333</v>
      </c>
      <c r="V292" s="35">
        <f>IFERROR(Tabela3[[#This Row],[Custo M.O. / H]]/((Tabela3[[#This Row],[Realizado]]/Tabela3[[#This Row],[Qdt Peça Placa]])/Tabela3[[#This Row],[Tempo]]/24),)</f>
        <v>10.647976541038526</v>
      </c>
      <c r="W292" s="35">
        <f>Tabela3[[#This Row],[Custo / Cx Moldada]]*Tabela3[[#This Row],[Qtde Cx Produzida]]</f>
        <v>585.63870975711893</v>
      </c>
      <c r="X292" s="35">
        <f ca="1">Tabela3[[#This Row],[Aluminio Util]]*Tabela3[[#This Row],[Custo/Kg]]</f>
        <v>1030.6608000000001</v>
      </c>
      <c r="Y292" s="35">
        <f>IFERROR(VLOOKUP(Tabela3[[#This Row],[Data]],Tabela461213[],2,1)*(Tabela3[[#This Row],[Qtde Cx Produzida]]*Tabela3[[#This Row],[Qde macho / CX]]*Tabela3[[#This Row],[Peso Macho]]),)</f>
        <v>0</v>
      </c>
      <c r="Z292" s="35">
        <f>IFERROR(Tabela3[[#This Row],[Qtde Oleo]]*(VLOOKUP(Tabela3[[#This Row],[Data]],CompraOleo[],3,TRUE))*1.05,0)</f>
        <v>147.38166893916465</v>
      </c>
      <c r="AA292" s="47">
        <f ca="1">(Tabela3[[#This Row],[Custo Oleo]]+Tabela3[[#This Row],[Custo Aluminio]]+Tabela3[[#This Row],[Custo M.O. Total]]+Tabela3[[#This Row],[Custo Machos]])</f>
        <v>1763.6811786962837</v>
      </c>
      <c r="AB292" s="47">
        <f ca="1">Tabela3[[#This Row],[Custo Total]]*Tabela3[[#This Row],[% Perda]]</f>
        <v>168.35138523919073</v>
      </c>
      <c r="AC292" s="48">
        <f>IFERROR(VLOOKUP(Tabela3[[#This Row],[Produto]],Tabela2[],2,0),0)</f>
        <v>4</v>
      </c>
      <c r="AD292" s="48">
        <f>IFERROR(VLOOKUP(Tabela3[[#This Row],[Produto]],Tabela2[],3,0),0)</f>
        <v>0.33200000000000002</v>
      </c>
      <c r="AE292" s="48">
        <f>IFERROR(VLOOKUP(Tabela3[[#This Row],[Produto]],Tabela2[],4,0),0)</f>
        <v>2.2999999999999998</v>
      </c>
      <c r="AF292" s="48">
        <f>IFERROR(VLOOKUP(Tabela3[[#This Row],[Produto]],Tabela2[],5,0),0)</f>
        <v>0.8747999999999998</v>
      </c>
      <c r="AG292" s="40">
        <f>IFERROR(VLOOKUP(Tabela3[[#This Row],[Produto]],Tabela2[],6,0),0)</f>
        <v>0</v>
      </c>
      <c r="AH292" s="40">
        <f>IFERROR(VLOOKUP(Tabela3[[#This Row],[Produto]],Tabela2[],7,0),0)</f>
        <v>0</v>
      </c>
      <c r="AI292" s="40">
        <f>IFERROR(VLOOKUP(Tabela3[[#This Row],[Produto]],Tabela2[],8,0),0)</f>
        <v>0</v>
      </c>
      <c r="AJ292" s="35">
        <f ca="1">IFERROR(VLOOKUP(Tabela3[[#This Row],[Produto]],Tabela2[],13,0),0)</f>
        <v>15.600000000000001</v>
      </c>
      <c r="AK292" s="40" t="str">
        <f>IFERROR(VLOOKUP(Tabela3[[#This Row],[Produto]],Tabela2[],14,0),0)</f>
        <v>Senun</v>
      </c>
      <c r="AL292" s="40">
        <f>IFERROR(VLOOKUP(Tabela3[[#This Row],[Produto]],Tabela2[],15,0),0)</f>
        <v>3.5</v>
      </c>
      <c r="AM292" s="36">
        <f ca="1">(Tabela3[[#This Row],[Custo Usinagem]]+Tabela3[[#This Row],[Custo / Pç]])*1.2</f>
        <v>14.835263389123318</v>
      </c>
      <c r="AN292" s="36">
        <f ca="1">Tabela3[[#This Row],[Valor Mínimo Venda]]*1.15</f>
        <v>17.060552897491814</v>
      </c>
      <c r="AO292" s="36">
        <f ca="1">Tabela3[[#This Row],[Tabela 1]]*1.08</f>
        <v>18.425397129291159</v>
      </c>
      <c r="AP292" s="36">
        <f ca="1">Tabela3[[#This Row],[Tabela 2]]*1.15</f>
        <v>21.189206698684831</v>
      </c>
    </row>
    <row r="293" spans="1:42">
      <c r="A293" s="9">
        <v>45805</v>
      </c>
      <c r="B293" s="6" t="s">
        <v>257</v>
      </c>
      <c r="C293" s="14">
        <v>6720</v>
      </c>
      <c r="D293" s="6" t="s">
        <v>46</v>
      </c>
      <c r="E293" s="6" t="s">
        <v>53</v>
      </c>
      <c r="F293" s="6">
        <v>36</v>
      </c>
      <c r="G293" s="15">
        <v>0.11597222222222223</v>
      </c>
      <c r="H293" s="16">
        <v>0</v>
      </c>
      <c r="I293" s="35">
        <f ca="1">IFERROR(Tabela3[[#This Row],[Custo Total]]/Tabela3[[#This Row],[Aluminio Util]],0)</f>
        <v>25.890801938592421</v>
      </c>
      <c r="J293" s="35">
        <f ca="1">Tabela3[[#This Row],[Custo Total]]/Tabela3[[#This Row],[Realizado]]</f>
        <v>3.2363502423240527</v>
      </c>
      <c r="K293" s="37">
        <f>IFERROR(Tabela3[[#This Row],[Qtde Cx Produzida]]/Tabela3[[#This Row],[Tempo]]/24,0)</f>
        <v>12.934131736526945</v>
      </c>
      <c r="L293" s="37">
        <f>Tabela3[[#This Row],[Qtde Cx Produzida]]*Tabela3[[#This Row],[Qdt Peça Placa]]</f>
        <v>288</v>
      </c>
      <c r="M293" s="37">
        <f>Tabela3[[#This Row],[Previsto]]-Tabela3[[#This Row],[Perda Pçs]]</f>
        <v>288</v>
      </c>
      <c r="N293" s="38">
        <f>IFERROR(Tabela3[[#This Row],[Perda Pçs]]/Tabela3[[#This Row],[Previsto]],0)</f>
        <v>0</v>
      </c>
      <c r="O293" s="39">
        <f>IFERROR(IF(Tabela3[[#This Row],[Qtde Cx Produzida]] &lt;&gt; 0, Tabela3[[#This Row],[Tempo]] / Tabela3[[#This Row],[Qtde Cx Produzida]], 0),0)</f>
        <v>3.2214506172839508E-3</v>
      </c>
      <c r="P293" s="57">
        <f>IFERROR(Tabela3[[#This Row],[Perda Pçs]]/Tabela3[[#This Row],[Qdt Peça Placa]],0)</f>
        <v>0</v>
      </c>
      <c r="Q293" s="37">
        <f>IFERROR(Tabela3[[#This Row],[Realizado]]*Tabela3[[#This Row],[Peso Util/Pç]],0)</f>
        <v>36</v>
      </c>
      <c r="R293" s="37">
        <f>IFERROR(Tabela3[[#This Row],[Peso Total Galho]]*Tabela3[[#This Row],[Qtde Cx Produzida]]*1.055,0)</f>
        <v>83.555999999999997</v>
      </c>
      <c r="S293" s="37">
        <f>(Tabela3[[#This Row],[Aluminio Bruto]]-Tabela3[[#This Row],[Aluminio Util]])*0.9</f>
        <v>42.800399999999996</v>
      </c>
      <c r="T293" s="37">
        <f>Tabela3[[#This Row],[Aluminio Bruto]]/OleoKGAluminio</f>
        <v>35.151901163129956</v>
      </c>
      <c r="U293" s="35">
        <f>IFERROR((VLOOKUP(Tabela3[[#This Row],[Moldador]],Tabela1[],5,)+(VLOOKUP(Tabela3[[#This Row],[Ajudante]],Tabela1[],5,))*3.5),0)</f>
        <v>99.95034583333333</v>
      </c>
      <c r="V293" s="35">
        <f>IFERROR(Tabela3[[#This Row],[Custo M.O. / H]]/((Tabela3[[#This Row],[Realizado]]/Tabela3[[#This Row],[Qdt Peça Placa]])/Tabela3[[#This Row],[Tempo]]/24),)</f>
        <v>7.7276424787808642</v>
      </c>
      <c r="W293" s="35">
        <f>Tabela3[[#This Row],[Custo / Cx Moldada]]*Tabela3[[#This Row],[Qtde Cx Produzida]]</f>
        <v>278.19512923611109</v>
      </c>
      <c r="X293" s="35">
        <f ca="1">Tabela3[[#This Row],[Aluminio Util]]*Tabela3[[#This Row],[Custo/Kg]]</f>
        <v>561.6</v>
      </c>
      <c r="Y293" s="35">
        <f>IFERROR(VLOOKUP(Tabela3[[#This Row],[Data]],Tabela461213[],2,1)*(Tabela3[[#This Row],[Qtde Cx Produzida]]*Tabela3[[#This Row],[Qde macho / CX]]*Tabela3[[#This Row],[Peso Macho]]),)</f>
        <v>0</v>
      </c>
      <c r="Z293" s="35">
        <f>IFERROR(Tabela3[[#This Row],[Qtde Oleo]]*(VLOOKUP(Tabela3[[#This Row],[Data]],CompraOleo[],3,TRUE))*1.05,0)</f>
        <v>92.273740553216143</v>
      </c>
      <c r="AA293" s="47">
        <f ca="1">(Tabela3[[#This Row],[Custo Oleo]]+Tabela3[[#This Row],[Custo Aluminio]]+Tabela3[[#This Row],[Custo M.O. Total]]+Tabela3[[#This Row],[Custo Machos]])</f>
        <v>932.06886978932721</v>
      </c>
      <c r="AB293" s="47">
        <f ca="1">Tabela3[[#This Row],[Custo Total]]*Tabela3[[#This Row],[% Perda]]</f>
        <v>0</v>
      </c>
      <c r="AC293" s="48">
        <f>IFERROR(VLOOKUP(Tabela3[[#This Row],[Produto]],Tabela2[],2,0),0)</f>
        <v>8</v>
      </c>
      <c r="AD293" s="48">
        <f>IFERROR(VLOOKUP(Tabela3[[#This Row],[Produto]],Tabela2[],3,0),0)</f>
        <v>0.125</v>
      </c>
      <c r="AE293" s="48">
        <f>IFERROR(VLOOKUP(Tabela3[[#This Row],[Produto]],Tabela2[],4,0),0)</f>
        <v>2.2000000000000002</v>
      </c>
      <c r="AF293" s="48">
        <f>IFERROR(VLOOKUP(Tabela3[[#This Row],[Produto]],Tabela2[],5,0),0)</f>
        <v>1.0800000000000003</v>
      </c>
      <c r="AG293" s="40">
        <f>IFERROR(VLOOKUP(Tabela3[[#This Row],[Produto]],Tabela2[],6,0),0)</f>
        <v>0</v>
      </c>
      <c r="AH293" s="40">
        <f>IFERROR(VLOOKUP(Tabela3[[#This Row],[Produto]],Tabela2[],7,0),0)</f>
        <v>0</v>
      </c>
      <c r="AI293" s="40">
        <f>IFERROR(VLOOKUP(Tabela3[[#This Row],[Produto]],Tabela2[],8,0),0)</f>
        <v>0</v>
      </c>
      <c r="AJ293" s="35">
        <f ca="1">IFERROR(VLOOKUP(Tabela3[[#This Row],[Produto]],Tabela2[],13,0),0)</f>
        <v>15.600000000000001</v>
      </c>
      <c r="AK293" s="40" t="str">
        <f>IFERROR(VLOOKUP(Tabela3[[#This Row],[Produto]],Tabela2[],14,0),0)</f>
        <v>Senun</v>
      </c>
      <c r="AL293" s="40">
        <f>IFERROR(VLOOKUP(Tabela3[[#This Row],[Produto]],Tabela2[],15,0),0)</f>
        <v>7</v>
      </c>
      <c r="AM293" s="36">
        <f ca="1">(Tabela3[[#This Row],[Custo Usinagem]]+Tabela3[[#This Row],[Custo / Pç]])*1.2</f>
        <v>12.283620290788862</v>
      </c>
      <c r="AN293" s="36">
        <f ca="1">Tabela3[[#This Row],[Valor Mínimo Venda]]*1.15</f>
        <v>14.12616333440719</v>
      </c>
      <c r="AO293" s="36">
        <f ca="1">Tabela3[[#This Row],[Tabela 1]]*1.08</f>
        <v>15.256256401159765</v>
      </c>
      <c r="AP293" s="36">
        <f ca="1">Tabela3[[#This Row],[Tabela 2]]*1.15</f>
        <v>17.544694861333728</v>
      </c>
    </row>
    <row r="294" spans="1:42">
      <c r="A294" s="9">
        <v>45805</v>
      </c>
      <c r="B294" s="6" t="s">
        <v>236</v>
      </c>
      <c r="C294" s="14">
        <v>6730</v>
      </c>
      <c r="D294" s="6" t="s">
        <v>44</v>
      </c>
      <c r="E294" s="6" t="s">
        <v>47</v>
      </c>
      <c r="F294" s="6">
        <v>24</v>
      </c>
      <c r="G294" s="15">
        <v>0.13125000000000001</v>
      </c>
      <c r="H294" s="16">
        <v>0</v>
      </c>
      <c r="I294" s="35">
        <f ca="1">IFERROR(Tabela3[[#This Row],[Custo Total]]/Tabela3[[#This Row],[Aluminio Util]],0)</f>
        <v>24.223465160768985</v>
      </c>
      <c r="J294" s="35">
        <f ca="1">Tabela3[[#This Row],[Custo Total]]/Tabela3[[#This Row],[Realizado]]</f>
        <v>7.3154864785522342</v>
      </c>
      <c r="K294" s="37">
        <f>IFERROR(Tabela3[[#This Row],[Qtde Cx Produzida]]/Tabela3[[#This Row],[Tempo]]/24,0)</f>
        <v>7.6190476190476195</v>
      </c>
      <c r="L294" s="37">
        <f>Tabela3[[#This Row],[Qtde Cx Produzida]]*Tabela3[[#This Row],[Qdt Peça Placa]]</f>
        <v>144</v>
      </c>
      <c r="M294" s="37">
        <f>Tabela3[[#This Row],[Previsto]]-Tabela3[[#This Row],[Perda Pçs]]</f>
        <v>144</v>
      </c>
      <c r="N294" s="38">
        <f>IFERROR(Tabela3[[#This Row],[Perda Pçs]]/Tabela3[[#This Row],[Previsto]],0)</f>
        <v>0</v>
      </c>
      <c r="O294" s="39">
        <f>IFERROR(IF(Tabela3[[#This Row],[Qtde Cx Produzida]] &lt;&gt; 0, Tabela3[[#This Row],[Tempo]] / Tabela3[[#This Row],[Qtde Cx Produzida]], 0),0)</f>
        <v>5.4687500000000005E-3</v>
      </c>
      <c r="P294" s="57">
        <f>IFERROR(Tabela3[[#This Row],[Perda Pçs]]/Tabela3[[#This Row],[Qdt Peça Placa]],0)</f>
        <v>0</v>
      </c>
      <c r="Q294" s="37">
        <f>IFERROR(Tabela3[[#This Row],[Realizado]]*Tabela3[[#This Row],[Peso Util/Pç]],0)</f>
        <v>43.488</v>
      </c>
      <c r="R294" s="37">
        <f>IFERROR(Tabela3[[#This Row],[Peso Total Galho]]*Tabela3[[#This Row],[Qtde Cx Produzida]]*1.055,0)</f>
        <v>54.488640000000004</v>
      </c>
      <c r="S294" s="37">
        <f>(Tabela3[[#This Row],[Aluminio Bruto]]-Tabela3[[#This Row],[Aluminio Util]])*0.9</f>
        <v>9.9005760000000045</v>
      </c>
      <c r="T294" s="37">
        <f>Tabela3[[#This Row],[Aluminio Bruto]]/OleoKGAluminio</f>
        <v>22.923300394865354</v>
      </c>
      <c r="U294" s="35">
        <f>IFERROR((VLOOKUP(Tabela3[[#This Row],[Moldador]],Tabela1[],5,)+(VLOOKUP(Tabela3[[#This Row],[Ajudante]],Tabela1[],5,))*3.5),0)</f>
        <v>99.95034583333333</v>
      </c>
      <c r="V294" s="35">
        <f>IFERROR(Tabela3[[#This Row],[Custo M.O. / H]]/((Tabela3[[#This Row],[Realizado]]/Tabela3[[#This Row],[Qdt Peça Placa]])/Tabela3[[#This Row],[Tempo]]/24),)</f>
        <v>13.118482890624998</v>
      </c>
      <c r="W294" s="35">
        <f>Tabela3[[#This Row],[Custo / Cx Moldada]]*Tabela3[[#This Row],[Qtde Cx Produzida]]</f>
        <v>314.84358937499997</v>
      </c>
      <c r="X294" s="35">
        <f ca="1">Tabela3[[#This Row],[Aluminio Util]]*Tabela3[[#This Row],[Custo/Kg]]</f>
        <v>678.41280000000006</v>
      </c>
      <c r="Y294" s="35">
        <f>IFERROR(VLOOKUP(Tabela3[[#This Row],[Data]],Tabela461213[],2,1)*(Tabela3[[#This Row],[Qtde Cx Produzida]]*Tabela3[[#This Row],[Qde macho / CX]]*Tabela3[[#This Row],[Peso Macho]]),)</f>
        <v>0</v>
      </c>
      <c r="Z294" s="35">
        <f>IFERROR(Tabela3[[#This Row],[Qtde Oleo]]*(VLOOKUP(Tabela3[[#This Row],[Data]],CompraOleo[],3,TRUE))*1.05,0)</f>
        <v>60.173663536521552</v>
      </c>
      <c r="AA294" s="47">
        <f ca="1">(Tabela3[[#This Row],[Custo Oleo]]+Tabela3[[#This Row],[Custo Aluminio]]+Tabela3[[#This Row],[Custo M.O. Total]]+Tabela3[[#This Row],[Custo Machos]])</f>
        <v>1053.4300529115217</v>
      </c>
      <c r="AB294" s="47">
        <f ca="1">Tabela3[[#This Row],[Custo Total]]*Tabela3[[#This Row],[% Perda]]</f>
        <v>0</v>
      </c>
      <c r="AC294" s="48">
        <f>IFERROR(VLOOKUP(Tabela3[[#This Row],[Produto]],Tabela2[],2,0),0)</f>
        <v>6</v>
      </c>
      <c r="AD294" s="48">
        <f>IFERROR(VLOOKUP(Tabela3[[#This Row],[Produto]],Tabela2[],3,0),0)</f>
        <v>0.30199999999999999</v>
      </c>
      <c r="AE294" s="48">
        <f>IFERROR(VLOOKUP(Tabela3[[#This Row],[Produto]],Tabela2[],4,0),0)</f>
        <v>2.1520000000000001</v>
      </c>
      <c r="AF294" s="48">
        <f>IFERROR(VLOOKUP(Tabela3[[#This Row],[Produto]],Tabela2[],5,0),0)</f>
        <v>0.30600000000000027</v>
      </c>
      <c r="AG294" s="40">
        <f>IFERROR(VLOOKUP(Tabela3[[#This Row],[Produto]],Tabela2[],6,0),0)</f>
        <v>0</v>
      </c>
      <c r="AH294" s="40">
        <f>IFERROR(VLOOKUP(Tabela3[[#This Row],[Produto]],Tabela2[],7,0),0)</f>
        <v>0</v>
      </c>
      <c r="AI294" s="40">
        <f>IFERROR(VLOOKUP(Tabela3[[#This Row],[Produto]],Tabela2[],8,0),0)</f>
        <v>0</v>
      </c>
      <c r="AJ294" s="35">
        <f ca="1">IFERROR(VLOOKUP(Tabela3[[#This Row],[Produto]],Tabela2[],13,0),0)</f>
        <v>15.600000000000001</v>
      </c>
      <c r="AK294" s="40" t="str">
        <f>IFERROR(VLOOKUP(Tabela3[[#This Row],[Produto]],Tabela2[],14,0),0)</f>
        <v>Senun</v>
      </c>
      <c r="AL294" s="40">
        <f>IFERROR(VLOOKUP(Tabela3[[#This Row],[Produto]],Tabela2[],15,0),0)</f>
        <v>4</v>
      </c>
      <c r="AM294" s="36">
        <f ca="1">(Tabela3[[#This Row],[Custo Usinagem]]+Tabela3[[#This Row],[Custo / Pç]])*1.2</f>
        <v>13.578583774262681</v>
      </c>
      <c r="AN294" s="36">
        <f ca="1">Tabela3[[#This Row],[Valor Mínimo Venda]]*1.15</f>
        <v>15.615371340402081</v>
      </c>
      <c r="AO294" s="36">
        <f ca="1">Tabela3[[#This Row],[Tabela 1]]*1.08</f>
        <v>16.864601047634249</v>
      </c>
      <c r="AP294" s="36">
        <f ca="1">Tabela3[[#This Row],[Tabela 2]]*1.15</f>
        <v>19.394291204779385</v>
      </c>
    </row>
    <row r="295" spans="1:42">
      <c r="A295" s="9">
        <v>45805</v>
      </c>
      <c r="B295" s="6" t="s">
        <v>247</v>
      </c>
      <c r="C295" s="14">
        <v>6747</v>
      </c>
      <c r="D295" s="6" t="s">
        <v>44</v>
      </c>
      <c r="E295" s="6" t="s">
        <v>47</v>
      </c>
      <c r="F295" s="6">
        <v>39</v>
      </c>
      <c r="G295" s="15">
        <v>0.21041666666666667</v>
      </c>
      <c r="H295" s="16">
        <v>0</v>
      </c>
      <c r="I295" s="35">
        <f ca="1">IFERROR(Tabela3[[#This Row],[Custo Total]]/Tabela3[[#This Row],[Aluminio Util]],0)</f>
        <v>28.618295898926092</v>
      </c>
      <c r="J295" s="35">
        <f ca="1">Tabela3[[#This Row],[Custo Total]]/Tabela3[[#This Row],[Realizado]]</f>
        <v>8.585488769677827</v>
      </c>
      <c r="K295" s="37">
        <f>IFERROR(Tabela3[[#This Row],[Qtde Cx Produzida]]/Tabela3[[#This Row],[Tempo]]/24,0)</f>
        <v>7.7227722772277225</v>
      </c>
      <c r="L295" s="37">
        <f>Tabela3[[#This Row],[Qtde Cx Produzida]]*Tabela3[[#This Row],[Qdt Peça Placa]]</f>
        <v>156</v>
      </c>
      <c r="M295" s="37">
        <f>Tabela3[[#This Row],[Previsto]]-Tabela3[[#This Row],[Perda Pçs]]</f>
        <v>156</v>
      </c>
      <c r="N295" s="38">
        <f>IFERROR(Tabela3[[#This Row],[Perda Pçs]]/Tabela3[[#This Row],[Previsto]],0)</f>
        <v>0</v>
      </c>
      <c r="O295" s="39">
        <f>IFERROR(IF(Tabela3[[#This Row],[Qtde Cx Produzida]] &lt;&gt; 0, Tabela3[[#This Row],[Tempo]] / Tabela3[[#This Row],[Qtde Cx Produzida]], 0),0)</f>
        <v>5.3952991452991452E-3</v>
      </c>
      <c r="P295" s="57">
        <f>IFERROR(Tabela3[[#This Row],[Perda Pçs]]/Tabela3[[#This Row],[Qdt Peça Placa]],0)</f>
        <v>0</v>
      </c>
      <c r="Q295" s="37">
        <f>IFERROR(Tabela3[[#This Row],[Realizado]]*Tabela3[[#This Row],[Peso Util/Pç]],0)</f>
        <v>46.8</v>
      </c>
      <c r="R295" s="37">
        <f>IFERROR(Tabela3[[#This Row],[Peso Total Galho]]*Tabela3[[#This Row],[Qtde Cx Produzida]]*1.055,0)</f>
        <v>94.633499999999984</v>
      </c>
      <c r="S295" s="37">
        <f>(Tabela3[[#This Row],[Aluminio Bruto]]-Tabela3[[#This Row],[Aluminio Util]])*0.9</f>
        <v>43.050149999999988</v>
      </c>
      <c r="T295" s="37">
        <f>Tabela3[[#This Row],[Aluminio Bruto]]/OleoKGAluminio</f>
        <v>39.812191090060054</v>
      </c>
      <c r="U295" s="35">
        <f>IFERROR((VLOOKUP(Tabela3[[#This Row],[Moldador]],Tabela1[],5,)+(VLOOKUP(Tabela3[[#This Row],[Ajudante]],Tabela1[],5,))*3.5),0)</f>
        <v>99.95034583333333</v>
      </c>
      <c r="V295" s="35">
        <f>IFERROR(Tabela3[[#This Row],[Custo M.O. / H]]/((Tabela3[[#This Row],[Realizado]]/Tabela3[[#This Row],[Qdt Peça Placa]])/Tabela3[[#This Row],[Tempo]]/24),)</f>
        <v>12.942288370726496</v>
      </c>
      <c r="W295" s="35">
        <f>Tabela3[[#This Row],[Custo / Cx Moldada]]*Tabela3[[#This Row],[Qtde Cx Produzida]]</f>
        <v>504.74924645833335</v>
      </c>
      <c r="X295" s="35">
        <f ca="1">Tabela3[[#This Row],[Aluminio Util]]*Tabela3[[#This Row],[Custo/Kg]]</f>
        <v>730.08</v>
      </c>
      <c r="Y295" s="35">
        <f>IFERROR(VLOOKUP(Tabela3[[#This Row],[Data]],Tabela461213[],2,1)*(Tabela3[[#This Row],[Qtde Cx Produzida]]*Tabela3[[#This Row],[Qde macho / CX]]*Tabela3[[#This Row],[Peso Macho]]),)</f>
        <v>0</v>
      </c>
      <c r="Z295" s="35">
        <f>IFERROR(Tabela3[[#This Row],[Qtde Oleo]]*(VLOOKUP(Tabela3[[#This Row],[Data]],CompraOleo[],3,TRUE))*1.05,0)</f>
        <v>104.50700161140765</v>
      </c>
      <c r="AA295" s="47">
        <f ca="1">(Tabela3[[#This Row],[Custo Oleo]]+Tabela3[[#This Row],[Custo Aluminio]]+Tabela3[[#This Row],[Custo M.O. Total]]+Tabela3[[#This Row],[Custo Machos]])</f>
        <v>1339.336248069741</v>
      </c>
      <c r="AB295" s="47">
        <f ca="1">Tabela3[[#This Row],[Custo Total]]*Tabela3[[#This Row],[% Perda]]</f>
        <v>0</v>
      </c>
      <c r="AC295" s="48">
        <f>IFERROR(VLOOKUP(Tabela3[[#This Row],[Produto]],Tabela2[],2,0),0)</f>
        <v>4</v>
      </c>
      <c r="AD295" s="48">
        <f>IFERROR(VLOOKUP(Tabela3[[#This Row],[Produto]],Tabela2[],3,0),0)</f>
        <v>0.3</v>
      </c>
      <c r="AE295" s="48">
        <f>IFERROR(VLOOKUP(Tabela3[[#This Row],[Produto]],Tabela2[],4,0),0)</f>
        <v>2.2999999999999998</v>
      </c>
      <c r="AF295" s="48">
        <f>IFERROR(VLOOKUP(Tabela3[[#This Row],[Produto]],Tabela2[],5,0),0)</f>
        <v>0.98999999999999988</v>
      </c>
      <c r="AG295" s="40">
        <f>IFERROR(VLOOKUP(Tabela3[[#This Row],[Produto]],Tabela2[],6,0),0)</f>
        <v>0</v>
      </c>
      <c r="AH295" s="40">
        <f>IFERROR(VLOOKUP(Tabela3[[#This Row],[Produto]],Tabela2[],7,0),0)</f>
        <v>0</v>
      </c>
      <c r="AI295" s="40">
        <f>IFERROR(VLOOKUP(Tabela3[[#This Row],[Produto]],Tabela2[],8,0),0)</f>
        <v>0</v>
      </c>
      <c r="AJ295" s="35">
        <f ca="1">IFERROR(VLOOKUP(Tabela3[[#This Row],[Produto]],Tabela2[],13,0),0)</f>
        <v>15.600000000000001</v>
      </c>
      <c r="AK295" s="40" t="str">
        <f>IFERROR(VLOOKUP(Tabela3[[#This Row],[Produto]],Tabela2[],14,0),0)</f>
        <v>Senun</v>
      </c>
      <c r="AL295" s="40">
        <f>IFERROR(VLOOKUP(Tabela3[[#This Row],[Produto]],Tabela2[],15,0),0)</f>
        <v>3.5</v>
      </c>
      <c r="AM295" s="36">
        <f ca="1">(Tabela3[[#This Row],[Custo Usinagem]]+Tabela3[[#This Row],[Custo / Pç]])*1.2</f>
        <v>14.502586523613392</v>
      </c>
      <c r="AN295" s="36">
        <f ca="1">Tabela3[[#This Row],[Valor Mínimo Venda]]*1.15</f>
        <v>16.677974502155401</v>
      </c>
      <c r="AO295" s="36">
        <f ca="1">Tabela3[[#This Row],[Tabela 1]]*1.08</f>
        <v>18.012212462327835</v>
      </c>
      <c r="AP295" s="36">
        <f ca="1">Tabela3[[#This Row],[Tabela 2]]*1.15</f>
        <v>20.714044331677009</v>
      </c>
    </row>
    <row r="296" spans="1:42">
      <c r="A296" s="9">
        <v>45806</v>
      </c>
      <c r="B296" s="6" t="s">
        <v>257</v>
      </c>
      <c r="C296" s="14">
        <v>6720</v>
      </c>
      <c r="D296" s="6" t="s">
        <v>46</v>
      </c>
      <c r="E296" s="6" t="s">
        <v>53</v>
      </c>
      <c r="F296" s="6">
        <v>37</v>
      </c>
      <c r="G296" s="15">
        <v>0.16180555555555556</v>
      </c>
      <c r="H296" s="16">
        <v>4</v>
      </c>
      <c r="I296" s="35">
        <f ca="1">IFERROR(Tabela3[[#This Row],[Custo Total]]/Tabela3[[#This Row],[Aluminio Util]],0)</f>
        <v>28.977928847910146</v>
      </c>
      <c r="J296" s="35">
        <f ca="1">Tabela3[[#This Row],[Custo Total]]/Tabela3[[#This Row],[Realizado]]</f>
        <v>3.6222411059887683</v>
      </c>
      <c r="K296" s="37">
        <f>IFERROR(Tabela3[[#This Row],[Qtde Cx Produzida]]/Tabela3[[#This Row],[Tempo]]/24,0)</f>
        <v>9.5278969957081543</v>
      </c>
      <c r="L296" s="37">
        <f>Tabela3[[#This Row],[Qtde Cx Produzida]]*Tabela3[[#This Row],[Qdt Peça Placa]]</f>
        <v>296</v>
      </c>
      <c r="M296" s="37">
        <f>Tabela3[[#This Row],[Previsto]]-Tabela3[[#This Row],[Perda Pçs]]</f>
        <v>292</v>
      </c>
      <c r="N296" s="38">
        <f>IFERROR(Tabela3[[#This Row],[Perda Pçs]]/Tabela3[[#This Row],[Previsto]],0)</f>
        <v>1.3513513513513514E-2</v>
      </c>
      <c r="O296" s="39">
        <f>IFERROR(IF(Tabela3[[#This Row],[Qtde Cx Produzida]] &lt;&gt; 0, Tabela3[[#This Row],[Tempo]] / Tabela3[[#This Row],[Qtde Cx Produzida]], 0),0)</f>
        <v>4.3731231231231233E-3</v>
      </c>
      <c r="P296" s="57">
        <f>IFERROR(Tabela3[[#This Row],[Perda Pçs]]/Tabela3[[#This Row],[Qdt Peça Placa]],0)</f>
        <v>0.5</v>
      </c>
      <c r="Q296" s="37">
        <f>IFERROR(Tabela3[[#This Row],[Realizado]]*Tabela3[[#This Row],[Peso Util/Pç]],0)</f>
        <v>36.5</v>
      </c>
      <c r="R296" s="37">
        <f>IFERROR(Tabela3[[#This Row],[Peso Total Galho]]*Tabela3[[#This Row],[Qtde Cx Produzida]]*1.055,0)</f>
        <v>85.876999999999995</v>
      </c>
      <c r="S296" s="37">
        <f>(Tabela3[[#This Row],[Aluminio Bruto]]-Tabela3[[#This Row],[Aluminio Util]])*0.9</f>
        <v>44.439299999999996</v>
      </c>
      <c r="T296" s="37">
        <f>Tabela3[[#This Row],[Aluminio Bruto]]/OleoKGAluminio</f>
        <v>36.128342862105782</v>
      </c>
      <c r="U296" s="35">
        <f>IFERROR((VLOOKUP(Tabela3[[#This Row],[Moldador]],Tabela1[],5,)+(VLOOKUP(Tabela3[[#This Row],[Ajudante]],Tabela1[],5,))*3.5),0)</f>
        <v>99.95034583333333</v>
      </c>
      <c r="V296" s="35">
        <f>IFERROR(Tabela3[[#This Row],[Custo M.O. / H]]/((Tabela3[[#This Row],[Realizado]]/Tabela3[[#This Row],[Qdt Peça Placa]])/Tabela3[[#This Row],[Tempo]]/24),)</f>
        <v>10.633986565829529</v>
      </c>
      <c r="W296" s="35">
        <f>Tabela3[[#This Row],[Custo / Cx Moldada]]*Tabela3[[#This Row],[Qtde Cx Produzida]]</f>
        <v>393.45750293569256</v>
      </c>
      <c r="X296" s="35">
        <f ca="1">Tabela3[[#This Row],[Aluminio Util]]*Tabela3[[#This Row],[Custo/Kg]]</f>
        <v>569.40000000000009</v>
      </c>
      <c r="Y296" s="35">
        <f>IFERROR(VLOOKUP(Tabela3[[#This Row],[Data]],Tabela461213[],2,1)*(Tabela3[[#This Row],[Qtde Cx Produzida]]*Tabela3[[#This Row],[Qde macho / CX]]*Tabela3[[#This Row],[Peso Macho]]),)</f>
        <v>0</v>
      </c>
      <c r="Z296" s="35">
        <f>IFERROR(Tabela3[[#This Row],[Qtde Oleo]]*(VLOOKUP(Tabela3[[#This Row],[Data]],CompraOleo[],3,TRUE))*1.05,0)</f>
        <v>94.836900013027687</v>
      </c>
      <c r="AA296" s="47">
        <f ca="1">(Tabela3[[#This Row],[Custo Oleo]]+Tabela3[[#This Row],[Custo Aluminio]]+Tabela3[[#This Row],[Custo M.O. Total]]+Tabela3[[#This Row],[Custo Machos]])</f>
        <v>1057.6944029487204</v>
      </c>
      <c r="AB296" s="47">
        <f ca="1">Tabela3[[#This Row],[Custo Total]]*Tabela3[[#This Row],[% Perda]]</f>
        <v>14.293167607415141</v>
      </c>
      <c r="AC296" s="48">
        <f>IFERROR(VLOOKUP(Tabela3[[#This Row],[Produto]],Tabela2[],2,0),0)</f>
        <v>8</v>
      </c>
      <c r="AD296" s="48">
        <f>IFERROR(VLOOKUP(Tabela3[[#This Row],[Produto]],Tabela2[],3,0),0)</f>
        <v>0.125</v>
      </c>
      <c r="AE296" s="48">
        <f>IFERROR(VLOOKUP(Tabela3[[#This Row],[Produto]],Tabela2[],4,0),0)</f>
        <v>2.2000000000000002</v>
      </c>
      <c r="AF296" s="48">
        <f>IFERROR(VLOOKUP(Tabela3[[#This Row],[Produto]],Tabela2[],5,0),0)</f>
        <v>1.0800000000000003</v>
      </c>
      <c r="AG296" s="40">
        <f>IFERROR(VLOOKUP(Tabela3[[#This Row],[Produto]],Tabela2[],6,0),0)</f>
        <v>0</v>
      </c>
      <c r="AH296" s="40">
        <f>IFERROR(VLOOKUP(Tabela3[[#This Row],[Produto]],Tabela2[],7,0),0)</f>
        <v>0</v>
      </c>
      <c r="AI296" s="40">
        <f>IFERROR(VLOOKUP(Tabela3[[#This Row],[Produto]],Tabela2[],8,0),0)</f>
        <v>0</v>
      </c>
      <c r="AJ296" s="35">
        <f ca="1">IFERROR(VLOOKUP(Tabela3[[#This Row],[Produto]],Tabela2[],13,0),0)</f>
        <v>15.600000000000001</v>
      </c>
      <c r="AK296" s="40" t="str">
        <f>IFERROR(VLOOKUP(Tabela3[[#This Row],[Produto]],Tabela2[],14,0),0)</f>
        <v>Senun</v>
      </c>
      <c r="AL296" s="40">
        <f>IFERROR(VLOOKUP(Tabela3[[#This Row],[Produto]],Tabela2[],15,0),0)</f>
        <v>7</v>
      </c>
      <c r="AM296" s="36">
        <f ca="1">(Tabela3[[#This Row],[Custo Usinagem]]+Tabela3[[#This Row],[Custo / Pç]])*1.2</f>
        <v>12.746689327186521</v>
      </c>
      <c r="AN296" s="36">
        <f ca="1">Tabela3[[#This Row],[Valor Mínimo Venda]]*1.15</f>
        <v>14.658692726264498</v>
      </c>
      <c r="AO296" s="36">
        <f ca="1">Tabela3[[#This Row],[Tabela 1]]*1.08</f>
        <v>15.831388144365659</v>
      </c>
      <c r="AP296" s="36">
        <f ca="1">Tabela3[[#This Row],[Tabela 2]]*1.15</f>
        <v>18.206096366020507</v>
      </c>
    </row>
    <row r="297" spans="1:42">
      <c r="A297" s="9">
        <v>45806</v>
      </c>
      <c r="B297" s="6" t="s">
        <v>221</v>
      </c>
      <c r="C297" s="14">
        <v>6507</v>
      </c>
      <c r="D297" s="6" t="s">
        <v>46</v>
      </c>
      <c r="E297" s="6" t="s">
        <v>53</v>
      </c>
      <c r="F297" s="6">
        <v>43</v>
      </c>
      <c r="G297" s="15">
        <v>0.18680555555555556</v>
      </c>
      <c r="H297" s="16">
        <v>0</v>
      </c>
      <c r="I297" s="35">
        <f ca="1">IFERROR(Tabela3[[#This Row],[Custo Total]]/Tabela3[[#This Row],[Aluminio Util]],0)</f>
        <v>23.106011677108231</v>
      </c>
      <c r="J297" s="35">
        <f ca="1">Tabela3[[#This Row],[Custo Total]]/Tabela3[[#This Row],[Realizado]]</f>
        <v>2.9344634829927454</v>
      </c>
      <c r="K297" s="37">
        <f>IFERROR(Tabela3[[#This Row],[Qtde Cx Produzida]]/Tabela3[[#This Row],[Tempo]]/24,0)</f>
        <v>9.5910780669144984</v>
      </c>
      <c r="L297" s="37">
        <f>Tabela3[[#This Row],[Qtde Cx Produzida]]*Tabela3[[#This Row],[Qdt Peça Placa]]</f>
        <v>774</v>
      </c>
      <c r="M297" s="37">
        <f>Tabela3[[#This Row],[Previsto]]-Tabela3[[#This Row],[Perda Pçs]]</f>
        <v>774</v>
      </c>
      <c r="N297" s="38">
        <f>IFERROR(Tabela3[[#This Row],[Perda Pçs]]/Tabela3[[#This Row],[Previsto]],0)</f>
        <v>0</v>
      </c>
      <c r="O297" s="39">
        <f>IFERROR(IF(Tabela3[[#This Row],[Qtde Cx Produzida]] &lt;&gt; 0, Tabela3[[#This Row],[Tempo]] / Tabela3[[#This Row],[Qtde Cx Produzida]], 0),0)</f>
        <v>4.344315245478036E-3</v>
      </c>
      <c r="P297" s="57">
        <f>IFERROR(Tabela3[[#This Row],[Perda Pçs]]/Tabela3[[#This Row],[Qdt Peça Placa]],0)</f>
        <v>0</v>
      </c>
      <c r="Q297" s="37">
        <f>IFERROR(Tabela3[[#This Row],[Realizado]]*Tabela3[[#This Row],[Peso Util/Pç]],0)</f>
        <v>98.298000000000002</v>
      </c>
      <c r="R297" s="37">
        <f>IFERROR(Tabela3[[#This Row],[Peso Total Galho]]*Tabela3[[#This Row],[Qtde Cx Produzida]]*1.055,0)</f>
        <v>176.0162</v>
      </c>
      <c r="S297" s="37">
        <f>(Tabela3[[#This Row],[Aluminio Bruto]]-Tabela3[[#This Row],[Aluminio Util]])*0.9</f>
        <v>69.946380000000005</v>
      </c>
      <c r="T297" s="37">
        <f>Tabela3[[#This Row],[Aluminio Bruto]]/OleoKGAluminio</f>
        <v>74.049787753239926</v>
      </c>
      <c r="U297" s="35">
        <f>IFERROR((VLOOKUP(Tabela3[[#This Row],[Moldador]],Tabela1[],5,)+(VLOOKUP(Tabela3[[#This Row],[Ajudante]],Tabela1[],5,))*3.5),0)</f>
        <v>99.95034583333333</v>
      </c>
      <c r="V297" s="35">
        <f>IFERROR(Tabela3[[#This Row],[Custo M.O. / H]]/((Tabela3[[#This Row],[Realizado]]/Tabela3[[#This Row],[Qdt Peça Placa]])/Tabela3[[#This Row],[Tempo]]/24),)</f>
        <v>10.42117946866925</v>
      </c>
      <c r="W297" s="35">
        <f>Tabela3[[#This Row],[Custo / Cx Moldada]]*Tabela3[[#This Row],[Qtde Cx Produzida]]</f>
        <v>448.11071715277774</v>
      </c>
      <c r="X297" s="35">
        <f ca="1">Tabela3[[#This Row],[Aluminio Util]]*Tabela3[[#This Row],[Custo/Kg]]</f>
        <v>1628.7833258313522</v>
      </c>
      <c r="Y297" s="35">
        <f>IFERROR(VLOOKUP(Tabela3[[#This Row],[Data]],Tabela461213[],2,1)*(Tabela3[[#This Row],[Qtde Cx Produzida]]*Tabela3[[#This Row],[Qde macho / CX]]*Tabela3[[#This Row],[Peso Macho]]),)</f>
        <v>0</v>
      </c>
      <c r="Z297" s="35">
        <f>IFERROR(Tabela3[[#This Row],[Qtde Oleo]]*(VLOOKUP(Tabela3[[#This Row],[Data]],CompraOleo[],3,TRUE))*1.05,0)</f>
        <v>194.38069285225481</v>
      </c>
      <c r="AA297" s="47">
        <f ca="1">(Tabela3[[#This Row],[Custo Oleo]]+Tabela3[[#This Row],[Custo Aluminio]]+Tabela3[[#This Row],[Custo M.O. Total]]+Tabela3[[#This Row],[Custo Machos]])</f>
        <v>2271.2747358363849</v>
      </c>
      <c r="AB297" s="47">
        <f ca="1">Tabela3[[#This Row],[Custo Total]]*Tabela3[[#This Row],[% Perda]]</f>
        <v>0</v>
      </c>
      <c r="AC297" s="48">
        <f>IFERROR(VLOOKUP(Tabela3[[#This Row],[Produto]],Tabela2[],2,0),0)</f>
        <v>18</v>
      </c>
      <c r="AD297" s="48">
        <f>IFERROR(VLOOKUP(Tabela3[[#This Row],[Produto]],Tabela2[],3,0),0)</f>
        <v>0.127</v>
      </c>
      <c r="AE297" s="48">
        <f>IFERROR(VLOOKUP(Tabela3[[#This Row],[Produto]],Tabela2[],4,0),0)</f>
        <v>3.88</v>
      </c>
      <c r="AF297" s="48">
        <f>IFERROR(VLOOKUP(Tabela3[[#This Row],[Produto]],Tabela2[],5,0),0)</f>
        <v>1.4345999999999999</v>
      </c>
      <c r="AG297" s="40">
        <f>IFERROR(VLOOKUP(Tabela3[[#This Row],[Produto]],Tabela2[],6,0),0)</f>
        <v>0</v>
      </c>
      <c r="AH297" s="40">
        <f>IFERROR(VLOOKUP(Tabela3[[#This Row],[Produto]],Tabela2[],7,0),0)</f>
        <v>0</v>
      </c>
      <c r="AI297" s="40">
        <f>IFERROR(VLOOKUP(Tabela3[[#This Row],[Produto]],Tabela2[],8,0),0)</f>
        <v>0</v>
      </c>
      <c r="AJ297" s="35">
        <f ca="1">IFERROR(VLOOKUP(Tabela3[[#This Row],[Produto]],Tabela2[],13,0),0)</f>
        <v>16.569852141766386</v>
      </c>
      <c r="AK297" s="40" t="str">
        <f>IFERROR(VLOOKUP(Tabela3[[#This Row],[Produto]],Tabela2[],14,0),0)</f>
        <v>Marcelo</v>
      </c>
      <c r="AL297" s="40">
        <f>IFERROR(VLOOKUP(Tabela3[[#This Row],[Produto]],Tabela2[],15,0),0)</f>
        <v>0</v>
      </c>
      <c r="AM297" s="36">
        <f ca="1">(Tabela3[[#This Row],[Custo Usinagem]]+Tabela3[[#This Row],[Custo / Pç]])*1.2</f>
        <v>3.5213561795912942</v>
      </c>
      <c r="AN297" s="36">
        <f ca="1">Tabela3[[#This Row],[Valor Mínimo Venda]]*1.15</f>
        <v>4.0495596065299884</v>
      </c>
      <c r="AO297" s="36">
        <f ca="1">Tabela3[[#This Row],[Tabela 1]]*1.08</f>
        <v>4.373524375052388</v>
      </c>
      <c r="AP297" s="36">
        <f ca="1">Tabela3[[#This Row],[Tabela 2]]*1.15</f>
        <v>5.0295530313102459</v>
      </c>
    </row>
    <row r="298" spans="1:42">
      <c r="A298" s="9">
        <v>45806</v>
      </c>
      <c r="B298" s="6" t="s">
        <v>247</v>
      </c>
      <c r="C298" s="14">
        <v>6747</v>
      </c>
      <c r="D298" s="6" t="s">
        <v>44</v>
      </c>
      <c r="E298" s="6" t="s">
        <v>47</v>
      </c>
      <c r="F298" s="6">
        <v>70</v>
      </c>
      <c r="G298" s="15">
        <v>0.35625000000000001</v>
      </c>
      <c r="H298" s="16">
        <v>35</v>
      </c>
      <c r="I298" s="35">
        <f ca="1">IFERROR(Tabela3[[#This Row],[Custo Total]]/Tabela3[[#This Row],[Aluminio Util]],0)</f>
        <v>31.439922919169209</v>
      </c>
      <c r="J298" s="35">
        <f ca="1">Tabela3[[#This Row],[Custo Total]]/Tabela3[[#This Row],[Realizado]]</f>
        <v>9.4319768757507632</v>
      </c>
      <c r="K298" s="37">
        <f>IFERROR(Tabela3[[#This Row],[Qtde Cx Produzida]]/Tabela3[[#This Row],[Tempo]]/24,0)</f>
        <v>8.1871345029239766</v>
      </c>
      <c r="L298" s="37">
        <f>Tabela3[[#This Row],[Qtde Cx Produzida]]*Tabela3[[#This Row],[Qdt Peça Placa]]</f>
        <v>280</v>
      </c>
      <c r="M298" s="37">
        <f>Tabela3[[#This Row],[Previsto]]-Tabela3[[#This Row],[Perda Pçs]]</f>
        <v>245</v>
      </c>
      <c r="N298" s="38">
        <f>IFERROR(Tabela3[[#This Row],[Perda Pçs]]/Tabela3[[#This Row],[Previsto]],0)</f>
        <v>0.125</v>
      </c>
      <c r="O298" s="39">
        <f>IFERROR(IF(Tabela3[[#This Row],[Qtde Cx Produzida]] &lt;&gt; 0, Tabela3[[#This Row],[Tempo]] / Tabela3[[#This Row],[Qtde Cx Produzida]], 0),0)</f>
        <v>5.0892857142857146E-3</v>
      </c>
      <c r="P298" s="57">
        <f>IFERROR(Tabela3[[#This Row],[Perda Pçs]]/Tabela3[[#This Row],[Qdt Peça Placa]],0)</f>
        <v>8.75</v>
      </c>
      <c r="Q298" s="37">
        <f>IFERROR(Tabela3[[#This Row],[Realizado]]*Tabela3[[#This Row],[Peso Util/Pç]],0)</f>
        <v>73.5</v>
      </c>
      <c r="R298" s="37">
        <f>IFERROR(Tabela3[[#This Row],[Peso Total Galho]]*Tabela3[[#This Row],[Qtde Cx Produzida]]*1.055,0)</f>
        <v>169.85499999999999</v>
      </c>
      <c r="S298" s="37">
        <f>(Tabela3[[#This Row],[Aluminio Bruto]]-Tabela3[[#This Row],[Aluminio Util]])*0.9</f>
        <v>86.719499999999996</v>
      </c>
      <c r="T298" s="37">
        <f>Tabela3[[#This Row],[Aluminio Bruto]]/OleoKGAluminio</f>
        <v>71.457778879594983</v>
      </c>
      <c r="U298" s="35">
        <f>IFERROR((VLOOKUP(Tabela3[[#This Row],[Moldador]],Tabela1[],5,)+(VLOOKUP(Tabela3[[#This Row],[Ajudante]],Tabela1[],5,))*3.5),0)</f>
        <v>99.95034583333333</v>
      </c>
      <c r="V298" s="35">
        <f>IFERROR(Tabela3[[#This Row],[Custo M.O. / H]]/((Tabela3[[#This Row],[Realizado]]/Tabela3[[#This Row],[Qdt Peça Placa]])/Tabela3[[#This Row],[Tempo]]/24),)</f>
        <v>13.952252357142855</v>
      </c>
      <c r="W298" s="35">
        <f>Tabela3[[#This Row],[Custo / Cx Moldada]]*Tabela3[[#This Row],[Qtde Cx Produzida]]</f>
        <v>976.65766499999984</v>
      </c>
      <c r="X298" s="35">
        <f ca="1">Tabela3[[#This Row],[Aluminio Util]]*Tabela3[[#This Row],[Custo/Kg]]</f>
        <v>1146.6000000000001</v>
      </c>
      <c r="Y298" s="35">
        <f>IFERROR(VLOOKUP(Tabela3[[#This Row],[Data]],Tabela461213[],2,1)*(Tabela3[[#This Row],[Qtde Cx Produzida]]*Tabela3[[#This Row],[Qde macho / CX]]*Tabela3[[#This Row],[Peso Macho]]),)</f>
        <v>0</v>
      </c>
      <c r="Z298" s="35">
        <f>IFERROR(Tabela3[[#This Row],[Qtde Oleo]]*(VLOOKUP(Tabela3[[#This Row],[Data]],CompraOleo[],3,TRUE))*1.05,0)</f>
        <v>187.57666955893683</v>
      </c>
      <c r="AA298" s="47">
        <f ca="1">(Tabela3[[#This Row],[Custo Oleo]]+Tabela3[[#This Row],[Custo Aluminio]]+Tabela3[[#This Row],[Custo M.O. Total]]+Tabela3[[#This Row],[Custo Machos]])</f>
        <v>2310.8343345589369</v>
      </c>
      <c r="AB298" s="47">
        <f ca="1">Tabela3[[#This Row],[Custo Total]]*Tabela3[[#This Row],[% Perda]]</f>
        <v>288.85429181986711</v>
      </c>
      <c r="AC298" s="48">
        <f>IFERROR(VLOOKUP(Tabela3[[#This Row],[Produto]],Tabela2[],2,0),0)</f>
        <v>4</v>
      </c>
      <c r="AD298" s="48">
        <f>IFERROR(VLOOKUP(Tabela3[[#This Row],[Produto]],Tabela2[],3,0),0)</f>
        <v>0.3</v>
      </c>
      <c r="AE298" s="48">
        <f>IFERROR(VLOOKUP(Tabela3[[#This Row],[Produto]],Tabela2[],4,0),0)</f>
        <v>2.2999999999999998</v>
      </c>
      <c r="AF298" s="48">
        <f>IFERROR(VLOOKUP(Tabela3[[#This Row],[Produto]],Tabela2[],5,0),0)</f>
        <v>0.98999999999999988</v>
      </c>
      <c r="AG298" s="40">
        <f>IFERROR(VLOOKUP(Tabela3[[#This Row],[Produto]],Tabela2[],6,0),0)</f>
        <v>0</v>
      </c>
      <c r="AH298" s="40">
        <f>IFERROR(VLOOKUP(Tabela3[[#This Row],[Produto]],Tabela2[],7,0),0)</f>
        <v>0</v>
      </c>
      <c r="AI298" s="40">
        <f>IFERROR(VLOOKUP(Tabela3[[#This Row],[Produto]],Tabela2[],8,0),0)</f>
        <v>0</v>
      </c>
      <c r="AJ298" s="35">
        <f ca="1">IFERROR(VLOOKUP(Tabela3[[#This Row],[Produto]],Tabela2[],13,0),0)</f>
        <v>15.600000000000001</v>
      </c>
      <c r="AK298" s="40" t="str">
        <f>IFERROR(VLOOKUP(Tabela3[[#This Row],[Produto]],Tabela2[],14,0),0)</f>
        <v>Senun</v>
      </c>
      <c r="AL298" s="40">
        <f>IFERROR(VLOOKUP(Tabela3[[#This Row],[Produto]],Tabela2[],15,0),0)</f>
        <v>3.5</v>
      </c>
      <c r="AM298" s="36">
        <f ca="1">(Tabela3[[#This Row],[Custo Usinagem]]+Tabela3[[#This Row],[Custo / Pç]])*1.2</f>
        <v>15.518372250900915</v>
      </c>
      <c r="AN298" s="36">
        <f ca="1">Tabela3[[#This Row],[Valor Mínimo Venda]]*1.15</f>
        <v>17.846128088536052</v>
      </c>
      <c r="AO298" s="36">
        <f ca="1">Tabela3[[#This Row],[Tabela 1]]*1.08</f>
        <v>19.273818335618937</v>
      </c>
      <c r="AP298" s="36">
        <f ca="1">Tabela3[[#This Row],[Tabela 2]]*1.15</f>
        <v>22.164891085961777</v>
      </c>
    </row>
    <row r="299" spans="1:42">
      <c r="A299" s="9">
        <v>45807</v>
      </c>
      <c r="B299" s="6" t="s">
        <v>221</v>
      </c>
      <c r="C299" s="14">
        <v>6507</v>
      </c>
      <c r="D299" s="6" t="s">
        <v>46</v>
      </c>
      <c r="E299" s="6" t="s">
        <v>53</v>
      </c>
      <c r="F299" s="6">
        <v>14</v>
      </c>
      <c r="G299" s="15">
        <v>6.458333333333334E-2</v>
      </c>
      <c r="H299" s="16">
        <v>0</v>
      </c>
      <c r="I299" s="35">
        <f ca="1">IFERROR(Tabela3[[#This Row],[Custo Total]]/Tabela3[[#This Row],[Aluminio Util]],0)</f>
        <v>23.388055280417106</v>
      </c>
      <c r="J299" s="35">
        <f ca="1">Tabela3[[#This Row],[Custo Total]]/Tabela3[[#This Row],[Realizado]]</f>
        <v>2.9702830206129724</v>
      </c>
      <c r="K299" s="37">
        <f>IFERROR(Tabela3[[#This Row],[Qtde Cx Produzida]]/Tabela3[[#This Row],[Tempo]]/24,0)</f>
        <v>9.0322580645161281</v>
      </c>
      <c r="L299" s="37">
        <f>Tabela3[[#This Row],[Qtde Cx Produzida]]*Tabela3[[#This Row],[Qdt Peça Placa]]</f>
        <v>252</v>
      </c>
      <c r="M299" s="37">
        <f>Tabela3[[#This Row],[Previsto]]-Tabela3[[#This Row],[Perda Pçs]]</f>
        <v>252</v>
      </c>
      <c r="N299" s="38">
        <f>IFERROR(Tabela3[[#This Row],[Perda Pçs]]/Tabela3[[#This Row],[Previsto]],0)</f>
        <v>0</v>
      </c>
      <c r="O299" s="39">
        <f>IFERROR(IF(Tabela3[[#This Row],[Qtde Cx Produzida]] &lt;&gt; 0, Tabela3[[#This Row],[Tempo]] / Tabela3[[#This Row],[Qtde Cx Produzida]], 0),0)</f>
        <v>4.6130952380952382E-3</v>
      </c>
      <c r="P299" s="57">
        <f>IFERROR(Tabela3[[#This Row],[Perda Pçs]]/Tabela3[[#This Row],[Qdt Peça Placa]],0)</f>
        <v>0</v>
      </c>
      <c r="Q299" s="37">
        <f>IFERROR(Tabela3[[#This Row],[Realizado]]*Tabela3[[#This Row],[Peso Util/Pç]],0)</f>
        <v>32.003999999999998</v>
      </c>
      <c r="R299" s="37">
        <f>IFERROR(Tabela3[[#This Row],[Peso Total Galho]]*Tabela3[[#This Row],[Qtde Cx Produzida]]*1.055,0)</f>
        <v>57.307599999999994</v>
      </c>
      <c r="S299" s="37">
        <f>(Tabela3[[#This Row],[Aluminio Bruto]]-Tabela3[[#This Row],[Aluminio Util]])*0.9</f>
        <v>22.773239999999998</v>
      </c>
      <c r="T299" s="37">
        <f>Tabela3[[#This Row],[Aluminio Bruto]]/OleoKGAluminio</f>
        <v>24.109233221985086</v>
      </c>
      <c r="U299" s="35">
        <f>IFERROR((VLOOKUP(Tabela3[[#This Row],[Moldador]],Tabela1[],5,)+(VLOOKUP(Tabela3[[#This Row],[Ajudante]],Tabela1[],5,))*3.5),0)</f>
        <v>99.95034583333333</v>
      </c>
      <c r="V299" s="35">
        <f>IFERROR(Tabela3[[#This Row],[Custo M.O. / H]]/((Tabela3[[#This Row],[Realizado]]/Tabela3[[#This Row],[Qdt Peça Placa]])/Tabela3[[#This Row],[Tempo]]/24),)</f>
        <v>11.065931145833334</v>
      </c>
      <c r="W299" s="35">
        <f>Tabela3[[#This Row],[Custo / Cx Moldada]]*Tabela3[[#This Row],[Qtde Cx Produzida]]</f>
        <v>154.92303604166668</v>
      </c>
      <c r="X299" s="35">
        <f ca="1">Tabela3[[#This Row],[Aluminio Util]]*Tabela3[[#This Row],[Custo/Kg]]</f>
        <v>530.30154794509144</v>
      </c>
      <c r="Y299" s="35">
        <f>IFERROR(VLOOKUP(Tabela3[[#This Row],[Data]],Tabela461213[],2,1)*(Tabela3[[#This Row],[Qtde Cx Produzida]]*Tabela3[[#This Row],[Qde macho / CX]]*Tabela3[[#This Row],[Peso Macho]]),)</f>
        <v>0</v>
      </c>
      <c r="Z299" s="35">
        <f>IFERROR(Tabela3[[#This Row],[Qtde Oleo]]*(VLOOKUP(Tabela3[[#This Row],[Data]],CompraOleo[],3,TRUE))*1.05,0)</f>
        <v>63.28673720771085</v>
      </c>
      <c r="AA299" s="47">
        <f ca="1">(Tabela3[[#This Row],[Custo Oleo]]+Tabela3[[#This Row],[Custo Aluminio]]+Tabela3[[#This Row],[Custo M.O. Total]]+Tabela3[[#This Row],[Custo Machos]])</f>
        <v>748.51132119446902</v>
      </c>
      <c r="AB299" s="47">
        <f ca="1">Tabela3[[#This Row],[Custo Total]]*Tabela3[[#This Row],[% Perda]]</f>
        <v>0</v>
      </c>
      <c r="AC299" s="48">
        <f>IFERROR(VLOOKUP(Tabela3[[#This Row],[Produto]],Tabela2[],2,0),0)</f>
        <v>18</v>
      </c>
      <c r="AD299" s="48">
        <f>IFERROR(VLOOKUP(Tabela3[[#This Row],[Produto]],Tabela2[],3,0),0)</f>
        <v>0.127</v>
      </c>
      <c r="AE299" s="48">
        <f>IFERROR(VLOOKUP(Tabela3[[#This Row],[Produto]],Tabela2[],4,0),0)</f>
        <v>3.88</v>
      </c>
      <c r="AF299" s="48">
        <f>IFERROR(VLOOKUP(Tabela3[[#This Row],[Produto]],Tabela2[],5,0),0)</f>
        <v>1.4345999999999999</v>
      </c>
      <c r="AG299" s="40">
        <f>IFERROR(VLOOKUP(Tabela3[[#This Row],[Produto]],Tabela2[],6,0),0)</f>
        <v>0</v>
      </c>
      <c r="AH299" s="40">
        <f>IFERROR(VLOOKUP(Tabela3[[#This Row],[Produto]],Tabela2[],7,0),0)</f>
        <v>0</v>
      </c>
      <c r="AI299" s="40">
        <f>IFERROR(VLOOKUP(Tabela3[[#This Row],[Produto]],Tabela2[],8,0),0)</f>
        <v>0</v>
      </c>
      <c r="AJ299" s="35">
        <f ca="1">IFERROR(VLOOKUP(Tabela3[[#This Row],[Produto]],Tabela2[],13,0),0)</f>
        <v>16.569852141766386</v>
      </c>
      <c r="AK299" s="40" t="str">
        <f>IFERROR(VLOOKUP(Tabela3[[#This Row],[Produto]],Tabela2[],14,0),0)</f>
        <v>Marcelo</v>
      </c>
      <c r="AL299" s="40">
        <f>IFERROR(VLOOKUP(Tabela3[[#This Row],[Produto]],Tabela2[],15,0),0)</f>
        <v>0</v>
      </c>
      <c r="AM299" s="36">
        <f ca="1">(Tabela3[[#This Row],[Custo Usinagem]]+Tabela3[[#This Row],[Custo / Pç]])*1.2</f>
        <v>3.5643396247355668</v>
      </c>
      <c r="AN299" s="36">
        <f ca="1">Tabela3[[#This Row],[Valor Mínimo Venda]]*1.15</f>
        <v>4.0989905684459016</v>
      </c>
      <c r="AO299" s="36">
        <f ca="1">Tabela3[[#This Row],[Tabela 1]]*1.08</f>
        <v>4.4269098139215739</v>
      </c>
      <c r="AP299" s="36">
        <f ca="1">Tabela3[[#This Row],[Tabela 2]]*1.15</f>
        <v>5.0909462860098094</v>
      </c>
    </row>
    <row r="300" spans="1:42">
      <c r="A300" s="9">
        <v>45807</v>
      </c>
      <c r="B300" s="6" t="s">
        <v>232</v>
      </c>
      <c r="C300" s="14">
        <v>6605</v>
      </c>
      <c r="D300" s="6" t="s">
        <v>46</v>
      </c>
      <c r="E300" s="6" t="s">
        <v>53</v>
      </c>
      <c r="F300" s="6">
        <v>57</v>
      </c>
      <c r="G300" s="15">
        <v>0.28125</v>
      </c>
      <c r="H300" s="16">
        <v>0</v>
      </c>
      <c r="I300" s="35">
        <f ca="1">IFERROR(Tabela3[[#This Row],[Custo Total]]/Tabela3[[#This Row],[Aluminio Util]],0)</f>
        <v>26.853621297936751</v>
      </c>
      <c r="J300" s="35">
        <f ca="1">Tabela3[[#This Row],[Custo Total]]/Tabela3[[#This Row],[Realizado]]</f>
        <v>11.305374566431373</v>
      </c>
      <c r="K300" s="37">
        <f>IFERROR(Tabela3[[#This Row],[Qtde Cx Produzida]]/Tabela3[[#This Row],[Tempo]]/24,0)</f>
        <v>8.4444444444444446</v>
      </c>
      <c r="L300" s="37">
        <f>Tabela3[[#This Row],[Qtde Cx Produzida]]*Tabela3[[#This Row],[Qdt Peça Placa]]</f>
        <v>228</v>
      </c>
      <c r="M300" s="37">
        <f>Tabela3[[#This Row],[Previsto]]-Tabela3[[#This Row],[Perda Pçs]]</f>
        <v>228</v>
      </c>
      <c r="N300" s="38">
        <f>IFERROR(Tabela3[[#This Row],[Perda Pçs]]/Tabela3[[#This Row],[Previsto]],0)</f>
        <v>0</v>
      </c>
      <c r="O300" s="39">
        <f>IFERROR(IF(Tabela3[[#This Row],[Qtde Cx Produzida]] &lt;&gt; 0, Tabela3[[#This Row],[Tempo]] / Tabela3[[#This Row],[Qtde Cx Produzida]], 0),0)</f>
        <v>4.9342105263157892E-3</v>
      </c>
      <c r="P300" s="57">
        <f>IFERROR(Tabela3[[#This Row],[Perda Pçs]]/Tabela3[[#This Row],[Qdt Peça Placa]],0)</f>
        <v>0</v>
      </c>
      <c r="Q300" s="37">
        <f>IFERROR(Tabela3[[#This Row],[Realizado]]*Tabela3[[#This Row],[Peso Util/Pç]],0)</f>
        <v>95.988</v>
      </c>
      <c r="R300" s="37">
        <f>IFERROR(Tabela3[[#This Row],[Peso Total Galho]]*Tabela3[[#This Row],[Qtde Cx Produzida]]*1.055,0)</f>
        <v>193.39416</v>
      </c>
      <c r="S300" s="37">
        <f>(Tabela3[[#This Row],[Aluminio Bruto]]-Tabela3[[#This Row],[Aluminio Util]])*0.9</f>
        <v>87.665543999999997</v>
      </c>
      <c r="T300" s="37">
        <f>Tabela3[[#This Row],[Aluminio Bruto]]/OleoKGAluminio</f>
        <v>81.360673055753509</v>
      </c>
      <c r="U300" s="35">
        <f>IFERROR((VLOOKUP(Tabela3[[#This Row],[Moldador]],Tabela1[],5,)+(VLOOKUP(Tabela3[[#This Row],[Ajudante]],Tabela1[],5,))*3.5),0)</f>
        <v>99.95034583333333</v>
      </c>
      <c r="V300" s="35">
        <f>IFERROR(Tabela3[[#This Row],[Custo M.O. / H]]/((Tabela3[[#This Row],[Realizado]]/Tabela3[[#This Row],[Qdt Peça Placa]])/Tabela3[[#This Row],[Tempo]]/24),)</f>
        <v>11.836225164473683</v>
      </c>
      <c r="W300" s="35">
        <f>Tabela3[[#This Row],[Custo / Cx Moldada]]*Tabela3[[#This Row],[Qtde Cx Produzida]]</f>
        <v>674.66483437499994</v>
      </c>
      <c r="X300" s="35">
        <f ca="1">Tabela3[[#This Row],[Aluminio Util]]*Tabela3[[#This Row],[Custo/Kg]]</f>
        <v>1689.3888000000002</v>
      </c>
      <c r="Y300" s="35">
        <f>IFERROR(VLOOKUP(Tabela3[[#This Row],[Data]],Tabela461213[],2,1)*(Tabela3[[#This Row],[Qtde Cx Produzida]]*Tabela3[[#This Row],[Qde macho / CX]]*Tabela3[[#This Row],[Peso Macho]]),)</f>
        <v>0</v>
      </c>
      <c r="Z300" s="35">
        <f>IFERROR(Tabela3[[#This Row],[Qtde Oleo]]*(VLOOKUP(Tabela3[[#This Row],[Data]],CompraOleo[],3,TRUE))*1.05,0)</f>
        <v>213.57176677135297</v>
      </c>
      <c r="AA300" s="47">
        <f ca="1">(Tabela3[[#This Row],[Custo Oleo]]+Tabela3[[#This Row],[Custo Aluminio]]+Tabela3[[#This Row],[Custo M.O. Total]]+Tabela3[[#This Row],[Custo Machos]])</f>
        <v>2577.6254011463529</v>
      </c>
      <c r="AB300" s="47">
        <f ca="1">Tabela3[[#This Row],[Custo Total]]*Tabela3[[#This Row],[% Perda]]</f>
        <v>0</v>
      </c>
      <c r="AC300" s="48">
        <f>IFERROR(VLOOKUP(Tabela3[[#This Row],[Produto]],Tabela2[],2,0),0)</f>
        <v>4</v>
      </c>
      <c r="AD300" s="48">
        <f>IFERROR(VLOOKUP(Tabela3[[#This Row],[Produto]],Tabela2[],3,0),0)</f>
        <v>0.42099999999999999</v>
      </c>
      <c r="AE300" s="48">
        <f>IFERROR(VLOOKUP(Tabela3[[#This Row],[Produto]],Tabela2[],4,0),0)</f>
        <v>3.2160000000000002</v>
      </c>
      <c r="AF300" s="48">
        <f>IFERROR(VLOOKUP(Tabela3[[#This Row],[Produto]],Tabela2[],5,0),0)</f>
        <v>1.3788000000000002</v>
      </c>
      <c r="AG300" s="40">
        <f>IFERROR(VLOOKUP(Tabela3[[#This Row],[Produto]],Tabela2[],6,0),0)</f>
        <v>0</v>
      </c>
      <c r="AH300" s="40">
        <f>IFERROR(VLOOKUP(Tabela3[[#This Row],[Produto]],Tabela2[],7,0),0)</f>
        <v>0</v>
      </c>
      <c r="AI300" s="40">
        <f>IFERROR(VLOOKUP(Tabela3[[#This Row],[Produto]],Tabela2[],8,0),0)</f>
        <v>0</v>
      </c>
      <c r="AJ300" s="35">
        <f ca="1">IFERROR(VLOOKUP(Tabela3[[#This Row],[Produto]],Tabela2[],13,0),0)</f>
        <v>17.600000000000001</v>
      </c>
      <c r="AK300" s="40" t="str">
        <f>IFERROR(VLOOKUP(Tabela3[[#This Row],[Produto]],Tabela2[],14,0),0)</f>
        <v>Busa</v>
      </c>
      <c r="AL300" s="40">
        <f>IFERROR(VLOOKUP(Tabela3[[#This Row],[Produto]],Tabela2[],15,0),0)</f>
        <v>0.5</v>
      </c>
      <c r="AM300" s="36">
        <f ca="1">(Tabela3[[#This Row],[Custo Usinagem]]+Tabela3[[#This Row],[Custo / Pç]])*1.2</f>
        <v>14.166449479717647</v>
      </c>
      <c r="AN300" s="36">
        <f ca="1">Tabela3[[#This Row],[Valor Mínimo Venda]]*1.15</f>
        <v>16.291416901675294</v>
      </c>
      <c r="AO300" s="36">
        <f ca="1">Tabela3[[#This Row],[Tabela 1]]*1.08</f>
        <v>17.59473025380932</v>
      </c>
      <c r="AP300" s="36">
        <f ca="1">Tabela3[[#This Row],[Tabela 2]]*1.15</f>
        <v>20.233939791880719</v>
      </c>
    </row>
    <row r="301" spans="1:42">
      <c r="A301" s="9">
        <v>45807</v>
      </c>
      <c r="B301" s="6" t="s">
        <v>199</v>
      </c>
      <c r="C301" s="14">
        <v>6806</v>
      </c>
      <c r="D301" s="6" t="s">
        <v>44</v>
      </c>
      <c r="E301" s="6" t="s">
        <v>47</v>
      </c>
      <c r="F301" s="6">
        <v>4</v>
      </c>
      <c r="G301" s="15">
        <v>7.1527777777777773E-2</v>
      </c>
      <c r="H301" s="16">
        <v>0</v>
      </c>
      <c r="I301" s="35">
        <f ca="1">IFERROR(Tabela3[[#This Row],[Custo Total]]/Tabela3[[#This Row],[Aluminio Util]],0)</f>
        <v>32.700440434494951</v>
      </c>
      <c r="J301" s="35">
        <f ca="1">Tabela3[[#This Row],[Custo Total]]/Tabela3[[#This Row],[Realizado]]</f>
        <v>102.3523785599692</v>
      </c>
      <c r="K301" s="37">
        <f>IFERROR(Tabela3[[#This Row],[Qtde Cx Produzida]]/Tabela3[[#This Row],[Tempo]]/24,0)</f>
        <v>2.3300970873786411</v>
      </c>
      <c r="L301" s="37">
        <f>Tabela3[[#This Row],[Qtde Cx Produzida]]*Tabela3[[#This Row],[Qdt Peça Placa]]</f>
        <v>4</v>
      </c>
      <c r="M301" s="37">
        <f>Tabela3[[#This Row],[Previsto]]-Tabela3[[#This Row],[Perda Pçs]]</f>
        <v>4</v>
      </c>
      <c r="N301" s="38">
        <f>IFERROR(Tabela3[[#This Row],[Perda Pçs]]/Tabela3[[#This Row],[Previsto]],0)</f>
        <v>0</v>
      </c>
      <c r="O301" s="39">
        <f>IFERROR(IF(Tabela3[[#This Row],[Qtde Cx Produzida]] &lt;&gt; 0, Tabela3[[#This Row],[Tempo]] / Tabela3[[#This Row],[Qtde Cx Produzida]], 0),0)</f>
        <v>1.7881944444444443E-2</v>
      </c>
      <c r="P301" s="57">
        <f>IFERROR(Tabela3[[#This Row],[Perda Pçs]]/Tabela3[[#This Row],[Qdt Peça Placa]],0)</f>
        <v>0</v>
      </c>
      <c r="Q301" s="37">
        <f>IFERROR(Tabela3[[#This Row],[Realizado]]*Tabela3[[#This Row],[Peso Util/Pç]],0)</f>
        <v>12.52</v>
      </c>
      <c r="R301" s="37">
        <f>IFERROR(Tabela3[[#This Row],[Peso Total Galho]]*Tabela3[[#This Row],[Qtde Cx Produzida]]*1.055,0)</f>
        <v>15.824999999999999</v>
      </c>
      <c r="S301" s="37">
        <f>(Tabela3[[#This Row],[Aluminio Bruto]]-Tabela3[[#This Row],[Aluminio Util]])*0.9</f>
        <v>2.9744999999999999</v>
      </c>
      <c r="T301" s="37">
        <f>Tabela3[[#This Row],[Aluminio Bruto]]/OleoKGAluminio</f>
        <v>6.6575570384715821</v>
      </c>
      <c r="U301" s="35">
        <f>IFERROR((VLOOKUP(Tabela3[[#This Row],[Moldador]],Tabela1[],5,)+(VLOOKUP(Tabela3[[#This Row],[Ajudante]],Tabela1[],5,))*3.5),0)</f>
        <v>99.95034583333333</v>
      </c>
      <c r="V301" s="35">
        <f>IFERROR(Tabela3[[#This Row],[Custo M.O. / H]]/((Tabela3[[#This Row],[Realizado]]/Tabela3[[#This Row],[Qdt Peça Placa]])/Tabela3[[#This Row],[Tempo]]/24),)</f>
        <v>42.895356753472214</v>
      </c>
      <c r="W301" s="35">
        <f>Tabela3[[#This Row],[Custo / Cx Moldada]]*Tabela3[[#This Row],[Qtde Cx Produzida]]</f>
        <v>171.58142701388886</v>
      </c>
      <c r="X301" s="35">
        <f ca="1">Tabela3[[#This Row],[Aluminio Util]]*Tabela3[[#This Row],[Custo/Kg]]</f>
        <v>220.352</v>
      </c>
      <c r="Y301" s="35">
        <f>IFERROR(VLOOKUP(Tabela3[[#This Row],[Data]],Tabela461213[],2,1)*(Tabela3[[#This Row],[Qtde Cx Produzida]]*Tabela3[[#This Row],[Qde macho / CX]]*Tabela3[[#This Row],[Peso Macho]]),)</f>
        <v>0</v>
      </c>
      <c r="Z301" s="35">
        <f>IFERROR(Tabela3[[#This Row],[Qtde Oleo]]*(VLOOKUP(Tabela3[[#This Row],[Data]],CompraOleo[],3,TRUE))*1.05,0)</f>
        <v>17.476087225987904</v>
      </c>
      <c r="AA301" s="47">
        <f ca="1">(Tabela3[[#This Row],[Custo Oleo]]+Tabela3[[#This Row],[Custo Aluminio]]+Tabela3[[#This Row],[Custo M.O. Total]]+Tabela3[[#This Row],[Custo Machos]])</f>
        <v>409.40951423987678</v>
      </c>
      <c r="AB301" s="47">
        <f ca="1">Tabela3[[#This Row],[Custo Total]]*Tabela3[[#This Row],[% Perda]]</f>
        <v>0</v>
      </c>
      <c r="AC301" s="48">
        <f>IFERROR(VLOOKUP(Tabela3[[#This Row],[Produto]],Tabela2[],2,0),0)</f>
        <v>1</v>
      </c>
      <c r="AD301" s="48">
        <f>IFERROR(VLOOKUP(Tabela3[[#This Row],[Produto]],Tabela2[],3,0),0)</f>
        <v>3.13</v>
      </c>
      <c r="AE301" s="48">
        <f>IFERROR(VLOOKUP(Tabela3[[#This Row],[Produto]],Tabela2[],4,0),0)</f>
        <v>3.75</v>
      </c>
      <c r="AF301" s="48">
        <f>IFERROR(VLOOKUP(Tabela3[[#This Row],[Produto]],Tabela2[],5,0),0)</f>
        <v>0.55800000000000016</v>
      </c>
      <c r="AG301" s="40">
        <f>IFERROR(VLOOKUP(Tabela3[[#This Row],[Produto]],Tabela2[],6,0),0)</f>
        <v>0</v>
      </c>
      <c r="AH301" s="40">
        <f>IFERROR(VLOOKUP(Tabela3[[#This Row],[Produto]],Tabela2[],7,0),0)</f>
        <v>0</v>
      </c>
      <c r="AI301" s="40">
        <f>IFERROR(VLOOKUP(Tabela3[[#This Row],[Produto]],Tabela2[],8,0),0)</f>
        <v>0</v>
      </c>
      <c r="AJ301" s="35">
        <f ca="1">IFERROR(VLOOKUP(Tabela3[[#This Row],[Produto]],Tabela2[],13,0),0)</f>
        <v>17.600000000000001</v>
      </c>
      <c r="AK301" s="40" t="str">
        <f>IFERROR(VLOOKUP(Tabela3[[#This Row],[Produto]],Tabela2[],14,0),0)</f>
        <v>Oscar</v>
      </c>
      <c r="AL301" s="40">
        <f>IFERROR(VLOOKUP(Tabela3[[#This Row],[Produto]],Tabela2[],15,0),0)</f>
        <v>0</v>
      </c>
      <c r="AM301" s="36">
        <f ca="1">(Tabela3[[#This Row],[Custo Usinagem]]+Tabela3[[#This Row],[Custo / Pç]])*1.2</f>
        <v>122.82285427196302</v>
      </c>
      <c r="AN301" s="36">
        <f ca="1">Tabela3[[#This Row],[Valor Mínimo Venda]]*1.15</f>
        <v>141.24628241275747</v>
      </c>
      <c r="AO301" s="36">
        <f ca="1">Tabela3[[#This Row],[Tabela 1]]*1.08</f>
        <v>152.54598500577808</v>
      </c>
      <c r="AP301" s="36">
        <f ca="1">Tabela3[[#This Row],[Tabela 2]]*1.15</f>
        <v>175.42788275664478</v>
      </c>
    </row>
    <row r="302" spans="1:42">
      <c r="A302" s="9">
        <v>45807</v>
      </c>
      <c r="B302" s="6" t="s">
        <v>227</v>
      </c>
      <c r="C302" s="14">
        <v>6742</v>
      </c>
      <c r="D302" s="6" t="s">
        <v>44</v>
      </c>
      <c r="E302" s="6" t="s">
        <v>47</v>
      </c>
      <c r="F302" s="6">
        <v>2</v>
      </c>
      <c r="G302" s="15">
        <v>2.9166666666666667E-2</v>
      </c>
      <c r="H302" s="16">
        <v>0</v>
      </c>
      <c r="I302" s="35">
        <f ca="1">IFERROR(Tabela3[[#This Row],[Custo Total]]/Tabela3[[#This Row],[Aluminio Util]],0)</f>
        <v>20.147026778218887</v>
      </c>
      <c r="J302" s="35">
        <f ca="1">Tabela3[[#This Row],[Custo Total]]/Tabela3[[#This Row],[Realizado]]</f>
        <v>543.96972301190999</v>
      </c>
      <c r="K302" s="37">
        <f>IFERROR(Tabela3[[#This Row],[Qtde Cx Produzida]]/Tabela3[[#This Row],[Tempo]]/24,0)</f>
        <v>2.8571428571428572</v>
      </c>
      <c r="L302" s="37">
        <f>Tabela3[[#This Row],[Qtde Cx Produzida]]*Tabela3[[#This Row],[Qdt Peça Placa]]</f>
        <v>2</v>
      </c>
      <c r="M302" s="37">
        <f>Tabela3[[#This Row],[Previsto]]-Tabela3[[#This Row],[Perda Pçs]]</f>
        <v>2</v>
      </c>
      <c r="N302" s="38">
        <f>IFERROR(Tabela3[[#This Row],[Perda Pçs]]/Tabela3[[#This Row],[Previsto]],0)</f>
        <v>0</v>
      </c>
      <c r="O302" s="39">
        <f>IFERROR(IF(Tabela3[[#This Row],[Qtde Cx Produzida]] &lt;&gt; 0, Tabela3[[#This Row],[Tempo]] / Tabela3[[#This Row],[Qtde Cx Produzida]], 0),0)</f>
        <v>1.4583333333333334E-2</v>
      </c>
      <c r="P302" s="57">
        <f>IFERROR(Tabela3[[#This Row],[Perda Pçs]]/Tabela3[[#This Row],[Qdt Peça Placa]],0)</f>
        <v>0</v>
      </c>
      <c r="Q302" s="37">
        <f>IFERROR(Tabela3[[#This Row],[Realizado]]*Tabela3[[#This Row],[Peso Util/Pç]],0)</f>
        <v>54</v>
      </c>
      <c r="R302" s="37">
        <f>IFERROR(Tabela3[[#This Row],[Peso Total Galho]]*Tabela3[[#This Row],[Qtde Cx Produzida]]*1.055,0)</f>
        <v>61.19</v>
      </c>
      <c r="S302" s="37">
        <f>(Tabela3[[#This Row],[Aluminio Bruto]]-Tabela3[[#This Row],[Aluminio Util]])*0.9</f>
        <v>6.4709999999999983</v>
      </c>
      <c r="T302" s="37">
        <f>Tabela3[[#This Row],[Aluminio Bruto]]/OleoKGAluminio</f>
        <v>25.742553882090117</v>
      </c>
      <c r="U302" s="35">
        <f>IFERROR((VLOOKUP(Tabela3[[#This Row],[Moldador]],Tabela1[],5,)+(VLOOKUP(Tabela3[[#This Row],[Ajudante]],Tabela1[],5,))*3.5),0)</f>
        <v>99.95034583333333</v>
      </c>
      <c r="V302" s="35">
        <f>IFERROR(Tabela3[[#This Row],[Custo M.O. / H]]/((Tabela3[[#This Row],[Realizado]]/Tabela3[[#This Row],[Qdt Peça Placa]])/Tabela3[[#This Row],[Tempo]]/24),)</f>
        <v>34.982621041666661</v>
      </c>
      <c r="W302" s="35">
        <f>Tabela3[[#This Row],[Custo / Cx Moldada]]*Tabela3[[#This Row],[Qtde Cx Produzida]]</f>
        <v>69.965242083333322</v>
      </c>
      <c r="X302" s="35">
        <f ca="1">Tabela3[[#This Row],[Aluminio Util]]*Tabela3[[#This Row],[Custo/Kg]]</f>
        <v>950.40000000000009</v>
      </c>
      <c r="Y302" s="35">
        <f>IFERROR(VLOOKUP(Tabela3[[#This Row],[Data]],Tabela461213[],2,1)*(Tabela3[[#This Row],[Qtde Cx Produzida]]*Tabela3[[#This Row],[Qde macho / CX]]*Tabela3[[#This Row],[Peso Macho]]),)</f>
        <v>0</v>
      </c>
      <c r="Z302" s="35">
        <f>IFERROR(Tabela3[[#This Row],[Qtde Oleo]]*(VLOOKUP(Tabela3[[#This Row],[Data]],CompraOleo[],3,TRUE))*1.05,0)</f>
        <v>67.574203940486569</v>
      </c>
      <c r="AA302" s="47">
        <f ca="1">(Tabela3[[#This Row],[Custo Oleo]]+Tabela3[[#This Row],[Custo Aluminio]]+Tabela3[[#This Row],[Custo M.O. Total]]+Tabela3[[#This Row],[Custo Machos]])</f>
        <v>1087.93944602382</v>
      </c>
      <c r="AB302" s="47">
        <f ca="1">Tabela3[[#This Row],[Custo Total]]*Tabela3[[#This Row],[% Perda]]</f>
        <v>0</v>
      </c>
      <c r="AC302" s="48">
        <f>IFERROR(VLOOKUP(Tabela3[[#This Row],[Produto]],Tabela2[],2,0),0)</f>
        <v>1</v>
      </c>
      <c r="AD302" s="48">
        <f>IFERROR(VLOOKUP(Tabela3[[#This Row],[Produto]],Tabela2[],3,0),0)</f>
        <v>27</v>
      </c>
      <c r="AE302" s="48">
        <f>IFERROR(VLOOKUP(Tabela3[[#This Row],[Produto]],Tabela2[],4,0),0)</f>
        <v>29</v>
      </c>
      <c r="AF302" s="48">
        <f>IFERROR(VLOOKUP(Tabela3[[#This Row],[Produto]],Tabela2[],5,0),0)</f>
        <v>1.8</v>
      </c>
      <c r="AG302" s="40">
        <f>IFERROR(VLOOKUP(Tabela3[[#This Row],[Produto]],Tabela2[],6,0),0)</f>
        <v>0</v>
      </c>
      <c r="AH302" s="40">
        <f>IFERROR(VLOOKUP(Tabela3[[#This Row],[Produto]],Tabela2[],7,0),0)</f>
        <v>0</v>
      </c>
      <c r="AI302" s="40">
        <f>IFERROR(VLOOKUP(Tabela3[[#This Row],[Produto]],Tabela2[],8,0),0)</f>
        <v>0</v>
      </c>
      <c r="AJ302" s="35">
        <f ca="1">IFERROR(VLOOKUP(Tabela3[[#This Row],[Produto]],Tabela2[],13,0),0)</f>
        <v>17.600000000000001</v>
      </c>
      <c r="AK302" s="40" t="str">
        <f>IFERROR(VLOOKUP(Tabela3[[#This Row],[Produto]],Tabela2[],14,0),0)</f>
        <v>Oscar</v>
      </c>
      <c r="AL302" s="40">
        <f>IFERROR(VLOOKUP(Tabela3[[#This Row],[Produto]],Tabela2[],15,0),0)</f>
        <v>0</v>
      </c>
      <c r="AM302" s="36">
        <f ca="1">(Tabela3[[#This Row],[Custo Usinagem]]+Tabela3[[#This Row],[Custo / Pç]])*1.2</f>
        <v>652.76366761429199</v>
      </c>
      <c r="AN302" s="36">
        <f ca="1">Tabela3[[#This Row],[Valor Mínimo Venda]]*1.15</f>
        <v>750.67821775643574</v>
      </c>
      <c r="AO302" s="36">
        <f ca="1">Tabela3[[#This Row],[Tabela 1]]*1.08</f>
        <v>810.73247517695063</v>
      </c>
      <c r="AP302" s="36">
        <f ca="1">Tabela3[[#This Row],[Tabela 2]]*1.15</f>
        <v>932.34234645349318</v>
      </c>
    </row>
    <row r="303" spans="1:42">
      <c r="A303" s="9">
        <v>45807</v>
      </c>
      <c r="B303" s="6" t="s">
        <v>247</v>
      </c>
      <c r="C303" s="14">
        <v>6747</v>
      </c>
      <c r="D303" s="6" t="s">
        <v>44</v>
      </c>
      <c r="E303" s="6" t="s">
        <v>47</v>
      </c>
      <c r="F303" s="6">
        <v>41</v>
      </c>
      <c r="G303" s="15">
        <v>0.21527777777777779</v>
      </c>
      <c r="H303" s="16">
        <v>0</v>
      </c>
      <c r="I303" s="35">
        <f ca="1">IFERROR(Tabela3[[#This Row],[Custo Total]]/Tabela3[[#This Row],[Aluminio Util]],0)</f>
        <v>28.329196243216796</v>
      </c>
      <c r="J303" s="35">
        <f ca="1">Tabela3[[#This Row],[Custo Total]]/Tabela3[[#This Row],[Realizado]]</f>
        <v>8.4987588729650376</v>
      </c>
      <c r="K303" s="37">
        <f>IFERROR(Tabela3[[#This Row],[Qtde Cx Produzida]]/Tabela3[[#This Row],[Tempo]]/24,0)</f>
        <v>7.9354838709677411</v>
      </c>
      <c r="L303" s="37">
        <f>Tabela3[[#This Row],[Qtde Cx Produzida]]*Tabela3[[#This Row],[Qdt Peça Placa]]</f>
        <v>164</v>
      </c>
      <c r="M303" s="37">
        <f>Tabela3[[#This Row],[Previsto]]-Tabela3[[#This Row],[Perda Pçs]]</f>
        <v>164</v>
      </c>
      <c r="N303" s="38">
        <f>IFERROR(Tabela3[[#This Row],[Perda Pçs]]/Tabela3[[#This Row],[Previsto]],0)</f>
        <v>0</v>
      </c>
      <c r="O303" s="39">
        <f>IFERROR(IF(Tabela3[[#This Row],[Qtde Cx Produzida]] &lt;&gt; 0, Tabela3[[#This Row],[Tempo]] / Tabela3[[#This Row],[Qtde Cx Produzida]], 0),0)</f>
        <v>5.2506775067750677E-3</v>
      </c>
      <c r="P303" s="57">
        <f>IFERROR(Tabela3[[#This Row],[Perda Pçs]]/Tabela3[[#This Row],[Qdt Peça Placa]],0)</f>
        <v>0</v>
      </c>
      <c r="Q303" s="37">
        <f>IFERROR(Tabela3[[#This Row],[Realizado]]*Tabela3[[#This Row],[Peso Util/Pç]],0)</f>
        <v>49.199999999999996</v>
      </c>
      <c r="R303" s="37">
        <f>IFERROR(Tabela3[[#This Row],[Peso Total Galho]]*Tabela3[[#This Row],[Qtde Cx Produzida]]*1.055,0)</f>
        <v>99.486499999999992</v>
      </c>
      <c r="S303" s="37">
        <f>(Tabela3[[#This Row],[Aluminio Bruto]]-Tabela3[[#This Row],[Aluminio Util]])*0.9</f>
        <v>45.257849999999998</v>
      </c>
      <c r="T303" s="37">
        <f>Tabela3[[#This Row],[Aluminio Bruto]]/OleoKGAluminio</f>
        <v>41.853841915191346</v>
      </c>
      <c r="U303" s="35">
        <f>IFERROR((VLOOKUP(Tabela3[[#This Row],[Moldador]],Tabela1[],5,)+(VLOOKUP(Tabela3[[#This Row],[Ajudante]],Tabela1[],5,))*3.5),0)</f>
        <v>99.95034583333333</v>
      </c>
      <c r="V303" s="35">
        <f>IFERROR(Tabela3[[#This Row],[Custo M.O. / H]]/((Tabela3[[#This Row],[Realizado]]/Tabela3[[#This Row],[Qdt Peça Placa]])/Tabela3[[#This Row],[Tempo]]/24),)</f>
        <v>12.59536878387534</v>
      </c>
      <c r="W303" s="35">
        <f>Tabela3[[#This Row],[Custo / Cx Moldada]]*Tabela3[[#This Row],[Qtde Cx Produzida]]</f>
        <v>516.41012013888894</v>
      </c>
      <c r="X303" s="35">
        <f ca="1">Tabela3[[#This Row],[Aluminio Util]]*Tabela3[[#This Row],[Custo/Kg]]</f>
        <v>767.52</v>
      </c>
      <c r="Y303" s="35">
        <f>IFERROR(VLOOKUP(Tabela3[[#This Row],[Data]],Tabela461213[],2,1)*(Tabela3[[#This Row],[Qtde Cx Produzida]]*Tabela3[[#This Row],[Qde macho / CX]]*Tabela3[[#This Row],[Peso Macho]]),)</f>
        <v>0</v>
      </c>
      <c r="Z303" s="35">
        <f>IFERROR(Tabela3[[#This Row],[Qtde Oleo]]*(VLOOKUP(Tabela3[[#This Row],[Data]],CompraOleo[],3,TRUE))*1.05,0)</f>
        <v>109.86633502737729</v>
      </c>
      <c r="AA303" s="47">
        <f ca="1">(Tabela3[[#This Row],[Custo Oleo]]+Tabela3[[#This Row],[Custo Aluminio]]+Tabela3[[#This Row],[Custo M.O. Total]]+Tabela3[[#This Row],[Custo Machos]])</f>
        <v>1393.7964551662662</v>
      </c>
      <c r="AB303" s="47">
        <f ca="1">Tabela3[[#This Row],[Custo Total]]*Tabela3[[#This Row],[% Perda]]</f>
        <v>0</v>
      </c>
      <c r="AC303" s="48">
        <f>IFERROR(VLOOKUP(Tabela3[[#This Row],[Produto]],Tabela2[],2,0),0)</f>
        <v>4</v>
      </c>
      <c r="AD303" s="48">
        <f>IFERROR(VLOOKUP(Tabela3[[#This Row],[Produto]],Tabela2[],3,0),0)</f>
        <v>0.3</v>
      </c>
      <c r="AE303" s="48">
        <f>IFERROR(VLOOKUP(Tabela3[[#This Row],[Produto]],Tabela2[],4,0),0)</f>
        <v>2.2999999999999998</v>
      </c>
      <c r="AF303" s="48">
        <f>IFERROR(VLOOKUP(Tabela3[[#This Row],[Produto]],Tabela2[],5,0),0)</f>
        <v>0.98999999999999988</v>
      </c>
      <c r="AG303" s="40">
        <f>IFERROR(VLOOKUP(Tabela3[[#This Row],[Produto]],Tabela2[],6,0),0)</f>
        <v>0</v>
      </c>
      <c r="AH303" s="40">
        <f>IFERROR(VLOOKUP(Tabela3[[#This Row],[Produto]],Tabela2[],7,0),0)</f>
        <v>0</v>
      </c>
      <c r="AI303" s="40">
        <f>IFERROR(VLOOKUP(Tabela3[[#This Row],[Produto]],Tabela2[],8,0),0)</f>
        <v>0</v>
      </c>
      <c r="AJ303" s="35">
        <f ca="1">IFERROR(VLOOKUP(Tabela3[[#This Row],[Produto]],Tabela2[],13,0),0)</f>
        <v>15.600000000000001</v>
      </c>
      <c r="AK303" s="40" t="str">
        <f>IFERROR(VLOOKUP(Tabela3[[#This Row],[Produto]],Tabela2[],14,0),0)</f>
        <v>Senun</v>
      </c>
      <c r="AL303" s="40">
        <f>IFERROR(VLOOKUP(Tabela3[[#This Row],[Produto]],Tabela2[],15,0),0)</f>
        <v>3.5</v>
      </c>
      <c r="AM303" s="36">
        <f ca="1">(Tabela3[[#This Row],[Custo Usinagem]]+Tabela3[[#This Row],[Custo / Pç]])*1.2</f>
        <v>14.398510647558044</v>
      </c>
      <c r="AN303" s="36">
        <f ca="1">Tabela3[[#This Row],[Valor Mínimo Venda]]*1.15</f>
        <v>16.558287244691751</v>
      </c>
      <c r="AO303" s="36">
        <f ca="1">Tabela3[[#This Row],[Tabela 1]]*1.08</f>
        <v>17.882950224267091</v>
      </c>
      <c r="AP303" s="36">
        <f ca="1">Tabela3[[#This Row],[Tabela 2]]*1.15</f>
        <v>20.565392757907155</v>
      </c>
    </row>
    <row r="304" spans="1:42">
      <c r="A304" s="9">
        <v>45810</v>
      </c>
      <c r="B304" s="6" t="s">
        <v>229</v>
      </c>
      <c r="C304" s="14">
        <v>6718</v>
      </c>
      <c r="D304" s="6" t="s">
        <v>46</v>
      </c>
      <c r="E304" s="6" t="s">
        <v>53</v>
      </c>
      <c r="F304" s="6">
        <v>20</v>
      </c>
      <c r="G304" s="15">
        <v>9.7916666666666666E-2</v>
      </c>
      <c r="H304" s="16">
        <v>0</v>
      </c>
      <c r="I304" s="35">
        <f ca="1">IFERROR(Tabela3[[#This Row],[Custo Total]]/Tabela3[[#This Row],[Aluminio Util]],0)</f>
        <v>21.337690169921231</v>
      </c>
      <c r="J304" s="35">
        <f ca="1">Tabela3[[#This Row],[Custo Total]]/Tabela3[[#This Row],[Realizado]]</f>
        <v>59.489480193740391</v>
      </c>
      <c r="K304" s="37">
        <f>IFERROR(Tabela3[[#This Row],[Qtde Cx Produzida]]/Tabela3[[#This Row],[Tempo]]/24,0)</f>
        <v>8.5106382978723403</v>
      </c>
      <c r="L304" s="37">
        <f>Tabela3[[#This Row],[Qtde Cx Produzida]]*Tabela3[[#This Row],[Qdt Peça Placa]]</f>
        <v>20</v>
      </c>
      <c r="M304" s="37">
        <f>Tabela3[[#This Row],[Previsto]]-Tabela3[[#This Row],[Perda Pçs]]</f>
        <v>20</v>
      </c>
      <c r="N304" s="38">
        <f>IFERROR(Tabela3[[#This Row],[Perda Pçs]]/Tabela3[[#This Row],[Previsto]],0)</f>
        <v>0</v>
      </c>
      <c r="O304" s="39">
        <f>IFERROR(IF(Tabela3[[#This Row],[Qtde Cx Produzida]] &lt;&gt; 0, Tabela3[[#This Row],[Tempo]] / Tabela3[[#This Row],[Qtde Cx Produzida]], 0),0)</f>
        <v>4.8958333333333336E-3</v>
      </c>
      <c r="P304" s="57">
        <f>IFERROR(Tabela3[[#This Row],[Perda Pçs]]/Tabela3[[#This Row],[Qdt Peça Placa]],0)</f>
        <v>0</v>
      </c>
      <c r="Q304" s="37">
        <f>IFERROR(Tabela3[[#This Row],[Realizado]]*Tabela3[[#This Row],[Peso Util/Pç]],0)</f>
        <v>55.76</v>
      </c>
      <c r="R304" s="37">
        <f>IFERROR(Tabela3[[#This Row],[Peso Total Galho]]*Tabela3[[#This Row],[Qtde Cx Produzida]]*1.055,0)</f>
        <v>77.015000000000001</v>
      </c>
      <c r="S304" s="37">
        <f>(Tabela3[[#This Row],[Aluminio Bruto]]-Tabela3[[#This Row],[Aluminio Util]])*0.9</f>
        <v>19.129500000000004</v>
      </c>
      <c r="T304" s="37">
        <f>Tabela3[[#This Row],[Aluminio Bruto]]/OleoKGAluminio</f>
        <v>32.400110920561701</v>
      </c>
      <c r="U304" s="35">
        <f>IFERROR((VLOOKUP(Tabela3[[#This Row],[Moldador]],Tabela1[],5,)+(VLOOKUP(Tabela3[[#This Row],[Ajudante]],Tabela1[],5,))*3.5),0)</f>
        <v>99.95034583333333</v>
      </c>
      <c r="V304" s="35">
        <f>IFERROR(Tabela3[[#This Row],[Custo M.O. / H]]/((Tabela3[[#This Row],[Realizado]]/Tabela3[[#This Row],[Qdt Peça Placa]])/Tabela3[[#This Row],[Tempo]]/24),)</f>
        <v>11.744165635416666</v>
      </c>
      <c r="W304" s="35">
        <f>Tabela3[[#This Row],[Custo / Cx Moldada]]*Tabela3[[#This Row],[Qtde Cx Produzida]]</f>
        <v>234.88331270833331</v>
      </c>
      <c r="X304" s="35">
        <f ca="1">Tabela3[[#This Row],[Aluminio Util]]*Tabela3[[#This Row],[Custo/Kg]]</f>
        <v>869.85599999999999</v>
      </c>
      <c r="Y304" s="35">
        <f>IFERROR(VLOOKUP(Tabela3[[#This Row],[Data]],Tabela461213[],2,1)*(Tabela3[[#This Row],[Qtde Cx Produzida]]*Tabela3[[#This Row],[Qde macho / CX]]*Tabela3[[#This Row],[Peso Macho]]),)</f>
        <v>0</v>
      </c>
      <c r="Z304" s="35">
        <f>IFERROR(Tabela3[[#This Row],[Qtde Oleo]]*(VLOOKUP(Tabela3[[#This Row],[Data]],CompraOleo[],3,TRUE))*1.05,0)</f>
        <v>85.050291166474466</v>
      </c>
      <c r="AA304" s="47">
        <f ca="1">(Tabela3[[#This Row],[Custo Oleo]]+Tabela3[[#This Row],[Custo Aluminio]]+Tabela3[[#This Row],[Custo M.O. Total]]+Tabela3[[#This Row],[Custo Machos]])</f>
        <v>1189.7896038748079</v>
      </c>
      <c r="AB304" s="47">
        <f ca="1">Tabela3[[#This Row],[Custo Total]]*Tabela3[[#This Row],[% Perda]]</f>
        <v>0</v>
      </c>
      <c r="AC304" s="48">
        <f>IFERROR(VLOOKUP(Tabela3[[#This Row],[Produto]],Tabela2[],2,0),0)</f>
        <v>1</v>
      </c>
      <c r="AD304" s="48">
        <f>IFERROR(VLOOKUP(Tabela3[[#This Row],[Produto]],Tabela2[],3,0),0)</f>
        <v>2.7879999999999998</v>
      </c>
      <c r="AE304" s="48">
        <f>IFERROR(VLOOKUP(Tabela3[[#This Row],[Produto]],Tabela2[],4,0),0)</f>
        <v>3.65</v>
      </c>
      <c r="AF304" s="48">
        <f>IFERROR(VLOOKUP(Tabela3[[#This Row],[Produto]],Tabela2[],5,0),0)</f>
        <v>0.77580000000000016</v>
      </c>
      <c r="AG304" s="40">
        <f>IFERROR(VLOOKUP(Tabela3[[#This Row],[Produto]],Tabela2[],6,0),0)</f>
        <v>0</v>
      </c>
      <c r="AH304" s="40">
        <f>IFERROR(VLOOKUP(Tabela3[[#This Row],[Produto]],Tabela2[],7,0),0)</f>
        <v>0</v>
      </c>
      <c r="AI304" s="40">
        <f>IFERROR(VLOOKUP(Tabela3[[#This Row],[Produto]],Tabela2[],8,0),0)</f>
        <v>0</v>
      </c>
      <c r="AJ304" s="35">
        <f ca="1">IFERROR(VLOOKUP(Tabela3[[#This Row],[Produto]],Tabela2[],13,0),0)</f>
        <v>15.600000000000001</v>
      </c>
      <c r="AK304" s="40" t="str">
        <f>IFERROR(VLOOKUP(Tabela3[[#This Row],[Produto]],Tabela2[],14,0),0)</f>
        <v>Jumil</v>
      </c>
      <c r="AL304" s="40">
        <f>IFERROR(VLOOKUP(Tabela3[[#This Row],[Produto]],Tabela2[],15,0),0)</f>
        <v>35</v>
      </c>
      <c r="AM304" s="36">
        <f ca="1">(Tabela3[[#This Row],[Custo Usinagem]]+Tabela3[[#This Row],[Custo / Pç]])*1.2</f>
        <v>113.38737623248846</v>
      </c>
      <c r="AN304" s="36">
        <f ca="1">Tabela3[[#This Row],[Valor Mínimo Venda]]*1.15</f>
        <v>130.39548266736173</v>
      </c>
      <c r="AO304" s="36">
        <f ca="1">Tabela3[[#This Row],[Tabela 1]]*1.08</f>
        <v>140.82712128075067</v>
      </c>
      <c r="AP304" s="36">
        <f ca="1">Tabela3[[#This Row],[Tabela 2]]*1.15</f>
        <v>161.95118947286326</v>
      </c>
    </row>
    <row r="305" spans="1:42">
      <c r="A305" s="9">
        <v>45810</v>
      </c>
      <c r="B305" s="6" t="s">
        <v>232</v>
      </c>
      <c r="C305" s="14">
        <v>6605</v>
      </c>
      <c r="D305" s="6" t="s">
        <v>46</v>
      </c>
      <c r="E305" s="6" t="s">
        <v>53</v>
      </c>
      <c r="F305" s="6">
        <v>57</v>
      </c>
      <c r="G305" s="15">
        <v>0.25416666666666665</v>
      </c>
      <c r="H305" s="16">
        <v>0</v>
      </c>
      <c r="I305" s="35">
        <f ca="1">IFERROR(Tabela3[[#This Row],[Custo Total]]/Tabela3[[#This Row],[Aluminio Util]],0)</f>
        <v>26.176789560723073</v>
      </c>
      <c r="J305" s="35">
        <f ca="1">Tabela3[[#This Row],[Custo Total]]/Tabela3[[#This Row],[Realizado]]</f>
        <v>11.020428405064415</v>
      </c>
      <c r="K305" s="37">
        <f>IFERROR(Tabela3[[#This Row],[Qtde Cx Produzida]]/Tabela3[[#This Row],[Tempo]]/24,0)</f>
        <v>9.3442622950819683</v>
      </c>
      <c r="L305" s="37">
        <f>Tabela3[[#This Row],[Qtde Cx Produzida]]*Tabela3[[#This Row],[Qdt Peça Placa]]</f>
        <v>228</v>
      </c>
      <c r="M305" s="37">
        <f>Tabela3[[#This Row],[Previsto]]-Tabela3[[#This Row],[Perda Pçs]]</f>
        <v>228</v>
      </c>
      <c r="N305" s="38">
        <f>IFERROR(Tabela3[[#This Row],[Perda Pçs]]/Tabela3[[#This Row],[Previsto]],0)</f>
        <v>0</v>
      </c>
      <c r="O305" s="39">
        <f>IFERROR(IF(Tabela3[[#This Row],[Qtde Cx Produzida]] &lt;&gt; 0, Tabela3[[#This Row],[Tempo]] / Tabela3[[#This Row],[Qtde Cx Produzida]], 0),0)</f>
        <v>4.4590643274853795E-3</v>
      </c>
      <c r="P305" s="57">
        <f>IFERROR(Tabela3[[#This Row],[Perda Pçs]]/Tabela3[[#This Row],[Qdt Peça Placa]],0)</f>
        <v>0</v>
      </c>
      <c r="Q305" s="37">
        <f>IFERROR(Tabela3[[#This Row],[Realizado]]*Tabela3[[#This Row],[Peso Util/Pç]],0)</f>
        <v>95.988</v>
      </c>
      <c r="R305" s="37">
        <f>IFERROR(Tabela3[[#This Row],[Peso Total Galho]]*Tabela3[[#This Row],[Qtde Cx Produzida]]*1.055,0)</f>
        <v>193.39416</v>
      </c>
      <c r="S305" s="37">
        <f>(Tabela3[[#This Row],[Aluminio Bruto]]-Tabela3[[#This Row],[Aluminio Util]])*0.9</f>
        <v>87.665543999999997</v>
      </c>
      <c r="T305" s="37">
        <f>Tabela3[[#This Row],[Aluminio Bruto]]/OleoKGAluminio</f>
        <v>81.360673055753509</v>
      </c>
      <c r="U305" s="35">
        <f>IFERROR((VLOOKUP(Tabela3[[#This Row],[Moldador]],Tabela1[],5,)+(VLOOKUP(Tabela3[[#This Row],[Ajudante]],Tabela1[],5,))*3.5),0)</f>
        <v>99.95034583333333</v>
      </c>
      <c r="V305" s="35">
        <f>IFERROR(Tabela3[[#This Row],[Custo M.O. / H]]/((Tabela3[[#This Row],[Realizado]]/Tabela3[[#This Row],[Qdt Peça Placa]])/Tabela3[[#This Row],[Tempo]]/24),)</f>
        <v>10.696440519005847</v>
      </c>
      <c r="W305" s="35">
        <f>Tabela3[[#This Row],[Custo / Cx Moldada]]*Tabela3[[#This Row],[Qtde Cx Produzida]]</f>
        <v>609.69710958333326</v>
      </c>
      <c r="X305" s="35">
        <f ca="1">Tabela3[[#This Row],[Aluminio Util]]*Tabela3[[#This Row],[Custo/Kg]]</f>
        <v>1689.3888000000002</v>
      </c>
      <c r="Y305" s="35">
        <f>IFERROR(VLOOKUP(Tabela3[[#This Row],[Data]],Tabela461213[],2,1)*(Tabela3[[#This Row],[Qtde Cx Produzida]]*Tabela3[[#This Row],[Qde macho / CX]]*Tabela3[[#This Row],[Peso Macho]]),)</f>
        <v>0</v>
      </c>
      <c r="Z305" s="35">
        <f>IFERROR(Tabela3[[#This Row],[Qtde Oleo]]*(VLOOKUP(Tabela3[[#This Row],[Data]],CompraOleo[],3,TRUE))*1.05,0)</f>
        <v>213.57176677135297</v>
      </c>
      <c r="AA305" s="47">
        <f ca="1">(Tabela3[[#This Row],[Custo Oleo]]+Tabela3[[#This Row],[Custo Aluminio]]+Tabela3[[#This Row],[Custo M.O. Total]]+Tabela3[[#This Row],[Custo Machos]])</f>
        <v>2512.6576763546864</v>
      </c>
      <c r="AB305" s="47">
        <f ca="1">Tabela3[[#This Row],[Custo Total]]*Tabela3[[#This Row],[% Perda]]</f>
        <v>0</v>
      </c>
      <c r="AC305" s="48">
        <f>IFERROR(VLOOKUP(Tabela3[[#This Row],[Produto]],Tabela2[],2,0),0)</f>
        <v>4</v>
      </c>
      <c r="AD305" s="48">
        <f>IFERROR(VLOOKUP(Tabela3[[#This Row],[Produto]],Tabela2[],3,0),0)</f>
        <v>0.42099999999999999</v>
      </c>
      <c r="AE305" s="48">
        <f>IFERROR(VLOOKUP(Tabela3[[#This Row],[Produto]],Tabela2[],4,0),0)</f>
        <v>3.2160000000000002</v>
      </c>
      <c r="AF305" s="48">
        <f>IFERROR(VLOOKUP(Tabela3[[#This Row],[Produto]],Tabela2[],5,0),0)</f>
        <v>1.3788000000000002</v>
      </c>
      <c r="AG305" s="40">
        <f>IFERROR(VLOOKUP(Tabela3[[#This Row],[Produto]],Tabela2[],6,0),0)</f>
        <v>0</v>
      </c>
      <c r="AH305" s="40">
        <f>IFERROR(VLOOKUP(Tabela3[[#This Row],[Produto]],Tabela2[],7,0),0)</f>
        <v>0</v>
      </c>
      <c r="AI305" s="40">
        <f>IFERROR(VLOOKUP(Tabela3[[#This Row],[Produto]],Tabela2[],8,0),0)</f>
        <v>0</v>
      </c>
      <c r="AJ305" s="35">
        <f ca="1">IFERROR(VLOOKUP(Tabela3[[#This Row],[Produto]],Tabela2[],13,0),0)</f>
        <v>17.600000000000001</v>
      </c>
      <c r="AK305" s="40" t="str">
        <f>IFERROR(VLOOKUP(Tabela3[[#This Row],[Produto]],Tabela2[],14,0),0)</f>
        <v>Busa</v>
      </c>
      <c r="AL305" s="40">
        <f>IFERROR(VLOOKUP(Tabela3[[#This Row],[Produto]],Tabela2[],15,0),0)</f>
        <v>0.5</v>
      </c>
      <c r="AM305" s="36">
        <f ca="1">(Tabela3[[#This Row],[Custo Usinagem]]+Tabela3[[#This Row],[Custo / Pç]])*1.2</f>
        <v>13.824514086077297</v>
      </c>
      <c r="AN305" s="36">
        <f ca="1">Tabela3[[#This Row],[Valor Mínimo Venda]]*1.15</f>
        <v>15.89819119898889</v>
      </c>
      <c r="AO305" s="36">
        <f ca="1">Tabela3[[#This Row],[Tabela 1]]*1.08</f>
        <v>17.170046494908004</v>
      </c>
      <c r="AP305" s="36">
        <f ca="1">Tabela3[[#This Row],[Tabela 2]]*1.15</f>
        <v>19.745553469144202</v>
      </c>
    </row>
    <row r="306" spans="1:42">
      <c r="A306" s="9">
        <v>45810</v>
      </c>
      <c r="B306" s="6" t="s">
        <v>240</v>
      </c>
      <c r="C306" s="14">
        <v>6725</v>
      </c>
      <c r="D306" s="6" t="s">
        <v>44</v>
      </c>
      <c r="E306" s="6" t="s">
        <v>47</v>
      </c>
      <c r="F306" s="6">
        <v>30</v>
      </c>
      <c r="G306" s="15">
        <v>0.14374999999999999</v>
      </c>
      <c r="H306" s="16">
        <v>7</v>
      </c>
      <c r="I306" s="35">
        <f ca="1">IFERROR(Tabela3[[#This Row],[Custo Total]]/Tabela3[[#This Row],[Aluminio Util]],0)</f>
        <v>26.781022834833461</v>
      </c>
      <c r="J306" s="35">
        <f ca="1">Tabela3[[#This Row],[Custo Total]]/Tabela3[[#This Row],[Realizado]]</f>
        <v>9.5608251520355463</v>
      </c>
      <c r="K306" s="37">
        <f>IFERROR(Tabela3[[#This Row],[Qtde Cx Produzida]]/Tabela3[[#This Row],[Tempo]]/24,0)</f>
        <v>8.6956521739130448</v>
      </c>
      <c r="L306" s="37">
        <f>Tabela3[[#This Row],[Qtde Cx Produzida]]*Tabela3[[#This Row],[Qdt Peça Placa]]</f>
        <v>120</v>
      </c>
      <c r="M306" s="37">
        <f>Tabela3[[#This Row],[Previsto]]-Tabela3[[#This Row],[Perda Pçs]]</f>
        <v>113</v>
      </c>
      <c r="N306" s="38">
        <f>IFERROR(Tabela3[[#This Row],[Perda Pçs]]/Tabela3[[#This Row],[Previsto]],0)</f>
        <v>5.8333333333333334E-2</v>
      </c>
      <c r="O306" s="39">
        <f>IFERROR(IF(Tabela3[[#This Row],[Qtde Cx Produzida]] &lt;&gt; 0, Tabela3[[#This Row],[Tempo]] / Tabela3[[#This Row],[Qtde Cx Produzida]], 0),0)</f>
        <v>4.7916666666666663E-3</v>
      </c>
      <c r="P306" s="57">
        <f>IFERROR(Tabela3[[#This Row],[Perda Pçs]]/Tabela3[[#This Row],[Qdt Peça Placa]],0)</f>
        <v>1.75</v>
      </c>
      <c r="Q306" s="37">
        <f>IFERROR(Tabela3[[#This Row],[Realizado]]*Tabela3[[#This Row],[Peso Util/Pç]],0)</f>
        <v>40.341000000000001</v>
      </c>
      <c r="R306" s="37">
        <f>IFERROR(Tabela3[[#This Row],[Peso Total Galho]]*Tabela3[[#This Row],[Qtde Cx Produzida]]*1.055,0)</f>
        <v>76.846199999999996</v>
      </c>
      <c r="S306" s="37">
        <f>(Tabela3[[#This Row],[Aluminio Bruto]]-Tabela3[[#This Row],[Aluminio Util]])*0.9</f>
        <v>32.854679999999995</v>
      </c>
      <c r="T306" s="37">
        <f>Tabela3[[#This Row],[Aluminio Bruto]]/OleoKGAluminio</f>
        <v>32.329096978818001</v>
      </c>
      <c r="U306" s="35">
        <f>IFERROR((VLOOKUP(Tabela3[[#This Row],[Moldador]],Tabela1[],5,)+(VLOOKUP(Tabela3[[#This Row],[Ajudante]],Tabela1[],5,))*3.5),0)</f>
        <v>99.95034583333333</v>
      </c>
      <c r="V306" s="35">
        <f>IFERROR(Tabela3[[#This Row],[Custo M.O. / H]]/((Tabela3[[#This Row],[Realizado]]/Tabela3[[#This Row],[Qdt Peça Placa]])/Tabela3[[#This Row],[Tempo]]/24),)</f>
        <v>12.206325420353979</v>
      </c>
      <c r="W306" s="35">
        <f>Tabela3[[#This Row],[Custo / Cx Moldada]]*Tabela3[[#This Row],[Qtde Cx Produzida]]</f>
        <v>366.18976261061937</v>
      </c>
      <c r="X306" s="35">
        <f ca="1">Tabela3[[#This Row],[Aluminio Util]]*Tabela3[[#This Row],[Custo/Kg]]</f>
        <v>629.31960000000004</v>
      </c>
      <c r="Y306" s="35">
        <f>IFERROR(VLOOKUP(Tabela3[[#This Row],[Data]],Tabela461213[],2,1)*(Tabela3[[#This Row],[Qtde Cx Produzida]]*Tabela3[[#This Row],[Qde macho / CX]]*Tabela3[[#This Row],[Peso Macho]]),)</f>
        <v>0</v>
      </c>
      <c r="Z306" s="35">
        <f>IFERROR(Tabela3[[#This Row],[Qtde Oleo]]*(VLOOKUP(Tabela3[[#This Row],[Data]],CompraOleo[],3,TRUE))*1.05,0)</f>
        <v>84.863879569397255</v>
      </c>
      <c r="AA306" s="47">
        <f ca="1">(Tabela3[[#This Row],[Custo Oleo]]+Tabela3[[#This Row],[Custo Aluminio]]+Tabela3[[#This Row],[Custo M.O. Total]]+Tabela3[[#This Row],[Custo Machos]])</f>
        <v>1080.3732421800166</v>
      </c>
      <c r="AB306" s="47">
        <f ca="1">Tabela3[[#This Row],[Custo Total]]*Tabela3[[#This Row],[% Perda]]</f>
        <v>63.021772460500969</v>
      </c>
      <c r="AC306" s="48">
        <f>IFERROR(VLOOKUP(Tabela3[[#This Row],[Produto]],Tabela2[],2,0),0)</f>
        <v>4</v>
      </c>
      <c r="AD306" s="48">
        <f>IFERROR(VLOOKUP(Tabela3[[#This Row],[Produto]],Tabela2[],3,0),0)</f>
        <v>0.35699999999999998</v>
      </c>
      <c r="AE306" s="48">
        <f>IFERROR(VLOOKUP(Tabela3[[#This Row],[Produto]],Tabela2[],4,0),0)</f>
        <v>2.4279999999999999</v>
      </c>
      <c r="AF306" s="48">
        <f>IFERROR(VLOOKUP(Tabela3[[#This Row],[Produto]],Tabela2[],5,0),0)</f>
        <v>0.9</v>
      </c>
      <c r="AG306" s="40">
        <f>IFERROR(VLOOKUP(Tabela3[[#This Row],[Produto]],Tabela2[],6,0),0)</f>
        <v>0</v>
      </c>
      <c r="AH306" s="40">
        <f>IFERROR(VLOOKUP(Tabela3[[#This Row],[Produto]],Tabela2[],7,0),0)</f>
        <v>0</v>
      </c>
      <c r="AI306" s="40">
        <f>IFERROR(VLOOKUP(Tabela3[[#This Row],[Produto]],Tabela2[],8,0),0)</f>
        <v>0</v>
      </c>
      <c r="AJ306" s="35">
        <f ca="1">IFERROR(VLOOKUP(Tabela3[[#This Row],[Produto]],Tabela2[],13,0),0)</f>
        <v>15.600000000000001</v>
      </c>
      <c r="AK306" s="40" t="str">
        <f>IFERROR(VLOOKUP(Tabela3[[#This Row],[Produto]],Tabela2[],14,0),0)</f>
        <v>Senun</v>
      </c>
      <c r="AL306" s="40">
        <f>IFERROR(VLOOKUP(Tabela3[[#This Row],[Produto]],Tabela2[],15,0),0)</f>
        <v>4</v>
      </c>
      <c r="AM306" s="36">
        <f ca="1">(Tabela3[[#This Row],[Custo Usinagem]]+Tabela3[[#This Row],[Custo / Pç]])*1.2</f>
        <v>16.272990182442655</v>
      </c>
      <c r="AN306" s="36">
        <f ca="1">Tabela3[[#This Row],[Valor Mínimo Venda]]*1.15</f>
        <v>18.713938709809053</v>
      </c>
      <c r="AO306" s="36">
        <f ca="1">Tabela3[[#This Row],[Tabela 1]]*1.08</f>
        <v>20.211053806593778</v>
      </c>
      <c r="AP306" s="36">
        <f ca="1">Tabela3[[#This Row],[Tabela 2]]*1.15</f>
        <v>23.242711877582842</v>
      </c>
    </row>
    <row r="307" spans="1:42">
      <c r="A307" s="9">
        <v>45810</v>
      </c>
      <c r="B307" s="6" t="s">
        <v>226</v>
      </c>
      <c r="C307" s="14">
        <v>6713</v>
      </c>
      <c r="D307" s="6" t="s">
        <v>44</v>
      </c>
      <c r="E307" s="6" t="s">
        <v>47</v>
      </c>
      <c r="F307" s="6">
        <v>15</v>
      </c>
      <c r="G307" s="15">
        <v>6.5972222222222224E-2</v>
      </c>
      <c r="H307" s="16">
        <v>0</v>
      </c>
      <c r="I307" s="35">
        <f ca="1">IFERROR(Tabela3[[#This Row],[Custo Total]]/Tabela3[[#This Row],[Aluminio Util]],0)</f>
        <v>29.129404655073873</v>
      </c>
      <c r="J307" s="35">
        <f ca="1">Tabela3[[#This Row],[Custo Total]]/Tabela3[[#This Row],[Realizado]]</f>
        <v>6.6997630706669913</v>
      </c>
      <c r="K307" s="37">
        <f>IFERROR(Tabela3[[#This Row],[Qtde Cx Produzida]]/Tabela3[[#This Row],[Tempo]]/24,0)</f>
        <v>9.473684210526315</v>
      </c>
      <c r="L307" s="37">
        <f>Tabela3[[#This Row],[Qtde Cx Produzida]]*Tabela3[[#This Row],[Qdt Peça Placa]]</f>
        <v>60</v>
      </c>
      <c r="M307" s="37">
        <f>Tabela3[[#This Row],[Previsto]]-Tabela3[[#This Row],[Perda Pçs]]</f>
        <v>60</v>
      </c>
      <c r="N307" s="38">
        <f>IFERROR(Tabela3[[#This Row],[Perda Pçs]]/Tabela3[[#This Row],[Previsto]],0)</f>
        <v>0</v>
      </c>
      <c r="O307" s="39">
        <f>IFERROR(IF(Tabela3[[#This Row],[Qtde Cx Produzida]] &lt;&gt; 0, Tabela3[[#This Row],[Tempo]] / Tabela3[[#This Row],[Qtde Cx Produzida]], 0),0)</f>
        <v>4.3981481481481484E-3</v>
      </c>
      <c r="P307" s="57">
        <f>IFERROR(Tabela3[[#This Row],[Perda Pçs]]/Tabela3[[#This Row],[Qdt Peça Placa]],0)</f>
        <v>0</v>
      </c>
      <c r="Q307" s="37">
        <f>IFERROR(Tabela3[[#This Row],[Realizado]]*Tabela3[[#This Row],[Peso Util/Pç]],0)</f>
        <v>13.8</v>
      </c>
      <c r="R307" s="37">
        <f>IFERROR(Tabela3[[#This Row],[Peso Total Galho]]*Tabela3[[#This Row],[Qtde Cx Produzida]]*1.055,0)</f>
        <v>25.763099999999998</v>
      </c>
      <c r="S307" s="37">
        <f>(Tabela3[[#This Row],[Aluminio Bruto]]-Tabela3[[#This Row],[Aluminio Util]])*0.9</f>
        <v>10.766789999999999</v>
      </c>
      <c r="T307" s="37">
        <f>Tabela3[[#This Row],[Aluminio Bruto]]/OleoKGAluminio</f>
        <v>10.838502858631735</v>
      </c>
      <c r="U307" s="35">
        <f>IFERROR((VLOOKUP(Tabela3[[#This Row],[Moldador]],Tabela1[],5,)+(VLOOKUP(Tabela3[[#This Row],[Ajudante]],Tabela1[],5,))*3.5),0)</f>
        <v>99.95034583333333</v>
      </c>
      <c r="V307" s="35">
        <f>IFERROR(Tabela3[[#This Row],[Custo M.O. / H]]/((Tabela3[[#This Row],[Realizado]]/Tabela3[[#This Row],[Qdt Peça Placa]])/Tabela3[[#This Row],[Tempo]]/24),)</f>
        <v>10.550314282407408</v>
      </c>
      <c r="W307" s="35">
        <f>Tabela3[[#This Row],[Custo / Cx Moldada]]*Tabela3[[#This Row],[Qtde Cx Produzida]]</f>
        <v>158.25471423611111</v>
      </c>
      <c r="X307" s="35">
        <f ca="1">Tabela3[[#This Row],[Aluminio Util]]*Tabela3[[#This Row],[Custo/Kg]]</f>
        <v>215.28000000000003</v>
      </c>
      <c r="Y307" s="35">
        <f>IFERROR(VLOOKUP(Tabela3[[#This Row],[Data]],Tabela461213[],2,1)*(Tabela3[[#This Row],[Qtde Cx Produzida]]*Tabela3[[#This Row],[Qde macho / CX]]*Tabela3[[#This Row],[Peso Macho]]),)</f>
        <v>0</v>
      </c>
      <c r="Z307" s="35">
        <f>IFERROR(Tabela3[[#This Row],[Qtde Oleo]]*(VLOOKUP(Tabela3[[#This Row],[Data]],CompraOleo[],3,TRUE))*1.05,0)</f>
        <v>28.451070003908306</v>
      </c>
      <c r="AA307" s="47">
        <f ca="1">(Tabela3[[#This Row],[Custo Oleo]]+Tabela3[[#This Row],[Custo Aluminio]]+Tabela3[[#This Row],[Custo M.O. Total]]+Tabela3[[#This Row],[Custo Machos]])</f>
        <v>401.98578424001948</v>
      </c>
      <c r="AB307" s="47">
        <f ca="1">Tabela3[[#This Row],[Custo Total]]*Tabela3[[#This Row],[% Perda]]</f>
        <v>0</v>
      </c>
      <c r="AC307" s="48">
        <f>IFERROR(VLOOKUP(Tabela3[[#This Row],[Produto]],Tabela2[],2,0),0)</f>
        <v>4</v>
      </c>
      <c r="AD307" s="48">
        <f>IFERROR(VLOOKUP(Tabela3[[#This Row],[Produto]],Tabela2[],3,0),0)</f>
        <v>0.23</v>
      </c>
      <c r="AE307" s="48">
        <f>IFERROR(VLOOKUP(Tabela3[[#This Row],[Produto]],Tabela2[],4,0),0)</f>
        <v>1.6279999999999999</v>
      </c>
      <c r="AF307" s="48">
        <f>IFERROR(VLOOKUP(Tabela3[[#This Row],[Produto]],Tabela2[],5,0),0)</f>
        <v>0.63719999999999988</v>
      </c>
      <c r="AG307" s="40">
        <f>IFERROR(VLOOKUP(Tabela3[[#This Row],[Produto]],Tabela2[],6,0),0)</f>
        <v>0</v>
      </c>
      <c r="AH307" s="40">
        <f>IFERROR(VLOOKUP(Tabela3[[#This Row],[Produto]],Tabela2[],7,0),0)</f>
        <v>0</v>
      </c>
      <c r="AI307" s="40">
        <f>IFERROR(VLOOKUP(Tabela3[[#This Row],[Produto]],Tabela2[],8,0),0)</f>
        <v>0</v>
      </c>
      <c r="AJ307" s="35">
        <f ca="1">IFERROR(VLOOKUP(Tabela3[[#This Row],[Produto]],Tabela2[],13,0),0)</f>
        <v>15.600000000000001</v>
      </c>
      <c r="AK307" s="40" t="str">
        <f>IFERROR(VLOOKUP(Tabela3[[#This Row],[Produto]],Tabela2[],14,0),0)</f>
        <v>Senun</v>
      </c>
      <c r="AL307" s="40">
        <f>IFERROR(VLOOKUP(Tabela3[[#This Row],[Produto]],Tabela2[],15,0),0)</f>
        <v>4</v>
      </c>
      <c r="AM307" s="36">
        <f ca="1">(Tabela3[[#This Row],[Custo Usinagem]]+Tabela3[[#This Row],[Custo / Pç]])*1.2</f>
        <v>12.839715684800389</v>
      </c>
      <c r="AN307" s="36">
        <f ca="1">Tabela3[[#This Row],[Valor Mínimo Venda]]*1.15</f>
        <v>14.765673037520447</v>
      </c>
      <c r="AO307" s="36">
        <f ca="1">Tabela3[[#This Row],[Tabela 1]]*1.08</f>
        <v>15.946926880522083</v>
      </c>
      <c r="AP307" s="36">
        <f ca="1">Tabela3[[#This Row],[Tabela 2]]*1.15</f>
        <v>18.338965912600393</v>
      </c>
    </row>
    <row r="308" spans="1:42">
      <c r="A308" s="9">
        <v>45810</v>
      </c>
      <c r="B308" s="6" t="s">
        <v>278</v>
      </c>
      <c r="C308" s="14">
        <v>6715</v>
      </c>
      <c r="D308" s="6" t="s">
        <v>44</v>
      </c>
      <c r="E308" s="6" t="s">
        <v>47</v>
      </c>
      <c r="F308" s="6">
        <v>10</v>
      </c>
      <c r="G308" s="15">
        <v>4.4444444444444446E-2</v>
      </c>
      <c r="H308" s="16">
        <v>4</v>
      </c>
      <c r="I308" s="35">
        <f ca="1">IFERROR(Tabela3[[#This Row],[Custo Total]]/Tabela3[[#This Row],[Aluminio Util]],0)</f>
        <v>32.381281274852888</v>
      </c>
      <c r="J308" s="35">
        <f ca="1">Tabela3[[#This Row],[Custo Total]]/Tabela3[[#This Row],[Realizado]]</f>
        <v>4.5333793784794043</v>
      </c>
      <c r="K308" s="37">
        <f>IFERROR(Tabela3[[#This Row],[Qtde Cx Produzida]]/Tabela3[[#This Row],[Tempo]]/24,0)</f>
        <v>9.375</v>
      </c>
      <c r="L308" s="37">
        <f>Tabela3[[#This Row],[Qtde Cx Produzida]]*Tabela3[[#This Row],[Qdt Peça Placa]]</f>
        <v>60</v>
      </c>
      <c r="M308" s="37">
        <f>Tabela3[[#This Row],[Previsto]]-Tabela3[[#This Row],[Perda Pçs]]</f>
        <v>56</v>
      </c>
      <c r="N308" s="38">
        <f>IFERROR(Tabela3[[#This Row],[Perda Pçs]]/Tabela3[[#This Row],[Previsto]],0)</f>
        <v>6.6666666666666666E-2</v>
      </c>
      <c r="O308" s="39">
        <f>IFERROR(IF(Tabela3[[#This Row],[Qtde Cx Produzida]] &lt;&gt; 0, Tabela3[[#This Row],[Tempo]] / Tabela3[[#This Row],[Qtde Cx Produzida]], 0),0)</f>
        <v>4.4444444444444444E-3</v>
      </c>
      <c r="P308" s="57">
        <f>IFERROR(Tabela3[[#This Row],[Perda Pçs]]/Tabela3[[#This Row],[Qdt Peça Placa]],0)</f>
        <v>0.66666666666666663</v>
      </c>
      <c r="Q308" s="37">
        <f>IFERROR(Tabela3[[#This Row],[Realizado]]*Tabela3[[#This Row],[Peso Util/Pç]],0)</f>
        <v>7.8400000000000007</v>
      </c>
      <c r="R308" s="37">
        <f>IFERROR(Tabela3[[#This Row],[Peso Total Galho]]*Tabela3[[#This Row],[Qtde Cx Produzida]]*1.055,0)</f>
        <v>15.698399999999998</v>
      </c>
      <c r="S308" s="37">
        <f>(Tabela3[[#This Row],[Aluminio Bruto]]-Tabela3[[#This Row],[Aluminio Util]])*0.9</f>
        <v>7.0725599999999975</v>
      </c>
      <c r="T308" s="37">
        <f>Tabela3[[#This Row],[Aluminio Bruto]]/OleoKGAluminio</f>
        <v>6.6042965821638084</v>
      </c>
      <c r="U308" s="35">
        <f>IFERROR((VLOOKUP(Tabela3[[#This Row],[Moldador]],Tabela1[],5,)+(VLOOKUP(Tabela3[[#This Row],[Ajudante]],Tabela1[],5,))*3.5),0)</f>
        <v>99.95034583333333</v>
      </c>
      <c r="V308" s="35">
        <f>IFERROR(Tabela3[[#This Row],[Custo M.O. / H]]/((Tabela3[[#This Row],[Realizado]]/Tabela3[[#This Row],[Qdt Peça Placa]])/Tabela3[[#This Row],[Tempo]]/24),)</f>
        <v>11.422896666666666</v>
      </c>
      <c r="W308" s="35">
        <f>Tabela3[[#This Row],[Custo / Cx Moldada]]*Tabela3[[#This Row],[Qtde Cx Produzida]]</f>
        <v>114.22896666666666</v>
      </c>
      <c r="X308" s="35">
        <f ca="1">Tabela3[[#This Row],[Aluminio Util]]*Tabela3[[#This Row],[Custo/Kg]]</f>
        <v>122.30400000000002</v>
      </c>
      <c r="Y308" s="35">
        <f>IFERROR(VLOOKUP(Tabela3[[#This Row],[Data]],Tabela461213[],2,1)*(Tabela3[[#This Row],[Qtde Cx Produzida]]*Tabela3[[#This Row],[Qde macho / CX]]*Tabela3[[#This Row],[Peso Macho]]),)</f>
        <v>0</v>
      </c>
      <c r="Z308" s="35">
        <f>IFERROR(Tabela3[[#This Row],[Qtde Oleo]]*(VLOOKUP(Tabela3[[#This Row],[Data]],CompraOleo[],3,TRUE))*1.05,0)</f>
        <v>17.336278528179999</v>
      </c>
      <c r="AA308" s="47">
        <f ca="1">(Tabela3[[#This Row],[Custo Oleo]]+Tabela3[[#This Row],[Custo Aluminio]]+Tabela3[[#This Row],[Custo M.O. Total]]+Tabela3[[#This Row],[Custo Machos]])</f>
        <v>253.86924519484666</v>
      </c>
      <c r="AB308" s="47">
        <f ca="1">Tabela3[[#This Row],[Custo Total]]*Tabela3[[#This Row],[% Perda]]</f>
        <v>16.924616346323109</v>
      </c>
      <c r="AC308" s="48">
        <f>IFERROR(VLOOKUP(Tabela3[[#This Row],[Produto]],Tabela2[],2,0),0)</f>
        <v>6</v>
      </c>
      <c r="AD308" s="48">
        <f>IFERROR(VLOOKUP(Tabela3[[#This Row],[Produto]],Tabela2[],3,0),0)</f>
        <v>0.14000000000000001</v>
      </c>
      <c r="AE308" s="48">
        <f>IFERROR(VLOOKUP(Tabela3[[#This Row],[Produto]],Tabela2[],4,0),0)</f>
        <v>1.488</v>
      </c>
      <c r="AF308" s="48">
        <f>IFERROR(VLOOKUP(Tabela3[[#This Row],[Produto]],Tabela2[],5,0),0)</f>
        <v>0.58319999999999994</v>
      </c>
      <c r="AG308" s="40">
        <f>IFERROR(VLOOKUP(Tabela3[[#This Row],[Produto]],Tabela2[],6,0),0)</f>
        <v>0</v>
      </c>
      <c r="AH308" s="40">
        <f>IFERROR(VLOOKUP(Tabela3[[#This Row],[Produto]],Tabela2[],7,0),0)</f>
        <v>0</v>
      </c>
      <c r="AI308" s="40">
        <f>IFERROR(VLOOKUP(Tabela3[[#This Row],[Produto]],Tabela2[],8,0),0)</f>
        <v>0</v>
      </c>
      <c r="AJ308" s="35">
        <f ca="1">IFERROR(VLOOKUP(Tabela3[[#This Row],[Produto]],Tabela2[],13,0),0)</f>
        <v>15.600000000000001</v>
      </c>
      <c r="AK308" s="40" t="str">
        <f>IFERROR(VLOOKUP(Tabela3[[#This Row],[Produto]],Tabela2[],14,0),0)</f>
        <v>Senun</v>
      </c>
      <c r="AL308" s="40">
        <f>IFERROR(VLOOKUP(Tabela3[[#This Row],[Produto]],Tabela2[],15,0),0)</f>
        <v>0</v>
      </c>
      <c r="AM308" s="36">
        <f ca="1">(Tabela3[[#This Row],[Custo Usinagem]]+Tabela3[[#This Row],[Custo / Pç]])*1.2</f>
        <v>5.4400552541752853</v>
      </c>
      <c r="AN308" s="36">
        <f ca="1">Tabela3[[#This Row],[Valor Mínimo Venda]]*1.15</f>
        <v>6.256063542301578</v>
      </c>
      <c r="AO308" s="36">
        <f ca="1">Tabela3[[#This Row],[Tabela 1]]*1.08</f>
        <v>6.7565486256857046</v>
      </c>
      <c r="AP308" s="36">
        <f ca="1">Tabela3[[#This Row],[Tabela 2]]*1.15</f>
        <v>7.7700309195385593</v>
      </c>
    </row>
    <row r="309" spans="1:42">
      <c r="A309" s="9">
        <v>45810</v>
      </c>
      <c r="B309" s="6" t="s">
        <v>126</v>
      </c>
      <c r="C309" s="14">
        <v>6712</v>
      </c>
      <c r="D309" s="6" t="s">
        <v>44</v>
      </c>
      <c r="E309" s="6" t="s">
        <v>47</v>
      </c>
      <c r="F309" s="6">
        <v>15</v>
      </c>
      <c r="G309" s="15">
        <v>8.611111111111111E-2</v>
      </c>
      <c r="H309" s="16">
        <v>0</v>
      </c>
      <c r="I309" s="35">
        <f ca="1">IFERROR(Tabela3[[#This Row],[Custo Total]]/Tabela3[[#This Row],[Aluminio Util]],0)</f>
        <v>22.044167556648045</v>
      </c>
      <c r="J309" s="35">
        <f ca="1">Tabela3[[#This Row],[Custo Total]]/Tabela3[[#This Row],[Realizado]]</f>
        <v>69.262774462988148</v>
      </c>
      <c r="K309" s="37">
        <f>IFERROR(Tabela3[[#This Row],[Qtde Cx Produzida]]/Tabela3[[#This Row],[Tempo]]/24,0)</f>
        <v>7.258064516129032</v>
      </c>
      <c r="L309" s="37">
        <f>Tabela3[[#This Row],[Qtde Cx Produzida]]*Tabela3[[#This Row],[Qdt Peça Placa]]</f>
        <v>15</v>
      </c>
      <c r="M309" s="37">
        <f>Tabela3[[#This Row],[Previsto]]-Tabela3[[#This Row],[Perda Pçs]]</f>
        <v>15</v>
      </c>
      <c r="N309" s="38">
        <f>IFERROR(Tabela3[[#This Row],[Perda Pçs]]/Tabela3[[#This Row],[Previsto]],0)</f>
        <v>0</v>
      </c>
      <c r="O309" s="39">
        <f>IFERROR(IF(Tabela3[[#This Row],[Qtde Cx Produzida]] &lt;&gt; 0, Tabela3[[#This Row],[Tempo]] / Tabela3[[#This Row],[Qtde Cx Produzida]], 0),0)</f>
        <v>5.7407407407407407E-3</v>
      </c>
      <c r="P309" s="57">
        <f>IFERROR(Tabela3[[#This Row],[Perda Pçs]]/Tabela3[[#This Row],[Qdt Peça Placa]],0)</f>
        <v>0</v>
      </c>
      <c r="Q309" s="37">
        <f>IFERROR(Tabela3[[#This Row],[Realizado]]*Tabela3[[#This Row],[Peso Util/Pç]],0)</f>
        <v>47.129999999999995</v>
      </c>
      <c r="R309" s="37">
        <f>IFERROR(Tabela3[[#This Row],[Peso Total Galho]]*Tabela3[[#This Row],[Qtde Cx Produzida]]*1.055,0)</f>
        <v>87.971175000000002</v>
      </c>
      <c r="S309" s="37">
        <f>(Tabela3[[#This Row],[Aluminio Bruto]]-Tabela3[[#This Row],[Aluminio Util]])*0.9</f>
        <v>36.757057500000009</v>
      </c>
      <c r="T309" s="37">
        <f>Tabela3[[#This Row],[Aluminio Bruto]]/OleoKGAluminio</f>
        <v>37.009359576863524</v>
      </c>
      <c r="U309" s="35">
        <f>IFERROR((VLOOKUP(Tabela3[[#This Row],[Moldador]],Tabela1[],5,)+(VLOOKUP(Tabela3[[#This Row],[Ajudante]],Tabela1[],5,))*3.5),0)</f>
        <v>99.95034583333333</v>
      </c>
      <c r="V309" s="35">
        <f>IFERROR(Tabela3[[#This Row],[Custo M.O. / H]]/((Tabela3[[#This Row],[Realizado]]/Tabela3[[#This Row],[Qdt Peça Placa]])/Tabela3[[#This Row],[Tempo]]/24),)</f>
        <v>13.770936537037038</v>
      </c>
      <c r="W309" s="35">
        <f>Tabela3[[#This Row],[Custo / Cx Moldada]]*Tabela3[[#This Row],[Qtde Cx Produzida]]</f>
        <v>206.56404805555556</v>
      </c>
      <c r="X309" s="35">
        <f ca="1">Tabela3[[#This Row],[Aluminio Util]]*Tabela3[[#This Row],[Custo/Kg]]</f>
        <v>735.22799999999995</v>
      </c>
      <c r="Y309" s="35">
        <f>IFERROR(VLOOKUP(Tabela3[[#This Row],[Data]],Tabela461213[],2,1)*(Tabela3[[#This Row],[Qtde Cx Produzida]]*Tabela3[[#This Row],[Qde macho / CX]]*Tabela3[[#This Row],[Peso Macho]]),)</f>
        <v>0</v>
      </c>
      <c r="Z309" s="35">
        <f>IFERROR(Tabela3[[#This Row],[Qtde Oleo]]*(VLOOKUP(Tabela3[[#This Row],[Data]],CompraOleo[],3,TRUE))*1.05,0)</f>
        <v>97.149568889266746</v>
      </c>
      <c r="AA309" s="47">
        <f ca="1">(Tabela3[[#This Row],[Custo Oleo]]+Tabela3[[#This Row],[Custo Aluminio]]+Tabela3[[#This Row],[Custo M.O. Total]]+Tabela3[[#This Row],[Custo Machos]])</f>
        <v>1038.9416169448223</v>
      </c>
      <c r="AB309" s="47">
        <f ca="1">Tabela3[[#This Row],[Custo Total]]*Tabela3[[#This Row],[% Perda]]</f>
        <v>0</v>
      </c>
      <c r="AC309" s="48">
        <f>IFERROR(VLOOKUP(Tabela3[[#This Row],[Produto]],Tabela2[],2,0),0)</f>
        <v>1</v>
      </c>
      <c r="AD309" s="48">
        <f>IFERROR(VLOOKUP(Tabela3[[#This Row],[Produto]],Tabela2[],3,0),0)</f>
        <v>3.1419999999999999</v>
      </c>
      <c r="AE309" s="48">
        <f>IFERROR(VLOOKUP(Tabela3[[#This Row],[Produto]],Tabela2[],4,0),0)</f>
        <v>5.5590000000000002</v>
      </c>
      <c r="AF309" s="48">
        <f>IFERROR(VLOOKUP(Tabela3[[#This Row],[Produto]],Tabela2[],5,0),0)</f>
        <v>2.1753000000000005</v>
      </c>
      <c r="AG309" s="40">
        <f>IFERROR(VLOOKUP(Tabela3[[#This Row],[Produto]],Tabela2[],6,0),0)</f>
        <v>0</v>
      </c>
      <c r="AH309" s="40">
        <f>IFERROR(VLOOKUP(Tabela3[[#This Row],[Produto]],Tabela2[],7,0),0)</f>
        <v>0</v>
      </c>
      <c r="AI309" s="40">
        <f>IFERROR(VLOOKUP(Tabela3[[#This Row],[Produto]],Tabela2[],8,0),0)</f>
        <v>0</v>
      </c>
      <c r="AJ309" s="35">
        <f ca="1">IFERROR(VLOOKUP(Tabela3[[#This Row],[Produto]],Tabela2[],13,0),0)</f>
        <v>15.600000000000001</v>
      </c>
      <c r="AK309" s="40" t="str">
        <f>IFERROR(VLOOKUP(Tabela3[[#This Row],[Produto]],Tabela2[],14,0),0)</f>
        <v>Senun</v>
      </c>
      <c r="AL309" s="40">
        <f>IFERROR(VLOOKUP(Tabela3[[#This Row],[Produto]],Tabela2[],15,0),0)</f>
        <v>6.5</v>
      </c>
      <c r="AM309" s="36">
        <f ca="1">(Tabela3[[#This Row],[Custo Usinagem]]+Tabela3[[#This Row],[Custo / Pç]])*1.2</f>
        <v>90.915329355585769</v>
      </c>
      <c r="AN309" s="36">
        <f ca="1">Tabela3[[#This Row],[Valor Mínimo Venda]]*1.15</f>
        <v>104.55262875892363</v>
      </c>
      <c r="AO309" s="36">
        <f ca="1">Tabela3[[#This Row],[Tabela 1]]*1.08</f>
        <v>112.91683905963752</v>
      </c>
      <c r="AP309" s="36">
        <f ca="1">Tabela3[[#This Row],[Tabela 2]]*1.15</f>
        <v>129.85436491858314</v>
      </c>
    </row>
    <row r="310" spans="1:42">
      <c r="A310" s="9">
        <v>45811</v>
      </c>
      <c r="B310" s="6" t="s">
        <v>232</v>
      </c>
      <c r="C310" s="14">
        <v>6605</v>
      </c>
      <c r="D310" s="6" t="s">
        <v>46</v>
      </c>
      <c r="E310" s="6" t="s">
        <v>53</v>
      </c>
      <c r="F310" s="6">
        <v>83</v>
      </c>
      <c r="G310" s="15">
        <v>0.35347222222222224</v>
      </c>
      <c r="H310" s="16">
        <v>0</v>
      </c>
      <c r="I310" s="35">
        <f ca="1">IFERROR(Tabela3[[#This Row],[Custo Total]]/Tabela3[[#This Row],[Aluminio Util]],0)</f>
        <v>25.891378587199235</v>
      </c>
      <c r="J310" s="35">
        <f ca="1">Tabela3[[#This Row],[Custo Total]]/Tabela3[[#This Row],[Realizado]]</f>
        <v>10.900270385210877</v>
      </c>
      <c r="K310" s="37">
        <f>IFERROR(Tabela3[[#This Row],[Qtde Cx Produzida]]/Tabela3[[#This Row],[Tempo]]/24,0)</f>
        <v>9.7838899803536332</v>
      </c>
      <c r="L310" s="37">
        <f>Tabela3[[#This Row],[Qtde Cx Produzida]]*Tabela3[[#This Row],[Qdt Peça Placa]]</f>
        <v>332</v>
      </c>
      <c r="M310" s="37">
        <f>Tabela3[[#This Row],[Previsto]]-Tabela3[[#This Row],[Perda Pçs]]</f>
        <v>332</v>
      </c>
      <c r="N310" s="38">
        <f>IFERROR(Tabela3[[#This Row],[Perda Pçs]]/Tabela3[[#This Row],[Previsto]],0)</f>
        <v>0</v>
      </c>
      <c r="O310" s="39">
        <f>IFERROR(IF(Tabela3[[#This Row],[Qtde Cx Produzida]] &lt;&gt; 0, Tabela3[[#This Row],[Tempo]] / Tabela3[[#This Row],[Qtde Cx Produzida]], 0),0)</f>
        <v>4.2587014725568948E-3</v>
      </c>
      <c r="P310" s="57">
        <f>IFERROR(Tabela3[[#This Row],[Perda Pçs]]/Tabela3[[#This Row],[Qdt Peça Placa]],0)</f>
        <v>0</v>
      </c>
      <c r="Q310" s="37">
        <f>IFERROR(Tabela3[[#This Row],[Realizado]]*Tabela3[[#This Row],[Peso Util/Pç]],0)</f>
        <v>139.77199999999999</v>
      </c>
      <c r="R310" s="37">
        <f>IFERROR(Tabela3[[#This Row],[Peso Total Galho]]*Tabela3[[#This Row],[Qtde Cx Produzida]]*1.055,0)</f>
        <v>281.60903999999999</v>
      </c>
      <c r="S310" s="37">
        <f>(Tabela3[[#This Row],[Aluminio Bruto]]-Tabela3[[#This Row],[Aluminio Util]])*0.9</f>
        <v>127.65333600000001</v>
      </c>
      <c r="T310" s="37">
        <f>Tabela3[[#This Row],[Aluminio Bruto]]/OleoKGAluminio</f>
        <v>118.47255901100949</v>
      </c>
      <c r="U310" s="35">
        <f>IFERROR((VLOOKUP(Tabela3[[#This Row],[Moldador]],Tabela1[],5,)+(VLOOKUP(Tabela3[[#This Row],[Ajudante]],Tabela1[],5,))*3.5),0)</f>
        <v>99.95034583333333</v>
      </c>
      <c r="V310" s="35">
        <f>IFERROR(Tabela3[[#This Row],[Custo M.O. / H]]/((Tabela3[[#This Row],[Realizado]]/Tabela3[[#This Row],[Qdt Peça Placa]])/Tabela3[[#This Row],[Tempo]]/24),)</f>
        <v>10.215808439591701</v>
      </c>
      <c r="W310" s="35">
        <f>Tabela3[[#This Row],[Custo / Cx Moldada]]*Tabela3[[#This Row],[Qtde Cx Produzida]]</f>
        <v>847.91210048611117</v>
      </c>
      <c r="X310" s="35">
        <f ca="1">Tabela3[[#This Row],[Aluminio Util]]*Tabela3[[#This Row],[Custo/Kg]]</f>
        <v>2459.9872</v>
      </c>
      <c r="Y310" s="35">
        <f>IFERROR(VLOOKUP(Tabela3[[#This Row],[Data]],Tabela461213[],2,1)*(Tabela3[[#This Row],[Qtde Cx Produzida]]*Tabela3[[#This Row],[Qde macho / CX]]*Tabela3[[#This Row],[Peso Macho]]),)</f>
        <v>0</v>
      </c>
      <c r="Z310" s="35">
        <f>IFERROR(Tabela3[[#This Row],[Qtde Oleo]]*(VLOOKUP(Tabela3[[#This Row],[Data]],CompraOleo[],3,TRUE))*1.05,0)</f>
        <v>310.99046740389997</v>
      </c>
      <c r="AA310" s="47">
        <f ca="1">(Tabela3[[#This Row],[Custo Oleo]]+Tabela3[[#This Row],[Custo Aluminio]]+Tabela3[[#This Row],[Custo M.O. Total]]+Tabela3[[#This Row],[Custo Machos]])</f>
        <v>3618.8897678900112</v>
      </c>
      <c r="AB310" s="47">
        <f ca="1">Tabela3[[#This Row],[Custo Total]]*Tabela3[[#This Row],[% Perda]]</f>
        <v>0</v>
      </c>
      <c r="AC310" s="48">
        <f>IFERROR(VLOOKUP(Tabela3[[#This Row],[Produto]],Tabela2[],2,0),0)</f>
        <v>4</v>
      </c>
      <c r="AD310" s="48">
        <f>IFERROR(VLOOKUP(Tabela3[[#This Row],[Produto]],Tabela2[],3,0),0)</f>
        <v>0.42099999999999999</v>
      </c>
      <c r="AE310" s="48">
        <f>IFERROR(VLOOKUP(Tabela3[[#This Row],[Produto]],Tabela2[],4,0),0)</f>
        <v>3.2160000000000002</v>
      </c>
      <c r="AF310" s="48">
        <f>IFERROR(VLOOKUP(Tabela3[[#This Row],[Produto]],Tabela2[],5,0),0)</f>
        <v>1.3788000000000002</v>
      </c>
      <c r="AG310" s="40">
        <f>IFERROR(VLOOKUP(Tabela3[[#This Row],[Produto]],Tabela2[],6,0),0)</f>
        <v>0</v>
      </c>
      <c r="AH310" s="40">
        <f>IFERROR(VLOOKUP(Tabela3[[#This Row],[Produto]],Tabela2[],7,0),0)</f>
        <v>0</v>
      </c>
      <c r="AI310" s="40">
        <f>IFERROR(VLOOKUP(Tabela3[[#This Row],[Produto]],Tabela2[],8,0),0)</f>
        <v>0</v>
      </c>
      <c r="AJ310" s="35">
        <f ca="1">IFERROR(VLOOKUP(Tabela3[[#This Row],[Produto]],Tabela2[],13,0),0)</f>
        <v>17.600000000000001</v>
      </c>
      <c r="AK310" s="40" t="str">
        <f>IFERROR(VLOOKUP(Tabela3[[#This Row],[Produto]],Tabela2[],14,0),0)</f>
        <v>Busa</v>
      </c>
      <c r="AL310" s="40">
        <f>IFERROR(VLOOKUP(Tabela3[[#This Row],[Produto]],Tabela2[],15,0),0)</f>
        <v>0.5</v>
      </c>
      <c r="AM310" s="36">
        <f ca="1">(Tabela3[[#This Row],[Custo Usinagem]]+Tabela3[[#This Row],[Custo / Pç]])*1.2</f>
        <v>13.680324462253052</v>
      </c>
      <c r="AN310" s="36">
        <f ca="1">Tabela3[[#This Row],[Valor Mínimo Venda]]*1.15</f>
        <v>15.732373131591009</v>
      </c>
      <c r="AO310" s="36">
        <f ca="1">Tabela3[[#This Row],[Tabela 1]]*1.08</f>
        <v>16.99096298211829</v>
      </c>
      <c r="AP310" s="36">
        <f ca="1">Tabela3[[#This Row],[Tabela 2]]*1.15</f>
        <v>19.539607429436032</v>
      </c>
    </row>
    <row r="311" spans="1:42">
      <c r="A311" s="9">
        <v>45811</v>
      </c>
      <c r="B311" s="6" t="s">
        <v>126</v>
      </c>
      <c r="C311" s="14">
        <v>6712</v>
      </c>
      <c r="D311" s="6" t="s">
        <v>44</v>
      </c>
      <c r="E311" s="6" t="s">
        <v>47</v>
      </c>
      <c r="F311" s="6">
        <v>10</v>
      </c>
      <c r="G311" s="15">
        <v>5.0694444444444445E-2</v>
      </c>
      <c r="H311" s="16">
        <v>0</v>
      </c>
      <c r="I311" s="35">
        <f ca="1">IFERROR(Tabela3[[#This Row],[Custo Total]]/Tabela3[[#This Row],[Aluminio Util]],0)</f>
        <v>21.531656058457461</v>
      </c>
      <c r="J311" s="35">
        <f ca="1">Tabela3[[#This Row],[Custo Total]]/Tabela3[[#This Row],[Realizado]]</f>
        <v>67.652463335673332</v>
      </c>
      <c r="K311" s="37">
        <f>IFERROR(Tabela3[[#This Row],[Qtde Cx Produzida]]/Tabela3[[#This Row],[Tempo]]/24,0)</f>
        <v>8.2191780821917799</v>
      </c>
      <c r="L311" s="37">
        <f>Tabela3[[#This Row],[Qtde Cx Produzida]]*Tabela3[[#This Row],[Qdt Peça Placa]]</f>
        <v>10</v>
      </c>
      <c r="M311" s="37">
        <f>Tabela3[[#This Row],[Previsto]]-Tabela3[[#This Row],[Perda Pçs]]</f>
        <v>10</v>
      </c>
      <c r="N311" s="38">
        <f>IFERROR(Tabela3[[#This Row],[Perda Pçs]]/Tabela3[[#This Row],[Previsto]],0)</f>
        <v>0</v>
      </c>
      <c r="O311" s="39">
        <f>IFERROR(IF(Tabela3[[#This Row],[Qtde Cx Produzida]] &lt;&gt; 0, Tabela3[[#This Row],[Tempo]] / Tabela3[[#This Row],[Qtde Cx Produzida]], 0),0)</f>
        <v>5.0694444444444441E-3</v>
      </c>
      <c r="P311" s="57">
        <f>IFERROR(Tabela3[[#This Row],[Perda Pçs]]/Tabela3[[#This Row],[Qdt Peça Placa]],0)</f>
        <v>0</v>
      </c>
      <c r="Q311" s="37">
        <f>IFERROR(Tabela3[[#This Row],[Realizado]]*Tabela3[[#This Row],[Peso Util/Pç]],0)</f>
        <v>31.419999999999998</v>
      </c>
      <c r="R311" s="37">
        <f>IFERROR(Tabela3[[#This Row],[Peso Total Galho]]*Tabela3[[#This Row],[Qtde Cx Produzida]]*1.055,0)</f>
        <v>58.647449999999999</v>
      </c>
      <c r="S311" s="37">
        <f>(Tabela3[[#This Row],[Aluminio Bruto]]-Tabela3[[#This Row],[Aluminio Util]])*0.9</f>
        <v>24.504705000000001</v>
      </c>
      <c r="T311" s="37">
        <f>Tabela3[[#This Row],[Aluminio Bruto]]/OleoKGAluminio</f>
        <v>24.672906384575683</v>
      </c>
      <c r="U311" s="35">
        <f>IFERROR((VLOOKUP(Tabela3[[#This Row],[Moldador]],Tabela1[],5,)+(VLOOKUP(Tabela3[[#This Row],[Ajudante]],Tabela1[],5,))*3.5),0)</f>
        <v>99.95034583333333</v>
      </c>
      <c r="V311" s="35">
        <f>IFERROR(Tabela3[[#This Row],[Custo M.O. / H]]/((Tabela3[[#This Row],[Realizado]]/Tabela3[[#This Row],[Qdt Peça Placa]])/Tabela3[[#This Row],[Tempo]]/24),)</f>
        <v>12.160625409722224</v>
      </c>
      <c r="W311" s="35">
        <f>Tabela3[[#This Row],[Custo / Cx Moldada]]*Tabela3[[#This Row],[Qtde Cx Produzida]]</f>
        <v>121.60625409722223</v>
      </c>
      <c r="X311" s="35">
        <f ca="1">Tabela3[[#This Row],[Aluminio Util]]*Tabela3[[#This Row],[Custo/Kg]]</f>
        <v>490.15200000000004</v>
      </c>
      <c r="Y311" s="35">
        <f>IFERROR(VLOOKUP(Tabela3[[#This Row],[Data]],Tabela461213[],2,1)*(Tabela3[[#This Row],[Qtde Cx Produzida]]*Tabela3[[#This Row],[Qde macho / CX]]*Tabela3[[#This Row],[Peso Macho]]),)</f>
        <v>0</v>
      </c>
      <c r="Z311" s="35">
        <f>IFERROR(Tabela3[[#This Row],[Qtde Oleo]]*(VLOOKUP(Tabela3[[#This Row],[Data]],CompraOleo[],3,TRUE))*1.05,0)</f>
        <v>64.766379259511169</v>
      </c>
      <c r="AA311" s="47">
        <f ca="1">(Tabela3[[#This Row],[Custo Oleo]]+Tabela3[[#This Row],[Custo Aluminio]]+Tabela3[[#This Row],[Custo M.O. Total]]+Tabela3[[#This Row],[Custo Machos]])</f>
        <v>676.52463335673337</v>
      </c>
      <c r="AB311" s="47">
        <f ca="1">Tabela3[[#This Row],[Custo Total]]*Tabela3[[#This Row],[% Perda]]</f>
        <v>0</v>
      </c>
      <c r="AC311" s="48">
        <f>IFERROR(VLOOKUP(Tabela3[[#This Row],[Produto]],Tabela2[],2,0),0)</f>
        <v>1</v>
      </c>
      <c r="AD311" s="48">
        <f>IFERROR(VLOOKUP(Tabela3[[#This Row],[Produto]],Tabela2[],3,0),0)</f>
        <v>3.1419999999999999</v>
      </c>
      <c r="AE311" s="48">
        <f>IFERROR(VLOOKUP(Tabela3[[#This Row],[Produto]],Tabela2[],4,0),0)</f>
        <v>5.5590000000000002</v>
      </c>
      <c r="AF311" s="48">
        <f>IFERROR(VLOOKUP(Tabela3[[#This Row],[Produto]],Tabela2[],5,0),0)</f>
        <v>2.1753000000000005</v>
      </c>
      <c r="AG311" s="40">
        <f>IFERROR(VLOOKUP(Tabela3[[#This Row],[Produto]],Tabela2[],6,0),0)</f>
        <v>0</v>
      </c>
      <c r="AH311" s="40">
        <f>IFERROR(VLOOKUP(Tabela3[[#This Row],[Produto]],Tabela2[],7,0),0)</f>
        <v>0</v>
      </c>
      <c r="AI311" s="40">
        <f>IFERROR(VLOOKUP(Tabela3[[#This Row],[Produto]],Tabela2[],8,0),0)</f>
        <v>0</v>
      </c>
      <c r="AJ311" s="35">
        <f ca="1">IFERROR(VLOOKUP(Tabela3[[#This Row],[Produto]],Tabela2[],13,0),0)</f>
        <v>15.600000000000001</v>
      </c>
      <c r="AK311" s="40" t="str">
        <f>IFERROR(VLOOKUP(Tabela3[[#This Row],[Produto]],Tabela2[],14,0),0)</f>
        <v>Senun</v>
      </c>
      <c r="AL311" s="40">
        <f>IFERROR(VLOOKUP(Tabela3[[#This Row],[Produto]],Tabela2[],15,0),0)</f>
        <v>6.5</v>
      </c>
      <c r="AM311" s="36">
        <f ca="1">(Tabela3[[#This Row],[Custo Usinagem]]+Tabela3[[#This Row],[Custo / Pç]])*1.2</f>
        <v>88.982956002807995</v>
      </c>
      <c r="AN311" s="36">
        <f ca="1">Tabela3[[#This Row],[Valor Mínimo Venda]]*1.15</f>
        <v>102.33039940322918</v>
      </c>
      <c r="AO311" s="36">
        <f ca="1">Tabela3[[#This Row],[Tabela 1]]*1.08</f>
        <v>110.51683135548753</v>
      </c>
      <c r="AP311" s="36">
        <f ca="1">Tabela3[[#This Row],[Tabela 2]]*1.15</f>
        <v>127.09435605881065</v>
      </c>
    </row>
    <row r="312" spans="1:42">
      <c r="A312" s="9">
        <v>45811</v>
      </c>
      <c r="B312" s="6" t="s">
        <v>145</v>
      </c>
      <c r="C312" s="14">
        <v>6714</v>
      </c>
      <c r="D312" s="6" t="s">
        <v>44</v>
      </c>
      <c r="E312" s="6" t="s">
        <v>47</v>
      </c>
      <c r="F312" s="6">
        <v>15</v>
      </c>
      <c r="G312" s="15">
        <v>7.6388888888888895E-2</v>
      </c>
      <c r="H312" s="16">
        <v>0</v>
      </c>
      <c r="I312" s="35">
        <f ca="1">IFERROR(Tabela3[[#This Row],[Custo Total]]/Tabela3[[#This Row],[Aluminio Util]],0)</f>
        <v>23.686175339767949</v>
      </c>
      <c r="J312" s="35">
        <f ca="1">Tabela3[[#This Row],[Custo Total]]/Tabela3[[#This Row],[Realizado]]</f>
        <v>24.017781794524701</v>
      </c>
      <c r="K312" s="37">
        <f>IFERROR(Tabela3[[#This Row],[Qtde Cx Produzida]]/Tabela3[[#This Row],[Tempo]]/24,0)</f>
        <v>8.1818181818181817</v>
      </c>
      <c r="L312" s="37">
        <f>Tabela3[[#This Row],[Qtde Cx Produzida]]*Tabela3[[#This Row],[Qdt Peça Placa]]</f>
        <v>30</v>
      </c>
      <c r="M312" s="37">
        <f>Tabela3[[#This Row],[Previsto]]-Tabela3[[#This Row],[Perda Pçs]]</f>
        <v>30</v>
      </c>
      <c r="N312" s="38">
        <f>IFERROR(Tabela3[[#This Row],[Perda Pçs]]/Tabela3[[#This Row],[Previsto]],0)</f>
        <v>0</v>
      </c>
      <c r="O312" s="39">
        <f>IFERROR(IF(Tabela3[[#This Row],[Qtde Cx Produzida]] &lt;&gt; 0, Tabela3[[#This Row],[Tempo]] / Tabela3[[#This Row],[Qtde Cx Produzida]], 0),0)</f>
        <v>5.092592592592593E-3</v>
      </c>
      <c r="P312" s="57">
        <f>IFERROR(Tabela3[[#This Row],[Perda Pçs]]/Tabela3[[#This Row],[Qdt Peça Placa]],0)</f>
        <v>0</v>
      </c>
      <c r="Q312" s="37">
        <f>IFERROR(Tabela3[[#This Row],[Realizado]]*Tabela3[[#This Row],[Peso Util/Pç]],0)</f>
        <v>30.42</v>
      </c>
      <c r="R312" s="37">
        <f>IFERROR(Tabela3[[#This Row],[Peso Total Galho]]*Tabela3[[#This Row],[Qtde Cx Produzida]]*1.055,0)</f>
        <v>56.811749999999989</v>
      </c>
      <c r="S312" s="37">
        <f>(Tabela3[[#This Row],[Aluminio Bruto]]-Tabela3[[#This Row],[Aluminio Util]])*0.9</f>
        <v>23.75257499999999</v>
      </c>
      <c r="T312" s="37">
        <f>Tabela3[[#This Row],[Aluminio Bruto]]/OleoKGAluminio</f>
        <v>23.900629768112974</v>
      </c>
      <c r="U312" s="35">
        <f>IFERROR((VLOOKUP(Tabela3[[#This Row],[Moldador]],Tabela1[],5,)+(VLOOKUP(Tabela3[[#This Row],[Ajudante]],Tabela1[],5,))*3.5),0)</f>
        <v>99.95034583333333</v>
      </c>
      <c r="V312" s="35">
        <f>IFERROR(Tabela3[[#This Row],[Custo M.O. / H]]/((Tabela3[[#This Row],[Realizado]]/Tabela3[[#This Row],[Qdt Peça Placa]])/Tabela3[[#This Row],[Tempo]]/24),)</f>
        <v>12.216153379629629</v>
      </c>
      <c r="W312" s="35">
        <f>Tabela3[[#This Row],[Custo / Cx Moldada]]*Tabela3[[#This Row],[Qtde Cx Produzida]]</f>
        <v>183.24230069444445</v>
      </c>
      <c r="X312" s="35">
        <f ca="1">Tabela3[[#This Row],[Aluminio Util]]*Tabela3[[#This Row],[Custo/Kg]]</f>
        <v>474.55200000000008</v>
      </c>
      <c r="Y312" s="35">
        <f>IFERROR(VLOOKUP(Tabela3[[#This Row],[Data]],Tabela461213[],2,1)*(Tabela3[[#This Row],[Qtde Cx Produzida]]*Tabela3[[#This Row],[Qde macho / CX]]*Tabela3[[#This Row],[Peso Macho]]),)</f>
        <v>0</v>
      </c>
      <c r="Z312" s="35">
        <f>IFERROR(Tabela3[[#This Row],[Qtde Oleo]]*(VLOOKUP(Tabela3[[#This Row],[Data]],CompraOleo[],3,TRUE))*1.05,0)</f>
        <v>62.739153141296562</v>
      </c>
      <c r="AA312" s="47">
        <f ca="1">(Tabela3[[#This Row],[Custo Oleo]]+Tabela3[[#This Row],[Custo Aluminio]]+Tabela3[[#This Row],[Custo M.O. Total]]+Tabela3[[#This Row],[Custo Machos]])</f>
        <v>720.53345383574106</v>
      </c>
      <c r="AB312" s="47">
        <f ca="1">Tabela3[[#This Row],[Custo Total]]*Tabela3[[#This Row],[% Perda]]</f>
        <v>0</v>
      </c>
      <c r="AC312" s="48">
        <f>IFERROR(VLOOKUP(Tabela3[[#This Row],[Produto]],Tabela2[],2,0),0)</f>
        <v>2</v>
      </c>
      <c r="AD312" s="48">
        <f>IFERROR(VLOOKUP(Tabela3[[#This Row],[Produto]],Tabela2[],3,0),0)</f>
        <v>1.014</v>
      </c>
      <c r="AE312" s="48">
        <f>IFERROR(VLOOKUP(Tabela3[[#This Row],[Produto]],Tabela2[],4,0),0)</f>
        <v>3.59</v>
      </c>
      <c r="AF312" s="48">
        <f>IFERROR(VLOOKUP(Tabela3[[#This Row],[Produto]],Tabela2[],5,0),0)</f>
        <v>1.4057999999999999</v>
      </c>
      <c r="AG312" s="40">
        <f>IFERROR(VLOOKUP(Tabela3[[#This Row],[Produto]],Tabela2[],6,0),0)</f>
        <v>0</v>
      </c>
      <c r="AH312" s="40">
        <f>IFERROR(VLOOKUP(Tabela3[[#This Row],[Produto]],Tabela2[],7,0),0)</f>
        <v>0</v>
      </c>
      <c r="AI312" s="40">
        <f>IFERROR(VLOOKUP(Tabela3[[#This Row],[Produto]],Tabela2[],8,0),0)</f>
        <v>0</v>
      </c>
      <c r="AJ312" s="35">
        <f ca="1">IFERROR(VLOOKUP(Tabela3[[#This Row],[Produto]],Tabela2[],13,0),0)</f>
        <v>15.600000000000001</v>
      </c>
      <c r="AK312" s="40" t="str">
        <f>IFERROR(VLOOKUP(Tabela3[[#This Row],[Produto]],Tabela2[],14,0),0)</f>
        <v>Senun</v>
      </c>
      <c r="AL312" s="40">
        <f>IFERROR(VLOOKUP(Tabela3[[#This Row],[Produto]],Tabela2[],15,0),0)</f>
        <v>6</v>
      </c>
      <c r="AM312" s="36">
        <f ca="1">(Tabela3[[#This Row],[Custo Usinagem]]+Tabela3[[#This Row],[Custo / Pç]])*1.2</f>
        <v>36.021338153429639</v>
      </c>
      <c r="AN312" s="36">
        <f ca="1">Tabela3[[#This Row],[Valor Mínimo Venda]]*1.15</f>
        <v>41.424538876444082</v>
      </c>
      <c r="AO312" s="36">
        <f ca="1">Tabela3[[#This Row],[Tabela 1]]*1.08</f>
        <v>44.738501986559612</v>
      </c>
      <c r="AP312" s="36">
        <f ca="1">Tabela3[[#This Row],[Tabela 2]]*1.15</f>
        <v>51.449277284543548</v>
      </c>
    </row>
    <row r="313" spans="1:42">
      <c r="A313" s="9">
        <v>45811</v>
      </c>
      <c r="B313" s="6" t="s">
        <v>156</v>
      </c>
      <c r="C313" s="14">
        <v>6716</v>
      </c>
      <c r="D313" s="6" t="s">
        <v>44</v>
      </c>
      <c r="E313" s="6" t="s">
        <v>47</v>
      </c>
      <c r="F313" s="6">
        <v>25</v>
      </c>
      <c r="G313" s="15">
        <v>0.11597222222222223</v>
      </c>
      <c r="H313" s="16">
        <v>0</v>
      </c>
      <c r="I313" s="35">
        <f ca="1">IFERROR(Tabela3[[#This Row],[Custo Total]]/Tabela3[[#This Row],[Aluminio Util]],0)</f>
        <v>28.239895561245639</v>
      </c>
      <c r="J313" s="35">
        <f ca="1">Tabela3[[#This Row],[Custo Total]]/Tabela3[[#This Row],[Realizado]]</f>
        <v>14.854185065215207</v>
      </c>
      <c r="K313" s="37">
        <f>IFERROR(Tabela3[[#This Row],[Qtde Cx Produzida]]/Tabela3[[#This Row],[Tempo]]/24,0)</f>
        <v>8.9820359281437128</v>
      </c>
      <c r="L313" s="37">
        <f>Tabela3[[#This Row],[Qtde Cx Produzida]]*Tabela3[[#This Row],[Qdt Peça Placa]]</f>
        <v>50</v>
      </c>
      <c r="M313" s="37">
        <f>Tabela3[[#This Row],[Previsto]]-Tabela3[[#This Row],[Perda Pçs]]</f>
        <v>50</v>
      </c>
      <c r="N313" s="38">
        <f>IFERROR(Tabela3[[#This Row],[Perda Pçs]]/Tabela3[[#This Row],[Previsto]],0)</f>
        <v>0</v>
      </c>
      <c r="O313" s="39">
        <f>IFERROR(IF(Tabela3[[#This Row],[Qtde Cx Produzida]] &lt;&gt; 0, Tabela3[[#This Row],[Tempo]] / Tabela3[[#This Row],[Qtde Cx Produzida]], 0),0)</f>
        <v>4.6388888888888894E-3</v>
      </c>
      <c r="P313" s="57">
        <f>IFERROR(Tabela3[[#This Row],[Perda Pçs]]/Tabela3[[#This Row],[Qdt Peça Placa]],0)</f>
        <v>0</v>
      </c>
      <c r="Q313" s="37">
        <f>IFERROR(Tabela3[[#This Row],[Realizado]]*Tabela3[[#This Row],[Peso Util/Pç]],0)</f>
        <v>26.3</v>
      </c>
      <c r="R313" s="37">
        <f>IFERROR(Tabela3[[#This Row],[Peso Total Galho]]*Tabela3[[#This Row],[Qtde Cx Produzida]]*1.055,0)</f>
        <v>49.110250000000001</v>
      </c>
      <c r="S313" s="37">
        <f>(Tabela3[[#This Row],[Aluminio Bruto]]-Tabela3[[#This Row],[Aluminio Util]])*0.9</f>
        <v>20.529225</v>
      </c>
      <c r="T313" s="37">
        <f>Tabela3[[#This Row],[Aluminio Bruto]]/OleoKGAluminio</f>
        <v>20.66061867605681</v>
      </c>
      <c r="U313" s="35">
        <f>IFERROR((VLOOKUP(Tabela3[[#This Row],[Moldador]],Tabela1[],5,)+(VLOOKUP(Tabela3[[#This Row],[Ajudante]],Tabela1[],5,))*3.5),0)</f>
        <v>99.95034583333333</v>
      </c>
      <c r="V313" s="35">
        <f>IFERROR(Tabela3[[#This Row],[Custo M.O. / H]]/((Tabela3[[#This Row],[Realizado]]/Tabela3[[#This Row],[Qdt Peça Placa]])/Tabela3[[#This Row],[Tempo]]/24),)</f>
        <v>11.127805169444445</v>
      </c>
      <c r="W313" s="35">
        <f>Tabela3[[#This Row],[Custo / Cx Moldada]]*Tabela3[[#This Row],[Qtde Cx Produzida]]</f>
        <v>278.19512923611114</v>
      </c>
      <c r="X313" s="35">
        <f ca="1">Tabela3[[#This Row],[Aluminio Util]]*Tabela3[[#This Row],[Custo/Kg]]</f>
        <v>410.28000000000003</v>
      </c>
      <c r="Y313" s="35">
        <f>IFERROR(VLOOKUP(Tabela3[[#This Row],[Data]],Tabela461213[],2,1)*(Tabela3[[#This Row],[Qtde Cx Produzida]]*Tabela3[[#This Row],[Qde macho / CX]]*Tabela3[[#This Row],[Peso Macho]]),)</f>
        <v>0</v>
      </c>
      <c r="Z313" s="35">
        <f>IFERROR(Tabela3[[#This Row],[Qtde Oleo]]*(VLOOKUP(Tabela3[[#This Row],[Data]],CompraOleo[],3,TRUE))*1.05,0)</f>
        <v>54.234124024649134</v>
      </c>
      <c r="AA313" s="47">
        <f ca="1">(Tabela3[[#This Row],[Custo Oleo]]+Tabela3[[#This Row],[Custo Aluminio]]+Tabela3[[#This Row],[Custo M.O. Total]]+Tabela3[[#This Row],[Custo Machos]])</f>
        <v>742.70925326076031</v>
      </c>
      <c r="AB313" s="47">
        <f ca="1">Tabela3[[#This Row],[Custo Total]]*Tabela3[[#This Row],[% Perda]]</f>
        <v>0</v>
      </c>
      <c r="AC313" s="48">
        <f>IFERROR(VLOOKUP(Tabela3[[#This Row],[Produto]],Tabela2[],2,0),0)</f>
        <v>2</v>
      </c>
      <c r="AD313" s="48">
        <f>IFERROR(VLOOKUP(Tabela3[[#This Row],[Produto]],Tabela2[],3,0),0)</f>
        <v>0.52600000000000002</v>
      </c>
      <c r="AE313" s="48">
        <f>IFERROR(VLOOKUP(Tabela3[[#This Row],[Produto]],Tabela2[],4,0),0)</f>
        <v>1.8620000000000001</v>
      </c>
      <c r="AF313" s="48">
        <f>IFERROR(VLOOKUP(Tabela3[[#This Row],[Produto]],Tabela2[],5,0),0)</f>
        <v>0.72900000000000009</v>
      </c>
      <c r="AG313" s="40">
        <f>IFERROR(VLOOKUP(Tabela3[[#This Row],[Produto]],Tabela2[],6,0),0)</f>
        <v>0</v>
      </c>
      <c r="AH313" s="40">
        <f>IFERROR(VLOOKUP(Tabela3[[#This Row],[Produto]],Tabela2[],7,0),0)</f>
        <v>0</v>
      </c>
      <c r="AI313" s="40">
        <f>IFERROR(VLOOKUP(Tabela3[[#This Row],[Produto]],Tabela2[],8,0),0)</f>
        <v>0</v>
      </c>
      <c r="AJ313" s="35">
        <f ca="1">IFERROR(VLOOKUP(Tabela3[[#This Row],[Produto]],Tabela2[],13,0),0)</f>
        <v>15.600000000000001</v>
      </c>
      <c r="AK313" s="40" t="str">
        <f>IFERROR(VLOOKUP(Tabela3[[#This Row],[Produto]],Tabela2[],14,0),0)</f>
        <v>Senun</v>
      </c>
      <c r="AL313" s="40">
        <f>IFERROR(VLOOKUP(Tabela3[[#This Row],[Produto]],Tabela2[],15,0),0)</f>
        <v>0</v>
      </c>
      <c r="AM313" s="36">
        <f ca="1">(Tabela3[[#This Row],[Custo Usinagem]]+Tabela3[[#This Row],[Custo / Pç]])*1.2</f>
        <v>17.825022078258247</v>
      </c>
      <c r="AN313" s="36">
        <f ca="1">Tabela3[[#This Row],[Valor Mínimo Venda]]*1.15</f>
        <v>20.498775389996982</v>
      </c>
      <c r="AO313" s="36">
        <f ca="1">Tabela3[[#This Row],[Tabela 1]]*1.08</f>
        <v>22.138677421196743</v>
      </c>
      <c r="AP313" s="36">
        <f ca="1">Tabela3[[#This Row],[Tabela 2]]*1.15</f>
        <v>25.459479034376251</v>
      </c>
    </row>
    <row r="314" spans="1:42">
      <c r="A314" s="9">
        <v>45811</v>
      </c>
      <c r="B314" s="6" t="s">
        <v>200</v>
      </c>
      <c r="C314" s="14">
        <v>6816</v>
      </c>
      <c r="D314" s="6" t="s">
        <v>44</v>
      </c>
      <c r="E314" s="6" t="s">
        <v>47</v>
      </c>
      <c r="F314" s="6">
        <v>1</v>
      </c>
      <c r="G314" s="15">
        <v>2.5694444444444443E-2</v>
      </c>
      <c r="H314" s="16">
        <v>0</v>
      </c>
      <c r="I314" s="35">
        <f ca="1">IFERROR(Tabela3[[#This Row],[Custo Total]]/Tabela3[[#This Row],[Aluminio Util]],0)</f>
        <v>22.124149121279043</v>
      </c>
      <c r="J314" s="35">
        <f ca="1">Tabela3[[#This Row],[Custo Total]]/Tabela3[[#This Row],[Realizado]]</f>
        <v>415.93400348004604</v>
      </c>
      <c r="K314" s="37">
        <f>IFERROR(Tabela3[[#This Row],[Qtde Cx Produzida]]/Tabela3[[#This Row],[Tempo]]/24,0)</f>
        <v>1.6216216216216217</v>
      </c>
      <c r="L314" s="37">
        <f>Tabela3[[#This Row],[Qtde Cx Produzida]]*Tabela3[[#This Row],[Qdt Peça Placa]]</f>
        <v>1</v>
      </c>
      <c r="M314" s="37">
        <f>Tabela3[[#This Row],[Previsto]]-Tabela3[[#This Row],[Perda Pçs]]</f>
        <v>1</v>
      </c>
      <c r="N314" s="38">
        <f>IFERROR(Tabela3[[#This Row],[Perda Pçs]]/Tabela3[[#This Row],[Previsto]],0)</f>
        <v>0</v>
      </c>
      <c r="O314" s="39">
        <f>IFERROR(IF(Tabela3[[#This Row],[Qtde Cx Produzida]] &lt;&gt; 0, Tabela3[[#This Row],[Tempo]] / Tabela3[[#This Row],[Qtde Cx Produzida]], 0),0)</f>
        <v>2.5694444444444443E-2</v>
      </c>
      <c r="P314" s="57">
        <f>IFERROR(Tabela3[[#This Row],[Perda Pçs]]/Tabela3[[#This Row],[Qdt Peça Placa]],0)</f>
        <v>0</v>
      </c>
      <c r="Q314" s="37">
        <f>IFERROR(Tabela3[[#This Row],[Realizado]]*Tabela3[[#This Row],[Peso Util/Pç]],0)</f>
        <v>18.8</v>
      </c>
      <c r="R314" s="37">
        <f>IFERROR(Tabela3[[#This Row],[Peso Total Galho]]*Tabela3[[#This Row],[Qtde Cx Produzida]]*1.055,0)</f>
        <v>21.205500000000001</v>
      </c>
      <c r="S314" s="37">
        <f>(Tabela3[[#This Row],[Aluminio Bruto]]-Tabela3[[#This Row],[Aluminio Util]])*0.9</f>
        <v>2.1649500000000002</v>
      </c>
      <c r="T314" s="37">
        <f>Tabela3[[#This Row],[Aluminio Bruto]]/OleoKGAluminio</f>
        <v>8.9211264315519205</v>
      </c>
      <c r="U314" s="35">
        <f>IFERROR((VLOOKUP(Tabela3[[#This Row],[Moldador]],Tabela1[],5,)+(VLOOKUP(Tabela3[[#This Row],[Ajudante]],Tabela1[],5,))*3.5),0)</f>
        <v>99.95034583333333</v>
      </c>
      <c r="V314" s="35">
        <f>IFERROR(Tabela3[[#This Row],[Custo M.O. / H]]/((Tabela3[[#This Row],[Realizado]]/Tabela3[[#This Row],[Qdt Peça Placa]])/Tabela3[[#This Row],[Tempo]]/24),)</f>
        <v>61.636046597222219</v>
      </c>
      <c r="W314" s="35">
        <f>Tabela3[[#This Row],[Custo / Cx Moldada]]*Tabela3[[#This Row],[Qtde Cx Produzida]]</f>
        <v>61.636046597222219</v>
      </c>
      <c r="X314" s="35">
        <f ca="1">Tabela3[[#This Row],[Aluminio Util]]*Tabela3[[#This Row],[Custo/Kg]]</f>
        <v>330.88000000000005</v>
      </c>
      <c r="Y314" s="35">
        <f>IFERROR(VLOOKUP(Tabela3[[#This Row],[Data]],Tabela461213[],2,1)*(Tabela3[[#This Row],[Qtde Cx Produzida]]*Tabela3[[#This Row],[Qde macho / CX]]*Tabela3[[#This Row],[Peso Macho]]),)</f>
        <v>0</v>
      </c>
      <c r="Z314" s="35">
        <f>IFERROR(Tabela3[[#This Row],[Qtde Oleo]]*(VLOOKUP(Tabela3[[#This Row],[Data]],CompraOleo[],3,TRUE))*1.05,0)</f>
        <v>23.417956882823791</v>
      </c>
      <c r="AA314" s="47">
        <f ca="1">(Tabela3[[#This Row],[Custo Oleo]]+Tabela3[[#This Row],[Custo Aluminio]]+Tabela3[[#This Row],[Custo M.O. Total]]+Tabela3[[#This Row],[Custo Machos]])</f>
        <v>415.93400348004604</v>
      </c>
      <c r="AB314" s="47">
        <f ca="1">Tabela3[[#This Row],[Custo Total]]*Tabela3[[#This Row],[% Perda]]</f>
        <v>0</v>
      </c>
      <c r="AC314" s="48">
        <f>IFERROR(VLOOKUP(Tabela3[[#This Row],[Produto]],Tabela2[],2,0),0)</f>
        <v>1</v>
      </c>
      <c r="AD314" s="48">
        <f>IFERROR(VLOOKUP(Tabela3[[#This Row],[Produto]],Tabela2[],3,0),0)</f>
        <v>18.8</v>
      </c>
      <c r="AE314" s="48">
        <f>IFERROR(VLOOKUP(Tabela3[[#This Row],[Produto]],Tabela2[],4,0),0)</f>
        <v>20.100000000000001</v>
      </c>
      <c r="AF314" s="48">
        <f>IFERROR(VLOOKUP(Tabela3[[#This Row],[Produto]],Tabela2[],5,0),0)</f>
        <v>1.1700000000000006</v>
      </c>
      <c r="AG314" s="40">
        <f>IFERROR(VLOOKUP(Tabela3[[#This Row],[Produto]],Tabela2[],6,0),0)</f>
        <v>0</v>
      </c>
      <c r="AH314" s="40">
        <f>IFERROR(VLOOKUP(Tabela3[[#This Row],[Produto]],Tabela2[],7,0),0)</f>
        <v>0</v>
      </c>
      <c r="AI314" s="40">
        <f>IFERROR(VLOOKUP(Tabela3[[#This Row],[Produto]],Tabela2[],8,0),0)</f>
        <v>0</v>
      </c>
      <c r="AJ314" s="35">
        <f ca="1">IFERROR(VLOOKUP(Tabela3[[#This Row],[Produto]],Tabela2[],13,0),0)</f>
        <v>17.600000000000001</v>
      </c>
      <c r="AK314" s="40" t="str">
        <f>IFERROR(VLOOKUP(Tabela3[[#This Row],[Produto]],Tabela2[],14,0),0)</f>
        <v>Oscar</v>
      </c>
      <c r="AL314" s="40">
        <f>IFERROR(VLOOKUP(Tabela3[[#This Row],[Produto]],Tabela2[],15,0),0)</f>
        <v>0</v>
      </c>
      <c r="AM314" s="36">
        <f ca="1">(Tabela3[[#This Row],[Custo Usinagem]]+Tabela3[[#This Row],[Custo / Pç]])*1.2</f>
        <v>499.12080417605523</v>
      </c>
      <c r="AN314" s="36">
        <f ca="1">Tabela3[[#This Row],[Valor Mínimo Venda]]*1.15</f>
        <v>573.98892480246343</v>
      </c>
      <c r="AO314" s="36">
        <f ca="1">Tabela3[[#This Row],[Tabela 1]]*1.08</f>
        <v>619.90803878666054</v>
      </c>
      <c r="AP314" s="36">
        <f ca="1">Tabela3[[#This Row],[Tabela 2]]*1.15</f>
        <v>712.89424460465955</v>
      </c>
    </row>
    <row r="315" spans="1:42">
      <c r="A315" s="9">
        <v>45811</v>
      </c>
      <c r="B315" s="6" t="s">
        <v>198</v>
      </c>
      <c r="C315" s="14">
        <v>6743</v>
      </c>
      <c r="D315" s="6" t="s">
        <v>44</v>
      </c>
      <c r="E315" s="6" t="s">
        <v>47</v>
      </c>
      <c r="F315" s="6">
        <v>3</v>
      </c>
      <c r="G315" s="15">
        <v>4.6527777777777779E-2</v>
      </c>
      <c r="H315" s="16">
        <v>0</v>
      </c>
      <c r="I315" s="35">
        <f ca="1">IFERROR(Tabela3[[#This Row],[Custo Total]]/Tabela3[[#This Row],[Aluminio Util]],0)</f>
        <v>21.720366655309796</v>
      </c>
      <c r="J315" s="35">
        <f ca="1">Tabela3[[#This Row],[Custo Total]]/Tabela3[[#This Row],[Realizado]]</f>
        <v>280.62713718660257</v>
      </c>
      <c r="K315" s="37">
        <f>IFERROR(Tabela3[[#This Row],[Qtde Cx Produzida]]/Tabela3[[#This Row],[Tempo]]/24,0)</f>
        <v>2.6865671641791042</v>
      </c>
      <c r="L315" s="37">
        <f>Tabela3[[#This Row],[Qtde Cx Produzida]]*Tabela3[[#This Row],[Qdt Peça Placa]]</f>
        <v>3</v>
      </c>
      <c r="M315" s="37">
        <f>Tabela3[[#This Row],[Previsto]]-Tabela3[[#This Row],[Perda Pçs]]</f>
        <v>3</v>
      </c>
      <c r="N315" s="38">
        <f>IFERROR(Tabela3[[#This Row],[Perda Pçs]]/Tabela3[[#This Row],[Previsto]],0)</f>
        <v>0</v>
      </c>
      <c r="O315" s="39">
        <f>IFERROR(IF(Tabela3[[#This Row],[Qtde Cx Produzida]] &lt;&gt; 0, Tabela3[[#This Row],[Tempo]] / Tabela3[[#This Row],[Qtde Cx Produzida]], 0),0)</f>
        <v>1.5509259259259259E-2</v>
      </c>
      <c r="P315" s="57">
        <f>IFERROR(Tabela3[[#This Row],[Perda Pçs]]/Tabela3[[#This Row],[Qdt Peça Placa]],0)</f>
        <v>0</v>
      </c>
      <c r="Q315" s="37">
        <f>IFERROR(Tabela3[[#This Row],[Realizado]]*Tabela3[[#This Row],[Peso Util/Pç]],0)</f>
        <v>38.76</v>
      </c>
      <c r="R315" s="37">
        <f>IFERROR(Tabela3[[#This Row],[Peso Total Galho]]*Tabela3[[#This Row],[Qtde Cx Produzida]]*1.055,0)</f>
        <v>43.550399999999996</v>
      </c>
      <c r="S315" s="37">
        <f>(Tabela3[[#This Row],[Aluminio Bruto]]-Tabela3[[#This Row],[Aluminio Util]])*0.9</f>
        <v>4.3113599999999987</v>
      </c>
      <c r="T315" s="37">
        <f>Tabela3[[#This Row],[Aluminio Bruto]]/OleoKGAluminio</f>
        <v>18.321596969873791</v>
      </c>
      <c r="U315" s="35">
        <f>IFERROR((VLOOKUP(Tabela3[[#This Row],[Moldador]],Tabela1[],5,)+(VLOOKUP(Tabela3[[#This Row],[Ajudante]],Tabela1[],5,))*3.5),0)</f>
        <v>99.95034583333333</v>
      </c>
      <c r="V315" s="35">
        <f>IFERROR(Tabela3[[#This Row],[Custo M.O. / H]]/((Tabela3[[#This Row],[Realizado]]/Tabela3[[#This Row],[Qdt Peça Placa]])/Tabela3[[#This Row],[Tempo]]/24),)</f>
        <v>37.203739837962964</v>
      </c>
      <c r="W315" s="35">
        <f>Tabela3[[#This Row],[Custo / Cx Moldada]]*Tabela3[[#This Row],[Qtde Cx Produzida]]</f>
        <v>111.6112195138889</v>
      </c>
      <c r="X315" s="35">
        <f ca="1">Tabela3[[#This Row],[Aluminio Util]]*Tabela3[[#This Row],[Custo/Kg]]</f>
        <v>682.17600000000004</v>
      </c>
      <c r="Y315" s="35">
        <f>IFERROR(VLOOKUP(Tabela3[[#This Row],[Data]],Tabela461213[],2,1)*(Tabela3[[#This Row],[Qtde Cx Produzida]]*Tabela3[[#This Row],[Qde macho / CX]]*Tabela3[[#This Row],[Peso Macho]]),)</f>
        <v>0</v>
      </c>
      <c r="Z315" s="35">
        <f>IFERROR(Tabela3[[#This Row],[Qtde Oleo]]*(VLOOKUP(Tabela3[[#This Row],[Data]],CompraOleo[],3,TRUE))*1.05,0)</f>
        <v>48.094192045918703</v>
      </c>
      <c r="AA315" s="47">
        <f ca="1">(Tabela3[[#This Row],[Custo Oleo]]+Tabela3[[#This Row],[Custo Aluminio]]+Tabela3[[#This Row],[Custo M.O. Total]]+Tabela3[[#This Row],[Custo Machos]])</f>
        <v>841.8814115598077</v>
      </c>
      <c r="AB315" s="47">
        <f ca="1">Tabela3[[#This Row],[Custo Total]]*Tabela3[[#This Row],[% Perda]]</f>
        <v>0</v>
      </c>
      <c r="AC315" s="48">
        <f>IFERROR(VLOOKUP(Tabela3[[#This Row],[Produto]],Tabela2[],2,0),0)</f>
        <v>1</v>
      </c>
      <c r="AD315" s="48">
        <f>IFERROR(VLOOKUP(Tabela3[[#This Row],[Produto]],Tabela2[],3,0),0)</f>
        <v>12.92</v>
      </c>
      <c r="AE315" s="48">
        <f>IFERROR(VLOOKUP(Tabela3[[#This Row],[Produto]],Tabela2[],4,0),0)</f>
        <v>13.76</v>
      </c>
      <c r="AF315" s="48">
        <f>IFERROR(VLOOKUP(Tabela3[[#This Row],[Produto]],Tabela2[],5,0),0)</f>
        <v>0.75599999999999989</v>
      </c>
      <c r="AG315" s="40">
        <f>IFERROR(VLOOKUP(Tabela3[[#This Row],[Produto]],Tabela2[],6,0),0)</f>
        <v>0</v>
      </c>
      <c r="AH315" s="40">
        <f>IFERROR(VLOOKUP(Tabela3[[#This Row],[Produto]],Tabela2[],7,0),0)</f>
        <v>0</v>
      </c>
      <c r="AI315" s="40">
        <f>IFERROR(VLOOKUP(Tabela3[[#This Row],[Produto]],Tabela2[],8,0),0)</f>
        <v>0</v>
      </c>
      <c r="AJ315" s="35">
        <f ca="1">IFERROR(VLOOKUP(Tabela3[[#This Row],[Produto]],Tabela2[],13,0),0)</f>
        <v>17.600000000000001</v>
      </c>
      <c r="AK315" s="40" t="str">
        <f>IFERROR(VLOOKUP(Tabela3[[#This Row],[Produto]],Tabela2[],14,0),0)</f>
        <v>Oscar</v>
      </c>
      <c r="AL315" s="40">
        <f>IFERROR(VLOOKUP(Tabela3[[#This Row],[Produto]],Tabela2[],15,0),0)</f>
        <v>0</v>
      </c>
      <c r="AM315" s="36">
        <f ca="1">(Tabela3[[#This Row],[Custo Usinagem]]+Tabela3[[#This Row],[Custo / Pç]])*1.2</f>
        <v>336.75256462392309</v>
      </c>
      <c r="AN315" s="36">
        <f ca="1">Tabela3[[#This Row],[Valor Mínimo Venda]]*1.15</f>
        <v>387.26544931751152</v>
      </c>
      <c r="AO315" s="36">
        <f ca="1">Tabela3[[#This Row],[Tabela 1]]*1.08</f>
        <v>418.24668526291248</v>
      </c>
      <c r="AP315" s="36">
        <f ca="1">Tabela3[[#This Row],[Tabela 2]]*1.15</f>
        <v>480.98368805234929</v>
      </c>
    </row>
    <row r="316" spans="1:42">
      <c r="A316" s="9">
        <v>45812</v>
      </c>
      <c r="B316" s="6" t="s">
        <v>232</v>
      </c>
      <c r="C316" s="14">
        <v>6605</v>
      </c>
      <c r="D316" s="6" t="s">
        <v>46</v>
      </c>
      <c r="E316" s="6" t="s">
        <v>44</v>
      </c>
      <c r="F316" s="6">
        <v>42</v>
      </c>
      <c r="G316" s="15">
        <v>0.1875</v>
      </c>
      <c r="H316" s="16">
        <v>0</v>
      </c>
      <c r="I316" s="35">
        <f ca="1">IFERROR(Tabela3[[#This Row],[Custo Total]]/Tabela3[[#This Row],[Aluminio Util]],0)</f>
        <v>27.847623575565205</v>
      </c>
      <c r="J316" s="35">
        <f ca="1">Tabela3[[#This Row],[Custo Total]]/Tabela3[[#This Row],[Realizado]]</f>
        <v>11.72384952531295</v>
      </c>
      <c r="K316" s="37">
        <f>IFERROR(Tabela3[[#This Row],[Qtde Cx Produzida]]/Tabela3[[#This Row],[Tempo]]/24,0)</f>
        <v>9.3333333333333339</v>
      </c>
      <c r="L316" s="37">
        <f>Tabela3[[#This Row],[Qtde Cx Produzida]]*Tabela3[[#This Row],[Qdt Peça Placa]]</f>
        <v>168</v>
      </c>
      <c r="M316" s="37">
        <f>Tabela3[[#This Row],[Previsto]]-Tabela3[[#This Row],[Perda Pçs]]</f>
        <v>168</v>
      </c>
      <c r="N316" s="38">
        <f>IFERROR(Tabela3[[#This Row],[Perda Pçs]]/Tabela3[[#This Row],[Previsto]],0)</f>
        <v>0</v>
      </c>
      <c r="O316" s="39">
        <f>IFERROR(IF(Tabela3[[#This Row],[Qtde Cx Produzida]] &lt;&gt; 0, Tabela3[[#This Row],[Tempo]] / Tabela3[[#This Row],[Qtde Cx Produzida]], 0),0)</f>
        <v>4.464285714285714E-3</v>
      </c>
      <c r="P316" s="57">
        <f>IFERROR(Tabela3[[#This Row],[Perda Pçs]]/Tabela3[[#This Row],[Qdt Peça Placa]],0)</f>
        <v>0</v>
      </c>
      <c r="Q316" s="37">
        <f>IFERROR(Tabela3[[#This Row],[Realizado]]*Tabela3[[#This Row],[Peso Util/Pç]],0)</f>
        <v>70.727999999999994</v>
      </c>
      <c r="R316" s="37">
        <f>IFERROR(Tabela3[[#This Row],[Peso Total Galho]]*Tabela3[[#This Row],[Qtde Cx Produzida]]*1.055,0)</f>
        <v>142.50095999999999</v>
      </c>
      <c r="S316" s="37">
        <f>(Tabela3[[#This Row],[Aluminio Bruto]]-Tabela3[[#This Row],[Aluminio Util]])*0.9</f>
        <v>64.595663999999999</v>
      </c>
      <c r="T316" s="37">
        <f>Tabela3[[#This Row],[Aluminio Bruto]]/OleoKGAluminio</f>
        <v>59.949969620028902</v>
      </c>
      <c r="U316" s="35">
        <f>IFERROR((VLOOKUP(Tabela3[[#This Row],[Moldador]],Tabela1[],5,)+(VLOOKUP(Tabela3[[#This Row],[Ajudante]],Tabela1[],5,))*3.5),0)</f>
        <v>126.0945</v>
      </c>
      <c r="V316" s="35">
        <f>IFERROR(Tabela3[[#This Row],[Custo M.O. / H]]/((Tabela3[[#This Row],[Realizado]]/Tabela3[[#This Row],[Qdt Peça Placa]])/Tabela3[[#This Row],[Tempo]]/24),)</f>
        <v>13.510124999999999</v>
      </c>
      <c r="W316" s="35">
        <f>Tabela3[[#This Row],[Custo / Cx Moldada]]*Tabela3[[#This Row],[Qtde Cx Produzida]]</f>
        <v>567.42524999999989</v>
      </c>
      <c r="X316" s="35">
        <f ca="1">Tabela3[[#This Row],[Aluminio Util]]*Tabela3[[#This Row],[Custo/Kg]]</f>
        <v>1244.8127999999999</v>
      </c>
      <c r="Y316" s="35">
        <f>IFERROR(VLOOKUP(Tabela3[[#This Row],[Data]],Tabela461213[],2,1)*(Tabela3[[#This Row],[Qtde Cx Produzida]]*Tabela3[[#This Row],[Qde macho / CX]]*Tabela3[[#This Row],[Peso Macho]]),)</f>
        <v>0</v>
      </c>
      <c r="Z316" s="35">
        <f>IFERROR(Tabela3[[#This Row],[Qtde Oleo]]*(VLOOKUP(Tabela3[[#This Row],[Data]],CompraOleo[],3,TRUE))*1.05,0)</f>
        <v>157.36867025257587</v>
      </c>
      <c r="AA316" s="47">
        <f ca="1">(Tabela3[[#This Row],[Custo Oleo]]+Tabela3[[#This Row],[Custo Aluminio]]+Tabela3[[#This Row],[Custo M.O. Total]]+Tabela3[[#This Row],[Custo Machos]])</f>
        <v>1969.6067202525755</v>
      </c>
      <c r="AB316" s="47">
        <f ca="1">Tabela3[[#This Row],[Custo Total]]*Tabela3[[#This Row],[% Perda]]</f>
        <v>0</v>
      </c>
      <c r="AC316" s="48">
        <f>IFERROR(VLOOKUP(Tabela3[[#This Row],[Produto]],Tabela2[],2,0),0)</f>
        <v>4</v>
      </c>
      <c r="AD316" s="48">
        <f>IFERROR(VLOOKUP(Tabela3[[#This Row],[Produto]],Tabela2[],3,0),0)</f>
        <v>0.42099999999999999</v>
      </c>
      <c r="AE316" s="48">
        <f>IFERROR(VLOOKUP(Tabela3[[#This Row],[Produto]],Tabela2[],4,0),0)</f>
        <v>3.2160000000000002</v>
      </c>
      <c r="AF316" s="48">
        <f>IFERROR(VLOOKUP(Tabela3[[#This Row],[Produto]],Tabela2[],5,0),0)</f>
        <v>1.3788000000000002</v>
      </c>
      <c r="AG316" s="40">
        <f>IFERROR(VLOOKUP(Tabela3[[#This Row],[Produto]],Tabela2[],6,0),0)</f>
        <v>0</v>
      </c>
      <c r="AH316" s="40">
        <f>IFERROR(VLOOKUP(Tabela3[[#This Row],[Produto]],Tabela2[],7,0),0)</f>
        <v>0</v>
      </c>
      <c r="AI316" s="40">
        <f>IFERROR(VLOOKUP(Tabela3[[#This Row],[Produto]],Tabela2[],8,0),0)</f>
        <v>0</v>
      </c>
      <c r="AJ316" s="35">
        <f ca="1">IFERROR(VLOOKUP(Tabela3[[#This Row],[Produto]],Tabela2[],13,0),0)</f>
        <v>17.600000000000001</v>
      </c>
      <c r="AK316" s="40" t="str">
        <f>IFERROR(VLOOKUP(Tabela3[[#This Row],[Produto]],Tabela2[],14,0),0)</f>
        <v>Busa</v>
      </c>
      <c r="AL316" s="40">
        <f>IFERROR(VLOOKUP(Tabela3[[#This Row],[Produto]],Tabela2[],15,0),0)</f>
        <v>0.5</v>
      </c>
      <c r="AM316" s="36">
        <f ca="1">(Tabela3[[#This Row],[Custo Usinagem]]+Tabela3[[#This Row],[Custo / Pç]])*1.2</f>
        <v>14.668619430375539</v>
      </c>
      <c r="AN316" s="36">
        <f ca="1">Tabela3[[#This Row],[Valor Mínimo Venda]]*1.15</f>
        <v>16.868912344931868</v>
      </c>
      <c r="AO316" s="36">
        <f ca="1">Tabela3[[#This Row],[Tabela 1]]*1.08</f>
        <v>18.218425332526419</v>
      </c>
      <c r="AP316" s="36">
        <f ca="1">Tabela3[[#This Row],[Tabela 2]]*1.15</f>
        <v>20.951189132405379</v>
      </c>
    </row>
    <row r="317" spans="1:42">
      <c r="A317" s="9">
        <v>45812</v>
      </c>
      <c r="B317" s="6" t="s">
        <v>232</v>
      </c>
      <c r="C317" s="14">
        <v>6605</v>
      </c>
      <c r="D317" s="6" t="s">
        <v>46</v>
      </c>
      <c r="E317" s="6" t="s">
        <v>53</v>
      </c>
      <c r="F317" s="6">
        <v>38</v>
      </c>
      <c r="G317" s="15">
        <v>0.1763888888888889</v>
      </c>
      <c r="H317" s="16">
        <v>0</v>
      </c>
      <c r="I317" s="35">
        <f ca="1">IFERROR(Tabela3[[#This Row],[Custo Total]]/Tabela3[[#This Row],[Aluminio Util]],0)</f>
        <v>26.43710945965141</v>
      </c>
      <c r="J317" s="35">
        <f ca="1">Tabela3[[#This Row],[Custo Total]]/Tabela3[[#This Row],[Realizado]]</f>
        <v>11.130023082513242</v>
      </c>
      <c r="K317" s="37">
        <f>IFERROR(Tabela3[[#This Row],[Qtde Cx Produzida]]/Tabela3[[#This Row],[Tempo]]/24,0)</f>
        <v>8.9763779527559056</v>
      </c>
      <c r="L317" s="37">
        <f>Tabela3[[#This Row],[Qtde Cx Produzida]]*Tabela3[[#This Row],[Qdt Peça Placa]]</f>
        <v>152</v>
      </c>
      <c r="M317" s="37">
        <f>Tabela3[[#This Row],[Previsto]]-Tabela3[[#This Row],[Perda Pçs]]</f>
        <v>152</v>
      </c>
      <c r="N317" s="38">
        <f>IFERROR(Tabela3[[#This Row],[Perda Pçs]]/Tabela3[[#This Row],[Previsto]],0)</f>
        <v>0</v>
      </c>
      <c r="O317" s="39">
        <f>IFERROR(IF(Tabela3[[#This Row],[Qtde Cx Produzida]] &lt;&gt; 0, Tabela3[[#This Row],[Tempo]] / Tabela3[[#This Row],[Qtde Cx Produzida]], 0),0)</f>
        <v>4.6418128654970763E-3</v>
      </c>
      <c r="P317" s="57">
        <f>IFERROR(Tabela3[[#This Row],[Perda Pçs]]/Tabela3[[#This Row],[Qdt Peça Placa]],0)</f>
        <v>0</v>
      </c>
      <c r="Q317" s="37">
        <f>IFERROR(Tabela3[[#This Row],[Realizado]]*Tabela3[[#This Row],[Peso Util/Pç]],0)</f>
        <v>63.991999999999997</v>
      </c>
      <c r="R317" s="37">
        <f>IFERROR(Tabela3[[#This Row],[Peso Total Galho]]*Tabela3[[#This Row],[Qtde Cx Produzida]]*1.055,0)</f>
        <v>128.92944</v>
      </c>
      <c r="S317" s="37">
        <f>(Tabela3[[#This Row],[Aluminio Bruto]]-Tabela3[[#This Row],[Aluminio Util]])*0.9</f>
        <v>58.44369600000001</v>
      </c>
      <c r="T317" s="37">
        <f>Tabela3[[#This Row],[Aluminio Bruto]]/OleoKGAluminio</f>
        <v>54.240448703835675</v>
      </c>
      <c r="U317" s="35">
        <f>IFERROR((VLOOKUP(Tabela3[[#This Row],[Moldador]],Tabela1[],5,)+(VLOOKUP(Tabela3[[#This Row],[Ajudante]],Tabela1[],5,))*3.5),0)</f>
        <v>99.95034583333333</v>
      </c>
      <c r="V317" s="35">
        <f>IFERROR(Tabela3[[#This Row],[Custo M.O. / H]]/((Tabela3[[#This Row],[Realizado]]/Tabela3[[#This Row],[Qdt Peça Placa]])/Tabela3[[#This Row],[Tempo]]/24),)</f>
        <v>11.134819228801168</v>
      </c>
      <c r="W317" s="35">
        <f>Tabela3[[#This Row],[Custo / Cx Moldada]]*Tabela3[[#This Row],[Qtde Cx Produzida]]</f>
        <v>423.1231306944444</v>
      </c>
      <c r="X317" s="35">
        <f ca="1">Tabela3[[#This Row],[Aluminio Util]]*Tabela3[[#This Row],[Custo/Kg]]</f>
        <v>1126.2592</v>
      </c>
      <c r="Y317" s="35">
        <f>IFERROR(VLOOKUP(Tabela3[[#This Row],[Data]],Tabela461213[],2,1)*(Tabela3[[#This Row],[Qtde Cx Produzida]]*Tabela3[[#This Row],[Qde macho / CX]]*Tabela3[[#This Row],[Peso Macho]]),)</f>
        <v>0</v>
      </c>
      <c r="Z317" s="35">
        <f>IFERROR(Tabela3[[#This Row],[Qtde Oleo]]*(VLOOKUP(Tabela3[[#This Row],[Data]],CompraOleo[],3,TRUE))*1.05,0)</f>
        <v>142.38117784756864</v>
      </c>
      <c r="AA317" s="47">
        <f ca="1">(Tabela3[[#This Row],[Custo Oleo]]+Tabela3[[#This Row],[Custo Aluminio]]+Tabela3[[#This Row],[Custo M.O. Total]]+Tabela3[[#This Row],[Custo Machos]])</f>
        <v>1691.7635085420129</v>
      </c>
      <c r="AB317" s="47">
        <f ca="1">Tabela3[[#This Row],[Custo Total]]*Tabela3[[#This Row],[% Perda]]</f>
        <v>0</v>
      </c>
      <c r="AC317" s="48">
        <f>IFERROR(VLOOKUP(Tabela3[[#This Row],[Produto]],Tabela2[],2,0),0)</f>
        <v>4</v>
      </c>
      <c r="AD317" s="48">
        <f>IFERROR(VLOOKUP(Tabela3[[#This Row],[Produto]],Tabela2[],3,0),0)</f>
        <v>0.42099999999999999</v>
      </c>
      <c r="AE317" s="48">
        <f>IFERROR(VLOOKUP(Tabela3[[#This Row],[Produto]],Tabela2[],4,0),0)</f>
        <v>3.2160000000000002</v>
      </c>
      <c r="AF317" s="48">
        <f>IFERROR(VLOOKUP(Tabela3[[#This Row],[Produto]],Tabela2[],5,0),0)</f>
        <v>1.3788000000000002</v>
      </c>
      <c r="AG317" s="40">
        <f>IFERROR(VLOOKUP(Tabela3[[#This Row],[Produto]],Tabela2[],6,0),0)</f>
        <v>0</v>
      </c>
      <c r="AH317" s="40">
        <f>IFERROR(VLOOKUP(Tabela3[[#This Row],[Produto]],Tabela2[],7,0),0)</f>
        <v>0</v>
      </c>
      <c r="AI317" s="40">
        <f>IFERROR(VLOOKUP(Tabela3[[#This Row],[Produto]],Tabela2[],8,0),0)</f>
        <v>0</v>
      </c>
      <c r="AJ317" s="35">
        <f ca="1">IFERROR(VLOOKUP(Tabela3[[#This Row],[Produto]],Tabela2[],13,0),0)</f>
        <v>17.600000000000001</v>
      </c>
      <c r="AK317" s="40" t="str">
        <f>IFERROR(VLOOKUP(Tabela3[[#This Row],[Produto]],Tabela2[],14,0),0)</f>
        <v>Busa</v>
      </c>
      <c r="AL317" s="40">
        <f>IFERROR(VLOOKUP(Tabela3[[#This Row],[Produto]],Tabela2[],15,0),0)</f>
        <v>0.5</v>
      </c>
      <c r="AM317" s="36">
        <f ca="1">(Tabela3[[#This Row],[Custo Usinagem]]+Tabela3[[#This Row],[Custo / Pç]])*1.2</f>
        <v>13.956027699015889</v>
      </c>
      <c r="AN317" s="36">
        <f ca="1">Tabela3[[#This Row],[Valor Mínimo Venda]]*1.15</f>
        <v>16.049431853868271</v>
      </c>
      <c r="AO317" s="36">
        <f ca="1">Tabela3[[#This Row],[Tabela 1]]*1.08</f>
        <v>17.333386402177734</v>
      </c>
      <c r="AP317" s="36">
        <f ca="1">Tabela3[[#This Row],[Tabela 2]]*1.15</f>
        <v>19.933394362504391</v>
      </c>
    </row>
    <row r="318" spans="1:42">
      <c r="A318" s="9">
        <v>45812</v>
      </c>
      <c r="B318" s="6" t="s">
        <v>247</v>
      </c>
      <c r="C318" s="14">
        <v>6817</v>
      </c>
      <c r="D318" s="6" t="s">
        <v>44</v>
      </c>
      <c r="E318" s="6" t="s">
        <v>47</v>
      </c>
      <c r="F318" s="6">
        <v>35</v>
      </c>
      <c r="G318" s="15">
        <v>0.17499999999999999</v>
      </c>
      <c r="H318" s="16">
        <v>20</v>
      </c>
      <c r="I318" s="35">
        <f ca="1">IFERROR(Tabela3[[#This Row],[Custo Total]]/Tabela3[[#This Row],[Aluminio Util]],0)</f>
        <v>31.809584148966717</v>
      </c>
      <c r="J318" s="35">
        <f ca="1">Tabela3[[#This Row],[Custo Total]]/Tabela3[[#This Row],[Realizado]]</f>
        <v>9.5428752446900145</v>
      </c>
      <c r="K318" s="37">
        <f>IFERROR(Tabela3[[#This Row],[Qtde Cx Produzida]]/Tabela3[[#This Row],[Tempo]]/24,0)</f>
        <v>8.3333333333333339</v>
      </c>
      <c r="L318" s="37">
        <f>Tabela3[[#This Row],[Qtde Cx Produzida]]*Tabela3[[#This Row],[Qdt Peça Placa]]</f>
        <v>140</v>
      </c>
      <c r="M318" s="37">
        <f>Tabela3[[#This Row],[Previsto]]-Tabela3[[#This Row],[Perda Pçs]]</f>
        <v>120</v>
      </c>
      <c r="N318" s="38">
        <f>IFERROR(Tabela3[[#This Row],[Perda Pçs]]/Tabela3[[#This Row],[Previsto]],0)</f>
        <v>0.14285714285714285</v>
      </c>
      <c r="O318" s="39">
        <f>IFERROR(IF(Tabela3[[#This Row],[Qtde Cx Produzida]] &lt;&gt; 0, Tabela3[[#This Row],[Tempo]] / Tabela3[[#This Row],[Qtde Cx Produzida]], 0),0)</f>
        <v>5.0000000000000001E-3</v>
      </c>
      <c r="P318" s="57">
        <f>IFERROR(Tabela3[[#This Row],[Perda Pçs]]/Tabela3[[#This Row],[Qdt Peça Placa]],0)</f>
        <v>5</v>
      </c>
      <c r="Q318" s="37">
        <f>IFERROR(Tabela3[[#This Row],[Realizado]]*Tabela3[[#This Row],[Peso Util/Pç]],0)</f>
        <v>36</v>
      </c>
      <c r="R318" s="37">
        <f>IFERROR(Tabela3[[#This Row],[Peso Total Galho]]*Tabela3[[#This Row],[Qtde Cx Produzida]]*1.055,0)</f>
        <v>84.927499999999995</v>
      </c>
      <c r="S318" s="37">
        <f>(Tabela3[[#This Row],[Aluminio Bruto]]-Tabela3[[#This Row],[Aluminio Util]])*0.9</f>
        <v>44.034749999999995</v>
      </c>
      <c r="T318" s="37">
        <f>Tabela3[[#This Row],[Aluminio Bruto]]/OleoKGAluminio</f>
        <v>35.728889439797491</v>
      </c>
      <c r="U318" s="35">
        <f>IFERROR((VLOOKUP(Tabela3[[#This Row],[Moldador]],Tabela1[],5,)+(VLOOKUP(Tabela3[[#This Row],[Ajudante]],Tabela1[],5,))*3.5),0)</f>
        <v>99.95034583333333</v>
      </c>
      <c r="V318" s="35">
        <f>IFERROR(Tabela3[[#This Row],[Custo M.O. / H]]/((Tabela3[[#This Row],[Realizado]]/Tabela3[[#This Row],[Qdt Peça Placa]])/Tabela3[[#This Row],[Tempo]]/24),)</f>
        <v>13.993048416666666</v>
      </c>
      <c r="W318" s="35">
        <f>Tabela3[[#This Row],[Custo / Cx Moldada]]*Tabela3[[#This Row],[Qtde Cx Produzida]]</f>
        <v>489.75669458333329</v>
      </c>
      <c r="X318" s="35">
        <f ca="1">Tabela3[[#This Row],[Aluminio Util]]*Tabela3[[#This Row],[Custo/Kg]]</f>
        <v>561.6</v>
      </c>
      <c r="Y318" s="35">
        <f>IFERROR(VLOOKUP(Tabela3[[#This Row],[Data]],Tabela461213[],2,1)*(Tabela3[[#This Row],[Qtde Cx Produzida]]*Tabela3[[#This Row],[Qde macho / CX]]*Tabela3[[#This Row],[Peso Macho]]),)</f>
        <v>0</v>
      </c>
      <c r="Z318" s="35">
        <f>IFERROR(Tabela3[[#This Row],[Qtde Oleo]]*(VLOOKUP(Tabela3[[#This Row],[Data]],CompraOleo[],3,TRUE))*1.05,0)</f>
        <v>93.788334779468414</v>
      </c>
      <c r="AA318" s="47">
        <f ca="1">(Tabela3[[#This Row],[Custo Oleo]]+Tabela3[[#This Row],[Custo Aluminio]]+Tabela3[[#This Row],[Custo M.O. Total]]+Tabela3[[#This Row],[Custo Machos]])</f>
        <v>1145.1450293628018</v>
      </c>
      <c r="AB318" s="47">
        <f ca="1">Tabela3[[#This Row],[Custo Total]]*Tabela3[[#This Row],[% Perda]]</f>
        <v>163.59214705182882</v>
      </c>
      <c r="AC318" s="48">
        <f>IFERROR(VLOOKUP(Tabela3[[#This Row],[Produto]],Tabela2[],2,0),0)</f>
        <v>4</v>
      </c>
      <c r="AD318" s="48">
        <f>IFERROR(VLOOKUP(Tabela3[[#This Row],[Produto]],Tabela2[],3,0),0)</f>
        <v>0.3</v>
      </c>
      <c r="AE318" s="48">
        <f>IFERROR(VLOOKUP(Tabela3[[#This Row],[Produto]],Tabela2[],4,0),0)</f>
        <v>2.2999999999999998</v>
      </c>
      <c r="AF318" s="48">
        <f>IFERROR(VLOOKUP(Tabela3[[#This Row],[Produto]],Tabela2[],5,0),0)</f>
        <v>0.98999999999999988</v>
      </c>
      <c r="AG318" s="40">
        <f>IFERROR(VLOOKUP(Tabela3[[#This Row],[Produto]],Tabela2[],6,0),0)</f>
        <v>0</v>
      </c>
      <c r="AH318" s="40">
        <f>IFERROR(VLOOKUP(Tabela3[[#This Row],[Produto]],Tabela2[],7,0),0)</f>
        <v>0</v>
      </c>
      <c r="AI318" s="40">
        <f>IFERROR(VLOOKUP(Tabela3[[#This Row],[Produto]],Tabela2[],8,0),0)</f>
        <v>0</v>
      </c>
      <c r="AJ318" s="35">
        <f ca="1">IFERROR(VLOOKUP(Tabela3[[#This Row],[Produto]],Tabela2[],13,0),0)</f>
        <v>15.600000000000001</v>
      </c>
      <c r="AK318" s="40" t="str">
        <f>IFERROR(VLOOKUP(Tabela3[[#This Row],[Produto]],Tabela2[],14,0),0)</f>
        <v>Senun</v>
      </c>
      <c r="AL318" s="40">
        <f>IFERROR(VLOOKUP(Tabela3[[#This Row],[Produto]],Tabela2[],15,0),0)</f>
        <v>3.5</v>
      </c>
      <c r="AM318" s="36">
        <f ca="1">(Tabela3[[#This Row],[Custo Usinagem]]+Tabela3[[#This Row],[Custo / Pç]])*1.2</f>
        <v>15.651450293628017</v>
      </c>
      <c r="AN318" s="36">
        <f ca="1">Tabela3[[#This Row],[Valor Mínimo Venda]]*1.15</f>
        <v>17.999167837672218</v>
      </c>
      <c r="AO318" s="36">
        <f ca="1">Tabela3[[#This Row],[Tabela 1]]*1.08</f>
        <v>19.439101264685995</v>
      </c>
      <c r="AP318" s="36">
        <f ca="1">Tabela3[[#This Row],[Tabela 2]]*1.15</f>
        <v>22.354966454388894</v>
      </c>
    </row>
    <row r="319" spans="1:42">
      <c r="A319" s="9">
        <v>45813</v>
      </c>
      <c r="B319" s="6" t="s">
        <v>232</v>
      </c>
      <c r="C319" s="14">
        <v>6605</v>
      </c>
      <c r="D319" s="6" t="s">
        <v>46</v>
      </c>
      <c r="E319" s="6" t="s">
        <v>44</v>
      </c>
      <c r="F319" s="6">
        <v>30</v>
      </c>
      <c r="G319" s="15">
        <v>0.13055555555555556</v>
      </c>
      <c r="H319" s="16">
        <v>0</v>
      </c>
      <c r="I319" s="35">
        <f ca="1">IFERROR(Tabela3[[#This Row],[Custo Total]]/Tabela3[[#This Row],[Aluminio Util]],0)</f>
        <v>27.64557191285737</v>
      </c>
      <c r="J319" s="35">
        <f ca="1">Tabela3[[#This Row],[Custo Total]]/Tabela3[[#This Row],[Realizado]]</f>
        <v>11.638785775312952</v>
      </c>
      <c r="K319" s="37">
        <f>IFERROR(Tabela3[[#This Row],[Qtde Cx Produzida]]/Tabela3[[#This Row],[Tempo]]/24,0)</f>
        <v>9.5744680851063819</v>
      </c>
      <c r="L319" s="37">
        <f>Tabela3[[#This Row],[Qtde Cx Produzida]]*Tabela3[[#This Row],[Qdt Peça Placa]]</f>
        <v>120</v>
      </c>
      <c r="M319" s="37">
        <f>Tabela3[[#This Row],[Previsto]]-Tabela3[[#This Row],[Perda Pçs]]</f>
        <v>120</v>
      </c>
      <c r="N319" s="38">
        <f>IFERROR(Tabela3[[#This Row],[Perda Pçs]]/Tabela3[[#This Row],[Previsto]],0)</f>
        <v>0</v>
      </c>
      <c r="O319" s="39">
        <f>IFERROR(IF(Tabela3[[#This Row],[Qtde Cx Produzida]] &lt;&gt; 0, Tabela3[[#This Row],[Tempo]] / Tabela3[[#This Row],[Qtde Cx Produzida]], 0),0)</f>
        <v>4.3518518518518524E-3</v>
      </c>
      <c r="P319" s="57">
        <f>IFERROR(Tabela3[[#This Row],[Perda Pçs]]/Tabela3[[#This Row],[Qdt Peça Placa]],0)</f>
        <v>0</v>
      </c>
      <c r="Q319" s="37">
        <f>IFERROR(Tabela3[[#This Row],[Realizado]]*Tabela3[[#This Row],[Peso Util/Pç]],0)</f>
        <v>50.519999999999996</v>
      </c>
      <c r="R319" s="37">
        <f>IFERROR(Tabela3[[#This Row],[Peso Total Galho]]*Tabela3[[#This Row],[Qtde Cx Produzida]]*1.055,0)</f>
        <v>101.7864</v>
      </c>
      <c r="S319" s="37">
        <f>(Tabela3[[#This Row],[Aluminio Bruto]]-Tabela3[[#This Row],[Aluminio Util]])*0.9</f>
        <v>46.139760000000003</v>
      </c>
      <c r="T319" s="37">
        <f>Tabela3[[#This Row],[Aluminio Bruto]]/OleoKGAluminio</f>
        <v>42.82140687144922</v>
      </c>
      <c r="U319" s="35">
        <f>IFERROR((VLOOKUP(Tabela3[[#This Row],[Moldador]],Tabela1[],5,)+(VLOOKUP(Tabela3[[#This Row],[Ajudante]],Tabela1[],5,))*3.5),0)</f>
        <v>126.0945</v>
      </c>
      <c r="V319" s="35">
        <f>IFERROR(Tabela3[[#This Row],[Custo M.O. / H]]/((Tabela3[[#This Row],[Realizado]]/Tabela3[[#This Row],[Qdt Peça Placa]])/Tabela3[[#This Row],[Tempo]]/24),)</f>
        <v>13.169870000000001</v>
      </c>
      <c r="W319" s="35">
        <f>Tabela3[[#This Row],[Custo / Cx Moldada]]*Tabela3[[#This Row],[Qtde Cx Produzida]]</f>
        <v>395.09610000000004</v>
      </c>
      <c r="X319" s="35">
        <f ca="1">Tabela3[[#This Row],[Aluminio Util]]*Tabela3[[#This Row],[Custo/Kg]]</f>
        <v>889.15200000000004</v>
      </c>
      <c r="Y319" s="35">
        <f>IFERROR(VLOOKUP(Tabela3[[#This Row],[Data]],Tabela461213[],2,1)*(Tabela3[[#This Row],[Qtde Cx Produzida]]*Tabela3[[#This Row],[Qde macho / CX]]*Tabela3[[#This Row],[Peso Macho]]),)</f>
        <v>0</v>
      </c>
      <c r="Z319" s="35">
        <f>IFERROR(Tabela3[[#This Row],[Qtde Oleo]]*(VLOOKUP(Tabela3[[#This Row],[Data]],CompraOleo[],3,TRUE))*1.05,0)</f>
        <v>112.40619303755422</v>
      </c>
      <c r="AA319" s="47">
        <f ca="1">(Tabela3[[#This Row],[Custo Oleo]]+Tabela3[[#This Row],[Custo Aluminio]]+Tabela3[[#This Row],[Custo M.O. Total]]+Tabela3[[#This Row],[Custo Machos]])</f>
        <v>1396.6542930375542</v>
      </c>
      <c r="AB319" s="47">
        <f ca="1">Tabela3[[#This Row],[Custo Total]]*Tabela3[[#This Row],[% Perda]]</f>
        <v>0</v>
      </c>
      <c r="AC319" s="48">
        <f>IFERROR(VLOOKUP(Tabela3[[#This Row],[Produto]],Tabela2[],2,0),0)</f>
        <v>4</v>
      </c>
      <c r="AD319" s="48">
        <f>IFERROR(VLOOKUP(Tabela3[[#This Row],[Produto]],Tabela2[],3,0),0)</f>
        <v>0.42099999999999999</v>
      </c>
      <c r="AE319" s="48">
        <f>IFERROR(VLOOKUP(Tabela3[[#This Row],[Produto]],Tabela2[],4,0),0)</f>
        <v>3.2160000000000002</v>
      </c>
      <c r="AF319" s="48">
        <f>IFERROR(VLOOKUP(Tabela3[[#This Row],[Produto]],Tabela2[],5,0),0)</f>
        <v>1.3788000000000002</v>
      </c>
      <c r="AG319" s="40">
        <f>IFERROR(VLOOKUP(Tabela3[[#This Row],[Produto]],Tabela2[],6,0),0)</f>
        <v>0</v>
      </c>
      <c r="AH319" s="40">
        <f>IFERROR(VLOOKUP(Tabela3[[#This Row],[Produto]],Tabela2[],7,0),0)</f>
        <v>0</v>
      </c>
      <c r="AI319" s="40">
        <f>IFERROR(VLOOKUP(Tabela3[[#This Row],[Produto]],Tabela2[],8,0),0)</f>
        <v>0</v>
      </c>
      <c r="AJ319" s="35">
        <f ca="1">IFERROR(VLOOKUP(Tabela3[[#This Row],[Produto]],Tabela2[],13,0),0)</f>
        <v>17.600000000000001</v>
      </c>
      <c r="AK319" s="40" t="str">
        <f>IFERROR(VLOOKUP(Tabela3[[#This Row],[Produto]],Tabela2[],14,0),0)</f>
        <v>Busa</v>
      </c>
      <c r="AL319" s="40">
        <f>IFERROR(VLOOKUP(Tabela3[[#This Row],[Produto]],Tabela2[],15,0),0)</f>
        <v>0.5</v>
      </c>
      <c r="AM319" s="36">
        <f ca="1">(Tabela3[[#This Row],[Custo Usinagem]]+Tabela3[[#This Row],[Custo / Pç]])*1.2</f>
        <v>14.566542930375542</v>
      </c>
      <c r="AN319" s="36">
        <f ca="1">Tabela3[[#This Row],[Valor Mínimo Venda]]*1.15</f>
        <v>16.751524369931872</v>
      </c>
      <c r="AO319" s="36">
        <f ca="1">Tabela3[[#This Row],[Tabela 1]]*1.08</f>
        <v>18.091646319526422</v>
      </c>
      <c r="AP319" s="36">
        <f ca="1">Tabela3[[#This Row],[Tabela 2]]*1.15</f>
        <v>20.805393267455383</v>
      </c>
    </row>
    <row r="320" spans="1:42">
      <c r="A320" s="9">
        <v>45813</v>
      </c>
      <c r="B320" s="6" t="s">
        <v>246</v>
      </c>
      <c r="C320" s="14">
        <v>6721</v>
      </c>
      <c r="D320" s="6" t="s">
        <v>46</v>
      </c>
      <c r="E320" s="6" t="s">
        <v>44</v>
      </c>
      <c r="F320" s="6">
        <v>43</v>
      </c>
      <c r="G320" s="15">
        <v>0.22777777777777777</v>
      </c>
      <c r="H320" s="16">
        <v>15</v>
      </c>
      <c r="I320" s="35">
        <f ca="1">IFERROR(Tabela3[[#This Row],[Custo Total]]/Tabela3[[#This Row],[Aluminio Util]],0)</f>
        <v>26.60009152666909</v>
      </c>
      <c r="J320" s="35">
        <f ca="1">Tabela3[[#This Row],[Custo Total]]/Tabela3[[#This Row],[Realizado]]</f>
        <v>14.177848783714627</v>
      </c>
      <c r="K320" s="37">
        <f>IFERROR(Tabela3[[#This Row],[Qtde Cx Produzida]]/Tabela3[[#This Row],[Tempo]]/24,0)</f>
        <v>7.8658536585365857</v>
      </c>
      <c r="L320" s="37">
        <f>Tabela3[[#This Row],[Qtde Cx Produzida]]*Tabela3[[#This Row],[Qdt Peça Placa]]</f>
        <v>172</v>
      </c>
      <c r="M320" s="37">
        <f>Tabela3[[#This Row],[Previsto]]-Tabela3[[#This Row],[Perda Pçs]]</f>
        <v>157</v>
      </c>
      <c r="N320" s="38">
        <f>IFERROR(Tabela3[[#This Row],[Perda Pçs]]/Tabela3[[#This Row],[Previsto]],0)</f>
        <v>8.7209302325581398E-2</v>
      </c>
      <c r="O320" s="39">
        <f>IFERROR(IF(Tabela3[[#This Row],[Qtde Cx Produzida]] &lt;&gt; 0, Tabela3[[#This Row],[Tempo]] / Tabela3[[#This Row],[Qtde Cx Produzida]], 0),0)</f>
        <v>5.2971576227390177E-3</v>
      </c>
      <c r="P320" s="57">
        <f>IFERROR(Tabela3[[#This Row],[Perda Pçs]]/Tabela3[[#This Row],[Qdt Peça Placa]],0)</f>
        <v>3.75</v>
      </c>
      <c r="Q320" s="37">
        <f>IFERROR(Tabela3[[#This Row],[Realizado]]*Tabela3[[#This Row],[Peso Util/Pç]],0)</f>
        <v>83.681000000000012</v>
      </c>
      <c r="R320" s="37">
        <f>IFERROR(Tabela3[[#This Row],[Peso Total Galho]]*Tabela3[[#This Row],[Qtde Cx Produzida]]*1.055,0)</f>
        <v>149.7045</v>
      </c>
      <c r="S320" s="37">
        <f>(Tabela3[[#This Row],[Aluminio Bruto]]-Tabela3[[#This Row],[Aluminio Util]])*0.9</f>
        <v>59.42114999999999</v>
      </c>
      <c r="T320" s="37">
        <f>Tabela3[[#This Row],[Aluminio Bruto]]/OleoKGAluminio</f>
        <v>62.980489583941164</v>
      </c>
      <c r="U320" s="35">
        <f>IFERROR((VLOOKUP(Tabela3[[#This Row],[Moldador]],Tabela1[],5,)+(VLOOKUP(Tabela3[[#This Row],[Ajudante]],Tabela1[],5,))*3.5),0)</f>
        <v>126.0945</v>
      </c>
      <c r="V320" s="35">
        <f>IFERROR(Tabela3[[#This Row],[Custo M.O. / H]]/((Tabela3[[#This Row],[Realizado]]/Tabela3[[#This Row],[Qdt Peça Placa]])/Tabela3[[#This Row],[Tempo]]/24),)</f>
        <v>17.56220636942675</v>
      </c>
      <c r="W320" s="35">
        <f>Tabela3[[#This Row],[Custo / Cx Moldada]]*Tabela3[[#This Row],[Qtde Cx Produzida]]</f>
        <v>755.17487388535028</v>
      </c>
      <c r="X320" s="35">
        <f ca="1">Tabela3[[#This Row],[Aluminio Util]]*Tabela3[[#This Row],[Custo/Kg]]</f>
        <v>1305.4236000000003</v>
      </c>
      <c r="Y320" s="35">
        <f>IFERROR(VLOOKUP(Tabela3[[#This Row],[Data]],Tabela461213[],2,1)*(Tabela3[[#This Row],[Qtde Cx Produzida]]*Tabela3[[#This Row],[Qde macho / CX]]*Tabela3[[#This Row],[Peso Macho]]),)</f>
        <v>0</v>
      </c>
      <c r="Z320" s="35">
        <f>IFERROR(Tabela3[[#This Row],[Qtde Oleo]]*(VLOOKUP(Tabela3[[#This Row],[Data]],CompraOleo[],3,TRUE))*1.05,0)</f>
        <v>165.32378515784555</v>
      </c>
      <c r="AA320" s="47">
        <f ca="1">(Tabela3[[#This Row],[Custo Oleo]]+Tabela3[[#This Row],[Custo Aluminio]]+Tabela3[[#This Row],[Custo M.O. Total]]+Tabela3[[#This Row],[Custo Machos]])</f>
        <v>2225.9222590431964</v>
      </c>
      <c r="AB320" s="47">
        <f ca="1">Tabela3[[#This Row],[Custo Total]]*Tabela3[[#This Row],[% Perda]]</f>
        <v>194.12112724213924</v>
      </c>
      <c r="AC320" s="48">
        <f>IFERROR(VLOOKUP(Tabela3[[#This Row],[Produto]],Tabela2[],2,0),0)</f>
        <v>4</v>
      </c>
      <c r="AD320" s="48">
        <f>IFERROR(VLOOKUP(Tabela3[[#This Row],[Produto]],Tabela2[],3,0),0)</f>
        <v>0.53300000000000003</v>
      </c>
      <c r="AE320" s="48">
        <f>IFERROR(VLOOKUP(Tabela3[[#This Row],[Produto]],Tabela2[],4,0),0)</f>
        <v>3.3</v>
      </c>
      <c r="AF320" s="48">
        <f>IFERROR(VLOOKUP(Tabela3[[#This Row],[Produto]],Tabela2[],5,0),0)</f>
        <v>1.0511999999999997</v>
      </c>
      <c r="AG320" s="40">
        <f>IFERROR(VLOOKUP(Tabela3[[#This Row],[Produto]],Tabela2[],6,0),0)</f>
        <v>0</v>
      </c>
      <c r="AH320" s="40">
        <f>IFERROR(VLOOKUP(Tabela3[[#This Row],[Produto]],Tabela2[],7,0),0)</f>
        <v>0</v>
      </c>
      <c r="AI320" s="40">
        <f>IFERROR(VLOOKUP(Tabela3[[#This Row],[Produto]],Tabela2[],8,0),0)</f>
        <v>0</v>
      </c>
      <c r="AJ320" s="35">
        <f ca="1">IFERROR(VLOOKUP(Tabela3[[#This Row],[Produto]],Tabela2[],13,0),0)</f>
        <v>15.600000000000001</v>
      </c>
      <c r="AK320" s="40" t="str">
        <f>IFERROR(VLOOKUP(Tabela3[[#This Row],[Produto]],Tabela2[],14,0),0)</f>
        <v>Senun</v>
      </c>
      <c r="AL320" s="40">
        <f>IFERROR(VLOOKUP(Tabela3[[#This Row],[Produto]],Tabela2[],15,0),0)</f>
        <v>4</v>
      </c>
      <c r="AM320" s="36">
        <f ca="1">(Tabela3[[#This Row],[Custo Usinagem]]+Tabela3[[#This Row],[Custo / Pç]])*1.2</f>
        <v>21.813418540457551</v>
      </c>
      <c r="AN320" s="36">
        <f ca="1">Tabela3[[#This Row],[Valor Mínimo Venda]]*1.15</f>
        <v>25.085431321526183</v>
      </c>
      <c r="AO320" s="36">
        <f ca="1">Tabela3[[#This Row],[Tabela 1]]*1.08</f>
        <v>27.09226582724828</v>
      </c>
      <c r="AP320" s="36">
        <f ca="1">Tabela3[[#This Row],[Tabela 2]]*1.15</f>
        <v>31.15610570133552</v>
      </c>
    </row>
    <row r="321" spans="1:42">
      <c r="A321" s="9">
        <v>45814</v>
      </c>
      <c r="B321" s="6" t="s">
        <v>246</v>
      </c>
      <c r="C321" s="14">
        <v>6721</v>
      </c>
      <c r="D321" s="6" t="s">
        <v>46</v>
      </c>
      <c r="E321" s="6" t="s">
        <v>53</v>
      </c>
      <c r="F321" s="6">
        <v>32</v>
      </c>
      <c r="G321" s="15">
        <v>0.17222222222222222</v>
      </c>
      <c r="H321" s="16">
        <v>9</v>
      </c>
      <c r="I321" s="35">
        <f ca="1">IFERROR(Tabela3[[#This Row],[Custo Total]]/Tabela3[[#This Row],[Aluminio Util]],0)</f>
        <v>24.545791732872271</v>
      </c>
      <c r="J321" s="35">
        <f ca="1">Tabela3[[#This Row],[Custo Total]]/Tabela3[[#This Row],[Realizado]]</f>
        <v>13.082906993620922</v>
      </c>
      <c r="K321" s="37">
        <f>IFERROR(Tabela3[[#This Row],[Qtde Cx Produzida]]/Tabela3[[#This Row],[Tempo]]/24,0)</f>
        <v>7.741935483870968</v>
      </c>
      <c r="L321" s="37">
        <f>Tabela3[[#This Row],[Qtde Cx Produzida]]*Tabela3[[#This Row],[Qdt Peça Placa]]</f>
        <v>128</v>
      </c>
      <c r="M321" s="37">
        <f>Tabela3[[#This Row],[Previsto]]-Tabela3[[#This Row],[Perda Pçs]]</f>
        <v>119</v>
      </c>
      <c r="N321" s="38">
        <f>IFERROR(Tabela3[[#This Row],[Perda Pçs]]/Tabela3[[#This Row],[Previsto]],0)</f>
        <v>7.03125E-2</v>
      </c>
      <c r="O321" s="39">
        <f>IFERROR(IF(Tabela3[[#This Row],[Qtde Cx Produzida]] &lt;&gt; 0, Tabela3[[#This Row],[Tempo]] / Tabela3[[#This Row],[Qtde Cx Produzida]], 0),0)</f>
        <v>5.3819444444444444E-3</v>
      </c>
      <c r="P321" s="57">
        <f>IFERROR(Tabela3[[#This Row],[Perda Pçs]]/Tabela3[[#This Row],[Qdt Peça Placa]],0)</f>
        <v>2.25</v>
      </c>
      <c r="Q321" s="37">
        <f>IFERROR(Tabela3[[#This Row],[Realizado]]*Tabela3[[#This Row],[Peso Util/Pç]],0)</f>
        <v>63.427000000000007</v>
      </c>
      <c r="R321" s="37">
        <f>IFERROR(Tabela3[[#This Row],[Peso Total Galho]]*Tabela3[[#This Row],[Qtde Cx Produzida]]*1.055,0)</f>
        <v>111.40799999999999</v>
      </c>
      <c r="S321" s="37">
        <f>(Tabela3[[#This Row],[Aluminio Bruto]]-Tabela3[[#This Row],[Aluminio Util]])*0.9</f>
        <v>43.182899999999982</v>
      </c>
      <c r="T321" s="37">
        <f>Tabela3[[#This Row],[Aluminio Bruto]]/OleoKGAluminio</f>
        <v>46.869201550839932</v>
      </c>
      <c r="U321" s="35">
        <f>IFERROR((VLOOKUP(Tabela3[[#This Row],[Moldador]],Tabela1[],5,)+(VLOOKUP(Tabela3[[#This Row],[Ajudante]],Tabela1[],5,))*3.5),0)</f>
        <v>99.95034583333333</v>
      </c>
      <c r="V321" s="35">
        <f>IFERROR(Tabela3[[#This Row],[Custo M.O. / H]]/((Tabela3[[#This Row],[Realizado]]/Tabela3[[#This Row],[Qdt Peça Placa]])/Tabela3[[#This Row],[Tempo]]/24),)</f>
        <v>13.886658692810457</v>
      </c>
      <c r="W321" s="35">
        <f>Tabela3[[#This Row],[Custo / Cx Moldada]]*Tabela3[[#This Row],[Qtde Cx Produzida]]</f>
        <v>444.37307816993462</v>
      </c>
      <c r="X321" s="35">
        <f ca="1">Tabela3[[#This Row],[Aluminio Util]]*Tabela3[[#This Row],[Custo/Kg]]</f>
        <v>989.46120000000019</v>
      </c>
      <c r="Y321" s="35">
        <f>IFERROR(VLOOKUP(Tabela3[[#This Row],[Data]],Tabela461213[],2,1)*(Tabela3[[#This Row],[Qtde Cx Produzida]]*Tabela3[[#This Row],[Qde macho / CX]]*Tabela3[[#This Row],[Peso Macho]]),)</f>
        <v>0</v>
      </c>
      <c r="Z321" s="35">
        <f>IFERROR(Tabela3[[#This Row],[Qtde Oleo]]*(VLOOKUP(Tabela3[[#This Row],[Data]],CompraOleo[],3,TRUE))*1.05,0)</f>
        <v>123.03165407095483</v>
      </c>
      <c r="AA321" s="47">
        <f ca="1">(Tabela3[[#This Row],[Custo Oleo]]+Tabela3[[#This Row],[Custo Aluminio]]+Tabela3[[#This Row],[Custo M.O. Total]]+Tabela3[[#This Row],[Custo Machos]])</f>
        <v>1556.8659322408896</v>
      </c>
      <c r="AB321" s="47">
        <f ca="1">Tabela3[[#This Row],[Custo Total]]*Tabela3[[#This Row],[% Perda]]</f>
        <v>109.46713586068755</v>
      </c>
      <c r="AC321" s="48">
        <f>IFERROR(VLOOKUP(Tabela3[[#This Row],[Produto]],Tabela2[],2,0),0)</f>
        <v>4</v>
      </c>
      <c r="AD321" s="48">
        <f>IFERROR(VLOOKUP(Tabela3[[#This Row],[Produto]],Tabela2[],3,0),0)</f>
        <v>0.53300000000000003</v>
      </c>
      <c r="AE321" s="48">
        <f>IFERROR(VLOOKUP(Tabela3[[#This Row],[Produto]],Tabela2[],4,0),0)</f>
        <v>3.3</v>
      </c>
      <c r="AF321" s="48">
        <f>IFERROR(VLOOKUP(Tabela3[[#This Row],[Produto]],Tabela2[],5,0),0)</f>
        <v>1.0511999999999997</v>
      </c>
      <c r="AG321" s="40">
        <f>IFERROR(VLOOKUP(Tabela3[[#This Row],[Produto]],Tabela2[],6,0),0)</f>
        <v>0</v>
      </c>
      <c r="AH321" s="40">
        <f>IFERROR(VLOOKUP(Tabela3[[#This Row],[Produto]],Tabela2[],7,0),0)</f>
        <v>0</v>
      </c>
      <c r="AI321" s="40">
        <f>IFERROR(VLOOKUP(Tabela3[[#This Row],[Produto]],Tabela2[],8,0),0)</f>
        <v>0</v>
      </c>
      <c r="AJ321" s="35">
        <f ca="1">IFERROR(VLOOKUP(Tabela3[[#This Row],[Produto]],Tabela2[],13,0),0)</f>
        <v>15.600000000000001</v>
      </c>
      <c r="AK321" s="40" t="str">
        <f>IFERROR(VLOOKUP(Tabela3[[#This Row],[Produto]],Tabela2[],14,0),0)</f>
        <v>Senun</v>
      </c>
      <c r="AL321" s="40">
        <f>IFERROR(VLOOKUP(Tabela3[[#This Row],[Produto]],Tabela2[],15,0),0)</f>
        <v>4</v>
      </c>
      <c r="AM321" s="36">
        <f ca="1">(Tabela3[[#This Row],[Custo Usinagem]]+Tabela3[[#This Row],[Custo / Pç]])*1.2</f>
        <v>20.499488392345107</v>
      </c>
      <c r="AN321" s="36">
        <f ca="1">Tabela3[[#This Row],[Valor Mínimo Venda]]*1.15</f>
        <v>23.574411651196872</v>
      </c>
      <c r="AO321" s="36">
        <f ca="1">Tabela3[[#This Row],[Tabela 1]]*1.08</f>
        <v>25.460364583292623</v>
      </c>
      <c r="AP321" s="36">
        <f ca="1">Tabela3[[#This Row],[Tabela 2]]*1.15</f>
        <v>29.279419270786516</v>
      </c>
    </row>
    <row r="322" spans="1:42">
      <c r="A322" s="9">
        <v>45814</v>
      </c>
      <c r="B322" s="6" t="s">
        <v>91</v>
      </c>
      <c r="C322" s="14">
        <v>6823</v>
      </c>
      <c r="D322" s="6" t="s">
        <v>46</v>
      </c>
      <c r="E322" s="6" t="s">
        <v>53</v>
      </c>
      <c r="F322" s="6">
        <v>15</v>
      </c>
      <c r="G322" s="15">
        <v>9.2361111111111116E-2</v>
      </c>
      <c r="H322" s="16">
        <v>0</v>
      </c>
      <c r="I322" s="35">
        <f ca="1">IFERROR(Tabela3[[#This Row],[Custo Total]]/Tabela3[[#This Row],[Aluminio Util]],0)</f>
        <v>39.687711136486747</v>
      </c>
      <c r="J322" s="35">
        <f ca="1">Tabela3[[#This Row],[Custo Total]]/Tabela3[[#This Row],[Realizado]]</f>
        <v>31.115165531005609</v>
      </c>
      <c r="K322" s="37">
        <f>IFERROR(Tabela3[[#This Row],[Qtde Cx Produzida]]/Tabela3[[#This Row],[Tempo]]/24,0)</f>
        <v>6.7669172932330826</v>
      </c>
      <c r="L322" s="37">
        <f>Tabela3[[#This Row],[Qtde Cx Produzida]]*Tabela3[[#This Row],[Qdt Peça Placa]]</f>
        <v>60</v>
      </c>
      <c r="M322" s="37">
        <f>Tabela3[[#This Row],[Previsto]]-Tabela3[[#This Row],[Perda Pçs]]</f>
        <v>60</v>
      </c>
      <c r="N322" s="38">
        <f>IFERROR(Tabela3[[#This Row],[Perda Pçs]]/Tabela3[[#This Row],[Previsto]],0)</f>
        <v>0</v>
      </c>
      <c r="O322" s="39">
        <f>IFERROR(IF(Tabela3[[#This Row],[Qtde Cx Produzida]] &lt;&gt; 0, Tabela3[[#This Row],[Tempo]] / Tabela3[[#This Row],[Qtde Cx Produzida]], 0),0)</f>
        <v>6.1574074074074074E-3</v>
      </c>
      <c r="P322" s="57">
        <f>IFERROR(Tabela3[[#This Row],[Perda Pçs]]/Tabela3[[#This Row],[Qdt Peça Placa]],0)</f>
        <v>0</v>
      </c>
      <c r="Q322" s="37">
        <f>IFERROR(Tabela3[[#This Row],[Realizado]]*Tabela3[[#This Row],[Peso Util/Pç]],0)</f>
        <v>47.04</v>
      </c>
      <c r="R322" s="37">
        <f>IFERROR(Tabela3[[#This Row],[Peso Total Galho]]*Tabela3[[#This Row],[Qtde Cx Produzida]]*1.055,0)</f>
        <v>87.7971</v>
      </c>
      <c r="S322" s="37">
        <f>(Tabela3[[#This Row],[Aluminio Bruto]]-Tabela3[[#This Row],[Aluminio Util]])*0.9</f>
        <v>36.68139</v>
      </c>
      <c r="T322" s="37">
        <f>Tabela3[[#This Row],[Aluminio Bruto]]/OleoKGAluminio</f>
        <v>36.936126449440337</v>
      </c>
      <c r="U322" s="35">
        <f>IFERROR((VLOOKUP(Tabela3[[#This Row],[Moldador]],Tabela1[],5,)+(VLOOKUP(Tabela3[[#This Row],[Ajudante]],Tabela1[],5,))*3.5),0)</f>
        <v>99.95034583333333</v>
      </c>
      <c r="V322" s="35">
        <f>IFERROR(Tabela3[[#This Row],[Custo M.O. / H]]/((Tabela3[[#This Row],[Realizado]]/Tabela3[[#This Row],[Qdt Peça Placa]])/Tabela3[[#This Row],[Tempo]]/24),)</f>
        <v>14.770439995370371</v>
      </c>
      <c r="W322" s="35">
        <f>Tabela3[[#This Row],[Custo / Cx Moldada]]*Tabela3[[#This Row],[Qtde Cx Produzida]]</f>
        <v>221.55659993055556</v>
      </c>
      <c r="X322" s="35">
        <f ca="1">Tabela3[[#This Row],[Aluminio Util]]*Tabela3[[#This Row],[Custo/Kg]]</f>
        <v>733.82400000000007</v>
      </c>
      <c r="Y322" s="35">
        <f>IFERROR(VLOOKUP(Tabela3[[#This Row],[Data]],Tabela461213[],2,1)*(Tabela3[[#This Row],[Qtde Cx Produzida]]*Tabela3[[#This Row],[Qde macho / CX]]*Tabela3[[#This Row],[Peso Macho]]),)</f>
        <v>814.57199999999989</v>
      </c>
      <c r="Z322" s="35">
        <f>IFERROR(Tabela3[[#This Row],[Qtde Oleo]]*(VLOOKUP(Tabela3[[#This Row],[Data]],CompraOleo[],3,TRUE))*1.05,0)</f>
        <v>96.957331929780892</v>
      </c>
      <c r="AA322" s="47">
        <f ca="1">(Tabela3[[#This Row],[Custo Oleo]]+Tabela3[[#This Row],[Custo Aluminio]]+Tabela3[[#This Row],[Custo M.O. Total]]+Tabela3[[#This Row],[Custo Machos]])</f>
        <v>1866.9099318603364</v>
      </c>
      <c r="AB322" s="47">
        <f ca="1">Tabela3[[#This Row],[Custo Total]]*Tabela3[[#This Row],[% Perda]]</f>
        <v>0</v>
      </c>
      <c r="AC322" s="48">
        <f>IFERROR(VLOOKUP(Tabela3[[#This Row],[Produto]],Tabela2[],2,0),0)</f>
        <v>4</v>
      </c>
      <c r="AD322" s="48">
        <f>IFERROR(VLOOKUP(Tabela3[[#This Row],[Produto]],Tabela2[],3,0),0)</f>
        <v>0.78400000000000003</v>
      </c>
      <c r="AE322" s="48">
        <f>IFERROR(VLOOKUP(Tabela3[[#This Row],[Produto]],Tabela2[],4,0),0)</f>
        <v>5.548</v>
      </c>
      <c r="AF322" s="48">
        <f>IFERROR(VLOOKUP(Tabela3[[#This Row],[Produto]],Tabela2[],5,0),0)</f>
        <v>2.1707999999999998</v>
      </c>
      <c r="AG322" s="40">
        <f>IFERROR(VLOOKUP(Tabela3[[#This Row],[Produto]],Tabela2[],6,0),0)</f>
        <v>0</v>
      </c>
      <c r="AH322" s="40">
        <f>IFERROR(VLOOKUP(Tabela3[[#This Row],[Produto]],Tabela2[],7,0),0)</f>
        <v>12</v>
      </c>
      <c r="AI322" s="40">
        <f>IFERROR(VLOOKUP(Tabela3[[#This Row],[Produto]],Tabela2[],8,0),0)</f>
        <v>2.6619999999999999</v>
      </c>
      <c r="AJ322" s="35">
        <f ca="1">IFERROR(VLOOKUP(Tabela3[[#This Row],[Produto]],Tabela2[],13,0),0)</f>
        <v>15.600000000000001</v>
      </c>
      <c r="AK322" s="40" t="str">
        <f>IFERROR(VLOOKUP(Tabela3[[#This Row],[Produto]],Tabela2[],14,0),0)</f>
        <v>Jumil</v>
      </c>
      <c r="AL322" s="40">
        <f>IFERROR(VLOOKUP(Tabela3[[#This Row],[Produto]],Tabela2[],15,0),0)</f>
        <v>8</v>
      </c>
      <c r="AM322" s="36">
        <f ca="1">(Tabela3[[#This Row],[Custo Usinagem]]+Tabela3[[#This Row],[Custo / Pç]])*1.2</f>
        <v>46.938198637206732</v>
      </c>
      <c r="AN322" s="36">
        <f ca="1">Tabela3[[#This Row],[Valor Mínimo Venda]]*1.15</f>
        <v>53.97892843278774</v>
      </c>
      <c r="AO322" s="36">
        <f ca="1">Tabela3[[#This Row],[Tabela 1]]*1.08</f>
        <v>58.29724270741076</v>
      </c>
      <c r="AP322" s="36">
        <f ca="1">Tabela3[[#This Row],[Tabela 2]]*1.15</f>
        <v>67.041829113522368</v>
      </c>
    </row>
    <row r="323" spans="1:42">
      <c r="A323" s="9">
        <v>45814</v>
      </c>
      <c r="B323" s="6" t="s">
        <v>230</v>
      </c>
      <c r="C323" s="14">
        <v>6667</v>
      </c>
      <c r="D323" s="6" t="s">
        <v>46</v>
      </c>
      <c r="E323" s="6" t="s">
        <v>53</v>
      </c>
      <c r="F323" s="6">
        <v>18</v>
      </c>
      <c r="G323" s="15">
        <v>9.166666666666666E-2</v>
      </c>
      <c r="H323" s="16">
        <v>0</v>
      </c>
      <c r="I323" s="35">
        <f ca="1">IFERROR(Tabela3[[#This Row],[Custo Total]]/Tabela3[[#This Row],[Aluminio Util]],0)</f>
        <v>26.97657233594321</v>
      </c>
      <c r="J323" s="35">
        <f ca="1">Tabela3[[#This Row],[Custo Total]]/Tabela3[[#This Row],[Realizado]]</f>
        <v>11.411090098103976</v>
      </c>
      <c r="K323" s="37">
        <f>IFERROR(Tabela3[[#This Row],[Qtde Cx Produzida]]/Tabela3[[#This Row],[Tempo]]/24,0)</f>
        <v>8.1818181818181817</v>
      </c>
      <c r="L323" s="37">
        <f>Tabela3[[#This Row],[Qtde Cx Produzida]]*Tabela3[[#This Row],[Qdt Peça Placa]]</f>
        <v>72</v>
      </c>
      <c r="M323" s="37">
        <f>Tabela3[[#This Row],[Previsto]]-Tabela3[[#This Row],[Perda Pçs]]</f>
        <v>72</v>
      </c>
      <c r="N323" s="38">
        <f>IFERROR(Tabela3[[#This Row],[Perda Pçs]]/Tabela3[[#This Row],[Previsto]],0)</f>
        <v>0</v>
      </c>
      <c r="O323" s="39">
        <f>IFERROR(IF(Tabela3[[#This Row],[Qtde Cx Produzida]] &lt;&gt; 0, Tabela3[[#This Row],[Tempo]] / Tabela3[[#This Row],[Qtde Cx Produzida]], 0),0)</f>
        <v>5.0925925925925921E-3</v>
      </c>
      <c r="P323" s="57">
        <f>IFERROR(Tabela3[[#This Row],[Perda Pçs]]/Tabela3[[#This Row],[Qdt Peça Placa]],0)</f>
        <v>0</v>
      </c>
      <c r="Q323" s="37">
        <f>IFERROR(Tabela3[[#This Row],[Realizado]]*Tabela3[[#This Row],[Peso Util/Pç]],0)</f>
        <v>30.456</v>
      </c>
      <c r="R323" s="37">
        <f>IFERROR(Tabela3[[#This Row],[Peso Total Galho]]*Tabela3[[#This Row],[Qtde Cx Produzida]]*1.055,0)</f>
        <v>59.476680000000002</v>
      </c>
      <c r="S323" s="37">
        <f>(Tabela3[[#This Row],[Aluminio Bruto]]-Tabela3[[#This Row],[Aluminio Util]])*0.9</f>
        <v>26.118612000000002</v>
      </c>
      <c r="T323" s="37">
        <f>Tabela3[[#This Row],[Aluminio Bruto]]/OleoKGAluminio</f>
        <v>25.021762373391596</v>
      </c>
      <c r="U323" s="35">
        <f>IFERROR((VLOOKUP(Tabela3[[#This Row],[Moldador]],Tabela1[],5,)+(VLOOKUP(Tabela3[[#This Row],[Ajudante]],Tabela1[],5,))*3.5),0)</f>
        <v>99.95034583333333</v>
      </c>
      <c r="V323" s="35">
        <f>IFERROR(Tabela3[[#This Row],[Custo M.O. / H]]/((Tabela3[[#This Row],[Realizado]]/Tabela3[[#This Row],[Qdt Peça Placa]])/Tabela3[[#This Row],[Tempo]]/24),)</f>
        <v>12.216153379629629</v>
      </c>
      <c r="W323" s="35">
        <f>Tabela3[[#This Row],[Custo / Cx Moldada]]*Tabela3[[#This Row],[Qtde Cx Produzida]]</f>
        <v>219.89076083333333</v>
      </c>
      <c r="X323" s="35">
        <f ca="1">Tabela3[[#This Row],[Aluminio Util]]*Tabela3[[#This Row],[Custo/Kg]]</f>
        <v>536.02560000000005</v>
      </c>
      <c r="Y323" s="35">
        <f>IFERROR(VLOOKUP(Tabela3[[#This Row],[Data]],Tabela461213[],2,1)*(Tabela3[[#This Row],[Qtde Cx Produzida]]*Tabela3[[#This Row],[Qde macho / CX]]*Tabela3[[#This Row],[Peso Macho]]),)</f>
        <v>0</v>
      </c>
      <c r="Z323" s="35">
        <f>IFERROR(Tabela3[[#This Row],[Qtde Oleo]]*(VLOOKUP(Tabela3[[#This Row],[Data]],CompraOleo[],3,TRUE))*1.05,0)</f>
        <v>65.682126230152946</v>
      </c>
      <c r="AA323" s="47">
        <f ca="1">(Tabela3[[#This Row],[Custo Oleo]]+Tabela3[[#This Row],[Custo Aluminio]]+Tabela3[[#This Row],[Custo M.O. Total]]+Tabela3[[#This Row],[Custo Machos]])</f>
        <v>821.59848706348635</v>
      </c>
      <c r="AB323" s="47">
        <f ca="1">Tabela3[[#This Row],[Custo Total]]*Tabela3[[#This Row],[% Perda]]</f>
        <v>0</v>
      </c>
      <c r="AC323" s="48">
        <f>IFERROR(VLOOKUP(Tabela3[[#This Row],[Produto]],Tabela2[],2,0),0)</f>
        <v>4</v>
      </c>
      <c r="AD323" s="48">
        <f>IFERROR(VLOOKUP(Tabela3[[#This Row],[Produto]],Tabela2[],3,0),0)</f>
        <v>0.42299999999999999</v>
      </c>
      <c r="AE323" s="48">
        <f>IFERROR(VLOOKUP(Tabela3[[#This Row],[Produto]],Tabela2[],4,0),0)</f>
        <v>3.1320000000000001</v>
      </c>
      <c r="AF323" s="48">
        <f>IFERROR(VLOOKUP(Tabela3[[#This Row],[Produto]],Tabela2[],5,0),0)</f>
        <v>1.2960000000000003</v>
      </c>
      <c r="AG323" s="40">
        <f>IFERROR(VLOOKUP(Tabela3[[#This Row],[Produto]],Tabela2[],6,0),0)</f>
        <v>0</v>
      </c>
      <c r="AH323" s="40">
        <f>IFERROR(VLOOKUP(Tabela3[[#This Row],[Produto]],Tabela2[],7,0),0)</f>
        <v>0</v>
      </c>
      <c r="AI323" s="40">
        <f>IFERROR(VLOOKUP(Tabela3[[#This Row],[Produto]],Tabela2[],8,0),0)</f>
        <v>0</v>
      </c>
      <c r="AJ323" s="35">
        <f ca="1">IFERROR(VLOOKUP(Tabela3[[#This Row],[Produto]],Tabela2[],13,0),0)</f>
        <v>17.600000000000001</v>
      </c>
      <c r="AK323" s="40" t="str">
        <f>IFERROR(VLOOKUP(Tabela3[[#This Row],[Produto]],Tabela2[],14,0),0)</f>
        <v>Busa</v>
      </c>
      <c r="AL323" s="40">
        <f>IFERROR(VLOOKUP(Tabela3[[#This Row],[Produto]],Tabela2[],15,0),0)</f>
        <v>0.5</v>
      </c>
      <c r="AM323" s="36">
        <f ca="1">(Tabela3[[#This Row],[Custo Usinagem]]+Tabela3[[#This Row],[Custo / Pç]])*1.2</f>
        <v>14.293308117724772</v>
      </c>
      <c r="AN323" s="36">
        <f ca="1">Tabela3[[#This Row],[Valor Mínimo Venda]]*1.15</f>
        <v>16.437304335383487</v>
      </c>
      <c r="AO323" s="36">
        <f ca="1">Tabela3[[#This Row],[Tabela 1]]*1.08</f>
        <v>17.752288682214168</v>
      </c>
      <c r="AP323" s="36">
        <f ca="1">Tabela3[[#This Row],[Tabela 2]]*1.15</f>
        <v>20.415131984546292</v>
      </c>
    </row>
    <row r="324" spans="1:42">
      <c r="A324" s="9">
        <v>45814</v>
      </c>
      <c r="B324" s="6" t="s">
        <v>227</v>
      </c>
      <c r="C324" s="14">
        <v>6835</v>
      </c>
      <c r="D324" s="6" t="s">
        <v>44</v>
      </c>
      <c r="E324" s="6" t="s">
        <v>47</v>
      </c>
      <c r="F324" s="6">
        <v>2</v>
      </c>
      <c r="G324" s="15">
        <v>3.125E-2</v>
      </c>
      <c r="H324" s="16">
        <v>0</v>
      </c>
      <c r="I324" s="35">
        <f ca="1">IFERROR(Tabela3[[#This Row],[Custo Total]]/Tabela3[[#This Row],[Aluminio Util]],0)</f>
        <v>20.239573394731231</v>
      </c>
      <c r="J324" s="35">
        <f ca="1">Tabela3[[#This Row],[Custo Total]]/Tabela3[[#This Row],[Realizado]]</f>
        <v>546.46848165774327</v>
      </c>
      <c r="K324" s="37">
        <f>IFERROR(Tabela3[[#This Row],[Qtde Cx Produzida]]/Tabela3[[#This Row],[Tempo]]/24,0)</f>
        <v>2.6666666666666665</v>
      </c>
      <c r="L324" s="37">
        <f>Tabela3[[#This Row],[Qtde Cx Produzida]]*Tabela3[[#This Row],[Qdt Peça Placa]]</f>
        <v>2</v>
      </c>
      <c r="M324" s="37">
        <f>Tabela3[[#This Row],[Previsto]]-Tabela3[[#This Row],[Perda Pçs]]</f>
        <v>2</v>
      </c>
      <c r="N324" s="38">
        <f>IFERROR(Tabela3[[#This Row],[Perda Pçs]]/Tabela3[[#This Row],[Previsto]],0)</f>
        <v>0</v>
      </c>
      <c r="O324" s="39">
        <f>IFERROR(IF(Tabela3[[#This Row],[Qtde Cx Produzida]] &lt;&gt; 0, Tabela3[[#This Row],[Tempo]] / Tabela3[[#This Row],[Qtde Cx Produzida]], 0),0)</f>
        <v>1.5625E-2</v>
      </c>
      <c r="P324" s="57">
        <f>IFERROR(Tabela3[[#This Row],[Perda Pçs]]/Tabela3[[#This Row],[Qdt Peça Placa]],0)</f>
        <v>0</v>
      </c>
      <c r="Q324" s="37">
        <f>IFERROR(Tabela3[[#This Row],[Realizado]]*Tabela3[[#This Row],[Peso Util/Pç]],0)</f>
        <v>54</v>
      </c>
      <c r="R324" s="37">
        <f>IFERROR(Tabela3[[#This Row],[Peso Total Galho]]*Tabela3[[#This Row],[Qtde Cx Produzida]]*1.055,0)</f>
        <v>61.19</v>
      </c>
      <c r="S324" s="37">
        <f>(Tabela3[[#This Row],[Aluminio Bruto]]-Tabela3[[#This Row],[Aluminio Util]])*0.9</f>
        <v>6.4709999999999983</v>
      </c>
      <c r="T324" s="37">
        <f>Tabela3[[#This Row],[Aluminio Bruto]]/OleoKGAluminio</f>
        <v>25.742553882090117</v>
      </c>
      <c r="U324" s="35">
        <f>IFERROR((VLOOKUP(Tabela3[[#This Row],[Moldador]],Tabela1[],5,)+(VLOOKUP(Tabela3[[#This Row],[Ajudante]],Tabela1[],5,))*3.5),0)</f>
        <v>99.95034583333333</v>
      </c>
      <c r="V324" s="35">
        <f>IFERROR(Tabela3[[#This Row],[Custo M.O. / H]]/((Tabela3[[#This Row],[Realizado]]/Tabela3[[#This Row],[Qdt Peça Placa]])/Tabela3[[#This Row],[Tempo]]/24),)</f>
        <v>37.481379687500002</v>
      </c>
      <c r="W324" s="35">
        <f>Tabela3[[#This Row],[Custo / Cx Moldada]]*Tabela3[[#This Row],[Qtde Cx Produzida]]</f>
        <v>74.962759375000005</v>
      </c>
      <c r="X324" s="35">
        <f ca="1">Tabela3[[#This Row],[Aluminio Util]]*Tabela3[[#This Row],[Custo/Kg]]</f>
        <v>950.40000000000009</v>
      </c>
      <c r="Y324" s="35">
        <f>IFERROR(VLOOKUP(Tabela3[[#This Row],[Data]],Tabela461213[],2,1)*(Tabela3[[#This Row],[Qtde Cx Produzida]]*Tabela3[[#This Row],[Qde macho / CX]]*Tabela3[[#This Row],[Peso Macho]]),)</f>
        <v>0</v>
      </c>
      <c r="Z324" s="35">
        <f>IFERROR(Tabela3[[#This Row],[Qtde Oleo]]*(VLOOKUP(Tabela3[[#This Row],[Data]],CompraOleo[],3,TRUE))*1.05,0)</f>
        <v>67.574203940486569</v>
      </c>
      <c r="AA324" s="47">
        <f ca="1">(Tabela3[[#This Row],[Custo Oleo]]+Tabela3[[#This Row],[Custo Aluminio]]+Tabela3[[#This Row],[Custo M.O. Total]]+Tabela3[[#This Row],[Custo Machos]])</f>
        <v>1092.9369633154865</v>
      </c>
      <c r="AB324" s="47">
        <f ca="1">Tabela3[[#This Row],[Custo Total]]*Tabela3[[#This Row],[% Perda]]</f>
        <v>0</v>
      </c>
      <c r="AC324" s="48">
        <f>IFERROR(VLOOKUP(Tabela3[[#This Row],[Produto]],Tabela2[],2,0),0)</f>
        <v>1</v>
      </c>
      <c r="AD324" s="48">
        <f>IFERROR(VLOOKUP(Tabela3[[#This Row],[Produto]],Tabela2[],3,0),0)</f>
        <v>27</v>
      </c>
      <c r="AE324" s="48">
        <f>IFERROR(VLOOKUP(Tabela3[[#This Row],[Produto]],Tabela2[],4,0),0)</f>
        <v>29</v>
      </c>
      <c r="AF324" s="48">
        <f>IFERROR(VLOOKUP(Tabela3[[#This Row],[Produto]],Tabela2[],5,0),0)</f>
        <v>1.8</v>
      </c>
      <c r="AG324" s="40">
        <f>IFERROR(VLOOKUP(Tabela3[[#This Row],[Produto]],Tabela2[],6,0),0)</f>
        <v>0</v>
      </c>
      <c r="AH324" s="40">
        <f>IFERROR(VLOOKUP(Tabela3[[#This Row],[Produto]],Tabela2[],7,0),0)</f>
        <v>0</v>
      </c>
      <c r="AI324" s="40">
        <f>IFERROR(VLOOKUP(Tabela3[[#This Row],[Produto]],Tabela2[],8,0),0)</f>
        <v>0</v>
      </c>
      <c r="AJ324" s="35">
        <f ca="1">IFERROR(VLOOKUP(Tabela3[[#This Row],[Produto]],Tabela2[],13,0),0)</f>
        <v>17.600000000000001</v>
      </c>
      <c r="AK324" s="40" t="str">
        <f>IFERROR(VLOOKUP(Tabela3[[#This Row],[Produto]],Tabela2[],14,0),0)</f>
        <v>Oscar</v>
      </c>
      <c r="AL324" s="40">
        <f>IFERROR(VLOOKUP(Tabela3[[#This Row],[Produto]],Tabela2[],15,0),0)</f>
        <v>0</v>
      </c>
      <c r="AM324" s="36">
        <f ca="1">(Tabela3[[#This Row],[Custo Usinagem]]+Tabela3[[#This Row],[Custo / Pç]])*1.2</f>
        <v>655.7621779892919</v>
      </c>
      <c r="AN324" s="36">
        <f ca="1">Tabela3[[#This Row],[Valor Mínimo Venda]]*1.15</f>
        <v>754.12650468768561</v>
      </c>
      <c r="AO324" s="36">
        <f ca="1">Tabela3[[#This Row],[Tabela 1]]*1.08</f>
        <v>814.45662506270048</v>
      </c>
      <c r="AP324" s="36">
        <f ca="1">Tabela3[[#This Row],[Tabela 2]]*1.15</f>
        <v>936.62511882210549</v>
      </c>
    </row>
    <row r="325" spans="1:42">
      <c r="A325" s="9">
        <v>45814</v>
      </c>
      <c r="B325" s="6" t="s">
        <v>201</v>
      </c>
      <c r="C325" s="14">
        <v>6834</v>
      </c>
      <c r="D325" s="6" t="s">
        <v>44</v>
      </c>
      <c r="E325" s="6" t="s">
        <v>47</v>
      </c>
      <c r="F325" s="6">
        <v>5</v>
      </c>
      <c r="G325" s="15">
        <v>5.9027777777777776E-2</v>
      </c>
      <c r="H325" s="16">
        <v>0</v>
      </c>
      <c r="I325" s="35">
        <f ca="1">IFERROR(Tabela3[[#This Row],[Custo Total]]/Tabela3[[#This Row],[Aluminio Util]],0)</f>
        <v>23.42664499627119</v>
      </c>
      <c r="J325" s="35">
        <f ca="1">Tabela3[[#This Row],[Custo Total]]/Tabela3[[#This Row],[Realizado]]</f>
        <v>146.18226477673224</v>
      </c>
      <c r="K325" s="37">
        <f>IFERROR(Tabela3[[#This Row],[Qtde Cx Produzida]]/Tabela3[[#This Row],[Tempo]]/24,0)</f>
        <v>3.5294117647058822</v>
      </c>
      <c r="L325" s="37">
        <f>Tabela3[[#This Row],[Qtde Cx Produzida]]*Tabela3[[#This Row],[Qdt Peça Placa]]</f>
        <v>5</v>
      </c>
      <c r="M325" s="37">
        <f>Tabela3[[#This Row],[Previsto]]-Tabela3[[#This Row],[Perda Pçs]]</f>
        <v>5</v>
      </c>
      <c r="N325" s="38">
        <f>IFERROR(Tabela3[[#This Row],[Perda Pçs]]/Tabela3[[#This Row],[Previsto]],0)</f>
        <v>0</v>
      </c>
      <c r="O325" s="39">
        <f>IFERROR(IF(Tabela3[[#This Row],[Qtde Cx Produzida]] &lt;&gt; 0, Tabela3[[#This Row],[Tempo]] / Tabela3[[#This Row],[Qtde Cx Produzida]], 0),0)</f>
        <v>1.1805555555555555E-2</v>
      </c>
      <c r="P325" s="57">
        <f>IFERROR(Tabela3[[#This Row],[Perda Pçs]]/Tabela3[[#This Row],[Qdt Peça Placa]],0)</f>
        <v>0</v>
      </c>
      <c r="Q325" s="37">
        <f>IFERROR(Tabela3[[#This Row],[Realizado]]*Tabela3[[#This Row],[Peso Util/Pç]],0)</f>
        <v>31.200000000000003</v>
      </c>
      <c r="R325" s="37">
        <f>IFERROR(Tabela3[[#This Row],[Peso Total Galho]]*Tabela3[[#This Row],[Qtde Cx Produzida]]*1.055,0)</f>
        <v>36.397500000000001</v>
      </c>
      <c r="S325" s="37">
        <f>(Tabela3[[#This Row],[Aluminio Bruto]]-Tabela3[[#This Row],[Aluminio Util]])*0.9</f>
        <v>4.6777499999999987</v>
      </c>
      <c r="T325" s="37">
        <f>Tabela3[[#This Row],[Aluminio Bruto]]/OleoKGAluminio</f>
        <v>15.31238118848464</v>
      </c>
      <c r="U325" s="35">
        <f>IFERROR((VLOOKUP(Tabela3[[#This Row],[Moldador]],Tabela1[],5,)+(VLOOKUP(Tabela3[[#This Row],[Ajudante]],Tabela1[],5,))*3.5),0)</f>
        <v>99.95034583333333</v>
      </c>
      <c r="V325" s="35">
        <f>IFERROR(Tabela3[[#This Row],[Custo M.O. / H]]/((Tabela3[[#This Row],[Realizado]]/Tabela3[[#This Row],[Qdt Peça Placa]])/Tabela3[[#This Row],[Tempo]]/24),)</f>
        <v>28.319264652777779</v>
      </c>
      <c r="W325" s="35">
        <f>Tabela3[[#This Row],[Custo / Cx Moldada]]*Tabela3[[#This Row],[Qtde Cx Produzida]]</f>
        <v>141.59632326388891</v>
      </c>
      <c r="X325" s="35">
        <f ca="1">Tabela3[[#This Row],[Aluminio Util]]*Tabela3[[#This Row],[Custo/Kg]]</f>
        <v>549.12000000000012</v>
      </c>
      <c r="Y325" s="35">
        <f>IFERROR(VLOOKUP(Tabela3[[#This Row],[Data]],Tabela461213[],2,1)*(Tabela3[[#This Row],[Qtde Cx Produzida]]*Tabela3[[#This Row],[Qde macho / CX]]*Tabela3[[#This Row],[Peso Macho]]),)</f>
        <v>0</v>
      </c>
      <c r="Z325" s="35">
        <f>IFERROR(Tabela3[[#This Row],[Qtde Oleo]]*(VLOOKUP(Tabela3[[#This Row],[Data]],CompraOleo[],3,TRUE))*1.05,0)</f>
        <v>40.195000619772181</v>
      </c>
      <c r="AA325" s="47">
        <f ca="1">(Tabela3[[#This Row],[Custo Oleo]]+Tabela3[[#This Row],[Custo Aluminio]]+Tabela3[[#This Row],[Custo M.O. Total]]+Tabela3[[#This Row],[Custo Machos]])</f>
        <v>730.91132388366123</v>
      </c>
      <c r="AB325" s="47">
        <f ca="1">Tabela3[[#This Row],[Custo Total]]*Tabela3[[#This Row],[% Perda]]</f>
        <v>0</v>
      </c>
      <c r="AC325" s="48">
        <f>IFERROR(VLOOKUP(Tabela3[[#This Row],[Produto]],Tabela2[],2,0),0)</f>
        <v>1</v>
      </c>
      <c r="AD325" s="48">
        <f>IFERROR(VLOOKUP(Tabela3[[#This Row],[Produto]],Tabela2[],3,0),0)</f>
        <v>6.24</v>
      </c>
      <c r="AE325" s="48">
        <f>IFERROR(VLOOKUP(Tabela3[[#This Row],[Produto]],Tabela2[],4,0),0)</f>
        <v>6.9</v>
      </c>
      <c r="AF325" s="48">
        <f>IFERROR(VLOOKUP(Tabela3[[#This Row],[Produto]],Tabela2[],5,0),0)</f>
        <v>0.59400000000000019</v>
      </c>
      <c r="AG325" s="40">
        <f>IFERROR(VLOOKUP(Tabela3[[#This Row],[Produto]],Tabela2[],6,0),0)</f>
        <v>0</v>
      </c>
      <c r="AH325" s="40">
        <f>IFERROR(VLOOKUP(Tabela3[[#This Row],[Produto]],Tabela2[],7,0),0)</f>
        <v>0</v>
      </c>
      <c r="AI325" s="40">
        <f>IFERROR(VLOOKUP(Tabela3[[#This Row],[Produto]],Tabela2[],8,0),0)</f>
        <v>0</v>
      </c>
      <c r="AJ325" s="35">
        <f ca="1">IFERROR(VLOOKUP(Tabela3[[#This Row],[Produto]],Tabela2[],13,0),0)</f>
        <v>17.600000000000001</v>
      </c>
      <c r="AK325" s="40" t="str">
        <f>IFERROR(VLOOKUP(Tabela3[[#This Row],[Produto]],Tabela2[],14,0),0)</f>
        <v>Oscar</v>
      </c>
      <c r="AL325" s="40">
        <f>IFERROR(VLOOKUP(Tabela3[[#This Row],[Produto]],Tabela2[],15,0),0)</f>
        <v>0</v>
      </c>
      <c r="AM325" s="36">
        <f ca="1">(Tabela3[[#This Row],[Custo Usinagem]]+Tabela3[[#This Row],[Custo / Pç]])*1.2</f>
        <v>175.41871773207868</v>
      </c>
      <c r="AN325" s="36">
        <f ca="1">Tabela3[[#This Row],[Valor Mínimo Venda]]*1.15</f>
        <v>201.73152539189047</v>
      </c>
      <c r="AO325" s="36">
        <f ca="1">Tabela3[[#This Row],[Tabela 1]]*1.08</f>
        <v>217.87004742324172</v>
      </c>
      <c r="AP325" s="36">
        <f ca="1">Tabela3[[#This Row],[Tabela 2]]*1.15</f>
        <v>250.55055453672796</v>
      </c>
    </row>
    <row r="326" spans="1:42">
      <c r="A326" s="9">
        <v>45814</v>
      </c>
      <c r="B326" s="6" t="s">
        <v>247</v>
      </c>
      <c r="C326" s="14">
        <v>6817</v>
      </c>
      <c r="D326" s="6" t="s">
        <v>44</v>
      </c>
      <c r="E326" s="6" t="s">
        <v>47</v>
      </c>
      <c r="F326" s="6">
        <v>7</v>
      </c>
      <c r="G326" s="15">
        <v>3.3333333333333333E-2</v>
      </c>
      <c r="H326" s="16">
        <v>0</v>
      </c>
      <c r="I326" s="35">
        <f ca="1">IFERROR(Tabela3[[#This Row],[Custo Total]]/Tabela3[[#This Row],[Aluminio Util]],0)</f>
        <v>27.3521361455429</v>
      </c>
      <c r="J326" s="35">
        <f ca="1">Tabela3[[#This Row],[Custo Total]]/Tabela3[[#This Row],[Realizado]]</f>
        <v>8.2056408436628701</v>
      </c>
      <c r="K326" s="37">
        <f>IFERROR(Tabela3[[#This Row],[Qtde Cx Produzida]]/Tabela3[[#This Row],[Tempo]]/24,0)</f>
        <v>8.75</v>
      </c>
      <c r="L326" s="37">
        <f>Tabela3[[#This Row],[Qtde Cx Produzida]]*Tabela3[[#This Row],[Qdt Peça Placa]]</f>
        <v>28</v>
      </c>
      <c r="M326" s="37">
        <f>Tabela3[[#This Row],[Previsto]]-Tabela3[[#This Row],[Perda Pçs]]</f>
        <v>28</v>
      </c>
      <c r="N326" s="38">
        <f>IFERROR(Tabela3[[#This Row],[Perda Pçs]]/Tabela3[[#This Row],[Previsto]],0)</f>
        <v>0</v>
      </c>
      <c r="O326" s="39">
        <f>IFERROR(IF(Tabela3[[#This Row],[Qtde Cx Produzida]] &lt;&gt; 0, Tabela3[[#This Row],[Tempo]] / Tabela3[[#This Row],[Qtde Cx Produzida]], 0),0)</f>
        <v>4.7619047619047615E-3</v>
      </c>
      <c r="P326" s="57">
        <f>IFERROR(Tabela3[[#This Row],[Perda Pçs]]/Tabela3[[#This Row],[Qdt Peça Placa]],0)</f>
        <v>0</v>
      </c>
      <c r="Q326" s="37">
        <f>IFERROR(Tabela3[[#This Row],[Realizado]]*Tabela3[[#This Row],[Peso Util/Pç]],0)</f>
        <v>8.4</v>
      </c>
      <c r="R326" s="37">
        <f>IFERROR(Tabela3[[#This Row],[Peso Total Galho]]*Tabela3[[#This Row],[Qtde Cx Produzida]]*1.055,0)</f>
        <v>16.985499999999998</v>
      </c>
      <c r="S326" s="37">
        <f>(Tabela3[[#This Row],[Aluminio Bruto]]-Tabela3[[#This Row],[Aluminio Util]])*0.9</f>
        <v>7.7269499999999987</v>
      </c>
      <c r="T326" s="37">
        <f>Tabela3[[#This Row],[Aluminio Bruto]]/OleoKGAluminio</f>
        <v>7.1457778879594978</v>
      </c>
      <c r="U326" s="35">
        <f>IFERROR((VLOOKUP(Tabela3[[#This Row],[Moldador]],Tabela1[],5,)+(VLOOKUP(Tabela3[[#This Row],[Ajudante]],Tabela1[],5,))*3.5),0)</f>
        <v>99.95034583333333</v>
      </c>
      <c r="V326" s="35">
        <f>IFERROR(Tabela3[[#This Row],[Custo M.O. / H]]/((Tabela3[[#This Row],[Realizado]]/Tabela3[[#This Row],[Qdt Peça Placa]])/Tabela3[[#This Row],[Tempo]]/24),)</f>
        <v>11.422896666666666</v>
      </c>
      <c r="W326" s="35">
        <f>Tabela3[[#This Row],[Custo / Cx Moldada]]*Tabela3[[#This Row],[Qtde Cx Produzida]]</f>
        <v>79.960276666666658</v>
      </c>
      <c r="X326" s="35">
        <f ca="1">Tabela3[[#This Row],[Aluminio Util]]*Tabela3[[#This Row],[Custo/Kg]]</f>
        <v>131.04000000000002</v>
      </c>
      <c r="Y326" s="35">
        <f>IFERROR(VLOOKUP(Tabela3[[#This Row],[Data]],Tabela461213[],2,1)*(Tabela3[[#This Row],[Qtde Cx Produzida]]*Tabela3[[#This Row],[Qde macho / CX]]*Tabela3[[#This Row],[Peso Macho]]),)</f>
        <v>0</v>
      </c>
      <c r="Z326" s="35">
        <f>IFERROR(Tabela3[[#This Row],[Qtde Oleo]]*(VLOOKUP(Tabela3[[#This Row],[Data]],CompraOleo[],3,TRUE))*1.05,0)</f>
        <v>18.757666955893683</v>
      </c>
      <c r="AA326" s="47">
        <f ca="1">(Tabela3[[#This Row],[Custo Oleo]]+Tabela3[[#This Row],[Custo Aluminio]]+Tabela3[[#This Row],[Custo M.O. Total]]+Tabela3[[#This Row],[Custo Machos]])</f>
        <v>229.75794362256036</v>
      </c>
      <c r="AB326" s="47">
        <f ca="1">Tabela3[[#This Row],[Custo Total]]*Tabela3[[#This Row],[% Perda]]</f>
        <v>0</v>
      </c>
      <c r="AC326" s="48">
        <f>IFERROR(VLOOKUP(Tabela3[[#This Row],[Produto]],Tabela2[],2,0),0)</f>
        <v>4</v>
      </c>
      <c r="AD326" s="48">
        <f>IFERROR(VLOOKUP(Tabela3[[#This Row],[Produto]],Tabela2[],3,0),0)</f>
        <v>0.3</v>
      </c>
      <c r="AE326" s="48">
        <f>IFERROR(VLOOKUP(Tabela3[[#This Row],[Produto]],Tabela2[],4,0),0)</f>
        <v>2.2999999999999998</v>
      </c>
      <c r="AF326" s="48">
        <f>IFERROR(VLOOKUP(Tabela3[[#This Row],[Produto]],Tabela2[],5,0),0)</f>
        <v>0.98999999999999988</v>
      </c>
      <c r="AG326" s="40">
        <f>IFERROR(VLOOKUP(Tabela3[[#This Row],[Produto]],Tabela2[],6,0),0)</f>
        <v>0</v>
      </c>
      <c r="AH326" s="40">
        <f>IFERROR(VLOOKUP(Tabela3[[#This Row],[Produto]],Tabela2[],7,0),0)</f>
        <v>0</v>
      </c>
      <c r="AI326" s="40">
        <f>IFERROR(VLOOKUP(Tabela3[[#This Row],[Produto]],Tabela2[],8,0),0)</f>
        <v>0</v>
      </c>
      <c r="AJ326" s="35">
        <f ca="1">IFERROR(VLOOKUP(Tabela3[[#This Row],[Produto]],Tabela2[],13,0),0)</f>
        <v>15.600000000000001</v>
      </c>
      <c r="AK326" s="40" t="str">
        <f>IFERROR(VLOOKUP(Tabela3[[#This Row],[Produto]],Tabela2[],14,0),0)</f>
        <v>Senun</v>
      </c>
      <c r="AL326" s="40">
        <f>IFERROR(VLOOKUP(Tabela3[[#This Row],[Produto]],Tabela2[],15,0),0)</f>
        <v>3.5</v>
      </c>
      <c r="AM326" s="36">
        <f ca="1">(Tabela3[[#This Row],[Custo Usinagem]]+Tabela3[[#This Row],[Custo / Pç]])*1.2</f>
        <v>14.046769012395444</v>
      </c>
      <c r="AN326" s="36">
        <f ca="1">Tabela3[[#This Row],[Valor Mínimo Venda]]*1.15</f>
        <v>16.153784364254758</v>
      </c>
      <c r="AO326" s="36">
        <f ca="1">Tabela3[[#This Row],[Tabela 1]]*1.08</f>
        <v>17.446087113395141</v>
      </c>
      <c r="AP326" s="36">
        <f ca="1">Tabela3[[#This Row],[Tabela 2]]*1.15</f>
        <v>20.063000180404412</v>
      </c>
    </row>
    <row r="327" spans="1:42">
      <c r="A327" s="9">
        <v>45817</v>
      </c>
      <c r="B327" s="6" t="s">
        <v>230</v>
      </c>
      <c r="C327" s="14">
        <v>6667</v>
      </c>
      <c r="D327" s="6" t="s">
        <v>46</v>
      </c>
      <c r="E327" s="6" t="s">
        <v>53</v>
      </c>
      <c r="F327" s="6">
        <v>32</v>
      </c>
      <c r="G327" s="15">
        <v>0.12291666666666666</v>
      </c>
      <c r="H327" s="16">
        <v>0</v>
      </c>
      <c r="I327" s="35">
        <f ca="1">IFERROR(Tabela3[[#This Row],[Custo Total]]/Tabela3[[#This Row],[Aluminio Util]],0)</f>
        <v>25.202351961759273</v>
      </c>
      <c r="J327" s="35">
        <f ca="1">Tabela3[[#This Row],[Custo Total]]/Tabela3[[#This Row],[Realizado]]</f>
        <v>10.660594879824172</v>
      </c>
      <c r="K327" s="37">
        <f>IFERROR(Tabela3[[#This Row],[Qtde Cx Produzida]]/Tabela3[[#This Row],[Tempo]]/24,0)</f>
        <v>10.847457627118644</v>
      </c>
      <c r="L327" s="37">
        <f>Tabela3[[#This Row],[Qtde Cx Produzida]]*Tabela3[[#This Row],[Qdt Peça Placa]]</f>
        <v>128</v>
      </c>
      <c r="M327" s="37">
        <f>Tabela3[[#This Row],[Previsto]]-Tabela3[[#This Row],[Perda Pçs]]</f>
        <v>128</v>
      </c>
      <c r="N327" s="38">
        <f>IFERROR(Tabela3[[#This Row],[Perda Pçs]]/Tabela3[[#This Row],[Previsto]],0)</f>
        <v>0</v>
      </c>
      <c r="O327" s="39">
        <f>IFERROR(IF(Tabela3[[#This Row],[Qtde Cx Produzida]] &lt;&gt; 0, Tabela3[[#This Row],[Tempo]] / Tabela3[[#This Row],[Qtde Cx Produzida]], 0),0)</f>
        <v>3.8411458333333331E-3</v>
      </c>
      <c r="P327" s="57">
        <f>IFERROR(Tabela3[[#This Row],[Perda Pçs]]/Tabela3[[#This Row],[Qdt Peça Placa]],0)</f>
        <v>0</v>
      </c>
      <c r="Q327" s="37">
        <f>IFERROR(Tabela3[[#This Row],[Realizado]]*Tabela3[[#This Row],[Peso Util/Pç]],0)</f>
        <v>54.143999999999998</v>
      </c>
      <c r="R327" s="37">
        <f>IFERROR(Tabela3[[#This Row],[Peso Total Galho]]*Tabela3[[#This Row],[Qtde Cx Produzida]]*1.055,0)</f>
        <v>105.73631999999999</v>
      </c>
      <c r="S327" s="37">
        <f>(Tabela3[[#This Row],[Aluminio Bruto]]-Tabela3[[#This Row],[Aluminio Util]])*0.9</f>
        <v>46.433087999999998</v>
      </c>
      <c r="T327" s="37">
        <f>Tabela3[[#This Row],[Aluminio Bruto]]/OleoKGAluminio</f>
        <v>44.483133108251721</v>
      </c>
      <c r="U327" s="35">
        <f>IFERROR((VLOOKUP(Tabela3[[#This Row],[Moldador]],Tabela1[],5,)+(VLOOKUP(Tabela3[[#This Row],[Ajudante]],Tabela1[],5,))*3.5),0)</f>
        <v>99.95034583333333</v>
      </c>
      <c r="V327" s="35">
        <f>IFERROR(Tabela3[[#This Row],[Custo M.O. / H]]/((Tabela3[[#This Row],[Realizado]]/Tabela3[[#This Row],[Qdt Peça Placa]])/Tabela3[[#This Row],[Tempo]]/24),)</f>
        <v>9.2141725065104172</v>
      </c>
      <c r="W327" s="35">
        <f>Tabela3[[#This Row],[Custo / Cx Moldada]]*Tabela3[[#This Row],[Qtde Cx Produzida]]</f>
        <v>294.85352020833335</v>
      </c>
      <c r="X327" s="35">
        <f ca="1">Tabela3[[#This Row],[Aluminio Util]]*Tabela3[[#This Row],[Custo/Kg]]</f>
        <v>952.9344000000001</v>
      </c>
      <c r="Y327" s="35">
        <f>IFERROR(VLOOKUP(Tabela3[[#This Row],[Data]],Tabela461213[],2,1)*(Tabela3[[#This Row],[Qtde Cx Produzida]]*Tabela3[[#This Row],[Qde macho / CX]]*Tabela3[[#This Row],[Peso Macho]]),)</f>
        <v>0</v>
      </c>
      <c r="Z327" s="35">
        <f>IFERROR(Tabela3[[#This Row],[Qtde Oleo]]*(VLOOKUP(Tabela3[[#This Row],[Data]],CompraOleo[],3,TRUE))*1.05,0)</f>
        <v>116.76822440916077</v>
      </c>
      <c r="AA327" s="47">
        <f ca="1">(Tabela3[[#This Row],[Custo Oleo]]+Tabela3[[#This Row],[Custo Aluminio]]+Tabela3[[#This Row],[Custo M.O. Total]]+Tabela3[[#This Row],[Custo Machos]])</f>
        <v>1364.5561446174941</v>
      </c>
      <c r="AB327" s="47">
        <f ca="1">Tabela3[[#This Row],[Custo Total]]*Tabela3[[#This Row],[% Perda]]</f>
        <v>0</v>
      </c>
      <c r="AC327" s="48">
        <f>IFERROR(VLOOKUP(Tabela3[[#This Row],[Produto]],Tabela2[],2,0),0)</f>
        <v>4</v>
      </c>
      <c r="AD327" s="48">
        <f>IFERROR(VLOOKUP(Tabela3[[#This Row],[Produto]],Tabela2[],3,0),0)</f>
        <v>0.42299999999999999</v>
      </c>
      <c r="AE327" s="48">
        <f>IFERROR(VLOOKUP(Tabela3[[#This Row],[Produto]],Tabela2[],4,0),0)</f>
        <v>3.1320000000000001</v>
      </c>
      <c r="AF327" s="48">
        <f>IFERROR(VLOOKUP(Tabela3[[#This Row],[Produto]],Tabela2[],5,0),0)</f>
        <v>1.2960000000000003</v>
      </c>
      <c r="AG327" s="40">
        <f>IFERROR(VLOOKUP(Tabela3[[#This Row],[Produto]],Tabela2[],6,0),0)</f>
        <v>0</v>
      </c>
      <c r="AH327" s="40">
        <f>IFERROR(VLOOKUP(Tabela3[[#This Row],[Produto]],Tabela2[],7,0),0)</f>
        <v>0</v>
      </c>
      <c r="AI327" s="40">
        <f>IFERROR(VLOOKUP(Tabela3[[#This Row],[Produto]],Tabela2[],8,0),0)</f>
        <v>0</v>
      </c>
      <c r="AJ327" s="35">
        <f ca="1">IFERROR(VLOOKUP(Tabela3[[#This Row],[Produto]],Tabela2[],13,0),0)</f>
        <v>17.600000000000001</v>
      </c>
      <c r="AK327" s="40" t="str">
        <f>IFERROR(VLOOKUP(Tabela3[[#This Row],[Produto]],Tabela2[],14,0),0)</f>
        <v>Busa</v>
      </c>
      <c r="AL327" s="40">
        <f>IFERROR(VLOOKUP(Tabela3[[#This Row],[Produto]],Tabela2[],15,0),0)</f>
        <v>0.5</v>
      </c>
      <c r="AM327" s="36">
        <f ca="1">(Tabela3[[#This Row],[Custo Usinagem]]+Tabela3[[#This Row],[Custo / Pç]])*1.2</f>
        <v>13.392713855789006</v>
      </c>
      <c r="AN327" s="36">
        <f ca="1">Tabela3[[#This Row],[Valor Mínimo Venda]]*1.15</f>
        <v>15.401620934157355</v>
      </c>
      <c r="AO327" s="36">
        <f ca="1">Tabela3[[#This Row],[Tabela 1]]*1.08</f>
        <v>16.633750608889944</v>
      </c>
      <c r="AP327" s="36">
        <f ca="1">Tabela3[[#This Row],[Tabela 2]]*1.15</f>
        <v>19.128813200223433</v>
      </c>
    </row>
    <row r="328" spans="1:42">
      <c r="A328" s="9">
        <v>45817</v>
      </c>
      <c r="B328" s="6" t="s">
        <v>111</v>
      </c>
      <c r="C328" s="14">
        <v>6884</v>
      </c>
      <c r="D328" s="6" t="s">
        <v>46</v>
      </c>
      <c r="E328" s="6" t="s">
        <v>53</v>
      </c>
      <c r="F328" s="6">
        <v>6</v>
      </c>
      <c r="G328" s="15">
        <v>4.0972222222222222E-2</v>
      </c>
      <c r="H328" s="16">
        <v>0</v>
      </c>
      <c r="I328" s="35">
        <f ca="1">IFERROR(Tabela3[[#This Row],[Custo Total]]/Tabela3[[#This Row],[Aluminio Util]],0)</f>
        <v>26.061667274185851</v>
      </c>
      <c r="J328" s="35">
        <f ca="1">Tabela3[[#This Row],[Custo Total]]/Tabela3[[#This Row],[Realizado]]</f>
        <v>50.820251184662403</v>
      </c>
      <c r="K328" s="37">
        <f>IFERROR(Tabela3[[#This Row],[Qtde Cx Produzida]]/Tabela3[[#This Row],[Tempo]]/24,0)</f>
        <v>6.1016949152542379</v>
      </c>
      <c r="L328" s="37">
        <f>Tabela3[[#This Row],[Qtde Cx Produzida]]*Tabela3[[#This Row],[Qdt Peça Placa]]</f>
        <v>6</v>
      </c>
      <c r="M328" s="37">
        <f>Tabela3[[#This Row],[Previsto]]-Tabela3[[#This Row],[Perda Pçs]]</f>
        <v>6</v>
      </c>
      <c r="N328" s="38">
        <f>IFERROR(Tabela3[[#This Row],[Perda Pçs]]/Tabela3[[#This Row],[Previsto]],0)</f>
        <v>0</v>
      </c>
      <c r="O328" s="39">
        <f>IFERROR(IF(Tabela3[[#This Row],[Qtde Cx Produzida]] &lt;&gt; 0, Tabela3[[#This Row],[Tempo]] / Tabela3[[#This Row],[Qtde Cx Produzida]], 0),0)</f>
        <v>6.828703703703704E-3</v>
      </c>
      <c r="P328" s="57">
        <f>IFERROR(Tabela3[[#This Row],[Perda Pçs]]/Tabela3[[#This Row],[Qdt Peça Placa]],0)</f>
        <v>0</v>
      </c>
      <c r="Q328" s="37">
        <f>IFERROR(Tabela3[[#This Row],[Realizado]]*Tabela3[[#This Row],[Peso Util/Pç]],0)</f>
        <v>11.7</v>
      </c>
      <c r="R328" s="37">
        <f>IFERROR(Tabela3[[#This Row],[Peso Total Galho]]*Tabela3[[#This Row],[Qtde Cx Produzida]]*1.055,0)</f>
        <v>21.838500000000003</v>
      </c>
      <c r="S328" s="37">
        <f>(Tabela3[[#This Row],[Aluminio Bruto]]-Tabela3[[#This Row],[Aluminio Util]])*0.9</f>
        <v>9.1246500000000044</v>
      </c>
      <c r="T328" s="37">
        <f>Tabela3[[#This Row],[Aluminio Bruto]]/OleoKGAluminio</f>
        <v>9.1874287130907852</v>
      </c>
      <c r="U328" s="35">
        <f>IFERROR((VLOOKUP(Tabela3[[#This Row],[Moldador]],Tabela1[],5,)+(VLOOKUP(Tabela3[[#This Row],[Ajudante]],Tabela1[],5,))*3.5),0)</f>
        <v>99.95034583333333</v>
      </c>
      <c r="V328" s="35">
        <f>IFERROR(Tabela3[[#This Row],[Custo M.O. / H]]/((Tabela3[[#This Row],[Realizado]]/Tabela3[[#This Row],[Qdt Peça Placa]])/Tabela3[[#This Row],[Tempo]]/24),)</f>
        <v>16.380751122685183</v>
      </c>
      <c r="W328" s="35">
        <f>Tabela3[[#This Row],[Custo / Cx Moldada]]*Tabela3[[#This Row],[Qtde Cx Produzida]]</f>
        <v>98.284506736111098</v>
      </c>
      <c r="X328" s="35">
        <f ca="1">Tabela3[[#This Row],[Aluminio Util]]*Tabela3[[#This Row],[Custo/Kg]]</f>
        <v>182.52</v>
      </c>
      <c r="Y328" s="35">
        <f>IFERROR(VLOOKUP(Tabela3[[#This Row],[Data]],Tabela461213[],2,1)*(Tabela3[[#This Row],[Qtde Cx Produzida]]*Tabela3[[#This Row],[Qde macho / CX]]*Tabela3[[#This Row],[Peso Macho]]),)</f>
        <v>0</v>
      </c>
      <c r="Z328" s="35">
        <f>IFERROR(Tabela3[[#This Row],[Qtde Oleo]]*(VLOOKUP(Tabela3[[#This Row],[Data]],CompraOleo[],3,TRUE))*1.05,0)</f>
        <v>24.117000371863309</v>
      </c>
      <c r="AA328" s="47">
        <f ca="1">(Tabela3[[#This Row],[Custo Oleo]]+Tabela3[[#This Row],[Custo Aluminio]]+Tabela3[[#This Row],[Custo M.O. Total]]+Tabela3[[#This Row],[Custo Machos]])</f>
        <v>304.92150710797443</v>
      </c>
      <c r="AB328" s="47">
        <f ca="1">Tabela3[[#This Row],[Custo Total]]*Tabela3[[#This Row],[% Perda]]</f>
        <v>0</v>
      </c>
      <c r="AC328" s="48">
        <f>IFERROR(VLOOKUP(Tabela3[[#This Row],[Produto]],Tabela2[],2,0),0)</f>
        <v>1</v>
      </c>
      <c r="AD328" s="48">
        <f>IFERROR(VLOOKUP(Tabela3[[#This Row],[Produto]],Tabela2[],3,0),0)</f>
        <v>1.95</v>
      </c>
      <c r="AE328" s="48">
        <f>IFERROR(VLOOKUP(Tabela3[[#This Row],[Produto]],Tabela2[],4,0),0)</f>
        <v>3.45</v>
      </c>
      <c r="AF328" s="48">
        <f>IFERROR(VLOOKUP(Tabela3[[#This Row],[Produto]],Tabela2[],5,0),0)</f>
        <v>1.3500000000000003</v>
      </c>
      <c r="AG328" s="40">
        <f>IFERROR(VLOOKUP(Tabela3[[#This Row],[Produto]],Tabela2[],6,0),0)</f>
        <v>0</v>
      </c>
      <c r="AH328" s="40">
        <f>IFERROR(VLOOKUP(Tabela3[[#This Row],[Produto]],Tabela2[],7,0),0)</f>
        <v>0</v>
      </c>
      <c r="AI328" s="40">
        <f>IFERROR(VLOOKUP(Tabela3[[#This Row],[Produto]],Tabela2[],8,0),0)</f>
        <v>0</v>
      </c>
      <c r="AJ328" s="35">
        <f ca="1">IFERROR(VLOOKUP(Tabela3[[#This Row],[Produto]],Tabela2[],13,0),0)</f>
        <v>15.600000000000001</v>
      </c>
      <c r="AK328" s="40" t="str">
        <f>IFERROR(VLOOKUP(Tabela3[[#This Row],[Produto]],Tabela2[],14,0),0)</f>
        <v>Jumil</v>
      </c>
      <c r="AL328" s="40">
        <f>IFERROR(VLOOKUP(Tabela3[[#This Row],[Produto]],Tabela2[],15,0),0)</f>
        <v>1</v>
      </c>
      <c r="AM328" s="36">
        <f ca="1">(Tabela3[[#This Row],[Custo Usinagem]]+Tabela3[[#This Row],[Custo / Pç]])*1.2</f>
        <v>62.184301421594881</v>
      </c>
      <c r="AN328" s="36">
        <f ca="1">Tabela3[[#This Row],[Valor Mínimo Venda]]*1.15</f>
        <v>71.511946634834104</v>
      </c>
      <c r="AO328" s="36">
        <f ca="1">Tabela3[[#This Row],[Tabela 1]]*1.08</f>
        <v>77.232902365620831</v>
      </c>
      <c r="AP328" s="36">
        <f ca="1">Tabela3[[#This Row],[Tabela 2]]*1.15</f>
        <v>88.817837720463942</v>
      </c>
    </row>
    <row r="329" spans="1:42">
      <c r="A329" s="9">
        <v>45817</v>
      </c>
      <c r="B329" s="6" t="s">
        <v>245</v>
      </c>
      <c r="C329" s="14">
        <v>6822</v>
      </c>
      <c r="D329" s="6" t="s">
        <v>46</v>
      </c>
      <c r="E329" s="6" t="s">
        <v>53</v>
      </c>
      <c r="F329" s="6">
        <v>32</v>
      </c>
      <c r="G329" s="15">
        <v>0.18541666666666667</v>
      </c>
      <c r="H329" s="16">
        <v>10</v>
      </c>
      <c r="I329" s="35">
        <f ca="1">IFERROR(Tabela3[[#This Row],[Custo Total]]/Tabela3[[#This Row],[Aluminio Util]],0)</f>
        <v>30.104326947841059</v>
      </c>
      <c r="J329" s="35">
        <f ca="1">Tabela3[[#This Row],[Custo Total]]/Tabela3[[#This Row],[Realizado]]</f>
        <v>9.9946365466832319</v>
      </c>
      <c r="K329" s="37">
        <f>IFERROR(Tabela3[[#This Row],[Qtde Cx Produzida]]/Tabela3[[#This Row],[Tempo]]/24,0)</f>
        <v>7.191011235955056</v>
      </c>
      <c r="L329" s="37">
        <f>Tabela3[[#This Row],[Qtde Cx Produzida]]*Tabela3[[#This Row],[Qdt Peça Placa]]</f>
        <v>128</v>
      </c>
      <c r="M329" s="37">
        <f>Tabela3[[#This Row],[Previsto]]-Tabela3[[#This Row],[Perda Pçs]]</f>
        <v>118</v>
      </c>
      <c r="N329" s="38">
        <f>IFERROR(Tabela3[[#This Row],[Perda Pçs]]/Tabela3[[#This Row],[Previsto]],0)</f>
        <v>7.8125E-2</v>
      </c>
      <c r="O329" s="39">
        <f>IFERROR(IF(Tabela3[[#This Row],[Qtde Cx Produzida]] &lt;&gt; 0, Tabela3[[#This Row],[Tempo]] / Tabela3[[#This Row],[Qtde Cx Produzida]], 0),0)</f>
        <v>5.7942708333333336E-3</v>
      </c>
      <c r="P329" s="57">
        <f>IFERROR(Tabela3[[#This Row],[Perda Pçs]]/Tabela3[[#This Row],[Qdt Peça Placa]],0)</f>
        <v>2.5</v>
      </c>
      <c r="Q329" s="37">
        <f>IFERROR(Tabela3[[#This Row],[Realizado]]*Tabela3[[#This Row],[Peso Util/Pç]],0)</f>
        <v>39.176000000000002</v>
      </c>
      <c r="R329" s="37">
        <f>IFERROR(Tabela3[[#This Row],[Peso Total Galho]]*Tabela3[[#This Row],[Qtde Cx Produzida]]*1.055,0)</f>
        <v>77.647999999999996</v>
      </c>
      <c r="S329" s="37">
        <f>(Tabela3[[#This Row],[Aluminio Bruto]]-Tabela3[[#This Row],[Aluminio Util]])*0.9</f>
        <v>34.624799999999993</v>
      </c>
      <c r="T329" s="37">
        <f>Tabela3[[#This Row],[Aluminio Bruto]]/OleoKGAluminio</f>
        <v>32.666413202100564</v>
      </c>
      <c r="U329" s="35">
        <f>IFERROR((VLOOKUP(Tabela3[[#This Row],[Moldador]],Tabela1[],5,)+(VLOOKUP(Tabela3[[#This Row],[Ajudante]],Tabela1[],5,))*3.5),0)</f>
        <v>99.95034583333333</v>
      </c>
      <c r="V329" s="35">
        <f>IFERROR(Tabela3[[#This Row],[Custo M.O. / H]]/((Tabela3[[#This Row],[Realizado]]/Tabela3[[#This Row],[Qdt Peça Placa]])/Tabela3[[#This Row],[Tempo]]/24),)</f>
        <v>15.077255557909604</v>
      </c>
      <c r="W329" s="35">
        <f>Tabela3[[#This Row],[Custo / Cx Moldada]]*Tabela3[[#This Row],[Qtde Cx Produzida]]</f>
        <v>482.47217785310733</v>
      </c>
      <c r="X329" s="35">
        <f ca="1">Tabela3[[#This Row],[Aluminio Util]]*Tabela3[[#This Row],[Custo/Kg]]</f>
        <v>611.14560000000006</v>
      </c>
      <c r="Y329" s="35">
        <f>IFERROR(VLOOKUP(Tabela3[[#This Row],[Data]],Tabela461213[],2,1)*(Tabela3[[#This Row],[Qtde Cx Produzida]]*Tabela3[[#This Row],[Qde macho / CX]]*Tabela3[[#This Row],[Peso Macho]]),)</f>
        <v>0</v>
      </c>
      <c r="Z329" s="35">
        <f>IFERROR(Tabela3[[#This Row],[Qtde Oleo]]*(VLOOKUP(Tabela3[[#This Row],[Data]],CompraOleo[],3,TRUE))*1.05,0)</f>
        <v>85.749334655513977</v>
      </c>
      <c r="AA329" s="47">
        <f ca="1">(Tabela3[[#This Row],[Custo Oleo]]+Tabela3[[#This Row],[Custo Aluminio]]+Tabela3[[#This Row],[Custo M.O. Total]]+Tabela3[[#This Row],[Custo Machos]])</f>
        <v>1179.3671125086214</v>
      </c>
      <c r="AB329" s="47">
        <f ca="1">Tabela3[[#This Row],[Custo Total]]*Tabela3[[#This Row],[% Perda]]</f>
        <v>92.138055664736044</v>
      </c>
      <c r="AC329" s="48">
        <f>IFERROR(VLOOKUP(Tabela3[[#This Row],[Produto]],Tabela2[],2,0),0)</f>
        <v>4</v>
      </c>
      <c r="AD329" s="48">
        <f>IFERROR(VLOOKUP(Tabela3[[#This Row],[Produto]],Tabela2[],3,0),0)</f>
        <v>0.33200000000000002</v>
      </c>
      <c r="AE329" s="48">
        <f>IFERROR(VLOOKUP(Tabela3[[#This Row],[Produto]],Tabela2[],4,0),0)</f>
        <v>2.2999999999999998</v>
      </c>
      <c r="AF329" s="48">
        <f>IFERROR(VLOOKUP(Tabela3[[#This Row],[Produto]],Tabela2[],5,0),0)</f>
        <v>0.8747999999999998</v>
      </c>
      <c r="AG329" s="40">
        <f>IFERROR(VLOOKUP(Tabela3[[#This Row],[Produto]],Tabela2[],6,0),0)</f>
        <v>0</v>
      </c>
      <c r="AH329" s="40">
        <f>IFERROR(VLOOKUP(Tabela3[[#This Row],[Produto]],Tabela2[],7,0),0)</f>
        <v>0</v>
      </c>
      <c r="AI329" s="40">
        <f>IFERROR(VLOOKUP(Tabela3[[#This Row],[Produto]],Tabela2[],8,0),0)</f>
        <v>0</v>
      </c>
      <c r="AJ329" s="35">
        <f ca="1">IFERROR(VLOOKUP(Tabela3[[#This Row],[Produto]],Tabela2[],13,0),0)</f>
        <v>15.600000000000001</v>
      </c>
      <c r="AK329" s="40" t="str">
        <f>IFERROR(VLOOKUP(Tabela3[[#This Row],[Produto]],Tabela2[],14,0),0)</f>
        <v>Senun</v>
      </c>
      <c r="AL329" s="40">
        <f>IFERROR(VLOOKUP(Tabela3[[#This Row],[Produto]],Tabela2[],15,0),0)</f>
        <v>3.5</v>
      </c>
      <c r="AM329" s="36">
        <f ca="1">(Tabela3[[#This Row],[Custo Usinagem]]+Tabela3[[#This Row],[Custo / Pç]])*1.2</f>
        <v>16.193563856019878</v>
      </c>
      <c r="AN329" s="36">
        <f ca="1">Tabela3[[#This Row],[Valor Mínimo Venda]]*1.15</f>
        <v>18.622598434422859</v>
      </c>
      <c r="AO329" s="36">
        <f ca="1">Tabela3[[#This Row],[Tabela 1]]*1.08</f>
        <v>20.112406309176688</v>
      </c>
      <c r="AP329" s="36">
        <f ca="1">Tabela3[[#This Row],[Tabela 2]]*1.15</f>
        <v>23.129267255553188</v>
      </c>
    </row>
    <row r="330" spans="1:42">
      <c r="A330" s="9">
        <v>45817</v>
      </c>
      <c r="B330" s="6" t="s">
        <v>247</v>
      </c>
      <c r="C330" s="14">
        <v>6817</v>
      </c>
      <c r="D330" s="6" t="s">
        <v>44</v>
      </c>
      <c r="E330" s="6" t="s">
        <v>47</v>
      </c>
      <c r="F330" s="6">
        <v>33</v>
      </c>
      <c r="G330" s="15">
        <v>0.14166666666666666</v>
      </c>
      <c r="H330" s="16">
        <v>21</v>
      </c>
      <c r="I330" s="35">
        <f ca="1">IFERROR(Tabela3[[#This Row],[Custo Total]]/Tabela3[[#This Row],[Aluminio Util]],0)</f>
        <v>30.39136822264112</v>
      </c>
      <c r="J330" s="35">
        <f ca="1">Tabela3[[#This Row],[Custo Total]]/Tabela3[[#This Row],[Realizado]]</f>
        <v>9.1174104667923359</v>
      </c>
      <c r="K330" s="37">
        <f>IFERROR(Tabela3[[#This Row],[Qtde Cx Produzida]]/Tabela3[[#This Row],[Tempo]]/24,0)</f>
        <v>9.7058823529411757</v>
      </c>
      <c r="L330" s="37">
        <f>Tabela3[[#This Row],[Qtde Cx Produzida]]*Tabela3[[#This Row],[Qdt Peça Placa]]</f>
        <v>132</v>
      </c>
      <c r="M330" s="37">
        <f>Tabela3[[#This Row],[Previsto]]-Tabela3[[#This Row],[Perda Pçs]]</f>
        <v>111</v>
      </c>
      <c r="N330" s="38">
        <f>IFERROR(Tabela3[[#This Row],[Perda Pçs]]/Tabela3[[#This Row],[Previsto]],0)</f>
        <v>0.15909090909090909</v>
      </c>
      <c r="O330" s="39">
        <f>IFERROR(IF(Tabela3[[#This Row],[Qtde Cx Produzida]] &lt;&gt; 0, Tabela3[[#This Row],[Tempo]] / Tabela3[[#This Row],[Qtde Cx Produzida]], 0),0)</f>
        <v>4.2929292929292928E-3</v>
      </c>
      <c r="P330" s="57">
        <f>IFERROR(Tabela3[[#This Row],[Perda Pçs]]/Tabela3[[#This Row],[Qdt Peça Placa]],0)</f>
        <v>5.25</v>
      </c>
      <c r="Q330" s="37">
        <f>IFERROR(Tabela3[[#This Row],[Realizado]]*Tabela3[[#This Row],[Peso Util/Pç]],0)</f>
        <v>33.299999999999997</v>
      </c>
      <c r="R330" s="37">
        <f>IFERROR(Tabela3[[#This Row],[Peso Total Galho]]*Tabela3[[#This Row],[Qtde Cx Produzida]]*1.055,0)</f>
        <v>80.074499999999986</v>
      </c>
      <c r="S330" s="37">
        <f>(Tabela3[[#This Row],[Aluminio Bruto]]-Tabela3[[#This Row],[Aluminio Util]])*0.9</f>
        <v>42.097049999999989</v>
      </c>
      <c r="T330" s="37">
        <f>Tabela3[[#This Row],[Aluminio Bruto]]/OleoKGAluminio</f>
        <v>33.6872386146662</v>
      </c>
      <c r="U330" s="35">
        <f>IFERROR((VLOOKUP(Tabela3[[#This Row],[Moldador]],Tabela1[],5,)+(VLOOKUP(Tabela3[[#This Row],[Ajudante]],Tabela1[],5,))*3.5),0)</f>
        <v>99.95034583333333</v>
      </c>
      <c r="V330" s="35">
        <f>IFERROR(Tabela3[[#This Row],[Custo M.O. / H]]/((Tabela3[[#This Row],[Realizado]]/Tabela3[[#This Row],[Qdt Peça Placa]])/Tabela3[[#This Row],[Tempo]]/24),)</f>
        <v>12.246168498498498</v>
      </c>
      <c r="W330" s="35">
        <f>Tabela3[[#This Row],[Custo / Cx Moldada]]*Tabela3[[#This Row],[Qtde Cx Produzida]]</f>
        <v>404.12356045045044</v>
      </c>
      <c r="X330" s="35">
        <f ca="1">Tabela3[[#This Row],[Aluminio Util]]*Tabela3[[#This Row],[Custo/Kg]]</f>
        <v>519.48</v>
      </c>
      <c r="Y330" s="35">
        <f>IFERROR(VLOOKUP(Tabela3[[#This Row],[Data]],Tabela461213[],2,1)*(Tabela3[[#This Row],[Qtde Cx Produzida]]*Tabela3[[#This Row],[Qde macho / CX]]*Tabela3[[#This Row],[Peso Macho]]),)</f>
        <v>0</v>
      </c>
      <c r="Z330" s="35">
        <f>IFERROR(Tabela3[[#This Row],[Qtde Oleo]]*(VLOOKUP(Tabela3[[#This Row],[Data]],CompraOleo[],3,TRUE))*1.05,0)</f>
        <v>88.429001363498784</v>
      </c>
      <c r="AA330" s="47">
        <f ca="1">(Tabela3[[#This Row],[Custo Oleo]]+Tabela3[[#This Row],[Custo Aluminio]]+Tabela3[[#This Row],[Custo M.O. Total]]+Tabela3[[#This Row],[Custo Machos]])</f>
        <v>1012.0325618139492</v>
      </c>
      <c r="AB330" s="47">
        <f ca="1">Tabela3[[#This Row],[Custo Total]]*Tabela3[[#This Row],[% Perda]]</f>
        <v>161.00518028858284</v>
      </c>
      <c r="AC330" s="48">
        <f>IFERROR(VLOOKUP(Tabela3[[#This Row],[Produto]],Tabela2[],2,0),0)</f>
        <v>4</v>
      </c>
      <c r="AD330" s="48">
        <f>IFERROR(VLOOKUP(Tabela3[[#This Row],[Produto]],Tabela2[],3,0),0)</f>
        <v>0.3</v>
      </c>
      <c r="AE330" s="48">
        <f>IFERROR(VLOOKUP(Tabela3[[#This Row],[Produto]],Tabela2[],4,0),0)</f>
        <v>2.2999999999999998</v>
      </c>
      <c r="AF330" s="48">
        <f>IFERROR(VLOOKUP(Tabela3[[#This Row],[Produto]],Tabela2[],5,0),0)</f>
        <v>0.98999999999999988</v>
      </c>
      <c r="AG330" s="40">
        <f>IFERROR(VLOOKUP(Tabela3[[#This Row],[Produto]],Tabela2[],6,0),0)</f>
        <v>0</v>
      </c>
      <c r="AH330" s="40">
        <f>IFERROR(VLOOKUP(Tabela3[[#This Row],[Produto]],Tabela2[],7,0),0)</f>
        <v>0</v>
      </c>
      <c r="AI330" s="40">
        <f>IFERROR(VLOOKUP(Tabela3[[#This Row],[Produto]],Tabela2[],8,0),0)</f>
        <v>0</v>
      </c>
      <c r="AJ330" s="35">
        <f ca="1">IFERROR(VLOOKUP(Tabela3[[#This Row],[Produto]],Tabela2[],13,0),0)</f>
        <v>15.600000000000001</v>
      </c>
      <c r="AK330" s="40" t="str">
        <f>IFERROR(VLOOKUP(Tabela3[[#This Row],[Produto]],Tabela2[],14,0),0)</f>
        <v>Senun</v>
      </c>
      <c r="AL330" s="40">
        <f>IFERROR(VLOOKUP(Tabela3[[#This Row],[Produto]],Tabela2[],15,0),0)</f>
        <v>3.5</v>
      </c>
      <c r="AM330" s="36">
        <f ca="1">(Tabela3[[#This Row],[Custo Usinagem]]+Tabela3[[#This Row],[Custo / Pç]])*1.2</f>
        <v>15.140892560150803</v>
      </c>
      <c r="AN330" s="36">
        <f ca="1">Tabela3[[#This Row],[Valor Mínimo Venda]]*1.15</f>
        <v>17.412026444173421</v>
      </c>
      <c r="AO330" s="36">
        <f ca="1">Tabela3[[#This Row],[Tabela 1]]*1.08</f>
        <v>18.804988559707297</v>
      </c>
      <c r="AP330" s="36">
        <f ca="1">Tabela3[[#This Row],[Tabela 2]]*1.15</f>
        <v>21.62573684366339</v>
      </c>
    </row>
    <row r="331" spans="1:42">
      <c r="A331" s="9">
        <v>45817</v>
      </c>
      <c r="B331" s="6" t="s">
        <v>105</v>
      </c>
      <c r="C331" s="14">
        <v>6880</v>
      </c>
      <c r="D331" s="6" t="s">
        <v>44</v>
      </c>
      <c r="E331" s="6" t="s">
        <v>47</v>
      </c>
      <c r="F331" s="6">
        <v>5</v>
      </c>
      <c r="G331" s="15">
        <v>3.1944444444444442E-2</v>
      </c>
      <c r="H331" s="16">
        <v>0</v>
      </c>
      <c r="I331" s="35">
        <f ca="1">IFERROR(Tabela3[[#This Row],[Custo Total]]/Tabela3[[#This Row],[Aluminio Util]],0)</f>
        <v>22.745709368202945</v>
      </c>
      <c r="J331" s="35">
        <f ca="1">Tabela3[[#This Row],[Custo Total]]/Tabela3[[#This Row],[Realizado]]</f>
        <v>17.741653307198298</v>
      </c>
      <c r="K331" s="37">
        <f>IFERROR(Tabela3[[#This Row],[Qtde Cx Produzida]]/Tabela3[[#This Row],[Tempo]]/24,0)</f>
        <v>6.5217391304347823</v>
      </c>
      <c r="L331" s="37">
        <f>Tabela3[[#This Row],[Qtde Cx Produzida]]*Tabela3[[#This Row],[Qdt Peça Placa]]</f>
        <v>30</v>
      </c>
      <c r="M331" s="37">
        <f>Tabela3[[#This Row],[Previsto]]-Tabela3[[#This Row],[Perda Pçs]]</f>
        <v>30</v>
      </c>
      <c r="N331" s="38">
        <f>IFERROR(Tabela3[[#This Row],[Perda Pçs]]/Tabela3[[#This Row],[Previsto]],0)</f>
        <v>0</v>
      </c>
      <c r="O331" s="39">
        <f>IFERROR(IF(Tabela3[[#This Row],[Qtde Cx Produzida]] &lt;&gt; 0, Tabela3[[#This Row],[Tempo]] / Tabela3[[#This Row],[Qtde Cx Produzida]], 0),0)</f>
        <v>6.3888888888888884E-3</v>
      </c>
      <c r="P331" s="57">
        <f>IFERROR(Tabela3[[#This Row],[Perda Pçs]]/Tabela3[[#This Row],[Qdt Peça Placa]],0)</f>
        <v>0</v>
      </c>
      <c r="Q331" s="37">
        <f>IFERROR(Tabela3[[#This Row],[Realizado]]*Tabela3[[#This Row],[Peso Util/Pç]],0)</f>
        <v>23.400000000000002</v>
      </c>
      <c r="R331" s="37">
        <f>IFERROR(Tabela3[[#This Row],[Peso Total Galho]]*Tabela3[[#This Row],[Qtde Cx Produzida]]*1.055,0)</f>
        <v>43.676999999999992</v>
      </c>
      <c r="S331" s="37">
        <f>(Tabela3[[#This Row],[Aluminio Bruto]]-Tabela3[[#This Row],[Aluminio Util]])*0.9</f>
        <v>18.249299999999991</v>
      </c>
      <c r="T331" s="37">
        <f>Tabela3[[#This Row],[Aluminio Bruto]]/OleoKGAluminio</f>
        <v>18.374857426181563</v>
      </c>
      <c r="U331" s="35">
        <f>IFERROR((VLOOKUP(Tabela3[[#This Row],[Moldador]],Tabela1[],5,)+(VLOOKUP(Tabela3[[#This Row],[Ajudante]],Tabela1[],5,))*3.5),0)</f>
        <v>99.95034583333333</v>
      </c>
      <c r="V331" s="35">
        <f>IFERROR(Tabela3[[#This Row],[Custo M.O. / H]]/((Tabela3[[#This Row],[Realizado]]/Tabela3[[#This Row],[Qdt Peça Placa]])/Tabela3[[#This Row],[Tempo]]/24),)</f>
        <v>15.325719694444444</v>
      </c>
      <c r="W331" s="35">
        <f>Tabela3[[#This Row],[Custo / Cx Moldada]]*Tabela3[[#This Row],[Qtde Cx Produzida]]</f>
        <v>76.628598472222222</v>
      </c>
      <c r="X331" s="35">
        <f ca="1">Tabela3[[#This Row],[Aluminio Util]]*Tabela3[[#This Row],[Custo/Kg]]</f>
        <v>365.04000000000008</v>
      </c>
      <c r="Y331" s="35">
        <f>IFERROR(VLOOKUP(Tabela3[[#This Row],[Data]],Tabela461213[],2,1)*(Tabela3[[#This Row],[Qtde Cx Produzida]]*Tabela3[[#This Row],[Qde macho / CX]]*Tabela3[[#This Row],[Peso Macho]]),)</f>
        <v>42.347000000000001</v>
      </c>
      <c r="Z331" s="35">
        <f>IFERROR(Tabela3[[#This Row],[Qtde Oleo]]*(VLOOKUP(Tabela3[[#This Row],[Data]],CompraOleo[],3,TRUE))*1.05,0)</f>
        <v>48.234000743726604</v>
      </c>
      <c r="AA331" s="47">
        <f ca="1">(Tabela3[[#This Row],[Custo Oleo]]+Tabela3[[#This Row],[Custo Aluminio]]+Tabela3[[#This Row],[Custo M.O. Total]]+Tabela3[[#This Row],[Custo Machos]])</f>
        <v>532.24959921594893</v>
      </c>
      <c r="AB331" s="47">
        <f ca="1">Tabela3[[#This Row],[Custo Total]]*Tabela3[[#This Row],[% Perda]]</f>
        <v>0</v>
      </c>
      <c r="AC331" s="48">
        <f>IFERROR(VLOOKUP(Tabela3[[#This Row],[Produto]],Tabela2[],2,0),0)</f>
        <v>6</v>
      </c>
      <c r="AD331" s="48">
        <f>IFERROR(VLOOKUP(Tabela3[[#This Row],[Produto]],Tabela2[],3,0),0)</f>
        <v>0.78</v>
      </c>
      <c r="AE331" s="48">
        <f>IFERROR(VLOOKUP(Tabela3[[#This Row],[Produto]],Tabela2[],4,0),0)</f>
        <v>8.2799999999999994</v>
      </c>
      <c r="AF331" s="48">
        <f>IFERROR(VLOOKUP(Tabela3[[#This Row],[Produto]],Tabela2[],5,0),0)</f>
        <v>3.2399999999999998</v>
      </c>
      <c r="AG331" s="40">
        <f>IFERROR(VLOOKUP(Tabela3[[#This Row],[Produto]],Tabela2[],6,0),0)</f>
        <v>0</v>
      </c>
      <c r="AH331" s="40">
        <f>IFERROR(VLOOKUP(Tabela3[[#This Row],[Produto]],Tabela2[],7,0),0)</f>
        <v>1</v>
      </c>
      <c r="AI331" s="40">
        <f>IFERROR(VLOOKUP(Tabela3[[#This Row],[Produto]],Tabela2[],8,0),0)</f>
        <v>4.9820000000000002</v>
      </c>
      <c r="AJ331" s="35">
        <f ca="1">IFERROR(VLOOKUP(Tabela3[[#This Row],[Produto]],Tabela2[],13,0),0)</f>
        <v>15.600000000000001</v>
      </c>
      <c r="AK331" s="40" t="str">
        <f>IFERROR(VLOOKUP(Tabela3[[#This Row],[Produto]],Tabela2[],14,0),0)</f>
        <v>Jumil</v>
      </c>
      <c r="AL331" s="40">
        <f>IFERROR(VLOOKUP(Tabela3[[#This Row],[Produto]],Tabela2[],15,0),0)</f>
        <v>10</v>
      </c>
      <c r="AM331" s="36">
        <f ca="1">(Tabela3[[#This Row],[Custo Usinagem]]+Tabela3[[#This Row],[Custo / Pç]])*1.2</f>
        <v>33.289983968637955</v>
      </c>
      <c r="AN331" s="36">
        <f ca="1">Tabela3[[#This Row],[Valor Mínimo Venda]]*1.15</f>
        <v>38.283481563933648</v>
      </c>
      <c r="AO331" s="36">
        <f ca="1">Tabela3[[#This Row],[Tabela 1]]*1.08</f>
        <v>41.34616008904834</v>
      </c>
      <c r="AP331" s="36">
        <f ca="1">Tabela3[[#This Row],[Tabela 2]]*1.15</f>
        <v>47.548084102405589</v>
      </c>
    </row>
    <row r="332" spans="1:42">
      <c r="A332" s="9">
        <v>45817</v>
      </c>
      <c r="B332" s="6" t="s">
        <v>236</v>
      </c>
      <c r="C332" s="14">
        <v>6796</v>
      </c>
      <c r="D332" s="6" t="s">
        <v>44</v>
      </c>
      <c r="E332" s="6" t="s">
        <v>47</v>
      </c>
      <c r="F332" s="6">
        <v>32</v>
      </c>
      <c r="G332" s="15">
        <v>0.17222222222222222</v>
      </c>
      <c r="H332" s="16">
        <v>0</v>
      </c>
      <c r="I332" s="35">
        <f ca="1">IFERROR(Tabela3[[#This Row],[Custo Total]]/Tabela3[[#This Row],[Aluminio Util]],0)</f>
        <v>24.108548004503653</v>
      </c>
      <c r="J332" s="35">
        <f ca="1">Tabela3[[#This Row],[Custo Total]]/Tabela3[[#This Row],[Realizado]]</f>
        <v>7.2807814973601026</v>
      </c>
      <c r="K332" s="37">
        <f>IFERROR(Tabela3[[#This Row],[Qtde Cx Produzida]]/Tabela3[[#This Row],[Tempo]]/24,0)</f>
        <v>7.741935483870968</v>
      </c>
      <c r="L332" s="37">
        <f>Tabela3[[#This Row],[Qtde Cx Produzida]]*Tabela3[[#This Row],[Qdt Peça Placa]]</f>
        <v>192</v>
      </c>
      <c r="M332" s="37">
        <f>Tabela3[[#This Row],[Previsto]]-Tabela3[[#This Row],[Perda Pçs]]</f>
        <v>192</v>
      </c>
      <c r="N332" s="38">
        <f>IFERROR(Tabela3[[#This Row],[Perda Pçs]]/Tabela3[[#This Row],[Previsto]],0)</f>
        <v>0</v>
      </c>
      <c r="O332" s="39">
        <f>IFERROR(IF(Tabela3[[#This Row],[Qtde Cx Produzida]] &lt;&gt; 0, Tabela3[[#This Row],[Tempo]] / Tabela3[[#This Row],[Qtde Cx Produzida]], 0),0)</f>
        <v>5.3819444444444444E-3</v>
      </c>
      <c r="P332" s="57">
        <f>IFERROR(Tabela3[[#This Row],[Perda Pçs]]/Tabela3[[#This Row],[Qdt Peça Placa]],0)</f>
        <v>0</v>
      </c>
      <c r="Q332" s="37">
        <f>IFERROR(Tabela3[[#This Row],[Realizado]]*Tabela3[[#This Row],[Peso Util/Pç]],0)</f>
        <v>57.983999999999995</v>
      </c>
      <c r="R332" s="37">
        <f>IFERROR(Tabela3[[#This Row],[Peso Total Galho]]*Tabela3[[#This Row],[Qtde Cx Produzida]]*1.055,0)</f>
        <v>72.651520000000005</v>
      </c>
      <c r="S332" s="37">
        <f>(Tabela3[[#This Row],[Aluminio Bruto]]-Tabela3[[#This Row],[Aluminio Util]])*0.9</f>
        <v>13.200768000000009</v>
      </c>
      <c r="T332" s="37">
        <f>Tabela3[[#This Row],[Aluminio Bruto]]/OleoKGAluminio</f>
        <v>30.564400526487137</v>
      </c>
      <c r="U332" s="35">
        <f>IFERROR((VLOOKUP(Tabela3[[#This Row],[Moldador]],Tabela1[],5,)+(VLOOKUP(Tabela3[[#This Row],[Ajudante]],Tabela1[],5,))*3.5),0)</f>
        <v>99.95034583333333</v>
      </c>
      <c r="V332" s="35">
        <f>IFERROR(Tabela3[[#This Row],[Custo M.O. / H]]/((Tabela3[[#This Row],[Realizado]]/Tabela3[[#This Row],[Qdt Peça Placa]])/Tabela3[[#This Row],[Tempo]]/24),)</f>
        <v>12.910253003472221</v>
      </c>
      <c r="W332" s="35">
        <f>Tabela3[[#This Row],[Custo / Cx Moldada]]*Tabela3[[#This Row],[Qtde Cx Produzida]]</f>
        <v>413.12809611111106</v>
      </c>
      <c r="X332" s="35">
        <f ca="1">Tabela3[[#This Row],[Aluminio Util]]*Tabela3[[#This Row],[Custo/Kg]]</f>
        <v>904.55039999999997</v>
      </c>
      <c r="Y332" s="35">
        <f>IFERROR(VLOOKUP(Tabela3[[#This Row],[Data]],Tabela461213[],2,1)*(Tabela3[[#This Row],[Qtde Cx Produzida]]*Tabela3[[#This Row],[Qde macho / CX]]*Tabela3[[#This Row],[Peso Macho]]),)</f>
        <v>0</v>
      </c>
      <c r="Z332" s="35">
        <f>IFERROR(Tabela3[[#This Row],[Qtde Oleo]]*(VLOOKUP(Tabela3[[#This Row],[Data]],CompraOleo[],3,TRUE))*1.05,0)</f>
        <v>80.231551382028741</v>
      </c>
      <c r="AA332" s="47">
        <f ca="1">(Tabela3[[#This Row],[Custo Oleo]]+Tabela3[[#This Row],[Custo Aluminio]]+Tabela3[[#This Row],[Custo M.O. Total]]+Tabela3[[#This Row],[Custo Machos]])</f>
        <v>1397.9100474931397</v>
      </c>
      <c r="AB332" s="47">
        <f ca="1">Tabela3[[#This Row],[Custo Total]]*Tabela3[[#This Row],[% Perda]]</f>
        <v>0</v>
      </c>
      <c r="AC332" s="48">
        <f>IFERROR(VLOOKUP(Tabela3[[#This Row],[Produto]],Tabela2[],2,0),0)</f>
        <v>6</v>
      </c>
      <c r="AD332" s="48">
        <f>IFERROR(VLOOKUP(Tabela3[[#This Row],[Produto]],Tabela2[],3,0),0)</f>
        <v>0.30199999999999999</v>
      </c>
      <c r="AE332" s="48">
        <f>IFERROR(VLOOKUP(Tabela3[[#This Row],[Produto]],Tabela2[],4,0),0)</f>
        <v>2.1520000000000001</v>
      </c>
      <c r="AF332" s="48">
        <f>IFERROR(VLOOKUP(Tabela3[[#This Row],[Produto]],Tabela2[],5,0),0)</f>
        <v>0.30600000000000027</v>
      </c>
      <c r="AG332" s="40">
        <f>IFERROR(VLOOKUP(Tabela3[[#This Row],[Produto]],Tabela2[],6,0),0)</f>
        <v>0</v>
      </c>
      <c r="AH332" s="40">
        <f>IFERROR(VLOOKUP(Tabela3[[#This Row],[Produto]],Tabela2[],7,0),0)</f>
        <v>0</v>
      </c>
      <c r="AI332" s="40">
        <f>IFERROR(VLOOKUP(Tabela3[[#This Row],[Produto]],Tabela2[],8,0),0)</f>
        <v>0</v>
      </c>
      <c r="AJ332" s="35">
        <f ca="1">IFERROR(VLOOKUP(Tabela3[[#This Row],[Produto]],Tabela2[],13,0),0)</f>
        <v>15.600000000000001</v>
      </c>
      <c r="AK332" s="40" t="str">
        <f>IFERROR(VLOOKUP(Tabela3[[#This Row],[Produto]],Tabela2[],14,0),0)</f>
        <v>Senun</v>
      </c>
      <c r="AL332" s="40">
        <f>IFERROR(VLOOKUP(Tabela3[[#This Row],[Produto]],Tabela2[],15,0),0)</f>
        <v>4</v>
      </c>
      <c r="AM332" s="36">
        <f ca="1">(Tabela3[[#This Row],[Custo Usinagem]]+Tabela3[[#This Row],[Custo / Pç]])*1.2</f>
        <v>13.536937796832122</v>
      </c>
      <c r="AN332" s="36">
        <f ca="1">Tabela3[[#This Row],[Valor Mínimo Venda]]*1.15</f>
        <v>15.567478466356938</v>
      </c>
      <c r="AO332" s="36">
        <f ca="1">Tabela3[[#This Row],[Tabela 1]]*1.08</f>
        <v>16.812876743665495</v>
      </c>
      <c r="AP332" s="36">
        <f ca="1">Tabela3[[#This Row],[Tabela 2]]*1.15</f>
        <v>19.334808255215318</v>
      </c>
    </row>
    <row r="333" spans="1:42">
      <c r="A333" s="9">
        <v>45818</v>
      </c>
      <c r="B333" s="6" t="s">
        <v>118</v>
      </c>
      <c r="C333" s="14">
        <v>6805</v>
      </c>
      <c r="D333" s="6" t="s">
        <v>44</v>
      </c>
      <c r="E333" s="6" t="s">
        <v>47</v>
      </c>
      <c r="F333" s="6">
        <v>29</v>
      </c>
      <c r="G333" s="15">
        <v>0.15972222222222221</v>
      </c>
      <c r="H333" s="16">
        <v>1</v>
      </c>
      <c r="I333" s="35">
        <f ca="1">IFERROR(Tabela3[[#This Row],[Custo Total]]/Tabela3[[#This Row],[Aluminio Util]],0)</f>
        <v>22.666151232731146</v>
      </c>
      <c r="J333" s="35">
        <f ca="1">Tabela3[[#This Row],[Custo Total]]/Tabela3[[#This Row],[Realizado]]</f>
        <v>43.065687342189179</v>
      </c>
      <c r="K333" s="37">
        <f>IFERROR(Tabela3[[#This Row],[Qtde Cx Produzida]]/Tabela3[[#This Row],[Tempo]]/24,0)</f>
        <v>7.5652173913043486</v>
      </c>
      <c r="L333" s="37">
        <f>Tabela3[[#This Row],[Qtde Cx Produzida]]*Tabela3[[#This Row],[Qdt Peça Placa]]</f>
        <v>58</v>
      </c>
      <c r="M333" s="37">
        <f>Tabela3[[#This Row],[Previsto]]-Tabela3[[#This Row],[Perda Pçs]]</f>
        <v>57</v>
      </c>
      <c r="N333" s="38">
        <f>IFERROR(Tabela3[[#This Row],[Perda Pçs]]/Tabela3[[#This Row],[Previsto]],0)</f>
        <v>1.7241379310344827E-2</v>
      </c>
      <c r="O333" s="39">
        <f>IFERROR(IF(Tabela3[[#This Row],[Qtde Cx Produzida]] &lt;&gt; 0, Tabela3[[#This Row],[Tempo]] / Tabela3[[#This Row],[Qtde Cx Produzida]], 0),0)</f>
        <v>5.5076628352490418E-3</v>
      </c>
      <c r="P333" s="57">
        <f>IFERROR(Tabela3[[#This Row],[Perda Pçs]]/Tabela3[[#This Row],[Qdt Peça Placa]],0)</f>
        <v>0.5</v>
      </c>
      <c r="Q333" s="37">
        <f>IFERROR(Tabela3[[#This Row],[Realizado]]*Tabela3[[#This Row],[Peso Util/Pç]],0)</f>
        <v>108.3</v>
      </c>
      <c r="R333" s="37">
        <f>IFERROR(Tabela3[[#This Row],[Peso Total Galho]]*Tabela3[[#This Row],[Qtde Cx Produzida]]*1.055,0)</f>
        <v>143.79650000000001</v>
      </c>
      <c r="S333" s="37">
        <f>(Tabela3[[#This Row],[Aluminio Bruto]]-Tabela3[[#This Row],[Aluminio Util]])*0.9</f>
        <v>31.946850000000012</v>
      </c>
      <c r="T333" s="37">
        <f>Tabela3[[#This Row],[Aluminio Bruto]]/OleoKGAluminio</f>
        <v>60.495001622911779</v>
      </c>
      <c r="U333" s="35">
        <f>IFERROR((VLOOKUP(Tabela3[[#This Row],[Moldador]],Tabela1[],5,)+(VLOOKUP(Tabela3[[#This Row],[Ajudante]],Tabela1[],5,))*3.5),0)</f>
        <v>99.95034583333333</v>
      </c>
      <c r="V333" s="35">
        <f>IFERROR(Tabela3[[#This Row],[Custo M.O. / H]]/((Tabela3[[#This Row],[Realizado]]/Tabela3[[#This Row],[Qdt Peça Placa]])/Tabela3[[#This Row],[Tempo]]/24),)</f>
        <v>13.443613767056529</v>
      </c>
      <c r="W333" s="35">
        <f>Tabela3[[#This Row],[Custo / Cx Moldada]]*Tabela3[[#This Row],[Qtde Cx Produzida]]</f>
        <v>389.86479924463936</v>
      </c>
      <c r="X333" s="35">
        <f ca="1">Tabela3[[#This Row],[Aluminio Util]]*Tabela3[[#This Row],[Custo/Kg]]</f>
        <v>1906.0800000000002</v>
      </c>
      <c r="Y333" s="35">
        <f>IFERROR(VLOOKUP(Tabela3[[#This Row],[Data]],Tabela461213[],2,1)*(Tabela3[[#This Row],[Qtde Cx Produzida]]*Tabela3[[#This Row],[Qde macho / CX]]*Tabela3[[#This Row],[Peso Macho]]),)</f>
        <v>0</v>
      </c>
      <c r="Z333" s="35">
        <f>IFERROR(Tabela3[[#This Row],[Qtde Oleo]]*(VLOOKUP(Tabela3[[#This Row],[Data]],CompraOleo[],3,TRUE))*1.05,0)</f>
        <v>158.79937926014341</v>
      </c>
      <c r="AA333" s="47">
        <f ca="1">(Tabela3[[#This Row],[Custo Oleo]]+Tabela3[[#This Row],[Custo Aluminio]]+Tabela3[[#This Row],[Custo M.O. Total]]+Tabela3[[#This Row],[Custo Machos]])</f>
        <v>2454.7441785047831</v>
      </c>
      <c r="AB333" s="47">
        <f ca="1">Tabela3[[#This Row],[Custo Total]]*Tabela3[[#This Row],[% Perda]]</f>
        <v>42.323175491461775</v>
      </c>
      <c r="AC333" s="48">
        <f>IFERROR(VLOOKUP(Tabela3[[#This Row],[Produto]],Tabela2[],2,0),0)</f>
        <v>2</v>
      </c>
      <c r="AD333" s="48">
        <f>IFERROR(VLOOKUP(Tabela3[[#This Row],[Produto]],Tabela2[],3,0),0)</f>
        <v>1.9</v>
      </c>
      <c r="AE333" s="48">
        <f>IFERROR(VLOOKUP(Tabela3[[#This Row],[Produto]],Tabela2[],4,0),0)</f>
        <v>4.7</v>
      </c>
      <c r="AF333" s="48">
        <f>IFERROR(VLOOKUP(Tabela3[[#This Row],[Produto]],Tabela2[],5,0),0)</f>
        <v>0.81000000000000039</v>
      </c>
      <c r="AG333" s="40">
        <f>IFERROR(VLOOKUP(Tabela3[[#This Row],[Produto]],Tabela2[],6,0),0)</f>
        <v>0</v>
      </c>
      <c r="AH333" s="40">
        <f>IFERROR(VLOOKUP(Tabela3[[#This Row],[Produto]],Tabela2[],7,0),0)</f>
        <v>0</v>
      </c>
      <c r="AI333" s="40">
        <f>IFERROR(VLOOKUP(Tabela3[[#This Row],[Produto]],Tabela2[],8,0),0)</f>
        <v>0</v>
      </c>
      <c r="AJ333" s="35">
        <f ca="1">IFERROR(VLOOKUP(Tabela3[[#This Row],[Produto]],Tabela2[],13,0),0)</f>
        <v>17.600000000000001</v>
      </c>
      <c r="AK333" s="40" t="str">
        <f>IFERROR(VLOOKUP(Tabela3[[#This Row],[Produto]],Tabela2[],14,0),0)</f>
        <v>Marcelo</v>
      </c>
      <c r="AL333" s="40">
        <f>IFERROR(VLOOKUP(Tabela3[[#This Row],[Produto]],Tabela2[],15,0),0)</f>
        <v>0</v>
      </c>
      <c r="AM333" s="36">
        <f ca="1">(Tabela3[[#This Row],[Custo Usinagem]]+Tabela3[[#This Row],[Custo / Pç]])*1.2</f>
        <v>51.678824810627013</v>
      </c>
      <c r="AN333" s="36">
        <f ca="1">Tabela3[[#This Row],[Valor Mínimo Venda]]*1.15</f>
        <v>59.430648532221063</v>
      </c>
      <c r="AO333" s="36">
        <f ca="1">Tabela3[[#This Row],[Tabela 1]]*1.08</f>
        <v>64.185100414798754</v>
      </c>
      <c r="AP333" s="36">
        <f ca="1">Tabela3[[#This Row],[Tabela 2]]*1.15</f>
        <v>73.812865477018562</v>
      </c>
    </row>
    <row r="334" spans="1:42">
      <c r="A334" s="9">
        <v>45818</v>
      </c>
      <c r="B334" s="6" t="s">
        <v>245</v>
      </c>
      <c r="C334" s="14">
        <v>6822</v>
      </c>
      <c r="D334" s="6" t="s">
        <v>46</v>
      </c>
      <c r="E334" s="6" t="s">
        <v>53</v>
      </c>
      <c r="F334" s="6">
        <v>40</v>
      </c>
      <c r="G334" s="15">
        <v>0.16805555555555557</v>
      </c>
      <c r="H334" s="16">
        <v>15</v>
      </c>
      <c r="I334" s="35">
        <f ca="1">IFERROR(Tabela3[[#This Row],[Custo Total]]/Tabela3[[#This Row],[Aluminio Util]],0)</f>
        <v>27.067036767869055</v>
      </c>
      <c r="J334" s="35">
        <f ca="1">Tabela3[[#This Row],[Custo Total]]/Tabela3[[#This Row],[Realizado]]</f>
        <v>8.9862562069325271</v>
      </c>
      <c r="K334" s="37">
        <f>IFERROR(Tabela3[[#This Row],[Qtde Cx Produzida]]/Tabela3[[#This Row],[Tempo]]/24,0)</f>
        <v>9.9173553719008254</v>
      </c>
      <c r="L334" s="37">
        <f>Tabela3[[#This Row],[Qtde Cx Produzida]]*Tabela3[[#This Row],[Qdt Peça Placa]]</f>
        <v>160</v>
      </c>
      <c r="M334" s="37">
        <f>Tabela3[[#This Row],[Previsto]]-Tabela3[[#This Row],[Perda Pçs]]</f>
        <v>145</v>
      </c>
      <c r="N334" s="38">
        <f>IFERROR(Tabela3[[#This Row],[Perda Pçs]]/Tabela3[[#This Row],[Previsto]],0)</f>
        <v>9.375E-2</v>
      </c>
      <c r="O334" s="39">
        <f>IFERROR(IF(Tabela3[[#This Row],[Qtde Cx Produzida]] &lt;&gt; 0, Tabela3[[#This Row],[Tempo]] / Tabela3[[#This Row],[Qtde Cx Produzida]], 0),0)</f>
        <v>4.2013888888888891E-3</v>
      </c>
      <c r="P334" s="57">
        <f>IFERROR(Tabela3[[#This Row],[Perda Pçs]]/Tabela3[[#This Row],[Qdt Peça Placa]],0)</f>
        <v>3.75</v>
      </c>
      <c r="Q334" s="37">
        <f>IFERROR(Tabela3[[#This Row],[Realizado]]*Tabela3[[#This Row],[Peso Util/Pç]],0)</f>
        <v>48.14</v>
      </c>
      <c r="R334" s="37">
        <f>IFERROR(Tabela3[[#This Row],[Peso Total Galho]]*Tabela3[[#This Row],[Qtde Cx Produzida]]*1.055,0)</f>
        <v>97.059999999999988</v>
      </c>
      <c r="S334" s="37">
        <f>(Tabela3[[#This Row],[Aluminio Bruto]]-Tabela3[[#This Row],[Aluminio Util]])*0.9</f>
        <v>44.027999999999992</v>
      </c>
      <c r="T334" s="37">
        <f>Tabela3[[#This Row],[Aluminio Bruto]]/OleoKGAluminio</f>
        <v>40.833016502625696</v>
      </c>
      <c r="U334" s="35">
        <f>IFERROR((VLOOKUP(Tabela3[[#This Row],[Moldador]],Tabela1[],5,)+(VLOOKUP(Tabela3[[#This Row],[Ajudante]],Tabela1[],5,))*3.5),0)</f>
        <v>99.95034583333333</v>
      </c>
      <c r="V334" s="35">
        <f>IFERROR(Tabela3[[#This Row],[Custo M.O. / H]]/((Tabela3[[#This Row],[Realizado]]/Tabela3[[#This Row],[Qdt Peça Placa]])/Tabela3[[#This Row],[Tempo]]/24),)</f>
        <v>11.120912042145594</v>
      </c>
      <c r="W334" s="35">
        <f>Tabela3[[#This Row],[Custo / Cx Moldada]]*Tabela3[[#This Row],[Qtde Cx Produzida]]</f>
        <v>444.83648168582374</v>
      </c>
      <c r="X334" s="35">
        <f ca="1">Tabela3[[#This Row],[Aluminio Util]]*Tabela3[[#This Row],[Custo/Kg]]</f>
        <v>750.98400000000004</v>
      </c>
      <c r="Y334" s="35">
        <f>IFERROR(VLOOKUP(Tabela3[[#This Row],[Data]],Tabela461213[],2,1)*(Tabela3[[#This Row],[Qtde Cx Produzida]]*Tabela3[[#This Row],[Qde macho / CX]]*Tabela3[[#This Row],[Peso Macho]]),)</f>
        <v>0</v>
      </c>
      <c r="Z334" s="35">
        <f>IFERROR(Tabela3[[#This Row],[Qtde Oleo]]*(VLOOKUP(Tabela3[[#This Row],[Data]],CompraOleo[],3,TRUE))*1.05,0)</f>
        <v>107.18666831939245</v>
      </c>
      <c r="AA334" s="47">
        <f ca="1">(Tabela3[[#This Row],[Custo Oleo]]+Tabela3[[#This Row],[Custo Aluminio]]+Tabela3[[#This Row],[Custo M.O. Total]]+Tabela3[[#This Row],[Custo Machos]])</f>
        <v>1303.0071500052163</v>
      </c>
      <c r="AB334" s="47">
        <f ca="1">Tabela3[[#This Row],[Custo Total]]*Tabela3[[#This Row],[% Perda]]</f>
        <v>122.15692031298903</v>
      </c>
      <c r="AC334" s="48">
        <f>IFERROR(VLOOKUP(Tabela3[[#This Row],[Produto]],Tabela2[],2,0),0)</f>
        <v>4</v>
      </c>
      <c r="AD334" s="48">
        <f>IFERROR(VLOOKUP(Tabela3[[#This Row],[Produto]],Tabela2[],3,0),0)</f>
        <v>0.33200000000000002</v>
      </c>
      <c r="AE334" s="48">
        <f>IFERROR(VLOOKUP(Tabela3[[#This Row],[Produto]],Tabela2[],4,0),0)</f>
        <v>2.2999999999999998</v>
      </c>
      <c r="AF334" s="48">
        <f>IFERROR(VLOOKUP(Tabela3[[#This Row],[Produto]],Tabela2[],5,0),0)</f>
        <v>0.8747999999999998</v>
      </c>
      <c r="AG334" s="40">
        <f>IFERROR(VLOOKUP(Tabela3[[#This Row],[Produto]],Tabela2[],6,0),0)</f>
        <v>0</v>
      </c>
      <c r="AH334" s="40">
        <f>IFERROR(VLOOKUP(Tabela3[[#This Row],[Produto]],Tabela2[],7,0),0)</f>
        <v>0</v>
      </c>
      <c r="AI334" s="40">
        <f>IFERROR(VLOOKUP(Tabela3[[#This Row],[Produto]],Tabela2[],8,0),0)</f>
        <v>0</v>
      </c>
      <c r="AJ334" s="35">
        <f ca="1">IFERROR(VLOOKUP(Tabela3[[#This Row],[Produto]],Tabela2[],13,0),0)</f>
        <v>15.600000000000001</v>
      </c>
      <c r="AK334" s="40" t="str">
        <f>IFERROR(VLOOKUP(Tabela3[[#This Row],[Produto]],Tabela2[],14,0),0)</f>
        <v>Senun</v>
      </c>
      <c r="AL334" s="40">
        <f>IFERROR(VLOOKUP(Tabela3[[#This Row],[Produto]],Tabela2[],15,0),0)</f>
        <v>3.5</v>
      </c>
      <c r="AM334" s="36">
        <f ca="1">(Tabela3[[#This Row],[Custo Usinagem]]+Tabela3[[#This Row],[Custo / Pç]])*1.2</f>
        <v>14.983507448319031</v>
      </c>
      <c r="AN334" s="36">
        <f ca="1">Tabela3[[#This Row],[Valor Mínimo Venda]]*1.15</f>
        <v>17.231033565566886</v>
      </c>
      <c r="AO334" s="36">
        <f ca="1">Tabela3[[#This Row],[Tabela 1]]*1.08</f>
        <v>18.609516250812238</v>
      </c>
      <c r="AP334" s="36">
        <f ca="1">Tabela3[[#This Row],[Tabela 2]]*1.15</f>
        <v>21.400943688434072</v>
      </c>
    </row>
    <row r="335" spans="1:42">
      <c r="A335" s="9">
        <v>45818</v>
      </c>
      <c r="B335" s="6" t="s">
        <v>245</v>
      </c>
      <c r="C335" s="14">
        <v>6822</v>
      </c>
      <c r="D335" s="6" t="s">
        <v>46</v>
      </c>
      <c r="E335" s="6" t="s">
        <v>44</v>
      </c>
      <c r="F335" s="6">
        <v>42</v>
      </c>
      <c r="G335" s="15">
        <v>0.19097222222222221</v>
      </c>
      <c r="H335" s="16">
        <v>7</v>
      </c>
      <c r="I335" s="35">
        <f ca="1">IFERROR(Tabela3[[#This Row],[Custo Total]]/Tabela3[[#This Row],[Aluminio Util]],0)</f>
        <v>28.987836823865809</v>
      </c>
      <c r="J335" s="35">
        <f ca="1">Tabela3[[#This Row],[Custo Total]]/Tabela3[[#This Row],[Realizado]]</f>
        <v>9.62396182552345</v>
      </c>
      <c r="K335" s="37">
        <f>IFERROR(Tabela3[[#This Row],[Qtde Cx Produzida]]/Tabela3[[#This Row],[Tempo]]/24,0)</f>
        <v>9.163636363636364</v>
      </c>
      <c r="L335" s="37">
        <f>Tabela3[[#This Row],[Qtde Cx Produzida]]*Tabela3[[#This Row],[Qdt Peça Placa]]</f>
        <v>168</v>
      </c>
      <c r="M335" s="37">
        <f>Tabela3[[#This Row],[Previsto]]-Tabela3[[#This Row],[Perda Pçs]]</f>
        <v>161</v>
      </c>
      <c r="N335" s="38">
        <f>IFERROR(Tabela3[[#This Row],[Perda Pçs]]/Tabela3[[#This Row],[Previsto]],0)</f>
        <v>4.1666666666666664E-2</v>
      </c>
      <c r="O335" s="39">
        <f>IFERROR(IF(Tabela3[[#This Row],[Qtde Cx Produzida]] &lt;&gt; 0, Tabela3[[#This Row],[Tempo]] / Tabela3[[#This Row],[Qtde Cx Produzida]], 0),0)</f>
        <v>4.5469576719576717E-3</v>
      </c>
      <c r="P335" s="57">
        <f>IFERROR(Tabela3[[#This Row],[Perda Pçs]]/Tabela3[[#This Row],[Qdt Peça Placa]],0)</f>
        <v>1.75</v>
      </c>
      <c r="Q335" s="37">
        <f>IFERROR(Tabela3[[#This Row],[Realizado]]*Tabela3[[#This Row],[Peso Util/Pç]],0)</f>
        <v>53.452000000000005</v>
      </c>
      <c r="R335" s="37">
        <f>IFERROR(Tabela3[[#This Row],[Peso Total Galho]]*Tabela3[[#This Row],[Qtde Cx Produzida]]*1.055,0)</f>
        <v>101.91299999999998</v>
      </c>
      <c r="S335" s="37">
        <f>(Tabela3[[#This Row],[Aluminio Bruto]]-Tabela3[[#This Row],[Aluminio Util]])*0.9</f>
        <v>43.614899999999977</v>
      </c>
      <c r="T335" s="37">
        <f>Tabela3[[#This Row],[Aluminio Bruto]]/OleoKGAluminio</f>
        <v>42.874667327756981</v>
      </c>
      <c r="U335" s="35">
        <f>IFERROR((VLOOKUP(Tabela3[[#This Row],[Moldador]],Tabela1[],5,)+(VLOOKUP(Tabela3[[#This Row],[Ajudante]],Tabela1[],5,))*3.5),0)</f>
        <v>126.0945</v>
      </c>
      <c r="V335" s="35">
        <f>IFERROR(Tabela3[[#This Row],[Custo M.O. / H]]/((Tabela3[[#This Row],[Realizado]]/Tabela3[[#This Row],[Qdt Peça Placa]])/Tabela3[[#This Row],[Tempo]]/24),)</f>
        <v>14.358586956521737</v>
      </c>
      <c r="W335" s="35">
        <f>Tabela3[[#This Row],[Custo / Cx Moldada]]*Tabela3[[#This Row],[Qtde Cx Produzida]]</f>
        <v>603.06065217391301</v>
      </c>
      <c r="X335" s="35">
        <f ca="1">Tabela3[[#This Row],[Aluminio Util]]*Tabela3[[#This Row],[Custo/Kg]]</f>
        <v>833.85120000000018</v>
      </c>
      <c r="Y335" s="35">
        <f>IFERROR(VLOOKUP(Tabela3[[#This Row],[Data]],Tabela461213[],2,1)*(Tabela3[[#This Row],[Qtde Cx Produzida]]*Tabela3[[#This Row],[Qde macho / CX]]*Tabela3[[#This Row],[Peso Macho]]),)</f>
        <v>0</v>
      </c>
      <c r="Z335" s="35">
        <f>IFERROR(Tabela3[[#This Row],[Qtde Oleo]]*(VLOOKUP(Tabela3[[#This Row],[Data]],CompraOleo[],3,TRUE))*1.05,0)</f>
        <v>112.54600173536208</v>
      </c>
      <c r="AA335" s="47">
        <f ca="1">(Tabela3[[#This Row],[Custo Oleo]]+Tabela3[[#This Row],[Custo Aluminio]]+Tabela3[[#This Row],[Custo M.O. Total]]+Tabela3[[#This Row],[Custo Machos]])</f>
        <v>1549.4578539092754</v>
      </c>
      <c r="AB335" s="47">
        <f ca="1">Tabela3[[#This Row],[Custo Total]]*Tabela3[[#This Row],[% Perda]]</f>
        <v>64.560743912886466</v>
      </c>
      <c r="AC335" s="48">
        <f>IFERROR(VLOOKUP(Tabela3[[#This Row],[Produto]],Tabela2[],2,0),0)</f>
        <v>4</v>
      </c>
      <c r="AD335" s="48">
        <f>IFERROR(VLOOKUP(Tabela3[[#This Row],[Produto]],Tabela2[],3,0),0)</f>
        <v>0.33200000000000002</v>
      </c>
      <c r="AE335" s="48">
        <f>IFERROR(VLOOKUP(Tabela3[[#This Row],[Produto]],Tabela2[],4,0),0)</f>
        <v>2.2999999999999998</v>
      </c>
      <c r="AF335" s="48">
        <f>IFERROR(VLOOKUP(Tabela3[[#This Row],[Produto]],Tabela2[],5,0),0)</f>
        <v>0.8747999999999998</v>
      </c>
      <c r="AG335" s="40">
        <f>IFERROR(VLOOKUP(Tabela3[[#This Row],[Produto]],Tabela2[],6,0),0)</f>
        <v>0</v>
      </c>
      <c r="AH335" s="40">
        <f>IFERROR(VLOOKUP(Tabela3[[#This Row],[Produto]],Tabela2[],7,0),0)</f>
        <v>0</v>
      </c>
      <c r="AI335" s="40">
        <f>IFERROR(VLOOKUP(Tabela3[[#This Row],[Produto]],Tabela2[],8,0),0)</f>
        <v>0</v>
      </c>
      <c r="AJ335" s="35">
        <f ca="1">IFERROR(VLOOKUP(Tabela3[[#This Row],[Produto]],Tabela2[],13,0),0)</f>
        <v>15.600000000000001</v>
      </c>
      <c r="AK335" s="40" t="str">
        <f>IFERROR(VLOOKUP(Tabela3[[#This Row],[Produto]],Tabela2[],14,0),0)</f>
        <v>Senun</v>
      </c>
      <c r="AL335" s="40">
        <f>IFERROR(VLOOKUP(Tabela3[[#This Row],[Produto]],Tabela2[],15,0),0)</f>
        <v>3.5</v>
      </c>
      <c r="AM335" s="36">
        <f ca="1">(Tabela3[[#This Row],[Custo Usinagem]]+Tabela3[[#This Row],[Custo / Pç]])*1.2</f>
        <v>15.748754190628139</v>
      </c>
      <c r="AN335" s="36">
        <f ca="1">Tabela3[[#This Row],[Valor Mínimo Venda]]*1.15</f>
        <v>18.111067319222357</v>
      </c>
      <c r="AO335" s="36">
        <f ca="1">Tabela3[[#This Row],[Tabela 1]]*1.08</f>
        <v>19.559952704760146</v>
      </c>
      <c r="AP335" s="36">
        <f ca="1">Tabela3[[#This Row],[Tabela 2]]*1.15</f>
        <v>22.493945610474167</v>
      </c>
    </row>
    <row r="336" spans="1:42">
      <c r="A336" s="9">
        <v>45819</v>
      </c>
      <c r="B336" s="6" t="s">
        <v>245</v>
      </c>
      <c r="C336" s="14">
        <v>6822</v>
      </c>
      <c r="D336" s="6" t="s">
        <v>46</v>
      </c>
      <c r="E336" s="6" t="s">
        <v>47</v>
      </c>
      <c r="F336" s="6">
        <v>16</v>
      </c>
      <c r="G336" s="15">
        <v>6.458333333333334E-2</v>
      </c>
      <c r="H336" s="16">
        <v>14</v>
      </c>
      <c r="I336" s="35">
        <f ca="1">IFERROR(Tabela3[[#This Row],[Custo Total]]/Tabela3[[#This Row],[Aluminio Util]],0)</f>
        <v>30.128683943439174</v>
      </c>
      <c r="J336" s="35">
        <f ca="1">Tabela3[[#This Row],[Custo Total]]/Tabela3[[#This Row],[Realizado]]</f>
        <v>10.002723069221807</v>
      </c>
      <c r="K336" s="37">
        <f>IFERROR(Tabela3[[#This Row],[Qtde Cx Produzida]]/Tabela3[[#This Row],[Tempo]]/24,0)</f>
        <v>10.32258064516129</v>
      </c>
      <c r="L336" s="37">
        <f>Tabela3[[#This Row],[Qtde Cx Produzida]]*Tabela3[[#This Row],[Qdt Peça Placa]]</f>
        <v>64</v>
      </c>
      <c r="M336" s="37">
        <f>Tabela3[[#This Row],[Previsto]]-Tabela3[[#This Row],[Perda Pçs]]</f>
        <v>50</v>
      </c>
      <c r="N336" s="38">
        <f>IFERROR(Tabela3[[#This Row],[Perda Pçs]]/Tabela3[[#This Row],[Previsto]],0)</f>
        <v>0.21875</v>
      </c>
      <c r="O336" s="39">
        <f>IFERROR(IF(Tabela3[[#This Row],[Qtde Cx Produzida]] &lt;&gt; 0, Tabela3[[#This Row],[Tempo]] / Tabela3[[#This Row],[Qtde Cx Produzida]], 0),0)</f>
        <v>4.0364583333333337E-3</v>
      </c>
      <c r="P336" s="57">
        <f>IFERROR(Tabela3[[#This Row],[Perda Pçs]]/Tabela3[[#This Row],[Qdt Peça Placa]],0)</f>
        <v>3.5</v>
      </c>
      <c r="Q336" s="37">
        <f>IFERROR(Tabela3[[#This Row],[Realizado]]*Tabela3[[#This Row],[Peso Util/Pç]],0)</f>
        <v>16.600000000000001</v>
      </c>
      <c r="R336" s="37">
        <f>IFERROR(Tabela3[[#This Row],[Peso Total Galho]]*Tabela3[[#This Row],[Qtde Cx Produzida]]*1.055,0)</f>
        <v>38.823999999999998</v>
      </c>
      <c r="S336" s="37">
        <f>(Tabela3[[#This Row],[Aluminio Bruto]]-Tabela3[[#This Row],[Aluminio Util]])*0.9</f>
        <v>20.001599999999996</v>
      </c>
      <c r="T336" s="37">
        <f>Tabela3[[#This Row],[Aluminio Bruto]]/OleoKGAluminio</f>
        <v>16.333206601050282</v>
      </c>
      <c r="U336" s="35">
        <f>IFERROR((VLOOKUP(Tabela3[[#This Row],[Moldador]],Tabela1[],5,)+(VLOOKUP(Tabela3[[#This Row],[Ajudante]],Tabela1[],5,))*3.5),0)</f>
        <v>99.95034583333333</v>
      </c>
      <c r="V336" s="35">
        <f>IFERROR(Tabela3[[#This Row],[Custo M.O. / H]]/((Tabela3[[#This Row],[Realizado]]/Tabela3[[#This Row],[Qdt Peça Placa]])/Tabela3[[#This Row],[Tempo]]/24),)</f>
        <v>12.393842883333333</v>
      </c>
      <c r="W336" s="35">
        <f>Tabela3[[#This Row],[Custo / Cx Moldada]]*Tabela3[[#This Row],[Qtde Cx Produzida]]</f>
        <v>198.30148613333333</v>
      </c>
      <c r="X336" s="35">
        <f ca="1">Tabela3[[#This Row],[Aluminio Util]]*Tabela3[[#This Row],[Custo/Kg]]</f>
        <v>258.96000000000004</v>
      </c>
      <c r="Y336" s="35">
        <f>IFERROR(VLOOKUP(Tabela3[[#This Row],[Data]],Tabela461213[],2,1)*(Tabela3[[#This Row],[Qtde Cx Produzida]]*Tabela3[[#This Row],[Qde macho / CX]]*Tabela3[[#This Row],[Peso Macho]]),)</f>
        <v>0</v>
      </c>
      <c r="Z336" s="35">
        <f>IFERROR(Tabela3[[#This Row],[Qtde Oleo]]*(VLOOKUP(Tabela3[[#This Row],[Data]],CompraOleo[],3,TRUE))*1.05,0)</f>
        <v>42.874667327756988</v>
      </c>
      <c r="AA336" s="47">
        <f ca="1">(Tabela3[[#This Row],[Custo Oleo]]+Tabela3[[#This Row],[Custo Aluminio]]+Tabela3[[#This Row],[Custo M.O. Total]]+Tabela3[[#This Row],[Custo Machos]])</f>
        <v>500.13615346109032</v>
      </c>
      <c r="AB336" s="47">
        <f ca="1">Tabela3[[#This Row],[Custo Total]]*Tabela3[[#This Row],[% Perda]]</f>
        <v>109.4047835696135</v>
      </c>
      <c r="AC336" s="48">
        <f>IFERROR(VLOOKUP(Tabela3[[#This Row],[Produto]],Tabela2[],2,0),0)</f>
        <v>4</v>
      </c>
      <c r="AD336" s="48">
        <f>IFERROR(VLOOKUP(Tabela3[[#This Row],[Produto]],Tabela2[],3,0),0)</f>
        <v>0.33200000000000002</v>
      </c>
      <c r="AE336" s="48">
        <f>IFERROR(VLOOKUP(Tabela3[[#This Row],[Produto]],Tabela2[],4,0),0)</f>
        <v>2.2999999999999998</v>
      </c>
      <c r="AF336" s="48">
        <f>IFERROR(VLOOKUP(Tabela3[[#This Row],[Produto]],Tabela2[],5,0),0)</f>
        <v>0.8747999999999998</v>
      </c>
      <c r="AG336" s="40">
        <f>IFERROR(VLOOKUP(Tabela3[[#This Row],[Produto]],Tabela2[],6,0),0)</f>
        <v>0</v>
      </c>
      <c r="AH336" s="40">
        <f>IFERROR(VLOOKUP(Tabela3[[#This Row],[Produto]],Tabela2[],7,0),0)</f>
        <v>0</v>
      </c>
      <c r="AI336" s="40">
        <f>IFERROR(VLOOKUP(Tabela3[[#This Row],[Produto]],Tabela2[],8,0),0)</f>
        <v>0</v>
      </c>
      <c r="AJ336" s="35">
        <f ca="1">IFERROR(VLOOKUP(Tabela3[[#This Row],[Produto]],Tabela2[],13,0),0)</f>
        <v>15.600000000000001</v>
      </c>
      <c r="AK336" s="40" t="str">
        <f>IFERROR(VLOOKUP(Tabela3[[#This Row],[Produto]],Tabela2[],14,0),0)</f>
        <v>Senun</v>
      </c>
      <c r="AL336" s="40">
        <f>IFERROR(VLOOKUP(Tabela3[[#This Row],[Produto]],Tabela2[],15,0),0)</f>
        <v>3.5</v>
      </c>
      <c r="AM336" s="36">
        <f ca="1">(Tabela3[[#This Row],[Custo Usinagem]]+Tabela3[[#This Row],[Custo / Pç]])*1.2</f>
        <v>16.203267683066166</v>
      </c>
      <c r="AN336" s="36">
        <f ca="1">Tabela3[[#This Row],[Valor Mínimo Venda]]*1.15</f>
        <v>18.63375783552609</v>
      </c>
      <c r="AO336" s="36">
        <f ca="1">Tabela3[[#This Row],[Tabela 1]]*1.08</f>
        <v>20.124458462368178</v>
      </c>
      <c r="AP336" s="36">
        <f ca="1">Tabela3[[#This Row],[Tabela 2]]*1.15</f>
        <v>23.143127231723405</v>
      </c>
    </row>
    <row r="337" spans="1:42">
      <c r="A337" s="9">
        <v>45819</v>
      </c>
      <c r="B337" s="6" t="s">
        <v>230</v>
      </c>
      <c r="C337" s="14">
        <v>6667</v>
      </c>
      <c r="D337" s="6" t="s">
        <v>46</v>
      </c>
      <c r="E337" s="6" t="s">
        <v>44</v>
      </c>
      <c r="F337" s="6">
        <v>30</v>
      </c>
      <c r="G337" s="15">
        <v>0.1986111111111111</v>
      </c>
      <c r="H337" s="16">
        <v>0</v>
      </c>
      <c r="I337" s="35">
        <f ca="1">IFERROR(Tabela3[[#This Row],[Custo Total]]/Tabela3[[#This Row],[Aluminio Util]],0)</f>
        <v>31.597648943727116</v>
      </c>
      <c r="J337" s="35">
        <f ca="1">Tabela3[[#This Row],[Custo Total]]/Tabela3[[#This Row],[Realizado]]</f>
        <v>13.365805503196571</v>
      </c>
      <c r="K337" s="37">
        <f>IFERROR(Tabela3[[#This Row],[Qtde Cx Produzida]]/Tabela3[[#This Row],[Tempo]]/24,0)</f>
        <v>6.2937062937062942</v>
      </c>
      <c r="L337" s="37">
        <f>Tabela3[[#This Row],[Qtde Cx Produzida]]*Tabela3[[#This Row],[Qdt Peça Placa]]</f>
        <v>120</v>
      </c>
      <c r="M337" s="37">
        <f>Tabela3[[#This Row],[Previsto]]-Tabela3[[#This Row],[Perda Pçs]]</f>
        <v>120</v>
      </c>
      <c r="N337" s="38">
        <f>IFERROR(Tabela3[[#This Row],[Perda Pçs]]/Tabela3[[#This Row],[Previsto]],0)</f>
        <v>0</v>
      </c>
      <c r="O337" s="39">
        <f>IFERROR(IF(Tabela3[[#This Row],[Qtde Cx Produzida]] &lt;&gt; 0, Tabela3[[#This Row],[Tempo]] / Tabela3[[#This Row],[Qtde Cx Produzida]], 0),0)</f>
        <v>6.6203703703703702E-3</v>
      </c>
      <c r="P337" s="57">
        <f>IFERROR(Tabela3[[#This Row],[Perda Pçs]]/Tabela3[[#This Row],[Qdt Peça Placa]],0)</f>
        <v>0</v>
      </c>
      <c r="Q337" s="37">
        <f>IFERROR(Tabela3[[#This Row],[Realizado]]*Tabela3[[#This Row],[Peso Util/Pç]],0)</f>
        <v>50.76</v>
      </c>
      <c r="R337" s="37">
        <f>IFERROR(Tabela3[[#This Row],[Peso Total Galho]]*Tabela3[[#This Row],[Qtde Cx Produzida]]*1.055,0)</f>
        <v>99.127800000000008</v>
      </c>
      <c r="S337" s="37">
        <f>(Tabela3[[#This Row],[Aluminio Bruto]]-Tabela3[[#This Row],[Aluminio Util]])*0.9</f>
        <v>43.531020000000012</v>
      </c>
      <c r="T337" s="37">
        <f>Tabela3[[#This Row],[Aluminio Bruto]]/OleoKGAluminio</f>
        <v>41.702937288985993</v>
      </c>
      <c r="U337" s="35">
        <f>IFERROR((VLOOKUP(Tabela3[[#This Row],[Moldador]],Tabela1[],5,)+(VLOOKUP(Tabela3[[#This Row],[Ajudante]],Tabela1[],5,))*3.5),0)</f>
        <v>126.0945</v>
      </c>
      <c r="V337" s="35">
        <f>IFERROR(Tabela3[[#This Row],[Custo M.O. / H]]/((Tabela3[[#This Row],[Realizado]]/Tabela3[[#This Row],[Qdt Peça Placa]])/Tabela3[[#This Row],[Tempo]]/24),)</f>
        <v>20.035014999999998</v>
      </c>
      <c r="W337" s="35">
        <f>Tabela3[[#This Row],[Custo / Cx Moldada]]*Tabela3[[#This Row],[Qtde Cx Produzida]]</f>
        <v>601.05044999999996</v>
      </c>
      <c r="X337" s="35">
        <f ca="1">Tabela3[[#This Row],[Aluminio Util]]*Tabela3[[#This Row],[Custo/Kg]]</f>
        <v>893.37600000000009</v>
      </c>
      <c r="Y337" s="35">
        <f>IFERROR(VLOOKUP(Tabela3[[#This Row],[Data]],Tabela461213[],2,1)*(Tabela3[[#This Row],[Qtde Cx Produzida]]*Tabela3[[#This Row],[Qde macho / CX]]*Tabela3[[#This Row],[Peso Macho]]),)</f>
        <v>0</v>
      </c>
      <c r="Z337" s="35">
        <f>IFERROR(Tabela3[[#This Row],[Qtde Oleo]]*(VLOOKUP(Tabela3[[#This Row],[Data]],CompraOleo[],3,TRUE))*1.05,0)</f>
        <v>109.47021038358824</v>
      </c>
      <c r="AA337" s="47">
        <f ca="1">(Tabela3[[#This Row],[Custo Oleo]]+Tabela3[[#This Row],[Custo Aluminio]]+Tabela3[[#This Row],[Custo M.O. Total]]+Tabela3[[#This Row],[Custo Machos]])</f>
        <v>1603.8966603835884</v>
      </c>
      <c r="AB337" s="47">
        <f ca="1">Tabela3[[#This Row],[Custo Total]]*Tabela3[[#This Row],[% Perda]]</f>
        <v>0</v>
      </c>
      <c r="AC337" s="48">
        <f>IFERROR(VLOOKUP(Tabela3[[#This Row],[Produto]],Tabela2[],2,0),0)</f>
        <v>4</v>
      </c>
      <c r="AD337" s="48">
        <f>IFERROR(VLOOKUP(Tabela3[[#This Row],[Produto]],Tabela2[],3,0),0)</f>
        <v>0.42299999999999999</v>
      </c>
      <c r="AE337" s="48">
        <f>IFERROR(VLOOKUP(Tabela3[[#This Row],[Produto]],Tabela2[],4,0),0)</f>
        <v>3.1320000000000001</v>
      </c>
      <c r="AF337" s="48">
        <f>IFERROR(VLOOKUP(Tabela3[[#This Row],[Produto]],Tabela2[],5,0),0)</f>
        <v>1.2960000000000003</v>
      </c>
      <c r="AG337" s="40">
        <f>IFERROR(VLOOKUP(Tabela3[[#This Row],[Produto]],Tabela2[],6,0),0)</f>
        <v>0</v>
      </c>
      <c r="AH337" s="40">
        <f>IFERROR(VLOOKUP(Tabela3[[#This Row],[Produto]],Tabela2[],7,0),0)</f>
        <v>0</v>
      </c>
      <c r="AI337" s="40">
        <f>IFERROR(VLOOKUP(Tabela3[[#This Row],[Produto]],Tabela2[],8,0),0)</f>
        <v>0</v>
      </c>
      <c r="AJ337" s="35">
        <f ca="1">IFERROR(VLOOKUP(Tabela3[[#This Row],[Produto]],Tabela2[],13,0),0)</f>
        <v>17.600000000000001</v>
      </c>
      <c r="AK337" s="40" t="str">
        <f>IFERROR(VLOOKUP(Tabela3[[#This Row],[Produto]],Tabela2[],14,0),0)</f>
        <v>Busa</v>
      </c>
      <c r="AL337" s="40">
        <f>IFERROR(VLOOKUP(Tabela3[[#This Row],[Produto]],Tabela2[],15,0),0)</f>
        <v>0.5</v>
      </c>
      <c r="AM337" s="36">
        <f ca="1">(Tabela3[[#This Row],[Custo Usinagem]]+Tabela3[[#This Row],[Custo / Pç]])*1.2</f>
        <v>16.638966603835883</v>
      </c>
      <c r="AN337" s="36">
        <f ca="1">Tabela3[[#This Row],[Valor Mínimo Venda]]*1.15</f>
        <v>19.134811594411264</v>
      </c>
      <c r="AO337" s="36">
        <f ca="1">Tabela3[[#This Row],[Tabela 1]]*1.08</f>
        <v>20.665596521964165</v>
      </c>
      <c r="AP337" s="36">
        <f ca="1">Tabela3[[#This Row],[Tabela 2]]*1.15</f>
        <v>23.765436000258788</v>
      </c>
    </row>
    <row r="338" spans="1:42">
      <c r="A338" s="9">
        <v>45819</v>
      </c>
      <c r="B338" s="6" t="s">
        <v>236</v>
      </c>
      <c r="C338" s="14">
        <v>6796</v>
      </c>
      <c r="D338" s="6" t="s">
        <v>46</v>
      </c>
      <c r="E338" s="6" t="s">
        <v>44</v>
      </c>
      <c r="F338" s="6">
        <v>12</v>
      </c>
      <c r="G338" s="15">
        <v>6.3194444444444442E-2</v>
      </c>
      <c r="H338" s="16">
        <v>1</v>
      </c>
      <c r="I338" s="35">
        <f ca="1">IFERROR(Tabela3[[#This Row],[Custo Total]]/Tabela3[[#This Row],[Aluminio Util]],0)</f>
        <v>26.04789314084541</v>
      </c>
      <c r="J338" s="35">
        <f ca="1">Tabela3[[#This Row],[Custo Total]]/Tabela3[[#This Row],[Realizado]]</f>
        <v>7.8664637285353143</v>
      </c>
      <c r="K338" s="37">
        <f>IFERROR(Tabela3[[#This Row],[Qtde Cx Produzida]]/Tabela3[[#This Row],[Tempo]]/24,0)</f>
        <v>7.9120879120879124</v>
      </c>
      <c r="L338" s="37">
        <f>Tabela3[[#This Row],[Qtde Cx Produzida]]*Tabela3[[#This Row],[Qdt Peça Placa]]</f>
        <v>72</v>
      </c>
      <c r="M338" s="37">
        <f>Tabela3[[#This Row],[Previsto]]-Tabela3[[#This Row],[Perda Pçs]]</f>
        <v>71</v>
      </c>
      <c r="N338" s="38">
        <f>IFERROR(Tabela3[[#This Row],[Perda Pçs]]/Tabela3[[#This Row],[Previsto]],0)</f>
        <v>1.3888888888888888E-2</v>
      </c>
      <c r="O338" s="39">
        <f>IFERROR(IF(Tabela3[[#This Row],[Qtde Cx Produzida]] &lt;&gt; 0, Tabela3[[#This Row],[Tempo]] / Tabela3[[#This Row],[Qtde Cx Produzida]], 0),0)</f>
        <v>5.2662037037037035E-3</v>
      </c>
      <c r="P338" s="57">
        <f>IFERROR(Tabela3[[#This Row],[Perda Pçs]]/Tabela3[[#This Row],[Qdt Peça Placa]],0)</f>
        <v>0.16666666666666666</v>
      </c>
      <c r="Q338" s="37">
        <f>IFERROR(Tabela3[[#This Row],[Realizado]]*Tabela3[[#This Row],[Peso Util/Pç]],0)</f>
        <v>21.442</v>
      </c>
      <c r="R338" s="37">
        <f>IFERROR(Tabela3[[#This Row],[Peso Total Galho]]*Tabela3[[#This Row],[Qtde Cx Produzida]]*1.055,0)</f>
        <v>27.244320000000002</v>
      </c>
      <c r="S338" s="37">
        <f>(Tabela3[[#This Row],[Aluminio Bruto]]-Tabela3[[#This Row],[Aluminio Util]])*0.9</f>
        <v>5.2220880000000021</v>
      </c>
      <c r="T338" s="37">
        <f>Tabela3[[#This Row],[Aluminio Bruto]]/OleoKGAluminio</f>
        <v>11.461650197432677</v>
      </c>
      <c r="U338" s="35">
        <f>IFERROR((VLOOKUP(Tabela3[[#This Row],[Moldador]],Tabela1[],5,)+(VLOOKUP(Tabela3[[#This Row],[Ajudante]],Tabela1[],5,))*3.5),0)</f>
        <v>126.0945</v>
      </c>
      <c r="V338" s="35">
        <f>IFERROR(Tabela3[[#This Row],[Custo M.O. / H]]/((Tabela3[[#This Row],[Realizado]]/Tabela3[[#This Row],[Qdt Peça Placa]])/Tabela3[[#This Row],[Tempo]]/24),)</f>
        <v>16.161407746478872</v>
      </c>
      <c r="W338" s="35">
        <f>Tabela3[[#This Row],[Custo / Cx Moldada]]*Tabela3[[#This Row],[Qtde Cx Produzida]]</f>
        <v>193.93689295774647</v>
      </c>
      <c r="X338" s="35">
        <f ca="1">Tabela3[[#This Row],[Aluminio Util]]*Tabela3[[#This Row],[Custo/Kg]]</f>
        <v>334.49520000000001</v>
      </c>
      <c r="Y338" s="35">
        <f>IFERROR(VLOOKUP(Tabela3[[#This Row],[Data]],Tabela461213[],2,1)*(Tabela3[[#This Row],[Qtde Cx Produzida]]*Tabela3[[#This Row],[Qde macho / CX]]*Tabela3[[#This Row],[Peso Macho]]),)</f>
        <v>0</v>
      </c>
      <c r="Z338" s="35">
        <f>IFERROR(Tabela3[[#This Row],[Qtde Oleo]]*(VLOOKUP(Tabela3[[#This Row],[Data]],CompraOleo[],3,TRUE))*1.05,0)</f>
        <v>30.086831768260776</v>
      </c>
      <c r="AA338" s="47">
        <f ca="1">(Tabela3[[#This Row],[Custo Oleo]]+Tabela3[[#This Row],[Custo Aluminio]]+Tabela3[[#This Row],[Custo M.O. Total]]+Tabela3[[#This Row],[Custo Machos]])</f>
        <v>558.5189247260073</v>
      </c>
      <c r="AB338" s="47">
        <f ca="1">Tabela3[[#This Row],[Custo Total]]*Tabela3[[#This Row],[% Perda]]</f>
        <v>7.7572072878612124</v>
      </c>
      <c r="AC338" s="48">
        <f>IFERROR(VLOOKUP(Tabela3[[#This Row],[Produto]],Tabela2[],2,0),0)</f>
        <v>6</v>
      </c>
      <c r="AD338" s="48">
        <f>IFERROR(VLOOKUP(Tabela3[[#This Row],[Produto]],Tabela2[],3,0),0)</f>
        <v>0.30199999999999999</v>
      </c>
      <c r="AE338" s="48">
        <f>IFERROR(VLOOKUP(Tabela3[[#This Row],[Produto]],Tabela2[],4,0),0)</f>
        <v>2.1520000000000001</v>
      </c>
      <c r="AF338" s="48">
        <f>IFERROR(VLOOKUP(Tabela3[[#This Row],[Produto]],Tabela2[],5,0),0)</f>
        <v>0.30600000000000027</v>
      </c>
      <c r="AG338" s="40">
        <f>IFERROR(VLOOKUP(Tabela3[[#This Row],[Produto]],Tabela2[],6,0),0)</f>
        <v>0</v>
      </c>
      <c r="AH338" s="40">
        <f>IFERROR(VLOOKUP(Tabela3[[#This Row],[Produto]],Tabela2[],7,0),0)</f>
        <v>0</v>
      </c>
      <c r="AI338" s="40">
        <f>IFERROR(VLOOKUP(Tabela3[[#This Row],[Produto]],Tabela2[],8,0),0)</f>
        <v>0</v>
      </c>
      <c r="AJ338" s="35">
        <f ca="1">IFERROR(VLOOKUP(Tabela3[[#This Row],[Produto]],Tabela2[],13,0),0)</f>
        <v>15.600000000000001</v>
      </c>
      <c r="AK338" s="40" t="str">
        <f>IFERROR(VLOOKUP(Tabela3[[#This Row],[Produto]],Tabela2[],14,0),0)</f>
        <v>Senun</v>
      </c>
      <c r="AL338" s="40">
        <f>IFERROR(VLOOKUP(Tabela3[[#This Row],[Produto]],Tabela2[],15,0),0)</f>
        <v>4</v>
      </c>
      <c r="AM338" s="36">
        <f ca="1">(Tabela3[[#This Row],[Custo Usinagem]]+Tabela3[[#This Row],[Custo / Pç]])*1.2</f>
        <v>14.239756474242379</v>
      </c>
      <c r="AN338" s="36">
        <f ca="1">Tabela3[[#This Row],[Valor Mínimo Venda]]*1.15</f>
        <v>16.375719945378734</v>
      </c>
      <c r="AO338" s="36">
        <f ca="1">Tabela3[[#This Row],[Tabela 1]]*1.08</f>
        <v>17.685777541009035</v>
      </c>
      <c r="AP338" s="36">
        <f ca="1">Tabela3[[#This Row],[Tabela 2]]*1.15</f>
        <v>20.338644172160389</v>
      </c>
    </row>
    <row r="339" spans="1:42">
      <c r="A339" s="9">
        <v>45819</v>
      </c>
      <c r="B339" s="6" t="s">
        <v>236</v>
      </c>
      <c r="C339" s="14">
        <v>6796</v>
      </c>
      <c r="D339" s="6" t="s">
        <v>44</v>
      </c>
      <c r="E339" s="6" t="s">
        <v>47</v>
      </c>
      <c r="F339" s="6">
        <v>26</v>
      </c>
      <c r="G339" s="15">
        <v>0.13750000000000001</v>
      </c>
      <c r="H339" s="16">
        <v>0</v>
      </c>
      <c r="I339" s="35">
        <f ca="1">IFERROR(Tabela3[[#This Row],[Custo Total]]/Tabela3[[#This Row],[Aluminio Util]],0)</f>
        <v>23.984791066987142</v>
      </c>
      <c r="J339" s="35">
        <f ca="1">Tabela3[[#This Row],[Custo Total]]/Tabela3[[#This Row],[Realizado]]</f>
        <v>7.2434069022301175</v>
      </c>
      <c r="K339" s="37">
        <f>IFERROR(Tabela3[[#This Row],[Qtde Cx Produzida]]/Tabela3[[#This Row],[Tempo]]/24,0)</f>
        <v>7.878787878787878</v>
      </c>
      <c r="L339" s="37">
        <f>Tabela3[[#This Row],[Qtde Cx Produzida]]*Tabela3[[#This Row],[Qdt Peça Placa]]</f>
        <v>156</v>
      </c>
      <c r="M339" s="37">
        <f>Tabela3[[#This Row],[Previsto]]-Tabela3[[#This Row],[Perda Pçs]]</f>
        <v>156</v>
      </c>
      <c r="N339" s="38">
        <f>IFERROR(Tabela3[[#This Row],[Perda Pçs]]/Tabela3[[#This Row],[Previsto]],0)</f>
        <v>0</v>
      </c>
      <c r="O339" s="39">
        <f>IFERROR(IF(Tabela3[[#This Row],[Qtde Cx Produzida]] &lt;&gt; 0, Tabela3[[#This Row],[Tempo]] / Tabela3[[#This Row],[Qtde Cx Produzida]], 0),0)</f>
        <v>5.2884615384615388E-3</v>
      </c>
      <c r="P339" s="57">
        <f>IFERROR(Tabela3[[#This Row],[Perda Pçs]]/Tabela3[[#This Row],[Qdt Peça Placa]],0)</f>
        <v>0</v>
      </c>
      <c r="Q339" s="37">
        <f>IFERROR(Tabela3[[#This Row],[Realizado]]*Tabela3[[#This Row],[Peso Util/Pç]],0)</f>
        <v>47.112000000000002</v>
      </c>
      <c r="R339" s="37">
        <f>IFERROR(Tabela3[[#This Row],[Peso Total Galho]]*Tabela3[[#This Row],[Qtde Cx Produzida]]*1.055,0)</f>
        <v>59.029360000000004</v>
      </c>
      <c r="S339" s="37">
        <f>(Tabela3[[#This Row],[Aluminio Bruto]]-Tabela3[[#This Row],[Aluminio Util]])*0.9</f>
        <v>10.725624000000002</v>
      </c>
      <c r="T339" s="37">
        <f>Tabela3[[#This Row],[Aluminio Bruto]]/OleoKGAluminio</f>
        <v>24.8335754277708</v>
      </c>
      <c r="U339" s="35">
        <f>IFERROR((VLOOKUP(Tabela3[[#This Row],[Moldador]],Tabela1[],5,)+(VLOOKUP(Tabela3[[#This Row],[Ajudante]],Tabela1[],5,))*3.5),0)</f>
        <v>99.95034583333333</v>
      </c>
      <c r="V339" s="35">
        <f>IFERROR(Tabela3[[#This Row],[Custo M.O. / H]]/((Tabela3[[#This Row],[Realizado]]/Tabela3[[#This Row],[Qdt Peça Placa]])/Tabela3[[#This Row],[Tempo]]/24),)</f>
        <v>12.686005432692308</v>
      </c>
      <c r="W339" s="35">
        <f>Tabela3[[#This Row],[Custo / Cx Moldada]]*Tabela3[[#This Row],[Qtde Cx Produzida]]</f>
        <v>329.83614125000003</v>
      </c>
      <c r="X339" s="35">
        <f ca="1">Tabela3[[#This Row],[Aluminio Util]]*Tabela3[[#This Row],[Custo/Kg]]</f>
        <v>734.94720000000007</v>
      </c>
      <c r="Y339" s="35">
        <f>IFERROR(VLOOKUP(Tabela3[[#This Row],[Data]],Tabela461213[],2,1)*(Tabela3[[#This Row],[Qtde Cx Produzida]]*Tabela3[[#This Row],[Qde macho / CX]]*Tabela3[[#This Row],[Peso Macho]]),)</f>
        <v>0</v>
      </c>
      <c r="Z339" s="35">
        <f>IFERROR(Tabela3[[#This Row],[Qtde Oleo]]*(VLOOKUP(Tabela3[[#This Row],[Data]],CompraOleo[],3,TRUE))*1.05,0)</f>
        <v>65.188135497898344</v>
      </c>
      <c r="AA339" s="47">
        <f ca="1">(Tabela3[[#This Row],[Custo Oleo]]+Tabela3[[#This Row],[Custo Aluminio]]+Tabela3[[#This Row],[Custo M.O. Total]]+Tabela3[[#This Row],[Custo Machos]])</f>
        <v>1129.9714767478984</v>
      </c>
      <c r="AB339" s="47">
        <f ca="1">Tabela3[[#This Row],[Custo Total]]*Tabela3[[#This Row],[% Perda]]</f>
        <v>0</v>
      </c>
      <c r="AC339" s="48">
        <f>IFERROR(VLOOKUP(Tabela3[[#This Row],[Produto]],Tabela2[],2,0),0)</f>
        <v>6</v>
      </c>
      <c r="AD339" s="48">
        <f>IFERROR(VLOOKUP(Tabela3[[#This Row],[Produto]],Tabela2[],3,0),0)</f>
        <v>0.30199999999999999</v>
      </c>
      <c r="AE339" s="48">
        <f>IFERROR(VLOOKUP(Tabela3[[#This Row],[Produto]],Tabela2[],4,0),0)</f>
        <v>2.1520000000000001</v>
      </c>
      <c r="AF339" s="48">
        <f>IFERROR(VLOOKUP(Tabela3[[#This Row],[Produto]],Tabela2[],5,0),0)</f>
        <v>0.30600000000000027</v>
      </c>
      <c r="AG339" s="40">
        <f>IFERROR(VLOOKUP(Tabela3[[#This Row],[Produto]],Tabela2[],6,0),0)</f>
        <v>0</v>
      </c>
      <c r="AH339" s="40">
        <f>IFERROR(VLOOKUP(Tabela3[[#This Row],[Produto]],Tabela2[],7,0),0)</f>
        <v>0</v>
      </c>
      <c r="AI339" s="40">
        <f>IFERROR(VLOOKUP(Tabela3[[#This Row],[Produto]],Tabela2[],8,0),0)</f>
        <v>0</v>
      </c>
      <c r="AJ339" s="35">
        <f ca="1">IFERROR(VLOOKUP(Tabela3[[#This Row],[Produto]],Tabela2[],13,0),0)</f>
        <v>15.600000000000001</v>
      </c>
      <c r="AK339" s="40" t="str">
        <f>IFERROR(VLOOKUP(Tabela3[[#This Row],[Produto]],Tabela2[],14,0),0)</f>
        <v>Senun</v>
      </c>
      <c r="AL339" s="40">
        <f>IFERROR(VLOOKUP(Tabela3[[#This Row],[Produto]],Tabela2[],15,0),0)</f>
        <v>4</v>
      </c>
      <c r="AM339" s="36">
        <f ca="1">(Tabela3[[#This Row],[Custo Usinagem]]+Tabela3[[#This Row],[Custo / Pç]])*1.2</f>
        <v>13.492088282676139</v>
      </c>
      <c r="AN339" s="36">
        <f ca="1">Tabela3[[#This Row],[Valor Mínimo Venda]]*1.15</f>
        <v>15.51590152507756</v>
      </c>
      <c r="AO339" s="36">
        <f ca="1">Tabela3[[#This Row],[Tabela 1]]*1.08</f>
        <v>16.757173647083764</v>
      </c>
      <c r="AP339" s="36">
        <f ca="1">Tabela3[[#This Row],[Tabela 2]]*1.15</f>
        <v>19.270749694146328</v>
      </c>
    </row>
    <row r="340" spans="1:42">
      <c r="A340" s="9">
        <v>45819</v>
      </c>
      <c r="B340" s="6" t="s">
        <v>236</v>
      </c>
      <c r="C340" s="14">
        <v>6796</v>
      </c>
      <c r="D340" s="6" t="s">
        <v>46</v>
      </c>
      <c r="E340" s="6" t="s">
        <v>47</v>
      </c>
      <c r="F340" s="6">
        <v>18</v>
      </c>
      <c r="G340" s="15">
        <v>9.4444444444444442E-2</v>
      </c>
      <c r="H340" s="16">
        <v>0</v>
      </c>
      <c r="I340" s="35">
        <f ca="1">IFERROR(Tabela3[[#This Row],[Custo Total]]/Tabela3[[#This Row],[Aluminio Util]],0)</f>
        <v>23.929787983646474</v>
      </c>
      <c r="J340" s="35">
        <f ca="1">Tabela3[[#This Row],[Custo Total]]/Tabela3[[#This Row],[Realizado]]</f>
        <v>7.2267959710612351</v>
      </c>
      <c r="K340" s="37">
        <f>IFERROR(Tabela3[[#This Row],[Qtde Cx Produzida]]/Tabela3[[#This Row],[Tempo]]/24,0)</f>
        <v>7.9411764705882355</v>
      </c>
      <c r="L340" s="37">
        <f>Tabela3[[#This Row],[Qtde Cx Produzida]]*Tabela3[[#This Row],[Qdt Peça Placa]]</f>
        <v>108</v>
      </c>
      <c r="M340" s="37">
        <f>Tabela3[[#This Row],[Previsto]]-Tabela3[[#This Row],[Perda Pçs]]</f>
        <v>108</v>
      </c>
      <c r="N340" s="38">
        <f>IFERROR(Tabela3[[#This Row],[Perda Pçs]]/Tabela3[[#This Row],[Previsto]],0)</f>
        <v>0</v>
      </c>
      <c r="O340" s="39">
        <f>IFERROR(IF(Tabela3[[#This Row],[Qtde Cx Produzida]] &lt;&gt; 0, Tabela3[[#This Row],[Tempo]] / Tabela3[[#This Row],[Qtde Cx Produzida]], 0),0)</f>
        <v>5.2469135802469136E-3</v>
      </c>
      <c r="P340" s="57">
        <f>IFERROR(Tabela3[[#This Row],[Perda Pçs]]/Tabela3[[#This Row],[Qdt Peça Placa]],0)</f>
        <v>0</v>
      </c>
      <c r="Q340" s="37">
        <f>IFERROR(Tabela3[[#This Row],[Realizado]]*Tabela3[[#This Row],[Peso Util/Pç]],0)</f>
        <v>32.616</v>
      </c>
      <c r="R340" s="37">
        <f>IFERROR(Tabela3[[#This Row],[Peso Total Galho]]*Tabela3[[#This Row],[Qtde Cx Produzida]]*1.055,0)</f>
        <v>40.866480000000003</v>
      </c>
      <c r="S340" s="37">
        <f>(Tabela3[[#This Row],[Aluminio Bruto]]-Tabela3[[#This Row],[Aluminio Util]])*0.9</f>
        <v>7.4254320000000034</v>
      </c>
      <c r="T340" s="37">
        <f>Tabela3[[#This Row],[Aluminio Bruto]]/OleoKGAluminio</f>
        <v>17.192475296149016</v>
      </c>
      <c r="U340" s="35">
        <f>IFERROR((VLOOKUP(Tabela3[[#This Row],[Moldador]],Tabela1[],5,)+(VLOOKUP(Tabela3[[#This Row],[Ajudante]],Tabela1[],5,))*3.5),0)</f>
        <v>99.95034583333333</v>
      </c>
      <c r="V340" s="35">
        <f>IFERROR(Tabela3[[#This Row],[Custo M.O. / H]]/((Tabela3[[#This Row],[Realizado]]/Tabela3[[#This Row],[Qdt Peça Placa]])/Tabela3[[#This Row],[Tempo]]/24),)</f>
        <v>12.586339845679012</v>
      </c>
      <c r="W340" s="35">
        <f>Tabela3[[#This Row],[Custo / Cx Moldada]]*Tabela3[[#This Row],[Qtde Cx Produzida]]</f>
        <v>226.5541172222222</v>
      </c>
      <c r="X340" s="35">
        <f ca="1">Tabela3[[#This Row],[Aluminio Util]]*Tabela3[[#This Row],[Custo/Kg]]</f>
        <v>508.80960000000005</v>
      </c>
      <c r="Y340" s="35">
        <f>IFERROR(VLOOKUP(Tabela3[[#This Row],[Data]],Tabela461213[],2,1)*(Tabela3[[#This Row],[Qtde Cx Produzida]]*Tabela3[[#This Row],[Qde macho / CX]]*Tabela3[[#This Row],[Peso Macho]]),)</f>
        <v>0</v>
      </c>
      <c r="Z340" s="35">
        <f>IFERROR(Tabela3[[#This Row],[Qtde Oleo]]*(VLOOKUP(Tabela3[[#This Row],[Data]],CompraOleo[],3,TRUE))*1.05,0)</f>
        <v>45.130247652391169</v>
      </c>
      <c r="AA340" s="47">
        <f ca="1">(Tabela3[[#This Row],[Custo Oleo]]+Tabela3[[#This Row],[Custo Aluminio]]+Tabela3[[#This Row],[Custo M.O. Total]]+Tabela3[[#This Row],[Custo Machos]])</f>
        <v>780.49396487461343</v>
      </c>
      <c r="AB340" s="47">
        <f ca="1">Tabela3[[#This Row],[Custo Total]]*Tabela3[[#This Row],[% Perda]]</f>
        <v>0</v>
      </c>
      <c r="AC340" s="48">
        <f>IFERROR(VLOOKUP(Tabela3[[#This Row],[Produto]],Tabela2[],2,0),0)</f>
        <v>6</v>
      </c>
      <c r="AD340" s="48">
        <f>IFERROR(VLOOKUP(Tabela3[[#This Row],[Produto]],Tabela2[],3,0),0)</f>
        <v>0.30199999999999999</v>
      </c>
      <c r="AE340" s="48">
        <f>IFERROR(VLOOKUP(Tabela3[[#This Row],[Produto]],Tabela2[],4,0),0)</f>
        <v>2.1520000000000001</v>
      </c>
      <c r="AF340" s="48">
        <f>IFERROR(VLOOKUP(Tabela3[[#This Row],[Produto]],Tabela2[],5,0),0)</f>
        <v>0.30600000000000027</v>
      </c>
      <c r="AG340" s="40">
        <f>IFERROR(VLOOKUP(Tabela3[[#This Row],[Produto]],Tabela2[],6,0),0)</f>
        <v>0</v>
      </c>
      <c r="AH340" s="40">
        <f>IFERROR(VLOOKUP(Tabela3[[#This Row],[Produto]],Tabela2[],7,0),0)</f>
        <v>0</v>
      </c>
      <c r="AI340" s="40">
        <f>IFERROR(VLOOKUP(Tabela3[[#This Row],[Produto]],Tabela2[],8,0),0)</f>
        <v>0</v>
      </c>
      <c r="AJ340" s="35">
        <f ca="1">IFERROR(VLOOKUP(Tabela3[[#This Row],[Produto]],Tabela2[],13,0),0)</f>
        <v>15.600000000000001</v>
      </c>
      <c r="AK340" s="40" t="str">
        <f>IFERROR(VLOOKUP(Tabela3[[#This Row],[Produto]],Tabela2[],14,0),0)</f>
        <v>Senun</v>
      </c>
      <c r="AL340" s="40">
        <f>IFERROR(VLOOKUP(Tabela3[[#This Row],[Produto]],Tabela2[],15,0),0)</f>
        <v>4</v>
      </c>
      <c r="AM340" s="36">
        <f ca="1">(Tabela3[[#This Row],[Custo Usinagem]]+Tabela3[[#This Row],[Custo / Pç]])*1.2</f>
        <v>13.472155165273483</v>
      </c>
      <c r="AN340" s="36">
        <f ca="1">Tabela3[[#This Row],[Valor Mínimo Venda]]*1.15</f>
        <v>15.492978440064505</v>
      </c>
      <c r="AO340" s="36">
        <f ca="1">Tabela3[[#This Row],[Tabela 1]]*1.08</f>
        <v>16.732416715269665</v>
      </c>
      <c r="AP340" s="36">
        <f ca="1">Tabela3[[#This Row],[Tabela 2]]*1.15</f>
        <v>19.242279222560114</v>
      </c>
    </row>
    <row r="341" spans="1:42">
      <c r="A341" s="9">
        <v>45820</v>
      </c>
      <c r="B341" s="6" t="s">
        <v>236</v>
      </c>
      <c r="C341" s="14">
        <v>6796</v>
      </c>
      <c r="D341" s="6" t="s">
        <v>46</v>
      </c>
      <c r="E341" s="6" t="s">
        <v>44</v>
      </c>
      <c r="F341" s="6">
        <v>52</v>
      </c>
      <c r="G341" s="15">
        <v>0.25763888888888886</v>
      </c>
      <c r="H341" s="16">
        <v>15</v>
      </c>
      <c r="I341" s="35">
        <f ca="1">IFERROR(Tabela3[[#This Row],[Custo Total]]/Tabela3[[#This Row],[Aluminio Util]],0)</f>
        <v>26.185307737506609</v>
      </c>
      <c r="J341" s="35">
        <f ca="1">Tabela3[[#This Row],[Custo Total]]/Tabela3[[#This Row],[Realizado]]</f>
        <v>7.9079629367269959</v>
      </c>
      <c r="K341" s="37">
        <f>IFERROR(Tabela3[[#This Row],[Qtde Cx Produzida]]/Tabela3[[#This Row],[Tempo]]/24,0)</f>
        <v>8.4097035040431276</v>
      </c>
      <c r="L341" s="37">
        <f>Tabela3[[#This Row],[Qtde Cx Produzida]]*Tabela3[[#This Row],[Qdt Peça Placa]]</f>
        <v>312</v>
      </c>
      <c r="M341" s="37">
        <f>Tabela3[[#This Row],[Previsto]]-Tabela3[[#This Row],[Perda Pçs]]</f>
        <v>297</v>
      </c>
      <c r="N341" s="38">
        <f>IFERROR(Tabela3[[#This Row],[Perda Pçs]]/Tabela3[[#This Row],[Previsto]],0)</f>
        <v>4.807692307692308E-2</v>
      </c>
      <c r="O341" s="39">
        <f>IFERROR(IF(Tabela3[[#This Row],[Qtde Cx Produzida]] &lt;&gt; 0, Tabela3[[#This Row],[Tempo]] / Tabela3[[#This Row],[Qtde Cx Produzida]], 0),0)</f>
        <v>4.9545940170940168E-3</v>
      </c>
      <c r="P341" s="57">
        <f>IFERROR(Tabela3[[#This Row],[Perda Pçs]]/Tabela3[[#This Row],[Qdt Peça Placa]],0)</f>
        <v>2.5</v>
      </c>
      <c r="Q341" s="37">
        <f>IFERROR(Tabela3[[#This Row],[Realizado]]*Tabela3[[#This Row],[Peso Util/Pç]],0)</f>
        <v>89.694000000000003</v>
      </c>
      <c r="R341" s="37">
        <f>IFERROR(Tabela3[[#This Row],[Peso Total Galho]]*Tabela3[[#This Row],[Qtde Cx Produzida]]*1.055,0)</f>
        <v>118.05872000000001</v>
      </c>
      <c r="S341" s="37">
        <f>(Tabela3[[#This Row],[Aluminio Bruto]]-Tabela3[[#This Row],[Aluminio Util]])*0.9</f>
        <v>25.528248000000005</v>
      </c>
      <c r="T341" s="37">
        <f>Tabela3[[#This Row],[Aluminio Bruto]]/OleoKGAluminio</f>
        <v>49.6671508555416</v>
      </c>
      <c r="U341" s="35">
        <f>IFERROR((VLOOKUP(Tabela3[[#This Row],[Moldador]],Tabela1[],5,)+(VLOOKUP(Tabela3[[#This Row],[Ajudante]],Tabela1[],5,))*3.5),0)</f>
        <v>126.0945</v>
      </c>
      <c r="V341" s="35">
        <f>IFERROR(Tabela3[[#This Row],[Custo M.O. / H]]/((Tabela3[[#This Row],[Realizado]]/Tabela3[[#This Row],[Qdt Peça Placa]])/Tabela3[[#This Row],[Tempo]]/24),)</f>
        <v>15.751198484848484</v>
      </c>
      <c r="W341" s="35">
        <f>Tabela3[[#This Row],[Custo / Cx Moldada]]*Tabela3[[#This Row],[Qtde Cx Produzida]]</f>
        <v>819.06232121212111</v>
      </c>
      <c r="X341" s="35">
        <f ca="1">Tabela3[[#This Row],[Aluminio Util]]*Tabela3[[#This Row],[Custo/Kg]]</f>
        <v>1399.2264000000002</v>
      </c>
      <c r="Y341" s="35">
        <f>IFERROR(VLOOKUP(Tabela3[[#This Row],[Data]],Tabela461213[],2,1)*(Tabela3[[#This Row],[Qtde Cx Produzida]]*Tabela3[[#This Row],[Qde macho / CX]]*Tabela3[[#This Row],[Peso Macho]]),)</f>
        <v>0</v>
      </c>
      <c r="Z341" s="35">
        <f>IFERROR(Tabela3[[#This Row],[Qtde Oleo]]*(VLOOKUP(Tabela3[[#This Row],[Data]],CompraOleo[],3,TRUE))*1.05,0)</f>
        <v>130.37627099579669</v>
      </c>
      <c r="AA341" s="47">
        <f ca="1">(Tabela3[[#This Row],[Custo Oleo]]+Tabela3[[#This Row],[Custo Aluminio]]+Tabela3[[#This Row],[Custo M.O. Total]]+Tabela3[[#This Row],[Custo Machos]])</f>
        <v>2348.6649922079177</v>
      </c>
      <c r="AB341" s="47">
        <f ca="1">Tabela3[[#This Row],[Custo Total]]*Tabela3[[#This Row],[% Perda]]</f>
        <v>112.91658616384221</v>
      </c>
      <c r="AC341" s="48">
        <f>IFERROR(VLOOKUP(Tabela3[[#This Row],[Produto]],Tabela2[],2,0),0)</f>
        <v>6</v>
      </c>
      <c r="AD341" s="48">
        <f>IFERROR(VLOOKUP(Tabela3[[#This Row],[Produto]],Tabela2[],3,0),0)</f>
        <v>0.30199999999999999</v>
      </c>
      <c r="AE341" s="48">
        <f>IFERROR(VLOOKUP(Tabela3[[#This Row],[Produto]],Tabela2[],4,0),0)</f>
        <v>2.1520000000000001</v>
      </c>
      <c r="AF341" s="48">
        <f>IFERROR(VLOOKUP(Tabela3[[#This Row],[Produto]],Tabela2[],5,0),0)</f>
        <v>0.30600000000000027</v>
      </c>
      <c r="AG341" s="40">
        <f>IFERROR(VLOOKUP(Tabela3[[#This Row],[Produto]],Tabela2[],6,0),0)</f>
        <v>0</v>
      </c>
      <c r="AH341" s="40">
        <f>IFERROR(VLOOKUP(Tabela3[[#This Row],[Produto]],Tabela2[],7,0),0)</f>
        <v>0</v>
      </c>
      <c r="AI341" s="40">
        <f>IFERROR(VLOOKUP(Tabela3[[#This Row],[Produto]],Tabela2[],8,0),0)</f>
        <v>0</v>
      </c>
      <c r="AJ341" s="35">
        <f ca="1">IFERROR(VLOOKUP(Tabela3[[#This Row],[Produto]],Tabela2[],13,0),0)</f>
        <v>15.600000000000001</v>
      </c>
      <c r="AK341" s="40" t="str">
        <f>IFERROR(VLOOKUP(Tabela3[[#This Row],[Produto]],Tabela2[],14,0),0)</f>
        <v>Senun</v>
      </c>
      <c r="AL341" s="40">
        <f>IFERROR(VLOOKUP(Tabela3[[#This Row],[Produto]],Tabela2[],15,0),0)</f>
        <v>4</v>
      </c>
      <c r="AM341" s="36">
        <f ca="1">(Tabela3[[#This Row],[Custo Usinagem]]+Tabela3[[#This Row],[Custo / Pç]])*1.2</f>
        <v>14.289555524072394</v>
      </c>
      <c r="AN341" s="36">
        <f ca="1">Tabela3[[#This Row],[Valor Mínimo Venda]]*1.15</f>
        <v>16.432988852683252</v>
      </c>
      <c r="AO341" s="36">
        <f ca="1">Tabela3[[#This Row],[Tabela 1]]*1.08</f>
        <v>17.747627960897912</v>
      </c>
      <c r="AP341" s="36">
        <f ca="1">Tabela3[[#This Row],[Tabela 2]]*1.15</f>
        <v>20.409772155032599</v>
      </c>
    </row>
    <row r="342" spans="1:42">
      <c r="A342" s="9">
        <v>45820</v>
      </c>
      <c r="B342" s="6" t="s">
        <v>236</v>
      </c>
      <c r="C342" s="14">
        <v>6796</v>
      </c>
      <c r="D342" s="6" t="s">
        <v>46</v>
      </c>
      <c r="E342" s="6" t="s">
        <v>47</v>
      </c>
      <c r="F342" s="6">
        <v>17</v>
      </c>
      <c r="G342" s="15">
        <v>9.5138888888888884E-2</v>
      </c>
      <c r="H342" s="16">
        <v>0</v>
      </c>
      <c r="I342" s="35">
        <f ca="1">IFERROR(Tabela3[[#This Row],[Custo Total]]/Tabela3[[#This Row],[Aluminio Util]],0)</f>
        <v>24.392460978806238</v>
      </c>
      <c r="J342" s="35">
        <f ca="1">Tabela3[[#This Row],[Custo Total]]/Tabela3[[#This Row],[Realizado]]</f>
        <v>7.3665232155994831</v>
      </c>
      <c r="K342" s="37">
        <f>IFERROR(Tabela3[[#This Row],[Qtde Cx Produzida]]/Tabela3[[#This Row],[Tempo]]/24,0)</f>
        <v>7.445255474452555</v>
      </c>
      <c r="L342" s="37">
        <f>Tabela3[[#This Row],[Qtde Cx Produzida]]*Tabela3[[#This Row],[Qdt Peça Placa]]</f>
        <v>102</v>
      </c>
      <c r="M342" s="37">
        <f>Tabela3[[#This Row],[Previsto]]-Tabela3[[#This Row],[Perda Pçs]]</f>
        <v>102</v>
      </c>
      <c r="N342" s="38">
        <f>IFERROR(Tabela3[[#This Row],[Perda Pçs]]/Tabela3[[#This Row],[Previsto]],0)</f>
        <v>0</v>
      </c>
      <c r="O342" s="39">
        <f>IFERROR(IF(Tabela3[[#This Row],[Qtde Cx Produzida]] &lt;&gt; 0, Tabela3[[#This Row],[Tempo]] / Tabela3[[#This Row],[Qtde Cx Produzida]], 0),0)</f>
        <v>5.59640522875817E-3</v>
      </c>
      <c r="P342" s="57">
        <f>IFERROR(Tabela3[[#This Row],[Perda Pçs]]/Tabela3[[#This Row],[Qdt Peça Placa]],0)</f>
        <v>0</v>
      </c>
      <c r="Q342" s="37">
        <f>IFERROR(Tabela3[[#This Row],[Realizado]]*Tabela3[[#This Row],[Peso Util/Pç]],0)</f>
        <v>30.803999999999998</v>
      </c>
      <c r="R342" s="37">
        <f>IFERROR(Tabela3[[#This Row],[Peso Total Galho]]*Tabela3[[#This Row],[Qtde Cx Produzida]]*1.055,0)</f>
        <v>38.596119999999999</v>
      </c>
      <c r="S342" s="37">
        <f>(Tabela3[[#This Row],[Aluminio Bruto]]-Tabela3[[#This Row],[Aluminio Util]])*0.9</f>
        <v>7.0129080000000004</v>
      </c>
      <c r="T342" s="37">
        <f>Tabela3[[#This Row],[Aluminio Bruto]]/OleoKGAluminio</f>
        <v>16.23733777969629</v>
      </c>
      <c r="U342" s="35">
        <f>IFERROR((VLOOKUP(Tabela3[[#This Row],[Moldador]],Tabela1[],5,)+(VLOOKUP(Tabela3[[#This Row],[Ajudante]],Tabela1[],5,))*3.5),0)</f>
        <v>99.95034583333333</v>
      </c>
      <c r="V342" s="35">
        <f>IFERROR(Tabela3[[#This Row],[Custo M.O. / H]]/((Tabela3[[#This Row],[Realizado]]/Tabela3[[#This Row],[Qdt Peça Placa]])/Tabela3[[#This Row],[Tempo]]/24),)</f>
        <v>13.424703312908496</v>
      </c>
      <c r="W342" s="35">
        <f>Tabela3[[#This Row],[Custo / Cx Moldada]]*Tabela3[[#This Row],[Qtde Cx Produzida]]</f>
        <v>228.21995631944444</v>
      </c>
      <c r="X342" s="35">
        <f ca="1">Tabela3[[#This Row],[Aluminio Util]]*Tabela3[[#This Row],[Custo/Kg]]</f>
        <v>480.54240000000004</v>
      </c>
      <c r="Y342" s="35">
        <f>IFERROR(VLOOKUP(Tabela3[[#This Row],[Data]],Tabela461213[],2,1)*(Tabela3[[#This Row],[Qtde Cx Produzida]]*Tabela3[[#This Row],[Qde macho / CX]]*Tabela3[[#This Row],[Peso Macho]]),)</f>
        <v>0</v>
      </c>
      <c r="Z342" s="35">
        <f>IFERROR(Tabela3[[#This Row],[Qtde Oleo]]*(VLOOKUP(Tabela3[[#This Row],[Data]],CompraOleo[],3,TRUE))*1.05,0)</f>
        <v>42.623011671702763</v>
      </c>
      <c r="AA342" s="47">
        <f ca="1">(Tabela3[[#This Row],[Custo Oleo]]+Tabela3[[#This Row],[Custo Aluminio]]+Tabela3[[#This Row],[Custo M.O. Total]]+Tabela3[[#This Row],[Custo Machos]])</f>
        <v>751.38536799114729</v>
      </c>
      <c r="AB342" s="47">
        <f ca="1">Tabela3[[#This Row],[Custo Total]]*Tabela3[[#This Row],[% Perda]]</f>
        <v>0</v>
      </c>
      <c r="AC342" s="48">
        <f>IFERROR(VLOOKUP(Tabela3[[#This Row],[Produto]],Tabela2[],2,0),0)</f>
        <v>6</v>
      </c>
      <c r="AD342" s="48">
        <f>IFERROR(VLOOKUP(Tabela3[[#This Row],[Produto]],Tabela2[],3,0),0)</f>
        <v>0.30199999999999999</v>
      </c>
      <c r="AE342" s="48">
        <f>IFERROR(VLOOKUP(Tabela3[[#This Row],[Produto]],Tabela2[],4,0),0)</f>
        <v>2.1520000000000001</v>
      </c>
      <c r="AF342" s="48">
        <f>IFERROR(VLOOKUP(Tabela3[[#This Row],[Produto]],Tabela2[],5,0),0)</f>
        <v>0.30600000000000027</v>
      </c>
      <c r="AG342" s="40">
        <f>IFERROR(VLOOKUP(Tabela3[[#This Row],[Produto]],Tabela2[],6,0),0)</f>
        <v>0</v>
      </c>
      <c r="AH342" s="40">
        <f>IFERROR(VLOOKUP(Tabela3[[#This Row],[Produto]],Tabela2[],7,0),0)</f>
        <v>0</v>
      </c>
      <c r="AI342" s="40">
        <f>IFERROR(VLOOKUP(Tabela3[[#This Row],[Produto]],Tabela2[],8,0),0)</f>
        <v>0</v>
      </c>
      <c r="AJ342" s="35">
        <f ca="1">IFERROR(VLOOKUP(Tabela3[[#This Row],[Produto]],Tabela2[],13,0),0)</f>
        <v>15.600000000000001</v>
      </c>
      <c r="AK342" s="40" t="str">
        <f>IFERROR(VLOOKUP(Tabela3[[#This Row],[Produto]],Tabela2[],14,0),0)</f>
        <v>Senun</v>
      </c>
      <c r="AL342" s="40">
        <f>IFERROR(VLOOKUP(Tabela3[[#This Row],[Produto]],Tabela2[],15,0),0)</f>
        <v>4</v>
      </c>
      <c r="AM342" s="36">
        <f ca="1">(Tabela3[[#This Row],[Custo Usinagem]]+Tabela3[[#This Row],[Custo / Pç]])*1.2</f>
        <v>13.639827858719379</v>
      </c>
      <c r="AN342" s="36">
        <f ca="1">Tabela3[[#This Row],[Valor Mínimo Venda]]*1.15</f>
        <v>15.685802037527285</v>
      </c>
      <c r="AO342" s="36">
        <f ca="1">Tabela3[[#This Row],[Tabela 1]]*1.08</f>
        <v>16.940666200529471</v>
      </c>
      <c r="AP342" s="36">
        <f ca="1">Tabela3[[#This Row],[Tabela 2]]*1.15</f>
        <v>19.481766130608889</v>
      </c>
    </row>
    <row r="343" spans="1:42">
      <c r="A343" s="9">
        <v>45820</v>
      </c>
      <c r="B343" s="6" t="s">
        <v>236</v>
      </c>
      <c r="C343" s="14">
        <v>6796</v>
      </c>
      <c r="D343" s="6" t="s">
        <v>44</v>
      </c>
      <c r="E343" s="6" t="s">
        <v>47</v>
      </c>
      <c r="F343" s="6">
        <v>25</v>
      </c>
      <c r="G343" s="15">
        <v>0.125</v>
      </c>
      <c r="H343" s="16">
        <v>0</v>
      </c>
      <c r="I343" s="35">
        <f ca="1">IFERROR(Tabela3[[#This Row],[Custo Total]]/Tabela3[[#This Row],[Aluminio Util]],0)</f>
        <v>23.602912516936204</v>
      </c>
      <c r="J343" s="35">
        <f ca="1">Tabela3[[#This Row],[Custo Total]]/Tabela3[[#This Row],[Realizado]]</f>
        <v>7.1280795801147327</v>
      </c>
      <c r="K343" s="37">
        <f>IFERROR(Tabela3[[#This Row],[Qtde Cx Produzida]]/Tabela3[[#This Row],[Tempo]]/24,0)</f>
        <v>8.3333333333333339</v>
      </c>
      <c r="L343" s="37">
        <f>Tabela3[[#This Row],[Qtde Cx Produzida]]*Tabela3[[#This Row],[Qdt Peça Placa]]</f>
        <v>150</v>
      </c>
      <c r="M343" s="37">
        <f>Tabela3[[#This Row],[Previsto]]-Tabela3[[#This Row],[Perda Pçs]]</f>
        <v>150</v>
      </c>
      <c r="N343" s="38">
        <f>IFERROR(Tabela3[[#This Row],[Perda Pçs]]/Tabela3[[#This Row],[Previsto]],0)</f>
        <v>0</v>
      </c>
      <c r="O343" s="39">
        <f>IFERROR(IF(Tabela3[[#This Row],[Qtde Cx Produzida]] &lt;&gt; 0, Tabela3[[#This Row],[Tempo]] / Tabela3[[#This Row],[Qtde Cx Produzida]], 0),0)</f>
        <v>5.0000000000000001E-3</v>
      </c>
      <c r="P343" s="57">
        <f>IFERROR(Tabela3[[#This Row],[Perda Pçs]]/Tabela3[[#This Row],[Qdt Peça Placa]],0)</f>
        <v>0</v>
      </c>
      <c r="Q343" s="37">
        <f>IFERROR(Tabela3[[#This Row],[Realizado]]*Tabela3[[#This Row],[Peso Util/Pç]],0)</f>
        <v>45.3</v>
      </c>
      <c r="R343" s="37">
        <f>IFERROR(Tabela3[[#This Row],[Peso Total Galho]]*Tabela3[[#This Row],[Qtde Cx Produzida]]*1.055,0)</f>
        <v>56.759</v>
      </c>
      <c r="S343" s="37">
        <f>(Tabela3[[#This Row],[Aluminio Bruto]]-Tabela3[[#This Row],[Aluminio Util]])*0.9</f>
        <v>10.313100000000004</v>
      </c>
      <c r="T343" s="37">
        <f>Tabela3[[#This Row],[Aluminio Bruto]]/OleoKGAluminio</f>
        <v>23.878437911318077</v>
      </c>
      <c r="U343" s="35">
        <f>IFERROR((VLOOKUP(Tabela3[[#This Row],[Moldador]],Tabela1[],5,)+(VLOOKUP(Tabela3[[#This Row],[Ajudante]],Tabela1[],5,))*3.5),0)</f>
        <v>99.95034583333333</v>
      </c>
      <c r="V343" s="35">
        <f>IFERROR(Tabela3[[#This Row],[Custo M.O. / H]]/((Tabela3[[#This Row],[Realizado]]/Tabela3[[#This Row],[Qdt Peça Placa]])/Tabela3[[#This Row],[Tempo]]/24),)</f>
        <v>11.994041499999998</v>
      </c>
      <c r="W343" s="35">
        <f>Tabela3[[#This Row],[Custo / Cx Moldada]]*Tabela3[[#This Row],[Qtde Cx Produzida]]</f>
        <v>299.85103749999996</v>
      </c>
      <c r="X343" s="35">
        <f ca="1">Tabela3[[#This Row],[Aluminio Util]]*Tabela3[[#This Row],[Custo/Kg]]</f>
        <v>706.68000000000006</v>
      </c>
      <c r="Y343" s="35">
        <f>IFERROR(VLOOKUP(Tabela3[[#This Row],[Data]],Tabela461213[],2,1)*(Tabela3[[#This Row],[Qtde Cx Produzida]]*Tabela3[[#This Row],[Qde macho / CX]]*Tabela3[[#This Row],[Peso Macho]]),)</f>
        <v>0</v>
      </c>
      <c r="Z343" s="35">
        <f>IFERROR(Tabela3[[#This Row],[Qtde Oleo]]*(VLOOKUP(Tabela3[[#This Row],[Data]],CompraOleo[],3,TRUE))*1.05,0)</f>
        <v>62.680899517209951</v>
      </c>
      <c r="AA343" s="47">
        <f ca="1">(Tabela3[[#This Row],[Custo Oleo]]+Tabela3[[#This Row],[Custo Aluminio]]+Tabela3[[#This Row],[Custo M.O. Total]]+Tabela3[[#This Row],[Custo Machos]])</f>
        <v>1069.2119370172099</v>
      </c>
      <c r="AB343" s="47">
        <f ca="1">Tabela3[[#This Row],[Custo Total]]*Tabela3[[#This Row],[% Perda]]</f>
        <v>0</v>
      </c>
      <c r="AC343" s="48">
        <f>IFERROR(VLOOKUP(Tabela3[[#This Row],[Produto]],Tabela2[],2,0),0)</f>
        <v>6</v>
      </c>
      <c r="AD343" s="48">
        <f>IFERROR(VLOOKUP(Tabela3[[#This Row],[Produto]],Tabela2[],3,0),0)</f>
        <v>0.30199999999999999</v>
      </c>
      <c r="AE343" s="48">
        <f>IFERROR(VLOOKUP(Tabela3[[#This Row],[Produto]],Tabela2[],4,0),0)</f>
        <v>2.1520000000000001</v>
      </c>
      <c r="AF343" s="48">
        <f>IFERROR(VLOOKUP(Tabela3[[#This Row],[Produto]],Tabela2[],5,0),0)</f>
        <v>0.30600000000000027</v>
      </c>
      <c r="AG343" s="40">
        <f>IFERROR(VLOOKUP(Tabela3[[#This Row],[Produto]],Tabela2[],6,0),0)</f>
        <v>0</v>
      </c>
      <c r="AH343" s="40">
        <f>IFERROR(VLOOKUP(Tabela3[[#This Row],[Produto]],Tabela2[],7,0),0)</f>
        <v>0</v>
      </c>
      <c r="AI343" s="40">
        <f>IFERROR(VLOOKUP(Tabela3[[#This Row],[Produto]],Tabela2[],8,0),0)</f>
        <v>0</v>
      </c>
      <c r="AJ343" s="35">
        <f ca="1">IFERROR(VLOOKUP(Tabela3[[#This Row],[Produto]],Tabela2[],13,0),0)</f>
        <v>15.600000000000001</v>
      </c>
      <c r="AK343" s="40" t="str">
        <f>IFERROR(VLOOKUP(Tabela3[[#This Row],[Produto]],Tabela2[],14,0),0)</f>
        <v>Senun</v>
      </c>
      <c r="AL343" s="40">
        <f>IFERROR(VLOOKUP(Tabela3[[#This Row],[Produto]],Tabela2[],15,0),0)</f>
        <v>4</v>
      </c>
      <c r="AM343" s="36">
        <f ca="1">(Tabela3[[#This Row],[Custo Usinagem]]+Tabela3[[#This Row],[Custo / Pç]])*1.2</f>
        <v>13.353695496137679</v>
      </c>
      <c r="AN343" s="36">
        <f ca="1">Tabela3[[#This Row],[Valor Mínimo Venda]]*1.15</f>
        <v>15.356749820558329</v>
      </c>
      <c r="AO343" s="36">
        <f ca="1">Tabela3[[#This Row],[Tabela 1]]*1.08</f>
        <v>16.585289806202997</v>
      </c>
      <c r="AP343" s="36">
        <f ca="1">Tabela3[[#This Row],[Tabela 2]]*1.15</f>
        <v>19.073083277133446</v>
      </c>
    </row>
    <row r="344" spans="1:42">
      <c r="A344" s="9">
        <v>45821</v>
      </c>
      <c r="B344" s="6" t="s">
        <v>236</v>
      </c>
      <c r="C344" s="14">
        <v>6796</v>
      </c>
      <c r="D344" s="6" t="s">
        <v>46</v>
      </c>
      <c r="E344" s="6" t="s">
        <v>53</v>
      </c>
      <c r="F344" s="6">
        <v>18</v>
      </c>
      <c r="G344" s="15">
        <v>0.10486111111111111</v>
      </c>
      <c r="H344" s="16">
        <v>0</v>
      </c>
      <c r="I344" s="35">
        <f ca="1">IFERROR(Tabela3[[#This Row],[Custo Total]]/Tabela3[[#This Row],[Aluminio Util]],0)</f>
        <v>24.695902358748675</v>
      </c>
      <c r="J344" s="35">
        <f ca="1">Tabela3[[#This Row],[Custo Total]]/Tabela3[[#This Row],[Realizado]]</f>
        <v>7.4581625123421</v>
      </c>
      <c r="K344" s="37">
        <f>IFERROR(Tabela3[[#This Row],[Qtde Cx Produzida]]/Tabela3[[#This Row],[Tempo]]/24,0)</f>
        <v>7.1523178807947021</v>
      </c>
      <c r="L344" s="37">
        <f>Tabela3[[#This Row],[Qtde Cx Produzida]]*Tabela3[[#This Row],[Qdt Peça Placa]]</f>
        <v>108</v>
      </c>
      <c r="M344" s="37">
        <f>Tabela3[[#This Row],[Previsto]]-Tabela3[[#This Row],[Perda Pçs]]</f>
        <v>108</v>
      </c>
      <c r="N344" s="38">
        <f>IFERROR(Tabela3[[#This Row],[Perda Pçs]]/Tabela3[[#This Row],[Previsto]],0)</f>
        <v>0</v>
      </c>
      <c r="O344" s="39">
        <f>IFERROR(IF(Tabela3[[#This Row],[Qtde Cx Produzida]] &lt;&gt; 0, Tabela3[[#This Row],[Tempo]] / Tabela3[[#This Row],[Qtde Cx Produzida]], 0),0)</f>
        <v>5.8256172839506173E-3</v>
      </c>
      <c r="P344" s="57">
        <f>IFERROR(Tabela3[[#This Row],[Perda Pçs]]/Tabela3[[#This Row],[Qdt Peça Placa]],0)</f>
        <v>0</v>
      </c>
      <c r="Q344" s="37">
        <f>IFERROR(Tabela3[[#This Row],[Realizado]]*Tabela3[[#This Row],[Peso Util/Pç]],0)</f>
        <v>32.616</v>
      </c>
      <c r="R344" s="37">
        <f>IFERROR(Tabela3[[#This Row],[Peso Total Galho]]*Tabela3[[#This Row],[Qtde Cx Produzida]]*1.055,0)</f>
        <v>40.866480000000003</v>
      </c>
      <c r="S344" s="37">
        <f>(Tabela3[[#This Row],[Aluminio Bruto]]-Tabela3[[#This Row],[Aluminio Util]])*0.9</f>
        <v>7.4254320000000034</v>
      </c>
      <c r="T344" s="37">
        <f>Tabela3[[#This Row],[Aluminio Bruto]]/OleoKGAluminio</f>
        <v>17.192475296149016</v>
      </c>
      <c r="U344" s="35">
        <f>IFERROR((VLOOKUP(Tabela3[[#This Row],[Moldador]],Tabela1[],5,)+(VLOOKUP(Tabela3[[#This Row],[Ajudante]],Tabela1[],5,))*3.5),0)</f>
        <v>99.95034583333333</v>
      </c>
      <c r="V344" s="35">
        <f>IFERROR(Tabela3[[#This Row],[Custo M.O. / H]]/((Tabela3[[#This Row],[Realizado]]/Tabela3[[#This Row],[Qdt Peça Placa]])/Tabela3[[#This Row],[Tempo]]/24),)</f>
        <v>13.974539093364196</v>
      </c>
      <c r="W344" s="35">
        <f>Tabela3[[#This Row],[Custo / Cx Moldada]]*Tabela3[[#This Row],[Qtde Cx Produzida]]</f>
        <v>251.54170368055554</v>
      </c>
      <c r="X344" s="35">
        <f ca="1">Tabela3[[#This Row],[Aluminio Util]]*Tabela3[[#This Row],[Custo/Kg]]</f>
        <v>508.80960000000005</v>
      </c>
      <c r="Y344" s="35">
        <f>IFERROR(VLOOKUP(Tabela3[[#This Row],[Data]],Tabela461213[],2,1)*(Tabela3[[#This Row],[Qtde Cx Produzida]]*Tabela3[[#This Row],[Qde macho / CX]]*Tabela3[[#This Row],[Peso Macho]]),)</f>
        <v>0</v>
      </c>
      <c r="Z344" s="35">
        <f>IFERROR(Tabela3[[#This Row],[Qtde Oleo]]*(VLOOKUP(Tabela3[[#This Row],[Data]],CompraOleo[],3,TRUE))*1.05,0)</f>
        <v>45.130247652391169</v>
      </c>
      <c r="AA344" s="47">
        <f ca="1">(Tabela3[[#This Row],[Custo Oleo]]+Tabela3[[#This Row],[Custo Aluminio]]+Tabela3[[#This Row],[Custo M.O. Total]]+Tabela3[[#This Row],[Custo Machos]])</f>
        <v>805.48155133294676</v>
      </c>
      <c r="AB344" s="47">
        <f ca="1">Tabela3[[#This Row],[Custo Total]]*Tabela3[[#This Row],[% Perda]]</f>
        <v>0</v>
      </c>
      <c r="AC344" s="48">
        <f>IFERROR(VLOOKUP(Tabela3[[#This Row],[Produto]],Tabela2[],2,0),0)</f>
        <v>6</v>
      </c>
      <c r="AD344" s="48">
        <f>IFERROR(VLOOKUP(Tabela3[[#This Row],[Produto]],Tabela2[],3,0),0)</f>
        <v>0.30199999999999999</v>
      </c>
      <c r="AE344" s="48">
        <f>IFERROR(VLOOKUP(Tabela3[[#This Row],[Produto]],Tabela2[],4,0),0)</f>
        <v>2.1520000000000001</v>
      </c>
      <c r="AF344" s="48">
        <f>IFERROR(VLOOKUP(Tabela3[[#This Row],[Produto]],Tabela2[],5,0),0)</f>
        <v>0.30600000000000027</v>
      </c>
      <c r="AG344" s="40">
        <f>IFERROR(VLOOKUP(Tabela3[[#This Row],[Produto]],Tabela2[],6,0),0)</f>
        <v>0</v>
      </c>
      <c r="AH344" s="40">
        <f>IFERROR(VLOOKUP(Tabela3[[#This Row],[Produto]],Tabela2[],7,0),0)</f>
        <v>0</v>
      </c>
      <c r="AI344" s="40">
        <f>IFERROR(VLOOKUP(Tabela3[[#This Row],[Produto]],Tabela2[],8,0),0)</f>
        <v>0</v>
      </c>
      <c r="AJ344" s="35">
        <f ca="1">IFERROR(VLOOKUP(Tabela3[[#This Row],[Produto]],Tabela2[],13,0),0)</f>
        <v>15.600000000000001</v>
      </c>
      <c r="AK344" s="40" t="str">
        <f>IFERROR(VLOOKUP(Tabela3[[#This Row],[Produto]],Tabela2[],14,0),0)</f>
        <v>Senun</v>
      </c>
      <c r="AL344" s="40">
        <f>IFERROR(VLOOKUP(Tabela3[[#This Row],[Produto]],Tabela2[],15,0),0)</f>
        <v>4</v>
      </c>
      <c r="AM344" s="36">
        <f ca="1">(Tabela3[[#This Row],[Custo Usinagem]]+Tabela3[[#This Row],[Custo / Pç]])*1.2</f>
        <v>13.749795014810518</v>
      </c>
      <c r="AN344" s="36">
        <f ca="1">Tabela3[[#This Row],[Valor Mínimo Venda]]*1.15</f>
        <v>15.812264267032095</v>
      </c>
      <c r="AO344" s="36">
        <f ca="1">Tabela3[[#This Row],[Tabela 1]]*1.08</f>
        <v>17.077245408394663</v>
      </c>
      <c r="AP344" s="36">
        <f ca="1">Tabela3[[#This Row],[Tabela 2]]*1.15</f>
        <v>19.63883221965386</v>
      </c>
    </row>
    <row r="345" spans="1:42">
      <c r="A345" s="9">
        <v>45821</v>
      </c>
      <c r="B345" s="6" t="s">
        <v>230</v>
      </c>
      <c r="C345" s="14">
        <v>6667</v>
      </c>
      <c r="D345" s="6" t="s">
        <v>46</v>
      </c>
      <c r="E345" s="6" t="s">
        <v>53</v>
      </c>
      <c r="F345" s="6">
        <v>55</v>
      </c>
      <c r="G345" s="15">
        <v>0.25347222222222221</v>
      </c>
      <c r="H345" s="16">
        <v>0</v>
      </c>
      <c r="I345" s="35">
        <f ca="1">IFERROR(Tabela3[[#This Row],[Custo Total]]/Tabela3[[#This Row],[Aluminio Util]],0)</f>
        <v>26.290378854388099</v>
      </c>
      <c r="J345" s="35">
        <f ca="1">Tabela3[[#This Row],[Custo Total]]/Tabela3[[#This Row],[Realizado]]</f>
        <v>11.120830255406165</v>
      </c>
      <c r="K345" s="37">
        <f>IFERROR(Tabela3[[#This Row],[Qtde Cx Produzida]]/Tabela3[[#This Row],[Tempo]]/24,0)</f>
        <v>9.0410958904109595</v>
      </c>
      <c r="L345" s="37">
        <f>Tabela3[[#This Row],[Qtde Cx Produzida]]*Tabela3[[#This Row],[Qdt Peça Placa]]</f>
        <v>220</v>
      </c>
      <c r="M345" s="37">
        <f>Tabela3[[#This Row],[Previsto]]-Tabela3[[#This Row],[Perda Pçs]]</f>
        <v>220</v>
      </c>
      <c r="N345" s="38">
        <f>IFERROR(Tabela3[[#This Row],[Perda Pçs]]/Tabela3[[#This Row],[Previsto]],0)</f>
        <v>0</v>
      </c>
      <c r="O345" s="39">
        <f>IFERROR(IF(Tabela3[[#This Row],[Qtde Cx Produzida]] &lt;&gt; 0, Tabela3[[#This Row],[Tempo]] / Tabela3[[#This Row],[Qtde Cx Produzida]], 0),0)</f>
        <v>4.6085858585858588E-3</v>
      </c>
      <c r="P345" s="57">
        <f>IFERROR(Tabela3[[#This Row],[Perda Pçs]]/Tabela3[[#This Row],[Qdt Peça Placa]],0)</f>
        <v>0</v>
      </c>
      <c r="Q345" s="37">
        <f>IFERROR(Tabela3[[#This Row],[Realizado]]*Tabela3[[#This Row],[Peso Util/Pç]],0)</f>
        <v>93.06</v>
      </c>
      <c r="R345" s="37">
        <f>IFERROR(Tabela3[[#This Row],[Peso Total Galho]]*Tabela3[[#This Row],[Qtde Cx Produzida]]*1.055,0)</f>
        <v>181.73430000000002</v>
      </c>
      <c r="S345" s="37">
        <f>(Tabela3[[#This Row],[Aluminio Bruto]]-Tabela3[[#This Row],[Aluminio Util]])*0.9</f>
        <v>79.806870000000018</v>
      </c>
      <c r="T345" s="37">
        <f>Tabela3[[#This Row],[Aluminio Bruto]]/OleoKGAluminio</f>
        <v>76.455385029807658</v>
      </c>
      <c r="U345" s="35">
        <f>IFERROR((VLOOKUP(Tabela3[[#This Row],[Moldador]],Tabela1[],5,)+(VLOOKUP(Tabela3[[#This Row],[Ajudante]],Tabela1[],5,))*3.5),0)</f>
        <v>99.95034583333333</v>
      </c>
      <c r="V345" s="35">
        <f>IFERROR(Tabela3[[#This Row],[Custo M.O. / H]]/((Tabela3[[#This Row],[Realizado]]/Tabela3[[#This Row],[Qdt Peça Placa]])/Tabela3[[#This Row],[Tempo]]/24),)</f>
        <v>11.055114008838382</v>
      </c>
      <c r="W345" s="35">
        <f>Tabela3[[#This Row],[Custo / Cx Moldada]]*Tabela3[[#This Row],[Qtde Cx Produzida]]</f>
        <v>608.031270486111</v>
      </c>
      <c r="X345" s="35">
        <f ca="1">Tabela3[[#This Row],[Aluminio Util]]*Tabela3[[#This Row],[Custo/Kg]]</f>
        <v>1637.8560000000002</v>
      </c>
      <c r="Y345" s="35">
        <f>IFERROR(VLOOKUP(Tabela3[[#This Row],[Data]],Tabela461213[],2,1)*(Tabela3[[#This Row],[Qtde Cx Produzida]]*Tabela3[[#This Row],[Qde macho / CX]]*Tabela3[[#This Row],[Peso Macho]]),)</f>
        <v>0</v>
      </c>
      <c r="Z345" s="35">
        <f>IFERROR(Tabela3[[#This Row],[Qtde Oleo]]*(VLOOKUP(Tabela3[[#This Row],[Data]],CompraOleo[],3,TRUE))*1.05,0)</f>
        <v>200.69538570324511</v>
      </c>
      <c r="AA345" s="47">
        <f ca="1">(Tabela3[[#This Row],[Custo Oleo]]+Tabela3[[#This Row],[Custo Aluminio]]+Tabela3[[#This Row],[Custo M.O. Total]]+Tabela3[[#This Row],[Custo Machos]])</f>
        <v>2446.5826561893564</v>
      </c>
      <c r="AB345" s="47">
        <f ca="1">Tabela3[[#This Row],[Custo Total]]*Tabela3[[#This Row],[% Perda]]</f>
        <v>0</v>
      </c>
      <c r="AC345" s="48">
        <f>IFERROR(VLOOKUP(Tabela3[[#This Row],[Produto]],Tabela2[],2,0),0)</f>
        <v>4</v>
      </c>
      <c r="AD345" s="48">
        <f>IFERROR(VLOOKUP(Tabela3[[#This Row],[Produto]],Tabela2[],3,0),0)</f>
        <v>0.42299999999999999</v>
      </c>
      <c r="AE345" s="48">
        <f>IFERROR(VLOOKUP(Tabela3[[#This Row],[Produto]],Tabela2[],4,0),0)</f>
        <v>3.1320000000000001</v>
      </c>
      <c r="AF345" s="48">
        <f>IFERROR(VLOOKUP(Tabela3[[#This Row],[Produto]],Tabela2[],5,0),0)</f>
        <v>1.2960000000000003</v>
      </c>
      <c r="AG345" s="40">
        <f>IFERROR(VLOOKUP(Tabela3[[#This Row],[Produto]],Tabela2[],6,0),0)</f>
        <v>0</v>
      </c>
      <c r="AH345" s="40">
        <f>IFERROR(VLOOKUP(Tabela3[[#This Row],[Produto]],Tabela2[],7,0),0)</f>
        <v>0</v>
      </c>
      <c r="AI345" s="40">
        <f>IFERROR(VLOOKUP(Tabela3[[#This Row],[Produto]],Tabela2[],8,0),0)</f>
        <v>0</v>
      </c>
      <c r="AJ345" s="35">
        <f ca="1">IFERROR(VLOOKUP(Tabela3[[#This Row],[Produto]],Tabela2[],13,0),0)</f>
        <v>17.600000000000001</v>
      </c>
      <c r="AK345" s="40" t="str">
        <f>IFERROR(VLOOKUP(Tabela3[[#This Row],[Produto]],Tabela2[],14,0),0)</f>
        <v>Busa</v>
      </c>
      <c r="AL345" s="40">
        <f>IFERROR(VLOOKUP(Tabela3[[#This Row],[Produto]],Tabela2[],15,0),0)</f>
        <v>0.5</v>
      </c>
      <c r="AM345" s="36">
        <f ca="1">(Tabela3[[#This Row],[Custo Usinagem]]+Tabela3[[#This Row],[Custo / Pç]])*1.2</f>
        <v>13.944996306487399</v>
      </c>
      <c r="AN345" s="36">
        <f ca="1">Tabela3[[#This Row],[Valor Mínimo Venda]]*1.15</f>
        <v>16.036745752460508</v>
      </c>
      <c r="AO345" s="36">
        <f ca="1">Tabela3[[#This Row],[Tabela 1]]*1.08</f>
        <v>17.31968541265735</v>
      </c>
      <c r="AP345" s="36">
        <f ca="1">Tabela3[[#This Row],[Tabela 2]]*1.15</f>
        <v>19.917638224555951</v>
      </c>
    </row>
    <row r="346" spans="1:42">
      <c r="A346" s="9">
        <v>45821</v>
      </c>
      <c r="B346" s="6" t="s">
        <v>202</v>
      </c>
      <c r="C346" s="14">
        <v>6927</v>
      </c>
      <c r="D346" s="6" t="s">
        <v>44</v>
      </c>
      <c r="E346" s="6" t="s">
        <v>47</v>
      </c>
      <c r="F346" s="6">
        <v>2</v>
      </c>
      <c r="G346" s="15">
        <v>0.16527777777777777</v>
      </c>
      <c r="H346" s="16">
        <v>0</v>
      </c>
      <c r="I346" s="35">
        <f ca="1">IFERROR(Tabela3[[#This Row],[Custo Total]]/Tabela3[[#This Row],[Aluminio Util]],0)</f>
        <v>27.299011411328379</v>
      </c>
      <c r="J346" s="35">
        <f ca="1">Tabela3[[#This Row],[Custo Total]]/Tabela3[[#This Row],[Realizado]]</f>
        <v>646.98657044848255</v>
      </c>
      <c r="K346" s="37">
        <f>IFERROR(Tabela3[[#This Row],[Qtde Cx Produzida]]/Tabela3[[#This Row],[Tempo]]/24,0)</f>
        <v>0.50420168067226889</v>
      </c>
      <c r="L346" s="37">
        <f>Tabela3[[#This Row],[Qtde Cx Produzida]]*Tabela3[[#This Row],[Qdt Peça Placa]]</f>
        <v>2</v>
      </c>
      <c r="M346" s="37">
        <f>Tabela3[[#This Row],[Previsto]]-Tabela3[[#This Row],[Perda Pçs]]</f>
        <v>2</v>
      </c>
      <c r="N346" s="38">
        <f>IFERROR(Tabela3[[#This Row],[Perda Pçs]]/Tabela3[[#This Row],[Previsto]],0)</f>
        <v>0</v>
      </c>
      <c r="O346" s="39">
        <f>IFERROR(IF(Tabela3[[#This Row],[Qtde Cx Produzida]] &lt;&gt; 0, Tabela3[[#This Row],[Tempo]] / Tabela3[[#This Row],[Qtde Cx Produzida]], 0),0)</f>
        <v>8.2638888888888887E-2</v>
      </c>
      <c r="P346" s="57">
        <f>IFERROR(Tabela3[[#This Row],[Perda Pçs]]/Tabela3[[#This Row],[Qdt Peça Placa]],0)</f>
        <v>0</v>
      </c>
      <c r="Q346" s="37">
        <f>IFERROR(Tabela3[[#This Row],[Realizado]]*Tabela3[[#This Row],[Peso Util/Pç]],0)</f>
        <v>47.4</v>
      </c>
      <c r="R346" s="37">
        <f>IFERROR(Tabela3[[#This Row],[Peso Total Galho]]*Tabela3[[#This Row],[Qtde Cx Produzida]]*1.055,0)</f>
        <v>57.286499999999997</v>
      </c>
      <c r="S346" s="37">
        <f>(Tabela3[[#This Row],[Aluminio Bruto]]-Tabela3[[#This Row],[Aluminio Util]])*0.9</f>
        <v>8.8978499999999983</v>
      </c>
      <c r="T346" s="37">
        <f>Tabela3[[#This Row],[Aluminio Bruto]]/OleoKGAluminio</f>
        <v>24.100356479267127</v>
      </c>
      <c r="U346" s="35">
        <f>IFERROR((VLOOKUP(Tabela3[[#This Row],[Moldador]],Tabela1[],5,)+(VLOOKUP(Tabela3[[#This Row],[Ajudante]],Tabela1[],5,))*3.5),0)</f>
        <v>99.95034583333333</v>
      </c>
      <c r="V346" s="35">
        <f>IFERROR(Tabela3[[#This Row],[Custo M.O. / H]]/((Tabela3[[#This Row],[Realizado]]/Tabela3[[#This Row],[Qdt Peça Placa]])/Tabela3[[#This Row],[Tempo]]/24),)</f>
        <v>198.23485256944446</v>
      </c>
      <c r="W346" s="35">
        <f>Tabela3[[#This Row],[Custo / Cx Moldada]]*Tabela3[[#This Row],[Qtde Cx Produzida]]</f>
        <v>396.46970513888891</v>
      </c>
      <c r="X346" s="35">
        <f ca="1">Tabela3[[#This Row],[Aluminio Util]]*Tabela3[[#This Row],[Custo/Kg]]</f>
        <v>834.24</v>
      </c>
      <c r="Y346" s="35">
        <f>IFERROR(VLOOKUP(Tabela3[[#This Row],[Data]],Tabela461213[],2,1)*(Tabela3[[#This Row],[Qtde Cx Produzida]]*Tabela3[[#This Row],[Qde macho / CX]]*Tabela3[[#This Row],[Peso Macho]]),)</f>
        <v>0</v>
      </c>
      <c r="Z346" s="35">
        <f>IFERROR(Tabela3[[#This Row],[Qtde Oleo]]*(VLOOKUP(Tabela3[[#This Row],[Data]],CompraOleo[],3,TRUE))*1.05,0)</f>
        <v>63.263435758076213</v>
      </c>
      <c r="AA346" s="47">
        <f ca="1">(Tabela3[[#This Row],[Custo Oleo]]+Tabela3[[#This Row],[Custo Aluminio]]+Tabela3[[#This Row],[Custo M.O. Total]]+Tabela3[[#This Row],[Custo Machos]])</f>
        <v>1293.9731408969651</v>
      </c>
      <c r="AB346" s="47">
        <f ca="1">Tabela3[[#This Row],[Custo Total]]*Tabela3[[#This Row],[% Perda]]</f>
        <v>0</v>
      </c>
      <c r="AC346" s="48">
        <f>IFERROR(VLOOKUP(Tabela3[[#This Row],[Produto]],Tabela2[],2,0),0)</f>
        <v>1</v>
      </c>
      <c r="AD346" s="48">
        <f>IFERROR(VLOOKUP(Tabela3[[#This Row],[Produto]],Tabela2[],3,0),0)</f>
        <v>23.7</v>
      </c>
      <c r="AE346" s="48">
        <f>IFERROR(VLOOKUP(Tabela3[[#This Row],[Produto]],Tabela2[],4,0),0)</f>
        <v>27.15</v>
      </c>
      <c r="AF346" s="48">
        <f>IFERROR(VLOOKUP(Tabela3[[#This Row],[Produto]],Tabela2[],5,0),0)</f>
        <v>3.1049999999999995</v>
      </c>
      <c r="AG346" s="40">
        <f>IFERROR(VLOOKUP(Tabela3[[#This Row],[Produto]],Tabela2[],6,0),0)</f>
        <v>0</v>
      </c>
      <c r="AH346" s="40">
        <f>IFERROR(VLOOKUP(Tabela3[[#This Row],[Produto]],Tabela2[],7,0),0)</f>
        <v>0</v>
      </c>
      <c r="AI346" s="40">
        <f>IFERROR(VLOOKUP(Tabela3[[#This Row],[Produto]],Tabela2[],8,0),0)</f>
        <v>0</v>
      </c>
      <c r="AJ346" s="35">
        <f ca="1">IFERROR(VLOOKUP(Tabela3[[#This Row],[Produto]],Tabela2[],13,0),0)</f>
        <v>17.600000000000001</v>
      </c>
      <c r="AK346" s="40" t="str">
        <f>IFERROR(VLOOKUP(Tabela3[[#This Row],[Produto]],Tabela2[],14,0),0)</f>
        <v>Oscar</v>
      </c>
      <c r="AL346" s="40">
        <f>IFERROR(VLOOKUP(Tabela3[[#This Row],[Produto]],Tabela2[],15,0),0)</f>
        <v>0</v>
      </c>
      <c r="AM346" s="36">
        <f ca="1">(Tabela3[[#This Row],[Custo Usinagem]]+Tabela3[[#This Row],[Custo / Pç]])*1.2</f>
        <v>776.38388453817902</v>
      </c>
      <c r="AN346" s="36">
        <f ca="1">Tabela3[[#This Row],[Valor Mínimo Venda]]*1.15</f>
        <v>892.84146721890579</v>
      </c>
      <c r="AO346" s="36">
        <f ca="1">Tabela3[[#This Row],[Tabela 1]]*1.08</f>
        <v>964.2687845964183</v>
      </c>
      <c r="AP346" s="36">
        <f ca="1">Tabela3[[#This Row],[Tabela 2]]*1.15</f>
        <v>1108.9091022858809</v>
      </c>
    </row>
    <row r="347" spans="1:42">
      <c r="A347" s="9">
        <v>45824</v>
      </c>
      <c r="B347" s="6" t="s">
        <v>256</v>
      </c>
      <c r="C347" s="14">
        <v>6488</v>
      </c>
      <c r="D347" s="6" t="s">
        <v>46</v>
      </c>
      <c r="E347" s="6" t="s">
        <v>53</v>
      </c>
      <c r="F347" s="6">
        <v>35</v>
      </c>
      <c r="G347" s="15">
        <v>0.18194444444444444</v>
      </c>
      <c r="H347" s="16">
        <v>4</v>
      </c>
      <c r="I347" s="35">
        <f ca="1">IFERROR(Tabela3[[#This Row],[Custo Total]]/Tabela3[[#This Row],[Aluminio Util]],0)</f>
        <v>27.838627104715812</v>
      </c>
      <c r="J347" s="35">
        <f ca="1">Tabela3[[#This Row],[Custo Total]]/Tabela3[[#This Row],[Realizado]]</f>
        <v>24.247444208207469</v>
      </c>
      <c r="K347" s="37">
        <f>IFERROR(Tabela3[[#This Row],[Qtde Cx Produzida]]/Tabela3[[#This Row],[Tempo]]/24,0)</f>
        <v>8.0152671755725198</v>
      </c>
      <c r="L347" s="37">
        <f>Tabela3[[#This Row],[Qtde Cx Produzida]]*Tabela3[[#This Row],[Qdt Peça Placa]]</f>
        <v>70</v>
      </c>
      <c r="M347" s="37">
        <f>Tabela3[[#This Row],[Previsto]]-Tabela3[[#This Row],[Perda Pçs]]</f>
        <v>66</v>
      </c>
      <c r="N347" s="38">
        <f>IFERROR(Tabela3[[#This Row],[Perda Pçs]]/Tabela3[[#This Row],[Previsto]],0)</f>
        <v>5.7142857142857141E-2</v>
      </c>
      <c r="O347" s="39">
        <f>IFERROR(IF(Tabela3[[#This Row],[Qtde Cx Produzida]] &lt;&gt; 0, Tabela3[[#This Row],[Tempo]] / Tabela3[[#This Row],[Qtde Cx Produzida]], 0),0)</f>
        <v>5.1984126984126978E-3</v>
      </c>
      <c r="P347" s="57">
        <f>IFERROR(Tabela3[[#This Row],[Perda Pçs]]/Tabela3[[#This Row],[Qdt Peça Placa]],0)</f>
        <v>2</v>
      </c>
      <c r="Q347" s="37">
        <f>IFERROR(Tabela3[[#This Row],[Realizado]]*Tabela3[[#This Row],[Peso Util/Pç]],0)</f>
        <v>57.485999999999997</v>
      </c>
      <c r="R347" s="37">
        <f>IFERROR(Tabela3[[#This Row],[Peso Total Galho]]*Tabela3[[#This Row],[Qtde Cx Produzida]]*1.055,0)</f>
        <v>113.80284999999998</v>
      </c>
      <c r="S347" s="37">
        <f>(Tabela3[[#This Row],[Aluminio Bruto]]-Tabela3[[#This Row],[Aluminio Util]])*0.9</f>
        <v>50.685164999999984</v>
      </c>
      <c r="T347" s="37">
        <f>Tabela3[[#This Row],[Aluminio Bruto]]/OleoKGAluminio</f>
        <v>47.876711849328629</v>
      </c>
      <c r="U347" s="35">
        <f>IFERROR((VLOOKUP(Tabela3[[#This Row],[Moldador]],Tabela1[],5,)+(VLOOKUP(Tabela3[[#This Row],[Ajudante]],Tabela1[],5,))*3.5),0)</f>
        <v>99.95034583333333</v>
      </c>
      <c r="V347" s="35">
        <f>IFERROR(Tabela3[[#This Row],[Custo M.O. / H]]/((Tabela3[[#This Row],[Realizado]]/Tabela3[[#This Row],[Qdt Peça Placa]])/Tabela3[[#This Row],[Tempo]]/24),)</f>
        <v>13.225752832491581</v>
      </c>
      <c r="W347" s="35">
        <f>Tabela3[[#This Row],[Custo / Cx Moldada]]*Tabela3[[#This Row],[Qtde Cx Produzida]]</f>
        <v>462.90134913720533</v>
      </c>
      <c r="X347" s="35">
        <f ca="1">Tabela3[[#This Row],[Aluminio Util]]*Tabela3[[#This Row],[Custo/Kg]]</f>
        <v>1011.7536</v>
      </c>
      <c r="Y347" s="35">
        <f>IFERROR(VLOOKUP(Tabela3[[#This Row],[Data]],Tabela461213[],2,1)*(Tabela3[[#This Row],[Qtde Cx Produzida]]*Tabela3[[#This Row],[Qde macho / CX]]*Tabela3[[#This Row],[Peso Macho]]),)</f>
        <v>0</v>
      </c>
      <c r="Z347" s="35">
        <f>IFERROR(Tabela3[[#This Row],[Qtde Oleo]]*(VLOOKUP(Tabela3[[#This Row],[Data]],CompraOleo[],3,TRUE))*1.05,0)</f>
        <v>125.67636860448765</v>
      </c>
      <c r="AA347" s="47">
        <f ca="1">(Tabela3[[#This Row],[Custo Oleo]]+Tabela3[[#This Row],[Custo Aluminio]]+Tabela3[[#This Row],[Custo M.O. Total]]+Tabela3[[#This Row],[Custo Machos]])</f>
        <v>1600.3313177416931</v>
      </c>
      <c r="AB347" s="47">
        <f ca="1">Tabela3[[#This Row],[Custo Total]]*Tabela3[[#This Row],[% Perda]]</f>
        <v>91.447503870953881</v>
      </c>
      <c r="AC347" s="48">
        <f>IFERROR(VLOOKUP(Tabela3[[#This Row],[Produto]],Tabela2[],2,0),0)</f>
        <v>2</v>
      </c>
      <c r="AD347" s="48">
        <f>IFERROR(VLOOKUP(Tabela3[[#This Row],[Produto]],Tabela2[],3,0),0)</f>
        <v>0.871</v>
      </c>
      <c r="AE347" s="48">
        <f>IFERROR(VLOOKUP(Tabela3[[#This Row],[Produto]],Tabela2[],4,0),0)</f>
        <v>3.0819999999999999</v>
      </c>
      <c r="AF347" s="48">
        <f>IFERROR(VLOOKUP(Tabela3[[#This Row],[Produto]],Tabela2[],5,0),0)</f>
        <v>1.206</v>
      </c>
      <c r="AG347" s="40">
        <f>IFERROR(VLOOKUP(Tabela3[[#This Row],[Produto]],Tabela2[],6,0),0)</f>
        <v>0</v>
      </c>
      <c r="AH347" s="40">
        <f>IFERROR(VLOOKUP(Tabela3[[#This Row],[Produto]],Tabela2[],7,0),0)</f>
        <v>0</v>
      </c>
      <c r="AI347" s="40">
        <f>IFERROR(VLOOKUP(Tabela3[[#This Row],[Produto]],Tabela2[],8,0),0)</f>
        <v>0</v>
      </c>
      <c r="AJ347" s="35">
        <f ca="1">IFERROR(VLOOKUP(Tabela3[[#This Row],[Produto]],Tabela2[],13,0),0)</f>
        <v>17.600000000000001</v>
      </c>
      <c r="AK347" s="40" t="str">
        <f>IFERROR(VLOOKUP(Tabela3[[#This Row],[Produto]],Tabela2[],14,0),0)</f>
        <v>Protec</v>
      </c>
      <c r="AL347" s="40">
        <f>IFERROR(VLOOKUP(Tabela3[[#This Row],[Produto]],Tabela2[],15,0),0)</f>
        <v>0</v>
      </c>
      <c r="AM347" s="36">
        <f ca="1">(Tabela3[[#This Row],[Custo Usinagem]]+Tabela3[[#This Row],[Custo / Pç]])*1.2</f>
        <v>29.09693304984896</v>
      </c>
      <c r="AN347" s="36">
        <f ca="1">Tabela3[[#This Row],[Valor Mínimo Venda]]*1.15</f>
        <v>33.461473007326305</v>
      </c>
      <c r="AO347" s="36">
        <f ca="1">Tabela3[[#This Row],[Tabela 1]]*1.08</f>
        <v>36.138390847912412</v>
      </c>
      <c r="AP347" s="36">
        <f ca="1">Tabela3[[#This Row],[Tabela 2]]*1.15</f>
        <v>41.559149475099268</v>
      </c>
    </row>
    <row r="348" spans="1:42">
      <c r="A348" s="9">
        <v>45824</v>
      </c>
      <c r="B348" s="6" t="s">
        <v>245</v>
      </c>
      <c r="C348" s="14">
        <v>6822</v>
      </c>
      <c r="D348" s="6" t="s">
        <v>46</v>
      </c>
      <c r="E348" s="6" t="s">
        <v>53</v>
      </c>
      <c r="F348" s="6">
        <v>10</v>
      </c>
      <c r="G348" s="15">
        <v>4.5138888888888888E-2</v>
      </c>
      <c r="H348" s="16">
        <v>0</v>
      </c>
      <c r="I348" s="35">
        <f ca="1">IFERROR(Tabela3[[#This Row],[Custo Total]]/Tabela3[[#This Row],[Aluminio Util]],0)</f>
        <v>25.771401234886486</v>
      </c>
      <c r="J348" s="35">
        <f ca="1">Tabela3[[#This Row],[Custo Total]]/Tabela3[[#This Row],[Realizado]]</f>
        <v>8.5561052099823147</v>
      </c>
      <c r="K348" s="37">
        <f>IFERROR(Tabela3[[#This Row],[Qtde Cx Produzida]]/Tabela3[[#This Row],[Tempo]]/24,0)</f>
        <v>9.2307692307692317</v>
      </c>
      <c r="L348" s="37">
        <f>Tabela3[[#This Row],[Qtde Cx Produzida]]*Tabela3[[#This Row],[Qdt Peça Placa]]</f>
        <v>40</v>
      </c>
      <c r="M348" s="37">
        <f>Tabela3[[#This Row],[Previsto]]-Tabela3[[#This Row],[Perda Pçs]]</f>
        <v>40</v>
      </c>
      <c r="N348" s="38">
        <f>IFERROR(Tabela3[[#This Row],[Perda Pçs]]/Tabela3[[#This Row],[Previsto]],0)</f>
        <v>0</v>
      </c>
      <c r="O348" s="39">
        <f>IFERROR(IF(Tabela3[[#This Row],[Qtde Cx Produzida]] &lt;&gt; 0, Tabela3[[#This Row],[Tempo]] / Tabela3[[#This Row],[Qtde Cx Produzida]], 0),0)</f>
        <v>4.5138888888888885E-3</v>
      </c>
      <c r="P348" s="57">
        <f>IFERROR(Tabela3[[#This Row],[Perda Pçs]]/Tabela3[[#This Row],[Qdt Peça Placa]],0)</f>
        <v>0</v>
      </c>
      <c r="Q348" s="37">
        <f>IFERROR(Tabela3[[#This Row],[Realizado]]*Tabela3[[#This Row],[Peso Util/Pç]],0)</f>
        <v>13.280000000000001</v>
      </c>
      <c r="R348" s="37">
        <f>IFERROR(Tabela3[[#This Row],[Peso Total Galho]]*Tabela3[[#This Row],[Qtde Cx Produzida]]*1.055,0)</f>
        <v>24.264999999999997</v>
      </c>
      <c r="S348" s="37">
        <f>(Tabela3[[#This Row],[Aluminio Bruto]]-Tabela3[[#This Row],[Aluminio Util]])*0.9</f>
        <v>9.8864999999999963</v>
      </c>
      <c r="T348" s="37">
        <f>Tabela3[[#This Row],[Aluminio Bruto]]/OleoKGAluminio</f>
        <v>10.208254125656424</v>
      </c>
      <c r="U348" s="35">
        <f>IFERROR((VLOOKUP(Tabela3[[#This Row],[Moldador]],Tabela1[],5,)+(VLOOKUP(Tabela3[[#This Row],[Ajudante]],Tabela1[],5,))*3.5),0)</f>
        <v>99.95034583333333</v>
      </c>
      <c r="V348" s="35">
        <f>IFERROR(Tabela3[[#This Row],[Custo M.O. / H]]/((Tabela3[[#This Row],[Realizado]]/Tabela3[[#This Row],[Qdt Peça Placa]])/Tabela3[[#This Row],[Tempo]]/24),)</f>
        <v>10.827954131944443</v>
      </c>
      <c r="W348" s="35">
        <f>Tabela3[[#This Row],[Custo / Cx Moldada]]*Tabela3[[#This Row],[Qtde Cx Produzida]]</f>
        <v>108.27954131944443</v>
      </c>
      <c r="X348" s="35">
        <f ca="1">Tabela3[[#This Row],[Aluminio Util]]*Tabela3[[#This Row],[Custo/Kg]]</f>
        <v>207.16800000000003</v>
      </c>
      <c r="Y348" s="35">
        <f>IFERROR(VLOOKUP(Tabela3[[#This Row],[Data]],Tabela461213[],2,1)*(Tabela3[[#This Row],[Qtde Cx Produzida]]*Tabela3[[#This Row],[Qde macho / CX]]*Tabela3[[#This Row],[Peso Macho]]),)</f>
        <v>0</v>
      </c>
      <c r="Z348" s="35">
        <f>IFERROR(Tabela3[[#This Row],[Qtde Oleo]]*(VLOOKUP(Tabela3[[#This Row],[Data]],CompraOleo[],3,TRUE))*1.05,0)</f>
        <v>26.796667079848113</v>
      </c>
      <c r="AA348" s="47">
        <f ca="1">(Tabela3[[#This Row],[Custo Oleo]]+Tabela3[[#This Row],[Custo Aluminio]]+Tabela3[[#This Row],[Custo M.O. Total]]+Tabela3[[#This Row],[Custo Machos]])</f>
        <v>342.24420839929257</v>
      </c>
      <c r="AB348" s="47">
        <f ca="1">Tabela3[[#This Row],[Custo Total]]*Tabela3[[#This Row],[% Perda]]</f>
        <v>0</v>
      </c>
      <c r="AC348" s="48">
        <f>IFERROR(VLOOKUP(Tabela3[[#This Row],[Produto]],Tabela2[],2,0),0)</f>
        <v>4</v>
      </c>
      <c r="AD348" s="48">
        <f>IFERROR(VLOOKUP(Tabela3[[#This Row],[Produto]],Tabela2[],3,0),0)</f>
        <v>0.33200000000000002</v>
      </c>
      <c r="AE348" s="48">
        <f>IFERROR(VLOOKUP(Tabela3[[#This Row],[Produto]],Tabela2[],4,0),0)</f>
        <v>2.2999999999999998</v>
      </c>
      <c r="AF348" s="48">
        <f>IFERROR(VLOOKUP(Tabela3[[#This Row],[Produto]],Tabela2[],5,0),0)</f>
        <v>0.8747999999999998</v>
      </c>
      <c r="AG348" s="40">
        <f>IFERROR(VLOOKUP(Tabela3[[#This Row],[Produto]],Tabela2[],6,0),0)</f>
        <v>0</v>
      </c>
      <c r="AH348" s="40">
        <f>IFERROR(VLOOKUP(Tabela3[[#This Row],[Produto]],Tabela2[],7,0),0)</f>
        <v>0</v>
      </c>
      <c r="AI348" s="40">
        <f>IFERROR(VLOOKUP(Tabela3[[#This Row],[Produto]],Tabela2[],8,0),0)</f>
        <v>0</v>
      </c>
      <c r="AJ348" s="35">
        <f ca="1">IFERROR(VLOOKUP(Tabela3[[#This Row],[Produto]],Tabela2[],13,0),0)</f>
        <v>15.600000000000001</v>
      </c>
      <c r="AK348" s="40" t="str">
        <f>IFERROR(VLOOKUP(Tabela3[[#This Row],[Produto]],Tabela2[],14,0),0)</f>
        <v>Senun</v>
      </c>
      <c r="AL348" s="40">
        <f>IFERROR(VLOOKUP(Tabela3[[#This Row],[Produto]],Tabela2[],15,0),0)</f>
        <v>3.5</v>
      </c>
      <c r="AM348" s="36">
        <f ca="1">(Tabela3[[#This Row],[Custo Usinagem]]+Tabela3[[#This Row],[Custo / Pç]])*1.2</f>
        <v>14.467326251978777</v>
      </c>
      <c r="AN348" s="36">
        <f ca="1">Tabela3[[#This Row],[Valor Mínimo Venda]]*1.15</f>
        <v>16.637425189775591</v>
      </c>
      <c r="AO348" s="36">
        <f ca="1">Tabela3[[#This Row],[Tabela 1]]*1.08</f>
        <v>17.968419204957641</v>
      </c>
      <c r="AP348" s="36">
        <f ca="1">Tabela3[[#This Row],[Tabela 2]]*1.15</f>
        <v>20.663682085701286</v>
      </c>
    </row>
    <row r="349" spans="1:42">
      <c r="A349" s="9">
        <v>45824</v>
      </c>
      <c r="B349" s="6" t="s">
        <v>118</v>
      </c>
      <c r="C349" s="14">
        <v>6805</v>
      </c>
      <c r="D349" s="6" t="s">
        <v>44</v>
      </c>
      <c r="E349" s="6" t="s">
        <v>47</v>
      </c>
      <c r="F349" s="6">
        <v>31</v>
      </c>
      <c r="G349" s="15">
        <v>0.19097222222222221</v>
      </c>
      <c r="H349" s="16">
        <v>8</v>
      </c>
      <c r="I349" s="35">
        <f ca="1">IFERROR(Tabela3[[#This Row],[Custo Total]]/Tabela3[[#This Row],[Aluminio Util]],0)</f>
        <v>24.380938899612676</v>
      </c>
      <c r="J349" s="35">
        <f ca="1">Tabela3[[#This Row],[Custo Total]]/Tabela3[[#This Row],[Realizado]]</f>
        <v>46.323783909264087</v>
      </c>
      <c r="K349" s="37">
        <f>IFERROR(Tabela3[[#This Row],[Qtde Cx Produzida]]/Tabela3[[#This Row],[Tempo]]/24,0)</f>
        <v>6.7636363636363646</v>
      </c>
      <c r="L349" s="37">
        <f>Tabela3[[#This Row],[Qtde Cx Produzida]]*Tabela3[[#This Row],[Qdt Peça Placa]]</f>
        <v>62</v>
      </c>
      <c r="M349" s="37">
        <f>Tabela3[[#This Row],[Previsto]]-Tabela3[[#This Row],[Perda Pçs]]</f>
        <v>54</v>
      </c>
      <c r="N349" s="38">
        <f>IFERROR(Tabela3[[#This Row],[Perda Pçs]]/Tabela3[[#This Row],[Previsto]],0)</f>
        <v>0.12903225806451613</v>
      </c>
      <c r="O349" s="39">
        <f>IFERROR(IF(Tabela3[[#This Row],[Qtde Cx Produzida]] &lt;&gt; 0, Tabela3[[#This Row],[Tempo]] / Tabela3[[#This Row],[Qtde Cx Produzida]], 0),0)</f>
        <v>6.1603942652329749E-3</v>
      </c>
      <c r="P349" s="57">
        <f>IFERROR(Tabela3[[#This Row],[Perda Pçs]]/Tabela3[[#This Row],[Qdt Peça Placa]],0)</f>
        <v>4</v>
      </c>
      <c r="Q349" s="37">
        <f>IFERROR(Tabela3[[#This Row],[Realizado]]*Tabela3[[#This Row],[Peso Util/Pç]],0)</f>
        <v>102.6</v>
      </c>
      <c r="R349" s="37">
        <f>IFERROR(Tabela3[[#This Row],[Peso Total Galho]]*Tabela3[[#This Row],[Qtde Cx Produzida]]*1.055,0)</f>
        <v>153.71350000000001</v>
      </c>
      <c r="S349" s="37">
        <f>(Tabela3[[#This Row],[Aluminio Bruto]]-Tabela3[[#This Row],[Aluminio Util]])*0.9</f>
        <v>46.002150000000015</v>
      </c>
      <c r="T349" s="37">
        <f>Tabela3[[#This Row],[Aluminio Bruto]]/OleoKGAluminio</f>
        <v>64.667070700353975</v>
      </c>
      <c r="U349" s="35">
        <f>IFERROR((VLOOKUP(Tabela3[[#This Row],[Moldador]],Tabela1[],5,)+(VLOOKUP(Tabela3[[#This Row],[Ajudante]],Tabela1[],5,))*3.5),0)</f>
        <v>99.95034583333333</v>
      </c>
      <c r="V349" s="35">
        <f>IFERROR(Tabela3[[#This Row],[Custo M.O. / H]]/((Tabela3[[#This Row],[Realizado]]/Tabela3[[#This Row],[Qdt Peça Placa]])/Tabela3[[#This Row],[Tempo]]/24),)</f>
        <v>16.966879693930039</v>
      </c>
      <c r="W349" s="35">
        <f>Tabela3[[#This Row],[Custo / Cx Moldada]]*Tabela3[[#This Row],[Qtde Cx Produzida]]</f>
        <v>525.97327051183117</v>
      </c>
      <c r="X349" s="35">
        <f ca="1">Tabela3[[#This Row],[Aluminio Util]]*Tabela3[[#This Row],[Custo/Kg]]</f>
        <v>1805.76</v>
      </c>
      <c r="Y349" s="35">
        <f>IFERROR(VLOOKUP(Tabela3[[#This Row],[Data]],Tabela461213[],2,1)*(Tabela3[[#This Row],[Qtde Cx Produzida]]*Tabela3[[#This Row],[Qde macho / CX]]*Tabela3[[#This Row],[Peso Macho]]),)</f>
        <v>0</v>
      </c>
      <c r="Z349" s="35">
        <f>IFERROR(Tabela3[[#This Row],[Qtde Oleo]]*(VLOOKUP(Tabela3[[#This Row],[Data]],CompraOleo[],3,TRUE))*1.05,0)</f>
        <v>169.7510605884292</v>
      </c>
      <c r="AA349" s="47">
        <f ca="1">(Tabela3[[#This Row],[Custo Oleo]]+Tabela3[[#This Row],[Custo Aluminio]]+Tabela3[[#This Row],[Custo M.O. Total]]+Tabela3[[#This Row],[Custo Machos]])</f>
        <v>2501.4843311002605</v>
      </c>
      <c r="AB349" s="47">
        <f ca="1">Tabela3[[#This Row],[Custo Total]]*Tabela3[[#This Row],[% Perda]]</f>
        <v>322.77217175487232</v>
      </c>
      <c r="AC349" s="48">
        <f>IFERROR(VLOOKUP(Tabela3[[#This Row],[Produto]],Tabela2[],2,0),0)</f>
        <v>2</v>
      </c>
      <c r="AD349" s="48">
        <f>IFERROR(VLOOKUP(Tabela3[[#This Row],[Produto]],Tabela2[],3,0),0)</f>
        <v>1.9</v>
      </c>
      <c r="AE349" s="48">
        <f>IFERROR(VLOOKUP(Tabela3[[#This Row],[Produto]],Tabela2[],4,0),0)</f>
        <v>4.7</v>
      </c>
      <c r="AF349" s="48">
        <f>IFERROR(VLOOKUP(Tabela3[[#This Row],[Produto]],Tabela2[],5,0),0)</f>
        <v>0.81000000000000039</v>
      </c>
      <c r="AG349" s="40">
        <f>IFERROR(VLOOKUP(Tabela3[[#This Row],[Produto]],Tabela2[],6,0),0)</f>
        <v>0</v>
      </c>
      <c r="AH349" s="40">
        <f>IFERROR(VLOOKUP(Tabela3[[#This Row],[Produto]],Tabela2[],7,0),0)</f>
        <v>0</v>
      </c>
      <c r="AI349" s="40">
        <f>IFERROR(VLOOKUP(Tabela3[[#This Row],[Produto]],Tabela2[],8,0),0)</f>
        <v>0</v>
      </c>
      <c r="AJ349" s="35">
        <f ca="1">IFERROR(VLOOKUP(Tabela3[[#This Row],[Produto]],Tabela2[],13,0),0)</f>
        <v>17.600000000000001</v>
      </c>
      <c r="AK349" s="40" t="str">
        <f>IFERROR(VLOOKUP(Tabela3[[#This Row],[Produto]],Tabela2[],14,0),0)</f>
        <v>Marcelo</v>
      </c>
      <c r="AL349" s="40">
        <f>IFERROR(VLOOKUP(Tabela3[[#This Row],[Produto]],Tabela2[],15,0),0)</f>
        <v>0</v>
      </c>
      <c r="AM349" s="36">
        <f ca="1">(Tabela3[[#This Row],[Custo Usinagem]]+Tabela3[[#This Row],[Custo / Pç]])*1.2</f>
        <v>55.588540691116904</v>
      </c>
      <c r="AN349" s="36">
        <f ca="1">Tabela3[[#This Row],[Valor Mínimo Venda]]*1.15</f>
        <v>63.926821794784438</v>
      </c>
      <c r="AO349" s="36">
        <f ca="1">Tabela3[[#This Row],[Tabela 1]]*1.08</f>
        <v>69.040967538367198</v>
      </c>
      <c r="AP349" s="36">
        <f ca="1">Tabela3[[#This Row],[Tabela 2]]*1.15</f>
        <v>79.397112669122265</v>
      </c>
    </row>
    <row r="350" spans="1:42">
      <c r="A350" s="9">
        <v>45824</v>
      </c>
      <c r="B350" s="6" t="s">
        <v>96</v>
      </c>
      <c r="C350" s="14">
        <v>6879</v>
      </c>
      <c r="D350" s="6" t="s">
        <v>44</v>
      </c>
      <c r="E350" s="6" t="s">
        <v>47</v>
      </c>
      <c r="F350" s="6">
        <v>10</v>
      </c>
      <c r="G350" s="15">
        <v>5.6250000000000001E-2</v>
      </c>
      <c r="H350" s="16">
        <v>0</v>
      </c>
      <c r="I350" s="35">
        <f ca="1">IFERROR(Tabela3[[#This Row],[Custo Total]]/Tabela3[[#This Row],[Aluminio Util]],0)</f>
        <v>30.831944484083344</v>
      </c>
      <c r="J350" s="35">
        <f ca="1">Tabela3[[#This Row],[Custo Total]]/Tabela3[[#This Row],[Realizado]]</f>
        <v>27.255438923929674</v>
      </c>
      <c r="K350" s="37">
        <f>IFERROR(Tabela3[[#This Row],[Qtde Cx Produzida]]/Tabela3[[#This Row],[Tempo]]/24,0)</f>
        <v>7.4074074074074074</v>
      </c>
      <c r="L350" s="37">
        <f>Tabela3[[#This Row],[Qtde Cx Produzida]]*Tabela3[[#This Row],[Qdt Peça Placa]]</f>
        <v>30</v>
      </c>
      <c r="M350" s="37">
        <f>Tabela3[[#This Row],[Previsto]]-Tabela3[[#This Row],[Perda Pçs]]</f>
        <v>30</v>
      </c>
      <c r="N350" s="38">
        <f>IFERROR(Tabela3[[#This Row],[Perda Pçs]]/Tabela3[[#This Row],[Previsto]],0)</f>
        <v>0</v>
      </c>
      <c r="O350" s="39">
        <f>IFERROR(IF(Tabela3[[#This Row],[Qtde Cx Produzida]] &lt;&gt; 0, Tabela3[[#This Row],[Tempo]] / Tabela3[[#This Row],[Qtde Cx Produzida]], 0),0)</f>
        <v>5.6249999999999998E-3</v>
      </c>
      <c r="P350" s="57">
        <f>IFERROR(Tabela3[[#This Row],[Perda Pçs]]/Tabela3[[#This Row],[Qdt Peça Placa]],0)</f>
        <v>0</v>
      </c>
      <c r="Q350" s="37">
        <f>IFERROR(Tabela3[[#This Row],[Realizado]]*Tabela3[[#This Row],[Peso Util/Pç]],0)</f>
        <v>26.52</v>
      </c>
      <c r="R350" s="37">
        <f>IFERROR(Tabela3[[#This Row],[Peso Total Galho]]*Tabela3[[#This Row],[Qtde Cx Produzida]]*1.055,0)</f>
        <v>49.500599999999999</v>
      </c>
      <c r="S350" s="37">
        <f>(Tabela3[[#This Row],[Aluminio Bruto]]-Tabela3[[#This Row],[Aluminio Util]])*0.9</f>
        <v>20.682539999999999</v>
      </c>
      <c r="T350" s="37">
        <f>Tabela3[[#This Row],[Aluminio Bruto]]/OleoKGAluminio</f>
        <v>20.824838416339109</v>
      </c>
      <c r="U350" s="35">
        <f>IFERROR((VLOOKUP(Tabela3[[#This Row],[Moldador]],Tabela1[],5,)+(VLOOKUP(Tabela3[[#This Row],[Ajudante]],Tabela1[],5,))*3.5),0)</f>
        <v>99.95034583333333</v>
      </c>
      <c r="V350" s="35">
        <f>IFERROR(Tabela3[[#This Row],[Custo M.O. / H]]/((Tabela3[[#This Row],[Realizado]]/Tabela3[[#This Row],[Qdt Peça Placa]])/Tabela3[[#This Row],[Tempo]]/24),)</f>
        <v>13.493296687499999</v>
      </c>
      <c r="W350" s="35">
        <f>Tabela3[[#This Row],[Custo / Cx Moldada]]*Tabela3[[#This Row],[Qtde Cx Produzida]]</f>
        <v>134.93296687499998</v>
      </c>
      <c r="X350" s="35">
        <f ca="1">Tabela3[[#This Row],[Aluminio Util]]*Tabela3[[#This Row],[Custo/Kg]]</f>
        <v>413.71200000000005</v>
      </c>
      <c r="Y350" s="35">
        <f>IFERROR(VLOOKUP(Tabela3[[#This Row],[Data]],Tabela461213[],2,1)*(Tabela3[[#This Row],[Qtde Cx Produzida]]*Tabela3[[#This Row],[Qde macho / CX]]*Tabela3[[#This Row],[Peso Macho]]),)</f>
        <v>214.35300000000001</v>
      </c>
      <c r="Z350" s="35">
        <f>IFERROR(Tabela3[[#This Row],[Qtde Oleo]]*(VLOOKUP(Tabela3[[#This Row],[Data]],CompraOleo[],3,TRUE))*1.05,0)</f>
        <v>54.665200842890158</v>
      </c>
      <c r="AA350" s="47">
        <f ca="1">(Tabela3[[#This Row],[Custo Oleo]]+Tabela3[[#This Row],[Custo Aluminio]]+Tabela3[[#This Row],[Custo M.O. Total]]+Tabela3[[#This Row],[Custo Machos]])</f>
        <v>817.66316771789025</v>
      </c>
      <c r="AB350" s="47">
        <f ca="1">Tabela3[[#This Row],[Custo Total]]*Tabela3[[#This Row],[% Perda]]</f>
        <v>0</v>
      </c>
      <c r="AC350" s="48">
        <f>IFERROR(VLOOKUP(Tabela3[[#This Row],[Produto]],Tabela2[],2,0),0)</f>
        <v>3</v>
      </c>
      <c r="AD350" s="48">
        <f>IFERROR(VLOOKUP(Tabela3[[#This Row],[Produto]],Tabela2[],3,0),0)</f>
        <v>0.88400000000000001</v>
      </c>
      <c r="AE350" s="48">
        <f>IFERROR(VLOOKUP(Tabela3[[#This Row],[Produto]],Tabela2[],4,0),0)</f>
        <v>4.6920000000000002</v>
      </c>
      <c r="AF350" s="48">
        <f>IFERROR(VLOOKUP(Tabela3[[#This Row],[Produto]],Tabela2[],5,0),0)</f>
        <v>1.8360000000000001</v>
      </c>
      <c r="AG350" s="40">
        <f>IFERROR(VLOOKUP(Tabela3[[#This Row],[Produto]],Tabela2[],6,0),0)</f>
        <v>0</v>
      </c>
      <c r="AH350" s="40">
        <f>IFERROR(VLOOKUP(Tabela3[[#This Row],[Produto]],Tabela2[],7,0),0)</f>
        <v>9</v>
      </c>
      <c r="AI350" s="40">
        <f>IFERROR(VLOOKUP(Tabela3[[#This Row],[Produto]],Tabela2[],8,0),0)</f>
        <v>1.401</v>
      </c>
      <c r="AJ350" s="35">
        <f ca="1">IFERROR(VLOOKUP(Tabela3[[#This Row],[Produto]],Tabela2[],13,0),0)</f>
        <v>15.600000000000001</v>
      </c>
      <c r="AK350" s="40" t="str">
        <f>IFERROR(VLOOKUP(Tabela3[[#This Row],[Produto]],Tabela2[],14,0),0)</f>
        <v>Jumil</v>
      </c>
      <c r="AL350" s="40">
        <f>IFERROR(VLOOKUP(Tabela3[[#This Row],[Produto]],Tabela2[],15,0),0)</f>
        <v>10</v>
      </c>
      <c r="AM350" s="36">
        <f ca="1">(Tabela3[[#This Row],[Custo Usinagem]]+Tabela3[[#This Row],[Custo / Pç]])*1.2</f>
        <v>44.706526708715607</v>
      </c>
      <c r="AN350" s="36">
        <f ca="1">Tabela3[[#This Row],[Valor Mínimo Venda]]*1.15</f>
        <v>51.412505715022945</v>
      </c>
      <c r="AO350" s="36">
        <f ca="1">Tabela3[[#This Row],[Tabela 1]]*1.08</f>
        <v>55.525506172224787</v>
      </c>
      <c r="AP350" s="36">
        <f ca="1">Tabela3[[#This Row],[Tabela 2]]*1.15</f>
        <v>63.854332098058499</v>
      </c>
    </row>
    <row r="351" spans="1:42">
      <c r="A351" s="9">
        <v>45825</v>
      </c>
      <c r="B351" s="6" t="s">
        <v>245</v>
      </c>
      <c r="C351" s="14">
        <v>6895</v>
      </c>
      <c r="D351" s="6" t="s">
        <v>46</v>
      </c>
      <c r="E351" s="6" t="s">
        <v>53</v>
      </c>
      <c r="F351" s="6">
        <v>30</v>
      </c>
      <c r="G351" s="15">
        <v>0.13680555555555557</v>
      </c>
      <c r="H351" s="16">
        <v>0</v>
      </c>
      <c r="I351" s="35">
        <f ca="1">IFERROR(Tabela3[[#This Row],[Custo Total]]/Tabela3[[#This Row],[Aluminio Util]],0)</f>
        <v>25.855027695590422</v>
      </c>
      <c r="J351" s="35">
        <f ca="1">Tabela3[[#This Row],[Custo Total]]/Tabela3[[#This Row],[Realizado]]</f>
        <v>8.5838691949360211</v>
      </c>
      <c r="K351" s="37">
        <f>IFERROR(Tabela3[[#This Row],[Qtde Cx Produzida]]/Tabela3[[#This Row],[Tempo]]/24,0)</f>
        <v>9.1370558375634499</v>
      </c>
      <c r="L351" s="37">
        <f>Tabela3[[#This Row],[Qtde Cx Produzida]]*Tabela3[[#This Row],[Qdt Peça Placa]]</f>
        <v>120</v>
      </c>
      <c r="M351" s="37">
        <f>Tabela3[[#This Row],[Previsto]]-Tabela3[[#This Row],[Perda Pçs]]</f>
        <v>120</v>
      </c>
      <c r="N351" s="38">
        <f>IFERROR(Tabela3[[#This Row],[Perda Pçs]]/Tabela3[[#This Row],[Previsto]],0)</f>
        <v>0</v>
      </c>
      <c r="O351" s="39">
        <f>IFERROR(IF(Tabela3[[#This Row],[Qtde Cx Produzida]] &lt;&gt; 0, Tabela3[[#This Row],[Tempo]] / Tabela3[[#This Row],[Qtde Cx Produzida]], 0),0)</f>
        <v>4.5601851851851853E-3</v>
      </c>
      <c r="P351" s="57">
        <f>IFERROR(Tabela3[[#This Row],[Perda Pçs]]/Tabela3[[#This Row],[Qdt Peça Placa]],0)</f>
        <v>0</v>
      </c>
      <c r="Q351" s="37">
        <f>IFERROR(Tabela3[[#This Row],[Realizado]]*Tabela3[[#This Row],[Peso Util/Pç]],0)</f>
        <v>39.840000000000003</v>
      </c>
      <c r="R351" s="37">
        <f>IFERROR(Tabela3[[#This Row],[Peso Total Galho]]*Tabela3[[#This Row],[Qtde Cx Produzida]]*1.055,0)</f>
        <v>72.795000000000002</v>
      </c>
      <c r="S351" s="37">
        <f>(Tabela3[[#This Row],[Aluminio Bruto]]-Tabela3[[#This Row],[Aluminio Util]])*0.9</f>
        <v>29.659499999999998</v>
      </c>
      <c r="T351" s="37">
        <f>Tabela3[[#This Row],[Aluminio Bruto]]/OleoKGAluminio</f>
        <v>30.624762376969279</v>
      </c>
      <c r="U351" s="35">
        <f>IFERROR((VLOOKUP(Tabela3[[#This Row],[Moldador]],Tabela1[],5,)+(VLOOKUP(Tabela3[[#This Row],[Ajudante]],Tabela1[],5,))*3.5),0)</f>
        <v>99.95034583333333</v>
      </c>
      <c r="V351" s="35">
        <f>IFERROR(Tabela3[[#This Row],[Custo M.O. / H]]/((Tabela3[[#This Row],[Realizado]]/Tabela3[[#This Row],[Qdt Peça Placa]])/Tabela3[[#This Row],[Tempo]]/24),)</f>
        <v>10.939010071759261</v>
      </c>
      <c r="W351" s="35">
        <f>Tabela3[[#This Row],[Custo / Cx Moldada]]*Tabela3[[#This Row],[Qtde Cx Produzida]]</f>
        <v>328.17030215277782</v>
      </c>
      <c r="X351" s="35">
        <f ca="1">Tabela3[[#This Row],[Aluminio Util]]*Tabela3[[#This Row],[Custo/Kg]]</f>
        <v>621.50400000000013</v>
      </c>
      <c r="Y351" s="35">
        <f>IFERROR(VLOOKUP(Tabela3[[#This Row],[Data]],Tabela461213[],2,1)*(Tabela3[[#This Row],[Qtde Cx Produzida]]*Tabela3[[#This Row],[Qde macho / CX]]*Tabela3[[#This Row],[Peso Macho]]),)</f>
        <v>0</v>
      </c>
      <c r="Z351" s="35">
        <f>IFERROR(Tabela3[[#This Row],[Qtde Oleo]]*(VLOOKUP(Tabela3[[#This Row],[Data]],CompraOleo[],3,TRUE))*1.05,0)</f>
        <v>80.390001239544361</v>
      </c>
      <c r="AA351" s="47">
        <f ca="1">(Tabela3[[#This Row],[Custo Oleo]]+Tabela3[[#This Row],[Custo Aluminio]]+Tabela3[[#This Row],[Custo M.O. Total]]+Tabela3[[#This Row],[Custo Machos]])</f>
        <v>1030.0643033923225</v>
      </c>
      <c r="AB351" s="47">
        <f ca="1">Tabela3[[#This Row],[Custo Total]]*Tabela3[[#This Row],[% Perda]]</f>
        <v>0</v>
      </c>
      <c r="AC351" s="48">
        <f>IFERROR(VLOOKUP(Tabela3[[#This Row],[Produto]],Tabela2[],2,0),0)</f>
        <v>4</v>
      </c>
      <c r="AD351" s="48">
        <f>IFERROR(VLOOKUP(Tabela3[[#This Row],[Produto]],Tabela2[],3,0),0)</f>
        <v>0.33200000000000002</v>
      </c>
      <c r="AE351" s="48">
        <f>IFERROR(VLOOKUP(Tabela3[[#This Row],[Produto]],Tabela2[],4,0),0)</f>
        <v>2.2999999999999998</v>
      </c>
      <c r="AF351" s="48">
        <f>IFERROR(VLOOKUP(Tabela3[[#This Row],[Produto]],Tabela2[],5,0),0)</f>
        <v>0.8747999999999998</v>
      </c>
      <c r="AG351" s="40">
        <f>IFERROR(VLOOKUP(Tabela3[[#This Row],[Produto]],Tabela2[],6,0),0)</f>
        <v>0</v>
      </c>
      <c r="AH351" s="40">
        <f>IFERROR(VLOOKUP(Tabela3[[#This Row],[Produto]],Tabela2[],7,0),0)</f>
        <v>0</v>
      </c>
      <c r="AI351" s="40">
        <f>IFERROR(VLOOKUP(Tabela3[[#This Row],[Produto]],Tabela2[],8,0),0)</f>
        <v>0</v>
      </c>
      <c r="AJ351" s="35">
        <f ca="1">IFERROR(VLOOKUP(Tabela3[[#This Row],[Produto]],Tabela2[],13,0),0)</f>
        <v>15.600000000000001</v>
      </c>
      <c r="AK351" s="40" t="str">
        <f>IFERROR(VLOOKUP(Tabela3[[#This Row],[Produto]],Tabela2[],14,0),0)</f>
        <v>Senun</v>
      </c>
      <c r="AL351" s="40">
        <f>IFERROR(VLOOKUP(Tabela3[[#This Row],[Produto]],Tabela2[],15,0),0)</f>
        <v>3.5</v>
      </c>
      <c r="AM351" s="36">
        <f ca="1">(Tabela3[[#This Row],[Custo Usinagem]]+Tabela3[[#This Row],[Custo / Pç]])*1.2</f>
        <v>14.500643033923225</v>
      </c>
      <c r="AN351" s="36">
        <f ca="1">Tabela3[[#This Row],[Valor Mínimo Venda]]*1.15</f>
        <v>16.675739489011708</v>
      </c>
      <c r="AO351" s="36">
        <f ca="1">Tabela3[[#This Row],[Tabela 1]]*1.08</f>
        <v>18.009798648132644</v>
      </c>
      <c r="AP351" s="36">
        <f ca="1">Tabela3[[#This Row],[Tabela 2]]*1.15</f>
        <v>20.711268445352541</v>
      </c>
    </row>
    <row r="352" spans="1:42">
      <c r="A352" s="9">
        <v>45825</v>
      </c>
      <c r="B352" s="6" t="s">
        <v>223</v>
      </c>
      <c r="C352" s="14">
        <v>6926</v>
      </c>
      <c r="D352" s="6" t="s">
        <v>46</v>
      </c>
      <c r="E352" s="6" t="s">
        <v>53</v>
      </c>
      <c r="F352" s="6">
        <v>39</v>
      </c>
      <c r="G352" s="15">
        <v>0.21597222222222223</v>
      </c>
      <c r="H352" s="16">
        <v>46</v>
      </c>
      <c r="I352" s="35">
        <f ca="1">IFERROR(Tabela3[[#This Row],[Custo Total]]/Tabela3[[#This Row],[Aluminio Util]],0)</f>
        <v>22.626807819311288</v>
      </c>
      <c r="J352" s="35">
        <f ca="1">Tabela3[[#This Row],[Custo Total]]/Tabela3[[#This Row],[Realizado]]</f>
        <v>2.3531880132083742</v>
      </c>
      <c r="K352" s="37">
        <f>IFERROR(Tabela3[[#This Row],[Qtde Cx Produzida]]/Tabela3[[#This Row],[Tempo]]/24,0)</f>
        <v>7.5241157556270091</v>
      </c>
      <c r="L352" s="37">
        <f>Tabela3[[#This Row],[Qtde Cx Produzida]]*Tabela3[[#This Row],[Qdt Peça Placa]]</f>
        <v>1287</v>
      </c>
      <c r="M352" s="37">
        <f>Tabela3[[#This Row],[Previsto]]-Tabela3[[#This Row],[Perda Pçs]]</f>
        <v>1241</v>
      </c>
      <c r="N352" s="38">
        <f>IFERROR(Tabela3[[#This Row],[Perda Pçs]]/Tabela3[[#This Row],[Previsto]],0)</f>
        <v>3.5742035742035744E-2</v>
      </c>
      <c r="O352" s="39">
        <f>IFERROR(IF(Tabela3[[#This Row],[Qtde Cx Produzida]] &lt;&gt; 0, Tabela3[[#This Row],[Tempo]] / Tabela3[[#This Row],[Qtde Cx Produzida]], 0),0)</f>
        <v>5.5377492877492877E-3</v>
      </c>
      <c r="P352" s="57">
        <f>IFERROR(Tabela3[[#This Row],[Perda Pçs]]/Tabela3[[#This Row],[Qdt Peça Placa]],0)</f>
        <v>1.393939393939394</v>
      </c>
      <c r="Q352" s="37">
        <f>IFERROR(Tabela3[[#This Row],[Realizado]]*Tabela3[[#This Row],[Peso Util/Pç]],0)</f>
        <v>129.06399999999999</v>
      </c>
      <c r="R352" s="37">
        <f>IFERROR(Tabela3[[#This Row],[Peso Total Galho]]*Tabela3[[#This Row],[Qtde Cx Produzida]]*1.055,0)</f>
        <v>221.36009999999999</v>
      </c>
      <c r="S352" s="37">
        <f>(Tabela3[[#This Row],[Aluminio Bruto]]-Tabela3[[#This Row],[Aluminio Util]])*0.9</f>
        <v>83.066490000000002</v>
      </c>
      <c r="T352" s="37">
        <f>Tabela3[[#This Row],[Aluminio Bruto]]/OleoKGAluminio</f>
        <v>93.125907854140493</v>
      </c>
      <c r="U352" s="35">
        <f>IFERROR((VLOOKUP(Tabela3[[#This Row],[Moldador]],Tabela1[],5,)+(VLOOKUP(Tabela3[[#This Row],[Ajudante]],Tabela1[],5,))*3.5),0)</f>
        <v>99.95034583333333</v>
      </c>
      <c r="V352" s="35">
        <f>IFERROR(Tabela3[[#This Row],[Custo M.O. / H]]/((Tabela3[[#This Row],[Realizado]]/Tabela3[[#This Row],[Qdt Peça Placa]])/Tabela3[[#This Row],[Tempo]]/24),)</f>
        <v>13.776395370500941</v>
      </c>
      <c r="W352" s="35">
        <f>Tabela3[[#This Row],[Custo / Cx Moldada]]*Tabela3[[#This Row],[Qtde Cx Produzida]]</f>
        <v>537.2794194495367</v>
      </c>
      <c r="X352" s="35">
        <f ca="1">Tabela3[[#This Row],[Aluminio Util]]*Tabela3[[#This Row],[Custo/Kg]]</f>
        <v>2138.5713968249365</v>
      </c>
      <c r="Y352" s="35">
        <f>IFERROR(VLOOKUP(Tabela3[[#This Row],[Data]],Tabela461213[],2,1)*(Tabela3[[#This Row],[Qtde Cx Produzida]]*Tabela3[[#This Row],[Qde macho / CX]]*Tabela3[[#This Row],[Peso Macho]]),)</f>
        <v>0</v>
      </c>
      <c r="Z352" s="35">
        <f>IFERROR(Tabela3[[#This Row],[Qtde Oleo]]*(VLOOKUP(Tabela3[[#This Row],[Data]],CompraOleo[],3,TRUE))*1.05,0)</f>
        <v>244.45550811711882</v>
      </c>
      <c r="AA352" s="47">
        <f ca="1">(Tabela3[[#This Row],[Custo Oleo]]+Tabela3[[#This Row],[Custo Aluminio]]+Tabela3[[#This Row],[Custo M.O. Total]]+Tabela3[[#This Row],[Custo Machos]])</f>
        <v>2920.3063243915922</v>
      </c>
      <c r="AB352" s="47">
        <f ca="1">Tabela3[[#This Row],[Custo Total]]*Tabela3[[#This Row],[% Perda]]</f>
        <v>104.37769302409731</v>
      </c>
      <c r="AC352" s="48">
        <f>IFERROR(VLOOKUP(Tabela3[[#This Row],[Produto]],Tabela2[],2,0),0)</f>
        <v>33</v>
      </c>
      <c r="AD352" s="48">
        <f>IFERROR(VLOOKUP(Tabela3[[#This Row],[Produto]],Tabela2[],3,0),0)</f>
        <v>0.104</v>
      </c>
      <c r="AE352" s="48">
        <f>IFERROR(VLOOKUP(Tabela3[[#This Row],[Produto]],Tabela2[],4,0),0)</f>
        <v>5.38</v>
      </c>
      <c r="AF352" s="48">
        <f>IFERROR(VLOOKUP(Tabela3[[#This Row],[Produto]],Tabela2[],5,0),0)</f>
        <v>1.7532000000000001</v>
      </c>
      <c r="AG352" s="40">
        <f>IFERROR(VLOOKUP(Tabela3[[#This Row],[Produto]],Tabela2[],6,0),0)</f>
        <v>0</v>
      </c>
      <c r="AH352" s="40">
        <f>IFERROR(VLOOKUP(Tabela3[[#This Row],[Produto]],Tabela2[],7,0),0)</f>
        <v>0</v>
      </c>
      <c r="AI352" s="40">
        <f>IFERROR(VLOOKUP(Tabela3[[#This Row],[Produto]],Tabela2[],8,0),0)</f>
        <v>0</v>
      </c>
      <c r="AJ352" s="35">
        <f ca="1">IFERROR(VLOOKUP(Tabela3[[#This Row],[Produto]],Tabela2[],13,0),0)</f>
        <v>16.569852141766386</v>
      </c>
      <c r="AK352" s="40" t="str">
        <f>IFERROR(VLOOKUP(Tabela3[[#This Row],[Produto]],Tabela2[],14,0),0)</f>
        <v>Marcelo</v>
      </c>
      <c r="AL352" s="40">
        <f>IFERROR(VLOOKUP(Tabela3[[#This Row],[Produto]],Tabela2[],15,0),0)</f>
        <v>0</v>
      </c>
      <c r="AM352" s="36">
        <f ca="1">(Tabela3[[#This Row],[Custo Usinagem]]+Tabela3[[#This Row],[Custo / Pç]])*1.2</f>
        <v>2.823825615850049</v>
      </c>
      <c r="AN352" s="36">
        <f ca="1">Tabela3[[#This Row],[Valor Mínimo Venda]]*1.15</f>
        <v>3.247399458227556</v>
      </c>
      <c r="AO352" s="36">
        <f ca="1">Tabela3[[#This Row],[Tabela 1]]*1.08</f>
        <v>3.5071914148857606</v>
      </c>
      <c r="AP352" s="36">
        <f ca="1">Tabela3[[#This Row],[Tabela 2]]*1.15</f>
        <v>4.033270127118624</v>
      </c>
    </row>
    <row r="353" spans="1:42">
      <c r="A353" s="9">
        <v>45825</v>
      </c>
      <c r="B353" s="6" t="s">
        <v>96</v>
      </c>
      <c r="C353" s="14">
        <v>6879</v>
      </c>
      <c r="D353" s="6" t="s">
        <v>44</v>
      </c>
      <c r="E353" s="6" t="s">
        <v>47</v>
      </c>
      <c r="F353" s="6">
        <v>25</v>
      </c>
      <c r="G353" s="15">
        <v>0.15069444444444444</v>
      </c>
      <c r="H353" s="16">
        <v>7</v>
      </c>
      <c r="I353" s="35">
        <f ca="1">IFERROR(Tabela3[[#This Row],[Custo Total]]/Tabela3[[#This Row],[Aluminio Util]],0)</f>
        <v>33.42080935454382</v>
      </c>
      <c r="J353" s="35">
        <f ca="1">Tabela3[[#This Row],[Custo Total]]/Tabela3[[#This Row],[Realizado]]</f>
        <v>29.543995469416739</v>
      </c>
      <c r="K353" s="37">
        <f>IFERROR(Tabela3[[#This Row],[Qtde Cx Produzida]]/Tabela3[[#This Row],[Tempo]]/24,0)</f>
        <v>6.9124423963133639</v>
      </c>
      <c r="L353" s="37">
        <f>Tabela3[[#This Row],[Qtde Cx Produzida]]*Tabela3[[#This Row],[Qdt Peça Placa]]</f>
        <v>75</v>
      </c>
      <c r="M353" s="37">
        <f>Tabela3[[#This Row],[Previsto]]-Tabela3[[#This Row],[Perda Pçs]]</f>
        <v>68</v>
      </c>
      <c r="N353" s="38">
        <f>IFERROR(Tabela3[[#This Row],[Perda Pçs]]/Tabela3[[#This Row],[Previsto]],0)</f>
        <v>9.3333333333333338E-2</v>
      </c>
      <c r="O353" s="39">
        <f>IFERROR(IF(Tabela3[[#This Row],[Qtde Cx Produzida]] &lt;&gt; 0, Tabela3[[#This Row],[Tempo]] / Tabela3[[#This Row],[Qtde Cx Produzida]], 0),0)</f>
        <v>6.0277777777777777E-3</v>
      </c>
      <c r="P353" s="57">
        <f>IFERROR(Tabela3[[#This Row],[Perda Pçs]]/Tabela3[[#This Row],[Qdt Peça Placa]],0)</f>
        <v>2.3333333333333335</v>
      </c>
      <c r="Q353" s="37">
        <f>IFERROR(Tabela3[[#This Row],[Realizado]]*Tabela3[[#This Row],[Peso Util/Pç]],0)</f>
        <v>60.112000000000002</v>
      </c>
      <c r="R353" s="37">
        <f>IFERROR(Tabela3[[#This Row],[Peso Total Galho]]*Tabela3[[#This Row],[Qtde Cx Produzida]]*1.055,0)</f>
        <v>123.75150000000001</v>
      </c>
      <c r="S353" s="37">
        <f>(Tabela3[[#This Row],[Aluminio Bruto]]-Tabela3[[#This Row],[Aluminio Util]])*0.9</f>
        <v>57.275550000000003</v>
      </c>
      <c r="T353" s="37">
        <f>Tabela3[[#This Row],[Aluminio Bruto]]/OleoKGAluminio</f>
        <v>52.062096040847777</v>
      </c>
      <c r="U353" s="35">
        <f>IFERROR((VLOOKUP(Tabela3[[#This Row],[Moldador]],Tabela1[],5,)+(VLOOKUP(Tabela3[[#This Row],[Ajudante]],Tabela1[],5,))*3.5),0)</f>
        <v>99.95034583333333</v>
      </c>
      <c r="V353" s="35">
        <f>IFERROR(Tabela3[[#This Row],[Custo M.O. / H]]/((Tabela3[[#This Row],[Realizado]]/Tabela3[[#This Row],[Qdt Peça Placa]])/Tabela3[[#This Row],[Tempo]]/24),)</f>
        <v>15.947959592524509</v>
      </c>
      <c r="W353" s="35">
        <f>Tabela3[[#This Row],[Custo / Cx Moldada]]*Tabela3[[#This Row],[Qtde Cx Produzida]]</f>
        <v>398.69898981311269</v>
      </c>
      <c r="X353" s="35">
        <f ca="1">Tabela3[[#This Row],[Aluminio Util]]*Tabela3[[#This Row],[Custo/Kg]]</f>
        <v>937.74720000000013</v>
      </c>
      <c r="Y353" s="35">
        <f>IFERROR(VLOOKUP(Tabela3[[#This Row],[Data]],Tabela461213[],2,1)*(Tabela3[[#This Row],[Qtde Cx Produzida]]*Tabela3[[#This Row],[Qde macho / CX]]*Tabela3[[#This Row],[Peso Macho]]),)</f>
        <v>535.88250000000005</v>
      </c>
      <c r="Z353" s="35">
        <f>IFERROR(Tabela3[[#This Row],[Qtde Oleo]]*(VLOOKUP(Tabela3[[#This Row],[Data]],CompraOleo[],3,TRUE))*1.05,0)</f>
        <v>136.66300210722542</v>
      </c>
      <c r="AA353" s="47">
        <f ca="1">(Tabela3[[#This Row],[Custo Oleo]]+Tabela3[[#This Row],[Custo Aluminio]]+Tabela3[[#This Row],[Custo M.O. Total]]+Tabela3[[#This Row],[Custo Machos]])</f>
        <v>2008.9916919203383</v>
      </c>
      <c r="AB353" s="47">
        <f ca="1">Tabela3[[#This Row],[Custo Total]]*Tabela3[[#This Row],[% Perda]]</f>
        <v>187.50589124589825</v>
      </c>
      <c r="AC353" s="48">
        <f>IFERROR(VLOOKUP(Tabela3[[#This Row],[Produto]],Tabela2[],2,0),0)</f>
        <v>3</v>
      </c>
      <c r="AD353" s="48">
        <f>IFERROR(VLOOKUP(Tabela3[[#This Row],[Produto]],Tabela2[],3,0),0)</f>
        <v>0.88400000000000001</v>
      </c>
      <c r="AE353" s="48">
        <f>IFERROR(VLOOKUP(Tabela3[[#This Row],[Produto]],Tabela2[],4,0),0)</f>
        <v>4.6920000000000002</v>
      </c>
      <c r="AF353" s="48">
        <f>IFERROR(VLOOKUP(Tabela3[[#This Row],[Produto]],Tabela2[],5,0),0)</f>
        <v>1.8360000000000001</v>
      </c>
      <c r="AG353" s="40">
        <f>IFERROR(VLOOKUP(Tabela3[[#This Row],[Produto]],Tabela2[],6,0),0)</f>
        <v>0</v>
      </c>
      <c r="AH353" s="40">
        <f>IFERROR(VLOOKUP(Tabela3[[#This Row],[Produto]],Tabela2[],7,0),0)</f>
        <v>9</v>
      </c>
      <c r="AI353" s="40">
        <f>IFERROR(VLOOKUP(Tabela3[[#This Row],[Produto]],Tabela2[],8,0),0)</f>
        <v>1.401</v>
      </c>
      <c r="AJ353" s="35">
        <f ca="1">IFERROR(VLOOKUP(Tabela3[[#This Row],[Produto]],Tabela2[],13,0),0)</f>
        <v>15.600000000000001</v>
      </c>
      <c r="AK353" s="40" t="str">
        <f>IFERROR(VLOOKUP(Tabela3[[#This Row],[Produto]],Tabela2[],14,0),0)</f>
        <v>Jumil</v>
      </c>
      <c r="AL353" s="40">
        <f>IFERROR(VLOOKUP(Tabela3[[#This Row],[Produto]],Tabela2[],15,0),0)</f>
        <v>10</v>
      </c>
      <c r="AM353" s="36">
        <f ca="1">(Tabela3[[#This Row],[Custo Usinagem]]+Tabela3[[#This Row],[Custo / Pç]])*1.2</f>
        <v>47.452794563300088</v>
      </c>
      <c r="AN353" s="36">
        <f ca="1">Tabela3[[#This Row],[Valor Mínimo Venda]]*1.15</f>
        <v>54.570713747795097</v>
      </c>
      <c r="AO353" s="36">
        <f ca="1">Tabela3[[#This Row],[Tabela 1]]*1.08</f>
        <v>58.936370847618711</v>
      </c>
      <c r="AP353" s="36">
        <f ca="1">Tabela3[[#This Row],[Tabela 2]]*1.15</f>
        <v>67.776826474761506</v>
      </c>
    </row>
    <row r="354" spans="1:42">
      <c r="A354" s="9">
        <v>45825</v>
      </c>
      <c r="B354" s="6" t="s">
        <v>203</v>
      </c>
      <c r="C354" s="14">
        <v>6943</v>
      </c>
      <c r="D354" s="6" t="s">
        <v>44</v>
      </c>
      <c r="E354" s="6" t="s">
        <v>47</v>
      </c>
      <c r="F354" s="6">
        <v>4</v>
      </c>
      <c r="G354" s="15">
        <v>9.583333333333334E-2</v>
      </c>
      <c r="H354" s="16">
        <v>0</v>
      </c>
      <c r="I354" s="35">
        <f ca="1">IFERROR(Tabela3[[#This Row],[Custo Total]]/Tabela3[[#This Row],[Aluminio Util]],0)</f>
        <v>22.339124173612298</v>
      </c>
      <c r="J354" s="35">
        <f ca="1">Tabela3[[#This Row],[Custo Total]]/Tabela3[[#This Row],[Realizado]]</f>
        <v>372.61659121585313</v>
      </c>
      <c r="K354" s="37">
        <f>IFERROR(Tabela3[[#This Row],[Qtde Cx Produzida]]/Tabela3[[#This Row],[Tempo]]/24,0)</f>
        <v>1.7391304347826086</v>
      </c>
      <c r="L354" s="37">
        <f>Tabela3[[#This Row],[Qtde Cx Produzida]]*Tabela3[[#This Row],[Qdt Peça Placa]]</f>
        <v>4</v>
      </c>
      <c r="M354" s="37">
        <f>Tabela3[[#This Row],[Previsto]]-Tabela3[[#This Row],[Perda Pçs]]</f>
        <v>4</v>
      </c>
      <c r="N354" s="38">
        <f>IFERROR(Tabela3[[#This Row],[Perda Pçs]]/Tabela3[[#This Row],[Previsto]],0)</f>
        <v>0</v>
      </c>
      <c r="O354" s="39">
        <f>IFERROR(IF(Tabela3[[#This Row],[Qtde Cx Produzida]] &lt;&gt; 0, Tabela3[[#This Row],[Tempo]] / Tabela3[[#This Row],[Qtde Cx Produzida]], 0),0)</f>
        <v>2.3958333333333335E-2</v>
      </c>
      <c r="P354" s="57">
        <f>IFERROR(Tabela3[[#This Row],[Perda Pçs]]/Tabela3[[#This Row],[Qdt Peça Placa]],0)</f>
        <v>0</v>
      </c>
      <c r="Q354" s="37">
        <f>IFERROR(Tabela3[[#This Row],[Realizado]]*Tabela3[[#This Row],[Peso Util/Pç]],0)</f>
        <v>66.72</v>
      </c>
      <c r="R354" s="37">
        <f>IFERROR(Tabela3[[#This Row],[Peso Total Galho]]*Tabela3[[#This Row],[Qtde Cx Produzida]]*1.055,0)</f>
        <v>78.154399999999995</v>
      </c>
      <c r="S354" s="37">
        <f>(Tabela3[[#This Row],[Aluminio Bruto]]-Tabela3[[#This Row],[Aluminio Util]])*0.9</f>
        <v>10.290959999999997</v>
      </c>
      <c r="T354" s="37">
        <f>Tabela3[[#This Row],[Aluminio Bruto]]/OleoKGAluminio</f>
        <v>32.879455027331652</v>
      </c>
      <c r="U354" s="35">
        <f>IFERROR((VLOOKUP(Tabela3[[#This Row],[Moldador]],Tabela1[],5,)+(VLOOKUP(Tabela3[[#This Row],[Ajudante]],Tabela1[],5,))*3.5),0)</f>
        <v>99.95034583333333</v>
      </c>
      <c r="V354" s="35">
        <f>IFERROR(Tabela3[[#This Row],[Custo M.O. / H]]/((Tabela3[[#This Row],[Realizado]]/Tabela3[[#This Row],[Qdt Peça Placa]])/Tabela3[[#This Row],[Tempo]]/24),)</f>
        <v>57.471448854166667</v>
      </c>
      <c r="W354" s="35">
        <f>Tabela3[[#This Row],[Custo / Cx Moldada]]*Tabela3[[#This Row],[Qtde Cx Produzida]]</f>
        <v>229.88579541666667</v>
      </c>
      <c r="X354" s="35">
        <f ca="1">Tabela3[[#This Row],[Aluminio Util]]*Tabela3[[#This Row],[Custo/Kg]]</f>
        <v>1174.2720000000002</v>
      </c>
      <c r="Y354" s="35">
        <f>IFERROR(VLOOKUP(Tabela3[[#This Row],[Data]],Tabela461213[],2,1)*(Tabela3[[#This Row],[Qtde Cx Produzida]]*Tabela3[[#This Row],[Qde macho / CX]]*Tabela3[[#This Row],[Peso Macho]]),)</f>
        <v>0</v>
      </c>
      <c r="Z354" s="35">
        <f>IFERROR(Tabela3[[#This Row],[Qtde Oleo]]*(VLOOKUP(Tabela3[[#This Row],[Data]],CompraOleo[],3,TRUE))*1.05,0)</f>
        <v>86.308569446745594</v>
      </c>
      <c r="AA354" s="47">
        <f ca="1">(Tabela3[[#This Row],[Custo Oleo]]+Tabela3[[#This Row],[Custo Aluminio]]+Tabela3[[#This Row],[Custo M.O. Total]]+Tabela3[[#This Row],[Custo Machos]])</f>
        <v>1490.4663648634125</v>
      </c>
      <c r="AB354" s="47">
        <f ca="1">Tabela3[[#This Row],[Custo Total]]*Tabela3[[#This Row],[% Perda]]</f>
        <v>0</v>
      </c>
      <c r="AC354" s="48">
        <f>IFERROR(VLOOKUP(Tabela3[[#This Row],[Produto]],Tabela2[],2,0),0)</f>
        <v>1</v>
      </c>
      <c r="AD354" s="48">
        <f>IFERROR(VLOOKUP(Tabela3[[#This Row],[Produto]],Tabela2[],3,0),0)</f>
        <v>16.68</v>
      </c>
      <c r="AE354" s="48">
        <f>IFERROR(VLOOKUP(Tabela3[[#This Row],[Produto]],Tabela2[],4,0),0)</f>
        <v>18.52</v>
      </c>
      <c r="AF354" s="48">
        <f>IFERROR(VLOOKUP(Tabela3[[#This Row],[Produto]],Tabela2[],5,0),0)</f>
        <v>1.6559999999999999</v>
      </c>
      <c r="AG354" s="40">
        <f>IFERROR(VLOOKUP(Tabela3[[#This Row],[Produto]],Tabela2[],6,0),0)</f>
        <v>0</v>
      </c>
      <c r="AH354" s="40">
        <f>IFERROR(VLOOKUP(Tabela3[[#This Row],[Produto]],Tabela2[],7,0),0)</f>
        <v>0</v>
      </c>
      <c r="AI354" s="40">
        <f>IFERROR(VLOOKUP(Tabela3[[#This Row],[Produto]],Tabela2[],8,0),0)</f>
        <v>0</v>
      </c>
      <c r="AJ354" s="35">
        <f ca="1">IFERROR(VLOOKUP(Tabela3[[#This Row],[Produto]],Tabela2[],13,0),0)</f>
        <v>17.600000000000001</v>
      </c>
      <c r="AK354" s="40" t="str">
        <f>IFERROR(VLOOKUP(Tabela3[[#This Row],[Produto]],Tabela2[],14,0),0)</f>
        <v>Oscar</v>
      </c>
      <c r="AL354" s="40">
        <f>IFERROR(VLOOKUP(Tabela3[[#This Row],[Produto]],Tabela2[],15,0),0)</f>
        <v>0</v>
      </c>
      <c r="AM354" s="36">
        <f ca="1">(Tabela3[[#This Row],[Custo Usinagem]]+Tabela3[[#This Row],[Custo / Pç]])*1.2</f>
        <v>447.13990945902373</v>
      </c>
      <c r="AN354" s="36">
        <f ca="1">Tabela3[[#This Row],[Valor Mínimo Venda]]*1.15</f>
        <v>514.21089587787719</v>
      </c>
      <c r="AO354" s="36">
        <f ca="1">Tabela3[[#This Row],[Tabela 1]]*1.08</f>
        <v>555.34776754810741</v>
      </c>
      <c r="AP354" s="36">
        <f ca="1">Tabela3[[#This Row],[Tabela 2]]*1.15</f>
        <v>638.64993268032345</v>
      </c>
    </row>
    <row r="355" spans="1:42">
      <c r="A355" s="9">
        <v>45826</v>
      </c>
      <c r="B355" s="6" t="s">
        <v>203</v>
      </c>
      <c r="C355" s="14">
        <v>6943</v>
      </c>
      <c r="D355" s="6" t="s">
        <v>44</v>
      </c>
      <c r="E355" s="6" t="s">
        <v>47</v>
      </c>
      <c r="F355" s="6">
        <v>1</v>
      </c>
      <c r="G355" s="15">
        <v>6.805555555555555E-2</v>
      </c>
      <c r="H355" s="16">
        <v>0</v>
      </c>
      <c r="I355" s="35">
        <f ca="1">IFERROR(Tabela3[[#This Row],[Custo Total]]/Tabela3[[#This Row],[Aluminio Util]],0)</f>
        <v>28.680897715195698</v>
      </c>
      <c r="J355" s="35">
        <f ca="1">Tabela3[[#This Row],[Custo Total]]/Tabela3[[#This Row],[Realizado]]</f>
        <v>478.39737388946423</v>
      </c>
      <c r="K355" s="37">
        <f>IFERROR(Tabela3[[#This Row],[Qtde Cx Produzida]]/Tabela3[[#This Row],[Tempo]]/24,0)</f>
        <v>0.6122448979591838</v>
      </c>
      <c r="L355" s="37">
        <f>Tabela3[[#This Row],[Qtde Cx Produzida]]*Tabela3[[#This Row],[Qdt Peça Placa]]</f>
        <v>1</v>
      </c>
      <c r="M355" s="37">
        <f>Tabela3[[#This Row],[Previsto]]-Tabela3[[#This Row],[Perda Pçs]]</f>
        <v>1</v>
      </c>
      <c r="N355" s="38">
        <f>IFERROR(Tabela3[[#This Row],[Perda Pçs]]/Tabela3[[#This Row],[Previsto]],0)</f>
        <v>0</v>
      </c>
      <c r="O355" s="39">
        <f>IFERROR(IF(Tabela3[[#This Row],[Qtde Cx Produzida]] &lt;&gt; 0, Tabela3[[#This Row],[Tempo]] / Tabela3[[#This Row],[Qtde Cx Produzida]], 0),0)</f>
        <v>6.805555555555555E-2</v>
      </c>
      <c r="P355" s="57">
        <f>IFERROR(Tabela3[[#This Row],[Perda Pçs]]/Tabela3[[#This Row],[Qdt Peça Placa]],0)</f>
        <v>0</v>
      </c>
      <c r="Q355" s="37">
        <f>IFERROR(Tabela3[[#This Row],[Realizado]]*Tabela3[[#This Row],[Peso Util/Pç]],0)</f>
        <v>16.68</v>
      </c>
      <c r="R355" s="37">
        <f>IFERROR(Tabela3[[#This Row],[Peso Total Galho]]*Tabela3[[#This Row],[Qtde Cx Produzida]]*1.055,0)</f>
        <v>19.538599999999999</v>
      </c>
      <c r="S355" s="37">
        <f>(Tabela3[[#This Row],[Aluminio Bruto]]-Tabela3[[#This Row],[Aluminio Util]])*0.9</f>
        <v>2.5727399999999991</v>
      </c>
      <c r="T355" s="37">
        <f>Tabela3[[#This Row],[Aluminio Bruto]]/OleoKGAluminio</f>
        <v>8.2198637568329129</v>
      </c>
      <c r="U355" s="35">
        <f>IFERROR((VLOOKUP(Tabela3[[#This Row],[Moldador]],Tabela1[],5,)+(VLOOKUP(Tabela3[[#This Row],[Ajudante]],Tabela1[],5,))*3.5),0)</f>
        <v>99.95034583333333</v>
      </c>
      <c r="V355" s="35">
        <f>IFERROR(Tabela3[[#This Row],[Custo M.O. / H]]/((Tabela3[[#This Row],[Realizado]]/Tabela3[[#This Row],[Qdt Peça Placa]])/Tabela3[[#This Row],[Tempo]]/24),)</f>
        <v>163.25223152777775</v>
      </c>
      <c r="W355" s="35">
        <f>Tabela3[[#This Row],[Custo / Cx Moldada]]*Tabela3[[#This Row],[Qtde Cx Produzida]]</f>
        <v>163.25223152777775</v>
      </c>
      <c r="X355" s="35">
        <f ca="1">Tabela3[[#This Row],[Aluminio Util]]*Tabela3[[#This Row],[Custo/Kg]]</f>
        <v>293.56800000000004</v>
      </c>
      <c r="Y355" s="35">
        <f>IFERROR(VLOOKUP(Tabela3[[#This Row],[Data]],Tabela461213[],2,1)*(Tabela3[[#This Row],[Qtde Cx Produzida]]*Tabela3[[#This Row],[Qde macho / CX]]*Tabela3[[#This Row],[Peso Macho]]),)</f>
        <v>0</v>
      </c>
      <c r="Z355" s="35">
        <f>IFERROR(Tabela3[[#This Row],[Qtde Oleo]]*(VLOOKUP(Tabela3[[#This Row],[Data]],CompraOleo[],3,TRUE))*1.05,0)</f>
        <v>21.577142361686398</v>
      </c>
      <c r="AA355" s="47">
        <f ca="1">(Tabela3[[#This Row],[Custo Oleo]]+Tabela3[[#This Row],[Custo Aluminio]]+Tabela3[[#This Row],[Custo M.O. Total]]+Tabela3[[#This Row],[Custo Machos]])</f>
        <v>478.39737388946423</v>
      </c>
      <c r="AB355" s="47">
        <f ca="1">Tabela3[[#This Row],[Custo Total]]*Tabela3[[#This Row],[% Perda]]</f>
        <v>0</v>
      </c>
      <c r="AC355" s="48">
        <f>IFERROR(VLOOKUP(Tabela3[[#This Row],[Produto]],Tabela2[],2,0),0)</f>
        <v>1</v>
      </c>
      <c r="AD355" s="48">
        <f>IFERROR(VLOOKUP(Tabela3[[#This Row],[Produto]],Tabela2[],3,0),0)</f>
        <v>16.68</v>
      </c>
      <c r="AE355" s="48">
        <f>IFERROR(VLOOKUP(Tabela3[[#This Row],[Produto]],Tabela2[],4,0),0)</f>
        <v>18.52</v>
      </c>
      <c r="AF355" s="48">
        <f>IFERROR(VLOOKUP(Tabela3[[#This Row],[Produto]],Tabela2[],5,0),0)</f>
        <v>1.6559999999999999</v>
      </c>
      <c r="AG355" s="40">
        <f>IFERROR(VLOOKUP(Tabela3[[#This Row],[Produto]],Tabela2[],6,0),0)</f>
        <v>0</v>
      </c>
      <c r="AH355" s="40">
        <f>IFERROR(VLOOKUP(Tabela3[[#This Row],[Produto]],Tabela2[],7,0),0)</f>
        <v>0</v>
      </c>
      <c r="AI355" s="40">
        <f>IFERROR(VLOOKUP(Tabela3[[#This Row],[Produto]],Tabela2[],8,0),0)</f>
        <v>0</v>
      </c>
      <c r="AJ355" s="35">
        <f ca="1">IFERROR(VLOOKUP(Tabela3[[#This Row],[Produto]],Tabela2[],13,0),0)</f>
        <v>17.600000000000001</v>
      </c>
      <c r="AK355" s="40" t="str">
        <f>IFERROR(VLOOKUP(Tabela3[[#This Row],[Produto]],Tabela2[],14,0),0)</f>
        <v>Oscar</v>
      </c>
      <c r="AL355" s="40">
        <f>IFERROR(VLOOKUP(Tabela3[[#This Row],[Produto]],Tabela2[],15,0),0)</f>
        <v>0</v>
      </c>
      <c r="AM355" s="36">
        <f ca="1">(Tabela3[[#This Row],[Custo Usinagem]]+Tabela3[[#This Row],[Custo / Pç]])*1.2</f>
        <v>574.07684866735701</v>
      </c>
      <c r="AN355" s="36">
        <f ca="1">Tabela3[[#This Row],[Valor Mínimo Venda]]*1.15</f>
        <v>660.1883759674605</v>
      </c>
      <c r="AO355" s="36">
        <f ca="1">Tabela3[[#This Row],[Tabela 1]]*1.08</f>
        <v>713.00344604485736</v>
      </c>
      <c r="AP355" s="36">
        <f ca="1">Tabela3[[#This Row],[Tabela 2]]*1.15</f>
        <v>819.95396295158594</v>
      </c>
    </row>
    <row r="356" spans="1:42">
      <c r="A356" s="9">
        <v>45826</v>
      </c>
      <c r="B356" s="6" t="s">
        <v>135</v>
      </c>
      <c r="C356" s="14">
        <v>6916</v>
      </c>
      <c r="D356" s="6" t="s">
        <v>44</v>
      </c>
      <c r="E356" s="6" t="s">
        <v>47</v>
      </c>
      <c r="F356" s="6">
        <v>12</v>
      </c>
      <c r="G356" s="15">
        <v>5.6944444444444443E-2</v>
      </c>
      <c r="H356" s="16">
        <v>2</v>
      </c>
      <c r="I356" s="35">
        <f ca="1">IFERROR(Tabela3[[#This Row],[Custo Total]]/Tabela3[[#This Row],[Aluminio Util]],0)</f>
        <v>30.395564383081378</v>
      </c>
      <c r="J356" s="35">
        <f ca="1">Tabela3[[#This Row],[Custo Total]]/Tabela3[[#This Row],[Realizado]]</f>
        <v>53.800148958054038</v>
      </c>
      <c r="K356" s="37">
        <f>IFERROR(Tabela3[[#This Row],[Qtde Cx Produzida]]/Tabela3[[#This Row],[Tempo]]/24,0)</f>
        <v>8.7804878048780495</v>
      </c>
      <c r="L356" s="37">
        <f>Tabela3[[#This Row],[Qtde Cx Produzida]]*Tabela3[[#This Row],[Qdt Peça Placa]]</f>
        <v>12</v>
      </c>
      <c r="M356" s="37">
        <f>Tabela3[[#This Row],[Previsto]]-Tabela3[[#This Row],[Perda Pçs]]</f>
        <v>10</v>
      </c>
      <c r="N356" s="38">
        <f>IFERROR(Tabela3[[#This Row],[Perda Pçs]]/Tabela3[[#This Row],[Previsto]],0)</f>
        <v>0.16666666666666666</v>
      </c>
      <c r="O356" s="39">
        <f>IFERROR(IF(Tabela3[[#This Row],[Qtde Cx Produzida]] &lt;&gt; 0, Tabela3[[#This Row],[Tempo]] / Tabela3[[#This Row],[Qtde Cx Produzida]], 0),0)</f>
        <v>4.7453703703703703E-3</v>
      </c>
      <c r="P356" s="57">
        <f>IFERROR(Tabela3[[#This Row],[Perda Pçs]]/Tabela3[[#This Row],[Qdt Peça Placa]],0)</f>
        <v>2</v>
      </c>
      <c r="Q356" s="37">
        <f>IFERROR(Tabela3[[#This Row],[Realizado]]*Tabela3[[#This Row],[Peso Util/Pç]],0)</f>
        <v>17.7</v>
      </c>
      <c r="R356" s="37">
        <f>IFERROR(Tabela3[[#This Row],[Peso Total Galho]]*Tabela3[[#This Row],[Qtde Cx Produzida]]*1.055,0)</f>
        <v>39.625799999999998</v>
      </c>
      <c r="S356" s="37">
        <f>(Tabela3[[#This Row],[Aluminio Bruto]]-Tabela3[[#This Row],[Aluminio Util]])*0.9</f>
        <v>19.733219999999999</v>
      </c>
      <c r="T356" s="37">
        <f>Tabela3[[#This Row],[Aluminio Bruto]]/OleoKGAluminio</f>
        <v>16.670522824332842</v>
      </c>
      <c r="U356" s="35">
        <f>IFERROR((VLOOKUP(Tabela3[[#This Row],[Moldador]],Tabela1[],5,)+(VLOOKUP(Tabela3[[#This Row],[Ajudante]],Tabela1[],5,))*3.5),0)</f>
        <v>99.95034583333333</v>
      </c>
      <c r="V356" s="35">
        <f>IFERROR(Tabela3[[#This Row],[Custo M.O. / H]]/((Tabela3[[#This Row],[Realizado]]/Tabela3[[#This Row],[Qdt Peça Placa]])/Tabela3[[#This Row],[Tempo]]/24),)</f>
        <v>13.659880597222221</v>
      </c>
      <c r="W356" s="35">
        <f>Tabela3[[#This Row],[Custo / Cx Moldada]]*Tabela3[[#This Row],[Qtde Cx Produzida]]</f>
        <v>163.91856716666666</v>
      </c>
      <c r="X356" s="35">
        <f ca="1">Tabela3[[#This Row],[Aluminio Util]]*Tabela3[[#This Row],[Custo/Kg]]</f>
        <v>276.12</v>
      </c>
      <c r="Y356" s="35">
        <f>IFERROR(VLOOKUP(Tabela3[[#This Row],[Data]],Tabela461213[],2,1)*(Tabela3[[#This Row],[Qtde Cx Produzida]]*Tabela3[[#This Row],[Qde macho / CX]]*Tabela3[[#This Row],[Peso Macho]]),)</f>
        <v>54.202799999999996</v>
      </c>
      <c r="Z356" s="35">
        <f>IFERROR(Tabela3[[#This Row],[Qtde Oleo]]*(VLOOKUP(Tabela3[[#This Row],[Data]],CompraOleo[],3,TRUE))*1.05,0)</f>
        <v>43.760122413873709</v>
      </c>
      <c r="AA356" s="47">
        <f ca="1">(Tabela3[[#This Row],[Custo Oleo]]+Tabela3[[#This Row],[Custo Aluminio]]+Tabela3[[#This Row],[Custo M.O. Total]]+Tabela3[[#This Row],[Custo Machos]])</f>
        <v>538.00148958054035</v>
      </c>
      <c r="AB356" s="47">
        <f ca="1">Tabela3[[#This Row],[Custo Total]]*Tabela3[[#This Row],[% Perda]]</f>
        <v>89.666914930090059</v>
      </c>
      <c r="AC356" s="48">
        <f>IFERROR(VLOOKUP(Tabela3[[#This Row],[Produto]],Tabela2[],2,0),0)</f>
        <v>1</v>
      </c>
      <c r="AD356" s="48">
        <f>IFERROR(VLOOKUP(Tabela3[[#This Row],[Produto]],Tabela2[],3,0),0)</f>
        <v>1.77</v>
      </c>
      <c r="AE356" s="48">
        <f>IFERROR(VLOOKUP(Tabela3[[#This Row],[Produto]],Tabela2[],4,0),0)</f>
        <v>3.13</v>
      </c>
      <c r="AF356" s="48">
        <f>IFERROR(VLOOKUP(Tabela3[[#This Row],[Produto]],Tabela2[],5,0),0)</f>
        <v>1.224</v>
      </c>
      <c r="AG356" s="40">
        <f>IFERROR(VLOOKUP(Tabela3[[#This Row],[Produto]],Tabela2[],6,0),0)</f>
        <v>0</v>
      </c>
      <c r="AH356" s="40">
        <f>IFERROR(VLOOKUP(Tabela3[[#This Row],[Produto]],Tabela2[],7,0),0)</f>
        <v>1</v>
      </c>
      <c r="AI356" s="40">
        <f>IFERROR(VLOOKUP(Tabela3[[#This Row],[Produto]],Tabela2[],8,0),0)</f>
        <v>2.657</v>
      </c>
      <c r="AJ356" s="35">
        <f ca="1">IFERROR(VLOOKUP(Tabela3[[#This Row],[Produto]],Tabela2[],13,0),0)</f>
        <v>15.600000000000001</v>
      </c>
      <c r="AK356" s="40" t="str">
        <f>IFERROR(VLOOKUP(Tabela3[[#This Row],[Produto]],Tabela2[],14,0),0)</f>
        <v>Jumil</v>
      </c>
      <c r="AL356" s="40">
        <f>IFERROR(VLOOKUP(Tabela3[[#This Row],[Produto]],Tabela2[],15,0),0)</f>
        <v>10</v>
      </c>
      <c r="AM356" s="36">
        <f ca="1">(Tabela3[[#This Row],[Custo Usinagem]]+Tabela3[[#This Row],[Custo / Pç]])*1.2</f>
        <v>76.560178749664843</v>
      </c>
      <c r="AN356" s="36">
        <f ca="1">Tabela3[[#This Row],[Valor Mínimo Venda]]*1.15</f>
        <v>88.044205562114556</v>
      </c>
      <c r="AO356" s="36">
        <f ca="1">Tabela3[[#This Row],[Tabela 1]]*1.08</f>
        <v>95.087742007083733</v>
      </c>
      <c r="AP356" s="36">
        <f ca="1">Tabela3[[#This Row],[Tabela 2]]*1.15</f>
        <v>109.35090330814629</v>
      </c>
    </row>
    <row r="357" spans="1:42">
      <c r="A357" s="9">
        <v>45826</v>
      </c>
      <c r="B357" s="6" t="s">
        <v>245</v>
      </c>
      <c r="C357" s="14">
        <v>6895</v>
      </c>
      <c r="D357" s="6" t="s">
        <v>44</v>
      </c>
      <c r="E357" s="6" t="s">
        <v>47</v>
      </c>
      <c r="F357" s="6">
        <v>35</v>
      </c>
      <c r="G357" s="15">
        <v>0.16875000000000001</v>
      </c>
      <c r="H357" s="16">
        <v>0</v>
      </c>
      <c r="I357" s="35">
        <f ca="1">IFERROR(Tabela3[[#This Row],[Custo Total]]/Tabela3[[#This Row],[Aluminio Util]],0)</f>
        <v>26.326919866705428</v>
      </c>
      <c r="J357" s="35">
        <f ca="1">Tabela3[[#This Row],[Custo Total]]/Tabela3[[#This Row],[Realizado]]</f>
        <v>8.7405373957462018</v>
      </c>
      <c r="K357" s="37">
        <f>IFERROR(Tabela3[[#This Row],[Qtde Cx Produzida]]/Tabela3[[#This Row],[Tempo]]/24,0)</f>
        <v>8.6419753086419746</v>
      </c>
      <c r="L357" s="37">
        <f>Tabela3[[#This Row],[Qtde Cx Produzida]]*Tabela3[[#This Row],[Qdt Peça Placa]]</f>
        <v>140</v>
      </c>
      <c r="M357" s="37">
        <f>Tabela3[[#This Row],[Previsto]]-Tabela3[[#This Row],[Perda Pçs]]</f>
        <v>140</v>
      </c>
      <c r="N357" s="38">
        <f>IFERROR(Tabela3[[#This Row],[Perda Pçs]]/Tabela3[[#This Row],[Previsto]],0)</f>
        <v>0</v>
      </c>
      <c r="O357" s="39">
        <f>IFERROR(IF(Tabela3[[#This Row],[Qtde Cx Produzida]] &lt;&gt; 0, Tabela3[[#This Row],[Tempo]] / Tabela3[[#This Row],[Qtde Cx Produzida]], 0),0)</f>
        <v>4.821428571428572E-3</v>
      </c>
      <c r="P357" s="57">
        <f>IFERROR(Tabela3[[#This Row],[Perda Pçs]]/Tabela3[[#This Row],[Qdt Peça Placa]],0)</f>
        <v>0</v>
      </c>
      <c r="Q357" s="37">
        <f>IFERROR(Tabela3[[#This Row],[Realizado]]*Tabela3[[#This Row],[Peso Util/Pç]],0)</f>
        <v>46.480000000000004</v>
      </c>
      <c r="R357" s="37">
        <f>IFERROR(Tabela3[[#This Row],[Peso Total Galho]]*Tabela3[[#This Row],[Qtde Cx Produzida]]*1.055,0)</f>
        <v>84.927499999999995</v>
      </c>
      <c r="S357" s="37">
        <f>(Tabela3[[#This Row],[Aluminio Bruto]]-Tabela3[[#This Row],[Aluminio Util]])*0.9</f>
        <v>34.602749999999993</v>
      </c>
      <c r="T357" s="37">
        <f>Tabela3[[#This Row],[Aluminio Bruto]]/OleoKGAluminio</f>
        <v>35.728889439797491</v>
      </c>
      <c r="U357" s="35">
        <f>IFERROR((VLOOKUP(Tabela3[[#This Row],[Moldador]],Tabela1[],5,)+(VLOOKUP(Tabela3[[#This Row],[Ajudante]],Tabela1[],5,))*3.5),0)</f>
        <v>99.95034583333333</v>
      </c>
      <c r="V357" s="35">
        <f>IFERROR(Tabela3[[#This Row],[Custo M.O. / H]]/((Tabela3[[#This Row],[Realizado]]/Tabela3[[#This Row],[Qdt Peça Placa]])/Tabela3[[#This Row],[Tempo]]/24),)</f>
        <v>11.565682875</v>
      </c>
      <c r="W357" s="35">
        <f>Tabela3[[#This Row],[Custo / Cx Moldada]]*Tabela3[[#This Row],[Qtde Cx Produzida]]</f>
        <v>404.79890062499999</v>
      </c>
      <c r="X357" s="35">
        <f ca="1">Tabela3[[#This Row],[Aluminio Util]]*Tabela3[[#This Row],[Custo/Kg]]</f>
        <v>725.08800000000008</v>
      </c>
      <c r="Y357" s="35">
        <f>IFERROR(VLOOKUP(Tabela3[[#This Row],[Data]],Tabela461213[],2,1)*(Tabela3[[#This Row],[Qtde Cx Produzida]]*Tabela3[[#This Row],[Qde macho / CX]]*Tabela3[[#This Row],[Peso Macho]]),)</f>
        <v>0</v>
      </c>
      <c r="Z357" s="35">
        <f>IFERROR(Tabela3[[#This Row],[Qtde Oleo]]*(VLOOKUP(Tabela3[[#This Row],[Data]],CompraOleo[],3,TRUE))*1.05,0)</f>
        <v>93.788334779468414</v>
      </c>
      <c r="AA357" s="47">
        <f ca="1">(Tabela3[[#This Row],[Custo Oleo]]+Tabela3[[#This Row],[Custo Aluminio]]+Tabela3[[#This Row],[Custo M.O. Total]]+Tabela3[[#This Row],[Custo Machos]])</f>
        <v>1223.6752354044684</v>
      </c>
      <c r="AB357" s="47">
        <f ca="1">Tabela3[[#This Row],[Custo Total]]*Tabela3[[#This Row],[% Perda]]</f>
        <v>0</v>
      </c>
      <c r="AC357" s="48">
        <f>IFERROR(VLOOKUP(Tabela3[[#This Row],[Produto]],Tabela2[],2,0),0)</f>
        <v>4</v>
      </c>
      <c r="AD357" s="48">
        <f>IFERROR(VLOOKUP(Tabela3[[#This Row],[Produto]],Tabela2[],3,0),0)</f>
        <v>0.33200000000000002</v>
      </c>
      <c r="AE357" s="48">
        <f>IFERROR(VLOOKUP(Tabela3[[#This Row],[Produto]],Tabela2[],4,0),0)</f>
        <v>2.2999999999999998</v>
      </c>
      <c r="AF357" s="48">
        <f>IFERROR(VLOOKUP(Tabela3[[#This Row],[Produto]],Tabela2[],5,0),0)</f>
        <v>0.8747999999999998</v>
      </c>
      <c r="AG357" s="40">
        <f>IFERROR(VLOOKUP(Tabela3[[#This Row],[Produto]],Tabela2[],6,0),0)</f>
        <v>0</v>
      </c>
      <c r="AH357" s="40">
        <f>IFERROR(VLOOKUP(Tabela3[[#This Row],[Produto]],Tabela2[],7,0),0)</f>
        <v>0</v>
      </c>
      <c r="AI357" s="40">
        <f>IFERROR(VLOOKUP(Tabela3[[#This Row],[Produto]],Tabela2[],8,0),0)</f>
        <v>0</v>
      </c>
      <c r="AJ357" s="35">
        <f ca="1">IFERROR(VLOOKUP(Tabela3[[#This Row],[Produto]],Tabela2[],13,0),0)</f>
        <v>15.600000000000001</v>
      </c>
      <c r="AK357" s="40" t="str">
        <f>IFERROR(VLOOKUP(Tabela3[[#This Row],[Produto]],Tabela2[],14,0),0)</f>
        <v>Senun</v>
      </c>
      <c r="AL357" s="40">
        <f>IFERROR(VLOOKUP(Tabela3[[#This Row],[Produto]],Tabela2[],15,0),0)</f>
        <v>3.5</v>
      </c>
      <c r="AM357" s="36">
        <f ca="1">(Tabela3[[#This Row],[Custo Usinagem]]+Tabela3[[#This Row],[Custo / Pç]])*1.2</f>
        <v>14.688644874895441</v>
      </c>
      <c r="AN357" s="36">
        <f ca="1">Tabela3[[#This Row],[Valor Mínimo Venda]]*1.15</f>
        <v>16.891941606129755</v>
      </c>
      <c r="AO357" s="36">
        <f ca="1">Tabela3[[#This Row],[Tabela 1]]*1.08</f>
        <v>18.243296934620137</v>
      </c>
      <c r="AP357" s="36">
        <f ca="1">Tabela3[[#This Row],[Tabela 2]]*1.15</f>
        <v>20.979791474813155</v>
      </c>
    </row>
    <row r="358" spans="1:42">
      <c r="A358" s="9">
        <v>45826</v>
      </c>
      <c r="B358" s="6" t="s">
        <v>75</v>
      </c>
      <c r="C358" s="14">
        <v>6944</v>
      </c>
      <c r="D358" s="6" t="s">
        <v>44</v>
      </c>
      <c r="E358" s="6" t="s">
        <v>47</v>
      </c>
      <c r="F358" s="6">
        <v>10</v>
      </c>
      <c r="G358" s="15">
        <v>4.0972222222222222E-2</v>
      </c>
      <c r="H358" s="16">
        <v>0</v>
      </c>
      <c r="I358" s="35">
        <f ca="1">IFERROR(Tabela3[[#This Row],[Custo Total]]/Tabela3[[#This Row],[Aluminio Util]],0)</f>
        <v>0</v>
      </c>
      <c r="J358" s="35">
        <f ca="1">Tabela3[[#This Row],[Custo Total]]/Tabela3[[#This Row],[Realizado]]</f>
        <v>4.914225336805556</v>
      </c>
      <c r="K358" s="37">
        <f>IFERROR(Tabela3[[#This Row],[Qtde Cx Produzida]]/Tabela3[[#This Row],[Tempo]]/24,0)</f>
        <v>10.169491525423728</v>
      </c>
      <c r="L358" s="37">
        <f>Tabela3[[#This Row],[Qtde Cx Produzida]]*Tabela3[[#This Row],[Qdt Peça Placa]]</f>
        <v>20</v>
      </c>
      <c r="M358" s="37">
        <f>Tabela3[[#This Row],[Previsto]]-Tabela3[[#This Row],[Perda Pçs]]</f>
        <v>20</v>
      </c>
      <c r="N358" s="38">
        <f>IFERROR(Tabela3[[#This Row],[Perda Pçs]]/Tabela3[[#This Row],[Previsto]],0)</f>
        <v>0</v>
      </c>
      <c r="O358" s="39">
        <f>IFERROR(IF(Tabela3[[#This Row],[Qtde Cx Produzida]] &lt;&gt; 0, Tabela3[[#This Row],[Tempo]] / Tabela3[[#This Row],[Qtde Cx Produzida]], 0),0)</f>
        <v>4.0972222222222226E-3</v>
      </c>
      <c r="P358" s="57">
        <f>IFERROR(Tabela3[[#This Row],[Perda Pçs]]/Tabela3[[#This Row],[Qdt Peça Placa]],0)</f>
        <v>0</v>
      </c>
      <c r="Q358" s="37">
        <f>IFERROR(Tabela3[[#This Row],[Realizado]]*Tabela3[[#This Row],[Peso Util/Pç]],0)</f>
        <v>0</v>
      </c>
      <c r="R358" s="37">
        <f>IFERROR(Tabela3[[#This Row],[Peso Total Galho]]*Tabela3[[#This Row],[Qtde Cx Produzida]]*1.055,0)</f>
        <v>0</v>
      </c>
      <c r="S358" s="37">
        <f>(Tabela3[[#This Row],[Aluminio Bruto]]-Tabela3[[#This Row],[Aluminio Util]])*0.9</f>
        <v>0</v>
      </c>
      <c r="T358" s="37">
        <f>Tabela3[[#This Row],[Aluminio Bruto]]/OleoKGAluminio</f>
        <v>0</v>
      </c>
      <c r="U358" s="35">
        <f>IFERROR((VLOOKUP(Tabela3[[#This Row],[Moldador]],Tabela1[],5,)+(VLOOKUP(Tabela3[[#This Row],[Ajudante]],Tabela1[],5,))*3.5),0)</f>
        <v>99.95034583333333</v>
      </c>
      <c r="V358" s="35">
        <f>IFERROR(Tabela3[[#This Row],[Custo M.O. / H]]/((Tabela3[[#This Row],[Realizado]]/Tabela3[[#This Row],[Qdt Peça Placa]])/Tabela3[[#This Row],[Tempo]]/24),)</f>
        <v>9.8284506736111119</v>
      </c>
      <c r="W358" s="35">
        <f>Tabela3[[#This Row],[Custo / Cx Moldada]]*Tabela3[[#This Row],[Qtde Cx Produzida]]</f>
        <v>98.284506736111126</v>
      </c>
      <c r="X358" s="35">
        <f ca="1">Tabela3[[#This Row],[Aluminio Util]]*Tabela3[[#This Row],[Custo/Kg]]</f>
        <v>0</v>
      </c>
      <c r="Y358" s="35">
        <f>IFERROR(VLOOKUP(Tabela3[[#This Row],[Data]],Tabela461213[],2,1)*(Tabela3[[#This Row],[Qtde Cx Produzida]]*Tabela3[[#This Row],[Qde macho / CX]]*Tabela3[[#This Row],[Peso Macho]]),)</f>
        <v>0</v>
      </c>
      <c r="Z358" s="35">
        <f>IFERROR(Tabela3[[#This Row],[Qtde Oleo]]*(VLOOKUP(Tabela3[[#This Row],[Data]],CompraOleo[],3,TRUE))*1.05,0)</f>
        <v>0</v>
      </c>
      <c r="AA358" s="47">
        <f ca="1">(Tabela3[[#This Row],[Custo Oleo]]+Tabela3[[#This Row],[Custo Aluminio]]+Tabela3[[#This Row],[Custo M.O. Total]]+Tabela3[[#This Row],[Custo Machos]])</f>
        <v>98.284506736111126</v>
      </c>
      <c r="AB358" s="47">
        <f ca="1">Tabela3[[#This Row],[Custo Total]]*Tabela3[[#This Row],[% Perda]]</f>
        <v>0</v>
      </c>
      <c r="AC358" s="48">
        <f>IFERROR(VLOOKUP(Tabela3[[#This Row],[Produto]],Tabela2[],2,0),0)</f>
        <v>2</v>
      </c>
      <c r="AD358" s="48">
        <f>IFERROR(VLOOKUP(Tabela3[[#This Row],[Produto]],Tabela2[],3,0),0)</f>
        <v>0</v>
      </c>
      <c r="AE358" s="48">
        <f>IFERROR(VLOOKUP(Tabela3[[#This Row],[Produto]],Tabela2[],4,0),0)</f>
        <v>0</v>
      </c>
      <c r="AF358" s="48">
        <f>IFERROR(VLOOKUP(Tabela3[[#This Row],[Produto]],Tabela2[],5,0),0)</f>
        <v>0</v>
      </c>
      <c r="AG358" s="40">
        <f>IFERROR(VLOOKUP(Tabela3[[#This Row],[Produto]],Tabela2[],6,0),0)</f>
        <v>0</v>
      </c>
      <c r="AH358" s="40">
        <f>IFERROR(VLOOKUP(Tabela3[[#This Row],[Produto]],Tabela2[],7,0),0)</f>
        <v>0</v>
      </c>
      <c r="AI358" s="40">
        <f>IFERROR(VLOOKUP(Tabela3[[#This Row],[Produto]],Tabela2[],8,0),0)</f>
        <v>0</v>
      </c>
      <c r="AJ358" s="35">
        <f ca="1">IFERROR(VLOOKUP(Tabela3[[#This Row],[Produto]],Tabela2[],13,0),0)</f>
        <v>15.600000000000001</v>
      </c>
      <c r="AK358" s="40" t="str">
        <f>IFERROR(VLOOKUP(Tabela3[[#This Row],[Produto]],Tabela2[],14,0),0)</f>
        <v>Jumil</v>
      </c>
      <c r="AL358" s="40">
        <f>IFERROR(VLOOKUP(Tabela3[[#This Row],[Produto]],Tabela2[],15,0),0)</f>
        <v>3</v>
      </c>
      <c r="AM358" s="36">
        <f ca="1">(Tabela3[[#This Row],[Custo Usinagem]]+Tabela3[[#This Row],[Custo / Pç]])*1.2</f>
        <v>9.4970704041666671</v>
      </c>
      <c r="AN358" s="36">
        <f ca="1">Tabela3[[#This Row],[Valor Mínimo Venda]]*1.15</f>
        <v>10.921630964791666</v>
      </c>
      <c r="AO358" s="36">
        <f ca="1">Tabela3[[#This Row],[Tabela 1]]*1.08</f>
        <v>11.795361441975</v>
      </c>
      <c r="AP358" s="36">
        <f ca="1">Tabela3[[#This Row],[Tabela 2]]*1.15</f>
        <v>13.564665658271249</v>
      </c>
    </row>
    <row r="359" spans="1:42">
      <c r="A359" s="9">
        <v>45826</v>
      </c>
      <c r="B359" s="6" t="s">
        <v>223</v>
      </c>
      <c r="C359" s="14">
        <v>6926</v>
      </c>
      <c r="D359" s="6" t="s">
        <v>46</v>
      </c>
      <c r="E359" s="6" t="s">
        <v>53</v>
      </c>
      <c r="F359" s="6">
        <v>26</v>
      </c>
      <c r="G359" s="15">
        <v>0.12638888888888888</v>
      </c>
      <c r="H359" s="16">
        <v>0</v>
      </c>
      <c r="I359" s="35">
        <f ca="1">IFERROR(Tabela3[[#This Row],[Custo Total]]/Tabela3[[#This Row],[Aluminio Util]],0)</f>
        <v>21.793909144177967</v>
      </c>
      <c r="J359" s="35">
        <f ca="1">Tabela3[[#This Row],[Custo Total]]/Tabela3[[#This Row],[Realizado]]</f>
        <v>2.2665665509945088</v>
      </c>
      <c r="K359" s="37">
        <f>IFERROR(Tabela3[[#This Row],[Qtde Cx Produzida]]/Tabela3[[#This Row],[Tempo]]/24,0)</f>
        <v>8.5714285714285712</v>
      </c>
      <c r="L359" s="37">
        <f>Tabela3[[#This Row],[Qtde Cx Produzida]]*Tabela3[[#This Row],[Qdt Peça Placa]]</f>
        <v>858</v>
      </c>
      <c r="M359" s="37">
        <f>Tabela3[[#This Row],[Previsto]]-Tabela3[[#This Row],[Perda Pçs]]</f>
        <v>858</v>
      </c>
      <c r="N359" s="38">
        <f>IFERROR(Tabela3[[#This Row],[Perda Pçs]]/Tabela3[[#This Row],[Previsto]],0)</f>
        <v>0</v>
      </c>
      <c r="O359" s="39">
        <f>IFERROR(IF(Tabela3[[#This Row],[Qtde Cx Produzida]] &lt;&gt; 0, Tabela3[[#This Row],[Tempo]] / Tabela3[[#This Row],[Qtde Cx Produzida]], 0),0)</f>
        <v>4.8611111111111112E-3</v>
      </c>
      <c r="P359" s="57">
        <f>IFERROR(Tabela3[[#This Row],[Perda Pçs]]/Tabela3[[#This Row],[Qdt Peça Placa]],0)</f>
        <v>0</v>
      </c>
      <c r="Q359" s="37">
        <f>IFERROR(Tabela3[[#This Row],[Realizado]]*Tabela3[[#This Row],[Peso Util/Pç]],0)</f>
        <v>89.231999999999999</v>
      </c>
      <c r="R359" s="37">
        <f>IFERROR(Tabela3[[#This Row],[Peso Total Galho]]*Tabela3[[#This Row],[Qtde Cx Produzida]]*1.055,0)</f>
        <v>147.57339999999999</v>
      </c>
      <c r="S359" s="37">
        <f>(Tabela3[[#This Row],[Aluminio Bruto]]-Tabela3[[#This Row],[Aluminio Util]])*0.9</f>
        <v>52.507259999999995</v>
      </c>
      <c r="T359" s="37">
        <f>Tabela3[[#This Row],[Aluminio Bruto]]/OleoKGAluminio</f>
        <v>62.083938569426991</v>
      </c>
      <c r="U359" s="35">
        <f>IFERROR((VLOOKUP(Tabela3[[#This Row],[Moldador]],Tabela1[],5,)+(VLOOKUP(Tabela3[[#This Row],[Ajudante]],Tabela1[],5,))*3.5),0)</f>
        <v>99.95034583333333</v>
      </c>
      <c r="V359" s="35">
        <f>IFERROR(Tabela3[[#This Row],[Custo M.O. / H]]/((Tabela3[[#This Row],[Realizado]]/Tabela3[[#This Row],[Qdt Peça Placa]])/Tabela3[[#This Row],[Tempo]]/24),)</f>
        <v>11.660873680555556</v>
      </c>
      <c r="W359" s="35">
        <f>Tabela3[[#This Row],[Custo / Cx Moldada]]*Tabela3[[#This Row],[Qtde Cx Produzida]]</f>
        <v>303.18271569444443</v>
      </c>
      <c r="X359" s="35">
        <f ca="1">Tabela3[[#This Row],[Aluminio Util]]*Tabela3[[#This Row],[Custo/Kg]]</f>
        <v>1478.5610463140981</v>
      </c>
      <c r="Y359" s="35">
        <f>IFERROR(VLOOKUP(Tabela3[[#This Row],[Data]],Tabela461213[],2,1)*(Tabela3[[#This Row],[Qtde Cx Produzida]]*Tabela3[[#This Row],[Qde macho / CX]]*Tabela3[[#This Row],[Peso Macho]]),)</f>
        <v>0</v>
      </c>
      <c r="Z359" s="35">
        <f>IFERROR(Tabela3[[#This Row],[Qtde Oleo]]*(VLOOKUP(Tabela3[[#This Row],[Data]],CompraOleo[],3,TRUE))*1.05,0)</f>
        <v>162.97033874474587</v>
      </c>
      <c r="AA359" s="47">
        <f ca="1">(Tabela3[[#This Row],[Custo Oleo]]+Tabela3[[#This Row],[Custo Aluminio]]+Tabela3[[#This Row],[Custo M.O. Total]]+Tabela3[[#This Row],[Custo Machos]])</f>
        <v>1944.7141007532884</v>
      </c>
      <c r="AB359" s="47">
        <f ca="1">Tabela3[[#This Row],[Custo Total]]*Tabela3[[#This Row],[% Perda]]</f>
        <v>0</v>
      </c>
      <c r="AC359" s="48">
        <f>IFERROR(VLOOKUP(Tabela3[[#This Row],[Produto]],Tabela2[],2,0),0)</f>
        <v>33</v>
      </c>
      <c r="AD359" s="48">
        <f>IFERROR(VLOOKUP(Tabela3[[#This Row],[Produto]],Tabela2[],3,0),0)</f>
        <v>0.104</v>
      </c>
      <c r="AE359" s="48">
        <f>IFERROR(VLOOKUP(Tabela3[[#This Row],[Produto]],Tabela2[],4,0),0)</f>
        <v>5.38</v>
      </c>
      <c r="AF359" s="48">
        <f>IFERROR(VLOOKUP(Tabela3[[#This Row],[Produto]],Tabela2[],5,0),0)</f>
        <v>1.7532000000000001</v>
      </c>
      <c r="AG359" s="40">
        <f>IFERROR(VLOOKUP(Tabela3[[#This Row],[Produto]],Tabela2[],6,0),0)</f>
        <v>0</v>
      </c>
      <c r="AH359" s="40">
        <f>IFERROR(VLOOKUP(Tabela3[[#This Row],[Produto]],Tabela2[],7,0),0)</f>
        <v>0</v>
      </c>
      <c r="AI359" s="40">
        <f>IFERROR(VLOOKUP(Tabela3[[#This Row],[Produto]],Tabela2[],8,0),0)</f>
        <v>0</v>
      </c>
      <c r="AJ359" s="35">
        <f ca="1">IFERROR(VLOOKUP(Tabela3[[#This Row],[Produto]],Tabela2[],13,0),0)</f>
        <v>16.569852141766386</v>
      </c>
      <c r="AK359" s="40" t="str">
        <f>IFERROR(VLOOKUP(Tabela3[[#This Row],[Produto]],Tabela2[],14,0),0)</f>
        <v>Marcelo</v>
      </c>
      <c r="AL359" s="40">
        <f>IFERROR(VLOOKUP(Tabela3[[#This Row],[Produto]],Tabela2[],15,0),0)</f>
        <v>0</v>
      </c>
      <c r="AM359" s="36">
        <f ca="1">(Tabela3[[#This Row],[Custo Usinagem]]+Tabela3[[#This Row],[Custo / Pç]])*1.2</f>
        <v>2.7198798611934105</v>
      </c>
      <c r="AN359" s="36">
        <f ca="1">Tabela3[[#This Row],[Valor Mínimo Venda]]*1.15</f>
        <v>3.1278618403724217</v>
      </c>
      <c r="AO359" s="36">
        <f ca="1">Tabela3[[#This Row],[Tabela 1]]*1.08</f>
        <v>3.3780907876022157</v>
      </c>
      <c r="AP359" s="36">
        <f ca="1">Tabela3[[#This Row],[Tabela 2]]*1.15</f>
        <v>3.8848044057425479</v>
      </c>
    </row>
    <row r="360" spans="1:42">
      <c r="A360" s="9">
        <v>45826</v>
      </c>
      <c r="B360" s="6" t="s">
        <v>247</v>
      </c>
      <c r="C360" s="14">
        <v>6931</v>
      </c>
      <c r="D360" s="6" t="s">
        <v>46</v>
      </c>
      <c r="E360" s="6" t="s">
        <v>53</v>
      </c>
      <c r="F360" s="6">
        <v>45</v>
      </c>
      <c r="G360" s="15">
        <v>0.2298611111111111</v>
      </c>
      <c r="H360" s="16">
        <v>59</v>
      </c>
      <c r="I360" s="35">
        <f ca="1">IFERROR(Tabela3[[#This Row],[Custo Total]]/Tabela3[[#This Row],[Aluminio Util]],0)</f>
        <v>41.518420562684092</v>
      </c>
      <c r="J360" s="35">
        <f ca="1">Tabela3[[#This Row],[Custo Total]]/Tabela3[[#This Row],[Realizado]]</f>
        <v>12.455526168805227</v>
      </c>
      <c r="K360" s="37">
        <f>IFERROR(Tabela3[[#This Row],[Qtde Cx Produzida]]/Tabela3[[#This Row],[Tempo]]/24,0)</f>
        <v>8.1570996978851973</v>
      </c>
      <c r="L360" s="37">
        <f>Tabela3[[#This Row],[Qtde Cx Produzida]]*Tabela3[[#This Row],[Qdt Peça Placa]]</f>
        <v>180</v>
      </c>
      <c r="M360" s="37">
        <f>Tabela3[[#This Row],[Previsto]]-Tabela3[[#This Row],[Perda Pçs]]</f>
        <v>121</v>
      </c>
      <c r="N360" s="38">
        <f>IFERROR(Tabela3[[#This Row],[Perda Pçs]]/Tabela3[[#This Row],[Previsto]],0)</f>
        <v>0.32777777777777778</v>
      </c>
      <c r="O360" s="39">
        <f>IFERROR(IF(Tabela3[[#This Row],[Qtde Cx Produzida]] &lt;&gt; 0, Tabela3[[#This Row],[Tempo]] / Tabela3[[#This Row],[Qtde Cx Produzida]], 0),0)</f>
        <v>5.1080246913580247E-3</v>
      </c>
      <c r="P360" s="57">
        <f>IFERROR(Tabela3[[#This Row],[Perda Pçs]]/Tabela3[[#This Row],[Qdt Peça Placa]],0)</f>
        <v>14.75</v>
      </c>
      <c r="Q360" s="37">
        <f>IFERROR(Tabela3[[#This Row],[Realizado]]*Tabela3[[#This Row],[Peso Util/Pç]],0)</f>
        <v>36.299999999999997</v>
      </c>
      <c r="R360" s="37">
        <f>IFERROR(Tabela3[[#This Row],[Peso Total Galho]]*Tabela3[[#This Row],[Qtde Cx Produzida]]*1.055,0)</f>
        <v>109.19249999999998</v>
      </c>
      <c r="S360" s="37">
        <f>(Tabela3[[#This Row],[Aluminio Bruto]]-Tabela3[[#This Row],[Aluminio Util]])*0.9</f>
        <v>65.603249999999989</v>
      </c>
      <c r="T360" s="37">
        <f>Tabela3[[#This Row],[Aluminio Bruto]]/OleoKGAluminio</f>
        <v>45.937143565453908</v>
      </c>
      <c r="U360" s="35">
        <f>IFERROR((VLOOKUP(Tabela3[[#This Row],[Moldador]],Tabela1[],5,)+(VLOOKUP(Tabela3[[#This Row],[Ajudante]],Tabela1[],5,))*3.5),0)</f>
        <v>99.95034583333333</v>
      </c>
      <c r="V360" s="35">
        <f>IFERROR(Tabela3[[#This Row],[Custo M.O. / H]]/((Tabela3[[#This Row],[Realizado]]/Tabela3[[#This Row],[Qdt Peça Placa]])/Tabela3[[#This Row],[Tempo]]/24),)</f>
        <v>18.227859212580348</v>
      </c>
      <c r="W360" s="35">
        <f>Tabela3[[#This Row],[Custo / Cx Moldada]]*Tabela3[[#This Row],[Qtde Cx Produzida]]</f>
        <v>820.25366456611573</v>
      </c>
      <c r="X360" s="35">
        <f ca="1">Tabela3[[#This Row],[Aluminio Util]]*Tabela3[[#This Row],[Custo/Kg]]</f>
        <v>566.28</v>
      </c>
      <c r="Y360" s="35">
        <f>IFERROR(VLOOKUP(Tabela3[[#This Row],[Data]],Tabela461213[],2,1)*(Tabela3[[#This Row],[Qtde Cx Produzida]]*Tabela3[[#This Row],[Qde macho / CX]]*Tabela3[[#This Row],[Peso Macho]]),)</f>
        <v>0</v>
      </c>
      <c r="Z360" s="35">
        <f>IFERROR(Tabela3[[#This Row],[Qtde Oleo]]*(VLOOKUP(Tabela3[[#This Row],[Data]],CompraOleo[],3,TRUE))*1.05,0)</f>
        <v>120.58500185931652</v>
      </c>
      <c r="AA360" s="47">
        <f ca="1">(Tabela3[[#This Row],[Custo Oleo]]+Tabela3[[#This Row],[Custo Aluminio]]+Tabela3[[#This Row],[Custo M.O. Total]]+Tabela3[[#This Row],[Custo Machos]])</f>
        <v>1507.1186664254324</v>
      </c>
      <c r="AB360" s="47">
        <f ca="1">Tabela3[[#This Row],[Custo Total]]*Tabela3[[#This Row],[% Perda]]</f>
        <v>494.00000732833615</v>
      </c>
      <c r="AC360" s="48">
        <f>IFERROR(VLOOKUP(Tabela3[[#This Row],[Produto]],Tabela2[],2,0),0)</f>
        <v>4</v>
      </c>
      <c r="AD360" s="48">
        <f>IFERROR(VLOOKUP(Tabela3[[#This Row],[Produto]],Tabela2[],3,0),0)</f>
        <v>0.3</v>
      </c>
      <c r="AE360" s="48">
        <f>IFERROR(VLOOKUP(Tabela3[[#This Row],[Produto]],Tabela2[],4,0),0)</f>
        <v>2.2999999999999998</v>
      </c>
      <c r="AF360" s="48">
        <f>IFERROR(VLOOKUP(Tabela3[[#This Row],[Produto]],Tabela2[],5,0),0)</f>
        <v>0.98999999999999988</v>
      </c>
      <c r="AG360" s="40">
        <f>IFERROR(VLOOKUP(Tabela3[[#This Row],[Produto]],Tabela2[],6,0),0)</f>
        <v>0</v>
      </c>
      <c r="AH360" s="40">
        <f>IFERROR(VLOOKUP(Tabela3[[#This Row],[Produto]],Tabela2[],7,0),0)</f>
        <v>0</v>
      </c>
      <c r="AI360" s="40">
        <f>IFERROR(VLOOKUP(Tabela3[[#This Row],[Produto]],Tabela2[],8,0),0)</f>
        <v>0</v>
      </c>
      <c r="AJ360" s="35">
        <f ca="1">IFERROR(VLOOKUP(Tabela3[[#This Row],[Produto]],Tabela2[],13,0),0)</f>
        <v>15.600000000000001</v>
      </c>
      <c r="AK360" s="40" t="str">
        <f>IFERROR(VLOOKUP(Tabela3[[#This Row],[Produto]],Tabela2[],14,0),0)</f>
        <v>Senun</v>
      </c>
      <c r="AL360" s="40">
        <f>IFERROR(VLOOKUP(Tabela3[[#This Row],[Produto]],Tabela2[],15,0),0)</f>
        <v>3.5</v>
      </c>
      <c r="AM360" s="36">
        <f ca="1">(Tabela3[[#This Row],[Custo Usinagem]]+Tabela3[[#This Row],[Custo / Pç]])*1.2</f>
        <v>19.146631402566271</v>
      </c>
      <c r="AN360" s="36">
        <f ca="1">Tabela3[[#This Row],[Valor Mínimo Venda]]*1.15</f>
        <v>22.01862611295121</v>
      </c>
      <c r="AO360" s="36">
        <f ca="1">Tabela3[[#This Row],[Tabela 1]]*1.08</f>
        <v>23.780116201987308</v>
      </c>
      <c r="AP360" s="36">
        <f ca="1">Tabela3[[#This Row],[Tabela 2]]*1.15</f>
        <v>27.347133632285402</v>
      </c>
    </row>
    <row r="361" spans="1:42">
      <c r="A361" s="9">
        <v>45827</v>
      </c>
      <c r="B361" s="6" t="s">
        <v>247</v>
      </c>
      <c r="C361" s="14">
        <v>6931</v>
      </c>
      <c r="D361" s="6" t="s">
        <v>46</v>
      </c>
      <c r="E361" s="6" t="s">
        <v>53</v>
      </c>
      <c r="F361" s="6">
        <v>27</v>
      </c>
      <c r="G361" s="15">
        <v>0.14166666666666666</v>
      </c>
      <c r="H361" s="16">
        <v>0</v>
      </c>
      <c r="I361" s="35">
        <f ca="1">IFERROR(Tabela3[[#This Row],[Custo Total]]/Tabela3[[#This Row],[Aluminio Util]],0)</f>
        <v>28.321672128053187</v>
      </c>
      <c r="J361" s="35">
        <f ca="1">Tabela3[[#This Row],[Custo Total]]/Tabela3[[#This Row],[Realizado]]</f>
        <v>8.4965016384159551</v>
      </c>
      <c r="K361" s="37">
        <f>IFERROR(Tabela3[[#This Row],[Qtde Cx Produzida]]/Tabela3[[#This Row],[Tempo]]/24,0)</f>
        <v>7.9411764705882355</v>
      </c>
      <c r="L361" s="37">
        <f>Tabela3[[#This Row],[Qtde Cx Produzida]]*Tabela3[[#This Row],[Qdt Peça Placa]]</f>
        <v>108</v>
      </c>
      <c r="M361" s="37">
        <f>Tabela3[[#This Row],[Previsto]]-Tabela3[[#This Row],[Perda Pçs]]</f>
        <v>108</v>
      </c>
      <c r="N361" s="38">
        <f>IFERROR(Tabela3[[#This Row],[Perda Pçs]]/Tabela3[[#This Row],[Previsto]],0)</f>
        <v>0</v>
      </c>
      <c r="O361" s="39">
        <f>IFERROR(IF(Tabela3[[#This Row],[Qtde Cx Produzida]] &lt;&gt; 0, Tabela3[[#This Row],[Tempo]] / Tabela3[[#This Row],[Qtde Cx Produzida]], 0),0)</f>
        <v>5.2469135802469136E-3</v>
      </c>
      <c r="P361" s="57">
        <f>IFERROR(Tabela3[[#This Row],[Perda Pçs]]/Tabela3[[#This Row],[Qdt Peça Placa]],0)</f>
        <v>0</v>
      </c>
      <c r="Q361" s="37">
        <f>IFERROR(Tabela3[[#This Row],[Realizado]]*Tabela3[[#This Row],[Peso Util/Pç]],0)</f>
        <v>32.4</v>
      </c>
      <c r="R361" s="37">
        <f>IFERROR(Tabela3[[#This Row],[Peso Total Galho]]*Tabela3[[#This Row],[Qtde Cx Produzida]]*1.055,0)</f>
        <v>65.515499999999989</v>
      </c>
      <c r="S361" s="37">
        <f>(Tabela3[[#This Row],[Aluminio Bruto]]-Tabela3[[#This Row],[Aluminio Util]])*0.9</f>
        <v>29.803949999999993</v>
      </c>
      <c r="T361" s="37">
        <f>Tabela3[[#This Row],[Aluminio Bruto]]/OleoKGAluminio</f>
        <v>27.562286139272345</v>
      </c>
      <c r="U361" s="35">
        <f>IFERROR((VLOOKUP(Tabela3[[#This Row],[Moldador]],Tabela1[],5,)+(VLOOKUP(Tabela3[[#This Row],[Ajudante]],Tabela1[],5,))*3.5),0)</f>
        <v>99.95034583333333</v>
      </c>
      <c r="V361" s="35">
        <f>IFERROR(Tabela3[[#This Row],[Custo M.O. / H]]/((Tabela3[[#This Row],[Realizado]]/Tabela3[[#This Row],[Qdt Peça Placa]])/Tabela3[[#This Row],[Tempo]]/24),)</f>
        <v>12.586339845679012</v>
      </c>
      <c r="W361" s="35">
        <f>Tabela3[[#This Row],[Custo / Cx Moldada]]*Tabela3[[#This Row],[Qtde Cx Produzida]]</f>
        <v>339.8311758333333</v>
      </c>
      <c r="X361" s="35">
        <f ca="1">Tabela3[[#This Row],[Aluminio Util]]*Tabela3[[#This Row],[Custo/Kg]]</f>
        <v>505.44</v>
      </c>
      <c r="Y361" s="35">
        <f>IFERROR(VLOOKUP(Tabela3[[#This Row],[Data]],Tabela461213[],2,1)*(Tabela3[[#This Row],[Qtde Cx Produzida]]*Tabela3[[#This Row],[Qde macho / CX]]*Tabela3[[#This Row],[Peso Macho]]),)</f>
        <v>0</v>
      </c>
      <c r="Z361" s="35">
        <f>IFERROR(Tabela3[[#This Row],[Qtde Oleo]]*(VLOOKUP(Tabela3[[#This Row],[Data]],CompraOleo[],3,TRUE))*1.05,0)</f>
        <v>72.351001115589909</v>
      </c>
      <c r="AA361" s="47">
        <f ca="1">(Tabela3[[#This Row],[Custo Oleo]]+Tabela3[[#This Row],[Custo Aluminio]]+Tabela3[[#This Row],[Custo M.O. Total]]+Tabela3[[#This Row],[Custo Machos]])</f>
        <v>917.6221769489232</v>
      </c>
      <c r="AB361" s="47">
        <f ca="1">Tabela3[[#This Row],[Custo Total]]*Tabela3[[#This Row],[% Perda]]</f>
        <v>0</v>
      </c>
      <c r="AC361" s="48">
        <f>IFERROR(VLOOKUP(Tabela3[[#This Row],[Produto]],Tabela2[],2,0),0)</f>
        <v>4</v>
      </c>
      <c r="AD361" s="48">
        <f>IFERROR(VLOOKUP(Tabela3[[#This Row],[Produto]],Tabela2[],3,0),0)</f>
        <v>0.3</v>
      </c>
      <c r="AE361" s="48">
        <f>IFERROR(VLOOKUP(Tabela3[[#This Row],[Produto]],Tabela2[],4,0),0)</f>
        <v>2.2999999999999998</v>
      </c>
      <c r="AF361" s="48">
        <f>IFERROR(VLOOKUP(Tabela3[[#This Row],[Produto]],Tabela2[],5,0),0)</f>
        <v>0.98999999999999988</v>
      </c>
      <c r="AG361" s="40">
        <f>IFERROR(VLOOKUP(Tabela3[[#This Row],[Produto]],Tabela2[],6,0),0)</f>
        <v>0</v>
      </c>
      <c r="AH361" s="40">
        <f>IFERROR(VLOOKUP(Tabela3[[#This Row],[Produto]],Tabela2[],7,0),0)</f>
        <v>0</v>
      </c>
      <c r="AI361" s="40">
        <f>IFERROR(VLOOKUP(Tabela3[[#This Row],[Produto]],Tabela2[],8,0),0)</f>
        <v>0</v>
      </c>
      <c r="AJ361" s="35">
        <f ca="1">IFERROR(VLOOKUP(Tabela3[[#This Row],[Produto]],Tabela2[],13,0),0)</f>
        <v>15.600000000000001</v>
      </c>
      <c r="AK361" s="40" t="str">
        <f>IFERROR(VLOOKUP(Tabela3[[#This Row],[Produto]],Tabela2[],14,0),0)</f>
        <v>Senun</v>
      </c>
      <c r="AL361" s="40">
        <f>IFERROR(VLOOKUP(Tabela3[[#This Row],[Produto]],Tabela2[],15,0),0)</f>
        <v>3.5</v>
      </c>
      <c r="AM361" s="36">
        <f ca="1">(Tabela3[[#This Row],[Custo Usinagem]]+Tabela3[[#This Row],[Custo / Pç]])*1.2</f>
        <v>14.395801966099146</v>
      </c>
      <c r="AN361" s="36">
        <f ca="1">Tabela3[[#This Row],[Valor Mínimo Venda]]*1.15</f>
        <v>16.555172261014018</v>
      </c>
      <c r="AO361" s="36">
        <f ca="1">Tabela3[[#This Row],[Tabela 1]]*1.08</f>
        <v>17.879586041895141</v>
      </c>
      <c r="AP361" s="36">
        <f ca="1">Tabela3[[#This Row],[Tabela 2]]*1.15</f>
        <v>20.56152394817941</v>
      </c>
    </row>
    <row r="362" spans="1:42">
      <c r="A362" s="9">
        <v>45827</v>
      </c>
      <c r="B362" s="6" t="s">
        <v>247</v>
      </c>
      <c r="C362" s="14">
        <v>6931</v>
      </c>
      <c r="D362" s="6" t="s">
        <v>46</v>
      </c>
      <c r="E362" s="6" t="s">
        <v>44</v>
      </c>
      <c r="F362" s="6">
        <v>42</v>
      </c>
      <c r="G362" s="15">
        <v>0.18541666666666667</v>
      </c>
      <c r="H362" s="16">
        <v>0</v>
      </c>
      <c r="I362" s="35">
        <f ca="1">IFERROR(Tabela3[[#This Row],[Custo Total]]/Tabela3[[#This Row],[Aluminio Util]],0)</f>
        <v>28.966399339987344</v>
      </c>
      <c r="J362" s="35">
        <f ca="1">Tabela3[[#This Row],[Custo Total]]/Tabela3[[#This Row],[Realizado]]</f>
        <v>8.6899198019962025</v>
      </c>
      <c r="K362" s="37">
        <f>IFERROR(Tabela3[[#This Row],[Qtde Cx Produzida]]/Tabela3[[#This Row],[Tempo]]/24,0)</f>
        <v>9.4382022471910112</v>
      </c>
      <c r="L362" s="37">
        <f>Tabela3[[#This Row],[Qtde Cx Produzida]]*Tabela3[[#This Row],[Qdt Peça Placa]]</f>
        <v>168</v>
      </c>
      <c r="M362" s="37">
        <f>Tabela3[[#This Row],[Previsto]]-Tabela3[[#This Row],[Perda Pçs]]</f>
        <v>168</v>
      </c>
      <c r="N362" s="38">
        <f>IFERROR(Tabela3[[#This Row],[Perda Pçs]]/Tabela3[[#This Row],[Previsto]],0)</f>
        <v>0</v>
      </c>
      <c r="O362" s="39">
        <f>IFERROR(IF(Tabela3[[#This Row],[Qtde Cx Produzida]] &lt;&gt; 0, Tabela3[[#This Row],[Tempo]] / Tabela3[[#This Row],[Qtde Cx Produzida]], 0),0)</f>
        <v>4.4146825396825396E-3</v>
      </c>
      <c r="P362" s="57">
        <f>IFERROR(Tabela3[[#This Row],[Perda Pçs]]/Tabela3[[#This Row],[Qdt Peça Placa]],0)</f>
        <v>0</v>
      </c>
      <c r="Q362" s="37">
        <f>IFERROR(Tabela3[[#This Row],[Realizado]]*Tabela3[[#This Row],[Peso Util/Pç]],0)</f>
        <v>50.4</v>
      </c>
      <c r="R362" s="37">
        <f>IFERROR(Tabela3[[#This Row],[Peso Total Galho]]*Tabela3[[#This Row],[Qtde Cx Produzida]]*1.055,0)</f>
        <v>101.91299999999998</v>
      </c>
      <c r="S362" s="37">
        <f>(Tabela3[[#This Row],[Aluminio Bruto]]-Tabela3[[#This Row],[Aluminio Util]])*0.9</f>
        <v>46.361699999999985</v>
      </c>
      <c r="T362" s="37">
        <f>Tabela3[[#This Row],[Aluminio Bruto]]/OleoKGAluminio</f>
        <v>42.874667327756981</v>
      </c>
      <c r="U362" s="35">
        <f>IFERROR((VLOOKUP(Tabela3[[#This Row],[Moldador]],Tabela1[],5,)+(VLOOKUP(Tabela3[[#This Row],[Ajudante]],Tabela1[],5,))*3.5),0)</f>
        <v>126.0945</v>
      </c>
      <c r="V362" s="35">
        <f>IFERROR(Tabela3[[#This Row],[Custo M.O. / H]]/((Tabela3[[#This Row],[Realizado]]/Tabela3[[#This Row],[Qdt Peça Placa]])/Tabela3[[#This Row],[Tempo]]/24),)</f>
        <v>13.3600125</v>
      </c>
      <c r="W362" s="35">
        <f>Tabela3[[#This Row],[Custo / Cx Moldada]]*Tabela3[[#This Row],[Qtde Cx Produzida]]</f>
        <v>561.12052500000004</v>
      </c>
      <c r="X362" s="35">
        <f ca="1">Tabela3[[#This Row],[Aluminio Util]]*Tabela3[[#This Row],[Custo/Kg]]</f>
        <v>786.24</v>
      </c>
      <c r="Y362" s="35">
        <f>IFERROR(VLOOKUP(Tabela3[[#This Row],[Data]],Tabela461213[],2,1)*(Tabela3[[#This Row],[Qtde Cx Produzida]]*Tabela3[[#This Row],[Qde macho / CX]]*Tabela3[[#This Row],[Peso Macho]]),)</f>
        <v>0</v>
      </c>
      <c r="Z362" s="35">
        <f>IFERROR(Tabela3[[#This Row],[Qtde Oleo]]*(VLOOKUP(Tabela3[[#This Row],[Data]],CompraOleo[],3,TRUE))*1.05,0)</f>
        <v>112.54600173536208</v>
      </c>
      <c r="AA362" s="47">
        <f ca="1">(Tabela3[[#This Row],[Custo Oleo]]+Tabela3[[#This Row],[Custo Aluminio]]+Tabela3[[#This Row],[Custo M.O. Total]]+Tabela3[[#This Row],[Custo Machos]])</f>
        <v>1459.9065267353621</v>
      </c>
      <c r="AB362" s="47">
        <f ca="1">Tabela3[[#This Row],[Custo Total]]*Tabela3[[#This Row],[% Perda]]</f>
        <v>0</v>
      </c>
      <c r="AC362" s="48">
        <f>IFERROR(VLOOKUP(Tabela3[[#This Row],[Produto]],Tabela2[],2,0),0)</f>
        <v>4</v>
      </c>
      <c r="AD362" s="48">
        <f>IFERROR(VLOOKUP(Tabela3[[#This Row],[Produto]],Tabela2[],3,0),0)</f>
        <v>0.3</v>
      </c>
      <c r="AE362" s="48">
        <f>IFERROR(VLOOKUP(Tabela3[[#This Row],[Produto]],Tabela2[],4,0),0)</f>
        <v>2.2999999999999998</v>
      </c>
      <c r="AF362" s="48">
        <f>IFERROR(VLOOKUP(Tabela3[[#This Row],[Produto]],Tabela2[],5,0),0)</f>
        <v>0.98999999999999988</v>
      </c>
      <c r="AG362" s="40">
        <f>IFERROR(VLOOKUP(Tabela3[[#This Row],[Produto]],Tabela2[],6,0),0)</f>
        <v>0</v>
      </c>
      <c r="AH362" s="40">
        <f>IFERROR(VLOOKUP(Tabela3[[#This Row],[Produto]],Tabela2[],7,0),0)</f>
        <v>0</v>
      </c>
      <c r="AI362" s="40">
        <f>IFERROR(VLOOKUP(Tabela3[[#This Row],[Produto]],Tabela2[],8,0),0)</f>
        <v>0</v>
      </c>
      <c r="AJ362" s="35">
        <f ca="1">IFERROR(VLOOKUP(Tabela3[[#This Row],[Produto]],Tabela2[],13,0),0)</f>
        <v>15.600000000000001</v>
      </c>
      <c r="AK362" s="40" t="str">
        <f>IFERROR(VLOOKUP(Tabela3[[#This Row],[Produto]],Tabela2[],14,0),0)</f>
        <v>Senun</v>
      </c>
      <c r="AL362" s="40">
        <f>IFERROR(VLOOKUP(Tabela3[[#This Row],[Produto]],Tabela2[],15,0),0)</f>
        <v>3.5</v>
      </c>
      <c r="AM362" s="36">
        <f ca="1">(Tabela3[[#This Row],[Custo Usinagem]]+Tabela3[[#This Row],[Custo / Pç]])*1.2</f>
        <v>14.627903762395443</v>
      </c>
      <c r="AN362" s="36">
        <f ca="1">Tabela3[[#This Row],[Valor Mínimo Venda]]*1.15</f>
        <v>16.822089326754757</v>
      </c>
      <c r="AO362" s="36">
        <f ca="1">Tabela3[[#This Row],[Tabela 1]]*1.08</f>
        <v>18.167856472895139</v>
      </c>
      <c r="AP362" s="36">
        <f ca="1">Tabela3[[#This Row],[Tabela 2]]*1.15</f>
        <v>20.893034943829409</v>
      </c>
    </row>
    <row r="363" spans="1:42">
      <c r="A363" s="9">
        <v>45827</v>
      </c>
      <c r="B363" s="6" t="s">
        <v>203</v>
      </c>
      <c r="C363" s="14">
        <v>6943</v>
      </c>
      <c r="D363" s="6" t="s">
        <v>44</v>
      </c>
      <c r="E363" s="6" t="s">
        <v>47</v>
      </c>
      <c r="F363" s="6">
        <v>1</v>
      </c>
      <c r="G363" s="15">
        <v>0.1076388888888889</v>
      </c>
      <c r="H363" s="16">
        <v>0</v>
      </c>
      <c r="I363" s="35">
        <f ca="1">IFERROR(Tabela3[[#This Row],[Custo Total]]/Tabela3[[#This Row],[Aluminio Util]],0)</f>
        <v>34.373513335199696</v>
      </c>
      <c r="J363" s="35">
        <f ca="1">Tabela3[[#This Row],[Custo Total]]/Tabela3[[#This Row],[Realizado]]</f>
        <v>573.35020243113092</v>
      </c>
      <c r="K363" s="37">
        <f>IFERROR(Tabela3[[#This Row],[Qtde Cx Produzida]]/Tabela3[[#This Row],[Tempo]]/24,0)</f>
        <v>0.38709677419354832</v>
      </c>
      <c r="L363" s="37">
        <f>Tabela3[[#This Row],[Qtde Cx Produzida]]*Tabela3[[#This Row],[Qdt Peça Placa]]</f>
        <v>1</v>
      </c>
      <c r="M363" s="37">
        <f>Tabela3[[#This Row],[Previsto]]-Tabela3[[#This Row],[Perda Pçs]]</f>
        <v>1</v>
      </c>
      <c r="N363" s="38">
        <f>IFERROR(Tabela3[[#This Row],[Perda Pçs]]/Tabela3[[#This Row],[Previsto]],0)</f>
        <v>0</v>
      </c>
      <c r="O363" s="39">
        <f>IFERROR(IF(Tabela3[[#This Row],[Qtde Cx Produzida]] &lt;&gt; 0, Tabela3[[#This Row],[Tempo]] / Tabela3[[#This Row],[Qtde Cx Produzida]], 0),0)</f>
        <v>0.1076388888888889</v>
      </c>
      <c r="P363" s="57">
        <f>IFERROR(Tabela3[[#This Row],[Perda Pçs]]/Tabela3[[#This Row],[Qdt Peça Placa]],0)</f>
        <v>0</v>
      </c>
      <c r="Q363" s="37">
        <f>IFERROR(Tabela3[[#This Row],[Realizado]]*Tabela3[[#This Row],[Peso Util/Pç]],0)</f>
        <v>16.68</v>
      </c>
      <c r="R363" s="37">
        <f>IFERROR(Tabela3[[#This Row],[Peso Total Galho]]*Tabela3[[#This Row],[Qtde Cx Produzida]]*1.055,0)</f>
        <v>19.538599999999999</v>
      </c>
      <c r="S363" s="37">
        <f>(Tabela3[[#This Row],[Aluminio Bruto]]-Tabela3[[#This Row],[Aluminio Util]])*0.9</f>
        <v>2.5727399999999991</v>
      </c>
      <c r="T363" s="37">
        <f>Tabela3[[#This Row],[Aluminio Bruto]]/OleoKGAluminio</f>
        <v>8.2198637568329129</v>
      </c>
      <c r="U363" s="35">
        <f>IFERROR((VLOOKUP(Tabela3[[#This Row],[Moldador]],Tabela1[],5,)+(VLOOKUP(Tabela3[[#This Row],[Ajudante]],Tabela1[],5,))*3.5),0)</f>
        <v>99.95034583333333</v>
      </c>
      <c r="V363" s="35">
        <f>IFERROR(Tabela3[[#This Row],[Custo M.O. / H]]/((Tabela3[[#This Row],[Realizado]]/Tabela3[[#This Row],[Qdt Peça Placa]])/Tabela3[[#This Row],[Tempo]]/24),)</f>
        <v>258.20506006944447</v>
      </c>
      <c r="W363" s="35">
        <f>Tabela3[[#This Row],[Custo / Cx Moldada]]*Tabela3[[#This Row],[Qtde Cx Produzida]]</f>
        <v>258.20506006944447</v>
      </c>
      <c r="X363" s="35">
        <f ca="1">Tabela3[[#This Row],[Aluminio Util]]*Tabela3[[#This Row],[Custo/Kg]]</f>
        <v>293.56800000000004</v>
      </c>
      <c r="Y363" s="35">
        <f>IFERROR(VLOOKUP(Tabela3[[#This Row],[Data]],Tabela461213[],2,1)*(Tabela3[[#This Row],[Qtde Cx Produzida]]*Tabela3[[#This Row],[Qde macho / CX]]*Tabela3[[#This Row],[Peso Macho]]),)</f>
        <v>0</v>
      </c>
      <c r="Z363" s="35">
        <f>IFERROR(Tabela3[[#This Row],[Qtde Oleo]]*(VLOOKUP(Tabela3[[#This Row],[Data]],CompraOleo[],3,TRUE))*1.05,0)</f>
        <v>21.577142361686398</v>
      </c>
      <c r="AA363" s="47">
        <f ca="1">(Tabela3[[#This Row],[Custo Oleo]]+Tabela3[[#This Row],[Custo Aluminio]]+Tabela3[[#This Row],[Custo M.O. Total]]+Tabela3[[#This Row],[Custo Machos]])</f>
        <v>573.35020243113092</v>
      </c>
      <c r="AB363" s="47">
        <f ca="1">Tabela3[[#This Row],[Custo Total]]*Tabela3[[#This Row],[% Perda]]</f>
        <v>0</v>
      </c>
      <c r="AC363" s="48">
        <f>IFERROR(VLOOKUP(Tabela3[[#This Row],[Produto]],Tabela2[],2,0),0)</f>
        <v>1</v>
      </c>
      <c r="AD363" s="48">
        <f>IFERROR(VLOOKUP(Tabela3[[#This Row],[Produto]],Tabela2[],3,0),0)</f>
        <v>16.68</v>
      </c>
      <c r="AE363" s="48">
        <f>IFERROR(VLOOKUP(Tabela3[[#This Row],[Produto]],Tabela2[],4,0),0)</f>
        <v>18.52</v>
      </c>
      <c r="AF363" s="48">
        <f>IFERROR(VLOOKUP(Tabela3[[#This Row],[Produto]],Tabela2[],5,0),0)</f>
        <v>1.6559999999999999</v>
      </c>
      <c r="AG363" s="40">
        <f>IFERROR(VLOOKUP(Tabela3[[#This Row],[Produto]],Tabela2[],6,0),0)</f>
        <v>0</v>
      </c>
      <c r="AH363" s="40">
        <f>IFERROR(VLOOKUP(Tabela3[[#This Row],[Produto]],Tabela2[],7,0),0)</f>
        <v>0</v>
      </c>
      <c r="AI363" s="40">
        <f>IFERROR(VLOOKUP(Tabela3[[#This Row],[Produto]],Tabela2[],8,0),0)</f>
        <v>0</v>
      </c>
      <c r="AJ363" s="35">
        <f ca="1">IFERROR(VLOOKUP(Tabela3[[#This Row],[Produto]],Tabela2[],13,0),0)</f>
        <v>17.600000000000001</v>
      </c>
      <c r="AK363" s="40" t="str">
        <f>IFERROR(VLOOKUP(Tabela3[[#This Row],[Produto]],Tabela2[],14,0),0)</f>
        <v>Oscar</v>
      </c>
      <c r="AL363" s="40">
        <f>IFERROR(VLOOKUP(Tabela3[[#This Row],[Produto]],Tabela2[],15,0),0)</f>
        <v>0</v>
      </c>
      <c r="AM363" s="36">
        <f ca="1">(Tabela3[[#This Row],[Custo Usinagem]]+Tabela3[[#This Row],[Custo / Pç]])*1.2</f>
        <v>688.02024291735711</v>
      </c>
      <c r="AN363" s="36">
        <f ca="1">Tabela3[[#This Row],[Valor Mínimo Venda]]*1.15</f>
        <v>791.2232793549606</v>
      </c>
      <c r="AO363" s="36">
        <f ca="1">Tabela3[[#This Row],[Tabela 1]]*1.08</f>
        <v>854.52114170335744</v>
      </c>
      <c r="AP363" s="36">
        <f ca="1">Tabela3[[#This Row],[Tabela 2]]*1.15</f>
        <v>982.69931295886101</v>
      </c>
    </row>
    <row r="364" spans="1:42">
      <c r="A364" s="9">
        <v>45831</v>
      </c>
      <c r="B364" s="6" t="s">
        <v>247</v>
      </c>
      <c r="C364" s="14">
        <v>6931</v>
      </c>
      <c r="D364" s="6" t="s">
        <v>46</v>
      </c>
      <c r="E364" s="6" t="s">
        <v>44</v>
      </c>
      <c r="F364" s="6">
        <v>36</v>
      </c>
      <c r="G364" s="15">
        <v>0.17708333333333334</v>
      </c>
      <c r="H364" s="16">
        <v>0</v>
      </c>
      <c r="I364" s="35">
        <f ca="1">IFERROR(Tabela3[[#This Row],[Custo Total]]/Tabela3[[#This Row],[Aluminio Util]],0)</f>
        <v>30.238185798320675</v>
      </c>
      <c r="J364" s="35">
        <f ca="1">Tabela3[[#This Row],[Custo Total]]/Tabela3[[#This Row],[Realizado]]</f>
        <v>9.0714557394962014</v>
      </c>
      <c r="K364" s="37">
        <f>IFERROR(Tabela3[[#This Row],[Qtde Cx Produzida]]/Tabela3[[#This Row],[Tempo]]/24,0)</f>
        <v>8.4705882352941178</v>
      </c>
      <c r="L364" s="37">
        <f>Tabela3[[#This Row],[Qtde Cx Produzida]]*Tabela3[[#This Row],[Qdt Peça Placa]]</f>
        <v>144</v>
      </c>
      <c r="M364" s="37">
        <f>Tabela3[[#This Row],[Previsto]]-Tabela3[[#This Row],[Perda Pçs]]</f>
        <v>144</v>
      </c>
      <c r="N364" s="38">
        <f>IFERROR(Tabela3[[#This Row],[Perda Pçs]]/Tabela3[[#This Row],[Previsto]],0)</f>
        <v>0</v>
      </c>
      <c r="O364" s="39">
        <f>IFERROR(IF(Tabela3[[#This Row],[Qtde Cx Produzida]] &lt;&gt; 0, Tabela3[[#This Row],[Tempo]] / Tabela3[[#This Row],[Qtde Cx Produzida]], 0),0)</f>
        <v>4.9189814814814816E-3</v>
      </c>
      <c r="P364" s="57">
        <f>IFERROR(Tabela3[[#This Row],[Perda Pçs]]/Tabela3[[#This Row],[Qdt Peça Placa]],0)</f>
        <v>0</v>
      </c>
      <c r="Q364" s="37">
        <f>IFERROR(Tabela3[[#This Row],[Realizado]]*Tabela3[[#This Row],[Peso Util/Pç]],0)</f>
        <v>43.199999999999996</v>
      </c>
      <c r="R364" s="37">
        <f>IFERROR(Tabela3[[#This Row],[Peso Total Galho]]*Tabela3[[#This Row],[Qtde Cx Produzida]]*1.055,0)</f>
        <v>87.353999999999985</v>
      </c>
      <c r="S364" s="37">
        <f>(Tabela3[[#This Row],[Aluminio Bruto]]-Tabela3[[#This Row],[Aluminio Util]])*0.9</f>
        <v>39.738599999999991</v>
      </c>
      <c r="T364" s="37">
        <f>Tabela3[[#This Row],[Aluminio Bruto]]/OleoKGAluminio</f>
        <v>36.749714852363127</v>
      </c>
      <c r="U364" s="35">
        <f>IFERROR((VLOOKUP(Tabela3[[#This Row],[Moldador]],Tabela1[],5,)+(VLOOKUP(Tabela3[[#This Row],[Ajudante]],Tabela1[],5,))*3.5),0)</f>
        <v>126.0945</v>
      </c>
      <c r="V364" s="35">
        <f>IFERROR(Tabela3[[#This Row],[Custo M.O. / H]]/((Tabela3[[#This Row],[Realizado]]/Tabela3[[#This Row],[Qdt Peça Placa]])/Tabela3[[#This Row],[Tempo]]/24),)</f>
        <v>14.886156249999999</v>
      </c>
      <c r="W364" s="35">
        <f>Tabela3[[#This Row],[Custo / Cx Moldada]]*Tabela3[[#This Row],[Qtde Cx Produzida]]</f>
        <v>535.90162499999997</v>
      </c>
      <c r="X364" s="35">
        <f ca="1">Tabela3[[#This Row],[Aluminio Util]]*Tabela3[[#This Row],[Custo/Kg]]</f>
        <v>673.92</v>
      </c>
      <c r="Y364" s="35">
        <f>IFERROR(VLOOKUP(Tabela3[[#This Row],[Data]],Tabela461213[],2,1)*(Tabela3[[#This Row],[Qtde Cx Produzida]]*Tabela3[[#This Row],[Qde macho / CX]]*Tabela3[[#This Row],[Peso Macho]]),)</f>
        <v>0</v>
      </c>
      <c r="Z364" s="35">
        <f>IFERROR(Tabela3[[#This Row],[Qtde Oleo]]*(VLOOKUP(Tabela3[[#This Row],[Data]],CompraOleo[],3,TRUE))*1.05,0)</f>
        <v>96.468001487453208</v>
      </c>
      <c r="AA364" s="47">
        <f ca="1">(Tabela3[[#This Row],[Custo Oleo]]+Tabela3[[#This Row],[Custo Aluminio]]+Tabela3[[#This Row],[Custo M.O. Total]]+Tabela3[[#This Row],[Custo Machos]])</f>
        <v>1306.289626487453</v>
      </c>
      <c r="AB364" s="47">
        <f ca="1">Tabela3[[#This Row],[Custo Total]]*Tabela3[[#This Row],[% Perda]]</f>
        <v>0</v>
      </c>
      <c r="AC364" s="48">
        <f>IFERROR(VLOOKUP(Tabela3[[#This Row],[Produto]],Tabela2[],2,0),0)</f>
        <v>4</v>
      </c>
      <c r="AD364" s="48">
        <f>IFERROR(VLOOKUP(Tabela3[[#This Row],[Produto]],Tabela2[],3,0),0)</f>
        <v>0.3</v>
      </c>
      <c r="AE364" s="48">
        <f>IFERROR(VLOOKUP(Tabela3[[#This Row],[Produto]],Tabela2[],4,0),0)</f>
        <v>2.2999999999999998</v>
      </c>
      <c r="AF364" s="48">
        <f>IFERROR(VLOOKUP(Tabela3[[#This Row],[Produto]],Tabela2[],5,0),0)</f>
        <v>0.98999999999999988</v>
      </c>
      <c r="AG364" s="40">
        <f>IFERROR(VLOOKUP(Tabela3[[#This Row],[Produto]],Tabela2[],6,0),0)</f>
        <v>0</v>
      </c>
      <c r="AH364" s="40">
        <f>IFERROR(VLOOKUP(Tabela3[[#This Row],[Produto]],Tabela2[],7,0),0)</f>
        <v>0</v>
      </c>
      <c r="AI364" s="40">
        <f>IFERROR(VLOOKUP(Tabela3[[#This Row],[Produto]],Tabela2[],8,0),0)</f>
        <v>0</v>
      </c>
      <c r="AJ364" s="35">
        <f ca="1">IFERROR(VLOOKUP(Tabela3[[#This Row],[Produto]],Tabela2[],13,0),0)</f>
        <v>15.600000000000001</v>
      </c>
      <c r="AK364" s="40" t="str">
        <f>IFERROR(VLOOKUP(Tabela3[[#This Row],[Produto]],Tabela2[],14,0),0)</f>
        <v>Senun</v>
      </c>
      <c r="AL364" s="40">
        <f>IFERROR(VLOOKUP(Tabela3[[#This Row],[Produto]],Tabela2[],15,0),0)</f>
        <v>3.5</v>
      </c>
      <c r="AM364" s="36">
        <f ca="1">(Tabela3[[#This Row],[Custo Usinagem]]+Tabela3[[#This Row],[Custo / Pç]])*1.2</f>
        <v>15.085746887395441</v>
      </c>
      <c r="AN364" s="36">
        <f ca="1">Tabela3[[#This Row],[Valor Mínimo Venda]]*1.15</f>
        <v>17.348608920504756</v>
      </c>
      <c r="AO364" s="36">
        <f ca="1">Tabela3[[#This Row],[Tabela 1]]*1.08</f>
        <v>18.736497634145138</v>
      </c>
      <c r="AP364" s="36">
        <f ca="1">Tabela3[[#This Row],[Tabela 2]]*1.15</f>
        <v>21.546972279266907</v>
      </c>
    </row>
    <row r="365" spans="1:42">
      <c r="A365" s="9">
        <v>45831</v>
      </c>
      <c r="B365" s="6" t="s">
        <v>245</v>
      </c>
      <c r="C365" s="14">
        <v>6895</v>
      </c>
      <c r="D365" s="6" t="s">
        <v>46</v>
      </c>
      <c r="E365" s="6" t="s">
        <v>44</v>
      </c>
      <c r="F365" s="6">
        <v>19</v>
      </c>
      <c r="G365" s="15">
        <v>8.1250000000000003E-2</v>
      </c>
      <c r="H365" s="16">
        <v>0</v>
      </c>
      <c r="I365" s="35">
        <f ca="1">IFERROR(Tabela3[[#This Row],[Custo Total]]/Tabela3[[#This Row],[Aluminio Util]],0)</f>
        <v>27.362759291840185</v>
      </c>
      <c r="J365" s="35">
        <f ca="1">Tabela3[[#This Row],[Custo Total]]/Tabela3[[#This Row],[Realizado]]</f>
        <v>9.0844360848909425</v>
      </c>
      <c r="K365" s="37">
        <f>IFERROR(Tabela3[[#This Row],[Qtde Cx Produzida]]/Tabela3[[#This Row],[Tempo]]/24,0)</f>
        <v>9.7435897435897427</v>
      </c>
      <c r="L365" s="37">
        <f>Tabela3[[#This Row],[Qtde Cx Produzida]]*Tabela3[[#This Row],[Qdt Peça Placa]]</f>
        <v>76</v>
      </c>
      <c r="M365" s="37">
        <f>Tabela3[[#This Row],[Previsto]]-Tabela3[[#This Row],[Perda Pçs]]</f>
        <v>76</v>
      </c>
      <c r="N365" s="38">
        <f>IFERROR(Tabela3[[#This Row],[Perda Pçs]]/Tabela3[[#This Row],[Previsto]],0)</f>
        <v>0</v>
      </c>
      <c r="O365" s="39">
        <f>IFERROR(IF(Tabela3[[#This Row],[Qtde Cx Produzida]] &lt;&gt; 0, Tabela3[[#This Row],[Tempo]] / Tabela3[[#This Row],[Qtde Cx Produzida]], 0),0)</f>
        <v>4.2763157894736845E-3</v>
      </c>
      <c r="P365" s="57">
        <f>IFERROR(Tabela3[[#This Row],[Perda Pçs]]/Tabela3[[#This Row],[Qdt Peça Placa]],0)</f>
        <v>0</v>
      </c>
      <c r="Q365" s="37">
        <f>IFERROR(Tabela3[[#This Row],[Realizado]]*Tabela3[[#This Row],[Peso Util/Pç]],0)</f>
        <v>25.232000000000003</v>
      </c>
      <c r="R365" s="37">
        <f>IFERROR(Tabela3[[#This Row],[Peso Total Galho]]*Tabela3[[#This Row],[Qtde Cx Produzida]]*1.055,0)</f>
        <v>46.10349999999999</v>
      </c>
      <c r="S365" s="37">
        <f>(Tabela3[[#This Row],[Aluminio Bruto]]-Tabela3[[#This Row],[Aluminio Util]])*0.9</f>
        <v>18.784349999999989</v>
      </c>
      <c r="T365" s="37">
        <f>Tabela3[[#This Row],[Aluminio Bruto]]/OleoKGAluminio</f>
        <v>19.395682838747206</v>
      </c>
      <c r="U365" s="35">
        <f>IFERROR((VLOOKUP(Tabela3[[#This Row],[Moldador]],Tabela1[],5,)+(VLOOKUP(Tabela3[[#This Row],[Ajudante]],Tabela1[],5,))*3.5),0)</f>
        <v>126.0945</v>
      </c>
      <c r="V365" s="35">
        <f>IFERROR(Tabela3[[#This Row],[Custo M.O. / H]]/((Tabela3[[#This Row],[Realizado]]/Tabela3[[#This Row],[Qdt Peça Placa]])/Tabela3[[#This Row],[Tempo]]/24),)</f>
        <v>12.941277631578949</v>
      </c>
      <c r="W365" s="35">
        <f>Tabela3[[#This Row],[Custo / Cx Moldada]]*Tabela3[[#This Row],[Qtde Cx Produzida]]</f>
        <v>245.88427500000003</v>
      </c>
      <c r="X365" s="35">
        <f ca="1">Tabela3[[#This Row],[Aluminio Util]]*Tabela3[[#This Row],[Custo/Kg]]</f>
        <v>393.61920000000009</v>
      </c>
      <c r="Y365" s="35">
        <f>IFERROR(VLOOKUP(Tabela3[[#This Row],[Data]],Tabela461213[],2,1)*(Tabela3[[#This Row],[Qtde Cx Produzida]]*Tabela3[[#This Row],[Qde macho / CX]]*Tabela3[[#This Row],[Peso Macho]]),)</f>
        <v>0</v>
      </c>
      <c r="Z365" s="35">
        <f>IFERROR(Tabela3[[#This Row],[Qtde Oleo]]*(VLOOKUP(Tabela3[[#This Row],[Data]],CompraOleo[],3,TRUE))*1.05,0)</f>
        <v>50.913667451711419</v>
      </c>
      <c r="AA365" s="47">
        <f ca="1">(Tabela3[[#This Row],[Custo Oleo]]+Tabela3[[#This Row],[Custo Aluminio]]+Tabela3[[#This Row],[Custo M.O. Total]]+Tabela3[[#This Row],[Custo Machos]])</f>
        <v>690.41714245171158</v>
      </c>
      <c r="AB365" s="47">
        <f ca="1">Tabela3[[#This Row],[Custo Total]]*Tabela3[[#This Row],[% Perda]]</f>
        <v>0</v>
      </c>
      <c r="AC365" s="48">
        <f>IFERROR(VLOOKUP(Tabela3[[#This Row],[Produto]],Tabela2[],2,0),0)</f>
        <v>4</v>
      </c>
      <c r="AD365" s="48">
        <f>IFERROR(VLOOKUP(Tabela3[[#This Row],[Produto]],Tabela2[],3,0),0)</f>
        <v>0.33200000000000002</v>
      </c>
      <c r="AE365" s="48">
        <f>IFERROR(VLOOKUP(Tabela3[[#This Row],[Produto]],Tabela2[],4,0),0)</f>
        <v>2.2999999999999998</v>
      </c>
      <c r="AF365" s="48">
        <f>IFERROR(VLOOKUP(Tabela3[[#This Row],[Produto]],Tabela2[],5,0),0)</f>
        <v>0.8747999999999998</v>
      </c>
      <c r="AG365" s="40">
        <f>IFERROR(VLOOKUP(Tabela3[[#This Row],[Produto]],Tabela2[],6,0),0)</f>
        <v>0</v>
      </c>
      <c r="AH365" s="40">
        <f>IFERROR(VLOOKUP(Tabela3[[#This Row],[Produto]],Tabela2[],7,0),0)</f>
        <v>0</v>
      </c>
      <c r="AI365" s="40">
        <f>IFERROR(VLOOKUP(Tabela3[[#This Row],[Produto]],Tabela2[],8,0),0)</f>
        <v>0</v>
      </c>
      <c r="AJ365" s="35">
        <f ca="1">IFERROR(VLOOKUP(Tabela3[[#This Row],[Produto]],Tabela2[],13,0),0)</f>
        <v>15.600000000000001</v>
      </c>
      <c r="AK365" s="40" t="str">
        <f>IFERROR(VLOOKUP(Tabela3[[#This Row],[Produto]],Tabela2[],14,0),0)</f>
        <v>Senun</v>
      </c>
      <c r="AL365" s="40">
        <f>IFERROR(VLOOKUP(Tabela3[[#This Row],[Produto]],Tabela2[],15,0),0)</f>
        <v>3.5</v>
      </c>
      <c r="AM365" s="36">
        <f ca="1">(Tabela3[[#This Row],[Custo Usinagem]]+Tabela3[[#This Row],[Custo / Pç]])*1.2</f>
        <v>15.10132330186913</v>
      </c>
      <c r="AN365" s="36">
        <f ca="1">Tabela3[[#This Row],[Valor Mínimo Venda]]*1.15</f>
        <v>17.366521797149499</v>
      </c>
      <c r="AO365" s="36">
        <f ca="1">Tabela3[[#This Row],[Tabela 1]]*1.08</f>
        <v>18.755843540921461</v>
      </c>
      <c r="AP365" s="36">
        <f ca="1">Tabela3[[#This Row],[Tabela 2]]*1.15</f>
        <v>21.569220072059679</v>
      </c>
    </row>
    <row r="366" spans="1:42">
      <c r="A366" s="9">
        <v>45831</v>
      </c>
      <c r="B366" s="6" t="s">
        <v>245</v>
      </c>
      <c r="C366" s="14">
        <v>6895</v>
      </c>
      <c r="D366" s="6" t="s">
        <v>44</v>
      </c>
      <c r="E366" s="6" t="s">
        <v>47</v>
      </c>
      <c r="F366" s="6">
        <v>14</v>
      </c>
      <c r="G366" s="15">
        <v>5.8333333333333334E-2</v>
      </c>
      <c r="H366" s="16">
        <v>4</v>
      </c>
      <c r="I366" s="35">
        <f ca="1">IFERROR(Tabela3[[#This Row],[Custo Total]]/Tabela3[[#This Row],[Aluminio Util]],0)</f>
        <v>26.501859446008453</v>
      </c>
      <c r="J366" s="35">
        <f ca="1">Tabela3[[#This Row],[Custo Total]]/Tabela3[[#This Row],[Realizado]]</f>
        <v>8.7986173360748055</v>
      </c>
      <c r="K366" s="37">
        <f>IFERROR(Tabela3[[#This Row],[Qtde Cx Produzida]]/Tabela3[[#This Row],[Tempo]]/24,0)</f>
        <v>10</v>
      </c>
      <c r="L366" s="37">
        <f>Tabela3[[#This Row],[Qtde Cx Produzida]]*Tabela3[[#This Row],[Qdt Peça Placa]]</f>
        <v>56</v>
      </c>
      <c r="M366" s="37">
        <f>Tabela3[[#This Row],[Previsto]]-Tabela3[[#This Row],[Perda Pçs]]</f>
        <v>52</v>
      </c>
      <c r="N366" s="38">
        <f>IFERROR(Tabela3[[#This Row],[Perda Pçs]]/Tabela3[[#This Row],[Previsto]],0)</f>
        <v>7.1428571428571425E-2</v>
      </c>
      <c r="O366" s="39">
        <f>IFERROR(IF(Tabela3[[#This Row],[Qtde Cx Produzida]] &lt;&gt; 0, Tabela3[[#This Row],[Tempo]] / Tabela3[[#This Row],[Qtde Cx Produzida]], 0),0)</f>
        <v>4.1666666666666666E-3</v>
      </c>
      <c r="P366" s="57">
        <f>IFERROR(Tabela3[[#This Row],[Perda Pçs]]/Tabela3[[#This Row],[Qdt Peça Placa]],0)</f>
        <v>1</v>
      </c>
      <c r="Q366" s="37">
        <f>IFERROR(Tabela3[[#This Row],[Realizado]]*Tabela3[[#This Row],[Peso Util/Pç]],0)</f>
        <v>17.263999999999999</v>
      </c>
      <c r="R366" s="37">
        <f>IFERROR(Tabela3[[#This Row],[Peso Total Galho]]*Tabela3[[#This Row],[Qtde Cx Produzida]]*1.055,0)</f>
        <v>33.970999999999997</v>
      </c>
      <c r="S366" s="37">
        <f>(Tabela3[[#This Row],[Aluminio Bruto]]-Tabela3[[#This Row],[Aluminio Util]])*0.9</f>
        <v>15.036299999999997</v>
      </c>
      <c r="T366" s="37">
        <f>Tabela3[[#This Row],[Aluminio Bruto]]/OleoKGAluminio</f>
        <v>14.291555775918996</v>
      </c>
      <c r="U366" s="35">
        <f>IFERROR((VLOOKUP(Tabela3[[#This Row],[Moldador]],Tabela1[],5,)+(VLOOKUP(Tabela3[[#This Row],[Ajudante]],Tabela1[],5,))*3.5),0)</f>
        <v>99.95034583333333</v>
      </c>
      <c r="V366" s="35">
        <f>IFERROR(Tabela3[[#This Row],[Custo M.O. / H]]/((Tabela3[[#This Row],[Realizado]]/Tabela3[[#This Row],[Qdt Peça Placa]])/Tabela3[[#This Row],[Tempo]]/24),)</f>
        <v>10.763883397435896</v>
      </c>
      <c r="W366" s="35">
        <f>Tabela3[[#This Row],[Custo / Cx Moldada]]*Tabela3[[#This Row],[Qtde Cx Produzida]]</f>
        <v>150.69436756410255</v>
      </c>
      <c r="X366" s="35">
        <f ca="1">Tabela3[[#This Row],[Aluminio Util]]*Tabela3[[#This Row],[Custo/Kg]]</f>
        <v>269.3184</v>
      </c>
      <c r="Y366" s="35">
        <f>IFERROR(VLOOKUP(Tabela3[[#This Row],[Data]],Tabela461213[],2,1)*(Tabela3[[#This Row],[Qtde Cx Produzida]]*Tabela3[[#This Row],[Qde macho / CX]]*Tabela3[[#This Row],[Peso Macho]]),)</f>
        <v>0</v>
      </c>
      <c r="Z366" s="35">
        <f>IFERROR(Tabela3[[#This Row],[Qtde Oleo]]*(VLOOKUP(Tabela3[[#This Row],[Data]],CompraOleo[],3,TRUE))*1.05,0)</f>
        <v>37.515333911787366</v>
      </c>
      <c r="AA366" s="47">
        <f ca="1">(Tabela3[[#This Row],[Custo Oleo]]+Tabela3[[#This Row],[Custo Aluminio]]+Tabela3[[#This Row],[Custo M.O. Total]]+Tabela3[[#This Row],[Custo Machos]])</f>
        <v>457.52810147588991</v>
      </c>
      <c r="AB366" s="47">
        <f ca="1">Tabela3[[#This Row],[Custo Total]]*Tabela3[[#This Row],[% Perda]]</f>
        <v>32.680578676849279</v>
      </c>
      <c r="AC366" s="48">
        <f>IFERROR(VLOOKUP(Tabela3[[#This Row],[Produto]],Tabela2[],2,0),0)</f>
        <v>4</v>
      </c>
      <c r="AD366" s="48">
        <f>IFERROR(VLOOKUP(Tabela3[[#This Row],[Produto]],Tabela2[],3,0),0)</f>
        <v>0.33200000000000002</v>
      </c>
      <c r="AE366" s="48">
        <f>IFERROR(VLOOKUP(Tabela3[[#This Row],[Produto]],Tabela2[],4,0),0)</f>
        <v>2.2999999999999998</v>
      </c>
      <c r="AF366" s="48">
        <f>IFERROR(VLOOKUP(Tabela3[[#This Row],[Produto]],Tabela2[],5,0),0)</f>
        <v>0.8747999999999998</v>
      </c>
      <c r="AG366" s="40">
        <f>IFERROR(VLOOKUP(Tabela3[[#This Row],[Produto]],Tabela2[],6,0),0)</f>
        <v>0</v>
      </c>
      <c r="AH366" s="40">
        <f>IFERROR(VLOOKUP(Tabela3[[#This Row],[Produto]],Tabela2[],7,0),0)</f>
        <v>0</v>
      </c>
      <c r="AI366" s="40">
        <f>IFERROR(VLOOKUP(Tabela3[[#This Row],[Produto]],Tabela2[],8,0),0)</f>
        <v>0</v>
      </c>
      <c r="AJ366" s="35">
        <f ca="1">IFERROR(VLOOKUP(Tabela3[[#This Row],[Produto]],Tabela2[],13,0),0)</f>
        <v>15.600000000000001</v>
      </c>
      <c r="AK366" s="40" t="str">
        <f>IFERROR(VLOOKUP(Tabela3[[#This Row],[Produto]],Tabela2[],14,0),0)</f>
        <v>Senun</v>
      </c>
      <c r="AL366" s="40">
        <f>IFERROR(VLOOKUP(Tabela3[[#This Row],[Produto]],Tabela2[],15,0),0)</f>
        <v>3.5</v>
      </c>
      <c r="AM366" s="36">
        <f ca="1">(Tabela3[[#This Row],[Custo Usinagem]]+Tabela3[[#This Row],[Custo / Pç]])*1.2</f>
        <v>14.758340803289766</v>
      </c>
      <c r="AN366" s="36">
        <f ca="1">Tabela3[[#This Row],[Valor Mínimo Venda]]*1.15</f>
        <v>16.972091923783228</v>
      </c>
      <c r="AO366" s="36">
        <f ca="1">Tabela3[[#This Row],[Tabela 1]]*1.08</f>
        <v>18.329859277685888</v>
      </c>
      <c r="AP366" s="36">
        <f ca="1">Tabela3[[#This Row],[Tabela 2]]*1.15</f>
        <v>21.079338169338769</v>
      </c>
    </row>
    <row r="367" spans="1:42">
      <c r="A367" s="9">
        <v>45831</v>
      </c>
      <c r="B367" s="6" t="s">
        <v>245</v>
      </c>
      <c r="C367" s="14">
        <v>6895</v>
      </c>
      <c r="D367" s="6" t="s">
        <v>46</v>
      </c>
      <c r="E367" s="6" t="s">
        <v>53</v>
      </c>
      <c r="F367" s="6">
        <v>2</v>
      </c>
      <c r="G367" s="15">
        <v>9.0277777777777769E-3</v>
      </c>
      <c r="H367" s="16">
        <v>0</v>
      </c>
      <c r="I367" s="35">
        <f ca="1">IFERROR(Tabela3[[#This Row],[Custo Total]]/Tabela3[[#This Row],[Aluminio Util]],0)</f>
        <v>25.77140123488649</v>
      </c>
      <c r="J367" s="35">
        <f ca="1">Tabela3[[#This Row],[Custo Total]]/Tabela3[[#This Row],[Realizado]]</f>
        <v>8.5561052099823147</v>
      </c>
      <c r="K367" s="37">
        <f>IFERROR(Tabela3[[#This Row],[Qtde Cx Produzida]]/Tabela3[[#This Row],[Tempo]]/24,0)</f>
        <v>9.2307692307692317</v>
      </c>
      <c r="L367" s="37">
        <f>Tabela3[[#This Row],[Qtde Cx Produzida]]*Tabela3[[#This Row],[Qdt Peça Placa]]</f>
        <v>8</v>
      </c>
      <c r="M367" s="37">
        <f>Tabela3[[#This Row],[Previsto]]-Tabela3[[#This Row],[Perda Pçs]]</f>
        <v>8</v>
      </c>
      <c r="N367" s="38">
        <f>IFERROR(Tabela3[[#This Row],[Perda Pçs]]/Tabela3[[#This Row],[Previsto]],0)</f>
        <v>0</v>
      </c>
      <c r="O367" s="39">
        <f>IFERROR(IF(Tabela3[[#This Row],[Qtde Cx Produzida]] &lt;&gt; 0, Tabela3[[#This Row],[Tempo]] / Tabela3[[#This Row],[Qtde Cx Produzida]], 0),0)</f>
        <v>4.5138888888888885E-3</v>
      </c>
      <c r="P367" s="57">
        <f>IFERROR(Tabela3[[#This Row],[Perda Pçs]]/Tabela3[[#This Row],[Qdt Peça Placa]],0)</f>
        <v>0</v>
      </c>
      <c r="Q367" s="37">
        <f>IFERROR(Tabela3[[#This Row],[Realizado]]*Tabela3[[#This Row],[Peso Util/Pç]],0)</f>
        <v>2.6560000000000001</v>
      </c>
      <c r="R367" s="37">
        <f>IFERROR(Tabela3[[#This Row],[Peso Total Galho]]*Tabela3[[#This Row],[Qtde Cx Produzida]]*1.055,0)</f>
        <v>4.8529999999999998</v>
      </c>
      <c r="S367" s="37">
        <f>(Tabela3[[#This Row],[Aluminio Bruto]]-Tabela3[[#This Row],[Aluminio Util]])*0.9</f>
        <v>1.9772999999999996</v>
      </c>
      <c r="T367" s="37">
        <f>Tabela3[[#This Row],[Aluminio Bruto]]/OleoKGAluminio</f>
        <v>2.0416508251312853</v>
      </c>
      <c r="U367" s="35">
        <f>IFERROR((VLOOKUP(Tabela3[[#This Row],[Moldador]],Tabela1[],5,)+(VLOOKUP(Tabela3[[#This Row],[Ajudante]],Tabela1[],5,))*3.5),0)</f>
        <v>99.95034583333333</v>
      </c>
      <c r="V367" s="35">
        <f>IFERROR(Tabela3[[#This Row],[Custo M.O. / H]]/((Tabela3[[#This Row],[Realizado]]/Tabela3[[#This Row],[Qdt Peça Placa]])/Tabela3[[#This Row],[Tempo]]/24),)</f>
        <v>10.827954131944443</v>
      </c>
      <c r="W367" s="35">
        <f>Tabela3[[#This Row],[Custo / Cx Moldada]]*Tabela3[[#This Row],[Qtde Cx Produzida]]</f>
        <v>21.655908263888886</v>
      </c>
      <c r="X367" s="35">
        <f ca="1">Tabela3[[#This Row],[Aluminio Util]]*Tabela3[[#This Row],[Custo/Kg]]</f>
        <v>41.433600000000006</v>
      </c>
      <c r="Y367" s="35">
        <f>IFERROR(VLOOKUP(Tabela3[[#This Row],[Data]],Tabela461213[],2,1)*(Tabela3[[#This Row],[Qtde Cx Produzida]]*Tabela3[[#This Row],[Qde macho / CX]]*Tabela3[[#This Row],[Peso Macho]]),)</f>
        <v>0</v>
      </c>
      <c r="Z367" s="35">
        <f>IFERROR(Tabela3[[#This Row],[Qtde Oleo]]*(VLOOKUP(Tabela3[[#This Row],[Data]],CompraOleo[],3,TRUE))*1.05,0)</f>
        <v>5.3593334159696235</v>
      </c>
      <c r="AA367" s="47">
        <f ca="1">(Tabela3[[#This Row],[Custo Oleo]]+Tabela3[[#This Row],[Custo Aluminio]]+Tabela3[[#This Row],[Custo M.O. Total]]+Tabela3[[#This Row],[Custo Machos]])</f>
        <v>68.448841679858518</v>
      </c>
      <c r="AB367" s="47">
        <f ca="1">Tabela3[[#This Row],[Custo Total]]*Tabela3[[#This Row],[% Perda]]</f>
        <v>0</v>
      </c>
      <c r="AC367" s="48">
        <f>IFERROR(VLOOKUP(Tabela3[[#This Row],[Produto]],Tabela2[],2,0),0)</f>
        <v>4</v>
      </c>
      <c r="AD367" s="48">
        <f>IFERROR(VLOOKUP(Tabela3[[#This Row],[Produto]],Tabela2[],3,0),0)</f>
        <v>0.33200000000000002</v>
      </c>
      <c r="AE367" s="48">
        <f>IFERROR(VLOOKUP(Tabela3[[#This Row],[Produto]],Tabela2[],4,0),0)</f>
        <v>2.2999999999999998</v>
      </c>
      <c r="AF367" s="48">
        <f>IFERROR(VLOOKUP(Tabela3[[#This Row],[Produto]],Tabela2[],5,0),0)</f>
        <v>0.8747999999999998</v>
      </c>
      <c r="AG367" s="40">
        <f>IFERROR(VLOOKUP(Tabela3[[#This Row],[Produto]],Tabela2[],6,0),0)</f>
        <v>0</v>
      </c>
      <c r="AH367" s="40">
        <f>IFERROR(VLOOKUP(Tabela3[[#This Row],[Produto]],Tabela2[],7,0),0)</f>
        <v>0</v>
      </c>
      <c r="AI367" s="40">
        <f>IFERROR(VLOOKUP(Tabela3[[#This Row],[Produto]],Tabela2[],8,0),0)</f>
        <v>0</v>
      </c>
      <c r="AJ367" s="35">
        <f ca="1">IFERROR(VLOOKUP(Tabela3[[#This Row],[Produto]],Tabela2[],13,0),0)</f>
        <v>15.600000000000001</v>
      </c>
      <c r="AK367" s="40" t="str">
        <f>IFERROR(VLOOKUP(Tabela3[[#This Row],[Produto]],Tabela2[],14,0),0)</f>
        <v>Senun</v>
      </c>
      <c r="AL367" s="40">
        <f>IFERROR(VLOOKUP(Tabela3[[#This Row],[Produto]],Tabela2[],15,0),0)</f>
        <v>3.5</v>
      </c>
      <c r="AM367" s="36">
        <f ca="1">(Tabela3[[#This Row],[Custo Usinagem]]+Tabela3[[#This Row],[Custo / Pç]])*1.2</f>
        <v>14.467326251978777</v>
      </c>
      <c r="AN367" s="36">
        <f ca="1">Tabela3[[#This Row],[Valor Mínimo Venda]]*1.15</f>
        <v>16.637425189775591</v>
      </c>
      <c r="AO367" s="36">
        <f ca="1">Tabela3[[#This Row],[Tabela 1]]*1.08</f>
        <v>17.968419204957641</v>
      </c>
      <c r="AP367" s="36">
        <f ca="1">Tabela3[[#This Row],[Tabela 2]]*1.15</f>
        <v>20.663682085701286</v>
      </c>
    </row>
    <row r="368" spans="1:42">
      <c r="A368" s="9">
        <v>45831</v>
      </c>
      <c r="B368" s="6" t="s">
        <v>241</v>
      </c>
      <c r="C368" s="14">
        <v>6788</v>
      </c>
      <c r="D368" s="6" t="s">
        <v>46</v>
      </c>
      <c r="E368" s="6" t="s">
        <v>53</v>
      </c>
      <c r="F368" s="6">
        <v>13</v>
      </c>
      <c r="G368" s="15">
        <v>8.1250000000000003E-2</v>
      </c>
      <c r="H368" s="16">
        <v>6</v>
      </c>
      <c r="I368" s="35">
        <f ca="1">IFERROR(Tabela3[[#This Row],[Custo Total]]/Tabela3[[#This Row],[Aluminio Util]],0)</f>
        <v>25.750016894684812</v>
      </c>
      <c r="J368" s="35">
        <f ca="1">Tabela3[[#This Row],[Custo Total]]/Tabela3[[#This Row],[Realizado]]</f>
        <v>15.78476035644179</v>
      </c>
      <c r="K368" s="37">
        <f>IFERROR(Tabela3[[#This Row],[Qtde Cx Produzida]]/Tabela3[[#This Row],[Tempo]]/24,0)</f>
        <v>6.666666666666667</v>
      </c>
      <c r="L368" s="37">
        <f>Tabela3[[#This Row],[Qtde Cx Produzida]]*Tabela3[[#This Row],[Qdt Peça Placa]]</f>
        <v>52</v>
      </c>
      <c r="M368" s="37">
        <f>Tabela3[[#This Row],[Previsto]]-Tabela3[[#This Row],[Perda Pçs]]</f>
        <v>46</v>
      </c>
      <c r="N368" s="38">
        <f>IFERROR(Tabela3[[#This Row],[Perda Pçs]]/Tabela3[[#This Row],[Previsto]],0)</f>
        <v>0.11538461538461539</v>
      </c>
      <c r="O368" s="39">
        <f>IFERROR(IF(Tabela3[[#This Row],[Qtde Cx Produzida]] &lt;&gt; 0, Tabela3[[#This Row],[Tempo]] / Tabela3[[#This Row],[Qtde Cx Produzida]], 0),0)</f>
        <v>6.2500000000000003E-3</v>
      </c>
      <c r="P368" s="57">
        <f>IFERROR(Tabela3[[#This Row],[Perda Pçs]]/Tabela3[[#This Row],[Qdt Peça Placa]],0)</f>
        <v>1.5</v>
      </c>
      <c r="Q368" s="37">
        <f>IFERROR(Tabela3[[#This Row],[Realizado]]*Tabela3[[#This Row],[Peso Util/Pç]],0)</f>
        <v>28.198</v>
      </c>
      <c r="R368" s="37">
        <f>IFERROR(Tabela3[[#This Row],[Peso Total Galho]]*Tabela3[[#This Row],[Qtde Cx Produzida]]*1.055,0)</f>
        <v>59.660249999999991</v>
      </c>
      <c r="S368" s="37">
        <f>(Tabela3[[#This Row],[Aluminio Bruto]]-Tabela3[[#This Row],[Aluminio Util]])*0.9</f>
        <v>28.316024999999993</v>
      </c>
      <c r="T368" s="37">
        <f>Tabela3[[#This Row],[Aluminio Bruto]]/OleoKGAluminio</f>
        <v>25.098990035037861</v>
      </c>
      <c r="U368" s="35">
        <f>IFERROR((VLOOKUP(Tabela3[[#This Row],[Moldador]],Tabela1[],5,)+(VLOOKUP(Tabela3[[#This Row],[Ajudante]],Tabela1[],5,))*3.5),0)</f>
        <v>99.95034583333333</v>
      </c>
      <c r="V368" s="35">
        <f>IFERROR(Tabela3[[#This Row],[Custo M.O. / H]]/((Tabela3[[#This Row],[Realizado]]/Tabela3[[#This Row],[Qdt Peça Placa]])/Tabela3[[#This Row],[Tempo]]/24),)</f>
        <v>16.948102119565217</v>
      </c>
      <c r="W368" s="35">
        <f>Tabela3[[#This Row],[Custo / Cx Moldada]]*Tabela3[[#This Row],[Qtde Cx Produzida]]</f>
        <v>220.32532755434781</v>
      </c>
      <c r="X368" s="35">
        <f ca="1">Tabela3[[#This Row],[Aluminio Util]]*Tabela3[[#This Row],[Custo/Kg]]</f>
        <v>439.88880000000006</v>
      </c>
      <c r="Y368" s="35">
        <f>IFERROR(VLOOKUP(Tabela3[[#This Row],[Data]],Tabela461213[],2,1)*(Tabela3[[#This Row],[Qtde Cx Produzida]]*Tabela3[[#This Row],[Qde macho / CX]]*Tabela3[[#This Row],[Peso Macho]]),)</f>
        <v>0</v>
      </c>
      <c r="Z368" s="35">
        <f>IFERROR(Tabela3[[#This Row],[Qtde Oleo]]*(VLOOKUP(Tabela3[[#This Row],[Data]],CompraOleo[],3,TRUE))*1.05,0)</f>
        <v>65.884848841974389</v>
      </c>
      <c r="AA368" s="47">
        <f ca="1">(Tabela3[[#This Row],[Custo Oleo]]+Tabela3[[#This Row],[Custo Aluminio]]+Tabela3[[#This Row],[Custo M.O. Total]]+Tabela3[[#This Row],[Custo Machos]])</f>
        <v>726.09897639632231</v>
      </c>
      <c r="AB368" s="47">
        <f ca="1">Tabela3[[#This Row],[Custo Total]]*Tabela3[[#This Row],[% Perda]]</f>
        <v>83.780651122652586</v>
      </c>
      <c r="AC368" s="48">
        <f>IFERROR(VLOOKUP(Tabela3[[#This Row],[Produto]],Tabela2[],2,0),0)</f>
        <v>4</v>
      </c>
      <c r="AD368" s="48">
        <f>IFERROR(VLOOKUP(Tabela3[[#This Row],[Produto]],Tabela2[],3,0),0)</f>
        <v>0.61299999999999999</v>
      </c>
      <c r="AE368" s="48">
        <f>IFERROR(VLOOKUP(Tabela3[[#This Row],[Produto]],Tabela2[],4,0),0)</f>
        <v>4.3499999999999996</v>
      </c>
      <c r="AF368" s="48">
        <f>IFERROR(VLOOKUP(Tabela3[[#This Row],[Produto]],Tabela2[],5,0),0)</f>
        <v>1.7081999999999997</v>
      </c>
      <c r="AG368" s="40">
        <f>IFERROR(VLOOKUP(Tabela3[[#This Row],[Produto]],Tabela2[],6,0),0)</f>
        <v>0</v>
      </c>
      <c r="AH368" s="40">
        <f>IFERROR(VLOOKUP(Tabela3[[#This Row],[Produto]],Tabela2[],7,0),0)</f>
        <v>0</v>
      </c>
      <c r="AI368" s="40">
        <f>IFERROR(VLOOKUP(Tabela3[[#This Row],[Produto]],Tabela2[],8,0),0)</f>
        <v>0</v>
      </c>
      <c r="AJ368" s="35">
        <f ca="1">IFERROR(VLOOKUP(Tabela3[[#This Row],[Produto]],Tabela2[],13,0),0)</f>
        <v>15.600000000000001</v>
      </c>
      <c r="AK368" s="40" t="str">
        <f>IFERROR(VLOOKUP(Tabela3[[#This Row],[Produto]],Tabela2[],14,0),0)</f>
        <v>Senun</v>
      </c>
      <c r="AL368" s="40">
        <f>IFERROR(VLOOKUP(Tabela3[[#This Row],[Produto]],Tabela2[],15,0),0)</f>
        <v>4</v>
      </c>
      <c r="AM368" s="36">
        <f ca="1">(Tabela3[[#This Row],[Custo Usinagem]]+Tabela3[[#This Row],[Custo / Pç]])*1.2</f>
        <v>23.741712427730146</v>
      </c>
      <c r="AN368" s="36">
        <f ca="1">Tabela3[[#This Row],[Valor Mínimo Venda]]*1.15</f>
        <v>27.302969291889667</v>
      </c>
      <c r="AO368" s="36">
        <f ca="1">Tabela3[[#This Row],[Tabela 1]]*1.08</f>
        <v>29.487206835240844</v>
      </c>
      <c r="AP368" s="36">
        <f ca="1">Tabela3[[#This Row],[Tabela 2]]*1.15</f>
        <v>33.910287860526971</v>
      </c>
    </row>
    <row r="369" spans="1:42">
      <c r="A369" s="9">
        <v>45831</v>
      </c>
      <c r="B369" s="6" t="s">
        <v>241</v>
      </c>
      <c r="C369" s="14">
        <v>6788</v>
      </c>
      <c r="D369" s="6" t="s">
        <v>44</v>
      </c>
      <c r="E369" s="6" t="s">
        <v>47</v>
      </c>
      <c r="F369" s="6">
        <v>13</v>
      </c>
      <c r="G369" s="15">
        <v>7.9166666666666663E-2</v>
      </c>
      <c r="H369" s="16">
        <v>5</v>
      </c>
      <c r="I369" s="35">
        <f ca="1">IFERROR(Tabela3[[#This Row],[Custo Total]]/Tabela3[[#This Row],[Aluminio Util]],0)</f>
        <v>25.179439637716776</v>
      </c>
      <c r="J369" s="35">
        <f ca="1">Tabela3[[#This Row],[Custo Total]]/Tabela3[[#This Row],[Realizado]]</f>
        <v>15.434996497920384</v>
      </c>
      <c r="K369" s="37">
        <f>IFERROR(Tabela3[[#This Row],[Qtde Cx Produzida]]/Tabela3[[#This Row],[Tempo]]/24,0)</f>
        <v>6.8421052631578947</v>
      </c>
      <c r="L369" s="37">
        <f>Tabela3[[#This Row],[Qtde Cx Produzida]]*Tabela3[[#This Row],[Qdt Peça Placa]]</f>
        <v>52</v>
      </c>
      <c r="M369" s="37">
        <f>Tabela3[[#This Row],[Previsto]]-Tabela3[[#This Row],[Perda Pçs]]</f>
        <v>47</v>
      </c>
      <c r="N369" s="38">
        <f>IFERROR(Tabela3[[#This Row],[Perda Pçs]]/Tabela3[[#This Row],[Previsto]],0)</f>
        <v>9.6153846153846159E-2</v>
      </c>
      <c r="O369" s="39">
        <f>IFERROR(IF(Tabela3[[#This Row],[Qtde Cx Produzida]] &lt;&gt; 0, Tabela3[[#This Row],[Tempo]] / Tabela3[[#This Row],[Qtde Cx Produzida]], 0),0)</f>
        <v>6.0897435897435898E-3</v>
      </c>
      <c r="P369" s="57">
        <f>IFERROR(Tabela3[[#This Row],[Perda Pçs]]/Tabela3[[#This Row],[Qdt Peça Placa]],0)</f>
        <v>1.25</v>
      </c>
      <c r="Q369" s="37">
        <f>IFERROR(Tabela3[[#This Row],[Realizado]]*Tabela3[[#This Row],[Peso Util/Pç]],0)</f>
        <v>28.811</v>
      </c>
      <c r="R369" s="37">
        <f>IFERROR(Tabela3[[#This Row],[Peso Total Galho]]*Tabela3[[#This Row],[Qtde Cx Produzida]]*1.055,0)</f>
        <v>59.660249999999991</v>
      </c>
      <c r="S369" s="37">
        <f>(Tabela3[[#This Row],[Aluminio Bruto]]-Tabela3[[#This Row],[Aluminio Util]])*0.9</f>
        <v>27.764324999999992</v>
      </c>
      <c r="T369" s="37">
        <f>Tabela3[[#This Row],[Aluminio Bruto]]/OleoKGAluminio</f>
        <v>25.098990035037861</v>
      </c>
      <c r="U369" s="35">
        <f>IFERROR((VLOOKUP(Tabela3[[#This Row],[Moldador]],Tabela1[],5,)+(VLOOKUP(Tabela3[[#This Row],[Ajudante]],Tabela1[],5,))*3.5),0)</f>
        <v>99.95034583333333</v>
      </c>
      <c r="V369" s="35">
        <f>IFERROR(Tabela3[[#This Row],[Custo M.O. / H]]/((Tabela3[[#This Row],[Realizado]]/Tabela3[[#This Row],[Qdt Peça Placa]])/Tabela3[[#This Row],[Tempo]]/24),)</f>
        <v>16.162183581560281</v>
      </c>
      <c r="W369" s="35">
        <f>Tabela3[[#This Row],[Custo / Cx Moldada]]*Tabela3[[#This Row],[Qtde Cx Produzida]]</f>
        <v>210.10838656028366</v>
      </c>
      <c r="X369" s="35">
        <f ca="1">Tabela3[[#This Row],[Aluminio Util]]*Tabela3[[#This Row],[Custo/Kg]]</f>
        <v>449.45160000000004</v>
      </c>
      <c r="Y369" s="35">
        <f>IFERROR(VLOOKUP(Tabela3[[#This Row],[Data]],Tabela461213[],2,1)*(Tabela3[[#This Row],[Qtde Cx Produzida]]*Tabela3[[#This Row],[Qde macho / CX]]*Tabela3[[#This Row],[Peso Macho]]),)</f>
        <v>0</v>
      </c>
      <c r="Z369" s="35">
        <f>IFERROR(Tabela3[[#This Row],[Qtde Oleo]]*(VLOOKUP(Tabela3[[#This Row],[Data]],CompraOleo[],3,TRUE))*1.05,0)</f>
        <v>65.884848841974389</v>
      </c>
      <c r="AA369" s="47">
        <f ca="1">(Tabela3[[#This Row],[Custo Oleo]]+Tabela3[[#This Row],[Custo Aluminio]]+Tabela3[[#This Row],[Custo M.O. Total]]+Tabela3[[#This Row],[Custo Machos]])</f>
        <v>725.44483540225804</v>
      </c>
      <c r="AB369" s="47">
        <f ca="1">Tabela3[[#This Row],[Custo Total]]*Tabela3[[#This Row],[% Perda]]</f>
        <v>69.754311096370969</v>
      </c>
      <c r="AC369" s="48">
        <f>IFERROR(VLOOKUP(Tabela3[[#This Row],[Produto]],Tabela2[],2,0),0)</f>
        <v>4</v>
      </c>
      <c r="AD369" s="48">
        <f>IFERROR(VLOOKUP(Tabela3[[#This Row],[Produto]],Tabela2[],3,0),0)</f>
        <v>0.61299999999999999</v>
      </c>
      <c r="AE369" s="48">
        <f>IFERROR(VLOOKUP(Tabela3[[#This Row],[Produto]],Tabela2[],4,0),0)</f>
        <v>4.3499999999999996</v>
      </c>
      <c r="AF369" s="48">
        <f>IFERROR(VLOOKUP(Tabela3[[#This Row],[Produto]],Tabela2[],5,0),0)</f>
        <v>1.7081999999999997</v>
      </c>
      <c r="AG369" s="40">
        <f>IFERROR(VLOOKUP(Tabela3[[#This Row],[Produto]],Tabela2[],6,0),0)</f>
        <v>0</v>
      </c>
      <c r="AH369" s="40">
        <f>IFERROR(VLOOKUP(Tabela3[[#This Row],[Produto]],Tabela2[],7,0),0)</f>
        <v>0</v>
      </c>
      <c r="AI369" s="40">
        <f>IFERROR(VLOOKUP(Tabela3[[#This Row],[Produto]],Tabela2[],8,0),0)</f>
        <v>0</v>
      </c>
      <c r="AJ369" s="35">
        <f ca="1">IFERROR(VLOOKUP(Tabela3[[#This Row],[Produto]],Tabela2[],13,0),0)</f>
        <v>15.600000000000001</v>
      </c>
      <c r="AK369" s="40" t="str">
        <f>IFERROR(VLOOKUP(Tabela3[[#This Row],[Produto]],Tabela2[],14,0),0)</f>
        <v>Senun</v>
      </c>
      <c r="AL369" s="40">
        <f>IFERROR(VLOOKUP(Tabela3[[#This Row],[Produto]],Tabela2[],15,0),0)</f>
        <v>4</v>
      </c>
      <c r="AM369" s="36">
        <f ca="1">(Tabela3[[#This Row],[Custo Usinagem]]+Tabela3[[#This Row],[Custo / Pç]])*1.2</f>
        <v>23.32199579750446</v>
      </c>
      <c r="AN369" s="36">
        <f ca="1">Tabela3[[#This Row],[Valor Mínimo Venda]]*1.15</f>
        <v>26.820295167130126</v>
      </c>
      <c r="AO369" s="36">
        <f ca="1">Tabela3[[#This Row],[Tabela 1]]*1.08</f>
        <v>28.965918780500537</v>
      </c>
      <c r="AP369" s="36">
        <f ca="1">Tabela3[[#This Row],[Tabela 2]]*1.15</f>
        <v>33.310806597575613</v>
      </c>
    </row>
    <row r="370" spans="1:42">
      <c r="A370" s="9">
        <v>45832</v>
      </c>
      <c r="B370" s="6" t="s">
        <v>241</v>
      </c>
      <c r="C370" s="14">
        <v>6788</v>
      </c>
      <c r="D370" s="6" t="s">
        <v>46</v>
      </c>
      <c r="E370" s="6" t="s">
        <v>53</v>
      </c>
      <c r="F370" s="6">
        <v>4</v>
      </c>
      <c r="G370" s="15">
        <v>2.361111111111111E-2</v>
      </c>
      <c r="H370" s="16">
        <v>0</v>
      </c>
      <c r="I370" s="35">
        <f ca="1">IFERROR(Tabela3[[#This Row],[Custo Total]]/Tabela3[[#This Row],[Aluminio Util]],0)</f>
        <v>23.441638508126175</v>
      </c>
      <c r="J370" s="35">
        <f ca="1">Tabela3[[#This Row],[Custo Total]]/Tabela3[[#This Row],[Realizado]]</f>
        <v>14.369724405481346</v>
      </c>
      <c r="K370" s="37">
        <f>IFERROR(Tabela3[[#This Row],[Qtde Cx Produzida]]/Tabela3[[#This Row],[Tempo]]/24,0)</f>
        <v>7.0588235294117645</v>
      </c>
      <c r="L370" s="37">
        <f>Tabela3[[#This Row],[Qtde Cx Produzida]]*Tabela3[[#This Row],[Qdt Peça Placa]]</f>
        <v>16</v>
      </c>
      <c r="M370" s="37">
        <f>Tabela3[[#This Row],[Previsto]]-Tabela3[[#This Row],[Perda Pçs]]</f>
        <v>16</v>
      </c>
      <c r="N370" s="38">
        <f>IFERROR(Tabela3[[#This Row],[Perda Pçs]]/Tabela3[[#This Row],[Previsto]],0)</f>
        <v>0</v>
      </c>
      <c r="O370" s="39">
        <f>IFERROR(IF(Tabela3[[#This Row],[Qtde Cx Produzida]] &lt;&gt; 0, Tabela3[[#This Row],[Tempo]] / Tabela3[[#This Row],[Qtde Cx Produzida]], 0),0)</f>
        <v>5.9027777777777776E-3</v>
      </c>
      <c r="P370" s="57">
        <f>IFERROR(Tabela3[[#This Row],[Perda Pçs]]/Tabela3[[#This Row],[Qdt Peça Placa]],0)</f>
        <v>0</v>
      </c>
      <c r="Q370" s="37">
        <f>IFERROR(Tabela3[[#This Row],[Realizado]]*Tabela3[[#This Row],[Peso Util/Pç]],0)</f>
        <v>9.8079999999999998</v>
      </c>
      <c r="R370" s="37">
        <f>IFERROR(Tabela3[[#This Row],[Peso Total Galho]]*Tabela3[[#This Row],[Qtde Cx Produzida]]*1.055,0)</f>
        <v>18.356999999999996</v>
      </c>
      <c r="S370" s="37">
        <f>(Tabela3[[#This Row],[Aluminio Bruto]]-Tabela3[[#This Row],[Aluminio Util]])*0.9</f>
        <v>7.6940999999999962</v>
      </c>
      <c r="T370" s="37">
        <f>Tabela3[[#This Row],[Aluminio Bruto]]/OleoKGAluminio</f>
        <v>7.7227661646270338</v>
      </c>
      <c r="U370" s="35">
        <f>IFERROR((VLOOKUP(Tabela3[[#This Row],[Moldador]],Tabela1[],5,)+(VLOOKUP(Tabela3[[#This Row],[Ajudante]],Tabela1[],5,))*3.5),0)</f>
        <v>99.95034583333333</v>
      </c>
      <c r="V370" s="35">
        <f>IFERROR(Tabela3[[#This Row],[Custo M.O. / H]]/((Tabela3[[#This Row],[Realizado]]/Tabela3[[#This Row],[Qdt Peça Placa]])/Tabela3[[#This Row],[Tempo]]/24),)</f>
        <v>14.159632326388889</v>
      </c>
      <c r="W370" s="35">
        <f>Tabela3[[#This Row],[Custo / Cx Moldada]]*Tabela3[[#This Row],[Qtde Cx Produzida]]</f>
        <v>56.638529305555558</v>
      </c>
      <c r="X370" s="35">
        <f ca="1">Tabela3[[#This Row],[Aluminio Util]]*Tabela3[[#This Row],[Custo/Kg]]</f>
        <v>153.00480000000002</v>
      </c>
      <c r="Y370" s="35">
        <f>IFERROR(VLOOKUP(Tabela3[[#This Row],[Data]],Tabela461213[],2,1)*(Tabela3[[#This Row],[Qtde Cx Produzida]]*Tabela3[[#This Row],[Qde macho / CX]]*Tabela3[[#This Row],[Peso Macho]]),)</f>
        <v>0</v>
      </c>
      <c r="Z370" s="35">
        <f>IFERROR(Tabela3[[#This Row],[Qtde Oleo]]*(VLOOKUP(Tabela3[[#This Row],[Data]],CompraOleo[],3,TRUE))*1.05,0)</f>
        <v>20.272261182145964</v>
      </c>
      <c r="AA370" s="47">
        <f ca="1">(Tabela3[[#This Row],[Custo Oleo]]+Tabela3[[#This Row],[Custo Aluminio]]+Tabela3[[#This Row],[Custo M.O. Total]]+Tabela3[[#This Row],[Custo Machos]])</f>
        <v>229.91559048770154</v>
      </c>
      <c r="AB370" s="47">
        <f ca="1">Tabela3[[#This Row],[Custo Total]]*Tabela3[[#This Row],[% Perda]]</f>
        <v>0</v>
      </c>
      <c r="AC370" s="48">
        <f>IFERROR(VLOOKUP(Tabela3[[#This Row],[Produto]],Tabela2[],2,0),0)</f>
        <v>4</v>
      </c>
      <c r="AD370" s="48">
        <f>IFERROR(VLOOKUP(Tabela3[[#This Row],[Produto]],Tabela2[],3,0),0)</f>
        <v>0.61299999999999999</v>
      </c>
      <c r="AE370" s="48">
        <f>IFERROR(VLOOKUP(Tabela3[[#This Row],[Produto]],Tabela2[],4,0),0)</f>
        <v>4.3499999999999996</v>
      </c>
      <c r="AF370" s="48">
        <f>IFERROR(VLOOKUP(Tabela3[[#This Row],[Produto]],Tabela2[],5,0),0)</f>
        <v>1.7081999999999997</v>
      </c>
      <c r="AG370" s="40">
        <f>IFERROR(VLOOKUP(Tabela3[[#This Row],[Produto]],Tabela2[],6,0),0)</f>
        <v>0</v>
      </c>
      <c r="AH370" s="40">
        <f>IFERROR(VLOOKUP(Tabela3[[#This Row],[Produto]],Tabela2[],7,0),0)</f>
        <v>0</v>
      </c>
      <c r="AI370" s="40">
        <f>IFERROR(VLOOKUP(Tabela3[[#This Row],[Produto]],Tabela2[],8,0),0)</f>
        <v>0</v>
      </c>
      <c r="AJ370" s="35">
        <f ca="1">IFERROR(VLOOKUP(Tabela3[[#This Row],[Produto]],Tabela2[],13,0),0)</f>
        <v>15.600000000000001</v>
      </c>
      <c r="AK370" s="40" t="str">
        <f>IFERROR(VLOOKUP(Tabela3[[#This Row],[Produto]],Tabela2[],14,0),0)</f>
        <v>Senun</v>
      </c>
      <c r="AL370" s="40">
        <f>IFERROR(VLOOKUP(Tabela3[[#This Row],[Produto]],Tabela2[],15,0),0)</f>
        <v>4</v>
      </c>
      <c r="AM370" s="36">
        <f ca="1">(Tabela3[[#This Row],[Custo Usinagem]]+Tabela3[[#This Row],[Custo / Pç]])*1.2</f>
        <v>22.043669286577614</v>
      </c>
      <c r="AN370" s="36">
        <f ca="1">Tabela3[[#This Row],[Valor Mínimo Venda]]*1.15</f>
        <v>25.350219679564255</v>
      </c>
      <c r="AO370" s="36">
        <f ca="1">Tabela3[[#This Row],[Tabela 1]]*1.08</f>
        <v>27.378237253929395</v>
      </c>
      <c r="AP370" s="36">
        <f ca="1">Tabela3[[#This Row],[Tabela 2]]*1.15</f>
        <v>31.484972842018802</v>
      </c>
    </row>
    <row r="371" spans="1:42">
      <c r="A371" s="9">
        <v>45832</v>
      </c>
      <c r="B371" s="6" t="s">
        <v>111</v>
      </c>
      <c r="C371" s="14">
        <v>6947</v>
      </c>
      <c r="D371" s="6" t="s">
        <v>46</v>
      </c>
      <c r="E371" s="6" t="s">
        <v>53</v>
      </c>
      <c r="F371" s="6">
        <v>10</v>
      </c>
      <c r="G371" s="15">
        <v>7.9166666666666663E-2</v>
      </c>
      <c r="H371" s="16">
        <v>0</v>
      </c>
      <c r="I371" s="35">
        <f ca="1">IFERROR(Tabela3[[#This Row],[Custo Total]]/Tabela3[[#This Row],[Aluminio Util]],0)</f>
        <v>27.400033728364388</v>
      </c>
      <c r="J371" s="35">
        <f ca="1">Tabela3[[#This Row],[Custo Total]]/Tabela3[[#This Row],[Realizado]]</f>
        <v>53.430065770310556</v>
      </c>
      <c r="K371" s="37">
        <f>IFERROR(Tabela3[[#This Row],[Qtde Cx Produzida]]/Tabela3[[#This Row],[Tempo]]/24,0)</f>
        <v>5.2631578947368425</v>
      </c>
      <c r="L371" s="37">
        <f>Tabela3[[#This Row],[Qtde Cx Produzida]]*Tabela3[[#This Row],[Qdt Peça Placa]]</f>
        <v>10</v>
      </c>
      <c r="M371" s="37">
        <f>Tabela3[[#This Row],[Previsto]]-Tabela3[[#This Row],[Perda Pçs]]</f>
        <v>10</v>
      </c>
      <c r="N371" s="38">
        <f>IFERROR(Tabela3[[#This Row],[Perda Pçs]]/Tabela3[[#This Row],[Previsto]],0)</f>
        <v>0</v>
      </c>
      <c r="O371" s="39">
        <f>IFERROR(IF(Tabela3[[#This Row],[Qtde Cx Produzida]] &lt;&gt; 0, Tabela3[[#This Row],[Tempo]] / Tabela3[[#This Row],[Qtde Cx Produzida]], 0),0)</f>
        <v>7.9166666666666656E-3</v>
      </c>
      <c r="P371" s="57">
        <f>IFERROR(Tabela3[[#This Row],[Perda Pçs]]/Tabela3[[#This Row],[Qdt Peça Placa]],0)</f>
        <v>0</v>
      </c>
      <c r="Q371" s="37">
        <f>IFERROR(Tabela3[[#This Row],[Realizado]]*Tabela3[[#This Row],[Peso Util/Pç]],0)</f>
        <v>19.5</v>
      </c>
      <c r="R371" s="37">
        <f>IFERROR(Tabela3[[#This Row],[Peso Total Galho]]*Tabela3[[#This Row],[Qtde Cx Produzida]]*1.055,0)</f>
        <v>36.397500000000001</v>
      </c>
      <c r="S371" s="37">
        <f>(Tabela3[[#This Row],[Aluminio Bruto]]-Tabela3[[#This Row],[Aluminio Util]])*0.9</f>
        <v>15.207750000000001</v>
      </c>
      <c r="T371" s="37">
        <f>Tabela3[[#This Row],[Aluminio Bruto]]/OleoKGAluminio</f>
        <v>15.31238118848464</v>
      </c>
      <c r="U371" s="35">
        <f>IFERROR((VLOOKUP(Tabela3[[#This Row],[Moldador]],Tabela1[],5,)+(VLOOKUP(Tabela3[[#This Row],[Ajudante]],Tabela1[],5,))*3.5),0)</f>
        <v>99.95034583333333</v>
      </c>
      <c r="V371" s="35">
        <f>IFERROR(Tabela3[[#This Row],[Custo M.O. / H]]/((Tabela3[[#This Row],[Realizado]]/Tabela3[[#This Row],[Qdt Peça Placa]])/Tabela3[[#This Row],[Tempo]]/24),)</f>
        <v>18.990565708333332</v>
      </c>
      <c r="W371" s="35">
        <f>Tabela3[[#This Row],[Custo / Cx Moldada]]*Tabela3[[#This Row],[Qtde Cx Produzida]]</f>
        <v>189.90565708333332</v>
      </c>
      <c r="X371" s="35">
        <f ca="1">Tabela3[[#This Row],[Aluminio Util]]*Tabela3[[#This Row],[Custo/Kg]]</f>
        <v>304.20000000000005</v>
      </c>
      <c r="Y371" s="35">
        <f>IFERROR(VLOOKUP(Tabela3[[#This Row],[Data]],Tabela461213[],2,1)*(Tabela3[[#This Row],[Qtde Cx Produzida]]*Tabela3[[#This Row],[Qde macho / CX]]*Tabela3[[#This Row],[Peso Macho]]),)</f>
        <v>0</v>
      </c>
      <c r="Z371" s="35">
        <f>IFERROR(Tabela3[[#This Row],[Qtde Oleo]]*(VLOOKUP(Tabela3[[#This Row],[Data]],CompraOleo[],3,TRUE))*1.05,0)</f>
        <v>40.195000619772181</v>
      </c>
      <c r="AA371" s="47">
        <f ca="1">(Tabela3[[#This Row],[Custo Oleo]]+Tabela3[[#This Row],[Custo Aluminio]]+Tabela3[[#This Row],[Custo M.O. Total]]+Tabela3[[#This Row],[Custo Machos]])</f>
        <v>534.30065770310557</v>
      </c>
      <c r="AB371" s="47">
        <f ca="1">Tabela3[[#This Row],[Custo Total]]*Tabela3[[#This Row],[% Perda]]</f>
        <v>0</v>
      </c>
      <c r="AC371" s="48">
        <f>IFERROR(VLOOKUP(Tabela3[[#This Row],[Produto]],Tabela2[],2,0),0)</f>
        <v>1</v>
      </c>
      <c r="AD371" s="48">
        <f>IFERROR(VLOOKUP(Tabela3[[#This Row],[Produto]],Tabela2[],3,0),0)</f>
        <v>1.95</v>
      </c>
      <c r="AE371" s="48">
        <f>IFERROR(VLOOKUP(Tabela3[[#This Row],[Produto]],Tabela2[],4,0),0)</f>
        <v>3.45</v>
      </c>
      <c r="AF371" s="48">
        <f>IFERROR(VLOOKUP(Tabela3[[#This Row],[Produto]],Tabela2[],5,0),0)</f>
        <v>1.3500000000000003</v>
      </c>
      <c r="AG371" s="40">
        <f>IFERROR(VLOOKUP(Tabela3[[#This Row],[Produto]],Tabela2[],6,0),0)</f>
        <v>0</v>
      </c>
      <c r="AH371" s="40">
        <f>IFERROR(VLOOKUP(Tabela3[[#This Row],[Produto]],Tabela2[],7,0),0)</f>
        <v>0</v>
      </c>
      <c r="AI371" s="40">
        <f>IFERROR(VLOOKUP(Tabela3[[#This Row],[Produto]],Tabela2[],8,0),0)</f>
        <v>0</v>
      </c>
      <c r="AJ371" s="35">
        <f ca="1">IFERROR(VLOOKUP(Tabela3[[#This Row],[Produto]],Tabela2[],13,0),0)</f>
        <v>15.600000000000001</v>
      </c>
      <c r="AK371" s="40" t="str">
        <f>IFERROR(VLOOKUP(Tabela3[[#This Row],[Produto]],Tabela2[],14,0),0)</f>
        <v>Jumil</v>
      </c>
      <c r="AL371" s="40">
        <f>IFERROR(VLOOKUP(Tabela3[[#This Row],[Produto]],Tabela2[],15,0),0)</f>
        <v>1</v>
      </c>
      <c r="AM371" s="36">
        <f ca="1">(Tabela3[[#This Row],[Custo Usinagem]]+Tabela3[[#This Row],[Custo / Pç]])*1.2</f>
        <v>65.316078924372661</v>
      </c>
      <c r="AN371" s="36">
        <f ca="1">Tabela3[[#This Row],[Valor Mínimo Venda]]*1.15</f>
        <v>75.113490763028551</v>
      </c>
      <c r="AO371" s="36">
        <f ca="1">Tabela3[[#This Row],[Tabela 1]]*1.08</f>
        <v>81.122570024070839</v>
      </c>
      <c r="AP371" s="36">
        <f ca="1">Tabela3[[#This Row],[Tabela 2]]*1.15</f>
        <v>93.290955527681461</v>
      </c>
    </row>
    <row r="372" spans="1:42">
      <c r="A372" s="9">
        <v>45832</v>
      </c>
      <c r="B372" s="6" t="s">
        <v>106</v>
      </c>
      <c r="C372" s="14">
        <v>6789</v>
      </c>
      <c r="D372" s="6" t="s">
        <v>46</v>
      </c>
      <c r="E372" s="6" t="s">
        <v>53</v>
      </c>
      <c r="F372" s="6">
        <v>7</v>
      </c>
      <c r="G372" s="15">
        <v>5.1388888888888887E-2</v>
      </c>
      <c r="H372" s="16">
        <v>3</v>
      </c>
      <c r="I372" s="35">
        <f ca="1">IFERROR(Tabela3[[#This Row],[Custo Total]]/Tabela3[[#This Row],[Aluminio Util]],0)</f>
        <v>27.526437226068545</v>
      </c>
      <c r="J372" s="35">
        <f ca="1">Tabela3[[#This Row],[Custo Total]]/Tabela3[[#This Row],[Realizado]]</f>
        <v>21.883517594724495</v>
      </c>
      <c r="K372" s="37">
        <f>IFERROR(Tabela3[[#This Row],[Qtde Cx Produzida]]/Tabela3[[#This Row],[Tempo]]/24,0)</f>
        <v>5.6756756756756763</v>
      </c>
      <c r="L372" s="37">
        <f>Tabela3[[#This Row],[Qtde Cx Produzida]]*Tabela3[[#This Row],[Qdt Peça Placa]]</f>
        <v>28</v>
      </c>
      <c r="M372" s="37">
        <f>Tabela3[[#This Row],[Previsto]]-Tabela3[[#This Row],[Perda Pçs]]</f>
        <v>25</v>
      </c>
      <c r="N372" s="38">
        <f>IFERROR(Tabela3[[#This Row],[Perda Pçs]]/Tabela3[[#This Row],[Previsto]],0)</f>
        <v>0.10714285714285714</v>
      </c>
      <c r="O372" s="39">
        <f>IFERROR(IF(Tabela3[[#This Row],[Qtde Cx Produzida]] &lt;&gt; 0, Tabela3[[#This Row],[Tempo]] / Tabela3[[#This Row],[Qtde Cx Produzida]], 0),0)</f>
        <v>7.3412698412698412E-3</v>
      </c>
      <c r="P372" s="57">
        <f>IFERROR(Tabela3[[#This Row],[Perda Pçs]]/Tabela3[[#This Row],[Qdt Peça Placa]],0)</f>
        <v>0.75</v>
      </c>
      <c r="Q372" s="37">
        <f>IFERROR(Tabela3[[#This Row],[Realizado]]*Tabela3[[#This Row],[Peso Util/Pç]],0)</f>
        <v>19.875</v>
      </c>
      <c r="R372" s="37">
        <f>IFERROR(Tabela3[[#This Row],[Peso Total Galho]]*Tabela3[[#This Row],[Qtde Cx Produzida]]*1.055,0)</f>
        <v>41.562779999999997</v>
      </c>
      <c r="S372" s="37">
        <f>(Tabela3[[#This Row],[Aluminio Bruto]]-Tabela3[[#This Row],[Aluminio Util]])*0.9</f>
        <v>19.519001999999997</v>
      </c>
      <c r="T372" s="37">
        <f>Tabela3[[#This Row],[Aluminio Bruto]]/OleoKGAluminio</f>
        <v>17.485407805841763</v>
      </c>
      <c r="U372" s="35">
        <f>IFERROR((VLOOKUP(Tabela3[[#This Row],[Moldador]],Tabela1[],5,)+(VLOOKUP(Tabela3[[#This Row],[Ajudante]],Tabela1[],5,))*3.5),0)</f>
        <v>99.95034583333333</v>
      </c>
      <c r="V372" s="35">
        <f>IFERROR(Tabela3[[#This Row],[Custo M.O. / H]]/((Tabela3[[#This Row],[Realizado]]/Tabela3[[#This Row],[Qdt Peça Placa]])/Tabela3[[#This Row],[Tempo]]/24),)</f>
        <v>19.723534911111109</v>
      </c>
      <c r="W372" s="35">
        <f>Tabela3[[#This Row],[Custo / Cx Moldada]]*Tabela3[[#This Row],[Qtde Cx Produzida]]</f>
        <v>138.06474437777777</v>
      </c>
      <c r="X372" s="35">
        <f ca="1">Tabela3[[#This Row],[Aluminio Util]]*Tabela3[[#This Row],[Custo/Kg]]</f>
        <v>310.05</v>
      </c>
      <c r="Y372" s="35">
        <f>IFERROR(VLOOKUP(Tabela3[[#This Row],[Data]],Tabela461213[],2,1)*(Tabela3[[#This Row],[Qtde Cx Produzida]]*Tabela3[[#This Row],[Qde macho / CX]]*Tabela3[[#This Row],[Peso Macho]]),)</f>
        <v>53.073999999999998</v>
      </c>
      <c r="Z372" s="35">
        <f>IFERROR(Tabela3[[#This Row],[Qtde Oleo]]*(VLOOKUP(Tabela3[[#This Row],[Data]],CompraOleo[],3,TRUE))*1.05,0)</f>
        <v>45.899195490334627</v>
      </c>
      <c r="AA372" s="47">
        <f ca="1">(Tabela3[[#This Row],[Custo Oleo]]+Tabela3[[#This Row],[Custo Aluminio]]+Tabela3[[#This Row],[Custo M.O. Total]]+Tabela3[[#This Row],[Custo Machos]])</f>
        <v>547.08793986811236</v>
      </c>
      <c r="AB372" s="47">
        <f ca="1">Tabela3[[#This Row],[Custo Total]]*Tabela3[[#This Row],[% Perda]]</f>
        <v>58.616564985869175</v>
      </c>
      <c r="AC372" s="48">
        <f>IFERROR(VLOOKUP(Tabela3[[#This Row],[Produto]],Tabela2[],2,0),0)</f>
        <v>4</v>
      </c>
      <c r="AD372" s="48">
        <f>IFERROR(VLOOKUP(Tabela3[[#This Row],[Produto]],Tabela2[],3,0),0)</f>
        <v>0.79500000000000004</v>
      </c>
      <c r="AE372" s="48">
        <f>IFERROR(VLOOKUP(Tabela3[[#This Row],[Produto]],Tabela2[],4,0),0)</f>
        <v>5.6280000000000001</v>
      </c>
      <c r="AF372" s="48">
        <f>IFERROR(VLOOKUP(Tabela3[[#This Row],[Produto]],Tabela2[],5,0),0)</f>
        <v>2.2031999999999998</v>
      </c>
      <c r="AG372" s="40">
        <f>IFERROR(VLOOKUP(Tabela3[[#This Row],[Produto]],Tabela2[],6,0),0)</f>
        <v>0</v>
      </c>
      <c r="AH372" s="40">
        <f>IFERROR(VLOOKUP(Tabela3[[#This Row],[Produto]],Tabela2[],7,0),0)</f>
        <v>4</v>
      </c>
      <c r="AI372" s="40">
        <f>IFERROR(VLOOKUP(Tabela3[[#This Row],[Produto]],Tabela2[],8,0),0)</f>
        <v>1.115</v>
      </c>
      <c r="AJ372" s="35">
        <f ca="1">IFERROR(VLOOKUP(Tabela3[[#This Row],[Produto]],Tabela2[],13,0),0)</f>
        <v>15.600000000000001</v>
      </c>
      <c r="AK372" s="40" t="str">
        <f>IFERROR(VLOOKUP(Tabela3[[#This Row],[Produto]],Tabela2[],14,0),0)</f>
        <v>Jumil</v>
      </c>
      <c r="AL372" s="40">
        <f>IFERROR(VLOOKUP(Tabela3[[#This Row],[Produto]],Tabela2[],15,0),0)</f>
        <v>5</v>
      </c>
      <c r="AM372" s="36">
        <f ca="1">(Tabela3[[#This Row],[Custo Usinagem]]+Tabela3[[#This Row],[Custo / Pç]])*1.2</f>
        <v>32.260221113669395</v>
      </c>
      <c r="AN372" s="36">
        <f ca="1">Tabela3[[#This Row],[Valor Mínimo Venda]]*1.15</f>
        <v>37.099254280719805</v>
      </c>
      <c r="AO372" s="36">
        <f ca="1">Tabela3[[#This Row],[Tabela 1]]*1.08</f>
        <v>40.067194623177393</v>
      </c>
      <c r="AP372" s="36">
        <f ca="1">Tabela3[[#This Row],[Tabela 2]]*1.15</f>
        <v>46.077273816653999</v>
      </c>
    </row>
    <row r="373" spans="1:42">
      <c r="A373" s="9">
        <v>45832</v>
      </c>
      <c r="B373" s="6" t="s">
        <v>232</v>
      </c>
      <c r="C373" s="14">
        <v>6605</v>
      </c>
      <c r="D373" s="6" t="s">
        <v>46</v>
      </c>
      <c r="E373" s="6" t="s">
        <v>53</v>
      </c>
      <c r="F373" s="6">
        <v>20</v>
      </c>
      <c r="G373" s="15">
        <v>9.6527777777777782E-2</v>
      </c>
      <c r="H373" s="16">
        <v>0</v>
      </c>
      <c r="I373" s="35">
        <f ca="1">IFERROR(Tabela3[[#This Row],[Custo Total]]/Tabela3[[#This Row],[Aluminio Util]],0)</f>
        <v>26.700032557569031</v>
      </c>
      <c r="J373" s="35">
        <f ca="1">Tabela3[[#This Row],[Custo Total]]/Tabela3[[#This Row],[Realizado]]</f>
        <v>11.240713706736562</v>
      </c>
      <c r="K373" s="37">
        <f>IFERROR(Tabela3[[#This Row],[Qtde Cx Produzida]]/Tabela3[[#This Row],[Tempo]]/24,0)</f>
        <v>8.6330935251798557</v>
      </c>
      <c r="L373" s="37">
        <f>Tabela3[[#This Row],[Qtde Cx Produzida]]*Tabela3[[#This Row],[Qdt Peça Placa]]</f>
        <v>80</v>
      </c>
      <c r="M373" s="37">
        <f>Tabela3[[#This Row],[Previsto]]-Tabela3[[#This Row],[Perda Pçs]]</f>
        <v>80</v>
      </c>
      <c r="N373" s="38">
        <f>IFERROR(Tabela3[[#This Row],[Perda Pçs]]/Tabela3[[#This Row],[Previsto]],0)</f>
        <v>0</v>
      </c>
      <c r="O373" s="39">
        <f>IFERROR(IF(Tabela3[[#This Row],[Qtde Cx Produzida]] &lt;&gt; 0, Tabela3[[#This Row],[Tempo]] / Tabela3[[#This Row],[Qtde Cx Produzida]], 0),0)</f>
        <v>4.8263888888888887E-3</v>
      </c>
      <c r="P373" s="57">
        <f>IFERROR(Tabela3[[#This Row],[Perda Pçs]]/Tabela3[[#This Row],[Qdt Peça Placa]],0)</f>
        <v>0</v>
      </c>
      <c r="Q373" s="37">
        <f>IFERROR(Tabela3[[#This Row],[Realizado]]*Tabela3[[#This Row],[Peso Util/Pç]],0)</f>
        <v>33.68</v>
      </c>
      <c r="R373" s="37">
        <f>IFERROR(Tabela3[[#This Row],[Peso Total Galho]]*Tabela3[[#This Row],[Qtde Cx Produzida]]*1.055,0)</f>
        <v>67.857600000000005</v>
      </c>
      <c r="S373" s="37">
        <f>(Tabela3[[#This Row],[Aluminio Bruto]]-Tabela3[[#This Row],[Aluminio Util]])*0.9</f>
        <v>30.759840000000004</v>
      </c>
      <c r="T373" s="37">
        <f>Tabela3[[#This Row],[Aluminio Bruto]]/OleoKGAluminio</f>
        <v>28.547604580966148</v>
      </c>
      <c r="U373" s="35">
        <f>IFERROR((VLOOKUP(Tabela3[[#This Row],[Moldador]],Tabela1[],5,)+(VLOOKUP(Tabela3[[#This Row],[Ajudante]],Tabela1[],5,))*3.5),0)</f>
        <v>99.95034583333333</v>
      </c>
      <c r="V373" s="35">
        <f>IFERROR(Tabela3[[#This Row],[Custo M.O. / H]]/((Tabela3[[#This Row],[Realizado]]/Tabela3[[#This Row],[Qdt Peça Placa]])/Tabela3[[#This Row],[Tempo]]/24),)</f>
        <v>11.577581725694445</v>
      </c>
      <c r="W373" s="35">
        <f>Tabela3[[#This Row],[Custo / Cx Moldada]]*Tabela3[[#This Row],[Qtde Cx Produzida]]</f>
        <v>231.5516345138889</v>
      </c>
      <c r="X373" s="35">
        <f ca="1">Tabela3[[#This Row],[Aluminio Util]]*Tabela3[[#This Row],[Custo/Kg]]</f>
        <v>592.76800000000003</v>
      </c>
      <c r="Y373" s="35">
        <f>IFERROR(VLOOKUP(Tabela3[[#This Row],[Data]],Tabela461213[],2,1)*(Tabela3[[#This Row],[Qtde Cx Produzida]]*Tabela3[[#This Row],[Qde macho / CX]]*Tabela3[[#This Row],[Peso Macho]]),)</f>
        <v>0</v>
      </c>
      <c r="Z373" s="35">
        <f>IFERROR(Tabela3[[#This Row],[Qtde Oleo]]*(VLOOKUP(Tabela3[[#This Row],[Data]],CompraOleo[],3,TRUE))*1.05,0)</f>
        <v>74.93746202503614</v>
      </c>
      <c r="AA373" s="47">
        <f ca="1">(Tabela3[[#This Row],[Custo Oleo]]+Tabela3[[#This Row],[Custo Aluminio]]+Tabela3[[#This Row],[Custo M.O. Total]]+Tabela3[[#This Row],[Custo Machos]])</f>
        <v>899.257096538925</v>
      </c>
      <c r="AB373" s="47">
        <f ca="1">Tabela3[[#This Row],[Custo Total]]*Tabela3[[#This Row],[% Perda]]</f>
        <v>0</v>
      </c>
      <c r="AC373" s="48">
        <f>IFERROR(VLOOKUP(Tabela3[[#This Row],[Produto]],Tabela2[],2,0),0)</f>
        <v>4</v>
      </c>
      <c r="AD373" s="48">
        <f>IFERROR(VLOOKUP(Tabela3[[#This Row],[Produto]],Tabela2[],3,0),0)</f>
        <v>0.42099999999999999</v>
      </c>
      <c r="AE373" s="48">
        <f>IFERROR(VLOOKUP(Tabela3[[#This Row],[Produto]],Tabela2[],4,0),0)</f>
        <v>3.2160000000000002</v>
      </c>
      <c r="AF373" s="48">
        <f>IFERROR(VLOOKUP(Tabela3[[#This Row],[Produto]],Tabela2[],5,0),0)</f>
        <v>1.3788000000000002</v>
      </c>
      <c r="AG373" s="40">
        <f>IFERROR(VLOOKUP(Tabela3[[#This Row],[Produto]],Tabela2[],6,0),0)</f>
        <v>0</v>
      </c>
      <c r="AH373" s="40">
        <f>IFERROR(VLOOKUP(Tabela3[[#This Row],[Produto]],Tabela2[],7,0),0)</f>
        <v>0</v>
      </c>
      <c r="AI373" s="40">
        <f>IFERROR(VLOOKUP(Tabela3[[#This Row],[Produto]],Tabela2[],8,0),0)</f>
        <v>0</v>
      </c>
      <c r="AJ373" s="35">
        <f ca="1">IFERROR(VLOOKUP(Tabela3[[#This Row],[Produto]],Tabela2[],13,0),0)</f>
        <v>17.600000000000001</v>
      </c>
      <c r="AK373" s="40" t="str">
        <f>IFERROR(VLOOKUP(Tabela3[[#This Row],[Produto]],Tabela2[],14,0),0)</f>
        <v>Busa</v>
      </c>
      <c r="AL373" s="40">
        <f>IFERROR(VLOOKUP(Tabela3[[#This Row],[Produto]],Tabela2[],15,0),0)</f>
        <v>0.5</v>
      </c>
      <c r="AM373" s="36">
        <f ca="1">(Tabela3[[#This Row],[Custo Usinagem]]+Tabela3[[#This Row],[Custo / Pç]])*1.2</f>
        <v>14.088856448083874</v>
      </c>
      <c r="AN373" s="36">
        <f ca="1">Tabela3[[#This Row],[Valor Mínimo Venda]]*1.15</f>
        <v>16.202184915296453</v>
      </c>
      <c r="AO373" s="36">
        <f ca="1">Tabela3[[#This Row],[Tabela 1]]*1.08</f>
        <v>17.498359708520169</v>
      </c>
      <c r="AP373" s="36">
        <f ca="1">Tabela3[[#This Row],[Tabela 2]]*1.15</f>
        <v>20.123113664798193</v>
      </c>
    </row>
    <row r="374" spans="1:42">
      <c r="A374" s="9">
        <v>45832</v>
      </c>
      <c r="B374" s="6" t="s">
        <v>232</v>
      </c>
      <c r="C374" s="14">
        <v>6605</v>
      </c>
      <c r="D374" s="6" t="s">
        <v>44</v>
      </c>
      <c r="E374" s="6" t="s">
        <v>47</v>
      </c>
      <c r="F374" s="6">
        <v>11</v>
      </c>
      <c r="G374" s="15">
        <v>5.1388888888888887E-2</v>
      </c>
      <c r="H374" s="16">
        <v>0</v>
      </c>
      <c r="I374" s="35">
        <f ca="1">IFERROR(Tabela3[[#This Row],[Custo Total]]/Tabela3[[#This Row],[Aluminio Util]],0)</f>
        <v>26.47970726129423</v>
      </c>
      <c r="J374" s="35">
        <f ca="1">Tabela3[[#This Row],[Custo Total]]/Tabela3[[#This Row],[Realizado]]</f>
        <v>11.147956757004872</v>
      </c>
      <c r="K374" s="37">
        <f>IFERROR(Tabela3[[#This Row],[Qtde Cx Produzida]]/Tabela3[[#This Row],[Tempo]]/24,0)</f>
        <v>8.9189189189189193</v>
      </c>
      <c r="L374" s="37">
        <f>Tabela3[[#This Row],[Qtde Cx Produzida]]*Tabela3[[#This Row],[Qdt Peça Placa]]</f>
        <v>44</v>
      </c>
      <c r="M374" s="37">
        <f>Tabela3[[#This Row],[Previsto]]-Tabela3[[#This Row],[Perda Pçs]]</f>
        <v>44</v>
      </c>
      <c r="N374" s="38">
        <f>IFERROR(Tabela3[[#This Row],[Perda Pçs]]/Tabela3[[#This Row],[Previsto]],0)</f>
        <v>0</v>
      </c>
      <c r="O374" s="39">
        <f>IFERROR(IF(Tabela3[[#This Row],[Qtde Cx Produzida]] &lt;&gt; 0, Tabela3[[#This Row],[Tempo]] / Tabela3[[#This Row],[Qtde Cx Produzida]], 0),0)</f>
        <v>4.6717171717171714E-3</v>
      </c>
      <c r="P374" s="57">
        <f>IFERROR(Tabela3[[#This Row],[Perda Pçs]]/Tabela3[[#This Row],[Qdt Peça Placa]],0)</f>
        <v>0</v>
      </c>
      <c r="Q374" s="37">
        <f>IFERROR(Tabela3[[#This Row],[Realizado]]*Tabela3[[#This Row],[Peso Util/Pç]],0)</f>
        <v>18.524000000000001</v>
      </c>
      <c r="R374" s="37">
        <f>IFERROR(Tabela3[[#This Row],[Peso Total Galho]]*Tabela3[[#This Row],[Qtde Cx Produzida]]*1.055,0)</f>
        <v>37.321680000000001</v>
      </c>
      <c r="S374" s="37">
        <f>(Tabela3[[#This Row],[Aluminio Bruto]]-Tabela3[[#This Row],[Aluminio Util]])*0.9</f>
        <v>16.917912000000001</v>
      </c>
      <c r="T374" s="37">
        <f>Tabela3[[#This Row],[Aluminio Bruto]]/OleoKGAluminio</f>
        <v>15.701182519531381</v>
      </c>
      <c r="U374" s="35">
        <f>IFERROR((VLOOKUP(Tabela3[[#This Row],[Moldador]],Tabela1[],5,)+(VLOOKUP(Tabela3[[#This Row],[Ajudante]],Tabela1[],5,))*3.5),0)</f>
        <v>99.95034583333333</v>
      </c>
      <c r="V374" s="35">
        <f>IFERROR(Tabela3[[#This Row],[Custo M.O. / H]]/((Tabela3[[#This Row],[Realizado]]/Tabela3[[#This Row],[Qdt Peça Placa]])/Tabela3[[#This Row],[Tempo]]/24),)</f>
        <v>11.206553926767675</v>
      </c>
      <c r="W374" s="35">
        <f>Tabela3[[#This Row],[Custo / Cx Moldada]]*Tabela3[[#This Row],[Qtde Cx Produzida]]</f>
        <v>123.27209319444444</v>
      </c>
      <c r="X374" s="35">
        <f ca="1">Tabela3[[#This Row],[Aluminio Util]]*Tabela3[[#This Row],[Custo/Kg]]</f>
        <v>326.02240000000006</v>
      </c>
      <c r="Y374" s="35">
        <f>IFERROR(VLOOKUP(Tabela3[[#This Row],[Data]],Tabela461213[],2,1)*(Tabela3[[#This Row],[Qtde Cx Produzida]]*Tabela3[[#This Row],[Qde macho / CX]]*Tabela3[[#This Row],[Peso Macho]]),)</f>
        <v>0</v>
      </c>
      <c r="Z374" s="35">
        <f>IFERROR(Tabela3[[#This Row],[Qtde Oleo]]*(VLOOKUP(Tabela3[[#This Row],[Data]],CompraOleo[],3,TRUE))*1.05,0)</f>
        <v>41.215604113769878</v>
      </c>
      <c r="AA374" s="47">
        <f ca="1">(Tabela3[[#This Row],[Custo Oleo]]+Tabela3[[#This Row],[Custo Aluminio]]+Tabela3[[#This Row],[Custo M.O. Total]]+Tabela3[[#This Row],[Custo Machos]])</f>
        <v>490.51009730821437</v>
      </c>
      <c r="AB374" s="47">
        <f ca="1">Tabela3[[#This Row],[Custo Total]]*Tabela3[[#This Row],[% Perda]]</f>
        <v>0</v>
      </c>
      <c r="AC374" s="48">
        <f>IFERROR(VLOOKUP(Tabela3[[#This Row],[Produto]],Tabela2[],2,0),0)</f>
        <v>4</v>
      </c>
      <c r="AD374" s="48">
        <f>IFERROR(VLOOKUP(Tabela3[[#This Row],[Produto]],Tabela2[],3,0),0)</f>
        <v>0.42099999999999999</v>
      </c>
      <c r="AE374" s="48">
        <f>IFERROR(VLOOKUP(Tabela3[[#This Row],[Produto]],Tabela2[],4,0),0)</f>
        <v>3.2160000000000002</v>
      </c>
      <c r="AF374" s="48">
        <f>IFERROR(VLOOKUP(Tabela3[[#This Row],[Produto]],Tabela2[],5,0),0)</f>
        <v>1.3788000000000002</v>
      </c>
      <c r="AG374" s="40">
        <f>IFERROR(VLOOKUP(Tabela3[[#This Row],[Produto]],Tabela2[],6,0),0)</f>
        <v>0</v>
      </c>
      <c r="AH374" s="40">
        <f>IFERROR(VLOOKUP(Tabela3[[#This Row],[Produto]],Tabela2[],7,0),0)</f>
        <v>0</v>
      </c>
      <c r="AI374" s="40">
        <f>IFERROR(VLOOKUP(Tabela3[[#This Row],[Produto]],Tabela2[],8,0),0)</f>
        <v>0</v>
      </c>
      <c r="AJ374" s="35">
        <f ca="1">IFERROR(VLOOKUP(Tabela3[[#This Row],[Produto]],Tabela2[],13,0),0)</f>
        <v>17.600000000000001</v>
      </c>
      <c r="AK374" s="40" t="str">
        <f>IFERROR(VLOOKUP(Tabela3[[#This Row],[Produto]],Tabela2[],14,0),0)</f>
        <v>Busa</v>
      </c>
      <c r="AL374" s="40">
        <f>IFERROR(VLOOKUP(Tabela3[[#This Row],[Produto]],Tabela2[],15,0),0)</f>
        <v>0.5</v>
      </c>
      <c r="AM374" s="36">
        <f ca="1">(Tabela3[[#This Row],[Custo Usinagem]]+Tabela3[[#This Row],[Custo / Pç]])*1.2</f>
        <v>13.977548108405847</v>
      </c>
      <c r="AN374" s="36">
        <f ca="1">Tabela3[[#This Row],[Valor Mínimo Venda]]*1.15</f>
        <v>16.074180324666724</v>
      </c>
      <c r="AO374" s="36">
        <f ca="1">Tabela3[[#This Row],[Tabela 1]]*1.08</f>
        <v>17.360114750640061</v>
      </c>
      <c r="AP374" s="36">
        <f ca="1">Tabela3[[#This Row],[Tabela 2]]*1.15</f>
        <v>19.964131963236071</v>
      </c>
    </row>
    <row r="375" spans="1:42">
      <c r="A375" s="9">
        <v>45832</v>
      </c>
      <c r="B375" s="6" t="s">
        <v>232</v>
      </c>
      <c r="C375" s="14">
        <v>6605</v>
      </c>
      <c r="D375" s="6" t="s">
        <v>46</v>
      </c>
      <c r="E375" s="6" t="s">
        <v>53</v>
      </c>
      <c r="F375" s="6">
        <v>16</v>
      </c>
      <c r="G375" s="15">
        <v>9.583333333333334E-2</v>
      </c>
      <c r="H375" s="16">
        <v>0</v>
      </c>
      <c r="I375" s="35">
        <f ca="1">IFERROR(Tabela3[[#This Row],[Custo Total]]/Tabela3[[#This Row],[Aluminio Util]],0)</f>
        <v>28.356968714247902</v>
      </c>
      <c r="J375" s="35">
        <f ca="1">Tabela3[[#This Row],[Custo Total]]/Tabela3[[#This Row],[Realizado]]</f>
        <v>11.938283828698367</v>
      </c>
      <c r="K375" s="37">
        <f>IFERROR(Tabela3[[#This Row],[Qtde Cx Produzida]]/Tabela3[[#This Row],[Tempo]]/24,0)</f>
        <v>6.9565217391304346</v>
      </c>
      <c r="L375" s="37">
        <f>Tabela3[[#This Row],[Qtde Cx Produzida]]*Tabela3[[#This Row],[Qdt Peça Placa]]</f>
        <v>64</v>
      </c>
      <c r="M375" s="37">
        <f>Tabela3[[#This Row],[Previsto]]-Tabela3[[#This Row],[Perda Pçs]]</f>
        <v>64</v>
      </c>
      <c r="N375" s="38">
        <f>IFERROR(Tabela3[[#This Row],[Perda Pçs]]/Tabela3[[#This Row],[Previsto]],0)</f>
        <v>0</v>
      </c>
      <c r="O375" s="39">
        <f>IFERROR(IF(Tabela3[[#This Row],[Qtde Cx Produzida]] &lt;&gt; 0, Tabela3[[#This Row],[Tempo]] / Tabela3[[#This Row],[Qtde Cx Produzida]], 0),0)</f>
        <v>5.9895833333333337E-3</v>
      </c>
      <c r="P375" s="57">
        <f>IFERROR(Tabela3[[#This Row],[Perda Pçs]]/Tabela3[[#This Row],[Qdt Peça Placa]],0)</f>
        <v>0</v>
      </c>
      <c r="Q375" s="37">
        <f>IFERROR(Tabela3[[#This Row],[Realizado]]*Tabela3[[#This Row],[Peso Util/Pç]],0)</f>
        <v>26.943999999999999</v>
      </c>
      <c r="R375" s="37">
        <f>IFERROR(Tabela3[[#This Row],[Peso Total Galho]]*Tabela3[[#This Row],[Qtde Cx Produzida]]*1.055,0)</f>
        <v>54.286079999999998</v>
      </c>
      <c r="S375" s="37">
        <f>(Tabela3[[#This Row],[Aluminio Bruto]]-Tabela3[[#This Row],[Aluminio Util]])*0.9</f>
        <v>24.607872</v>
      </c>
      <c r="T375" s="37">
        <f>Tabela3[[#This Row],[Aluminio Bruto]]/OleoKGAluminio</f>
        <v>22.838083664772917</v>
      </c>
      <c r="U375" s="35">
        <f>IFERROR((VLOOKUP(Tabela3[[#This Row],[Moldador]],Tabela1[],5,)+(VLOOKUP(Tabela3[[#This Row],[Ajudante]],Tabela1[],5,))*3.5),0)</f>
        <v>99.95034583333333</v>
      </c>
      <c r="V375" s="35">
        <f>IFERROR(Tabela3[[#This Row],[Custo M.O. / H]]/((Tabela3[[#This Row],[Realizado]]/Tabela3[[#This Row],[Qdt Peça Placa]])/Tabela3[[#This Row],[Tempo]]/24),)</f>
        <v>14.367862213541667</v>
      </c>
      <c r="W375" s="35">
        <f>Tabela3[[#This Row],[Custo / Cx Moldada]]*Tabela3[[#This Row],[Qtde Cx Produzida]]</f>
        <v>229.88579541666667</v>
      </c>
      <c r="X375" s="35">
        <f ca="1">Tabela3[[#This Row],[Aluminio Util]]*Tabela3[[#This Row],[Custo/Kg]]</f>
        <v>474.21440000000001</v>
      </c>
      <c r="Y375" s="35">
        <f>IFERROR(VLOOKUP(Tabela3[[#This Row],[Data]],Tabela461213[],2,1)*(Tabela3[[#This Row],[Qtde Cx Produzida]]*Tabela3[[#This Row],[Qde macho / CX]]*Tabela3[[#This Row],[Peso Macho]]),)</f>
        <v>0</v>
      </c>
      <c r="Z375" s="35">
        <f>IFERROR(Tabela3[[#This Row],[Qtde Oleo]]*(VLOOKUP(Tabela3[[#This Row],[Data]],CompraOleo[],3,TRUE))*1.05,0)</f>
        <v>59.949969620028902</v>
      </c>
      <c r="AA375" s="47">
        <f ca="1">(Tabela3[[#This Row],[Custo Oleo]]+Tabela3[[#This Row],[Custo Aluminio]]+Tabela3[[#This Row],[Custo M.O. Total]]+Tabela3[[#This Row],[Custo Machos]])</f>
        <v>764.05016503669549</v>
      </c>
      <c r="AB375" s="47">
        <f ca="1">Tabela3[[#This Row],[Custo Total]]*Tabela3[[#This Row],[% Perda]]</f>
        <v>0</v>
      </c>
      <c r="AC375" s="48">
        <f>IFERROR(VLOOKUP(Tabela3[[#This Row],[Produto]],Tabela2[],2,0),0)</f>
        <v>4</v>
      </c>
      <c r="AD375" s="48">
        <f>IFERROR(VLOOKUP(Tabela3[[#This Row],[Produto]],Tabela2[],3,0),0)</f>
        <v>0.42099999999999999</v>
      </c>
      <c r="AE375" s="48">
        <f>IFERROR(VLOOKUP(Tabela3[[#This Row],[Produto]],Tabela2[],4,0),0)</f>
        <v>3.2160000000000002</v>
      </c>
      <c r="AF375" s="48">
        <f>IFERROR(VLOOKUP(Tabela3[[#This Row],[Produto]],Tabela2[],5,0),0)</f>
        <v>1.3788000000000002</v>
      </c>
      <c r="AG375" s="40">
        <f>IFERROR(VLOOKUP(Tabela3[[#This Row],[Produto]],Tabela2[],6,0),0)</f>
        <v>0</v>
      </c>
      <c r="AH375" s="40">
        <f>IFERROR(VLOOKUP(Tabela3[[#This Row],[Produto]],Tabela2[],7,0),0)</f>
        <v>0</v>
      </c>
      <c r="AI375" s="40">
        <f>IFERROR(VLOOKUP(Tabela3[[#This Row],[Produto]],Tabela2[],8,0),0)</f>
        <v>0</v>
      </c>
      <c r="AJ375" s="35">
        <f ca="1">IFERROR(VLOOKUP(Tabela3[[#This Row],[Produto]],Tabela2[],13,0),0)</f>
        <v>17.600000000000001</v>
      </c>
      <c r="AK375" s="40" t="str">
        <f>IFERROR(VLOOKUP(Tabela3[[#This Row],[Produto]],Tabela2[],14,0),0)</f>
        <v>Busa</v>
      </c>
      <c r="AL375" s="40">
        <f>IFERROR(VLOOKUP(Tabela3[[#This Row],[Produto]],Tabela2[],15,0),0)</f>
        <v>0.5</v>
      </c>
      <c r="AM375" s="36">
        <f ca="1">(Tabela3[[#This Row],[Custo Usinagem]]+Tabela3[[#This Row],[Custo / Pç]])*1.2</f>
        <v>14.925940594438039</v>
      </c>
      <c r="AN375" s="36">
        <f ca="1">Tabela3[[#This Row],[Valor Mínimo Venda]]*1.15</f>
        <v>17.164831683603744</v>
      </c>
      <c r="AO375" s="36">
        <f ca="1">Tabela3[[#This Row],[Tabela 1]]*1.08</f>
        <v>18.538018218292045</v>
      </c>
      <c r="AP375" s="36">
        <f ca="1">Tabela3[[#This Row],[Tabela 2]]*1.15</f>
        <v>21.31872095103585</v>
      </c>
    </row>
    <row r="376" spans="1:42">
      <c r="A376" s="9">
        <v>45832</v>
      </c>
      <c r="B376" s="6" t="s">
        <v>232</v>
      </c>
      <c r="C376" s="14">
        <v>6605</v>
      </c>
      <c r="D376" s="6" t="s">
        <v>44</v>
      </c>
      <c r="E376" s="6" t="s">
        <v>47</v>
      </c>
      <c r="F376" s="6">
        <v>19</v>
      </c>
      <c r="G376" s="15">
        <v>7.9166666666666663E-2</v>
      </c>
      <c r="H376" s="16">
        <v>1</v>
      </c>
      <c r="I376" s="35">
        <f ca="1">IFERROR(Tabela3[[#This Row],[Custo Total]]/Tabela3[[#This Row],[Aluminio Util]],0)</f>
        <v>25.949273838001439</v>
      </c>
      <c r="J376" s="35">
        <f ca="1">Tabela3[[#This Row],[Custo Total]]/Tabela3[[#This Row],[Realizado]]</f>
        <v>10.924644285798605</v>
      </c>
      <c r="K376" s="37">
        <f>IFERROR(Tabela3[[#This Row],[Qtde Cx Produzida]]/Tabela3[[#This Row],[Tempo]]/24,0)</f>
        <v>10</v>
      </c>
      <c r="L376" s="37">
        <f>Tabela3[[#This Row],[Qtde Cx Produzida]]*Tabela3[[#This Row],[Qdt Peça Placa]]</f>
        <v>76</v>
      </c>
      <c r="M376" s="37">
        <f>Tabela3[[#This Row],[Previsto]]-Tabela3[[#This Row],[Perda Pçs]]</f>
        <v>75</v>
      </c>
      <c r="N376" s="38">
        <f>IFERROR(Tabela3[[#This Row],[Perda Pçs]]/Tabela3[[#This Row],[Previsto]],0)</f>
        <v>1.3157894736842105E-2</v>
      </c>
      <c r="O376" s="39">
        <f>IFERROR(IF(Tabela3[[#This Row],[Qtde Cx Produzida]] &lt;&gt; 0, Tabela3[[#This Row],[Tempo]] / Tabela3[[#This Row],[Qtde Cx Produzida]], 0),0)</f>
        <v>4.1666666666666666E-3</v>
      </c>
      <c r="P376" s="57">
        <f>IFERROR(Tabela3[[#This Row],[Perda Pçs]]/Tabela3[[#This Row],[Qdt Peça Placa]],0)</f>
        <v>0.25</v>
      </c>
      <c r="Q376" s="37">
        <f>IFERROR(Tabela3[[#This Row],[Realizado]]*Tabela3[[#This Row],[Peso Util/Pç]],0)</f>
        <v>31.574999999999999</v>
      </c>
      <c r="R376" s="37">
        <f>IFERROR(Tabela3[[#This Row],[Peso Total Galho]]*Tabela3[[#This Row],[Qtde Cx Produzida]]*1.055,0)</f>
        <v>64.46472</v>
      </c>
      <c r="S376" s="37">
        <f>(Tabela3[[#This Row],[Aluminio Bruto]]-Tabela3[[#This Row],[Aluminio Util]])*0.9</f>
        <v>29.600747999999999</v>
      </c>
      <c r="T376" s="37">
        <f>Tabela3[[#This Row],[Aluminio Bruto]]/OleoKGAluminio</f>
        <v>27.120224351917837</v>
      </c>
      <c r="U376" s="35">
        <f>IFERROR((VLOOKUP(Tabela3[[#This Row],[Moldador]],Tabela1[],5,)+(VLOOKUP(Tabela3[[#This Row],[Ajudante]],Tabela1[],5,))*3.5),0)</f>
        <v>99.95034583333333</v>
      </c>
      <c r="V376" s="35">
        <f>IFERROR(Tabela3[[#This Row],[Custo M.O. / H]]/((Tabela3[[#This Row],[Realizado]]/Tabela3[[#This Row],[Qdt Peça Placa]])/Tabela3[[#This Row],[Tempo]]/24),)</f>
        <v>10.12830171111111</v>
      </c>
      <c r="W376" s="35">
        <f>Tabela3[[#This Row],[Custo / Cx Moldada]]*Tabela3[[#This Row],[Qtde Cx Produzida]]</f>
        <v>192.43773251111108</v>
      </c>
      <c r="X376" s="35">
        <f ca="1">Tabela3[[#This Row],[Aluminio Util]]*Tabela3[[#This Row],[Custo/Kg]]</f>
        <v>555.72</v>
      </c>
      <c r="Y376" s="35">
        <f>IFERROR(VLOOKUP(Tabela3[[#This Row],[Data]],Tabela461213[],2,1)*(Tabela3[[#This Row],[Qtde Cx Produzida]]*Tabela3[[#This Row],[Qde macho / CX]]*Tabela3[[#This Row],[Peso Macho]]),)</f>
        <v>0</v>
      </c>
      <c r="Z376" s="35">
        <f>IFERROR(Tabela3[[#This Row],[Qtde Oleo]]*(VLOOKUP(Tabela3[[#This Row],[Data]],CompraOleo[],3,TRUE))*1.05,0)</f>
        <v>71.190588923784318</v>
      </c>
      <c r="AA376" s="47">
        <f ca="1">(Tabela3[[#This Row],[Custo Oleo]]+Tabela3[[#This Row],[Custo Aluminio]]+Tabela3[[#This Row],[Custo M.O. Total]]+Tabela3[[#This Row],[Custo Machos]])</f>
        <v>819.34832143489541</v>
      </c>
      <c r="AB376" s="47">
        <f ca="1">Tabela3[[#This Row],[Custo Total]]*Tabela3[[#This Row],[% Perda]]</f>
        <v>10.780898966248623</v>
      </c>
      <c r="AC376" s="48">
        <f>IFERROR(VLOOKUP(Tabela3[[#This Row],[Produto]],Tabela2[],2,0),0)</f>
        <v>4</v>
      </c>
      <c r="AD376" s="48">
        <f>IFERROR(VLOOKUP(Tabela3[[#This Row],[Produto]],Tabela2[],3,0),0)</f>
        <v>0.42099999999999999</v>
      </c>
      <c r="AE376" s="48">
        <f>IFERROR(VLOOKUP(Tabela3[[#This Row],[Produto]],Tabela2[],4,0),0)</f>
        <v>3.2160000000000002</v>
      </c>
      <c r="AF376" s="48">
        <f>IFERROR(VLOOKUP(Tabela3[[#This Row],[Produto]],Tabela2[],5,0),0)</f>
        <v>1.3788000000000002</v>
      </c>
      <c r="AG376" s="40">
        <f>IFERROR(VLOOKUP(Tabela3[[#This Row],[Produto]],Tabela2[],6,0),0)</f>
        <v>0</v>
      </c>
      <c r="AH376" s="40">
        <f>IFERROR(VLOOKUP(Tabela3[[#This Row],[Produto]],Tabela2[],7,0),0)</f>
        <v>0</v>
      </c>
      <c r="AI376" s="40">
        <f>IFERROR(VLOOKUP(Tabela3[[#This Row],[Produto]],Tabela2[],8,0),0)</f>
        <v>0</v>
      </c>
      <c r="AJ376" s="35">
        <f ca="1">IFERROR(VLOOKUP(Tabela3[[#This Row],[Produto]],Tabela2[],13,0),0)</f>
        <v>17.600000000000001</v>
      </c>
      <c r="AK376" s="40" t="str">
        <f>IFERROR(VLOOKUP(Tabela3[[#This Row],[Produto]],Tabela2[],14,0),0)</f>
        <v>Busa</v>
      </c>
      <c r="AL376" s="40">
        <f>IFERROR(VLOOKUP(Tabela3[[#This Row],[Produto]],Tabela2[],15,0),0)</f>
        <v>0.5</v>
      </c>
      <c r="AM376" s="36">
        <f ca="1">(Tabela3[[#This Row],[Custo Usinagem]]+Tabela3[[#This Row],[Custo / Pç]])*1.2</f>
        <v>13.709573142958325</v>
      </c>
      <c r="AN376" s="36">
        <f ca="1">Tabela3[[#This Row],[Valor Mínimo Venda]]*1.15</f>
        <v>15.766009114402072</v>
      </c>
      <c r="AO376" s="36">
        <f ca="1">Tabela3[[#This Row],[Tabela 1]]*1.08</f>
        <v>17.027289843554239</v>
      </c>
      <c r="AP376" s="36">
        <f ca="1">Tabela3[[#This Row],[Tabela 2]]*1.15</f>
        <v>19.581383320087372</v>
      </c>
    </row>
    <row r="377" spans="1:42">
      <c r="A377" s="9">
        <v>45832</v>
      </c>
      <c r="B377" s="6" t="s">
        <v>233</v>
      </c>
      <c r="C377" s="14">
        <v>7052</v>
      </c>
      <c r="D377" s="6" t="s">
        <v>44</v>
      </c>
      <c r="E377" s="6" t="s">
        <v>47</v>
      </c>
      <c r="F377" s="6">
        <v>22</v>
      </c>
      <c r="G377" s="15">
        <v>0.13958333333333334</v>
      </c>
      <c r="H377" s="16">
        <v>0</v>
      </c>
      <c r="I377" s="35">
        <f ca="1">IFERROR(Tabela3[[#This Row],[Custo Total]]/Tabela3[[#This Row],[Aluminio Util]],0)</f>
        <v>21.712990118942429</v>
      </c>
      <c r="J377" s="35">
        <f ca="1">Tabela3[[#This Row],[Custo Total]]/Tabela3[[#This Row],[Realizado]]</f>
        <v>117.25014664228912</v>
      </c>
      <c r="K377" s="37">
        <f>IFERROR(Tabela3[[#This Row],[Qtde Cx Produzida]]/Tabela3[[#This Row],[Tempo]]/24,0)</f>
        <v>6.567164179104477</v>
      </c>
      <c r="L377" s="37">
        <f>Tabela3[[#This Row],[Qtde Cx Produzida]]*Tabela3[[#This Row],[Qdt Peça Placa]]</f>
        <v>22</v>
      </c>
      <c r="M377" s="37">
        <f>Tabela3[[#This Row],[Previsto]]-Tabela3[[#This Row],[Perda Pçs]]</f>
        <v>22</v>
      </c>
      <c r="N377" s="38">
        <f>IFERROR(Tabela3[[#This Row],[Perda Pçs]]/Tabela3[[#This Row],[Previsto]],0)</f>
        <v>0</v>
      </c>
      <c r="O377" s="39">
        <f>IFERROR(IF(Tabela3[[#This Row],[Qtde Cx Produzida]] &lt;&gt; 0, Tabela3[[#This Row],[Tempo]] / Tabela3[[#This Row],[Qtde Cx Produzida]], 0),0)</f>
        <v>6.3446969696969698E-3</v>
      </c>
      <c r="P377" s="57">
        <f>IFERROR(Tabela3[[#This Row],[Perda Pçs]]/Tabela3[[#This Row],[Qdt Peça Placa]],0)</f>
        <v>0</v>
      </c>
      <c r="Q377" s="37">
        <f>IFERROR(Tabela3[[#This Row],[Realizado]]*Tabela3[[#This Row],[Peso Util/Pç]],0)</f>
        <v>118.80000000000001</v>
      </c>
      <c r="R377" s="37">
        <f>IFERROR(Tabela3[[#This Row],[Peso Total Galho]]*Tabela3[[#This Row],[Qtde Cx Produzida]]*1.055,0)</f>
        <v>139.26</v>
      </c>
      <c r="S377" s="37">
        <f>(Tabela3[[#This Row],[Aluminio Bruto]]-Tabela3[[#This Row],[Aluminio Util]])*0.9</f>
        <v>18.413999999999984</v>
      </c>
      <c r="T377" s="37">
        <f>Tabela3[[#This Row],[Aluminio Bruto]]/OleoKGAluminio</f>
        <v>58.586501938549922</v>
      </c>
      <c r="U377" s="35">
        <f>IFERROR((VLOOKUP(Tabela3[[#This Row],[Moldador]],Tabela1[],5,)+(VLOOKUP(Tabela3[[#This Row],[Ajudante]],Tabela1[],5,))*3.5),0)</f>
        <v>99.95034583333333</v>
      </c>
      <c r="V377" s="35">
        <f>IFERROR(Tabela3[[#This Row],[Custo M.O. / H]]/((Tabela3[[#This Row],[Realizado]]/Tabela3[[#This Row],[Qdt Peça Placa]])/Tabela3[[#This Row],[Tempo]]/24),)</f>
        <v>15.219711751893941</v>
      </c>
      <c r="W377" s="35">
        <f>Tabela3[[#This Row],[Custo / Cx Moldada]]*Tabela3[[#This Row],[Qtde Cx Produzida]]</f>
        <v>334.83365854166669</v>
      </c>
      <c r="X377" s="35">
        <f ca="1">Tabela3[[#This Row],[Aluminio Util]]*Tabela3[[#This Row],[Custo/Kg]]</f>
        <v>2090.8800000000006</v>
      </c>
      <c r="Y377" s="35">
        <f>IFERROR(VLOOKUP(Tabela3[[#This Row],[Data]],Tabela461213[],2,1)*(Tabela3[[#This Row],[Qtde Cx Produzida]]*Tabela3[[#This Row],[Qde macho / CX]]*Tabela3[[#This Row],[Peso Macho]]),)</f>
        <v>0</v>
      </c>
      <c r="Z377" s="35">
        <f>IFERROR(Tabela3[[#This Row],[Qtde Oleo]]*(VLOOKUP(Tabela3[[#This Row],[Data]],CompraOleo[],3,TRUE))*1.05,0)</f>
        <v>153.78956758869353</v>
      </c>
      <c r="AA377" s="47">
        <f ca="1">(Tabela3[[#This Row],[Custo Oleo]]+Tabela3[[#This Row],[Custo Aluminio]]+Tabela3[[#This Row],[Custo M.O. Total]]+Tabela3[[#This Row],[Custo Machos]])</f>
        <v>2579.5032261303609</v>
      </c>
      <c r="AB377" s="47">
        <f ca="1">Tabela3[[#This Row],[Custo Total]]*Tabela3[[#This Row],[% Perda]]</f>
        <v>0</v>
      </c>
      <c r="AC377" s="48">
        <f>IFERROR(VLOOKUP(Tabela3[[#This Row],[Produto]],Tabela2[],2,0),0)</f>
        <v>1</v>
      </c>
      <c r="AD377" s="48">
        <f>IFERROR(VLOOKUP(Tabela3[[#This Row],[Produto]],Tabela2[],3,0),0)</f>
        <v>5.4</v>
      </c>
      <c r="AE377" s="48">
        <f>IFERROR(VLOOKUP(Tabela3[[#This Row],[Produto]],Tabela2[],4,0),0)</f>
        <v>6</v>
      </c>
      <c r="AF377" s="48">
        <f>IFERROR(VLOOKUP(Tabela3[[#This Row],[Produto]],Tabela2[],5,0),0)</f>
        <v>0.5399999999999997</v>
      </c>
      <c r="AG377" s="40">
        <f>IFERROR(VLOOKUP(Tabela3[[#This Row],[Produto]],Tabela2[],6,0),0)</f>
        <v>0</v>
      </c>
      <c r="AH377" s="40">
        <f>IFERROR(VLOOKUP(Tabela3[[#This Row],[Produto]],Tabela2[],7,0),0)</f>
        <v>0</v>
      </c>
      <c r="AI377" s="40">
        <f>IFERROR(VLOOKUP(Tabela3[[#This Row],[Produto]],Tabela2[],8,0),0)</f>
        <v>0</v>
      </c>
      <c r="AJ377" s="35">
        <f ca="1">IFERROR(VLOOKUP(Tabela3[[#This Row],[Produto]],Tabela2[],13,0),0)</f>
        <v>17.600000000000001</v>
      </c>
      <c r="AK377" s="40" t="str">
        <f>IFERROR(VLOOKUP(Tabela3[[#This Row],[Produto]],Tabela2[],14,0),0)</f>
        <v>Danilo</v>
      </c>
      <c r="AL377" s="40">
        <f>IFERROR(VLOOKUP(Tabela3[[#This Row],[Produto]],Tabela2[],15,0),0)</f>
        <v>0</v>
      </c>
      <c r="AM377" s="36">
        <f ca="1">(Tabela3[[#This Row],[Custo Usinagem]]+Tabela3[[#This Row],[Custo / Pç]])*1.2</f>
        <v>140.70017597074695</v>
      </c>
      <c r="AN377" s="36">
        <f ca="1">Tabela3[[#This Row],[Valor Mínimo Venda]]*1.15</f>
        <v>161.805202366359</v>
      </c>
      <c r="AO377" s="36">
        <f ca="1">Tabela3[[#This Row],[Tabela 1]]*1.08</f>
        <v>174.74961855566772</v>
      </c>
      <c r="AP377" s="36">
        <f ca="1">Tabela3[[#This Row],[Tabela 2]]*1.15</f>
        <v>200.96206133901788</v>
      </c>
    </row>
    <row r="378" spans="1:42">
      <c r="A378" s="9">
        <v>45833</v>
      </c>
      <c r="B378" s="6" t="s">
        <v>232</v>
      </c>
      <c r="C378" s="14">
        <v>6605</v>
      </c>
      <c r="D378" s="6" t="s">
        <v>46</v>
      </c>
      <c r="E378" s="6" t="s">
        <v>53</v>
      </c>
      <c r="F378" s="6">
        <v>27</v>
      </c>
      <c r="G378" s="15">
        <v>0.13541666666666666</v>
      </c>
      <c r="H378" s="16">
        <v>0</v>
      </c>
      <c r="I378" s="35">
        <f ca="1">IFERROR(Tabela3[[#This Row],[Custo Total]]/Tabela3[[#This Row],[Aluminio Util]],0)</f>
        <v>26.969319030793795</v>
      </c>
      <c r="J378" s="35">
        <f ca="1">Tabela3[[#This Row],[Custo Total]]/Tabela3[[#This Row],[Realizado]]</f>
        <v>11.354083311964187</v>
      </c>
      <c r="K378" s="37">
        <f>IFERROR(Tabela3[[#This Row],[Qtde Cx Produzida]]/Tabela3[[#This Row],[Tempo]]/24,0)</f>
        <v>8.3076923076923084</v>
      </c>
      <c r="L378" s="37">
        <f>Tabela3[[#This Row],[Qtde Cx Produzida]]*Tabela3[[#This Row],[Qdt Peça Placa]]</f>
        <v>108</v>
      </c>
      <c r="M378" s="37">
        <f>Tabela3[[#This Row],[Previsto]]-Tabela3[[#This Row],[Perda Pçs]]</f>
        <v>108</v>
      </c>
      <c r="N378" s="38">
        <f>IFERROR(Tabela3[[#This Row],[Perda Pçs]]/Tabela3[[#This Row],[Previsto]],0)</f>
        <v>0</v>
      </c>
      <c r="O378" s="39">
        <f>IFERROR(IF(Tabela3[[#This Row],[Qtde Cx Produzida]] &lt;&gt; 0, Tabela3[[#This Row],[Tempo]] / Tabela3[[#This Row],[Qtde Cx Produzida]], 0),0)</f>
        <v>5.0154320987654318E-3</v>
      </c>
      <c r="P378" s="57">
        <f>IFERROR(Tabela3[[#This Row],[Perda Pçs]]/Tabela3[[#This Row],[Qdt Peça Placa]],0)</f>
        <v>0</v>
      </c>
      <c r="Q378" s="37">
        <f>IFERROR(Tabela3[[#This Row],[Realizado]]*Tabela3[[#This Row],[Peso Util/Pç]],0)</f>
        <v>45.467999999999996</v>
      </c>
      <c r="R378" s="37">
        <f>IFERROR(Tabela3[[#This Row],[Peso Total Galho]]*Tabela3[[#This Row],[Qtde Cx Produzida]]*1.055,0)</f>
        <v>91.607759999999999</v>
      </c>
      <c r="S378" s="37">
        <f>(Tabela3[[#This Row],[Aluminio Bruto]]-Tabela3[[#This Row],[Aluminio Util]])*0.9</f>
        <v>41.525784000000002</v>
      </c>
      <c r="T378" s="37">
        <f>Tabela3[[#This Row],[Aluminio Bruto]]/OleoKGAluminio</f>
        <v>38.539266184304296</v>
      </c>
      <c r="U378" s="35">
        <f>IFERROR((VLOOKUP(Tabela3[[#This Row],[Moldador]],Tabela1[],5,)+(VLOOKUP(Tabela3[[#This Row],[Ajudante]],Tabela1[],5,))*3.5),0)</f>
        <v>99.95034583333333</v>
      </c>
      <c r="V378" s="35">
        <f>IFERROR(Tabela3[[#This Row],[Custo M.O. / H]]/((Tabela3[[#This Row],[Realizado]]/Tabela3[[#This Row],[Qdt Peça Placa]])/Tabela3[[#This Row],[Tempo]]/24),)</f>
        <v>12.031060146604936</v>
      </c>
      <c r="W378" s="35">
        <f>Tabela3[[#This Row],[Custo / Cx Moldada]]*Tabela3[[#This Row],[Qtde Cx Produzida]]</f>
        <v>324.8386239583333</v>
      </c>
      <c r="X378" s="35">
        <f ca="1">Tabela3[[#This Row],[Aluminio Util]]*Tabela3[[#This Row],[Custo/Kg]]</f>
        <v>800.23680000000002</v>
      </c>
      <c r="Y378" s="35">
        <f>IFERROR(VLOOKUP(Tabela3[[#This Row],[Data]],Tabela461213[],2,1)*(Tabela3[[#This Row],[Qtde Cx Produzida]]*Tabela3[[#This Row],[Qde macho / CX]]*Tabela3[[#This Row],[Peso Macho]]),)</f>
        <v>0</v>
      </c>
      <c r="Z378" s="35">
        <f>IFERROR(Tabela3[[#This Row],[Qtde Oleo]]*(VLOOKUP(Tabela3[[#This Row],[Data]],CompraOleo[],3,TRUE))*1.05,0)</f>
        <v>101.16557373379878</v>
      </c>
      <c r="AA378" s="47">
        <f ca="1">(Tabela3[[#This Row],[Custo Oleo]]+Tabela3[[#This Row],[Custo Aluminio]]+Tabela3[[#This Row],[Custo M.O. Total]]+Tabela3[[#This Row],[Custo Machos]])</f>
        <v>1226.2409976921322</v>
      </c>
      <c r="AB378" s="47">
        <f ca="1">Tabela3[[#This Row],[Custo Total]]*Tabela3[[#This Row],[% Perda]]</f>
        <v>0</v>
      </c>
      <c r="AC378" s="48">
        <f>IFERROR(VLOOKUP(Tabela3[[#This Row],[Produto]],Tabela2[],2,0),0)</f>
        <v>4</v>
      </c>
      <c r="AD378" s="48">
        <f>IFERROR(VLOOKUP(Tabela3[[#This Row],[Produto]],Tabela2[],3,0),0)</f>
        <v>0.42099999999999999</v>
      </c>
      <c r="AE378" s="48">
        <f>IFERROR(VLOOKUP(Tabela3[[#This Row],[Produto]],Tabela2[],4,0),0)</f>
        <v>3.2160000000000002</v>
      </c>
      <c r="AF378" s="48">
        <f>IFERROR(VLOOKUP(Tabela3[[#This Row],[Produto]],Tabela2[],5,0),0)</f>
        <v>1.3788000000000002</v>
      </c>
      <c r="AG378" s="40">
        <f>IFERROR(VLOOKUP(Tabela3[[#This Row],[Produto]],Tabela2[],6,0),0)</f>
        <v>0</v>
      </c>
      <c r="AH378" s="40">
        <f>IFERROR(VLOOKUP(Tabela3[[#This Row],[Produto]],Tabela2[],7,0),0)</f>
        <v>0</v>
      </c>
      <c r="AI378" s="40">
        <f>IFERROR(VLOOKUP(Tabela3[[#This Row],[Produto]],Tabela2[],8,0),0)</f>
        <v>0</v>
      </c>
      <c r="AJ378" s="35">
        <f ca="1">IFERROR(VLOOKUP(Tabela3[[#This Row],[Produto]],Tabela2[],13,0),0)</f>
        <v>17.600000000000001</v>
      </c>
      <c r="AK378" s="40" t="str">
        <f>IFERROR(VLOOKUP(Tabela3[[#This Row],[Produto]],Tabela2[],14,0),0)</f>
        <v>Busa</v>
      </c>
      <c r="AL378" s="40">
        <f>IFERROR(VLOOKUP(Tabela3[[#This Row],[Produto]],Tabela2[],15,0),0)</f>
        <v>0.5</v>
      </c>
      <c r="AM378" s="36">
        <f ca="1">(Tabela3[[#This Row],[Custo Usinagem]]+Tabela3[[#This Row],[Custo / Pç]])*1.2</f>
        <v>14.224899974357024</v>
      </c>
      <c r="AN378" s="36">
        <f ca="1">Tabela3[[#This Row],[Valor Mínimo Venda]]*1.15</f>
        <v>16.358634970510575</v>
      </c>
      <c r="AO378" s="36">
        <f ca="1">Tabela3[[#This Row],[Tabela 1]]*1.08</f>
        <v>17.667325768151422</v>
      </c>
      <c r="AP378" s="36">
        <f ca="1">Tabela3[[#This Row],[Tabela 2]]*1.15</f>
        <v>20.317424633374134</v>
      </c>
    </row>
    <row r="379" spans="1:42">
      <c r="A379" s="9">
        <v>45833</v>
      </c>
      <c r="B379" s="6" t="s">
        <v>232</v>
      </c>
      <c r="C379" s="14">
        <v>6605</v>
      </c>
      <c r="D379" s="6" t="s">
        <v>44</v>
      </c>
      <c r="E379" s="6" t="s">
        <v>47</v>
      </c>
      <c r="F379" s="6">
        <v>33</v>
      </c>
      <c r="G379" s="15">
        <v>0.1388888888888889</v>
      </c>
      <c r="H379" s="16">
        <v>0</v>
      </c>
      <c r="I379" s="35">
        <f ca="1">IFERROR(Tabela3[[#This Row],[Custo Total]]/Tabela3[[#This Row],[Aluminio Util]],0)</f>
        <v>25.820230184009109</v>
      </c>
      <c r="J379" s="35">
        <f ca="1">Tabela3[[#This Row],[Custo Total]]/Tabela3[[#This Row],[Realizado]]</f>
        <v>10.870316907467833</v>
      </c>
      <c r="K379" s="37">
        <f>IFERROR(Tabela3[[#This Row],[Qtde Cx Produzida]]/Tabela3[[#This Row],[Tempo]]/24,0)</f>
        <v>9.9</v>
      </c>
      <c r="L379" s="37">
        <f>Tabela3[[#This Row],[Qtde Cx Produzida]]*Tabela3[[#This Row],[Qdt Peça Placa]]</f>
        <v>132</v>
      </c>
      <c r="M379" s="37">
        <f>Tabela3[[#This Row],[Previsto]]-Tabela3[[#This Row],[Perda Pçs]]</f>
        <v>132</v>
      </c>
      <c r="N379" s="38">
        <f>IFERROR(Tabela3[[#This Row],[Perda Pçs]]/Tabela3[[#This Row],[Previsto]],0)</f>
        <v>0</v>
      </c>
      <c r="O379" s="39">
        <f>IFERROR(IF(Tabela3[[#This Row],[Qtde Cx Produzida]] &lt;&gt; 0, Tabela3[[#This Row],[Tempo]] / Tabela3[[#This Row],[Qtde Cx Produzida]], 0),0)</f>
        <v>4.2087542087542087E-3</v>
      </c>
      <c r="P379" s="57">
        <f>IFERROR(Tabela3[[#This Row],[Perda Pçs]]/Tabela3[[#This Row],[Qdt Peça Placa]],0)</f>
        <v>0</v>
      </c>
      <c r="Q379" s="37">
        <f>IFERROR(Tabela3[[#This Row],[Realizado]]*Tabela3[[#This Row],[Peso Util/Pç]],0)</f>
        <v>55.571999999999996</v>
      </c>
      <c r="R379" s="37">
        <f>IFERROR(Tabela3[[#This Row],[Peso Total Galho]]*Tabela3[[#This Row],[Qtde Cx Produzida]]*1.055,0)</f>
        <v>111.96503999999999</v>
      </c>
      <c r="S379" s="37">
        <f>(Tabela3[[#This Row],[Aluminio Bruto]]-Tabela3[[#This Row],[Aluminio Util]])*0.9</f>
        <v>50.753735999999996</v>
      </c>
      <c r="T379" s="37">
        <f>Tabela3[[#This Row],[Aluminio Bruto]]/OleoKGAluminio</f>
        <v>47.103547558594137</v>
      </c>
      <c r="U379" s="35">
        <f>IFERROR((VLOOKUP(Tabela3[[#This Row],[Moldador]],Tabela1[],5,)+(VLOOKUP(Tabela3[[#This Row],[Ajudante]],Tabela1[],5,))*3.5),0)</f>
        <v>99.95034583333333</v>
      </c>
      <c r="V379" s="35">
        <f>IFERROR(Tabela3[[#This Row],[Custo M.O. / H]]/((Tabela3[[#This Row],[Realizado]]/Tabela3[[#This Row],[Qdt Peça Placa]])/Tabela3[[#This Row],[Tempo]]/24),)</f>
        <v>10.095994528619528</v>
      </c>
      <c r="W379" s="35">
        <f>Tabela3[[#This Row],[Custo / Cx Moldada]]*Tabela3[[#This Row],[Qtde Cx Produzida]]</f>
        <v>333.16781944444443</v>
      </c>
      <c r="X379" s="35">
        <f ca="1">Tabela3[[#This Row],[Aluminio Util]]*Tabela3[[#This Row],[Custo/Kg]]</f>
        <v>978.06719999999996</v>
      </c>
      <c r="Y379" s="35">
        <f>IFERROR(VLOOKUP(Tabela3[[#This Row],[Data]],Tabela461213[],2,1)*(Tabela3[[#This Row],[Qtde Cx Produzida]]*Tabela3[[#This Row],[Qde macho / CX]]*Tabela3[[#This Row],[Peso Macho]]),)</f>
        <v>0</v>
      </c>
      <c r="Z379" s="35">
        <f>IFERROR(Tabela3[[#This Row],[Qtde Oleo]]*(VLOOKUP(Tabela3[[#This Row],[Data]],CompraOleo[],3,TRUE))*1.05,0)</f>
        <v>123.64681234130961</v>
      </c>
      <c r="AA379" s="47">
        <f ca="1">(Tabela3[[#This Row],[Custo Oleo]]+Tabela3[[#This Row],[Custo Aluminio]]+Tabela3[[#This Row],[Custo M.O. Total]]+Tabela3[[#This Row],[Custo Machos]])</f>
        <v>1434.881831785754</v>
      </c>
      <c r="AB379" s="47">
        <f ca="1">Tabela3[[#This Row],[Custo Total]]*Tabela3[[#This Row],[% Perda]]</f>
        <v>0</v>
      </c>
      <c r="AC379" s="48">
        <f>IFERROR(VLOOKUP(Tabela3[[#This Row],[Produto]],Tabela2[],2,0),0)</f>
        <v>4</v>
      </c>
      <c r="AD379" s="48">
        <f>IFERROR(VLOOKUP(Tabela3[[#This Row],[Produto]],Tabela2[],3,0),0)</f>
        <v>0.42099999999999999</v>
      </c>
      <c r="AE379" s="48">
        <f>IFERROR(VLOOKUP(Tabela3[[#This Row],[Produto]],Tabela2[],4,0),0)</f>
        <v>3.2160000000000002</v>
      </c>
      <c r="AF379" s="48">
        <f>IFERROR(VLOOKUP(Tabela3[[#This Row],[Produto]],Tabela2[],5,0),0)</f>
        <v>1.3788000000000002</v>
      </c>
      <c r="AG379" s="40">
        <f>IFERROR(VLOOKUP(Tabela3[[#This Row],[Produto]],Tabela2[],6,0),0)</f>
        <v>0</v>
      </c>
      <c r="AH379" s="40">
        <f>IFERROR(VLOOKUP(Tabela3[[#This Row],[Produto]],Tabela2[],7,0),0)</f>
        <v>0</v>
      </c>
      <c r="AI379" s="40">
        <f>IFERROR(VLOOKUP(Tabela3[[#This Row],[Produto]],Tabela2[],8,0),0)</f>
        <v>0</v>
      </c>
      <c r="AJ379" s="35">
        <f ca="1">IFERROR(VLOOKUP(Tabela3[[#This Row],[Produto]],Tabela2[],13,0),0)</f>
        <v>17.600000000000001</v>
      </c>
      <c r="AK379" s="40" t="str">
        <f>IFERROR(VLOOKUP(Tabela3[[#This Row],[Produto]],Tabela2[],14,0),0)</f>
        <v>Busa</v>
      </c>
      <c r="AL379" s="40">
        <f>IFERROR(VLOOKUP(Tabela3[[#This Row],[Produto]],Tabela2[],15,0),0)</f>
        <v>0.5</v>
      </c>
      <c r="AM379" s="36">
        <f ca="1">(Tabela3[[#This Row],[Custo Usinagem]]+Tabela3[[#This Row],[Custo / Pç]])*1.2</f>
        <v>13.644380288961399</v>
      </c>
      <c r="AN379" s="36">
        <f ca="1">Tabela3[[#This Row],[Valor Mínimo Venda]]*1.15</f>
        <v>15.691037332305607</v>
      </c>
      <c r="AO379" s="36">
        <f ca="1">Tabela3[[#This Row],[Tabela 1]]*1.08</f>
        <v>16.946320318890056</v>
      </c>
      <c r="AP379" s="36">
        <f ca="1">Tabela3[[#This Row],[Tabela 2]]*1.15</f>
        <v>19.488268366723563</v>
      </c>
    </row>
    <row r="380" spans="1:42">
      <c r="A380" s="9">
        <v>45833</v>
      </c>
      <c r="B380" s="6" t="s">
        <v>204</v>
      </c>
      <c r="C380" s="14">
        <v>7044</v>
      </c>
      <c r="D380" s="6" t="s">
        <v>44</v>
      </c>
      <c r="E380" s="6" t="s">
        <v>47</v>
      </c>
      <c r="F380" s="6">
        <v>4</v>
      </c>
      <c r="G380" s="15">
        <v>6.9444444444444447E-4</v>
      </c>
      <c r="H380" s="16">
        <v>0</v>
      </c>
      <c r="I380" s="35">
        <f ca="1">IFERROR(Tabela3[[#This Row],[Custo Total]]/Tabela3[[#This Row],[Aluminio Util]],0)</f>
        <v>29.585414966254259</v>
      </c>
      <c r="J380" s="35">
        <f ca="1">Tabela3[[#This Row],[Custo Total]]/Tabela3[[#This Row],[Realizado]]</f>
        <v>5.917082993250852</v>
      </c>
      <c r="K380" s="37">
        <f>IFERROR(Tabela3[[#This Row],[Qtde Cx Produzida]]/Tabela3[[#This Row],[Tempo]]/24,0)</f>
        <v>240</v>
      </c>
      <c r="L380" s="37">
        <f>Tabela3[[#This Row],[Qtde Cx Produzida]]*Tabela3[[#This Row],[Qdt Peça Placa]]</f>
        <v>4</v>
      </c>
      <c r="M380" s="37">
        <f>Tabela3[[#This Row],[Previsto]]-Tabela3[[#This Row],[Perda Pçs]]</f>
        <v>4</v>
      </c>
      <c r="N380" s="38">
        <f>IFERROR(Tabela3[[#This Row],[Perda Pçs]]/Tabela3[[#This Row],[Previsto]],0)</f>
        <v>0</v>
      </c>
      <c r="O380" s="39">
        <f>IFERROR(IF(Tabela3[[#This Row],[Qtde Cx Produzida]] &lt;&gt; 0, Tabela3[[#This Row],[Tempo]] / Tabela3[[#This Row],[Qtde Cx Produzida]], 0),0)</f>
        <v>1.7361111111111112E-4</v>
      </c>
      <c r="P380" s="57">
        <f>IFERROR(Tabela3[[#This Row],[Perda Pçs]]/Tabela3[[#This Row],[Qdt Peça Placa]],0)</f>
        <v>0</v>
      </c>
      <c r="Q380" s="37">
        <f>IFERROR(Tabela3[[#This Row],[Realizado]]*Tabela3[[#This Row],[Peso Util/Pç]],0)</f>
        <v>0.8</v>
      </c>
      <c r="R380" s="37">
        <f>IFERROR(Tabela3[[#This Row],[Peso Total Galho]]*Tabela3[[#This Row],[Qtde Cx Produzida]]*1.055,0)</f>
        <v>7.1739999999999995</v>
      </c>
      <c r="S380" s="37">
        <f>(Tabela3[[#This Row],[Aluminio Bruto]]-Tabela3[[#This Row],[Aluminio Util]])*0.9</f>
        <v>5.7366000000000001</v>
      </c>
      <c r="T380" s="37">
        <f>Tabela3[[#This Row],[Aluminio Bruto]]/OleoKGAluminio</f>
        <v>3.018092524107117</v>
      </c>
      <c r="U380" s="35">
        <f>IFERROR((VLOOKUP(Tabela3[[#This Row],[Moldador]],Tabela1[],5,)+(VLOOKUP(Tabela3[[#This Row],[Ajudante]],Tabela1[],5,))*3.5),0)</f>
        <v>99.95034583333333</v>
      </c>
      <c r="V380" s="35">
        <f>IFERROR(Tabela3[[#This Row],[Custo M.O. / H]]/((Tabela3[[#This Row],[Realizado]]/Tabela3[[#This Row],[Qdt Peça Placa]])/Tabela3[[#This Row],[Tempo]]/24),)</f>
        <v>0.41645977430555553</v>
      </c>
      <c r="W380" s="35">
        <f>Tabela3[[#This Row],[Custo / Cx Moldada]]*Tabela3[[#This Row],[Qtde Cx Produzida]]</f>
        <v>1.6658390972222221</v>
      </c>
      <c r="X380" s="35">
        <f ca="1">Tabela3[[#This Row],[Aluminio Util]]*Tabela3[[#This Row],[Custo/Kg]]</f>
        <v>14.080000000000002</v>
      </c>
      <c r="Y380" s="35">
        <f>IFERROR(VLOOKUP(Tabela3[[#This Row],[Data]],Tabela461213[],2,1)*(Tabela3[[#This Row],[Qtde Cx Produzida]]*Tabela3[[#This Row],[Qde macho / CX]]*Tabela3[[#This Row],[Peso Macho]]),)</f>
        <v>0</v>
      </c>
      <c r="Z380" s="35">
        <f>IFERROR(Tabela3[[#This Row],[Qtde Oleo]]*(VLOOKUP(Tabela3[[#This Row],[Data]],CompraOleo[],3,TRUE))*1.05,0)</f>
        <v>7.9224928757811828</v>
      </c>
      <c r="AA380" s="47">
        <f ca="1">(Tabela3[[#This Row],[Custo Oleo]]+Tabela3[[#This Row],[Custo Aluminio]]+Tabela3[[#This Row],[Custo M.O. Total]]+Tabela3[[#This Row],[Custo Machos]])</f>
        <v>23.668331973003408</v>
      </c>
      <c r="AB380" s="47">
        <f ca="1">Tabela3[[#This Row],[Custo Total]]*Tabela3[[#This Row],[% Perda]]</f>
        <v>0</v>
      </c>
      <c r="AC380" s="48">
        <f>IFERROR(VLOOKUP(Tabela3[[#This Row],[Produto]],Tabela2[],2,0),0)</f>
        <v>1</v>
      </c>
      <c r="AD380" s="48">
        <f>IFERROR(VLOOKUP(Tabela3[[#This Row],[Produto]],Tabela2[],3,0),0)</f>
        <v>0.2</v>
      </c>
      <c r="AE380" s="48">
        <f>IFERROR(VLOOKUP(Tabela3[[#This Row],[Produto]],Tabela2[],4,0),0)</f>
        <v>1.7</v>
      </c>
      <c r="AF380" s="48">
        <f>IFERROR(VLOOKUP(Tabela3[[#This Row],[Produto]],Tabela2[],5,0),0)</f>
        <v>1.35</v>
      </c>
      <c r="AG380" s="40">
        <f>IFERROR(VLOOKUP(Tabela3[[#This Row],[Produto]],Tabela2[],6,0),0)</f>
        <v>0</v>
      </c>
      <c r="AH380" s="40">
        <f>IFERROR(VLOOKUP(Tabela3[[#This Row],[Produto]],Tabela2[],7,0),0)</f>
        <v>0</v>
      </c>
      <c r="AI380" s="40">
        <f>IFERROR(VLOOKUP(Tabela3[[#This Row],[Produto]],Tabela2[],8,0),0)</f>
        <v>0</v>
      </c>
      <c r="AJ380" s="35">
        <f ca="1">IFERROR(VLOOKUP(Tabela3[[#This Row],[Produto]],Tabela2[],13,0),0)</f>
        <v>17.600000000000001</v>
      </c>
      <c r="AK380" s="40" t="str">
        <f>IFERROR(VLOOKUP(Tabela3[[#This Row],[Produto]],Tabela2[],14,0),0)</f>
        <v>Oscar</v>
      </c>
      <c r="AL380" s="40">
        <f>IFERROR(VLOOKUP(Tabela3[[#This Row],[Produto]],Tabela2[],15,0),0)</f>
        <v>0</v>
      </c>
      <c r="AM380" s="36">
        <f ca="1">(Tabela3[[#This Row],[Custo Usinagem]]+Tabela3[[#This Row],[Custo / Pç]])*1.2</f>
        <v>7.1004995919010225</v>
      </c>
      <c r="AN380" s="36">
        <f ca="1">Tabela3[[#This Row],[Valor Mínimo Venda]]*1.15</f>
        <v>8.1655745306861753</v>
      </c>
      <c r="AO380" s="36">
        <f ca="1">Tabela3[[#This Row],[Tabela 1]]*1.08</f>
        <v>8.8188204931410699</v>
      </c>
      <c r="AP380" s="36">
        <f ca="1">Tabela3[[#This Row],[Tabela 2]]*1.15</f>
        <v>10.141643567112229</v>
      </c>
    </row>
    <row r="381" spans="1:42">
      <c r="A381" s="9">
        <v>45834</v>
      </c>
      <c r="B381" s="6" t="s">
        <v>232</v>
      </c>
      <c r="C381" s="14">
        <v>6605</v>
      </c>
      <c r="D381" s="6" t="s">
        <v>46</v>
      </c>
      <c r="E381" s="6" t="s">
        <v>44</v>
      </c>
      <c r="F381" s="6">
        <v>55</v>
      </c>
      <c r="G381" s="15">
        <v>0.26111111111111113</v>
      </c>
      <c r="H381" s="16">
        <v>0</v>
      </c>
      <c r="I381" s="35">
        <f ca="1">IFERROR(Tabela3[[#This Row],[Custo Total]]/Tabela3[[#This Row],[Aluminio Util]],0)</f>
        <v>28.356534447946984</v>
      </c>
      <c r="J381" s="35">
        <f ca="1">Tabela3[[#This Row],[Custo Total]]/Tabela3[[#This Row],[Realizado]]</f>
        <v>11.938101002585679</v>
      </c>
      <c r="K381" s="37">
        <f>IFERROR(Tabela3[[#This Row],[Qtde Cx Produzida]]/Tabela3[[#This Row],[Tempo]]/24,0)</f>
        <v>8.7765957446808507</v>
      </c>
      <c r="L381" s="37">
        <f>Tabela3[[#This Row],[Qtde Cx Produzida]]*Tabela3[[#This Row],[Qdt Peça Placa]]</f>
        <v>220</v>
      </c>
      <c r="M381" s="37">
        <f>Tabela3[[#This Row],[Previsto]]-Tabela3[[#This Row],[Perda Pçs]]</f>
        <v>220</v>
      </c>
      <c r="N381" s="38">
        <f>IFERROR(Tabela3[[#This Row],[Perda Pçs]]/Tabela3[[#This Row],[Previsto]],0)</f>
        <v>0</v>
      </c>
      <c r="O381" s="39">
        <f>IFERROR(IF(Tabela3[[#This Row],[Qtde Cx Produzida]] &lt;&gt; 0, Tabela3[[#This Row],[Tempo]] / Tabela3[[#This Row],[Qtde Cx Produzida]], 0),0)</f>
        <v>4.7474747474747477E-3</v>
      </c>
      <c r="P381" s="57">
        <f>IFERROR(Tabela3[[#This Row],[Perda Pçs]]/Tabela3[[#This Row],[Qdt Peça Placa]],0)</f>
        <v>0</v>
      </c>
      <c r="Q381" s="37">
        <f>IFERROR(Tabela3[[#This Row],[Realizado]]*Tabela3[[#This Row],[Peso Util/Pç]],0)</f>
        <v>92.61999999999999</v>
      </c>
      <c r="R381" s="37">
        <f>IFERROR(Tabela3[[#This Row],[Peso Total Galho]]*Tabela3[[#This Row],[Qtde Cx Produzida]]*1.055,0)</f>
        <v>186.60840000000002</v>
      </c>
      <c r="S381" s="37">
        <f>(Tabela3[[#This Row],[Aluminio Bruto]]-Tabela3[[#This Row],[Aluminio Util]])*0.9</f>
        <v>84.58956000000002</v>
      </c>
      <c r="T381" s="37">
        <f>Tabela3[[#This Row],[Aluminio Bruto]]/OleoKGAluminio</f>
        <v>78.505912597656902</v>
      </c>
      <c r="U381" s="35">
        <f>IFERROR((VLOOKUP(Tabela3[[#This Row],[Moldador]],Tabela1[],5,)+(VLOOKUP(Tabela3[[#This Row],[Ajudante]],Tabela1[],5,))*3.5),0)</f>
        <v>126.0945</v>
      </c>
      <c r="V381" s="35">
        <f>IFERROR(Tabela3[[#This Row],[Custo M.O. / H]]/((Tabela3[[#This Row],[Realizado]]/Tabela3[[#This Row],[Qdt Peça Placa]])/Tabela3[[#This Row],[Tempo]]/24),)</f>
        <v>14.367130909090909</v>
      </c>
      <c r="W381" s="35">
        <f>Tabela3[[#This Row],[Custo / Cx Moldada]]*Tabela3[[#This Row],[Qtde Cx Produzida]]</f>
        <v>790.19219999999996</v>
      </c>
      <c r="X381" s="35">
        <f ca="1">Tabela3[[#This Row],[Aluminio Util]]*Tabela3[[#This Row],[Custo/Kg]]</f>
        <v>1630.1119999999999</v>
      </c>
      <c r="Y381" s="35">
        <f>IFERROR(VLOOKUP(Tabela3[[#This Row],[Data]],Tabela461213[],2,1)*(Tabela3[[#This Row],[Qtde Cx Produzida]]*Tabela3[[#This Row],[Qde macho / CX]]*Tabela3[[#This Row],[Peso Macho]]),)</f>
        <v>0</v>
      </c>
      <c r="Z381" s="35">
        <f>IFERROR(Tabela3[[#This Row],[Qtde Oleo]]*(VLOOKUP(Tabela3[[#This Row],[Data]],CompraOleo[],3,TRUE))*1.05,0)</f>
        <v>206.07802056884938</v>
      </c>
      <c r="AA381" s="47">
        <f ca="1">(Tabela3[[#This Row],[Custo Oleo]]+Tabela3[[#This Row],[Custo Aluminio]]+Tabela3[[#This Row],[Custo M.O. Total]]+Tabela3[[#This Row],[Custo Machos]])</f>
        <v>2626.3822205688493</v>
      </c>
      <c r="AB381" s="47">
        <f ca="1">Tabela3[[#This Row],[Custo Total]]*Tabela3[[#This Row],[% Perda]]</f>
        <v>0</v>
      </c>
      <c r="AC381" s="48">
        <f>IFERROR(VLOOKUP(Tabela3[[#This Row],[Produto]],Tabela2[],2,0),0)</f>
        <v>4</v>
      </c>
      <c r="AD381" s="48">
        <f>IFERROR(VLOOKUP(Tabela3[[#This Row],[Produto]],Tabela2[],3,0),0)</f>
        <v>0.42099999999999999</v>
      </c>
      <c r="AE381" s="48">
        <f>IFERROR(VLOOKUP(Tabela3[[#This Row],[Produto]],Tabela2[],4,0),0)</f>
        <v>3.2160000000000002</v>
      </c>
      <c r="AF381" s="48">
        <f>IFERROR(VLOOKUP(Tabela3[[#This Row],[Produto]],Tabela2[],5,0),0)</f>
        <v>1.3788000000000002</v>
      </c>
      <c r="AG381" s="40">
        <f>IFERROR(VLOOKUP(Tabela3[[#This Row],[Produto]],Tabela2[],6,0),0)</f>
        <v>0</v>
      </c>
      <c r="AH381" s="40">
        <f>IFERROR(VLOOKUP(Tabela3[[#This Row],[Produto]],Tabela2[],7,0),0)</f>
        <v>0</v>
      </c>
      <c r="AI381" s="40">
        <f>IFERROR(VLOOKUP(Tabela3[[#This Row],[Produto]],Tabela2[],8,0),0)</f>
        <v>0</v>
      </c>
      <c r="AJ381" s="35">
        <f ca="1">IFERROR(VLOOKUP(Tabela3[[#This Row],[Produto]],Tabela2[],13,0),0)</f>
        <v>17.600000000000001</v>
      </c>
      <c r="AK381" s="40" t="str">
        <f>IFERROR(VLOOKUP(Tabela3[[#This Row],[Produto]],Tabela2[],14,0),0)</f>
        <v>Busa</v>
      </c>
      <c r="AL381" s="40">
        <f>IFERROR(VLOOKUP(Tabela3[[#This Row],[Produto]],Tabela2[],15,0),0)</f>
        <v>0.5</v>
      </c>
      <c r="AM381" s="36">
        <f ca="1">(Tabela3[[#This Row],[Custo Usinagem]]+Tabela3[[#This Row],[Custo / Pç]])*1.2</f>
        <v>14.925721203102814</v>
      </c>
      <c r="AN381" s="36">
        <f ca="1">Tabela3[[#This Row],[Valor Mínimo Venda]]*1.15</f>
        <v>17.164579383568235</v>
      </c>
      <c r="AO381" s="36">
        <f ca="1">Tabela3[[#This Row],[Tabela 1]]*1.08</f>
        <v>18.537745734253694</v>
      </c>
      <c r="AP381" s="36">
        <f ca="1">Tabela3[[#This Row],[Tabela 2]]*1.15</f>
        <v>21.318407594391747</v>
      </c>
    </row>
    <row r="382" spans="1:42">
      <c r="A382" s="9">
        <v>45834</v>
      </c>
      <c r="B382" s="6" t="s">
        <v>247</v>
      </c>
      <c r="C382" s="14">
        <v>6992</v>
      </c>
      <c r="D382" s="6" t="s">
        <v>44</v>
      </c>
      <c r="E382" s="6" t="s">
        <v>47</v>
      </c>
      <c r="F382" s="6">
        <v>13</v>
      </c>
      <c r="G382" s="15">
        <v>5.9722222222222225E-2</v>
      </c>
      <c r="H382" s="16">
        <v>0</v>
      </c>
      <c r="I382" s="35">
        <f ca="1">IFERROR(Tabela3[[#This Row],[Custo Total]]/Tabela3[[#This Row],[Aluminio Util]],0)</f>
        <v>27.016527536212418</v>
      </c>
      <c r="J382" s="35">
        <f ca="1">Tabela3[[#This Row],[Custo Total]]/Tabela3[[#This Row],[Realizado]]</f>
        <v>8.1049582608637252</v>
      </c>
      <c r="K382" s="37">
        <f>IFERROR(Tabela3[[#This Row],[Qtde Cx Produzida]]/Tabela3[[#This Row],[Tempo]]/24,0)</f>
        <v>9.0697674418604652</v>
      </c>
      <c r="L382" s="37">
        <f>Tabela3[[#This Row],[Qtde Cx Produzida]]*Tabela3[[#This Row],[Qdt Peça Placa]]</f>
        <v>52</v>
      </c>
      <c r="M382" s="37">
        <f>Tabela3[[#This Row],[Previsto]]-Tabela3[[#This Row],[Perda Pçs]]</f>
        <v>52</v>
      </c>
      <c r="N382" s="38">
        <f>IFERROR(Tabela3[[#This Row],[Perda Pçs]]/Tabela3[[#This Row],[Previsto]],0)</f>
        <v>0</v>
      </c>
      <c r="O382" s="39">
        <f>IFERROR(IF(Tabela3[[#This Row],[Qtde Cx Produzida]] &lt;&gt; 0, Tabela3[[#This Row],[Tempo]] / Tabela3[[#This Row],[Qtde Cx Produzida]], 0),0)</f>
        <v>4.5940170940170942E-3</v>
      </c>
      <c r="P382" s="57">
        <f>IFERROR(Tabela3[[#This Row],[Perda Pçs]]/Tabela3[[#This Row],[Qdt Peça Placa]],0)</f>
        <v>0</v>
      </c>
      <c r="Q382" s="37">
        <f>IFERROR(Tabela3[[#This Row],[Realizado]]*Tabela3[[#This Row],[Peso Util/Pç]],0)</f>
        <v>15.6</v>
      </c>
      <c r="R382" s="37">
        <f>IFERROR(Tabela3[[#This Row],[Peso Total Galho]]*Tabela3[[#This Row],[Qtde Cx Produzida]]*1.055,0)</f>
        <v>31.544499999999996</v>
      </c>
      <c r="S382" s="37">
        <f>(Tabela3[[#This Row],[Aluminio Bruto]]-Tabela3[[#This Row],[Aluminio Util]])*0.9</f>
        <v>14.350049999999996</v>
      </c>
      <c r="T382" s="37">
        <f>Tabela3[[#This Row],[Aluminio Bruto]]/OleoKGAluminio</f>
        <v>13.270730363353353</v>
      </c>
      <c r="U382" s="35">
        <f>IFERROR((VLOOKUP(Tabela3[[#This Row],[Moldador]],Tabela1[],5,)+(VLOOKUP(Tabela3[[#This Row],[Ajudante]],Tabela1[],5,))*3.5),0)</f>
        <v>99.95034583333333</v>
      </c>
      <c r="V382" s="35">
        <f>IFERROR(Tabela3[[#This Row],[Custo M.O. / H]]/((Tabela3[[#This Row],[Realizado]]/Tabela3[[#This Row],[Qdt Peça Placa]])/Tabela3[[#This Row],[Tempo]]/24),)</f>
        <v>11.020166335470085</v>
      </c>
      <c r="W382" s="35">
        <f>Tabela3[[#This Row],[Custo / Cx Moldada]]*Tabela3[[#This Row],[Qtde Cx Produzida]]</f>
        <v>143.26216236111111</v>
      </c>
      <c r="X382" s="35">
        <f ca="1">Tabela3[[#This Row],[Aluminio Util]]*Tabela3[[#This Row],[Custo/Kg]]</f>
        <v>243.36</v>
      </c>
      <c r="Y382" s="35">
        <f>IFERROR(VLOOKUP(Tabela3[[#This Row],[Data]],Tabela461213[],2,1)*(Tabela3[[#This Row],[Qtde Cx Produzida]]*Tabela3[[#This Row],[Qde macho / CX]]*Tabela3[[#This Row],[Peso Macho]]),)</f>
        <v>0</v>
      </c>
      <c r="Z382" s="35">
        <f>IFERROR(Tabela3[[#This Row],[Qtde Oleo]]*(VLOOKUP(Tabela3[[#This Row],[Data]],CompraOleo[],3,TRUE))*1.05,0)</f>
        <v>34.835667203802558</v>
      </c>
      <c r="AA382" s="47">
        <f ca="1">(Tabela3[[#This Row],[Custo Oleo]]+Tabela3[[#This Row],[Custo Aluminio]]+Tabela3[[#This Row],[Custo M.O. Total]]+Tabela3[[#This Row],[Custo Machos]])</f>
        <v>421.45782956491371</v>
      </c>
      <c r="AB382" s="47">
        <f ca="1">Tabela3[[#This Row],[Custo Total]]*Tabela3[[#This Row],[% Perda]]</f>
        <v>0</v>
      </c>
      <c r="AC382" s="48">
        <f>IFERROR(VLOOKUP(Tabela3[[#This Row],[Produto]],Tabela2[],2,0),0)</f>
        <v>4</v>
      </c>
      <c r="AD382" s="48">
        <f>IFERROR(VLOOKUP(Tabela3[[#This Row],[Produto]],Tabela2[],3,0),0)</f>
        <v>0.3</v>
      </c>
      <c r="AE382" s="48">
        <f>IFERROR(VLOOKUP(Tabela3[[#This Row],[Produto]],Tabela2[],4,0),0)</f>
        <v>2.2999999999999998</v>
      </c>
      <c r="AF382" s="48">
        <f>IFERROR(VLOOKUP(Tabela3[[#This Row],[Produto]],Tabela2[],5,0),0)</f>
        <v>0.98999999999999988</v>
      </c>
      <c r="AG382" s="40">
        <f>IFERROR(VLOOKUP(Tabela3[[#This Row],[Produto]],Tabela2[],6,0),0)</f>
        <v>0</v>
      </c>
      <c r="AH382" s="40">
        <f>IFERROR(VLOOKUP(Tabela3[[#This Row],[Produto]],Tabela2[],7,0),0)</f>
        <v>0</v>
      </c>
      <c r="AI382" s="40">
        <f>IFERROR(VLOOKUP(Tabela3[[#This Row],[Produto]],Tabela2[],8,0),0)</f>
        <v>0</v>
      </c>
      <c r="AJ382" s="35">
        <f ca="1">IFERROR(VLOOKUP(Tabela3[[#This Row],[Produto]],Tabela2[],13,0),0)</f>
        <v>15.600000000000001</v>
      </c>
      <c r="AK382" s="40" t="str">
        <f>IFERROR(VLOOKUP(Tabela3[[#This Row],[Produto]],Tabela2[],14,0),0)</f>
        <v>Senun</v>
      </c>
      <c r="AL382" s="40">
        <f>IFERROR(VLOOKUP(Tabela3[[#This Row],[Produto]],Tabela2[],15,0),0)</f>
        <v>3.5</v>
      </c>
      <c r="AM382" s="36">
        <f ca="1">(Tabela3[[#This Row],[Custo Usinagem]]+Tabela3[[#This Row],[Custo / Pç]])*1.2</f>
        <v>13.925949913036471</v>
      </c>
      <c r="AN382" s="36">
        <f ca="1">Tabela3[[#This Row],[Valor Mínimo Venda]]*1.15</f>
        <v>16.014842399991942</v>
      </c>
      <c r="AO382" s="36">
        <f ca="1">Tabela3[[#This Row],[Tabela 1]]*1.08</f>
        <v>17.296029791991298</v>
      </c>
      <c r="AP382" s="36">
        <f ca="1">Tabela3[[#This Row],[Tabela 2]]*1.15</f>
        <v>19.890434260789991</v>
      </c>
    </row>
    <row r="383" spans="1:42">
      <c r="A383" s="9">
        <v>45834</v>
      </c>
      <c r="B383" s="6" t="s">
        <v>247</v>
      </c>
      <c r="C383" s="14">
        <v>6992</v>
      </c>
      <c r="D383" s="6" t="s">
        <v>46</v>
      </c>
      <c r="E383" s="6" t="s">
        <v>53</v>
      </c>
      <c r="F383" s="6">
        <v>18</v>
      </c>
      <c r="G383" s="15">
        <v>9.375E-2</v>
      </c>
      <c r="H383" s="16">
        <v>0</v>
      </c>
      <c r="I383" s="35">
        <f ca="1">IFERROR(Tabela3[[#This Row],[Custo Total]]/Tabela3[[#This Row],[Aluminio Util]],0)</f>
        <v>28.244549947626233</v>
      </c>
      <c r="J383" s="35">
        <f ca="1">Tabela3[[#This Row],[Custo Total]]/Tabela3[[#This Row],[Realizado]]</f>
        <v>8.4733649842878691</v>
      </c>
      <c r="K383" s="37">
        <f>IFERROR(Tabela3[[#This Row],[Qtde Cx Produzida]]/Tabela3[[#This Row],[Tempo]]/24,0)</f>
        <v>8</v>
      </c>
      <c r="L383" s="37">
        <f>Tabela3[[#This Row],[Qtde Cx Produzida]]*Tabela3[[#This Row],[Qdt Peça Placa]]</f>
        <v>72</v>
      </c>
      <c r="M383" s="37">
        <f>Tabela3[[#This Row],[Previsto]]-Tabela3[[#This Row],[Perda Pçs]]</f>
        <v>72</v>
      </c>
      <c r="N383" s="38">
        <f>IFERROR(Tabela3[[#This Row],[Perda Pçs]]/Tabela3[[#This Row],[Previsto]],0)</f>
        <v>0</v>
      </c>
      <c r="O383" s="39">
        <f>IFERROR(IF(Tabela3[[#This Row],[Qtde Cx Produzida]] &lt;&gt; 0, Tabela3[[#This Row],[Tempo]] / Tabela3[[#This Row],[Qtde Cx Produzida]], 0),0)</f>
        <v>5.208333333333333E-3</v>
      </c>
      <c r="P383" s="57">
        <f>IFERROR(Tabela3[[#This Row],[Perda Pçs]]/Tabela3[[#This Row],[Qdt Peça Placa]],0)</f>
        <v>0</v>
      </c>
      <c r="Q383" s="37">
        <f>IFERROR(Tabela3[[#This Row],[Realizado]]*Tabela3[[#This Row],[Peso Util/Pç]],0)</f>
        <v>21.599999999999998</v>
      </c>
      <c r="R383" s="37">
        <f>IFERROR(Tabela3[[#This Row],[Peso Total Galho]]*Tabela3[[#This Row],[Qtde Cx Produzida]]*1.055,0)</f>
        <v>43.676999999999992</v>
      </c>
      <c r="S383" s="37">
        <f>(Tabela3[[#This Row],[Aluminio Bruto]]-Tabela3[[#This Row],[Aluminio Util]])*0.9</f>
        <v>19.869299999999996</v>
      </c>
      <c r="T383" s="37">
        <f>Tabela3[[#This Row],[Aluminio Bruto]]/OleoKGAluminio</f>
        <v>18.374857426181563</v>
      </c>
      <c r="U383" s="35">
        <f>IFERROR((VLOOKUP(Tabela3[[#This Row],[Moldador]],Tabela1[],5,)+(VLOOKUP(Tabela3[[#This Row],[Ajudante]],Tabela1[],5,))*3.5),0)</f>
        <v>99.95034583333333</v>
      </c>
      <c r="V383" s="35">
        <f>IFERROR(Tabela3[[#This Row],[Custo M.O. / H]]/((Tabela3[[#This Row],[Realizado]]/Tabela3[[#This Row],[Qdt Peça Placa]])/Tabela3[[#This Row],[Tempo]]/24),)</f>
        <v>12.493793229166666</v>
      </c>
      <c r="W383" s="35">
        <f>Tabela3[[#This Row],[Custo / Cx Moldada]]*Tabela3[[#This Row],[Qtde Cx Produzida]]</f>
        <v>224.888278125</v>
      </c>
      <c r="X383" s="35">
        <f ca="1">Tabela3[[#This Row],[Aluminio Util]]*Tabela3[[#This Row],[Custo/Kg]]</f>
        <v>336.96</v>
      </c>
      <c r="Y383" s="35">
        <f>IFERROR(VLOOKUP(Tabela3[[#This Row],[Data]],Tabela461213[],2,1)*(Tabela3[[#This Row],[Qtde Cx Produzida]]*Tabela3[[#This Row],[Qde macho / CX]]*Tabela3[[#This Row],[Peso Macho]]),)</f>
        <v>0</v>
      </c>
      <c r="Z383" s="35">
        <f>IFERROR(Tabela3[[#This Row],[Qtde Oleo]]*(VLOOKUP(Tabela3[[#This Row],[Data]],CompraOleo[],3,TRUE))*1.05,0)</f>
        <v>48.234000743726604</v>
      </c>
      <c r="AA383" s="47">
        <f ca="1">(Tabela3[[#This Row],[Custo Oleo]]+Tabela3[[#This Row],[Custo Aluminio]]+Tabela3[[#This Row],[Custo M.O. Total]]+Tabela3[[#This Row],[Custo Machos]])</f>
        <v>610.08227886872658</v>
      </c>
      <c r="AB383" s="47">
        <f ca="1">Tabela3[[#This Row],[Custo Total]]*Tabela3[[#This Row],[% Perda]]</f>
        <v>0</v>
      </c>
      <c r="AC383" s="48">
        <f>IFERROR(VLOOKUP(Tabela3[[#This Row],[Produto]],Tabela2[],2,0),0)</f>
        <v>4</v>
      </c>
      <c r="AD383" s="48">
        <f>IFERROR(VLOOKUP(Tabela3[[#This Row],[Produto]],Tabela2[],3,0),0)</f>
        <v>0.3</v>
      </c>
      <c r="AE383" s="48">
        <f>IFERROR(VLOOKUP(Tabela3[[#This Row],[Produto]],Tabela2[],4,0),0)</f>
        <v>2.2999999999999998</v>
      </c>
      <c r="AF383" s="48">
        <f>IFERROR(VLOOKUP(Tabela3[[#This Row],[Produto]],Tabela2[],5,0),0)</f>
        <v>0.98999999999999988</v>
      </c>
      <c r="AG383" s="40">
        <f>IFERROR(VLOOKUP(Tabela3[[#This Row],[Produto]],Tabela2[],6,0),0)</f>
        <v>0</v>
      </c>
      <c r="AH383" s="40">
        <f>IFERROR(VLOOKUP(Tabela3[[#This Row],[Produto]],Tabela2[],7,0),0)</f>
        <v>0</v>
      </c>
      <c r="AI383" s="40">
        <f>IFERROR(VLOOKUP(Tabela3[[#This Row],[Produto]],Tabela2[],8,0),0)</f>
        <v>0</v>
      </c>
      <c r="AJ383" s="35">
        <f ca="1">IFERROR(VLOOKUP(Tabela3[[#This Row],[Produto]],Tabela2[],13,0),0)</f>
        <v>15.600000000000001</v>
      </c>
      <c r="AK383" s="40" t="str">
        <f>IFERROR(VLOOKUP(Tabela3[[#This Row],[Produto]],Tabela2[],14,0),0)</f>
        <v>Senun</v>
      </c>
      <c r="AL383" s="40">
        <f>IFERROR(VLOOKUP(Tabela3[[#This Row],[Produto]],Tabela2[],15,0),0)</f>
        <v>3.5</v>
      </c>
      <c r="AM383" s="36">
        <f ca="1">(Tabela3[[#This Row],[Custo Usinagem]]+Tabela3[[#This Row],[Custo / Pç]])*1.2</f>
        <v>14.368037981145443</v>
      </c>
      <c r="AN383" s="36">
        <f ca="1">Tabela3[[#This Row],[Valor Mínimo Venda]]*1.15</f>
        <v>16.523243678317257</v>
      </c>
      <c r="AO383" s="36">
        <f ca="1">Tabela3[[#This Row],[Tabela 1]]*1.08</f>
        <v>17.84510317258264</v>
      </c>
      <c r="AP383" s="36">
        <f ca="1">Tabela3[[#This Row],[Tabela 2]]*1.15</f>
        <v>20.521868648470033</v>
      </c>
    </row>
    <row r="384" spans="1:42">
      <c r="A384" s="9">
        <v>45834</v>
      </c>
      <c r="B384" s="6" t="s">
        <v>247</v>
      </c>
      <c r="C384" s="14">
        <v>6992</v>
      </c>
      <c r="D384" s="6" t="s">
        <v>44</v>
      </c>
      <c r="E384" s="6" t="s">
        <v>47</v>
      </c>
      <c r="F384" s="6">
        <v>16</v>
      </c>
      <c r="G384" s="15">
        <v>7.7777777777777779E-2</v>
      </c>
      <c r="H384" s="16">
        <v>0</v>
      </c>
      <c r="I384" s="35">
        <f ca="1">IFERROR(Tabela3[[#This Row],[Custo Total]]/Tabela3[[#This Row],[Aluminio Util]],0)</f>
        <v>27.55045032378364</v>
      </c>
      <c r="J384" s="35">
        <f ca="1">Tabela3[[#This Row],[Custo Total]]/Tabela3[[#This Row],[Realizado]]</f>
        <v>8.2651350971350919</v>
      </c>
      <c r="K384" s="37">
        <f>IFERROR(Tabela3[[#This Row],[Qtde Cx Produzida]]/Tabela3[[#This Row],[Tempo]]/24,0)</f>
        <v>8.5714285714285712</v>
      </c>
      <c r="L384" s="37">
        <f>Tabela3[[#This Row],[Qtde Cx Produzida]]*Tabela3[[#This Row],[Qdt Peça Placa]]</f>
        <v>64</v>
      </c>
      <c r="M384" s="37">
        <f>Tabela3[[#This Row],[Previsto]]-Tabela3[[#This Row],[Perda Pçs]]</f>
        <v>64</v>
      </c>
      <c r="N384" s="38">
        <f>IFERROR(Tabela3[[#This Row],[Perda Pçs]]/Tabela3[[#This Row],[Previsto]],0)</f>
        <v>0</v>
      </c>
      <c r="O384" s="39">
        <f>IFERROR(IF(Tabela3[[#This Row],[Qtde Cx Produzida]] &lt;&gt; 0, Tabela3[[#This Row],[Tempo]] / Tabela3[[#This Row],[Qtde Cx Produzida]], 0),0)</f>
        <v>4.8611111111111112E-3</v>
      </c>
      <c r="P384" s="57">
        <f>IFERROR(Tabela3[[#This Row],[Perda Pçs]]/Tabela3[[#This Row],[Qdt Peça Placa]],0)</f>
        <v>0</v>
      </c>
      <c r="Q384" s="37">
        <f>IFERROR(Tabela3[[#This Row],[Realizado]]*Tabela3[[#This Row],[Peso Util/Pç]],0)</f>
        <v>19.2</v>
      </c>
      <c r="R384" s="37">
        <f>IFERROR(Tabela3[[#This Row],[Peso Total Galho]]*Tabela3[[#This Row],[Qtde Cx Produzida]]*1.055,0)</f>
        <v>38.823999999999998</v>
      </c>
      <c r="S384" s="37">
        <f>(Tabela3[[#This Row],[Aluminio Bruto]]-Tabela3[[#This Row],[Aluminio Util]])*0.9</f>
        <v>17.6616</v>
      </c>
      <c r="T384" s="37">
        <f>Tabela3[[#This Row],[Aluminio Bruto]]/OleoKGAluminio</f>
        <v>16.333206601050282</v>
      </c>
      <c r="U384" s="35">
        <f>IFERROR((VLOOKUP(Tabela3[[#This Row],[Moldador]],Tabela1[],5,)+(VLOOKUP(Tabela3[[#This Row],[Ajudante]],Tabela1[],5,))*3.5),0)</f>
        <v>99.95034583333333</v>
      </c>
      <c r="V384" s="35">
        <f>IFERROR(Tabela3[[#This Row],[Custo M.O. / H]]/((Tabela3[[#This Row],[Realizado]]/Tabela3[[#This Row],[Qdt Peça Placa]])/Tabela3[[#This Row],[Tempo]]/24),)</f>
        <v>11.660873680555556</v>
      </c>
      <c r="W384" s="35">
        <f>Tabela3[[#This Row],[Custo / Cx Moldada]]*Tabela3[[#This Row],[Qtde Cx Produzida]]</f>
        <v>186.57397888888889</v>
      </c>
      <c r="X384" s="35">
        <f ca="1">Tabela3[[#This Row],[Aluminio Util]]*Tabela3[[#This Row],[Custo/Kg]]</f>
        <v>299.52000000000004</v>
      </c>
      <c r="Y384" s="35">
        <f>IFERROR(VLOOKUP(Tabela3[[#This Row],[Data]],Tabela461213[],2,1)*(Tabela3[[#This Row],[Qtde Cx Produzida]]*Tabela3[[#This Row],[Qde macho / CX]]*Tabela3[[#This Row],[Peso Macho]]),)</f>
        <v>0</v>
      </c>
      <c r="Z384" s="35">
        <f>IFERROR(Tabela3[[#This Row],[Qtde Oleo]]*(VLOOKUP(Tabela3[[#This Row],[Data]],CompraOleo[],3,TRUE))*1.05,0)</f>
        <v>42.874667327756988</v>
      </c>
      <c r="AA384" s="47">
        <f ca="1">(Tabela3[[#This Row],[Custo Oleo]]+Tabela3[[#This Row],[Custo Aluminio]]+Tabela3[[#This Row],[Custo M.O. Total]]+Tabela3[[#This Row],[Custo Machos]])</f>
        <v>528.96864621664588</v>
      </c>
      <c r="AB384" s="47">
        <f ca="1">Tabela3[[#This Row],[Custo Total]]*Tabela3[[#This Row],[% Perda]]</f>
        <v>0</v>
      </c>
      <c r="AC384" s="48">
        <f>IFERROR(VLOOKUP(Tabela3[[#This Row],[Produto]],Tabela2[],2,0),0)</f>
        <v>4</v>
      </c>
      <c r="AD384" s="48">
        <f>IFERROR(VLOOKUP(Tabela3[[#This Row],[Produto]],Tabela2[],3,0),0)</f>
        <v>0.3</v>
      </c>
      <c r="AE384" s="48">
        <f>IFERROR(VLOOKUP(Tabela3[[#This Row],[Produto]],Tabela2[],4,0),0)</f>
        <v>2.2999999999999998</v>
      </c>
      <c r="AF384" s="48">
        <f>IFERROR(VLOOKUP(Tabela3[[#This Row],[Produto]],Tabela2[],5,0),0)</f>
        <v>0.98999999999999988</v>
      </c>
      <c r="AG384" s="40">
        <f>IFERROR(VLOOKUP(Tabela3[[#This Row],[Produto]],Tabela2[],6,0),0)</f>
        <v>0</v>
      </c>
      <c r="AH384" s="40">
        <f>IFERROR(VLOOKUP(Tabela3[[#This Row],[Produto]],Tabela2[],7,0),0)</f>
        <v>0</v>
      </c>
      <c r="AI384" s="40">
        <f>IFERROR(VLOOKUP(Tabela3[[#This Row],[Produto]],Tabela2[],8,0),0)</f>
        <v>0</v>
      </c>
      <c r="AJ384" s="35">
        <f ca="1">IFERROR(VLOOKUP(Tabela3[[#This Row],[Produto]],Tabela2[],13,0),0)</f>
        <v>15.600000000000001</v>
      </c>
      <c r="AK384" s="40" t="str">
        <f>IFERROR(VLOOKUP(Tabela3[[#This Row],[Produto]],Tabela2[],14,0),0)</f>
        <v>Senun</v>
      </c>
      <c r="AL384" s="40">
        <f>IFERROR(VLOOKUP(Tabela3[[#This Row],[Produto]],Tabela2[],15,0),0)</f>
        <v>3.5</v>
      </c>
      <c r="AM384" s="36">
        <f ca="1">(Tabela3[[#This Row],[Custo Usinagem]]+Tabela3[[#This Row],[Custo / Pç]])*1.2</f>
        <v>14.118162116562109</v>
      </c>
      <c r="AN384" s="36">
        <f ca="1">Tabela3[[#This Row],[Valor Mínimo Venda]]*1.15</f>
        <v>16.235886434046424</v>
      </c>
      <c r="AO384" s="36">
        <f ca="1">Tabela3[[#This Row],[Tabela 1]]*1.08</f>
        <v>17.534757348770139</v>
      </c>
      <c r="AP384" s="36">
        <f ca="1">Tabela3[[#This Row],[Tabela 2]]*1.15</f>
        <v>20.164970951085657</v>
      </c>
    </row>
    <row r="385" spans="1:42">
      <c r="A385" s="9">
        <v>45835</v>
      </c>
      <c r="B385" s="6" t="s">
        <v>190</v>
      </c>
      <c r="C385" s="14">
        <v>7053</v>
      </c>
      <c r="D385" s="6" t="s">
        <v>44</v>
      </c>
      <c r="E385" s="6" t="s">
        <v>47</v>
      </c>
      <c r="F385" s="6">
        <v>9</v>
      </c>
      <c r="G385" s="15">
        <v>5.0694444444444445E-2</v>
      </c>
      <c r="H385" s="16">
        <v>0</v>
      </c>
      <c r="I385" s="35">
        <f ca="1">IFERROR(Tabela3[[#This Row],[Custo Total]]/Tabela3[[#This Row],[Aluminio Util]],0)</f>
        <v>31.20740601178921</v>
      </c>
      <c r="J385" s="35">
        <f ca="1">Tabela3[[#This Row],[Custo Total]]/Tabela3[[#This Row],[Realizado]]</f>
        <v>34.328146612968133</v>
      </c>
      <c r="K385" s="37">
        <f>IFERROR(Tabela3[[#This Row],[Qtde Cx Produzida]]/Tabela3[[#This Row],[Tempo]]/24,0)</f>
        <v>7.3972602739726021</v>
      </c>
      <c r="L385" s="37">
        <f>Tabela3[[#This Row],[Qtde Cx Produzida]]*Tabela3[[#This Row],[Qdt Peça Placa]]</f>
        <v>9</v>
      </c>
      <c r="M385" s="37">
        <f>Tabela3[[#This Row],[Previsto]]-Tabela3[[#This Row],[Perda Pçs]]</f>
        <v>9</v>
      </c>
      <c r="N385" s="38">
        <f>IFERROR(Tabela3[[#This Row],[Perda Pçs]]/Tabela3[[#This Row],[Previsto]],0)</f>
        <v>0</v>
      </c>
      <c r="O385" s="39">
        <f>IFERROR(IF(Tabela3[[#This Row],[Qtde Cx Produzida]] &lt;&gt; 0, Tabela3[[#This Row],[Tempo]] / Tabela3[[#This Row],[Qtde Cx Produzida]], 0),0)</f>
        <v>5.6327160493827161E-3</v>
      </c>
      <c r="P385" s="57">
        <f>IFERROR(Tabela3[[#This Row],[Perda Pçs]]/Tabela3[[#This Row],[Qdt Peça Placa]],0)</f>
        <v>0</v>
      </c>
      <c r="Q385" s="37">
        <f>IFERROR(Tabela3[[#This Row],[Realizado]]*Tabela3[[#This Row],[Peso Util/Pç]],0)</f>
        <v>9.9</v>
      </c>
      <c r="R385" s="37">
        <f>IFERROR(Tabela3[[#This Row],[Peso Total Galho]]*Tabela3[[#This Row],[Qtde Cx Produzida]]*1.055,0)</f>
        <v>11.868749999999999</v>
      </c>
      <c r="S385" s="37">
        <f>(Tabela3[[#This Row],[Aluminio Bruto]]-Tabela3[[#This Row],[Aluminio Util]])*0.9</f>
        <v>1.7718749999999985</v>
      </c>
      <c r="T385" s="37">
        <f>Tabela3[[#This Row],[Aluminio Bruto]]/OleoKGAluminio</f>
        <v>4.9931677788536861</v>
      </c>
      <c r="U385" s="35">
        <f>IFERROR((VLOOKUP(Tabela3[[#This Row],[Moldador]],Tabela1[],5,)+(VLOOKUP(Tabela3[[#This Row],[Ajudante]],Tabela1[],5,))*3.5),0)</f>
        <v>99.95034583333333</v>
      </c>
      <c r="V385" s="35">
        <f>IFERROR(Tabela3[[#This Row],[Custo M.O. / H]]/((Tabela3[[#This Row],[Realizado]]/Tabela3[[#This Row],[Qdt Peça Placa]])/Tabela3[[#This Row],[Tempo]]/24),)</f>
        <v>13.51180601080247</v>
      </c>
      <c r="W385" s="35">
        <f>Tabela3[[#This Row],[Custo / Cx Moldada]]*Tabela3[[#This Row],[Qtde Cx Produzida]]</f>
        <v>121.60625409722223</v>
      </c>
      <c r="X385" s="35">
        <f ca="1">Tabela3[[#This Row],[Aluminio Util]]*Tabela3[[#This Row],[Custo/Kg]]</f>
        <v>174.24</v>
      </c>
      <c r="Y385" s="35">
        <f>IFERROR(VLOOKUP(Tabela3[[#This Row],[Data]],Tabela461213[],2,1)*(Tabela3[[#This Row],[Qtde Cx Produzida]]*Tabela3[[#This Row],[Qde macho / CX]]*Tabela3[[#This Row],[Peso Macho]]),)</f>
        <v>0</v>
      </c>
      <c r="Z385" s="35">
        <f>IFERROR(Tabela3[[#This Row],[Qtde Oleo]]*(VLOOKUP(Tabela3[[#This Row],[Data]],CompraOleo[],3,TRUE))*1.05,0)</f>
        <v>13.107065419490926</v>
      </c>
      <c r="AA385" s="47">
        <f ca="1">(Tabela3[[#This Row],[Custo Oleo]]+Tabela3[[#This Row],[Custo Aluminio]]+Tabela3[[#This Row],[Custo M.O. Total]]+Tabela3[[#This Row],[Custo Machos]])</f>
        <v>308.95331951671318</v>
      </c>
      <c r="AB385" s="47">
        <f ca="1">Tabela3[[#This Row],[Custo Total]]*Tabela3[[#This Row],[% Perda]]</f>
        <v>0</v>
      </c>
      <c r="AC385" s="48">
        <f>IFERROR(VLOOKUP(Tabela3[[#This Row],[Produto]],Tabela2[],2,0),0)</f>
        <v>1</v>
      </c>
      <c r="AD385" s="48">
        <f>IFERROR(VLOOKUP(Tabela3[[#This Row],[Produto]],Tabela2[],3,0),0)</f>
        <v>1.1000000000000001</v>
      </c>
      <c r="AE385" s="48">
        <f>IFERROR(VLOOKUP(Tabela3[[#This Row],[Produto]],Tabela2[],4,0),0)</f>
        <v>1.25</v>
      </c>
      <c r="AF385" s="48">
        <f>IFERROR(VLOOKUP(Tabela3[[#This Row],[Produto]],Tabela2[],5,0),0)</f>
        <v>0.13499999999999993</v>
      </c>
      <c r="AG385" s="40">
        <f>IFERROR(VLOOKUP(Tabela3[[#This Row],[Produto]],Tabela2[],6,0),0)</f>
        <v>0</v>
      </c>
      <c r="AH385" s="40">
        <f>IFERROR(VLOOKUP(Tabela3[[#This Row],[Produto]],Tabela2[],7,0),0)</f>
        <v>0</v>
      </c>
      <c r="AI385" s="40">
        <f>IFERROR(VLOOKUP(Tabela3[[#This Row],[Produto]],Tabela2[],8,0),0)</f>
        <v>0</v>
      </c>
      <c r="AJ385" s="35">
        <f ca="1">IFERROR(VLOOKUP(Tabela3[[#This Row],[Produto]],Tabela2[],13,0),0)</f>
        <v>17.600000000000001</v>
      </c>
      <c r="AK385" s="40" t="str">
        <f>IFERROR(VLOOKUP(Tabela3[[#This Row],[Produto]],Tabela2[],14,0),0)</f>
        <v>Danilo</v>
      </c>
      <c r="AL385" s="40">
        <f>IFERROR(VLOOKUP(Tabela3[[#This Row],[Produto]],Tabela2[],15,0),0)</f>
        <v>0</v>
      </c>
      <c r="AM385" s="36">
        <f ca="1">(Tabela3[[#This Row],[Custo Usinagem]]+Tabela3[[#This Row],[Custo / Pç]])*1.2</f>
        <v>41.19377593556176</v>
      </c>
      <c r="AN385" s="36">
        <f ca="1">Tabela3[[#This Row],[Valor Mínimo Venda]]*1.15</f>
        <v>47.372842325896023</v>
      </c>
      <c r="AO385" s="36">
        <f ca="1">Tabela3[[#This Row],[Tabela 1]]*1.08</f>
        <v>51.162669711967709</v>
      </c>
      <c r="AP385" s="36">
        <f ca="1">Tabela3[[#This Row],[Tabela 2]]*1.15</f>
        <v>58.837070168762864</v>
      </c>
    </row>
    <row r="386" spans="1:42">
      <c r="A386" s="9">
        <v>45835</v>
      </c>
      <c r="B386" s="6" t="s">
        <v>247</v>
      </c>
      <c r="C386" s="14">
        <v>6992</v>
      </c>
      <c r="D386" s="6" t="s">
        <v>46</v>
      </c>
      <c r="E386" s="6" t="s">
        <v>44</v>
      </c>
      <c r="F386" s="6">
        <v>82</v>
      </c>
      <c r="G386" s="15">
        <v>0.35625000000000001</v>
      </c>
      <c r="H386" s="16">
        <v>0</v>
      </c>
      <c r="I386" s="35">
        <f ca="1">IFERROR(Tabela3[[#This Row],[Custo Total]]/Tabela3[[#This Row],[Aluminio Util]],0)</f>
        <v>28.789437449743442</v>
      </c>
      <c r="J386" s="35">
        <f ca="1">Tabela3[[#This Row],[Custo Total]]/Tabela3[[#This Row],[Realizado]]</f>
        <v>8.6368312349230312</v>
      </c>
      <c r="K386" s="37">
        <f>IFERROR(Tabela3[[#This Row],[Qtde Cx Produzida]]/Tabela3[[#This Row],[Tempo]]/24,0)</f>
        <v>9.590643274853802</v>
      </c>
      <c r="L386" s="37">
        <f>Tabela3[[#This Row],[Qtde Cx Produzida]]*Tabela3[[#This Row],[Qdt Peça Placa]]</f>
        <v>328</v>
      </c>
      <c r="M386" s="37">
        <f>Tabela3[[#This Row],[Previsto]]-Tabela3[[#This Row],[Perda Pçs]]</f>
        <v>328</v>
      </c>
      <c r="N386" s="38">
        <f>IFERROR(Tabela3[[#This Row],[Perda Pçs]]/Tabela3[[#This Row],[Previsto]],0)</f>
        <v>0</v>
      </c>
      <c r="O386" s="39">
        <f>IFERROR(IF(Tabela3[[#This Row],[Qtde Cx Produzida]] &lt;&gt; 0, Tabela3[[#This Row],[Tempo]] / Tabela3[[#This Row],[Qtde Cx Produzida]], 0),0)</f>
        <v>4.3445121951219516E-3</v>
      </c>
      <c r="P386" s="57">
        <f>IFERROR(Tabela3[[#This Row],[Perda Pçs]]/Tabela3[[#This Row],[Qdt Peça Placa]],0)</f>
        <v>0</v>
      </c>
      <c r="Q386" s="37">
        <f>IFERROR(Tabela3[[#This Row],[Realizado]]*Tabela3[[#This Row],[Peso Util/Pç]],0)</f>
        <v>98.399999999999991</v>
      </c>
      <c r="R386" s="37">
        <f>IFERROR(Tabela3[[#This Row],[Peso Total Galho]]*Tabela3[[#This Row],[Qtde Cx Produzida]]*1.055,0)</f>
        <v>198.97299999999998</v>
      </c>
      <c r="S386" s="37">
        <f>(Tabela3[[#This Row],[Aluminio Bruto]]-Tabela3[[#This Row],[Aluminio Util]])*0.9</f>
        <v>90.515699999999995</v>
      </c>
      <c r="T386" s="37">
        <f>Tabela3[[#This Row],[Aluminio Bruto]]/OleoKGAluminio</f>
        <v>83.707683830382692</v>
      </c>
      <c r="U386" s="35">
        <f>IFERROR((VLOOKUP(Tabela3[[#This Row],[Moldador]],Tabela1[],5,)+(VLOOKUP(Tabela3[[#This Row],[Ajudante]],Tabela1[],5,))*3.5),0)</f>
        <v>126.0945</v>
      </c>
      <c r="V386" s="35">
        <f>IFERROR(Tabela3[[#This Row],[Custo M.O. / H]]/((Tabela3[[#This Row],[Realizado]]/Tabela3[[#This Row],[Qdt Peça Placa]])/Tabela3[[#This Row],[Tempo]]/24),)</f>
        <v>13.147658231707316</v>
      </c>
      <c r="W386" s="35">
        <f>Tabela3[[#This Row],[Custo / Cx Moldada]]*Tabela3[[#This Row],[Qtde Cx Produzida]]</f>
        <v>1078.1079749999999</v>
      </c>
      <c r="X386" s="35">
        <f ca="1">Tabela3[[#This Row],[Aluminio Util]]*Tabela3[[#This Row],[Custo/Kg]]</f>
        <v>1535.04</v>
      </c>
      <c r="Y386" s="35">
        <f>IFERROR(VLOOKUP(Tabela3[[#This Row],[Data]],Tabela461213[],2,1)*(Tabela3[[#This Row],[Qtde Cx Produzida]]*Tabela3[[#This Row],[Qde macho / CX]]*Tabela3[[#This Row],[Peso Macho]]),)</f>
        <v>0</v>
      </c>
      <c r="Z386" s="35">
        <f>IFERROR(Tabela3[[#This Row],[Qtde Oleo]]*(VLOOKUP(Tabela3[[#This Row],[Data]],CompraOleo[],3,TRUE))*1.05,0)</f>
        <v>219.73267005475458</v>
      </c>
      <c r="AA386" s="47">
        <f ca="1">(Tabela3[[#This Row],[Custo Oleo]]+Tabela3[[#This Row],[Custo Aluminio]]+Tabela3[[#This Row],[Custo M.O. Total]]+Tabela3[[#This Row],[Custo Machos]])</f>
        <v>2832.8806450547545</v>
      </c>
      <c r="AB386" s="47">
        <f ca="1">Tabela3[[#This Row],[Custo Total]]*Tabela3[[#This Row],[% Perda]]</f>
        <v>0</v>
      </c>
      <c r="AC386" s="48">
        <f>IFERROR(VLOOKUP(Tabela3[[#This Row],[Produto]],Tabela2[],2,0),0)</f>
        <v>4</v>
      </c>
      <c r="AD386" s="48">
        <f>IFERROR(VLOOKUP(Tabela3[[#This Row],[Produto]],Tabela2[],3,0),0)</f>
        <v>0.3</v>
      </c>
      <c r="AE386" s="48">
        <f>IFERROR(VLOOKUP(Tabela3[[#This Row],[Produto]],Tabela2[],4,0),0)</f>
        <v>2.2999999999999998</v>
      </c>
      <c r="AF386" s="48">
        <f>IFERROR(VLOOKUP(Tabela3[[#This Row],[Produto]],Tabela2[],5,0),0)</f>
        <v>0.98999999999999988</v>
      </c>
      <c r="AG386" s="40">
        <f>IFERROR(VLOOKUP(Tabela3[[#This Row],[Produto]],Tabela2[],6,0),0)</f>
        <v>0</v>
      </c>
      <c r="AH386" s="40">
        <f>IFERROR(VLOOKUP(Tabela3[[#This Row],[Produto]],Tabela2[],7,0),0)</f>
        <v>0</v>
      </c>
      <c r="AI386" s="40">
        <f>IFERROR(VLOOKUP(Tabela3[[#This Row],[Produto]],Tabela2[],8,0),0)</f>
        <v>0</v>
      </c>
      <c r="AJ386" s="35">
        <f ca="1">IFERROR(VLOOKUP(Tabela3[[#This Row],[Produto]],Tabela2[],13,0),0)</f>
        <v>15.600000000000001</v>
      </c>
      <c r="AK386" s="40" t="str">
        <f>IFERROR(VLOOKUP(Tabela3[[#This Row],[Produto]],Tabela2[],14,0),0)</f>
        <v>Senun</v>
      </c>
      <c r="AL386" s="40">
        <f>IFERROR(VLOOKUP(Tabela3[[#This Row],[Produto]],Tabela2[],15,0),0)</f>
        <v>3.5</v>
      </c>
      <c r="AM386" s="36">
        <f ca="1">(Tabela3[[#This Row],[Custo Usinagem]]+Tabela3[[#This Row],[Custo / Pç]])*1.2</f>
        <v>14.564197481907637</v>
      </c>
      <c r="AN386" s="36">
        <f ca="1">Tabela3[[#This Row],[Valor Mínimo Venda]]*1.15</f>
        <v>16.748827104193783</v>
      </c>
      <c r="AO386" s="36">
        <f ca="1">Tabela3[[#This Row],[Tabela 1]]*1.08</f>
        <v>18.088733272529286</v>
      </c>
      <c r="AP386" s="36">
        <f ca="1">Tabela3[[#This Row],[Tabela 2]]*1.15</f>
        <v>20.802043263408677</v>
      </c>
    </row>
    <row r="387" spans="1:42">
      <c r="A387" s="9">
        <v>45838</v>
      </c>
      <c r="B387" s="6" t="s">
        <v>245</v>
      </c>
      <c r="C387" s="14">
        <v>7020</v>
      </c>
      <c r="D387" s="6" t="s">
        <v>46</v>
      </c>
      <c r="E387" s="6" t="s">
        <v>53</v>
      </c>
      <c r="F387" s="6">
        <v>75</v>
      </c>
      <c r="G387" s="15">
        <v>0.35069444444444442</v>
      </c>
      <c r="H387" s="16">
        <v>11</v>
      </c>
      <c r="I387" s="35">
        <f ca="1">IFERROR(Tabela3[[#This Row],[Custo Total]]/Tabela3[[#This Row],[Aluminio Util]],0)</f>
        <v>26.79610200928969</v>
      </c>
      <c r="J387" s="35">
        <f ca="1">Tabela3[[#This Row],[Custo Total]]/Tabela3[[#This Row],[Realizado]]</f>
        <v>8.8963058670841768</v>
      </c>
      <c r="K387" s="37">
        <f>IFERROR(Tabela3[[#This Row],[Qtde Cx Produzida]]/Tabela3[[#This Row],[Tempo]]/24,0)</f>
        <v>8.9108910891089117</v>
      </c>
      <c r="L387" s="37">
        <f>Tabela3[[#This Row],[Qtde Cx Produzida]]*Tabela3[[#This Row],[Qdt Peça Placa]]</f>
        <v>300</v>
      </c>
      <c r="M387" s="37">
        <f>Tabela3[[#This Row],[Previsto]]-Tabela3[[#This Row],[Perda Pçs]]</f>
        <v>289</v>
      </c>
      <c r="N387" s="38">
        <f>IFERROR(Tabela3[[#This Row],[Perda Pçs]]/Tabela3[[#This Row],[Previsto]],0)</f>
        <v>3.6666666666666667E-2</v>
      </c>
      <c r="O387" s="39">
        <f>IFERROR(IF(Tabela3[[#This Row],[Qtde Cx Produzida]] &lt;&gt; 0, Tabela3[[#This Row],[Tempo]] / Tabela3[[#This Row],[Qtde Cx Produzida]], 0),0)</f>
        <v>4.6759259259259254E-3</v>
      </c>
      <c r="P387" s="57">
        <f>IFERROR(Tabela3[[#This Row],[Perda Pçs]]/Tabela3[[#This Row],[Qdt Peça Placa]],0)</f>
        <v>2.75</v>
      </c>
      <c r="Q387" s="37">
        <f>IFERROR(Tabela3[[#This Row],[Realizado]]*Tabela3[[#This Row],[Peso Util/Pç]],0)</f>
        <v>95.948000000000008</v>
      </c>
      <c r="R387" s="37">
        <f>IFERROR(Tabela3[[#This Row],[Peso Total Galho]]*Tabela3[[#This Row],[Qtde Cx Produzida]]*1.055,0)</f>
        <v>181.98749999999998</v>
      </c>
      <c r="S387" s="37">
        <f>(Tabela3[[#This Row],[Aluminio Bruto]]-Tabela3[[#This Row],[Aluminio Util]])*0.9</f>
        <v>77.435549999999978</v>
      </c>
      <c r="T387" s="37">
        <f>Tabela3[[#This Row],[Aluminio Bruto]]/OleoKGAluminio</f>
        <v>76.561905942423195</v>
      </c>
      <c r="U387" s="35">
        <f>IFERROR((VLOOKUP(Tabela3[[#This Row],[Moldador]],Tabela1[],5,)+(VLOOKUP(Tabela3[[#This Row],[Ajudante]],Tabela1[],5,))*3.5),0)</f>
        <v>99.95034583333333</v>
      </c>
      <c r="V387" s="35">
        <f>IFERROR(Tabela3[[#This Row],[Custo M.O. / H]]/((Tabela3[[#This Row],[Realizado]]/Tabela3[[#This Row],[Qdt Peça Placa]])/Tabela3[[#This Row],[Tempo]]/24),)</f>
        <v>11.643581233179546</v>
      </c>
      <c r="W387" s="35">
        <f>Tabela3[[#This Row],[Custo / Cx Moldada]]*Tabela3[[#This Row],[Qtde Cx Produzida]]</f>
        <v>873.26859248846597</v>
      </c>
      <c r="X387" s="35">
        <f ca="1">Tabela3[[#This Row],[Aluminio Util]]*Tabela3[[#This Row],[Custo/Kg]]</f>
        <v>1496.7888000000003</v>
      </c>
      <c r="Y387" s="35">
        <f>IFERROR(VLOOKUP(Tabela3[[#This Row],[Data]],Tabela461213[],2,1)*(Tabela3[[#This Row],[Qtde Cx Produzida]]*Tabela3[[#This Row],[Qde macho / CX]]*Tabela3[[#This Row],[Peso Macho]]),)</f>
        <v>0</v>
      </c>
      <c r="Z387" s="35">
        <f>IFERROR(Tabela3[[#This Row],[Qtde Oleo]]*(VLOOKUP(Tabela3[[#This Row],[Data]],CompraOleo[],3,TRUE))*1.05,0)</f>
        <v>200.9750030988609</v>
      </c>
      <c r="AA387" s="47">
        <f ca="1">(Tabela3[[#This Row],[Custo Oleo]]+Tabela3[[#This Row],[Custo Aluminio]]+Tabela3[[#This Row],[Custo M.O. Total]]+Tabela3[[#This Row],[Custo Machos]])</f>
        <v>2571.0323955873273</v>
      </c>
      <c r="AB387" s="47">
        <f ca="1">Tabela3[[#This Row],[Custo Total]]*Tabela3[[#This Row],[% Perda]]</f>
        <v>94.271187838201996</v>
      </c>
      <c r="AC387" s="48">
        <f>IFERROR(VLOOKUP(Tabela3[[#This Row],[Produto]],Tabela2[],2,0),0)</f>
        <v>4</v>
      </c>
      <c r="AD387" s="48">
        <f>IFERROR(VLOOKUP(Tabela3[[#This Row],[Produto]],Tabela2[],3,0),0)</f>
        <v>0.33200000000000002</v>
      </c>
      <c r="AE387" s="48">
        <f>IFERROR(VLOOKUP(Tabela3[[#This Row],[Produto]],Tabela2[],4,0),0)</f>
        <v>2.2999999999999998</v>
      </c>
      <c r="AF387" s="48">
        <f>IFERROR(VLOOKUP(Tabela3[[#This Row],[Produto]],Tabela2[],5,0),0)</f>
        <v>0.8747999999999998</v>
      </c>
      <c r="AG387" s="40">
        <f>IFERROR(VLOOKUP(Tabela3[[#This Row],[Produto]],Tabela2[],6,0),0)</f>
        <v>0</v>
      </c>
      <c r="AH387" s="40">
        <f>IFERROR(VLOOKUP(Tabela3[[#This Row],[Produto]],Tabela2[],7,0),0)</f>
        <v>0</v>
      </c>
      <c r="AI387" s="40">
        <f>IFERROR(VLOOKUP(Tabela3[[#This Row],[Produto]],Tabela2[],8,0),0)</f>
        <v>0</v>
      </c>
      <c r="AJ387" s="35">
        <f ca="1">IFERROR(VLOOKUP(Tabela3[[#This Row],[Produto]],Tabela2[],13,0),0)</f>
        <v>15.600000000000001</v>
      </c>
      <c r="AK387" s="40" t="str">
        <f>IFERROR(VLOOKUP(Tabela3[[#This Row],[Produto]],Tabela2[],14,0),0)</f>
        <v>Senun</v>
      </c>
      <c r="AL387" s="40">
        <f>IFERROR(VLOOKUP(Tabela3[[#This Row],[Produto]],Tabela2[],15,0),0)</f>
        <v>3.5</v>
      </c>
      <c r="AM387" s="36">
        <f ca="1">(Tabela3[[#This Row],[Custo Usinagem]]+Tabela3[[#This Row],[Custo / Pç]])*1.2</f>
        <v>14.875567040501011</v>
      </c>
      <c r="AN387" s="36">
        <f ca="1">Tabela3[[#This Row],[Valor Mínimo Venda]]*1.15</f>
        <v>17.10690209657616</v>
      </c>
      <c r="AO387" s="36">
        <f ca="1">Tabela3[[#This Row],[Tabela 1]]*1.08</f>
        <v>18.475454264302254</v>
      </c>
      <c r="AP387" s="36">
        <f ca="1">Tabela3[[#This Row],[Tabela 2]]*1.15</f>
        <v>21.246772403947592</v>
      </c>
    </row>
    <row r="388" spans="1:42">
      <c r="A388" s="9">
        <v>45838</v>
      </c>
      <c r="B388" s="6" t="s">
        <v>247</v>
      </c>
      <c r="C388" s="14">
        <v>6992</v>
      </c>
      <c r="D388" s="6" t="s">
        <v>44</v>
      </c>
      <c r="E388" s="6" t="s">
        <v>47</v>
      </c>
      <c r="F388" s="6">
        <v>21</v>
      </c>
      <c r="G388" s="15">
        <v>0.10069444444444445</v>
      </c>
      <c r="H388" s="16">
        <v>11</v>
      </c>
      <c r="I388" s="35">
        <f ca="1">IFERROR(Tabela3[[#This Row],[Custo Total]]/Tabela3[[#This Row],[Aluminio Util]],0)</f>
        <v>30.861055399704377</v>
      </c>
      <c r="J388" s="35">
        <f ca="1">Tabela3[[#This Row],[Custo Total]]/Tabela3[[#This Row],[Realizado]]</f>
        <v>9.2583166199113123</v>
      </c>
      <c r="K388" s="37">
        <f>IFERROR(Tabela3[[#This Row],[Qtde Cx Produzida]]/Tabela3[[#This Row],[Tempo]]/24,0)</f>
        <v>8.6896551724137918</v>
      </c>
      <c r="L388" s="37">
        <f>Tabela3[[#This Row],[Qtde Cx Produzida]]*Tabela3[[#This Row],[Qdt Peça Placa]]</f>
        <v>84</v>
      </c>
      <c r="M388" s="37">
        <f>Tabela3[[#This Row],[Previsto]]-Tabela3[[#This Row],[Perda Pçs]]</f>
        <v>73</v>
      </c>
      <c r="N388" s="38">
        <f>IFERROR(Tabela3[[#This Row],[Perda Pçs]]/Tabela3[[#This Row],[Previsto]],0)</f>
        <v>0.13095238095238096</v>
      </c>
      <c r="O388" s="39">
        <f>IFERROR(IF(Tabela3[[#This Row],[Qtde Cx Produzida]] &lt;&gt; 0, Tabela3[[#This Row],[Tempo]] / Tabela3[[#This Row],[Qtde Cx Produzida]], 0),0)</f>
        <v>4.7949735449735447E-3</v>
      </c>
      <c r="P388" s="57">
        <f>IFERROR(Tabela3[[#This Row],[Perda Pçs]]/Tabela3[[#This Row],[Qdt Peça Placa]],0)</f>
        <v>2.75</v>
      </c>
      <c r="Q388" s="37">
        <f>IFERROR(Tabela3[[#This Row],[Realizado]]*Tabela3[[#This Row],[Peso Util/Pç]],0)</f>
        <v>21.9</v>
      </c>
      <c r="R388" s="37">
        <f>IFERROR(Tabela3[[#This Row],[Peso Total Galho]]*Tabela3[[#This Row],[Qtde Cx Produzida]]*1.055,0)</f>
        <v>50.956499999999991</v>
      </c>
      <c r="S388" s="37">
        <f>(Tabela3[[#This Row],[Aluminio Bruto]]-Tabela3[[#This Row],[Aluminio Util]])*0.9</f>
        <v>26.150849999999995</v>
      </c>
      <c r="T388" s="37">
        <f>Tabela3[[#This Row],[Aluminio Bruto]]/OleoKGAluminio</f>
        <v>21.437333663878491</v>
      </c>
      <c r="U388" s="35">
        <f>IFERROR((VLOOKUP(Tabela3[[#This Row],[Moldador]],Tabela1[],5,)+(VLOOKUP(Tabela3[[#This Row],[Ajudante]],Tabela1[],5,))*3.5),0)</f>
        <v>99.95034583333333</v>
      </c>
      <c r="V388" s="35">
        <f>IFERROR(Tabela3[[#This Row],[Custo M.O. / H]]/((Tabela3[[#This Row],[Realizado]]/Tabela3[[#This Row],[Qdt Peça Placa]])/Tabela3[[#This Row],[Tempo]]/24),)</f>
        <v>13.235433923135464</v>
      </c>
      <c r="W388" s="35">
        <f>Tabela3[[#This Row],[Custo / Cx Moldada]]*Tabela3[[#This Row],[Qtde Cx Produzida]]</f>
        <v>277.94411238584473</v>
      </c>
      <c r="X388" s="35">
        <f ca="1">Tabela3[[#This Row],[Aluminio Util]]*Tabela3[[#This Row],[Custo/Kg]]</f>
        <v>341.64</v>
      </c>
      <c r="Y388" s="35">
        <f>IFERROR(VLOOKUP(Tabela3[[#This Row],[Data]],Tabela461213[],2,1)*(Tabela3[[#This Row],[Qtde Cx Produzida]]*Tabela3[[#This Row],[Qde macho / CX]]*Tabela3[[#This Row],[Peso Macho]]),)</f>
        <v>0</v>
      </c>
      <c r="Z388" s="35">
        <f>IFERROR(Tabela3[[#This Row],[Qtde Oleo]]*(VLOOKUP(Tabela3[[#This Row],[Data]],CompraOleo[],3,TRUE))*1.05,0)</f>
        <v>56.273000867681041</v>
      </c>
      <c r="AA388" s="47">
        <f ca="1">(Tabela3[[#This Row],[Custo Oleo]]+Tabela3[[#This Row],[Custo Aluminio]]+Tabela3[[#This Row],[Custo M.O. Total]]+Tabela3[[#This Row],[Custo Machos]])</f>
        <v>675.85711325352577</v>
      </c>
      <c r="AB388" s="47">
        <f ca="1">Tabela3[[#This Row],[Custo Total]]*Tabela3[[#This Row],[% Perda]]</f>
        <v>88.505098164152187</v>
      </c>
      <c r="AC388" s="48">
        <f>IFERROR(VLOOKUP(Tabela3[[#This Row],[Produto]],Tabela2[],2,0),0)</f>
        <v>4</v>
      </c>
      <c r="AD388" s="48">
        <f>IFERROR(VLOOKUP(Tabela3[[#This Row],[Produto]],Tabela2[],3,0),0)</f>
        <v>0.3</v>
      </c>
      <c r="AE388" s="48">
        <f>IFERROR(VLOOKUP(Tabela3[[#This Row],[Produto]],Tabela2[],4,0),0)</f>
        <v>2.2999999999999998</v>
      </c>
      <c r="AF388" s="48">
        <f>IFERROR(VLOOKUP(Tabela3[[#This Row],[Produto]],Tabela2[],5,0),0)</f>
        <v>0.98999999999999988</v>
      </c>
      <c r="AG388" s="40">
        <f>IFERROR(VLOOKUP(Tabela3[[#This Row],[Produto]],Tabela2[],6,0),0)</f>
        <v>0</v>
      </c>
      <c r="AH388" s="40">
        <f>IFERROR(VLOOKUP(Tabela3[[#This Row],[Produto]],Tabela2[],7,0),0)</f>
        <v>0</v>
      </c>
      <c r="AI388" s="40">
        <f>IFERROR(VLOOKUP(Tabela3[[#This Row],[Produto]],Tabela2[],8,0),0)</f>
        <v>0</v>
      </c>
      <c r="AJ388" s="35">
        <f ca="1">IFERROR(VLOOKUP(Tabela3[[#This Row],[Produto]],Tabela2[],13,0),0)</f>
        <v>15.600000000000001</v>
      </c>
      <c r="AK388" s="40" t="str">
        <f>IFERROR(VLOOKUP(Tabela3[[#This Row],[Produto]],Tabela2[],14,0),0)</f>
        <v>Senun</v>
      </c>
      <c r="AL388" s="40">
        <f>IFERROR(VLOOKUP(Tabela3[[#This Row],[Produto]],Tabela2[],15,0),0)</f>
        <v>3.5</v>
      </c>
      <c r="AM388" s="36">
        <f ca="1">(Tabela3[[#This Row],[Custo Usinagem]]+Tabela3[[#This Row],[Custo / Pç]])*1.2</f>
        <v>15.309979943893573</v>
      </c>
      <c r="AN388" s="36">
        <f ca="1">Tabela3[[#This Row],[Valor Mínimo Venda]]*1.15</f>
        <v>17.606476935477609</v>
      </c>
      <c r="AO388" s="36">
        <f ca="1">Tabela3[[#This Row],[Tabela 1]]*1.08</f>
        <v>19.014995090315818</v>
      </c>
      <c r="AP388" s="36">
        <f ca="1">Tabela3[[#This Row],[Tabela 2]]*1.15</f>
        <v>21.867244353863189</v>
      </c>
    </row>
    <row r="389" spans="1:42">
      <c r="A389" s="9">
        <v>45838</v>
      </c>
      <c r="B389" s="6" t="s">
        <v>246</v>
      </c>
      <c r="C389" s="14">
        <v>7014</v>
      </c>
      <c r="D389" s="6" t="s">
        <v>44</v>
      </c>
      <c r="E389" s="6" t="s">
        <v>47</v>
      </c>
      <c r="F389" s="6">
        <v>30</v>
      </c>
      <c r="G389" s="15">
        <v>0.1701388888888889</v>
      </c>
      <c r="H389" s="16">
        <v>5</v>
      </c>
      <c r="I389" s="35">
        <f ca="1">IFERROR(Tabela3[[#This Row],[Custo Total]]/Tabela3[[#This Row],[Aluminio Util]],0)</f>
        <v>24.429717958817569</v>
      </c>
      <c r="J389" s="35">
        <f ca="1">Tabela3[[#This Row],[Custo Total]]/Tabela3[[#This Row],[Realizado]]</f>
        <v>13.021039672049765</v>
      </c>
      <c r="K389" s="37">
        <f>IFERROR(Tabela3[[#This Row],[Qtde Cx Produzida]]/Tabela3[[#This Row],[Tempo]]/24,0)</f>
        <v>7.3469387755102034</v>
      </c>
      <c r="L389" s="37">
        <f>Tabela3[[#This Row],[Qtde Cx Produzida]]*Tabela3[[#This Row],[Qdt Peça Placa]]</f>
        <v>120</v>
      </c>
      <c r="M389" s="37">
        <f>Tabela3[[#This Row],[Previsto]]-Tabela3[[#This Row],[Perda Pçs]]</f>
        <v>115</v>
      </c>
      <c r="N389" s="38">
        <f>IFERROR(Tabela3[[#This Row],[Perda Pçs]]/Tabela3[[#This Row],[Previsto]],0)</f>
        <v>4.1666666666666664E-2</v>
      </c>
      <c r="O389" s="39">
        <f>IFERROR(IF(Tabela3[[#This Row],[Qtde Cx Produzida]] &lt;&gt; 0, Tabela3[[#This Row],[Tempo]] / Tabela3[[#This Row],[Qtde Cx Produzida]], 0),0)</f>
        <v>5.6712962962962967E-3</v>
      </c>
      <c r="P389" s="57">
        <f>IFERROR(Tabela3[[#This Row],[Perda Pçs]]/Tabela3[[#This Row],[Qdt Peça Placa]],0)</f>
        <v>1.25</v>
      </c>
      <c r="Q389" s="37">
        <f>IFERROR(Tabela3[[#This Row],[Realizado]]*Tabela3[[#This Row],[Peso Util/Pç]],0)</f>
        <v>61.295000000000002</v>
      </c>
      <c r="R389" s="37">
        <f>IFERROR(Tabela3[[#This Row],[Peso Total Galho]]*Tabela3[[#This Row],[Qtde Cx Produzida]]*1.055,0)</f>
        <v>104.44499999999999</v>
      </c>
      <c r="S389" s="37">
        <f>(Tabela3[[#This Row],[Aluminio Bruto]]-Tabela3[[#This Row],[Aluminio Util]])*0.9</f>
        <v>38.834999999999994</v>
      </c>
      <c r="T389" s="37">
        <f>Tabela3[[#This Row],[Aluminio Bruto]]/OleoKGAluminio</f>
        <v>43.93987645391244</v>
      </c>
      <c r="U389" s="35">
        <f>IFERROR((VLOOKUP(Tabela3[[#This Row],[Moldador]],Tabela1[],5,)+(VLOOKUP(Tabela3[[#This Row],[Ajudante]],Tabela1[],5,))*3.5),0)</f>
        <v>99.95034583333333</v>
      </c>
      <c r="V389" s="35">
        <f>IFERROR(Tabela3[[#This Row],[Custo M.O. / H]]/((Tabela3[[#This Row],[Realizado]]/Tabela3[[#This Row],[Qdt Peça Placa]])/Tabela3[[#This Row],[Tempo]]/24),)</f>
        <v>14.195846219806763</v>
      </c>
      <c r="W389" s="35">
        <f>Tabela3[[#This Row],[Custo / Cx Moldada]]*Tabela3[[#This Row],[Qtde Cx Produzida]]</f>
        <v>425.87538659420289</v>
      </c>
      <c r="X389" s="35">
        <f ca="1">Tabela3[[#This Row],[Aluminio Util]]*Tabela3[[#This Row],[Custo/Kg]]</f>
        <v>956.20200000000011</v>
      </c>
      <c r="Y389" s="35">
        <f>IFERROR(VLOOKUP(Tabela3[[#This Row],[Data]],Tabela461213[],2,1)*(Tabela3[[#This Row],[Qtde Cx Produzida]]*Tabela3[[#This Row],[Qde macho / CX]]*Tabela3[[#This Row],[Peso Macho]]),)</f>
        <v>0</v>
      </c>
      <c r="Z389" s="35">
        <f>IFERROR(Tabela3[[#This Row],[Qtde Oleo]]*(VLOOKUP(Tabela3[[#This Row],[Data]],CompraOleo[],3,TRUE))*1.05,0)</f>
        <v>115.34217569152015</v>
      </c>
      <c r="AA389" s="47">
        <f ca="1">(Tabela3[[#This Row],[Custo Oleo]]+Tabela3[[#This Row],[Custo Aluminio]]+Tabela3[[#This Row],[Custo M.O. Total]]+Tabela3[[#This Row],[Custo Machos]])</f>
        <v>1497.419562285723</v>
      </c>
      <c r="AB389" s="47">
        <f ca="1">Tabela3[[#This Row],[Custo Total]]*Tabela3[[#This Row],[% Perda]]</f>
        <v>62.392481761905124</v>
      </c>
      <c r="AC389" s="48">
        <f>IFERROR(VLOOKUP(Tabela3[[#This Row],[Produto]],Tabela2[],2,0),0)</f>
        <v>4</v>
      </c>
      <c r="AD389" s="48">
        <f>IFERROR(VLOOKUP(Tabela3[[#This Row],[Produto]],Tabela2[],3,0),0)</f>
        <v>0.53300000000000003</v>
      </c>
      <c r="AE389" s="48">
        <f>IFERROR(VLOOKUP(Tabela3[[#This Row],[Produto]],Tabela2[],4,0),0)</f>
        <v>3.3</v>
      </c>
      <c r="AF389" s="48">
        <f>IFERROR(VLOOKUP(Tabela3[[#This Row],[Produto]],Tabela2[],5,0),0)</f>
        <v>1.0511999999999997</v>
      </c>
      <c r="AG389" s="40">
        <f>IFERROR(VLOOKUP(Tabela3[[#This Row],[Produto]],Tabela2[],6,0),0)</f>
        <v>0</v>
      </c>
      <c r="AH389" s="40">
        <f>IFERROR(VLOOKUP(Tabela3[[#This Row],[Produto]],Tabela2[],7,0),0)</f>
        <v>0</v>
      </c>
      <c r="AI389" s="40">
        <f>IFERROR(VLOOKUP(Tabela3[[#This Row],[Produto]],Tabela2[],8,0),0)</f>
        <v>0</v>
      </c>
      <c r="AJ389" s="35">
        <f ca="1">IFERROR(VLOOKUP(Tabela3[[#This Row],[Produto]],Tabela2[],13,0),0)</f>
        <v>15.600000000000001</v>
      </c>
      <c r="AK389" s="40" t="str">
        <f>IFERROR(VLOOKUP(Tabela3[[#This Row],[Produto]],Tabela2[],14,0),0)</f>
        <v>Senun</v>
      </c>
      <c r="AL389" s="40">
        <f>IFERROR(VLOOKUP(Tabela3[[#This Row],[Produto]],Tabela2[],15,0),0)</f>
        <v>4</v>
      </c>
      <c r="AM389" s="36">
        <f ca="1">(Tabela3[[#This Row],[Custo Usinagem]]+Tabela3[[#This Row],[Custo / Pç]])*1.2</f>
        <v>20.42524760645972</v>
      </c>
      <c r="AN389" s="36">
        <f ca="1">Tabela3[[#This Row],[Valor Mínimo Venda]]*1.15</f>
        <v>23.489034747428676</v>
      </c>
      <c r="AO389" s="36">
        <f ca="1">Tabela3[[#This Row],[Tabela 1]]*1.08</f>
        <v>25.368157527222973</v>
      </c>
      <c r="AP389" s="36">
        <f ca="1">Tabela3[[#This Row],[Tabela 2]]*1.15</f>
        <v>29.173381156306416</v>
      </c>
    </row>
    <row r="390" spans="1:42">
      <c r="A390" s="9">
        <v>45838</v>
      </c>
      <c r="B390" s="6" t="s">
        <v>241</v>
      </c>
      <c r="C390" s="14">
        <v>7046</v>
      </c>
      <c r="D390" s="6" t="s">
        <v>44</v>
      </c>
      <c r="E390" s="6" t="s">
        <v>47</v>
      </c>
      <c r="F390" s="6">
        <v>6</v>
      </c>
      <c r="G390" s="15">
        <v>4.3055555555555555E-2</v>
      </c>
      <c r="H390" s="16">
        <v>0</v>
      </c>
      <c r="I390" s="35">
        <f ca="1">IFERROR(Tabela3[[#This Row],[Custo Total]]/Tabela3[[#This Row],[Aluminio Util]],0)</f>
        <v>24.687168012574553</v>
      </c>
      <c r="J390" s="35">
        <f ca="1">Tabela3[[#This Row],[Custo Total]]/Tabela3[[#This Row],[Realizado]]</f>
        <v>15.133233991708201</v>
      </c>
      <c r="K390" s="37">
        <f>IFERROR(Tabela3[[#This Row],[Qtde Cx Produzida]]/Tabela3[[#This Row],[Tempo]]/24,0)</f>
        <v>5.8064516129032251</v>
      </c>
      <c r="L390" s="37">
        <f>Tabela3[[#This Row],[Qtde Cx Produzida]]*Tabela3[[#This Row],[Qdt Peça Placa]]</f>
        <v>24</v>
      </c>
      <c r="M390" s="37">
        <f>Tabela3[[#This Row],[Previsto]]-Tabela3[[#This Row],[Perda Pçs]]</f>
        <v>24</v>
      </c>
      <c r="N390" s="38">
        <f>IFERROR(Tabela3[[#This Row],[Perda Pçs]]/Tabela3[[#This Row],[Previsto]],0)</f>
        <v>0</v>
      </c>
      <c r="O390" s="39">
        <f>IFERROR(IF(Tabela3[[#This Row],[Qtde Cx Produzida]] &lt;&gt; 0, Tabela3[[#This Row],[Tempo]] / Tabela3[[#This Row],[Qtde Cx Produzida]], 0),0)</f>
        <v>7.1759259259259259E-3</v>
      </c>
      <c r="P390" s="57">
        <f>IFERROR(Tabela3[[#This Row],[Perda Pçs]]/Tabela3[[#This Row],[Qdt Peça Placa]],0)</f>
        <v>0</v>
      </c>
      <c r="Q390" s="37">
        <f>IFERROR(Tabela3[[#This Row],[Realizado]]*Tabela3[[#This Row],[Peso Util/Pç]],0)</f>
        <v>14.712</v>
      </c>
      <c r="R390" s="37">
        <f>IFERROR(Tabela3[[#This Row],[Peso Total Galho]]*Tabela3[[#This Row],[Qtde Cx Produzida]]*1.055,0)</f>
        <v>27.535499999999995</v>
      </c>
      <c r="S390" s="37">
        <f>(Tabela3[[#This Row],[Aluminio Bruto]]-Tabela3[[#This Row],[Aluminio Util]])*0.9</f>
        <v>11.541149999999996</v>
      </c>
      <c r="T390" s="37">
        <f>Tabela3[[#This Row],[Aluminio Bruto]]/OleoKGAluminio</f>
        <v>11.584149246940552</v>
      </c>
      <c r="U390" s="35">
        <f>IFERROR((VLOOKUP(Tabela3[[#This Row],[Moldador]],Tabela1[],5,)+(VLOOKUP(Tabela3[[#This Row],[Ajudante]],Tabela1[],5,))*3.5),0)</f>
        <v>99.95034583333333</v>
      </c>
      <c r="V390" s="35">
        <f>IFERROR(Tabela3[[#This Row],[Custo M.O. / H]]/((Tabela3[[#This Row],[Realizado]]/Tabela3[[#This Row],[Qdt Peça Placa]])/Tabela3[[#This Row],[Tempo]]/24),)</f>
        <v>17.213670671296299</v>
      </c>
      <c r="W390" s="35">
        <f>Tabela3[[#This Row],[Custo / Cx Moldada]]*Tabela3[[#This Row],[Qtde Cx Produzida]]</f>
        <v>103.28202402777779</v>
      </c>
      <c r="X390" s="35">
        <f ca="1">Tabela3[[#This Row],[Aluminio Util]]*Tabela3[[#This Row],[Custo/Kg]]</f>
        <v>229.50720000000001</v>
      </c>
      <c r="Y390" s="35">
        <f>IFERROR(VLOOKUP(Tabela3[[#This Row],[Data]],Tabela461213[],2,1)*(Tabela3[[#This Row],[Qtde Cx Produzida]]*Tabela3[[#This Row],[Qde macho / CX]]*Tabela3[[#This Row],[Peso Macho]]),)</f>
        <v>0</v>
      </c>
      <c r="Z390" s="35">
        <f>IFERROR(Tabela3[[#This Row],[Qtde Oleo]]*(VLOOKUP(Tabela3[[#This Row],[Data]],CompraOleo[],3,TRUE))*1.05,0)</f>
        <v>30.408391773218952</v>
      </c>
      <c r="AA390" s="47">
        <f ca="1">(Tabela3[[#This Row],[Custo Oleo]]+Tabela3[[#This Row],[Custo Aluminio]]+Tabela3[[#This Row],[Custo M.O. Total]]+Tabela3[[#This Row],[Custo Machos]])</f>
        <v>363.1976158009968</v>
      </c>
      <c r="AB390" s="47">
        <f ca="1">Tabela3[[#This Row],[Custo Total]]*Tabela3[[#This Row],[% Perda]]</f>
        <v>0</v>
      </c>
      <c r="AC390" s="48">
        <f>IFERROR(VLOOKUP(Tabela3[[#This Row],[Produto]],Tabela2[],2,0),0)</f>
        <v>4</v>
      </c>
      <c r="AD390" s="48">
        <f>IFERROR(VLOOKUP(Tabela3[[#This Row],[Produto]],Tabela2[],3,0),0)</f>
        <v>0.61299999999999999</v>
      </c>
      <c r="AE390" s="48">
        <f>IFERROR(VLOOKUP(Tabela3[[#This Row],[Produto]],Tabela2[],4,0),0)</f>
        <v>4.3499999999999996</v>
      </c>
      <c r="AF390" s="48">
        <f>IFERROR(VLOOKUP(Tabela3[[#This Row],[Produto]],Tabela2[],5,0),0)</f>
        <v>1.7081999999999997</v>
      </c>
      <c r="AG390" s="40">
        <f>IFERROR(VLOOKUP(Tabela3[[#This Row],[Produto]],Tabela2[],6,0),0)</f>
        <v>0</v>
      </c>
      <c r="AH390" s="40">
        <f>IFERROR(VLOOKUP(Tabela3[[#This Row],[Produto]],Tabela2[],7,0),0)</f>
        <v>0</v>
      </c>
      <c r="AI390" s="40">
        <f>IFERROR(VLOOKUP(Tabela3[[#This Row],[Produto]],Tabela2[],8,0),0)</f>
        <v>0</v>
      </c>
      <c r="AJ390" s="35">
        <f ca="1">IFERROR(VLOOKUP(Tabela3[[#This Row],[Produto]],Tabela2[],13,0),0)</f>
        <v>15.600000000000001</v>
      </c>
      <c r="AK390" s="40" t="str">
        <f>IFERROR(VLOOKUP(Tabela3[[#This Row],[Produto]],Tabela2[],14,0),0)</f>
        <v>Senun</v>
      </c>
      <c r="AL390" s="40">
        <f>IFERROR(VLOOKUP(Tabela3[[#This Row],[Produto]],Tabela2[],15,0),0)</f>
        <v>4</v>
      </c>
      <c r="AM390" s="36">
        <f ca="1">(Tabela3[[#This Row],[Custo Usinagem]]+Tabela3[[#This Row],[Custo / Pç]])*1.2</f>
        <v>22.959880790049841</v>
      </c>
      <c r="AN390" s="36">
        <f ca="1">Tabela3[[#This Row],[Valor Mínimo Venda]]*1.15</f>
        <v>26.403862908557315</v>
      </c>
      <c r="AO390" s="36">
        <f ca="1">Tabela3[[#This Row],[Tabela 1]]*1.08</f>
        <v>28.5161719412419</v>
      </c>
      <c r="AP390" s="36">
        <f ca="1">Tabela3[[#This Row],[Tabela 2]]*1.15</f>
        <v>32.793597732428182</v>
      </c>
    </row>
    <row r="391" spans="1:42">
      <c r="A391" s="9">
        <v>45838</v>
      </c>
      <c r="B391" s="6" t="s">
        <v>105</v>
      </c>
      <c r="C391" s="14">
        <v>7005</v>
      </c>
      <c r="D391" s="6" t="s">
        <v>44</v>
      </c>
      <c r="E391" s="6" t="s">
        <v>47</v>
      </c>
      <c r="F391" s="6">
        <v>4</v>
      </c>
      <c r="G391" s="15">
        <v>2.5000000000000001E-2</v>
      </c>
      <c r="H391" s="16">
        <v>1</v>
      </c>
      <c r="I391" s="35">
        <f ca="1">IFERROR(Tabela3[[#This Row],[Custo Total]]/Tabela3[[#This Row],[Aluminio Util]],0)</f>
        <v>23.127447515109711</v>
      </c>
      <c r="J391" s="35">
        <f ca="1">Tabela3[[#This Row],[Custo Total]]/Tabela3[[#This Row],[Realizado]]</f>
        <v>18.039409061785577</v>
      </c>
      <c r="K391" s="37">
        <f>IFERROR(Tabela3[[#This Row],[Qtde Cx Produzida]]/Tabela3[[#This Row],[Tempo]]/24,0)</f>
        <v>6.666666666666667</v>
      </c>
      <c r="L391" s="37">
        <f>Tabela3[[#This Row],[Qtde Cx Produzida]]*Tabela3[[#This Row],[Qdt Peça Placa]]</f>
        <v>24</v>
      </c>
      <c r="M391" s="37">
        <f>Tabela3[[#This Row],[Previsto]]-Tabela3[[#This Row],[Perda Pçs]]</f>
        <v>23</v>
      </c>
      <c r="N391" s="38">
        <f>IFERROR(Tabela3[[#This Row],[Perda Pçs]]/Tabela3[[#This Row],[Previsto]],0)</f>
        <v>4.1666666666666664E-2</v>
      </c>
      <c r="O391" s="39">
        <f>IFERROR(IF(Tabela3[[#This Row],[Qtde Cx Produzida]] &lt;&gt; 0, Tabela3[[#This Row],[Tempo]] / Tabela3[[#This Row],[Qtde Cx Produzida]], 0),0)</f>
        <v>6.2500000000000003E-3</v>
      </c>
      <c r="P391" s="57">
        <f>IFERROR(Tabela3[[#This Row],[Perda Pçs]]/Tabela3[[#This Row],[Qdt Peça Placa]],0)</f>
        <v>0.16666666666666666</v>
      </c>
      <c r="Q391" s="37">
        <f>IFERROR(Tabela3[[#This Row],[Realizado]]*Tabela3[[#This Row],[Peso Util/Pç]],0)</f>
        <v>17.940000000000001</v>
      </c>
      <c r="R391" s="37">
        <f>IFERROR(Tabela3[[#This Row],[Peso Total Galho]]*Tabela3[[#This Row],[Qtde Cx Produzida]]*1.055,0)</f>
        <v>34.941599999999994</v>
      </c>
      <c r="S391" s="37">
        <f>(Tabela3[[#This Row],[Aluminio Bruto]]-Tabela3[[#This Row],[Aluminio Util]])*0.9</f>
        <v>15.301439999999994</v>
      </c>
      <c r="T391" s="37">
        <f>Tabela3[[#This Row],[Aluminio Bruto]]/OleoKGAluminio</f>
        <v>14.699885940945251</v>
      </c>
      <c r="U391" s="35">
        <f>IFERROR((VLOOKUP(Tabela3[[#This Row],[Moldador]],Tabela1[],5,)+(VLOOKUP(Tabela3[[#This Row],[Ajudante]],Tabela1[],5,))*3.5),0)</f>
        <v>99.95034583333333</v>
      </c>
      <c r="V391" s="35">
        <f>IFERROR(Tabela3[[#This Row],[Custo M.O. / H]]/((Tabela3[[#This Row],[Realizado]]/Tabela3[[#This Row],[Qdt Peça Placa]])/Tabela3[[#This Row],[Tempo]]/24),)</f>
        <v>15.644401956521738</v>
      </c>
      <c r="W391" s="35">
        <f>Tabela3[[#This Row],[Custo / Cx Moldada]]*Tabela3[[#This Row],[Qtde Cx Produzida]]</f>
        <v>62.577607826086954</v>
      </c>
      <c r="X391" s="35">
        <f ca="1">Tabela3[[#This Row],[Aluminio Util]]*Tabela3[[#This Row],[Custo/Kg]]</f>
        <v>279.86400000000003</v>
      </c>
      <c r="Y391" s="35">
        <f>IFERROR(VLOOKUP(Tabela3[[#This Row],[Data]],Tabela461213[],2,1)*(Tabela3[[#This Row],[Qtde Cx Produzida]]*Tabela3[[#This Row],[Qde macho / CX]]*Tabela3[[#This Row],[Peso Macho]]),)</f>
        <v>33.877600000000001</v>
      </c>
      <c r="Z391" s="35">
        <f>IFERROR(Tabela3[[#This Row],[Qtde Oleo]]*(VLOOKUP(Tabela3[[#This Row],[Data]],CompraOleo[],3,TRUE))*1.05,0)</f>
        <v>38.587200594981283</v>
      </c>
      <c r="AA391" s="47">
        <f ca="1">(Tabela3[[#This Row],[Custo Oleo]]+Tabela3[[#This Row],[Custo Aluminio]]+Tabela3[[#This Row],[Custo M.O. Total]]+Tabela3[[#This Row],[Custo Machos]])</f>
        <v>414.90640842106825</v>
      </c>
      <c r="AB391" s="47">
        <f ca="1">Tabela3[[#This Row],[Custo Total]]*Tabela3[[#This Row],[% Perda]]</f>
        <v>17.28776701754451</v>
      </c>
      <c r="AC391" s="48">
        <f>IFERROR(VLOOKUP(Tabela3[[#This Row],[Produto]],Tabela2[],2,0),0)</f>
        <v>6</v>
      </c>
      <c r="AD391" s="48">
        <f>IFERROR(VLOOKUP(Tabela3[[#This Row],[Produto]],Tabela2[],3,0),0)</f>
        <v>0.78</v>
      </c>
      <c r="AE391" s="48">
        <f>IFERROR(VLOOKUP(Tabela3[[#This Row],[Produto]],Tabela2[],4,0),0)</f>
        <v>8.2799999999999994</v>
      </c>
      <c r="AF391" s="48">
        <f>IFERROR(VLOOKUP(Tabela3[[#This Row],[Produto]],Tabela2[],5,0),0)</f>
        <v>3.2399999999999998</v>
      </c>
      <c r="AG391" s="40">
        <f>IFERROR(VLOOKUP(Tabela3[[#This Row],[Produto]],Tabela2[],6,0),0)</f>
        <v>0</v>
      </c>
      <c r="AH391" s="40">
        <f>IFERROR(VLOOKUP(Tabela3[[#This Row],[Produto]],Tabela2[],7,0),0)</f>
        <v>1</v>
      </c>
      <c r="AI391" s="40">
        <f>IFERROR(VLOOKUP(Tabela3[[#This Row],[Produto]],Tabela2[],8,0),0)</f>
        <v>4.9820000000000002</v>
      </c>
      <c r="AJ391" s="35">
        <f ca="1">IFERROR(VLOOKUP(Tabela3[[#This Row],[Produto]],Tabela2[],13,0),0)</f>
        <v>15.600000000000001</v>
      </c>
      <c r="AK391" s="40" t="str">
        <f>IFERROR(VLOOKUP(Tabela3[[#This Row],[Produto]],Tabela2[],14,0),0)</f>
        <v>Jumil</v>
      </c>
      <c r="AL391" s="40">
        <f>IFERROR(VLOOKUP(Tabela3[[#This Row],[Produto]],Tabela2[],15,0),0)</f>
        <v>10</v>
      </c>
      <c r="AM391" s="36">
        <f ca="1">(Tabela3[[#This Row],[Custo Usinagem]]+Tabela3[[#This Row],[Custo / Pç]])*1.2</f>
        <v>33.647290874142691</v>
      </c>
      <c r="AN391" s="36">
        <f ca="1">Tabela3[[#This Row],[Valor Mínimo Venda]]*1.15</f>
        <v>38.69438450526409</v>
      </c>
      <c r="AO391" s="36">
        <f ca="1">Tabela3[[#This Row],[Tabela 1]]*1.08</f>
        <v>41.789935265685223</v>
      </c>
      <c r="AP391" s="36">
        <f ca="1">Tabela3[[#This Row],[Tabela 2]]*1.15</f>
        <v>48.058425555538001</v>
      </c>
    </row>
    <row r="392" spans="1:42">
      <c r="A392" s="9">
        <v>45839</v>
      </c>
      <c r="B392" s="6" t="s">
        <v>245</v>
      </c>
      <c r="C392" s="14">
        <v>7020</v>
      </c>
      <c r="D392" s="6" t="s">
        <v>46</v>
      </c>
      <c r="E392" s="6" t="s">
        <v>53</v>
      </c>
      <c r="F392" s="6">
        <v>65</v>
      </c>
      <c r="G392" s="15">
        <v>0.28263888888888888</v>
      </c>
      <c r="H392" s="16">
        <v>11</v>
      </c>
      <c r="I392" s="35">
        <f ca="1">IFERROR(Tabela3[[#This Row],[Custo Total]]/Tabela3[[#This Row],[Aluminio Util]],0)</f>
        <v>26.270712993590937</v>
      </c>
      <c r="J392" s="35">
        <f ca="1">Tabela3[[#This Row],[Custo Total]]/Tabela3[[#This Row],[Realizado]]</f>
        <v>8.7218767138721915</v>
      </c>
      <c r="K392" s="37">
        <f>IFERROR(Tabela3[[#This Row],[Qtde Cx Produzida]]/Tabela3[[#This Row],[Tempo]]/24,0)</f>
        <v>9.5823095823095823</v>
      </c>
      <c r="L392" s="37">
        <f>Tabela3[[#This Row],[Qtde Cx Produzida]]*Tabela3[[#This Row],[Qdt Peça Placa]]</f>
        <v>260</v>
      </c>
      <c r="M392" s="37">
        <f>Tabela3[[#This Row],[Previsto]]-Tabela3[[#This Row],[Perda Pçs]]</f>
        <v>249</v>
      </c>
      <c r="N392" s="38">
        <f>IFERROR(Tabela3[[#This Row],[Perda Pçs]]/Tabela3[[#This Row],[Previsto]],0)</f>
        <v>4.230769230769231E-2</v>
      </c>
      <c r="O392" s="39">
        <f>IFERROR(IF(Tabela3[[#This Row],[Qtde Cx Produzida]] &lt;&gt; 0, Tabela3[[#This Row],[Tempo]] / Tabela3[[#This Row],[Qtde Cx Produzida]], 0),0)</f>
        <v>4.3482905982905979E-3</v>
      </c>
      <c r="P392" s="57">
        <f>IFERROR(Tabela3[[#This Row],[Perda Pçs]]/Tabela3[[#This Row],[Qdt Peça Placa]],0)</f>
        <v>2.75</v>
      </c>
      <c r="Q392" s="37">
        <f>IFERROR(Tabela3[[#This Row],[Realizado]]*Tabela3[[#This Row],[Peso Util/Pç]],0)</f>
        <v>82.668000000000006</v>
      </c>
      <c r="R392" s="37">
        <f>IFERROR(Tabela3[[#This Row],[Peso Total Galho]]*Tabela3[[#This Row],[Qtde Cx Produzida]]*1.055,0)</f>
        <v>157.7225</v>
      </c>
      <c r="S392" s="37">
        <f>(Tabela3[[#This Row],[Aluminio Bruto]]-Tabela3[[#This Row],[Aluminio Util]])*0.9</f>
        <v>67.549049999999994</v>
      </c>
      <c r="T392" s="37">
        <f>Tabela3[[#This Row],[Aluminio Bruto]]/OleoKGAluminio</f>
        <v>66.353651816766771</v>
      </c>
      <c r="U392" s="35">
        <f>IFERROR((VLOOKUP(Tabela3[[#This Row],[Moldador]],Tabela1[],5,)+(VLOOKUP(Tabela3[[#This Row],[Ajudante]],Tabela1[],5,))*3.5),0)</f>
        <v>99.95034583333333</v>
      </c>
      <c r="V392" s="35">
        <f>IFERROR(Tabela3[[#This Row],[Custo M.O. / H]]/((Tabela3[[#This Row],[Realizado]]/Tabela3[[#This Row],[Qdt Peça Placa]])/Tabela3[[#This Row],[Tempo]]/24),)</f>
        <v>10.891510242079429</v>
      </c>
      <c r="W392" s="35">
        <f>Tabela3[[#This Row],[Custo / Cx Moldada]]*Tabela3[[#This Row],[Qtde Cx Produzida]]</f>
        <v>707.94816573516289</v>
      </c>
      <c r="X392" s="35">
        <f ca="1">Tabela3[[#This Row],[Aluminio Util]]*Tabela3[[#This Row],[Custo/Kg]]</f>
        <v>1289.6208000000001</v>
      </c>
      <c r="Y392" s="35">
        <f>IFERROR(VLOOKUP(Tabela3[[#This Row],[Data]],Tabela461213[],2,1)*(Tabela3[[#This Row],[Qtde Cx Produzida]]*Tabela3[[#This Row],[Qde macho / CX]]*Tabela3[[#This Row],[Peso Macho]]),)</f>
        <v>0</v>
      </c>
      <c r="Z392" s="35">
        <f>IFERROR(Tabela3[[#This Row],[Qtde Oleo]]*(VLOOKUP(Tabela3[[#This Row],[Data]],CompraOleo[],3,TRUE))*1.05,0)</f>
        <v>174.17833601901279</v>
      </c>
      <c r="AA392" s="47">
        <f ca="1">(Tabela3[[#This Row],[Custo Oleo]]+Tabela3[[#This Row],[Custo Aluminio]]+Tabela3[[#This Row],[Custo M.O. Total]]+Tabela3[[#This Row],[Custo Machos]])</f>
        <v>2171.7473017541756</v>
      </c>
      <c r="AB392" s="47">
        <f ca="1">Tabela3[[#This Row],[Custo Total]]*Tabela3[[#This Row],[% Perda]]</f>
        <v>91.881616612676666</v>
      </c>
      <c r="AC392" s="48">
        <f>IFERROR(VLOOKUP(Tabela3[[#This Row],[Produto]],Tabela2[],2,0),0)</f>
        <v>4</v>
      </c>
      <c r="AD392" s="48">
        <f>IFERROR(VLOOKUP(Tabela3[[#This Row],[Produto]],Tabela2[],3,0),0)</f>
        <v>0.33200000000000002</v>
      </c>
      <c r="AE392" s="48">
        <f>IFERROR(VLOOKUP(Tabela3[[#This Row],[Produto]],Tabela2[],4,0),0)</f>
        <v>2.2999999999999998</v>
      </c>
      <c r="AF392" s="48">
        <f>IFERROR(VLOOKUP(Tabela3[[#This Row],[Produto]],Tabela2[],5,0),0)</f>
        <v>0.8747999999999998</v>
      </c>
      <c r="AG392" s="40">
        <f>IFERROR(VLOOKUP(Tabela3[[#This Row],[Produto]],Tabela2[],6,0),0)</f>
        <v>0</v>
      </c>
      <c r="AH392" s="40">
        <f>IFERROR(VLOOKUP(Tabela3[[#This Row],[Produto]],Tabela2[],7,0),0)</f>
        <v>0</v>
      </c>
      <c r="AI392" s="40">
        <f>IFERROR(VLOOKUP(Tabela3[[#This Row],[Produto]],Tabela2[],8,0),0)</f>
        <v>0</v>
      </c>
      <c r="AJ392" s="35">
        <f ca="1">IFERROR(VLOOKUP(Tabela3[[#This Row],[Produto]],Tabela2[],13,0),0)</f>
        <v>15.600000000000001</v>
      </c>
      <c r="AK392" s="40" t="str">
        <f>IFERROR(VLOOKUP(Tabela3[[#This Row],[Produto]],Tabela2[],14,0),0)</f>
        <v>Senun</v>
      </c>
      <c r="AL392" s="40">
        <f>IFERROR(VLOOKUP(Tabela3[[#This Row],[Produto]],Tabela2[],15,0),0)</f>
        <v>3.5</v>
      </c>
      <c r="AM392" s="36">
        <f ca="1">(Tabela3[[#This Row],[Custo Usinagem]]+Tabela3[[#This Row],[Custo / Pç]])*1.2</f>
        <v>14.666252056646629</v>
      </c>
      <c r="AN392" s="36">
        <f ca="1">Tabela3[[#This Row],[Valor Mínimo Venda]]*1.15</f>
        <v>16.866189865143621</v>
      </c>
      <c r="AO392" s="36">
        <f ca="1">Tabela3[[#This Row],[Tabela 1]]*1.08</f>
        <v>18.215485054355113</v>
      </c>
      <c r="AP392" s="36">
        <f ca="1">Tabela3[[#This Row],[Tabela 2]]*1.15</f>
        <v>20.94780781250838</v>
      </c>
    </row>
    <row r="393" spans="1:42">
      <c r="A393" s="9">
        <v>45839</v>
      </c>
      <c r="B393" s="6" t="s">
        <v>232</v>
      </c>
      <c r="C393" s="14">
        <v>6605</v>
      </c>
      <c r="D393" s="6" t="s">
        <v>46</v>
      </c>
      <c r="E393" s="6" t="s">
        <v>53</v>
      </c>
      <c r="F393" s="6">
        <v>13</v>
      </c>
      <c r="G393" s="15">
        <v>7.2222222222222215E-2</v>
      </c>
      <c r="H393" s="16">
        <v>0</v>
      </c>
      <c r="I393" s="35">
        <f ca="1">IFERROR(Tabela3[[#This Row],[Custo Total]]/Tabela3[[#This Row],[Aluminio Util]],0)</f>
        <v>27.738708954293102</v>
      </c>
      <c r="J393" s="35">
        <f ca="1">Tabela3[[#This Row],[Custo Total]]/Tabela3[[#This Row],[Realizado]]</f>
        <v>11.677996469757396</v>
      </c>
      <c r="K393" s="37">
        <f>IFERROR(Tabela3[[#This Row],[Qtde Cx Produzida]]/Tabela3[[#This Row],[Tempo]]/24,0)</f>
        <v>7.5000000000000009</v>
      </c>
      <c r="L393" s="37">
        <f>Tabela3[[#This Row],[Qtde Cx Produzida]]*Tabela3[[#This Row],[Qdt Peça Placa]]</f>
        <v>52</v>
      </c>
      <c r="M393" s="37">
        <f>Tabela3[[#This Row],[Previsto]]-Tabela3[[#This Row],[Perda Pçs]]</f>
        <v>52</v>
      </c>
      <c r="N393" s="38">
        <f>IFERROR(Tabela3[[#This Row],[Perda Pçs]]/Tabela3[[#This Row],[Previsto]],0)</f>
        <v>0</v>
      </c>
      <c r="O393" s="39">
        <f>IFERROR(IF(Tabela3[[#This Row],[Qtde Cx Produzida]] &lt;&gt; 0, Tabela3[[#This Row],[Tempo]] / Tabela3[[#This Row],[Qtde Cx Produzida]], 0),0)</f>
        <v>5.5555555555555549E-3</v>
      </c>
      <c r="P393" s="57">
        <f>IFERROR(Tabela3[[#This Row],[Perda Pçs]]/Tabela3[[#This Row],[Qdt Peça Placa]],0)</f>
        <v>0</v>
      </c>
      <c r="Q393" s="37">
        <f>IFERROR(Tabela3[[#This Row],[Realizado]]*Tabela3[[#This Row],[Peso Util/Pç]],0)</f>
        <v>21.891999999999999</v>
      </c>
      <c r="R393" s="37">
        <f>IFERROR(Tabela3[[#This Row],[Peso Total Galho]]*Tabela3[[#This Row],[Qtde Cx Produzida]]*1.055,0)</f>
        <v>44.107439999999997</v>
      </c>
      <c r="S393" s="37">
        <f>(Tabela3[[#This Row],[Aluminio Bruto]]-Tabela3[[#This Row],[Aluminio Util]])*0.9</f>
        <v>19.993895999999999</v>
      </c>
      <c r="T393" s="37">
        <f>Tabela3[[#This Row],[Aluminio Bruto]]/OleoKGAluminio</f>
        <v>18.555942977627993</v>
      </c>
      <c r="U393" s="35">
        <f>IFERROR((VLOOKUP(Tabela3[[#This Row],[Moldador]],Tabela1[],5,)+(VLOOKUP(Tabela3[[#This Row],[Ajudante]],Tabela1[],5,))*3.5),0)</f>
        <v>99.95034583333333</v>
      </c>
      <c r="V393" s="35">
        <f>IFERROR(Tabela3[[#This Row],[Custo M.O. / H]]/((Tabela3[[#This Row],[Realizado]]/Tabela3[[#This Row],[Qdt Peça Placa]])/Tabela3[[#This Row],[Tempo]]/24),)</f>
        <v>13.326712777777775</v>
      </c>
      <c r="W393" s="35">
        <f>Tabela3[[#This Row],[Custo / Cx Moldada]]*Tabela3[[#This Row],[Qtde Cx Produzida]]</f>
        <v>173.24726611111109</v>
      </c>
      <c r="X393" s="35">
        <f ca="1">Tabela3[[#This Row],[Aluminio Util]]*Tabela3[[#This Row],[Custo/Kg]]</f>
        <v>385.29920000000004</v>
      </c>
      <c r="Y393" s="35">
        <f>IFERROR(VLOOKUP(Tabela3[[#This Row],[Data]],Tabela461213[],2,1)*(Tabela3[[#This Row],[Qtde Cx Produzida]]*Tabela3[[#This Row],[Qde macho / CX]]*Tabela3[[#This Row],[Peso Macho]]),)</f>
        <v>0</v>
      </c>
      <c r="Z393" s="35">
        <f>IFERROR(Tabela3[[#This Row],[Qtde Oleo]]*(VLOOKUP(Tabela3[[#This Row],[Data]],CompraOleo[],3,TRUE))*1.05,0)</f>
        <v>48.709350316273486</v>
      </c>
      <c r="AA393" s="47">
        <f ca="1">(Tabela3[[#This Row],[Custo Oleo]]+Tabela3[[#This Row],[Custo Aluminio]]+Tabela3[[#This Row],[Custo M.O. Total]]+Tabela3[[#This Row],[Custo Machos]])</f>
        <v>607.25581642738462</v>
      </c>
      <c r="AB393" s="47">
        <f ca="1">Tabela3[[#This Row],[Custo Total]]*Tabela3[[#This Row],[% Perda]]</f>
        <v>0</v>
      </c>
      <c r="AC393" s="48">
        <f>IFERROR(VLOOKUP(Tabela3[[#This Row],[Produto]],Tabela2[],2,0),0)</f>
        <v>4</v>
      </c>
      <c r="AD393" s="48">
        <f>IFERROR(VLOOKUP(Tabela3[[#This Row],[Produto]],Tabela2[],3,0),0)</f>
        <v>0.42099999999999999</v>
      </c>
      <c r="AE393" s="48">
        <f>IFERROR(VLOOKUP(Tabela3[[#This Row],[Produto]],Tabela2[],4,0),0)</f>
        <v>3.2160000000000002</v>
      </c>
      <c r="AF393" s="48">
        <f>IFERROR(VLOOKUP(Tabela3[[#This Row],[Produto]],Tabela2[],5,0),0)</f>
        <v>1.3788000000000002</v>
      </c>
      <c r="AG393" s="40">
        <f>IFERROR(VLOOKUP(Tabela3[[#This Row],[Produto]],Tabela2[],6,0),0)</f>
        <v>0</v>
      </c>
      <c r="AH393" s="40">
        <f>IFERROR(VLOOKUP(Tabela3[[#This Row],[Produto]],Tabela2[],7,0),0)</f>
        <v>0</v>
      </c>
      <c r="AI393" s="40">
        <f>IFERROR(VLOOKUP(Tabela3[[#This Row],[Produto]],Tabela2[],8,0),0)</f>
        <v>0</v>
      </c>
      <c r="AJ393" s="35">
        <f ca="1">IFERROR(VLOOKUP(Tabela3[[#This Row],[Produto]],Tabela2[],13,0),0)</f>
        <v>17.600000000000001</v>
      </c>
      <c r="AK393" s="40" t="str">
        <f>IFERROR(VLOOKUP(Tabela3[[#This Row],[Produto]],Tabela2[],14,0),0)</f>
        <v>Busa</v>
      </c>
      <c r="AL393" s="40">
        <f>IFERROR(VLOOKUP(Tabela3[[#This Row],[Produto]],Tabela2[],15,0),0)</f>
        <v>0.5</v>
      </c>
      <c r="AM393" s="36">
        <f ca="1">(Tabela3[[#This Row],[Custo Usinagem]]+Tabela3[[#This Row],[Custo / Pç]])*1.2</f>
        <v>14.613595763708874</v>
      </c>
      <c r="AN393" s="36">
        <f ca="1">Tabela3[[#This Row],[Valor Mínimo Venda]]*1.15</f>
        <v>16.805635128265205</v>
      </c>
      <c r="AO393" s="36">
        <f ca="1">Tabela3[[#This Row],[Tabela 1]]*1.08</f>
        <v>18.150085938526423</v>
      </c>
      <c r="AP393" s="36">
        <f ca="1">Tabela3[[#This Row],[Tabela 2]]*1.15</f>
        <v>20.872598829305385</v>
      </c>
    </row>
    <row r="394" spans="1:42">
      <c r="A394" s="9">
        <v>45839</v>
      </c>
      <c r="B394" s="6" t="s">
        <v>257</v>
      </c>
      <c r="C394" s="14">
        <v>6887</v>
      </c>
      <c r="D394" s="6" t="s">
        <v>44</v>
      </c>
      <c r="E394" s="6" t="s">
        <v>47</v>
      </c>
      <c r="F394" s="6">
        <v>20</v>
      </c>
      <c r="G394" s="15">
        <v>8.6805555555555552E-2</v>
      </c>
      <c r="H394" s="16">
        <v>0</v>
      </c>
      <c r="I394" s="35">
        <f ca="1">IFERROR(Tabela3[[#This Row],[Custo Total]]/Tabela3[[#This Row],[Aluminio Util]],0)</f>
        <v>28.574653817450447</v>
      </c>
      <c r="J394" s="35">
        <f ca="1">Tabela3[[#This Row],[Custo Total]]/Tabela3[[#This Row],[Realizado]]</f>
        <v>3.5718317271813058</v>
      </c>
      <c r="K394" s="37">
        <f>IFERROR(Tabela3[[#This Row],[Qtde Cx Produzida]]/Tabela3[[#This Row],[Tempo]]/24,0)</f>
        <v>9.6</v>
      </c>
      <c r="L394" s="37">
        <f>Tabela3[[#This Row],[Qtde Cx Produzida]]*Tabela3[[#This Row],[Qdt Peça Placa]]</f>
        <v>160</v>
      </c>
      <c r="M394" s="37">
        <f>Tabela3[[#This Row],[Previsto]]-Tabela3[[#This Row],[Perda Pçs]]</f>
        <v>160</v>
      </c>
      <c r="N394" s="38">
        <f>IFERROR(Tabela3[[#This Row],[Perda Pçs]]/Tabela3[[#This Row],[Previsto]],0)</f>
        <v>0</v>
      </c>
      <c r="O394" s="39">
        <f>IFERROR(IF(Tabela3[[#This Row],[Qtde Cx Produzida]] &lt;&gt; 0, Tabela3[[#This Row],[Tempo]] / Tabela3[[#This Row],[Qtde Cx Produzida]], 0),0)</f>
        <v>4.340277777777778E-3</v>
      </c>
      <c r="P394" s="57">
        <f>IFERROR(Tabela3[[#This Row],[Perda Pçs]]/Tabela3[[#This Row],[Qdt Peça Placa]],0)</f>
        <v>0</v>
      </c>
      <c r="Q394" s="37">
        <f>IFERROR(Tabela3[[#This Row],[Realizado]]*Tabela3[[#This Row],[Peso Util/Pç]],0)</f>
        <v>20</v>
      </c>
      <c r="R394" s="37">
        <f>IFERROR(Tabela3[[#This Row],[Peso Total Galho]]*Tabela3[[#This Row],[Qtde Cx Produzida]]*1.055,0)</f>
        <v>46.419999999999995</v>
      </c>
      <c r="S394" s="37">
        <f>(Tabela3[[#This Row],[Aluminio Bruto]]-Tabela3[[#This Row],[Aluminio Util]])*0.9</f>
        <v>23.777999999999995</v>
      </c>
      <c r="T394" s="37">
        <f>Tabela3[[#This Row],[Aluminio Bruto]]/OleoKGAluminio</f>
        <v>19.528833979516641</v>
      </c>
      <c r="U394" s="35">
        <f>IFERROR((VLOOKUP(Tabela3[[#This Row],[Moldador]],Tabela1[],5,)+(VLOOKUP(Tabela3[[#This Row],[Ajudante]],Tabela1[],5,))*3.5),0)</f>
        <v>99.95034583333333</v>
      </c>
      <c r="V394" s="35">
        <f>IFERROR(Tabela3[[#This Row],[Custo M.O. / H]]/((Tabela3[[#This Row],[Realizado]]/Tabela3[[#This Row],[Qdt Peça Placa]])/Tabela3[[#This Row],[Tempo]]/24),)</f>
        <v>10.411494357638889</v>
      </c>
      <c r="W394" s="35">
        <f>Tabela3[[#This Row],[Custo / Cx Moldada]]*Tabela3[[#This Row],[Qtde Cx Produzida]]</f>
        <v>208.22988715277776</v>
      </c>
      <c r="X394" s="35">
        <f ca="1">Tabela3[[#This Row],[Aluminio Util]]*Tabela3[[#This Row],[Custo/Kg]]</f>
        <v>312</v>
      </c>
      <c r="Y394" s="35">
        <f>IFERROR(VLOOKUP(Tabela3[[#This Row],[Data]],Tabela461213[],2,1)*(Tabela3[[#This Row],[Qtde Cx Produzida]]*Tabela3[[#This Row],[Qde macho / CX]]*Tabela3[[#This Row],[Peso Macho]]),)</f>
        <v>0</v>
      </c>
      <c r="Z394" s="35">
        <f>IFERROR(Tabela3[[#This Row],[Qtde Oleo]]*(VLOOKUP(Tabela3[[#This Row],[Data]],CompraOleo[],3,TRUE))*1.05,0)</f>
        <v>51.263189196231181</v>
      </c>
      <c r="AA394" s="47">
        <f ca="1">(Tabela3[[#This Row],[Custo Oleo]]+Tabela3[[#This Row],[Custo Aluminio]]+Tabela3[[#This Row],[Custo M.O. Total]]+Tabela3[[#This Row],[Custo Machos]])</f>
        <v>571.4930763490089</v>
      </c>
      <c r="AB394" s="47">
        <f ca="1">Tabela3[[#This Row],[Custo Total]]*Tabela3[[#This Row],[% Perda]]</f>
        <v>0</v>
      </c>
      <c r="AC394" s="48">
        <f>IFERROR(VLOOKUP(Tabela3[[#This Row],[Produto]],Tabela2[],2,0),0)</f>
        <v>8</v>
      </c>
      <c r="AD394" s="48">
        <f>IFERROR(VLOOKUP(Tabela3[[#This Row],[Produto]],Tabela2[],3,0),0)</f>
        <v>0.125</v>
      </c>
      <c r="AE394" s="48">
        <f>IFERROR(VLOOKUP(Tabela3[[#This Row],[Produto]],Tabela2[],4,0),0)</f>
        <v>2.2000000000000002</v>
      </c>
      <c r="AF394" s="48">
        <f>IFERROR(VLOOKUP(Tabela3[[#This Row],[Produto]],Tabela2[],5,0),0)</f>
        <v>1.0800000000000003</v>
      </c>
      <c r="AG394" s="40">
        <f>IFERROR(VLOOKUP(Tabela3[[#This Row],[Produto]],Tabela2[],6,0),0)</f>
        <v>0</v>
      </c>
      <c r="AH394" s="40">
        <f>IFERROR(VLOOKUP(Tabela3[[#This Row],[Produto]],Tabela2[],7,0),0)</f>
        <v>0</v>
      </c>
      <c r="AI394" s="40">
        <f>IFERROR(VLOOKUP(Tabela3[[#This Row],[Produto]],Tabela2[],8,0),0)</f>
        <v>0</v>
      </c>
      <c r="AJ394" s="35">
        <f ca="1">IFERROR(VLOOKUP(Tabela3[[#This Row],[Produto]],Tabela2[],13,0),0)</f>
        <v>15.600000000000001</v>
      </c>
      <c r="AK394" s="40" t="str">
        <f>IFERROR(VLOOKUP(Tabela3[[#This Row],[Produto]],Tabela2[],14,0),0)</f>
        <v>Senun</v>
      </c>
      <c r="AL394" s="40">
        <f>IFERROR(VLOOKUP(Tabela3[[#This Row],[Produto]],Tabela2[],15,0),0)</f>
        <v>7</v>
      </c>
      <c r="AM394" s="36">
        <f ca="1">(Tabela3[[#This Row],[Custo Usinagem]]+Tabela3[[#This Row],[Custo / Pç]])*1.2</f>
        <v>12.686198072617566</v>
      </c>
      <c r="AN394" s="36">
        <f ca="1">Tabela3[[#This Row],[Valor Mínimo Venda]]*1.15</f>
        <v>14.5891277835102</v>
      </c>
      <c r="AO394" s="36">
        <f ca="1">Tabela3[[#This Row],[Tabela 1]]*1.08</f>
        <v>15.756258006191016</v>
      </c>
      <c r="AP394" s="36">
        <f ca="1">Tabela3[[#This Row],[Tabela 2]]*1.15</f>
        <v>18.119696707119669</v>
      </c>
    </row>
    <row r="395" spans="1:42">
      <c r="A395" s="9">
        <v>45839</v>
      </c>
      <c r="B395" s="6" t="s">
        <v>241</v>
      </c>
      <c r="C395" s="14">
        <v>7046</v>
      </c>
      <c r="D395" s="6" t="s">
        <v>44</v>
      </c>
      <c r="E395" s="6" t="s">
        <v>47</v>
      </c>
      <c r="F395" s="6">
        <v>14</v>
      </c>
      <c r="G395" s="15">
        <v>9.583333333333334E-2</v>
      </c>
      <c r="H395" s="16">
        <v>3</v>
      </c>
      <c r="I395" s="35">
        <f ca="1">IFERROR(Tabela3[[#This Row],[Custo Total]]/Tabela3[[#This Row],[Aluminio Util]],0)</f>
        <v>25.260226940451496</v>
      </c>
      <c r="J395" s="35">
        <f ca="1">Tabela3[[#This Row],[Custo Total]]/Tabela3[[#This Row],[Realizado]]</f>
        <v>15.484519114496765</v>
      </c>
      <c r="K395" s="37">
        <f>IFERROR(Tabela3[[#This Row],[Qtde Cx Produzida]]/Tabela3[[#This Row],[Tempo]]/24,0)</f>
        <v>6.0869565217391299</v>
      </c>
      <c r="L395" s="37">
        <f>Tabela3[[#This Row],[Qtde Cx Produzida]]*Tabela3[[#This Row],[Qdt Peça Placa]]</f>
        <v>56</v>
      </c>
      <c r="M395" s="37">
        <f>Tabela3[[#This Row],[Previsto]]-Tabela3[[#This Row],[Perda Pçs]]</f>
        <v>53</v>
      </c>
      <c r="N395" s="38">
        <f>IFERROR(Tabela3[[#This Row],[Perda Pçs]]/Tabela3[[#This Row],[Previsto]],0)</f>
        <v>5.3571428571428568E-2</v>
      </c>
      <c r="O395" s="39">
        <f>IFERROR(IF(Tabela3[[#This Row],[Qtde Cx Produzida]] &lt;&gt; 0, Tabela3[[#This Row],[Tempo]] / Tabela3[[#This Row],[Qtde Cx Produzida]], 0),0)</f>
        <v>6.8452380952380961E-3</v>
      </c>
      <c r="P395" s="57">
        <f>IFERROR(Tabela3[[#This Row],[Perda Pçs]]/Tabela3[[#This Row],[Qdt Peça Placa]],0)</f>
        <v>0.75</v>
      </c>
      <c r="Q395" s="37">
        <f>IFERROR(Tabela3[[#This Row],[Realizado]]*Tabela3[[#This Row],[Peso Util/Pç]],0)</f>
        <v>32.488999999999997</v>
      </c>
      <c r="R395" s="37">
        <f>IFERROR(Tabela3[[#This Row],[Peso Total Galho]]*Tabela3[[#This Row],[Qtde Cx Produzida]]*1.055,0)</f>
        <v>64.249499999999983</v>
      </c>
      <c r="S395" s="37">
        <f>(Tabela3[[#This Row],[Aluminio Bruto]]-Tabela3[[#This Row],[Aluminio Util]])*0.9</f>
        <v>28.58444999999999</v>
      </c>
      <c r="T395" s="37">
        <f>Tabela3[[#This Row],[Aluminio Bruto]]/OleoKGAluminio</f>
        <v>27.029681576194616</v>
      </c>
      <c r="U395" s="35">
        <f>IFERROR((VLOOKUP(Tabela3[[#This Row],[Moldador]],Tabela1[],5,)+(VLOOKUP(Tabela3[[#This Row],[Ajudante]],Tabela1[],5,))*3.5),0)</f>
        <v>99.95034583333333</v>
      </c>
      <c r="V395" s="35">
        <f>IFERROR(Tabela3[[#This Row],[Custo M.O. / H]]/((Tabela3[[#This Row],[Realizado]]/Tabela3[[#This Row],[Qdt Peça Placa]])/Tabela3[[#This Row],[Tempo]]/24),)</f>
        <v>17.349871352201259</v>
      </c>
      <c r="W395" s="35">
        <f>Tabela3[[#This Row],[Custo / Cx Moldada]]*Tabela3[[#This Row],[Qtde Cx Produzida]]</f>
        <v>242.89819893081761</v>
      </c>
      <c r="X395" s="35">
        <f ca="1">Tabela3[[#This Row],[Aluminio Util]]*Tabela3[[#This Row],[Custo/Kg]]</f>
        <v>506.82839999999999</v>
      </c>
      <c r="Y395" s="35">
        <f>IFERROR(VLOOKUP(Tabela3[[#This Row],[Data]],Tabela461213[],2,1)*(Tabela3[[#This Row],[Qtde Cx Produzida]]*Tabela3[[#This Row],[Qde macho / CX]]*Tabela3[[#This Row],[Peso Macho]]),)</f>
        <v>0</v>
      </c>
      <c r="Z395" s="35">
        <f>IFERROR(Tabela3[[#This Row],[Qtde Oleo]]*(VLOOKUP(Tabela3[[#This Row],[Data]],CompraOleo[],3,TRUE))*1.05,0)</f>
        <v>70.952914137510874</v>
      </c>
      <c r="AA395" s="47">
        <f ca="1">(Tabela3[[#This Row],[Custo Oleo]]+Tabela3[[#This Row],[Custo Aluminio]]+Tabela3[[#This Row],[Custo M.O. Total]]+Tabela3[[#This Row],[Custo Machos]])</f>
        <v>820.67951306832856</v>
      </c>
      <c r="AB395" s="47">
        <f ca="1">Tabela3[[#This Row],[Custo Total]]*Tabela3[[#This Row],[% Perda]]</f>
        <v>43.964973914374745</v>
      </c>
      <c r="AC395" s="48">
        <f>IFERROR(VLOOKUP(Tabela3[[#This Row],[Produto]],Tabela2[],2,0),0)</f>
        <v>4</v>
      </c>
      <c r="AD395" s="48">
        <f>IFERROR(VLOOKUP(Tabela3[[#This Row],[Produto]],Tabela2[],3,0),0)</f>
        <v>0.61299999999999999</v>
      </c>
      <c r="AE395" s="48">
        <f>IFERROR(VLOOKUP(Tabela3[[#This Row],[Produto]],Tabela2[],4,0),0)</f>
        <v>4.3499999999999996</v>
      </c>
      <c r="AF395" s="48">
        <f>IFERROR(VLOOKUP(Tabela3[[#This Row],[Produto]],Tabela2[],5,0),0)</f>
        <v>1.7081999999999997</v>
      </c>
      <c r="AG395" s="40">
        <f>IFERROR(VLOOKUP(Tabela3[[#This Row],[Produto]],Tabela2[],6,0),0)</f>
        <v>0</v>
      </c>
      <c r="AH395" s="40">
        <f>IFERROR(VLOOKUP(Tabela3[[#This Row],[Produto]],Tabela2[],7,0),0)</f>
        <v>0</v>
      </c>
      <c r="AI395" s="40">
        <f>IFERROR(VLOOKUP(Tabela3[[#This Row],[Produto]],Tabela2[],8,0),0)</f>
        <v>0</v>
      </c>
      <c r="AJ395" s="35">
        <f ca="1">IFERROR(VLOOKUP(Tabela3[[#This Row],[Produto]],Tabela2[],13,0),0)</f>
        <v>15.600000000000001</v>
      </c>
      <c r="AK395" s="40" t="str">
        <f>IFERROR(VLOOKUP(Tabela3[[#This Row],[Produto]],Tabela2[],14,0),0)</f>
        <v>Senun</v>
      </c>
      <c r="AL395" s="40">
        <f>IFERROR(VLOOKUP(Tabela3[[#This Row],[Produto]],Tabela2[],15,0),0)</f>
        <v>4</v>
      </c>
      <c r="AM395" s="36">
        <f ca="1">(Tabela3[[#This Row],[Custo Usinagem]]+Tabela3[[#This Row],[Custo / Pç]])*1.2</f>
        <v>23.381422937396113</v>
      </c>
      <c r="AN395" s="36">
        <f ca="1">Tabela3[[#This Row],[Valor Mínimo Venda]]*1.15</f>
        <v>26.888636378005529</v>
      </c>
      <c r="AO395" s="36">
        <f ca="1">Tabela3[[#This Row],[Tabela 1]]*1.08</f>
        <v>29.039727288245974</v>
      </c>
      <c r="AP395" s="36">
        <f ca="1">Tabela3[[#This Row],[Tabela 2]]*1.15</f>
        <v>33.395686381482868</v>
      </c>
    </row>
    <row r="396" spans="1:42">
      <c r="A396" s="9">
        <v>45839</v>
      </c>
      <c r="B396" s="6" t="s">
        <v>205</v>
      </c>
      <c r="C396" s="14">
        <v>7069</v>
      </c>
      <c r="D396" s="6" t="s">
        <v>44</v>
      </c>
      <c r="E396" s="6" t="s">
        <v>47</v>
      </c>
      <c r="F396" s="6">
        <v>7</v>
      </c>
      <c r="G396" s="15">
        <v>9.375E-2</v>
      </c>
      <c r="H396" s="16">
        <v>0</v>
      </c>
      <c r="I396" s="35">
        <f ca="1">IFERROR(Tabela3[[#This Row],[Custo Total]]/Tabela3[[#This Row],[Aluminio Util]],0)</f>
        <v>24.014374955574329</v>
      </c>
      <c r="J396" s="35">
        <f ca="1">Tabela3[[#This Row],[Custo Total]]/Tabela3[[#This Row],[Realizado]]</f>
        <v>151.29056222011829</v>
      </c>
      <c r="K396" s="37">
        <f>IFERROR(Tabela3[[#This Row],[Qtde Cx Produzida]]/Tabela3[[#This Row],[Tempo]]/24,0)</f>
        <v>3.1111111111111112</v>
      </c>
      <c r="L396" s="37">
        <f>Tabela3[[#This Row],[Qtde Cx Produzida]]*Tabela3[[#This Row],[Qdt Peça Placa]]</f>
        <v>7</v>
      </c>
      <c r="M396" s="37">
        <f>Tabela3[[#This Row],[Previsto]]-Tabela3[[#This Row],[Perda Pçs]]</f>
        <v>7</v>
      </c>
      <c r="N396" s="38">
        <f>IFERROR(Tabela3[[#This Row],[Perda Pçs]]/Tabela3[[#This Row],[Previsto]],0)</f>
        <v>0</v>
      </c>
      <c r="O396" s="39">
        <f>IFERROR(IF(Tabela3[[#This Row],[Qtde Cx Produzida]] &lt;&gt; 0, Tabela3[[#This Row],[Tempo]] / Tabela3[[#This Row],[Qtde Cx Produzida]], 0),0)</f>
        <v>1.3392857142857142E-2</v>
      </c>
      <c r="P396" s="57">
        <f>IFERROR(Tabela3[[#This Row],[Perda Pçs]]/Tabela3[[#This Row],[Qdt Peça Placa]],0)</f>
        <v>0</v>
      </c>
      <c r="Q396" s="37">
        <f>IFERROR(Tabela3[[#This Row],[Realizado]]*Tabela3[[#This Row],[Peso Util/Pç]],0)</f>
        <v>44.1</v>
      </c>
      <c r="R396" s="37">
        <f>IFERROR(Tabela3[[#This Row],[Peso Total Galho]]*Tabela3[[#This Row],[Qtde Cx Produzida]]*1.055,0)</f>
        <v>52.507350000000002</v>
      </c>
      <c r="S396" s="37">
        <f>(Tabela3[[#This Row],[Aluminio Bruto]]-Tabela3[[#This Row],[Aluminio Util]])*0.9</f>
        <v>7.5666150000000014</v>
      </c>
      <c r="T396" s="37">
        <f>Tabela3[[#This Row],[Aluminio Bruto]]/OleoKGAluminio</f>
        <v>22.089774253648709</v>
      </c>
      <c r="U396" s="35">
        <f>IFERROR((VLOOKUP(Tabela3[[#This Row],[Moldador]],Tabela1[],5,)+(VLOOKUP(Tabela3[[#This Row],[Ajudante]],Tabela1[],5,))*3.5),0)</f>
        <v>99.95034583333333</v>
      </c>
      <c r="V396" s="35">
        <f>IFERROR(Tabela3[[#This Row],[Custo M.O. / H]]/((Tabela3[[#This Row],[Realizado]]/Tabela3[[#This Row],[Qdt Peça Placa]])/Tabela3[[#This Row],[Tempo]]/24),)</f>
        <v>32.126896875</v>
      </c>
      <c r="W396" s="35">
        <f>Tabela3[[#This Row],[Custo / Cx Moldada]]*Tabela3[[#This Row],[Qtde Cx Produzida]]</f>
        <v>224.888278125</v>
      </c>
      <c r="X396" s="35">
        <f ca="1">Tabela3[[#This Row],[Aluminio Util]]*Tabela3[[#This Row],[Custo/Kg]]</f>
        <v>776.16000000000008</v>
      </c>
      <c r="Y396" s="35">
        <f>IFERROR(VLOOKUP(Tabela3[[#This Row],[Data]],Tabela461213[],2,1)*(Tabela3[[#This Row],[Qtde Cx Produzida]]*Tabela3[[#This Row],[Qde macho / CX]]*Tabela3[[#This Row],[Peso Macho]]),)</f>
        <v>0</v>
      </c>
      <c r="Z396" s="35">
        <f>IFERROR(Tabela3[[#This Row],[Qtde Oleo]]*(VLOOKUP(Tabela3[[#This Row],[Data]],CompraOleo[],3,TRUE))*1.05,0)</f>
        <v>57.985657415827866</v>
      </c>
      <c r="AA396" s="47">
        <f ca="1">(Tabela3[[#This Row],[Custo Oleo]]+Tabela3[[#This Row],[Custo Aluminio]]+Tabela3[[#This Row],[Custo M.O. Total]]+Tabela3[[#This Row],[Custo Machos]])</f>
        <v>1059.033935540828</v>
      </c>
      <c r="AB396" s="47">
        <f ca="1">Tabela3[[#This Row],[Custo Total]]*Tabela3[[#This Row],[% Perda]]</f>
        <v>0</v>
      </c>
      <c r="AC396" s="48">
        <f>IFERROR(VLOOKUP(Tabela3[[#This Row],[Produto]],Tabela2[],2,0),0)</f>
        <v>1</v>
      </c>
      <c r="AD396" s="48">
        <f>IFERROR(VLOOKUP(Tabela3[[#This Row],[Produto]],Tabela2[],3,0),0)</f>
        <v>6.3</v>
      </c>
      <c r="AE396" s="48">
        <f>IFERROR(VLOOKUP(Tabela3[[#This Row],[Produto]],Tabela2[],4,0),0)</f>
        <v>7.11</v>
      </c>
      <c r="AF396" s="48">
        <f>IFERROR(VLOOKUP(Tabela3[[#This Row],[Produto]],Tabela2[],5,0),0)</f>
        <v>0.72900000000000043</v>
      </c>
      <c r="AG396" s="40">
        <f>IFERROR(VLOOKUP(Tabela3[[#This Row],[Produto]],Tabela2[],6,0),0)</f>
        <v>0</v>
      </c>
      <c r="AH396" s="40">
        <f>IFERROR(VLOOKUP(Tabela3[[#This Row],[Produto]],Tabela2[],7,0),0)</f>
        <v>0</v>
      </c>
      <c r="AI396" s="40">
        <f>IFERROR(VLOOKUP(Tabela3[[#This Row],[Produto]],Tabela2[],8,0),0)</f>
        <v>0</v>
      </c>
      <c r="AJ396" s="35">
        <f ca="1">IFERROR(VLOOKUP(Tabela3[[#This Row],[Produto]],Tabela2[],13,0),0)</f>
        <v>17.600000000000001</v>
      </c>
      <c r="AK396" s="40" t="str">
        <f>IFERROR(VLOOKUP(Tabela3[[#This Row],[Produto]],Tabela2[],14,0),0)</f>
        <v>Oscar</v>
      </c>
      <c r="AL396" s="40">
        <f>IFERROR(VLOOKUP(Tabela3[[#This Row],[Produto]],Tabela2[],15,0),0)</f>
        <v>0</v>
      </c>
      <c r="AM396" s="36">
        <f ca="1">(Tabela3[[#This Row],[Custo Usinagem]]+Tabela3[[#This Row],[Custo / Pç]])*1.2</f>
        <v>181.54867466414194</v>
      </c>
      <c r="AN396" s="36">
        <f ca="1">Tabela3[[#This Row],[Valor Mínimo Venda]]*1.15</f>
        <v>208.78097586376322</v>
      </c>
      <c r="AO396" s="36">
        <f ca="1">Tabela3[[#This Row],[Tabela 1]]*1.08</f>
        <v>225.48345393286428</v>
      </c>
      <c r="AP396" s="36">
        <f ca="1">Tabela3[[#This Row],[Tabela 2]]*1.15</f>
        <v>259.30597202279392</v>
      </c>
    </row>
    <row r="397" spans="1:42">
      <c r="A397" s="9">
        <v>45840</v>
      </c>
      <c r="B397" s="6" t="s">
        <v>232</v>
      </c>
      <c r="C397" s="14">
        <v>6605</v>
      </c>
      <c r="D397" s="6" t="s">
        <v>46</v>
      </c>
      <c r="E397" s="6" t="s">
        <v>53</v>
      </c>
      <c r="F397" s="6">
        <v>71</v>
      </c>
      <c r="G397" s="15">
        <v>0.34930555555555554</v>
      </c>
      <c r="H397" s="16">
        <v>0</v>
      </c>
      <c r="I397" s="35">
        <f ca="1">IFERROR(Tabela3[[#This Row],[Custo Total]]/Tabela3[[#This Row],[Aluminio Util]],0)</f>
        <v>26.833089024218463</v>
      </c>
      <c r="J397" s="35">
        <f ca="1">Tabela3[[#This Row],[Custo Total]]/Tabela3[[#This Row],[Realizado]]</f>
        <v>11.296730479195972</v>
      </c>
      <c r="K397" s="37">
        <f>IFERROR(Tabela3[[#This Row],[Qtde Cx Produzida]]/Tabela3[[#This Row],[Tempo]]/24,0)</f>
        <v>8.4691848906560647</v>
      </c>
      <c r="L397" s="37">
        <f>Tabela3[[#This Row],[Qtde Cx Produzida]]*Tabela3[[#This Row],[Qdt Peça Placa]]</f>
        <v>284</v>
      </c>
      <c r="M397" s="37">
        <f>Tabela3[[#This Row],[Previsto]]-Tabela3[[#This Row],[Perda Pçs]]</f>
        <v>284</v>
      </c>
      <c r="N397" s="38">
        <f>IFERROR(Tabela3[[#This Row],[Perda Pçs]]/Tabela3[[#This Row],[Previsto]],0)</f>
        <v>0</v>
      </c>
      <c r="O397" s="39">
        <f>IFERROR(IF(Tabela3[[#This Row],[Qtde Cx Produzida]] &lt;&gt; 0, Tabela3[[#This Row],[Tempo]] / Tabela3[[#This Row],[Qtde Cx Produzida]], 0),0)</f>
        <v>4.9197965571205005E-3</v>
      </c>
      <c r="P397" s="57">
        <f>IFERROR(Tabela3[[#This Row],[Perda Pçs]]/Tabela3[[#This Row],[Qdt Peça Placa]],0)</f>
        <v>0</v>
      </c>
      <c r="Q397" s="37">
        <f>IFERROR(Tabela3[[#This Row],[Realizado]]*Tabela3[[#This Row],[Peso Util/Pç]],0)</f>
        <v>119.56399999999999</v>
      </c>
      <c r="R397" s="37">
        <f>IFERROR(Tabela3[[#This Row],[Peso Total Galho]]*Tabela3[[#This Row],[Qtde Cx Produzida]]*1.055,0)</f>
        <v>240.89447999999999</v>
      </c>
      <c r="S397" s="37">
        <f>(Tabela3[[#This Row],[Aluminio Bruto]]-Tabela3[[#This Row],[Aluminio Util]])*0.9</f>
        <v>109.19743199999999</v>
      </c>
      <c r="T397" s="37">
        <f>Tabela3[[#This Row],[Aluminio Bruto]]/OleoKGAluminio</f>
        <v>101.34399626242981</v>
      </c>
      <c r="U397" s="35">
        <f>IFERROR((VLOOKUP(Tabela3[[#This Row],[Moldador]],Tabela1[],5,)+(VLOOKUP(Tabela3[[#This Row],[Ajudante]],Tabela1[],5,))*3.5),0)</f>
        <v>99.95034583333333</v>
      </c>
      <c r="V397" s="35">
        <f>IFERROR(Tabela3[[#This Row],[Custo M.O. / H]]/((Tabela3[[#This Row],[Realizado]]/Tabela3[[#This Row],[Qdt Peça Placa]])/Tabela3[[#This Row],[Tempo]]/24),)</f>
        <v>11.801648815532079</v>
      </c>
      <c r="W397" s="35">
        <f>Tabela3[[#This Row],[Custo / Cx Moldada]]*Tabela3[[#This Row],[Qtde Cx Produzida]]</f>
        <v>837.91706590277761</v>
      </c>
      <c r="X397" s="35">
        <f ca="1">Tabela3[[#This Row],[Aluminio Util]]*Tabela3[[#This Row],[Custo/Kg]]</f>
        <v>2104.3263999999999</v>
      </c>
      <c r="Y397" s="35">
        <f>IFERROR(VLOOKUP(Tabela3[[#This Row],[Data]],Tabela461213[],2,1)*(Tabela3[[#This Row],[Qtde Cx Produzida]]*Tabela3[[#This Row],[Qde macho / CX]]*Tabela3[[#This Row],[Peso Macho]]),)</f>
        <v>0</v>
      </c>
      <c r="Z397" s="35">
        <f>IFERROR(Tabela3[[#This Row],[Qtde Oleo]]*(VLOOKUP(Tabela3[[#This Row],[Data]],CompraOleo[],3,TRUE))*1.05,0)</f>
        <v>266.02799018887828</v>
      </c>
      <c r="AA397" s="47">
        <f ca="1">(Tabela3[[#This Row],[Custo Oleo]]+Tabela3[[#This Row],[Custo Aluminio]]+Tabela3[[#This Row],[Custo M.O. Total]]+Tabela3[[#This Row],[Custo Machos]])</f>
        <v>3208.2714560916561</v>
      </c>
      <c r="AB397" s="47">
        <f ca="1">Tabela3[[#This Row],[Custo Total]]*Tabela3[[#This Row],[% Perda]]</f>
        <v>0</v>
      </c>
      <c r="AC397" s="48">
        <f>IFERROR(VLOOKUP(Tabela3[[#This Row],[Produto]],Tabela2[],2,0),0)</f>
        <v>4</v>
      </c>
      <c r="AD397" s="48">
        <f>IFERROR(VLOOKUP(Tabela3[[#This Row],[Produto]],Tabela2[],3,0),0)</f>
        <v>0.42099999999999999</v>
      </c>
      <c r="AE397" s="48">
        <f>IFERROR(VLOOKUP(Tabela3[[#This Row],[Produto]],Tabela2[],4,0),0)</f>
        <v>3.2160000000000002</v>
      </c>
      <c r="AF397" s="48">
        <f>IFERROR(VLOOKUP(Tabela3[[#This Row],[Produto]],Tabela2[],5,0),0)</f>
        <v>1.3788000000000002</v>
      </c>
      <c r="AG397" s="40">
        <f>IFERROR(VLOOKUP(Tabela3[[#This Row],[Produto]],Tabela2[],6,0),0)</f>
        <v>0</v>
      </c>
      <c r="AH397" s="40">
        <f>IFERROR(VLOOKUP(Tabela3[[#This Row],[Produto]],Tabela2[],7,0),0)</f>
        <v>0</v>
      </c>
      <c r="AI397" s="40">
        <f>IFERROR(VLOOKUP(Tabela3[[#This Row],[Produto]],Tabela2[],8,0),0)</f>
        <v>0</v>
      </c>
      <c r="AJ397" s="35">
        <f ca="1">IFERROR(VLOOKUP(Tabela3[[#This Row],[Produto]],Tabela2[],13,0),0)</f>
        <v>17.600000000000001</v>
      </c>
      <c r="AK397" s="40" t="str">
        <f>IFERROR(VLOOKUP(Tabela3[[#This Row],[Produto]],Tabela2[],14,0),0)</f>
        <v>Busa</v>
      </c>
      <c r="AL397" s="40">
        <f>IFERROR(VLOOKUP(Tabela3[[#This Row],[Produto]],Tabela2[],15,0),0)</f>
        <v>0.5</v>
      </c>
      <c r="AM397" s="36">
        <f ca="1">(Tabela3[[#This Row],[Custo Usinagem]]+Tabela3[[#This Row],[Custo / Pç]])*1.2</f>
        <v>14.156076575035167</v>
      </c>
      <c r="AN397" s="36">
        <f ca="1">Tabela3[[#This Row],[Valor Mínimo Venda]]*1.15</f>
        <v>16.27948806129044</v>
      </c>
      <c r="AO397" s="36">
        <f ca="1">Tabela3[[#This Row],[Tabela 1]]*1.08</f>
        <v>17.581847106193678</v>
      </c>
      <c r="AP397" s="36">
        <f ca="1">Tabela3[[#This Row],[Tabela 2]]*1.15</f>
        <v>20.219124172122729</v>
      </c>
    </row>
    <row r="398" spans="1:42">
      <c r="A398" s="9">
        <v>45840</v>
      </c>
      <c r="B398" s="6" t="s">
        <v>257</v>
      </c>
      <c r="C398" s="14">
        <v>6887</v>
      </c>
      <c r="D398" s="6" t="s">
        <v>44</v>
      </c>
      <c r="E398" s="6" t="s">
        <v>47</v>
      </c>
      <c r="F398" s="6">
        <v>30</v>
      </c>
      <c r="G398" s="15">
        <v>0.16250000000000001</v>
      </c>
      <c r="H398" s="16">
        <v>4</v>
      </c>
      <c r="I398" s="35">
        <f ca="1">IFERROR(Tabela3[[#This Row],[Custo Total]]/Tabela3[[#This Row],[Aluminio Util]],0)</f>
        <v>31.644339654620204</v>
      </c>
      <c r="J398" s="35">
        <f ca="1">Tabela3[[#This Row],[Custo Total]]/Tabela3[[#This Row],[Realizado]]</f>
        <v>3.9555424568275255</v>
      </c>
      <c r="K398" s="37">
        <f>IFERROR(Tabela3[[#This Row],[Qtde Cx Produzida]]/Tabela3[[#This Row],[Tempo]]/24,0)</f>
        <v>7.6923076923076925</v>
      </c>
      <c r="L398" s="37">
        <f>Tabela3[[#This Row],[Qtde Cx Produzida]]*Tabela3[[#This Row],[Qdt Peça Placa]]</f>
        <v>240</v>
      </c>
      <c r="M398" s="37">
        <f>Tabela3[[#This Row],[Previsto]]-Tabela3[[#This Row],[Perda Pçs]]</f>
        <v>236</v>
      </c>
      <c r="N398" s="38">
        <f>IFERROR(Tabela3[[#This Row],[Perda Pçs]]/Tabela3[[#This Row],[Previsto]],0)</f>
        <v>1.6666666666666666E-2</v>
      </c>
      <c r="O398" s="39">
        <f>IFERROR(IF(Tabela3[[#This Row],[Qtde Cx Produzida]] &lt;&gt; 0, Tabela3[[#This Row],[Tempo]] / Tabela3[[#This Row],[Qtde Cx Produzida]], 0),0)</f>
        <v>5.4166666666666669E-3</v>
      </c>
      <c r="P398" s="57">
        <f>IFERROR(Tabela3[[#This Row],[Perda Pçs]]/Tabela3[[#This Row],[Qdt Peça Placa]],0)</f>
        <v>0.5</v>
      </c>
      <c r="Q398" s="37">
        <f>IFERROR(Tabela3[[#This Row],[Realizado]]*Tabela3[[#This Row],[Peso Util/Pç]],0)</f>
        <v>29.5</v>
      </c>
      <c r="R398" s="37">
        <f>IFERROR(Tabela3[[#This Row],[Peso Total Galho]]*Tabela3[[#This Row],[Qtde Cx Produzida]]*1.055,0)</f>
        <v>69.63</v>
      </c>
      <c r="S398" s="37">
        <f>(Tabela3[[#This Row],[Aluminio Bruto]]-Tabela3[[#This Row],[Aluminio Util]])*0.9</f>
        <v>36.116999999999997</v>
      </c>
      <c r="T398" s="37">
        <f>Tabela3[[#This Row],[Aluminio Bruto]]/OleoKGAluminio</f>
        <v>29.293250969274961</v>
      </c>
      <c r="U398" s="35">
        <f>IFERROR((VLOOKUP(Tabela3[[#This Row],[Moldador]],Tabela1[],5,)+(VLOOKUP(Tabela3[[#This Row],[Ajudante]],Tabela1[],5,))*3.5),0)</f>
        <v>99.95034583333333</v>
      </c>
      <c r="V398" s="35">
        <f>IFERROR(Tabela3[[#This Row],[Custo M.O. / H]]/((Tabela3[[#This Row],[Realizado]]/Tabela3[[#This Row],[Qdt Peça Placa]])/Tabela3[[#This Row],[Tempo]]/24),)</f>
        <v>13.213774533898306</v>
      </c>
      <c r="W398" s="35">
        <f>Tabela3[[#This Row],[Custo / Cx Moldada]]*Tabela3[[#This Row],[Qtde Cx Produzida]]</f>
        <v>396.41323601694916</v>
      </c>
      <c r="X398" s="35">
        <f ca="1">Tabela3[[#This Row],[Aluminio Util]]*Tabela3[[#This Row],[Custo/Kg]]</f>
        <v>460.20000000000005</v>
      </c>
      <c r="Y398" s="35">
        <f>IFERROR(VLOOKUP(Tabela3[[#This Row],[Data]],Tabela461213[],2,1)*(Tabela3[[#This Row],[Qtde Cx Produzida]]*Tabela3[[#This Row],[Qde macho / CX]]*Tabela3[[#This Row],[Peso Macho]]),)</f>
        <v>0</v>
      </c>
      <c r="Z398" s="35">
        <f>IFERROR(Tabela3[[#This Row],[Qtde Oleo]]*(VLOOKUP(Tabela3[[#This Row],[Data]],CompraOleo[],3,TRUE))*1.05,0)</f>
        <v>76.894783794346765</v>
      </c>
      <c r="AA398" s="47">
        <f ca="1">(Tabela3[[#This Row],[Custo Oleo]]+Tabela3[[#This Row],[Custo Aluminio]]+Tabela3[[#This Row],[Custo M.O. Total]]+Tabela3[[#This Row],[Custo Machos]])</f>
        <v>933.50801981129598</v>
      </c>
      <c r="AB398" s="47">
        <f ca="1">Tabela3[[#This Row],[Custo Total]]*Tabela3[[#This Row],[% Perda]]</f>
        <v>15.558466996854932</v>
      </c>
      <c r="AC398" s="48">
        <f>IFERROR(VLOOKUP(Tabela3[[#This Row],[Produto]],Tabela2[],2,0),0)</f>
        <v>8</v>
      </c>
      <c r="AD398" s="48">
        <f>IFERROR(VLOOKUP(Tabela3[[#This Row],[Produto]],Tabela2[],3,0),0)</f>
        <v>0.125</v>
      </c>
      <c r="AE398" s="48">
        <f>IFERROR(VLOOKUP(Tabela3[[#This Row],[Produto]],Tabela2[],4,0),0)</f>
        <v>2.2000000000000002</v>
      </c>
      <c r="AF398" s="48">
        <f>IFERROR(VLOOKUP(Tabela3[[#This Row],[Produto]],Tabela2[],5,0),0)</f>
        <v>1.0800000000000003</v>
      </c>
      <c r="AG398" s="40">
        <f>IFERROR(VLOOKUP(Tabela3[[#This Row],[Produto]],Tabela2[],6,0),0)</f>
        <v>0</v>
      </c>
      <c r="AH398" s="40">
        <f>IFERROR(VLOOKUP(Tabela3[[#This Row],[Produto]],Tabela2[],7,0),0)</f>
        <v>0</v>
      </c>
      <c r="AI398" s="40">
        <f>IFERROR(VLOOKUP(Tabela3[[#This Row],[Produto]],Tabela2[],8,0),0)</f>
        <v>0</v>
      </c>
      <c r="AJ398" s="35">
        <f ca="1">IFERROR(VLOOKUP(Tabela3[[#This Row],[Produto]],Tabela2[],13,0),0)</f>
        <v>15.600000000000001</v>
      </c>
      <c r="AK398" s="40" t="str">
        <f>IFERROR(VLOOKUP(Tabela3[[#This Row],[Produto]],Tabela2[],14,0),0)</f>
        <v>Senun</v>
      </c>
      <c r="AL398" s="40">
        <f>IFERROR(VLOOKUP(Tabela3[[#This Row],[Produto]],Tabela2[],15,0),0)</f>
        <v>7</v>
      </c>
      <c r="AM398" s="36">
        <f ca="1">(Tabela3[[#This Row],[Custo Usinagem]]+Tabela3[[#This Row],[Custo / Pç]])*1.2</f>
        <v>13.146650948193031</v>
      </c>
      <c r="AN398" s="36">
        <f ca="1">Tabela3[[#This Row],[Valor Mínimo Venda]]*1.15</f>
        <v>15.118648590421984</v>
      </c>
      <c r="AO398" s="36">
        <f ca="1">Tabela3[[#This Row],[Tabela 1]]*1.08</f>
        <v>16.328140477655744</v>
      </c>
      <c r="AP398" s="36">
        <f ca="1">Tabela3[[#This Row],[Tabela 2]]*1.15</f>
        <v>18.777361549304104</v>
      </c>
    </row>
    <row r="399" spans="1:42">
      <c r="A399" s="9">
        <v>45840</v>
      </c>
      <c r="B399" s="6" t="s">
        <v>244</v>
      </c>
      <c r="C399" s="14">
        <v>7021</v>
      </c>
      <c r="D399" s="6" t="s">
        <v>44</v>
      </c>
      <c r="E399" s="6" t="s">
        <v>47</v>
      </c>
      <c r="F399" s="6">
        <v>30</v>
      </c>
      <c r="G399" s="15">
        <v>0.14444444444444443</v>
      </c>
      <c r="H399" s="16">
        <v>0</v>
      </c>
      <c r="I399" s="35">
        <f ca="1">IFERROR(Tabela3[[#This Row],[Custo Total]]/Tabela3[[#This Row],[Aluminio Util]],0)</f>
        <v>23.662171353289704</v>
      </c>
      <c r="J399" s="35">
        <f ca="1">Tabela3[[#This Row],[Custo Total]]/Tabela3[[#This Row],[Realizado]]</f>
        <v>11.121220536046161</v>
      </c>
      <c r="K399" s="37">
        <f>IFERROR(Tabela3[[#This Row],[Qtde Cx Produzida]]/Tabela3[[#This Row],[Tempo]]/24,0)</f>
        <v>8.6538461538461551</v>
      </c>
      <c r="L399" s="37">
        <f>Tabela3[[#This Row],[Qtde Cx Produzida]]*Tabela3[[#This Row],[Qdt Peça Placa]]</f>
        <v>120</v>
      </c>
      <c r="M399" s="37">
        <f>Tabela3[[#This Row],[Previsto]]-Tabela3[[#This Row],[Perda Pçs]]</f>
        <v>120</v>
      </c>
      <c r="N399" s="38">
        <f>IFERROR(Tabela3[[#This Row],[Perda Pçs]]/Tabela3[[#This Row],[Previsto]],0)</f>
        <v>0</v>
      </c>
      <c r="O399" s="39">
        <f>IFERROR(IF(Tabela3[[#This Row],[Qtde Cx Produzida]] &lt;&gt; 0, Tabela3[[#This Row],[Tempo]] / Tabela3[[#This Row],[Qtde Cx Produzida]], 0),0)</f>
        <v>4.8148148148148143E-3</v>
      </c>
      <c r="P399" s="57">
        <f>IFERROR(Tabela3[[#This Row],[Perda Pçs]]/Tabela3[[#This Row],[Qdt Peça Placa]],0)</f>
        <v>0</v>
      </c>
      <c r="Q399" s="37">
        <f>IFERROR(Tabela3[[#This Row],[Realizado]]*Tabela3[[#This Row],[Peso Util/Pç]],0)</f>
        <v>56.4</v>
      </c>
      <c r="R399" s="37">
        <f>IFERROR(Tabela3[[#This Row],[Peso Total Galho]]*Tabela3[[#This Row],[Qtde Cx Produzida]]*1.055,0)</f>
        <v>97.988399999999984</v>
      </c>
      <c r="S399" s="37">
        <f>(Tabela3[[#This Row],[Aluminio Bruto]]-Tabela3[[#This Row],[Aluminio Util]])*0.9</f>
        <v>37.429559999999988</v>
      </c>
      <c r="T399" s="37">
        <f>Tabela3[[#This Row],[Aluminio Bruto]]/OleoKGAluminio</f>
        <v>41.223593182216028</v>
      </c>
      <c r="U399" s="35">
        <f>IFERROR((VLOOKUP(Tabela3[[#This Row],[Moldador]],Tabela1[],5,)+(VLOOKUP(Tabela3[[#This Row],[Ajudante]],Tabela1[],5,))*3.5),0)</f>
        <v>99.95034583333333</v>
      </c>
      <c r="V399" s="35">
        <f>IFERROR(Tabela3[[#This Row],[Custo M.O. / H]]/((Tabela3[[#This Row],[Realizado]]/Tabela3[[#This Row],[Qdt Peça Placa]])/Tabela3[[#This Row],[Tempo]]/24),)</f>
        <v>11.549817740740739</v>
      </c>
      <c r="W399" s="35">
        <f>Tabela3[[#This Row],[Custo / Cx Moldada]]*Tabela3[[#This Row],[Qtde Cx Produzida]]</f>
        <v>346.49453222222218</v>
      </c>
      <c r="X399" s="35">
        <f ca="1">Tabela3[[#This Row],[Aluminio Util]]*Tabela3[[#This Row],[Custo/Kg]]</f>
        <v>879.84</v>
      </c>
      <c r="Y399" s="35">
        <f>IFERROR(VLOOKUP(Tabela3[[#This Row],[Data]],Tabela461213[],2,1)*(Tabela3[[#This Row],[Qtde Cx Produzida]]*Tabela3[[#This Row],[Qde macho / CX]]*Tabela3[[#This Row],[Peso Macho]]),)</f>
        <v>0</v>
      </c>
      <c r="Z399" s="35">
        <f>IFERROR(Tabela3[[#This Row],[Qtde Oleo]]*(VLOOKUP(Tabela3[[#This Row],[Data]],CompraOleo[],3,TRUE))*1.05,0)</f>
        <v>108.21193210331708</v>
      </c>
      <c r="AA399" s="47">
        <f ca="1">(Tabela3[[#This Row],[Custo Oleo]]+Tabela3[[#This Row],[Custo Aluminio]]+Tabela3[[#This Row],[Custo M.O. Total]]+Tabela3[[#This Row],[Custo Machos]])</f>
        <v>1334.5464643255393</v>
      </c>
      <c r="AB399" s="47">
        <f ca="1">Tabela3[[#This Row],[Custo Total]]*Tabela3[[#This Row],[% Perda]]</f>
        <v>0</v>
      </c>
      <c r="AC399" s="48">
        <f>IFERROR(VLOOKUP(Tabela3[[#This Row],[Produto]],Tabela2[],2,0),0)</f>
        <v>4</v>
      </c>
      <c r="AD399" s="48">
        <f>IFERROR(VLOOKUP(Tabela3[[#This Row],[Produto]],Tabela2[],3,0),0)</f>
        <v>0.47</v>
      </c>
      <c r="AE399" s="48">
        <f>IFERROR(VLOOKUP(Tabela3[[#This Row],[Produto]],Tabela2[],4,0),0)</f>
        <v>3.0960000000000001</v>
      </c>
      <c r="AF399" s="48">
        <f>IFERROR(VLOOKUP(Tabela3[[#This Row],[Produto]],Tabela2[],5,0),0)</f>
        <v>1.0944000000000003</v>
      </c>
      <c r="AG399" s="40">
        <f>IFERROR(VLOOKUP(Tabela3[[#This Row],[Produto]],Tabela2[],6,0),0)</f>
        <v>0</v>
      </c>
      <c r="AH399" s="40">
        <f>IFERROR(VLOOKUP(Tabela3[[#This Row],[Produto]],Tabela2[],7,0),0)</f>
        <v>0</v>
      </c>
      <c r="AI399" s="40">
        <f>IFERROR(VLOOKUP(Tabela3[[#This Row],[Produto]],Tabela2[],8,0),0)</f>
        <v>0</v>
      </c>
      <c r="AJ399" s="35">
        <f ca="1">IFERROR(VLOOKUP(Tabela3[[#This Row],[Produto]],Tabela2[],13,0),0)</f>
        <v>15.600000000000001</v>
      </c>
      <c r="AK399" s="40" t="str">
        <f>IFERROR(VLOOKUP(Tabela3[[#This Row],[Produto]],Tabela2[],14,0),0)</f>
        <v>Senun</v>
      </c>
      <c r="AL399" s="40">
        <f>IFERROR(VLOOKUP(Tabela3[[#This Row],[Produto]],Tabela2[],15,0),0)</f>
        <v>4</v>
      </c>
      <c r="AM399" s="36">
        <f ca="1">(Tabela3[[#This Row],[Custo Usinagem]]+Tabela3[[#This Row],[Custo / Pç]])*1.2</f>
        <v>18.145464643255394</v>
      </c>
      <c r="AN399" s="36">
        <f ca="1">Tabela3[[#This Row],[Valor Mínimo Venda]]*1.15</f>
        <v>20.867284339743701</v>
      </c>
      <c r="AO399" s="36">
        <f ca="1">Tabela3[[#This Row],[Tabela 1]]*1.08</f>
        <v>22.536667086923199</v>
      </c>
      <c r="AP399" s="36">
        <f ca="1">Tabela3[[#This Row],[Tabela 2]]*1.15</f>
        <v>25.917167149961678</v>
      </c>
    </row>
    <row r="400" spans="1:42">
      <c r="A400" s="9">
        <v>45840</v>
      </c>
      <c r="B400" s="6" t="s">
        <v>264</v>
      </c>
      <c r="C400" s="14">
        <v>7060</v>
      </c>
      <c r="D400" s="6" t="s">
        <v>44</v>
      </c>
      <c r="E400" s="6" t="s">
        <v>47</v>
      </c>
      <c r="F400" s="6">
        <v>8</v>
      </c>
      <c r="G400" s="15">
        <v>4.1666666666666664E-2</v>
      </c>
      <c r="H400" s="16">
        <v>0</v>
      </c>
      <c r="I400" s="35">
        <f ca="1">IFERROR(Tabela3[[#This Row],[Custo Total]]/Tabela3[[#This Row],[Aluminio Util]],0)</f>
        <v>20.766707478135693</v>
      </c>
      <c r="J400" s="35">
        <f ca="1">Tabela3[[#This Row],[Custo Total]]/Tabela3[[#This Row],[Realizado]]</f>
        <v>130.83025711225486</v>
      </c>
      <c r="K400" s="37">
        <f>IFERROR(Tabela3[[#This Row],[Qtde Cx Produzida]]/Tabela3[[#This Row],[Tempo]]/24,0)</f>
        <v>8</v>
      </c>
      <c r="L400" s="37">
        <f>Tabela3[[#This Row],[Qtde Cx Produzida]]*Tabela3[[#This Row],[Qdt Peça Placa]]</f>
        <v>8</v>
      </c>
      <c r="M400" s="37">
        <f>Tabela3[[#This Row],[Previsto]]-Tabela3[[#This Row],[Perda Pçs]]</f>
        <v>8</v>
      </c>
      <c r="N400" s="38">
        <f>IFERROR(Tabela3[[#This Row],[Perda Pçs]]/Tabela3[[#This Row],[Previsto]],0)</f>
        <v>0</v>
      </c>
      <c r="O400" s="39">
        <f>IFERROR(IF(Tabela3[[#This Row],[Qtde Cx Produzida]] &lt;&gt; 0, Tabela3[[#This Row],[Tempo]] / Tabela3[[#This Row],[Qtde Cx Produzida]], 0),0)</f>
        <v>5.208333333333333E-3</v>
      </c>
      <c r="P400" s="57">
        <f>IFERROR(Tabela3[[#This Row],[Perda Pçs]]/Tabela3[[#This Row],[Qdt Peça Placa]],0)</f>
        <v>0</v>
      </c>
      <c r="Q400" s="37">
        <f>IFERROR(Tabela3[[#This Row],[Realizado]]*Tabela3[[#This Row],[Peso Util/Pç]],0)</f>
        <v>50.4</v>
      </c>
      <c r="R400" s="37">
        <f>IFERROR(Tabela3[[#This Row],[Peso Total Galho]]*Tabela3[[#This Row],[Qtde Cx Produzida]]*1.055,0)</f>
        <v>54.015999999999998</v>
      </c>
      <c r="S400" s="37">
        <f>(Tabela3[[#This Row],[Aluminio Bruto]]-Tabela3[[#This Row],[Aluminio Util]])*0.9</f>
        <v>3.2544</v>
      </c>
      <c r="T400" s="37">
        <f>Tabela3[[#This Row],[Aluminio Bruto]]/OleoKGAluminio</f>
        <v>22.724461357982999</v>
      </c>
      <c r="U400" s="35">
        <f>IFERROR((VLOOKUP(Tabela3[[#This Row],[Moldador]],Tabela1[],5,)+(VLOOKUP(Tabela3[[#This Row],[Ajudante]],Tabela1[],5,))*3.5),0)</f>
        <v>99.95034583333333</v>
      </c>
      <c r="V400" s="35">
        <f>IFERROR(Tabela3[[#This Row],[Custo M.O. / H]]/((Tabela3[[#This Row],[Realizado]]/Tabela3[[#This Row],[Qdt Peça Placa]])/Tabela3[[#This Row],[Tempo]]/24),)</f>
        <v>12.493793229166666</v>
      </c>
      <c r="W400" s="35">
        <f>Tabela3[[#This Row],[Custo / Cx Moldada]]*Tabela3[[#This Row],[Qtde Cx Produzida]]</f>
        <v>99.95034583333333</v>
      </c>
      <c r="X400" s="35">
        <f ca="1">Tabela3[[#This Row],[Aluminio Util]]*Tabela3[[#This Row],[Custo/Kg]]</f>
        <v>887.04000000000008</v>
      </c>
      <c r="Y400" s="35">
        <f>IFERROR(VLOOKUP(Tabela3[[#This Row],[Data]],Tabela461213[],2,1)*(Tabela3[[#This Row],[Qtde Cx Produzida]]*Tabela3[[#This Row],[Qde macho / CX]]*Tabela3[[#This Row],[Peso Macho]]),)</f>
        <v>0</v>
      </c>
      <c r="Z400" s="35">
        <f>IFERROR(Tabela3[[#This Row],[Qtde Oleo]]*(VLOOKUP(Tabela3[[#This Row],[Data]],CompraOleo[],3,TRUE))*1.05,0)</f>
        <v>59.651711064705381</v>
      </c>
      <c r="AA400" s="47">
        <f ca="1">(Tabela3[[#This Row],[Custo Oleo]]+Tabela3[[#This Row],[Custo Aluminio]]+Tabela3[[#This Row],[Custo M.O. Total]]+Tabela3[[#This Row],[Custo Machos]])</f>
        <v>1046.6420568980388</v>
      </c>
      <c r="AB400" s="47">
        <f ca="1">Tabela3[[#This Row],[Custo Total]]*Tabela3[[#This Row],[% Perda]]</f>
        <v>0</v>
      </c>
      <c r="AC400" s="48">
        <f>IFERROR(VLOOKUP(Tabela3[[#This Row],[Produto]],Tabela2[],2,0),0)</f>
        <v>1</v>
      </c>
      <c r="AD400" s="48">
        <f>IFERROR(VLOOKUP(Tabela3[[#This Row],[Produto]],Tabela2[],3,0),0)</f>
        <v>6.3</v>
      </c>
      <c r="AE400" s="48">
        <f>IFERROR(VLOOKUP(Tabela3[[#This Row],[Produto]],Tabela2[],4,0),0)</f>
        <v>6.4</v>
      </c>
      <c r="AF400" s="48">
        <f>IFERROR(VLOOKUP(Tabela3[[#This Row],[Produto]],Tabela2[],5,0),0)</f>
        <v>9.0000000000000482E-2</v>
      </c>
      <c r="AG400" s="40">
        <f>IFERROR(VLOOKUP(Tabela3[[#This Row],[Produto]],Tabela2[],6,0),0)</f>
        <v>0</v>
      </c>
      <c r="AH400" s="40">
        <f>IFERROR(VLOOKUP(Tabela3[[#This Row],[Produto]],Tabela2[],7,0),0)</f>
        <v>0</v>
      </c>
      <c r="AI400" s="40">
        <f>IFERROR(VLOOKUP(Tabela3[[#This Row],[Produto]],Tabela2[],8,0),0)</f>
        <v>0</v>
      </c>
      <c r="AJ400" s="35">
        <f ca="1">IFERROR(VLOOKUP(Tabela3[[#This Row],[Produto]],Tabela2[],13,0),0)</f>
        <v>17.600000000000001</v>
      </c>
      <c r="AK400" s="40" t="str">
        <f>IFERROR(VLOOKUP(Tabela3[[#This Row],[Produto]],Tabela2[],14,0),0)</f>
        <v>Jumil</v>
      </c>
      <c r="AL400" s="40">
        <f>IFERROR(VLOOKUP(Tabela3[[#This Row],[Produto]],Tabela2[],15,0),0)</f>
        <v>0</v>
      </c>
      <c r="AM400" s="36">
        <f ca="1">(Tabela3[[#This Row],[Custo Usinagem]]+Tabela3[[#This Row],[Custo / Pç]])*1.2</f>
        <v>156.99630853470583</v>
      </c>
      <c r="AN400" s="36">
        <f ca="1">Tabela3[[#This Row],[Valor Mínimo Venda]]*1.15</f>
        <v>180.5457548149117</v>
      </c>
      <c r="AO400" s="36">
        <f ca="1">Tabela3[[#This Row],[Tabela 1]]*1.08</f>
        <v>194.98941520010465</v>
      </c>
      <c r="AP400" s="36">
        <f ca="1">Tabela3[[#This Row],[Tabela 2]]*1.15</f>
        <v>224.23782748012033</v>
      </c>
    </row>
    <row r="401" spans="1:42">
      <c r="A401" s="9">
        <v>45841</v>
      </c>
      <c r="B401" s="6" t="s">
        <v>264</v>
      </c>
      <c r="C401" s="14">
        <v>7060</v>
      </c>
      <c r="D401" s="6" t="s">
        <v>44</v>
      </c>
      <c r="E401" s="6" t="s">
        <v>47</v>
      </c>
      <c r="F401" s="6">
        <v>22</v>
      </c>
      <c r="G401" s="15">
        <v>0.12222222222222222</v>
      </c>
      <c r="H401" s="16">
        <v>0</v>
      </c>
      <c r="I401" s="35">
        <f ca="1">IFERROR(Tabela3[[#This Row],[Custo Total]]/Tabela3[[#This Row],[Aluminio Util]],0)</f>
        <v>20.898916930296185</v>
      </c>
      <c r="J401" s="35">
        <f ca="1">Tabela3[[#This Row],[Custo Total]]/Tabela3[[#This Row],[Realizado]]</f>
        <v>131.66317666086596</v>
      </c>
      <c r="K401" s="37">
        <f>IFERROR(Tabela3[[#This Row],[Qtde Cx Produzida]]/Tabela3[[#This Row],[Tempo]]/24,0)</f>
        <v>7.5</v>
      </c>
      <c r="L401" s="37">
        <f>Tabela3[[#This Row],[Qtde Cx Produzida]]*Tabela3[[#This Row],[Qdt Peça Placa]]</f>
        <v>22</v>
      </c>
      <c r="M401" s="37">
        <f>Tabela3[[#This Row],[Previsto]]-Tabela3[[#This Row],[Perda Pçs]]</f>
        <v>22</v>
      </c>
      <c r="N401" s="38">
        <f>IFERROR(Tabela3[[#This Row],[Perda Pçs]]/Tabela3[[#This Row],[Previsto]],0)</f>
        <v>0</v>
      </c>
      <c r="O401" s="39">
        <f>IFERROR(IF(Tabela3[[#This Row],[Qtde Cx Produzida]] &lt;&gt; 0, Tabela3[[#This Row],[Tempo]] / Tabela3[[#This Row],[Qtde Cx Produzida]], 0),0)</f>
        <v>5.5555555555555558E-3</v>
      </c>
      <c r="P401" s="57">
        <f>IFERROR(Tabela3[[#This Row],[Perda Pçs]]/Tabela3[[#This Row],[Qdt Peça Placa]],0)</f>
        <v>0</v>
      </c>
      <c r="Q401" s="37">
        <f>IFERROR(Tabela3[[#This Row],[Realizado]]*Tabela3[[#This Row],[Peso Util/Pç]],0)</f>
        <v>138.6</v>
      </c>
      <c r="R401" s="37">
        <f>IFERROR(Tabela3[[#This Row],[Peso Total Galho]]*Tabela3[[#This Row],[Qtde Cx Produzida]]*1.055,0)</f>
        <v>148.54400000000001</v>
      </c>
      <c r="S401" s="37">
        <f>(Tabela3[[#This Row],[Aluminio Bruto]]-Tabela3[[#This Row],[Aluminio Util]])*0.9</f>
        <v>8.9496000000000162</v>
      </c>
      <c r="T401" s="37">
        <f>Tabela3[[#This Row],[Aluminio Bruto]]/OleoKGAluminio</f>
        <v>62.492268734453255</v>
      </c>
      <c r="U401" s="35">
        <f>IFERROR((VLOOKUP(Tabela3[[#This Row],[Moldador]],Tabela1[],5,)+(VLOOKUP(Tabela3[[#This Row],[Ajudante]],Tabela1[],5,))*3.5),0)</f>
        <v>99.95034583333333</v>
      </c>
      <c r="V401" s="35">
        <f>IFERROR(Tabela3[[#This Row],[Custo M.O. / H]]/((Tabela3[[#This Row],[Realizado]]/Tabela3[[#This Row],[Qdt Peça Placa]])/Tabela3[[#This Row],[Tempo]]/24),)</f>
        <v>13.326712777777777</v>
      </c>
      <c r="W401" s="35">
        <f>Tabela3[[#This Row],[Custo / Cx Moldada]]*Tabela3[[#This Row],[Qtde Cx Produzida]]</f>
        <v>293.18768111111109</v>
      </c>
      <c r="X401" s="35">
        <f ca="1">Tabela3[[#This Row],[Aluminio Util]]*Tabela3[[#This Row],[Custo/Kg]]</f>
        <v>2439.36</v>
      </c>
      <c r="Y401" s="35">
        <f>IFERROR(VLOOKUP(Tabela3[[#This Row],[Data]],Tabela461213[],2,1)*(Tabela3[[#This Row],[Qtde Cx Produzida]]*Tabela3[[#This Row],[Qde macho / CX]]*Tabela3[[#This Row],[Peso Macho]]),)</f>
        <v>0</v>
      </c>
      <c r="Z401" s="35">
        <f>IFERROR(Tabela3[[#This Row],[Qtde Oleo]]*(VLOOKUP(Tabela3[[#This Row],[Data]],CompraOleo[],3,TRUE))*1.05,0)</f>
        <v>164.04220542793979</v>
      </c>
      <c r="AA401" s="47">
        <f ca="1">(Tabela3[[#This Row],[Custo Oleo]]+Tabela3[[#This Row],[Custo Aluminio]]+Tabela3[[#This Row],[Custo M.O. Total]]+Tabela3[[#This Row],[Custo Machos]])</f>
        <v>2896.5898865390509</v>
      </c>
      <c r="AB401" s="47">
        <f ca="1">Tabela3[[#This Row],[Custo Total]]*Tabela3[[#This Row],[% Perda]]</f>
        <v>0</v>
      </c>
      <c r="AC401" s="48">
        <f>IFERROR(VLOOKUP(Tabela3[[#This Row],[Produto]],Tabela2[],2,0),0)</f>
        <v>1</v>
      </c>
      <c r="AD401" s="48">
        <f>IFERROR(VLOOKUP(Tabela3[[#This Row],[Produto]],Tabela2[],3,0),0)</f>
        <v>6.3</v>
      </c>
      <c r="AE401" s="48">
        <f>IFERROR(VLOOKUP(Tabela3[[#This Row],[Produto]],Tabela2[],4,0),0)</f>
        <v>6.4</v>
      </c>
      <c r="AF401" s="48">
        <f>IFERROR(VLOOKUP(Tabela3[[#This Row],[Produto]],Tabela2[],5,0),0)</f>
        <v>9.0000000000000482E-2</v>
      </c>
      <c r="AG401" s="40">
        <f>IFERROR(VLOOKUP(Tabela3[[#This Row],[Produto]],Tabela2[],6,0),0)</f>
        <v>0</v>
      </c>
      <c r="AH401" s="40">
        <f>IFERROR(VLOOKUP(Tabela3[[#This Row],[Produto]],Tabela2[],7,0),0)</f>
        <v>0</v>
      </c>
      <c r="AI401" s="40">
        <f>IFERROR(VLOOKUP(Tabela3[[#This Row],[Produto]],Tabela2[],8,0),0)</f>
        <v>0</v>
      </c>
      <c r="AJ401" s="35">
        <f ca="1">IFERROR(VLOOKUP(Tabela3[[#This Row],[Produto]],Tabela2[],13,0),0)</f>
        <v>17.600000000000001</v>
      </c>
      <c r="AK401" s="40" t="str">
        <f>IFERROR(VLOOKUP(Tabela3[[#This Row],[Produto]],Tabela2[],14,0),0)</f>
        <v>Jumil</v>
      </c>
      <c r="AL401" s="40">
        <f>IFERROR(VLOOKUP(Tabela3[[#This Row],[Produto]],Tabela2[],15,0),0)</f>
        <v>0</v>
      </c>
      <c r="AM401" s="36">
        <f ca="1">(Tabela3[[#This Row],[Custo Usinagem]]+Tabela3[[#This Row],[Custo / Pç]])*1.2</f>
        <v>157.99581199303915</v>
      </c>
      <c r="AN401" s="36">
        <f ca="1">Tabela3[[#This Row],[Valor Mínimo Venda]]*1.15</f>
        <v>181.69518379199502</v>
      </c>
      <c r="AO401" s="36">
        <f ca="1">Tabela3[[#This Row],[Tabela 1]]*1.08</f>
        <v>196.23079849535463</v>
      </c>
      <c r="AP401" s="36">
        <f ca="1">Tabela3[[#This Row],[Tabela 2]]*1.15</f>
        <v>225.66541826965781</v>
      </c>
    </row>
    <row r="402" spans="1:42">
      <c r="A402" s="9">
        <v>45841</v>
      </c>
      <c r="B402" s="6" t="s">
        <v>206</v>
      </c>
      <c r="C402" s="14">
        <v>7070</v>
      </c>
      <c r="D402" s="6" t="s">
        <v>44</v>
      </c>
      <c r="E402" s="6" t="s">
        <v>47</v>
      </c>
      <c r="F402" s="6">
        <v>20</v>
      </c>
      <c r="G402" s="15">
        <v>0.20555555555555555</v>
      </c>
      <c r="H402" s="16">
        <v>0</v>
      </c>
      <c r="I402" s="35">
        <f ca="1">IFERROR(Tabela3[[#This Row],[Custo Total]]/Tabela3[[#This Row],[Aluminio Util]],0)</f>
        <v>29.857011360881657</v>
      </c>
      <c r="J402" s="35">
        <f ca="1">Tabela3[[#This Row],[Custo Total]]/Tabela3[[#This Row],[Realizado]]</f>
        <v>67.775415789201361</v>
      </c>
      <c r="K402" s="37">
        <f>IFERROR(Tabela3[[#This Row],[Qtde Cx Produzida]]/Tabela3[[#This Row],[Tempo]]/24,0)</f>
        <v>4.0540540540540544</v>
      </c>
      <c r="L402" s="37">
        <f>Tabela3[[#This Row],[Qtde Cx Produzida]]*Tabela3[[#This Row],[Qdt Peça Placa]]</f>
        <v>20</v>
      </c>
      <c r="M402" s="37">
        <f>Tabela3[[#This Row],[Previsto]]-Tabela3[[#This Row],[Perda Pçs]]</f>
        <v>20</v>
      </c>
      <c r="N402" s="38">
        <f>IFERROR(Tabela3[[#This Row],[Perda Pçs]]/Tabela3[[#This Row],[Previsto]],0)</f>
        <v>0</v>
      </c>
      <c r="O402" s="39">
        <f>IFERROR(IF(Tabela3[[#This Row],[Qtde Cx Produzida]] &lt;&gt; 0, Tabela3[[#This Row],[Tempo]] / Tabela3[[#This Row],[Qtde Cx Produzida]], 0),0)</f>
        <v>1.0277777777777778E-2</v>
      </c>
      <c r="P402" s="57">
        <f>IFERROR(Tabela3[[#This Row],[Perda Pçs]]/Tabela3[[#This Row],[Qdt Peça Placa]],0)</f>
        <v>0</v>
      </c>
      <c r="Q402" s="37">
        <f>IFERROR(Tabela3[[#This Row],[Realizado]]*Tabela3[[#This Row],[Peso Util/Pç]],0)</f>
        <v>45.4</v>
      </c>
      <c r="R402" s="37">
        <f>IFERROR(Tabela3[[#This Row],[Peso Total Galho]]*Tabela3[[#This Row],[Qtde Cx Produzida]]*1.055,0)</f>
        <v>57.392000000000003</v>
      </c>
      <c r="S402" s="37">
        <f>(Tabela3[[#This Row],[Aluminio Bruto]]-Tabela3[[#This Row],[Aluminio Util]])*0.9</f>
        <v>10.792800000000005</v>
      </c>
      <c r="T402" s="37">
        <f>Tabela3[[#This Row],[Aluminio Bruto]]/OleoKGAluminio</f>
        <v>24.14474019285694</v>
      </c>
      <c r="U402" s="35">
        <f>IFERROR((VLOOKUP(Tabela3[[#This Row],[Moldador]],Tabela1[],5,)+(VLOOKUP(Tabela3[[#This Row],[Ajudante]],Tabela1[],5,))*3.5),0)</f>
        <v>99.95034583333333</v>
      </c>
      <c r="V402" s="35">
        <f>IFERROR(Tabela3[[#This Row],[Custo M.O. / H]]/((Tabela3[[#This Row],[Realizado]]/Tabela3[[#This Row],[Qdt Peça Placa]])/Tabela3[[#This Row],[Tempo]]/24),)</f>
        <v>24.654418638888885</v>
      </c>
      <c r="W402" s="35">
        <f>Tabela3[[#This Row],[Custo / Cx Moldada]]*Tabela3[[#This Row],[Qtde Cx Produzida]]</f>
        <v>493.08837277777769</v>
      </c>
      <c r="X402" s="35">
        <f ca="1">Tabela3[[#This Row],[Aluminio Util]]*Tabela3[[#This Row],[Custo/Kg]]</f>
        <v>799.04000000000008</v>
      </c>
      <c r="Y402" s="35">
        <f>IFERROR(VLOOKUP(Tabela3[[#This Row],[Data]],Tabela461213[],2,1)*(Tabela3[[#This Row],[Qtde Cx Produzida]]*Tabela3[[#This Row],[Qde macho / CX]]*Tabela3[[#This Row],[Peso Macho]]),)</f>
        <v>0</v>
      </c>
      <c r="Z402" s="35">
        <f>IFERROR(Tabela3[[#This Row],[Qtde Oleo]]*(VLOOKUP(Tabela3[[#This Row],[Data]],CompraOleo[],3,TRUE))*1.05,0)</f>
        <v>63.379943006249469</v>
      </c>
      <c r="AA402" s="47">
        <f ca="1">(Tabela3[[#This Row],[Custo Oleo]]+Tabela3[[#This Row],[Custo Aluminio]]+Tabela3[[#This Row],[Custo M.O. Total]]+Tabela3[[#This Row],[Custo Machos]])</f>
        <v>1355.5083157840272</v>
      </c>
      <c r="AB402" s="47">
        <f ca="1">Tabela3[[#This Row],[Custo Total]]*Tabela3[[#This Row],[% Perda]]</f>
        <v>0</v>
      </c>
      <c r="AC402" s="48">
        <f>IFERROR(VLOOKUP(Tabela3[[#This Row],[Produto]],Tabela2[],2,0),0)</f>
        <v>1</v>
      </c>
      <c r="AD402" s="48">
        <f>IFERROR(VLOOKUP(Tabela3[[#This Row],[Produto]],Tabela2[],3,0),0)</f>
        <v>2.27</v>
      </c>
      <c r="AE402" s="48">
        <f>IFERROR(VLOOKUP(Tabela3[[#This Row],[Produto]],Tabela2[],4,0),0)</f>
        <v>2.72</v>
      </c>
      <c r="AF402" s="48">
        <f>IFERROR(VLOOKUP(Tabela3[[#This Row],[Produto]],Tabela2[],5,0),0)</f>
        <v>0.40500000000000019</v>
      </c>
      <c r="AG402" s="40">
        <f>IFERROR(VLOOKUP(Tabela3[[#This Row],[Produto]],Tabela2[],6,0),0)</f>
        <v>0</v>
      </c>
      <c r="AH402" s="40">
        <f>IFERROR(VLOOKUP(Tabela3[[#This Row],[Produto]],Tabela2[],7,0),0)</f>
        <v>0</v>
      </c>
      <c r="AI402" s="40">
        <f>IFERROR(VLOOKUP(Tabela3[[#This Row],[Produto]],Tabela2[],8,0),0)</f>
        <v>0</v>
      </c>
      <c r="AJ402" s="35">
        <f ca="1">IFERROR(VLOOKUP(Tabela3[[#This Row],[Produto]],Tabela2[],13,0),0)</f>
        <v>17.600000000000001</v>
      </c>
      <c r="AK402" s="40" t="str">
        <f>IFERROR(VLOOKUP(Tabela3[[#This Row],[Produto]],Tabela2[],14,0),0)</f>
        <v>Oscar</v>
      </c>
      <c r="AL402" s="40">
        <f>IFERROR(VLOOKUP(Tabela3[[#This Row],[Produto]],Tabela2[],15,0),0)</f>
        <v>0</v>
      </c>
      <c r="AM402" s="36">
        <f ca="1">(Tabela3[[#This Row],[Custo Usinagem]]+Tabela3[[#This Row],[Custo / Pç]])*1.2</f>
        <v>81.330498947041633</v>
      </c>
      <c r="AN402" s="36">
        <f ca="1">Tabela3[[#This Row],[Valor Mínimo Venda]]*1.15</f>
        <v>93.53007378909787</v>
      </c>
      <c r="AO402" s="36">
        <f ca="1">Tabela3[[#This Row],[Tabela 1]]*1.08</f>
        <v>101.01247969222571</v>
      </c>
      <c r="AP402" s="36">
        <f ca="1">Tabela3[[#This Row],[Tabela 2]]*1.15</f>
        <v>116.16435164605956</v>
      </c>
    </row>
    <row r="403" spans="1:42">
      <c r="A403" s="9">
        <v>45841</v>
      </c>
      <c r="B403" s="6" t="s">
        <v>135</v>
      </c>
      <c r="C403" s="14">
        <v>7063</v>
      </c>
      <c r="D403" s="6" t="s">
        <v>46</v>
      </c>
      <c r="E403" s="6" t="s">
        <v>53</v>
      </c>
      <c r="F403" s="6">
        <v>20</v>
      </c>
      <c r="G403" s="15">
        <v>0.10486111111111111</v>
      </c>
      <c r="H403" s="16">
        <v>0</v>
      </c>
      <c r="I403" s="35">
        <f ca="1">IFERROR(Tabela3[[#This Row],[Custo Total]]/Tabela3[[#This Row],[Aluminio Util]],0)</f>
        <v>27.317888164887339</v>
      </c>
      <c r="J403" s="35">
        <f ca="1">Tabela3[[#This Row],[Custo Total]]/Tabela3[[#This Row],[Realizado]]</f>
        <v>48.352662051850587</v>
      </c>
      <c r="K403" s="37">
        <f>IFERROR(Tabela3[[#This Row],[Qtde Cx Produzida]]/Tabela3[[#This Row],[Tempo]]/24,0)</f>
        <v>7.9470198675496695</v>
      </c>
      <c r="L403" s="37">
        <f>Tabela3[[#This Row],[Qtde Cx Produzida]]*Tabela3[[#This Row],[Qdt Peça Placa]]</f>
        <v>20</v>
      </c>
      <c r="M403" s="37">
        <f>Tabela3[[#This Row],[Previsto]]-Tabela3[[#This Row],[Perda Pçs]]</f>
        <v>20</v>
      </c>
      <c r="N403" s="38">
        <f>IFERROR(Tabela3[[#This Row],[Perda Pçs]]/Tabela3[[#This Row],[Previsto]],0)</f>
        <v>0</v>
      </c>
      <c r="O403" s="39">
        <f>IFERROR(IF(Tabela3[[#This Row],[Qtde Cx Produzida]] &lt;&gt; 0, Tabela3[[#This Row],[Tempo]] / Tabela3[[#This Row],[Qtde Cx Produzida]], 0),0)</f>
        <v>5.2430555555555555E-3</v>
      </c>
      <c r="P403" s="57">
        <f>IFERROR(Tabela3[[#This Row],[Perda Pçs]]/Tabela3[[#This Row],[Qdt Peça Placa]],0)</f>
        <v>0</v>
      </c>
      <c r="Q403" s="37">
        <f>IFERROR(Tabela3[[#This Row],[Realizado]]*Tabela3[[#This Row],[Peso Util/Pç]],0)</f>
        <v>35.4</v>
      </c>
      <c r="R403" s="37">
        <f>IFERROR(Tabela3[[#This Row],[Peso Total Galho]]*Tabela3[[#This Row],[Qtde Cx Produzida]]*1.055,0)</f>
        <v>66.042999999999992</v>
      </c>
      <c r="S403" s="37">
        <f>(Tabela3[[#This Row],[Aluminio Bruto]]-Tabela3[[#This Row],[Aluminio Util]])*0.9</f>
        <v>27.578699999999994</v>
      </c>
      <c r="T403" s="37">
        <f>Tabela3[[#This Row],[Aluminio Bruto]]/OleoKGAluminio</f>
        <v>27.784204707221399</v>
      </c>
      <c r="U403" s="35">
        <f>IFERROR((VLOOKUP(Tabela3[[#This Row],[Moldador]],Tabela1[],5,)+(VLOOKUP(Tabela3[[#This Row],[Ajudante]],Tabela1[],5,))*3.5),0)</f>
        <v>99.95034583333333</v>
      </c>
      <c r="V403" s="35">
        <f>IFERROR(Tabela3[[#This Row],[Custo M.O. / H]]/((Tabela3[[#This Row],[Realizado]]/Tabela3[[#This Row],[Qdt Peça Placa]])/Tabela3[[#This Row],[Tempo]]/24),)</f>
        <v>12.577085184027776</v>
      </c>
      <c r="W403" s="35">
        <f>Tabela3[[#This Row],[Custo / Cx Moldada]]*Tabela3[[#This Row],[Qtde Cx Produzida]]</f>
        <v>251.54170368055554</v>
      </c>
      <c r="X403" s="35">
        <f ca="1">Tabela3[[#This Row],[Aluminio Util]]*Tabela3[[#This Row],[Custo/Kg]]</f>
        <v>552.24</v>
      </c>
      <c r="Y403" s="35">
        <f>IFERROR(VLOOKUP(Tabela3[[#This Row],[Data]],Tabela461213[],2,1)*(Tabela3[[#This Row],[Qtde Cx Produzida]]*Tabela3[[#This Row],[Qde macho / CX]]*Tabela3[[#This Row],[Peso Macho]]),)</f>
        <v>90.337999999999994</v>
      </c>
      <c r="Z403" s="35">
        <f>IFERROR(Tabela3[[#This Row],[Qtde Oleo]]*(VLOOKUP(Tabela3[[#This Row],[Data]],CompraOleo[],3,TRUE))*1.05,0)</f>
        <v>72.933537356456171</v>
      </c>
      <c r="AA403" s="47">
        <f ca="1">(Tabela3[[#This Row],[Custo Oleo]]+Tabela3[[#This Row],[Custo Aluminio]]+Tabela3[[#This Row],[Custo M.O. Total]]+Tabela3[[#This Row],[Custo Machos]])</f>
        <v>967.05324103701173</v>
      </c>
      <c r="AB403" s="47">
        <f ca="1">Tabela3[[#This Row],[Custo Total]]*Tabela3[[#This Row],[% Perda]]</f>
        <v>0</v>
      </c>
      <c r="AC403" s="48">
        <f>IFERROR(VLOOKUP(Tabela3[[#This Row],[Produto]],Tabela2[],2,0),0)</f>
        <v>1</v>
      </c>
      <c r="AD403" s="48">
        <f>IFERROR(VLOOKUP(Tabela3[[#This Row],[Produto]],Tabela2[],3,0),0)</f>
        <v>1.77</v>
      </c>
      <c r="AE403" s="48">
        <f>IFERROR(VLOOKUP(Tabela3[[#This Row],[Produto]],Tabela2[],4,0),0)</f>
        <v>3.13</v>
      </c>
      <c r="AF403" s="48">
        <f>IFERROR(VLOOKUP(Tabela3[[#This Row],[Produto]],Tabela2[],5,0),0)</f>
        <v>1.224</v>
      </c>
      <c r="AG403" s="40">
        <f>IFERROR(VLOOKUP(Tabela3[[#This Row],[Produto]],Tabela2[],6,0),0)</f>
        <v>0</v>
      </c>
      <c r="AH403" s="40">
        <f>IFERROR(VLOOKUP(Tabela3[[#This Row],[Produto]],Tabela2[],7,0),0)</f>
        <v>1</v>
      </c>
      <c r="AI403" s="40">
        <f>IFERROR(VLOOKUP(Tabela3[[#This Row],[Produto]],Tabela2[],8,0),0)</f>
        <v>2.657</v>
      </c>
      <c r="AJ403" s="35">
        <f ca="1">IFERROR(VLOOKUP(Tabela3[[#This Row],[Produto]],Tabela2[],13,0),0)</f>
        <v>15.600000000000001</v>
      </c>
      <c r="AK403" s="40" t="str">
        <f>IFERROR(VLOOKUP(Tabela3[[#This Row],[Produto]],Tabela2[],14,0),0)</f>
        <v>Jumil</v>
      </c>
      <c r="AL403" s="40">
        <f>IFERROR(VLOOKUP(Tabela3[[#This Row],[Produto]],Tabela2[],15,0),0)</f>
        <v>10</v>
      </c>
      <c r="AM403" s="36">
        <f ca="1">(Tabela3[[#This Row],[Custo Usinagem]]+Tabela3[[#This Row],[Custo / Pç]])*1.2</f>
        <v>70.023194462220701</v>
      </c>
      <c r="AN403" s="36">
        <f ca="1">Tabela3[[#This Row],[Valor Mínimo Venda]]*1.15</f>
        <v>80.526673631553805</v>
      </c>
      <c r="AO403" s="36">
        <f ca="1">Tabela3[[#This Row],[Tabela 1]]*1.08</f>
        <v>86.968807522078109</v>
      </c>
      <c r="AP403" s="36">
        <f ca="1">Tabela3[[#This Row],[Tabela 2]]*1.15</f>
        <v>100.01412865038982</v>
      </c>
    </row>
    <row r="404" spans="1:42">
      <c r="A404" s="9">
        <v>45841</v>
      </c>
      <c r="B404" s="6" t="s">
        <v>235</v>
      </c>
      <c r="C404" s="14">
        <v>7030</v>
      </c>
      <c r="D404" s="6" t="s">
        <v>46</v>
      </c>
      <c r="E404" s="6" t="s">
        <v>53</v>
      </c>
      <c r="F404" s="6">
        <v>39</v>
      </c>
      <c r="G404" s="15">
        <v>0.21527777777777779</v>
      </c>
      <c r="H404" s="16">
        <v>0</v>
      </c>
      <c r="I404" s="35">
        <f ca="1">IFERROR(Tabela3[[#This Row],[Custo Total]]/Tabela3[[#This Row],[Aluminio Util]],0)</f>
        <v>24.187779015339054</v>
      </c>
      <c r="J404" s="35">
        <f ca="1">Tabela3[[#This Row],[Custo Total]]/Tabela3[[#This Row],[Realizado]]</f>
        <v>7.4014603786937503</v>
      </c>
      <c r="K404" s="37">
        <f>IFERROR(Tabela3[[#This Row],[Qtde Cx Produzida]]/Tabela3[[#This Row],[Tempo]]/24,0)</f>
        <v>7.5483870967741931</v>
      </c>
      <c r="L404" s="37">
        <f>Tabela3[[#This Row],[Qtde Cx Produzida]]*Tabela3[[#This Row],[Qdt Peça Placa]]</f>
        <v>234</v>
      </c>
      <c r="M404" s="37">
        <f>Tabela3[[#This Row],[Previsto]]-Tabela3[[#This Row],[Perda Pçs]]</f>
        <v>234</v>
      </c>
      <c r="N404" s="38">
        <f>IFERROR(Tabela3[[#This Row],[Perda Pçs]]/Tabela3[[#This Row],[Previsto]],0)</f>
        <v>0</v>
      </c>
      <c r="O404" s="39">
        <f>IFERROR(IF(Tabela3[[#This Row],[Qtde Cx Produzida]] &lt;&gt; 0, Tabela3[[#This Row],[Tempo]] / Tabela3[[#This Row],[Qtde Cx Produzida]], 0),0)</f>
        <v>5.5199430199430206E-3</v>
      </c>
      <c r="P404" s="57">
        <f>IFERROR(Tabela3[[#This Row],[Perda Pçs]]/Tabela3[[#This Row],[Qdt Peça Placa]],0)</f>
        <v>0</v>
      </c>
      <c r="Q404" s="37">
        <f>IFERROR(Tabela3[[#This Row],[Realizado]]*Tabela3[[#This Row],[Peso Util/Pç]],0)</f>
        <v>71.603999999999999</v>
      </c>
      <c r="R404" s="37">
        <f>IFERROR(Tabela3[[#This Row],[Peso Total Galho]]*Tabela3[[#This Row],[Qtde Cx Produzida]]*1.055,0)</f>
        <v>89.202359999999999</v>
      </c>
      <c r="S404" s="37">
        <f>(Tabela3[[#This Row],[Aluminio Bruto]]-Tabela3[[#This Row],[Aluminio Util]])*0.9</f>
        <v>15.838524</v>
      </c>
      <c r="T404" s="37">
        <f>Tabela3[[#This Row],[Aluminio Bruto]]/OleoKGAluminio</f>
        <v>37.527317514456612</v>
      </c>
      <c r="U404" s="35">
        <f>IFERROR((VLOOKUP(Tabela3[[#This Row],[Moldador]],Tabela1[],5,)+(VLOOKUP(Tabela3[[#This Row],[Ajudante]],Tabela1[],5,))*3.5),0)</f>
        <v>99.95034583333333</v>
      </c>
      <c r="V404" s="35">
        <f>IFERROR(Tabela3[[#This Row],[Custo M.O. / H]]/((Tabela3[[#This Row],[Realizado]]/Tabela3[[#This Row],[Qdt Peça Placa]])/Tabela3[[#This Row],[Tempo]]/24),)</f>
        <v>13.241285131766382</v>
      </c>
      <c r="W404" s="35">
        <f>Tabela3[[#This Row],[Custo / Cx Moldada]]*Tabela3[[#This Row],[Qtde Cx Produzida]]</f>
        <v>516.41012013888894</v>
      </c>
      <c r="X404" s="35">
        <f ca="1">Tabela3[[#This Row],[Aluminio Util]]*Tabela3[[#This Row],[Custo/Kg]]</f>
        <v>1117.0224000000001</v>
      </c>
      <c r="Y404" s="35">
        <f>IFERROR(VLOOKUP(Tabela3[[#This Row],[Data]],Tabela461213[],2,1)*(Tabela3[[#This Row],[Qtde Cx Produzida]]*Tabela3[[#This Row],[Qde macho / CX]]*Tabela3[[#This Row],[Peso Macho]]),)</f>
        <v>0</v>
      </c>
      <c r="Z404" s="35">
        <f>IFERROR(Tabela3[[#This Row],[Qtde Oleo]]*(VLOOKUP(Tabela3[[#This Row],[Data]],CompraOleo[],3,TRUE))*1.05,0)</f>
        <v>98.509208475448617</v>
      </c>
      <c r="AA404" s="47">
        <f ca="1">(Tabela3[[#This Row],[Custo Oleo]]+Tabela3[[#This Row],[Custo Aluminio]]+Tabela3[[#This Row],[Custo M.O. Total]]+Tabela3[[#This Row],[Custo Machos]])</f>
        <v>1731.9417286143375</v>
      </c>
      <c r="AB404" s="47">
        <f ca="1">Tabela3[[#This Row],[Custo Total]]*Tabela3[[#This Row],[% Perda]]</f>
        <v>0</v>
      </c>
      <c r="AC404" s="48">
        <f>IFERROR(VLOOKUP(Tabela3[[#This Row],[Produto]],Tabela2[],2,0),0)</f>
        <v>6</v>
      </c>
      <c r="AD404" s="48">
        <f>IFERROR(VLOOKUP(Tabela3[[#This Row],[Produto]],Tabela2[],3,0),0)</f>
        <v>0.30599999999999999</v>
      </c>
      <c r="AE404" s="48">
        <f>IFERROR(VLOOKUP(Tabela3[[#This Row],[Produto]],Tabela2[],4,0),0)</f>
        <v>2.1680000000000001</v>
      </c>
      <c r="AF404" s="48">
        <f>IFERROR(VLOOKUP(Tabela3[[#This Row],[Produto]],Tabela2[],5,0),0)</f>
        <v>0.29880000000000029</v>
      </c>
      <c r="AG404" s="40">
        <f>IFERROR(VLOOKUP(Tabela3[[#This Row],[Produto]],Tabela2[],6,0),0)</f>
        <v>0</v>
      </c>
      <c r="AH404" s="40">
        <f>IFERROR(VLOOKUP(Tabela3[[#This Row],[Produto]],Tabela2[],7,0),0)</f>
        <v>0</v>
      </c>
      <c r="AI404" s="40">
        <f>IFERROR(VLOOKUP(Tabela3[[#This Row],[Produto]],Tabela2[],8,0),0)</f>
        <v>0</v>
      </c>
      <c r="AJ404" s="35">
        <f ca="1">IFERROR(VLOOKUP(Tabela3[[#This Row],[Produto]],Tabela2[],13,0),0)</f>
        <v>15.600000000000001</v>
      </c>
      <c r="AK404" s="40" t="str">
        <f>IFERROR(VLOOKUP(Tabela3[[#This Row],[Produto]],Tabela2[],14,0),0)</f>
        <v>Senun</v>
      </c>
      <c r="AL404" s="40">
        <f>IFERROR(VLOOKUP(Tabela3[[#This Row],[Produto]],Tabela2[],15,0),0)</f>
        <v>4</v>
      </c>
      <c r="AM404" s="36">
        <f ca="1">(Tabela3[[#This Row],[Custo Usinagem]]+Tabela3[[#This Row],[Custo / Pç]])*1.2</f>
        <v>13.6817524544325</v>
      </c>
      <c r="AN404" s="36">
        <f ca="1">Tabela3[[#This Row],[Valor Mínimo Venda]]*1.15</f>
        <v>15.734015322597374</v>
      </c>
      <c r="AO404" s="36">
        <f ca="1">Tabela3[[#This Row],[Tabela 1]]*1.08</f>
        <v>16.992736548405166</v>
      </c>
      <c r="AP404" s="36">
        <f ca="1">Tabela3[[#This Row],[Tabela 2]]*1.15</f>
        <v>19.541647030665938</v>
      </c>
    </row>
    <row r="405" spans="1:42">
      <c r="A405" s="9">
        <v>45842</v>
      </c>
      <c r="B405" s="6" t="s">
        <v>236</v>
      </c>
      <c r="C405" s="14">
        <v>7030</v>
      </c>
      <c r="D405" s="6" t="s">
        <v>46</v>
      </c>
      <c r="E405" s="6" t="s">
        <v>53</v>
      </c>
      <c r="F405" s="6">
        <v>62</v>
      </c>
      <c r="G405" s="15">
        <v>0.35694444444444445</v>
      </c>
      <c r="H405" s="16">
        <v>0</v>
      </c>
      <c r="I405" s="35">
        <f ca="1">IFERROR(Tabela3[[#This Row],[Custo Total]]/Tabela3[[#This Row],[Aluminio Util]],0)</f>
        <v>24.605286679973144</v>
      </c>
      <c r="J405" s="35">
        <f ca="1">Tabela3[[#This Row],[Custo Total]]/Tabela3[[#This Row],[Realizado]]</f>
        <v>7.4307965773518898</v>
      </c>
      <c r="K405" s="37">
        <f>IFERROR(Tabela3[[#This Row],[Qtde Cx Produzida]]/Tabela3[[#This Row],[Tempo]]/24,0)</f>
        <v>7.2373540856031129</v>
      </c>
      <c r="L405" s="37">
        <f>Tabela3[[#This Row],[Qtde Cx Produzida]]*Tabela3[[#This Row],[Qdt Peça Placa]]</f>
        <v>372</v>
      </c>
      <c r="M405" s="37">
        <f>Tabela3[[#This Row],[Previsto]]-Tabela3[[#This Row],[Perda Pçs]]</f>
        <v>372</v>
      </c>
      <c r="N405" s="38">
        <f>IFERROR(Tabela3[[#This Row],[Perda Pçs]]/Tabela3[[#This Row],[Previsto]],0)</f>
        <v>0</v>
      </c>
      <c r="O405" s="39">
        <f>IFERROR(IF(Tabela3[[#This Row],[Qtde Cx Produzida]] &lt;&gt; 0, Tabela3[[#This Row],[Tempo]] / Tabela3[[#This Row],[Qtde Cx Produzida]], 0),0)</f>
        <v>5.7571684587813619E-3</v>
      </c>
      <c r="P405" s="57">
        <f>IFERROR(Tabela3[[#This Row],[Perda Pçs]]/Tabela3[[#This Row],[Qdt Peça Placa]],0)</f>
        <v>0</v>
      </c>
      <c r="Q405" s="37">
        <f>IFERROR(Tabela3[[#This Row],[Realizado]]*Tabela3[[#This Row],[Peso Util/Pç]],0)</f>
        <v>112.34399999999999</v>
      </c>
      <c r="R405" s="37">
        <f>IFERROR(Tabela3[[#This Row],[Peso Total Galho]]*Tabela3[[#This Row],[Qtde Cx Produzida]]*1.055,0)</f>
        <v>140.76231999999999</v>
      </c>
      <c r="S405" s="37">
        <f>(Tabela3[[#This Row],[Aluminio Bruto]]-Tabela3[[#This Row],[Aluminio Util]])*0.9</f>
        <v>25.576487999999994</v>
      </c>
      <c r="T405" s="37">
        <f>Tabela3[[#This Row],[Aluminio Bruto]]/OleoKGAluminio</f>
        <v>59.218526020068822</v>
      </c>
      <c r="U405" s="35">
        <f>IFERROR((VLOOKUP(Tabela3[[#This Row],[Moldador]],Tabela1[],5,)+(VLOOKUP(Tabela3[[#This Row],[Ajudante]],Tabela1[],5,))*3.5),0)</f>
        <v>99.95034583333333</v>
      </c>
      <c r="V405" s="35">
        <f>IFERROR(Tabela3[[#This Row],[Custo M.O. / H]]/((Tabela3[[#This Row],[Realizado]]/Tabela3[[#This Row],[Qdt Peça Placa]])/Tabela3[[#This Row],[Tempo]]/24),)</f>
        <v>13.810343483422939</v>
      </c>
      <c r="W405" s="35">
        <f>Tabela3[[#This Row],[Custo / Cx Moldada]]*Tabela3[[#This Row],[Qtde Cx Produzida]]</f>
        <v>856.24129597222225</v>
      </c>
      <c r="X405" s="35">
        <f ca="1">Tabela3[[#This Row],[Aluminio Util]]*Tabela3[[#This Row],[Custo/Kg]]</f>
        <v>1752.5664000000002</v>
      </c>
      <c r="Y405" s="35">
        <f>IFERROR(VLOOKUP(Tabela3[[#This Row],[Data]],Tabela461213[],2,1)*(Tabela3[[#This Row],[Qtde Cx Produzida]]*Tabela3[[#This Row],[Qde macho / CX]]*Tabela3[[#This Row],[Peso Macho]]),)</f>
        <v>0</v>
      </c>
      <c r="Z405" s="35">
        <f>IFERROR(Tabela3[[#This Row],[Qtde Oleo]]*(VLOOKUP(Tabela3[[#This Row],[Data]],CompraOleo[],3,TRUE))*1.05,0)</f>
        <v>155.44863080268064</v>
      </c>
      <c r="AA405" s="47">
        <f ca="1">(Tabela3[[#This Row],[Custo Oleo]]+Tabela3[[#This Row],[Custo Aluminio]]+Tabela3[[#This Row],[Custo M.O. Total]]+Tabela3[[#This Row],[Custo Machos]])</f>
        <v>2764.2563267749028</v>
      </c>
      <c r="AB405" s="47">
        <f ca="1">Tabela3[[#This Row],[Custo Total]]*Tabela3[[#This Row],[% Perda]]</f>
        <v>0</v>
      </c>
      <c r="AC405" s="48">
        <f>IFERROR(VLOOKUP(Tabela3[[#This Row],[Produto]],Tabela2[],2,0),0)</f>
        <v>6</v>
      </c>
      <c r="AD405" s="48">
        <f>IFERROR(VLOOKUP(Tabela3[[#This Row],[Produto]],Tabela2[],3,0),0)</f>
        <v>0.30199999999999999</v>
      </c>
      <c r="AE405" s="48">
        <f>IFERROR(VLOOKUP(Tabela3[[#This Row],[Produto]],Tabela2[],4,0),0)</f>
        <v>2.1520000000000001</v>
      </c>
      <c r="AF405" s="48">
        <f>IFERROR(VLOOKUP(Tabela3[[#This Row],[Produto]],Tabela2[],5,0),0)</f>
        <v>0.30600000000000027</v>
      </c>
      <c r="AG405" s="40">
        <f>IFERROR(VLOOKUP(Tabela3[[#This Row],[Produto]],Tabela2[],6,0),0)</f>
        <v>0</v>
      </c>
      <c r="AH405" s="40">
        <f>IFERROR(VLOOKUP(Tabela3[[#This Row],[Produto]],Tabela2[],7,0),0)</f>
        <v>0</v>
      </c>
      <c r="AI405" s="40">
        <f>IFERROR(VLOOKUP(Tabela3[[#This Row],[Produto]],Tabela2[],8,0),0)</f>
        <v>0</v>
      </c>
      <c r="AJ405" s="35">
        <f ca="1">IFERROR(VLOOKUP(Tabela3[[#This Row],[Produto]],Tabela2[],13,0),0)</f>
        <v>15.600000000000001</v>
      </c>
      <c r="AK405" s="40" t="str">
        <f>IFERROR(VLOOKUP(Tabela3[[#This Row],[Produto]],Tabela2[],14,0),0)</f>
        <v>Senun</v>
      </c>
      <c r="AL405" s="40">
        <f>IFERROR(VLOOKUP(Tabela3[[#This Row],[Produto]],Tabela2[],15,0),0)</f>
        <v>4</v>
      </c>
      <c r="AM405" s="36">
        <f ca="1">(Tabela3[[#This Row],[Custo Usinagem]]+Tabela3[[#This Row],[Custo / Pç]])*1.2</f>
        <v>13.716955892822268</v>
      </c>
      <c r="AN405" s="36">
        <f ca="1">Tabela3[[#This Row],[Valor Mínimo Venda]]*1.15</f>
        <v>15.774499276745606</v>
      </c>
      <c r="AO405" s="36">
        <f ca="1">Tabela3[[#This Row],[Tabela 1]]*1.08</f>
        <v>17.036459218885255</v>
      </c>
      <c r="AP405" s="36">
        <f ca="1">Tabela3[[#This Row],[Tabela 2]]*1.15</f>
        <v>19.591928101718043</v>
      </c>
    </row>
    <row r="406" spans="1:42">
      <c r="A406" s="9">
        <v>45842</v>
      </c>
      <c r="B406" s="6" t="s">
        <v>206</v>
      </c>
      <c r="C406" s="14">
        <v>7070</v>
      </c>
      <c r="D406" s="6" t="s">
        <v>44</v>
      </c>
      <c r="E406" s="6" t="s">
        <v>47</v>
      </c>
      <c r="F406" s="6">
        <v>1</v>
      </c>
      <c r="G406" s="15">
        <v>1.3888888888888888E-2</v>
      </c>
      <c r="H406" s="16">
        <v>0</v>
      </c>
      <c r="I406" s="35">
        <f ca="1">IFERROR(Tabela3[[#This Row],[Custo Total]]/Tabela3[[#This Row],[Aluminio Util]],0)</f>
        <v>33.673030438218909</v>
      </c>
      <c r="J406" s="35">
        <f ca="1">Tabela3[[#This Row],[Custo Total]]/Tabela3[[#This Row],[Realizado]]</f>
        <v>76.43777909475692</v>
      </c>
      <c r="K406" s="37">
        <f>IFERROR(Tabela3[[#This Row],[Qtde Cx Produzida]]/Tabela3[[#This Row],[Tempo]]/24,0)</f>
        <v>3</v>
      </c>
      <c r="L406" s="37">
        <f>Tabela3[[#This Row],[Qtde Cx Produzida]]*Tabela3[[#This Row],[Qdt Peça Placa]]</f>
        <v>1</v>
      </c>
      <c r="M406" s="37">
        <f>Tabela3[[#This Row],[Previsto]]-Tabela3[[#This Row],[Perda Pçs]]</f>
        <v>1</v>
      </c>
      <c r="N406" s="38">
        <f>IFERROR(Tabela3[[#This Row],[Perda Pçs]]/Tabela3[[#This Row],[Previsto]],0)</f>
        <v>0</v>
      </c>
      <c r="O406" s="39">
        <f>IFERROR(IF(Tabela3[[#This Row],[Qtde Cx Produzida]] &lt;&gt; 0, Tabela3[[#This Row],[Tempo]] / Tabela3[[#This Row],[Qtde Cx Produzida]], 0),0)</f>
        <v>1.3888888888888888E-2</v>
      </c>
      <c r="P406" s="57">
        <f>IFERROR(Tabela3[[#This Row],[Perda Pçs]]/Tabela3[[#This Row],[Qdt Peça Placa]],0)</f>
        <v>0</v>
      </c>
      <c r="Q406" s="37">
        <f>IFERROR(Tabela3[[#This Row],[Realizado]]*Tabela3[[#This Row],[Peso Util/Pç]],0)</f>
        <v>2.27</v>
      </c>
      <c r="R406" s="37">
        <f>IFERROR(Tabela3[[#This Row],[Peso Total Galho]]*Tabela3[[#This Row],[Qtde Cx Produzida]]*1.055,0)</f>
        <v>2.8696000000000002</v>
      </c>
      <c r="S406" s="37">
        <f>(Tabela3[[#This Row],[Aluminio Bruto]]-Tabela3[[#This Row],[Aluminio Util]])*0.9</f>
        <v>0.53964000000000012</v>
      </c>
      <c r="T406" s="37">
        <f>Tabela3[[#This Row],[Aluminio Bruto]]/OleoKGAluminio</f>
        <v>1.2072370096428471</v>
      </c>
      <c r="U406" s="35">
        <f>IFERROR((VLOOKUP(Tabela3[[#This Row],[Moldador]],Tabela1[],5,)+(VLOOKUP(Tabela3[[#This Row],[Ajudante]],Tabela1[],5,))*3.5),0)</f>
        <v>99.95034583333333</v>
      </c>
      <c r="V406" s="35">
        <f>IFERROR(Tabela3[[#This Row],[Custo M.O. / H]]/((Tabela3[[#This Row],[Realizado]]/Tabela3[[#This Row],[Qdt Peça Placa]])/Tabela3[[#This Row],[Tempo]]/24),)</f>
        <v>33.316781944444443</v>
      </c>
      <c r="W406" s="35">
        <f>Tabela3[[#This Row],[Custo / Cx Moldada]]*Tabela3[[#This Row],[Qtde Cx Produzida]]</f>
        <v>33.316781944444443</v>
      </c>
      <c r="X406" s="35">
        <f ca="1">Tabela3[[#This Row],[Aluminio Util]]*Tabela3[[#This Row],[Custo/Kg]]</f>
        <v>39.952000000000005</v>
      </c>
      <c r="Y406" s="35">
        <f>IFERROR(VLOOKUP(Tabela3[[#This Row],[Data]],Tabela461213[],2,1)*(Tabela3[[#This Row],[Qtde Cx Produzida]]*Tabela3[[#This Row],[Qde macho / CX]]*Tabela3[[#This Row],[Peso Macho]]),)</f>
        <v>0</v>
      </c>
      <c r="Z406" s="35">
        <f>IFERROR(Tabela3[[#This Row],[Qtde Oleo]]*(VLOOKUP(Tabela3[[#This Row],[Data]],CompraOleo[],3,TRUE))*1.05,0)</f>
        <v>3.1689971503124741</v>
      </c>
      <c r="AA406" s="47">
        <f ca="1">(Tabela3[[#This Row],[Custo Oleo]]+Tabela3[[#This Row],[Custo Aluminio]]+Tabela3[[#This Row],[Custo M.O. Total]]+Tabela3[[#This Row],[Custo Machos]])</f>
        <v>76.43777909475692</v>
      </c>
      <c r="AB406" s="47">
        <f ca="1">Tabela3[[#This Row],[Custo Total]]*Tabela3[[#This Row],[% Perda]]</f>
        <v>0</v>
      </c>
      <c r="AC406" s="48">
        <f>IFERROR(VLOOKUP(Tabela3[[#This Row],[Produto]],Tabela2[],2,0),0)</f>
        <v>1</v>
      </c>
      <c r="AD406" s="48">
        <f>IFERROR(VLOOKUP(Tabela3[[#This Row],[Produto]],Tabela2[],3,0),0)</f>
        <v>2.27</v>
      </c>
      <c r="AE406" s="48">
        <f>IFERROR(VLOOKUP(Tabela3[[#This Row],[Produto]],Tabela2[],4,0),0)</f>
        <v>2.72</v>
      </c>
      <c r="AF406" s="48">
        <f>IFERROR(VLOOKUP(Tabela3[[#This Row],[Produto]],Tabela2[],5,0),0)</f>
        <v>0.40500000000000019</v>
      </c>
      <c r="AG406" s="40">
        <f>IFERROR(VLOOKUP(Tabela3[[#This Row],[Produto]],Tabela2[],6,0),0)</f>
        <v>0</v>
      </c>
      <c r="AH406" s="40">
        <f>IFERROR(VLOOKUP(Tabela3[[#This Row],[Produto]],Tabela2[],7,0),0)</f>
        <v>0</v>
      </c>
      <c r="AI406" s="40">
        <f>IFERROR(VLOOKUP(Tabela3[[#This Row],[Produto]],Tabela2[],8,0),0)</f>
        <v>0</v>
      </c>
      <c r="AJ406" s="35">
        <f ca="1">IFERROR(VLOOKUP(Tabela3[[#This Row],[Produto]],Tabela2[],13,0),0)</f>
        <v>17.600000000000001</v>
      </c>
      <c r="AK406" s="40" t="str">
        <f>IFERROR(VLOOKUP(Tabela3[[#This Row],[Produto]],Tabela2[],14,0),0)</f>
        <v>Oscar</v>
      </c>
      <c r="AL406" s="40">
        <f>IFERROR(VLOOKUP(Tabela3[[#This Row],[Produto]],Tabela2[],15,0),0)</f>
        <v>0</v>
      </c>
      <c r="AM406" s="36">
        <f ca="1">(Tabela3[[#This Row],[Custo Usinagem]]+Tabela3[[#This Row],[Custo / Pç]])*1.2</f>
        <v>91.725334913708295</v>
      </c>
      <c r="AN406" s="36">
        <f ca="1">Tabela3[[#This Row],[Valor Mínimo Venda]]*1.15</f>
        <v>105.48413515076453</v>
      </c>
      <c r="AO406" s="36">
        <f ca="1">Tabela3[[#This Row],[Tabela 1]]*1.08</f>
        <v>113.9228659628257</v>
      </c>
      <c r="AP406" s="36">
        <f ca="1">Tabela3[[#This Row],[Tabela 2]]*1.15</f>
        <v>131.01129585724954</v>
      </c>
    </row>
    <row r="407" spans="1:42">
      <c r="A407" s="9">
        <v>45842</v>
      </c>
      <c r="B407" s="6" t="s">
        <v>245</v>
      </c>
      <c r="C407" s="14">
        <v>7072</v>
      </c>
      <c r="D407" s="6" t="s">
        <v>44</v>
      </c>
      <c r="E407" s="6" t="s">
        <v>47</v>
      </c>
      <c r="F407" s="6">
        <v>46</v>
      </c>
      <c r="G407" s="15">
        <v>0.25</v>
      </c>
      <c r="H407" s="16">
        <v>0</v>
      </c>
      <c r="I407" s="35">
        <f ca="1">IFERROR(Tabela3[[#This Row],[Custo Total]]/Tabela3[[#This Row],[Aluminio Util]],0)</f>
        <v>27.434840616279814</v>
      </c>
      <c r="J407" s="35">
        <f ca="1">Tabela3[[#This Row],[Custo Total]]/Tabela3[[#This Row],[Realizado]]</f>
        <v>9.1083670846048985</v>
      </c>
      <c r="K407" s="37">
        <f>IFERROR(Tabela3[[#This Row],[Qtde Cx Produzida]]/Tabela3[[#This Row],[Tempo]]/24,0)</f>
        <v>7.666666666666667</v>
      </c>
      <c r="L407" s="37">
        <f>Tabela3[[#This Row],[Qtde Cx Produzida]]*Tabela3[[#This Row],[Qdt Peça Placa]]</f>
        <v>184</v>
      </c>
      <c r="M407" s="37">
        <f>Tabela3[[#This Row],[Previsto]]-Tabela3[[#This Row],[Perda Pçs]]</f>
        <v>184</v>
      </c>
      <c r="N407" s="38">
        <f>IFERROR(Tabela3[[#This Row],[Perda Pçs]]/Tabela3[[#This Row],[Previsto]],0)</f>
        <v>0</v>
      </c>
      <c r="O407" s="39">
        <f>IFERROR(IF(Tabela3[[#This Row],[Qtde Cx Produzida]] &lt;&gt; 0, Tabela3[[#This Row],[Tempo]] / Tabela3[[#This Row],[Qtde Cx Produzida]], 0),0)</f>
        <v>5.434782608695652E-3</v>
      </c>
      <c r="P407" s="57">
        <f>IFERROR(Tabela3[[#This Row],[Perda Pçs]]/Tabela3[[#This Row],[Qdt Peça Placa]],0)</f>
        <v>0</v>
      </c>
      <c r="Q407" s="37">
        <f>IFERROR(Tabela3[[#This Row],[Realizado]]*Tabela3[[#This Row],[Peso Util/Pç]],0)</f>
        <v>61.088000000000001</v>
      </c>
      <c r="R407" s="37">
        <f>IFERROR(Tabela3[[#This Row],[Peso Total Galho]]*Tabela3[[#This Row],[Qtde Cx Produzida]]*1.055,0)</f>
        <v>111.61899999999999</v>
      </c>
      <c r="S407" s="37">
        <f>(Tabela3[[#This Row],[Aluminio Bruto]]-Tabela3[[#This Row],[Aluminio Util]])*0.9</f>
        <v>45.477899999999984</v>
      </c>
      <c r="T407" s="37">
        <f>Tabela3[[#This Row],[Aluminio Bruto]]/OleoKGAluminio</f>
        <v>46.957968978019558</v>
      </c>
      <c r="U407" s="35">
        <f>IFERROR((VLOOKUP(Tabela3[[#This Row],[Moldador]],Tabela1[],5,)+(VLOOKUP(Tabela3[[#This Row],[Ajudante]],Tabela1[],5,))*3.5),0)</f>
        <v>99.95034583333333</v>
      </c>
      <c r="V407" s="35">
        <f>IFERROR(Tabela3[[#This Row],[Custo M.O. / H]]/((Tabela3[[#This Row],[Realizado]]/Tabela3[[#This Row],[Qdt Peça Placa]])/Tabela3[[#This Row],[Tempo]]/24),)</f>
        <v>13.037001630434782</v>
      </c>
      <c r="W407" s="35">
        <f>Tabela3[[#This Row],[Custo / Cx Moldada]]*Tabela3[[#This Row],[Qtde Cx Produzida]]</f>
        <v>599.70207499999992</v>
      </c>
      <c r="X407" s="35">
        <f ca="1">Tabela3[[#This Row],[Aluminio Util]]*Tabela3[[#This Row],[Custo/Kg]]</f>
        <v>952.97280000000012</v>
      </c>
      <c r="Y407" s="35">
        <f>IFERROR(VLOOKUP(Tabela3[[#This Row],[Data]],Tabela461213[],2,1)*(Tabela3[[#This Row],[Qtde Cx Produzida]]*Tabela3[[#This Row],[Qde macho / CX]]*Tabela3[[#This Row],[Peso Macho]]),)</f>
        <v>0</v>
      </c>
      <c r="Z407" s="35">
        <f>IFERROR(Tabela3[[#This Row],[Qtde Oleo]]*(VLOOKUP(Tabela3[[#This Row],[Data]],CompraOleo[],3,TRUE))*1.05,0)</f>
        <v>123.26466856730134</v>
      </c>
      <c r="AA407" s="47">
        <f ca="1">(Tabela3[[#This Row],[Custo Oleo]]+Tabela3[[#This Row],[Custo Aluminio]]+Tabela3[[#This Row],[Custo M.O. Total]]+Tabela3[[#This Row],[Custo Machos]])</f>
        <v>1675.9395435673014</v>
      </c>
      <c r="AB407" s="47">
        <f ca="1">Tabela3[[#This Row],[Custo Total]]*Tabela3[[#This Row],[% Perda]]</f>
        <v>0</v>
      </c>
      <c r="AC407" s="48">
        <f>IFERROR(VLOOKUP(Tabela3[[#This Row],[Produto]],Tabela2[],2,0),0)</f>
        <v>4</v>
      </c>
      <c r="AD407" s="48">
        <f>IFERROR(VLOOKUP(Tabela3[[#This Row],[Produto]],Tabela2[],3,0),0)</f>
        <v>0.33200000000000002</v>
      </c>
      <c r="AE407" s="48">
        <f>IFERROR(VLOOKUP(Tabela3[[#This Row],[Produto]],Tabela2[],4,0),0)</f>
        <v>2.2999999999999998</v>
      </c>
      <c r="AF407" s="48">
        <f>IFERROR(VLOOKUP(Tabela3[[#This Row],[Produto]],Tabela2[],5,0),0)</f>
        <v>0.8747999999999998</v>
      </c>
      <c r="AG407" s="40">
        <f>IFERROR(VLOOKUP(Tabela3[[#This Row],[Produto]],Tabela2[],6,0),0)</f>
        <v>0</v>
      </c>
      <c r="AH407" s="40">
        <f>IFERROR(VLOOKUP(Tabela3[[#This Row],[Produto]],Tabela2[],7,0),0)</f>
        <v>0</v>
      </c>
      <c r="AI407" s="40">
        <f>IFERROR(VLOOKUP(Tabela3[[#This Row],[Produto]],Tabela2[],8,0),0)</f>
        <v>0</v>
      </c>
      <c r="AJ407" s="35">
        <f ca="1">IFERROR(VLOOKUP(Tabela3[[#This Row],[Produto]],Tabela2[],13,0),0)</f>
        <v>15.600000000000001</v>
      </c>
      <c r="AK407" s="40" t="str">
        <f>IFERROR(VLOOKUP(Tabela3[[#This Row],[Produto]],Tabela2[],14,0),0)</f>
        <v>Senun</v>
      </c>
      <c r="AL407" s="40">
        <f>IFERROR(VLOOKUP(Tabela3[[#This Row],[Produto]],Tabela2[],15,0),0)</f>
        <v>3.5</v>
      </c>
      <c r="AM407" s="36">
        <f ca="1">(Tabela3[[#This Row],[Custo Usinagem]]+Tabela3[[#This Row],[Custo / Pç]])*1.2</f>
        <v>15.130040501525878</v>
      </c>
      <c r="AN407" s="36">
        <f ca="1">Tabela3[[#This Row],[Valor Mínimo Venda]]*1.15</f>
        <v>17.399546576754759</v>
      </c>
      <c r="AO407" s="36">
        <f ca="1">Tabela3[[#This Row],[Tabela 1]]*1.08</f>
        <v>18.791510302895141</v>
      </c>
      <c r="AP407" s="36">
        <f ca="1">Tabela3[[#This Row],[Tabela 2]]*1.15</f>
        <v>21.610236848329411</v>
      </c>
    </row>
    <row r="408" spans="1:42">
      <c r="A408" s="9">
        <v>45845</v>
      </c>
      <c r="B408" s="6" t="s">
        <v>245</v>
      </c>
      <c r="C408" s="14">
        <v>7072</v>
      </c>
      <c r="D408" s="6" t="s">
        <v>44</v>
      </c>
      <c r="E408" s="6" t="s">
        <v>47</v>
      </c>
      <c r="F408" s="6">
        <v>77</v>
      </c>
      <c r="G408" s="15">
        <v>0.34583333333333333</v>
      </c>
      <c r="H408" s="16">
        <v>0</v>
      </c>
      <c r="I408" s="35">
        <f ca="1">IFERROR(Tabela3[[#This Row],[Custo Total]]/Tabela3[[#This Row],[Aluminio Util]],0)</f>
        <v>25.730674062465742</v>
      </c>
      <c r="J408" s="35">
        <f ca="1">Tabela3[[#This Row],[Custo Total]]/Tabela3[[#This Row],[Realizado]]</f>
        <v>8.5425837887386269</v>
      </c>
      <c r="K408" s="37">
        <f>IFERROR(Tabela3[[#This Row],[Qtde Cx Produzida]]/Tabela3[[#This Row],[Tempo]]/24,0)</f>
        <v>9.2771084337349397</v>
      </c>
      <c r="L408" s="37">
        <f>Tabela3[[#This Row],[Qtde Cx Produzida]]*Tabela3[[#This Row],[Qdt Peça Placa]]</f>
        <v>308</v>
      </c>
      <c r="M408" s="37">
        <f>Tabela3[[#This Row],[Previsto]]-Tabela3[[#This Row],[Perda Pçs]]</f>
        <v>308</v>
      </c>
      <c r="N408" s="38">
        <f>IFERROR(Tabela3[[#This Row],[Perda Pçs]]/Tabela3[[#This Row],[Previsto]],0)</f>
        <v>0</v>
      </c>
      <c r="O408" s="39">
        <f>IFERROR(IF(Tabela3[[#This Row],[Qtde Cx Produzida]] &lt;&gt; 0, Tabela3[[#This Row],[Tempo]] / Tabela3[[#This Row],[Qtde Cx Produzida]], 0),0)</f>
        <v>4.4913419913419914E-3</v>
      </c>
      <c r="P408" s="57">
        <f>IFERROR(Tabela3[[#This Row],[Perda Pçs]]/Tabela3[[#This Row],[Qdt Peça Placa]],0)</f>
        <v>0</v>
      </c>
      <c r="Q408" s="37">
        <f>IFERROR(Tabela3[[#This Row],[Realizado]]*Tabela3[[#This Row],[Peso Util/Pç]],0)</f>
        <v>102.256</v>
      </c>
      <c r="R408" s="37">
        <f>IFERROR(Tabela3[[#This Row],[Peso Total Galho]]*Tabela3[[#This Row],[Qtde Cx Produzida]]*1.055,0)</f>
        <v>186.84049999999999</v>
      </c>
      <c r="S408" s="37">
        <f>(Tabela3[[#This Row],[Aluminio Bruto]]-Tabela3[[#This Row],[Aluminio Util]])*0.9</f>
        <v>76.126049999999992</v>
      </c>
      <c r="T408" s="37">
        <f>Tabela3[[#This Row],[Aluminio Bruto]]/OleoKGAluminio</f>
        <v>78.60355676755448</v>
      </c>
      <c r="U408" s="35">
        <f>IFERROR((VLOOKUP(Tabela3[[#This Row],[Moldador]],Tabela1[],5,)+(VLOOKUP(Tabela3[[#This Row],[Ajudante]],Tabela1[],5,))*3.5),0)</f>
        <v>99.95034583333333</v>
      </c>
      <c r="V408" s="35">
        <f>IFERROR(Tabela3[[#This Row],[Custo M.O. / H]]/((Tabela3[[#This Row],[Realizado]]/Tabela3[[#This Row],[Qdt Peça Placa]])/Tabela3[[#This Row],[Tempo]]/24),)</f>
        <v>10.773868446969697</v>
      </c>
      <c r="W408" s="35">
        <f>Tabela3[[#This Row],[Custo / Cx Moldada]]*Tabela3[[#This Row],[Qtde Cx Produzida]]</f>
        <v>829.58787041666665</v>
      </c>
      <c r="X408" s="35">
        <f ca="1">Tabela3[[#This Row],[Aluminio Util]]*Tabela3[[#This Row],[Custo/Kg]]</f>
        <v>1595.1936000000001</v>
      </c>
      <c r="Y408" s="35">
        <f>IFERROR(VLOOKUP(Tabela3[[#This Row],[Data]],Tabela461213[],2,1)*(Tabela3[[#This Row],[Qtde Cx Produzida]]*Tabela3[[#This Row],[Qde macho / CX]]*Tabela3[[#This Row],[Peso Macho]]),)</f>
        <v>0</v>
      </c>
      <c r="Z408" s="35">
        <f>IFERROR(Tabela3[[#This Row],[Qtde Oleo]]*(VLOOKUP(Tabela3[[#This Row],[Data]],CompraOleo[],3,TRUE))*1.05,0)</f>
        <v>206.33433651483054</v>
      </c>
      <c r="AA408" s="47">
        <f ca="1">(Tabela3[[#This Row],[Custo Oleo]]+Tabela3[[#This Row],[Custo Aluminio]]+Tabela3[[#This Row],[Custo M.O. Total]]+Tabela3[[#This Row],[Custo Machos]])</f>
        <v>2631.115806931497</v>
      </c>
      <c r="AB408" s="47">
        <f ca="1">Tabela3[[#This Row],[Custo Total]]*Tabela3[[#This Row],[% Perda]]</f>
        <v>0</v>
      </c>
      <c r="AC408" s="48">
        <f>IFERROR(VLOOKUP(Tabela3[[#This Row],[Produto]],Tabela2[],2,0),0)</f>
        <v>4</v>
      </c>
      <c r="AD408" s="48">
        <f>IFERROR(VLOOKUP(Tabela3[[#This Row],[Produto]],Tabela2[],3,0),0)</f>
        <v>0.33200000000000002</v>
      </c>
      <c r="AE408" s="48">
        <f>IFERROR(VLOOKUP(Tabela3[[#This Row],[Produto]],Tabela2[],4,0),0)</f>
        <v>2.2999999999999998</v>
      </c>
      <c r="AF408" s="48">
        <f>IFERROR(VLOOKUP(Tabela3[[#This Row],[Produto]],Tabela2[],5,0),0)</f>
        <v>0.8747999999999998</v>
      </c>
      <c r="AG408" s="40">
        <f>IFERROR(VLOOKUP(Tabela3[[#This Row],[Produto]],Tabela2[],6,0),0)</f>
        <v>0</v>
      </c>
      <c r="AH408" s="40">
        <f>IFERROR(VLOOKUP(Tabela3[[#This Row],[Produto]],Tabela2[],7,0),0)</f>
        <v>0</v>
      </c>
      <c r="AI408" s="40">
        <f>IFERROR(VLOOKUP(Tabela3[[#This Row],[Produto]],Tabela2[],8,0),0)</f>
        <v>0</v>
      </c>
      <c r="AJ408" s="35">
        <f ca="1">IFERROR(VLOOKUP(Tabela3[[#This Row],[Produto]],Tabela2[],13,0),0)</f>
        <v>15.600000000000001</v>
      </c>
      <c r="AK408" s="40" t="str">
        <f>IFERROR(VLOOKUP(Tabela3[[#This Row],[Produto]],Tabela2[],14,0),0)</f>
        <v>Senun</v>
      </c>
      <c r="AL408" s="40">
        <f>IFERROR(VLOOKUP(Tabela3[[#This Row],[Produto]],Tabela2[],15,0),0)</f>
        <v>3.5</v>
      </c>
      <c r="AM408" s="36">
        <f ca="1">(Tabela3[[#This Row],[Custo Usinagem]]+Tabela3[[#This Row],[Custo / Pç]])*1.2</f>
        <v>14.451100546486352</v>
      </c>
      <c r="AN408" s="36">
        <f ca="1">Tabela3[[#This Row],[Valor Mínimo Venda]]*1.15</f>
        <v>16.618765628459304</v>
      </c>
      <c r="AO408" s="36">
        <f ca="1">Tabela3[[#This Row],[Tabela 1]]*1.08</f>
        <v>17.94826687873605</v>
      </c>
      <c r="AP408" s="36">
        <f ca="1">Tabela3[[#This Row],[Tabela 2]]*1.15</f>
        <v>20.640506910546456</v>
      </c>
    </row>
    <row r="409" spans="1:42">
      <c r="A409" s="9">
        <v>45845</v>
      </c>
      <c r="B409" s="6" t="s">
        <v>247</v>
      </c>
      <c r="C409" s="14">
        <v>7083</v>
      </c>
      <c r="D409" s="6" t="s">
        <v>46</v>
      </c>
      <c r="E409" s="6" t="s">
        <v>53</v>
      </c>
      <c r="F409" s="6">
        <v>75</v>
      </c>
      <c r="G409" s="15">
        <v>0.33333333333333331</v>
      </c>
      <c r="H409" s="16">
        <v>0</v>
      </c>
      <c r="I409" s="35">
        <f ca="1">IFERROR(Tabela3[[#This Row],[Custo Total]]/Tabela3[[#This Row],[Aluminio Util]],0)</f>
        <v>26.717530775172534</v>
      </c>
      <c r="J409" s="35">
        <f ca="1">Tabela3[[#This Row],[Custo Total]]/Tabela3[[#This Row],[Realizado]]</f>
        <v>8.0152592325517595</v>
      </c>
      <c r="K409" s="37">
        <f>IFERROR(Tabela3[[#This Row],[Qtde Cx Produzida]]/Tabela3[[#This Row],[Tempo]]/24,0)</f>
        <v>9.375</v>
      </c>
      <c r="L409" s="37">
        <f>Tabela3[[#This Row],[Qtde Cx Produzida]]*Tabela3[[#This Row],[Qdt Peça Placa]]</f>
        <v>300</v>
      </c>
      <c r="M409" s="37">
        <f>Tabela3[[#This Row],[Previsto]]-Tabela3[[#This Row],[Perda Pçs]]</f>
        <v>300</v>
      </c>
      <c r="N409" s="38">
        <f>IFERROR(Tabela3[[#This Row],[Perda Pçs]]/Tabela3[[#This Row],[Previsto]],0)</f>
        <v>0</v>
      </c>
      <c r="O409" s="39">
        <f>IFERROR(IF(Tabela3[[#This Row],[Qtde Cx Produzida]] &lt;&gt; 0, Tabela3[[#This Row],[Tempo]] / Tabela3[[#This Row],[Qtde Cx Produzida]], 0),0)</f>
        <v>4.4444444444444444E-3</v>
      </c>
      <c r="P409" s="57">
        <f>IFERROR(Tabela3[[#This Row],[Perda Pçs]]/Tabela3[[#This Row],[Qdt Peça Placa]],0)</f>
        <v>0</v>
      </c>
      <c r="Q409" s="37">
        <f>IFERROR(Tabela3[[#This Row],[Realizado]]*Tabela3[[#This Row],[Peso Util/Pç]],0)</f>
        <v>90</v>
      </c>
      <c r="R409" s="37">
        <f>IFERROR(Tabela3[[#This Row],[Peso Total Galho]]*Tabela3[[#This Row],[Qtde Cx Produzida]]*1.055,0)</f>
        <v>181.98749999999998</v>
      </c>
      <c r="S409" s="37">
        <f>(Tabela3[[#This Row],[Aluminio Bruto]]-Tabela3[[#This Row],[Aluminio Util]])*0.9</f>
        <v>82.788749999999993</v>
      </c>
      <c r="T409" s="37">
        <f>Tabela3[[#This Row],[Aluminio Bruto]]/OleoKGAluminio</f>
        <v>76.561905942423195</v>
      </c>
      <c r="U409" s="35">
        <f>IFERROR((VLOOKUP(Tabela3[[#This Row],[Moldador]],Tabela1[],5,)+(VLOOKUP(Tabela3[[#This Row],[Ajudante]],Tabela1[],5,))*3.5),0)</f>
        <v>99.95034583333333</v>
      </c>
      <c r="V409" s="35">
        <f>IFERROR(Tabela3[[#This Row],[Custo M.O. / H]]/((Tabela3[[#This Row],[Realizado]]/Tabela3[[#This Row],[Qdt Peça Placa]])/Tabela3[[#This Row],[Tempo]]/24),)</f>
        <v>10.661370222222223</v>
      </c>
      <c r="W409" s="35">
        <f>Tabela3[[#This Row],[Custo / Cx Moldada]]*Tabela3[[#This Row],[Qtde Cx Produzida]]</f>
        <v>799.60276666666675</v>
      </c>
      <c r="X409" s="35">
        <f ca="1">Tabela3[[#This Row],[Aluminio Util]]*Tabela3[[#This Row],[Custo/Kg]]</f>
        <v>1404.0000000000002</v>
      </c>
      <c r="Y409" s="35">
        <f>IFERROR(VLOOKUP(Tabela3[[#This Row],[Data]],Tabela461213[],2,1)*(Tabela3[[#This Row],[Qtde Cx Produzida]]*Tabela3[[#This Row],[Qde macho / CX]]*Tabela3[[#This Row],[Peso Macho]]),)</f>
        <v>0</v>
      </c>
      <c r="Z409" s="35">
        <f>IFERROR(Tabela3[[#This Row],[Qtde Oleo]]*(VLOOKUP(Tabela3[[#This Row],[Data]],CompraOleo[],3,TRUE))*1.05,0)</f>
        <v>200.9750030988609</v>
      </c>
      <c r="AA409" s="47">
        <f ca="1">(Tabela3[[#This Row],[Custo Oleo]]+Tabela3[[#This Row],[Custo Aluminio]]+Tabela3[[#This Row],[Custo M.O. Total]]+Tabela3[[#This Row],[Custo Machos]])</f>
        <v>2404.577769765528</v>
      </c>
      <c r="AB409" s="47">
        <f ca="1">Tabela3[[#This Row],[Custo Total]]*Tabela3[[#This Row],[% Perda]]</f>
        <v>0</v>
      </c>
      <c r="AC409" s="48">
        <f>IFERROR(VLOOKUP(Tabela3[[#This Row],[Produto]],Tabela2[],2,0),0)</f>
        <v>4</v>
      </c>
      <c r="AD409" s="48">
        <f>IFERROR(VLOOKUP(Tabela3[[#This Row],[Produto]],Tabela2[],3,0),0)</f>
        <v>0.3</v>
      </c>
      <c r="AE409" s="48">
        <f>IFERROR(VLOOKUP(Tabela3[[#This Row],[Produto]],Tabela2[],4,0),0)</f>
        <v>2.2999999999999998</v>
      </c>
      <c r="AF409" s="48">
        <f>IFERROR(VLOOKUP(Tabela3[[#This Row],[Produto]],Tabela2[],5,0),0)</f>
        <v>0.98999999999999988</v>
      </c>
      <c r="AG409" s="40">
        <f>IFERROR(VLOOKUP(Tabela3[[#This Row],[Produto]],Tabela2[],6,0),0)</f>
        <v>0</v>
      </c>
      <c r="AH409" s="40">
        <f>IFERROR(VLOOKUP(Tabela3[[#This Row],[Produto]],Tabela2[],7,0),0)</f>
        <v>0</v>
      </c>
      <c r="AI409" s="40">
        <f>IFERROR(VLOOKUP(Tabela3[[#This Row],[Produto]],Tabela2[],8,0),0)</f>
        <v>0</v>
      </c>
      <c r="AJ409" s="35">
        <f ca="1">IFERROR(VLOOKUP(Tabela3[[#This Row],[Produto]],Tabela2[],13,0),0)</f>
        <v>15.600000000000001</v>
      </c>
      <c r="AK409" s="40" t="str">
        <f>IFERROR(VLOOKUP(Tabela3[[#This Row],[Produto]],Tabela2[],14,0),0)</f>
        <v>Senun</v>
      </c>
      <c r="AL409" s="40">
        <f>IFERROR(VLOOKUP(Tabela3[[#This Row],[Produto]],Tabela2[],15,0),0)</f>
        <v>3.5</v>
      </c>
      <c r="AM409" s="36">
        <f ca="1">(Tabela3[[#This Row],[Custo Usinagem]]+Tabela3[[#This Row],[Custo / Pç]])*1.2</f>
        <v>13.818311079062111</v>
      </c>
      <c r="AN409" s="36">
        <f ca="1">Tabela3[[#This Row],[Valor Mínimo Venda]]*1.15</f>
        <v>15.891057740921427</v>
      </c>
      <c r="AO409" s="36">
        <f ca="1">Tabela3[[#This Row],[Tabela 1]]*1.08</f>
        <v>17.162342360195144</v>
      </c>
      <c r="AP409" s="36">
        <f ca="1">Tabela3[[#This Row],[Tabela 2]]*1.15</f>
        <v>19.736693714224415</v>
      </c>
    </row>
    <row r="410" spans="1:42">
      <c r="A410" s="9">
        <v>45846</v>
      </c>
      <c r="B410" s="6" t="s">
        <v>91</v>
      </c>
      <c r="C410" s="14">
        <v>7078</v>
      </c>
      <c r="D410" s="6" t="s">
        <v>46</v>
      </c>
      <c r="E410" s="6" t="s">
        <v>53</v>
      </c>
      <c r="F410" s="6">
        <v>15</v>
      </c>
      <c r="G410" s="15">
        <v>9.8611111111111108E-2</v>
      </c>
      <c r="H410" s="16">
        <v>0</v>
      </c>
      <c r="I410" s="35">
        <f ca="1">IFERROR(Tabela3[[#This Row],[Custo Total]]/Tabela3[[#This Row],[Aluminio Util]],0)</f>
        <v>40.006430351516507</v>
      </c>
      <c r="J410" s="35">
        <f ca="1">Tabela3[[#This Row],[Custo Total]]/Tabela3[[#This Row],[Realizado]]</f>
        <v>31.365041395588943</v>
      </c>
      <c r="K410" s="37">
        <f>IFERROR(Tabela3[[#This Row],[Qtde Cx Produzida]]/Tabela3[[#This Row],[Tempo]]/24,0)</f>
        <v>6.3380281690140849</v>
      </c>
      <c r="L410" s="37">
        <f>Tabela3[[#This Row],[Qtde Cx Produzida]]*Tabela3[[#This Row],[Qdt Peça Placa]]</f>
        <v>60</v>
      </c>
      <c r="M410" s="37">
        <f>Tabela3[[#This Row],[Previsto]]-Tabela3[[#This Row],[Perda Pçs]]</f>
        <v>60</v>
      </c>
      <c r="N410" s="38">
        <f>IFERROR(Tabela3[[#This Row],[Perda Pçs]]/Tabela3[[#This Row],[Previsto]],0)</f>
        <v>0</v>
      </c>
      <c r="O410" s="39">
        <f>IFERROR(IF(Tabela3[[#This Row],[Qtde Cx Produzida]] &lt;&gt; 0, Tabela3[[#This Row],[Tempo]] / Tabela3[[#This Row],[Qtde Cx Produzida]], 0),0)</f>
        <v>6.5740740740740742E-3</v>
      </c>
      <c r="P410" s="57">
        <f>IFERROR(Tabela3[[#This Row],[Perda Pçs]]/Tabela3[[#This Row],[Qdt Peça Placa]],0)</f>
        <v>0</v>
      </c>
      <c r="Q410" s="37">
        <f>IFERROR(Tabela3[[#This Row],[Realizado]]*Tabela3[[#This Row],[Peso Util/Pç]],0)</f>
        <v>47.04</v>
      </c>
      <c r="R410" s="37">
        <f>IFERROR(Tabela3[[#This Row],[Peso Total Galho]]*Tabela3[[#This Row],[Qtde Cx Produzida]]*1.055,0)</f>
        <v>87.7971</v>
      </c>
      <c r="S410" s="37">
        <f>(Tabela3[[#This Row],[Aluminio Bruto]]-Tabela3[[#This Row],[Aluminio Util]])*0.9</f>
        <v>36.68139</v>
      </c>
      <c r="T410" s="37">
        <f>Tabela3[[#This Row],[Aluminio Bruto]]/OleoKGAluminio</f>
        <v>36.936126449440337</v>
      </c>
      <c r="U410" s="35">
        <f>IFERROR((VLOOKUP(Tabela3[[#This Row],[Moldador]],Tabela1[],5,)+(VLOOKUP(Tabela3[[#This Row],[Ajudante]],Tabela1[],5,))*3.5),0)</f>
        <v>99.95034583333333</v>
      </c>
      <c r="V410" s="35">
        <f>IFERROR(Tabela3[[#This Row],[Custo M.O. / H]]/((Tabela3[[#This Row],[Realizado]]/Tabela3[[#This Row],[Qdt Peça Placa]])/Tabela3[[#This Row],[Tempo]]/24),)</f>
        <v>15.769943453703702</v>
      </c>
      <c r="W410" s="35">
        <f>Tabela3[[#This Row],[Custo / Cx Moldada]]*Tabela3[[#This Row],[Qtde Cx Produzida]]</f>
        <v>236.54915180555554</v>
      </c>
      <c r="X410" s="35">
        <f ca="1">Tabela3[[#This Row],[Aluminio Util]]*Tabela3[[#This Row],[Custo/Kg]]</f>
        <v>733.82400000000007</v>
      </c>
      <c r="Y410" s="35">
        <f>IFERROR(VLOOKUP(Tabela3[[#This Row],[Data]],Tabela461213[],2,1)*(Tabela3[[#This Row],[Qtde Cx Produzida]]*Tabela3[[#This Row],[Qde macho / CX]]*Tabela3[[#This Row],[Peso Macho]]),)</f>
        <v>814.57199999999989</v>
      </c>
      <c r="Z410" s="35">
        <f>IFERROR(Tabela3[[#This Row],[Qtde Oleo]]*(VLOOKUP(Tabela3[[#This Row],[Data]],CompraOleo[],3,TRUE))*1.05,0)</f>
        <v>96.957331929780892</v>
      </c>
      <c r="AA410" s="47">
        <f ca="1">(Tabela3[[#This Row],[Custo Oleo]]+Tabela3[[#This Row],[Custo Aluminio]]+Tabela3[[#This Row],[Custo M.O. Total]]+Tabela3[[#This Row],[Custo Machos]])</f>
        <v>1881.9024837353365</v>
      </c>
      <c r="AB410" s="47">
        <f ca="1">Tabela3[[#This Row],[Custo Total]]*Tabela3[[#This Row],[% Perda]]</f>
        <v>0</v>
      </c>
      <c r="AC410" s="48">
        <f>IFERROR(VLOOKUP(Tabela3[[#This Row],[Produto]],Tabela2[],2,0),0)</f>
        <v>4</v>
      </c>
      <c r="AD410" s="48">
        <f>IFERROR(VLOOKUP(Tabela3[[#This Row],[Produto]],Tabela2[],3,0),0)</f>
        <v>0.78400000000000003</v>
      </c>
      <c r="AE410" s="48">
        <f>IFERROR(VLOOKUP(Tabela3[[#This Row],[Produto]],Tabela2[],4,0),0)</f>
        <v>5.548</v>
      </c>
      <c r="AF410" s="48">
        <f>IFERROR(VLOOKUP(Tabela3[[#This Row],[Produto]],Tabela2[],5,0),0)</f>
        <v>2.1707999999999998</v>
      </c>
      <c r="AG410" s="40">
        <f>IFERROR(VLOOKUP(Tabela3[[#This Row],[Produto]],Tabela2[],6,0),0)</f>
        <v>0</v>
      </c>
      <c r="AH410" s="40">
        <f>IFERROR(VLOOKUP(Tabela3[[#This Row],[Produto]],Tabela2[],7,0),0)</f>
        <v>12</v>
      </c>
      <c r="AI410" s="40">
        <f>IFERROR(VLOOKUP(Tabela3[[#This Row],[Produto]],Tabela2[],8,0),0)</f>
        <v>2.6619999999999999</v>
      </c>
      <c r="AJ410" s="35">
        <f ca="1">IFERROR(VLOOKUP(Tabela3[[#This Row],[Produto]],Tabela2[],13,0),0)</f>
        <v>15.600000000000001</v>
      </c>
      <c r="AK410" s="40" t="str">
        <f>IFERROR(VLOOKUP(Tabela3[[#This Row],[Produto]],Tabela2[],14,0),0)</f>
        <v>Jumil</v>
      </c>
      <c r="AL410" s="40">
        <f>IFERROR(VLOOKUP(Tabela3[[#This Row],[Produto]],Tabela2[],15,0),0)</f>
        <v>8</v>
      </c>
      <c r="AM410" s="36">
        <f ca="1">(Tabela3[[#This Row],[Custo Usinagem]]+Tabela3[[#This Row],[Custo / Pç]])*1.2</f>
        <v>47.238049674706737</v>
      </c>
      <c r="AN410" s="36">
        <f ca="1">Tabela3[[#This Row],[Valor Mínimo Venda]]*1.15</f>
        <v>54.323757125912742</v>
      </c>
      <c r="AO410" s="36">
        <f ca="1">Tabela3[[#This Row],[Tabela 1]]*1.08</f>
        <v>58.669657695985762</v>
      </c>
      <c r="AP410" s="36">
        <f ca="1">Tabela3[[#This Row],[Tabela 2]]*1.15</f>
        <v>67.470106350383617</v>
      </c>
    </row>
    <row r="411" spans="1:42">
      <c r="A411" s="9">
        <v>45846</v>
      </c>
      <c r="B411" s="6" t="s">
        <v>229</v>
      </c>
      <c r="C411" s="14">
        <v>7011</v>
      </c>
      <c r="D411" s="6" t="s">
        <v>46</v>
      </c>
      <c r="E411" s="6" t="s">
        <v>53</v>
      </c>
      <c r="F411" s="6">
        <v>23</v>
      </c>
      <c r="G411" s="15">
        <v>0.11805555555555555</v>
      </c>
      <c r="H411" s="16">
        <v>0</v>
      </c>
      <c r="I411" s="35">
        <f ca="1">IFERROR(Tabela3[[#This Row],[Custo Total]]/Tabela3[[#This Row],[Aluminio Util]],0)</f>
        <v>21.541620631420741</v>
      </c>
      <c r="J411" s="35">
        <f ca="1">Tabela3[[#This Row],[Custo Total]]/Tabela3[[#This Row],[Realizado]]</f>
        <v>60.058038320401018</v>
      </c>
      <c r="K411" s="37">
        <f>IFERROR(Tabela3[[#This Row],[Qtde Cx Produzida]]/Tabela3[[#This Row],[Tempo]]/24,0)</f>
        <v>8.1176470588235308</v>
      </c>
      <c r="L411" s="37">
        <f>Tabela3[[#This Row],[Qtde Cx Produzida]]*Tabela3[[#This Row],[Qdt Peça Placa]]</f>
        <v>23</v>
      </c>
      <c r="M411" s="37">
        <f>Tabela3[[#This Row],[Previsto]]-Tabela3[[#This Row],[Perda Pçs]]</f>
        <v>23</v>
      </c>
      <c r="N411" s="38">
        <f>IFERROR(Tabela3[[#This Row],[Perda Pçs]]/Tabela3[[#This Row],[Previsto]],0)</f>
        <v>0</v>
      </c>
      <c r="O411" s="39">
        <f>IFERROR(IF(Tabela3[[#This Row],[Qtde Cx Produzida]] &lt;&gt; 0, Tabela3[[#This Row],[Tempo]] / Tabela3[[#This Row],[Qtde Cx Produzida]], 0),0)</f>
        <v>5.132850241545894E-3</v>
      </c>
      <c r="P411" s="57">
        <f>IFERROR(Tabela3[[#This Row],[Perda Pçs]]/Tabela3[[#This Row],[Qdt Peça Placa]],0)</f>
        <v>0</v>
      </c>
      <c r="Q411" s="37">
        <f>IFERROR(Tabela3[[#This Row],[Realizado]]*Tabela3[[#This Row],[Peso Util/Pç]],0)</f>
        <v>64.123999999999995</v>
      </c>
      <c r="R411" s="37">
        <f>IFERROR(Tabela3[[#This Row],[Peso Total Galho]]*Tabela3[[#This Row],[Qtde Cx Produzida]]*1.055,0)</f>
        <v>88.567250000000001</v>
      </c>
      <c r="S411" s="37">
        <f>(Tabela3[[#This Row],[Aluminio Bruto]]-Tabela3[[#This Row],[Aluminio Util]])*0.9</f>
        <v>21.998925000000007</v>
      </c>
      <c r="T411" s="37">
        <f>Tabela3[[#This Row],[Aluminio Bruto]]/OleoKGAluminio</f>
        <v>37.260127558645955</v>
      </c>
      <c r="U411" s="35">
        <f>IFERROR((VLOOKUP(Tabela3[[#This Row],[Moldador]],Tabela1[],5,)+(VLOOKUP(Tabela3[[#This Row],[Ajudante]],Tabela1[],5,))*3.5),0)</f>
        <v>99.95034583333333</v>
      </c>
      <c r="V411" s="35">
        <f>IFERROR(Tabela3[[#This Row],[Custo M.O. / H]]/((Tabela3[[#This Row],[Realizado]]/Tabela3[[#This Row],[Qdt Peça Placa]])/Tabela3[[#This Row],[Tempo]]/24),)</f>
        <v>12.312723762077292</v>
      </c>
      <c r="W411" s="35">
        <f>Tabela3[[#This Row],[Custo / Cx Moldada]]*Tabela3[[#This Row],[Qtde Cx Produzida]]</f>
        <v>283.1926465277777</v>
      </c>
      <c r="X411" s="35">
        <f ca="1">Tabela3[[#This Row],[Aluminio Util]]*Tabela3[[#This Row],[Custo/Kg]]</f>
        <v>1000.3344000000001</v>
      </c>
      <c r="Y411" s="35">
        <f>IFERROR(VLOOKUP(Tabela3[[#This Row],[Data]],Tabela461213[],2,1)*(Tabela3[[#This Row],[Qtde Cx Produzida]]*Tabela3[[#This Row],[Qde macho / CX]]*Tabela3[[#This Row],[Peso Macho]]),)</f>
        <v>0</v>
      </c>
      <c r="Z411" s="35">
        <f>IFERROR(Tabela3[[#This Row],[Qtde Oleo]]*(VLOOKUP(Tabela3[[#This Row],[Data]],CompraOleo[],3,TRUE))*1.05,0)</f>
        <v>97.80783484144564</v>
      </c>
      <c r="AA411" s="47">
        <f ca="1">(Tabela3[[#This Row],[Custo Oleo]]+Tabela3[[#This Row],[Custo Aluminio]]+Tabela3[[#This Row],[Custo M.O. Total]]+Tabela3[[#This Row],[Custo Machos]])</f>
        <v>1381.3348813692235</v>
      </c>
      <c r="AB411" s="47">
        <f ca="1">Tabela3[[#This Row],[Custo Total]]*Tabela3[[#This Row],[% Perda]]</f>
        <v>0</v>
      </c>
      <c r="AC411" s="48">
        <f>IFERROR(VLOOKUP(Tabela3[[#This Row],[Produto]],Tabela2[],2,0),0)</f>
        <v>1</v>
      </c>
      <c r="AD411" s="48">
        <f>IFERROR(VLOOKUP(Tabela3[[#This Row],[Produto]],Tabela2[],3,0),0)</f>
        <v>2.7879999999999998</v>
      </c>
      <c r="AE411" s="48">
        <f>IFERROR(VLOOKUP(Tabela3[[#This Row],[Produto]],Tabela2[],4,0),0)</f>
        <v>3.65</v>
      </c>
      <c r="AF411" s="48">
        <f>IFERROR(VLOOKUP(Tabela3[[#This Row],[Produto]],Tabela2[],5,0),0)</f>
        <v>0.77580000000000016</v>
      </c>
      <c r="AG411" s="40">
        <f>IFERROR(VLOOKUP(Tabela3[[#This Row],[Produto]],Tabela2[],6,0),0)</f>
        <v>0</v>
      </c>
      <c r="AH411" s="40">
        <f>IFERROR(VLOOKUP(Tabela3[[#This Row],[Produto]],Tabela2[],7,0),0)</f>
        <v>0</v>
      </c>
      <c r="AI411" s="40">
        <f>IFERROR(VLOOKUP(Tabela3[[#This Row],[Produto]],Tabela2[],8,0),0)</f>
        <v>0</v>
      </c>
      <c r="AJ411" s="35">
        <f ca="1">IFERROR(VLOOKUP(Tabela3[[#This Row],[Produto]],Tabela2[],13,0),0)</f>
        <v>15.600000000000001</v>
      </c>
      <c r="AK411" s="40" t="str">
        <f>IFERROR(VLOOKUP(Tabela3[[#This Row],[Produto]],Tabela2[],14,0),0)</f>
        <v>Jumil</v>
      </c>
      <c r="AL411" s="40">
        <f>IFERROR(VLOOKUP(Tabela3[[#This Row],[Produto]],Tabela2[],15,0),0)</f>
        <v>35</v>
      </c>
      <c r="AM411" s="36">
        <f ca="1">(Tabela3[[#This Row],[Custo Usinagem]]+Tabela3[[#This Row],[Custo / Pç]])*1.2</f>
        <v>114.06964598448121</v>
      </c>
      <c r="AN411" s="36">
        <f ca="1">Tabela3[[#This Row],[Valor Mínimo Venda]]*1.15</f>
        <v>131.18009288215339</v>
      </c>
      <c r="AO411" s="36">
        <f ca="1">Tabela3[[#This Row],[Tabela 1]]*1.08</f>
        <v>141.67450031272566</v>
      </c>
      <c r="AP411" s="36">
        <f ca="1">Tabela3[[#This Row],[Tabela 2]]*1.15</f>
        <v>162.92567535963448</v>
      </c>
    </row>
    <row r="412" spans="1:42">
      <c r="A412" s="9">
        <v>45846</v>
      </c>
      <c r="B412" s="6" t="s">
        <v>245</v>
      </c>
      <c r="C412" s="14">
        <v>7083</v>
      </c>
      <c r="D412" s="6" t="s">
        <v>46</v>
      </c>
      <c r="E412" s="6" t="s">
        <v>53</v>
      </c>
      <c r="F412" s="6">
        <v>17</v>
      </c>
      <c r="G412" s="15">
        <v>9.7916666666666666E-2</v>
      </c>
      <c r="H412" s="16">
        <v>0</v>
      </c>
      <c r="I412" s="35">
        <f ca="1">IFERROR(Tabela3[[#This Row],[Custo Total]]/Tabela3[[#This Row],[Aluminio Util]],0)</f>
        <v>28.021936868536283</v>
      </c>
      <c r="J412" s="35">
        <f ca="1">Tabela3[[#This Row],[Custo Total]]/Tabela3[[#This Row],[Realizado]]</f>
        <v>9.3032830403540459</v>
      </c>
      <c r="K412" s="37">
        <f>IFERROR(Tabela3[[#This Row],[Qtde Cx Produzida]]/Tabela3[[#This Row],[Tempo]]/24,0)</f>
        <v>7.2340425531914896</v>
      </c>
      <c r="L412" s="37">
        <f>Tabela3[[#This Row],[Qtde Cx Produzida]]*Tabela3[[#This Row],[Qdt Peça Placa]]</f>
        <v>68</v>
      </c>
      <c r="M412" s="37">
        <f>Tabela3[[#This Row],[Previsto]]-Tabela3[[#This Row],[Perda Pçs]]</f>
        <v>68</v>
      </c>
      <c r="N412" s="38">
        <f>IFERROR(Tabela3[[#This Row],[Perda Pçs]]/Tabela3[[#This Row],[Previsto]],0)</f>
        <v>0</v>
      </c>
      <c r="O412" s="39">
        <f>IFERROR(IF(Tabela3[[#This Row],[Qtde Cx Produzida]] &lt;&gt; 0, Tabela3[[#This Row],[Tempo]] / Tabela3[[#This Row],[Qtde Cx Produzida]], 0),0)</f>
        <v>5.7598039215686278E-3</v>
      </c>
      <c r="P412" s="57">
        <f>IFERROR(Tabela3[[#This Row],[Perda Pçs]]/Tabela3[[#This Row],[Qdt Peça Placa]],0)</f>
        <v>0</v>
      </c>
      <c r="Q412" s="37">
        <f>IFERROR(Tabela3[[#This Row],[Realizado]]*Tabela3[[#This Row],[Peso Util/Pç]],0)</f>
        <v>22.576000000000001</v>
      </c>
      <c r="R412" s="37">
        <f>IFERROR(Tabela3[[#This Row],[Peso Total Galho]]*Tabela3[[#This Row],[Qtde Cx Produzida]]*1.055,0)</f>
        <v>41.250499999999988</v>
      </c>
      <c r="S412" s="37">
        <f>(Tabela3[[#This Row],[Aluminio Bruto]]-Tabela3[[#This Row],[Aluminio Util]])*0.9</f>
        <v>16.80704999999999</v>
      </c>
      <c r="T412" s="37">
        <f>Tabela3[[#This Row],[Aluminio Bruto]]/OleoKGAluminio</f>
        <v>17.354032013615921</v>
      </c>
      <c r="U412" s="35">
        <f>IFERROR((VLOOKUP(Tabela3[[#This Row],[Moldador]],Tabela1[],5,)+(VLOOKUP(Tabela3[[#This Row],[Ajudante]],Tabela1[],5,))*3.5),0)</f>
        <v>99.95034583333333</v>
      </c>
      <c r="V412" s="35">
        <f>IFERROR(Tabela3[[#This Row],[Custo M.O. / H]]/((Tabela3[[#This Row],[Realizado]]/Tabela3[[#This Row],[Qdt Peça Placa]])/Tabela3[[#This Row],[Tempo]]/24),)</f>
        <v>13.816665453431371</v>
      </c>
      <c r="W412" s="35">
        <f>Tabela3[[#This Row],[Custo / Cx Moldada]]*Tabela3[[#This Row],[Qtde Cx Produzida]]</f>
        <v>234.88331270833331</v>
      </c>
      <c r="X412" s="35">
        <f ca="1">Tabela3[[#This Row],[Aluminio Util]]*Tabela3[[#This Row],[Custo/Kg]]</f>
        <v>352.18560000000002</v>
      </c>
      <c r="Y412" s="35">
        <f>IFERROR(VLOOKUP(Tabela3[[#This Row],[Data]],Tabela461213[],2,1)*(Tabela3[[#This Row],[Qtde Cx Produzida]]*Tabela3[[#This Row],[Qde macho / CX]]*Tabela3[[#This Row],[Peso Macho]]),)</f>
        <v>0</v>
      </c>
      <c r="Z412" s="35">
        <f>IFERROR(Tabela3[[#This Row],[Qtde Oleo]]*(VLOOKUP(Tabela3[[#This Row],[Data]],CompraOleo[],3,TRUE))*1.05,0)</f>
        <v>45.554334035741796</v>
      </c>
      <c r="AA412" s="47">
        <f ca="1">(Tabela3[[#This Row],[Custo Oleo]]+Tabela3[[#This Row],[Custo Aluminio]]+Tabela3[[#This Row],[Custo M.O. Total]]+Tabela3[[#This Row],[Custo Machos]])</f>
        <v>632.62324674407512</v>
      </c>
      <c r="AB412" s="47">
        <f ca="1">Tabela3[[#This Row],[Custo Total]]*Tabela3[[#This Row],[% Perda]]</f>
        <v>0</v>
      </c>
      <c r="AC412" s="48">
        <f>IFERROR(VLOOKUP(Tabela3[[#This Row],[Produto]],Tabela2[],2,0),0)</f>
        <v>4</v>
      </c>
      <c r="AD412" s="48">
        <f>IFERROR(VLOOKUP(Tabela3[[#This Row],[Produto]],Tabela2[],3,0),0)</f>
        <v>0.33200000000000002</v>
      </c>
      <c r="AE412" s="48">
        <f>IFERROR(VLOOKUP(Tabela3[[#This Row],[Produto]],Tabela2[],4,0),0)</f>
        <v>2.2999999999999998</v>
      </c>
      <c r="AF412" s="48">
        <f>IFERROR(VLOOKUP(Tabela3[[#This Row],[Produto]],Tabela2[],5,0),0)</f>
        <v>0.8747999999999998</v>
      </c>
      <c r="AG412" s="40">
        <f>IFERROR(VLOOKUP(Tabela3[[#This Row],[Produto]],Tabela2[],6,0),0)</f>
        <v>0</v>
      </c>
      <c r="AH412" s="40">
        <f>IFERROR(VLOOKUP(Tabela3[[#This Row],[Produto]],Tabela2[],7,0),0)</f>
        <v>0</v>
      </c>
      <c r="AI412" s="40">
        <f>IFERROR(VLOOKUP(Tabela3[[#This Row],[Produto]],Tabela2[],8,0),0)</f>
        <v>0</v>
      </c>
      <c r="AJ412" s="35">
        <f ca="1">IFERROR(VLOOKUP(Tabela3[[#This Row],[Produto]],Tabela2[],13,0),0)</f>
        <v>15.600000000000001</v>
      </c>
      <c r="AK412" s="40" t="str">
        <f>IFERROR(VLOOKUP(Tabela3[[#This Row],[Produto]],Tabela2[],14,0),0)</f>
        <v>Senun</v>
      </c>
      <c r="AL412" s="40">
        <f>IFERROR(VLOOKUP(Tabela3[[#This Row],[Produto]],Tabela2[],15,0),0)</f>
        <v>3.5</v>
      </c>
      <c r="AM412" s="36">
        <f ca="1">(Tabela3[[#This Row],[Custo Usinagem]]+Tabela3[[#This Row],[Custo / Pç]])*1.2</f>
        <v>15.363939648424854</v>
      </c>
      <c r="AN412" s="36">
        <f ca="1">Tabela3[[#This Row],[Valor Mínimo Venda]]*1.15</f>
        <v>17.66853059568858</v>
      </c>
      <c r="AO412" s="36">
        <f ca="1">Tabela3[[#This Row],[Tabela 1]]*1.08</f>
        <v>19.082013043343668</v>
      </c>
      <c r="AP412" s="36">
        <f ca="1">Tabela3[[#This Row],[Tabela 2]]*1.15</f>
        <v>21.944314999845215</v>
      </c>
    </row>
    <row r="413" spans="1:42">
      <c r="A413" s="9">
        <v>45846</v>
      </c>
      <c r="B413" s="6" t="s">
        <v>105</v>
      </c>
      <c r="C413" s="14">
        <v>7077</v>
      </c>
      <c r="D413" s="6" t="s">
        <v>46</v>
      </c>
      <c r="E413" s="6" t="s">
        <v>53</v>
      </c>
      <c r="F413" s="6">
        <v>5</v>
      </c>
      <c r="G413" s="15">
        <v>2.7083333333333334E-2</v>
      </c>
      <c r="H413" s="16">
        <v>0</v>
      </c>
      <c r="I413" s="35">
        <f ca="1">IFERROR(Tabela3[[#This Row],[Custo Total]]/Tabela3[[#This Row],[Aluminio Util]],0)</f>
        <v>22.247381433136464</v>
      </c>
      <c r="J413" s="35">
        <f ca="1">Tabela3[[#This Row],[Custo Total]]/Tabela3[[#This Row],[Realizado]]</f>
        <v>17.352957517846445</v>
      </c>
      <c r="K413" s="37">
        <f>IFERROR(Tabela3[[#This Row],[Qtde Cx Produzida]]/Tabela3[[#This Row],[Tempo]]/24,0)</f>
        <v>7.6923076923076925</v>
      </c>
      <c r="L413" s="37">
        <f>Tabela3[[#This Row],[Qtde Cx Produzida]]*Tabela3[[#This Row],[Qdt Peça Placa]]</f>
        <v>30</v>
      </c>
      <c r="M413" s="37">
        <f>Tabela3[[#This Row],[Previsto]]-Tabela3[[#This Row],[Perda Pçs]]</f>
        <v>30</v>
      </c>
      <c r="N413" s="38">
        <f>IFERROR(Tabela3[[#This Row],[Perda Pçs]]/Tabela3[[#This Row],[Previsto]],0)</f>
        <v>0</v>
      </c>
      <c r="O413" s="39">
        <f>IFERROR(IF(Tabela3[[#This Row],[Qtde Cx Produzida]] &lt;&gt; 0, Tabela3[[#This Row],[Tempo]] / Tabela3[[#This Row],[Qtde Cx Produzida]], 0),0)</f>
        <v>5.4166666666666669E-3</v>
      </c>
      <c r="P413" s="57">
        <f>IFERROR(Tabela3[[#This Row],[Perda Pçs]]/Tabela3[[#This Row],[Qdt Peça Placa]],0)</f>
        <v>0</v>
      </c>
      <c r="Q413" s="37">
        <f>IFERROR(Tabela3[[#This Row],[Realizado]]*Tabela3[[#This Row],[Peso Util/Pç]],0)</f>
        <v>23.400000000000002</v>
      </c>
      <c r="R413" s="37">
        <f>IFERROR(Tabela3[[#This Row],[Peso Total Galho]]*Tabela3[[#This Row],[Qtde Cx Produzida]]*1.055,0)</f>
        <v>43.676999999999992</v>
      </c>
      <c r="S413" s="37">
        <f>(Tabela3[[#This Row],[Aluminio Bruto]]-Tabela3[[#This Row],[Aluminio Util]])*0.9</f>
        <v>18.249299999999991</v>
      </c>
      <c r="T413" s="37">
        <f>Tabela3[[#This Row],[Aluminio Bruto]]/OleoKGAluminio</f>
        <v>18.374857426181563</v>
      </c>
      <c r="U413" s="35">
        <f>IFERROR((VLOOKUP(Tabela3[[#This Row],[Moldador]],Tabela1[],5,)+(VLOOKUP(Tabela3[[#This Row],[Ajudante]],Tabela1[],5,))*3.5),0)</f>
        <v>99.95034583333333</v>
      </c>
      <c r="V413" s="35">
        <f>IFERROR(Tabela3[[#This Row],[Custo M.O. / H]]/((Tabela3[[#This Row],[Realizado]]/Tabela3[[#This Row],[Qdt Peça Placa]])/Tabela3[[#This Row],[Tempo]]/24),)</f>
        <v>12.993544958333333</v>
      </c>
      <c r="W413" s="35">
        <f>Tabela3[[#This Row],[Custo / Cx Moldada]]*Tabela3[[#This Row],[Qtde Cx Produzida]]</f>
        <v>64.967724791666669</v>
      </c>
      <c r="X413" s="35">
        <f ca="1">Tabela3[[#This Row],[Aluminio Util]]*Tabela3[[#This Row],[Custo/Kg]]</f>
        <v>365.04000000000008</v>
      </c>
      <c r="Y413" s="35">
        <f>IFERROR(VLOOKUP(Tabela3[[#This Row],[Data]],Tabela461213[],2,1)*(Tabela3[[#This Row],[Qtde Cx Produzida]]*Tabela3[[#This Row],[Qde macho / CX]]*Tabela3[[#This Row],[Peso Macho]]),)</f>
        <v>42.347000000000001</v>
      </c>
      <c r="Z413" s="35">
        <f>IFERROR(Tabela3[[#This Row],[Qtde Oleo]]*(VLOOKUP(Tabela3[[#This Row],[Data]],CompraOleo[],3,TRUE))*1.05,0)</f>
        <v>48.234000743726604</v>
      </c>
      <c r="AA413" s="47">
        <f ca="1">(Tabela3[[#This Row],[Custo Oleo]]+Tabela3[[#This Row],[Custo Aluminio]]+Tabela3[[#This Row],[Custo M.O. Total]]+Tabela3[[#This Row],[Custo Machos]])</f>
        <v>520.58872553539334</v>
      </c>
      <c r="AB413" s="47">
        <f ca="1">Tabela3[[#This Row],[Custo Total]]*Tabela3[[#This Row],[% Perda]]</f>
        <v>0</v>
      </c>
      <c r="AC413" s="48">
        <f>IFERROR(VLOOKUP(Tabela3[[#This Row],[Produto]],Tabela2[],2,0),0)</f>
        <v>6</v>
      </c>
      <c r="AD413" s="48">
        <f>IFERROR(VLOOKUP(Tabela3[[#This Row],[Produto]],Tabela2[],3,0),0)</f>
        <v>0.78</v>
      </c>
      <c r="AE413" s="48">
        <f>IFERROR(VLOOKUP(Tabela3[[#This Row],[Produto]],Tabela2[],4,0),0)</f>
        <v>8.2799999999999994</v>
      </c>
      <c r="AF413" s="48">
        <f>IFERROR(VLOOKUP(Tabela3[[#This Row],[Produto]],Tabela2[],5,0),0)</f>
        <v>3.2399999999999998</v>
      </c>
      <c r="AG413" s="40">
        <f>IFERROR(VLOOKUP(Tabela3[[#This Row],[Produto]],Tabela2[],6,0),0)</f>
        <v>0</v>
      </c>
      <c r="AH413" s="40">
        <f>IFERROR(VLOOKUP(Tabela3[[#This Row],[Produto]],Tabela2[],7,0),0)</f>
        <v>1</v>
      </c>
      <c r="AI413" s="40">
        <f>IFERROR(VLOOKUP(Tabela3[[#This Row],[Produto]],Tabela2[],8,0),0)</f>
        <v>4.9820000000000002</v>
      </c>
      <c r="AJ413" s="35">
        <f ca="1">IFERROR(VLOOKUP(Tabela3[[#This Row],[Produto]],Tabela2[],13,0),0)</f>
        <v>15.600000000000001</v>
      </c>
      <c r="AK413" s="40" t="str">
        <f>IFERROR(VLOOKUP(Tabela3[[#This Row],[Produto]],Tabela2[],14,0),0)</f>
        <v>Jumil</v>
      </c>
      <c r="AL413" s="40">
        <f>IFERROR(VLOOKUP(Tabela3[[#This Row],[Produto]],Tabela2[],15,0),0)</f>
        <v>10</v>
      </c>
      <c r="AM413" s="36">
        <f ca="1">(Tabela3[[#This Row],[Custo Usinagem]]+Tabela3[[#This Row],[Custo / Pç]])*1.2</f>
        <v>32.823549021415729</v>
      </c>
      <c r="AN413" s="36">
        <f ca="1">Tabela3[[#This Row],[Valor Mínimo Venda]]*1.15</f>
        <v>37.747081374628088</v>
      </c>
      <c r="AO413" s="36">
        <f ca="1">Tabela3[[#This Row],[Tabela 1]]*1.08</f>
        <v>40.766847884598334</v>
      </c>
      <c r="AP413" s="36">
        <f ca="1">Tabela3[[#This Row],[Tabela 2]]*1.15</f>
        <v>46.881875067288078</v>
      </c>
    </row>
    <row r="414" spans="1:42">
      <c r="A414" s="9">
        <v>45846</v>
      </c>
      <c r="B414" s="6" t="s">
        <v>268</v>
      </c>
      <c r="C414" s="14">
        <v>7079</v>
      </c>
      <c r="D414" s="6" t="s">
        <v>44</v>
      </c>
      <c r="E414" s="6" t="s">
        <v>47</v>
      </c>
      <c r="F414" s="6">
        <v>22</v>
      </c>
      <c r="G414" s="15">
        <v>0.13263888888888889</v>
      </c>
      <c r="H414" s="16">
        <v>0</v>
      </c>
      <c r="I414" s="35">
        <f ca="1">IFERROR(Tabela3[[#This Row],[Custo Total]]/Tabela3[[#This Row],[Aluminio Util]],0)</f>
        <v>21.026972656723512</v>
      </c>
      <c r="J414" s="35">
        <f ca="1">Tabela3[[#This Row],[Custo Total]]/Tabela3[[#This Row],[Realizado]]</f>
        <v>138.77801953437518</v>
      </c>
      <c r="K414" s="37">
        <f>IFERROR(Tabela3[[#This Row],[Qtde Cx Produzida]]/Tabela3[[#This Row],[Tempo]]/24,0)</f>
        <v>6.9109947643979055</v>
      </c>
      <c r="L414" s="37">
        <f>Tabela3[[#This Row],[Qtde Cx Produzida]]*Tabela3[[#This Row],[Qdt Peça Placa]]</f>
        <v>22</v>
      </c>
      <c r="M414" s="37">
        <f>Tabela3[[#This Row],[Previsto]]-Tabela3[[#This Row],[Perda Pçs]]</f>
        <v>22</v>
      </c>
      <c r="N414" s="38">
        <f>IFERROR(Tabela3[[#This Row],[Perda Pçs]]/Tabela3[[#This Row],[Previsto]],0)</f>
        <v>0</v>
      </c>
      <c r="O414" s="39">
        <f>IFERROR(IF(Tabela3[[#This Row],[Qtde Cx Produzida]] &lt;&gt; 0, Tabela3[[#This Row],[Tempo]] / Tabela3[[#This Row],[Qtde Cx Produzida]], 0),0)</f>
        <v>6.0290404040404038E-3</v>
      </c>
      <c r="P414" s="57">
        <f>IFERROR(Tabela3[[#This Row],[Perda Pçs]]/Tabela3[[#This Row],[Qdt Peça Placa]],0)</f>
        <v>0</v>
      </c>
      <c r="Q414" s="37">
        <f>IFERROR(Tabela3[[#This Row],[Realizado]]*Tabela3[[#This Row],[Peso Util/Pç]],0)</f>
        <v>145.19999999999999</v>
      </c>
      <c r="R414" s="37">
        <f>IFERROR(Tabela3[[#This Row],[Peso Total Galho]]*Tabela3[[#This Row],[Qtde Cx Produzida]]*1.055,0)</f>
        <v>162.47</v>
      </c>
      <c r="S414" s="37">
        <f>(Tabela3[[#This Row],[Aluminio Bruto]]-Tabela3[[#This Row],[Aluminio Util]])*0.9</f>
        <v>15.54300000000001</v>
      </c>
      <c r="T414" s="37">
        <f>Tabela3[[#This Row],[Aluminio Bruto]]/OleoKGAluminio</f>
        <v>68.350918928308246</v>
      </c>
      <c r="U414" s="35">
        <f>IFERROR((VLOOKUP(Tabela3[[#This Row],[Moldador]],Tabela1[],5,)+(VLOOKUP(Tabela3[[#This Row],[Ajudante]],Tabela1[],5,))*3.5),0)</f>
        <v>99.95034583333333</v>
      </c>
      <c r="V414" s="35">
        <f>IFERROR(Tabela3[[#This Row],[Custo M.O. / H]]/((Tabela3[[#This Row],[Realizado]]/Tabela3[[#This Row],[Qdt Peça Placa]])/Tabela3[[#This Row],[Tempo]]/24),)</f>
        <v>14.462512162247474</v>
      </c>
      <c r="W414" s="35">
        <f>Tabela3[[#This Row],[Custo / Cx Moldada]]*Tabela3[[#This Row],[Qtde Cx Produzida]]</f>
        <v>318.17526756944443</v>
      </c>
      <c r="X414" s="35">
        <f ca="1">Tabela3[[#This Row],[Aluminio Util]]*Tabela3[[#This Row],[Custo/Kg]]</f>
        <v>2555.52</v>
      </c>
      <c r="Y414" s="35">
        <f>IFERROR(VLOOKUP(Tabela3[[#This Row],[Data]],Tabela461213[],2,1)*(Tabela3[[#This Row],[Qtde Cx Produzida]]*Tabela3[[#This Row],[Qde macho / CX]]*Tabela3[[#This Row],[Peso Macho]]),)</f>
        <v>0</v>
      </c>
      <c r="Z414" s="35">
        <f>IFERROR(Tabela3[[#This Row],[Qtde Oleo]]*(VLOOKUP(Tabela3[[#This Row],[Data]],CompraOleo[],3,TRUE))*1.05,0)</f>
        <v>179.42116218680917</v>
      </c>
      <c r="AA414" s="47">
        <f ca="1">(Tabela3[[#This Row],[Custo Oleo]]+Tabela3[[#This Row],[Custo Aluminio]]+Tabela3[[#This Row],[Custo M.O. Total]]+Tabela3[[#This Row],[Custo Machos]])</f>
        <v>3053.1164297562536</v>
      </c>
      <c r="AB414" s="47">
        <f ca="1">Tabela3[[#This Row],[Custo Total]]*Tabela3[[#This Row],[% Perda]]</f>
        <v>0</v>
      </c>
      <c r="AC414" s="48">
        <f>IFERROR(VLOOKUP(Tabela3[[#This Row],[Produto]],Tabela2[],2,0),0)</f>
        <v>1</v>
      </c>
      <c r="AD414" s="48">
        <f>IFERROR(VLOOKUP(Tabela3[[#This Row],[Produto]],Tabela2[],3,0),0)</f>
        <v>6.6</v>
      </c>
      <c r="AE414" s="48">
        <f>IFERROR(VLOOKUP(Tabela3[[#This Row],[Produto]],Tabela2[],4,0),0)</f>
        <v>7</v>
      </c>
      <c r="AF414" s="48">
        <f>IFERROR(VLOOKUP(Tabela3[[#This Row],[Produto]],Tabela2[],5,0),0)</f>
        <v>0.36000000000000032</v>
      </c>
      <c r="AG414" s="40">
        <f>IFERROR(VLOOKUP(Tabela3[[#This Row],[Produto]],Tabela2[],6,0),0)</f>
        <v>0</v>
      </c>
      <c r="AH414" s="40">
        <f>IFERROR(VLOOKUP(Tabela3[[#This Row],[Produto]],Tabela2[],7,0),0)</f>
        <v>0</v>
      </c>
      <c r="AI414" s="40">
        <f>IFERROR(VLOOKUP(Tabela3[[#This Row],[Produto]],Tabela2[],8,0),0)</f>
        <v>0</v>
      </c>
      <c r="AJ414" s="35">
        <f ca="1">IFERROR(VLOOKUP(Tabela3[[#This Row],[Produto]],Tabela2[],13,0),0)</f>
        <v>17.600000000000001</v>
      </c>
      <c r="AK414" s="40" t="str">
        <f>IFERROR(VLOOKUP(Tabela3[[#This Row],[Produto]],Tabela2[],14,0),0)</f>
        <v>Danilo</v>
      </c>
      <c r="AL414" s="40">
        <f>IFERROR(VLOOKUP(Tabela3[[#This Row],[Produto]],Tabela2[],15,0),0)</f>
        <v>0</v>
      </c>
      <c r="AM414" s="36">
        <f ca="1">(Tabela3[[#This Row],[Custo Usinagem]]+Tabela3[[#This Row],[Custo / Pç]])*1.2</f>
        <v>166.5336234412502</v>
      </c>
      <c r="AN414" s="36">
        <f ca="1">Tabela3[[#This Row],[Valor Mínimo Venda]]*1.15</f>
        <v>191.51366695743772</v>
      </c>
      <c r="AO414" s="36">
        <f ca="1">Tabela3[[#This Row],[Tabela 1]]*1.08</f>
        <v>206.83476031403276</v>
      </c>
      <c r="AP414" s="36">
        <f ca="1">Tabela3[[#This Row],[Tabela 2]]*1.15</f>
        <v>237.85997436113766</v>
      </c>
    </row>
    <row r="415" spans="1:42">
      <c r="A415" s="9">
        <v>45846</v>
      </c>
      <c r="B415" s="6" t="s">
        <v>269</v>
      </c>
      <c r="C415" s="14">
        <v>7080</v>
      </c>
      <c r="D415" s="6" t="s">
        <v>44</v>
      </c>
      <c r="E415" s="6" t="s">
        <v>47</v>
      </c>
      <c r="F415" s="6">
        <v>7</v>
      </c>
      <c r="G415" s="15">
        <v>4.3055555555555555E-2</v>
      </c>
      <c r="H415" s="16">
        <v>0</v>
      </c>
      <c r="I415" s="35">
        <f ca="1">IFERROR(Tabela3[[#This Row],[Custo Total]]/Tabela3[[#This Row],[Aluminio Util]],0)</f>
        <v>21.389314525491859</v>
      </c>
      <c r="J415" s="35">
        <f ca="1">Tabela3[[#This Row],[Custo Total]]/Tabela3[[#This Row],[Realizado]]</f>
        <v>124.05802424785279</v>
      </c>
      <c r="K415" s="37">
        <f>IFERROR(Tabela3[[#This Row],[Qtde Cx Produzida]]/Tabela3[[#This Row],[Tempo]]/24,0)</f>
        <v>6.774193548387097</v>
      </c>
      <c r="L415" s="37">
        <f>Tabela3[[#This Row],[Qtde Cx Produzida]]*Tabela3[[#This Row],[Qdt Peça Placa]]</f>
        <v>7</v>
      </c>
      <c r="M415" s="37">
        <f>Tabela3[[#This Row],[Previsto]]-Tabela3[[#This Row],[Perda Pçs]]</f>
        <v>7</v>
      </c>
      <c r="N415" s="38">
        <f>IFERROR(Tabela3[[#This Row],[Perda Pçs]]/Tabela3[[#This Row],[Previsto]],0)</f>
        <v>0</v>
      </c>
      <c r="O415" s="39">
        <f>IFERROR(IF(Tabela3[[#This Row],[Qtde Cx Produzida]] &lt;&gt; 0, Tabela3[[#This Row],[Tempo]] / Tabela3[[#This Row],[Qtde Cx Produzida]], 0),0)</f>
        <v>6.1507936507936506E-3</v>
      </c>
      <c r="P415" s="57">
        <f>IFERROR(Tabela3[[#This Row],[Perda Pçs]]/Tabela3[[#This Row],[Qdt Peça Placa]],0)</f>
        <v>0</v>
      </c>
      <c r="Q415" s="37">
        <f>IFERROR(Tabela3[[#This Row],[Realizado]]*Tabela3[[#This Row],[Peso Util/Pç]],0)</f>
        <v>40.6</v>
      </c>
      <c r="R415" s="37">
        <f>IFERROR(Tabela3[[#This Row],[Peso Total Galho]]*Tabela3[[#This Row],[Qtde Cx Produzida]]*1.055,0)</f>
        <v>45.786999999999999</v>
      </c>
      <c r="S415" s="37">
        <f>(Tabela3[[#This Row],[Aluminio Bruto]]-Tabela3[[#This Row],[Aluminio Util]])*0.9</f>
        <v>4.6682999999999977</v>
      </c>
      <c r="T415" s="37">
        <f>Tabela3[[#This Row],[Aluminio Bruto]]/OleoKGAluminio</f>
        <v>19.262531697977778</v>
      </c>
      <c r="U415" s="35">
        <f>IFERROR((VLOOKUP(Tabela3[[#This Row],[Moldador]],Tabela1[],5,)+(VLOOKUP(Tabela3[[#This Row],[Ajudante]],Tabela1[],5,))*3.5),0)</f>
        <v>99.95034583333333</v>
      </c>
      <c r="V415" s="35">
        <f>IFERROR(Tabela3[[#This Row],[Custo M.O. / H]]/((Tabela3[[#This Row],[Realizado]]/Tabela3[[#This Row],[Qdt Peça Placa]])/Tabela3[[#This Row],[Tempo]]/24),)</f>
        <v>14.754574861111109</v>
      </c>
      <c r="W415" s="35">
        <f>Tabela3[[#This Row],[Custo / Cx Moldada]]*Tabela3[[#This Row],[Qtde Cx Produzida]]</f>
        <v>103.28202402777777</v>
      </c>
      <c r="X415" s="35">
        <f ca="1">Tabela3[[#This Row],[Aluminio Util]]*Tabela3[[#This Row],[Custo/Kg]]</f>
        <v>714.56000000000006</v>
      </c>
      <c r="Y415" s="35">
        <f>IFERROR(VLOOKUP(Tabela3[[#This Row],[Data]],Tabela461213[],2,1)*(Tabela3[[#This Row],[Qtde Cx Produzida]]*Tabela3[[#This Row],[Qde macho / CX]]*Tabela3[[#This Row],[Peso Macho]]),)</f>
        <v>0</v>
      </c>
      <c r="Z415" s="35">
        <f>IFERROR(Tabela3[[#This Row],[Qtde Oleo]]*(VLOOKUP(Tabela3[[#This Row],[Data]],CompraOleo[],3,TRUE))*1.05,0)</f>
        <v>50.56414570719167</v>
      </c>
      <c r="AA415" s="47">
        <f ca="1">(Tabela3[[#This Row],[Custo Oleo]]+Tabela3[[#This Row],[Custo Aluminio]]+Tabela3[[#This Row],[Custo M.O. Total]]+Tabela3[[#This Row],[Custo Machos]])</f>
        <v>868.40616973496947</v>
      </c>
      <c r="AB415" s="47">
        <f ca="1">Tabela3[[#This Row],[Custo Total]]*Tabela3[[#This Row],[% Perda]]</f>
        <v>0</v>
      </c>
      <c r="AC415" s="48">
        <f>IFERROR(VLOOKUP(Tabela3[[#This Row],[Produto]],Tabela2[],2,0),0)</f>
        <v>1</v>
      </c>
      <c r="AD415" s="48">
        <f>IFERROR(VLOOKUP(Tabela3[[#This Row],[Produto]],Tabela2[],3,0),0)</f>
        <v>5.8</v>
      </c>
      <c r="AE415" s="48">
        <f>IFERROR(VLOOKUP(Tabela3[[#This Row],[Produto]],Tabela2[],4,0),0)</f>
        <v>6.2</v>
      </c>
      <c r="AF415" s="48">
        <f>IFERROR(VLOOKUP(Tabela3[[#This Row],[Produto]],Tabela2[],5,0),0)</f>
        <v>0.36000000000000032</v>
      </c>
      <c r="AG415" s="40">
        <f>IFERROR(VLOOKUP(Tabela3[[#This Row],[Produto]],Tabela2[],6,0),0)</f>
        <v>0</v>
      </c>
      <c r="AH415" s="40">
        <f>IFERROR(VLOOKUP(Tabela3[[#This Row],[Produto]],Tabela2[],7,0),0)</f>
        <v>0</v>
      </c>
      <c r="AI415" s="40">
        <f>IFERROR(VLOOKUP(Tabela3[[#This Row],[Produto]],Tabela2[],8,0),0)</f>
        <v>0</v>
      </c>
      <c r="AJ415" s="35">
        <f ca="1">IFERROR(VLOOKUP(Tabela3[[#This Row],[Produto]],Tabela2[],13,0),0)</f>
        <v>17.600000000000001</v>
      </c>
      <c r="AK415" s="40" t="str">
        <f>IFERROR(VLOOKUP(Tabela3[[#This Row],[Produto]],Tabela2[],14,0),0)</f>
        <v>Danilo</v>
      </c>
      <c r="AL415" s="40">
        <f>IFERROR(VLOOKUP(Tabela3[[#This Row],[Produto]],Tabela2[],15,0),0)</f>
        <v>0</v>
      </c>
      <c r="AM415" s="36">
        <f ca="1">(Tabela3[[#This Row],[Custo Usinagem]]+Tabela3[[#This Row],[Custo / Pç]])*1.2</f>
        <v>148.86962909742334</v>
      </c>
      <c r="AN415" s="36">
        <f ca="1">Tabela3[[#This Row],[Valor Mínimo Venda]]*1.15</f>
        <v>171.20007346203684</v>
      </c>
      <c r="AO415" s="36">
        <f ca="1">Tabela3[[#This Row],[Tabela 1]]*1.08</f>
        <v>184.89607933899981</v>
      </c>
      <c r="AP415" s="36">
        <f ca="1">Tabela3[[#This Row],[Tabela 2]]*1.15</f>
        <v>212.63049123984976</v>
      </c>
    </row>
    <row r="416" spans="1:42">
      <c r="A416" s="9">
        <v>45846</v>
      </c>
      <c r="B416" s="6" t="s">
        <v>207</v>
      </c>
      <c r="C416" s="14">
        <v>7248</v>
      </c>
      <c r="D416" s="6" t="s">
        <v>44</v>
      </c>
      <c r="E416" s="6" t="s">
        <v>47</v>
      </c>
      <c r="F416" s="6">
        <v>10</v>
      </c>
      <c r="G416" s="15">
        <v>0.12847222222222221</v>
      </c>
      <c r="H416" s="16">
        <v>0</v>
      </c>
      <c r="I416" s="35">
        <f ca="1">IFERROR(Tabela3[[#This Row],[Custo Total]]/Tabela3[[#This Row],[Aluminio Util]],0)</f>
        <v>23.188537746000051</v>
      </c>
      <c r="J416" s="35">
        <f ca="1">Tabela3[[#This Row],[Custo Total]]/Tabela3[[#This Row],[Realizado]]</f>
        <v>72.34823776752016</v>
      </c>
      <c r="K416" s="37">
        <f>IFERROR(Tabela3[[#This Row],[Qtde Cx Produzida]]/Tabela3[[#This Row],[Tempo]]/24,0)</f>
        <v>3.2432432432432434</v>
      </c>
      <c r="L416" s="37">
        <f>Tabela3[[#This Row],[Qtde Cx Produzida]]*Tabela3[[#This Row],[Qdt Peça Placa]]</f>
        <v>20</v>
      </c>
      <c r="M416" s="37">
        <f>Tabela3[[#This Row],[Previsto]]-Tabela3[[#This Row],[Perda Pçs]]</f>
        <v>20</v>
      </c>
      <c r="N416" s="38">
        <f>IFERROR(Tabela3[[#This Row],[Perda Pçs]]/Tabela3[[#This Row],[Previsto]],0)</f>
        <v>0</v>
      </c>
      <c r="O416" s="39">
        <f>IFERROR(IF(Tabela3[[#This Row],[Qtde Cx Produzida]] &lt;&gt; 0, Tabela3[[#This Row],[Tempo]] / Tabela3[[#This Row],[Qtde Cx Produzida]], 0),0)</f>
        <v>1.2847222222222222E-2</v>
      </c>
      <c r="P416" s="57">
        <f>IFERROR(Tabela3[[#This Row],[Perda Pçs]]/Tabela3[[#This Row],[Qdt Peça Placa]],0)</f>
        <v>0</v>
      </c>
      <c r="Q416" s="37">
        <f>IFERROR(Tabela3[[#This Row],[Realizado]]*Tabela3[[#This Row],[Peso Util/Pç]],0)</f>
        <v>62.400000000000006</v>
      </c>
      <c r="R416" s="37">
        <f>IFERROR(Tabela3[[#This Row],[Peso Total Galho]]*Tabela3[[#This Row],[Qtde Cx Produzida]]*1.055,0)</f>
        <v>36.713999999999992</v>
      </c>
      <c r="S416" s="37">
        <f>(Tabela3[[#This Row],[Aluminio Bruto]]-Tabela3[[#This Row],[Aluminio Util]])*0.9</f>
        <v>-23.117400000000014</v>
      </c>
      <c r="T416" s="37">
        <f>Tabela3[[#This Row],[Aluminio Bruto]]/OleoKGAluminio</f>
        <v>15.445532329254068</v>
      </c>
      <c r="U416" s="35">
        <f>IFERROR((VLOOKUP(Tabela3[[#This Row],[Moldador]],Tabela1[],5,)+(VLOOKUP(Tabela3[[#This Row],[Ajudante]],Tabela1[],5,))*3.5),0)</f>
        <v>99.95034583333333</v>
      </c>
      <c r="V416" s="35">
        <f>IFERROR(Tabela3[[#This Row],[Custo M.O. / H]]/((Tabela3[[#This Row],[Realizado]]/Tabela3[[#This Row],[Qdt Peça Placa]])/Tabela3[[#This Row],[Tempo]]/24),)</f>
        <v>30.818023298611109</v>
      </c>
      <c r="W416" s="35">
        <f>Tabela3[[#This Row],[Custo / Cx Moldada]]*Tabela3[[#This Row],[Qtde Cx Produzida]]</f>
        <v>308.18023298611109</v>
      </c>
      <c r="X416" s="35">
        <f ca="1">Tabela3[[#This Row],[Aluminio Util]]*Tabela3[[#This Row],[Custo/Kg]]</f>
        <v>1098.2400000000002</v>
      </c>
      <c r="Y416" s="35">
        <f>IFERROR(VLOOKUP(Tabela3[[#This Row],[Data]],Tabela461213[],2,1)*(Tabela3[[#This Row],[Qtde Cx Produzida]]*Tabela3[[#This Row],[Qde macho / CX]]*Tabela3[[#This Row],[Peso Macho]]),)</f>
        <v>0</v>
      </c>
      <c r="Z416" s="35">
        <f>IFERROR(Tabela3[[#This Row],[Qtde Oleo]]*(VLOOKUP(Tabela3[[#This Row],[Data]],CompraOleo[],3,TRUE))*1.05,0)</f>
        <v>40.544522364291929</v>
      </c>
      <c r="AA416" s="47">
        <f ca="1">(Tabela3[[#This Row],[Custo Oleo]]+Tabela3[[#This Row],[Custo Aluminio]]+Tabela3[[#This Row],[Custo M.O. Total]]+Tabela3[[#This Row],[Custo Machos]])</f>
        <v>1446.9647553504033</v>
      </c>
      <c r="AB416" s="47">
        <f ca="1">Tabela3[[#This Row],[Custo Total]]*Tabela3[[#This Row],[% Perda]]</f>
        <v>0</v>
      </c>
      <c r="AC416" s="48">
        <f>IFERROR(VLOOKUP(Tabela3[[#This Row],[Produto]],Tabela2[],2,0),0)</f>
        <v>2</v>
      </c>
      <c r="AD416" s="48">
        <f>IFERROR(VLOOKUP(Tabela3[[#This Row],[Produto]],Tabela2[],3,0),0)</f>
        <v>3.12</v>
      </c>
      <c r="AE416" s="48">
        <f>IFERROR(VLOOKUP(Tabela3[[#This Row],[Produto]],Tabela2[],4,0),0)</f>
        <v>3.48</v>
      </c>
      <c r="AF416" s="48">
        <f>IFERROR(VLOOKUP(Tabela3[[#This Row],[Produto]],Tabela2[],5,0),0)</f>
        <v>-2.4840000000000004</v>
      </c>
      <c r="AG416" s="40">
        <f>IFERROR(VLOOKUP(Tabela3[[#This Row],[Produto]],Tabela2[],6,0),0)</f>
        <v>0</v>
      </c>
      <c r="AH416" s="40">
        <f>IFERROR(VLOOKUP(Tabela3[[#This Row],[Produto]],Tabela2[],7,0),0)</f>
        <v>0</v>
      </c>
      <c r="AI416" s="40">
        <f>IFERROR(VLOOKUP(Tabela3[[#This Row],[Produto]],Tabela2[],8,0),0)</f>
        <v>0</v>
      </c>
      <c r="AJ416" s="35">
        <f ca="1">IFERROR(VLOOKUP(Tabela3[[#This Row],[Produto]],Tabela2[],13,0),0)</f>
        <v>17.600000000000001</v>
      </c>
      <c r="AK416" s="40" t="str">
        <f>IFERROR(VLOOKUP(Tabela3[[#This Row],[Produto]],Tabela2[],14,0),0)</f>
        <v>Oscar</v>
      </c>
      <c r="AL416" s="40">
        <f>IFERROR(VLOOKUP(Tabela3[[#This Row],[Produto]],Tabela2[],15,0),0)</f>
        <v>0</v>
      </c>
      <c r="AM416" s="36">
        <f ca="1">(Tabela3[[#This Row],[Custo Usinagem]]+Tabela3[[#This Row],[Custo / Pç]])*1.2</f>
        <v>86.817885321024193</v>
      </c>
      <c r="AN416" s="36">
        <f ca="1">Tabela3[[#This Row],[Valor Mínimo Venda]]*1.15</f>
        <v>99.840568119177817</v>
      </c>
      <c r="AO416" s="36">
        <f ca="1">Tabela3[[#This Row],[Tabela 1]]*1.08</f>
        <v>107.82781356871205</v>
      </c>
      <c r="AP416" s="36">
        <f ca="1">Tabela3[[#This Row],[Tabela 2]]*1.15</f>
        <v>124.00198560401884</v>
      </c>
    </row>
    <row r="417" spans="1:42">
      <c r="A417" s="9">
        <v>45847</v>
      </c>
      <c r="B417" s="6" t="s">
        <v>147</v>
      </c>
      <c r="C417" s="14">
        <v>6893</v>
      </c>
      <c r="D417" s="6" t="s">
        <v>46</v>
      </c>
      <c r="E417" s="6" t="s">
        <v>53</v>
      </c>
      <c r="F417" s="6">
        <v>50</v>
      </c>
      <c r="G417" s="15">
        <v>0.23055555555555557</v>
      </c>
      <c r="H417" s="16">
        <v>0</v>
      </c>
      <c r="I417" s="35">
        <f ca="1">IFERROR(Tabela3[[#This Row],[Custo Total]]/Tabela3[[#This Row],[Aluminio Util]],0)</f>
        <v>22.998785277420069</v>
      </c>
      <c r="J417" s="35">
        <f ca="1">Tabela3[[#This Row],[Custo Total]]/Tabela3[[#This Row],[Realizado]]</f>
        <v>45.537594849291736</v>
      </c>
      <c r="K417" s="37">
        <f>IFERROR(Tabela3[[#This Row],[Qtde Cx Produzida]]/Tabela3[[#This Row],[Tempo]]/24,0)</f>
        <v>9.0361445783132535</v>
      </c>
      <c r="L417" s="37">
        <f>Tabela3[[#This Row],[Qtde Cx Produzida]]*Tabela3[[#This Row],[Qdt Peça Placa]]</f>
        <v>50</v>
      </c>
      <c r="M417" s="37">
        <f>Tabela3[[#This Row],[Previsto]]-Tabela3[[#This Row],[Perda Pçs]]</f>
        <v>50</v>
      </c>
      <c r="N417" s="38">
        <f>IFERROR(Tabela3[[#This Row],[Perda Pçs]]/Tabela3[[#This Row],[Previsto]],0)</f>
        <v>0</v>
      </c>
      <c r="O417" s="39">
        <f>IFERROR(IF(Tabela3[[#This Row],[Qtde Cx Produzida]] &lt;&gt; 0, Tabela3[[#This Row],[Tempo]] / Tabela3[[#This Row],[Qtde Cx Produzida]], 0),0)</f>
        <v>4.611111111111111E-3</v>
      </c>
      <c r="P417" s="57">
        <f>IFERROR(Tabela3[[#This Row],[Perda Pçs]]/Tabela3[[#This Row],[Qdt Peça Placa]],0)</f>
        <v>0</v>
      </c>
      <c r="Q417" s="37">
        <f>IFERROR(Tabela3[[#This Row],[Realizado]]*Tabela3[[#This Row],[Peso Util/Pç]],0)</f>
        <v>99</v>
      </c>
      <c r="R417" s="37">
        <f>IFERROR(Tabela3[[#This Row],[Peso Total Galho]]*Tabela3[[#This Row],[Qtde Cx Produzida]]*1.055,0)</f>
        <v>162.47</v>
      </c>
      <c r="S417" s="37">
        <f>(Tabela3[[#This Row],[Aluminio Bruto]]-Tabela3[[#This Row],[Aluminio Util]])*0.9</f>
        <v>57.122999999999998</v>
      </c>
      <c r="T417" s="37">
        <f>Tabela3[[#This Row],[Aluminio Bruto]]/OleoKGAluminio</f>
        <v>68.350918928308246</v>
      </c>
      <c r="U417" s="35">
        <f>IFERROR((VLOOKUP(Tabela3[[#This Row],[Moldador]],Tabela1[],5,)+(VLOOKUP(Tabela3[[#This Row],[Ajudante]],Tabela1[],5,))*3.5),0)</f>
        <v>99.95034583333333</v>
      </c>
      <c r="V417" s="35">
        <f>IFERROR(Tabela3[[#This Row],[Custo M.O. / H]]/((Tabela3[[#This Row],[Realizado]]/Tabela3[[#This Row],[Qdt Peça Placa]])/Tabela3[[#This Row],[Tempo]]/24),)</f>
        <v>11.061171605555554</v>
      </c>
      <c r="W417" s="35">
        <f>Tabela3[[#This Row],[Custo / Cx Moldada]]*Tabela3[[#This Row],[Qtde Cx Produzida]]</f>
        <v>553.05858027777765</v>
      </c>
      <c r="X417" s="35">
        <f ca="1">Tabela3[[#This Row],[Aluminio Util]]*Tabela3[[#This Row],[Custo/Kg]]</f>
        <v>1544.4</v>
      </c>
      <c r="Y417" s="35">
        <f>IFERROR(VLOOKUP(Tabela3[[#This Row],[Data]],Tabela461213[],2,1)*(Tabela3[[#This Row],[Qtde Cx Produzida]]*Tabela3[[#This Row],[Qde macho / CX]]*Tabela3[[#This Row],[Peso Macho]]),)</f>
        <v>0</v>
      </c>
      <c r="Z417" s="35">
        <f>IFERROR(Tabela3[[#This Row],[Qtde Oleo]]*(VLOOKUP(Tabela3[[#This Row],[Data]],CompraOleo[],3,TRUE))*1.05,0)</f>
        <v>179.42116218680917</v>
      </c>
      <c r="AA417" s="47">
        <f ca="1">(Tabela3[[#This Row],[Custo Oleo]]+Tabela3[[#This Row],[Custo Aluminio]]+Tabela3[[#This Row],[Custo M.O. Total]]+Tabela3[[#This Row],[Custo Machos]])</f>
        <v>2276.8797424645868</v>
      </c>
      <c r="AB417" s="47">
        <f ca="1">Tabela3[[#This Row],[Custo Total]]*Tabela3[[#This Row],[% Perda]]</f>
        <v>0</v>
      </c>
      <c r="AC417" s="48">
        <f>IFERROR(VLOOKUP(Tabela3[[#This Row],[Produto]],Tabela2[],2,0),0)</f>
        <v>1</v>
      </c>
      <c r="AD417" s="48">
        <f>IFERROR(VLOOKUP(Tabela3[[#This Row],[Produto]],Tabela2[],3,0),0)</f>
        <v>1.98</v>
      </c>
      <c r="AE417" s="48">
        <f>IFERROR(VLOOKUP(Tabela3[[#This Row],[Produto]],Tabela2[],4,0),0)</f>
        <v>3.08</v>
      </c>
      <c r="AF417" s="48">
        <f>IFERROR(VLOOKUP(Tabela3[[#This Row],[Produto]],Tabela2[],5,0),0)</f>
        <v>0.9900000000000001</v>
      </c>
      <c r="AG417" s="40">
        <f>IFERROR(VLOOKUP(Tabela3[[#This Row],[Produto]],Tabela2[],6,0),0)</f>
        <v>0</v>
      </c>
      <c r="AH417" s="40">
        <f>IFERROR(VLOOKUP(Tabela3[[#This Row],[Produto]],Tabela2[],7,0),0)</f>
        <v>0</v>
      </c>
      <c r="AI417" s="40">
        <f>IFERROR(VLOOKUP(Tabela3[[#This Row],[Produto]],Tabela2[],8,0),0)</f>
        <v>0</v>
      </c>
      <c r="AJ417" s="35">
        <f ca="1">IFERROR(VLOOKUP(Tabela3[[#This Row],[Produto]],Tabela2[],13,0),0)</f>
        <v>15.600000000000001</v>
      </c>
      <c r="AK417" s="40" t="str">
        <f>IFERROR(VLOOKUP(Tabela3[[#This Row],[Produto]],Tabela2[],14,0),0)</f>
        <v>Senun</v>
      </c>
      <c r="AL417" s="40">
        <f>IFERROR(VLOOKUP(Tabela3[[#This Row],[Produto]],Tabela2[],15,0),0)</f>
        <v>5</v>
      </c>
      <c r="AM417" s="36">
        <f ca="1">(Tabela3[[#This Row],[Custo Usinagem]]+Tabela3[[#This Row],[Custo / Pç]])*1.2</f>
        <v>60.645113819150083</v>
      </c>
      <c r="AN417" s="36">
        <f ca="1">Tabela3[[#This Row],[Valor Mínimo Venda]]*1.15</f>
        <v>69.741880892022593</v>
      </c>
      <c r="AO417" s="36">
        <f ca="1">Tabela3[[#This Row],[Tabela 1]]*1.08</f>
        <v>75.321231363384399</v>
      </c>
      <c r="AP417" s="36">
        <f ca="1">Tabela3[[#This Row],[Tabela 2]]*1.15</f>
        <v>86.619416067892047</v>
      </c>
    </row>
    <row r="418" spans="1:42">
      <c r="A418" s="9">
        <v>45847</v>
      </c>
      <c r="B418" s="6" t="s">
        <v>247</v>
      </c>
      <c r="C418" s="14">
        <v>7083</v>
      </c>
      <c r="D418" s="6" t="s">
        <v>46</v>
      </c>
      <c r="E418" s="6" t="s">
        <v>53</v>
      </c>
      <c r="F418" s="6">
        <v>26</v>
      </c>
      <c r="G418" s="15">
        <v>0.12638888888888888</v>
      </c>
      <c r="H418" s="16">
        <v>0</v>
      </c>
      <c r="I418" s="35">
        <f ca="1">IFERROR(Tabela3[[#This Row],[Custo Total]]/Tabela3[[#This Row],[Aluminio Util]],0)</f>
        <v>27.55045032378364</v>
      </c>
      <c r="J418" s="35">
        <f ca="1">Tabela3[[#This Row],[Custo Total]]/Tabela3[[#This Row],[Realizado]]</f>
        <v>8.2651350971350919</v>
      </c>
      <c r="K418" s="37">
        <f>IFERROR(Tabela3[[#This Row],[Qtde Cx Produzida]]/Tabela3[[#This Row],[Tempo]]/24,0)</f>
        <v>8.5714285714285712</v>
      </c>
      <c r="L418" s="37">
        <f>Tabela3[[#This Row],[Qtde Cx Produzida]]*Tabela3[[#This Row],[Qdt Peça Placa]]</f>
        <v>104</v>
      </c>
      <c r="M418" s="37">
        <f>Tabela3[[#This Row],[Previsto]]-Tabela3[[#This Row],[Perda Pçs]]</f>
        <v>104</v>
      </c>
      <c r="N418" s="38">
        <f>IFERROR(Tabela3[[#This Row],[Perda Pçs]]/Tabela3[[#This Row],[Previsto]],0)</f>
        <v>0</v>
      </c>
      <c r="O418" s="39">
        <f>IFERROR(IF(Tabela3[[#This Row],[Qtde Cx Produzida]] &lt;&gt; 0, Tabela3[[#This Row],[Tempo]] / Tabela3[[#This Row],[Qtde Cx Produzida]], 0),0)</f>
        <v>4.8611111111111112E-3</v>
      </c>
      <c r="P418" s="57">
        <f>IFERROR(Tabela3[[#This Row],[Perda Pçs]]/Tabela3[[#This Row],[Qdt Peça Placa]],0)</f>
        <v>0</v>
      </c>
      <c r="Q418" s="37">
        <f>IFERROR(Tabela3[[#This Row],[Realizado]]*Tabela3[[#This Row],[Peso Util/Pç]],0)</f>
        <v>31.2</v>
      </c>
      <c r="R418" s="37">
        <f>IFERROR(Tabela3[[#This Row],[Peso Total Galho]]*Tabela3[[#This Row],[Qtde Cx Produzida]]*1.055,0)</f>
        <v>63.088999999999992</v>
      </c>
      <c r="S418" s="37">
        <f>(Tabela3[[#This Row],[Aluminio Bruto]]-Tabela3[[#This Row],[Aluminio Util]])*0.9</f>
        <v>28.700099999999992</v>
      </c>
      <c r="T418" s="37">
        <f>Tabela3[[#This Row],[Aluminio Bruto]]/OleoKGAluminio</f>
        <v>26.541460726706706</v>
      </c>
      <c r="U418" s="35">
        <f>IFERROR((VLOOKUP(Tabela3[[#This Row],[Moldador]],Tabela1[],5,)+(VLOOKUP(Tabela3[[#This Row],[Ajudante]],Tabela1[],5,))*3.5),0)</f>
        <v>99.95034583333333</v>
      </c>
      <c r="V418" s="35">
        <f>IFERROR(Tabela3[[#This Row],[Custo M.O. / H]]/((Tabela3[[#This Row],[Realizado]]/Tabela3[[#This Row],[Qdt Peça Placa]])/Tabela3[[#This Row],[Tempo]]/24),)</f>
        <v>11.660873680555556</v>
      </c>
      <c r="W418" s="35">
        <f>Tabela3[[#This Row],[Custo / Cx Moldada]]*Tabela3[[#This Row],[Qtde Cx Produzida]]</f>
        <v>303.18271569444443</v>
      </c>
      <c r="X418" s="35">
        <f ca="1">Tabela3[[#This Row],[Aluminio Util]]*Tabela3[[#This Row],[Custo/Kg]]</f>
        <v>486.72</v>
      </c>
      <c r="Y418" s="35">
        <f>IFERROR(VLOOKUP(Tabela3[[#This Row],[Data]],Tabela461213[],2,1)*(Tabela3[[#This Row],[Qtde Cx Produzida]]*Tabela3[[#This Row],[Qde macho / CX]]*Tabela3[[#This Row],[Peso Macho]]),)</f>
        <v>0</v>
      </c>
      <c r="Z418" s="35">
        <f>IFERROR(Tabela3[[#This Row],[Qtde Oleo]]*(VLOOKUP(Tabela3[[#This Row],[Data]],CompraOleo[],3,TRUE))*1.05,0)</f>
        <v>69.671334407605116</v>
      </c>
      <c r="AA418" s="47">
        <f ca="1">(Tabela3[[#This Row],[Custo Oleo]]+Tabela3[[#This Row],[Custo Aluminio]]+Tabela3[[#This Row],[Custo M.O. Total]]+Tabela3[[#This Row],[Custo Machos]])</f>
        <v>859.57405010204957</v>
      </c>
      <c r="AB418" s="47">
        <f ca="1">Tabela3[[#This Row],[Custo Total]]*Tabela3[[#This Row],[% Perda]]</f>
        <v>0</v>
      </c>
      <c r="AC418" s="48">
        <f>IFERROR(VLOOKUP(Tabela3[[#This Row],[Produto]],Tabela2[],2,0),0)</f>
        <v>4</v>
      </c>
      <c r="AD418" s="48">
        <f>IFERROR(VLOOKUP(Tabela3[[#This Row],[Produto]],Tabela2[],3,0),0)</f>
        <v>0.3</v>
      </c>
      <c r="AE418" s="48">
        <f>IFERROR(VLOOKUP(Tabela3[[#This Row],[Produto]],Tabela2[],4,0),0)</f>
        <v>2.2999999999999998</v>
      </c>
      <c r="AF418" s="48">
        <f>IFERROR(VLOOKUP(Tabela3[[#This Row],[Produto]],Tabela2[],5,0),0)</f>
        <v>0.98999999999999988</v>
      </c>
      <c r="AG418" s="40">
        <f>IFERROR(VLOOKUP(Tabela3[[#This Row],[Produto]],Tabela2[],6,0),0)</f>
        <v>0</v>
      </c>
      <c r="AH418" s="40">
        <f>IFERROR(VLOOKUP(Tabela3[[#This Row],[Produto]],Tabela2[],7,0),0)</f>
        <v>0</v>
      </c>
      <c r="AI418" s="40">
        <f>IFERROR(VLOOKUP(Tabela3[[#This Row],[Produto]],Tabela2[],8,0),0)</f>
        <v>0</v>
      </c>
      <c r="AJ418" s="35">
        <f ca="1">IFERROR(VLOOKUP(Tabela3[[#This Row],[Produto]],Tabela2[],13,0),0)</f>
        <v>15.600000000000001</v>
      </c>
      <c r="AK418" s="40" t="str">
        <f>IFERROR(VLOOKUP(Tabela3[[#This Row],[Produto]],Tabela2[],14,0),0)</f>
        <v>Senun</v>
      </c>
      <c r="AL418" s="40">
        <f>IFERROR(VLOOKUP(Tabela3[[#This Row],[Produto]],Tabela2[],15,0),0)</f>
        <v>3.5</v>
      </c>
      <c r="AM418" s="36">
        <f ca="1">(Tabela3[[#This Row],[Custo Usinagem]]+Tabela3[[#This Row],[Custo / Pç]])*1.2</f>
        <v>14.118162116562109</v>
      </c>
      <c r="AN418" s="36">
        <f ca="1">Tabela3[[#This Row],[Valor Mínimo Venda]]*1.15</f>
        <v>16.235886434046424</v>
      </c>
      <c r="AO418" s="36">
        <f ca="1">Tabela3[[#This Row],[Tabela 1]]*1.08</f>
        <v>17.534757348770139</v>
      </c>
      <c r="AP418" s="36">
        <f ca="1">Tabela3[[#This Row],[Tabela 2]]*1.15</f>
        <v>20.164970951085657</v>
      </c>
    </row>
    <row r="419" spans="1:42">
      <c r="A419" s="9">
        <v>45847</v>
      </c>
      <c r="B419" s="6" t="s">
        <v>269</v>
      </c>
      <c r="C419" s="14">
        <v>7080</v>
      </c>
      <c r="D419" s="6" t="s">
        <v>44</v>
      </c>
      <c r="E419" s="6" t="s">
        <v>47</v>
      </c>
      <c r="F419" s="6">
        <v>15</v>
      </c>
      <c r="G419" s="15">
        <v>9.3055555555555558E-2</v>
      </c>
      <c r="H419" s="16">
        <v>0</v>
      </c>
      <c r="I419" s="35">
        <f ca="1">IFERROR(Tabela3[[#This Row],[Custo Total]]/Tabela3[[#This Row],[Aluminio Util]],0)</f>
        <v>21.411197469297736</v>
      </c>
      <c r="J419" s="35">
        <f ca="1">Tabela3[[#This Row],[Custo Total]]/Tabela3[[#This Row],[Realizado]]</f>
        <v>124.18494532192686</v>
      </c>
      <c r="K419" s="37">
        <f>IFERROR(Tabela3[[#This Row],[Qtde Cx Produzida]]/Tabela3[[#This Row],[Tempo]]/24,0)</f>
        <v>6.7164179104477606</v>
      </c>
      <c r="L419" s="37">
        <f>Tabela3[[#This Row],[Qtde Cx Produzida]]*Tabela3[[#This Row],[Qdt Peça Placa]]</f>
        <v>15</v>
      </c>
      <c r="M419" s="37">
        <f>Tabela3[[#This Row],[Previsto]]-Tabela3[[#This Row],[Perda Pçs]]</f>
        <v>15</v>
      </c>
      <c r="N419" s="38">
        <f>IFERROR(Tabela3[[#This Row],[Perda Pçs]]/Tabela3[[#This Row],[Previsto]],0)</f>
        <v>0</v>
      </c>
      <c r="O419" s="39">
        <f>IFERROR(IF(Tabela3[[#This Row],[Qtde Cx Produzida]] &lt;&gt; 0, Tabela3[[#This Row],[Tempo]] / Tabela3[[#This Row],[Qtde Cx Produzida]], 0),0)</f>
        <v>6.2037037037037035E-3</v>
      </c>
      <c r="P419" s="57">
        <f>IFERROR(Tabela3[[#This Row],[Perda Pçs]]/Tabela3[[#This Row],[Qdt Peça Placa]],0)</f>
        <v>0</v>
      </c>
      <c r="Q419" s="37">
        <f>IFERROR(Tabela3[[#This Row],[Realizado]]*Tabela3[[#This Row],[Peso Util/Pç]],0)</f>
        <v>87</v>
      </c>
      <c r="R419" s="37">
        <f>IFERROR(Tabela3[[#This Row],[Peso Total Galho]]*Tabela3[[#This Row],[Qtde Cx Produzida]]*1.055,0)</f>
        <v>98.114999999999995</v>
      </c>
      <c r="S419" s="37">
        <f>(Tabela3[[#This Row],[Aluminio Bruto]]-Tabela3[[#This Row],[Aluminio Util]])*0.9</f>
        <v>10.003499999999995</v>
      </c>
      <c r="T419" s="37">
        <f>Tabela3[[#This Row],[Aluminio Bruto]]/OleoKGAluminio</f>
        <v>41.276853638523811</v>
      </c>
      <c r="U419" s="35">
        <f>IFERROR((VLOOKUP(Tabela3[[#This Row],[Moldador]],Tabela1[],5,)+(VLOOKUP(Tabela3[[#This Row],[Ajudante]],Tabela1[],5,))*3.5),0)</f>
        <v>99.95034583333333</v>
      </c>
      <c r="V419" s="35">
        <f>IFERROR(Tabela3[[#This Row],[Custo M.O. / H]]/((Tabela3[[#This Row],[Realizado]]/Tabela3[[#This Row],[Qdt Peça Placa]])/Tabela3[[#This Row],[Tempo]]/24),)</f>
        <v>14.881495935185185</v>
      </c>
      <c r="W419" s="35">
        <f>Tabela3[[#This Row],[Custo / Cx Moldada]]*Tabela3[[#This Row],[Qtde Cx Produzida]]</f>
        <v>223.2224390277778</v>
      </c>
      <c r="X419" s="35">
        <f ca="1">Tabela3[[#This Row],[Aluminio Util]]*Tabela3[[#This Row],[Custo/Kg]]</f>
        <v>1531.2</v>
      </c>
      <c r="Y419" s="35">
        <f>IFERROR(VLOOKUP(Tabela3[[#This Row],[Data]],Tabela461213[],2,1)*(Tabela3[[#This Row],[Qtde Cx Produzida]]*Tabela3[[#This Row],[Qde macho / CX]]*Tabela3[[#This Row],[Peso Macho]]),)</f>
        <v>0</v>
      </c>
      <c r="Z419" s="35">
        <f>IFERROR(Tabela3[[#This Row],[Qtde Oleo]]*(VLOOKUP(Tabela3[[#This Row],[Data]],CompraOleo[],3,TRUE))*1.05,0)</f>
        <v>108.35174080112502</v>
      </c>
      <c r="AA419" s="47">
        <f ca="1">(Tabela3[[#This Row],[Custo Oleo]]+Tabela3[[#This Row],[Custo Aluminio]]+Tabela3[[#This Row],[Custo M.O. Total]]+Tabela3[[#This Row],[Custo Machos]])</f>
        <v>1862.774179828903</v>
      </c>
      <c r="AB419" s="47">
        <f ca="1">Tabela3[[#This Row],[Custo Total]]*Tabela3[[#This Row],[% Perda]]</f>
        <v>0</v>
      </c>
      <c r="AC419" s="48">
        <f>IFERROR(VLOOKUP(Tabela3[[#This Row],[Produto]],Tabela2[],2,0),0)</f>
        <v>1</v>
      </c>
      <c r="AD419" s="48">
        <f>IFERROR(VLOOKUP(Tabela3[[#This Row],[Produto]],Tabela2[],3,0),0)</f>
        <v>5.8</v>
      </c>
      <c r="AE419" s="48">
        <f>IFERROR(VLOOKUP(Tabela3[[#This Row],[Produto]],Tabela2[],4,0),0)</f>
        <v>6.2</v>
      </c>
      <c r="AF419" s="48">
        <f>IFERROR(VLOOKUP(Tabela3[[#This Row],[Produto]],Tabela2[],5,0),0)</f>
        <v>0.36000000000000032</v>
      </c>
      <c r="AG419" s="40">
        <f>IFERROR(VLOOKUP(Tabela3[[#This Row],[Produto]],Tabela2[],6,0),0)</f>
        <v>0</v>
      </c>
      <c r="AH419" s="40">
        <f>IFERROR(VLOOKUP(Tabela3[[#This Row],[Produto]],Tabela2[],7,0),0)</f>
        <v>0</v>
      </c>
      <c r="AI419" s="40">
        <f>IFERROR(VLOOKUP(Tabela3[[#This Row],[Produto]],Tabela2[],8,0),0)</f>
        <v>0</v>
      </c>
      <c r="AJ419" s="35">
        <f ca="1">IFERROR(VLOOKUP(Tabela3[[#This Row],[Produto]],Tabela2[],13,0),0)</f>
        <v>17.600000000000001</v>
      </c>
      <c r="AK419" s="40" t="str">
        <f>IFERROR(VLOOKUP(Tabela3[[#This Row],[Produto]],Tabela2[],14,0),0)</f>
        <v>Danilo</v>
      </c>
      <c r="AL419" s="40">
        <f>IFERROR(VLOOKUP(Tabela3[[#This Row],[Produto]],Tabela2[],15,0),0)</f>
        <v>0</v>
      </c>
      <c r="AM419" s="36">
        <f ca="1">(Tabela3[[#This Row],[Custo Usinagem]]+Tabela3[[#This Row],[Custo / Pç]])*1.2</f>
        <v>149.02193438631224</v>
      </c>
      <c r="AN419" s="36">
        <f ca="1">Tabela3[[#This Row],[Valor Mínimo Venda]]*1.15</f>
        <v>171.37522454425905</v>
      </c>
      <c r="AO419" s="36">
        <f ca="1">Tabela3[[#This Row],[Tabela 1]]*1.08</f>
        <v>185.08524250779979</v>
      </c>
      <c r="AP419" s="36">
        <f ca="1">Tabela3[[#This Row],[Tabela 2]]*1.15</f>
        <v>212.84802888396973</v>
      </c>
    </row>
    <row r="420" spans="1:42">
      <c r="A420" s="9">
        <v>45847</v>
      </c>
      <c r="B420" s="6" t="s">
        <v>141</v>
      </c>
      <c r="C420" s="14">
        <v>7081</v>
      </c>
      <c r="D420" s="6" t="s">
        <v>44</v>
      </c>
      <c r="E420" s="6" t="s">
        <v>47</v>
      </c>
      <c r="F420" s="6">
        <v>22</v>
      </c>
      <c r="G420" s="15">
        <v>9.0972222222222218E-2</v>
      </c>
      <c r="H420" s="16">
        <v>0</v>
      </c>
      <c r="I420" s="35">
        <f ca="1">IFERROR(Tabela3[[#This Row],[Custo Total]]/Tabela3[[#This Row],[Aluminio Util]],0)</f>
        <v>22.115183325945978</v>
      </c>
      <c r="J420" s="35">
        <f ca="1">Tabela3[[#This Row],[Custo Total]]/Tabela3[[#This Row],[Realizado]]</f>
        <v>68.557068310432541</v>
      </c>
      <c r="K420" s="37">
        <f>IFERROR(Tabela3[[#This Row],[Qtde Cx Produzida]]/Tabela3[[#This Row],[Tempo]]/24,0)</f>
        <v>10.076335877862595</v>
      </c>
      <c r="L420" s="37">
        <f>Tabela3[[#This Row],[Qtde Cx Produzida]]*Tabela3[[#This Row],[Qdt Peça Placa]]</f>
        <v>22</v>
      </c>
      <c r="M420" s="37">
        <f>Tabela3[[#This Row],[Previsto]]-Tabela3[[#This Row],[Perda Pçs]]</f>
        <v>22</v>
      </c>
      <c r="N420" s="38">
        <f>IFERROR(Tabela3[[#This Row],[Perda Pçs]]/Tabela3[[#This Row],[Previsto]],0)</f>
        <v>0</v>
      </c>
      <c r="O420" s="39">
        <f>IFERROR(IF(Tabela3[[#This Row],[Qtde Cx Produzida]] &lt;&gt; 0, Tabela3[[#This Row],[Tempo]] / Tabela3[[#This Row],[Qtde Cx Produzida]], 0),0)</f>
        <v>4.1351010101010098E-3</v>
      </c>
      <c r="P420" s="57">
        <f>IFERROR(Tabela3[[#This Row],[Perda Pçs]]/Tabela3[[#This Row],[Qdt Peça Placa]],0)</f>
        <v>0</v>
      </c>
      <c r="Q420" s="37">
        <f>IFERROR(Tabela3[[#This Row],[Realizado]]*Tabela3[[#This Row],[Peso Util/Pç]],0)</f>
        <v>68.2</v>
      </c>
      <c r="R420" s="37">
        <f>IFERROR(Tabela3[[#This Row],[Peso Total Galho]]*Tabela3[[#This Row],[Qtde Cx Produzida]]*1.055,0)</f>
        <v>81.234999999999999</v>
      </c>
      <c r="S420" s="37">
        <f>(Tabela3[[#This Row],[Aluminio Bruto]]-Tabela3[[#This Row],[Aluminio Util]])*0.9</f>
        <v>11.731499999999997</v>
      </c>
      <c r="T420" s="37">
        <f>Tabela3[[#This Row],[Aluminio Bruto]]/OleoKGAluminio</f>
        <v>34.175459464154123</v>
      </c>
      <c r="U420" s="35">
        <f>IFERROR((VLOOKUP(Tabela3[[#This Row],[Moldador]],Tabela1[],5,)+(VLOOKUP(Tabela3[[#This Row],[Ajudante]],Tabela1[],5,))*3.5),0)</f>
        <v>99.95034583333333</v>
      </c>
      <c r="V420" s="35">
        <f>IFERROR(Tabela3[[#This Row],[Custo M.O. / H]]/((Tabela3[[#This Row],[Realizado]]/Tabela3[[#This Row],[Qdt Peça Placa]])/Tabela3[[#This Row],[Tempo]]/24),)</f>
        <v>9.9193146243686865</v>
      </c>
      <c r="W420" s="35">
        <f>Tabela3[[#This Row],[Custo / Cx Moldada]]*Tabela3[[#This Row],[Qtde Cx Produzida]]</f>
        <v>218.2249217361111</v>
      </c>
      <c r="X420" s="35">
        <f ca="1">Tabela3[[#This Row],[Aluminio Util]]*Tabela3[[#This Row],[Custo/Kg]]</f>
        <v>1200.3200000000002</v>
      </c>
      <c r="Y420" s="35">
        <f>IFERROR(VLOOKUP(Tabela3[[#This Row],[Data]],Tabela461213[],2,1)*(Tabela3[[#This Row],[Qtde Cx Produzida]]*Tabela3[[#This Row],[Qde macho / CX]]*Tabela3[[#This Row],[Peso Macho]]),)</f>
        <v>0</v>
      </c>
      <c r="Z420" s="35">
        <f>IFERROR(Tabela3[[#This Row],[Qtde Oleo]]*(VLOOKUP(Tabela3[[#This Row],[Data]],CompraOleo[],3,TRUE))*1.05,0)</f>
        <v>89.710581093404585</v>
      </c>
      <c r="AA420" s="47">
        <f ca="1">(Tabela3[[#This Row],[Custo Oleo]]+Tabela3[[#This Row],[Custo Aluminio]]+Tabela3[[#This Row],[Custo M.O. Total]]+Tabela3[[#This Row],[Custo Machos]])</f>
        <v>1508.2555028295158</v>
      </c>
      <c r="AB420" s="47">
        <f ca="1">Tabela3[[#This Row],[Custo Total]]*Tabela3[[#This Row],[% Perda]]</f>
        <v>0</v>
      </c>
      <c r="AC420" s="48">
        <f>IFERROR(VLOOKUP(Tabela3[[#This Row],[Produto]],Tabela2[],2,0),0)</f>
        <v>1</v>
      </c>
      <c r="AD420" s="48">
        <f>IFERROR(VLOOKUP(Tabela3[[#This Row],[Produto]],Tabela2[],3,0),0)</f>
        <v>3.1</v>
      </c>
      <c r="AE420" s="48">
        <f>IFERROR(VLOOKUP(Tabela3[[#This Row],[Produto]],Tabela2[],4,0),0)</f>
        <v>3.5</v>
      </c>
      <c r="AF420" s="48">
        <f>IFERROR(VLOOKUP(Tabela3[[#This Row],[Produto]],Tabela2[],5,0),0)</f>
        <v>0.35999999999999993</v>
      </c>
      <c r="AG420" s="40">
        <f>IFERROR(VLOOKUP(Tabela3[[#This Row],[Produto]],Tabela2[],6,0),0)</f>
        <v>0</v>
      </c>
      <c r="AH420" s="40">
        <f>IFERROR(VLOOKUP(Tabela3[[#This Row],[Produto]],Tabela2[],7,0),0)</f>
        <v>0</v>
      </c>
      <c r="AI420" s="40">
        <f>IFERROR(VLOOKUP(Tabela3[[#This Row],[Produto]],Tabela2[],8,0),0)</f>
        <v>0</v>
      </c>
      <c r="AJ420" s="35">
        <f ca="1">IFERROR(VLOOKUP(Tabela3[[#This Row],[Produto]],Tabela2[],13,0),0)</f>
        <v>17.600000000000001</v>
      </c>
      <c r="AK420" s="40" t="str">
        <f>IFERROR(VLOOKUP(Tabela3[[#This Row],[Produto]],Tabela2[],14,0),0)</f>
        <v>Danilo</v>
      </c>
      <c r="AL420" s="40">
        <f>IFERROR(VLOOKUP(Tabela3[[#This Row],[Produto]],Tabela2[],15,0),0)</f>
        <v>0</v>
      </c>
      <c r="AM420" s="36">
        <f ca="1">(Tabela3[[#This Row],[Custo Usinagem]]+Tabela3[[#This Row],[Custo / Pç]])*1.2</f>
        <v>82.268481972519041</v>
      </c>
      <c r="AN420" s="36">
        <f ca="1">Tabela3[[#This Row],[Valor Mínimo Venda]]*1.15</f>
        <v>94.608754268396893</v>
      </c>
      <c r="AO420" s="36">
        <f ca="1">Tabela3[[#This Row],[Tabela 1]]*1.08</f>
        <v>102.17745460986865</v>
      </c>
      <c r="AP420" s="36">
        <f ca="1">Tabela3[[#This Row],[Tabela 2]]*1.15</f>
        <v>117.50407280134894</v>
      </c>
    </row>
    <row r="421" spans="1:42">
      <c r="A421" s="9">
        <v>45847</v>
      </c>
      <c r="B421" s="6" t="s">
        <v>245</v>
      </c>
      <c r="C421" s="14">
        <v>7072</v>
      </c>
      <c r="D421" s="6" t="s">
        <v>44</v>
      </c>
      <c r="E421" s="6" t="s">
        <v>47</v>
      </c>
      <c r="F421" s="6">
        <v>21</v>
      </c>
      <c r="G421" s="15">
        <v>0.10208333333333333</v>
      </c>
      <c r="H421" s="16">
        <v>0</v>
      </c>
      <c r="I421" s="35">
        <f ca="1">IFERROR(Tabela3[[#This Row],[Custo Total]]/Tabela3[[#This Row],[Aluminio Util]],0)</f>
        <v>26.398599690165941</v>
      </c>
      <c r="J421" s="35">
        <f ca="1">Tabela3[[#This Row],[Custo Total]]/Tabela3[[#This Row],[Realizado]]</f>
        <v>8.7643350971350937</v>
      </c>
      <c r="K421" s="37">
        <f>IFERROR(Tabela3[[#This Row],[Qtde Cx Produzida]]/Tabela3[[#This Row],[Tempo]]/24,0)</f>
        <v>8.5714285714285712</v>
      </c>
      <c r="L421" s="37">
        <f>Tabela3[[#This Row],[Qtde Cx Produzida]]*Tabela3[[#This Row],[Qdt Peça Placa]]</f>
        <v>84</v>
      </c>
      <c r="M421" s="37">
        <f>Tabela3[[#This Row],[Previsto]]-Tabela3[[#This Row],[Perda Pçs]]</f>
        <v>84</v>
      </c>
      <c r="N421" s="38">
        <f>IFERROR(Tabela3[[#This Row],[Perda Pçs]]/Tabela3[[#This Row],[Previsto]],0)</f>
        <v>0</v>
      </c>
      <c r="O421" s="39">
        <f>IFERROR(IF(Tabela3[[#This Row],[Qtde Cx Produzida]] &lt;&gt; 0, Tabela3[[#This Row],[Tempo]] / Tabela3[[#This Row],[Qtde Cx Produzida]], 0),0)</f>
        <v>4.8611111111111112E-3</v>
      </c>
      <c r="P421" s="57">
        <f>IFERROR(Tabela3[[#This Row],[Perda Pçs]]/Tabela3[[#This Row],[Qdt Peça Placa]],0)</f>
        <v>0</v>
      </c>
      <c r="Q421" s="37">
        <f>IFERROR(Tabela3[[#This Row],[Realizado]]*Tabela3[[#This Row],[Peso Util/Pç]],0)</f>
        <v>27.888000000000002</v>
      </c>
      <c r="R421" s="37">
        <f>IFERROR(Tabela3[[#This Row],[Peso Total Galho]]*Tabela3[[#This Row],[Qtde Cx Produzida]]*1.055,0)</f>
        <v>50.956499999999991</v>
      </c>
      <c r="S421" s="37">
        <f>(Tabela3[[#This Row],[Aluminio Bruto]]-Tabela3[[#This Row],[Aluminio Util]])*0.9</f>
        <v>20.761649999999992</v>
      </c>
      <c r="T421" s="37">
        <f>Tabela3[[#This Row],[Aluminio Bruto]]/OleoKGAluminio</f>
        <v>21.437333663878491</v>
      </c>
      <c r="U421" s="35">
        <f>IFERROR((VLOOKUP(Tabela3[[#This Row],[Moldador]],Tabela1[],5,)+(VLOOKUP(Tabela3[[#This Row],[Ajudante]],Tabela1[],5,))*3.5),0)</f>
        <v>99.95034583333333</v>
      </c>
      <c r="V421" s="35">
        <f>IFERROR(Tabela3[[#This Row],[Custo M.O. / H]]/((Tabela3[[#This Row],[Realizado]]/Tabela3[[#This Row],[Qdt Peça Placa]])/Tabela3[[#This Row],[Tempo]]/24),)</f>
        <v>11.660873680555556</v>
      </c>
      <c r="W421" s="35">
        <f>Tabela3[[#This Row],[Custo / Cx Moldada]]*Tabela3[[#This Row],[Qtde Cx Produzida]]</f>
        <v>244.87834729166667</v>
      </c>
      <c r="X421" s="35">
        <f ca="1">Tabela3[[#This Row],[Aluminio Util]]*Tabela3[[#This Row],[Custo/Kg]]</f>
        <v>435.05280000000005</v>
      </c>
      <c r="Y421" s="35">
        <f>IFERROR(VLOOKUP(Tabela3[[#This Row],[Data]],Tabela461213[],2,1)*(Tabela3[[#This Row],[Qtde Cx Produzida]]*Tabela3[[#This Row],[Qde macho / CX]]*Tabela3[[#This Row],[Peso Macho]]),)</f>
        <v>0</v>
      </c>
      <c r="Z421" s="35">
        <f>IFERROR(Tabela3[[#This Row],[Qtde Oleo]]*(VLOOKUP(Tabela3[[#This Row],[Data]],CompraOleo[],3,TRUE))*1.05,0)</f>
        <v>56.273000867681041</v>
      </c>
      <c r="AA421" s="47">
        <f ca="1">(Tabela3[[#This Row],[Custo Oleo]]+Tabela3[[#This Row],[Custo Aluminio]]+Tabela3[[#This Row],[Custo M.O. Total]]+Tabela3[[#This Row],[Custo Machos]])</f>
        <v>736.20414815934782</v>
      </c>
      <c r="AB421" s="47">
        <f ca="1">Tabela3[[#This Row],[Custo Total]]*Tabela3[[#This Row],[% Perda]]</f>
        <v>0</v>
      </c>
      <c r="AC421" s="48">
        <f>IFERROR(VLOOKUP(Tabela3[[#This Row],[Produto]],Tabela2[],2,0),0)</f>
        <v>4</v>
      </c>
      <c r="AD421" s="48">
        <f>IFERROR(VLOOKUP(Tabela3[[#This Row],[Produto]],Tabela2[],3,0),0)</f>
        <v>0.33200000000000002</v>
      </c>
      <c r="AE421" s="48">
        <f>IFERROR(VLOOKUP(Tabela3[[#This Row],[Produto]],Tabela2[],4,0),0)</f>
        <v>2.2999999999999998</v>
      </c>
      <c r="AF421" s="48">
        <f>IFERROR(VLOOKUP(Tabela3[[#This Row],[Produto]],Tabela2[],5,0),0)</f>
        <v>0.8747999999999998</v>
      </c>
      <c r="AG421" s="40">
        <f>IFERROR(VLOOKUP(Tabela3[[#This Row],[Produto]],Tabela2[],6,0),0)</f>
        <v>0</v>
      </c>
      <c r="AH421" s="40">
        <f>IFERROR(VLOOKUP(Tabela3[[#This Row],[Produto]],Tabela2[],7,0),0)</f>
        <v>0</v>
      </c>
      <c r="AI421" s="40">
        <f>IFERROR(VLOOKUP(Tabela3[[#This Row],[Produto]],Tabela2[],8,0),0)</f>
        <v>0</v>
      </c>
      <c r="AJ421" s="35">
        <f ca="1">IFERROR(VLOOKUP(Tabela3[[#This Row],[Produto]],Tabela2[],13,0),0)</f>
        <v>15.600000000000001</v>
      </c>
      <c r="AK421" s="40" t="str">
        <f>IFERROR(VLOOKUP(Tabela3[[#This Row],[Produto]],Tabela2[],14,0),0)</f>
        <v>Senun</v>
      </c>
      <c r="AL421" s="40">
        <f>IFERROR(VLOOKUP(Tabela3[[#This Row],[Produto]],Tabela2[],15,0),0)</f>
        <v>3.5</v>
      </c>
      <c r="AM421" s="36">
        <f ca="1">(Tabela3[[#This Row],[Custo Usinagem]]+Tabela3[[#This Row],[Custo / Pç]])*1.2</f>
        <v>14.717202116562111</v>
      </c>
      <c r="AN421" s="36">
        <f ca="1">Tabela3[[#This Row],[Valor Mínimo Venda]]*1.15</f>
        <v>16.924782434046428</v>
      </c>
      <c r="AO421" s="36">
        <f ca="1">Tabela3[[#This Row],[Tabela 1]]*1.08</f>
        <v>18.278765028770142</v>
      </c>
      <c r="AP421" s="36">
        <f ca="1">Tabela3[[#This Row],[Tabela 2]]*1.15</f>
        <v>21.020579783085662</v>
      </c>
    </row>
    <row r="422" spans="1:42">
      <c r="A422" s="9">
        <v>45847</v>
      </c>
      <c r="B422" s="6" t="s">
        <v>207</v>
      </c>
      <c r="C422" s="14">
        <v>7248</v>
      </c>
      <c r="D422" s="6" t="s">
        <v>44</v>
      </c>
      <c r="E422" s="6" t="s">
        <v>47</v>
      </c>
      <c r="F422" s="6">
        <v>5</v>
      </c>
      <c r="G422" s="15">
        <v>4.2361111111111113E-2</v>
      </c>
      <c r="H422" s="16">
        <v>0</v>
      </c>
      <c r="I422" s="35">
        <f ca="1">IFERROR(Tabela3[[#This Row],[Custo Total]]/Tabela3[[#This Row],[Aluminio Util]],0)</f>
        <v>21.506680965150689</v>
      </c>
      <c r="J422" s="35">
        <f ca="1">Tabela3[[#This Row],[Custo Total]]/Tabela3[[#This Row],[Realizado]]</f>
        <v>67.100844611270162</v>
      </c>
      <c r="K422" s="37">
        <f>IFERROR(Tabela3[[#This Row],[Qtde Cx Produzida]]/Tabela3[[#This Row],[Tempo]]/24,0)</f>
        <v>4.918032786885246</v>
      </c>
      <c r="L422" s="37">
        <f>Tabela3[[#This Row],[Qtde Cx Produzida]]*Tabela3[[#This Row],[Qdt Peça Placa]]</f>
        <v>10</v>
      </c>
      <c r="M422" s="37">
        <f>Tabela3[[#This Row],[Previsto]]-Tabela3[[#This Row],[Perda Pçs]]</f>
        <v>10</v>
      </c>
      <c r="N422" s="38">
        <f>IFERROR(Tabela3[[#This Row],[Perda Pçs]]/Tabela3[[#This Row],[Previsto]],0)</f>
        <v>0</v>
      </c>
      <c r="O422" s="39">
        <f>IFERROR(IF(Tabela3[[#This Row],[Qtde Cx Produzida]] &lt;&gt; 0, Tabela3[[#This Row],[Tempo]] / Tabela3[[#This Row],[Qtde Cx Produzida]], 0),0)</f>
        <v>8.472222222222223E-3</v>
      </c>
      <c r="P422" s="57">
        <f>IFERROR(Tabela3[[#This Row],[Perda Pçs]]/Tabela3[[#This Row],[Qdt Peça Placa]],0)</f>
        <v>0</v>
      </c>
      <c r="Q422" s="37">
        <f>IFERROR(Tabela3[[#This Row],[Realizado]]*Tabela3[[#This Row],[Peso Util/Pç]],0)</f>
        <v>31.200000000000003</v>
      </c>
      <c r="R422" s="37">
        <f>IFERROR(Tabela3[[#This Row],[Peso Total Galho]]*Tabela3[[#This Row],[Qtde Cx Produzida]]*1.055,0)</f>
        <v>18.356999999999996</v>
      </c>
      <c r="S422" s="37">
        <f>(Tabela3[[#This Row],[Aluminio Bruto]]-Tabela3[[#This Row],[Aluminio Util]])*0.9</f>
        <v>-11.558700000000007</v>
      </c>
      <c r="T422" s="37">
        <f>Tabela3[[#This Row],[Aluminio Bruto]]/OleoKGAluminio</f>
        <v>7.7227661646270338</v>
      </c>
      <c r="U422" s="35">
        <f>IFERROR((VLOOKUP(Tabela3[[#This Row],[Moldador]],Tabela1[],5,)+(VLOOKUP(Tabela3[[#This Row],[Ajudante]],Tabela1[],5,))*3.5),0)</f>
        <v>99.95034583333333</v>
      </c>
      <c r="V422" s="35">
        <f>IFERROR(Tabela3[[#This Row],[Custo M.O. / H]]/((Tabela3[[#This Row],[Realizado]]/Tabela3[[#This Row],[Qdt Peça Placa]])/Tabela3[[#This Row],[Tempo]]/24),)</f>
        <v>20.323236986111109</v>
      </c>
      <c r="W422" s="35">
        <f>Tabela3[[#This Row],[Custo / Cx Moldada]]*Tabela3[[#This Row],[Qtde Cx Produzida]]</f>
        <v>101.61618493055555</v>
      </c>
      <c r="X422" s="35">
        <f ca="1">Tabela3[[#This Row],[Aluminio Util]]*Tabela3[[#This Row],[Custo/Kg]]</f>
        <v>549.12000000000012</v>
      </c>
      <c r="Y422" s="35">
        <f>IFERROR(VLOOKUP(Tabela3[[#This Row],[Data]],Tabela461213[],2,1)*(Tabela3[[#This Row],[Qtde Cx Produzida]]*Tabela3[[#This Row],[Qde macho / CX]]*Tabela3[[#This Row],[Peso Macho]]),)</f>
        <v>0</v>
      </c>
      <c r="Z422" s="35">
        <f>IFERROR(Tabela3[[#This Row],[Qtde Oleo]]*(VLOOKUP(Tabela3[[#This Row],[Data]],CompraOleo[],3,TRUE))*1.05,0)</f>
        <v>20.272261182145964</v>
      </c>
      <c r="AA422" s="47">
        <f ca="1">(Tabela3[[#This Row],[Custo Oleo]]+Tabela3[[#This Row],[Custo Aluminio]]+Tabela3[[#This Row],[Custo M.O. Total]]+Tabela3[[#This Row],[Custo Machos]])</f>
        <v>671.00844611270156</v>
      </c>
      <c r="AB422" s="47">
        <f ca="1">Tabela3[[#This Row],[Custo Total]]*Tabela3[[#This Row],[% Perda]]</f>
        <v>0</v>
      </c>
      <c r="AC422" s="48">
        <f>IFERROR(VLOOKUP(Tabela3[[#This Row],[Produto]],Tabela2[],2,0),0)</f>
        <v>2</v>
      </c>
      <c r="AD422" s="48">
        <f>IFERROR(VLOOKUP(Tabela3[[#This Row],[Produto]],Tabela2[],3,0),0)</f>
        <v>3.12</v>
      </c>
      <c r="AE422" s="48">
        <f>IFERROR(VLOOKUP(Tabela3[[#This Row],[Produto]],Tabela2[],4,0),0)</f>
        <v>3.48</v>
      </c>
      <c r="AF422" s="48">
        <f>IFERROR(VLOOKUP(Tabela3[[#This Row],[Produto]],Tabela2[],5,0),0)</f>
        <v>-2.4840000000000004</v>
      </c>
      <c r="AG422" s="40">
        <f>IFERROR(VLOOKUP(Tabela3[[#This Row],[Produto]],Tabela2[],6,0),0)</f>
        <v>0</v>
      </c>
      <c r="AH422" s="40">
        <f>IFERROR(VLOOKUP(Tabela3[[#This Row],[Produto]],Tabela2[],7,0),0)</f>
        <v>0</v>
      </c>
      <c r="AI422" s="40">
        <f>IFERROR(VLOOKUP(Tabela3[[#This Row],[Produto]],Tabela2[],8,0),0)</f>
        <v>0</v>
      </c>
      <c r="AJ422" s="35">
        <f ca="1">IFERROR(VLOOKUP(Tabela3[[#This Row],[Produto]],Tabela2[],13,0),0)</f>
        <v>17.600000000000001</v>
      </c>
      <c r="AK422" s="40" t="str">
        <f>IFERROR(VLOOKUP(Tabela3[[#This Row],[Produto]],Tabela2[],14,0),0)</f>
        <v>Oscar</v>
      </c>
      <c r="AL422" s="40">
        <f>IFERROR(VLOOKUP(Tabela3[[#This Row],[Produto]],Tabela2[],15,0),0)</f>
        <v>0</v>
      </c>
      <c r="AM422" s="36">
        <f ca="1">(Tabela3[[#This Row],[Custo Usinagem]]+Tabela3[[#This Row],[Custo / Pç]])*1.2</f>
        <v>80.521013533524197</v>
      </c>
      <c r="AN422" s="36">
        <f ca="1">Tabela3[[#This Row],[Valor Mínimo Venda]]*1.15</f>
        <v>92.599165563552816</v>
      </c>
      <c r="AO422" s="36">
        <f ca="1">Tabela3[[#This Row],[Tabela 1]]*1.08</f>
        <v>100.00709880863705</v>
      </c>
      <c r="AP422" s="36">
        <f ca="1">Tabela3[[#This Row],[Tabela 2]]*1.15</f>
        <v>115.0081636299326</v>
      </c>
    </row>
    <row r="423" spans="1:42">
      <c r="A423" s="9">
        <v>45848</v>
      </c>
      <c r="B423" s="6" t="s">
        <v>247</v>
      </c>
      <c r="C423" s="14">
        <v>7083</v>
      </c>
      <c r="D423" s="6" t="s">
        <v>46</v>
      </c>
      <c r="E423" s="6" t="s">
        <v>53</v>
      </c>
      <c r="F423" s="6">
        <v>57</v>
      </c>
      <c r="G423" s="15">
        <v>0.30138888888888887</v>
      </c>
      <c r="H423" s="16">
        <v>0</v>
      </c>
      <c r="I423" s="35">
        <f ca="1">IFERROR(Tabela3[[#This Row],[Custo Total]]/Tabela3[[#This Row],[Aluminio Util]],0)</f>
        <v>28.402853370607879</v>
      </c>
      <c r="J423" s="35">
        <f ca="1">Tabela3[[#This Row],[Custo Total]]/Tabela3[[#This Row],[Realizado]]</f>
        <v>8.5208560111823619</v>
      </c>
      <c r="K423" s="37">
        <f>IFERROR(Tabela3[[#This Row],[Qtde Cx Produzida]]/Tabela3[[#This Row],[Tempo]]/24,0)</f>
        <v>7.8801843317972349</v>
      </c>
      <c r="L423" s="37">
        <f>Tabela3[[#This Row],[Qtde Cx Produzida]]*Tabela3[[#This Row],[Qdt Peça Placa]]</f>
        <v>228</v>
      </c>
      <c r="M423" s="37">
        <f>Tabela3[[#This Row],[Previsto]]-Tabela3[[#This Row],[Perda Pçs]]</f>
        <v>228</v>
      </c>
      <c r="N423" s="38">
        <f>IFERROR(Tabela3[[#This Row],[Perda Pçs]]/Tabela3[[#This Row],[Previsto]],0)</f>
        <v>0</v>
      </c>
      <c r="O423" s="39">
        <f>IFERROR(IF(Tabela3[[#This Row],[Qtde Cx Produzida]] &lt;&gt; 0, Tabela3[[#This Row],[Tempo]] / Tabela3[[#This Row],[Qtde Cx Produzida]], 0),0)</f>
        <v>5.2875243664717349E-3</v>
      </c>
      <c r="P423" s="57">
        <f>IFERROR(Tabela3[[#This Row],[Perda Pçs]]/Tabela3[[#This Row],[Qdt Peça Placa]],0)</f>
        <v>0</v>
      </c>
      <c r="Q423" s="37">
        <f>IFERROR(Tabela3[[#This Row],[Realizado]]*Tabela3[[#This Row],[Peso Util/Pç]],0)</f>
        <v>68.399999999999991</v>
      </c>
      <c r="R423" s="37">
        <f>IFERROR(Tabela3[[#This Row],[Peso Total Galho]]*Tabela3[[#This Row],[Qtde Cx Produzida]]*1.055,0)</f>
        <v>138.31049999999999</v>
      </c>
      <c r="S423" s="37">
        <f>(Tabela3[[#This Row],[Aluminio Bruto]]-Tabela3[[#This Row],[Aluminio Util]])*0.9</f>
        <v>62.919449999999998</v>
      </c>
      <c r="T423" s="37">
        <f>Tabela3[[#This Row],[Aluminio Bruto]]/OleoKGAluminio</f>
        <v>58.187048516241624</v>
      </c>
      <c r="U423" s="35">
        <f>IFERROR((VLOOKUP(Tabela3[[#This Row],[Moldador]],Tabela1[],5,)+(VLOOKUP(Tabela3[[#This Row],[Ajudante]],Tabela1[],5,))*3.5),0)</f>
        <v>99.95034583333333</v>
      </c>
      <c r="V423" s="35">
        <f>IFERROR(Tabela3[[#This Row],[Custo M.O. / H]]/((Tabela3[[#This Row],[Realizado]]/Tabela3[[#This Row],[Qdt Peça Placa]])/Tabela3[[#This Row],[Tempo]]/24),)</f>
        <v>12.683757336744639</v>
      </c>
      <c r="W423" s="35">
        <f>Tabela3[[#This Row],[Custo / Cx Moldada]]*Tabela3[[#This Row],[Qtde Cx Produzida]]</f>
        <v>722.97416819444447</v>
      </c>
      <c r="X423" s="35">
        <f ca="1">Tabela3[[#This Row],[Aluminio Util]]*Tabela3[[#This Row],[Custo/Kg]]</f>
        <v>1067.04</v>
      </c>
      <c r="Y423" s="35">
        <f>IFERROR(VLOOKUP(Tabela3[[#This Row],[Data]],Tabela461213[],2,1)*(Tabela3[[#This Row],[Qtde Cx Produzida]]*Tabela3[[#This Row],[Qde macho / CX]]*Tabela3[[#This Row],[Peso Macho]]),)</f>
        <v>0</v>
      </c>
      <c r="Z423" s="35">
        <f>IFERROR(Tabela3[[#This Row],[Qtde Oleo]]*(VLOOKUP(Tabela3[[#This Row],[Data]],CompraOleo[],3,TRUE))*1.05,0)</f>
        <v>152.74100235513427</v>
      </c>
      <c r="AA423" s="47">
        <f ca="1">(Tabela3[[#This Row],[Custo Oleo]]+Tabela3[[#This Row],[Custo Aluminio]]+Tabela3[[#This Row],[Custo M.O. Total]]+Tabela3[[#This Row],[Custo Machos]])</f>
        <v>1942.7551705495787</v>
      </c>
      <c r="AB423" s="47">
        <f ca="1">Tabela3[[#This Row],[Custo Total]]*Tabela3[[#This Row],[% Perda]]</f>
        <v>0</v>
      </c>
      <c r="AC423" s="48">
        <f>IFERROR(VLOOKUP(Tabela3[[#This Row],[Produto]],Tabela2[],2,0),0)</f>
        <v>4</v>
      </c>
      <c r="AD423" s="48">
        <f>IFERROR(VLOOKUP(Tabela3[[#This Row],[Produto]],Tabela2[],3,0),0)</f>
        <v>0.3</v>
      </c>
      <c r="AE423" s="48">
        <f>IFERROR(VLOOKUP(Tabela3[[#This Row],[Produto]],Tabela2[],4,0),0)</f>
        <v>2.2999999999999998</v>
      </c>
      <c r="AF423" s="48">
        <f>IFERROR(VLOOKUP(Tabela3[[#This Row],[Produto]],Tabela2[],5,0),0)</f>
        <v>0.98999999999999988</v>
      </c>
      <c r="AG423" s="40">
        <f>IFERROR(VLOOKUP(Tabela3[[#This Row],[Produto]],Tabela2[],6,0),0)</f>
        <v>0</v>
      </c>
      <c r="AH423" s="40">
        <f>IFERROR(VLOOKUP(Tabela3[[#This Row],[Produto]],Tabela2[],7,0),0)</f>
        <v>0</v>
      </c>
      <c r="AI423" s="40">
        <f>IFERROR(VLOOKUP(Tabela3[[#This Row],[Produto]],Tabela2[],8,0),0)</f>
        <v>0</v>
      </c>
      <c r="AJ423" s="35">
        <f ca="1">IFERROR(VLOOKUP(Tabela3[[#This Row],[Produto]],Tabela2[],13,0),0)</f>
        <v>15.600000000000001</v>
      </c>
      <c r="AK423" s="40" t="str">
        <f>IFERROR(VLOOKUP(Tabela3[[#This Row],[Produto]],Tabela2[],14,0),0)</f>
        <v>Senun</v>
      </c>
      <c r="AL423" s="40">
        <f>IFERROR(VLOOKUP(Tabela3[[#This Row],[Produto]],Tabela2[],15,0),0)</f>
        <v>3.5</v>
      </c>
      <c r="AM423" s="36">
        <f ca="1">(Tabela3[[#This Row],[Custo Usinagem]]+Tabela3[[#This Row],[Custo / Pç]])*1.2</f>
        <v>14.425027213418833</v>
      </c>
      <c r="AN423" s="36">
        <f ca="1">Tabela3[[#This Row],[Valor Mínimo Venda]]*1.15</f>
        <v>16.588781295431655</v>
      </c>
      <c r="AO423" s="36">
        <f ca="1">Tabela3[[#This Row],[Tabela 1]]*1.08</f>
        <v>17.91588379906619</v>
      </c>
      <c r="AP423" s="36">
        <f ca="1">Tabela3[[#This Row],[Tabela 2]]*1.15</f>
        <v>20.603266368926118</v>
      </c>
    </row>
    <row r="424" spans="1:42">
      <c r="A424" s="9">
        <v>45848</v>
      </c>
      <c r="B424" s="6" t="s">
        <v>247</v>
      </c>
      <c r="C424" s="14">
        <v>7083</v>
      </c>
      <c r="D424" s="6" t="s">
        <v>44</v>
      </c>
      <c r="E424" s="6" t="s">
        <v>47</v>
      </c>
      <c r="F424" s="6">
        <v>10</v>
      </c>
      <c r="G424" s="15">
        <v>4.9305555555555554E-2</v>
      </c>
      <c r="H424" s="16">
        <v>0</v>
      </c>
      <c r="I424" s="35">
        <f ca="1">IFERROR(Tabela3[[#This Row],[Custo Total]]/Tabela3[[#This Row],[Aluminio Util]],0)</f>
        <v>27.689270248552159</v>
      </c>
      <c r="J424" s="35">
        <f ca="1">Tabela3[[#This Row],[Custo Total]]/Tabela3[[#This Row],[Realizado]]</f>
        <v>8.306781074565647</v>
      </c>
      <c r="K424" s="37">
        <f>IFERROR(Tabela3[[#This Row],[Qtde Cx Produzida]]/Tabela3[[#This Row],[Tempo]]/24,0)</f>
        <v>8.4507042253521139</v>
      </c>
      <c r="L424" s="37">
        <f>Tabela3[[#This Row],[Qtde Cx Produzida]]*Tabela3[[#This Row],[Qdt Peça Placa]]</f>
        <v>40</v>
      </c>
      <c r="M424" s="37">
        <f>Tabela3[[#This Row],[Previsto]]-Tabela3[[#This Row],[Perda Pçs]]</f>
        <v>40</v>
      </c>
      <c r="N424" s="38">
        <f>IFERROR(Tabela3[[#This Row],[Perda Pçs]]/Tabela3[[#This Row],[Previsto]],0)</f>
        <v>0</v>
      </c>
      <c r="O424" s="39">
        <f>IFERROR(IF(Tabela3[[#This Row],[Qtde Cx Produzida]] &lt;&gt; 0, Tabela3[[#This Row],[Tempo]] / Tabela3[[#This Row],[Qtde Cx Produzida]], 0),0)</f>
        <v>4.9305555555555552E-3</v>
      </c>
      <c r="P424" s="57">
        <f>IFERROR(Tabela3[[#This Row],[Perda Pçs]]/Tabela3[[#This Row],[Qdt Peça Placa]],0)</f>
        <v>0</v>
      </c>
      <c r="Q424" s="37">
        <f>IFERROR(Tabela3[[#This Row],[Realizado]]*Tabela3[[#This Row],[Peso Util/Pç]],0)</f>
        <v>12</v>
      </c>
      <c r="R424" s="37">
        <f>IFERROR(Tabela3[[#This Row],[Peso Total Galho]]*Tabela3[[#This Row],[Qtde Cx Produzida]]*1.055,0)</f>
        <v>24.264999999999997</v>
      </c>
      <c r="S424" s="37">
        <f>(Tabela3[[#This Row],[Aluminio Bruto]]-Tabela3[[#This Row],[Aluminio Util]])*0.9</f>
        <v>11.038499999999997</v>
      </c>
      <c r="T424" s="37">
        <f>Tabela3[[#This Row],[Aluminio Bruto]]/OleoKGAluminio</f>
        <v>10.208254125656424</v>
      </c>
      <c r="U424" s="35">
        <f>IFERROR((VLOOKUP(Tabela3[[#This Row],[Moldador]],Tabela1[],5,)+(VLOOKUP(Tabela3[[#This Row],[Ajudante]],Tabela1[],5,))*3.5),0)</f>
        <v>99.95034583333333</v>
      </c>
      <c r="V424" s="35">
        <f>IFERROR(Tabela3[[#This Row],[Custo M.O. / H]]/((Tabela3[[#This Row],[Realizado]]/Tabela3[[#This Row],[Qdt Peça Placa]])/Tabela3[[#This Row],[Tempo]]/24),)</f>
        <v>11.827457590277776</v>
      </c>
      <c r="W424" s="35">
        <f>Tabela3[[#This Row],[Custo / Cx Moldada]]*Tabela3[[#This Row],[Qtde Cx Produzida]]</f>
        <v>118.27457590277776</v>
      </c>
      <c r="X424" s="35">
        <f ca="1">Tabela3[[#This Row],[Aluminio Util]]*Tabela3[[#This Row],[Custo/Kg]]</f>
        <v>187.20000000000002</v>
      </c>
      <c r="Y424" s="35">
        <f>IFERROR(VLOOKUP(Tabela3[[#This Row],[Data]],Tabela461213[],2,1)*(Tabela3[[#This Row],[Qtde Cx Produzida]]*Tabela3[[#This Row],[Qde macho / CX]]*Tabela3[[#This Row],[Peso Macho]]),)</f>
        <v>0</v>
      </c>
      <c r="Z424" s="35">
        <f>IFERROR(Tabela3[[#This Row],[Qtde Oleo]]*(VLOOKUP(Tabela3[[#This Row],[Data]],CompraOleo[],3,TRUE))*1.05,0)</f>
        <v>26.796667079848113</v>
      </c>
      <c r="AA424" s="47">
        <f ca="1">(Tabela3[[#This Row],[Custo Oleo]]+Tabela3[[#This Row],[Custo Aluminio]]+Tabela3[[#This Row],[Custo M.O. Total]]+Tabela3[[#This Row],[Custo Machos]])</f>
        <v>332.27124298262589</v>
      </c>
      <c r="AB424" s="47">
        <f ca="1">Tabela3[[#This Row],[Custo Total]]*Tabela3[[#This Row],[% Perda]]</f>
        <v>0</v>
      </c>
      <c r="AC424" s="48">
        <f>IFERROR(VLOOKUP(Tabela3[[#This Row],[Produto]],Tabela2[],2,0),0)</f>
        <v>4</v>
      </c>
      <c r="AD424" s="48">
        <f>IFERROR(VLOOKUP(Tabela3[[#This Row],[Produto]],Tabela2[],3,0),0)</f>
        <v>0.3</v>
      </c>
      <c r="AE424" s="48">
        <f>IFERROR(VLOOKUP(Tabela3[[#This Row],[Produto]],Tabela2[],4,0),0)</f>
        <v>2.2999999999999998</v>
      </c>
      <c r="AF424" s="48">
        <f>IFERROR(VLOOKUP(Tabela3[[#This Row],[Produto]],Tabela2[],5,0),0)</f>
        <v>0.98999999999999988</v>
      </c>
      <c r="AG424" s="40">
        <f>IFERROR(VLOOKUP(Tabela3[[#This Row],[Produto]],Tabela2[],6,0),0)</f>
        <v>0</v>
      </c>
      <c r="AH424" s="40">
        <f>IFERROR(VLOOKUP(Tabela3[[#This Row],[Produto]],Tabela2[],7,0),0)</f>
        <v>0</v>
      </c>
      <c r="AI424" s="40">
        <f>IFERROR(VLOOKUP(Tabela3[[#This Row],[Produto]],Tabela2[],8,0),0)</f>
        <v>0</v>
      </c>
      <c r="AJ424" s="35">
        <f ca="1">IFERROR(VLOOKUP(Tabela3[[#This Row],[Produto]],Tabela2[],13,0),0)</f>
        <v>15.600000000000001</v>
      </c>
      <c r="AK424" s="40" t="str">
        <f>IFERROR(VLOOKUP(Tabela3[[#This Row],[Produto]],Tabela2[],14,0),0)</f>
        <v>Senun</v>
      </c>
      <c r="AL424" s="40">
        <f>IFERROR(VLOOKUP(Tabela3[[#This Row],[Produto]],Tabela2[],15,0),0)</f>
        <v>3.5</v>
      </c>
      <c r="AM424" s="36">
        <f ca="1">(Tabela3[[#This Row],[Custo Usinagem]]+Tabela3[[#This Row],[Custo / Pç]])*1.2</f>
        <v>14.168137289478777</v>
      </c>
      <c r="AN424" s="36">
        <f ca="1">Tabela3[[#This Row],[Valor Mínimo Venda]]*1.15</f>
        <v>16.29335788290059</v>
      </c>
      <c r="AO424" s="36">
        <f ca="1">Tabela3[[#This Row],[Tabela 1]]*1.08</f>
        <v>17.596826513532637</v>
      </c>
      <c r="AP424" s="36">
        <f ca="1">Tabela3[[#This Row],[Tabela 2]]*1.15</f>
        <v>20.236350490562533</v>
      </c>
    </row>
    <row r="425" spans="1:42">
      <c r="A425" s="9">
        <v>45848</v>
      </c>
      <c r="B425" s="6" t="s">
        <v>245</v>
      </c>
      <c r="C425" s="14">
        <v>7072</v>
      </c>
      <c r="D425" s="6" t="s">
        <v>44</v>
      </c>
      <c r="E425" s="6" t="s">
        <v>47</v>
      </c>
      <c r="F425" s="6">
        <v>54</v>
      </c>
      <c r="G425" s="15">
        <v>0.24513888888888888</v>
      </c>
      <c r="H425" s="16">
        <v>0</v>
      </c>
      <c r="I425" s="35">
        <f ca="1">IFERROR(Tabela3[[#This Row],[Custo Total]]/Tabela3[[#This Row],[Aluminio Util]],0)</f>
        <v>25.817860379722003</v>
      </c>
      <c r="J425" s="35">
        <f ca="1">Tabela3[[#This Row],[Custo Total]]/Tabela3[[#This Row],[Realizado]]</f>
        <v>8.5715296460677042</v>
      </c>
      <c r="K425" s="37">
        <f>IFERROR(Tabela3[[#This Row],[Qtde Cx Produzida]]/Tabela3[[#This Row],[Tempo]]/24,0)</f>
        <v>9.1784702549575083</v>
      </c>
      <c r="L425" s="37">
        <f>Tabela3[[#This Row],[Qtde Cx Produzida]]*Tabela3[[#This Row],[Qdt Peça Placa]]</f>
        <v>216</v>
      </c>
      <c r="M425" s="37">
        <f>Tabela3[[#This Row],[Previsto]]-Tabela3[[#This Row],[Perda Pçs]]</f>
        <v>216</v>
      </c>
      <c r="N425" s="38">
        <f>IFERROR(Tabela3[[#This Row],[Perda Pçs]]/Tabela3[[#This Row],[Previsto]],0)</f>
        <v>0</v>
      </c>
      <c r="O425" s="39">
        <f>IFERROR(IF(Tabela3[[#This Row],[Qtde Cx Produzida]] &lt;&gt; 0, Tabela3[[#This Row],[Tempo]] / Tabela3[[#This Row],[Qtde Cx Produzida]], 0),0)</f>
        <v>4.5396090534979422E-3</v>
      </c>
      <c r="P425" s="57">
        <f>IFERROR(Tabela3[[#This Row],[Perda Pçs]]/Tabela3[[#This Row],[Qdt Peça Placa]],0)</f>
        <v>0</v>
      </c>
      <c r="Q425" s="37">
        <f>IFERROR(Tabela3[[#This Row],[Realizado]]*Tabela3[[#This Row],[Peso Util/Pç]],0)</f>
        <v>71.712000000000003</v>
      </c>
      <c r="R425" s="37">
        <f>IFERROR(Tabela3[[#This Row],[Peso Total Galho]]*Tabela3[[#This Row],[Qtde Cx Produzida]]*1.055,0)</f>
        <v>131.03099999999998</v>
      </c>
      <c r="S425" s="37">
        <f>(Tabela3[[#This Row],[Aluminio Bruto]]-Tabela3[[#This Row],[Aluminio Util]])*0.9</f>
        <v>53.387099999999975</v>
      </c>
      <c r="T425" s="37">
        <f>Tabela3[[#This Row],[Aluminio Bruto]]/OleoKGAluminio</f>
        <v>55.12457227854469</v>
      </c>
      <c r="U425" s="35">
        <f>IFERROR((VLOOKUP(Tabela3[[#This Row],[Moldador]],Tabela1[],5,)+(VLOOKUP(Tabela3[[#This Row],[Ajudante]],Tabela1[],5,))*3.5),0)</f>
        <v>99.95034583333333</v>
      </c>
      <c r="V425" s="35">
        <f>IFERROR(Tabela3[[#This Row],[Custo M.O. / H]]/((Tabela3[[#This Row],[Realizado]]/Tabela3[[#This Row],[Qdt Peça Placa]])/Tabela3[[#This Row],[Tempo]]/24),)</f>
        <v>10.889651876286006</v>
      </c>
      <c r="W425" s="35">
        <f>Tabela3[[#This Row],[Custo / Cx Moldada]]*Tabela3[[#This Row],[Qtde Cx Produzida]]</f>
        <v>588.04120131944433</v>
      </c>
      <c r="X425" s="35">
        <f ca="1">Tabela3[[#This Row],[Aluminio Util]]*Tabela3[[#This Row],[Custo/Kg]]</f>
        <v>1118.7072000000001</v>
      </c>
      <c r="Y425" s="35">
        <f>IFERROR(VLOOKUP(Tabela3[[#This Row],[Data]],Tabela461213[],2,1)*(Tabela3[[#This Row],[Qtde Cx Produzida]]*Tabela3[[#This Row],[Qde macho / CX]]*Tabela3[[#This Row],[Peso Macho]]),)</f>
        <v>0</v>
      </c>
      <c r="Z425" s="35">
        <f>IFERROR(Tabela3[[#This Row],[Qtde Oleo]]*(VLOOKUP(Tabela3[[#This Row],[Data]],CompraOleo[],3,TRUE))*1.05,0)</f>
        <v>144.70200223117982</v>
      </c>
      <c r="AA425" s="47">
        <f ca="1">(Tabela3[[#This Row],[Custo Oleo]]+Tabela3[[#This Row],[Custo Aluminio]]+Tabela3[[#This Row],[Custo M.O. Total]]+Tabela3[[#This Row],[Custo Machos]])</f>
        <v>1851.4504035506243</v>
      </c>
      <c r="AB425" s="47">
        <f ca="1">Tabela3[[#This Row],[Custo Total]]*Tabela3[[#This Row],[% Perda]]</f>
        <v>0</v>
      </c>
      <c r="AC425" s="48">
        <f>IFERROR(VLOOKUP(Tabela3[[#This Row],[Produto]],Tabela2[],2,0),0)</f>
        <v>4</v>
      </c>
      <c r="AD425" s="48">
        <f>IFERROR(VLOOKUP(Tabela3[[#This Row],[Produto]],Tabela2[],3,0),0)</f>
        <v>0.33200000000000002</v>
      </c>
      <c r="AE425" s="48">
        <f>IFERROR(VLOOKUP(Tabela3[[#This Row],[Produto]],Tabela2[],4,0),0)</f>
        <v>2.2999999999999998</v>
      </c>
      <c r="AF425" s="48">
        <f>IFERROR(VLOOKUP(Tabela3[[#This Row],[Produto]],Tabela2[],5,0),0)</f>
        <v>0.8747999999999998</v>
      </c>
      <c r="AG425" s="40">
        <f>IFERROR(VLOOKUP(Tabela3[[#This Row],[Produto]],Tabela2[],6,0),0)</f>
        <v>0</v>
      </c>
      <c r="AH425" s="40">
        <f>IFERROR(VLOOKUP(Tabela3[[#This Row],[Produto]],Tabela2[],7,0),0)</f>
        <v>0</v>
      </c>
      <c r="AI425" s="40">
        <f>IFERROR(VLOOKUP(Tabela3[[#This Row],[Produto]],Tabela2[],8,0),0)</f>
        <v>0</v>
      </c>
      <c r="AJ425" s="35">
        <f ca="1">IFERROR(VLOOKUP(Tabela3[[#This Row],[Produto]],Tabela2[],13,0),0)</f>
        <v>15.600000000000001</v>
      </c>
      <c r="AK425" s="40" t="str">
        <f>IFERROR(VLOOKUP(Tabela3[[#This Row],[Produto]],Tabela2[],14,0),0)</f>
        <v>Senun</v>
      </c>
      <c r="AL425" s="40">
        <f>IFERROR(VLOOKUP(Tabela3[[#This Row],[Produto]],Tabela2[],15,0),0)</f>
        <v>3.5</v>
      </c>
      <c r="AM425" s="36">
        <f ca="1">(Tabela3[[#This Row],[Custo Usinagem]]+Tabela3[[#This Row],[Custo / Pç]])*1.2</f>
        <v>14.485835575281245</v>
      </c>
      <c r="AN425" s="36">
        <f ca="1">Tabela3[[#This Row],[Valor Mínimo Venda]]*1.15</f>
        <v>16.658710911573429</v>
      </c>
      <c r="AO425" s="36">
        <f ca="1">Tabela3[[#This Row],[Tabela 1]]*1.08</f>
        <v>17.991407784499305</v>
      </c>
      <c r="AP425" s="36">
        <f ca="1">Tabela3[[#This Row],[Tabela 2]]*1.15</f>
        <v>20.690118952174199</v>
      </c>
    </row>
    <row r="426" spans="1:42">
      <c r="A426" s="9">
        <v>45849</v>
      </c>
      <c r="B426" s="6" t="s">
        <v>232</v>
      </c>
      <c r="C426" s="14">
        <v>6605</v>
      </c>
      <c r="D426" s="6" t="s">
        <v>46</v>
      </c>
      <c r="E426" s="6" t="s">
        <v>53</v>
      </c>
      <c r="F426" s="6">
        <v>33</v>
      </c>
      <c r="G426" s="15">
        <v>0.15</v>
      </c>
      <c r="H426" s="16">
        <v>0</v>
      </c>
      <c r="I426" s="35">
        <f ca="1">IFERROR(Tabela3[[#This Row],[Custo Total]]/Tabela3[[#This Row],[Aluminio Util]],0)</f>
        <v>26.299849876580108</v>
      </c>
      <c r="J426" s="35">
        <f ca="1">Tabela3[[#This Row],[Custo Total]]/Tabela3[[#This Row],[Realizado]]</f>
        <v>11.072236798040224</v>
      </c>
      <c r="K426" s="37">
        <f>IFERROR(Tabela3[[#This Row],[Qtde Cx Produzida]]/Tabela3[[#This Row],[Tempo]]/24,0)</f>
        <v>9.1666666666666661</v>
      </c>
      <c r="L426" s="37">
        <f>Tabela3[[#This Row],[Qtde Cx Produzida]]*Tabela3[[#This Row],[Qdt Peça Placa]]</f>
        <v>132</v>
      </c>
      <c r="M426" s="37">
        <f>Tabela3[[#This Row],[Previsto]]-Tabela3[[#This Row],[Perda Pçs]]</f>
        <v>132</v>
      </c>
      <c r="N426" s="38">
        <f>IFERROR(Tabela3[[#This Row],[Perda Pçs]]/Tabela3[[#This Row],[Previsto]],0)</f>
        <v>0</v>
      </c>
      <c r="O426" s="39">
        <f>IFERROR(IF(Tabela3[[#This Row],[Qtde Cx Produzida]] &lt;&gt; 0, Tabela3[[#This Row],[Tempo]] / Tabela3[[#This Row],[Qtde Cx Produzida]], 0),0)</f>
        <v>4.5454545454545452E-3</v>
      </c>
      <c r="P426" s="57">
        <f>IFERROR(Tabela3[[#This Row],[Perda Pçs]]/Tabela3[[#This Row],[Qdt Peça Placa]],0)</f>
        <v>0</v>
      </c>
      <c r="Q426" s="37">
        <f>IFERROR(Tabela3[[#This Row],[Realizado]]*Tabela3[[#This Row],[Peso Util/Pç]],0)</f>
        <v>55.571999999999996</v>
      </c>
      <c r="R426" s="37">
        <f>IFERROR(Tabela3[[#This Row],[Peso Total Galho]]*Tabela3[[#This Row],[Qtde Cx Produzida]]*1.055,0)</f>
        <v>111.96503999999999</v>
      </c>
      <c r="S426" s="37">
        <f>(Tabela3[[#This Row],[Aluminio Bruto]]-Tabela3[[#This Row],[Aluminio Util]])*0.9</f>
        <v>50.753735999999996</v>
      </c>
      <c r="T426" s="37">
        <f>Tabela3[[#This Row],[Aluminio Bruto]]/OleoKGAluminio</f>
        <v>47.103547558594137</v>
      </c>
      <c r="U426" s="35">
        <f>IFERROR((VLOOKUP(Tabela3[[#This Row],[Moldador]],Tabela1[],5,)+(VLOOKUP(Tabela3[[#This Row],[Ajudante]],Tabela1[],5,))*3.5),0)</f>
        <v>99.95034583333333</v>
      </c>
      <c r="V426" s="35">
        <f>IFERROR(Tabela3[[#This Row],[Custo M.O. / H]]/((Tabela3[[#This Row],[Realizado]]/Tabela3[[#This Row],[Qdt Peça Placa]])/Tabela3[[#This Row],[Tempo]]/24),)</f>
        <v>10.903674090909091</v>
      </c>
      <c r="W426" s="35">
        <f>Tabela3[[#This Row],[Custo / Cx Moldada]]*Tabela3[[#This Row],[Qtde Cx Produzida]]</f>
        <v>359.82124499999998</v>
      </c>
      <c r="X426" s="35">
        <f ca="1">Tabela3[[#This Row],[Aluminio Util]]*Tabela3[[#This Row],[Custo/Kg]]</f>
        <v>978.06719999999996</v>
      </c>
      <c r="Y426" s="35">
        <f>IFERROR(VLOOKUP(Tabela3[[#This Row],[Data]],Tabela461213[],2,1)*(Tabela3[[#This Row],[Qtde Cx Produzida]]*Tabela3[[#This Row],[Qde macho / CX]]*Tabela3[[#This Row],[Peso Macho]]),)</f>
        <v>0</v>
      </c>
      <c r="Z426" s="35">
        <f>IFERROR(Tabela3[[#This Row],[Qtde Oleo]]*(VLOOKUP(Tabela3[[#This Row],[Data]],CompraOleo[],3,TRUE))*1.05,0)</f>
        <v>123.64681234130961</v>
      </c>
      <c r="AA426" s="47">
        <f ca="1">(Tabela3[[#This Row],[Custo Oleo]]+Tabela3[[#This Row],[Custo Aluminio]]+Tabela3[[#This Row],[Custo M.O. Total]]+Tabela3[[#This Row],[Custo Machos]])</f>
        <v>1461.5352573413097</v>
      </c>
      <c r="AB426" s="47">
        <f ca="1">Tabela3[[#This Row],[Custo Total]]*Tabela3[[#This Row],[% Perda]]</f>
        <v>0</v>
      </c>
      <c r="AC426" s="48">
        <f>IFERROR(VLOOKUP(Tabela3[[#This Row],[Produto]],Tabela2[],2,0),0)</f>
        <v>4</v>
      </c>
      <c r="AD426" s="48">
        <f>IFERROR(VLOOKUP(Tabela3[[#This Row],[Produto]],Tabela2[],3,0),0)</f>
        <v>0.42099999999999999</v>
      </c>
      <c r="AE426" s="48">
        <f>IFERROR(VLOOKUP(Tabela3[[#This Row],[Produto]],Tabela2[],4,0),0)</f>
        <v>3.2160000000000002</v>
      </c>
      <c r="AF426" s="48">
        <f>IFERROR(VLOOKUP(Tabela3[[#This Row],[Produto]],Tabela2[],5,0),0)</f>
        <v>1.3788000000000002</v>
      </c>
      <c r="AG426" s="40">
        <f>IFERROR(VLOOKUP(Tabela3[[#This Row],[Produto]],Tabela2[],6,0),0)</f>
        <v>0</v>
      </c>
      <c r="AH426" s="40">
        <f>IFERROR(VLOOKUP(Tabela3[[#This Row],[Produto]],Tabela2[],7,0),0)</f>
        <v>0</v>
      </c>
      <c r="AI426" s="40">
        <f>IFERROR(VLOOKUP(Tabela3[[#This Row],[Produto]],Tabela2[],8,0),0)</f>
        <v>0</v>
      </c>
      <c r="AJ426" s="35">
        <f ca="1">IFERROR(VLOOKUP(Tabela3[[#This Row],[Produto]],Tabela2[],13,0),0)</f>
        <v>17.600000000000001</v>
      </c>
      <c r="AK426" s="40" t="str">
        <f>IFERROR(VLOOKUP(Tabela3[[#This Row],[Produto]],Tabela2[],14,0),0)</f>
        <v>Busa</v>
      </c>
      <c r="AL426" s="40">
        <f>IFERROR(VLOOKUP(Tabela3[[#This Row],[Produto]],Tabela2[],15,0),0)</f>
        <v>0.5</v>
      </c>
      <c r="AM426" s="36">
        <f ca="1">(Tabela3[[#This Row],[Custo Usinagem]]+Tabela3[[#This Row],[Custo / Pç]])*1.2</f>
        <v>13.886684157648268</v>
      </c>
      <c r="AN426" s="36">
        <f ca="1">Tabela3[[#This Row],[Valor Mínimo Venda]]*1.15</f>
        <v>15.969686781295508</v>
      </c>
      <c r="AO426" s="36">
        <f ca="1">Tabela3[[#This Row],[Tabela 1]]*1.08</f>
        <v>17.247261723799149</v>
      </c>
      <c r="AP426" s="36">
        <f ca="1">Tabela3[[#This Row],[Tabela 2]]*1.15</f>
        <v>19.83435098236902</v>
      </c>
    </row>
    <row r="427" spans="1:42">
      <c r="A427" s="9">
        <v>45849</v>
      </c>
      <c r="B427" s="6" t="s">
        <v>247</v>
      </c>
      <c r="C427" s="14">
        <v>7083</v>
      </c>
      <c r="D427" s="6" t="s">
        <v>46</v>
      </c>
      <c r="E427" s="6" t="s">
        <v>53</v>
      </c>
      <c r="F427" s="6">
        <v>15</v>
      </c>
      <c r="G427" s="15">
        <v>7.2916666666666671E-2</v>
      </c>
      <c r="H427" s="16">
        <v>0</v>
      </c>
      <c r="I427" s="35">
        <f ca="1">IFERROR(Tabela3[[#This Row],[Custo Total]]/Tabela3[[#This Row],[Aluminio Util]],0)</f>
        <v>27.55045032378364</v>
      </c>
      <c r="J427" s="35">
        <f ca="1">Tabela3[[#This Row],[Custo Total]]/Tabela3[[#This Row],[Realizado]]</f>
        <v>8.2651350971350919</v>
      </c>
      <c r="K427" s="37">
        <f>IFERROR(Tabela3[[#This Row],[Qtde Cx Produzida]]/Tabela3[[#This Row],[Tempo]]/24,0)</f>
        <v>8.5714285714285712</v>
      </c>
      <c r="L427" s="37">
        <f>Tabela3[[#This Row],[Qtde Cx Produzida]]*Tabela3[[#This Row],[Qdt Peça Placa]]</f>
        <v>60</v>
      </c>
      <c r="M427" s="37">
        <f>Tabela3[[#This Row],[Previsto]]-Tabela3[[#This Row],[Perda Pçs]]</f>
        <v>60</v>
      </c>
      <c r="N427" s="38">
        <f>IFERROR(Tabela3[[#This Row],[Perda Pçs]]/Tabela3[[#This Row],[Previsto]],0)</f>
        <v>0</v>
      </c>
      <c r="O427" s="39">
        <f>IFERROR(IF(Tabela3[[#This Row],[Qtde Cx Produzida]] &lt;&gt; 0, Tabela3[[#This Row],[Tempo]] / Tabela3[[#This Row],[Qtde Cx Produzida]], 0),0)</f>
        <v>4.8611111111111112E-3</v>
      </c>
      <c r="P427" s="57">
        <f>IFERROR(Tabela3[[#This Row],[Perda Pçs]]/Tabela3[[#This Row],[Qdt Peça Placa]],0)</f>
        <v>0</v>
      </c>
      <c r="Q427" s="37">
        <f>IFERROR(Tabela3[[#This Row],[Realizado]]*Tabela3[[#This Row],[Peso Util/Pç]],0)</f>
        <v>18</v>
      </c>
      <c r="R427" s="37">
        <f>IFERROR(Tabela3[[#This Row],[Peso Total Galho]]*Tabela3[[#This Row],[Qtde Cx Produzida]]*1.055,0)</f>
        <v>36.397500000000001</v>
      </c>
      <c r="S427" s="37">
        <f>(Tabela3[[#This Row],[Aluminio Bruto]]-Tabela3[[#This Row],[Aluminio Util]])*0.9</f>
        <v>16.557750000000002</v>
      </c>
      <c r="T427" s="37">
        <f>Tabela3[[#This Row],[Aluminio Bruto]]/OleoKGAluminio</f>
        <v>15.31238118848464</v>
      </c>
      <c r="U427" s="35">
        <f>IFERROR((VLOOKUP(Tabela3[[#This Row],[Moldador]],Tabela1[],5,)+(VLOOKUP(Tabela3[[#This Row],[Ajudante]],Tabela1[],5,))*3.5),0)</f>
        <v>99.95034583333333</v>
      </c>
      <c r="V427" s="35">
        <f>IFERROR(Tabela3[[#This Row],[Custo M.O. / H]]/((Tabela3[[#This Row],[Realizado]]/Tabela3[[#This Row],[Qdt Peça Placa]])/Tabela3[[#This Row],[Tempo]]/24),)</f>
        <v>11.660873680555556</v>
      </c>
      <c r="W427" s="35">
        <f>Tabela3[[#This Row],[Custo / Cx Moldada]]*Tabela3[[#This Row],[Qtde Cx Produzida]]</f>
        <v>174.91310520833332</v>
      </c>
      <c r="X427" s="35">
        <f ca="1">Tabela3[[#This Row],[Aluminio Util]]*Tabela3[[#This Row],[Custo/Kg]]</f>
        <v>280.8</v>
      </c>
      <c r="Y427" s="35">
        <f>IFERROR(VLOOKUP(Tabela3[[#This Row],[Data]],Tabela461213[],2,1)*(Tabela3[[#This Row],[Qtde Cx Produzida]]*Tabela3[[#This Row],[Qde macho / CX]]*Tabela3[[#This Row],[Peso Macho]]),)</f>
        <v>0</v>
      </c>
      <c r="Z427" s="35">
        <f>IFERROR(Tabela3[[#This Row],[Qtde Oleo]]*(VLOOKUP(Tabela3[[#This Row],[Data]],CompraOleo[],3,TRUE))*1.05,0)</f>
        <v>40.195000619772181</v>
      </c>
      <c r="AA427" s="47">
        <f ca="1">(Tabela3[[#This Row],[Custo Oleo]]+Tabela3[[#This Row],[Custo Aluminio]]+Tabela3[[#This Row],[Custo M.O. Total]]+Tabela3[[#This Row],[Custo Machos]])</f>
        <v>495.90810582810553</v>
      </c>
      <c r="AB427" s="47">
        <f ca="1">Tabela3[[#This Row],[Custo Total]]*Tabela3[[#This Row],[% Perda]]</f>
        <v>0</v>
      </c>
      <c r="AC427" s="48">
        <f>IFERROR(VLOOKUP(Tabela3[[#This Row],[Produto]],Tabela2[],2,0),0)</f>
        <v>4</v>
      </c>
      <c r="AD427" s="48">
        <f>IFERROR(VLOOKUP(Tabela3[[#This Row],[Produto]],Tabela2[],3,0),0)</f>
        <v>0.3</v>
      </c>
      <c r="AE427" s="48">
        <f>IFERROR(VLOOKUP(Tabela3[[#This Row],[Produto]],Tabela2[],4,0),0)</f>
        <v>2.2999999999999998</v>
      </c>
      <c r="AF427" s="48">
        <f>IFERROR(VLOOKUP(Tabela3[[#This Row],[Produto]],Tabela2[],5,0),0)</f>
        <v>0.98999999999999988</v>
      </c>
      <c r="AG427" s="40">
        <f>IFERROR(VLOOKUP(Tabela3[[#This Row],[Produto]],Tabela2[],6,0),0)</f>
        <v>0</v>
      </c>
      <c r="AH427" s="40">
        <f>IFERROR(VLOOKUP(Tabela3[[#This Row],[Produto]],Tabela2[],7,0),0)</f>
        <v>0</v>
      </c>
      <c r="AI427" s="40">
        <f>IFERROR(VLOOKUP(Tabela3[[#This Row],[Produto]],Tabela2[],8,0),0)</f>
        <v>0</v>
      </c>
      <c r="AJ427" s="35">
        <f ca="1">IFERROR(VLOOKUP(Tabela3[[#This Row],[Produto]],Tabela2[],13,0),0)</f>
        <v>15.600000000000001</v>
      </c>
      <c r="AK427" s="40" t="str">
        <f>IFERROR(VLOOKUP(Tabela3[[#This Row],[Produto]],Tabela2[],14,0),0)</f>
        <v>Senun</v>
      </c>
      <c r="AL427" s="40">
        <f>IFERROR(VLOOKUP(Tabela3[[#This Row],[Produto]],Tabela2[],15,0),0)</f>
        <v>3.5</v>
      </c>
      <c r="AM427" s="36">
        <f ca="1">(Tabela3[[#This Row],[Custo Usinagem]]+Tabela3[[#This Row],[Custo / Pç]])*1.2</f>
        <v>14.118162116562109</v>
      </c>
      <c r="AN427" s="36">
        <f ca="1">Tabela3[[#This Row],[Valor Mínimo Venda]]*1.15</f>
        <v>16.235886434046424</v>
      </c>
      <c r="AO427" s="36">
        <f ca="1">Tabela3[[#This Row],[Tabela 1]]*1.08</f>
        <v>17.534757348770139</v>
      </c>
      <c r="AP427" s="36">
        <f ca="1">Tabela3[[#This Row],[Tabela 2]]*1.15</f>
        <v>20.164970951085657</v>
      </c>
    </row>
    <row r="428" spans="1:42">
      <c r="A428" s="9">
        <v>45849</v>
      </c>
      <c r="B428" s="6" t="s">
        <v>127</v>
      </c>
      <c r="C428" s="14">
        <v>7250</v>
      </c>
      <c r="D428" s="6" t="s">
        <v>44</v>
      </c>
      <c r="E428" s="6" t="s">
        <v>47</v>
      </c>
      <c r="F428" s="6">
        <v>3</v>
      </c>
      <c r="G428" s="15">
        <v>2.013888888888889E-2</v>
      </c>
      <c r="H428" s="16">
        <v>0</v>
      </c>
      <c r="I428" s="35">
        <f ca="1">IFERROR(Tabela3[[#This Row],[Custo Total]]/Tabela3[[#This Row],[Aluminio Util]],0)</f>
        <v>27.839738419743853</v>
      </c>
      <c r="J428" s="35">
        <f ca="1">Tabela3[[#This Row],[Custo Total]]/Tabela3[[#This Row],[Realizado]]</f>
        <v>11.135895367897541</v>
      </c>
      <c r="K428" s="37">
        <f>IFERROR(Tabela3[[#This Row],[Qtde Cx Produzida]]/Tabela3[[#This Row],[Tempo]]/24,0)</f>
        <v>6.2068965517241379</v>
      </c>
      <c r="L428" s="37">
        <f>Tabela3[[#This Row],[Qtde Cx Produzida]]*Tabela3[[#This Row],[Qdt Peça Placa]]</f>
        <v>18</v>
      </c>
      <c r="M428" s="37">
        <f>Tabela3[[#This Row],[Previsto]]-Tabela3[[#This Row],[Perda Pçs]]</f>
        <v>18</v>
      </c>
      <c r="N428" s="38">
        <f>IFERROR(Tabela3[[#This Row],[Perda Pçs]]/Tabela3[[#This Row],[Previsto]],0)</f>
        <v>0</v>
      </c>
      <c r="O428" s="39">
        <f>IFERROR(IF(Tabela3[[#This Row],[Qtde Cx Produzida]] &lt;&gt; 0, Tabela3[[#This Row],[Tempo]] / Tabela3[[#This Row],[Qtde Cx Produzida]], 0),0)</f>
        <v>6.7129629629629631E-3</v>
      </c>
      <c r="P428" s="57">
        <f>IFERROR(Tabela3[[#This Row],[Perda Pçs]]/Tabela3[[#This Row],[Qdt Peça Placa]],0)</f>
        <v>0</v>
      </c>
      <c r="Q428" s="37">
        <f>IFERROR(Tabela3[[#This Row],[Realizado]]*Tabela3[[#This Row],[Peso Util/Pç]],0)</f>
        <v>7.2</v>
      </c>
      <c r="R428" s="37">
        <f>IFERROR(Tabela3[[#This Row],[Peso Total Galho]]*Tabela3[[#This Row],[Qtde Cx Produzida]]*1.055,0)</f>
        <v>11.394</v>
      </c>
      <c r="S428" s="37">
        <f>(Tabela3[[#This Row],[Aluminio Bruto]]-Tabela3[[#This Row],[Aluminio Util]])*0.9</f>
        <v>3.7746</v>
      </c>
      <c r="T428" s="37">
        <f>Tabela3[[#This Row],[Aluminio Bruto]]/OleoKGAluminio</f>
        <v>4.7934410676995389</v>
      </c>
      <c r="U428" s="35">
        <f>IFERROR((VLOOKUP(Tabela3[[#This Row],[Moldador]],Tabela1[],5,)+(VLOOKUP(Tabela3[[#This Row],[Ajudante]],Tabela1[],5,))*3.5),0)</f>
        <v>99.95034583333333</v>
      </c>
      <c r="V428" s="35">
        <f>IFERROR(Tabela3[[#This Row],[Custo M.O. / H]]/((Tabela3[[#This Row],[Realizado]]/Tabela3[[#This Row],[Qdt Peça Placa]])/Tabela3[[#This Row],[Tempo]]/24),)</f>
        <v>16.103111273148148</v>
      </c>
      <c r="W428" s="35">
        <f>Tabela3[[#This Row],[Custo / Cx Moldada]]*Tabela3[[#This Row],[Qtde Cx Produzida]]</f>
        <v>48.309333819444447</v>
      </c>
      <c r="X428" s="35">
        <f ca="1">Tabela3[[#This Row],[Aluminio Util]]*Tabela3[[#This Row],[Custo/Kg]]</f>
        <v>112.32000000000001</v>
      </c>
      <c r="Y428" s="35">
        <f>IFERROR(VLOOKUP(Tabela3[[#This Row],[Data]],Tabela461213[],2,1)*(Tabela3[[#This Row],[Qtde Cx Produzida]]*Tabela3[[#This Row],[Qde macho / CX]]*Tabela3[[#This Row],[Peso Macho]]),)</f>
        <v>27.233999999999998</v>
      </c>
      <c r="Z428" s="35">
        <f>IFERROR(Tabela3[[#This Row],[Qtde Oleo]]*(VLOOKUP(Tabela3[[#This Row],[Data]],CompraOleo[],3,TRUE))*1.05,0)</f>
        <v>12.582782802711291</v>
      </c>
      <c r="AA428" s="47">
        <f ca="1">(Tabela3[[#This Row],[Custo Oleo]]+Tabela3[[#This Row],[Custo Aluminio]]+Tabela3[[#This Row],[Custo M.O. Total]]+Tabela3[[#This Row],[Custo Machos]])</f>
        <v>200.44611662215576</v>
      </c>
      <c r="AB428" s="47">
        <f ca="1">Tabela3[[#This Row],[Custo Total]]*Tabela3[[#This Row],[% Perda]]</f>
        <v>0</v>
      </c>
      <c r="AC428" s="48">
        <f>IFERROR(VLOOKUP(Tabela3[[#This Row],[Produto]],Tabela2[],2,0),0)</f>
        <v>6</v>
      </c>
      <c r="AD428" s="48">
        <f>IFERROR(VLOOKUP(Tabela3[[#This Row],[Produto]],Tabela2[],3,0),0)</f>
        <v>0.4</v>
      </c>
      <c r="AE428" s="48">
        <f>IFERROR(VLOOKUP(Tabela3[[#This Row],[Produto]],Tabela2[],4,0),0)</f>
        <v>3.6</v>
      </c>
      <c r="AF428" s="48">
        <f>IFERROR(VLOOKUP(Tabela3[[#This Row],[Produto]],Tabela2[],5,0),0)</f>
        <v>1.0799999999999998</v>
      </c>
      <c r="AG428" s="40">
        <f>IFERROR(VLOOKUP(Tabela3[[#This Row],[Produto]],Tabela2[],6,0),0)</f>
        <v>0</v>
      </c>
      <c r="AH428" s="40">
        <f>IFERROR(VLOOKUP(Tabela3[[#This Row],[Produto]],Tabela2[],7,0),0)</f>
        <v>6</v>
      </c>
      <c r="AI428" s="40">
        <f>IFERROR(VLOOKUP(Tabela3[[#This Row],[Produto]],Tabela2[],8,0),0)</f>
        <v>0.89</v>
      </c>
      <c r="AJ428" s="35">
        <f ca="1">IFERROR(VLOOKUP(Tabela3[[#This Row],[Produto]],Tabela2[],13,0),0)</f>
        <v>15.600000000000001</v>
      </c>
      <c r="AK428" s="40" t="str">
        <f>IFERROR(VLOOKUP(Tabela3[[#This Row],[Produto]],Tabela2[],14,0),0)</f>
        <v>Jumil</v>
      </c>
      <c r="AL428" s="40">
        <f>IFERROR(VLOOKUP(Tabela3[[#This Row],[Produto]],Tabela2[],15,0),0)</f>
        <v>2</v>
      </c>
      <c r="AM428" s="36">
        <f ca="1">(Tabela3[[#This Row],[Custo Usinagem]]+Tabela3[[#This Row],[Custo / Pç]])*1.2</f>
        <v>15.763074441477048</v>
      </c>
      <c r="AN428" s="36">
        <f ca="1">Tabela3[[#This Row],[Valor Mínimo Venda]]*1.15</f>
        <v>18.127535607698604</v>
      </c>
      <c r="AO428" s="36">
        <f ca="1">Tabela3[[#This Row],[Tabela 1]]*1.08</f>
        <v>19.577738456314496</v>
      </c>
      <c r="AP428" s="36">
        <f ca="1">Tabela3[[#This Row],[Tabela 2]]*1.15</f>
        <v>22.514399224761668</v>
      </c>
    </row>
    <row r="429" spans="1:42">
      <c r="A429" s="9">
        <v>45849</v>
      </c>
      <c r="B429" s="6" t="s">
        <v>87</v>
      </c>
      <c r="C429" s="14">
        <v>7199</v>
      </c>
      <c r="D429" s="6" t="s">
        <v>44</v>
      </c>
      <c r="E429" s="6" t="s">
        <v>47</v>
      </c>
      <c r="F429" s="6">
        <v>5</v>
      </c>
      <c r="G429" s="15">
        <v>2.2916666666666665E-2</v>
      </c>
      <c r="H429" s="16">
        <v>0</v>
      </c>
      <c r="I429" s="35">
        <f ca="1">IFERROR(Tabela3[[#This Row],[Custo Total]]/Tabela3[[#This Row],[Aluminio Util]],0)</f>
        <v>22.436840138043795</v>
      </c>
      <c r="J429" s="35">
        <f ca="1">Tabela3[[#This Row],[Custo Total]]/Tabela3[[#This Row],[Realizado]]</f>
        <v>25.802366158750363</v>
      </c>
      <c r="K429" s="37">
        <f>IFERROR(Tabela3[[#This Row],[Qtde Cx Produzida]]/Tabela3[[#This Row],[Tempo]]/24,0)</f>
        <v>9.0909090909090917</v>
      </c>
      <c r="L429" s="37">
        <f>Tabela3[[#This Row],[Qtde Cx Produzida]]*Tabela3[[#This Row],[Qdt Peça Placa]]</f>
        <v>10</v>
      </c>
      <c r="M429" s="37">
        <f>Tabela3[[#This Row],[Previsto]]-Tabela3[[#This Row],[Perda Pçs]]</f>
        <v>10</v>
      </c>
      <c r="N429" s="38">
        <f>IFERROR(Tabela3[[#This Row],[Perda Pçs]]/Tabela3[[#This Row],[Previsto]],0)</f>
        <v>0</v>
      </c>
      <c r="O429" s="39">
        <f>IFERROR(IF(Tabela3[[#This Row],[Qtde Cx Produzida]] &lt;&gt; 0, Tabela3[[#This Row],[Tempo]] / Tabela3[[#This Row],[Qtde Cx Produzida]], 0),0)</f>
        <v>4.5833333333333334E-3</v>
      </c>
      <c r="P429" s="57">
        <f>IFERROR(Tabela3[[#This Row],[Perda Pçs]]/Tabela3[[#This Row],[Qdt Peça Placa]],0)</f>
        <v>0</v>
      </c>
      <c r="Q429" s="37">
        <f>IFERROR(Tabela3[[#This Row],[Realizado]]*Tabela3[[#This Row],[Peso Util/Pç]],0)</f>
        <v>11.5</v>
      </c>
      <c r="R429" s="37">
        <f>IFERROR(Tabela3[[#This Row],[Peso Total Galho]]*Tabela3[[#This Row],[Qtde Cx Produzida]]*1.055,0)</f>
        <v>21.416499999999996</v>
      </c>
      <c r="S429" s="37">
        <f>(Tabela3[[#This Row],[Aluminio Bruto]]-Tabela3[[#This Row],[Aluminio Util]])*0.9</f>
        <v>8.9248499999999957</v>
      </c>
      <c r="T429" s="37">
        <f>Tabela3[[#This Row],[Aluminio Bruto]]/OleoKGAluminio</f>
        <v>9.0098938587315391</v>
      </c>
      <c r="U429" s="35">
        <f>IFERROR((VLOOKUP(Tabela3[[#This Row],[Moldador]],Tabela1[],5,)+(VLOOKUP(Tabela3[[#This Row],[Ajudante]],Tabela1[],5,))*3.5),0)</f>
        <v>99.95034583333333</v>
      </c>
      <c r="V429" s="35">
        <f>IFERROR(Tabela3[[#This Row],[Custo M.O. / H]]/((Tabela3[[#This Row],[Realizado]]/Tabela3[[#This Row],[Qdt Peça Placa]])/Tabela3[[#This Row],[Tempo]]/24),)</f>
        <v>10.994538041666665</v>
      </c>
      <c r="W429" s="35">
        <f>Tabela3[[#This Row],[Custo / Cx Moldada]]*Tabela3[[#This Row],[Qtde Cx Produzida]]</f>
        <v>54.972690208333326</v>
      </c>
      <c r="X429" s="35">
        <f ca="1">Tabela3[[#This Row],[Aluminio Util]]*Tabela3[[#This Row],[Custo/Kg]]</f>
        <v>179.4</v>
      </c>
      <c r="Y429" s="35">
        <f>IFERROR(VLOOKUP(Tabela3[[#This Row],[Data]],Tabela461213[],2,1)*(Tabela3[[#This Row],[Qtde Cx Produzida]]*Tabela3[[#This Row],[Qde macho / CX]]*Tabela3[[#This Row],[Peso Macho]]),)</f>
        <v>0</v>
      </c>
      <c r="Z429" s="35">
        <f>IFERROR(Tabela3[[#This Row],[Qtde Oleo]]*(VLOOKUP(Tabela3[[#This Row],[Data]],CompraOleo[],3,TRUE))*1.05,0)</f>
        <v>23.65097137917029</v>
      </c>
      <c r="AA429" s="47">
        <f ca="1">(Tabela3[[#This Row],[Custo Oleo]]+Tabela3[[#This Row],[Custo Aluminio]]+Tabela3[[#This Row],[Custo M.O. Total]]+Tabela3[[#This Row],[Custo Machos]])</f>
        <v>258.02366158750363</v>
      </c>
      <c r="AB429" s="47">
        <f ca="1">Tabela3[[#This Row],[Custo Total]]*Tabela3[[#This Row],[% Perda]]</f>
        <v>0</v>
      </c>
      <c r="AC429" s="48">
        <f>IFERROR(VLOOKUP(Tabela3[[#This Row],[Produto]],Tabela2[],2,0),0)</f>
        <v>2</v>
      </c>
      <c r="AD429" s="48">
        <f>IFERROR(VLOOKUP(Tabela3[[#This Row],[Produto]],Tabela2[],3,0),0)</f>
        <v>1.1499999999999999</v>
      </c>
      <c r="AE429" s="48">
        <f>IFERROR(VLOOKUP(Tabela3[[#This Row],[Produto]],Tabela2[],4,0),0)</f>
        <v>4.0599999999999996</v>
      </c>
      <c r="AF429" s="48">
        <f>IFERROR(VLOOKUP(Tabela3[[#This Row],[Produto]],Tabela2[],5,0),0)</f>
        <v>1.5839999999999999</v>
      </c>
      <c r="AG429" s="40">
        <f>IFERROR(VLOOKUP(Tabela3[[#This Row],[Produto]],Tabela2[],6,0),0)</f>
        <v>0</v>
      </c>
      <c r="AH429" s="40">
        <f>IFERROR(VLOOKUP(Tabela3[[#This Row],[Produto]],Tabela2[],7,0),0)</f>
        <v>0</v>
      </c>
      <c r="AI429" s="40">
        <f>IFERROR(VLOOKUP(Tabela3[[#This Row],[Produto]],Tabela2[],8,0),0)</f>
        <v>0</v>
      </c>
      <c r="AJ429" s="35">
        <f ca="1">IFERROR(VLOOKUP(Tabela3[[#This Row],[Produto]],Tabela2[],13,0),0)</f>
        <v>15.600000000000001</v>
      </c>
      <c r="AK429" s="40" t="str">
        <f>IFERROR(VLOOKUP(Tabela3[[#This Row],[Produto]],Tabela2[],14,0),0)</f>
        <v>Jumil</v>
      </c>
      <c r="AL429" s="40">
        <f>IFERROR(VLOOKUP(Tabela3[[#This Row],[Produto]],Tabela2[],15,0),0)</f>
        <v>8</v>
      </c>
      <c r="AM429" s="36">
        <f ca="1">(Tabela3[[#This Row],[Custo Usinagem]]+Tabela3[[#This Row],[Custo / Pç]])*1.2</f>
        <v>40.562839390500429</v>
      </c>
      <c r="AN429" s="36">
        <f ca="1">Tabela3[[#This Row],[Valor Mínimo Venda]]*1.15</f>
        <v>46.647265299075492</v>
      </c>
      <c r="AO429" s="36">
        <f ca="1">Tabela3[[#This Row],[Tabela 1]]*1.08</f>
        <v>50.379046523001534</v>
      </c>
      <c r="AP429" s="36">
        <f ca="1">Tabela3[[#This Row],[Tabela 2]]*1.15</f>
        <v>57.935903501451762</v>
      </c>
    </row>
    <row r="430" spans="1:42">
      <c r="A430" s="9">
        <v>45849</v>
      </c>
      <c r="B430" s="6" t="s">
        <v>96</v>
      </c>
      <c r="C430" s="14">
        <v>7187</v>
      </c>
      <c r="D430" s="6" t="s">
        <v>44</v>
      </c>
      <c r="E430" s="6" t="s">
        <v>47</v>
      </c>
      <c r="F430" s="6">
        <v>26</v>
      </c>
      <c r="G430" s="15">
        <v>0.13402777777777777</v>
      </c>
      <c r="H430" s="16">
        <v>0</v>
      </c>
      <c r="I430" s="35">
        <f ca="1">IFERROR(Tabela3[[#This Row],[Custo Total]]/Tabela3[[#This Row],[Aluminio Util]],0)</f>
        <v>30.406739006198567</v>
      </c>
      <c r="J430" s="35">
        <f ca="1">Tabela3[[#This Row],[Custo Total]]/Tabela3[[#This Row],[Realizado]]</f>
        <v>26.879557281479531</v>
      </c>
      <c r="K430" s="37">
        <f>IFERROR(Tabela3[[#This Row],[Qtde Cx Produzida]]/Tabela3[[#This Row],[Tempo]]/24,0)</f>
        <v>8.0829015544041454</v>
      </c>
      <c r="L430" s="37">
        <f>Tabela3[[#This Row],[Qtde Cx Produzida]]*Tabela3[[#This Row],[Qdt Peça Placa]]</f>
        <v>78</v>
      </c>
      <c r="M430" s="37">
        <f>Tabela3[[#This Row],[Previsto]]-Tabela3[[#This Row],[Perda Pçs]]</f>
        <v>78</v>
      </c>
      <c r="N430" s="38">
        <f>IFERROR(Tabela3[[#This Row],[Perda Pçs]]/Tabela3[[#This Row],[Previsto]],0)</f>
        <v>0</v>
      </c>
      <c r="O430" s="39">
        <f>IFERROR(IF(Tabela3[[#This Row],[Qtde Cx Produzida]] &lt;&gt; 0, Tabela3[[#This Row],[Tempo]] / Tabela3[[#This Row],[Qtde Cx Produzida]], 0),0)</f>
        <v>5.1549145299145298E-3</v>
      </c>
      <c r="P430" s="57">
        <f>IFERROR(Tabela3[[#This Row],[Perda Pçs]]/Tabela3[[#This Row],[Qdt Peça Placa]],0)</f>
        <v>0</v>
      </c>
      <c r="Q430" s="37">
        <f>IFERROR(Tabela3[[#This Row],[Realizado]]*Tabela3[[#This Row],[Peso Util/Pç]],0)</f>
        <v>68.951999999999998</v>
      </c>
      <c r="R430" s="37">
        <f>IFERROR(Tabela3[[#This Row],[Peso Total Galho]]*Tabela3[[#This Row],[Qtde Cx Produzida]]*1.055,0)</f>
        <v>128.70156</v>
      </c>
      <c r="S430" s="37">
        <f>(Tabela3[[#This Row],[Aluminio Bruto]]-Tabela3[[#This Row],[Aluminio Util]])*0.9</f>
        <v>53.774604000000004</v>
      </c>
      <c r="T430" s="37">
        <f>Tabela3[[#This Row],[Aluminio Bruto]]/OleoKGAluminio</f>
        <v>54.144579882481686</v>
      </c>
      <c r="U430" s="35">
        <f>IFERROR((VLOOKUP(Tabela3[[#This Row],[Moldador]],Tabela1[],5,)+(VLOOKUP(Tabela3[[#This Row],[Ajudante]],Tabela1[],5,))*3.5),0)</f>
        <v>99.95034583333333</v>
      </c>
      <c r="V430" s="35">
        <f>IFERROR(Tabela3[[#This Row],[Custo M.O. / H]]/((Tabela3[[#This Row],[Realizado]]/Tabela3[[#This Row],[Qdt Peça Placa]])/Tabela3[[#This Row],[Tempo]]/24),)</f>
        <v>12.365651760149571</v>
      </c>
      <c r="W430" s="35">
        <f>Tabela3[[#This Row],[Custo / Cx Moldada]]*Tabela3[[#This Row],[Qtde Cx Produzida]]</f>
        <v>321.50694576388884</v>
      </c>
      <c r="X430" s="35">
        <f ca="1">Tabela3[[#This Row],[Aluminio Util]]*Tabela3[[#This Row],[Custo/Kg]]</f>
        <v>1075.6512</v>
      </c>
      <c r="Y430" s="35">
        <f>IFERROR(VLOOKUP(Tabela3[[#This Row],[Data]],Tabela461213[],2,1)*(Tabela3[[#This Row],[Qtde Cx Produzida]]*Tabela3[[#This Row],[Qde macho / CX]]*Tabela3[[#This Row],[Peso Macho]]),)</f>
        <v>557.31780000000003</v>
      </c>
      <c r="Z430" s="35">
        <f>IFERROR(Tabela3[[#This Row],[Qtde Oleo]]*(VLOOKUP(Tabela3[[#This Row],[Data]],CompraOleo[],3,TRUE))*1.05,0)</f>
        <v>142.12952219151444</v>
      </c>
      <c r="AA430" s="47">
        <f ca="1">(Tabela3[[#This Row],[Custo Oleo]]+Tabela3[[#This Row],[Custo Aluminio]]+Tabela3[[#This Row],[Custo M.O. Total]]+Tabela3[[#This Row],[Custo Machos]])</f>
        <v>2096.6054679554036</v>
      </c>
      <c r="AB430" s="47">
        <f ca="1">Tabela3[[#This Row],[Custo Total]]*Tabela3[[#This Row],[% Perda]]</f>
        <v>0</v>
      </c>
      <c r="AC430" s="48">
        <f>IFERROR(VLOOKUP(Tabela3[[#This Row],[Produto]],Tabela2[],2,0),0)</f>
        <v>3</v>
      </c>
      <c r="AD430" s="48">
        <f>IFERROR(VLOOKUP(Tabela3[[#This Row],[Produto]],Tabela2[],3,0),0)</f>
        <v>0.88400000000000001</v>
      </c>
      <c r="AE430" s="48">
        <f>IFERROR(VLOOKUP(Tabela3[[#This Row],[Produto]],Tabela2[],4,0),0)</f>
        <v>4.6920000000000002</v>
      </c>
      <c r="AF430" s="48">
        <f>IFERROR(VLOOKUP(Tabela3[[#This Row],[Produto]],Tabela2[],5,0),0)</f>
        <v>1.8360000000000001</v>
      </c>
      <c r="AG430" s="40">
        <f>IFERROR(VLOOKUP(Tabela3[[#This Row],[Produto]],Tabela2[],6,0),0)</f>
        <v>0</v>
      </c>
      <c r="AH430" s="40">
        <f>IFERROR(VLOOKUP(Tabela3[[#This Row],[Produto]],Tabela2[],7,0),0)</f>
        <v>9</v>
      </c>
      <c r="AI430" s="40">
        <f>IFERROR(VLOOKUP(Tabela3[[#This Row],[Produto]],Tabela2[],8,0),0)</f>
        <v>1.401</v>
      </c>
      <c r="AJ430" s="35">
        <f ca="1">IFERROR(VLOOKUP(Tabela3[[#This Row],[Produto]],Tabela2[],13,0),0)</f>
        <v>15.600000000000001</v>
      </c>
      <c r="AK430" s="40" t="str">
        <f>IFERROR(VLOOKUP(Tabela3[[#This Row],[Produto]],Tabela2[],14,0),0)</f>
        <v>Jumil</v>
      </c>
      <c r="AL430" s="40">
        <f>IFERROR(VLOOKUP(Tabela3[[#This Row],[Produto]],Tabela2[],15,0),0)</f>
        <v>10</v>
      </c>
      <c r="AM430" s="36">
        <f ca="1">(Tabela3[[#This Row],[Custo Usinagem]]+Tabela3[[#This Row],[Custo / Pç]])*1.2</f>
        <v>44.255468737775438</v>
      </c>
      <c r="AN430" s="36">
        <f ca="1">Tabela3[[#This Row],[Valor Mínimo Venda]]*1.15</f>
        <v>50.893789048441747</v>
      </c>
      <c r="AO430" s="36">
        <f ca="1">Tabela3[[#This Row],[Tabela 1]]*1.08</f>
        <v>54.965292172317092</v>
      </c>
      <c r="AP430" s="36">
        <f ca="1">Tabela3[[#This Row],[Tabela 2]]*1.15</f>
        <v>63.210085998164651</v>
      </c>
    </row>
    <row r="431" spans="1:42">
      <c r="A431" s="9">
        <v>45849</v>
      </c>
      <c r="B431" s="6" t="s">
        <v>245</v>
      </c>
      <c r="C431" s="14">
        <v>7072</v>
      </c>
      <c r="D431" s="6" t="s">
        <v>44</v>
      </c>
      <c r="E431" s="6" t="s">
        <v>47</v>
      </c>
      <c r="F431" s="6">
        <v>2</v>
      </c>
      <c r="G431" s="15">
        <v>8.3333333333333332E-3</v>
      </c>
      <c r="H431" s="16">
        <v>0</v>
      </c>
      <c r="I431" s="35">
        <f ca="1">IFERROR(Tabela3[[#This Row],[Custo Total]]/Tabela3[[#This Row],[Aluminio Util]],0)</f>
        <v>25.144202779607038</v>
      </c>
      <c r="J431" s="35">
        <f ca="1">Tabela3[[#This Row],[Custo Total]]/Tabela3[[#This Row],[Realizado]]</f>
        <v>8.3478753228295375</v>
      </c>
      <c r="K431" s="37">
        <f>IFERROR(Tabela3[[#This Row],[Qtde Cx Produzida]]/Tabela3[[#This Row],[Tempo]]/24,0)</f>
        <v>10</v>
      </c>
      <c r="L431" s="37">
        <f>Tabela3[[#This Row],[Qtde Cx Produzida]]*Tabela3[[#This Row],[Qdt Peça Placa]]</f>
        <v>8</v>
      </c>
      <c r="M431" s="37">
        <f>Tabela3[[#This Row],[Previsto]]-Tabela3[[#This Row],[Perda Pçs]]</f>
        <v>8</v>
      </c>
      <c r="N431" s="38">
        <f>IFERROR(Tabela3[[#This Row],[Perda Pçs]]/Tabela3[[#This Row],[Previsto]],0)</f>
        <v>0</v>
      </c>
      <c r="O431" s="39">
        <f>IFERROR(IF(Tabela3[[#This Row],[Qtde Cx Produzida]] &lt;&gt; 0, Tabela3[[#This Row],[Tempo]] / Tabela3[[#This Row],[Qtde Cx Produzida]], 0),0)</f>
        <v>4.1666666666666666E-3</v>
      </c>
      <c r="P431" s="57">
        <f>IFERROR(Tabela3[[#This Row],[Perda Pçs]]/Tabela3[[#This Row],[Qdt Peça Placa]],0)</f>
        <v>0</v>
      </c>
      <c r="Q431" s="37">
        <f>IFERROR(Tabela3[[#This Row],[Realizado]]*Tabela3[[#This Row],[Peso Util/Pç]],0)</f>
        <v>2.6560000000000001</v>
      </c>
      <c r="R431" s="37">
        <f>IFERROR(Tabela3[[#This Row],[Peso Total Galho]]*Tabela3[[#This Row],[Qtde Cx Produzida]]*1.055,0)</f>
        <v>4.8529999999999998</v>
      </c>
      <c r="S431" s="37">
        <f>(Tabela3[[#This Row],[Aluminio Bruto]]-Tabela3[[#This Row],[Aluminio Util]])*0.9</f>
        <v>1.9772999999999996</v>
      </c>
      <c r="T431" s="37">
        <f>Tabela3[[#This Row],[Aluminio Bruto]]/OleoKGAluminio</f>
        <v>2.0416508251312853</v>
      </c>
      <c r="U431" s="35">
        <f>IFERROR((VLOOKUP(Tabela3[[#This Row],[Moldador]],Tabela1[],5,)+(VLOOKUP(Tabela3[[#This Row],[Ajudante]],Tabela1[],5,))*3.5),0)</f>
        <v>99.95034583333333</v>
      </c>
      <c r="V431" s="35">
        <f>IFERROR(Tabela3[[#This Row],[Custo M.O. / H]]/((Tabela3[[#This Row],[Realizado]]/Tabela3[[#This Row],[Qdt Peça Placa]])/Tabela3[[#This Row],[Tempo]]/24),)</f>
        <v>9.9950345833333323</v>
      </c>
      <c r="W431" s="35">
        <f>Tabela3[[#This Row],[Custo / Cx Moldada]]*Tabela3[[#This Row],[Qtde Cx Produzida]]</f>
        <v>19.990069166666665</v>
      </c>
      <c r="X431" s="35">
        <f ca="1">Tabela3[[#This Row],[Aluminio Util]]*Tabela3[[#This Row],[Custo/Kg]]</f>
        <v>41.433600000000006</v>
      </c>
      <c r="Y431" s="35">
        <f>IFERROR(VLOOKUP(Tabela3[[#This Row],[Data]],Tabela461213[],2,1)*(Tabela3[[#This Row],[Qtde Cx Produzida]]*Tabela3[[#This Row],[Qde macho / CX]]*Tabela3[[#This Row],[Peso Macho]]),)</f>
        <v>0</v>
      </c>
      <c r="Z431" s="35">
        <f>IFERROR(Tabela3[[#This Row],[Qtde Oleo]]*(VLOOKUP(Tabela3[[#This Row],[Data]],CompraOleo[],3,TRUE))*1.05,0)</f>
        <v>5.3593334159696235</v>
      </c>
      <c r="AA431" s="47">
        <f ca="1">(Tabela3[[#This Row],[Custo Oleo]]+Tabela3[[#This Row],[Custo Aluminio]]+Tabela3[[#This Row],[Custo M.O. Total]]+Tabela3[[#This Row],[Custo Machos]])</f>
        <v>66.7830025826363</v>
      </c>
      <c r="AB431" s="47">
        <f ca="1">Tabela3[[#This Row],[Custo Total]]*Tabela3[[#This Row],[% Perda]]</f>
        <v>0</v>
      </c>
      <c r="AC431" s="48">
        <f>IFERROR(VLOOKUP(Tabela3[[#This Row],[Produto]],Tabela2[],2,0),0)</f>
        <v>4</v>
      </c>
      <c r="AD431" s="48">
        <f>IFERROR(VLOOKUP(Tabela3[[#This Row],[Produto]],Tabela2[],3,0),0)</f>
        <v>0.33200000000000002</v>
      </c>
      <c r="AE431" s="48">
        <f>IFERROR(VLOOKUP(Tabela3[[#This Row],[Produto]],Tabela2[],4,0),0)</f>
        <v>2.2999999999999998</v>
      </c>
      <c r="AF431" s="48">
        <f>IFERROR(VLOOKUP(Tabela3[[#This Row],[Produto]],Tabela2[],5,0),0)</f>
        <v>0.8747999999999998</v>
      </c>
      <c r="AG431" s="40">
        <f>IFERROR(VLOOKUP(Tabela3[[#This Row],[Produto]],Tabela2[],6,0),0)</f>
        <v>0</v>
      </c>
      <c r="AH431" s="40">
        <f>IFERROR(VLOOKUP(Tabela3[[#This Row],[Produto]],Tabela2[],7,0),0)</f>
        <v>0</v>
      </c>
      <c r="AI431" s="40">
        <f>IFERROR(VLOOKUP(Tabela3[[#This Row],[Produto]],Tabela2[],8,0),0)</f>
        <v>0</v>
      </c>
      <c r="AJ431" s="35">
        <f ca="1">IFERROR(VLOOKUP(Tabela3[[#This Row],[Produto]],Tabela2[],13,0),0)</f>
        <v>15.600000000000001</v>
      </c>
      <c r="AK431" s="40" t="str">
        <f>IFERROR(VLOOKUP(Tabela3[[#This Row],[Produto]],Tabela2[],14,0),0)</f>
        <v>Senun</v>
      </c>
      <c r="AL431" s="40">
        <f>IFERROR(VLOOKUP(Tabela3[[#This Row],[Produto]],Tabela2[],15,0),0)</f>
        <v>3.5</v>
      </c>
      <c r="AM431" s="36">
        <f ca="1">(Tabela3[[#This Row],[Custo Usinagem]]+Tabela3[[#This Row],[Custo / Pç]])*1.2</f>
        <v>14.217450387395445</v>
      </c>
      <c r="AN431" s="36">
        <f ca="1">Tabela3[[#This Row],[Valor Mínimo Venda]]*1.15</f>
        <v>16.350067945504762</v>
      </c>
      <c r="AO431" s="36">
        <f ca="1">Tabela3[[#This Row],[Tabela 1]]*1.08</f>
        <v>17.658073381145144</v>
      </c>
      <c r="AP431" s="36">
        <f ca="1">Tabela3[[#This Row],[Tabela 2]]*1.15</f>
        <v>20.306784388316913</v>
      </c>
    </row>
    <row r="432" spans="1:42">
      <c r="A432" s="9">
        <v>45853</v>
      </c>
      <c r="B432" s="6" t="s">
        <v>254</v>
      </c>
      <c r="C432" s="14">
        <v>6487</v>
      </c>
      <c r="D432" s="6" t="s">
        <v>46</v>
      </c>
      <c r="E432" s="6" t="s">
        <v>53</v>
      </c>
      <c r="F432" s="6">
        <v>28</v>
      </c>
      <c r="G432" s="15">
        <v>0.14166666666666666</v>
      </c>
      <c r="H432" s="16">
        <v>0</v>
      </c>
      <c r="I432" s="35">
        <f ca="1">IFERROR(Tabela3[[#This Row],[Custo Total]]/Tabela3[[#This Row],[Aluminio Util]],0)</f>
        <v>33.112616488144504</v>
      </c>
      <c r="J432" s="35">
        <f ca="1">Tabela3[[#This Row],[Custo Total]]/Tabela3[[#This Row],[Realizado]]</f>
        <v>30.430494552604802</v>
      </c>
      <c r="K432" s="37">
        <f>IFERROR(Tabela3[[#This Row],[Qtde Cx Produzida]]/Tabela3[[#This Row],[Tempo]]/24,0)</f>
        <v>8.2352941176470598</v>
      </c>
      <c r="L432" s="37">
        <f>Tabela3[[#This Row],[Qtde Cx Produzida]]*Tabela3[[#This Row],[Qdt Peça Placa]]</f>
        <v>28</v>
      </c>
      <c r="M432" s="37">
        <f>Tabela3[[#This Row],[Previsto]]-Tabela3[[#This Row],[Perda Pçs]]</f>
        <v>28</v>
      </c>
      <c r="N432" s="38">
        <f>IFERROR(Tabela3[[#This Row],[Perda Pçs]]/Tabela3[[#This Row],[Previsto]],0)</f>
        <v>0</v>
      </c>
      <c r="O432" s="39">
        <f>IFERROR(IF(Tabela3[[#This Row],[Qtde Cx Produzida]] &lt;&gt; 0, Tabela3[[#This Row],[Tempo]] / Tabela3[[#This Row],[Qtde Cx Produzida]], 0),0)</f>
        <v>5.0595238095238098E-3</v>
      </c>
      <c r="P432" s="57">
        <f>IFERROR(Tabela3[[#This Row],[Perda Pçs]]/Tabela3[[#This Row],[Qdt Peça Placa]],0)</f>
        <v>0</v>
      </c>
      <c r="Q432" s="37">
        <f>IFERROR(Tabela3[[#This Row],[Realizado]]*Tabela3[[#This Row],[Peso Util/Pç]],0)</f>
        <v>25.731999999999999</v>
      </c>
      <c r="R432" s="37">
        <f>IFERROR(Tabela3[[#This Row],[Peso Total Galho]]*Tabela3[[#This Row],[Qtde Cx Produzida]]*1.055,0)</f>
        <v>53.733260000000001</v>
      </c>
      <c r="S432" s="37">
        <f>(Tabela3[[#This Row],[Aluminio Bruto]]-Tabela3[[#This Row],[Aluminio Util]])*0.9</f>
        <v>25.201134000000003</v>
      </c>
      <c r="T432" s="37">
        <f>Tabela3[[#This Row],[Aluminio Bruto]]/OleoKGAluminio</f>
        <v>22.605513005562308</v>
      </c>
      <c r="U432" s="35">
        <f>IFERROR((VLOOKUP(Tabela3[[#This Row],[Moldador]],Tabela1[],5,)+(VLOOKUP(Tabela3[[#This Row],[Ajudante]],Tabela1[],5,))*3.5),0)</f>
        <v>99.95034583333333</v>
      </c>
      <c r="V432" s="35">
        <f>IFERROR(Tabela3[[#This Row],[Custo M.O. / H]]/((Tabela3[[#This Row],[Realizado]]/Tabela3[[#This Row],[Qdt Peça Placa]])/Tabela3[[#This Row],[Tempo]]/24),)</f>
        <v>12.136827708333332</v>
      </c>
      <c r="W432" s="35">
        <f>Tabela3[[#This Row],[Custo / Cx Moldada]]*Tabela3[[#This Row],[Qtde Cx Produzida]]</f>
        <v>339.8311758333333</v>
      </c>
      <c r="X432" s="35">
        <f ca="1">Tabela3[[#This Row],[Aluminio Util]]*Tabela3[[#This Row],[Custo/Kg]]</f>
        <v>452.88320000000004</v>
      </c>
      <c r="Y432" s="35">
        <f>IFERROR(VLOOKUP(Tabela3[[#This Row],[Data]],Tabela461213[],2,1)*(Tabela3[[#This Row],[Qtde Cx Produzida]]*Tabela3[[#This Row],[Qde macho / CX]]*Tabela3[[#This Row],[Peso Macho]]),)</f>
        <v>0</v>
      </c>
      <c r="Z432" s="35">
        <f>IFERROR(Tabela3[[#This Row],[Qtde Oleo]]*(VLOOKUP(Tabela3[[#This Row],[Data]],CompraOleo[],3,TRUE))*1.05,0)</f>
        <v>59.339471639601058</v>
      </c>
      <c r="AA432" s="47">
        <f ca="1">(Tabela3[[#This Row],[Custo Oleo]]+Tabela3[[#This Row],[Custo Aluminio]]+Tabela3[[#This Row],[Custo M.O. Total]]+Tabela3[[#This Row],[Custo Machos]])</f>
        <v>852.05384747293442</v>
      </c>
      <c r="AB432" s="47">
        <f ca="1">Tabela3[[#This Row],[Custo Total]]*Tabela3[[#This Row],[% Perda]]</f>
        <v>0</v>
      </c>
      <c r="AC432" s="48">
        <f>IFERROR(VLOOKUP(Tabela3[[#This Row],[Produto]],Tabela2[],2,0),0)</f>
        <v>1</v>
      </c>
      <c r="AD432" s="48">
        <f>IFERROR(VLOOKUP(Tabela3[[#This Row],[Produto]],Tabela2[],3,0),0)</f>
        <v>0.91900000000000004</v>
      </c>
      <c r="AE432" s="48">
        <f>IFERROR(VLOOKUP(Tabela3[[#This Row],[Produto]],Tabela2[],4,0),0)</f>
        <v>1.819</v>
      </c>
      <c r="AF432" s="48">
        <f>IFERROR(VLOOKUP(Tabela3[[#This Row],[Produto]],Tabela2[],5,0),0)</f>
        <v>0.80999999999999994</v>
      </c>
      <c r="AG432" s="40">
        <f>IFERROR(VLOOKUP(Tabela3[[#This Row],[Produto]],Tabela2[],6,0),0)</f>
        <v>0</v>
      </c>
      <c r="AH432" s="40">
        <f>IFERROR(VLOOKUP(Tabela3[[#This Row],[Produto]],Tabela2[],7,0),0)</f>
        <v>0</v>
      </c>
      <c r="AI432" s="40">
        <f>IFERROR(VLOOKUP(Tabela3[[#This Row],[Produto]],Tabela2[],8,0),0)</f>
        <v>0</v>
      </c>
      <c r="AJ432" s="35">
        <f ca="1">IFERROR(VLOOKUP(Tabela3[[#This Row],[Produto]],Tabela2[],13,0),0)</f>
        <v>17.600000000000001</v>
      </c>
      <c r="AK432" s="40" t="str">
        <f>IFERROR(VLOOKUP(Tabela3[[#This Row],[Produto]],Tabela2[],14,0),0)</f>
        <v>Protec</v>
      </c>
      <c r="AL432" s="40">
        <f>IFERROR(VLOOKUP(Tabela3[[#This Row],[Produto]],Tabela2[],15,0),0)</f>
        <v>0</v>
      </c>
      <c r="AM432" s="36">
        <f ca="1">(Tabela3[[#This Row],[Custo Usinagem]]+Tabela3[[#This Row],[Custo / Pç]])*1.2</f>
        <v>36.516593463125758</v>
      </c>
      <c r="AN432" s="36">
        <f ca="1">Tabela3[[#This Row],[Valor Mínimo Venda]]*1.15</f>
        <v>41.994082482594621</v>
      </c>
      <c r="AO432" s="36">
        <f ca="1">Tabela3[[#This Row],[Tabela 1]]*1.08</f>
        <v>45.353609081202194</v>
      </c>
      <c r="AP432" s="36">
        <f ca="1">Tabela3[[#This Row],[Tabela 2]]*1.15</f>
        <v>52.156650443382517</v>
      </c>
    </row>
    <row r="433" spans="1:42">
      <c r="A433" s="9">
        <v>45853</v>
      </c>
      <c r="B433" s="6" t="s">
        <v>221</v>
      </c>
      <c r="C433" s="14">
        <v>7112</v>
      </c>
      <c r="D433" s="6" t="s">
        <v>44</v>
      </c>
      <c r="E433" s="6" t="s">
        <v>47</v>
      </c>
      <c r="F433" s="6">
        <v>32</v>
      </c>
      <c r="G433" s="15">
        <v>0.12361111111111112</v>
      </c>
      <c r="H433" s="16">
        <v>0</v>
      </c>
      <c r="I433" s="35">
        <f ca="1">IFERROR(Tabela3[[#This Row],[Custo Total]]/Tabela3[[#This Row],[Aluminio Util]],0)</f>
        <v>22.600784428477155</v>
      </c>
      <c r="J433" s="35">
        <f ca="1">Tabela3[[#This Row],[Custo Total]]/Tabela3[[#This Row],[Realizado]]</f>
        <v>2.8702996224165984</v>
      </c>
      <c r="K433" s="37">
        <f>IFERROR(Tabela3[[#This Row],[Qtde Cx Produzida]]/Tabela3[[#This Row],[Tempo]]/24,0)</f>
        <v>10.786516853932584</v>
      </c>
      <c r="L433" s="37">
        <f>Tabela3[[#This Row],[Qtde Cx Produzida]]*Tabela3[[#This Row],[Qdt Peça Placa]]</f>
        <v>576</v>
      </c>
      <c r="M433" s="37">
        <f>Tabela3[[#This Row],[Previsto]]-Tabela3[[#This Row],[Perda Pçs]]</f>
        <v>576</v>
      </c>
      <c r="N433" s="38">
        <f>IFERROR(Tabela3[[#This Row],[Perda Pçs]]/Tabela3[[#This Row],[Previsto]],0)</f>
        <v>0</v>
      </c>
      <c r="O433" s="39">
        <f>IFERROR(IF(Tabela3[[#This Row],[Qtde Cx Produzida]] &lt;&gt; 0, Tabela3[[#This Row],[Tempo]] / Tabela3[[#This Row],[Qtde Cx Produzida]], 0),0)</f>
        <v>3.8628472222222224E-3</v>
      </c>
      <c r="P433" s="57">
        <f>IFERROR(Tabela3[[#This Row],[Perda Pçs]]/Tabela3[[#This Row],[Qdt Peça Placa]],0)</f>
        <v>0</v>
      </c>
      <c r="Q433" s="37">
        <f>IFERROR(Tabela3[[#This Row],[Realizado]]*Tabela3[[#This Row],[Peso Util/Pç]],0)</f>
        <v>73.152000000000001</v>
      </c>
      <c r="R433" s="37">
        <f>IFERROR(Tabela3[[#This Row],[Peso Total Galho]]*Tabela3[[#This Row],[Qtde Cx Produzida]]*1.055,0)</f>
        <v>130.9888</v>
      </c>
      <c r="S433" s="37">
        <f>(Tabela3[[#This Row],[Aluminio Bruto]]-Tabela3[[#This Row],[Aluminio Util]])*0.9</f>
        <v>52.05312</v>
      </c>
      <c r="T433" s="37">
        <f>Tabela3[[#This Row],[Aluminio Bruto]]/OleoKGAluminio</f>
        <v>55.106818793108779</v>
      </c>
      <c r="U433" s="35">
        <f>IFERROR((VLOOKUP(Tabela3[[#This Row],[Moldador]],Tabela1[],5,)+(VLOOKUP(Tabela3[[#This Row],[Ajudante]],Tabela1[],5,))*3.5),0)</f>
        <v>99.95034583333333</v>
      </c>
      <c r="V433" s="35">
        <f>IFERROR(Tabela3[[#This Row],[Custo M.O. / H]]/((Tabela3[[#This Row],[Realizado]]/Tabela3[[#This Row],[Qdt Peça Placa]])/Tabela3[[#This Row],[Tempo]]/24),)</f>
        <v>9.2662299782986111</v>
      </c>
      <c r="W433" s="35">
        <f>Tabela3[[#This Row],[Custo / Cx Moldada]]*Tabela3[[#This Row],[Qtde Cx Produzida]]</f>
        <v>296.51935930555555</v>
      </c>
      <c r="X433" s="35">
        <f ca="1">Tabela3[[#This Row],[Aluminio Util]]*Tabela3[[#This Row],[Custo/Kg]]</f>
        <v>1212.1178238744947</v>
      </c>
      <c r="Y433" s="35">
        <f>IFERROR(VLOOKUP(Tabela3[[#This Row],[Data]],Tabela461213[],2,1)*(Tabela3[[#This Row],[Qtde Cx Produzida]]*Tabela3[[#This Row],[Qde macho / CX]]*Tabela3[[#This Row],[Peso Macho]]),)</f>
        <v>0</v>
      </c>
      <c r="Z433" s="35">
        <f>IFERROR(Tabela3[[#This Row],[Qtde Oleo]]*(VLOOKUP(Tabela3[[#This Row],[Data]],CompraOleo[],3,TRUE))*1.05,0)</f>
        <v>144.65539933191056</v>
      </c>
      <c r="AA433" s="47">
        <f ca="1">(Tabela3[[#This Row],[Custo Oleo]]+Tabela3[[#This Row],[Custo Aluminio]]+Tabela3[[#This Row],[Custo M.O. Total]]+Tabela3[[#This Row],[Custo Machos]])</f>
        <v>1653.2925825119607</v>
      </c>
      <c r="AB433" s="47">
        <f ca="1">Tabela3[[#This Row],[Custo Total]]*Tabela3[[#This Row],[% Perda]]</f>
        <v>0</v>
      </c>
      <c r="AC433" s="48">
        <f>IFERROR(VLOOKUP(Tabela3[[#This Row],[Produto]],Tabela2[],2,0),0)</f>
        <v>18</v>
      </c>
      <c r="AD433" s="48">
        <f>IFERROR(VLOOKUP(Tabela3[[#This Row],[Produto]],Tabela2[],3,0),0)</f>
        <v>0.127</v>
      </c>
      <c r="AE433" s="48">
        <f>IFERROR(VLOOKUP(Tabela3[[#This Row],[Produto]],Tabela2[],4,0),0)</f>
        <v>3.88</v>
      </c>
      <c r="AF433" s="48">
        <f>IFERROR(VLOOKUP(Tabela3[[#This Row],[Produto]],Tabela2[],5,0),0)</f>
        <v>1.4345999999999999</v>
      </c>
      <c r="AG433" s="40">
        <f>IFERROR(VLOOKUP(Tabela3[[#This Row],[Produto]],Tabela2[],6,0),0)</f>
        <v>0</v>
      </c>
      <c r="AH433" s="40">
        <f>IFERROR(VLOOKUP(Tabela3[[#This Row],[Produto]],Tabela2[],7,0),0)</f>
        <v>0</v>
      </c>
      <c r="AI433" s="40">
        <f>IFERROR(VLOOKUP(Tabela3[[#This Row],[Produto]],Tabela2[],8,0),0)</f>
        <v>0</v>
      </c>
      <c r="AJ433" s="35">
        <f ca="1">IFERROR(VLOOKUP(Tabela3[[#This Row],[Produto]],Tabela2[],13,0),0)</f>
        <v>16.569852141766386</v>
      </c>
      <c r="AK433" s="40" t="str">
        <f>IFERROR(VLOOKUP(Tabela3[[#This Row],[Produto]],Tabela2[],14,0),0)</f>
        <v>Marcelo</v>
      </c>
      <c r="AL433" s="40">
        <f>IFERROR(VLOOKUP(Tabela3[[#This Row],[Produto]],Tabela2[],15,0),0)</f>
        <v>0</v>
      </c>
      <c r="AM433" s="36">
        <f ca="1">(Tabela3[[#This Row],[Custo Usinagem]]+Tabela3[[#This Row],[Custo / Pç]])*1.2</f>
        <v>3.4443595468999182</v>
      </c>
      <c r="AN433" s="36">
        <f ca="1">Tabela3[[#This Row],[Valor Mínimo Venda]]*1.15</f>
        <v>3.9610134789349054</v>
      </c>
      <c r="AO433" s="36">
        <f ca="1">Tabela3[[#This Row],[Tabela 1]]*1.08</f>
        <v>4.2778945572496978</v>
      </c>
      <c r="AP433" s="36">
        <f ca="1">Tabela3[[#This Row],[Tabela 2]]*1.15</f>
        <v>4.9195787408371521</v>
      </c>
    </row>
    <row r="434" spans="1:42">
      <c r="A434" s="9">
        <v>45853</v>
      </c>
      <c r="B434" s="6" t="s">
        <v>236</v>
      </c>
      <c r="C434" s="14">
        <v>6903</v>
      </c>
      <c r="D434" s="6" t="s">
        <v>44</v>
      </c>
      <c r="E434" s="6" t="s">
        <v>47</v>
      </c>
      <c r="F434" s="6">
        <v>37</v>
      </c>
      <c r="G434" s="15">
        <v>0.21736111111111112</v>
      </c>
      <c r="H434" s="16">
        <v>0</v>
      </c>
      <c r="I434" s="35">
        <f ca="1">IFERROR(Tabela3[[#This Row],[Custo Total]]/Tabela3[[#This Row],[Aluminio Util]],0)</f>
        <v>24.760780513036607</v>
      </c>
      <c r="J434" s="35">
        <f ca="1">Tabela3[[#This Row],[Custo Total]]/Tabela3[[#This Row],[Realizado]]</f>
        <v>7.4777557149370555</v>
      </c>
      <c r="K434" s="37">
        <f>IFERROR(Tabela3[[#This Row],[Qtde Cx Produzida]]/Tabela3[[#This Row],[Tempo]]/24,0)</f>
        <v>7.0926517571884986</v>
      </c>
      <c r="L434" s="37">
        <f>Tabela3[[#This Row],[Qtde Cx Produzida]]*Tabela3[[#This Row],[Qdt Peça Placa]]</f>
        <v>222</v>
      </c>
      <c r="M434" s="37">
        <f>Tabela3[[#This Row],[Previsto]]-Tabela3[[#This Row],[Perda Pçs]]</f>
        <v>222</v>
      </c>
      <c r="N434" s="38">
        <f>IFERROR(Tabela3[[#This Row],[Perda Pçs]]/Tabela3[[#This Row],[Previsto]],0)</f>
        <v>0</v>
      </c>
      <c r="O434" s="39">
        <f>IFERROR(IF(Tabela3[[#This Row],[Qtde Cx Produzida]] &lt;&gt; 0, Tabela3[[#This Row],[Tempo]] / Tabela3[[#This Row],[Qtde Cx Produzida]], 0),0)</f>
        <v>5.8746246246246248E-3</v>
      </c>
      <c r="P434" s="57">
        <f>IFERROR(Tabela3[[#This Row],[Perda Pçs]]/Tabela3[[#This Row],[Qdt Peça Placa]],0)</f>
        <v>0</v>
      </c>
      <c r="Q434" s="37">
        <f>IFERROR(Tabela3[[#This Row],[Realizado]]*Tabela3[[#This Row],[Peso Util/Pç]],0)</f>
        <v>67.043999999999997</v>
      </c>
      <c r="R434" s="37">
        <f>IFERROR(Tabela3[[#This Row],[Peso Total Galho]]*Tabela3[[#This Row],[Qtde Cx Produzida]]*1.055,0)</f>
        <v>84.003320000000002</v>
      </c>
      <c r="S434" s="37">
        <f>(Tabela3[[#This Row],[Aluminio Bruto]]-Tabela3[[#This Row],[Aluminio Util]])*0.9</f>
        <v>15.263388000000004</v>
      </c>
      <c r="T434" s="37">
        <f>Tabela3[[#This Row],[Aluminio Bruto]]/OleoKGAluminio</f>
        <v>35.340088108750756</v>
      </c>
      <c r="U434" s="35">
        <f>IFERROR((VLOOKUP(Tabela3[[#This Row],[Moldador]],Tabela1[],5,)+(VLOOKUP(Tabela3[[#This Row],[Ajudante]],Tabela1[],5,))*3.5),0)</f>
        <v>99.95034583333333</v>
      </c>
      <c r="V434" s="35">
        <f>IFERROR(Tabela3[[#This Row],[Custo M.O. / H]]/((Tabela3[[#This Row],[Realizado]]/Tabela3[[#This Row],[Qdt Peça Placa]])/Tabela3[[#This Row],[Tempo]]/24),)</f>
        <v>14.092098308933933</v>
      </c>
      <c r="W434" s="35">
        <f>Tabela3[[#This Row],[Custo / Cx Moldada]]*Tabela3[[#This Row],[Qtde Cx Produzida]]</f>
        <v>521.4076374305555</v>
      </c>
      <c r="X434" s="35">
        <f ca="1">Tabela3[[#This Row],[Aluminio Util]]*Tabela3[[#This Row],[Custo/Kg]]</f>
        <v>1045.8864000000001</v>
      </c>
      <c r="Y434" s="35">
        <f>IFERROR(VLOOKUP(Tabela3[[#This Row],[Data]],Tabela461213[],2,1)*(Tabela3[[#This Row],[Qtde Cx Produzida]]*Tabela3[[#This Row],[Qde macho / CX]]*Tabela3[[#This Row],[Peso Macho]]),)</f>
        <v>0</v>
      </c>
      <c r="Z434" s="35">
        <f>IFERROR(Tabela3[[#This Row],[Qtde Oleo]]*(VLOOKUP(Tabela3[[#This Row],[Data]],CompraOleo[],3,TRUE))*1.05,0)</f>
        <v>92.767731285470745</v>
      </c>
      <c r="AA434" s="47">
        <f ca="1">(Tabela3[[#This Row],[Custo Oleo]]+Tabela3[[#This Row],[Custo Aluminio]]+Tabela3[[#This Row],[Custo M.O. Total]]+Tabela3[[#This Row],[Custo Machos]])</f>
        <v>1660.0617687160263</v>
      </c>
      <c r="AB434" s="47">
        <f ca="1">Tabela3[[#This Row],[Custo Total]]*Tabela3[[#This Row],[% Perda]]</f>
        <v>0</v>
      </c>
      <c r="AC434" s="48">
        <f>IFERROR(VLOOKUP(Tabela3[[#This Row],[Produto]],Tabela2[],2,0),0)</f>
        <v>6</v>
      </c>
      <c r="AD434" s="48">
        <f>IFERROR(VLOOKUP(Tabela3[[#This Row],[Produto]],Tabela2[],3,0),0)</f>
        <v>0.30199999999999999</v>
      </c>
      <c r="AE434" s="48">
        <f>IFERROR(VLOOKUP(Tabela3[[#This Row],[Produto]],Tabela2[],4,0),0)</f>
        <v>2.1520000000000001</v>
      </c>
      <c r="AF434" s="48">
        <f>IFERROR(VLOOKUP(Tabela3[[#This Row],[Produto]],Tabela2[],5,0),0)</f>
        <v>0.30600000000000027</v>
      </c>
      <c r="AG434" s="40">
        <f>IFERROR(VLOOKUP(Tabela3[[#This Row],[Produto]],Tabela2[],6,0),0)</f>
        <v>0</v>
      </c>
      <c r="AH434" s="40">
        <f>IFERROR(VLOOKUP(Tabela3[[#This Row],[Produto]],Tabela2[],7,0),0)</f>
        <v>0</v>
      </c>
      <c r="AI434" s="40">
        <f>IFERROR(VLOOKUP(Tabela3[[#This Row],[Produto]],Tabela2[],8,0),0)</f>
        <v>0</v>
      </c>
      <c r="AJ434" s="35">
        <f ca="1">IFERROR(VLOOKUP(Tabela3[[#This Row],[Produto]],Tabela2[],13,0),0)</f>
        <v>15.600000000000001</v>
      </c>
      <c r="AK434" s="40" t="str">
        <f>IFERROR(VLOOKUP(Tabela3[[#This Row],[Produto]],Tabela2[],14,0),0)</f>
        <v>Senun</v>
      </c>
      <c r="AL434" s="40">
        <f>IFERROR(VLOOKUP(Tabela3[[#This Row],[Produto]],Tabela2[],15,0),0)</f>
        <v>4</v>
      </c>
      <c r="AM434" s="36">
        <f ca="1">(Tabela3[[#This Row],[Custo Usinagem]]+Tabela3[[#This Row],[Custo / Pç]])*1.2</f>
        <v>13.773306857924466</v>
      </c>
      <c r="AN434" s="36">
        <f ca="1">Tabela3[[#This Row],[Valor Mínimo Venda]]*1.15</f>
        <v>15.839302886613135</v>
      </c>
      <c r="AO434" s="36">
        <f ca="1">Tabela3[[#This Row],[Tabela 1]]*1.08</f>
        <v>17.106447117542185</v>
      </c>
      <c r="AP434" s="36">
        <f ca="1">Tabela3[[#This Row],[Tabela 2]]*1.15</f>
        <v>19.672414185173512</v>
      </c>
    </row>
    <row r="435" spans="1:42">
      <c r="A435" s="9">
        <v>45854</v>
      </c>
      <c r="B435" s="6" t="s">
        <v>254</v>
      </c>
      <c r="C435" s="14">
        <v>6487</v>
      </c>
      <c r="D435" s="6" t="s">
        <v>46</v>
      </c>
      <c r="E435" s="6" t="s">
        <v>53</v>
      </c>
      <c r="F435" s="6">
        <v>7</v>
      </c>
      <c r="G435" s="15">
        <v>3.2638888888888891E-2</v>
      </c>
      <c r="H435" s="16">
        <v>0</v>
      </c>
      <c r="I435" s="35">
        <f ca="1">IFERROR(Tabela3[[#This Row],[Custo Total]]/Tabela3[[#This Row],[Aluminio Util]],0)</f>
        <v>32.076807940205931</v>
      </c>
      <c r="J435" s="35">
        <f ca="1">Tabela3[[#This Row],[Custo Total]]/Tabela3[[#This Row],[Realizado]]</f>
        <v>29.478586497049246</v>
      </c>
      <c r="K435" s="37">
        <f>IFERROR(Tabela3[[#This Row],[Qtde Cx Produzida]]/Tabela3[[#This Row],[Tempo]]/24,0)</f>
        <v>8.9361702127659566</v>
      </c>
      <c r="L435" s="37">
        <f>Tabela3[[#This Row],[Qtde Cx Produzida]]*Tabela3[[#This Row],[Qdt Peça Placa]]</f>
        <v>7</v>
      </c>
      <c r="M435" s="37">
        <f>Tabela3[[#This Row],[Previsto]]-Tabela3[[#This Row],[Perda Pçs]]</f>
        <v>7</v>
      </c>
      <c r="N435" s="38">
        <f>IFERROR(Tabela3[[#This Row],[Perda Pçs]]/Tabela3[[#This Row],[Previsto]],0)</f>
        <v>0</v>
      </c>
      <c r="O435" s="39">
        <f>IFERROR(IF(Tabela3[[#This Row],[Qtde Cx Produzida]] &lt;&gt; 0, Tabela3[[#This Row],[Tempo]] / Tabela3[[#This Row],[Qtde Cx Produzida]], 0),0)</f>
        <v>4.6626984126984126E-3</v>
      </c>
      <c r="P435" s="57">
        <f>IFERROR(Tabela3[[#This Row],[Perda Pçs]]/Tabela3[[#This Row],[Qdt Peça Placa]],0)</f>
        <v>0</v>
      </c>
      <c r="Q435" s="37">
        <f>IFERROR(Tabela3[[#This Row],[Realizado]]*Tabela3[[#This Row],[Peso Util/Pç]],0)</f>
        <v>6.4329999999999998</v>
      </c>
      <c r="R435" s="37">
        <f>IFERROR(Tabela3[[#This Row],[Peso Total Galho]]*Tabela3[[#This Row],[Qtde Cx Produzida]]*1.055,0)</f>
        <v>13.433315</v>
      </c>
      <c r="S435" s="37">
        <f>(Tabela3[[#This Row],[Aluminio Bruto]]-Tabela3[[#This Row],[Aluminio Util]])*0.9</f>
        <v>6.3002835000000008</v>
      </c>
      <c r="T435" s="37">
        <f>Tabela3[[#This Row],[Aluminio Bruto]]/OleoKGAluminio</f>
        <v>5.651378251390577</v>
      </c>
      <c r="U435" s="35">
        <f>IFERROR((VLOOKUP(Tabela3[[#This Row],[Moldador]],Tabela1[],5,)+(VLOOKUP(Tabela3[[#This Row],[Ajudante]],Tabela1[],5,))*3.5),0)</f>
        <v>99.95034583333333</v>
      </c>
      <c r="V435" s="35">
        <f>IFERROR(Tabela3[[#This Row],[Custo M.O. / H]]/((Tabela3[[#This Row],[Realizado]]/Tabela3[[#This Row],[Qdt Peça Placa]])/Tabela3[[#This Row],[Tempo]]/24),)</f>
        <v>11.184919652777779</v>
      </c>
      <c r="W435" s="35">
        <f>Tabela3[[#This Row],[Custo / Cx Moldada]]*Tabela3[[#This Row],[Qtde Cx Produzida]]</f>
        <v>78.294437569444455</v>
      </c>
      <c r="X435" s="35">
        <f ca="1">Tabela3[[#This Row],[Aluminio Util]]*Tabela3[[#This Row],[Custo/Kg]]</f>
        <v>113.22080000000001</v>
      </c>
      <c r="Y435" s="35">
        <f>IFERROR(VLOOKUP(Tabela3[[#This Row],[Data]],Tabela461213[],2,1)*(Tabela3[[#This Row],[Qtde Cx Produzida]]*Tabela3[[#This Row],[Qde macho / CX]]*Tabela3[[#This Row],[Peso Macho]]),)</f>
        <v>0</v>
      </c>
      <c r="Z435" s="35">
        <f>IFERROR(Tabela3[[#This Row],[Qtde Oleo]]*(VLOOKUP(Tabela3[[#This Row],[Data]],CompraOleo[],3,TRUE))*1.05,0)</f>
        <v>14.834867909900264</v>
      </c>
      <c r="AA435" s="47">
        <f ca="1">(Tabela3[[#This Row],[Custo Oleo]]+Tabela3[[#This Row],[Custo Aluminio]]+Tabela3[[#This Row],[Custo M.O. Total]]+Tabela3[[#This Row],[Custo Machos]])</f>
        <v>206.35010547934473</v>
      </c>
      <c r="AB435" s="47">
        <f ca="1">Tabela3[[#This Row],[Custo Total]]*Tabela3[[#This Row],[% Perda]]</f>
        <v>0</v>
      </c>
      <c r="AC435" s="48">
        <f>IFERROR(VLOOKUP(Tabela3[[#This Row],[Produto]],Tabela2[],2,0),0)</f>
        <v>1</v>
      </c>
      <c r="AD435" s="48">
        <f>IFERROR(VLOOKUP(Tabela3[[#This Row],[Produto]],Tabela2[],3,0),0)</f>
        <v>0.91900000000000004</v>
      </c>
      <c r="AE435" s="48">
        <f>IFERROR(VLOOKUP(Tabela3[[#This Row],[Produto]],Tabela2[],4,0),0)</f>
        <v>1.819</v>
      </c>
      <c r="AF435" s="48">
        <f>IFERROR(VLOOKUP(Tabela3[[#This Row],[Produto]],Tabela2[],5,0),0)</f>
        <v>0.80999999999999994</v>
      </c>
      <c r="AG435" s="40">
        <f>IFERROR(VLOOKUP(Tabela3[[#This Row],[Produto]],Tabela2[],6,0),0)</f>
        <v>0</v>
      </c>
      <c r="AH435" s="40">
        <f>IFERROR(VLOOKUP(Tabela3[[#This Row],[Produto]],Tabela2[],7,0),0)</f>
        <v>0</v>
      </c>
      <c r="AI435" s="40">
        <f>IFERROR(VLOOKUP(Tabela3[[#This Row],[Produto]],Tabela2[],8,0),0)</f>
        <v>0</v>
      </c>
      <c r="AJ435" s="35">
        <f ca="1">IFERROR(VLOOKUP(Tabela3[[#This Row],[Produto]],Tabela2[],13,0),0)</f>
        <v>17.600000000000001</v>
      </c>
      <c r="AK435" s="40" t="str">
        <f>IFERROR(VLOOKUP(Tabela3[[#This Row],[Produto]],Tabela2[],14,0),0)</f>
        <v>Protec</v>
      </c>
      <c r="AL435" s="40">
        <f>IFERROR(VLOOKUP(Tabela3[[#This Row],[Produto]],Tabela2[],15,0),0)</f>
        <v>0</v>
      </c>
      <c r="AM435" s="36">
        <f ca="1">(Tabela3[[#This Row],[Custo Usinagem]]+Tabela3[[#This Row],[Custo / Pç]])*1.2</f>
        <v>35.374303796459095</v>
      </c>
      <c r="AN435" s="36">
        <f ca="1">Tabela3[[#This Row],[Valor Mínimo Venda]]*1.15</f>
        <v>40.680449365927956</v>
      </c>
      <c r="AO435" s="36">
        <f ca="1">Tabela3[[#This Row],[Tabela 1]]*1.08</f>
        <v>43.934885315202195</v>
      </c>
      <c r="AP435" s="36">
        <f ca="1">Tabela3[[#This Row],[Tabela 2]]*1.15</f>
        <v>50.525118112482517</v>
      </c>
    </row>
    <row r="436" spans="1:42">
      <c r="A436" s="9">
        <v>45854</v>
      </c>
      <c r="B436" s="6" t="s">
        <v>91</v>
      </c>
      <c r="C436" s="14">
        <v>7189</v>
      </c>
      <c r="D436" s="6" t="s">
        <v>46</v>
      </c>
      <c r="E436" s="6" t="s">
        <v>53</v>
      </c>
      <c r="F436" s="6">
        <v>10</v>
      </c>
      <c r="G436" s="15">
        <v>7.2222222222222215E-2</v>
      </c>
      <c r="H436" s="16">
        <v>0</v>
      </c>
      <c r="I436" s="35">
        <f ca="1">IFERROR(Tabela3[[#This Row],[Custo Total]]/Tabela3[[#This Row],[Aluminio Util]],0)</f>
        <v>40.50221579711836</v>
      </c>
      <c r="J436" s="35">
        <f ca="1">Tabela3[[#This Row],[Custo Total]]/Tabela3[[#This Row],[Realizado]]</f>
        <v>31.753737184940793</v>
      </c>
      <c r="K436" s="37">
        <f>IFERROR(Tabela3[[#This Row],[Qtde Cx Produzida]]/Tabela3[[#This Row],[Tempo]]/24,0)</f>
        <v>5.7692307692307701</v>
      </c>
      <c r="L436" s="37">
        <f>Tabela3[[#This Row],[Qtde Cx Produzida]]*Tabela3[[#This Row],[Qdt Peça Placa]]</f>
        <v>40</v>
      </c>
      <c r="M436" s="37">
        <f>Tabela3[[#This Row],[Previsto]]-Tabela3[[#This Row],[Perda Pçs]]</f>
        <v>40</v>
      </c>
      <c r="N436" s="38">
        <f>IFERROR(Tabela3[[#This Row],[Perda Pçs]]/Tabela3[[#This Row],[Previsto]],0)</f>
        <v>0</v>
      </c>
      <c r="O436" s="39">
        <f>IFERROR(IF(Tabela3[[#This Row],[Qtde Cx Produzida]] &lt;&gt; 0, Tabela3[[#This Row],[Tempo]] / Tabela3[[#This Row],[Qtde Cx Produzida]], 0),0)</f>
        <v>7.2222222222222219E-3</v>
      </c>
      <c r="P436" s="57">
        <f>IFERROR(Tabela3[[#This Row],[Perda Pçs]]/Tabela3[[#This Row],[Qdt Peça Placa]],0)</f>
        <v>0</v>
      </c>
      <c r="Q436" s="37">
        <f>IFERROR(Tabela3[[#This Row],[Realizado]]*Tabela3[[#This Row],[Peso Util/Pç]],0)</f>
        <v>31.36</v>
      </c>
      <c r="R436" s="37">
        <f>IFERROR(Tabela3[[#This Row],[Peso Total Galho]]*Tabela3[[#This Row],[Qtde Cx Produzida]]*1.055,0)</f>
        <v>58.531399999999998</v>
      </c>
      <c r="S436" s="37">
        <f>(Tabela3[[#This Row],[Aluminio Bruto]]-Tabela3[[#This Row],[Aluminio Util]])*0.9</f>
        <v>24.454259999999998</v>
      </c>
      <c r="T436" s="37">
        <f>Tabela3[[#This Row],[Aluminio Bruto]]/OleoKGAluminio</f>
        <v>24.62408429962689</v>
      </c>
      <c r="U436" s="35">
        <f>IFERROR((VLOOKUP(Tabela3[[#This Row],[Moldador]],Tabela1[],5,)+(VLOOKUP(Tabela3[[#This Row],[Ajudante]],Tabela1[],5,))*3.5),0)</f>
        <v>99.95034583333333</v>
      </c>
      <c r="V436" s="35">
        <f>IFERROR(Tabela3[[#This Row],[Custo M.O. / H]]/((Tabela3[[#This Row],[Realizado]]/Tabela3[[#This Row],[Qdt Peça Placa]])/Tabela3[[#This Row],[Tempo]]/24),)</f>
        <v>17.324726611111107</v>
      </c>
      <c r="W436" s="35">
        <f>Tabela3[[#This Row],[Custo / Cx Moldada]]*Tabela3[[#This Row],[Qtde Cx Produzida]]</f>
        <v>173.24726611111106</v>
      </c>
      <c r="X436" s="35">
        <f ca="1">Tabela3[[#This Row],[Aluminio Util]]*Tabela3[[#This Row],[Custo/Kg]]</f>
        <v>489.21600000000001</v>
      </c>
      <c r="Y436" s="35">
        <f>IFERROR(VLOOKUP(Tabela3[[#This Row],[Data]],Tabela461213[],2,1)*(Tabela3[[#This Row],[Qtde Cx Produzida]]*Tabela3[[#This Row],[Qde macho / CX]]*Tabela3[[#This Row],[Peso Macho]]),)</f>
        <v>543.048</v>
      </c>
      <c r="Z436" s="35">
        <f>IFERROR(Tabela3[[#This Row],[Qtde Oleo]]*(VLOOKUP(Tabela3[[#This Row],[Data]],CompraOleo[],3,TRUE))*1.05,0)</f>
        <v>64.63822128652059</v>
      </c>
      <c r="AA436" s="47">
        <f ca="1">(Tabela3[[#This Row],[Custo Oleo]]+Tabela3[[#This Row],[Custo Aluminio]]+Tabela3[[#This Row],[Custo M.O. Total]]+Tabela3[[#This Row],[Custo Machos]])</f>
        <v>1270.1494873976317</v>
      </c>
      <c r="AB436" s="47">
        <f ca="1">Tabela3[[#This Row],[Custo Total]]*Tabela3[[#This Row],[% Perda]]</f>
        <v>0</v>
      </c>
      <c r="AC436" s="48">
        <f>IFERROR(VLOOKUP(Tabela3[[#This Row],[Produto]],Tabela2[],2,0),0)</f>
        <v>4</v>
      </c>
      <c r="AD436" s="48">
        <f>IFERROR(VLOOKUP(Tabela3[[#This Row],[Produto]],Tabela2[],3,0),0)</f>
        <v>0.78400000000000003</v>
      </c>
      <c r="AE436" s="48">
        <f>IFERROR(VLOOKUP(Tabela3[[#This Row],[Produto]],Tabela2[],4,0),0)</f>
        <v>5.548</v>
      </c>
      <c r="AF436" s="48">
        <f>IFERROR(VLOOKUP(Tabela3[[#This Row],[Produto]],Tabela2[],5,0),0)</f>
        <v>2.1707999999999998</v>
      </c>
      <c r="AG436" s="40">
        <f>IFERROR(VLOOKUP(Tabela3[[#This Row],[Produto]],Tabela2[],6,0),0)</f>
        <v>0</v>
      </c>
      <c r="AH436" s="40">
        <f>IFERROR(VLOOKUP(Tabela3[[#This Row],[Produto]],Tabela2[],7,0),0)</f>
        <v>12</v>
      </c>
      <c r="AI436" s="40">
        <f>IFERROR(VLOOKUP(Tabela3[[#This Row],[Produto]],Tabela2[],8,0),0)</f>
        <v>2.6619999999999999</v>
      </c>
      <c r="AJ436" s="35">
        <f ca="1">IFERROR(VLOOKUP(Tabela3[[#This Row],[Produto]],Tabela2[],13,0),0)</f>
        <v>15.600000000000001</v>
      </c>
      <c r="AK436" s="40" t="str">
        <f>IFERROR(VLOOKUP(Tabela3[[#This Row],[Produto]],Tabela2[],14,0),0)</f>
        <v>Jumil</v>
      </c>
      <c r="AL436" s="40">
        <f>IFERROR(VLOOKUP(Tabela3[[#This Row],[Produto]],Tabela2[],15,0),0)</f>
        <v>8</v>
      </c>
      <c r="AM436" s="36">
        <f ca="1">(Tabela3[[#This Row],[Custo Usinagem]]+Tabela3[[#This Row],[Custo / Pç]])*1.2</f>
        <v>47.704484621928948</v>
      </c>
      <c r="AN436" s="36">
        <f ca="1">Tabela3[[#This Row],[Valor Mínimo Venda]]*1.15</f>
        <v>54.860157315218288</v>
      </c>
      <c r="AO436" s="36">
        <f ca="1">Tabela3[[#This Row],[Tabela 1]]*1.08</f>
        <v>59.248969900435753</v>
      </c>
      <c r="AP436" s="36">
        <f ca="1">Tabela3[[#This Row],[Tabela 2]]*1.15</f>
        <v>68.136315385501106</v>
      </c>
    </row>
    <row r="437" spans="1:42">
      <c r="A437" s="9">
        <v>45854</v>
      </c>
      <c r="B437" s="6" t="s">
        <v>111</v>
      </c>
      <c r="C437" s="14">
        <v>7195</v>
      </c>
      <c r="D437" s="6" t="s">
        <v>46</v>
      </c>
      <c r="E437" s="6" t="s">
        <v>53</v>
      </c>
      <c r="F437" s="6">
        <v>6</v>
      </c>
      <c r="G437" s="15">
        <v>4.2361111111111113E-2</v>
      </c>
      <c r="H437" s="16">
        <v>0</v>
      </c>
      <c r="I437" s="35">
        <f ca="1">IFERROR(Tabela3[[#This Row],[Custo Total]]/Tabela3[[#This Row],[Aluminio Util]],0)</f>
        <v>26.346426094223833</v>
      </c>
      <c r="J437" s="35">
        <f ca="1">Tabela3[[#This Row],[Custo Total]]/Tabela3[[#This Row],[Realizado]]</f>
        <v>51.375530883736474</v>
      </c>
      <c r="K437" s="37">
        <f>IFERROR(Tabela3[[#This Row],[Qtde Cx Produzida]]/Tabela3[[#This Row],[Tempo]]/24,0)</f>
        <v>5.9016393442622954</v>
      </c>
      <c r="L437" s="37">
        <f>Tabela3[[#This Row],[Qtde Cx Produzida]]*Tabela3[[#This Row],[Qdt Peça Placa]]</f>
        <v>6</v>
      </c>
      <c r="M437" s="37">
        <f>Tabela3[[#This Row],[Previsto]]-Tabela3[[#This Row],[Perda Pçs]]</f>
        <v>6</v>
      </c>
      <c r="N437" s="38">
        <f>IFERROR(Tabela3[[#This Row],[Perda Pçs]]/Tabela3[[#This Row],[Previsto]],0)</f>
        <v>0</v>
      </c>
      <c r="O437" s="39">
        <f>IFERROR(IF(Tabela3[[#This Row],[Qtde Cx Produzida]] &lt;&gt; 0, Tabela3[[#This Row],[Tempo]] / Tabela3[[#This Row],[Qtde Cx Produzida]], 0),0)</f>
        <v>7.0601851851851858E-3</v>
      </c>
      <c r="P437" s="57">
        <f>IFERROR(Tabela3[[#This Row],[Perda Pçs]]/Tabela3[[#This Row],[Qdt Peça Placa]],0)</f>
        <v>0</v>
      </c>
      <c r="Q437" s="37">
        <f>IFERROR(Tabela3[[#This Row],[Realizado]]*Tabela3[[#This Row],[Peso Util/Pç]],0)</f>
        <v>11.7</v>
      </c>
      <c r="R437" s="37">
        <f>IFERROR(Tabela3[[#This Row],[Peso Total Galho]]*Tabela3[[#This Row],[Qtde Cx Produzida]]*1.055,0)</f>
        <v>21.838500000000003</v>
      </c>
      <c r="S437" s="37">
        <f>(Tabela3[[#This Row],[Aluminio Bruto]]-Tabela3[[#This Row],[Aluminio Util]])*0.9</f>
        <v>9.1246500000000044</v>
      </c>
      <c r="T437" s="37">
        <f>Tabela3[[#This Row],[Aluminio Bruto]]/OleoKGAluminio</f>
        <v>9.1874287130907852</v>
      </c>
      <c r="U437" s="35">
        <f>IFERROR((VLOOKUP(Tabela3[[#This Row],[Moldador]],Tabela1[],5,)+(VLOOKUP(Tabela3[[#This Row],[Ajudante]],Tabela1[],5,))*3.5),0)</f>
        <v>99.95034583333333</v>
      </c>
      <c r="V437" s="35">
        <f>IFERROR(Tabela3[[#This Row],[Custo M.O. / H]]/((Tabela3[[#This Row],[Realizado]]/Tabela3[[#This Row],[Qdt Peça Placa]])/Tabela3[[#This Row],[Tempo]]/24),)</f>
        <v>16.936030821759257</v>
      </c>
      <c r="W437" s="35">
        <f>Tabela3[[#This Row],[Custo / Cx Moldada]]*Tabela3[[#This Row],[Qtde Cx Produzida]]</f>
        <v>101.61618493055553</v>
      </c>
      <c r="X437" s="35">
        <f ca="1">Tabela3[[#This Row],[Aluminio Util]]*Tabela3[[#This Row],[Custo/Kg]]</f>
        <v>182.52</v>
      </c>
      <c r="Y437" s="35">
        <f>IFERROR(VLOOKUP(Tabela3[[#This Row],[Data]],Tabela461213[],2,1)*(Tabela3[[#This Row],[Qtde Cx Produzida]]*Tabela3[[#This Row],[Qde macho / CX]]*Tabela3[[#This Row],[Peso Macho]]),)</f>
        <v>0</v>
      </c>
      <c r="Z437" s="35">
        <f>IFERROR(Tabela3[[#This Row],[Qtde Oleo]]*(VLOOKUP(Tabela3[[#This Row],[Data]],CompraOleo[],3,TRUE))*1.05,0)</f>
        <v>24.117000371863309</v>
      </c>
      <c r="AA437" s="47">
        <f ca="1">(Tabela3[[#This Row],[Custo Oleo]]+Tabela3[[#This Row],[Custo Aluminio]]+Tabela3[[#This Row],[Custo M.O. Total]]+Tabela3[[#This Row],[Custo Machos]])</f>
        <v>308.25318530241884</v>
      </c>
      <c r="AB437" s="47">
        <f ca="1">Tabela3[[#This Row],[Custo Total]]*Tabela3[[#This Row],[% Perda]]</f>
        <v>0</v>
      </c>
      <c r="AC437" s="48">
        <f>IFERROR(VLOOKUP(Tabela3[[#This Row],[Produto]],Tabela2[],2,0),0)</f>
        <v>1</v>
      </c>
      <c r="AD437" s="48">
        <f>IFERROR(VLOOKUP(Tabela3[[#This Row],[Produto]],Tabela2[],3,0),0)</f>
        <v>1.95</v>
      </c>
      <c r="AE437" s="48">
        <f>IFERROR(VLOOKUP(Tabela3[[#This Row],[Produto]],Tabela2[],4,0),0)</f>
        <v>3.45</v>
      </c>
      <c r="AF437" s="48">
        <f>IFERROR(VLOOKUP(Tabela3[[#This Row],[Produto]],Tabela2[],5,0),0)</f>
        <v>1.3500000000000003</v>
      </c>
      <c r="AG437" s="40">
        <f>IFERROR(VLOOKUP(Tabela3[[#This Row],[Produto]],Tabela2[],6,0),0)</f>
        <v>0</v>
      </c>
      <c r="AH437" s="40">
        <f>IFERROR(VLOOKUP(Tabela3[[#This Row],[Produto]],Tabela2[],7,0),0)</f>
        <v>0</v>
      </c>
      <c r="AI437" s="40">
        <f>IFERROR(VLOOKUP(Tabela3[[#This Row],[Produto]],Tabela2[],8,0),0)</f>
        <v>0</v>
      </c>
      <c r="AJ437" s="35">
        <f ca="1">IFERROR(VLOOKUP(Tabela3[[#This Row],[Produto]],Tabela2[],13,0),0)</f>
        <v>15.600000000000001</v>
      </c>
      <c r="AK437" s="40" t="str">
        <f>IFERROR(VLOOKUP(Tabela3[[#This Row],[Produto]],Tabela2[],14,0),0)</f>
        <v>Jumil</v>
      </c>
      <c r="AL437" s="40">
        <f>IFERROR(VLOOKUP(Tabela3[[#This Row],[Produto]],Tabela2[],15,0),0)</f>
        <v>1</v>
      </c>
      <c r="AM437" s="36">
        <f ca="1">(Tabela3[[#This Row],[Custo Usinagem]]+Tabela3[[#This Row],[Custo / Pç]])*1.2</f>
        <v>62.850637060483763</v>
      </c>
      <c r="AN437" s="36">
        <f ca="1">Tabela3[[#This Row],[Valor Mínimo Venda]]*1.15</f>
        <v>72.27823261955632</v>
      </c>
      <c r="AO437" s="36">
        <f ca="1">Tabela3[[#This Row],[Tabela 1]]*1.08</f>
        <v>78.060491229120828</v>
      </c>
      <c r="AP437" s="36">
        <f ca="1">Tabela3[[#This Row],[Tabela 2]]*1.15</f>
        <v>89.769564913488949</v>
      </c>
    </row>
    <row r="438" spans="1:42">
      <c r="A438" s="9">
        <v>45854</v>
      </c>
      <c r="B438" s="6" t="s">
        <v>232</v>
      </c>
      <c r="C438" s="14">
        <v>6605</v>
      </c>
      <c r="D438" s="6" t="s">
        <v>46</v>
      </c>
      <c r="E438" s="6" t="s">
        <v>53</v>
      </c>
      <c r="F438" s="6">
        <v>40</v>
      </c>
      <c r="G438" s="15">
        <v>0.19652777777777777</v>
      </c>
      <c r="H438" s="16">
        <v>0</v>
      </c>
      <c r="I438" s="35">
        <f ca="1">IFERROR(Tabela3[[#This Row],[Custo Total]]/Tabela3[[#This Row],[Aluminio Util]],0)</f>
        <v>26.823684509559993</v>
      </c>
      <c r="J438" s="35">
        <f ca="1">Tabela3[[#This Row],[Custo Total]]/Tabela3[[#This Row],[Realizado]]</f>
        <v>11.292771178524756</v>
      </c>
      <c r="K438" s="37">
        <f>IFERROR(Tabela3[[#This Row],[Qtde Cx Produzida]]/Tabela3[[#This Row],[Tempo]]/24,0)</f>
        <v>8.4805653710247348</v>
      </c>
      <c r="L438" s="37">
        <f>Tabela3[[#This Row],[Qtde Cx Produzida]]*Tabela3[[#This Row],[Qdt Peça Placa]]</f>
        <v>160</v>
      </c>
      <c r="M438" s="37">
        <f>Tabela3[[#This Row],[Previsto]]-Tabela3[[#This Row],[Perda Pçs]]</f>
        <v>160</v>
      </c>
      <c r="N438" s="38">
        <f>IFERROR(Tabela3[[#This Row],[Perda Pçs]]/Tabela3[[#This Row],[Previsto]],0)</f>
        <v>0</v>
      </c>
      <c r="O438" s="39">
        <f>IFERROR(IF(Tabela3[[#This Row],[Qtde Cx Produzida]] &lt;&gt; 0, Tabela3[[#This Row],[Tempo]] / Tabela3[[#This Row],[Qtde Cx Produzida]], 0),0)</f>
        <v>4.913194444444444E-3</v>
      </c>
      <c r="P438" s="57">
        <f>IFERROR(Tabela3[[#This Row],[Perda Pçs]]/Tabela3[[#This Row],[Qdt Peça Placa]],0)</f>
        <v>0</v>
      </c>
      <c r="Q438" s="37">
        <f>IFERROR(Tabela3[[#This Row],[Realizado]]*Tabela3[[#This Row],[Peso Util/Pç]],0)</f>
        <v>67.36</v>
      </c>
      <c r="R438" s="37">
        <f>IFERROR(Tabela3[[#This Row],[Peso Total Galho]]*Tabela3[[#This Row],[Qtde Cx Produzida]]*1.055,0)</f>
        <v>135.71520000000001</v>
      </c>
      <c r="S438" s="37">
        <f>(Tabela3[[#This Row],[Aluminio Bruto]]-Tabela3[[#This Row],[Aluminio Util]])*0.9</f>
        <v>61.519680000000008</v>
      </c>
      <c r="T438" s="37">
        <f>Tabela3[[#This Row],[Aluminio Bruto]]/OleoKGAluminio</f>
        <v>57.095209161932296</v>
      </c>
      <c r="U438" s="35">
        <f>IFERROR((VLOOKUP(Tabela3[[#This Row],[Moldador]],Tabela1[],5,)+(VLOOKUP(Tabela3[[#This Row],[Ajudante]],Tabela1[],5,))*3.5),0)</f>
        <v>99.95034583333333</v>
      </c>
      <c r="V438" s="35">
        <f>IFERROR(Tabela3[[#This Row],[Custo M.O. / H]]/((Tabela3[[#This Row],[Realizado]]/Tabela3[[#This Row],[Qdt Peça Placa]])/Tabela3[[#This Row],[Tempo]]/24),)</f>
        <v>11.785811612847223</v>
      </c>
      <c r="W438" s="35">
        <f>Tabela3[[#This Row],[Custo / Cx Moldada]]*Tabela3[[#This Row],[Qtde Cx Produzida]]</f>
        <v>471.43246451388893</v>
      </c>
      <c r="X438" s="35">
        <f ca="1">Tabela3[[#This Row],[Aluminio Util]]*Tabela3[[#This Row],[Custo/Kg]]</f>
        <v>1185.5360000000001</v>
      </c>
      <c r="Y438" s="35">
        <f>IFERROR(VLOOKUP(Tabela3[[#This Row],[Data]],Tabela461213[],2,1)*(Tabela3[[#This Row],[Qtde Cx Produzida]]*Tabela3[[#This Row],[Qde macho / CX]]*Tabela3[[#This Row],[Peso Macho]]),)</f>
        <v>0</v>
      </c>
      <c r="Z438" s="35">
        <f>IFERROR(Tabela3[[#This Row],[Qtde Oleo]]*(VLOOKUP(Tabela3[[#This Row],[Data]],CompraOleo[],3,TRUE))*1.05,0)</f>
        <v>149.87492405007228</v>
      </c>
      <c r="AA438" s="47">
        <f ca="1">(Tabela3[[#This Row],[Custo Oleo]]+Tabela3[[#This Row],[Custo Aluminio]]+Tabela3[[#This Row],[Custo M.O. Total]]+Tabela3[[#This Row],[Custo Machos]])</f>
        <v>1806.8433885639611</v>
      </c>
      <c r="AB438" s="47">
        <f ca="1">Tabela3[[#This Row],[Custo Total]]*Tabela3[[#This Row],[% Perda]]</f>
        <v>0</v>
      </c>
      <c r="AC438" s="48">
        <f>IFERROR(VLOOKUP(Tabela3[[#This Row],[Produto]],Tabela2[],2,0),0)</f>
        <v>4</v>
      </c>
      <c r="AD438" s="48">
        <f>IFERROR(VLOOKUP(Tabela3[[#This Row],[Produto]],Tabela2[],3,0),0)</f>
        <v>0.42099999999999999</v>
      </c>
      <c r="AE438" s="48">
        <f>IFERROR(VLOOKUP(Tabela3[[#This Row],[Produto]],Tabela2[],4,0),0)</f>
        <v>3.2160000000000002</v>
      </c>
      <c r="AF438" s="48">
        <f>IFERROR(VLOOKUP(Tabela3[[#This Row],[Produto]],Tabela2[],5,0),0)</f>
        <v>1.3788000000000002</v>
      </c>
      <c r="AG438" s="40">
        <f>IFERROR(VLOOKUP(Tabela3[[#This Row],[Produto]],Tabela2[],6,0),0)</f>
        <v>0</v>
      </c>
      <c r="AH438" s="40">
        <f>IFERROR(VLOOKUP(Tabela3[[#This Row],[Produto]],Tabela2[],7,0),0)</f>
        <v>0</v>
      </c>
      <c r="AI438" s="40">
        <f>IFERROR(VLOOKUP(Tabela3[[#This Row],[Produto]],Tabela2[],8,0),0)</f>
        <v>0</v>
      </c>
      <c r="AJ438" s="35">
        <f ca="1">IFERROR(VLOOKUP(Tabela3[[#This Row],[Produto]],Tabela2[],13,0),0)</f>
        <v>17.600000000000001</v>
      </c>
      <c r="AK438" s="40" t="str">
        <f>IFERROR(VLOOKUP(Tabela3[[#This Row],[Produto]],Tabela2[],14,0),0)</f>
        <v>Busa</v>
      </c>
      <c r="AL438" s="40">
        <f>IFERROR(VLOOKUP(Tabela3[[#This Row],[Produto]],Tabela2[],15,0),0)</f>
        <v>0.5</v>
      </c>
      <c r="AM438" s="36">
        <f ca="1">(Tabela3[[#This Row],[Custo Usinagem]]+Tabela3[[#This Row],[Custo / Pç]])*1.2</f>
        <v>14.151325414229706</v>
      </c>
      <c r="AN438" s="36">
        <f ca="1">Tabela3[[#This Row],[Valor Mínimo Venda]]*1.15</f>
        <v>16.274024226364162</v>
      </c>
      <c r="AO438" s="36">
        <f ca="1">Tabela3[[#This Row],[Tabela 1]]*1.08</f>
        <v>17.575946164473297</v>
      </c>
      <c r="AP438" s="36">
        <f ca="1">Tabela3[[#This Row],[Tabela 2]]*1.15</f>
        <v>20.212338089144289</v>
      </c>
    </row>
    <row r="439" spans="1:42">
      <c r="A439" s="9">
        <v>45854</v>
      </c>
      <c r="B439" s="6" t="s">
        <v>236</v>
      </c>
      <c r="C439" s="14">
        <v>6903</v>
      </c>
      <c r="D439" s="6" t="s">
        <v>44</v>
      </c>
      <c r="E439" s="6" t="s">
        <v>47</v>
      </c>
      <c r="F439" s="6">
        <v>65</v>
      </c>
      <c r="G439" s="15">
        <v>0.11527777777777778</v>
      </c>
      <c r="H439" s="16">
        <v>0</v>
      </c>
      <c r="I439" s="35">
        <f ca="1">IFERROR(Tabela3[[#This Row],[Custo Total]]/Tabela3[[#This Row],[Aluminio Util]],0)</f>
        <v>19.331530216366403</v>
      </c>
      <c r="J439" s="35">
        <f ca="1">Tabela3[[#This Row],[Custo Total]]/Tabela3[[#This Row],[Realizado]]</f>
        <v>5.8381221253426538</v>
      </c>
      <c r="K439" s="37">
        <f>IFERROR(Tabela3[[#This Row],[Qtde Cx Produzida]]/Tabela3[[#This Row],[Tempo]]/24,0)</f>
        <v>23.493975903614455</v>
      </c>
      <c r="L439" s="37">
        <f>Tabela3[[#This Row],[Qtde Cx Produzida]]*Tabela3[[#This Row],[Qdt Peça Placa]]</f>
        <v>390</v>
      </c>
      <c r="M439" s="37">
        <f>Tabela3[[#This Row],[Previsto]]-Tabela3[[#This Row],[Perda Pçs]]</f>
        <v>390</v>
      </c>
      <c r="N439" s="38">
        <f>IFERROR(Tabela3[[#This Row],[Perda Pçs]]/Tabela3[[#This Row],[Previsto]],0)</f>
        <v>0</v>
      </c>
      <c r="O439" s="39">
        <f>IFERROR(IF(Tabela3[[#This Row],[Qtde Cx Produzida]] &lt;&gt; 0, Tabela3[[#This Row],[Tempo]] / Tabela3[[#This Row],[Qtde Cx Produzida]], 0),0)</f>
        <v>1.7735042735042737E-3</v>
      </c>
      <c r="P439" s="57">
        <f>IFERROR(Tabela3[[#This Row],[Perda Pçs]]/Tabela3[[#This Row],[Qdt Peça Placa]],0)</f>
        <v>0</v>
      </c>
      <c r="Q439" s="37">
        <f>IFERROR(Tabela3[[#This Row],[Realizado]]*Tabela3[[#This Row],[Peso Util/Pç]],0)</f>
        <v>117.78</v>
      </c>
      <c r="R439" s="37">
        <f>IFERROR(Tabela3[[#This Row],[Peso Total Galho]]*Tabela3[[#This Row],[Qtde Cx Produzida]]*1.055,0)</f>
        <v>147.57339999999999</v>
      </c>
      <c r="S439" s="37">
        <f>(Tabela3[[#This Row],[Aluminio Bruto]]-Tabela3[[#This Row],[Aluminio Util]])*0.9</f>
        <v>26.814059999999994</v>
      </c>
      <c r="T439" s="37">
        <f>Tabela3[[#This Row],[Aluminio Bruto]]/OleoKGAluminio</f>
        <v>62.083938569426991</v>
      </c>
      <c r="U439" s="35">
        <f>IFERROR((VLOOKUP(Tabela3[[#This Row],[Moldador]],Tabela1[],5,)+(VLOOKUP(Tabela3[[#This Row],[Ajudante]],Tabela1[],5,))*3.5),0)</f>
        <v>99.95034583333333</v>
      </c>
      <c r="V439" s="35">
        <f>IFERROR(Tabela3[[#This Row],[Custo M.O. / H]]/((Tabela3[[#This Row],[Realizado]]/Tabela3[[#This Row],[Qdt Peça Placa]])/Tabela3[[#This Row],[Tempo]]/24),)</f>
        <v>4.2542967713675219</v>
      </c>
      <c r="W439" s="35">
        <f>Tabela3[[#This Row],[Custo / Cx Moldada]]*Tabela3[[#This Row],[Qtde Cx Produzida]]</f>
        <v>276.52929013888894</v>
      </c>
      <c r="X439" s="35">
        <f ca="1">Tabela3[[#This Row],[Aluminio Util]]*Tabela3[[#This Row],[Custo/Kg]]</f>
        <v>1837.3680000000002</v>
      </c>
      <c r="Y439" s="35">
        <f>IFERROR(VLOOKUP(Tabela3[[#This Row],[Data]],Tabela461213[],2,1)*(Tabela3[[#This Row],[Qtde Cx Produzida]]*Tabela3[[#This Row],[Qde macho / CX]]*Tabela3[[#This Row],[Peso Macho]]),)</f>
        <v>0</v>
      </c>
      <c r="Z439" s="35">
        <f>IFERROR(Tabela3[[#This Row],[Qtde Oleo]]*(VLOOKUP(Tabela3[[#This Row],[Data]],CompraOleo[],3,TRUE))*1.05,0)</f>
        <v>162.97033874474587</v>
      </c>
      <c r="AA439" s="47">
        <f ca="1">(Tabela3[[#This Row],[Custo Oleo]]+Tabela3[[#This Row],[Custo Aluminio]]+Tabela3[[#This Row],[Custo M.O. Total]]+Tabela3[[#This Row],[Custo Machos]])</f>
        <v>2276.867628883635</v>
      </c>
      <c r="AB439" s="47">
        <f ca="1">Tabela3[[#This Row],[Custo Total]]*Tabela3[[#This Row],[% Perda]]</f>
        <v>0</v>
      </c>
      <c r="AC439" s="48">
        <f>IFERROR(VLOOKUP(Tabela3[[#This Row],[Produto]],Tabela2[],2,0),0)</f>
        <v>6</v>
      </c>
      <c r="AD439" s="48">
        <f>IFERROR(VLOOKUP(Tabela3[[#This Row],[Produto]],Tabela2[],3,0),0)</f>
        <v>0.30199999999999999</v>
      </c>
      <c r="AE439" s="48">
        <f>IFERROR(VLOOKUP(Tabela3[[#This Row],[Produto]],Tabela2[],4,0),0)</f>
        <v>2.1520000000000001</v>
      </c>
      <c r="AF439" s="48">
        <f>IFERROR(VLOOKUP(Tabela3[[#This Row],[Produto]],Tabela2[],5,0),0)</f>
        <v>0.30600000000000027</v>
      </c>
      <c r="AG439" s="40">
        <f>IFERROR(VLOOKUP(Tabela3[[#This Row],[Produto]],Tabela2[],6,0),0)</f>
        <v>0</v>
      </c>
      <c r="AH439" s="40">
        <f>IFERROR(VLOOKUP(Tabela3[[#This Row],[Produto]],Tabela2[],7,0),0)</f>
        <v>0</v>
      </c>
      <c r="AI439" s="40">
        <f>IFERROR(VLOOKUP(Tabela3[[#This Row],[Produto]],Tabela2[],8,0),0)</f>
        <v>0</v>
      </c>
      <c r="AJ439" s="35">
        <f ca="1">IFERROR(VLOOKUP(Tabela3[[#This Row],[Produto]],Tabela2[],13,0),0)</f>
        <v>15.600000000000001</v>
      </c>
      <c r="AK439" s="40" t="str">
        <f>IFERROR(VLOOKUP(Tabela3[[#This Row],[Produto]],Tabela2[],14,0),0)</f>
        <v>Senun</v>
      </c>
      <c r="AL439" s="40">
        <f>IFERROR(VLOOKUP(Tabela3[[#This Row],[Produto]],Tabela2[],15,0),0)</f>
        <v>4</v>
      </c>
      <c r="AM439" s="36">
        <f ca="1">(Tabela3[[#This Row],[Custo Usinagem]]+Tabela3[[#This Row],[Custo / Pç]])*1.2</f>
        <v>11.805746550411184</v>
      </c>
      <c r="AN439" s="36">
        <f ca="1">Tabela3[[#This Row],[Valor Mínimo Venda]]*1.15</f>
        <v>13.576608532972861</v>
      </c>
      <c r="AO439" s="36">
        <f ca="1">Tabela3[[#This Row],[Tabela 1]]*1.08</f>
        <v>14.66273721561069</v>
      </c>
      <c r="AP439" s="36">
        <f ca="1">Tabela3[[#This Row],[Tabela 2]]*1.15</f>
        <v>16.862147797952293</v>
      </c>
    </row>
    <row r="440" spans="1:42">
      <c r="A440" s="9">
        <v>45855</v>
      </c>
      <c r="B440" s="6" t="s">
        <v>232</v>
      </c>
      <c r="C440" s="14">
        <v>6605</v>
      </c>
      <c r="D440" s="6" t="s">
        <v>46</v>
      </c>
      <c r="E440" s="6" t="s">
        <v>53</v>
      </c>
      <c r="F440" s="6">
        <v>7</v>
      </c>
      <c r="G440" s="15">
        <v>3.3333333333333333E-2</v>
      </c>
      <c r="H440" s="16">
        <v>0</v>
      </c>
      <c r="I440" s="35">
        <f ca="1">IFERROR(Tabela3[[#This Row],[Custo Total]]/Tabela3[[#This Row],[Aluminio Util]],0)</f>
        <v>26.608176821804317</v>
      </c>
      <c r="J440" s="35">
        <f ca="1">Tabela3[[#This Row],[Custo Total]]/Tabela3[[#This Row],[Realizado]]</f>
        <v>11.202042441979618</v>
      </c>
      <c r="K440" s="37">
        <f>IFERROR(Tabela3[[#This Row],[Qtde Cx Produzida]]/Tabela3[[#This Row],[Tempo]]/24,0)</f>
        <v>8.75</v>
      </c>
      <c r="L440" s="37">
        <f>Tabela3[[#This Row],[Qtde Cx Produzida]]*Tabela3[[#This Row],[Qdt Peça Placa]]</f>
        <v>28</v>
      </c>
      <c r="M440" s="37">
        <f>Tabela3[[#This Row],[Previsto]]-Tabela3[[#This Row],[Perda Pçs]]</f>
        <v>28</v>
      </c>
      <c r="N440" s="38">
        <f>IFERROR(Tabela3[[#This Row],[Perda Pçs]]/Tabela3[[#This Row],[Previsto]],0)</f>
        <v>0</v>
      </c>
      <c r="O440" s="39">
        <f>IFERROR(IF(Tabela3[[#This Row],[Qtde Cx Produzida]] &lt;&gt; 0, Tabela3[[#This Row],[Tempo]] / Tabela3[[#This Row],[Qtde Cx Produzida]], 0),0)</f>
        <v>4.7619047619047615E-3</v>
      </c>
      <c r="P440" s="57">
        <f>IFERROR(Tabela3[[#This Row],[Perda Pçs]]/Tabela3[[#This Row],[Qdt Peça Placa]],0)</f>
        <v>0</v>
      </c>
      <c r="Q440" s="37">
        <f>IFERROR(Tabela3[[#This Row],[Realizado]]*Tabela3[[#This Row],[Peso Util/Pç]],0)</f>
        <v>11.788</v>
      </c>
      <c r="R440" s="37">
        <f>IFERROR(Tabela3[[#This Row],[Peso Total Galho]]*Tabela3[[#This Row],[Qtde Cx Produzida]]*1.055,0)</f>
        <v>23.750159999999997</v>
      </c>
      <c r="S440" s="37">
        <f>(Tabela3[[#This Row],[Aluminio Bruto]]-Tabela3[[#This Row],[Aluminio Util]])*0.9</f>
        <v>10.765943999999998</v>
      </c>
      <c r="T440" s="37">
        <f>Tabela3[[#This Row],[Aluminio Bruto]]/OleoKGAluminio</f>
        <v>9.9916616033381498</v>
      </c>
      <c r="U440" s="35">
        <f>IFERROR((VLOOKUP(Tabela3[[#This Row],[Moldador]],Tabela1[],5,)+(VLOOKUP(Tabela3[[#This Row],[Ajudante]],Tabela1[],5,))*3.5),0)</f>
        <v>99.95034583333333</v>
      </c>
      <c r="V440" s="35">
        <f>IFERROR(Tabela3[[#This Row],[Custo M.O. / H]]/((Tabela3[[#This Row],[Realizado]]/Tabela3[[#This Row],[Qdt Peça Placa]])/Tabela3[[#This Row],[Tempo]]/24),)</f>
        <v>11.422896666666666</v>
      </c>
      <c r="W440" s="35">
        <f>Tabela3[[#This Row],[Custo / Cx Moldada]]*Tabela3[[#This Row],[Qtde Cx Produzida]]</f>
        <v>79.960276666666658</v>
      </c>
      <c r="X440" s="35">
        <f ca="1">Tabela3[[#This Row],[Aluminio Util]]*Tabela3[[#This Row],[Custo/Kg]]</f>
        <v>207.46880000000002</v>
      </c>
      <c r="Y440" s="35">
        <f>IFERROR(VLOOKUP(Tabela3[[#This Row],[Data]],Tabela461213[],2,1)*(Tabela3[[#This Row],[Qtde Cx Produzida]]*Tabela3[[#This Row],[Qde macho / CX]]*Tabela3[[#This Row],[Peso Macho]]),)</f>
        <v>0</v>
      </c>
      <c r="Z440" s="35">
        <f>IFERROR(Tabela3[[#This Row],[Qtde Oleo]]*(VLOOKUP(Tabela3[[#This Row],[Data]],CompraOleo[],3,TRUE))*1.05,0)</f>
        <v>26.228111708762647</v>
      </c>
      <c r="AA440" s="47">
        <f ca="1">(Tabela3[[#This Row],[Custo Oleo]]+Tabela3[[#This Row],[Custo Aluminio]]+Tabela3[[#This Row],[Custo M.O. Total]]+Tabela3[[#This Row],[Custo Machos]])</f>
        <v>313.65718837542931</v>
      </c>
      <c r="AB440" s="47">
        <f ca="1">Tabela3[[#This Row],[Custo Total]]*Tabela3[[#This Row],[% Perda]]</f>
        <v>0</v>
      </c>
      <c r="AC440" s="48">
        <f>IFERROR(VLOOKUP(Tabela3[[#This Row],[Produto]],Tabela2[],2,0),0)</f>
        <v>4</v>
      </c>
      <c r="AD440" s="48">
        <f>IFERROR(VLOOKUP(Tabela3[[#This Row],[Produto]],Tabela2[],3,0),0)</f>
        <v>0.42099999999999999</v>
      </c>
      <c r="AE440" s="48">
        <f>IFERROR(VLOOKUP(Tabela3[[#This Row],[Produto]],Tabela2[],4,0),0)</f>
        <v>3.2160000000000002</v>
      </c>
      <c r="AF440" s="48">
        <f>IFERROR(VLOOKUP(Tabela3[[#This Row],[Produto]],Tabela2[],5,0),0)</f>
        <v>1.3788000000000002</v>
      </c>
      <c r="AG440" s="40">
        <f>IFERROR(VLOOKUP(Tabela3[[#This Row],[Produto]],Tabela2[],6,0),0)</f>
        <v>0</v>
      </c>
      <c r="AH440" s="40">
        <f>IFERROR(VLOOKUP(Tabela3[[#This Row],[Produto]],Tabela2[],7,0),0)</f>
        <v>0</v>
      </c>
      <c r="AI440" s="40">
        <f>IFERROR(VLOOKUP(Tabela3[[#This Row],[Produto]],Tabela2[],8,0),0)</f>
        <v>0</v>
      </c>
      <c r="AJ440" s="35">
        <f ca="1">IFERROR(VLOOKUP(Tabela3[[#This Row],[Produto]],Tabela2[],13,0),0)</f>
        <v>17.600000000000001</v>
      </c>
      <c r="AK440" s="40" t="str">
        <f>IFERROR(VLOOKUP(Tabela3[[#This Row],[Produto]],Tabela2[],14,0),0)</f>
        <v>Busa</v>
      </c>
      <c r="AL440" s="40">
        <f>IFERROR(VLOOKUP(Tabela3[[#This Row],[Produto]],Tabela2[],15,0),0)</f>
        <v>0.5</v>
      </c>
      <c r="AM440" s="36">
        <f ca="1">(Tabela3[[#This Row],[Custo Usinagem]]+Tabela3[[#This Row],[Custo / Pç]])*1.2</f>
        <v>14.042450930375541</v>
      </c>
      <c r="AN440" s="36">
        <f ca="1">Tabela3[[#This Row],[Valor Mínimo Venda]]*1.15</f>
        <v>16.148818569931869</v>
      </c>
      <c r="AO440" s="36">
        <f ca="1">Tabela3[[#This Row],[Tabela 1]]*1.08</f>
        <v>17.44072405552642</v>
      </c>
      <c r="AP440" s="36">
        <f ca="1">Tabela3[[#This Row],[Tabela 2]]*1.15</f>
        <v>20.056832663855381</v>
      </c>
    </row>
    <row r="441" spans="1:42">
      <c r="A441" s="9">
        <v>45855</v>
      </c>
      <c r="B441" s="6" t="s">
        <v>248</v>
      </c>
      <c r="C441" s="14">
        <v>7193</v>
      </c>
      <c r="D441" s="6" t="s">
        <v>46</v>
      </c>
      <c r="E441" s="6" t="s">
        <v>53</v>
      </c>
      <c r="F441" s="6">
        <v>41</v>
      </c>
      <c r="G441" s="15">
        <v>0.24444444444444444</v>
      </c>
      <c r="H441" s="16">
        <v>0</v>
      </c>
      <c r="I441" s="35">
        <f ca="1">IFERROR(Tabela3[[#This Row],[Custo Total]]/Tabela3[[#This Row],[Aluminio Util]],0)</f>
        <v>27.458592745087881</v>
      </c>
      <c r="J441" s="35">
        <f ca="1">Tabela3[[#This Row],[Custo Total]]/Tabela3[[#This Row],[Realizado]]</f>
        <v>9.8301762027414608</v>
      </c>
      <c r="K441" s="37">
        <f>IFERROR(Tabela3[[#This Row],[Qtde Cx Produzida]]/Tabela3[[#This Row],[Tempo]]/24,0)</f>
        <v>6.9886363636363633</v>
      </c>
      <c r="L441" s="37">
        <f>Tabela3[[#This Row],[Qtde Cx Produzida]]*Tabela3[[#This Row],[Qdt Peça Placa]]</f>
        <v>164</v>
      </c>
      <c r="M441" s="37">
        <f>Tabela3[[#This Row],[Previsto]]-Tabela3[[#This Row],[Perda Pçs]]</f>
        <v>164</v>
      </c>
      <c r="N441" s="38">
        <f>IFERROR(Tabela3[[#This Row],[Perda Pçs]]/Tabela3[[#This Row],[Previsto]],0)</f>
        <v>0</v>
      </c>
      <c r="O441" s="39">
        <f>IFERROR(IF(Tabela3[[#This Row],[Qtde Cx Produzida]] &lt;&gt; 0, Tabela3[[#This Row],[Tempo]] / Tabela3[[#This Row],[Qtde Cx Produzida]], 0),0)</f>
        <v>5.962059620596206E-3</v>
      </c>
      <c r="P441" s="57">
        <f>IFERROR(Tabela3[[#This Row],[Perda Pçs]]/Tabela3[[#This Row],[Qdt Peça Placa]],0)</f>
        <v>0</v>
      </c>
      <c r="Q441" s="37">
        <f>IFERROR(Tabela3[[#This Row],[Realizado]]*Tabela3[[#This Row],[Peso Util/Pç]],0)</f>
        <v>58.711999999999996</v>
      </c>
      <c r="R441" s="37">
        <f>IFERROR(Tabela3[[#This Row],[Peso Total Galho]]*Tabela3[[#This Row],[Qtde Cx Produzida]]*1.055,0)</f>
        <v>99.486499999999992</v>
      </c>
      <c r="S441" s="37">
        <f>(Tabela3[[#This Row],[Aluminio Bruto]]-Tabela3[[#This Row],[Aluminio Util]])*0.9</f>
        <v>36.697049999999997</v>
      </c>
      <c r="T441" s="37">
        <f>Tabela3[[#This Row],[Aluminio Bruto]]/OleoKGAluminio</f>
        <v>41.853841915191346</v>
      </c>
      <c r="U441" s="35">
        <f>IFERROR((VLOOKUP(Tabela3[[#This Row],[Moldador]],Tabela1[],5,)+(VLOOKUP(Tabela3[[#This Row],[Ajudante]],Tabela1[],5,))*3.5),0)</f>
        <v>99.95034583333333</v>
      </c>
      <c r="V441" s="35">
        <f>IFERROR(Tabela3[[#This Row],[Custo M.O. / H]]/((Tabela3[[#This Row],[Realizado]]/Tabela3[[#This Row],[Qdt Peça Placa]])/Tabela3[[#This Row],[Tempo]]/24),)</f>
        <v>14.30183810298103</v>
      </c>
      <c r="W441" s="35">
        <f>Tabela3[[#This Row],[Custo / Cx Moldada]]*Tabela3[[#This Row],[Qtde Cx Produzida]]</f>
        <v>586.37536222222218</v>
      </c>
      <c r="X441" s="35">
        <f ca="1">Tabela3[[#This Row],[Aluminio Util]]*Tabela3[[#This Row],[Custo/Kg]]</f>
        <v>915.90719999999999</v>
      </c>
      <c r="Y441" s="35">
        <f>IFERROR(VLOOKUP(Tabela3[[#This Row],[Data]],Tabela461213[],2,1)*(Tabela3[[#This Row],[Qtde Cx Produzida]]*Tabela3[[#This Row],[Qde macho / CX]]*Tabela3[[#This Row],[Peso Macho]]),)</f>
        <v>0</v>
      </c>
      <c r="Z441" s="35">
        <f>IFERROR(Tabela3[[#This Row],[Qtde Oleo]]*(VLOOKUP(Tabela3[[#This Row],[Data]],CompraOleo[],3,TRUE))*1.05,0)</f>
        <v>109.86633502737729</v>
      </c>
      <c r="AA441" s="47">
        <f ca="1">(Tabela3[[#This Row],[Custo Oleo]]+Tabela3[[#This Row],[Custo Aluminio]]+Tabela3[[#This Row],[Custo M.O. Total]]+Tabela3[[#This Row],[Custo Machos]])</f>
        <v>1612.1488972495995</v>
      </c>
      <c r="AB441" s="47">
        <f ca="1">Tabela3[[#This Row],[Custo Total]]*Tabela3[[#This Row],[% Perda]]</f>
        <v>0</v>
      </c>
      <c r="AC441" s="48">
        <f>IFERROR(VLOOKUP(Tabela3[[#This Row],[Produto]],Tabela2[],2,0),0)</f>
        <v>4</v>
      </c>
      <c r="AD441" s="48">
        <f>IFERROR(VLOOKUP(Tabela3[[#This Row],[Produto]],Tabela2[],3,0),0)</f>
        <v>0.35799999999999998</v>
      </c>
      <c r="AE441" s="48">
        <f>IFERROR(VLOOKUP(Tabela3[[#This Row],[Produto]],Tabela2[],4,0),0)</f>
        <v>2.2999999999999998</v>
      </c>
      <c r="AF441" s="48">
        <f>IFERROR(VLOOKUP(Tabela3[[#This Row],[Produto]],Tabela2[],5,0),0)</f>
        <v>0.78119999999999989</v>
      </c>
      <c r="AG441" s="40">
        <f>IFERROR(VLOOKUP(Tabela3[[#This Row],[Produto]],Tabela2[],6,0),0)</f>
        <v>0</v>
      </c>
      <c r="AH441" s="40">
        <f>IFERROR(VLOOKUP(Tabela3[[#This Row],[Produto]],Tabela2[],7,0),0)</f>
        <v>0</v>
      </c>
      <c r="AI441" s="40">
        <f>IFERROR(VLOOKUP(Tabela3[[#This Row],[Produto]],Tabela2[],8,0),0)</f>
        <v>0</v>
      </c>
      <c r="AJ441" s="35">
        <f ca="1">IFERROR(VLOOKUP(Tabela3[[#This Row],[Produto]],Tabela2[],13,0),0)</f>
        <v>15.600000000000001</v>
      </c>
      <c r="AK441" s="40" t="str">
        <f>IFERROR(VLOOKUP(Tabela3[[#This Row],[Produto]],Tabela2[],14,0),0)</f>
        <v>Senun</v>
      </c>
      <c r="AL441" s="40">
        <f>IFERROR(VLOOKUP(Tabela3[[#This Row],[Produto]],Tabela2[],15,0),0)</f>
        <v>4</v>
      </c>
      <c r="AM441" s="36">
        <f ca="1">(Tabela3[[#This Row],[Custo Usinagem]]+Tabela3[[#This Row],[Custo / Pç]])*1.2</f>
        <v>16.596211443289754</v>
      </c>
      <c r="AN441" s="36">
        <f ca="1">Tabela3[[#This Row],[Valor Mínimo Venda]]*1.15</f>
        <v>19.085643159783213</v>
      </c>
      <c r="AO441" s="36">
        <f ca="1">Tabela3[[#This Row],[Tabela 1]]*1.08</f>
        <v>20.612494612565872</v>
      </c>
      <c r="AP441" s="36">
        <f ca="1">Tabela3[[#This Row],[Tabela 2]]*1.15</f>
        <v>23.704368804450752</v>
      </c>
    </row>
    <row r="442" spans="1:42">
      <c r="A442" s="9">
        <v>45855</v>
      </c>
      <c r="B442" s="6" t="s">
        <v>135</v>
      </c>
      <c r="C442" s="14">
        <v>7258</v>
      </c>
      <c r="D442" s="6" t="s">
        <v>46</v>
      </c>
      <c r="E442" s="6" t="s">
        <v>53</v>
      </c>
      <c r="F442" s="6">
        <v>12</v>
      </c>
      <c r="G442" s="15">
        <v>6.3888888888888884E-2</v>
      </c>
      <c r="H442" s="16">
        <v>0</v>
      </c>
      <c r="I442" s="35">
        <f ca="1">IFERROR(Tabela3[[#This Row],[Custo Total]]/Tabela3[[#This Row],[Aluminio Util]],0)</f>
        <v>27.427689235325719</v>
      </c>
      <c r="J442" s="35">
        <f ca="1">Tabela3[[#This Row],[Custo Total]]/Tabela3[[#This Row],[Realizado]]</f>
        <v>48.547009946526522</v>
      </c>
      <c r="K442" s="37">
        <f>IFERROR(Tabela3[[#This Row],[Qtde Cx Produzida]]/Tabela3[[#This Row],[Tempo]]/24,0)</f>
        <v>7.8260869565217392</v>
      </c>
      <c r="L442" s="37">
        <f>Tabela3[[#This Row],[Qtde Cx Produzida]]*Tabela3[[#This Row],[Qdt Peça Placa]]</f>
        <v>12</v>
      </c>
      <c r="M442" s="37">
        <f>Tabela3[[#This Row],[Previsto]]-Tabela3[[#This Row],[Perda Pçs]]</f>
        <v>12</v>
      </c>
      <c r="N442" s="38">
        <f>IFERROR(Tabela3[[#This Row],[Perda Pçs]]/Tabela3[[#This Row],[Previsto]],0)</f>
        <v>0</v>
      </c>
      <c r="O442" s="39">
        <f>IFERROR(IF(Tabela3[[#This Row],[Qtde Cx Produzida]] &lt;&gt; 0, Tabela3[[#This Row],[Tempo]] / Tabela3[[#This Row],[Qtde Cx Produzida]], 0),0)</f>
        <v>5.324074074074074E-3</v>
      </c>
      <c r="P442" s="57">
        <f>IFERROR(Tabela3[[#This Row],[Perda Pçs]]/Tabela3[[#This Row],[Qdt Peça Placa]],0)</f>
        <v>0</v>
      </c>
      <c r="Q442" s="37">
        <f>IFERROR(Tabela3[[#This Row],[Realizado]]*Tabela3[[#This Row],[Peso Util/Pç]],0)</f>
        <v>21.240000000000002</v>
      </c>
      <c r="R442" s="37">
        <f>IFERROR(Tabela3[[#This Row],[Peso Total Galho]]*Tabela3[[#This Row],[Qtde Cx Produzida]]*1.055,0)</f>
        <v>39.625799999999998</v>
      </c>
      <c r="S442" s="37">
        <f>(Tabela3[[#This Row],[Aluminio Bruto]]-Tabela3[[#This Row],[Aluminio Util]])*0.9</f>
        <v>16.547219999999996</v>
      </c>
      <c r="T442" s="37">
        <f>Tabela3[[#This Row],[Aluminio Bruto]]/OleoKGAluminio</f>
        <v>16.670522824332842</v>
      </c>
      <c r="U442" s="35">
        <f>IFERROR((VLOOKUP(Tabela3[[#This Row],[Moldador]],Tabela1[],5,)+(VLOOKUP(Tabela3[[#This Row],[Ajudante]],Tabela1[],5,))*3.5),0)</f>
        <v>99.95034583333333</v>
      </c>
      <c r="V442" s="35">
        <f>IFERROR(Tabela3[[#This Row],[Custo M.O. / H]]/((Tabela3[[#This Row],[Realizado]]/Tabela3[[#This Row],[Qdt Peça Placa]])/Tabela3[[#This Row],[Tempo]]/24),)</f>
        <v>12.771433078703703</v>
      </c>
      <c r="W442" s="35">
        <f>Tabela3[[#This Row],[Custo / Cx Moldada]]*Tabela3[[#This Row],[Qtde Cx Produzida]]</f>
        <v>153.25719694444444</v>
      </c>
      <c r="X442" s="35">
        <f ca="1">Tabela3[[#This Row],[Aluminio Util]]*Tabela3[[#This Row],[Custo/Kg]]</f>
        <v>331.34400000000005</v>
      </c>
      <c r="Y442" s="35">
        <f>IFERROR(VLOOKUP(Tabela3[[#This Row],[Data]],Tabela461213[],2,1)*(Tabela3[[#This Row],[Qtde Cx Produzida]]*Tabela3[[#This Row],[Qde macho / CX]]*Tabela3[[#This Row],[Peso Macho]]),)</f>
        <v>54.202799999999996</v>
      </c>
      <c r="Z442" s="35">
        <f>IFERROR(Tabela3[[#This Row],[Qtde Oleo]]*(VLOOKUP(Tabela3[[#This Row],[Data]],CompraOleo[],3,TRUE))*1.05,0)</f>
        <v>43.760122413873709</v>
      </c>
      <c r="AA442" s="47">
        <f ca="1">(Tabela3[[#This Row],[Custo Oleo]]+Tabela3[[#This Row],[Custo Aluminio]]+Tabela3[[#This Row],[Custo M.O. Total]]+Tabela3[[#This Row],[Custo Machos]])</f>
        <v>582.56411935831829</v>
      </c>
      <c r="AB442" s="47">
        <f ca="1">Tabela3[[#This Row],[Custo Total]]*Tabela3[[#This Row],[% Perda]]</f>
        <v>0</v>
      </c>
      <c r="AC442" s="48">
        <f>IFERROR(VLOOKUP(Tabela3[[#This Row],[Produto]],Tabela2[],2,0),0)</f>
        <v>1</v>
      </c>
      <c r="AD442" s="48">
        <f>IFERROR(VLOOKUP(Tabela3[[#This Row],[Produto]],Tabela2[],3,0),0)</f>
        <v>1.77</v>
      </c>
      <c r="AE442" s="48">
        <f>IFERROR(VLOOKUP(Tabela3[[#This Row],[Produto]],Tabela2[],4,0),0)</f>
        <v>3.13</v>
      </c>
      <c r="AF442" s="48">
        <f>IFERROR(VLOOKUP(Tabela3[[#This Row],[Produto]],Tabela2[],5,0),0)</f>
        <v>1.224</v>
      </c>
      <c r="AG442" s="40">
        <f>IFERROR(VLOOKUP(Tabela3[[#This Row],[Produto]],Tabela2[],6,0),0)</f>
        <v>0</v>
      </c>
      <c r="AH442" s="40">
        <f>IFERROR(VLOOKUP(Tabela3[[#This Row],[Produto]],Tabela2[],7,0),0)</f>
        <v>1</v>
      </c>
      <c r="AI442" s="40">
        <f>IFERROR(VLOOKUP(Tabela3[[#This Row],[Produto]],Tabela2[],8,0),0)</f>
        <v>2.657</v>
      </c>
      <c r="AJ442" s="35">
        <f ca="1">IFERROR(VLOOKUP(Tabela3[[#This Row],[Produto]],Tabela2[],13,0),0)</f>
        <v>15.600000000000001</v>
      </c>
      <c r="AK442" s="40" t="str">
        <f>IFERROR(VLOOKUP(Tabela3[[#This Row],[Produto]],Tabela2[],14,0),0)</f>
        <v>Jumil</v>
      </c>
      <c r="AL442" s="40">
        <f>IFERROR(VLOOKUP(Tabela3[[#This Row],[Produto]],Tabela2[],15,0),0)</f>
        <v>10</v>
      </c>
      <c r="AM442" s="36">
        <f ca="1">(Tabela3[[#This Row],[Custo Usinagem]]+Tabela3[[#This Row],[Custo / Pç]])*1.2</f>
        <v>70.256411935831821</v>
      </c>
      <c r="AN442" s="36">
        <f ca="1">Tabela3[[#This Row],[Valor Mínimo Venda]]*1.15</f>
        <v>80.794873726206589</v>
      </c>
      <c r="AO442" s="36">
        <f ca="1">Tabela3[[#This Row],[Tabela 1]]*1.08</f>
        <v>87.258463624303118</v>
      </c>
      <c r="AP442" s="36">
        <f ca="1">Tabela3[[#This Row],[Tabela 2]]*1.15</f>
        <v>100.34723316794857</v>
      </c>
    </row>
    <row r="443" spans="1:42">
      <c r="A443" s="9">
        <v>45855</v>
      </c>
      <c r="B443" s="6" t="s">
        <v>210</v>
      </c>
      <c r="C443" s="14">
        <v>7307</v>
      </c>
      <c r="D443" s="6" t="s">
        <v>44</v>
      </c>
      <c r="E443" s="6" t="s">
        <v>47</v>
      </c>
      <c r="F443" s="6">
        <v>21</v>
      </c>
      <c r="G443" s="15">
        <v>0.20833333333333334</v>
      </c>
      <c r="H443" s="16">
        <v>0</v>
      </c>
      <c r="I443" s="35">
        <f ca="1">IFERROR(Tabela3[[#This Row],[Custo Total]]/Tabela3[[#This Row],[Aluminio Util]],0)</f>
        <v>24.208793565716618</v>
      </c>
      <c r="J443" s="35">
        <f ca="1">Tabela3[[#This Row],[Custo Total]]/Tabela3[[#This Row],[Realizado]]</f>
        <v>108.93957104572478</v>
      </c>
      <c r="K443" s="37">
        <f>IFERROR(Tabela3[[#This Row],[Qtde Cx Produzida]]/Tabela3[[#This Row],[Tempo]]/24,0)</f>
        <v>4.2</v>
      </c>
      <c r="L443" s="37">
        <f>Tabela3[[#This Row],[Qtde Cx Produzida]]*Tabela3[[#This Row],[Qdt Peça Placa]]</f>
        <v>21</v>
      </c>
      <c r="M443" s="37">
        <f>Tabela3[[#This Row],[Previsto]]-Tabela3[[#This Row],[Perda Pçs]]</f>
        <v>21</v>
      </c>
      <c r="N443" s="38">
        <f>IFERROR(Tabela3[[#This Row],[Perda Pçs]]/Tabela3[[#This Row],[Previsto]],0)</f>
        <v>0</v>
      </c>
      <c r="O443" s="39">
        <f>IFERROR(IF(Tabela3[[#This Row],[Qtde Cx Produzida]] &lt;&gt; 0, Tabela3[[#This Row],[Tempo]] / Tabela3[[#This Row],[Qtde Cx Produzida]], 0),0)</f>
        <v>9.9206349206349218E-3</v>
      </c>
      <c r="P443" s="57">
        <f>IFERROR(Tabela3[[#This Row],[Perda Pçs]]/Tabela3[[#This Row],[Qdt Peça Placa]],0)</f>
        <v>0</v>
      </c>
      <c r="Q443" s="37">
        <f>IFERROR(Tabela3[[#This Row],[Realizado]]*Tabela3[[#This Row],[Peso Util/Pç]],0)</f>
        <v>94.5</v>
      </c>
      <c r="R443" s="37">
        <f>IFERROR(Tabela3[[#This Row],[Peso Total Galho]]*Tabela3[[#This Row],[Qtde Cx Produzida]]*1.055,0)</f>
        <v>112.99049999999998</v>
      </c>
      <c r="S443" s="37">
        <f>(Tabela3[[#This Row],[Aluminio Bruto]]-Tabela3[[#This Row],[Aluminio Util]])*0.9</f>
        <v>16.641449999999985</v>
      </c>
      <c r="T443" s="37">
        <f>Tabela3[[#This Row],[Aluminio Bruto]]/OleoKGAluminio</f>
        <v>47.534957254687093</v>
      </c>
      <c r="U443" s="35">
        <f>IFERROR((VLOOKUP(Tabela3[[#This Row],[Moldador]],Tabela1[],5,)+(VLOOKUP(Tabela3[[#This Row],[Ajudante]],Tabela1[],5,))*3.5),0)</f>
        <v>99.95034583333333</v>
      </c>
      <c r="V443" s="35">
        <f>IFERROR(Tabela3[[#This Row],[Custo M.O. / H]]/((Tabela3[[#This Row],[Realizado]]/Tabela3[[#This Row],[Qdt Peça Placa]])/Tabela3[[#This Row],[Tempo]]/24),)</f>
        <v>23.797701388888886</v>
      </c>
      <c r="W443" s="35">
        <f>Tabela3[[#This Row],[Custo / Cx Moldada]]*Tabela3[[#This Row],[Qtde Cx Produzida]]</f>
        <v>499.75172916666662</v>
      </c>
      <c r="X443" s="35">
        <f ca="1">Tabela3[[#This Row],[Aluminio Util]]*Tabela3[[#This Row],[Custo/Kg]]</f>
        <v>1663.2</v>
      </c>
      <c r="Y443" s="35">
        <f>IFERROR(VLOOKUP(Tabela3[[#This Row],[Data]],Tabela461213[],2,1)*(Tabela3[[#This Row],[Qtde Cx Produzida]]*Tabela3[[#This Row],[Qde macho / CX]]*Tabela3[[#This Row],[Peso Macho]]),)</f>
        <v>0</v>
      </c>
      <c r="Z443" s="35">
        <f>IFERROR(Tabela3[[#This Row],[Qtde Oleo]]*(VLOOKUP(Tabela3[[#This Row],[Data]],CompraOleo[],3,TRUE))*1.05,0)</f>
        <v>124.77926279355363</v>
      </c>
      <c r="AA443" s="47">
        <f ca="1">(Tabela3[[#This Row],[Custo Oleo]]+Tabela3[[#This Row],[Custo Aluminio]]+Tabela3[[#This Row],[Custo M.O. Total]]+Tabela3[[#This Row],[Custo Machos]])</f>
        <v>2287.7309919602203</v>
      </c>
      <c r="AB443" s="47">
        <f ca="1">Tabela3[[#This Row],[Custo Total]]*Tabela3[[#This Row],[% Perda]]</f>
        <v>0</v>
      </c>
      <c r="AC443" s="48">
        <f>IFERROR(VLOOKUP(Tabela3[[#This Row],[Produto]],Tabela2[],2,0),0)</f>
        <v>1</v>
      </c>
      <c r="AD443" s="48">
        <f>IFERROR(VLOOKUP(Tabela3[[#This Row],[Produto]],Tabela2[],3,0),0)</f>
        <v>4.5</v>
      </c>
      <c r="AE443" s="48">
        <f>IFERROR(VLOOKUP(Tabela3[[#This Row],[Produto]],Tabela2[],4,0),0)</f>
        <v>5.0999999999999996</v>
      </c>
      <c r="AF443" s="48">
        <f>IFERROR(VLOOKUP(Tabela3[[#This Row],[Produto]],Tabela2[],5,0),0)</f>
        <v>0.5399999999999997</v>
      </c>
      <c r="AG443" s="40">
        <f>IFERROR(VLOOKUP(Tabela3[[#This Row],[Produto]],Tabela2[],6,0),0)</f>
        <v>0</v>
      </c>
      <c r="AH443" s="40">
        <f>IFERROR(VLOOKUP(Tabela3[[#This Row],[Produto]],Tabela2[],7,0),0)</f>
        <v>0</v>
      </c>
      <c r="AI443" s="40">
        <f>IFERROR(VLOOKUP(Tabela3[[#This Row],[Produto]],Tabela2[],8,0),0)</f>
        <v>0</v>
      </c>
      <c r="AJ443" s="35">
        <f ca="1">IFERROR(VLOOKUP(Tabela3[[#This Row],[Produto]],Tabela2[],13,0),0)</f>
        <v>17.600000000000001</v>
      </c>
      <c r="AK443" s="40" t="str">
        <f>IFERROR(VLOOKUP(Tabela3[[#This Row],[Produto]],Tabela2[],14,0),0)</f>
        <v>Oscar</v>
      </c>
      <c r="AL443" s="40">
        <f>IFERROR(VLOOKUP(Tabela3[[#This Row],[Produto]],Tabela2[],15,0),0)</f>
        <v>0</v>
      </c>
      <c r="AM443" s="36">
        <f ca="1">(Tabela3[[#This Row],[Custo Usinagem]]+Tabela3[[#This Row],[Custo / Pç]])*1.2</f>
        <v>130.72748525486972</v>
      </c>
      <c r="AN443" s="36">
        <f ca="1">Tabela3[[#This Row],[Valor Mínimo Venda]]*1.15</f>
        <v>150.33660804310017</v>
      </c>
      <c r="AO443" s="36">
        <f ca="1">Tabela3[[#This Row],[Tabela 1]]*1.08</f>
        <v>162.3635366865482</v>
      </c>
      <c r="AP443" s="36">
        <f ca="1">Tabela3[[#This Row],[Tabela 2]]*1.15</f>
        <v>186.71806718953042</v>
      </c>
    </row>
    <row r="444" spans="1:42">
      <c r="A444" s="9">
        <v>45855</v>
      </c>
      <c r="B444" s="6" t="s">
        <v>236</v>
      </c>
      <c r="C444" s="14">
        <v>6903</v>
      </c>
      <c r="D444" s="6" t="s">
        <v>44</v>
      </c>
      <c r="E444" s="6" t="s">
        <v>47</v>
      </c>
      <c r="F444" s="6">
        <v>28</v>
      </c>
      <c r="G444" s="15">
        <v>0.15416666666666667</v>
      </c>
      <c r="H444" s="16">
        <v>0</v>
      </c>
      <c r="I444" s="35">
        <f ca="1">IFERROR(Tabela3[[#This Row],[Custo Total]]/Tabela3[[#This Row],[Aluminio Util]],0)</f>
        <v>24.272715370596984</v>
      </c>
      <c r="J444" s="35">
        <f ca="1">Tabela3[[#This Row],[Custo Total]]/Tabela3[[#This Row],[Realizado]]</f>
        <v>7.3303600419202883</v>
      </c>
      <c r="K444" s="37">
        <f>IFERROR(Tabela3[[#This Row],[Qtde Cx Produzida]]/Tabela3[[#This Row],[Tempo]]/24,0)</f>
        <v>7.5675675675675675</v>
      </c>
      <c r="L444" s="37">
        <f>Tabela3[[#This Row],[Qtde Cx Produzida]]*Tabela3[[#This Row],[Qdt Peça Placa]]</f>
        <v>168</v>
      </c>
      <c r="M444" s="37">
        <f>Tabela3[[#This Row],[Previsto]]-Tabela3[[#This Row],[Perda Pçs]]</f>
        <v>168</v>
      </c>
      <c r="N444" s="38">
        <f>IFERROR(Tabela3[[#This Row],[Perda Pçs]]/Tabela3[[#This Row],[Previsto]],0)</f>
        <v>0</v>
      </c>
      <c r="O444" s="39">
        <f>IFERROR(IF(Tabela3[[#This Row],[Qtde Cx Produzida]] &lt;&gt; 0, Tabela3[[#This Row],[Tempo]] / Tabela3[[#This Row],[Qtde Cx Produzida]], 0),0)</f>
        <v>5.5059523809523813E-3</v>
      </c>
      <c r="P444" s="57">
        <f>IFERROR(Tabela3[[#This Row],[Perda Pçs]]/Tabela3[[#This Row],[Qdt Peça Placa]],0)</f>
        <v>0</v>
      </c>
      <c r="Q444" s="37">
        <f>IFERROR(Tabela3[[#This Row],[Realizado]]*Tabela3[[#This Row],[Peso Util/Pç]],0)</f>
        <v>50.735999999999997</v>
      </c>
      <c r="R444" s="37">
        <f>IFERROR(Tabela3[[#This Row],[Peso Total Galho]]*Tabela3[[#This Row],[Qtde Cx Produzida]]*1.055,0)</f>
        <v>63.570079999999997</v>
      </c>
      <c r="S444" s="37">
        <f>(Tabela3[[#This Row],[Aluminio Bruto]]-Tabela3[[#This Row],[Aluminio Util]])*0.9</f>
        <v>11.550672</v>
      </c>
      <c r="T444" s="37">
        <f>Tabela3[[#This Row],[Aluminio Bruto]]/OleoKGAluminio</f>
        <v>26.743850460676242</v>
      </c>
      <c r="U444" s="35">
        <f>IFERROR((VLOOKUP(Tabela3[[#This Row],[Moldador]],Tabela1[],5,)+(VLOOKUP(Tabela3[[#This Row],[Ajudante]],Tabela1[],5,))*3.5),0)</f>
        <v>99.95034583333333</v>
      </c>
      <c r="V444" s="35">
        <f>IFERROR(Tabela3[[#This Row],[Custo M.O. / H]]/((Tabela3[[#This Row],[Realizado]]/Tabela3[[#This Row],[Qdt Peça Placa]])/Tabela3[[#This Row],[Tempo]]/24),)</f>
        <v>13.207724270833333</v>
      </c>
      <c r="W444" s="35">
        <f>Tabela3[[#This Row],[Custo / Cx Moldada]]*Tabela3[[#This Row],[Qtde Cx Produzida]]</f>
        <v>369.81627958333331</v>
      </c>
      <c r="X444" s="35">
        <f ca="1">Tabela3[[#This Row],[Aluminio Util]]*Tabela3[[#This Row],[Custo/Kg]]</f>
        <v>791.48160000000007</v>
      </c>
      <c r="Y444" s="35">
        <f>IFERROR(VLOOKUP(Tabela3[[#This Row],[Data]],Tabela461213[],2,1)*(Tabela3[[#This Row],[Qtde Cx Produzida]]*Tabela3[[#This Row],[Qde macho / CX]]*Tabela3[[#This Row],[Peso Macho]]),)</f>
        <v>0</v>
      </c>
      <c r="Z444" s="35">
        <f>IFERROR(Tabela3[[#This Row],[Qtde Oleo]]*(VLOOKUP(Tabela3[[#This Row],[Data]],CompraOleo[],3,TRUE))*1.05,0)</f>
        <v>70.202607459275143</v>
      </c>
      <c r="AA444" s="47">
        <f ca="1">(Tabela3[[#This Row],[Custo Oleo]]+Tabela3[[#This Row],[Custo Aluminio]]+Tabela3[[#This Row],[Custo M.O. Total]]+Tabela3[[#This Row],[Custo Machos]])</f>
        <v>1231.5004870426085</v>
      </c>
      <c r="AB444" s="47">
        <f ca="1">Tabela3[[#This Row],[Custo Total]]*Tabela3[[#This Row],[% Perda]]</f>
        <v>0</v>
      </c>
      <c r="AC444" s="48">
        <f>IFERROR(VLOOKUP(Tabela3[[#This Row],[Produto]],Tabela2[],2,0),0)</f>
        <v>6</v>
      </c>
      <c r="AD444" s="48">
        <f>IFERROR(VLOOKUP(Tabela3[[#This Row],[Produto]],Tabela2[],3,0),0)</f>
        <v>0.30199999999999999</v>
      </c>
      <c r="AE444" s="48">
        <f>IFERROR(VLOOKUP(Tabela3[[#This Row],[Produto]],Tabela2[],4,0),0)</f>
        <v>2.1520000000000001</v>
      </c>
      <c r="AF444" s="48">
        <f>IFERROR(VLOOKUP(Tabela3[[#This Row],[Produto]],Tabela2[],5,0),0)</f>
        <v>0.30600000000000027</v>
      </c>
      <c r="AG444" s="40">
        <f>IFERROR(VLOOKUP(Tabela3[[#This Row],[Produto]],Tabela2[],6,0),0)</f>
        <v>0</v>
      </c>
      <c r="AH444" s="40">
        <f>IFERROR(VLOOKUP(Tabela3[[#This Row],[Produto]],Tabela2[],7,0),0)</f>
        <v>0</v>
      </c>
      <c r="AI444" s="40">
        <f>IFERROR(VLOOKUP(Tabela3[[#This Row],[Produto]],Tabela2[],8,0),0)</f>
        <v>0</v>
      </c>
      <c r="AJ444" s="35">
        <f ca="1">IFERROR(VLOOKUP(Tabela3[[#This Row],[Produto]],Tabela2[],13,0),0)</f>
        <v>15.600000000000001</v>
      </c>
      <c r="AK444" s="40" t="str">
        <f>IFERROR(VLOOKUP(Tabela3[[#This Row],[Produto]],Tabela2[],14,0),0)</f>
        <v>Senun</v>
      </c>
      <c r="AL444" s="40">
        <f>IFERROR(VLOOKUP(Tabela3[[#This Row],[Produto]],Tabela2[],15,0),0)</f>
        <v>4</v>
      </c>
      <c r="AM444" s="36">
        <f ca="1">(Tabela3[[#This Row],[Custo Usinagem]]+Tabela3[[#This Row],[Custo / Pç]])*1.2</f>
        <v>13.596432050304346</v>
      </c>
      <c r="AN444" s="36">
        <f ca="1">Tabela3[[#This Row],[Valor Mínimo Venda]]*1.15</f>
        <v>15.635896857849996</v>
      </c>
      <c r="AO444" s="36">
        <f ca="1">Tabela3[[#This Row],[Tabela 1]]*1.08</f>
        <v>16.886768606477997</v>
      </c>
      <c r="AP444" s="36">
        <f ca="1">Tabela3[[#This Row],[Tabela 2]]*1.15</f>
        <v>19.419783897449694</v>
      </c>
    </row>
    <row r="445" spans="1:42">
      <c r="A445" s="9">
        <v>45856</v>
      </c>
      <c r="B445" s="6" t="s">
        <v>135</v>
      </c>
      <c r="C445" s="14">
        <v>7258</v>
      </c>
      <c r="D445" s="6" t="s">
        <v>46</v>
      </c>
      <c r="E445" s="6" t="s">
        <v>53</v>
      </c>
      <c r="F445" s="6">
        <v>8</v>
      </c>
      <c r="G445" s="15">
        <v>4.5138888888888888E-2</v>
      </c>
      <c r="H445" s="16">
        <v>0</v>
      </c>
      <c r="I445" s="35">
        <f ca="1">IFERROR(Tabela3[[#This Row],[Custo Total]]/Tabela3[[#This Row],[Aluminio Util]],0)</f>
        <v>27.859050583476478</v>
      </c>
      <c r="J445" s="35">
        <f ca="1">Tabela3[[#This Row],[Custo Total]]/Tabela3[[#This Row],[Realizado]]</f>
        <v>49.310519532753368</v>
      </c>
      <c r="K445" s="37">
        <f>IFERROR(Tabela3[[#This Row],[Qtde Cx Produzida]]/Tabela3[[#This Row],[Tempo]]/24,0)</f>
        <v>7.3846153846153841</v>
      </c>
      <c r="L445" s="37">
        <f>Tabela3[[#This Row],[Qtde Cx Produzida]]*Tabela3[[#This Row],[Qdt Peça Placa]]</f>
        <v>8</v>
      </c>
      <c r="M445" s="37">
        <f>Tabela3[[#This Row],[Previsto]]-Tabela3[[#This Row],[Perda Pçs]]</f>
        <v>8</v>
      </c>
      <c r="N445" s="38">
        <f>IFERROR(Tabela3[[#This Row],[Perda Pçs]]/Tabela3[[#This Row],[Previsto]],0)</f>
        <v>0</v>
      </c>
      <c r="O445" s="39">
        <f>IFERROR(IF(Tabela3[[#This Row],[Qtde Cx Produzida]] &lt;&gt; 0, Tabela3[[#This Row],[Tempo]] / Tabela3[[#This Row],[Qtde Cx Produzida]], 0),0)</f>
        <v>5.642361111111111E-3</v>
      </c>
      <c r="P445" s="57">
        <f>IFERROR(Tabela3[[#This Row],[Perda Pçs]]/Tabela3[[#This Row],[Qdt Peça Placa]],0)</f>
        <v>0</v>
      </c>
      <c r="Q445" s="37">
        <f>IFERROR(Tabela3[[#This Row],[Realizado]]*Tabela3[[#This Row],[Peso Util/Pç]],0)</f>
        <v>14.16</v>
      </c>
      <c r="R445" s="37">
        <f>IFERROR(Tabela3[[#This Row],[Peso Total Galho]]*Tabela3[[#This Row],[Qtde Cx Produzida]]*1.055,0)</f>
        <v>26.417199999999998</v>
      </c>
      <c r="S445" s="37">
        <f>(Tabela3[[#This Row],[Aluminio Bruto]]-Tabela3[[#This Row],[Aluminio Util]])*0.9</f>
        <v>11.031479999999998</v>
      </c>
      <c r="T445" s="37">
        <f>Tabela3[[#This Row],[Aluminio Bruto]]/OleoKGAluminio</f>
        <v>11.11368188288856</v>
      </c>
      <c r="U445" s="35">
        <f>IFERROR((VLOOKUP(Tabela3[[#This Row],[Moldador]],Tabela1[],5,)+(VLOOKUP(Tabela3[[#This Row],[Ajudante]],Tabela1[],5,))*3.5),0)</f>
        <v>99.95034583333333</v>
      </c>
      <c r="V445" s="35">
        <f>IFERROR(Tabela3[[#This Row],[Custo M.O. / H]]/((Tabela3[[#This Row],[Realizado]]/Tabela3[[#This Row],[Qdt Peça Placa]])/Tabela3[[#This Row],[Tempo]]/24),)</f>
        <v>13.534942664930556</v>
      </c>
      <c r="W445" s="35">
        <f>Tabela3[[#This Row],[Custo / Cx Moldada]]*Tabela3[[#This Row],[Qtde Cx Produzida]]</f>
        <v>108.27954131944445</v>
      </c>
      <c r="X445" s="35">
        <f ca="1">Tabela3[[#This Row],[Aluminio Util]]*Tabela3[[#This Row],[Custo/Kg]]</f>
        <v>220.89600000000002</v>
      </c>
      <c r="Y445" s="35">
        <f>IFERROR(VLOOKUP(Tabela3[[#This Row],[Data]],Tabela461213[],2,1)*(Tabela3[[#This Row],[Qtde Cx Produzida]]*Tabela3[[#This Row],[Qde macho / CX]]*Tabela3[[#This Row],[Peso Macho]]),)</f>
        <v>36.135199999999998</v>
      </c>
      <c r="Z445" s="35">
        <f>IFERROR(Tabela3[[#This Row],[Qtde Oleo]]*(VLOOKUP(Tabela3[[#This Row],[Data]],CompraOleo[],3,TRUE))*1.05,0)</f>
        <v>29.173414942582468</v>
      </c>
      <c r="AA445" s="47">
        <f ca="1">(Tabela3[[#This Row],[Custo Oleo]]+Tabela3[[#This Row],[Custo Aluminio]]+Tabela3[[#This Row],[Custo M.O. Total]]+Tabela3[[#This Row],[Custo Machos]])</f>
        <v>394.48415626202694</v>
      </c>
      <c r="AB445" s="47">
        <f ca="1">Tabela3[[#This Row],[Custo Total]]*Tabela3[[#This Row],[% Perda]]</f>
        <v>0</v>
      </c>
      <c r="AC445" s="48">
        <f>IFERROR(VLOOKUP(Tabela3[[#This Row],[Produto]],Tabela2[],2,0),0)</f>
        <v>1</v>
      </c>
      <c r="AD445" s="48">
        <f>IFERROR(VLOOKUP(Tabela3[[#This Row],[Produto]],Tabela2[],3,0),0)</f>
        <v>1.77</v>
      </c>
      <c r="AE445" s="48">
        <f>IFERROR(VLOOKUP(Tabela3[[#This Row],[Produto]],Tabela2[],4,0),0)</f>
        <v>3.13</v>
      </c>
      <c r="AF445" s="48">
        <f>IFERROR(VLOOKUP(Tabela3[[#This Row],[Produto]],Tabela2[],5,0),0)</f>
        <v>1.224</v>
      </c>
      <c r="AG445" s="40">
        <f>IFERROR(VLOOKUP(Tabela3[[#This Row],[Produto]],Tabela2[],6,0),0)</f>
        <v>0</v>
      </c>
      <c r="AH445" s="40">
        <f>IFERROR(VLOOKUP(Tabela3[[#This Row],[Produto]],Tabela2[],7,0),0)</f>
        <v>1</v>
      </c>
      <c r="AI445" s="40">
        <f>IFERROR(VLOOKUP(Tabela3[[#This Row],[Produto]],Tabela2[],8,0),0)</f>
        <v>2.657</v>
      </c>
      <c r="AJ445" s="35">
        <f ca="1">IFERROR(VLOOKUP(Tabela3[[#This Row],[Produto]],Tabela2[],13,0),0)</f>
        <v>15.600000000000001</v>
      </c>
      <c r="AK445" s="40" t="str">
        <f>IFERROR(VLOOKUP(Tabela3[[#This Row],[Produto]],Tabela2[],14,0),0)</f>
        <v>Jumil</v>
      </c>
      <c r="AL445" s="40">
        <f>IFERROR(VLOOKUP(Tabela3[[#This Row],[Produto]],Tabela2[],15,0),0)</f>
        <v>10</v>
      </c>
      <c r="AM445" s="36">
        <f ca="1">(Tabela3[[#This Row],[Custo Usinagem]]+Tabela3[[#This Row],[Custo / Pç]])*1.2</f>
        <v>71.172623439304033</v>
      </c>
      <c r="AN445" s="36">
        <f ca="1">Tabela3[[#This Row],[Valor Mínimo Venda]]*1.15</f>
        <v>81.848516955199628</v>
      </c>
      <c r="AO445" s="36">
        <f ca="1">Tabela3[[#This Row],[Tabela 1]]*1.08</f>
        <v>88.396398311615599</v>
      </c>
      <c r="AP445" s="36">
        <f ca="1">Tabela3[[#This Row],[Tabela 2]]*1.15</f>
        <v>101.65585805835794</v>
      </c>
    </row>
    <row r="446" spans="1:42">
      <c r="A446" s="9">
        <v>45856</v>
      </c>
      <c r="B446" s="6" t="s">
        <v>245</v>
      </c>
      <c r="C446" s="14">
        <v>7214</v>
      </c>
      <c r="D446" s="6" t="s">
        <v>46</v>
      </c>
      <c r="E446" s="6" t="s">
        <v>53</v>
      </c>
      <c r="F446" s="6">
        <v>50</v>
      </c>
      <c r="G446" s="15">
        <v>0.21458333333333332</v>
      </c>
      <c r="H446" s="16">
        <v>0</v>
      </c>
      <c r="I446" s="35">
        <f ca="1">IFERROR(Tabela3[[#This Row],[Custo Total]]/Tabela3[[#This Row],[Aluminio Util]],0)</f>
        <v>25.369994223507639</v>
      </c>
      <c r="J446" s="35">
        <f ca="1">Tabela3[[#This Row],[Custo Total]]/Tabela3[[#This Row],[Realizado]]</f>
        <v>8.422838082204537</v>
      </c>
      <c r="K446" s="37">
        <f>IFERROR(Tabela3[[#This Row],[Qtde Cx Produzida]]/Tabela3[[#This Row],[Tempo]]/24,0)</f>
        <v>9.7087378640776709</v>
      </c>
      <c r="L446" s="37">
        <f>Tabela3[[#This Row],[Qtde Cx Produzida]]*Tabela3[[#This Row],[Qdt Peça Placa]]</f>
        <v>200</v>
      </c>
      <c r="M446" s="37">
        <f>Tabela3[[#This Row],[Previsto]]-Tabela3[[#This Row],[Perda Pçs]]</f>
        <v>200</v>
      </c>
      <c r="N446" s="38">
        <f>IFERROR(Tabela3[[#This Row],[Perda Pçs]]/Tabela3[[#This Row],[Previsto]],0)</f>
        <v>0</v>
      </c>
      <c r="O446" s="39">
        <f>IFERROR(IF(Tabela3[[#This Row],[Qtde Cx Produzida]] &lt;&gt; 0, Tabela3[[#This Row],[Tempo]] / Tabela3[[#This Row],[Qtde Cx Produzida]], 0),0)</f>
        <v>4.2916666666666667E-3</v>
      </c>
      <c r="P446" s="57">
        <f>IFERROR(Tabela3[[#This Row],[Perda Pçs]]/Tabela3[[#This Row],[Qdt Peça Placa]],0)</f>
        <v>0</v>
      </c>
      <c r="Q446" s="37">
        <f>IFERROR(Tabela3[[#This Row],[Realizado]]*Tabela3[[#This Row],[Peso Util/Pç]],0)</f>
        <v>66.400000000000006</v>
      </c>
      <c r="R446" s="37">
        <f>IFERROR(Tabela3[[#This Row],[Peso Total Galho]]*Tabela3[[#This Row],[Qtde Cx Produzida]]*1.055,0)</f>
        <v>121.32499999999997</v>
      </c>
      <c r="S446" s="37">
        <f>(Tabela3[[#This Row],[Aluminio Bruto]]-Tabela3[[#This Row],[Aluminio Util]])*0.9</f>
        <v>49.432499999999976</v>
      </c>
      <c r="T446" s="37">
        <f>Tabela3[[#This Row],[Aluminio Bruto]]/OleoKGAluminio</f>
        <v>51.04127062828212</v>
      </c>
      <c r="U446" s="35">
        <f>IFERROR((VLOOKUP(Tabela3[[#This Row],[Moldador]],Tabela1[],5,)+(VLOOKUP(Tabela3[[#This Row],[Ajudante]],Tabela1[],5,))*3.5),0)</f>
        <v>99.95034583333333</v>
      </c>
      <c r="V446" s="35">
        <f>IFERROR(Tabela3[[#This Row],[Custo M.O. / H]]/((Tabela3[[#This Row],[Realizado]]/Tabela3[[#This Row],[Qdt Peça Placa]])/Tabela3[[#This Row],[Tempo]]/24),)</f>
        <v>10.294885620833332</v>
      </c>
      <c r="W446" s="35">
        <f>Tabela3[[#This Row],[Custo / Cx Moldada]]*Tabela3[[#This Row],[Qtde Cx Produzida]]</f>
        <v>514.74428104166657</v>
      </c>
      <c r="X446" s="35">
        <f ca="1">Tabela3[[#This Row],[Aluminio Util]]*Tabela3[[#This Row],[Custo/Kg]]</f>
        <v>1035.8400000000001</v>
      </c>
      <c r="Y446" s="35">
        <f>IFERROR(VLOOKUP(Tabela3[[#This Row],[Data]],Tabela461213[],2,1)*(Tabela3[[#This Row],[Qtde Cx Produzida]]*Tabela3[[#This Row],[Qde macho / CX]]*Tabela3[[#This Row],[Peso Macho]]),)</f>
        <v>0</v>
      </c>
      <c r="Z446" s="35">
        <f>IFERROR(Tabela3[[#This Row],[Qtde Oleo]]*(VLOOKUP(Tabela3[[#This Row],[Data]],CompraOleo[],3,TRUE))*1.05,0)</f>
        <v>133.98333539924056</v>
      </c>
      <c r="AA446" s="47">
        <f ca="1">(Tabela3[[#This Row],[Custo Oleo]]+Tabela3[[#This Row],[Custo Aluminio]]+Tabela3[[#This Row],[Custo M.O. Total]]+Tabela3[[#This Row],[Custo Machos]])</f>
        <v>1684.5676164409074</v>
      </c>
      <c r="AB446" s="47">
        <f ca="1">Tabela3[[#This Row],[Custo Total]]*Tabela3[[#This Row],[% Perda]]</f>
        <v>0</v>
      </c>
      <c r="AC446" s="48">
        <f>IFERROR(VLOOKUP(Tabela3[[#This Row],[Produto]],Tabela2[],2,0),0)</f>
        <v>4</v>
      </c>
      <c r="AD446" s="48">
        <f>IFERROR(VLOOKUP(Tabela3[[#This Row],[Produto]],Tabela2[],3,0),0)</f>
        <v>0.33200000000000002</v>
      </c>
      <c r="AE446" s="48">
        <f>IFERROR(VLOOKUP(Tabela3[[#This Row],[Produto]],Tabela2[],4,0),0)</f>
        <v>2.2999999999999998</v>
      </c>
      <c r="AF446" s="48">
        <f>IFERROR(VLOOKUP(Tabela3[[#This Row],[Produto]],Tabela2[],5,0),0)</f>
        <v>0.8747999999999998</v>
      </c>
      <c r="AG446" s="40">
        <f>IFERROR(VLOOKUP(Tabela3[[#This Row],[Produto]],Tabela2[],6,0),0)</f>
        <v>0</v>
      </c>
      <c r="AH446" s="40">
        <f>IFERROR(VLOOKUP(Tabela3[[#This Row],[Produto]],Tabela2[],7,0),0)</f>
        <v>0</v>
      </c>
      <c r="AI446" s="40">
        <f>IFERROR(VLOOKUP(Tabela3[[#This Row],[Produto]],Tabela2[],8,0),0)</f>
        <v>0</v>
      </c>
      <c r="AJ446" s="35">
        <f ca="1">IFERROR(VLOOKUP(Tabela3[[#This Row],[Produto]],Tabela2[],13,0),0)</f>
        <v>15.600000000000001</v>
      </c>
      <c r="AK446" s="40" t="str">
        <f>IFERROR(VLOOKUP(Tabela3[[#This Row],[Produto]],Tabela2[],14,0),0)</f>
        <v>Senun</v>
      </c>
      <c r="AL446" s="40">
        <f>IFERROR(VLOOKUP(Tabela3[[#This Row],[Produto]],Tabela2[],15,0),0)</f>
        <v>3.5</v>
      </c>
      <c r="AM446" s="36">
        <f ca="1">(Tabela3[[#This Row],[Custo Usinagem]]+Tabela3[[#This Row],[Custo / Pç]])*1.2</f>
        <v>14.307405698645445</v>
      </c>
      <c r="AN446" s="36">
        <f ca="1">Tabela3[[#This Row],[Valor Mínimo Venda]]*1.15</f>
        <v>16.45351655344226</v>
      </c>
      <c r="AO446" s="36">
        <f ca="1">Tabela3[[#This Row],[Tabela 1]]*1.08</f>
        <v>17.769797877717643</v>
      </c>
      <c r="AP446" s="36">
        <f ca="1">Tabela3[[#This Row],[Tabela 2]]*1.15</f>
        <v>20.435267559375287</v>
      </c>
    </row>
    <row r="447" spans="1:42">
      <c r="A447" s="9">
        <v>45856</v>
      </c>
      <c r="B447" s="6" t="s">
        <v>237</v>
      </c>
      <c r="C447" s="14">
        <v>7260</v>
      </c>
      <c r="D447" s="6" t="s">
        <v>46</v>
      </c>
      <c r="E447" s="6" t="s">
        <v>53</v>
      </c>
      <c r="F447" s="6">
        <v>10</v>
      </c>
      <c r="G447" s="15">
        <v>6.25E-2</v>
      </c>
      <c r="H447" s="16">
        <v>0</v>
      </c>
      <c r="I447" s="35">
        <f ca="1">IFERROR(Tabela3[[#This Row],[Custo Total]]/Tabela3[[#This Row],[Aluminio Util]],0)</f>
        <v>25.55557289566957</v>
      </c>
      <c r="J447" s="35">
        <f ca="1">Tabela3[[#This Row],[Custo Total]]/Tabela3[[#This Row],[Realizado]]</f>
        <v>7.4111161397441752</v>
      </c>
      <c r="K447" s="37">
        <f>IFERROR(Tabela3[[#This Row],[Qtde Cx Produzida]]/Tabela3[[#This Row],[Tempo]]/24,0)</f>
        <v>6.666666666666667</v>
      </c>
      <c r="L447" s="37">
        <f>Tabela3[[#This Row],[Qtde Cx Produzida]]*Tabela3[[#This Row],[Qdt Peça Placa]]</f>
        <v>60</v>
      </c>
      <c r="M447" s="37">
        <f>Tabela3[[#This Row],[Previsto]]-Tabela3[[#This Row],[Perda Pçs]]</f>
        <v>60</v>
      </c>
      <c r="N447" s="38">
        <f>IFERROR(Tabela3[[#This Row],[Perda Pçs]]/Tabela3[[#This Row],[Previsto]],0)</f>
        <v>0</v>
      </c>
      <c r="O447" s="39">
        <f>IFERROR(IF(Tabela3[[#This Row],[Qtde Cx Produzida]] &lt;&gt; 0, Tabela3[[#This Row],[Tempo]] / Tabela3[[#This Row],[Qtde Cx Produzida]], 0),0)</f>
        <v>6.2500000000000003E-3</v>
      </c>
      <c r="P447" s="57">
        <f>IFERROR(Tabela3[[#This Row],[Perda Pçs]]/Tabela3[[#This Row],[Qdt Peça Placa]],0)</f>
        <v>0</v>
      </c>
      <c r="Q447" s="37">
        <f>IFERROR(Tabela3[[#This Row],[Realizado]]*Tabela3[[#This Row],[Peso Util/Pç]],0)</f>
        <v>17.399999999999999</v>
      </c>
      <c r="R447" s="37">
        <f>IFERROR(Tabela3[[#This Row],[Peso Total Galho]]*Tabela3[[#This Row],[Qtde Cx Produzida]]*1.055,0)</f>
        <v>21.099999999999998</v>
      </c>
      <c r="S447" s="37">
        <f>(Tabela3[[#This Row],[Aluminio Bruto]]-Tabela3[[#This Row],[Aluminio Util]])*0.9</f>
        <v>3.3299999999999996</v>
      </c>
      <c r="T447" s="37">
        <f>Tabela3[[#This Row],[Aluminio Bruto]]/OleoKGAluminio</f>
        <v>8.8767427179621095</v>
      </c>
      <c r="U447" s="35">
        <f>IFERROR((VLOOKUP(Tabela3[[#This Row],[Moldador]],Tabela1[],5,)+(VLOOKUP(Tabela3[[#This Row],[Ajudante]],Tabela1[],5,))*3.5),0)</f>
        <v>99.95034583333333</v>
      </c>
      <c r="V447" s="35">
        <f>IFERROR(Tabela3[[#This Row],[Custo M.O. / H]]/((Tabela3[[#This Row],[Realizado]]/Tabela3[[#This Row],[Qdt Peça Placa]])/Tabela3[[#This Row],[Tempo]]/24),)</f>
        <v>14.992551874999998</v>
      </c>
      <c r="W447" s="35">
        <f>Tabela3[[#This Row],[Custo / Cx Moldada]]*Tabela3[[#This Row],[Qtde Cx Produzida]]</f>
        <v>149.92551874999998</v>
      </c>
      <c r="X447" s="35">
        <f ca="1">Tabela3[[#This Row],[Aluminio Util]]*Tabela3[[#This Row],[Custo/Kg]]</f>
        <v>271.44</v>
      </c>
      <c r="Y447" s="35">
        <f>IFERROR(VLOOKUP(Tabela3[[#This Row],[Data]],Tabela461213[],2,1)*(Tabela3[[#This Row],[Qtde Cx Produzida]]*Tabela3[[#This Row],[Qde macho / CX]]*Tabela3[[#This Row],[Peso Macho]]),)</f>
        <v>0</v>
      </c>
      <c r="Z447" s="35">
        <f>IFERROR(Tabela3[[#This Row],[Qtde Oleo]]*(VLOOKUP(Tabela3[[#This Row],[Data]],CompraOleo[],3,TRUE))*1.05,0)</f>
        <v>23.301449634650538</v>
      </c>
      <c r="AA447" s="47">
        <f ca="1">(Tabela3[[#This Row],[Custo Oleo]]+Tabela3[[#This Row],[Custo Aluminio]]+Tabela3[[#This Row],[Custo M.O. Total]]+Tabela3[[#This Row],[Custo Machos]])</f>
        <v>444.66696838465049</v>
      </c>
      <c r="AB447" s="47">
        <f ca="1">Tabela3[[#This Row],[Custo Total]]*Tabela3[[#This Row],[% Perda]]</f>
        <v>0</v>
      </c>
      <c r="AC447" s="48">
        <f>IFERROR(VLOOKUP(Tabela3[[#This Row],[Produto]],Tabela2[],2,0),0)</f>
        <v>6</v>
      </c>
      <c r="AD447" s="48">
        <f>IFERROR(VLOOKUP(Tabela3[[#This Row],[Produto]],Tabela2[],3,0),0)</f>
        <v>0.28999999999999998</v>
      </c>
      <c r="AE447" s="48">
        <f>IFERROR(VLOOKUP(Tabela3[[#This Row],[Produto]],Tabela2[],4,0),0)</f>
        <v>2</v>
      </c>
      <c r="AF447" s="48">
        <f>IFERROR(VLOOKUP(Tabela3[[#This Row],[Produto]],Tabela2[],5,0),0)</f>
        <v>0.23400000000000021</v>
      </c>
      <c r="AG447" s="40">
        <f>IFERROR(VLOOKUP(Tabela3[[#This Row],[Produto]],Tabela2[],6,0),0)</f>
        <v>0</v>
      </c>
      <c r="AH447" s="40">
        <f>IFERROR(VLOOKUP(Tabela3[[#This Row],[Produto]],Tabela2[],7,0),0)</f>
        <v>0</v>
      </c>
      <c r="AI447" s="40">
        <f>IFERROR(VLOOKUP(Tabela3[[#This Row],[Produto]],Tabela2[],8,0),0)</f>
        <v>0</v>
      </c>
      <c r="AJ447" s="35">
        <f ca="1">IFERROR(VLOOKUP(Tabela3[[#This Row],[Produto]],Tabela2[],13,0),0)</f>
        <v>15.600000000000001</v>
      </c>
      <c r="AK447" s="40" t="str">
        <f>IFERROR(VLOOKUP(Tabela3[[#This Row],[Produto]],Tabela2[],14,0),0)</f>
        <v>Senun</v>
      </c>
      <c r="AL447" s="40">
        <f>IFERROR(VLOOKUP(Tabela3[[#This Row],[Produto]],Tabela2[],15,0),0)</f>
        <v>4</v>
      </c>
      <c r="AM447" s="36">
        <f ca="1">(Tabela3[[#This Row],[Custo Usinagem]]+Tabela3[[#This Row],[Custo / Pç]])*1.2</f>
        <v>13.69333936769301</v>
      </c>
      <c r="AN447" s="36">
        <f ca="1">Tabela3[[#This Row],[Valor Mínimo Venda]]*1.15</f>
        <v>15.74734027284696</v>
      </c>
      <c r="AO447" s="36">
        <f ca="1">Tabela3[[#This Row],[Tabela 1]]*1.08</f>
        <v>17.00712749467472</v>
      </c>
      <c r="AP447" s="36">
        <f ca="1">Tabela3[[#This Row],[Tabela 2]]*1.15</f>
        <v>19.558196618875925</v>
      </c>
    </row>
    <row r="448" spans="1:42">
      <c r="A448" s="9">
        <v>45856</v>
      </c>
      <c r="B448" s="6" t="s">
        <v>238</v>
      </c>
      <c r="C448" s="14">
        <v>7226</v>
      </c>
      <c r="D448" s="6" t="s">
        <v>46</v>
      </c>
      <c r="E448" s="6" t="s">
        <v>53</v>
      </c>
      <c r="F448" s="6">
        <v>2</v>
      </c>
      <c r="G448" s="15">
        <v>1.3888888888888888E-2</v>
      </c>
      <c r="H448" s="16">
        <v>0</v>
      </c>
      <c r="I448" s="35">
        <f ca="1">IFERROR(Tabela3[[#This Row],[Custo Total]]/Tabela3[[#This Row],[Aluminio Util]],0)</f>
        <v>24.540771764181109</v>
      </c>
      <c r="J448" s="35">
        <f ca="1">Tabela3[[#This Row],[Custo Total]]/Tabela3[[#This Row],[Realizado]]</f>
        <v>9.0064632374544669</v>
      </c>
      <c r="K448" s="37">
        <f>IFERROR(Tabela3[[#This Row],[Qtde Cx Produzida]]/Tabela3[[#This Row],[Tempo]]/24,0)</f>
        <v>6</v>
      </c>
      <c r="L448" s="37">
        <f>Tabela3[[#This Row],[Qtde Cx Produzida]]*Tabela3[[#This Row],[Qdt Peça Placa]]</f>
        <v>12</v>
      </c>
      <c r="M448" s="37">
        <f>Tabela3[[#This Row],[Previsto]]-Tabela3[[#This Row],[Perda Pçs]]</f>
        <v>12</v>
      </c>
      <c r="N448" s="38">
        <f>IFERROR(Tabela3[[#This Row],[Perda Pçs]]/Tabela3[[#This Row],[Previsto]],0)</f>
        <v>0</v>
      </c>
      <c r="O448" s="39">
        <f>IFERROR(IF(Tabela3[[#This Row],[Qtde Cx Produzida]] &lt;&gt; 0, Tabela3[[#This Row],[Tempo]] / Tabela3[[#This Row],[Qtde Cx Produzida]], 0),0)</f>
        <v>6.9444444444444441E-3</v>
      </c>
      <c r="P448" s="57">
        <f>IFERROR(Tabela3[[#This Row],[Perda Pçs]]/Tabela3[[#This Row],[Qdt Peça Placa]],0)</f>
        <v>0</v>
      </c>
      <c r="Q448" s="37">
        <f>IFERROR(Tabela3[[#This Row],[Realizado]]*Tabela3[[#This Row],[Peso Util/Pç]],0)</f>
        <v>4.4039999999999999</v>
      </c>
      <c r="R448" s="37">
        <f>IFERROR(Tabela3[[#This Row],[Peso Total Galho]]*Tabela3[[#This Row],[Qtde Cx Produzida]]*1.055,0)</f>
        <v>5.4859999999999998</v>
      </c>
      <c r="S448" s="37">
        <f>(Tabela3[[#This Row],[Aluminio Bruto]]-Tabela3[[#This Row],[Aluminio Util]])*0.9</f>
        <v>0.97379999999999989</v>
      </c>
      <c r="T448" s="37">
        <f>Tabela3[[#This Row],[Aluminio Bruto]]/OleoKGAluminio</f>
        <v>2.3079531066701486</v>
      </c>
      <c r="U448" s="35">
        <f>IFERROR((VLOOKUP(Tabela3[[#This Row],[Moldador]],Tabela1[],5,)+(VLOOKUP(Tabela3[[#This Row],[Ajudante]],Tabela1[],5,))*3.5),0)</f>
        <v>99.95034583333333</v>
      </c>
      <c r="V448" s="35">
        <f>IFERROR(Tabela3[[#This Row],[Custo M.O. / H]]/((Tabela3[[#This Row],[Realizado]]/Tabela3[[#This Row],[Qdt Peça Placa]])/Tabela3[[#This Row],[Tempo]]/24),)</f>
        <v>16.658390972222222</v>
      </c>
      <c r="W448" s="35">
        <f>Tabela3[[#This Row],[Custo / Cx Moldada]]*Tabela3[[#This Row],[Qtde Cx Produzida]]</f>
        <v>33.316781944444443</v>
      </c>
      <c r="X448" s="35">
        <f ca="1">Tabela3[[#This Row],[Aluminio Util]]*Tabela3[[#This Row],[Custo/Kg]]</f>
        <v>68.702400000000011</v>
      </c>
      <c r="Y448" s="35">
        <f>IFERROR(VLOOKUP(Tabela3[[#This Row],[Data]],Tabela461213[],2,1)*(Tabela3[[#This Row],[Qtde Cx Produzida]]*Tabela3[[#This Row],[Qde macho / CX]]*Tabela3[[#This Row],[Peso Macho]]),)</f>
        <v>0</v>
      </c>
      <c r="Z448" s="35">
        <f>IFERROR(Tabela3[[#This Row],[Qtde Oleo]]*(VLOOKUP(Tabela3[[#This Row],[Data]],CompraOleo[],3,TRUE))*1.05,0)</f>
        <v>6.0583769050091396</v>
      </c>
      <c r="AA448" s="47">
        <f ca="1">(Tabela3[[#This Row],[Custo Oleo]]+Tabela3[[#This Row],[Custo Aluminio]]+Tabela3[[#This Row],[Custo M.O. Total]]+Tabela3[[#This Row],[Custo Machos]])</f>
        <v>108.0775588494536</v>
      </c>
      <c r="AB448" s="47">
        <f ca="1">Tabela3[[#This Row],[Custo Total]]*Tabela3[[#This Row],[% Perda]]</f>
        <v>0</v>
      </c>
      <c r="AC448" s="48">
        <f>IFERROR(VLOOKUP(Tabela3[[#This Row],[Produto]],Tabela2[],2,0),0)</f>
        <v>6</v>
      </c>
      <c r="AD448" s="48">
        <f>IFERROR(VLOOKUP(Tabela3[[#This Row],[Produto]],Tabela2[],3,0),0)</f>
        <v>0.36699999999999999</v>
      </c>
      <c r="AE448" s="48">
        <f>IFERROR(VLOOKUP(Tabela3[[#This Row],[Produto]],Tabela2[],4,0),0)</f>
        <v>2.6</v>
      </c>
      <c r="AF448" s="48">
        <f>IFERROR(VLOOKUP(Tabela3[[#This Row],[Produto]],Tabela2[],5,0),0)</f>
        <v>0.35820000000000013</v>
      </c>
      <c r="AG448" s="40">
        <f>IFERROR(VLOOKUP(Tabela3[[#This Row],[Produto]],Tabela2[],6,0),0)</f>
        <v>0</v>
      </c>
      <c r="AH448" s="40">
        <f>IFERROR(VLOOKUP(Tabela3[[#This Row],[Produto]],Tabela2[],7,0),0)</f>
        <v>0</v>
      </c>
      <c r="AI448" s="40">
        <f>IFERROR(VLOOKUP(Tabela3[[#This Row],[Produto]],Tabela2[],8,0),0)</f>
        <v>0</v>
      </c>
      <c r="AJ448" s="35">
        <f ca="1">IFERROR(VLOOKUP(Tabela3[[#This Row],[Produto]],Tabela2[],13,0),0)</f>
        <v>15.600000000000001</v>
      </c>
      <c r="AK448" s="40" t="str">
        <f>IFERROR(VLOOKUP(Tabela3[[#This Row],[Produto]],Tabela2[],14,0),0)</f>
        <v>Senun</v>
      </c>
      <c r="AL448" s="40">
        <f>IFERROR(VLOOKUP(Tabela3[[#This Row],[Produto]],Tabela2[],15,0),0)</f>
        <v>4</v>
      </c>
      <c r="AM448" s="36">
        <f ca="1">(Tabela3[[#This Row],[Custo Usinagem]]+Tabela3[[#This Row],[Custo / Pç]])*1.2</f>
        <v>15.607755884945359</v>
      </c>
      <c r="AN448" s="36">
        <f ca="1">Tabela3[[#This Row],[Valor Mínimo Venda]]*1.15</f>
        <v>17.94891926768716</v>
      </c>
      <c r="AO448" s="36">
        <f ca="1">Tabela3[[#This Row],[Tabela 1]]*1.08</f>
        <v>19.384832809102132</v>
      </c>
      <c r="AP448" s="36">
        <f ca="1">Tabela3[[#This Row],[Tabela 2]]*1.15</f>
        <v>22.29255773046745</v>
      </c>
    </row>
    <row r="449" spans="1:42">
      <c r="A449" s="9">
        <v>45856</v>
      </c>
      <c r="B449" s="6" t="s">
        <v>236</v>
      </c>
      <c r="C449" s="14">
        <v>6903</v>
      </c>
      <c r="D449" s="6" t="s">
        <v>44</v>
      </c>
      <c r="E449" s="6" t="s">
        <v>47</v>
      </c>
      <c r="F449" s="6">
        <v>50</v>
      </c>
      <c r="G449" s="15">
        <v>0.25833333333333336</v>
      </c>
      <c r="H449" s="16">
        <v>0</v>
      </c>
      <c r="I449" s="35">
        <f ca="1">IFERROR(Tabela3[[#This Row],[Custo Total]]/Tabela3[[#This Row],[Aluminio Util]],0)</f>
        <v>23.823553456965637</v>
      </c>
      <c r="J449" s="35">
        <f ca="1">Tabela3[[#This Row],[Custo Total]]/Tabela3[[#This Row],[Realizado]]</f>
        <v>7.1947131440036216</v>
      </c>
      <c r="K449" s="37">
        <f>IFERROR(Tabela3[[#This Row],[Qtde Cx Produzida]]/Tabela3[[#This Row],[Tempo]]/24,0)</f>
        <v>8.064516129032258</v>
      </c>
      <c r="L449" s="37">
        <f>Tabela3[[#This Row],[Qtde Cx Produzida]]*Tabela3[[#This Row],[Qdt Peça Placa]]</f>
        <v>300</v>
      </c>
      <c r="M449" s="37">
        <f>Tabela3[[#This Row],[Previsto]]-Tabela3[[#This Row],[Perda Pçs]]</f>
        <v>300</v>
      </c>
      <c r="N449" s="38">
        <f>IFERROR(Tabela3[[#This Row],[Perda Pçs]]/Tabela3[[#This Row],[Previsto]],0)</f>
        <v>0</v>
      </c>
      <c r="O449" s="39">
        <f>IFERROR(IF(Tabela3[[#This Row],[Qtde Cx Produzida]] &lt;&gt; 0, Tabela3[[#This Row],[Tempo]] / Tabela3[[#This Row],[Qtde Cx Produzida]], 0),0)</f>
        <v>5.1666666666666675E-3</v>
      </c>
      <c r="P449" s="57">
        <f>IFERROR(Tabela3[[#This Row],[Perda Pçs]]/Tabela3[[#This Row],[Qdt Peça Placa]],0)</f>
        <v>0</v>
      </c>
      <c r="Q449" s="37">
        <f>IFERROR(Tabela3[[#This Row],[Realizado]]*Tabela3[[#This Row],[Peso Util/Pç]],0)</f>
        <v>90.6</v>
      </c>
      <c r="R449" s="37">
        <f>IFERROR(Tabela3[[#This Row],[Peso Total Galho]]*Tabela3[[#This Row],[Qtde Cx Produzida]]*1.055,0)</f>
        <v>113.518</v>
      </c>
      <c r="S449" s="37">
        <f>(Tabela3[[#This Row],[Aluminio Bruto]]-Tabela3[[#This Row],[Aluminio Util]])*0.9</f>
        <v>20.626200000000008</v>
      </c>
      <c r="T449" s="37">
        <f>Tabela3[[#This Row],[Aluminio Bruto]]/OleoKGAluminio</f>
        <v>47.756875822636154</v>
      </c>
      <c r="U449" s="35">
        <f>IFERROR((VLOOKUP(Tabela3[[#This Row],[Moldador]],Tabela1[],5,)+(VLOOKUP(Tabela3[[#This Row],[Ajudante]],Tabela1[],5,))*3.5),0)</f>
        <v>99.95034583333333</v>
      </c>
      <c r="V449" s="35">
        <f>IFERROR(Tabela3[[#This Row],[Custo M.O. / H]]/((Tabela3[[#This Row],[Realizado]]/Tabela3[[#This Row],[Qdt Peça Placa]])/Tabela3[[#This Row],[Tempo]]/24),)</f>
        <v>12.393842883333333</v>
      </c>
      <c r="W449" s="35">
        <f>Tabela3[[#This Row],[Custo / Cx Moldada]]*Tabela3[[#This Row],[Qtde Cx Produzida]]</f>
        <v>619.69214416666659</v>
      </c>
      <c r="X449" s="35">
        <f ca="1">Tabela3[[#This Row],[Aluminio Util]]*Tabela3[[#This Row],[Custo/Kg]]</f>
        <v>1413.3600000000001</v>
      </c>
      <c r="Y449" s="35">
        <f>IFERROR(VLOOKUP(Tabela3[[#This Row],[Data]],Tabela461213[],2,1)*(Tabela3[[#This Row],[Qtde Cx Produzida]]*Tabela3[[#This Row],[Qde macho / CX]]*Tabela3[[#This Row],[Peso Macho]]),)</f>
        <v>0</v>
      </c>
      <c r="Z449" s="35">
        <f>IFERROR(Tabela3[[#This Row],[Qtde Oleo]]*(VLOOKUP(Tabela3[[#This Row],[Data]],CompraOleo[],3,TRUE))*1.05,0)</f>
        <v>125.3617990344199</v>
      </c>
      <c r="AA449" s="47">
        <f ca="1">(Tabela3[[#This Row],[Custo Oleo]]+Tabela3[[#This Row],[Custo Aluminio]]+Tabela3[[#This Row],[Custo M.O. Total]]+Tabela3[[#This Row],[Custo Machos]])</f>
        <v>2158.4139432010866</v>
      </c>
      <c r="AB449" s="47">
        <f ca="1">Tabela3[[#This Row],[Custo Total]]*Tabela3[[#This Row],[% Perda]]</f>
        <v>0</v>
      </c>
      <c r="AC449" s="48">
        <f>IFERROR(VLOOKUP(Tabela3[[#This Row],[Produto]],Tabela2[],2,0),0)</f>
        <v>6</v>
      </c>
      <c r="AD449" s="48">
        <f>IFERROR(VLOOKUP(Tabela3[[#This Row],[Produto]],Tabela2[],3,0),0)</f>
        <v>0.30199999999999999</v>
      </c>
      <c r="AE449" s="48">
        <f>IFERROR(VLOOKUP(Tabela3[[#This Row],[Produto]],Tabela2[],4,0),0)</f>
        <v>2.1520000000000001</v>
      </c>
      <c r="AF449" s="48">
        <f>IFERROR(VLOOKUP(Tabela3[[#This Row],[Produto]],Tabela2[],5,0),0)</f>
        <v>0.30600000000000027</v>
      </c>
      <c r="AG449" s="40">
        <f>IFERROR(VLOOKUP(Tabela3[[#This Row],[Produto]],Tabela2[],6,0),0)</f>
        <v>0</v>
      </c>
      <c r="AH449" s="40">
        <f>IFERROR(VLOOKUP(Tabela3[[#This Row],[Produto]],Tabela2[],7,0),0)</f>
        <v>0</v>
      </c>
      <c r="AI449" s="40">
        <f>IFERROR(VLOOKUP(Tabela3[[#This Row],[Produto]],Tabela2[],8,0),0)</f>
        <v>0</v>
      </c>
      <c r="AJ449" s="35">
        <f ca="1">IFERROR(VLOOKUP(Tabela3[[#This Row],[Produto]],Tabela2[],13,0),0)</f>
        <v>15.600000000000001</v>
      </c>
      <c r="AK449" s="40" t="str">
        <f>IFERROR(VLOOKUP(Tabela3[[#This Row],[Produto]],Tabela2[],14,0),0)</f>
        <v>Senun</v>
      </c>
      <c r="AL449" s="40">
        <f>IFERROR(VLOOKUP(Tabela3[[#This Row],[Produto]],Tabela2[],15,0),0)</f>
        <v>4</v>
      </c>
      <c r="AM449" s="36">
        <f ca="1">(Tabela3[[#This Row],[Custo Usinagem]]+Tabela3[[#This Row],[Custo / Pç]])*1.2</f>
        <v>13.433655772804345</v>
      </c>
      <c r="AN449" s="36">
        <f ca="1">Tabela3[[#This Row],[Valor Mínimo Venda]]*1.15</f>
        <v>15.448704138724995</v>
      </c>
      <c r="AO449" s="36">
        <f ca="1">Tabela3[[#This Row],[Tabela 1]]*1.08</f>
        <v>16.684600469822996</v>
      </c>
      <c r="AP449" s="36">
        <f ca="1">Tabela3[[#This Row],[Tabela 2]]*1.15</f>
        <v>19.187290540296445</v>
      </c>
    </row>
    <row r="450" spans="1:42">
      <c r="A450" s="9">
        <v>45856</v>
      </c>
      <c r="B450" s="6" t="s">
        <v>246</v>
      </c>
      <c r="C450" s="14">
        <v>7203</v>
      </c>
      <c r="D450" s="6" t="s">
        <v>44</v>
      </c>
      <c r="E450" s="6" t="s">
        <v>47</v>
      </c>
      <c r="F450" s="6">
        <v>9</v>
      </c>
      <c r="G450" s="15">
        <v>5.1388888888888887E-2</v>
      </c>
      <c r="H450" s="16">
        <v>0</v>
      </c>
      <c r="I450" s="35">
        <f ca="1">IFERROR(Tabela3[[#This Row],[Custo Total]]/Tabela3[[#This Row],[Aluminio Util]],0)</f>
        <v>23.827785381587478</v>
      </c>
      <c r="J450" s="35">
        <f ca="1">Tabela3[[#This Row],[Custo Total]]/Tabela3[[#This Row],[Realizado]]</f>
        <v>12.700209608386126</v>
      </c>
      <c r="K450" s="37">
        <f>IFERROR(Tabela3[[#This Row],[Qtde Cx Produzida]]/Tabela3[[#This Row],[Tempo]]/24,0)</f>
        <v>7.2972972972972974</v>
      </c>
      <c r="L450" s="37">
        <f>Tabela3[[#This Row],[Qtde Cx Produzida]]*Tabela3[[#This Row],[Qdt Peça Placa]]</f>
        <v>36</v>
      </c>
      <c r="M450" s="37">
        <f>Tabela3[[#This Row],[Previsto]]-Tabela3[[#This Row],[Perda Pçs]]</f>
        <v>36</v>
      </c>
      <c r="N450" s="38">
        <f>IFERROR(Tabela3[[#This Row],[Perda Pçs]]/Tabela3[[#This Row],[Previsto]],0)</f>
        <v>0</v>
      </c>
      <c r="O450" s="39">
        <f>IFERROR(IF(Tabela3[[#This Row],[Qtde Cx Produzida]] &lt;&gt; 0, Tabela3[[#This Row],[Tempo]] / Tabela3[[#This Row],[Qtde Cx Produzida]], 0),0)</f>
        <v>5.7098765432098764E-3</v>
      </c>
      <c r="P450" s="57">
        <f>IFERROR(Tabela3[[#This Row],[Perda Pçs]]/Tabela3[[#This Row],[Qdt Peça Placa]],0)</f>
        <v>0</v>
      </c>
      <c r="Q450" s="37">
        <f>IFERROR(Tabela3[[#This Row],[Realizado]]*Tabela3[[#This Row],[Peso Util/Pç]],0)</f>
        <v>19.188000000000002</v>
      </c>
      <c r="R450" s="37">
        <f>IFERROR(Tabela3[[#This Row],[Peso Total Galho]]*Tabela3[[#This Row],[Qtde Cx Produzida]]*1.055,0)</f>
        <v>31.333499999999997</v>
      </c>
      <c r="S450" s="37">
        <f>(Tabela3[[#This Row],[Aluminio Bruto]]-Tabela3[[#This Row],[Aluminio Util]])*0.9</f>
        <v>10.930949999999996</v>
      </c>
      <c r="T450" s="37">
        <f>Tabela3[[#This Row],[Aluminio Bruto]]/OleoKGAluminio</f>
        <v>13.181962936173733</v>
      </c>
      <c r="U450" s="35">
        <f>IFERROR((VLOOKUP(Tabela3[[#This Row],[Moldador]],Tabela1[],5,)+(VLOOKUP(Tabela3[[#This Row],[Ajudante]],Tabela1[],5,))*3.5),0)</f>
        <v>99.95034583333333</v>
      </c>
      <c r="V450" s="35">
        <f>IFERROR(Tabela3[[#This Row],[Custo M.O. / H]]/((Tabela3[[#This Row],[Realizado]]/Tabela3[[#This Row],[Qdt Peça Placa]])/Tabela3[[#This Row],[Tempo]]/24),)</f>
        <v>13.69689924382716</v>
      </c>
      <c r="W450" s="35">
        <f>Tabela3[[#This Row],[Custo / Cx Moldada]]*Tabela3[[#This Row],[Qtde Cx Produzida]]</f>
        <v>123.27209319444444</v>
      </c>
      <c r="X450" s="35">
        <f ca="1">Tabela3[[#This Row],[Aluminio Util]]*Tabela3[[#This Row],[Custo/Kg]]</f>
        <v>299.33280000000008</v>
      </c>
      <c r="Y450" s="35">
        <f>IFERROR(VLOOKUP(Tabela3[[#This Row],[Data]],Tabela461213[],2,1)*(Tabela3[[#This Row],[Qtde Cx Produzida]]*Tabela3[[#This Row],[Qde macho / CX]]*Tabela3[[#This Row],[Peso Macho]]),)</f>
        <v>0</v>
      </c>
      <c r="Z450" s="35">
        <f>IFERROR(Tabela3[[#This Row],[Qtde Oleo]]*(VLOOKUP(Tabela3[[#This Row],[Data]],CompraOleo[],3,TRUE))*1.05,0)</f>
        <v>34.602652707456052</v>
      </c>
      <c r="AA450" s="47">
        <f ca="1">(Tabela3[[#This Row],[Custo Oleo]]+Tabela3[[#This Row],[Custo Aluminio]]+Tabela3[[#This Row],[Custo M.O. Total]]+Tabela3[[#This Row],[Custo Machos]])</f>
        <v>457.20754590190057</v>
      </c>
      <c r="AB450" s="47">
        <f ca="1">Tabela3[[#This Row],[Custo Total]]*Tabela3[[#This Row],[% Perda]]</f>
        <v>0</v>
      </c>
      <c r="AC450" s="48">
        <f>IFERROR(VLOOKUP(Tabela3[[#This Row],[Produto]],Tabela2[],2,0),0)</f>
        <v>4</v>
      </c>
      <c r="AD450" s="48">
        <f>IFERROR(VLOOKUP(Tabela3[[#This Row],[Produto]],Tabela2[],3,0),0)</f>
        <v>0.53300000000000003</v>
      </c>
      <c r="AE450" s="48">
        <f>IFERROR(VLOOKUP(Tabela3[[#This Row],[Produto]],Tabela2[],4,0),0)</f>
        <v>3.3</v>
      </c>
      <c r="AF450" s="48">
        <f>IFERROR(VLOOKUP(Tabela3[[#This Row],[Produto]],Tabela2[],5,0),0)</f>
        <v>1.0511999999999997</v>
      </c>
      <c r="AG450" s="40">
        <f>IFERROR(VLOOKUP(Tabela3[[#This Row],[Produto]],Tabela2[],6,0),0)</f>
        <v>0</v>
      </c>
      <c r="AH450" s="40">
        <f>IFERROR(VLOOKUP(Tabela3[[#This Row],[Produto]],Tabela2[],7,0),0)</f>
        <v>0</v>
      </c>
      <c r="AI450" s="40">
        <f>IFERROR(VLOOKUP(Tabela3[[#This Row],[Produto]],Tabela2[],8,0),0)</f>
        <v>0</v>
      </c>
      <c r="AJ450" s="35">
        <f ca="1">IFERROR(VLOOKUP(Tabela3[[#This Row],[Produto]],Tabela2[],13,0),0)</f>
        <v>15.600000000000001</v>
      </c>
      <c r="AK450" s="40" t="str">
        <f>IFERROR(VLOOKUP(Tabela3[[#This Row],[Produto]],Tabela2[],14,0),0)</f>
        <v>Senun</v>
      </c>
      <c r="AL450" s="40">
        <f>IFERROR(VLOOKUP(Tabela3[[#This Row],[Produto]],Tabela2[],15,0),0)</f>
        <v>4</v>
      </c>
      <c r="AM450" s="36">
        <f ca="1">(Tabela3[[#This Row],[Custo Usinagem]]+Tabela3[[#This Row],[Custo / Pç]])*1.2</f>
        <v>20.040251530063347</v>
      </c>
      <c r="AN450" s="36">
        <f ca="1">Tabela3[[#This Row],[Valor Mínimo Venda]]*1.15</f>
        <v>23.046289259572848</v>
      </c>
      <c r="AO450" s="36">
        <f ca="1">Tabela3[[#This Row],[Tabela 1]]*1.08</f>
        <v>24.889992400338677</v>
      </c>
      <c r="AP450" s="36">
        <f ca="1">Tabela3[[#This Row],[Tabela 2]]*1.15</f>
        <v>28.623491260389475</v>
      </c>
    </row>
    <row r="451" spans="1:42">
      <c r="A451" s="9">
        <v>45859</v>
      </c>
      <c r="B451" s="6" t="s">
        <v>238</v>
      </c>
      <c r="C451" s="14">
        <v>7226</v>
      </c>
      <c r="D451" s="6" t="s">
        <v>46</v>
      </c>
      <c r="E451" s="6" t="s">
        <v>53</v>
      </c>
      <c r="F451" s="6">
        <v>56</v>
      </c>
      <c r="G451" s="15">
        <v>0.34097222222222223</v>
      </c>
      <c r="H451" s="16">
        <v>50</v>
      </c>
      <c r="I451" s="35">
        <f ca="1">IFERROR(Tabela3[[#This Row],[Custo Total]]/Tabela3[[#This Row],[Aluminio Util]],0)</f>
        <v>26.371096018320799</v>
      </c>
      <c r="J451" s="35">
        <f ca="1">Tabela3[[#This Row],[Custo Total]]/Tabela3[[#This Row],[Realizado]]</f>
        <v>9.6781922387237334</v>
      </c>
      <c r="K451" s="37">
        <f>IFERROR(Tabela3[[#This Row],[Qtde Cx Produzida]]/Tabela3[[#This Row],[Tempo]]/24,0)</f>
        <v>6.843177189409368</v>
      </c>
      <c r="L451" s="37">
        <f>Tabela3[[#This Row],[Qtde Cx Produzida]]*Tabela3[[#This Row],[Qdt Peça Placa]]</f>
        <v>336</v>
      </c>
      <c r="M451" s="37">
        <f>Tabela3[[#This Row],[Previsto]]-Tabela3[[#This Row],[Perda Pçs]]</f>
        <v>286</v>
      </c>
      <c r="N451" s="38">
        <f>IFERROR(Tabela3[[#This Row],[Perda Pçs]]/Tabela3[[#This Row],[Previsto]],0)</f>
        <v>0.14880952380952381</v>
      </c>
      <c r="O451" s="39">
        <f>IFERROR(IF(Tabela3[[#This Row],[Qtde Cx Produzida]] &lt;&gt; 0, Tabela3[[#This Row],[Tempo]] / Tabela3[[#This Row],[Qtde Cx Produzida]], 0),0)</f>
        <v>6.0887896825396826E-3</v>
      </c>
      <c r="P451" s="57">
        <f>IFERROR(Tabela3[[#This Row],[Perda Pçs]]/Tabela3[[#This Row],[Qdt Peça Placa]],0)</f>
        <v>8.3333333333333339</v>
      </c>
      <c r="Q451" s="37">
        <f>IFERROR(Tabela3[[#This Row],[Realizado]]*Tabela3[[#This Row],[Peso Util/Pç]],0)</f>
        <v>104.962</v>
      </c>
      <c r="R451" s="37">
        <f>IFERROR(Tabela3[[#This Row],[Peso Total Galho]]*Tabela3[[#This Row],[Qtde Cx Produzida]]*1.055,0)</f>
        <v>153.60799999999998</v>
      </c>
      <c r="S451" s="37">
        <f>(Tabela3[[#This Row],[Aluminio Bruto]]-Tabela3[[#This Row],[Aluminio Util]])*0.9</f>
        <v>43.781399999999977</v>
      </c>
      <c r="T451" s="37">
        <f>Tabela3[[#This Row],[Aluminio Bruto]]/OleoKGAluminio</f>
        <v>64.622686986764151</v>
      </c>
      <c r="U451" s="35">
        <f>IFERROR((VLOOKUP(Tabela3[[#This Row],[Moldador]],Tabela1[],5,)+(VLOOKUP(Tabela3[[#This Row],[Ajudante]],Tabela1[],5,))*3.5),0)</f>
        <v>99.95034583333333</v>
      </c>
      <c r="V451" s="35">
        <f>IFERROR(Tabela3[[#This Row],[Custo M.O. / H]]/((Tabela3[[#This Row],[Realizado]]/Tabela3[[#This Row],[Qdt Peça Placa]])/Tabela3[[#This Row],[Tempo]]/24),)</f>
        <v>17.159307623834501</v>
      </c>
      <c r="W451" s="35">
        <f>Tabela3[[#This Row],[Custo / Cx Moldada]]*Tabela3[[#This Row],[Qtde Cx Produzida]]</f>
        <v>960.92122693473198</v>
      </c>
      <c r="X451" s="35">
        <f ca="1">Tabela3[[#This Row],[Aluminio Util]]*Tabela3[[#This Row],[Custo/Kg]]</f>
        <v>1637.4072000000001</v>
      </c>
      <c r="Y451" s="35">
        <f>IFERROR(VLOOKUP(Tabela3[[#This Row],[Data]],Tabela461213[],2,1)*(Tabela3[[#This Row],[Qtde Cx Produzida]]*Tabela3[[#This Row],[Qde macho / CX]]*Tabela3[[#This Row],[Peso Macho]]),)</f>
        <v>0</v>
      </c>
      <c r="Z451" s="35">
        <f>IFERROR(Tabela3[[#This Row],[Qtde Oleo]]*(VLOOKUP(Tabela3[[#This Row],[Data]],CompraOleo[],3,TRUE))*1.05,0)</f>
        <v>169.63455334025591</v>
      </c>
      <c r="AA451" s="47">
        <f ca="1">(Tabela3[[#This Row],[Custo Oleo]]+Tabela3[[#This Row],[Custo Aluminio]]+Tabela3[[#This Row],[Custo M.O. Total]]+Tabela3[[#This Row],[Custo Machos]])</f>
        <v>2767.9629802749878</v>
      </c>
      <c r="AB451" s="47">
        <f ca="1">Tabela3[[#This Row],[Custo Total]]*Tabela3[[#This Row],[% Perda]]</f>
        <v>411.89925301711128</v>
      </c>
      <c r="AC451" s="48">
        <f>IFERROR(VLOOKUP(Tabela3[[#This Row],[Produto]],Tabela2[],2,0),0)</f>
        <v>6</v>
      </c>
      <c r="AD451" s="48">
        <f>IFERROR(VLOOKUP(Tabela3[[#This Row],[Produto]],Tabela2[],3,0),0)</f>
        <v>0.36699999999999999</v>
      </c>
      <c r="AE451" s="48">
        <f>IFERROR(VLOOKUP(Tabela3[[#This Row],[Produto]],Tabela2[],4,0),0)</f>
        <v>2.6</v>
      </c>
      <c r="AF451" s="48">
        <f>IFERROR(VLOOKUP(Tabela3[[#This Row],[Produto]],Tabela2[],5,0),0)</f>
        <v>0.35820000000000013</v>
      </c>
      <c r="AG451" s="40">
        <f>IFERROR(VLOOKUP(Tabela3[[#This Row],[Produto]],Tabela2[],6,0),0)</f>
        <v>0</v>
      </c>
      <c r="AH451" s="40">
        <f>IFERROR(VLOOKUP(Tabela3[[#This Row],[Produto]],Tabela2[],7,0),0)</f>
        <v>0</v>
      </c>
      <c r="AI451" s="40">
        <f>IFERROR(VLOOKUP(Tabela3[[#This Row],[Produto]],Tabela2[],8,0),0)</f>
        <v>0</v>
      </c>
      <c r="AJ451" s="35">
        <f ca="1">IFERROR(VLOOKUP(Tabela3[[#This Row],[Produto]],Tabela2[],13,0),0)</f>
        <v>15.600000000000001</v>
      </c>
      <c r="AK451" s="40" t="str">
        <f>IFERROR(VLOOKUP(Tabela3[[#This Row],[Produto]],Tabela2[],14,0),0)</f>
        <v>Senun</v>
      </c>
      <c r="AL451" s="40">
        <f>IFERROR(VLOOKUP(Tabela3[[#This Row],[Produto]],Tabela2[],15,0),0)</f>
        <v>4</v>
      </c>
      <c r="AM451" s="36">
        <f ca="1">(Tabela3[[#This Row],[Custo Usinagem]]+Tabela3[[#This Row],[Custo / Pç]])*1.2</f>
        <v>16.413830686468479</v>
      </c>
      <c r="AN451" s="36">
        <f ca="1">Tabela3[[#This Row],[Valor Mínimo Venda]]*1.15</f>
        <v>18.875905289438748</v>
      </c>
      <c r="AO451" s="36">
        <f ca="1">Tabela3[[#This Row],[Tabela 1]]*1.08</f>
        <v>20.385977712593849</v>
      </c>
      <c r="AP451" s="36">
        <f ca="1">Tabela3[[#This Row],[Tabela 2]]*1.15</f>
        <v>23.443874369482923</v>
      </c>
    </row>
    <row r="452" spans="1:42">
      <c r="A452" s="9">
        <v>45859</v>
      </c>
      <c r="B452" s="6" t="s">
        <v>246</v>
      </c>
      <c r="C452" s="14">
        <v>7203</v>
      </c>
      <c r="D452" s="6" t="s">
        <v>44</v>
      </c>
      <c r="E452" s="6" t="s">
        <v>47</v>
      </c>
      <c r="F452" s="6">
        <v>31</v>
      </c>
      <c r="G452" s="15">
        <v>0.15694444444444444</v>
      </c>
      <c r="H452" s="16">
        <v>42</v>
      </c>
      <c r="I452" s="35">
        <f ca="1">IFERROR(Tabela3[[#This Row],[Custo Total]]/Tabela3[[#This Row],[Aluminio Util]],0)</f>
        <v>31.352930579609271</v>
      </c>
      <c r="J452" s="35">
        <f ca="1">Tabela3[[#This Row],[Custo Total]]/Tabela3[[#This Row],[Realizado]]</f>
        <v>16.711111998931742</v>
      </c>
      <c r="K452" s="37">
        <f>IFERROR(Tabela3[[#This Row],[Qtde Cx Produzida]]/Tabela3[[#This Row],[Tempo]]/24,0)</f>
        <v>8.230088495575222</v>
      </c>
      <c r="L452" s="37">
        <f>Tabela3[[#This Row],[Qtde Cx Produzida]]*Tabela3[[#This Row],[Qdt Peça Placa]]</f>
        <v>124</v>
      </c>
      <c r="M452" s="37">
        <f>Tabela3[[#This Row],[Previsto]]-Tabela3[[#This Row],[Perda Pçs]]</f>
        <v>82</v>
      </c>
      <c r="N452" s="38">
        <f>IFERROR(Tabela3[[#This Row],[Perda Pçs]]/Tabela3[[#This Row],[Previsto]],0)</f>
        <v>0.33870967741935482</v>
      </c>
      <c r="O452" s="39">
        <f>IFERROR(IF(Tabela3[[#This Row],[Qtde Cx Produzida]] &lt;&gt; 0, Tabela3[[#This Row],[Tempo]] / Tabela3[[#This Row],[Qtde Cx Produzida]], 0),0)</f>
        <v>5.0627240143369173E-3</v>
      </c>
      <c r="P452" s="57">
        <f>IFERROR(Tabela3[[#This Row],[Perda Pçs]]/Tabela3[[#This Row],[Qdt Peça Placa]],0)</f>
        <v>10.5</v>
      </c>
      <c r="Q452" s="37">
        <f>IFERROR(Tabela3[[#This Row],[Realizado]]*Tabela3[[#This Row],[Peso Util/Pç]],0)</f>
        <v>43.706000000000003</v>
      </c>
      <c r="R452" s="37">
        <f>IFERROR(Tabela3[[#This Row],[Peso Total Galho]]*Tabela3[[#This Row],[Qtde Cx Produzida]]*1.055,0)</f>
        <v>107.92649999999999</v>
      </c>
      <c r="S452" s="37">
        <f>(Tabela3[[#This Row],[Aluminio Bruto]]-Tabela3[[#This Row],[Aluminio Util]])*0.9</f>
        <v>57.798449999999988</v>
      </c>
      <c r="T452" s="37">
        <f>Tabela3[[#This Row],[Aluminio Bruto]]/OleoKGAluminio</f>
        <v>45.40453900237619</v>
      </c>
      <c r="U452" s="35">
        <f>IFERROR((VLOOKUP(Tabela3[[#This Row],[Moldador]],Tabela1[],5,)+(VLOOKUP(Tabela3[[#This Row],[Ajudante]],Tabela1[],5,))*3.5),0)</f>
        <v>99.95034583333333</v>
      </c>
      <c r="V452" s="35">
        <f>IFERROR(Tabela3[[#This Row],[Custo M.O. / H]]/((Tabela3[[#This Row],[Realizado]]/Tabela3[[#This Row],[Qdt Peça Placa]])/Tabela3[[#This Row],[Tempo]]/24),)</f>
        <v>18.364860291327911</v>
      </c>
      <c r="W452" s="35">
        <f>Tabela3[[#This Row],[Custo / Cx Moldada]]*Tabela3[[#This Row],[Qtde Cx Produzida]]</f>
        <v>569.31066903116528</v>
      </c>
      <c r="X452" s="35">
        <f ca="1">Tabela3[[#This Row],[Aluminio Util]]*Tabela3[[#This Row],[Custo/Kg]]</f>
        <v>681.81360000000006</v>
      </c>
      <c r="Y452" s="35">
        <f>IFERROR(VLOOKUP(Tabela3[[#This Row],[Data]],Tabela461213[],2,1)*(Tabela3[[#This Row],[Qtde Cx Produzida]]*Tabela3[[#This Row],[Qde macho / CX]]*Tabela3[[#This Row],[Peso Macho]]),)</f>
        <v>0</v>
      </c>
      <c r="Z452" s="35">
        <f>IFERROR(Tabela3[[#This Row],[Qtde Oleo]]*(VLOOKUP(Tabela3[[#This Row],[Data]],CompraOleo[],3,TRUE))*1.05,0)</f>
        <v>119.18691488123751</v>
      </c>
      <c r="AA452" s="47">
        <f ca="1">(Tabela3[[#This Row],[Custo Oleo]]+Tabela3[[#This Row],[Custo Aluminio]]+Tabela3[[#This Row],[Custo M.O. Total]]+Tabela3[[#This Row],[Custo Machos]])</f>
        <v>1370.3111839124028</v>
      </c>
      <c r="AB452" s="47">
        <f ca="1">Tabela3[[#This Row],[Custo Total]]*Tabela3[[#This Row],[% Perda]]</f>
        <v>464.13765906710415</v>
      </c>
      <c r="AC452" s="48">
        <f>IFERROR(VLOOKUP(Tabela3[[#This Row],[Produto]],Tabela2[],2,0),0)</f>
        <v>4</v>
      </c>
      <c r="AD452" s="48">
        <f>IFERROR(VLOOKUP(Tabela3[[#This Row],[Produto]],Tabela2[],3,0),0)</f>
        <v>0.53300000000000003</v>
      </c>
      <c r="AE452" s="48">
        <f>IFERROR(VLOOKUP(Tabela3[[#This Row],[Produto]],Tabela2[],4,0),0)</f>
        <v>3.3</v>
      </c>
      <c r="AF452" s="48">
        <f>IFERROR(VLOOKUP(Tabela3[[#This Row],[Produto]],Tabela2[],5,0),0)</f>
        <v>1.0511999999999997</v>
      </c>
      <c r="AG452" s="40">
        <f>IFERROR(VLOOKUP(Tabela3[[#This Row],[Produto]],Tabela2[],6,0),0)</f>
        <v>0</v>
      </c>
      <c r="AH452" s="40">
        <f>IFERROR(VLOOKUP(Tabela3[[#This Row],[Produto]],Tabela2[],7,0),0)</f>
        <v>0</v>
      </c>
      <c r="AI452" s="40">
        <f>IFERROR(VLOOKUP(Tabela3[[#This Row],[Produto]],Tabela2[],8,0),0)</f>
        <v>0</v>
      </c>
      <c r="AJ452" s="35">
        <f ca="1">IFERROR(VLOOKUP(Tabela3[[#This Row],[Produto]],Tabela2[],13,0),0)</f>
        <v>15.600000000000001</v>
      </c>
      <c r="AK452" s="40" t="str">
        <f>IFERROR(VLOOKUP(Tabela3[[#This Row],[Produto]],Tabela2[],14,0),0)</f>
        <v>Senun</v>
      </c>
      <c r="AL452" s="40">
        <f>IFERROR(VLOOKUP(Tabela3[[#This Row],[Produto]],Tabela2[],15,0),0)</f>
        <v>4</v>
      </c>
      <c r="AM452" s="36">
        <f ca="1">(Tabela3[[#This Row],[Custo Usinagem]]+Tabela3[[#This Row],[Custo / Pç]])*1.2</f>
        <v>24.85333439871809</v>
      </c>
      <c r="AN452" s="36">
        <f ca="1">Tabela3[[#This Row],[Valor Mínimo Venda]]*1.15</f>
        <v>28.5813345585258</v>
      </c>
      <c r="AO452" s="36">
        <f ca="1">Tabela3[[#This Row],[Tabela 1]]*1.08</f>
        <v>30.867841323207866</v>
      </c>
      <c r="AP452" s="36">
        <f ca="1">Tabela3[[#This Row],[Tabela 2]]*1.15</f>
        <v>35.498017521689043</v>
      </c>
    </row>
    <row r="453" spans="1:42">
      <c r="A453" s="9">
        <v>45859</v>
      </c>
      <c r="B453" s="6" t="s">
        <v>229</v>
      </c>
      <c r="C453" s="14">
        <v>7261</v>
      </c>
      <c r="D453" s="6" t="s">
        <v>44</v>
      </c>
      <c r="E453" s="6" t="s">
        <v>47</v>
      </c>
      <c r="F453" s="6">
        <v>25</v>
      </c>
      <c r="G453" s="15">
        <v>0.12708333333333333</v>
      </c>
      <c r="H453" s="16">
        <v>1</v>
      </c>
      <c r="I453" s="35">
        <f ca="1">IFERROR(Tabela3[[#This Row],[Custo Total]]/Tabela3[[#This Row],[Aluminio Util]],0)</f>
        <v>21.934640152230976</v>
      </c>
      <c r="J453" s="35">
        <f ca="1">Tabela3[[#This Row],[Custo Total]]/Tabela3[[#This Row],[Realizado]]</f>
        <v>61.153776744419957</v>
      </c>
      <c r="K453" s="37">
        <f>IFERROR(Tabela3[[#This Row],[Qtde Cx Produzida]]/Tabela3[[#This Row],[Tempo]]/24,0)</f>
        <v>8.1967213114754092</v>
      </c>
      <c r="L453" s="37">
        <f>Tabela3[[#This Row],[Qtde Cx Produzida]]*Tabela3[[#This Row],[Qdt Peça Placa]]</f>
        <v>25</v>
      </c>
      <c r="M453" s="37">
        <f>Tabela3[[#This Row],[Previsto]]-Tabela3[[#This Row],[Perda Pçs]]</f>
        <v>24</v>
      </c>
      <c r="N453" s="38">
        <f>IFERROR(Tabela3[[#This Row],[Perda Pçs]]/Tabela3[[#This Row],[Previsto]],0)</f>
        <v>0.04</v>
      </c>
      <c r="O453" s="39">
        <f>IFERROR(IF(Tabela3[[#This Row],[Qtde Cx Produzida]] &lt;&gt; 0, Tabela3[[#This Row],[Tempo]] / Tabela3[[#This Row],[Qtde Cx Produzida]], 0),0)</f>
        <v>5.0833333333333329E-3</v>
      </c>
      <c r="P453" s="57">
        <f>IFERROR(Tabela3[[#This Row],[Perda Pçs]]/Tabela3[[#This Row],[Qdt Peça Placa]],0)</f>
        <v>1</v>
      </c>
      <c r="Q453" s="37">
        <f>IFERROR(Tabela3[[#This Row],[Realizado]]*Tabela3[[#This Row],[Peso Util/Pç]],0)</f>
        <v>66.911999999999992</v>
      </c>
      <c r="R453" s="37">
        <f>IFERROR(Tabela3[[#This Row],[Peso Total Galho]]*Tabela3[[#This Row],[Qtde Cx Produzida]]*1.055,0)</f>
        <v>96.268749999999997</v>
      </c>
      <c r="S453" s="37">
        <f>(Tabela3[[#This Row],[Aluminio Bruto]]-Tabela3[[#This Row],[Aluminio Util]])*0.9</f>
        <v>26.421075000000005</v>
      </c>
      <c r="T453" s="37">
        <f>Tabela3[[#This Row],[Aluminio Bruto]]/OleoKGAluminio</f>
        <v>40.500138650702127</v>
      </c>
      <c r="U453" s="35">
        <f>IFERROR((VLOOKUP(Tabela3[[#This Row],[Moldador]],Tabela1[],5,)+(VLOOKUP(Tabela3[[#This Row],[Ajudante]],Tabela1[],5,))*3.5),0)</f>
        <v>99.95034583333333</v>
      </c>
      <c r="V453" s="35">
        <f>IFERROR(Tabela3[[#This Row],[Custo M.O. / H]]/((Tabela3[[#This Row],[Realizado]]/Tabela3[[#This Row],[Qdt Peça Placa]])/Tabela3[[#This Row],[Tempo]]/24),)</f>
        <v>12.702023116319443</v>
      </c>
      <c r="W453" s="35">
        <f>Tabela3[[#This Row],[Custo / Cx Moldada]]*Tabela3[[#This Row],[Qtde Cx Produzida]]</f>
        <v>317.55057790798611</v>
      </c>
      <c r="X453" s="35">
        <f ca="1">Tabela3[[#This Row],[Aluminio Util]]*Tabela3[[#This Row],[Custo/Kg]]</f>
        <v>1043.8271999999999</v>
      </c>
      <c r="Y453" s="35">
        <f>IFERROR(VLOOKUP(Tabela3[[#This Row],[Data]],Tabela461213[],2,1)*(Tabela3[[#This Row],[Qtde Cx Produzida]]*Tabela3[[#This Row],[Qde macho / CX]]*Tabela3[[#This Row],[Peso Macho]]),)</f>
        <v>0</v>
      </c>
      <c r="Z453" s="35">
        <f>IFERROR(Tabela3[[#This Row],[Qtde Oleo]]*(VLOOKUP(Tabela3[[#This Row],[Data]],CompraOleo[],3,TRUE))*1.05,0)</f>
        <v>106.31286395809309</v>
      </c>
      <c r="AA453" s="47">
        <f ca="1">(Tabela3[[#This Row],[Custo Oleo]]+Tabela3[[#This Row],[Custo Aluminio]]+Tabela3[[#This Row],[Custo M.O. Total]]+Tabela3[[#This Row],[Custo Machos]])</f>
        <v>1467.690641866079</v>
      </c>
      <c r="AB453" s="47">
        <f ca="1">Tabela3[[#This Row],[Custo Total]]*Tabela3[[#This Row],[% Perda]]</f>
        <v>58.707625674643161</v>
      </c>
      <c r="AC453" s="48">
        <f>IFERROR(VLOOKUP(Tabela3[[#This Row],[Produto]],Tabela2[],2,0),0)</f>
        <v>1</v>
      </c>
      <c r="AD453" s="48">
        <f>IFERROR(VLOOKUP(Tabela3[[#This Row],[Produto]],Tabela2[],3,0),0)</f>
        <v>2.7879999999999998</v>
      </c>
      <c r="AE453" s="48">
        <f>IFERROR(VLOOKUP(Tabela3[[#This Row],[Produto]],Tabela2[],4,0),0)</f>
        <v>3.65</v>
      </c>
      <c r="AF453" s="48">
        <f>IFERROR(VLOOKUP(Tabela3[[#This Row],[Produto]],Tabela2[],5,0),0)</f>
        <v>0.77580000000000016</v>
      </c>
      <c r="AG453" s="40">
        <f>IFERROR(VLOOKUP(Tabela3[[#This Row],[Produto]],Tabela2[],6,0),0)</f>
        <v>0</v>
      </c>
      <c r="AH453" s="40">
        <f>IFERROR(VLOOKUP(Tabela3[[#This Row],[Produto]],Tabela2[],7,0),0)</f>
        <v>0</v>
      </c>
      <c r="AI453" s="40">
        <f>IFERROR(VLOOKUP(Tabela3[[#This Row],[Produto]],Tabela2[],8,0),0)</f>
        <v>0</v>
      </c>
      <c r="AJ453" s="35">
        <f ca="1">IFERROR(VLOOKUP(Tabela3[[#This Row],[Produto]],Tabela2[],13,0),0)</f>
        <v>15.600000000000001</v>
      </c>
      <c r="AK453" s="40" t="str">
        <f>IFERROR(VLOOKUP(Tabela3[[#This Row],[Produto]],Tabela2[],14,0),0)</f>
        <v>Jumil</v>
      </c>
      <c r="AL453" s="40">
        <f>IFERROR(VLOOKUP(Tabela3[[#This Row],[Produto]],Tabela2[],15,0),0)</f>
        <v>35</v>
      </c>
      <c r="AM453" s="36">
        <f ca="1">(Tabela3[[#This Row],[Custo Usinagem]]+Tabela3[[#This Row],[Custo / Pç]])*1.2</f>
        <v>115.38453209330395</v>
      </c>
      <c r="AN453" s="36">
        <f ca="1">Tabela3[[#This Row],[Valor Mínimo Venda]]*1.15</f>
        <v>132.69221190729954</v>
      </c>
      <c r="AO453" s="36">
        <f ca="1">Tabela3[[#This Row],[Tabela 1]]*1.08</f>
        <v>143.30758885988351</v>
      </c>
      <c r="AP453" s="36">
        <f ca="1">Tabela3[[#This Row],[Tabela 2]]*1.15</f>
        <v>164.80372718886602</v>
      </c>
    </row>
    <row r="454" spans="1:42">
      <c r="A454" s="9">
        <v>45859</v>
      </c>
      <c r="B454" s="6" t="s">
        <v>124</v>
      </c>
      <c r="C454" s="14">
        <v>7190</v>
      </c>
      <c r="D454" s="6" t="s">
        <v>44</v>
      </c>
      <c r="E454" s="6" t="s">
        <v>47</v>
      </c>
      <c r="F454" s="6">
        <v>15</v>
      </c>
      <c r="G454" s="15">
        <v>5.9722222222222225E-2</v>
      </c>
      <c r="H454" s="16">
        <v>0</v>
      </c>
      <c r="I454" s="35">
        <f ca="1">IFERROR(Tabela3[[#This Row],[Custo Total]]/Tabela3[[#This Row],[Aluminio Util]],0)</f>
        <v>23.312649434588362</v>
      </c>
      <c r="J454" s="35">
        <f ca="1">Tabela3[[#This Row],[Custo Total]]/Tabela3[[#This Row],[Realizado]]</f>
        <v>39.398377544454327</v>
      </c>
      <c r="K454" s="37">
        <f>IFERROR(Tabela3[[#This Row],[Qtde Cx Produzida]]/Tabela3[[#This Row],[Tempo]]/24,0)</f>
        <v>10.465116279069766</v>
      </c>
      <c r="L454" s="37">
        <f>Tabela3[[#This Row],[Qtde Cx Produzida]]*Tabela3[[#This Row],[Qdt Peça Placa]]</f>
        <v>15</v>
      </c>
      <c r="M454" s="37">
        <f>Tabela3[[#This Row],[Previsto]]-Tabela3[[#This Row],[Perda Pçs]]</f>
        <v>15</v>
      </c>
      <c r="N454" s="38">
        <f>IFERROR(Tabela3[[#This Row],[Perda Pçs]]/Tabela3[[#This Row],[Previsto]],0)</f>
        <v>0</v>
      </c>
      <c r="O454" s="39">
        <f>IFERROR(IF(Tabela3[[#This Row],[Qtde Cx Produzida]] &lt;&gt; 0, Tabela3[[#This Row],[Tempo]] / Tabela3[[#This Row],[Qtde Cx Produzida]], 0),0)</f>
        <v>3.9814814814814817E-3</v>
      </c>
      <c r="P454" s="57">
        <f>IFERROR(Tabela3[[#This Row],[Perda Pçs]]/Tabela3[[#This Row],[Qdt Peça Placa]],0)</f>
        <v>0</v>
      </c>
      <c r="Q454" s="37">
        <f>IFERROR(Tabela3[[#This Row],[Realizado]]*Tabela3[[#This Row],[Peso Util/Pç]],0)</f>
        <v>25.349999999999998</v>
      </c>
      <c r="R454" s="37">
        <f>IFERROR(Tabela3[[#This Row],[Peso Total Galho]]*Tabela3[[#This Row],[Qtde Cx Produzida]]*1.055,0)</f>
        <v>47.316749999999999</v>
      </c>
      <c r="S454" s="37">
        <f>(Tabela3[[#This Row],[Aluminio Bruto]]-Tabela3[[#This Row],[Aluminio Util]])*0.9</f>
        <v>19.770075000000002</v>
      </c>
      <c r="T454" s="37">
        <f>Tabela3[[#This Row],[Aluminio Bruto]]/OleoKGAluminio</f>
        <v>19.906095545030031</v>
      </c>
      <c r="U454" s="35">
        <f>IFERROR((VLOOKUP(Tabela3[[#This Row],[Moldador]],Tabela1[],5,)+(VLOOKUP(Tabela3[[#This Row],[Ajudante]],Tabela1[],5,))*3.5),0)</f>
        <v>99.95034583333333</v>
      </c>
      <c r="V454" s="35">
        <f>IFERROR(Tabela3[[#This Row],[Custo M.O. / H]]/((Tabela3[[#This Row],[Realizado]]/Tabela3[[#This Row],[Qdt Peça Placa]])/Tabela3[[#This Row],[Tempo]]/24),)</f>
        <v>9.550810824074075</v>
      </c>
      <c r="W454" s="35">
        <f>Tabela3[[#This Row],[Custo / Cx Moldada]]*Tabela3[[#This Row],[Qtde Cx Produzida]]</f>
        <v>143.26216236111114</v>
      </c>
      <c r="X454" s="35">
        <f ca="1">Tabela3[[#This Row],[Aluminio Util]]*Tabela3[[#This Row],[Custo/Kg]]</f>
        <v>395.46</v>
      </c>
      <c r="Y454" s="35">
        <f>IFERROR(VLOOKUP(Tabela3[[#This Row],[Data]],Tabela461213[],2,1)*(Tabela3[[#This Row],[Qtde Cx Produzida]]*Tabela3[[#This Row],[Qde macho / CX]]*Tabela3[[#This Row],[Peso Macho]]),)</f>
        <v>0</v>
      </c>
      <c r="Z454" s="35">
        <f>IFERROR(Tabela3[[#This Row],[Qtde Oleo]]*(VLOOKUP(Tabela3[[#This Row],[Data]],CompraOleo[],3,TRUE))*1.05,0)</f>
        <v>52.25350080570383</v>
      </c>
      <c r="AA454" s="47">
        <f ca="1">(Tabela3[[#This Row],[Custo Oleo]]+Tabela3[[#This Row],[Custo Aluminio]]+Tabela3[[#This Row],[Custo M.O. Total]]+Tabela3[[#This Row],[Custo Machos]])</f>
        <v>590.97566316681491</v>
      </c>
      <c r="AB454" s="47">
        <f ca="1">Tabela3[[#This Row],[Custo Total]]*Tabela3[[#This Row],[% Perda]]</f>
        <v>0</v>
      </c>
      <c r="AC454" s="48">
        <f>IFERROR(VLOOKUP(Tabela3[[#This Row],[Produto]],Tabela2[],2,0),0)</f>
        <v>1</v>
      </c>
      <c r="AD454" s="48">
        <f>IFERROR(VLOOKUP(Tabela3[[#This Row],[Produto]],Tabela2[],3,0),0)</f>
        <v>1.69</v>
      </c>
      <c r="AE454" s="48">
        <f>IFERROR(VLOOKUP(Tabela3[[#This Row],[Produto]],Tabela2[],4,0),0)</f>
        <v>2.99</v>
      </c>
      <c r="AF454" s="48">
        <f>IFERROR(VLOOKUP(Tabela3[[#This Row],[Produto]],Tabela2[],5,0),0)</f>
        <v>1.1700000000000004</v>
      </c>
      <c r="AG454" s="40">
        <f>IFERROR(VLOOKUP(Tabela3[[#This Row],[Produto]],Tabela2[],6,0),0)</f>
        <v>0</v>
      </c>
      <c r="AH454" s="40">
        <f>IFERROR(VLOOKUP(Tabela3[[#This Row],[Produto]],Tabela2[],7,0),0)</f>
        <v>0</v>
      </c>
      <c r="AI454" s="40">
        <f>IFERROR(VLOOKUP(Tabela3[[#This Row],[Produto]],Tabela2[],8,0),0)</f>
        <v>0</v>
      </c>
      <c r="AJ454" s="35">
        <f ca="1">IFERROR(VLOOKUP(Tabela3[[#This Row],[Produto]],Tabela2[],13,0),0)</f>
        <v>15.600000000000001</v>
      </c>
      <c r="AK454" s="40" t="str">
        <f>IFERROR(VLOOKUP(Tabela3[[#This Row],[Produto]],Tabela2[],14,0),0)</f>
        <v>Jumil</v>
      </c>
      <c r="AL454" s="40">
        <f>IFERROR(VLOOKUP(Tabela3[[#This Row],[Produto]],Tabela2[],15,0),0)</f>
        <v>8</v>
      </c>
      <c r="AM454" s="36">
        <f ca="1">(Tabela3[[#This Row],[Custo Usinagem]]+Tabela3[[#This Row],[Custo / Pç]])*1.2</f>
        <v>56.878053053345191</v>
      </c>
      <c r="AN454" s="36">
        <f ca="1">Tabela3[[#This Row],[Valor Mínimo Venda]]*1.15</f>
        <v>65.409761011346959</v>
      </c>
      <c r="AO454" s="36">
        <f ca="1">Tabela3[[#This Row],[Tabela 1]]*1.08</f>
        <v>70.642541892254727</v>
      </c>
      <c r="AP454" s="36">
        <f ca="1">Tabela3[[#This Row],[Tabela 2]]*1.15</f>
        <v>81.238923176092925</v>
      </c>
    </row>
    <row r="455" spans="1:42">
      <c r="A455" s="9">
        <v>45860</v>
      </c>
      <c r="B455" s="6" t="s">
        <v>238</v>
      </c>
      <c r="C455" s="14">
        <v>7226</v>
      </c>
      <c r="D455" s="6" t="s">
        <v>46</v>
      </c>
      <c r="E455" s="6" t="s">
        <v>53</v>
      </c>
      <c r="F455" s="6">
        <v>2</v>
      </c>
      <c r="G455" s="15">
        <v>1.0416666666666666E-2</v>
      </c>
      <c r="H455" s="16">
        <v>0</v>
      </c>
      <c r="I455" s="35">
        <f ca="1">IFERROR(Tabela3[[#This Row],[Custo Total]]/Tabela3[[#This Row],[Aluminio Util]],0)</f>
        <v>22.649492135182218</v>
      </c>
      <c r="J455" s="35">
        <f ca="1">Tabela3[[#This Row],[Custo Total]]/Tabela3[[#This Row],[Realizado]]</f>
        <v>8.3123636136118737</v>
      </c>
      <c r="K455" s="37">
        <f>IFERROR(Tabela3[[#This Row],[Qtde Cx Produzida]]/Tabela3[[#This Row],[Tempo]]/24,0)</f>
        <v>8</v>
      </c>
      <c r="L455" s="37">
        <f>Tabela3[[#This Row],[Qtde Cx Produzida]]*Tabela3[[#This Row],[Qdt Peça Placa]]</f>
        <v>12</v>
      </c>
      <c r="M455" s="37">
        <f>Tabela3[[#This Row],[Previsto]]-Tabela3[[#This Row],[Perda Pçs]]</f>
        <v>12</v>
      </c>
      <c r="N455" s="38">
        <f>IFERROR(Tabela3[[#This Row],[Perda Pçs]]/Tabela3[[#This Row],[Previsto]],0)</f>
        <v>0</v>
      </c>
      <c r="O455" s="39">
        <f>IFERROR(IF(Tabela3[[#This Row],[Qtde Cx Produzida]] &lt;&gt; 0, Tabela3[[#This Row],[Tempo]] / Tabela3[[#This Row],[Qtde Cx Produzida]], 0),0)</f>
        <v>5.208333333333333E-3</v>
      </c>
      <c r="P455" s="57">
        <f>IFERROR(Tabela3[[#This Row],[Perda Pçs]]/Tabela3[[#This Row],[Qdt Peça Placa]],0)</f>
        <v>0</v>
      </c>
      <c r="Q455" s="37">
        <f>IFERROR(Tabela3[[#This Row],[Realizado]]*Tabela3[[#This Row],[Peso Util/Pç]],0)</f>
        <v>4.4039999999999999</v>
      </c>
      <c r="R455" s="37">
        <f>IFERROR(Tabela3[[#This Row],[Peso Total Galho]]*Tabela3[[#This Row],[Qtde Cx Produzida]]*1.055,0)</f>
        <v>5.4859999999999998</v>
      </c>
      <c r="S455" s="37">
        <f>(Tabela3[[#This Row],[Aluminio Bruto]]-Tabela3[[#This Row],[Aluminio Util]])*0.9</f>
        <v>0.97379999999999989</v>
      </c>
      <c r="T455" s="37">
        <f>Tabela3[[#This Row],[Aluminio Bruto]]/OleoKGAluminio</f>
        <v>2.3079531066701486</v>
      </c>
      <c r="U455" s="35">
        <f>IFERROR((VLOOKUP(Tabela3[[#This Row],[Moldador]],Tabela1[],5,)+(VLOOKUP(Tabela3[[#This Row],[Ajudante]],Tabela1[],5,))*3.5),0)</f>
        <v>99.95034583333333</v>
      </c>
      <c r="V455" s="35">
        <f>IFERROR(Tabela3[[#This Row],[Custo M.O. / H]]/((Tabela3[[#This Row],[Realizado]]/Tabela3[[#This Row],[Qdt Peça Placa]])/Tabela3[[#This Row],[Tempo]]/24),)</f>
        <v>12.493793229166666</v>
      </c>
      <c r="W455" s="35">
        <f>Tabela3[[#This Row],[Custo / Cx Moldada]]*Tabela3[[#This Row],[Qtde Cx Produzida]]</f>
        <v>24.987586458333332</v>
      </c>
      <c r="X455" s="35">
        <f ca="1">Tabela3[[#This Row],[Aluminio Util]]*Tabela3[[#This Row],[Custo/Kg]]</f>
        <v>68.702400000000011</v>
      </c>
      <c r="Y455" s="35">
        <f>IFERROR(VLOOKUP(Tabela3[[#This Row],[Data]],Tabela461213[],2,1)*(Tabela3[[#This Row],[Qtde Cx Produzida]]*Tabela3[[#This Row],[Qde macho / CX]]*Tabela3[[#This Row],[Peso Macho]]),)</f>
        <v>0</v>
      </c>
      <c r="Z455" s="35">
        <f>IFERROR(Tabela3[[#This Row],[Qtde Oleo]]*(VLOOKUP(Tabela3[[#This Row],[Data]],CompraOleo[],3,TRUE))*1.05,0)</f>
        <v>6.0583769050091396</v>
      </c>
      <c r="AA455" s="47">
        <f ca="1">(Tabela3[[#This Row],[Custo Oleo]]+Tabela3[[#This Row],[Custo Aluminio]]+Tabela3[[#This Row],[Custo M.O. Total]]+Tabela3[[#This Row],[Custo Machos]])</f>
        <v>99.748363363342492</v>
      </c>
      <c r="AB455" s="47">
        <f ca="1">Tabela3[[#This Row],[Custo Total]]*Tabela3[[#This Row],[% Perda]]</f>
        <v>0</v>
      </c>
      <c r="AC455" s="48">
        <f>IFERROR(VLOOKUP(Tabela3[[#This Row],[Produto]],Tabela2[],2,0),0)</f>
        <v>6</v>
      </c>
      <c r="AD455" s="48">
        <f>IFERROR(VLOOKUP(Tabela3[[#This Row],[Produto]],Tabela2[],3,0),0)</f>
        <v>0.36699999999999999</v>
      </c>
      <c r="AE455" s="48">
        <f>IFERROR(VLOOKUP(Tabela3[[#This Row],[Produto]],Tabela2[],4,0),0)</f>
        <v>2.6</v>
      </c>
      <c r="AF455" s="48">
        <f>IFERROR(VLOOKUP(Tabela3[[#This Row],[Produto]],Tabela2[],5,0),0)</f>
        <v>0.35820000000000013</v>
      </c>
      <c r="AG455" s="40">
        <f>IFERROR(VLOOKUP(Tabela3[[#This Row],[Produto]],Tabela2[],6,0),0)</f>
        <v>0</v>
      </c>
      <c r="AH455" s="40">
        <f>IFERROR(VLOOKUP(Tabela3[[#This Row],[Produto]],Tabela2[],7,0),0)</f>
        <v>0</v>
      </c>
      <c r="AI455" s="40">
        <f>IFERROR(VLOOKUP(Tabela3[[#This Row],[Produto]],Tabela2[],8,0),0)</f>
        <v>0</v>
      </c>
      <c r="AJ455" s="35">
        <f ca="1">IFERROR(VLOOKUP(Tabela3[[#This Row],[Produto]],Tabela2[],13,0),0)</f>
        <v>15.600000000000001</v>
      </c>
      <c r="AK455" s="40" t="str">
        <f>IFERROR(VLOOKUP(Tabela3[[#This Row],[Produto]],Tabela2[],14,0),0)</f>
        <v>Senun</v>
      </c>
      <c r="AL455" s="40">
        <f>IFERROR(VLOOKUP(Tabela3[[#This Row],[Produto]],Tabela2[],15,0),0)</f>
        <v>4</v>
      </c>
      <c r="AM455" s="36">
        <f ca="1">(Tabela3[[#This Row],[Custo Usinagem]]+Tabela3[[#This Row],[Custo / Pç]])*1.2</f>
        <v>14.774836336334248</v>
      </c>
      <c r="AN455" s="36">
        <f ca="1">Tabela3[[#This Row],[Valor Mínimo Venda]]*1.15</f>
        <v>16.991061786784385</v>
      </c>
      <c r="AO455" s="36">
        <f ca="1">Tabela3[[#This Row],[Tabela 1]]*1.08</f>
        <v>18.350346729727136</v>
      </c>
      <c r="AP455" s="36">
        <f ca="1">Tabela3[[#This Row],[Tabela 2]]*1.15</f>
        <v>21.102898739186205</v>
      </c>
    </row>
    <row r="456" spans="1:42">
      <c r="A456" s="9">
        <v>45860</v>
      </c>
      <c r="B456" s="6" t="s">
        <v>129</v>
      </c>
      <c r="C456" s="14">
        <v>7277</v>
      </c>
      <c r="D456" s="6" t="s">
        <v>46</v>
      </c>
      <c r="E456" s="6" t="s">
        <v>53</v>
      </c>
      <c r="F456" s="6">
        <v>15</v>
      </c>
      <c r="G456" s="15">
        <v>0.1076388888888889</v>
      </c>
      <c r="H456" s="16">
        <v>3</v>
      </c>
      <c r="I456" s="35">
        <f ca="1">IFERROR(Tabela3[[#This Row],[Custo Total]]/Tabela3[[#This Row],[Aluminio Util]],0)</f>
        <v>36.450130820564574</v>
      </c>
      <c r="J456" s="35">
        <f ca="1">Tabela3[[#This Row],[Custo Total]]/Tabela3[[#This Row],[Realizado]]</f>
        <v>59.049211929314616</v>
      </c>
      <c r="K456" s="37">
        <f>IFERROR(Tabela3[[#This Row],[Qtde Cx Produzida]]/Tabela3[[#This Row],[Tempo]]/24,0)</f>
        <v>5.8064516129032251</v>
      </c>
      <c r="L456" s="37">
        <f>Tabela3[[#This Row],[Qtde Cx Produzida]]*Tabela3[[#This Row],[Qdt Peça Placa]]</f>
        <v>15</v>
      </c>
      <c r="M456" s="37">
        <f>Tabela3[[#This Row],[Previsto]]-Tabela3[[#This Row],[Perda Pçs]]</f>
        <v>12</v>
      </c>
      <c r="N456" s="38">
        <f>IFERROR(Tabela3[[#This Row],[Perda Pçs]]/Tabela3[[#This Row],[Previsto]],0)</f>
        <v>0.2</v>
      </c>
      <c r="O456" s="39">
        <f>IFERROR(IF(Tabela3[[#This Row],[Qtde Cx Produzida]] &lt;&gt; 0, Tabela3[[#This Row],[Tempo]] / Tabela3[[#This Row],[Qtde Cx Produzida]], 0),0)</f>
        <v>7.1759259259259267E-3</v>
      </c>
      <c r="P456" s="57">
        <f>IFERROR(Tabela3[[#This Row],[Perda Pçs]]/Tabela3[[#This Row],[Qdt Peça Placa]],0)</f>
        <v>3</v>
      </c>
      <c r="Q456" s="37">
        <f>IFERROR(Tabela3[[#This Row],[Realizado]]*Tabela3[[#This Row],[Peso Util/Pç]],0)</f>
        <v>19.440000000000001</v>
      </c>
      <c r="R456" s="37">
        <f>IFERROR(Tabela3[[#This Row],[Peso Total Galho]]*Tabela3[[#This Row],[Qtde Cx Produzida]]*1.055,0)</f>
        <v>39.5625</v>
      </c>
      <c r="S456" s="37">
        <f>(Tabela3[[#This Row],[Aluminio Bruto]]-Tabela3[[#This Row],[Aluminio Util]])*0.9</f>
        <v>18.110250000000001</v>
      </c>
      <c r="T456" s="37">
        <f>Tabela3[[#This Row],[Aluminio Bruto]]/OleoKGAluminio</f>
        <v>16.643892596178954</v>
      </c>
      <c r="U456" s="35">
        <f>IFERROR((VLOOKUP(Tabela3[[#This Row],[Moldador]],Tabela1[],5,)+(VLOOKUP(Tabela3[[#This Row],[Ajudante]],Tabela1[],5,))*3.5),0)</f>
        <v>99.95034583333333</v>
      </c>
      <c r="V456" s="35">
        <f>IFERROR(Tabela3[[#This Row],[Custo M.O. / H]]/((Tabela3[[#This Row],[Realizado]]/Tabela3[[#This Row],[Qdt Peça Placa]])/Tabela3[[#This Row],[Tempo]]/24),)</f>
        <v>21.517088339120367</v>
      </c>
      <c r="W456" s="35">
        <f>Tabela3[[#This Row],[Custo / Cx Moldada]]*Tabela3[[#This Row],[Qtde Cx Produzida]]</f>
        <v>322.75632508680548</v>
      </c>
      <c r="X456" s="35">
        <f ca="1">Tabela3[[#This Row],[Aluminio Util]]*Tabela3[[#This Row],[Custo/Kg]]</f>
        <v>342.14400000000006</v>
      </c>
      <c r="Y456" s="35">
        <f>IFERROR(VLOOKUP(Tabela3[[#This Row],[Data]],Tabela461213[],2,1)*(Tabela3[[#This Row],[Qtde Cx Produzida]]*Tabela3[[#This Row],[Qde macho / CX]]*Tabela3[[#This Row],[Peso Macho]]),)</f>
        <v>0</v>
      </c>
      <c r="Z456" s="35">
        <f>IFERROR(Tabela3[[#This Row],[Qtde Oleo]]*(VLOOKUP(Tabela3[[#This Row],[Data]],CompraOleo[],3,TRUE))*1.05,0)</f>
        <v>43.690218064969756</v>
      </c>
      <c r="AA456" s="47">
        <f ca="1">(Tabela3[[#This Row],[Custo Oleo]]+Tabela3[[#This Row],[Custo Aluminio]]+Tabela3[[#This Row],[Custo M.O. Total]]+Tabela3[[#This Row],[Custo Machos]])</f>
        <v>708.59054315177536</v>
      </c>
      <c r="AB456" s="47">
        <f ca="1">Tabela3[[#This Row],[Custo Total]]*Tabela3[[#This Row],[% Perda]]</f>
        <v>141.71810863035509</v>
      </c>
      <c r="AC456" s="48">
        <f>IFERROR(VLOOKUP(Tabela3[[#This Row],[Produto]],Tabela2[],2,0),0)</f>
        <v>1</v>
      </c>
      <c r="AD456" s="48">
        <f>IFERROR(VLOOKUP(Tabela3[[#This Row],[Produto]],Tabela2[],3,0),0)</f>
        <v>1.62</v>
      </c>
      <c r="AE456" s="48">
        <f>IFERROR(VLOOKUP(Tabela3[[#This Row],[Produto]],Tabela2[],4,0),0)</f>
        <v>2.5</v>
      </c>
      <c r="AF456" s="48">
        <f>IFERROR(VLOOKUP(Tabela3[[#This Row],[Produto]],Tabela2[],5,0),0)</f>
        <v>0.79199999999999993</v>
      </c>
      <c r="AG456" s="40">
        <f>IFERROR(VLOOKUP(Tabela3[[#This Row],[Produto]],Tabela2[],6,0),0)</f>
        <v>0</v>
      </c>
      <c r="AH456" s="40">
        <f>IFERROR(VLOOKUP(Tabela3[[#This Row],[Produto]],Tabela2[],7,0),0)</f>
        <v>0</v>
      </c>
      <c r="AI456" s="40">
        <f>IFERROR(VLOOKUP(Tabela3[[#This Row],[Produto]],Tabela2[],8,0),0)</f>
        <v>0</v>
      </c>
      <c r="AJ456" s="35">
        <f ca="1">IFERROR(VLOOKUP(Tabela3[[#This Row],[Produto]],Tabela2[],13,0),0)</f>
        <v>17.600000000000001</v>
      </c>
      <c r="AK456" s="40" t="str">
        <f>IFERROR(VLOOKUP(Tabela3[[#This Row],[Produto]],Tabela2[],14,0),0)</f>
        <v>Jumil</v>
      </c>
      <c r="AL456" s="40">
        <f>IFERROR(VLOOKUP(Tabela3[[#This Row],[Produto]],Tabela2[],15,0),0)</f>
        <v>80</v>
      </c>
      <c r="AM456" s="36">
        <f ca="1">(Tabela3[[#This Row],[Custo Usinagem]]+Tabela3[[#This Row],[Custo / Pç]])*1.2</f>
        <v>166.85905431517753</v>
      </c>
      <c r="AN456" s="36">
        <f ca="1">Tabela3[[#This Row],[Valor Mínimo Venda]]*1.15</f>
        <v>191.88791246245415</v>
      </c>
      <c r="AO456" s="36">
        <f ca="1">Tabela3[[#This Row],[Tabela 1]]*1.08</f>
        <v>207.23894545945049</v>
      </c>
      <c r="AP456" s="36">
        <f ca="1">Tabela3[[#This Row],[Tabela 2]]*1.15</f>
        <v>238.32478727836804</v>
      </c>
    </row>
    <row r="457" spans="1:42">
      <c r="A457" s="9">
        <v>45860</v>
      </c>
      <c r="B457" s="6" t="s">
        <v>265</v>
      </c>
      <c r="C457" s="14">
        <v>7278</v>
      </c>
      <c r="D457" s="6" t="s">
        <v>46</v>
      </c>
      <c r="E457" s="6" t="s">
        <v>53</v>
      </c>
      <c r="F457" s="6">
        <v>15</v>
      </c>
      <c r="G457" s="15">
        <v>9.6527777777777782E-2</v>
      </c>
      <c r="H457" s="16">
        <v>0</v>
      </c>
      <c r="I457" s="35">
        <f ca="1">IFERROR(Tabela3[[#This Row],[Custo Total]]/Tabela3[[#This Row],[Aluminio Util]],0)</f>
        <v>28.530865491139458</v>
      </c>
      <c r="J457" s="35">
        <f ca="1">Tabela3[[#This Row],[Custo Total]]/Tabela3[[#This Row],[Realizado]]</f>
        <v>48.502471334937084</v>
      </c>
      <c r="K457" s="37">
        <f>IFERROR(Tabela3[[#This Row],[Qtde Cx Produzida]]/Tabela3[[#This Row],[Tempo]]/24,0)</f>
        <v>6.4748201438848918</v>
      </c>
      <c r="L457" s="37">
        <f>Tabela3[[#This Row],[Qtde Cx Produzida]]*Tabela3[[#This Row],[Qdt Peça Placa]]</f>
        <v>15</v>
      </c>
      <c r="M457" s="37">
        <f>Tabela3[[#This Row],[Previsto]]-Tabela3[[#This Row],[Perda Pçs]]</f>
        <v>15</v>
      </c>
      <c r="N457" s="38">
        <f>IFERROR(Tabela3[[#This Row],[Perda Pçs]]/Tabela3[[#This Row],[Previsto]],0)</f>
        <v>0</v>
      </c>
      <c r="O457" s="39">
        <f>IFERROR(IF(Tabela3[[#This Row],[Qtde Cx Produzida]] &lt;&gt; 0, Tabela3[[#This Row],[Tempo]] / Tabela3[[#This Row],[Qtde Cx Produzida]], 0),0)</f>
        <v>6.4351851851851853E-3</v>
      </c>
      <c r="P457" s="57">
        <f>IFERROR(Tabela3[[#This Row],[Perda Pçs]]/Tabela3[[#This Row],[Qdt Peça Placa]],0)</f>
        <v>0</v>
      </c>
      <c r="Q457" s="37">
        <f>IFERROR(Tabela3[[#This Row],[Realizado]]*Tabela3[[#This Row],[Peso Util/Pç]],0)</f>
        <v>25.5</v>
      </c>
      <c r="R457" s="37">
        <f>IFERROR(Tabela3[[#This Row],[Peso Total Galho]]*Tabela3[[#This Row],[Qtde Cx Produzida]]*1.055,0)</f>
        <v>42.727499999999999</v>
      </c>
      <c r="S457" s="37">
        <f>(Tabela3[[#This Row],[Aluminio Bruto]]-Tabela3[[#This Row],[Aluminio Util]])*0.9</f>
        <v>15.50475</v>
      </c>
      <c r="T457" s="37">
        <f>Tabela3[[#This Row],[Aluminio Bruto]]/OleoKGAluminio</f>
        <v>17.975404003873273</v>
      </c>
      <c r="U457" s="35">
        <f>IFERROR((VLOOKUP(Tabela3[[#This Row],[Moldador]],Tabela1[],5,)+(VLOOKUP(Tabela3[[#This Row],[Ajudante]],Tabela1[],5,))*3.5),0)</f>
        <v>99.95034583333333</v>
      </c>
      <c r="V457" s="35">
        <f>IFERROR(Tabela3[[#This Row],[Custo M.O. / H]]/((Tabela3[[#This Row],[Realizado]]/Tabela3[[#This Row],[Qdt Peça Placa]])/Tabela3[[#This Row],[Tempo]]/24),)</f>
        <v>15.436775634259259</v>
      </c>
      <c r="W457" s="35">
        <f>Tabela3[[#This Row],[Custo / Cx Moldada]]*Tabela3[[#This Row],[Qtde Cx Produzida]]</f>
        <v>231.5516345138889</v>
      </c>
      <c r="X457" s="35">
        <f ca="1">Tabela3[[#This Row],[Aluminio Util]]*Tabela3[[#This Row],[Custo/Kg]]</f>
        <v>448.8</v>
      </c>
      <c r="Y457" s="35">
        <f>IFERROR(VLOOKUP(Tabela3[[#This Row],[Data]],Tabela461213[],2,1)*(Tabela3[[#This Row],[Qtde Cx Produzida]]*Tabela3[[#This Row],[Qde macho / CX]]*Tabela3[[#This Row],[Peso Macho]]),)</f>
        <v>0</v>
      </c>
      <c r="Z457" s="35">
        <f>IFERROR(Tabela3[[#This Row],[Qtde Oleo]]*(VLOOKUP(Tabela3[[#This Row],[Data]],CompraOleo[],3,TRUE))*1.05,0)</f>
        <v>47.185435510167345</v>
      </c>
      <c r="AA457" s="47">
        <f ca="1">(Tabela3[[#This Row],[Custo Oleo]]+Tabela3[[#This Row],[Custo Aluminio]]+Tabela3[[#This Row],[Custo M.O. Total]]+Tabela3[[#This Row],[Custo Machos]])</f>
        <v>727.53707002405622</v>
      </c>
      <c r="AB457" s="47">
        <f ca="1">Tabela3[[#This Row],[Custo Total]]*Tabela3[[#This Row],[% Perda]]</f>
        <v>0</v>
      </c>
      <c r="AC457" s="48">
        <f>IFERROR(VLOOKUP(Tabela3[[#This Row],[Produto]],Tabela2[],2,0),0)</f>
        <v>1</v>
      </c>
      <c r="AD457" s="48">
        <f>IFERROR(VLOOKUP(Tabela3[[#This Row],[Produto]],Tabela2[],3,0),0)</f>
        <v>1.7</v>
      </c>
      <c r="AE457" s="48">
        <f>IFERROR(VLOOKUP(Tabela3[[#This Row],[Produto]],Tabela2[],4,0),0)</f>
        <v>2.7</v>
      </c>
      <c r="AF457" s="48">
        <f>IFERROR(VLOOKUP(Tabela3[[#This Row],[Produto]],Tabela2[],5,0),0)</f>
        <v>0.90000000000000024</v>
      </c>
      <c r="AG457" s="40">
        <f>IFERROR(VLOOKUP(Tabela3[[#This Row],[Produto]],Tabela2[],6,0),0)</f>
        <v>0</v>
      </c>
      <c r="AH457" s="40">
        <f>IFERROR(VLOOKUP(Tabela3[[#This Row],[Produto]],Tabela2[],7,0),0)</f>
        <v>0</v>
      </c>
      <c r="AI457" s="40">
        <f>IFERROR(VLOOKUP(Tabela3[[#This Row],[Produto]],Tabela2[],8,0),0)</f>
        <v>0</v>
      </c>
      <c r="AJ457" s="35">
        <f ca="1">IFERROR(VLOOKUP(Tabela3[[#This Row],[Produto]],Tabela2[],13,0),0)</f>
        <v>17.600000000000001</v>
      </c>
      <c r="AK457" s="40" t="str">
        <f>IFERROR(VLOOKUP(Tabela3[[#This Row],[Produto]],Tabela2[],14,0),0)</f>
        <v>Jumil</v>
      </c>
      <c r="AL457" s="40">
        <f>IFERROR(VLOOKUP(Tabela3[[#This Row],[Produto]],Tabela2[],15,0),0)</f>
        <v>80</v>
      </c>
      <c r="AM457" s="36">
        <f ca="1">(Tabela3[[#This Row],[Custo Usinagem]]+Tabela3[[#This Row],[Custo / Pç]])*1.2</f>
        <v>154.20296560192449</v>
      </c>
      <c r="AN457" s="36">
        <f ca="1">Tabela3[[#This Row],[Valor Mínimo Venda]]*1.15</f>
        <v>177.33341044221314</v>
      </c>
      <c r="AO457" s="36">
        <f ca="1">Tabela3[[#This Row],[Tabela 1]]*1.08</f>
        <v>191.5200832775902</v>
      </c>
      <c r="AP457" s="36">
        <f ca="1">Tabela3[[#This Row],[Tabela 2]]*1.15</f>
        <v>220.24809576922871</v>
      </c>
    </row>
    <row r="458" spans="1:42">
      <c r="A458" s="9">
        <v>45860</v>
      </c>
      <c r="B458" s="6" t="s">
        <v>97</v>
      </c>
      <c r="C458" s="14">
        <v>7330</v>
      </c>
      <c r="D458" s="6" t="s">
        <v>44</v>
      </c>
      <c r="E458" s="6" t="s">
        <v>47</v>
      </c>
      <c r="F458" s="6">
        <v>2</v>
      </c>
      <c r="G458" s="15">
        <v>1.3888888888888888E-2</v>
      </c>
      <c r="H458" s="16">
        <v>0</v>
      </c>
      <c r="I458" s="35">
        <f ca="1">IFERROR(Tabela3[[#This Row],[Custo Total]]/Tabela3[[#This Row],[Aluminio Util]],0)</f>
        <v>34.43864267544933</v>
      </c>
      <c r="J458" s="35">
        <f ca="1">Tabela3[[#This Row],[Custo Total]]/Tabela3[[#This Row],[Realizado]]</f>
        <v>37.882506942994269</v>
      </c>
      <c r="K458" s="37">
        <f>IFERROR(Tabela3[[#This Row],[Qtde Cx Produzida]]/Tabela3[[#This Row],[Tempo]]/24,0)</f>
        <v>6</v>
      </c>
      <c r="L458" s="37">
        <f>Tabela3[[#This Row],[Qtde Cx Produzida]]*Tabela3[[#This Row],[Qdt Peça Placa]]</f>
        <v>2</v>
      </c>
      <c r="M458" s="37">
        <f>Tabela3[[#This Row],[Previsto]]-Tabela3[[#This Row],[Perda Pçs]]</f>
        <v>2</v>
      </c>
      <c r="N458" s="38">
        <f>IFERROR(Tabela3[[#This Row],[Perda Pçs]]/Tabela3[[#This Row],[Previsto]],0)</f>
        <v>0</v>
      </c>
      <c r="O458" s="39">
        <f>IFERROR(IF(Tabela3[[#This Row],[Qtde Cx Produzida]] &lt;&gt; 0, Tabela3[[#This Row],[Tempo]] / Tabela3[[#This Row],[Qtde Cx Produzida]], 0),0)</f>
        <v>6.9444444444444441E-3</v>
      </c>
      <c r="P458" s="57">
        <f>IFERROR(Tabela3[[#This Row],[Perda Pçs]]/Tabela3[[#This Row],[Qdt Peça Placa]],0)</f>
        <v>0</v>
      </c>
      <c r="Q458" s="37">
        <f>IFERROR(Tabela3[[#This Row],[Realizado]]*Tabela3[[#This Row],[Peso Util/Pç]],0)</f>
        <v>2.2000000000000002</v>
      </c>
      <c r="R458" s="37">
        <f>IFERROR(Tabela3[[#This Row],[Peso Total Galho]]*Tabela3[[#This Row],[Qtde Cx Produzida]]*1.055,0)</f>
        <v>3.3759999999999999</v>
      </c>
      <c r="S458" s="37">
        <f>(Tabela3[[#This Row],[Aluminio Bruto]]-Tabela3[[#This Row],[Aluminio Util]])*0.9</f>
        <v>1.0583999999999998</v>
      </c>
      <c r="T458" s="37">
        <f>Tabela3[[#This Row],[Aluminio Bruto]]/OleoKGAluminio</f>
        <v>1.4202788348739375</v>
      </c>
      <c r="U458" s="35">
        <f>IFERROR((VLOOKUP(Tabela3[[#This Row],[Moldador]],Tabela1[],5,)+(VLOOKUP(Tabela3[[#This Row],[Ajudante]],Tabela1[],5,))*3.5),0)</f>
        <v>99.95034583333333</v>
      </c>
      <c r="V458" s="35">
        <f>IFERROR(Tabela3[[#This Row],[Custo M.O. / H]]/((Tabela3[[#This Row],[Realizado]]/Tabela3[[#This Row],[Qdt Peça Placa]])/Tabela3[[#This Row],[Tempo]]/24),)</f>
        <v>16.658390972222222</v>
      </c>
      <c r="W458" s="35">
        <f>Tabela3[[#This Row],[Custo / Cx Moldada]]*Tabela3[[#This Row],[Qtde Cx Produzida]]</f>
        <v>33.316781944444443</v>
      </c>
      <c r="X458" s="35">
        <f ca="1">Tabela3[[#This Row],[Aluminio Util]]*Tabela3[[#This Row],[Custo/Kg]]</f>
        <v>38.720000000000006</v>
      </c>
      <c r="Y458" s="35">
        <f>IFERROR(VLOOKUP(Tabela3[[#This Row],[Data]],Tabela461213[],2,1)*(Tabela3[[#This Row],[Qtde Cx Produzida]]*Tabela3[[#This Row],[Qde macho / CX]]*Tabela3[[#This Row],[Peso Macho]]),)</f>
        <v>0</v>
      </c>
      <c r="Z458" s="35">
        <f>IFERROR(Tabela3[[#This Row],[Qtde Oleo]]*(VLOOKUP(Tabela3[[#This Row],[Data]],CompraOleo[],3,TRUE))*1.05,0)</f>
        <v>3.7282319415440863</v>
      </c>
      <c r="AA458" s="47">
        <f ca="1">(Tabela3[[#This Row],[Custo Oleo]]+Tabela3[[#This Row],[Custo Aluminio]]+Tabela3[[#This Row],[Custo M.O. Total]]+Tabela3[[#This Row],[Custo Machos]])</f>
        <v>75.765013885988537</v>
      </c>
      <c r="AB458" s="47">
        <f ca="1">Tabela3[[#This Row],[Custo Total]]*Tabela3[[#This Row],[% Perda]]</f>
        <v>0</v>
      </c>
      <c r="AC458" s="48">
        <f>IFERROR(VLOOKUP(Tabela3[[#This Row],[Produto]],Tabela2[],2,0),0)</f>
        <v>1</v>
      </c>
      <c r="AD458" s="48">
        <f>IFERROR(VLOOKUP(Tabela3[[#This Row],[Produto]],Tabela2[],3,0),0)</f>
        <v>1.1000000000000001</v>
      </c>
      <c r="AE458" s="48">
        <f>IFERROR(VLOOKUP(Tabela3[[#This Row],[Produto]],Tabela2[],4,0),0)</f>
        <v>1.6</v>
      </c>
      <c r="AF458" s="48">
        <f>IFERROR(VLOOKUP(Tabela3[[#This Row],[Produto]],Tabela2[],5,0),0)</f>
        <v>0.45</v>
      </c>
      <c r="AG458" s="40">
        <f>IFERROR(VLOOKUP(Tabela3[[#This Row],[Produto]],Tabela2[],6,0),0)</f>
        <v>0</v>
      </c>
      <c r="AH458" s="40">
        <f>IFERROR(VLOOKUP(Tabela3[[#This Row],[Produto]],Tabela2[],7,0),0)</f>
        <v>0</v>
      </c>
      <c r="AI458" s="40">
        <f>IFERROR(VLOOKUP(Tabela3[[#This Row],[Produto]],Tabela2[],8,0),0)</f>
        <v>0</v>
      </c>
      <c r="AJ458" s="35">
        <f ca="1">IFERROR(VLOOKUP(Tabela3[[#This Row],[Produto]],Tabela2[],13,0),0)</f>
        <v>17.600000000000001</v>
      </c>
      <c r="AK458" s="40" t="str">
        <f>IFERROR(VLOOKUP(Tabela3[[#This Row],[Produto]],Tabela2[],14,0),0)</f>
        <v>Danilo</v>
      </c>
      <c r="AL458" s="40">
        <f>IFERROR(VLOOKUP(Tabela3[[#This Row],[Produto]],Tabela2[],15,0),0)</f>
        <v>0</v>
      </c>
      <c r="AM458" s="36">
        <f ca="1">(Tabela3[[#This Row],[Custo Usinagem]]+Tabela3[[#This Row],[Custo / Pç]])*1.2</f>
        <v>45.459008331593118</v>
      </c>
      <c r="AN458" s="36">
        <f ca="1">Tabela3[[#This Row],[Valor Mínimo Venda]]*1.15</f>
        <v>52.277859581332081</v>
      </c>
      <c r="AO458" s="36">
        <f ca="1">Tabela3[[#This Row],[Tabela 1]]*1.08</f>
        <v>56.460088347838649</v>
      </c>
      <c r="AP458" s="36">
        <f ca="1">Tabela3[[#This Row],[Tabela 2]]*1.15</f>
        <v>64.929101600014448</v>
      </c>
    </row>
    <row r="459" spans="1:42">
      <c r="A459" s="9">
        <v>45860</v>
      </c>
      <c r="B459" s="6" t="s">
        <v>124</v>
      </c>
      <c r="C459" s="14">
        <v>7190</v>
      </c>
      <c r="D459" s="6" t="s">
        <v>44</v>
      </c>
      <c r="E459" s="6" t="s">
        <v>47</v>
      </c>
      <c r="F459" s="6">
        <v>45</v>
      </c>
      <c r="G459" s="15">
        <v>0.20416666666666666</v>
      </c>
      <c r="H459" s="16">
        <v>5</v>
      </c>
      <c r="I459" s="35">
        <f ca="1">IFERROR(Tabela3[[#This Row],[Custo Total]]/Tabela3[[#This Row],[Aluminio Util]],0)</f>
        <v>26.069479050641441</v>
      </c>
      <c r="J459" s="35">
        <f ca="1">Tabela3[[#This Row],[Custo Total]]/Tabela3[[#This Row],[Realizado]]</f>
        <v>44.05741959558403</v>
      </c>
      <c r="K459" s="37">
        <f>IFERROR(Tabela3[[#This Row],[Qtde Cx Produzida]]/Tabela3[[#This Row],[Tempo]]/24,0)</f>
        <v>9.1836734693877542</v>
      </c>
      <c r="L459" s="37">
        <f>Tabela3[[#This Row],[Qtde Cx Produzida]]*Tabela3[[#This Row],[Qdt Peça Placa]]</f>
        <v>45</v>
      </c>
      <c r="M459" s="37">
        <f>Tabela3[[#This Row],[Previsto]]-Tabela3[[#This Row],[Perda Pçs]]</f>
        <v>40</v>
      </c>
      <c r="N459" s="38">
        <f>IFERROR(Tabela3[[#This Row],[Perda Pçs]]/Tabela3[[#This Row],[Previsto]],0)</f>
        <v>0.1111111111111111</v>
      </c>
      <c r="O459" s="39">
        <f>IFERROR(IF(Tabela3[[#This Row],[Qtde Cx Produzida]] &lt;&gt; 0, Tabela3[[#This Row],[Tempo]] / Tabela3[[#This Row],[Qtde Cx Produzida]], 0),0)</f>
        <v>4.5370370370370373E-3</v>
      </c>
      <c r="P459" s="57">
        <f>IFERROR(Tabela3[[#This Row],[Perda Pçs]]/Tabela3[[#This Row],[Qdt Peça Placa]],0)</f>
        <v>5</v>
      </c>
      <c r="Q459" s="37">
        <f>IFERROR(Tabela3[[#This Row],[Realizado]]*Tabela3[[#This Row],[Peso Util/Pç]],0)</f>
        <v>67.599999999999994</v>
      </c>
      <c r="R459" s="37">
        <f>IFERROR(Tabela3[[#This Row],[Peso Total Galho]]*Tabela3[[#This Row],[Qtde Cx Produzida]]*1.055,0)</f>
        <v>141.95025000000001</v>
      </c>
      <c r="S459" s="37">
        <f>(Tabela3[[#This Row],[Aluminio Bruto]]-Tabela3[[#This Row],[Aluminio Util]])*0.9</f>
        <v>66.915225000000021</v>
      </c>
      <c r="T459" s="37">
        <f>Tabela3[[#This Row],[Aluminio Bruto]]/OleoKGAluminio</f>
        <v>59.718286635090095</v>
      </c>
      <c r="U459" s="35">
        <f>IFERROR((VLOOKUP(Tabela3[[#This Row],[Moldador]],Tabela1[],5,)+(VLOOKUP(Tabela3[[#This Row],[Ajudante]],Tabela1[],5,))*3.5),0)</f>
        <v>99.95034583333333</v>
      </c>
      <c r="V459" s="35">
        <f>IFERROR(Tabela3[[#This Row],[Custo M.O. / H]]/((Tabela3[[#This Row],[Realizado]]/Tabela3[[#This Row],[Qdt Peça Placa]])/Tabela3[[#This Row],[Tempo]]/24),)</f>
        <v>12.243917364583332</v>
      </c>
      <c r="W459" s="35">
        <f>Tabela3[[#This Row],[Custo / Cx Moldada]]*Tabela3[[#This Row],[Qtde Cx Produzida]]</f>
        <v>550.97628140625</v>
      </c>
      <c r="X459" s="35">
        <f ca="1">Tabela3[[#This Row],[Aluminio Util]]*Tabela3[[#This Row],[Custo/Kg]]</f>
        <v>1054.56</v>
      </c>
      <c r="Y459" s="35">
        <f>IFERROR(VLOOKUP(Tabela3[[#This Row],[Data]],Tabela461213[],2,1)*(Tabela3[[#This Row],[Qtde Cx Produzida]]*Tabela3[[#This Row],[Qde macho / CX]]*Tabela3[[#This Row],[Peso Macho]]),)</f>
        <v>0</v>
      </c>
      <c r="Z459" s="35">
        <f>IFERROR(Tabela3[[#This Row],[Qtde Oleo]]*(VLOOKUP(Tabela3[[#This Row],[Data]],CompraOleo[],3,TRUE))*1.05,0)</f>
        <v>156.7605024171115</v>
      </c>
      <c r="AA459" s="47">
        <f ca="1">(Tabela3[[#This Row],[Custo Oleo]]+Tabela3[[#This Row],[Custo Aluminio]]+Tabela3[[#This Row],[Custo M.O. Total]]+Tabela3[[#This Row],[Custo Machos]])</f>
        <v>1762.2967838233612</v>
      </c>
      <c r="AB459" s="47">
        <f ca="1">Tabela3[[#This Row],[Custo Total]]*Tabela3[[#This Row],[% Perda]]</f>
        <v>195.81075375815124</v>
      </c>
      <c r="AC459" s="48">
        <f>IFERROR(VLOOKUP(Tabela3[[#This Row],[Produto]],Tabela2[],2,0),0)</f>
        <v>1</v>
      </c>
      <c r="AD459" s="48">
        <f>IFERROR(VLOOKUP(Tabela3[[#This Row],[Produto]],Tabela2[],3,0),0)</f>
        <v>1.69</v>
      </c>
      <c r="AE459" s="48">
        <f>IFERROR(VLOOKUP(Tabela3[[#This Row],[Produto]],Tabela2[],4,0),0)</f>
        <v>2.99</v>
      </c>
      <c r="AF459" s="48">
        <f>IFERROR(VLOOKUP(Tabela3[[#This Row],[Produto]],Tabela2[],5,0),0)</f>
        <v>1.1700000000000004</v>
      </c>
      <c r="AG459" s="40">
        <f>IFERROR(VLOOKUP(Tabela3[[#This Row],[Produto]],Tabela2[],6,0),0)</f>
        <v>0</v>
      </c>
      <c r="AH459" s="40">
        <f>IFERROR(VLOOKUP(Tabela3[[#This Row],[Produto]],Tabela2[],7,0),0)</f>
        <v>0</v>
      </c>
      <c r="AI459" s="40">
        <f>IFERROR(VLOOKUP(Tabela3[[#This Row],[Produto]],Tabela2[],8,0),0)</f>
        <v>0</v>
      </c>
      <c r="AJ459" s="35">
        <f ca="1">IFERROR(VLOOKUP(Tabela3[[#This Row],[Produto]],Tabela2[],13,0),0)</f>
        <v>15.600000000000001</v>
      </c>
      <c r="AK459" s="40" t="str">
        <f>IFERROR(VLOOKUP(Tabela3[[#This Row],[Produto]],Tabela2[],14,0),0)</f>
        <v>Jumil</v>
      </c>
      <c r="AL459" s="40">
        <f>IFERROR(VLOOKUP(Tabela3[[#This Row],[Produto]],Tabela2[],15,0),0)</f>
        <v>8</v>
      </c>
      <c r="AM459" s="36">
        <f ca="1">(Tabela3[[#This Row],[Custo Usinagem]]+Tabela3[[#This Row],[Custo / Pç]])*1.2</f>
        <v>62.468903514700834</v>
      </c>
      <c r="AN459" s="36">
        <f ca="1">Tabela3[[#This Row],[Valor Mínimo Venda]]*1.15</f>
        <v>71.839239041905955</v>
      </c>
      <c r="AO459" s="36">
        <f ca="1">Tabela3[[#This Row],[Tabela 1]]*1.08</f>
        <v>77.586378165258438</v>
      </c>
      <c r="AP459" s="36">
        <f ca="1">Tabela3[[#This Row],[Tabela 2]]*1.15</f>
        <v>89.224334890047203</v>
      </c>
    </row>
    <row r="460" spans="1:42">
      <c r="A460" s="9">
        <v>45860</v>
      </c>
      <c r="B460" s="6" t="s">
        <v>208</v>
      </c>
      <c r="C460" s="14">
        <v>7308</v>
      </c>
      <c r="D460" s="6" t="s">
        <v>44</v>
      </c>
      <c r="E460" s="6" t="s">
        <v>47</v>
      </c>
      <c r="F460" s="6">
        <v>2</v>
      </c>
      <c r="G460" s="15">
        <v>5.0694444444444445E-2</v>
      </c>
      <c r="H460" s="16">
        <v>0</v>
      </c>
      <c r="I460" s="35">
        <f ca="1">IFERROR(Tabela3[[#This Row],[Custo Total]]/Tabela3[[#This Row],[Aluminio Util]],0)</f>
        <v>23.19385290713063</v>
      </c>
      <c r="J460" s="35">
        <f ca="1">Tabela3[[#This Row],[Custo Total]]/Tabela3[[#This Row],[Realizado]]</f>
        <v>328.1930186358984</v>
      </c>
      <c r="K460" s="37">
        <f>IFERROR(Tabela3[[#This Row],[Qtde Cx Produzida]]/Tabela3[[#This Row],[Tempo]]/24,0)</f>
        <v>1.6438356164383563</v>
      </c>
      <c r="L460" s="37">
        <f>Tabela3[[#This Row],[Qtde Cx Produzida]]*Tabela3[[#This Row],[Qdt Peça Placa]]</f>
        <v>2</v>
      </c>
      <c r="M460" s="37">
        <f>Tabela3[[#This Row],[Previsto]]-Tabela3[[#This Row],[Perda Pçs]]</f>
        <v>2</v>
      </c>
      <c r="N460" s="38">
        <f>IFERROR(Tabela3[[#This Row],[Perda Pçs]]/Tabela3[[#This Row],[Previsto]],0)</f>
        <v>0</v>
      </c>
      <c r="O460" s="39">
        <f>IFERROR(IF(Tabela3[[#This Row],[Qtde Cx Produzida]] &lt;&gt; 0, Tabela3[[#This Row],[Tempo]] / Tabela3[[#This Row],[Qtde Cx Produzida]], 0),0)</f>
        <v>2.5347222222222222E-2</v>
      </c>
      <c r="P460" s="57">
        <f>IFERROR(Tabela3[[#This Row],[Perda Pçs]]/Tabela3[[#This Row],[Qdt Peça Placa]],0)</f>
        <v>0</v>
      </c>
      <c r="Q460" s="37">
        <f>IFERROR(Tabela3[[#This Row],[Realizado]]*Tabela3[[#This Row],[Peso Util/Pç]],0)</f>
        <v>28.3</v>
      </c>
      <c r="R460" s="37">
        <f>IFERROR(Tabela3[[#This Row],[Peso Total Galho]]*Tabela3[[#This Row],[Qtde Cx Produzida]]*1.055,0)</f>
        <v>33.232499999999995</v>
      </c>
      <c r="S460" s="37">
        <f>(Tabela3[[#This Row],[Aluminio Bruto]]-Tabela3[[#This Row],[Aluminio Util]])*0.9</f>
        <v>4.439249999999995</v>
      </c>
      <c r="T460" s="37">
        <f>Tabela3[[#This Row],[Aluminio Bruto]]/OleoKGAluminio</f>
        <v>13.98086978079032</v>
      </c>
      <c r="U460" s="35">
        <f>IFERROR((VLOOKUP(Tabela3[[#This Row],[Moldador]],Tabela1[],5,)+(VLOOKUP(Tabela3[[#This Row],[Ajudante]],Tabela1[],5,))*3.5),0)</f>
        <v>99.95034583333333</v>
      </c>
      <c r="V460" s="35">
        <f>IFERROR(Tabela3[[#This Row],[Custo M.O. / H]]/((Tabela3[[#This Row],[Realizado]]/Tabela3[[#This Row],[Qdt Peça Placa]])/Tabela3[[#This Row],[Tempo]]/24),)</f>
        <v>60.803127048611103</v>
      </c>
      <c r="W460" s="35">
        <f>Tabela3[[#This Row],[Custo / Cx Moldada]]*Tabela3[[#This Row],[Qtde Cx Produzida]]</f>
        <v>121.60625409722221</v>
      </c>
      <c r="X460" s="35">
        <f ca="1">Tabela3[[#This Row],[Aluminio Util]]*Tabela3[[#This Row],[Custo/Kg]]</f>
        <v>498.08000000000004</v>
      </c>
      <c r="Y460" s="35">
        <f>IFERROR(VLOOKUP(Tabela3[[#This Row],[Data]],Tabela461213[],2,1)*(Tabela3[[#This Row],[Qtde Cx Produzida]]*Tabela3[[#This Row],[Qde macho / CX]]*Tabela3[[#This Row],[Peso Macho]]),)</f>
        <v>0</v>
      </c>
      <c r="Z460" s="35">
        <f>IFERROR(Tabela3[[#This Row],[Qtde Oleo]]*(VLOOKUP(Tabela3[[#This Row],[Data]],CompraOleo[],3,TRUE))*1.05,0)</f>
        <v>36.699783174574591</v>
      </c>
      <c r="AA460" s="47">
        <f ca="1">(Tabela3[[#This Row],[Custo Oleo]]+Tabela3[[#This Row],[Custo Aluminio]]+Tabela3[[#This Row],[Custo M.O. Total]]+Tabela3[[#This Row],[Custo Machos]])</f>
        <v>656.38603727179679</v>
      </c>
      <c r="AB460" s="47">
        <f ca="1">Tabela3[[#This Row],[Custo Total]]*Tabela3[[#This Row],[% Perda]]</f>
        <v>0</v>
      </c>
      <c r="AC460" s="48">
        <f>IFERROR(VLOOKUP(Tabela3[[#This Row],[Produto]],Tabela2[],2,0),0)</f>
        <v>1</v>
      </c>
      <c r="AD460" s="48">
        <f>IFERROR(VLOOKUP(Tabela3[[#This Row],[Produto]],Tabela2[],3,0),0)</f>
        <v>14.15</v>
      </c>
      <c r="AE460" s="48">
        <f>IFERROR(VLOOKUP(Tabela3[[#This Row],[Produto]],Tabela2[],4,0),0)</f>
        <v>15.75</v>
      </c>
      <c r="AF460" s="48">
        <f>IFERROR(VLOOKUP(Tabela3[[#This Row],[Produto]],Tabela2[],5,0),0)</f>
        <v>1.4399999999999997</v>
      </c>
      <c r="AG460" s="40">
        <f>IFERROR(VLOOKUP(Tabela3[[#This Row],[Produto]],Tabela2[],6,0),0)</f>
        <v>0</v>
      </c>
      <c r="AH460" s="40">
        <f>IFERROR(VLOOKUP(Tabela3[[#This Row],[Produto]],Tabela2[],7,0),0)</f>
        <v>0</v>
      </c>
      <c r="AI460" s="40">
        <f>IFERROR(VLOOKUP(Tabela3[[#This Row],[Produto]],Tabela2[],8,0),0)</f>
        <v>0</v>
      </c>
      <c r="AJ460" s="35">
        <f ca="1">IFERROR(VLOOKUP(Tabela3[[#This Row],[Produto]],Tabela2[],13,0),0)</f>
        <v>17.600000000000001</v>
      </c>
      <c r="AK460" s="40" t="str">
        <f>IFERROR(VLOOKUP(Tabela3[[#This Row],[Produto]],Tabela2[],14,0),0)</f>
        <v>Oscar</v>
      </c>
      <c r="AL460" s="40">
        <f>IFERROR(VLOOKUP(Tabela3[[#This Row],[Produto]],Tabela2[],15,0),0)</f>
        <v>0</v>
      </c>
      <c r="AM460" s="36">
        <f ca="1">(Tabela3[[#This Row],[Custo Usinagem]]+Tabela3[[#This Row],[Custo / Pç]])*1.2</f>
        <v>393.83162236307805</v>
      </c>
      <c r="AN460" s="36">
        <f ca="1">Tabela3[[#This Row],[Valor Mínimo Venda]]*1.15</f>
        <v>452.9063657175397</v>
      </c>
      <c r="AO460" s="36">
        <f ca="1">Tabela3[[#This Row],[Tabela 1]]*1.08</f>
        <v>489.13887497494289</v>
      </c>
      <c r="AP460" s="36">
        <f ca="1">Tabela3[[#This Row],[Tabela 2]]*1.15</f>
        <v>562.50970622118427</v>
      </c>
    </row>
    <row r="461" spans="1:42">
      <c r="A461" s="9">
        <v>45861</v>
      </c>
      <c r="B461" s="6" t="s">
        <v>91</v>
      </c>
      <c r="C461" s="14">
        <v>7273</v>
      </c>
      <c r="D461" s="6" t="s">
        <v>46</v>
      </c>
      <c r="E461" s="6" t="s">
        <v>53</v>
      </c>
      <c r="F461" s="6">
        <v>15</v>
      </c>
      <c r="G461" s="15">
        <v>8.5416666666666669E-2</v>
      </c>
      <c r="H461" s="16">
        <v>0</v>
      </c>
      <c r="I461" s="35">
        <f ca="1">IFERROR(Tabela3[[#This Row],[Custo Total]]/Tabela3[[#This Row],[Aluminio Util]],0)</f>
        <v>39.333578675342565</v>
      </c>
      <c r="J461" s="35">
        <f ca="1">Tabela3[[#This Row],[Custo Total]]/Tabela3[[#This Row],[Realizado]]</f>
        <v>30.83752568146857</v>
      </c>
      <c r="K461" s="37">
        <f>IFERROR(Tabela3[[#This Row],[Qtde Cx Produzida]]/Tabela3[[#This Row],[Tempo]]/24,0)</f>
        <v>7.3170731707317067</v>
      </c>
      <c r="L461" s="37">
        <f>Tabela3[[#This Row],[Qtde Cx Produzida]]*Tabela3[[#This Row],[Qdt Peça Placa]]</f>
        <v>60</v>
      </c>
      <c r="M461" s="37">
        <f>Tabela3[[#This Row],[Previsto]]-Tabela3[[#This Row],[Perda Pçs]]</f>
        <v>60</v>
      </c>
      <c r="N461" s="38">
        <f>IFERROR(Tabela3[[#This Row],[Perda Pçs]]/Tabela3[[#This Row],[Previsto]],0)</f>
        <v>0</v>
      </c>
      <c r="O461" s="39">
        <f>IFERROR(IF(Tabela3[[#This Row],[Qtde Cx Produzida]] &lt;&gt; 0, Tabela3[[#This Row],[Tempo]] / Tabela3[[#This Row],[Qtde Cx Produzida]], 0),0)</f>
        <v>5.6944444444444447E-3</v>
      </c>
      <c r="P461" s="57">
        <f>IFERROR(Tabela3[[#This Row],[Perda Pçs]]/Tabela3[[#This Row],[Qdt Peça Placa]],0)</f>
        <v>0</v>
      </c>
      <c r="Q461" s="37">
        <f>IFERROR(Tabela3[[#This Row],[Realizado]]*Tabela3[[#This Row],[Peso Util/Pç]],0)</f>
        <v>47.04</v>
      </c>
      <c r="R461" s="37">
        <f>IFERROR(Tabela3[[#This Row],[Peso Total Galho]]*Tabela3[[#This Row],[Qtde Cx Produzida]]*1.055,0)</f>
        <v>87.7971</v>
      </c>
      <c r="S461" s="37">
        <f>(Tabela3[[#This Row],[Aluminio Bruto]]-Tabela3[[#This Row],[Aluminio Util]])*0.9</f>
        <v>36.68139</v>
      </c>
      <c r="T461" s="37">
        <f>Tabela3[[#This Row],[Aluminio Bruto]]/OleoKGAluminio</f>
        <v>36.936126449440337</v>
      </c>
      <c r="U461" s="35">
        <f>IFERROR((VLOOKUP(Tabela3[[#This Row],[Moldador]],Tabela1[],5,)+(VLOOKUP(Tabela3[[#This Row],[Ajudante]],Tabela1[],5,))*3.5),0)</f>
        <v>99.95034583333333</v>
      </c>
      <c r="V461" s="35">
        <f>IFERROR(Tabela3[[#This Row],[Custo M.O. / H]]/((Tabela3[[#This Row],[Realizado]]/Tabela3[[#This Row],[Qdt Peça Placa]])/Tabela3[[#This Row],[Tempo]]/24),)</f>
        <v>13.659880597222223</v>
      </c>
      <c r="W461" s="35">
        <f>Tabela3[[#This Row],[Custo / Cx Moldada]]*Tabela3[[#This Row],[Qtde Cx Produzida]]</f>
        <v>204.89820895833336</v>
      </c>
      <c r="X461" s="35">
        <f ca="1">Tabela3[[#This Row],[Aluminio Util]]*Tabela3[[#This Row],[Custo/Kg]]</f>
        <v>733.82400000000007</v>
      </c>
      <c r="Y461" s="35">
        <f>IFERROR(VLOOKUP(Tabela3[[#This Row],[Data]],Tabela461213[],2,1)*(Tabela3[[#This Row],[Qtde Cx Produzida]]*Tabela3[[#This Row],[Qde macho / CX]]*Tabela3[[#This Row],[Peso Macho]]),)</f>
        <v>814.57199999999989</v>
      </c>
      <c r="Z461" s="35">
        <f>IFERROR(Tabela3[[#This Row],[Qtde Oleo]]*(VLOOKUP(Tabela3[[#This Row],[Data]],CompraOleo[],3,TRUE))*1.05,0)</f>
        <v>96.957331929780892</v>
      </c>
      <c r="AA461" s="47">
        <f ca="1">(Tabela3[[#This Row],[Custo Oleo]]+Tabela3[[#This Row],[Custo Aluminio]]+Tabela3[[#This Row],[Custo M.O. Total]]+Tabela3[[#This Row],[Custo Machos]])</f>
        <v>1850.2515408881143</v>
      </c>
      <c r="AB461" s="47">
        <f ca="1">Tabela3[[#This Row],[Custo Total]]*Tabela3[[#This Row],[% Perda]]</f>
        <v>0</v>
      </c>
      <c r="AC461" s="48">
        <f>IFERROR(VLOOKUP(Tabela3[[#This Row],[Produto]],Tabela2[],2,0),0)</f>
        <v>4</v>
      </c>
      <c r="AD461" s="48">
        <f>IFERROR(VLOOKUP(Tabela3[[#This Row],[Produto]],Tabela2[],3,0),0)</f>
        <v>0.78400000000000003</v>
      </c>
      <c r="AE461" s="48">
        <f>IFERROR(VLOOKUP(Tabela3[[#This Row],[Produto]],Tabela2[],4,0),0)</f>
        <v>5.548</v>
      </c>
      <c r="AF461" s="48">
        <f>IFERROR(VLOOKUP(Tabela3[[#This Row],[Produto]],Tabela2[],5,0),0)</f>
        <v>2.1707999999999998</v>
      </c>
      <c r="AG461" s="40">
        <f>IFERROR(VLOOKUP(Tabela3[[#This Row],[Produto]],Tabela2[],6,0),0)</f>
        <v>0</v>
      </c>
      <c r="AH461" s="40">
        <f>IFERROR(VLOOKUP(Tabela3[[#This Row],[Produto]],Tabela2[],7,0),0)</f>
        <v>12</v>
      </c>
      <c r="AI461" s="40">
        <f>IFERROR(VLOOKUP(Tabela3[[#This Row],[Produto]],Tabela2[],8,0),0)</f>
        <v>2.6619999999999999</v>
      </c>
      <c r="AJ461" s="35">
        <f ca="1">IFERROR(VLOOKUP(Tabela3[[#This Row],[Produto]],Tabela2[],13,0),0)</f>
        <v>15.600000000000001</v>
      </c>
      <c r="AK461" s="40" t="str">
        <f>IFERROR(VLOOKUP(Tabela3[[#This Row],[Produto]],Tabela2[],14,0),0)</f>
        <v>Jumil</v>
      </c>
      <c r="AL461" s="40">
        <f>IFERROR(VLOOKUP(Tabela3[[#This Row],[Produto]],Tabela2[],15,0),0)</f>
        <v>8</v>
      </c>
      <c r="AM461" s="36">
        <f ca="1">(Tabela3[[#This Row],[Custo Usinagem]]+Tabela3[[#This Row],[Custo / Pç]])*1.2</f>
        <v>46.605030817762284</v>
      </c>
      <c r="AN461" s="36">
        <f ca="1">Tabela3[[#This Row],[Valor Mínimo Venda]]*1.15</f>
        <v>53.595785440426624</v>
      </c>
      <c r="AO461" s="36">
        <f ca="1">Tabela3[[#This Row],[Tabela 1]]*1.08</f>
        <v>57.883448275660761</v>
      </c>
      <c r="AP461" s="36">
        <f ca="1">Tabela3[[#This Row],[Tabela 2]]*1.15</f>
        <v>66.565965517009872</v>
      </c>
    </row>
    <row r="462" spans="1:42">
      <c r="A462" s="9">
        <v>45861</v>
      </c>
      <c r="B462" s="6" t="s">
        <v>96</v>
      </c>
      <c r="C462" s="14">
        <v>7275</v>
      </c>
      <c r="D462" s="6" t="s">
        <v>46</v>
      </c>
      <c r="E462" s="6" t="s">
        <v>53</v>
      </c>
      <c r="F462" s="6">
        <v>20</v>
      </c>
      <c r="G462" s="15">
        <v>0.11597222222222223</v>
      </c>
      <c r="H462" s="16">
        <v>0</v>
      </c>
      <c r="I462" s="35">
        <f ca="1">IFERROR(Tabela3[[#This Row],[Custo Total]]/Tabela3[[#This Row],[Aluminio Util]],0)</f>
        <v>30.988980598074878</v>
      </c>
      <c r="J462" s="35">
        <f ca="1">Tabela3[[#This Row],[Custo Total]]/Tabela3[[#This Row],[Realizado]]</f>
        <v>27.394258848698193</v>
      </c>
      <c r="K462" s="37">
        <f>IFERROR(Tabela3[[#This Row],[Qtde Cx Produzida]]/Tabela3[[#This Row],[Tempo]]/24,0)</f>
        <v>7.185628742514969</v>
      </c>
      <c r="L462" s="37">
        <f>Tabela3[[#This Row],[Qtde Cx Produzida]]*Tabela3[[#This Row],[Qdt Peça Placa]]</f>
        <v>60</v>
      </c>
      <c r="M462" s="37">
        <f>Tabela3[[#This Row],[Previsto]]-Tabela3[[#This Row],[Perda Pçs]]</f>
        <v>60</v>
      </c>
      <c r="N462" s="38">
        <f>IFERROR(Tabela3[[#This Row],[Perda Pçs]]/Tabela3[[#This Row],[Previsto]],0)</f>
        <v>0</v>
      </c>
      <c r="O462" s="39">
        <f>IFERROR(IF(Tabela3[[#This Row],[Qtde Cx Produzida]] &lt;&gt; 0, Tabela3[[#This Row],[Tempo]] / Tabela3[[#This Row],[Qtde Cx Produzida]], 0),0)</f>
        <v>5.7986111111111112E-3</v>
      </c>
      <c r="P462" s="57">
        <f>IFERROR(Tabela3[[#This Row],[Perda Pçs]]/Tabela3[[#This Row],[Qdt Peça Placa]],0)</f>
        <v>0</v>
      </c>
      <c r="Q462" s="37">
        <f>IFERROR(Tabela3[[#This Row],[Realizado]]*Tabela3[[#This Row],[Peso Util/Pç]],0)</f>
        <v>53.04</v>
      </c>
      <c r="R462" s="37">
        <f>IFERROR(Tabela3[[#This Row],[Peso Total Galho]]*Tabela3[[#This Row],[Qtde Cx Produzida]]*1.055,0)</f>
        <v>99.001199999999997</v>
      </c>
      <c r="S462" s="37">
        <f>(Tabela3[[#This Row],[Aluminio Bruto]]-Tabela3[[#This Row],[Aluminio Util]])*0.9</f>
        <v>41.365079999999999</v>
      </c>
      <c r="T462" s="37">
        <f>Tabela3[[#This Row],[Aluminio Bruto]]/OleoKGAluminio</f>
        <v>41.649676832678217</v>
      </c>
      <c r="U462" s="35">
        <f>IFERROR((VLOOKUP(Tabela3[[#This Row],[Moldador]],Tabela1[],5,)+(VLOOKUP(Tabela3[[#This Row],[Ajudante]],Tabela1[],5,))*3.5),0)</f>
        <v>99.95034583333333</v>
      </c>
      <c r="V462" s="35">
        <f>IFERROR(Tabela3[[#This Row],[Custo M.O. / H]]/((Tabela3[[#This Row],[Realizado]]/Tabela3[[#This Row],[Qdt Peça Placa]])/Tabela3[[#This Row],[Tempo]]/24),)</f>
        <v>13.909756461805557</v>
      </c>
      <c r="W462" s="35">
        <f>Tabela3[[#This Row],[Custo / Cx Moldada]]*Tabela3[[#This Row],[Qtde Cx Produzida]]</f>
        <v>278.19512923611114</v>
      </c>
      <c r="X462" s="35">
        <f ca="1">Tabela3[[#This Row],[Aluminio Util]]*Tabela3[[#This Row],[Custo/Kg]]</f>
        <v>827.42400000000009</v>
      </c>
      <c r="Y462" s="35">
        <f>IFERROR(VLOOKUP(Tabela3[[#This Row],[Data]],Tabela461213[],2,1)*(Tabela3[[#This Row],[Qtde Cx Produzida]]*Tabela3[[#This Row],[Qde macho / CX]]*Tabela3[[#This Row],[Peso Macho]]),)</f>
        <v>428.70600000000002</v>
      </c>
      <c r="Z462" s="35">
        <f>IFERROR(Tabela3[[#This Row],[Qtde Oleo]]*(VLOOKUP(Tabela3[[#This Row],[Data]],CompraOleo[],3,TRUE))*1.05,0)</f>
        <v>109.33040168578032</v>
      </c>
      <c r="AA462" s="47">
        <f ca="1">(Tabela3[[#This Row],[Custo Oleo]]+Tabela3[[#This Row],[Custo Aluminio]]+Tabela3[[#This Row],[Custo M.O. Total]]+Tabela3[[#This Row],[Custo Machos]])</f>
        <v>1643.6555309218916</v>
      </c>
      <c r="AB462" s="47">
        <f ca="1">Tabela3[[#This Row],[Custo Total]]*Tabela3[[#This Row],[% Perda]]</f>
        <v>0</v>
      </c>
      <c r="AC462" s="48">
        <f>IFERROR(VLOOKUP(Tabela3[[#This Row],[Produto]],Tabela2[],2,0),0)</f>
        <v>3</v>
      </c>
      <c r="AD462" s="48">
        <f>IFERROR(VLOOKUP(Tabela3[[#This Row],[Produto]],Tabela2[],3,0),0)</f>
        <v>0.88400000000000001</v>
      </c>
      <c r="AE462" s="48">
        <f>IFERROR(VLOOKUP(Tabela3[[#This Row],[Produto]],Tabela2[],4,0),0)</f>
        <v>4.6920000000000002</v>
      </c>
      <c r="AF462" s="48">
        <f>IFERROR(VLOOKUP(Tabela3[[#This Row],[Produto]],Tabela2[],5,0),0)</f>
        <v>1.8360000000000001</v>
      </c>
      <c r="AG462" s="40">
        <f>IFERROR(VLOOKUP(Tabela3[[#This Row],[Produto]],Tabela2[],6,0),0)</f>
        <v>0</v>
      </c>
      <c r="AH462" s="40">
        <f>IFERROR(VLOOKUP(Tabela3[[#This Row],[Produto]],Tabela2[],7,0),0)</f>
        <v>9</v>
      </c>
      <c r="AI462" s="40">
        <f>IFERROR(VLOOKUP(Tabela3[[#This Row],[Produto]],Tabela2[],8,0),0)</f>
        <v>1.401</v>
      </c>
      <c r="AJ462" s="35">
        <f ca="1">IFERROR(VLOOKUP(Tabela3[[#This Row],[Produto]],Tabela2[],13,0),0)</f>
        <v>15.600000000000001</v>
      </c>
      <c r="AK462" s="40" t="str">
        <f>IFERROR(VLOOKUP(Tabela3[[#This Row],[Produto]],Tabela2[],14,0),0)</f>
        <v>Jumil</v>
      </c>
      <c r="AL462" s="40">
        <f>IFERROR(VLOOKUP(Tabela3[[#This Row],[Produto]],Tabela2[],15,0),0)</f>
        <v>10</v>
      </c>
      <c r="AM462" s="36">
        <f ca="1">(Tabela3[[#This Row],[Custo Usinagem]]+Tabela3[[#This Row],[Custo / Pç]])*1.2</f>
        <v>44.873110618437828</v>
      </c>
      <c r="AN462" s="36">
        <f ca="1">Tabela3[[#This Row],[Valor Mínimo Venda]]*1.15</f>
        <v>51.604077211203496</v>
      </c>
      <c r="AO462" s="36">
        <f ca="1">Tabela3[[#This Row],[Tabela 1]]*1.08</f>
        <v>55.732403388099776</v>
      </c>
      <c r="AP462" s="36">
        <f ca="1">Tabela3[[#This Row],[Tabela 2]]*1.15</f>
        <v>64.092263896314734</v>
      </c>
    </row>
    <row r="463" spans="1:42">
      <c r="A463" s="9">
        <v>45861</v>
      </c>
      <c r="B463" s="6" t="s">
        <v>97</v>
      </c>
      <c r="C463" s="14">
        <v>7330</v>
      </c>
      <c r="D463" s="6" t="s">
        <v>46</v>
      </c>
      <c r="E463" s="6" t="s">
        <v>53</v>
      </c>
      <c r="F463" s="6">
        <v>32</v>
      </c>
      <c r="G463" s="15">
        <v>0.14861111111111111</v>
      </c>
      <c r="H463" s="16">
        <v>0</v>
      </c>
      <c r="I463" s="35">
        <f ca="1">IFERROR(Tabela3[[#This Row],[Custo Total]]/Tabela3[[#This Row],[Aluminio Util]],0)</f>
        <v>29.422195394041506</v>
      </c>
      <c r="J463" s="35">
        <f ca="1">Tabela3[[#This Row],[Custo Total]]/Tabela3[[#This Row],[Realizado]]</f>
        <v>32.364414933445659</v>
      </c>
      <c r="K463" s="37">
        <f>IFERROR(Tabela3[[#This Row],[Qtde Cx Produzida]]/Tabela3[[#This Row],[Tempo]]/24,0)</f>
        <v>8.9719626168224291</v>
      </c>
      <c r="L463" s="37">
        <f>Tabela3[[#This Row],[Qtde Cx Produzida]]*Tabela3[[#This Row],[Qdt Peça Placa]]</f>
        <v>32</v>
      </c>
      <c r="M463" s="37">
        <f>Tabela3[[#This Row],[Previsto]]-Tabela3[[#This Row],[Perda Pçs]]</f>
        <v>32</v>
      </c>
      <c r="N463" s="38">
        <f>IFERROR(Tabela3[[#This Row],[Perda Pçs]]/Tabela3[[#This Row],[Previsto]],0)</f>
        <v>0</v>
      </c>
      <c r="O463" s="39">
        <f>IFERROR(IF(Tabela3[[#This Row],[Qtde Cx Produzida]] &lt;&gt; 0, Tabela3[[#This Row],[Tempo]] / Tabela3[[#This Row],[Qtde Cx Produzida]], 0),0)</f>
        <v>4.6440972222222222E-3</v>
      </c>
      <c r="P463" s="57">
        <f>IFERROR(Tabela3[[#This Row],[Perda Pçs]]/Tabela3[[#This Row],[Qdt Peça Placa]],0)</f>
        <v>0</v>
      </c>
      <c r="Q463" s="37">
        <f>IFERROR(Tabela3[[#This Row],[Realizado]]*Tabela3[[#This Row],[Peso Util/Pç]],0)</f>
        <v>35.200000000000003</v>
      </c>
      <c r="R463" s="37">
        <f>IFERROR(Tabela3[[#This Row],[Peso Total Galho]]*Tabela3[[#This Row],[Qtde Cx Produzida]]*1.055,0)</f>
        <v>54.015999999999998</v>
      </c>
      <c r="S463" s="37">
        <f>(Tabela3[[#This Row],[Aluminio Bruto]]-Tabela3[[#This Row],[Aluminio Util]])*0.9</f>
        <v>16.934399999999997</v>
      </c>
      <c r="T463" s="37">
        <f>Tabela3[[#This Row],[Aluminio Bruto]]/OleoKGAluminio</f>
        <v>22.724461357982999</v>
      </c>
      <c r="U463" s="35">
        <f>IFERROR((VLOOKUP(Tabela3[[#This Row],[Moldador]],Tabela1[],5,)+(VLOOKUP(Tabela3[[#This Row],[Ajudante]],Tabela1[],5,))*3.5),0)</f>
        <v>99.95034583333333</v>
      </c>
      <c r="V463" s="35">
        <f>IFERROR(Tabela3[[#This Row],[Custo M.O. / H]]/((Tabela3[[#This Row],[Realizado]]/Tabela3[[#This Row],[Qdt Peça Placa]])/Tabela3[[#This Row],[Tempo]]/24),)</f>
        <v>11.140298962673612</v>
      </c>
      <c r="W463" s="35">
        <f>Tabela3[[#This Row],[Custo / Cx Moldada]]*Tabela3[[#This Row],[Qtde Cx Produzida]]</f>
        <v>356.48956680555557</v>
      </c>
      <c r="X463" s="35">
        <f ca="1">Tabela3[[#This Row],[Aluminio Util]]*Tabela3[[#This Row],[Custo/Kg]]</f>
        <v>619.5200000000001</v>
      </c>
      <c r="Y463" s="35">
        <f>IFERROR(VLOOKUP(Tabela3[[#This Row],[Data]],Tabela461213[],2,1)*(Tabela3[[#This Row],[Qtde Cx Produzida]]*Tabela3[[#This Row],[Qde macho / CX]]*Tabela3[[#This Row],[Peso Macho]]),)</f>
        <v>0</v>
      </c>
      <c r="Z463" s="35">
        <f>IFERROR(Tabela3[[#This Row],[Qtde Oleo]]*(VLOOKUP(Tabela3[[#This Row],[Data]],CompraOleo[],3,TRUE))*1.05,0)</f>
        <v>59.651711064705381</v>
      </c>
      <c r="AA463" s="47">
        <f ca="1">(Tabela3[[#This Row],[Custo Oleo]]+Tabela3[[#This Row],[Custo Aluminio]]+Tabela3[[#This Row],[Custo M.O. Total]]+Tabela3[[#This Row],[Custo Machos]])</f>
        <v>1035.6612778702611</v>
      </c>
      <c r="AB463" s="47">
        <f ca="1">Tabela3[[#This Row],[Custo Total]]*Tabela3[[#This Row],[% Perda]]</f>
        <v>0</v>
      </c>
      <c r="AC463" s="48">
        <f>IFERROR(VLOOKUP(Tabela3[[#This Row],[Produto]],Tabela2[],2,0),0)</f>
        <v>1</v>
      </c>
      <c r="AD463" s="48">
        <f>IFERROR(VLOOKUP(Tabela3[[#This Row],[Produto]],Tabela2[],3,0),0)</f>
        <v>1.1000000000000001</v>
      </c>
      <c r="AE463" s="48">
        <f>IFERROR(VLOOKUP(Tabela3[[#This Row],[Produto]],Tabela2[],4,0),0)</f>
        <v>1.6</v>
      </c>
      <c r="AF463" s="48">
        <f>IFERROR(VLOOKUP(Tabela3[[#This Row],[Produto]],Tabela2[],5,0),0)</f>
        <v>0.45</v>
      </c>
      <c r="AG463" s="40">
        <f>IFERROR(VLOOKUP(Tabela3[[#This Row],[Produto]],Tabela2[],6,0),0)</f>
        <v>0</v>
      </c>
      <c r="AH463" s="40">
        <f>IFERROR(VLOOKUP(Tabela3[[#This Row],[Produto]],Tabela2[],7,0),0)</f>
        <v>0</v>
      </c>
      <c r="AI463" s="40">
        <f>IFERROR(VLOOKUP(Tabela3[[#This Row],[Produto]],Tabela2[],8,0),0)</f>
        <v>0</v>
      </c>
      <c r="AJ463" s="35">
        <f ca="1">IFERROR(VLOOKUP(Tabela3[[#This Row],[Produto]],Tabela2[],13,0),0)</f>
        <v>17.600000000000001</v>
      </c>
      <c r="AK463" s="40" t="str">
        <f>IFERROR(VLOOKUP(Tabela3[[#This Row],[Produto]],Tabela2[],14,0),0)</f>
        <v>Danilo</v>
      </c>
      <c r="AL463" s="40">
        <f>IFERROR(VLOOKUP(Tabela3[[#This Row],[Produto]],Tabela2[],15,0),0)</f>
        <v>0</v>
      </c>
      <c r="AM463" s="36">
        <f ca="1">(Tabela3[[#This Row],[Custo Usinagem]]+Tabela3[[#This Row],[Custo / Pç]])*1.2</f>
        <v>38.837297920134787</v>
      </c>
      <c r="AN463" s="36">
        <f ca="1">Tabela3[[#This Row],[Valor Mínimo Venda]]*1.15</f>
        <v>44.662892608155005</v>
      </c>
      <c r="AO463" s="36">
        <f ca="1">Tabela3[[#This Row],[Tabela 1]]*1.08</f>
        <v>48.235924016807409</v>
      </c>
      <c r="AP463" s="36">
        <f ca="1">Tabela3[[#This Row],[Tabela 2]]*1.15</f>
        <v>55.471312619328515</v>
      </c>
    </row>
    <row r="464" spans="1:42">
      <c r="A464" s="9">
        <v>45861</v>
      </c>
      <c r="B464" s="6" t="s">
        <v>124</v>
      </c>
      <c r="C464" s="14">
        <v>7190</v>
      </c>
      <c r="D464" s="6" t="s">
        <v>44</v>
      </c>
      <c r="E464" s="6" t="s">
        <v>47</v>
      </c>
      <c r="F464" s="6">
        <v>2</v>
      </c>
      <c r="G464" s="15">
        <v>1.1111111111111112E-2</v>
      </c>
      <c r="H464" s="16">
        <v>0</v>
      </c>
      <c r="I464" s="35">
        <f ca="1">IFERROR(Tabela3[[#This Row],[Custo Total]]/Tabela3[[#This Row],[Aluminio Util]],0)</f>
        <v>25.546910945655643</v>
      </c>
      <c r="J464" s="35">
        <f ca="1">Tabela3[[#This Row],[Custo Total]]/Tabela3[[#This Row],[Realizado]]</f>
        <v>43.174279498158036</v>
      </c>
      <c r="K464" s="37">
        <f>IFERROR(Tabela3[[#This Row],[Qtde Cx Produzida]]/Tabela3[[#This Row],[Tempo]]/24,0)</f>
        <v>7.5</v>
      </c>
      <c r="L464" s="37">
        <f>Tabela3[[#This Row],[Qtde Cx Produzida]]*Tabela3[[#This Row],[Qdt Peça Placa]]</f>
        <v>2</v>
      </c>
      <c r="M464" s="37">
        <f>Tabela3[[#This Row],[Previsto]]-Tabela3[[#This Row],[Perda Pçs]]</f>
        <v>2</v>
      </c>
      <c r="N464" s="38">
        <f>IFERROR(Tabela3[[#This Row],[Perda Pçs]]/Tabela3[[#This Row],[Previsto]],0)</f>
        <v>0</v>
      </c>
      <c r="O464" s="39">
        <f>IFERROR(IF(Tabela3[[#This Row],[Qtde Cx Produzida]] &lt;&gt; 0, Tabela3[[#This Row],[Tempo]] / Tabela3[[#This Row],[Qtde Cx Produzida]], 0),0)</f>
        <v>5.5555555555555558E-3</v>
      </c>
      <c r="P464" s="57">
        <f>IFERROR(Tabela3[[#This Row],[Perda Pçs]]/Tabela3[[#This Row],[Qdt Peça Placa]],0)</f>
        <v>0</v>
      </c>
      <c r="Q464" s="37">
        <f>IFERROR(Tabela3[[#This Row],[Realizado]]*Tabela3[[#This Row],[Peso Util/Pç]],0)</f>
        <v>3.38</v>
      </c>
      <c r="R464" s="37">
        <f>IFERROR(Tabela3[[#This Row],[Peso Total Galho]]*Tabela3[[#This Row],[Qtde Cx Produzida]]*1.055,0)</f>
        <v>6.3089000000000004</v>
      </c>
      <c r="S464" s="37">
        <f>(Tabela3[[#This Row],[Aluminio Bruto]]-Tabela3[[#This Row],[Aluminio Util]])*0.9</f>
        <v>2.6360100000000006</v>
      </c>
      <c r="T464" s="37">
        <f>Tabela3[[#This Row],[Aluminio Bruto]]/OleoKGAluminio</f>
        <v>2.6541460726706712</v>
      </c>
      <c r="U464" s="35">
        <f>IFERROR((VLOOKUP(Tabela3[[#This Row],[Moldador]],Tabela1[],5,)+(VLOOKUP(Tabela3[[#This Row],[Ajudante]],Tabela1[],5,))*3.5),0)</f>
        <v>99.95034583333333</v>
      </c>
      <c r="V464" s="35">
        <f>IFERROR(Tabela3[[#This Row],[Custo M.O. / H]]/((Tabela3[[#This Row],[Realizado]]/Tabela3[[#This Row],[Qdt Peça Placa]])/Tabela3[[#This Row],[Tempo]]/24),)</f>
        <v>13.326712777777777</v>
      </c>
      <c r="W464" s="35">
        <f>Tabela3[[#This Row],[Custo / Cx Moldada]]*Tabela3[[#This Row],[Qtde Cx Produzida]]</f>
        <v>26.653425555555554</v>
      </c>
      <c r="X464" s="35">
        <f ca="1">Tabela3[[#This Row],[Aluminio Util]]*Tabela3[[#This Row],[Custo/Kg]]</f>
        <v>52.728000000000002</v>
      </c>
      <c r="Y464" s="35">
        <f>IFERROR(VLOOKUP(Tabela3[[#This Row],[Data]],Tabela461213[],2,1)*(Tabela3[[#This Row],[Qtde Cx Produzida]]*Tabela3[[#This Row],[Qde macho / CX]]*Tabela3[[#This Row],[Peso Macho]]),)</f>
        <v>0</v>
      </c>
      <c r="Z464" s="35">
        <f>IFERROR(Tabela3[[#This Row],[Qtde Oleo]]*(VLOOKUP(Tabela3[[#This Row],[Data]],CompraOleo[],3,TRUE))*1.05,0)</f>
        <v>6.9671334407605112</v>
      </c>
      <c r="AA464" s="47">
        <f ca="1">(Tabela3[[#This Row],[Custo Oleo]]+Tabela3[[#This Row],[Custo Aluminio]]+Tabela3[[#This Row],[Custo M.O. Total]]+Tabela3[[#This Row],[Custo Machos]])</f>
        <v>86.348558996316072</v>
      </c>
      <c r="AB464" s="47">
        <f ca="1">Tabela3[[#This Row],[Custo Total]]*Tabela3[[#This Row],[% Perda]]</f>
        <v>0</v>
      </c>
      <c r="AC464" s="48">
        <f>IFERROR(VLOOKUP(Tabela3[[#This Row],[Produto]],Tabela2[],2,0),0)</f>
        <v>1</v>
      </c>
      <c r="AD464" s="48">
        <f>IFERROR(VLOOKUP(Tabela3[[#This Row],[Produto]],Tabela2[],3,0),0)</f>
        <v>1.69</v>
      </c>
      <c r="AE464" s="48">
        <f>IFERROR(VLOOKUP(Tabela3[[#This Row],[Produto]],Tabela2[],4,0),0)</f>
        <v>2.99</v>
      </c>
      <c r="AF464" s="48">
        <f>IFERROR(VLOOKUP(Tabela3[[#This Row],[Produto]],Tabela2[],5,0),0)</f>
        <v>1.1700000000000004</v>
      </c>
      <c r="AG464" s="40">
        <f>IFERROR(VLOOKUP(Tabela3[[#This Row],[Produto]],Tabela2[],6,0),0)</f>
        <v>0</v>
      </c>
      <c r="AH464" s="40">
        <f>IFERROR(VLOOKUP(Tabela3[[#This Row],[Produto]],Tabela2[],7,0),0)</f>
        <v>0</v>
      </c>
      <c r="AI464" s="40">
        <f>IFERROR(VLOOKUP(Tabela3[[#This Row],[Produto]],Tabela2[],8,0),0)</f>
        <v>0</v>
      </c>
      <c r="AJ464" s="35">
        <f ca="1">IFERROR(VLOOKUP(Tabela3[[#This Row],[Produto]],Tabela2[],13,0),0)</f>
        <v>15.600000000000001</v>
      </c>
      <c r="AK464" s="40" t="str">
        <f>IFERROR(VLOOKUP(Tabela3[[#This Row],[Produto]],Tabela2[],14,0),0)</f>
        <v>Jumil</v>
      </c>
      <c r="AL464" s="40">
        <f>IFERROR(VLOOKUP(Tabela3[[#This Row],[Produto]],Tabela2[],15,0),0)</f>
        <v>8</v>
      </c>
      <c r="AM464" s="36">
        <f ca="1">(Tabela3[[#This Row],[Custo Usinagem]]+Tabela3[[#This Row],[Custo / Pç]])*1.2</f>
        <v>61.40913539778964</v>
      </c>
      <c r="AN464" s="36">
        <f ca="1">Tabela3[[#This Row],[Valor Mínimo Venda]]*1.15</f>
        <v>70.620505707458079</v>
      </c>
      <c r="AO464" s="36">
        <f ca="1">Tabela3[[#This Row],[Tabela 1]]*1.08</f>
        <v>76.270146164054736</v>
      </c>
      <c r="AP464" s="36">
        <f ca="1">Tabela3[[#This Row],[Tabela 2]]*1.15</f>
        <v>87.710668088662942</v>
      </c>
    </row>
    <row r="465" spans="1:42">
      <c r="A465" s="9">
        <v>45861</v>
      </c>
      <c r="B465" s="6" t="s">
        <v>227</v>
      </c>
      <c r="C465" s="14">
        <v>7309</v>
      </c>
      <c r="D465" s="6" t="s">
        <v>44</v>
      </c>
      <c r="E465" s="6" t="s">
        <v>47</v>
      </c>
      <c r="F465" s="6">
        <v>1</v>
      </c>
      <c r="G465" s="15">
        <v>1.7361111111111112E-2</v>
      </c>
      <c r="H465" s="16">
        <v>0</v>
      </c>
      <c r="I465" s="35">
        <f ca="1">IFERROR(Tabela3[[#This Row],[Custo Total]]/Tabela3[[#This Row],[Aluminio Util]],0)</f>
        <v>20.393817755585147</v>
      </c>
      <c r="J465" s="35">
        <f ca="1">Tabela3[[#This Row],[Custo Total]]/Tabela3[[#This Row],[Realizado]]</f>
        <v>550.63307940079892</v>
      </c>
      <c r="K465" s="37">
        <f>IFERROR(Tabela3[[#This Row],[Qtde Cx Produzida]]/Tabela3[[#This Row],[Tempo]]/24,0)</f>
        <v>2.4</v>
      </c>
      <c r="L465" s="37">
        <f>Tabela3[[#This Row],[Qtde Cx Produzida]]*Tabela3[[#This Row],[Qdt Peça Placa]]</f>
        <v>1</v>
      </c>
      <c r="M465" s="37">
        <f>Tabela3[[#This Row],[Previsto]]-Tabela3[[#This Row],[Perda Pçs]]</f>
        <v>1</v>
      </c>
      <c r="N465" s="38">
        <f>IFERROR(Tabela3[[#This Row],[Perda Pçs]]/Tabela3[[#This Row],[Previsto]],0)</f>
        <v>0</v>
      </c>
      <c r="O465" s="39">
        <f>IFERROR(IF(Tabela3[[#This Row],[Qtde Cx Produzida]] &lt;&gt; 0, Tabela3[[#This Row],[Tempo]] / Tabela3[[#This Row],[Qtde Cx Produzida]], 0),0)</f>
        <v>1.7361111111111112E-2</v>
      </c>
      <c r="P465" s="57">
        <f>IFERROR(Tabela3[[#This Row],[Perda Pçs]]/Tabela3[[#This Row],[Qdt Peça Placa]],0)</f>
        <v>0</v>
      </c>
      <c r="Q465" s="37">
        <f>IFERROR(Tabela3[[#This Row],[Realizado]]*Tabela3[[#This Row],[Peso Util/Pç]],0)</f>
        <v>27</v>
      </c>
      <c r="R465" s="37">
        <f>IFERROR(Tabela3[[#This Row],[Peso Total Galho]]*Tabela3[[#This Row],[Qtde Cx Produzida]]*1.055,0)</f>
        <v>30.594999999999999</v>
      </c>
      <c r="S465" s="37">
        <f>(Tabela3[[#This Row],[Aluminio Bruto]]-Tabela3[[#This Row],[Aluminio Util]])*0.9</f>
        <v>3.2354999999999992</v>
      </c>
      <c r="T465" s="37">
        <f>Tabela3[[#This Row],[Aluminio Bruto]]/OleoKGAluminio</f>
        <v>12.871276941045059</v>
      </c>
      <c r="U465" s="35">
        <f>IFERROR((VLOOKUP(Tabela3[[#This Row],[Moldador]],Tabela1[],5,)+(VLOOKUP(Tabela3[[#This Row],[Ajudante]],Tabela1[],5,))*3.5),0)</f>
        <v>99.95034583333333</v>
      </c>
      <c r="V465" s="35">
        <f>IFERROR(Tabela3[[#This Row],[Custo M.O. / H]]/((Tabela3[[#This Row],[Realizado]]/Tabela3[[#This Row],[Qdt Peça Placa]])/Tabela3[[#This Row],[Tempo]]/24),)</f>
        <v>41.645977430555554</v>
      </c>
      <c r="W465" s="35">
        <f>Tabela3[[#This Row],[Custo / Cx Moldada]]*Tabela3[[#This Row],[Qtde Cx Produzida]]</f>
        <v>41.645977430555554</v>
      </c>
      <c r="X465" s="35">
        <f ca="1">Tabela3[[#This Row],[Aluminio Util]]*Tabela3[[#This Row],[Custo/Kg]]</f>
        <v>475.20000000000005</v>
      </c>
      <c r="Y465" s="35">
        <f>IFERROR(VLOOKUP(Tabela3[[#This Row],[Data]],Tabela461213[],2,1)*(Tabela3[[#This Row],[Qtde Cx Produzida]]*Tabela3[[#This Row],[Qde macho / CX]]*Tabela3[[#This Row],[Peso Macho]]),)</f>
        <v>0</v>
      </c>
      <c r="Z465" s="35">
        <f>IFERROR(Tabela3[[#This Row],[Qtde Oleo]]*(VLOOKUP(Tabela3[[#This Row],[Data]],CompraOleo[],3,TRUE))*1.05,0)</f>
        <v>33.787101970243285</v>
      </c>
      <c r="AA465" s="47">
        <f ca="1">(Tabela3[[#This Row],[Custo Oleo]]+Tabela3[[#This Row],[Custo Aluminio]]+Tabela3[[#This Row],[Custo M.O. Total]]+Tabela3[[#This Row],[Custo Machos]])</f>
        <v>550.63307940079892</v>
      </c>
      <c r="AB465" s="47">
        <f ca="1">Tabela3[[#This Row],[Custo Total]]*Tabela3[[#This Row],[% Perda]]</f>
        <v>0</v>
      </c>
      <c r="AC465" s="48">
        <f>IFERROR(VLOOKUP(Tabela3[[#This Row],[Produto]],Tabela2[],2,0),0)</f>
        <v>1</v>
      </c>
      <c r="AD465" s="48">
        <f>IFERROR(VLOOKUP(Tabela3[[#This Row],[Produto]],Tabela2[],3,0),0)</f>
        <v>27</v>
      </c>
      <c r="AE465" s="48">
        <f>IFERROR(VLOOKUP(Tabela3[[#This Row],[Produto]],Tabela2[],4,0),0)</f>
        <v>29</v>
      </c>
      <c r="AF465" s="48">
        <f>IFERROR(VLOOKUP(Tabela3[[#This Row],[Produto]],Tabela2[],5,0),0)</f>
        <v>1.8</v>
      </c>
      <c r="AG465" s="40">
        <f>IFERROR(VLOOKUP(Tabela3[[#This Row],[Produto]],Tabela2[],6,0),0)</f>
        <v>0</v>
      </c>
      <c r="AH465" s="40">
        <f>IFERROR(VLOOKUP(Tabela3[[#This Row],[Produto]],Tabela2[],7,0),0)</f>
        <v>0</v>
      </c>
      <c r="AI465" s="40">
        <f>IFERROR(VLOOKUP(Tabela3[[#This Row],[Produto]],Tabela2[],8,0),0)</f>
        <v>0</v>
      </c>
      <c r="AJ465" s="35">
        <f ca="1">IFERROR(VLOOKUP(Tabela3[[#This Row],[Produto]],Tabela2[],13,0),0)</f>
        <v>17.600000000000001</v>
      </c>
      <c r="AK465" s="40" t="str">
        <f>IFERROR(VLOOKUP(Tabela3[[#This Row],[Produto]],Tabela2[],14,0),0)</f>
        <v>Oscar</v>
      </c>
      <c r="AL465" s="40">
        <f>IFERROR(VLOOKUP(Tabela3[[#This Row],[Produto]],Tabela2[],15,0),0)</f>
        <v>0</v>
      </c>
      <c r="AM465" s="36">
        <f ca="1">(Tabela3[[#This Row],[Custo Usinagem]]+Tabela3[[#This Row],[Custo / Pç]])*1.2</f>
        <v>660.75969528095868</v>
      </c>
      <c r="AN465" s="36">
        <f ca="1">Tabela3[[#This Row],[Valor Mínimo Venda]]*1.15</f>
        <v>759.8736495731024</v>
      </c>
      <c r="AO465" s="36">
        <f ca="1">Tabela3[[#This Row],[Tabela 1]]*1.08</f>
        <v>820.66354153895065</v>
      </c>
      <c r="AP465" s="36">
        <f ca="1">Tabela3[[#This Row],[Tabela 2]]*1.15</f>
        <v>943.76307276979321</v>
      </c>
    </row>
    <row r="466" spans="1:42">
      <c r="A466" s="9">
        <v>45862</v>
      </c>
      <c r="B466" s="6" t="s">
        <v>97</v>
      </c>
      <c r="C466" s="14">
        <v>7330</v>
      </c>
      <c r="D466" s="6" t="s">
        <v>46</v>
      </c>
      <c r="E466" s="6" t="s">
        <v>53</v>
      </c>
      <c r="F466" s="6">
        <v>23</v>
      </c>
      <c r="G466" s="15">
        <v>0.10416666666666667</v>
      </c>
      <c r="H466" s="16">
        <v>0</v>
      </c>
      <c r="I466" s="35">
        <f ca="1">IFERROR(Tabela3[[#This Row],[Custo Total]]/Tabela3[[#This Row],[Aluminio Util]],0)</f>
        <v>29.171167269213054</v>
      </c>
      <c r="J466" s="35">
        <f ca="1">Tabela3[[#This Row],[Custo Total]]/Tabela3[[#This Row],[Realizado]]</f>
        <v>32.088283996134358</v>
      </c>
      <c r="K466" s="37">
        <f>IFERROR(Tabela3[[#This Row],[Qtde Cx Produzida]]/Tabela3[[#This Row],[Tempo]]/24,0)</f>
        <v>9.1999999999999993</v>
      </c>
      <c r="L466" s="37">
        <f>Tabela3[[#This Row],[Qtde Cx Produzida]]*Tabela3[[#This Row],[Qdt Peça Placa]]</f>
        <v>23</v>
      </c>
      <c r="M466" s="37">
        <f>Tabela3[[#This Row],[Previsto]]-Tabela3[[#This Row],[Perda Pçs]]</f>
        <v>23</v>
      </c>
      <c r="N466" s="38">
        <f>IFERROR(Tabela3[[#This Row],[Perda Pçs]]/Tabela3[[#This Row],[Previsto]],0)</f>
        <v>0</v>
      </c>
      <c r="O466" s="39">
        <f>IFERROR(IF(Tabela3[[#This Row],[Qtde Cx Produzida]] &lt;&gt; 0, Tabela3[[#This Row],[Tempo]] / Tabela3[[#This Row],[Qtde Cx Produzida]], 0),0)</f>
        <v>4.528985507246377E-3</v>
      </c>
      <c r="P466" s="57">
        <f>IFERROR(Tabela3[[#This Row],[Perda Pçs]]/Tabela3[[#This Row],[Qdt Peça Placa]],0)</f>
        <v>0</v>
      </c>
      <c r="Q466" s="37">
        <f>IFERROR(Tabela3[[#This Row],[Realizado]]*Tabela3[[#This Row],[Peso Util/Pç]],0)</f>
        <v>25.3</v>
      </c>
      <c r="R466" s="37">
        <f>IFERROR(Tabela3[[#This Row],[Peso Total Galho]]*Tabela3[[#This Row],[Qtde Cx Produzida]]*1.055,0)</f>
        <v>38.824000000000005</v>
      </c>
      <c r="S466" s="37">
        <f>(Tabela3[[#This Row],[Aluminio Bruto]]-Tabela3[[#This Row],[Aluminio Util]])*0.9</f>
        <v>12.171600000000005</v>
      </c>
      <c r="T466" s="37">
        <f>Tabela3[[#This Row],[Aluminio Bruto]]/OleoKGAluminio</f>
        <v>16.333206601050286</v>
      </c>
      <c r="U466" s="35">
        <f>IFERROR((VLOOKUP(Tabela3[[#This Row],[Moldador]],Tabela1[],5,)+(VLOOKUP(Tabela3[[#This Row],[Ajudante]],Tabela1[],5,))*3.5),0)</f>
        <v>99.95034583333333</v>
      </c>
      <c r="V466" s="35">
        <f>IFERROR(Tabela3[[#This Row],[Custo M.O. / H]]/((Tabela3[[#This Row],[Realizado]]/Tabela3[[#This Row],[Qdt Peça Placa]])/Tabela3[[#This Row],[Tempo]]/24),)</f>
        <v>10.86416802536232</v>
      </c>
      <c r="W466" s="35">
        <f>Tabela3[[#This Row],[Custo / Cx Moldada]]*Tabela3[[#This Row],[Qtde Cx Produzida]]</f>
        <v>249.87586458333334</v>
      </c>
      <c r="X466" s="35">
        <f ca="1">Tabela3[[#This Row],[Aluminio Util]]*Tabela3[[#This Row],[Custo/Kg]]</f>
        <v>445.28000000000003</v>
      </c>
      <c r="Y466" s="35">
        <f>IFERROR(VLOOKUP(Tabela3[[#This Row],[Data]],Tabela461213[],2,1)*(Tabela3[[#This Row],[Qtde Cx Produzida]]*Tabela3[[#This Row],[Qde macho / CX]]*Tabela3[[#This Row],[Peso Macho]]),)</f>
        <v>0</v>
      </c>
      <c r="Z466" s="35">
        <f>IFERROR(Tabela3[[#This Row],[Qtde Oleo]]*(VLOOKUP(Tabela3[[#This Row],[Data]],CompraOleo[],3,TRUE))*1.05,0)</f>
        <v>42.874667327756995</v>
      </c>
      <c r="AA466" s="47">
        <f ca="1">(Tabela3[[#This Row],[Custo Oleo]]+Tabela3[[#This Row],[Custo Aluminio]]+Tabela3[[#This Row],[Custo M.O. Total]]+Tabela3[[#This Row],[Custo Machos]])</f>
        <v>738.03053191109029</v>
      </c>
      <c r="AB466" s="47">
        <f ca="1">Tabela3[[#This Row],[Custo Total]]*Tabela3[[#This Row],[% Perda]]</f>
        <v>0</v>
      </c>
      <c r="AC466" s="48">
        <f>IFERROR(VLOOKUP(Tabela3[[#This Row],[Produto]],Tabela2[],2,0),0)</f>
        <v>1</v>
      </c>
      <c r="AD466" s="48">
        <f>IFERROR(VLOOKUP(Tabela3[[#This Row],[Produto]],Tabela2[],3,0),0)</f>
        <v>1.1000000000000001</v>
      </c>
      <c r="AE466" s="48">
        <f>IFERROR(VLOOKUP(Tabela3[[#This Row],[Produto]],Tabela2[],4,0),0)</f>
        <v>1.6</v>
      </c>
      <c r="AF466" s="48">
        <f>IFERROR(VLOOKUP(Tabela3[[#This Row],[Produto]],Tabela2[],5,0),0)</f>
        <v>0.45</v>
      </c>
      <c r="AG466" s="40">
        <f>IFERROR(VLOOKUP(Tabela3[[#This Row],[Produto]],Tabela2[],6,0),0)</f>
        <v>0</v>
      </c>
      <c r="AH466" s="40">
        <f>IFERROR(VLOOKUP(Tabela3[[#This Row],[Produto]],Tabela2[],7,0),0)</f>
        <v>0</v>
      </c>
      <c r="AI466" s="40">
        <f>IFERROR(VLOOKUP(Tabela3[[#This Row],[Produto]],Tabela2[],8,0),0)</f>
        <v>0</v>
      </c>
      <c r="AJ466" s="35">
        <f ca="1">IFERROR(VLOOKUP(Tabela3[[#This Row],[Produto]],Tabela2[],13,0),0)</f>
        <v>17.600000000000001</v>
      </c>
      <c r="AK466" s="40" t="str">
        <f>IFERROR(VLOOKUP(Tabela3[[#This Row],[Produto]],Tabela2[],14,0),0)</f>
        <v>Danilo</v>
      </c>
      <c r="AL466" s="40">
        <f>IFERROR(VLOOKUP(Tabela3[[#This Row],[Produto]],Tabela2[],15,0),0)</f>
        <v>0</v>
      </c>
      <c r="AM466" s="36">
        <f ca="1">(Tabela3[[#This Row],[Custo Usinagem]]+Tabela3[[#This Row],[Custo / Pç]])*1.2</f>
        <v>38.505940795361226</v>
      </c>
      <c r="AN466" s="36">
        <f ca="1">Tabela3[[#This Row],[Valor Mínimo Venda]]*1.15</f>
        <v>44.28183191466541</v>
      </c>
      <c r="AO466" s="36">
        <f ca="1">Tabela3[[#This Row],[Tabela 1]]*1.08</f>
        <v>47.824378467838649</v>
      </c>
      <c r="AP466" s="36">
        <f ca="1">Tabela3[[#This Row],[Tabela 2]]*1.15</f>
        <v>54.998035238014445</v>
      </c>
    </row>
    <row r="467" spans="1:42">
      <c r="A467" s="9">
        <v>45862</v>
      </c>
      <c r="B467" s="6" t="s">
        <v>281</v>
      </c>
      <c r="C467" s="14">
        <v>7263</v>
      </c>
      <c r="D467" s="6" t="s">
        <v>46</v>
      </c>
      <c r="E467" s="6" t="s">
        <v>53</v>
      </c>
      <c r="F467" s="6">
        <v>16</v>
      </c>
      <c r="G467" s="15">
        <v>9.5138888888888884E-2</v>
      </c>
      <c r="H467" s="16">
        <v>0</v>
      </c>
      <c r="I467" s="35">
        <f ca="1">IFERROR(Tabela3[[#This Row],[Custo Total]]/Tabela3[[#This Row],[Aluminio Util]],0)</f>
        <v>40.305377060171089</v>
      </c>
      <c r="J467" s="35">
        <f ca="1">Tabela3[[#This Row],[Custo Total]]/Tabela3[[#This Row],[Realizado]]</f>
        <v>1.3300774429856459</v>
      </c>
      <c r="K467" s="37">
        <f>IFERROR(Tabela3[[#This Row],[Qtde Cx Produzida]]/Tabela3[[#This Row],[Tempo]]/24,0)</f>
        <v>7.0072992700729939</v>
      </c>
      <c r="L467" s="37">
        <f>Tabela3[[#This Row],[Qtde Cx Produzida]]*Tabela3[[#This Row],[Qdt Peça Placa]]</f>
        <v>384</v>
      </c>
      <c r="M467" s="37">
        <f>Tabela3[[#This Row],[Previsto]]-Tabela3[[#This Row],[Perda Pçs]]</f>
        <v>384</v>
      </c>
      <c r="N467" s="38">
        <f>IFERROR(Tabela3[[#This Row],[Perda Pçs]]/Tabela3[[#This Row],[Previsto]],0)</f>
        <v>0</v>
      </c>
      <c r="O467" s="39">
        <f>IFERROR(IF(Tabela3[[#This Row],[Qtde Cx Produzida]] &lt;&gt; 0, Tabela3[[#This Row],[Tempo]] / Tabela3[[#This Row],[Qtde Cx Produzida]], 0),0)</f>
        <v>5.9461805555555552E-3</v>
      </c>
      <c r="P467" s="57">
        <f>IFERROR(Tabela3[[#This Row],[Perda Pçs]]/Tabela3[[#This Row],[Qdt Peça Placa]],0)</f>
        <v>0</v>
      </c>
      <c r="Q467" s="37">
        <f>IFERROR(Tabela3[[#This Row],[Realizado]]*Tabela3[[#This Row],[Peso Util/Pç]],0)</f>
        <v>12.672000000000001</v>
      </c>
      <c r="R467" s="37">
        <f>IFERROR(Tabela3[[#This Row],[Peso Total Galho]]*Tabela3[[#This Row],[Qtde Cx Produzida]]*1.055,0)</f>
        <v>53.880960000000002</v>
      </c>
      <c r="S467" s="37">
        <f>(Tabela3[[#This Row],[Aluminio Bruto]]-Tabela3[[#This Row],[Aluminio Util]])*0.9</f>
        <v>37.088064000000003</v>
      </c>
      <c r="T467" s="37">
        <f>Tabela3[[#This Row],[Aluminio Bruto]]/OleoKGAluminio</f>
        <v>22.667650204588043</v>
      </c>
      <c r="U467" s="35">
        <f>IFERROR((VLOOKUP(Tabela3[[#This Row],[Moldador]],Tabela1[],5,)+(VLOOKUP(Tabela3[[#This Row],[Ajudante]],Tabela1[],5,))*3.5),0)</f>
        <v>99.95034583333333</v>
      </c>
      <c r="V467" s="35">
        <f>IFERROR(Tabela3[[#This Row],[Custo M.O. / H]]/((Tabela3[[#This Row],[Realizado]]/Tabela3[[#This Row],[Qdt Peça Placa]])/Tabela3[[#This Row],[Tempo]]/24),)</f>
        <v>14.263747269965275</v>
      </c>
      <c r="W467" s="35">
        <f>Tabela3[[#This Row],[Custo / Cx Moldada]]*Tabela3[[#This Row],[Qtde Cx Produzida]]</f>
        <v>228.21995631944441</v>
      </c>
      <c r="X467" s="35">
        <f ca="1">Tabela3[[#This Row],[Aluminio Util]]*Tabela3[[#This Row],[Custo/Kg]]</f>
        <v>223.02720000000002</v>
      </c>
      <c r="Y467" s="35">
        <f>IFERROR(VLOOKUP(Tabela3[[#This Row],[Data]],Tabela461213[],2,1)*(Tabela3[[#This Row],[Qtde Cx Produzida]]*Tabela3[[#This Row],[Qde macho / CX]]*Tabela3[[#This Row],[Peso Macho]]),)</f>
        <v>0</v>
      </c>
      <c r="Z467" s="35">
        <f>IFERROR(Tabela3[[#This Row],[Qtde Oleo]]*(VLOOKUP(Tabela3[[#This Row],[Data]],CompraOleo[],3,TRUE))*1.05,0)</f>
        <v>59.502581787043617</v>
      </c>
      <c r="AA467" s="47">
        <f ca="1">(Tabela3[[#This Row],[Custo Oleo]]+Tabela3[[#This Row],[Custo Aluminio]]+Tabela3[[#This Row],[Custo M.O. Total]]+Tabela3[[#This Row],[Custo Machos]])</f>
        <v>510.74973810648805</v>
      </c>
      <c r="AB467" s="47">
        <f ca="1">Tabela3[[#This Row],[Custo Total]]*Tabela3[[#This Row],[% Perda]]</f>
        <v>0</v>
      </c>
      <c r="AC467" s="48">
        <f>IFERROR(VLOOKUP(Tabela3[[#This Row],[Produto]],Tabela2[],2,0),0)</f>
        <v>24</v>
      </c>
      <c r="AD467" s="48">
        <f>IFERROR(VLOOKUP(Tabela3[[#This Row],[Produto]],Tabela2[],3,0),0)</f>
        <v>3.3000000000000002E-2</v>
      </c>
      <c r="AE467" s="48">
        <f>IFERROR(VLOOKUP(Tabela3[[#This Row],[Produto]],Tabela2[],4,0),0)</f>
        <v>3.1920000000000002</v>
      </c>
      <c r="AF467" s="48">
        <f>IFERROR(VLOOKUP(Tabela3[[#This Row],[Produto]],Tabela2[],5,0),0)</f>
        <v>2.1600000000000006</v>
      </c>
      <c r="AG467" s="40">
        <f>IFERROR(VLOOKUP(Tabela3[[#This Row],[Produto]],Tabela2[],6,0),0)</f>
        <v>0</v>
      </c>
      <c r="AH467" s="40">
        <f>IFERROR(VLOOKUP(Tabela3[[#This Row],[Produto]],Tabela2[],7,0),0)</f>
        <v>0</v>
      </c>
      <c r="AI467" s="40">
        <f>IFERROR(VLOOKUP(Tabela3[[#This Row],[Produto]],Tabela2[],8,0),0)</f>
        <v>0</v>
      </c>
      <c r="AJ467" s="35">
        <f ca="1">IFERROR(VLOOKUP(Tabela3[[#This Row],[Produto]],Tabela2[],13,0),0)</f>
        <v>17.600000000000001</v>
      </c>
      <c r="AK467" s="40" t="str">
        <f>IFERROR(VLOOKUP(Tabela3[[#This Row],[Produto]],Tabela2[],14,0),0)</f>
        <v>Oscar</v>
      </c>
      <c r="AL467" s="40">
        <f>IFERROR(VLOOKUP(Tabela3[[#This Row],[Produto]],Tabela2[],15,0),0)</f>
        <v>0</v>
      </c>
      <c r="AM467" s="36">
        <f ca="1">(Tabela3[[#This Row],[Custo Usinagem]]+Tabela3[[#This Row],[Custo / Pç]])*1.2</f>
        <v>1.596092931582775</v>
      </c>
      <c r="AN467" s="36">
        <f ca="1">Tabela3[[#This Row],[Valor Mínimo Venda]]*1.15</f>
        <v>1.8355068713201912</v>
      </c>
      <c r="AO467" s="36">
        <f ca="1">Tabela3[[#This Row],[Tabela 1]]*1.08</f>
        <v>1.9823474210258065</v>
      </c>
      <c r="AP467" s="36">
        <f ca="1">Tabela3[[#This Row],[Tabela 2]]*1.15</f>
        <v>2.2796995341796773</v>
      </c>
    </row>
    <row r="468" spans="1:42">
      <c r="A468" s="9">
        <v>45862</v>
      </c>
      <c r="B468" s="6" t="s">
        <v>124</v>
      </c>
      <c r="C468" s="14">
        <v>7190</v>
      </c>
      <c r="D468" s="6" t="s">
        <v>44</v>
      </c>
      <c r="E468" s="6" t="s">
        <v>47</v>
      </c>
      <c r="F468" s="6">
        <v>18</v>
      </c>
      <c r="G468" s="15">
        <v>7.2916666666666671E-2</v>
      </c>
      <c r="H468" s="16">
        <v>0</v>
      </c>
      <c r="I468" s="35">
        <f ca="1">IFERROR(Tabela3[[#This Row],[Custo Total]]/Tabela3[[#This Row],[Aluminio Util]],0)</f>
        <v>23.411219795370744</v>
      </c>
      <c r="J468" s="35">
        <f ca="1">Tabela3[[#This Row],[Custo Total]]/Tabela3[[#This Row],[Realizado]]</f>
        <v>39.564961454176554</v>
      </c>
      <c r="K468" s="37">
        <f>IFERROR(Tabela3[[#This Row],[Qtde Cx Produzida]]/Tabela3[[#This Row],[Tempo]]/24,0)</f>
        <v>10.285714285714285</v>
      </c>
      <c r="L468" s="37">
        <f>Tabela3[[#This Row],[Qtde Cx Produzida]]*Tabela3[[#This Row],[Qdt Peça Placa]]</f>
        <v>18</v>
      </c>
      <c r="M468" s="37">
        <f>Tabela3[[#This Row],[Previsto]]-Tabela3[[#This Row],[Perda Pçs]]</f>
        <v>18</v>
      </c>
      <c r="N468" s="38">
        <f>IFERROR(Tabela3[[#This Row],[Perda Pçs]]/Tabela3[[#This Row],[Previsto]],0)</f>
        <v>0</v>
      </c>
      <c r="O468" s="39">
        <f>IFERROR(IF(Tabela3[[#This Row],[Qtde Cx Produzida]] &lt;&gt; 0, Tabela3[[#This Row],[Tempo]] / Tabela3[[#This Row],[Qtde Cx Produzida]], 0),0)</f>
        <v>4.0509259259259266E-3</v>
      </c>
      <c r="P468" s="57">
        <f>IFERROR(Tabela3[[#This Row],[Perda Pçs]]/Tabela3[[#This Row],[Qdt Peça Placa]],0)</f>
        <v>0</v>
      </c>
      <c r="Q468" s="37">
        <f>IFERROR(Tabela3[[#This Row],[Realizado]]*Tabela3[[#This Row],[Peso Util/Pç]],0)</f>
        <v>30.419999999999998</v>
      </c>
      <c r="R468" s="37">
        <f>IFERROR(Tabela3[[#This Row],[Peso Total Galho]]*Tabela3[[#This Row],[Qtde Cx Produzida]]*1.055,0)</f>
        <v>56.780100000000004</v>
      </c>
      <c r="S468" s="37">
        <f>(Tabela3[[#This Row],[Aluminio Bruto]]-Tabela3[[#This Row],[Aluminio Util]])*0.9</f>
        <v>23.724090000000007</v>
      </c>
      <c r="T468" s="37">
        <f>Tabela3[[#This Row],[Aluminio Bruto]]/OleoKGAluminio</f>
        <v>23.887314654036039</v>
      </c>
      <c r="U468" s="35">
        <f>IFERROR((VLOOKUP(Tabela3[[#This Row],[Moldador]],Tabela1[],5,)+(VLOOKUP(Tabela3[[#This Row],[Ajudante]],Tabela1[],5,))*3.5),0)</f>
        <v>99.95034583333333</v>
      </c>
      <c r="V468" s="35">
        <f>IFERROR(Tabela3[[#This Row],[Custo M.O. / H]]/((Tabela3[[#This Row],[Realizado]]/Tabela3[[#This Row],[Qdt Peça Placa]])/Tabela3[[#This Row],[Tempo]]/24),)</f>
        <v>9.7173947337962971</v>
      </c>
      <c r="W468" s="35">
        <f>Tabela3[[#This Row],[Custo / Cx Moldada]]*Tabela3[[#This Row],[Qtde Cx Produzida]]</f>
        <v>174.91310520833335</v>
      </c>
      <c r="X468" s="35">
        <f ca="1">Tabela3[[#This Row],[Aluminio Util]]*Tabela3[[#This Row],[Custo/Kg]]</f>
        <v>474.55200000000002</v>
      </c>
      <c r="Y468" s="35">
        <f>IFERROR(VLOOKUP(Tabela3[[#This Row],[Data]],Tabela461213[],2,1)*(Tabela3[[#This Row],[Qtde Cx Produzida]]*Tabela3[[#This Row],[Qde macho / CX]]*Tabela3[[#This Row],[Peso Macho]]),)</f>
        <v>0</v>
      </c>
      <c r="Z468" s="35">
        <f>IFERROR(Tabela3[[#This Row],[Qtde Oleo]]*(VLOOKUP(Tabela3[[#This Row],[Data]],CompraOleo[],3,TRUE))*1.05,0)</f>
        <v>62.704200966844603</v>
      </c>
      <c r="AA468" s="47">
        <f ca="1">(Tabela3[[#This Row],[Custo Oleo]]+Tabela3[[#This Row],[Custo Aluminio]]+Tabela3[[#This Row],[Custo M.O. Total]]+Tabela3[[#This Row],[Custo Machos]])</f>
        <v>712.16930617517801</v>
      </c>
      <c r="AB468" s="47">
        <f ca="1">Tabela3[[#This Row],[Custo Total]]*Tabela3[[#This Row],[% Perda]]</f>
        <v>0</v>
      </c>
      <c r="AC468" s="48">
        <f>IFERROR(VLOOKUP(Tabela3[[#This Row],[Produto]],Tabela2[],2,0),0)</f>
        <v>1</v>
      </c>
      <c r="AD468" s="48">
        <f>IFERROR(VLOOKUP(Tabela3[[#This Row],[Produto]],Tabela2[],3,0),0)</f>
        <v>1.69</v>
      </c>
      <c r="AE468" s="48">
        <f>IFERROR(VLOOKUP(Tabela3[[#This Row],[Produto]],Tabela2[],4,0),0)</f>
        <v>2.99</v>
      </c>
      <c r="AF468" s="48">
        <f>IFERROR(VLOOKUP(Tabela3[[#This Row],[Produto]],Tabela2[],5,0),0)</f>
        <v>1.1700000000000004</v>
      </c>
      <c r="AG468" s="40">
        <f>IFERROR(VLOOKUP(Tabela3[[#This Row],[Produto]],Tabela2[],6,0),0)</f>
        <v>0</v>
      </c>
      <c r="AH468" s="40">
        <f>IFERROR(VLOOKUP(Tabela3[[#This Row],[Produto]],Tabela2[],7,0),0)</f>
        <v>0</v>
      </c>
      <c r="AI468" s="40">
        <f>IFERROR(VLOOKUP(Tabela3[[#This Row],[Produto]],Tabela2[],8,0),0)</f>
        <v>0</v>
      </c>
      <c r="AJ468" s="35">
        <f ca="1">IFERROR(VLOOKUP(Tabela3[[#This Row],[Produto]],Tabela2[],13,0),0)</f>
        <v>15.600000000000001</v>
      </c>
      <c r="AK468" s="40" t="str">
        <f>IFERROR(VLOOKUP(Tabela3[[#This Row],[Produto]],Tabela2[],14,0),0)</f>
        <v>Jumil</v>
      </c>
      <c r="AL468" s="40">
        <f>IFERROR(VLOOKUP(Tabela3[[#This Row],[Produto]],Tabela2[],15,0),0)</f>
        <v>8</v>
      </c>
      <c r="AM468" s="36">
        <f ca="1">(Tabela3[[#This Row],[Custo Usinagem]]+Tabela3[[#This Row],[Custo / Pç]])*1.2</f>
        <v>57.077953745011861</v>
      </c>
      <c r="AN468" s="36">
        <f ca="1">Tabela3[[#This Row],[Valor Mínimo Venda]]*1.15</f>
        <v>65.639646806763636</v>
      </c>
      <c r="AO468" s="36">
        <f ca="1">Tabela3[[#This Row],[Tabela 1]]*1.08</f>
        <v>70.890818551304733</v>
      </c>
      <c r="AP468" s="36">
        <f ca="1">Tabela3[[#This Row],[Tabela 2]]*1.15</f>
        <v>81.524441334000443</v>
      </c>
    </row>
    <row r="469" spans="1:42">
      <c r="A469" s="9">
        <v>45862</v>
      </c>
      <c r="B469" s="6" t="s">
        <v>241</v>
      </c>
      <c r="C469" s="14">
        <v>7286</v>
      </c>
      <c r="D469" s="6" t="s">
        <v>44</v>
      </c>
      <c r="E469" s="6" t="s">
        <v>47</v>
      </c>
      <c r="F469" s="6">
        <v>30</v>
      </c>
      <c r="G469" s="15">
        <v>0.19583333333333333</v>
      </c>
      <c r="H469" s="16">
        <v>0</v>
      </c>
      <c r="I469" s="35">
        <f ca="1">IFERROR(Tabela3[[#This Row],[Custo Total]]/Tabela3[[#This Row],[Aluminio Util]],0)</f>
        <v>24.053080264855375</v>
      </c>
      <c r="J469" s="35">
        <f ca="1">Tabela3[[#This Row],[Custo Total]]/Tabela3[[#This Row],[Realizado]]</f>
        <v>14.744538202356345</v>
      </c>
      <c r="K469" s="37">
        <f>IFERROR(Tabela3[[#This Row],[Qtde Cx Produzida]]/Tabela3[[#This Row],[Tempo]]/24,0)</f>
        <v>6.3829787234042561</v>
      </c>
      <c r="L469" s="37">
        <f>Tabela3[[#This Row],[Qtde Cx Produzida]]*Tabela3[[#This Row],[Qdt Peça Placa]]</f>
        <v>120</v>
      </c>
      <c r="M469" s="37">
        <f>Tabela3[[#This Row],[Previsto]]-Tabela3[[#This Row],[Perda Pçs]]</f>
        <v>120</v>
      </c>
      <c r="N469" s="38">
        <f>IFERROR(Tabela3[[#This Row],[Perda Pçs]]/Tabela3[[#This Row],[Previsto]],0)</f>
        <v>0</v>
      </c>
      <c r="O469" s="39">
        <f>IFERROR(IF(Tabela3[[#This Row],[Qtde Cx Produzida]] &lt;&gt; 0, Tabela3[[#This Row],[Tempo]] / Tabela3[[#This Row],[Qtde Cx Produzida]], 0),0)</f>
        <v>6.5277777777777773E-3</v>
      </c>
      <c r="P469" s="57">
        <f>IFERROR(Tabela3[[#This Row],[Perda Pçs]]/Tabela3[[#This Row],[Qdt Peça Placa]],0)</f>
        <v>0</v>
      </c>
      <c r="Q469" s="37">
        <f>IFERROR(Tabela3[[#This Row],[Realizado]]*Tabela3[[#This Row],[Peso Util/Pç]],0)</f>
        <v>73.56</v>
      </c>
      <c r="R469" s="37">
        <f>IFERROR(Tabela3[[#This Row],[Peso Total Galho]]*Tabela3[[#This Row],[Qtde Cx Produzida]]*1.055,0)</f>
        <v>137.67749999999998</v>
      </c>
      <c r="S469" s="37">
        <f>(Tabela3[[#This Row],[Aluminio Bruto]]-Tabela3[[#This Row],[Aluminio Util]])*0.9</f>
        <v>57.705749999999981</v>
      </c>
      <c r="T469" s="37">
        <f>Tabela3[[#This Row],[Aluminio Bruto]]/OleoKGAluminio</f>
        <v>57.920746234702762</v>
      </c>
      <c r="U469" s="35">
        <f>IFERROR((VLOOKUP(Tabela3[[#This Row],[Moldador]],Tabela1[],5,)+(VLOOKUP(Tabela3[[#This Row],[Ajudante]],Tabela1[],5,))*3.5),0)</f>
        <v>99.95034583333333</v>
      </c>
      <c r="V469" s="35">
        <f>IFERROR(Tabela3[[#This Row],[Custo M.O. / H]]/((Tabela3[[#This Row],[Realizado]]/Tabela3[[#This Row],[Qdt Peça Placa]])/Tabela3[[#This Row],[Tempo]]/24),)</f>
        <v>15.658887513888887</v>
      </c>
      <c r="W469" s="35">
        <f>Tabela3[[#This Row],[Custo / Cx Moldada]]*Tabela3[[#This Row],[Qtde Cx Produzida]]</f>
        <v>469.76662541666661</v>
      </c>
      <c r="X469" s="35">
        <f ca="1">Tabela3[[#This Row],[Aluminio Util]]*Tabela3[[#This Row],[Custo/Kg]]</f>
        <v>1147.5360000000001</v>
      </c>
      <c r="Y469" s="35">
        <f>IFERROR(VLOOKUP(Tabela3[[#This Row],[Data]],Tabela461213[],2,1)*(Tabela3[[#This Row],[Qtde Cx Produzida]]*Tabela3[[#This Row],[Qde macho / CX]]*Tabela3[[#This Row],[Peso Macho]]),)</f>
        <v>0</v>
      </c>
      <c r="Z469" s="35">
        <f>IFERROR(Tabela3[[#This Row],[Qtde Oleo]]*(VLOOKUP(Tabela3[[#This Row],[Data]],CompraOleo[],3,TRUE))*1.05,0)</f>
        <v>152.04195886609475</v>
      </c>
      <c r="AA469" s="47">
        <f ca="1">(Tabela3[[#This Row],[Custo Oleo]]+Tabela3[[#This Row],[Custo Aluminio]]+Tabela3[[#This Row],[Custo M.O. Total]]+Tabela3[[#This Row],[Custo Machos]])</f>
        <v>1769.3445842827614</v>
      </c>
      <c r="AB469" s="47">
        <f ca="1">Tabela3[[#This Row],[Custo Total]]*Tabela3[[#This Row],[% Perda]]</f>
        <v>0</v>
      </c>
      <c r="AC469" s="48">
        <f>IFERROR(VLOOKUP(Tabela3[[#This Row],[Produto]],Tabela2[],2,0),0)</f>
        <v>4</v>
      </c>
      <c r="AD469" s="48">
        <f>IFERROR(VLOOKUP(Tabela3[[#This Row],[Produto]],Tabela2[],3,0),0)</f>
        <v>0.61299999999999999</v>
      </c>
      <c r="AE469" s="48">
        <f>IFERROR(VLOOKUP(Tabela3[[#This Row],[Produto]],Tabela2[],4,0),0)</f>
        <v>4.3499999999999996</v>
      </c>
      <c r="AF469" s="48">
        <f>IFERROR(VLOOKUP(Tabela3[[#This Row],[Produto]],Tabela2[],5,0),0)</f>
        <v>1.7081999999999997</v>
      </c>
      <c r="AG469" s="40">
        <f>IFERROR(VLOOKUP(Tabela3[[#This Row],[Produto]],Tabela2[],6,0),0)</f>
        <v>0</v>
      </c>
      <c r="AH469" s="40">
        <f>IFERROR(VLOOKUP(Tabela3[[#This Row],[Produto]],Tabela2[],7,0),0)</f>
        <v>0</v>
      </c>
      <c r="AI469" s="40">
        <f>IFERROR(VLOOKUP(Tabela3[[#This Row],[Produto]],Tabela2[],8,0),0)</f>
        <v>0</v>
      </c>
      <c r="AJ469" s="35">
        <f ca="1">IFERROR(VLOOKUP(Tabela3[[#This Row],[Produto]],Tabela2[],13,0),0)</f>
        <v>15.600000000000001</v>
      </c>
      <c r="AK469" s="40" t="str">
        <f>IFERROR(VLOOKUP(Tabela3[[#This Row],[Produto]],Tabela2[],14,0),0)</f>
        <v>Senun</v>
      </c>
      <c r="AL469" s="40">
        <f>IFERROR(VLOOKUP(Tabela3[[#This Row],[Produto]],Tabela2[],15,0),0)</f>
        <v>4</v>
      </c>
      <c r="AM469" s="36">
        <f ca="1">(Tabela3[[#This Row],[Custo Usinagem]]+Tabela3[[#This Row],[Custo / Pç]])*1.2</f>
        <v>22.493445842827615</v>
      </c>
      <c r="AN469" s="36">
        <f ca="1">Tabela3[[#This Row],[Valor Mínimo Venda]]*1.15</f>
        <v>25.867462719251755</v>
      </c>
      <c r="AO469" s="36">
        <f ca="1">Tabela3[[#This Row],[Tabela 1]]*1.08</f>
        <v>27.936859736791899</v>
      </c>
      <c r="AP469" s="36">
        <f ca="1">Tabela3[[#This Row],[Tabela 2]]*1.15</f>
        <v>32.127388697310678</v>
      </c>
    </row>
    <row r="470" spans="1:42">
      <c r="A470" s="9">
        <v>45862</v>
      </c>
      <c r="B470" s="6" t="s">
        <v>245</v>
      </c>
      <c r="C470" s="14">
        <v>7287</v>
      </c>
      <c r="D470" s="6" t="s">
        <v>44</v>
      </c>
      <c r="E470" s="6" t="s">
        <v>47</v>
      </c>
      <c r="F470" s="6">
        <v>17</v>
      </c>
      <c r="G470" s="15">
        <v>7.8472222222222221E-2</v>
      </c>
      <c r="H470" s="16">
        <v>0</v>
      </c>
      <c r="I470" s="35">
        <f ca="1">IFERROR(Tabela3[[#This Row],[Custo Total]]/Tabela3[[#This Row],[Aluminio Util]],0)</f>
        <v>25.955871368792209</v>
      </c>
      <c r="J470" s="35">
        <f ca="1">Tabela3[[#This Row],[Custo Total]]/Tabela3[[#This Row],[Realizado]]</f>
        <v>8.6173492944390144</v>
      </c>
      <c r="K470" s="37">
        <f>IFERROR(Tabela3[[#This Row],[Qtde Cx Produzida]]/Tabela3[[#This Row],[Tempo]]/24,0)</f>
        <v>9.0265486725663724</v>
      </c>
      <c r="L470" s="37">
        <f>Tabela3[[#This Row],[Qtde Cx Produzida]]*Tabela3[[#This Row],[Qdt Peça Placa]]</f>
        <v>68</v>
      </c>
      <c r="M470" s="37">
        <f>Tabela3[[#This Row],[Previsto]]-Tabela3[[#This Row],[Perda Pçs]]</f>
        <v>68</v>
      </c>
      <c r="N470" s="38">
        <f>IFERROR(Tabela3[[#This Row],[Perda Pçs]]/Tabela3[[#This Row],[Previsto]],0)</f>
        <v>0</v>
      </c>
      <c r="O470" s="39">
        <f>IFERROR(IF(Tabela3[[#This Row],[Qtde Cx Produzida]] &lt;&gt; 0, Tabela3[[#This Row],[Tempo]] / Tabela3[[#This Row],[Qtde Cx Produzida]], 0),0)</f>
        <v>4.6160130718954249E-3</v>
      </c>
      <c r="P470" s="57">
        <f>IFERROR(Tabela3[[#This Row],[Perda Pçs]]/Tabela3[[#This Row],[Qdt Peça Placa]],0)</f>
        <v>0</v>
      </c>
      <c r="Q470" s="37">
        <f>IFERROR(Tabela3[[#This Row],[Realizado]]*Tabela3[[#This Row],[Peso Util/Pç]],0)</f>
        <v>22.576000000000001</v>
      </c>
      <c r="R470" s="37">
        <f>IFERROR(Tabela3[[#This Row],[Peso Total Galho]]*Tabela3[[#This Row],[Qtde Cx Produzida]]*1.055,0)</f>
        <v>41.250499999999988</v>
      </c>
      <c r="S470" s="37">
        <f>(Tabela3[[#This Row],[Aluminio Bruto]]-Tabela3[[#This Row],[Aluminio Util]])*0.9</f>
        <v>16.80704999999999</v>
      </c>
      <c r="T470" s="37">
        <f>Tabela3[[#This Row],[Aluminio Bruto]]/OleoKGAluminio</f>
        <v>17.354032013615921</v>
      </c>
      <c r="U470" s="35">
        <f>IFERROR((VLOOKUP(Tabela3[[#This Row],[Moldador]],Tabela1[],5,)+(VLOOKUP(Tabela3[[#This Row],[Ajudante]],Tabela1[],5,))*3.5),0)</f>
        <v>99.95034583333333</v>
      </c>
      <c r="V470" s="35">
        <f>IFERROR(Tabela3[[#This Row],[Custo M.O. / H]]/((Tabela3[[#This Row],[Realizado]]/Tabela3[[#This Row],[Qdt Peça Placa]])/Tabela3[[#This Row],[Tempo]]/24),)</f>
        <v>11.07293046977124</v>
      </c>
      <c r="W470" s="35">
        <f>Tabela3[[#This Row],[Custo / Cx Moldada]]*Tabela3[[#This Row],[Qtde Cx Produzida]]</f>
        <v>188.23981798611109</v>
      </c>
      <c r="X470" s="35">
        <f ca="1">Tabela3[[#This Row],[Aluminio Util]]*Tabela3[[#This Row],[Custo/Kg]]</f>
        <v>352.18560000000002</v>
      </c>
      <c r="Y470" s="35">
        <f>IFERROR(VLOOKUP(Tabela3[[#This Row],[Data]],Tabela461213[],2,1)*(Tabela3[[#This Row],[Qtde Cx Produzida]]*Tabela3[[#This Row],[Qde macho / CX]]*Tabela3[[#This Row],[Peso Macho]]),)</f>
        <v>0</v>
      </c>
      <c r="Z470" s="35">
        <f>IFERROR(Tabela3[[#This Row],[Qtde Oleo]]*(VLOOKUP(Tabela3[[#This Row],[Data]],CompraOleo[],3,TRUE))*1.05,0)</f>
        <v>45.554334035741796</v>
      </c>
      <c r="AA470" s="47">
        <f ca="1">(Tabela3[[#This Row],[Custo Oleo]]+Tabela3[[#This Row],[Custo Aluminio]]+Tabela3[[#This Row],[Custo M.O. Total]]+Tabela3[[#This Row],[Custo Machos]])</f>
        <v>585.97975202185296</v>
      </c>
      <c r="AB470" s="47">
        <f ca="1">Tabela3[[#This Row],[Custo Total]]*Tabela3[[#This Row],[% Perda]]</f>
        <v>0</v>
      </c>
      <c r="AC470" s="48">
        <f>IFERROR(VLOOKUP(Tabela3[[#This Row],[Produto]],Tabela2[],2,0),0)</f>
        <v>4</v>
      </c>
      <c r="AD470" s="48">
        <f>IFERROR(VLOOKUP(Tabela3[[#This Row],[Produto]],Tabela2[],3,0),0)</f>
        <v>0.33200000000000002</v>
      </c>
      <c r="AE470" s="48">
        <f>IFERROR(VLOOKUP(Tabela3[[#This Row],[Produto]],Tabela2[],4,0),0)</f>
        <v>2.2999999999999998</v>
      </c>
      <c r="AF470" s="48">
        <f>IFERROR(VLOOKUP(Tabela3[[#This Row],[Produto]],Tabela2[],5,0),0)</f>
        <v>0.8747999999999998</v>
      </c>
      <c r="AG470" s="40">
        <f>IFERROR(VLOOKUP(Tabela3[[#This Row],[Produto]],Tabela2[],6,0),0)</f>
        <v>0</v>
      </c>
      <c r="AH470" s="40">
        <f>IFERROR(VLOOKUP(Tabela3[[#This Row],[Produto]],Tabela2[],7,0),0)</f>
        <v>0</v>
      </c>
      <c r="AI470" s="40">
        <f>IFERROR(VLOOKUP(Tabela3[[#This Row],[Produto]],Tabela2[],8,0),0)</f>
        <v>0</v>
      </c>
      <c r="AJ470" s="35">
        <f ca="1">IFERROR(VLOOKUP(Tabela3[[#This Row],[Produto]],Tabela2[],13,0),0)</f>
        <v>15.600000000000001</v>
      </c>
      <c r="AK470" s="40" t="str">
        <f>IFERROR(VLOOKUP(Tabela3[[#This Row],[Produto]],Tabela2[],14,0),0)</f>
        <v>Senun</v>
      </c>
      <c r="AL470" s="40">
        <f>IFERROR(VLOOKUP(Tabela3[[#This Row],[Produto]],Tabela2[],15,0),0)</f>
        <v>3.5</v>
      </c>
      <c r="AM470" s="36">
        <f ca="1">(Tabela3[[#This Row],[Custo Usinagem]]+Tabela3[[#This Row],[Custo / Pç]])*1.2</f>
        <v>14.540819153326817</v>
      </c>
      <c r="AN470" s="36">
        <f ca="1">Tabela3[[#This Row],[Valor Mínimo Venda]]*1.15</f>
        <v>16.721942026325838</v>
      </c>
      <c r="AO470" s="36">
        <f ca="1">Tabela3[[#This Row],[Tabela 1]]*1.08</f>
        <v>18.059697388431907</v>
      </c>
      <c r="AP470" s="36">
        <f ca="1">Tabela3[[#This Row],[Tabela 2]]*1.15</f>
        <v>20.76865199669669</v>
      </c>
    </row>
    <row r="471" spans="1:42">
      <c r="A471" s="9">
        <v>45863</v>
      </c>
      <c r="B471" s="6" t="s">
        <v>281</v>
      </c>
      <c r="C471" s="14">
        <v>7263</v>
      </c>
      <c r="D471" s="6" t="s">
        <v>46</v>
      </c>
      <c r="E471" s="6" t="s">
        <v>53</v>
      </c>
      <c r="F471" s="6">
        <v>3</v>
      </c>
      <c r="G471" s="15">
        <v>1.9444444444444445E-2</v>
      </c>
      <c r="H471" s="16">
        <v>0</v>
      </c>
      <c r="I471" s="35">
        <f ca="1">IFERROR(Tabela3[[#This Row],[Custo Total]]/Tabela3[[#This Row],[Aluminio Util]],0)</f>
        <v>41.926695625965024</v>
      </c>
      <c r="J471" s="35">
        <f ca="1">Tabela3[[#This Row],[Custo Total]]/Tabela3[[#This Row],[Realizado]]</f>
        <v>1.3835809556568459</v>
      </c>
      <c r="K471" s="37">
        <f>IFERROR(Tabela3[[#This Row],[Qtde Cx Produzida]]/Tabela3[[#This Row],[Tempo]]/24,0)</f>
        <v>6.4285714285714279</v>
      </c>
      <c r="L471" s="37">
        <f>Tabela3[[#This Row],[Qtde Cx Produzida]]*Tabela3[[#This Row],[Qdt Peça Placa]]</f>
        <v>72</v>
      </c>
      <c r="M471" s="37">
        <f>Tabela3[[#This Row],[Previsto]]-Tabela3[[#This Row],[Perda Pçs]]</f>
        <v>72</v>
      </c>
      <c r="N471" s="38">
        <f>IFERROR(Tabela3[[#This Row],[Perda Pçs]]/Tabela3[[#This Row],[Previsto]],0)</f>
        <v>0</v>
      </c>
      <c r="O471" s="39">
        <f>IFERROR(IF(Tabela3[[#This Row],[Qtde Cx Produzida]] &lt;&gt; 0, Tabela3[[#This Row],[Tempo]] / Tabela3[[#This Row],[Qtde Cx Produzida]], 0),0)</f>
        <v>6.4814814814814813E-3</v>
      </c>
      <c r="P471" s="57">
        <f>IFERROR(Tabela3[[#This Row],[Perda Pçs]]/Tabela3[[#This Row],[Qdt Peça Placa]],0)</f>
        <v>0</v>
      </c>
      <c r="Q471" s="37">
        <f>IFERROR(Tabela3[[#This Row],[Realizado]]*Tabela3[[#This Row],[Peso Util/Pç]],0)</f>
        <v>2.3760000000000003</v>
      </c>
      <c r="R471" s="37">
        <f>IFERROR(Tabela3[[#This Row],[Peso Total Galho]]*Tabela3[[#This Row],[Qtde Cx Produzida]]*1.055,0)</f>
        <v>10.102679999999999</v>
      </c>
      <c r="S471" s="37">
        <f>(Tabela3[[#This Row],[Aluminio Bruto]]-Tabela3[[#This Row],[Aluminio Util]])*0.9</f>
        <v>6.9540119999999996</v>
      </c>
      <c r="T471" s="37">
        <f>Tabela3[[#This Row],[Aluminio Bruto]]/OleoKGAluminio</f>
        <v>4.250184413360258</v>
      </c>
      <c r="U471" s="35">
        <f>IFERROR((VLOOKUP(Tabela3[[#This Row],[Moldador]],Tabela1[],5,)+(VLOOKUP(Tabela3[[#This Row],[Ajudante]],Tabela1[],5,))*3.5),0)</f>
        <v>99.95034583333333</v>
      </c>
      <c r="V471" s="35">
        <f>IFERROR(Tabela3[[#This Row],[Custo M.O. / H]]/((Tabela3[[#This Row],[Realizado]]/Tabela3[[#This Row],[Qdt Peça Placa]])/Tabela3[[#This Row],[Tempo]]/24),)</f>
        <v>15.547831574074076</v>
      </c>
      <c r="W471" s="35">
        <f>Tabela3[[#This Row],[Custo / Cx Moldada]]*Tabela3[[#This Row],[Qtde Cx Produzida]]</f>
        <v>46.643494722222229</v>
      </c>
      <c r="X471" s="35">
        <f ca="1">Tabela3[[#This Row],[Aluminio Util]]*Tabela3[[#This Row],[Custo/Kg]]</f>
        <v>41.817600000000006</v>
      </c>
      <c r="Y471" s="35">
        <f>IFERROR(VLOOKUP(Tabela3[[#This Row],[Data]],Tabela461213[],2,1)*(Tabela3[[#This Row],[Qtde Cx Produzida]]*Tabela3[[#This Row],[Qde macho / CX]]*Tabela3[[#This Row],[Peso Macho]]),)</f>
        <v>0</v>
      </c>
      <c r="Z471" s="35">
        <f>IFERROR(Tabela3[[#This Row],[Qtde Oleo]]*(VLOOKUP(Tabela3[[#This Row],[Data]],CompraOleo[],3,TRUE))*1.05,0)</f>
        <v>11.156734085070678</v>
      </c>
      <c r="AA471" s="47">
        <f ca="1">(Tabela3[[#This Row],[Custo Oleo]]+Tabela3[[#This Row],[Custo Aluminio]]+Tabela3[[#This Row],[Custo M.O. Total]]+Tabela3[[#This Row],[Custo Machos]])</f>
        <v>99.617828807292909</v>
      </c>
      <c r="AB471" s="47">
        <f ca="1">Tabela3[[#This Row],[Custo Total]]*Tabela3[[#This Row],[% Perda]]</f>
        <v>0</v>
      </c>
      <c r="AC471" s="48">
        <f>IFERROR(VLOOKUP(Tabela3[[#This Row],[Produto]],Tabela2[],2,0),0)</f>
        <v>24</v>
      </c>
      <c r="AD471" s="48">
        <f>IFERROR(VLOOKUP(Tabela3[[#This Row],[Produto]],Tabela2[],3,0),0)</f>
        <v>3.3000000000000002E-2</v>
      </c>
      <c r="AE471" s="48">
        <f>IFERROR(VLOOKUP(Tabela3[[#This Row],[Produto]],Tabela2[],4,0),0)</f>
        <v>3.1920000000000002</v>
      </c>
      <c r="AF471" s="48">
        <f>IFERROR(VLOOKUP(Tabela3[[#This Row],[Produto]],Tabela2[],5,0),0)</f>
        <v>2.1600000000000006</v>
      </c>
      <c r="AG471" s="40">
        <f>IFERROR(VLOOKUP(Tabela3[[#This Row],[Produto]],Tabela2[],6,0),0)</f>
        <v>0</v>
      </c>
      <c r="AH471" s="40">
        <f>IFERROR(VLOOKUP(Tabela3[[#This Row],[Produto]],Tabela2[],7,0),0)</f>
        <v>0</v>
      </c>
      <c r="AI471" s="40">
        <f>IFERROR(VLOOKUP(Tabela3[[#This Row],[Produto]],Tabela2[],8,0),0)</f>
        <v>0</v>
      </c>
      <c r="AJ471" s="35">
        <f ca="1">IFERROR(VLOOKUP(Tabela3[[#This Row],[Produto]],Tabela2[],13,0),0)</f>
        <v>17.600000000000001</v>
      </c>
      <c r="AK471" s="40" t="str">
        <f>IFERROR(VLOOKUP(Tabela3[[#This Row],[Produto]],Tabela2[],14,0),0)</f>
        <v>Oscar</v>
      </c>
      <c r="AL471" s="40">
        <f>IFERROR(VLOOKUP(Tabela3[[#This Row],[Produto]],Tabela2[],15,0),0)</f>
        <v>0</v>
      </c>
      <c r="AM471" s="36">
        <f ca="1">(Tabela3[[#This Row],[Custo Usinagem]]+Tabela3[[#This Row],[Custo / Pç]])*1.2</f>
        <v>1.6602971467882151</v>
      </c>
      <c r="AN471" s="36">
        <f ca="1">Tabela3[[#This Row],[Valor Mínimo Venda]]*1.15</f>
        <v>1.9093417188064472</v>
      </c>
      <c r="AO471" s="36">
        <f ca="1">Tabela3[[#This Row],[Tabela 1]]*1.08</f>
        <v>2.0620890563109633</v>
      </c>
      <c r="AP471" s="36">
        <f ca="1">Tabela3[[#This Row],[Tabela 2]]*1.15</f>
        <v>2.3714024147576076</v>
      </c>
    </row>
    <row r="472" spans="1:42">
      <c r="A472" s="9">
        <v>45863</v>
      </c>
      <c r="B472" s="6" t="s">
        <v>137</v>
      </c>
      <c r="C472" s="14">
        <v>7306</v>
      </c>
      <c r="D472" s="6" t="s">
        <v>46</v>
      </c>
      <c r="E472" s="6" t="s">
        <v>53</v>
      </c>
      <c r="F472" s="6">
        <v>38</v>
      </c>
      <c r="G472" s="15">
        <v>0.20277777777777778</v>
      </c>
      <c r="H472" s="16">
        <v>0</v>
      </c>
      <c r="I472" s="35">
        <f ca="1">IFERROR(Tabela3[[#This Row],[Custo Total]]/Tabela3[[#This Row],[Aluminio Util]],0)</f>
        <v>25.174981148124068</v>
      </c>
      <c r="J472" s="35">
        <f ca="1">Tabela3[[#This Row],[Custo Total]]/Tabela3[[#This Row],[Realizado]]</f>
        <v>9.742717704324015</v>
      </c>
      <c r="K472" s="37">
        <f>IFERROR(Tabela3[[#This Row],[Qtde Cx Produzida]]/Tabela3[[#This Row],[Tempo]]/24,0)</f>
        <v>7.808219178082191</v>
      </c>
      <c r="L472" s="37">
        <f>Tabela3[[#This Row],[Qtde Cx Produzida]]*Tabela3[[#This Row],[Qdt Peça Placa]]</f>
        <v>228</v>
      </c>
      <c r="M472" s="37">
        <f>Tabela3[[#This Row],[Previsto]]-Tabela3[[#This Row],[Perda Pçs]]</f>
        <v>228</v>
      </c>
      <c r="N472" s="38">
        <f>IFERROR(Tabela3[[#This Row],[Perda Pçs]]/Tabela3[[#This Row],[Previsto]],0)</f>
        <v>0</v>
      </c>
      <c r="O472" s="39">
        <f>IFERROR(IF(Tabela3[[#This Row],[Qtde Cx Produzida]] &lt;&gt; 0, Tabela3[[#This Row],[Tempo]] / Tabela3[[#This Row],[Qtde Cx Produzida]], 0),0)</f>
        <v>5.3362573099415209E-3</v>
      </c>
      <c r="P472" s="57">
        <f>IFERROR(Tabela3[[#This Row],[Perda Pçs]]/Tabela3[[#This Row],[Qdt Peça Placa]],0)</f>
        <v>0</v>
      </c>
      <c r="Q472" s="37">
        <f>IFERROR(Tabela3[[#This Row],[Realizado]]*Tabela3[[#This Row],[Peso Util/Pç]],0)</f>
        <v>88.236000000000004</v>
      </c>
      <c r="R472" s="37">
        <f>IFERROR(Tabela3[[#This Row],[Peso Total Galho]]*Tabela3[[#This Row],[Qtde Cx Produzida]]*1.055,0)</f>
        <v>164.76990000000001</v>
      </c>
      <c r="S472" s="37">
        <f>(Tabela3[[#This Row],[Aluminio Bruto]]-Tabela3[[#This Row],[Aluminio Util]])*0.9</f>
        <v>68.880510000000001</v>
      </c>
      <c r="T472" s="37">
        <f>Tabela3[[#This Row],[Aluminio Bruto]]/OleoKGAluminio</f>
        <v>69.31848388456612</v>
      </c>
      <c r="U472" s="35">
        <f>IFERROR((VLOOKUP(Tabela3[[#This Row],[Moldador]],Tabela1[],5,)+(VLOOKUP(Tabela3[[#This Row],[Ajudante]],Tabela1[],5,))*3.5),0)</f>
        <v>99.95034583333333</v>
      </c>
      <c r="V472" s="35">
        <f>IFERROR(Tabela3[[#This Row],[Custo M.O. / H]]/((Tabela3[[#This Row],[Realizado]]/Tabela3[[#This Row],[Qdt Peça Placa]])/Tabela3[[#This Row],[Tempo]]/24),)</f>
        <v>12.800658326023393</v>
      </c>
      <c r="W472" s="35">
        <f>Tabela3[[#This Row],[Custo / Cx Moldada]]*Tabela3[[#This Row],[Qtde Cx Produzida]]</f>
        <v>486.42501638888893</v>
      </c>
      <c r="X472" s="35">
        <f ca="1">Tabela3[[#This Row],[Aluminio Util]]*Tabela3[[#This Row],[Custo/Kg]]</f>
        <v>1552.9536000000003</v>
      </c>
      <c r="Y472" s="35">
        <f>IFERROR(VLOOKUP(Tabela3[[#This Row],[Data]],Tabela461213[],2,1)*(Tabela3[[#This Row],[Qtde Cx Produzida]]*Tabela3[[#This Row],[Qde macho / CX]]*Tabela3[[#This Row],[Peso Macho]]),)</f>
        <v>0</v>
      </c>
      <c r="Z472" s="35">
        <f>IFERROR(Tabela3[[#This Row],[Qtde Oleo]]*(VLOOKUP(Tabela3[[#This Row],[Data]],CompraOleo[],3,TRUE))*1.05,0)</f>
        <v>181.96102019698608</v>
      </c>
      <c r="AA472" s="47">
        <f ca="1">(Tabela3[[#This Row],[Custo Oleo]]+Tabela3[[#This Row],[Custo Aluminio]]+Tabela3[[#This Row],[Custo M.O. Total]]+Tabela3[[#This Row],[Custo Machos]])</f>
        <v>2221.3396365858753</v>
      </c>
      <c r="AB472" s="47">
        <f ca="1">Tabela3[[#This Row],[Custo Total]]*Tabela3[[#This Row],[% Perda]]</f>
        <v>0</v>
      </c>
      <c r="AC472" s="48">
        <f>IFERROR(VLOOKUP(Tabela3[[#This Row],[Produto]],Tabela2[],2,0),0)</f>
        <v>6</v>
      </c>
      <c r="AD472" s="48">
        <f>IFERROR(VLOOKUP(Tabela3[[#This Row],[Produto]],Tabela2[],3,0),0)</f>
        <v>0.38700000000000001</v>
      </c>
      <c r="AE472" s="48">
        <f>IFERROR(VLOOKUP(Tabela3[[#This Row],[Produto]],Tabela2[],4,0),0)</f>
        <v>4.1100000000000003</v>
      </c>
      <c r="AF472" s="48">
        <f>IFERROR(VLOOKUP(Tabela3[[#This Row],[Produto]],Tabela2[],5,0),0)</f>
        <v>1.6092000000000002</v>
      </c>
      <c r="AG472" s="40">
        <f>IFERROR(VLOOKUP(Tabela3[[#This Row],[Produto]],Tabela2[],6,0),0)</f>
        <v>0</v>
      </c>
      <c r="AH472" s="40">
        <f>IFERROR(VLOOKUP(Tabela3[[#This Row],[Produto]],Tabela2[],7,0),0)</f>
        <v>0</v>
      </c>
      <c r="AI472" s="40">
        <f>IFERROR(VLOOKUP(Tabela3[[#This Row],[Produto]],Tabela2[],8,0),0)</f>
        <v>0</v>
      </c>
      <c r="AJ472" s="35">
        <f ca="1">IFERROR(VLOOKUP(Tabela3[[#This Row],[Produto]],Tabela2[],13,0),0)</f>
        <v>17.600000000000001</v>
      </c>
      <c r="AK472" s="40" t="str">
        <f>IFERROR(VLOOKUP(Tabela3[[#This Row],[Produto]],Tabela2[],14,0),0)</f>
        <v>Marcelo</v>
      </c>
      <c r="AL472" s="40">
        <f>IFERROR(VLOOKUP(Tabela3[[#This Row],[Produto]],Tabela2[],15,0),0)</f>
        <v>5</v>
      </c>
      <c r="AM472" s="36">
        <f ca="1">(Tabela3[[#This Row],[Custo Usinagem]]+Tabela3[[#This Row],[Custo / Pç]])*1.2</f>
        <v>17.691261245188816</v>
      </c>
      <c r="AN472" s="36">
        <f ca="1">Tabela3[[#This Row],[Valor Mínimo Venda]]*1.15</f>
        <v>20.344950431967138</v>
      </c>
      <c r="AO472" s="36">
        <f ca="1">Tabela3[[#This Row],[Tabela 1]]*1.08</f>
        <v>21.972546466524509</v>
      </c>
      <c r="AP472" s="36">
        <f ca="1">Tabela3[[#This Row],[Tabela 2]]*1.15</f>
        <v>25.268428436503182</v>
      </c>
    </row>
    <row r="473" spans="1:42">
      <c r="A473" s="9">
        <v>45863</v>
      </c>
      <c r="B473" s="6" t="s">
        <v>245</v>
      </c>
      <c r="C473" s="14">
        <v>7287</v>
      </c>
      <c r="D473" s="6" t="s">
        <v>44</v>
      </c>
      <c r="E473" s="6" t="s">
        <v>47</v>
      </c>
      <c r="F473" s="6">
        <v>65</v>
      </c>
      <c r="G473" s="15">
        <v>0.34722222222222221</v>
      </c>
      <c r="H473" s="16">
        <v>0</v>
      </c>
      <c r="I473" s="35">
        <f ca="1">IFERROR(Tabela3[[#This Row],[Custo Total]]/Tabela3[[#This Row],[Aluminio Util]],0)</f>
        <v>27.267028320552868</v>
      </c>
      <c r="J473" s="35">
        <f ca="1">Tabela3[[#This Row],[Custo Total]]/Tabela3[[#This Row],[Realizado]]</f>
        <v>9.0526534024235534</v>
      </c>
      <c r="K473" s="37">
        <f>IFERROR(Tabela3[[#This Row],[Qtde Cx Produzida]]/Tabela3[[#This Row],[Tempo]]/24,0)</f>
        <v>7.8000000000000007</v>
      </c>
      <c r="L473" s="37">
        <f>Tabela3[[#This Row],[Qtde Cx Produzida]]*Tabela3[[#This Row],[Qdt Peça Placa]]</f>
        <v>260</v>
      </c>
      <c r="M473" s="37">
        <f>Tabela3[[#This Row],[Previsto]]-Tabela3[[#This Row],[Perda Pçs]]</f>
        <v>260</v>
      </c>
      <c r="N473" s="38">
        <f>IFERROR(Tabela3[[#This Row],[Perda Pçs]]/Tabela3[[#This Row],[Previsto]],0)</f>
        <v>0</v>
      </c>
      <c r="O473" s="39">
        <f>IFERROR(IF(Tabela3[[#This Row],[Qtde Cx Produzida]] &lt;&gt; 0, Tabela3[[#This Row],[Tempo]] / Tabela3[[#This Row],[Qtde Cx Produzida]], 0),0)</f>
        <v>5.341880341880342E-3</v>
      </c>
      <c r="P473" s="57">
        <f>IFERROR(Tabela3[[#This Row],[Perda Pçs]]/Tabela3[[#This Row],[Qdt Peça Placa]],0)</f>
        <v>0</v>
      </c>
      <c r="Q473" s="37">
        <f>IFERROR(Tabela3[[#This Row],[Realizado]]*Tabela3[[#This Row],[Peso Util/Pç]],0)</f>
        <v>86.320000000000007</v>
      </c>
      <c r="R473" s="37">
        <f>IFERROR(Tabela3[[#This Row],[Peso Total Galho]]*Tabela3[[#This Row],[Qtde Cx Produzida]]*1.055,0)</f>
        <v>157.7225</v>
      </c>
      <c r="S473" s="37">
        <f>(Tabela3[[#This Row],[Aluminio Bruto]]-Tabela3[[#This Row],[Aluminio Util]])*0.9</f>
        <v>64.262249999999995</v>
      </c>
      <c r="T473" s="37">
        <f>Tabela3[[#This Row],[Aluminio Bruto]]/OleoKGAluminio</f>
        <v>66.353651816766771</v>
      </c>
      <c r="U473" s="35">
        <f>IFERROR((VLOOKUP(Tabela3[[#This Row],[Moldador]],Tabela1[],5,)+(VLOOKUP(Tabela3[[#This Row],[Ajudante]],Tabela1[],5,))*3.5),0)</f>
        <v>99.95034583333333</v>
      </c>
      <c r="V473" s="35">
        <f>IFERROR(Tabela3[[#This Row],[Custo M.O. / H]]/((Tabela3[[#This Row],[Realizado]]/Tabela3[[#This Row],[Qdt Peça Placa]])/Tabela3[[#This Row],[Tempo]]/24),)</f>
        <v>12.8141469017094</v>
      </c>
      <c r="W473" s="35">
        <f>Tabela3[[#This Row],[Custo / Cx Moldada]]*Tabela3[[#This Row],[Qtde Cx Produzida]]</f>
        <v>832.91954861111094</v>
      </c>
      <c r="X473" s="35">
        <f ca="1">Tabela3[[#This Row],[Aluminio Util]]*Tabela3[[#This Row],[Custo/Kg]]</f>
        <v>1346.5920000000003</v>
      </c>
      <c r="Y473" s="35">
        <f>IFERROR(VLOOKUP(Tabela3[[#This Row],[Data]],Tabela461213[],2,1)*(Tabela3[[#This Row],[Qtde Cx Produzida]]*Tabela3[[#This Row],[Qde macho / CX]]*Tabela3[[#This Row],[Peso Macho]]),)</f>
        <v>0</v>
      </c>
      <c r="Z473" s="35">
        <f>IFERROR(Tabela3[[#This Row],[Qtde Oleo]]*(VLOOKUP(Tabela3[[#This Row],[Data]],CompraOleo[],3,TRUE))*1.05,0)</f>
        <v>174.17833601901279</v>
      </c>
      <c r="AA473" s="47">
        <f ca="1">(Tabela3[[#This Row],[Custo Oleo]]+Tabela3[[#This Row],[Custo Aluminio]]+Tabela3[[#This Row],[Custo M.O. Total]]+Tabela3[[#This Row],[Custo Machos]])</f>
        <v>2353.6898846301237</v>
      </c>
      <c r="AB473" s="47">
        <f ca="1">Tabela3[[#This Row],[Custo Total]]*Tabela3[[#This Row],[% Perda]]</f>
        <v>0</v>
      </c>
      <c r="AC473" s="48">
        <f>IFERROR(VLOOKUP(Tabela3[[#This Row],[Produto]],Tabela2[],2,0),0)</f>
        <v>4</v>
      </c>
      <c r="AD473" s="48">
        <f>IFERROR(VLOOKUP(Tabela3[[#This Row],[Produto]],Tabela2[],3,0),0)</f>
        <v>0.33200000000000002</v>
      </c>
      <c r="AE473" s="48">
        <f>IFERROR(VLOOKUP(Tabela3[[#This Row],[Produto]],Tabela2[],4,0),0)</f>
        <v>2.2999999999999998</v>
      </c>
      <c r="AF473" s="48">
        <f>IFERROR(VLOOKUP(Tabela3[[#This Row],[Produto]],Tabela2[],5,0),0)</f>
        <v>0.8747999999999998</v>
      </c>
      <c r="AG473" s="40">
        <f>IFERROR(VLOOKUP(Tabela3[[#This Row],[Produto]],Tabela2[],6,0),0)</f>
        <v>0</v>
      </c>
      <c r="AH473" s="40">
        <f>IFERROR(VLOOKUP(Tabela3[[#This Row],[Produto]],Tabela2[],7,0),0)</f>
        <v>0</v>
      </c>
      <c r="AI473" s="40">
        <f>IFERROR(VLOOKUP(Tabela3[[#This Row],[Produto]],Tabela2[],8,0),0)</f>
        <v>0</v>
      </c>
      <c r="AJ473" s="35">
        <f ca="1">IFERROR(VLOOKUP(Tabela3[[#This Row],[Produto]],Tabela2[],13,0),0)</f>
        <v>15.600000000000001</v>
      </c>
      <c r="AK473" s="40" t="str">
        <f>IFERROR(VLOOKUP(Tabela3[[#This Row],[Produto]],Tabela2[],14,0),0)</f>
        <v>Senun</v>
      </c>
      <c r="AL473" s="40">
        <f>IFERROR(VLOOKUP(Tabela3[[#This Row],[Produto]],Tabela2[],15,0),0)</f>
        <v>3.5</v>
      </c>
      <c r="AM473" s="36">
        <f ca="1">(Tabela3[[#This Row],[Custo Usinagem]]+Tabela3[[#This Row],[Custo / Pç]])*1.2</f>
        <v>15.063184082908263</v>
      </c>
      <c r="AN473" s="36">
        <f ca="1">Tabela3[[#This Row],[Valor Mínimo Venda]]*1.15</f>
        <v>17.3226616953445</v>
      </c>
      <c r="AO473" s="36">
        <f ca="1">Tabela3[[#This Row],[Tabela 1]]*1.08</f>
        <v>18.708474630972063</v>
      </c>
      <c r="AP473" s="36">
        <f ca="1">Tabela3[[#This Row],[Tabela 2]]*1.15</f>
        <v>21.514745825617872</v>
      </c>
    </row>
    <row r="474" spans="1:42">
      <c r="A474" s="9">
        <v>45866</v>
      </c>
      <c r="B474" s="6" t="s">
        <v>245</v>
      </c>
      <c r="C474" s="14">
        <v>7287</v>
      </c>
      <c r="D474" s="6" t="s">
        <v>44</v>
      </c>
      <c r="E474" s="6" t="s">
        <v>47</v>
      </c>
      <c r="F474" s="6">
        <v>70</v>
      </c>
      <c r="G474" s="15">
        <v>0.33402777777777776</v>
      </c>
      <c r="H474" s="16">
        <v>0</v>
      </c>
      <c r="I474" s="35">
        <f ca="1">IFERROR(Tabela3[[#This Row],[Custo Total]]/Tabela3[[#This Row],[Aluminio Util]],0)</f>
        <v>26.237320087379793</v>
      </c>
      <c r="J474" s="35">
        <f ca="1">Tabela3[[#This Row],[Custo Total]]/Tabela3[[#This Row],[Realizado]]</f>
        <v>8.7107902690100918</v>
      </c>
      <c r="K474" s="37">
        <f>IFERROR(Tabela3[[#This Row],[Qtde Cx Produzida]]/Tabela3[[#This Row],[Tempo]]/24,0)</f>
        <v>8.7318087318087318</v>
      </c>
      <c r="L474" s="37">
        <f>Tabela3[[#This Row],[Qtde Cx Produzida]]*Tabela3[[#This Row],[Qdt Peça Placa]]</f>
        <v>280</v>
      </c>
      <c r="M474" s="37">
        <f>Tabela3[[#This Row],[Previsto]]-Tabela3[[#This Row],[Perda Pçs]]</f>
        <v>280</v>
      </c>
      <c r="N474" s="38">
        <f>IFERROR(Tabela3[[#This Row],[Perda Pçs]]/Tabela3[[#This Row],[Previsto]],0)</f>
        <v>0</v>
      </c>
      <c r="O474" s="39">
        <f>IFERROR(IF(Tabela3[[#This Row],[Qtde Cx Produzida]] &lt;&gt; 0, Tabela3[[#This Row],[Tempo]] / Tabela3[[#This Row],[Qtde Cx Produzida]], 0),0)</f>
        <v>4.7718253968253967E-3</v>
      </c>
      <c r="P474" s="57">
        <f>IFERROR(Tabela3[[#This Row],[Perda Pçs]]/Tabela3[[#This Row],[Qdt Peça Placa]],0)</f>
        <v>0</v>
      </c>
      <c r="Q474" s="37">
        <f>IFERROR(Tabela3[[#This Row],[Realizado]]*Tabela3[[#This Row],[Peso Util/Pç]],0)</f>
        <v>92.960000000000008</v>
      </c>
      <c r="R474" s="37">
        <f>IFERROR(Tabela3[[#This Row],[Peso Total Galho]]*Tabela3[[#This Row],[Qtde Cx Produzida]]*1.055,0)</f>
        <v>169.85499999999999</v>
      </c>
      <c r="S474" s="37">
        <f>(Tabela3[[#This Row],[Aluminio Bruto]]-Tabela3[[#This Row],[Aluminio Util]])*0.9</f>
        <v>69.205499999999986</v>
      </c>
      <c r="T474" s="37">
        <f>Tabela3[[#This Row],[Aluminio Bruto]]/OleoKGAluminio</f>
        <v>71.457778879594983</v>
      </c>
      <c r="U474" s="35">
        <f>IFERROR((VLOOKUP(Tabela3[[#This Row],[Moldador]],Tabela1[],5,)+(VLOOKUP(Tabela3[[#This Row],[Ajudante]],Tabela1[],5,))*3.5),0)</f>
        <v>99.95034583333333</v>
      </c>
      <c r="V474" s="35">
        <f>IFERROR(Tabela3[[#This Row],[Custo M.O. / H]]/((Tabela3[[#This Row],[Realizado]]/Tabela3[[#This Row],[Qdt Peça Placa]])/Tabela3[[#This Row],[Tempo]]/24),)</f>
        <v>11.446694368055555</v>
      </c>
      <c r="W474" s="35">
        <f>Tabela3[[#This Row],[Custo / Cx Moldada]]*Tabela3[[#This Row],[Qtde Cx Produzida]]</f>
        <v>801.26860576388879</v>
      </c>
      <c r="X474" s="35">
        <f ca="1">Tabela3[[#This Row],[Aluminio Util]]*Tabela3[[#This Row],[Custo/Kg]]</f>
        <v>1450.1760000000002</v>
      </c>
      <c r="Y474" s="35">
        <f>IFERROR(VLOOKUP(Tabela3[[#This Row],[Data]],Tabela461213[],2,1)*(Tabela3[[#This Row],[Qtde Cx Produzida]]*Tabela3[[#This Row],[Qde macho / CX]]*Tabela3[[#This Row],[Peso Macho]]),)</f>
        <v>0</v>
      </c>
      <c r="Z474" s="35">
        <f>IFERROR(Tabela3[[#This Row],[Qtde Oleo]]*(VLOOKUP(Tabela3[[#This Row],[Data]],CompraOleo[],3,TRUE))*1.05,0)</f>
        <v>187.57666955893683</v>
      </c>
      <c r="AA474" s="47">
        <f ca="1">(Tabela3[[#This Row],[Custo Oleo]]+Tabela3[[#This Row],[Custo Aluminio]]+Tabela3[[#This Row],[Custo M.O. Total]]+Tabela3[[#This Row],[Custo Machos]])</f>
        <v>2439.0212753228257</v>
      </c>
      <c r="AB474" s="47">
        <f ca="1">Tabela3[[#This Row],[Custo Total]]*Tabela3[[#This Row],[% Perda]]</f>
        <v>0</v>
      </c>
      <c r="AC474" s="48">
        <f>IFERROR(VLOOKUP(Tabela3[[#This Row],[Produto]],Tabela2[],2,0),0)</f>
        <v>4</v>
      </c>
      <c r="AD474" s="48">
        <f>IFERROR(VLOOKUP(Tabela3[[#This Row],[Produto]],Tabela2[],3,0),0)</f>
        <v>0.33200000000000002</v>
      </c>
      <c r="AE474" s="48">
        <f>IFERROR(VLOOKUP(Tabela3[[#This Row],[Produto]],Tabela2[],4,0),0)</f>
        <v>2.2999999999999998</v>
      </c>
      <c r="AF474" s="48">
        <f>IFERROR(VLOOKUP(Tabela3[[#This Row],[Produto]],Tabela2[],5,0),0)</f>
        <v>0.8747999999999998</v>
      </c>
      <c r="AG474" s="40">
        <f>IFERROR(VLOOKUP(Tabela3[[#This Row],[Produto]],Tabela2[],6,0),0)</f>
        <v>0</v>
      </c>
      <c r="AH474" s="40">
        <f>IFERROR(VLOOKUP(Tabela3[[#This Row],[Produto]],Tabela2[],7,0),0)</f>
        <v>0</v>
      </c>
      <c r="AI474" s="40">
        <f>IFERROR(VLOOKUP(Tabela3[[#This Row],[Produto]],Tabela2[],8,0),0)</f>
        <v>0</v>
      </c>
      <c r="AJ474" s="35">
        <f ca="1">IFERROR(VLOOKUP(Tabela3[[#This Row],[Produto]],Tabela2[],13,0),0)</f>
        <v>15.600000000000001</v>
      </c>
      <c r="AK474" s="40" t="str">
        <f>IFERROR(VLOOKUP(Tabela3[[#This Row],[Produto]],Tabela2[],14,0),0)</f>
        <v>Senun</v>
      </c>
      <c r="AL474" s="40">
        <f>IFERROR(VLOOKUP(Tabela3[[#This Row],[Produto]],Tabela2[],15,0),0)</f>
        <v>3.5</v>
      </c>
      <c r="AM474" s="36">
        <f ca="1">(Tabela3[[#This Row],[Custo Usinagem]]+Tabela3[[#This Row],[Custo / Pç]])*1.2</f>
        <v>14.65294832281211</v>
      </c>
      <c r="AN474" s="36">
        <f ca="1">Tabela3[[#This Row],[Valor Mínimo Venda]]*1.15</f>
        <v>16.850890571233926</v>
      </c>
      <c r="AO474" s="36">
        <f ca="1">Tabela3[[#This Row],[Tabela 1]]*1.08</f>
        <v>18.198961816932641</v>
      </c>
      <c r="AP474" s="36">
        <f ca="1">Tabela3[[#This Row],[Tabela 2]]*1.15</f>
        <v>20.928806089472534</v>
      </c>
    </row>
    <row r="475" spans="1:42">
      <c r="A475" s="9">
        <v>45866</v>
      </c>
      <c r="B475" s="6" t="s">
        <v>281</v>
      </c>
      <c r="C475" s="14">
        <v>7322</v>
      </c>
      <c r="D475" s="6" t="s">
        <v>46</v>
      </c>
      <c r="E475" s="6" t="s">
        <v>53</v>
      </c>
      <c r="F475" s="6">
        <v>20</v>
      </c>
      <c r="G475" s="15">
        <v>0.10625</v>
      </c>
      <c r="H475" s="16">
        <v>0</v>
      </c>
      <c r="I475" s="35">
        <f ca="1">IFERROR(Tabela3[[#This Row],[Custo Total]]/Tabela3[[#This Row],[Aluminio Util]],0)</f>
        <v>38.386086433636649</v>
      </c>
      <c r="J475" s="35">
        <f ca="1">Tabela3[[#This Row],[Custo Total]]/Tabela3[[#This Row],[Realizado]]</f>
        <v>1.2667408523100092</v>
      </c>
      <c r="K475" s="37">
        <f>IFERROR(Tabela3[[#This Row],[Qtde Cx Produzida]]/Tabela3[[#This Row],[Tempo]]/24,0)</f>
        <v>7.8431372549019613</v>
      </c>
      <c r="L475" s="37">
        <f>Tabela3[[#This Row],[Qtde Cx Produzida]]*Tabela3[[#This Row],[Qdt Peça Placa]]</f>
        <v>480</v>
      </c>
      <c r="M475" s="37">
        <f>Tabela3[[#This Row],[Previsto]]-Tabela3[[#This Row],[Perda Pçs]]</f>
        <v>480</v>
      </c>
      <c r="N475" s="38">
        <f>IFERROR(Tabela3[[#This Row],[Perda Pçs]]/Tabela3[[#This Row],[Previsto]],0)</f>
        <v>0</v>
      </c>
      <c r="O475" s="39">
        <f>IFERROR(IF(Tabela3[[#This Row],[Qtde Cx Produzida]] &lt;&gt; 0, Tabela3[[#This Row],[Tempo]] / Tabela3[[#This Row],[Qtde Cx Produzida]], 0),0)</f>
        <v>5.3124999999999995E-3</v>
      </c>
      <c r="P475" s="57">
        <f>IFERROR(Tabela3[[#This Row],[Perda Pçs]]/Tabela3[[#This Row],[Qdt Peça Placa]],0)</f>
        <v>0</v>
      </c>
      <c r="Q475" s="37">
        <f>IFERROR(Tabela3[[#This Row],[Realizado]]*Tabela3[[#This Row],[Peso Util/Pç]],0)</f>
        <v>15.84</v>
      </c>
      <c r="R475" s="37">
        <f>IFERROR(Tabela3[[#This Row],[Peso Total Galho]]*Tabela3[[#This Row],[Qtde Cx Produzida]]*1.055,0)</f>
        <v>67.351200000000006</v>
      </c>
      <c r="S475" s="37">
        <f>(Tabela3[[#This Row],[Aluminio Bruto]]-Tabela3[[#This Row],[Aluminio Util]])*0.9</f>
        <v>46.360080000000004</v>
      </c>
      <c r="T475" s="37">
        <f>Tabela3[[#This Row],[Aluminio Bruto]]/OleoKGAluminio</f>
        <v>28.334562755735057</v>
      </c>
      <c r="U475" s="35">
        <f>IFERROR((VLOOKUP(Tabela3[[#This Row],[Moldador]],Tabela1[],5,)+(VLOOKUP(Tabela3[[#This Row],[Ajudante]],Tabela1[],5,))*3.5),0)</f>
        <v>99.95034583333333</v>
      </c>
      <c r="V475" s="35">
        <f>IFERROR(Tabela3[[#This Row],[Custo M.O. / H]]/((Tabela3[[#This Row],[Realizado]]/Tabela3[[#This Row],[Qdt Peça Placa]])/Tabela3[[#This Row],[Tempo]]/24),)</f>
        <v>12.743669093749999</v>
      </c>
      <c r="W475" s="35">
        <f>Tabela3[[#This Row],[Custo / Cx Moldada]]*Tabela3[[#This Row],[Qtde Cx Produzida]]</f>
        <v>254.87338187499998</v>
      </c>
      <c r="X475" s="35">
        <f ca="1">Tabela3[[#This Row],[Aluminio Util]]*Tabela3[[#This Row],[Custo/Kg]]</f>
        <v>278.78399999999999</v>
      </c>
      <c r="Y475" s="35">
        <f>IFERROR(VLOOKUP(Tabela3[[#This Row],[Data]],Tabela461213[],2,1)*(Tabela3[[#This Row],[Qtde Cx Produzida]]*Tabela3[[#This Row],[Qde macho / CX]]*Tabela3[[#This Row],[Peso Macho]]),)</f>
        <v>0</v>
      </c>
      <c r="Z475" s="35">
        <f>IFERROR(Tabela3[[#This Row],[Qtde Oleo]]*(VLOOKUP(Tabela3[[#This Row],[Data]],CompraOleo[],3,TRUE))*1.05,0)</f>
        <v>74.378227233804523</v>
      </c>
      <c r="AA475" s="47">
        <f ca="1">(Tabela3[[#This Row],[Custo Oleo]]+Tabela3[[#This Row],[Custo Aluminio]]+Tabela3[[#This Row],[Custo M.O. Total]]+Tabela3[[#This Row],[Custo Machos]])</f>
        <v>608.03560910880446</v>
      </c>
      <c r="AB475" s="47">
        <f ca="1">Tabela3[[#This Row],[Custo Total]]*Tabela3[[#This Row],[% Perda]]</f>
        <v>0</v>
      </c>
      <c r="AC475" s="48">
        <f>IFERROR(VLOOKUP(Tabela3[[#This Row],[Produto]],Tabela2[],2,0),0)</f>
        <v>24</v>
      </c>
      <c r="AD475" s="48">
        <f>IFERROR(VLOOKUP(Tabela3[[#This Row],[Produto]],Tabela2[],3,0),0)</f>
        <v>3.3000000000000002E-2</v>
      </c>
      <c r="AE475" s="48">
        <f>IFERROR(VLOOKUP(Tabela3[[#This Row],[Produto]],Tabela2[],4,0),0)</f>
        <v>3.1920000000000002</v>
      </c>
      <c r="AF475" s="48">
        <f>IFERROR(VLOOKUP(Tabela3[[#This Row],[Produto]],Tabela2[],5,0),0)</f>
        <v>2.1600000000000006</v>
      </c>
      <c r="AG475" s="40">
        <f>IFERROR(VLOOKUP(Tabela3[[#This Row],[Produto]],Tabela2[],6,0),0)</f>
        <v>0</v>
      </c>
      <c r="AH475" s="40">
        <f>IFERROR(VLOOKUP(Tabela3[[#This Row],[Produto]],Tabela2[],7,0),0)</f>
        <v>0</v>
      </c>
      <c r="AI475" s="40">
        <f>IFERROR(VLOOKUP(Tabela3[[#This Row],[Produto]],Tabela2[],8,0),0)</f>
        <v>0</v>
      </c>
      <c r="AJ475" s="35">
        <f ca="1">IFERROR(VLOOKUP(Tabela3[[#This Row],[Produto]],Tabela2[],13,0),0)</f>
        <v>17.600000000000001</v>
      </c>
      <c r="AK475" s="40" t="str">
        <f>IFERROR(VLOOKUP(Tabela3[[#This Row],[Produto]],Tabela2[],14,0),0)</f>
        <v>Oscar</v>
      </c>
      <c r="AL475" s="40">
        <f>IFERROR(VLOOKUP(Tabela3[[#This Row],[Produto]],Tabela2[],15,0),0)</f>
        <v>0</v>
      </c>
      <c r="AM475" s="36">
        <f ca="1">(Tabela3[[#This Row],[Custo Usinagem]]+Tabela3[[#This Row],[Custo / Pç]])*1.2</f>
        <v>1.520089022772011</v>
      </c>
      <c r="AN475" s="36">
        <f ca="1">Tabela3[[#This Row],[Valor Mínimo Venda]]*1.15</f>
        <v>1.7481023761878125</v>
      </c>
      <c r="AO475" s="36">
        <f ca="1">Tabela3[[#This Row],[Tabela 1]]*1.08</f>
        <v>1.8879505662828375</v>
      </c>
      <c r="AP475" s="36">
        <f ca="1">Tabela3[[#This Row],[Tabela 2]]*1.15</f>
        <v>2.1711431512252628</v>
      </c>
    </row>
    <row r="476" spans="1:42">
      <c r="A476" s="9">
        <v>45866</v>
      </c>
      <c r="B476" s="6" t="s">
        <v>209</v>
      </c>
      <c r="C476" s="14">
        <v>7491</v>
      </c>
      <c r="D476" s="6" t="s">
        <v>44</v>
      </c>
      <c r="E476" s="6" t="s">
        <v>47</v>
      </c>
      <c r="F476" s="6">
        <v>2</v>
      </c>
      <c r="G476" s="15">
        <v>1.4583333333333334E-2</v>
      </c>
      <c r="H476" s="16">
        <v>0</v>
      </c>
      <c r="I476" s="35">
        <f ca="1">IFERROR(Tabela3[[#This Row],[Custo Total]]/Tabela3[[#This Row],[Aluminio Util]],0)</f>
        <v>21.938743374595045</v>
      </c>
      <c r="J476" s="35">
        <f ca="1">Tabela3[[#This Row],[Custo Total]]/Tabela3[[#This Row],[Realizado]]</f>
        <v>126.14777440392152</v>
      </c>
      <c r="K476" s="37">
        <f>IFERROR(Tabela3[[#This Row],[Qtde Cx Produzida]]/Tabela3[[#This Row],[Tempo]]/24,0)</f>
        <v>5.7142857142857144</v>
      </c>
      <c r="L476" s="37">
        <f>Tabela3[[#This Row],[Qtde Cx Produzida]]*Tabela3[[#This Row],[Qdt Peça Placa]]</f>
        <v>2</v>
      </c>
      <c r="M476" s="37">
        <f>Tabela3[[#This Row],[Previsto]]-Tabela3[[#This Row],[Perda Pçs]]</f>
        <v>2</v>
      </c>
      <c r="N476" s="38">
        <f>IFERROR(Tabela3[[#This Row],[Perda Pçs]]/Tabela3[[#This Row],[Previsto]],0)</f>
        <v>0</v>
      </c>
      <c r="O476" s="39">
        <f>IFERROR(IF(Tabela3[[#This Row],[Qtde Cx Produzida]] &lt;&gt; 0, Tabela3[[#This Row],[Tempo]] / Tabela3[[#This Row],[Qtde Cx Produzida]], 0),0)</f>
        <v>7.2916666666666668E-3</v>
      </c>
      <c r="P476" s="57">
        <f>IFERROR(Tabela3[[#This Row],[Perda Pçs]]/Tabela3[[#This Row],[Qdt Peça Placa]],0)</f>
        <v>0</v>
      </c>
      <c r="Q476" s="37">
        <f>IFERROR(Tabela3[[#This Row],[Realizado]]*Tabela3[[#This Row],[Peso Util/Pç]],0)</f>
        <v>11.5</v>
      </c>
      <c r="R476" s="37">
        <f>IFERROR(Tabela3[[#This Row],[Peso Total Galho]]*Tabela3[[#This Row],[Qtde Cx Produzida]]*1.055,0)</f>
        <v>13.504</v>
      </c>
      <c r="S476" s="37">
        <f>(Tabela3[[#This Row],[Aluminio Bruto]]-Tabela3[[#This Row],[Aluminio Util]])*0.9</f>
        <v>1.8035999999999996</v>
      </c>
      <c r="T476" s="37">
        <f>Tabela3[[#This Row],[Aluminio Bruto]]/OleoKGAluminio</f>
        <v>5.6811153394957499</v>
      </c>
      <c r="U476" s="35">
        <f>IFERROR((VLOOKUP(Tabela3[[#This Row],[Moldador]],Tabela1[],5,)+(VLOOKUP(Tabela3[[#This Row],[Ajudante]],Tabela1[],5,))*3.5),0)</f>
        <v>99.95034583333333</v>
      </c>
      <c r="V476" s="35">
        <f>IFERROR(Tabela3[[#This Row],[Custo M.O. / H]]/((Tabela3[[#This Row],[Realizado]]/Tabela3[[#This Row],[Qdt Peça Placa]])/Tabela3[[#This Row],[Tempo]]/24),)</f>
        <v>17.491310520833331</v>
      </c>
      <c r="W476" s="35">
        <f>Tabela3[[#This Row],[Custo / Cx Moldada]]*Tabela3[[#This Row],[Qtde Cx Produzida]]</f>
        <v>34.982621041666661</v>
      </c>
      <c r="X476" s="35">
        <f ca="1">Tabela3[[#This Row],[Aluminio Util]]*Tabela3[[#This Row],[Custo/Kg]]</f>
        <v>202.4</v>
      </c>
      <c r="Y476" s="35">
        <f>IFERROR(VLOOKUP(Tabela3[[#This Row],[Data]],Tabela461213[],2,1)*(Tabela3[[#This Row],[Qtde Cx Produzida]]*Tabela3[[#This Row],[Qde macho / CX]]*Tabela3[[#This Row],[Peso Macho]]),)</f>
        <v>0</v>
      </c>
      <c r="Z476" s="35">
        <f>IFERROR(Tabela3[[#This Row],[Qtde Oleo]]*(VLOOKUP(Tabela3[[#This Row],[Data]],CompraOleo[],3,TRUE))*1.05,0)</f>
        <v>14.912927766176345</v>
      </c>
      <c r="AA476" s="47">
        <f ca="1">(Tabela3[[#This Row],[Custo Oleo]]+Tabela3[[#This Row],[Custo Aluminio]]+Tabela3[[#This Row],[Custo M.O. Total]]+Tabela3[[#This Row],[Custo Machos]])</f>
        <v>252.29554880784303</v>
      </c>
      <c r="AB476" s="47">
        <f ca="1">Tabela3[[#This Row],[Custo Total]]*Tabela3[[#This Row],[% Perda]]</f>
        <v>0</v>
      </c>
      <c r="AC476" s="48">
        <f>IFERROR(VLOOKUP(Tabela3[[#This Row],[Produto]],Tabela2[],2,0),0)</f>
        <v>1</v>
      </c>
      <c r="AD476" s="48">
        <f>IFERROR(VLOOKUP(Tabela3[[#This Row],[Produto]],Tabela2[],3,0),0)</f>
        <v>5.75</v>
      </c>
      <c r="AE476" s="48">
        <f>IFERROR(VLOOKUP(Tabela3[[#This Row],[Produto]],Tabela2[],4,0),0)</f>
        <v>6.4</v>
      </c>
      <c r="AF476" s="48">
        <f>IFERROR(VLOOKUP(Tabela3[[#This Row],[Produto]],Tabela2[],5,0),0)</f>
        <v>0.5850000000000003</v>
      </c>
      <c r="AG476" s="40">
        <f>IFERROR(VLOOKUP(Tabela3[[#This Row],[Produto]],Tabela2[],6,0),0)</f>
        <v>0</v>
      </c>
      <c r="AH476" s="40">
        <f>IFERROR(VLOOKUP(Tabela3[[#This Row],[Produto]],Tabela2[],7,0),0)</f>
        <v>0</v>
      </c>
      <c r="AI476" s="40">
        <f>IFERROR(VLOOKUP(Tabela3[[#This Row],[Produto]],Tabela2[],8,0),0)</f>
        <v>0</v>
      </c>
      <c r="AJ476" s="35">
        <f ca="1">IFERROR(VLOOKUP(Tabela3[[#This Row],[Produto]],Tabela2[],13,0),0)</f>
        <v>17.600000000000001</v>
      </c>
      <c r="AK476" s="40" t="str">
        <f>IFERROR(VLOOKUP(Tabela3[[#This Row],[Produto]],Tabela2[],14,0),0)</f>
        <v>Oscar</v>
      </c>
      <c r="AL476" s="40">
        <f>IFERROR(VLOOKUP(Tabela3[[#This Row],[Produto]],Tabela2[],15,0),0)</f>
        <v>0</v>
      </c>
      <c r="AM476" s="36">
        <f ca="1">(Tabela3[[#This Row],[Custo Usinagem]]+Tabela3[[#This Row],[Custo / Pç]])*1.2</f>
        <v>151.37732928470581</v>
      </c>
      <c r="AN476" s="36">
        <f ca="1">Tabela3[[#This Row],[Valor Mínimo Venda]]*1.15</f>
        <v>174.08392867741168</v>
      </c>
      <c r="AO476" s="36">
        <f ca="1">Tabela3[[#This Row],[Tabela 1]]*1.08</f>
        <v>188.01064297160463</v>
      </c>
      <c r="AP476" s="36">
        <f ca="1">Tabela3[[#This Row],[Tabela 2]]*1.15</f>
        <v>216.2122394173453</v>
      </c>
    </row>
    <row r="477" spans="1:42">
      <c r="A477" s="9">
        <v>45867</v>
      </c>
      <c r="B477" s="6" t="s">
        <v>245</v>
      </c>
      <c r="C477" s="14">
        <v>7287</v>
      </c>
      <c r="D477" s="6" t="s">
        <v>44</v>
      </c>
      <c r="E477" s="6" t="s">
        <v>47</v>
      </c>
      <c r="F477" s="6">
        <v>52</v>
      </c>
      <c r="G477" s="15">
        <v>0.24513888888888888</v>
      </c>
      <c r="H477" s="16">
        <v>0</v>
      </c>
      <c r="I477" s="35">
        <f ca="1">IFERROR(Tabela3[[#This Row],[Custo Total]]/Tabela3[[#This Row],[Aluminio Util]],0)</f>
        <v>26.133246497547713</v>
      </c>
      <c r="J477" s="35">
        <f ca="1">Tabela3[[#This Row],[Custo Total]]/Tabela3[[#This Row],[Realizado]]</f>
        <v>8.6762378371858411</v>
      </c>
      <c r="K477" s="37">
        <f>IFERROR(Tabela3[[#This Row],[Qtde Cx Produzida]]/Tabela3[[#This Row],[Tempo]]/24,0)</f>
        <v>8.8385269121813028</v>
      </c>
      <c r="L477" s="37">
        <f>Tabela3[[#This Row],[Qtde Cx Produzida]]*Tabela3[[#This Row],[Qdt Peça Placa]]</f>
        <v>208</v>
      </c>
      <c r="M477" s="37">
        <f>Tabela3[[#This Row],[Previsto]]-Tabela3[[#This Row],[Perda Pçs]]</f>
        <v>208</v>
      </c>
      <c r="N477" s="38">
        <f>IFERROR(Tabela3[[#This Row],[Perda Pçs]]/Tabela3[[#This Row],[Previsto]],0)</f>
        <v>0</v>
      </c>
      <c r="O477" s="39">
        <f>IFERROR(IF(Tabela3[[#This Row],[Qtde Cx Produzida]] &lt;&gt; 0, Tabela3[[#This Row],[Tempo]] / Tabela3[[#This Row],[Qtde Cx Produzida]], 0),0)</f>
        <v>4.7142094017094014E-3</v>
      </c>
      <c r="P477" s="57">
        <f>IFERROR(Tabela3[[#This Row],[Perda Pçs]]/Tabela3[[#This Row],[Qdt Peça Placa]],0)</f>
        <v>0</v>
      </c>
      <c r="Q477" s="37">
        <f>IFERROR(Tabela3[[#This Row],[Realizado]]*Tabela3[[#This Row],[Peso Util/Pç]],0)</f>
        <v>69.055999999999997</v>
      </c>
      <c r="R477" s="37">
        <f>IFERROR(Tabela3[[#This Row],[Peso Total Galho]]*Tabela3[[#This Row],[Qtde Cx Produzida]]*1.055,0)</f>
        <v>126.17799999999998</v>
      </c>
      <c r="S477" s="37">
        <f>(Tabela3[[#This Row],[Aluminio Bruto]]-Tabela3[[#This Row],[Aluminio Util]])*0.9</f>
        <v>51.40979999999999</v>
      </c>
      <c r="T477" s="37">
        <f>Tabela3[[#This Row],[Aluminio Bruto]]/OleoKGAluminio</f>
        <v>53.082921453413412</v>
      </c>
      <c r="U477" s="35">
        <f>IFERROR((VLOOKUP(Tabela3[[#This Row],[Moldador]],Tabela1[],5,)+(VLOOKUP(Tabela3[[#This Row],[Ajudante]],Tabela1[],5,))*3.5),0)</f>
        <v>99.95034583333333</v>
      </c>
      <c r="V477" s="35">
        <f>IFERROR(Tabela3[[#This Row],[Custo M.O. / H]]/((Tabela3[[#This Row],[Realizado]]/Tabela3[[#This Row],[Qdt Peça Placa]])/Tabela3[[#This Row],[Tempo]]/24),)</f>
        <v>11.308484640758547</v>
      </c>
      <c r="W477" s="35">
        <f>Tabela3[[#This Row],[Custo / Cx Moldada]]*Tabela3[[#This Row],[Qtde Cx Produzida]]</f>
        <v>588.04120131944444</v>
      </c>
      <c r="X477" s="35">
        <f ca="1">Tabela3[[#This Row],[Aluminio Util]]*Tabela3[[#This Row],[Custo/Kg]]</f>
        <v>1077.2736</v>
      </c>
      <c r="Y477" s="35">
        <f>IFERROR(VLOOKUP(Tabela3[[#This Row],[Data]],Tabela461213[],2,1)*(Tabela3[[#This Row],[Qtde Cx Produzida]]*Tabela3[[#This Row],[Qde macho / CX]]*Tabela3[[#This Row],[Peso Macho]]),)</f>
        <v>0</v>
      </c>
      <c r="Z477" s="35">
        <f>IFERROR(Tabela3[[#This Row],[Qtde Oleo]]*(VLOOKUP(Tabela3[[#This Row],[Data]],CompraOleo[],3,TRUE))*1.05,0)</f>
        <v>139.34266881521023</v>
      </c>
      <c r="AA477" s="47">
        <f ca="1">(Tabela3[[#This Row],[Custo Oleo]]+Tabela3[[#This Row],[Custo Aluminio]]+Tabela3[[#This Row],[Custo M.O. Total]]+Tabela3[[#This Row],[Custo Machos]])</f>
        <v>1804.6574701346549</v>
      </c>
      <c r="AB477" s="47">
        <f ca="1">Tabela3[[#This Row],[Custo Total]]*Tabela3[[#This Row],[% Perda]]</f>
        <v>0</v>
      </c>
      <c r="AC477" s="48">
        <f>IFERROR(VLOOKUP(Tabela3[[#This Row],[Produto]],Tabela2[],2,0),0)</f>
        <v>4</v>
      </c>
      <c r="AD477" s="48">
        <f>IFERROR(VLOOKUP(Tabela3[[#This Row],[Produto]],Tabela2[],3,0),0)</f>
        <v>0.33200000000000002</v>
      </c>
      <c r="AE477" s="48">
        <f>IFERROR(VLOOKUP(Tabela3[[#This Row],[Produto]],Tabela2[],4,0),0)</f>
        <v>2.2999999999999998</v>
      </c>
      <c r="AF477" s="48">
        <f>IFERROR(VLOOKUP(Tabela3[[#This Row],[Produto]],Tabela2[],5,0),0)</f>
        <v>0.8747999999999998</v>
      </c>
      <c r="AG477" s="40">
        <f>IFERROR(VLOOKUP(Tabela3[[#This Row],[Produto]],Tabela2[],6,0),0)</f>
        <v>0</v>
      </c>
      <c r="AH477" s="40">
        <f>IFERROR(VLOOKUP(Tabela3[[#This Row],[Produto]],Tabela2[],7,0),0)</f>
        <v>0</v>
      </c>
      <c r="AI477" s="40">
        <f>IFERROR(VLOOKUP(Tabela3[[#This Row],[Produto]],Tabela2[],8,0),0)</f>
        <v>0</v>
      </c>
      <c r="AJ477" s="35">
        <f ca="1">IFERROR(VLOOKUP(Tabela3[[#This Row],[Produto]],Tabela2[],13,0),0)</f>
        <v>15.600000000000001</v>
      </c>
      <c r="AK477" s="40" t="str">
        <f>IFERROR(VLOOKUP(Tabela3[[#This Row],[Produto]],Tabela2[],14,0),0)</f>
        <v>Senun</v>
      </c>
      <c r="AL477" s="40">
        <f>IFERROR(VLOOKUP(Tabela3[[#This Row],[Produto]],Tabela2[],15,0),0)</f>
        <v>3.5</v>
      </c>
      <c r="AM477" s="36">
        <f ca="1">(Tabela3[[#This Row],[Custo Usinagem]]+Tabela3[[#This Row],[Custo / Pç]])*1.2</f>
        <v>14.611485404623009</v>
      </c>
      <c r="AN477" s="36">
        <f ca="1">Tabela3[[#This Row],[Valor Mínimo Venda]]*1.15</f>
        <v>16.803208215316459</v>
      </c>
      <c r="AO477" s="36">
        <f ca="1">Tabela3[[#This Row],[Tabela 1]]*1.08</f>
        <v>18.147464872541779</v>
      </c>
      <c r="AP477" s="36">
        <f ca="1">Tabela3[[#This Row],[Tabela 2]]*1.15</f>
        <v>20.869584603423043</v>
      </c>
    </row>
    <row r="478" spans="1:42">
      <c r="A478" s="9">
        <v>45867</v>
      </c>
      <c r="B478" s="6" t="s">
        <v>134</v>
      </c>
      <c r="C478" s="14">
        <v>7312</v>
      </c>
      <c r="D478" s="6" t="s">
        <v>44</v>
      </c>
      <c r="E478" s="6" t="s">
        <v>47</v>
      </c>
      <c r="F478" s="6">
        <v>5</v>
      </c>
      <c r="G478" s="15">
        <v>4.3749999999999997E-2</v>
      </c>
      <c r="H478" s="16">
        <v>0</v>
      </c>
      <c r="I478" s="35">
        <f ca="1">IFERROR(Tabela3[[#This Row],[Custo Total]]/Tabela3[[#This Row],[Aluminio Util]],0)</f>
        <v>24.689682426573185</v>
      </c>
      <c r="J478" s="35">
        <f ca="1">Tabela3[[#This Row],[Custo Total]]/Tabela3[[#This Row],[Realizado]]</f>
        <v>90.117340856992129</v>
      </c>
      <c r="K478" s="37">
        <f>IFERROR(Tabela3[[#This Row],[Qtde Cx Produzida]]/Tabela3[[#This Row],[Tempo]]/24,0)</f>
        <v>4.7619047619047619</v>
      </c>
      <c r="L478" s="37">
        <f>Tabela3[[#This Row],[Qtde Cx Produzida]]*Tabela3[[#This Row],[Qdt Peça Placa]]</f>
        <v>5</v>
      </c>
      <c r="M478" s="37">
        <f>Tabela3[[#This Row],[Previsto]]-Tabela3[[#This Row],[Perda Pçs]]</f>
        <v>5</v>
      </c>
      <c r="N478" s="38">
        <f>IFERROR(Tabela3[[#This Row],[Perda Pçs]]/Tabela3[[#This Row],[Previsto]],0)</f>
        <v>0</v>
      </c>
      <c r="O478" s="39">
        <f>IFERROR(IF(Tabela3[[#This Row],[Qtde Cx Produzida]] &lt;&gt; 0, Tabela3[[#This Row],[Tempo]] / Tabela3[[#This Row],[Qtde Cx Produzida]], 0),0)</f>
        <v>8.7499999999999991E-3</v>
      </c>
      <c r="P478" s="57">
        <f>IFERROR(Tabela3[[#This Row],[Perda Pçs]]/Tabela3[[#This Row],[Qdt Peça Placa]],0)</f>
        <v>0</v>
      </c>
      <c r="Q478" s="37">
        <f>IFERROR(Tabela3[[#This Row],[Realizado]]*Tabela3[[#This Row],[Peso Util/Pç]],0)</f>
        <v>18.25</v>
      </c>
      <c r="R478" s="37">
        <f>IFERROR(Tabela3[[#This Row],[Peso Total Galho]]*Tabela3[[#This Row],[Qtde Cx Produzida]]*1.055,0)</f>
        <v>34.076499999999996</v>
      </c>
      <c r="S478" s="37">
        <f>(Tabela3[[#This Row],[Aluminio Bruto]]-Tabela3[[#This Row],[Aluminio Util]])*0.9</f>
        <v>14.243849999999997</v>
      </c>
      <c r="T478" s="37">
        <f>Tabela3[[#This Row],[Aluminio Bruto]]/OleoKGAluminio</f>
        <v>14.335939489508805</v>
      </c>
      <c r="U478" s="35">
        <f>IFERROR((VLOOKUP(Tabela3[[#This Row],[Moldador]],Tabela1[],5,)+(VLOOKUP(Tabela3[[#This Row],[Ajudante]],Tabela1[],5,))*3.5),0)</f>
        <v>99.95034583333333</v>
      </c>
      <c r="V478" s="35">
        <f>IFERROR(Tabela3[[#This Row],[Custo M.O. / H]]/((Tabela3[[#This Row],[Realizado]]/Tabela3[[#This Row],[Qdt Peça Placa]])/Tabela3[[#This Row],[Tempo]]/24),)</f>
        <v>20.989572625000001</v>
      </c>
      <c r="W478" s="35">
        <f>Tabela3[[#This Row],[Custo / Cx Moldada]]*Tabela3[[#This Row],[Qtde Cx Produzida]]</f>
        <v>104.947863125</v>
      </c>
      <c r="X478" s="35">
        <f ca="1">Tabela3[[#This Row],[Aluminio Util]]*Tabela3[[#This Row],[Custo/Kg]]</f>
        <v>284.70000000000005</v>
      </c>
      <c r="Y478" s="35">
        <f>IFERROR(VLOOKUP(Tabela3[[#This Row],[Data]],Tabela461213[],2,1)*(Tabela3[[#This Row],[Qtde Cx Produzida]]*Tabela3[[#This Row],[Qde macho / CX]]*Tabela3[[#This Row],[Peso Macho]]),)</f>
        <v>23.307000000000002</v>
      </c>
      <c r="Z478" s="35">
        <f>IFERROR(Tabela3[[#This Row],[Qtde Oleo]]*(VLOOKUP(Tabela3[[#This Row],[Data]],CompraOleo[],3,TRUE))*1.05,0)</f>
        <v>37.631841159960615</v>
      </c>
      <c r="AA478" s="47">
        <f ca="1">(Tabela3[[#This Row],[Custo Oleo]]+Tabela3[[#This Row],[Custo Aluminio]]+Tabela3[[#This Row],[Custo M.O. Total]]+Tabela3[[#This Row],[Custo Machos]])</f>
        <v>450.58670428496066</v>
      </c>
      <c r="AB478" s="47">
        <f ca="1">Tabela3[[#This Row],[Custo Total]]*Tabela3[[#This Row],[% Perda]]</f>
        <v>0</v>
      </c>
      <c r="AC478" s="48">
        <f>IFERROR(VLOOKUP(Tabela3[[#This Row],[Produto]],Tabela2[],2,0),0)</f>
        <v>1</v>
      </c>
      <c r="AD478" s="48">
        <f>IFERROR(VLOOKUP(Tabela3[[#This Row],[Produto]],Tabela2[],3,0),0)</f>
        <v>3.65</v>
      </c>
      <c r="AE478" s="48">
        <f>IFERROR(VLOOKUP(Tabela3[[#This Row],[Produto]],Tabela2[],4,0),0)</f>
        <v>6.46</v>
      </c>
      <c r="AF478" s="48">
        <f>IFERROR(VLOOKUP(Tabela3[[#This Row],[Produto]],Tabela2[],5,0),0)</f>
        <v>2.5289999999999999</v>
      </c>
      <c r="AG478" s="40">
        <f>IFERROR(VLOOKUP(Tabela3[[#This Row],[Produto]],Tabela2[],6,0),0)</f>
        <v>0</v>
      </c>
      <c r="AH478" s="40">
        <f>IFERROR(VLOOKUP(Tabela3[[#This Row],[Produto]],Tabela2[],7,0),0)</f>
        <v>1</v>
      </c>
      <c r="AI478" s="40">
        <f>IFERROR(VLOOKUP(Tabela3[[#This Row],[Produto]],Tabela2[],8,0),0)</f>
        <v>2.742</v>
      </c>
      <c r="AJ478" s="35">
        <f ca="1">IFERROR(VLOOKUP(Tabela3[[#This Row],[Produto]],Tabela2[],13,0),0)</f>
        <v>15.600000000000001</v>
      </c>
      <c r="AK478" s="40" t="str">
        <f>IFERROR(VLOOKUP(Tabela3[[#This Row],[Produto]],Tabela2[],14,0),0)</f>
        <v>Jumil</v>
      </c>
      <c r="AL478" s="40">
        <f>IFERROR(VLOOKUP(Tabela3[[#This Row],[Produto]],Tabela2[],15,0),0)</f>
        <v>15</v>
      </c>
      <c r="AM478" s="36">
        <f ca="1">(Tabela3[[#This Row],[Custo Usinagem]]+Tabela3[[#This Row],[Custo / Pç]])*1.2</f>
        <v>126.14080902839055</v>
      </c>
      <c r="AN478" s="36">
        <f ca="1">Tabela3[[#This Row],[Valor Mínimo Venda]]*1.15</f>
        <v>145.06193038264911</v>
      </c>
      <c r="AO478" s="36">
        <f ca="1">Tabela3[[#This Row],[Tabela 1]]*1.08</f>
        <v>156.66688481326105</v>
      </c>
      <c r="AP478" s="36">
        <f ca="1">Tabela3[[#This Row],[Tabela 2]]*1.15</f>
        <v>180.16691753525021</v>
      </c>
    </row>
    <row r="479" spans="1:42">
      <c r="A479" s="9">
        <v>45867</v>
      </c>
      <c r="B479" s="6" t="s">
        <v>248</v>
      </c>
      <c r="C479" s="14">
        <v>7323</v>
      </c>
      <c r="D479" s="6" t="s">
        <v>44</v>
      </c>
      <c r="E479" s="6" t="s">
        <v>47</v>
      </c>
      <c r="F479" s="6">
        <v>9</v>
      </c>
      <c r="G479" s="15">
        <v>5.2083333333333336E-2</v>
      </c>
      <c r="H479" s="16">
        <v>0</v>
      </c>
      <c r="I479" s="35">
        <f ca="1">IFERROR(Tabela3[[#This Row],[Custo Total]]/Tabela3[[#This Row],[Aluminio Util]],0)</f>
        <v>27.165404458684822</v>
      </c>
      <c r="J479" s="35">
        <f ca="1">Tabela3[[#This Row],[Custo Total]]/Tabela3[[#This Row],[Realizado]]</f>
        <v>9.7252147962091655</v>
      </c>
      <c r="K479" s="37">
        <f>IFERROR(Tabela3[[#This Row],[Qtde Cx Produzida]]/Tabela3[[#This Row],[Tempo]]/24,0)</f>
        <v>7.1999999999999993</v>
      </c>
      <c r="L479" s="37">
        <f>Tabela3[[#This Row],[Qtde Cx Produzida]]*Tabela3[[#This Row],[Qdt Peça Placa]]</f>
        <v>36</v>
      </c>
      <c r="M479" s="37">
        <f>Tabela3[[#This Row],[Previsto]]-Tabela3[[#This Row],[Perda Pçs]]</f>
        <v>36</v>
      </c>
      <c r="N479" s="38">
        <f>IFERROR(Tabela3[[#This Row],[Perda Pçs]]/Tabela3[[#This Row],[Previsto]],0)</f>
        <v>0</v>
      </c>
      <c r="O479" s="39">
        <f>IFERROR(IF(Tabela3[[#This Row],[Qtde Cx Produzida]] &lt;&gt; 0, Tabela3[[#This Row],[Tempo]] / Tabela3[[#This Row],[Qtde Cx Produzida]], 0),0)</f>
        <v>5.7870370370370376E-3</v>
      </c>
      <c r="P479" s="57">
        <f>IFERROR(Tabela3[[#This Row],[Perda Pçs]]/Tabela3[[#This Row],[Qdt Peça Placa]],0)</f>
        <v>0</v>
      </c>
      <c r="Q479" s="37">
        <f>IFERROR(Tabela3[[#This Row],[Realizado]]*Tabela3[[#This Row],[Peso Util/Pç]],0)</f>
        <v>12.888</v>
      </c>
      <c r="R479" s="37">
        <f>IFERROR(Tabela3[[#This Row],[Peso Total Galho]]*Tabela3[[#This Row],[Qtde Cx Produzida]]*1.055,0)</f>
        <v>21.838499999999996</v>
      </c>
      <c r="S479" s="37">
        <f>(Tabela3[[#This Row],[Aluminio Bruto]]-Tabela3[[#This Row],[Aluminio Util]])*0.9</f>
        <v>8.0554499999999969</v>
      </c>
      <c r="T479" s="37">
        <f>Tabela3[[#This Row],[Aluminio Bruto]]/OleoKGAluminio</f>
        <v>9.1874287130907817</v>
      </c>
      <c r="U479" s="35">
        <f>IFERROR((VLOOKUP(Tabela3[[#This Row],[Moldador]],Tabela1[],5,)+(VLOOKUP(Tabela3[[#This Row],[Ajudante]],Tabela1[],5,))*3.5),0)</f>
        <v>99.95034583333333</v>
      </c>
      <c r="V479" s="35">
        <f>IFERROR(Tabela3[[#This Row],[Custo M.O. / H]]/((Tabela3[[#This Row],[Realizado]]/Tabela3[[#This Row],[Qdt Peça Placa]])/Tabela3[[#This Row],[Tempo]]/24),)</f>
        <v>13.881992476851853</v>
      </c>
      <c r="W479" s="35">
        <f>Tabela3[[#This Row],[Custo / Cx Moldada]]*Tabela3[[#This Row],[Qtde Cx Produzida]]</f>
        <v>124.93793229166667</v>
      </c>
      <c r="X479" s="35">
        <f ca="1">Tabela3[[#This Row],[Aluminio Util]]*Tabela3[[#This Row],[Custo/Kg]]</f>
        <v>201.05280000000002</v>
      </c>
      <c r="Y479" s="35">
        <f>IFERROR(VLOOKUP(Tabela3[[#This Row],[Data]],Tabela461213[],2,1)*(Tabela3[[#This Row],[Qtde Cx Produzida]]*Tabela3[[#This Row],[Qde macho / CX]]*Tabela3[[#This Row],[Peso Macho]]),)</f>
        <v>0</v>
      </c>
      <c r="Z479" s="35">
        <f>IFERROR(Tabela3[[#This Row],[Qtde Oleo]]*(VLOOKUP(Tabela3[[#This Row],[Data]],CompraOleo[],3,TRUE))*1.05,0)</f>
        <v>24.117000371863302</v>
      </c>
      <c r="AA479" s="47">
        <f ca="1">(Tabela3[[#This Row],[Custo Oleo]]+Tabela3[[#This Row],[Custo Aluminio]]+Tabela3[[#This Row],[Custo M.O. Total]]+Tabela3[[#This Row],[Custo Machos]])</f>
        <v>350.10773266352999</v>
      </c>
      <c r="AB479" s="47">
        <f ca="1">Tabela3[[#This Row],[Custo Total]]*Tabela3[[#This Row],[% Perda]]</f>
        <v>0</v>
      </c>
      <c r="AC479" s="48">
        <f>IFERROR(VLOOKUP(Tabela3[[#This Row],[Produto]],Tabela2[],2,0),0)</f>
        <v>4</v>
      </c>
      <c r="AD479" s="48">
        <f>IFERROR(VLOOKUP(Tabela3[[#This Row],[Produto]],Tabela2[],3,0),0)</f>
        <v>0.35799999999999998</v>
      </c>
      <c r="AE479" s="48">
        <f>IFERROR(VLOOKUP(Tabela3[[#This Row],[Produto]],Tabela2[],4,0),0)</f>
        <v>2.2999999999999998</v>
      </c>
      <c r="AF479" s="48">
        <f>IFERROR(VLOOKUP(Tabela3[[#This Row],[Produto]],Tabela2[],5,0),0)</f>
        <v>0.78119999999999989</v>
      </c>
      <c r="AG479" s="40">
        <f>IFERROR(VLOOKUP(Tabela3[[#This Row],[Produto]],Tabela2[],6,0),0)</f>
        <v>0</v>
      </c>
      <c r="AH479" s="40">
        <f>IFERROR(VLOOKUP(Tabela3[[#This Row],[Produto]],Tabela2[],7,0),0)</f>
        <v>0</v>
      </c>
      <c r="AI479" s="40">
        <f>IFERROR(VLOOKUP(Tabela3[[#This Row],[Produto]],Tabela2[],8,0),0)</f>
        <v>0</v>
      </c>
      <c r="AJ479" s="35">
        <f ca="1">IFERROR(VLOOKUP(Tabela3[[#This Row],[Produto]],Tabela2[],13,0),0)</f>
        <v>15.600000000000001</v>
      </c>
      <c r="AK479" s="40" t="str">
        <f>IFERROR(VLOOKUP(Tabela3[[#This Row],[Produto]],Tabela2[],14,0),0)</f>
        <v>Senun</v>
      </c>
      <c r="AL479" s="40">
        <f>IFERROR(VLOOKUP(Tabela3[[#This Row],[Produto]],Tabela2[],15,0),0)</f>
        <v>4</v>
      </c>
      <c r="AM479" s="36">
        <f ca="1">(Tabela3[[#This Row],[Custo Usinagem]]+Tabela3[[#This Row],[Custo / Pç]])*1.2</f>
        <v>16.470257755450998</v>
      </c>
      <c r="AN479" s="36">
        <f ca="1">Tabela3[[#This Row],[Valor Mínimo Venda]]*1.15</f>
        <v>18.940796418768645</v>
      </c>
      <c r="AO479" s="36">
        <f ca="1">Tabela3[[#This Row],[Tabela 1]]*1.08</f>
        <v>20.456060132270139</v>
      </c>
      <c r="AP479" s="36">
        <f ca="1">Tabela3[[#This Row],[Tabela 2]]*1.15</f>
        <v>23.524469152110658</v>
      </c>
    </row>
    <row r="480" spans="1:42">
      <c r="A480" s="9">
        <v>45868</v>
      </c>
      <c r="B480" s="6" t="s">
        <v>246</v>
      </c>
      <c r="C480" s="14">
        <v>7324</v>
      </c>
      <c r="D480" s="6" t="s">
        <v>46</v>
      </c>
      <c r="E480" s="6" t="s">
        <v>53</v>
      </c>
      <c r="F480" s="6">
        <v>35</v>
      </c>
      <c r="G480" s="15">
        <v>0.18402777777777779</v>
      </c>
      <c r="H480" s="16">
        <v>0</v>
      </c>
      <c r="I480" s="35">
        <f ca="1">IFERROR(Tabela3[[#This Row],[Custo Total]]/Tabela3[[#This Row],[Aluminio Util]],0)</f>
        <v>23.319287488662503</v>
      </c>
      <c r="J480" s="35">
        <f ca="1">Tabela3[[#This Row],[Custo Total]]/Tabela3[[#This Row],[Realizado]]</f>
        <v>12.429180231457115</v>
      </c>
      <c r="K480" s="37">
        <f>IFERROR(Tabela3[[#This Row],[Qtde Cx Produzida]]/Tabela3[[#This Row],[Tempo]]/24,0)</f>
        <v>7.9245283018867916</v>
      </c>
      <c r="L480" s="37">
        <f>Tabela3[[#This Row],[Qtde Cx Produzida]]*Tabela3[[#This Row],[Qdt Peça Placa]]</f>
        <v>140</v>
      </c>
      <c r="M480" s="37">
        <f>Tabela3[[#This Row],[Previsto]]-Tabela3[[#This Row],[Perda Pçs]]</f>
        <v>140</v>
      </c>
      <c r="N480" s="38">
        <f>IFERROR(Tabela3[[#This Row],[Perda Pçs]]/Tabela3[[#This Row],[Previsto]],0)</f>
        <v>0</v>
      </c>
      <c r="O480" s="39">
        <f>IFERROR(IF(Tabela3[[#This Row],[Qtde Cx Produzida]] &lt;&gt; 0, Tabela3[[#This Row],[Tempo]] / Tabela3[[#This Row],[Qtde Cx Produzida]], 0),0)</f>
        <v>5.2579365079365083E-3</v>
      </c>
      <c r="P480" s="57">
        <f>IFERROR(Tabela3[[#This Row],[Perda Pçs]]/Tabela3[[#This Row],[Qdt Peça Placa]],0)</f>
        <v>0</v>
      </c>
      <c r="Q480" s="37">
        <f>IFERROR(Tabela3[[#This Row],[Realizado]]*Tabela3[[#This Row],[Peso Util/Pç]],0)</f>
        <v>74.62</v>
      </c>
      <c r="R480" s="37">
        <f>IFERROR(Tabela3[[#This Row],[Peso Total Galho]]*Tabela3[[#This Row],[Qtde Cx Produzida]]*1.055,0)</f>
        <v>121.85249999999999</v>
      </c>
      <c r="S480" s="37">
        <f>(Tabela3[[#This Row],[Aluminio Bruto]]-Tabela3[[#This Row],[Aluminio Util]])*0.9</f>
        <v>42.509249999999987</v>
      </c>
      <c r="T480" s="37">
        <f>Tabela3[[#This Row],[Aluminio Bruto]]/OleoKGAluminio</f>
        <v>51.263189196231181</v>
      </c>
      <c r="U480" s="35">
        <f>IFERROR((VLOOKUP(Tabela3[[#This Row],[Moldador]],Tabela1[],5,)+(VLOOKUP(Tabela3[[#This Row],[Ajudante]],Tabela1[],5,))*3.5),0)</f>
        <v>99.95034583333333</v>
      </c>
      <c r="V480" s="35">
        <f>IFERROR(Tabela3[[#This Row],[Custo M.O. / H]]/((Tabela3[[#This Row],[Realizado]]/Tabela3[[#This Row],[Qdt Peça Placa]])/Tabela3[[#This Row],[Tempo]]/24),)</f>
        <v>12.612781736111112</v>
      </c>
      <c r="W480" s="35">
        <f>Tabela3[[#This Row],[Custo / Cx Moldada]]*Tabela3[[#This Row],[Qtde Cx Produzida]]</f>
        <v>441.44736076388892</v>
      </c>
      <c r="X480" s="35">
        <f ca="1">Tabela3[[#This Row],[Aluminio Util]]*Tabela3[[#This Row],[Custo/Kg]]</f>
        <v>1164.0720000000001</v>
      </c>
      <c r="Y480" s="35">
        <f>IFERROR(VLOOKUP(Tabela3[[#This Row],[Data]],Tabela461213[],2,1)*(Tabela3[[#This Row],[Qtde Cx Produzida]]*Tabela3[[#This Row],[Qde macho / CX]]*Tabela3[[#This Row],[Peso Macho]]),)</f>
        <v>0</v>
      </c>
      <c r="Z480" s="35">
        <f>IFERROR(Tabela3[[#This Row],[Qtde Oleo]]*(VLOOKUP(Tabela3[[#This Row],[Data]],CompraOleo[],3,TRUE))*1.05,0)</f>
        <v>134.56587164010685</v>
      </c>
      <c r="AA480" s="47">
        <f ca="1">(Tabela3[[#This Row],[Custo Oleo]]+Tabela3[[#This Row],[Custo Aluminio]]+Tabela3[[#This Row],[Custo M.O. Total]]+Tabela3[[#This Row],[Custo Machos]])</f>
        <v>1740.0852324039961</v>
      </c>
      <c r="AB480" s="47">
        <f ca="1">Tabela3[[#This Row],[Custo Total]]*Tabela3[[#This Row],[% Perda]]</f>
        <v>0</v>
      </c>
      <c r="AC480" s="48">
        <f>IFERROR(VLOOKUP(Tabela3[[#This Row],[Produto]],Tabela2[],2,0),0)</f>
        <v>4</v>
      </c>
      <c r="AD480" s="48">
        <f>IFERROR(VLOOKUP(Tabela3[[#This Row],[Produto]],Tabela2[],3,0),0)</f>
        <v>0.53300000000000003</v>
      </c>
      <c r="AE480" s="48">
        <f>IFERROR(VLOOKUP(Tabela3[[#This Row],[Produto]],Tabela2[],4,0),0)</f>
        <v>3.3</v>
      </c>
      <c r="AF480" s="48">
        <f>IFERROR(VLOOKUP(Tabela3[[#This Row],[Produto]],Tabela2[],5,0),0)</f>
        <v>1.0511999999999997</v>
      </c>
      <c r="AG480" s="40">
        <f>IFERROR(VLOOKUP(Tabela3[[#This Row],[Produto]],Tabela2[],6,0),0)</f>
        <v>0</v>
      </c>
      <c r="AH480" s="40">
        <f>IFERROR(VLOOKUP(Tabela3[[#This Row],[Produto]],Tabela2[],7,0),0)</f>
        <v>0</v>
      </c>
      <c r="AI480" s="40">
        <f>IFERROR(VLOOKUP(Tabela3[[#This Row],[Produto]],Tabela2[],8,0),0)</f>
        <v>0</v>
      </c>
      <c r="AJ480" s="35">
        <f ca="1">IFERROR(VLOOKUP(Tabela3[[#This Row],[Produto]],Tabela2[],13,0),0)</f>
        <v>15.600000000000001</v>
      </c>
      <c r="AK480" s="40" t="str">
        <f>IFERROR(VLOOKUP(Tabela3[[#This Row],[Produto]],Tabela2[],14,0),0)</f>
        <v>Senun</v>
      </c>
      <c r="AL480" s="40">
        <f>IFERROR(VLOOKUP(Tabela3[[#This Row],[Produto]],Tabela2[],15,0),0)</f>
        <v>4</v>
      </c>
      <c r="AM480" s="36">
        <f ca="1">(Tabela3[[#This Row],[Custo Usinagem]]+Tabela3[[#This Row],[Custo / Pç]])*1.2</f>
        <v>19.715016277748539</v>
      </c>
      <c r="AN480" s="36">
        <f ca="1">Tabela3[[#This Row],[Valor Mínimo Venda]]*1.15</f>
        <v>22.67226871941082</v>
      </c>
      <c r="AO480" s="36">
        <f ca="1">Tabela3[[#This Row],[Tabela 1]]*1.08</f>
        <v>24.486050216963687</v>
      </c>
      <c r="AP480" s="36">
        <f ca="1">Tabela3[[#This Row],[Tabela 2]]*1.15</f>
        <v>28.158957749508236</v>
      </c>
    </row>
    <row r="481" spans="1:42">
      <c r="A481" s="9">
        <v>45868</v>
      </c>
      <c r="B481" s="6" t="s">
        <v>96</v>
      </c>
      <c r="C481" s="14">
        <v>7329</v>
      </c>
      <c r="D481" s="6" t="s">
        <v>46</v>
      </c>
      <c r="E481" s="6" t="s">
        <v>53</v>
      </c>
      <c r="F481" s="6">
        <v>32</v>
      </c>
      <c r="G481" s="15">
        <v>0.17083333333333334</v>
      </c>
      <c r="H481" s="16">
        <v>0</v>
      </c>
      <c r="I481" s="35">
        <f ca="1">IFERROR(Tabela3[[#This Row],[Custo Total]]/Tabela3[[#This Row],[Aluminio Util]],0)</f>
        <v>30.572834895997307</v>
      </c>
      <c r="J481" s="35">
        <f ca="1">Tabela3[[#This Row],[Custo Total]]/Tabela3[[#This Row],[Realizado]]</f>
        <v>27.026386048061621</v>
      </c>
      <c r="K481" s="37">
        <f>IFERROR(Tabela3[[#This Row],[Qtde Cx Produzida]]/Tabela3[[#This Row],[Tempo]]/24,0)</f>
        <v>7.8048780487804876</v>
      </c>
      <c r="L481" s="37">
        <f>Tabela3[[#This Row],[Qtde Cx Produzida]]*Tabela3[[#This Row],[Qdt Peça Placa]]</f>
        <v>96</v>
      </c>
      <c r="M481" s="37">
        <f>Tabela3[[#This Row],[Previsto]]-Tabela3[[#This Row],[Perda Pçs]]</f>
        <v>96</v>
      </c>
      <c r="N481" s="38">
        <f>IFERROR(Tabela3[[#This Row],[Perda Pçs]]/Tabela3[[#This Row],[Previsto]],0)</f>
        <v>0</v>
      </c>
      <c r="O481" s="39">
        <f>IFERROR(IF(Tabela3[[#This Row],[Qtde Cx Produzida]] &lt;&gt; 0, Tabela3[[#This Row],[Tempo]] / Tabela3[[#This Row],[Qtde Cx Produzida]], 0),0)</f>
        <v>5.3385416666666668E-3</v>
      </c>
      <c r="P481" s="57">
        <f>IFERROR(Tabela3[[#This Row],[Perda Pçs]]/Tabela3[[#This Row],[Qdt Peça Placa]],0)</f>
        <v>0</v>
      </c>
      <c r="Q481" s="37">
        <f>IFERROR(Tabela3[[#This Row],[Realizado]]*Tabela3[[#This Row],[Peso Util/Pç]],0)</f>
        <v>84.864000000000004</v>
      </c>
      <c r="R481" s="37">
        <f>IFERROR(Tabela3[[#This Row],[Peso Total Galho]]*Tabela3[[#This Row],[Qtde Cx Produzida]]*1.055,0)</f>
        <v>158.40191999999999</v>
      </c>
      <c r="S481" s="37">
        <f>(Tabela3[[#This Row],[Aluminio Bruto]]-Tabela3[[#This Row],[Aluminio Util]])*0.9</f>
        <v>66.184127999999987</v>
      </c>
      <c r="T481" s="37">
        <f>Tabela3[[#This Row],[Aluminio Bruto]]/OleoKGAluminio</f>
        <v>66.639482932285148</v>
      </c>
      <c r="U481" s="35">
        <f>IFERROR((VLOOKUP(Tabela3[[#This Row],[Moldador]],Tabela1[],5,)+(VLOOKUP(Tabela3[[#This Row],[Ajudante]],Tabela1[],5,))*3.5),0)</f>
        <v>99.95034583333333</v>
      </c>
      <c r="V481" s="35">
        <f>IFERROR(Tabela3[[#This Row],[Custo M.O. / H]]/((Tabela3[[#This Row],[Realizado]]/Tabela3[[#This Row],[Qdt Peça Placa]])/Tabela3[[#This Row],[Tempo]]/24),)</f>
        <v>12.806138059895833</v>
      </c>
      <c r="W481" s="35">
        <f>Tabela3[[#This Row],[Custo / Cx Moldada]]*Tabela3[[#This Row],[Qtde Cx Produzida]]</f>
        <v>409.79641791666666</v>
      </c>
      <c r="X481" s="35">
        <f ca="1">Tabela3[[#This Row],[Aluminio Util]]*Tabela3[[#This Row],[Custo/Kg]]</f>
        <v>1323.8784000000003</v>
      </c>
      <c r="Y481" s="35">
        <f>IFERROR(VLOOKUP(Tabela3[[#This Row],[Data]],Tabela461213[],2,1)*(Tabela3[[#This Row],[Qtde Cx Produzida]]*Tabela3[[#This Row],[Qde macho / CX]]*Tabela3[[#This Row],[Peso Macho]]),)</f>
        <v>685.92959999999994</v>
      </c>
      <c r="Z481" s="35">
        <f>IFERROR(Tabela3[[#This Row],[Qtde Oleo]]*(VLOOKUP(Tabela3[[#This Row],[Data]],CompraOleo[],3,TRUE))*1.05,0)</f>
        <v>174.92864269724853</v>
      </c>
      <c r="AA481" s="47">
        <f ca="1">(Tabela3[[#This Row],[Custo Oleo]]+Tabela3[[#This Row],[Custo Aluminio]]+Tabela3[[#This Row],[Custo M.O. Total]]+Tabela3[[#This Row],[Custo Machos]])</f>
        <v>2594.5330606139155</v>
      </c>
      <c r="AB481" s="47">
        <f ca="1">Tabela3[[#This Row],[Custo Total]]*Tabela3[[#This Row],[% Perda]]</f>
        <v>0</v>
      </c>
      <c r="AC481" s="48">
        <f>IFERROR(VLOOKUP(Tabela3[[#This Row],[Produto]],Tabela2[],2,0),0)</f>
        <v>3</v>
      </c>
      <c r="AD481" s="48">
        <f>IFERROR(VLOOKUP(Tabela3[[#This Row],[Produto]],Tabela2[],3,0),0)</f>
        <v>0.88400000000000001</v>
      </c>
      <c r="AE481" s="48">
        <f>IFERROR(VLOOKUP(Tabela3[[#This Row],[Produto]],Tabela2[],4,0),0)</f>
        <v>4.6920000000000002</v>
      </c>
      <c r="AF481" s="48">
        <f>IFERROR(VLOOKUP(Tabela3[[#This Row],[Produto]],Tabela2[],5,0),0)</f>
        <v>1.8360000000000001</v>
      </c>
      <c r="AG481" s="40">
        <f>IFERROR(VLOOKUP(Tabela3[[#This Row],[Produto]],Tabela2[],6,0),0)</f>
        <v>0</v>
      </c>
      <c r="AH481" s="40">
        <f>IFERROR(VLOOKUP(Tabela3[[#This Row],[Produto]],Tabela2[],7,0),0)</f>
        <v>9</v>
      </c>
      <c r="AI481" s="40">
        <f>IFERROR(VLOOKUP(Tabela3[[#This Row],[Produto]],Tabela2[],8,0),0)</f>
        <v>1.401</v>
      </c>
      <c r="AJ481" s="35">
        <f ca="1">IFERROR(VLOOKUP(Tabela3[[#This Row],[Produto]],Tabela2[],13,0),0)</f>
        <v>15.600000000000001</v>
      </c>
      <c r="AK481" s="40" t="str">
        <f>IFERROR(VLOOKUP(Tabela3[[#This Row],[Produto]],Tabela2[],14,0),0)</f>
        <v>Jumil</v>
      </c>
      <c r="AL481" s="40">
        <f>IFERROR(VLOOKUP(Tabela3[[#This Row],[Produto]],Tabela2[],15,0),0)</f>
        <v>10</v>
      </c>
      <c r="AM481" s="36">
        <f ca="1">(Tabela3[[#This Row],[Custo Usinagem]]+Tabela3[[#This Row],[Custo / Pç]])*1.2</f>
        <v>44.431663257673947</v>
      </c>
      <c r="AN481" s="36">
        <f ca="1">Tabela3[[#This Row],[Valor Mínimo Venda]]*1.15</f>
        <v>51.096412746325036</v>
      </c>
      <c r="AO481" s="36">
        <f ca="1">Tabela3[[#This Row],[Tabela 1]]*1.08</f>
        <v>55.184125766031045</v>
      </c>
      <c r="AP481" s="36">
        <f ca="1">Tabela3[[#This Row],[Tabela 2]]*1.15</f>
        <v>63.461744630935698</v>
      </c>
    </row>
    <row r="482" spans="1:42">
      <c r="A482" s="9">
        <v>45868</v>
      </c>
      <c r="B482" s="6" t="s">
        <v>248</v>
      </c>
      <c r="C482" s="14">
        <v>7323</v>
      </c>
      <c r="D482" s="6" t="s">
        <v>44</v>
      </c>
      <c r="E482" s="6" t="s">
        <v>47</v>
      </c>
      <c r="F482" s="6">
        <v>21</v>
      </c>
      <c r="G482" s="15">
        <v>0.12430555555555556</v>
      </c>
      <c r="H482" s="16">
        <v>0</v>
      </c>
      <c r="I482" s="35">
        <f ca="1">IFERROR(Tabela3[[#This Row],[Custo Total]]/Tabela3[[#This Row],[Aluminio Util]],0)</f>
        <v>27.386984546104646</v>
      </c>
      <c r="J482" s="35">
        <f ca="1">Tabela3[[#This Row],[Custo Total]]/Tabela3[[#This Row],[Realizado]]</f>
        <v>9.804540467505463</v>
      </c>
      <c r="K482" s="37">
        <f>IFERROR(Tabela3[[#This Row],[Qtde Cx Produzida]]/Tabela3[[#This Row],[Tempo]]/24,0)</f>
        <v>7.0391061452513961</v>
      </c>
      <c r="L482" s="37">
        <f>Tabela3[[#This Row],[Qtde Cx Produzida]]*Tabela3[[#This Row],[Qdt Peça Placa]]</f>
        <v>84</v>
      </c>
      <c r="M482" s="37">
        <f>Tabela3[[#This Row],[Previsto]]-Tabela3[[#This Row],[Perda Pçs]]</f>
        <v>84</v>
      </c>
      <c r="N482" s="38">
        <f>IFERROR(Tabela3[[#This Row],[Perda Pçs]]/Tabela3[[#This Row],[Previsto]],0)</f>
        <v>0</v>
      </c>
      <c r="O482" s="39">
        <f>IFERROR(IF(Tabela3[[#This Row],[Qtde Cx Produzida]] &lt;&gt; 0, Tabela3[[#This Row],[Tempo]] / Tabela3[[#This Row],[Qtde Cx Produzida]], 0),0)</f>
        <v>5.9193121693121697E-3</v>
      </c>
      <c r="P482" s="57">
        <f>IFERROR(Tabela3[[#This Row],[Perda Pçs]]/Tabela3[[#This Row],[Qdt Peça Placa]],0)</f>
        <v>0</v>
      </c>
      <c r="Q482" s="37">
        <f>IFERROR(Tabela3[[#This Row],[Realizado]]*Tabela3[[#This Row],[Peso Util/Pç]],0)</f>
        <v>30.071999999999999</v>
      </c>
      <c r="R482" s="37">
        <f>IFERROR(Tabela3[[#This Row],[Peso Total Galho]]*Tabela3[[#This Row],[Qtde Cx Produzida]]*1.055,0)</f>
        <v>50.956499999999991</v>
      </c>
      <c r="S482" s="37">
        <f>(Tabela3[[#This Row],[Aluminio Bruto]]-Tabela3[[#This Row],[Aluminio Util]])*0.9</f>
        <v>18.796049999999994</v>
      </c>
      <c r="T482" s="37">
        <f>Tabela3[[#This Row],[Aluminio Bruto]]/OleoKGAluminio</f>
        <v>21.437333663878491</v>
      </c>
      <c r="U482" s="35">
        <f>IFERROR((VLOOKUP(Tabela3[[#This Row],[Moldador]],Tabela1[],5,)+(VLOOKUP(Tabela3[[#This Row],[Ajudante]],Tabela1[],5,))*3.5),0)</f>
        <v>99.95034583333333</v>
      </c>
      <c r="V482" s="35">
        <f>IFERROR(Tabela3[[#This Row],[Custo M.O. / H]]/((Tabela3[[#This Row],[Realizado]]/Tabela3[[#This Row],[Qdt Peça Placa]])/Tabela3[[#This Row],[Tempo]]/24),)</f>
        <v>14.199295162037037</v>
      </c>
      <c r="W482" s="35">
        <f>Tabela3[[#This Row],[Custo / Cx Moldada]]*Tabela3[[#This Row],[Qtde Cx Produzida]]</f>
        <v>298.18519840277776</v>
      </c>
      <c r="X482" s="35">
        <f ca="1">Tabela3[[#This Row],[Aluminio Util]]*Tabela3[[#This Row],[Custo/Kg]]</f>
        <v>469.12320000000005</v>
      </c>
      <c r="Y482" s="35">
        <f>IFERROR(VLOOKUP(Tabela3[[#This Row],[Data]],Tabela461213[],2,1)*(Tabela3[[#This Row],[Qtde Cx Produzida]]*Tabela3[[#This Row],[Qde macho / CX]]*Tabela3[[#This Row],[Peso Macho]]),)</f>
        <v>0</v>
      </c>
      <c r="Z482" s="35">
        <f>IFERROR(Tabela3[[#This Row],[Qtde Oleo]]*(VLOOKUP(Tabela3[[#This Row],[Data]],CompraOleo[],3,TRUE))*1.05,0)</f>
        <v>56.273000867681041</v>
      </c>
      <c r="AA482" s="47">
        <f ca="1">(Tabela3[[#This Row],[Custo Oleo]]+Tabela3[[#This Row],[Custo Aluminio]]+Tabela3[[#This Row],[Custo M.O. Total]]+Tabela3[[#This Row],[Custo Machos]])</f>
        <v>823.58139927045886</v>
      </c>
      <c r="AB482" s="47">
        <f ca="1">Tabela3[[#This Row],[Custo Total]]*Tabela3[[#This Row],[% Perda]]</f>
        <v>0</v>
      </c>
      <c r="AC482" s="48">
        <f>IFERROR(VLOOKUP(Tabela3[[#This Row],[Produto]],Tabela2[],2,0),0)</f>
        <v>4</v>
      </c>
      <c r="AD482" s="48">
        <f>IFERROR(VLOOKUP(Tabela3[[#This Row],[Produto]],Tabela2[],3,0),0)</f>
        <v>0.35799999999999998</v>
      </c>
      <c r="AE482" s="48">
        <f>IFERROR(VLOOKUP(Tabela3[[#This Row],[Produto]],Tabela2[],4,0),0)</f>
        <v>2.2999999999999998</v>
      </c>
      <c r="AF482" s="48">
        <f>IFERROR(VLOOKUP(Tabela3[[#This Row],[Produto]],Tabela2[],5,0),0)</f>
        <v>0.78119999999999989</v>
      </c>
      <c r="AG482" s="40">
        <f>IFERROR(VLOOKUP(Tabela3[[#This Row],[Produto]],Tabela2[],6,0),0)</f>
        <v>0</v>
      </c>
      <c r="AH482" s="40">
        <f>IFERROR(VLOOKUP(Tabela3[[#This Row],[Produto]],Tabela2[],7,0),0)</f>
        <v>0</v>
      </c>
      <c r="AI482" s="40">
        <f>IFERROR(VLOOKUP(Tabela3[[#This Row],[Produto]],Tabela2[],8,0),0)</f>
        <v>0</v>
      </c>
      <c r="AJ482" s="35">
        <f ca="1">IFERROR(VLOOKUP(Tabela3[[#This Row],[Produto]],Tabela2[],13,0),0)</f>
        <v>15.600000000000001</v>
      </c>
      <c r="AK482" s="40" t="str">
        <f>IFERROR(VLOOKUP(Tabela3[[#This Row],[Produto]],Tabela2[],14,0),0)</f>
        <v>Senun</v>
      </c>
      <c r="AL482" s="40">
        <f>IFERROR(VLOOKUP(Tabela3[[#This Row],[Produto]],Tabela2[],15,0),0)</f>
        <v>4</v>
      </c>
      <c r="AM482" s="36">
        <f ca="1">(Tabela3[[#This Row],[Custo Usinagem]]+Tabela3[[#This Row],[Custo / Pç]])*1.2</f>
        <v>16.565448561006555</v>
      </c>
      <c r="AN482" s="36">
        <f ca="1">Tabela3[[#This Row],[Valor Mínimo Venda]]*1.15</f>
        <v>19.050265845157536</v>
      </c>
      <c r="AO482" s="36">
        <f ca="1">Tabela3[[#This Row],[Tabela 1]]*1.08</f>
        <v>20.57428711277014</v>
      </c>
      <c r="AP482" s="36">
        <f ca="1">Tabela3[[#This Row],[Tabela 2]]*1.15</f>
        <v>23.660430179685658</v>
      </c>
    </row>
    <row r="483" spans="1:42">
      <c r="A483" s="9">
        <v>45868</v>
      </c>
      <c r="B483" s="6" t="s">
        <v>135</v>
      </c>
      <c r="C483" s="14">
        <v>7315</v>
      </c>
      <c r="D483" s="6" t="s">
        <v>44</v>
      </c>
      <c r="E483" s="6" t="s">
        <v>47</v>
      </c>
      <c r="F483" s="6">
        <v>25</v>
      </c>
      <c r="G483" s="15">
        <v>0.13472222222222222</v>
      </c>
      <c r="H483" s="16">
        <v>0</v>
      </c>
      <c r="I483" s="35">
        <f ca="1">IFERROR(Tabela3[[#This Row],[Custo Total]]/Tabela3[[#This Row],[Aluminio Util]],0)</f>
        <v>27.515530091676407</v>
      </c>
      <c r="J483" s="35">
        <f ca="1">Tabela3[[#This Row],[Custo Total]]/Tabela3[[#This Row],[Realizado]]</f>
        <v>48.702488262267245</v>
      </c>
      <c r="K483" s="37">
        <f>IFERROR(Tabela3[[#This Row],[Qtde Cx Produzida]]/Tabela3[[#This Row],[Tempo]]/24,0)</f>
        <v>7.7319587628865989</v>
      </c>
      <c r="L483" s="37">
        <f>Tabela3[[#This Row],[Qtde Cx Produzida]]*Tabela3[[#This Row],[Qdt Peça Placa]]</f>
        <v>25</v>
      </c>
      <c r="M483" s="37">
        <f>Tabela3[[#This Row],[Previsto]]-Tabela3[[#This Row],[Perda Pçs]]</f>
        <v>25</v>
      </c>
      <c r="N483" s="38">
        <f>IFERROR(Tabela3[[#This Row],[Perda Pçs]]/Tabela3[[#This Row],[Previsto]],0)</f>
        <v>0</v>
      </c>
      <c r="O483" s="39">
        <f>IFERROR(IF(Tabela3[[#This Row],[Qtde Cx Produzida]] &lt;&gt; 0, Tabela3[[#This Row],[Tempo]] / Tabela3[[#This Row],[Qtde Cx Produzida]], 0),0)</f>
        <v>5.3888888888888884E-3</v>
      </c>
      <c r="P483" s="57">
        <f>IFERROR(Tabela3[[#This Row],[Perda Pçs]]/Tabela3[[#This Row],[Qdt Peça Placa]],0)</f>
        <v>0</v>
      </c>
      <c r="Q483" s="37">
        <f>IFERROR(Tabela3[[#This Row],[Realizado]]*Tabela3[[#This Row],[Peso Util/Pç]],0)</f>
        <v>44.25</v>
      </c>
      <c r="R483" s="37">
        <f>IFERROR(Tabela3[[#This Row],[Peso Total Galho]]*Tabela3[[#This Row],[Qtde Cx Produzida]]*1.055,0)</f>
        <v>82.553749999999994</v>
      </c>
      <c r="S483" s="37">
        <f>(Tabela3[[#This Row],[Aluminio Bruto]]-Tabela3[[#This Row],[Aluminio Util]])*0.9</f>
        <v>34.473374999999997</v>
      </c>
      <c r="T483" s="37">
        <f>Tabela3[[#This Row],[Aluminio Bruto]]/OleoKGAluminio</f>
        <v>34.730255884026754</v>
      </c>
      <c r="U483" s="35">
        <f>IFERROR((VLOOKUP(Tabela3[[#This Row],[Moldador]],Tabela1[],5,)+(VLOOKUP(Tabela3[[#This Row],[Ajudante]],Tabela1[],5,))*3.5),0)</f>
        <v>99.95034583333333</v>
      </c>
      <c r="V483" s="35">
        <f>IFERROR(Tabela3[[#This Row],[Custo M.O. / H]]/((Tabela3[[#This Row],[Realizado]]/Tabela3[[#This Row],[Qdt Peça Placa]])/Tabela3[[#This Row],[Tempo]]/24),)</f>
        <v>12.926911394444442</v>
      </c>
      <c r="W483" s="35">
        <f>Tabela3[[#This Row],[Custo / Cx Moldada]]*Tabela3[[#This Row],[Qtde Cx Produzida]]</f>
        <v>323.17278486111104</v>
      </c>
      <c r="X483" s="35">
        <f ca="1">Tabela3[[#This Row],[Aluminio Util]]*Tabela3[[#This Row],[Custo/Kg]]</f>
        <v>690.30000000000007</v>
      </c>
      <c r="Y483" s="35">
        <f>IFERROR(VLOOKUP(Tabela3[[#This Row],[Data]],Tabela461213[],2,1)*(Tabela3[[#This Row],[Qtde Cx Produzida]]*Tabela3[[#This Row],[Qde macho / CX]]*Tabela3[[#This Row],[Peso Macho]]),)</f>
        <v>112.92249999999999</v>
      </c>
      <c r="Z483" s="35">
        <f>IFERROR(Tabela3[[#This Row],[Qtde Oleo]]*(VLOOKUP(Tabela3[[#This Row],[Data]],CompraOleo[],3,TRUE))*1.05,0)</f>
        <v>91.166921695570224</v>
      </c>
      <c r="AA483" s="47">
        <f ca="1">(Tabela3[[#This Row],[Custo Oleo]]+Tabela3[[#This Row],[Custo Aluminio]]+Tabela3[[#This Row],[Custo M.O. Total]]+Tabela3[[#This Row],[Custo Machos]])</f>
        <v>1217.5622065566811</v>
      </c>
      <c r="AB483" s="47">
        <f ca="1">Tabela3[[#This Row],[Custo Total]]*Tabela3[[#This Row],[% Perda]]</f>
        <v>0</v>
      </c>
      <c r="AC483" s="48">
        <f>IFERROR(VLOOKUP(Tabela3[[#This Row],[Produto]],Tabela2[],2,0),0)</f>
        <v>1</v>
      </c>
      <c r="AD483" s="48">
        <f>IFERROR(VLOOKUP(Tabela3[[#This Row],[Produto]],Tabela2[],3,0),0)</f>
        <v>1.77</v>
      </c>
      <c r="AE483" s="48">
        <f>IFERROR(VLOOKUP(Tabela3[[#This Row],[Produto]],Tabela2[],4,0),0)</f>
        <v>3.13</v>
      </c>
      <c r="AF483" s="48">
        <f>IFERROR(VLOOKUP(Tabela3[[#This Row],[Produto]],Tabela2[],5,0),0)</f>
        <v>1.224</v>
      </c>
      <c r="AG483" s="40">
        <f>IFERROR(VLOOKUP(Tabela3[[#This Row],[Produto]],Tabela2[],6,0),0)</f>
        <v>0</v>
      </c>
      <c r="AH483" s="40">
        <f>IFERROR(VLOOKUP(Tabela3[[#This Row],[Produto]],Tabela2[],7,0),0)</f>
        <v>1</v>
      </c>
      <c r="AI483" s="40">
        <f>IFERROR(VLOOKUP(Tabela3[[#This Row],[Produto]],Tabela2[],8,0),0)</f>
        <v>2.657</v>
      </c>
      <c r="AJ483" s="35">
        <f ca="1">IFERROR(VLOOKUP(Tabela3[[#This Row],[Produto]],Tabela2[],13,0),0)</f>
        <v>15.600000000000001</v>
      </c>
      <c r="AK483" s="40" t="str">
        <f>IFERROR(VLOOKUP(Tabela3[[#This Row],[Produto]],Tabela2[],14,0),0)</f>
        <v>Jumil</v>
      </c>
      <c r="AL483" s="40">
        <f>IFERROR(VLOOKUP(Tabela3[[#This Row],[Produto]],Tabela2[],15,0),0)</f>
        <v>10</v>
      </c>
      <c r="AM483" s="36">
        <f ca="1">(Tabela3[[#This Row],[Custo Usinagem]]+Tabela3[[#This Row],[Custo / Pç]])*1.2</f>
        <v>70.442985914720694</v>
      </c>
      <c r="AN483" s="36">
        <f ca="1">Tabela3[[#This Row],[Valor Mínimo Venda]]*1.15</f>
        <v>81.009433801928793</v>
      </c>
      <c r="AO483" s="36">
        <f ca="1">Tabela3[[#This Row],[Tabela 1]]*1.08</f>
        <v>87.490188506083101</v>
      </c>
      <c r="AP483" s="36">
        <f ca="1">Tabela3[[#This Row],[Tabela 2]]*1.15</f>
        <v>100.61371678199556</v>
      </c>
    </row>
    <row r="484" spans="1:42">
      <c r="A484" s="9">
        <v>45868</v>
      </c>
      <c r="B484" s="6" t="s">
        <v>110</v>
      </c>
      <c r="C484" s="14">
        <v>7481</v>
      </c>
      <c r="D484" s="6" t="s">
        <v>44</v>
      </c>
      <c r="E484" s="6" t="s">
        <v>47</v>
      </c>
      <c r="F484" s="6">
        <v>5</v>
      </c>
      <c r="G484" s="15">
        <v>3.6111111111111108E-2</v>
      </c>
      <c r="H484" s="16">
        <v>0</v>
      </c>
      <c r="I484" s="35">
        <f ca="1">IFERROR(Tabela3[[#This Row],[Custo Total]]/Tabela3[[#This Row],[Aluminio Util]],0)</f>
        <v>25.918410547317528</v>
      </c>
      <c r="J484" s="35">
        <f ca="1">Tabela3[[#This Row],[Custo Total]]/Tabela3[[#This Row],[Realizado]]</f>
        <v>50.540900567269176</v>
      </c>
      <c r="K484" s="37">
        <f>IFERROR(Tabela3[[#This Row],[Qtde Cx Produzida]]/Tabela3[[#This Row],[Tempo]]/24,0)</f>
        <v>5.7692307692307701</v>
      </c>
      <c r="L484" s="37">
        <f>Tabela3[[#This Row],[Qtde Cx Produzida]]*Tabela3[[#This Row],[Qdt Peça Placa]]</f>
        <v>5</v>
      </c>
      <c r="M484" s="37">
        <f>Tabela3[[#This Row],[Previsto]]-Tabela3[[#This Row],[Perda Pçs]]</f>
        <v>5</v>
      </c>
      <c r="N484" s="38">
        <f>IFERROR(Tabela3[[#This Row],[Perda Pçs]]/Tabela3[[#This Row],[Previsto]],0)</f>
        <v>0</v>
      </c>
      <c r="O484" s="39">
        <f>IFERROR(IF(Tabela3[[#This Row],[Qtde Cx Produzida]] &lt;&gt; 0, Tabela3[[#This Row],[Tempo]] / Tabela3[[#This Row],[Qtde Cx Produzida]], 0),0)</f>
        <v>7.2222222222222219E-3</v>
      </c>
      <c r="P484" s="57">
        <f>IFERROR(Tabela3[[#This Row],[Perda Pçs]]/Tabela3[[#This Row],[Qdt Peça Placa]],0)</f>
        <v>0</v>
      </c>
      <c r="Q484" s="37">
        <f>IFERROR(Tabela3[[#This Row],[Realizado]]*Tabela3[[#This Row],[Peso Util/Pç]],0)</f>
        <v>9.75</v>
      </c>
      <c r="R484" s="37">
        <f>IFERROR(Tabela3[[#This Row],[Peso Total Galho]]*Tabela3[[#This Row],[Qtde Cx Produzida]]*1.055,0)</f>
        <v>12.66</v>
      </c>
      <c r="S484" s="37">
        <f>(Tabela3[[#This Row],[Aluminio Bruto]]-Tabela3[[#This Row],[Aluminio Util]])*0.9</f>
        <v>2.6190000000000002</v>
      </c>
      <c r="T484" s="37">
        <f>Tabela3[[#This Row],[Aluminio Bruto]]/OleoKGAluminio</f>
        <v>5.3260456307772657</v>
      </c>
      <c r="U484" s="35">
        <f>IFERROR((VLOOKUP(Tabela3[[#This Row],[Moldador]],Tabela1[],5,)+(VLOOKUP(Tabela3[[#This Row],[Ajudante]],Tabela1[],5,))*3.5),0)</f>
        <v>99.95034583333333</v>
      </c>
      <c r="V484" s="35">
        <f>IFERROR(Tabela3[[#This Row],[Custo M.O. / H]]/((Tabela3[[#This Row],[Realizado]]/Tabela3[[#This Row],[Qdt Peça Placa]])/Tabela3[[#This Row],[Tempo]]/24),)</f>
        <v>17.324726611111107</v>
      </c>
      <c r="W484" s="35">
        <f>Tabela3[[#This Row],[Custo / Cx Moldada]]*Tabela3[[#This Row],[Qtde Cx Produzida]]</f>
        <v>86.62363305555553</v>
      </c>
      <c r="X484" s="35">
        <f ca="1">Tabela3[[#This Row],[Aluminio Util]]*Tabela3[[#This Row],[Custo/Kg]]</f>
        <v>152.10000000000002</v>
      </c>
      <c r="Y484" s="35">
        <f>IFERROR(VLOOKUP(Tabela3[[#This Row],[Data]],Tabela461213[],2,1)*(Tabela3[[#This Row],[Qtde Cx Produzida]]*Tabela3[[#This Row],[Qde macho / CX]]*Tabela3[[#This Row],[Peso Macho]]),)</f>
        <v>0</v>
      </c>
      <c r="Z484" s="35">
        <f>IFERROR(Tabela3[[#This Row],[Qtde Oleo]]*(VLOOKUP(Tabela3[[#This Row],[Data]],CompraOleo[],3,TRUE))*1.05,0)</f>
        <v>13.980869780790323</v>
      </c>
      <c r="AA484" s="47">
        <f ca="1">(Tabela3[[#This Row],[Custo Oleo]]+Tabela3[[#This Row],[Custo Aluminio]]+Tabela3[[#This Row],[Custo M.O. Total]]+Tabela3[[#This Row],[Custo Machos]])</f>
        <v>252.70450283634588</v>
      </c>
      <c r="AB484" s="47">
        <f ca="1">Tabela3[[#This Row],[Custo Total]]*Tabela3[[#This Row],[% Perda]]</f>
        <v>0</v>
      </c>
      <c r="AC484" s="48">
        <f>IFERROR(VLOOKUP(Tabela3[[#This Row],[Produto]],Tabela2[],2,0),0)</f>
        <v>1</v>
      </c>
      <c r="AD484" s="48">
        <f>IFERROR(VLOOKUP(Tabela3[[#This Row],[Produto]],Tabela2[],3,0),0)</f>
        <v>1.95</v>
      </c>
      <c r="AE484" s="48">
        <f>IFERROR(VLOOKUP(Tabela3[[#This Row],[Produto]],Tabela2[],4,0),0)</f>
        <v>2.4</v>
      </c>
      <c r="AF484" s="48">
        <f>IFERROR(VLOOKUP(Tabela3[[#This Row],[Produto]],Tabela2[],5,0),0)</f>
        <v>0.40499999999999997</v>
      </c>
      <c r="AG484" s="40">
        <f>IFERROR(VLOOKUP(Tabela3[[#This Row],[Produto]],Tabela2[],6,0),0)</f>
        <v>0</v>
      </c>
      <c r="AH484" s="40">
        <f>IFERROR(VLOOKUP(Tabela3[[#This Row],[Produto]],Tabela2[],7,0),0)</f>
        <v>1</v>
      </c>
      <c r="AI484" s="40">
        <f>IFERROR(VLOOKUP(Tabela3[[#This Row],[Produto]],Tabela2[],8,0),0)</f>
        <v>0</v>
      </c>
      <c r="AJ484" s="35">
        <f ca="1">IFERROR(VLOOKUP(Tabela3[[#This Row],[Produto]],Tabela2[],13,0),0)</f>
        <v>15.600000000000001</v>
      </c>
      <c r="AK484" s="40" t="str">
        <f>IFERROR(VLOOKUP(Tabela3[[#This Row],[Produto]],Tabela2[],14,0),0)</f>
        <v>Jumil</v>
      </c>
      <c r="AL484" s="40">
        <f>IFERROR(VLOOKUP(Tabela3[[#This Row],[Produto]],Tabela2[],15,0),0)</f>
        <v>1</v>
      </c>
      <c r="AM484" s="36">
        <f ca="1">(Tabela3[[#This Row],[Custo Usinagem]]+Tabela3[[#This Row],[Custo / Pç]])*1.2</f>
        <v>61.849080680723006</v>
      </c>
      <c r="AN484" s="36">
        <f ca="1">Tabela3[[#This Row],[Valor Mínimo Venda]]*1.15</f>
        <v>71.126442782831447</v>
      </c>
      <c r="AO484" s="36">
        <f ca="1">Tabela3[[#This Row],[Tabela 1]]*1.08</f>
        <v>76.816558205457966</v>
      </c>
      <c r="AP484" s="36">
        <f ca="1">Tabela3[[#This Row],[Tabela 2]]*1.15</f>
        <v>88.339041936276658</v>
      </c>
    </row>
    <row r="485" spans="1:42">
      <c r="A485" s="9">
        <v>45868</v>
      </c>
      <c r="B485" s="6" t="s">
        <v>234</v>
      </c>
      <c r="C485" s="14">
        <v>7493</v>
      </c>
      <c r="D485" s="6" t="s">
        <v>44</v>
      </c>
      <c r="E485" s="6" t="s">
        <v>47</v>
      </c>
      <c r="F485" s="6">
        <v>1</v>
      </c>
      <c r="G485" s="15">
        <v>1.8749999999999999E-2</v>
      </c>
      <c r="H485" s="16">
        <v>0</v>
      </c>
      <c r="I485" s="35">
        <f ca="1">IFERROR(Tabela3[[#This Row],[Custo Total]]/Tabela3[[#This Row],[Aluminio Util]],0)</f>
        <v>47.167375367790655</v>
      </c>
      <c r="J485" s="35">
        <f ca="1">Tabela3[[#This Row],[Custo Total]]/Tabela3[[#This Row],[Realizado]]</f>
        <v>75.467800588465053</v>
      </c>
      <c r="K485" s="37">
        <f>IFERROR(Tabela3[[#This Row],[Qtde Cx Produzida]]/Tabela3[[#This Row],[Tempo]]/24,0)</f>
        <v>2.2222222222222223</v>
      </c>
      <c r="L485" s="37">
        <f>Tabela3[[#This Row],[Qtde Cx Produzida]]*Tabela3[[#This Row],[Qdt Peça Placa]]</f>
        <v>1</v>
      </c>
      <c r="M485" s="37">
        <f>Tabela3[[#This Row],[Previsto]]-Tabela3[[#This Row],[Perda Pçs]]</f>
        <v>1</v>
      </c>
      <c r="N485" s="38">
        <f>IFERROR(Tabela3[[#This Row],[Perda Pçs]]/Tabela3[[#This Row],[Previsto]],0)</f>
        <v>0</v>
      </c>
      <c r="O485" s="39">
        <f>IFERROR(IF(Tabela3[[#This Row],[Qtde Cx Produzida]] &lt;&gt; 0, Tabela3[[#This Row],[Tempo]] / Tabela3[[#This Row],[Qtde Cx Produzida]], 0),0)</f>
        <v>1.8749999999999999E-2</v>
      </c>
      <c r="P485" s="57">
        <f>IFERROR(Tabela3[[#This Row],[Perda Pçs]]/Tabela3[[#This Row],[Qdt Peça Placa]],0)</f>
        <v>0</v>
      </c>
      <c r="Q485" s="37">
        <f>IFERROR(Tabela3[[#This Row],[Realizado]]*Tabela3[[#This Row],[Peso Util/Pç]],0)</f>
        <v>1.6</v>
      </c>
      <c r="R485" s="37">
        <f>IFERROR(Tabela3[[#This Row],[Peso Total Galho]]*Tabela3[[#This Row],[Qtde Cx Produzida]]*1.055,0)</f>
        <v>2.11</v>
      </c>
      <c r="S485" s="37">
        <f>(Tabela3[[#This Row],[Aluminio Bruto]]-Tabela3[[#This Row],[Aluminio Util]])*0.9</f>
        <v>0.4589999999999998</v>
      </c>
      <c r="T485" s="37">
        <f>Tabela3[[#This Row],[Aluminio Bruto]]/OleoKGAluminio</f>
        <v>0.88767427179621095</v>
      </c>
      <c r="U485" s="35">
        <f>IFERROR((VLOOKUP(Tabela3[[#This Row],[Moldador]],Tabela1[],5,)+(VLOOKUP(Tabela3[[#This Row],[Ajudante]],Tabela1[],5,))*3.5),0)</f>
        <v>99.95034583333333</v>
      </c>
      <c r="V485" s="35">
        <f>IFERROR(Tabela3[[#This Row],[Custo M.O. / H]]/((Tabela3[[#This Row],[Realizado]]/Tabela3[[#This Row],[Qdt Peça Placa]])/Tabela3[[#This Row],[Tempo]]/24),)</f>
        <v>44.977655624999997</v>
      </c>
      <c r="W485" s="35">
        <f>Tabela3[[#This Row],[Custo / Cx Moldada]]*Tabela3[[#This Row],[Qtde Cx Produzida]]</f>
        <v>44.977655624999997</v>
      </c>
      <c r="X485" s="35">
        <f ca="1">Tabela3[[#This Row],[Aluminio Util]]*Tabela3[[#This Row],[Custo/Kg]]</f>
        <v>28.160000000000004</v>
      </c>
      <c r="Y485" s="35">
        <f>IFERROR(VLOOKUP(Tabela3[[#This Row],[Data]],Tabela461213[],2,1)*(Tabela3[[#This Row],[Qtde Cx Produzida]]*Tabela3[[#This Row],[Qde macho / CX]]*Tabela3[[#This Row],[Peso Macho]]),)</f>
        <v>0</v>
      </c>
      <c r="Z485" s="35">
        <f>IFERROR(Tabela3[[#This Row],[Qtde Oleo]]*(VLOOKUP(Tabela3[[#This Row],[Data]],CompraOleo[],3,TRUE))*1.05,0)</f>
        <v>2.3301449634650537</v>
      </c>
      <c r="AA485" s="47">
        <f ca="1">(Tabela3[[#This Row],[Custo Oleo]]+Tabela3[[#This Row],[Custo Aluminio]]+Tabela3[[#This Row],[Custo M.O. Total]]+Tabela3[[#This Row],[Custo Machos]])</f>
        <v>75.467800588465053</v>
      </c>
      <c r="AB485" s="47">
        <f ca="1">Tabela3[[#This Row],[Custo Total]]*Tabela3[[#This Row],[% Perda]]</f>
        <v>0</v>
      </c>
      <c r="AC485" s="48">
        <f>IFERROR(VLOOKUP(Tabela3[[#This Row],[Produto]],Tabela2[],2,0),0)</f>
        <v>1</v>
      </c>
      <c r="AD485" s="48">
        <f>IFERROR(VLOOKUP(Tabela3[[#This Row],[Produto]],Tabela2[],3,0),0)</f>
        <v>1.6</v>
      </c>
      <c r="AE485" s="48">
        <f>IFERROR(VLOOKUP(Tabela3[[#This Row],[Produto]],Tabela2[],4,0),0)</f>
        <v>2</v>
      </c>
      <c r="AF485" s="48">
        <f>IFERROR(VLOOKUP(Tabela3[[#This Row],[Produto]],Tabela2[],5,0),0)</f>
        <v>0.35999999999999993</v>
      </c>
      <c r="AG485" s="40">
        <f>IFERROR(VLOOKUP(Tabela3[[#This Row],[Produto]],Tabela2[],6,0),0)</f>
        <v>0</v>
      </c>
      <c r="AH485" s="40">
        <f>IFERROR(VLOOKUP(Tabela3[[#This Row],[Produto]],Tabela2[],7,0),0)</f>
        <v>0</v>
      </c>
      <c r="AI485" s="40">
        <f>IFERROR(VLOOKUP(Tabela3[[#This Row],[Produto]],Tabela2[],8,0),0)</f>
        <v>0</v>
      </c>
      <c r="AJ485" s="35">
        <f ca="1">IFERROR(VLOOKUP(Tabela3[[#This Row],[Produto]],Tabela2[],13,0),0)</f>
        <v>17.600000000000001</v>
      </c>
      <c r="AK485" s="40" t="str">
        <f>IFERROR(VLOOKUP(Tabela3[[#This Row],[Produto]],Tabela2[],14,0),0)</f>
        <v>Danilo</v>
      </c>
      <c r="AL485" s="40">
        <f>IFERROR(VLOOKUP(Tabela3[[#This Row],[Produto]],Tabela2[],15,0),0)</f>
        <v>0</v>
      </c>
      <c r="AM485" s="36">
        <f ca="1">(Tabela3[[#This Row],[Custo Usinagem]]+Tabela3[[#This Row],[Custo / Pç]])*1.2</f>
        <v>90.561360706158055</v>
      </c>
      <c r="AN485" s="36">
        <f ca="1">Tabela3[[#This Row],[Valor Mínimo Venda]]*1.15</f>
        <v>104.14556481208176</v>
      </c>
      <c r="AO485" s="36">
        <f ca="1">Tabela3[[#This Row],[Tabela 1]]*1.08</f>
        <v>112.47720999704831</v>
      </c>
      <c r="AP485" s="36">
        <f ca="1">Tabela3[[#This Row],[Tabela 2]]*1.15</f>
        <v>129.34879149660554</v>
      </c>
    </row>
    <row r="486" spans="1:42">
      <c r="A486" s="9">
        <v>45868</v>
      </c>
      <c r="B486" s="6" t="s">
        <v>142</v>
      </c>
      <c r="C486" s="14">
        <v>7492</v>
      </c>
      <c r="D486" s="6" t="s">
        <v>44</v>
      </c>
      <c r="E486" s="6" t="s">
        <v>47</v>
      </c>
      <c r="F486" s="6">
        <v>2</v>
      </c>
      <c r="G486" s="15">
        <v>9.0277777777777769E-3</v>
      </c>
      <c r="H486" s="16">
        <v>0</v>
      </c>
      <c r="I486" s="35">
        <f ca="1">IFERROR(Tabela3[[#This Row],[Custo Total]]/Tabela3[[#This Row],[Aluminio Util]],0)</f>
        <v>32.070854619620576</v>
      </c>
      <c r="J486" s="35">
        <f ca="1">Tabela3[[#This Row],[Custo Total]]/Tabela3[[#This Row],[Realizado]]</f>
        <v>25.656683695696465</v>
      </c>
      <c r="K486" s="37">
        <f>IFERROR(Tabela3[[#This Row],[Qtde Cx Produzida]]/Tabela3[[#This Row],[Tempo]]/24,0)</f>
        <v>9.2307692307692317</v>
      </c>
      <c r="L486" s="37">
        <f>Tabela3[[#This Row],[Qtde Cx Produzida]]*Tabela3[[#This Row],[Qdt Peça Placa]]</f>
        <v>2</v>
      </c>
      <c r="M486" s="37">
        <f>Tabela3[[#This Row],[Previsto]]-Tabela3[[#This Row],[Perda Pçs]]</f>
        <v>2</v>
      </c>
      <c r="N486" s="38">
        <f>IFERROR(Tabela3[[#This Row],[Perda Pçs]]/Tabela3[[#This Row],[Previsto]],0)</f>
        <v>0</v>
      </c>
      <c r="O486" s="39">
        <f>IFERROR(IF(Tabela3[[#This Row],[Qtde Cx Produzida]] &lt;&gt; 0, Tabela3[[#This Row],[Tempo]] / Tabela3[[#This Row],[Qtde Cx Produzida]], 0),0)</f>
        <v>4.5138888888888885E-3</v>
      </c>
      <c r="P486" s="57">
        <f>IFERROR(Tabela3[[#This Row],[Perda Pçs]]/Tabela3[[#This Row],[Qdt Peça Placa]],0)</f>
        <v>0</v>
      </c>
      <c r="Q486" s="37">
        <f>IFERROR(Tabela3[[#This Row],[Realizado]]*Tabela3[[#This Row],[Peso Util/Pç]],0)</f>
        <v>1.6</v>
      </c>
      <c r="R486" s="37">
        <f>IFERROR(Tabela3[[#This Row],[Peso Total Galho]]*Tabela3[[#This Row],[Qtde Cx Produzida]]*1.055,0)</f>
        <v>2.8485</v>
      </c>
      <c r="S486" s="37">
        <f>(Tabela3[[#This Row],[Aluminio Bruto]]-Tabela3[[#This Row],[Aluminio Util]])*0.9</f>
        <v>1.12365</v>
      </c>
      <c r="T486" s="37">
        <f>Tabela3[[#This Row],[Aluminio Bruto]]/OleoKGAluminio</f>
        <v>1.1983602669248847</v>
      </c>
      <c r="U486" s="35">
        <f>IFERROR((VLOOKUP(Tabela3[[#This Row],[Moldador]],Tabela1[],5,)+(VLOOKUP(Tabela3[[#This Row],[Ajudante]],Tabela1[],5,))*3.5),0)</f>
        <v>99.95034583333333</v>
      </c>
      <c r="V486" s="35">
        <f>IFERROR(Tabela3[[#This Row],[Custo M.O. / H]]/((Tabela3[[#This Row],[Realizado]]/Tabela3[[#This Row],[Qdt Peça Placa]])/Tabela3[[#This Row],[Tempo]]/24),)</f>
        <v>10.827954131944443</v>
      </c>
      <c r="W486" s="35">
        <f>Tabela3[[#This Row],[Custo / Cx Moldada]]*Tabela3[[#This Row],[Qtde Cx Produzida]]</f>
        <v>21.655908263888886</v>
      </c>
      <c r="X486" s="35">
        <f ca="1">Tabela3[[#This Row],[Aluminio Util]]*Tabela3[[#This Row],[Custo/Kg]]</f>
        <v>26.511763426826221</v>
      </c>
      <c r="Y486" s="35">
        <f>IFERROR(VLOOKUP(Tabela3[[#This Row],[Data]],Tabela461213[],2,1)*(Tabela3[[#This Row],[Qtde Cx Produzida]]*Tabela3[[#This Row],[Qde macho / CX]]*Tabela3[[#This Row],[Peso Macho]]),)</f>
        <v>0</v>
      </c>
      <c r="Z486" s="35">
        <f>IFERROR(Tabela3[[#This Row],[Qtde Oleo]]*(VLOOKUP(Tabela3[[#This Row],[Data]],CompraOleo[],3,TRUE))*1.05,0)</f>
        <v>3.1456957006778228</v>
      </c>
      <c r="AA486" s="47">
        <f ca="1">(Tabela3[[#This Row],[Custo Oleo]]+Tabela3[[#This Row],[Custo Aluminio]]+Tabela3[[#This Row],[Custo M.O. Total]]+Tabela3[[#This Row],[Custo Machos]])</f>
        <v>51.31336739139293</v>
      </c>
      <c r="AB486" s="47">
        <f ca="1">Tabela3[[#This Row],[Custo Total]]*Tabela3[[#This Row],[% Perda]]</f>
        <v>0</v>
      </c>
      <c r="AC486" s="48">
        <f>IFERROR(VLOOKUP(Tabela3[[#This Row],[Produto]],Tabela2[],2,0),0)</f>
        <v>1</v>
      </c>
      <c r="AD486" s="48">
        <f>IFERROR(VLOOKUP(Tabela3[[#This Row],[Produto]],Tabela2[],3,0),0)</f>
        <v>0.8</v>
      </c>
      <c r="AE486" s="48">
        <f>IFERROR(VLOOKUP(Tabela3[[#This Row],[Produto]],Tabela2[],4,0),0)</f>
        <v>1.35</v>
      </c>
      <c r="AF486" s="48">
        <f>IFERROR(VLOOKUP(Tabela3[[#This Row],[Produto]],Tabela2[],5,0),0)</f>
        <v>0.49500000000000005</v>
      </c>
      <c r="AG486" s="40">
        <f>IFERROR(VLOOKUP(Tabela3[[#This Row],[Produto]],Tabela2[],6,0),0)</f>
        <v>0</v>
      </c>
      <c r="AH486" s="40">
        <f>IFERROR(VLOOKUP(Tabela3[[#This Row],[Produto]],Tabela2[],7,0),0)</f>
        <v>0</v>
      </c>
      <c r="AI486" s="40">
        <f>IFERROR(VLOOKUP(Tabela3[[#This Row],[Produto]],Tabela2[],8,0),0)</f>
        <v>0</v>
      </c>
      <c r="AJ486" s="35">
        <f ca="1">IFERROR(VLOOKUP(Tabela3[[#This Row],[Produto]],Tabela2[],13,0),0)</f>
        <v>16.569852141766386</v>
      </c>
      <c r="AK486" s="40" t="str">
        <f>IFERROR(VLOOKUP(Tabela3[[#This Row],[Produto]],Tabela2[],14,0),0)</f>
        <v>Danilo</v>
      </c>
      <c r="AL486" s="40">
        <f>IFERROR(VLOOKUP(Tabela3[[#This Row],[Produto]],Tabela2[],15,0),0)</f>
        <v>0</v>
      </c>
      <c r="AM486" s="36">
        <f ca="1">(Tabela3[[#This Row],[Custo Usinagem]]+Tabela3[[#This Row],[Custo / Pç]])*1.2</f>
        <v>30.788020434835758</v>
      </c>
      <c r="AN486" s="36">
        <f ca="1">Tabela3[[#This Row],[Valor Mínimo Venda]]*1.15</f>
        <v>35.406223500061117</v>
      </c>
      <c r="AO486" s="36">
        <f ca="1">Tabela3[[#This Row],[Tabela 1]]*1.08</f>
        <v>38.238721380066011</v>
      </c>
      <c r="AP486" s="36">
        <f ca="1">Tabela3[[#This Row],[Tabela 2]]*1.15</f>
        <v>43.974529587075907</v>
      </c>
    </row>
    <row r="487" spans="1:42">
      <c r="A487" s="9">
        <v>45869</v>
      </c>
      <c r="B487" s="6" t="s">
        <v>134</v>
      </c>
      <c r="C487" s="14">
        <v>7312</v>
      </c>
      <c r="D487" s="6" t="s">
        <v>46</v>
      </c>
      <c r="E487" s="6" t="s">
        <v>53</v>
      </c>
      <c r="F487" s="6">
        <v>12</v>
      </c>
      <c r="G487" s="15">
        <v>7.5694444444444439E-2</v>
      </c>
      <c r="H487" s="16">
        <v>0</v>
      </c>
      <c r="I487" s="35">
        <f ca="1">IFERROR(Tabela3[[#This Row],[Custo Total]]/Tabela3[[#This Row],[Aluminio Util]],0)</f>
        <v>23.084695899112504</v>
      </c>
      <c r="J487" s="35">
        <f ca="1">Tabela3[[#This Row],[Custo Total]]/Tabela3[[#This Row],[Realizado]]</f>
        <v>84.259140031760637</v>
      </c>
      <c r="K487" s="37">
        <f>IFERROR(Tabela3[[#This Row],[Qtde Cx Produzida]]/Tabela3[[#This Row],[Tempo]]/24,0)</f>
        <v>6.6055045871559637</v>
      </c>
      <c r="L487" s="37">
        <f>Tabela3[[#This Row],[Qtde Cx Produzida]]*Tabela3[[#This Row],[Qdt Peça Placa]]</f>
        <v>12</v>
      </c>
      <c r="M487" s="37">
        <f>Tabela3[[#This Row],[Previsto]]-Tabela3[[#This Row],[Perda Pçs]]</f>
        <v>12</v>
      </c>
      <c r="N487" s="38">
        <f>IFERROR(Tabela3[[#This Row],[Perda Pçs]]/Tabela3[[#This Row],[Previsto]],0)</f>
        <v>0</v>
      </c>
      <c r="O487" s="39">
        <f>IFERROR(IF(Tabela3[[#This Row],[Qtde Cx Produzida]] &lt;&gt; 0, Tabela3[[#This Row],[Tempo]] / Tabela3[[#This Row],[Qtde Cx Produzida]], 0),0)</f>
        <v>6.3078703703703699E-3</v>
      </c>
      <c r="P487" s="57">
        <f>IFERROR(Tabela3[[#This Row],[Perda Pçs]]/Tabela3[[#This Row],[Qdt Peça Placa]],0)</f>
        <v>0</v>
      </c>
      <c r="Q487" s="37">
        <f>IFERROR(Tabela3[[#This Row],[Realizado]]*Tabela3[[#This Row],[Peso Util/Pç]],0)</f>
        <v>43.8</v>
      </c>
      <c r="R487" s="37">
        <f>IFERROR(Tabela3[[#This Row],[Peso Total Galho]]*Tabela3[[#This Row],[Qtde Cx Produzida]]*1.055,0)</f>
        <v>81.783599999999993</v>
      </c>
      <c r="S487" s="37">
        <f>(Tabela3[[#This Row],[Aluminio Bruto]]-Tabela3[[#This Row],[Aluminio Util]])*0.9</f>
        <v>34.18524</v>
      </c>
      <c r="T487" s="37">
        <f>Tabela3[[#This Row],[Aluminio Bruto]]/OleoKGAluminio</f>
        <v>34.406254774821136</v>
      </c>
      <c r="U487" s="35">
        <f>IFERROR((VLOOKUP(Tabela3[[#This Row],[Moldador]],Tabela1[],5,)+(VLOOKUP(Tabela3[[#This Row],[Ajudante]],Tabela1[],5,))*3.5),0)</f>
        <v>99.95034583333333</v>
      </c>
      <c r="V487" s="35">
        <f>IFERROR(Tabela3[[#This Row],[Custo M.O. / H]]/((Tabela3[[#This Row],[Realizado]]/Tabela3[[#This Row],[Qdt Peça Placa]])/Tabela3[[#This Row],[Tempo]]/24),)</f>
        <v>15.131371799768518</v>
      </c>
      <c r="W487" s="35">
        <f>Tabela3[[#This Row],[Custo / Cx Moldada]]*Tabela3[[#This Row],[Qtde Cx Produzida]]</f>
        <v>181.57646159722222</v>
      </c>
      <c r="X487" s="35">
        <f ca="1">Tabela3[[#This Row],[Aluminio Util]]*Tabela3[[#This Row],[Custo/Kg]]</f>
        <v>683.28</v>
      </c>
      <c r="Y487" s="35">
        <f>IFERROR(VLOOKUP(Tabela3[[#This Row],[Data]],Tabela461213[],2,1)*(Tabela3[[#This Row],[Qtde Cx Produzida]]*Tabela3[[#This Row],[Qde macho / CX]]*Tabela3[[#This Row],[Peso Macho]]),)</f>
        <v>55.936799999999991</v>
      </c>
      <c r="Z487" s="35">
        <f>IFERROR(Tabela3[[#This Row],[Qtde Oleo]]*(VLOOKUP(Tabela3[[#This Row],[Data]],CompraOleo[],3,TRUE))*1.05,0)</f>
        <v>90.31641878390549</v>
      </c>
      <c r="AA487" s="47">
        <f ca="1">(Tabela3[[#This Row],[Custo Oleo]]+Tabela3[[#This Row],[Custo Aluminio]]+Tabela3[[#This Row],[Custo M.O. Total]]+Tabela3[[#This Row],[Custo Machos]])</f>
        <v>1011.1096803811276</v>
      </c>
      <c r="AB487" s="47">
        <f ca="1">Tabela3[[#This Row],[Custo Total]]*Tabela3[[#This Row],[% Perda]]</f>
        <v>0</v>
      </c>
      <c r="AC487" s="48">
        <f>IFERROR(VLOOKUP(Tabela3[[#This Row],[Produto]],Tabela2[],2,0),0)</f>
        <v>1</v>
      </c>
      <c r="AD487" s="48">
        <f>IFERROR(VLOOKUP(Tabela3[[#This Row],[Produto]],Tabela2[],3,0),0)</f>
        <v>3.65</v>
      </c>
      <c r="AE487" s="48">
        <f>IFERROR(VLOOKUP(Tabela3[[#This Row],[Produto]],Tabela2[],4,0),0)</f>
        <v>6.46</v>
      </c>
      <c r="AF487" s="48">
        <f>IFERROR(VLOOKUP(Tabela3[[#This Row],[Produto]],Tabela2[],5,0),0)</f>
        <v>2.5289999999999999</v>
      </c>
      <c r="AG487" s="40">
        <f>IFERROR(VLOOKUP(Tabela3[[#This Row],[Produto]],Tabela2[],6,0),0)</f>
        <v>0</v>
      </c>
      <c r="AH487" s="40">
        <f>IFERROR(VLOOKUP(Tabela3[[#This Row],[Produto]],Tabela2[],7,0),0)</f>
        <v>1</v>
      </c>
      <c r="AI487" s="40">
        <f>IFERROR(VLOOKUP(Tabela3[[#This Row],[Produto]],Tabela2[],8,0),0)</f>
        <v>2.742</v>
      </c>
      <c r="AJ487" s="35">
        <f ca="1">IFERROR(VLOOKUP(Tabela3[[#This Row],[Produto]],Tabela2[],13,0),0)</f>
        <v>15.600000000000001</v>
      </c>
      <c r="AK487" s="40" t="str">
        <f>IFERROR(VLOOKUP(Tabela3[[#This Row],[Produto]],Tabela2[],14,0),0)</f>
        <v>Jumil</v>
      </c>
      <c r="AL487" s="40">
        <f>IFERROR(VLOOKUP(Tabela3[[#This Row],[Produto]],Tabela2[],15,0),0)</f>
        <v>15</v>
      </c>
      <c r="AM487" s="36">
        <f ca="1">(Tabela3[[#This Row],[Custo Usinagem]]+Tabela3[[#This Row],[Custo / Pç]])*1.2</f>
        <v>119.11096803811276</v>
      </c>
      <c r="AN487" s="36">
        <f ca="1">Tabela3[[#This Row],[Valor Mínimo Venda]]*1.15</f>
        <v>136.97761324382967</v>
      </c>
      <c r="AO487" s="36">
        <f ca="1">Tabela3[[#This Row],[Tabela 1]]*1.08</f>
        <v>147.93582230333604</v>
      </c>
      <c r="AP487" s="36">
        <f ca="1">Tabela3[[#This Row],[Tabela 2]]*1.15</f>
        <v>170.12619564883644</v>
      </c>
    </row>
    <row r="488" spans="1:42">
      <c r="A488" s="9">
        <v>45869</v>
      </c>
      <c r="B488" s="6" t="s">
        <v>281</v>
      </c>
      <c r="C488" s="14">
        <v>7479</v>
      </c>
      <c r="D488" s="6" t="s">
        <v>46</v>
      </c>
      <c r="E488" s="6" t="s">
        <v>53</v>
      </c>
      <c r="F488" s="6">
        <v>7</v>
      </c>
      <c r="G488" s="15">
        <v>3.4027777777777775E-2</v>
      </c>
      <c r="H488" s="16">
        <v>0</v>
      </c>
      <c r="I488" s="35">
        <f ca="1">IFERROR(Tabela3[[#This Row],[Custo Total]]/Tabela3[[#This Row],[Aluminio Util]],0)</f>
        <v>37.018920507886087</v>
      </c>
      <c r="J488" s="35">
        <f ca="1">Tabela3[[#This Row],[Custo Total]]/Tabela3[[#This Row],[Realizado]]</f>
        <v>1.221624376760241</v>
      </c>
      <c r="K488" s="37">
        <f>IFERROR(Tabela3[[#This Row],[Qtde Cx Produzida]]/Tabela3[[#This Row],[Tempo]]/24,0)</f>
        <v>8.5714285714285712</v>
      </c>
      <c r="L488" s="37">
        <f>Tabela3[[#This Row],[Qtde Cx Produzida]]*Tabela3[[#This Row],[Qdt Peça Placa]]</f>
        <v>168</v>
      </c>
      <c r="M488" s="37">
        <f>Tabela3[[#This Row],[Previsto]]-Tabela3[[#This Row],[Perda Pçs]]</f>
        <v>168</v>
      </c>
      <c r="N488" s="38">
        <f>IFERROR(Tabela3[[#This Row],[Perda Pçs]]/Tabela3[[#This Row],[Previsto]],0)</f>
        <v>0</v>
      </c>
      <c r="O488" s="39">
        <f>IFERROR(IF(Tabela3[[#This Row],[Qtde Cx Produzida]] &lt;&gt; 0, Tabela3[[#This Row],[Tempo]] / Tabela3[[#This Row],[Qtde Cx Produzida]], 0),0)</f>
        <v>4.8611111111111103E-3</v>
      </c>
      <c r="P488" s="57">
        <f>IFERROR(Tabela3[[#This Row],[Perda Pçs]]/Tabela3[[#This Row],[Qdt Peça Placa]],0)</f>
        <v>0</v>
      </c>
      <c r="Q488" s="37">
        <f>IFERROR(Tabela3[[#This Row],[Realizado]]*Tabela3[[#This Row],[Peso Util/Pç]],0)</f>
        <v>5.5440000000000005</v>
      </c>
      <c r="R488" s="37">
        <f>IFERROR(Tabela3[[#This Row],[Peso Total Galho]]*Tabela3[[#This Row],[Qtde Cx Produzida]]*1.055,0)</f>
        <v>23.57292</v>
      </c>
      <c r="S488" s="37">
        <f>(Tabela3[[#This Row],[Aluminio Bruto]]-Tabela3[[#This Row],[Aluminio Util]])*0.9</f>
        <v>16.226027999999999</v>
      </c>
      <c r="T488" s="37">
        <f>Tabela3[[#This Row],[Aluminio Bruto]]/OleoKGAluminio</f>
        <v>9.9170969645072695</v>
      </c>
      <c r="U488" s="35">
        <f>IFERROR((VLOOKUP(Tabela3[[#This Row],[Moldador]],Tabela1[],5,)+(VLOOKUP(Tabela3[[#This Row],[Ajudante]],Tabela1[],5,))*3.5),0)</f>
        <v>99.95034583333333</v>
      </c>
      <c r="V488" s="35">
        <f>IFERROR(Tabela3[[#This Row],[Custo M.O. / H]]/((Tabela3[[#This Row],[Realizado]]/Tabela3[[#This Row],[Qdt Peça Placa]])/Tabela3[[#This Row],[Tempo]]/24),)</f>
        <v>11.660873680555556</v>
      </c>
      <c r="W488" s="35">
        <f>Tabela3[[#This Row],[Custo / Cx Moldada]]*Tabela3[[#This Row],[Qtde Cx Produzida]]</f>
        <v>81.62611576388889</v>
      </c>
      <c r="X488" s="35">
        <f ca="1">Tabela3[[#This Row],[Aluminio Util]]*Tabela3[[#This Row],[Custo/Kg]]</f>
        <v>97.574400000000011</v>
      </c>
      <c r="Y488" s="35">
        <f>IFERROR(VLOOKUP(Tabela3[[#This Row],[Data]],Tabela461213[],2,1)*(Tabela3[[#This Row],[Qtde Cx Produzida]]*Tabela3[[#This Row],[Qde macho / CX]]*Tabela3[[#This Row],[Peso Macho]]),)</f>
        <v>0</v>
      </c>
      <c r="Z488" s="35">
        <f>IFERROR(Tabela3[[#This Row],[Qtde Oleo]]*(VLOOKUP(Tabela3[[#This Row],[Data]],CompraOleo[],3,TRUE))*1.05,0)</f>
        <v>26.03237953183158</v>
      </c>
      <c r="AA488" s="47">
        <f ca="1">(Tabela3[[#This Row],[Custo Oleo]]+Tabela3[[#This Row],[Custo Aluminio]]+Tabela3[[#This Row],[Custo M.O. Total]]+Tabela3[[#This Row],[Custo Machos]])</f>
        <v>205.23289529572048</v>
      </c>
      <c r="AB488" s="47">
        <f ca="1">Tabela3[[#This Row],[Custo Total]]*Tabela3[[#This Row],[% Perda]]</f>
        <v>0</v>
      </c>
      <c r="AC488" s="48">
        <f>IFERROR(VLOOKUP(Tabela3[[#This Row],[Produto]],Tabela2[],2,0),0)</f>
        <v>24</v>
      </c>
      <c r="AD488" s="48">
        <f>IFERROR(VLOOKUP(Tabela3[[#This Row],[Produto]],Tabela2[],3,0),0)</f>
        <v>3.3000000000000002E-2</v>
      </c>
      <c r="AE488" s="48">
        <f>IFERROR(VLOOKUP(Tabela3[[#This Row],[Produto]],Tabela2[],4,0),0)</f>
        <v>3.1920000000000002</v>
      </c>
      <c r="AF488" s="48">
        <f>IFERROR(VLOOKUP(Tabela3[[#This Row],[Produto]],Tabela2[],5,0),0)</f>
        <v>2.1600000000000006</v>
      </c>
      <c r="AG488" s="40">
        <f>IFERROR(VLOOKUP(Tabela3[[#This Row],[Produto]],Tabela2[],6,0),0)</f>
        <v>0</v>
      </c>
      <c r="AH488" s="40">
        <f>IFERROR(VLOOKUP(Tabela3[[#This Row],[Produto]],Tabela2[],7,0),0)</f>
        <v>0</v>
      </c>
      <c r="AI488" s="40">
        <f>IFERROR(VLOOKUP(Tabela3[[#This Row],[Produto]],Tabela2[],8,0),0)</f>
        <v>0</v>
      </c>
      <c r="AJ488" s="35">
        <f ca="1">IFERROR(VLOOKUP(Tabela3[[#This Row],[Produto]],Tabela2[],13,0),0)</f>
        <v>17.600000000000001</v>
      </c>
      <c r="AK488" s="40" t="str">
        <f>IFERROR(VLOOKUP(Tabela3[[#This Row],[Produto]],Tabela2[],14,0),0)</f>
        <v>Oscar</v>
      </c>
      <c r="AL488" s="40">
        <f>IFERROR(VLOOKUP(Tabela3[[#This Row],[Produto]],Tabela2[],15,0),0)</f>
        <v>0</v>
      </c>
      <c r="AM488" s="36">
        <f ca="1">(Tabela3[[#This Row],[Custo Usinagem]]+Tabela3[[#This Row],[Custo / Pç]])*1.2</f>
        <v>1.4659492521122892</v>
      </c>
      <c r="AN488" s="36">
        <f ca="1">Tabela3[[#This Row],[Valor Mínimo Venda]]*1.15</f>
        <v>1.6858416399291325</v>
      </c>
      <c r="AO488" s="36">
        <f ca="1">Tabela3[[#This Row],[Tabela 1]]*1.08</f>
        <v>1.8207089711234632</v>
      </c>
      <c r="AP488" s="36">
        <f ca="1">Tabela3[[#This Row],[Tabela 2]]*1.15</f>
        <v>2.0938153167919826</v>
      </c>
    </row>
    <row r="489" spans="1:42">
      <c r="A489" s="9">
        <v>45869</v>
      </c>
      <c r="B489" s="6" t="s">
        <v>125</v>
      </c>
      <c r="C489" s="14">
        <v>7332</v>
      </c>
      <c r="D489" s="6" t="s">
        <v>46</v>
      </c>
      <c r="E489" s="6" t="s">
        <v>53</v>
      </c>
      <c r="F489" s="6">
        <v>18</v>
      </c>
      <c r="G489" s="15">
        <v>7.5694444444444439E-2</v>
      </c>
      <c r="H489" s="16">
        <v>0</v>
      </c>
      <c r="I489" s="35">
        <f ca="1">IFERROR(Tabela3[[#This Row],[Custo Total]]/Tabela3[[#This Row],[Aluminio Util]],0)</f>
        <v>24.41560095522404</v>
      </c>
      <c r="J489" s="35">
        <f ca="1">Tabela3[[#This Row],[Custo Total]]/Tabela3[[#This Row],[Realizado]]</f>
        <v>34.230672539224102</v>
      </c>
      <c r="K489" s="37">
        <f>IFERROR(Tabela3[[#This Row],[Qtde Cx Produzida]]/Tabela3[[#This Row],[Tempo]]/24,0)</f>
        <v>9.9082568807339459</v>
      </c>
      <c r="L489" s="37">
        <f>Tabela3[[#This Row],[Qtde Cx Produzida]]*Tabela3[[#This Row],[Qdt Peça Placa]]</f>
        <v>18</v>
      </c>
      <c r="M489" s="37">
        <f>Tabela3[[#This Row],[Previsto]]-Tabela3[[#This Row],[Perda Pçs]]</f>
        <v>18</v>
      </c>
      <c r="N489" s="38">
        <f>IFERROR(Tabela3[[#This Row],[Perda Pçs]]/Tabela3[[#This Row],[Previsto]],0)</f>
        <v>0</v>
      </c>
      <c r="O489" s="39">
        <f>IFERROR(IF(Tabela3[[#This Row],[Qtde Cx Produzida]] &lt;&gt; 0, Tabela3[[#This Row],[Tempo]] / Tabela3[[#This Row],[Qtde Cx Produzida]], 0),0)</f>
        <v>4.2052469135802463E-3</v>
      </c>
      <c r="P489" s="57">
        <f>IFERROR(Tabela3[[#This Row],[Perda Pçs]]/Tabela3[[#This Row],[Qdt Peça Placa]],0)</f>
        <v>0</v>
      </c>
      <c r="Q489" s="37">
        <f>IFERROR(Tabela3[[#This Row],[Realizado]]*Tabela3[[#This Row],[Peso Util/Pç]],0)</f>
        <v>25.235999999999997</v>
      </c>
      <c r="R489" s="37">
        <f>IFERROR(Tabela3[[#This Row],[Peso Total Galho]]*Tabela3[[#This Row],[Qtde Cx Produzida]]*1.055,0)</f>
        <v>37.030499999999996</v>
      </c>
      <c r="S489" s="37">
        <f>(Tabela3[[#This Row],[Aluminio Bruto]]-Tabela3[[#This Row],[Aluminio Util]])*0.9</f>
        <v>10.61505</v>
      </c>
      <c r="T489" s="37">
        <f>Tabela3[[#This Row],[Aluminio Bruto]]/OleoKGAluminio</f>
        <v>15.578683470023501</v>
      </c>
      <c r="U489" s="35">
        <f>IFERROR((VLOOKUP(Tabela3[[#This Row],[Moldador]],Tabela1[],5,)+(VLOOKUP(Tabela3[[#This Row],[Ajudante]],Tabela1[],5,))*3.5),0)</f>
        <v>99.95034583333333</v>
      </c>
      <c r="V489" s="35">
        <f>IFERROR(Tabela3[[#This Row],[Custo M.O. / H]]/((Tabela3[[#This Row],[Realizado]]/Tabela3[[#This Row],[Qdt Peça Placa]])/Tabela3[[#This Row],[Tempo]]/24),)</f>
        <v>10.087581199845678</v>
      </c>
      <c r="W489" s="35">
        <f>Tabela3[[#This Row],[Custo / Cx Moldada]]*Tabela3[[#This Row],[Qtde Cx Produzida]]</f>
        <v>181.57646159722219</v>
      </c>
      <c r="X489" s="35">
        <f ca="1">Tabela3[[#This Row],[Aluminio Util]]*Tabela3[[#This Row],[Custo/Kg]]</f>
        <v>393.6816</v>
      </c>
      <c r="Y489" s="35">
        <f>IFERROR(VLOOKUP(Tabela3[[#This Row],[Data]],Tabela461213[],2,1)*(Tabela3[[#This Row],[Qtde Cx Produzida]]*Tabela3[[#This Row],[Qde macho / CX]]*Tabela3[[#This Row],[Peso Macho]]),)</f>
        <v>0</v>
      </c>
      <c r="Z489" s="35">
        <f>IFERROR(Tabela3[[#This Row],[Qtde Oleo]]*(VLOOKUP(Tabela3[[#This Row],[Data]],CompraOleo[],3,TRUE))*1.05,0)</f>
        <v>40.894044108811691</v>
      </c>
      <c r="AA489" s="47">
        <f ca="1">(Tabela3[[#This Row],[Custo Oleo]]+Tabela3[[#This Row],[Custo Aluminio]]+Tabela3[[#This Row],[Custo M.O. Total]]+Tabela3[[#This Row],[Custo Machos]])</f>
        <v>616.15210570603381</v>
      </c>
      <c r="AB489" s="47">
        <f ca="1">Tabela3[[#This Row],[Custo Total]]*Tabela3[[#This Row],[% Perda]]</f>
        <v>0</v>
      </c>
      <c r="AC489" s="48">
        <f>IFERROR(VLOOKUP(Tabela3[[#This Row],[Produto]],Tabela2[],2,0),0)</f>
        <v>1</v>
      </c>
      <c r="AD489" s="48">
        <f>IFERROR(VLOOKUP(Tabela3[[#This Row],[Produto]],Tabela2[],3,0),0)</f>
        <v>1.4019999999999999</v>
      </c>
      <c r="AE489" s="48">
        <f>IFERROR(VLOOKUP(Tabela3[[#This Row],[Produto]],Tabela2[],4,0),0)</f>
        <v>1.95</v>
      </c>
      <c r="AF489" s="48">
        <f>IFERROR(VLOOKUP(Tabela3[[#This Row],[Produto]],Tabela2[],5,0),0)</f>
        <v>0.49320000000000003</v>
      </c>
      <c r="AG489" s="40">
        <f>IFERROR(VLOOKUP(Tabela3[[#This Row],[Produto]],Tabela2[],6,0),0)</f>
        <v>0</v>
      </c>
      <c r="AH489" s="40">
        <f>IFERROR(VLOOKUP(Tabela3[[#This Row],[Produto]],Tabela2[],7,0),0)</f>
        <v>0</v>
      </c>
      <c r="AI489" s="40">
        <f>IFERROR(VLOOKUP(Tabela3[[#This Row],[Produto]],Tabela2[],8,0),0)</f>
        <v>0</v>
      </c>
      <c r="AJ489" s="35">
        <f ca="1">IFERROR(VLOOKUP(Tabela3[[#This Row],[Produto]],Tabela2[],13,0),0)</f>
        <v>15.600000000000001</v>
      </c>
      <c r="AK489" s="40" t="str">
        <f>IFERROR(VLOOKUP(Tabela3[[#This Row],[Produto]],Tabela2[],14,0),0)</f>
        <v>Senun</v>
      </c>
      <c r="AL489" s="40">
        <f>IFERROR(VLOOKUP(Tabela3[[#This Row],[Produto]],Tabela2[],15,0),0)</f>
        <v>6</v>
      </c>
      <c r="AM489" s="36">
        <f ca="1">(Tabela3[[#This Row],[Custo Usinagem]]+Tabela3[[#This Row],[Custo / Pç]])*1.2</f>
        <v>48.276807047068921</v>
      </c>
      <c r="AN489" s="36">
        <f ca="1">Tabela3[[#This Row],[Valor Mínimo Venda]]*1.15</f>
        <v>55.518328104129253</v>
      </c>
      <c r="AO489" s="36">
        <f ca="1">Tabela3[[#This Row],[Tabela 1]]*1.08</f>
        <v>59.959794352459596</v>
      </c>
      <c r="AP489" s="36">
        <f ca="1">Tabela3[[#This Row],[Tabela 2]]*1.15</f>
        <v>68.953763505328524</v>
      </c>
    </row>
    <row r="490" spans="1:42">
      <c r="A490" s="9">
        <v>45869</v>
      </c>
      <c r="B490" s="6" t="s">
        <v>225</v>
      </c>
      <c r="C490" s="14">
        <v>7334</v>
      </c>
      <c r="D490" s="6" t="s">
        <v>46</v>
      </c>
      <c r="E490" s="6" t="s">
        <v>53</v>
      </c>
      <c r="F490" s="6">
        <v>10</v>
      </c>
      <c r="G490" s="15">
        <v>4.583333333333333E-2</v>
      </c>
      <c r="H490" s="16">
        <v>0</v>
      </c>
      <c r="I490" s="35">
        <f ca="1">IFERROR(Tabela3[[#This Row],[Custo Total]]/Tabela3[[#This Row],[Aluminio Util]],0)</f>
        <v>29.61225656731219</v>
      </c>
      <c r="J490" s="35">
        <f ca="1">Tabela3[[#This Row],[Custo Total]]/Tabela3[[#This Row],[Realizado]]</f>
        <v>6.8108190104818052</v>
      </c>
      <c r="K490" s="37">
        <f>IFERROR(Tabela3[[#This Row],[Qtde Cx Produzida]]/Tabela3[[#This Row],[Tempo]]/24,0)</f>
        <v>9.0909090909090917</v>
      </c>
      <c r="L490" s="37">
        <f>Tabela3[[#This Row],[Qtde Cx Produzida]]*Tabela3[[#This Row],[Qdt Peça Placa]]</f>
        <v>40</v>
      </c>
      <c r="M490" s="37">
        <f>Tabela3[[#This Row],[Previsto]]-Tabela3[[#This Row],[Perda Pçs]]</f>
        <v>40</v>
      </c>
      <c r="N490" s="38">
        <f>IFERROR(Tabela3[[#This Row],[Perda Pçs]]/Tabela3[[#This Row],[Previsto]],0)</f>
        <v>0</v>
      </c>
      <c r="O490" s="39">
        <f>IFERROR(IF(Tabela3[[#This Row],[Qtde Cx Produzida]] &lt;&gt; 0, Tabela3[[#This Row],[Tempo]] / Tabela3[[#This Row],[Qtde Cx Produzida]], 0),0)</f>
        <v>4.5833333333333334E-3</v>
      </c>
      <c r="P490" s="57">
        <f>IFERROR(Tabela3[[#This Row],[Perda Pçs]]/Tabela3[[#This Row],[Qdt Peça Placa]],0)</f>
        <v>0</v>
      </c>
      <c r="Q490" s="37">
        <f>IFERROR(Tabela3[[#This Row],[Realizado]]*Tabela3[[#This Row],[Peso Util/Pç]],0)</f>
        <v>9.2000000000000011</v>
      </c>
      <c r="R490" s="37">
        <f>IFERROR(Tabela3[[#This Row],[Peso Total Galho]]*Tabela3[[#This Row],[Qtde Cx Produzida]]*1.055,0)</f>
        <v>17.175399999999996</v>
      </c>
      <c r="S490" s="37">
        <f>(Tabela3[[#This Row],[Aluminio Bruto]]-Tabela3[[#This Row],[Aluminio Util]])*0.9</f>
        <v>7.1778599999999955</v>
      </c>
      <c r="T490" s="37">
        <f>Tabela3[[#This Row],[Aluminio Bruto]]/OleoKGAluminio</f>
        <v>7.2256685724211556</v>
      </c>
      <c r="U490" s="35">
        <f>IFERROR((VLOOKUP(Tabela3[[#This Row],[Moldador]],Tabela1[],5,)+(VLOOKUP(Tabela3[[#This Row],[Ajudante]],Tabela1[],5,))*3.5),0)</f>
        <v>99.95034583333333</v>
      </c>
      <c r="V490" s="35">
        <f>IFERROR(Tabela3[[#This Row],[Custo M.O. / H]]/((Tabela3[[#This Row],[Realizado]]/Tabela3[[#This Row],[Qdt Peça Placa]])/Tabela3[[#This Row],[Tempo]]/24),)</f>
        <v>10.994538041666665</v>
      </c>
      <c r="W490" s="35">
        <f>Tabela3[[#This Row],[Custo / Cx Moldada]]*Tabela3[[#This Row],[Qtde Cx Produzida]]</f>
        <v>109.94538041666665</v>
      </c>
      <c r="X490" s="35">
        <f ca="1">Tabela3[[#This Row],[Aluminio Util]]*Tabela3[[#This Row],[Custo/Kg]]</f>
        <v>143.52000000000004</v>
      </c>
      <c r="Y490" s="35">
        <f>IFERROR(VLOOKUP(Tabela3[[#This Row],[Data]],Tabela461213[],2,1)*(Tabela3[[#This Row],[Qtde Cx Produzida]]*Tabela3[[#This Row],[Qde macho / CX]]*Tabela3[[#This Row],[Peso Macho]]),)</f>
        <v>0</v>
      </c>
      <c r="Z490" s="35">
        <f>IFERROR(Tabela3[[#This Row],[Qtde Oleo]]*(VLOOKUP(Tabela3[[#This Row],[Data]],CompraOleo[],3,TRUE))*1.05,0)</f>
        <v>18.967380002605534</v>
      </c>
      <c r="AA490" s="47">
        <f ca="1">(Tabela3[[#This Row],[Custo Oleo]]+Tabela3[[#This Row],[Custo Aluminio]]+Tabela3[[#This Row],[Custo M.O. Total]]+Tabela3[[#This Row],[Custo Machos]])</f>
        <v>272.4327604192722</v>
      </c>
      <c r="AB490" s="47">
        <f ca="1">Tabela3[[#This Row],[Custo Total]]*Tabela3[[#This Row],[% Perda]]</f>
        <v>0</v>
      </c>
      <c r="AC490" s="48">
        <f>IFERROR(VLOOKUP(Tabela3[[#This Row],[Produto]],Tabela2[],2,0),0)</f>
        <v>4</v>
      </c>
      <c r="AD490" s="48">
        <f>IFERROR(VLOOKUP(Tabela3[[#This Row],[Produto]],Tabela2[],3,0),0)</f>
        <v>0.23</v>
      </c>
      <c r="AE490" s="48">
        <f>IFERROR(VLOOKUP(Tabela3[[#This Row],[Produto]],Tabela2[],4,0),0)</f>
        <v>1.6279999999999999</v>
      </c>
      <c r="AF490" s="48">
        <f>IFERROR(VLOOKUP(Tabela3[[#This Row],[Produto]],Tabela2[],5,0),0)</f>
        <v>0.63719999999999988</v>
      </c>
      <c r="AG490" s="40">
        <f>IFERROR(VLOOKUP(Tabela3[[#This Row],[Produto]],Tabela2[],6,0),0)</f>
        <v>0</v>
      </c>
      <c r="AH490" s="40">
        <f>IFERROR(VLOOKUP(Tabela3[[#This Row],[Produto]],Tabela2[],7,0),0)</f>
        <v>0</v>
      </c>
      <c r="AI490" s="40">
        <f>IFERROR(VLOOKUP(Tabela3[[#This Row],[Produto]],Tabela2[],8,0),0)</f>
        <v>0</v>
      </c>
      <c r="AJ490" s="35">
        <f ca="1">IFERROR(VLOOKUP(Tabela3[[#This Row],[Produto]],Tabela2[],13,0),0)</f>
        <v>15.600000000000001</v>
      </c>
      <c r="AK490" s="40" t="str">
        <f>IFERROR(VLOOKUP(Tabela3[[#This Row],[Produto]],Tabela2[],14,0),0)</f>
        <v>Senun</v>
      </c>
      <c r="AL490" s="40">
        <f>IFERROR(VLOOKUP(Tabela3[[#This Row],[Produto]],Tabela2[],15,0),0)</f>
        <v>4</v>
      </c>
      <c r="AM490" s="36">
        <f ca="1">(Tabela3[[#This Row],[Custo Usinagem]]+Tabela3[[#This Row],[Custo / Pç]])*1.2</f>
        <v>12.972982812578165</v>
      </c>
      <c r="AN490" s="36">
        <f ca="1">Tabela3[[#This Row],[Valor Mínimo Venda]]*1.15</f>
        <v>14.918930234464888</v>
      </c>
      <c r="AO490" s="36">
        <f ca="1">Tabela3[[#This Row],[Tabela 1]]*1.08</f>
        <v>16.112444653222081</v>
      </c>
      <c r="AP490" s="36">
        <f ca="1">Tabela3[[#This Row],[Tabela 2]]*1.15</f>
        <v>18.52931135120539</v>
      </c>
    </row>
    <row r="491" spans="1:42">
      <c r="A491" s="9">
        <v>45869</v>
      </c>
      <c r="B491" s="6" t="s">
        <v>155</v>
      </c>
      <c r="C491" s="14">
        <v>7333</v>
      </c>
      <c r="D491" s="6" t="s">
        <v>46</v>
      </c>
      <c r="E491" s="6" t="s">
        <v>53</v>
      </c>
      <c r="F491" s="6">
        <v>10</v>
      </c>
      <c r="G491" s="15">
        <v>4.5138888888888888E-2</v>
      </c>
      <c r="H491" s="16">
        <v>0</v>
      </c>
      <c r="I491" s="35">
        <f ca="1">IFERROR(Tabela3[[#This Row],[Custo Total]]/Tabela3[[#This Row],[Aluminio Util]],0)</f>
        <v>28.072776440704125</v>
      </c>
      <c r="J491" s="35">
        <f ca="1">Tabela3[[#This Row],[Custo Total]]/Tabela3[[#This Row],[Realizado]]</f>
        <v>7.2989218745830726</v>
      </c>
      <c r="K491" s="37">
        <f>IFERROR(Tabela3[[#This Row],[Qtde Cx Produzida]]/Tabela3[[#This Row],[Tempo]]/24,0)</f>
        <v>9.2307692307692317</v>
      </c>
      <c r="L491" s="37">
        <f>Tabela3[[#This Row],[Qtde Cx Produzida]]*Tabela3[[#This Row],[Qdt Peça Placa]]</f>
        <v>40</v>
      </c>
      <c r="M491" s="37">
        <f>Tabela3[[#This Row],[Previsto]]-Tabela3[[#This Row],[Perda Pçs]]</f>
        <v>40</v>
      </c>
      <c r="N491" s="38">
        <f>IFERROR(Tabela3[[#This Row],[Perda Pçs]]/Tabela3[[#This Row],[Previsto]],0)</f>
        <v>0</v>
      </c>
      <c r="O491" s="39">
        <f>IFERROR(IF(Tabela3[[#This Row],[Qtde Cx Produzida]] &lt;&gt; 0, Tabela3[[#This Row],[Tempo]] / Tabela3[[#This Row],[Qtde Cx Produzida]], 0),0)</f>
        <v>4.5138888888888885E-3</v>
      </c>
      <c r="P491" s="57">
        <f>IFERROR(Tabela3[[#This Row],[Perda Pçs]]/Tabela3[[#This Row],[Qdt Peça Placa]],0)</f>
        <v>0</v>
      </c>
      <c r="Q491" s="37">
        <f>IFERROR(Tabela3[[#This Row],[Realizado]]*Tabela3[[#This Row],[Peso Util/Pç]],0)</f>
        <v>10.4</v>
      </c>
      <c r="R491" s="37">
        <f>IFERROR(Tabela3[[#This Row],[Peso Total Galho]]*Tabela3[[#This Row],[Qtde Cx Produzida]]*1.055,0)</f>
        <v>19.412000000000003</v>
      </c>
      <c r="S491" s="37">
        <f>(Tabela3[[#This Row],[Aluminio Bruto]]-Tabela3[[#This Row],[Aluminio Util]])*0.9</f>
        <v>8.1108000000000029</v>
      </c>
      <c r="T491" s="37">
        <f>Tabela3[[#This Row],[Aluminio Bruto]]/OleoKGAluminio</f>
        <v>8.1666033005251428</v>
      </c>
      <c r="U491" s="35">
        <f>IFERROR((VLOOKUP(Tabela3[[#This Row],[Moldador]],Tabela1[],5,)+(VLOOKUP(Tabela3[[#This Row],[Ajudante]],Tabela1[],5,))*3.5),0)</f>
        <v>99.95034583333333</v>
      </c>
      <c r="V491" s="35">
        <f>IFERROR(Tabela3[[#This Row],[Custo M.O. / H]]/((Tabela3[[#This Row],[Realizado]]/Tabela3[[#This Row],[Qdt Peça Placa]])/Tabela3[[#This Row],[Tempo]]/24),)</f>
        <v>10.827954131944443</v>
      </c>
      <c r="W491" s="35">
        <f>Tabela3[[#This Row],[Custo / Cx Moldada]]*Tabela3[[#This Row],[Qtde Cx Produzida]]</f>
        <v>108.27954131944443</v>
      </c>
      <c r="X491" s="35">
        <f ca="1">Tabela3[[#This Row],[Aluminio Util]]*Tabela3[[#This Row],[Custo/Kg]]</f>
        <v>162.24</v>
      </c>
      <c r="Y491" s="35">
        <f>IFERROR(VLOOKUP(Tabela3[[#This Row],[Data]],Tabela461213[],2,1)*(Tabela3[[#This Row],[Qtde Cx Produzida]]*Tabela3[[#This Row],[Qde macho / CX]]*Tabela3[[#This Row],[Peso Macho]]),)</f>
        <v>0</v>
      </c>
      <c r="Z491" s="35">
        <f>IFERROR(Tabela3[[#This Row],[Qtde Oleo]]*(VLOOKUP(Tabela3[[#This Row],[Data]],CompraOleo[],3,TRUE))*1.05,0)</f>
        <v>21.437333663878498</v>
      </c>
      <c r="AA491" s="47">
        <f ca="1">(Tabela3[[#This Row],[Custo Oleo]]+Tabela3[[#This Row],[Custo Aluminio]]+Tabela3[[#This Row],[Custo M.O. Total]]+Tabela3[[#This Row],[Custo Machos]])</f>
        <v>291.9568749833229</v>
      </c>
      <c r="AB491" s="47">
        <f ca="1">Tabela3[[#This Row],[Custo Total]]*Tabela3[[#This Row],[% Perda]]</f>
        <v>0</v>
      </c>
      <c r="AC491" s="48">
        <f>IFERROR(VLOOKUP(Tabela3[[#This Row],[Produto]],Tabela2[],2,0),0)</f>
        <v>4</v>
      </c>
      <c r="AD491" s="48">
        <f>IFERROR(VLOOKUP(Tabela3[[#This Row],[Produto]],Tabela2[],3,0),0)</f>
        <v>0.26</v>
      </c>
      <c r="AE491" s="48">
        <f>IFERROR(VLOOKUP(Tabela3[[#This Row],[Produto]],Tabela2[],4,0),0)</f>
        <v>1.84</v>
      </c>
      <c r="AF491" s="48">
        <f>IFERROR(VLOOKUP(Tabela3[[#This Row],[Produto]],Tabela2[],5,0),0)</f>
        <v>0.72000000000000008</v>
      </c>
      <c r="AG491" s="40">
        <f>IFERROR(VLOOKUP(Tabela3[[#This Row],[Produto]],Tabela2[],6,0),0)</f>
        <v>0</v>
      </c>
      <c r="AH491" s="40">
        <f>IFERROR(VLOOKUP(Tabela3[[#This Row],[Produto]],Tabela2[],7,0),0)</f>
        <v>0</v>
      </c>
      <c r="AI491" s="40">
        <f>IFERROR(VLOOKUP(Tabela3[[#This Row],[Produto]],Tabela2[],8,0),0)</f>
        <v>0</v>
      </c>
      <c r="AJ491" s="35">
        <f ca="1">IFERROR(VLOOKUP(Tabela3[[#This Row],[Produto]],Tabela2[],13,0),0)</f>
        <v>15.600000000000001</v>
      </c>
      <c r="AK491" s="40" t="str">
        <f>IFERROR(VLOOKUP(Tabela3[[#This Row],[Produto]],Tabela2[],14,0),0)</f>
        <v>Senun</v>
      </c>
      <c r="AL491" s="40">
        <f>IFERROR(VLOOKUP(Tabela3[[#This Row],[Produto]],Tabela2[],15,0),0)</f>
        <v>0</v>
      </c>
      <c r="AM491" s="36">
        <f ca="1">(Tabela3[[#This Row],[Custo Usinagem]]+Tabela3[[#This Row],[Custo / Pç]])*1.2</f>
        <v>8.7587062494996868</v>
      </c>
      <c r="AN491" s="36">
        <f ca="1">Tabela3[[#This Row],[Valor Mínimo Venda]]*1.15</f>
        <v>10.072512186924639</v>
      </c>
      <c r="AO491" s="36">
        <f ca="1">Tabela3[[#This Row],[Tabela 1]]*1.08</f>
        <v>10.87831316187861</v>
      </c>
      <c r="AP491" s="36">
        <f ca="1">Tabela3[[#This Row],[Tabela 2]]*1.15</f>
        <v>12.510060136160401</v>
      </c>
    </row>
    <row r="492" spans="1:42">
      <c r="A492" s="9">
        <v>45869</v>
      </c>
      <c r="B492" s="6" t="s">
        <v>114</v>
      </c>
      <c r="C492" s="14">
        <v>7496</v>
      </c>
      <c r="D492" s="6" t="s">
        <v>44</v>
      </c>
      <c r="E492" s="6" t="s">
        <v>47</v>
      </c>
      <c r="F492" s="6">
        <v>1</v>
      </c>
      <c r="G492" s="15">
        <v>0.15</v>
      </c>
      <c r="H492" s="16">
        <v>0</v>
      </c>
      <c r="I492" s="35">
        <f ca="1">IFERROR(Tabela3[[#This Row],[Custo Total]]/Tabela3[[#This Row],[Aluminio Util]],0)</f>
        <v>35.859970208898154</v>
      </c>
      <c r="J492" s="35">
        <f ca="1">Tabela3[[#This Row],[Custo Total]]/Tabela3[[#This Row],[Realizado]]</f>
        <v>717.19940417796306</v>
      </c>
      <c r="K492" s="37">
        <f>IFERROR(Tabela3[[#This Row],[Qtde Cx Produzida]]/Tabela3[[#This Row],[Tempo]]/24,0)</f>
        <v>0.27777777777777779</v>
      </c>
      <c r="L492" s="37">
        <f>Tabela3[[#This Row],[Qtde Cx Produzida]]*Tabela3[[#This Row],[Qdt Peça Placa]]</f>
        <v>1</v>
      </c>
      <c r="M492" s="37">
        <f>Tabela3[[#This Row],[Previsto]]-Tabela3[[#This Row],[Perda Pçs]]</f>
        <v>1</v>
      </c>
      <c r="N492" s="38">
        <f>IFERROR(Tabela3[[#This Row],[Perda Pçs]]/Tabela3[[#This Row],[Previsto]],0)</f>
        <v>0</v>
      </c>
      <c r="O492" s="39">
        <f>IFERROR(IF(Tabela3[[#This Row],[Qtde Cx Produzida]] &lt;&gt; 0, Tabela3[[#This Row],[Tempo]] / Tabela3[[#This Row],[Qtde Cx Produzida]], 0),0)</f>
        <v>0.15</v>
      </c>
      <c r="P492" s="57">
        <f>IFERROR(Tabela3[[#This Row],[Perda Pçs]]/Tabela3[[#This Row],[Qdt Peça Placa]],0)</f>
        <v>0</v>
      </c>
      <c r="Q492" s="37">
        <f>IFERROR(Tabela3[[#This Row],[Realizado]]*Tabela3[[#This Row],[Peso Util/Pç]],0)</f>
        <v>20</v>
      </c>
      <c r="R492" s="37">
        <f>IFERROR(Tabela3[[#This Row],[Peso Total Galho]]*Tabela3[[#This Row],[Qtde Cx Produzida]]*1.055,0)</f>
        <v>23.526499999999999</v>
      </c>
      <c r="S492" s="37">
        <f>(Tabela3[[#This Row],[Aluminio Bruto]]-Tabela3[[#This Row],[Aluminio Util]])*0.9</f>
        <v>3.1738499999999989</v>
      </c>
      <c r="T492" s="37">
        <f>Tabela3[[#This Row],[Aluminio Bruto]]/OleoKGAluminio</f>
        <v>9.8975681305277519</v>
      </c>
      <c r="U492" s="35">
        <f>IFERROR((VLOOKUP(Tabela3[[#This Row],[Moldador]],Tabela1[],5,)+(VLOOKUP(Tabela3[[#This Row],[Ajudante]],Tabela1[],5,))*3.5),0)</f>
        <v>99.95034583333333</v>
      </c>
      <c r="V492" s="35">
        <f>IFERROR(Tabela3[[#This Row],[Custo M.O. / H]]/((Tabela3[[#This Row],[Realizado]]/Tabela3[[#This Row],[Qdt Peça Placa]])/Tabela3[[#This Row],[Tempo]]/24),)</f>
        <v>359.82124499999998</v>
      </c>
      <c r="W492" s="35">
        <f>Tabela3[[#This Row],[Custo / Cx Moldada]]*Tabela3[[#This Row],[Qtde Cx Produzida]]</f>
        <v>359.82124499999998</v>
      </c>
      <c r="X492" s="35">
        <f ca="1">Tabela3[[#This Row],[Aluminio Util]]*Tabela3[[#This Row],[Custo/Kg]]</f>
        <v>331.39704283532774</v>
      </c>
      <c r="Y492" s="35">
        <f>IFERROR(VLOOKUP(Tabela3[[#This Row],[Data]],Tabela461213[],2,1)*(Tabela3[[#This Row],[Qtde Cx Produzida]]*Tabela3[[#This Row],[Qde macho / CX]]*Tabela3[[#This Row],[Peso Macho]]),)</f>
        <v>0</v>
      </c>
      <c r="Z492" s="35">
        <f>IFERROR(Tabela3[[#This Row],[Qtde Oleo]]*(VLOOKUP(Tabela3[[#This Row],[Data]],CompraOleo[],3,TRUE))*1.05,0)</f>
        <v>25.98111634263535</v>
      </c>
      <c r="AA492" s="47">
        <f ca="1">(Tabela3[[#This Row],[Custo Oleo]]+Tabela3[[#This Row],[Custo Aluminio]]+Tabela3[[#This Row],[Custo M.O. Total]]+Tabela3[[#This Row],[Custo Machos]])</f>
        <v>717.19940417796306</v>
      </c>
      <c r="AB492" s="47">
        <f ca="1">Tabela3[[#This Row],[Custo Total]]*Tabela3[[#This Row],[% Perda]]</f>
        <v>0</v>
      </c>
      <c r="AC492" s="48">
        <f>IFERROR(VLOOKUP(Tabela3[[#This Row],[Produto]],Tabela2[],2,0),0)</f>
        <v>1</v>
      </c>
      <c r="AD492" s="48">
        <f>IFERROR(VLOOKUP(Tabela3[[#This Row],[Produto]],Tabela2[],3,0),0)</f>
        <v>20</v>
      </c>
      <c r="AE492" s="48">
        <f>IFERROR(VLOOKUP(Tabela3[[#This Row],[Produto]],Tabela2[],4,0),0)</f>
        <v>22.3</v>
      </c>
      <c r="AF492" s="48">
        <f>IFERROR(VLOOKUP(Tabela3[[#This Row],[Produto]],Tabela2[],5,0),0)</f>
        <v>2.0700000000000007</v>
      </c>
      <c r="AG492" s="40">
        <f>IFERROR(VLOOKUP(Tabela3[[#This Row],[Produto]],Tabela2[],6,0),0)</f>
        <v>0</v>
      </c>
      <c r="AH492" s="40">
        <f>IFERROR(VLOOKUP(Tabela3[[#This Row],[Produto]],Tabela2[],7,0),0)</f>
        <v>0</v>
      </c>
      <c r="AI492" s="40">
        <f>IFERROR(VLOOKUP(Tabela3[[#This Row],[Produto]],Tabela2[],8,0),0)</f>
        <v>0</v>
      </c>
      <c r="AJ492" s="35">
        <f ca="1">IFERROR(VLOOKUP(Tabela3[[#This Row],[Produto]],Tabela2[],13,0),0)</f>
        <v>16.569852141766386</v>
      </c>
      <c r="AK492" s="40" t="str">
        <f>IFERROR(VLOOKUP(Tabela3[[#This Row],[Produto]],Tabela2[],14,0),0)</f>
        <v>Danilo</v>
      </c>
      <c r="AL492" s="40">
        <f>IFERROR(VLOOKUP(Tabela3[[#This Row],[Produto]],Tabela2[],15,0),0)</f>
        <v>0</v>
      </c>
      <c r="AM492" s="36">
        <f ca="1">(Tabela3[[#This Row],[Custo Usinagem]]+Tabela3[[#This Row],[Custo / Pç]])*1.2</f>
        <v>860.63928501355565</v>
      </c>
      <c r="AN492" s="36">
        <f ca="1">Tabela3[[#This Row],[Valor Mínimo Venda]]*1.15</f>
        <v>989.7351777655889</v>
      </c>
      <c r="AO492" s="36">
        <f ca="1">Tabela3[[#This Row],[Tabela 1]]*1.08</f>
        <v>1068.913991986836</v>
      </c>
      <c r="AP492" s="36">
        <f ca="1">Tabela3[[#This Row],[Tabela 2]]*1.15</f>
        <v>1229.2510907848614</v>
      </c>
    </row>
    <row r="493" spans="1:42">
      <c r="A493" s="9">
        <v>45869</v>
      </c>
      <c r="B493" s="6" t="s">
        <v>162</v>
      </c>
      <c r="C493" s="14">
        <v>7494</v>
      </c>
      <c r="D493" s="6" t="s">
        <v>44</v>
      </c>
      <c r="E493" s="6" t="s">
        <v>47</v>
      </c>
      <c r="F493" s="6">
        <v>2</v>
      </c>
      <c r="G493" s="15">
        <v>7.9166666666666663E-2</v>
      </c>
      <c r="H493" s="16">
        <v>0</v>
      </c>
      <c r="I493" s="35">
        <f ca="1">IFERROR(Tabela3[[#This Row],[Custo Total]]/Tabela3[[#This Row],[Aluminio Util]],0)</f>
        <v>21.565870376095667</v>
      </c>
      <c r="J493" s="35">
        <f ca="1">Tabela3[[#This Row],[Custo Total]]/Tabela3[[#This Row],[Realizado]]</f>
        <v>758.04034371976263</v>
      </c>
      <c r="K493" s="37">
        <f>IFERROR(Tabela3[[#This Row],[Qtde Cx Produzida]]/Tabela3[[#This Row],[Tempo]]/24,0)</f>
        <v>1.0526315789473684</v>
      </c>
      <c r="L493" s="37">
        <f>Tabela3[[#This Row],[Qtde Cx Produzida]]*Tabela3[[#This Row],[Qdt Peça Placa]]</f>
        <v>2</v>
      </c>
      <c r="M493" s="37">
        <f>Tabela3[[#This Row],[Previsto]]-Tabela3[[#This Row],[Perda Pçs]]</f>
        <v>2</v>
      </c>
      <c r="N493" s="38">
        <f>IFERROR(Tabela3[[#This Row],[Perda Pçs]]/Tabela3[[#This Row],[Previsto]],0)</f>
        <v>0</v>
      </c>
      <c r="O493" s="39">
        <f>IFERROR(IF(Tabela3[[#This Row],[Qtde Cx Produzida]] &lt;&gt; 0, Tabela3[[#This Row],[Tempo]] / Tabela3[[#This Row],[Qtde Cx Produzida]], 0),0)</f>
        <v>3.9583333333333331E-2</v>
      </c>
      <c r="P493" s="57">
        <f>IFERROR(Tabela3[[#This Row],[Perda Pçs]]/Tabela3[[#This Row],[Qdt Peça Placa]],0)</f>
        <v>0</v>
      </c>
      <c r="Q493" s="37">
        <f>IFERROR(Tabela3[[#This Row],[Realizado]]*Tabela3[[#This Row],[Peso Util/Pç]],0)</f>
        <v>70.3</v>
      </c>
      <c r="R493" s="37">
        <f>IFERROR(Tabela3[[#This Row],[Peso Total Galho]]*Tabela3[[#This Row],[Qtde Cx Produzida]]*1.055,0)</f>
        <v>80.496499999999997</v>
      </c>
      <c r="S493" s="37">
        <f>(Tabela3[[#This Row],[Aluminio Bruto]]-Tabela3[[#This Row],[Aluminio Util]])*0.9</f>
        <v>9.17685</v>
      </c>
      <c r="T493" s="37">
        <f>Tabela3[[#This Row],[Aluminio Bruto]]/OleoKGAluminio</f>
        <v>33.864773469025451</v>
      </c>
      <c r="U493" s="35">
        <f>IFERROR((VLOOKUP(Tabela3[[#This Row],[Moldador]],Tabela1[],5,)+(VLOOKUP(Tabela3[[#This Row],[Ajudante]],Tabela1[],5,))*3.5),0)</f>
        <v>99.95034583333333</v>
      </c>
      <c r="V493" s="35">
        <f>IFERROR(Tabela3[[#This Row],[Custo M.O. / H]]/((Tabela3[[#This Row],[Realizado]]/Tabela3[[#This Row],[Qdt Peça Placa]])/Tabela3[[#This Row],[Tempo]]/24),)</f>
        <v>94.952828541666662</v>
      </c>
      <c r="W493" s="35">
        <f>Tabela3[[#This Row],[Custo / Cx Moldada]]*Tabela3[[#This Row],[Qtde Cx Produzida]]</f>
        <v>189.90565708333332</v>
      </c>
      <c r="X493" s="35">
        <f ca="1">Tabela3[[#This Row],[Aluminio Util]]*Tabela3[[#This Row],[Custo/Kg]]</f>
        <v>1237.28</v>
      </c>
      <c r="Y493" s="35">
        <f>IFERROR(VLOOKUP(Tabela3[[#This Row],[Data]],Tabela461213[],2,1)*(Tabela3[[#This Row],[Qtde Cx Produzida]]*Tabela3[[#This Row],[Qde macho / CX]]*Tabela3[[#This Row],[Peso Macho]]),)</f>
        <v>0</v>
      </c>
      <c r="Z493" s="35">
        <f>IFERROR(Tabela3[[#This Row],[Qtde Oleo]]*(VLOOKUP(Tabela3[[#This Row],[Data]],CompraOleo[],3,TRUE))*1.05,0)</f>
        <v>88.895030356191825</v>
      </c>
      <c r="AA493" s="47">
        <f ca="1">(Tabela3[[#This Row],[Custo Oleo]]+Tabela3[[#This Row],[Custo Aluminio]]+Tabela3[[#This Row],[Custo M.O. Total]]+Tabela3[[#This Row],[Custo Machos]])</f>
        <v>1516.0806874395253</v>
      </c>
      <c r="AB493" s="47">
        <f ca="1">Tabela3[[#This Row],[Custo Total]]*Tabela3[[#This Row],[% Perda]]</f>
        <v>0</v>
      </c>
      <c r="AC493" s="48">
        <f>IFERROR(VLOOKUP(Tabela3[[#This Row],[Produto]],Tabela2[],2,0),0)</f>
        <v>1</v>
      </c>
      <c r="AD493" s="48">
        <f>IFERROR(VLOOKUP(Tabela3[[#This Row],[Produto]],Tabela2[],3,0),0)</f>
        <v>35.15</v>
      </c>
      <c r="AE493" s="48">
        <f>IFERROR(VLOOKUP(Tabela3[[#This Row],[Produto]],Tabela2[],4,0),0)</f>
        <v>38.15</v>
      </c>
      <c r="AF493" s="48">
        <f>IFERROR(VLOOKUP(Tabela3[[#This Row],[Produto]],Tabela2[],5,0),0)</f>
        <v>2.7</v>
      </c>
      <c r="AG493" s="40">
        <f>IFERROR(VLOOKUP(Tabela3[[#This Row],[Produto]],Tabela2[],6,0),0)</f>
        <v>0</v>
      </c>
      <c r="AH493" s="40">
        <f>IFERROR(VLOOKUP(Tabela3[[#This Row],[Produto]],Tabela2[],7,0),0)</f>
        <v>0</v>
      </c>
      <c r="AI493" s="40">
        <f>IFERROR(VLOOKUP(Tabela3[[#This Row],[Produto]],Tabela2[],8,0),0)</f>
        <v>0</v>
      </c>
      <c r="AJ493" s="35">
        <f ca="1">IFERROR(VLOOKUP(Tabela3[[#This Row],[Produto]],Tabela2[],13,0),0)</f>
        <v>17.600000000000001</v>
      </c>
      <c r="AK493" s="40" t="str">
        <f>IFERROR(VLOOKUP(Tabela3[[#This Row],[Produto]],Tabela2[],14,0),0)</f>
        <v>Oscar</v>
      </c>
      <c r="AL493" s="40">
        <f>IFERROR(VLOOKUP(Tabela3[[#This Row],[Produto]],Tabela2[],15,0),0)</f>
        <v>0</v>
      </c>
      <c r="AM493" s="36">
        <f ca="1">(Tabela3[[#This Row],[Custo Usinagem]]+Tabela3[[#This Row],[Custo / Pç]])*1.2</f>
        <v>909.64841246371509</v>
      </c>
      <c r="AN493" s="36">
        <f ca="1">Tabela3[[#This Row],[Valor Mínimo Venda]]*1.15</f>
        <v>1046.0956743332722</v>
      </c>
      <c r="AO493" s="36">
        <f ca="1">Tabela3[[#This Row],[Tabela 1]]*1.08</f>
        <v>1129.783328279934</v>
      </c>
      <c r="AP493" s="36">
        <f ca="1">Tabela3[[#This Row],[Tabela 2]]*1.15</f>
        <v>1299.2508275219241</v>
      </c>
    </row>
    <row r="494" spans="1:42">
      <c r="A494" s="9">
        <v>45869</v>
      </c>
      <c r="B494" s="6" t="s">
        <v>142</v>
      </c>
      <c r="C494" s="14">
        <v>7492</v>
      </c>
      <c r="D494" s="6" t="s">
        <v>46</v>
      </c>
      <c r="E494" s="6" t="s">
        <v>53</v>
      </c>
      <c r="F494" s="6">
        <v>3</v>
      </c>
      <c r="G494" s="15">
        <v>2.8472222222222222E-2</v>
      </c>
      <c r="H494" s="16">
        <v>0</v>
      </c>
      <c r="I494" s="35">
        <f ca="1">IFERROR(Tabela3[[#This Row],[Custo Total]]/Tabela3[[#This Row],[Aluminio Util]],0)</f>
        <v>46.993996532236309</v>
      </c>
      <c r="J494" s="35">
        <f ca="1">Tabela3[[#This Row],[Custo Total]]/Tabela3[[#This Row],[Realizado]]</f>
        <v>37.595197225789057</v>
      </c>
      <c r="K494" s="37">
        <f>IFERROR(Tabela3[[#This Row],[Qtde Cx Produzida]]/Tabela3[[#This Row],[Tempo]]/24,0)</f>
        <v>4.3902439024390247</v>
      </c>
      <c r="L494" s="37">
        <f>Tabela3[[#This Row],[Qtde Cx Produzida]]*Tabela3[[#This Row],[Qdt Peça Placa]]</f>
        <v>3</v>
      </c>
      <c r="M494" s="37">
        <f>Tabela3[[#This Row],[Previsto]]-Tabela3[[#This Row],[Perda Pçs]]</f>
        <v>3</v>
      </c>
      <c r="N494" s="38">
        <f>IFERROR(Tabela3[[#This Row],[Perda Pçs]]/Tabela3[[#This Row],[Previsto]],0)</f>
        <v>0</v>
      </c>
      <c r="O494" s="39">
        <f>IFERROR(IF(Tabela3[[#This Row],[Qtde Cx Produzida]] &lt;&gt; 0, Tabela3[[#This Row],[Tempo]] / Tabela3[[#This Row],[Qtde Cx Produzida]], 0),0)</f>
        <v>9.4907407407407406E-3</v>
      </c>
      <c r="P494" s="57">
        <f>IFERROR(Tabela3[[#This Row],[Perda Pçs]]/Tabela3[[#This Row],[Qdt Peça Placa]],0)</f>
        <v>0</v>
      </c>
      <c r="Q494" s="37">
        <f>IFERROR(Tabela3[[#This Row],[Realizado]]*Tabela3[[#This Row],[Peso Util/Pç]],0)</f>
        <v>2.4000000000000004</v>
      </c>
      <c r="R494" s="37">
        <f>IFERROR(Tabela3[[#This Row],[Peso Total Galho]]*Tabela3[[#This Row],[Qtde Cx Produzida]]*1.055,0)</f>
        <v>4.2727500000000003</v>
      </c>
      <c r="S494" s="37">
        <f>(Tabela3[[#This Row],[Aluminio Bruto]]-Tabela3[[#This Row],[Aluminio Util]])*0.9</f>
        <v>1.6854750000000001</v>
      </c>
      <c r="T494" s="37">
        <f>Tabela3[[#This Row],[Aluminio Bruto]]/OleoKGAluminio</f>
        <v>1.7975404003873274</v>
      </c>
      <c r="U494" s="35">
        <f>IFERROR((VLOOKUP(Tabela3[[#This Row],[Moldador]],Tabela1[],5,)+(VLOOKUP(Tabela3[[#This Row],[Ajudante]],Tabela1[],5,))*3.5),0)</f>
        <v>99.95034583333333</v>
      </c>
      <c r="V494" s="35">
        <f>IFERROR(Tabela3[[#This Row],[Custo M.O. / H]]/((Tabela3[[#This Row],[Realizado]]/Tabela3[[#This Row],[Qdt Peça Placa]])/Tabela3[[#This Row],[Tempo]]/24),)</f>
        <v>22.766467662037034</v>
      </c>
      <c r="W494" s="35">
        <f>Tabela3[[#This Row],[Custo / Cx Moldada]]*Tabela3[[#This Row],[Qtde Cx Produzida]]</f>
        <v>68.299402986111104</v>
      </c>
      <c r="X494" s="35">
        <f ca="1">Tabela3[[#This Row],[Aluminio Util]]*Tabela3[[#This Row],[Custo/Kg]]</f>
        <v>39.767645140239331</v>
      </c>
      <c r="Y494" s="35">
        <f>IFERROR(VLOOKUP(Tabela3[[#This Row],[Data]],Tabela461213[],2,1)*(Tabela3[[#This Row],[Qtde Cx Produzida]]*Tabela3[[#This Row],[Qde macho / CX]]*Tabela3[[#This Row],[Peso Macho]]),)</f>
        <v>0</v>
      </c>
      <c r="Z494" s="35">
        <f>IFERROR(Tabela3[[#This Row],[Qtde Oleo]]*(VLOOKUP(Tabela3[[#This Row],[Data]],CompraOleo[],3,TRUE))*1.05,0)</f>
        <v>4.718543551016734</v>
      </c>
      <c r="AA494" s="47">
        <f ca="1">(Tabela3[[#This Row],[Custo Oleo]]+Tabela3[[#This Row],[Custo Aluminio]]+Tabela3[[#This Row],[Custo M.O. Total]]+Tabela3[[#This Row],[Custo Machos]])</f>
        <v>112.78559167736717</v>
      </c>
      <c r="AB494" s="47">
        <f ca="1">Tabela3[[#This Row],[Custo Total]]*Tabela3[[#This Row],[% Perda]]</f>
        <v>0</v>
      </c>
      <c r="AC494" s="48">
        <f>IFERROR(VLOOKUP(Tabela3[[#This Row],[Produto]],Tabela2[],2,0),0)</f>
        <v>1</v>
      </c>
      <c r="AD494" s="48">
        <f>IFERROR(VLOOKUP(Tabela3[[#This Row],[Produto]],Tabela2[],3,0),0)</f>
        <v>0.8</v>
      </c>
      <c r="AE494" s="48">
        <f>IFERROR(VLOOKUP(Tabela3[[#This Row],[Produto]],Tabela2[],4,0),0)</f>
        <v>1.35</v>
      </c>
      <c r="AF494" s="48">
        <f>IFERROR(VLOOKUP(Tabela3[[#This Row],[Produto]],Tabela2[],5,0),0)</f>
        <v>0.49500000000000005</v>
      </c>
      <c r="AG494" s="40">
        <f>IFERROR(VLOOKUP(Tabela3[[#This Row],[Produto]],Tabela2[],6,0),0)</f>
        <v>0</v>
      </c>
      <c r="AH494" s="40">
        <f>IFERROR(VLOOKUP(Tabela3[[#This Row],[Produto]],Tabela2[],7,0),0)</f>
        <v>0</v>
      </c>
      <c r="AI494" s="40">
        <f>IFERROR(VLOOKUP(Tabela3[[#This Row],[Produto]],Tabela2[],8,0),0)</f>
        <v>0</v>
      </c>
      <c r="AJ494" s="35">
        <f ca="1">IFERROR(VLOOKUP(Tabela3[[#This Row],[Produto]],Tabela2[],13,0),0)</f>
        <v>16.569852141766386</v>
      </c>
      <c r="AK494" s="40" t="str">
        <f>IFERROR(VLOOKUP(Tabela3[[#This Row],[Produto]],Tabela2[],14,0),0)</f>
        <v>Danilo</v>
      </c>
      <c r="AL494" s="40">
        <f>IFERROR(VLOOKUP(Tabela3[[#This Row],[Produto]],Tabela2[],15,0),0)</f>
        <v>0</v>
      </c>
      <c r="AM494" s="36">
        <f ca="1">(Tabela3[[#This Row],[Custo Usinagem]]+Tabela3[[#This Row],[Custo / Pç]])*1.2</f>
        <v>45.114236670946866</v>
      </c>
      <c r="AN494" s="36">
        <f ca="1">Tabela3[[#This Row],[Valor Mínimo Venda]]*1.15</f>
        <v>51.881372171588893</v>
      </c>
      <c r="AO494" s="36">
        <f ca="1">Tabela3[[#This Row],[Tabela 1]]*1.08</f>
        <v>56.031881945316009</v>
      </c>
      <c r="AP494" s="36">
        <f ca="1">Tabela3[[#This Row],[Tabela 2]]*1.15</f>
        <v>64.436664237113405</v>
      </c>
    </row>
    <row r="495" spans="1:42">
      <c r="A495" s="9">
        <v>45869</v>
      </c>
      <c r="B495" s="6" t="s">
        <v>234</v>
      </c>
      <c r="C495" s="14">
        <v>7493</v>
      </c>
      <c r="D495" s="6" t="s">
        <v>44</v>
      </c>
      <c r="E495" s="6" t="s">
        <v>47</v>
      </c>
      <c r="F495" s="6">
        <v>14</v>
      </c>
      <c r="G495" s="15">
        <v>7.9861111111111105E-2</v>
      </c>
      <c r="H495" s="16">
        <v>0</v>
      </c>
      <c r="I495" s="35">
        <f ca="1">IFERROR(Tabela3[[#This Row],[Custo Total]]/Tabela3[[#This Row],[Aluminio Util]],0)</f>
        <v>27.6086395387976</v>
      </c>
      <c r="J495" s="35">
        <f ca="1">Tabela3[[#This Row],[Custo Total]]/Tabela3[[#This Row],[Realizado]]</f>
        <v>44.173823262076162</v>
      </c>
      <c r="K495" s="37">
        <f>IFERROR(Tabela3[[#This Row],[Qtde Cx Produzida]]/Tabela3[[#This Row],[Tempo]]/24,0)</f>
        <v>7.304347826086957</v>
      </c>
      <c r="L495" s="37">
        <f>Tabela3[[#This Row],[Qtde Cx Produzida]]*Tabela3[[#This Row],[Qdt Peça Placa]]</f>
        <v>14</v>
      </c>
      <c r="M495" s="37">
        <f>Tabela3[[#This Row],[Previsto]]-Tabela3[[#This Row],[Perda Pçs]]</f>
        <v>14</v>
      </c>
      <c r="N495" s="38">
        <f>IFERROR(Tabela3[[#This Row],[Perda Pçs]]/Tabela3[[#This Row],[Previsto]],0)</f>
        <v>0</v>
      </c>
      <c r="O495" s="39">
        <f>IFERROR(IF(Tabela3[[#This Row],[Qtde Cx Produzida]] &lt;&gt; 0, Tabela3[[#This Row],[Tempo]] / Tabela3[[#This Row],[Qtde Cx Produzida]], 0),0)</f>
        <v>5.704365079365079E-3</v>
      </c>
      <c r="P495" s="57">
        <f>IFERROR(Tabela3[[#This Row],[Perda Pçs]]/Tabela3[[#This Row],[Qdt Peça Placa]],0)</f>
        <v>0</v>
      </c>
      <c r="Q495" s="37">
        <f>IFERROR(Tabela3[[#This Row],[Realizado]]*Tabela3[[#This Row],[Peso Util/Pç]],0)</f>
        <v>22.400000000000002</v>
      </c>
      <c r="R495" s="37">
        <f>IFERROR(Tabela3[[#This Row],[Peso Total Galho]]*Tabela3[[#This Row],[Qtde Cx Produzida]]*1.055,0)</f>
        <v>29.54</v>
      </c>
      <c r="S495" s="37">
        <f>(Tabela3[[#This Row],[Aluminio Bruto]]-Tabela3[[#This Row],[Aluminio Util]])*0.9</f>
        <v>6.4259999999999975</v>
      </c>
      <c r="T495" s="37">
        <f>Tabela3[[#This Row],[Aluminio Bruto]]/OleoKGAluminio</f>
        <v>12.427439805146953</v>
      </c>
      <c r="U495" s="35">
        <f>IFERROR((VLOOKUP(Tabela3[[#This Row],[Moldador]],Tabela1[],5,)+(VLOOKUP(Tabela3[[#This Row],[Ajudante]],Tabela1[],5,))*3.5),0)</f>
        <v>99.95034583333333</v>
      </c>
      <c r="V495" s="35">
        <f>IFERROR(Tabela3[[#This Row],[Custo M.O. / H]]/((Tabela3[[#This Row],[Realizado]]/Tabela3[[#This Row],[Qdt Peça Placa]])/Tabela3[[#This Row],[Tempo]]/24),)</f>
        <v>13.68367829861111</v>
      </c>
      <c r="W495" s="35">
        <f>Tabela3[[#This Row],[Custo / Cx Moldada]]*Tabela3[[#This Row],[Qtde Cx Produzida]]</f>
        <v>191.57149618055553</v>
      </c>
      <c r="X495" s="35">
        <f ca="1">Tabela3[[#This Row],[Aluminio Util]]*Tabela3[[#This Row],[Custo/Kg]]</f>
        <v>394.24000000000007</v>
      </c>
      <c r="Y495" s="35">
        <f>IFERROR(VLOOKUP(Tabela3[[#This Row],[Data]],Tabela461213[],2,1)*(Tabela3[[#This Row],[Qtde Cx Produzida]]*Tabela3[[#This Row],[Qde macho / CX]]*Tabela3[[#This Row],[Peso Macho]]),)</f>
        <v>0</v>
      </c>
      <c r="Z495" s="35">
        <f>IFERROR(Tabela3[[#This Row],[Qtde Oleo]]*(VLOOKUP(Tabela3[[#This Row],[Data]],CompraOleo[],3,TRUE))*1.05,0)</f>
        <v>32.622029488510755</v>
      </c>
      <c r="AA495" s="47">
        <f ca="1">(Tabela3[[#This Row],[Custo Oleo]]+Tabela3[[#This Row],[Custo Aluminio]]+Tabela3[[#This Row],[Custo M.O. Total]]+Tabela3[[#This Row],[Custo Machos]])</f>
        <v>618.43352566906628</v>
      </c>
      <c r="AB495" s="47">
        <f ca="1">Tabela3[[#This Row],[Custo Total]]*Tabela3[[#This Row],[% Perda]]</f>
        <v>0</v>
      </c>
      <c r="AC495" s="48">
        <f>IFERROR(VLOOKUP(Tabela3[[#This Row],[Produto]],Tabela2[],2,0),0)</f>
        <v>1</v>
      </c>
      <c r="AD495" s="48">
        <f>IFERROR(VLOOKUP(Tabela3[[#This Row],[Produto]],Tabela2[],3,0),0)</f>
        <v>1.6</v>
      </c>
      <c r="AE495" s="48">
        <f>IFERROR(VLOOKUP(Tabela3[[#This Row],[Produto]],Tabela2[],4,0),0)</f>
        <v>2</v>
      </c>
      <c r="AF495" s="48">
        <f>IFERROR(VLOOKUP(Tabela3[[#This Row],[Produto]],Tabela2[],5,0),0)</f>
        <v>0.35999999999999993</v>
      </c>
      <c r="AG495" s="40">
        <f>IFERROR(VLOOKUP(Tabela3[[#This Row],[Produto]],Tabela2[],6,0),0)</f>
        <v>0</v>
      </c>
      <c r="AH495" s="40">
        <f>IFERROR(VLOOKUP(Tabela3[[#This Row],[Produto]],Tabela2[],7,0),0)</f>
        <v>0</v>
      </c>
      <c r="AI495" s="40">
        <f>IFERROR(VLOOKUP(Tabela3[[#This Row],[Produto]],Tabela2[],8,0),0)</f>
        <v>0</v>
      </c>
      <c r="AJ495" s="35">
        <f ca="1">IFERROR(VLOOKUP(Tabela3[[#This Row],[Produto]],Tabela2[],13,0),0)</f>
        <v>17.600000000000001</v>
      </c>
      <c r="AK495" s="40" t="str">
        <f>IFERROR(VLOOKUP(Tabela3[[#This Row],[Produto]],Tabela2[],14,0),0)</f>
        <v>Danilo</v>
      </c>
      <c r="AL495" s="40">
        <f>IFERROR(VLOOKUP(Tabela3[[#This Row],[Produto]],Tabela2[],15,0),0)</f>
        <v>0</v>
      </c>
      <c r="AM495" s="36">
        <f ca="1">(Tabela3[[#This Row],[Custo Usinagem]]+Tabela3[[#This Row],[Custo / Pç]])*1.2</f>
        <v>53.008587914491393</v>
      </c>
      <c r="AN495" s="36">
        <f ca="1">Tabela3[[#This Row],[Valor Mínimo Venda]]*1.15</f>
        <v>60.959876101665095</v>
      </c>
      <c r="AO495" s="36">
        <f ca="1">Tabela3[[#This Row],[Tabela 1]]*1.08</f>
        <v>65.836666189798308</v>
      </c>
      <c r="AP495" s="36">
        <f ca="1">Tabela3[[#This Row],[Tabela 2]]*1.15</f>
        <v>75.712166118268044</v>
      </c>
    </row>
    <row r="496" spans="1:42">
      <c r="A496" s="9">
        <v>45870</v>
      </c>
      <c r="B496" s="6" t="s">
        <v>221</v>
      </c>
      <c r="C496" s="14">
        <v>7325</v>
      </c>
      <c r="D496" s="6" t="s">
        <v>46</v>
      </c>
      <c r="E496" s="6" t="s">
        <v>53</v>
      </c>
      <c r="F496" s="6">
        <v>20</v>
      </c>
      <c r="G496" s="15">
        <v>9.6527777777777782E-2</v>
      </c>
      <c r="H496" s="16">
        <v>0</v>
      </c>
      <c r="I496" s="35">
        <f ca="1">IFERROR(Tabela3[[#This Row],[Custo Total]]/Tabela3[[#This Row],[Aluminio Util]],0)</f>
        <v>23.611874431712426</v>
      </c>
      <c r="J496" s="35">
        <f ca="1">Tabela3[[#This Row],[Custo Total]]/Tabela3[[#This Row],[Realizado]]</f>
        <v>2.9987080528274777</v>
      </c>
      <c r="K496" s="37">
        <f>IFERROR(Tabela3[[#This Row],[Qtde Cx Produzida]]/Tabela3[[#This Row],[Tempo]]/24,0)</f>
        <v>8.6330935251798557</v>
      </c>
      <c r="L496" s="37">
        <f>Tabela3[[#This Row],[Qtde Cx Produzida]]*Tabela3[[#This Row],[Qdt Peça Placa]]</f>
        <v>360</v>
      </c>
      <c r="M496" s="37">
        <f>Tabela3[[#This Row],[Previsto]]-Tabela3[[#This Row],[Perda Pçs]]</f>
        <v>360</v>
      </c>
      <c r="N496" s="38">
        <f>IFERROR(Tabela3[[#This Row],[Perda Pçs]]/Tabela3[[#This Row],[Previsto]],0)</f>
        <v>0</v>
      </c>
      <c r="O496" s="39">
        <f>IFERROR(IF(Tabela3[[#This Row],[Qtde Cx Produzida]] &lt;&gt; 0, Tabela3[[#This Row],[Tempo]] / Tabela3[[#This Row],[Qtde Cx Produzida]], 0),0)</f>
        <v>4.8263888888888887E-3</v>
      </c>
      <c r="P496" s="57">
        <f>IFERROR(Tabela3[[#This Row],[Perda Pçs]]/Tabela3[[#This Row],[Qdt Peça Placa]],0)</f>
        <v>0</v>
      </c>
      <c r="Q496" s="37">
        <f>IFERROR(Tabela3[[#This Row],[Realizado]]*Tabela3[[#This Row],[Peso Util/Pç]],0)</f>
        <v>45.72</v>
      </c>
      <c r="R496" s="37">
        <f>IFERROR(Tabela3[[#This Row],[Peso Total Galho]]*Tabela3[[#This Row],[Qtde Cx Produzida]]*1.055,0)</f>
        <v>81.867999999999995</v>
      </c>
      <c r="S496" s="37">
        <f>(Tabela3[[#This Row],[Aluminio Bruto]]-Tabela3[[#This Row],[Aluminio Util]])*0.9</f>
        <v>32.533200000000001</v>
      </c>
      <c r="T496" s="37">
        <f>Tabela3[[#This Row],[Aluminio Bruto]]/OleoKGAluminio</f>
        <v>34.441761745692986</v>
      </c>
      <c r="U496" s="35">
        <f>IFERROR((VLOOKUP(Tabela3[[#This Row],[Moldador]],Tabela1[],5,)+(VLOOKUP(Tabela3[[#This Row],[Ajudante]],Tabela1[],5,))*3.5),0)</f>
        <v>99.95034583333333</v>
      </c>
      <c r="V496" s="35">
        <f>IFERROR(Tabela3[[#This Row],[Custo M.O. / H]]/((Tabela3[[#This Row],[Realizado]]/Tabela3[[#This Row],[Qdt Peça Placa]])/Tabela3[[#This Row],[Tempo]]/24),)</f>
        <v>11.577581725694445</v>
      </c>
      <c r="W496" s="35">
        <f>Tabela3[[#This Row],[Custo / Cx Moldada]]*Tabela3[[#This Row],[Qtde Cx Produzida]]</f>
        <v>231.5516345138889</v>
      </c>
      <c r="X496" s="35">
        <f ca="1">Tabela3[[#This Row],[Aluminio Util]]*Tabela3[[#This Row],[Custo/Kg]]</f>
        <v>757.57363992155911</v>
      </c>
      <c r="Y496" s="35">
        <f>IFERROR(VLOOKUP(Tabela3[[#This Row],[Data]],Tabela461213[],2,1)*(Tabela3[[#This Row],[Qtde Cx Produzida]]*Tabela3[[#This Row],[Qde macho / CX]]*Tabela3[[#This Row],[Peso Macho]]),)</f>
        <v>0</v>
      </c>
      <c r="Z496" s="35">
        <f>IFERROR(Tabela3[[#This Row],[Qtde Oleo]]*(VLOOKUP(Tabela3[[#This Row],[Data]],CompraOleo[],3,TRUE))*1.05,0)</f>
        <v>90.409624582444096</v>
      </c>
      <c r="AA496" s="47">
        <f ca="1">(Tabela3[[#This Row],[Custo Oleo]]+Tabela3[[#This Row],[Custo Aluminio]]+Tabela3[[#This Row],[Custo M.O. Total]]+Tabela3[[#This Row],[Custo Machos]])</f>
        <v>1079.534899017892</v>
      </c>
      <c r="AB496" s="47">
        <f ca="1">Tabela3[[#This Row],[Custo Total]]*Tabela3[[#This Row],[% Perda]]</f>
        <v>0</v>
      </c>
      <c r="AC496" s="48">
        <f>IFERROR(VLOOKUP(Tabela3[[#This Row],[Produto]],Tabela2[],2,0),0)</f>
        <v>18</v>
      </c>
      <c r="AD496" s="48">
        <f>IFERROR(VLOOKUP(Tabela3[[#This Row],[Produto]],Tabela2[],3,0),0)</f>
        <v>0.127</v>
      </c>
      <c r="AE496" s="48">
        <f>IFERROR(VLOOKUP(Tabela3[[#This Row],[Produto]],Tabela2[],4,0),0)</f>
        <v>3.88</v>
      </c>
      <c r="AF496" s="48">
        <f>IFERROR(VLOOKUP(Tabela3[[#This Row],[Produto]],Tabela2[],5,0),0)</f>
        <v>1.4345999999999999</v>
      </c>
      <c r="AG496" s="40">
        <f>IFERROR(VLOOKUP(Tabela3[[#This Row],[Produto]],Tabela2[],6,0),0)</f>
        <v>0</v>
      </c>
      <c r="AH496" s="40">
        <f>IFERROR(VLOOKUP(Tabela3[[#This Row],[Produto]],Tabela2[],7,0),0)</f>
        <v>0</v>
      </c>
      <c r="AI496" s="40">
        <f>IFERROR(VLOOKUP(Tabela3[[#This Row],[Produto]],Tabela2[],8,0),0)</f>
        <v>0</v>
      </c>
      <c r="AJ496" s="35">
        <f ca="1">IFERROR(VLOOKUP(Tabela3[[#This Row],[Produto]],Tabela2[],13,0),0)</f>
        <v>16.569852141766386</v>
      </c>
      <c r="AK496" s="40" t="str">
        <f>IFERROR(VLOOKUP(Tabela3[[#This Row],[Produto]],Tabela2[],14,0),0)</f>
        <v>Marcelo</v>
      </c>
      <c r="AL496" s="40">
        <f>IFERROR(VLOOKUP(Tabela3[[#This Row],[Produto]],Tabela2[],15,0),0)</f>
        <v>0</v>
      </c>
      <c r="AM496" s="36">
        <f ca="1">(Tabela3[[#This Row],[Custo Usinagem]]+Tabela3[[#This Row],[Custo / Pç]])*1.2</f>
        <v>3.598449663392973</v>
      </c>
      <c r="AN496" s="36">
        <f ca="1">Tabela3[[#This Row],[Valor Mínimo Venda]]*1.15</f>
        <v>4.138217112901919</v>
      </c>
      <c r="AO496" s="36">
        <f ca="1">Tabela3[[#This Row],[Tabela 1]]*1.08</f>
        <v>4.4692744819340726</v>
      </c>
      <c r="AP496" s="36">
        <f ca="1">Tabela3[[#This Row],[Tabela 2]]*1.15</f>
        <v>5.1396656542241832</v>
      </c>
    </row>
    <row r="497" spans="1:42">
      <c r="A497" s="9">
        <v>45870</v>
      </c>
      <c r="B497" s="6" t="s">
        <v>142</v>
      </c>
      <c r="C497" s="14">
        <v>7492</v>
      </c>
      <c r="D497" s="6" t="s">
        <v>46</v>
      </c>
      <c r="E497" s="6" t="s">
        <v>53</v>
      </c>
      <c r="F497" s="6">
        <v>32</v>
      </c>
      <c r="G497" s="15">
        <v>0.16458333333333333</v>
      </c>
      <c r="H497" s="16">
        <v>2</v>
      </c>
      <c r="I497" s="35">
        <f ca="1">IFERROR(Tabela3[[#This Row],[Custo Total]]/Tabela3[[#This Row],[Aluminio Util]],0)</f>
        <v>36.213821099625676</v>
      </c>
      <c r="J497" s="35">
        <f ca="1">Tabela3[[#This Row],[Custo Total]]/Tabela3[[#This Row],[Realizado]]</f>
        <v>28.971056879700541</v>
      </c>
      <c r="K497" s="37">
        <f>IFERROR(Tabela3[[#This Row],[Qtde Cx Produzida]]/Tabela3[[#This Row],[Tempo]]/24,0)</f>
        <v>8.1012658227848107</v>
      </c>
      <c r="L497" s="37">
        <f>Tabela3[[#This Row],[Qtde Cx Produzida]]*Tabela3[[#This Row],[Qdt Peça Placa]]</f>
        <v>32</v>
      </c>
      <c r="M497" s="37">
        <f>Tabela3[[#This Row],[Previsto]]-Tabela3[[#This Row],[Perda Pçs]]</f>
        <v>30</v>
      </c>
      <c r="N497" s="38">
        <f>IFERROR(Tabela3[[#This Row],[Perda Pçs]]/Tabela3[[#This Row],[Previsto]],0)</f>
        <v>6.25E-2</v>
      </c>
      <c r="O497" s="39">
        <f>IFERROR(IF(Tabela3[[#This Row],[Qtde Cx Produzida]] &lt;&gt; 0, Tabela3[[#This Row],[Tempo]] / Tabela3[[#This Row],[Qtde Cx Produzida]], 0),0)</f>
        <v>5.1432291666666666E-3</v>
      </c>
      <c r="P497" s="57">
        <f>IFERROR(Tabela3[[#This Row],[Perda Pçs]]/Tabela3[[#This Row],[Qdt Peça Placa]],0)</f>
        <v>2</v>
      </c>
      <c r="Q497" s="37">
        <f>IFERROR(Tabela3[[#This Row],[Realizado]]*Tabela3[[#This Row],[Peso Util/Pç]],0)</f>
        <v>24</v>
      </c>
      <c r="R497" s="37">
        <f>IFERROR(Tabela3[[#This Row],[Peso Total Galho]]*Tabela3[[#This Row],[Qtde Cx Produzida]]*1.055,0)</f>
        <v>45.576000000000001</v>
      </c>
      <c r="S497" s="37">
        <f>(Tabela3[[#This Row],[Aluminio Bruto]]-Tabela3[[#This Row],[Aluminio Util]])*0.9</f>
        <v>19.418400000000002</v>
      </c>
      <c r="T497" s="37">
        <f>Tabela3[[#This Row],[Aluminio Bruto]]/OleoKGAluminio</f>
        <v>19.173764270798156</v>
      </c>
      <c r="U497" s="35">
        <f>IFERROR((VLOOKUP(Tabela3[[#This Row],[Moldador]],Tabela1[],5,)+(VLOOKUP(Tabela3[[#This Row],[Ajudante]],Tabela1[],5,))*3.5),0)</f>
        <v>99.95034583333333</v>
      </c>
      <c r="V497" s="35">
        <f>IFERROR(Tabela3[[#This Row],[Custo M.O. / H]]/((Tabela3[[#This Row],[Realizado]]/Tabela3[[#This Row],[Qdt Peça Placa]])/Tabela3[[#This Row],[Tempo]]/24),)</f>
        <v>13.160128868055555</v>
      </c>
      <c r="W497" s="35">
        <f>Tabela3[[#This Row],[Custo / Cx Moldada]]*Tabela3[[#This Row],[Qtde Cx Produzida]]</f>
        <v>421.12412377777775</v>
      </c>
      <c r="X497" s="35">
        <f ca="1">Tabela3[[#This Row],[Aluminio Util]]*Tabela3[[#This Row],[Custo/Kg]]</f>
        <v>397.67645140239324</v>
      </c>
      <c r="Y497" s="35">
        <f>IFERROR(VLOOKUP(Tabela3[[#This Row],[Data]],Tabela461213[],2,1)*(Tabela3[[#This Row],[Qtde Cx Produzida]]*Tabela3[[#This Row],[Qde macho / CX]]*Tabela3[[#This Row],[Peso Macho]]),)</f>
        <v>0</v>
      </c>
      <c r="Z497" s="35">
        <f>IFERROR(Tabela3[[#This Row],[Qtde Oleo]]*(VLOOKUP(Tabela3[[#This Row],[Data]],CompraOleo[],3,TRUE))*1.05,0)</f>
        <v>50.331131210845165</v>
      </c>
      <c r="AA497" s="47">
        <f ca="1">(Tabela3[[#This Row],[Custo Oleo]]+Tabela3[[#This Row],[Custo Aluminio]]+Tabela3[[#This Row],[Custo M.O. Total]]+Tabela3[[#This Row],[Custo Machos]])</f>
        <v>869.13170639101622</v>
      </c>
      <c r="AB497" s="47">
        <f ca="1">Tabela3[[#This Row],[Custo Total]]*Tabela3[[#This Row],[% Perda]]</f>
        <v>54.320731649438514</v>
      </c>
      <c r="AC497" s="48">
        <f>IFERROR(VLOOKUP(Tabela3[[#This Row],[Produto]],Tabela2[],2,0),0)</f>
        <v>1</v>
      </c>
      <c r="AD497" s="48">
        <f>IFERROR(VLOOKUP(Tabela3[[#This Row],[Produto]],Tabela2[],3,0),0)</f>
        <v>0.8</v>
      </c>
      <c r="AE497" s="48">
        <f>IFERROR(VLOOKUP(Tabela3[[#This Row],[Produto]],Tabela2[],4,0),0)</f>
        <v>1.35</v>
      </c>
      <c r="AF497" s="48">
        <f>IFERROR(VLOOKUP(Tabela3[[#This Row],[Produto]],Tabela2[],5,0),0)</f>
        <v>0.49500000000000005</v>
      </c>
      <c r="AG497" s="40">
        <f>IFERROR(VLOOKUP(Tabela3[[#This Row],[Produto]],Tabela2[],6,0),0)</f>
        <v>0</v>
      </c>
      <c r="AH497" s="40">
        <f>IFERROR(VLOOKUP(Tabela3[[#This Row],[Produto]],Tabela2[],7,0),0)</f>
        <v>0</v>
      </c>
      <c r="AI497" s="40">
        <f>IFERROR(VLOOKUP(Tabela3[[#This Row],[Produto]],Tabela2[],8,0),0)</f>
        <v>0</v>
      </c>
      <c r="AJ497" s="35">
        <f ca="1">IFERROR(VLOOKUP(Tabela3[[#This Row],[Produto]],Tabela2[],13,0),0)</f>
        <v>16.569852141766386</v>
      </c>
      <c r="AK497" s="40" t="str">
        <f>IFERROR(VLOOKUP(Tabela3[[#This Row],[Produto]],Tabela2[],14,0),0)</f>
        <v>Danilo</v>
      </c>
      <c r="AL497" s="40">
        <f>IFERROR(VLOOKUP(Tabela3[[#This Row],[Produto]],Tabela2[],15,0),0)</f>
        <v>0</v>
      </c>
      <c r="AM497" s="36">
        <f ca="1">(Tabela3[[#This Row],[Custo Usinagem]]+Tabela3[[#This Row],[Custo / Pç]])*1.2</f>
        <v>34.765268255640649</v>
      </c>
      <c r="AN497" s="36">
        <f ca="1">Tabela3[[#This Row],[Valor Mínimo Venda]]*1.15</f>
        <v>39.980058493986746</v>
      </c>
      <c r="AO497" s="36">
        <f ca="1">Tabela3[[#This Row],[Tabela 1]]*1.08</f>
        <v>43.178463173505691</v>
      </c>
      <c r="AP497" s="36">
        <f ca="1">Tabela3[[#This Row],[Tabela 2]]*1.15</f>
        <v>49.655232649531541</v>
      </c>
    </row>
    <row r="498" spans="1:42">
      <c r="A498" s="9">
        <v>45870</v>
      </c>
      <c r="B498" s="6" t="s">
        <v>115</v>
      </c>
      <c r="C498" s="14">
        <v>7268</v>
      </c>
      <c r="D498" s="6" t="s">
        <v>44</v>
      </c>
      <c r="E498" s="6" t="s">
        <v>47</v>
      </c>
      <c r="F498" s="6">
        <v>33</v>
      </c>
      <c r="G498" s="15">
        <v>0.19097222222222221</v>
      </c>
      <c r="H498" s="16">
        <v>0</v>
      </c>
      <c r="I498" s="35">
        <f ca="1">IFERROR(Tabela3[[#This Row],[Custo Total]]/Tabela3[[#This Row],[Aluminio Util]],0)</f>
        <v>24.079467620897592</v>
      </c>
      <c r="J498" s="35">
        <f ca="1">Tabela3[[#This Row],[Custo Total]]/Tabela3[[#This Row],[Realizado]]</f>
        <v>6.3088205166751701</v>
      </c>
      <c r="K498" s="37">
        <f>IFERROR(Tabela3[[#This Row],[Qtde Cx Produzida]]/Tabela3[[#This Row],[Tempo]]/24,0)</f>
        <v>7.2</v>
      </c>
      <c r="L498" s="37">
        <f>Tabela3[[#This Row],[Qtde Cx Produzida]]*Tabela3[[#This Row],[Qdt Peça Placa]]</f>
        <v>396</v>
      </c>
      <c r="M498" s="37">
        <f>Tabela3[[#This Row],[Previsto]]-Tabela3[[#This Row],[Perda Pçs]]</f>
        <v>396</v>
      </c>
      <c r="N498" s="38">
        <f>IFERROR(Tabela3[[#This Row],[Perda Pçs]]/Tabela3[[#This Row],[Previsto]],0)</f>
        <v>0</v>
      </c>
      <c r="O498" s="39">
        <f>IFERROR(IF(Tabela3[[#This Row],[Qtde Cx Produzida]] &lt;&gt; 0, Tabela3[[#This Row],[Tempo]] / Tabela3[[#This Row],[Qtde Cx Produzida]], 0),0)</f>
        <v>5.7870370370370367E-3</v>
      </c>
      <c r="P498" s="57">
        <f>IFERROR(Tabela3[[#This Row],[Perda Pçs]]/Tabela3[[#This Row],[Qdt Peça Placa]],0)</f>
        <v>0</v>
      </c>
      <c r="Q498" s="37">
        <f>IFERROR(Tabela3[[#This Row],[Realizado]]*Tabela3[[#This Row],[Peso Util/Pç]],0)</f>
        <v>103.75200000000001</v>
      </c>
      <c r="R498" s="37">
        <f>IFERROR(Tabela3[[#This Row],[Peso Total Galho]]*Tabela3[[#This Row],[Qtde Cx Produzida]]*1.055,0)</f>
        <v>193.91954999999999</v>
      </c>
      <c r="S498" s="37">
        <f>(Tabela3[[#This Row],[Aluminio Bruto]]-Tabela3[[#This Row],[Aluminio Util]])*0.9</f>
        <v>81.150794999999988</v>
      </c>
      <c r="T498" s="37">
        <f>Tabela3[[#This Row],[Aluminio Bruto]]/OleoKGAluminio</f>
        <v>81.581703949430761</v>
      </c>
      <c r="U498" s="35">
        <f>IFERROR((VLOOKUP(Tabela3[[#This Row],[Moldador]],Tabela1[],5,)+(VLOOKUP(Tabela3[[#This Row],[Ajudante]],Tabela1[],5,))*3.5),0)</f>
        <v>99.95034583333333</v>
      </c>
      <c r="V498" s="35">
        <f>IFERROR(Tabela3[[#This Row],[Custo M.O. / H]]/((Tabela3[[#This Row],[Realizado]]/Tabela3[[#This Row],[Qdt Peça Placa]])/Tabela3[[#This Row],[Tempo]]/24),)</f>
        <v>13.881992476851851</v>
      </c>
      <c r="W498" s="35">
        <f>Tabela3[[#This Row],[Custo / Cx Moldada]]*Tabela3[[#This Row],[Qtde Cx Produzida]]</f>
        <v>458.10575173611107</v>
      </c>
      <c r="X498" s="35">
        <f ca="1">Tabela3[[#This Row],[Aluminio Util]]*Tabela3[[#This Row],[Custo/Kg]]</f>
        <v>1826.0352000000003</v>
      </c>
      <c r="Y498" s="35">
        <f>IFERROR(VLOOKUP(Tabela3[[#This Row],[Data]],Tabela461213[],2,1)*(Tabela3[[#This Row],[Qtde Cx Produzida]]*Tabela3[[#This Row],[Qde macho / CX]]*Tabela3[[#This Row],[Peso Macho]]),)</f>
        <v>0</v>
      </c>
      <c r="Z498" s="35">
        <f>IFERROR(Tabela3[[#This Row],[Qtde Oleo]]*(VLOOKUP(Tabela3[[#This Row],[Data]],CompraOleo[],3,TRUE))*1.05,0)</f>
        <v>214.15197286725578</v>
      </c>
      <c r="AA498" s="47">
        <f ca="1">(Tabela3[[#This Row],[Custo Oleo]]+Tabela3[[#This Row],[Custo Aluminio]]+Tabela3[[#This Row],[Custo M.O. Total]]+Tabela3[[#This Row],[Custo Machos]])</f>
        <v>2498.2929246033673</v>
      </c>
      <c r="AB498" s="47">
        <f ca="1">Tabela3[[#This Row],[Custo Total]]*Tabela3[[#This Row],[% Perda]]</f>
        <v>0</v>
      </c>
      <c r="AC498" s="48">
        <f>IFERROR(VLOOKUP(Tabela3[[#This Row],[Produto]],Tabela2[],2,0),0)</f>
        <v>12</v>
      </c>
      <c r="AD498" s="48">
        <f>IFERROR(VLOOKUP(Tabela3[[#This Row],[Produto]],Tabela2[],3,0),0)</f>
        <v>0.26200000000000001</v>
      </c>
      <c r="AE498" s="48">
        <f>IFERROR(VLOOKUP(Tabela3[[#This Row],[Produto]],Tabela2[],4,0),0)</f>
        <v>5.57</v>
      </c>
      <c r="AF498" s="48">
        <f>IFERROR(VLOOKUP(Tabela3[[#This Row],[Produto]],Tabela2[],5,0),0)</f>
        <v>2.1834000000000002</v>
      </c>
      <c r="AG498" s="40">
        <f>IFERROR(VLOOKUP(Tabela3[[#This Row],[Produto]],Tabela2[],6,0),0)</f>
        <v>0</v>
      </c>
      <c r="AH498" s="40">
        <f>IFERROR(VLOOKUP(Tabela3[[#This Row],[Produto]],Tabela2[],7,0),0)</f>
        <v>0</v>
      </c>
      <c r="AI498" s="40">
        <f>IFERROR(VLOOKUP(Tabela3[[#This Row],[Produto]],Tabela2[],8,0),0)</f>
        <v>0</v>
      </c>
      <c r="AJ498" s="35">
        <f ca="1">IFERROR(VLOOKUP(Tabela3[[#This Row],[Produto]],Tabela2[],13,0),0)</f>
        <v>17.600000000000001</v>
      </c>
      <c r="AK498" s="40" t="str">
        <f>IFERROR(VLOOKUP(Tabela3[[#This Row],[Produto]],Tabela2[],14,0),0)</f>
        <v>Marcelo</v>
      </c>
      <c r="AL498" s="40">
        <f>IFERROR(VLOOKUP(Tabela3[[#This Row],[Produto]],Tabela2[],15,0),0)</f>
        <v>5</v>
      </c>
      <c r="AM498" s="36">
        <f ca="1">(Tabela3[[#This Row],[Custo Usinagem]]+Tabela3[[#This Row],[Custo / Pç]])*1.2</f>
        <v>13.570584620010203</v>
      </c>
      <c r="AN498" s="36">
        <f ca="1">Tabela3[[#This Row],[Valor Mínimo Venda]]*1.15</f>
        <v>15.606172313011733</v>
      </c>
      <c r="AO498" s="36">
        <f ca="1">Tabela3[[#This Row],[Tabela 1]]*1.08</f>
        <v>16.854666098052672</v>
      </c>
      <c r="AP498" s="36">
        <f ca="1">Tabela3[[#This Row],[Tabela 2]]*1.15</f>
        <v>19.382866012760569</v>
      </c>
    </row>
    <row r="499" spans="1:42">
      <c r="A499" s="9">
        <v>45870</v>
      </c>
      <c r="B499" s="6" t="s">
        <v>229</v>
      </c>
      <c r="C499" s="14">
        <v>7328</v>
      </c>
      <c r="D499" s="6" t="s">
        <v>44</v>
      </c>
      <c r="E499" s="6" t="s">
        <v>47</v>
      </c>
      <c r="F499" s="6">
        <v>3</v>
      </c>
      <c r="G499" s="15">
        <v>1.6666666666666666E-2</v>
      </c>
      <c r="H499" s="16">
        <v>0</v>
      </c>
      <c r="I499" s="35">
        <f ca="1">IFERROR(Tabela3[[#This Row],[Custo Total]]/Tabela3[[#This Row],[Aluminio Util]],0)</f>
        <v>21.905318269763814</v>
      </c>
      <c r="J499" s="35">
        <f ca="1">Tabela3[[#This Row],[Custo Total]]/Tabela3[[#This Row],[Realizado]]</f>
        <v>61.072027336101506</v>
      </c>
      <c r="K499" s="37">
        <f>IFERROR(Tabela3[[#This Row],[Qtde Cx Produzida]]/Tabela3[[#This Row],[Tempo]]/24,0)</f>
        <v>7.5</v>
      </c>
      <c r="L499" s="37">
        <f>Tabela3[[#This Row],[Qtde Cx Produzida]]*Tabela3[[#This Row],[Qdt Peça Placa]]</f>
        <v>3</v>
      </c>
      <c r="M499" s="37">
        <f>Tabela3[[#This Row],[Previsto]]-Tabela3[[#This Row],[Perda Pçs]]</f>
        <v>3</v>
      </c>
      <c r="N499" s="38">
        <f>IFERROR(Tabela3[[#This Row],[Perda Pçs]]/Tabela3[[#This Row],[Previsto]],0)</f>
        <v>0</v>
      </c>
      <c r="O499" s="39">
        <f>IFERROR(IF(Tabela3[[#This Row],[Qtde Cx Produzida]] &lt;&gt; 0, Tabela3[[#This Row],[Tempo]] / Tabela3[[#This Row],[Qtde Cx Produzida]], 0),0)</f>
        <v>5.5555555555555558E-3</v>
      </c>
      <c r="P499" s="57">
        <f>IFERROR(Tabela3[[#This Row],[Perda Pçs]]/Tabela3[[#This Row],[Qdt Peça Placa]],0)</f>
        <v>0</v>
      </c>
      <c r="Q499" s="37">
        <f>IFERROR(Tabela3[[#This Row],[Realizado]]*Tabela3[[#This Row],[Peso Util/Pç]],0)</f>
        <v>8.363999999999999</v>
      </c>
      <c r="R499" s="37">
        <f>IFERROR(Tabela3[[#This Row],[Peso Total Galho]]*Tabela3[[#This Row],[Qtde Cx Produzida]]*1.055,0)</f>
        <v>11.552249999999999</v>
      </c>
      <c r="S499" s="37">
        <f>(Tabela3[[#This Row],[Aluminio Bruto]]-Tabela3[[#This Row],[Aluminio Util]])*0.9</f>
        <v>2.8694250000000001</v>
      </c>
      <c r="T499" s="37">
        <f>Tabela3[[#This Row],[Aluminio Bruto]]/OleoKGAluminio</f>
        <v>4.8600166380842547</v>
      </c>
      <c r="U499" s="35">
        <f>IFERROR((VLOOKUP(Tabela3[[#This Row],[Moldador]],Tabela1[],5,)+(VLOOKUP(Tabela3[[#This Row],[Ajudante]],Tabela1[],5,))*3.5),0)</f>
        <v>99.95034583333333</v>
      </c>
      <c r="V499" s="35">
        <f>IFERROR(Tabela3[[#This Row],[Custo M.O. / H]]/((Tabela3[[#This Row],[Realizado]]/Tabela3[[#This Row],[Qdt Peça Placa]])/Tabela3[[#This Row],[Tempo]]/24),)</f>
        <v>13.326712777777777</v>
      </c>
      <c r="W499" s="35">
        <f>Tabela3[[#This Row],[Custo / Cx Moldada]]*Tabela3[[#This Row],[Qtde Cx Produzida]]</f>
        <v>39.980138333333329</v>
      </c>
      <c r="X499" s="35">
        <f ca="1">Tabela3[[#This Row],[Aluminio Util]]*Tabela3[[#This Row],[Custo/Kg]]</f>
        <v>130.47839999999999</v>
      </c>
      <c r="Y499" s="35">
        <f>IFERROR(VLOOKUP(Tabela3[[#This Row],[Data]],Tabela461213[],2,1)*(Tabela3[[#This Row],[Qtde Cx Produzida]]*Tabela3[[#This Row],[Qde macho / CX]]*Tabela3[[#This Row],[Peso Macho]]),)</f>
        <v>0</v>
      </c>
      <c r="Z499" s="35">
        <f>IFERROR(Tabela3[[#This Row],[Qtde Oleo]]*(VLOOKUP(Tabela3[[#This Row],[Data]],CompraOleo[],3,TRUE))*1.05,0)</f>
        <v>12.757543674971169</v>
      </c>
      <c r="AA499" s="47">
        <f ca="1">(Tabela3[[#This Row],[Custo Oleo]]+Tabela3[[#This Row],[Custo Aluminio]]+Tabela3[[#This Row],[Custo M.O. Total]]+Tabela3[[#This Row],[Custo Machos]])</f>
        <v>183.21608200830451</v>
      </c>
      <c r="AB499" s="47">
        <f ca="1">Tabela3[[#This Row],[Custo Total]]*Tabela3[[#This Row],[% Perda]]</f>
        <v>0</v>
      </c>
      <c r="AC499" s="48">
        <f>IFERROR(VLOOKUP(Tabela3[[#This Row],[Produto]],Tabela2[],2,0),0)</f>
        <v>1</v>
      </c>
      <c r="AD499" s="48">
        <f>IFERROR(VLOOKUP(Tabela3[[#This Row],[Produto]],Tabela2[],3,0),0)</f>
        <v>2.7879999999999998</v>
      </c>
      <c r="AE499" s="48">
        <f>IFERROR(VLOOKUP(Tabela3[[#This Row],[Produto]],Tabela2[],4,0),0)</f>
        <v>3.65</v>
      </c>
      <c r="AF499" s="48">
        <f>IFERROR(VLOOKUP(Tabela3[[#This Row],[Produto]],Tabela2[],5,0),0)</f>
        <v>0.77580000000000016</v>
      </c>
      <c r="AG499" s="40">
        <f>IFERROR(VLOOKUP(Tabela3[[#This Row],[Produto]],Tabela2[],6,0),0)</f>
        <v>0</v>
      </c>
      <c r="AH499" s="40">
        <f>IFERROR(VLOOKUP(Tabela3[[#This Row],[Produto]],Tabela2[],7,0),0)</f>
        <v>0</v>
      </c>
      <c r="AI499" s="40">
        <f>IFERROR(VLOOKUP(Tabela3[[#This Row],[Produto]],Tabela2[],8,0),0)</f>
        <v>0</v>
      </c>
      <c r="AJ499" s="35">
        <f ca="1">IFERROR(VLOOKUP(Tabela3[[#This Row],[Produto]],Tabela2[],13,0),0)</f>
        <v>15.600000000000001</v>
      </c>
      <c r="AK499" s="40" t="str">
        <f>IFERROR(VLOOKUP(Tabela3[[#This Row],[Produto]],Tabela2[],14,0),0)</f>
        <v>Jumil</v>
      </c>
      <c r="AL499" s="40">
        <f>IFERROR(VLOOKUP(Tabela3[[#This Row],[Produto]],Tabela2[],15,0),0)</f>
        <v>35</v>
      </c>
      <c r="AM499" s="36">
        <f ca="1">(Tabela3[[#This Row],[Custo Usinagem]]+Tabela3[[#This Row],[Custo / Pç]])*1.2</f>
        <v>115.28643280332182</v>
      </c>
      <c r="AN499" s="36">
        <f ca="1">Tabela3[[#This Row],[Valor Mínimo Venda]]*1.15</f>
        <v>132.57939772382008</v>
      </c>
      <c r="AO499" s="36">
        <f ca="1">Tabela3[[#This Row],[Tabela 1]]*1.08</f>
        <v>143.1857495417257</v>
      </c>
      <c r="AP499" s="36">
        <f ca="1">Tabela3[[#This Row],[Tabela 2]]*1.15</f>
        <v>164.66361197298454</v>
      </c>
    </row>
    <row r="500" spans="1:42">
      <c r="A500" s="9">
        <v>45870</v>
      </c>
      <c r="B500" s="6" t="s">
        <v>234</v>
      </c>
      <c r="C500" s="14">
        <v>7493</v>
      </c>
      <c r="D500" s="6" t="s">
        <v>44</v>
      </c>
      <c r="E500" s="6" t="s">
        <v>47</v>
      </c>
      <c r="F500" s="6">
        <v>21</v>
      </c>
      <c r="G500" s="15">
        <v>0.10069444444444445</v>
      </c>
      <c r="H500" s="16">
        <v>0</v>
      </c>
      <c r="I500" s="35">
        <f ca="1">IFERROR(Tabela3[[#This Row],[Custo Total]]/Tabela3[[#This Row],[Aluminio Util]],0)</f>
        <v>26.245229563392513</v>
      </c>
      <c r="J500" s="35">
        <f ca="1">Tabela3[[#This Row],[Custo Total]]/Tabela3[[#This Row],[Realizado]]</f>
        <v>41.992367301428025</v>
      </c>
      <c r="K500" s="37">
        <f>IFERROR(Tabela3[[#This Row],[Qtde Cx Produzida]]/Tabela3[[#This Row],[Tempo]]/24,0)</f>
        <v>8.6896551724137918</v>
      </c>
      <c r="L500" s="37">
        <f>Tabela3[[#This Row],[Qtde Cx Produzida]]*Tabela3[[#This Row],[Qdt Peça Placa]]</f>
        <v>21</v>
      </c>
      <c r="M500" s="37">
        <f>Tabela3[[#This Row],[Previsto]]-Tabela3[[#This Row],[Perda Pçs]]</f>
        <v>21</v>
      </c>
      <c r="N500" s="38">
        <f>IFERROR(Tabela3[[#This Row],[Perda Pçs]]/Tabela3[[#This Row],[Previsto]],0)</f>
        <v>0</v>
      </c>
      <c r="O500" s="39">
        <f>IFERROR(IF(Tabela3[[#This Row],[Qtde Cx Produzida]] &lt;&gt; 0, Tabela3[[#This Row],[Tempo]] / Tabela3[[#This Row],[Qtde Cx Produzida]], 0),0)</f>
        <v>4.7949735449735447E-3</v>
      </c>
      <c r="P500" s="57">
        <f>IFERROR(Tabela3[[#This Row],[Perda Pçs]]/Tabela3[[#This Row],[Qdt Peça Placa]],0)</f>
        <v>0</v>
      </c>
      <c r="Q500" s="37">
        <f>IFERROR(Tabela3[[#This Row],[Realizado]]*Tabela3[[#This Row],[Peso Util/Pç]],0)</f>
        <v>33.6</v>
      </c>
      <c r="R500" s="37">
        <f>IFERROR(Tabela3[[#This Row],[Peso Total Galho]]*Tabela3[[#This Row],[Qtde Cx Produzida]]*1.055,0)</f>
        <v>44.309999999999995</v>
      </c>
      <c r="S500" s="37">
        <f>(Tabela3[[#This Row],[Aluminio Bruto]]-Tabela3[[#This Row],[Aluminio Util]])*0.9</f>
        <v>9.638999999999994</v>
      </c>
      <c r="T500" s="37">
        <f>Tabela3[[#This Row],[Aluminio Bruto]]/OleoKGAluminio</f>
        <v>18.64115970772043</v>
      </c>
      <c r="U500" s="35">
        <f>IFERROR((VLOOKUP(Tabela3[[#This Row],[Moldador]],Tabela1[],5,)+(VLOOKUP(Tabela3[[#This Row],[Ajudante]],Tabela1[],5,))*3.5),0)</f>
        <v>99.95034583333333</v>
      </c>
      <c r="V500" s="35">
        <f>IFERROR(Tabela3[[#This Row],[Custo M.O. / H]]/((Tabela3[[#This Row],[Realizado]]/Tabela3[[#This Row],[Qdt Peça Placa]])/Tabela3[[#This Row],[Tempo]]/24),)</f>
        <v>11.502222337962964</v>
      </c>
      <c r="W500" s="35">
        <f>Tabela3[[#This Row],[Custo / Cx Moldada]]*Tabela3[[#This Row],[Qtde Cx Produzida]]</f>
        <v>241.54666909722224</v>
      </c>
      <c r="X500" s="35">
        <f ca="1">Tabela3[[#This Row],[Aluminio Util]]*Tabela3[[#This Row],[Custo/Kg]]</f>
        <v>591.36000000000013</v>
      </c>
      <c r="Y500" s="35">
        <f>IFERROR(VLOOKUP(Tabela3[[#This Row],[Data]],Tabela461213[],2,1)*(Tabela3[[#This Row],[Qtde Cx Produzida]]*Tabela3[[#This Row],[Qde macho / CX]]*Tabela3[[#This Row],[Peso Macho]]),)</f>
        <v>0</v>
      </c>
      <c r="Z500" s="35">
        <f>IFERROR(Tabela3[[#This Row],[Qtde Oleo]]*(VLOOKUP(Tabela3[[#This Row],[Data]],CompraOleo[],3,TRUE))*1.05,0)</f>
        <v>48.933044232766129</v>
      </c>
      <c r="AA500" s="47">
        <f ca="1">(Tabela3[[#This Row],[Custo Oleo]]+Tabela3[[#This Row],[Custo Aluminio]]+Tabela3[[#This Row],[Custo M.O. Total]]+Tabela3[[#This Row],[Custo Machos]])</f>
        <v>881.83971332998851</v>
      </c>
      <c r="AB500" s="47">
        <f ca="1">Tabela3[[#This Row],[Custo Total]]*Tabela3[[#This Row],[% Perda]]</f>
        <v>0</v>
      </c>
      <c r="AC500" s="48">
        <f>IFERROR(VLOOKUP(Tabela3[[#This Row],[Produto]],Tabela2[],2,0),0)</f>
        <v>1</v>
      </c>
      <c r="AD500" s="48">
        <f>IFERROR(VLOOKUP(Tabela3[[#This Row],[Produto]],Tabela2[],3,0),0)</f>
        <v>1.6</v>
      </c>
      <c r="AE500" s="48">
        <f>IFERROR(VLOOKUP(Tabela3[[#This Row],[Produto]],Tabela2[],4,0),0)</f>
        <v>2</v>
      </c>
      <c r="AF500" s="48">
        <f>IFERROR(VLOOKUP(Tabela3[[#This Row],[Produto]],Tabela2[],5,0),0)</f>
        <v>0.35999999999999993</v>
      </c>
      <c r="AG500" s="40">
        <f>IFERROR(VLOOKUP(Tabela3[[#This Row],[Produto]],Tabela2[],6,0),0)</f>
        <v>0</v>
      </c>
      <c r="AH500" s="40">
        <f>IFERROR(VLOOKUP(Tabela3[[#This Row],[Produto]],Tabela2[],7,0),0)</f>
        <v>0</v>
      </c>
      <c r="AI500" s="40">
        <f>IFERROR(VLOOKUP(Tabela3[[#This Row],[Produto]],Tabela2[],8,0),0)</f>
        <v>0</v>
      </c>
      <c r="AJ500" s="35">
        <f ca="1">IFERROR(VLOOKUP(Tabela3[[#This Row],[Produto]],Tabela2[],13,0),0)</f>
        <v>17.600000000000001</v>
      </c>
      <c r="AK500" s="40" t="str">
        <f>IFERROR(VLOOKUP(Tabela3[[#This Row],[Produto]],Tabela2[],14,0),0)</f>
        <v>Danilo</v>
      </c>
      <c r="AL500" s="40">
        <f>IFERROR(VLOOKUP(Tabela3[[#This Row],[Produto]],Tabela2[],15,0),0)</f>
        <v>0</v>
      </c>
      <c r="AM500" s="36">
        <f ca="1">(Tabela3[[#This Row],[Custo Usinagem]]+Tabela3[[#This Row],[Custo / Pç]])*1.2</f>
        <v>50.390840761713626</v>
      </c>
      <c r="AN500" s="36">
        <f ca="1">Tabela3[[#This Row],[Valor Mínimo Venda]]*1.15</f>
        <v>57.949466875970664</v>
      </c>
      <c r="AO500" s="36">
        <f ca="1">Tabela3[[#This Row],[Tabela 1]]*1.08</f>
        <v>62.585424226048325</v>
      </c>
      <c r="AP500" s="36">
        <f ca="1">Tabela3[[#This Row],[Tabela 2]]*1.15</f>
        <v>71.973237859955574</v>
      </c>
    </row>
    <row r="501" spans="1:42">
      <c r="A501" s="9">
        <v>45873</v>
      </c>
      <c r="B501" s="6" t="s">
        <v>221</v>
      </c>
      <c r="C501" s="14">
        <v>7325</v>
      </c>
      <c r="D501" s="6" t="s">
        <v>46</v>
      </c>
      <c r="E501" s="6" t="s">
        <v>53</v>
      </c>
      <c r="F501" s="6">
        <v>15</v>
      </c>
      <c r="G501" s="15">
        <v>8.0555555555555561E-2</v>
      </c>
      <c r="H501" s="16">
        <v>0</v>
      </c>
      <c r="I501" s="35">
        <f ca="1">IFERROR(Tabela3[[#This Row],[Custo Total]]/Tabela3[[#This Row],[Aluminio Util]],0)</f>
        <v>24.182700019124535</v>
      </c>
      <c r="J501" s="35">
        <f ca="1">Tabela3[[#This Row],[Custo Total]]/Tabela3[[#This Row],[Realizado]]</f>
        <v>3.0712029024288157</v>
      </c>
      <c r="K501" s="37">
        <f>IFERROR(Tabela3[[#This Row],[Qtde Cx Produzida]]/Tabela3[[#This Row],[Tempo]]/24,0)</f>
        <v>7.7586206896551717</v>
      </c>
      <c r="L501" s="37">
        <f>Tabela3[[#This Row],[Qtde Cx Produzida]]*Tabela3[[#This Row],[Qdt Peça Placa]]</f>
        <v>270</v>
      </c>
      <c r="M501" s="37">
        <f>Tabela3[[#This Row],[Previsto]]-Tabela3[[#This Row],[Perda Pçs]]</f>
        <v>270</v>
      </c>
      <c r="N501" s="38">
        <f>IFERROR(Tabela3[[#This Row],[Perda Pçs]]/Tabela3[[#This Row],[Previsto]],0)</f>
        <v>0</v>
      </c>
      <c r="O501" s="39">
        <f>IFERROR(IF(Tabela3[[#This Row],[Qtde Cx Produzida]] &lt;&gt; 0, Tabela3[[#This Row],[Tempo]] / Tabela3[[#This Row],[Qtde Cx Produzida]], 0),0)</f>
        <v>5.3703703703703708E-3</v>
      </c>
      <c r="P501" s="57">
        <f>IFERROR(Tabela3[[#This Row],[Perda Pçs]]/Tabela3[[#This Row],[Qdt Peça Placa]],0)</f>
        <v>0</v>
      </c>
      <c r="Q501" s="37">
        <f>IFERROR(Tabela3[[#This Row],[Realizado]]*Tabela3[[#This Row],[Peso Util/Pç]],0)</f>
        <v>34.29</v>
      </c>
      <c r="R501" s="37">
        <f>IFERROR(Tabela3[[#This Row],[Peso Total Galho]]*Tabela3[[#This Row],[Qtde Cx Produzida]]*1.055,0)</f>
        <v>61.400999999999989</v>
      </c>
      <c r="S501" s="37">
        <f>(Tabela3[[#This Row],[Aluminio Bruto]]-Tabela3[[#This Row],[Aluminio Util]])*0.9</f>
        <v>24.399899999999992</v>
      </c>
      <c r="T501" s="37">
        <f>Tabela3[[#This Row],[Aluminio Bruto]]/OleoKGAluminio</f>
        <v>25.831321309269736</v>
      </c>
      <c r="U501" s="35">
        <f>IFERROR((VLOOKUP(Tabela3[[#This Row],[Moldador]],Tabela1[],5,)+(VLOOKUP(Tabela3[[#This Row],[Ajudante]],Tabela1[],5,))*3.5),0)</f>
        <v>99.95034583333333</v>
      </c>
      <c r="V501" s="35">
        <f>IFERROR(Tabela3[[#This Row],[Custo M.O. / H]]/((Tabela3[[#This Row],[Realizado]]/Tabela3[[#This Row],[Qdt Peça Placa]])/Tabela3[[#This Row],[Tempo]]/24),)</f>
        <v>12.88248901851852</v>
      </c>
      <c r="W501" s="35">
        <f>Tabela3[[#This Row],[Custo / Cx Moldada]]*Tabela3[[#This Row],[Qtde Cx Produzida]]</f>
        <v>193.23733527777779</v>
      </c>
      <c r="X501" s="35">
        <f ca="1">Tabela3[[#This Row],[Aluminio Util]]*Tabela3[[#This Row],[Custo/Kg]]</f>
        <v>568.18022994116939</v>
      </c>
      <c r="Y501" s="35">
        <f>IFERROR(VLOOKUP(Tabela3[[#This Row],[Data]],Tabela461213[],2,1)*(Tabela3[[#This Row],[Qtde Cx Produzida]]*Tabela3[[#This Row],[Qde macho / CX]]*Tabela3[[#This Row],[Peso Macho]]),)</f>
        <v>0</v>
      </c>
      <c r="Z501" s="35">
        <f>IFERROR(Tabela3[[#This Row],[Qtde Oleo]]*(VLOOKUP(Tabela3[[#This Row],[Data]],CompraOleo[],3,TRUE))*1.05,0)</f>
        <v>67.807218436833068</v>
      </c>
      <c r="AA501" s="47">
        <f ca="1">(Tabela3[[#This Row],[Custo Oleo]]+Tabela3[[#This Row],[Custo Aluminio]]+Tabela3[[#This Row],[Custo M.O. Total]]+Tabela3[[#This Row],[Custo Machos]])</f>
        <v>829.22478365578024</v>
      </c>
      <c r="AB501" s="47">
        <f ca="1">Tabela3[[#This Row],[Custo Total]]*Tabela3[[#This Row],[% Perda]]</f>
        <v>0</v>
      </c>
      <c r="AC501" s="48">
        <f>IFERROR(VLOOKUP(Tabela3[[#This Row],[Produto]],Tabela2[],2,0),0)</f>
        <v>18</v>
      </c>
      <c r="AD501" s="48">
        <f>IFERROR(VLOOKUP(Tabela3[[#This Row],[Produto]],Tabela2[],3,0),0)</f>
        <v>0.127</v>
      </c>
      <c r="AE501" s="48">
        <f>IFERROR(VLOOKUP(Tabela3[[#This Row],[Produto]],Tabela2[],4,0),0)</f>
        <v>3.88</v>
      </c>
      <c r="AF501" s="48">
        <f>IFERROR(VLOOKUP(Tabela3[[#This Row],[Produto]],Tabela2[],5,0),0)</f>
        <v>1.4345999999999999</v>
      </c>
      <c r="AG501" s="40">
        <f>IFERROR(VLOOKUP(Tabela3[[#This Row],[Produto]],Tabela2[],6,0),0)</f>
        <v>0</v>
      </c>
      <c r="AH501" s="40">
        <f>IFERROR(VLOOKUP(Tabela3[[#This Row],[Produto]],Tabela2[],7,0),0)</f>
        <v>0</v>
      </c>
      <c r="AI501" s="40">
        <f>IFERROR(VLOOKUP(Tabela3[[#This Row],[Produto]],Tabela2[],8,0),0)</f>
        <v>0</v>
      </c>
      <c r="AJ501" s="35">
        <f ca="1">IFERROR(VLOOKUP(Tabela3[[#This Row],[Produto]],Tabela2[],13,0),0)</f>
        <v>16.569852141766386</v>
      </c>
      <c r="AK501" s="40" t="str">
        <f>IFERROR(VLOOKUP(Tabela3[[#This Row],[Produto]],Tabela2[],14,0),0)</f>
        <v>Marcelo</v>
      </c>
      <c r="AL501" s="40">
        <f>IFERROR(VLOOKUP(Tabela3[[#This Row],[Produto]],Tabela2[],15,0),0)</f>
        <v>0</v>
      </c>
      <c r="AM501" s="36">
        <f ca="1">(Tabela3[[#This Row],[Custo Usinagem]]+Tabela3[[#This Row],[Custo / Pç]])*1.2</f>
        <v>3.6854434829145788</v>
      </c>
      <c r="AN501" s="36">
        <f ca="1">Tabela3[[#This Row],[Valor Mínimo Venda]]*1.15</f>
        <v>4.2382600053517656</v>
      </c>
      <c r="AO501" s="36">
        <f ca="1">Tabela3[[#This Row],[Tabela 1]]*1.08</f>
        <v>4.5773208057799071</v>
      </c>
      <c r="AP501" s="36">
        <f ca="1">Tabela3[[#This Row],[Tabela 2]]*1.15</f>
        <v>5.2639189266468929</v>
      </c>
    </row>
    <row r="502" spans="1:42">
      <c r="A502" s="9">
        <v>45873</v>
      </c>
      <c r="B502" s="6" t="s">
        <v>223</v>
      </c>
      <c r="C502" s="14">
        <v>7326</v>
      </c>
      <c r="D502" s="6" t="s">
        <v>46</v>
      </c>
      <c r="E502" s="6" t="s">
        <v>53</v>
      </c>
      <c r="F502" s="6">
        <v>43</v>
      </c>
      <c r="G502" s="15">
        <v>0.26874999999999999</v>
      </c>
      <c r="H502" s="16">
        <v>0</v>
      </c>
      <c r="I502" s="35">
        <f ca="1">IFERROR(Tabela3[[#This Row],[Custo Total]]/Tabela3[[#This Row],[Aluminio Util]],0)</f>
        <v>22.764677848852926</v>
      </c>
      <c r="J502" s="35">
        <f ca="1">Tabela3[[#This Row],[Custo Total]]/Tabela3[[#This Row],[Realizado]]</f>
        <v>2.3675264962807039</v>
      </c>
      <c r="K502" s="37">
        <f>IFERROR(Tabela3[[#This Row],[Qtde Cx Produzida]]/Tabela3[[#This Row],[Tempo]]/24,0)</f>
        <v>6.666666666666667</v>
      </c>
      <c r="L502" s="37">
        <f>Tabela3[[#This Row],[Qtde Cx Produzida]]*Tabela3[[#This Row],[Qdt Peça Placa]]</f>
        <v>1419</v>
      </c>
      <c r="M502" s="37">
        <f>Tabela3[[#This Row],[Previsto]]-Tabela3[[#This Row],[Perda Pçs]]</f>
        <v>1419</v>
      </c>
      <c r="N502" s="38">
        <f>IFERROR(Tabela3[[#This Row],[Perda Pçs]]/Tabela3[[#This Row],[Previsto]],0)</f>
        <v>0</v>
      </c>
      <c r="O502" s="39">
        <f>IFERROR(IF(Tabela3[[#This Row],[Qtde Cx Produzida]] &lt;&gt; 0, Tabela3[[#This Row],[Tempo]] / Tabela3[[#This Row],[Qtde Cx Produzida]], 0),0)</f>
        <v>6.2499999999999995E-3</v>
      </c>
      <c r="P502" s="57">
        <f>IFERROR(Tabela3[[#This Row],[Perda Pçs]]/Tabela3[[#This Row],[Qdt Peça Placa]],0)</f>
        <v>0</v>
      </c>
      <c r="Q502" s="37">
        <f>IFERROR(Tabela3[[#This Row],[Realizado]]*Tabela3[[#This Row],[Peso Util/Pç]],0)</f>
        <v>147.57599999999999</v>
      </c>
      <c r="R502" s="37">
        <f>IFERROR(Tabela3[[#This Row],[Peso Total Galho]]*Tabela3[[#This Row],[Qtde Cx Produzida]]*1.055,0)</f>
        <v>244.06369999999998</v>
      </c>
      <c r="S502" s="37">
        <f>(Tabela3[[#This Row],[Aluminio Bruto]]-Tabela3[[#This Row],[Aluminio Util]])*0.9</f>
        <v>86.838929999999991</v>
      </c>
      <c r="T502" s="37">
        <f>Tabela3[[#This Row],[Aluminio Bruto]]/OleoKGAluminio</f>
        <v>102.67728301866772</v>
      </c>
      <c r="U502" s="35">
        <f>IFERROR((VLOOKUP(Tabela3[[#This Row],[Moldador]],Tabela1[],5,)+(VLOOKUP(Tabela3[[#This Row],[Ajudante]],Tabela1[],5,))*3.5),0)</f>
        <v>99.95034583333333</v>
      </c>
      <c r="V502" s="35">
        <f>IFERROR(Tabela3[[#This Row],[Custo M.O. / H]]/((Tabela3[[#This Row],[Realizado]]/Tabela3[[#This Row],[Qdt Peça Placa]])/Tabela3[[#This Row],[Tempo]]/24),)</f>
        <v>14.992551874999998</v>
      </c>
      <c r="W502" s="35">
        <f>Tabela3[[#This Row],[Custo / Cx Moldada]]*Tabela3[[#This Row],[Qtde Cx Produzida]]</f>
        <v>644.67973062499993</v>
      </c>
      <c r="X502" s="35">
        <f ca="1">Tabela3[[#This Row],[Aluminio Util]]*Tabela3[[#This Row],[Custo/Kg]]</f>
        <v>2445.3124996733163</v>
      </c>
      <c r="Y502" s="35">
        <f>IFERROR(VLOOKUP(Tabela3[[#This Row],[Data]],Tabela461213[],2,1)*(Tabela3[[#This Row],[Qtde Cx Produzida]]*Tabela3[[#This Row],[Qde macho / CX]]*Tabela3[[#This Row],[Peso Macho]]),)</f>
        <v>0</v>
      </c>
      <c r="Z502" s="35">
        <f>IFERROR(Tabela3[[#This Row],[Qtde Oleo]]*(VLOOKUP(Tabela3[[#This Row],[Data]],CompraOleo[],3,TRUE))*1.05,0)</f>
        <v>269.52786792400281</v>
      </c>
      <c r="AA502" s="47">
        <f ca="1">(Tabela3[[#This Row],[Custo Oleo]]+Tabela3[[#This Row],[Custo Aluminio]]+Tabela3[[#This Row],[Custo M.O. Total]]+Tabela3[[#This Row],[Custo Machos]])</f>
        <v>3359.5200982223191</v>
      </c>
      <c r="AB502" s="47">
        <f ca="1">Tabela3[[#This Row],[Custo Total]]*Tabela3[[#This Row],[% Perda]]</f>
        <v>0</v>
      </c>
      <c r="AC502" s="48">
        <f>IFERROR(VLOOKUP(Tabela3[[#This Row],[Produto]],Tabela2[],2,0),0)</f>
        <v>33</v>
      </c>
      <c r="AD502" s="48">
        <f>IFERROR(VLOOKUP(Tabela3[[#This Row],[Produto]],Tabela2[],3,0),0)</f>
        <v>0.104</v>
      </c>
      <c r="AE502" s="48">
        <f>IFERROR(VLOOKUP(Tabela3[[#This Row],[Produto]],Tabela2[],4,0),0)</f>
        <v>5.38</v>
      </c>
      <c r="AF502" s="48">
        <f>IFERROR(VLOOKUP(Tabela3[[#This Row],[Produto]],Tabela2[],5,0),0)</f>
        <v>1.7532000000000001</v>
      </c>
      <c r="AG502" s="40">
        <f>IFERROR(VLOOKUP(Tabela3[[#This Row],[Produto]],Tabela2[],6,0),0)</f>
        <v>0</v>
      </c>
      <c r="AH502" s="40">
        <f>IFERROR(VLOOKUP(Tabela3[[#This Row],[Produto]],Tabela2[],7,0),0)</f>
        <v>0</v>
      </c>
      <c r="AI502" s="40">
        <f>IFERROR(VLOOKUP(Tabela3[[#This Row],[Produto]],Tabela2[],8,0),0)</f>
        <v>0</v>
      </c>
      <c r="AJ502" s="35">
        <f ca="1">IFERROR(VLOOKUP(Tabela3[[#This Row],[Produto]],Tabela2[],13,0),0)</f>
        <v>16.569852141766386</v>
      </c>
      <c r="AK502" s="40" t="str">
        <f>IFERROR(VLOOKUP(Tabela3[[#This Row],[Produto]],Tabela2[],14,0),0)</f>
        <v>Marcelo</v>
      </c>
      <c r="AL502" s="40">
        <f>IFERROR(VLOOKUP(Tabela3[[#This Row],[Produto]],Tabela2[],15,0),0)</f>
        <v>0</v>
      </c>
      <c r="AM502" s="36">
        <f ca="1">(Tabela3[[#This Row],[Custo Usinagem]]+Tabela3[[#This Row],[Custo / Pç]])*1.2</f>
        <v>2.8410317955368445</v>
      </c>
      <c r="AN502" s="36">
        <f ca="1">Tabela3[[#This Row],[Valor Mínimo Venda]]*1.15</f>
        <v>3.2671865648673708</v>
      </c>
      <c r="AO502" s="36">
        <f ca="1">Tabela3[[#This Row],[Tabela 1]]*1.08</f>
        <v>3.5285614900567608</v>
      </c>
      <c r="AP502" s="36">
        <f ca="1">Tabela3[[#This Row],[Tabela 2]]*1.15</f>
        <v>4.0578457135652748</v>
      </c>
    </row>
    <row r="503" spans="1:42">
      <c r="A503" s="9">
        <v>45873</v>
      </c>
      <c r="B503" s="6" t="s">
        <v>229</v>
      </c>
      <c r="C503" s="14">
        <v>7328</v>
      </c>
      <c r="D503" s="6" t="s">
        <v>44</v>
      </c>
      <c r="E503" s="6" t="s">
        <v>47</v>
      </c>
      <c r="F503" s="6">
        <v>22</v>
      </c>
      <c r="G503" s="15">
        <v>9.3055555555555558E-2</v>
      </c>
      <c r="H503" s="16">
        <v>0</v>
      </c>
      <c r="I503" s="35">
        <f ca="1">IFERROR(Tabela3[[#This Row],[Custo Total]]/Tabela3[[#This Row],[Aluminio Util]],0)</f>
        <v>20.764630222233269</v>
      </c>
      <c r="J503" s="35">
        <f ca="1">Tabela3[[#This Row],[Custo Total]]/Tabela3[[#This Row],[Realizado]]</f>
        <v>57.891789059586351</v>
      </c>
      <c r="K503" s="37">
        <f>IFERROR(Tabela3[[#This Row],[Qtde Cx Produzida]]/Tabela3[[#This Row],[Tempo]]/24,0)</f>
        <v>9.8507462686567155</v>
      </c>
      <c r="L503" s="37">
        <f>Tabela3[[#This Row],[Qtde Cx Produzida]]*Tabela3[[#This Row],[Qdt Peça Placa]]</f>
        <v>22</v>
      </c>
      <c r="M503" s="37">
        <f>Tabela3[[#This Row],[Previsto]]-Tabela3[[#This Row],[Perda Pçs]]</f>
        <v>22</v>
      </c>
      <c r="N503" s="38">
        <f>IFERROR(Tabela3[[#This Row],[Perda Pçs]]/Tabela3[[#This Row],[Previsto]],0)</f>
        <v>0</v>
      </c>
      <c r="O503" s="39">
        <f>IFERROR(IF(Tabela3[[#This Row],[Qtde Cx Produzida]] &lt;&gt; 0, Tabela3[[#This Row],[Tempo]] / Tabela3[[#This Row],[Qtde Cx Produzida]], 0),0)</f>
        <v>4.2297979797979801E-3</v>
      </c>
      <c r="P503" s="57">
        <f>IFERROR(Tabela3[[#This Row],[Perda Pçs]]/Tabela3[[#This Row],[Qdt Peça Placa]],0)</f>
        <v>0</v>
      </c>
      <c r="Q503" s="37">
        <f>IFERROR(Tabela3[[#This Row],[Realizado]]*Tabela3[[#This Row],[Peso Util/Pç]],0)</f>
        <v>61.335999999999999</v>
      </c>
      <c r="R503" s="37">
        <f>IFERROR(Tabela3[[#This Row],[Peso Total Galho]]*Tabela3[[#This Row],[Qtde Cx Produzida]]*1.055,0)</f>
        <v>84.716499999999996</v>
      </c>
      <c r="S503" s="37">
        <f>(Tabela3[[#This Row],[Aluminio Bruto]]-Tabela3[[#This Row],[Aluminio Util]])*0.9</f>
        <v>21.042449999999999</v>
      </c>
      <c r="T503" s="37">
        <f>Tabela3[[#This Row],[Aluminio Bruto]]/OleoKGAluminio</f>
        <v>35.640122012617866</v>
      </c>
      <c r="U503" s="35">
        <f>IFERROR((VLOOKUP(Tabela3[[#This Row],[Moldador]],Tabela1[],5,)+(VLOOKUP(Tabela3[[#This Row],[Ajudante]],Tabela1[],5,))*3.5),0)</f>
        <v>99.95034583333333</v>
      </c>
      <c r="V503" s="35">
        <f>IFERROR(Tabela3[[#This Row],[Custo M.O. / H]]/((Tabela3[[#This Row],[Realizado]]/Tabela3[[#This Row],[Qdt Peça Placa]])/Tabela3[[#This Row],[Tempo]]/24),)</f>
        <v>10.146474501262627</v>
      </c>
      <c r="W503" s="35">
        <f>Tabela3[[#This Row],[Custo / Cx Moldada]]*Tabela3[[#This Row],[Qtde Cx Produzida]]</f>
        <v>223.2224390277778</v>
      </c>
      <c r="X503" s="35">
        <f ca="1">Tabela3[[#This Row],[Aluminio Util]]*Tabela3[[#This Row],[Custo/Kg]]</f>
        <v>956.84160000000008</v>
      </c>
      <c r="Y503" s="35">
        <f>IFERROR(VLOOKUP(Tabela3[[#This Row],[Data]],Tabela461213[],2,1)*(Tabela3[[#This Row],[Qtde Cx Produzida]]*Tabela3[[#This Row],[Qde macho / CX]]*Tabela3[[#This Row],[Peso Macho]]),)</f>
        <v>0</v>
      </c>
      <c r="Z503" s="35">
        <f>IFERROR(Tabela3[[#This Row],[Qtde Oleo]]*(VLOOKUP(Tabela3[[#This Row],[Data]],CompraOleo[],3,TRUE))*1.05,0)</f>
        <v>93.555320283121901</v>
      </c>
      <c r="AA503" s="47">
        <f ca="1">(Tabela3[[#This Row],[Custo Oleo]]+Tabela3[[#This Row],[Custo Aluminio]]+Tabela3[[#This Row],[Custo M.O. Total]]+Tabela3[[#This Row],[Custo Machos]])</f>
        <v>1273.6193593108997</v>
      </c>
      <c r="AB503" s="47">
        <f ca="1">Tabela3[[#This Row],[Custo Total]]*Tabela3[[#This Row],[% Perda]]</f>
        <v>0</v>
      </c>
      <c r="AC503" s="48">
        <f>IFERROR(VLOOKUP(Tabela3[[#This Row],[Produto]],Tabela2[],2,0),0)</f>
        <v>1</v>
      </c>
      <c r="AD503" s="48">
        <f>IFERROR(VLOOKUP(Tabela3[[#This Row],[Produto]],Tabela2[],3,0),0)</f>
        <v>2.7879999999999998</v>
      </c>
      <c r="AE503" s="48">
        <f>IFERROR(VLOOKUP(Tabela3[[#This Row],[Produto]],Tabela2[],4,0),0)</f>
        <v>3.65</v>
      </c>
      <c r="AF503" s="48">
        <f>IFERROR(VLOOKUP(Tabela3[[#This Row],[Produto]],Tabela2[],5,0),0)</f>
        <v>0.77580000000000016</v>
      </c>
      <c r="AG503" s="40">
        <f>IFERROR(VLOOKUP(Tabela3[[#This Row],[Produto]],Tabela2[],6,0),0)</f>
        <v>0</v>
      </c>
      <c r="AH503" s="40">
        <f>IFERROR(VLOOKUP(Tabela3[[#This Row],[Produto]],Tabela2[],7,0),0)</f>
        <v>0</v>
      </c>
      <c r="AI503" s="40">
        <f>IFERROR(VLOOKUP(Tabela3[[#This Row],[Produto]],Tabela2[],8,0),0)</f>
        <v>0</v>
      </c>
      <c r="AJ503" s="35">
        <f ca="1">IFERROR(VLOOKUP(Tabela3[[#This Row],[Produto]],Tabela2[],13,0),0)</f>
        <v>15.600000000000001</v>
      </c>
      <c r="AK503" s="40" t="str">
        <f>IFERROR(VLOOKUP(Tabela3[[#This Row],[Produto]],Tabela2[],14,0),0)</f>
        <v>Jumil</v>
      </c>
      <c r="AL503" s="40">
        <f>IFERROR(VLOOKUP(Tabela3[[#This Row],[Produto]],Tabela2[],15,0),0)</f>
        <v>35</v>
      </c>
      <c r="AM503" s="36">
        <f ca="1">(Tabela3[[#This Row],[Custo Usinagem]]+Tabela3[[#This Row],[Custo / Pç]])*1.2</f>
        <v>111.47014687150363</v>
      </c>
      <c r="AN503" s="36">
        <f ca="1">Tabela3[[#This Row],[Valor Mínimo Venda]]*1.15</f>
        <v>128.19066890222916</v>
      </c>
      <c r="AO503" s="36">
        <f ca="1">Tabela3[[#This Row],[Tabela 1]]*1.08</f>
        <v>138.44592241440751</v>
      </c>
      <c r="AP503" s="36">
        <f ca="1">Tabela3[[#This Row],[Tabela 2]]*1.15</f>
        <v>159.21281077656863</v>
      </c>
    </row>
    <row r="504" spans="1:42">
      <c r="A504" s="9">
        <v>45873</v>
      </c>
      <c r="B504" s="6" t="s">
        <v>245</v>
      </c>
      <c r="C504" s="14">
        <v>7435</v>
      </c>
      <c r="D504" s="6" t="s">
        <v>44</v>
      </c>
      <c r="E504" s="6" t="s">
        <v>47</v>
      </c>
      <c r="F504" s="6">
        <v>53</v>
      </c>
      <c r="G504" s="15">
        <v>0.25486111111111109</v>
      </c>
      <c r="H504" s="16">
        <v>0</v>
      </c>
      <c r="I504" s="35">
        <f ca="1">IFERROR(Tabela3[[#This Row],[Custo Total]]/Tabela3[[#This Row],[Aluminio Util]],0)</f>
        <v>26.303928225218097</v>
      </c>
      <c r="J504" s="35">
        <f ca="1">Tabela3[[#This Row],[Custo Total]]/Tabela3[[#This Row],[Realizado]]</f>
        <v>8.7329041707724091</v>
      </c>
      <c r="K504" s="37">
        <f>IFERROR(Tabela3[[#This Row],[Qtde Cx Produzida]]/Tabela3[[#This Row],[Tempo]]/24,0)</f>
        <v>8.6648501362397834</v>
      </c>
      <c r="L504" s="37">
        <f>Tabela3[[#This Row],[Qtde Cx Produzida]]*Tabela3[[#This Row],[Qdt Peça Placa]]</f>
        <v>212</v>
      </c>
      <c r="M504" s="37">
        <f>Tabela3[[#This Row],[Previsto]]-Tabela3[[#This Row],[Perda Pçs]]</f>
        <v>212</v>
      </c>
      <c r="N504" s="38">
        <f>IFERROR(Tabela3[[#This Row],[Perda Pçs]]/Tabela3[[#This Row],[Previsto]],0)</f>
        <v>0</v>
      </c>
      <c r="O504" s="39">
        <f>IFERROR(IF(Tabela3[[#This Row],[Qtde Cx Produzida]] &lt;&gt; 0, Tabela3[[#This Row],[Tempo]] / Tabela3[[#This Row],[Qtde Cx Produzida]], 0),0)</f>
        <v>4.8087002096436054E-3</v>
      </c>
      <c r="P504" s="57">
        <f>IFERROR(Tabela3[[#This Row],[Perda Pçs]]/Tabela3[[#This Row],[Qdt Peça Placa]],0)</f>
        <v>0</v>
      </c>
      <c r="Q504" s="37">
        <f>IFERROR(Tabela3[[#This Row],[Realizado]]*Tabela3[[#This Row],[Peso Util/Pç]],0)</f>
        <v>70.384</v>
      </c>
      <c r="R504" s="37">
        <f>IFERROR(Tabela3[[#This Row],[Peso Total Galho]]*Tabela3[[#This Row],[Qtde Cx Produzida]]*1.055,0)</f>
        <v>128.60449999999997</v>
      </c>
      <c r="S504" s="37">
        <f>(Tabela3[[#This Row],[Aluminio Bruto]]-Tabela3[[#This Row],[Aluminio Util]])*0.9</f>
        <v>52.398449999999976</v>
      </c>
      <c r="T504" s="37">
        <f>Tabela3[[#This Row],[Aluminio Bruto]]/OleoKGAluminio</f>
        <v>54.103746865979048</v>
      </c>
      <c r="U504" s="35">
        <f>IFERROR((VLOOKUP(Tabela3[[#This Row],[Moldador]],Tabela1[],5,)+(VLOOKUP(Tabela3[[#This Row],[Ajudante]],Tabela1[],5,))*3.5),0)</f>
        <v>99.95034583333333</v>
      </c>
      <c r="V504" s="35">
        <f>IFERROR(Tabela3[[#This Row],[Custo M.O. / H]]/((Tabela3[[#This Row],[Realizado]]/Tabela3[[#This Row],[Qdt Peça Placa]])/Tabela3[[#This Row],[Tempo]]/24),)</f>
        <v>11.535149975104819</v>
      </c>
      <c r="W504" s="35">
        <f>Tabela3[[#This Row],[Custo / Cx Moldada]]*Tabela3[[#This Row],[Qtde Cx Produzida]]</f>
        <v>611.36294868055541</v>
      </c>
      <c r="X504" s="35">
        <f ca="1">Tabela3[[#This Row],[Aluminio Util]]*Tabela3[[#This Row],[Custo/Kg]]</f>
        <v>1097.9904000000001</v>
      </c>
      <c r="Y504" s="35">
        <f>IFERROR(VLOOKUP(Tabela3[[#This Row],[Data]],Tabela461213[],2,1)*(Tabela3[[#This Row],[Qtde Cx Produzida]]*Tabela3[[#This Row],[Qde macho / CX]]*Tabela3[[#This Row],[Peso Macho]]),)</f>
        <v>0</v>
      </c>
      <c r="Z504" s="35">
        <f>IFERROR(Tabela3[[#This Row],[Qtde Oleo]]*(VLOOKUP(Tabela3[[#This Row],[Data]],CompraOleo[],3,TRUE))*1.05,0)</f>
        <v>142.02233552319498</v>
      </c>
      <c r="AA504" s="47">
        <f ca="1">(Tabela3[[#This Row],[Custo Oleo]]+Tabela3[[#This Row],[Custo Aluminio]]+Tabela3[[#This Row],[Custo M.O. Total]]+Tabela3[[#This Row],[Custo Machos]])</f>
        <v>1851.3756842037506</v>
      </c>
      <c r="AB504" s="47">
        <f ca="1">Tabela3[[#This Row],[Custo Total]]*Tabela3[[#This Row],[% Perda]]</f>
        <v>0</v>
      </c>
      <c r="AC504" s="48">
        <f>IFERROR(VLOOKUP(Tabela3[[#This Row],[Produto]],Tabela2[],2,0),0)</f>
        <v>4</v>
      </c>
      <c r="AD504" s="48">
        <f>IFERROR(VLOOKUP(Tabela3[[#This Row],[Produto]],Tabela2[],3,0),0)</f>
        <v>0.33200000000000002</v>
      </c>
      <c r="AE504" s="48">
        <f>IFERROR(VLOOKUP(Tabela3[[#This Row],[Produto]],Tabela2[],4,0),0)</f>
        <v>2.2999999999999998</v>
      </c>
      <c r="AF504" s="48">
        <f>IFERROR(VLOOKUP(Tabela3[[#This Row],[Produto]],Tabela2[],5,0),0)</f>
        <v>0.8747999999999998</v>
      </c>
      <c r="AG504" s="40">
        <f>IFERROR(VLOOKUP(Tabela3[[#This Row],[Produto]],Tabela2[],6,0),0)</f>
        <v>0</v>
      </c>
      <c r="AH504" s="40">
        <f>IFERROR(VLOOKUP(Tabela3[[#This Row],[Produto]],Tabela2[],7,0),0)</f>
        <v>0</v>
      </c>
      <c r="AI504" s="40">
        <f>IFERROR(VLOOKUP(Tabela3[[#This Row],[Produto]],Tabela2[],8,0),0)</f>
        <v>0</v>
      </c>
      <c r="AJ504" s="35">
        <f ca="1">IFERROR(VLOOKUP(Tabela3[[#This Row],[Produto]],Tabela2[],13,0),0)</f>
        <v>15.600000000000001</v>
      </c>
      <c r="AK504" s="40" t="str">
        <f>IFERROR(VLOOKUP(Tabela3[[#This Row],[Produto]],Tabela2[],14,0),0)</f>
        <v>Senun</v>
      </c>
      <c r="AL504" s="40">
        <f>IFERROR(VLOOKUP(Tabela3[[#This Row],[Produto]],Tabela2[],15,0),0)</f>
        <v>3.5</v>
      </c>
      <c r="AM504" s="36">
        <f ca="1">(Tabela3[[#This Row],[Custo Usinagem]]+Tabela3[[#This Row],[Custo / Pç]])*1.2</f>
        <v>14.679485004926891</v>
      </c>
      <c r="AN504" s="36">
        <f ca="1">Tabela3[[#This Row],[Valor Mínimo Venda]]*1.15</f>
        <v>16.881407755665922</v>
      </c>
      <c r="AO504" s="36">
        <f ca="1">Tabela3[[#This Row],[Tabela 1]]*1.08</f>
        <v>18.231920376119199</v>
      </c>
      <c r="AP504" s="36">
        <f ca="1">Tabela3[[#This Row],[Tabela 2]]*1.15</f>
        <v>20.966708432537075</v>
      </c>
    </row>
    <row r="505" spans="1:42">
      <c r="A505" s="9">
        <v>45874</v>
      </c>
      <c r="B505" s="6" t="s">
        <v>245</v>
      </c>
      <c r="C505" s="14">
        <v>7435</v>
      </c>
      <c r="D505" s="6" t="s">
        <v>44</v>
      </c>
      <c r="E505" s="6" t="s">
        <v>47</v>
      </c>
      <c r="F505" s="6">
        <v>74</v>
      </c>
      <c r="G505" s="15">
        <v>0.35902777777777778</v>
      </c>
      <c r="H505" s="16">
        <v>0</v>
      </c>
      <c r="I505" s="35">
        <f ca="1">IFERROR(Tabela3[[#This Row],[Custo Total]]/Tabela3[[#This Row],[Aluminio Util]],0)</f>
        <v>26.381648380563796</v>
      </c>
      <c r="J505" s="35">
        <f ca="1">Tabela3[[#This Row],[Custo Total]]/Tabela3[[#This Row],[Realizado]]</f>
        <v>8.7587072623471798</v>
      </c>
      <c r="K505" s="37">
        <f>IFERROR(Tabela3[[#This Row],[Qtde Cx Produzida]]/Tabela3[[#This Row],[Tempo]]/24,0)</f>
        <v>8.5880077369439061</v>
      </c>
      <c r="L505" s="37">
        <f>Tabela3[[#This Row],[Qtde Cx Produzida]]*Tabela3[[#This Row],[Qdt Peça Placa]]</f>
        <v>296</v>
      </c>
      <c r="M505" s="37">
        <f>Tabela3[[#This Row],[Previsto]]-Tabela3[[#This Row],[Perda Pçs]]</f>
        <v>296</v>
      </c>
      <c r="N505" s="38">
        <f>IFERROR(Tabela3[[#This Row],[Perda Pçs]]/Tabela3[[#This Row],[Previsto]],0)</f>
        <v>0</v>
      </c>
      <c r="O505" s="39">
        <f>IFERROR(IF(Tabela3[[#This Row],[Qtde Cx Produzida]] &lt;&gt; 0, Tabela3[[#This Row],[Tempo]] / Tabela3[[#This Row],[Qtde Cx Produzida]], 0),0)</f>
        <v>4.8517267267267263E-3</v>
      </c>
      <c r="P505" s="57">
        <f>IFERROR(Tabela3[[#This Row],[Perda Pçs]]/Tabela3[[#This Row],[Qdt Peça Placa]],0)</f>
        <v>0</v>
      </c>
      <c r="Q505" s="37">
        <f>IFERROR(Tabela3[[#This Row],[Realizado]]*Tabela3[[#This Row],[Peso Util/Pç]],0)</f>
        <v>98.272000000000006</v>
      </c>
      <c r="R505" s="37">
        <f>IFERROR(Tabela3[[#This Row],[Peso Total Galho]]*Tabela3[[#This Row],[Qtde Cx Produzida]]*1.055,0)</f>
        <v>179.56099999999998</v>
      </c>
      <c r="S505" s="37">
        <f>(Tabela3[[#This Row],[Aluminio Bruto]]-Tabela3[[#This Row],[Aluminio Util]])*0.9</f>
        <v>73.160099999999971</v>
      </c>
      <c r="T505" s="37">
        <f>Tabela3[[#This Row],[Aluminio Bruto]]/OleoKGAluminio</f>
        <v>75.541080529857538</v>
      </c>
      <c r="U505" s="35">
        <f>IFERROR((VLOOKUP(Tabela3[[#This Row],[Moldador]],Tabela1[],5,)+(VLOOKUP(Tabela3[[#This Row],[Ajudante]],Tabela1[],5,))*3.5),0)</f>
        <v>99.95034583333333</v>
      </c>
      <c r="V505" s="35">
        <f>IFERROR(Tabela3[[#This Row],[Custo M.O. / H]]/((Tabela3[[#This Row],[Realizado]]/Tabela3[[#This Row],[Qdt Peça Placa]])/Tabela3[[#This Row],[Tempo]]/24),)</f>
        <v>11.638362341403905</v>
      </c>
      <c r="W505" s="35">
        <f>Tabela3[[#This Row],[Custo / Cx Moldada]]*Tabela3[[#This Row],[Qtde Cx Produzida]]</f>
        <v>861.23881326388891</v>
      </c>
      <c r="X505" s="35">
        <f ca="1">Tabela3[[#This Row],[Aluminio Util]]*Tabela3[[#This Row],[Custo/Kg]]</f>
        <v>1533.0432000000003</v>
      </c>
      <c r="Y505" s="35">
        <f>IFERROR(VLOOKUP(Tabela3[[#This Row],[Data]],Tabela461213[],2,1)*(Tabela3[[#This Row],[Qtde Cx Produzida]]*Tabela3[[#This Row],[Qde macho / CX]]*Tabela3[[#This Row],[Peso Macho]]),)</f>
        <v>0</v>
      </c>
      <c r="Z505" s="35">
        <f>IFERROR(Tabela3[[#This Row],[Qtde Oleo]]*(VLOOKUP(Tabela3[[#This Row],[Data]],CompraOleo[],3,TRUE))*1.05,0)</f>
        <v>198.29533639087606</v>
      </c>
      <c r="AA505" s="47">
        <f ca="1">(Tabela3[[#This Row],[Custo Oleo]]+Tabela3[[#This Row],[Custo Aluminio]]+Tabela3[[#This Row],[Custo M.O. Total]]+Tabela3[[#This Row],[Custo Machos]])</f>
        <v>2592.5773496547654</v>
      </c>
      <c r="AB505" s="47">
        <f ca="1">Tabela3[[#This Row],[Custo Total]]*Tabela3[[#This Row],[% Perda]]</f>
        <v>0</v>
      </c>
      <c r="AC505" s="48">
        <f>IFERROR(VLOOKUP(Tabela3[[#This Row],[Produto]],Tabela2[],2,0),0)</f>
        <v>4</v>
      </c>
      <c r="AD505" s="48">
        <f>IFERROR(VLOOKUP(Tabela3[[#This Row],[Produto]],Tabela2[],3,0),0)</f>
        <v>0.33200000000000002</v>
      </c>
      <c r="AE505" s="48">
        <f>IFERROR(VLOOKUP(Tabela3[[#This Row],[Produto]],Tabela2[],4,0),0)</f>
        <v>2.2999999999999998</v>
      </c>
      <c r="AF505" s="48">
        <f>IFERROR(VLOOKUP(Tabela3[[#This Row],[Produto]],Tabela2[],5,0),0)</f>
        <v>0.8747999999999998</v>
      </c>
      <c r="AG505" s="40">
        <f>IFERROR(VLOOKUP(Tabela3[[#This Row],[Produto]],Tabela2[],6,0),0)</f>
        <v>0</v>
      </c>
      <c r="AH505" s="40">
        <f>IFERROR(VLOOKUP(Tabela3[[#This Row],[Produto]],Tabela2[],7,0),0)</f>
        <v>0</v>
      </c>
      <c r="AI505" s="40">
        <f>IFERROR(VLOOKUP(Tabela3[[#This Row],[Produto]],Tabela2[],8,0),0)</f>
        <v>0</v>
      </c>
      <c r="AJ505" s="35">
        <f ca="1">IFERROR(VLOOKUP(Tabela3[[#This Row],[Produto]],Tabela2[],13,0),0)</f>
        <v>15.600000000000001</v>
      </c>
      <c r="AK505" s="40" t="str">
        <f>IFERROR(VLOOKUP(Tabela3[[#This Row],[Produto]],Tabela2[],14,0),0)</f>
        <v>Senun</v>
      </c>
      <c r="AL505" s="40">
        <f>IFERROR(VLOOKUP(Tabela3[[#This Row],[Produto]],Tabela2[],15,0),0)</f>
        <v>3.5</v>
      </c>
      <c r="AM505" s="36">
        <f ca="1">(Tabela3[[#This Row],[Custo Usinagem]]+Tabela3[[#This Row],[Custo / Pç]])*1.2</f>
        <v>14.710448714816614</v>
      </c>
      <c r="AN505" s="36">
        <f ca="1">Tabela3[[#This Row],[Valor Mínimo Venda]]*1.15</f>
        <v>16.917016022039107</v>
      </c>
      <c r="AO505" s="36">
        <f ca="1">Tabela3[[#This Row],[Tabela 1]]*1.08</f>
        <v>18.270377303802235</v>
      </c>
      <c r="AP505" s="36">
        <f ca="1">Tabela3[[#This Row],[Tabela 2]]*1.15</f>
        <v>21.010933899372567</v>
      </c>
    </row>
    <row r="506" spans="1:42">
      <c r="A506" s="9">
        <v>45874</v>
      </c>
      <c r="B506" s="6" t="s">
        <v>223</v>
      </c>
      <c r="C506" s="14">
        <v>7328</v>
      </c>
      <c r="D506" s="6" t="s">
        <v>46</v>
      </c>
      <c r="E506" s="6" t="s">
        <v>53</v>
      </c>
      <c r="F506" s="6">
        <v>7</v>
      </c>
      <c r="G506" s="15">
        <v>3.9583333333333331E-2</v>
      </c>
      <c r="H506" s="16">
        <v>0</v>
      </c>
      <c r="I506" s="35">
        <f ca="1">IFERROR(Tabela3[[#This Row],[Custo Total]]/Tabela3[[#This Row],[Aluminio Util]],0)</f>
        <v>22.348634118277946</v>
      </c>
      <c r="J506" s="35">
        <f ca="1">Tabela3[[#This Row],[Custo Total]]/Tabela3[[#This Row],[Realizado]]</f>
        <v>2.324257948300906</v>
      </c>
      <c r="K506" s="37">
        <f>IFERROR(Tabela3[[#This Row],[Qtde Cx Produzida]]/Tabela3[[#This Row],[Tempo]]/24,0)</f>
        <v>7.3684210526315788</v>
      </c>
      <c r="L506" s="37">
        <f>Tabela3[[#This Row],[Qtde Cx Produzida]]*Tabela3[[#This Row],[Qdt Peça Placa]]</f>
        <v>231</v>
      </c>
      <c r="M506" s="37">
        <f>Tabela3[[#This Row],[Previsto]]-Tabela3[[#This Row],[Perda Pçs]]</f>
        <v>231</v>
      </c>
      <c r="N506" s="38">
        <f>IFERROR(Tabela3[[#This Row],[Perda Pçs]]/Tabela3[[#This Row],[Previsto]],0)</f>
        <v>0</v>
      </c>
      <c r="O506" s="39">
        <f>IFERROR(IF(Tabela3[[#This Row],[Qtde Cx Produzida]] &lt;&gt; 0, Tabela3[[#This Row],[Tempo]] / Tabela3[[#This Row],[Qtde Cx Produzida]], 0),0)</f>
        <v>5.6547619047619046E-3</v>
      </c>
      <c r="P506" s="57">
        <f>IFERROR(Tabela3[[#This Row],[Perda Pçs]]/Tabela3[[#This Row],[Qdt Peça Placa]],0)</f>
        <v>0</v>
      </c>
      <c r="Q506" s="37">
        <f>IFERROR(Tabela3[[#This Row],[Realizado]]*Tabela3[[#This Row],[Peso Util/Pç]],0)</f>
        <v>24.023999999999997</v>
      </c>
      <c r="R506" s="37">
        <f>IFERROR(Tabela3[[#This Row],[Peso Total Galho]]*Tabela3[[#This Row],[Qtde Cx Produzida]]*1.055,0)</f>
        <v>39.731299999999997</v>
      </c>
      <c r="S506" s="37">
        <f>(Tabela3[[#This Row],[Aluminio Bruto]]-Tabela3[[#This Row],[Aluminio Util]])*0.9</f>
        <v>14.136570000000001</v>
      </c>
      <c r="T506" s="37">
        <f>Tabela3[[#This Row],[Aluminio Bruto]]/OleoKGAluminio</f>
        <v>16.714906537922651</v>
      </c>
      <c r="U506" s="35">
        <f>IFERROR((VLOOKUP(Tabela3[[#This Row],[Moldador]],Tabela1[],5,)+(VLOOKUP(Tabela3[[#This Row],[Ajudante]],Tabela1[],5,))*3.5),0)</f>
        <v>99.95034583333333</v>
      </c>
      <c r="V506" s="35">
        <f>IFERROR(Tabela3[[#This Row],[Custo M.O. / H]]/((Tabela3[[#This Row],[Realizado]]/Tabela3[[#This Row],[Qdt Peça Placa]])/Tabela3[[#This Row],[Tempo]]/24),)</f>
        <v>13.564689791666666</v>
      </c>
      <c r="W506" s="35">
        <f>Tabela3[[#This Row],[Custo / Cx Moldada]]*Tabela3[[#This Row],[Qtde Cx Produzida]]</f>
        <v>94.952828541666662</v>
      </c>
      <c r="X506" s="35">
        <f ca="1">Tabela3[[#This Row],[Aluminio Util]]*Tabela3[[#This Row],[Custo/Kg]]</f>
        <v>398.07412785379563</v>
      </c>
      <c r="Y506" s="35">
        <f>IFERROR(VLOOKUP(Tabela3[[#This Row],[Data]],Tabela461213[],2,1)*(Tabela3[[#This Row],[Qtde Cx Produzida]]*Tabela3[[#This Row],[Qde macho / CX]]*Tabela3[[#This Row],[Peso Macho]]),)</f>
        <v>0</v>
      </c>
      <c r="Z506" s="35">
        <f>IFERROR(Tabela3[[#This Row],[Qtde Oleo]]*(VLOOKUP(Tabela3[[#This Row],[Data]],CompraOleo[],3,TRUE))*1.05,0)</f>
        <v>43.876629662046959</v>
      </c>
      <c r="AA506" s="47">
        <f ca="1">(Tabela3[[#This Row],[Custo Oleo]]+Tabela3[[#This Row],[Custo Aluminio]]+Tabela3[[#This Row],[Custo M.O. Total]]+Tabela3[[#This Row],[Custo Machos]])</f>
        <v>536.9035860575093</v>
      </c>
      <c r="AB506" s="47">
        <f ca="1">Tabela3[[#This Row],[Custo Total]]*Tabela3[[#This Row],[% Perda]]</f>
        <v>0</v>
      </c>
      <c r="AC506" s="48">
        <f>IFERROR(VLOOKUP(Tabela3[[#This Row],[Produto]],Tabela2[],2,0),0)</f>
        <v>33</v>
      </c>
      <c r="AD506" s="48">
        <f>IFERROR(VLOOKUP(Tabela3[[#This Row],[Produto]],Tabela2[],3,0),0)</f>
        <v>0.104</v>
      </c>
      <c r="AE506" s="48">
        <f>IFERROR(VLOOKUP(Tabela3[[#This Row],[Produto]],Tabela2[],4,0),0)</f>
        <v>5.38</v>
      </c>
      <c r="AF506" s="48">
        <f>IFERROR(VLOOKUP(Tabela3[[#This Row],[Produto]],Tabela2[],5,0),0)</f>
        <v>1.7532000000000001</v>
      </c>
      <c r="AG506" s="40">
        <f>IFERROR(VLOOKUP(Tabela3[[#This Row],[Produto]],Tabela2[],6,0),0)</f>
        <v>0</v>
      </c>
      <c r="AH506" s="40">
        <f>IFERROR(VLOOKUP(Tabela3[[#This Row],[Produto]],Tabela2[],7,0),0)</f>
        <v>0</v>
      </c>
      <c r="AI506" s="40">
        <f>IFERROR(VLOOKUP(Tabela3[[#This Row],[Produto]],Tabela2[],8,0),0)</f>
        <v>0</v>
      </c>
      <c r="AJ506" s="35">
        <f ca="1">IFERROR(VLOOKUP(Tabela3[[#This Row],[Produto]],Tabela2[],13,0),0)</f>
        <v>16.569852141766386</v>
      </c>
      <c r="AK506" s="40" t="str">
        <f>IFERROR(VLOOKUP(Tabela3[[#This Row],[Produto]],Tabela2[],14,0),0)</f>
        <v>Marcelo</v>
      </c>
      <c r="AL506" s="40">
        <f>IFERROR(VLOOKUP(Tabela3[[#This Row],[Produto]],Tabela2[],15,0),0)</f>
        <v>0</v>
      </c>
      <c r="AM506" s="36">
        <f ca="1">(Tabela3[[#This Row],[Custo Usinagem]]+Tabela3[[#This Row],[Custo / Pç]])*1.2</f>
        <v>2.7891095379610871</v>
      </c>
      <c r="AN506" s="36">
        <f ca="1">Tabela3[[#This Row],[Valor Mínimo Venda]]*1.15</f>
        <v>3.2074759686552499</v>
      </c>
      <c r="AO506" s="36">
        <f ca="1">Tabela3[[#This Row],[Tabela 1]]*1.08</f>
        <v>3.4640740461476702</v>
      </c>
      <c r="AP506" s="36">
        <f ca="1">Tabela3[[#This Row],[Tabela 2]]*1.15</f>
        <v>3.9836851530698203</v>
      </c>
    </row>
    <row r="507" spans="1:42">
      <c r="A507" s="9">
        <v>45874</v>
      </c>
      <c r="B507" s="6" t="s">
        <v>253</v>
      </c>
      <c r="C507" s="14">
        <v>7483</v>
      </c>
      <c r="D507" s="6" t="s">
        <v>46</v>
      </c>
      <c r="E507" s="6" t="s">
        <v>53</v>
      </c>
      <c r="F507" s="6">
        <v>15</v>
      </c>
      <c r="G507" s="15">
        <v>8.4722222222222227E-2</v>
      </c>
      <c r="H507" s="16">
        <v>1</v>
      </c>
      <c r="I507" s="35">
        <f ca="1">IFERROR(Tabela3[[#This Row],[Custo Total]]/Tabela3[[#This Row],[Aluminio Util]],0)</f>
        <v>34.873773351437301</v>
      </c>
      <c r="J507" s="35">
        <f ca="1">Tabela3[[#This Row],[Custo Total]]/Tabela3[[#This Row],[Realizado]]</f>
        <v>36.617462019009167</v>
      </c>
      <c r="K507" s="37">
        <f>IFERROR(Tabela3[[#This Row],[Qtde Cx Produzida]]/Tabela3[[#This Row],[Tempo]]/24,0)</f>
        <v>7.3770491803278686</v>
      </c>
      <c r="L507" s="37">
        <f>Tabela3[[#This Row],[Qtde Cx Produzida]]*Tabela3[[#This Row],[Qdt Peça Placa]]</f>
        <v>15</v>
      </c>
      <c r="M507" s="37">
        <f>Tabela3[[#This Row],[Previsto]]-Tabela3[[#This Row],[Perda Pçs]]</f>
        <v>14</v>
      </c>
      <c r="N507" s="38">
        <f>IFERROR(Tabela3[[#This Row],[Perda Pçs]]/Tabela3[[#This Row],[Previsto]],0)</f>
        <v>6.6666666666666666E-2</v>
      </c>
      <c r="O507" s="39">
        <f>IFERROR(IF(Tabela3[[#This Row],[Qtde Cx Produzida]] &lt;&gt; 0, Tabela3[[#This Row],[Tempo]] / Tabela3[[#This Row],[Qtde Cx Produzida]], 0),0)</f>
        <v>5.6481481481481487E-3</v>
      </c>
      <c r="P507" s="57">
        <f>IFERROR(Tabela3[[#This Row],[Perda Pçs]]/Tabela3[[#This Row],[Qdt Peça Placa]],0)</f>
        <v>1</v>
      </c>
      <c r="Q507" s="37">
        <f>IFERROR(Tabela3[[#This Row],[Realizado]]*Tabela3[[#This Row],[Peso Util/Pç]],0)</f>
        <v>14.700000000000001</v>
      </c>
      <c r="R507" s="37">
        <f>IFERROR(Tabela3[[#This Row],[Peso Total Galho]]*Tabela3[[#This Row],[Qtde Cx Produzida]]*1.055,0)</f>
        <v>32.757749999999994</v>
      </c>
      <c r="S507" s="37">
        <f>(Tabela3[[#This Row],[Aluminio Bruto]]-Tabela3[[#This Row],[Aluminio Util]])*0.9</f>
        <v>16.251974999999995</v>
      </c>
      <c r="T507" s="37">
        <f>Tabela3[[#This Row],[Aluminio Bruto]]/OleoKGAluminio</f>
        <v>13.781143069636173</v>
      </c>
      <c r="U507" s="35">
        <f>IFERROR((VLOOKUP(Tabela3[[#This Row],[Moldador]],Tabela1[],5,)+(VLOOKUP(Tabela3[[#This Row],[Ajudante]],Tabela1[],5,))*3.5),0)</f>
        <v>99.95034583333333</v>
      </c>
      <c r="V507" s="35">
        <f>IFERROR(Tabela3[[#This Row],[Custo M.O. / H]]/((Tabela3[[#This Row],[Realizado]]/Tabela3[[#This Row],[Qdt Peça Placa]])/Tabela3[[#This Row],[Tempo]]/24),)</f>
        <v>14.516597847222222</v>
      </c>
      <c r="W507" s="35">
        <f>Tabela3[[#This Row],[Custo / Cx Moldada]]*Tabela3[[#This Row],[Qtde Cx Produzida]]</f>
        <v>217.74896770833334</v>
      </c>
      <c r="X507" s="35">
        <f ca="1">Tabela3[[#This Row],[Aluminio Util]]*Tabela3[[#This Row],[Custo/Kg]]</f>
        <v>258.72000000000003</v>
      </c>
      <c r="Y507" s="35">
        <f>IFERROR(VLOOKUP(Tabela3[[#This Row],[Data]],Tabela461213[],2,1)*(Tabela3[[#This Row],[Qtde Cx Produzida]]*Tabela3[[#This Row],[Qde macho / CX]]*Tabela3[[#This Row],[Peso Macho]]),)</f>
        <v>0</v>
      </c>
      <c r="Z507" s="35">
        <f>IFERROR(Tabela3[[#This Row],[Qtde Oleo]]*(VLOOKUP(Tabela3[[#This Row],[Data]],CompraOleo[],3,TRUE))*1.05,0)</f>
        <v>36.175500557794955</v>
      </c>
      <c r="AA507" s="47">
        <f ca="1">(Tabela3[[#This Row],[Custo Oleo]]+Tabela3[[#This Row],[Custo Aluminio]]+Tabela3[[#This Row],[Custo M.O. Total]]+Tabela3[[#This Row],[Custo Machos]])</f>
        <v>512.64446826612834</v>
      </c>
      <c r="AB507" s="47">
        <f ca="1">Tabela3[[#This Row],[Custo Total]]*Tabela3[[#This Row],[% Perda]]</f>
        <v>34.176297884408555</v>
      </c>
      <c r="AC507" s="48">
        <f>IFERROR(VLOOKUP(Tabela3[[#This Row],[Produto]],Tabela2[],2,0),0)</f>
        <v>1</v>
      </c>
      <c r="AD507" s="48">
        <f>IFERROR(VLOOKUP(Tabela3[[#This Row],[Produto]],Tabela2[],3,0),0)</f>
        <v>1.05</v>
      </c>
      <c r="AE507" s="48">
        <f>IFERROR(VLOOKUP(Tabela3[[#This Row],[Produto]],Tabela2[],4,0),0)</f>
        <v>2.0699999999999998</v>
      </c>
      <c r="AF507" s="48">
        <f>IFERROR(VLOOKUP(Tabela3[[#This Row],[Produto]],Tabela2[],5,0),0)</f>
        <v>0.91799999999999982</v>
      </c>
      <c r="AG507" s="40">
        <f>IFERROR(VLOOKUP(Tabela3[[#This Row],[Produto]],Tabela2[],6,0),0)</f>
        <v>0</v>
      </c>
      <c r="AH507" s="40">
        <f>IFERROR(VLOOKUP(Tabela3[[#This Row],[Produto]],Tabela2[],7,0),0)</f>
        <v>0</v>
      </c>
      <c r="AI507" s="40">
        <f>IFERROR(VLOOKUP(Tabela3[[#This Row],[Produto]],Tabela2[],8,0),0)</f>
        <v>0</v>
      </c>
      <c r="AJ507" s="35">
        <f ca="1">IFERROR(VLOOKUP(Tabela3[[#This Row],[Produto]],Tabela2[],13,0),0)</f>
        <v>17.600000000000001</v>
      </c>
      <c r="AK507" s="40" t="str">
        <f>IFERROR(VLOOKUP(Tabela3[[#This Row],[Produto]],Tabela2[],14,0),0)</f>
        <v>Protec</v>
      </c>
      <c r="AL507" s="40">
        <f>IFERROR(VLOOKUP(Tabela3[[#This Row],[Produto]],Tabela2[],15,0),0)</f>
        <v>0</v>
      </c>
      <c r="AM507" s="36">
        <f ca="1">(Tabela3[[#This Row],[Custo Usinagem]]+Tabela3[[#This Row],[Custo / Pç]])*1.2</f>
        <v>43.940954422810997</v>
      </c>
      <c r="AN507" s="36">
        <f ca="1">Tabela3[[#This Row],[Valor Mínimo Venda]]*1.15</f>
        <v>50.532097586232645</v>
      </c>
      <c r="AO507" s="36">
        <f ca="1">Tabela3[[#This Row],[Tabela 1]]*1.08</f>
        <v>54.574665393131262</v>
      </c>
      <c r="AP507" s="36">
        <f ca="1">Tabela3[[#This Row],[Tabela 2]]*1.15</f>
        <v>62.760865202100945</v>
      </c>
    </row>
    <row r="508" spans="1:42">
      <c r="A508" s="9">
        <v>45874</v>
      </c>
      <c r="B508" s="6" t="s">
        <v>247</v>
      </c>
      <c r="C508" s="14">
        <v>7488</v>
      </c>
      <c r="D508" s="6" t="s">
        <v>46</v>
      </c>
      <c r="E508" s="6" t="s">
        <v>53</v>
      </c>
      <c r="F508" s="6">
        <v>24</v>
      </c>
      <c r="G508" s="15">
        <v>0.12708333333333333</v>
      </c>
      <c r="H508" s="16">
        <v>0</v>
      </c>
      <c r="I508" s="35">
        <f ca="1">IFERROR(Tabela3[[#This Row],[Custo Total]]/Tabela3[[#This Row],[Aluminio Util]],0)</f>
        <v>28.41807485358688</v>
      </c>
      <c r="J508" s="35">
        <f ca="1">Tabela3[[#This Row],[Custo Total]]/Tabela3[[#This Row],[Realizado]]</f>
        <v>8.525422456076063</v>
      </c>
      <c r="K508" s="37">
        <f>IFERROR(Tabela3[[#This Row],[Qtde Cx Produzida]]/Tabela3[[#This Row],[Tempo]]/24,0)</f>
        <v>7.8688524590163942</v>
      </c>
      <c r="L508" s="37">
        <f>Tabela3[[#This Row],[Qtde Cx Produzida]]*Tabela3[[#This Row],[Qdt Peça Placa]]</f>
        <v>96</v>
      </c>
      <c r="M508" s="37">
        <f>Tabela3[[#This Row],[Previsto]]-Tabela3[[#This Row],[Perda Pçs]]</f>
        <v>96</v>
      </c>
      <c r="N508" s="38">
        <f>IFERROR(Tabela3[[#This Row],[Perda Pçs]]/Tabela3[[#This Row],[Previsto]],0)</f>
        <v>0</v>
      </c>
      <c r="O508" s="39">
        <f>IFERROR(IF(Tabela3[[#This Row],[Qtde Cx Produzida]] &lt;&gt; 0, Tabela3[[#This Row],[Tempo]] / Tabela3[[#This Row],[Qtde Cx Produzida]], 0),0)</f>
        <v>5.2951388888888883E-3</v>
      </c>
      <c r="P508" s="57">
        <f>IFERROR(Tabela3[[#This Row],[Perda Pçs]]/Tabela3[[#This Row],[Qdt Peça Placa]],0)</f>
        <v>0</v>
      </c>
      <c r="Q508" s="37">
        <f>IFERROR(Tabela3[[#This Row],[Realizado]]*Tabela3[[#This Row],[Peso Util/Pç]],0)</f>
        <v>28.799999999999997</v>
      </c>
      <c r="R508" s="37">
        <f>IFERROR(Tabela3[[#This Row],[Peso Total Galho]]*Tabela3[[#This Row],[Qtde Cx Produzida]]*1.055,0)</f>
        <v>58.23599999999999</v>
      </c>
      <c r="S508" s="37">
        <f>(Tabela3[[#This Row],[Aluminio Bruto]]-Tabela3[[#This Row],[Aluminio Util]])*0.9</f>
        <v>26.492399999999993</v>
      </c>
      <c r="T508" s="37">
        <f>Tabela3[[#This Row],[Aluminio Bruto]]/OleoKGAluminio</f>
        <v>24.499809901575418</v>
      </c>
      <c r="U508" s="35">
        <f>IFERROR((VLOOKUP(Tabela3[[#This Row],[Moldador]],Tabela1[],5,)+(VLOOKUP(Tabela3[[#This Row],[Ajudante]],Tabela1[],5,))*3.5),0)</f>
        <v>99.95034583333333</v>
      </c>
      <c r="V508" s="35">
        <f>IFERROR(Tabela3[[#This Row],[Custo M.O. / H]]/((Tabela3[[#This Row],[Realizado]]/Tabela3[[#This Row],[Qdt Peça Placa]])/Tabela3[[#This Row],[Tempo]]/24),)</f>
        <v>12.702023116319443</v>
      </c>
      <c r="W508" s="35">
        <f>Tabela3[[#This Row],[Custo / Cx Moldada]]*Tabela3[[#This Row],[Qtde Cx Produzida]]</f>
        <v>304.84855479166663</v>
      </c>
      <c r="X508" s="35">
        <f ca="1">Tabela3[[#This Row],[Aluminio Util]]*Tabela3[[#This Row],[Custo/Kg]]</f>
        <v>449.28</v>
      </c>
      <c r="Y508" s="35">
        <f>IFERROR(VLOOKUP(Tabela3[[#This Row],[Data]],Tabela461213[],2,1)*(Tabela3[[#This Row],[Qtde Cx Produzida]]*Tabela3[[#This Row],[Qde macho / CX]]*Tabela3[[#This Row],[Peso Macho]]),)</f>
        <v>0</v>
      </c>
      <c r="Z508" s="35">
        <f>IFERROR(Tabela3[[#This Row],[Qtde Oleo]]*(VLOOKUP(Tabela3[[#This Row],[Data]],CompraOleo[],3,TRUE))*1.05,0)</f>
        <v>64.312000991635472</v>
      </c>
      <c r="AA508" s="47">
        <f ca="1">(Tabela3[[#This Row],[Custo Oleo]]+Tabela3[[#This Row],[Custo Aluminio]]+Tabela3[[#This Row],[Custo M.O. Total]]+Tabela3[[#This Row],[Custo Machos]])</f>
        <v>818.4405557833021</v>
      </c>
      <c r="AB508" s="47">
        <f ca="1">Tabela3[[#This Row],[Custo Total]]*Tabela3[[#This Row],[% Perda]]</f>
        <v>0</v>
      </c>
      <c r="AC508" s="48">
        <f>IFERROR(VLOOKUP(Tabela3[[#This Row],[Produto]],Tabela2[],2,0),0)</f>
        <v>4</v>
      </c>
      <c r="AD508" s="48">
        <f>IFERROR(VLOOKUP(Tabela3[[#This Row],[Produto]],Tabela2[],3,0),0)</f>
        <v>0.3</v>
      </c>
      <c r="AE508" s="48">
        <f>IFERROR(VLOOKUP(Tabela3[[#This Row],[Produto]],Tabela2[],4,0),0)</f>
        <v>2.2999999999999998</v>
      </c>
      <c r="AF508" s="48">
        <f>IFERROR(VLOOKUP(Tabela3[[#This Row],[Produto]],Tabela2[],5,0),0)</f>
        <v>0.98999999999999988</v>
      </c>
      <c r="AG508" s="40">
        <f>IFERROR(VLOOKUP(Tabela3[[#This Row],[Produto]],Tabela2[],6,0),0)</f>
        <v>0</v>
      </c>
      <c r="AH508" s="40">
        <f>IFERROR(VLOOKUP(Tabela3[[#This Row],[Produto]],Tabela2[],7,0),0)</f>
        <v>0</v>
      </c>
      <c r="AI508" s="40">
        <f>IFERROR(VLOOKUP(Tabela3[[#This Row],[Produto]],Tabela2[],8,0),0)</f>
        <v>0</v>
      </c>
      <c r="AJ508" s="35">
        <f ca="1">IFERROR(VLOOKUP(Tabela3[[#This Row],[Produto]],Tabela2[],13,0),0)</f>
        <v>15.600000000000001</v>
      </c>
      <c r="AK508" s="40" t="str">
        <f>IFERROR(VLOOKUP(Tabela3[[#This Row],[Produto]],Tabela2[],14,0),0)</f>
        <v>Senun</v>
      </c>
      <c r="AL508" s="40">
        <f>IFERROR(VLOOKUP(Tabela3[[#This Row],[Produto]],Tabela2[],15,0),0)</f>
        <v>3.5</v>
      </c>
      <c r="AM508" s="36">
        <f ca="1">(Tabela3[[#This Row],[Custo Usinagem]]+Tabela3[[#This Row],[Custo / Pç]])*1.2</f>
        <v>14.430506947291274</v>
      </c>
      <c r="AN508" s="36">
        <f ca="1">Tabela3[[#This Row],[Valor Mínimo Venda]]*1.15</f>
        <v>16.595082989384963</v>
      </c>
      <c r="AO508" s="36">
        <f ca="1">Tabela3[[#This Row],[Tabela 1]]*1.08</f>
        <v>17.92268962853576</v>
      </c>
      <c r="AP508" s="36">
        <f ca="1">Tabela3[[#This Row],[Tabela 2]]*1.15</f>
        <v>20.611093072816121</v>
      </c>
    </row>
    <row r="509" spans="1:42">
      <c r="A509" s="9">
        <v>45874</v>
      </c>
      <c r="B509" s="6" t="s">
        <v>134</v>
      </c>
      <c r="C509" s="14">
        <v>7312</v>
      </c>
      <c r="D509" s="6" t="s">
        <v>46</v>
      </c>
      <c r="E509" s="6" t="s">
        <v>53</v>
      </c>
      <c r="F509" s="6">
        <v>15</v>
      </c>
      <c r="G509" s="15">
        <v>9.4444444444444442E-2</v>
      </c>
      <c r="H509" s="16">
        <v>0</v>
      </c>
      <c r="I509" s="35">
        <f ca="1">IFERROR(Tabela3[[#This Row],[Custo Total]]/Tabela3[[#This Row],[Aluminio Util]],0)</f>
        <v>23.077089327892313</v>
      </c>
      <c r="J509" s="35">
        <f ca="1">Tabela3[[#This Row],[Custo Total]]/Tabela3[[#This Row],[Realizado]]</f>
        <v>84.231376046806943</v>
      </c>
      <c r="K509" s="37">
        <f>IFERROR(Tabela3[[#This Row],[Qtde Cx Produzida]]/Tabela3[[#This Row],[Tempo]]/24,0)</f>
        <v>6.617647058823529</v>
      </c>
      <c r="L509" s="37">
        <f>Tabela3[[#This Row],[Qtde Cx Produzida]]*Tabela3[[#This Row],[Qdt Peça Placa]]</f>
        <v>15</v>
      </c>
      <c r="M509" s="37">
        <f>Tabela3[[#This Row],[Previsto]]-Tabela3[[#This Row],[Perda Pçs]]</f>
        <v>15</v>
      </c>
      <c r="N509" s="38">
        <f>IFERROR(Tabela3[[#This Row],[Perda Pçs]]/Tabela3[[#This Row],[Previsto]],0)</f>
        <v>0</v>
      </c>
      <c r="O509" s="39">
        <f>IFERROR(IF(Tabela3[[#This Row],[Qtde Cx Produzida]] &lt;&gt; 0, Tabela3[[#This Row],[Tempo]] / Tabela3[[#This Row],[Qtde Cx Produzida]], 0),0)</f>
        <v>6.2962962962962964E-3</v>
      </c>
      <c r="P509" s="57">
        <f>IFERROR(Tabela3[[#This Row],[Perda Pçs]]/Tabela3[[#This Row],[Qdt Peça Placa]],0)</f>
        <v>0</v>
      </c>
      <c r="Q509" s="37">
        <f>IFERROR(Tabela3[[#This Row],[Realizado]]*Tabela3[[#This Row],[Peso Util/Pç]],0)</f>
        <v>54.75</v>
      </c>
      <c r="R509" s="37">
        <f>IFERROR(Tabela3[[#This Row],[Peso Total Galho]]*Tabela3[[#This Row],[Qtde Cx Produzida]]*1.055,0)</f>
        <v>102.2295</v>
      </c>
      <c r="S509" s="37">
        <f>(Tabela3[[#This Row],[Aluminio Bruto]]-Tabela3[[#This Row],[Aluminio Util]])*0.9</f>
        <v>42.731550000000006</v>
      </c>
      <c r="T509" s="37">
        <f>Tabela3[[#This Row],[Aluminio Bruto]]/OleoKGAluminio</f>
        <v>43.007818468526423</v>
      </c>
      <c r="U509" s="35">
        <f>IFERROR((VLOOKUP(Tabela3[[#This Row],[Moldador]],Tabela1[],5,)+(VLOOKUP(Tabela3[[#This Row],[Ajudante]],Tabela1[],5,))*3.5),0)</f>
        <v>99.95034583333333</v>
      </c>
      <c r="V509" s="35">
        <f>IFERROR(Tabela3[[#This Row],[Custo M.O. / H]]/((Tabela3[[#This Row],[Realizado]]/Tabela3[[#This Row],[Qdt Peça Placa]])/Tabela3[[#This Row],[Tempo]]/24),)</f>
        <v>15.103607814814815</v>
      </c>
      <c r="W509" s="35">
        <f>Tabela3[[#This Row],[Custo / Cx Moldada]]*Tabela3[[#This Row],[Qtde Cx Produzida]]</f>
        <v>226.55411722222223</v>
      </c>
      <c r="X509" s="35">
        <f ca="1">Tabela3[[#This Row],[Aluminio Util]]*Tabela3[[#This Row],[Custo/Kg]]</f>
        <v>854.1</v>
      </c>
      <c r="Y509" s="35">
        <f>IFERROR(VLOOKUP(Tabela3[[#This Row],[Data]],Tabela461213[],2,1)*(Tabela3[[#This Row],[Qtde Cx Produzida]]*Tabela3[[#This Row],[Qde macho / CX]]*Tabela3[[#This Row],[Peso Macho]]),)</f>
        <v>69.921000000000006</v>
      </c>
      <c r="Z509" s="35">
        <f>IFERROR(Tabela3[[#This Row],[Qtde Oleo]]*(VLOOKUP(Tabela3[[#This Row],[Data]],CompraOleo[],3,TRUE))*1.05,0)</f>
        <v>112.89552347988186</v>
      </c>
      <c r="AA509" s="47">
        <f ca="1">(Tabela3[[#This Row],[Custo Oleo]]+Tabela3[[#This Row],[Custo Aluminio]]+Tabela3[[#This Row],[Custo M.O. Total]]+Tabela3[[#This Row],[Custo Machos]])</f>
        <v>1263.4706407021042</v>
      </c>
      <c r="AB509" s="47">
        <f ca="1">Tabela3[[#This Row],[Custo Total]]*Tabela3[[#This Row],[% Perda]]</f>
        <v>0</v>
      </c>
      <c r="AC509" s="48">
        <f>IFERROR(VLOOKUP(Tabela3[[#This Row],[Produto]],Tabela2[],2,0),0)</f>
        <v>1</v>
      </c>
      <c r="AD509" s="48">
        <f>IFERROR(VLOOKUP(Tabela3[[#This Row],[Produto]],Tabela2[],3,0),0)</f>
        <v>3.65</v>
      </c>
      <c r="AE509" s="48">
        <f>IFERROR(VLOOKUP(Tabela3[[#This Row],[Produto]],Tabela2[],4,0),0)</f>
        <v>6.46</v>
      </c>
      <c r="AF509" s="48">
        <f>IFERROR(VLOOKUP(Tabela3[[#This Row],[Produto]],Tabela2[],5,0),0)</f>
        <v>2.5289999999999999</v>
      </c>
      <c r="AG509" s="40">
        <f>IFERROR(VLOOKUP(Tabela3[[#This Row],[Produto]],Tabela2[],6,0),0)</f>
        <v>0</v>
      </c>
      <c r="AH509" s="40">
        <f>IFERROR(VLOOKUP(Tabela3[[#This Row],[Produto]],Tabela2[],7,0),0)</f>
        <v>1</v>
      </c>
      <c r="AI509" s="40">
        <f>IFERROR(VLOOKUP(Tabela3[[#This Row],[Produto]],Tabela2[],8,0),0)</f>
        <v>2.742</v>
      </c>
      <c r="AJ509" s="35">
        <f ca="1">IFERROR(VLOOKUP(Tabela3[[#This Row],[Produto]],Tabela2[],13,0),0)</f>
        <v>15.600000000000001</v>
      </c>
      <c r="AK509" s="40" t="str">
        <f>IFERROR(VLOOKUP(Tabela3[[#This Row],[Produto]],Tabela2[],14,0),0)</f>
        <v>Jumil</v>
      </c>
      <c r="AL509" s="40">
        <f>IFERROR(VLOOKUP(Tabela3[[#This Row],[Produto]],Tabela2[],15,0),0)</f>
        <v>15</v>
      </c>
      <c r="AM509" s="36">
        <f ca="1">(Tabela3[[#This Row],[Custo Usinagem]]+Tabela3[[#This Row],[Custo / Pç]])*1.2</f>
        <v>119.07765125616832</v>
      </c>
      <c r="AN509" s="36">
        <f ca="1">Tabela3[[#This Row],[Valor Mínimo Venda]]*1.15</f>
        <v>136.93929894459356</v>
      </c>
      <c r="AO509" s="36">
        <f ca="1">Tabela3[[#This Row],[Tabela 1]]*1.08</f>
        <v>147.89444286016106</v>
      </c>
      <c r="AP509" s="36">
        <f ca="1">Tabela3[[#This Row],[Tabela 2]]*1.15</f>
        <v>170.07860928918521</v>
      </c>
    </row>
    <row r="510" spans="1:42">
      <c r="A510" s="9">
        <v>45875</v>
      </c>
      <c r="B510" s="6" t="s">
        <v>134</v>
      </c>
      <c r="C510" s="14">
        <v>7312</v>
      </c>
      <c r="D510" s="6" t="s">
        <v>46</v>
      </c>
      <c r="E510" s="6" t="s">
        <v>53</v>
      </c>
      <c r="F510" s="6">
        <v>8</v>
      </c>
      <c r="G510" s="15">
        <v>4.791666666666667E-2</v>
      </c>
      <c r="H510" s="16">
        <v>0</v>
      </c>
      <c r="I510" s="35">
        <f ca="1">IFERROR(Tabela3[[#This Row],[Custo Total]]/Tabela3[[#This Row],[Aluminio Util]],0)</f>
        <v>22.875515190557209</v>
      </c>
      <c r="J510" s="35">
        <f ca="1">Tabela3[[#This Row],[Custo Total]]/Tabela3[[#This Row],[Realizado]]</f>
        <v>83.495630445533806</v>
      </c>
      <c r="K510" s="37">
        <f>IFERROR(Tabela3[[#This Row],[Qtde Cx Produzida]]/Tabela3[[#This Row],[Tempo]]/24,0)</f>
        <v>6.9565217391304346</v>
      </c>
      <c r="L510" s="37">
        <f>Tabela3[[#This Row],[Qtde Cx Produzida]]*Tabela3[[#This Row],[Qdt Peça Placa]]</f>
        <v>8</v>
      </c>
      <c r="M510" s="37">
        <f>Tabela3[[#This Row],[Previsto]]-Tabela3[[#This Row],[Perda Pçs]]</f>
        <v>8</v>
      </c>
      <c r="N510" s="38">
        <f>IFERROR(Tabela3[[#This Row],[Perda Pçs]]/Tabela3[[#This Row],[Previsto]],0)</f>
        <v>0</v>
      </c>
      <c r="O510" s="39">
        <f>IFERROR(IF(Tabela3[[#This Row],[Qtde Cx Produzida]] &lt;&gt; 0, Tabela3[[#This Row],[Tempo]] / Tabela3[[#This Row],[Qtde Cx Produzida]], 0),0)</f>
        <v>5.9895833333333337E-3</v>
      </c>
      <c r="P510" s="57">
        <f>IFERROR(Tabela3[[#This Row],[Perda Pçs]]/Tabela3[[#This Row],[Qdt Peça Placa]],0)</f>
        <v>0</v>
      </c>
      <c r="Q510" s="37">
        <f>IFERROR(Tabela3[[#This Row],[Realizado]]*Tabela3[[#This Row],[Peso Util/Pç]],0)</f>
        <v>29.2</v>
      </c>
      <c r="R510" s="37">
        <f>IFERROR(Tabela3[[#This Row],[Peso Total Galho]]*Tabela3[[#This Row],[Qtde Cx Produzida]]*1.055,0)</f>
        <v>54.522399999999998</v>
      </c>
      <c r="S510" s="37">
        <f>(Tabela3[[#This Row],[Aluminio Bruto]]-Tabela3[[#This Row],[Aluminio Util]])*0.9</f>
        <v>22.79016</v>
      </c>
      <c r="T510" s="37">
        <f>Tabela3[[#This Row],[Aluminio Bruto]]/OleoKGAluminio</f>
        <v>22.937503183214091</v>
      </c>
      <c r="U510" s="35">
        <f>IFERROR((VLOOKUP(Tabela3[[#This Row],[Moldador]],Tabela1[],5,)+(VLOOKUP(Tabela3[[#This Row],[Ajudante]],Tabela1[],5,))*3.5),0)</f>
        <v>99.95034583333333</v>
      </c>
      <c r="V510" s="35">
        <f>IFERROR(Tabela3[[#This Row],[Custo M.O. / H]]/((Tabela3[[#This Row],[Realizado]]/Tabela3[[#This Row],[Qdt Peça Placa]])/Tabela3[[#This Row],[Tempo]]/24),)</f>
        <v>14.367862213541667</v>
      </c>
      <c r="W510" s="35">
        <f>Tabela3[[#This Row],[Custo / Cx Moldada]]*Tabela3[[#This Row],[Qtde Cx Produzida]]</f>
        <v>114.94289770833333</v>
      </c>
      <c r="X510" s="35">
        <f ca="1">Tabela3[[#This Row],[Aluminio Util]]*Tabela3[[#This Row],[Custo/Kg]]</f>
        <v>455.52000000000004</v>
      </c>
      <c r="Y510" s="35">
        <f>IFERROR(VLOOKUP(Tabela3[[#This Row],[Data]],Tabela461213[],2,1)*(Tabela3[[#This Row],[Qtde Cx Produzida]]*Tabela3[[#This Row],[Qde macho / CX]]*Tabela3[[#This Row],[Peso Macho]]),)</f>
        <v>37.291199999999996</v>
      </c>
      <c r="Z510" s="35">
        <f>IFERROR(Tabela3[[#This Row],[Qtde Oleo]]*(VLOOKUP(Tabela3[[#This Row],[Data]],CompraOleo[],3,TRUE))*1.05,0)</f>
        <v>60.210945855936991</v>
      </c>
      <c r="AA510" s="47">
        <f ca="1">(Tabela3[[#This Row],[Custo Oleo]]+Tabela3[[#This Row],[Custo Aluminio]]+Tabela3[[#This Row],[Custo M.O. Total]]+Tabela3[[#This Row],[Custo Machos]])</f>
        <v>667.96504356427045</v>
      </c>
      <c r="AB510" s="47">
        <f ca="1">Tabela3[[#This Row],[Custo Total]]*Tabela3[[#This Row],[% Perda]]</f>
        <v>0</v>
      </c>
      <c r="AC510" s="48">
        <f>IFERROR(VLOOKUP(Tabela3[[#This Row],[Produto]],Tabela2[],2,0),0)</f>
        <v>1</v>
      </c>
      <c r="AD510" s="48">
        <f>IFERROR(VLOOKUP(Tabela3[[#This Row],[Produto]],Tabela2[],3,0),0)</f>
        <v>3.65</v>
      </c>
      <c r="AE510" s="48">
        <f>IFERROR(VLOOKUP(Tabela3[[#This Row],[Produto]],Tabela2[],4,0),0)</f>
        <v>6.46</v>
      </c>
      <c r="AF510" s="48">
        <f>IFERROR(VLOOKUP(Tabela3[[#This Row],[Produto]],Tabela2[],5,0),0)</f>
        <v>2.5289999999999999</v>
      </c>
      <c r="AG510" s="40">
        <f>IFERROR(VLOOKUP(Tabela3[[#This Row],[Produto]],Tabela2[],6,0),0)</f>
        <v>0</v>
      </c>
      <c r="AH510" s="40">
        <f>IFERROR(VLOOKUP(Tabela3[[#This Row],[Produto]],Tabela2[],7,0),0)</f>
        <v>1</v>
      </c>
      <c r="AI510" s="40">
        <f>IFERROR(VLOOKUP(Tabela3[[#This Row],[Produto]],Tabela2[],8,0),0)</f>
        <v>2.742</v>
      </c>
      <c r="AJ510" s="35">
        <f ca="1">IFERROR(VLOOKUP(Tabela3[[#This Row],[Produto]],Tabela2[],13,0),0)</f>
        <v>15.600000000000001</v>
      </c>
      <c r="AK510" s="40" t="str">
        <f>IFERROR(VLOOKUP(Tabela3[[#This Row],[Produto]],Tabela2[],14,0),0)</f>
        <v>Jumil</v>
      </c>
      <c r="AL510" s="40">
        <f>IFERROR(VLOOKUP(Tabela3[[#This Row],[Produto]],Tabela2[],15,0),0)</f>
        <v>15</v>
      </c>
      <c r="AM510" s="36">
        <f ca="1">(Tabela3[[#This Row],[Custo Usinagem]]+Tabela3[[#This Row],[Custo / Pç]])*1.2</f>
        <v>118.19475653464056</v>
      </c>
      <c r="AN510" s="36">
        <f ca="1">Tabela3[[#This Row],[Valor Mínimo Venda]]*1.15</f>
        <v>135.92397001483664</v>
      </c>
      <c r="AO510" s="36">
        <f ca="1">Tabela3[[#This Row],[Tabela 1]]*1.08</f>
        <v>146.79788761602359</v>
      </c>
      <c r="AP510" s="36">
        <f ca="1">Tabela3[[#This Row],[Tabela 2]]*1.15</f>
        <v>168.81757075842711</v>
      </c>
    </row>
    <row r="511" spans="1:42">
      <c r="A511" s="9">
        <v>45875</v>
      </c>
      <c r="B511" s="6" t="s">
        <v>247</v>
      </c>
      <c r="C511" s="14">
        <v>7488</v>
      </c>
      <c r="D511" s="6" t="s">
        <v>46</v>
      </c>
      <c r="E511" s="6" t="s">
        <v>53</v>
      </c>
      <c r="F511" s="6">
        <v>20</v>
      </c>
      <c r="G511" s="15">
        <v>0.12222222222222222</v>
      </c>
      <c r="H511" s="16">
        <v>0</v>
      </c>
      <c r="I511" s="35">
        <f ca="1">IFERROR(Tabela3[[#This Row],[Custo Total]]/Tabela3[[#This Row],[Aluminio Util]],0)</f>
        <v>30.04920896961697</v>
      </c>
      <c r="J511" s="35">
        <f ca="1">Tabela3[[#This Row],[Custo Total]]/Tabela3[[#This Row],[Realizado]]</f>
        <v>9.0147626908850906</v>
      </c>
      <c r="K511" s="37">
        <f>IFERROR(Tabela3[[#This Row],[Qtde Cx Produzida]]/Tabela3[[#This Row],[Tempo]]/24,0)</f>
        <v>6.8181818181818192</v>
      </c>
      <c r="L511" s="37">
        <f>Tabela3[[#This Row],[Qtde Cx Produzida]]*Tabela3[[#This Row],[Qdt Peça Placa]]</f>
        <v>80</v>
      </c>
      <c r="M511" s="37">
        <f>Tabela3[[#This Row],[Previsto]]-Tabela3[[#This Row],[Perda Pçs]]</f>
        <v>80</v>
      </c>
      <c r="N511" s="38">
        <f>IFERROR(Tabela3[[#This Row],[Perda Pçs]]/Tabela3[[#This Row],[Previsto]],0)</f>
        <v>0</v>
      </c>
      <c r="O511" s="39">
        <f>IFERROR(IF(Tabela3[[#This Row],[Qtde Cx Produzida]] &lt;&gt; 0, Tabela3[[#This Row],[Tempo]] / Tabela3[[#This Row],[Qtde Cx Produzida]], 0),0)</f>
        <v>6.1111111111111106E-3</v>
      </c>
      <c r="P511" s="57">
        <f>IFERROR(Tabela3[[#This Row],[Perda Pçs]]/Tabela3[[#This Row],[Qdt Peça Placa]],0)</f>
        <v>0</v>
      </c>
      <c r="Q511" s="37">
        <f>IFERROR(Tabela3[[#This Row],[Realizado]]*Tabela3[[#This Row],[Peso Util/Pç]],0)</f>
        <v>24</v>
      </c>
      <c r="R511" s="37">
        <f>IFERROR(Tabela3[[#This Row],[Peso Total Galho]]*Tabela3[[#This Row],[Qtde Cx Produzida]]*1.055,0)</f>
        <v>48.529999999999994</v>
      </c>
      <c r="S511" s="37">
        <f>(Tabela3[[#This Row],[Aluminio Bruto]]-Tabela3[[#This Row],[Aluminio Util]])*0.9</f>
        <v>22.076999999999995</v>
      </c>
      <c r="T511" s="37">
        <f>Tabela3[[#This Row],[Aluminio Bruto]]/OleoKGAluminio</f>
        <v>20.416508251312848</v>
      </c>
      <c r="U511" s="35">
        <f>IFERROR((VLOOKUP(Tabela3[[#This Row],[Moldador]],Tabela1[],5,)+(VLOOKUP(Tabela3[[#This Row],[Ajudante]],Tabela1[],5,))*3.5),0)</f>
        <v>99.95034583333333</v>
      </c>
      <c r="V511" s="35">
        <f>IFERROR(Tabela3[[#This Row],[Custo M.O. / H]]/((Tabela3[[#This Row],[Realizado]]/Tabela3[[#This Row],[Qdt Peça Placa]])/Tabela3[[#This Row],[Tempo]]/24),)</f>
        <v>14.659384055555552</v>
      </c>
      <c r="W511" s="35">
        <f>Tabela3[[#This Row],[Custo / Cx Moldada]]*Tabela3[[#This Row],[Qtde Cx Produzida]]</f>
        <v>293.18768111111103</v>
      </c>
      <c r="X511" s="35">
        <f ca="1">Tabela3[[#This Row],[Aluminio Util]]*Tabela3[[#This Row],[Custo/Kg]]</f>
        <v>374.40000000000003</v>
      </c>
      <c r="Y511" s="35">
        <f>IFERROR(VLOOKUP(Tabela3[[#This Row],[Data]],Tabela461213[],2,1)*(Tabela3[[#This Row],[Qtde Cx Produzida]]*Tabela3[[#This Row],[Qde macho / CX]]*Tabela3[[#This Row],[Peso Macho]]),)</f>
        <v>0</v>
      </c>
      <c r="Z511" s="35">
        <f>IFERROR(Tabela3[[#This Row],[Qtde Oleo]]*(VLOOKUP(Tabela3[[#This Row],[Data]],CompraOleo[],3,TRUE))*1.05,0)</f>
        <v>53.593334159696226</v>
      </c>
      <c r="AA511" s="47">
        <f ca="1">(Tabela3[[#This Row],[Custo Oleo]]+Tabela3[[#This Row],[Custo Aluminio]]+Tabela3[[#This Row],[Custo M.O. Total]]+Tabela3[[#This Row],[Custo Machos]])</f>
        <v>721.18101527080728</v>
      </c>
      <c r="AB511" s="47">
        <f ca="1">Tabela3[[#This Row],[Custo Total]]*Tabela3[[#This Row],[% Perda]]</f>
        <v>0</v>
      </c>
      <c r="AC511" s="48">
        <f>IFERROR(VLOOKUP(Tabela3[[#This Row],[Produto]],Tabela2[],2,0),0)</f>
        <v>4</v>
      </c>
      <c r="AD511" s="48">
        <f>IFERROR(VLOOKUP(Tabela3[[#This Row],[Produto]],Tabela2[],3,0),0)</f>
        <v>0.3</v>
      </c>
      <c r="AE511" s="48">
        <f>IFERROR(VLOOKUP(Tabela3[[#This Row],[Produto]],Tabela2[],4,0),0)</f>
        <v>2.2999999999999998</v>
      </c>
      <c r="AF511" s="48">
        <f>IFERROR(VLOOKUP(Tabela3[[#This Row],[Produto]],Tabela2[],5,0),0)</f>
        <v>0.98999999999999988</v>
      </c>
      <c r="AG511" s="40">
        <f>IFERROR(VLOOKUP(Tabela3[[#This Row],[Produto]],Tabela2[],6,0),0)</f>
        <v>0</v>
      </c>
      <c r="AH511" s="40">
        <f>IFERROR(VLOOKUP(Tabela3[[#This Row],[Produto]],Tabela2[],7,0),0)</f>
        <v>0</v>
      </c>
      <c r="AI511" s="40">
        <f>IFERROR(VLOOKUP(Tabela3[[#This Row],[Produto]],Tabela2[],8,0),0)</f>
        <v>0</v>
      </c>
      <c r="AJ511" s="35">
        <f ca="1">IFERROR(VLOOKUP(Tabela3[[#This Row],[Produto]],Tabela2[],13,0),0)</f>
        <v>15.600000000000001</v>
      </c>
      <c r="AK511" s="40" t="str">
        <f>IFERROR(VLOOKUP(Tabela3[[#This Row],[Produto]],Tabela2[],14,0),0)</f>
        <v>Senun</v>
      </c>
      <c r="AL511" s="40">
        <f>IFERROR(VLOOKUP(Tabela3[[#This Row],[Produto]],Tabela2[],15,0),0)</f>
        <v>3.5</v>
      </c>
      <c r="AM511" s="36">
        <f ca="1">(Tabela3[[#This Row],[Custo Usinagem]]+Tabela3[[#This Row],[Custo / Pç]])*1.2</f>
        <v>15.017715229062109</v>
      </c>
      <c r="AN511" s="36">
        <f ca="1">Tabela3[[#This Row],[Valor Mínimo Venda]]*1.15</f>
        <v>17.270372513421425</v>
      </c>
      <c r="AO511" s="36">
        <f ca="1">Tabela3[[#This Row],[Tabela 1]]*1.08</f>
        <v>18.652002314495139</v>
      </c>
      <c r="AP511" s="36">
        <f ca="1">Tabela3[[#This Row],[Tabela 2]]*1.15</f>
        <v>21.449802661669409</v>
      </c>
    </row>
    <row r="512" spans="1:42">
      <c r="A512" s="9">
        <v>45875</v>
      </c>
      <c r="B512" s="6" t="s">
        <v>233</v>
      </c>
      <c r="C512" s="14">
        <v>7499</v>
      </c>
      <c r="D512" s="6" t="s">
        <v>46</v>
      </c>
      <c r="E512" s="6" t="s">
        <v>53</v>
      </c>
      <c r="F512" s="6">
        <v>30</v>
      </c>
      <c r="G512" s="15">
        <v>0.17777777777777778</v>
      </c>
      <c r="H512" s="16">
        <v>0</v>
      </c>
      <c r="I512" s="35">
        <f ca="1">IFERROR(Tabela3[[#This Row],[Custo Total]]/Tabela3[[#This Row],[Aluminio Util]],0)</f>
        <v>21.526962071609532</v>
      </c>
      <c r="J512" s="35">
        <f ca="1">Tabela3[[#This Row],[Custo Total]]/Tabela3[[#This Row],[Realizado]]</f>
        <v>116.24559518669146</v>
      </c>
      <c r="K512" s="37">
        <f>IFERROR(Tabela3[[#This Row],[Qtde Cx Produzida]]/Tabela3[[#This Row],[Tempo]]/24,0)</f>
        <v>7.03125</v>
      </c>
      <c r="L512" s="37">
        <f>Tabela3[[#This Row],[Qtde Cx Produzida]]*Tabela3[[#This Row],[Qdt Peça Placa]]</f>
        <v>30</v>
      </c>
      <c r="M512" s="37">
        <f>Tabela3[[#This Row],[Previsto]]-Tabela3[[#This Row],[Perda Pçs]]</f>
        <v>30</v>
      </c>
      <c r="N512" s="38">
        <f>IFERROR(Tabela3[[#This Row],[Perda Pçs]]/Tabela3[[#This Row],[Previsto]],0)</f>
        <v>0</v>
      </c>
      <c r="O512" s="39">
        <f>IFERROR(IF(Tabela3[[#This Row],[Qtde Cx Produzida]] &lt;&gt; 0, Tabela3[[#This Row],[Tempo]] / Tabela3[[#This Row],[Qtde Cx Produzida]], 0),0)</f>
        <v>5.9259259259259265E-3</v>
      </c>
      <c r="P512" s="57">
        <f>IFERROR(Tabela3[[#This Row],[Perda Pçs]]/Tabela3[[#This Row],[Qdt Peça Placa]],0)</f>
        <v>0</v>
      </c>
      <c r="Q512" s="37">
        <f>IFERROR(Tabela3[[#This Row],[Realizado]]*Tabela3[[#This Row],[Peso Util/Pç]],0)</f>
        <v>162</v>
      </c>
      <c r="R512" s="37">
        <f>IFERROR(Tabela3[[#This Row],[Peso Total Galho]]*Tabela3[[#This Row],[Qtde Cx Produzida]]*1.055,0)</f>
        <v>189.89999999999998</v>
      </c>
      <c r="S512" s="37">
        <f>(Tabela3[[#This Row],[Aluminio Bruto]]-Tabela3[[#This Row],[Aluminio Util]])*0.9</f>
        <v>25.109999999999982</v>
      </c>
      <c r="T512" s="37">
        <f>Tabela3[[#This Row],[Aluminio Bruto]]/OleoKGAluminio</f>
        <v>79.890684461658978</v>
      </c>
      <c r="U512" s="35">
        <f>IFERROR((VLOOKUP(Tabela3[[#This Row],[Moldador]],Tabela1[],5,)+(VLOOKUP(Tabela3[[#This Row],[Ajudante]],Tabela1[],5,))*3.5),0)</f>
        <v>99.95034583333333</v>
      </c>
      <c r="V512" s="35">
        <f>IFERROR(Tabela3[[#This Row],[Custo M.O. / H]]/((Tabela3[[#This Row],[Realizado]]/Tabela3[[#This Row],[Qdt Peça Placa]])/Tabela3[[#This Row],[Tempo]]/24),)</f>
        <v>14.215160296296295</v>
      </c>
      <c r="W512" s="35">
        <f>Tabela3[[#This Row],[Custo / Cx Moldada]]*Tabela3[[#This Row],[Qtde Cx Produzida]]</f>
        <v>426.45480888888886</v>
      </c>
      <c r="X512" s="35">
        <f ca="1">Tabela3[[#This Row],[Aluminio Util]]*Tabela3[[#This Row],[Custo/Kg]]</f>
        <v>2851.2000000000003</v>
      </c>
      <c r="Y512" s="35">
        <f>IFERROR(VLOOKUP(Tabela3[[#This Row],[Data]],Tabela461213[],2,1)*(Tabela3[[#This Row],[Qtde Cx Produzida]]*Tabela3[[#This Row],[Qde macho / CX]]*Tabela3[[#This Row],[Peso Macho]]),)</f>
        <v>0</v>
      </c>
      <c r="Z512" s="35">
        <f>IFERROR(Tabela3[[#This Row],[Qtde Oleo]]*(VLOOKUP(Tabela3[[#This Row],[Data]],CompraOleo[],3,TRUE))*1.05,0)</f>
        <v>209.71304671185482</v>
      </c>
      <c r="AA512" s="47">
        <f ca="1">(Tabela3[[#This Row],[Custo Oleo]]+Tabela3[[#This Row],[Custo Aluminio]]+Tabela3[[#This Row],[Custo M.O. Total]]+Tabela3[[#This Row],[Custo Machos]])</f>
        <v>3487.367855600744</v>
      </c>
      <c r="AB512" s="47">
        <f ca="1">Tabela3[[#This Row],[Custo Total]]*Tabela3[[#This Row],[% Perda]]</f>
        <v>0</v>
      </c>
      <c r="AC512" s="48">
        <f>IFERROR(VLOOKUP(Tabela3[[#This Row],[Produto]],Tabela2[],2,0),0)</f>
        <v>1</v>
      </c>
      <c r="AD512" s="48">
        <f>IFERROR(VLOOKUP(Tabela3[[#This Row],[Produto]],Tabela2[],3,0),0)</f>
        <v>5.4</v>
      </c>
      <c r="AE512" s="48">
        <f>IFERROR(VLOOKUP(Tabela3[[#This Row],[Produto]],Tabela2[],4,0),0)</f>
        <v>6</v>
      </c>
      <c r="AF512" s="48">
        <f>IFERROR(VLOOKUP(Tabela3[[#This Row],[Produto]],Tabela2[],5,0),0)</f>
        <v>0.5399999999999997</v>
      </c>
      <c r="AG512" s="40">
        <f>IFERROR(VLOOKUP(Tabela3[[#This Row],[Produto]],Tabela2[],6,0),0)</f>
        <v>0</v>
      </c>
      <c r="AH512" s="40">
        <f>IFERROR(VLOOKUP(Tabela3[[#This Row],[Produto]],Tabela2[],7,0),0)</f>
        <v>0</v>
      </c>
      <c r="AI512" s="40">
        <f>IFERROR(VLOOKUP(Tabela3[[#This Row],[Produto]],Tabela2[],8,0),0)</f>
        <v>0</v>
      </c>
      <c r="AJ512" s="35">
        <f ca="1">IFERROR(VLOOKUP(Tabela3[[#This Row],[Produto]],Tabela2[],13,0),0)</f>
        <v>17.600000000000001</v>
      </c>
      <c r="AK512" s="40" t="str">
        <f>IFERROR(VLOOKUP(Tabela3[[#This Row],[Produto]],Tabela2[],14,0),0)</f>
        <v>Danilo</v>
      </c>
      <c r="AL512" s="40">
        <f>IFERROR(VLOOKUP(Tabela3[[#This Row],[Produto]],Tabela2[],15,0),0)</f>
        <v>0</v>
      </c>
      <c r="AM512" s="36">
        <f ca="1">(Tabela3[[#This Row],[Custo Usinagem]]+Tabela3[[#This Row],[Custo / Pç]])*1.2</f>
        <v>139.49471422402974</v>
      </c>
      <c r="AN512" s="36">
        <f ca="1">Tabela3[[#This Row],[Valor Mínimo Venda]]*1.15</f>
        <v>160.41892135763419</v>
      </c>
      <c r="AO512" s="36">
        <f ca="1">Tabela3[[#This Row],[Tabela 1]]*1.08</f>
        <v>173.25243506624494</v>
      </c>
      <c r="AP512" s="36">
        <f ca="1">Tabela3[[#This Row],[Tabela 2]]*1.15</f>
        <v>199.24030032618168</v>
      </c>
    </row>
    <row r="513" spans="1:42">
      <c r="A513" s="9">
        <v>45875</v>
      </c>
      <c r="B513" s="6" t="s">
        <v>233</v>
      </c>
      <c r="C513" s="14">
        <v>7499</v>
      </c>
      <c r="D513" s="6" t="s">
        <v>44</v>
      </c>
      <c r="E513" s="6" t="s">
        <v>47</v>
      </c>
      <c r="F513" s="6">
        <v>2</v>
      </c>
      <c r="G513" s="15">
        <v>1.5277777777777777E-2</v>
      </c>
      <c r="H513" s="16">
        <v>0</v>
      </c>
      <c r="I513" s="35">
        <f ca="1">IFERROR(Tabela3[[#This Row],[Custo Total]]/Tabela3[[#This Row],[Aluminio Util]],0)</f>
        <v>22.287900918488816</v>
      </c>
      <c r="J513" s="35">
        <f ca="1">Tabela3[[#This Row],[Custo Total]]/Tabela3[[#This Row],[Realizado]]</f>
        <v>120.35466495983962</v>
      </c>
      <c r="K513" s="37">
        <f>IFERROR(Tabela3[[#This Row],[Qtde Cx Produzida]]/Tabela3[[#This Row],[Tempo]]/24,0)</f>
        <v>5.4545454545454541</v>
      </c>
      <c r="L513" s="37">
        <f>Tabela3[[#This Row],[Qtde Cx Produzida]]*Tabela3[[#This Row],[Qdt Peça Placa]]</f>
        <v>2</v>
      </c>
      <c r="M513" s="37">
        <f>Tabela3[[#This Row],[Previsto]]-Tabela3[[#This Row],[Perda Pçs]]</f>
        <v>2</v>
      </c>
      <c r="N513" s="38">
        <f>IFERROR(Tabela3[[#This Row],[Perda Pçs]]/Tabela3[[#This Row],[Previsto]],0)</f>
        <v>0</v>
      </c>
      <c r="O513" s="39">
        <f>IFERROR(IF(Tabela3[[#This Row],[Qtde Cx Produzida]] &lt;&gt; 0, Tabela3[[#This Row],[Tempo]] / Tabela3[[#This Row],[Qtde Cx Produzida]], 0),0)</f>
        <v>7.6388888888888886E-3</v>
      </c>
      <c r="P513" s="57">
        <f>IFERROR(Tabela3[[#This Row],[Perda Pçs]]/Tabela3[[#This Row],[Qdt Peça Placa]],0)</f>
        <v>0</v>
      </c>
      <c r="Q513" s="37">
        <f>IFERROR(Tabela3[[#This Row],[Realizado]]*Tabela3[[#This Row],[Peso Util/Pç]],0)</f>
        <v>10.8</v>
      </c>
      <c r="R513" s="37">
        <f>IFERROR(Tabela3[[#This Row],[Peso Total Galho]]*Tabela3[[#This Row],[Qtde Cx Produzida]]*1.055,0)</f>
        <v>12.66</v>
      </c>
      <c r="S513" s="37">
        <f>(Tabela3[[#This Row],[Aluminio Bruto]]-Tabela3[[#This Row],[Aluminio Util]])*0.9</f>
        <v>1.6739999999999995</v>
      </c>
      <c r="T513" s="37">
        <f>Tabela3[[#This Row],[Aluminio Bruto]]/OleoKGAluminio</f>
        <v>5.3260456307772657</v>
      </c>
      <c r="U513" s="35">
        <f>IFERROR((VLOOKUP(Tabela3[[#This Row],[Moldador]],Tabela1[],5,)+(VLOOKUP(Tabela3[[#This Row],[Ajudante]],Tabela1[],5,))*3.5),0)</f>
        <v>99.95034583333333</v>
      </c>
      <c r="V513" s="35">
        <f>IFERROR(Tabela3[[#This Row],[Custo M.O. / H]]/((Tabela3[[#This Row],[Realizado]]/Tabela3[[#This Row],[Qdt Peça Placa]])/Tabela3[[#This Row],[Tempo]]/24),)</f>
        <v>18.324230069444447</v>
      </c>
      <c r="W513" s="35">
        <f>Tabela3[[#This Row],[Custo / Cx Moldada]]*Tabela3[[#This Row],[Qtde Cx Produzida]]</f>
        <v>36.648460138888893</v>
      </c>
      <c r="X513" s="35">
        <f ca="1">Tabela3[[#This Row],[Aluminio Util]]*Tabela3[[#This Row],[Custo/Kg]]</f>
        <v>190.08000000000004</v>
      </c>
      <c r="Y513" s="35">
        <f>IFERROR(VLOOKUP(Tabela3[[#This Row],[Data]],Tabela461213[],2,1)*(Tabela3[[#This Row],[Qtde Cx Produzida]]*Tabela3[[#This Row],[Qde macho / CX]]*Tabela3[[#This Row],[Peso Macho]]),)</f>
        <v>0</v>
      </c>
      <c r="Z513" s="35">
        <f>IFERROR(Tabela3[[#This Row],[Qtde Oleo]]*(VLOOKUP(Tabela3[[#This Row],[Data]],CompraOleo[],3,TRUE))*1.05,0)</f>
        <v>13.980869780790323</v>
      </c>
      <c r="AA513" s="47">
        <f ca="1">(Tabela3[[#This Row],[Custo Oleo]]+Tabela3[[#This Row],[Custo Aluminio]]+Tabela3[[#This Row],[Custo M.O. Total]]+Tabela3[[#This Row],[Custo Machos]])</f>
        <v>240.70932991967925</v>
      </c>
      <c r="AB513" s="47">
        <f ca="1">Tabela3[[#This Row],[Custo Total]]*Tabela3[[#This Row],[% Perda]]</f>
        <v>0</v>
      </c>
      <c r="AC513" s="48">
        <f>IFERROR(VLOOKUP(Tabela3[[#This Row],[Produto]],Tabela2[],2,0),0)</f>
        <v>1</v>
      </c>
      <c r="AD513" s="48">
        <f>IFERROR(VLOOKUP(Tabela3[[#This Row],[Produto]],Tabela2[],3,0),0)</f>
        <v>5.4</v>
      </c>
      <c r="AE513" s="48">
        <f>IFERROR(VLOOKUP(Tabela3[[#This Row],[Produto]],Tabela2[],4,0),0)</f>
        <v>6</v>
      </c>
      <c r="AF513" s="48">
        <f>IFERROR(VLOOKUP(Tabela3[[#This Row],[Produto]],Tabela2[],5,0),0)</f>
        <v>0.5399999999999997</v>
      </c>
      <c r="AG513" s="40">
        <f>IFERROR(VLOOKUP(Tabela3[[#This Row],[Produto]],Tabela2[],6,0),0)</f>
        <v>0</v>
      </c>
      <c r="AH513" s="40">
        <f>IFERROR(VLOOKUP(Tabela3[[#This Row],[Produto]],Tabela2[],7,0),0)</f>
        <v>0</v>
      </c>
      <c r="AI513" s="40">
        <f>IFERROR(VLOOKUP(Tabela3[[#This Row],[Produto]],Tabela2[],8,0),0)</f>
        <v>0</v>
      </c>
      <c r="AJ513" s="35">
        <f ca="1">IFERROR(VLOOKUP(Tabela3[[#This Row],[Produto]],Tabela2[],13,0),0)</f>
        <v>17.600000000000001</v>
      </c>
      <c r="AK513" s="40" t="str">
        <f>IFERROR(VLOOKUP(Tabela3[[#This Row],[Produto]],Tabela2[],14,0),0)</f>
        <v>Danilo</v>
      </c>
      <c r="AL513" s="40">
        <f>IFERROR(VLOOKUP(Tabela3[[#This Row],[Produto]],Tabela2[],15,0),0)</f>
        <v>0</v>
      </c>
      <c r="AM513" s="36">
        <f ca="1">(Tabela3[[#This Row],[Custo Usinagem]]+Tabela3[[#This Row],[Custo / Pç]])*1.2</f>
        <v>144.42559795180753</v>
      </c>
      <c r="AN513" s="36">
        <f ca="1">Tabela3[[#This Row],[Valor Mínimo Venda]]*1.15</f>
        <v>166.08943764457865</v>
      </c>
      <c r="AO513" s="36">
        <f ca="1">Tabela3[[#This Row],[Tabela 1]]*1.08</f>
        <v>179.37659265614496</v>
      </c>
      <c r="AP513" s="36">
        <f ca="1">Tabela3[[#This Row],[Tabela 2]]*1.15</f>
        <v>206.28308155456671</v>
      </c>
    </row>
    <row r="514" spans="1:42">
      <c r="A514" s="9">
        <v>45875</v>
      </c>
      <c r="B514" s="6" t="s">
        <v>111</v>
      </c>
      <c r="C514" s="14">
        <v>7410</v>
      </c>
      <c r="D514" s="6" t="s">
        <v>44</v>
      </c>
      <c r="E514" s="6" t="s">
        <v>47</v>
      </c>
      <c r="F514" s="6">
        <v>10</v>
      </c>
      <c r="G514" s="15">
        <v>7.7083333333333337E-2</v>
      </c>
      <c r="H514" s="16">
        <v>0</v>
      </c>
      <c r="I514" s="35">
        <f ca="1">IFERROR(Tabela3[[#This Row],[Custo Total]]/Tabela3[[#This Row],[Aluminio Util]],0)</f>
        <v>27.143750790330206</v>
      </c>
      <c r="J514" s="35">
        <f ca="1">Tabela3[[#This Row],[Custo Total]]/Tabela3[[#This Row],[Realizado]]</f>
        <v>52.930314041143902</v>
      </c>
      <c r="K514" s="37">
        <f>IFERROR(Tabela3[[#This Row],[Qtde Cx Produzida]]/Tabela3[[#This Row],[Tempo]]/24,0)</f>
        <v>5.4054054054054044</v>
      </c>
      <c r="L514" s="37">
        <f>Tabela3[[#This Row],[Qtde Cx Produzida]]*Tabela3[[#This Row],[Qdt Peça Placa]]</f>
        <v>10</v>
      </c>
      <c r="M514" s="37">
        <f>Tabela3[[#This Row],[Previsto]]-Tabela3[[#This Row],[Perda Pçs]]</f>
        <v>10</v>
      </c>
      <c r="N514" s="38">
        <f>IFERROR(Tabela3[[#This Row],[Perda Pçs]]/Tabela3[[#This Row],[Previsto]],0)</f>
        <v>0</v>
      </c>
      <c r="O514" s="39">
        <f>IFERROR(IF(Tabela3[[#This Row],[Qtde Cx Produzida]] &lt;&gt; 0, Tabela3[[#This Row],[Tempo]] / Tabela3[[#This Row],[Qtde Cx Produzida]], 0),0)</f>
        <v>7.7083333333333335E-3</v>
      </c>
      <c r="P514" s="57">
        <f>IFERROR(Tabela3[[#This Row],[Perda Pçs]]/Tabela3[[#This Row],[Qdt Peça Placa]],0)</f>
        <v>0</v>
      </c>
      <c r="Q514" s="37">
        <f>IFERROR(Tabela3[[#This Row],[Realizado]]*Tabela3[[#This Row],[Peso Util/Pç]],0)</f>
        <v>19.5</v>
      </c>
      <c r="R514" s="37">
        <f>IFERROR(Tabela3[[#This Row],[Peso Total Galho]]*Tabela3[[#This Row],[Qtde Cx Produzida]]*1.055,0)</f>
        <v>36.397500000000001</v>
      </c>
      <c r="S514" s="37">
        <f>(Tabela3[[#This Row],[Aluminio Bruto]]-Tabela3[[#This Row],[Aluminio Util]])*0.9</f>
        <v>15.207750000000001</v>
      </c>
      <c r="T514" s="37">
        <f>Tabela3[[#This Row],[Aluminio Bruto]]/OleoKGAluminio</f>
        <v>15.31238118848464</v>
      </c>
      <c r="U514" s="35">
        <f>IFERROR((VLOOKUP(Tabela3[[#This Row],[Moldador]],Tabela1[],5,)+(VLOOKUP(Tabela3[[#This Row],[Ajudante]],Tabela1[],5,))*3.5),0)</f>
        <v>99.95034583333333</v>
      </c>
      <c r="V514" s="35">
        <f>IFERROR(Tabela3[[#This Row],[Custo M.O. / H]]/((Tabela3[[#This Row],[Realizado]]/Tabela3[[#This Row],[Qdt Peça Placa]])/Tabela3[[#This Row],[Tempo]]/24),)</f>
        <v>18.490813979166671</v>
      </c>
      <c r="W514" s="35">
        <f>Tabela3[[#This Row],[Custo / Cx Moldada]]*Tabela3[[#This Row],[Qtde Cx Produzida]]</f>
        <v>184.90813979166671</v>
      </c>
      <c r="X514" s="35">
        <f ca="1">Tabela3[[#This Row],[Aluminio Util]]*Tabela3[[#This Row],[Custo/Kg]]</f>
        <v>304.20000000000005</v>
      </c>
      <c r="Y514" s="35">
        <f>IFERROR(VLOOKUP(Tabela3[[#This Row],[Data]],Tabela461213[],2,1)*(Tabela3[[#This Row],[Qtde Cx Produzida]]*Tabela3[[#This Row],[Qde macho / CX]]*Tabela3[[#This Row],[Peso Macho]]),)</f>
        <v>0</v>
      </c>
      <c r="Z514" s="35">
        <f>IFERROR(Tabela3[[#This Row],[Qtde Oleo]]*(VLOOKUP(Tabela3[[#This Row],[Data]],CompraOleo[],3,TRUE))*1.05,0)</f>
        <v>40.195000619772181</v>
      </c>
      <c r="AA514" s="47">
        <f ca="1">(Tabela3[[#This Row],[Custo Oleo]]+Tabela3[[#This Row],[Custo Aluminio]]+Tabela3[[#This Row],[Custo M.O. Total]]+Tabela3[[#This Row],[Custo Machos]])</f>
        <v>529.30314041143902</v>
      </c>
      <c r="AB514" s="47">
        <f ca="1">Tabela3[[#This Row],[Custo Total]]*Tabela3[[#This Row],[% Perda]]</f>
        <v>0</v>
      </c>
      <c r="AC514" s="48">
        <f>IFERROR(VLOOKUP(Tabela3[[#This Row],[Produto]],Tabela2[],2,0),0)</f>
        <v>1</v>
      </c>
      <c r="AD514" s="48">
        <f>IFERROR(VLOOKUP(Tabela3[[#This Row],[Produto]],Tabela2[],3,0),0)</f>
        <v>1.95</v>
      </c>
      <c r="AE514" s="48">
        <f>IFERROR(VLOOKUP(Tabela3[[#This Row],[Produto]],Tabela2[],4,0),0)</f>
        <v>3.45</v>
      </c>
      <c r="AF514" s="48">
        <f>IFERROR(VLOOKUP(Tabela3[[#This Row],[Produto]],Tabela2[],5,0),0)</f>
        <v>1.3500000000000003</v>
      </c>
      <c r="AG514" s="40">
        <f>IFERROR(VLOOKUP(Tabela3[[#This Row],[Produto]],Tabela2[],6,0),0)</f>
        <v>0</v>
      </c>
      <c r="AH514" s="40">
        <f>IFERROR(VLOOKUP(Tabela3[[#This Row],[Produto]],Tabela2[],7,0),0)</f>
        <v>0</v>
      </c>
      <c r="AI514" s="40">
        <f>IFERROR(VLOOKUP(Tabela3[[#This Row],[Produto]],Tabela2[],8,0),0)</f>
        <v>0</v>
      </c>
      <c r="AJ514" s="35">
        <f ca="1">IFERROR(VLOOKUP(Tabela3[[#This Row],[Produto]],Tabela2[],13,0),0)</f>
        <v>15.600000000000001</v>
      </c>
      <c r="AK514" s="40" t="str">
        <f>IFERROR(VLOOKUP(Tabela3[[#This Row],[Produto]],Tabela2[],14,0),0)</f>
        <v>Jumil</v>
      </c>
      <c r="AL514" s="40">
        <f>IFERROR(VLOOKUP(Tabela3[[#This Row],[Produto]],Tabela2[],15,0),0)</f>
        <v>1</v>
      </c>
      <c r="AM514" s="36">
        <f ca="1">(Tabela3[[#This Row],[Custo Usinagem]]+Tabela3[[#This Row],[Custo / Pç]])*1.2</f>
        <v>64.716376849372679</v>
      </c>
      <c r="AN514" s="36">
        <f ca="1">Tabela3[[#This Row],[Valor Mínimo Venda]]*1.15</f>
        <v>74.423833376778575</v>
      </c>
      <c r="AO514" s="36">
        <f ca="1">Tabela3[[#This Row],[Tabela 1]]*1.08</f>
        <v>80.377740046920863</v>
      </c>
      <c r="AP514" s="36">
        <f ca="1">Tabela3[[#This Row],[Tabela 2]]*1.15</f>
        <v>92.434401053958979</v>
      </c>
    </row>
    <row r="515" spans="1:42">
      <c r="A515" s="9">
        <v>45875</v>
      </c>
      <c r="B515" s="6" t="s">
        <v>247</v>
      </c>
      <c r="C515" s="14">
        <v>7488</v>
      </c>
      <c r="D515" s="6" t="s">
        <v>44</v>
      </c>
      <c r="E515" s="6" t="s">
        <v>47</v>
      </c>
      <c r="F515" s="6">
        <v>11</v>
      </c>
      <c r="G515" s="15">
        <v>5.7638888888888892E-2</v>
      </c>
      <c r="H515" s="16">
        <v>0</v>
      </c>
      <c r="I515" s="35">
        <f ca="1">IFERROR(Tabela3[[#This Row],[Custo Total]]/Tabela3[[#This Row],[Aluminio Util]],0)</f>
        <v>28.307649913430105</v>
      </c>
      <c r="J515" s="35">
        <f ca="1">Tabela3[[#This Row],[Custo Total]]/Tabela3[[#This Row],[Realizado]]</f>
        <v>8.492294974029031</v>
      </c>
      <c r="K515" s="37">
        <f>IFERROR(Tabela3[[#This Row],[Qtde Cx Produzida]]/Tabela3[[#This Row],[Tempo]]/24,0)</f>
        <v>7.9518072289156621</v>
      </c>
      <c r="L515" s="37">
        <f>Tabela3[[#This Row],[Qtde Cx Produzida]]*Tabela3[[#This Row],[Qdt Peça Placa]]</f>
        <v>44</v>
      </c>
      <c r="M515" s="37">
        <f>Tabela3[[#This Row],[Previsto]]-Tabela3[[#This Row],[Perda Pçs]]</f>
        <v>44</v>
      </c>
      <c r="N515" s="38">
        <f>IFERROR(Tabela3[[#This Row],[Perda Pçs]]/Tabela3[[#This Row],[Previsto]],0)</f>
        <v>0</v>
      </c>
      <c r="O515" s="39">
        <f>IFERROR(IF(Tabela3[[#This Row],[Qtde Cx Produzida]] &lt;&gt; 0, Tabela3[[#This Row],[Tempo]] / Tabela3[[#This Row],[Qtde Cx Produzida]], 0),0)</f>
        <v>5.2398989898989898E-3</v>
      </c>
      <c r="P515" s="57">
        <f>IFERROR(Tabela3[[#This Row],[Perda Pçs]]/Tabela3[[#This Row],[Qdt Peça Placa]],0)</f>
        <v>0</v>
      </c>
      <c r="Q515" s="37">
        <f>IFERROR(Tabela3[[#This Row],[Realizado]]*Tabela3[[#This Row],[Peso Util/Pç]],0)</f>
        <v>13.2</v>
      </c>
      <c r="R515" s="37">
        <f>IFERROR(Tabela3[[#This Row],[Peso Total Galho]]*Tabela3[[#This Row],[Qtde Cx Produzida]]*1.055,0)</f>
        <v>26.691499999999994</v>
      </c>
      <c r="S515" s="37">
        <f>(Tabela3[[#This Row],[Aluminio Bruto]]-Tabela3[[#This Row],[Aluminio Util]])*0.9</f>
        <v>12.142349999999995</v>
      </c>
      <c r="T515" s="37">
        <f>Tabela3[[#This Row],[Aluminio Bruto]]/OleoKGAluminio</f>
        <v>11.229079538222067</v>
      </c>
      <c r="U515" s="35">
        <f>IFERROR((VLOOKUP(Tabela3[[#This Row],[Moldador]],Tabela1[],5,)+(VLOOKUP(Tabela3[[#This Row],[Ajudante]],Tabela1[],5,))*3.5),0)</f>
        <v>99.95034583333333</v>
      </c>
      <c r="V515" s="35">
        <f>IFERROR(Tabela3[[#This Row],[Custo M.O. / H]]/((Tabela3[[#This Row],[Realizado]]/Tabela3[[#This Row],[Qdt Peça Placa]])/Tabela3[[#This Row],[Tempo]]/24),)</f>
        <v>12.569513188131314</v>
      </c>
      <c r="W515" s="35">
        <f>Tabela3[[#This Row],[Custo / Cx Moldada]]*Tabela3[[#This Row],[Qtde Cx Produzida]]</f>
        <v>138.26464506944444</v>
      </c>
      <c r="X515" s="35">
        <f ca="1">Tabela3[[#This Row],[Aluminio Util]]*Tabela3[[#This Row],[Custo/Kg]]</f>
        <v>205.92000000000002</v>
      </c>
      <c r="Y515" s="35">
        <f>IFERROR(VLOOKUP(Tabela3[[#This Row],[Data]],Tabela461213[],2,1)*(Tabela3[[#This Row],[Qtde Cx Produzida]]*Tabela3[[#This Row],[Qde macho / CX]]*Tabela3[[#This Row],[Peso Macho]]),)</f>
        <v>0</v>
      </c>
      <c r="Z515" s="35">
        <f>IFERROR(Tabela3[[#This Row],[Qtde Oleo]]*(VLOOKUP(Tabela3[[#This Row],[Data]],CompraOleo[],3,TRUE))*1.05,0)</f>
        <v>29.476333787832925</v>
      </c>
      <c r="AA515" s="47">
        <f ca="1">(Tabela3[[#This Row],[Custo Oleo]]+Tabela3[[#This Row],[Custo Aluminio]]+Tabela3[[#This Row],[Custo M.O. Total]]+Tabela3[[#This Row],[Custo Machos]])</f>
        <v>373.66097885727737</v>
      </c>
      <c r="AB515" s="47">
        <f ca="1">Tabela3[[#This Row],[Custo Total]]*Tabela3[[#This Row],[% Perda]]</f>
        <v>0</v>
      </c>
      <c r="AC515" s="48">
        <f>IFERROR(VLOOKUP(Tabela3[[#This Row],[Produto]],Tabela2[],2,0),0)</f>
        <v>4</v>
      </c>
      <c r="AD515" s="48">
        <f>IFERROR(VLOOKUP(Tabela3[[#This Row],[Produto]],Tabela2[],3,0),0)</f>
        <v>0.3</v>
      </c>
      <c r="AE515" s="48">
        <f>IFERROR(VLOOKUP(Tabela3[[#This Row],[Produto]],Tabela2[],4,0),0)</f>
        <v>2.2999999999999998</v>
      </c>
      <c r="AF515" s="48">
        <f>IFERROR(VLOOKUP(Tabela3[[#This Row],[Produto]],Tabela2[],5,0),0)</f>
        <v>0.98999999999999988</v>
      </c>
      <c r="AG515" s="40">
        <f>IFERROR(VLOOKUP(Tabela3[[#This Row],[Produto]],Tabela2[],6,0),0)</f>
        <v>0</v>
      </c>
      <c r="AH515" s="40">
        <f>IFERROR(VLOOKUP(Tabela3[[#This Row],[Produto]],Tabela2[],7,0),0)</f>
        <v>0</v>
      </c>
      <c r="AI515" s="40">
        <f>IFERROR(VLOOKUP(Tabela3[[#This Row],[Produto]],Tabela2[],8,0),0)</f>
        <v>0</v>
      </c>
      <c r="AJ515" s="35">
        <f ca="1">IFERROR(VLOOKUP(Tabela3[[#This Row],[Produto]],Tabela2[],13,0),0)</f>
        <v>15.600000000000001</v>
      </c>
      <c r="AK515" s="40" t="str">
        <f>IFERROR(VLOOKUP(Tabela3[[#This Row],[Produto]],Tabela2[],14,0),0)</f>
        <v>Senun</v>
      </c>
      <c r="AL515" s="40">
        <f>IFERROR(VLOOKUP(Tabela3[[#This Row],[Produto]],Tabela2[],15,0),0)</f>
        <v>3.5</v>
      </c>
      <c r="AM515" s="36">
        <f ca="1">(Tabela3[[#This Row],[Custo Usinagem]]+Tabela3[[#This Row],[Custo / Pç]])*1.2</f>
        <v>14.390753968834836</v>
      </c>
      <c r="AN515" s="36">
        <f ca="1">Tabela3[[#This Row],[Valor Mínimo Venda]]*1.15</f>
        <v>16.549367064160062</v>
      </c>
      <c r="AO515" s="36">
        <f ca="1">Tabela3[[#This Row],[Tabela 1]]*1.08</f>
        <v>17.873316429292867</v>
      </c>
      <c r="AP515" s="36">
        <f ca="1">Tabela3[[#This Row],[Tabela 2]]*1.15</f>
        <v>20.554313893686796</v>
      </c>
    </row>
    <row r="516" spans="1:42">
      <c r="A516" s="9">
        <v>45876</v>
      </c>
      <c r="B516" s="6" t="s">
        <v>247</v>
      </c>
      <c r="C516" s="14">
        <v>7488</v>
      </c>
      <c r="D516" s="6" t="s">
        <v>46</v>
      </c>
      <c r="E516" s="6" t="s">
        <v>53</v>
      </c>
      <c r="F516" s="6">
        <v>71</v>
      </c>
      <c r="G516" s="15">
        <v>0.36180555555555555</v>
      </c>
      <c r="H516" s="16">
        <v>0</v>
      </c>
      <c r="I516" s="35">
        <f ca="1">IFERROR(Tabela3[[#This Row],[Custo Total]]/Tabela3[[#This Row],[Aluminio Util]],0)</f>
        <v>28.019700773705392</v>
      </c>
      <c r="J516" s="35">
        <f ca="1">Tabela3[[#This Row],[Custo Total]]/Tabela3[[#This Row],[Realizado]]</f>
        <v>8.4059102321116175</v>
      </c>
      <c r="K516" s="37">
        <f>IFERROR(Tabela3[[#This Row],[Qtde Cx Produzida]]/Tabela3[[#This Row],[Tempo]]/24,0)</f>
        <v>8.1765834932821502</v>
      </c>
      <c r="L516" s="37">
        <f>Tabela3[[#This Row],[Qtde Cx Produzida]]*Tabela3[[#This Row],[Qdt Peça Placa]]</f>
        <v>284</v>
      </c>
      <c r="M516" s="37">
        <f>Tabela3[[#This Row],[Previsto]]-Tabela3[[#This Row],[Perda Pçs]]</f>
        <v>284</v>
      </c>
      <c r="N516" s="38">
        <f>IFERROR(Tabela3[[#This Row],[Perda Pçs]]/Tabela3[[#This Row],[Previsto]],0)</f>
        <v>0</v>
      </c>
      <c r="O516" s="39">
        <f>IFERROR(IF(Tabela3[[#This Row],[Qtde Cx Produzida]] &lt;&gt; 0, Tabela3[[#This Row],[Tempo]] / Tabela3[[#This Row],[Qtde Cx Produzida]], 0),0)</f>
        <v>5.0958528951486693E-3</v>
      </c>
      <c r="P516" s="57">
        <f>IFERROR(Tabela3[[#This Row],[Perda Pçs]]/Tabela3[[#This Row],[Qdt Peça Placa]],0)</f>
        <v>0</v>
      </c>
      <c r="Q516" s="37">
        <f>IFERROR(Tabela3[[#This Row],[Realizado]]*Tabela3[[#This Row],[Peso Util/Pç]],0)</f>
        <v>85.2</v>
      </c>
      <c r="R516" s="37">
        <f>IFERROR(Tabela3[[#This Row],[Peso Total Galho]]*Tabela3[[#This Row],[Qtde Cx Produzida]]*1.055,0)</f>
        <v>172.28149999999997</v>
      </c>
      <c r="S516" s="37">
        <f>(Tabela3[[#This Row],[Aluminio Bruto]]-Tabela3[[#This Row],[Aluminio Util]])*0.9</f>
        <v>78.373349999999974</v>
      </c>
      <c r="T516" s="37">
        <f>Tabela3[[#This Row],[Aluminio Bruto]]/OleoKGAluminio</f>
        <v>72.478604292160611</v>
      </c>
      <c r="U516" s="35">
        <f>IFERROR((VLOOKUP(Tabela3[[#This Row],[Moldador]],Tabela1[],5,)+(VLOOKUP(Tabela3[[#This Row],[Ajudante]],Tabela1[],5,))*3.5),0)</f>
        <v>99.95034583333333</v>
      </c>
      <c r="V516" s="35">
        <f>IFERROR(Tabela3[[#This Row],[Custo M.O. / H]]/((Tabela3[[#This Row],[Realizado]]/Tabela3[[#This Row],[Qdt Peça Placa]])/Tabela3[[#This Row],[Tempo]]/24),)</f>
        <v>12.223974220461658</v>
      </c>
      <c r="W516" s="35">
        <f>Tabela3[[#This Row],[Custo / Cx Moldada]]*Tabela3[[#This Row],[Qtde Cx Produzida]]</f>
        <v>867.90216965277773</v>
      </c>
      <c r="X516" s="35">
        <f ca="1">Tabela3[[#This Row],[Aluminio Util]]*Tabela3[[#This Row],[Custo/Kg]]</f>
        <v>1329.1200000000001</v>
      </c>
      <c r="Y516" s="35">
        <f>IFERROR(VLOOKUP(Tabela3[[#This Row],[Data]],Tabela461213[],2,1)*(Tabela3[[#This Row],[Qtde Cx Produzida]]*Tabela3[[#This Row],[Qde macho / CX]]*Tabela3[[#This Row],[Peso Macho]]),)</f>
        <v>0</v>
      </c>
      <c r="Z516" s="35">
        <f>IFERROR(Tabela3[[#This Row],[Qtde Oleo]]*(VLOOKUP(Tabela3[[#This Row],[Data]],CompraOleo[],3,TRUE))*1.05,0)</f>
        <v>190.25633626692164</v>
      </c>
      <c r="AA516" s="47">
        <f ca="1">(Tabela3[[#This Row],[Custo Oleo]]+Tabela3[[#This Row],[Custo Aluminio]]+Tabela3[[#This Row],[Custo M.O. Total]]+Tabela3[[#This Row],[Custo Machos]])</f>
        <v>2387.2785059196995</v>
      </c>
      <c r="AB516" s="47">
        <f ca="1">Tabela3[[#This Row],[Custo Total]]*Tabela3[[#This Row],[% Perda]]</f>
        <v>0</v>
      </c>
      <c r="AC516" s="48">
        <f>IFERROR(VLOOKUP(Tabela3[[#This Row],[Produto]],Tabela2[],2,0),0)</f>
        <v>4</v>
      </c>
      <c r="AD516" s="48">
        <f>IFERROR(VLOOKUP(Tabela3[[#This Row],[Produto]],Tabela2[],3,0),0)</f>
        <v>0.3</v>
      </c>
      <c r="AE516" s="48">
        <f>IFERROR(VLOOKUP(Tabela3[[#This Row],[Produto]],Tabela2[],4,0),0)</f>
        <v>2.2999999999999998</v>
      </c>
      <c r="AF516" s="48">
        <f>IFERROR(VLOOKUP(Tabela3[[#This Row],[Produto]],Tabela2[],5,0),0)</f>
        <v>0.98999999999999988</v>
      </c>
      <c r="AG516" s="40">
        <f>IFERROR(VLOOKUP(Tabela3[[#This Row],[Produto]],Tabela2[],6,0),0)</f>
        <v>0</v>
      </c>
      <c r="AH516" s="40">
        <f>IFERROR(VLOOKUP(Tabela3[[#This Row],[Produto]],Tabela2[],7,0),0)</f>
        <v>0</v>
      </c>
      <c r="AI516" s="40">
        <f>IFERROR(VLOOKUP(Tabela3[[#This Row],[Produto]],Tabela2[],8,0),0)</f>
        <v>0</v>
      </c>
      <c r="AJ516" s="35">
        <f ca="1">IFERROR(VLOOKUP(Tabela3[[#This Row],[Produto]],Tabela2[],13,0),0)</f>
        <v>15.600000000000001</v>
      </c>
      <c r="AK516" s="40" t="str">
        <f>IFERROR(VLOOKUP(Tabela3[[#This Row],[Produto]],Tabela2[],14,0),0)</f>
        <v>Senun</v>
      </c>
      <c r="AL516" s="40">
        <f>IFERROR(VLOOKUP(Tabela3[[#This Row],[Produto]],Tabela2[],15,0),0)</f>
        <v>3.5</v>
      </c>
      <c r="AM516" s="36">
        <f ca="1">(Tabela3[[#This Row],[Custo Usinagem]]+Tabela3[[#This Row],[Custo / Pç]])*1.2</f>
        <v>14.28709227853394</v>
      </c>
      <c r="AN516" s="36">
        <f ca="1">Tabela3[[#This Row],[Valor Mínimo Venda]]*1.15</f>
        <v>16.430156120314031</v>
      </c>
      <c r="AO516" s="36">
        <f ca="1">Tabela3[[#This Row],[Tabela 1]]*1.08</f>
        <v>17.744568609939154</v>
      </c>
      <c r="AP516" s="36">
        <f ca="1">Tabela3[[#This Row],[Tabela 2]]*1.15</f>
        <v>20.406253901430027</v>
      </c>
    </row>
    <row r="517" spans="1:42">
      <c r="A517" s="9">
        <v>45880</v>
      </c>
      <c r="B517" s="6" t="s">
        <v>247</v>
      </c>
      <c r="C517" s="14">
        <v>7488</v>
      </c>
      <c r="D517" s="6" t="s">
        <v>46</v>
      </c>
      <c r="E517" s="6" t="s">
        <v>326</v>
      </c>
      <c r="F517" s="6">
        <v>31</v>
      </c>
      <c r="G517" s="15">
        <v>0.16666666666666666</v>
      </c>
      <c r="H517" s="16">
        <v>0</v>
      </c>
      <c r="I517" s="35">
        <f ca="1">IFERROR(Tabela3[[#This Row],[Custo Total]]/Tabela3[[#This Row],[Aluminio Util]],0)</f>
        <v>28.580404604324261</v>
      </c>
      <c r="J517" s="35">
        <f ca="1">Tabela3[[#This Row],[Custo Total]]/Tabela3[[#This Row],[Realizado]]</f>
        <v>8.5741213812972781</v>
      </c>
      <c r="K517" s="37">
        <f>IFERROR(Tabela3[[#This Row],[Qtde Cx Produzida]]/Tabela3[[#This Row],[Tempo]]/24,0)</f>
        <v>7.75</v>
      </c>
      <c r="L517" s="37">
        <f>Tabela3[[#This Row],[Qtde Cx Produzida]]*Tabela3[[#This Row],[Qdt Peça Placa]]</f>
        <v>124</v>
      </c>
      <c r="M517" s="37">
        <f>Tabela3[[#This Row],[Previsto]]-Tabela3[[#This Row],[Perda Pçs]]</f>
        <v>124</v>
      </c>
      <c r="N517" s="38">
        <f>IFERROR(Tabela3[[#This Row],[Perda Pçs]]/Tabela3[[#This Row],[Previsto]],0)</f>
        <v>0</v>
      </c>
      <c r="O517" s="39">
        <f>IFERROR(IF(Tabela3[[#This Row],[Qtde Cx Produzida]] &lt;&gt; 0, Tabela3[[#This Row],[Tempo]] / Tabela3[[#This Row],[Qtde Cx Produzida]], 0),0)</f>
        <v>5.3763440860215049E-3</v>
      </c>
      <c r="P517" s="57">
        <f>IFERROR(Tabela3[[#This Row],[Perda Pçs]]/Tabela3[[#This Row],[Qdt Peça Placa]],0)</f>
        <v>0</v>
      </c>
      <c r="Q517" s="37">
        <f>IFERROR(Tabela3[[#This Row],[Realizado]]*Tabela3[[#This Row],[Peso Util/Pç]],0)</f>
        <v>37.199999999999996</v>
      </c>
      <c r="R517" s="37">
        <f>IFERROR(Tabela3[[#This Row],[Peso Total Galho]]*Tabela3[[#This Row],[Qtde Cx Produzida]]*1.055,0)</f>
        <v>75.221499999999992</v>
      </c>
      <c r="S517" s="37">
        <f>(Tabela3[[#This Row],[Aluminio Bruto]]-Tabela3[[#This Row],[Aluminio Util]])*0.9</f>
        <v>34.219349999999999</v>
      </c>
      <c r="T517" s="37">
        <f>Tabela3[[#This Row],[Aluminio Bruto]]/OleoKGAluminio</f>
        <v>31.645587789534918</v>
      </c>
      <c r="U517" s="35">
        <f>IFERROR((VLOOKUP(Tabela3[[#This Row],[Moldador]],Tabela1[],5,)+(VLOOKUP(Tabela3[[#This Row],[Ajudante]],Tabela1[],5,))*3.5),0)</f>
        <v>99.95034583333333</v>
      </c>
      <c r="V517" s="35">
        <f>IFERROR(Tabela3[[#This Row],[Custo M.O. / H]]/((Tabela3[[#This Row],[Realizado]]/Tabela3[[#This Row],[Qdt Peça Placa]])/Tabela3[[#This Row],[Tempo]]/24),)</f>
        <v>12.8968188172043</v>
      </c>
      <c r="W517" s="35">
        <f>Tabela3[[#This Row],[Custo / Cx Moldada]]*Tabela3[[#This Row],[Qtde Cx Produzida]]</f>
        <v>399.80138333333332</v>
      </c>
      <c r="X517" s="35">
        <f ca="1">Tabela3[[#This Row],[Aluminio Util]]*Tabela3[[#This Row],[Custo/Kg]]</f>
        <v>580.31999999999994</v>
      </c>
      <c r="Y517" s="35">
        <f>IFERROR(VLOOKUP(Tabela3[[#This Row],[Data]],Tabela461213[],2,1)*(Tabela3[[#This Row],[Qtde Cx Produzida]]*Tabela3[[#This Row],[Qde macho / CX]]*Tabela3[[#This Row],[Peso Macho]]),)</f>
        <v>0</v>
      </c>
      <c r="Z517" s="35">
        <f>IFERROR(Tabela3[[#This Row],[Qtde Oleo]]*(VLOOKUP(Tabela3[[#This Row],[Data]],CompraOleo[],3,TRUE))*1.05,0)</f>
        <v>83.069667947529169</v>
      </c>
      <c r="AA517" s="47">
        <f ca="1">(Tabela3[[#This Row],[Custo Oleo]]+Tabela3[[#This Row],[Custo Aluminio]]+Tabela3[[#This Row],[Custo M.O. Total]]+Tabela3[[#This Row],[Custo Machos]])</f>
        <v>1063.1910512808624</v>
      </c>
      <c r="AB517" s="47">
        <f ca="1">Tabela3[[#This Row],[Custo Total]]*Tabela3[[#This Row],[% Perda]]</f>
        <v>0</v>
      </c>
      <c r="AC517" s="48">
        <f>IFERROR(VLOOKUP(Tabela3[[#This Row],[Produto]],Tabela2[],2,0),0)</f>
        <v>4</v>
      </c>
      <c r="AD517" s="48">
        <f>IFERROR(VLOOKUP(Tabela3[[#This Row],[Produto]],Tabela2[],3,0),0)</f>
        <v>0.3</v>
      </c>
      <c r="AE517" s="48">
        <f>IFERROR(VLOOKUP(Tabela3[[#This Row],[Produto]],Tabela2[],4,0),0)</f>
        <v>2.2999999999999998</v>
      </c>
      <c r="AF517" s="48">
        <f>IFERROR(VLOOKUP(Tabela3[[#This Row],[Produto]],Tabela2[],5,0),0)</f>
        <v>0.98999999999999988</v>
      </c>
      <c r="AG517" s="40">
        <f>IFERROR(VLOOKUP(Tabela3[[#This Row],[Produto]],Tabela2[],6,0),0)</f>
        <v>0</v>
      </c>
      <c r="AH517" s="40">
        <f>IFERROR(VLOOKUP(Tabela3[[#This Row],[Produto]],Tabela2[],7,0),0)</f>
        <v>0</v>
      </c>
      <c r="AI517" s="40">
        <f>IFERROR(VLOOKUP(Tabela3[[#This Row],[Produto]],Tabela2[],8,0),0)</f>
        <v>0</v>
      </c>
      <c r="AJ517" s="35">
        <f ca="1">IFERROR(VLOOKUP(Tabela3[[#This Row],[Produto]],Tabela2[],13,0),0)</f>
        <v>15.600000000000001</v>
      </c>
      <c r="AK517" s="40" t="str">
        <f>IFERROR(VLOOKUP(Tabela3[[#This Row],[Produto]],Tabela2[],14,0),0)</f>
        <v>Senun</v>
      </c>
      <c r="AL517" s="40">
        <f>IFERROR(VLOOKUP(Tabela3[[#This Row],[Produto]],Tabela2[],15,0),0)</f>
        <v>3.5</v>
      </c>
      <c r="AM517" s="36">
        <f ca="1">(Tabela3[[#This Row],[Custo Usinagem]]+Tabela3[[#This Row],[Custo / Pç]])*1.2</f>
        <v>14.488945657556734</v>
      </c>
      <c r="AN517" s="36">
        <f ca="1">Tabela3[[#This Row],[Valor Mínimo Venda]]*1.15</f>
        <v>16.662287506190243</v>
      </c>
      <c r="AO517" s="36">
        <f ca="1">Tabela3[[#This Row],[Tabela 1]]*1.08</f>
        <v>17.995270506685465</v>
      </c>
      <c r="AP517" s="36">
        <f ca="1">Tabela3[[#This Row],[Tabela 2]]*1.15</f>
        <v>20.694561082688281</v>
      </c>
    </row>
    <row r="518" spans="1:42">
      <c r="A518" s="9">
        <v>45880</v>
      </c>
      <c r="B518" s="6" t="s">
        <v>91</v>
      </c>
      <c r="C518" s="14">
        <v>7503</v>
      </c>
      <c r="D518" s="6" t="s">
        <v>46</v>
      </c>
      <c r="E518" s="6" t="s">
        <v>326</v>
      </c>
      <c r="F518" s="6">
        <v>11</v>
      </c>
      <c r="G518" s="15">
        <v>7.0833333333333331E-2</v>
      </c>
      <c r="H518" s="16">
        <v>0</v>
      </c>
      <c r="I518" s="35">
        <f ca="1">IFERROR(Tabela3[[#This Row],[Custo Total]]/Tabela3[[#This Row],[Aluminio Util]],0)</f>
        <v>39.903409999183658</v>
      </c>
      <c r="J518" s="35">
        <f ca="1">Tabela3[[#This Row],[Custo Total]]/Tabela3[[#This Row],[Realizado]]</f>
        <v>31.284273439359989</v>
      </c>
      <c r="K518" s="37">
        <f>IFERROR(Tabela3[[#This Row],[Qtde Cx Produzida]]/Tabela3[[#This Row],[Tempo]]/24,0)</f>
        <v>6.4705882352941186</v>
      </c>
      <c r="L518" s="37">
        <f>Tabela3[[#This Row],[Qtde Cx Produzida]]*Tabela3[[#This Row],[Qdt Peça Placa]]</f>
        <v>44</v>
      </c>
      <c r="M518" s="37">
        <f>Tabela3[[#This Row],[Previsto]]-Tabela3[[#This Row],[Perda Pçs]]</f>
        <v>44</v>
      </c>
      <c r="N518" s="38">
        <f>IFERROR(Tabela3[[#This Row],[Perda Pçs]]/Tabela3[[#This Row],[Previsto]],0)</f>
        <v>0</v>
      </c>
      <c r="O518" s="39">
        <f>IFERROR(IF(Tabela3[[#This Row],[Qtde Cx Produzida]] &lt;&gt; 0, Tabela3[[#This Row],[Tempo]] / Tabela3[[#This Row],[Qtde Cx Produzida]], 0),0)</f>
        <v>6.4393939393939392E-3</v>
      </c>
      <c r="P518" s="57">
        <f>IFERROR(Tabela3[[#This Row],[Perda Pçs]]/Tabela3[[#This Row],[Qdt Peça Placa]],0)</f>
        <v>0</v>
      </c>
      <c r="Q518" s="37">
        <f>IFERROR(Tabela3[[#This Row],[Realizado]]*Tabela3[[#This Row],[Peso Util/Pç]],0)</f>
        <v>34.496000000000002</v>
      </c>
      <c r="R518" s="37">
        <f>IFERROR(Tabela3[[#This Row],[Peso Total Galho]]*Tabela3[[#This Row],[Qtde Cx Produzida]]*1.055,0)</f>
        <v>64.384540000000001</v>
      </c>
      <c r="S518" s="37">
        <f>(Tabela3[[#This Row],[Aluminio Bruto]]-Tabela3[[#This Row],[Aluminio Util]])*0.9</f>
        <v>26.899685999999999</v>
      </c>
      <c r="T518" s="37">
        <f>Tabela3[[#This Row],[Aluminio Bruto]]/OleoKGAluminio</f>
        <v>27.086492729589583</v>
      </c>
      <c r="U518" s="35">
        <f>IFERROR((VLOOKUP(Tabela3[[#This Row],[Moldador]],Tabela1[],5,)+(VLOOKUP(Tabela3[[#This Row],[Ajudante]],Tabela1[],5,))*3.5),0)</f>
        <v>99.95034583333333</v>
      </c>
      <c r="V518" s="35">
        <f>IFERROR(Tabela3[[#This Row],[Custo M.O. / H]]/((Tabela3[[#This Row],[Realizado]]/Tabela3[[#This Row],[Qdt Peça Placa]])/Tabela3[[#This Row],[Tempo]]/24),)</f>
        <v>15.446871628787877</v>
      </c>
      <c r="W518" s="35">
        <f>Tabela3[[#This Row],[Custo / Cx Moldada]]*Tabela3[[#This Row],[Qtde Cx Produzida]]</f>
        <v>169.91558791666665</v>
      </c>
      <c r="X518" s="35">
        <f ca="1">Tabela3[[#This Row],[Aluminio Util]]*Tabela3[[#This Row],[Custo/Kg]]</f>
        <v>538.13760000000013</v>
      </c>
      <c r="Y518" s="35">
        <f>IFERROR(VLOOKUP(Tabela3[[#This Row],[Data]],Tabela461213[],2,1)*(Tabela3[[#This Row],[Qtde Cx Produzida]]*Tabela3[[#This Row],[Qde macho / CX]]*Tabela3[[#This Row],[Peso Macho]]),)</f>
        <v>597.3528</v>
      </c>
      <c r="Z518" s="35">
        <f>IFERROR(Tabela3[[#This Row],[Qtde Oleo]]*(VLOOKUP(Tabela3[[#This Row],[Data]],CompraOleo[],3,TRUE))*1.05,0)</f>
        <v>71.102043415172659</v>
      </c>
      <c r="AA518" s="47">
        <f ca="1">(Tabela3[[#This Row],[Custo Oleo]]+Tabela3[[#This Row],[Custo Aluminio]]+Tabela3[[#This Row],[Custo M.O. Total]]+Tabela3[[#This Row],[Custo Machos]])</f>
        <v>1376.5080313318394</v>
      </c>
      <c r="AB518" s="47">
        <f ca="1">Tabela3[[#This Row],[Custo Total]]*Tabela3[[#This Row],[% Perda]]</f>
        <v>0</v>
      </c>
      <c r="AC518" s="48">
        <f>IFERROR(VLOOKUP(Tabela3[[#This Row],[Produto]],Tabela2[],2,0),0)</f>
        <v>4</v>
      </c>
      <c r="AD518" s="48">
        <f>IFERROR(VLOOKUP(Tabela3[[#This Row],[Produto]],Tabela2[],3,0),0)</f>
        <v>0.78400000000000003</v>
      </c>
      <c r="AE518" s="48">
        <f>IFERROR(VLOOKUP(Tabela3[[#This Row],[Produto]],Tabela2[],4,0),0)</f>
        <v>5.548</v>
      </c>
      <c r="AF518" s="48">
        <f>IFERROR(VLOOKUP(Tabela3[[#This Row],[Produto]],Tabela2[],5,0),0)</f>
        <v>2.1707999999999998</v>
      </c>
      <c r="AG518" s="40">
        <f>IFERROR(VLOOKUP(Tabela3[[#This Row],[Produto]],Tabela2[],6,0),0)</f>
        <v>0</v>
      </c>
      <c r="AH518" s="40">
        <f>IFERROR(VLOOKUP(Tabela3[[#This Row],[Produto]],Tabela2[],7,0),0)</f>
        <v>12</v>
      </c>
      <c r="AI518" s="40">
        <f>IFERROR(VLOOKUP(Tabela3[[#This Row],[Produto]],Tabela2[],8,0),0)</f>
        <v>2.6619999999999999</v>
      </c>
      <c r="AJ518" s="35">
        <f ca="1">IFERROR(VLOOKUP(Tabela3[[#This Row],[Produto]],Tabela2[],13,0),0)</f>
        <v>15.600000000000001</v>
      </c>
      <c r="AK518" s="40" t="str">
        <f>IFERROR(VLOOKUP(Tabela3[[#This Row],[Produto]],Tabela2[],14,0),0)</f>
        <v>Jumil</v>
      </c>
      <c r="AL518" s="40">
        <f>IFERROR(VLOOKUP(Tabela3[[#This Row],[Produto]],Tabela2[],15,0),0)</f>
        <v>8</v>
      </c>
      <c r="AM518" s="36">
        <f ca="1">(Tabela3[[#This Row],[Custo Usinagem]]+Tabela3[[#This Row],[Custo / Pç]])*1.2</f>
        <v>47.141128127231987</v>
      </c>
      <c r="AN518" s="36">
        <f ca="1">Tabela3[[#This Row],[Valor Mínimo Venda]]*1.15</f>
        <v>54.212297346316781</v>
      </c>
      <c r="AO518" s="36">
        <f ca="1">Tabela3[[#This Row],[Tabela 1]]*1.08</f>
        <v>58.549281134022131</v>
      </c>
      <c r="AP518" s="36">
        <f ca="1">Tabela3[[#This Row],[Tabela 2]]*1.15</f>
        <v>67.331673304125445</v>
      </c>
    </row>
    <row r="519" spans="1:42">
      <c r="A519" s="9">
        <v>45880</v>
      </c>
      <c r="B519" s="6" t="s">
        <v>142</v>
      </c>
      <c r="C519" s="14">
        <v>7505</v>
      </c>
      <c r="D519" s="6" t="s">
        <v>46</v>
      </c>
      <c r="E519" s="6" t="s">
        <v>53</v>
      </c>
      <c r="F519" s="6">
        <v>9</v>
      </c>
      <c r="G519" s="15">
        <v>3.4722222222222224E-2</v>
      </c>
      <c r="H519" s="16">
        <v>0</v>
      </c>
      <c r="I519" s="35">
        <f ca="1">IFERROR(Tabela3[[#This Row],[Custo Total]]/Tabela3[[#This Row],[Aluminio Util]],0)</f>
        <v>30.104239018733239</v>
      </c>
      <c r="J519" s="35">
        <f ca="1">Tabela3[[#This Row],[Custo Total]]/Tabela3[[#This Row],[Realizado]]</f>
        <v>24.083391214986591</v>
      </c>
      <c r="K519" s="37">
        <f>IFERROR(Tabela3[[#This Row],[Qtde Cx Produzida]]/Tabela3[[#This Row],[Tempo]]/24,0)</f>
        <v>10.799999999999999</v>
      </c>
      <c r="L519" s="37">
        <f>Tabela3[[#This Row],[Qtde Cx Produzida]]*Tabela3[[#This Row],[Qdt Peça Placa]]</f>
        <v>9</v>
      </c>
      <c r="M519" s="37">
        <f>Tabela3[[#This Row],[Previsto]]-Tabela3[[#This Row],[Perda Pçs]]</f>
        <v>9</v>
      </c>
      <c r="N519" s="38">
        <f>IFERROR(Tabela3[[#This Row],[Perda Pçs]]/Tabela3[[#This Row],[Previsto]],0)</f>
        <v>0</v>
      </c>
      <c r="O519" s="39">
        <f>IFERROR(IF(Tabela3[[#This Row],[Qtde Cx Produzida]] &lt;&gt; 0, Tabela3[[#This Row],[Tempo]] / Tabela3[[#This Row],[Qtde Cx Produzida]], 0),0)</f>
        <v>3.8580246913580249E-3</v>
      </c>
      <c r="P519" s="57">
        <f>IFERROR(Tabela3[[#This Row],[Perda Pçs]]/Tabela3[[#This Row],[Qdt Peça Placa]],0)</f>
        <v>0</v>
      </c>
      <c r="Q519" s="37">
        <f>IFERROR(Tabela3[[#This Row],[Realizado]]*Tabela3[[#This Row],[Peso Util/Pç]],0)</f>
        <v>7.2</v>
      </c>
      <c r="R519" s="37">
        <f>IFERROR(Tabela3[[#This Row],[Peso Total Galho]]*Tabela3[[#This Row],[Qtde Cx Produzida]]*1.055,0)</f>
        <v>12.818249999999999</v>
      </c>
      <c r="S519" s="37">
        <f>(Tabela3[[#This Row],[Aluminio Bruto]]-Tabela3[[#This Row],[Aluminio Util]])*0.9</f>
        <v>5.0564249999999991</v>
      </c>
      <c r="T519" s="37">
        <f>Tabela3[[#This Row],[Aluminio Bruto]]/OleoKGAluminio</f>
        <v>5.3926212011619814</v>
      </c>
      <c r="U519" s="35">
        <f>IFERROR((VLOOKUP(Tabela3[[#This Row],[Moldador]],Tabela1[],5,)+(VLOOKUP(Tabela3[[#This Row],[Ajudante]],Tabela1[],5,))*3.5),0)</f>
        <v>99.95034583333333</v>
      </c>
      <c r="V519" s="35">
        <f>IFERROR(Tabela3[[#This Row],[Custo M.O. / H]]/((Tabela3[[#This Row],[Realizado]]/Tabela3[[#This Row],[Qdt Peça Placa]])/Tabela3[[#This Row],[Tempo]]/24),)</f>
        <v>9.254661651234569</v>
      </c>
      <c r="W519" s="35">
        <f>Tabela3[[#This Row],[Custo / Cx Moldada]]*Tabela3[[#This Row],[Qtde Cx Produzida]]</f>
        <v>83.291954861111122</v>
      </c>
      <c r="X519" s="35">
        <f ca="1">Tabela3[[#This Row],[Aluminio Util]]*Tabela3[[#This Row],[Custo/Kg]]</f>
        <v>119.30293542071799</v>
      </c>
      <c r="Y519" s="35">
        <f>IFERROR(VLOOKUP(Tabela3[[#This Row],[Data]],Tabela461213[],2,1)*(Tabela3[[#This Row],[Qtde Cx Produzida]]*Tabela3[[#This Row],[Qde macho / CX]]*Tabela3[[#This Row],[Peso Macho]]),)</f>
        <v>0</v>
      </c>
      <c r="Z519" s="35">
        <f>IFERROR(Tabela3[[#This Row],[Qtde Oleo]]*(VLOOKUP(Tabela3[[#This Row],[Data]],CompraOleo[],3,TRUE))*1.05,0)</f>
        <v>14.155630653050201</v>
      </c>
      <c r="AA519" s="47">
        <f ca="1">(Tabela3[[#This Row],[Custo Oleo]]+Tabela3[[#This Row],[Custo Aluminio]]+Tabela3[[#This Row],[Custo M.O. Total]]+Tabela3[[#This Row],[Custo Machos]])</f>
        <v>216.75052093487932</v>
      </c>
      <c r="AB519" s="47">
        <f ca="1">Tabela3[[#This Row],[Custo Total]]*Tabela3[[#This Row],[% Perda]]</f>
        <v>0</v>
      </c>
      <c r="AC519" s="48">
        <f>IFERROR(VLOOKUP(Tabela3[[#This Row],[Produto]],Tabela2[],2,0),0)</f>
        <v>1</v>
      </c>
      <c r="AD519" s="48">
        <f>IFERROR(VLOOKUP(Tabela3[[#This Row],[Produto]],Tabela2[],3,0),0)</f>
        <v>0.8</v>
      </c>
      <c r="AE519" s="48">
        <f>IFERROR(VLOOKUP(Tabela3[[#This Row],[Produto]],Tabela2[],4,0),0)</f>
        <v>1.35</v>
      </c>
      <c r="AF519" s="48">
        <f>IFERROR(VLOOKUP(Tabela3[[#This Row],[Produto]],Tabela2[],5,0),0)</f>
        <v>0.49500000000000005</v>
      </c>
      <c r="AG519" s="40">
        <f>IFERROR(VLOOKUP(Tabela3[[#This Row],[Produto]],Tabela2[],6,0),0)</f>
        <v>0</v>
      </c>
      <c r="AH519" s="40">
        <f>IFERROR(VLOOKUP(Tabela3[[#This Row],[Produto]],Tabela2[],7,0),0)</f>
        <v>0</v>
      </c>
      <c r="AI519" s="40">
        <f>IFERROR(VLOOKUP(Tabela3[[#This Row],[Produto]],Tabela2[],8,0),0)</f>
        <v>0</v>
      </c>
      <c r="AJ519" s="35">
        <f ca="1">IFERROR(VLOOKUP(Tabela3[[#This Row],[Produto]],Tabela2[],13,0),0)</f>
        <v>16.569852141766386</v>
      </c>
      <c r="AK519" s="40" t="str">
        <f>IFERROR(VLOOKUP(Tabela3[[#This Row],[Produto]],Tabela2[],14,0),0)</f>
        <v>Danilo</v>
      </c>
      <c r="AL519" s="40">
        <f>IFERROR(VLOOKUP(Tabela3[[#This Row],[Produto]],Tabela2[],15,0),0)</f>
        <v>0</v>
      </c>
      <c r="AM519" s="36">
        <f ca="1">(Tabela3[[#This Row],[Custo Usinagem]]+Tabela3[[#This Row],[Custo / Pç]])*1.2</f>
        <v>28.900069457983907</v>
      </c>
      <c r="AN519" s="36">
        <f ca="1">Tabela3[[#This Row],[Valor Mínimo Venda]]*1.15</f>
        <v>33.235079876681489</v>
      </c>
      <c r="AO519" s="36">
        <f ca="1">Tabela3[[#This Row],[Tabela 1]]*1.08</f>
        <v>35.893886266816011</v>
      </c>
      <c r="AP519" s="36">
        <f ca="1">Tabela3[[#This Row],[Tabela 2]]*1.15</f>
        <v>41.277969206838407</v>
      </c>
    </row>
    <row r="520" spans="1:42">
      <c r="A520" s="9">
        <v>45880</v>
      </c>
      <c r="B520" s="6" t="s">
        <v>234</v>
      </c>
      <c r="C520" s="14">
        <v>7506</v>
      </c>
      <c r="D520" s="6" t="s">
        <v>46</v>
      </c>
      <c r="E520" s="6" t="s">
        <v>53</v>
      </c>
      <c r="F520" s="6">
        <v>11</v>
      </c>
      <c r="G520" s="15">
        <v>5.9027777777777776E-2</v>
      </c>
      <c r="H520" s="16">
        <v>0</v>
      </c>
      <c r="I520" s="35">
        <f ca="1">IFERROR(Tabela3[[#This Row],[Custo Total]]/Tabela3[[#This Row],[Aluminio Util]],0)</f>
        <v>27.10158624215935</v>
      </c>
      <c r="J520" s="35">
        <f ca="1">Tabela3[[#This Row],[Custo Total]]/Tabela3[[#This Row],[Realizado]]</f>
        <v>43.362537987454964</v>
      </c>
      <c r="K520" s="37">
        <f>IFERROR(Tabela3[[#This Row],[Qtde Cx Produzida]]/Tabela3[[#This Row],[Tempo]]/24,0)</f>
        <v>7.7647058823529411</v>
      </c>
      <c r="L520" s="37">
        <f>Tabela3[[#This Row],[Qtde Cx Produzida]]*Tabela3[[#This Row],[Qdt Peça Placa]]</f>
        <v>11</v>
      </c>
      <c r="M520" s="37">
        <f>Tabela3[[#This Row],[Previsto]]-Tabela3[[#This Row],[Perda Pçs]]</f>
        <v>11</v>
      </c>
      <c r="N520" s="38">
        <f>IFERROR(Tabela3[[#This Row],[Perda Pçs]]/Tabela3[[#This Row],[Previsto]],0)</f>
        <v>0</v>
      </c>
      <c r="O520" s="39">
        <f>IFERROR(IF(Tabela3[[#This Row],[Qtde Cx Produzida]] &lt;&gt; 0, Tabela3[[#This Row],[Tempo]] / Tabela3[[#This Row],[Qtde Cx Produzida]], 0),0)</f>
        <v>5.366161616161616E-3</v>
      </c>
      <c r="P520" s="57">
        <f>IFERROR(Tabela3[[#This Row],[Perda Pçs]]/Tabela3[[#This Row],[Qdt Peça Placa]],0)</f>
        <v>0</v>
      </c>
      <c r="Q520" s="37">
        <f>IFERROR(Tabela3[[#This Row],[Realizado]]*Tabela3[[#This Row],[Peso Util/Pç]],0)</f>
        <v>17.600000000000001</v>
      </c>
      <c r="R520" s="37">
        <f>IFERROR(Tabela3[[#This Row],[Peso Total Galho]]*Tabela3[[#This Row],[Qtde Cx Produzida]]*1.055,0)</f>
        <v>23.209999999999997</v>
      </c>
      <c r="S520" s="37">
        <f>(Tabela3[[#This Row],[Aluminio Bruto]]-Tabela3[[#This Row],[Aluminio Util]])*0.9</f>
        <v>5.0489999999999968</v>
      </c>
      <c r="T520" s="37">
        <f>Tabela3[[#This Row],[Aluminio Bruto]]/OleoKGAluminio</f>
        <v>9.7644169897583204</v>
      </c>
      <c r="U520" s="35">
        <f>IFERROR((VLOOKUP(Tabela3[[#This Row],[Moldador]],Tabela1[],5,)+(VLOOKUP(Tabela3[[#This Row],[Ajudante]],Tabela1[],5,))*3.5),0)</f>
        <v>99.95034583333333</v>
      </c>
      <c r="V520" s="35">
        <f>IFERROR(Tabela3[[#This Row],[Custo M.O. / H]]/((Tabela3[[#This Row],[Realizado]]/Tabela3[[#This Row],[Qdt Peça Placa]])/Tabela3[[#This Row],[Tempo]]/24),)</f>
        <v>12.872393023989899</v>
      </c>
      <c r="W520" s="35">
        <f>Tabela3[[#This Row],[Custo / Cx Moldada]]*Tabela3[[#This Row],[Qtde Cx Produzida]]</f>
        <v>141.59632326388888</v>
      </c>
      <c r="X520" s="35">
        <f ca="1">Tabela3[[#This Row],[Aluminio Util]]*Tabela3[[#This Row],[Custo/Kg]]</f>
        <v>309.76000000000005</v>
      </c>
      <c r="Y520" s="35">
        <f>IFERROR(VLOOKUP(Tabela3[[#This Row],[Data]],Tabela461213[],2,1)*(Tabela3[[#This Row],[Qtde Cx Produzida]]*Tabela3[[#This Row],[Qde macho / CX]]*Tabela3[[#This Row],[Peso Macho]]),)</f>
        <v>0</v>
      </c>
      <c r="Z520" s="35">
        <f>IFERROR(Tabela3[[#This Row],[Qtde Oleo]]*(VLOOKUP(Tabela3[[#This Row],[Data]],CompraOleo[],3,TRUE))*1.05,0)</f>
        <v>25.631594598115591</v>
      </c>
      <c r="AA520" s="47">
        <f ca="1">(Tabela3[[#This Row],[Custo Oleo]]+Tabela3[[#This Row],[Custo Aluminio]]+Tabela3[[#This Row],[Custo M.O. Total]]+Tabela3[[#This Row],[Custo Machos]])</f>
        <v>476.98791786200456</v>
      </c>
      <c r="AB520" s="47">
        <f ca="1">Tabela3[[#This Row],[Custo Total]]*Tabela3[[#This Row],[% Perda]]</f>
        <v>0</v>
      </c>
      <c r="AC520" s="48">
        <f>IFERROR(VLOOKUP(Tabela3[[#This Row],[Produto]],Tabela2[],2,0),0)</f>
        <v>1</v>
      </c>
      <c r="AD520" s="48">
        <f>IFERROR(VLOOKUP(Tabela3[[#This Row],[Produto]],Tabela2[],3,0),0)</f>
        <v>1.6</v>
      </c>
      <c r="AE520" s="48">
        <f>IFERROR(VLOOKUP(Tabela3[[#This Row],[Produto]],Tabela2[],4,0),0)</f>
        <v>2</v>
      </c>
      <c r="AF520" s="48">
        <f>IFERROR(VLOOKUP(Tabela3[[#This Row],[Produto]],Tabela2[],5,0),0)</f>
        <v>0.35999999999999993</v>
      </c>
      <c r="AG520" s="40">
        <f>IFERROR(VLOOKUP(Tabela3[[#This Row],[Produto]],Tabela2[],6,0),0)</f>
        <v>0</v>
      </c>
      <c r="AH520" s="40">
        <f>IFERROR(VLOOKUP(Tabela3[[#This Row],[Produto]],Tabela2[],7,0),0)</f>
        <v>0</v>
      </c>
      <c r="AI520" s="40">
        <f>IFERROR(VLOOKUP(Tabela3[[#This Row],[Produto]],Tabela2[],8,0),0)</f>
        <v>0</v>
      </c>
      <c r="AJ520" s="35">
        <f ca="1">IFERROR(VLOOKUP(Tabela3[[#This Row],[Produto]],Tabela2[],13,0),0)</f>
        <v>17.600000000000001</v>
      </c>
      <c r="AK520" s="40" t="str">
        <f>IFERROR(VLOOKUP(Tabela3[[#This Row],[Produto]],Tabela2[],14,0),0)</f>
        <v>Danilo</v>
      </c>
      <c r="AL520" s="40">
        <f>IFERROR(VLOOKUP(Tabela3[[#This Row],[Produto]],Tabela2[],15,0),0)</f>
        <v>0</v>
      </c>
      <c r="AM520" s="36">
        <f ca="1">(Tabela3[[#This Row],[Custo Usinagem]]+Tabela3[[#This Row],[Custo / Pç]])*1.2</f>
        <v>52.035045584945955</v>
      </c>
      <c r="AN520" s="36">
        <f ca="1">Tabela3[[#This Row],[Valor Mínimo Venda]]*1.15</f>
        <v>59.840302422687841</v>
      </c>
      <c r="AO520" s="36">
        <f ca="1">Tabela3[[#This Row],[Tabela 1]]*1.08</f>
        <v>64.627526616502877</v>
      </c>
      <c r="AP520" s="36">
        <f ca="1">Tabela3[[#This Row],[Tabela 2]]*1.15</f>
        <v>74.321655608978304</v>
      </c>
    </row>
    <row r="521" spans="1:42">
      <c r="A521" s="9">
        <v>45880</v>
      </c>
      <c r="B521" s="6" t="s">
        <v>236</v>
      </c>
      <c r="C521" s="14">
        <v>7453</v>
      </c>
      <c r="D521" s="6" t="s">
        <v>44</v>
      </c>
      <c r="E521" s="6" t="s">
        <v>47</v>
      </c>
      <c r="F521" s="6">
        <v>50</v>
      </c>
      <c r="G521" s="15">
        <v>0.2902777777777778</v>
      </c>
      <c r="H521" s="16">
        <v>0</v>
      </c>
      <c r="I521" s="35">
        <f ca="1">IFERROR(Tabela3[[#This Row],[Custo Total]]/Tabela3[[#This Row],[Aluminio Util]],0)</f>
        <v>24.669343727078463</v>
      </c>
      <c r="J521" s="35">
        <f ca="1">Tabela3[[#This Row],[Custo Total]]/Tabela3[[#This Row],[Realizado]]</f>
        <v>7.4501418055776956</v>
      </c>
      <c r="K521" s="37">
        <f>IFERROR(Tabela3[[#This Row],[Qtde Cx Produzida]]/Tabela3[[#This Row],[Tempo]]/24,0)</f>
        <v>7.1770334928229653</v>
      </c>
      <c r="L521" s="37">
        <f>Tabela3[[#This Row],[Qtde Cx Produzida]]*Tabela3[[#This Row],[Qdt Peça Placa]]</f>
        <v>300</v>
      </c>
      <c r="M521" s="37">
        <f>Tabela3[[#This Row],[Previsto]]-Tabela3[[#This Row],[Perda Pçs]]</f>
        <v>300</v>
      </c>
      <c r="N521" s="38">
        <f>IFERROR(Tabela3[[#This Row],[Perda Pçs]]/Tabela3[[#This Row],[Previsto]],0)</f>
        <v>0</v>
      </c>
      <c r="O521" s="39">
        <f>IFERROR(IF(Tabela3[[#This Row],[Qtde Cx Produzida]] &lt;&gt; 0, Tabela3[[#This Row],[Tempo]] / Tabela3[[#This Row],[Qtde Cx Produzida]], 0),0)</f>
        <v>5.805555555555556E-3</v>
      </c>
      <c r="P521" s="57">
        <f>IFERROR(Tabela3[[#This Row],[Perda Pçs]]/Tabela3[[#This Row],[Qdt Peça Placa]],0)</f>
        <v>0</v>
      </c>
      <c r="Q521" s="37">
        <f>IFERROR(Tabela3[[#This Row],[Realizado]]*Tabela3[[#This Row],[Peso Util/Pç]],0)</f>
        <v>90.6</v>
      </c>
      <c r="R521" s="37">
        <f>IFERROR(Tabela3[[#This Row],[Peso Total Galho]]*Tabela3[[#This Row],[Qtde Cx Produzida]]*1.055,0)</f>
        <v>113.518</v>
      </c>
      <c r="S521" s="37">
        <f>(Tabela3[[#This Row],[Aluminio Bruto]]-Tabela3[[#This Row],[Aluminio Util]])*0.9</f>
        <v>20.626200000000008</v>
      </c>
      <c r="T521" s="37">
        <f>Tabela3[[#This Row],[Aluminio Bruto]]/OleoKGAluminio</f>
        <v>47.756875822636154</v>
      </c>
      <c r="U521" s="35">
        <f>IFERROR((VLOOKUP(Tabela3[[#This Row],[Moldador]],Tabela1[],5,)+(VLOOKUP(Tabela3[[#This Row],[Ajudante]],Tabela1[],5,))*3.5),0)</f>
        <v>99.95034583333333</v>
      </c>
      <c r="V521" s="35">
        <f>IFERROR(Tabela3[[#This Row],[Custo M.O. / H]]/((Tabela3[[#This Row],[Realizado]]/Tabela3[[#This Row],[Qdt Peça Placa]])/Tabela3[[#This Row],[Tempo]]/24),)</f>
        <v>13.92641485277778</v>
      </c>
      <c r="W521" s="35">
        <f>Tabela3[[#This Row],[Custo / Cx Moldada]]*Tabela3[[#This Row],[Qtde Cx Produzida]]</f>
        <v>696.32074263888899</v>
      </c>
      <c r="X521" s="35">
        <f ca="1">Tabela3[[#This Row],[Aluminio Util]]*Tabela3[[#This Row],[Custo/Kg]]</f>
        <v>1413.3600000000001</v>
      </c>
      <c r="Y521" s="35">
        <f>IFERROR(VLOOKUP(Tabela3[[#This Row],[Data]],Tabela461213[],2,1)*(Tabela3[[#This Row],[Qtde Cx Produzida]]*Tabela3[[#This Row],[Qde macho / CX]]*Tabela3[[#This Row],[Peso Macho]]),)</f>
        <v>0</v>
      </c>
      <c r="Z521" s="35">
        <f>IFERROR(Tabela3[[#This Row],[Qtde Oleo]]*(VLOOKUP(Tabela3[[#This Row],[Data]],CompraOleo[],3,TRUE))*1.05,0)</f>
        <v>125.3617990344199</v>
      </c>
      <c r="AA521" s="47">
        <f ca="1">(Tabela3[[#This Row],[Custo Oleo]]+Tabela3[[#This Row],[Custo Aluminio]]+Tabela3[[#This Row],[Custo M.O. Total]]+Tabela3[[#This Row],[Custo Machos]])</f>
        <v>2235.0425416733087</v>
      </c>
      <c r="AB521" s="47">
        <f ca="1">Tabela3[[#This Row],[Custo Total]]*Tabela3[[#This Row],[% Perda]]</f>
        <v>0</v>
      </c>
      <c r="AC521" s="48">
        <f>IFERROR(VLOOKUP(Tabela3[[#This Row],[Produto]],Tabela2[],2,0),0)</f>
        <v>6</v>
      </c>
      <c r="AD521" s="48">
        <f>IFERROR(VLOOKUP(Tabela3[[#This Row],[Produto]],Tabela2[],3,0),0)</f>
        <v>0.30199999999999999</v>
      </c>
      <c r="AE521" s="48">
        <f>IFERROR(VLOOKUP(Tabela3[[#This Row],[Produto]],Tabela2[],4,0),0)</f>
        <v>2.1520000000000001</v>
      </c>
      <c r="AF521" s="48">
        <f>IFERROR(VLOOKUP(Tabela3[[#This Row],[Produto]],Tabela2[],5,0),0)</f>
        <v>0.30600000000000027</v>
      </c>
      <c r="AG521" s="40">
        <f>IFERROR(VLOOKUP(Tabela3[[#This Row],[Produto]],Tabela2[],6,0),0)</f>
        <v>0</v>
      </c>
      <c r="AH521" s="40">
        <f>IFERROR(VLOOKUP(Tabela3[[#This Row],[Produto]],Tabela2[],7,0),0)</f>
        <v>0</v>
      </c>
      <c r="AI521" s="40">
        <f>IFERROR(VLOOKUP(Tabela3[[#This Row],[Produto]],Tabela2[],8,0),0)</f>
        <v>0</v>
      </c>
      <c r="AJ521" s="35">
        <f ca="1">IFERROR(VLOOKUP(Tabela3[[#This Row],[Produto]],Tabela2[],13,0),0)</f>
        <v>15.600000000000001</v>
      </c>
      <c r="AK521" s="40" t="str">
        <f>IFERROR(VLOOKUP(Tabela3[[#This Row],[Produto]],Tabela2[],14,0),0)</f>
        <v>Senun</v>
      </c>
      <c r="AL521" s="40">
        <f>IFERROR(VLOOKUP(Tabela3[[#This Row],[Produto]],Tabela2[],15,0),0)</f>
        <v>4</v>
      </c>
      <c r="AM521" s="36">
        <f ca="1">(Tabela3[[#This Row],[Custo Usinagem]]+Tabela3[[#This Row],[Custo / Pç]])*1.2</f>
        <v>13.740170166693234</v>
      </c>
      <c r="AN521" s="36">
        <f ca="1">Tabela3[[#This Row],[Valor Mínimo Venda]]*1.15</f>
        <v>15.801195691697218</v>
      </c>
      <c r="AO521" s="36">
        <f ca="1">Tabela3[[#This Row],[Tabela 1]]*1.08</f>
        <v>17.065291347032996</v>
      </c>
      <c r="AP521" s="36">
        <f ca="1">Tabela3[[#This Row],[Tabela 2]]*1.15</f>
        <v>19.625085049087943</v>
      </c>
    </row>
    <row r="522" spans="1:42">
      <c r="A522" s="9">
        <v>45880</v>
      </c>
      <c r="B522" s="6" t="s">
        <v>245</v>
      </c>
      <c r="C522" s="14">
        <v>7435</v>
      </c>
      <c r="D522" s="6" t="s">
        <v>44</v>
      </c>
      <c r="E522" s="6" t="s">
        <v>47</v>
      </c>
      <c r="F522" s="6">
        <v>13</v>
      </c>
      <c r="G522" s="15">
        <v>6.5972222222222224E-2</v>
      </c>
      <c r="H522" s="16">
        <v>0</v>
      </c>
      <c r="I522" s="35">
        <f ca="1">IFERROR(Tabela3[[#This Row],[Custo Total]]/Tabela3[[#This Row],[Aluminio Util]],0)</f>
        <v>26.78456797033791</v>
      </c>
      <c r="J522" s="35">
        <f ca="1">Tabela3[[#This Row],[Custo Total]]/Tabela3[[#This Row],[Realizado]]</f>
        <v>8.8924765661521867</v>
      </c>
      <c r="K522" s="37">
        <f>IFERROR(Tabela3[[#This Row],[Qtde Cx Produzida]]/Tabela3[[#This Row],[Tempo]]/24,0)</f>
        <v>8.2105263157894743</v>
      </c>
      <c r="L522" s="37">
        <f>Tabela3[[#This Row],[Qtde Cx Produzida]]*Tabela3[[#This Row],[Qdt Peça Placa]]</f>
        <v>52</v>
      </c>
      <c r="M522" s="37">
        <f>Tabela3[[#This Row],[Previsto]]-Tabela3[[#This Row],[Perda Pçs]]</f>
        <v>52</v>
      </c>
      <c r="N522" s="38">
        <f>IFERROR(Tabela3[[#This Row],[Perda Pçs]]/Tabela3[[#This Row],[Previsto]],0)</f>
        <v>0</v>
      </c>
      <c r="O522" s="39">
        <f>IFERROR(IF(Tabela3[[#This Row],[Qtde Cx Produzida]] &lt;&gt; 0, Tabela3[[#This Row],[Tempo]] / Tabela3[[#This Row],[Qtde Cx Produzida]], 0),0)</f>
        <v>5.074786324786325E-3</v>
      </c>
      <c r="P522" s="57">
        <f>IFERROR(Tabela3[[#This Row],[Perda Pçs]]/Tabela3[[#This Row],[Qdt Peça Placa]],0)</f>
        <v>0</v>
      </c>
      <c r="Q522" s="37">
        <f>IFERROR(Tabela3[[#This Row],[Realizado]]*Tabela3[[#This Row],[Peso Util/Pç]],0)</f>
        <v>17.263999999999999</v>
      </c>
      <c r="R522" s="37">
        <f>IFERROR(Tabela3[[#This Row],[Peso Total Galho]]*Tabela3[[#This Row],[Qtde Cx Produzida]]*1.055,0)</f>
        <v>31.544499999999996</v>
      </c>
      <c r="S522" s="37">
        <f>(Tabela3[[#This Row],[Aluminio Bruto]]-Tabela3[[#This Row],[Aluminio Util]])*0.9</f>
        <v>12.852449999999997</v>
      </c>
      <c r="T522" s="37">
        <f>Tabela3[[#This Row],[Aluminio Bruto]]/OleoKGAluminio</f>
        <v>13.270730363353353</v>
      </c>
      <c r="U522" s="35">
        <f>IFERROR((VLOOKUP(Tabela3[[#This Row],[Moldador]],Tabela1[],5,)+(VLOOKUP(Tabela3[[#This Row],[Ajudante]],Tabela1[],5,))*3.5),0)</f>
        <v>99.95034583333333</v>
      </c>
      <c r="V522" s="35">
        <f>IFERROR(Tabela3[[#This Row],[Custo M.O. / H]]/((Tabela3[[#This Row],[Realizado]]/Tabela3[[#This Row],[Qdt Peça Placa]])/Tabela3[[#This Row],[Tempo]]/24),)</f>
        <v>12.173439556623931</v>
      </c>
      <c r="W522" s="35">
        <f>Tabela3[[#This Row],[Custo / Cx Moldada]]*Tabela3[[#This Row],[Qtde Cx Produzida]]</f>
        <v>158.25471423611111</v>
      </c>
      <c r="X522" s="35">
        <f ca="1">Tabela3[[#This Row],[Aluminio Util]]*Tabela3[[#This Row],[Custo/Kg]]</f>
        <v>269.3184</v>
      </c>
      <c r="Y522" s="35">
        <f>IFERROR(VLOOKUP(Tabela3[[#This Row],[Data]],Tabela461213[],2,1)*(Tabela3[[#This Row],[Qtde Cx Produzida]]*Tabela3[[#This Row],[Qde macho / CX]]*Tabela3[[#This Row],[Peso Macho]]),)</f>
        <v>0</v>
      </c>
      <c r="Z522" s="35">
        <f>IFERROR(Tabela3[[#This Row],[Qtde Oleo]]*(VLOOKUP(Tabela3[[#This Row],[Data]],CompraOleo[],3,TRUE))*1.05,0)</f>
        <v>34.835667203802558</v>
      </c>
      <c r="AA522" s="47">
        <f ca="1">(Tabela3[[#This Row],[Custo Oleo]]+Tabela3[[#This Row],[Custo Aluminio]]+Tabela3[[#This Row],[Custo M.O. Total]]+Tabela3[[#This Row],[Custo Machos]])</f>
        <v>462.4087814399137</v>
      </c>
      <c r="AB522" s="47">
        <f ca="1">Tabela3[[#This Row],[Custo Total]]*Tabela3[[#This Row],[% Perda]]</f>
        <v>0</v>
      </c>
      <c r="AC522" s="48">
        <f>IFERROR(VLOOKUP(Tabela3[[#This Row],[Produto]],Tabela2[],2,0),0)</f>
        <v>4</v>
      </c>
      <c r="AD522" s="48">
        <f>IFERROR(VLOOKUP(Tabela3[[#This Row],[Produto]],Tabela2[],3,0),0)</f>
        <v>0.33200000000000002</v>
      </c>
      <c r="AE522" s="48">
        <f>IFERROR(VLOOKUP(Tabela3[[#This Row],[Produto]],Tabela2[],4,0),0)</f>
        <v>2.2999999999999998</v>
      </c>
      <c r="AF522" s="48">
        <f>IFERROR(VLOOKUP(Tabela3[[#This Row],[Produto]],Tabela2[],5,0),0)</f>
        <v>0.8747999999999998</v>
      </c>
      <c r="AG522" s="40">
        <f>IFERROR(VLOOKUP(Tabela3[[#This Row],[Produto]],Tabela2[],6,0),0)</f>
        <v>0</v>
      </c>
      <c r="AH522" s="40">
        <f>IFERROR(VLOOKUP(Tabela3[[#This Row],[Produto]],Tabela2[],7,0),0)</f>
        <v>0</v>
      </c>
      <c r="AI522" s="40">
        <f>IFERROR(VLOOKUP(Tabela3[[#This Row],[Produto]],Tabela2[],8,0),0)</f>
        <v>0</v>
      </c>
      <c r="AJ522" s="35">
        <f ca="1">IFERROR(VLOOKUP(Tabela3[[#This Row],[Produto]],Tabela2[],13,0),0)</f>
        <v>15.600000000000001</v>
      </c>
      <c r="AK522" s="40" t="str">
        <f>IFERROR(VLOOKUP(Tabela3[[#This Row],[Produto]],Tabela2[],14,0),0)</f>
        <v>Senun</v>
      </c>
      <c r="AL522" s="40">
        <f>IFERROR(VLOOKUP(Tabela3[[#This Row],[Produto]],Tabela2[],15,0),0)</f>
        <v>3.5</v>
      </c>
      <c r="AM522" s="36">
        <f ca="1">(Tabela3[[#This Row],[Custo Usinagem]]+Tabela3[[#This Row],[Custo / Pç]])*1.2</f>
        <v>14.870971879382623</v>
      </c>
      <c r="AN522" s="36">
        <f ca="1">Tabela3[[#This Row],[Valor Mínimo Venda]]*1.15</f>
        <v>17.101617661290014</v>
      </c>
      <c r="AO522" s="36">
        <f ca="1">Tabela3[[#This Row],[Tabela 1]]*1.08</f>
        <v>18.469747074193215</v>
      </c>
      <c r="AP522" s="36">
        <f ca="1">Tabela3[[#This Row],[Tabela 2]]*1.15</f>
        <v>21.240209135322196</v>
      </c>
    </row>
    <row r="523" spans="1:42">
      <c r="A523" s="9">
        <v>45881</v>
      </c>
      <c r="B523" s="6" t="s">
        <v>247</v>
      </c>
      <c r="C523" s="14">
        <v>7488</v>
      </c>
      <c r="D523" s="6" t="s">
        <v>46</v>
      </c>
      <c r="E523" s="6" t="s">
        <v>326</v>
      </c>
      <c r="F523" s="6">
        <v>43</v>
      </c>
      <c r="G523" s="15">
        <v>0.20833333333333334</v>
      </c>
      <c r="H523" s="16">
        <v>0</v>
      </c>
      <c r="I523" s="35">
        <f ca="1">IFERROR(Tabela3[[#This Row],[Custo Total]]/Tabela3[[#This Row],[Aluminio Util]],0)</f>
        <v>27.518166620349103</v>
      </c>
      <c r="J523" s="35">
        <f ca="1">Tabela3[[#This Row],[Custo Total]]/Tabela3[[#This Row],[Realizado]]</f>
        <v>8.2554499861047308</v>
      </c>
      <c r="K523" s="37">
        <f>IFERROR(Tabela3[[#This Row],[Qtde Cx Produzida]]/Tabela3[[#This Row],[Tempo]]/24,0)</f>
        <v>8.6</v>
      </c>
      <c r="L523" s="37">
        <f>Tabela3[[#This Row],[Qtde Cx Produzida]]*Tabela3[[#This Row],[Qdt Peça Placa]]</f>
        <v>172</v>
      </c>
      <c r="M523" s="37">
        <f>Tabela3[[#This Row],[Previsto]]-Tabela3[[#This Row],[Perda Pçs]]</f>
        <v>172</v>
      </c>
      <c r="N523" s="38">
        <f>IFERROR(Tabela3[[#This Row],[Perda Pçs]]/Tabela3[[#This Row],[Previsto]],0)</f>
        <v>0</v>
      </c>
      <c r="O523" s="39">
        <f>IFERROR(IF(Tabela3[[#This Row],[Qtde Cx Produzida]] &lt;&gt; 0, Tabela3[[#This Row],[Tempo]] / Tabela3[[#This Row],[Qtde Cx Produzida]], 0),0)</f>
        <v>4.8449612403100775E-3</v>
      </c>
      <c r="P523" s="57">
        <f>IFERROR(Tabela3[[#This Row],[Perda Pçs]]/Tabela3[[#This Row],[Qdt Peça Placa]],0)</f>
        <v>0</v>
      </c>
      <c r="Q523" s="37">
        <f>IFERROR(Tabela3[[#This Row],[Realizado]]*Tabela3[[#This Row],[Peso Util/Pç]],0)</f>
        <v>51.6</v>
      </c>
      <c r="R523" s="37">
        <f>IFERROR(Tabela3[[#This Row],[Peso Total Galho]]*Tabela3[[#This Row],[Qtde Cx Produzida]]*1.055,0)</f>
        <v>104.33949999999999</v>
      </c>
      <c r="S523" s="37">
        <f>(Tabela3[[#This Row],[Aluminio Bruto]]-Tabela3[[#This Row],[Aluminio Util]])*0.9</f>
        <v>47.465549999999986</v>
      </c>
      <c r="T523" s="37">
        <f>Tabela3[[#This Row],[Aluminio Bruto]]/OleoKGAluminio</f>
        <v>43.895492740322631</v>
      </c>
      <c r="U523" s="35">
        <f>IFERROR((VLOOKUP(Tabela3[[#This Row],[Moldador]],Tabela1[],5,)+(VLOOKUP(Tabela3[[#This Row],[Ajudante]],Tabela1[],5,))*3.5),0)</f>
        <v>99.95034583333333</v>
      </c>
      <c r="V523" s="35">
        <f>IFERROR(Tabela3[[#This Row],[Custo M.O. / H]]/((Tabela3[[#This Row],[Realizado]]/Tabela3[[#This Row],[Qdt Peça Placa]])/Tabela3[[#This Row],[Tempo]]/24),)</f>
        <v>11.622133236434109</v>
      </c>
      <c r="W523" s="35">
        <f>Tabela3[[#This Row],[Custo / Cx Moldada]]*Tabela3[[#This Row],[Qtde Cx Produzida]]</f>
        <v>499.75172916666668</v>
      </c>
      <c r="X523" s="35">
        <f ca="1">Tabela3[[#This Row],[Aluminio Util]]*Tabela3[[#This Row],[Custo/Kg]]</f>
        <v>804.96000000000015</v>
      </c>
      <c r="Y523" s="35">
        <f>IFERROR(VLOOKUP(Tabela3[[#This Row],[Data]],Tabela461213[],2,1)*(Tabela3[[#This Row],[Qtde Cx Produzida]]*Tabela3[[#This Row],[Qde macho / CX]]*Tabela3[[#This Row],[Peso Macho]]),)</f>
        <v>0</v>
      </c>
      <c r="Z523" s="35">
        <f>IFERROR(Tabela3[[#This Row],[Qtde Oleo]]*(VLOOKUP(Tabela3[[#This Row],[Data]],CompraOleo[],3,TRUE))*1.05,0)</f>
        <v>115.2256684433469</v>
      </c>
      <c r="AA523" s="47">
        <f ca="1">(Tabela3[[#This Row],[Custo Oleo]]+Tabela3[[#This Row],[Custo Aluminio]]+Tabela3[[#This Row],[Custo M.O. Total]]+Tabela3[[#This Row],[Custo Machos]])</f>
        <v>1419.9373976100137</v>
      </c>
      <c r="AB523" s="47">
        <f ca="1">Tabela3[[#This Row],[Custo Total]]*Tabela3[[#This Row],[% Perda]]</f>
        <v>0</v>
      </c>
      <c r="AC523" s="48">
        <f>IFERROR(VLOOKUP(Tabela3[[#This Row],[Produto]],Tabela2[],2,0),0)</f>
        <v>4</v>
      </c>
      <c r="AD523" s="48">
        <f>IFERROR(VLOOKUP(Tabela3[[#This Row],[Produto]],Tabela2[],3,0),0)</f>
        <v>0.3</v>
      </c>
      <c r="AE523" s="48">
        <f>IFERROR(VLOOKUP(Tabela3[[#This Row],[Produto]],Tabela2[],4,0),0)</f>
        <v>2.2999999999999998</v>
      </c>
      <c r="AF523" s="48">
        <f>IFERROR(VLOOKUP(Tabela3[[#This Row],[Produto]],Tabela2[],5,0),0)</f>
        <v>0.98999999999999988</v>
      </c>
      <c r="AG523" s="40">
        <f>IFERROR(VLOOKUP(Tabela3[[#This Row],[Produto]],Tabela2[],6,0),0)</f>
        <v>0</v>
      </c>
      <c r="AH523" s="40">
        <f>IFERROR(VLOOKUP(Tabela3[[#This Row],[Produto]],Tabela2[],7,0),0)</f>
        <v>0</v>
      </c>
      <c r="AI523" s="40">
        <f>IFERROR(VLOOKUP(Tabela3[[#This Row],[Produto]],Tabela2[],8,0),0)</f>
        <v>0</v>
      </c>
      <c r="AJ523" s="35">
        <f ca="1">IFERROR(VLOOKUP(Tabela3[[#This Row],[Produto]],Tabela2[],13,0),0)</f>
        <v>15.600000000000001</v>
      </c>
      <c r="AK523" s="40" t="str">
        <f>IFERROR(VLOOKUP(Tabela3[[#This Row],[Produto]],Tabela2[],14,0),0)</f>
        <v>Senun</v>
      </c>
      <c r="AL523" s="40">
        <f>IFERROR(VLOOKUP(Tabela3[[#This Row],[Produto]],Tabela2[],15,0),0)</f>
        <v>3.5</v>
      </c>
      <c r="AM523" s="36">
        <f ca="1">(Tabela3[[#This Row],[Custo Usinagem]]+Tabela3[[#This Row],[Custo / Pç]])*1.2</f>
        <v>14.106539983325677</v>
      </c>
      <c r="AN523" s="36">
        <f ca="1">Tabela3[[#This Row],[Valor Mínimo Venda]]*1.15</f>
        <v>16.222520980824527</v>
      </c>
      <c r="AO523" s="36">
        <f ca="1">Tabela3[[#This Row],[Tabela 1]]*1.08</f>
        <v>17.520322659290489</v>
      </c>
      <c r="AP523" s="36">
        <f ca="1">Tabela3[[#This Row],[Tabela 2]]*1.15</f>
        <v>20.148371058184061</v>
      </c>
    </row>
    <row r="524" spans="1:42">
      <c r="A524" s="9">
        <v>45881</v>
      </c>
      <c r="B524" s="6" t="s">
        <v>272</v>
      </c>
      <c r="C524" s="14">
        <v>7510</v>
      </c>
      <c r="D524" s="6" t="s">
        <v>46</v>
      </c>
      <c r="E524" s="6" t="s">
        <v>326</v>
      </c>
      <c r="F524" s="6">
        <v>15</v>
      </c>
      <c r="G524" s="15">
        <v>7.4999999999999997E-2</v>
      </c>
      <c r="H524" s="16">
        <v>0</v>
      </c>
      <c r="I524" s="35">
        <f ca="1">IFERROR(Tabela3[[#This Row],[Custo Total]]/Tabela3[[#This Row],[Aluminio Util]],0)</f>
        <v>29.399916676688697</v>
      </c>
      <c r="J524" s="35">
        <f ca="1">Tabela3[[#This Row],[Custo Total]]/Tabela3[[#This Row],[Realizado]]</f>
        <v>40.571885013830403</v>
      </c>
      <c r="K524" s="37">
        <f>IFERROR(Tabela3[[#This Row],[Qtde Cx Produzida]]/Tabela3[[#This Row],[Tempo]]/24,0)</f>
        <v>8.3333333333333339</v>
      </c>
      <c r="L524" s="37">
        <f>Tabela3[[#This Row],[Qtde Cx Produzida]]*Tabela3[[#This Row],[Qdt Peça Placa]]</f>
        <v>15</v>
      </c>
      <c r="M524" s="37">
        <f>Tabela3[[#This Row],[Previsto]]-Tabela3[[#This Row],[Perda Pçs]]</f>
        <v>15</v>
      </c>
      <c r="N524" s="38">
        <f>IFERROR(Tabela3[[#This Row],[Perda Pçs]]/Tabela3[[#This Row],[Previsto]],0)</f>
        <v>0</v>
      </c>
      <c r="O524" s="39">
        <f>IFERROR(IF(Tabela3[[#This Row],[Qtde Cx Produzida]] &lt;&gt; 0, Tabela3[[#This Row],[Tempo]] / Tabela3[[#This Row],[Qtde Cx Produzida]], 0),0)</f>
        <v>5.0000000000000001E-3</v>
      </c>
      <c r="P524" s="57">
        <f>IFERROR(Tabela3[[#This Row],[Perda Pçs]]/Tabela3[[#This Row],[Qdt Peça Placa]],0)</f>
        <v>0</v>
      </c>
      <c r="Q524" s="37">
        <f>IFERROR(Tabela3[[#This Row],[Realizado]]*Tabela3[[#This Row],[Peso Util/Pç]],0)</f>
        <v>20.7</v>
      </c>
      <c r="R524" s="37">
        <f>IFERROR(Tabela3[[#This Row],[Peso Total Galho]]*Tabela3[[#This Row],[Qtde Cx Produzida]]*1.055,0)</f>
        <v>31.333499999999997</v>
      </c>
      <c r="S524" s="37">
        <f>(Tabela3[[#This Row],[Aluminio Bruto]]-Tabela3[[#This Row],[Aluminio Util]])*0.9</f>
        <v>9.5701499999999982</v>
      </c>
      <c r="T524" s="37">
        <f>Tabela3[[#This Row],[Aluminio Bruto]]/OleoKGAluminio</f>
        <v>13.181962936173733</v>
      </c>
      <c r="U524" s="35">
        <f>IFERROR((VLOOKUP(Tabela3[[#This Row],[Moldador]],Tabela1[],5,)+(VLOOKUP(Tabela3[[#This Row],[Ajudante]],Tabela1[],5,))*3.5),0)</f>
        <v>99.95034583333333</v>
      </c>
      <c r="V524" s="35">
        <f>IFERROR(Tabela3[[#This Row],[Custo M.O. / H]]/((Tabela3[[#This Row],[Realizado]]/Tabela3[[#This Row],[Qdt Peça Placa]])/Tabela3[[#This Row],[Tempo]]/24),)</f>
        <v>11.994041499999998</v>
      </c>
      <c r="W524" s="35">
        <f>Tabela3[[#This Row],[Custo / Cx Moldada]]*Tabela3[[#This Row],[Qtde Cx Produzida]]</f>
        <v>179.91062249999996</v>
      </c>
      <c r="X524" s="35">
        <f ca="1">Tabela3[[#This Row],[Aluminio Util]]*Tabela3[[#This Row],[Custo/Kg]]</f>
        <v>322.92</v>
      </c>
      <c r="Y524" s="35">
        <f>IFERROR(VLOOKUP(Tabela3[[#This Row],[Data]],Tabela461213[],2,1)*(Tabela3[[#This Row],[Qtde Cx Produzida]]*Tabela3[[#This Row],[Qde macho / CX]]*Tabela3[[#This Row],[Peso Macho]]),)</f>
        <v>71.144999999999996</v>
      </c>
      <c r="Z524" s="35">
        <f>IFERROR(Tabela3[[#This Row],[Qtde Oleo]]*(VLOOKUP(Tabela3[[#This Row],[Data]],CompraOleo[],3,TRUE))*1.05,0)</f>
        <v>34.602652707456052</v>
      </c>
      <c r="AA524" s="47">
        <f ca="1">(Tabela3[[#This Row],[Custo Oleo]]+Tabela3[[#This Row],[Custo Aluminio]]+Tabela3[[#This Row],[Custo M.O. Total]]+Tabela3[[#This Row],[Custo Machos]])</f>
        <v>608.57827520745604</v>
      </c>
      <c r="AB524" s="47">
        <f ca="1">Tabela3[[#This Row],[Custo Total]]*Tabela3[[#This Row],[% Perda]]</f>
        <v>0</v>
      </c>
      <c r="AC524" s="48">
        <f>IFERROR(VLOOKUP(Tabela3[[#This Row],[Produto]],Tabela2[],2,0),0)</f>
        <v>1</v>
      </c>
      <c r="AD524" s="48">
        <f>IFERROR(VLOOKUP(Tabela3[[#This Row],[Produto]],Tabela2[],3,0),0)</f>
        <v>1.38</v>
      </c>
      <c r="AE524" s="48">
        <f>IFERROR(VLOOKUP(Tabela3[[#This Row],[Produto]],Tabela2[],4,0),0)</f>
        <v>1.98</v>
      </c>
      <c r="AF524" s="48">
        <f>IFERROR(VLOOKUP(Tabela3[[#This Row],[Produto]],Tabela2[],5,0),0)</f>
        <v>0.54000000000000015</v>
      </c>
      <c r="AG524" s="40">
        <f>IFERROR(VLOOKUP(Tabela3[[#This Row],[Produto]],Tabela2[],6,0),0)</f>
        <v>0</v>
      </c>
      <c r="AH524" s="40">
        <f>IFERROR(VLOOKUP(Tabela3[[#This Row],[Produto]],Tabela2[],7,0),0)</f>
        <v>3</v>
      </c>
      <c r="AI524" s="40">
        <f>IFERROR(VLOOKUP(Tabela3[[#This Row],[Produto]],Tabela2[],8,0),0)</f>
        <v>0.93</v>
      </c>
      <c r="AJ524" s="35">
        <f ca="1">IFERROR(VLOOKUP(Tabela3[[#This Row],[Produto]],Tabela2[],13,0),0)</f>
        <v>15.600000000000001</v>
      </c>
      <c r="AK524" s="40" t="str">
        <f>IFERROR(VLOOKUP(Tabela3[[#This Row],[Produto]],Tabela2[],14,0),0)</f>
        <v>Jumil</v>
      </c>
      <c r="AL524" s="40">
        <f>IFERROR(VLOOKUP(Tabela3[[#This Row],[Produto]],Tabela2[],15,0),0)</f>
        <v>8</v>
      </c>
      <c r="AM524" s="36">
        <f ca="1">(Tabela3[[#This Row],[Custo Usinagem]]+Tabela3[[#This Row],[Custo / Pç]])*1.2</f>
        <v>58.286262016596481</v>
      </c>
      <c r="AN524" s="36">
        <f ca="1">Tabela3[[#This Row],[Valor Mínimo Venda]]*1.15</f>
        <v>67.029201319085942</v>
      </c>
      <c r="AO524" s="36">
        <f ca="1">Tabela3[[#This Row],[Tabela 1]]*1.08</f>
        <v>72.391537424612821</v>
      </c>
      <c r="AP524" s="36">
        <f ca="1">Tabela3[[#This Row],[Tabela 2]]*1.15</f>
        <v>83.250268038304739</v>
      </c>
    </row>
    <row r="525" spans="1:42">
      <c r="A525" s="9">
        <v>45881</v>
      </c>
      <c r="B525" s="6" t="s">
        <v>229</v>
      </c>
      <c r="C525" s="14">
        <v>7515</v>
      </c>
      <c r="D525" s="6" t="s">
        <v>46</v>
      </c>
      <c r="E525" s="6" t="s">
        <v>326</v>
      </c>
      <c r="F525" s="6">
        <v>12</v>
      </c>
      <c r="G525" s="15">
        <v>6.6666666666666666E-2</v>
      </c>
      <c r="H525" s="16">
        <v>0</v>
      </c>
      <c r="I525" s="35">
        <f ca="1">IFERROR(Tabela3[[#This Row],[Custo Total]]/Tabela3[[#This Row],[Aluminio Util]],0)</f>
        <v>21.905318269763814</v>
      </c>
      <c r="J525" s="35">
        <f ca="1">Tabela3[[#This Row],[Custo Total]]/Tabela3[[#This Row],[Realizado]]</f>
        <v>61.072027336101506</v>
      </c>
      <c r="K525" s="37">
        <f>IFERROR(Tabela3[[#This Row],[Qtde Cx Produzida]]/Tabela3[[#This Row],[Tempo]]/24,0)</f>
        <v>7.5</v>
      </c>
      <c r="L525" s="37">
        <f>Tabela3[[#This Row],[Qtde Cx Produzida]]*Tabela3[[#This Row],[Qdt Peça Placa]]</f>
        <v>12</v>
      </c>
      <c r="M525" s="37">
        <f>Tabela3[[#This Row],[Previsto]]-Tabela3[[#This Row],[Perda Pçs]]</f>
        <v>12</v>
      </c>
      <c r="N525" s="38">
        <f>IFERROR(Tabela3[[#This Row],[Perda Pçs]]/Tabela3[[#This Row],[Previsto]],0)</f>
        <v>0</v>
      </c>
      <c r="O525" s="39">
        <f>IFERROR(IF(Tabela3[[#This Row],[Qtde Cx Produzida]] &lt;&gt; 0, Tabela3[[#This Row],[Tempo]] / Tabela3[[#This Row],[Qtde Cx Produzida]], 0),0)</f>
        <v>5.5555555555555558E-3</v>
      </c>
      <c r="P525" s="57">
        <f>IFERROR(Tabela3[[#This Row],[Perda Pçs]]/Tabela3[[#This Row],[Qdt Peça Placa]],0)</f>
        <v>0</v>
      </c>
      <c r="Q525" s="37">
        <f>IFERROR(Tabela3[[#This Row],[Realizado]]*Tabela3[[#This Row],[Peso Util/Pç]],0)</f>
        <v>33.455999999999996</v>
      </c>
      <c r="R525" s="37">
        <f>IFERROR(Tabela3[[#This Row],[Peso Total Galho]]*Tabela3[[#This Row],[Qtde Cx Produzida]]*1.055,0)</f>
        <v>46.208999999999996</v>
      </c>
      <c r="S525" s="37">
        <f>(Tabela3[[#This Row],[Aluminio Bruto]]-Tabela3[[#This Row],[Aluminio Util]])*0.9</f>
        <v>11.4777</v>
      </c>
      <c r="T525" s="37">
        <f>Tabela3[[#This Row],[Aluminio Bruto]]/OleoKGAluminio</f>
        <v>19.440066552337019</v>
      </c>
      <c r="U525" s="35">
        <f>IFERROR((VLOOKUP(Tabela3[[#This Row],[Moldador]],Tabela1[],5,)+(VLOOKUP(Tabela3[[#This Row],[Ajudante]],Tabela1[],5,))*3.5),0)</f>
        <v>99.95034583333333</v>
      </c>
      <c r="V525" s="35">
        <f>IFERROR(Tabela3[[#This Row],[Custo M.O. / H]]/((Tabela3[[#This Row],[Realizado]]/Tabela3[[#This Row],[Qdt Peça Placa]])/Tabela3[[#This Row],[Tempo]]/24),)</f>
        <v>13.326712777777777</v>
      </c>
      <c r="W525" s="35">
        <f>Tabela3[[#This Row],[Custo / Cx Moldada]]*Tabela3[[#This Row],[Qtde Cx Produzida]]</f>
        <v>159.92055333333332</v>
      </c>
      <c r="X525" s="35">
        <f ca="1">Tabela3[[#This Row],[Aluminio Util]]*Tabela3[[#This Row],[Custo/Kg]]</f>
        <v>521.91359999999997</v>
      </c>
      <c r="Y525" s="35">
        <f>IFERROR(VLOOKUP(Tabela3[[#This Row],[Data]],Tabela461213[],2,1)*(Tabela3[[#This Row],[Qtde Cx Produzida]]*Tabela3[[#This Row],[Qde macho / CX]]*Tabela3[[#This Row],[Peso Macho]]),)</f>
        <v>0</v>
      </c>
      <c r="Z525" s="35">
        <f>IFERROR(Tabela3[[#This Row],[Qtde Oleo]]*(VLOOKUP(Tabela3[[#This Row],[Data]],CompraOleo[],3,TRUE))*1.05,0)</f>
        <v>51.030174699884675</v>
      </c>
      <c r="AA525" s="47">
        <f ca="1">(Tabela3[[#This Row],[Custo Oleo]]+Tabela3[[#This Row],[Custo Aluminio]]+Tabela3[[#This Row],[Custo M.O. Total]]+Tabela3[[#This Row],[Custo Machos]])</f>
        <v>732.86432803321804</v>
      </c>
      <c r="AB525" s="47">
        <f ca="1">Tabela3[[#This Row],[Custo Total]]*Tabela3[[#This Row],[% Perda]]</f>
        <v>0</v>
      </c>
      <c r="AC525" s="48">
        <f>IFERROR(VLOOKUP(Tabela3[[#This Row],[Produto]],Tabela2[],2,0),0)</f>
        <v>1</v>
      </c>
      <c r="AD525" s="48">
        <f>IFERROR(VLOOKUP(Tabela3[[#This Row],[Produto]],Tabela2[],3,0),0)</f>
        <v>2.7879999999999998</v>
      </c>
      <c r="AE525" s="48">
        <f>IFERROR(VLOOKUP(Tabela3[[#This Row],[Produto]],Tabela2[],4,0),0)</f>
        <v>3.65</v>
      </c>
      <c r="AF525" s="48">
        <f>IFERROR(VLOOKUP(Tabela3[[#This Row],[Produto]],Tabela2[],5,0),0)</f>
        <v>0.77580000000000016</v>
      </c>
      <c r="AG525" s="40">
        <f>IFERROR(VLOOKUP(Tabela3[[#This Row],[Produto]],Tabela2[],6,0),0)</f>
        <v>0</v>
      </c>
      <c r="AH525" s="40">
        <f>IFERROR(VLOOKUP(Tabela3[[#This Row],[Produto]],Tabela2[],7,0),0)</f>
        <v>0</v>
      </c>
      <c r="AI525" s="40">
        <f>IFERROR(VLOOKUP(Tabela3[[#This Row],[Produto]],Tabela2[],8,0),0)</f>
        <v>0</v>
      </c>
      <c r="AJ525" s="35">
        <f ca="1">IFERROR(VLOOKUP(Tabela3[[#This Row],[Produto]],Tabela2[],13,0),0)</f>
        <v>15.600000000000001</v>
      </c>
      <c r="AK525" s="40" t="str">
        <f>IFERROR(VLOOKUP(Tabela3[[#This Row],[Produto]],Tabela2[],14,0),0)</f>
        <v>Jumil</v>
      </c>
      <c r="AL525" s="40">
        <f>IFERROR(VLOOKUP(Tabela3[[#This Row],[Produto]],Tabela2[],15,0),0)</f>
        <v>35</v>
      </c>
      <c r="AM525" s="36">
        <f ca="1">(Tabela3[[#This Row],[Custo Usinagem]]+Tabela3[[#This Row],[Custo / Pç]])*1.2</f>
        <v>115.28643280332182</v>
      </c>
      <c r="AN525" s="36">
        <f ca="1">Tabela3[[#This Row],[Valor Mínimo Venda]]*1.15</f>
        <v>132.57939772382008</v>
      </c>
      <c r="AO525" s="36">
        <f ca="1">Tabela3[[#This Row],[Tabela 1]]*1.08</f>
        <v>143.1857495417257</v>
      </c>
      <c r="AP525" s="36">
        <f ca="1">Tabela3[[#This Row],[Tabela 2]]*1.15</f>
        <v>164.66361197298454</v>
      </c>
    </row>
    <row r="526" spans="1:42">
      <c r="A526" s="9">
        <v>45881</v>
      </c>
      <c r="B526" s="6" t="s">
        <v>245</v>
      </c>
      <c r="C526" s="14">
        <v>7435</v>
      </c>
      <c r="D526" s="6" t="s">
        <v>44</v>
      </c>
      <c r="E526" s="6" t="s">
        <v>47</v>
      </c>
      <c r="F526" s="6">
        <v>60</v>
      </c>
      <c r="G526" s="15">
        <v>0.29583333333333334</v>
      </c>
      <c r="H526" s="16">
        <v>0</v>
      </c>
      <c r="I526" s="35">
        <f ca="1">IFERROR(Tabela3[[#This Row],[Custo Total]]/Tabela3[[#This Row],[Aluminio Util]],0)</f>
        <v>26.524039381221829</v>
      </c>
      <c r="J526" s="35">
        <f ca="1">Tabela3[[#This Row],[Custo Total]]/Tabela3[[#This Row],[Realizado]]</f>
        <v>8.805981074565647</v>
      </c>
      <c r="K526" s="37">
        <f>IFERROR(Tabela3[[#This Row],[Qtde Cx Produzida]]/Tabela3[[#This Row],[Tempo]]/24,0)</f>
        <v>8.4507042253521121</v>
      </c>
      <c r="L526" s="37">
        <f>Tabela3[[#This Row],[Qtde Cx Produzida]]*Tabela3[[#This Row],[Qdt Peça Placa]]</f>
        <v>240</v>
      </c>
      <c r="M526" s="37">
        <f>Tabela3[[#This Row],[Previsto]]-Tabela3[[#This Row],[Perda Pçs]]</f>
        <v>240</v>
      </c>
      <c r="N526" s="38">
        <f>IFERROR(Tabela3[[#This Row],[Perda Pçs]]/Tabela3[[#This Row],[Previsto]],0)</f>
        <v>0</v>
      </c>
      <c r="O526" s="39">
        <f>IFERROR(IF(Tabela3[[#This Row],[Qtde Cx Produzida]] &lt;&gt; 0, Tabela3[[#This Row],[Tempo]] / Tabela3[[#This Row],[Qtde Cx Produzida]], 0),0)</f>
        <v>4.9305555555555552E-3</v>
      </c>
      <c r="P526" s="57">
        <f>IFERROR(Tabela3[[#This Row],[Perda Pçs]]/Tabela3[[#This Row],[Qdt Peça Placa]],0)</f>
        <v>0</v>
      </c>
      <c r="Q526" s="37">
        <f>IFERROR(Tabela3[[#This Row],[Realizado]]*Tabela3[[#This Row],[Peso Util/Pç]],0)</f>
        <v>79.680000000000007</v>
      </c>
      <c r="R526" s="37">
        <f>IFERROR(Tabela3[[#This Row],[Peso Total Galho]]*Tabela3[[#This Row],[Qtde Cx Produzida]]*1.055,0)</f>
        <v>145.59</v>
      </c>
      <c r="S526" s="37">
        <f>(Tabela3[[#This Row],[Aluminio Bruto]]-Tabela3[[#This Row],[Aluminio Util]])*0.9</f>
        <v>59.318999999999996</v>
      </c>
      <c r="T526" s="37">
        <f>Tabela3[[#This Row],[Aluminio Bruto]]/OleoKGAluminio</f>
        <v>61.249524753938559</v>
      </c>
      <c r="U526" s="35">
        <f>IFERROR((VLOOKUP(Tabela3[[#This Row],[Moldador]],Tabela1[],5,)+(VLOOKUP(Tabela3[[#This Row],[Ajudante]],Tabela1[],5,))*3.5),0)</f>
        <v>99.95034583333333</v>
      </c>
      <c r="V526" s="35">
        <f>IFERROR(Tabela3[[#This Row],[Custo M.O. / H]]/((Tabela3[[#This Row],[Realizado]]/Tabela3[[#This Row],[Qdt Peça Placa]])/Tabela3[[#This Row],[Tempo]]/24),)</f>
        <v>11.827457590277778</v>
      </c>
      <c r="W526" s="35">
        <f>Tabela3[[#This Row],[Custo / Cx Moldada]]*Tabela3[[#This Row],[Qtde Cx Produzida]]</f>
        <v>709.64745541666662</v>
      </c>
      <c r="X526" s="35">
        <f ca="1">Tabela3[[#This Row],[Aluminio Util]]*Tabela3[[#This Row],[Custo/Kg]]</f>
        <v>1243.0080000000003</v>
      </c>
      <c r="Y526" s="35">
        <f>IFERROR(VLOOKUP(Tabela3[[#This Row],[Data]],Tabela461213[],2,1)*(Tabela3[[#This Row],[Qtde Cx Produzida]]*Tabela3[[#This Row],[Qde macho / CX]]*Tabela3[[#This Row],[Peso Macho]]),)</f>
        <v>0</v>
      </c>
      <c r="Z526" s="35">
        <f>IFERROR(Tabela3[[#This Row],[Qtde Oleo]]*(VLOOKUP(Tabela3[[#This Row],[Data]],CompraOleo[],3,TRUE))*1.05,0)</f>
        <v>160.78000247908872</v>
      </c>
      <c r="AA526" s="47">
        <f ca="1">(Tabela3[[#This Row],[Custo Oleo]]+Tabela3[[#This Row],[Custo Aluminio]]+Tabela3[[#This Row],[Custo M.O. Total]]+Tabela3[[#This Row],[Custo Machos]])</f>
        <v>2113.4354578957555</v>
      </c>
      <c r="AB526" s="47">
        <f ca="1">Tabela3[[#This Row],[Custo Total]]*Tabela3[[#This Row],[% Perda]]</f>
        <v>0</v>
      </c>
      <c r="AC526" s="48">
        <f>IFERROR(VLOOKUP(Tabela3[[#This Row],[Produto]],Tabela2[],2,0),0)</f>
        <v>4</v>
      </c>
      <c r="AD526" s="48">
        <f>IFERROR(VLOOKUP(Tabela3[[#This Row],[Produto]],Tabela2[],3,0),0)</f>
        <v>0.33200000000000002</v>
      </c>
      <c r="AE526" s="48">
        <f>IFERROR(VLOOKUP(Tabela3[[#This Row],[Produto]],Tabela2[],4,0),0)</f>
        <v>2.2999999999999998</v>
      </c>
      <c r="AF526" s="48">
        <f>IFERROR(VLOOKUP(Tabela3[[#This Row],[Produto]],Tabela2[],5,0),0)</f>
        <v>0.8747999999999998</v>
      </c>
      <c r="AG526" s="40">
        <f>IFERROR(VLOOKUP(Tabela3[[#This Row],[Produto]],Tabela2[],6,0),0)</f>
        <v>0</v>
      </c>
      <c r="AH526" s="40">
        <f>IFERROR(VLOOKUP(Tabela3[[#This Row],[Produto]],Tabela2[],7,0),0)</f>
        <v>0</v>
      </c>
      <c r="AI526" s="40">
        <f>IFERROR(VLOOKUP(Tabela3[[#This Row],[Produto]],Tabela2[],8,0),0)</f>
        <v>0</v>
      </c>
      <c r="AJ526" s="35">
        <f ca="1">IFERROR(VLOOKUP(Tabela3[[#This Row],[Produto]],Tabela2[],13,0),0)</f>
        <v>15.600000000000001</v>
      </c>
      <c r="AK526" s="40" t="str">
        <f>IFERROR(VLOOKUP(Tabela3[[#This Row],[Produto]],Tabela2[],14,0),0)</f>
        <v>Senun</v>
      </c>
      <c r="AL526" s="40">
        <f>IFERROR(VLOOKUP(Tabela3[[#This Row],[Produto]],Tabela2[],15,0),0)</f>
        <v>3.5</v>
      </c>
      <c r="AM526" s="36">
        <f ca="1">(Tabela3[[#This Row],[Custo Usinagem]]+Tabela3[[#This Row],[Custo / Pç]])*1.2</f>
        <v>14.767177289478775</v>
      </c>
      <c r="AN526" s="36">
        <f ca="1">Tabela3[[#This Row],[Valor Mínimo Venda]]*1.15</f>
        <v>16.98225388290059</v>
      </c>
      <c r="AO526" s="36">
        <f ca="1">Tabela3[[#This Row],[Tabela 1]]*1.08</f>
        <v>18.34083419353264</v>
      </c>
      <c r="AP526" s="36">
        <f ca="1">Tabela3[[#This Row],[Tabela 2]]*1.15</f>
        <v>21.091959322562534</v>
      </c>
    </row>
    <row r="527" spans="1:42">
      <c r="A527" s="9">
        <v>45881</v>
      </c>
      <c r="B527" s="6" t="s">
        <v>124</v>
      </c>
      <c r="C527" s="14">
        <v>7520</v>
      </c>
      <c r="D527" s="6" t="s">
        <v>44</v>
      </c>
      <c r="E527" s="6" t="s">
        <v>47</v>
      </c>
      <c r="F527" s="6">
        <v>14</v>
      </c>
      <c r="G527" s="15">
        <v>5.8333333333333334E-2</v>
      </c>
      <c r="H527" s="16">
        <v>0</v>
      </c>
      <c r="I527" s="35">
        <f ca="1">IFERROR(Tabela3[[#This Row],[Custo Total]]/Tabela3[[#This Row],[Aluminio Util]],0)</f>
        <v>23.575503730008037</v>
      </c>
      <c r="J527" s="35">
        <f ca="1">Tabela3[[#This Row],[Custo Total]]/Tabela3[[#This Row],[Realizado]]</f>
        <v>39.842601303713586</v>
      </c>
      <c r="K527" s="37">
        <f>IFERROR(Tabela3[[#This Row],[Qtde Cx Produzida]]/Tabela3[[#This Row],[Tempo]]/24,0)</f>
        <v>10</v>
      </c>
      <c r="L527" s="37">
        <f>Tabela3[[#This Row],[Qtde Cx Produzida]]*Tabela3[[#This Row],[Qdt Peça Placa]]</f>
        <v>14</v>
      </c>
      <c r="M527" s="37">
        <f>Tabela3[[#This Row],[Previsto]]-Tabela3[[#This Row],[Perda Pçs]]</f>
        <v>14</v>
      </c>
      <c r="N527" s="38">
        <f>IFERROR(Tabela3[[#This Row],[Perda Pçs]]/Tabela3[[#This Row],[Previsto]],0)</f>
        <v>0</v>
      </c>
      <c r="O527" s="39">
        <f>IFERROR(IF(Tabela3[[#This Row],[Qtde Cx Produzida]] &lt;&gt; 0, Tabela3[[#This Row],[Tempo]] / Tabela3[[#This Row],[Qtde Cx Produzida]], 0),0)</f>
        <v>4.1666666666666666E-3</v>
      </c>
      <c r="P527" s="57">
        <f>IFERROR(Tabela3[[#This Row],[Perda Pçs]]/Tabela3[[#This Row],[Qdt Peça Placa]],0)</f>
        <v>0</v>
      </c>
      <c r="Q527" s="37">
        <f>IFERROR(Tabela3[[#This Row],[Realizado]]*Tabela3[[#This Row],[Peso Util/Pç]],0)</f>
        <v>23.66</v>
      </c>
      <c r="R527" s="37">
        <f>IFERROR(Tabela3[[#This Row],[Peso Total Galho]]*Tabela3[[#This Row],[Qtde Cx Produzida]]*1.055,0)</f>
        <v>44.162299999999995</v>
      </c>
      <c r="S527" s="37">
        <f>(Tabela3[[#This Row],[Aluminio Bruto]]-Tabela3[[#This Row],[Aluminio Util]])*0.9</f>
        <v>18.452069999999996</v>
      </c>
      <c r="T527" s="37">
        <f>Tabela3[[#This Row],[Aluminio Bruto]]/OleoKGAluminio</f>
        <v>18.579022508694692</v>
      </c>
      <c r="U527" s="35">
        <f>IFERROR((VLOOKUP(Tabela3[[#This Row],[Moldador]],Tabela1[],5,)+(VLOOKUP(Tabela3[[#This Row],[Ajudante]],Tabela1[],5,))*3.5),0)</f>
        <v>99.95034583333333</v>
      </c>
      <c r="V527" s="35">
        <f>IFERROR(Tabela3[[#This Row],[Custo M.O. / H]]/((Tabela3[[#This Row],[Realizado]]/Tabela3[[#This Row],[Qdt Peça Placa]])/Tabela3[[#This Row],[Tempo]]/24),)</f>
        <v>9.9950345833333323</v>
      </c>
      <c r="W527" s="35">
        <f>Tabela3[[#This Row],[Custo / Cx Moldada]]*Tabela3[[#This Row],[Qtde Cx Produzida]]</f>
        <v>139.93048416666664</v>
      </c>
      <c r="X527" s="35">
        <f ca="1">Tabela3[[#This Row],[Aluminio Util]]*Tabela3[[#This Row],[Custo/Kg]]</f>
        <v>369.09600000000006</v>
      </c>
      <c r="Y527" s="35">
        <f>IFERROR(VLOOKUP(Tabela3[[#This Row],[Data]],Tabela461213[],2,1)*(Tabela3[[#This Row],[Qtde Cx Produzida]]*Tabela3[[#This Row],[Qde macho / CX]]*Tabela3[[#This Row],[Peso Macho]]),)</f>
        <v>0</v>
      </c>
      <c r="Z527" s="35">
        <f>IFERROR(Tabela3[[#This Row],[Qtde Oleo]]*(VLOOKUP(Tabela3[[#This Row],[Data]],CompraOleo[],3,TRUE))*1.05,0)</f>
        <v>48.76993408532357</v>
      </c>
      <c r="AA527" s="47">
        <f ca="1">(Tabela3[[#This Row],[Custo Oleo]]+Tabela3[[#This Row],[Custo Aluminio]]+Tabela3[[#This Row],[Custo M.O. Total]]+Tabela3[[#This Row],[Custo Machos]])</f>
        <v>557.79641825199019</v>
      </c>
      <c r="AB527" s="47">
        <f ca="1">Tabela3[[#This Row],[Custo Total]]*Tabela3[[#This Row],[% Perda]]</f>
        <v>0</v>
      </c>
      <c r="AC527" s="48">
        <f>IFERROR(VLOOKUP(Tabela3[[#This Row],[Produto]],Tabela2[],2,0),0)</f>
        <v>1</v>
      </c>
      <c r="AD527" s="48">
        <f>IFERROR(VLOOKUP(Tabela3[[#This Row],[Produto]],Tabela2[],3,0),0)</f>
        <v>1.69</v>
      </c>
      <c r="AE527" s="48">
        <f>IFERROR(VLOOKUP(Tabela3[[#This Row],[Produto]],Tabela2[],4,0),0)</f>
        <v>2.99</v>
      </c>
      <c r="AF527" s="48">
        <f>IFERROR(VLOOKUP(Tabela3[[#This Row],[Produto]],Tabela2[],5,0),0)</f>
        <v>1.1700000000000004</v>
      </c>
      <c r="AG527" s="40">
        <f>IFERROR(VLOOKUP(Tabela3[[#This Row],[Produto]],Tabela2[],6,0),0)</f>
        <v>0</v>
      </c>
      <c r="AH527" s="40">
        <f>IFERROR(VLOOKUP(Tabela3[[#This Row],[Produto]],Tabela2[],7,0),0)</f>
        <v>0</v>
      </c>
      <c r="AI527" s="40">
        <f>IFERROR(VLOOKUP(Tabela3[[#This Row],[Produto]],Tabela2[],8,0),0)</f>
        <v>0</v>
      </c>
      <c r="AJ527" s="35">
        <f ca="1">IFERROR(VLOOKUP(Tabela3[[#This Row],[Produto]],Tabela2[],13,0),0)</f>
        <v>15.600000000000001</v>
      </c>
      <c r="AK527" s="40" t="str">
        <f>IFERROR(VLOOKUP(Tabela3[[#This Row],[Produto]],Tabela2[],14,0),0)</f>
        <v>Jumil</v>
      </c>
      <c r="AL527" s="40">
        <f>IFERROR(VLOOKUP(Tabela3[[#This Row],[Produto]],Tabela2[],15,0),0)</f>
        <v>8</v>
      </c>
      <c r="AM527" s="36">
        <f ca="1">(Tabela3[[#This Row],[Custo Usinagem]]+Tabela3[[#This Row],[Custo / Pç]])*1.2</f>
        <v>57.411121564456302</v>
      </c>
      <c r="AN527" s="36">
        <f ca="1">Tabela3[[#This Row],[Valor Mínimo Venda]]*1.15</f>
        <v>66.022789799124737</v>
      </c>
      <c r="AO527" s="36">
        <f ca="1">Tabela3[[#This Row],[Tabela 1]]*1.08</f>
        <v>71.304612983054724</v>
      </c>
      <c r="AP527" s="36">
        <f ca="1">Tabela3[[#This Row],[Tabela 2]]*1.15</f>
        <v>82.000304930512925</v>
      </c>
    </row>
    <row r="528" spans="1:42">
      <c r="A528" s="9">
        <v>45882</v>
      </c>
      <c r="B528" s="6" t="s">
        <v>229</v>
      </c>
      <c r="C528" s="14">
        <v>7515</v>
      </c>
      <c r="D528" s="6" t="s">
        <v>46</v>
      </c>
      <c r="E528" s="6" t="s">
        <v>326</v>
      </c>
      <c r="F528" s="6">
        <v>8</v>
      </c>
      <c r="G528" s="15">
        <v>3.125E-2</v>
      </c>
      <c r="H528" s="16">
        <v>0</v>
      </c>
      <c r="I528" s="35">
        <f ca="1">IFERROR(Tabela3[[#This Row],[Custo Total]]/Tabela3[[#This Row],[Aluminio Util]],0)</f>
        <v>20.486248020157365</v>
      </c>
      <c r="J528" s="35">
        <f ca="1">Tabela3[[#This Row],[Custo Total]]/Tabela3[[#This Row],[Realizado]]</f>
        <v>57.11565948019873</v>
      </c>
      <c r="K528" s="37">
        <f>IFERROR(Tabela3[[#This Row],[Qtde Cx Produzida]]/Tabela3[[#This Row],[Tempo]]/24,0)</f>
        <v>10.666666666666666</v>
      </c>
      <c r="L528" s="37">
        <f>Tabela3[[#This Row],[Qtde Cx Produzida]]*Tabela3[[#This Row],[Qdt Peça Placa]]</f>
        <v>8</v>
      </c>
      <c r="M528" s="37">
        <f>Tabela3[[#This Row],[Previsto]]-Tabela3[[#This Row],[Perda Pçs]]</f>
        <v>8</v>
      </c>
      <c r="N528" s="38">
        <f>IFERROR(Tabela3[[#This Row],[Perda Pçs]]/Tabela3[[#This Row],[Previsto]],0)</f>
        <v>0</v>
      </c>
      <c r="O528" s="39">
        <f>IFERROR(IF(Tabela3[[#This Row],[Qtde Cx Produzida]] &lt;&gt; 0, Tabela3[[#This Row],[Tempo]] / Tabela3[[#This Row],[Qtde Cx Produzida]], 0),0)</f>
        <v>3.90625E-3</v>
      </c>
      <c r="P528" s="57">
        <f>IFERROR(Tabela3[[#This Row],[Perda Pçs]]/Tabela3[[#This Row],[Qdt Peça Placa]],0)</f>
        <v>0</v>
      </c>
      <c r="Q528" s="37">
        <f>IFERROR(Tabela3[[#This Row],[Realizado]]*Tabela3[[#This Row],[Peso Util/Pç]],0)</f>
        <v>22.303999999999998</v>
      </c>
      <c r="R528" s="37">
        <f>IFERROR(Tabela3[[#This Row],[Peso Total Galho]]*Tabela3[[#This Row],[Qtde Cx Produzida]]*1.055,0)</f>
        <v>30.805999999999997</v>
      </c>
      <c r="S528" s="37">
        <f>(Tabela3[[#This Row],[Aluminio Bruto]]-Tabela3[[#This Row],[Aluminio Util]])*0.9</f>
        <v>7.6517999999999988</v>
      </c>
      <c r="T528" s="37">
        <f>Tabela3[[#This Row],[Aluminio Bruto]]/OleoKGAluminio</f>
        <v>12.960044368224679</v>
      </c>
      <c r="U528" s="35">
        <f>IFERROR((VLOOKUP(Tabela3[[#This Row],[Moldador]],Tabela1[],5,)+(VLOOKUP(Tabela3[[#This Row],[Ajudante]],Tabela1[],5,))*3.5),0)</f>
        <v>99.95034583333333</v>
      </c>
      <c r="V528" s="35">
        <f>IFERROR(Tabela3[[#This Row],[Custo M.O. / H]]/((Tabela3[[#This Row],[Realizado]]/Tabela3[[#This Row],[Qdt Peça Placa]])/Tabela3[[#This Row],[Tempo]]/24),)</f>
        <v>9.3703449218750006</v>
      </c>
      <c r="W528" s="35">
        <f>Tabela3[[#This Row],[Custo / Cx Moldada]]*Tabela3[[#This Row],[Qtde Cx Produzida]]</f>
        <v>74.962759375000005</v>
      </c>
      <c r="X528" s="35">
        <f ca="1">Tabela3[[#This Row],[Aluminio Util]]*Tabela3[[#This Row],[Custo/Kg]]</f>
        <v>347.94240000000002</v>
      </c>
      <c r="Y528" s="35">
        <f>IFERROR(VLOOKUP(Tabela3[[#This Row],[Data]],Tabela461213[],2,1)*(Tabela3[[#This Row],[Qtde Cx Produzida]]*Tabela3[[#This Row],[Qde macho / CX]]*Tabela3[[#This Row],[Peso Macho]]),)</f>
        <v>0</v>
      </c>
      <c r="Z528" s="35">
        <f>IFERROR(Tabela3[[#This Row],[Qtde Oleo]]*(VLOOKUP(Tabela3[[#This Row],[Data]],CompraOleo[],3,TRUE))*1.05,0)</f>
        <v>34.020116466589791</v>
      </c>
      <c r="AA528" s="47">
        <f ca="1">(Tabela3[[#This Row],[Custo Oleo]]+Tabela3[[#This Row],[Custo Aluminio]]+Tabela3[[#This Row],[Custo M.O. Total]]+Tabela3[[#This Row],[Custo Machos]])</f>
        <v>456.92527584158984</v>
      </c>
      <c r="AB528" s="47">
        <f ca="1">Tabela3[[#This Row],[Custo Total]]*Tabela3[[#This Row],[% Perda]]</f>
        <v>0</v>
      </c>
      <c r="AC528" s="48">
        <f>IFERROR(VLOOKUP(Tabela3[[#This Row],[Produto]],Tabela2[],2,0),0)</f>
        <v>1</v>
      </c>
      <c r="AD528" s="48">
        <f>IFERROR(VLOOKUP(Tabela3[[#This Row],[Produto]],Tabela2[],3,0),0)</f>
        <v>2.7879999999999998</v>
      </c>
      <c r="AE528" s="48">
        <f>IFERROR(VLOOKUP(Tabela3[[#This Row],[Produto]],Tabela2[],4,0),0)</f>
        <v>3.65</v>
      </c>
      <c r="AF528" s="48">
        <f>IFERROR(VLOOKUP(Tabela3[[#This Row],[Produto]],Tabela2[],5,0),0)</f>
        <v>0.77580000000000016</v>
      </c>
      <c r="AG528" s="40">
        <f>IFERROR(VLOOKUP(Tabela3[[#This Row],[Produto]],Tabela2[],6,0),0)</f>
        <v>0</v>
      </c>
      <c r="AH528" s="40">
        <f>IFERROR(VLOOKUP(Tabela3[[#This Row],[Produto]],Tabela2[],7,0),0)</f>
        <v>0</v>
      </c>
      <c r="AI528" s="40">
        <f>IFERROR(VLOOKUP(Tabela3[[#This Row],[Produto]],Tabela2[],8,0),0)</f>
        <v>0</v>
      </c>
      <c r="AJ528" s="35">
        <f ca="1">IFERROR(VLOOKUP(Tabela3[[#This Row],[Produto]],Tabela2[],13,0),0)</f>
        <v>15.600000000000001</v>
      </c>
      <c r="AK528" s="40" t="str">
        <f>IFERROR(VLOOKUP(Tabela3[[#This Row],[Produto]],Tabela2[],14,0),0)</f>
        <v>Jumil</v>
      </c>
      <c r="AL528" s="40">
        <f>IFERROR(VLOOKUP(Tabela3[[#This Row],[Produto]],Tabela2[],15,0),0)</f>
        <v>35</v>
      </c>
      <c r="AM528" s="36">
        <f ca="1">(Tabela3[[#This Row],[Custo Usinagem]]+Tabela3[[#This Row],[Custo / Pç]])*1.2</f>
        <v>110.53879137623848</v>
      </c>
      <c r="AN528" s="36">
        <f ca="1">Tabela3[[#This Row],[Valor Mínimo Venda]]*1.15</f>
        <v>127.11961008267424</v>
      </c>
      <c r="AO528" s="36">
        <f ca="1">Tabela3[[#This Row],[Tabela 1]]*1.08</f>
        <v>137.28917888928819</v>
      </c>
      <c r="AP528" s="36">
        <f ca="1">Tabela3[[#This Row],[Tabela 2]]*1.15</f>
        <v>157.88255572268142</v>
      </c>
    </row>
    <row r="529" spans="1:42">
      <c r="A529" s="9">
        <v>45882</v>
      </c>
      <c r="B529" s="6" t="s">
        <v>158</v>
      </c>
      <c r="C529" s="14">
        <v>7662</v>
      </c>
      <c r="D529" s="6" t="s">
        <v>46</v>
      </c>
      <c r="E529" s="6" t="s">
        <v>326</v>
      </c>
      <c r="F529" s="6">
        <v>15</v>
      </c>
      <c r="G529" s="15">
        <v>7.9861111111111105E-2</v>
      </c>
      <c r="H529" s="16">
        <v>0</v>
      </c>
      <c r="I529" s="35">
        <f ca="1">IFERROR(Tabela3[[#This Row],[Custo Total]]/Tabela3[[#This Row],[Aluminio Util]],0)</f>
        <v>20.971316160298649</v>
      </c>
      <c r="J529" s="35">
        <f ca="1">Tabela3[[#This Row],[Custo Total]]/Tabela3[[#This Row],[Realizado]]</f>
        <v>31.456974240447973</v>
      </c>
      <c r="K529" s="37">
        <f>IFERROR(Tabela3[[#This Row],[Qtde Cx Produzida]]/Tabela3[[#This Row],[Tempo]]/24,0)</f>
        <v>7.8260869565217392</v>
      </c>
      <c r="L529" s="37">
        <f>Tabela3[[#This Row],[Qtde Cx Produzida]]*Tabela3[[#This Row],[Qdt Peça Placa]]</f>
        <v>60</v>
      </c>
      <c r="M529" s="37">
        <f>Tabela3[[#This Row],[Previsto]]-Tabela3[[#This Row],[Perda Pçs]]</f>
        <v>60</v>
      </c>
      <c r="N529" s="38">
        <f>IFERROR(Tabela3[[#This Row],[Perda Pçs]]/Tabela3[[#This Row],[Previsto]],0)</f>
        <v>0</v>
      </c>
      <c r="O529" s="39">
        <f>IFERROR(IF(Tabela3[[#This Row],[Qtde Cx Produzida]] &lt;&gt; 0, Tabela3[[#This Row],[Tempo]] / Tabela3[[#This Row],[Qtde Cx Produzida]], 0),0)</f>
        <v>5.324074074074074E-3</v>
      </c>
      <c r="P529" s="57">
        <f>IFERROR(Tabela3[[#This Row],[Perda Pçs]]/Tabela3[[#This Row],[Qdt Peça Placa]],0)</f>
        <v>0</v>
      </c>
      <c r="Q529" s="37">
        <f>IFERROR(Tabela3[[#This Row],[Realizado]]*Tabela3[[#This Row],[Peso Util/Pç]],0)</f>
        <v>90</v>
      </c>
      <c r="R529" s="37">
        <f>IFERROR(Tabela3[[#This Row],[Peso Total Galho]]*Tabela3[[#This Row],[Qtde Cx Produzida]]*1.055,0)</f>
        <v>101.28</v>
      </c>
      <c r="S529" s="37">
        <f>(Tabela3[[#This Row],[Aluminio Bruto]]-Tabela3[[#This Row],[Aluminio Util]])*0.9</f>
        <v>10.152000000000001</v>
      </c>
      <c r="T529" s="37">
        <f>Tabela3[[#This Row],[Aluminio Bruto]]/OleoKGAluminio</f>
        <v>42.608365046218125</v>
      </c>
      <c r="U529" s="35">
        <f>IFERROR((VLOOKUP(Tabela3[[#This Row],[Moldador]],Tabela1[],5,)+(VLOOKUP(Tabela3[[#This Row],[Ajudante]],Tabela1[],5,))*3.5),0)</f>
        <v>99.95034583333333</v>
      </c>
      <c r="V529" s="35">
        <f>IFERROR(Tabela3[[#This Row],[Custo M.O. / H]]/((Tabela3[[#This Row],[Realizado]]/Tabela3[[#This Row],[Qdt Peça Placa]])/Tabela3[[#This Row],[Tempo]]/24),)</f>
        <v>12.771433078703703</v>
      </c>
      <c r="W529" s="35">
        <f>Tabela3[[#This Row],[Custo / Cx Moldada]]*Tabela3[[#This Row],[Qtde Cx Produzida]]</f>
        <v>191.57149618055556</v>
      </c>
      <c r="X529" s="35">
        <f ca="1">Tabela3[[#This Row],[Aluminio Util]]*Tabela3[[#This Row],[Custo/Kg]]</f>
        <v>1584.0000000000002</v>
      </c>
      <c r="Y529" s="35">
        <f>IFERROR(VLOOKUP(Tabela3[[#This Row],[Data]],Tabela461213[],2,1)*(Tabela3[[#This Row],[Qtde Cx Produzida]]*Tabela3[[#This Row],[Qde macho / CX]]*Tabela3[[#This Row],[Peso Macho]]),)</f>
        <v>0</v>
      </c>
      <c r="Z529" s="35">
        <f>IFERROR(Tabela3[[#This Row],[Qtde Oleo]]*(VLOOKUP(Tabela3[[#This Row],[Data]],CompraOleo[],3,TRUE))*1.05,0)</f>
        <v>111.84695824632259</v>
      </c>
      <c r="AA529" s="47">
        <f ca="1">(Tabela3[[#This Row],[Custo Oleo]]+Tabela3[[#This Row],[Custo Aluminio]]+Tabela3[[#This Row],[Custo M.O. Total]]+Tabela3[[#This Row],[Custo Machos]])</f>
        <v>1887.4184544268785</v>
      </c>
      <c r="AB529" s="47">
        <f ca="1">Tabela3[[#This Row],[Custo Total]]*Tabela3[[#This Row],[% Perda]]</f>
        <v>0</v>
      </c>
      <c r="AC529" s="48">
        <f>IFERROR(VLOOKUP(Tabela3[[#This Row],[Produto]],Tabela2[],2,0),0)</f>
        <v>4</v>
      </c>
      <c r="AD529" s="48">
        <f>IFERROR(VLOOKUP(Tabela3[[#This Row],[Produto]],Tabela2[],3,0),0)</f>
        <v>1.5</v>
      </c>
      <c r="AE529" s="48">
        <f>IFERROR(VLOOKUP(Tabela3[[#This Row],[Produto]],Tabela2[],4,0),0)</f>
        <v>6.4</v>
      </c>
      <c r="AF529" s="48">
        <f>IFERROR(VLOOKUP(Tabela3[[#This Row],[Produto]],Tabela2[],5,0),0)</f>
        <v>0.36000000000000032</v>
      </c>
      <c r="AG529" s="40">
        <f>IFERROR(VLOOKUP(Tabela3[[#This Row],[Produto]],Tabela2[],6,0),0)</f>
        <v>0</v>
      </c>
      <c r="AH529" s="40">
        <f>IFERROR(VLOOKUP(Tabela3[[#This Row],[Produto]],Tabela2[],7,0),0)</f>
        <v>0</v>
      </c>
      <c r="AI529" s="40">
        <f>IFERROR(VLOOKUP(Tabela3[[#This Row],[Produto]],Tabela2[],8,0),0)</f>
        <v>0</v>
      </c>
      <c r="AJ529" s="35">
        <f ca="1">IFERROR(VLOOKUP(Tabela3[[#This Row],[Produto]],Tabela2[],13,0),0)</f>
        <v>17.600000000000001</v>
      </c>
      <c r="AK529" s="40" t="str">
        <f>IFERROR(VLOOKUP(Tabela3[[#This Row],[Produto]],Tabela2[],14,0),0)</f>
        <v>Danilo</v>
      </c>
      <c r="AL529" s="40">
        <f>IFERROR(VLOOKUP(Tabela3[[#This Row],[Produto]],Tabela2[],15,0),0)</f>
        <v>0</v>
      </c>
      <c r="AM529" s="36">
        <f ca="1">(Tabela3[[#This Row],[Custo Usinagem]]+Tabela3[[#This Row],[Custo / Pç]])*1.2</f>
        <v>37.748369088537565</v>
      </c>
      <c r="AN529" s="36">
        <f ca="1">Tabela3[[#This Row],[Valor Mínimo Venda]]*1.15</f>
        <v>43.410624451818194</v>
      </c>
      <c r="AO529" s="36">
        <f ca="1">Tabela3[[#This Row],[Tabela 1]]*1.08</f>
        <v>46.883474407963654</v>
      </c>
      <c r="AP529" s="36">
        <f ca="1">Tabela3[[#This Row],[Tabela 2]]*1.15</f>
        <v>53.915995569158198</v>
      </c>
    </row>
    <row r="530" spans="1:42">
      <c r="A530" s="9">
        <v>45882</v>
      </c>
      <c r="B530" s="6" t="s">
        <v>124</v>
      </c>
      <c r="C530" s="14">
        <v>7520</v>
      </c>
      <c r="D530" s="6" t="s">
        <v>46</v>
      </c>
      <c r="E530" s="6" t="s">
        <v>326</v>
      </c>
      <c r="F530" s="6">
        <v>40</v>
      </c>
      <c r="G530" s="15">
        <v>0.16666666666666666</v>
      </c>
      <c r="H530" s="16">
        <v>0</v>
      </c>
      <c r="I530" s="35">
        <f ca="1">IFERROR(Tabela3[[#This Row],[Custo Total]]/Tabela3[[#This Row],[Aluminio Util]],0)</f>
        <v>23.575503730008045</v>
      </c>
      <c r="J530" s="35">
        <f ca="1">Tabela3[[#This Row],[Custo Total]]/Tabela3[[#This Row],[Realizado]]</f>
        <v>39.842601303713593</v>
      </c>
      <c r="K530" s="37">
        <f>IFERROR(Tabela3[[#This Row],[Qtde Cx Produzida]]/Tabela3[[#This Row],[Tempo]]/24,0)</f>
        <v>10</v>
      </c>
      <c r="L530" s="37">
        <f>Tabela3[[#This Row],[Qtde Cx Produzida]]*Tabela3[[#This Row],[Qdt Peça Placa]]</f>
        <v>40</v>
      </c>
      <c r="M530" s="37">
        <f>Tabela3[[#This Row],[Previsto]]-Tabela3[[#This Row],[Perda Pçs]]</f>
        <v>40</v>
      </c>
      <c r="N530" s="38">
        <f>IFERROR(Tabela3[[#This Row],[Perda Pçs]]/Tabela3[[#This Row],[Previsto]],0)</f>
        <v>0</v>
      </c>
      <c r="O530" s="39">
        <f>IFERROR(IF(Tabela3[[#This Row],[Qtde Cx Produzida]] &lt;&gt; 0, Tabela3[[#This Row],[Tempo]] / Tabela3[[#This Row],[Qtde Cx Produzida]], 0),0)</f>
        <v>4.1666666666666666E-3</v>
      </c>
      <c r="P530" s="57">
        <f>IFERROR(Tabela3[[#This Row],[Perda Pçs]]/Tabela3[[#This Row],[Qdt Peça Placa]],0)</f>
        <v>0</v>
      </c>
      <c r="Q530" s="37">
        <f>IFERROR(Tabela3[[#This Row],[Realizado]]*Tabela3[[#This Row],[Peso Util/Pç]],0)</f>
        <v>67.599999999999994</v>
      </c>
      <c r="R530" s="37">
        <f>IFERROR(Tabela3[[#This Row],[Peso Total Galho]]*Tabela3[[#This Row],[Qtde Cx Produzida]]*1.055,0)</f>
        <v>126.178</v>
      </c>
      <c r="S530" s="37">
        <f>(Tabela3[[#This Row],[Aluminio Bruto]]-Tabela3[[#This Row],[Aluminio Util]])*0.9</f>
        <v>52.720200000000006</v>
      </c>
      <c r="T530" s="37">
        <f>Tabela3[[#This Row],[Aluminio Bruto]]/OleoKGAluminio</f>
        <v>53.082921453413412</v>
      </c>
      <c r="U530" s="35">
        <f>IFERROR((VLOOKUP(Tabela3[[#This Row],[Moldador]],Tabela1[],5,)+(VLOOKUP(Tabela3[[#This Row],[Ajudante]],Tabela1[],5,))*3.5),0)</f>
        <v>99.95034583333333</v>
      </c>
      <c r="V530" s="35">
        <f>IFERROR(Tabela3[[#This Row],[Custo M.O. / H]]/((Tabela3[[#This Row],[Realizado]]/Tabela3[[#This Row],[Qdt Peça Placa]])/Tabela3[[#This Row],[Tempo]]/24),)</f>
        <v>9.9950345833333323</v>
      </c>
      <c r="W530" s="35">
        <f>Tabela3[[#This Row],[Custo / Cx Moldada]]*Tabela3[[#This Row],[Qtde Cx Produzida]]</f>
        <v>399.80138333333332</v>
      </c>
      <c r="X530" s="35">
        <f ca="1">Tabela3[[#This Row],[Aluminio Util]]*Tabela3[[#This Row],[Custo/Kg]]</f>
        <v>1054.56</v>
      </c>
      <c r="Y530" s="35">
        <f>IFERROR(VLOOKUP(Tabela3[[#This Row],[Data]],Tabela461213[],2,1)*(Tabela3[[#This Row],[Qtde Cx Produzida]]*Tabela3[[#This Row],[Qde macho / CX]]*Tabela3[[#This Row],[Peso Macho]]),)</f>
        <v>0</v>
      </c>
      <c r="Z530" s="35">
        <f>IFERROR(Tabela3[[#This Row],[Qtde Oleo]]*(VLOOKUP(Tabela3[[#This Row],[Data]],CompraOleo[],3,TRUE))*1.05,0)</f>
        <v>139.34266881521023</v>
      </c>
      <c r="AA530" s="47">
        <f ca="1">(Tabela3[[#This Row],[Custo Oleo]]+Tabela3[[#This Row],[Custo Aluminio]]+Tabela3[[#This Row],[Custo M.O. Total]]+Tabela3[[#This Row],[Custo Machos]])</f>
        <v>1593.7040521485437</v>
      </c>
      <c r="AB530" s="47">
        <f ca="1">Tabela3[[#This Row],[Custo Total]]*Tabela3[[#This Row],[% Perda]]</f>
        <v>0</v>
      </c>
      <c r="AC530" s="48">
        <f>IFERROR(VLOOKUP(Tabela3[[#This Row],[Produto]],Tabela2[],2,0),0)</f>
        <v>1</v>
      </c>
      <c r="AD530" s="48">
        <f>IFERROR(VLOOKUP(Tabela3[[#This Row],[Produto]],Tabela2[],3,0),0)</f>
        <v>1.69</v>
      </c>
      <c r="AE530" s="48">
        <f>IFERROR(VLOOKUP(Tabela3[[#This Row],[Produto]],Tabela2[],4,0),0)</f>
        <v>2.99</v>
      </c>
      <c r="AF530" s="48">
        <f>IFERROR(VLOOKUP(Tabela3[[#This Row],[Produto]],Tabela2[],5,0),0)</f>
        <v>1.1700000000000004</v>
      </c>
      <c r="AG530" s="40">
        <f>IFERROR(VLOOKUP(Tabela3[[#This Row],[Produto]],Tabela2[],6,0),0)</f>
        <v>0</v>
      </c>
      <c r="AH530" s="40">
        <f>IFERROR(VLOOKUP(Tabela3[[#This Row],[Produto]],Tabela2[],7,0),0)</f>
        <v>0</v>
      </c>
      <c r="AI530" s="40">
        <f>IFERROR(VLOOKUP(Tabela3[[#This Row],[Produto]],Tabela2[],8,0),0)</f>
        <v>0</v>
      </c>
      <c r="AJ530" s="35">
        <f ca="1">IFERROR(VLOOKUP(Tabela3[[#This Row],[Produto]],Tabela2[],13,0),0)</f>
        <v>15.600000000000001</v>
      </c>
      <c r="AK530" s="40" t="str">
        <f>IFERROR(VLOOKUP(Tabela3[[#This Row],[Produto]],Tabela2[],14,0),0)</f>
        <v>Jumil</v>
      </c>
      <c r="AL530" s="40">
        <f>IFERROR(VLOOKUP(Tabela3[[#This Row],[Produto]],Tabela2[],15,0),0)</f>
        <v>8</v>
      </c>
      <c r="AM530" s="36">
        <f ca="1">(Tabela3[[#This Row],[Custo Usinagem]]+Tabela3[[#This Row],[Custo / Pç]])*1.2</f>
        <v>57.411121564456309</v>
      </c>
      <c r="AN530" s="36">
        <f ca="1">Tabela3[[#This Row],[Valor Mínimo Venda]]*1.15</f>
        <v>66.022789799124752</v>
      </c>
      <c r="AO530" s="36">
        <f ca="1">Tabela3[[#This Row],[Tabela 1]]*1.08</f>
        <v>71.304612983054739</v>
      </c>
      <c r="AP530" s="36">
        <f ca="1">Tabela3[[#This Row],[Tabela 2]]*1.15</f>
        <v>82.000304930512939</v>
      </c>
    </row>
    <row r="531" spans="1:42">
      <c r="A531" s="9">
        <v>45882</v>
      </c>
      <c r="B531" s="6" t="s">
        <v>163</v>
      </c>
      <c r="C531" s="14">
        <v>7519</v>
      </c>
      <c r="D531" s="6" t="s">
        <v>46</v>
      </c>
      <c r="E531" s="6" t="s">
        <v>326</v>
      </c>
      <c r="F531" s="6">
        <v>5</v>
      </c>
      <c r="G531" s="15">
        <v>4.3055555555555555E-2</v>
      </c>
      <c r="H531" s="16">
        <v>0</v>
      </c>
      <c r="I531" s="35">
        <f ca="1">IFERROR(Tabela3[[#This Row],[Custo Total]]/Tabela3[[#This Row],[Aluminio Util]],0)</f>
        <v>18.285602814814883</v>
      </c>
      <c r="J531" s="35">
        <f ca="1">Tabela3[[#This Row],[Custo Total]]/Tabela3[[#This Row],[Realizado]]</f>
        <v>174.44465085333394</v>
      </c>
      <c r="K531" s="37">
        <f>IFERROR(Tabela3[[#This Row],[Qtde Cx Produzida]]/Tabela3[[#This Row],[Tempo]]/24,0)</f>
        <v>4.838709677419355</v>
      </c>
      <c r="L531" s="37">
        <f>Tabela3[[#This Row],[Qtde Cx Produzida]]*Tabela3[[#This Row],[Qdt Peça Placa]]</f>
        <v>25</v>
      </c>
      <c r="M531" s="37">
        <f>Tabela3[[#This Row],[Previsto]]-Tabela3[[#This Row],[Perda Pçs]]</f>
        <v>25</v>
      </c>
      <c r="N531" s="38">
        <f>IFERROR(Tabela3[[#This Row],[Perda Pçs]]/Tabela3[[#This Row],[Previsto]],0)</f>
        <v>0</v>
      </c>
      <c r="O531" s="39">
        <f>IFERROR(IF(Tabela3[[#This Row],[Qtde Cx Produzida]] &lt;&gt; 0, Tabela3[[#This Row],[Tempo]] / Tabela3[[#This Row],[Qtde Cx Produzida]], 0),0)</f>
        <v>8.611111111111111E-3</v>
      </c>
      <c r="P531" s="57">
        <f>IFERROR(Tabela3[[#This Row],[Perda Pçs]]/Tabela3[[#This Row],[Qdt Peça Placa]],0)</f>
        <v>0</v>
      </c>
      <c r="Q531" s="37">
        <f>IFERROR(Tabela3[[#This Row],[Realizado]]*Tabela3[[#This Row],[Peso Util/Pç]],0)</f>
        <v>238.49999999999997</v>
      </c>
      <c r="R531" s="37">
        <f>IFERROR(Tabela3[[#This Row],[Peso Total Galho]]*Tabela3[[#This Row],[Qtde Cx Produzida]]*1.055,0)</f>
        <v>54.543500000000002</v>
      </c>
      <c r="S531" s="37">
        <f>(Tabela3[[#This Row],[Aluminio Bruto]]-Tabela3[[#This Row],[Aluminio Util]])*0.9</f>
        <v>-165.56084999999999</v>
      </c>
      <c r="T531" s="37">
        <f>Tabela3[[#This Row],[Aluminio Bruto]]/OleoKGAluminio</f>
        <v>22.946379925932053</v>
      </c>
      <c r="U531" s="35">
        <f>IFERROR((VLOOKUP(Tabela3[[#This Row],[Moldador]],Tabela1[],5,)+(VLOOKUP(Tabela3[[#This Row],[Ajudante]],Tabela1[],5,))*3.5),0)</f>
        <v>99.95034583333333</v>
      </c>
      <c r="V531" s="35">
        <f>IFERROR(Tabela3[[#This Row],[Custo M.O. / H]]/((Tabela3[[#This Row],[Realizado]]/Tabela3[[#This Row],[Qdt Peça Placa]])/Tabela3[[#This Row],[Tempo]]/24),)</f>
        <v>20.656404805555553</v>
      </c>
      <c r="W531" s="35">
        <f>Tabela3[[#This Row],[Custo / Cx Moldada]]*Tabela3[[#This Row],[Qtde Cx Produzida]]</f>
        <v>103.28202402777777</v>
      </c>
      <c r="X531" s="35">
        <f ca="1">Tabela3[[#This Row],[Aluminio Util]]*Tabela3[[#This Row],[Custo/Kg]]</f>
        <v>4197.5999999999995</v>
      </c>
      <c r="Y531" s="35">
        <f>IFERROR(VLOOKUP(Tabela3[[#This Row],[Data]],Tabela461213[],2,1)*(Tabela3[[#This Row],[Qtde Cx Produzida]]*Tabela3[[#This Row],[Qde macho / CX]]*Tabela3[[#This Row],[Peso Macho]]),)</f>
        <v>0</v>
      </c>
      <c r="Z531" s="35">
        <f>IFERROR(Tabela3[[#This Row],[Qtde Oleo]]*(VLOOKUP(Tabela3[[#This Row],[Data]],CompraOleo[],3,TRUE))*1.05,0)</f>
        <v>60.234247305571643</v>
      </c>
      <c r="AA531" s="47">
        <f ca="1">(Tabela3[[#This Row],[Custo Oleo]]+Tabela3[[#This Row],[Custo Aluminio]]+Tabela3[[#This Row],[Custo M.O. Total]]+Tabela3[[#This Row],[Custo Machos]])</f>
        <v>4361.1162713333488</v>
      </c>
      <c r="AB531" s="47">
        <f ca="1">Tabela3[[#This Row],[Custo Total]]*Tabela3[[#This Row],[% Perda]]</f>
        <v>0</v>
      </c>
      <c r="AC531" s="48">
        <f>IFERROR(VLOOKUP(Tabela3[[#This Row],[Produto]],Tabela2[],2,0),0)</f>
        <v>5</v>
      </c>
      <c r="AD531" s="48">
        <f>IFERROR(VLOOKUP(Tabela3[[#This Row],[Produto]],Tabela2[],3,0),0)</f>
        <v>9.5399999999999991</v>
      </c>
      <c r="AE531" s="48">
        <f>IFERROR(VLOOKUP(Tabela3[[#This Row],[Produto]],Tabela2[],4,0),0)</f>
        <v>10.34</v>
      </c>
      <c r="AF531" s="48">
        <f>IFERROR(VLOOKUP(Tabela3[[#This Row],[Produto]],Tabela2[],5,0),0)</f>
        <v>-33.624000000000002</v>
      </c>
      <c r="AG531" s="40">
        <f>IFERROR(VLOOKUP(Tabela3[[#This Row],[Produto]],Tabela2[],6,0),0)</f>
        <v>0</v>
      </c>
      <c r="AH531" s="40">
        <f>IFERROR(VLOOKUP(Tabela3[[#This Row],[Produto]],Tabela2[],7,0),0)</f>
        <v>0</v>
      </c>
      <c r="AI531" s="40">
        <f>IFERROR(VLOOKUP(Tabela3[[#This Row],[Produto]],Tabela2[],8,0),0)</f>
        <v>0</v>
      </c>
      <c r="AJ531" s="35">
        <f ca="1">IFERROR(VLOOKUP(Tabela3[[#This Row],[Produto]],Tabela2[],13,0),0)</f>
        <v>17.600000000000001</v>
      </c>
      <c r="AK531" s="40" t="str">
        <f>IFERROR(VLOOKUP(Tabela3[[#This Row],[Produto]],Tabela2[],14,0),0)</f>
        <v>Oscar</v>
      </c>
      <c r="AL531" s="40">
        <f>IFERROR(VLOOKUP(Tabela3[[#This Row],[Produto]],Tabela2[],15,0),0)</f>
        <v>0</v>
      </c>
      <c r="AM531" s="36">
        <f ca="1">(Tabela3[[#This Row],[Custo Usinagem]]+Tabela3[[#This Row],[Custo / Pç]])*1.2</f>
        <v>209.33358102400072</v>
      </c>
      <c r="AN531" s="36">
        <f ca="1">Tabela3[[#This Row],[Valor Mínimo Venda]]*1.15</f>
        <v>240.73361817760082</v>
      </c>
      <c r="AO531" s="36">
        <f ca="1">Tabela3[[#This Row],[Tabela 1]]*1.08</f>
        <v>259.9923076318089</v>
      </c>
      <c r="AP531" s="36">
        <f ca="1">Tabela3[[#This Row],[Tabela 2]]*1.15</f>
        <v>298.99115377658023</v>
      </c>
    </row>
    <row r="532" spans="1:42">
      <c r="A532" s="9">
        <v>45882</v>
      </c>
      <c r="B532" s="6" t="s">
        <v>158</v>
      </c>
      <c r="C532" s="14">
        <v>7662</v>
      </c>
      <c r="D532" s="6" t="s">
        <v>44</v>
      </c>
      <c r="E532" s="6" t="s">
        <v>47</v>
      </c>
      <c r="F532" s="6">
        <v>10</v>
      </c>
      <c r="G532" s="15">
        <v>5.5555555555555552E-2</v>
      </c>
      <c r="H532" s="16">
        <v>0</v>
      </c>
      <c r="I532" s="35">
        <f ca="1">IFERROR(Tabela3[[#This Row],[Custo Total]]/Tabela3[[#This Row],[Aluminio Util]],0)</f>
        <v>21.063862776810993</v>
      </c>
      <c r="J532" s="35">
        <f ca="1">Tabela3[[#This Row],[Custo Total]]/Tabela3[[#This Row],[Realizado]]</f>
        <v>31.595794165216489</v>
      </c>
      <c r="K532" s="37">
        <f>IFERROR(Tabela3[[#This Row],[Qtde Cx Produzida]]/Tabela3[[#This Row],[Tempo]]/24,0)</f>
        <v>7.5</v>
      </c>
      <c r="L532" s="37">
        <f>Tabela3[[#This Row],[Qtde Cx Produzida]]*Tabela3[[#This Row],[Qdt Peça Placa]]</f>
        <v>40</v>
      </c>
      <c r="M532" s="37">
        <f>Tabela3[[#This Row],[Previsto]]-Tabela3[[#This Row],[Perda Pçs]]</f>
        <v>40</v>
      </c>
      <c r="N532" s="38">
        <f>IFERROR(Tabela3[[#This Row],[Perda Pçs]]/Tabela3[[#This Row],[Previsto]],0)</f>
        <v>0</v>
      </c>
      <c r="O532" s="39">
        <f>IFERROR(IF(Tabela3[[#This Row],[Qtde Cx Produzida]] &lt;&gt; 0, Tabela3[[#This Row],[Tempo]] / Tabela3[[#This Row],[Qtde Cx Produzida]], 0),0)</f>
        <v>5.5555555555555549E-3</v>
      </c>
      <c r="P532" s="57">
        <f>IFERROR(Tabela3[[#This Row],[Perda Pçs]]/Tabela3[[#This Row],[Qdt Peça Placa]],0)</f>
        <v>0</v>
      </c>
      <c r="Q532" s="37">
        <f>IFERROR(Tabela3[[#This Row],[Realizado]]*Tabela3[[#This Row],[Peso Util/Pç]],0)</f>
        <v>60</v>
      </c>
      <c r="R532" s="37">
        <f>IFERROR(Tabela3[[#This Row],[Peso Total Galho]]*Tabela3[[#This Row],[Qtde Cx Produzida]]*1.055,0)</f>
        <v>67.52</v>
      </c>
      <c r="S532" s="37">
        <f>(Tabela3[[#This Row],[Aluminio Bruto]]-Tabela3[[#This Row],[Aluminio Util]])*0.9</f>
        <v>6.7679999999999962</v>
      </c>
      <c r="T532" s="37">
        <f>Tabela3[[#This Row],[Aluminio Bruto]]/OleoKGAluminio</f>
        <v>28.40557669747875</v>
      </c>
      <c r="U532" s="35">
        <f>IFERROR((VLOOKUP(Tabela3[[#This Row],[Moldador]],Tabela1[],5,)+(VLOOKUP(Tabela3[[#This Row],[Ajudante]],Tabela1[],5,))*3.5),0)</f>
        <v>99.95034583333333</v>
      </c>
      <c r="V532" s="35">
        <f>IFERROR(Tabela3[[#This Row],[Custo M.O. / H]]/((Tabela3[[#This Row],[Realizado]]/Tabela3[[#This Row],[Qdt Peça Placa]])/Tabela3[[#This Row],[Tempo]]/24),)</f>
        <v>13.326712777777777</v>
      </c>
      <c r="W532" s="35">
        <f>Tabela3[[#This Row],[Custo / Cx Moldada]]*Tabela3[[#This Row],[Qtde Cx Produzida]]</f>
        <v>133.26712777777777</v>
      </c>
      <c r="X532" s="35">
        <f ca="1">Tabela3[[#This Row],[Aluminio Util]]*Tabela3[[#This Row],[Custo/Kg]]</f>
        <v>1056</v>
      </c>
      <c r="Y532" s="35">
        <f>IFERROR(VLOOKUP(Tabela3[[#This Row],[Data]],Tabela461213[],2,1)*(Tabela3[[#This Row],[Qtde Cx Produzida]]*Tabela3[[#This Row],[Qde macho / CX]]*Tabela3[[#This Row],[Peso Macho]]),)</f>
        <v>0</v>
      </c>
      <c r="Z532" s="35">
        <f>IFERROR(Tabela3[[#This Row],[Qtde Oleo]]*(VLOOKUP(Tabela3[[#This Row],[Data]],CompraOleo[],3,TRUE))*1.05,0)</f>
        <v>74.564638830881719</v>
      </c>
      <c r="AA532" s="47">
        <f ca="1">(Tabela3[[#This Row],[Custo Oleo]]+Tabela3[[#This Row],[Custo Aluminio]]+Tabela3[[#This Row],[Custo M.O. Total]]+Tabela3[[#This Row],[Custo Machos]])</f>
        <v>1263.8317666086596</v>
      </c>
      <c r="AB532" s="47">
        <f ca="1">Tabela3[[#This Row],[Custo Total]]*Tabela3[[#This Row],[% Perda]]</f>
        <v>0</v>
      </c>
      <c r="AC532" s="48">
        <f>IFERROR(VLOOKUP(Tabela3[[#This Row],[Produto]],Tabela2[],2,0),0)</f>
        <v>4</v>
      </c>
      <c r="AD532" s="48">
        <f>IFERROR(VLOOKUP(Tabela3[[#This Row],[Produto]],Tabela2[],3,0),0)</f>
        <v>1.5</v>
      </c>
      <c r="AE532" s="48">
        <f>IFERROR(VLOOKUP(Tabela3[[#This Row],[Produto]],Tabela2[],4,0),0)</f>
        <v>6.4</v>
      </c>
      <c r="AF532" s="48">
        <f>IFERROR(VLOOKUP(Tabela3[[#This Row],[Produto]],Tabela2[],5,0),0)</f>
        <v>0.36000000000000032</v>
      </c>
      <c r="AG532" s="40">
        <f>IFERROR(VLOOKUP(Tabela3[[#This Row],[Produto]],Tabela2[],6,0),0)</f>
        <v>0</v>
      </c>
      <c r="AH532" s="40">
        <f>IFERROR(VLOOKUP(Tabela3[[#This Row],[Produto]],Tabela2[],7,0),0)</f>
        <v>0</v>
      </c>
      <c r="AI532" s="40">
        <f>IFERROR(VLOOKUP(Tabela3[[#This Row],[Produto]],Tabela2[],8,0),0)</f>
        <v>0</v>
      </c>
      <c r="AJ532" s="35">
        <f ca="1">IFERROR(VLOOKUP(Tabela3[[#This Row],[Produto]],Tabela2[],13,0),0)</f>
        <v>17.600000000000001</v>
      </c>
      <c r="AK532" s="40" t="str">
        <f>IFERROR(VLOOKUP(Tabela3[[#This Row],[Produto]],Tabela2[],14,0),0)</f>
        <v>Danilo</v>
      </c>
      <c r="AL532" s="40">
        <f>IFERROR(VLOOKUP(Tabela3[[#This Row],[Produto]],Tabela2[],15,0),0)</f>
        <v>0</v>
      </c>
      <c r="AM532" s="36">
        <f ca="1">(Tabela3[[#This Row],[Custo Usinagem]]+Tabela3[[#This Row],[Custo / Pç]])*1.2</f>
        <v>37.914952998259785</v>
      </c>
      <c r="AN532" s="36">
        <f ca="1">Tabela3[[#This Row],[Valor Mínimo Venda]]*1.15</f>
        <v>43.602195947998752</v>
      </c>
      <c r="AO532" s="36">
        <f ca="1">Tabela3[[#This Row],[Tabela 1]]*1.08</f>
        <v>47.090371623838656</v>
      </c>
      <c r="AP532" s="36">
        <f ca="1">Tabela3[[#This Row],[Tabela 2]]*1.15</f>
        <v>54.153927367414454</v>
      </c>
    </row>
    <row r="533" spans="1:42">
      <c r="A533" s="9">
        <v>45883</v>
      </c>
      <c r="B533" s="6" t="s">
        <v>164</v>
      </c>
      <c r="C533" s="14">
        <v>7661</v>
      </c>
      <c r="D533" s="6" t="s">
        <v>46</v>
      </c>
      <c r="E533" s="6" t="s">
        <v>326</v>
      </c>
      <c r="F533" s="6">
        <v>2</v>
      </c>
      <c r="G533" s="15">
        <v>4.791666666666667E-2</v>
      </c>
      <c r="H533" s="16">
        <v>0</v>
      </c>
      <c r="I533" s="35">
        <f ca="1">IFERROR(Tabela3[[#This Row],[Custo Total]]/Tabela3[[#This Row],[Aluminio Util]],0)</f>
        <v>19.68938248963892</v>
      </c>
      <c r="J533" s="35">
        <f ca="1">Tabela3[[#This Row],[Custo Total]]/Tabela3[[#This Row],[Realizado]]</f>
        <v>386.89636592140477</v>
      </c>
      <c r="K533" s="37">
        <f>IFERROR(Tabela3[[#This Row],[Qtde Cx Produzida]]/Tabela3[[#This Row],[Tempo]]/24,0)</f>
        <v>1.7391304347826086</v>
      </c>
      <c r="L533" s="37">
        <f>Tabela3[[#This Row],[Qtde Cx Produzida]]*Tabela3[[#This Row],[Qdt Peça Placa]]</f>
        <v>4</v>
      </c>
      <c r="M533" s="37">
        <f>Tabela3[[#This Row],[Previsto]]-Tabela3[[#This Row],[Perda Pçs]]</f>
        <v>4</v>
      </c>
      <c r="N533" s="38">
        <f>IFERROR(Tabela3[[#This Row],[Perda Pçs]]/Tabela3[[#This Row],[Previsto]],0)</f>
        <v>0</v>
      </c>
      <c r="O533" s="39">
        <f>IFERROR(IF(Tabela3[[#This Row],[Qtde Cx Produzida]] &lt;&gt; 0, Tabela3[[#This Row],[Tempo]] / Tabela3[[#This Row],[Qtde Cx Produzida]], 0),0)</f>
        <v>2.3958333333333335E-2</v>
      </c>
      <c r="P533" s="57">
        <f>IFERROR(Tabela3[[#This Row],[Perda Pçs]]/Tabela3[[#This Row],[Qdt Peça Placa]],0)</f>
        <v>0</v>
      </c>
      <c r="Q533" s="37">
        <f>IFERROR(Tabela3[[#This Row],[Realizado]]*Tabela3[[#This Row],[Peso Util/Pç]],0)</f>
        <v>78.599999999999994</v>
      </c>
      <c r="R533" s="37">
        <f>IFERROR(Tabela3[[#This Row],[Peso Total Galho]]*Tabela3[[#This Row],[Qtde Cx Produzida]]*1.055,0)</f>
        <v>44.626499999999993</v>
      </c>
      <c r="S533" s="37">
        <f>(Tabela3[[#This Row],[Aluminio Bruto]]-Tabela3[[#This Row],[Aluminio Util]])*0.9</f>
        <v>-30.576150000000002</v>
      </c>
      <c r="T533" s="37">
        <f>Tabela3[[#This Row],[Aluminio Bruto]]/OleoKGAluminio</f>
        <v>18.774310848489858</v>
      </c>
      <c r="U533" s="35">
        <f>IFERROR((VLOOKUP(Tabela3[[#This Row],[Moldador]],Tabela1[],5,)+(VLOOKUP(Tabela3[[#This Row],[Ajudante]],Tabela1[],5,))*3.5),0)</f>
        <v>99.95034583333333</v>
      </c>
      <c r="V533" s="35">
        <f>IFERROR(Tabela3[[#This Row],[Custo M.O. / H]]/((Tabela3[[#This Row],[Realizado]]/Tabela3[[#This Row],[Qdt Peça Placa]])/Tabela3[[#This Row],[Tempo]]/24),)</f>
        <v>57.471448854166667</v>
      </c>
      <c r="W533" s="35">
        <f>Tabela3[[#This Row],[Custo / Cx Moldada]]*Tabela3[[#This Row],[Qtde Cx Produzida]]</f>
        <v>114.94289770833333</v>
      </c>
      <c r="X533" s="35">
        <f ca="1">Tabela3[[#This Row],[Aluminio Util]]*Tabela3[[#This Row],[Custo/Kg]]</f>
        <v>1383.36</v>
      </c>
      <c r="Y533" s="35">
        <f>IFERROR(VLOOKUP(Tabela3[[#This Row],[Data]],Tabela461213[],2,1)*(Tabela3[[#This Row],[Qtde Cx Produzida]]*Tabela3[[#This Row],[Qde macho / CX]]*Tabela3[[#This Row],[Peso Macho]]),)</f>
        <v>0</v>
      </c>
      <c r="Z533" s="35">
        <f>IFERROR(Tabela3[[#This Row],[Qtde Oleo]]*(VLOOKUP(Tabela3[[#This Row],[Data]],CompraOleo[],3,TRUE))*1.05,0)</f>
        <v>49.282565977285877</v>
      </c>
      <c r="AA533" s="47">
        <f ca="1">(Tabela3[[#This Row],[Custo Oleo]]+Tabela3[[#This Row],[Custo Aluminio]]+Tabela3[[#This Row],[Custo M.O. Total]]+Tabela3[[#This Row],[Custo Machos]])</f>
        <v>1547.5854636856191</v>
      </c>
      <c r="AB533" s="47">
        <f ca="1">Tabela3[[#This Row],[Custo Total]]*Tabela3[[#This Row],[% Perda]]</f>
        <v>0</v>
      </c>
      <c r="AC533" s="48">
        <f>IFERROR(VLOOKUP(Tabela3[[#This Row],[Produto]],Tabela2[],2,0),0)</f>
        <v>2</v>
      </c>
      <c r="AD533" s="48">
        <f>IFERROR(VLOOKUP(Tabela3[[#This Row],[Produto]],Tabela2[],3,0),0)</f>
        <v>19.649999999999999</v>
      </c>
      <c r="AE533" s="48">
        <f>IFERROR(VLOOKUP(Tabela3[[#This Row],[Produto]],Tabela2[],4,0),0)</f>
        <v>21.15</v>
      </c>
      <c r="AF533" s="48">
        <f>IFERROR(VLOOKUP(Tabela3[[#This Row],[Produto]],Tabela2[],5,0),0)</f>
        <v>-16.335000000000001</v>
      </c>
      <c r="AG533" s="40">
        <f>IFERROR(VLOOKUP(Tabela3[[#This Row],[Produto]],Tabela2[],6,0),0)</f>
        <v>0</v>
      </c>
      <c r="AH533" s="40">
        <f>IFERROR(VLOOKUP(Tabela3[[#This Row],[Produto]],Tabela2[],7,0),0)</f>
        <v>0</v>
      </c>
      <c r="AI533" s="40">
        <f>IFERROR(VLOOKUP(Tabela3[[#This Row],[Produto]],Tabela2[],8,0),0)</f>
        <v>0</v>
      </c>
      <c r="AJ533" s="35">
        <f ca="1">IFERROR(VLOOKUP(Tabela3[[#This Row],[Produto]],Tabela2[],13,0),0)</f>
        <v>17.600000000000001</v>
      </c>
      <c r="AK533" s="40" t="str">
        <f>IFERROR(VLOOKUP(Tabela3[[#This Row],[Produto]],Tabela2[],14,0),0)</f>
        <v>Oscar</v>
      </c>
      <c r="AL533" s="40">
        <f>IFERROR(VLOOKUP(Tabela3[[#This Row],[Produto]],Tabela2[],15,0),0)</f>
        <v>0</v>
      </c>
      <c r="AM533" s="36">
        <f ca="1">(Tabela3[[#This Row],[Custo Usinagem]]+Tabela3[[#This Row],[Custo / Pç]])*1.2</f>
        <v>464.27563910568568</v>
      </c>
      <c r="AN533" s="36">
        <f ca="1">Tabela3[[#This Row],[Valor Mínimo Venda]]*1.15</f>
        <v>533.91698497153845</v>
      </c>
      <c r="AO533" s="36">
        <f ca="1">Tabela3[[#This Row],[Tabela 1]]*1.08</f>
        <v>576.63034376926157</v>
      </c>
      <c r="AP533" s="36">
        <f ca="1">Tabela3[[#This Row],[Tabela 2]]*1.15</f>
        <v>663.12489533465077</v>
      </c>
    </row>
    <row r="534" spans="1:42">
      <c r="A534" s="9">
        <v>45883</v>
      </c>
      <c r="B534" s="6" t="s">
        <v>273</v>
      </c>
      <c r="C534" s="14">
        <v>7673</v>
      </c>
      <c r="D534" s="6" t="s">
        <v>46</v>
      </c>
      <c r="E534" s="6" t="s">
        <v>326</v>
      </c>
      <c r="F534" s="6">
        <v>1</v>
      </c>
      <c r="G534" s="15">
        <v>4.1666666666666664E-2</v>
      </c>
      <c r="H534" s="16">
        <v>0</v>
      </c>
      <c r="I534" s="35">
        <f ca="1">IFERROR(Tabela3[[#This Row],[Custo Total]]/Tabela3[[#This Row],[Aluminio Util]],0)</f>
        <v>23.345975238326282</v>
      </c>
      <c r="J534" s="35">
        <f ca="1">Tabela3[[#This Row],[Custo Total]]/Tabela3[[#This Row],[Realizado]]</f>
        <v>420.22755428987307</v>
      </c>
      <c r="K534" s="37">
        <f>IFERROR(Tabela3[[#This Row],[Qtde Cx Produzida]]/Tabela3[[#This Row],[Tempo]]/24,0)</f>
        <v>1</v>
      </c>
      <c r="L534" s="37">
        <f>Tabela3[[#This Row],[Qtde Cx Produzida]]*Tabela3[[#This Row],[Qdt Peça Placa]]</f>
        <v>1</v>
      </c>
      <c r="M534" s="37">
        <f>Tabela3[[#This Row],[Previsto]]-Tabela3[[#This Row],[Perda Pçs]]</f>
        <v>1</v>
      </c>
      <c r="N534" s="38">
        <f>IFERROR(Tabela3[[#This Row],[Perda Pçs]]/Tabela3[[#This Row],[Previsto]],0)</f>
        <v>0</v>
      </c>
      <c r="O534" s="39">
        <f>IFERROR(IF(Tabela3[[#This Row],[Qtde Cx Produzida]] &lt;&gt; 0, Tabela3[[#This Row],[Tempo]] / Tabela3[[#This Row],[Qtde Cx Produzida]], 0),0)</f>
        <v>4.1666666666666664E-2</v>
      </c>
      <c r="P534" s="57">
        <f>IFERROR(Tabela3[[#This Row],[Perda Pçs]]/Tabela3[[#This Row],[Qdt Peça Placa]],0)</f>
        <v>0</v>
      </c>
      <c r="Q534" s="37">
        <f>IFERROR(Tabela3[[#This Row],[Realizado]]*Tabela3[[#This Row],[Peso Util/Pç]],0)</f>
        <v>18</v>
      </c>
      <c r="R534" s="37">
        <f>IFERROR(Tabela3[[#This Row],[Peso Total Galho]]*Tabela3[[#This Row],[Qtde Cx Produzida]]*1.055,0)</f>
        <v>19.939499999999999</v>
      </c>
      <c r="S534" s="37">
        <f>(Tabela3[[#This Row],[Aluminio Bruto]]-Tabela3[[#This Row],[Aluminio Util]])*0.9</f>
        <v>1.745549999999999</v>
      </c>
      <c r="T534" s="37">
        <f>Tabela3[[#This Row],[Aluminio Bruto]]/OleoKGAluminio</f>
        <v>8.3885218684741929</v>
      </c>
      <c r="U534" s="35">
        <f>IFERROR((VLOOKUP(Tabela3[[#This Row],[Moldador]],Tabela1[],5,)+(VLOOKUP(Tabela3[[#This Row],[Ajudante]],Tabela1[],5,))*3.5),0)</f>
        <v>99.95034583333333</v>
      </c>
      <c r="V534" s="35">
        <f>IFERROR(Tabela3[[#This Row],[Custo M.O. / H]]/((Tabela3[[#This Row],[Realizado]]/Tabela3[[#This Row],[Qdt Peça Placa]])/Tabela3[[#This Row],[Tempo]]/24),)</f>
        <v>99.95034583333333</v>
      </c>
      <c r="W534" s="35">
        <f>Tabela3[[#This Row],[Custo / Cx Moldada]]*Tabela3[[#This Row],[Qtde Cx Produzida]]</f>
        <v>99.95034583333333</v>
      </c>
      <c r="X534" s="35">
        <f ca="1">Tabela3[[#This Row],[Aluminio Util]]*Tabela3[[#This Row],[Custo/Kg]]</f>
        <v>298.25733855179493</v>
      </c>
      <c r="Y534" s="35">
        <f>IFERROR(VLOOKUP(Tabela3[[#This Row],[Data]],Tabela461213[],2,1)*(Tabela3[[#This Row],[Qtde Cx Produzida]]*Tabela3[[#This Row],[Qde macho / CX]]*Tabela3[[#This Row],[Peso Macho]]),)</f>
        <v>0</v>
      </c>
      <c r="Z534" s="35">
        <f>IFERROR(Tabela3[[#This Row],[Qtde Oleo]]*(VLOOKUP(Tabela3[[#This Row],[Data]],CompraOleo[],3,TRUE))*1.05,0)</f>
        <v>22.019869904744759</v>
      </c>
      <c r="AA534" s="47">
        <f ca="1">(Tabela3[[#This Row],[Custo Oleo]]+Tabela3[[#This Row],[Custo Aluminio]]+Tabela3[[#This Row],[Custo M.O. Total]]+Tabela3[[#This Row],[Custo Machos]])</f>
        <v>420.22755428987307</v>
      </c>
      <c r="AB534" s="47">
        <f ca="1">Tabela3[[#This Row],[Custo Total]]*Tabela3[[#This Row],[% Perda]]</f>
        <v>0</v>
      </c>
      <c r="AC534" s="48">
        <f>IFERROR(VLOOKUP(Tabela3[[#This Row],[Produto]],Tabela2[],2,0),0)</f>
        <v>1</v>
      </c>
      <c r="AD534" s="48">
        <f>IFERROR(VLOOKUP(Tabela3[[#This Row],[Produto]],Tabela2[],3,0),0)</f>
        <v>18</v>
      </c>
      <c r="AE534" s="48">
        <f>IFERROR(VLOOKUP(Tabela3[[#This Row],[Produto]],Tabela2[],4,0),0)</f>
        <v>18.899999999999999</v>
      </c>
      <c r="AF534" s="48">
        <f>IFERROR(VLOOKUP(Tabela3[[#This Row],[Produto]],Tabela2[],5,0),0)</f>
        <v>0.80999999999999872</v>
      </c>
      <c r="AG534" s="40">
        <f>IFERROR(VLOOKUP(Tabela3[[#This Row],[Produto]],Tabela2[],6,0),0)</f>
        <v>0</v>
      </c>
      <c r="AH534" s="40">
        <f>IFERROR(VLOOKUP(Tabela3[[#This Row],[Produto]],Tabela2[],7,0),0)</f>
        <v>0</v>
      </c>
      <c r="AI534" s="40">
        <f>IFERROR(VLOOKUP(Tabela3[[#This Row],[Produto]],Tabela2[],8,0),0)</f>
        <v>0</v>
      </c>
      <c r="AJ534" s="35">
        <f ca="1">IFERROR(VLOOKUP(Tabela3[[#This Row],[Produto]],Tabela2[],13,0),0)</f>
        <v>16.569852141766386</v>
      </c>
      <c r="AK534" s="40" t="str">
        <f>IFERROR(VLOOKUP(Tabela3[[#This Row],[Produto]],Tabela2[],14,0),0)</f>
        <v>Danilo</v>
      </c>
      <c r="AL534" s="40">
        <f>IFERROR(VLOOKUP(Tabela3[[#This Row],[Produto]],Tabela2[],15,0),0)</f>
        <v>0</v>
      </c>
      <c r="AM534" s="36">
        <f ca="1">(Tabela3[[#This Row],[Custo Usinagem]]+Tabela3[[#This Row],[Custo / Pç]])*1.2</f>
        <v>504.27306514784766</v>
      </c>
      <c r="AN534" s="36">
        <f ca="1">Tabela3[[#This Row],[Valor Mínimo Venda]]*1.15</f>
        <v>579.91402492002476</v>
      </c>
      <c r="AO534" s="36">
        <f ca="1">Tabela3[[#This Row],[Tabela 1]]*1.08</f>
        <v>626.30714691362675</v>
      </c>
      <c r="AP534" s="36">
        <f ca="1">Tabela3[[#This Row],[Tabela 2]]*1.15</f>
        <v>720.25321895067066</v>
      </c>
    </row>
    <row r="535" spans="1:42">
      <c r="A535" s="9">
        <v>45883</v>
      </c>
      <c r="B535" s="6" t="s">
        <v>124</v>
      </c>
      <c r="C535" s="14">
        <v>7520</v>
      </c>
      <c r="D535" s="6" t="s">
        <v>46</v>
      </c>
      <c r="E535" s="6" t="s">
        <v>326</v>
      </c>
      <c r="F535" s="6">
        <v>26</v>
      </c>
      <c r="G535" s="15">
        <v>0.1076388888888889</v>
      </c>
      <c r="H535" s="16">
        <v>0</v>
      </c>
      <c r="I535" s="35">
        <f ca="1">IFERROR(Tabela3[[#This Row],[Custo Total]]/Tabela3[[#This Row],[Aluminio Util]],0)</f>
        <v>23.537592052784053</v>
      </c>
      <c r="J535" s="35">
        <f ca="1">Tabela3[[#This Row],[Custo Total]]/Tabela3[[#This Row],[Realizado]]</f>
        <v>39.778530569205046</v>
      </c>
      <c r="K535" s="37">
        <f>IFERROR(Tabela3[[#This Row],[Qtde Cx Produzida]]/Tabela3[[#This Row],[Tempo]]/24,0)</f>
        <v>10.064516129032258</v>
      </c>
      <c r="L535" s="37">
        <f>Tabela3[[#This Row],[Qtde Cx Produzida]]*Tabela3[[#This Row],[Qdt Peça Placa]]</f>
        <v>26</v>
      </c>
      <c r="M535" s="37">
        <f>Tabela3[[#This Row],[Previsto]]-Tabela3[[#This Row],[Perda Pçs]]</f>
        <v>26</v>
      </c>
      <c r="N535" s="38">
        <f>IFERROR(Tabela3[[#This Row],[Perda Pçs]]/Tabela3[[#This Row],[Previsto]],0)</f>
        <v>0</v>
      </c>
      <c r="O535" s="39">
        <f>IFERROR(IF(Tabela3[[#This Row],[Qtde Cx Produzida]] &lt;&gt; 0, Tabela3[[#This Row],[Tempo]] / Tabela3[[#This Row],[Qtde Cx Produzida]], 0),0)</f>
        <v>4.139957264957265E-3</v>
      </c>
      <c r="P535" s="57">
        <f>IFERROR(Tabela3[[#This Row],[Perda Pçs]]/Tabela3[[#This Row],[Qdt Peça Placa]],0)</f>
        <v>0</v>
      </c>
      <c r="Q535" s="37">
        <f>IFERROR(Tabela3[[#This Row],[Realizado]]*Tabela3[[#This Row],[Peso Util/Pç]],0)</f>
        <v>43.94</v>
      </c>
      <c r="R535" s="37">
        <f>IFERROR(Tabela3[[#This Row],[Peso Total Galho]]*Tabela3[[#This Row],[Qtde Cx Produzida]]*1.055,0)</f>
        <v>82.01570000000001</v>
      </c>
      <c r="S535" s="37">
        <f>(Tabela3[[#This Row],[Aluminio Bruto]]-Tabela3[[#This Row],[Aluminio Util]])*0.9</f>
        <v>34.268130000000014</v>
      </c>
      <c r="T535" s="37">
        <f>Tabela3[[#This Row],[Aluminio Bruto]]/OleoKGAluminio</f>
        <v>34.503898944718728</v>
      </c>
      <c r="U535" s="35">
        <f>IFERROR((VLOOKUP(Tabela3[[#This Row],[Moldador]],Tabela1[],5,)+(VLOOKUP(Tabela3[[#This Row],[Ajudante]],Tabela1[],5,))*3.5),0)</f>
        <v>99.95034583333333</v>
      </c>
      <c r="V535" s="35">
        <f>IFERROR(Tabela3[[#This Row],[Custo M.O. / H]]/((Tabela3[[#This Row],[Realizado]]/Tabela3[[#This Row],[Qdt Peça Placa]])/Tabela3[[#This Row],[Tempo]]/24),)</f>
        <v>9.9309638488247867</v>
      </c>
      <c r="W535" s="35">
        <f>Tabela3[[#This Row],[Custo / Cx Moldada]]*Tabela3[[#This Row],[Qtde Cx Produzida]]</f>
        <v>258.20506006944447</v>
      </c>
      <c r="X535" s="35">
        <f ca="1">Tabela3[[#This Row],[Aluminio Util]]*Tabela3[[#This Row],[Custo/Kg]]</f>
        <v>685.46400000000006</v>
      </c>
      <c r="Y535" s="35">
        <f>IFERROR(VLOOKUP(Tabela3[[#This Row],[Data]],Tabela461213[],2,1)*(Tabela3[[#This Row],[Qtde Cx Produzida]]*Tabela3[[#This Row],[Qde macho / CX]]*Tabela3[[#This Row],[Peso Macho]]),)</f>
        <v>0</v>
      </c>
      <c r="Z535" s="35">
        <f>IFERROR(Tabela3[[#This Row],[Qtde Oleo]]*(VLOOKUP(Tabela3[[#This Row],[Data]],CompraOleo[],3,TRUE))*1.05,0)</f>
        <v>90.572734729886676</v>
      </c>
      <c r="AA535" s="47">
        <f ca="1">(Tabela3[[#This Row],[Custo Oleo]]+Tabela3[[#This Row],[Custo Aluminio]]+Tabela3[[#This Row],[Custo M.O. Total]]+Tabela3[[#This Row],[Custo Machos]])</f>
        <v>1034.2417947993313</v>
      </c>
      <c r="AB535" s="47">
        <f ca="1">Tabela3[[#This Row],[Custo Total]]*Tabela3[[#This Row],[% Perda]]</f>
        <v>0</v>
      </c>
      <c r="AC535" s="48">
        <f>IFERROR(VLOOKUP(Tabela3[[#This Row],[Produto]],Tabela2[],2,0),0)</f>
        <v>1</v>
      </c>
      <c r="AD535" s="48">
        <f>IFERROR(VLOOKUP(Tabela3[[#This Row],[Produto]],Tabela2[],3,0),0)</f>
        <v>1.69</v>
      </c>
      <c r="AE535" s="48">
        <f>IFERROR(VLOOKUP(Tabela3[[#This Row],[Produto]],Tabela2[],4,0),0)</f>
        <v>2.99</v>
      </c>
      <c r="AF535" s="48">
        <f>IFERROR(VLOOKUP(Tabela3[[#This Row],[Produto]],Tabela2[],5,0),0)</f>
        <v>1.1700000000000004</v>
      </c>
      <c r="AG535" s="40">
        <f>IFERROR(VLOOKUP(Tabela3[[#This Row],[Produto]],Tabela2[],6,0),0)</f>
        <v>0</v>
      </c>
      <c r="AH535" s="40">
        <f>IFERROR(VLOOKUP(Tabela3[[#This Row],[Produto]],Tabela2[],7,0),0)</f>
        <v>0</v>
      </c>
      <c r="AI535" s="40">
        <f>IFERROR(VLOOKUP(Tabela3[[#This Row],[Produto]],Tabela2[],8,0),0)</f>
        <v>0</v>
      </c>
      <c r="AJ535" s="35">
        <f ca="1">IFERROR(VLOOKUP(Tabela3[[#This Row],[Produto]],Tabela2[],13,0),0)</f>
        <v>15.600000000000001</v>
      </c>
      <c r="AK535" s="40" t="str">
        <f>IFERROR(VLOOKUP(Tabela3[[#This Row],[Produto]],Tabela2[],14,0),0)</f>
        <v>Jumil</v>
      </c>
      <c r="AL535" s="40">
        <f>IFERROR(VLOOKUP(Tabela3[[#This Row],[Produto]],Tabela2[],15,0),0)</f>
        <v>8</v>
      </c>
      <c r="AM535" s="36">
        <f ca="1">(Tabela3[[#This Row],[Custo Usinagem]]+Tabela3[[#This Row],[Custo / Pç]])*1.2</f>
        <v>57.334236683046051</v>
      </c>
      <c r="AN535" s="36">
        <f ca="1">Tabela3[[#This Row],[Valor Mínimo Venda]]*1.15</f>
        <v>65.934372185502951</v>
      </c>
      <c r="AO535" s="36">
        <f ca="1">Tabela3[[#This Row],[Tabela 1]]*1.08</f>
        <v>71.209121960343197</v>
      </c>
      <c r="AP535" s="36">
        <f ca="1">Tabela3[[#This Row],[Tabela 2]]*1.15</f>
        <v>81.890490254394663</v>
      </c>
    </row>
    <row r="536" spans="1:42">
      <c r="A536" s="9">
        <v>45883</v>
      </c>
      <c r="B536" s="6" t="s">
        <v>129</v>
      </c>
      <c r="C536" s="14">
        <v>7639</v>
      </c>
      <c r="D536" s="6" t="s">
        <v>46</v>
      </c>
      <c r="E536" s="6" t="s">
        <v>326</v>
      </c>
      <c r="F536" s="6">
        <v>12</v>
      </c>
      <c r="G536" s="15">
        <v>8.8888888888888892E-2</v>
      </c>
      <c r="H536" s="16">
        <v>0</v>
      </c>
      <c r="I536" s="35">
        <f ca="1">IFERROR(Tabela3[[#This Row],[Custo Total]]/Tabela3[[#This Row],[Aluminio Util]],0)</f>
        <v>30.366439243643015</v>
      </c>
      <c r="J536" s="35">
        <f ca="1">Tabela3[[#This Row],[Custo Total]]/Tabela3[[#This Row],[Realizado]]</f>
        <v>49.193631574701691</v>
      </c>
      <c r="K536" s="37">
        <f>IFERROR(Tabela3[[#This Row],[Qtde Cx Produzida]]/Tabela3[[#This Row],[Tempo]]/24,0)</f>
        <v>5.625</v>
      </c>
      <c r="L536" s="37">
        <f>Tabela3[[#This Row],[Qtde Cx Produzida]]*Tabela3[[#This Row],[Qdt Peça Placa]]</f>
        <v>12</v>
      </c>
      <c r="M536" s="37">
        <f>Tabela3[[#This Row],[Previsto]]-Tabela3[[#This Row],[Perda Pçs]]</f>
        <v>12</v>
      </c>
      <c r="N536" s="38">
        <f>IFERROR(Tabela3[[#This Row],[Perda Pçs]]/Tabela3[[#This Row],[Previsto]],0)</f>
        <v>0</v>
      </c>
      <c r="O536" s="39">
        <f>IFERROR(IF(Tabela3[[#This Row],[Qtde Cx Produzida]] &lt;&gt; 0, Tabela3[[#This Row],[Tempo]] / Tabela3[[#This Row],[Qtde Cx Produzida]], 0),0)</f>
        <v>7.4074074074074077E-3</v>
      </c>
      <c r="P536" s="57">
        <f>IFERROR(Tabela3[[#This Row],[Perda Pçs]]/Tabela3[[#This Row],[Qdt Peça Placa]],0)</f>
        <v>0</v>
      </c>
      <c r="Q536" s="37">
        <f>IFERROR(Tabela3[[#This Row],[Realizado]]*Tabela3[[#This Row],[Peso Util/Pç]],0)</f>
        <v>19.440000000000001</v>
      </c>
      <c r="R536" s="37">
        <f>IFERROR(Tabela3[[#This Row],[Peso Total Galho]]*Tabela3[[#This Row],[Qtde Cx Produzida]]*1.055,0)</f>
        <v>31.65</v>
      </c>
      <c r="S536" s="37">
        <f>(Tabela3[[#This Row],[Aluminio Bruto]]-Tabela3[[#This Row],[Aluminio Util]])*0.9</f>
        <v>10.988999999999997</v>
      </c>
      <c r="T536" s="37">
        <f>Tabela3[[#This Row],[Aluminio Bruto]]/OleoKGAluminio</f>
        <v>13.315114076943164</v>
      </c>
      <c r="U536" s="35">
        <f>IFERROR((VLOOKUP(Tabela3[[#This Row],[Moldador]],Tabela1[],5,)+(VLOOKUP(Tabela3[[#This Row],[Ajudante]],Tabela1[],5,))*3.5),0)</f>
        <v>99.95034583333333</v>
      </c>
      <c r="V536" s="35">
        <f>IFERROR(Tabela3[[#This Row],[Custo M.O. / H]]/((Tabela3[[#This Row],[Realizado]]/Tabela3[[#This Row],[Qdt Peça Placa]])/Tabela3[[#This Row],[Tempo]]/24),)</f>
        <v>17.768950370370369</v>
      </c>
      <c r="W536" s="35">
        <f>Tabela3[[#This Row],[Custo / Cx Moldada]]*Tabela3[[#This Row],[Qtde Cx Produzida]]</f>
        <v>213.22740444444443</v>
      </c>
      <c r="X536" s="35">
        <f ca="1">Tabela3[[#This Row],[Aluminio Util]]*Tabela3[[#This Row],[Custo/Kg]]</f>
        <v>342.14400000000006</v>
      </c>
      <c r="Y536" s="35">
        <f>IFERROR(VLOOKUP(Tabela3[[#This Row],[Data]],Tabela461213[],2,1)*(Tabela3[[#This Row],[Qtde Cx Produzida]]*Tabela3[[#This Row],[Qde macho / CX]]*Tabela3[[#This Row],[Peso Macho]]),)</f>
        <v>0</v>
      </c>
      <c r="Z536" s="35">
        <f>IFERROR(Tabela3[[#This Row],[Qtde Oleo]]*(VLOOKUP(Tabela3[[#This Row],[Data]],CompraOleo[],3,TRUE))*1.05,0)</f>
        <v>34.952174451975807</v>
      </c>
      <c r="AA536" s="47">
        <f ca="1">(Tabela3[[#This Row],[Custo Oleo]]+Tabela3[[#This Row],[Custo Aluminio]]+Tabela3[[#This Row],[Custo M.O. Total]]+Tabela3[[#This Row],[Custo Machos]])</f>
        <v>590.32357889642026</v>
      </c>
      <c r="AB536" s="47">
        <f ca="1">Tabela3[[#This Row],[Custo Total]]*Tabela3[[#This Row],[% Perda]]</f>
        <v>0</v>
      </c>
      <c r="AC536" s="48">
        <f>IFERROR(VLOOKUP(Tabela3[[#This Row],[Produto]],Tabela2[],2,0),0)</f>
        <v>1</v>
      </c>
      <c r="AD536" s="48">
        <f>IFERROR(VLOOKUP(Tabela3[[#This Row],[Produto]],Tabela2[],3,0),0)</f>
        <v>1.62</v>
      </c>
      <c r="AE536" s="48">
        <f>IFERROR(VLOOKUP(Tabela3[[#This Row],[Produto]],Tabela2[],4,0),0)</f>
        <v>2.5</v>
      </c>
      <c r="AF536" s="48">
        <f>IFERROR(VLOOKUP(Tabela3[[#This Row],[Produto]],Tabela2[],5,0),0)</f>
        <v>0.79199999999999993</v>
      </c>
      <c r="AG536" s="40">
        <f>IFERROR(VLOOKUP(Tabela3[[#This Row],[Produto]],Tabela2[],6,0),0)</f>
        <v>0</v>
      </c>
      <c r="AH536" s="40">
        <f>IFERROR(VLOOKUP(Tabela3[[#This Row],[Produto]],Tabela2[],7,0),0)</f>
        <v>0</v>
      </c>
      <c r="AI536" s="40">
        <f>IFERROR(VLOOKUP(Tabela3[[#This Row],[Produto]],Tabela2[],8,0),0)</f>
        <v>0</v>
      </c>
      <c r="AJ536" s="35">
        <f ca="1">IFERROR(VLOOKUP(Tabela3[[#This Row],[Produto]],Tabela2[],13,0),0)</f>
        <v>17.600000000000001</v>
      </c>
      <c r="AK536" s="40" t="str">
        <f>IFERROR(VLOOKUP(Tabela3[[#This Row],[Produto]],Tabela2[],14,0),0)</f>
        <v>Jumil</v>
      </c>
      <c r="AL536" s="40">
        <f>IFERROR(VLOOKUP(Tabela3[[#This Row],[Produto]],Tabela2[],15,0),0)</f>
        <v>80</v>
      </c>
      <c r="AM536" s="36">
        <f ca="1">(Tabela3[[#This Row],[Custo Usinagem]]+Tabela3[[#This Row],[Custo / Pç]])*1.2</f>
        <v>155.03235788964204</v>
      </c>
      <c r="AN536" s="36">
        <f ca="1">Tabela3[[#This Row],[Valor Mínimo Venda]]*1.15</f>
        <v>178.28721157308834</v>
      </c>
      <c r="AO536" s="36">
        <f ca="1">Tabela3[[#This Row],[Tabela 1]]*1.08</f>
        <v>192.55018849893543</v>
      </c>
      <c r="AP536" s="36">
        <f ca="1">Tabela3[[#This Row],[Tabela 2]]*1.15</f>
        <v>221.43271677377572</v>
      </c>
    </row>
    <row r="537" spans="1:42">
      <c r="A537" s="9">
        <v>45883</v>
      </c>
      <c r="B537" s="6" t="s">
        <v>135</v>
      </c>
      <c r="C537" s="14">
        <v>7523</v>
      </c>
      <c r="D537" s="6" t="s">
        <v>44</v>
      </c>
      <c r="E537" s="6" t="s">
        <v>47</v>
      </c>
      <c r="F537" s="6">
        <v>20</v>
      </c>
      <c r="G537" s="15">
        <v>0.10069444444444445</v>
      </c>
      <c r="H537" s="16">
        <v>0</v>
      </c>
      <c r="I537" s="35">
        <f ca="1">IFERROR(Tabela3[[#This Row],[Custo Total]]/Tabela3[[#This Row],[Aluminio Util]],0)</f>
        <v>27.035542555188655</v>
      </c>
      <c r="J537" s="35">
        <f ca="1">Tabela3[[#This Row],[Custo Total]]/Tabela3[[#This Row],[Realizado]]</f>
        <v>47.852910322683918</v>
      </c>
      <c r="K537" s="37">
        <f>IFERROR(Tabela3[[#This Row],[Qtde Cx Produzida]]/Tabela3[[#This Row],[Tempo]]/24,0)</f>
        <v>8.2758620689655178</v>
      </c>
      <c r="L537" s="37">
        <f>Tabela3[[#This Row],[Qtde Cx Produzida]]*Tabela3[[#This Row],[Qdt Peça Placa]]</f>
        <v>20</v>
      </c>
      <c r="M537" s="37">
        <f>Tabela3[[#This Row],[Previsto]]-Tabela3[[#This Row],[Perda Pçs]]</f>
        <v>20</v>
      </c>
      <c r="N537" s="38">
        <f>IFERROR(Tabela3[[#This Row],[Perda Pçs]]/Tabela3[[#This Row],[Previsto]],0)</f>
        <v>0</v>
      </c>
      <c r="O537" s="39">
        <f>IFERROR(IF(Tabela3[[#This Row],[Qtde Cx Produzida]] &lt;&gt; 0, Tabela3[[#This Row],[Tempo]] / Tabela3[[#This Row],[Qtde Cx Produzida]], 0),0)</f>
        <v>5.0347222222222225E-3</v>
      </c>
      <c r="P537" s="57">
        <f>IFERROR(Tabela3[[#This Row],[Perda Pçs]]/Tabela3[[#This Row],[Qdt Peça Placa]],0)</f>
        <v>0</v>
      </c>
      <c r="Q537" s="37">
        <f>IFERROR(Tabela3[[#This Row],[Realizado]]*Tabela3[[#This Row],[Peso Util/Pç]],0)</f>
        <v>35.4</v>
      </c>
      <c r="R537" s="37">
        <f>IFERROR(Tabela3[[#This Row],[Peso Total Galho]]*Tabela3[[#This Row],[Qtde Cx Produzida]]*1.055,0)</f>
        <v>66.042999999999992</v>
      </c>
      <c r="S537" s="37">
        <f>(Tabela3[[#This Row],[Aluminio Bruto]]-Tabela3[[#This Row],[Aluminio Util]])*0.9</f>
        <v>27.578699999999994</v>
      </c>
      <c r="T537" s="37">
        <f>Tabela3[[#This Row],[Aluminio Bruto]]/OleoKGAluminio</f>
        <v>27.784204707221399</v>
      </c>
      <c r="U537" s="35">
        <f>IFERROR((VLOOKUP(Tabela3[[#This Row],[Moldador]],Tabela1[],5,)+(VLOOKUP(Tabela3[[#This Row],[Ajudante]],Tabela1[],5,))*3.5),0)</f>
        <v>99.95034583333333</v>
      </c>
      <c r="V537" s="35">
        <f>IFERROR(Tabela3[[#This Row],[Custo M.O. / H]]/((Tabela3[[#This Row],[Realizado]]/Tabela3[[#This Row],[Qdt Peça Placa]])/Tabela3[[#This Row],[Tempo]]/24),)</f>
        <v>12.07733345486111</v>
      </c>
      <c r="W537" s="35">
        <f>Tabela3[[#This Row],[Custo / Cx Moldada]]*Tabela3[[#This Row],[Qtde Cx Produzida]]</f>
        <v>241.54666909722221</v>
      </c>
      <c r="X537" s="35">
        <f ca="1">Tabela3[[#This Row],[Aluminio Util]]*Tabela3[[#This Row],[Custo/Kg]]</f>
        <v>552.24</v>
      </c>
      <c r="Y537" s="35">
        <f>IFERROR(VLOOKUP(Tabela3[[#This Row],[Data]],Tabela461213[],2,1)*(Tabela3[[#This Row],[Qtde Cx Produzida]]*Tabela3[[#This Row],[Qde macho / CX]]*Tabela3[[#This Row],[Peso Macho]]),)</f>
        <v>90.337999999999994</v>
      </c>
      <c r="Z537" s="35">
        <f>IFERROR(Tabela3[[#This Row],[Qtde Oleo]]*(VLOOKUP(Tabela3[[#This Row],[Data]],CompraOleo[],3,TRUE))*1.05,0)</f>
        <v>72.933537356456171</v>
      </c>
      <c r="AA537" s="47">
        <f ca="1">(Tabela3[[#This Row],[Custo Oleo]]+Tabela3[[#This Row],[Custo Aluminio]]+Tabela3[[#This Row],[Custo M.O. Total]]+Tabela3[[#This Row],[Custo Machos]])</f>
        <v>957.05820645367839</v>
      </c>
      <c r="AB537" s="47">
        <f ca="1">Tabela3[[#This Row],[Custo Total]]*Tabela3[[#This Row],[% Perda]]</f>
        <v>0</v>
      </c>
      <c r="AC537" s="48">
        <f>IFERROR(VLOOKUP(Tabela3[[#This Row],[Produto]],Tabela2[],2,0),0)</f>
        <v>1</v>
      </c>
      <c r="AD537" s="48">
        <f>IFERROR(VLOOKUP(Tabela3[[#This Row],[Produto]],Tabela2[],3,0),0)</f>
        <v>1.77</v>
      </c>
      <c r="AE537" s="48">
        <f>IFERROR(VLOOKUP(Tabela3[[#This Row],[Produto]],Tabela2[],4,0),0)</f>
        <v>3.13</v>
      </c>
      <c r="AF537" s="48">
        <f>IFERROR(VLOOKUP(Tabela3[[#This Row],[Produto]],Tabela2[],5,0),0)</f>
        <v>1.224</v>
      </c>
      <c r="AG537" s="40">
        <f>IFERROR(VLOOKUP(Tabela3[[#This Row],[Produto]],Tabela2[],6,0),0)</f>
        <v>0</v>
      </c>
      <c r="AH537" s="40">
        <f>IFERROR(VLOOKUP(Tabela3[[#This Row],[Produto]],Tabela2[],7,0),0)</f>
        <v>1</v>
      </c>
      <c r="AI537" s="40">
        <f>IFERROR(VLOOKUP(Tabela3[[#This Row],[Produto]],Tabela2[],8,0),0)</f>
        <v>2.657</v>
      </c>
      <c r="AJ537" s="35">
        <f ca="1">IFERROR(VLOOKUP(Tabela3[[#This Row],[Produto]],Tabela2[],13,0),0)</f>
        <v>15.600000000000001</v>
      </c>
      <c r="AK537" s="40" t="str">
        <f>IFERROR(VLOOKUP(Tabela3[[#This Row],[Produto]],Tabela2[],14,0),0)</f>
        <v>Jumil</v>
      </c>
      <c r="AL537" s="40">
        <f>IFERROR(VLOOKUP(Tabela3[[#This Row],[Produto]],Tabela2[],15,0),0)</f>
        <v>10</v>
      </c>
      <c r="AM537" s="36">
        <f ca="1">(Tabela3[[#This Row],[Custo Usinagem]]+Tabela3[[#This Row],[Custo / Pç]])*1.2</f>
        <v>69.423492387220705</v>
      </c>
      <c r="AN537" s="36">
        <f ca="1">Tabela3[[#This Row],[Valor Mínimo Venda]]*1.15</f>
        <v>79.837016245303801</v>
      </c>
      <c r="AO537" s="36">
        <f ca="1">Tabela3[[#This Row],[Tabela 1]]*1.08</f>
        <v>86.223977544928104</v>
      </c>
      <c r="AP537" s="36">
        <f ca="1">Tabela3[[#This Row],[Tabela 2]]*1.15</f>
        <v>99.15757417666731</v>
      </c>
    </row>
    <row r="538" spans="1:42">
      <c r="A538" s="9">
        <v>45883</v>
      </c>
      <c r="B538" s="6" t="s">
        <v>245</v>
      </c>
      <c r="C538" s="14">
        <v>7621</v>
      </c>
      <c r="D538" s="6" t="s">
        <v>44</v>
      </c>
      <c r="E538" s="6" t="s">
        <v>47</v>
      </c>
      <c r="F538" s="6">
        <v>33</v>
      </c>
      <c r="G538" s="15">
        <v>0.15277777777777779</v>
      </c>
      <c r="H538" s="16">
        <v>10</v>
      </c>
      <c r="I538" s="35">
        <f ca="1">IFERROR(Tabela3[[#This Row],[Custo Total]]/Tabela3[[#This Row],[Aluminio Util]],0)</f>
        <v>27.572973636621231</v>
      </c>
      <c r="J538" s="35">
        <f ca="1">Tabela3[[#This Row],[Custo Total]]/Tabela3[[#This Row],[Realizado]]</f>
        <v>9.15422724735825</v>
      </c>
      <c r="K538" s="37">
        <f>IFERROR(Tabela3[[#This Row],[Qtde Cx Produzida]]/Tabela3[[#This Row],[Tempo]]/24,0)</f>
        <v>8.9999999999999982</v>
      </c>
      <c r="L538" s="37">
        <f>Tabela3[[#This Row],[Qtde Cx Produzida]]*Tabela3[[#This Row],[Qdt Peça Placa]]</f>
        <v>132</v>
      </c>
      <c r="M538" s="37">
        <f>Tabela3[[#This Row],[Previsto]]-Tabela3[[#This Row],[Perda Pçs]]</f>
        <v>122</v>
      </c>
      <c r="N538" s="38">
        <f>IFERROR(Tabela3[[#This Row],[Perda Pçs]]/Tabela3[[#This Row],[Previsto]],0)</f>
        <v>7.575757575757576E-2</v>
      </c>
      <c r="O538" s="39">
        <f>IFERROR(IF(Tabela3[[#This Row],[Qtde Cx Produzida]] &lt;&gt; 0, Tabela3[[#This Row],[Tempo]] / Tabela3[[#This Row],[Qtde Cx Produzida]], 0),0)</f>
        <v>4.6296296296296302E-3</v>
      </c>
      <c r="P538" s="57">
        <f>IFERROR(Tabela3[[#This Row],[Perda Pçs]]/Tabela3[[#This Row],[Qdt Peça Placa]],0)</f>
        <v>2.5</v>
      </c>
      <c r="Q538" s="37">
        <f>IFERROR(Tabela3[[#This Row],[Realizado]]*Tabela3[[#This Row],[Peso Util/Pç]],0)</f>
        <v>40.504000000000005</v>
      </c>
      <c r="R538" s="37">
        <f>IFERROR(Tabela3[[#This Row],[Peso Total Galho]]*Tabela3[[#This Row],[Qtde Cx Produzida]]*1.055,0)</f>
        <v>80.074499999999986</v>
      </c>
      <c r="S538" s="37">
        <f>(Tabela3[[#This Row],[Aluminio Bruto]]-Tabela3[[#This Row],[Aluminio Util]])*0.9</f>
        <v>35.613449999999986</v>
      </c>
      <c r="T538" s="37">
        <f>Tabela3[[#This Row],[Aluminio Bruto]]/OleoKGAluminio</f>
        <v>33.6872386146662</v>
      </c>
      <c r="U538" s="35">
        <f>IFERROR((VLOOKUP(Tabela3[[#This Row],[Moldador]],Tabela1[],5,)+(VLOOKUP(Tabela3[[#This Row],[Ajudante]],Tabela1[],5,))*3.5),0)</f>
        <v>99.95034583333333</v>
      </c>
      <c r="V538" s="35">
        <f>IFERROR(Tabela3[[#This Row],[Custo M.O. / H]]/((Tabela3[[#This Row],[Realizado]]/Tabela3[[#This Row],[Qdt Peça Placa]])/Tabela3[[#This Row],[Tempo]]/24),)</f>
        <v>12.015888570127505</v>
      </c>
      <c r="W538" s="35">
        <f>Tabela3[[#This Row],[Custo / Cx Moldada]]*Tabela3[[#This Row],[Qtde Cx Produzida]]</f>
        <v>396.52432281420766</v>
      </c>
      <c r="X538" s="35">
        <f ca="1">Tabela3[[#This Row],[Aluminio Util]]*Tabela3[[#This Row],[Custo/Kg]]</f>
        <v>631.86240000000009</v>
      </c>
      <c r="Y538" s="35">
        <f>IFERROR(VLOOKUP(Tabela3[[#This Row],[Data]],Tabela461213[],2,1)*(Tabela3[[#This Row],[Qtde Cx Produzida]]*Tabela3[[#This Row],[Qde macho / CX]]*Tabela3[[#This Row],[Peso Macho]]),)</f>
        <v>0</v>
      </c>
      <c r="Z538" s="35">
        <f>IFERROR(Tabela3[[#This Row],[Qtde Oleo]]*(VLOOKUP(Tabela3[[#This Row],[Data]],CompraOleo[],3,TRUE))*1.05,0)</f>
        <v>88.429001363498784</v>
      </c>
      <c r="AA538" s="47">
        <f ca="1">(Tabela3[[#This Row],[Custo Oleo]]+Tabela3[[#This Row],[Custo Aluminio]]+Tabela3[[#This Row],[Custo M.O. Total]]+Tabela3[[#This Row],[Custo Machos]])</f>
        <v>1116.8157241777064</v>
      </c>
      <c r="AB538" s="47">
        <f ca="1">Tabela3[[#This Row],[Custo Total]]*Tabela3[[#This Row],[% Perda]]</f>
        <v>84.607251831644433</v>
      </c>
      <c r="AC538" s="48">
        <f>IFERROR(VLOOKUP(Tabela3[[#This Row],[Produto]],Tabela2[],2,0),0)</f>
        <v>4</v>
      </c>
      <c r="AD538" s="48">
        <f>IFERROR(VLOOKUP(Tabela3[[#This Row],[Produto]],Tabela2[],3,0),0)</f>
        <v>0.33200000000000002</v>
      </c>
      <c r="AE538" s="48">
        <f>IFERROR(VLOOKUP(Tabela3[[#This Row],[Produto]],Tabela2[],4,0),0)</f>
        <v>2.2999999999999998</v>
      </c>
      <c r="AF538" s="48">
        <f>IFERROR(VLOOKUP(Tabela3[[#This Row],[Produto]],Tabela2[],5,0),0)</f>
        <v>0.8747999999999998</v>
      </c>
      <c r="AG538" s="40">
        <f>IFERROR(VLOOKUP(Tabela3[[#This Row],[Produto]],Tabela2[],6,0),0)</f>
        <v>0</v>
      </c>
      <c r="AH538" s="40">
        <f>IFERROR(VLOOKUP(Tabela3[[#This Row],[Produto]],Tabela2[],7,0),0)</f>
        <v>0</v>
      </c>
      <c r="AI538" s="40">
        <f>IFERROR(VLOOKUP(Tabela3[[#This Row],[Produto]],Tabela2[],8,0),0)</f>
        <v>0</v>
      </c>
      <c r="AJ538" s="35">
        <f ca="1">IFERROR(VLOOKUP(Tabela3[[#This Row],[Produto]],Tabela2[],13,0),0)</f>
        <v>15.600000000000001</v>
      </c>
      <c r="AK538" s="40" t="str">
        <f>IFERROR(VLOOKUP(Tabela3[[#This Row],[Produto]],Tabela2[],14,0),0)</f>
        <v>Senun</v>
      </c>
      <c r="AL538" s="40">
        <f>IFERROR(VLOOKUP(Tabela3[[#This Row],[Produto]],Tabela2[],15,0),0)</f>
        <v>3.5</v>
      </c>
      <c r="AM538" s="36">
        <f ca="1">(Tabela3[[#This Row],[Custo Usinagem]]+Tabela3[[#This Row],[Custo / Pç]])*1.2</f>
        <v>15.185072696829899</v>
      </c>
      <c r="AN538" s="36">
        <f ca="1">Tabela3[[#This Row],[Valor Mínimo Venda]]*1.15</f>
        <v>17.462833601354383</v>
      </c>
      <c r="AO538" s="36">
        <f ca="1">Tabela3[[#This Row],[Tabela 1]]*1.08</f>
        <v>18.859860289462734</v>
      </c>
      <c r="AP538" s="36">
        <f ca="1">Tabela3[[#This Row],[Tabela 2]]*1.15</f>
        <v>21.688839332882143</v>
      </c>
    </row>
    <row r="539" spans="1:42">
      <c r="A539" s="9">
        <v>45884</v>
      </c>
      <c r="B539" s="6" t="s">
        <v>273</v>
      </c>
      <c r="C539" s="14">
        <v>7673</v>
      </c>
      <c r="D539" s="6" t="s">
        <v>46</v>
      </c>
      <c r="E539" s="6" t="s">
        <v>44</v>
      </c>
      <c r="F539" s="6">
        <v>4</v>
      </c>
      <c r="G539" s="15">
        <v>9.7222222222222224E-2</v>
      </c>
      <c r="H539" s="16">
        <v>0</v>
      </c>
      <c r="I539" s="35">
        <f ca="1">IFERROR(Tabela3[[#This Row],[Custo Total]]/Tabela3[[#This Row],[Aluminio Util]],0)</f>
        <v>21.879574080918871</v>
      </c>
      <c r="J539" s="35">
        <f ca="1">Tabela3[[#This Row],[Custo Total]]/Tabela3[[#This Row],[Realizado]]</f>
        <v>393.83233345653969</v>
      </c>
      <c r="K539" s="37">
        <f>IFERROR(Tabela3[[#This Row],[Qtde Cx Produzida]]/Tabela3[[#This Row],[Tempo]]/24,0)</f>
        <v>1.7142857142857142</v>
      </c>
      <c r="L539" s="37">
        <f>Tabela3[[#This Row],[Qtde Cx Produzida]]*Tabela3[[#This Row],[Qdt Peça Placa]]</f>
        <v>4</v>
      </c>
      <c r="M539" s="37">
        <f>Tabela3[[#This Row],[Previsto]]-Tabela3[[#This Row],[Perda Pçs]]</f>
        <v>4</v>
      </c>
      <c r="N539" s="38">
        <f>IFERROR(Tabela3[[#This Row],[Perda Pçs]]/Tabela3[[#This Row],[Previsto]],0)</f>
        <v>0</v>
      </c>
      <c r="O539" s="39">
        <f>IFERROR(IF(Tabela3[[#This Row],[Qtde Cx Produzida]] &lt;&gt; 0, Tabela3[[#This Row],[Tempo]] / Tabela3[[#This Row],[Qtde Cx Produzida]], 0),0)</f>
        <v>2.4305555555555556E-2</v>
      </c>
      <c r="P539" s="57">
        <f>IFERROR(Tabela3[[#This Row],[Perda Pçs]]/Tabela3[[#This Row],[Qdt Peça Placa]],0)</f>
        <v>0</v>
      </c>
      <c r="Q539" s="37">
        <f>IFERROR(Tabela3[[#This Row],[Realizado]]*Tabela3[[#This Row],[Peso Util/Pç]],0)</f>
        <v>72</v>
      </c>
      <c r="R539" s="37">
        <f>IFERROR(Tabela3[[#This Row],[Peso Total Galho]]*Tabela3[[#This Row],[Qtde Cx Produzida]]*1.055,0)</f>
        <v>79.757999999999996</v>
      </c>
      <c r="S539" s="37">
        <f>(Tabela3[[#This Row],[Aluminio Bruto]]-Tabela3[[#This Row],[Aluminio Util]])*0.9</f>
        <v>6.9821999999999962</v>
      </c>
      <c r="T539" s="37">
        <f>Tabela3[[#This Row],[Aluminio Bruto]]/OleoKGAluminio</f>
        <v>33.554087473896772</v>
      </c>
      <c r="U539" s="35">
        <f>IFERROR((VLOOKUP(Tabela3[[#This Row],[Moldador]],Tabela1[],5,)+(VLOOKUP(Tabela3[[#This Row],[Ajudante]],Tabela1[],5,))*3.5),0)</f>
        <v>126.0945</v>
      </c>
      <c r="V539" s="35">
        <f>IFERROR(Tabela3[[#This Row],[Custo M.O. / H]]/((Tabela3[[#This Row],[Realizado]]/Tabela3[[#This Row],[Qdt Peça Placa]])/Tabela3[[#This Row],[Tempo]]/24),)</f>
        <v>73.555125000000004</v>
      </c>
      <c r="W539" s="35">
        <f>Tabela3[[#This Row],[Custo / Cx Moldada]]*Tabela3[[#This Row],[Qtde Cx Produzida]]</f>
        <v>294.22050000000002</v>
      </c>
      <c r="X539" s="35">
        <f ca="1">Tabela3[[#This Row],[Aluminio Util]]*Tabela3[[#This Row],[Custo/Kg]]</f>
        <v>1193.0293542071797</v>
      </c>
      <c r="Y539" s="35">
        <f>IFERROR(VLOOKUP(Tabela3[[#This Row],[Data]],Tabela461213[],2,1)*(Tabela3[[#This Row],[Qtde Cx Produzida]]*Tabela3[[#This Row],[Qde macho / CX]]*Tabela3[[#This Row],[Peso Macho]]),)</f>
        <v>0</v>
      </c>
      <c r="Z539" s="35">
        <f>IFERROR(Tabela3[[#This Row],[Qtde Oleo]]*(VLOOKUP(Tabela3[[#This Row],[Data]],CompraOleo[],3,TRUE))*1.05,0)</f>
        <v>88.079479618979036</v>
      </c>
      <c r="AA539" s="47">
        <f ca="1">(Tabela3[[#This Row],[Custo Oleo]]+Tabela3[[#This Row],[Custo Aluminio]]+Tabela3[[#This Row],[Custo M.O. Total]]+Tabela3[[#This Row],[Custo Machos]])</f>
        <v>1575.3293338261587</v>
      </c>
      <c r="AB539" s="47">
        <f ca="1">Tabela3[[#This Row],[Custo Total]]*Tabela3[[#This Row],[% Perda]]</f>
        <v>0</v>
      </c>
      <c r="AC539" s="48">
        <f>IFERROR(VLOOKUP(Tabela3[[#This Row],[Produto]],Tabela2[],2,0),0)</f>
        <v>1</v>
      </c>
      <c r="AD539" s="48">
        <f>IFERROR(VLOOKUP(Tabela3[[#This Row],[Produto]],Tabela2[],3,0),0)</f>
        <v>18</v>
      </c>
      <c r="AE539" s="48">
        <f>IFERROR(VLOOKUP(Tabela3[[#This Row],[Produto]],Tabela2[],4,0),0)</f>
        <v>18.899999999999999</v>
      </c>
      <c r="AF539" s="48">
        <f>IFERROR(VLOOKUP(Tabela3[[#This Row],[Produto]],Tabela2[],5,0),0)</f>
        <v>0.80999999999999872</v>
      </c>
      <c r="AG539" s="40">
        <f>IFERROR(VLOOKUP(Tabela3[[#This Row],[Produto]],Tabela2[],6,0),0)</f>
        <v>0</v>
      </c>
      <c r="AH539" s="40">
        <f>IFERROR(VLOOKUP(Tabela3[[#This Row],[Produto]],Tabela2[],7,0),0)</f>
        <v>0</v>
      </c>
      <c r="AI539" s="40">
        <f>IFERROR(VLOOKUP(Tabela3[[#This Row],[Produto]],Tabela2[],8,0),0)</f>
        <v>0</v>
      </c>
      <c r="AJ539" s="35">
        <f ca="1">IFERROR(VLOOKUP(Tabela3[[#This Row],[Produto]],Tabela2[],13,0),0)</f>
        <v>16.569852141766386</v>
      </c>
      <c r="AK539" s="40" t="str">
        <f>IFERROR(VLOOKUP(Tabela3[[#This Row],[Produto]],Tabela2[],14,0),0)</f>
        <v>Danilo</v>
      </c>
      <c r="AL539" s="40">
        <f>IFERROR(VLOOKUP(Tabela3[[#This Row],[Produto]],Tabela2[],15,0),0)</f>
        <v>0</v>
      </c>
      <c r="AM539" s="36">
        <f ca="1">(Tabela3[[#This Row],[Custo Usinagem]]+Tabela3[[#This Row],[Custo / Pç]])*1.2</f>
        <v>472.59880014784761</v>
      </c>
      <c r="AN539" s="36">
        <f ca="1">Tabela3[[#This Row],[Valor Mínimo Venda]]*1.15</f>
        <v>543.48862017002466</v>
      </c>
      <c r="AO539" s="36">
        <f ca="1">Tabela3[[#This Row],[Tabela 1]]*1.08</f>
        <v>586.96770978362667</v>
      </c>
      <c r="AP539" s="36">
        <f ca="1">Tabela3[[#This Row],[Tabela 2]]*1.15</f>
        <v>675.01286625117064</v>
      </c>
    </row>
    <row r="540" spans="1:42">
      <c r="A540" s="9">
        <v>45884</v>
      </c>
      <c r="B540" s="6" t="s">
        <v>129</v>
      </c>
      <c r="C540" s="14">
        <v>7639</v>
      </c>
      <c r="D540" s="6" t="s">
        <v>46</v>
      </c>
      <c r="E540" s="6" t="s">
        <v>44</v>
      </c>
      <c r="F540" s="6">
        <v>3</v>
      </c>
      <c r="G540" s="15">
        <v>2.013888888888889E-2</v>
      </c>
      <c r="H540" s="16">
        <v>0</v>
      </c>
      <c r="I540" s="35">
        <f ca="1">IFERROR(Tabela3[[#This Row],[Custo Total]]/Tabela3[[#This Row],[Aluminio Util]],0)</f>
        <v>31.938213706377358</v>
      </c>
      <c r="J540" s="35">
        <f ca="1">Tabela3[[#This Row],[Custo Total]]/Tabela3[[#This Row],[Realizado]]</f>
        <v>51.739906204331326</v>
      </c>
      <c r="K540" s="37">
        <f>IFERROR(Tabela3[[#This Row],[Qtde Cx Produzida]]/Tabela3[[#This Row],[Tempo]]/24,0)</f>
        <v>6.2068965517241379</v>
      </c>
      <c r="L540" s="37">
        <f>Tabela3[[#This Row],[Qtde Cx Produzida]]*Tabela3[[#This Row],[Qdt Peça Placa]]</f>
        <v>3</v>
      </c>
      <c r="M540" s="37">
        <f>Tabela3[[#This Row],[Previsto]]-Tabela3[[#This Row],[Perda Pçs]]</f>
        <v>3</v>
      </c>
      <c r="N540" s="38">
        <f>IFERROR(Tabela3[[#This Row],[Perda Pçs]]/Tabela3[[#This Row],[Previsto]],0)</f>
        <v>0</v>
      </c>
      <c r="O540" s="39">
        <f>IFERROR(IF(Tabela3[[#This Row],[Qtde Cx Produzida]] &lt;&gt; 0, Tabela3[[#This Row],[Tempo]] / Tabela3[[#This Row],[Qtde Cx Produzida]], 0),0)</f>
        <v>6.7129629629629631E-3</v>
      </c>
      <c r="P540" s="57">
        <f>IFERROR(Tabela3[[#This Row],[Perda Pçs]]/Tabela3[[#This Row],[Qdt Peça Placa]],0)</f>
        <v>0</v>
      </c>
      <c r="Q540" s="37">
        <f>IFERROR(Tabela3[[#This Row],[Realizado]]*Tabela3[[#This Row],[Peso Util/Pç]],0)</f>
        <v>4.8600000000000003</v>
      </c>
      <c r="R540" s="37">
        <f>IFERROR(Tabela3[[#This Row],[Peso Total Galho]]*Tabela3[[#This Row],[Qtde Cx Produzida]]*1.055,0)</f>
        <v>7.9124999999999996</v>
      </c>
      <c r="S540" s="37">
        <f>(Tabela3[[#This Row],[Aluminio Bruto]]-Tabela3[[#This Row],[Aluminio Util]])*0.9</f>
        <v>2.7472499999999993</v>
      </c>
      <c r="T540" s="37">
        <f>Tabela3[[#This Row],[Aluminio Bruto]]/OleoKGAluminio</f>
        <v>3.328778519235791</v>
      </c>
      <c r="U540" s="35">
        <f>IFERROR((VLOOKUP(Tabela3[[#This Row],[Moldador]],Tabela1[],5,)+(VLOOKUP(Tabela3[[#This Row],[Ajudante]],Tabela1[],5,))*3.5),0)</f>
        <v>126.0945</v>
      </c>
      <c r="V540" s="35">
        <f>IFERROR(Tabela3[[#This Row],[Custo M.O. / H]]/((Tabela3[[#This Row],[Realizado]]/Tabela3[[#This Row],[Qdt Peça Placa]])/Tabela3[[#This Row],[Tempo]]/24),)</f>
        <v>20.315224999999998</v>
      </c>
      <c r="W540" s="35">
        <f>Tabela3[[#This Row],[Custo / Cx Moldada]]*Tabela3[[#This Row],[Qtde Cx Produzida]]</f>
        <v>60.945674999999994</v>
      </c>
      <c r="X540" s="35">
        <f ca="1">Tabela3[[#This Row],[Aluminio Util]]*Tabela3[[#This Row],[Custo/Kg]]</f>
        <v>85.536000000000016</v>
      </c>
      <c r="Y540" s="35">
        <f>IFERROR(VLOOKUP(Tabela3[[#This Row],[Data]],Tabela461213[],2,1)*(Tabela3[[#This Row],[Qtde Cx Produzida]]*Tabela3[[#This Row],[Qde macho / CX]]*Tabela3[[#This Row],[Peso Macho]]),)</f>
        <v>0</v>
      </c>
      <c r="Z540" s="35">
        <f>IFERROR(Tabela3[[#This Row],[Qtde Oleo]]*(VLOOKUP(Tabela3[[#This Row],[Data]],CompraOleo[],3,TRUE))*1.05,0)</f>
        <v>8.7380436129939518</v>
      </c>
      <c r="AA540" s="47">
        <f ca="1">(Tabela3[[#This Row],[Custo Oleo]]+Tabela3[[#This Row],[Custo Aluminio]]+Tabela3[[#This Row],[Custo M.O. Total]]+Tabela3[[#This Row],[Custo Machos]])</f>
        <v>155.21971861299397</v>
      </c>
      <c r="AB540" s="47">
        <f ca="1">Tabela3[[#This Row],[Custo Total]]*Tabela3[[#This Row],[% Perda]]</f>
        <v>0</v>
      </c>
      <c r="AC540" s="48">
        <f>IFERROR(VLOOKUP(Tabela3[[#This Row],[Produto]],Tabela2[],2,0),0)</f>
        <v>1</v>
      </c>
      <c r="AD540" s="48">
        <f>IFERROR(VLOOKUP(Tabela3[[#This Row],[Produto]],Tabela2[],3,0),0)</f>
        <v>1.62</v>
      </c>
      <c r="AE540" s="48">
        <f>IFERROR(VLOOKUP(Tabela3[[#This Row],[Produto]],Tabela2[],4,0),0)</f>
        <v>2.5</v>
      </c>
      <c r="AF540" s="48">
        <f>IFERROR(VLOOKUP(Tabela3[[#This Row],[Produto]],Tabela2[],5,0),0)</f>
        <v>0.79199999999999993</v>
      </c>
      <c r="AG540" s="40">
        <f>IFERROR(VLOOKUP(Tabela3[[#This Row],[Produto]],Tabela2[],6,0),0)</f>
        <v>0</v>
      </c>
      <c r="AH540" s="40">
        <f>IFERROR(VLOOKUP(Tabela3[[#This Row],[Produto]],Tabela2[],7,0),0)</f>
        <v>0</v>
      </c>
      <c r="AI540" s="40">
        <f>IFERROR(VLOOKUP(Tabela3[[#This Row],[Produto]],Tabela2[],8,0),0)</f>
        <v>0</v>
      </c>
      <c r="AJ540" s="35">
        <f ca="1">IFERROR(VLOOKUP(Tabela3[[#This Row],[Produto]],Tabela2[],13,0),0)</f>
        <v>17.600000000000001</v>
      </c>
      <c r="AK540" s="40" t="str">
        <f>IFERROR(VLOOKUP(Tabela3[[#This Row],[Produto]],Tabela2[],14,0),0)</f>
        <v>Jumil</v>
      </c>
      <c r="AL540" s="40">
        <f>IFERROR(VLOOKUP(Tabela3[[#This Row],[Produto]],Tabela2[],15,0),0)</f>
        <v>80</v>
      </c>
      <c r="AM540" s="36">
        <f ca="1">(Tabela3[[#This Row],[Custo Usinagem]]+Tabela3[[#This Row],[Custo / Pç]])*1.2</f>
        <v>158.08788744519759</v>
      </c>
      <c r="AN540" s="36">
        <f ca="1">Tabela3[[#This Row],[Valor Mínimo Venda]]*1.15</f>
        <v>181.80107056197721</v>
      </c>
      <c r="AO540" s="36">
        <f ca="1">Tabela3[[#This Row],[Tabela 1]]*1.08</f>
        <v>196.3451562069354</v>
      </c>
      <c r="AP540" s="36">
        <f ca="1">Tabela3[[#This Row],[Tabela 2]]*1.15</f>
        <v>225.79692963797569</v>
      </c>
    </row>
    <row r="541" spans="1:42">
      <c r="A541" s="9">
        <v>45884</v>
      </c>
      <c r="B541" s="6" t="s">
        <v>246</v>
      </c>
      <c r="C541" s="14">
        <v>7417</v>
      </c>
      <c r="D541" s="6" t="s">
        <v>46</v>
      </c>
      <c r="E541" s="6" t="s">
        <v>44</v>
      </c>
      <c r="F541" s="6">
        <v>32</v>
      </c>
      <c r="G541" s="15">
        <v>0.17777777777777778</v>
      </c>
      <c r="H541" s="16">
        <v>29</v>
      </c>
      <c r="I541" s="35">
        <f ca="1">IFERROR(Tabela3[[#This Row],[Custo Total]]/Tabela3[[#This Row],[Aluminio Util]],0)</f>
        <v>31.114085527709587</v>
      </c>
      <c r="J541" s="35">
        <f ca="1">Tabela3[[#This Row],[Custo Total]]/Tabela3[[#This Row],[Realizado]]</f>
        <v>16.583807586269213</v>
      </c>
      <c r="K541" s="37">
        <f>IFERROR(Tabela3[[#This Row],[Qtde Cx Produzida]]/Tabela3[[#This Row],[Tempo]]/24,0)</f>
        <v>7.5</v>
      </c>
      <c r="L541" s="37">
        <f>Tabela3[[#This Row],[Qtde Cx Produzida]]*Tabela3[[#This Row],[Qdt Peça Placa]]</f>
        <v>128</v>
      </c>
      <c r="M541" s="37">
        <f>Tabela3[[#This Row],[Previsto]]-Tabela3[[#This Row],[Perda Pçs]]</f>
        <v>99</v>
      </c>
      <c r="N541" s="38">
        <f>IFERROR(Tabela3[[#This Row],[Perda Pçs]]/Tabela3[[#This Row],[Previsto]],0)</f>
        <v>0.2265625</v>
      </c>
      <c r="O541" s="39">
        <f>IFERROR(IF(Tabela3[[#This Row],[Qtde Cx Produzida]] &lt;&gt; 0, Tabela3[[#This Row],[Tempo]] / Tabela3[[#This Row],[Qtde Cx Produzida]], 0),0)</f>
        <v>5.5555555555555558E-3</v>
      </c>
      <c r="P541" s="57">
        <f>IFERROR(Tabela3[[#This Row],[Perda Pçs]]/Tabela3[[#This Row],[Qdt Peça Placa]],0)</f>
        <v>7.25</v>
      </c>
      <c r="Q541" s="37">
        <f>IFERROR(Tabela3[[#This Row],[Realizado]]*Tabela3[[#This Row],[Peso Util/Pç]],0)</f>
        <v>52.767000000000003</v>
      </c>
      <c r="R541" s="37">
        <f>IFERROR(Tabela3[[#This Row],[Peso Total Galho]]*Tabela3[[#This Row],[Qtde Cx Produzida]]*1.055,0)</f>
        <v>111.40799999999999</v>
      </c>
      <c r="S541" s="37">
        <f>(Tabela3[[#This Row],[Aluminio Bruto]]-Tabela3[[#This Row],[Aluminio Util]])*0.9</f>
        <v>52.776899999999983</v>
      </c>
      <c r="T541" s="37">
        <f>Tabela3[[#This Row],[Aluminio Bruto]]/OleoKGAluminio</f>
        <v>46.869201550839932</v>
      </c>
      <c r="U541" s="35">
        <f>IFERROR((VLOOKUP(Tabela3[[#This Row],[Moldador]],Tabela1[],5,)+(VLOOKUP(Tabela3[[#This Row],[Ajudante]],Tabela1[],5,))*3.5),0)</f>
        <v>126.0945</v>
      </c>
      <c r="V541" s="35">
        <f>IFERROR(Tabela3[[#This Row],[Custo M.O. / H]]/((Tabela3[[#This Row],[Realizado]]/Tabela3[[#This Row],[Qdt Peça Placa]])/Tabela3[[#This Row],[Tempo]]/24),)</f>
        <v>21.737503030303031</v>
      </c>
      <c r="W541" s="35">
        <f>Tabela3[[#This Row],[Custo / Cx Moldada]]*Tabela3[[#This Row],[Qtde Cx Produzida]]</f>
        <v>695.60009696969701</v>
      </c>
      <c r="X541" s="35">
        <f ca="1">Tabela3[[#This Row],[Aluminio Util]]*Tabela3[[#This Row],[Custo/Kg]]</f>
        <v>823.16520000000014</v>
      </c>
      <c r="Y541" s="35">
        <f>IFERROR(VLOOKUP(Tabela3[[#This Row],[Data]],Tabela461213[],2,1)*(Tabela3[[#This Row],[Qtde Cx Produzida]]*Tabela3[[#This Row],[Qde macho / CX]]*Tabela3[[#This Row],[Peso Macho]]),)</f>
        <v>0</v>
      </c>
      <c r="Z541" s="35">
        <f>IFERROR(Tabela3[[#This Row],[Qtde Oleo]]*(VLOOKUP(Tabela3[[#This Row],[Data]],CompraOleo[],3,TRUE))*1.05,0)</f>
        <v>123.03165407095483</v>
      </c>
      <c r="AA541" s="47">
        <f ca="1">(Tabela3[[#This Row],[Custo Oleo]]+Tabela3[[#This Row],[Custo Aluminio]]+Tabela3[[#This Row],[Custo M.O. Total]]+Tabela3[[#This Row],[Custo Machos]])</f>
        <v>1641.7969510406519</v>
      </c>
      <c r="AB541" s="47">
        <f ca="1">Tabela3[[#This Row],[Custo Total]]*Tabela3[[#This Row],[% Perda]]</f>
        <v>371.9696217201477</v>
      </c>
      <c r="AC541" s="48">
        <f>IFERROR(VLOOKUP(Tabela3[[#This Row],[Produto]],Tabela2[],2,0),0)</f>
        <v>4</v>
      </c>
      <c r="AD541" s="48">
        <f>IFERROR(VLOOKUP(Tabela3[[#This Row],[Produto]],Tabela2[],3,0),0)</f>
        <v>0.53300000000000003</v>
      </c>
      <c r="AE541" s="48">
        <f>IFERROR(VLOOKUP(Tabela3[[#This Row],[Produto]],Tabela2[],4,0),0)</f>
        <v>3.3</v>
      </c>
      <c r="AF541" s="48">
        <f>IFERROR(VLOOKUP(Tabela3[[#This Row],[Produto]],Tabela2[],5,0),0)</f>
        <v>1.0511999999999997</v>
      </c>
      <c r="AG541" s="40">
        <f>IFERROR(VLOOKUP(Tabela3[[#This Row],[Produto]],Tabela2[],6,0),0)</f>
        <v>0</v>
      </c>
      <c r="AH541" s="40">
        <f>IFERROR(VLOOKUP(Tabela3[[#This Row],[Produto]],Tabela2[],7,0),0)</f>
        <v>0</v>
      </c>
      <c r="AI541" s="40">
        <f>IFERROR(VLOOKUP(Tabela3[[#This Row],[Produto]],Tabela2[],8,0),0)</f>
        <v>0</v>
      </c>
      <c r="AJ541" s="35">
        <f ca="1">IFERROR(VLOOKUP(Tabela3[[#This Row],[Produto]],Tabela2[],13,0),0)</f>
        <v>15.600000000000001</v>
      </c>
      <c r="AK541" s="40" t="str">
        <f>IFERROR(VLOOKUP(Tabela3[[#This Row],[Produto]],Tabela2[],14,0),0)</f>
        <v>Senun</v>
      </c>
      <c r="AL541" s="40">
        <f>IFERROR(VLOOKUP(Tabela3[[#This Row],[Produto]],Tabela2[],15,0),0)</f>
        <v>4</v>
      </c>
      <c r="AM541" s="36">
        <f ca="1">(Tabela3[[#This Row],[Custo Usinagem]]+Tabela3[[#This Row],[Custo / Pç]])*1.2</f>
        <v>24.700569103523055</v>
      </c>
      <c r="AN541" s="36">
        <f ca="1">Tabela3[[#This Row],[Valor Mínimo Venda]]*1.15</f>
        <v>28.405654469051512</v>
      </c>
      <c r="AO541" s="36">
        <f ca="1">Tabela3[[#This Row],[Tabela 1]]*1.08</f>
        <v>30.678106826575636</v>
      </c>
      <c r="AP541" s="36">
        <f ca="1">Tabela3[[#This Row],[Tabela 2]]*1.15</f>
        <v>35.279822850561978</v>
      </c>
    </row>
    <row r="542" spans="1:42">
      <c r="A542" s="9">
        <v>45887</v>
      </c>
      <c r="B542" s="6" t="s">
        <v>246</v>
      </c>
      <c r="C542" s="14">
        <v>7417</v>
      </c>
      <c r="D542" s="6" t="s">
        <v>46</v>
      </c>
      <c r="E542" s="6" t="s">
        <v>326</v>
      </c>
      <c r="F542" s="6">
        <v>18</v>
      </c>
      <c r="G542" s="15">
        <v>0.10277777777777777</v>
      </c>
      <c r="H542" s="16">
        <v>0</v>
      </c>
      <c r="I542" s="35">
        <f ca="1">IFERROR(Tabela3[[#This Row],[Custo Total]]/Tabela3[[#This Row],[Aluminio Util]],0)</f>
        <v>23.827785381587478</v>
      </c>
      <c r="J542" s="35">
        <f ca="1">Tabela3[[#This Row],[Custo Total]]/Tabela3[[#This Row],[Realizado]]</f>
        <v>12.700209608386126</v>
      </c>
      <c r="K542" s="37">
        <f>IFERROR(Tabela3[[#This Row],[Qtde Cx Produzida]]/Tabela3[[#This Row],[Tempo]]/24,0)</f>
        <v>7.2972972972972974</v>
      </c>
      <c r="L542" s="37">
        <f>Tabela3[[#This Row],[Qtde Cx Produzida]]*Tabela3[[#This Row],[Qdt Peça Placa]]</f>
        <v>72</v>
      </c>
      <c r="M542" s="37">
        <f>Tabela3[[#This Row],[Previsto]]-Tabela3[[#This Row],[Perda Pçs]]</f>
        <v>72</v>
      </c>
      <c r="N542" s="38">
        <f>IFERROR(Tabela3[[#This Row],[Perda Pçs]]/Tabela3[[#This Row],[Previsto]],0)</f>
        <v>0</v>
      </c>
      <c r="O542" s="39">
        <f>IFERROR(IF(Tabela3[[#This Row],[Qtde Cx Produzida]] &lt;&gt; 0, Tabela3[[#This Row],[Tempo]] / Tabela3[[#This Row],[Qtde Cx Produzida]], 0),0)</f>
        <v>5.7098765432098764E-3</v>
      </c>
      <c r="P542" s="57">
        <f>IFERROR(Tabela3[[#This Row],[Perda Pçs]]/Tabela3[[#This Row],[Qdt Peça Placa]],0)</f>
        <v>0</v>
      </c>
      <c r="Q542" s="37">
        <f>IFERROR(Tabela3[[#This Row],[Realizado]]*Tabela3[[#This Row],[Peso Util/Pç]],0)</f>
        <v>38.376000000000005</v>
      </c>
      <c r="R542" s="37">
        <f>IFERROR(Tabela3[[#This Row],[Peso Total Galho]]*Tabela3[[#This Row],[Qtde Cx Produzida]]*1.055,0)</f>
        <v>62.666999999999994</v>
      </c>
      <c r="S542" s="37">
        <f>(Tabela3[[#This Row],[Aluminio Bruto]]-Tabela3[[#This Row],[Aluminio Util]])*0.9</f>
        <v>21.861899999999991</v>
      </c>
      <c r="T542" s="37">
        <f>Tabela3[[#This Row],[Aluminio Bruto]]/OleoKGAluminio</f>
        <v>26.363925872347465</v>
      </c>
      <c r="U542" s="35">
        <f>IFERROR((VLOOKUP(Tabela3[[#This Row],[Moldador]],Tabela1[],5,)+(VLOOKUP(Tabela3[[#This Row],[Ajudante]],Tabela1[],5,))*3.5),0)</f>
        <v>99.95034583333333</v>
      </c>
      <c r="V542" s="35">
        <f>IFERROR(Tabela3[[#This Row],[Custo M.O. / H]]/((Tabela3[[#This Row],[Realizado]]/Tabela3[[#This Row],[Qdt Peça Placa]])/Tabela3[[#This Row],[Tempo]]/24),)</f>
        <v>13.69689924382716</v>
      </c>
      <c r="W542" s="35">
        <f>Tabela3[[#This Row],[Custo / Cx Moldada]]*Tabela3[[#This Row],[Qtde Cx Produzida]]</f>
        <v>246.54418638888887</v>
      </c>
      <c r="X542" s="35">
        <f ca="1">Tabela3[[#This Row],[Aluminio Util]]*Tabela3[[#This Row],[Custo/Kg]]</f>
        <v>598.66560000000015</v>
      </c>
      <c r="Y542" s="35">
        <f>IFERROR(VLOOKUP(Tabela3[[#This Row],[Data]],Tabela461213[],2,1)*(Tabela3[[#This Row],[Qtde Cx Produzida]]*Tabela3[[#This Row],[Qde macho / CX]]*Tabela3[[#This Row],[Peso Macho]]),)</f>
        <v>0</v>
      </c>
      <c r="Z542" s="35">
        <f>IFERROR(Tabela3[[#This Row],[Qtde Oleo]]*(VLOOKUP(Tabela3[[#This Row],[Data]],CompraOleo[],3,TRUE))*1.05,0)</f>
        <v>69.205305414912104</v>
      </c>
      <c r="AA542" s="47">
        <f ca="1">(Tabela3[[#This Row],[Custo Oleo]]+Tabela3[[#This Row],[Custo Aluminio]]+Tabela3[[#This Row],[Custo M.O. Total]]+Tabela3[[#This Row],[Custo Machos]])</f>
        <v>914.41509180380115</v>
      </c>
      <c r="AB542" s="47">
        <f ca="1">Tabela3[[#This Row],[Custo Total]]*Tabela3[[#This Row],[% Perda]]</f>
        <v>0</v>
      </c>
      <c r="AC542" s="48">
        <f>IFERROR(VLOOKUP(Tabela3[[#This Row],[Produto]],Tabela2[],2,0),0)</f>
        <v>4</v>
      </c>
      <c r="AD542" s="48">
        <f>IFERROR(VLOOKUP(Tabela3[[#This Row],[Produto]],Tabela2[],3,0),0)</f>
        <v>0.53300000000000003</v>
      </c>
      <c r="AE542" s="48">
        <f>IFERROR(VLOOKUP(Tabela3[[#This Row],[Produto]],Tabela2[],4,0),0)</f>
        <v>3.3</v>
      </c>
      <c r="AF542" s="48">
        <f>IFERROR(VLOOKUP(Tabela3[[#This Row],[Produto]],Tabela2[],5,0),0)</f>
        <v>1.0511999999999997</v>
      </c>
      <c r="AG542" s="40">
        <f>IFERROR(VLOOKUP(Tabela3[[#This Row],[Produto]],Tabela2[],6,0),0)</f>
        <v>0</v>
      </c>
      <c r="AH542" s="40">
        <f>IFERROR(VLOOKUP(Tabela3[[#This Row],[Produto]],Tabela2[],7,0),0)</f>
        <v>0</v>
      </c>
      <c r="AI542" s="40">
        <f>IFERROR(VLOOKUP(Tabela3[[#This Row],[Produto]],Tabela2[],8,0),0)</f>
        <v>0</v>
      </c>
      <c r="AJ542" s="35">
        <f ca="1">IFERROR(VLOOKUP(Tabela3[[#This Row],[Produto]],Tabela2[],13,0),0)</f>
        <v>15.600000000000001</v>
      </c>
      <c r="AK542" s="40" t="str">
        <f>IFERROR(VLOOKUP(Tabela3[[#This Row],[Produto]],Tabela2[],14,0),0)</f>
        <v>Senun</v>
      </c>
      <c r="AL542" s="40">
        <f>IFERROR(VLOOKUP(Tabela3[[#This Row],[Produto]],Tabela2[],15,0),0)</f>
        <v>4</v>
      </c>
      <c r="AM542" s="36">
        <f ca="1">(Tabela3[[#This Row],[Custo Usinagem]]+Tabela3[[#This Row],[Custo / Pç]])*1.2</f>
        <v>20.040251530063347</v>
      </c>
      <c r="AN542" s="36">
        <f ca="1">Tabela3[[#This Row],[Valor Mínimo Venda]]*1.15</f>
        <v>23.046289259572848</v>
      </c>
      <c r="AO542" s="36">
        <f ca="1">Tabela3[[#This Row],[Tabela 1]]*1.08</f>
        <v>24.889992400338677</v>
      </c>
      <c r="AP542" s="36">
        <f ca="1">Tabela3[[#This Row],[Tabela 2]]*1.15</f>
        <v>28.623491260389475</v>
      </c>
    </row>
    <row r="543" spans="1:42">
      <c r="A543" s="9">
        <v>45887</v>
      </c>
      <c r="B543" s="6" t="s">
        <v>91</v>
      </c>
      <c r="C543" s="14">
        <v>7585</v>
      </c>
      <c r="D543" s="6" t="s">
        <v>46</v>
      </c>
      <c r="E543" s="6" t="s">
        <v>326</v>
      </c>
      <c r="F543" s="6">
        <v>20</v>
      </c>
      <c r="G543" s="15">
        <v>0.1076388888888889</v>
      </c>
      <c r="H543" s="16">
        <v>5</v>
      </c>
      <c r="I543" s="35">
        <f ca="1">IFERROR(Tabela3[[#This Row],[Custo Total]]/Tabela3[[#This Row],[Aluminio Util]],0)</f>
        <v>40.953591382887453</v>
      </c>
      <c r="J543" s="35">
        <f ca="1">Tabela3[[#This Row],[Custo Total]]/Tabela3[[#This Row],[Realizado]]</f>
        <v>32.107615644183767</v>
      </c>
      <c r="K543" s="37">
        <f>IFERROR(Tabela3[[#This Row],[Qtde Cx Produzida]]/Tabela3[[#This Row],[Tempo]]/24,0)</f>
        <v>7.7419354838709671</v>
      </c>
      <c r="L543" s="37">
        <f>Tabela3[[#This Row],[Qtde Cx Produzida]]*Tabela3[[#This Row],[Qdt Peça Placa]]</f>
        <v>80</v>
      </c>
      <c r="M543" s="37">
        <f>Tabela3[[#This Row],[Previsto]]-Tabela3[[#This Row],[Perda Pçs]]</f>
        <v>75</v>
      </c>
      <c r="N543" s="38">
        <f>IFERROR(Tabela3[[#This Row],[Perda Pçs]]/Tabela3[[#This Row],[Previsto]],0)</f>
        <v>6.25E-2</v>
      </c>
      <c r="O543" s="39">
        <f>IFERROR(IF(Tabela3[[#This Row],[Qtde Cx Produzida]] &lt;&gt; 0, Tabela3[[#This Row],[Tempo]] / Tabela3[[#This Row],[Qtde Cx Produzida]], 0),0)</f>
        <v>5.3819444444444444E-3</v>
      </c>
      <c r="P543" s="57">
        <f>IFERROR(Tabela3[[#This Row],[Perda Pçs]]/Tabela3[[#This Row],[Qdt Peça Placa]],0)</f>
        <v>1.25</v>
      </c>
      <c r="Q543" s="37">
        <f>IFERROR(Tabela3[[#This Row],[Realizado]]*Tabela3[[#This Row],[Peso Util/Pç]],0)</f>
        <v>58.800000000000004</v>
      </c>
      <c r="R543" s="37">
        <f>IFERROR(Tabela3[[#This Row],[Peso Total Galho]]*Tabela3[[#This Row],[Qtde Cx Produzida]]*1.055,0)</f>
        <v>117.0628</v>
      </c>
      <c r="S543" s="37">
        <f>(Tabela3[[#This Row],[Aluminio Bruto]]-Tabela3[[#This Row],[Aluminio Util]])*0.9</f>
        <v>52.436519999999994</v>
      </c>
      <c r="T543" s="37">
        <f>Tabela3[[#This Row],[Aluminio Bruto]]/OleoKGAluminio</f>
        <v>49.248168599253781</v>
      </c>
      <c r="U543" s="35">
        <f>IFERROR((VLOOKUP(Tabela3[[#This Row],[Moldador]],Tabela1[],5,)+(VLOOKUP(Tabela3[[#This Row],[Ajudante]],Tabela1[],5,))*3.5),0)</f>
        <v>99.95034583333333</v>
      </c>
      <c r="V543" s="35">
        <f>IFERROR(Tabela3[[#This Row],[Custo M.O. / H]]/((Tabela3[[#This Row],[Realizado]]/Tabela3[[#This Row],[Qdt Peça Placa]])/Tabela3[[#This Row],[Tempo]]/24),)</f>
        <v>13.770936537037038</v>
      </c>
      <c r="W543" s="35">
        <f>Tabela3[[#This Row],[Custo / Cx Moldada]]*Tabela3[[#This Row],[Qtde Cx Produzida]]</f>
        <v>275.41873074074078</v>
      </c>
      <c r="X543" s="35">
        <f ca="1">Tabela3[[#This Row],[Aluminio Util]]*Tabela3[[#This Row],[Custo/Kg]]</f>
        <v>917.2800000000002</v>
      </c>
      <c r="Y543" s="35">
        <f>IFERROR(VLOOKUP(Tabela3[[#This Row],[Data]],Tabela461213[],2,1)*(Tabela3[[#This Row],[Qtde Cx Produzida]]*Tabela3[[#This Row],[Qde macho / CX]]*Tabela3[[#This Row],[Peso Macho]]),)</f>
        <v>1086.096</v>
      </c>
      <c r="Z543" s="35">
        <f>IFERROR(Tabela3[[#This Row],[Qtde Oleo]]*(VLOOKUP(Tabela3[[#This Row],[Data]],CompraOleo[],3,TRUE))*1.05,0)</f>
        <v>129.27644257304118</v>
      </c>
      <c r="AA543" s="47">
        <f ca="1">(Tabela3[[#This Row],[Custo Oleo]]+Tabela3[[#This Row],[Custo Aluminio]]+Tabela3[[#This Row],[Custo M.O. Total]]+Tabela3[[#This Row],[Custo Machos]])</f>
        <v>2408.0711733137823</v>
      </c>
      <c r="AB543" s="47">
        <f ca="1">Tabela3[[#This Row],[Custo Total]]*Tabela3[[#This Row],[% Perda]]</f>
        <v>150.50444833211139</v>
      </c>
      <c r="AC543" s="48">
        <f>IFERROR(VLOOKUP(Tabela3[[#This Row],[Produto]],Tabela2[],2,0),0)</f>
        <v>4</v>
      </c>
      <c r="AD543" s="48">
        <f>IFERROR(VLOOKUP(Tabela3[[#This Row],[Produto]],Tabela2[],3,0),0)</f>
        <v>0.78400000000000003</v>
      </c>
      <c r="AE543" s="48">
        <f>IFERROR(VLOOKUP(Tabela3[[#This Row],[Produto]],Tabela2[],4,0),0)</f>
        <v>5.548</v>
      </c>
      <c r="AF543" s="48">
        <f>IFERROR(VLOOKUP(Tabela3[[#This Row],[Produto]],Tabela2[],5,0),0)</f>
        <v>2.1707999999999998</v>
      </c>
      <c r="AG543" s="40">
        <f>IFERROR(VLOOKUP(Tabela3[[#This Row],[Produto]],Tabela2[],6,0),0)</f>
        <v>0</v>
      </c>
      <c r="AH543" s="40">
        <f>IFERROR(VLOOKUP(Tabela3[[#This Row],[Produto]],Tabela2[],7,0),0)</f>
        <v>12</v>
      </c>
      <c r="AI543" s="40">
        <f>IFERROR(VLOOKUP(Tabela3[[#This Row],[Produto]],Tabela2[],8,0),0)</f>
        <v>2.6619999999999999</v>
      </c>
      <c r="AJ543" s="35">
        <f ca="1">IFERROR(VLOOKUP(Tabela3[[#This Row],[Produto]],Tabela2[],13,0),0)</f>
        <v>15.600000000000001</v>
      </c>
      <c r="AK543" s="40" t="str">
        <f>IFERROR(VLOOKUP(Tabela3[[#This Row],[Produto]],Tabela2[],14,0),0)</f>
        <v>Jumil</v>
      </c>
      <c r="AL543" s="40">
        <f>IFERROR(VLOOKUP(Tabela3[[#This Row],[Produto]],Tabela2[],15,0),0)</f>
        <v>8</v>
      </c>
      <c r="AM543" s="36">
        <f ca="1">(Tabela3[[#This Row],[Custo Usinagem]]+Tabela3[[#This Row],[Custo / Pç]])*1.2</f>
        <v>48.129138773020522</v>
      </c>
      <c r="AN543" s="36">
        <f ca="1">Tabela3[[#This Row],[Valor Mínimo Venda]]*1.15</f>
        <v>55.348509588973599</v>
      </c>
      <c r="AO543" s="36">
        <f ca="1">Tabela3[[#This Row],[Tabela 1]]*1.08</f>
        <v>59.77639035609149</v>
      </c>
      <c r="AP543" s="36">
        <f ca="1">Tabela3[[#This Row],[Tabela 2]]*1.15</f>
        <v>68.742848909505213</v>
      </c>
    </row>
    <row r="544" spans="1:42">
      <c r="A544" s="9">
        <v>45887</v>
      </c>
      <c r="B544" s="6" t="s">
        <v>96</v>
      </c>
      <c r="C544" s="14">
        <v>7584</v>
      </c>
      <c r="D544" s="6" t="s">
        <v>46</v>
      </c>
      <c r="E544" s="6" t="s">
        <v>326</v>
      </c>
      <c r="F544" s="6">
        <v>17</v>
      </c>
      <c r="G544" s="15">
        <v>0.1076388888888889</v>
      </c>
      <c r="H544" s="16">
        <v>4</v>
      </c>
      <c r="I544" s="35">
        <f ca="1">IFERROR(Tabela3[[#This Row],[Custo Total]]/Tabela3[[#This Row],[Aluminio Util]],0)</f>
        <v>33.350815929326856</v>
      </c>
      <c r="J544" s="35">
        <f ca="1">Tabela3[[#This Row],[Custo Total]]/Tabela3[[#This Row],[Realizado]]</f>
        <v>29.482121281524943</v>
      </c>
      <c r="K544" s="37">
        <f>IFERROR(Tabela3[[#This Row],[Qtde Cx Produzida]]/Tabela3[[#This Row],[Tempo]]/24,0)</f>
        <v>6.580645161290323</v>
      </c>
      <c r="L544" s="37">
        <f>Tabela3[[#This Row],[Qtde Cx Produzida]]*Tabela3[[#This Row],[Qdt Peça Placa]]</f>
        <v>51</v>
      </c>
      <c r="M544" s="37">
        <f>Tabela3[[#This Row],[Previsto]]-Tabela3[[#This Row],[Perda Pçs]]</f>
        <v>47</v>
      </c>
      <c r="N544" s="38">
        <f>IFERROR(Tabela3[[#This Row],[Perda Pçs]]/Tabela3[[#This Row],[Previsto]],0)</f>
        <v>7.8431372549019607E-2</v>
      </c>
      <c r="O544" s="39">
        <f>IFERROR(IF(Tabela3[[#This Row],[Qtde Cx Produzida]] &lt;&gt; 0, Tabela3[[#This Row],[Tempo]] / Tabela3[[#This Row],[Qtde Cx Produzida]], 0),0)</f>
        <v>6.3316993464052288E-3</v>
      </c>
      <c r="P544" s="57">
        <f>IFERROR(Tabela3[[#This Row],[Perda Pçs]]/Tabela3[[#This Row],[Qdt Peça Placa]],0)</f>
        <v>1.3333333333333333</v>
      </c>
      <c r="Q544" s="37">
        <f>IFERROR(Tabela3[[#This Row],[Realizado]]*Tabela3[[#This Row],[Peso Util/Pç]],0)</f>
        <v>41.548000000000002</v>
      </c>
      <c r="R544" s="37">
        <f>IFERROR(Tabela3[[#This Row],[Peso Total Galho]]*Tabela3[[#This Row],[Qtde Cx Produzida]]*1.055,0)</f>
        <v>84.151020000000003</v>
      </c>
      <c r="S544" s="37">
        <f>(Tabela3[[#This Row],[Aluminio Bruto]]-Tabela3[[#This Row],[Aluminio Util]])*0.9</f>
        <v>38.342718000000005</v>
      </c>
      <c r="T544" s="37">
        <f>Tabela3[[#This Row],[Aluminio Bruto]]/OleoKGAluminio</f>
        <v>35.40222530777649</v>
      </c>
      <c r="U544" s="35">
        <f>IFERROR((VLOOKUP(Tabela3[[#This Row],[Moldador]],Tabela1[],5,)+(VLOOKUP(Tabela3[[#This Row],[Ajudante]],Tabela1[],5,))*3.5),0)</f>
        <v>99.95034583333333</v>
      </c>
      <c r="V544" s="35">
        <f>IFERROR(Tabela3[[#This Row],[Custo M.O. / H]]/((Tabela3[[#This Row],[Realizado]]/Tabela3[[#This Row],[Qdt Peça Placa]])/Tabela3[[#This Row],[Tempo]]/24),)</f>
        <v>16.481174046985817</v>
      </c>
      <c r="W544" s="35">
        <f>Tabela3[[#This Row],[Custo / Cx Moldada]]*Tabela3[[#This Row],[Qtde Cx Produzida]]</f>
        <v>280.17995879875889</v>
      </c>
      <c r="X544" s="35">
        <f ca="1">Tabela3[[#This Row],[Aluminio Util]]*Tabela3[[#This Row],[Custo/Kg]]</f>
        <v>648.14880000000005</v>
      </c>
      <c r="Y544" s="35">
        <f>IFERROR(VLOOKUP(Tabela3[[#This Row],[Data]],Tabela461213[],2,1)*(Tabela3[[#This Row],[Qtde Cx Produzida]]*Tabela3[[#This Row],[Qde macho / CX]]*Tabela3[[#This Row],[Peso Macho]]),)</f>
        <v>364.40010000000001</v>
      </c>
      <c r="Z544" s="35">
        <f>IFERROR(Tabela3[[#This Row],[Qtde Oleo]]*(VLOOKUP(Tabela3[[#This Row],[Data]],CompraOleo[],3,TRUE))*1.05,0)</f>
        <v>92.930841432913297</v>
      </c>
      <c r="AA544" s="47">
        <f ca="1">(Tabela3[[#This Row],[Custo Oleo]]+Tabela3[[#This Row],[Custo Aluminio]]+Tabela3[[#This Row],[Custo M.O. Total]]+Tabela3[[#This Row],[Custo Machos]])</f>
        <v>1385.6597002316723</v>
      </c>
      <c r="AB544" s="47">
        <f ca="1">Tabela3[[#This Row],[Custo Total]]*Tabela3[[#This Row],[% Perda]]</f>
        <v>108.67919217503312</v>
      </c>
      <c r="AC544" s="48">
        <f>IFERROR(VLOOKUP(Tabela3[[#This Row],[Produto]],Tabela2[],2,0),0)</f>
        <v>3</v>
      </c>
      <c r="AD544" s="48">
        <f>IFERROR(VLOOKUP(Tabela3[[#This Row],[Produto]],Tabela2[],3,0),0)</f>
        <v>0.88400000000000001</v>
      </c>
      <c r="AE544" s="48">
        <f>IFERROR(VLOOKUP(Tabela3[[#This Row],[Produto]],Tabela2[],4,0),0)</f>
        <v>4.6920000000000002</v>
      </c>
      <c r="AF544" s="48">
        <f>IFERROR(VLOOKUP(Tabela3[[#This Row],[Produto]],Tabela2[],5,0),0)</f>
        <v>1.8360000000000001</v>
      </c>
      <c r="AG544" s="40">
        <f>IFERROR(VLOOKUP(Tabela3[[#This Row],[Produto]],Tabela2[],6,0),0)</f>
        <v>0</v>
      </c>
      <c r="AH544" s="40">
        <f>IFERROR(VLOOKUP(Tabela3[[#This Row],[Produto]],Tabela2[],7,0),0)</f>
        <v>9</v>
      </c>
      <c r="AI544" s="40">
        <f>IFERROR(VLOOKUP(Tabela3[[#This Row],[Produto]],Tabela2[],8,0),0)</f>
        <v>1.401</v>
      </c>
      <c r="AJ544" s="35">
        <f ca="1">IFERROR(VLOOKUP(Tabela3[[#This Row],[Produto]],Tabela2[],13,0),0)</f>
        <v>15.600000000000001</v>
      </c>
      <c r="AK544" s="40" t="str">
        <f>IFERROR(VLOOKUP(Tabela3[[#This Row],[Produto]],Tabela2[],14,0),0)</f>
        <v>Jumil</v>
      </c>
      <c r="AL544" s="40">
        <f>IFERROR(VLOOKUP(Tabela3[[#This Row],[Produto]],Tabela2[],15,0),0)</f>
        <v>10</v>
      </c>
      <c r="AM544" s="36">
        <f ca="1">(Tabela3[[#This Row],[Custo Usinagem]]+Tabela3[[#This Row],[Custo / Pç]])*1.2</f>
        <v>47.378545537829929</v>
      </c>
      <c r="AN544" s="36">
        <f ca="1">Tabela3[[#This Row],[Valor Mínimo Venda]]*1.15</f>
        <v>54.485327368504414</v>
      </c>
      <c r="AO544" s="36">
        <f ca="1">Tabela3[[#This Row],[Tabela 1]]*1.08</f>
        <v>58.844153557984768</v>
      </c>
      <c r="AP544" s="36">
        <f ca="1">Tabela3[[#This Row],[Tabela 2]]*1.15</f>
        <v>67.670776591682483</v>
      </c>
    </row>
    <row r="545" spans="1:42">
      <c r="A545" s="9">
        <v>45887</v>
      </c>
      <c r="B545" s="6" t="s">
        <v>100</v>
      </c>
      <c r="C545" s="14">
        <v>7670</v>
      </c>
      <c r="D545" s="6" t="s">
        <v>46</v>
      </c>
      <c r="E545" s="6" t="s">
        <v>326</v>
      </c>
      <c r="F545" s="6">
        <v>5</v>
      </c>
      <c r="G545" s="15">
        <v>2.7777777777777776E-2</v>
      </c>
      <c r="H545" s="16">
        <v>0</v>
      </c>
      <c r="I545" s="35">
        <f ca="1">IFERROR(Tabela3[[#This Row],[Custo Total]]/Tabela3[[#This Row],[Aluminio Util]],0)</f>
        <v>30.841560197991114</v>
      </c>
      <c r="J545" s="35">
        <f ca="1">Tabela3[[#This Row],[Custo Total]]/Tabela3[[#This Row],[Realizado]]</f>
        <v>18.504936118794667</v>
      </c>
      <c r="K545" s="37">
        <f>IFERROR(Tabela3[[#This Row],[Qtde Cx Produzida]]/Tabela3[[#This Row],[Tempo]]/24,0)</f>
        <v>7.5</v>
      </c>
      <c r="L545" s="37">
        <f>Tabela3[[#This Row],[Qtde Cx Produzida]]*Tabela3[[#This Row],[Qdt Peça Placa]]</f>
        <v>10</v>
      </c>
      <c r="M545" s="37">
        <f>Tabela3[[#This Row],[Previsto]]-Tabela3[[#This Row],[Perda Pçs]]</f>
        <v>10</v>
      </c>
      <c r="N545" s="38">
        <f>IFERROR(Tabela3[[#This Row],[Perda Pçs]]/Tabela3[[#This Row],[Previsto]],0)</f>
        <v>0</v>
      </c>
      <c r="O545" s="39">
        <f>IFERROR(IF(Tabela3[[#This Row],[Qtde Cx Produzida]] &lt;&gt; 0, Tabela3[[#This Row],[Tempo]] / Tabela3[[#This Row],[Qtde Cx Produzida]], 0),0)</f>
        <v>5.5555555555555549E-3</v>
      </c>
      <c r="P545" s="57">
        <f>IFERROR(Tabela3[[#This Row],[Perda Pçs]]/Tabela3[[#This Row],[Qdt Peça Placa]],0)</f>
        <v>0</v>
      </c>
      <c r="Q545" s="37">
        <f>IFERROR(Tabela3[[#This Row],[Realizado]]*Tabela3[[#This Row],[Peso Util/Pç]],0)</f>
        <v>6</v>
      </c>
      <c r="R545" s="37">
        <f>IFERROR(Tabela3[[#This Row],[Peso Total Galho]]*Tabela3[[#This Row],[Qtde Cx Produzida]]*1.055,0)</f>
        <v>11.604999999999999</v>
      </c>
      <c r="S545" s="37">
        <f>(Tabela3[[#This Row],[Aluminio Bruto]]-Tabela3[[#This Row],[Aluminio Util]])*0.9</f>
        <v>5.0444999999999993</v>
      </c>
      <c r="T545" s="37">
        <f>Tabela3[[#This Row],[Aluminio Bruto]]/OleoKGAluminio</f>
        <v>4.8822084948791602</v>
      </c>
      <c r="U545" s="35">
        <f>IFERROR((VLOOKUP(Tabela3[[#This Row],[Moldador]],Tabela1[],5,)+(VLOOKUP(Tabela3[[#This Row],[Ajudante]],Tabela1[],5,))*3.5),0)</f>
        <v>99.95034583333333</v>
      </c>
      <c r="V545" s="35">
        <f>IFERROR(Tabela3[[#This Row],[Custo M.O. / H]]/((Tabela3[[#This Row],[Realizado]]/Tabela3[[#This Row],[Qdt Peça Placa]])/Tabela3[[#This Row],[Tempo]]/24),)</f>
        <v>13.326712777777777</v>
      </c>
      <c r="W545" s="35">
        <f>Tabela3[[#This Row],[Custo / Cx Moldada]]*Tabela3[[#This Row],[Qtde Cx Produzida]]</f>
        <v>66.633563888888887</v>
      </c>
      <c r="X545" s="35">
        <f ca="1">Tabela3[[#This Row],[Aluminio Util]]*Tabela3[[#This Row],[Custo/Kg]]</f>
        <v>105.60000000000001</v>
      </c>
      <c r="Y545" s="35">
        <f>IFERROR(VLOOKUP(Tabela3[[#This Row],[Data]],Tabela461213[],2,1)*(Tabela3[[#This Row],[Qtde Cx Produzida]]*Tabela3[[#This Row],[Qde macho / CX]]*Tabela3[[#This Row],[Peso Macho]]),)</f>
        <v>0</v>
      </c>
      <c r="Z545" s="35">
        <f>IFERROR(Tabela3[[#This Row],[Qtde Oleo]]*(VLOOKUP(Tabela3[[#This Row],[Data]],CompraOleo[],3,TRUE))*1.05,0)</f>
        <v>12.815797299057795</v>
      </c>
      <c r="AA545" s="47">
        <f ca="1">(Tabela3[[#This Row],[Custo Oleo]]+Tabela3[[#This Row],[Custo Aluminio]]+Tabela3[[#This Row],[Custo M.O. Total]]+Tabela3[[#This Row],[Custo Machos]])</f>
        <v>185.04936118794669</v>
      </c>
      <c r="AB545" s="47">
        <f ca="1">Tabela3[[#This Row],[Custo Total]]*Tabela3[[#This Row],[% Perda]]</f>
        <v>0</v>
      </c>
      <c r="AC545" s="48">
        <f>IFERROR(VLOOKUP(Tabela3[[#This Row],[Produto]],Tabela2[],2,0),0)</f>
        <v>2</v>
      </c>
      <c r="AD545" s="48">
        <f>IFERROR(VLOOKUP(Tabela3[[#This Row],[Produto]],Tabela2[],3,0),0)</f>
        <v>0.6</v>
      </c>
      <c r="AE545" s="48">
        <f>IFERROR(VLOOKUP(Tabela3[[#This Row],[Produto]],Tabela2[],4,0),0)</f>
        <v>2.2000000000000002</v>
      </c>
      <c r="AF545" s="48">
        <f>IFERROR(VLOOKUP(Tabela3[[#This Row],[Produto]],Tabela2[],5,0),0)</f>
        <v>0.90000000000000024</v>
      </c>
      <c r="AG545" s="40">
        <f>IFERROR(VLOOKUP(Tabela3[[#This Row],[Produto]],Tabela2[],6,0),0)</f>
        <v>0</v>
      </c>
      <c r="AH545" s="40">
        <f>IFERROR(VLOOKUP(Tabela3[[#This Row],[Produto]],Tabela2[],7,0),0)</f>
        <v>0</v>
      </c>
      <c r="AI545" s="40">
        <f>IFERROR(VLOOKUP(Tabela3[[#This Row],[Produto]],Tabela2[],8,0),0)</f>
        <v>0</v>
      </c>
      <c r="AJ545" s="35">
        <f ca="1">IFERROR(VLOOKUP(Tabela3[[#This Row],[Produto]],Tabela2[],13,0),0)</f>
        <v>17.600000000000001</v>
      </c>
      <c r="AK545" s="40" t="str">
        <f>IFERROR(VLOOKUP(Tabela3[[#This Row],[Produto]],Tabela2[],14,0),0)</f>
        <v>Protec</v>
      </c>
      <c r="AL545" s="40">
        <f>IFERROR(VLOOKUP(Tabela3[[#This Row],[Produto]],Tabela2[],15,0),0)</f>
        <v>0</v>
      </c>
      <c r="AM545" s="36">
        <f ca="1">(Tabela3[[#This Row],[Custo Usinagem]]+Tabela3[[#This Row],[Custo / Pç]])*1.2</f>
        <v>22.2059233425536</v>
      </c>
      <c r="AN545" s="36">
        <f ca="1">Tabela3[[#This Row],[Valor Mínimo Venda]]*1.15</f>
        <v>25.536811843936636</v>
      </c>
      <c r="AO545" s="36">
        <f ca="1">Tabela3[[#This Row],[Tabela 1]]*1.08</f>
        <v>27.579756791451569</v>
      </c>
      <c r="AP545" s="36">
        <f ca="1">Tabela3[[#This Row],[Tabela 2]]*1.15</f>
        <v>31.7167203101693</v>
      </c>
    </row>
    <row r="546" spans="1:42">
      <c r="A546" s="9">
        <v>45887</v>
      </c>
      <c r="B546" s="6" t="s">
        <v>240</v>
      </c>
      <c r="C546" s="14">
        <v>7436</v>
      </c>
      <c r="D546" s="6" t="s">
        <v>44</v>
      </c>
      <c r="E546" s="6" t="s">
        <v>47</v>
      </c>
      <c r="F546" s="6">
        <v>30</v>
      </c>
      <c r="G546" s="15">
        <v>0.13402777777777777</v>
      </c>
      <c r="H546" s="16">
        <v>0</v>
      </c>
      <c r="I546" s="35">
        <f ca="1">IFERROR(Tabela3[[#This Row],[Custo Total]]/Tabela3[[#This Row],[Aluminio Util]],0)</f>
        <v>25.085780236537961</v>
      </c>
      <c r="J546" s="35">
        <f ca="1">Tabela3[[#This Row],[Custo Total]]/Tabela3[[#This Row],[Realizado]]</f>
        <v>8.9556235444440517</v>
      </c>
      <c r="K546" s="37">
        <f>IFERROR(Tabela3[[#This Row],[Qtde Cx Produzida]]/Tabela3[[#This Row],[Tempo]]/24,0)</f>
        <v>9.3264248704663206</v>
      </c>
      <c r="L546" s="37">
        <f>Tabela3[[#This Row],[Qtde Cx Produzida]]*Tabela3[[#This Row],[Qdt Peça Placa]]</f>
        <v>120</v>
      </c>
      <c r="M546" s="37">
        <f>Tabela3[[#This Row],[Previsto]]-Tabela3[[#This Row],[Perda Pçs]]</f>
        <v>120</v>
      </c>
      <c r="N546" s="38">
        <f>IFERROR(Tabela3[[#This Row],[Perda Pçs]]/Tabela3[[#This Row],[Previsto]],0)</f>
        <v>0</v>
      </c>
      <c r="O546" s="39">
        <f>IFERROR(IF(Tabela3[[#This Row],[Qtde Cx Produzida]] &lt;&gt; 0, Tabela3[[#This Row],[Tempo]] / Tabela3[[#This Row],[Qtde Cx Produzida]], 0),0)</f>
        <v>4.4675925925925924E-3</v>
      </c>
      <c r="P546" s="57">
        <f>IFERROR(Tabela3[[#This Row],[Perda Pçs]]/Tabela3[[#This Row],[Qdt Peça Placa]],0)</f>
        <v>0</v>
      </c>
      <c r="Q546" s="37">
        <f>IFERROR(Tabela3[[#This Row],[Realizado]]*Tabela3[[#This Row],[Peso Util/Pç]],0)</f>
        <v>42.839999999999996</v>
      </c>
      <c r="R546" s="37">
        <f>IFERROR(Tabela3[[#This Row],[Peso Total Galho]]*Tabela3[[#This Row],[Qtde Cx Produzida]]*1.055,0)</f>
        <v>76.846199999999996</v>
      </c>
      <c r="S546" s="37">
        <f>(Tabela3[[#This Row],[Aluminio Bruto]]-Tabela3[[#This Row],[Aluminio Util]])*0.9</f>
        <v>30.60558</v>
      </c>
      <c r="T546" s="37">
        <f>Tabela3[[#This Row],[Aluminio Bruto]]/OleoKGAluminio</f>
        <v>32.329096978818001</v>
      </c>
      <c r="U546" s="35">
        <f>IFERROR((VLOOKUP(Tabela3[[#This Row],[Moldador]],Tabela1[],5,)+(VLOOKUP(Tabela3[[#This Row],[Ajudante]],Tabela1[],5,))*3.5),0)</f>
        <v>99.95034583333333</v>
      </c>
      <c r="V546" s="35">
        <f>IFERROR(Tabela3[[#This Row],[Custo M.O. / H]]/((Tabela3[[#This Row],[Realizado]]/Tabela3[[#This Row],[Qdt Peça Placa]])/Tabela3[[#This Row],[Tempo]]/24),)</f>
        <v>10.71689819212963</v>
      </c>
      <c r="W546" s="35">
        <f>Tabela3[[#This Row],[Custo / Cx Moldada]]*Tabela3[[#This Row],[Qtde Cx Produzida]]</f>
        <v>321.50694576388889</v>
      </c>
      <c r="X546" s="35">
        <f ca="1">Tabela3[[#This Row],[Aluminio Util]]*Tabela3[[#This Row],[Custo/Kg]]</f>
        <v>668.30399999999997</v>
      </c>
      <c r="Y546" s="35">
        <f>IFERROR(VLOOKUP(Tabela3[[#This Row],[Data]],Tabela461213[],2,1)*(Tabela3[[#This Row],[Qtde Cx Produzida]]*Tabela3[[#This Row],[Qde macho / CX]]*Tabela3[[#This Row],[Peso Macho]]),)</f>
        <v>0</v>
      </c>
      <c r="Z546" s="35">
        <f>IFERROR(Tabela3[[#This Row],[Qtde Oleo]]*(VLOOKUP(Tabela3[[#This Row],[Data]],CompraOleo[],3,TRUE))*1.05,0)</f>
        <v>84.863879569397255</v>
      </c>
      <c r="AA546" s="47">
        <f ca="1">(Tabela3[[#This Row],[Custo Oleo]]+Tabela3[[#This Row],[Custo Aluminio]]+Tabela3[[#This Row],[Custo M.O. Total]]+Tabela3[[#This Row],[Custo Machos]])</f>
        <v>1074.6748253332862</v>
      </c>
      <c r="AB546" s="47">
        <f ca="1">Tabela3[[#This Row],[Custo Total]]*Tabela3[[#This Row],[% Perda]]</f>
        <v>0</v>
      </c>
      <c r="AC546" s="48">
        <f>IFERROR(VLOOKUP(Tabela3[[#This Row],[Produto]],Tabela2[],2,0),0)</f>
        <v>4</v>
      </c>
      <c r="AD546" s="48">
        <f>IFERROR(VLOOKUP(Tabela3[[#This Row],[Produto]],Tabela2[],3,0),0)</f>
        <v>0.35699999999999998</v>
      </c>
      <c r="AE546" s="48">
        <f>IFERROR(VLOOKUP(Tabela3[[#This Row],[Produto]],Tabela2[],4,0),0)</f>
        <v>2.4279999999999999</v>
      </c>
      <c r="AF546" s="48">
        <f>IFERROR(VLOOKUP(Tabela3[[#This Row],[Produto]],Tabela2[],5,0),0)</f>
        <v>0.9</v>
      </c>
      <c r="AG546" s="40">
        <f>IFERROR(VLOOKUP(Tabela3[[#This Row],[Produto]],Tabela2[],6,0),0)</f>
        <v>0</v>
      </c>
      <c r="AH546" s="40">
        <f>IFERROR(VLOOKUP(Tabela3[[#This Row],[Produto]],Tabela2[],7,0),0)</f>
        <v>0</v>
      </c>
      <c r="AI546" s="40">
        <f>IFERROR(VLOOKUP(Tabela3[[#This Row],[Produto]],Tabela2[],8,0),0)</f>
        <v>0</v>
      </c>
      <c r="AJ546" s="35">
        <f ca="1">IFERROR(VLOOKUP(Tabela3[[#This Row],[Produto]],Tabela2[],13,0),0)</f>
        <v>15.600000000000001</v>
      </c>
      <c r="AK546" s="40" t="str">
        <f>IFERROR(VLOOKUP(Tabela3[[#This Row],[Produto]],Tabela2[],14,0),0)</f>
        <v>Senun</v>
      </c>
      <c r="AL546" s="40">
        <f>IFERROR(VLOOKUP(Tabela3[[#This Row],[Produto]],Tabela2[],15,0),0)</f>
        <v>4</v>
      </c>
      <c r="AM546" s="36">
        <f ca="1">(Tabela3[[#This Row],[Custo Usinagem]]+Tabela3[[#This Row],[Custo / Pç]])*1.2</f>
        <v>15.546748253332861</v>
      </c>
      <c r="AN546" s="36">
        <f ca="1">Tabela3[[#This Row],[Valor Mínimo Venda]]*1.15</f>
        <v>17.878760491332788</v>
      </c>
      <c r="AO546" s="36">
        <f ca="1">Tabela3[[#This Row],[Tabela 1]]*1.08</f>
        <v>19.309061330639413</v>
      </c>
      <c r="AP546" s="36">
        <f ca="1">Tabela3[[#This Row],[Tabela 2]]*1.15</f>
        <v>22.205420530235322</v>
      </c>
    </row>
    <row r="547" spans="1:42">
      <c r="A547" s="9">
        <v>45887</v>
      </c>
      <c r="B547" s="6" t="s">
        <v>247</v>
      </c>
      <c r="C547" s="14">
        <v>7658</v>
      </c>
      <c r="D547" s="6" t="s">
        <v>44</v>
      </c>
      <c r="E547" s="6" t="s">
        <v>47</v>
      </c>
      <c r="F547" s="6">
        <v>37</v>
      </c>
      <c r="G547" s="15">
        <v>0.19513888888888889</v>
      </c>
      <c r="H547" s="16">
        <v>27</v>
      </c>
      <c r="I547" s="35">
        <f ca="1">IFERROR(Tabela3[[#This Row],[Custo Total]]/Tabela3[[#This Row],[Aluminio Util]],0)</f>
        <v>34.10415140744616</v>
      </c>
      <c r="J547" s="35">
        <f ca="1">Tabela3[[#This Row],[Custo Total]]/Tabela3[[#This Row],[Realizado]]</f>
        <v>10.231245422233847</v>
      </c>
      <c r="K547" s="37">
        <f>IFERROR(Tabela3[[#This Row],[Qtde Cx Produzida]]/Tabela3[[#This Row],[Tempo]]/24,0)</f>
        <v>7.9003558718861209</v>
      </c>
      <c r="L547" s="37">
        <f>Tabela3[[#This Row],[Qtde Cx Produzida]]*Tabela3[[#This Row],[Qdt Peça Placa]]</f>
        <v>148</v>
      </c>
      <c r="M547" s="37">
        <f>Tabela3[[#This Row],[Previsto]]-Tabela3[[#This Row],[Perda Pçs]]</f>
        <v>121</v>
      </c>
      <c r="N547" s="38">
        <f>IFERROR(Tabela3[[#This Row],[Perda Pçs]]/Tabela3[[#This Row],[Previsto]],0)</f>
        <v>0.18243243243243243</v>
      </c>
      <c r="O547" s="39">
        <f>IFERROR(IF(Tabela3[[#This Row],[Qtde Cx Produzida]] &lt;&gt; 0, Tabela3[[#This Row],[Tempo]] / Tabela3[[#This Row],[Qtde Cx Produzida]], 0),0)</f>
        <v>5.2740240240240236E-3</v>
      </c>
      <c r="P547" s="57">
        <f>IFERROR(Tabela3[[#This Row],[Perda Pçs]]/Tabela3[[#This Row],[Qdt Peça Placa]],0)</f>
        <v>6.75</v>
      </c>
      <c r="Q547" s="37">
        <f>IFERROR(Tabela3[[#This Row],[Realizado]]*Tabela3[[#This Row],[Peso Util/Pç]],0)</f>
        <v>36.299999999999997</v>
      </c>
      <c r="R547" s="37">
        <f>IFERROR(Tabela3[[#This Row],[Peso Total Galho]]*Tabela3[[#This Row],[Qtde Cx Produzida]]*1.055,0)</f>
        <v>89.780499999999989</v>
      </c>
      <c r="S547" s="37">
        <f>(Tabela3[[#This Row],[Aluminio Bruto]]-Tabela3[[#This Row],[Aluminio Util]])*0.9</f>
        <v>48.132449999999992</v>
      </c>
      <c r="T547" s="37">
        <f>Tabela3[[#This Row],[Aluminio Bruto]]/OleoKGAluminio</f>
        <v>37.770540264928769</v>
      </c>
      <c r="U547" s="35">
        <f>IFERROR((VLOOKUP(Tabela3[[#This Row],[Moldador]],Tabela1[],5,)+(VLOOKUP(Tabela3[[#This Row],[Ajudante]],Tabela1[],5,))*3.5),0)</f>
        <v>99.95034583333333</v>
      </c>
      <c r="V547" s="35">
        <f>IFERROR(Tabela3[[#This Row],[Custo M.O. / H]]/((Tabela3[[#This Row],[Realizado]]/Tabela3[[#This Row],[Qdt Peça Placa]])/Tabela3[[#This Row],[Tempo]]/24),)</f>
        <v>15.474406159320477</v>
      </c>
      <c r="W547" s="35">
        <f>Tabela3[[#This Row],[Custo / Cx Moldada]]*Tabela3[[#This Row],[Qtde Cx Produzida]]</f>
        <v>572.55302789485768</v>
      </c>
      <c r="X547" s="35">
        <f ca="1">Tabela3[[#This Row],[Aluminio Util]]*Tabela3[[#This Row],[Custo/Kg]]</f>
        <v>566.28</v>
      </c>
      <c r="Y547" s="35">
        <f>IFERROR(VLOOKUP(Tabela3[[#This Row],[Data]],Tabela461213[],2,1)*(Tabela3[[#This Row],[Qtde Cx Produzida]]*Tabela3[[#This Row],[Qde macho / CX]]*Tabela3[[#This Row],[Peso Macho]]),)</f>
        <v>0</v>
      </c>
      <c r="Z547" s="35">
        <f>IFERROR(Tabela3[[#This Row],[Qtde Oleo]]*(VLOOKUP(Tabela3[[#This Row],[Data]],CompraOleo[],3,TRUE))*1.05,0)</f>
        <v>99.14766819543803</v>
      </c>
      <c r="AA547" s="47">
        <f ca="1">(Tabela3[[#This Row],[Custo Oleo]]+Tabela3[[#This Row],[Custo Aluminio]]+Tabela3[[#This Row],[Custo M.O. Total]]+Tabela3[[#This Row],[Custo Machos]])</f>
        <v>1237.9806960902956</v>
      </c>
      <c r="AB547" s="47">
        <f ca="1">Tabela3[[#This Row],[Custo Total]]*Tabela3[[#This Row],[% Perda]]</f>
        <v>225.84782969214851</v>
      </c>
      <c r="AC547" s="48">
        <f>IFERROR(VLOOKUP(Tabela3[[#This Row],[Produto]],Tabela2[],2,0),0)</f>
        <v>4</v>
      </c>
      <c r="AD547" s="48">
        <f>IFERROR(VLOOKUP(Tabela3[[#This Row],[Produto]],Tabela2[],3,0),0)</f>
        <v>0.3</v>
      </c>
      <c r="AE547" s="48">
        <f>IFERROR(VLOOKUP(Tabela3[[#This Row],[Produto]],Tabela2[],4,0),0)</f>
        <v>2.2999999999999998</v>
      </c>
      <c r="AF547" s="48">
        <f>IFERROR(VLOOKUP(Tabela3[[#This Row],[Produto]],Tabela2[],5,0),0)</f>
        <v>0.98999999999999988</v>
      </c>
      <c r="AG547" s="40">
        <f>IFERROR(VLOOKUP(Tabela3[[#This Row],[Produto]],Tabela2[],6,0),0)</f>
        <v>0</v>
      </c>
      <c r="AH547" s="40">
        <f>IFERROR(VLOOKUP(Tabela3[[#This Row],[Produto]],Tabela2[],7,0),0)</f>
        <v>0</v>
      </c>
      <c r="AI547" s="40">
        <f>IFERROR(VLOOKUP(Tabela3[[#This Row],[Produto]],Tabela2[],8,0),0)</f>
        <v>0</v>
      </c>
      <c r="AJ547" s="35">
        <f ca="1">IFERROR(VLOOKUP(Tabela3[[#This Row],[Produto]],Tabela2[],13,0),0)</f>
        <v>15.600000000000001</v>
      </c>
      <c r="AK547" s="40" t="str">
        <f>IFERROR(VLOOKUP(Tabela3[[#This Row],[Produto]],Tabela2[],14,0),0)</f>
        <v>Senun</v>
      </c>
      <c r="AL547" s="40">
        <f>IFERROR(VLOOKUP(Tabela3[[#This Row],[Produto]],Tabela2[],15,0),0)</f>
        <v>3.5</v>
      </c>
      <c r="AM547" s="36">
        <f ca="1">(Tabela3[[#This Row],[Custo Usinagem]]+Tabela3[[#This Row],[Custo / Pç]])*1.2</f>
        <v>16.477494506680618</v>
      </c>
      <c r="AN547" s="36">
        <f ca="1">Tabela3[[#This Row],[Valor Mínimo Venda]]*1.15</f>
        <v>18.949118682682709</v>
      </c>
      <c r="AO547" s="36">
        <f ca="1">Tabela3[[#This Row],[Tabela 1]]*1.08</f>
        <v>20.465048177297327</v>
      </c>
      <c r="AP547" s="36">
        <f ca="1">Tabela3[[#This Row],[Tabela 2]]*1.15</f>
        <v>23.534805403891923</v>
      </c>
    </row>
    <row r="548" spans="1:42">
      <c r="A548" s="9">
        <v>45888</v>
      </c>
      <c r="B548" s="6" t="s">
        <v>100</v>
      </c>
      <c r="C548" s="14">
        <v>7670</v>
      </c>
      <c r="D548" s="6" t="s">
        <v>46</v>
      </c>
      <c r="E548" s="6" t="s">
        <v>326</v>
      </c>
      <c r="F548" s="6">
        <v>17</v>
      </c>
      <c r="G548" s="15">
        <v>9.3055555555555558E-2</v>
      </c>
      <c r="H548" s="16">
        <v>0</v>
      </c>
      <c r="I548" s="35">
        <f ca="1">IFERROR(Tabela3[[#This Row],[Custo Total]]/Tabela3[[#This Row],[Aluminio Util]],0)</f>
        <v>30.678242639439919</v>
      </c>
      <c r="J548" s="35">
        <f ca="1">Tabela3[[#This Row],[Custo Total]]/Tabela3[[#This Row],[Realizado]]</f>
        <v>18.406945583663948</v>
      </c>
      <c r="K548" s="37">
        <f>IFERROR(Tabela3[[#This Row],[Qtde Cx Produzida]]/Tabela3[[#This Row],[Tempo]]/24,0)</f>
        <v>7.6119402985074629</v>
      </c>
      <c r="L548" s="37">
        <f>Tabela3[[#This Row],[Qtde Cx Produzida]]*Tabela3[[#This Row],[Qdt Peça Placa]]</f>
        <v>34</v>
      </c>
      <c r="M548" s="37">
        <f>Tabela3[[#This Row],[Previsto]]-Tabela3[[#This Row],[Perda Pçs]]</f>
        <v>34</v>
      </c>
      <c r="N548" s="38">
        <f>IFERROR(Tabela3[[#This Row],[Perda Pçs]]/Tabela3[[#This Row],[Previsto]],0)</f>
        <v>0</v>
      </c>
      <c r="O548" s="39">
        <f>IFERROR(IF(Tabela3[[#This Row],[Qtde Cx Produzida]] &lt;&gt; 0, Tabela3[[#This Row],[Tempo]] / Tabela3[[#This Row],[Qtde Cx Produzida]], 0),0)</f>
        <v>5.4738562091503273E-3</v>
      </c>
      <c r="P548" s="57">
        <f>IFERROR(Tabela3[[#This Row],[Perda Pçs]]/Tabela3[[#This Row],[Qdt Peça Placa]],0)</f>
        <v>0</v>
      </c>
      <c r="Q548" s="37">
        <f>IFERROR(Tabela3[[#This Row],[Realizado]]*Tabela3[[#This Row],[Peso Util/Pç]],0)</f>
        <v>20.399999999999999</v>
      </c>
      <c r="R548" s="37">
        <f>IFERROR(Tabela3[[#This Row],[Peso Total Galho]]*Tabela3[[#This Row],[Qtde Cx Produzida]]*1.055,0)</f>
        <v>39.457000000000001</v>
      </c>
      <c r="S548" s="37">
        <f>(Tabela3[[#This Row],[Aluminio Bruto]]-Tabela3[[#This Row],[Aluminio Util]])*0.9</f>
        <v>17.151300000000003</v>
      </c>
      <c r="T548" s="37">
        <f>Tabela3[[#This Row],[Aluminio Bruto]]/OleoKGAluminio</f>
        <v>16.599508882589145</v>
      </c>
      <c r="U548" s="35">
        <f>IFERROR((VLOOKUP(Tabela3[[#This Row],[Moldador]],Tabela1[],5,)+(VLOOKUP(Tabela3[[#This Row],[Ajudante]],Tabela1[],5,))*3.5),0)</f>
        <v>99.95034583333333</v>
      </c>
      <c r="V548" s="35">
        <f>IFERROR(Tabela3[[#This Row],[Custo M.O. / H]]/((Tabela3[[#This Row],[Realizado]]/Tabela3[[#This Row],[Qdt Peça Placa]])/Tabela3[[#This Row],[Tempo]]/24),)</f>
        <v>13.13073170751634</v>
      </c>
      <c r="W548" s="35">
        <f>Tabela3[[#This Row],[Custo / Cx Moldada]]*Tabela3[[#This Row],[Qtde Cx Produzida]]</f>
        <v>223.22243902777777</v>
      </c>
      <c r="X548" s="35">
        <f ca="1">Tabela3[[#This Row],[Aluminio Util]]*Tabela3[[#This Row],[Custo/Kg]]</f>
        <v>359.04</v>
      </c>
      <c r="Y548" s="35">
        <f>IFERROR(VLOOKUP(Tabela3[[#This Row],[Data]],Tabela461213[],2,1)*(Tabela3[[#This Row],[Qtde Cx Produzida]]*Tabela3[[#This Row],[Qde macho / CX]]*Tabela3[[#This Row],[Peso Macho]]),)</f>
        <v>0</v>
      </c>
      <c r="Z548" s="35">
        <f>IFERROR(Tabela3[[#This Row],[Qtde Oleo]]*(VLOOKUP(Tabela3[[#This Row],[Data]],CompraOleo[],3,TRUE))*1.05,0)</f>
        <v>43.573710816796506</v>
      </c>
      <c r="AA548" s="47">
        <f ca="1">(Tabela3[[#This Row],[Custo Oleo]]+Tabela3[[#This Row],[Custo Aluminio]]+Tabela3[[#This Row],[Custo M.O. Total]]+Tabela3[[#This Row],[Custo Machos]])</f>
        <v>625.83614984457427</v>
      </c>
      <c r="AB548" s="47">
        <f ca="1">Tabela3[[#This Row],[Custo Total]]*Tabela3[[#This Row],[% Perda]]</f>
        <v>0</v>
      </c>
      <c r="AC548" s="48">
        <f>IFERROR(VLOOKUP(Tabela3[[#This Row],[Produto]],Tabela2[],2,0),0)</f>
        <v>2</v>
      </c>
      <c r="AD548" s="48">
        <f>IFERROR(VLOOKUP(Tabela3[[#This Row],[Produto]],Tabela2[],3,0),0)</f>
        <v>0.6</v>
      </c>
      <c r="AE548" s="48">
        <f>IFERROR(VLOOKUP(Tabela3[[#This Row],[Produto]],Tabela2[],4,0),0)</f>
        <v>2.2000000000000002</v>
      </c>
      <c r="AF548" s="48">
        <f>IFERROR(VLOOKUP(Tabela3[[#This Row],[Produto]],Tabela2[],5,0),0)</f>
        <v>0.90000000000000024</v>
      </c>
      <c r="AG548" s="40">
        <f>IFERROR(VLOOKUP(Tabela3[[#This Row],[Produto]],Tabela2[],6,0),0)</f>
        <v>0</v>
      </c>
      <c r="AH548" s="40">
        <f>IFERROR(VLOOKUP(Tabela3[[#This Row],[Produto]],Tabela2[],7,0),0)</f>
        <v>0</v>
      </c>
      <c r="AI548" s="40">
        <f>IFERROR(VLOOKUP(Tabela3[[#This Row],[Produto]],Tabela2[],8,0),0)</f>
        <v>0</v>
      </c>
      <c r="AJ548" s="35">
        <f ca="1">IFERROR(VLOOKUP(Tabela3[[#This Row],[Produto]],Tabela2[],13,0),0)</f>
        <v>17.600000000000001</v>
      </c>
      <c r="AK548" s="40" t="str">
        <f>IFERROR(VLOOKUP(Tabela3[[#This Row],[Produto]],Tabela2[],14,0),0)</f>
        <v>Protec</v>
      </c>
      <c r="AL548" s="40">
        <f>IFERROR(VLOOKUP(Tabela3[[#This Row],[Produto]],Tabela2[],15,0),0)</f>
        <v>0</v>
      </c>
      <c r="AM548" s="36">
        <f ca="1">(Tabela3[[#This Row],[Custo Usinagem]]+Tabela3[[#This Row],[Custo / Pç]])*1.2</f>
        <v>22.088334700396736</v>
      </c>
      <c r="AN548" s="36">
        <f ca="1">Tabela3[[#This Row],[Valor Mínimo Venda]]*1.15</f>
        <v>25.401584905456243</v>
      </c>
      <c r="AO548" s="36">
        <f ca="1">Tabela3[[#This Row],[Tabela 1]]*1.08</f>
        <v>27.433711697892743</v>
      </c>
      <c r="AP548" s="36">
        <f ca="1">Tabela3[[#This Row],[Tabela 2]]*1.15</f>
        <v>31.548768452576653</v>
      </c>
    </row>
    <row r="549" spans="1:42">
      <c r="A549" s="9">
        <v>45888</v>
      </c>
      <c r="B549" s="6" t="s">
        <v>101</v>
      </c>
      <c r="C549" s="14">
        <v>7669</v>
      </c>
      <c r="D549" s="6" t="s">
        <v>46</v>
      </c>
      <c r="E549" s="6" t="s">
        <v>326</v>
      </c>
      <c r="F549" s="6">
        <v>30</v>
      </c>
      <c r="G549" s="15">
        <v>0.14791666666666667</v>
      </c>
      <c r="H549" s="16">
        <v>0</v>
      </c>
      <c r="I549" s="35">
        <f ca="1">IFERROR(Tabela3[[#This Row],[Custo Total]]/Tabela3[[#This Row],[Aluminio Util]],0)</f>
        <v>29.592180875074444</v>
      </c>
      <c r="J549" s="35">
        <f ca="1">Tabela3[[#This Row],[Custo Total]]/Tabela3[[#This Row],[Realizado]]</f>
        <v>17.755308525044665</v>
      </c>
      <c r="K549" s="37">
        <f>IFERROR(Tabela3[[#This Row],[Qtde Cx Produzida]]/Tabela3[[#This Row],[Tempo]]/24,0)</f>
        <v>8.4507042253521121</v>
      </c>
      <c r="L549" s="37">
        <f>Tabela3[[#This Row],[Qtde Cx Produzida]]*Tabela3[[#This Row],[Qdt Peça Placa]]</f>
        <v>60</v>
      </c>
      <c r="M549" s="37">
        <f>Tabela3[[#This Row],[Previsto]]-Tabela3[[#This Row],[Perda Pçs]]</f>
        <v>60</v>
      </c>
      <c r="N549" s="38">
        <f>IFERROR(Tabela3[[#This Row],[Perda Pçs]]/Tabela3[[#This Row],[Previsto]],0)</f>
        <v>0</v>
      </c>
      <c r="O549" s="39">
        <f>IFERROR(IF(Tabela3[[#This Row],[Qtde Cx Produzida]] &lt;&gt; 0, Tabela3[[#This Row],[Tempo]] / Tabela3[[#This Row],[Qtde Cx Produzida]], 0),0)</f>
        <v>4.9305555555555552E-3</v>
      </c>
      <c r="P549" s="57">
        <f>IFERROR(Tabela3[[#This Row],[Perda Pçs]]/Tabela3[[#This Row],[Qdt Peça Placa]],0)</f>
        <v>0</v>
      </c>
      <c r="Q549" s="37">
        <f>IFERROR(Tabela3[[#This Row],[Realizado]]*Tabela3[[#This Row],[Peso Util/Pç]],0)</f>
        <v>36</v>
      </c>
      <c r="R549" s="37">
        <f>IFERROR(Tabela3[[#This Row],[Peso Total Galho]]*Tabela3[[#This Row],[Qtde Cx Produzida]]*1.055,0)</f>
        <v>69.63</v>
      </c>
      <c r="S549" s="37">
        <f>(Tabela3[[#This Row],[Aluminio Bruto]]-Tabela3[[#This Row],[Aluminio Util]])*0.9</f>
        <v>30.266999999999996</v>
      </c>
      <c r="T549" s="37">
        <f>Tabela3[[#This Row],[Aluminio Bruto]]/OleoKGAluminio</f>
        <v>29.293250969274961</v>
      </c>
      <c r="U549" s="35">
        <f>IFERROR((VLOOKUP(Tabela3[[#This Row],[Moldador]],Tabela1[],5,)+(VLOOKUP(Tabela3[[#This Row],[Ajudante]],Tabela1[],5,))*3.5),0)</f>
        <v>99.95034583333333</v>
      </c>
      <c r="V549" s="35">
        <f>IFERROR(Tabela3[[#This Row],[Custo M.O. / H]]/((Tabela3[[#This Row],[Realizado]]/Tabela3[[#This Row],[Qdt Peça Placa]])/Tabela3[[#This Row],[Tempo]]/24),)</f>
        <v>11.827457590277778</v>
      </c>
      <c r="W549" s="35">
        <f>Tabela3[[#This Row],[Custo / Cx Moldada]]*Tabela3[[#This Row],[Qtde Cx Produzida]]</f>
        <v>354.82372770833331</v>
      </c>
      <c r="X549" s="35">
        <f ca="1">Tabela3[[#This Row],[Aluminio Util]]*Tabela3[[#This Row],[Custo/Kg]]</f>
        <v>633.6</v>
      </c>
      <c r="Y549" s="35">
        <f>IFERROR(VLOOKUP(Tabela3[[#This Row],[Data]],Tabela461213[],2,1)*(Tabela3[[#This Row],[Qtde Cx Produzida]]*Tabela3[[#This Row],[Qde macho / CX]]*Tabela3[[#This Row],[Peso Macho]]),)</f>
        <v>0</v>
      </c>
      <c r="Z549" s="35">
        <f>IFERROR(Tabela3[[#This Row],[Qtde Oleo]]*(VLOOKUP(Tabela3[[#This Row],[Data]],CompraOleo[],3,TRUE))*1.05,0)</f>
        <v>76.894783794346765</v>
      </c>
      <c r="AA549" s="47">
        <f ca="1">(Tabela3[[#This Row],[Custo Oleo]]+Tabela3[[#This Row],[Custo Aluminio]]+Tabela3[[#This Row],[Custo M.O. Total]]+Tabela3[[#This Row],[Custo Machos]])</f>
        <v>1065.3185115026799</v>
      </c>
      <c r="AB549" s="47">
        <f ca="1">Tabela3[[#This Row],[Custo Total]]*Tabela3[[#This Row],[% Perda]]</f>
        <v>0</v>
      </c>
      <c r="AC549" s="48">
        <f>IFERROR(VLOOKUP(Tabela3[[#This Row],[Produto]],Tabela2[],2,0),0)</f>
        <v>2</v>
      </c>
      <c r="AD549" s="48">
        <f>IFERROR(VLOOKUP(Tabela3[[#This Row],[Produto]],Tabela2[],3,0),0)</f>
        <v>0.6</v>
      </c>
      <c r="AE549" s="48">
        <f>IFERROR(VLOOKUP(Tabela3[[#This Row],[Produto]],Tabela2[],4,0),0)</f>
        <v>2.2000000000000002</v>
      </c>
      <c r="AF549" s="48">
        <f>IFERROR(VLOOKUP(Tabela3[[#This Row],[Produto]],Tabela2[],5,0),0)</f>
        <v>0.90000000000000024</v>
      </c>
      <c r="AG549" s="40">
        <f>IFERROR(VLOOKUP(Tabela3[[#This Row],[Produto]],Tabela2[],6,0),0)</f>
        <v>0</v>
      </c>
      <c r="AH549" s="40">
        <f>IFERROR(VLOOKUP(Tabela3[[#This Row],[Produto]],Tabela2[],7,0),0)</f>
        <v>0</v>
      </c>
      <c r="AI549" s="40">
        <f>IFERROR(VLOOKUP(Tabela3[[#This Row],[Produto]],Tabela2[],8,0),0)</f>
        <v>0</v>
      </c>
      <c r="AJ549" s="35">
        <f ca="1">IFERROR(VLOOKUP(Tabela3[[#This Row],[Produto]],Tabela2[],13,0),0)</f>
        <v>17.600000000000001</v>
      </c>
      <c r="AK549" s="40" t="str">
        <f>IFERROR(VLOOKUP(Tabela3[[#This Row],[Produto]],Tabela2[],14,0),0)</f>
        <v>Protec</v>
      </c>
      <c r="AL549" s="40">
        <f>IFERROR(VLOOKUP(Tabela3[[#This Row],[Produto]],Tabela2[],15,0),0)</f>
        <v>0</v>
      </c>
      <c r="AM549" s="36">
        <f ca="1">(Tabela3[[#This Row],[Custo Usinagem]]+Tabela3[[#This Row],[Custo / Pç]])*1.2</f>
        <v>21.306370230053599</v>
      </c>
      <c r="AN549" s="36">
        <f ca="1">Tabela3[[#This Row],[Valor Mínimo Venda]]*1.15</f>
        <v>24.502325764561636</v>
      </c>
      <c r="AO549" s="36">
        <f ca="1">Tabela3[[#This Row],[Tabela 1]]*1.08</f>
        <v>26.462511825726569</v>
      </c>
      <c r="AP549" s="36">
        <f ca="1">Tabela3[[#This Row],[Tabela 2]]*1.15</f>
        <v>30.431888599585552</v>
      </c>
    </row>
    <row r="550" spans="1:42">
      <c r="A550" s="9">
        <v>45888</v>
      </c>
      <c r="B550" s="6" t="s">
        <v>229</v>
      </c>
      <c r="C550" s="14">
        <v>7672</v>
      </c>
      <c r="D550" s="6" t="s">
        <v>46</v>
      </c>
      <c r="E550" s="6" t="s">
        <v>326</v>
      </c>
      <c r="F550" s="6">
        <v>21</v>
      </c>
      <c r="G550" s="15">
        <v>9.4444444444444442E-2</v>
      </c>
      <c r="H550" s="16">
        <v>0</v>
      </c>
      <c r="I550" s="35">
        <f ca="1">IFERROR(Tabela3[[#This Row],[Custo Total]]/Tabela3[[#This Row],[Aluminio Util]],0)</f>
        <v>20.994837107109046</v>
      </c>
      <c r="J550" s="35">
        <f ca="1">Tabela3[[#This Row],[Custo Total]]/Tabela3[[#This Row],[Realizado]]</f>
        <v>58.533605854620021</v>
      </c>
      <c r="K550" s="37">
        <f>IFERROR(Tabela3[[#This Row],[Qtde Cx Produzida]]/Tabela3[[#This Row],[Tempo]]/24,0)</f>
        <v>9.2647058823529402</v>
      </c>
      <c r="L550" s="37">
        <f>Tabela3[[#This Row],[Qtde Cx Produzida]]*Tabela3[[#This Row],[Qdt Peça Placa]]</f>
        <v>21</v>
      </c>
      <c r="M550" s="37">
        <f>Tabela3[[#This Row],[Previsto]]-Tabela3[[#This Row],[Perda Pçs]]</f>
        <v>21</v>
      </c>
      <c r="N550" s="38">
        <f>IFERROR(Tabela3[[#This Row],[Perda Pçs]]/Tabela3[[#This Row],[Previsto]],0)</f>
        <v>0</v>
      </c>
      <c r="O550" s="39">
        <f>IFERROR(IF(Tabela3[[#This Row],[Qtde Cx Produzida]] &lt;&gt; 0, Tabela3[[#This Row],[Tempo]] / Tabela3[[#This Row],[Qtde Cx Produzida]], 0),0)</f>
        <v>4.4973544973544973E-3</v>
      </c>
      <c r="P550" s="57">
        <f>IFERROR(Tabela3[[#This Row],[Perda Pçs]]/Tabela3[[#This Row],[Qdt Peça Placa]],0)</f>
        <v>0</v>
      </c>
      <c r="Q550" s="37">
        <f>IFERROR(Tabela3[[#This Row],[Realizado]]*Tabela3[[#This Row],[Peso Util/Pç]],0)</f>
        <v>58.547999999999995</v>
      </c>
      <c r="R550" s="37">
        <f>IFERROR(Tabela3[[#This Row],[Peso Total Galho]]*Tabela3[[#This Row],[Qtde Cx Produzida]]*1.055,0)</f>
        <v>80.865749999999991</v>
      </c>
      <c r="S550" s="37">
        <f>(Tabela3[[#This Row],[Aluminio Bruto]]-Tabela3[[#This Row],[Aluminio Util]])*0.9</f>
        <v>20.085974999999998</v>
      </c>
      <c r="T550" s="37">
        <f>Tabela3[[#This Row],[Aluminio Bruto]]/OleoKGAluminio</f>
        <v>34.020116466589783</v>
      </c>
      <c r="U550" s="35">
        <f>IFERROR((VLOOKUP(Tabela3[[#This Row],[Moldador]],Tabela1[],5,)+(VLOOKUP(Tabela3[[#This Row],[Ajudante]],Tabela1[],5,))*3.5),0)</f>
        <v>99.95034583333333</v>
      </c>
      <c r="V550" s="35">
        <f>IFERROR(Tabela3[[#This Row],[Custo M.O. / H]]/((Tabela3[[#This Row],[Realizado]]/Tabela3[[#This Row],[Qdt Peça Placa]])/Tabela3[[#This Row],[Tempo]]/24),)</f>
        <v>10.788291296296297</v>
      </c>
      <c r="W550" s="35">
        <f>Tabela3[[#This Row],[Custo / Cx Moldada]]*Tabela3[[#This Row],[Qtde Cx Produzida]]</f>
        <v>226.55411722222223</v>
      </c>
      <c r="X550" s="35">
        <f ca="1">Tabela3[[#This Row],[Aluminio Util]]*Tabela3[[#This Row],[Custo/Kg]]</f>
        <v>913.34879999999998</v>
      </c>
      <c r="Y550" s="35">
        <f>IFERROR(VLOOKUP(Tabela3[[#This Row],[Data]],Tabela461213[],2,1)*(Tabela3[[#This Row],[Qtde Cx Produzida]]*Tabela3[[#This Row],[Qde macho / CX]]*Tabela3[[#This Row],[Peso Macho]]),)</f>
        <v>0</v>
      </c>
      <c r="Z550" s="35">
        <f>IFERROR(Tabela3[[#This Row],[Qtde Oleo]]*(VLOOKUP(Tabela3[[#This Row],[Data]],CompraOleo[],3,TRUE))*1.05,0)</f>
        <v>89.302805724798191</v>
      </c>
      <c r="AA550" s="47">
        <f ca="1">(Tabela3[[#This Row],[Custo Oleo]]+Tabela3[[#This Row],[Custo Aluminio]]+Tabela3[[#This Row],[Custo M.O. Total]]+Tabela3[[#This Row],[Custo Machos]])</f>
        <v>1229.2057229470204</v>
      </c>
      <c r="AB550" s="47">
        <f ca="1">Tabela3[[#This Row],[Custo Total]]*Tabela3[[#This Row],[% Perda]]</f>
        <v>0</v>
      </c>
      <c r="AC550" s="48">
        <f>IFERROR(VLOOKUP(Tabela3[[#This Row],[Produto]],Tabela2[],2,0),0)</f>
        <v>1</v>
      </c>
      <c r="AD550" s="48">
        <f>IFERROR(VLOOKUP(Tabela3[[#This Row],[Produto]],Tabela2[],3,0),0)</f>
        <v>2.7879999999999998</v>
      </c>
      <c r="AE550" s="48">
        <f>IFERROR(VLOOKUP(Tabela3[[#This Row],[Produto]],Tabela2[],4,0),0)</f>
        <v>3.65</v>
      </c>
      <c r="AF550" s="48">
        <f>IFERROR(VLOOKUP(Tabela3[[#This Row],[Produto]],Tabela2[],5,0),0)</f>
        <v>0.77580000000000016</v>
      </c>
      <c r="AG550" s="40">
        <f>IFERROR(VLOOKUP(Tabela3[[#This Row],[Produto]],Tabela2[],6,0),0)</f>
        <v>0</v>
      </c>
      <c r="AH550" s="40">
        <f>IFERROR(VLOOKUP(Tabela3[[#This Row],[Produto]],Tabela2[],7,0),0)</f>
        <v>0</v>
      </c>
      <c r="AI550" s="40">
        <f>IFERROR(VLOOKUP(Tabela3[[#This Row],[Produto]],Tabela2[],8,0),0)</f>
        <v>0</v>
      </c>
      <c r="AJ550" s="35">
        <f ca="1">IFERROR(VLOOKUP(Tabela3[[#This Row],[Produto]],Tabela2[],13,0),0)</f>
        <v>15.600000000000001</v>
      </c>
      <c r="AK550" s="40" t="str">
        <f>IFERROR(VLOOKUP(Tabela3[[#This Row],[Produto]],Tabela2[],14,0),0)</f>
        <v>Jumil</v>
      </c>
      <c r="AL550" s="40">
        <f>IFERROR(VLOOKUP(Tabela3[[#This Row],[Produto]],Tabela2[],15,0),0)</f>
        <v>35</v>
      </c>
      <c r="AM550" s="36">
        <f ca="1">(Tabela3[[#This Row],[Custo Usinagem]]+Tabela3[[#This Row],[Custo / Pç]])*1.2</f>
        <v>112.24032702554402</v>
      </c>
      <c r="AN550" s="36">
        <f ca="1">Tabela3[[#This Row],[Valor Mínimo Venda]]*1.15</f>
        <v>129.07637607937562</v>
      </c>
      <c r="AO550" s="36">
        <f ca="1">Tabela3[[#This Row],[Tabela 1]]*1.08</f>
        <v>139.40248616572569</v>
      </c>
      <c r="AP550" s="36">
        <f ca="1">Tabela3[[#This Row],[Tabela 2]]*1.15</f>
        <v>160.31285909058454</v>
      </c>
    </row>
    <row r="551" spans="1:42">
      <c r="A551" s="9">
        <v>45888</v>
      </c>
      <c r="B551" s="6" t="s">
        <v>327</v>
      </c>
      <c r="C551" s="14">
        <v>7661</v>
      </c>
      <c r="D551" s="6" t="s">
        <v>44</v>
      </c>
      <c r="E551" s="6" t="s">
        <v>47</v>
      </c>
      <c r="F551" s="6">
        <v>1</v>
      </c>
      <c r="G551" s="15">
        <v>2.9166666666666667E-2</v>
      </c>
      <c r="H551" s="16">
        <v>0</v>
      </c>
      <c r="I551" s="35">
        <f>IFERROR(Tabela3[[#This Row],[Custo Total]]/Tabela3[[#This Row],[Aluminio Util]],0)</f>
        <v>0</v>
      </c>
      <c r="J551" s="35" t="e">
        <f>Tabela3[[#This Row],[Custo Total]]/Tabela3[[#This Row],[Realizado]]</f>
        <v>#DIV/0!</v>
      </c>
      <c r="K551" s="37">
        <f>IFERROR(Tabela3[[#This Row],[Qtde Cx Produzida]]/Tabela3[[#This Row],[Tempo]]/24,0)</f>
        <v>1.4285714285714286</v>
      </c>
      <c r="L551" s="37">
        <f>Tabela3[[#This Row],[Qtde Cx Produzida]]*Tabela3[[#This Row],[Qdt Peça Placa]]</f>
        <v>0</v>
      </c>
      <c r="M551" s="37">
        <f>Tabela3[[#This Row],[Previsto]]-Tabela3[[#This Row],[Perda Pçs]]</f>
        <v>0</v>
      </c>
      <c r="N551" s="38">
        <f>IFERROR(Tabela3[[#This Row],[Perda Pçs]]/Tabela3[[#This Row],[Previsto]],0)</f>
        <v>0</v>
      </c>
      <c r="O551" s="39">
        <f>IFERROR(IF(Tabela3[[#This Row],[Qtde Cx Produzida]] &lt;&gt; 0, Tabela3[[#This Row],[Tempo]] / Tabela3[[#This Row],[Qtde Cx Produzida]], 0),0)</f>
        <v>2.9166666666666667E-2</v>
      </c>
      <c r="P551" s="57">
        <f>IFERROR(Tabela3[[#This Row],[Perda Pçs]]/Tabela3[[#This Row],[Qdt Peça Placa]],0)</f>
        <v>0</v>
      </c>
      <c r="Q551" s="37">
        <f>IFERROR(Tabela3[[#This Row],[Realizado]]*Tabela3[[#This Row],[Peso Util/Pç]],0)</f>
        <v>0</v>
      </c>
      <c r="R551" s="37">
        <f>IFERROR(Tabela3[[#This Row],[Peso Total Galho]]*Tabela3[[#This Row],[Qtde Cx Produzida]]*1.055,0)</f>
        <v>0</v>
      </c>
      <c r="S551" s="37">
        <f>(Tabela3[[#This Row],[Aluminio Bruto]]-Tabela3[[#This Row],[Aluminio Util]])*0.9</f>
        <v>0</v>
      </c>
      <c r="T551" s="37">
        <f>Tabela3[[#This Row],[Aluminio Bruto]]/OleoKGAluminio</f>
        <v>0</v>
      </c>
      <c r="U551" s="35">
        <f>IFERROR((VLOOKUP(Tabela3[[#This Row],[Moldador]],Tabela1[],5,)+(VLOOKUP(Tabela3[[#This Row],[Ajudante]],Tabela1[],5,))*3.5),0)</f>
        <v>99.95034583333333</v>
      </c>
      <c r="V551" s="35">
        <f>IFERROR(Tabela3[[#This Row],[Custo M.O. / H]]/((Tabela3[[#This Row],[Realizado]]/Tabela3[[#This Row],[Qdt Peça Placa]])/Tabela3[[#This Row],[Tempo]]/24),)</f>
        <v>0</v>
      </c>
      <c r="W551" s="35">
        <f>Tabela3[[#This Row],[Custo / Cx Moldada]]*Tabela3[[#This Row],[Qtde Cx Produzida]]</f>
        <v>0</v>
      </c>
      <c r="X551" s="35">
        <f>Tabela3[[#This Row],[Aluminio Util]]*Tabela3[[#This Row],[Custo/Kg]]</f>
        <v>0</v>
      </c>
      <c r="Y551" s="35">
        <f>IFERROR(VLOOKUP(Tabela3[[#This Row],[Data]],Tabela461213[],2,1)*(Tabela3[[#This Row],[Qtde Cx Produzida]]*Tabela3[[#This Row],[Qde macho / CX]]*Tabela3[[#This Row],[Peso Macho]]),)</f>
        <v>0</v>
      </c>
      <c r="Z551" s="35">
        <f>IFERROR(Tabela3[[#This Row],[Qtde Oleo]]*(VLOOKUP(Tabela3[[#This Row],[Data]],CompraOleo[],3,TRUE))*1.05,0)</f>
        <v>0</v>
      </c>
      <c r="AA551" s="47">
        <f>(Tabela3[[#This Row],[Custo Oleo]]+Tabela3[[#This Row],[Custo Aluminio]]+Tabela3[[#This Row],[Custo M.O. Total]]+Tabela3[[#This Row],[Custo Machos]])</f>
        <v>0</v>
      </c>
      <c r="AB551" s="47">
        <f>Tabela3[[#This Row],[Custo Total]]*Tabela3[[#This Row],[% Perda]]</f>
        <v>0</v>
      </c>
      <c r="AC551" s="48">
        <f>IFERROR(VLOOKUP(Tabela3[[#This Row],[Produto]],Tabela2[],2,0),0)</f>
        <v>0</v>
      </c>
      <c r="AD551" s="48">
        <f>IFERROR(VLOOKUP(Tabela3[[#This Row],[Produto]],Tabela2[],3,0),0)</f>
        <v>0</v>
      </c>
      <c r="AE551" s="48">
        <f>IFERROR(VLOOKUP(Tabela3[[#This Row],[Produto]],Tabela2[],4,0),0)</f>
        <v>0</v>
      </c>
      <c r="AF551" s="48">
        <f>IFERROR(VLOOKUP(Tabela3[[#This Row],[Produto]],Tabela2[],5,0),0)</f>
        <v>0</v>
      </c>
      <c r="AG551" s="40">
        <f>IFERROR(VLOOKUP(Tabela3[[#This Row],[Produto]],Tabela2[],6,0),0)</f>
        <v>0</v>
      </c>
      <c r="AH551" s="40">
        <f>IFERROR(VLOOKUP(Tabela3[[#This Row],[Produto]],Tabela2[],7,0),0)</f>
        <v>0</v>
      </c>
      <c r="AI551" s="40">
        <f>IFERROR(VLOOKUP(Tabela3[[#This Row],[Produto]],Tabela2[],8,0),0)</f>
        <v>0</v>
      </c>
      <c r="AJ551" s="35">
        <f>IFERROR(VLOOKUP(Tabela3[[#This Row],[Produto]],Tabela2[],13,0),0)</f>
        <v>0</v>
      </c>
      <c r="AK551" s="40">
        <f>IFERROR(VLOOKUP(Tabela3[[#This Row],[Produto]],Tabela2[],14,0),0)</f>
        <v>0</v>
      </c>
      <c r="AL551" s="40">
        <f>IFERROR(VLOOKUP(Tabela3[[#This Row],[Produto]],Tabela2[],15,0),0)</f>
        <v>0</v>
      </c>
      <c r="AM551" s="36" t="e">
        <f>(Tabela3[[#This Row],[Custo Usinagem]]+Tabela3[[#This Row],[Custo / Pç]])*1.2</f>
        <v>#DIV/0!</v>
      </c>
      <c r="AN551" s="36" t="e">
        <f>Tabela3[[#This Row],[Valor Mínimo Venda]]*1.15</f>
        <v>#DIV/0!</v>
      </c>
      <c r="AO551" s="36" t="e">
        <f>Tabela3[[#This Row],[Tabela 1]]*1.08</f>
        <v>#DIV/0!</v>
      </c>
      <c r="AP551" s="36" t="e">
        <f>Tabela3[[#This Row],[Tabela 2]]*1.15</f>
        <v>#DIV/0!</v>
      </c>
    </row>
    <row r="552" spans="1:42">
      <c r="A552" s="9">
        <v>45888</v>
      </c>
      <c r="B552" s="6" t="s">
        <v>273</v>
      </c>
      <c r="C552" s="14">
        <v>7673</v>
      </c>
      <c r="D552" s="6" t="s">
        <v>44</v>
      </c>
      <c r="E552" s="6" t="s">
        <v>47</v>
      </c>
      <c r="F552" s="6">
        <v>5</v>
      </c>
      <c r="G552" s="15">
        <v>0.14722222222222223</v>
      </c>
      <c r="H552" s="16">
        <v>0</v>
      </c>
      <c r="I552" s="35">
        <f ca="1">IFERROR(Tabela3[[#This Row],[Custo Total]]/Tabela3[[#This Row],[Aluminio Util]],0)</f>
        <v>21.717154787708996</v>
      </c>
      <c r="J552" s="35">
        <f ca="1">Tabela3[[#This Row],[Custo Total]]/Tabela3[[#This Row],[Realizado]]</f>
        <v>390.90878617876194</v>
      </c>
      <c r="K552" s="37">
        <f>IFERROR(Tabela3[[#This Row],[Qtde Cx Produzida]]/Tabela3[[#This Row],[Tempo]]/24,0)</f>
        <v>1.4150943396226416</v>
      </c>
      <c r="L552" s="37">
        <f>Tabela3[[#This Row],[Qtde Cx Produzida]]*Tabela3[[#This Row],[Qdt Peça Placa]]</f>
        <v>5</v>
      </c>
      <c r="M552" s="37">
        <f>Tabela3[[#This Row],[Previsto]]-Tabela3[[#This Row],[Perda Pçs]]</f>
        <v>5</v>
      </c>
      <c r="N552" s="38">
        <f>IFERROR(Tabela3[[#This Row],[Perda Pçs]]/Tabela3[[#This Row],[Previsto]],0)</f>
        <v>0</v>
      </c>
      <c r="O552" s="39">
        <f>IFERROR(IF(Tabela3[[#This Row],[Qtde Cx Produzida]] &lt;&gt; 0, Tabela3[[#This Row],[Tempo]] / Tabela3[[#This Row],[Qtde Cx Produzida]], 0),0)</f>
        <v>2.9444444444444447E-2</v>
      </c>
      <c r="P552" s="57">
        <f>IFERROR(Tabela3[[#This Row],[Perda Pçs]]/Tabela3[[#This Row],[Qdt Peça Placa]],0)</f>
        <v>0</v>
      </c>
      <c r="Q552" s="37">
        <f>IFERROR(Tabela3[[#This Row],[Realizado]]*Tabela3[[#This Row],[Peso Util/Pç]],0)</f>
        <v>90</v>
      </c>
      <c r="R552" s="37">
        <f>IFERROR(Tabela3[[#This Row],[Peso Total Galho]]*Tabela3[[#This Row],[Qtde Cx Produzida]]*1.055,0)</f>
        <v>99.697499999999991</v>
      </c>
      <c r="S552" s="37">
        <f>(Tabela3[[#This Row],[Aluminio Bruto]]-Tabela3[[#This Row],[Aluminio Util]])*0.9</f>
        <v>8.7277499999999915</v>
      </c>
      <c r="T552" s="37">
        <f>Tabela3[[#This Row],[Aluminio Bruto]]/OleoKGAluminio</f>
        <v>41.942609342370964</v>
      </c>
      <c r="U552" s="35">
        <f>IFERROR((VLOOKUP(Tabela3[[#This Row],[Moldador]],Tabela1[],5,)+(VLOOKUP(Tabela3[[#This Row],[Ajudante]],Tabela1[],5,))*3.5),0)</f>
        <v>99.95034583333333</v>
      </c>
      <c r="V552" s="35">
        <f>IFERROR(Tabela3[[#This Row],[Custo M.O. / H]]/((Tabela3[[#This Row],[Realizado]]/Tabela3[[#This Row],[Qdt Peça Placa]])/Tabela3[[#This Row],[Tempo]]/24),)</f>
        <v>70.631577722222218</v>
      </c>
      <c r="W552" s="35">
        <f>Tabela3[[#This Row],[Custo / Cx Moldada]]*Tabela3[[#This Row],[Qtde Cx Produzida]]</f>
        <v>353.1578886111111</v>
      </c>
      <c r="X552" s="35">
        <f ca="1">Tabela3[[#This Row],[Aluminio Util]]*Tabela3[[#This Row],[Custo/Kg]]</f>
        <v>1491.2866927589748</v>
      </c>
      <c r="Y552" s="35">
        <f>IFERROR(VLOOKUP(Tabela3[[#This Row],[Data]],Tabela461213[],2,1)*(Tabela3[[#This Row],[Qtde Cx Produzida]]*Tabela3[[#This Row],[Qde macho / CX]]*Tabela3[[#This Row],[Peso Macho]]),)</f>
        <v>0</v>
      </c>
      <c r="Z552" s="35">
        <f>IFERROR(Tabela3[[#This Row],[Qtde Oleo]]*(VLOOKUP(Tabela3[[#This Row],[Data]],CompraOleo[],3,TRUE))*1.05,0)</f>
        <v>110.09934952372379</v>
      </c>
      <c r="AA552" s="47">
        <f ca="1">(Tabela3[[#This Row],[Custo Oleo]]+Tabela3[[#This Row],[Custo Aluminio]]+Tabela3[[#This Row],[Custo M.O. Total]]+Tabela3[[#This Row],[Custo Machos]])</f>
        <v>1954.5439308938096</v>
      </c>
      <c r="AB552" s="47">
        <f ca="1">Tabela3[[#This Row],[Custo Total]]*Tabela3[[#This Row],[% Perda]]</f>
        <v>0</v>
      </c>
      <c r="AC552" s="48">
        <f>IFERROR(VLOOKUP(Tabela3[[#This Row],[Produto]],Tabela2[],2,0),0)</f>
        <v>1</v>
      </c>
      <c r="AD552" s="48">
        <f>IFERROR(VLOOKUP(Tabela3[[#This Row],[Produto]],Tabela2[],3,0),0)</f>
        <v>18</v>
      </c>
      <c r="AE552" s="48">
        <f>IFERROR(VLOOKUP(Tabela3[[#This Row],[Produto]],Tabela2[],4,0),0)</f>
        <v>18.899999999999999</v>
      </c>
      <c r="AF552" s="48">
        <f>IFERROR(VLOOKUP(Tabela3[[#This Row],[Produto]],Tabela2[],5,0),0)</f>
        <v>0.80999999999999872</v>
      </c>
      <c r="AG552" s="40">
        <f>IFERROR(VLOOKUP(Tabela3[[#This Row],[Produto]],Tabela2[],6,0),0)</f>
        <v>0</v>
      </c>
      <c r="AH552" s="40">
        <f>IFERROR(VLOOKUP(Tabela3[[#This Row],[Produto]],Tabela2[],7,0),0)</f>
        <v>0</v>
      </c>
      <c r="AI552" s="40">
        <f>IFERROR(VLOOKUP(Tabela3[[#This Row],[Produto]],Tabela2[],8,0),0)</f>
        <v>0</v>
      </c>
      <c r="AJ552" s="35">
        <f ca="1">IFERROR(VLOOKUP(Tabela3[[#This Row],[Produto]],Tabela2[],13,0),0)</f>
        <v>16.569852141766386</v>
      </c>
      <c r="AK552" s="40" t="str">
        <f>IFERROR(VLOOKUP(Tabela3[[#This Row],[Produto]],Tabela2[],14,0),0)</f>
        <v>Danilo</v>
      </c>
      <c r="AL552" s="40">
        <f>IFERROR(VLOOKUP(Tabela3[[#This Row],[Produto]],Tabela2[],15,0),0)</f>
        <v>0</v>
      </c>
      <c r="AM552" s="36">
        <f ca="1">(Tabela3[[#This Row],[Custo Usinagem]]+Tabela3[[#This Row],[Custo / Pç]])*1.2</f>
        <v>469.09054341451429</v>
      </c>
      <c r="AN552" s="36">
        <f ca="1">Tabela3[[#This Row],[Valor Mínimo Venda]]*1.15</f>
        <v>539.45412492669141</v>
      </c>
      <c r="AO552" s="36">
        <f ca="1">Tabela3[[#This Row],[Tabela 1]]*1.08</f>
        <v>582.61045492082678</v>
      </c>
      <c r="AP552" s="36">
        <f ca="1">Tabela3[[#This Row],[Tabela 2]]*1.15</f>
        <v>670.00202315895069</v>
      </c>
    </row>
    <row r="553" spans="1:42">
      <c r="A553" s="9">
        <v>45888</v>
      </c>
      <c r="B553" s="6" t="s">
        <v>247</v>
      </c>
      <c r="C553" s="14">
        <v>7658</v>
      </c>
      <c r="D553" s="6" t="s">
        <v>44</v>
      </c>
      <c r="E553" s="6" t="s">
        <v>47</v>
      </c>
      <c r="F553" s="6">
        <v>8</v>
      </c>
      <c r="G553" s="15">
        <v>4.3749999999999997E-2</v>
      </c>
      <c r="H553" s="16">
        <v>0</v>
      </c>
      <c r="I553" s="35">
        <f ca="1">IFERROR(Tabela3[[#This Row],[Custo Total]]/Tabela3[[#This Row],[Aluminio Util]],0)</f>
        <v>28.765124665508175</v>
      </c>
      <c r="J553" s="35">
        <f ca="1">Tabela3[[#This Row],[Custo Total]]/Tabela3[[#This Row],[Realizado]]</f>
        <v>8.6295373996524525</v>
      </c>
      <c r="K553" s="37">
        <f>IFERROR(Tabela3[[#This Row],[Qtde Cx Produzida]]/Tabela3[[#This Row],[Tempo]]/24,0)</f>
        <v>7.6190476190476195</v>
      </c>
      <c r="L553" s="37">
        <f>Tabela3[[#This Row],[Qtde Cx Produzida]]*Tabela3[[#This Row],[Qdt Peça Placa]]</f>
        <v>32</v>
      </c>
      <c r="M553" s="37">
        <f>Tabela3[[#This Row],[Previsto]]-Tabela3[[#This Row],[Perda Pçs]]</f>
        <v>32</v>
      </c>
      <c r="N553" s="38">
        <f>IFERROR(Tabela3[[#This Row],[Perda Pçs]]/Tabela3[[#This Row],[Previsto]],0)</f>
        <v>0</v>
      </c>
      <c r="O553" s="39">
        <f>IFERROR(IF(Tabela3[[#This Row],[Qtde Cx Produzida]] &lt;&gt; 0, Tabela3[[#This Row],[Tempo]] / Tabela3[[#This Row],[Qtde Cx Produzida]], 0),0)</f>
        <v>5.4687499999999997E-3</v>
      </c>
      <c r="P553" s="57">
        <f>IFERROR(Tabela3[[#This Row],[Perda Pçs]]/Tabela3[[#This Row],[Qdt Peça Placa]],0)</f>
        <v>0</v>
      </c>
      <c r="Q553" s="37">
        <f>IFERROR(Tabela3[[#This Row],[Realizado]]*Tabela3[[#This Row],[Peso Util/Pç]],0)</f>
        <v>9.6</v>
      </c>
      <c r="R553" s="37">
        <f>IFERROR(Tabela3[[#This Row],[Peso Total Galho]]*Tabela3[[#This Row],[Qtde Cx Produzida]]*1.055,0)</f>
        <v>19.411999999999999</v>
      </c>
      <c r="S553" s="37">
        <f>(Tabela3[[#This Row],[Aluminio Bruto]]-Tabela3[[#This Row],[Aluminio Util]])*0.9</f>
        <v>8.8308</v>
      </c>
      <c r="T553" s="37">
        <f>Tabela3[[#This Row],[Aluminio Bruto]]/OleoKGAluminio</f>
        <v>8.1666033005251411</v>
      </c>
      <c r="U553" s="35">
        <f>IFERROR((VLOOKUP(Tabela3[[#This Row],[Moldador]],Tabela1[],5,)+(VLOOKUP(Tabela3[[#This Row],[Ajudante]],Tabela1[],5,))*3.5),0)</f>
        <v>99.95034583333333</v>
      </c>
      <c r="V553" s="35">
        <f>IFERROR(Tabela3[[#This Row],[Custo M.O. / H]]/((Tabela3[[#This Row],[Realizado]]/Tabela3[[#This Row],[Qdt Peça Placa]])/Tabela3[[#This Row],[Tempo]]/24),)</f>
        <v>13.118482890624998</v>
      </c>
      <c r="W553" s="35">
        <f>Tabela3[[#This Row],[Custo / Cx Moldada]]*Tabela3[[#This Row],[Qtde Cx Produzida]]</f>
        <v>104.94786312499998</v>
      </c>
      <c r="X553" s="35">
        <f ca="1">Tabela3[[#This Row],[Aluminio Util]]*Tabela3[[#This Row],[Custo/Kg]]</f>
        <v>149.76000000000002</v>
      </c>
      <c r="Y553" s="35">
        <f>IFERROR(VLOOKUP(Tabela3[[#This Row],[Data]],Tabela461213[],2,1)*(Tabela3[[#This Row],[Qtde Cx Produzida]]*Tabela3[[#This Row],[Qde macho / CX]]*Tabela3[[#This Row],[Peso Macho]]),)</f>
        <v>0</v>
      </c>
      <c r="Z553" s="35">
        <f>IFERROR(Tabela3[[#This Row],[Qtde Oleo]]*(VLOOKUP(Tabela3[[#This Row],[Data]],CompraOleo[],3,TRUE))*1.05,0)</f>
        <v>21.437333663878494</v>
      </c>
      <c r="AA553" s="47">
        <f ca="1">(Tabela3[[#This Row],[Custo Oleo]]+Tabela3[[#This Row],[Custo Aluminio]]+Tabela3[[#This Row],[Custo M.O. Total]]+Tabela3[[#This Row],[Custo Machos]])</f>
        <v>276.14519678887848</v>
      </c>
      <c r="AB553" s="47">
        <f ca="1">Tabela3[[#This Row],[Custo Total]]*Tabela3[[#This Row],[% Perda]]</f>
        <v>0</v>
      </c>
      <c r="AC553" s="48">
        <f>IFERROR(VLOOKUP(Tabela3[[#This Row],[Produto]],Tabela2[],2,0),0)</f>
        <v>4</v>
      </c>
      <c r="AD553" s="48">
        <f>IFERROR(VLOOKUP(Tabela3[[#This Row],[Produto]],Tabela2[],3,0),0)</f>
        <v>0.3</v>
      </c>
      <c r="AE553" s="48">
        <f>IFERROR(VLOOKUP(Tabela3[[#This Row],[Produto]],Tabela2[],4,0),0)</f>
        <v>2.2999999999999998</v>
      </c>
      <c r="AF553" s="48">
        <f>IFERROR(VLOOKUP(Tabela3[[#This Row],[Produto]],Tabela2[],5,0),0)</f>
        <v>0.98999999999999988</v>
      </c>
      <c r="AG553" s="40">
        <f>IFERROR(VLOOKUP(Tabela3[[#This Row],[Produto]],Tabela2[],6,0),0)</f>
        <v>0</v>
      </c>
      <c r="AH553" s="40">
        <f>IFERROR(VLOOKUP(Tabela3[[#This Row],[Produto]],Tabela2[],7,0),0)</f>
        <v>0</v>
      </c>
      <c r="AI553" s="40">
        <f>IFERROR(VLOOKUP(Tabela3[[#This Row],[Produto]],Tabela2[],8,0),0)</f>
        <v>0</v>
      </c>
      <c r="AJ553" s="35">
        <f ca="1">IFERROR(VLOOKUP(Tabela3[[#This Row],[Produto]],Tabela2[],13,0),0)</f>
        <v>15.600000000000001</v>
      </c>
      <c r="AK553" s="40" t="str">
        <f>IFERROR(VLOOKUP(Tabela3[[#This Row],[Produto]],Tabela2[],14,0),0)</f>
        <v>Senun</v>
      </c>
      <c r="AL553" s="40">
        <f>IFERROR(VLOOKUP(Tabela3[[#This Row],[Produto]],Tabela2[],15,0),0)</f>
        <v>3.5</v>
      </c>
      <c r="AM553" s="36">
        <f ca="1">(Tabela3[[#This Row],[Custo Usinagem]]+Tabela3[[#This Row],[Custo / Pç]])*1.2</f>
        <v>14.555444879582943</v>
      </c>
      <c r="AN553" s="36">
        <f ca="1">Tabela3[[#This Row],[Valor Mínimo Venda]]*1.15</f>
        <v>16.738761611520385</v>
      </c>
      <c r="AO553" s="36">
        <f ca="1">Tabela3[[#This Row],[Tabela 1]]*1.08</f>
        <v>18.077862540442016</v>
      </c>
      <c r="AP553" s="36">
        <f ca="1">Tabela3[[#This Row],[Tabela 2]]*1.15</f>
        <v>20.789541921508317</v>
      </c>
    </row>
    <row r="554" spans="1:42">
      <c r="A554" s="9">
        <v>45888</v>
      </c>
      <c r="B554" s="6" t="s">
        <v>143</v>
      </c>
      <c r="C554" s="14">
        <v>7677</v>
      </c>
      <c r="D554" s="6" t="s">
        <v>44</v>
      </c>
      <c r="E554" s="6" t="s">
        <v>47</v>
      </c>
      <c r="F554" s="6">
        <v>26</v>
      </c>
      <c r="G554" s="15">
        <v>9.930555555555555E-2</v>
      </c>
      <c r="H554" s="16">
        <v>0</v>
      </c>
      <c r="I554" s="35">
        <f ca="1">IFERROR(Tabela3[[#This Row],[Custo Total]]/Tabela3[[#This Row],[Aluminio Util]],0)</f>
        <v>56.269859708688394</v>
      </c>
      <c r="J554" s="35">
        <f ca="1">Tabela3[[#This Row],[Custo Total]]/Tabela3[[#This Row],[Realizado]]</f>
        <v>14.967782682511114</v>
      </c>
      <c r="K554" s="37">
        <f>IFERROR(Tabela3[[#This Row],[Qtde Cx Produzida]]/Tabela3[[#This Row],[Tempo]]/24,0)</f>
        <v>10.909090909090908</v>
      </c>
      <c r="L554" s="37">
        <f>Tabela3[[#This Row],[Qtde Cx Produzida]]*Tabela3[[#This Row],[Qdt Peça Placa]]</f>
        <v>26</v>
      </c>
      <c r="M554" s="37">
        <f>Tabela3[[#This Row],[Previsto]]-Tabela3[[#This Row],[Perda Pçs]]</f>
        <v>26</v>
      </c>
      <c r="N554" s="38">
        <f>IFERROR(Tabela3[[#This Row],[Perda Pçs]]/Tabela3[[#This Row],[Previsto]],0)</f>
        <v>0</v>
      </c>
      <c r="O554" s="39">
        <f>IFERROR(IF(Tabela3[[#This Row],[Qtde Cx Produzida]] &lt;&gt; 0, Tabela3[[#This Row],[Tempo]] / Tabela3[[#This Row],[Qtde Cx Produzida]], 0),0)</f>
        <v>3.8194444444444443E-3</v>
      </c>
      <c r="P554" s="57">
        <f>IFERROR(Tabela3[[#This Row],[Perda Pçs]]/Tabela3[[#This Row],[Qdt Peça Placa]],0)</f>
        <v>0</v>
      </c>
      <c r="Q554" s="37">
        <f>IFERROR(Tabela3[[#This Row],[Realizado]]*Tabela3[[#This Row],[Peso Util/Pç]],0)</f>
        <v>6.9160000000000004</v>
      </c>
      <c r="R554" s="37">
        <f>IFERROR(Tabela3[[#This Row],[Peso Total Galho]]*Tabela3[[#This Row],[Qtde Cx Produzida]]*1.055,0)</f>
        <v>32.915999999999997</v>
      </c>
      <c r="S554" s="37">
        <f>(Tabela3[[#This Row],[Aluminio Bruto]]-Tabela3[[#This Row],[Aluminio Util]])*0.9</f>
        <v>23.4</v>
      </c>
      <c r="T554" s="37">
        <f>Tabela3[[#This Row],[Aluminio Bruto]]/OleoKGAluminio</f>
        <v>13.84771864002089</v>
      </c>
      <c r="U554" s="35">
        <f>IFERROR((VLOOKUP(Tabela3[[#This Row],[Moldador]],Tabela1[],5,)+(VLOOKUP(Tabela3[[#This Row],[Ajudante]],Tabela1[],5,))*3.5),0)</f>
        <v>99.95034583333333</v>
      </c>
      <c r="V554" s="35">
        <f>IFERROR(Tabela3[[#This Row],[Custo M.O. / H]]/((Tabela3[[#This Row],[Realizado]]/Tabela3[[#This Row],[Qdt Peça Placa]])/Tabela3[[#This Row],[Tempo]]/24),)</f>
        <v>9.1621150347222233</v>
      </c>
      <c r="W554" s="35">
        <f>Tabela3[[#This Row],[Custo / Cx Moldada]]*Tabela3[[#This Row],[Qtde Cx Produzida]]</f>
        <v>238.2149909027778</v>
      </c>
      <c r="X554" s="35">
        <f ca="1">Tabela3[[#This Row],[Aluminio Util]]*Tabela3[[#This Row],[Custo/Kg]]</f>
        <v>114.59709741245634</v>
      </c>
      <c r="Y554" s="35">
        <f>IFERROR(VLOOKUP(Tabela3[[#This Row],[Data]],Tabela461213[],2,1)*(Tabela3[[#This Row],[Qtde Cx Produzida]]*Tabela3[[#This Row],[Qde macho / CX]]*Tabela3[[#This Row],[Peso Macho]]),)</f>
        <v>0</v>
      </c>
      <c r="Z554" s="35">
        <f>IFERROR(Tabela3[[#This Row],[Qtde Oleo]]*(VLOOKUP(Tabela3[[#This Row],[Data]],CompraOleo[],3,TRUE))*1.05,0)</f>
        <v>36.350261430054836</v>
      </c>
      <c r="AA554" s="47">
        <f ca="1">(Tabela3[[#This Row],[Custo Oleo]]+Tabela3[[#This Row],[Custo Aluminio]]+Tabela3[[#This Row],[Custo M.O. Total]]+Tabela3[[#This Row],[Custo Machos]])</f>
        <v>389.16234974528896</v>
      </c>
      <c r="AB554" s="47">
        <f ca="1">Tabela3[[#This Row],[Custo Total]]*Tabela3[[#This Row],[% Perda]]</f>
        <v>0</v>
      </c>
      <c r="AC554" s="48">
        <f>IFERROR(VLOOKUP(Tabela3[[#This Row],[Produto]],Tabela2[],2,0),0)</f>
        <v>1</v>
      </c>
      <c r="AD554" s="48">
        <f>IFERROR(VLOOKUP(Tabela3[[#This Row],[Produto]],Tabela2[],3,0),0)</f>
        <v>0.26600000000000001</v>
      </c>
      <c r="AE554" s="48">
        <f>IFERROR(VLOOKUP(Tabela3[[#This Row],[Produto]],Tabela2[],4,0),0)</f>
        <v>1.2</v>
      </c>
      <c r="AF554" s="48">
        <f>IFERROR(VLOOKUP(Tabela3[[#This Row],[Produto]],Tabela2[],5,0),0)</f>
        <v>0.84060000000000001</v>
      </c>
      <c r="AG554" s="40">
        <f>IFERROR(VLOOKUP(Tabela3[[#This Row],[Produto]],Tabela2[],6,0),0)</f>
        <v>0</v>
      </c>
      <c r="AH554" s="40">
        <f>IFERROR(VLOOKUP(Tabela3[[#This Row],[Produto]],Tabela2[],7,0),0)</f>
        <v>0</v>
      </c>
      <c r="AI554" s="40">
        <f>IFERROR(VLOOKUP(Tabela3[[#This Row],[Produto]],Tabela2[],8,0),0)</f>
        <v>0</v>
      </c>
      <c r="AJ554" s="35">
        <f ca="1">IFERROR(VLOOKUP(Tabela3[[#This Row],[Produto]],Tabela2[],13,0),0)</f>
        <v>16.569852141766386</v>
      </c>
      <c r="AK554" s="40" t="str">
        <f>IFERROR(VLOOKUP(Tabela3[[#This Row],[Produto]],Tabela2[],14,0),0)</f>
        <v>Danilo</v>
      </c>
      <c r="AL554" s="40">
        <f>IFERROR(VLOOKUP(Tabela3[[#This Row],[Produto]],Tabela2[],15,0),0)</f>
        <v>0</v>
      </c>
      <c r="AM554" s="36">
        <f ca="1">(Tabela3[[#This Row],[Custo Usinagem]]+Tabela3[[#This Row],[Custo / Pç]])*1.2</f>
        <v>17.961339219013336</v>
      </c>
      <c r="AN554" s="36">
        <f ca="1">Tabela3[[#This Row],[Valor Mínimo Venda]]*1.15</f>
        <v>20.655540101865334</v>
      </c>
      <c r="AO554" s="36">
        <f ca="1">Tabela3[[#This Row],[Tabela 1]]*1.08</f>
        <v>22.307983310014563</v>
      </c>
      <c r="AP554" s="36">
        <f ca="1">Tabela3[[#This Row],[Tabela 2]]*1.15</f>
        <v>25.654180806516745</v>
      </c>
    </row>
    <row r="555" spans="1:42">
      <c r="A555" s="9">
        <v>45889</v>
      </c>
      <c r="B555" s="6" t="s">
        <v>229</v>
      </c>
      <c r="C555" s="14">
        <v>7672</v>
      </c>
      <c r="D555" s="6" t="s">
        <v>46</v>
      </c>
      <c r="E555" s="6" t="s">
        <v>326</v>
      </c>
      <c r="F555" s="6">
        <v>4</v>
      </c>
      <c r="G555" s="15">
        <v>1.8055555555555554E-2</v>
      </c>
      <c r="H555" s="16">
        <v>0</v>
      </c>
      <c r="I555" s="35">
        <f ca="1">IFERROR(Tabela3[[#This Row],[Custo Total]]/Tabela3[[#This Row],[Aluminio Util]],0)</f>
        <v>21.009063375275531</v>
      </c>
      <c r="J555" s="35">
        <f ca="1">Tabela3[[#This Row],[Custo Total]]/Tabela3[[#This Row],[Realizado]]</f>
        <v>58.573268690268172</v>
      </c>
      <c r="K555" s="37">
        <f>IFERROR(Tabela3[[#This Row],[Qtde Cx Produzida]]/Tabela3[[#This Row],[Tempo]]/24,0)</f>
        <v>9.2307692307692317</v>
      </c>
      <c r="L555" s="37">
        <f>Tabela3[[#This Row],[Qtde Cx Produzida]]*Tabela3[[#This Row],[Qdt Peça Placa]]</f>
        <v>4</v>
      </c>
      <c r="M555" s="37">
        <f>Tabela3[[#This Row],[Previsto]]-Tabela3[[#This Row],[Perda Pçs]]</f>
        <v>4</v>
      </c>
      <c r="N555" s="38">
        <f>IFERROR(Tabela3[[#This Row],[Perda Pçs]]/Tabela3[[#This Row],[Previsto]],0)</f>
        <v>0</v>
      </c>
      <c r="O555" s="39">
        <f>IFERROR(IF(Tabela3[[#This Row],[Qtde Cx Produzida]] &lt;&gt; 0, Tabela3[[#This Row],[Tempo]] / Tabela3[[#This Row],[Qtde Cx Produzida]], 0),0)</f>
        <v>4.5138888888888885E-3</v>
      </c>
      <c r="P555" s="57">
        <f>IFERROR(Tabela3[[#This Row],[Perda Pçs]]/Tabela3[[#This Row],[Qdt Peça Placa]],0)</f>
        <v>0</v>
      </c>
      <c r="Q555" s="37">
        <f>IFERROR(Tabela3[[#This Row],[Realizado]]*Tabela3[[#This Row],[Peso Util/Pç]],0)</f>
        <v>11.151999999999999</v>
      </c>
      <c r="R555" s="37">
        <f>IFERROR(Tabela3[[#This Row],[Peso Total Galho]]*Tabela3[[#This Row],[Qtde Cx Produzida]]*1.055,0)</f>
        <v>15.402999999999999</v>
      </c>
      <c r="S555" s="37">
        <f>(Tabela3[[#This Row],[Aluminio Bruto]]-Tabela3[[#This Row],[Aluminio Util]])*0.9</f>
        <v>3.8258999999999994</v>
      </c>
      <c r="T555" s="37">
        <f>Tabela3[[#This Row],[Aluminio Bruto]]/OleoKGAluminio</f>
        <v>6.4800221841123395</v>
      </c>
      <c r="U555" s="35">
        <f>IFERROR((VLOOKUP(Tabela3[[#This Row],[Moldador]],Tabela1[],5,)+(VLOOKUP(Tabela3[[#This Row],[Ajudante]],Tabela1[],5,))*3.5),0)</f>
        <v>99.95034583333333</v>
      </c>
      <c r="V555" s="35">
        <f>IFERROR(Tabela3[[#This Row],[Custo M.O. / H]]/((Tabela3[[#This Row],[Realizado]]/Tabela3[[#This Row],[Qdt Peça Placa]])/Tabela3[[#This Row],[Tempo]]/24),)</f>
        <v>10.827954131944443</v>
      </c>
      <c r="W555" s="35">
        <f>Tabela3[[#This Row],[Custo / Cx Moldada]]*Tabela3[[#This Row],[Qtde Cx Produzida]]</f>
        <v>43.311816527777772</v>
      </c>
      <c r="X555" s="35">
        <f ca="1">Tabela3[[#This Row],[Aluminio Util]]*Tabela3[[#This Row],[Custo/Kg]]</f>
        <v>173.97120000000001</v>
      </c>
      <c r="Y555" s="35">
        <f>IFERROR(VLOOKUP(Tabela3[[#This Row],[Data]],Tabela461213[],2,1)*(Tabela3[[#This Row],[Qtde Cx Produzida]]*Tabela3[[#This Row],[Qde macho / CX]]*Tabela3[[#This Row],[Peso Macho]]),)</f>
        <v>0</v>
      </c>
      <c r="Z555" s="35">
        <f>IFERROR(Tabela3[[#This Row],[Qtde Oleo]]*(VLOOKUP(Tabela3[[#This Row],[Data]],CompraOleo[],3,TRUE))*1.05,0)</f>
        <v>17.010058233294895</v>
      </c>
      <c r="AA555" s="47">
        <f ca="1">(Tabela3[[#This Row],[Custo Oleo]]+Tabela3[[#This Row],[Custo Aluminio]]+Tabela3[[#This Row],[Custo M.O. Total]]+Tabela3[[#This Row],[Custo Machos]])</f>
        <v>234.29307476107269</v>
      </c>
      <c r="AB555" s="47">
        <f ca="1">Tabela3[[#This Row],[Custo Total]]*Tabela3[[#This Row],[% Perda]]</f>
        <v>0</v>
      </c>
      <c r="AC555" s="48">
        <f>IFERROR(VLOOKUP(Tabela3[[#This Row],[Produto]],Tabela2[],2,0),0)</f>
        <v>1</v>
      </c>
      <c r="AD555" s="48">
        <f>IFERROR(VLOOKUP(Tabela3[[#This Row],[Produto]],Tabela2[],3,0),0)</f>
        <v>2.7879999999999998</v>
      </c>
      <c r="AE555" s="48">
        <f>IFERROR(VLOOKUP(Tabela3[[#This Row],[Produto]],Tabela2[],4,0),0)</f>
        <v>3.65</v>
      </c>
      <c r="AF555" s="48">
        <f>IFERROR(VLOOKUP(Tabela3[[#This Row],[Produto]],Tabela2[],5,0),0)</f>
        <v>0.77580000000000016</v>
      </c>
      <c r="AG555" s="40">
        <f>IFERROR(VLOOKUP(Tabela3[[#This Row],[Produto]],Tabela2[],6,0),0)</f>
        <v>0</v>
      </c>
      <c r="AH555" s="40">
        <f>IFERROR(VLOOKUP(Tabela3[[#This Row],[Produto]],Tabela2[],7,0),0)</f>
        <v>0</v>
      </c>
      <c r="AI555" s="40">
        <f>IFERROR(VLOOKUP(Tabela3[[#This Row],[Produto]],Tabela2[],8,0),0)</f>
        <v>0</v>
      </c>
      <c r="AJ555" s="35">
        <f ca="1">IFERROR(VLOOKUP(Tabela3[[#This Row],[Produto]],Tabela2[],13,0),0)</f>
        <v>15.600000000000001</v>
      </c>
      <c r="AK555" s="40" t="str">
        <f>IFERROR(VLOOKUP(Tabela3[[#This Row],[Produto]],Tabela2[],14,0),0)</f>
        <v>Jumil</v>
      </c>
      <c r="AL555" s="40">
        <f>IFERROR(VLOOKUP(Tabela3[[#This Row],[Produto]],Tabela2[],15,0),0)</f>
        <v>35</v>
      </c>
      <c r="AM555" s="36">
        <f ca="1">(Tabela3[[#This Row],[Custo Usinagem]]+Tabela3[[#This Row],[Custo / Pç]])*1.2</f>
        <v>112.28792242832181</v>
      </c>
      <c r="AN555" s="36">
        <f ca="1">Tabela3[[#This Row],[Valor Mínimo Venda]]*1.15</f>
        <v>129.13111079257007</v>
      </c>
      <c r="AO555" s="36">
        <f ca="1">Tabela3[[#This Row],[Tabela 1]]*1.08</f>
        <v>139.46159965597568</v>
      </c>
      <c r="AP555" s="36">
        <f ca="1">Tabela3[[#This Row],[Tabela 2]]*1.15</f>
        <v>160.38083960437203</v>
      </c>
    </row>
    <row r="556" spans="1:42">
      <c r="A556" s="9">
        <v>45889</v>
      </c>
      <c r="B556" s="6" t="s">
        <v>87</v>
      </c>
      <c r="C556" s="14">
        <v>7675</v>
      </c>
      <c r="D556" s="6" t="s">
        <v>46</v>
      </c>
      <c r="E556" s="6" t="s">
        <v>326</v>
      </c>
      <c r="F556" s="6">
        <v>10</v>
      </c>
      <c r="G556" s="15">
        <v>5.4166666666666669E-2</v>
      </c>
      <c r="H556" s="16">
        <v>0</v>
      </c>
      <c r="I556" s="35">
        <f ca="1">IFERROR(Tabela3[[#This Row],[Custo Total]]/Tabela3[[#This Row],[Aluminio Util]],0)</f>
        <v>23.305973580072781</v>
      </c>
      <c r="J556" s="35">
        <f ca="1">Tabela3[[#This Row],[Custo Total]]/Tabela3[[#This Row],[Realizado]]</f>
        <v>26.801869617083696</v>
      </c>
      <c r="K556" s="37">
        <f>IFERROR(Tabela3[[#This Row],[Qtde Cx Produzida]]/Tabela3[[#This Row],[Tempo]]/24,0)</f>
        <v>7.6923076923076925</v>
      </c>
      <c r="L556" s="37">
        <f>Tabela3[[#This Row],[Qtde Cx Produzida]]*Tabela3[[#This Row],[Qdt Peça Placa]]</f>
        <v>20</v>
      </c>
      <c r="M556" s="37">
        <f>Tabela3[[#This Row],[Previsto]]-Tabela3[[#This Row],[Perda Pçs]]</f>
        <v>20</v>
      </c>
      <c r="N556" s="38">
        <f>IFERROR(Tabela3[[#This Row],[Perda Pçs]]/Tabela3[[#This Row],[Previsto]],0)</f>
        <v>0</v>
      </c>
      <c r="O556" s="39">
        <f>IFERROR(IF(Tabela3[[#This Row],[Qtde Cx Produzida]] &lt;&gt; 0, Tabela3[[#This Row],[Tempo]] / Tabela3[[#This Row],[Qtde Cx Produzida]], 0),0)</f>
        <v>5.4166666666666669E-3</v>
      </c>
      <c r="P556" s="57">
        <f>IFERROR(Tabela3[[#This Row],[Perda Pçs]]/Tabela3[[#This Row],[Qdt Peça Placa]],0)</f>
        <v>0</v>
      </c>
      <c r="Q556" s="37">
        <f>IFERROR(Tabela3[[#This Row],[Realizado]]*Tabela3[[#This Row],[Peso Util/Pç]],0)</f>
        <v>23</v>
      </c>
      <c r="R556" s="37">
        <f>IFERROR(Tabela3[[#This Row],[Peso Total Galho]]*Tabela3[[#This Row],[Qtde Cx Produzida]]*1.055,0)</f>
        <v>42.832999999999991</v>
      </c>
      <c r="S556" s="37">
        <f>(Tabela3[[#This Row],[Aluminio Bruto]]-Tabela3[[#This Row],[Aluminio Util]])*0.9</f>
        <v>17.849699999999991</v>
      </c>
      <c r="T556" s="37">
        <f>Tabela3[[#This Row],[Aluminio Bruto]]/OleoKGAluminio</f>
        <v>18.019787717463078</v>
      </c>
      <c r="U556" s="35">
        <f>IFERROR((VLOOKUP(Tabela3[[#This Row],[Moldador]],Tabela1[],5,)+(VLOOKUP(Tabela3[[#This Row],[Ajudante]],Tabela1[],5,))*3.5),0)</f>
        <v>99.95034583333333</v>
      </c>
      <c r="V556" s="35">
        <f>IFERROR(Tabela3[[#This Row],[Custo M.O. / H]]/((Tabela3[[#This Row],[Realizado]]/Tabela3[[#This Row],[Qdt Peça Placa]])/Tabela3[[#This Row],[Tempo]]/24),)</f>
        <v>12.993544958333333</v>
      </c>
      <c r="W556" s="35">
        <f>Tabela3[[#This Row],[Custo / Cx Moldada]]*Tabela3[[#This Row],[Qtde Cx Produzida]]</f>
        <v>129.93544958333334</v>
      </c>
      <c r="X556" s="35">
        <f ca="1">Tabela3[[#This Row],[Aluminio Util]]*Tabela3[[#This Row],[Custo/Kg]]</f>
        <v>358.8</v>
      </c>
      <c r="Y556" s="35">
        <f>IFERROR(VLOOKUP(Tabela3[[#This Row],[Data]],Tabela461213[],2,1)*(Tabela3[[#This Row],[Qtde Cx Produzida]]*Tabela3[[#This Row],[Qde macho / CX]]*Tabela3[[#This Row],[Peso Macho]]),)</f>
        <v>0</v>
      </c>
      <c r="Z556" s="35">
        <f>IFERROR(Tabela3[[#This Row],[Qtde Oleo]]*(VLOOKUP(Tabela3[[#This Row],[Data]],CompraOleo[],3,TRUE))*1.05,0)</f>
        <v>47.30194275834058</v>
      </c>
      <c r="AA556" s="47">
        <f ca="1">(Tabela3[[#This Row],[Custo Oleo]]+Tabela3[[#This Row],[Custo Aluminio]]+Tabela3[[#This Row],[Custo M.O. Total]]+Tabela3[[#This Row],[Custo Machos]])</f>
        <v>536.03739234167392</v>
      </c>
      <c r="AB556" s="47">
        <f ca="1">Tabela3[[#This Row],[Custo Total]]*Tabela3[[#This Row],[% Perda]]</f>
        <v>0</v>
      </c>
      <c r="AC556" s="48">
        <f>IFERROR(VLOOKUP(Tabela3[[#This Row],[Produto]],Tabela2[],2,0),0)</f>
        <v>2</v>
      </c>
      <c r="AD556" s="48">
        <f>IFERROR(VLOOKUP(Tabela3[[#This Row],[Produto]],Tabela2[],3,0),0)</f>
        <v>1.1499999999999999</v>
      </c>
      <c r="AE556" s="48">
        <f>IFERROR(VLOOKUP(Tabela3[[#This Row],[Produto]],Tabela2[],4,0),0)</f>
        <v>4.0599999999999996</v>
      </c>
      <c r="AF556" s="48">
        <f>IFERROR(VLOOKUP(Tabela3[[#This Row],[Produto]],Tabela2[],5,0),0)</f>
        <v>1.5839999999999999</v>
      </c>
      <c r="AG556" s="40">
        <f>IFERROR(VLOOKUP(Tabela3[[#This Row],[Produto]],Tabela2[],6,0),0)</f>
        <v>0</v>
      </c>
      <c r="AH556" s="40">
        <f>IFERROR(VLOOKUP(Tabela3[[#This Row],[Produto]],Tabela2[],7,0),0)</f>
        <v>0</v>
      </c>
      <c r="AI556" s="40">
        <f>IFERROR(VLOOKUP(Tabela3[[#This Row],[Produto]],Tabela2[],8,0),0)</f>
        <v>0</v>
      </c>
      <c r="AJ556" s="35">
        <f ca="1">IFERROR(VLOOKUP(Tabela3[[#This Row],[Produto]],Tabela2[],13,0),0)</f>
        <v>15.600000000000001</v>
      </c>
      <c r="AK556" s="40" t="str">
        <f>IFERROR(VLOOKUP(Tabela3[[#This Row],[Produto]],Tabela2[],14,0),0)</f>
        <v>Jumil</v>
      </c>
      <c r="AL556" s="40">
        <f>IFERROR(VLOOKUP(Tabela3[[#This Row],[Produto]],Tabela2[],15,0),0)</f>
        <v>8</v>
      </c>
      <c r="AM556" s="36">
        <f ca="1">(Tabela3[[#This Row],[Custo Usinagem]]+Tabela3[[#This Row],[Custo / Pç]])*1.2</f>
        <v>41.762243540500435</v>
      </c>
      <c r="AN556" s="36">
        <f ca="1">Tabela3[[#This Row],[Valor Mínimo Venda]]*1.15</f>
        <v>48.026580071575495</v>
      </c>
      <c r="AO556" s="36">
        <f ca="1">Tabela3[[#This Row],[Tabela 1]]*1.08</f>
        <v>51.868706477301536</v>
      </c>
      <c r="AP556" s="36">
        <f ca="1">Tabela3[[#This Row],[Tabela 2]]*1.15</f>
        <v>59.649012448896762</v>
      </c>
    </row>
    <row r="557" spans="1:42">
      <c r="A557" s="9">
        <v>45889</v>
      </c>
      <c r="B557" s="6" t="s">
        <v>223</v>
      </c>
      <c r="C557" s="14">
        <v>7557</v>
      </c>
      <c r="D557" s="6" t="s">
        <v>46</v>
      </c>
      <c r="E557" s="6" t="s">
        <v>326</v>
      </c>
      <c r="F557" s="6">
        <v>34</v>
      </c>
      <c r="G557" s="15">
        <v>0.18055555555555555</v>
      </c>
      <c r="H557" s="16">
        <v>0</v>
      </c>
      <c r="I557" s="35">
        <f ca="1">IFERROR(Tabela3[[#This Row],[Custo Total]]/Tabela3[[#This Row],[Aluminio Util]],0)</f>
        <v>22.107981372161046</v>
      </c>
      <c r="J557" s="35">
        <f ca="1">Tabela3[[#This Row],[Custo Total]]/Tabela3[[#This Row],[Realizado]]</f>
        <v>2.2992300627047486</v>
      </c>
      <c r="K557" s="37">
        <f>IFERROR(Tabela3[[#This Row],[Qtde Cx Produzida]]/Tabela3[[#This Row],[Tempo]]/24,0)</f>
        <v>7.8461538461538467</v>
      </c>
      <c r="L557" s="37">
        <f>Tabela3[[#This Row],[Qtde Cx Produzida]]*Tabela3[[#This Row],[Qdt Peça Placa]]</f>
        <v>1122</v>
      </c>
      <c r="M557" s="37">
        <f>Tabela3[[#This Row],[Previsto]]-Tabela3[[#This Row],[Perda Pçs]]</f>
        <v>1122</v>
      </c>
      <c r="N557" s="38">
        <f>IFERROR(Tabela3[[#This Row],[Perda Pçs]]/Tabela3[[#This Row],[Previsto]],0)</f>
        <v>0</v>
      </c>
      <c r="O557" s="39">
        <f>IFERROR(IF(Tabela3[[#This Row],[Qtde Cx Produzida]] &lt;&gt; 0, Tabela3[[#This Row],[Tempo]] / Tabela3[[#This Row],[Qtde Cx Produzida]], 0),0)</f>
        <v>5.3104575163398695E-3</v>
      </c>
      <c r="P557" s="57">
        <f>IFERROR(Tabela3[[#This Row],[Perda Pçs]]/Tabela3[[#This Row],[Qdt Peça Placa]],0)</f>
        <v>0</v>
      </c>
      <c r="Q557" s="37">
        <f>IFERROR(Tabela3[[#This Row],[Realizado]]*Tabela3[[#This Row],[Peso Util/Pç]],0)</f>
        <v>116.68799999999999</v>
      </c>
      <c r="R557" s="37">
        <f>IFERROR(Tabela3[[#This Row],[Peso Total Galho]]*Tabela3[[#This Row],[Qtde Cx Produzida]]*1.055,0)</f>
        <v>192.98059999999998</v>
      </c>
      <c r="S557" s="37">
        <f>(Tabela3[[#This Row],[Aluminio Bruto]]-Tabela3[[#This Row],[Aluminio Util]])*0.9</f>
        <v>68.663339999999991</v>
      </c>
      <c r="T557" s="37">
        <f>Tabela3[[#This Row],[Aluminio Bruto]]/OleoKGAluminio</f>
        <v>81.186688898481449</v>
      </c>
      <c r="U557" s="35">
        <f>IFERROR((VLOOKUP(Tabela3[[#This Row],[Moldador]],Tabela1[],5,)+(VLOOKUP(Tabela3[[#This Row],[Ajudante]],Tabela1[],5,))*3.5),0)</f>
        <v>99.95034583333333</v>
      </c>
      <c r="V557" s="35">
        <f>IFERROR(Tabela3[[#This Row],[Custo M.O. / H]]/((Tabela3[[#This Row],[Realizado]]/Tabela3[[#This Row],[Qdt Peça Placa]])/Tabela3[[#This Row],[Tempo]]/24),)</f>
        <v>12.738769566993463</v>
      </c>
      <c r="W557" s="35">
        <f>Tabela3[[#This Row],[Custo / Cx Moldada]]*Tabela3[[#This Row],[Qtde Cx Produzida]]</f>
        <v>433.11816527777773</v>
      </c>
      <c r="X557" s="35">
        <f ca="1">Tabela3[[#This Row],[Aluminio Util]]*Tabela3[[#This Row],[Custo/Kg]]</f>
        <v>1933.502906718436</v>
      </c>
      <c r="Y557" s="35">
        <f>IFERROR(VLOOKUP(Tabela3[[#This Row],[Data]],Tabela461213[],2,1)*(Tabela3[[#This Row],[Qtde Cx Produzida]]*Tabela3[[#This Row],[Qde macho / CX]]*Tabela3[[#This Row],[Peso Macho]]),)</f>
        <v>0</v>
      </c>
      <c r="Z557" s="35">
        <f>IFERROR(Tabela3[[#This Row],[Qtde Oleo]]*(VLOOKUP(Tabela3[[#This Row],[Data]],CompraOleo[],3,TRUE))*1.05,0)</f>
        <v>213.11505835851383</v>
      </c>
      <c r="AA557" s="47">
        <f ca="1">(Tabela3[[#This Row],[Custo Oleo]]+Tabela3[[#This Row],[Custo Aluminio]]+Tabela3[[#This Row],[Custo M.O. Total]]+Tabela3[[#This Row],[Custo Machos]])</f>
        <v>2579.7361303547277</v>
      </c>
      <c r="AB557" s="47">
        <f ca="1">Tabela3[[#This Row],[Custo Total]]*Tabela3[[#This Row],[% Perda]]</f>
        <v>0</v>
      </c>
      <c r="AC557" s="48">
        <f>IFERROR(VLOOKUP(Tabela3[[#This Row],[Produto]],Tabela2[],2,0),0)</f>
        <v>33</v>
      </c>
      <c r="AD557" s="48">
        <f>IFERROR(VLOOKUP(Tabela3[[#This Row],[Produto]],Tabela2[],3,0),0)</f>
        <v>0.104</v>
      </c>
      <c r="AE557" s="48">
        <f>IFERROR(VLOOKUP(Tabela3[[#This Row],[Produto]],Tabela2[],4,0),0)</f>
        <v>5.38</v>
      </c>
      <c r="AF557" s="48">
        <f>IFERROR(VLOOKUP(Tabela3[[#This Row],[Produto]],Tabela2[],5,0),0)</f>
        <v>1.7532000000000001</v>
      </c>
      <c r="AG557" s="40">
        <f>IFERROR(VLOOKUP(Tabela3[[#This Row],[Produto]],Tabela2[],6,0),0)</f>
        <v>0</v>
      </c>
      <c r="AH557" s="40">
        <f>IFERROR(VLOOKUP(Tabela3[[#This Row],[Produto]],Tabela2[],7,0),0)</f>
        <v>0</v>
      </c>
      <c r="AI557" s="40">
        <f>IFERROR(VLOOKUP(Tabela3[[#This Row],[Produto]],Tabela2[],8,0),0)</f>
        <v>0</v>
      </c>
      <c r="AJ557" s="35">
        <f ca="1">IFERROR(VLOOKUP(Tabela3[[#This Row],[Produto]],Tabela2[],13,0),0)</f>
        <v>16.569852141766386</v>
      </c>
      <c r="AK557" s="40" t="str">
        <f>IFERROR(VLOOKUP(Tabela3[[#This Row],[Produto]],Tabela2[],14,0),0)</f>
        <v>Marcelo</v>
      </c>
      <c r="AL557" s="40">
        <f>IFERROR(VLOOKUP(Tabela3[[#This Row],[Produto]],Tabela2[],15,0),0)</f>
        <v>0</v>
      </c>
      <c r="AM557" s="36">
        <f ca="1">(Tabela3[[#This Row],[Custo Usinagem]]+Tabela3[[#This Row],[Custo / Pç]])*1.2</f>
        <v>2.7590760752456984</v>
      </c>
      <c r="AN557" s="36">
        <f ca="1">Tabela3[[#This Row],[Valor Mínimo Venda]]*1.15</f>
        <v>3.172937486532553</v>
      </c>
      <c r="AO557" s="36">
        <f ca="1">Tabela3[[#This Row],[Tabela 1]]*1.08</f>
        <v>3.4267724854551576</v>
      </c>
      <c r="AP557" s="36">
        <f ca="1">Tabela3[[#This Row],[Tabela 2]]*1.15</f>
        <v>3.9407883582734309</v>
      </c>
    </row>
    <row r="558" spans="1:42">
      <c r="A558" s="9">
        <v>45889</v>
      </c>
      <c r="B558" s="6" t="s">
        <v>143</v>
      </c>
      <c r="C558" s="14">
        <v>7677</v>
      </c>
      <c r="D558" s="6" t="s">
        <v>44</v>
      </c>
      <c r="E558" s="6" t="s">
        <v>47</v>
      </c>
      <c r="F558" s="6">
        <v>9</v>
      </c>
      <c r="G558" s="15">
        <v>3.6111111111111108E-2</v>
      </c>
      <c r="H558" s="16">
        <v>0</v>
      </c>
      <c r="I558" s="35">
        <f ca="1">IFERROR(Tabela3[[#This Row],[Custo Total]]/Tabela3[[#This Row],[Aluminio Util]],0)</f>
        <v>58.009457763431726</v>
      </c>
      <c r="J558" s="35">
        <f ca="1">Tabela3[[#This Row],[Custo Total]]/Tabela3[[#This Row],[Realizado]]</f>
        <v>15.43051576507284</v>
      </c>
      <c r="K558" s="37">
        <f>IFERROR(Tabela3[[#This Row],[Qtde Cx Produzida]]/Tabela3[[#This Row],[Tempo]]/24,0)</f>
        <v>10.384615384615385</v>
      </c>
      <c r="L558" s="37">
        <f>Tabela3[[#This Row],[Qtde Cx Produzida]]*Tabela3[[#This Row],[Qdt Peça Placa]]</f>
        <v>9</v>
      </c>
      <c r="M558" s="37">
        <f>Tabela3[[#This Row],[Previsto]]-Tabela3[[#This Row],[Perda Pçs]]</f>
        <v>9</v>
      </c>
      <c r="N558" s="38">
        <f>IFERROR(Tabela3[[#This Row],[Perda Pçs]]/Tabela3[[#This Row],[Previsto]],0)</f>
        <v>0</v>
      </c>
      <c r="O558" s="39">
        <f>IFERROR(IF(Tabela3[[#This Row],[Qtde Cx Produzida]] &lt;&gt; 0, Tabela3[[#This Row],[Tempo]] / Tabela3[[#This Row],[Qtde Cx Produzida]], 0),0)</f>
        <v>4.0123456790123451E-3</v>
      </c>
      <c r="P558" s="57">
        <f>IFERROR(Tabela3[[#This Row],[Perda Pçs]]/Tabela3[[#This Row],[Qdt Peça Placa]],0)</f>
        <v>0</v>
      </c>
      <c r="Q558" s="37">
        <f>IFERROR(Tabela3[[#This Row],[Realizado]]*Tabela3[[#This Row],[Peso Util/Pç]],0)</f>
        <v>2.3940000000000001</v>
      </c>
      <c r="R558" s="37">
        <f>IFERROR(Tabela3[[#This Row],[Peso Total Galho]]*Tabela3[[#This Row],[Qtde Cx Produzida]]*1.055,0)</f>
        <v>11.393999999999998</v>
      </c>
      <c r="S558" s="37">
        <f>(Tabela3[[#This Row],[Aluminio Bruto]]-Tabela3[[#This Row],[Aluminio Util]])*0.9</f>
        <v>8.0999999999999979</v>
      </c>
      <c r="T558" s="37">
        <f>Tabela3[[#This Row],[Aluminio Bruto]]/OleoKGAluminio</f>
        <v>4.7934410676995389</v>
      </c>
      <c r="U558" s="35">
        <f>IFERROR((VLOOKUP(Tabela3[[#This Row],[Moldador]],Tabela1[],5,)+(VLOOKUP(Tabela3[[#This Row],[Ajudante]],Tabela1[],5,))*3.5),0)</f>
        <v>99.95034583333333</v>
      </c>
      <c r="V558" s="35">
        <f>IFERROR(Tabela3[[#This Row],[Custo M.O. / H]]/((Tabela3[[#This Row],[Realizado]]/Tabela3[[#This Row],[Qdt Peça Placa]])/Tabela3[[#This Row],[Tempo]]/24),)</f>
        <v>9.6248481172839497</v>
      </c>
      <c r="W558" s="35">
        <f>Tabela3[[#This Row],[Custo / Cx Moldada]]*Tabela3[[#This Row],[Qtde Cx Produzida]]</f>
        <v>86.623633055555544</v>
      </c>
      <c r="X558" s="35">
        <f ca="1">Tabela3[[#This Row],[Aluminio Util]]*Tabela3[[#This Row],[Custo/Kg]]</f>
        <v>39.668226027388734</v>
      </c>
      <c r="Y558" s="35">
        <f>IFERROR(VLOOKUP(Tabela3[[#This Row],[Data]],Tabela461213[],2,1)*(Tabela3[[#This Row],[Qtde Cx Produzida]]*Tabela3[[#This Row],[Qde macho / CX]]*Tabela3[[#This Row],[Peso Macho]]),)</f>
        <v>0</v>
      </c>
      <c r="Z558" s="35">
        <f>IFERROR(Tabela3[[#This Row],[Qtde Oleo]]*(VLOOKUP(Tabela3[[#This Row],[Data]],CompraOleo[],3,TRUE))*1.05,0)</f>
        <v>12.582782802711291</v>
      </c>
      <c r="AA558" s="47">
        <f ca="1">(Tabela3[[#This Row],[Custo Oleo]]+Tabela3[[#This Row],[Custo Aluminio]]+Tabela3[[#This Row],[Custo M.O. Total]]+Tabela3[[#This Row],[Custo Machos]])</f>
        <v>138.87464188565556</v>
      </c>
      <c r="AB558" s="47">
        <f ca="1">Tabela3[[#This Row],[Custo Total]]*Tabela3[[#This Row],[% Perda]]</f>
        <v>0</v>
      </c>
      <c r="AC558" s="48">
        <f>IFERROR(VLOOKUP(Tabela3[[#This Row],[Produto]],Tabela2[],2,0),0)</f>
        <v>1</v>
      </c>
      <c r="AD558" s="48">
        <f>IFERROR(VLOOKUP(Tabela3[[#This Row],[Produto]],Tabela2[],3,0),0)</f>
        <v>0.26600000000000001</v>
      </c>
      <c r="AE558" s="48">
        <f>IFERROR(VLOOKUP(Tabela3[[#This Row],[Produto]],Tabela2[],4,0),0)</f>
        <v>1.2</v>
      </c>
      <c r="AF558" s="48">
        <f>IFERROR(VLOOKUP(Tabela3[[#This Row],[Produto]],Tabela2[],5,0),0)</f>
        <v>0.84060000000000001</v>
      </c>
      <c r="AG558" s="40">
        <f>IFERROR(VLOOKUP(Tabela3[[#This Row],[Produto]],Tabela2[],6,0),0)</f>
        <v>0</v>
      </c>
      <c r="AH558" s="40">
        <f>IFERROR(VLOOKUP(Tabela3[[#This Row],[Produto]],Tabela2[],7,0),0)</f>
        <v>0</v>
      </c>
      <c r="AI558" s="40">
        <f>IFERROR(VLOOKUP(Tabela3[[#This Row],[Produto]],Tabela2[],8,0),0)</f>
        <v>0</v>
      </c>
      <c r="AJ558" s="35">
        <f ca="1">IFERROR(VLOOKUP(Tabela3[[#This Row],[Produto]],Tabela2[],13,0),0)</f>
        <v>16.569852141766386</v>
      </c>
      <c r="AK558" s="40" t="str">
        <f>IFERROR(VLOOKUP(Tabela3[[#This Row],[Produto]],Tabela2[],14,0),0)</f>
        <v>Danilo</v>
      </c>
      <c r="AL558" s="40">
        <f>IFERROR(VLOOKUP(Tabela3[[#This Row],[Produto]],Tabela2[],15,0),0)</f>
        <v>0</v>
      </c>
      <c r="AM558" s="36">
        <f ca="1">(Tabela3[[#This Row],[Custo Usinagem]]+Tabela3[[#This Row],[Custo / Pç]])*1.2</f>
        <v>18.516618918087406</v>
      </c>
      <c r="AN558" s="36">
        <f ca="1">Tabela3[[#This Row],[Valor Mínimo Venda]]*1.15</f>
        <v>21.294111755800515</v>
      </c>
      <c r="AO558" s="36">
        <f ca="1">Tabela3[[#This Row],[Tabela 1]]*1.08</f>
        <v>22.997640696264558</v>
      </c>
      <c r="AP558" s="36">
        <f ca="1">Tabela3[[#This Row],[Tabela 2]]*1.15</f>
        <v>26.447286800704241</v>
      </c>
    </row>
    <row r="559" spans="1:42">
      <c r="A559" s="9">
        <v>45889</v>
      </c>
      <c r="B559" s="6" t="s">
        <v>273</v>
      </c>
      <c r="C559" s="14">
        <v>7673</v>
      </c>
      <c r="D559" s="6" t="s">
        <v>44</v>
      </c>
      <c r="E559" s="6" t="s">
        <v>47</v>
      </c>
      <c r="F559" s="6">
        <v>1</v>
      </c>
      <c r="G559" s="15">
        <v>3.6805555555555557E-2</v>
      </c>
      <c r="H559" s="16">
        <v>0</v>
      </c>
      <c r="I559" s="35">
        <f ca="1">IFERROR(Tabela3[[#This Row],[Custo Total]]/Tabela3[[#This Row],[Aluminio Util]],0)</f>
        <v>22.698148922739861</v>
      </c>
      <c r="J559" s="35">
        <f ca="1">Tabela3[[#This Row],[Custo Total]]/Tabela3[[#This Row],[Realizado]]</f>
        <v>408.56668060931747</v>
      </c>
      <c r="K559" s="37">
        <f>IFERROR(Tabela3[[#This Row],[Qtde Cx Produzida]]/Tabela3[[#This Row],[Tempo]]/24,0)</f>
        <v>1.1320754716981132</v>
      </c>
      <c r="L559" s="37">
        <f>Tabela3[[#This Row],[Qtde Cx Produzida]]*Tabela3[[#This Row],[Qdt Peça Placa]]</f>
        <v>1</v>
      </c>
      <c r="M559" s="37">
        <f>Tabela3[[#This Row],[Previsto]]-Tabela3[[#This Row],[Perda Pçs]]</f>
        <v>1</v>
      </c>
      <c r="N559" s="38">
        <f>IFERROR(Tabela3[[#This Row],[Perda Pçs]]/Tabela3[[#This Row],[Previsto]],0)</f>
        <v>0</v>
      </c>
      <c r="O559" s="39">
        <f>IFERROR(IF(Tabela3[[#This Row],[Qtde Cx Produzida]] &lt;&gt; 0, Tabela3[[#This Row],[Tempo]] / Tabela3[[#This Row],[Qtde Cx Produzida]], 0),0)</f>
        <v>3.6805555555555557E-2</v>
      </c>
      <c r="P559" s="57">
        <f>IFERROR(Tabela3[[#This Row],[Perda Pçs]]/Tabela3[[#This Row],[Qdt Peça Placa]],0)</f>
        <v>0</v>
      </c>
      <c r="Q559" s="37">
        <f>IFERROR(Tabela3[[#This Row],[Realizado]]*Tabela3[[#This Row],[Peso Util/Pç]],0)</f>
        <v>18</v>
      </c>
      <c r="R559" s="37">
        <f>IFERROR(Tabela3[[#This Row],[Peso Total Galho]]*Tabela3[[#This Row],[Qtde Cx Produzida]]*1.055,0)</f>
        <v>19.939499999999999</v>
      </c>
      <c r="S559" s="37">
        <f>(Tabela3[[#This Row],[Aluminio Bruto]]-Tabela3[[#This Row],[Aluminio Util]])*0.9</f>
        <v>1.745549999999999</v>
      </c>
      <c r="T559" s="37">
        <f>Tabela3[[#This Row],[Aluminio Bruto]]/OleoKGAluminio</f>
        <v>8.3885218684741929</v>
      </c>
      <c r="U559" s="35">
        <f>IFERROR((VLOOKUP(Tabela3[[#This Row],[Moldador]],Tabela1[],5,)+(VLOOKUP(Tabela3[[#This Row],[Ajudante]],Tabela1[],5,))*3.5),0)</f>
        <v>99.95034583333333</v>
      </c>
      <c r="V559" s="35">
        <f>IFERROR(Tabela3[[#This Row],[Custo M.O. / H]]/((Tabela3[[#This Row],[Realizado]]/Tabela3[[#This Row],[Qdt Peça Placa]])/Tabela3[[#This Row],[Tempo]]/24),)</f>
        <v>88.289472152777776</v>
      </c>
      <c r="W559" s="35">
        <f>Tabela3[[#This Row],[Custo / Cx Moldada]]*Tabela3[[#This Row],[Qtde Cx Produzida]]</f>
        <v>88.289472152777776</v>
      </c>
      <c r="X559" s="35">
        <f ca="1">Tabela3[[#This Row],[Aluminio Util]]*Tabela3[[#This Row],[Custo/Kg]]</f>
        <v>298.25733855179493</v>
      </c>
      <c r="Y559" s="35">
        <f>IFERROR(VLOOKUP(Tabela3[[#This Row],[Data]],Tabela461213[],2,1)*(Tabela3[[#This Row],[Qtde Cx Produzida]]*Tabela3[[#This Row],[Qde macho / CX]]*Tabela3[[#This Row],[Peso Macho]]),)</f>
        <v>0</v>
      </c>
      <c r="Z559" s="35">
        <f>IFERROR(Tabela3[[#This Row],[Qtde Oleo]]*(VLOOKUP(Tabela3[[#This Row],[Data]],CompraOleo[],3,TRUE))*1.05,0)</f>
        <v>22.019869904744759</v>
      </c>
      <c r="AA559" s="47">
        <f ca="1">(Tabela3[[#This Row],[Custo Oleo]]+Tabela3[[#This Row],[Custo Aluminio]]+Tabela3[[#This Row],[Custo M.O. Total]]+Tabela3[[#This Row],[Custo Machos]])</f>
        <v>408.56668060931747</v>
      </c>
      <c r="AB559" s="47">
        <f ca="1">Tabela3[[#This Row],[Custo Total]]*Tabela3[[#This Row],[% Perda]]</f>
        <v>0</v>
      </c>
      <c r="AC559" s="48">
        <f>IFERROR(VLOOKUP(Tabela3[[#This Row],[Produto]],Tabela2[],2,0),0)</f>
        <v>1</v>
      </c>
      <c r="AD559" s="48">
        <f>IFERROR(VLOOKUP(Tabela3[[#This Row],[Produto]],Tabela2[],3,0),0)</f>
        <v>18</v>
      </c>
      <c r="AE559" s="48">
        <f>IFERROR(VLOOKUP(Tabela3[[#This Row],[Produto]],Tabela2[],4,0),0)</f>
        <v>18.899999999999999</v>
      </c>
      <c r="AF559" s="48">
        <f>IFERROR(VLOOKUP(Tabela3[[#This Row],[Produto]],Tabela2[],5,0),0)</f>
        <v>0.80999999999999872</v>
      </c>
      <c r="AG559" s="40">
        <f>IFERROR(VLOOKUP(Tabela3[[#This Row],[Produto]],Tabela2[],6,0),0)</f>
        <v>0</v>
      </c>
      <c r="AH559" s="40">
        <f>IFERROR(VLOOKUP(Tabela3[[#This Row],[Produto]],Tabela2[],7,0),0)</f>
        <v>0</v>
      </c>
      <c r="AI559" s="40">
        <f>IFERROR(VLOOKUP(Tabela3[[#This Row],[Produto]],Tabela2[],8,0),0)</f>
        <v>0</v>
      </c>
      <c r="AJ559" s="35">
        <f ca="1">IFERROR(VLOOKUP(Tabela3[[#This Row],[Produto]],Tabela2[],13,0),0)</f>
        <v>16.569852141766386</v>
      </c>
      <c r="AK559" s="40" t="str">
        <f>IFERROR(VLOOKUP(Tabela3[[#This Row],[Produto]],Tabela2[],14,0),0)</f>
        <v>Danilo</v>
      </c>
      <c r="AL559" s="40">
        <f>IFERROR(VLOOKUP(Tabela3[[#This Row],[Produto]],Tabela2[],15,0),0)</f>
        <v>0</v>
      </c>
      <c r="AM559" s="36">
        <f ca="1">(Tabela3[[#This Row],[Custo Usinagem]]+Tabela3[[#This Row],[Custo / Pç]])*1.2</f>
        <v>490.28001673118092</v>
      </c>
      <c r="AN559" s="36">
        <f ca="1">Tabela3[[#This Row],[Valor Mínimo Venda]]*1.15</f>
        <v>563.82201924085803</v>
      </c>
      <c r="AO559" s="36">
        <f ca="1">Tabela3[[#This Row],[Tabela 1]]*1.08</f>
        <v>608.92778078012668</v>
      </c>
      <c r="AP559" s="36">
        <f ca="1">Tabela3[[#This Row],[Tabela 2]]*1.15</f>
        <v>700.26694789714566</v>
      </c>
    </row>
    <row r="560" spans="1:42">
      <c r="A560" s="9">
        <v>45889</v>
      </c>
      <c r="B560" s="6" t="s">
        <v>99</v>
      </c>
      <c r="C560" s="14">
        <v>7676</v>
      </c>
      <c r="D560" s="6" t="s">
        <v>44</v>
      </c>
      <c r="E560" s="6" t="s">
        <v>47</v>
      </c>
      <c r="F560" s="6">
        <v>10</v>
      </c>
      <c r="G560" s="15">
        <v>4.1666666666666664E-2</v>
      </c>
      <c r="H560" s="16">
        <v>0</v>
      </c>
      <c r="I560" s="35">
        <f ca="1">IFERROR(Tabela3[[#This Row],[Custo Total]]/Tabela3[[#This Row],[Aluminio Util]],0)</f>
        <v>38.170841246575762</v>
      </c>
      <c r="J560" s="35">
        <f ca="1">Tabela3[[#This Row],[Custo Total]]/Tabela3[[#This Row],[Realizado]]</f>
        <v>0.91610018991781839</v>
      </c>
      <c r="K560" s="37">
        <f>IFERROR(Tabela3[[#This Row],[Qtde Cx Produzida]]/Tabela3[[#This Row],[Tempo]]/24,0)</f>
        <v>10</v>
      </c>
      <c r="L560" s="37">
        <f>Tabela3[[#This Row],[Qtde Cx Produzida]]*Tabela3[[#This Row],[Qdt Peça Placa]]</f>
        <v>220</v>
      </c>
      <c r="M560" s="37">
        <f>Tabela3[[#This Row],[Previsto]]-Tabela3[[#This Row],[Perda Pçs]]</f>
        <v>220</v>
      </c>
      <c r="N560" s="38">
        <f>IFERROR(Tabela3[[#This Row],[Perda Pçs]]/Tabela3[[#This Row],[Previsto]],0)</f>
        <v>0</v>
      </c>
      <c r="O560" s="39">
        <f>IFERROR(IF(Tabela3[[#This Row],[Qtde Cx Produzida]] &lt;&gt; 0, Tabela3[[#This Row],[Tempo]] / Tabela3[[#This Row],[Qtde Cx Produzida]], 0),0)</f>
        <v>4.1666666666666666E-3</v>
      </c>
      <c r="P560" s="57">
        <f>IFERROR(Tabela3[[#This Row],[Perda Pçs]]/Tabela3[[#This Row],[Qdt Peça Placa]],0)</f>
        <v>0</v>
      </c>
      <c r="Q560" s="37">
        <f>IFERROR(Tabela3[[#This Row],[Realizado]]*Tabela3[[#This Row],[Peso Util/Pç]],0)</f>
        <v>5.28</v>
      </c>
      <c r="R560" s="37">
        <f>IFERROR(Tabela3[[#This Row],[Peso Total Galho]]*Tabela3[[#This Row],[Qtde Cx Produzida]]*1.055,0)</f>
        <v>17.407499999999999</v>
      </c>
      <c r="S560" s="37">
        <f>(Tabela3[[#This Row],[Aluminio Bruto]]-Tabela3[[#This Row],[Aluminio Util]])*0.9</f>
        <v>10.914749999999998</v>
      </c>
      <c r="T560" s="37">
        <f>Tabela3[[#This Row],[Aluminio Bruto]]/OleoKGAluminio</f>
        <v>7.3233127423187403</v>
      </c>
      <c r="U560" s="35">
        <f>IFERROR((VLOOKUP(Tabela3[[#This Row],[Moldador]],Tabela1[],5,)+(VLOOKUP(Tabela3[[#This Row],[Ajudante]],Tabela1[],5,))*3.5),0)</f>
        <v>99.95034583333333</v>
      </c>
      <c r="V560" s="35">
        <f>IFERROR(Tabela3[[#This Row],[Custo M.O. / H]]/((Tabela3[[#This Row],[Realizado]]/Tabela3[[#This Row],[Qdt Peça Placa]])/Tabela3[[#This Row],[Tempo]]/24),)</f>
        <v>9.9950345833333323</v>
      </c>
      <c r="W560" s="35">
        <f>Tabela3[[#This Row],[Custo / Cx Moldada]]*Tabela3[[#This Row],[Qtde Cx Produzida]]</f>
        <v>99.95034583333333</v>
      </c>
      <c r="X560" s="35">
        <f ca="1">Tabela3[[#This Row],[Aluminio Util]]*Tabela3[[#This Row],[Custo/Kg]]</f>
        <v>82.368000000000009</v>
      </c>
      <c r="Y560" s="35">
        <f>IFERROR(VLOOKUP(Tabela3[[#This Row],[Data]],Tabela461213[],2,1)*(Tabela3[[#This Row],[Qtde Cx Produzida]]*Tabela3[[#This Row],[Qde macho / CX]]*Tabela3[[#This Row],[Peso Macho]]),)</f>
        <v>0</v>
      </c>
      <c r="Z560" s="35">
        <f>IFERROR(Tabela3[[#This Row],[Qtde Oleo]]*(VLOOKUP(Tabela3[[#This Row],[Data]],CompraOleo[],3,TRUE))*1.05,0)</f>
        <v>19.223695948586691</v>
      </c>
      <c r="AA560" s="47">
        <f ca="1">(Tabela3[[#This Row],[Custo Oleo]]+Tabela3[[#This Row],[Custo Aluminio]]+Tabela3[[#This Row],[Custo M.O. Total]]+Tabela3[[#This Row],[Custo Machos]])</f>
        <v>201.54204178192003</v>
      </c>
      <c r="AB560" s="47">
        <f ca="1">Tabela3[[#This Row],[Custo Total]]*Tabela3[[#This Row],[% Perda]]</f>
        <v>0</v>
      </c>
      <c r="AC560" s="48">
        <f>IFERROR(VLOOKUP(Tabela3[[#This Row],[Produto]],Tabela2[],2,0),0)</f>
        <v>22</v>
      </c>
      <c r="AD560" s="48">
        <f>IFERROR(VLOOKUP(Tabela3[[#This Row],[Produto]],Tabela2[],3,0),0)</f>
        <v>2.4E-2</v>
      </c>
      <c r="AE560" s="48">
        <f>IFERROR(VLOOKUP(Tabela3[[#This Row],[Produto]],Tabela2[],4,0),0)</f>
        <v>1.65</v>
      </c>
      <c r="AF560" s="48">
        <f>IFERROR(VLOOKUP(Tabela3[[#This Row],[Produto]],Tabela2[],5,0),0)</f>
        <v>1.0098</v>
      </c>
      <c r="AG560" s="40">
        <f>IFERROR(VLOOKUP(Tabela3[[#This Row],[Produto]],Tabela2[],6,0),0)</f>
        <v>0</v>
      </c>
      <c r="AH560" s="40">
        <f>IFERROR(VLOOKUP(Tabela3[[#This Row],[Produto]],Tabela2[],7,0),0)</f>
        <v>0</v>
      </c>
      <c r="AI560" s="40">
        <f>IFERROR(VLOOKUP(Tabela3[[#This Row],[Produto]],Tabela2[],8,0),0)</f>
        <v>0</v>
      </c>
      <c r="AJ560" s="35">
        <f ca="1">IFERROR(VLOOKUP(Tabela3[[#This Row],[Produto]],Tabela2[],13,0),0)</f>
        <v>15.600000000000001</v>
      </c>
      <c r="AK560" s="40" t="str">
        <f>IFERROR(VLOOKUP(Tabela3[[#This Row],[Produto]],Tabela2[],14,0),0)</f>
        <v>Jumil</v>
      </c>
      <c r="AL560" s="40">
        <f>IFERROR(VLOOKUP(Tabela3[[#This Row],[Produto]],Tabela2[],15,0),0)</f>
        <v>1</v>
      </c>
      <c r="AM560" s="36">
        <f ca="1">(Tabela3[[#This Row],[Custo Usinagem]]+Tabela3[[#This Row],[Custo / Pç]])*1.2</f>
        <v>2.299320227901382</v>
      </c>
      <c r="AN560" s="36">
        <f ca="1">Tabela3[[#This Row],[Valor Mínimo Venda]]*1.15</f>
        <v>2.6442182620865893</v>
      </c>
      <c r="AO560" s="36">
        <f ca="1">Tabela3[[#This Row],[Tabela 1]]*1.08</f>
        <v>2.8557557230535164</v>
      </c>
      <c r="AP560" s="36">
        <f ca="1">Tabela3[[#This Row],[Tabela 2]]*1.15</f>
        <v>3.2841190815115437</v>
      </c>
    </row>
    <row r="561" spans="1:42">
      <c r="A561" s="9">
        <v>45889</v>
      </c>
      <c r="B561" s="6" t="s">
        <v>247</v>
      </c>
      <c r="C561" s="14">
        <v>7658</v>
      </c>
      <c r="D561" s="6" t="s">
        <v>44</v>
      </c>
      <c r="E561" s="6" t="s">
        <v>47</v>
      </c>
      <c r="F561" s="6">
        <v>15</v>
      </c>
      <c r="G561" s="15">
        <v>7.9861111111111105E-2</v>
      </c>
      <c r="H561" s="16">
        <v>0</v>
      </c>
      <c r="I561" s="35">
        <f ca="1">IFERROR(Tabela3[[#This Row],[Custo Total]]/Tabela3[[#This Row],[Aluminio Util]],0)</f>
        <v>28.475916488907096</v>
      </c>
      <c r="J561" s="35">
        <f ca="1">Tabela3[[#This Row],[Custo Total]]/Tabela3[[#This Row],[Realizado]]</f>
        <v>8.5427749466721288</v>
      </c>
      <c r="K561" s="37">
        <f>IFERROR(Tabela3[[#This Row],[Qtde Cx Produzida]]/Tabela3[[#This Row],[Tempo]]/24,0)</f>
        <v>7.8260869565217392</v>
      </c>
      <c r="L561" s="37">
        <f>Tabela3[[#This Row],[Qtde Cx Produzida]]*Tabela3[[#This Row],[Qdt Peça Placa]]</f>
        <v>60</v>
      </c>
      <c r="M561" s="37">
        <f>Tabela3[[#This Row],[Previsto]]-Tabela3[[#This Row],[Perda Pçs]]</f>
        <v>60</v>
      </c>
      <c r="N561" s="38">
        <f>IFERROR(Tabela3[[#This Row],[Perda Pçs]]/Tabela3[[#This Row],[Previsto]],0)</f>
        <v>0</v>
      </c>
      <c r="O561" s="39">
        <f>IFERROR(IF(Tabela3[[#This Row],[Qtde Cx Produzida]] &lt;&gt; 0, Tabela3[[#This Row],[Tempo]] / Tabela3[[#This Row],[Qtde Cx Produzida]], 0),0)</f>
        <v>5.324074074074074E-3</v>
      </c>
      <c r="P561" s="57">
        <f>IFERROR(Tabela3[[#This Row],[Perda Pçs]]/Tabela3[[#This Row],[Qdt Peça Placa]],0)</f>
        <v>0</v>
      </c>
      <c r="Q561" s="37">
        <f>IFERROR(Tabela3[[#This Row],[Realizado]]*Tabela3[[#This Row],[Peso Util/Pç]],0)</f>
        <v>18</v>
      </c>
      <c r="R561" s="37">
        <f>IFERROR(Tabela3[[#This Row],[Peso Total Galho]]*Tabela3[[#This Row],[Qtde Cx Produzida]]*1.055,0)</f>
        <v>36.397500000000001</v>
      </c>
      <c r="S561" s="37">
        <f>(Tabela3[[#This Row],[Aluminio Bruto]]-Tabela3[[#This Row],[Aluminio Util]])*0.9</f>
        <v>16.557750000000002</v>
      </c>
      <c r="T561" s="37">
        <f>Tabela3[[#This Row],[Aluminio Bruto]]/OleoKGAluminio</f>
        <v>15.31238118848464</v>
      </c>
      <c r="U561" s="35">
        <f>IFERROR((VLOOKUP(Tabela3[[#This Row],[Moldador]],Tabela1[],5,)+(VLOOKUP(Tabela3[[#This Row],[Ajudante]],Tabela1[],5,))*3.5),0)</f>
        <v>99.95034583333333</v>
      </c>
      <c r="V561" s="35">
        <f>IFERROR(Tabela3[[#This Row],[Custo M.O. / H]]/((Tabela3[[#This Row],[Realizado]]/Tabela3[[#This Row],[Qdt Peça Placa]])/Tabela3[[#This Row],[Tempo]]/24),)</f>
        <v>12.771433078703703</v>
      </c>
      <c r="W561" s="35">
        <f>Tabela3[[#This Row],[Custo / Cx Moldada]]*Tabela3[[#This Row],[Qtde Cx Produzida]]</f>
        <v>191.57149618055556</v>
      </c>
      <c r="X561" s="35">
        <f ca="1">Tabela3[[#This Row],[Aluminio Util]]*Tabela3[[#This Row],[Custo/Kg]]</f>
        <v>280.8</v>
      </c>
      <c r="Y561" s="35">
        <f>IFERROR(VLOOKUP(Tabela3[[#This Row],[Data]],Tabela461213[],2,1)*(Tabela3[[#This Row],[Qtde Cx Produzida]]*Tabela3[[#This Row],[Qde macho / CX]]*Tabela3[[#This Row],[Peso Macho]]),)</f>
        <v>0</v>
      </c>
      <c r="Z561" s="35">
        <f>IFERROR(Tabela3[[#This Row],[Qtde Oleo]]*(VLOOKUP(Tabela3[[#This Row],[Data]],CompraOleo[],3,TRUE))*1.05,0)</f>
        <v>40.195000619772181</v>
      </c>
      <c r="AA561" s="47">
        <f ca="1">(Tabela3[[#This Row],[Custo Oleo]]+Tabela3[[#This Row],[Custo Aluminio]]+Tabela3[[#This Row],[Custo M.O. Total]]+Tabela3[[#This Row],[Custo Machos]])</f>
        <v>512.56649680032774</v>
      </c>
      <c r="AB561" s="47">
        <f ca="1">Tabela3[[#This Row],[Custo Total]]*Tabela3[[#This Row],[% Perda]]</f>
        <v>0</v>
      </c>
      <c r="AC561" s="48">
        <f>IFERROR(VLOOKUP(Tabela3[[#This Row],[Produto]],Tabela2[],2,0),0)</f>
        <v>4</v>
      </c>
      <c r="AD561" s="48">
        <f>IFERROR(VLOOKUP(Tabela3[[#This Row],[Produto]],Tabela2[],3,0),0)</f>
        <v>0.3</v>
      </c>
      <c r="AE561" s="48">
        <f>IFERROR(VLOOKUP(Tabela3[[#This Row],[Produto]],Tabela2[],4,0),0)</f>
        <v>2.2999999999999998</v>
      </c>
      <c r="AF561" s="48">
        <f>IFERROR(VLOOKUP(Tabela3[[#This Row],[Produto]],Tabela2[],5,0),0)</f>
        <v>0.98999999999999988</v>
      </c>
      <c r="AG561" s="40">
        <f>IFERROR(VLOOKUP(Tabela3[[#This Row],[Produto]],Tabela2[],6,0),0)</f>
        <v>0</v>
      </c>
      <c r="AH561" s="40">
        <f>IFERROR(VLOOKUP(Tabela3[[#This Row],[Produto]],Tabela2[],7,0),0)</f>
        <v>0</v>
      </c>
      <c r="AI561" s="40">
        <f>IFERROR(VLOOKUP(Tabela3[[#This Row],[Produto]],Tabela2[],8,0),0)</f>
        <v>0</v>
      </c>
      <c r="AJ561" s="35">
        <f ca="1">IFERROR(VLOOKUP(Tabela3[[#This Row],[Produto]],Tabela2[],13,0),0)</f>
        <v>15.600000000000001</v>
      </c>
      <c r="AK561" s="40" t="str">
        <f>IFERROR(VLOOKUP(Tabela3[[#This Row],[Produto]],Tabela2[],14,0),0)</f>
        <v>Senun</v>
      </c>
      <c r="AL561" s="40">
        <f>IFERROR(VLOOKUP(Tabela3[[#This Row],[Produto]],Tabela2[],15,0),0)</f>
        <v>3.5</v>
      </c>
      <c r="AM561" s="36">
        <f ca="1">(Tabela3[[#This Row],[Custo Usinagem]]+Tabela3[[#This Row],[Custo / Pç]])*1.2</f>
        <v>14.451329936006553</v>
      </c>
      <c r="AN561" s="36">
        <f ca="1">Tabela3[[#This Row],[Valor Mínimo Venda]]*1.15</f>
        <v>16.619029426407536</v>
      </c>
      <c r="AO561" s="36">
        <f ca="1">Tabela3[[#This Row],[Tabela 1]]*1.08</f>
        <v>17.948551780520141</v>
      </c>
      <c r="AP561" s="36">
        <f ca="1">Tabela3[[#This Row],[Tabela 2]]*1.15</f>
        <v>20.64083454759816</v>
      </c>
    </row>
    <row r="562" spans="1:42">
      <c r="A562" s="9">
        <v>45889</v>
      </c>
      <c r="B562" s="6" t="s">
        <v>257</v>
      </c>
      <c r="C562" s="14">
        <v>7681</v>
      </c>
      <c r="D562" s="6" t="s">
        <v>44</v>
      </c>
      <c r="E562" s="6" t="s">
        <v>47</v>
      </c>
      <c r="F562" s="6">
        <v>3</v>
      </c>
      <c r="G562" s="15">
        <v>1.7361111111111112E-2</v>
      </c>
      <c r="H562" s="16">
        <v>0</v>
      </c>
      <c r="I562" s="35">
        <f ca="1">IFERROR(Tabela3[[#This Row],[Custo Total]]/Tabela3[[#This Row],[Aluminio Util]],0)</f>
        <v>32.045151936663416</v>
      </c>
      <c r="J562" s="35">
        <f ca="1">Tabela3[[#This Row],[Custo Total]]/Tabela3[[#This Row],[Realizado]]</f>
        <v>4.005643992082927</v>
      </c>
      <c r="K562" s="37">
        <f>IFERROR(Tabela3[[#This Row],[Qtde Cx Produzida]]/Tabela3[[#This Row],[Tempo]]/24,0)</f>
        <v>7.1999999999999993</v>
      </c>
      <c r="L562" s="37">
        <f>Tabela3[[#This Row],[Qtde Cx Produzida]]*Tabela3[[#This Row],[Qdt Peça Placa]]</f>
        <v>24</v>
      </c>
      <c r="M562" s="37">
        <f>Tabela3[[#This Row],[Previsto]]-Tabela3[[#This Row],[Perda Pçs]]</f>
        <v>24</v>
      </c>
      <c r="N562" s="38">
        <f>IFERROR(Tabela3[[#This Row],[Perda Pçs]]/Tabela3[[#This Row],[Previsto]],0)</f>
        <v>0</v>
      </c>
      <c r="O562" s="39">
        <f>IFERROR(IF(Tabela3[[#This Row],[Qtde Cx Produzida]] &lt;&gt; 0, Tabela3[[#This Row],[Tempo]] / Tabela3[[#This Row],[Qtde Cx Produzida]], 0),0)</f>
        <v>5.7870370370370376E-3</v>
      </c>
      <c r="P562" s="57">
        <f>IFERROR(Tabela3[[#This Row],[Perda Pçs]]/Tabela3[[#This Row],[Qdt Peça Placa]],0)</f>
        <v>0</v>
      </c>
      <c r="Q562" s="37">
        <f>IFERROR(Tabela3[[#This Row],[Realizado]]*Tabela3[[#This Row],[Peso Util/Pç]],0)</f>
        <v>3</v>
      </c>
      <c r="R562" s="37">
        <f>IFERROR(Tabela3[[#This Row],[Peso Total Galho]]*Tabela3[[#This Row],[Qtde Cx Produzida]]*1.055,0)</f>
        <v>6.9630000000000001</v>
      </c>
      <c r="S562" s="37">
        <f>(Tabela3[[#This Row],[Aluminio Bruto]]-Tabela3[[#This Row],[Aluminio Util]])*0.9</f>
        <v>3.5667</v>
      </c>
      <c r="T562" s="37">
        <f>Tabela3[[#This Row],[Aluminio Bruto]]/OleoKGAluminio</f>
        <v>2.9293250969274962</v>
      </c>
      <c r="U562" s="35">
        <f>IFERROR((VLOOKUP(Tabela3[[#This Row],[Moldador]],Tabela1[],5,)+(VLOOKUP(Tabela3[[#This Row],[Ajudante]],Tabela1[],5,))*3.5),0)</f>
        <v>99.95034583333333</v>
      </c>
      <c r="V562" s="35">
        <f>IFERROR(Tabela3[[#This Row],[Custo M.O. / H]]/((Tabela3[[#This Row],[Realizado]]/Tabela3[[#This Row],[Qdt Peça Placa]])/Tabela3[[#This Row],[Tempo]]/24),)</f>
        <v>13.881992476851853</v>
      </c>
      <c r="W562" s="35">
        <f>Tabela3[[#This Row],[Custo / Cx Moldada]]*Tabela3[[#This Row],[Qtde Cx Produzida]]</f>
        <v>41.645977430555561</v>
      </c>
      <c r="X562" s="35">
        <f ca="1">Tabela3[[#This Row],[Aluminio Util]]*Tabela3[[#This Row],[Custo/Kg]]</f>
        <v>46.800000000000004</v>
      </c>
      <c r="Y562" s="35">
        <f>IFERROR(VLOOKUP(Tabela3[[#This Row],[Data]],Tabela461213[],2,1)*(Tabela3[[#This Row],[Qtde Cx Produzida]]*Tabela3[[#This Row],[Qde macho / CX]]*Tabela3[[#This Row],[Peso Macho]]),)</f>
        <v>0</v>
      </c>
      <c r="Z562" s="35">
        <f>IFERROR(Tabela3[[#This Row],[Qtde Oleo]]*(VLOOKUP(Tabela3[[#This Row],[Data]],CompraOleo[],3,TRUE))*1.05,0)</f>
        <v>7.6894783794346777</v>
      </c>
      <c r="AA562" s="47">
        <f ca="1">(Tabela3[[#This Row],[Custo Oleo]]+Tabela3[[#This Row],[Custo Aluminio]]+Tabela3[[#This Row],[Custo M.O. Total]]+Tabela3[[#This Row],[Custo Machos]])</f>
        <v>96.135455809990248</v>
      </c>
      <c r="AB562" s="47">
        <f ca="1">Tabela3[[#This Row],[Custo Total]]*Tabela3[[#This Row],[% Perda]]</f>
        <v>0</v>
      </c>
      <c r="AC562" s="48">
        <f>IFERROR(VLOOKUP(Tabela3[[#This Row],[Produto]],Tabela2[],2,0),0)</f>
        <v>8</v>
      </c>
      <c r="AD562" s="48">
        <f>IFERROR(VLOOKUP(Tabela3[[#This Row],[Produto]],Tabela2[],3,0),0)</f>
        <v>0.125</v>
      </c>
      <c r="AE562" s="48">
        <f>IFERROR(VLOOKUP(Tabela3[[#This Row],[Produto]],Tabela2[],4,0),0)</f>
        <v>2.2000000000000002</v>
      </c>
      <c r="AF562" s="48">
        <f>IFERROR(VLOOKUP(Tabela3[[#This Row],[Produto]],Tabela2[],5,0),0)</f>
        <v>1.0800000000000003</v>
      </c>
      <c r="AG562" s="40">
        <f>IFERROR(VLOOKUP(Tabela3[[#This Row],[Produto]],Tabela2[],6,0),0)</f>
        <v>0</v>
      </c>
      <c r="AH562" s="40">
        <f>IFERROR(VLOOKUP(Tabela3[[#This Row],[Produto]],Tabela2[],7,0),0)</f>
        <v>0</v>
      </c>
      <c r="AI562" s="40">
        <f>IFERROR(VLOOKUP(Tabela3[[#This Row],[Produto]],Tabela2[],8,0),0)</f>
        <v>0</v>
      </c>
      <c r="AJ562" s="35">
        <f ca="1">IFERROR(VLOOKUP(Tabela3[[#This Row],[Produto]],Tabela2[],13,0),0)</f>
        <v>15.600000000000001</v>
      </c>
      <c r="AK562" s="40" t="str">
        <f>IFERROR(VLOOKUP(Tabela3[[#This Row],[Produto]],Tabela2[],14,0),0)</f>
        <v>Senun</v>
      </c>
      <c r="AL562" s="40">
        <f>IFERROR(VLOOKUP(Tabela3[[#This Row],[Produto]],Tabela2[],15,0),0)</f>
        <v>7</v>
      </c>
      <c r="AM562" s="36">
        <f ca="1">(Tabela3[[#This Row],[Custo Usinagem]]+Tabela3[[#This Row],[Custo / Pç]])*1.2</f>
        <v>13.206772790499512</v>
      </c>
      <c r="AN562" s="36">
        <f ca="1">Tabela3[[#This Row],[Valor Mínimo Venda]]*1.15</f>
        <v>15.187788709074438</v>
      </c>
      <c r="AO562" s="36">
        <f ca="1">Tabela3[[#This Row],[Tabela 1]]*1.08</f>
        <v>16.402811805800393</v>
      </c>
      <c r="AP562" s="36">
        <f ca="1">Tabela3[[#This Row],[Tabela 2]]*1.15</f>
        <v>18.863233576670449</v>
      </c>
    </row>
    <row r="563" spans="1:42">
      <c r="A563" s="9">
        <v>45889</v>
      </c>
      <c r="B563" s="6" t="s">
        <v>265</v>
      </c>
      <c r="C563" s="14">
        <v>7700</v>
      </c>
      <c r="D563" s="6" t="s">
        <v>44</v>
      </c>
      <c r="E563" s="6" t="s">
        <v>47</v>
      </c>
      <c r="F563" s="6">
        <v>15</v>
      </c>
      <c r="G563" s="15">
        <v>8.9583333333333334E-2</v>
      </c>
      <c r="H563" s="16">
        <v>0</v>
      </c>
      <c r="I563" s="35">
        <f ca="1">IFERROR(Tabela3[[#This Row],[Custo Total]]/Tabela3[[#This Row],[Aluminio Util]],0)</f>
        <v>27.877595256934669</v>
      </c>
      <c r="J563" s="35">
        <f ca="1">Tabela3[[#This Row],[Custo Total]]/Tabela3[[#This Row],[Realizado]]</f>
        <v>47.391911936788937</v>
      </c>
      <c r="K563" s="37">
        <f>IFERROR(Tabela3[[#This Row],[Qtde Cx Produzida]]/Tabela3[[#This Row],[Tempo]]/24,0)</f>
        <v>6.9767441860465107</v>
      </c>
      <c r="L563" s="37">
        <f>Tabela3[[#This Row],[Qtde Cx Produzida]]*Tabela3[[#This Row],[Qdt Peça Placa]]</f>
        <v>15</v>
      </c>
      <c r="M563" s="37">
        <f>Tabela3[[#This Row],[Previsto]]-Tabela3[[#This Row],[Perda Pçs]]</f>
        <v>15</v>
      </c>
      <c r="N563" s="38">
        <f>IFERROR(Tabela3[[#This Row],[Perda Pçs]]/Tabela3[[#This Row],[Previsto]],0)</f>
        <v>0</v>
      </c>
      <c r="O563" s="39">
        <f>IFERROR(IF(Tabela3[[#This Row],[Qtde Cx Produzida]] &lt;&gt; 0, Tabela3[[#This Row],[Tempo]] / Tabela3[[#This Row],[Qtde Cx Produzida]], 0),0)</f>
        <v>5.9722222222222225E-3</v>
      </c>
      <c r="P563" s="57">
        <f>IFERROR(Tabela3[[#This Row],[Perda Pçs]]/Tabela3[[#This Row],[Qdt Peça Placa]],0)</f>
        <v>0</v>
      </c>
      <c r="Q563" s="37">
        <f>IFERROR(Tabela3[[#This Row],[Realizado]]*Tabela3[[#This Row],[Peso Util/Pç]],0)</f>
        <v>25.5</v>
      </c>
      <c r="R563" s="37">
        <f>IFERROR(Tabela3[[#This Row],[Peso Total Galho]]*Tabela3[[#This Row],[Qtde Cx Produzida]]*1.055,0)</f>
        <v>42.727499999999999</v>
      </c>
      <c r="S563" s="37">
        <f>(Tabela3[[#This Row],[Aluminio Bruto]]-Tabela3[[#This Row],[Aluminio Util]])*0.9</f>
        <v>15.50475</v>
      </c>
      <c r="T563" s="37">
        <f>Tabela3[[#This Row],[Aluminio Bruto]]/OleoKGAluminio</f>
        <v>17.975404003873273</v>
      </c>
      <c r="U563" s="35">
        <f>IFERROR((VLOOKUP(Tabela3[[#This Row],[Moldador]],Tabela1[],5,)+(VLOOKUP(Tabela3[[#This Row],[Ajudante]],Tabela1[],5,))*3.5),0)</f>
        <v>99.95034583333333</v>
      </c>
      <c r="V563" s="35">
        <f>IFERROR(Tabela3[[#This Row],[Custo M.O. / H]]/((Tabela3[[#This Row],[Realizado]]/Tabela3[[#This Row],[Qdt Peça Placa]])/Tabela3[[#This Row],[Tempo]]/24),)</f>
        <v>14.326216236111113</v>
      </c>
      <c r="W563" s="35">
        <f>Tabela3[[#This Row],[Custo / Cx Moldada]]*Tabela3[[#This Row],[Qtde Cx Produzida]]</f>
        <v>214.89324354166669</v>
      </c>
      <c r="X563" s="35">
        <f ca="1">Tabela3[[#This Row],[Aluminio Util]]*Tabela3[[#This Row],[Custo/Kg]]</f>
        <v>448.8</v>
      </c>
      <c r="Y563" s="35">
        <f>IFERROR(VLOOKUP(Tabela3[[#This Row],[Data]],Tabela461213[],2,1)*(Tabela3[[#This Row],[Qtde Cx Produzida]]*Tabela3[[#This Row],[Qde macho / CX]]*Tabela3[[#This Row],[Peso Macho]]),)</f>
        <v>0</v>
      </c>
      <c r="Z563" s="35">
        <f>IFERROR(Tabela3[[#This Row],[Qtde Oleo]]*(VLOOKUP(Tabela3[[#This Row],[Data]],CompraOleo[],3,TRUE))*1.05,0)</f>
        <v>47.185435510167345</v>
      </c>
      <c r="AA563" s="47">
        <f ca="1">(Tabela3[[#This Row],[Custo Oleo]]+Tabela3[[#This Row],[Custo Aluminio]]+Tabela3[[#This Row],[Custo M.O. Total]]+Tabela3[[#This Row],[Custo Machos]])</f>
        <v>710.87867905183407</v>
      </c>
      <c r="AB563" s="47">
        <f ca="1">Tabela3[[#This Row],[Custo Total]]*Tabela3[[#This Row],[% Perda]]</f>
        <v>0</v>
      </c>
      <c r="AC563" s="48">
        <f>IFERROR(VLOOKUP(Tabela3[[#This Row],[Produto]],Tabela2[],2,0),0)</f>
        <v>1</v>
      </c>
      <c r="AD563" s="48">
        <f>IFERROR(VLOOKUP(Tabela3[[#This Row],[Produto]],Tabela2[],3,0),0)</f>
        <v>1.7</v>
      </c>
      <c r="AE563" s="48">
        <f>IFERROR(VLOOKUP(Tabela3[[#This Row],[Produto]],Tabela2[],4,0),0)</f>
        <v>2.7</v>
      </c>
      <c r="AF563" s="48">
        <f>IFERROR(VLOOKUP(Tabela3[[#This Row],[Produto]],Tabela2[],5,0),0)</f>
        <v>0.90000000000000024</v>
      </c>
      <c r="AG563" s="40">
        <f>IFERROR(VLOOKUP(Tabela3[[#This Row],[Produto]],Tabela2[],6,0),0)</f>
        <v>0</v>
      </c>
      <c r="AH563" s="40">
        <f>IFERROR(VLOOKUP(Tabela3[[#This Row],[Produto]],Tabela2[],7,0),0)</f>
        <v>0</v>
      </c>
      <c r="AI563" s="40">
        <f>IFERROR(VLOOKUP(Tabela3[[#This Row],[Produto]],Tabela2[],8,0),0)</f>
        <v>0</v>
      </c>
      <c r="AJ563" s="35">
        <f ca="1">IFERROR(VLOOKUP(Tabela3[[#This Row],[Produto]],Tabela2[],13,0),0)</f>
        <v>17.600000000000001</v>
      </c>
      <c r="AK563" s="40" t="str">
        <f>IFERROR(VLOOKUP(Tabela3[[#This Row],[Produto]],Tabela2[],14,0),0)</f>
        <v>Jumil</v>
      </c>
      <c r="AL563" s="40">
        <f>IFERROR(VLOOKUP(Tabela3[[#This Row],[Produto]],Tabela2[],15,0),0)</f>
        <v>80</v>
      </c>
      <c r="AM563" s="36">
        <f ca="1">(Tabela3[[#This Row],[Custo Usinagem]]+Tabela3[[#This Row],[Custo / Pç]])*1.2</f>
        <v>152.87029432414673</v>
      </c>
      <c r="AN563" s="36">
        <f ca="1">Tabela3[[#This Row],[Valor Mínimo Venda]]*1.15</f>
        <v>175.80083847276873</v>
      </c>
      <c r="AO563" s="36">
        <f ca="1">Tabela3[[#This Row],[Tabela 1]]*1.08</f>
        <v>189.86490555059024</v>
      </c>
      <c r="AP563" s="36">
        <f ca="1">Tabela3[[#This Row],[Tabela 2]]*1.15</f>
        <v>218.34464138317875</v>
      </c>
    </row>
    <row r="564" spans="1:42">
      <c r="A564" s="9">
        <v>45890</v>
      </c>
      <c r="B564" s="6" t="s">
        <v>223</v>
      </c>
      <c r="C564" s="14">
        <v>7557</v>
      </c>
      <c r="D564" s="6" t="s">
        <v>46</v>
      </c>
      <c r="E564" s="6" t="s">
        <v>326</v>
      </c>
      <c r="F564" s="6">
        <v>27</v>
      </c>
      <c r="G564" s="15">
        <v>0.13958333333333334</v>
      </c>
      <c r="H564" s="16">
        <v>0</v>
      </c>
      <c r="I564" s="35">
        <f ca="1">IFERROR(Tabela3[[#This Row],[Custo Total]]/Tabela3[[#This Row],[Aluminio Util]],0)</f>
        <v>22.009635522994625</v>
      </c>
      <c r="J564" s="35">
        <f ca="1">Tabela3[[#This Row],[Custo Total]]/Tabela3[[#This Row],[Realizado]]</f>
        <v>2.2890020943914409</v>
      </c>
      <c r="K564" s="37">
        <f>IFERROR(Tabela3[[#This Row],[Qtde Cx Produzida]]/Tabela3[[#This Row],[Tempo]]/24,0)</f>
        <v>8.0597014925373127</v>
      </c>
      <c r="L564" s="37">
        <f>Tabela3[[#This Row],[Qtde Cx Produzida]]*Tabela3[[#This Row],[Qdt Peça Placa]]</f>
        <v>891</v>
      </c>
      <c r="M564" s="37">
        <f>Tabela3[[#This Row],[Previsto]]-Tabela3[[#This Row],[Perda Pçs]]</f>
        <v>891</v>
      </c>
      <c r="N564" s="38">
        <f>IFERROR(Tabela3[[#This Row],[Perda Pçs]]/Tabela3[[#This Row],[Previsto]],0)</f>
        <v>0</v>
      </c>
      <c r="O564" s="39">
        <f>IFERROR(IF(Tabela3[[#This Row],[Qtde Cx Produzida]] &lt;&gt; 0, Tabela3[[#This Row],[Tempo]] / Tabela3[[#This Row],[Qtde Cx Produzida]], 0),0)</f>
        <v>5.1697530864197533E-3</v>
      </c>
      <c r="P564" s="57">
        <f>IFERROR(Tabela3[[#This Row],[Perda Pçs]]/Tabela3[[#This Row],[Qdt Peça Placa]],0)</f>
        <v>0</v>
      </c>
      <c r="Q564" s="37">
        <f>IFERROR(Tabela3[[#This Row],[Realizado]]*Tabela3[[#This Row],[Peso Util/Pç]],0)</f>
        <v>92.664000000000001</v>
      </c>
      <c r="R564" s="37">
        <f>IFERROR(Tabela3[[#This Row],[Peso Total Galho]]*Tabela3[[#This Row],[Qtde Cx Produzida]]*1.055,0)</f>
        <v>153.24929999999998</v>
      </c>
      <c r="S564" s="37">
        <f>(Tabela3[[#This Row],[Aluminio Bruto]]-Tabela3[[#This Row],[Aluminio Util]])*0.9</f>
        <v>54.526769999999978</v>
      </c>
      <c r="T564" s="37">
        <f>Tabela3[[#This Row],[Aluminio Bruto]]/OleoKGAluminio</f>
        <v>64.471782360558791</v>
      </c>
      <c r="U564" s="35">
        <f>IFERROR((VLOOKUP(Tabela3[[#This Row],[Moldador]],Tabela1[],5,)+(VLOOKUP(Tabela3[[#This Row],[Ajudante]],Tabela1[],5,))*3.5),0)</f>
        <v>99.95034583333333</v>
      </c>
      <c r="V564" s="35">
        <f>IFERROR(Tabela3[[#This Row],[Custo M.O. / H]]/((Tabela3[[#This Row],[Realizado]]/Tabela3[[#This Row],[Qdt Peça Placa]])/Tabela3[[#This Row],[Tempo]]/24),)</f>
        <v>12.401246612654322</v>
      </c>
      <c r="W564" s="35">
        <f>Tabela3[[#This Row],[Custo / Cx Moldada]]*Tabela3[[#This Row],[Qtde Cx Produzida]]</f>
        <v>334.83365854166669</v>
      </c>
      <c r="X564" s="35">
        <f ca="1">Tabela3[[#This Row],[Aluminio Util]]*Tabela3[[#This Row],[Custo/Kg]]</f>
        <v>1535.4287788646404</v>
      </c>
      <c r="Y564" s="35">
        <f>IFERROR(VLOOKUP(Tabela3[[#This Row],[Data]],Tabela461213[],2,1)*(Tabela3[[#This Row],[Qtde Cx Produzida]]*Tabela3[[#This Row],[Qde macho / CX]]*Tabela3[[#This Row],[Peso Macho]]),)</f>
        <v>0</v>
      </c>
      <c r="Z564" s="35">
        <f>IFERROR(Tabela3[[#This Row],[Qtde Oleo]]*(VLOOKUP(Tabela3[[#This Row],[Data]],CompraOleo[],3,TRUE))*1.05,0)</f>
        <v>169.23842869646683</v>
      </c>
      <c r="AA564" s="47">
        <f ca="1">(Tabela3[[#This Row],[Custo Oleo]]+Tabela3[[#This Row],[Custo Aluminio]]+Tabela3[[#This Row],[Custo M.O. Total]]+Tabela3[[#This Row],[Custo Machos]])</f>
        <v>2039.5008661027739</v>
      </c>
      <c r="AB564" s="47">
        <f ca="1">Tabela3[[#This Row],[Custo Total]]*Tabela3[[#This Row],[% Perda]]</f>
        <v>0</v>
      </c>
      <c r="AC564" s="48">
        <f>IFERROR(VLOOKUP(Tabela3[[#This Row],[Produto]],Tabela2[],2,0),0)</f>
        <v>33</v>
      </c>
      <c r="AD564" s="48">
        <f>IFERROR(VLOOKUP(Tabela3[[#This Row],[Produto]],Tabela2[],3,0),0)</f>
        <v>0.104</v>
      </c>
      <c r="AE564" s="48">
        <f>IFERROR(VLOOKUP(Tabela3[[#This Row],[Produto]],Tabela2[],4,0),0)</f>
        <v>5.38</v>
      </c>
      <c r="AF564" s="48">
        <f>IFERROR(VLOOKUP(Tabela3[[#This Row],[Produto]],Tabela2[],5,0),0)</f>
        <v>1.7532000000000001</v>
      </c>
      <c r="AG564" s="40">
        <f>IFERROR(VLOOKUP(Tabela3[[#This Row],[Produto]],Tabela2[],6,0),0)</f>
        <v>0</v>
      </c>
      <c r="AH564" s="40">
        <f>IFERROR(VLOOKUP(Tabela3[[#This Row],[Produto]],Tabela2[],7,0),0)</f>
        <v>0</v>
      </c>
      <c r="AI564" s="40">
        <f>IFERROR(VLOOKUP(Tabela3[[#This Row],[Produto]],Tabela2[],8,0),0)</f>
        <v>0</v>
      </c>
      <c r="AJ564" s="35">
        <f ca="1">IFERROR(VLOOKUP(Tabela3[[#This Row],[Produto]],Tabela2[],13,0),0)</f>
        <v>16.569852141766386</v>
      </c>
      <c r="AK564" s="40" t="str">
        <f>IFERROR(VLOOKUP(Tabela3[[#This Row],[Produto]],Tabela2[],14,0),0)</f>
        <v>Marcelo</v>
      </c>
      <c r="AL564" s="40">
        <f>IFERROR(VLOOKUP(Tabela3[[#This Row],[Produto]],Tabela2[],15,0),0)</f>
        <v>0</v>
      </c>
      <c r="AM564" s="36">
        <f ca="1">(Tabela3[[#This Row],[Custo Usinagem]]+Tabela3[[#This Row],[Custo / Pç]])*1.2</f>
        <v>2.7468025132697291</v>
      </c>
      <c r="AN564" s="36">
        <f ca="1">Tabela3[[#This Row],[Valor Mínimo Venda]]*1.15</f>
        <v>3.1588228902601885</v>
      </c>
      <c r="AO564" s="36">
        <f ca="1">Tabela3[[#This Row],[Tabela 1]]*1.08</f>
        <v>3.4115287214810039</v>
      </c>
      <c r="AP564" s="36">
        <f ca="1">Tabela3[[#This Row],[Tabela 2]]*1.15</f>
        <v>3.9232580297031543</v>
      </c>
    </row>
    <row r="565" spans="1:42">
      <c r="A565" s="9">
        <v>45890</v>
      </c>
      <c r="B565" s="6" t="s">
        <v>100</v>
      </c>
      <c r="C565" s="14">
        <v>7682</v>
      </c>
      <c r="D565" s="6" t="s">
        <v>46</v>
      </c>
      <c r="E565" s="6" t="s">
        <v>326</v>
      </c>
      <c r="F565" s="6">
        <v>25</v>
      </c>
      <c r="G565" s="15">
        <v>0.11874999999999999</v>
      </c>
      <c r="H565" s="16">
        <v>0</v>
      </c>
      <c r="I565" s="35">
        <f ca="1">IFERROR(Tabela3[[#This Row],[Custo Total]]/Tabela3[[#This Row],[Aluminio Util]],0)</f>
        <v>29.231249070676299</v>
      </c>
      <c r="J565" s="35">
        <f ca="1">Tabela3[[#This Row],[Custo Total]]/Tabela3[[#This Row],[Realizado]]</f>
        <v>17.538749442405777</v>
      </c>
      <c r="K565" s="37">
        <f>IFERROR(Tabela3[[#This Row],[Qtde Cx Produzida]]/Tabela3[[#This Row],[Tempo]]/24,0)</f>
        <v>8.7719298245614041</v>
      </c>
      <c r="L565" s="37">
        <f>Tabela3[[#This Row],[Qtde Cx Produzida]]*Tabela3[[#This Row],[Qdt Peça Placa]]</f>
        <v>50</v>
      </c>
      <c r="M565" s="37">
        <f>Tabela3[[#This Row],[Previsto]]-Tabela3[[#This Row],[Perda Pçs]]</f>
        <v>50</v>
      </c>
      <c r="N565" s="38">
        <f>IFERROR(Tabela3[[#This Row],[Perda Pçs]]/Tabela3[[#This Row],[Previsto]],0)</f>
        <v>0</v>
      </c>
      <c r="O565" s="39">
        <f>IFERROR(IF(Tabela3[[#This Row],[Qtde Cx Produzida]] &lt;&gt; 0, Tabela3[[#This Row],[Tempo]] / Tabela3[[#This Row],[Qtde Cx Produzida]], 0),0)</f>
        <v>4.7499999999999999E-3</v>
      </c>
      <c r="P565" s="57">
        <f>IFERROR(Tabela3[[#This Row],[Perda Pçs]]/Tabela3[[#This Row],[Qdt Peça Placa]],0)</f>
        <v>0</v>
      </c>
      <c r="Q565" s="37">
        <f>IFERROR(Tabela3[[#This Row],[Realizado]]*Tabela3[[#This Row],[Peso Util/Pç]],0)</f>
        <v>30</v>
      </c>
      <c r="R565" s="37">
        <f>IFERROR(Tabela3[[#This Row],[Peso Total Galho]]*Tabela3[[#This Row],[Qtde Cx Produzida]]*1.055,0)</f>
        <v>58.025000000000006</v>
      </c>
      <c r="S565" s="37">
        <f>(Tabela3[[#This Row],[Aluminio Bruto]]-Tabela3[[#This Row],[Aluminio Util]])*0.9</f>
        <v>25.222500000000007</v>
      </c>
      <c r="T565" s="37">
        <f>Tabela3[[#This Row],[Aluminio Bruto]]/OleoKGAluminio</f>
        <v>24.411042474395803</v>
      </c>
      <c r="U565" s="35">
        <f>IFERROR((VLOOKUP(Tabela3[[#This Row],[Moldador]],Tabela1[],5,)+(VLOOKUP(Tabela3[[#This Row],[Ajudante]],Tabela1[],5,))*3.5),0)</f>
        <v>99.95034583333333</v>
      </c>
      <c r="V565" s="35">
        <f>IFERROR(Tabela3[[#This Row],[Custo M.O. / H]]/((Tabela3[[#This Row],[Realizado]]/Tabela3[[#This Row],[Qdt Peça Placa]])/Tabela3[[#This Row],[Tempo]]/24),)</f>
        <v>11.394339424999998</v>
      </c>
      <c r="W565" s="35">
        <f>Tabela3[[#This Row],[Custo / Cx Moldada]]*Tabela3[[#This Row],[Qtde Cx Produzida]]</f>
        <v>284.85848562499996</v>
      </c>
      <c r="X565" s="35">
        <f ca="1">Tabela3[[#This Row],[Aluminio Util]]*Tabela3[[#This Row],[Custo/Kg]]</f>
        <v>528</v>
      </c>
      <c r="Y565" s="35">
        <f>IFERROR(VLOOKUP(Tabela3[[#This Row],[Data]],Tabela461213[],2,1)*(Tabela3[[#This Row],[Qtde Cx Produzida]]*Tabela3[[#This Row],[Qde macho / CX]]*Tabela3[[#This Row],[Peso Macho]]),)</f>
        <v>0</v>
      </c>
      <c r="Z565" s="35">
        <f>IFERROR(Tabela3[[#This Row],[Qtde Oleo]]*(VLOOKUP(Tabela3[[#This Row],[Data]],CompraOleo[],3,TRUE))*1.05,0)</f>
        <v>64.078986495288987</v>
      </c>
      <c r="AA565" s="47">
        <f ca="1">(Tabela3[[#This Row],[Custo Oleo]]+Tabela3[[#This Row],[Custo Aluminio]]+Tabela3[[#This Row],[Custo M.O. Total]]+Tabela3[[#This Row],[Custo Machos]])</f>
        <v>876.93747212028893</v>
      </c>
      <c r="AB565" s="47">
        <f ca="1">Tabela3[[#This Row],[Custo Total]]*Tabela3[[#This Row],[% Perda]]</f>
        <v>0</v>
      </c>
      <c r="AC565" s="48">
        <f>IFERROR(VLOOKUP(Tabela3[[#This Row],[Produto]],Tabela2[],2,0),0)</f>
        <v>2</v>
      </c>
      <c r="AD565" s="48">
        <f>IFERROR(VLOOKUP(Tabela3[[#This Row],[Produto]],Tabela2[],3,0),0)</f>
        <v>0.6</v>
      </c>
      <c r="AE565" s="48">
        <f>IFERROR(VLOOKUP(Tabela3[[#This Row],[Produto]],Tabela2[],4,0),0)</f>
        <v>2.2000000000000002</v>
      </c>
      <c r="AF565" s="48">
        <f>IFERROR(VLOOKUP(Tabela3[[#This Row],[Produto]],Tabela2[],5,0),0)</f>
        <v>0.90000000000000024</v>
      </c>
      <c r="AG565" s="40">
        <f>IFERROR(VLOOKUP(Tabela3[[#This Row],[Produto]],Tabela2[],6,0),0)</f>
        <v>0</v>
      </c>
      <c r="AH565" s="40">
        <f>IFERROR(VLOOKUP(Tabela3[[#This Row],[Produto]],Tabela2[],7,0),0)</f>
        <v>0</v>
      </c>
      <c r="AI565" s="40">
        <f>IFERROR(VLOOKUP(Tabela3[[#This Row],[Produto]],Tabela2[],8,0),0)</f>
        <v>0</v>
      </c>
      <c r="AJ565" s="35">
        <f ca="1">IFERROR(VLOOKUP(Tabela3[[#This Row],[Produto]],Tabela2[],13,0),0)</f>
        <v>17.600000000000001</v>
      </c>
      <c r="AK565" s="40" t="str">
        <f>IFERROR(VLOOKUP(Tabela3[[#This Row],[Produto]],Tabela2[],14,0),0)</f>
        <v>Protec</v>
      </c>
      <c r="AL565" s="40">
        <f>IFERROR(VLOOKUP(Tabela3[[#This Row],[Produto]],Tabela2[],15,0),0)</f>
        <v>0</v>
      </c>
      <c r="AM565" s="36">
        <f ca="1">(Tabela3[[#This Row],[Custo Usinagem]]+Tabela3[[#This Row],[Custo / Pç]])*1.2</f>
        <v>21.046499330886931</v>
      </c>
      <c r="AN565" s="36">
        <f ca="1">Tabela3[[#This Row],[Valor Mínimo Venda]]*1.15</f>
        <v>24.203474230519969</v>
      </c>
      <c r="AO565" s="36">
        <f ca="1">Tabela3[[#This Row],[Tabela 1]]*1.08</f>
        <v>26.139752168961568</v>
      </c>
      <c r="AP565" s="36">
        <f ca="1">Tabela3[[#This Row],[Tabela 2]]*1.15</f>
        <v>30.060714994305801</v>
      </c>
    </row>
    <row r="566" spans="1:42">
      <c r="A566" s="9">
        <v>45890</v>
      </c>
      <c r="B566" s="6" t="s">
        <v>101</v>
      </c>
      <c r="C566" s="14">
        <v>7683</v>
      </c>
      <c r="D566" s="6" t="s">
        <v>46</v>
      </c>
      <c r="E566" s="6" t="s">
        <v>326</v>
      </c>
      <c r="F566" s="6">
        <v>18</v>
      </c>
      <c r="G566" s="15">
        <v>9.0972222222222218E-2</v>
      </c>
      <c r="H566" s="16">
        <v>0</v>
      </c>
      <c r="I566" s="35">
        <f ca="1">IFERROR(Tabela3[[#This Row],[Custo Total]]/Tabela3[[#This Row],[Aluminio Util]],0)</f>
        <v>29.838971852440704</v>
      </c>
      <c r="J566" s="35">
        <f ca="1">Tabela3[[#This Row],[Custo Total]]/Tabela3[[#This Row],[Realizado]]</f>
        <v>17.903383111464422</v>
      </c>
      <c r="K566" s="37">
        <f>IFERROR(Tabela3[[#This Row],[Qtde Cx Produzida]]/Tabela3[[#This Row],[Tempo]]/24,0)</f>
        <v>8.2442748091603058</v>
      </c>
      <c r="L566" s="37">
        <f>Tabela3[[#This Row],[Qtde Cx Produzida]]*Tabela3[[#This Row],[Qdt Peça Placa]]</f>
        <v>36</v>
      </c>
      <c r="M566" s="37">
        <f>Tabela3[[#This Row],[Previsto]]-Tabela3[[#This Row],[Perda Pçs]]</f>
        <v>36</v>
      </c>
      <c r="N566" s="38">
        <f>IFERROR(Tabela3[[#This Row],[Perda Pçs]]/Tabela3[[#This Row],[Previsto]],0)</f>
        <v>0</v>
      </c>
      <c r="O566" s="39">
        <f>IFERROR(IF(Tabela3[[#This Row],[Qtde Cx Produzida]] &lt;&gt; 0, Tabela3[[#This Row],[Tempo]] / Tabela3[[#This Row],[Qtde Cx Produzida]], 0),0)</f>
        <v>5.0540123456790124E-3</v>
      </c>
      <c r="P566" s="57">
        <f>IFERROR(Tabela3[[#This Row],[Perda Pçs]]/Tabela3[[#This Row],[Qdt Peça Placa]],0)</f>
        <v>0</v>
      </c>
      <c r="Q566" s="37">
        <f>IFERROR(Tabela3[[#This Row],[Realizado]]*Tabela3[[#This Row],[Peso Util/Pç]],0)</f>
        <v>21.599999999999998</v>
      </c>
      <c r="R566" s="37">
        <f>IFERROR(Tabela3[[#This Row],[Peso Total Galho]]*Tabela3[[#This Row],[Qtde Cx Produzida]]*1.055,0)</f>
        <v>41.777999999999999</v>
      </c>
      <c r="S566" s="37">
        <f>(Tabela3[[#This Row],[Aluminio Bruto]]-Tabela3[[#This Row],[Aluminio Util]])*0.9</f>
        <v>18.1602</v>
      </c>
      <c r="T566" s="37">
        <f>Tabela3[[#This Row],[Aluminio Bruto]]/OleoKGAluminio</f>
        <v>17.575950581564978</v>
      </c>
      <c r="U566" s="35">
        <f>IFERROR((VLOOKUP(Tabela3[[#This Row],[Moldador]],Tabela1[],5,)+(VLOOKUP(Tabela3[[#This Row],[Ajudante]],Tabela1[],5,))*3.5),0)</f>
        <v>99.95034583333333</v>
      </c>
      <c r="V566" s="35">
        <f>IFERROR(Tabela3[[#This Row],[Custo M.O. / H]]/((Tabela3[[#This Row],[Realizado]]/Tabela3[[#This Row],[Qdt Peça Placa]])/Tabela3[[#This Row],[Tempo]]/24),)</f>
        <v>12.123606763117284</v>
      </c>
      <c r="W566" s="35">
        <f>Tabela3[[#This Row],[Custo / Cx Moldada]]*Tabela3[[#This Row],[Qtde Cx Produzida]]</f>
        <v>218.2249217361111</v>
      </c>
      <c r="X566" s="35">
        <f ca="1">Tabela3[[#This Row],[Aluminio Util]]*Tabela3[[#This Row],[Custo/Kg]]</f>
        <v>380.15999999999997</v>
      </c>
      <c r="Y566" s="35">
        <f>IFERROR(VLOOKUP(Tabela3[[#This Row],[Data]],Tabela461213[],2,1)*(Tabela3[[#This Row],[Qtde Cx Produzida]]*Tabela3[[#This Row],[Qde macho / CX]]*Tabela3[[#This Row],[Peso Macho]]),)</f>
        <v>0</v>
      </c>
      <c r="Z566" s="35">
        <f>IFERROR(Tabela3[[#This Row],[Qtde Oleo]]*(VLOOKUP(Tabela3[[#This Row],[Data]],CompraOleo[],3,TRUE))*1.05,0)</f>
        <v>46.136870276608072</v>
      </c>
      <c r="AA566" s="47">
        <f ca="1">(Tabela3[[#This Row],[Custo Oleo]]+Tabela3[[#This Row],[Custo Aluminio]]+Tabela3[[#This Row],[Custo M.O. Total]]+Tabela3[[#This Row],[Custo Machos]])</f>
        <v>644.52179201271917</v>
      </c>
      <c r="AB566" s="47">
        <f ca="1">Tabela3[[#This Row],[Custo Total]]*Tabela3[[#This Row],[% Perda]]</f>
        <v>0</v>
      </c>
      <c r="AC566" s="48">
        <f>IFERROR(VLOOKUP(Tabela3[[#This Row],[Produto]],Tabela2[],2,0),0)</f>
        <v>2</v>
      </c>
      <c r="AD566" s="48">
        <f>IFERROR(VLOOKUP(Tabela3[[#This Row],[Produto]],Tabela2[],3,0),0)</f>
        <v>0.6</v>
      </c>
      <c r="AE566" s="48">
        <f>IFERROR(VLOOKUP(Tabela3[[#This Row],[Produto]],Tabela2[],4,0),0)</f>
        <v>2.2000000000000002</v>
      </c>
      <c r="AF566" s="48">
        <f>IFERROR(VLOOKUP(Tabela3[[#This Row],[Produto]],Tabela2[],5,0),0)</f>
        <v>0.90000000000000024</v>
      </c>
      <c r="AG566" s="40">
        <f>IFERROR(VLOOKUP(Tabela3[[#This Row],[Produto]],Tabela2[],6,0),0)</f>
        <v>0</v>
      </c>
      <c r="AH566" s="40">
        <f>IFERROR(VLOOKUP(Tabela3[[#This Row],[Produto]],Tabela2[],7,0),0)</f>
        <v>0</v>
      </c>
      <c r="AI566" s="40">
        <f>IFERROR(VLOOKUP(Tabela3[[#This Row],[Produto]],Tabela2[],8,0),0)</f>
        <v>0</v>
      </c>
      <c r="AJ566" s="35">
        <f ca="1">IFERROR(VLOOKUP(Tabela3[[#This Row],[Produto]],Tabela2[],13,0),0)</f>
        <v>17.600000000000001</v>
      </c>
      <c r="AK566" s="40" t="str">
        <f>IFERROR(VLOOKUP(Tabela3[[#This Row],[Produto]],Tabela2[],14,0),0)</f>
        <v>Protec</v>
      </c>
      <c r="AL566" s="40">
        <f>IFERROR(VLOOKUP(Tabela3[[#This Row],[Produto]],Tabela2[],15,0),0)</f>
        <v>0</v>
      </c>
      <c r="AM566" s="36">
        <f ca="1">(Tabela3[[#This Row],[Custo Usinagem]]+Tabela3[[#This Row],[Custo / Pç]])*1.2</f>
        <v>21.484059733757306</v>
      </c>
      <c r="AN566" s="36">
        <f ca="1">Tabela3[[#This Row],[Valor Mínimo Venda]]*1.15</f>
        <v>24.706668693820898</v>
      </c>
      <c r="AO566" s="36">
        <f ca="1">Tabela3[[#This Row],[Tabela 1]]*1.08</f>
        <v>26.683202189326572</v>
      </c>
      <c r="AP566" s="36">
        <f ca="1">Tabela3[[#This Row],[Tabela 2]]*1.15</f>
        <v>30.685682517725557</v>
      </c>
    </row>
    <row r="567" spans="1:42">
      <c r="A567" s="9">
        <v>45890</v>
      </c>
      <c r="B567" s="6" t="s">
        <v>257</v>
      </c>
      <c r="C567" s="14">
        <v>7681</v>
      </c>
      <c r="D567" s="6" t="s">
        <v>44</v>
      </c>
      <c r="E567" s="6" t="s">
        <v>47</v>
      </c>
      <c r="F567" s="6">
        <v>17</v>
      </c>
      <c r="G567" s="15">
        <v>8.6805555555555552E-2</v>
      </c>
      <c r="H567" s="16">
        <v>0</v>
      </c>
      <c r="I567" s="35">
        <f ca="1">IFERROR(Tabela3[[#This Row],[Custo Total]]/Tabela3[[#This Row],[Aluminio Util]],0)</f>
        <v>30.411976351151431</v>
      </c>
      <c r="J567" s="35">
        <f ca="1">Tabela3[[#This Row],[Custo Total]]/Tabela3[[#This Row],[Realizado]]</f>
        <v>3.8014970438939288</v>
      </c>
      <c r="K567" s="37">
        <f>IFERROR(Tabela3[[#This Row],[Qtde Cx Produzida]]/Tabela3[[#This Row],[Tempo]]/24,0)</f>
        <v>8.16</v>
      </c>
      <c r="L567" s="37">
        <f>Tabela3[[#This Row],[Qtde Cx Produzida]]*Tabela3[[#This Row],[Qdt Peça Placa]]</f>
        <v>136</v>
      </c>
      <c r="M567" s="37">
        <f>Tabela3[[#This Row],[Previsto]]-Tabela3[[#This Row],[Perda Pçs]]</f>
        <v>136</v>
      </c>
      <c r="N567" s="38">
        <f>IFERROR(Tabela3[[#This Row],[Perda Pçs]]/Tabela3[[#This Row],[Previsto]],0)</f>
        <v>0</v>
      </c>
      <c r="O567" s="39">
        <f>IFERROR(IF(Tabela3[[#This Row],[Qtde Cx Produzida]] &lt;&gt; 0, Tabela3[[#This Row],[Tempo]] / Tabela3[[#This Row],[Qtde Cx Produzida]], 0),0)</f>
        <v>5.1062091503267975E-3</v>
      </c>
      <c r="P567" s="57">
        <f>IFERROR(Tabela3[[#This Row],[Perda Pçs]]/Tabela3[[#This Row],[Qdt Peça Placa]],0)</f>
        <v>0</v>
      </c>
      <c r="Q567" s="37">
        <f>IFERROR(Tabela3[[#This Row],[Realizado]]*Tabela3[[#This Row],[Peso Util/Pç]],0)</f>
        <v>17</v>
      </c>
      <c r="R567" s="37">
        <f>IFERROR(Tabela3[[#This Row],[Peso Total Galho]]*Tabela3[[#This Row],[Qtde Cx Produzida]]*1.055,0)</f>
        <v>39.457000000000001</v>
      </c>
      <c r="S567" s="37">
        <f>(Tabela3[[#This Row],[Aluminio Bruto]]-Tabela3[[#This Row],[Aluminio Util]])*0.9</f>
        <v>20.211300000000001</v>
      </c>
      <c r="T567" s="37">
        <f>Tabela3[[#This Row],[Aluminio Bruto]]/OleoKGAluminio</f>
        <v>16.599508882589145</v>
      </c>
      <c r="U567" s="35">
        <f>IFERROR((VLOOKUP(Tabela3[[#This Row],[Moldador]],Tabela1[],5,)+(VLOOKUP(Tabela3[[#This Row],[Ajudante]],Tabela1[],5,))*3.5),0)</f>
        <v>99.95034583333333</v>
      </c>
      <c r="V567" s="35">
        <f>IFERROR(Tabela3[[#This Row],[Custo M.O. / H]]/((Tabela3[[#This Row],[Realizado]]/Tabela3[[#This Row],[Qdt Peça Placa]])/Tabela3[[#This Row],[Tempo]]/24),)</f>
        <v>12.248816891339869</v>
      </c>
      <c r="W567" s="35">
        <f>Tabela3[[#This Row],[Custo / Cx Moldada]]*Tabela3[[#This Row],[Qtde Cx Produzida]]</f>
        <v>208.22988715277776</v>
      </c>
      <c r="X567" s="35">
        <f ca="1">Tabela3[[#This Row],[Aluminio Util]]*Tabela3[[#This Row],[Custo/Kg]]</f>
        <v>265.20000000000005</v>
      </c>
      <c r="Y567" s="35">
        <f>IFERROR(VLOOKUP(Tabela3[[#This Row],[Data]],Tabela461213[],2,1)*(Tabela3[[#This Row],[Qtde Cx Produzida]]*Tabela3[[#This Row],[Qde macho / CX]]*Tabela3[[#This Row],[Peso Macho]]),)</f>
        <v>0</v>
      </c>
      <c r="Z567" s="35">
        <f>IFERROR(Tabela3[[#This Row],[Qtde Oleo]]*(VLOOKUP(Tabela3[[#This Row],[Data]],CompraOleo[],3,TRUE))*1.05,0)</f>
        <v>43.573710816796506</v>
      </c>
      <c r="AA567" s="47">
        <f ca="1">(Tabela3[[#This Row],[Custo Oleo]]+Tabela3[[#This Row],[Custo Aluminio]]+Tabela3[[#This Row],[Custo M.O. Total]]+Tabela3[[#This Row],[Custo Machos]])</f>
        <v>517.00359796957434</v>
      </c>
      <c r="AB567" s="47">
        <f ca="1">Tabela3[[#This Row],[Custo Total]]*Tabela3[[#This Row],[% Perda]]</f>
        <v>0</v>
      </c>
      <c r="AC567" s="48">
        <f>IFERROR(VLOOKUP(Tabela3[[#This Row],[Produto]],Tabela2[],2,0),0)</f>
        <v>8</v>
      </c>
      <c r="AD567" s="48">
        <f>IFERROR(VLOOKUP(Tabela3[[#This Row],[Produto]],Tabela2[],3,0),0)</f>
        <v>0.125</v>
      </c>
      <c r="AE567" s="48">
        <f>IFERROR(VLOOKUP(Tabela3[[#This Row],[Produto]],Tabela2[],4,0),0)</f>
        <v>2.2000000000000002</v>
      </c>
      <c r="AF567" s="48">
        <f>IFERROR(VLOOKUP(Tabela3[[#This Row],[Produto]],Tabela2[],5,0),0)</f>
        <v>1.0800000000000003</v>
      </c>
      <c r="AG567" s="40">
        <f>IFERROR(VLOOKUP(Tabela3[[#This Row],[Produto]],Tabela2[],6,0),0)</f>
        <v>0</v>
      </c>
      <c r="AH567" s="40">
        <f>IFERROR(VLOOKUP(Tabela3[[#This Row],[Produto]],Tabela2[],7,0),0)</f>
        <v>0</v>
      </c>
      <c r="AI567" s="40">
        <f>IFERROR(VLOOKUP(Tabela3[[#This Row],[Produto]],Tabela2[],8,0),0)</f>
        <v>0</v>
      </c>
      <c r="AJ567" s="35">
        <f ca="1">IFERROR(VLOOKUP(Tabela3[[#This Row],[Produto]],Tabela2[],13,0),0)</f>
        <v>15.600000000000001</v>
      </c>
      <c r="AK567" s="40" t="str">
        <f>IFERROR(VLOOKUP(Tabela3[[#This Row],[Produto]],Tabela2[],14,0),0)</f>
        <v>Senun</v>
      </c>
      <c r="AL567" s="40">
        <f>IFERROR(VLOOKUP(Tabela3[[#This Row],[Produto]],Tabela2[],15,0),0)</f>
        <v>7</v>
      </c>
      <c r="AM567" s="36">
        <f ca="1">(Tabela3[[#This Row],[Custo Usinagem]]+Tabela3[[#This Row],[Custo / Pç]])*1.2</f>
        <v>12.961796452672713</v>
      </c>
      <c r="AN567" s="36">
        <f ca="1">Tabela3[[#This Row],[Valor Mínimo Venda]]*1.15</f>
        <v>14.906065920573619</v>
      </c>
      <c r="AO567" s="36">
        <f ca="1">Tabela3[[#This Row],[Tabela 1]]*1.08</f>
        <v>16.09855119421951</v>
      </c>
      <c r="AP567" s="36">
        <f ca="1">Tabela3[[#This Row],[Tabela 2]]*1.15</f>
        <v>18.513333873352437</v>
      </c>
    </row>
    <row r="568" spans="1:42">
      <c r="A568" s="9">
        <v>45890</v>
      </c>
      <c r="B568" s="6" t="s">
        <v>236</v>
      </c>
      <c r="C568" s="14">
        <v>7638</v>
      </c>
      <c r="D568" s="6" t="s">
        <v>44</v>
      </c>
      <c r="E568" s="6" t="s">
        <v>47</v>
      </c>
      <c r="F568" s="6">
        <v>42</v>
      </c>
      <c r="G568" s="15">
        <v>0.26111111111111113</v>
      </c>
      <c r="H568" s="16">
        <v>90</v>
      </c>
      <c r="I568" s="35">
        <f ca="1">IFERROR(Tabela3[[#This Row],[Custo Total]]/Tabela3[[#This Row],[Aluminio Util]],0)</f>
        <v>37.667588296764123</v>
      </c>
      <c r="J568" s="35">
        <f ca="1">Tabela3[[#This Row],[Custo Total]]/Tabela3[[#This Row],[Realizado]]</f>
        <v>11.375611665622765</v>
      </c>
      <c r="K568" s="37">
        <f>IFERROR(Tabela3[[#This Row],[Qtde Cx Produzida]]/Tabela3[[#This Row],[Tempo]]/24,0)</f>
        <v>6.7021276595744679</v>
      </c>
      <c r="L568" s="37">
        <f>Tabela3[[#This Row],[Qtde Cx Produzida]]*Tabela3[[#This Row],[Qdt Peça Placa]]</f>
        <v>252</v>
      </c>
      <c r="M568" s="37">
        <f>Tabela3[[#This Row],[Previsto]]-Tabela3[[#This Row],[Perda Pçs]]</f>
        <v>162</v>
      </c>
      <c r="N568" s="38">
        <f>IFERROR(Tabela3[[#This Row],[Perda Pçs]]/Tabela3[[#This Row],[Previsto]],0)</f>
        <v>0.35714285714285715</v>
      </c>
      <c r="O568" s="39">
        <f>IFERROR(IF(Tabela3[[#This Row],[Qtde Cx Produzida]] &lt;&gt; 0, Tabela3[[#This Row],[Tempo]] / Tabela3[[#This Row],[Qtde Cx Produzida]], 0),0)</f>
        <v>6.2169312169312171E-3</v>
      </c>
      <c r="P568" s="57">
        <f>IFERROR(Tabela3[[#This Row],[Perda Pçs]]/Tabela3[[#This Row],[Qdt Peça Placa]],0)</f>
        <v>15</v>
      </c>
      <c r="Q568" s="37">
        <f>IFERROR(Tabela3[[#This Row],[Realizado]]*Tabela3[[#This Row],[Peso Util/Pç]],0)</f>
        <v>48.923999999999999</v>
      </c>
      <c r="R568" s="37">
        <f>IFERROR(Tabela3[[#This Row],[Peso Total Galho]]*Tabela3[[#This Row],[Qtde Cx Produzida]]*1.055,0)</f>
        <v>95.355119999999999</v>
      </c>
      <c r="S568" s="37">
        <f>(Tabela3[[#This Row],[Aluminio Bruto]]-Tabela3[[#This Row],[Aluminio Util]])*0.9</f>
        <v>41.788007999999998</v>
      </c>
      <c r="T568" s="37">
        <f>Tabela3[[#This Row],[Aluminio Bruto]]/OleoKGAluminio</f>
        <v>40.115775691014363</v>
      </c>
      <c r="U568" s="35">
        <f>IFERROR((VLOOKUP(Tabela3[[#This Row],[Moldador]],Tabela1[],5,)+(VLOOKUP(Tabela3[[#This Row],[Ajudante]],Tabela1[],5,))*3.5),0)</f>
        <v>99.95034583333333</v>
      </c>
      <c r="V568" s="35">
        <f>IFERROR(Tabela3[[#This Row],[Custo M.O. / H]]/((Tabela3[[#This Row],[Realizado]]/Tabela3[[#This Row],[Qdt Peça Placa]])/Tabela3[[#This Row],[Tempo]]/24),)</f>
        <v>23.198351872427981</v>
      </c>
      <c r="W568" s="35">
        <f>Tabela3[[#This Row],[Custo / Cx Moldada]]*Tabela3[[#This Row],[Qtde Cx Produzida]]</f>
        <v>974.33077864197526</v>
      </c>
      <c r="X568" s="35">
        <f ca="1">Tabela3[[#This Row],[Aluminio Util]]*Tabela3[[#This Row],[Custo/Kg]]</f>
        <v>763.21440000000007</v>
      </c>
      <c r="Y568" s="35">
        <f>IFERROR(VLOOKUP(Tabela3[[#This Row],[Data]],Tabela461213[],2,1)*(Tabela3[[#This Row],[Qtde Cx Produzida]]*Tabela3[[#This Row],[Qde macho / CX]]*Tabela3[[#This Row],[Peso Macho]]),)</f>
        <v>0</v>
      </c>
      <c r="Z568" s="35">
        <f>IFERROR(Tabela3[[#This Row],[Qtde Oleo]]*(VLOOKUP(Tabela3[[#This Row],[Data]],CompraOleo[],3,TRUE))*1.05,0)</f>
        <v>105.30391118891271</v>
      </c>
      <c r="AA568" s="47">
        <f ca="1">(Tabela3[[#This Row],[Custo Oleo]]+Tabela3[[#This Row],[Custo Aluminio]]+Tabela3[[#This Row],[Custo M.O. Total]]+Tabela3[[#This Row],[Custo Machos]])</f>
        <v>1842.849089830888</v>
      </c>
      <c r="AB568" s="47">
        <f ca="1">Tabela3[[#This Row],[Custo Total]]*Tabela3[[#This Row],[% Perda]]</f>
        <v>658.1603892253172</v>
      </c>
      <c r="AC568" s="48">
        <f>IFERROR(VLOOKUP(Tabela3[[#This Row],[Produto]],Tabela2[],2,0),0)</f>
        <v>6</v>
      </c>
      <c r="AD568" s="48">
        <f>IFERROR(VLOOKUP(Tabela3[[#This Row],[Produto]],Tabela2[],3,0),0)</f>
        <v>0.30199999999999999</v>
      </c>
      <c r="AE568" s="48">
        <f>IFERROR(VLOOKUP(Tabela3[[#This Row],[Produto]],Tabela2[],4,0),0)</f>
        <v>2.1520000000000001</v>
      </c>
      <c r="AF568" s="48">
        <f>IFERROR(VLOOKUP(Tabela3[[#This Row],[Produto]],Tabela2[],5,0),0)</f>
        <v>0.30600000000000027</v>
      </c>
      <c r="AG568" s="40">
        <f>IFERROR(VLOOKUP(Tabela3[[#This Row],[Produto]],Tabela2[],6,0),0)</f>
        <v>0</v>
      </c>
      <c r="AH568" s="40">
        <f>IFERROR(VLOOKUP(Tabela3[[#This Row],[Produto]],Tabela2[],7,0),0)</f>
        <v>0</v>
      </c>
      <c r="AI568" s="40">
        <f>IFERROR(VLOOKUP(Tabela3[[#This Row],[Produto]],Tabela2[],8,0),0)</f>
        <v>0</v>
      </c>
      <c r="AJ568" s="35">
        <f ca="1">IFERROR(VLOOKUP(Tabela3[[#This Row],[Produto]],Tabela2[],13,0),0)</f>
        <v>15.600000000000001</v>
      </c>
      <c r="AK568" s="40" t="str">
        <f>IFERROR(VLOOKUP(Tabela3[[#This Row],[Produto]],Tabela2[],14,0),0)</f>
        <v>Senun</v>
      </c>
      <c r="AL568" s="40">
        <f>IFERROR(VLOOKUP(Tabela3[[#This Row],[Produto]],Tabela2[],15,0),0)</f>
        <v>4</v>
      </c>
      <c r="AM568" s="36">
        <f ca="1">(Tabela3[[#This Row],[Custo Usinagem]]+Tabela3[[#This Row],[Custo / Pç]])*1.2</f>
        <v>18.450733998747317</v>
      </c>
      <c r="AN568" s="36">
        <f ca="1">Tabela3[[#This Row],[Valor Mínimo Venda]]*1.15</f>
        <v>21.218344098559413</v>
      </c>
      <c r="AO568" s="36">
        <f ca="1">Tabela3[[#This Row],[Tabela 1]]*1.08</f>
        <v>22.915811626444167</v>
      </c>
      <c r="AP568" s="36">
        <f ca="1">Tabela3[[#This Row],[Tabela 2]]*1.15</f>
        <v>26.35318337041079</v>
      </c>
    </row>
    <row r="569" spans="1:42">
      <c r="A569" s="9">
        <v>45891</v>
      </c>
      <c r="B569" s="6" t="s">
        <v>268</v>
      </c>
      <c r="C569" s="14">
        <v>7678</v>
      </c>
      <c r="D569" s="6" t="s">
        <v>46</v>
      </c>
      <c r="E569" s="6" t="s">
        <v>326</v>
      </c>
      <c r="F569" s="6">
        <v>50</v>
      </c>
      <c r="G569" s="15">
        <v>0.27777777777777779</v>
      </c>
      <c r="H569" s="16">
        <v>0</v>
      </c>
      <c r="I569" s="35">
        <f ca="1">IFERROR(Tabela3[[#This Row],[Custo Total]]/Tabela3[[#This Row],[Aluminio Util]],0)</f>
        <v>20.85488184089477</v>
      </c>
      <c r="J569" s="35">
        <f ca="1">Tabela3[[#This Row],[Custo Total]]/Tabela3[[#This Row],[Realizado]]</f>
        <v>137.64222014990548</v>
      </c>
      <c r="K569" s="37">
        <f>IFERROR(Tabela3[[#This Row],[Qtde Cx Produzida]]/Tabela3[[#This Row],[Tempo]]/24,0)</f>
        <v>7.5</v>
      </c>
      <c r="L569" s="37">
        <f>Tabela3[[#This Row],[Qtde Cx Produzida]]*Tabela3[[#This Row],[Qdt Peça Placa]]</f>
        <v>50</v>
      </c>
      <c r="M569" s="37">
        <f>Tabela3[[#This Row],[Previsto]]-Tabela3[[#This Row],[Perda Pçs]]</f>
        <v>50</v>
      </c>
      <c r="N569" s="38">
        <f>IFERROR(Tabela3[[#This Row],[Perda Pçs]]/Tabela3[[#This Row],[Previsto]],0)</f>
        <v>0</v>
      </c>
      <c r="O569" s="39">
        <f>IFERROR(IF(Tabela3[[#This Row],[Qtde Cx Produzida]] &lt;&gt; 0, Tabela3[[#This Row],[Tempo]] / Tabela3[[#This Row],[Qtde Cx Produzida]], 0),0)</f>
        <v>5.5555555555555558E-3</v>
      </c>
      <c r="P569" s="57">
        <f>IFERROR(Tabela3[[#This Row],[Perda Pçs]]/Tabela3[[#This Row],[Qdt Peça Placa]],0)</f>
        <v>0</v>
      </c>
      <c r="Q569" s="37">
        <f>IFERROR(Tabela3[[#This Row],[Realizado]]*Tabela3[[#This Row],[Peso Util/Pç]],0)</f>
        <v>330</v>
      </c>
      <c r="R569" s="37">
        <f>IFERROR(Tabela3[[#This Row],[Peso Total Galho]]*Tabela3[[#This Row],[Qtde Cx Produzida]]*1.055,0)</f>
        <v>369.25</v>
      </c>
      <c r="S569" s="37">
        <f>(Tabela3[[#This Row],[Aluminio Bruto]]-Tabela3[[#This Row],[Aluminio Util]])*0.9</f>
        <v>35.325000000000003</v>
      </c>
      <c r="T569" s="37">
        <f>Tabela3[[#This Row],[Aluminio Bruto]]/OleoKGAluminio</f>
        <v>155.34299756433691</v>
      </c>
      <c r="U569" s="35">
        <f>IFERROR((VLOOKUP(Tabela3[[#This Row],[Moldador]],Tabela1[],5,)+(VLOOKUP(Tabela3[[#This Row],[Ajudante]],Tabela1[],5,))*3.5),0)</f>
        <v>99.95034583333333</v>
      </c>
      <c r="V569" s="35">
        <f>IFERROR(Tabela3[[#This Row],[Custo M.O. / H]]/((Tabela3[[#This Row],[Realizado]]/Tabela3[[#This Row],[Qdt Peça Placa]])/Tabela3[[#This Row],[Tempo]]/24),)</f>
        <v>13.326712777777777</v>
      </c>
      <c r="W569" s="35">
        <f>Tabela3[[#This Row],[Custo / Cx Moldada]]*Tabela3[[#This Row],[Qtde Cx Produzida]]</f>
        <v>666.33563888888887</v>
      </c>
      <c r="X569" s="35">
        <f ca="1">Tabela3[[#This Row],[Aluminio Util]]*Tabela3[[#This Row],[Custo/Kg]]</f>
        <v>5808.0000000000009</v>
      </c>
      <c r="Y569" s="35">
        <f>IFERROR(VLOOKUP(Tabela3[[#This Row],[Data]],Tabela461213[],2,1)*(Tabela3[[#This Row],[Qtde Cx Produzida]]*Tabela3[[#This Row],[Qde macho / CX]]*Tabela3[[#This Row],[Peso Macho]]),)</f>
        <v>0</v>
      </c>
      <c r="Z569" s="35">
        <f>IFERROR(Tabela3[[#This Row],[Qtde Oleo]]*(VLOOKUP(Tabela3[[#This Row],[Data]],CompraOleo[],3,TRUE))*1.05,0)</f>
        <v>407.7753686063844</v>
      </c>
      <c r="AA569" s="47">
        <f ca="1">(Tabela3[[#This Row],[Custo Oleo]]+Tabela3[[#This Row],[Custo Aluminio]]+Tabela3[[#This Row],[Custo M.O. Total]]+Tabela3[[#This Row],[Custo Machos]])</f>
        <v>6882.111007495274</v>
      </c>
      <c r="AB569" s="47">
        <f ca="1">Tabela3[[#This Row],[Custo Total]]*Tabela3[[#This Row],[% Perda]]</f>
        <v>0</v>
      </c>
      <c r="AC569" s="48">
        <f>IFERROR(VLOOKUP(Tabela3[[#This Row],[Produto]],Tabela2[],2,0),0)</f>
        <v>1</v>
      </c>
      <c r="AD569" s="48">
        <f>IFERROR(VLOOKUP(Tabela3[[#This Row],[Produto]],Tabela2[],3,0),0)</f>
        <v>6.6</v>
      </c>
      <c r="AE569" s="48">
        <f>IFERROR(VLOOKUP(Tabela3[[#This Row],[Produto]],Tabela2[],4,0),0)</f>
        <v>7</v>
      </c>
      <c r="AF569" s="48">
        <f>IFERROR(VLOOKUP(Tabela3[[#This Row],[Produto]],Tabela2[],5,0),0)</f>
        <v>0.36000000000000032</v>
      </c>
      <c r="AG569" s="40">
        <f>IFERROR(VLOOKUP(Tabela3[[#This Row],[Produto]],Tabela2[],6,0),0)</f>
        <v>0</v>
      </c>
      <c r="AH569" s="40">
        <f>IFERROR(VLOOKUP(Tabela3[[#This Row],[Produto]],Tabela2[],7,0),0)</f>
        <v>0</v>
      </c>
      <c r="AI569" s="40">
        <f>IFERROR(VLOOKUP(Tabela3[[#This Row],[Produto]],Tabela2[],8,0),0)</f>
        <v>0</v>
      </c>
      <c r="AJ569" s="35">
        <f ca="1">IFERROR(VLOOKUP(Tabela3[[#This Row],[Produto]],Tabela2[],13,0),0)</f>
        <v>17.600000000000001</v>
      </c>
      <c r="AK569" s="40" t="str">
        <f>IFERROR(VLOOKUP(Tabela3[[#This Row],[Produto]],Tabela2[],14,0),0)</f>
        <v>Danilo</v>
      </c>
      <c r="AL569" s="40">
        <f>IFERROR(VLOOKUP(Tabela3[[#This Row],[Produto]],Tabela2[],15,0),0)</f>
        <v>0</v>
      </c>
      <c r="AM569" s="36">
        <f ca="1">(Tabela3[[#This Row],[Custo Usinagem]]+Tabela3[[#This Row],[Custo / Pç]])*1.2</f>
        <v>165.17066417988659</v>
      </c>
      <c r="AN569" s="36">
        <f ca="1">Tabela3[[#This Row],[Valor Mínimo Venda]]*1.15</f>
        <v>189.94626380686955</v>
      </c>
      <c r="AO569" s="36">
        <f ca="1">Tabela3[[#This Row],[Tabela 1]]*1.08</f>
        <v>205.14196491141914</v>
      </c>
      <c r="AP569" s="36">
        <f ca="1">Tabela3[[#This Row],[Tabela 2]]*1.15</f>
        <v>235.913259648132</v>
      </c>
    </row>
    <row r="570" spans="1:42">
      <c r="A570" s="9">
        <v>45891</v>
      </c>
      <c r="B570" s="6" t="s">
        <v>246</v>
      </c>
      <c r="C570" s="14">
        <v>7687</v>
      </c>
      <c r="D570" s="6" t="s">
        <v>46</v>
      </c>
      <c r="E570" s="6" t="s">
        <v>326</v>
      </c>
      <c r="F570" s="6">
        <v>13</v>
      </c>
      <c r="G570" s="15">
        <v>8.4027777777777785E-2</v>
      </c>
      <c r="H570" s="16">
        <v>0</v>
      </c>
      <c r="I570" s="35">
        <f ca="1">IFERROR(Tabela3[[#This Row],[Custo Total]]/Tabela3[[#This Row],[Aluminio Util]],0)</f>
        <v>24.675917889674352</v>
      </c>
      <c r="J570" s="35">
        <f ca="1">Tabela3[[#This Row],[Custo Total]]/Tabela3[[#This Row],[Realizado]]</f>
        <v>13.15226423519643</v>
      </c>
      <c r="K570" s="37">
        <f>IFERROR(Tabela3[[#This Row],[Qtde Cx Produzida]]/Tabela3[[#This Row],[Tempo]]/24,0)</f>
        <v>6.446280991735537</v>
      </c>
      <c r="L570" s="37">
        <f>Tabela3[[#This Row],[Qtde Cx Produzida]]*Tabela3[[#This Row],[Qdt Peça Placa]]</f>
        <v>52</v>
      </c>
      <c r="M570" s="37">
        <f>Tabela3[[#This Row],[Previsto]]-Tabela3[[#This Row],[Perda Pçs]]</f>
        <v>52</v>
      </c>
      <c r="N570" s="38">
        <f>IFERROR(Tabela3[[#This Row],[Perda Pçs]]/Tabela3[[#This Row],[Previsto]],0)</f>
        <v>0</v>
      </c>
      <c r="O570" s="39">
        <f>IFERROR(IF(Tabela3[[#This Row],[Qtde Cx Produzida]] &lt;&gt; 0, Tabela3[[#This Row],[Tempo]] / Tabela3[[#This Row],[Qtde Cx Produzida]], 0),0)</f>
        <v>6.4636752136752141E-3</v>
      </c>
      <c r="P570" s="57">
        <f>IFERROR(Tabela3[[#This Row],[Perda Pçs]]/Tabela3[[#This Row],[Qdt Peça Placa]],0)</f>
        <v>0</v>
      </c>
      <c r="Q570" s="37">
        <f>IFERROR(Tabela3[[#This Row],[Realizado]]*Tabela3[[#This Row],[Peso Util/Pç]],0)</f>
        <v>27.716000000000001</v>
      </c>
      <c r="R570" s="37">
        <f>IFERROR(Tabela3[[#This Row],[Peso Total Galho]]*Tabela3[[#This Row],[Qtde Cx Produzida]]*1.055,0)</f>
        <v>45.259499999999996</v>
      </c>
      <c r="S570" s="37">
        <f>(Tabela3[[#This Row],[Aluminio Bruto]]-Tabela3[[#This Row],[Aluminio Util]])*0.9</f>
        <v>15.789149999999996</v>
      </c>
      <c r="T570" s="37">
        <f>Tabela3[[#This Row],[Aluminio Bruto]]/OleoKGAluminio</f>
        <v>19.040613130028724</v>
      </c>
      <c r="U570" s="35">
        <f>IFERROR((VLOOKUP(Tabela3[[#This Row],[Moldador]],Tabela1[],5,)+(VLOOKUP(Tabela3[[#This Row],[Ajudante]],Tabela1[],5,))*3.5),0)</f>
        <v>99.95034583333333</v>
      </c>
      <c r="V570" s="35">
        <f>IFERROR(Tabela3[[#This Row],[Custo M.O. / H]]/((Tabela3[[#This Row],[Realizado]]/Tabela3[[#This Row],[Qdt Peça Placa]])/Tabela3[[#This Row],[Tempo]]/24),)</f>
        <v>15.505117751068376</v>
      </c>
      <c r="W570" s="35">
        <f>Tabela3[[#This Row],[Custo / Cx Moldada]]*Tabela3[[#This Row],[Qtde Cx Produzida]]</f>
        <v>201.56653076388889</v>
      </c>
      <c r="X570" s="35">
        <f ca="1">Tabela3[[#This Row],[Aluminio Util]]*Tabela3[[#This Row],[Custo/Kg]]</f>
        <v>432.36960000000005</v>
      </c>
      <c r="Y570" s="35">
        <f>IFERROR(VLOOKUP(Tabela3[[#This Row],[Data]],Tabela461213[],2,1)*(Tabela3[[#This Row],[Qtde Cx Produzida]]*Tabela3[[#This Row],[Qde macho / CX]]*Tabela3[[#This Row],[Peso Macho]]),)</f>
        <v>0</v>
      </c>
      <c r="Z570" s="35">
        <f>IFERROR(Tabela3[[#This Row],[Qtde Oleo]]*(VLOOKUP(Tabela3[[#This Row],[Data]],CompraOleo[],3,TRUE))*1.05,0)</f>
        <v>49.981609466325409</v>
      </c>
      <c r="AA570" s="47">
        <f ca="1">(Tabela3[[#This Row],[Custo Oleo]]+Tabela3[[#This Row],[Custo Aluminio]]+Tabela3[[#This Row],[Custo M.O. Total]]+Tabela3[[#This Row],[Custo Machos]])</f>
        <v>683.91774023021435</v>
      </c>
      <c r="AB570" s="47">
        <f ca="1">Tabela3[[#This Row],[Custo Total]]*Tabela3[[#This Row],[% Perda]]</f>
        <v>0</v>
      </c>
      <c r="AC570" s="48">
        <f>IFERROR(VLOOKUP(Tabela3[[#This Row],[Produto]],Tabela2[],2,0),0)</f>
        <v>4</v>
      </c>
      <c r="AD570" s="48">
        <f>IFERROR(VLOOKUP(Tabela3[[#This Row],[Produto]],Tabela2[],3,0),0)</f>
        <v>0.53300000000000003</v>
      </c>
      <c r="AE570" s="48">
        <f>IFERROR(VLOOKUP(Tabela3[[#This Row],[Produto]],Tabela2[],4,0),0)</f>
        <v>3.3</v>
      </c>
      <c r="AF570" s="48">
        <f>IFERROR(VLOOKUP(Tabela3[[#This Row],[Produto]],Tabela2[],5,0),0)</f>
        <v>1.0511999999999997</v>
      </c>
      <c r="AG570" s="40">
        <f>IFERROR(VLOOKUP(Tabela3[[#This Row],[Produto]],Tabela2[],6,0),0)</f>
        <v>0</v>
      </c>
      <c r="AH570" s="40">
        <f>IFERROR(VLOOKUP(Tabela3[[#This Row],[Produto]],Tabela2[],7,0),0)</f>
        <v>0</v>
      </c>
      <c r="AI570" s="40">
        <f>IFERROR(VLOOKUP(Tabela3[[#This Row],[Produto]],Tabela2[],8,0),0)</f>
        <v>0</v>
      </c>
      <c r="AJ570" s="35">
        <f ca="1">IFERROR(VLOOKUP(Tabela3[[#This Row],[Produto]],Tabela2[],13,0),0)</f>
        <v>15.600000000000001</v>
      </c>
      <c r="AK570" s="40" t="str">
        <f>IFERROR(VLOOKUP(Tabela3[[#This Row],[Produto]],Tabela2[],14,0),0)</f>
        <v>Senun</v>
      </c>
      <c r="AL570" s="40">
        <f>IFERROR(VLOOKUP(Tabela3[[#This Row],[Produto]],Tabela2[],15,0),0)</f>
        <v>4</v>
      </c>
      <c r="AM570" s="36">
        <f ca="1">(Tabela3[[#This Row],[Custo Usinagem]]+Tabela3[[#This Row],[Custo / Pç]])*1.2</f>
        <v>20.582717082235714</v>
      </c>
      <c r="AN570" s="36">
        <f ca="1">Tabela3[[#This Row],[Valor Mínimo Venda]]*1.15</f>
        <v>23.670124644571068</v>
      </c>
      <c r="AO570" s="36">
        <f ca="1">Tabela3[[#This Row],[Tabela 1]]*1.08</f>
        <v>25.563734616136756</v>
      </c>
      <c r="AP570" s="36">
        <f ca="1">Tabela3[[#This Row],[Tabela 2]]*1.15</f>
        <v>29.398294808557267</v>
      </c>
    </row>
    <row r="571" spans="1:42">
      <c r="A571" s="9">
        <v>45891</v>
      </c>
      <c r="B571" s="6" t="s">
        <v>236</v>
      </c>
      <c r="C571" s="14">
        <v>7638</v>
      </c>
      <c r="D571" s="6" t="s">
        <v>44</v>
      </c>
      <c r="E571" s="6" t="s">
        <v>47</v>
      </c>
      <c r="F571" s="6">
        <v>59</v>
      </c>
      <c r="G571" s="15">
        <v>0.35833333333333334</v>
      </c>
      <c r="H571" s="16">
        <v>0</v>
      </c>
      <c r="I571" s="35">
        <f ca="1">IFERROR(Tabela3[[#This Row],[Custo Total]]/Tabela3[[#This Row],[Aluminio Util]],0)</f>
        <v>25.02398975780374</v>
      </c>
      <c r="J571" s="35">
        <f ca="1">Tabela3[[#This Row],[Custo Total]]/Tabela3[[#This Row],[Realizado]]</f>
        <v>7.5572449068567291</v>
      </c>
      <c r="K571" s="37">
        <f>IFERROR(Tabela3[[#This Row],[Qtde Cx Produzida]]/Tabela3[[#This Row],[Tempo]]/24,0)</f>
        <v>6.8604651162790695</v>
      </c>
      <c r="L571" s="37">
        <f>Tabela3[[#This Row],[Qtde Cx Produzida]]*Tabela3[[#This Row],[Qdt Peça Placa]]</f>
        <v>354</v>
      </c>
      <c r="M571" s="37">
        <f>Tabela3[[#This Row],[Previsto]]-Tabela3[[#This Row],[Perda Pçs]]</f>
        <v>354</v>
      </c>
      <c r="N571" s="38">
        <f>IFERROR(Tabela3[[#This Row],[Perda Pçs]]/Tabela3[[#This Row],[Previsto]],0)</f>
        <v>0</v>
      </c>
      <c r="O571" s="39">
        <f>IFERROR(IF(Tabela3[[#This Row],[Qtde Cx Produzida]] &lt;&gt; 0, Tabela3[[#This Row],[Tempo]] / Tabela3[[#This Row],[Qtde Cx Produzida]], 0),0)</f>
        <v>6.0734463276836161E-3</v>
      </c>
      <c r="P571" s="57">
        <f>IFERROR(Tabela3[[#This Row],[Perda Pçs]]/Tabela3[[#This Row],[Qdt Peça Placa]],0)</f>
        <v>0</v>
      </c>
      <c r="Q571" s="37">
        <f>IFERROR(Tabela3[[#This Row],[Realizado]]*Tabela3[[#This Row],[Peso Util/Pç]],0)</f>
        <v>106.908</v>
      </c>
      <c r="R571" s="37">
        <f>IFERROR(Tabela3[[#This Row],[Peso Total Galho]]*Tabela3[[#This Row],[Qtde Cx Produzida]]*1.055,0)</f>
        <v>133.95123999999998</v>
      </c>
      <c r="S571" s="37">
        <f>(Tabela3[[#This Row],[Aluminio Bruto]]-Tabela3[[#This Row],[Aluminio Util]])*0.9</f>
        <v>24.338915999999987</v>
      </c>
      <c r="T571" s="37">
        <f>Tabela3[[#This Row],[Aluminio Bruto]]/OleoKGAluminio</f>
        <v>56.353113470710653</v>
      </c>
      <c r="U571" s="35">
        <f>IFERROR((VLOOKUP(Tabela3[[#This Row],[Moldador]],Tabela1[],5,)+(VLOOKUP(Tabela3[[#This Row],[Ajudante]],Tabela1[],5,))*3.5),0)</f>
        <v>99.95034583333333</v>
      </c>
      <c r="V571" s="35">
        <f>IFERROR(Tabela3[[#This Row],[Custo M.O. / H]]/((Tabela3[[#This Row],[Realizado]]/Tabela3[[#This Row],[Qdt Peça Placa]])/Tabela3[[#This Row],[Tempo]]/24),)</f>
        <v>14.569033460451978</v>
      </c>
      <c r="W571" s="35">
        <f>Tabela3[[#This Row],[Custo / Cx Moldada]]*Tabela3[[#This Row],[Qtde Cx Produzida]]</f>
        <v>859.57297416666665</v>
      </c>
      <c r="X571" s="35">
        <f ca="1">Tabela3[[#This Row],[Aluminio Util]]*Tabela3[[#This Row],[Custo/Kg]]</f>
        <v>1667.7648000000002</v>
      </c>
      <c r="Y571" s="35">
        <f>IFERROR(VLOOKUP(Tabela3[[#This Row],[Data]],Tabela461213[],2,1)*(Tabela3[[#This Row],[Qtde Cx Produzida]]*Tabela3[[#This Row],[Qde macho / CX]]*Tabela3[[#This Row],[Peso Macho]]),)</f>
        <v>0</v>
      </c>
      <c r="Z571" s="35">
        <f>IFERROR(Tabela3[[#This Row],[Qtde Oleo]]*(VLOOKUP(Tabela3[[#This Row],[Data]],CompraOleo[],3,TRUE))*1.05,0)</f>
        <v>147.92692286061546</v>
      </c>
      <c r="AA571" s="47">
        <f ca="1">(Tabela3[[#This Row],[Custo Oleo]]+Tabela3[[#This Row],[Custo Aluminio]]+Tabela3[[#This Row],[Custo M.O. Total]]+Tabela3[[#This Row],[Custo Machos]])</f>
        <v>2675.2646970272822</v>
      </c>
      <c r="AB571" s="47">
        <f ca="1">Tabela3[[#This Row],[Custo Total]]*Tabela3[[#This Row],[% Perda]]</f>
        <v>0</v>
      </c>
      <c r="AC571" s="48">
        <f>IFERROR(VLOOKUP(Tabela3[[#This Row],[Produto]],Tabela2[],2,0),0)</f>
        <v>6</v>
      </c>
      <c r="AD571" s="48">
        <f>IFERROR(VLOOKUP(Tabela3[[#This Row],[Produto]],Tabela2[],3,0),0)</f>
        <v>0.30199999999999999</v>
      </c>
      <c r="AE571" s="48">
        <f>IFERROR(VLOOKUP(Tabela3[[#This Row],[Produto]],Tabela2[],4,0),0)</f>
        <v>2.1520000000000001</v>
      </c>
      <c r="AF571" s="48">
        <f>IFERROR(VLOOKUP(Tabela3[[#This Row],[Produto]],Tabela2[],5,0),0)</f>
        <v>0.30600000000000027</v>
      </c>
      <c r="AG571" s="40">
        <f>IFERROR(VLOOKUP(Tabela3[[#This Row],[Produto]],Tabela2[],6,0),0)</f>
        <v>0</v>
      </c>
      <c r="AH571" s="40">
        <f>IFERROR(VLOOKUP(Tabela3[[#This Row],[Produto]],Tabela2[],7,0),0)</f>
        <v>0</v>
      </c>
      <c r="AI571" s="40">
        <f>IFERROR(VLOOKUP(Tabela3[[#This Row],[Produto]],Tabela2[],8,0),0)</f>
        <v>0</v>
      </c>
      <c r="AJ571" s="35">
        <f ca="1">IFERROR(VLOOKUP(Tabela3[[#This Row],[Produto]],Tabela2[],13,0),0)</f>
        <v>15.600000000000001</v>
      </c>
      <c r="AK571" s="40" t="str">
        <f>IFERROR(VLOOKUP(Tabela3[[#This Row],[Produto]],Tabela2[],14,0),0)</f>
        <v>Senun</v>
      </c>
      <c r="AL571" s="40">
        <f>IFERROR(VLOOKUP(Tabela3[[#This Row],[Produto]],Tabela2[],15,0),0)</f>
        <v>4</v>
      </c>
      <c r="AM571" s="36">
        <f ca="1">(Tabela3[[#This Row],[Custo Usinagem]]+Tabela3[[#This Row],[Custo / Pç]])*1.2</f>
        <v>13.868693888228075</v>
      </c>
      <c r="AN571" s="36">
        <f ca="1">Tabela3[[#This Row],[Valor Mínimo Venda]]*1.15</f>
        <v>15.948997971462285</v>
      </c>
      <c r="AO571" s="36">
        <f ca="1">Tabela3[[#This Row],[Tabela 1]]*1.08</f>
        <v>17.224917809179271</v>
      </c>
      <c r="AP571" s="36">
        <f ca="1">Tabela3[[#This Row],[Tabela 2]]*1.15</f>
        <v>19.808655480556158</v>
      </c>
    </row>
    <row r="572" spans="1:42">
      <c r="A572" s="9">
        <v>45894</v>
      </c>
      <c r="B572" s="6" t="s">
        <v>245</v>
      </c>
      <c r="C572" s="14">
        <v>7689</v>
      </c>
      <c r="D572" s="6" t="s">
        <v>46</v>
      </c>
      <c r="E572" s="6" t="s">
        <v>44</v>
      </c>
      <c r="F572" s="6">
        <v>27</v>
      </c>
      <c r="G572" s="15">
        <v>0.12986111111111112</v>
      </c>
      <c r="H572" s="16">
        <v>0</v>
      </c>
      <c r="I572" s="35">
        <f ca="1">IFERROR(Tabela3[[#This Row],[Custo Total]]/Tabela3[[#This Row],[Aluminio Util]],0)</f>
        <v>28.578177323616409</v>
      </c>
      <c r="J572" s="35">
        <f ca="1">Tabela3[[#This Row],[Custo Total]]/Tabela3[[#This Row],[Realizado]]</f>
        <v>9.4879548714406479</v>
      </c>
      <c r="K572" s="37">
        <f>IFERROR(Tabela3[[#This Row],[Qtde Cx Produzida]]/Tabela3[[#This Row],[Tempo]]/24,0)</f>
        <v>8.663101604278074</v>
      </c>
      <c r="L572" s="37">
        <f>Tabela3[[#This Row],[Qtde Cx Produzida]]*Tabela3[[#This Row],[Qdt Peça Placa]]</f>
        <v>108</v>
      </c>
      <c r="M572" s="37">
        <f>Tabela3[[#This Row],[Previsto]]-Tabela3[[#This Row],[Perda Pçs]]</f>
        <v>108</v>
      </c>
      <c r="N572" s="38">
        <f>IFERROR(Tabela3[[#This Row],[Perda Pçs]]/Tabela3[[#This Row],[Previsto]],0)</f>
        <v>0</v>
      </c>
      <c r="O572" s="39">
        <f>IFERROR(IF(Tabela3[[#This Row],[Qtde Cx Produzida]] &lt;&gt; 0, Tabela3[[#This Row],[Tempo]] / Tabela3[[#This Row],[Qtde Cx Produzida]], 0),0)</f>
        <v>4.8096707818930046E-3</v>
      </c>
      <c r="P572" s="57">
        <f>IFERROR(Tabela3[[#This Row],[Perda Pçs]]/Tabela3[[#This Row],[Qdt Peça Placa]],0)</f>
        <v>0</v>
      </c>
      <c r="Q572" s="37">
        <f>IFERROR(Tabela3[[#This Row],[Realizado]]*Tabela3[[#This Row],[Peso Util/Pç]],0)</f>
        <v>35.856000000000002</v>
      </c>
      <c r="R572" s="37">
        <f>IFERROR(Tabela3[[#This Row],[Peso Total Galho]]*Tabela3[[#This Row],[Qtde Cx Produzida]]*1.055,0)</f>
        <v>65.515499999999989</v>
      </c>
      <c r="S572" s="37">
        <f>(Tabela3[[#This Row],[Aluminio Bruto]]-Tabela3[[#This Row],[Aluminio Util]])*0.9</f>
        <v>26.693549999999988</v>
      </c>
      <c r="T572" s="37">
        <f>Tabela3[[#This Row],[Aluminio Bruto]]/OleoKGAluminio</f>
        <v>27.562286139272345</v>
      </c>
      <c r="U572" s="35">
        <f>IFERROR((VLOOKUP(Tabela3[[#This Row],[Moldador]],Tabela1[],5,)+(VLOOKUP(Tabela3[[#This Row],[Ajudante]],Tabela1[],5,))*3.5),0)</f>
        <v>126.0945</v>
      </c>
      <c r="V572" s="35">
        <f>IFERROR(Tabela3[[#This Row],[Custo M.O. / H]]/((Tabela3[[#This Row],[Realizado]]/Tabela3[[#This Row],[Qdt Peça Placa]])/Tabela3[[#This Row],[Tempo]]/24),)</f>
        <v>14.555352777777779</v>
      </c>
      <c r="W572" s="35">
        <f>Tabela3[[#This Row],[Custo / Cx Moldada]]*Tabela3[[#This Row],[Qtde Cx Produzida]]</f>
        <v>392.99452500000001</v>
      </c>
      <c r="X572" s="35">
        <f ca="1">Tabela3[[#This Row],[Aluminio Util]]*Tabela3[[#This Row],[Custo/Kg]]</f>
        <v>559.35360000000003</v>
      </c>
      <c r="Y572" s="35">
        <f>IFERROR(VLOOKUP(Tabela3[[#This Row],[Data]],Tabela461213[],2,1)*(Tabela3[[#This Row],[Qtde Cx Produzida]]*Tabela3[[#This Row],[Qde macho / CX]]*Tabela3[[#This Row],[Peso Macho]]),)</f>
        <v>0</v>
      </c>
      <c r="Z572" s="35">
        <f>IFERROR(Tabela3[[#This Row],[Qtde Oleo]]*(VLOOKUP(Tabela3[[#This Row],[Data]],CompraOleo[],3,TRUE))*1.05,0)</f>
        <v>72.351001115589909</v>
      </c>
      <c r="AA572" s="47">
        <f ca="1">(Tabela3[[#This Row],[Custo Oleo]]+Tabela3[[#This Row],[Custo Aluminio]]+Tabela3[[#This Row],[Custo M.O. Total]]+Tabela3[[#This Row],[Custo Machos]])</f>
        <v>1024.6991261155899</v>
      </c>
      <c r="AB572" s="47">
        <f ca="1">Tabela3[[#This Row],[Custo Total]]*Tabela3[[#This Row],[% Perda]]</f>
        <v>0</v>
      </c>
      <c r="AC572" s="48">
        <f>IFERROR(VLOOKUP(Tabela3[[#This Row],[Produto]],Tabela2[],2,0),0)</f>
        <v>4</v>
      </c>
      <c r="AD572" s="48">
        <f>IFERROR(VLOOKUP(Tabela3[[#This Row],[Produto]],Tabela2[],3,0),0)</f>
        <v>0.33200000000000002</v>
      </c>
      <c r="AE572" s="48">
        <f>IFERROR(VLOOKUP(Tabela3[[#This Row],[Produto]],Tabela2[],4,0),0)</f>
        <v>2.2999999999999998</v>
      </c>
      <c r="AF572" s="48">
        <f>IFERROR(VLOOKUP(Tabela3[[#This Row],[Produto]],Tabela2[],5,0),0)</f>
        <v>0.8747999999999998</v>
      </c>
      <c r="AG572" s="40">
        <f>IFERROR(VLOOKUP(Tabela3[[#This Row],[Produto]],Tabela2[],6,0),0)</f>
        <v>0</v>
      </c>
      <c r="AH572" s="40">
        <f>IFERROR(VLOOKUP(Tabela3[[#This Row],[Produto]],Tabela2[],7,0),0)</f>
        <v>0</v>
      </c>
      <c r="AI572" s="40">
        <f>IFERROR(VLOOKUP(Tabela3[[#This Row],[Produto]],Tabela2[],8,0),0)</f>
        <v>0</v>
      </c>
      <c r="AJ572" s="35">
        <f ca="1">IFERROR(VLOOKUP(Tabela3[[#This Row],[Produto]],Tabela2[],13,0),0)</f>
        <v>15.600000000000001</v>
      </c>
      <c r="AK572" s="40" t="str">
        <f>IFERROR(VLOOKUP(Tabela3[[#This Row],[Produto]],Tabela2[],14,0),0)</f>
        <v>Senun</v>
      </c>
      <c r="AL572" s="40">
        <f>IFERROR(VLOOKUP(Tabela3[[#This Row],[Produto]],Tabela2[],15,0),0)</f>
        <v>3.5</v>
      </c>
      <c r="AM572" s="36">
        <f ca="1">(Tabela3[[#This Row],[Custo Usinagem]]+Tabela3[[#This Row],[Custo / Pç]])*1.2</f>
        <v>15.585545845728777</v>
      </c>
      <c r="AN572" s="36">
        <f ca="1">Tabela3[[#This Row],[Valor Mínimo Venda]]*1.15</f>
        <v>17.923377722588093</v>
      </c>
      <c r="AO572" s="36">
        <f ca="1">Tabela3[[#This Row],[Tabela 1]]*1.08</f>
        <v>19.357247940395141</v>
      </c>
      <c r="AP572" s="36">
        <f ca="1">Tabela3[[#This Row],[Tabela 2]]*1.15</f>
        <v>22.26083513145441</v>
      </c>
    </row>
    <row r="573" spans="1:42">
      <c r="A573" s="9">
        <v>45894</v>
      </c>
      <c r="B573" s="6" t="s">
        <v>91</v>
      </c>
      <c r="C573" s="14">
        <v>7693</v>
      </c>
      <c r="D573" s="6" t="s">
        <v>46</v>
      </c>
      <c r="E573" s="6" t="s">
        <v>44</v>
      </c>
      <c r="F573" s="6">
        <v>15</v>
      </c>
      <c r="G573" s="15">
        <v>7.0833333333333331E-2</v>
      </c>
      <c r="H573" s="16">
        <v>0</v>
      </c>
      <c r="I573" s="35">
        <f ca="1">IFERROR(Tabela3[[#This Row],[Custo Total]]/Tabela3[[#This Row],[Aluminio Util]],0)</f>
        <v>39.534736010412011</v>
      </c>
      <c r="J573" s="35">
        <f ca="1">Tabela3[[#This Row],[Custo Total]]/Tabela3[[#This Row],[Realizado]]</f>
        <v>30.995233032163014</v>
      </c>
      <c r="K573" s="37">
        <f>IFERROR(Tabela3[[#This Row],[Qtde Cx Produzida]]/Tabela3[[#This Row],[Tempo]]/24,0)</f>
        <v>8.8235294117647065</v>
      </c>
      <c r="L573" s="37">
        <f>Tabela3[[#This Row],[Qtde Cx Produzida]]*Tabela3[[#This Row],[Qdt Peça Placa]]</f>
        <v>60</v>
      </c>
      <c r="M573" s="37">
        <f>Tabela3[[#This Row],[Previsto]]-Tabela3[[#This Row],[Perda Pçs]]</f>
        <v>60</v>
      </c>
      <c r="N573" s="38">
        <f>IFERROR(Tabela3[[#This Row],[Perda Pçs]]/Tabela3[[#This Row],[Previsto]],0)</f>
        <v>0</v>
      </c>
      <c r="O573" s="39">
        <f>IFERROR(IF(Tabela3[[#This Row],[Qtde Cx Produzida]] &lt;&gt; 0, Tabela3[[#This Row],[Tempo]] / Tabela3[[#This Row],[Qtde Cx Produzida]], 0),0)</f>
        <v>4.7222222222222223E-3</v>
      </c>
      <c r="P573" s="57">
        <f>IFERROR(Tabela3[[#This Row],[Perda Pçs]]/Tabela3[[#This Row],[Qdt Peça Placa]],0)</f>
        <v>0</v>
      </c>
      <c r="Q573" s="37">
        <f>IFERROR(Tabela3[[#This Row],[Realizado]]*Tabela3[[#This Row],[Peso Util/Pç]],0)</f>
        <v>47.04</v>
      </c>
      <c r="R573" s="37">
        <f>IFERROR(Tabela3[[#This Row],[Peso Total Galho]]*Tabela3[[#This Row],[Qtde Cx Produzida]]*1.055,0)</f>
        <v>87.7971</v>
      </c>
      <c r="S573" s="37">
        <f>(Tabela3[[#This Row],[Aluminio Bruto]]-Tabela3[[#This Row],[Aluminio Util]])*0.9</f>
        <v>36.68139</v>
      </c>
      <c r="T573" s="37">
        <f>Tabela3[[#This Row],[Aluminio Bruto]]/OleoKGAluminio</f>
        <v>36.936126449440337</v>
      </c>
      <c r="U573" s="35">
        <f>IFERROR((VLOOKUP(Tabela3[[#This Row],[Moldador]],Tabela1[],5,)+(VLOOKUP(Tabela3[[#This Row],[Ajudante]],Tabela1[],5,))*3.5),0)</f>
        <v>126.0945</v>
      </c>
      <c r="V573" s="35">
        <f>IFERROR(Tabela3[[#This Row],[Custo M.O. / H]]/((Tabela3[[#This Row],[Realizado]]/Tabela3[[#This Row],[Qdt Peça Placa]])/Tabela3[[#This Row],[Tempo]]/24),)</f>
        <v>14.290709999999999</v>
      </c>
      <c r="W573" s="35">
        <f>Tabela3[[#This Row],[Custo / Cx Moldada]]*Tabela3[[#This Row],[Qtde Cx Produzida]]</f>
        <v>214.36064999999999</v>
      </c>
      <c r="X573" s="35">
        <f ca="1">Tabela3[[#This Row],[Aluminio Util]]*Tabela3[[#This Row],[Custo/Kg]]</f>
        <v>733.82400000000007</v>
      </c>
      <c r="Y573" s="35">
        <f>IFERROR(VLOOKUP(Tabela3[[#This Row],[Data]],Tabela461213[],2,1)*(Tabela3[[#This Row],[Qtde Cx Produzida]]*Tabela3[[#This Row],[Qde macho / CX]]*Tabela3[[#This Row],[Peso Macho]]),)</f>
        <v>814.57199999999989</v>
      </c>
      <c r="Z573" s="35">
        <f>IFERROR(Tabela3[[#This Row],[Qtde Oleo]]*(VLOOKUP(Tabela3[[#This Row],[Data]],CompraOleo[],3,TRUE))*1.05,0)</f>
        <v>96.957331929780892</v>
      </c>
      <c r="AA573" s="47">
        <f ca="1">(Tabela3[[#This Row],[Custo Oleo]]+Tabela3[[#This Row],[Custo Aluminio]]+Tabela3[[#This Row],[Custo M.O. Total]]+Tabela3[[#This Row],[Custo Machos]])</f>
        <v>1859.7139819297809</v>
      </c>
      <c r="AB573" s="47">
        <f ca="1">Tabela3[[#This Row],[Custo Total]]*Tabela3[[#This Row],[% Perda]]</f>
        <v>0</v>
      </c>
      <c r="AC573" s="48">
        <f>IFERROR(VLOOKUP(Tabela3[[#This Row],[Produto]],Tabela2[],2,0),0)</f>
        <v>4</v>
      </c>
      <c r="AD573" s="48">
        <f>IFERROR(VLOOKUP(Tabela3[[#This Row],[Produto]],Tabela2[],3,0),0)</f>
        <v>0.78400000000000003</v>
      </c>
      <c r="AE573" s="48">
        <f>IFERROR(VLOOKUP(Tabela3[[#This Row],[Produto]],Tabela2[],4,0),0)</f>
        <v>5.548</v>
      </c>
      <c r="AF573" s="48">
        <f>IFERROR(VLOOKUP(Tabela3[[#This Row],[Produto]],Tabela2[],5,0),0)</f>
        <v>2.1707999999999998</v>
      </c>
      <c r="AG573" s="40">
        <f>IFERROR(VLOOKUP(Tabela3[[#This Row],[Produto]],Tabela2[],6,0),0)</f>
        <v>0</v>
      </c>
      <c r="AH573" s="40">
        <f>IFERROR(VLOOKUP(Tabela3[[#This Row],[Produto]],Tabela2[],7,0),0)</f>
        <v>12</v>
      </c>
      <c r="AI573" s="40">
        <f>IFERROR(VLOOKUP(Tabela3[[#This Row],[Produto]],Tabela2[],8,0),0)</f>
        <v>2.6619999999999999</v>
      </c>
      <c r="AJ573" s="35">
        <f ca="1">IFERROR(VLOOKUP(Tabela3[[#This Row],[Produto]],Tabela2[],13,0),0)</f>
        <v>15.600000000000001</v>
      </c>
      <c r="AK573" s="40" t="str">
        <f>IFERROR(VLOOKUP(Tabela3[[#This Row],[Produto]],Tabela2[],14,0),0)</f>
        <v>Jumil</v>
      </c>
      <c r="AL573" s="40">
        <f>IFERROR(VLOOKUP(Tabela3[[#This Row],[Produto]],Tabela2[],15,0),0)</f>
        <v>8</v>
      </c>
      <c r="AM573" s="36">
        <f ca="1">(Tabela3[[#This Row],[Custo Usinagem]]+Tabela3[[#This Row],[Custo / Pç]])*1.2</f>
        <v>46.794279638595619</v>
      </c>
      <c r="AN573" s="36">
        <f ca="1">Tabela3[[#This Row],[Valor Mínimo Venda]]*1.15</f>
        <v>53.813421584384955</v>
      </c>
      <c r="AO573" s="36">
        <f ca="1">Tabela3[[#This Row],[Tabela 1]]*1.08</f>
        <v>58.118495311135753</v>
      </c>
      <c r="AP573" s="36">
        <f ca="1">Tabela3[[#This Row],[Tabela 2]]*1.15</f>
        <v>66.836269607806116</v>
      </c>
    </row>
    <row r="574" spans="1:42">
      <c r="A574" s="9">
        <v>45894</v>
      </c>
      <c r="B574" s="6" t="s">
        <v>269</v>
      </c>
      <c r="C574" s="14">
        <v>7679</v>
      </c>
      <c r="D574" s="6" t="s">
        <v>46</v>
      </c>
      <c r="E574" s="6" t="s">
        <v>326</v>
      </c>
      <c r="F574" s="6">
        <v>29</v>
      </c>
      <c r="G574" s="15">
        <v>0.15763888888888888</v>
      </c>
      <c r="H574" s="16">
        <v>0</v>
      </c>
      <c r="I574" s="35">
        <f ca="1">IFERROR(Tabela3[[#This Row],[Custo Total]]/Tabela3[[#This Row],[Aluminio Util]],0)</f>
        <v>21.093611815011613</v>
      </c>
      <c r="J574" s="35">
        <f ca="1">Tabela3[[#This Row],[Custo Total]]/Tabela3[[#This Row],[Realizado]]</f>
        <v>122.34294852706734</v>
      </c>
      <c r="K574" s="37">
        <f>IFERROR(Tabela3[[#This Row],[Qtde Cx Produzida]]/Tabela3[[#This Row],[Tempo]]/24,0)</f>
        <v>7.6651982378854626</v>
      </c>
      <c r="L574" s="37">
        <f>Tabela3[[#This Row],[Qtde Cx Produzida]]*Tabela3[[#This Row],[Qdt Peça Placa]]</f>
        <v>29</v>
      </c>
      <c r="M574" s="37">
        <f>Tabela3[[#This Row],[Previsto]]-Tabela3[[#This Row],[Perda Pçs]]</f>
        <v>29</v>
      </c>
      <c r="N574" s="38">
        <f>IFERROR(Tabela3[[#This Row],[Perda Pçs]]/Tabela3[[#This Row],[Previsto]],0)</f>
        <v>0</v>
      </c>
      <c r="O574" s="39">
        <f>IFERROR(IF(Tabela3[[#This Row],[Qtde Cx Produzida]] &lt;&gt; 0, Tabela3[[#This Row],[Tempo]] / Tabela3[[#This Row],[Qtde Cx Produzida]], 0),0)</f>
        <v>5.4358237547892721E-3</v>
      </c>
      <c r="P574" s="57">
        <f>IFERROR(Tabela3[[#This Row],[Perda Pçs]]/Tabela3[[#This Row],[Qdt Peça Placa]],0)</f>
        <v>0</v>
      </c>
      <c r="Q574" s="37">
        <f>IFERROR(Tabela3[[#This Row],[Realizado]]*Tabela3[[#This Row],[Peso Util/Pç]],0)</f>
        <v>168.2</v>
      </c>
      <c r="R574" s="37">
        <f>IFERROR(Tabela3[[#This Row],[Peso Total Galho]]*Tabela3[[#This Row],[Qtde Cx Produzida]]*1.055,0)</f>
        <v>189.68899999999999</v>
      </c>
      <c r="S574" s="37">
        <f>(Tabela3[[#This Row],[Aluminio Bruto]]-Tabela3[[#This Row],[Aluminio Util]])*0.9</f>
        <v>19.340100000000003</v>
      </c>
      <c r="T574" s="37">
        <f>Tabela3[[#This Row],[Aluminio Bruto]]/OleoKGAluminio</f>
        <v>79.801917034479359</v>
      </c>
      <c r="U574" s="35">
        <f>IFERROR((VLOOKUP(Tabela3[[#This Row],[Moldador]],Tabela1[],5,)+(VLOOKUP(Tabela3[[#This Row],[Ajudante]],Tabela1[],5,))*3.5),0)</f>
        <v>99.95034583333333</v>
      </c>
      <c r="V574" s="35">
        <f>IFERROR(Tabela3[[#This Row],[Custo M.O. / H]]/((Tabela3[[#This Row],[Realizado]]/Tabela3[[#This Row],[Qdt Peça Placa]])/Tabela3[[#This Row],[Tempo]]/24),)</f>
        <v>13.03949914032567</v>
      </c>
      <c r="W574" s="35">
        <f>Tabela3[[#This Row],[Custo / Cx Moldada]]*Tabela3[[#This Row],[Qtde Cx Produzida]]</f>
        <v>378.14547506944444</v>
      </c>
      <c r="X574" s="35">
        <f ca="1">Tabela3[[#This Row],[Aluminio Util]]*Tabela3[[#This Row],[Custo/Kg]]</f>
        <v>2960.32</v>
      </c>
      <c r="Y574" s="35">
        <f>IFERROR(VLOOKUP(Tabela3[[#This Row],[Data]],Tabela461213[],2,1)*(Tabela3[[#This Row],[Qtde Cx Produzida]]*Tabela3[[#This Row],[Qde macho / CX]]*Tabela3[[#This Row],[Peso Macho]]),)</f>
        <v>0</v>
      </c>
      <c r="Z574" s="35">
        <f>IFERROR(Tabela3[[#This Row],[Qtde Oleo]]*(VLOOKUP(Tabela3[[#This Row],[Data]],CompraOleo[],3,TRUE))*1.05,0)</f>
        <v>209.48003221550832</v>
      </c>
      <c r="AA574" s="47">
        <f ca="1">(Tabela3[[#This Row],[Custo Oleo]]+Tabela3[[#This Row],[Custo Aluminio]]+Tabela3[[#This Row],[Custo M.O. Total]]+Tabela3[[#This Row],[Custo Machos]])</f>
        <v>3547.9455072849528</v>
      </c>
      <c r="AB574" s="47">
        <f ca="1">Tabela3[[#This Row],[Custo Total]]*Tabela3[[#This Row],[% Perda]]</f>
        <v>0</v>
      </c>
      <c r="AC574" s="48">
        <f>IFERROR(VLOOKUP(Tabela3[[#This Row],[Produto]],Tabela2[],2,0),0)</f>
        <v>1</v>
      </c>
      <c r="AD574" s="48">
        <f>IFERROR(VLOOKUP(Tabela3[[#This Row],[Produto]],Tabela2[],3,0),0)</f>
        <v>5.8</v>
      </c>
      <c r="AE574" s="48">
        <f>IFERROR(VLOOKUP(Tabela3[[#This Row],[Produto]],Tabela2[],4,0),0)</f>
        <v>6.2</v>
      </c>
      <c r="AF574" s="48">
        <f>IFERROR(VLOOKUP(Tabela3[[#This Row],[Produto]],Tabela2[],5,0),0)</f>
        <v>0.36000000000000032</v>
      </c>
      <c r="AG574" s="40">
        <f>IFERROR(VLOOKUP(Tabela3[[#This Row],[Produto]],Tabela2[],6,0),0)</f>
        <v>0</v>
      </c>
      <c r="AH574" s="40">
        <f>IFERROR(VLOOKUP(Tabela3[[#This Row],[Produto]],Tabela2[],7,0),0)</f>
        <v>0</v>
      </c>
      <c r="AI574" s="40">
        <f>IFERROR(VLOOKUP(Tabela3[[#This Row],[Produto]],Tabela2[],8,0),0)</f>
        <v>0</v>
      </c>
      <c r="AJ574" s="35">
        <f ca="1">IFERROR(VLOOKUP(Tabela3[[#This Row],[Produto]],Tabela2[],13,0),0)</f>
        <v>17.600000000000001</v>
      </c>
      <c r="AK574" s="40" t="str">
        <f>IFERROR(VLOOKUP(Tabela3[[#This Row],[Produto]],Tabela2[],14,0),0)</f>
        <v>Danilo</v>
      </c>
      <c r="AL574" s="40">
        <f>IFERROR(VLOOKUP(Tabela3[[#This Row],[Produto]],Tabela2[],15,0),0)</f>
        <v>0</v>
      </c>
      <c r="AM574" s="36">
        <f ca="1">(Tabela3[[#This Row],[Custo Usinagem]]+Tabela3[[#This Row],[Custo / Pç]])*1.2</f>
        <v>146.81153823248079</v>
      </c>
      <c r="AN574" s="36">
        <f ca="1">Tabela3[[#This Row],[Valor Mínimo Venda]]*1.15</f>
        <v>168.83326896735289</v>
      </c>
      <c r="AO574" s="36">
        <f ca="1">Tabela3[[#This Row],[Tabela 1]]*1.08</f>
        <v>182.33993048474113</v>
      </c>
      <c r="AP574" s="36">
        <f ca="1">Tabela3[[#This Row],[Tabela 2]]*1.15</f>
        <v>209.69092005745227</v>
      </c>
    </row>
    <row r="575" spans="1:42">
      <c r="A575" s="9">
        <v>45895</v>
      </c>
      <c r="B575" s="6" t="s">
        <v>269</v>
      </c>
      <c r="C575" s="14">
        <v>7679</v>
      </c>
      <c r="D575" s="6" t="s">
        <v>46</v>
      </c>
      <c r="E575" s="6" t="s">
        <v>326</v>
      </c>
      <c r="F575" s="6">
        <v>21</v>
      </c>
      <c r="G575" s="15">
        <v>0.1125</v>
      </c>
      <c r="H575" s="16">
        <v>0</v>
      </c>
      <c r="I575" s="35">
        <f ca="1">IFERROR(Tabela3[[#This Row],[Custo Total]]/Tabela3[[#This Row],[Aluminio Util]],0)</f>
        <v>21.061070368403737</v>
      </c>
      <c r="J575" s="35">
        <f ca="1">Tabela3[[#This Row],[Custo Total]]/Tabela3[[#This Row],[Realizado]]</f>
        <v>122.15420813674167</v>
      </c>
      <c r="K575" s="37">
        <f>IFERROR(Tabela3[[#This Row],[Qtde Cx Produzida]]/Tabela3[[#This Row],[Tempo]]/24,0)</f>
        <v>7.7777777777777777</v>
      </c>
      <c r="L575" s="37">
        <f>Tabela3[[#This Row],[Qtde Cx Produzida]]*Tabela3[[#This Row],[Qdt Peça Placa]]</f>
        <v>21</v>
      </c>
      <c r="M575" s="37">
        <f>Tabela3[[#This Row],[Previsto]]-Tabela3[[#This Row],[Perda Pçs]]</f>
        <v>21</v>
      </c>
      <c r="N575" s="38">
        <f>IFERROR(Tabela3[[#This Row],[Perda Pçs]]/Tabela3[[#This Row],[Previsto]],0)</f>
        <v>0</v>
      </c>
      <c r="O575" s="39">
        <f>IFERROR(IF(Tabela3[[#This Row],[Qtde Cx Produzida]] &lt;&gt; 0, Tabela3[[#This Row],[Tempo]] / Tabela3[[#This Row],[Qtde Cx Produzida]], 0),0)</f>
        <v>5.3571428571428572E-3</v>
      </c>
      <c r="P575" s="57">
        <f>IFERROR(Tabela3[[#This Row],[Perda Pçs]]/Tabela3[[#This Row],[Qdt Peça Placa]],0)</f>
        <v>0</v>
      </c>
      <c r="Q575" s="37">
        <f>IFERROR(Tabela3[[#This Row],[Realizado]]*Tabela3[[#This Row],[Peso Util/Pç]],0)</f>
        <v>121.8</v>
      </c>
      <c r="R575" s="37">
        <f>IFERROR(Tabela3[[#This Row],[Peso Total Galho]]*Tabela3[[#This Row],[Qtde Cx Produzida]]*1.055,0)</f>
        <v>137.36100000000002</v>
      </c>
      <c r="S575" s="37">
        <f>(Tabela3[[#This Row],[Aluminio Bruto]]-Tabela3[[#This Row],[Aluminio Util]])*0.9</f>
        <v>14.004900000000019</v>
      </c>
      <c r="T575" s="37">
        <f>Tabela3[[#This Row],[Aluminio Bruto]]/OleoKGAluminio</f>
        <v>57.787595093933341</v>
      </c>
      <c r="U575" s="35">
        <f>IFERROR((VLOOKUP(Tabela3[[#This Row],[Moldador]],Tabela1[],5,)+(VLOOKUP(Tabela3[[#This Row],[Ajudante]],Tabela1[],5,))*3.5),0)</f>
        <v>99.95034583333333</v>
      </c>
      <c r="V575" s="35">
        <f>IFERROR(Tabela3[[#This Row],[Custo M.O. / H]]/((Tabela3[[#This Row],[Realizado]]/Tabela3[[#This Row],[Qdt Peça Placa]])/Tabela3[[#This Row],[Tempo]]/24),)</f>
        <v>12.850758749999999</v>
      </c>
      <c r="W575" s="35">
        <f>Tabela3[[#This Row],[Custo / Cx Moldada]]*Tabela3[[#This Row],[Qtde Cx Produzida]]</f>
        <v>269.86593374999995</v>
      </c>
      <c r="X575" s="35">
        <f ca="1">Tabela3[[#This Row],[Aluminio Util]]*Tabela3[[#This Row],[Custo/Kg]]</f>
        <v>2143.6800000000003</v>
      </c>
      <c r="Y575" s="35">
        <f>IFERROR(VLOOKUP(Tabela3[[#This Row],[Data]],Tabela461213[],2,1)*(Tabela3[[#This Row],[Qtde Cx Produzida]]*Tabela3[[#This Row],[Qde macho / CX]]*Tabela3[[#This Row],[Peso Macho]]),)</f>
        <v>0</v>
      </c>
      <c r="Z575" s="35">
        <f>IFERROR(Tabela3[[#This Row],[Qtde Oleo]]*(VLOOKUP(Tabela3[[#This Row],[Data]],CompraOleo[],3,TRUE))*1.05,0)</f>
        <v>151.69243712157501</v>
      </c>
      <c r="AA575" s="47">
        <f ca="1">(Tabela3[[#This Row],[Custo Oleo]]+Tabela3[[#This Row],[Custo Aluminio]]+Tabela3[[#This Row],[Custo M.O. Total]]+Tabela3[[#This Row],[Custo Machos]])</f>
        <v>2565.2383708715752</v>
      </c>
      <c r="AB575" s="47">
        <f ca="1">Tabela3[[#This Row],[Custo Total]]*Tabela3[[#This Row],[% Perda]]</f>
        <v>0</v>
      </c>
      <c r="AC575" s="48">
        <f>IFERROR(VLOOKUP(Tabela3[[#This Row],[Produto]],Tabela2[],2,0),0)</f>
        <v>1</v>
      </c>
      <c r="AD575" s="48">
        <f>IFERROR(VLOOKUP(Tabela3[[#This Row],[Produto]],Tabela2[],3,0),0)</f>
        <v>5.8</v>
      </c>
      <c r="AE575" s="48">
        <f>IFERROR(VLOOKUP(Tabela3[[#This Row],[Produto]],Tabela2[],4,0),0)</f>
        <v>6.2</v>
      </c>
      <c r="AF575" s="48">
        <f>IFERROR(VLOOKUP(Tabela3[[#This Row],[Produto]],Tabela2[],5,0),0)</f>
        <v>0.36000000000000032</v>
      </c>
      <c r="AG575" s="40">
        <f>IFERROR(VLOOKUP(Tabela3[[#This Row],[Produto]],Tabela2[],6,0),0)</f>
        <v>0</v>
      </c>
      <c r="AH575" s="40">
        <f>IFERROR(VLOOKUP(Tabela3[[#This Row],[Produto]],Tabela2[],7,0),0)</f>
        <v>0</v>
      </c>
      <c r="AI575" s="40">
        <f>IFERROR(VLOOKUP(Tabela3[[#This Row],[Produto]],Tabela2[],8,0),0)</f>
        <v>0</v>
      </c>
      <c r="AJ575" s="35">
        <f ca="1">IFERROR(VLOOKUP(Tabela3[[#This Row],[Produto]],Tabela2[],13,0),0)</f>
        <v>17.600000000000001</v>
      </c>
      <c r="AK575" s="40" t="str">
        <f>IFERROR(VLOOKUP(Tabela3[[#This Row],[Produto]],Tabela2[],14,0),0)</f>
        <v>Danilo</v>
      </c>
      <c r="AL575" s="40">
        <f>IFERROR(VLOOKUP(Tabela3[[#This Row],[Produto]],Tabela2[],15,0),0)</f>
        <v>0</v>
      </c>
      <c r="AM575" s="36">
        <f ca="1">(Tabela3[[#This Row],[Custo Usinagem]]+Tabela3[[#This Row],[Custo / Pç]])*1.2</f>
        <v>146.58504976409</v>
      </c>
      <c r="AN575" s="36">
        <f ca="1">Tabela3[[#This Row],[Valor Mínimo Venda]]*1.15</f>
        <v>168.57280722870348</v>
      </c>
      <c r="AO575" s="36">
        <f ca="1">Tabela3[[#This Row],[Tabela 1]]*1.08</f>
        <v>182.05863180699978</v>
      </c>
      <c r="AP575" s="36">
        <f ca="1">Tabela3[[#This Row],[Tabela 2]]*1.15</f>
        <v>209.36742657804973</v>
      </c>
    </row>
    <row r="576" spans="1:42">
      <c r="A576" s="9">
        <v>45895</v>
      </c>
      <c r="B576" s="6" t="s">
        <v>141</v>
      </c>
      <c r="C576" s="14">
        <v>7680</v>
      </c>
      <c r="D576" s="6" t="s">
        <v>46</v>
      </c>
      <c r="E576" s="6" t="s">
        <v>326</v>
      </c>
      <c r="F576" s="6">
        <v>50</v>
      </c>
      <c r="G576" s="15">
        <v>0.2388888888888889</v>
      </c>
      <c r="H576" s="16">
        <v>0</v>
      </c>
      <c r="I576" s="35">
        <f ca="1">IFERROR(Tabela3[[#This Row],[Custo Total]]/Tabela3[[#This Row],[Aluminio Util]],0)</f>
        <v>22.612492475791203</v>
      </c>
      <c r="J576" s="35">
        <f ca="1">Tabela3[[#This Row],[Custo Total]]/Tabela3[[#This Row],[Realizado]]</f>
        <v>70.098726674952729</v>
      </c>
      <c r="K576" s="37">
        <f>IFERROR(Tabela3[[#This Row],[Qtde Cx Produzida]]/Tabela3[[#This Row],[Tempo]]/24,0)</f>
        <v>8.720930232558139</v>
      </c>
      <c r="L576" s="37">
        <f>Tabela3[[#This Row],[Qtde Cx Produzida]]*Tabela3[[#This Row],[Qdt Peça Placa]]</f>
        <v>50</v>
      </c>
      <c r="M576" s="37">
        <f>Tabela3[[#This Row],[Previsto]]-Tabela3[[#This Row],[Perda Pçs]]</f>
        <v>50</v>
      </c>
      <c r="N576" s="38">
        <f>IFERROR(Tabela3[[#This Row],[Perda Pçs]]/Tabela3[[#This Row],[Previsto]],0)</f>
        <v>0</v>
      </c>
      <c r="O576" s="39">
        <f>IFERROR(IF(Tabela3[[#This Row],[Qtde Cx Produzida]] &lt;&gt; 0, Tabela3[[#This Row],[Tempo]] / Tabela3[[#This Row],[Qtde Cx Produzida]], 0),0)</f>
        <v>4.7777777777777784E-3</v>
      </c>
      <c r="P576" s="57">
        <f>IFERROR(Tabela3[[#This Row],[Perda Pçs]]/Tabela3[[#This Row],[Qdt Peça Placa]],0)</f>
        <v>0</v>
      </c>
      <c r="Q576" s="37">
        <f>IFERROR(Tabela3[[#This Row],[Realizado]]*Tabela3[[#This Row],[Peso Util/Pç]],0)</f>
        <v>155</v>
      </c>
      <c r="R576" s="37">
        <f>IFERROR(Tabela3[[#This Row],[Peso Total Galho]]*Tabela3[[#This Row],[Qtde Cx Produzida]]*1.055,0)</f>
        <v>184.625</v>
      </c>
      <c r="S576" s="37">
        <f>(Tabela3[[#This Row],[Aluminio Bruto]]-Tabela3[[#This Row],[Aluminio Util]])*0.9</f>
        <v>26.662500000000001</v>
      </c>
      <c r="T576" s="37">
        <f>Tabela3[[#This Row],[Aluminio Bruto]]/OleoKGAluminio</f>
        <v>77.671498782168456</v>
      </c>
      <c r="U576" s="35">
        <f>IFERROR((VLOOKUP(Tabela3[[#This Row],[Moldador]],Tabela1[],5,)+(VLOOKUP(Tabela3[[#This Row],[Ajudante]],Tabela1[],5,))*3.5),0)</f>
        <v>99.95034583333333</v>
      </c>
      <c r="V576" s="35">
        <f>IFERROR(Tabela3[[#This Row],[Custo M.O. / H]]/((Tabela3[[#This Row],[Realizado]]/Tabela3[[#This Row],[Qdt Peça Placa]])/Tabela3[[#This Row],[Tempo]]/24),)</f>
        <v>11.460972988888889</v>
      </c>
      <c r="W576" s="35">
        <f>Tabela3[[#This Row],[Custo / Cx Moldada]]*Tabela3[[#This Row],[Qtde Cx Produzida]]</f>
        <v>573.04864944444444</v>
      </c>
      <c r="X576" s="35">
        <f ca="1">Tabela3[[#This Row],[Aluminio Util]]*Tabela3[[#This Row],[Custo/Kg]]</f>
        <v>2728</v>
      </c>
      <c r="Y576" s="35">
        <f>IFERROR(VLOOKUP(Tabela3[[#This Row],[Data]],Tabela461213[],2,1)*(Tabela3[[#This Row],[Qtde Cx Produzida]]*Tabela3[[#This Row],[Qde macho / CX]]*Tabela3[[#This Row],[Peso Macho]]),)</f>
        <v>0</v>
      </c>
      <c r="Z576" s="35">
        <f>IFERROR(Tabela3[[#This Row],[Qtde Oleo]]*(VLOOKUP(Tabela3[[#This Row],[Data]],CompraOleo[],3,TRUE))*1.05,0)</f>
        <v>203.8876843031922</v>
      </c>
      <c r="AA576" s="47">
        <f ca="1">(Tabela3[[#This Row],[Custo Oleo]]+Tabela3[[#This Row],[Custo Aluminio]]+Tabela3[[#This Row],[Custo M.O. Total]]+Tabela3[[#This Row],[Custo Machos]])</f>
        <v>3504.9363337476366</v>
      </c>
      <c r="AB576" s="47">
        <f ca="1">Tabela3[[#This Row],[Custo Total]]*Tabela3[[#This Row],[% Perda]]</f>
        <v>0</v>
      </c>
      <c r="AC576" s="48">
        <f>IFERROR(VLOOKUP(Tabela3[[#This Row],[Produto]],Tabela2[],2,0),0)</f>
        <v>1</v>
      </c>
      <c r="AD576" s="48">
        <f>IFERROR(VLOOKUP(Tabela3[[#This Row],[Produto]],Tabela2[],3,0),0)</f>
        <v>3.1</v>
      </c>
      <c r="AE576" s="48">
        <f>IFERROR(VLOOKUP(Tabela3[[#This Row],[Produto]],Tabela2[],4,0),0)</f>
        <v>3.5</v>
      </c>
      <c r="AF576" s="48">
        <f>IFERROR(VLOOKUP(Tabela3[[#This Row],[Produto]],Tabela2[],5,0),0)</f>
        <v>0.35999999999999993</v>
      </c>
      <c r="AG576" s="40">
        <f>IFERROR(VLOOKUP(Tabela3[[#This Row],[Produto]],Tabela2[],6,0),0)</f>
        <v>0</v>
      </c>
      <c r="AH576" s="40">
        <f>IFERROR(VLOOKUP(Tabela3[[#This Row],[Produto]],Tabela2[],7,0),0)</f>
        <v>0</v>
      </c>
      <c r="AI576" s="40">
        <f>IFERROR(VLOOKUP(Tabela3[[#This Row],[Produto]],Tabela2[],8,0),0)</f>
        <v>0</v>
      </c>
      <c r="AJ576" s="35">
        <f ca="1">IFERROR(VLOOKUP(Tabela3[[#This Row],[Produto]],Tabela2[],13,0),0)</f>
        <v>17.600000000000001</v>
      </c>
      <c r="AK576" s="40" t="str">
        <f>IFERROR(VLOOKUP(Tabela3[[#This Row],[Produto]],Tabela2[],14,0),0)</f>
        <v>Danilo</v>
      </c>
      <c r="AL576" s="40">
        <f>IFERROR(VLOOKUP(Tabela3[[#This Row],[Produto]],Tabela2[],15,0),0)</f>
        <v>0</v>
      </c>
      <c r="AM576" s="36">
        <f ca="1">(Tabela3[[#This Row],[Custo Usinagem]]+Tabela3[[#This Row],[Custo / Pç]])*1.2</f>
        <v>84.118472009943275</v>
      </c>
      <c r="AN576" s="36">
        <f ca="1">Tabela3[[#This Row],[Valor Mínimo Venda]]*1.15</f>
        <v>96.736242811434764</v>
      </c>
      <c r="AO576" s="36">
        <f ca="1">Tabela3[[#This Row],[Tabela 1]]*1.08</f>
        <v>104.47514223634955</v>
      </c>
      <c r="AP576" s="36">
        <f ca="1">Tabela3[[#This Row],[Tabela 2]]*1.15</f>
        <v>120.14641357180197</v>
      </c>
    </row>
    <row r="577" spans="1:42">
      <c r="A577" s="9">
        <v>45895</v>
      </c>
      <c r="B577" s="6" t="s">
        <v>236</v>
      </c>
      <c r="C577" s="14">
        <v>7638</v>
      </c>
      <c r="D577" s="6" t="s">
        <v>44</v>
      </c>
      <c r="E577" s="6" t="s">
        <v>47</v>
      </c>
      <c r="F577" s="6">
        <v>52</v>
      </c>
      <c r="G577" s="15">
        <v>0.28125</v>
      </c>
      <c r="H577" s="16">
        <v>0</v>
      </c>
      <c r="I577" s="35">
        <f ca="1">IFERROR(Tabela3[[#This Row],[Custo Total]]/Tabela3[[#This Row],[Aluminio Util]],0)</f>
        <v>24.143907129508371</v>
      </c>
      <c r="J577" s="35">
        <f ca="1">Tabela3[[#This Row],[Custo Total]]/Tabela3[[#This Row],[Realizado]]</f>
        <v>7.2914599531115281</v>
      </c>
      <c r="K577" s="37">
        <f>IFERROR(Tabela3[[#This Row],[Qtde Cx Produzida]]/Tabela3[[#This Row],[Tempo]]/24,0)</f>
        <v>7.7037037037037033</v>
      </c>
      <c r="L577" s="37">
        <f>Tabela3[[#This Row],[Qtde Cx Produzida]]*Tabela3[[#This Row],[Qdt Peça Placa]]</f>
        <v>312</v>
      </c>
      <c r="M577" s="37">
        <f>Tabela3[[#This Row],[Previsto]]-Tabela3[[#This Row],[Perda Pçs]]</f>
        <v>312</v>
      </c>
      <c r="N577" s="38">
        <f>IFERROR(Tabela3[[#This Row],[Perda Pçs]]/Tabela3[[#This Row],[Previsto]],0)</f>
        <v>0</v>
      </c>
      <c r="O577" s="39">
        <f>IFERROR(IF(Tabela3[[#This Row],[Qtde Cx Produzida]] &lt;&gt; 0, Tabela3[[#This Row],[Tempo]] / Tabela3[[#This Row],[Qtde Cx Produzida]], 0),0)</f>
        <v>5.408653846153846E-3</v>
      </c>
      <c r="P577" s="57">
        <f>IFERROR(Tabela3[[#This Row],[Perda Pçs]]/Tabela3[[#This Row],[Qdt Peça Placa]],0)</f>
        <v>0</v>
      </c>
      <c r="Q577" s="37">
        <f>IFERROR(Tabela3[[#This Row],[Realizado]]*Tabela3[[#This Row],[Peso Util/Pç]],0)</f>
        <v>94.224000000000004</v>
      </c>
      <c r="R577" s="37">
        <f>IFERROR(Tabela3[[#This Row],[Peso Total Galho]]*Tabela3[[#This Row],[Qtde Cx Produzida]]*1.055,0)</f>
        <v>118.05872000000001</v>
      </c>
      <c r="S577" s="37">
        <f>(Tabela3[[#This Row],[Aluminio Bruto]]-Tabela3[[#This Row],[Aluminio Util]])*0.9</f>
        <v>21.451248000000003</v>
      </c>
      <c r="T577" s="37">
        <f>Tabela3[[#This Row],[Aluminio Bruto]]/OleoKGAluminio</f>
        <v>49.6671508555416</v>
      </c>
      <c r="U577" s="35">
        <f>IFERROR((VLOOKUP(Tabela3[[#This Row],[Moldador]],Tabela1[],5,)+(VLOOKUP(Tabela3[[#This Row],[Ajudante]],Tabela1[],5,))*3.5),0)</f>
        <v>99.95034583333333</v>
      </c>
      <c r="V577" s="35">
        <f>IFERROR(Tabela3[[#This Row],[Custo M.O. / H]]/((Tabela3[[#This Row],[Realizado]]/Tabela3[[#This Row],[Qdt Peça Placa]])/Tabela3[[#This Row],[Tempo]]/24),)</f>
        <v>12.97432373798077</v>
      </c>
      <c r="W577" s="35">
        <f>Tabela3[[#This Row],[Custo / Cx Moldada]]*Tabela3[[#This Row],[Qtde Cx Produzida]]</f>
        <v>674.66483437500005</v>
      </c>
      <c r="X577" s="35">
        <f ca="1">Tabela3[[#This Row],[Aluminio Util]]*Tabela3[[#This Row],[Custo/Kg]]</f>
        <v>1469.8944000000001</v>
      </c>
      <c r="Y577" s="35">
        <f>IFERROR(VLOOKUP(Tabela3[[#This Row],[Data]],Tabela461213[],2,1)*(Tabela3[[#This Row],[Qtde Cx Produzida]]*Tabela3[[#This Row],[Qde macho / CX]]*Tabela3[[#This Row],[Peso Macho]]),)</f>
        <v>0</v>
      </c>
      <c r="Z577" s="35">
        <f>IFERROR(Tabela3[[#This Row],[Qtde Oleo]]*(VLOOKUP(Tabela3[[#This Row],[Data]],CompraOleo[],3,TRUE))*1.05,0)</f>
        <v>130.37627099579669</v>
      </c>
      <c r="AA577" s="47">
        <f ca="1">(Tabela3[[#This Row],[Custo Oleo]]+Tabela3[[#This Row],[Custo Aluminio]]+Tabela3[[#This Row],[Custo M.O. Total]]+Tabela3[[#This Row],[Custo Machos]])</f>
        <v>2274.9355053707968</v>
      </c>
      <c r="AB577" s="47">
        <f ca="1">Tabela3[[#This Row],[Custo Total]]*Tabela3[[#This Row],[% Perda]]</f>
        <v>0</v>
      </c>
      <c r="AC577" s="48">
        <f>IFERROR(VLOOKUP(Tabela3[[#This Row],[Produto]],Tabela2[],2,0),0)</f>
        <v>6</v>
      </c>
      <c r="AD577" s="48">
        <f>IFERROR(VLOOKUP(Tabela3[[#This Row],[Produto]],Tabela2[],3,0),0)</f>
        <v>0.30199999999999999</v>
      </c>
      <c r="AE577" s="48">
        <f>IFERROR(VLOOKUP(Tabela3[[#This Row],[Produto]],Tabela2[],4,0),0)</f>
        <v>2.1520000000000001</v>
      </c>
      <c r="AF577" s="48">
        <f>IFERROR(VLOOKUP(Tabela3[[#This Row],[Produto]],Tabela2[],5,0),0)</f>
        <v>0.30600000000000027</v>
      </c>
      <c r="AG577" s="40">
        <f>IFERROR(VLOOKUP(Tabela3[[#This Row],[Produto]],Tabela2[],6,0),0)</f>
        <v>0</v>
      </c>
      <c r="AH577" s="40">
        <f>IFERROR(VLOOKUP(Tabela3[[#This Row],[Produto]],Tabela2[],7,0),0)</f>
        <v>0</v>
      </c>
      <c r="AI577" s="40">
        <f>IFERROR(VLOOKUP(Tabela3[[#This Row],[Produto]],Tabela2[],8,0),0)</f>
        <v>0</v>
      </c>
      <c r="AJ577" s="35">
        <f ca="1">IFERROR(VLOOKUP(Tabela3[[#This Row],[Produto]],Tabela2[],13,0),0)</f>
        <v>15.600000000000001</v>
      </c>
      <c r="AK577" s="40" t="str">
        <f>IFERROR(VLOOKUP(Tabela3[[#This Row],[Produto]],Tabela2[],14,0),0)</f>
        <v>Senun</v>
      </c>
      <c r="AL577" s="40">
        <f>IFERROR(VLOOKUP(Tabela3[[#This Row],[Produto]],Tabela2[],15,0),0)</f>
        <v>4</v>
      </c>
      <c r="AM577" s="36">
        <f ca="1">(Tabela3[[#This Row],[Custo Usinagem]]+Tabela3[[#This Row],[Custo / Pç]])*1.2</f>
        <v>13.549751943733833</v>
      </c>
      <c r="AN577" s="36">
        <f ca="1">Tabela3[[#This Row],[Valor Mínimo Venda]]*1.15</f>
        <v>15.582214735293906</v>
      </c>
      <c r="AO577" s="36">
        <f ca="1">Tabela3[[#This Row],[Tabela 1]]*1.08</f>
        <v>16.828791914117421</v>
      </c>
      <c r="AP577" s="36">
        <f ca="1">Tabela3[[#This Row],[Tabela 2]]*1.15</f>
        <v>19.353110701235032</v>
      </c>
    </row>
    <row r="578" spans="1:42">
      <c r="A578" s="9">
        <v>45896</v>
      </c>
      <c r="B578" s="6" t="s">
        <v>236</v>
      </c>
      <c r="C578" s="14">
        <v>7638</v>
      </c>
      <c r="D578" s="6" t="s">
        <v>44</v>
      </c>
      <c r="E578" s="6" t="s">
        <v>47</v>
      </c>
      <c r="F578" s="6">
        <v>1</v>
      </c>
      <c r="G578" s="15">
        <v>6.9444444444444441E-3</v>
      </c>
      <c r="H578" s="16">
        <v>0</v>
      </c>
      <c r="I578" s="35">
        <f ca="1">IFERROR(Tabela3[[#This Row],[Custo Total]]/Tabela3[[#This Row],[Aluminio Util]],0)</f>
        <v>26.177056817279592</v>
      </c>
      <c r="J578" s="35">
        <f ca="1">Tabela3[[#This Row],[Custo Total]]/Tabela3[[#This Row],[Realizado]]</f>
        <v>7.9054711588184361</v>
      </c>
      <c r="K578" s="37">
        <f>IFERROR(Tabela3[[#This Row],[Qtde Cx Produzida]]/Tabela3[[#This Row],[Tempo]]/24,0)</f>
        <v>6</v>
      </c>
      <c r="L578" s="37">
        <f>Tabela3[[#This Row],[Qtde Cx Produzida]]*Tabela3[[#This Row],[Qdt Peça Placa]]</f>
        <v>6</v>
      </c>
      <c r="M578" s="37">
        <f>Tabela3[[#This Row],[Previsto]]-Tabela3[[#This Row],[Perda Pçs]]</f>
        <v>6</v>
      </c>
      <c r="N578" s="38">
        <f>IFERROR(Tabela3[[#This Row],[Perda Pçs]]/Tabela3[[#This Row],[Previsto]],0)</f>
        <v>0</v>
      </c>
      <c r="O578" s="39">
        <f>IFERROR(IF(Tabela3[[#This Row],[Qtde Cx Produzida]] &lt;&gt; 0, Tabela3[[#This Row],[Tempo]] / Tabela3[[#This Row],[Qtde Cx Produzida]], 0),0)</f>
        <v>6.9444444444444441E-3</v>
      </c>
      <c r="P578" s="57">
        <f>IFERROR(Tabela3[[#This Row],[Perda Pçs]]/Tabela3[[#This Row],[Qdt Peça Placa]],0)</f>
        <v>0</v>
      </c>
      <c r="Q578" s="37">
        <f>IFERROR(Tabela3[[#This Row],[Realizado]]*Tabela3[[#This Row],[Peso Util/Pç]],0)</f>
        <v>1.8119999999999998</v>
      </c>
      <c r="R578" s="37">
        <f>IFERROR(Tabela3[[#This Row],[Peso Total Galho]]*Tabela3[[#This Row],[Qtde Cx Produzida]]*1.055,0)</f>
        <v>2.2703600000000002</v>
      </c>
      <c r="S578" s="37">
        <f>(Tabela3[[#This Row],[Aluminio Bruto]]-Tabela3[[#This Row],[Aluminio Util]])*0.9</f>
        <v>0.41252400000000028</v>
      </c>
      <c r="T578" s="37">
        <f>Tabela3[[#This Row],[Aluminio Bruto]]/OleoKGAluminio</f>
        <v>0.95513751645272305</v>
      </c>
      <c r="U578" s="35">
        <f>IFERROR((VLOOKUP(Tabela3[[#This Row],[Moldador]],Tabela1[],5,)+(VLOOKUP(Tabela3[[#This Row],[Ajudante]],Tabela1[],5,))*3.5),0)</f>
        <v>99.95034583333333</v>
      </c>
      <c r="V578" s="35">
        <f>IFERROR(Tabela3[[#This Row],[Custo M.O. / H]]/((Tabela3[[#This Row],[Realizado]]/Tabela3[[#This Row],[Qdt Peça Placa]])/Tabela3[[#This Row],[Tempo]]/24),)</f>
        <v>16.658390972222222</v>
      </c>
      <c r="W578" s="35">
        <f>Tabela3[[#This Row],[Custo / Cx Moldada]]*Tabela3[[#This Row],[Qtde Cx Produzida]]</f>
        <v>16.658390972222222</v>
      </c>
      <c r="X578" s="35">
        <f ca="1">Tabela3[[#This Row],[Aluminio Util]]*Tabela3[[#This Row],[Custo/Kg]]</f>
        <v>28.267199999999999</v>
      </c>
      <c r="Y578" s="35">
        <f>IFERROR(VLOOKUP(Tabela3[[#This Row],[Data]],Tabela461213[],2,1)*(Tabela3[[#This Row],[Qtde Cx Produzida]]*Tabela3[[#This Row],[Qde macho / CX]]*Tabela3[[#This Row],[Peso Macho]]),)</f>
        <v>0</v>
      </c>
      <c r="Z578" s="35">
        <f>IFERROR(Tabela3[[#This Row],[Qtde Oleo]]*(VLOOKUP(Tabela3[[#This Row],[Data]],CompraOleo[],3,TRUE))*1.05,0)</f>
        <v>2.5072359806883981</v>
      </c>
      <c r="AA578" s="47">
        <f ca="1">(Tabela3[[#This Row],[Custo Oleo]]+Tabela3[[#This Row],[Custo Aluminio]]+Tabela3[[#This Row],[Custo M.O. Total]]+Tabela3[[#This Row],[Custo Machos]])</f>
        <v>47.432826952910617</v>
      </c>
      <c r="AB578" s="47">
        <f ca="1">Tabela3[[#This Row],[Custo Total]]*Tabela3[[#This Row],[% Perda]]</f>
        <v>0</v>
      </c>
      <c r="AC578" s="48">
        <f>IFERROR(VLOOKUP(Tabela3[[#This Row],[Produto]],Tabela2[],2,0),0)</f>
        <v>6</v>
      </c>
      <c r="AD578" s="48">
        <f>IFERROR(VLOOKUP(Tabela3[[#This Row],[Produto]],Tabela2[],3,0),0)</f>
        <v>0.30199999999999999</v>
      </c>
      <c r="AE578" s="48">
        <f>IFERROR(VLOOKUP(Tabela3[[#This Row],[Produto]],Tabela2[],4,0),0)</f>
        <v>2.1520000000000001</v>
      </c>
      <c r="AF578" s="48">
        <f>IFERROR(VLOOKUP(Tabela3[[#This Row],[Produto]],Tabela2[],5,0),0)</f>
        <v>0.30600000000000027</v>
      </c>
      <c r="AG578" s="40">
        <f>IFERROR(VLOOKUP(Tabela3[[#This Row],[Produto]],Tabela2[],6,0),0)</f>
        <v>0</v>
      </c>
      <c r="AH578" s="40">
        <f>IFERROR(VLOOKUP(Tabela3[[#This Row],[Produto]],Tabela2[],7,0),0)</f>
        <v>0</v>
      </c>
      <c r="AI578" s="40">
        <f>IFERROR(VLOOKUP(Tabela3[[#This Row],[Produto]],Tabela2[],8,0),0)</f>
        <v>0</v>
      </c>
      <c r="AJ578" s="35">
        <f ca="1">IFERROR(VLOOKUP(Tabela3[[#This Row],[Produto]],Tabela2[],13,0),0)</f>
        <v>15.600000000000001</v>
      </c>
      <c r="AK578" s="40" t="str">
        <f>IFERROR(VLOOKUP(Tabela3[[#This Row],[Produto]],Tabela2[],14,0),0)</f>
        <v>Senun</v>
      </c>
      <c r="AL578" s="40">
        <f>IFERROR(VLOOKUP(Tabela3[[#This Row],[Produto]],Tabela2[],15,0),0)</f>
        <v>4</v>
      </c>
      <c r="AM578" s="36">
        <f ca="1">(Tabela3[[#This Row],[Custo Usinagem]]+Tabela3[[#This Row],[Custo / Pç]])*1.2</f>
        <v>14.286565390582123</v>
      </c>
      <c r="AN578" s="36">
        <f ca="1">Tabela3[[#This Row],[Valor Mínimo Venda]]*1.15</f>
        <v>16.429550199169441</v>
      </c>
      <c r="AO578" s="36">
        <f ca="1">Tabela3[[#This Row],[Tabela 1]]*1.08</f>
        <v>17.743914215102997</v>
      </c>
      <c r="AP578" s="36">
        <f ca="1">Tabela3[[#This Row],[Tabela 2]]*1.15</f>
        <v>20.405501347368446</v>
      </c>
    </row>
    <row r="579" spans="1:42">
      <c r="A579" s="9">
        <v>45896</v>
      </c>
      <c r="B579" s="6" t="s">
        <v>96</v>
      </c>
      <c r="C579" s="14">
        <v>7694</v>
      </c>
      <c r="D579" s="6" t="s">
        <v>46</v>
      </c>
      <c r="E579" s="6" t="s">
        <v>44</v>
      </c>
      <c r="F579" s="6">
        <v>18</v>
      </c>
      <c r="G579" s="15">
        <v>0.10416666666666667</v>
      </c>
      <c r="H579" s="16">
        <v>0</v>
      </c>
      <c r="I579" s="35">
        <f ca="1">IFERROR(Tabela3[[#This Row],[Custo Total]]/Tabela3[[#This Row],[Aluminio Util]],0)</f>
        <v>32.347716849279422</v>
      </c>
      <c r="J579" s="35">
        <f ca="1">Tabela3[[#This Row],[Custo Total]]/Tabela3[[#This Row],[Realizado]]</f>
        <v>28.595381694763006</v>
      </c>
      <c r="K579" s="37">
        <f>IFERROR(Tabela3[[#This Row],[Qtde Cx Produzida]]/Tabela3[[#This Row],[Tempo]]/24,0)</f>
        <v>7.1999999999999993</v>
      </c>
      <c r="L579" s="37">
        <f>Tabela3[[#This Row],[Qtde Cx Produzida]]*Tabela3[[#This Row],[Qdt Peça Placa]]</f>
        <v>54</v>
      </c>
      <c r="M579" s="37">
        <f>Tabela3[[#This Row],[Previsto]]-Tabela3[[#This Row],[Perda Pçs]]</f>
        <v>54</v>
      </c>
      <c r="N579" s="38">
        <f>IFERROR(Tabela3[[#This Row],[Perda Pçs]]/Tabela3[[#This Row],[Previsto]],0)</f>
        <v>0</v>
      </c>
      <c r="O579" s="39">
        <f>IFERROR(IF(Tabela3[[#This Row],[Qtde Cx Produzida]] &lt;&gt; 0, Tabela3[[#This Row],[Tempo]] / Tabela3[[#This Row],[Qtde Cx Produzida]], 0),0)</f>
        <v>5.7870370370370376E-3</v>
      </c>
      <c r="P579" s="57">
        <f>IFERROR(Tabela3[[#This Row],[Perda Pçs]]/Tabela3[[#This Row],[Qdt Peça Placa]],0)</f>
        <v>0</v>
      </c>
      <c r="Q579" s="37">
        <f>IFERROR(Tabela3[[#This Row],[Realizado]]*Tabela3[[#This Row],[Peso Util/Pç]],0)</f>
        <v>47.735999999999997</v>
      </c>
      <c r="R579" s="37">
        <f>IFERROR(Tabela3[[#This Row],[Peso Total Galho]]*Tabela3[[#This Row],[Qtde Cx Produzida]]*1.055,0)</f>
        <v>89.101079999999996</v>
      </c>
      <c r="S579" s="37">
        <f>(Tabela3[[#This Row],[Aluminio Bruto]]-Tabela3[[#This Row],[Aluminio Util]])*0.9</f>
        <v>37.228572</v>
      </c>
      <c r="T579" s="37">
        <f>Tabela3[[#This Row],[Aluminio Bruto]]/OleoKGAluminio</f>
        <v>37.484709149410392</v>
      </c>
      <c r="U579" s="35">
        <f>IFERROR((VLOOKUP(Tabela3[[#This Row],[Moldador]],Tabela1[],5,)+(VLOOKUP(Tabela3[[#This Row],[Ajudante]],Tabela1[],5,))*3.5),0)</f>
        <v>126.0945</v>
      </c>
      <c r="V579" s="35">
        <f>IFERROR(Tabela3[[#This Row],[Custo M.O. / H]]/((Tabela3[[#This Row],[Realizado]]/Tabela3[[#This Row],[Qdt Peça Placa]])/Tabela3[[#This Row],[Tempo]]/24),)</f>
        <v>17.513125000000002</v>
      </c>
      <c r="W579" s="35">
        <f>Tabela3[[#This Row],[Custo / Cx Moldada]]*Tabela3[[#This Row],[Qtde Cx Produzida]]</f>
        <v>315.23625000000004</v>
      </c>
      <c r="X579" s="35">
        <f ca="1">Tabela3[[#This Row],[Aluminio Util]]*Tabela3[[#This Row],[Custo/Kg]]</f>
        <v>744.6816</v>
      </c>
      <c r="Y579" s="35">
        <f>IFERROR(VLOOKUP(Tabela3[[#This Row],[Data]],Tabela461213[],2,1)*(Tabela3[[#This Row],[Qtde Cx Produzida]]*Tabela3[[#This Row],[Qde macho / CX]]*Tabela3[[#This Row],[Peso Macho]]),)</f>
        <v>385.83539999999999</v>
      </c>
      <c r="Z579" s="35">
        <f>IFERROR(Tabela3[[#This Row],[Qtde Oleo]]*(VLOOKUP(Tabela3[[#This Row],[Data]],CompraOleo[],3,TRUE))*1.05,0)</f>
        <v>98.39736151720227</v>
      </c>
      <c r="AA579" s="47">
        <f ca="1">(Tabela3[[#This Row],[Custo Oleo]]+Tabela3[[#This Row],[Custo Aluminio]]+Tabela3[[#This Row],[Custo M.O. Total]]+Tabela3[[#This Row],[Custo Machos]])</f>
        <v>1544.1506115172024</v>
      </c>
      <c r="AB579" s="47">
        <f ca="1">Tabela3[[#This Row],[Custo Total]]*Tabela3[[#This Row],[% Perda]]</f>
        <v>0</v>
      </c>
      <c r="AC579" s="48">
        <f>IFERROR(VLOOKUP(Tabela3[[#This Row],[Produto]],Tabela2[],2,0),0)</f>
        <v>3</v>
      </c>
      <c r="AD579" s="48">
        <f>IFERROR(VLOOKUP(Tabela3[[#This Row],[Produto]],Tabela2[],3,0),0)</f>
        <v>0.88400000000000001</v>
      </c>
      <c r="AE579" s="48">
        <f>IFERROR(VLOOKUP(Tabela3[[#This Row],[Produto]],Tabela2[],4,0),0)</f>
        <v>4.6920000000000002</v>
      </c>
      <c r="AF579" s="48">
        <f>IFERROR(VLOOKUP(Tabela3[[#This Row],[Produto]],Tabela2[],5,0),0)</f>
        <v>1.8360000000000001</v>
      </c>
      <c r="AG579" s="40">
        <f>IFERROR(VLOOKUP(Tabela3[[#This Row],[Produto]],Tabela2[],6,0),0)</f>
        <v>0</v>
      </c>
      <c r="AH579" s="40">
        <f>IFERROR(VLOOKUP(Tabela3[[#This Row],[Produto]],Tabela2[],7,0),0)</f>
        <v>9</v>
      </c>
      <c r="AI579" s="40">
        <f>IFERROR(VLOOKUP(Tabela3[[#This Row],[Produto]],Tabela2[],8,0),0)</f>
        <v>1.401</v>
      </c>
      <c r="AJ579" s="35">
        <f ca="1">IFERROR(VLOOKUP(Tabela3[[#This Row],[Produto]],Tabela2[],13,0),0)</f>
        <v>15.600000000000001</v>
      </c>
      <c r="AK579" s="40" t="str">
        <f>IFERROR(VLOOKUP(Tabela3[[#This Row],[Produto]],Tabela2[],14,0),0)</f>
        <v>Jumil</v>
      </c>
      <c r="AL579" s="40">
        <f>IFERROR(VLOOKUP(Tabela3[[#This Row],[Produto]],Tabela2[],15,0),0)</f>
        <v>10</v>
      </c>
      <c r="AM579" s="36">
        <f ca="1">(Tabela3[[#This Row],[Custo Usinagem]]+Tabela3[[#This Row],[Custo / Pç]])*1.2</f>
        <v>46.314458033715603</v>
      </c>
      <c r="AN579" s="36">
        <f ca="1">Tabela3[[#This Row],[Valor Mínimo Venda]]*1.15</f>
        <v>53.261626738772939</v>
      </c>
      <c r="AO579" s="36">
        <f ca="1">Tabela3[[#This Row],[Tabela 1]]*1.08</f>
        <v>57.522556877874777</v>
      </c>
      <c r="AP579" s="36">
        <f ca="1">Tabela3[[#This Row],[Tabela 2]]*1.15</f>
        <v>66.150940409555986</v>
      </c>
    </row>
    <row r="580" spans="1:42">
      <c r="A580" s="9">
        <v>45896</v>
      </c>
      <c r="B580" s="6" t="s">
        <v>236</v>
      </c>
      <c r="C580" s="14">
        <v>7638</v>
      </c>
      <c r="D580" s="6" t="s">
        <v>46</v>
      </c>
      <c r="E580" s="6" t="s">
        <v>44</v>
      </c>
      <c r="F580" s="6">
        <v>47</v>
      </c>
      <c r="G580" s="15">
        <v>0.24166666666666667</v>
      </c>
      <c r="H580" s="16">
        <v>0</v>
      </c>
      <c r="I580" s="35">
        <f ca="1">IFERROR(Tabela3[[#This Row],[Custo Total]]/Tabela3[[#This Row],[Aluminio Util]],0)</f>
        <v>25.571210735667123</v>
      </c>
      <c r="J580" s="35">
        <f ca="1">Tabela3[[#This Row],[Custo Total]]/Tabela3[[#This Row],[Realizado]]</f>
        <v>7.7225056421714706</v>
      </c>
      <c r="K580" s="37">
        <f>IFERROR(Tabela3[[#This Row],[Qtde Cx Produzida]]/Tabela3[[#This Row],[Tempo]]/24,0)</f>
        <v>8.1034482758620694</v>
      </c>
      <c r="L580" s="37">
        <f>Tabela3[[#This Row],[Qtde Cx Produzida]]*Tabela3[[#This Row],[Qdt Peça Placa]]</f>
        <v>282</v>
      </c>
      <c r="M580" s="37">
        <f>Tabela3[[#This Row],[Previsto]]-Tabela3[[#This Row],[Perda Pçs]]</f>
        <v>282</v>
      </c>
      <c r="N580" s="38">
        <f>IFERROR(Tabela3[[#This Row],[Perda Pçs]]/Tabela3[[#This Row],[Previsto]],0)</f>
        <v>0</v>
      </c>
      <c r="O580" s="39">
        <f>IFERROR(IF(Tabela3[[#This Row],[Qtde Cx Produzida]] &lt;&gt; 0, Tabela3[[#This Row],[Tempo]] / Tabela3[[#This Row],[Qtde Cx Produzida]], 0),0)</f>
        <v>5.1418439716312053E-3</v>
      </c>
      <c r="P580" s="57">
        <f>IFERROR(Tabela3[[#This Row],[Perda Pçs]]/Tabela3[[#This Row],[Qdt Peça Placa]],0)</f>
        <v>0</v>
      </c>
      <c r="Q580" s="37">
        <f>IFERROR(Tabela3[[#This Row],[Realizado]]*Tabela3[[#This Row],[Peso Util/Pç]],0)</f>
        <v>85.164000000000001</v>
      </c>
      <c r="R580" s="37">
        <f>IFERROR(Tabela3[[#This Row],[Peso Total Galho]]*Tabela3[[#This Row],[Qtde Cx Produzida]]*1.055,0)</f>
        <v>106.70692</v>
      </c>
      <c r="S580" s="37">
        <f>(Tabela3[[#This Row],[Aluminio Bruto]]-Tabela3[[#This Row],[Aluminio Util]])*0.9</f>
        <v>19.388627999999997</v>
      </c>
      <c r="T580" s="37">
        <f>Tabela3[[#This Row],[Aluminio Bruto]]/OleoKGAluminio</f>
        <v>44.891463273277978</v>
      </c>
      <c r="U580" s="35">
        <f>IFERROR((VLOOKUP(Tabela3[[#This Row],[Moldador]],Tabela1[],5,)+(VLOOKUP(Tabela3[[#This Row],[Ajudante]],Tabela1[],5,))*3.5),0)</f>
        <v>126.0945</v>
      </c>
      <c r="V580" s="35">
        <f>IFERROR(Tabela3[[#This Row],[Custo M.O. / H]]/((Tabela3[[#This Row],[Realizado]]/Tabela3[[#This Row],[Qdt Peça Placa]])/Tabela3[[#This Row],[Tempo]]/24),)</f>
        <v>15.560597872340423</v>
      </c>
      <c r="W580" s="35">
        <f>Tabela3[[#This Row],[Custo / Cx Moldada]]*Tabela3[[#This Row],[Qtde Cx Produzida]]</f>
        <v>731.34809999999993</v>
      </c>
      <c r="X580" s="35">
        <f ca="1">Tabela3[[#This Row],[Aluminio Util]]*Tabela3[[#This Row],[Custo/Kg]]</f>
        <v>1328.5584000000001</v>
      </c>
      <c r="Y580" s="35">
        <f>IFERROR(VLOOKUP(Tabela3[[#This Row],[Data]],Tabela461213[],2,1)*(Tabela3[[#This Row],[Qtde Cx Produzida]]*Tabela3[[#This Row],[Qde macho / CX]]*Tabela3[[#This Row],[Peso Macho]]),)</f>
        <v>0</v>
      </c>
      <c r="Z580" s="35">
        <f>IFERROR(Tabela3[[#This Row],[Qtde Oleo]]*(VLOOKUP(Tabela3[[#This Row],[Data]],CompraOleo[],3,TRUE))*1.05,0)</f>
        <v>117.84009109235468</v>
      </c>
      <c r="AA580" s="47">
        <f ca="1">(Tabela3[[#This Row],[Custo Oleo]]+Tabela3[[#This Row],[Custo Aluminio]]+Tabela3[[#This Row],[Custo M.O. Total]]+Tabela3[[#This Row],[Custo Machos]])</f>
        <v>2177.7465910923547</v>
      </c>
      <c r="AB580" s="47">
        <f ca="1">Tabela3[[#This Row],[Custo Total]]*Tabela3[[#This Row],[% Perda]]</f>
        <v>0</v>
      </c>
      <c r="AC580" s="48">
        <f>IFERROR(VLOOKUP(Tabela3[[#This Row],[Produto]],Tabela2[],2,0),0)</f>
        <v>6</v>
      </c>
      <c r="AD580" s="48">
        <f>IFERROR(VLOOKUP(Tabela3[[#This Row],[Produto]],Tabela2[],3,0),0)</f>
        <v>0.30199999999999999</v>
      </c>
      <c r="AE580" s="48">
        <f>IFERROR(VLOOKUP(Tabela3[[#This Row],[Produto]],Tabela2[],4,0),0)</f>
        <v>2.1520000000000001</v>
      </c>
      <c r="AF580" s="48">
        <f>IFERROR(VLOOKUP(Tabela3[[#This Row],[Produto]],Tabela2[],5,0),0)</f>
        <v>0.30600000000000027</v>
      </c>
      <c r="AG580" s="40">
        <f>IFERROR(VLOOKUP(Tabela3[[#This Row],[Produto]],Tabela2[],6,0),0)</f>
        <v>0</v>
      </c>
      <c r="AH580" s="40">
        <f>IFERROR(VLOOKUP(Tabela3[[#This Row],[Produto]],Tabela2[],7,0),0)</f>
        <v>0</v>
      </c>
      <c r="AI580" s="40">
        <f>IFERROR(VLOOKUP(Tabela3[[#This Row],[Produto]],Tabela2[],8,0),0)</f>
        <v>0</v>
      </c>
      <c r="AJ580" s="35">
        <f ca="1">IFERROR(VLOOKUP(Tabela3[[#This Row],[Produto]],Tabela2[],13,0),0)</f>
        <v>15.600000000000001</v>
      </c>
      <c r="AK580" s="40" t="str">
        <f>IFERROR(VLOOKUP(Tabela3[[#This Row],[Produto]],Tabela2[],14,0),0)</f>
        <v>Senun</v>
      </c>
      <c r="AL580" s="40">
        <f>IFERROR(VLOOKUP(Tabela3[[#This Row],[Produto]],Tabela2[],15,0),0)</f>
        <v>4</v>
      </c>
      <c r="AM580" s="36">
        <f ca="1">(Tabela3[[#This Row],[Custo Usinagem]]+Tabela3[[#This Row],[Custo / Pç]])*1.2</f>
        <v>14.067006770605763</v>
      </c>
      <c r="AN580" s="36">
        <f ca="1">Tabela3[[#This Row],[Valor Mínimo Venda]]*1.15</f>
        <v>16.177057786196627</v>
      </c>
      <c r="AO580" s="36">
        <f ca="1">Tabela3[[#This Row],[Tabela 1]]*1.08</f>
        <v>17.471222409092359</v>
      </c>
      <c r="AP580" s="36">
        <f ca="1">Tabela3[[#This Row],[Tabela 2]]*1.15</f>
        <v>20.091905770456211</v>
      </c>
    </row>
    <row r="581" spans="1:42">
      <c r="A581" s="9">
        <v>45897</v>
      </c>
      <c r="B581" s="6" t="s">
        <v>223</v>
      </c>
      <c r="C581" s="14">
        <v>7557</v>
      </c>
      <c r="D581" s="6" t="s">
        <v>46</v>
      </c>
      <c r="E581" s="6" t="s">
        <v>326</v>
      </c>
      <c r="F581" s="6">
        <v>31</v>
      </c>
      <c r="G581" s="15">
        <v>0.15555555555555556</v>
      </c>
      <c r="H581" s="16">
        <v>0</v>
      </c>
      <c r="I581" s="35">
        <f ca="1">IFERROR(Tabela3[[#This Row],[Custo Total]]/Tabela3[[#This Row],[Aluminio Util]],0)</f>
        <v>21.903512062447721</v>
      </c>
      <c r="J581" s="35">
        <f ca="1">Tabela3[[#This Row],[Custo Total]]/Tabela3[[#This Row],[Realizado]]</f>
        <v>2.2779652544945628</v>
      </c>
      <c r="K581" s="37">
        <f>IFERROR(Tabela3[[#This Row],[Qtde Cx Produzida]]/Tabela3[[#This Row],[Tempo]]/24,0)</f>
        <v>8.3035714285714288</v>
      </c>
      <c r="L581" s="37">
        <f>Tabela3[[#This Row],[Qtde Cx Produzida]]*Tabela3[[#This Row],[Qdt Peça Placa]]</f>
        <v>1023</v>
      </c>
      <c r="M581" s="37">
        <f>Tabela3[[#This Row],[Previsto]]-Tabela3[[#This Row],[Perda Pçs]]</f>
        <v>1023</v>
      </c>
      <c r="N581" s="38">
        <f>IFERROR(Tabela3[[#This Row],[Perda Pçs]]/Tabela3[[#This Row],[Previsto]],0)</f>
        <v>0</v>
      </c>
      <c r="O581" s="39">
        <f>IFERROR(IF(Tabela3[[#This Row],[Qtde Cx Produzida]] &lt;&gt; 0, Tabela3[[#This Row],[Tempo]] / Tabela3[[#This Row],[Qtde Cx Produzida]], 0),0)</f>
        <v>5.017921146953405E-3</v>
      </c>
      <c r="P581" s="57">
        <f>IFERROR(Tabela3[[#This Row],[Perda Pçs]]/Tabela3[[#This Row],[Qdt Peça Placa]],0)</f>
        <v>0</v>
      </c>
      <c r="Q581" s="37">
        <f>IFERROR(Tabela3[[#This Row],[Realizado]]*Tabela3[[#This Row],[Peso Util/Pç]],0)</f>
        <v>106.392</v>
      </c>
      <c r="R581" s="37">
        <f>IFERROR(Tabela3[[#This Row],[Peso Total Galho]]*Tabela3[[#This Row],[Qtde Cx Produzida]]*1.055,0)</f>
        <v>175.9529</v>
      </c>
      <c r="S581" s="37">
        <f>(Tabela3[[#This Row],[Aluminio Bruto]]-Tabela3[[#This Row],[Aluminio Util]])*0.9</f>
        <v>62.604810000000008</v>
      </c>
      <c r="T581" s="37">
        <f>Tabela3[[#This Row],[Aluminio Bruto]]/OleoKGAluminio</f>
        <v>74.023157525086035</v>
      </c>
      <c r="U581" s="35">
        <f>IFERROR((VLOOKUP(Tabela3[[#This Row],[Moldador]],Tabela1[],5,)+(VLOOKUP(Tabela3[[#This Row],[Ajudante]],Tabela1[],5,))*3.5),0)</f>
        <v>99.95034583333333</v>
      </c>
      <c r="V581" s="35">
        <f>IFERROR(Tabela3[[#This Row],[Custo M.O. / H]]/((Tabela3[[#This Row],[Realizado]]/Tabela3[[#This Row],[Qdt Peça Placa]])/Tabela3[[#This Row],[Tempo]]/24),)</f>
        <v>12.037030896057347</v>
      </c>
      <c r="W581" s="35">
        <f>Tabela3[[#This Row],[Custo / Cx Moldada]]*Tabela3[[#This Row],[Qtde Cx Produzida]]</f>
        <v>373.14795777777778</v>
      </c>
      <c r="X581" s="35">
        <f ca="1">Tabela3[[#This Row],[Aluminio Util]]*Tabela3[[#This Row],[Custo/Kg]]</f>
        <v>1762.8997090668092</v>
      </c>
      <c r="Y581" s="35">
        <f>IFERROR(VLOOKUP(Tabela3[[#This Row],[Data]],Tabela461213[],2,1)*(Tabela3[[#This Row],[Qtde Cx Produzida]]*Tabela3[[#This Row],[Qde macho / CX]]*Tabela3[[#This Row],[Peso Macho]]),)</f>
        <v>0</v>
      </c>
      <c r="Z581" s="35">
        <f>IFERROR(Tabela3[[#This Row],[Qtde Oleo]]*(VLOOKUP(Tabela3[[#This Row],[Data]],CompraOleo[],3,TRUE))*1.05,0)</f>
        <v>194.31078850335086</v>
      </c>
      <c r="AA581" s="47">
        <f ca="1">(Tabela3[[#This Row],[Custo Oleo]]+Tabela3[[#This Row],[Custo Aluminio]]+Tabela3[[#This Row],[Custo M.O. Total]]+Tabela3[[#This Row],[Custo Machos]])</f>
        <v>2330.3584553479377</v>
      </c>
      <c r="AB581" s="47">
        <f ca="1">Tabela3[[#This Row],[Custo Total]]*Tabela3[[#This Row],[% Perda]]</f>
        <v>0</v>
      </c>
      <c r="AC581" s="48">
        <f>IFERROR(VLOOKUP(Tabela3[[#This Row],[Produto]],Tabela2[],2,0),0)</f>
        <v>33</v>
      </c>
      <c r="AD581" s="48">
        <f>IFERROR(VLOOKUP(Tabela3[[#This Row],[Produto]],Tabela2[],3,0),0)</f>
        <v>0.104</v>
      </c>
      <c r="AE581" s="48">
        <f>IFERROR(VLOOKUP(Tabela3[[#This Row],[Produto]],Tabela2[],4,0),0)</f>
        <v>5.38</v>
      </c>
      <c r="AF581" s="48">
        <f>IFERROR(VLOOKUP(Tabela3[[#This Row],[Produto]],Tabela2[],5,0),0)</f>
        <v>1.7532000000000001</v>
      </c>
      <c r="AG581" s="40">
        <f>IFERROR(VLOOKUP(Tabela3[[#This Row],[Produto]],Tabela2[],6,0),0)</f>
        <v>0</v>
      </c>
      <c r="AH581" s="40">
        <f>IFERROR(VLOOKUP(Tabela3[[#This Row],[Produto]],Tabela2[],7,0),0)</f>
        <v>0</v>
      </c>
      <c r="AI581" s="40">
        <f>IFERROR(VLOOKUP(Tabela3[[#This Row],[Produto]],Tabela2[],8,0),0)</f>
        <v>0</v>
      </c>
      <c r="AJ581" s="35">
        <f ca="1">IFERROR(VLOOKUP(Tabela3[[#This Row],[Produto]],Tabela2[],13,0),0)</f>
        <v>16.569852141766386</v>
      </c>
      <c r="AK581" s="40" t="str">
        <f>IFERROR(VLOOKUP(Tabela3[[#This Row],[Produto]],Tabela2[],14,0),0)</f>
        <v>Marcelo</v>
      </c>
      <c r="AL581" s="40">
        <f>IFERROR(VLOOKUP(Tabela3[[#This Row],[Produto]],Tabela2[],15,0),0)</f>
        <v>0</v>
      </c>
      <c r="AM581" s="36">
        <f ca="1">(Tabela3[[#This Row],[Custo Usinagem]]+Tabela3[[#This Row],[Custo / Pç]])*1.2</f>
        <v>2.7335583053934753</v>
      </c>
      <c r="AN581" s="36">
        <f ca="1">Tabela3[[#This Row],[Valor Mínimo Venda]]*1.15</f>
        <v>3.1435920512024964</v>
      </c>
      <c r="AO581" s="36">
        <f ca="1">Tabela3[[#This Row],[Tabela 1]]*1.08</f>
        <v>3.3950794152986963</v>
      </c>
      <c r="AP581" s="36">
        <f ca="1">Tabela3[[#This Row],[Tabela 2]]*1.15</f>
        <v>3.9043413275935004</v>
      </c>
    </row>
    <row r="582" spans="1:42">
      <c r="A582" s="9">
        <v>45897</v>
      </c>
      <c r="B582" s="6" t="s">
        <v>135</v>
      </c>
      <c r="C582" s="14">
        <v>7706</v>
      </c>
      <c r="D582" s="6" t="s">
        <v>46</v>
      </c>
      <c r="E582" s="6" t="s">
        <v>326</v>
      </c>
      <c r="F582" s="6">
        <v>3</v>
      </c>
      <c r="G582" s="15">
        <v>2.013888888888889E-2</v>
      </c>
      <c r="H582" s="16">
        <v>0</v>
      </c>
      <c r="I582" s="35">
        <f ca="1">IFERROR(Tabela3[[#This Row],[Custo Total]]/Tabela3[[#This Row],[Aluminio Util]],0)</f>
        <v>29.309993299983596</v>
      </c>
      <c r="J582" s="35">
        <f ca="1">Tabela3[[#This Row],[Custo Total]]/Tabela3[[#This Row],[Realizado]]</f>
        <v>51.878688140970972</v>
      </c>
      <c r="K582" s="37">
        <f>IFERROR(Tabela3[[#This Row],[Qtde Cx Produzida]]/Tabela3[[#This Row],[Tempo]]/24,0)</f>
        <v>6.2068965517241379</v>
      </c>
      <c r="L582" s="37">
        <f>Tabela3[[#This Row],[Qtde Cx Produzida]]*Tabela3[[#This Row],[Qdt Peça Placa]]</f>
        <v>3</v>
      </c>
      <c r="M582" s="37">
        <f>Tabela3[[#This Row],[Previsto]]-Tabela3[[#This Row],[Perda Pçs]]</f>
        <v>3</v>
      </c>
      <c r="N582" s="38">
        <f>IFERROR(Tabela3[[#This Row],[Perda Pçs]]/Tabela3[[#This Row],[Previsto]],0)</f>
        <v>0</v>
      </c>
      <c r="O582" s="39">
        <f>IFERROR(IF(Tabela3[[#This Row],[Qtde Cx Produzida]] &lt;&gt; 0, Tabela3[[#This Row],[Tempo]] / Tabela3[[#This Row],[Qtde Cx Produzida]], 0),0)</f>
        <v>6.7129629629629631E-3</v>
      </c>
      <c r="P582" s="57">
        <f>IFERROR(Tabela3[[#This Row],[Perda Pçs]]/Tabela3[[#This Row],[Qdt Peça Placa]],0)</f>
        <v>0</v>
      </c>
      <c r="Q582" s="37">
        <f>IFERROR(Tabela3[[#This Row],[Realizado]]*Tabela3[[#This Row],[Peso Util/Pç]],0)</f>
        <v>5.3100000000000005</v>
      </c>
      <c r="R582" s="37">
        <f>IFERROR(Tabela3[[#This Row],[Peso Total Galho]]*Tabela3[[#This Row],[Qtde Cx Produzida]]*1.055,0)</f>
        <v>9.9064499999999995</v>
      </c>
      <c r="S582" s="37">
        <f>(Tabela3[[#This Row],[Aluminio Bruto]]-Tabela3[[#This Row],[Aluminio Util]])*0.9</f>
        <v>4.136804999999999</v>
      </c>
      <c r="T582" s="37">
        <f>Tabela3[[#This Row],[Aluminio Bruto]]/OleoKGAluminio</f>
        <v>4.1676307060832105</v>
      </c>
      <c r="U582" s="35">
        <f>IFERROR((VLOOKUP(Tabela3[[#This Row],[Moldador]],Tabela1[],5,)+(VLOOKUP(Tabela3[[#This Row],[Ajudante]],Tabela1[],5,))*3.5),0)</f>
        <v>99.95034583333333</v>
      </c>
      <c r="V582" s="35">
        <f>IFERROR(Tabela3[[#This Row],[Custo M.O. / H]]/((Tabela3[[#This Row],[Realizado]]/Tabela3[[#This Row],[Qdt Peça Placa]])/Tabela3[[#This Row],[Tempo]]/24),)</f>
        <v>16.103111273148148</v>
      </c>
      <c r="W582" s="35">
        <f>Tabela3[[#This Row],[Custo / Cx Moldada]]*Tabela3[[#This Row],[Qtde Cx Produzida]]</f>
        <v>48.309333819444447</v>
      </c>
      <c r="X582" s="35">
        <f ca="1">Tabela3[[#This Row],[Aluminio Util]]*Tabela3[[#This Row],[Custo/Kg]]</f>
        <v>82.836000000000013</v>
      </c>
      <c r="Y582" s="35">
        <f>IFERROR(VLOOKUP(Tabela3[[#This Row],[Data]],Tabela461213[],2,1)*(Tabela3[[#This Row],[Qtde Cx Produzida]]*Tabela3[[#This Row],[Qde macho / CX]]*Tabela3[[#This Row],[Peso Macho]]),)</f>
        <v>13.550699999999999</v>
      </c>
      <c r="Z582" s="35">
        <f>IFERROR(Tabela3[[#This Row],[Qtde Oleo]]*(VLOOKUP(Tabela3[[#This Row],[Data]],CompraOleo[],3,TRUE))*1.05,0)</f>
        <v>10.940030603468427</v>
      </c>
      <c r="AA582" s="47">
        <f ca="1">(Tabela3[[#This Row],[Custo Oleo]]+Tabela3[[#This Row],[Custo Aluminio]]+Tabela3[[#This Row],[Custo M.O. Total]]+Tabela3[[#This Row],[Custo Machos]])</f>
        <v>155.63606442291291</v>
      </c>
      <c r="AB582" s="47">
        <f ca="1">Tabela3[[#This Row],[Custo Total]]*Tabela3[[#This Row],[% Perda]]</f>
        <v>0</v>
      </c>
      <c r="AC582" s="48">
        <f>IFERROR(VLOOKUP(Tabela3[[#This Row],[Produto]],Tabela2[],2,0),0)</f>
        <v>1</v>
      </c>
      <c r="AD582" s="48">
        <f>IFERROR(VLOOKUP(Tabela3[[#This Row],[Produto]],Tabela2[],3,0),0)</f>
        <v>1.77</v>
      </c>
      <c r="AE582" s="48">
        <f>IFERROR(VLOOKUP(Tabela3[[#This Row],[Produto]],Tabela2[],4,0),0)</f>
        <v>3.13</v>
      </c>
      <c r="AF582" s="48">
        <f>IFERROR(VLOOKUP(Tabela3[[#This Row],[Produto]],Tabela2[],5,0),0)</f>
        <v>1.224</v>
      </c>
      <c r="AG582" s="40">
        <f>IFERROR(VLOOKUP(Tabela3[[#This Row],[Produto]],Tabela2[],6,0),0)</f>
        <v>0</v>
      </c>
      <c r="AH582" s="40">
        <f>IFERROR(VLOOKUP(Tabela3[[#This Row],[Produto]],Tabela2[],7,0),0)</f>
        <v>1</v>
      </c>
      <c r="AI582" s="40">
        <f>IFERROR(VLOOKUP(Tabela3[[#This Row],[Produto]],Tabela2[],8,0),0)</f>
        <v>2.657</v>
      </c>
      <c r="AJ582" s="35">
        <f ca="1">IFERROR(VLOOKUP(Tabela3[[#This Row],[Produto]],Tabela2[],13,0),0)</f>
        <v>15.600000000000001</v>
      </c>
      <c r="AK582" s="40" t="str">
        <f>IFERROR(VLOOKUP(Tabela3[[#This Row],[Produto]],Tabela2[],14,0),0)</f>
        <v>Jumil</v>
      </c>
      <c r="AL582" s="40">
        <f>IFERROR(VLOOKUP(Tabela3[[#This Row],[Produto]],Tabela2[],15,0),0)</f>
        <v>10</v>
      </c>
      <c r="AM582" s="36">
        <f ca="1">(Tabela3[[#This Row],[Custo Usinagem]]+Tabela3[[#This Row],[Custo / Pç]])*1.2</f>
        <v>74.254425769165167</v>
      </c>
      <c r="AN582" s="36">
        <f ca="1">Tabela3[[#This Row],[Valor Mínimo Venda]]*1.15</f>
        <v>85.392589634539931</v>
      </c>
      <c r="AO582" s="36">
        <f ca="1">Tabela3[[#This Row],[Tabela 1]]*1.08</f>
        <v>92.22399680530313</v>
      </c>
      <c r="AP582" s="36">
        <f ca="1">Tabela3[[#This Row],[Tabela 2]]*1.15</f>
        <v>106.05759632609859</v>
      </c>
    </row>
    <row r="583" spans="1:42">
      <c r="A583" s="9">
        <v>45897</v>
      </c>
      <c r="B583" s="6" t="s">
        <v>236</v>
      </c>
      <c r="C583" s="14">
        <v>7638</v>
      </c>
      <c r="D583" s="6" t="s">
        <v>46</v>
      </c>
      <c r="E583" s="6" t="s">
        <v>326</v>
      </c>
      <c r="F583" s="6">
        <v>10</v>
      </c>
      <c r="G583" s="15">
        <v>6.1805555555555558E-2</v>
      </c>
      <c r="H583" s="16">
        <v>0</v>
      </c>
      <c r="I583" s="35">
        <f ca="1">IFERROR(Tabela3[[#This Row],[Custo Total]]/Tabela3[[#This Row],[Aluminio Util]],0)</f>
        <v>25.16578584214469</v>
      </c>
      <c r="J583" s="35">
        <f ca="1">Tabela3[[#This Row],[Custo Total]]/Tabela3[[#This Row],[Realizado]]</f>
        <v>7.6000673243276964</v>
      </c>
      <c r="K583" s="37">
        <f>IFERROR(Tabela3[[#This Row],[Qtde Cx Produzida]]/Tabela3[[#This Row],[Tempo]]/24,0)</f>
        <v>6.7415730337078648</v>
      </c>
      <c r="L583" s="37">
        <f>Tabela3[[#This Row],[Qtde Cx Produzida]]*Tabela3[[#This Row],[Qdt Peça Placa]]</f>
        <v>60</v>
      </c>
      <c r="M583" s="37">
        <f>Tabela3[[#This Row],[Previsto]]-Tabela3[[#This Row],[Perda Pçs]]</f>
        <v>60</v>
      </c>
      <c r="N583" s="38">
        <f>IFERROR(Tabela3[[#This Row],[Perda Pçs]]/Tabela3[[#This Row],[Previsto]],0)</f>
        <v>0</v>
      </c>
      <c r="O583" s="39">
        <f>IFERROR(IF(Tabela3[[#This Row],[Qtde Cx Produzida]] &lt;&gt; 0, Tabela3[[#This Row],[Tempo]] / Tabela3[[#This Row],[Qtde Cx Produzida]], 0),0)</f>
        <v>6.1805555555555555E-3</v>
      </c>
      <c r="P583" s="57">
        <f>IFERROR(Tabela3[[#This Row],[Perda Pçs]]/Tabela3[[#This Row],[Qdt Peça Placa]],0)</f>
        <v>0</v>
      </c>
      <c r="Q583" s="37">
        <f>IFERROR(Tabela3[[#This Row],[Realizado]]*Tabela3[[#This Row],[Peso Util/Pç]],0)</f>
        <v>18.12</v>
      </c>
      <c r="R583" s="37">
        <f>IFERROR(Tabela3[[#This Row],[Peso Total Galho]]*Tabela3[[#This Row],[Qtde Cx Produzida]]*1.055,0)</f>
        <v>22.703600000000002</v>
      </c>
      <c r="S583" s="37">
        <f>(Tabela3[[#This Row],[Aluminio Bruto]]-Tabela3[[#This Row],[Aluminio Util]])*0.9</f>
        <v>4.1252400000000007</v>
      </c>
      <c r="T583" s="37">
        <f>Tabela3[[#This Row],[Aluminio Bruto]]/OleoKGAluminio</f>
        <v>9.5513751645272311</v>
      </c>
      <c r="U583" s="35">
        <f>IFERROR((VLOOKUP(Tabela3[[#This Row],[Moldador]],Tabela1[],5,)+(VLOOKUP(Tabela3[[#This Row],[Ajudante]],Tabela1[],5,))*3.5),0)</f>
        <v>99.95034583333333</v>
      </c>
      <c r="V583" s="35">
        <f>IFERROR(Tabela3[[#This Row],[Custo M.O. / H]]/((Tabela3[[#This Row],[Realizado]]/Tabela3[[#This Row],[Qdt Peça Placa]])/Tabela3[[#This Row],[Tempo]]/24),)</f>
        <v>14.825967965277778</v>
      </c>
      <c r="W583" s="35">
        <f>Tabela3[[#This Row],[Custo / Cx Moldada]]*Tabela3[[#This Row],[Qtde Cx Produzida]]</f>
        <v>148.25967965277778</v>
      </c>
      <c r="X583" s="35">
        <f ca="1">Tabela3[[#This Row],[Aluminio Util]]*Tabela3[[#This Row],[Custo/Kg]]</f>
        <v>282.67200000000003</v>
      </c>
      <c r="Y583" s="35">
        <f>IFERROR(VLOOKUP(Tabela3[[#This Row],[Data]],Tabela461213[],2,1)*(Tabela3[[#This Row],[Qtde Cx Produzida]]*Tabela3[[#This Row],[Qde macho / CX]]*Tabela3[[#This Row],[Peso Macho]]),)</f>
        <v>0</v>
      </c>
      <c r="Z583" s="35">
        <f>IFERROR(Tabela3[[#This Row],[Qtde Oleo]]*(VLOOKUP(Tabela3[[#This Row],[Data]],CompraOleo[],3,TRUE))*1.05,0)</f>
        <v>25.072359806883981</v>
      </c>
      <c r="AA583" s="47">
        <f ca="1">(Tabela3[[#This Row],[Custo Oleo]]+Tabela3[[#This Row],[Custo Aluminio]]+Tabela3[[#This Row],[Custo M.O. Total]]+Tabela3[[#This Row],[Custo Machos]])</f>
        <v>456.00403945966178</v>
      </c>
      <c r="AB583" s="47">
        <f ca="1">Tabela3[[#This Row],[Custo Total]]*Tabela3[[#This Row],[% Perda]]</f>
        <v>0</v>
      </c>
      <c r="AC583" s="48">
        <f>IFERROR(VLOOKUP(Tabela3[[#This Row],[Produto]],Tabela2[],2,0),0)</f>
        <v>6</v>
      </c>
      <c r="AD583" s="48">
        <f>IFERROR(VLOOKUP(Tabela3[[#This Row],[Produto]],Tabela2[],3,0),0)</f>
        <v>0.30199999999999999</v>
      </c>
      <c r="AE583" s="48">
        <f>IFERROR(VLOOKUP(Tabela3[[#This Row],[Produto]],Tabela2[],4,0),0)</f>
        <v>2.1520000000000001</v>
      </c>
      <c r="AF583" s="48">
        <f>IFERROR(VLOOKUP(Tabela3[[#This Row],[Produto]],Tabela2[],5,0),0)</f>
        <v>0.30600000000000027</v>
      </c>
      <c r="AG583" s="40">
        <f>IFERROR(VLOOKUP(Tabela3[[#This Row],[Produto]],Tabela2[],6,0),0)</f>
        <v>0</v>
      </c>
      <c r="AH583" s="40">
        <f>IFERROR(VLOOKUP(Tabela3[[#This Row],[Produto]],Tabela2[],7,0),0)</f>
        <v>0</v>
      </c>
      <c r="AI583" s="40">
        <f>IFERROR(VLOOKUP(Tabela3[[#This Row],[Produto]],Tabela2[],8,0),0)</f>
        <v>0</v>
      </c>
      <c r="AJ583" s="35">
        <f ca="1">IFERROR(VLOOKUP(Tabela3[[#This Row],[Produto]],Tabela2[],13,0),0)</f>
        <v>15.600000000000001</v>
      </c>
      <c r="AK583" s="40" t="str">
        <f>IFERROR(VLOOKUP(Tabela3[[#This Row],[Produto]],Tabela2[],14,0),0)</f>
        <v>Senun</v>
      </c>
      <c r="AL583" s="40">
        <f>IFERROR(VLOOKUP(Tabela3[[#This Row],[Produto]],Tabela2[],15,0),0)</f>
        <v>4</v>
      </c>
      <c r="AM583" s="36">
        <f ca="1">(Tabela3[[#This Row],[Custo Usinagem]]+Tabela3[[#This Row],[Custo / Pç]])*1.2</f>
        <v>13.920080789193236</v>
      </c>
      <c r="AN583" s="36">
        <f ca="1">Tabela3[[#This Row],[Valor Mínimo Venda]]*1.15</f>
        <v>16.00809290757222</v>
      </c>
      <c r="AO583" s="36">
        <f ca="1">Tabela3[[#This Row],[Tabela 1]]*1.08</f>
        <v>17.288740340177998</v>
      </c>
      <c r="AP583" s="36">
        <f ca="1">Tabela3[[#This Row],[Tabela 2]]*1.15</f>
        <v>19.882051391204698</v>
      </c>
    </row>
    <row r="584" spans="1:42">
      <c r="A584" s="9">
        <v>45897</v>
      </c>
      <c r="B584" s="6" t="s">
        <v>236</v>
      </c>
      <c r="C584" s="14">
        <v>7638</v>
      </c>
      <c r="D584" s="6" t="s">
        <v>44</v>
      </c>
      <c r="E584" s="6" t="s">
        <v>47</v>
      </c>
      <c r="F584" s="6">
        <v>57</v>
      </c>
      <c r="G584" s="15">
        <v>0.29444444444444445</v>
      </c>
      <c r="H584" s="16">
        <v>0</v>
      </c>
      <c r="I584" s="35">
        <f ca="1">IFERROR(Tabela3[[#This Row],[Custo Total]]/Tabela3[[#This Row],[Aluminio Util]],0)</f>
        <v>23.822263159070726</v>
      </c>
      <c r="J584" s="35">
        <f ca="1">Tabela3[[#This Row],[Custo Total]]/Tabela3[[#This Row],[Realizado]]</f>
        <v>7.1943234740393587</v>
      </c>
      <c r="K584" s="37">
        <f>IFERROR(Tabela3[[#This Row],[Qtde Cx Produzida]]/Tabela3[[#This Row],[Tempo]]/24,0)</f>
        <v>8.066037735849056</v>
      </c>
      <c r="L584" s="37">
        <f>Tabela3[[#This Row],[Qtde Cx Produzida]]*Tabela3[[#This Row],[Qdt Peça Placa]]</f>
        <v>342</v>
      </c>
      <c r="M584" s="37">
        <f>Tabela3[[#This Row],[Previsto]]-Tabela3[[#This Row],[Perda Pçs]]</f>
        <v>342</v>
      </c>
      <c r="N584" s="38">
        <f>IFERROR(Tabela3[[#This Row],[Perda Pçs]]/Tabela3[[#This Row],[Previsto]],0)</f>
        <v>0</v>
      </c>
      <c r="O584" s="39">
        <f>IFERROR(IF(Tabela3[[#This Row],[Qtde Cx Produzida]] &lt;&gt; 0, Tabela3[[#This Row],[Tempo]] / Tabela3[[#This Row],[Qtde Cx Produzida]], 0),0)</f>
        <v>5.165692007797271E-3</v>
      </c>
      <c r="P584" s="57">
        <f>IFERROR(Tabela3[[#This Row],[Perda Pçs]]/Tabela3[[#This Row],[Qdt Peça Placa]],0)</f>
        <v>0</v>
      </c>
      <c r="Q584" s="37">
        <f>IFERROR(Tabela3[[#This Row],[Realizado]]*Tabela3[[#This Row],[Peso Util/Pç]],0)</f>
        <v>103.28399999999999</v>
      </c>
      <c r="R584" s="37">
        <f>IFERROR(Tabela3[[#This Row],[Peso Total Galho]]*Tabela3[[#This Row],[Qtde Cx Produzida]]*1.055,0)</f>
        <v>129.41051999999999</v>
      </c>
      <c r="S584" s="37">
        <f>(Tabela3[[#This Row],[Aluminio Bruto]]-Tabela3[[#This Row],[Aluminio Util]])*0.9</f>
        <v>23.513867999999999</v>
      </c>
      <c r="T584" s="37">
        <f>Tabela3[[#This Row],[Aluminio Bruto]]/OleoKGAluminio</f>
        <v>54.442838437805207</v>
      </c>
      <c r="U584" s="35">
        <f>IFERROR((VLOOKUP(Tabela3[[#This Row],[Moldador]],Tabela1[],5,)+(VLOOKUP(Tabela3[[#This Row],[Ajudante]],Tabela1[],5,))*3.5),0)</f>
        <v>99.95034583333333</v>
      </c>
      <c r="V584" s="35">
        <f>IFERROR(Tabela3[[#This Row],[Custo M.O. / H]]/((Tabela3[[#This Row],[Realizado]]/Tabela3[[#This Row],[Qdt Peça Placa]])/Tabela3[[#This Row],[Tempo]]/24),)</f>
        <v>12.391504863547759</v>
      </c>
      <c r="W584" s="35">
        <f>Tabela3[[#This Row],[Custo / Cx Moldada]]*Tabela3[[#This Row],[Qtde Cx Produzida]]</f>
        <v>706.31577722222221</v>
      </c>
      <c r="X584" s="35">
        <f ca="1">Tabela3[[#This Row],[Aluminio Util]]*Tabela3[[#This Row],[Custo/Kg]]</f>
        <v>1611.2303999999999</v>
      </c>
      <c r="Y584" s="35">
        <f>IFERROR(VLOOKUP(Tabela3[[#This Row],[Data]],Tabela461213[],2,1)*(Tabela3[[#This Row],[Qtde Cx Produzida]]*Tabela3[[#This Row],[Qde macho / CX]]*Tabela3[[#This Row],[Peso Macho]]),)</f>
        <v>0</v>
      </c>
      <c r="Z584" s="35">
        <f>IFERROR(Tabela3[[#This Row],[Qtde Oleo]]*(VLOOKUP(Tabela3[[#This Row],[Data]],CompraOleo[],3,TRUE))*1.05,0)</f>
        <v>142.91245089923868</v>
      </c>
      <c r="AA584" s="47">
        <f ca="1">(Tabela3[[#This Row],[Custo Oleo]]+Tabela3[[#This Row],[Custo Aluminio]]+Tabela3[[#This Row],[Custo M.O. Total]]+Tabela3[[#This Row],[Custo Machos]])</f>
        <v>2460.4586281214606</v>
      </c>
      <c r="AB584" s="47">
        <f ca="1">Tabela3[[#This Row],[Custo Total]]*Tabela3[[#This Row],[% Perda]]</f>
        <v>0</v>
      </c>
      <c r="AC584" s="48">
        <f>IFERROR(VLOOKUP(Tabela3[[#This Row],[Produto]],Tabela2[],2,0),0)</f>
        <v>6</v>
      </c>
      <c r="AD584" s="48">
        <f>IFERROR(VLOOKUP(Tabela3[[#This Row],[Produto]],Tabela2[],3,0),0)</f>
        <v>0.30199999999999999</v>
      </c>
      <c r="AE584" s="48">
        <f>IFERROR(VLOOKUP(Tabela3[[#This Row],[Produto]],Tabela2[],4,0),0)</f>
        <v>2.1520000000000001</v>
      </c>
      <c r="AF584" s="48">
        <f>IFERROR(VLOOKUP(Tabela3[[#This Row],[Produto]],Tabela2[],5,0),0)</f>
        <v>0.30600000000000027</v>
      </c>
      <c r="AG584" s="40">
        <f>IFERROR(VLOOKUP(Tabela3[[#This Row],[Produto]],Tabela2[],6,0),0)</f>
        <v>0</v>
      </c>
      <c r="AH584" s="40">
        <f>IFERROR(VLOOKUP(Tabela3[[#This Row],[Produto]],Tabela2[],7,0),0)</f>
        <v>0</v>
      </c>
      <c r="AI584" s="40">
        <f>IFERROR(VLOOKUP(Tabela3[[#This Row],[Produto]],Tabela2[],8,0),0)</f>
        <v>0</v>
      </c>
      <c r="AJ584" s="35">
        <f ca="1">IFERROR(VLOOKUP(Tabela3[[#This Row],[Produto]],Tabela2[],13,0),0)</f>
        <v>15.600000000000001</v>
      </c>
      <c r="AK584" s="40" t="str">
        <f>IFERROR(VLOOKUP(Tabela3[[#This Row],[Produto]],Tabela2[],14,0),0)</f>
        <v>Senun</v>
      </c>
      <c r="AL584" s="40">
        <f>IFERROR(VLOOKUP(Tabela3[[#This Row],[Produto]],Tabela2[],15,0),0)</f>
        <v>4</v>
      </c>
      <c r="AM584" s="36">
        <f ca="1">(Tabela3[[#This Row],[Custo Usinagem]]+Tabela3[[#This Row],[Custo / Pç]])*1.2</f>
        <v>13.433188168847229</v>
      </c>
      <c r="AN584" s="36">
        <f ca="1">Tabela3[[#This Row],[Valor Mínimo Venda]]*1.15</f>
        <v>15.448166394174311</v>
      </c>
      <c r="AO584" s="36">
        <f ca="1">Tabela3[[#This Row],[Tabela 1]]*1.08</f>
        <v>16.684019705708259</v>
      </c>
      <c r="AP584" s="36">
        <f ca="1">Tabela3[[#This Row],[Tabela 2]]*1.15</f>
        <v>19.186622661564495</v>
      </c>
    </row>
    <row r="585" spans="1:42">
      <c r="A585" s="9">
        <v>45898</v>
      </c>
      <c r="B585" s="6" t="s">
        <v>135</v>
      </c>
      <c r="C585" s="14">
        <v>7706</v>
      </c>
      <c r="D585" s="6" t="s">
        <v>46</v>
      </c>
      <c r="E585" s="6" t="s">
        <v>44</v>
      </c>
      <c r="F585" s="6">
        <v>5</v>
      </c>
      <c r="G585" s="15">
        <v>2.1527777777777778E-2</v>
      </c>
      <c r="H585" s="16">
        <v>0</v>
      </c>
      <c r="I585" s="35">
        <f ca="1">IFERROR(Tabela3[[#This Row],[Custo Total]]/Tabela3[[#This Row],[Aluminio Util]],0)</f>
        <v>27.573639473346223</v>
      </c>
      <c r="J585" s="35">
        <f ca="1">Tabela3[[#This Row],[Custo Total]]/Tabela3[[#This Row],[Realizado]]</f>
        <v>48.805341867822811</v>
      </c>
      <c r="K585" s="37">
        <f>IFERROR(Tabela3[[#This Row],[Qtde Cx Produzida]]/Tabela3[[#This Row],[Tempo]]/24,0)</f>
        <v>9.67741935483871</v>
      </c>
      <c r="L585" s="37">
        <f>Tabela3[[#This Row],[Qtde Cx Produzida]]*Tabela3[[#This Row],[Qdt Peça Placa]]</f>
        <v>5</v>
      </c>
      <c r="M585" s="37">
        <f>Tabela3[[#This Row],[Previsto]]-Tabela3[[#This Row],[Perda Pçs]]</f>
        <v>5</v>
      </c>
      <c r="N585" s="38">
        <f>IFERROR(Tabela3[[#This Row],[Perda Pçs]]/Tabela3[[#This Row],[Previsto]],0)</f>
        <v>0</v>
      </c>
      <c r="O585" s="39">
        <f>IFERROR(IF(Tabela3[[#This Row],[Qtde Cx Produzida]] &lt;&gt; 0, Tabela3[[#This Row],[Tempo]] / Tabela3[[#This Row],[Qtde Cx Produzida]], 0),0)</f>
        <v>4.3055555555555555E-3</v>
      </c>
      <c r="P585" s="57">
        <f>IFERROR(Tabela3[[#This Row],[Perda Pçs]]/Tabela3[[#This Row],[Qdt Peça Placa]],0)</f>
        <v>0</v>
      </c>
      <c r="Q585" s="37">
        <f>IFERROR(Tabela3[[#This Row],[Realizado]]*Tabela3[[#This Row],[Peso Util/Pç]],0)</f>
        <v>8.85</v>
      </c>
      <c r="R585" s="37">
        <f>IFERROR(Tabela3[[#This Row],[Peso Total Galho]]*Tabela3[[#This Row],[Qtde Cx Produzida]]*1.055,0)</f>
        <v>16.510749999999998</v>
      </c>
      <c r="S585" s="37">
        <f>(Tabela3[[#This Row],[Aluminio Bruto]]-Tabela3[[#This Row],[Aluminio Util]])*0.9</f>
        <v>6.8946749999999986</v>
      </c>
      <c r="T585" s="37">
        <f>Tabela3[[#This Row],[Aluminio Bruto]]/OleoKGAluminio</f>
        <v>6.9460511768053497</v>
      </c>
      <c r="U585" s="35">
        <f>IFERROR((VLOOKUP(Tabela3[[#This Row],[Moldador]],Tabela1[],5,)+(VLOOKUP(Tabela3[[#This Row],[Ajudante]],Tabela1[],5,))*3.5),0)</f>
        <v>126.0945</v>
      </c>
      <c r="V585" s="35">
        <f>IFERROR(Tabela3[[#This Row],[Custo M.O. / H]]/((Tabela3[[#This Row],[Realizado]]/Tabela3[[#This Row],[Qdt Peça Placa]])/Tabela3[[#This Row],[Tempo]]/24),)</f>
        <v>13.029764999999999</v>
      </c>
      <c r="W585" s="35">
        <f>Tabela3[[#This Row],[Custo / Cx Moldada]]*Tabela3[[#This Row],[Qtde Cx Produzida]]</f>
        <v>65.148825000000002</v>
      </c>
      <c r="X585" s="35">
        <f ca="1">Tabela3[[#This Row],[Aluminio Util]]*Tabela3[[#This Row],[Custo/Kg]]</f>
        <v>138.06</v>
      </c>
      <c r="Y585" s="35">
        <f>IFERROR(VLOOKUP(Tabela3[[#This Row],[Data]],Tabela461213[],2,1)*(Tabela3[[#This Row],[Qtde Cx Produzida]]*Tabela3[[#This Row],[Qde macho / CX]]*Tabela3[[#This Row],[Peso Macho]]),)</f>
        <v>22.584499999999998</v>
      </c>
      <c r="Z585" s="35">
        <f>IFERROR(Tabela3[[#This Row],[Qtde Oleo]]*(VLOOKUP(Tabela3[[#This Row],[Data]],CompraOleo[],3,TRUE))*1.05,0)</f>
        <v>18.233384339114043</v>
      </c>
      <c r="AA585" s="47">
        <f ca="1">(Tabela3[[#This Row],[Custo Oleo]]+Tabela3[[#This Row],[Custo Aluminio]]+Tabela3[[#This Row],[Custo M.O. Total]]+Tabela3[[#This Row],[Custo Machos]])</f>
        <v>244.02670933911406</v>
      </c>
      <c r="AB585" s="47">
        <f ca="1">Tabela3[[#This Row],[Custo Total]]*Tabela3[[#This Row],[% Perda]]</f>
        <v>0</v>
      </c>
      <c r="AC585" s="48">
        <f>IFERROR(VLOOKUP(Tabela3[[#This Row],[Produto]],Tabela2[],2,0),0)</f>
        <v>1</v>
      </c>
      <c r="AD585" s="48">
        <f>IFERROR(VLOOKUP(Tabela3[[#This Row],[Produto]],Tabela2[],3,0),0)</f>
        <v>1.77</v>
      </c>
      <c r="AE585" s="48">
        <f>IFERROR(VLOOKUP(Tabela3[[#This Row],[Produto]],Tabela2[],4,0),0)</f>
        <v>3.13</v>
      </c>
      <c r="AF585" s="48">
        <f>IFERROR(VLOOKUP(Tabela3[[#This Row],[Produto]],Tabela2[],5,0),0)</f>
        <v>1.224</v>
      </c>
      <c r="AG585" s="40">
        <f>IFERROR(VLOOKUP(Tabela3[[#This Row],[Produto]],Tabela2[],6,0),0)</f>
        <v>0</v>
      </c>
      <c r="AH585" s="40">
        <f>IFERROR(VLOOKUP(Tabela3[[#This Row],[Produto]],Tabela2[],7,0),0)</f>
        <v>1</v>
      </c>
      <c r="AI585" s="40">
        <f>IFERROR(VLOOKUP(Tabela3[[#This Row],[Produto]],Tabela2[],8,0),0)</f>
        <v>2.657</v>
      </c>
      <c r="AJ585" s="35">
        <f ca="1">IFERROR(VLOOKUP(Tabela3[[#This Row],[Produto]],Tabela2[],13,0),0)</f>
        <v>15.600000000000001</v>
      </c>
      <c r="AK585" s="40" t="str">
        <f>IFERROR(VLOOKUP(Tabela3[[#This Row],[Produto]],Tabela2[],14,0),0)</f>
        <v>Jumil</v>
      </c>
      <c r="AL585" s="40">
        <f>IFERROR(VLOOKUP(Tabela3[[#This Row],[Produto]],Tabela2[],15,0),0)</f>
        <v>10</v>
      </c>
      <c r="AM585" s="36">
        <f ca="1">(Tabela3[[#This Row],[Custo Usinagem]]+Tabela3[[#This Row],[Custo / Pç]])*1.2</f>
        <v>70.566410241387374</v>
      </c>
      <c r="AN585" s="36">
        <f ca="1">Tabela3[[#This Row],[Valor Mínimo Venda]]*1.15</f>
        <v>81.151371777595472</v>
      </c>
      <c r="AO585" s="36">
        <f ca="1">Tabela3[[#This Row],[Tabela 1]]*1.08</f>
        <v>87.643481519803117</v>
      </c>
      <c r="AP585" s="36">
        <f ca="1">Tabela3[[#This Row],[Tabela 2]]*1.15</f>
        <v>100.79000374777358</v>
      </c>
    </row>
    <row r="586" spans="1:42">
      <c r="A586" s="9">
        <v>45898</v>
      </c>
      <c r="B586" s="6" t="s">
        <v>236</v>
      </c>
      <c r="C586" s="14">
        <v>7638</v>
      </c>
      <c r="D586" s="6" t="s">
        <v>46</v>
      </c>
      <c r="E586" s="6" t="s">
        <v>44</v>
      </c>
      <c r="F586" s="6">
        <v>41</v>
      </c>
      <c r="G586" s="15">
        <v>0.2076388888888889</v>
      </c>
      <c r="H586" s="16">
        <v>0</v>
      </c>
      <c r="I586" s="35">
        <f ca="1">IFERROR(Tabela3[[#This Row],[Custo Total]]/Tabela3[[#This Row],[Aluminio Util]],0)</f>
        <v>25.441808003664249</v>
      </c>
      <c r="J586" s="35">
        <f ca="1">Tabela3[[#This Row],[Custo Total]]/Tabela3[[#This Row],[Realizado]]</f>
        <v>7.6834260171066031</v>
      </c>
      <c r="K586" s="37">
        <f>IFERROR(Tabela3[[#This Row],[Qtde Cx Produzida]]/Tabela3[[#This Row],[Tempo]]/24,0)</f>
        <v>8.2274247491638786</v>
      </c>
      <c r="L586" s="37">
        <f>Tabela3[[#This Row],[Qtde Cx Produzida]]*Tabela3[[#This Row],[Qdt Peça Placa]]</f>
        <v>246</v>
      </c>
      <c r="M586" s="37">
        <f>Tabela3[[#This Row],[Previsto]]-Tabela3[[#This Row],[Perda Pçs]]</f>
        <v>246</v>
      </c>
      <c r="N586" s="38">
        <f>IFERROR(Tabela3[[#This Row],[Perda Pçs]]/Tabela3[[#This Row],[Previsto]],0)</f>
        <v>0</v>
      </c>
      <c r="O586" s="39">
        <f>IFERROR(IF(Tabela3[[#This Row],[Qtde Cx Produzida]] &lt;&gt; 0, Tabela3[[#This Row],[Tempo]] / Tabela3[[#This Row],[Qtde Cx Produzida]], 0),0)</f>
        <v>5.0643631436314363E-3</v>
      </c>
      <c r="P586" s="57">
        <f>IFERROR(Tabela3[[#This Row],[Perda Pçs]]/Tabela3[[#This Row],[Qdt Peça Placa]],0)</f>
        <v>0</v>
      </c>
      <c r="Q586" s="37">
        <f>IFERROR(Tabela3[[#This Row],[Realizado]]*Tabela3[[#This Row],[Peso Util/Pç]],0)</f>
        <v>74.292000000000002</v>
      </c>
      <c r="R586" s="37">
        <f>IFERROR(Tabela3[[#This Row],[Peso Total Galho]]*Tabela3[[#This Row],[Qtde Cx Produzida]]*1.055,0)</f>
        <v>93.084759999999989</v>
      </c>
      <c r="S586" s="37">
        <f>(Tabela3[[#This Row],[Aluminio Bruto]]-Tabela3[[#This Row],[Aluminio Util]])*0.9</f>
        <v>16.91348399999999</v>
      </c>
      <c r="T586" s="37">
        <f>Tabela3[[#This Row],[Aluminio Bruto]]/OleoKGAluminio</f>
        <v>39.16063817456164</v>
      </c>
      <c r="U586" s="35">
        <f>IFERROR((VLOOKUP(Tabela3[[#This Row],[Moldador]],Tabela1[],5,)+(VLOOKUP(Tabela3[[#This Row],[Ajudante]],Tabela1[],5,))*3.5),0)</f>
        <v>126.0945</v>
      </c>
      <c r="V586" s="35">
        <f>IFERROR(Tabela3[[#This Row],[Custo M.O. / H]]/((Tabela3[[#This Row],[Realizado]]/Tabela3[[#This Row],[Qdt Peça Placa]])/Tabela3[[#This Row],[Tempo]]/24),)</f>
        <v>15.32612012195122</v>
      </c>
      <c r="W586" s="35">
        <f>Tabela3[[#This Row],[Custo / Cx Moldada]]*Tabela3[[#This Row],[Qtde Cx Produzida]]</f>
        <v>628.37092500000006</v>
      </c>
      <c r="X586" s="35">
        <f ca="1">Tabela3[[#This Row],[Aluminio Util]]*Tabela3[[#This Row],[Custo/Kg]]</f>
        <v>1158.9552000000001</v>
      </c>
      <c r="Y586" s="35">
        <f>IFERROR(VLOOKUP(Tabela3[[#This Row],[Data]],Tabela461213[],2,1)*(Tabela3[[#This Row],[Qtde Cx Produzida]]*Tabela3[[#This Row],[Qde macho / CX]]*Tabela3[[#This Row],[Peso Macho]]),)</f>
        <v>0</v>
      </c>
      <c r="Z586" s="35">
        <f>IFERROR(Tabela3[[#This Row],[Qtde Oleo]]*(VLOOKUP(Tabela3[[#This Row],[Data]],CompraOleo[],3,TRUE))*1.05,0)</f>
        <v>102.79667520822431</v>
      </c>
      <c r="AA586" s="47">
        <f ca="1">(Tabela3[[#This Row],[Custo Oleo]]+Tabela3[[#This Row],[Custo Aluminio]]+Tabela3[[#This Row],[Custo M.O. Total]]+Tabela3[[#This Row],[Custo Machos]])</f>
        <v>1890.1228002082244</v>
      </c>
      <c r="AB586" s="47">
        <f ca="1">Tabela3[[#This Row],[Custo Total]]*Tabela3[[#This Row],[% Perda]]</f>
        <v>0</v>
      </c>
      <c r="AC586" s="48">
        <f>IFERROR(VLOOKUP(Tabela3[[#This Row],[Produto]],Tabela2[],2,0),0)</f>
        <v>6</v>
      </c>
      <c r="AD586" s="48">
        <f>IFERROR(VLOOKUP(Tabela3[[#This Row],[Produto]],Tabela2[],3,0),0)</f>
        <v>0.30199999999999999</v>
      </c>
      <c r="AE586" s="48">
        <f>IFERROR(VLOOKUP(Tabela3[[#This Row],[Produto]],Tabela2[],4,0),0)</f>
        <v>2.1520000000000001</v>
      </c>
      <c r="AF586" s="48">
        <f>IFERROR(VLOOKUP(Tabela3[[#This Row],[Produto]],Tabela2[],5,0),0)</f>
        <v>0.30600000000000027</v>
      </c>
      <c r="AG586" s="40">
        <f>IFERROR(VLOOKUP(Tabela3[[#This Row],[Produto]],Tabela2[],6,0),0)</f>
        <v>0</v>
      </c>
      <c r="AH586" s="40">
        <f>IFERROR(VLOOKUP(Tabela3[[#This Row],[Produto]],Tabela2[],7,0),0)</f>
        <v>0</v>
      </c>
      <c r="AI586" s="40">
        <f>IFERROR(VLOOKUP(Tabela3[[#This Row],[Produto]],Tabela2[],8,0),0)</f>
        <v>0</v>
      </c>
      <c r="AJ586" s="35">
        <f ca="1">IFERROR(VLOOKUP(Tabela3[[#This Row],[Produto]],Tabela2[],13,0),0)</f>
        <v>15.600000000000001</v>
      </c>
      <c r="AK586" s="40" t="str">
        <f>IFERROR(VLOOKUP(Tabela3[[#This Row],[Produto]],Tabela2[],14,0),0)</f>
        <v>Senun</v>
      </c>
      <c r="AL586" s="40">
        <f>IFERROR(VLOOKUP(Tabela3[[#This Row],[Produto]],Tabela2[],15,0),0)</f>
        <v>4</v>
      </c>
      <c r="AM586" s="36">
        <f ca="1">(Tabela3[[#This Row],[Custo Usinagem]]+Tabela3[[#This Row],[Custo / Pç]])*1.2</f>
        <v>14.020111220527923</v>
      </c>
      <c r="AN586" s="36">
        <f ca="1">Tabela3[[#This Row],[Valor Mínimo Venda]]*1.15</f>
        <v>16.123127903607109</v>
      </c>
      <c r="AO586" s="36">
        <f ca="1">Tabela3[[#This Row],[Tabela 1]]*1.08</f>
        <v>17.412978135895678</v>
      </c>
      <c r="AP586" s="36">
        <f ca="1">Tabela3[[#This Row],[Tabela 2]]*1.15</f>
        <v>20.024924856280027</v>
      </c>
    </row>
    <row r="587" spans="1:42">
      <c r="A587" s="9">
        <v>45898</v>
      </c>
      <c r="B587" s="6" t="s">
        <v>245</v>
      </c>
      <c r="C587" s="14">
        <v>7819</v>
      </c>
      <c r="D587" s="6" t="s">
        <v>46</v>
      </c>
      <c r="E587" s="6" t="s">
        <v>44</v>
      </c>
      <c r="F587" s="6">
        <v>21</v>
      </c>
      <c r="G587" s="15">
        <v>0.10208333333333333</v>
      </c>
      <c r="H587" s="16">
        <v>0</v>
      </c>
      <c r="I587" s="35">
        <f ca="1">IFERROR(Tabela3[[#This Row],[Custo Total]]/Tabela3[[#This Row],[Aluminio Util]],0)</f>
        <v>28.695400382518681</v>
      </c>
      <c r="J587" s="35">
        <f ca="1">Tabela3[[#This Row],[Custo Total]]/Tabela3[[#This Row],[Realizado]]</f>
        <v>9.5268729269962034</v>
      </c>
      <c r="K587" s="37">
        <f>IFERROR(Tabela3[[#This Row],[Qtde Cx Produzida]]/Tabela3[[#This Row],[Tempo]]/24,0)</f>
        <v>8.5714285714285712</v>
      </c>
      <c r="L587" s="37">
        <f>Tabela3[[#This Row],[Qtde Cx Produzida]]*Tabela3[[#This Row],[Qdt Peça Placa]]</f>
        <v>84</v>
      </c>
      <c r="M587" s="37">
        <f>Tabela3[[#This Row],[Previsto]]-Tabela3[[#This Row],[Perda Pçs]]</f>
        <v>84</v>
      </c>
      <c r="N587" s="38">
        <f>IFERROR(Tabela3[[#This Row],[Perda Pçs]]/Tabela3[[#This Row],[Previsto]],0)</f>
        <v>0</v>
      </c>
      <c r="O587" s="39">
        <f>IFERROR(IF(Tabela3[[#This Row],[Qtde Cx Produzida]] &lt;&gt; 0, Tabela3[[#This Row],[Tempo]] / Tabela3[[#This Row],[Qtde Cx Produzida]], 0),0)</f>
        <v>4.8611111111111112E-3</v>
      </c>
      <c r="P587" s="57">
        <f>IFERROR(Tabela3[[#This Row],[Perda Pçs]]/Tabela3[[#This Row],[Qdt Peça Placa]],0)</f>
        <v>0</v>
      </c>
      <c r="Q587" s="37">
        <f>IFERROR(Tabela3[[#This Row],[Realizado]]*Tabela3[[#This Row],[Peso Util/Pç]],0)</f>
        <v>27.888000000000002</v>
      </c>
      <c r="R587" s="37">
        <f>IFERROR(Tabela3[[#This Row],[Peso Total Galho]]*Tabela3[[#This Row],[Qtde Cx Produzida]]*1.055,0)</f>
        <v>50.956499999999991</v>
      </c>
      <c r="S587" s="37">
        <f>(Tabela3[[#This Row],[Aluminio Bruto]]-Tabela3[[#This Row],[Aluminio Util]])*0.9</f>
        <v>20.761649999999992</v>
      </c>
      <c r="T587" s="37">
        <f>Tabela3[[#This Row],[Aluminio Bruto]]/OleoKGAluminio</f>
        <v>21.437333663878491</v>
      </c>
      <c r="U587" s="35">
        <f>IFERROR((VLOOKUP(Tabela3[[#This Row],[Moldador]],Tabela1[],5,)+(VLOOKUP(Tabela3[[#This Row],[Ajudante]],Tabela1[],5,))*3.5),0)</f>
        <v>126.0945</v>
      </c>
      <c r="V587" s="35">
        <f>IFERROR(Tabela3[[#This Row],[Custo M.O. / H]]/((Tabela3[[#This Row],[Realizado]]/Tabela3[[#This Row],[Qdt Peça Placa]])/Tabela3[[#This Row],[Tempo]]/24),)</f>
        <v>14.711024999999999</v>
      </c>
      <c r="W587" s="35">
        <f>Tabela3[[#This Row],[Custo / Cx Moldada]]*Tabela3[[#This Row],[Qtde Cx Produzida]]</f>
        <v>308.93152499999997</v>
      </c>
      <c r="X587" s="35">
        <f ca="1">Tabela3[[#This Row],[Aluminio Util]]*Tabela3[[#This Row],[Custo/Kg]]</f>
        <v>435.05280000000005</v>
      </c>
      <c r="Y587" s="35">
        <f>IFERROR(VLOOKUP(Tabela3[[#This Row],[Data]],Tabela461213[],2,1)*(Tabela3[[#This Row],[Qtde Cx Produzida]]*Tabela3[[#This Row],[Qde macho / CX]]*Tabela3[[#This Row],[Peso Macho]]),)</f>
        <v>0</v>
      </c>
      <c r="Z587" s="35">
        <f>IFERROR(Tabela3[[#This Row],[Qtde Oleo]]*(VLOOKUP(Tabela3[[#This Row],[Data]],CompraOleo[],3,TRUE))*1.05,0)</f>
        <v>56.273000867681041</v>
      </c>
      <c r="AA587" s="47">
        <f ca="1">(Tabela3[[#This Row],[Custo Oleo]]+Tabela3[[#This Row],[Custo Aluminio]]+Tabela3[[#This Row],[Custo M.O. Total]]+Tabela3[[#This Row],[Custo Machos]])</f>
        <v>800.25732586768106</v>
      </c>
      <c r="AB587" s="47">
        <f ca="1">Tabela3[[#This Row],[Custo Total]]*Tabela3[[#This Row],[% Perda]]</f>
        <v>0</v>
      </c>
      <c r="AC587" s="48">
        <f>IFERROR(VLOOKUP(Tabela3[[#This Row],[Produto]],Tabela2[],2,0),0)</f>
        <v>4</v>
      </c>
      <c r="AD587" s="48">
        <f>IFERROR(VLOOKUP(Tabela3[[#This Row],[Produto]],Tabela2[],3,0),0)</f>
        <v>0.33200000000000002</v>
      </c>
      <c r="AE587" s="48">
        <f>IFERROR(VLOOKUP(Tabela3[[#This Row],[Produto]],Tabela2[],4,0),0)</f>
        <v>2.2999999999999998</v>
      </c>
      <c r="AF587" s="48">
        <f>IFERROR(VLOOKUP(Tabela3[[#This Row],[Produto]],Tabela2[],5,0),0)</f>
        <v>0.8747999999999998</v>
      </c>
      <c r="AG587" s="40">
        <f>IFERROR(VLOOKUP(Tabela3[[#This Row],[Produto]],Tabela2[],6,0),0)</f>
        <v>0</v>
      </c>
      <c r="AH587" s="40">
        <f>IFERROR(VLOOKUP(Tabela3[[#This Row],[Produto]],Tabela2[],7,0),0)</f>
        <v>0</v>
      </c>
      <c r="AI587" s="40">
        <f>IFERROR(VLOOKUP(Tabela3[[#This Row],[Produto]],Tabela2[],8,0),0)</f>
        <v>0</v>
      </c>
      <c r="AJ587" s="35">
        <f ca="1">IFERROR(VLOOKUP(Tabela3[[#This Row],[Produto]],Tabela2[],13,0),0)</f>
        <v>15.600000000000001</v>
      </c>
      <c r="AK587" s="40" t="str">
        <f>IFERROR(VLOOKUP(Tabela3[[#This Row],[Produto]],Tabela2[],14,0),0)</f>
        <v>Senun</v>
      </c>
      <c r="AL587" s="40">
        <f>IFERROR(VLOOKUP(Tabela3[[#This Row],[Produto]],Tabela2[],15,0),0)</f>
        <v>3.5</v>
      </c>
      <c r="AM587" s="36">
        <f ca="1">(Tabela3[[#This Row],[Custo Usinagem]]+Tabela3[[#This Row],[Custo / Pç]])*1.2</f>
        <v>15.632247512395443</v>
      </c>
      <c r="AN587" s="36">
        <f ca="1">Tabela3[[#This Row],[Valor Mínimo Venda]]*1.15</f>
        <v>17.977084639254759</v>
      </c>
      <c r="AO587" s="36">
        <f ca="1">Tabela3[[#This Row],[Tabela 1]]*1.08</f>
        <v>19.41525141039514</v>
      </c>
      <c r="AP587" s="36">
        <f ca="1">Tabela3[[#This Row],[Tabela 2]]*1.15</f>
        <v>22.327539121954409</v>
      </c>
    </row>
    <row r="588" spans="1:42">
      <c r="A588" s="9">
        <v>45898</v>
      </c>
      <c r="B588" s="6" t="s">
        <v>236</v>
      </c>
      <c r="C588" s="14">
        <v>7638</v>
      </c>
      <c r="D588" s="6" t="s">
        <v>44</v>
      </c>
      <c r="E588" s="6" t="s">
        <v>47</v>
      </c>
      <c r="F588" s="6">
        <v>13</v>
      </c>
      <c r="G588" s="15">
        <v>6.25E-2</v>
      </c>
      <c r="H588" s="16">
        <v>0</v>
      </c>
      <c r="I588" s="35">
        <f ca="1">IFERROR(Tabela3[[#This Row],[Custo Total]]/Tabela3[[#This Row],[Aluminio Util]],0)</f>
        <v>23.34832681690224</v>
      </c>
      <c r="J588" s="35">
        <f ca="1">Tabela3[[#This Row],[Custo Total]]/Tabela3[[#This Row],[Realizado]]</f>
        <v>7.0511946987044762</v>
      </c>
      <c r="K588" s="37">
        <f>IFERROR(Tabela3[[#This Row],[Qtde Cx Produzida]]/Tabela3[[#This Row],[Tempo]]/24,0)</f>
        <v>8.6666666666666661</v>
      </c>
      <c r="L588" s="37">
        <f>Tabela3[[#This Row],[Qtde Cx Produzida]]*Tabela3[[#This Row],[Qdt Peça Placa]]</f>
        <v>78</v>
      </c>
      <c r="M588" s="37">
        <f>Tabela3[[#This Row],[Previsto]]-Tabela3[[#This Row],[Perda Pçs]]</f>
        <v>78</v>
      </c>
      <c r="N588" s="38">
        <f>IFERROR(Tabela3[[#This Row],[Perda Pçs]]/Tabela3[[#This Row],[Previsto]],0)</f>
        <v>0</v>
      </c>
      <c r="O588" s="39">
        <f>IFERROR(IF(Tabela3[[#This Row],[Qtde Cx Produzida]] &lt;&gt; 0, Tabela3[[#This Row],[Tempo]] / Tabela3[[#This Row],[Qtde Cx Produzida]], 0),0)</f>
        <v>4.807692307692308E-3</v>
      </c>
      <c r="P588" s="57">
        <f>IFERROR(Tabela3[[#This Row],[Perda Pçs]]/Tabela3[[#This Row],[Qdt Peça Placa]],0)</f>
        <v>0</v>
      </c>
      <c r="Q588" s="37">
        <f>IFERROR(Tabela3[[#This Row],[Realizado]]*Tabela3[[#This Row],[Peso Util/Pç]],0)</f>
        <v>23.556000000000001</v>
      </c>
      <c r="R588" s="37">
        <f>IFERROR(Tabela3[[#This Row],[Peso Total Galho]]*Tabela3[[#This Row],[Qtde Cx Produzida]]*1.055,0)</f>
        <v>29.514680000000002</v>
      </c>
      <c r="S588" s="37">
        <f>(Tabela3[[#This Row],[Aluminio Bruto]]-Tabela3[[#This Row],[Aluminio Util]])*0.9</f>
        <v>5.3628120000000008</v>
      </c>
      <c r="T588" s="37">
        <f>Tabela3[[#This Row],[Aluminio Bruto]]/OleoKGAluminio</f>
        <v>12.4167877138854</v>
      </c>
      <c r="U588" s="35">
        <f>IFERROR((VLOOKUP(Tabela3[[#This Row],[Moldador]],Tabela1[],5,)+(VLOOKUP(Tabela3[[#This Row],[Ajudante]],Tabela1[],5,))*3.5),0)</f>
        <v>99.95034583333333</v>
      </c>
      <c r="V588" s="35">
        <f>IFERROR(Tabela3[[#This Row],[Custo M.O. / H]]/((Tabela3[[#This Row],[Realizado]]/Tabela3[[#This Row],[Qdt Peça Placa]])/Tabela3[[#This Row],[Tempo]]/24),)</f>
        <v>11.532732211538463</v>
      </c>
      <c r="W588" s="35">
        <f>Tabela3[[#This Row],[Custo / Cx Moldada]]*Tabela3[[#This Row],[Qtde Cx Produzida]]</f>
        <v>149.92551875000001</v>
      </c>
      <c r="X588" s="35">
        <f ca="1">Tabela3[[#This Row],[Aluminio Util]]*Tabela3[[#This Row],[Custo/Kg]]</f>
        <v>367.47360000000003</v>
      </c>
      <c r="Y588" s="35">
        <f>IFERROR(VLOOKUP(Tabela3[[#This Row],[Data]],Tabela461213[],2,1)*(Tabela3[[#This Row],[Qtde Cx Produzida]]*Tabela3[[#This Row],[Qde macho / CX]]*Tabela3[[#This Row],[Peso Macho]]),)</f>
        <v>0</v>
      </c>
      <c r="Z588" s="35">
        <f>IFERROR(Tabela3[[#This Row],[Qtde Oleo]]*(VLOOKUP(Tabela3[[#This Row],[Data]],CompraOleo[],3,TRUE))*1.05,0)</f>
        <v>32.594067748949172</v>
      </c>
      <c r="AA588" s="47">
        <f ca="1">(Tabela3[[#This Row],[Custo Oleo]]+Tabela3[[#This Row],[Custo Aluminio]]+Tabela3[[#This Row],[Custo M.O. Total]]+Tabela3[[#This Row],[Custo Machos]])</f>
        <v>549.99318649894917</v>
      </c>
      <c r="AB588" s="47">
        <f ca="1">Tabela3[[#This Row],[Custo Total]]*Tabela3[[#This Row],[% Perda]]</f>
        <v>0</v>
      </c>
      <c r="AC588" s="48">
        <f>IFERROR(VLOOKUP(Tabela3[[#This Row],[Produto]],Tabela2[],2,0),0)</f>
        <v>6</v>
      </c>
      <c r="AD588" s="48">
        <f>IFERROR(VLOOKUP(Tabela3[[#This Row],[Produto]],Tabela2[],3,0),0)</f>
        <v>0.30199999999999999</v>
      </c>
      <c r="AE588" s="48">
        <f>IFERROR(VLOOKUP(Tabela3[[#This Row],[Produto]],Tabela2[],4,0),0)</f>
        <v>2.1520000000000001</v>
      </c>
      <c r="AF588" s="48">
        <f>IFERROR(VLOOKUP(Tabela3[[#This Row],[Produto]],Tabela2[],5,0),0)</f>
        <v>0.30600000000000027</v>
      </c>
      <c r="AG588" s="40">
        <f>IFERROR(VLOOKUP(Tabela3[[#This Row],[Produto]],Tabela2[],6,0),0)</f>
        <v>0</v>
      </c>
      <c r="AH588" s="40">
        <f>IFERROR(VLOOKUP(Tabela3[[#This Row],[Produto]],Tabela2[],7,0),0)</f>
        <v>0</v>
      </c>
      <c r="AI588" s="40">
        <f>IFERROR(VLOOKUP(Tabela3[[#This Row],[Produto]],Tabela2[],8,0),0)</f>
        <v>0</v>
      </c>
      <c r="AJ588" s="35">
        <f ca="1">IFERROR(VLOOKUP(Tabela3[[#This Row],[Produto]],Tabela2[],13,0),0)</f>
        <v>15.600000000000001</v>
      </c>
      <c r="AK588" s="40" t="str">
        <f>IFERROR(VLOOKUP(Tabela3[[#This Row],[Produto]],Tabela2[],14,0),0)</f>
        <v>Senun</v>
      </c>
      <c r="AL588" s="40">
        <f>IFERROR(VLOOKUP(Tabela3[[#This Row],[Produto]],Tabela2[],15,0),0)</f>
        <v>4</v>
      </c>
      <c r="AM588" s="36">
        <f ca="1">(Tabela3[[#This Row],[Custo Usinagem]]+Tabela3[[#This Row],[Custo / Pç]])*1.2</f>
        <v>13.261433638445371</v>
      </c>
      <c r="AN588" s="36">
        <f ca="1">Tabela3[[#This Row],[Valor Mínimo Venda]]*1.15</f>
        <v>15.250648684212177</v>
      </c>
      <c r="AO588" s="36">
        <f ca="1">Tabela3[[#This Row],[Tabela 1]]*1.08</f>
        <v>16.470700578949153</v>
      </c>
      <c r="AP588" s="36">
        <f ca="1">Tabela3[[#This Row],[Tabela 2]]*1.15</f>
        <v>18.941305665791525</v>
      </c>
    </row>
    <row r="589" spans="1:42">
      <c r="A589" s="9">
        <v>45901</v>
      </c>
      <c r="B589" s="6" t="s">
        <v>245</v>
      </c>
      <c r="C589" s="14">
        <v>7819</v>
      </c>
      <c r="D589" s="6" t="s">
        <v>46</v>
      </c>
      <c r="E589" s="6" t="s">
        <v>326</v>
      </c>
      <c r="F589" s="6">
        <v>71</v>
      </c>
      <c r="G589" s="15">
        <v>0.36180555555555555</v>
      </c>
      <c r="H589" s="16">
        <v>92</v>
      </c>
      <c r="I589" s="35">
        <f ca="1">IFERROR(Tabela3[[#This Row],[Custo Total]]/Tabela3[[#This Row],[Aluminio Util]],0)</f>
        <v>38.72418887338398</v>
      </c>
      <c r="J589" s="35">
        <f ca="1">Tabela3[[#This Row],[Custo Total]]/Tabela3[[#This Row],[Realizado]]</f>
        <v>12.856430705963481</v>
      </c>
      <c r="K589" s="37">
        <f>IFERROR(Tabela3[[#This Row],[Qtde Cx Produzida]]/Tabela3[[#This Row],[Tempo]]/24,0)</f>
        <v>8.1765834932821502</v>
      </c>
      <c r="L589" s="37">
        <f>Tabela3[[#This Row],[Qtde Cx Produzida]]*Tabela3[[#This Row],[Qdt Peça Placa]]</f>
        <v>284</v>
      </c>
      <c r="M589" s="37">
        <f>Tabela3[[#This Row],[Previsto]]-Tabela3[[#This Row],[Perda Pçs]]</f>
        <v>192</v>
      </c>
      <c r="N589" s="38">
        <f>IFERROR(Tabela3[[#This Row],[Perda Pçs]]/Tabela3[[#This Row],[Previsto]],0)</f>
        <v>0.323943661971831</v>
      </c>
      <c r="O589" s="39">
        <f>IFERROR(IF(Tabela3[[#This Row],[Qtde Cx Produzida]] &lt;&gt; 0, Tabela3[[#This Row],[Tempo]] / Tabela3[[#This Row],[Qtde Cx Produzida]], 0),0)</f>
        <v>5.0958528951486693E-3</v>
      </c>
      <c r="P589" s="57">
        <f>IFERROR(Tabela3[[#This Row],[Perda Pçs]]/Tabela3[[#This Row],[Qdt Peça Placa]],0)</f>
        <v>23</v>
      </c>
      <c r="Q589" s="37">
        <f>IFERROR(Tabela3[[#This Row],[Realizado]]*Tabela3[[#This Row],[Peso Util/Pç]],0)</f>
        <v>63.744</v>
      </c>
      <c r="R589" s="37">
        <f>IFERROR(Tabela3[[#This Row],[Peso Total Galho]]*Tabela3[[#This Row],[Qtde Cx Produzida]]*1.055,0)</f>
        <v>172.28149999999997</v>
      </c>
      <c r="S589" s="37">
        <f>(Tabela3[[#This Row],[Aluminio Bruto]]-Tabela3[[#This Row],[Aluminio Util]])*0.9</f>
        <v>97.683749999999975</v>
      </c>
      <c r="T589" s="37">
        <f>Tabela3[[#This Row],[Aluminio Bruto]]/OleoKGAluminio</f>
        <v>72.478604292160611</v>
      </c>
      <c r="U589" s="35">
        <f>IFERROR((VLOOKUP(Tabela3[[#This Row],[Moldador]],Tabela1[],5,)+(VLOOKUP(Tabela3[[#This Row],[Ajudante]],Tabela1[],5,))*3.5),0)</f>
        <v>99.95034583333333</v>
      </c>
      <c r="V589" s="35">
        <f>IFERROR(Tabela3[[#This Row],[Custo M.O. / H]]/((Tabela3[[#This Row],[Realizado]]/Tabela3[[#This Row],[Qdt Peça Placa]])/Tabela3[[#This Row],[Tempo]]/24),)</f>
        <v>18.081295201099532</v>
      </c>
      <c r="W589" s="35">
        <f>Tabela3[[#This Row],[Custo / Cx Moldada]]*Tabela3[[#This Row],[Qtde Cx Produzida]]</f>
        <v>1283.7719592780668</v>
      </c>
      <c r="X589" s="35">
        <f ca="1">Tabela3[[#This Row],[Aluminio Util]]*Tabela3[[#This Row],[Custo/Kg]]</f>
        <v>994.40640000000008</v>
      </c>
      <c r="Y589" s="35">
        <f>IFERROR(VLOOKUP(Tabela3[[#This Row],[Data]],Tabela461213[],2,1)*(Tabela3[[#This Row],[Qtde Cx Produzida]]*Tabela3[[#This Row],[Qde macho / CX]]*Tabela3[[#This Row],[Peso Macho]]),)</f>
        <v>0</v>
      </c>
      <c r="Z589" s="35">
        <f>IFERROR(Tabela3[[#This Row],[Qtde Oleo]]*(VLOOKUP(Tabela3[[#This Row],[Data]],CompraOleo[],3,TRUE))*1.05,0)</f>
        <v>190.25633626692164</v>
      </c>
      <c r="AA589" s="47">
        <f ca="1">(Tabela3[[#This Row],[Custo Oleo]]+Tabela3[[#This Row],[Custo Aluminio]]+Tabela3[[#This Row],[Custo M.O. Total]]+Tabela3[[#This Row],[Custo Machos]])</f>
        <v>2468.4346955449882</v>
      </c>
      <c r="AB589" s="47">
        <f ca="1">Tabela3[[#This Row],[Custo Total]]*Tabela3[[#This Row],[% Perda]]</f>
        <v>799.6337746131652</v>
      </c>
      <c r="AC589" s="48">
        <f>IFERROR(VLOOKUP(Tabela3[[#This Row],[Produto]],Tabela2[],2,0),0)</f>
        <v>4</v>
      </c>
      <c r="AD589" s="48">
        <f>IFERROR(VLOOKUP(Tabela3[[#This Row],[Produto]],Tabela2[],3,0),0)</f>
        <v>0.33200000000000002</v>
      </c>
      <c r="AE589" s="48">
        <f>IFERROR(VLOOKUP(Tabela3[[#This Row],[Produto]],Tabela2[],4,0),0)</f>
        <v>2.2999999999999998</v>
      </c>
      <c r="AF589" s="48">
        <f>IFERROR(VLOOKUP(Tabela3[[#This Row],[Produto]],Tabela2[],5,0),0)</f>
        <v>0.8747999999999998</v>
      </c>
      <c r="AG589" s="40">
        <f>IFERROR(VLOOKUP(Tabela3[[#This Row],[Produto]],Tabela2[],6,0),0)</f>
        <v>0</v>
      </c>
      <c r="AH589" s="40">
        <f>IFERROR(VLOOKUP(Tabela3[[#This Row],[Produto]],Tabela2[],7,0),0)</f>
        <v>0</v>
      </c>
      <c r="AI589" s="40">
        <f>IFERROR(VLOOKUP(Tabela3[[#This Row],[Produto]],Tabela2[],8,0),0)</f>
        <v>0</v>
      </c>
      <c r="AJ589" s="35">
        <f ca="1">IFERROR(VLOOKUP(Tabela3[[#This Row],[Produto]],Tabela2[],13,0),0)</f>
        <v>15.600000000000001</v>
      </c>
      <c r="AK589" s="40" t="str">
        <f>IFERROR(VLOOKUP(Tabela3[[#This Row],[Produto]],Tabela2[],14,0),0)</f>
        <v>Senun</v>
      </c>
      <c r="AL589" s="40">
        <f>IFERROR(VLOOKUP(Tabela3[[#This Row],[Produto]],Tabela2[],15,0),0)</f>
        <v>3.5</v>
      </c>
      <c r="AM589" s="36">
        <f ca="1">(Tabela3[[#This Row],[Custo Usinagem]]+Tabela3[[#This Row],[Custo / Pç]])*1.2</f>
        <v>19.627716847156179</v>
      </c>
      <c r="AN589" s="36">
        <f ca="1">Tabela3[[#This Row],[Valor Mínimo Venda]]*1.15</f>
        <v>22.571874374229605</v>
      </c>
      <c r="AO589" s="36">
        <f ca="1">Tabela3[[#This Row],[Tabela 1]]*1.08</f>
        <v>24.377624324167975</v>
      </c>
      <c r="AP589" s="36">
        <f ca="1">Tabela3[[#This Row],[Tabela 2]]*1.15</f>
        <v>28.03426797279317</v>
      </c>
    </row>
    <row r="590" spans="1:42">
      <c r="A590" s="9">
        <v>45901</v>
      </c>
      <c r="B590" s="6" t="s">
        <v>165</v>
      </c>
      <c r="C590" s="14">
        <v>7921</v>
      </c>
      <c r="D590" s="6" t="s">
        <v>44</v>
      </c>
      <c r="E590" s="6" t="s">
        <v>47</v>
      </c>
      <c r="F590" s="6">
        <v>5</v>
      </c>
      <c r="G590" s="15">
        <v>6.7361111111111108E-2</v>
      </c>
      <c r="H590" s="16">
        <v>0</v>
      </c>
      <c r="I590" s="35">
        <f ca="1">IFERROR(Tabela3[[#This Row],[Custo Total]]/Tabela3[[#This Row],[Aluminio Util]],0)</f>
        <v>24.498035320163865</v>
      </c>
      <c r="J590" s="35">
        <f ca="1">Tabela3[[#This Row],[Custo Total]]/Tabela3[[#This Row],[Realizado]]</f>
        <v>142.57856556335372</v>
      </c>
      <c r="K590" s="37">
        <f>IFERROR(Tabela3[[#This Row],[Qtde Cx Produzida]]/Tabela3[[#This Row],[Tempo]]/24,0)</f>
        <v>3.0927835051546393</v>
      </c>
      <c r="L590" s="37">
        <f>Tabela3[[#This Row],[Qtde Cx Produzida]]*Tabela3[[#This Row],[Qdt Peça Placa]]</f>
        <v>5</v>
      </c>
      <c r="M590" s="37">
        <f>Tabela3[[#This Row],[Previsto]]-Tabela3[[#This Row],[Perda Pçs]]</f>
        <v>5</v>
      </c>
      <c r="N590" s="38">
        <f>IFERROR(Tabela3[[#This Row],[Perda Pçs]]/Tabela3[[#This Row],[Previsto]],0)</f>
        <v>0</v>
      </c>
      <c r="O590" s="39">
        <f>IFERROR(IF(Tabela3[[#This Row],[Qtde Cx Produzida]] &lt;&gt; 0, Tabela3[[#This Row],[Tempo]] / Tabela3[[#This Row],[Qtde Cx Produzida]], 0),0)</f>
        <v>1.3472222222222222E-2</v>
      </c>
      <c r="P590" s="57">
        <f>IFERROR(Tabela3[[#This Row],[Perda Pçs]]/Tabela3[[#This Row],[Qdt Peça Placa]],0)</f>
        <v>0</v>
      </c>
      <c r="Q590" s="37">
        <f>IFERROR(Tabela3[[#This Row],[Realizado]]*Tabela3[[#This Row],[Peso Util/Pç]],0)</f>
        <v>29.1</v>
      </c>
      <c r="R590" s="37">
        <f>IFERROR(Tabela3[[#This Row],[Peso Total Galho]]*Tabela3[[#This Row],[Qtde Cx Produzida]]*1.055,0)</f>
        <v>35.448</v>
      </c>
      <c r="S590" s="37">
        <f>(Tabela3[[#This Row],[Aluminio Bruto]]-Tabela3[[#This Row],[Aluminio Util]])*0.9</f>
        <v>5.7131999999999996</v>
      </c>
      <c r="T590" s="37">
        <f>Tabela3[[#This Row],[Aluminio Bruto]]/OleoKGAluminio</f>
        <v>14.912927766176345</v>
      </c>
      <c r="U590" s="35">
        <f>IFERROR((VLOOKUP(Tabela3[[#This Row],[Moldador]],Tabela1[],5,)+(VLOOKUP(Tabela3[[#This Row],[Ajudante]],Tabela1[],5,))*3.5),0)</f>
        <v>99.95034583333333</v>
      </c>
      <c r="V590" s="35">
        <f>IFERROR(Tabela3[[#This Row],[Custo M.O. / H]]/((Tabela3[[#This Row],[Realizado]]/Tabela3[[#This Row],[Qdt Peça Placa]])/Tabela3[[#This Row],[Tempo]]/24),)</f>
        <v>32.317278486111107</v>
      </c>
      <c r="W590" s="35">
        <f>Tabela3[[#This Row],[Custo / Cx Moldada]]*Tabela3[[#This Row],[Qtde Cx Produzida]]</f>
        <v>161.58639243055552</v>
      </c>
      <c r="X590" s="35">
        <f ca="1">Tabela3[[#This Row],[Aluminio Util]]*Tabela3[[#This Row],[Custo/Kg]]</f>
        <v>512.16000000000008</v>
      </c>
      <c r="Y590" s="35">
        <f>IFERROR(VLOOKUP(Tabela3[[#This Row],[Data]],Tabela461213[],2,1)*(Tabela3[[#This Row],[Qtde Cx Produzida]]*Tabela3[[#This Row],[Qde macho / CX]]*Tabela3[[#This Row],[Peso Macho]]),)</f>
        <v>0</v>
      </c>
      <c r="Z590" s="35">
        <f>IFERROR(Tabela3[[#This Row],[Qtde Oleo]]*(VLOOKUP(Tabela3[[#This Row],[Data]],CompraOleo[],3,TRUE))*1.05,0)</f>
        <v>39.146435386212914</v>
      </c>
      <c r="AA590" s="47">
        <f ca="1">(Tabela3[[#This Row],[Custo Oleo]]+Tabela3[[#This Row],[Custo Aluminio]]+Tabela3[[#This Row],[Custo M.O. Total]]+Tabela3[[#This Row],[Custo Machos]])</f>
        <v>712.89282781676854</v>
      </c>
      <c r="AB590" s="47">
        <f ca="1">Tabela3[[#This Row],[Custo Total]]*Tabela3[[#This Row],[% Perda]]</f>
        <v>0</v>
      </c>
      <c r="AC590" s="48">
        <f>IFERROR(VLOOKUP(Tabela3[[#This Row],[Produto]],Tabela2[],2,0),0)</f>
        <v>1</v>
      </c>
      <c r="AD590" s="48">
        <f>IFERROR(VLOOKUP(Tabela3[[#This Row],[Produto]],Tabela2[],3,0),0)</f>
        <v>5.82</v>
      </c>
      <c r="AE590" s="48">
        <f>IFERROR(VLOOKUP(Tabela3[[#This Row],[Produto]],Tabela2[],4,0),0)</f>
        <v>6.72</v>
      </c>
      <c r="AF590" s="48">
        <f>IFERROR(VLOOKUP(Tabela3[[#This Row],[Produto]],Tabela2[],5,0),0)</f>
        <v>0.8099999999999995</v>
      </c>
      <c r="AG590" s="40">
        <f>IFERROR(VLOOKUP(Tabela3[[#This Row],[Produto]],Tabela2[],6,0),0)</f>
        <v>0</v>
      </c>
      <c r="AH590" s="40">
        <f>IFERROR(VLOOKUP(Tabela3[[#This Row],[Produto]],Tabela2[],7,0),0)</f>
        <v>0</v>
      </c>
      <c r="AI590" s="40">
        <f>IFERROR(VLOOKUP(Tabela3[[#This Row],[Produto]],Tabela2[],8,0),0)</f>
        <v>0</v>
      </c>
      <c r="AJ590" s="35">
        <f ca="1">IFERROR(VLOOKUP(Tabela3[[#This Row],[Produto]],Tabela2[],13,0),0)</f>
        <v>17.600000000000001</v>
      </c>
      <c r="AK590" s="40" t="str">
        <f>IFERROR(VLOOKUP(Tabela3[[#This Row],[Produto]],Tabela2[],14,0),0)</f>
        <v>Oscar</v>
      </c>
      <c r="AL590" s="40">
        <f>IFERROR(VLOOKUP(Tabela3[[#This Row],[Produto]],Tabela2[],15,0),0)</f>
        <v>0</v>
      </c>
      <c r="AM590" s="36">
        <f ca="1">(Tabela3[[#This Row],[Custo Usinagem]]+Tabela3[[#This Row],[Custo / Pç]])*1.2</f>
        <v>171.09427867602446</v>
      </c>
      <c r="AN590" s="36">
        <f ca="1">Tabela3[[#This Row],[Valor Mínimo Venda]]*1.15</f>
        <v>196.7584204774281</v>
      </c>
      <c r="AO590" s="36">
        <f ca="1">Tabela3[[#This Row],[Tabela 1]]*1.08</f>
        <v>212.49909411562237</v>
      </c>
      <c r="AP590" s="36">
        <f ca="1">Tabela3[[#This Row],[Tabela 2]]*1.15</f>
        <v>244.37395823296572</v>
      </c>
    </row>
    <row r="591" spans="1:42">
      <c r="A591" s="9">
        <v>45901</v>
      </c>
      <c r="B591" s="6" t="s">
        <v>135</v>
      </c>
      <c r="C591" s="14">
        <v>7859</v>
      </c>
      <c r="D591" s="6" t="s">
        <v>44</v>
      </c>
      <c r="E591" s="6" t="s">
        <v>47</v>
      </c>
      <c r="F591" s="6">
        <v>25</v>
      </c>
      <c r="G591" s="15">
        <v>0.12152777777777778</v>
      </c>
      <c r="H591" s="16">
        <v>0</v>
      </c>
      <c r="I591" s="35">
        <f ca="1">IFERROR(Tabela3[[#This Row],[Custo Total]]/Tabela3[[#This Row],[Aluminio Util]],0)</f>
        <v>26.80025454710642</v>
      </c>
      <c r="J591" s="35">
        <f ca="1">Tabela3[[#This Row],[Custo Total]]/Tabela3[[#This Row],[Realizado]]</f>
        <v>47.43645054837836</v>
      </c>
      <c r="K591" s="37">
        <f>IFERROR(Tabela3[[#This Row],[Qtde Cx Produzida]]/Tabela3[[#This Row],[Tempo]]/24,0)</f>
        <v>8.5714285714285712</v>
      </c>
      <c r="L591" s="37">
        <f>Tabela3[[#This Row],[Qtde Cx Produzida]]*Tabela3[[#This Row],[Qdt Peça Placa]]</f>
        <v>25</v>
      </c>
      <c r="M591" s="37">
        <f>Tabela3[[#This Row],[Previsto]]-Tabela3[[#This Row],[Perda Pçs]]</f>
        <v>25</v>
      </c>
      <c r="N591" s="38">
        <f>IFERROR(Tabela3[[#This Row],[Perda Pçs]]/Tabela3[[#This Row],[Previsto]],0)</f>
        <v>0</v>
      </c>
      <c r="O591" s="39">
        <f>IFERROR(IF(Tabela3[[#This Row],[Qtde Cx Produzida]] &lt;&gt; 0, Tabela3[[#This Row],[Tempo]] / Tabela3[[#This Row],[Qtde Cx Produzida]], 0),0)</f>
        <v>4.8611111111111112E-3</v>
      </c>
      <c r="P591" s="57">
        <f>IFERROR(Tabela3[[#This Row],[Perda Pçs]]/Tabela3[[#This Row],[Qdt Peça Placa]],0)</f>
        <v>0</v>
      </c>
      <c r="Q591" s="37">
        <f>IFERROR(Tabela3[[#This Row],[Realizado]]*Tabela3[[#This Row],[Peso Util/Pç]],0)</f>
        <v>44.25</v>
      </c>
      <c r="R591" s="37">
        <f>IFERROR(Tabela3[[#This Row],[Peso Total Galho]]*Tabela3[[#This Row],[Qtde Cx Produzida]]*1.055,0)</f>
        <v>82.553749999999994</v>
      </c>
      <c r="S591" s="37">
        <f>(Tabela3[[#This Row],[Aluminio Bruto]]-Tabela3[[#This Row],[Aluminio Util]])*0.9</f>
        <v>34.473374999999997</v>
      </c>
      <c r="T591" s="37">
        <f>Tabela3[[#This Row],[Aluminio Bruto]]/OleoKGAluminio</f>
        <v>34.730255884026754</v>
      </c>
      <c r="U591" s="35">
        <f>IFERROR((VLOOKUP(Tabela3[[#This Row],[Moldador]],Tabela1[],5,)+(VLOOKUP(Tabela3[[#This Row],[Ajudante]],Tabela1[],5,))*3.5),0)</f>
        <v>99.95034583333333</v>
      </c>
      <c r="V591" s="35">
        <f>IFERROR(Tabela3[[#This Row],[Custo M.O. / H]]/((Tabela3[[#This Row],[Realizado]]/Tabela3[[#This Row],[Qdt Peça Placa]])/Tabela3[[#This Row],[Tempo]]/24),)</f>
        <v>11.660873680555556</v>
      </c>
      <c r="W591" s="35">
        <f>Tabela3[[#This Row],[Custo / Cx Moldada]]*Tabela3[[#This Row],[Qtde Cx Produzida]]</f>
        <v>291.52184201388889</v>
      </c>
      <c r="X591" s="35">
        <f ca="1">Tabela3[[#This Row],[Aluminio Util]]*Tabela3[[#This Row],[Custo/Kg]]</f>
        <v>690.30000000000007</v>
      </c>
      <c r="Y591" s="35">
        <f>IFERROR(VLOOKUP(Tabela3[[#This Row],[Data]],Tabela461213[],2,1)*(Tabela3[[#This Row],[Qtde Cx Produzida]]*Tabela3[[#This Row],[Qde macho / CX]]*Tabela3[[#This Row],[Peso Macho]]),)</f>
        <v>112.92249999999999</v>
      </c>
      <c r="Z591" s="35">
        <f>IFERROR(Tabela3[[#This Row],[Qtde Oleo]]*(VLOOKUP(Tabela3[[#This Row],[Data]],CompraOleo[],3,TRUE))*1.05,0)</f>
        <v>91.166921695570224</v>
      </c>
      <c r="AA591" s="47">
        <f ca="1">(Tabela3[[#This Row],[Custo Oleo]]+Tabela3[[#This Row],[Custo Aluminio]]+Tabela3[[#This Row],[Custo M.O. Total]]+Tabela3[[#This Row],[Custo Machos]])</f>
        <v>1185.911263709459</v>
      </c>
      <c r="AB591" s="47">
        <f ca="1">Tabela3[[#This Row],[Custo Total]]*Tabela3[[#This Row],[% Perda]]</f>
        <v>0</v>
      </c>
      <c r="AC591" s="48">
        <f>IFERROR(VLOOKUP(Tabela3[[#This Row],[Produto]],Tabela2[],2,0),0)</f>
        <v>1</v>
      </c>
      <c r="AD591" s="48">
        <f>IFERROR(VLOOKUP(Tabela3[[#This Row],[Produto]],Tabela2[],3,0),0)</f>
        <v>1.77</v>
      </c>
      <c r="AE591" s="48">
        <f>IFERROR(VLOOKUP(Tabela3[[#This Row],[Produto]],Tabela2[],4,0),0)</f>
        <v>3.13</v>
      </c>
      <c r="AF591" s="48">
        <f>IFERROR(VLOOKUP(Tabela3[[#This Row],[Produto]],Tabela2[],5,0),0)</f>
        <v>1.224</v>
      </c>
      <c r="AG591" s="40">
        <f>IFERROR(VLOOKUP(Tabela3[[#This Row],[Produto]],Tabela2[],6,0),0)</f>
        <v>0</v>
      </c>
      <c r="AH591" s="40">
        <f>IFERROR(VLOOKUP(Tabela3[[#This Row],[Produto]],Tabela2[],7,0),0)</f>
        <v>1</v>
      </c>
      <c r="AI591" s="40">
        <f>IFERROR(VLOOKUP(Tabela3[[#This Row],[Produto]],Tabela2[],8,0),0)</f>
        <v>2.657</v>
      </c>
      <c r="AJ591" s="35">
        <f ca="1">IFERROR(VLOOKUP(Tabela3[[#This Row],[Produto]],Tabela2[],13,0),0)</f>
        <v>15.600000000000001</v>
      </c>
      <c r="AK591" s="40" t="str">
        <f>IFERROR(VLOOKUP(Tabela3[[#This Row],[Produto]],Tabela2[],14,0),0)</f>
        <v>Jumil</v>
      </c>
      <c r="AL591" s="40">
        <f>IFERROR(VLOOKUP(Tabela3[[#This Row],[Produto]],Tabela2[],15,0),0)</f>
        <v>10</v>
      </c>
      <c r="AM591" s="36">
        <f ca="1">(Tabela3[[#This Row],[Custo Usinagem]]+Tabela3[[#This Row],[Custo / Pç]])*1.2</f>
        <v>68.923740658054029</v>
      </c>
      <c r="AN591" s="36">
        <f ca="1">Tabela3[[#This Row],[Valor Mínimo Venda]]*1.15</f>
        <v>79.262301756762128</v>
      </c>
      <c r="AO591" s="36">
        <f ca="1">Tabela3[[#This Row],[Tabela 1]]*1.08</f>
        <v>85.60328589730311</v>
      </c>
      <c r="AP591" s="36">
        <f ca="1">Tabela3[[#This Row],[Tabela 2]]*1.15</f>
        <v>98.443778781898573</v>
      </c>
    </row>
    <row r="592" spans="1:42">
      <c r="A592" s="9">
        <v>45901</v>
      </c>
      <c r="B592" s="6" t="s">
        <v>272</v>
      </c>
      <c r="C592" s="14">
        <v>7793</v>
      </c>
      <c r="D592" s="6" t="s">
        <v>44</v>
      </c>
      <c r="E592" s="6" t="s">
        <v>47</v>
      </c>
      <c r="F592" s="6">
        <v>16</v>
      </c>
      <c r="G592" s="15">
        <v>7.8472222222222221E-2</v>
      </c>
      <c r="H592" s="16">
        <v>0</v>
      </c>
      <c r="I592" s="35">
        <f ca="1">IFERROR(Tabela3[[#This Row],[Custo Total]]/Tabela3[[#This Row],[Aluminio Util]],0)</f>
        <v>29.233936331856775</v>
      </c>
      <c r="J592" s="35">
        <f ca="1">Tabela3[[#This Row],[Custo Total]]/Tabela3[[#This Row],[Realizado]]</f>
        <v>40.342832137962347</v>
      </c>
      <c r="K592" s="37">
        <f>IFERROR(Tabela3[[#This Row],[Qtde Cx Produzida]]/Tabela3[[#This Row],[Tempo]]/24,0)</f>
        <v>8.4955752212389388</v>
      </c>
      <c r="L592" s="37">
        <f>Tabela3[[#This Row],[Qtde Cx Produzida]]*Tabela3[[#This Row],[Qdt Peça Placa]]</f>
        <v>16</v>
      </c>
      <c r="M592" s="37">
        <f>Tabela3[[#This Row],[Previsto]]-Tabela3[[#This Row],[Perda Pçs]]</f>
        <v>16</v>
      </c>
      <c r="N592" s="38">
        <f>IFERROR(Tabela3[[#This Row],[Perda Pçs]]/Tabela3[[#This Row],[Previsto]],0)</f>
        <v>0</v>
      </c>
      <c r="O592" s="39">
        <f>IFERROR(IF(Tabela3[[#This Row],[Qtde Cx Produzida]] &lt;&gt; 0, Tabela3[[#This Row],[Tempo]] / Tabela3[[#This Row],[Qtde Cx Produzida]], 0),0)</f>
        <v>4.9045138888888888E-3</v>
      </c>
      <c r="P592" s="57">
        <f>IFERROR(Tabela3[[#This Row],[Perda Pçs]]/Tabela3[[#This Row],[Qdt Peça Placa]],0)</f>
        <v>0</v>
      </c>
      <c r="Q592" s="37">
        <f>IFERROR(Tabela3[[#This Row],[Realizado]]*Tabela3[[#This Row],[Peso Util/Pç]],0)</f>
        <v>22.08</v>
      </c>
      <c r="R592" s="37">
        <f>IFERROR(Tabela3[[#This Row],[Peso Total Galho]]*Tabela3[[#This Row],[Qtde Cx Produzida]]*1.055,0)</f>
        <v>33.422399999999996</v>
      </c>
      <c r="S592" s="37">
        <f>(Tabela3[[#This Row],[Aluminio Bruto]]-Tabela3[[#This Row],[Aluminio Util]])*0.9</f>
        <v>10.208159999999998</v>
      </c>
      <c r="T592" s="37">
        <f>Tabela3[[#This Row],[Aluminio Bruto]]/OleoKGAluminio</f>
        <v>14.060760465251981</v>
      </c>
      <c r="U592" s="35">
        <f>IFERROR((VLOOKUP(Tabela3[[#This Row],[Moldador]],Tabela1[],5,)+(VLOOKUP(Tabela3[[#This Row],[Ajudante]],Tabela1[],5,))*3.5),0)</f>
        <v>99.95034583333333</v>
      </c>
      <c r="V592" s="35">
        <f>IFERROR(Tabela3[[#This Row],[Custo M.O. / H]]/((Tabela3[[#This Row],[Realizado]]/Tabela3[[#This Row],[Qdt Peça Placa]])/Tabela3[[#This Row],[Tempo]]/24),)</f>
        <v>11.764988624131943</v>
      </c>
      <c r="W592" s="35">
        <f>Tabela3[[#This Row],[Custo / Cx Moldada]]*Tabela3[[#This Row],[Qtde Cx Produzida]]</f>
        <v>188.23981798611109</v>
      </c>
      <c r="X592" s="35">
        <f ca="1">Tabela3[[#This Row],[Aluminio Util]]*Tabela3[[#This Row],[Custo/Kg]]</f>
        <v>344.44799999999998</v>
      </c>
      <c r="Y592" s="35">
        <f>IFERROR(VLOOKUP(Tabela3[[#This Row],[Data]],Tabela461213[],2,1)*(Tabela3[[#This Row],[Qtde Cx Produzida]]*Tabela3[[#This Row],[Qde macho / CX]]*Tabela3[[#This Row],[Peso Macho]]),)</f>
        <v>75.888000000000005</v>
      </c>
      <c r="Z592" s="35">
        <f>IFERROR(Tabela3[[#This Row],[Qtde Oleo]]*(VLOOKUP(Tabela3[[#This Row],[Data]],CompraOleo[],3,TRUE))*1.05,0)</f>
        <v>36.909496221286446</v>
      </c>
      <c r="AA592" s="47">
        <f ca="1">(Tabela3[[#This Row],[Custo Oleo]]+Tabela3[[#This Row],[Custo Aluminio]]+Tabela3[[#This Row],[Custo M.O. Total]]+Tabela3[[#This Row],[Custo Machos]])</f>
        <v>645.48531420739755</v>
      </c>
      <c r="AB592" s="47">
        <f ca="1">Tabela3[[#This Row],[Custo Total]]*Tabela3[[#This Row],[% Perda]]</f>
        <v>0</v>
      </c>
      <c r="AC592" s="48">
        <f>IFERROR(VLOOKUP(Tabela3[[#This Row],[Produto]],Tabela2[],2,0),0)</f>
        <v>1</v>
      </c>
      <c r="AD592" s="48">
        <f>IFERROR(VLOOKUP(Tabela3[[#This Row],[Produto]],Tabela2[],3,0),0)</f>
        <v>1.38</v>
      </c>
      <c r="AE592" s="48">
        <f>IFERROR(VLOOKUP(Tabela3[[#This Row],[Produto]],Tabela2[],4,0),0)</f>
        <v>1.98</v>
      </c>
      <c r="AF592" s="48">
        <f>IFERROR(VLOOKUP(Tabela3[[#This Row],[Produto]],Tabela2[],5,0),0)</f>
        <v>0.54000000000000015</v>
      </c>
      <c r="AG592" s="40">
        <f>IFERROR(VLOOKUP(Tabela3[[#This Row],[Produto]],Tabela2[],6,0),0)</f>
        <v>0</v>
      </c>
      <c r="AH592" s="40">
        <f>IFERROR(VLOOKUP(Tabela3[[#This Row],[Produto]],Tabela2[],7,0),0)</f>
        <v>3</v>
      </c>
      <c r="AI592" s="40">
        <f>IFERROR(VLOOKUP(Tabela3[[#This Row],[Produto]],Tabela2[],8,0),0)</f>
        <v>0.93</v>
      </c>
      <c r="AJ592" s="35">
        <f ca="1">IFERROR(VLOOKUP(Tabela3[[#This Row],[Produto]],Tabela2[],13,0),0)</f>
        <v>15.600000000000001</v>
      </c>
      <c r="AK592" s="40" t="str">
        <f>IFERROR(VLOOKUP(Tabela3[[#This Row],[Produto]],Tabela2[],14,0),0)</f>
        <v>Jumil</v>
      </c>
      <c r="AL592" s="40">
        <f>IFERROR(VLOOKUP(Tabela3[[#This Row],[Produto]],Tabela2[],15,0),0)</f>
        <v>8</v>
      </c>
      <c r="AM592" s="36">
        <f ca="1">(Tabela3[[#This Row],[Custo Usinagem]]+Tabela3[[#This Row],[Custo / Pç]])*1.2</f>
        <v>58.011398565554813</v>
      </c>
      <c r="AN592" s="36">
        <f ca="1">Tabela3[[#This Row],[Valor Mínimo Venda]]*1.15</f>
        <v>66.713108350388026</v>
      </c>
      <c r="AO592" s="36">
        <f ca="1">Tabela3[[#This Row],[Tabela 1]]*1.08</f>
        <v>72.050157018419071</v>
      </c>
      <c r="AP592" s="36">
        <f ca="1">Tabela3[[#This Row],[Tabela 2]]*1.15</f>
        <v>82.85768057118193</v>
      </c>
    </row>
    <row r="593" spans="1:42">
      <c r="A593" s="9">
        <v>45901</v>
      </c>
      <c r="B593" s="6" t="s">
        <v>91</v>
      </c>
      <c r="C593" s="14">
        <v>7780</v>
      </c>
      <c r="D593" s="6" t="s">
        <v>44</v>
      </c>
      <c r="E593" s="6" t="s">
        <v>47</v>
      </c>
      <c r="F593" s="6">
        <v>3</v>
      </c>
      <c r="G593" s="15">
        <v>2.0833333333333332E-2</v>
      </c>
      <c r="H593" s="16">
        <v>0</v>
      </c>
      <c r="I593" s="35">
        <f ca="1">IFERROR(Tabela3[[#This Row],[Custo Total]]/Tabela3[[#This Row],[Aluminio Util]],0)</f>
        <v>40.289736320431849</v>
      </c>
      <c r="J593" s="35">
        <f ca="1">Tabela3[[#This Row],[Custo Total]]/Tabela3[[#This Row],[Realizado]]</f>
        <v>31.587153275218572</v>
      </c>
      <c r="K593" s="37">
        <f>IFERROR(Tabela3[[#This Row],[Qtde Cx Produzida]]/Tabela3[[#This Row],[Tempo]]/24,0)</f>
        <v>6</v>
      </c>
      <c r="L593" s="37">
        <f>Tabela3[[#This Row],[Qtde Cx Produzida]]*Tabela3[[#This Row],[Qdt Peça Placa]]</f>
        <v>12</v>
      </c>
      <c r="M593" s="37">
        <f>Tabela3[[#This Row],[Previsto]]-Tabela3[[#This Row],[Perda Pçs]]</f>
        <v>12</v>
      </c>
      <c r="N593" s="38">
        <f>IFERROR(Tabela3[[#This Row],[Perda Pçs]]/Tabela3[[#This Row],[Previsto]],0)</f>
        <v>0</v>
      </c>
      <c r="O593" s="39">
        <f>IFERROR(IF(Tabela3[[#This Row],[Qtde Cx Produzida]] &lt;&gt; 0, Tabela3[[#This Row],[Tempo]] / Tabela3[[#This Row],[Qtde Cx Produzida]], 0),0)</f>
        <v>6.9444444444444441E-3</v>
      </c>
      <c r="P593" s="57">
        <f>IFERROR(Tabela3[[#This Row],[Perda Pçs]]/Tabela3[[#This Row],[Qdt Peça Placa]],0)</f>
        <v>0</v>
      </c>
      <c r="Q593" s="37">
        <f>IFERROR(Tabela3[[#This Row],[Realizado]]*Tabela3[[#This Row],[Peso Util/Pç]],0)</f>
        <v>9.4080000000000013</v>
      </c>
      <c r="R593" s="37">
        <f>IFERROR(Tabela3[[#This Row],[Peso Total Galho]]*Tabela3[[#This Row],[Qtde Cx Produzida]]*1.055,0)</f>
        <v>17.559419999999996</v>
      </c>
      <c r="S593" s="37">
        <f>(Tabela3[[#This Row],[Aluminio Bruto]]-Tabela3[[#This Row],[Aluminio Util]])*0.9</f>
        <v>7.3362779999999956</v>
      </c>
      <c r="T593" s="37">
        <f>Tabela3[[#This Row],[Aluminio Bruto]]/OleoKGAluminio</f>
        <v>7.3872252898880664</v>
      </c>
      <c r="U593" s="35">
        <f>IFERROR((VLOOKUP(Tabela3[[#This Row],[Moldador]],Tabela1[],5,)+(VLOOKUP(Tabela3[[#This Row],[Ajudante]],Tabela1[],5,))*3.5),0)</f>
        <v>99.95034583333333</v>
      </c>
      <c r="V593" s="35">
        <f>IFERROR(Tabela3[[#This Row],[Custo M.O. / H]]/((Tabela3[[#This Row],[Realizado]]/Tabela3[[#This Row],[Qdt Peça Placa]])/Tabela3[[#This Row],[Tempo]]/24),)</f>
        <v>16.658390972222222</v>
      </c>
      <c r="W593" s="35">
        <f>Tabela3[[#This Row],[Custo / Cx Moldada]]*Tabela3[[#This Row],[Qtde Cx Produzida]]</f>
        <v>49.975172916666665</v>
      </c>
      <c r="X593" s="35">
        <f ca="1">Tabela3[[#This Row],[Aluminio Util]]*Tabela3[[#This Row],[Custo/Kg]]</f>
        <v>146.76480000000004</v>
      </c>
      <c r="Y593" s="35">
        <f>IFERROR(VLOOKUP(Tabela3[[#This Row],[Data]],Tabela461213[],2,1)*(Tabela3[[#This Row],[Qtde Cx Produzida]]*Tabela3[[#This Row],[Qde macho / CX]]*Tabela3[[#This Row],[Peso Macho]]),)</f>
        <v>162.91439999999997</v>
      </c>
      <c r="Z593" s="35">
        <f>IFERROR(Tabela3[[#This Row],[Qtde Oleo]]*(VLOOKUP(Tabela3[[#This Row],[Data]],CompraOleo[],3,TRUE))*1.05,0)</f>
        <v>19.391466385956175</v>
      </c>
      <c r="AA593" s="47">
        <f ca="1">(Tabela3[[#This Row],[Custo Oleo]]+Tabela3[[#This Row],[Custo Aluminio]]+Tabela3[[#This Row],[Custo M.O. Total]]+Tabela3[[#This Row],[Custo Machos]])</f>
        <v>379.04583930262288</v>
      </c>
      <c r="AB593" s="47">
        <f ca="1">Tabela3[[#This Row],[Custo Total]]*Tabela3[[#This Row],[% Perda]]</f>
        <v>0</v>
      </c>
      <c r="AC593" s="48">
        <f>IFERROR(VLOOKUP(Tabela3[[#This Row],[Produto]],Tabela2[],2,0),0)</f>
        <v>4</v>
      </c>
      <c r="AD593" s="48">
        <f>IFERROR(VLOOKUP(Tabela3[[#This Row],[Produto]],Tabela2[],3,0),0)</f>
        <v>0.78400000000000003</v>
      </c>
      <c r="AE593" s="48">
        <f>IFERROR(VLOOKUP(Tabela3[[#This Row],[Produto]],Tabela2[],4,0),0)</f>
        <v>5.548</v>
      </c>
      <c r="AF593" s="48">
        <f>IFERROR(VLOOKUP(Tabela3[[#This Row],[Produto]],Tabela2[],5,0),0)</f>
        <v>2.1707999999999998</v>
      </c>
      <c r="AG593" s="40">
        <f>IFERROR(VLOOKUP(Tabela3[[#This Row],[Produto]],Tabela2[],6,0),0)</f>
        <v>0</v>
      </c>
      <c r="AH593" s="40">
        <f>IFERROR(VLOOKUP(Tabela3[[#This Row],[Produto]],Tabela2[],7,0),0)</f>
        <v>12</v>
      </c>
      <c r="AI593" s="40">
        <f>IFERROR(VLOOKUP(Tabela3[[#This Row],[Produto]],Tabela2[],8,0),0)</f>
        <v>2.6619999999999999</v>
      </c>
      <c r="AJ593" s="35">
        <f ca="1">IFERROR(VLOOKUP(Tabela3[[#This Row],[Produto]],Tabela2[],13,0),0)</f>
        <v>15.600000000000001</v>
      </c>
      <c r="AK593" s="40" t="str">
        <f>IFERROR(VLOOKUP(Tabela3[[#This Row],[Produto]],Tabela2[],14,0),0)</f>
        <v>Jumil</v>
      </c>
      <c r="AL593" s="40">
        <f>IFERROR(VLOOKUP(Tabela3[[#This Row],[Produto]],Tabela2[],15,0),0)</f>
        <v>8</v>
      </c>
      <c r="AM593" s="36">
        <f ca="1">(Tabela3[[#This Row],[Custo Usinagem]]+Tabela3[[#This Row],[Custo / Pç]])*1.2</f>
        <v>47.504583930262278</v>
      </c>
      <c r="AN593" s="36">
        <f ca="1">Tabela3[[#This Row],[Valor Mínimo Venda]]*1.15</f>
        <v>54.630271519801617</v>
      </c>
      <c r="AO593" s="36">
        <f ca="1">Tabela3[[#This Row],[Tabela 1]]*1.08</f>
        <v>59.000693241385754</v>
      </c>
      <c r="AP593" s="36">
        <f ca="1">Tabela3[[#This Row],[Tabela 2]]*1.15</f>
        <v>67.850797227593617</v>
      </c>
    </row>
    <row r="594" spans="1:42">
      <c r="A594" s="9">
        <v>45902</v>
      </c>
      <c r="B594" s="6" t="s">
        <v>245</v>
      </c>
      <c r="C594" s="14">
        <v>7819</v>
      </c>
      <c r="D594" s="6" t="s">
        <v>46</v>
      </c>
      <c r="E594" s="6" t="s">
        <v>326</v>
      </c>
      <c r="F594" s="6">
        <v>58</v>
      </c>
      <c r="G594" s="15">
        <v>0.27777777777777779</v>
      </c>
      <c r="H594" s="16">
        <v>0</v>
      </c>
      <c r="I594" s="35">
        <f ca="1">IFERROR(Tabela3[[#This Row],[Custo Total]]/Tabela3[[#This Row],[Aluminio Util]],0)</f>
        <v>26.268834492521918</v>
      </c>
      <c r="J594" s="35">
        <f ca="1">Tabela3[[#This Row],[Custo Total]]/Tabela3[[#This Row],[Realizado]]</f>
        <v>8.7212530515172766</v>
      </c>
      <c r="K594" s="37">
        <f>IFERROR(Tabela3[[#This Row],[Qtde Cx Produzida]]/Tabela3[[#This Row],[Tempo]]/24,0)</f>
        <v>8.6999999999999993</v>
      </c>
      <c r="L594" s="37">
        <f>Tabela3[[#This Row],[Qtde Cx Produzida]]*Tabela3[[#This Row],[Qdt Peça Placa]]</f>
        <v>232</v>
      </c>
      <c r="M594" s="37">
        <f>Tabela3[[#This Row],[Previsto]]-Tabela3[[#This Row],[Perda Pçs]]</f>
        <v>232</v>
      </c>
      <c r="N594" s="38">
        <f>IFERROR(Tabela3[[#This Row],[Perda Pçs]]/Tabela3[[#This Row],[Previsto]],0)</f>
        <v>0</v>
      </c>
      <c r="O594" s="39">
        <f>IFERROR(IF(Tabela3[[#This Row],[Qtde Cx Produzida]] &lt;&gt; 0, Tabela3[[#This Row],[Tempo]] / Tabela3[[#This Row],[Qtde Cx Produzida]], 0),0)</f>
        <v>4.7892720306513415E-3</v>
      </c>
      <c r="P594" s="57">
        <f>IFERROR(Tabela3[[#This Row],[Perda Pçs]]/Tabela3[[#This Row],[Qdt Peça Placa]],0)</f>
        <v>0</v>
      </c>
      <c r="Q594" s="37">
        <f>IFERROR(Tabela3[[#This Row],[Realizado]]*Tabela3[[#This Row],[Peso Util/Pç]],0)</f>
        <v>77.024000000000001</v>
      </c>
      <c r="R594" s="37">
        <f>IFERROR(Tabela3[[#This Row],[Peso Total Galho]]*Tabela3[[#This Row],[Qtde Cx Produzida]]*1.055,0)</f>
        <v>140.73699999999997</v>
      </c>
      <c r="S594" s="37">
        <f>(Tabela3[[#This Row],[Aluminio Bruto]]-Tabela3[[#This Row],[Aluminio Util]])*0.9</f>
        <v>57.341699999999967</v>
      </c>
      <c r="T594" s="37">
        <f>Tabela3[[#This Row],[Aluminio Bruto]]/OleoKGAluminio</f>
        <v>59.20787392880726</v>
      </c>
      <c r="U594" s="35">
        <f>IFERROR((VLOOKUP(Tabela3[[#This Row],[Moldador]],Tabela1[],5,)+(VLOOKUP(Tabela3[[#This Row],[Ajudante]],Tabela1[],5,))*3.5),0)</f>
        <v>99.95034583333333</v>
      </c>
      <c r="V594" s="35">
        <f>IFERROR(Tabela3[[#This Row],[Custo M.O. / H]]/((Tabela3[[#This Row],[Realizado]]/Tabela3[[#This Row],[Qdt Peça Placa]])/Tabela3[[#This Row],[Tempo]]/24),)</f>
        <v>11.488545498084292</v>
      </c>
      <c r="W594" s="35">
        <f>Tabela3[[#This Row],[Custo / Cx Moldada]]*Tabela3[[#This Row],[Qtde Cx Produzida]]</f>
        <v>666.33563888888898</v>
      </c>
      <c r="X594" s="35">
        <f ca="1">Tabela3[[#This Row],[Aluminio Util]]*Tabela3[[#This Row],[Custo/Kg]]</f>
        <v>1201.5744000000002</v>
      </c>
      <c r="Y594" s="35">
        <f>IFERROR(VLOOKUP(Tabela3[[#This Row],[Data]],Tabela461213[],2,1)*(Tabela3[[#This Row],[Qtde Cx Produzida]]*Tabela3[[#This Row],[Qde macho / CX]]*Tabela3[[#This Row],[Peso Macho]]),)</f>
        <v>0</v>
      </c>
      <c r="Z594" s="35">
        <f>IFERROR(Tabela3[[#This Row],[Qtde Oleo]]*(VLOOKUP(Tabela3[[#This Row],[Data]],CompraOleo[],3,TRUE))*1.05,0)</f>
        <v>155.42066906311905</v>
      </c>
      <c r="AA594" s="47">
        <f ca="1">(Tabela3[[#This Row],[Custo Oleo]]+Tabela3[[#This Row],[Custo Aluminio]]+Tabela3[[#This Row],[Custo M.O. Total]]+Tabela3[[#This Row],[Custo Machos]])</f>
        <v>2023.3307079520082</v>
      </c>
      <c r="AB594" s="47">
        <f ca="1">Tabela3[[#This Row],[Custo Total]]*Tabela3[[#This Row],[% Perda]]</f>
        <v>0</v>
      </c>
      <c r="AC594" s="48">
        <f>IFERROR(VLOOKUP(Tabela3[[#This Row],[Produto]],Tabela2[],2,0),0)</f>
        <v>4</v>
      </c>
      <c r="AD594" s="48">
        <f>IFERROR(VLOOKUP(Tabela3[[#This Row],[Produto]],Tabela2[],3,0),0)</f>
        <v>0.33200000000000002</v>
      </c>
      <c r="AE594" s="48">
        <f>IFERROR(VLOOKUP(Tabela3[[#This Row],[Produto]],Tabela2[],4,0),0)</f>
        <v>2.2999999999999998</v>
      </c>
      <c r="AF594" s="48">
        <f>IFERROR(VLOOKUP(Tabela3[[#This Row],[Produto]],Tabela2[],5,0),0)</f>
        <v>0.8747999999999998</v>
      </c>
      <c r="AG594" s="40">
        <f>IFERROR(VLOOKUP(Tabela3[[#This Row],[Produto]],Tabela2[],6,0),0)</f>
        <v>0</v>
      </c>
      <c r="AH594" s="40">
        <f>IFERROR(VLOOKUP(Tabela3[[#This Row],[Produto]],Tabela2[],7,0),0)</f>
        <v>0</v>
      </c>
      <c r="AI594" s="40">
        <f>IFERROR(VLOOKUP(Tabela3[[#This Row],[Produto]],Tabela2[],8,0),0)</f>
        <v>0</v>
      </c>
      <c r="AJ594" s="35">
        <f ca="1">IFERROR(VLOOKUP(Tabela3[[#This Row],[Produto]],Tabela2[],13,0),0)</f>
        <v>15.600000000000001</v>
      </c>
      <c r="AK594" s="40" t="str">
        <f>IFERROR(VLOOKUP(Tabela3[[#This Row],[Produto]],Tabela2[],14,0),0)</f>
        <v>Senun</v>
      </c>
      <c r="AL594" s="40">
        <f>IFERROR(VLOOKUP(Tabela3[[#This Row],[Produto]],Tabela2[],15,0),0)</f>
        <v>3.5</v>
      </c>
      <c r="AM594" s="36">
        <f ca="1">(Tabela3[[#This Row],[Custo Usinagem]]+Tabela3[[#This Row],[Custo / Pç]])*1.2</f>
        <v>14.665503661820731</v>
      </c>
      <c r="AN594" s="36">
        <f ca="1">Tabela3[[#This Row],[Valor Mínimo Venda]]*1.15</f>
        <v>16.86532921109384</v>
      </c>
      <c r="AO594" s="36">
        <f ca="1">Tabela3[[#This Row],[Tabela 1]]*1.08</f>
        <v>18.214555547981348</v>
      </c>
      <c r="AP594" s="36">
        <f ca="1">Tabela3[[#This Row],[Tabela 2]]*1.15</f>
        <v>20.94673888017855</v>
      </c>
    </row>
    <row r="595" spans="1:42">
      <c r="A595" s="9">
        <v>45902</v>
      </c>
      <c r="B595" s="6" t="s">
        <v>142</v>
      </c>
      <c r="C595" s="14">
        <v>7873</v>
      </c>
      <c r="D595" s="6" t="s">
        <v>46</v>
      </c>
      <c r="E595" s="6" t="s">
        <v>53</v>
      </c>
      <c r="F595" s="6">
        <v>13</v>
      </c>
      <c r="G595" s="15">
        <v>7.5694444444444439E-2</v>
      </c>
      <c r="H595" s="16">
        <v>0</v>
      </c>
      <c r="I595" s="35">
        <f ca="1">IFERROR(Tabela3[[#This Row],[Custo Total]]/Tabela3[[#This Row],[Aluminio Util]],0)</f>
        <v>35.995187108269079</v>
      </c>
      <c r="J595" s="35">
        <f ca="1">Tabela3[[#This Row],[Custo Total]]/Tabela3[[#This Row],[Realizado]]</f>
        <v>28.796149686615266</v>
      </c>
      <c r="K595" s="37">
        <f>IFERROR(Tabela3[[#This Row],[Qtde Cx Produzida]]/Tabela3[[#This Row],[Tempo]]/24,0)</f>
        <v>7.1559633027522942</v>
      </c>
      <c r="L595" s="37">
        <f>Tabela3[[#This Row],[Qtde Cx Produzida]]*Tabela3[[#This Row],[Qdt Peça Placa]]</f>
        <v>13</v>
      </c>
      <c r="M595" s="37">
        <f>Tabela3[[#This Row],[Previsto]]-Tabela3[[#This Row],[Perda Pçs]]</f>
        <v>13</v>
      </c>
      <c r="N595" s="38">
        <f>IFERROR(Tabela3[[#This Row],[Perda Pçs]]/Tabela3[[#This Row],[Previsto]],0)</f>
        <v>0</v>
      </c>
      <c r="O595" s="39">
        <f>IFERROR(IF(Tabela3[[#This Row],[Qtde Cx Produzida]] &lt;&gt; 0, Tabela3[[#This Row],[Tempo]] / Tabela3[[#This Row],[Qtde Cx Produzida]], 0),0)</f>
        <v>5.8226495726495719E-3</v>
      </c>
      <c r="P595" s="57">
        <f>IFERROR(Tabela3[[#This Row],[Perda Pçs]]/Tabela3[[#This Row],[Qdt Peça Placa]],0)</f>
        <v>0</v>
      </c>
      <c r="Q595" s="37">
        <f>IFERROR(Tabela3[[#This Row],[Realizado]]*Tabela3[[#This Row],[Peso Util/Pç]],0)</f>
        <v>10.4</v>
      </c>
      <c r="R595" s="37">
        <f>IFERROR(Tabela3[[#This Row],[Peso Total Galho]]*Tabela3[[#This Row],[Qtde Cx Produzida]]*1.055,0)</f>
        <v>18.515249999999998</v>
      </c>
      <c r="S595" s="37">
        <f>(Tabela3[[#This Row],[Aluminio Bruto]]-Tabela3[[#This Row],[Aluminio Util]])*0.9</f>
        <v>7.3037249999999982</v>
      </c>
      <c r="T595" s="37">
        <f>Tabela3[[#This Row],[Aluminio Bruto]]/OleoKGAluminio</f>
        <v>7.7893417350117504</v>
      </c>
      <c r="U595" s="35">
        <f>IFERROR((VLOOKUP(Tabela3[[#This Row],[Moldador]],Tabela1[],5,)+(VLOOKUP(Tabela3[[#This Row],[Ajudante]],Tabela1[],5,))*3.5),0)</f>
        <v>99.95034583333333</v>
      </c>
      <c r="V595" s="35">
        <f>IFERROR(Tabela3[[#This Row],[Custo M.O. / H]]/((Tabela3[[#This Row],[Realizado]]/Tabela3[[#This Row],[Qdt Peça Placa]])/Tabela3[[#This Row],[Tempo]]/24),)</f>
        <v>13.967420122863246</v>
      </c>
      <c r="W595" s="35">
        <f>Tabela3[[#This Row],[Custo / Cx Moldada]]*Tabela3[[#This Row],[Qtde Cx Produzida]]</f>
        <v>181.57646159722219</v>
      </c>
      <c r="X595" s="35">
        <f ca="1">Tabela3[[#This Row],[Aluminio Util]]*Tabela3[[#This Row],[Custo/Kg]]</f>
        <v>172.32646227437041</v>
      </c>
      <c r="Y595" s="35">
        <f>IFERROR(VLOOKUP(Tabela3[[#This Row],[Data]],Tabela461213[],2,1)*(Tabela3[[#This Row],[Qtde Cx Produzida]]*Tabela3[[#This Row],[Qde macho / CX]]*Tabela3[[#This Row],[Peso Macho]]),)</f>
        <v>0</v>
      </c>
      <c r="Z595" s="35">
        <f>IFERROR(Tabela3[[#This Row],[Qtde Oleo]]*(VLOOKUP(Tabela3[[#This Row],[Data]],CompraOleo[],3,TRUE))*1.05,0)</f>
        <v>20.447022054405846</v>
      </c>
      <c r="AA595" s="47">
        <f ca="1">(Tabela3[[#This Row],[Custo Oleo]]+Tabela3[[#This Row],[Custo Aluminio]]+Tabela3[[#This Row],[Custo M.O. Total]]+Tabela3[[#This Row],[Custo Machos]])</f>
        <v>374.34994592599844</v>
      </c>
      <c r="AB595" s="47">
        <f ca="1">Tabela3[[#This Row],[Custo Total]]*Tabela3[[#This Row],[% Perda]]</f>
        <v>0</v>
      </c>
      <c r="AC595" s="48">
        <f>IFERROR(VLOOKUP(Tabela3[[#This Row],[Produto]],Tabela2[],2,0),0)</f>
        <v>1</v>
      </c>
      <c r="AD595" s="48">
        <f>IFERROR(VLOOKUP(Tabela3[[#This Row],[Produto]],Tabela2[],3,0),0)</f>
        <v>0.8</v>
      </c>
      <c r="AE595" s="48">
        <f>IFERROR(VLOOKUP(Tabela3[[#This Row],[Produto]],Tabela2[],4,0),0)</f>
        <v>1.35</v>
      </c>
      <c r="AF595" s="48">
        <f>IFERROR(VLOOKUP(Tabela3[[#This Row],[Produto]],Tabela2[],5,0),0)</f>
        <v>0.49500000000000005</v>
      </c>
      <c r="AG595" s="40">
        <f>IFERROR(VLOOKUP(Tabela3[[#This Row],[Produto]],Tabela2[],6,0),0)</f>
        <v>0</v>
      </c>
      <c r="AH595" s="40">
        <f>IFERROR(VLOOKUP(Tabela3[[#This Row],[Produto]],Tabela2[],7,0),0)</f>
        <v>0</v>
      </c>
      <c r="AI595" s="40">
        <f>IFERROR(VLOOKUP(Tabela3[[#This Row],[Produto]],Tabela2[],8,0),0)</f>
        <v>0</v>
      </c>
      <c r="AJ595" s="35">
        <f ca="1">IFERROR(VLOOKUP(Tabela3[[#This Row],[Produto]],Tabela2[],13,0),0)</f>
        <v>16.569852141766386</v>
      </c>
      <c r="AK595" s="40" t="str">
        <f>IFERROR(VLOOKUP(Tabela3[[#This Row],[Produto]],Tabela2[],14,0),0)</f>
        <v>Danilo</v>
      </c>
      <c r="AL595" s="40">
        <f>IFERROR(VLOOKUP(Tabela3[[#This Row],[Produto]],Tabela2[],15,0),0)</f>
        <v>0</v>
      </c>
      <c r="AM595" s="36">
        <f ca="1">(Tabela3[[#This Row],[Custo Usinagem]]+Tabela3[[#This Row],[Custo / Pç]])*1.2</f>
        <v>34.555379623938315</v>
      </c>
      <c r="AN595" s="36">
        <f ca="1">Tabela3[[#This Row],[Valor Mínimo Venda]]*1.15</f>
        <v>39.738686567529058</v>
      </c>
      <c r="AO595" s="36">
        <f ca="1">Tabela3[[#This Row],[Tabela 1]]*1.08</f>
        <v>42.917781492931383</v>
      </c>
      <c r="AP595" s="36">
        <f ca="1">Tabela3[[#This Row],[Tabela 2]]*1.15</f>
        <v>49.355448716871088</v>
      </c>
    </row>
    <row r="596" spans="1:42">
      <c r="A596" s="9">
        <v>45902</v>
      </c>
      <c r="B596" s="6" t="s">
        <v>91</v>
      </c>
      <c r="C596" s="14">
        <v>7780</v>
      </c>
      <c r="D596" s="6" t="s">
        <v>44</v>
      </c>
      <c r="E596" s="6" t="s">
        <v>47</v>
      </c>
      <c r="F596" s="6">
        <v>15</v>
      </c>
      <c r="G596" s="15">
        <v>9.583333333333334E-2</v>
      </c>
      <c r="H596" s="16">
        <v>0</v>
      </c>
      <c r="I596" s="35">
        <f ca="1">IFERROR(Tabela3[[#This Row],[Custo Total]]/Tabela3[[#This Row],[Aluminio Util]],0)</f>
        <v>39.864777367058835</v>
      </c>
      <c r="J596" s="35">
        <f ca="1">Tabela3[[#This Row],[Custo Total]]/Tabela3[[#This Row],[Realizado]]</f>
        <v>31.253985455774124</v>
      </c>
      <c r="K596" s="37">
        <f>IFERROR(Tabela3[[#This Row],[Qtde Cx Produzida]]/Tabela3[[#This Row],[Tempo]]/24,0)</f>
        <v>6.5217391304347823</v>
      </c>
      <c r="L596" s="37">
        <f>Tabela3[[#This Row],[Qtde Cx Produzida]]*Tabela3[[#This Row],[Qdt Peça Placa]]</f>
        <v>60</v>
      </c>
      <c r="M596" s="37">
        <f>Tabela3[[#This Row],[Previsto]]-Tabela3[[#This Row],[Perda Pçs]]</f>
        <v>60</v>
      </c>
      <c r="N596" s="38">
        <f>IFERROR(Tabela3[[#This Row],[Perda Pçs]]/Tabela3[[#This Row],[Previsto]],0)</f>
        <v>0</v>
      </c>
      <c r="O596" s="39">
        <f>IFERROR(IF(Tabela3[[#This Row],[Qtde Cx Produzida]] &lt;&gt; 0, Tabela3[[#This Row],[Tempo]] / Tabela3[[#This Row],[Qtde Cx Produzida]], 0),0)</f>
        <v>6.3888888888888893E-3</v>
      </c>
      <c r="P596" s="57">
        <f>IFERROR(Tabela3[[#This Row],[Perda Pçs]]/Tabela3[[#This Row],[Qdt Peça Placa]],0)</f>
        <v>0</v>
      </c>
      <c r="Q596" s="37">
        <f>IFERROR(Tabela3[[#This Row],[Realizado]]*Tabela3[[#This Row],[Peso Util/Pç]],0)</f>
        <v>47.04</v>
      </c>
      <c r="R596" s="37">
        <f>IFERROR(Tabela3[[#This Row],[Peso Total Galho]]*Tabela3[[#This Row],[Qtde Cx Produzida]]*1.055,0)</f>
        <v>87.7971</v>
      </c>
      <c r="S596" s="37">
        <f>(Tabela3[[#This Row],[Aluminio Bruto]]-Tabela3[[#This Row],[Aluminio Util]])*0.9</f>
        <v>36.68139</v>
      </c>
      <c r="T596" s="37">
        <f>Tabela3[[#This Row],[Aluminio Bruto]]/OleoKGAluminio</f>
        <v>36.936126449440337</v>
      </c>
      <c r="U596" s="35">
        <f>IFERROR((VLOOKUP(Tabela3[[#This Row],[Moldador]],Tabela1[],5,)+(VLOOKUP(Tabela3[[#This Row],[Ajudante]],Tabela1[],5,))*3.5),0)</f>
        <v>99.95034583333333</v>
      </c>
      <c r="V596" s="35">
        <f>IFERROR(Tabela3[[#This Row],[Custo M.O. / H]]/((Tabela3[[#This Row],[Realizado]]/Tabela3[[#This Row],[Qdt Peça Placa]])/Tabela3[[#This Row],[Tempo]]/24),)</f>
        <v>15.325719694444444</v>
      </c>
      <c r="W596" s="35">
        <f>Tabela3[[#This Row],[Custo / Cx Moldada]]*Tabela3[[#This Row],[Qtde Cx Produzida]]</f>
        <v>229.88579541666667</v>
      </c>
      <c r="X596" s="35">
        <f ca="1">Tabela3[[#This Row],[Aluminio Util]]*Tabela3[[#This Row],[Custo/Kg]]</f>
        <v>733.82400000000007</v>
      </c>
      <c r="Y596" s="35">
        <f>IFERROR(VLOOKUP(Tabela3[[#This Row],[Data]],Tabela461213[],2,1)*(Tabela3[[#This Row],[Qtde Cx Produzida]]*Tabela3[[#This Row],[Qde macho / CX]]*Tabela3[[#This Row],[Peso Macho]]),)</f>
        <v>814.57199999999989</v>
      </c>
      <c r="Z596" s="35">
        <f>IFERROR(Tabela3[[#This Row],[Qtde Oleo]]*(VLOOKUP(Tabela3[[#This Row],[Data]],CompraOleo[],3,TRUE))*1.05,0)</f>
        <v>96.957331929780892</v>
      </c>
      <c r="AA596" s="47">
        <f ca="1">(Tabela3[[#This Row],[Custo Oleo]]+Tabela3[[#This Row],[Custo Aluminio]]+Tabela3[[#This Row],[Custo M.O. Total]]+Tabela3[[#This Row],[Custo Machos]])</f>
        <v>1875.2391273464475</v>
      </c>
      <c r="AB596" s="47">
        <f ca="1">Tabela3[[#This Row],[Custo Total]]*Tabela3[[#This Row],[% Perda]]</f>
        <v>0</v>
      </c>
      <c r="AC596" s="48">
        <f>IFERROR(VLOOKUP(Tabela3[[#This Row],[Produto]],Tabela2[],2,0),0)</f>
        <v>4</v>
      </c>
      <c r="AD596" s="48">
        <f>IFERROR(VLOOKUP(Tabela3[[#This Row],[Produto]],Tabela2[],3,0),0)</f>
        <v>0.78400000000000003</v>
      </c>
      <c r="AE596" s="48">
        <f>IFERROR(VLOOKUP(Tabela3[[#This Row],[Produto]],Tabela2[],4,0),0)</f>
        <v>5.548</v>
      </c>
      <c r="AF596" s="48">
        <f>IFERROR(VLOOKUP(Tabela3[[#This Row],[Produto]],Tabela2[],5,0),0)</f>
        <v>2.1707999999999998</v>
      </c>
      <c r="AG596" s="40">
        <f>IFERROR(VLOOKUP(Tabela3[[#This Row],[Produto]],Tabela2[],6,0),0)</f>
        <v>0</v>
      </c>
      <c r="AH596" s="40">
        <f>IFERROR(VLOOKUP(Tabela3[[#This Row],[Produto]],Tabela2[],7,0),0)</f>
        <v>12</v>
      </c>
      <c r="AI596" s="40">
        <f>IFERROR(VLOOKUP(Tabela3[[#This Row],[Produto]],Tabela2[],8,0),0)</f>
        <v>2.6619999999999999</v>
      </c>
      <c r="AJ596" s="35">
        <f ca="1">IFERROR(VLOOKUP(Tabela3[[#This Row],[Produto]],Tabela2[],13,0),0)</f>
        <v>15.600000000000001</v>
      </c>
      <c r="AK596" s="40" t="str">
        <f>IFERROR(VLOOKUP(Tabela3[[#This Row],[Produto]],Tabela2[],14,0),0)</f>
        <v>Jumil</v>
      </c>
      <c r="AL596" s="40">
        <f>IFERROR(VLOOKUP(Tabela3[[#This Row],[Produto]],Tabela2[],15,0),0)</f>
        <v>8</v>
      </c>
      <c r="AM596" s="36">
        <f ca="1">(Tabela3[[#This Row],[Custo Usinagem]]+Tabela3[[#This Row],[Custo / Pç]])*1.2</f>
        <v>47.104782546928952</v>
      </c>
      <c r="AN596" s="36">
        <f ca="1">Tabela3[[#This Row],[Valor Mínimo Venda]]*1.15</f>
        <v>54.17049992896829</v>
      </c>
      <c r="AO596" s="36">
        <f ca="1">Tabela3[[#This Row],[Tabela 1]]*1.08</f>
        <v>58.504139923285756</v>
      </c>
      <c r="AP596" s="36">
        <f ca="1">Tabela3[[#This Row],[Tabela 2]]*1.15</f>
        <v>67.27976091177861</v>
      </c>
    </row>
    <row r="597" spans="1:42">
      <c r="A597" s="9">
        <v>45902</v>
      </c>
      <c r="B597" s="6" t="s">
        <v>238</v>
      </c>
      <c r="C597" s="14">
        <v>7863</v>
      </c>
      <c r="D597" s="6" t="s">
        <v>44</v>
      </c>
      <c r="E597" s="6" t="s">
        <v>47</v>
      </c>
      <c r="F597" s="6">
        <v>30</v>
      </c>
      <c r="G597" s="15">
        <v>0.18124999999999999</v>
      </c>
      <c r="H597" s="16">
        <v>5</v>
      </c>
      <c r="I597" s="35">
        <f ca="1">IFERROR(Tabela3[[#This Row],[Custo Total]]/Tabela3[[#This Row],[Aluminio Util]],0)</f>
        <v>23.978077977036001</v>
      </c>
      <c r="J597" s="35">
        <f ca="1">Tabela3[[#This Row],[Custo Total]]/Tabela3[[#This Row],[Realizado]]</f>
        <v>8.7999546175722116</v>
      </c>
      <c r="K597" s="37">
        <f>IFERROR(Tabela3[[#This Row],[Qtde Cx Produzida]]/Tabela3[[#This Row],[Tempo]]/24,0)</f>
        <v>6.8965517241379315</v>
      </c>
      <c r="L597" s="37">
        <f>Tabela3[[#This Row],[Qtde Cx Produzida]]*Tabela3[[#This Row],[Qdt Peça Placa]]</f>
        <v>180</v>
      </c>
      <c r="M597" s="37">
        <f>Tabela3[[#This Row],[Previsto]]-Tabela3[[#This Row],[Perda Pçs]]</f>
        <v>175</v>
      </c>
      <c r="N597" s="38">
        <f>IFERROR(Tabela3[[#This Row],[Perda Pçs]]/Tabela3[[#This Row],[Previsto]],0)</f>
        <v>2.7777777777777776E-2</v>
      </c>
      <c r="O597" s="39">
        <f>IFERROR(IF(Tabela3[[#This Row],[Qtde Cx Produzida]] &lt;&gt; 0, Tabela3[[#This Row],[Tempo]] / Tabela3[[#This Row],[Qtde Cx Produzida]], 0),0)</f>
        <v>6.0416666666666665E-3</v>
      </c>
      <c r="P597" s="57">
        <f>IFERROR(Tabela3[[#This Row],[Perda Pçs]]/Tabela3[[#This Row],[Qdt Peça Placa]],0)</f>
        <v>0.83333333333333337</v>
      </c>
      <c r="Q597" s="37">
        <f>IFERROR(Tabela3[[#This Row],[Realizado]]*Tabela3[[#This Row],[Peso Util/Pç]],0)</f>
        <v>64.224999999999994</v>
      </c>
      <c r="R597" s="37">
        <f>IFERROR(Tabela3[[#This Row],[Peso Total Galho]]*Tabela3[[#This Row],[Qtde Cx Produzida]]*1.055,0)</f>
        <v>82.289999999999992</v>
      </c>
      <c r="S597" s="37">
        <f>(Tabela3[[#This Row],[Aluminio Bruto]]-Tabela3[[#This Row],[Aluminio Util]])*0.9</f>
        <v>16.258499999999998</v>
      </c>
      <c r="T597" s="37">
        <f>Tabela3[[#This Row],[Aluminio Bruto]]/OleoKGAluminio</f>
        <v>34.619296600052223</v>
      </c>
      <c r="U597" s="35">
        <f>IFERROR((VLOOKUP(Tabela3[[#This Row],[Moldador]],Tabela1[],5,)+(VLOOKUP(Tabela3[[#This Row],[Ajudante]],Tabela1[],5,))*3.5),0)</f>
        <v>99.95034583333333</v>
      </c>
      <c r="V597" s="35">
        <f>IFERROR(Tabela3[[#This Row],[Custo M.O. / H]]/((Tabela3[[#This Row],[Realizado]]/Tabela3[[#This Row],[Qdt Peça Placa]])/Tabela3[[#This Row],[Tempo]]/24),)</f>
        <v>14.906880149999999</v>
      </c>
      <c r="W597" s="35">
        <f>Tabela3[[#This Row],[Custo / Cx Moldada]]*Tabela3[[#This Row],[Qtde Cx Produzida]]</f>
        <v>447.20640449999996</v>
      </c>
      <c r="X597" s="35">
        <f ca="1">Tabela3[[#This Row],[Aluminio Util]]*Tabela3[[#This Row],[Custo/Kg]]</f>
        <v>1001.91</v>
      </c>
      <c r="Y597" s="35">
        <f>IFERROR(VLOOKUP(Tabela3[[#This Row],[Data]],Tabela461213[],2,1)*(Tabela3[[#This Row],[Qtde Cx Produzida]]*Tabela3[[#This Row],[Qde macho / CX]]*Tabela3[[#This Row],[Peso Macho]]),)</f>
        <v>0</v>
      </c>
      <c r="Z597" s="35">
        <f>IFERROR(Tabela3[[#This Row],[Qtde Oleo]]*(VLOOKUP(Tabela3[[#This Row],[Data]],CompraOleo[],3,TRUE))*1.05,0)</f>
        <v>90.875653575137093</v>
      </c>
      <c r="AA597" s="47">
        <f ca="1">(Tabela3[[#This Row],[Custo Oleo]]+Tabela3[[#This Row],[Custo Aluminio]]+Tabela3[[#This Row],[Custo M.O. Total]]+Tabela3[[#This Row],[Custo Machos]])</f>
        <v>1539.992058075137</v>
      </c>
      <c r="AB597" s="47">
        <f ca="1">Tabela3[[#This Row],[Custo Total]]*Tabela3[[#This Row],[% Perda]]</f>
        <v>42.777557168753802</v>
      </c>
      <c r="AC597" s="48">
        <f>IFERROR(VLOOKUP(Tabela3[[#This Row],[Produto]],Tabela2[],2,0),0)</f>
        <v>6</v>
      </c>
      <c r="AD597" s="48">
        <f>IFERROR(VLOOKUP(Tabela3[[#This Row],[Produto]],Tabela2[],3,0),0)</f>
        <v>0.36699999999999999</v>
      </c>
      <c r="AE597" s="48">
        <f>IFERROR(VLOOKUP(Tabela3[[#This Row],[Produto]],Tabela2[],4,0),0)</f>
        <v>2.6</v>
      </c>
      <c r="AF597" s="48">
        <f>IFERROR(VLOOKUP(Tabela3[[#This Row],[Produto]],Tabela2[],5,0),0)</f>
        <v>0.35820000000000013</v>
      </c>
      <c r="AG597" s="40">
        <f>IFERROR(VLOOKUP(Tabela3[[#This Row],[Produto]],Tabela2[],6,0),0)</f>
        <v>0</v>
      </c>
      <c r="AH597" s="40">
        <f>IFERROR(VLOOKUP(Tabela3[[#This Row],[Produto]],Tabela2[],7,0),0)</f>
        <v>0</v>
      </c>
      <c r="AI597" s="40">
        <f>IFERROR(VLOOKUP(Tabela3[[#This Row],[Produto]],Tabela2[],8,0),0)</f>
        <v>0</v>
      </c>
      <c r="AJ597" s="35">
        <f ca="1">IFERROR(VLOOKUP(Tabela3[[#This Row],[Produto]],Tabela2[],13,0),0)</f>
        <v>15.600000000000001</v>
      </c>
      <c r="AK597" s="40" t="str">
        <f>IFERROR(VLOOKUP(Tabela3[[#This Row],[Produto]],Tabela2[],14,0),0)</f>
        <v>Senun</v>
      </c>
      <c r="AL597" s="40">
        <f>IFERROR(VLOOKUP(Tabela3[[#This Row],[Produto]],Tabela2[],15,0),0)</f>
        <v>4</v>
      </c>
      <c r="AM597" s="36">
        <f ca="1">(Tabela3[[#This Row],[Custo Usinagem]]+Tabela3[[#This Row],[Custo / Pç]])*1.2</f>
        <v>15.359945541086653</v>
      </c>
      <c r="AN597" s="36">
        <f ca="1">Tabela3[[#This Row],[Valor Mínimo Venda]]*1.15</f>
        <v>17.663937372249649</v>
      </c>
      <c r="AO597" s="36">
        <f ca="1">Tabela3[[#This Row],[Tabela 1]]*1.08</f>
        <v>19.077052362029622</v>
      </c>
      <c r="AP597" s="36">
        <f ca="1">Tabela3[[#This Row],[Tabela 2]]*1.15</f>
        <v>21.938610216334062</v>
      </c>
    </row>
    <row r="598" spans="1:42">
      <c r="A598" s="9">
        <v>45902</v>
      </c>
      <c r="B598" s="6" t="s">
        <v>257</v>
      </c>
      <c r="C598" s="14">
        <v>7797</v>
      </c>
      <c r="D598" s="6" t="s">
        <v>44</v>
      </c>
      <c r="E598" s="6" t="s">
        <v>47</v>
      </c>
      <c r="F598" s="6">
        <v>13</v>
      </c>
      <c r="G598" s="15">
        <v>6.5972222222222224E-2</v>
      </c>
      <c r="H598" s="16">
        <v>0</v>
      </c>
      <c r="I598" s="35">
        <f ca="1">IFERROR(Tabela3[[#This Row],[Custo Total]]/Tabela3[[#This Row],[Aluminio Util]],0)</f>
        <v>30.336599016435493</v>
      </c>
      <c r="J598" s="35">
        <f ca="1">Tabela3[[#This Row],[Custo Total]]/Tabela3[[#This Row],[Realizado]]</f>
        <v>3.7920748770544366</v>
      </c>
      <c r="K598" s="37">
        <f>IFERROR(Tabela3[[#This Row],[Qtde Cx Produzida]]/Tabela3[[#This Row],[Tempo]]/24,0)</f>
        <v>8.2105263157894743</v>
      </c>
      <c r="L598" s="37">
        <f>Tabela3[[#This Row],[Qtde Cx Produzida]]*Tabela3[[#This Row],[Qdt Peça Placa]]</f>
        <v>104</v>
      </c>
      <c r="M598" s="37">
        <f>Tabela3[[#This Row],[Previsto]]-Tabela3[[#This Row],[Perda Pçs]]</f>
        <v>104</v>
      </c>
      <c r="N598" s="38">
        <f>IFERROR(Tabela3[[#This Row],[Perda Pçs]]/Tabela3[[#This Row],[Previsto]],0)</f>
        <v>0</v>
      </c>
      <c r="O598" s="39">
        <f>IFERROR(IF(Tabela3[[#This Row],[Qtde Cx Produzida]] &lt;&gt; 0, Tabela3[[#This Row],[Tempo]] / Tabela3[[#This Row],[Qtde Cx Produzida]], 0),0)</f>
        <v>5.074786324786325E-3</v>
      </c>
      <c r="P598" s="57">
        <f>IFERROR(Tabela3[[#This Row],[Perda Pçs]]/Tabela3[[#This Row],[Qdt Peça Placa]],0)</f>
        <v>0</v>
      </c>
      <c r="Q598" s="37">
        <f>IFERROR(Tabela3[[#This Row],[Realizado]]*Tabela3[[#This Row],[Peso Util/Pç]],0)</f>
        <v>13</v>
      </c>
      <c r="R598" s="37">
        <f>IFERROR(Tabela3[[#This Row],[Peso Total Galho]]*Tabela3[[#This Row],[Qtde Cx Produzida]]*1.055,0)</f>
        <v>30.172999999999998</v>
      </c>
      <c r="S598" s="37">
        <f>(Tabela3[[#This Row],[Aluminio Bruto]]-Tabela3[[#This Row],[Aluminio Util]])*0.9</f>
        <v>15.455699999999998</v>
      </c>
      <c r="T598" s="37">
        <f>Tabela3[[#This Row],[Aluminio Bruto]]/OleoKGAluminio</f>
        <v>12.693742086685816</v>
      </c>
      <c r="U598" s="35">
        <f>IFERROR((VLOOKUP(Tabela3[[#This Row],[Moldador]],Tabela1[],5,)+(VLOOKUP(Tabela3[[#This Row],[Ajudante]],Tabela1[],5,))*3.5),0)</f>
        <v>99.95034583333333</v>
      </c>
      <c r="V598" s="35">
        <f>IFERROR(Tabela3[[#This Row],[Custo M.O. / H]]/((Tabela3[[#This Row],[Realizado]]/Tabela3[[#This Row],[Qdt Peça Placa]])/Tabela3[[#This Row],[Tempo]]/24),)</f>
        <v>12.173439556623931</v>
      </c>
      <c r="W598" s="35">
        <f>Tabela3[[#This Row],[Custo / Cx Moldada]]*Tabela3[[#This Row],[Qtde Cx Produzida]]</f>
        <v>158.25471423611111</v>
      </c>
      <c r="X598" s="35">
        <f ca="1">Tabela3[[#This Row],[Aluminio Util]]*Tabela3[[#This Row],[Custo/Kg]]</f>
        <v>202.8</v>
      </c>
      <c r="Y598" s="35">
        <f>IFERROR(VLOOKUP(Tabela3[[#This Row],[Data]],Tabela461213[],2,1)*(Tabela3[[#This Row],[Qtde Cx Produzida]]*Tabela3[[#This Row],[Qde macho / CX]]*Tabela3[[#This Row],[Peso Macho]]),)</f>
        <v>0</v>
      </c>
      <c r="Z598" s="35">
        <f>IFERROR(Tabela3[[#This Row],[Qtde Oleo]]*(VLOOKUP(Tabela3[[#This Row],[Data]],CompraOleo[],3,TRUE))*1.05,0)</f>
        <v>33.321072977550266</v>
      </c>
      <c r="AA598" s="47">
        <f ca="1">(Tabela3[[#This Row],[Custo Oleo]]+Tabela3[[#This Row],[Custo Aluminio]]+Tabela3[[#This Row],[Custo M.O. Total]]+Tabela3[[#This Row],[Custo Machos]])</f>
        <v>394.3757872136614</v>
      </c>
      <c r="AB598" s="47">
        <f ca="1">Tabela3[[#This Row],[Custo Total]]*Tabela3[[#This Row],[% Perda]]</f>
        <v>0</v>
      </c>
      <c r="AC598" s="48">
        <f>IFERROR(VLOOKUP(Tabela3[[#This Row],[Produto]],Tabela2[],2,0),0)</f>
        <v>8</v>
      </c>
      <c r="AD598" s="48">
        <f>IFERROR(VLOOKUP(Tabela3[[#This Row],[Produto]],Tabela2[],3,0),0)</f>
        <v>0.125</v>
      </c>
      <c r="AE598" s="48">
        <f>IFERROR(VLOOKUP(Tabela3[[#This Row],[Produto]],Tabela2[],4,0),0)</f>
        <v>2.2000000000000002</v>
      </c>
      <c r="AF598" s="48">
        <f>IFERROR(VLOOKUP(Tabela3[[#This Row],[Produto]],Tabela2[],5,0),0)</f>
        <v>1.0800000000000003</v>
      </c>
      <c r="AG598" s="40">
        <f>IFERROR(VLOOKUP(Tabela3[[#This Row],[Produto]],Tabela2[],6,0),0)</f>
        <v>0</v>
      </c>
      <c r="AH598" s="40">
        <f>IFERROR(VLOOKUP(Tabela3[[#This Row],[Produto]],Tabela2[],7,0),0)</f>
        <v>0</v>
      </c>
      <c r="AI598" s="40">
        <f>IFERROR(VLOOKUP(Tabela3[[#This Row],[Produto]],Tabela2[],8,0),0)</f>
        <v>0</v>
      </c>
      <c r="AJ598" s="35">
        <f ca="1">IFERROR(VLOOKUP(Tabela3[[#This Row],[Produto]],Tabela2[],13,0),0)</f>
        <v>15.600000000000001</v>
      </c>
      <c r="AK598" s="40" t="str">
        <f>IFERROR(VLOOKUP(Tabela3[[#This Row],[Produto]],Tabela2[],14,0),0)</f>
        <v>Senun</v>
      </c>
      <c r="AL598" s="40">
        <f>IFERROR(VLOOKUP(Tabela3[[#This Row],[Produto]],Tabela2[],15,0),0)</f>
        <v>7</v>
      </c>
      <c r="AM598" s="36">
        <f ca="1">(Tabela3[[#This Row],[Custo Usinagem]]+Tabela3[[#This Row],[Custo / Pç]])*1.2</f>
        <v>12.950489852465322</v>
      </c>
      <c r="AN598" s="36">
        <f ca="1">Tabela3[[#This Row],[Valor Mínimo Venda]]*1.15</f>
        <v>14.893063330335119</v>
      </c>
      <c r="AO598" s="36">
        <f ca="1">Tabela3[[#This Row],[Tabela 1]]*1.08</f>
        <v>16.08450839676193</v>
      </c>
      <c r="AP598" s="36">
        <f ca="1">Tabela3[[#This Row],[Tabela 2]]*1.15</f>
        <v>18.497184656276218</v>
      </c>
    </row>
    <row r="599" spans="1:42">
      <c r="A599" s="9">
        <v>45903</v>
      </c>
      <c r="B599" s="6" t="s">
        <v>142</v>
      </c>
      <c r="C599" s="14">
        <v>7873</v>
      </c>
      <c r="D599" s="6" t="s">
        <v>46</v>
      </c>
      <c r="E599" s="6" t="s">
        <v>53</v>
      </c>
      <c r="F599" s="6">
        <v>37</v>
      </c>
      <c r="G599" s="15">
        <v>0.1701388888888889</v>
      </c>
      <c r="H599" s="16">
        <v>0</v>
      </c>
      <c r="I599" s="35">
        <f ca="1">IFERROR(Tabela3[[#This Row],[Custo Total]]/Tabela3[[#This Row],[Aluminio Util]],0)</f>
        <v>32.324107185076663</v>
      </c>
      <c r="J599" s="35">
        <f ca="1">Tabela3[[#This Row],[Custo Total]]/Tabela3[[#This Row],[Realizado]]</f>
        <v>25.859285748061332</v>
      </c>
      <c r="K599" s="37">
        <f>IFERROR(Tabela3[[#This Row],[Qtde Cx Produzida]]/Tabela3[[#This Row],[Tempo]]/24,0)</f>
        <v>9.0612244897959169</v>
      </c>
      <c r="L599" s="37">
        <f>Tabela3[[#This Row],[Qtde Cx Produzida]]*Tabela3[[#This Row],[Qdt Peça Placa]]</f>
        <v>37</v>
      </c>
      <c r="M599" s="37">
        <f>Tabela3[[#This Row],[Previsto]]-Tabela3[[#This Row],[Perda Pçs]]</f>
        <v>37</v>
      </c>
      <c r="N599" s="38">
        <f>IFERROR(Tabela3[[#This Row],[Perda Pçs]]/Tabela3[[#This Row],[Previsto]],0)</f>
        <v>0</v>
      </c>
      <c r="O599" s="39">
        <f>IFERROR(IF(Tabela3[[#This Row],[Qtde Cx Produzida]] &lt;&gt; 0, Tabela3[[#This Row],[Tempo]] / Tabela3[[#This Row],[Qtde Cx Produzida]], 0),0)</f>
        <v>4.5983483483483488E-3</v>
      </c>
      <c r="P599" s="57">
        <f>IFERROR(Tabela3[[#This Row],[Perda Pçs]]/Tabela3[[#This Row],[Qdt Peça Placa]],0)</f>
        <v>0</v>
      </c>
      <c r="Q599" s="37">
        <f>IFERROR(Tabela3[[#This Row],[Realizado]]*Tabela3[[#This Row],[Peso Util/Pç]],0)</f>
        <v>29.6</v>
      </c>
      <c r="R599" s="37">
        <f>IFERROR(Tabela3[[#This Row],[Peso Total Galho]]*Tabela3[[#This Row],[Qtde Cx Produzida]]*1.055,0)</f>
        <v>52.697249999999997</v>
      </c>
      <c r="S599" s="37">
        <f>(Tabela3[[#This Row],[Aluminio Bruto]]-Tabela3[[#This Row],[Aluminio Util]])*0.9</f>
        <v>20.787524999999995</v>
      </c>
      <c r="T599" s="37">
        <f>Tabela3[[#This Row],[Aluminio Bruto]]/OleoKGAluminio</f>
        <v>22.169664938110369</v>
      </c>
      <c r="U599" s="35">
        <f>IFERROR((VLOOKUP(Tabela3[[#This Row],[Moldador]],Tabela1[],5,)+(VLOOKUP(Tabela3[[#This Row],[Ajudante]],Tabela1[],5,))*3.5),0)</f>
        <v>99.95034583333333</v>
      </c>
      <c r="V599" s="35">
        <f>IFERROR(Tabela3[[#This Row],[Custo M.O. / H]]/((Tabela3[[#This Row],[Realizado]]/Tabela3[[#This Row],[Qdt Peça Placa]])/Tabela3[[#This Row],[Tempo]]/24),)</f>
        <v>11.030556184309312</v>
      </c>
      <c r="W599" s="35">
        <f>Tabela3[[#This Row],[Custo / Cx Moldada]]*Tabela3[[#This Row],[Qtde Cx Produzida]]</f>
        <v>408.13057881944451</v>
      </c>
      <c r="X599" s="35">
        <f ca="1">Tabela3[[#This Row],[Aluminio Util]]*Tabela3[[#This Row],[Custo/Kg]]</f>
        <v>490.46762339628503</v>
      </c>
      <c r="Y599" s="35">
        <f>IFERROR(VLOOKUP(Tabela3[[#This Row],[Data]],Tabela461213[],2,1)*(Tabela3[[#This Row],[Qtde Cx Produzida]]*Tabela3[[#This Row],[Qde macho / CX]]*Tabela3[[#This Row],[Peso Macho]]),)</f>
        <v>0</v>
      </c>
      <c r="Z599" s="35">
        <f>IFERROR(Tabela3[[#This Row],[Qtde Oleo]]*(VLOOKUP(Tabela3[[#This Row],[Data]],CompraOleo[],3,TRUE))*1.05,0)</f>
        <v>58.195370462539721</v>
      </c>
      <c r="AA599" s="47">
        <f ca="1">(Tabela3[[#This Row],[Custo Oleo]]+Tabela3[[#This Row],[Custo Aluminio]]+Tabela3[[#This Row],[Custo M.O. Total]]+Tabela3[[#This Row],[Custo Machos]])</f>
        <v>956.79357267826924</v>
      </c>
      <c r="AB599" s="47">
        <f ca="1">Tabela3[[#This Row],[Custo Total]]*Tabela3[[#This Row],[% Perda]]</f>
        <v>0</v>
      </c>
      <c r="AC599" s="48">
        <f>IFERROR(VLOOKUP(Tabela3[[#This Row],[Produto]],Tabela2[],2,0),0)</f>
        <v>1</v>
      </c>
      <c r="AD599" s="48">
        <f>IFERROR(VLOOKUP(Tabela3[[#This Row],[Produto]],Tabela2[],3,0),0)</f>
        <v>0.8</v>
      </c>
      <c r="AE599" s="48">
        <f>IFERROR(VLOOKUP(Tabela3[[#This Row],[Produto]],Tabela2[],4,0),0)</f>
        <v>1.35</v>
      </c>
      <c r="AF599" s="48">
        <f>IFERROR(VLOOKUP(Tabela3[[#This Row],[Produto]],Tabela2[],5,0),0)</f>
        <v>0.49500000000000005</v>
      </c>
      <c r="AG599" s="40">
        <f>IFERROR(VLOOKUP(Tabela3[[#This Row],[Produto]],Tabela2[],6,0),0)</f>
        <v>0</v>
      </c>
      <c r="AH599" s="40">
        <f>IFERROR(VLOOKUP(Tabela3[[#This Row],[Produto]],Tabela2[],7,0),0)</f>
        <v>0</v>
      </c>
      <c r="AI599" s="40">
        <f>IFERROR(VLOOKUP(Tabela3[[#This Row],[Produto]],Tabela2[],8,0),0)</f>
        <v>0</v>
      </c>
      <c r="AJ599" s="35">
        <f ca="1">IFERROR(VLOOKUP(Tabela3[[#This Row],[Produto]],Tabela2[],13,0),0)</f>
        <v>16.569852141766386</v>
      </c>
      <c r="AK599" s="40" t="str">
        <f>IFERROR(VLOOKUP(Tabela3[[#This Row],[Produto]],Tabela2[],14,0),0)</f>
        <v>Danilo</v>
      </c>
      <c r="AL599" s="40">
        <f>IFERROR(VLOOKUP(Tabela3[[#This Row],[Produto]],Tabela2[],15,0),0)</f>
        <v>0</v>
      </c>
      <c r="AM599" s="36">
        <f ca="1">(Tabela3[[#This Row],[Custo Usinagem]]+Tabela3[[#This Row],[Custo / Pç]])*1.2</f>
        <v>31.031142897673597</v>
      </c>
      <c r="AN599" s="36">
        <f ca="1">Tabela3[[#This Row],[Valor Mínimo Venda]]*1.15</f>
        <v>35.685814332324632</v>
      </c>
      <c r="AO599" s="36">
        <f ca="1">Tabela3[[#This Row],[Tabela 1]]*1.08</f>
        <v>38.540679478910604</v>
      </c>
      <c r="AP599" s="36">
        <f ca="1">Tabela3[[#This Row],[Tabela 2]]*1.15</f>
        <v>44.321781400747192</v>
      </c>
    </row>
    <row r="600" spans="1:42">
      <c r="A600" s="9">
        <v>45903</v>
      </c>
      <c r="B600" s="6" t="s">
        <v>143</v>
      </c>
      <c r="C600" s="14">
        <v>7881</v>
      </c>
      <c r="D600" s="6" t="s">
        <v>46</v>
      </c>
      <c r="E600" s="6" t="s">
        <v>326</v>
      </c>
      <c r="F600" s="6">
        <v>50</v>
      </c>
      <c r="G600" s="15">
        <v>0.24305555555555555</v>
      </c>
      <c r="H600" s="16">
        <v>0</v>
      </c>
      <c r="I600" s="35">
        <f ca="1">IFERROR(Tabela3[[#This Row],[Custo Total]]/Tabela3[[#This Row],[Aluminio Util]],0)</f>
        <v>65.663689204302429</v>
      </c>
      <c r="J600" s="35">
        <f ca="1">Tabela3[[#This Row],[Custo Total]]/Tabela3[[#This Row],[Realizado]]</f>
        <v>17.466541328344448</v>
      </c>
      <c r="K600" s="37">
        <f>IFERROR(Tabela3[[#This Row],[Qtde Cx Produzida]]/Tabela3[[#This Row],[Tempo]]/24,0)</f>
        <v>8.5714285714285712</v>
      </c>
      <c r="L600" s="37">
        <f>Tabela3[[#This Row],[Qtde Cx Produzida]]*Tabela3[[#This Row],[Qdt Peça Placa]]</f>
        <v>50</v>
      </c>
      <c r="M600" s="37">
        <f>Tabela3[[#This Row],[Previsto]]-Tabela3[[#This Row],[Perda Pçs]]</f>
        <v>50</v>
      </c>
      <c r="N600" s="38">
        <f>IFERROR(Tabela3[[#This Row],[Perda Pçs]]/Tabela3[[#This Row],[Previsto]],0)</f>
        <v>0</v>
      </c>
      <c r="O600" s="39">
        <f>IFERROR(IF(Tabela3[[#This Row],[Qtde Cx Produzida]] &lt;&gt; 0, Tabela3[[#This Row],[Tempo]] / Tabela3[[#This Row],[Qtde Cx Produzida]], 0),0)</f>
        <v>4.8611111111111112E-3</v>
      </c>
      <c r="P600" s="57">
        <f>IFERROR(Tabela3[[#This Row],[Perda Pçs]]/Tabela3[[#This Row],[Qdt Peça Placa]],0)</f>
        <v>0</v>
      </c>
      <c r="Q600" s="37">
        <f>IFERROR(Tabela3[[#This Row],[Realizado]]*Tabela3[[#This Row],[Peso Util/Pç]],0)</f>
        <v>13.3</v>
      </c>
      <c r="R600" s="37">
        <f>IFERROR(Tabela3[[#This Row],[Peso Total Galho]]*Tabela3[[#This Row],[Qtde Cx Produzida]]*1.055,0)</f>
        <v>63.3</v>
      </c>
      <c r="S600" s="37">
        <f>(Tabela3[[#This Row],[Aluminio Bruto]]-Tabela3[[#This Row],[Aluminio Util]])*0.9</f>
        <v>45</v>
      </c>
      <c r="T600" s="37">
        <f>Tabela3[[#This Row],[Aluminio Bruto]]/OleoKGAluminio</f>
        <v>26.630228153886328</v>
      </c>
      <c r="U600" s="35">
        <f>IFERROR((VLOOKUP(Tabela3[[#This Row],[Moldador]],Tabela1[],5,)+(VLOOKUP(Tabela3[[#This Row],[Ajudante]],Tabela1[],5,))*3.5),0)</f>
        <v>99.95034583333333</v>
      </c>
      <c r="V600" s="35">
        <f>IFERROR(Tabela3[[#This Row],[Custo M.O. / H]]/((Tabela3[[#This Row],[Realizado]]/Tabela3[[#This Row],[Qdt Peça Placa]])/Tabela3[[#This Row],[Tempo]]/24),)</f>
        <v>11.660873680555556</v>
      </c>
      <c r="W600" s="35">
        <f>Tabela3[[#This Row],[Custo / Cx Moldada]]*Tabela3[[#This Row],[Qtde Cx Produzida]]</f>
        <v>583.04368402777777</v>
      </c>
      <c r="X600" s="35">
        <f ca="1">Tabela3[[#This Row],[Aluminio Util]]*Tabela3[[#This Row],[Custo/Kg]]</f>
        <v>220.37903348549295</v>
      </c>
      <c r="Y600" s="35">
        <f>IFERROR(VLOOKUP(Tabela3[[#This Row],[Data]],Tabela461213[],2,1)*(Tabela3[[#This Row],[Qtde Cx Produzida]]*Tabela3[[#This Row],[Qde macho / CX]]*Tabela3[[#This Row],[Peso Macho]]),)</f>
        <v>0</v>
      </c>
      <c r="Z600" s="35">
        <f>IFERROR(Tabela3[[#This Row],[Qtde Oleo]]*(VLOOKUP(Tabela3[[#This Row],[Data]],CompraOleo[],3,TRUE))*1.05,0)</f>
        <v>69.904348903951615</v>
      </c>
      <c r="AA600" s="47">
        <f ca="1">(Tabela3[[#This Row],[Custo Oleo]]+Tabela3[[#This Row],[Custo Aluminio]]+Tabela3[[#This Row],[Custo M.O. Total]]+Tabela3[[#This Row],[Custo Machos]])</f>
        <v>873.32706641722234</v>
      </c>
      <c r="AB600" s="47">
        <f ca="1">Tabela3[[#This Row],[Custo Total]]*Tabela3[[#This Row],[% Perda]]</f>
        <v>0</v>
      </c>
      <c r="AC600" s="48">
        <f>IFERROR(VLOOKUP(Tabela3[[#This Row],[Produto]],Tabela2[],2,0),0)</f>
        <v>1</v>
      </c>
      <c r="AD600" s="48">
        <f>IFERROR(VLOOKUP(Tabela3[[#This Row],[Produto]],Tabela2[],3,0),0)</f>
        <v>0.26600000000000001</v>
      </c>
      <c r="AE600" s="48">
        <f>IFERROR(VLOOKUP(Tabela3[[#This Row],[Produto]],Tabela2[],4,0),0)</f>
        <v>1.2</v>
      </c>
      <c r="AF600" s="48">
        <f>IFERROR(VLOOKUP(Tabela3[[#This Row],[Produto]],Tabela2[],5,0),0)</f>
        <v>0.84060000000000001</v>
      </c>
      <c r="AG600" s="40">
        <f>IFERROR(VLOOKUP(Tabela3[[#This Row],[Produto]],Tabela2[],6,0),0)</f>
        <v>0</v>
      </c>
      <c r="AH600" s="40">
        <f>IFERROR(VLOOKUP(Tabela3[[#This Row],[Produto]],Tabela2[],7,0),0)</f>
        <v>0</v>
      </c>
      <c r="AI600" s="40">
        <f>IFERROR(VLOOKUP(Tabela3[[#This Row],[Produto]],Tabela2[],8,0),0)</f>
        <v>0</v>
      </c>
      <c r="AJ600" s="35">
        <f ca="1">IFERROR(VLOOKUP(Tabela3[[#This Row],[Produto]],Tabela2[],13,0),0)</f>
        <v>16.569852141766386</v>
      </c>
      <c r="AK600" s="40" t="str">
        <f>IFERROR(VLOOKUP(Tabela3[[#This Row],[Produto]],Tabela2[],14,0),0)</f>
        <v>Danilo</v>
      </c>
      <c r="AL600" s="40">
        <f>IFERROR(VLOOKUP(Tabela3[[#This Row],[Produto]],Tabela2[],15,0),0)</f>
        <v>0</v>
      </c>
      <c r="AM600" s="36">
        <f ca="1">(Tabela3[[#This Row],[Custo Usinagem]]+Tabela3[[#This Row],[Custo / Pç]])*1.2</f>
        <v>20.959849594013338</v>
      </c>
      <c r="AN600" s="36">
        <f ca="1">Tabela3[[#This Row],[Valor Mínimo Venda]]*1.15</f>
        <v>24.103827033115337</v>
      </c>
      <c r="AO600" s="36">
        <f ca="1">Tabela3[[#This Row],[Tabela 1]]*1.08</f>
        <v>26.032133195764565</v>
      </c>
      <c r="AP600" s="36">
        <f ca="1">Tabela3[[#This Row],[Tabela 2]]*1.15</f>
        <v>29.936953175129247</v>
      </c>
    </row>
    <row r="601" spans="1:42">
      <c r="A601" s="9">
        <v>45903</v>
      </c>
      <c r="B601" s="6" t="s">
        <v>246</v>
      </c>
      <c r="C601" s="14">
        <v>7798</v>
      </c>
      <c r="D601" s="6" t="s">
        <v>46</v>
      </c>
      <c r="E601" s="6" t="s">
        <v>326</v>
      </c>
      <c r="F601" s="6">
        <v>1</v>
      </c>
      <c r="G601" s="15">
        <v>6.2500000000000003E-3</v>
      </c>
      <c r="H601" s="16">
        <v>1</v>
      </c>
      <c r="I601" s="35">
        <f ca="1">IFERROR(Tabela3[[#This Row],[Custo Total]]/Tabela3[[#This Row],[Aluminio Util]],0)</f>
        <v>30.506071517438397</v>
      </c>
      <c r="J601" s="35">
        <f ca="1">Tabela3[[#This Row],[Custo Total]]/Tabela3[[#This Row],[Realizado]]</f>
        <v>16.259736118794667</v>
      </c>
      <c r="K601" s="37">
        <f>IFERROR(Tabela3[[#This Row],[Qtde Cx Produzida]]/Tabela3[[#This Row],[Tempo]]/24,0)</f>
        <v>6.666666666666667</v>
      </c>
      <c r="L601" s="37">
        <f>Tabela3[[#This Row],[Qtde Cx Produzida]]*Tabela3[[#This Row],[Qdt Peça Placa]]</f>
        <v>4</v>
      </c>
      <c r="M601" s="37">
        <f>Tabela3[[#This Row],[Previsto]]-Tabela3[[#This Row],[Perda Pçs]]</f>
        <v>3</v>
      </c>
      <c r="N601" s="38">
        <f>IFERROR(Tabela3[[#This Row],[Perda Pçs]]/Tabela3[[#This Row],[Previsto]],0)</f>
        <v>0.25</v>
      </c>
      <c r="O601" s="39">
        <f>IFERROR(IF(Tabela3[[#This Row],[Qtde Cx Produzida]] &lt;&gt; 0, Tabela3[[#This Row],[Tempo]] / Tabela3[[#This Row],[Qtde Cx Produzida]], 0),0)</f>
        <v>6.2500000000000003E-3</v>
      </c>
      <c r="P601" s="57">
        <f>IFERROR(Tabela3[[#This Row],[Perda Pçs]]/Tabela3[[#This Row],[Qdt Peça Placa]],0)</f>
        <v>0.25</v>
      </c>
      <c r="Q601" s="37">
        <f>IFERROR(Tabela3[[#This Row],[Realizado]]*Tabela3[[#This Row],[Peso Util/Pç]],0)</f>
        <v>1.5990000000000002</v>
      </c>
      <c r="R601" s="37">
        <f>IFERROR(Tabela3[[#This Row],[Peso Total Galho]]*Tabela3[[#This Row],[Qtde Cx Produzida]]*1.055,0)</f>
        <v>3.4814999999999996</v>
      </c>
      <c r="S601" s="37">
        <f>(Tabela3[[#This Row],[Aluminio Bruto]]-Tabela3[[#This Row],[Aluminio Util]])*0.9</f>
        <v>1.6942499999999996</v>
      </c>
      <c r="T601" s="37">
        <f>Tabela3[[#This Row],[Aluminio Bruto]]/OleoKGAluminio</f>
        <v>1.4646625484637479</v>
      </c>
      <c r="U601" s="35">
        <f>IFERROR((VLOOKUP(Tabela3[[#This Row],[Moldador]],Tabela1[],5,)+(VLOOKUP(Tabela3[[#This Row],[Ajudante]],Tabela1[],5,))*3.5),0)</f>
        <v>99.95034583333333</v>
      </c>
      <c r="V601" s="35">
        <f>IFERROR(Tabela3[[#This Row],[Custo M.O. / H]]/((Tabela3[[#This Row],[Realizado]]/Tabela3[[#This Row],[Qdt Peça Placa]])/Tabela3[[#This Row],[Tempo]]/24),)</f>
        <v>19.990069166666665</v>
      </c>
      <c r="W601" s="35">
        <f>Tabela3[[#This Row],[Custo / Cx Moldada]]*Tabela3[[#This Row],[Qtde Cx Produzida]]</f>
        <v>19.990069166666665</v>
      </c>
      <c r="X601" s="35">
        <f ca="1">Tabela3[[#This Row],[Aluminio Util]]*Tabela3[[#This Row],[Custo/Kg]]</f>
        <v>24.944400000000005</v>
      </c>
      <c r="Y601" s="35">
        <f>IFERROR(VLOOKUP(Tabela3[[#This Row],[Data]],Tabela461213[],2,1)*(Tabela3[[#This Row],[Qtde Cx Produzida]]*Tabela3[[#This Row],[Qde macho / CX]]*Tabela3[[#This Row],[Peso Macho]]),)</f>
        <v>0</v>
      </c>
      <c r="Z601" s="35">
        <f>IFERROR(Tabela3[[#This Row],[Qtde Oleo]]*(VLOOKUP(Tabela3[[#This Row],[Data]],CompraOleo[],3,TRUE))*1.05,0)</f>
        <v>3.8447391897173384</v>
      </c>
      <c r="AA601" s="47">
        <f ca="1">(Tabela3[[#This Row],[Custo Oleo]]+Tabela3[[#This Row],[Custo Aluminio]]+Tabela3[[#This Row],[Custo M.O. Total]]+Tabela3[[#This Row],[Custo Machos]])</f>
        <v>48.779208356384004</v>
      </c>
      <c r="AB601" s="47">
        <f ca="1">Tabela3[[#This Row],[Custo Total]]*Tabela3[[#This Row],[% Perda]]</f>
        <v>12.194802089096001</v>
      </c>
      <c r="AC601" s="48">
        <f>IFERROR(VLOOKUP(Tabela3[[#This Row],[Produto]],Tabela2[],2,0),0)</f>
        <v>4</v>
      </c>
      <c r="AD601" s="48">
        <f>IFERROR(VLOOKUP(Tabela3[[#This Row],[Produto]],Tabela2[],3,0),0)</f>
        <v>0.53300000000000003</v>
      </c>
      <c r="AE601" s="48">
        <f>IFERROR(VLOOKUP(Tabela3[[#This Row],[Produto]],Tabela2[],4,0),0)</f>
        <v>3.3</v>
      </c>
      <c r="AF601" s="48">
        <f>IFERROR(VLOOKUP(Tabela3[[#This Row],[Produto]],Tabela2[],5,0),0)</f>
        <v>1.0511999999999997</v>
      </c>
      <c r="AG601" s="40">
        <f>IFERROR(VLOOKUP(Tabela3[[#This Row],[Produto]],Tabela2[],6,0),0)</f>
        <v>0</v>
      </c>
      <c r="AH601" s="40">
        <f>IFERROR(VLOOKUP(Tabela3[[#This Row],[Produto]],Tabela2[],7,0),0)</f>
        <v>0</v>
      </c>
      <c r="AI601" s="40">
        <f>IFERROR(VLOOKUP(Tabela3[[#This Row],[Produto]],Tabela2[],8,0),0)</f>
        <v>0</v>
      </c>
      <c r="AJ601" s="35">
        <f ca="1">IFERROR(VLOOKUP(Tabela3[[#This Row],[Produto]],Tabela2[],13,0),0)</f>
        <v>15.600000000000001</v>
      </c>
      <c r="AK601" s="40" t="str">
        <f>IFERROR(VLOOKUP(Tabela3[[#This Row],[Produto]],Tabela2[],14,0),0)</f>
        <v>Senun</v>
      </c>
      <c r="AL601" s="40">
        <f>IFERROR(VLOOKUP(Tabela3[[#This Row],[Produto]],Tabela2[],15,0),0)</f>
        <v>4</v>
      </c>
      <c r="AM601" s="36">
        <f ca="1">(Tabela3[[#This Row],[Custo Usinagem]]+Tabela3[[#This Row],[Custo / Pç]])*1.2</f>
        <v>24.3116833425536</v>
      </c>
      <c r="AN601" s="36">
        <f ca="1">Tabela3[[#This Row],[Valor Mínimo Venda]]*1.15</f>
        <v>27.958435843936638</v>
      </c>
      <c r="AO601" s="36">
        <f ca="1">Tabela3[[#This Row],[Tabela 1]]*1.08</f>
        <v>30.195110711451569</v>
      </c>
      <c r="AP601" s="36">
        <f ca="1">Tabela3[[#This Row],[Tabela 2]]*1.15</f>
        <v>34.724377318169303</v>
      </c>
    </row>
    <row r="602" spans="1:42">
      <c r="A602" s="9">
        <v>45903</v>
      </c>
      <c r="B602" s="6" t="s">
        <v>165</v>
      </c>
      <c r="C602" s="14">
        <v>7921</v>
      </c>
      <c r="D602" s="6" t="s">
        <v>44</v>
      </c>
      <c r="E602" s="6" t="s">
        <v>47</v>
      </c>
      <c r="F602" s="6">
        <v>9</v>
      </c>
      <c r="G602" s="15">
        <v>0.13680555555555557</v>
      </c>
      <c r="H602" s="16">
        <v>0</v>
      </c>
      <c r="I602" s="35">
        <f ca="1">IFERROR(Tabela3[[#This Row],[Custo Total]]/Tabela3[[#This Row],[Aluminio Util]],0)</f>
        <v>25.210421646581921</v>
      </c>
      <c r="J602" s="35">
        <f ca="1">Tabela3[[#This Row],[Custo Total]]/Tabela3[[#This Row],[Realizado]]</f>
        <v>146.7246539831068</v>
      </c>
      <c r="K602" s="37">
        <f>IFERROR(Tabela3[[#This Row],[Qtde Cx Produzida]]/Tabela3[[#This Row],[Tempo]]/24,0)</f>
        <v>2.7411167512690349</v>
      </c>
      <c r="L602" s="37">
        <f>Tabela3[[#This Row],[Qtde Cx Produzida]]*Tabela3[[#This Row],[Qdt Peça Placa]]</f>
        <v>9</v>
      </c>
      <c r="M602" s="37">
        <f>Tabela3[[#This Row],[Previsto]]-Tabela3[[#This Row],[Perda Pçs]]</f>
        <v>9</v>
      </c>
      <c r="N602" s="38">
        <f>IFERROR(Tabela3[[#This Row],[Perda Pçs]]/Tabela3[[#This Row],[Previsto]],0)</f>
        <v>0</v>
      </c>
      <c r="O602" s="39">
        <f>IFERROR(IF(Tabela3[[#This Row],[Qtde Cx Produzida]] &lt;&gt; 0, Tabela3[[#This Row],[Tempo]] / Tabela3[[#This Row],[Qtde Cx Produzida]], 0),0)</f>
        <v>1.520061728395062E-2</v>
      </c>
      <c r="P602" s="57">
        <f>IFERROR(Tabela3[[#This Row],[Perda Pçs]]/Tabela3[[#This Row],[Qdt Peça Placa]],0)</f>
        <v>0</v>
      </c>
      <c r="Q602" s="37">
        <f>IFERROR(Tabela3[[#This Row],[Realizado]]*Tabela3[[#This Row],[Peso Util/Pç]],0)</f>
        <v>52.38</v>
      </c>
      <c r="R602" s="37">
        <f>IFERROR(Tabela3[[#This Row],[Peso Total Galho]]*Tabela3[[#This Row],[Qtde Cx Produzida]]*1.055,0)</f>
        <v>63.806399999999996</v>
      </c>
      <c r="S602" s="37">
        <f>(Tabela3[[#This Row],[Aluminio Bruto]]-Tabela3[[#This Row],[Aluminio Util]])*0.9</f>
        <v>10.283759999999996</v>
      </c>
      <c r="T602" s="37">
        <f>Tabela3[[#This Row],[Aluminio Bruto]]/OleoKGAluminio</f>
        <v>26.843269979117419</v>
      </c>
      <c r="U602" s="35">
        <f>IFERROR((VLOOKUP(Tabela3[[#This Row],[Moldador]],Tabela1[],5,)+(VLOOKUP(Tabela3[[#This Row],[Ajudante]],Tabela1[],5,))*3.5),0)</f>
        <v>99.95034583333333</v>
      </c>
      <c r="V602" s="35">
        <f>IFERROR(Tabela3[[#This Row],[Custo M.O. / H]]/((Tabela3[[#This Row],[Realizado]]/Tabela3[[#This Row],[Qdt Peça Placa]])/Tabela3[[#This Row],[Tempo]]/24),)</f>
        <v>36.463366905864206</v>
      </c>
      <c r="W602" s="35">
        <f>Tabela3[[#This Row],[Custo / Cx Moldada]]*Tabela3[[#This Row],[Qtde Cx Produzida]]</f>
        <v>328.17030215277782</v>
      </c>
      <c r="X602" s="35">
        <f ca="1">Tabela3[[#This Row],[Aluminio Util]]*Tabela3[[#This Row],[Custo/Kg]]</f>
        <v>921.88800000000015</v>
      </c>
      <c r="Y602" s="35">
        <f>IFERROR(VLOOKUP(Tabela3[[#This Row],[Data]],Tabela461213[],2,1)*(Tabela3[[#This Row],[Qtde Cx Produzida]]*Tabela3[[#This Row],[Qde macho / CX]]*Tabela3[[#This Row],[Peso Macho]]),)</f>
        <v>0</v>
      </c>
      <c r="Z602" s="35">
        <f>IFERROR(Tabela3[[#This Row],[Qtde Oleo]]*(VLOOKUP(Tabela3[[#This Row],[Data]],CompraOleo[],3,TRUE))*1.05,0)</f>
        <v>70.463583695183218</v>
      </c>
      <c r="AA602" s="47">
        <f ca="1">(Tabela3[[#This Row],[Custo Oleo]]+Tabela3[[#This Row],[Custo Aluminio]]+Tabela3[[#This Row],[Custo M.O. Total]]+Tabela3[[#This Row],[Custo Machos]])</f>
        <v>1320.5218858479611</v>
      </c>
      <c r="AB602" s="47">
        <f ca="1">Tabela3[[#This Row],[Custo Total]]*Tabela3[[#This Row],[% Perda]]</f>
        <v>0</v>
      </c>
      <c r="AC602" s="48">
        <f>IFERROR(VLOOKUP(Tabela3[[#This Row],[Produto]],Tabela2[],2,0),0)</f>
        <v>1</v>
      </c>
      <c r="AD602" s="48">
        <f>IFERROR(VLOOKUP(Tabela3[[#This Row],[Produto]],Tabela2[],3,0),0)</f>
        <v>5.82</v>
      </c>
      <c r="AE602" s="48">
        <f>IFERROR(VLOOKUP(Tabela3[[#This Row],[Produto]],Tabela2[],4,0),0)</f>
        <v>6.72</v>
      </c>
      <c r="AF602" s="48">
        <f>IFERROR(VLOOKUP(Tabela3[[#This Row],[Produto]],Tabela2[],5,0),0)</f>
        <v>0.8099999999999995</v>
      </c>
      <c r="AG602" s="40">
        <f>IFERROR(VLOOKUP(Tabela3[[#This Row],[Produto]],Tabela2[],6,0),0)</f>
        <v>0</v>
      </c>
      <c r="AH602" s="40">
        <f>IFERROR(VLOOKUP(Tabela3[[#This Row],[Produto]],Tabela2[],7,0),0)</f>
        <v>0</v>
      </c>
      <c r="AI602" s="40">
        <f>IFERROR(VLOOKUP(Tabela3[[#This Row],[Produto]],Tabela2[],8,0),0)</f>
        <v>0</v>
      </c>
      <c r="AJ602" s="35">
        <f ca="1">IFERROR(VLOOKUP(Tabela3[[#This Row],[Produto]],Tabela2[],13,0),0)</f>
        <v>17.600000000000001</v>
      </c>
      <c r="AK602" s="40" t="str">
        <f>IFERROR(VLOOKUP(Tabela3[[#This Row],[Produto]],Tabela2[],14,0),0)</f>
        <v>Oscar</v>
      </c>
      <c r="AL602" s="40">
        <f>IFERROR(VLOOKUP(Tabela3[[#This Row],[Produto]],Tabela2[],15,0),0)</f>
        <v>0</v>
      </c>
      <c r="AM602" s="36">
        <f ca="1">(Tabela3[[#This Row],[Custo Usinagem]]+Tabela3[[#This Row],[Custo / Pç]])*1.2</f>
        <v>176.06958477972816</v>
      </c>
      <c r="AN602" s="36">
        <f ca="1">Tabela3[[#This Row],[Valor Mínimo Venda]]*1.15</f>
        <v>202.48002249668735</v>
      </c>
      <c r="AO602" s="36">
        <f ca="1">Tabela3[[#This Row],[Tabela 1]]*1.08</f>
        <v>218.67842429642235</v>
      </c>
      <c r="AP602" s="36">
        <f ca="1">Tabela3[[#This Row],[Tabela 2]]*1.15</f>
        <v>251.48018794088568</v>
      </c>
    </row>
    <row r="603" spans="1:42">
      <c r="A603" s="9">
        <v>45903</v>
      </c>
      <c r="B603" s="6" t="s">
        <v>257</v>
      </c>
      <c r="C603" s="14">
        <v>7797</v>
      </c>
      <c r="D603" s="6" t="s">
        <v>44</v>
      </c>
      <c r="E603" s="6" t="s">
        <v>47</v>
      </c>
      <c r="F603" s="6">
        <v>37</v>
      </c>
      <c r="G603" s="15">
        <v>0.16944444444444445</v>
      </c>
      <c r="H603" s="16">
        <v>0</v>
      </c>
      <c r="I603" s="35">
        <f ca="1">IFERROR(Tabela3[[#This Row],[Custo Total]]/Tabela3[[#This Row],[Aluminio Util]],0)</f>
        <v>29.148692965817567</v>
      </c>
      <c r="J603" s="35">
        <f ca="1">Tabela3[[#This Row],[Custo Total]]/Tabela3[[#This Row],[Realizado]]</f>
        <v>3.6435866207271959</v>
      </c>
      <c r="K603" s="37">
        <f>IFERROR(Tabela3[[#This Row],[Qtde Cx Produzida]]/Tabela3[[#This Row],[Tempo]]/24,0)</f>
        <v>9.0983606557377055</v>
      </c>
      <c r="L603" s="37">
        <f>Tabela3[[#This Row],[Qtde Cx Produzida]]*Tabela3[[#This Row],[Qdt Peça Placa]]</f>
        <v>296</v>
      </c>
      <c r="M603" s="37">
        <f>Tabela3[[#This Row],[Previsto]]-Tabela3[[#This Row],[Perda Pçs]]</f>
        <v>296</v>
      </c>
      <c r="N603" s="38">
        <f>IFERROR(Tabela3[[#This Row],[Perda Pçs]]/Tabela3[[#This Row],[Previsto]],0)</f>
        <v>0</v>
      </c>
      <c r="O603" s="39">
        <f>IFERROR(IF(Tabela3[[#This Row],[Qtde Cx Produzida]] &lt;&gt; 0, Tabela3[[#This Row],[Tempo]] / Tabela3[[#This Row],[Qtde Cx Produzida]], 0),0)</f>
        <v>4.5795795795795799E-3</v>
      </c>
      <c r="P603" s="57">
        <f>IFERROR(Tabela3[[#This Row],[Perda Pçs]]/Tabela3[[#This Row],[Qdt Peça Placa]],0)</f>
        <v>0</v>
      </c>
      <c r="Q603" s="37">
        <f>IFERROR(Tabela3[[#This Row],[Realizado]]*Tabela3[[#This Row],[Peso Util/Pç]],0)</f>
        <v>37</v>
      </c>
      <c r="R603" s="37">
        <f>IFERROR(Tabela3[[#This Row],[Peso Total Galho]]*Tabela3[[#This Row],[Qtde Cx Produzida]]*1.055,0)</f>
        <v>85.876999999999995</v>
      </c>
      <c r="S603" s="37">
        <f>(Tabela3[[#This Row],[Aluminio Bruto]]-Tabela3[[#This Row],[Aluminio Util]])*0.9</f>
        <v>43.9893</v>
      </c>
      <c r="T603" s="37">
        <f>Tabela3[[#This Row],[Aluminio Bruto]]/OleoKGAluminio</f>
        <v>36.128342862105782</v>
      </c>
      <c r="U603" s="35">
        <f>IFERROR((VLOOKUP(Tabela3[[#This Row],[Moldador]],Tabela1[],5,)+(VLOOKUP(Tabela3[[#This Row],[Ajudante]],Tabela1[],5,))*3.5),0)</f>
        <v>99.95034583333333</v>
      </c>
      <c r="V603" s="35">
        <f>IFERROR(Tabela3[[#This Row],[Custo M.O. / H]]/((Tabela3[[#This Row],[Realizado]]/Tabela3[[#This Row],[Qdt Peça Placa]])/Tabela3[[#This Row],[Tempo]]/24),)</f>
        <v>10.985533506006005</v>
      </c>
      <c r="W603" s="35">
        <f>Tabela3[[#This Row],[Custo / Cx Moldada]]*Tabela3[[#This Row],[Qtde Cx Produzida]]</f>
        <v>406.46473972222219</v>
      </c>
      <c r="X603" s="35">
        <f ca="1">Tabela3[[#This Row],[Aluminio Util]]*Tabela3[[#This Row],[Custo/Kg]]</f>
        <v>577.20000000000005</v>
      </c>
      <c r="Y603" s="35">
        <f>IFERROR(VLOOKUP(Tabela3[[#This Row],[Data]],Tabela461213[],2,1)*(Tabela3[[#This Row],[Qtde Cx Produzida]]*Tabela3[[#This Row],[Qde macho / CX]]*Tabela3[[#This Row],[Peso Macho]]),)</f>
        <v>0</v>
      </c>
      <c r="Z603" s="35">
        <f>IFERROR(Tabela3[[#This Row],[Qtde Oleo]]*(VLOOKUP(Tabela3[[#This Row],[Data]],CompraOleo[],3,TRUE))*1.05,0)</f>
        <v>94.836900013027687</v>
      </c>
      <c r="AA603" s="47">
        <f ca="1">(Tabela3[[#This Row],[Custo Oleo]]+Tabela3[[#This Row],[Custo Aluminio]]+Tabela3[[#This Row],[Custo M.O. Total]]+Tabela3[[#This Row],[Custo Machos]])</f>
        <v>1078.5016397352499</v>
      </c>
      <c r="AB603" s="47">
        <f ca="1">Tabela3[[#This Row],[Custo Total]]*Tabela3[[#This Row],[% Perda]]</f>
        <v>0</v>
      </c>
      <c r="AC603" s="48">
        <f>IFERROR(VLOOKUP(Tabela3[[#This Row],[Produto]],Tabela2[],2,0),0)</f>
        <v>8</v>
      </c>
      <c r="AD603" s="48">
        <f>IFERROR(VLOOKUP(Tabela3[[#This Row],[Produto]],Tabela2[],3,0),0)</f>
        <v>0.125</v>
      </c>
      <c r="AE603" s="48">
        <f>IFERROR(VLOOKUP(Tabela3[[#This Row],[Produto]],Tabela2[],4,0),0)</f>
        <v>2.2000000000000002</v>
      </c>
      <c r="AF603" s="48">
        <f>IFERROR(VLOOKUP(Tabela3[[#This Row],[Produto]],Tabela2[],5,0),0)</f>
        <v>1.0800000000000003</v>
      </c>
      <c r="AG603" s="40">
        <f>IFERROR(VLOOKUP(Tabela3[[#This Row],[Produto]],Tabela2[],6,0),0)</f>
        <v>0</v>
      </c>
      <c r="AH603" s="40">
        <f>IFERROR(VLOOKUP(Tabela3[[#This Row],[Produto]],Tabela2[],7,0),0)</f>
        <v>0</v>
      </c>
      <c r="AI603" s="40">
        <f>IFERROR(VLOOKUP(Tabela3[[#This Row],[Produto]],Tabela2[],8,0),0)</f>
        <v>0</v>
      </c>
      <c r="AJ603" s="35">
        <f ca="1">IFERROR(VLOOKUP(Tabela3[[#This Row],[Produto]],Tabela2[],13,0),0)</f>
        <v>15.600000000000001</v>
      </c>
      <c r="AK603" s="40" t="str">
        <f>IFERROR(VLOOKUP(Tabela3[[#This Row],[Produto]],Tabela2[],14,0),0)</f>
        <v>Senun</v>
      </c>
      <c r="AL603" s="40">
        <f>IFERROR(VLOOKUP(Tabela3[[#This Row],[Produto]],Tabela2[],15,0),0)</f>
        <v>7</v>
      </c>
      <c r="AM603" s="36">
        <f ca="1">(Tabela3[[#This Row],[Custo Usinagem]]+Tabela3[[#This Row],[Custo / Pç]])*1.2</f>
        <v>12.772303944872634</v>
      </c>
      <c r="AN603" s="36">
        <f ca="1">Tabela3[[#This Row],[Valor Mínimo Venda]]*1.15</f>
        <v>14.688149536603529</v>
      </c>
      <c r="AO603" s="36">
        <f ca="1">Tabela3[[#This Row],[Tabela 1]]*1.08</f>
        <v>15.863201499531812</v>
      </c>
      <c r="AP603" s="36">
        <f ca="1">Tabela3[[#This Row],[Tabela 2]]*1.15</f>
        <v>18.242681724461583</v>
      </c>
    </row>
    <row r="604" spans="1:42">
      <c r="A604" s="9">
        <v>45903</v>
      </c>
      <c r="B604" s="6" t="s">
        <v>100</v>
      </c>
      <c r="C604" s="14">
        <v>7862</v>
      </c>
      <c r="D604" s="6" t="s">
        <v>44</v>
      </c>
      <c r="E604" s="6" t="s">
        <v>47</v>
      </c>
      <c r="F604" s="6">
        <v>14</v>
      </c>
      <c r="G604" s="15">
        <v>8.3333333333333329E-2</v>
      </c>
      <c r="H604" s="16">
        <v>0</v>
      </c>
      <c r="I604" s="35">
        <f ca="1">IFERROR(Tabela3[[#This Row],[Custo Total]]/Tabela3[[#This Row],[Aluminio Util]],0)</f>
        <v>31.634816910954079</v>
      </c>
      <c r="J604" s="35">
        <f ca="1">Tabela3[[#This Row],[Custo Total]]/Tabela3[[#This Row],[Realizado]]</f>
        <v>18.980890146572449</v>
      </c>
      <c r="K604" s="37">
        <f>IFERROR(Tabela3[[#This Row],[Qtde Cx Produzida]]/Tabela3[[#This Row],[Tempo]]/24,0)</f>
        <v>7</v>
      </c>
      <c r="L604" s="37">
        <f>Tabela3[[#This Row],[Qtde Cx Produzida]]*Tabela3[[#This Row],[Qdt Peça Placa]]</f>
        <v>28</v>
      </c>
      <c r="M604" s="37">
        <f>Tabela3[[#This Row],[Previsto]]-Tabela3[[#This Row],[Perda Pçs]]</f>
        <v>28</v>
      </c>
      <c r="N604" s="38">
        <f>IFERROR(Tabela3[[#This Row],[Perda Pçs]]/Tabela3[[#This Row],[Previsto]],0)</f>
        <v>0</v>
      </c>
      <c r="O604" s="39">
        <f>IFERROR(IF(Tabela3[[#This Row],[Qtde Cx Produzida]] &lt;&gt; 0, Tabela3[[#This Row],[Tempo]] / Tabela3[[#This Row],[Qtde Cx Produzida]], 0),0)</f>
        <v>5.9523809523809521E-3</v>
      </c>
      <c r="P604" s="57">
        <f>IFERROR(Tabela3[[#This Row],[Perda Pçs]]/Tabela3[[#This Row],[Qdt Peça Placa]],0)</f>
        <v>0</v>
      </c>
      <c r="Q604" s="37">
        <f>IFERROR(Tabela3[[#This Row],[Realizado]]*Tabela3[[#This Row],[Peso Util/Pç]],0)</f>
        <v>16.8</v>
      </c>
      <c r="R604" s="37">
        <f>IFERROR(Tabela3[[#This Row],[Peso Total Galho]]*Tabela3[[#This Row],[Qtde Cx Produzida]]*1.055,0)</f>
        <v>32.494</v>
      </c>
      <c r="S604" s="37">
        <f>(Tabela3[[#This Row],[Aluminio Bruto]]-Tabela3[[#This Row],[Aluminio Util]])*0.9</f>
        <v>14.124599999999999</v>
      </c>
      <c r="T604" s="37">
        <f>Tabela3[[#This Row],[Aluminio Bruto]]/OleoKGAluminio</f>
        <v>13.670183785661649</v>
      </c>
      <c r="U604" s="35">
        <f>IFERROR((VLOOKUP(Tabela3[[#This Row],[Moldador]],Tabela1[],5,)+(VLOOKUP(Tabela3[[#This Row],[Ajudante]],Tabela1[],5,))*3.5),0)</f>
        <v>99.95034583333333</v>
      </c>
      <c r="V604" s="35">
        <f>IFERROR(Tabela3[[#This Row],[Custo M.O. / H]]/((Tabela3[[#This Row],[Realizado]]/Tabela3[[#This Row],[Qdt Peça Placa]])/Tabela3[[#This Row],[Tempo]]/24),)</f>
        <v>14.278620833333333</v>
      </c>
      <c r="W604" s="35">
        <f>Tabela3[[#This Row],[Custo / Cx Moldada]]*Tabela3[[#This Row],[Qtde Cx Produzida]]</f>
        <v>199.90069166666666</v>
      </c>
      <c r="X604" s="35">
        <f ca="1">Tabela3[[#This Row],[Aluminio Util]]*Tabela3[[#This Row],[Custo/Kg]]</f>
        <v>295.68000000000006</v>
      </c>
      <c r="Y604" s="35">
        <f>IFERROR(VLOOKUP(Tabela3[[#This Row],[Data]],Tabela461213[],2,1)*(Tabela3[[#This Row],[Qtde Cx Produzida]]*Tabela3[[#This Row],[Qde macho / CX]]*Tabela3[[#This Row],[Peso Macho]]),)</f>
        <v>0</v>
      </c>
      <c r="Z604" s="35">
        <f>IFERROR(Tabela3[[#This Row],[Qtde Oleo]]*(VLOOKUP(Tabela3[[#This Row],[Data]],CompraOleo[],3,TRUE))*1.05,0)</f>
        <v>35.884232437361831</v>
      </c>
      <c r="AA604" s="47">
        <f ca="1">(Tabela3[[#This Row],[Custo Oleo]]+Tabela3[[#This Row],[Custo Aluminio]]+Tabela3[[#This Row],[Custo M.O. Total]]+Tabela3[[#This Row],[Custo Machos]])</f>
        <v>531.46492410402857</v>
      </c>
      <c r="AB604" s="47">
        <f ca="1">Tabela3[[#This Row],[Custo Total]]*Tabela3[[#This Row],[% Perda]]</f>
        <v>0</v>
      </c>
      <c r="AC604" s="48">
        <f>IFERROR(VLOOKUP(Tabela3[[#This Row],[Produto]],Tabela2[],2,0),0)</f>
        <v>2</v>
      </c>
      <c r="AD604" s="48">
        <f>IFERROR(VLOOKUP(Tabela3[[#This Row],[Produto]],Tabela2[],3,0),0)</f>
        <v>0.6</v>
      </c>
      <c r="AE604" s="48">
        <f>IFERROR(VLOOKUP(Tabela3[[#This Row],[Produto]],Tabela2[],4,0),0)</f>
        <v>2.2000000000000002</v>
      </c>
      <c r="AF604" s="48">
        <f>IFERROR(VLOOKUP(Tabela3[[#This Row],[Produto]],Tabela2[],5,0),0)</f>
        <v>0.90000000000000024</v>
      </c>
      <c r="AG604" s="40">
        <f>IFERROR(VLOOKUP(Tabela3[[#This Row],[Produto]],Tabela2[],6,0),0)</f>
        <v>0</v>
      </c>
      <c r="AH604" s="40">
        <f>IFERROR(VLOOKUP(Tabela3[[#This Row],[Produto]],Tabela2[],7,0),0)</f>
        <v>0</v>
      </c>
      <c r="AI604" s="40">
        <f>IFERROR(VLOOKUP(Tabela3[[#This Row],[Produto]],Tabela2[],8,0),0)</f>
        <v>0</v>
      </c>
      <c r="AJ604" s="35">
        <f ca="1">IFERROR(VLOOKUP(Tabela3[[#This Row],[Produto]],Tabela2[],13,0),0)</f>
        <v>17.600000000000001</v>
      </c>
      <c r="AK604" s="40" t="str">
        <f>IFERROR(VLOOKUP(Tabela3[[#This Row],[Produto]],Tabela2[],14,0),0)</f>
        <v>Protec</v>
      </c>
      <c r="AL604" s="40">
        <f>IFERROR(VLOOKUP(Tabela3[[#This Row],[Produto]],Tabela2[],15,0),0)</f>
        <v>0</v>
      </c>
      <c r="AM604" s="36">
        <f ca="1">(Tabela3[[#This Row],[Custo Usinagem]]+Tabela3[[#This Row],[Custo / Pç]])*1.2</f>
        <v>22.777068175886939</v>
      </c>
      <c r="AN604" s="36">
        <f ca="1">Tabela3[[#This Row],[Valor Mínimo Venda]]*1.15</f>
        <v>26.193628402269976</v>
      </c>
      <c r="AO604" s="36">
        <f ca="1">Tabela3[[#This Row],[Tabela 1]]*1.08</f>
        <v>28.289118674451576</v>
      </c>
      <c r="AP604" s="36">
        <f ca="1">Tabela3[[#This Row],[Tabela 2]]*1.15</f>
        <v>32.532486475619308</v>
      </c>
    </row>
    <row r="605" spans="1:42">
      <c r="A605" s="9">
        <v>45904</v>
      </c>
      <c r="B605" s="6" t="s">
        <v>246</v>
      </c>
      <c r="C605" s="14">
        <v>7798</v>
      </c>
      <c r="D605" s="6" t="s">
        <v>46</v>
      </c>
      <c r="E605" s="6" t="s">
        <v>326</v>
      </c>
      <c r="F605" s="6">
        <v>49</v>
      </c>
      <c r="G605" s="15">
        <v>0.27986111111111112</v>
      </c>
      <c r="H605" s="16">
        <v>0</v>
      </c>
      <c r="I605" s="35">
        <f ca="1">IFERROR(Tabela3[[#This Row],[Custo Total]]/Tabela3[[#This Row],[Aluminio Util]],0)</f>
        <v>23.829557151249237</v>
      </c>
      <c r="J605" s="35">
        <f ca="1">Tabela3[[#This Row],[Custo Total]]/Tabela3[[#This Row],[Realizado]]</f>
        <v>12.701153961615843</v>
      </c>
      <c r="K605" s="37">
        <f>IFERROR(Tabela3[[#This Row],[Qtde Cx Produzida]]/Tabela3[[#This Row],[Tempo]]/24,0)</f>
        <v>7.2952853598014888</v>
      </c>
      <c r="L605" s="37">
        <f>Tabela3[[#This Row],[Qtde Cx Produzida]]*Tabela3[[#This Row],[Qdt Peça Placa]]</f>
        <v>196</v>
      </c>
      <c r="M605" s="37">
        <f>Tabela3[[#This Row],[Previsto]]-Tabela3[[#This Row],[Perda Pçs]]</f>
        <v>196</v>
      </c>
      <c r="N605" s="38">
        <f>IFERROR(Tabela3[[#This Row],[Perda Pçs]]/Tabela3[[#This Row],[Previsto]],0)</f>
        <v>0</v>
      </c>
      <c r="O605" s="39">
        <f>IFERROR(IF(Tabela3[[#This Row],[Qtde Cx Produzida]] &lt;&gt; 0, Tabela3[[#This Row],[Tempo]] / Tabela3[[#This Row],[Qtde Cx Produzida]], 0),0)</f>
        <v>5.711451247165533E-3</v>
      </c>
      <c r="P605" s="57">
        <f>IFERROR(Tabela3[[#This Row],[Perda Pçs]]/Tabela3[[#This Row],[Qdt Peça Placa]],0)</f>
        <v>0</v>
      </c>
      <c r="Q605" s="37">
        <f>IFERROR(Tabela3[[#This Row],[Realizado]]*Tabela3[[#This Row],[Peso Util/Pç]],0)</f>
        <v>104.468</v>
      </c>
      <c r="R605" s="37">
        <f>IFERROR(Tabela3[[#This Row],[Peso Total Galho]]*Tabela3[[#This Row],[Qtde Cx Produzida]]*1.055,0)</f>
        <v>170.59349999999998</v>
      </c>
      <c r="S605" s="37">
        <f>(Tabela3[[#This Row],[Aluminio Bruto]]-Tabela3[[#This Row],[Aluminio Util]])*0.9</f>
        <v>59.512949999999975</v>
      </c>
      <c r="T605" s="37">
        <f>Tabela3[[#This Row],[Aluminio Bruto]]/OleoKGAluminio</f>
        <v>71.768464874723648</v>
      </c>
      <c r="U605" s="35">
        <f>IFERROR((VLOOKUP(Tabela3[[#This Row],[Moldador]],Tabela1[],5,)+(VLOOKUP(Tabela3[[#This Row],[Ajudante]],Tabela1[],5,))*3.5),0)</f>
        <v>99.95034583333333</v>
      </c>
      <c r="V605" s="35">
        <f>IFERROR(Tabela3[[#This Row],[Custo M.O. / H]]/((Tabela3[[#This Row],[Realizado]]/Tabela3[[#This Row],[Qdt Peça Placa]])/Tabela3[[#This Row],[Tempo]]/24),)</f>
        <v>13.700676656746031</v>
      </c>
      <c r="W605" s="35">
        <f>Tabela3[[#This Row],[Custo / Cx Moldada]]*Tabela3[[#This Row],[Qtde Cx Produzida]]</f>
        <v>671.33315618055553</v>
      </c>
      <c r="X605" s="35">
        <f ca="1">Tabela3[[#This Row],[Aluminio Util]]*Tabela3[[#This Row],[Custo/Kg]]</f>
        <v>1629.7008000000003</v>
      </c>
      <c r="Y605" s="35">
        <f>IFERROR(VLOOKUP(Tabela3[[#This Row],[Data]],Tabela461213[],2,1)*(Tabela3[[#This Row],[Qtde Cx Produzida]]*Tabela3[[#This Row],[Qde macho / CX]]*Tabela3[[#This Row],[Peso Macho]]),)</f>
        <v>0</v>
      </c>
      <c r="Z605" s="35">
        <f>IFERROR(Tabela3[[#This Row],[Qtde Oleo]]*(VLOOKUP(Tabela3[[#This Row],[Data]],CompraOleo[],3,TRUE))*1.05,0)</f>
        <v>188.39222029614959</v>
      </c>
      <c r="AA605" s="47">
        <f ca="1">(Tabela3[[#This Row],[Custo Oleo]]+Tabela3[[#This Row],[Custo Aluminio]]+Tabela3[[#This Row],[Custo M.O. Total]]+Tabela3[[#This Row],[Custo Machos]])</f>
        <v>2489.4261764767052</v>
      </c>
      <c r="AB605" s="47">
        <f ca="1">Tabela3[[#This Row],[Custo Total]]*Tabela3[[#This Row],[% Perda]]</f>
        <v>0</v>
      </c>
      <c r="AC605" s="48">
        <f>IFERROR(VLOOKUP(Tabela3[[#This Row],[Produto]],Tabela2[],2,0),0)</f>
        <v>4</v>
      </c>
      <c r="AD605" s="48">
        <f>IFERROR(VLOOKUP(Tabela3[[#This Row],[Produto]],Tabela2[],3,0),0)</f>
        <v>0.53300000000000003</v>
      </c>
      <c r="AE605" s="48">
        <f>IFERROR(VLOOKUP(Tabela3[[#This Row],[Produto]],Tabela2[],4,0),0)</f>
        <v>3.3</v>
      </c>
      <c r="AF605" s="48">
        <f>IFERROR(VLOOKUP(Tabela3[[#This Row],[Produto]],Tabela2[],5,0),0)</f>
        <v>1.0511999999999997</v>
      </c>
      <c r="AG605" s="40">
        <f>IFERROR(VLOOKUP(Tabela3[[#This Row],[Produto]],Tabela2[],6,0),0)</f>
        <v>0</v>
      </c>
      <c r="AH605" s="40">
        <f>IFERROR(VLOOKUP(Tabela3[[#This Row],[Produto]],Tabela2[],7,0),0)</f>
        <v>0</v>
      </c>
      <c r="AI605" s="40">
        <f>IFERROR(VLOOKUP(Tabela3[[#This Row],[Produto]],Tabela2[],8,0),0)</f>
        <v>0</v>
      </c>
      <c r="AJ605" s="35">
        <f ca="1">IFERROR(VLOOKUP(Tabela3[[#This Row],[Produto]],Tabela2[],13,0),0)</f>
        <v>15.600000000000001</v>
      </c>
      <c r="AK605" s="40" t="str">
        <f>IFERROR(VLOOKUP(Tabela3[[#This Row],[Produto]],Tabela2[],14,0),0)</f>
        <v>Senun</v>
      </c>
      <c r="AL605" s="40">
        <f>IFERROR(VLOOKUP(Tabela3[[#This Row],[Produto]],Tabela2[],15,0),0)</f>
        <v>4</v>
      </c>
      <c r="AM605" s="36">
        <f ca="1">(Tabela3[[#This Row],[Custo Usinagem]]+Tabela3[[#This Row],[Custo / Pç]])*1.2</f>
        <v>20.041384753939013</v>
      </c>
      <c r="AN605" s="36">
        <f ca="1">Tabela3[[#This Row],[Valor Mínimo Venda]]*1.15</f>
        <v>23.047592467029862</v>
      </c>
      <c r="AO605" s="36">
        <f ca="1">Tabela3[[#This Row],[Tabela 1]]*1.08</f>
        <v>24.891399864392252</v>
      </c>
      <c r="AP605" s="36">
        <f ca="1">Tabela3[[#This Row],[Tabela 2]]*1.15</f>
        <v>28.625109844051089</v>
      </c>
    </row>
    <row r="606" spans="1:42">
      <c r="A606" s="9">
        <v>45904</v>
      </c>
      <c r="B606" s="6" t="s">
        <v>96</v>
      </c>
      <c r="C606" s="14">
        <v>7779</v>
      </c>
      <c r="D606" s="6" t="s">
        <v>46</v>
      </c>
      <c r="E606" s="6" t="s">
        <v>326</v>
      </c>
      <c r="F606" s="6">
        <v>17</v>
      </c>
      <c r="G606" s="15">
        <v>0.12569444444444444</v>
      </c>
      <c r="H606" s="16">
        <v>0</v>
      </c>
      <c r="I606" s="35">
        <f ca="1">IFERROR(Tabela3[[#This Row],[Custo Total]]/Tabela3[[#This Row],[Aluminio Util]],0)</f>
        <v>32.431865363103</v>
      </c>
      <c r="J606" s="35">
        <f ca="1">Tabela3[[#This Row],[Custo Total]]/Tabela3[[#This Row],[Realizado]]</f>
        <v>28.669768980983054</v>
      </c>
      <c r="K606" s="37">
        <f>IFERROR(Tabela3[[#This Row],[Qtde Cx Produzida]]/Tabela3[[#This Row],[Tempo]]/24,0)</f>
        <v>5.6353591160220988</v>
      </c>
      <c r="L606" s="37">
        <f>Tabela3[[#This Row],[Qtde Cx Produzida]]*Tabela3[[#This Row],[Qdt Peça Placa]]</f>
        <v>51</v>
      </c>
      <c r="M606" s="37">
        <f>Tabela3[[#This Row],[Previsto]]-Tabela3[[#This Row],[Perda Pçs]]</f>
        <v>51</v>
      </c>
      <c r="N606" s="38">
        <f>IFERROR(Tabela3[[#This Row],[Perda Pçs]]/Tabela3[[#This Row],[Previsto]],0)</f>
        <v>0</v>
      </c>
      <c r="O606" s="39">
        <f>IFERROR(IF(Tabela3[[#This Row],[Qtde Cx Produzida]] &lt;&gt; 0, Tabela3[[#This Row],[Tempo]] / Tabela3[[#This Row],[Qtde Cx Produzida]], 0),0)</f>
        <v>7.3937908496732024E-3</v>
      </c>
      <c r="P606" s="57">
        <f>IFERROR(Tabela3[[#This Row],[Perda Pçs]]/Tabela3[[#This Row],[Qdt Peça Placa]],0)</f>
        <v>0</v>
      </c>
      <c r="Q606" s="37">
        <f>IFERROR(Tabela3[[#This Row],[Realizado]]*Tabela3[[#This Row],[Peso Util/Pç]],0)</f>
        <v>45.084000000000003</v>
      </c>
      <c r="R606" s="37">
        <f>IFERROR(Tabela3[[#This Row],[Peso Total Galho]]*Tabela3[[#This Row],[Qtde Cx Produzida]]*1.055,0)</f>
        <v>84.151020000000003</v>
      </c>
      <c r="S606" s="37">
        <f>(Tabela3[[#This Row],[Aluminio Bruto]]-Tabela3[[#This Row],[Aluminio Util]])*0.9</f>
        <v>35.160318000000004</v>
      </c>
      <c r="T606" s="37">
        <f>Tabela3[[#This Row],[Aluminio Bruto]]/OleoKGAluminio</f>
        <v>35.40222530777649</v>
      </c>
      <c r="U606" s="35">
        <f>IFERROR((VLOOKUP(Tabela3[[#This Row],[Moldador]],Tabela1[],5,)+(VLOOKUP(Tabela3[[#This Row],[Ajudante]],Tabela1[],5,))*3.5),0)</f>
        <v>99.95034583333333</v>
      </c>
      <c r="V606" s="35">
        <f>IFERROR(Tabela3[[#This Row],[Custo M.O. / H]]/((Tabela3[[#This Row],[Realizado]]/Tabela3[[#This Row],[Qdt Peça Placa]])/Tabela3[[#This Row],[Tempo]]/24),)</f>
        <v>17.736286858660133</v>
      </c>
      <c r="W606" s="35">
        <f>Tabela3[[#This Row],[Custo / Cx Moldada]]*Tabela3[[#This Row],[Qtde Cx Produzida]]</f>
        <v>301.51687659722228</v>
      </c>
      <c r="X606" s="35">
        <f ca="1">Tabela3[[#This Row],[Aluminio Util]]*Tabela3[[#This Row],[Custo/Kg]]</f>
        <v>703.31040000000007</v>
      </c>
      <c r="Y606" s="35">
        <f>IFERROR(VLOOKUP(Tabela3[[#This Row],[Data]],Tabela461213[],2,1)*(Tabela3[[#This Row],[Qtde Cx Produzida]]*Tabela3[[#This Row],[Qde macho / CX]]*Tabela3[[#This Row],[Peso Macho]]),)</f>
        <v>364.40010000000001</v>
      </c>
      <c r="Z606" s="35">
        <f>IFERROR(Tabela3[[#This Row],[Qtde Oleo]]*(VLOOKUP(Tabela3[[#This Row],[Data]],CompraOleo[],3,TRUE))*1.05,0)</f>
        <v>92.930841432913297</v>
      </c>
      <c r="AA606" s="47">
        <f ca="1">(Tabela3[[#This Row],[Custo Oleo]]+Tabela3[[#This Row],[Custo Aluminio]]+Tabela3[[#This Row],[Custo M.O. Total]]+Tabela3[[#This Row],[Custo Machos]])</f>
        <v>1462.1582180301357</v>
      </c>
      <c r="AB606" s="47">
        <f ca="1">Tabela3[[#This Row],[Custo Total]]*Tabela3[[#This Row],[% Perda]]</f>
        <v>0</v>
      </c>
      <c r="AC606" s="48">
        <f>IFERROR(VLOOKUP(Tabela3[[#This Row],[Produto]],Tabela2[],2,0),0)</f>
        <v>3</v>
      </c>
      <c r="AD606" s="48">
        <f>IFERROR(VLOOKUP(Tabela3[[#This Row],[Produto]],Tabela2[],3,0),0)</f>
        <v>0.88400000000000001</v>
      </c>
      <c r="AE606" s="48">
        <f>IFERROR(VLOOKUP(Tabela3[[#This Row],[Produto]],Tabela2[],4,0),0)</f>
        <v>4.6920000000000002</v>
      </c>
      <c r="AF606" s="48">
        <f>IFERROR(VLOOKUP(Tabela3[[#This Row],[Produto]],Tabela2[],5,0),0)</f>
        <v>1.8360000000000001</v>
      </c>
      <c r="AG606" s="40">
        <f>IFERROR(VLOOKUP(Tabela3[[#This Row],[Produto]],Tabela2[],6,0),0)</f>
        <v>0</v>
      </c>
      <c r="AH606" s="40">
        <f>IFERROR(VLOOKUP(Tabela3[[#This Row],[Produto]],Tabela2[],7,0),0)</f>
        <v>9</v>
      </c>
      <c r="AI606" s="40">
        <f>IFERROR(VLOOKUP(Tabela3[[#This Row],[Produto]],Tabela2[],8,0),0)</f>
        <v>1.401</v>
      </c>
      <c r="AJ606" s="35">
        <f ca="1">IFERROR(VLOOKUP(Tabela3[[#This Row],[Produto]],Tabela2[],13,0),0)</f>
        <v>15.600000000000001</v>
      </c>
      <c r="AK606" s="40" t="str">
        <f>IFERROR(VLOOKUP(Tabela3[[#This Row],[Produto]],Tabela2[],14,0),0)</f>
        <v>Jumil</v>
      </c>
      <c r="AL606" s="40">
        <f>IFERROR(VLOOKUP(Tabela3[[#This Row],[Produto]],Tabela2[],15,0),0)</f>
        <v>10</v>
      </c>
      <c r="AM606" s="36">
        <f ca="1">(Tabela3[[#This Row],[Custo Usinagem]]+Tabela3[[#This Row],[Custo / Pç]])*1.2</f>
        <v>46.403722777179659</v>
      </c>
      <c r="AN606" s="36">
        <f ca="1">Tabela3[[#This Row],[Valor Mínimo Venda]]*1.15</f>
        <v>53.364281193756604</v>
      </c>
      <c r="AO606" s="36">
        <f ca="1">Tabela3[[#This Row],[Tabela 1]]*1.08</f>
        <v>57.633423689257135</v>
      </c>
      <c r="AP606" s="36">
        <f ca="1">Tabela3[[#This Row],[Tabela 2]]*1.15</f>
        <v>66.278437242645694</v>
      </c>
    </row>
    <row r="607" spans="1:42">
      <c r="A607" s="9">
        <v>45904</v>
      </c>
      <c r="B607" s="6" t="s">
        <v>165</v>
      </c>
      <c r="C607" s="14">
        <v>7921</v>
      </c>
      <c r="D607" s="6" t="s">
        <v>44</v>
      </c>
      <c r="E607" s="6" t="s">
        <v>47</v>
      </c>
      <c r="F607" s="6">
        <v>1</v>
      </c>
      <c r="G607" s="15">
        <v>2.361111111111111E-2</v>
      </c>
      <c r="H607" s="16">
        <v>0</v>
      </c>
      <c r="I607" s="35">
        <f ca="1">IFERROR(Tabela3[[#This Row],[Custo Total]]/Tabela3[[#This Row],[Aluminio Util]],0)</f>
        <v>28.676944395669786</v>
      </c>
      <c r="J607" s="35">
        <f ca="1">Tabela3[[#This Row],[Custo Total]]/Tabela3[[#This Row],[Realizado]]</f>
        <v>166.89981638279815</v>
      </c>
      <c r="K607" s="37">
        <f>IFERROR(Tabela3[[#This Row],[Qtde Cx Produzida]]/Tabela3[[#This Row],[Tempo]]/24,0)</f>
        <v>1.7647058823529411</v>
      </c>
      <c r="L607" s="37">
        <f>Tabela3[[#This Row],[Qtde Cx Produzida]]*Tabela3[[#This Row],[Qdt Peça Placa]]</f>
        <v>1</v>
      </c>
      <c r="M607" s="37">
        <f>Tabela3[[#This Row],[Previsto]]-Tabela3[[#This Row],[Perda Pçs]]</f>
        <v>1</v>
      </c>
      <c r="N607" s="38">
        <f>IFERROR(Tabela3[[#This Row],[Perda Pçs]]/Tabela3[[#This Row],[Previsto]],0)</f>
        <v>0</v>
      </c>
      <c r="O607" s="39">
        <f>IFERROR(IF(Tabela3[[#This Row],[Qtde Cx Produzida]] &lt;&gt; 0, Tabela3[[#This Row],[Tempo]] / Tabela3[[#This Row],[Qtde Cx Produzida]], 0),0)</f>
        <v>2.361111111111111E-2</v>
      </c>
      <c r="P607" s="57">
        <f>IFERROR(Tabela3[[#This Row],[Perda Pçs]]/Tabela3[[#This Row],[Qdt Peça Placa]],0)</f>
        <v>0</v>
      </c>
      <c r="Q607" s="37">
        <f>IFERROR(Tabela3[[#This Row],[Realizado]]*Tabela3[[#This Row],[Peso Util/Pç]],0)</f>
        <v>5.82</v>
      </c>
      <c r="R607" s="37">
        <f>IFERROR(Tabela3[[#This Row],[Peso Total Galho]]*Tabela3[[#This Row],[Qtde Cx Produzida]]*1.055,0)</f>
        <v>7.089599999999999</v>
      </c>
      <c r="S607" s="37">
        <f>(Tabela3[[#This Row],[Aluminio Bruto]]-Tabela3[[#This Row],[Aluminio Util]])*0.9</f>
        <v>1.142639999999999</v>
      </c>
      <c r="T607" s="37">
        <f>Tabela3[[#This Row],[Aluminio Bruto]]/OleoKGAluminio</f>
        <v>2.9825855532352685</v>
      </c>
      <c r="U607" s="35">
        <f>IFERROR((VLOOKUP(Tabela3[[#This Row],[Moldador]],Tabela1[],5,)+(VLOOKUP(Tabela3[[#This Row],[Ajudante]],Tabela1[],5,))*3.5),0)</f>
        <v>99.95034583333333</v>
      </c>
      <c r="V607" s="35">
        <f>IFERROR(Tabela3[[#This Row],[Custo M.O. / H]]/((Tabela3[[#This Row],[Realizado]]/Tabela3[[#This Row],[Qdt Peça Placa]])/Tabela3[[#This Row],[Tempo]]/24),)</f>
        <v>56.638529305555558</v>
      </c>
      <c r="W607" s="35">
        <f>Tabela3[[#This Row],[Custo / Cx Moldada]]*Tabela3[[#This Row],[Qtde Cx Produzida]]</f>
        <v>56.638529305555558</v>
      </c>
      <c r="X607" s="35">
        <f ca="1">Tabela3[[#This Row],[Aluminio Util]]*Tabela3[[#This Row],[Custo/Kg]]</f>
        <v>102.43200000000002</v>
      </c>
      <c r="Y607" s="35">
        <f>IFERROR(VLOOKUP(Tabela3[[#This Row],[Data]],Tabela461213[],2,1)*(Tabela3[[#This Row],[Qtde Cx Produzida]]*Tabela3[[#This Row],[Qde macho / CX]]*Tabela3[[#This Row],[Peso Macho]]),)</f>
        <v>0</v>
      </c>
      <c r="Z607" s="35">
        <f>IFERROR(Tabela3[[#This Row],[Qtde Oleo]]*(VLOOKUP(Tabela3[[#This Row],[Data]],CompraOleo[],3,TRUE))*1.05,0)</f>
        <v>7.8292870772425793</v>
      </c>
      <c r="AA607" s="47">
        <f ca="1">(Tabela3[[#This Row],[Custo Oleo]]+Tabela3[[#This Row],[Custo Aluminio]]+Tabela3[[#This Row],[Custo M.O. Total]]+Tabela3[[#This Row],[Custo Machos]])</f>
        <v>166.89981638279815</v>
      </c>
      <c r="AB607" s="47">
        <f ca="1">Tabela3[[#This Row],[Custo Total]]*Tabela3[[#This Row],[% Perda]]</f>
        <v>0</v>
      </c>
      <c r="AC607" s="48">
        <f>IFERROR(VLOOKUP(Tabela3[[#This Row],[Produto]],Tabela2[],2,0),0)</f>
        <v>1</v>
      </c>
      <c r="AD607" s="48">
        <f>IFERROR(VLOOKUP(Tabela3[[#This Row],[Produto]],Tabela2[],3,0),0)</f>
        <v>5.82</v>
      </c>
      <c r="AE607" s="48">
        <f>IFERROR(VLOOKUP(Tabela3[[#This Row],[Produto]],Tabela2[],4,0),0)</f>
        <v>6.72</v>
      </c>
      <c r="AF607" s="48">
        <f>IFERROR(VLOOKUP(Tabela3[[#This Row],[Produto]],Tabela2[],5,0),0)</f>
        <v>0.8099999999999995</v>
      </c>
      <c r="AG607" s="40">
        <f>IFERROR(VLOOKUP(Tabela3[[#This Row],[Produto]],Tabela2[],6,0),0)</f>
        <v>0</v>
      </c>
      <c r="AH607" s="40">
        <f>IFERROR(VLOOKUP(Tabela3[[#This Row],[Produto]],Tabela2[],7,0),0)</f>
        <v>0</v>
      </c>
      <c r="AI607" s="40">
        <f>IFERROR(VLOOKUP(Tabela3[[#This Row],[Produto]],Tabela2[],8,0),0)</f>
        <v>0</v>
      </c>
      <c r="AJ607" s="35">
        <f ca="1">IFERROR(VLOOKUP(Tabela3[[#This Row],[Produto]],Tabela2[],13,0),0)</f>
        <v>17.600000000000001</v>
      </c>
      <c r="AK607" s="40" t="str">
        <f>IFERROR(VLOOKUP(Tabela3[[#This Row],[Produto]],Tabela2[],14,0),0)</f>
        <v>Oscar</v>
      </c>
      <c r="AL607" s="40">
        <f>IFERROR(VLOOKUP(Tabela3[[#This Row],[Produto]],Tabela2[],15,0),0)</f>
        <v>0</v>
      </c>
      <c r="AM607" s="36">
        <f ca="1">(Tabela3[[#This Row],[Custo Usinagem]]+Tabela3[[#This Row],[Custo / Pç]])*1.2</f>
        <v>200.27977965935779</v>
      </c>
      <c r="AN607" s="36">
        <f ca="1">Tabela3[[#This Row],[Valor Mínimo Venda]]*1.15</f>
        <v>230.32174660826144</v>
      </c>
      <c r="AO607" s="36">
        <f ca="1">Tabela3[[#This Row],[Tabela 1]]*1.08</f>
        <v>248.74748633692238</v>
      </c>
      <c r="AP607" s="36">
        <f ca="1">Tabela3[[#This Row],[Tabela 2]]*1.15</f>
        <v>286.05960928746072</v>
      </c>
    </row>
    <row r="608" spans="1:42">
      <c r="A608" s="9">
        <v>45904</v>
      </c>
      <c r="B608" s="6" t="s">
        <v>254</v>
      </c>
      <c r="C608" s="14">
        <v>7887</v>
      </c>
      <c r="D608" s="6" t="s">
        <v>44</v>
      </c>
      <c r="E608" s="6" t="s">
        <v>47</v>
      </c>
      <c r="F608" s="6">
        <v>20</v>
      </c>
      <c r="G608" s="15">
        <v>9.166666666666666E-2</v>
      </c>
      <c r="H608" s="16">
        <v>0</v>
      </c>
      <c r="I608" s="35">
        <f ca="1">IFERROR(Tabela3[[#This Row],[Custo Total]]/Tabela3[[#This Row],[Aluminio Util]],0)</f>
        <v>31.869646230618201</v>
      </c>
      <c r="J608" s="35">
        <f ca="1">Tabela3[[#This Row],[Custo Total]]/Tabela3[[#This Row],[Realizado]]</f>
        <v>29.288204885938132</v>
      </c>
      <c r="K608" s="37">
        <f>IFERROR(Tabela3[[#This Row],[Qtde Cx Produzida]]/Tabela3[[#This Row],[Tempo]]/24,0)</f>
        <v>9.0909090909090917</v>
      </c>
      <c r="L608" s="37">
        <f>Tabela3[[#This Row],[Qtde Cx Produzida]]*Tabela3[[#This Row],[Qdt Peça Placa]]</f>
        <v>20</v>
      </c>
      <c r="M608" s="37">
        <f>Tabela3[[#This Row],[Previsto]]-Tabela3[[#This Row],[Perda Pçs]]</f>
        <v>20</v>
      </c>
      <c r="N608" s="38">
        <f>IFERROR(Tabela3[[#This Row],[Perda Pçs]]/Tabela3[[#This Row],[Previsto]],0)</f>
        <v>0</v>
      </c>
      <c r="O608" s="39">
        <f>IFERROR(IF(Tabela3[[#This Row],[Qtde Cx Produzida]] &lt;&gt; 0, Tabela3[[#This Row],[Tempo]] / Tabela3[[#This Row],[Qtde Cx Produzida]], 0),0)</f>
        <v>4.5833333333333334E-3</v>
      </c>
      <c r="P608" s="57">
        <f>IFERROR(Tabela3[[#This Row],[Perda Pçs]]/Tabela3[[#This Row],[Qdt Peça Placa]],0)</f>
        <v>0</v>
      </c>
      <c r="Q608" s="37">
        <f>IFERROR(Tabela3[[#This Row],[Realizado]]*Tabela3[[#This Row],[Peso Util/Pç]],0)</f>
        <v>18.380000000000003</v>
      </c>
      <c r="R608" s="37">
        <f>IFERROR(Tabela3[[#This Row],[Peso Total Galho]]*Tabela3[[#This Row],[Qtde Cx Produzida]]*1.055,0)</f>
        <v>38.38089999999999</v>
      </c>
      <c r="S608" s="37">
        <f>(Tabela3[[#This Row],[Aluminio Bruto]]-Tabela3[[#This Row],[Aluminio Util]])*0.9</f>
        <v>18.000809999999991</v>
      </c>
      <c r="T608" s="37">
        <f>Tabela3[[#This Row],[Aluminio Bruto]]/OleoKGAluminio</f>
        <v>16.146795003973072</v>
      </c>
      <c r="U608" s="35">
        <f>IFERROR((VLOOKUP(Tabela3[[#This Row],[Moldador]],Tabela1[],5,)+(VLOOKUP(Tabela3[[#This Row],[Ajudante]],Tabela1[],5,))*3.5),0)</f>
        <v>99.95034583333333</v>
      </c>
      <c r="V608" s="35">
        <f>IFERROR(Tabela3[[#This Row],[Custo M.O. / H]]/((Tabela3[[#This Row],[Realizado]]/Tabela3[[#This Row],[Qdt Peça Placa]])/Tabela3[[#This Row],[Tempo]]/24),)</f>
        <v>10.994538041666665</v>
      </c>
      <c r="W608" s="35">
        <f>Tabela3[[#This Row],[Custo / Cx Moldada]]*Tabela3[[#This Row],[Qtde Cx Produzida]]</f>
        <v>219.8907608333333</v>
      </c>
      <c r="X608" s="35">
        <f ca="1">Tabela3[[#This Row],[Aluminio Util]]*Tabela3[[#This Row],[Custo/Kg]]</f>
        <v>323.48800000000006</v>
      </c>
      <c r="Y608" s="35">
        <f>IFERROR(VLOOKUP(Tabela3[[#This Row],[Data]],Tabela461213[],2,1)*(Tabela3[[#This Row],[Qtde Cx Produzida]]*Tabela3[[#This Row],[Qde macho / CX]]*Tabela3[[#This Row],[Peso Macho]]),)</f>
        <v>0</v>
      </c>
      <c r="Z608" s="35">
        <f>IFERROR(Tabela3[[#This Row],[Qtde Oleo]]*(VLOOKUP(Tabela3[[#This Row],[Data]],CompraOleo[],3,TRUE))*1.05,0)</f>
        <v>42.385336885429311</v>
      </c>
      <c r="AA608" s="47">
        <f ca="1">(Tabela3[[#This Row],[Custo Oleo]]+Tabela3[[#This Row],[Custo Aluminio]]+Tabela3[[#This Row],[Custo M.O. Total]]+Tabela3[[#This Row],[Custo Machos]])</f>
        <v>585.76409771876263</v>
      </c>
      <c r="AB608" s="47">
        <f ca="1">Tabela3[[#This Row],[Custo Total]]*Tabela3[[#This Row],[% Perda]]</f>
        <v>0</v>
      </c>
      <c r="AC608" s="48">
        <f>IFERROR(VLOOKUP(Tabela3[[#This Row],[Produto]],Tabela2[],2,0),0)</f>
        <v>1</v>
      </c>
      <c r="AD608" s="48">
        <f>IFERROR(VLOOKUP(Tabela3[[#This Row],[Produto]],Tabela2[],3,0),0)</f>
        <v>0.91900000000000004</v>
      </c>
      <c r="AE608" s="48">
        <f>IFERROR(VLOOKUP(Tabela3[[#This Row],[Produto]],Tabela2[],4,0),0)</f>
        <v>1.819</v>
      </c>
      <c r="AF608" s="48">
        <f>IFERROR(VLOOKUP(Tabela3[[#This Row],[Produto]],Tabela2[],5,0),0)</f>
        <v>0.80999999999999994</v>
      </c>
      <c r="AG608" s="40">
        <f>IFERROR(VLOOKUP(Tabela3[[#This Row],[Produto]],Tabela2[],6,0),0)</f>
        <v>0</v>
      </c>
      <c r="AH608" s="40">
        <f>IFERROR(VLOOKUP(Tabela3[[#This Row],[Produto]],Tabela2[],7,0),0)</f>
        <v>0</v>
      </c>
      <c r="AI608" s="40">
        <f>IFERROR(VLOOKUP(Tabela3[[#This Row],[Produto]],Tabela2[],8,0),0)</f>
        <v>0</v>
      </c>
      <c r="AJ608" s="35">
        <f ca="1">IFERROR(VLOOKUP(Tabela3[[#This Row],[Produto]],Tabela2[],13,0),0)</f>
        <v>17.600000000000001</v>
      </c>
      <c r="AK608" s="40" t="str">
        <f>IFERROR(VLOOKUP(Tabela3[[#This Row],[Produto]],Tabela2[],14,0),0)</f>
        <v>Protec</v>
      </c>
      <c r="AL608" s="40">
        <f>IFERROR(VLOOKUP(Tabela3[[#This Row],[Produto]],Tabela2[],15,0),0)</f>
        <v>0</v>
      </c>
      <c r="AM608" s="36">
        <f ca="1">(Tabela3[[#This Row],[Custo Usinagem]]+Tabela3[[#This Row],[Custo / Pç]])*1.2</f>
        <v>35.145845863125757</v>
      </c>
      <c r="AN608" s="36">
        <f ca="1">Tabela3[[#This Row],[Valor Mínimo Venda]]*1.15</f>
        <v>40.41772274259462</v>
      </c>
      <c r="AO608" s="36">
        <f ca="1">Tabela3[[#This Row],[Tabela 1]]*1.08</f>
        <v>43.65114056200219</v>
      </c>
      <c r="AP608" s="36">
        <f ca="1">Tabela3[[#This Row],[Tabela 2]]*1.15</f>
        <v>50.198811646302516</v>
      </c>
    </row>
    <row r="609" spans="1:42">
      <c r="A609" s="9">
        <v>45904</v>
      </c>
      <c r="B609" s="6" t="s">
        <v>253</v>
      </c>
      <c r="C609" s="14">
        <v>7886</v>
      </c>
      <c r="D609" s="6" t="s">
        <v>44</v>
      </c>
      <c r="E609" s="6" t="s">
        <v>47</v>
      </c>
      <c r="F609" s="6">
        <v>20</v>
      </c>
      <c r="G609" s="15">
        <v>0.10069444444444445</v>
      </c>
      <c r="H609" s="16">
        <v>0</v>
      </c>
      <c r="I609" s="35">
        <f ca="1">IFERROR(Tabela3[[#This Row],[Custo Total]]/Tabela3[[#This Row],[Aluminio Util]],0)</f>
        <v>31.399079516235659</v>
      </c>
      <c r="J609" s="35">
        <f ca="1">Tabela3[[#This Row],[Custo Total]]/Tabela3[[#This Row],[Realizado]]</f>
        <v>32.969033492047444</v>
      </c>
      <c r="K609" s="37">
        <f>IFERROR(Tabela3[[#This Row],[Qtde Cx Produzida]]/Tabela3[[#This Row],[Tempo]]/24,0)</f>
        <v>8.2758620689655178</v>
      </c>
      <c r="L609" s="37">
        <f>Tabela3[[#This Row],[Qtde Cx Produzida]]*Tabela3[[#This Row],[Qdt Peça Placa]]</f>
        <v>20</v>
      </c>
      <c r="M609" s="37">
        <f>Tabela3[[#This Row],[Previsto]]-Tabela3[[#This Row],[Perda Pçs]]</f>
        <v>20</v>
      </c>
      <c r="N609" s="38">
        <f>IFERROR(Tabela3[[#This Row],[Perda Pçs]]/Tabela3[[#This Row],[Previsto]],0)</f>
        <v>0</v>
      </c>
      <c r="O609" s="39">
        <f>IFERROR(IF(Tabela3[[#This Row],[Qtde Cx Produzida]] &lt;&gt; 0, Tabela3[[#This Row],[Tempo]] / Tabela3[[#This Row],[Qtde Cx Produzida]], 0),0)</f>
        <v>5.0347222222222225E-3</v>
      </c>
      <c r="P609" s="57">
        <f>IFERROR(Tabela3[[#This Row],[Perda Pçs]]/Tabela3[[#This Row],[Qdt Peça Placa]],0)</f>
        <v>0</v>
      </c>
      <c r="Q609" s="37">
        <f>IFERROR(Tabela3[[#This Row],[Realizado]]*Tabela3[[#This Row],[Peso Util/Pç]],0)</f>
        <v>21</v>
      </c>
      <c r="R609" s="37">
        <f>IFERROR(Tabela3[[#This Row],[Peso Total Galho]]*Tabela3[[#This Row],[Qtde Cx Produzida]]*1.055,0)</f>
        <v>43.676999999999992</v>
      </c>
      <c r="S609" s="37">
        <f>(Tabela3[[#This Row],[Aluminio Bruto]]-Tabela3[[#This Row],[Aluminio Util]])*0.9</f>
        <v>20.409299999999995</v>
      </c>
      <c r="T609" s="37">
        <f>Tabela3[[#This Row],[Aluminio Bruto]]/OleoKGAluminio</f>
        <v>18.374857426181563</v>
      </c>
      <c r="U609" s="35">
        <f>IFERROR((VLOOKUP(Tabela3[[#This Row],[Moldador]],Tabela1[],5,)+(VLOOKUP(Tabela3[[#This Row],[Ajudante]],Tabela1[],5,))*3.5),0)</f>
        <v>99.95034583333333</v>
      </c>
      <c r="V609" s="35">
        <f>IFERROR(Tabela3[[#This Row],[Custo M.O. / H]]/((Tabela3[[#This Row],[Realizado]]/Tabela3[[#This Row],[Qdt Peça Placa]])/Tabela3[[#This Row],[Tempo]]/24),)</f>
        <v>12.07733345486111</v>
      </c>
      <c r="W609" s="35">
        <f>Tabela3[[#This Row],[Custo / Cx Moldada]]*Tabela3[[#This Row],[Qtde Cx Produzida]]</f>
        <v>241.54666909722221</v>
      </c>
      <c r="X609" s="35">
        <f ca="1">Tabela3[[#This Row],[Aluminio Util]]*Tabela3[[#This Row],[Custo/Kg]]</f>
        <v>369.6</v>
      </c>
      <c r="Y609" s="35">
        <f>IFERROR(VLOOKUP(Tabela3[[#This Row],[Data]],Tabela461213[],2,1)*(Tabela3[[#This Row],[Qtde Cx Produzida]]*Tabela3[[#This Row],[Qde macho / CX]]*Tabela3[[#This Row],[Peso Macho]]),)</f>
        <v>0</v>
      </c>
      <c r="Z609" s="35">
        <f>IFERROR(Tabela3[[#This Row],[Qtde Oleo]]*(VLOOKUP(Tabela3[[#This Row],[Data]],CompraOleo[],3,TRUE))*1.05,0)</f>
        <v>48.234000743726604</v>
      </c>
      <c r="AA609" s="47">
        <f ca="1">(Tabela3[[#This Row],[Custo Oleo]]+Tabela3[[#This Row],[Custo Aluminio]]+Tabela3[[#This Row],[Custo M.O. Total]]+Tabela3[[#This Row],[Custo Machos]])</f>
        <v>659.38066984094883</v>
      </c>
      <c r="AB609" s="47">
        <f ca="1">Tabela3[[#This Row],[Custo Total]]*Tabela3[[#This Row],[% Perda]]</f>
        <v>0</v>
      </c>
      <c r="AC609" s="48">
        <f>IFERROR(VLOOKUP(Tabela3[[#This Row],[Produto]],Tabela2[],2,0),0)</f>
        <v>1</v>
      </c>
      <c r="AD609" s="48">
        <f>IFERROR(VLOOKUP(Tabela3[[#This Row],[Produto]],Tabela2[],3,0),0)</f>
        <v>1.05</v>
      </c>
      <c r="AE609" s="48">
        <f>IFERROR(VLOOKUP(Tabela3[[#This Row],[Produto]],Tabela2[],4,0),0)</f>
        <v>2.0699999999999998</v>
      </c>
      <c r="AF609" s="48">
        <f>IFERROR(VLOOKUP(Tabela3[[#This Row],[Produto]],Tabela2[],5,0),0)</f>
        <v>0.91799999999999982</v>
      </c>
      <c r="AG609" s="40">
        <f>IFERROR(VLOOKUP(Tabela3[[#This Row],[Produto]],Tabela2[],6,0),0)</f>
        <v>0</v>
      </c>
      <c r="AH609" s="40">
        <f>IFERROR(VLOOKUP(Tabela3[[#This Row],[Produto]],Tabela2[],7,0),0)</f>
        <v>0</v>
      </c>
      <c r="AI609" s="40">
        <f>IFERROR(VLOOKUP(Tabela3[[#This Row],[Produto]],Tabela2[],8,0),0)</f>
        <v>0</v>
      </c>
      <c r="AJ609" s="35">
        <f ca="1">IFERROR(VLOOKUP(Tabela3[[#This Row],[Produto]],Tabela2[],13,0),0)</f>
        <v>17.600000000000001</v>
      </c>
      <c r="AK609" s="40" t="str">
        <f>IFERROR(VLOOKUP(Tabela3[[#This Row],[Produto]],Tabela2[],14,0),0)</f>
        <v>Protec</v>
      </c>
      <c r="AL609" s="40">
        <f>IFERROR(VLOOKUP(Tabela3[[#This Row],[Produto]],Tabela2[],15,0),0)</f>
        <v>0</v>
      </c>
      <c r="AM609" s="36">
        <f ca="1">(Tabela3[[#This Row],[Custo Usinagem]]+Tabela3[[#This Row],[Custo / Pç]])*1.2</f>
        <v>39.562840190456932</v>
      </c>
      <c r="AN609" s="36">
        <f ca="1">Tabela3[[#This Row],[Valor Mínimo Venda]]*1.15</f>
        <v>45.49726621902547</v>
      </c>
      <c r="AO609" s="36">
        <f ca="1">Tabela3[[#This Row],[Tabela 1]]*1.08</f>
        <v>49.137047516547511</v>
      </c>
      <c r="AP609" s="36">
        <f ca="1">Tabela3[[#This Row],[Tabela 2]]*1.15</f>
        <v>56.507604644029634</v>
      </c>
    </row>
    <row r="610" spans="1:42">
      <c r="A610" s="9">
        <v>45904</v>
      </c>
      <c r="B610" s="6" t="s">
        <v>241</v>
      </c>
      <c r="C610" s="14">
        <v>7784</v>
      </c>
      <c r="D610" s="6" t="s">
        <v>44</v>
      </c>
      <c r="E610" s="6" t="s">
        <v>47</v>
      </c>
      <c r="F610" s="6">
        <v>5</v>
      </c>
      <c r="G610" s="15">
        <v>2.9166666666666667E-2</v>
      </c>
      <c r="H610" s="16">
        <v>0</v>
      </c>
      <c r="I610" s="35">
        <f ca="1">IFERROR(Tabela3[[#This Row],[Custo Total]]/Tabela3[[#This Row],[Aluminio Util]],0)</f>
        <v>23.373700535156264</v>
      </c>
      <c r="J610" s="35">
        <f ca="1">Tabela3[[#This Row],[Custo Total]]/Tabela3[[#This Row],[Realizado]]</f>
        <v>14.328078428050791</v>
      </c>
      <c r="K610" s="37">
        <f>IFERROR(Tabela3[[#This Row],[Qtde Cx Produzida]]/Tabela3[[#This Row],[Tempo]]/24,0)</f>
        <v>7.1428571428571423</v>
      </c>
      <c r="L610" s="37">
        <f>Tabela3[[#This Row],[Qtde Cx Produzida]]*Tabela3[[#This Row],[Qdt Peça Placa]]</f>
        <v>20</v>
      </c>
      <c r="M610" s="37">
        <f>Tabela3[[#This Row],[Previsto]]-Tabela3[[#This Row],[Perda Pçs]]</f>
        <v>20</v>
      </c>
      <c r="N610" s="38">
        <f>IFERROR(Tabela3[[#This Row],[Perda Pçs]]/Tabela3[[#This Row],[Previsto]],0)</f>
        <v>0</v>
      </c>
      <c r="O610" s="39">
        <f>IFERROR(IF(Tabela3[[#This Row],[Qtde Cx Produzida]] &lt;&gt; 0, Tabela3[[#This Row],[Tempo]] / Tabela3[[#This Row],[Qtde Cx Produzida]], 0),0)</f>
        <v>5.8333333333333336E-3</v>
      </c>
      <c r="P610" s="57">
        <f>IFERROR(Tabela3[[#This Row],[Perda Pçs]]/Tabela3[[#This Row],[Qdt Peça Placa]],0)</f>
        <v>0</v>
      </c>
      <c r="Q610" s="37">
        <f>IFERROR(Tabela3[[#This Row],[Realizado]]*Tabela3[[#This Row],[Peso Util/Pç]],0)</f>
        <v>12.26</v>
      </c>
      <c r="R610" s="37">
        <f>IFERROR(Tabela3[[#This Row],[Peso Total Galho]]*Tabela3[[#This Row],[Qtde Cx Produzida]]*1.055,0)</f>
        <v>22.946249999999999</v>
      </c>
      <c r="S610" s="37">
        <f>(Tabela3[[#This Row],[Aluminio Bruto]]-Tabela3[[#This Row],[Aluminio Util]])*0.9</f>
        <v>9.6176250000000003</v>
      </c>
      <c r="T610" s="37">
        <f>Tabela3[[#This Row],[Aluminio Bruto]]/OleoKGAluminio</f>
        <v>9.6534577057837936</v>
      </c>
      <c r="U610" s="35">
        <f>IFERROR((VLOOKUP(Tabela3[[#This Row],[Moldador]],Tabela1[],5,)+(VLOOKUP(Tabela3[[#This Row],[Ajudante]],Tabela1[],5,))*3.5),0)</f>
        <v>99.95034583333333</v>
      </c>
      <c r="V610" s="35">
        <f>IFERROR(Tabela3[[#This Row],[Custo M.O. / H]]/((Tabela3[[#This Row],[Realizado]]/Tabela3[[#This Row],[Qdt Peça Placa]])/Tabela3[[#This Row],[Tempo]]/24),)</f>
        <v>13.993048416666667</v>
      </c>
      <c r="W610" s="35">
        <f>Tabela3[[#This Row],[Custo / Cx Moldada]]*Tabela3[[#This Row],[Qtde Cx Produzida]]</f>
        <v>69.965242083333337</v>
      </c>
      <c r="X610" s="35">
        <f ca="1">Tabela3[[#This Row],[Aluminio Util]]*Tabela3[[#This Row],[Custo/Kg]]</f>
        <v>191.256</v>
      </c>
      <c r="Y610" s="35">
        <f>IFERROR(VLOOKUP(Tabela3[[#This Row],[Data]],Tabela461213[],2,1)*(Tabela3[[#This Row],[Qtde Cx Produzida]]*Tabela3[[#This Row],[Qde macho / CX]]*Tabela3[[#This Row],[Peso Macho]]),)</f>
        <v>0</v>
      </c>
      <c r="Z610" s="35">
        <f>IFERROR(Tabela3[[#This Row],[Qtde Oleo]]*(VLOOKUP(Tabela3[[#This Row],[Data]],CompraOleo[],3,TRUE))*1.05,0)</f>
        <v>25.34032647768246</v>
      </c>
      <c r="AA610" s="47">
        <f ca="1">(Tabela3[[#This Row],[Custo Oleo]]+Tabela3[[#This Row],[Custo Aluminio]]+Tabela3[[#This Row],[Custo M.O. Total]]+Tabela3[[#This Row],[Custo Machos]])</f>
        <v>286.5615685610158</v>
      </c>
      <c r="AB610" s="47">
        <f ca="1">Tabela3[[#This Row],[Custo Total]]*Tabela3[[#This Row],[% Perda]]</f>
        <v>0</v>
      </c>
      <c r="AC610" s="48">
        <f>IFERROR(VLOOKUP(Tabela3[[#This Row],[Produto]],Tabela2[],2,0),0)</f>
        <v>4</v>
      </c>
      <c r="AD610" s="48">
        <f>IFERROR(VLOOKUP(Tabela3[[#This Row],[Produto]],Tabela2[],3,0),0)</f>
        <v>0.61299999999999999</v>
      </c>
      <c r="AE610" s="48">
        <f>IFERROR(VLOOKUP(Tabela3[[#This Row],[Produto]],Tabela2[],4,0),0)</f>
        <v>4.3499999999999996</v>
      </c>
      <c r="AF610" s="48">
        <f>IFERROR(VLOOKUP(Tabela3[[#This Row],[Produto]],Tabela2[],5,0),0)</f>
        <v>1.7081999999999997</v>
      </c>
      <c r="AG610" s="40">
        <f>IFERROR(VLOOKUP(Tabela3[[#This Row],[Produto]],Tabela2[],6,0),0)</f>
        <v>0</v>
      </c>
      <c r="AH610" s="40">
        <f>IFERROR(VLOOKUP(Tabela3[[#This Row],[Produto]],Tabela2[],7,0),0)</f>
        <v>0</v>
      </c>
      <c r="AI610" s="40">
        <f>IFERROR(VLOOKUP(Tabela3[[#This Row],[Produto]],Tabela2[],8,0),0)</f>
        <v>0</v>
      </c>
      <c r="AJ610" s="35">
        <f ca="1">IFERROR(VLOOKUP(Tabela3[[#This Row],[Produto]],Tabela2[],13,0),0)</f>
        <v>15.600000000000001</v>
      </c>
      <c r="AK610" s="40" t="str">
        <f>IFERROR(VLOOKUP(Tabela3[[#This Row],[Produto]],Tabela2[],14,0),0)</f>
        <v>Senun</v>
      </c>
      <c r="AL610" s="40">
        <f>IFERROR(VLOOKUP(Tabela3[[#This Row],[Produto]],Tabela2[],15,0),0)</f>
        <v>4</v>
      </c>
      <c r="AM610" s="36">
        <f ca="1">(Tabela3[[#This Row],[Custo Usinagem]]+Tabela3[[#This Row],[Custo / Pç]])*1.2</f>
        <v>21.993694113660947</v>
      </c>
      <c r="AN610" s="36">
        <f ca="1">Tabela3[[#This Row],[Valor Mínimo Venda]]*1.15</f>
        <v>25.292748230710089</v>
      </c>
      <c r="AO610" s="36">
        <f ca="1">Tabela3[[#This Row],[Tabela 1]]*1.08</f>
        <v>27.316168089166897</v>
      </c>
      <c r="AP610" s="36">
        <f ca="1">Tabela3[[#This Row],[Tabela 2]]*1.15</f>
        <v>31.41359330254193</v>
      </c>
    </row>
    <row r="611" spans="1:42">
      <c r="A611" s="9">
        <v>45905</v>
      </c>
      <c r="B611" s="6" t="s">
        <v>96</v>
      </c>
      <c r="C611" s="14">
        <v>7779</v>
      </c>
      <c r="D611" s="6" t="s">
        <v>46</v>
      </c>
      <c r="E611" s="6" t="s">
        <v>44</v>
      </c>
      <c r="F611" s="6">
        <v>23</v>
      </c>
      <c r="G611" s="15">
        <v>0.12916666666666668</v>
      </c>
      <c r="H611" s="16">
        <v>0</v>
      </c>
      <c r="I611" s="35">
        <f ca="1">IFERROR(Tabela3[[#This Row],[Custo Total]]/Tabela3[[#This Row],[Aluminio Util]],0)</f>
        <v>32.152475767897037</v>
      </c>
      <c r="J611" s="35">
        <f ca="1">Tabela3[[#This Row],[Custo Total]]/Tabela3[[#This Row],[Realizado]]</f>
        <v>28.422788578820981</v>
      </c>
      <c r="K611" s="37">
        <f>IFERROR(Tabela3[[#This Row],[Qtde Cx Produzida]]/Tabela3[[#This Row],[Tempo]]/24,0)</f>
        <v>7.4193548387096762</v>
      </c>
      <c r="L611" s="37">
        <f>Tabela3[[#This Row],[Qtde Cx Produzida]]*Tabela3[[#This Row],[Qdt Peça Placa]]</f>
        <v>69</v>
      </c>
      <c r="M611" s="37">
        <f>Tabela3[[#This Row],[Previsto]]-Tabela3[[#This Row],[Perda Pçs]]</f>
        <v>69</v>
      </c>
      <c r="N611" s="38">
        <f>IFERROR(Tabela3[[#This Row],[Perda Pçs]]/Tabela3[[#This Row],[Previsto]],0)</f>
        <v>0</v>
      </c>
      <c r="O611" s="39">
        <f>IFERROR(IF(Tabela3[[#This Row],[Qtde Cx Produzida]] &lt;&gt; 0, Tabela3[[#This Row],[Tempo]] / Tabela3[[#This Row],[Qtde Cx Produzida]], 0),0)</f>
        <v>5.6159420289855081E-3</v>
      </c>
      <c r="P611" s="57">
        <f>IFERROR(Tabela3[[#This Row],[Perda Pçs]]/Tabela3[[#This Row],[Qdt Peça Placa]],0)</f>
        <v>0</v>
      </c>
      <c r="Q611" s="37">
        <f>IFERROR(Tabela3[[#This Row],[Realizado]]*Tabela3[[#This Row],[Peso Util/Pç]],0)</f>
        <v>60.996000000000002</v>
      </c>
      <c r="R611" s="37">
        <f>IFERROR(Tabela3[[#This Row],[Peso Total Galho]]*Tabela3[[#This Row],[Qtde Cx Produzida]]*1.055,0)</f>
        <v>113.85137999999999</v>
      </c>
      <c r="S611" s="37">
        <f>(Tabela3[[#This Row],[Aluminio Bruto]]-Tabela3[[#This Row],[Aluminio Util]])*0.9</f>
        <v>47.569841999999994</v>
      </c>
      <c r="T611" s="37">
        <f>Tabela3[[#This Row],[Aluminio Bruto]]/OleoKGAluminio</f>
        <v>47.897128357579952</v>
      </c>
      <c r="U611" s="35">
        <f>IFERROR((VLOOKUP(Tabela3[[#This Row],[Moldador]],Tabela1[],5,)+(VLOOKUP(Tabela3[[#This Row],[Ajudante]],Tabela1[],5,))*3.5),0)</f>
        <v>126.0945</v>
      </c>
      <c r="V611" s="35">
        <f>IFERROR(Tabela3[[#This Row],[Custo M.O. / H]]/((Tabela3[[#This Row],[Realizado]]/Tabela3[[#This Row],[Qdt Peça Placa]])/Tabela3[[#This Row],[Tempo]]/24),)</f>
        <v>16.995345652173917</v>
      </c>
      <c r="W611" s="35">
        <f>Tabela3[[#This Row],[Custo / Cx Moldada]]*Tabela3[[#This Row],[Qtde Cx Produzida]]</f>
        <v>390.8929500000001</v>
      </c>
      <c r="X611" s="35">
        <f ca="1">Tabela3[[#This Row],[Aluminio Util]]*Tabela3[[#This Row],[Custo/Kg]]</f>
        <v>951.53760000000011</v>
      </c>
      <c r="Y611" s="35">
        <f>IFERROR(VLOOKUP(Tabela3[[#This Row],[Data]],Tabela461213[],2,1)*(Tabela3[[#This Row],[Qtde Cx Produzida]]*Tabela3[[#This Row],[Qde macho / CX]]*Tabela3[[#This Row],[Peso Macho]]),)</f>
        <v>493.01189999999997</v>
      </c>
      <c r="Z611" s="35">
        <f>IFERROR(Tabela3[[#This Row],[Qtde Oleo]]*(VLOOKUP(Tabela3[[#This Row],[Data]],CompraOleo[],3,TRUE))*1.05,0)</f>
        <v>125.72996193864738</v>
      </c>
      <c r="AA611" s="47">
        <f ca="1">(Tabela3[[#This Row],[Custo Oleo]]+Tabela3[[#This Row],[Custo Aluminio]]+Tabela3[[#This Row],[Custo M.O. Total]]+Tabela3[[#This Row],[Custo Machos]])</f>
        <v>1961.1724119386477</v>
      </c>
      <c r="AB611" s="47">
        <f ca="1">Tabela3[[#This Row],[Custo Total]]*Tabela3[[#This Row],[% Perda]]</f>
        <v>0</v>
      </c>
      <c r="AC611" s="48">
        <f>IFERROR(VLOOKUP(Tabela3[[#This Row],[Produto]],Tabela2[],2,0),0)</f>
        <v>3</v>
      </c>
      <c r="AD611" s="48">
        <f>IFERROR(VLOOKUP(Tabela3[[#This Row],[Produto]],Tabela2[],3,0),0)</f>
        <v>0.88400000000000001</v>
      </c>
      <c r="AE611" s="48">
        <f>IFERROR(VLOOKUP(Tabela3[[#This Row],[Produto]],Tabela2[],4,0),0)</f>
        <v>4.6920000000000002</v>
      </c>
      <c r="AF611" s="48">
        <f>IFERROR(VLOOKUP(Tabela3[[#This Row],[Produto]],Tabela2[],5,0),0)</f>
        <v>1.8360000000000001</v>
      </c>
      <c r="AG611" s="40">
        <f>IFERROR(VLOOKUP(Tabela3[[#This Row],[Produto]],Tabela2[],6,0),0)</f>
        <v>0</v>
      </c>
      <c r="AH611" s="40">
        <f>IFERROR(VLOOKUP(Tabela3[[#This Row],[Produto]],Tabela2[],7,0),0)</f>
        <v>9</v>
      </c>
      <c r="AI611" s="40">
        <f>IFERROR(VLOOKUP(Tabela3[[#This Row],[Produto]],Tabela2[],8,0),0)</f>
        <v>1.401</v>
      </c>
      <c r="AJ611" s="35">
        <f ca="1">IFERROR(VLOOKUP(Tabela3[[#This Row],[Produto]],Tabela2[],13,0),0)</f>
        <v>15.600000000000001</v>
      </c>
      <c r="AK611" s="40" t="str">
        <f>IFERROR(VLOOKUP(Tabela3[[#This Row],[Produto]],Tabela2[],14,0),0)</f>
        <v>Jumil</v>
      </c>
      <c r="AL611" s="40">
        <f>IFERROR(VLOOKUP(Tabela3[[#This Row],[Produto]],Tabela2[],15,0),0)</f>
        <v>10</v>
      </c>
      <c r="AM611" s="36">
        <f ca="1">(Tabela3[[#This Row],[Custo Usinagem]]+Tabela3[[#This Row],[Custo / Pç]])*1.2</f>
        <v>46.107346294585177</v>
      </c>
      <c r="AN611" s="36">
        <f ca="1">Tabela3[[#This Row],[Valor Mínimo Venda]]*1.15</f>
        <v>53.02344823877295</v>
      </c>
      <c r="AO611" s="36">
        <f ca="1">Tabela3[[#This Row],[Tabela 1]]*1.08</f>
        <v>57.265324097874789</v>
      </c>
      <c r="AP611" s="36">
        <f ca="1">Tabela3[[#This Row],[Tabela 2]]*1.15</f>
        <v>65.855122712555996</v>
      </c>
    </row>
    <row r="612" spans="1:42">
      <c r="A612" s="9">
        <v>45905</v>
      </c>
      <c r="B612" s="6" t="s">
        <v>233</v>
      </c>
      <c r="C612" s="14">
        <v>7874</v>
      </c>
      <c r="D612" s="6" t="s">
        <v>46</v>
      </c>
      <c r="E612" s="6" t="s">
        <v>44</v>
      </c>
      <c r="F612" s="6">
        <v>40</v>
      </c>
      <c r="G612" s="15">
        <v>0.23958333333333334</v>
      </c>
      <c r="H612" s="16">
        <v>0</v>
      </c>
      <c r="I612" s="35">
        <f ca="1">IFERROR(Tabela3[[#This Row],[Custo Total]]/Tabela3[[#This Row],[Aluminio Util]],0)</f>
        <v>22.251207271369477</v>
      </c>
      <c r="J612" s="35">
        <f ca="1">Tabela3[[#This Row],[Custo Total]]/Tabela3[[#This Row],[Realizado]]</f>
        <v>120.15651926539518</v>
      </c>
      <c r="K612" s="37">
        <f>IFERROR(Tabela3[[#This Row],[Qtde Cx Produzida]]/Tabela3[[#This Row],[Tempo]]/24,0)</f>
        <v>6.9565217391304346</v>
      </c>
      <c r="L612" s="37">
        <f>Tabela3[[#This Row],[Qtde Cx Produzida]]*Tabela3[[#This Row],[Qdt Peça Placa]]</f>
        <v>40</v>
      </c>
      <c r="M612" s="37">
        <f>Tabela3[[#This Row],[Previsto]]-Tabela3[[#This Row],[Perda Pçs]]</f>
        <v>40</v>
      </c>
      <c r="N612" s="38">
        <f>IFERROR(Tabela3[[#This Row],[Perda Pçs]]/Tabela3[[#This Row],[Previsto]],0)</f>
        <v>0</v>
      </c>
      <c r="O612" s="39">
        <f>IFERROR(IF(Tabela3[[#This Row],[Qtde Cx Produzida]] &lt;&gt; 0, Tabela3[[#This Row],[Tempo]] / Tabela3[[#This Row],[Qtde Cx Produzida]], 0),0)</f>
        <v>5.9895833333333337E-3</v>
      </c>
      <c r="P612" s="57">
        <f>IFERROR(Tabela3[[#This Row],[Perda Pçs]]/Tabela3[[#This Row],[Qdt Peça Placa]],0)</f>
        <v>0</v>
      </c>
      <c r="Q612" s="37">
        <f>IFERROR(Tabela3[[#This Row],[Realizado]]*Tabela3[[#This Row],[Peso Util/Pç]],0)</f>
        <v>216</v>
      </c>
      <c r="R612" s="37">
        <f>IFERROR(Tabela3[[#This Row],[Peso Total Galho]]*Tabela3[[#This Row],[Qtde Cx Produzida]]*1.055,0)</f>
        <v>253.2</v>
      </c>
      <c r="S612" s="37">
        <f>(Tabela3[[#This Row],[Aluminio Bruto]]-Tabela3[[#This Row],[Aluminio Util]])*0.9</f>
        <v>33.47999999999999</v>
      </c>
      <c r="T612" s="37">
        <f>Tabela3[[#This Row],[Aluminio Bruto]]/OleoKGAluminio</f>
        <v>106.52091261554531</v>
      </c>
      <c r="U612" s="35">
        <f>IFERROR((VLOOKUP(Tabela3[[#This Row],[Moldador]],Tabela1[],5,)+(VLOOKUP(Tabela3[[#This Row],[Ajudante]],Tabela1[],5,))*3.5),0)</f>
        <v>126.0945</v>
      </c>
      <c r="V612" s="35">
        <f>IFERROR(Tabela3[[#This Row],[Custo M.O. / H]]/((Tabela3[[#This Row],[Realizado]]/Tabela3[[#This Row],[Qdt Peça Placa]])/Tabela3[[#This Row],[Tempo]]/24),)</f>
        <v>18.126084375000001</v>
      </c>
      <c r="W612" s="35">
        <f>Tabela3[[#This Row],[Custo / Cx Moldada]]*Tabela3[[#This Row],[Qtde Cx Produzida]]</f>
        <v>725.04337500000008</v>
      </c>
      <c r="X612" s="35">
        <f ca="1">Tabela3[[#This Row],[Aluminio Util]]*Tabela3[[#This Row],[Custo/Kg]]</f>
        <v>3801.6000000000004</v>
      </c>
      <c r="Y612" s="35">
        <f>IFERROR(VLOOKUP(Tabela3[[#This Row],[Data]],Tabela461213[],2,1)*(Tabela3[[#This Row],[Qtde Cx Produzida]]*Tabela3[[#This Row],[Qde macho / CX]]*Tabela3[[#This Row],[Peso Macho]]),)</f>
        <v>0</v>
      </c>
      <c r="Z612" s="35">
        <f>IFERROR(Tabela3[[#This Row],[Qtde Oleo]]*(VLOOKUP(Tabela3[[#This Row],[Data]],CompraOleo[],3,TRUE))*1.05,0)</f>
        <v>279.61739561580646</v>
      </c>
      <c r="AA612" s="47">
        <f ca="1">(Tabela3[[#This Row],[Custo Oleo]]+Tabela3[[#This Row],[Custo Aluminio]]+Tabela3[[#This Row],[Custo M.O. Total]]+Tabela3[[#This Row],[Custo Machos]])</f>
        <v>4806.2607706158069</v>
      </c>
      <c r="AB612" s="47">
        <f ca="1">Tabela3[[#This Row],[Custo Total]]*Tabela3[[#This Row],[% Perda]]</f>
        <v>0</v>
      </c>
      <c r="AC612" s="48">
        <f>IFERROR(VLOOKUP(Tabela3[[#This Row],[Produto]],Tabela2[],2,0),0)</f>
        <v>1</v>
      </c>
      <c r="AD612" s="48">
        <f>IFERROR(VLOOKUP(Tabela3[[#This Row],[Produto]],Tabela2[],3,0),0)</f>
        <v>5.4</v>
      </c>
      <c r="AE612" s="48">
        <f>IFERROR(VLOOKUP(Tabela3[[#This Row],[Produto]],Tabela2[],4,0),0)</f>
        <v>6</v>
      </c>
      <c r="AF612" s="48">
        <f>IFERROR(VLOOKUP(Tabela3[[#This Row],[Produto]],Tabela2[],5,0),0)</f>
        <v>0.5399999999999997</v>
      </c>
      <c r="AG612" s="40">
        <f>IFERROR(VLOOKUP(Tabela3[[#This Row],[Produto]],Tabela2[],6,0),0)</f>
        <v>0</v>
      </c>
      <c r="AH612" s="40">
        <f>IFERROR(VLOOKUP(Tabela3[[#This Row],[Produto]],Tabela2[],7,0),0)</f>
        <v>0</v>
      </c>
      <c r="AI612" s="40">
        <f>IFERROR(VLOOKUP(Tabela3[[#This Row],[Produto]],Tabela2[],8,0),0)</f>
        <v>0</v>
      </c>
      <c r="AJ612" s="35">
        <f ca="1">IFERROR(VLOOKUP(Tabela3[[#This Row],[Produto]],Tabela2[],13,0),0)</f>
        <v>17.600000000000001</v>
      </c>
      <c r="AK612" s="40" t="str">
        <f>IFERROR(VLOOKUP(Tabela3[[#This Row],[Produto]],Tabela2[],14,0),0)</f>
        <v>Danilo</v>
      </c>
      <c r="AL612" s="40">
        <f>IFERROR(VLOOKUP(Tabela3[[#This Row],[Produto]],Tabela2[],15,0),0)</f>
        <v>0</v>
      </c>
      <c r="AM612" s="36">
        <f ca="1">(Tabela3[[#This Row],[Custo Usinagem]]+Tabela3[[#This Row],[Custo / Pç]])*1.2</f>
        <v>144.1878231184742</v>
      </c>
      <c r="AN612" s="36">
        <f ca="1">Tabela3[[#This Row],[Valor Mínimo Venda]]*1.15</f>
        <v>165.81599658624532</v>
      </c>
      <c r="AO612" s="36">
        <f ca="1">Tabela3[[#This Row],[Tabela 1]]*1.08</f>
        <v>179.08127631314497</v>
      </c>
      <c r="AP612" s="36">
        <f ca="1">Tabela3[[#This Row],[Tabela 2]]*1.15</f>
        <v>205.9434677601167</v>
      </c>
    </row>
    <row r="613" spans="1:42">
      <c r="A613" s="9">
        <v>45905</v>
      </c>
      <c r="B613" s="6" t="s">
        <v>111</v>
      </c>
      <c r="C613" s="14">
        <v>7869</v>
      </c>
      <c r="D613" s="6" t="s">
        <v>46</v>
      </c>
      <c r="E613" s="6" t="s">
        <v>44</v>
      </c>
      <c r="F613" s="6">
        <v>10</v>
      </c>
      <c r="G613" s="15">
        <v>6.0416666666666667E-2</v>
      </c>
      <c r="H613" s="16">
        <v>0</v>
      </c>
      <c r="I613" s="35">
        <f ca="1">IFERROR(Tabela3[[#This Row],[Custo Total]]/Tabela3[[#This Row],[Aluminio Util]],0)</f>
        <v>27.037539775372935</v>
      </c>
      <c r="J613" s="35">
        <f ca="1">Tabela3[[#This Row],[Custo Total]]/Tabela3[[#This Row],[Realizado]]</f>
        <v>52.723202561977224</v>
      </c>
      <c r="K613" s="37">
        <f>IFERROR(Tabela3[[#This Row],[Qtde Cx Produzida]]/Tabela3[[#This Row],[Tempo]]/24,0)</f>
        <v>6.8965517241379315</v>
      </c>
      <c r="L613" s="37">
        <f>Tabela3[[#This Row],[Qtde Cx Produzida]]*Tabela3[[#This Row],[Qdt Peça Placa]]</f>
        <v>10</v>
      </c>
      <c r="M613" s="37">
        <f>Tabela3[[#This Row],[Previsto]]-Tabela3[[#This Row],[Perda Pçs]]</f>
        <v>10</v>
      </c>
      <c r="N613" s="38">
        <f>IFERROR(Tabela3[[#This Row],[Perda Pçs]]/Tabela3[[#This Row],[Previsto]],0)</f>
        <v>0</v>
      </c>
      <c r="O613" s="39">
        <f>IFERROR(IF(Tabela3[[#This Row],[Qtde Cx Produzida]] &lt;&gt; 0, Tabela3[[#This Row],[Tempo]] / Tabela3[[#This Row],[Qtde Cx Produzida]], 0),0)</f>
        <v>6.0416666666666665E-3</v>
      </c>
      <c r="P613" s="57">
        <f>IFERROR(Tabela3[[#This Row],[Perda Pçs]]/Tabela3[[#This Row],[Qdt Peça Placa]],0)</f>
        <v>0</v>
      </c>
      <c r="Q613" s="37">
        <f>IFERROR(Tabela3[[#This Row],[Realizado]]*Tabela3[[#This Row],[Peso Util/Pç]],0)</f>
        <v>19.5</v>
      </c>
      <c r="R613" s="37">
        <f>IFERROR(Tabela3[[#This Row],[Peso Total Galho]]*Tabela3[[#This Row],[Qtde Cx Produzida]]*1.055,0)</f>
        <v>36.397500000000001</v>
      </c>
      <c r="S613" s="37">
        <f>(Tabela3[[#This Row],[Aluminio Bruto]]-Tabela3[[#This Row],[Aluminio Util]])*0.9</f>
        <v>15.207750000000001</v>
      </c>
      <c r="T613" s="37">
        <f>Tabela3[[#This Row],[Aluminio Bruto]]/OleoKGAluminio</f>
        <v>15.31238118848464</v>
      </c>
      <c r="U613" s="35">
        <f>IFERROR((VLOOKUP(Tabela3[[#This Row],[Moldador]],Tabela1[],5,)+(VLOOKUP(Tabela3[[#This Row],[Ajudante]],Tabela1[],5,))*3.5),0)</f>
        <v>126.0945</v>
      </c>
      <c r="V613" s="35">
        <f>IFERROR(Tabela3[[#This Row],[Custo M.O. / H]]/((Tabela3[[#This Row],[Realizado]]/Tabela3[[#This Row],[Qdt Peça Placa]])/Tabela3[[#This Row],[Tempo]]/24),)</f>
        <v>18.283702499999997</v>
      </c>
      <c r="W613" s="35">
        <f>Tabela3[[#This Row],[Custo / Cx Moldada]]*Tabela3[[#This Row],[Qtde Cx Produzida]]</f>
        <v>182.83702499999998</v>
      </c>
      <c r="X613" s="35">
        <f ca="1">Tabela3[[#This Row],[Aluminio Util]]*Tabela3[[#This Row],[Custo/Kg]]</f>
        <v>304.20000000000005</v>
      </c>
      <c r="Y613" s="35">
        <f>IFERROR(VLOOKUP(Tabela3[[#This Row],[Data]],Tabela461213[],2,1)*(Tabela3[[#This Row],[Qtde Cx Produzida]]*Tabela3[[#This Row],[Qde macho / CX]]*Tabela3[[#This Row],[Peso Macho]]),)</f>
        <v>0</v>
      </c>
      <c r="Z613" s="35">
        <f>IFERROR(Tabela3[[#This Row],[Qtde Oleo]]*(VLOOKUP(Tabela3[[#This Row],[Data]],CompraOleo[],3,TRUE))*1.05,0)</f>
        <v>40.195000619772181</v>
      </c>
      <c r="AA613" s="47">
        <f ca="1">(Tabela3[[#This Row],[Custo Oleo]]+Tabela3[[#This Row],[Custo Aluminio]]+Tabela3[[#This Row],[Custo M.O. Total]]+Tabela3[[#This Row],[Custo Machos]])</f>
        <v>527.23202561977223</v>
      </c>
      <c r="AB613" s="47">
        <f ca="1">Tabela3[[#This Row],[Custo Total]]*Tabela3[[#This Row],[% Perda]]</f>
        <v>0</v>
      </c>
      <c r="AC613" s="48">
        <f>IFERROR(VLOOKUP(Tabela3[[#This Row],[Produto]],Tabela2[],2,0),0)</f>
        <v>1</v>
      </c>
      <c r="AD613" s="48">
        <f>IFERROR(VLOOKUP(Tabela3[[#This Row],[Produto]],Tabela2[],3,0),0)</f>
        <v>1.95</v>
      </c>
      <c r="AE613" s="48">
        <f>IFERROR(VLOOKUP(Tabela3[[#This Row],[Produto]],Tabela2[],4,0),0)</f>
        <v>3.45</v>
      </c>
      <c r="AF613" s="48">
        <f>IFERROR(VLOOKUP(Tabela3[[#This Row],[Produto]],Tabela2[],5,0),0)</f>
        <v>1.3500000000000003</v>
      </c>
      <c r="AG613" s="40">
        <f>IFERROR(VLOOKUP(Tabela3[[#This Row],[Produto]],Tabela2[],6,0),0)</f>
        <v>0</v>
      </c>
      <c r="AH613" s="40">
        <f>IFERROR(VLOOKUP(Tabela3[[#This Row],[Produto]],Tabela2[],7,0),0)</f>
        <v>0</v>
      </c>
      <c r="AI613" s="40">
        <f>IFERROR(VLOOKUP(Tabela3[[#This Row],[Produto]],Tabela2[],8,0),0)</f>
        <v>0</v>
      </c>
      <c r="AJ613" s="35">
        <f ca="1">IFERROR(VLOOKUP(Tabela3[[#This Row],[Produto]],Tabela2[],13,0),0)</f>
        <v>15.600000000000001</v>
      </c>
      <c r="AK613" s="40" t="str">
        <f>IFERROR(VLOOKUP(Tabela3[[#This Row],[Produto]],Tabela2[],14,0),0)</f>
        <v>Jumil</v>
      </c>
      <c r="AL613" s="40">
        <f>IFERROR(VLOOKUP(Tabela3[[#This Row],[Produto]],Tabela2[],15,0),0)</f>
        <v>1</v>
      </c>
      <c r="AM613" s="36">
        <f ca="1">(Tabela3[[#This Row],[Custo Usinagem]]+Tabela3[[#This Row],[Custo / Pç]])*1.2</f>
        <v>64.467843074372666</v>
      </c>
      <c r="AN613" s="36">
        <f ca="1">Tabela3[[#This Row],[Valor Mínimo Venda]]*1.15</f>
        <v>74.138019535528557</v>
      </c>
      <c r="AO613" s="36">
        <f ca="1">Tabela3[[#This Row],[Tabela 1]]*1.08</f>
        <v>80.069061098370852</v>
      </c>
      <c r="AP613" s="36">
        <f ca="1">Tabela3[[#This Row],[Tabela 2]]*1.15</f>
        <v>92.07942026312648</v>
      </c>
    </row>
    <row r="614" spans="1:42">
      <c r="A614" s="9">
        <v>45905</v>
      </c>
      <c r="B614" s="6" t="s">
        <v>233</v>
      </c>
      <c r="C614" s="14">
        <v>7874</v>
      </c>
      <c r="D614" s="6" t="s">
        <v>44</v>
      </c>
      <c r="E614" s="6" t="s">
        <v>47</v>
      </c>
      <c r="F614" s="6">
        <v>10</v>
      </c>
      <c r="G614" s="15">
        <v>5.9722222222222225E-2</v>
      </c>
      <c r="H614" s="16">
        <v>0</v>
      </c>
      <c r="I614" s="35">
        <f ca="1">IFERROR(Tabela3[[#This Row],[Custo Total]]/Tabela3[[#This Row],[Aluminio Util]],0)</f>
        <v>21.547527986390055</v>
      </c>
      <c r="J614" s="35">
        <f ca="1">Tabela3[[#This Row],[Custo Total]]/Tabela3[[#This Row],[Realizado]]</f>
        <v>116.35665112650629</v>
      </c>
      <c r="K614" s="37">
        <f>IFERROR(Tabela3[[#This Row],[Qtde Cx Produzida]]/Tabela3[[#This Row],[Tempo]]/24,0)</f>
        <v>6.9767441860465107</v>
      </c>
      <c r="L614" s="37">
        <f>Tabela3[[#This Row],[Qtde Cx Produzida]]*Tabela3[[#This Row],[Qdt Peça Placa]]</f>
        <v>10</v>
      </c>
      <c r="M614" s="37">
        <f>Tabela3[[#This Row],[Previsto]]-Tabela3[[#This Row],[Perda Pçs]]</f>
        <v>10</v>
      </c>
      <c r="N614" s="38">
        <f>IFERROR(Tabela3[[#This Row],[Perda Pçs]]/Tabela3[[#This Row],[Previsto]],0)</f>
        <v>0</v>
      </c>
      <c r="O614" s="39">
        <f>IFERROR(IF(Tabela3[[#This Row],[Qtde Cx Produzida]] &lt;&gt; 0, Tabela3[[#This Row],[Tempo]] / Tabela3[[#This Row],[Qtde Cx Produzida]], 0),0)</f>
        <v>5.9722222222222225E-3</v>
      </c>
      <c r="P614" s="57">
        <f>IFERROR(Tabela3[[#This Row],[Perda Pçs]]/Tabela3[[#This Row],[Qdt Peça Placa]],0)</f>
        <v>0</v>
      </c>
      <c r="Q614" s="37">
        <f>IFERROR(Tabela3[[#This Row],[Realizado]]*Tabela3[[#This Row],[Peso Util/Pç]],0)</f>
        <v>54</v>
      </c>
      <c r="R614" s="37">
        <f>IFERROR(Tabela3[[#This Row],[Peso Total Galho]]*Tabela3[[#This Row],[Qtde Cx Produzida]]*1.055,0)</f>
        <v>63.3</v>
      </c>
      <c r="S614" s="37">
        <f>(Tabela3[[#This Row],[Aluminio Bruto]]-Tabela3[[#This Row],[Aluminio Util]])*0.9</f>
        <v>8.3699999999999974</v>
      </c>
      <c r="T614" s="37">
        <f>Tabela3[[#This Row],[Aluminio Bruto]]/OleoKGAluminio</f>
        <v>26.630228153886328</v>
      </c>
      <c r="U614" s="35">
        <f>IFERROR((VLOOKUP(Tabela3[[#This Row],[Moldador]],Tabela1[],5,)+(VLOOKUP(Tabela3[[#This Row],[Ajudante]],Tabela1[],5,))*3.5),0)</f>
        <v>99.95034583333333</v>
      </c>
      <c r="V614" s="35">
        <f>IFERROR(Tabela3[[#This Row],[Custo M.O. / H]]/((Tabela3[[#This Row],[Realizado]]/Tabela3[[#This Row],[Qdt Peça Placa]])/Tabela3[[#This Row],[Tempo]]/24),)</f>
        <v>14.326216236111113</v>
      </c>
      <c r="W614" s="35">
        <f>Tabela3[[#This Row],[Custo / Cx Moldada]]*Tabela3[[#This Row],[Qtde Cx Produzida]]</f>
        <v>143.26216236111114</v>
      </c>
      <c r="X614" s="35">
        <f ca="1">Tabela3[[#This Row],[Aluminio Util]]*Tabela3[[#This Row],[Custo/Kg]]</f>
        <v>950.40000000000009</v>
      </c>
      <c r="Y614" s="35">
        <f>IFERROR(VLOOKUP(Tabela3[[#This Row],[Data]],Tabela461213[],2,1)*(Tabela3[[#This Row],[Qtde Cx Produzida]]*Tabela3[[#This Row],[Qde macho / CX]]*Tabela3[[#This Row],[Peso Macho]]),)</f>
        <v>0</v>
      </c>
      <c r="Z614" s="35">
        <f>IFERROR(Tabela3[[#This Row],[Qtde Oleo]]*(VLOOKUP(Tabela3[[#This Row],[Data]],CompraOleo[],3,TRUE))*1.05,0)</f>
        <v>69.904348903951615</v>
      </c>
      <c r="AA614" s="47">
        <f ca="1">(Tabela3[[#This Row],[Custo Oleo]]+Tabela3[[#This Row],[Custo Aluminio]]+Tabela3[[#This Row],[Custo M.O. Total]]+Tabela3[[#This Row],[Custo Machos]])</f>
        <v>1163.5665112650629</v>
      </c>
      <c r="AB614" s="47">
        <f ca="1">Tabela3[[#This Row],[Custo Total]]*Tabela3[[#This Row],[% Perda]]</f>
        <v>0</v>
      </c>
      <c r="AC614" s="48">
        <f>IFERROR(VLOOKUP(Tabela3[[#This Row],[Produto]],Tabela2[],2,0),0)</f>
        <v>1</v>
      </c>
      <c r="AD614" s="48">
        <f>IFERROR(VLOOKUP(Tabela3[[#This Row],[Produto]],Tabela2[],3,0),0)</f>
        <v>5.4</v>
      </c>
      <c r="AE614" s="48">
        <f>IFERROR(VLOOKUP(Tabela3[[#This Row],[Produto]],Tabela2[],4,0),0)</f>
        <v>6</v>
      </c>
      <c r="AF614" s="48">
        <f>IFERROR(VLOOKUP(Tabela3[[#This Row],[Produto]],Tabela2[],5,0),0)</f>
        <v>0.5399999999999997</v>
      </c>
      <c r="AG614" s="40">
        <f>IFERROR(VLOOKUP(Tabela3[[#This Row],[Produto]],Tabela2[],6,0),0)</f>
        <v>0</v>
      </c>
      <c r="AH614" s="40">
        <f>IFERROR(VLOOKUP(Tabela3[[#This Row],[Produto]],Tabela2[],7,0),0)</f>
        <v>0</v>
      </c>
      <c r="AI614" s="40">
        <f>IFERROR(VLOOKUP(Tabela3[[#This Row],[Produto]],Tabela2[],8,0),0)</f>
        <v>0</v>
      </c>
      <c r="AJ614" s="35">
        <f ca="1">IFERROR(VLOOKUP(Tabela3[[#This Row],[Produto]],Tabela2[],13,0),0)</f>
        <v>17.600000000000001</v>
      </c>
      <c r="AK614" s="40" t="str">
        <f>IFERROR(VLOOKUP(Tabela3[[#This Row],[Produto]],Tabela2[],14,0),0)</f>
        <v>Danilo</v>
      </c>
      <c r="AL614" s="40">
        <f>IFERROR(VLOOKUP(Tabela3[[#This Row],[Produto]],Tabela2[],15,0),0)</f>
        <v>0</v>
      </c>
      <c r="AM614" s="36">
        <f ca="1">(Tabela3[[#This Row],[Custo Usinagem]]+Tabela3[[#This Row],[Custo / Pç]])*1.2</f>
        <v>139.62798135180753</v>
      </c>
      <c r="AN614" s="36">
        <f ca="1">Tabela3[[#This Row],[Valor Mínimo Venda]]*1.15</f>
        <v>160.57217855457864</v>
      </c>
      <c r="AO614" s="36">
        <f ca="1">Tabela3[[#This Row],[Tabela 1]]*1.08</f>
        <v>173.41795283894496</v>
      </c>
      <c r="AP614" s="36">
        <f ca="1">Tabela3[[#This Row],[Tabela 2]]*1.15</f>
        <v>199.43064576478668</v>
      </c>
    </row>
    <row r="615" spans="1:42">
      <c r="A615" s="9">
        <v>45908</v>
      </c>
      <c r="B615" s="6" t="s">
        <v>110</v>
      </c>
      <c r="C615" s="14">
        <v>7872</v>
      </c>
      <c r="D615" s="6" t="s">
        <v>46</v>
      </c>
      <c r="E615" s="6" t="s">
        <v>326</v>
      </c>
      <c r="F615" s="6">
        <v>4</v>
      </c>
      <c r="G615" s="15">
        <v>3.6111111111111108E-2</v>
      </c>
      <c r="H615" s="16">
        <v>0</v>
      </c>
      <c r="I615" s="35">
        <f ca="1">IFERROR(Tabela3[[#This Row],[Custo Total]]/Tabela3[[#This Row],[Aluminio Util]],0)</f>
        <v>28.13952934361382</v>
      </c>
      <c r="J615" s="35">
        <f ca="1">Tabela3[[#This Row],[Custo Total]]/Tabela3[[#This Row],[Realizado]]</f>
        <v>54.872082220046948</v>
      </c>
      <c r="K615" s="37">
        <f>IFERROR(Tabela3[[#This Row],[Qtde Cx Produzida]]/Tabela3[[#This Row],[Tempo]]/24,0)</f>
        <v>4.6153846153846159</v>
      </c>
      <c r="L615" s="37">
        <f>Tabela3[[#This Row],[Qtde Cx Produzida]]*Tabela3[[#This Row],[Qdt Peça Placa]]</f>
        <v>4</v>
      </c>
      <c r="M615" s="37">
        <f>Tabela3[[#This Row],[Previsto]]-Tabela3[[#This Row],[Perda Pçs]]</f>
        <v>4</v>
      </c>
      <c r="N615" s="38">
        <f>IFERROR(Tabela3[[#This Row],[Perda Pçs]]/Tabela3[[#This Row],[Previsto]],0)</f>
        <v>0</v>
      </c>
      <c r="O615" s="39">
        <f>IFERROR(IF(Tabela3[[#This Row],[Qtde Cx Produzida]] &lt;&gt; 0, Tabela3[[#This Row],[Tempo]] / Tabela3[[#This Row],[Qtde Cx Produzida]], 0),0)</f>
        <v>9.0277777777777769E-3</v>
      </c>
      <c r="P615" s="57">
        <f>IFERROR(Tabela3[[#This Row],[Perda Pçs]]/Tabela3[[#This Row],[Qdt Peça Placa]],0)</f>
        <v>0</v>
      </c>
      <c r="Q615" s="37">
        <f>IFERROR(Tabela3[[#This Row],[Realizado]]*Tabela3[[#This Row],[Peso Util/Pç]],0)</f>
        <v>7.8</v>
      </c>
      <c r="R615" s="37">
        <f>IFERROR(Tabela3[[#This Row],[Peso Total Galho]]*Tabela3[[#This Row],[Qtde Cx Produzida]]*1.055,0)</f>
        <v>10.127999999999998</v>
      </c>
      <c r="S615" s="37">
        <f>(Tabela3[[#This Row],[Aluminio Bruto]]-Tabela3[[#This Row],[Aluminio Util]])*0.9</f>
        <v>2.0951999999999988</v>
      </c>
      <c r="T615" s="37">
        <f>Tabela3[[#This Row],[Aluminio Bruto]]/OleoKGAluminio</f>
        <v>4.2608365046218122</v>
      </c>
      <c r="U615" s="35">
        <f>IFERROR((VLOOKUP(Tabela3[[#This Row],[Moldador]],Tabela1[],5,)+(VLOOKUP(Tabela3[[#This Row],[Ajudante]],Tabela1[],5,))*3.5),0)</f>
        <v>99.95034583333333</v>
      </c>
      <c r="V615" s="35">
        <f>IFERROR(Tabela3[[#This Row],[Custo M.O. / H]]/((Tabela3[[#This Row],[Realizado]]/Tabela3[[#This Row],[Qdt Peça Placa]])/Tabela3[[#This Row],[Tempo]]/24),)</f>
        <v>21.655908263888886</v>
      </c>
      <c r="W615" s="35">
        <f>Tabela3[[#This Row],[Custo / Cx Moldada]]*Tabela3[[#This Row],[Qtde Cx Produzida]]</f>
        <v>86.623633055555544</v>
      </c>
      <c r="X615" s="35">
        <f ca="1">Tabela3[[#This Row],[Aluminio Util]]*Tabela3[[#This Row],[Custo/Kg]]</f>
        <v>121.68</v>
      </c>
      <c r="Y615" s="35">
        <f>IFERROR(VLOOKUP(Tabela3[[#This Row],[Data]],Tabela461213[],2,1)*(Tabela3[[#This Row],[Qtde Cx Produzida]]*Tabela3[[#This Row],[Qde macho / CX]]*Tabela3[[#This Row],[Peso Macho]]),)</f>
        <v>0</v>
      </c>
      <c r="Z615" s="35">
        <f>IFERROR(Tabela3[[#This Row],[Qtde Oleo]]*(VLOOKUP(Tabela3[[#This Row],[Data]],CompraOleo[],3,TRUE))*1.05,0)</f>
        <v>11.184695824632259</v>
      </c>
      <c r="AA615" s="47">
        <f ca="1">(Tabela3[[#This Row],[Custo Oleo]]+Tabela3[[#This Row],[Custo Aluminio]]+Tabela3[[#This Row],[Custo M.O. Total]]+Tabela3[[#This Row],[Custo Machos]])</f>
        <v>219.48832888018779</v>
      </c>
      <c r="AB615" s="47">
        <f ca="1">Tabela3[[#This Row],[Custo Total]]*Tabela3[[#This Row],[% Perda]]</f>
        <v>0</v>
      </c>
      <c r="AC615" s="48">
        <f>IFERROR(VLOOKUP(Tabela3[[#This Row],[Produto]],Tabela2[],2,0),0)</f>
        <v>1</v>
      </c>
      <c r="AD615" s="48">
        <f>IFERROR(VLOOKUP(Tabela3[[#This Row],[Produto]],Tabela2[],3,0),0)</f>
        <v>1.95</v>
      </c>
      <c r="AE615" s="48">
        <f>IFERROR(VLOOKUP(Tabela3[[#This Row],[Produto]],Tabela2[],4,0),0)</f>
        <v>2.4</v>
      </c>
      <c r="AF615" s="48">
        <f>IFERROR(VLOOKUP(Tabela3[[#This Row],[Produto]],Tabela2[],5,0),0)</f>
        <v>0.40499999999999997</v>
      </c>
      <c r="AG615" s="40">
        <f>IFERROR(VLOOKUP(Tabela3[[#This Row],[Produto]],Tabela2[],6,0),0)</f>
        <v>0</v>
      </c>
      <c r="AH615" s="40">
        <f>IFERROR(VLOOKUP(Tabela3[[#This Row],[Produto]],Tabela2[],7,0),0)</f>
        <v>1</v>
      </c>
      <c r="AI615" s="40">
        <f>IFERROR(VLOOKUP(Tabela3[[#This Row],[Produto]],Tabela2[],8,0),0)</f>
        <v>0</v>
      </c>
      <c r="AJ615" s="35">
        <f ca="1">IFERROR(VLOOKUP(Tabela3[[#This Row],[Produto]],Tabela2[],13,0),0)</f>
        <v>15.600000000000001</v>
      </c>
      <c r="AK615" s="40" t="str">
        <f>IFERROR(VLOOKUP(Tabela3[[#This Row],[Produto]],Tabela2[],14,0),0)</f>
        <v>Jumil</v>
      </c>
      <c r="AL615" s="40">
        <f>IFERROR(VLOOKUP(Tabela3[[#This Row],[Produto]],Tabela2[],15,0),0)</f>
        <v>1</v>
      </c>
      <c r="AM615" s="36">
        <f ca="1">(Tabela3[[#This Row],[Custo Usinagem]]+Tabela3[[#This Row],[Custo / Pç]])*1.2</f>
        <v>67.04649866405633</v>
      </c>
      <c r="AN615" s="36">
        <f ca="1">Tabela3[[#This Row],[Valor Mínimo Venda]]*1.15</f>
        <v>77.10347346366477</v>
      </c>
      <c r="AO615" s="36">
        <f ca="1">Tabela3[[#This Row],[Tabela 1]]*1.08</f>
        <v>83.271751340757959</v>
      </c>
      <c r="AP615" s="36">
        <f ca="1">Tabela3[[#This Row],[Tabela 2]]*1.15</f>
        <v>95.76251404187164</v>
      </c>
    </row>
    <row r="616" spans="1:42">
      <c r="A616" s="9">
        <v>45908</v>
      </c>
      <c r="B616" s="6" t="s">
        <v>244</v>
      </c>
      <c r="C616" s="14">
        <v>7900</v>
      </c>
      <c r="D616" s="6" t="s">
        <v>46</v>
      </c>
      <c r="E616" s="6" t="s">
        <v>326</v>
      </c>
      <c r="F616" s="6">
        <v>3</v>
      </c>
      <c r="G616" s="15">
        <v>1.7361111111111112E-2</v>
      </c>
      <c r="H616" s="16">
        <v>0</v>
      </c>
      <c r="I616" s="35">
        <f ca="1">IFERROR(Tabela3[[#This Row],[Custo Total]]/Tabela3[[#This Row],[Aluminio Util]],0)</f>
        <v>24.902689829944556</v>
      </c>
      <c r="J616" s="35">
        <f ca="1">Tabela3[[#This Row],[Custo Total]]/Tabela3[[#This Row],[Realizado]]</f>
        <v>11.70426422007394</v>
      </c>
      <c r="K616" s="37">
        <f>IFERROR(Tabela3[[#This Row],[Qtde Cx Produzida]]/Tabela3[[#This Row],[Tempo]]/24,0)</f>
        <v>7.1999999999999993</v>
      </c>
      <c r="L616" s="37">
        <f>Tabela3[[#This Row],[Qtde Cx Produzida]]*Tabela3[[#This Row],[Qdt Peça Placa]]</f>
        <v>12</v>
      </c>
      <c r="M616" s="37">
        <f>Tabela3[[#This Row],[Previsto]]-Tabela3[[#This Row],[Perda Pçs]]</f>
        <v>12</v>
      </c>
      <c r="N616" s="38">
        <f>IFERROR(Tabela3[[#This Row],[Perda Pçs]]/Tabela3[[#This Row],[Previsto]],0)</f>
        <v>0</v>
      </c>
      <c r="O616" s="39">
        <f>IFERROR(IF(Tabela3[[#This Row],[Qtde Cx Produzida]] &lt;&gt; 0, Tabela3[[#This Row],[Tempo]] / Tabela3[[#This Row],[Qtde Cx Produzida]], 0),0)</f>
        <v>5.7870370370370376E-3</v>
      </c>
      <c r="P616" s="57">
        <f>IFERROR(Tabela3[[#This Row],[Perda Pçs]]/Tabela3[[#This Row],[Qdt Peça Placa]],0)</f>
        <v>0</v>
      </c>
      <c r="Q616" s="37">
        <f>IFERROR(Tabela3[[#This Row],[Realizado]]*Tabela3[[#This Row],[Peso Util/Pç]],0)</f>
        <v>5.64</v>
      </c>
      <c r="R616" s="37">
        <f>IFERROR(Tabela3[[#This Row],[Peso Total Galho]]*Tabela3[[#This Row],[Qtde Cx Produzida]]*1.055,0)</f>
        <v>9.7988400000000002</v>
      </c>
      <c r="S616" s="37">
        <f>(Tabela3[[#This Row],[Aluminio Bruto]]-Tabela3[[#This Row],[Aluminio Util]])*0.9</f>
        <v>3.7429560000000004</v>
      </c>
      <c r="T616" s="37">
        <f>Tabela3[[#This Row],[Aluminio Bruto]]/OleoKGAluminio</f>
        <v>4.1223593182216041</v>
      </c>
      <c r="U616" s="35">
        <f>IFERROR((VLOOKUP(Tabela3[[#This Row],[Moldador]],Tabela1[],5,)+(VLOOKUP(Tabela3[[#This Row],[Ajudante]],Tabela1[],5,))*3.5),0)</f>
        <v>99.95034583333333</v>
      </c>
      <c r="V616" s="35">
        <f>IFERROR(Tabela3[[#This Row],[Custo M.O. / H]]/((Tabela3[[#This Row],[Realizado]]/Tabela3[[#This Row],[Qdt Peça Placa]])/Tabela3[[#This Row],[Tempo]]/24),)</f>
        <v>13.881992476851853</v>
      </c>
      <c r="W616" s="35">
        <f>Tabela3[[#This Row],[Custo / Cx Moldada]]*Tabela3[[#This Row],[Qtde Cx Produzida]]</f>
        <v>41.645977430555561</v>
      </c>
      <c r="X616" s="35">
        <f ca="1">Tabela3[[#This Row],[Aluminio Util]]*Tabela3[[#This Row],[Custo/Kg]]</f>
        <v>87.984000000000009</v>
      </c>
      <c r="Y616" s="35">
        <f>IFERROR(VLOOKUP(Tabela3[[#This Row],[Data]],Tabela461213[],2,1)*(Tabela3[[#This Row],[Qtde Cx Produzida]]*Tabela3[[#This Row],[Qde macho / CX]]*Tabela3[[#This Row],[Peso Macho]]),)</f>
        <v>0</v>
      </c>
      <c r="Z616" s="35">
        <f>IFERROR(Tabela3[[#This Row],[Qtde Oleo]]*(VLOOKUP(Tabela3[[#This Row],[Data]],CompraOleo[],3,TRUE))*1.05,0)</f>
        <v>10.821193210331712</v>
      </c>
      <c r="AA616" s="47">
        <f ca="1">(Tabela3[[#This Row],[Custo Oleo]]+Tabela3[[#This Row],[Custo Aluminio]]+Tabela3[[#This Row],[Custo M.O. Total]]+Tabela3[[#This Row],[Custo Machos]])</f>
        <v>140.45117064088728</v>
      </c>
      <c r="AB616" s="47">
        <f ca="1">Tabela3[[#This Row],[Custo Total]]*Tabela3[[#This Row],[% Perda]]</f>
        <v>0</v>
      </c>
      <c r="AC616" s="48">
        <f>IFERROR(VLOOKUP(Tabela3[[#This Row],[Produto]],Tabela2[],2,0),0)</f>
        <v>4</v>
      </c>
      <c r="AD616" s="48">
        <f>IFERROR(VLOOKUP(Tabela3[[#This Row],[Produto]],Tabela2[],3,0),0)</f>
        <v>0.47</v>
      </c>
      <c r="AE616" s="48">
        <f>IFERROR(VLOOKUP(Tabela3[[#This Row],[Produto]],Tabela2[],4,0),0)</f>
        <v>3.0960000000000001</v>
      </c>
      <c r="AF616" s="48">
        <f>IFERROR(VLOOKUP(Tabela3[[#This Row],[Produto]],Tabela2[],5,0),0)</f>
        <v>1.0944000000000003</v>
      </c>
      <c r="AG616" s="40">
        <f>IFERROR(VLOOKUP(Tabela3[[#This Row],[Produto]],Tabela2[],6,0),0)</f>
        <v>0</v>
      </c>
      <c r="AH616" s="40">
        <f>IFERROR(VLOOKUP(Tabela3[[#This Row],[Produto]],Tabela2[],7,0),0)</f>
        <v>0</v>
      </c>
      <c r="AI616" s="40">
        <f>IFERROR(VLOOKUP(Tabela3[[#This Row],[Produto]],Tabela2[],8,0),0)</f>
        <v>0</v>
      </c>
      <c r="AJ616" s="35">
        <f ca="1">IFERROR(VLOOKUP(Tabela3[[#This Row],[Produto]],Tabela2[],13,0),0)</f>
        <v>15.600000000000001</v>
      </c>
      <c r="AK616" s="40" t="str">
        <f>IFERROR(VLOOKUP(Tabela3[[#This Row],[Produto]],Tabela2[],14,0),0)</f>
        <v>Senun</v>
      </c>
      <c r="AL616" s="40">
        <f>IFERROR(VLOOKUP(Tabela3[[#This Row],[Produto]],Tabela2[],15,0),0)</f>
        <v>4</v>
      </c>
      <c r="AM616" s="36">
        <f ca="1">(Tabela3[[#This Row],[Custo Usinagem]]+Tabela3[[#This Row],[Custo / Pç]])*1.2</f>
        <v>18.845117064088726</v>
      </c>
      <c r="AN616" s="36">
        <f ca="1">Tabela3[[#This Row],[Valor Mínimo Venda]]*1.15</f>
        <v>21.671884623702034</v>
      </c>
      <c r="AO616" s="36">
        <f ca="1">Tabela3[[#This Row],[Tabela 1]]*1.08</f>
        <v>23.4056353935982</v>
      </c>
      <c r="AP616" s="36">
        <f ca="1">Tabela3[[#This Row],[Tabela 2]]*1.15</f>
        <v>26.916480702637926</v>
      </c>
    </row>
    <row r="617" spans="1:42">
      <c r="A617" s="9">
        <v>45908</v>
      </c>
      <c r="B617" s="6" t="s">
        <v>247</v>
      </c>
      <c r="C617" s="14">
        <v>7864</v>
      </c>
      <c r="D617" s="6" t="s">
        <v>46</v>
      </c>
      <c r="E617" s="6" t="s">
        <v>326</v>
      </c>
      <c r="F617" s="6">
        <v>6</v>
      </c>
      <c r="G617" s="15">
        <v>2.8472222222222222E-2</v>
      </c>
      <c r="H617" s="16">
        <v>0</v>
      </c>
      <c r="I617" s="35">
        <f ca="1">IFERROR(Tabela3[[#This Row],[Custo Total]]/Tabela3[[#This Row],[Aluminio Util]],0)</f>
        <v>27.31908378250278</v>
      </c>
      <c r="J617" s="35">
        <f ca="1">Tabela3[[#This Row],[Custo Total]]/Tabela3[[#This Row],[Realizado]]</f>
        <v>8.1957251347508322</v>
      </c>
      <c r="K617" s="37">
        <f>IFERROR(Tabela3[[#This Row],[Qtde Cx Produzida]]/Tabela3[[#This Row],[Tempo]]/24,0)</f>
        <v>8.7804878048780495</v>
      </c>
      <c r="L617" s="37">
        <f>Tabela3[[#This Row],[Qtde Cx Produzida]]*Tabela3[[#This Row],[Qdt Peça Placa]]</f>
        <v>24</v>
      </c>
      <c r="M617" s="37">
        <f>Tabela3[[#This Row],[Previsto]]-Tabela3[[#This Row],[Perda Pçs]]</f>
        <v>24</v>
      </c>
      <c r="N617" s="38">
        <f>IFERROR(Tabela3[[#This Row],[Perda Pçs]]/Tabela3[[#This Row],[Previsto]],0)</f>
        <v>0</v>
      </c>
      <c r="O617" s="39">
        <f>IFERROR(IF(Tabela3[[#This Row],[Qtde Cx Produzida]] &lt;&gt; 0, Tabela3[[#This Row],[Tempo]] / Tabela3[[#This Row],[Qtde Cx Produzida]], 0),0)</f>
        <v>4.7453703703703703E-3</v>
      </c>
      <c r="P617" s="57">
        <f>IFERROR(Tabela3[[#This Row],[Perda Pçs]]/Tabela3[[#This Row],[Qdt Peça Placa]],0)</f>
        <v>0</v>
      </c>
      <c r="Q617" s="37">
        <f>IFERROR(Tabela3[[#This Row],[Realizado]]*Tabela3[[#This Row],[Peso Util/Pç]],0)</f>
        <v>7.1999999999999993</v>
      </c>
      <c r="R617" s="37">
        <f>IFERROR(Tabela3[[#This Row],[Peso Total Galho]]*Tabela3[[#This Row],[Qtde Cx Produzida]]*1.055,0)</f>
        <v>14.558999999999997</v>
      </c>
      <c r="S617" s="37">
        <f>(Tabela3[[#This Row],[Aluminio Bruto]]-Tabela3[[#This Row],[Aluminio Util]])*0.9</f>
        <v>6.6230999999999982</v>
      </c>
      <c r="T617" s="37">
        <f>Tabela3[[#This Row],[Aluminio Bruto]]/OleoKGAluminio</f>
        <v>6.1249524753938545</v>
      </c>
      <c r="U617" s="35">
        <f>IFERROR((VLOOKUP(Tabela3[[#This Row],[Moldador]],Tabela1[],5,)+(VLOOKUP(Tabela3[[#This Row],[Ajudante]],Tabela1[],5,))*3.5),0)</f>
        <v>99.95034583333333</v>
      </c>
      <c r="V617" s="35">
        <f>IFERROR(Tabela3[[#This Row],[Custo M.O. / H]]/((Tabela3[[#This Row],[Realizado]]/Tabela3[[#This Row],[Qdt Peça Placa]])/Tabela3[[#This Row],[Tempo]]/24),)</f>
        <v>11.383233831018517</v>
      </c>
      <c r="W617" s="35">
        <f>Tabela3[[#This Row],[Custo / Cx Moldada]]*Tabela3[[#This Row],[Qtde Cx Produzida]]</f>
        <v>68.299402986111104</v>
      </c>
      <c r="X617" s="35">
        <f ca="1">Tabela3[[#This Row],[Aluminio Util]]*Tabela3[[#This Row],[Custo/Kg]]</f>
        <v>112.32</v>
      </c>
      <c r="Y617" s="35">
        <f>IFERROR(VLOOKUP(Tabela3[[#This Row],[Data]],Tabela461213[],2,1)*(Tabela3[[#This Row],[Qtde Cx Produzida]]*Tabela3[[#This Row],[Qde macho / CX]]*Tabela3[[#This Row],[Peso Macho]]),)</f>
        <v>0</v>
      </c>
      <c r="Z617" s="35">
        <f>IFERROR(Tabela3[[#This Row],[Qtde Oleo]]*(VLOOKUP(Tabela3[[#This Row],[Data]],CompraOleo[],3,TRUE))*1.05,0)</f>
        <v>16.078000247908868</v>
      </c>
      <c r="AA617" s="47">
        <f ca="1">(Tabela3[[#This Row],[Custo Oleo]]+Tabela3[[#This Row],[Custo Aluminio]]+Tabela3[[#This Row],[Custo M.O. Total]]+Tabela3[[#This Row],[Custo Machos]])</f>
        <v>196.69740323401999</v>
      </c>
      <c r="AB617" s="47">
        <f ca="1">Tabela3[[#This Row],[Custo Total]]*Tabela3[[#This Row],[% Perda]]</f>
        <v>0</v>
      </c>
      <c r="AC617" s="48">
        <f>IFERROR(VLOOKUP(Tabela3[[#This Row],[Produto]],Tabela2[],2,0),0)</f>
        <v>4</v>
      </c>
      <c r="AD617" s="48">
        <f>IFERROR(VLOOKUP(Tabela3[[#This Row],[Produto]],Tabela2[],3,0),0)</f>
        <v>0.3</v>
      </c>
      <c r="AE617" s="48">
        <f>IFERROR(VLOOKUP(Tabela3[[#This Row],[Produto]],Tabela2[],4,0),0)</f>
        <v>2.2999999999999998</v>
      </c>
      <c r="AF617" s="48">
        <f>IFERROR(VLOOKUP(Tabela3[[#This Row],[Produto]],Tabela2[],5,0),0)</f>
        <v>0.98999999999999988</v>
      </c>
      <c r="AG617" s="40">
        <f>IFERROR(VLOOKUP(Tabela3[[#This Row],[Produto]],Tabela2[],6,0),0)</f>
        <v>0</v>
      </c>
      <c r="AH617" s="40">
        <f>IFERROR(VLOOKUP(Tabela3[[#This Row],[Produto]],Tabela2[],7,0),0)</f>
        <v>0</v>
      </c>
      <c r="AI617" s="40">
        <f>IFERROR(VLOOKUP(Tabela3[[#This Row],[Produto]],Tabela2[],8,0),0)</f>
        <v>0</v>
      </c>
      <c r="AJ617" s="35">
        <f ca="1">IFERROR(VLOOKUP(Tabela3[[#This Row],[Produto]],Tabela2[],13,0),0)</f>
        <v>15.600000000000001</v>
      </c>
      <c r="AK617" s="40" t="str">
        <f>IFERROR(VLOOKUP(Tabela3[[#This Row],[Produto]],Tabela2[],14,0),0)</f>
        <v>Senun</v>
      </c>
      <c r="AL617" s="40">
        <f>IFERROR(VLOOKUP(Tabela3[[#This Row],[Produto]],Tabela2[],15,0),0)</f>
        <v>3.5</v>
      </c>
      <c r="AM617" s="36">
        <f ca="1">(Tabela3[[#This Row],[Custo Usinagem]]+Tabela3[[#This Row],[Custo / Pç]])*1.2</f>
        <v>14.034870161700999</v>
      </c>
      <c r="AN617" s="36">
        <f ca="1">Tabela3[[#This Row],[Valor Mínimo Venda]]*1.15</f>
        <v>16.140100685956149</v>
      </c>
      <c r="AO617" s="36">
        <f ca="1">Tabela3[[#This Row],[Tabela 1]]*1.08</f>
        <v>17.431308740832641</v>
      </c>
      <c r="AP617" s="36">
        <f ca="1">Tabela3[[#This Row],[Tabela 2]]*1.15</f>
        <v>20.046005051957536</v>
      </c>
    </row>
    <row r="618" spans="1:42">
      <c r="A618" s="9">
        <v>45908</v>
      </c>
      <c r="B618" s="6" t="s">
        <v>91</v>
      </c>
      <c r="C618" s="14">
        <v>7920</v>
      </c>
      <c r="D618" s="6" t="s">
        <v>46</v>
      </c>
      <c r="E618" s="6" t="s">
        <v>326</v>
      </c>
      <c r="F618" s="6">
        <v>20</v>
      </c>
      <c r="G618" s="15">
        <v>0.11458333333333333</v>
      </c>
      <c r="H618" s="16">
        <v>0</v>
      </c>
      <c r="I618" s="35">
        <f ca="1">IFERROR(Tabela3[[#This Row],[Custo Total]]/Tabela3[[#This Row],[Aluminio Util]],0)</f>
        <v>39.360138609928377</v>
      </c>
      <c r="J618" s="35">
        <f ca="1">Tabela3[[#This Row],[Custo Total]]/Tabela3[[#This Row],[Realizado]]</f>
        <v>30.858348670183847</v>
      </c>
      <c r="K618" s="37">
        <f>IFERROR(Tabela3[[#This Row],[Qtde Cx Produzida]]/Tabela3[[#This Row],[Tempo]]/24,0)</f>
        <v>7.2727272727272734</v>
      </c>
      <c r="L618" s="37">
        <f>Tabela3[[#This Row],[Qtde Cx Produzida]]*Tabela3[[#This Row],[Qdt Peça Placa]]</f>
        <v>80</v>
      </c>
      <c r="M618" s="37">
        <f>Tabela3[[#This Row],[Previsto]]-Tabela3[[#This Row],[Perda Pçs]]</f>
        <v>80</v>
      </c>
      <c r="N618" s="38">
        <f>IFERROR(Tabela3[[#This Row],[Perda Pçs]]/Tabela3[[#This Row],[Previsto]],0)</f>
        <v>0</v>
      </c>
      <c r="O618" s="39">
        <f>IFERROR(IF(Tabela3[[#This Row],[Qtde Cx Produzida]] &lt;&gt; 0, Tabela3[[#This Row],[Tempo]] / Tabela3[[#This Row],[Qtde Cx Produzida]], 0),0)</f>
        <v>5.7291666666666663E-3</v>
      </c>
      <c r="P618" s="57">
        <f>IFERROR(Tabela3[[#This Row],[Perda Pçs]]/Tabela3[[#This Row],[Qdt Peça Placa]],0)</f>
        <v>0</v>
      </c>
      <c r="Q618" s="37">
        <f>IFERROR(Tabela3[[#This Row],[Realizado]]*Tabela3[[#This Row],[Peso Util/Pç]],0)</f>
        <v>62.72</v>
      </c>
      <c r="R618" s="37">
        <f>IFERROR(Tabela3[[#This Row],[Peso Total Galho]]*Tabela3[[#This Row],[Qtde Cx Produzida]]*1.055,0)</f>
        <v>117.0628</v>
      </c>
      <c r="S618" s="37">
        <f>(Tabela3[[#This Row],[Aluminio Bruto]]-Tabela3[[#This Row],[Aluminio Util]])*0.9</f>
        <v>48.908519999999996</v>
      </c>
      <c r="T618" s="37">
        <f>Tabela3[[#This Row],[Aluminio Bruto]]/OleoKGAluminio</f>
        <v>49.248168599253781</v>
      </c>
      <c r="U618" s="35">
        <f>IFERROR((VLOOKUP(Tabela3[[#This Row],[Moldador]],Tabela1[],5,)+(VLOOKUP(Tabela3[[#This Row],[Ajudante]],Tabela1[],5,))*3.5),0)</f>
        <v>99.95034583333333</v>
      </c>
      <c r="V618" s="35">
        <f>IFERROR(Tabela3[[#This Row],[Custo M.O. / H]]/((Tabela3[[#This Row],[Realizado]]/Tabela3[[#This Row],[Qdt Peça Placa]])/Tabela3[[#This Row],[Tempo]]/24),)</f>
        <v>13.743172552083331</v>
      </c>
      <c r="W618" s="35">
        <f>Tabela3[[#This Row],[Custo / Cx Moldada]]*Tabela3[[#This Row],[Qtde Cx Produzida]]</f>
        <v>274.86345104166662</v>
      </c>
      <c r="X618" s="35">
        <f ca="1">Tabela3[[#This Row],[Aluminio Util]]*Tabela3[[#This Row],[Custo/Kg]]</f>
        <v>978.43200000000002</v>
      </c>
      <c r="Y618" s="35">
        <f>IFERROR(VLOOKUP(Tabela3[[#This Row],[Data]],Tabela461213[],2,1)*(Tabela3[[#This Row],[Qtde Cx Produzida]]*Tabela3[[#This Row],[Qde macho / CX]]*Tabela3[[#This Row],[Peso Macho]]),)</f>
        <v>1086.096</v>
      </c>
      <c r="Z618" s="35">
        <f>IFERROR(Tabela3[[#This Row],[Qtde Oleo]]*(VLOOKUP(Tabela3[[#This Row],[Data]],CompraOleo[],3,TRUE))*1.05,0)</f>
        <v>129.27644257304118</v>
      </c>
      <c r="AA618" s="47">
        <f ca="1">(Tabela3[[#This Row],[Custo Oleo]]+Tabela3[[#This Row],[Custo Aluminio]]+Tabela3[[#This Row],[Custo M.O. Total]]+Tabela3[[#This Row],[Custo Machos]])</f>
        <v>2468.6678936147077</v>
      </c>
      <c r="AB618" s="47">
        <f ca="1">Tabela3[[#This Row],[Custo Total]]*Tabela3[[#This Row],[% Perda]]</f>
        <v>0</v>
      </c>
      <c r="AC618" s="48">
        <f>IFERROR(VLOOKUP(Tabela3[[#This Row],[Produto]],Tabela2[],2,0),0)</f>
        <v>4</v>
      </c>
      <c r="AD618" s="48">
        <f>IFERROR(VLOOKUP(Tabela3[[#This Row],[Produto]],Tabela2[],3,0),0)</f>
        <v>0.78400000000000003</v>
      </c>
      <c r="AE618" s="48">
        <f>IFERROR(VLOOKUP(Tabela3[[#This Row],[Produto]],Tabela2[],4,0),0)</f>
        <v>5.548</v>
      </c>
      <c r="AF618" s="48">
        <f>IFERROR(VLOOKUP(Tabela3[[#This Row],[Produto]],Tabela2[],5,0),0)</f>
        <v>2.1707999999999998</v>
      </c>
      <c r="AG618" s="40">
        <f>IFERROR(VLOOKUP(Tabela3[[#This Row],[Produto]],Tabela2[],6,0),0)</f>
        <v>0</v>
      </c>
      <c r="AH618" s="40">
        <f>IFERROR(VLOOKUP(Tabela3[[#This Row],[Produto]],Tabela2[],7,0),0)</f>
        <v>12</v>
      </c>
      <c r="AI618" s="40">
        <f>IFERROR(VLOOKUP(Tabela3[[#This Row],[Produto]],Tabela2[],8,0),0)</f>
        <v>2.6619999999999999</v>
      </c>
      <c r="AJ618" s="35">
        <f ca="1">IFERROR(VLOOKUP(Tabela3[[#This Row],[Produto]],Tabela2[],13,0),0)</f>
        <v>15.600000000000001</v>
      </c>
      <c r="AK618" s="40" t="str">
        <f>IFERROR(VLOOKUP(Tabela3[[#This Row],[Produto]],Tabela2[],14,0),0)</f>
        <v>Jumil</v>
      </c>
      <c r="AL618" s="40">
        <f>IFERROR(VLOOKUP(Tabela3[[#This Row],[Produto]],Tabela2[],15,0),0)</f>
        <v>8</v>
      </c>
      <c r="AM618" s="36">
        <f ca="1">(Tabela3[[#This Row],[Custo Usinagem]]+Tabela3[[#This Row],[Custo / Pç]])*1.2</f>
        <v>46.630018404220614</v>
      </c>
      <c r="AN618" s="36">
        <f ca="1">Tabela3[[#This Row],[Valor Mínimo Venda]]*1.15</f>
        <v>53.624521164853704</v>
      </c>
      <c r="AO618" s="36">
        <f ca="1">Tabela3[[#This Row],[Tabela 1]]*1.08</f>
        <v>57.914482858042007</v>
      </c>
      <c r="AP618" s="36">
        <f ca="1">Tabela3[[#This Row],[Tabela 2]]*1.15</f>
        <v>66.601655286748297</v>
      </c>
    </row>
    <row r="619" spans="1:42">
      <c r="A619" s="9">
        <v>45908</v>
      </c>
      <c r="B619" s="6" t="s">
        <v>143</v>
      </c>
      <c r="C619" s="14">
        <v>7881</v>
      </c>
      <c r="D619" s="6" t="s">
        <v>46</v>
      </c>
      <c r="E619" s="6" t="s">
        <v>326</v>
      </c>
      <c r="F619" s="6">
        <v>4</v>
      </c>
      <c r="G619" s="15">
        <v>2.7083333333333334E-2</v>
      </c>
      <c r="H619" s="16">
        <v>0</v>
      </c>
      <c r="I619" s="35">
        <f ca="1">IFERROR(Tabela3[[#This Row],[Custo Total]]/Tabela3[[#This Row],[Aluminio Util]],0)</f>
        <v>82.885709946261485</v>
      </c>
      <c r="J619" s="35">
        <f ca="1">Tabela3[[#This Row],[Custo Total]]/Tabela3[[#This Row],[Realizado]]</f>
        <v>22.047598845705558</v>
      </c>
      <c r="K619" s="37">
        <f>IFERROR(Tabela3[[#This Row],[Qtde Cx Produzida]]/Tabela3[[#This Row],[Tempo]]/24,0)</f>
        <v>6.1538461538461533</v>
      </c>
      <c r="L619" s="37">
        <f>Tabela3[[#This Row],[Qtde Cx Produzida]]*Tabela3[[#This Row],[Qdt Peça Placa]]</f>
        <v>4</v>
      </c>
      <c r="M619" s="37">
        <f>Tabela3[[#This Row],[Previsto]]-Tabela3[[#This Row],[Perda Pçs]]</f>
        <v>4</v>
      </c>
      <c r="N619" s="38">
        <f>IFERROR(Tabela3[[#This Row],[Perda Pçs]]/Tabela3[[#This Row],[Previsto]],0)</f>
        <v>0</v>
      </c>
      <c r="O619" s="39">
        <f>IFERROR(IF(Tabela3[[#This Row],[Qtde Cx Produzida]] &lt;&gt; 0, Tabela3[[#This Row],[Tempo]] / Tabela3[[#This Row],[Qtde Cx Produzida]], 0),0)</f>
        <v>6.7708333333333336E-3</v>
      </c>
      <c r="P619" s="57">
        <f>IFERROR(Tabela3[[#This Row],[Perda Pçs]]/Tabela3[[#This Row],[Qdt Peça Placa]],0)</f>
        <v>0</v>
      </c>
      <c r="Q619" s="37">
        <f>IFERROR(Tabela3[[#This Row],[Realizado]]*Tabela3[[#This Row],[Peso Util/Pç]],0)</f>
        <v>1.0640000000000001</v>
      </c>
      <c r="R619" s="37">
        <f>IFERROR(Tabela3[[#This Row],[Peso Total Galho]]*Tabela3[[#This Row],[Qtde Cx Produzida]]*1.055,0)</f>
        <v>5.0639999999999992</v>
      </c>
      <c r="S619" s="37">
        <f>(Tabela3[[#This Row],[Aluminio Bruto]]-Tabela3[[#This Row],[Aluminio Util]])*0.9</f>
        <v>3.5999999999999992</v>
      </c>
      <c r="T619" s="37">
        <f>Tabela3[[#This Row],[Aluminio Bruto]]/OleoKGAluminio</f>
        <v>2.1304182523109061</v>
      </c>
      <c r="U619" s="35">
        <f>IFERROR((VLOOKUP(Tabela3[[#This Row],[Moldador]],Tabela1[],5,)+(VLOOKUP(Tabela3[[#This Row],[Ajudante]],Tabela1[],5,))*3.5),0)</f>
        <v>99.95034583333333</v>
      </c>
      <c r="V619" s="35">
        <f>IFERROR(Tabela3[[#This Row],[Custo M.O. / H]]/((Tabela3[[#This Row],[Realizado]]/Tabela3[[#This Row],[Qdt Peça Placa]])/Tabela3[[#This Row],[Tempo]]/24),)</f>
        <v>16.241931197916667</v>
      </c>
      <c r="W619" s="35">
        <f>Tabela3[[#This Row],[Custo / Cx Moldada]]*Tabela3[[#This Row],[Qtde Cx Produzida]]</f>
        <v>64.967724791666669</v>
      </c>
      <c r="X619" s="35">
        <f ca="1">Tabela3[[#This Row],[Aluminio Util]]*Tabela3[[#This Row],[Custo/Kg]]</f>
        <v>17.630322678839438</v>
      </c>
      <c r="Y619" s="35">
        <f>IFERROR(VLOOKUP(Tabela3[[#This Row],[Data]],Tabela461213[],2,1)*(Tabela3[[#This Row],[Qtde Cx Produzida]]*Tabela3[[#This Row],[Qde macho / CX]]*Tabela3[[#This Row],[Peso Macho]]),)</f>
        <v>0</v>
      </c>
      <c r="Z619" s="35">
        <f>IFERROR(Tabela3[[#This Row],[Qtde Oleo]]*(VLOOKUP(Tabela3[[#This Row],[Data]],CompraOleo[],3,TRUE))*1.05,0)</f>
        <v>5.5923479123161295</v>
      </c>
      <c r="AA619" s="47">
        <f ca="1">(Tabela3[[#This Row],[Custo Oleo]]+Tabela3[[#This Row],[Custo Aluminio]]+Tabela3[[#This Row],[Custo M.O. Total]]+Tabela3[[#This Row],[Custo Machos]])</f>
        <v>88.190395382822231</v>
      </c>
      <c r="AB619" s="47">
        <f ca="1">Tabela3[[#This Row],[Custo Total]]*Tabela3[[#This Row],[% Perda]]</f>
        <v>0</v>
      </c>
      <c r="AC619" s="48">
        <f>IFERROR(VLOOKUP(Tabela3[[#This Row],[Produto]],Tabela2[],2,0),0)</f>
        <v>1</v>
      </c>
      <c r="AD619" s="48">
        <f>IFERROR(VLOOKUP(Tabela3[[#This Row],[Produto]],Tabela2[],3,0),0)</f>
        <v>0.26600000000000001</v>
      </c>
      <c r="AE619" s="48">
        <f>IFERROR(VLOOKUP(Tabela3[[#This Row],[Produto]],Tabela2[],4,0),0)</f>
        <v>1.2</v>
      </c>
      <c r="AF619" s="48">
        <f>IFERROR(VLOOKUP(Tabela3[[#This Row],[Produto]],Tabela2[],5,0),0)</f>
        <v>0.84060000000000001</v>
      </c>
      <c r="AG619" s="40">
        <f>IFERROR(VLOOKUP(Tabela3[[#This Row],[Produto]],Tabela2[],6,0),0)</f>
        <v>0</v>
      </c>
      <c r="AH619" s="40">
        <f>IFERROR(VLOOKUP(Tabela3[[#This Row],[Produto]],Tabela2[],7,0),0)</f>
        <v>0</v>
      </c>
      <c r="AI619" s="40">
        <f>IFERROR(VLOOKUP(Tabela3[[#This Row],[Produto]],Tabela2[],8,0),0)</f>
        <v>0</v>
      </c>
      <c r="AJ619" s="35">
        <f ca="1">IFERROR(VLOOKUP(Tabela3[[#This Row],[Produto]],Tabela2[],13,0),0)</f>
        <v>16.569852141766386</v>
      </c>
      <c r="AK619" s="40" t="str">
        <f>IFERROR(VLOOKUP(Tabela3[[#This Row],[Produto]],Tabela2[],14,0),0)</f>
        <v>Danilo</v>
      </c>
      <c r="AL619" s="40">
        <f>IFERROR(VLOOKUP(Tabela3[[#This Row],[Produto]],Tabela2[],15,0),0)</f>
        <v>0</v>
      </c>
      <c r="AM619" s="36">
        <f ca="1">(Tabela3[[#This Row],[Custo Usinagem]]+Tabela3[[#This Row],[Custo / Pç]])*1.2</f>
        <v>26.457118614846667</v>
      </c>
      <c r="AN619" s="36">
        <f ca="1">Tabela3[[#This Row],[Valor Mínimo Venda]]*1.15</f>
        <v>30.425686407073666</v>
      </c>
      <c r="AO619" s="36">
        <f ca="1">Tabela3[[#This Row],[Tabela 1]]*1.08</f>
        <v>32.859741319639561</v>
      </c>
      <c r="AP619" s="36">
        <f ca="1">Tabela3[[#This Row],[Tabela 2]]*1.15</f>
        <v>37.788702517585492</v>
      </c>
    </row>
    <row r="620" spans="1:42">
      <c r="A620" s="9">
        <v>45908</v>
      </c>
      <c r="B620" s="6" t="s">
        <v>241</v>
      </c>
      <c r="C620" s="14">
        <v>7784</v>
      </c>
      <c r="D620" s="6" t="s">
        <v>44</v>
      </c>
      <c r="E620" s="6" t="s">
        <v>47</v>
      </c>
      <c r="F620" s="6">
        <v>25</v>
      </c>
      <c r="G620" s="15">
        <v>0.15625</v>
      </c>
      <c r="H620" s="16">
        <v>0</v>
      </c>
      <c r="I620" s="35">
        <f ca="1">IFERROR(Tabela3[[#This Row],[Custo Total]]/Tabela3[[#This Row],[Aluminio Util]],0)</f>
        <v>23.781328372975732</v>
      </c>
      <c r="J620" s="35">
        <f ca="1">Tabela3[[#This Row],[Custo Total]]/Tabela3[[#This Row],[Realizado]]</f>
        <v>14.577954292634125</v>
      </c>
      <c r="K620" s="37">
        <f>IFERROR(Tabela3[[#This Row],[Qtde Cx Produzida]]/Tabela3[[#This Row],[Tempo]]/24,0)</f>
        <v>6.666666666666667</v>
      </c>
      <c r="L620" s="37">
        <f>Tabela3[[#This Row],[Qtde Cx Produzida]]*Tabela3[[#This Row],[Qdt Peça Placa]]</f>
        <v>100</v>
      </c>
      <c r="M620" s="37">
        <f>Tabela3[[#This Row],[Previsto]]-Tabela3[[#This Row],[Perda Pçs]]</f>
        <v>100</v>
      </c>
      <c r="N620" s="38">
        <f>IFERROR(Tabela3[[#This Row],[Perda Pçs]]/Tabela3[[#This Row],[Previsto]],0)</f>
        <v>0</v>
      </c>
      <c r="O620" s="39">
        <f>IFERROR(IF(Tabela3[[#This Row],[Qtde Cx Produzida]] &lt;&gt; 0, Tabela3[[#This Row],[Tempo]] / Tabela3[[#This Row],[Qtde Cx Produzida]], 0),0)</f>
        <v>6.2500000000000003E-3</v>
      </c>
      <c r="P620" s="57">
        <f>IFERROR(Tabela3[[#This Row],[Perda Pçs]]/Tabela3[[#This Row],[Qdt Peça Placa]],0)</f>
        <v>0</v>
      </c>
      <c r="Q620" s="37">
        <f>IFERROR(Tabela3[[#This Row],[Realizado]]*Tabela3[[#This Row],[Peso Util/Pç]],0)</f>
        <v>61.3</v>
      </c>
      <c r="R620" s="37">
        <f>IFERROR(Tabela3[[#This Row],[Peso Total Galho]]*Tabela3[[#This Row],[Qtde Cx Produzida]]*1.055,0)</f>
        <v>114.73124999999997</v>
      </c>
      <c r="S620" s="37">
        <f>(Tabela3[[#This Row],[Aluminio Bruto]]-Tabela3[[#This Row],[Aluminio Util]])*0.9</f>
        <v>48.088124999999984</v>
      </c>
      <c r="T620" s="37">
        <f>Tabela3[[#This Row],[Aluminio Bruto]]/OleoKGAluminio</f>
        <v>48.267288528918961</v>
      </c>
      <c r="U620" s="35">
        <f>IFERROR((VLOOKUP(Tabela3[[#This Row],[Moldador]],Tabela1[],5,)+(VLOOKUP(Tabela3[[#This Row],[Ajudante]],Tabela1[],5,))*3.5),0)</f>
        <v>99.95034583333333</v>
      </c>
      <c r="V620" s="35">
        <f>IFERROR(Tabela3[[#This Row],[Custo M.O. / H]]/((Tabela3[[#This Row],[Realizado]]/Tabela3[[#This Row],[Qdt Peça Placa]])/Tabela3[[#This Row],[Tempo]]/24),)</f>
        <v>14.992551874999998</v>
      </c>
      <c r="W620" s="35">
        <f>Tabela3[[#This Row],[Custo / Cx Moldada]]*Tabela3[[#This Row],[Qtde Cx Produzida]]</f>
        <v>374.81379687499998</v>
      </c>
      <c r="X620" s="35">
        <f ca="1">Tabela3[[#This Row],[Aluminio Util]]*Tabela3[[#This Row],[Custo/Kg]]</f>
        <v>956.28000000000009</v>
      </c>
      <c r="Y620" s="35">
        <f>IFERROR(VLOOKUP(Tabela3[[#This Row],[Data]],Tabela461213[],2,1)*(Tabela3[[#This Row],[Qtde Cx Produzida]]*Tabela3[[#This Row],[Qde macho / CX]]*Tabela3[[#This Row],[Peso Macho]]),)</f>
        <v>0</v>
      </c>
      <c r="Z620" s="35">
        <f>IFERROR(Tabela3[[#This Row],[Qtde Oleo]]*(VLOOKUP(Tabela3[[#This Row],[Data]],CompraOleo[],3,TRUE))*1.05,0)</f>
        <v>126.70163238841228</v>
      </c>
      <c r="AA620" s="47">
        <f ca="1">(Tabela3[[#This Row],[Custo Oleo]]+Tabela3[[#This Row],[Custo Aluminio]]+Tabela3[[#This Row],[Custo M.O. Total]]+Tabela3[[#This Row],[Custo Machos]])</f>
        <v>1457.7954292634124</v>
      </c>
      <c r="AB620" s="47">
        <f ca="1">Tabela3[[#This Row],[Custo Total]]*Tabela3[[#This Row],[% Perda]]</f>
        <v>0</v>
      </c>
      <c r="AC620" s="48">
        <f>IFERROR(VLOOKUP(Tabela3[[#This Row],[Produto]],Tabela2[],2,0),0)</f>
        <v>4</v>
      </c>
      <c r="AD620" s="48">
        <f>IFERROR(VLOOKUP(Tabela3[[#This Row],[Produto]],Tabela2[],3,0),0)</f>
        <v>0.61299999999999999</v>
      </c>
      <c r="AE620" s="48">
        <f>IFERROR(VLOOKUP(Tabela3[[#This Row],[Produto]],Tabela2[],4,0),0)</f>
        <v>4.3499999999999996</v>
      </c>
      <c r="AF620" s="48">
        <f>IFERROR(VLOOKUP(Tabela3[[#This Row],[Produto]],Tabela2[],5,0),0)</f>
        <v>1.7081999999999997</v>
      </c>
      <c r="AG620" s="40">
        <f>IFERROR(VLOOKUP(Tabela3[[#This Row],[Produto]],Tabela2[],6,0),0)</f>
        <v>0</v>
      </c>
      <c r="AH620" s="40">
        <f>IFERROR(VLOOKUP(Tabela3[[#This Row],[Produto]],Tabela2[],7,0),0)</f>
        <v>0</v>
      </c>
      <c r="AI620" s="40">
        <f>IFERROR(VLOOKUP(Tabela3[[#This Row],[Produto]],Tabela2[],8,0),0)</f>
        <v>0</v>
      </c>
      <c r="AJ620" s="35">
        <f ca="1">IFERROR(VLOOKUP(Tabela3[[#This Row],[Produto]],Tabela2[],13,0),0)</f>
        <v>15.600000000000001</v>
      </c>
      <c r="AK620" s="40" t="str">
        <f>IFERROR(VLOOKUP(Tabela3[[#This Row],[Produto]],Tabela2[],14,0),0)</f>
        <v>Senun</v>
      </c>
      <c r="AL620" s="40">
        <f>IFERROR(VLOOKUP(Tabela3[[#This Row],[Produto]],Tabela2[],15,0),0)</f>
        <v>4</v>
      </c>
      <c r="AM620" s="36">
        <f ca="1">(Tabela3[[#This Row],[Custo Usinagem]]+Tabela3[[#This Row],[Custo / Pç]])*1.2</f>
        <v>22.293545151160949</v>
      </c>
      <c r="AN620" s="36">
        <f ca="1">Tabela3[[#This Row],[Valor Mínimo Venda]]*1.15</f>
        <v>25.637576923835088</v>
      </c>
      <c r="AO620" s="36">
        <f ca="1">Tabela3[[#This Row],[Tabela 1]]*1.08</f>
        <v>27.688583077741896</v>
      </c>
      <c r="AP620" s="36">
        <f ca="1">Tabela3[[#This Row],[Tabela 2]]*1.15</f>
        <v>31.841870539403178</v>
      </c>
    </row>
    <row r="621" spans="1:42">
      <c r="A621" s="9">
        <v>45908</v>
      </c>
      <c r="B621" s="6" t="s">
        <v>236</v>
      </c>
      <c r="C621" s="14">
        <v>7865</v>
      </c>
      <c r="D621" s="6" t="s">
        <v>44</v>
      </c>
      <c r="E621" s="6" t="s">
        <v>47</v>
      </c>
      <c r="F621" s="6">
        <v>46</v>
      </c>
      <c r="G621" s="15">
        <v>0.26111111111111113</v>
      </c>
      <c r="H621" s="16">
        <v>0</v>
      </c>
      <c r="I621" s="35">
        <f ca="1">IFERROR(Tabela3[[#This Row],[Custo Total]]/Tabela3[[#This Row],[Aluminio Util]],0)</f>
        <v>24.498267056186076</v>
      </c>
      <c r="J621" s="35">
        <f ca="1">Tabela3[[#This Row],[Custo Total]]/Tabela3[[#This Row],[Realizado]]</f>
        <v>7.3984766509681954</v>
      </c>
      <c r="K621" s="37">
        <f>IFERROR(Tabela3[[#This Row],[Qtde Cx Produzida]]/Tabela3[[#This Row],[Tempo]]/24,0)</f>
        <v>7.3404255319148932</v>
      </c>
      <c r="L621" s="37">
        <f>Tabela3[[#This Row],[Qtde Cx Produzida]]*Tabela3[[#This Row],[Qdt Peça Placa]]</f>
        <v>276</v>
      </c>
      <c r="M621" s="37">
        <f>Tabela3[[#This Row],[Previsto]]-Tabela3[[#This Row],[Perda Pçs]]</f>
        <v>276</v>
      </c>
      <c r="N621" s="38">
        <f>IFERROR(Tabela3[[#This Row],[Perda Pçs]]/Tabela3[[#This Row],[Previsto]],0)</f>
        <v>0</v>
      </c>
      <c r="O621" s="39">
        <f>IFERROR(IF(Tabela3[[#This Row],[Qtde Cx Produzida]] &lt;&gt; 0, Tabela3[[#This Row],[Tempo]] / Tabela3[[#This Row],[Qtde Cx Produzida]], 0),0)</f>
        <v>5.6763285024154595E-3</v>
      </c>
      <c r="P621" s="57">
        <f>IFERROR(Tabela3[[#This Row],[Perda Pçs]]/Tabela3[[#This Row],[Qdt Peça Placa]],0)</f>
        <v>0</v>
      </c>
      <c r="Q621" s="37">
        <f>IFERROR(Tabela3[[#This Row],[Realizado]]*Tabela3[[#This Row],[Peso Util/Pç]],0)</f>
        <v>83.352000000000004</v>
      </c>
      <c r="R621" s="37">
        <f>IFERROR(Tabela3[[#This Row],[Peso Total Galho]]*Tabela3[[#This Row],[Qtde Cx Produzida]]*1.055,0)</f>
        <v>104.43656</v>
      </c>
      <c r="S621" s="37">
        <f>(Tabela3[[#This Row],[Aluminio Bruto]]-Tabela3[[#This Row],[Aluminio Util]])*0.9</f>
        <v>18.976103999999996</v>
      </c>
      <c r="T621" s="37">
        <f>Tabela3[[#This Row],[Aluminio Bruto]]/OleoKGAluminio</f>
        <v>43.936325756825255</v>
      </c>
      <c r="U621" s="35">
        <f>IFERROR((VLOOKUP(Tabela3[[#This Row],[Moldador]],Tabela1[],5,)+(VLOOKUP(Tabela3[[#This Row],[Ajudante]],Tabela1[],5,))*3.5),0)</f>
        <v>99.95034583333333</v>
      </c>
      <c r="V621" s="35">
        <f>IFERROR(Tabela3[[#This Row],[Custo M.O. / H]]/((Tabela3[[#This Row],[Realizado]]/Tabela3[[#This Row],[Qdt Peça Placa]])/Tabela3[[#This Row],[Tempo]]/24),)</f>
        <v>13.616423925120774</v>
      </c>
      <c r="W621" s="35">
        <f>Tabela3[[#This Row],[Custo / Cx Moldada]]*Tabela3[[#This Row],[Qtde Cx Produzida]]</f>
        <v>626.35550055555564</v>
      </c>
      <c r="X621" s="35">
        <f ca="1">Tabela3[[#This Row],[Aluminio Util]]*Tabela3[[#This Row],[Custo/Kg]]</f>
        <v>1300.2912000000001</v>
      </c>
      <c r="Y621" s="35">
        <f>IFERROR(VLOOKUP(Tabela3[[#This Row],[Data]],Tabela461213[],2,1)*(Tabela3[[#This Row],[Qtde Cx Produzida]]*Tabela3[[#This Row],[Qde macho / CX]]*Tabela3[[#This Row],[Peso Macho]]),)</f>
        <v>0</v>
      </c>
      <c r="Z621" s="35">
        <f>IFERROR(Tabela3[[#This Row],[Qtde Oleo]]*(VLOOKUP(Tabela3[[#This Row],[Data]],CompraOleo[],3,TRUE))*1.05,0)</f>
        <v>115.3328551116663</v>
      </c>
      <c r="AA621" s="47">
        <f ca="1">(Tabela3[[#This Row],[Custo Oleo]]+Tabela3[[#This Row],[Custo Aluminio]]+Tabela3[[#This Row],[Custo M.O. Total]]+Tabela3[[#This Row],[Custo Machos]])</f>
        <v>2041.979555667222</v>
      </c>
      <c r="AB621" s="47">
        <f ca="1">Tabela3[[#This Row],[Custo Total]]*Tabela3[[#This Row],[% Perda]]</f>
        <v>0</v>
      </c>
      <c r="AC621" s="48">
        <f>IFERROR(VLOOKUP(Tabela3[[#This Row],[Produto]],Tabela2[],2,0),0)</f>
        <v>6</v>
      </c>
      <c r="AD621" s="48">
        <f>IFERROR(VLOOKUP(Tabela3[[#This Row],[Produto]],Tabela2[],3,0),0)</f>
        <v>0.30199999999999999</v>
      </c>
      <c r="AE621" s="48">
        <f>IFERROR(VLOOKUP(Tabela3[[#This Row],[Produto]],Tabela2[],4,0),0)</f>
        <v>2.1520000000000001</v>
      </c>
      <c r="AF621" s="48">
        <f>IFERROR(VLOOKUP(Tabela3[[#This Row],[Produto]],Tabela2[],5,0),0)</f>
        <v>0.30600000000000027</v>
      </c>
      <c r="AG621" s="40">
        <f>IFERROR(VLOOKUP(Tabela3[[#This Row],[Produto]],Tabela2[],6,0),0)</f>
        <v>0</v>
      </c>
      <c r="AH621" s="40">
        <f>IFERROR(VLOOKUP(Tabela3[[#This Row],[Produto]],Tabela2[],7,0),0)</f>
        <v>0</v>
      </c>
      <c r="AI621" s="40">
        <f>IFERROR(VLOOKUP(Tabela3[[#This Row],[Produto]],Tabela2[],8,0),0)</f>
        <v>0</v>
      </c>
      <c r="AJ621" s="35">
        <f ca="1">IFERROR(VLOOKUP(Tabela3[[#This Row],[Produto]],Tabela2[],13,0),0)</f>
        <v>15.600000000000001</v>
      </c>
      <c r="AK621" s="40" t="str">
        <f>IFERROR(VLOOKUP(Tabela3[[#This Row],[Produto]],Tabela2[],14,0),0)</f>
        <v>Senun</v>
      </c>
      <c r="AL621" s="40">
        <f>IFERROR(VLOOKUP(Tabela3[[#This Row],[Produto]],Tabela2[],15,0),0)</f>
        <v>4</v>
      </c>
      <c r="AM621" s="36">
        <f ca="1">(Tabela3[[#This Row],[Custo Usinagem]]+Tabela3[[#This Row],[Custo / Pç]])*1.2</f>
        <v>13.678171981161833</v>
      </c>
      <c r="AN621" s="36">
        <f ca="1">Tabela3[[#This Row],[Valor Mínimo Venda]]*1.15</f>
        <v>15.729897778336108</v>
      </c>
      <c r="AO621" s="36">
        <f ca="1">Tabela3[[#This Row],[Tabela 1]]*1.08</f>
        <v>16.988289600602997</v>
      </c>
      <c r="AP621" s="36">
        <f ca="1">Tabela3[[#This Row],[Tabela 2]]*1.15</f>
        <v>19.536533040693445</v>
      </c>
    </row>
    <row r="622" spans="1:42">
      <c r="A622" s="9">
        <v>45909</v>
      </c>
      <c r="B622" s="6" t="s">
        <v>247</v>
      </c>
      <c r="C622" s="14">
        <v>7864</v>
      </c>
      <c r="D622" s="6" t="s">
        <v>46</v>
      </c>
      <c r="E622" s="6" t="s">
        <v>326</v>
      </c>
      <c r="F622" s="6">
        <v>83</v>
      </c>
      <c r="G622" s="15">
        <v>0.44027777777777777</v>
      </c>
      <c r="H622" s="16">
        <v>152</v>
      </c>
      <c r="I622" s="35">
        <f ca="1">IFERROR(Tabela3[[#This Row],[Custo Total]]/Tabela3[[#This Row],[Aluminio Util]],0)</f>
        <v>55.792732563107435</v>
      </c>
      <c r="J622" s="35">
        <f ca="1">Tabela3[[#This Row],[Custo Total]]/Tabela3[[#This Row],[Realizado]]</f>
        <v>16.73781976893223</v>
      </c>
      <c r="K622" s="37">
        <f>IFERROR(Tabela3[[#This Row],[Qtde Cx Produzida]]/Tabela3[[#This Row],[Tempo]]/24,0)</f>
        <v>7.8548895899053628</v>
      </c>
      <c r="L622" s="37">
        <f>Tabela3[[#This Row],[Qtde Cx Produzida]]*Tabela3[[#This Row],[Qdt Peça Placa]]</f>
        <v>332</v>
      </c>
      <c r="M622" s="37">
        <f>Tabela3[[#This Row],[Previsto]]-Tabela3[[#This Row],[Perda Pçs]]</f>
        <v>180</v>
      </c>
      <c r="N622" s="38">
        <f>IFERROR(Tabela3[[#This Row],[Perda Pçs]]/Tabela3[[#This Row],[Previsto]],0)</f>
        <v>0.45783132530120479</v>
      </c>
      <c r="O622" s="39">
        <f>IFERROR(IF(Tabela3[[#This Row],[Qtde Cx Produzida]] &lt;&gt; 0, Tabela3[[#This Row],[Tempo]] / Tabela3[[#This Row],[Qtde Cx Produzida]], 0),0)</f>
        <v>5.3045515394912982E-3</v>
      </c>
      <c r="P622" s="57">
        <f>IFERROR(Tabela3[[#This Row],[Perda Pçs]]/Tabela3[[#This Row],[Qdt Peça Placa]],0)</f>
        <v>38</v>
      </c>
      <c r="Q622" s="37">
        <f>IFERROR(Tabela3[[#This Row],[Realizado]]*Tabela3[[#This Row],[Peso Util/Pç]],0)</f>
        <v>54</v>
      </c>
      <c r="R622" s="37">
        <f>IFERROR(Tabela3[[#This Row],[Peso Total Galho]]*Tabela3[[#This Row],[Qtde Cx Produzida]]*1.055,0)</f>
        <v>201.39949999999996</v>
      </c>
      <c r="S622" s="37">
        <f>(Tabela3[[#This Row],[Aluminio Bruto]]-Tabela3[[#This Row],[Aluminio Util]])*0.9</f>
        <v>132.65954999999997</v>
      </c>
      <c r="T622" s="37">
        <f>Tabela3[[#This Row],[Aluminio Bruto]]/OleoKGAluminio</f>
        <v>84.72850924294832</v>
      </c>
      <c r="U622" s="35">
        <f>IFERROR((VLOOKUP(Tabela3[[#This Row],[Moldador]],Tabela1[],5,)+(VLOOKUP(Tabela3[[#This Row],[Ajudante]],Tabela1[],5,))*3.5),0)</f>
        <v>99.95034583333333</v>
      </c>
      <c r="V622" s="35">
        <f>IFERROR(Tabela3[[#This Row],[Custo M.O. / H]]/((Tabela3[[#This Row],[Realizado]]/Tabela3[[#This Row],[Qdt Peça Placa]])/Tabela3[[#This Row],[Tempo]]/24),)</f>
        <v>23.469821947530864</v>
      </c>
      <c r="W622" s="35">
        <f>Tabela3[[#This Row],[Custo / Cx Moldada]]*Tabela3[[#This Row],[Qtde Cx Produzida]]</f>
        <v>1947.9952216450617</v>
      </c>
      <c r="X622" s="35">
        <f ca="1">Tabela3[[#This Row],[Aluminio Util]]*Tabela3[[#This Row],[Custo/Kg]]</f>
        <v>842.40000000000009</v>
      </c>
      <c r="Y622" s="35">
        <f>IFERROR(VLOOKUP(Tabela3[[#This Row],[Data]],Tabela461213[],2,1)*(Tabela3[[#This Row],[Qtde Cx Produzida]]*Tabela3[[#This Row],[Qde macho / CX]]*Tabela3[[#This Row],[Peso Macho]]),)</f>
        <v>0</v>
      </c>
      <c r="Z622" s="35">
        <f>IFERROR(Tabela3[[#This Row],[Qtde Oleo]]*(VLOOKUP(Tabela3[[#This Row],[Data]],CompraOleo[],3,TRUE))*1.05,0)</f>
        <v>222.41233676273936</v>
      </c>
      <c r="AA622" s="47">
        <f ca="1">(Tabela3[[#This Row],[Custo Oleo]]+Tabela3[[#This Row],[Custo Aluminio]]+Tabela3[[#This Row],[Custo M.O. Total]]+Tabela3[[#This Row],[Custo Machos]])</f>
        <v>3012.8075584078015</v>
      </c>
      <c r="AB622" s="47">
        <f ca="1">Tabela3[[#This Row],[Custo Total]]*Tabela3[[#This Row],[% Perda]]</f>
        <v>1379.3576773433308</v>
      </c>
      <c r="AC622" s="48">
        <f>IFERROR(VLOOKUP(Tabela3[[#This Row],[Produto]],Tabela2[],2,0),0)</f>
        <v>4</v>
      </c>
      <c r="AD622" s="48">
        <f>IFERROR(VLOOKUP(Tabela3[[#This Row],[Produto]],Tabela2[],3,0),0)</f>
        <v>0.3</v>
      </c>
      <c r="AE622" s="48">
        <f>IFERROR(VLOOKUP(Tabela3[[#This Row],[Produto]],Tabela2[],4,0),0)</f>
        <v>2.2999999999999998</v>
      </c>
      <c r="AF622" s="48">
        <f>IFERROR(VLOOKUP(Tabela3[[#This Row],[Produto]],Tabela2[],5,0),0)</f>
        <v>0.98999999999999988</v>
      </c>
      <c r="AG622" s="40">
        <f>IFERROR(VLOOKUP(Tabela3[[#This Row],[Produto]],Tabela2[],6,0),0)</f>
        <v>0</v>
      </c>
      <c r="AH622" s="40">
        <f>IFERROR(VLOOKUP(Tabela3[[#This Row],[Produto]],Tabela2[],7,0),0)</f>
        <v>0</v>
      </c>
      <c r="AI622" s="40">
        <f>IFERROR(VLOOKUP(Tabela3[[#This Row],[Produto]],Tabela2[],8,0),0)</f>
        <v>0</v>
      </c>
      <c r="AJ622" s="35">
        <f ca="1">IFERROR(VLOOKUP(Tabela3[[#This Row],[Produto]],Tabela2[],13,0),0)</f>
        <v>15.600000000000001</v>
      </c>
      <c r="AK622" s="40" t="str">
        <f>IFERROR(VLOOKUP(Tabela3[[#This Row],[Produto]],Tabela2[],14,0),0)</f>
        <v>Senun</v>
      </c>
      <c r="AL622" s="40">
        <f>IFERROR(VLOOKUP(Tabela3[[#This Row],[Produto]],Tabela2[],15,0),0)</f>
        <v>3.5</v>
      </c>
      <c r="AM622" s="36">
        <f ca="1">(Tabela3[[#This Row],[Custo Usinagem]]+Tabela3[[#This Row],[Custo / Pç]])*1.2</f>
        <v>24.285383722718674</v>
      </c>
      <c r="AN622" s="36">
        <f ca="1">Tabela3[[#This Row],[Valor Mínimo Venda]]*1.15</f>
        <v>27.928191281126473</v>
      </c>
      <c r="AO622" s="36">
        <f ca="1">Tabela3[[#This Row],[Tabela 1]]*1.08</f>
        <v>30.162446583616592</v>
      </c>
      <c r="AP622" s="36">
        <f ca="1">Tabela3[[#This Row],[Tabela 2]]*1.15</f>
        <v>34.686813571159078</v>
      </c>
    </row>
    <row r="623" spans="1:42">
      <c r="A623" s="9">
        <v>45909</v>
      </c>
      <c r="B623" s="6" t="s">
        <v>236</v>
      </c>
      <c r="C623" s="14">
        <v>7865</v>
      </c>
      <c r="D623" s="6" t="s">
        <v>44</v>
      </c>
      <c r="E623" s="6" t="s">
        <v>47</v>
      </c>
      <c r="F623" s="6">
        <v>65</v>
      </c>
      <c r="G623" s="15">
        <v>0.35694444444444445</v>
      </c>
      <c r="H623" s="16">
        <v>157</v>
      </c>
      <c r="I623" s="35">
        <f ca="1">IFERROR(Tabela3[[#This Row],[Custo Total]]/Tabela3[[#This Row],[Aluminio Util]],0)</f>
        <v>38.283738229793514</v>
      </c>
      <c r="J623" s="35">
        <f ca="1">Tabela3[[#This Row],[Custo Total]]/Tabela3[[#This Row],[Realizado]]</f>
        <v>11.561688945397639</v>
      </c>
      <c r="K623" s="37">
        <f>IFERROR(Tabela3[[#This Row],[Qtde Cx Produzida]]/Tabela3[[#This Row],[Tempo]]/24,0)</f>
        <v>7.5875486381322963</v>
      </c>
      <c r="L623" s="37">
        <f>Tabela3[[#This Row],[Qtde Cx Produzida]]*Tabela3[[#This Row],[Qdt Peça Placa]]</f>
        <v>390</v>
      </c>
      <c r="M623" s="37">
        <f>Tabela3[[#This Row],[Previsto]]-Tabela3[[#This Row],[Perda Pçs]]</f>
        <v>233</v>
      </c>
      <c r="N623" s="38">
        <f>IFERROR(Tabela3[[#This Row],[Perda Pçs]]/Tabela3[[#This Row],[Previsto]],0)</f>
        <v>0.40256410256410258</v>
      </c>
      <c r="O623" s="39">
        <f>IFERROR(IF(Tabela3[[#This Row],[Qtde Cx Produzida]] &lt;&gt; 0, Tabela3[[#This Row],[Tempo]] / Tabela3[[#This Row],[Qtde Cx Produzida]], 0),0)</f>
        <v>5.4914529914529917E-3</v>
      </c>
      <c r="P623" s="57">
        <f>IFERROR(Tabela3[[#This Row],[Perda Pçs]]/Tabela3[[#This Row],[Qdt Peça Placa]],0)</f>
        <v>26.166666666666668</v>
      </c>
      <c r="Q623" s="37">
        <f>IFERROR(Tabela3[[#This Row],[Realizado]]*Tabela3[[#This Row],[Peso Util/Pç]],0)</f>
        <v>70.366</v>
      </c>
      <c r="R623" s="37">
        <f>IFERROR(Tabela3[[#This Row],[Peso Total Galho]]*Tabela3[[#This Row],[Qtde Cx Produzida]]*1.055,0)</f>
        <v>147.57339999999999</v>
      </c>
      <c r="S623" s="37">
        <f>(Tabela3[[#This Row],[Aluminio Bruto]]-Tabela3[[#This Row],[Aluminio Util]])*0.9</f>
        <v>69.486660000000001</v>
      </c>
      <c r="T623" s="37">
        <f>Tabela3[[#This Row],[Aluminio Bruto]]/OleoKGAluminio</f>
        <v>62.083938569426991</v>
      </c>
      <c r="U623" s="35">
        <f>IFERROR((VLOOKUP(Tabela3[[#This Row],[Moldador]],Tabela1[],5,)+(VLOOKUP(Tabela3[[#This Row],[Ajudante]],Tabela1[],5,))*3.5),0)</f>
        <v>99.95034583333333</v>
      </c>
      <c r="V623" s="35">
        <f>IFERROR(Tabela3[[#This Row],[Custo M.O. / H]]/((Tabela3[[#This Row],[Realizado]]/Tabela3[[#This Row],[Qdt Peça Placa]])/Tabela3[[#This Row],[Tempo]]/24),)</f>
        <v>22.049132085121602</v>
      </c>
      <c r="W623" s="35">
        <f>Tabela3[[#This Row],[Custo / Cx Moldada]]*Tabela3[[#This Row],[Qtde Cx Produzida]]</f>
        <v>1433.1935855329041</v>
      </c>
      <c r="X623" s="35">
        <f ca="1">Tabela3[[#This Row],[Aluminio Util]]*Tabela3[[#This Row],[Custo/Kg]]</f>
        <v>1097.7096000000001</v>
      </c>
      <c r="Y623" s="35">
        <f>IFERROR(VLOOKUP(Tabela3[[#This Row],[Data]],Tabela461213[],2,1)*(Tabela3[[#This Row],[Qtde Cx Produzida]]*Tabela3[[#This Row],[Qde macho / CX]]*Tabela3[[#This Row],[Peso Macho]]),)</f>
        <v>0</v>
      </c>
      <c r="Z623" s="35">
        <f>IFERROR(Tabela3[[#This Row],[Qtde Oleo]]*(VLOOKUP(Tabela3[[#This Row],[Data]],CompraOleo[],3,TRUE))*1.05,0)</f>
        <v>162.97033874474587</v>
      </c>
      <c r="AA623" s="47">
        <f ca="1">(Tabela3[[#This Row],[Custo Oleo]]+Tabela3[[#This Row],[Custo Aluminio]]+Tabela3[[#This Row],[Custo M.O. Total]]+Tabela3[[#This Row],[Custo Machos]])</f>
        <v>2693.8735242776502</v>
      </c>
      <c r="AB623" s="47">
        <f ca="1">Tabela3[[#This Row],[Custo Total]]*Tabela3[[#This Row],[% Perda]]</f>
        <v>1084.4567777220284</v>
      </c>
      <c r="AC623" s="48">
        <f>IFERROR(VLOOKUP(Tabela3[[#This Row],[Produto]],Tabela2[],2,0),0)</f>
        <v>6</v>
      </c>
      <c r="AD623" s="48">
        <f>IFERROR(VLOOKUP(Tabela3[[#This Row],[Produto]],Tabela2[],3,0),0)</f>
        <v>0.30199999999999999</v>
      </c>
      <c r="AE623" s="48">
        <f>IFERROR(VLOOKUP(Tabela3[[#This Row],[Produto]],Tabela2[],4,0),0)</f>
        <v>2.1520000000000001</v>
      </c>
      <c r="AF623" s="48">
        <f>IFERROR(VLOOKUP(Tabela3[[#This Row],[Produto]],Tabela2[],5,0),0)</f>
        <v>0.30600000000000027</v>
      </c>
      <c r="AG623" s="40">
        <f>IFERROR(VLOOKUP(Tabela3[[#This Row],[Produto]],Tabela2[],6,0),0)</f>
        <v>0</v>
      </c>
      <c r="AH623" s="40">
        <f>IFERROR(VLOOKUP(Tabela3[[#This Row],[Produto]],Tabela2[],7,0),0)</f>
        <v>0</v>
      </c>
      <c r="AI623" s="40">
        <f>IFERROR(VLOOKUP(Tabela3[[#This Row],[Produto]],Tabela2[],8,0),0)</f>
        <v>0</v>
      </c>
      <c r="AJ623" s="35">
        <f ca="1">IFERROR(VLOOKUP(Tabela3[[#This Row],[Produto]],Tabela2[],13,0),0)</f>
        <v>15.600000000000001</v>
      </c>
      <c r="AK623" s="40" t="str">
        <f>IFERROR(VLOOKUP(Tabela3[[#This Row],[Produto]],Tabela2[],14,0),0)</f>
        <v>Senun</v>
      </c>
      <c r="AL623" s="40">
        <f>IFERROR(VLOOKUP(Tabela3[[#This Row],[Produto]],Tabela2[],15,0),0)</f>
        <v>4</v>
      </c>
      <c r="AM623" s="36">
        <f ca="1">(Tabela3[[#This Row],[Custo Usinagem]]+Tabela3[[#This Row],[Custo / Pç]])*1.2</f>
        <v>18.674026734477167</v>
      </c>
      <c r="AN623" s="36">
        <f ca="1">Tabela3[[#This Row],[Valor Mínimo Venda]]*1.15</f>
        <v>21.475130744648741</v>
      </c>
      <c r="AO623" s="36">
        <f ca="1">Tabela3[[#This Row],[Tabela 1]]*1.08</f>
        <v>23.193141204220641</v>
      </c>
      <c r="AP623" s="36">
        <f ca="1">Tabela3[[#This Row],[Tabela 2]]*1.15</f>
        <v>26.672112384853737</v>
      </c>
    </row>
    <row r="624" spans="1:42">
      <c r="A624" s="9">
        <v>45910</v>
      </c>
      <c r="B624" s="6" t="s">
        <v>247</v>
      </c>
      <c r="C624" s="14">
        <v>7864</v>
      </c>
      <c r="D624" s="6" t="s">
        <v>46</v>
      </c>
      <c r="E624" s="6" t="s">
        <v>326</v>
      </c>
      <c r="F624" s="6">
        <v>67</v>
      </c>
      <c r="G624" s="15">
        <v>0.35694444444444445</v>
      </c>
      <c r="H624" s="16">
        <v>0</v>
      </c>
      <c r="I624" s="35">
        <f ca="1">IFERROR(Tabela3[[#This Row],[Custo Total]]/Tabela3[[#This Row],[Aluminio Util]],0)</f>
        <v>28.482822952825931</v>
      </c>
      <c r="J624" s="35">
        <f ca="1">Tabela3[[#This Row],[Custo Total]]/Tabela3[[#This Row],[Realizado]]</f>
        <v>8.5448468858477789</v>
      </c>
      <c r="K624" s="37">
        <f>IFERROR(Tabela3[[#This Row],[Qtde Cx Produzida]]/Tabela3[[#This Row],[Tempo]]/24,0)</f>
        <v>7.8210116731517507</v>
      </c>
      <c r="L624" s="37">
        <f>Tabela3[[#This Row],[Qtde Cx Produzida]]*Tabela3[[#This Row],[Qdt Peça Placa]]</f>
        <v>268</v>
      </c>
      <c r="M624" s="37">
        <f>Tabela3[[#This Row],[Previsto]]-Tabela3[[#This Row],[Perda Pçs]]</f>
        <v>268</v>
      </c>
      <c r="N624" s="38">
        <f>IFERROR(Tabela3[[#This Row],[Perda Pçs]]/Tabela3[[#This Row],[Previsto]],0)</f>
        <v>0</v>
      </c>
      <c r="O624" s="39">
        <f>IFERROR(IF(Tabela3[[#This Row],[Qtde Cx Produzida]] &lt;&gt; 0, Tabela3[[#This Row],[Tempo]] / Tabela3[[#This Row],[Qtde Cx Produzida]], 0),0)</f>
        <v>5.3275290215588729E-3</v>
      </c>
      <c r="P624" s="57">
        <f>IFERROR(Tabela3[[#This Row],[Perda Pçs]]/Tabela3[[#This Row],[Qdt Peça Placa]],0)</f>
        <v>0</v>
      </c>
      <c r="Q624" s="37">
        <f>IFERROR(Tabela3[[#This Row],[Realizado]]*Tabela3[[#This Row],[Peso Util/Pç]],0)</f>
        <v>80.399999999999991</v>
      </c>
      <c r="R624" s="37">
        <f>IFERROR(Tabela3[[#This Row],[Peso Total Galho]]*Tabela3[[#This Row],[Qtde Cx Produzida]]*1.055,0)</f>
        <v>162.57549999999998</v>
      </c>
      <c r="S624" s="37">
        <f>(Tabela3[[#This Row],[Aluminio Bruto]]-Tabela3[[#This Row],[Aluminio Util]])*0.9</f>
        <v>73.957949999999983</v>
      </c>
      <c r="T624" s="37">
        <f>Tabela3[[#This Row],[Aluminio Bruto]]/OleoKGAluminio</f>
        <v>68.395302641898041</v>
      </c>
      <c r="U624" s="35">
        <f>IFERROR((VLOOKUP(Tabela3[[#This Row],[Moldador]],Tabela1[],5,)+(VLOOKUP(Tabela3[[#This Row],[Ajudante]],Tabela1[],5,))*3.5),0)</f>
        <v>99.95034583333333</v>
      </c>
      <c r="V624" s="35">
        <f>IFERROR(Tabela3[[#This Row],[Custo M.O. / H]]/((Tabela3[[#This Row],[Realizado]]/Tabela3[[#This Row],[Qdt Peça Placa]])/Tabela3[[#This Row],[Tempo]]/24),)</f>
        <v>12.779720835406302</v>
      </c>
      <c r="W624" s="35">
        <f>Tabela3[[#This Row],[Custo / Cx Moldada]]*Tabela3[[#This Row],[Qtde Cx Produzida]]</f>
        <v>856.24129597222225</v>
      </c>
      <c r="X624" s="35">
        <f ca="1">Tabela3[[#This Row],[Aluminio Util]]*Tabela3[[#This Row],[Custo/Kg]]</f>
        <v>1254.24</v>
      </c>
      <c r="Y624" s="35">
        <f>IFERROR(VLOOKUP(Tabela3[[#This Row],[Data]],Tabela461213[],2,1)*(Tabela3[[#This Row],[Qtde Cx Produzida]]*Tabela3[[#This Row],[Qde macho / CX]]*Tabela3[[#This Row],[Peso Macho]]),)</f>
        <v>0</v>
      </c>
      <c r="Z624" s="35">
        <f>IFERROR(Tabela3[[#This Row],[Qtde Oleo]]*(VLOOKUP(Tabela3[[#This Row],[Data]],CompraOleo[],3,TRUE))*1.05,0)</f>
        <v>179.53766943498238</v>
      </c>
      <c r="AA624" s="47">
        <f ca="1">(Tabela3[[#This Row],[Custo Oleo]]+Tabela3[[#This Row],[Custo Aluminio]]+Tabela3[[#This Row],[Custo M.O. Total]]+Tabela3[[#This Row],[Custo Machos]])</f>
        <v>2290.0189654072046</v>
      </c>
      <c r="AB624" s="47">
        <f ca="1">Tabela3[[#This Row],[Custo Total]]*Tabela3[[#This Row],[% Perda]]</f>
        <v>0</v>
      </c>
      <c r="AC624" s="48">
        <f>IFERROR(VLOOKUP(Tabela3[[#This Row],[Produto]],Tabela2[],2,0),0)</f>
        <v>4</v>
      </c>
      <c r="AD624" s="48">
        <f>IFERROR(VLOOKUP(Tabela3[[#This Row],[Produto]],Tabela2[],3,0),0)</f>
        <v>0.3</v>
      </c>
      <c r="AE624" s="48">
        <f>IFERROR(VLOOKUP(Tabela3[[#This Row],[Produto]],Tabela2[],4,0),0)</f>
        <v>2.2999999999999998</v>
      </c>
      <c r="AF624" s="48">
        <f>IFERROR(VLOOKUP(Tabela3[[#This Row],[Produto]],Tabela2[],5,0),0)</f>
        <v>0.98999999999999988</v>
      </c>
      <c r="AG624" s="40">
        <f>IFERROR(VLOOKUP(Tabela3[[#This Row],[Produto]],Tabela2[],6,0),0)</f>
        <v>0</v>
      </c>
      <c r="AH624" s="40">
        <f>IFERROR(VLOOKUP(Tabela3[[#This Row],[Produto]],Tabela2[],7,0),0)</f>
        <v>0</v>
      </c>
      <c r="AI624" s="40">
        <f>IFERROR(VLOOKUP(Tabela3[[#This Row],[Produto]],Tabela2[],8,0),0)</f>
        <v>0</v>
      </c>
      <c r="AJ624" s="35">
        <f ca="1">IFERROR(VLOOKUP(Tabela3[[#This Row],[Produto]],Tabela2[],13,0),0)</f>
        <v>15.600000000000001</v>
      </c>
      <c r="AK624" s="40" t="str">
        <f>IFERROR(VLOOKUP(Tabela3[[#This Row],[Produto]],Tabela2[],14,0),0)</f>
        <v>Senun</v>
      </c>
      <c r="AL624" s="40">
        <f>IFERROR(VLOOKUP(Tabela3[[#This Row],[Produto]],Tabela2[],15,0),0)</f>
        <v>3.5</v>
      </c>
      <c r="AM624" s="36">
        <f ca="1">(Tabela3[[#This Row],[Custo Usinagem]]+Tabela3[[#This Row],[Custo / Pç]])*1.2</f>
        <v>14.453816263017334</v>
      </c>
      <c r="AN624" s="36">
        <f ca="1">Tabela3[[#This Row],[Valor Mínimo Venda]]*1.15</f>
        <v>16.621888702469931</v>
      </c>
      <c r="AO624" s="36">
        <f ca="1">Tabela3[[#This Row],[Tabela 1]]*1.08</f>
        <v>17.951639798667529</v>
      </c>
      <c r="AP624" s="36">
        <f ca="1">Tabela3[[#This Row],[Tabela 2]]*1.15</f>
        <v>20.644385768467657</v>
      </c>
    </row>
    <row r="625" spans="1:42">
      <c r="A625" s="9">
        <v>45910</v>
      </c>
      <c r="B625" s="6" t="s">
        <v>165</v>
      </c>
      <c r="C625" s="14">
        <v>7921</v>
      </c>
      <c r="D625" s="6" t="s">
        <v>44</v>
      </c>
      <c r="E625" s="6" t="s">
        <v>47</v>
      </c>
      <c r="F625" s="6">
        <v>6</v>
      </c>
      <c r="G625" s="15">
        <v>0.10416666666666667</v>
      </c>
      <c r="H625" s="16">
        <v>0</v>
      </c>
      <c r="I625" s="35">
        <f ca="1">IFERROR(Tabela3[[#This Row],[Custo Total]]/Tabela3[[#This Row],[Aluminio Util]],0)</f>
        <v>26.100904554604494</v>
      </c>
      <c r="J625" s="35">
        <f ca="1">Tabela3[[#This Row],[Custo Total]]/Tabela3[[#This Row],[Realizado]]</f>
        <v>151.90726450779815</v>
      </c>
      <c r="K625" s="37">
        <f>IFERROR(Tabela3[[#This Row],[Qtde Cx Produzida]]/Tabela3[[#This Row],[Tempo]]/24,0)</f>
        <v>2.4</v>
      </c>
      <c r="L625" s="37">
        <f>Tabela3[[#This Row],[Qtde Cx Produzida]]*Tabela3[[#This Row],[Qdt Peça Placa]]</f>
        <v>6</v>
      </c>
      <c r="M625" s="37">
        <f>Tabela3[[#This Row],[Previsto]]-Tabela3[[#This Row],[Perda Pçs]]</f>
        <v>6</v>
      </c>
      <c r="N625" s="38">
        <f>IFERROR(Tabela3[[#This Row],[Perda Pçs]]/Tabela3[[#This Row],[Previsto]],0)</f>
        <v>0</v>
      </c>
      <c r="O625" s="39">
        <f>IFERROR(IF(Tabela3[[#This Row],[Qtde Cx Produzida]] &lt;&gt; 0, Tabela3[[#This Row],[Tempo]] / Tabela3[[#This Row],[Qtde Cx Produzida]], 0),0)</f>
        <v>1.7361111111111112E-2</v>
      </c>
      <c r="P625" s="57">
        <f>IFERROR(Tabela3[[#This Row],[Perda Pçs]]/Tabela3[[#This Row],[Qdt Peça Placa]],0)</f>
        <v>0</v>
      </c>
      <c r="Q625" s="37">
        <f>IFERROR(Tabela3[[#This Row],[Realizado]]*Tabela3[[#This Row],[Peso Util/Pç]],0)</f>
        <v>34.92</v>
      </c>
      <c r="R625" s="37">
        <f>IFERROR(Tabela3[[#This Row],[Peso Total Galho]]*Tabela3[[#This Row],[Qtde Cx Produzida]]*1.055,0)</f>
        <v>42.537599999999998</v>
      </c>
      <c r="S625" s="37">
        <f>(Tabela3[[#This Row],[Aluminio Bruto]]-Tabela3[[#This Row],[Aluminio Util]])*0.9</f>
        <v>6.8558399999999962</v>
      </c>
      <c r="T625" s="37">
        <f>Tabela3[[#This Row],[Aluminio Bruto]]/OleoKGAluminio</f>
        <v>17.895513319411613</v>
      </c>
      <c r="U625" s="35">
        <f>IFERROR((VLOOKUP(Tabela3[[#This Row],[Moldador]],Tabela1[],5,)+(VLOOKUP(Tabela3[[#This Row],[Ajudante]],Tabela1[],5,))*3.5),0)</f>
        <v>99.95034583333333</v>
      </c>
      <c r="V625" s="35">
        <f>IFERROR(Tabela3[[#This Row],[Custo M.O. / H]]/((Tabela3[[#This Row],[Realizado]]/Tabela3[[#This Row],[Qdt Peça Placa]])/Tabela3[[#This Row],[Tempo]]/24),)</f>
        <v>41.645977430555554</v>
      </c>
      <c r="W625" s="35">
        <f>Tabela3[[#This Row],[Custo / Cx Moldada]]*Tabela3[[#This Row],[Qtde Cx Produzida]]</f>
        <v>249.87586458333334</v>
      </c>
      <c r="X625" s="35">
        <f ca="1">Tabela3[[#This Row],[Aluminio Util]]*Tabela3[[#This Row],[Custo/Kg]]</f>
        <v>614.5920000000001</v>
      </c>
      <c r="Y625" s="35">
        <f>IFERROR(VLOOKUP(Tabela3[[#This Row],[Data]],Tabela461213[],2,1)*(Tabela3[[#This Row],[Qtde Cx Produzida]]*Tabela3[[#This Row],[Qde macho / CX]]*Tabela3[[#This Row],[Peso Macho]]),)</f>
        <v>0</v>
      </c>
      <c r="Z625" s="35">
        <f>IFERROR(Tabela3[[#This Row],[Qtde Oleo]]*(VLOOKUP(Tabela3[[#This Row],[Data]],CompraOleo[],3,TRUE))*1.05,0)</f>
        <v>46.975722463455483</v>
      </c>
      <c r="AA625" s="47">
        <f ca="1">(Tabela3[[#This Row],[Custo Oleo]]+Tabela3[[#This Row],[Custo Aluminio]]+Tabela3[[#This Row],[Custo M.O. Total]]+Tabela3[[#This Row],[Custo Machos]])</f>
        <v>911.44358704678893</v>
      </c>
      <c r="AB625" s="47">
        <f ca="1">Tabela3[[#This Row],[Custo Total]]*Tabela3[[#This Row],[% Perda]]</f>
        <v>0</v>
      </c>
      <c r="AC625" s="48">
        <f>IFERROR(VLOOKUP(Tabela3[[#This Row],[Produto]],Tabela2[],2,0),0)</f>
        <v>1</v>
      </c>
      <c r="AD625" s="48">
        <f>IFERROR(VLOOKUP(Tabela3[[#This Row],[Produto]],Tabela2[],3,0),0)</f>
        <v>5.82</v>
      </c>
      <c r="AE625" s="48">
        <f>IFERROR(VLOOKUP(Tabela3[[#This Row],[Produto]],Tabela2[],4,0),0)</f>
        <v>6.72</v>
      </c>
      <c r="AF625" s="48">
        <f>IFERROR(VLOOKUP(Tabela3[[#This Row],[Produto]],Tabela2[],5,0),0)</f>
        <v>0.8099999999999995</v>
      </c>
      <c r="AG625" s="40">
        <f>IFERROR(VLOOKUP(Tabela3[[#This Row],[Produto]],Tabela2[],6,0),0)</f>
        <v>0</v>
      </c>
      <c r="AH625" s="40">
        <f>IFERROR(VLOOKUP(Tabela3[[#This Row],[Produto]],Tabela2[],7,0),0)</f>
        <v>0</v>
      </c>
      <c r="AI625" s="40">
        <f>IFERROR(VLOOKUP(Tabela3[[#This Row],[Produto]],Tabela2[],8,0),0)</f>
        <v>0</v>
      </c>
      <c r="AJ625" s="35">
        <f ca="1">IFERROR(VLOOKUP(Tabela3[[#This Row],[Produto]],Tabela2[],13,0),0)</f>
        <v>17.600000000000001</v>
      </c>
      <c r="AK625" s="40" t="str">
        <f>IFERROR(VLOOKUP(Tabela3[[#This Row],[Produto]],Tabela2[],14,0),0)</f>
        <v>Oscar</v>
      </c>
      <c r="AL625" s="40">
        <f>IFERROR(VLOOKUP(Tabela3[[#This Row],[Produto]],Tabela2[],15,0),0)</f>
        <v>0</v>
      </c>
      <c r="AM625" s="36">
        <f ca="1">(Tabela3[[#This Row],[Custo Usinagem]]+Tabela3[[#This Row],[Custo / Pç]])*1.2</f>
        <v>182.28871740935776</v>
      </c>
      <c r="AN625" s="36">
        <f ca="1">Tabela3[[#This Row],[Valor Mínimo Venda]]*1.15</f>
        <v>209.6320250207614</v>
      </c>
      <c r="AO625" s="36">
        <f ca="1">Tabela3[[#This Row],[Tabela 1]]*1.08</f>
        <v>226.40258702242232</v>
      </c>
      <c r="AP625" s="36">
        <f ca="1">Tabela3[[#This Row],[Tabela 2]]*1.15</f>
        <v>260.36297507578564</v>
      </c>
    </row>
    <row r="626" spans="1:42">
      <c r="A626" s="9">
        <v>45910</v>
      </c>
      <c r="B626" s="6" t="s">
        <v>236</v>
      </c>
      <c r="C626" s="14">
        <v>7865</v>
      </c>
      <c r="D626" s="6" t="s">
        <v>44</v>
      </c>
      <c r="E626" s="6" t="s">
        <v>47</v>
      </c>
      <c r="F626" s="6">
        <v>27</v>
      </c>
      <c r="G626" s="15">
        <v>0.16805555555555557</v>
      </c>
      <c r="H626" s="16">
        <v>0</v>
      </c>
      <c r="I626" s="35">
        <f ca="1">IFERROR(Tabela3[[#This Row],[Custo Total]]/Tabela3[[#This Row],[Aluminio Util]],0)</f>
        <v>25.223670039374635</v>
      </c>
      <c r="J626" s="35">
        <f ca="1">Tabela3[[#This Row],[Custo Total]]/Tabela3[[#This Row],[Realizado]]</f>
        <v>7.6175483518911395</v>
      </c>
      <c r="K626" s="37">
        <f>IFERROR(Tabela3[[#This Row],[Qtde Cx Produzida]]/Tabela3[[#This Row],[Tempo]]/24,0)</f>
        <v>6.6942148760330573</v>
      </c>
      <c r="L626" s="37">
        <f>Tabela3[[#This Row],[Qtde Cx Produzida]]*Tabela3[[#This Row],[Qdt Peça Placa]]</f>
        <v>162</v>
      </c>
      <c r="M626" s="37">
        <f>Tabela3[[#This Row],[Previsto]]-Tabela3[[#This Row],[Perda Pçs]]</f>
        <v>162</v>
      </c>
      <c r="N626" s="38">
        <f>IFERROR(Tabela3[[#This Row],[Perda Pçs]]/Tabela3[[#This Row],[Previsto]],0)</f>
        <v>0</v>
      </c>
      <c r="O626" s="39">
        <f>IFERROR(IF(Tabela3[[#This Row],[Qtde Cx Produzida]] &lt;&gt; 0, Tabela3[[#This Row],[Tempo]] / Tabela3[[#This Row],[Qtde Cx Produzida]], 0),0)</f>
        <v>6.2242798353909466E-3</v>
      </c>
      <c r="P626" s="57">
        <f>IFERROR(Tabela3[[#This Row],[Perda Pçs]]/Tabela3[[#This Row],[Qdt Peça Placa]],0)</f>
        <v>0</v>
      </c>
      <c r="Q626" s="37">
        <f>IFERROR(Tabela3[[#This Row],[Realizado]]*Tabela3[[#This Row],[Peso Util/Pç]],0)</f>
        <v>48.923999999999999</v>
      </c>
      <c r="R626" s="37">
        <f>IFERROR(Tabela3[[#This Row],[Peso Total Galho]]*Tabela3[[#This Row],[Qtde Cx Produzida]]*1.055,0)</f>
        <v>61.299720000000001</v>
      </c>
      <c r="S626" s="37">
        <f>(Tabela3[[#This Row],[Aluminio Bruto]]-Tabela3[[#This Row],[Aluminio Util]])*0.9</f>
        <v>11.138148000000001</v>
      </c>
      <c r="T626" s="37">
        <f>Tabela3[[#This Row],[Aluminio Bruto]]/OleoKGAluminio</f>
        <v>25.788712944223523</v>
      </c>
      <c r="U626" s="35">
        <f>IFERROR((VLOOKUP(Tabela3[[#This Row],[Moldador]],Tabela1[],5,)+(VLOOKUP(Tabela3[[#This Row],[Ajudante]],Tabela1[],5,))*3.5),0)</f>
        <v>99.95034583333333</v>
      </c>
      <c r="V626" s="35">
        <f>IFERROR(Tabela3[[#This Row],[Custo M.O. / H]]/((Tabela3[[#This Row],[Realizado]]/Tabela3[[#This Row],[Qdt Peça Placa]])/Tabela3[[#This Row],[Tempo]]/24),)</f>
        <v>14.930854130658437</v>
      </c>
      <c r="W626" s="35">
        <f>Tabela3[[#This Row],[Custo / Cx Moldada]]*Tabela3[[#This Row],[Qtde Cx Produzida]]</f>
        <v>403.13306152777778</v>
      </c>
      <c r="X626" s="35">
        <f ca="1">Tabela3[[#This Row],[Aluminio Util]]*Tabela3[[#This Row],[Custo/Kg]]</f>
        <v>763.21440000000007</v>
      </c>
      <c r="Y626" s="35">
        <f>IFERROR(VLOOKUP(Tabela3[[#This Row],[Data]],Tabela461213[],2,1)*(Tabela3[[#This Row],[Qtde Cx Produzida]]*Tabela3[[#This Row],[Qde macho / CX]]*Tabela3[[#This Row],[Peso Macho]]),)</f>
        <v>0</v>
      </c>
      <c r="Z626" s="35">
        <f>IFERROR(Tabela3[[#This Row],[Qtde Oleo]]*(VLOOKUP(Tabela3[[#This Row],[Data]],CompraOleo[],3,TRUE))*1.05,0)</f>
        <v>67.69537147858675</v>
      </c>
      <c r="AA626" s="47">
        <f ca="1">(Tabela3[[#This Row],[Custo Oleo]]+Tabela3[[#This Row],[Custo Aluminio]]+Tabela3[[#This Row],[Custo M.O. Total]]+Tabela3[[#This Row],[Custo Machos]])</f>
        <v>1234.0428330063646</v>
      </c>
      <c r="AB626" s="47">
        <f ca="1">Tabela3[[#This Row],[Custo Total]]*Tabela3[[#This Row],[% Perda]]</f>
        <v>0</v>
      </c>
      <c r="AC626" s="48">
        <f>IFERROR(VLOOKUP(Tabela3[[#This Row],[Produto]],Tabela2[],2,0),0)</f>
        <v>6</v>
      </c>
      <c r="AD626" s="48">
        <f>IFERROR(VLOOKUP(Tabela3[[#This Row],[Produto]],Tabela2[],3,0),0)</f>
        <v>0.30199999999999999</v>
      </c>
      <c r="AE626" s="48">
        <f>IFERROR(VLOOKUP(Tabela3[[#This Row],[Produto]],Tabela2[],4,0),0)</f>
        <v>2.1520000000000001</v>
      </c>
      <c r="AF626" s="48">
        <f>IFERROR(VLOOKUP(Tabela3[[#This Row],[Produto]],Tabela2[],5,0),0)</f>
        <v>0.30600000000000027</v>
      </c>
      <c r="AG626" s="40">
        <f>IFERROR(VLOOKUP(Tabela3[[#This Row],[Produto]],Tabela2[],6,0),0)</f>
        <v>0</v>
      </c>
      <c r="AH626" s="40">
        <f>IFERROR(VLOOKUP(Tabela3[[#This Row],[Produto]],Tabela2[],7,0),0)</f>
        <v>0</v>
      </c>
      <c r="AI626" s="40">
        <f>IFERROR(VLOOKUP(Tabela3[[#This Row],[Produto]],Tabela2[],8,0),0)</f>
        <v>0</v>
      </c>
      <c r="AJ626" s="35">
        <f ca="1">IFERROR(VLOOKUP(Tabela3[[#This Row],[Produto]],Tabela2[],13,0),0)</f>
        <v>15.600000000000001</v>
      </c>
      <c r="AK626" s="40" t="str">
        <f>IFERROR(VLOOKUP(Tabela3[[#This Row],[Produto]],Tabela2[],14,0),0)</f>
        <v>Senun</v>
      </c>
      <c r="AL626" s="40">
        <f>IFERROR(VLOOKUP(Tabela3[[#This Row],[Produto]],Tabela2[],15,0),0)</f>
        <v>4</v>
      </c>
      <c r="AM626" s="36">
        <f ca="1">(Tabela3[[#This Row],[Custo Usinagem]]+Tabela3[[#This Row],[Custo / Pç]])*1.2</f>
        <v>13.941058022269367</v>
      </c>
      <c r="AN626" s="36">
        <f ca="1">Tabela3[[#This Row],[Valor Mínimo Venda]]*1.15</f>
        <v>16.032216725609771</v>
      </c>
      <c r="AO626" s="36">
        <f ca="1">Tabela3[[#This Row],[Tabela 1]]*1.08</f>
        <v>17.314794063658553</v>
      </c>
      <c r="AP626" s="36">
        <f ca="1">Tabela3[[#This Row],[Tabela 2]]*1.15</f>
        <v>19.912013173207335</v>
      </c>
    </row>
    <row r="627" spans="1:42">
      <c r="A627" s="9">
        <v>45911</v>
      </c>
      <c r="B627" s="6" t="s">
        <v>247</v>
      </c>
      <c r="C627" s="14">
        <v>7864</v>
      </c>
      <c r="D627" s="6" t="s">
        <v>46</v>
      </c>
      <c r="E627" s="6" t="s">
        <v>326</v>
      </c>
      <c r="F627" s="6">
        <v>61</v>
      </c>
      <c r="G627" s="15">
        <v>0.32222222222222224</v>
      </c>
      <c r="H627" s="16">
        <v>0</v>
      </c>
      <c r="I627" s="35">
        <f ca="1">IFERROR(Tabela3[[#This Row],[Custo Total]]/Tabela3[[#This Row],[Aluminio Util]],0)</f>
        <v>28.39247281828121</v>
      </c>
      <c r="J627" s="35">
        <f ca="1">Tabela3[[#This Row],[Custo Total]]/Tabela3[[#This Row],[Realizado]]</f>
        <v>8.5177418454843625</v>
      </c>
      <c r="K627" s="37">
        <f>IFERROR(Tabela3[[#This Row],[Qtde Cx Produzida]]/Tabela3[[#This Row],[Tempo]]/24,0)</f>
        <v>7.887931034482758</v>
      </c>
      <c r="L627" s="37">
        <f>Tabela3[[#This Row],[Qtde Cx Produzida]]*Tabela3[[#This Row],[Qdt Peça Placa]]</f>
        <v>244</v>
      </c>
      <c r="M627" s="37">
        <f>Tabela3[[#This Row],[Previsto]]-Tabela3[[#This Row],[Perda Pçs]]</f>
        <v>244</v>
      </c>
      <c r="N627" s="38">
        <f>IFERROR(Tabela3[[#This Row],[Perda Pçs]]/Tabela3[[#This Row],[Previsto]],0)</f>
        <v>0</v>
      </c>
      <c r="O627" s="39">
        <f>IFERROR(IF(Tabela3[[#This Row],[Qtde Cx Produzida]] &lt;&gt; 0, Tabela3[[#This Row],[Tempo]] / Tabela3[[#This Row],[Qtde Cx Produzida]], 0),0)</f>
        <v>5.282331511839709E-3</v>
      </c>
      <c r="P627" s="57">
        <f>IFERROR(Tabela3[[#This Row],[Perda Pçs]]/Tabela3[[#This Row],[Qdt Peça Placa]],0)</f>
        <v>0</v>
      </c>
      <c r="Q627" s="37">
        <f>IFERROR(Tabela3[[#This Row],[Realizado]]*Tabela3[[#This Row],[Peso Util/Pç]],0)</f>
        <v>73.2</v>
      </c>
      <c r="R627" s="37">
        <f>IFERROR(Tabela3[[#This Row],[Peso Total Galho]]*Tabela3[[#This Row],[Qtde Cx Produzida]]*1.055,0)</f>
        <v>148.01649999999998</v>
      </c>
      <c r="S627" s="37">
        <f>(Tabela3[[#This Row],[Aluminio Bruto]]-Tabela3[[#This Row],[Aluminio Util]])*0.9</f>
        <v>67.334849999999975</v>
      </c>
      <c r="T627" s="37">
        <f>Tabela3[[#This Row],[Aluminio Bruto]]/OleoKGAluminio</f>
        <v>62.270350166504194</v>
      </c>
      <c r="U627" s="35">
        <f>IFERROR((VLOOKUP(Tabela3[[#This Row],[Moldador]],Tabela1[],5,)+(VLOOKUP(Tabela3[[#This Row],[Ajudante]],Tabela1[],5,))*3.5),0)</f>
        <v>99.95034583333333</v>
      </c>
      <c r="V627" s="35">
        <f>IFERROR(Tabela3[[#This Row],[Custo M.O. / H]]/((Tabela3[[#This Row],[Realizado]]/Tabela3[[#This Row],[Qdt Peça Placa]])/Tabela3[[#This Row],[Tempo]]/24),)</f>
        <v>12.671300673952642</v>
      </c>
      <c r="W627" s="35">
        <f>Tabela3[[#This Row],[Custo / Cx Moldada]]*Tabela3[[#This Row],[Qtde Cx Produzida]]</f>
        <v>772.94934111111115</v>
      </c>
      <c r="X627" s="35">
        <f ca="1">Tabela3[[#This Row],[Aluminio Util]]*Tabela3[[#This Row],[Custo/Kg]]</f>
        <v>1141.92</v>
      </c>
      <c r="Y627" s="35">
        <f>IFERROR(VLOOKUP(Tabela3[[#This Row],[Data]],Tabela461213[],2,1)*(Tabela3[[#This Row],[Qtde Cx Produzida]]*Tabela3[[#This Row],[Qde macho / CX]]*Tabela3[[#This Row],[Peso Macho]]),)</f>
        <v>0</v>
      </c>
      <c r="Z627" s="35">
        <f>IFERROR(Tabela3[[#This Row],[Qtde Oleo]]*(VLOOKUP(Tabela3[[#This Row],[Data]],CompraOleo[],3,TRUE))*1.05,0)</f>
        <v>163.4596691870735</v>
      </c>
      <c r="AA627" s="47">
        <f ca="1">(Tabela3[[#This Row],[Custo Oleo]]+Tabela3[[#This Row],[Custo Aluminio]]+Tabela3[[#This Row],[Custo M.O. Total]]+Tabela3[[#This Row],[Custo Machos]])</f>
        <v>2078.3290102981846</v>
      </c>
      <c r="AB627" s="47">
        <f ca="1">Tabela3[[#This Row],[Custo Total]]*Tabela3[[#This Row],[% Perda]]</f>
        <v>0</v>
      </c>
      <c r="AC627" s="48">
        <f>IFERROR(VLOOKUP(Tabela3[[#This Row],[Produto]],Tabela2[],2,0),0)</f>
        <v>4</v>
      </c>
      <c r="AD627" s="48">
        <f>IFERROR(VLOOKUP(Tabela3[[#This Row],[Produto]],Tabela2[],3,0),0)</f>
        <v>0.3</v>
      </c>
      <c r="AE627" s="48">
        <f>IFERROR(VLOOKUP(Tabela3[[#This Row],[Produto]],Tabela2[],4,0),0)</f>
        <v>2.2999999999999998</v>
      </c>
      <c r="AF627" s="48">
        <f>IFERROR(VLOOKUP(Tabela3[[#This Row],[Produto]],Tabela2[],5,0),0)</f>
        <v>0.98999999999999988</v>
      </c>
      <c r="AG627" s="40">
        <f>IFERROR(VLOOKUP(Tabela3[[#This Row],[Produto]],Tabela2[],6,0),0)</f>
        <v>0</v>
      </c>
      <c r="AH627" s="40">
        <f>IFERROR(VLOOKUP(Tabela3[[#This Row],[Produto]],Tabela2[],7,0),0)</f>
        <v>0</v>
      </c>
      <c r="AI627" s="40">
        <f>IFERROR(VLOOKUP(Tabela3[[#This Row],[Produto]],Tabela2[],8,0),0)</f>
        <v>0</v>
      </c>
      <c r="AJ627" s="35">
        <f ca="1">IFERROR(VLOOKUP(Tabela3[[#This Row],[Produto]],Tabela2[],13,0),0)</f>
        <v>15.600000000000001</v>
      </c>
      <c r="AK627" s="40" t="str">
        <f>IFERROR(VLOOKUP(Tabela3[[#This Row],[Produto]],Tabela2[],14,0),0)</f>
        <v>Senun</v>
      </c>
      <c r="AL627" s="40">
        <f>IFERROR(VLOOKUP(Tabela3[[#This Row],[Produto]],Tabela2[],15,0),0)</f>
        <v>3.5</v>
      </c>
      <c r="AM627" s="36">
        <f ca="1">(Tabela3[[#This Row],[Custo Usinagem]]+Tabela3[[#This Row],[Custo / Pç]])*1.2</f>
        <v>14.421290214581234</v>
      </c>
      <c r="AN627" s="36">
        <f ca="1">Tabela3[[#This Row],[Valor Mínimo Venda]]*1.15</f>
        <v>16.584483746768417</v>
      </c>
      <c r="AO627" s="36">
        <f ca="1">Tabela3[[#This Row],[Tabela 1]]*1.08</f>
        <v>17.911242446509892</v>
      </c>
      <c r="AP627" s="36">
        <f ca="1">Tabela3[[#This Row],[Tabela 2]]*1.15</f>
        <v>20.597928813486373</v>
      </c>
    </row>
    <row r="628" spans="1:42">
      <c r="A628" s="9">
        <v>45911</v>
      </c>
      <c r="B628" s="6" t="s">
        <v>155</v>
      </c>
      <c r="C628" s="14">
        <v>7903</v>
      </c>
      <c r="D628" s="6" t="s">
        <v>46</v>
      </c>
      <c r="E628" s="6" t="s">
        <v>326</v>
      </c>
      <c r="F628" s="6">
        <v>9</v>
      </c>
      <c r="G628" s="15">
        <v>6.5972222222222224E-2</v>
      </c>
      <c r="H628" s="16">
        <v>0</v>
      </c>
      <c r="I628" s="35">
        <f ca="1">IFERROR(Tabela3[[#This Row],[Custo Total]]/Tabela3[[#This Row],[Aluminio Util]],0)</f>
        <v>34.568837022820702</v>
      </c>
      <c r="J628" s="35">
        <f ca="1">Tabela3[[#This Row],[Custo Total]]/Tabela3[[#This Row],[Realizado]]</f>
        <v>8.9878976259333818</v>
      </c>
      <c r="K628" s="37">
        <f>IFERROR(Tabela3[[#This Row],[Qtde Cx Produzida]]/Tabela3[[#This Row],[Tempo]]/24,0)</f>
        <v>5.6842105263157885</v>
      </c>
      <c r="L628" s="37">
        <f>Tabela3[[#This Row],[Qtde Cx Produzida]]*Tabela3[[#This Row],[Qdt Peça Placa]]</f>
        <v>36</v>
      </c>
      <c r="M628" s="37">
        <f>Tabela3[[#This Row],[Previsto]]-Tabela3[[#This Row],[Perda Pçs]]</f>
        <v>36</v>
      </c>
      <c r="N628" s="38">
        <f>IFERROR(Tabela3[[#This Row],[Perda Pçs]]/Tabela3[[#This Row],[Previsto]],0)</f>
        <v>0</v>
      </c>
      <c r="O628" s="39">
        <f>IFERROR(IF(Tabela3[[#This Row],[Qtde Cx Produzida]] &lt;&gt; 0, Tabela3[[#This Row],[Tempo]] / Tabela3[[#This Row],[Qtde Cx Produzida]], 0),0)</f>
        <v>7.3302469135802474E-3</v>
      </c>
      <c r="P628" s="57">
        <f>IFERROR(Tabela3[[#This Row],[Perda Pçs]]/Tabela3[[#This Row],[Qdt Peça Placa]],0)</f>
        <v>0</v>
      </c>
      <c r="Q628" s="37">
        <f>IFERROR(Tabela3[[#This Row],[Realizado]]*Tabela3[[#This Row],[Peso Util/Pç]],0)</f>
        <v>9.36</v>
      </c>
      <c r="R628" s="37">
        <f>IFERROR(Tabela3[[#This Row],[Peso Total Galho]]*Tabela3[[#This Row],[Qtde Cx Produzida]]*1.055,0)</f>
        <v>17.470800000000001</v>
      </c>
      <c r="S628" s="37">
        <f>(Tabela3[[#This Row],[Aluminio Bruto]]-Tabela3[[#This Row],[Aluminio Util]])*0.9</f>
        <v>7.2997200000000015</v>
      </c>
      <c r="T628" s="37">
        <f>Tabela3[[#This Row],[Aluminio Bruto]]/OleoKGAluminio</f>
        <v>7.3499429704726271</v>
      </c>
      <c r="U628" s="35">
        <f>IFERROR((VLOOKUP(Tabela3[[#This Row],[Moldador]],Tabela1[],5,)+(VLOOKUP(Tabela3[[#This Row],[Ajudante]],Tabela1[],5,))*3.5),0)</f>
        <v>99.95034583333333</v>
      </c>
      <c r="V628" s="35">
        <f>IFERROR(Tabela3[[#This Row],[Custo M.O. / H]]/((Tabela3[[#This Row],[Realizado]]/Tabela3[[#This Row],[Qdt Peça Placa]])/Tabela3[[#This Row],[Tempo]]/24),)</f>
        <v>17.583857137345682</v>
      </c>
      <c r="W628" s="35">
        <f>Tabela3[[#This Row],[Custo / Cx Moldada]]*Tabela3[[#This Row],[Qtde Cx Produzida]]</f>
        <v>158.25471423611114</v>
      </c>
      <c r="X628" s="35">
        <f ca="1">Tabela3[[#This Row],[Aluminio Util]]*Tabela3[[#This Row],[Custo/Kg]]</f>
        <v>146.01599999999999</v>
      </c>
      <c r="Y628" s="35">
        <f>IFERROR(VLOOKUP(Tabela3[[#This Row],[Data]],Tabela461213[],2,1)*(Tabela3[[#This Row],[Qtde Cx Produzida]]*Tabela3[[#This Row],[Qde macho / CX]]*Tabela3[[#This Row],[Peso Macho]]),)</f>
        <v>0</v>
      </c>
      <c r="Z628" s="35">
        <f>IFERROR(Tabela3[[#This Row],[Qtde Oleo]]*(VLOOKUP(Tabela3[[#This Row],[Data]],CompraOleo[],3,TRUE))*1.05,0)</f>
        <v>19.293600297490645</v>
      </c>
      <c r="AA628" s="47">
        <f ca="1">(Tabela3[[#This Row],[Custo Oleo]]+Tabela3[[#This Row],[Custo Aluminio]]+Tabela3[[#This Row],[Custo M.O. Total]]+Tabela3[[#This Row],[Custo Machos]])</f>
        <v>323.56431453360176</v>
      </c>
      <c r="AB628" s="47">
        <f ca="1">Tabela3[[#This Row],[Custo Total]]*Tabela3[[#This Row],[% Perda]]</f>
        <v>0</v>
      </c>
      <c r="AC628" s="48">
        <f>IFERROR(VLOOKUP(Tabela3[[#This Row],[Produto]],Tabela2[],2,0),0)</f>
        <v>4</v>
      </c>
      <c r="AD628" s="48">
        <f>IFERROR(VLOOKUP(Tabela3[[#This Row],[Produto]],Tabela2[],3,0),0)</f>
        <v>0.26</v>
      </c>
      <c r="AE628" s="48">
        <f>IFERROR(VLOOKUP(Tabela3[[#This Row],[Produto]],Tabela2[],4,0),0)</f>
        <v>1.84</v>
      </c>
      <c r="AF628" s="48">
        <f>IFERROR(VLOOKUP(Tabela3[[#This Row],[Produto]],Tabela2[],5,0),0)</f>
        <v>0.72000000000000008</v>
      </c>
      <c r="AG628" s="40">
        <f>IFERROR(VLOOKUP(Tabela3[[#This Row],[Produto]],Tabela2[],6,0),0)</f>
        <v>0</v>
      </c>
      <c r="AH628" s="40">
        <f>IFERROR(VLOOKUP(Tabela3[[#This Row],[Produto]],Tabela2[],7,0),0)</f>
        <v>0</v>
      </c>
      <c r="AI628" s="40">
        <f>IFERROR(VLOOKUP(Tabela3[[#This Row],[Produto]],Tabela2[],8,0),0)</f>
        <v>0</v>
      </c>
      <c r="AJ628" s="35">
        <f ca="1">IFERROR(VLOOKUP(Tabela3[[#This Row],[Produto]],Tabela2[],13,0),0)</f>
        <v>15.600000000000001</v>
      </c>
      <c r="AK628" s="40" t="str">
        <f>IFERROR(VLOOKUP(Tabela3[[#This Row],[Produto]],Tabela2[],14,0),0)</f>
        <v>Senun</v>
      </c>
      <c r="AL628" s="40">
        <f>IFERROR(VLOOKUP(Tabela3[[#This Row],[Produto]],Tabela2[],15,0),0)</f>
        <v>0</v>
      </c>
      <c r="AM628" s="36">
        <f ca="1">(Tabela3[[#This Row],[Custo Usinagem]]+Tabela3[[#This Row],[Custo / Pç]])*1.2</f>
        <v>10.785477151120057</v>
      </c>
      <c r="AN628" s="36">
        <f ca="1">Tabela3[[#This Row],[Valor Mínimo Venda]]*1.15</f>
        <v>12.403298723788065</v>
      </c>
      <c r="AO628" s="36">
        <f ca="1">Tabela3[[#This Row],[Tabela 1]]*1.08</f>
        <v>13.395562621691111</v>
      </c>
      <c r="AP628" s="36">
        <f ca="1">Tabela3[[#This Row],[Tabela 2]]*1.15</f>
        <v>15.404897014944776</v>
      </c>
    </row>
    <row r="629" spans="1:42">
      <c r="A629" s="9">
        <v>45911</v>
      </c>
      <c r="B629" s="6" t="s">
        <v>258</v>
      </c>
      <c r="C629" s="14">
        <v>7902</v>
      </c>
      <c r="D629" s="6" t="s">
        <v>46</v>
      </c>
      <c r="E629" s="6" t="s">
        <v>326</v>
      </c>
      <c r="F629" s="6">
        <v>9</v>
      </c>
      <c r="G629" s="15">
        <v>4.3749999999999997E-2</v>
      </c>
      <c r="H629" s="16">
        <v>0</v>
      </c>
      <c r="I629" s="35">
        <f ca="1">IFERROR(Tabela3[[#This Row],[Custo Total]]/Tabela3[[#This Row],[Aluminio Util]],0)</f>
        <v>25.894916421663631</v>
      </c>
      <c r="J629" s="35">
        <f ca="1">Tabela3[[#This Row],[Custo Total]]/Tabela3[[#This Row],[Realizado]]</f>
        <v>12.300085300290224</v>
      </c>
      <c r="K629" s="37">
        <f>IFERROR(Tabela3[[#This Row],[Qtde Cx Produzida]]/Tabela3[[#This Row],[Tempo]]/24,0)</f>
        <v>8.5714285714285712</v>
      </c>
      <c r="L629" s="37">
        <f>Tabela3[[#This Row],[Qtde Cx Produzida]]*Tabela3[[#This Row],[Qdt Peça Placa]]</f>
        <v>27</v>
      </c>
      <c r="M629" s="37">
        <f>Tabela3[[#This Row],[Previsto]]-Tabela3[[#This Row],[Perda Pçs]]</f>
        <v>27</v>
      </c>
      <c r="N629" s="38">
        <f>IFERROR(Tabela3[[#This Row],[Perda Pçs]]/Tabela3[[#This Row],[Previsto]],0)</f>
        <v>0</v>
      </c>
      <c r="O629" s="39">
        <f>IFERROR(IF(Tabela3[[#This Row],[Qtde Cx Produzida]] &lt;&gt; 0, Tabela3[[#This Row],[Tempo]] / Tabela3[[#This Row],[Qtde Cx Produzida]], 0),0)</f>
        <v>4.8611111111111112E-3</v>
      </c>
      <c r="P629" s="57">
        <f>IFERROR(Tabela3[[#This Row],[Perda Pçs]]/Tabela3[[#This Row],[Qdt Peça Placa]],0)</f>
        <v>0</v>
      </c>
      <c r="Q629" s="37">
        <f>IFERROR(Tabela3[[#This Row],[Realizado]]*Tabela3[[#This Row],[Peso Util/Pç]],0)</f>
        <v>12.824999999999999</v>
      </c>
      <c r="R629" s="37">
        <f>IFERROR(Tabela3[[#This Row],[Peso Total Galho]]*Tabela3[[#This Row],[Qtde Cx Produzida]]*1.055,0)</f>
        <v>24.525585</v>
      </c>
      <c r="S629" s="37">
        <f>(Tabela3[[#This Row],[Aluminio Bruto]]-Tabela3[[#This Row],[Aluminio Util]])*0.9</f>
        <v>10.530526500000001</v>
      </c>
      <c r="T629" s="37">
        <f>Tabela3[[#This Row],[Aluminio Bruto]]/OleoKGAluminio</f>
        <v>10.317881898223257</v>
      </c>
      <c r="U629" s="35">
        <f>IFERROR((VLOOKUP(Tabela3[[#This Row],[Moldador]],Tabela1[],5,)+(VLOOKUP(Tabela3[[#This Row],[Ajudante]],Tabela1[],5,))*3.5),0)</f>
        <v>99.95034583333333</v>
      </c>
      <c r="V629" s="35">
        <f>IFERROR(Tabela3[[#This Row],[Custo M.O. / H]]/((Tabela3[[#This Row],[Realizado]]/Tabela3[[#This Row],[Qdt Peça Placa]])/Tabela3[[#This Row],[Tempo]]/24),)</f>
        <v>11.660873680555556</v>
      </c>
      <c r="W629" s="35">
        <f>Tabela3[[#This Row],[Custo / Cx Moldada]]*Tabela3[[#This Row],[Qtde Cx Produzida]]</f>
        <v>104.947863125</v>
      </c>
      <c r="X629" s="35">
        <f ca="1">Tabela3[[#This Row],[Aluminio Util]]*Tabela3[[#This Row],[Custo/Kg]]</f>
        <v>200.07</v>
      </c>
      <c r="Y629" s="35">
        <f>IFERROR(VLOOKUP(Tabela3[[#This Row],[Data]],Tabela461213[],2,1)*(Tabela3[[#This Row],[Qtde Cx Produzida]]*Tabela3[[#This Row],[Qde macho / CX]]*Tabela3[[#This Row],[Peso Macho]]),)</f>
        <v>0</v>
      </c>
      <c r="Z629" s="35">
        <f>IFERROR(Tabela3[[#This Row],[Qtde Oleo]]*(VLOOKUP(Tabela3[[#This Row],[Data]],CompraOleo[],3,TRUE))*1.05,0)</f>
        <v>27.084439982836052</v>
      </c>
      <c r="AA629" s="47">
        <f ca="1">(Tabela3[[#This Row],[Custo Oleo]]+Tabela3[[#This Row],[Custo Aluminio]]+Tabela3[[#This Row],[Custo M.O. Total]]+Tabela3[[#This Row],[Custo Machos]])</f>
        <v>332.10230310783606</v>
      </c>
      <c r="AB629" s="47">
        <f ca="1">Tabela3[[#This Row],[Custo Total]]*Tabela3[[#This Row],[% Perda]]</f>
        <v>0</v>
      </c>
      <c r="AC629" s="48">
        <f>IFERROR(VLOOKUP(Tabela3[[#This Row],[Produto]],Tabela2[],2,0),0)</f>
        <v>3</v>
      </c>
      <c r="AD629" s="48">
        <f>IFERROR(VLOOKUP(Tabela3[[#This Row],[Produto]],Tabela2[],3,0),0)</f>
        <v>0.47499999999999998</v>
      </c>
      <c r="AE629" s="48">
        <f>IFERROR(VLOOKUP(Tabela3[[#This Row],[Produto]],Tabela2[],4,0),0)</f>
        <v>2.5830000000000002</v>
      </c>
      <c r="AF629" s="48">
        <f>IFERROR(VLOOKUP(Tabela3[[#This Row],[Produto]],Tabela2[],5,0),0)</f>
        <v>1.0422000000000005</v>
      </c>
      <c r="AG629" s="40">
        <f>IFERROR(VLOOKUP(Tabela3[[#This Row],[Produto]],Tabela2[],6,0),0)</f>
        <v>0</v>
      </c>
      <c r="AH629" s="40">
        <f>IFERROR(VLOOKUP(Tabela3[[#This Row],[Produto]],Tabela2[],7,0),0)</f>
        <v>0</v>
      </c>
      <c r="AI629" s="40">
        <f>IFERROR(VLOOKUP(Tabela3[[#This Row],[Produto]],Tabela2[],8,0),0)</f>
        <v>0</v>
      </c>
      <c r="AJ629" s="35">
        <f ca="1">IFERROR(VLOOKUP(Tabela3[[#This Row],[Produto]],Tabela2[],13,0),0)</f>
        <v>15.600000000000001</v>
      </c>
      <c r="AK629" s="40" t="str">
        <f>IFERROR(VLOOKUP(Tabela3[[#This Row],[Produto]],Tabela2[],14,0),0)</f>
        <v>Senun</v>
      </c>
      <c r="AL629" s="40">
        <f>IFERROR(VLOOKUP(Tabela3[[#This Row],[Produto]],Tabela2[],15,0),0)</f>
        <v>6</v>
      </c>
      <c r="AM629" s="36">
        <f ca="1">(Tabela3[[#This Row],[Custo Usinagem]]+Tabela3[[#This Row],[Custo / Pç]])*1.2</f>
        <v>21.960102360348269</v>
      </c>
      <c r="AN629" s="36">
        <f ca="1">Tabela3[[#This Row],[Valor Mínimo Venda]]*1.15</f>
        <v>25.254117714400508</v>
      </c>
      <c r="AO629" s="36">
        <f ca="1">Tabela3[[#This Row],[Tabela 1]]*1.08</f>
        <v>27.274447131552549</v>
      </c>
      <c r="AP629" s="36">
        <f ca="1">Tabela3[[#This Row],[Tabela 2]]*1.15</f>
        <v>31.365614201285428</v>
      </c>
    </row>
    <row r="630" spans="1:42">
      <c r="A630" s="9">
        <v>45911</v>
      </c>
      <c r="B630" s="6" t="s">
        <v>236</v>
      </c>
      <c r="C630" s="14">
        <v>7865</v>
      </c>
      <c r="D630" s="6" t="s">
        <v>44</v>
      </c>
      <c r="E630" s="6" t="s">
        <v>47</v>
      </c>
      <c r="F630" s="6">
        <v>29</v>
      </c>
      <c r="G630" s="15">
        <v>0.20833333333333334</v>
      </c>
      <c r="H630" s="16">
        <v>0</v>
      </c>
      <c r="I630" s="35">
        <f ca="1">IFERROR(Tabela3[[#This Row],[Custo Total]]/Tabela3[[#This Row],[Aluminio Util]],0)</f>
        <v>26.494069662149471</v>
      </c>
      <c r="J630" s="35">
        <f ca="1">Tabela3[[#This Row],[Custo Total]]/Tabela3[[#This Row],[Realizado]]</f>
        <v>8.0012090379691401</v>
      </c>
      <c r="K630" s="37">
        <f>IFERROR(Tabela3[[#This Row],[Qtde Cx Produzida]]/Tabela3[[#This Row],[Tempo]]/24,0)</f>
        <v>5.8</v>
      </c>
      <c r="L630" s="37">
        <f>Tabela3[[#This Row],[Qtde Cx Produzida]]*Tabela3[[#This Row],[Qdt Peça Placa]]</f>
        <v>174</v>
      </c>
      <c r="M630" s="37">
        <f>Tabela3[[#This Row],[Previsto]]-Tabela3[[#This Row],[Perda Pçs]]</f>
        <v>174</v>
      </c>
      <c r="N630" s="38">
        <f>IFERROR(Tabela3[[#This Row],[Perda Pçs]]/Tabela3[[#This Row],[Previsto]],0)</f>
        <v>0</v>
      </c>
      <c r="O630" s="39">
        <f>IFERROR(IF(Tabela3[[#This Row],[Qtde Cx Produzida]] &lt;&gt; 0, Tabela3[[#This Row],[Tempo]] / Tabela3[[#This Row],[Qtde Cx Produzida]], 0),0)</f>
        <v>7.1839080459770114E-3</v>
      </c>
      <c r="P630" s="57">
        <f>IFERROR(Tabela3[[#This Row],[Perda Pçs]]/Tabela3[[#This Row],[Qdt Peça Placa]],0)</f>
        <v>0</v>
      </c>
      <c r="Q630" s="37">
        <f>IFERROR(Tabela3[[#This Row],[Realizado]]*Tabela3[[#This Row],[Peso Util/Pç]],0)</f>
        <v>52.548000000000002</v>
      </c>
      <c r="R630" s="37">
        <f>IFERROR(Tabela3[[#This Row],[Peso Total Galho]]*Tabela3[[#This Row],[Qtde Cx Produzida]]*1.055,0)</f>
        <v>65.840440000000001</v>
      </c>
      <c r="S630" s="37">
        <f>(Tabela3[[#This Row],[Aluminio Bruto]]-Tabela3[[#This Row],[Aluminio Util]])*0.9</f>
        <v>11.963196</v>
      </c>
      <c r="T630" s="37">
        <f>Tabela3[[#This Row],[Aluminio Bruto]]/OleoKGAluminio</f>
        <v>27.698987977128969</v>
      </c>
      <c r="U630" s="35">
        <f>IFERROR((VLOOKUP(Tabela3[[#This Row],[Moldador]],Tabela1[],5,)+(VLOOKUP(Tabela3[[#This Row],[Ajudante]],Tabela1[],5,))*3.5),0)</f>
        <v>99.95034583333333</v>
      </c>
      <c r="V630" s="35">
        <f>IFERROR(Tabela3[[#This Row],[Custo M.O. / H]]/((Tabela3[[#This Row],[Realizado]]/Tabela3[[#This Row],[Qdt Peça Placa]])/Tabela3[[#This Row],[Tempo]]/24),)</f>
        <v>17.232818247126438</v>
      </c>
      <c r="W630" s="35">
        <f>Tabela3[[#This Row],[Custo / Cx Moldada]]*Tabela3[[#This Row],[Qtde Cx Produzida]]</f>
        <v>499.75172916666673</v>
      </c>
      <c r="X630" s="35">
        <f ca="1">Tabela3[[#This Row],[Aluminio Util]]*Tabela3[[#This Row],[Custo/Kg]]</f>
        <v>819.74880000000007</v>
      </c>
      <c r="Y630" s="35">
        <f>IFERROR(VLOOKUP(Tabela3[[#This Row],[Data]],Tabela461213[],2,1)*(Tabela3[[#This Row],[Qtde Cx Produzida]]*Tabela3[[#This Row],[Qde macho / CX]]*Tabela3[[#This Row],[Peso Macho]]),)</f>
        <v>0</v>
      </c>
      <c r="Z630" s="35">
        <f>IFERROR(Tabela3[[#This Row],[Qtde Oleo]]*(VLOOKUP(Tabela3[[#This Row],[Data]],CompraOleo[],3,TRUE))*1.05,0)</f>
        <v>72.709843439963549</v>
      </c>
      <c r="AA630" s="47">
        <f ca="1">(Tabela3[[#This Row],[Custo Oleo]]+Tabela3[[#This Row],[Custo Aluminio]]+Tabela3[[#This Row],[Custo M.O. Total]]+Tabela3[[#This Row],[Custo Machos]])</f>
        <v>1392.2103726066305</v>
      </c>
      <c r="AB630" s="47">
        <f ca="1">Tabela3[[#This Row],[Custo Total]]*Tabela3[[#This Row],[% Perda]]</f>
        <v>0</v>
      </c>
      <c r="AC630" s="48">
        <f>IFERROR(VLOOKUP(Tabela3[[#This Row],[Produto]],Tabela2[],2,0),0)</f>
        <v>6</v>
      </c>
      <c r="AD630" s="48">
        <f>IFERROR(VLOOKUP(Tabela3[[#This Row],[Produto]],Tabela2[],3,0),0)</f>
        <v>0.30199999999999999</v>
      </c>
      <c r="AE630" s="48">
        <f>IFERROR(VLOOKUP(Tabela3[[#This Row],[Produto]],Tabela2[],4,0),0)</f>
        <v>2.1520000000000001</v>
      </c>
      <c r="AF630" s="48">
        <f>IFERROR(VLOOKUP(Tabela3[[#This Row],[Produto]],Tabela2[],5,0),0)</f>
        <v>0.30600000000000027</v>
      </c>
      <c r="AG630" s="40">
        <f>IFERROR(VLOOKUP(Tabela3[[#This Row],[Produto]],Tabela2[],6,0),0)</f>
        <v>0</v>
      </c>
      <c r="AH630" s="40">
        <f>IFERROR(VLOOKUP(Tabela3[[#This Row],[Produto]],Tabela2[],7,0),0)</f>
        <v>0</v>
      </c>
      <c r="AI630" s="40">
        <f>IFERROR(VLOOKUP(Tabela3[[#This Row],[Produto]],Tabela2[],8,0),0)</f>
        <v>0</v>
      </c>
      <c r="AJ630" s="35">
        <f ca="1">IFERROR(VLOOKUP(Tabela3[[#This Row],[Produto]],Tabela2[],13,0),0)</f>
        <v>15.600000000000001</v>
      </c>
      <c r="AK630" s="40" t="str">
        <f>IFERROR(VLOOKUP(Tabela3[[#This Row],[Produto]],Tabela2[],14,0),0)</f>
        <v>Senun</v>
      </c>
      <c r="AL630" s="40">
        <f>IFERROR(VLOOKUP(Tabela3[[#This Row],[Produto]],Tabela2[],15,0),0)</f>
        <v>4</v>
      </c>
      <c r="AM630" s="36">
        <f ca="1">(Tabela3[[#This Row],[Custo Usinagem]]+Tabela3[[#This Row],[Custo / Pç]])*1.2</f>
        <v>14.401450845562968</v>
      </c>
      <c r="AN630" s="36">
        <f ca="1">Tabela3[[#This Row],[Valor Mínimo Venda]]*1.15</f>
        <v>16.561668472397411</v>
      </c>
      <c r="AO630" s="36">
        <f ca="1">Tabela3[[#This Row],[Tabela 1]]*1.08</f>
        <v>17.886601950189206</v>
      </c>
      <c r="AP630" s="36">
        <f ca="1">Tabela3[[#This Row],[Tabela 2]]*1.15</f>
        <v>20.569592242717587</v>
      </c>
    </row>
    <row r="631" spans="1:42">
      <c r="A631" s="9">
        <v>45911</v>
      </c>
      <c r="B631" s="6" t="s">
        <v>277</v>
      </c>
      <c r="C631" s="14">
        <v>7905</v>
      </c>
      <c r="D631" s="6" t="s">
        <v>44</v>
      </c>
      <c r="E631" s="6" t="s">
        <v>47</v>
      </c>
      <c r="F631" s="6">
        <v>6</v>
      </c>
      <c r="G631" s="15">
        <v>3.3333333333333333E-2</v>
      </c>
      <c r="H631" s="16">
        <v>0</v>
      </c>
      <c r="I631" s="35">
        <f ca="1">IFERROR(Tabela3[[#This Row],[Custo Total]]/Tabela3[[#This Row],[Aluminio Util]],0)</f>
        <v>33.528976941185448</v>
      </c>
      <c r="J631" s="35">
        <f ca="1">Tabela3[[#This Row],[Custo Total]]/Tabela3[[#This Row],[Realizado]]</f>
        <v>4.6940567717659638</v>
      </c>
      <c r="K631" s="37">
        <f>IFERROR(Tabela3[[#This Row],[Qtde Cx Produzida]]/Tabela3[[#This Row],[Tempo]]/24,0)</f>
        <v>7.5</v>
      </c>
      <c r="L631" s="37">
        <f>Tabela3[[#This Row],[Qtde Cx Produzida]]*Tabela3[[#This Row],[Qdt Peça Placa]]</f>
        <v>36</v>
      </c>
      <c r="M631" s="37">
        <f>Tabela3[[#This Row],[Previsto]]-Tabela3[[#This Row],[Perda Pçs]]</f>
        <v>36</v>
      </c>
      <c r="N631" s="38">
        <f>IFERROR(Tabela3[[#This Row],[Perda Pçs]]/Tabela3[[#This Row],[Previsto]],0)</f>
        <v>0</v>
      </c>
      <c r="O631" s="39">
        <f>IFERROR(IF(Tabela3[[#This Row],[Qtde Cx Produzida]] &lt;&gt; 0, Tabela3[[#This Row],[Tempo]] / Tabela3[[#This Row],[Qtde Cx Produzida]], 0),0)</f>
        <v>5.5555555555555558E-3</v>
      </c>
      <c r="P631" s="57">
        <f>IFERROR(Tabela3[[#This Row],[Perda Pçs]]/Tabela3[[#This Row],[Qdt Peça Placa]],0)</f>
        <v>0</v>
      </c>
      <c r="Q631" s="37">
        <f>IFERROR(Tabela3[[#This Row],[Realizado]]*Tabela3[[#This Row],[Peso Util/Pç]],0)</f>
        <v>5.0400000000000009</v>
      </c>
      <c r="R631" s="37">
        <f>IFERROR(Tabela3[[#This Row],[Peso Total Galho]]*Tabela3[[#This Row],[Qtde Cx Produzida]]*1.055,0)</f>
        <v>9.4190400000000007</v>
      </c>
      <c r="S631" s="37">
        <f>(Tabela3[[#This Row],[Aluminio Bruto]]-Tabela3[[#This Row],[Aluminio Util]])*0.9</f>
        <v>3.9411359999999998</v>
      </c>
      <c r="T631" s="37">
        <f>Tabela3[[#This Row],[Aluminio Bruto]]/OleoKGAluminio</f>
        <v>3.9625779492982862</v>
      </c>
      <c r="U631" s="35">
        <f>IFERROR((VLOOKUP(Tabela3[[#This Row],[Moldador]],Tabela1[],5,)+(VLOOKUP(Tabela3[[#This Row],[Ajudante]],Tabela1[],5,))*3.5),0)</f>
        <v>99.95034583333333</v>
      </c>
      <c r="V631" s="35">
        <f>IFERROR(Tabela3[[#This Row],[Custo M.O. / H]]/((Tabela3[[#This Row],[Realizado]]/Tabela3[[#This Row],[Qdt Peça Placa]])/Tabela3[[#This Row],[Tempo]]/24),)</f>
        <v>13.326712777777777</v>
      </c>
      <c r="W631" s="35">
        <f>Tabela3[[#This Row],[Custo / Cx Moldada]]*Tabela3[[#This Row],[Qtde Cx Produzida]]</f>
        <v>79.960276666666658</v>
      </c>
      <c r="X631" s="35">
        <f ca="1">Tabela3[[#This Row],[Aluminio Util]]*Tabela3[[#This Row],[Custo/Kg]]</f>
        <v>78.624000000000024</v>
      </c>
      <c r="Y631" s="35">
        <f>IFERROR(VLOOKUP(Tabela3[[#This Row],[Data]],Tabela461213[],2,1)*(Tabela3[[#This Row],[Qtde Cx Produzida]]*Tabela3[[#This Row],[Qde macho / CX]]*Tabela3[[#This Row],[Peso Macho]]),)</f>
        <v>0</v>
      </c>
      <c r="Z631" s="35">
        <f>IFERROR(Tabela3[[#This Row],[Qtde Oleo]]*(VLOOKUP(Tabela3[[#This Row],[Data]],CompraOleo[],3,TRUE))*1.05,0)</f>
        <v>10.401767116908003</v>
      </c>
      <c r="AA631" s="47">
        <f ca="1">(Tabela3[[#This Row],[Custo Oleo]]+Tabela3[[#This Row],[Custo Aluminio]]+Tabela3[[#This Row],[Custo M.O. Total]]+Tabela3[[#This Row],[Custo Machos]])</f>
        <v>168.9860437835747</v>
      </c>
      <c r="AB631" s="47">
        <f ca="1">Tabela3[[#This Row],[Custo Total]]*Tabela3[[#This Row],[% Perda]]</f>
        <v>0</v>
      </c>
      <c r="AC631" s="48">
        <f>IFERROR(VLOOKUP(Tabela3[[#This Row],[Produto]],Tabela2[],2,0),0)</f>
        <v>6</v>
      </c>
      <c r="AD631" s="48">
        <f>IFERROR(VLOOKUP(Tabela3[[#This Row],[Produto]],Tabela2[],3,0),0)</f>
        <v>0.14000000000000001</v>
      </c>
      <c r="AE631" s="48">
        <f>IFERROR(VLOOKUP(Tabela3[[#This Row],[Produto]],Tabela2[],4,0),0)</f>
        <v>1.488</v>
      </c>
      <c r="AF631" s="48">
        <f>IFERROR(VLOOKUP(Tabela3[[#This Row],[Produto]],Tabela2[],5,0),0)</f>
        <v>0.58319999999999994</v>
      </c>
      <c r="AG631" s="40">
        <f>IFERROR(VLOOKUP(Tabela3[[#This Row],[Produto]],Tabela2[],6,0),0)</f>
        <v>0</v>
      </c>
      <c r="AH631" s="40">
        <f>IFERROR(VLOOKUP(Tabela3[[#This Row],[Produto]],Tabela2[],7,0),0)</f>
        <v>0</v>
      </c>
      <c r="AI631" s="40">
        <f>IFERROR(VLOOKUP(Tabela3[[#This Row],[Produto]],Tabela2[],8,0),0)</f>
        <v>0</v>
      </c>
      <c r="AJ631" s="35">
        <f ca="1">IFERROR(VLOOKUP(Tabela3[[#This Row],[Produto]],Tabela2[],13,0),0)</f>
        <v>15.600000000000001</v>
      </c>
      <c r="AK631" s="40" t="str">
        <f>IFERROR(VLOOKUP(Tabela3[[#This Row],[Produto]],Tabela2[],14,0),0)</f>
        <v>Senun</v>
      </c>
      <c r="AL631" s="40">
        <f>IFERROR(VLOOKUP(Tabela3[[#This Row],[Produto]],Tabela2[],15,0),0)</f>
        <v>0</v>
      </c>
      <c r="AM631" s="36">
        <f ca="1">(Tabela3[[#This Row],[Custo Usinagem]]+Tabela3[[#This Row],[Custo / Pç]])*1.2</f>
        <v>5.6328681261191562</v>
      </c>
      <c r="AN631" s="36">
        <f ca="1">Tabela3[[#This Row],[Valor Mínimo Venda]]*1.15</f>
        <v>6.4777983450370291</v>
      </c>
      <c r="AO631" s="36">
        <f ca="1">Tabela3[[#This Row],[Tabela 1]]*1.08</f>
        <v>6.9960222126399918</v>
      </c>
      <c r="AP631" s="36">
        <f ca="1">Tabela3[[#This Row],[Tabela 2]]*1.15</f>
        <v>8.0454255445359895</v>
      </c>
    </row>
    <row r="632" spans="1:42">
      <c r="A632" s="9">
        <v>45911</v>
      </c>
      <c r="B632" s="6" t="s">
        <v>225</v>
      </c>
      <c r="C632" s="14">
        <v>7904</v>
      </c>
      <c r="D632" s="6" t="s">
        <v>44</v>
      </c>
      <c r="E632" s="6" t="s">
        <v>47</v>
      </c>
      <c r="F632" s="6">
        <v>9</v>
      </c>
      <c r="G632" s="15">
        <v>4.3749999999999997E-2</v>
      </c>
      <c r="H632" s="16">
        <v>0</v>
      </c>
      <c r="I632" s="35">
        <f ca="1">IFERROR(Tabela3[[#This Row],[Custo Total]]/Tabela3[[#This Row],[Aluminio Util]],0)</f>
        <v>30.336534435669684</v>
      </c>
      <c r="J632" s="35">
        <f ca="1">Tabela3[[#This Row],[Custo Total]]/Tabela3[[#This Row],[Realizado]]</f>
        <v>6.9774029202040282</v>
      </c>
      <c r="K632" s="37">
        <f>IFERROR(Tabela3[[#This Row],[Qtde Cx Produzida]]/Tabela3[[#This Row],[Tempo]]/24,0)</f>
        <v>8.5714285714285712</v>
      </c>
      <c r="L632" s="37">
        <f>Tabela3[[#This Row],[Qtde Cx Produzida]]*Tabela3[[#This Row],[Qdt Peça Placa]]</f>
        <v>36</v>
      </c>
      <c r="M632" s="37">
        <f>Tabela3[[#This Row],[Previsto]]-Tabela3[[#This Row],[Perda Pçs]]</f>
        <v>36</v>
      </c>
      <c r="N632" s="38">
        <f>IFERROR(Tabela3[[#This Row],[Perda Pçs]]/Tabela3[[#This Row],[Previsto]],0)</f>
        <v>0</v>
      </c>
      <c r="O632" s="39">
        <f>IFERROR(IF(Tabela3[[#This Row],[Qtde Cx Produzida]] &lt;&gt; 0, Tabela3[[#This Row],[Tempo]] / Tabela3[[#This Row],[Qtde Cx Produzida]], 0),0)</f>
        <v>4.8611111111111112E-3</v>
      </c>
      <c r="P632" s="57">
        <f>IFERROR(Tabela3[[#This Row],[Perda Pçs]]/Tabela3[[#This Row],[Qdt Peça Placa]],0)</f>
        <v>0</v>
      </c>
      <c r="Q632" s="37">
        <f>IFERROR(Tabela3[[#This Row],[Realizado]]*Tabela3[[#This Row],[Peso Util/Pç]],0)</f>
        <v>8.2800000000000011</v>
      </c>
      <c r="R632" s="37">
        <f>IFERROR(Tabela3[[#This Row],[Peso Total Galho]]*Tabela3[[#This Row],[Qtde Cx Produzida]]*1.055,0)</f>
        <v>15.457859999999998</v>
      </c>
      <c r="S632" s="37">
        <f>(Tabela3[[#This Row],[Aluminio Bruto]]-Tabela3[[#This Row],[Aluminio Util]])*0.9</f>
        <v>6.4600739999999979</v>
      </c>
      <c r="T632" s="37">
        <f>Tabela3[[#This Row],[Aluminio Bruto]]/OleoKGAluminio</f>
        <v>6.5031017151790413</v>
      </c>
      <c r="U632" s="35">
        <f>IFERROR((VLOOKUP(Tabela3[[#This Row],[Moldador]],Tabela1[],5,)+(VLOOKUP(Tabela3[[#This Row],[Ajudante]],Tabela1[],5,))*3.5),0)</f>
        <v>99.95034583333333</v>
      </c>
      <c r="V632" s="35">
        <f>IFERROR(Tabela3[[#This Row],[Custo M.O. / H]]/((Tabela3[[#This Row],[Realizado]]/Tabela3[[#This Row],[Qdt Peça Placa]])/Tabela3[[#This Row],[Tempo]]/24),)</f>
        <v>11.660873680555556</v>
      </c>
      <c r="W632" s="35">
        <f>Tabela3[[#This Row],[Custo / Cx Moldada]]*Tabela3[[#This Row],[Qtde Cx Produzida]]</f>
        <v>104.947863125</v>
      </c>
      <c r="X632" s="35">
        <f ca="1">Tabela3[[#This Row],[Aluminio Util]]*Tabela3[[#This Row],[Custo/Kg]]</f>
        <v>129.16800000000003</v>
      </c>
      <c r="Y632" s="35">
        <f>IFERROR(VLOOKUP(Tabela3[[#This Row],[Data]],Tabela461213[],2,1)*(Tabela3[[#This Row],[Qtde Cx Produzida]]*Tabela3[[#This Row],[Qde macho / CX]]*Tabela3[[#This Row],[Peso Macho]]),)</f>
        <v>0</v>
      </c>
      <c r="Z632" s="35">
        <f>IFERROR(Tabela3[[#This Row],[Qtde Oleo]]*(VLOOKUP(Tabela3[[#This Row],[Data]],CompraOleo[],3,TRUE))*1.05,0)</f>
        <v>17.070642002344982</v>
      </c>
      <c r="AA632" s="47">
        <f ca="1">(Tabela3[[#This Row],[Custo Oleo]]+Tabela3[[#This Row],[Custo Aluminio]]+Tabela3[[#This Row],[Custo M.O. Total]]+Tabela3[[#This Row],[Custo Machos]])</f>
        <v>251.18650512734501</v>
      </c>
      <c r="AB632" s="47">
        <f ca="1">Tabela3[[#This Row],[Custo Total]]*Tabela3[[#This Row],[% Perda]]</f>
        <v>0</v>
      </c>
      <c r="AC632" s="48">
        <f>IFERROR(VLOOKUP(Tabela3[[#This Row],[Produto]],Tabela2[],2,0),0)</f>
        <v>4</v>
      </c>
      <c r="AD632" s="48">
        <f>IFERROR(VLOOKUP(Tabela3[[#This Row],[Produto]],Tabela2[],3,0),0)</f>
        <v>0.23</v>
      </c>
      <c r="AE632" s="48">
        <f>IFERROR(VLOOKUP(Tabela3[[#This Row],[Produto]],Tabela2[],4,0),0)</f>
        <v>1.6279999999999999</v>
      </c>
      <c r="AF632" s="48">
        <f>IFERROR(VLOOKUP(Tabela3[[#This Row],[Produto]],Tabela2[],5,0),0)</f>
        <v>0.63719999999999988</v>
      </c>
      <c r="AG632" s="40">
        <f>IFERROR(VLOOKUP(Tabela3[[#This Row],[Produto]],Tabela2[],6,0),0)</f>
        <v>0</v>
      </c>
      <c r="AH632" s="40">
        <f>IFERROR(VLOOKUP(Tabela3[[#This Row],[Produto]],Tabela2[],7,0),0)</f>
        <v>0</v>
      </c>
      <c r="AI632" s="40">
        <f>IFERROR(VLOOKUP(Tabela3[[#This Row],[Produto]],Tabela2[],8,0),0)</f>
        <v>0</v>
      </c>
      <c r="AJ632" s="35">
        <f ca="1">IFERROR(VLOOKUP(Tabela3[[#This Row],[Produto]],Tabela2[],13,0),0)</f>
        <v>15.600000000000001</v>
      </c>
      <c r="AK632" s="40" t="str">
        <f>IFERROR(VLOOKUP(Tabela3[[#This Row],[Produto]],Tabela2[],14,0),0)</f>
        <v>Senun</v>
      </c>
      <c r="AL632" s="40">
        <f>IFERROR(VLOOKUP(Tabela3[[#This Row],[Produto]],Tabela2[],15,0),0)</f>
        <v>4</v>
      </c>
      <c r="AM632" s="36">
        <f ca="1">(Tabela3[[#This Row],[Custo Usinagem]]+Tabela3[[#This Row],[Custo / Pç]])*1.2</f>
        <v>13.172883504244833</v>
      </c>
      <c r="AN632" s="36">
        <f ca="1">Tabela3[[#This Row],[Valor Mínimo Venda]]*1.15</f>
        <v>15.148816029881557</v>
      </c>
      <c r="AO632" s="36">
        <f ca="1">Tabela3[[#This Row],[Tabela 1]]*1.08</f>
        <v>16.360721312272084</v>
      </c>
      <c r="AP632" s="36">
        <f ca="1">Tabela3[[#This Row],[Tabela 2]]*1.15</f>
        <v>18.814829509112894</v>
      </c>
    </row>
    <row r="633" spans="1:42">
      <c r="A633" s="9">
        <v>45911</v>
      </c>
      <c r="B633" s="6" t="s">
        <v>245</v>
      </c>
      <c r="C633" s="14">
        <v>7866</v>
      </c>
      <c r="D633" s="6" t="s">
        <v>44</v>
      </c>
      <c r="E633" s="6" t="s">
        <v>47</v>
      </c>
      <c r="F633" s="6">
        <v>3</v>
      </c>
      <c r="G633" s="15">
        <v>2.013888888888889E-2</v>
      </c>
      <c r="H633" s="16">
        <v>0</v>
      </c>
      <c r="I633" s="35">
        <f ca="1">IFERROR(Tabela3[[#This Row],[Custo Total]]/Tabela3[[#This Row],[Aluminio Util]],0)</f>
        <v>29.743658118323015</v>
      </c>
      <c r="J633" s="35">
        <f ca="1">Tabela3[[#This Row],[Custo Total]]/Tabela3[[#This Row],[Realizado]]</f>
        <v>9.8748944952832414</v>
      </c>
      <c r="K633" s="37">
        <f>IFERROR(Tabela3[[#This Row],[Qtde Cx Produzida]]/Tabela3[[#This Row],[Tempo]]/24,0)</f>
        <v>6.2068965517241379</v>
      </c>
      <c r="L633" s="37">
        <f>Tabela3[[#This Row],[Qtde Cx Produzida]]*Tabela3[[#This Row],[Qdt Peça Placa]]</f>
        <v>12</v>
      </c>
      <c r="M633" s="37">
        <f>Tabela3[[#This Row],[Previsto]]-Tabela3[[#This Row],[Perda Pçs]]</f>
        <v>12</v>
      </c>
      <c r="N633" s="38">
        <f>IFERROR(Tabela3[[#This Row],[Perda Pçs]]/Tabela3[[#This Row],[Previsto]],0)</f>
        <v>0</v>
      </c>
      <c r="O633" s="39">
        <f>IFERROR(IF(Tabela3[[#This Row],[Qtde Cx Produzida]] &lt;&gt; 0, Tabela3[[#This Row],[Tempo]] / Tabela3[[#This Row],[Qtde Cx Produzida]], 0),0)</f>
        <v>6.7129629629629631E-3</v>
      </c>
      <c r="P633" s="57">
        <f>IFERROR(Tabela3[[#This Row],[Perda Pçs]]/Tabela3[[#This Row],[Qdt Peça Placa]],0)</f>
        <v>0</v>
      </c>
      <c r="Q633" s="37">
        <f>IFERROR(Tabela3[[#This Row],[Realizado]]*Tabela3[[#This Row],[Peso Util/Pç]],0)</f>
        <v>3.984</v>
      </c>
      <c r="R633" s="37">
        <f>IFERROR(Tabela3[[#This Row],[Peso Total Galho]]*Tabela3[[#This Row],[Qtde Cx Produzida]]*1.055,0)</f>
        <v>7.2794999999999987</v>
      </c>
      <c r="S633" s="37">
        <f>(Tabela3[[#This Row],[Aluminio Bruto]]-Tabela3[[#This Row],[Aluminio Util]])*0.9</f>
        <v>2.965949999999999</v>
      </c>
      <c r="T633" s="37">
        <f>Tabela3[[#This Row],[Aluminio Bruto]]/OleoKGAluminio</f>
        <v>3.0624762376969272</v>
      </c>
      <c r="U633" s="35">
        <f>IFERROR((VLOOKUP(Tabela3[[#This Row],[Moldador]],Tabela1[],5,)+(VLOOKUP(Tabela3[[#This Row],[Ajudante]],Tabela1[],5,))*3.5),0)</f>
        <v>99.95034583333333</v>
      </c>
      <c r="V633" s="35">
        <f>IFERROR(Tabela3[[#This Row],[Custo M.O. / H]]/((Tabela3[[#This Row],[Realizado]]/Tabela3[[#This Row],[Qdt Peça Placa]])/Tabela3[[#This Row],[Tempo]]/24),)</f>
        <v>16.103111273148148</v>
      </c>
      <c r="W633" s="35">
        <f>Tabela3[[#This Row],[Custo / Cx Moldada]]*Tabela3[[#This Row],[Qtde Cx Produzida]]</f>
        <v>48.309333819444447</v>
      </c>
      <c r="X633" s="35">
        <f ca="1">Tabela3[[#This Row],[Aluminio Util]]*Tabela3[[#This Row],[Custo/Kg]]</f>
        <v>62.150400000000005</v>
      </c>
      <c r="Y633" s="35">
        <f>IFERROR(VLOOKUP(Tabela3[[#This Row],[Data]],Tabela461213[],2,1)*(Tabela3[[#This Row],[Qtde Cx Produzida]]*Tabela3[[#This Row],[Qde macho / CX]]*Tabela3[[#This Row],[Peso Macho]]),)</f>
        <v>0</v>
      </c>
      <c r="Z633" s="35">
        <f>IFERROR(Tabela3[[#This Row],[Qtde Oleo]]*(VLOOKUP(Tabela3[[#This Row],[Data]],CompraOleo[],3,TRUE))*1.05,0)</f>
        <v>8.039000123954434</v>
      </c>
      <c r="AA633" s="47">
        <f ca="1">(Tabela3[[#This Row],[Custo Oleo]]+Tabela3[[#This Row],[Custo Aluminio]]+Tabela3[[#This Row],[Custo M.O. Total]]+Tabela3[[#This Row],[Custo Machos]])</f>
        <v>118.49873394339889</v>
      </c>
      <c r="AB633" s="47">
        <f ca="1">Tabela3[[#This Row],[Custo Total]]*Tabela3[[#This Row],[% Perda]]</f>
        <v>0</v>
      </c>
      <c r="AC633" s="48">
        <f>IFERROR(VLOOKUP(Tabela3[[#This Row],[Produto]],Tabela2[],2,0),0)</f>
        <v>4</v>
      </c>
      <c r="AD633" s="48">
        <f>IFERROR(VLOOKUP(Tabela3[[#This Row],[Produto]],Tabela2[],3,0),0)</f>
        <v>0.33200000000000002</v>
      </c>
      <c r="AE633" s="48">
        <f>IFERROR(VLOOKUP(Tabela3[[#This Row],[Produto]],Tabela2[],4,0),0)</f>
        <v>2.2999999999999998</v>
      </c>
      <c r="AF633" s="48">
        <f>IFERROR(VLOOKUP(Tabela3[[#This Row],[Produto]],Tabela2[],5,0),0)</f>
        <v>0.8747999999999998</v>
      </c>
      <c r="AG633" s="40">
        <f>IFERROR(VLOOKUP(Tabela3[[#This Row],[Produto]],Tabela2[],6,0),0)</f>
        <v>0</v>
      </c>
      <c r="AH633" s="40">
        <f>IFERROR(VLOOKUP(Tabela3[[#This Row],[Produto]],Tabela2[],7,0),0)</f>
        <v>0</v>
      </c>
      <c r="AI633" s="40">
        <f>IFERROR(VLOOKUP(Tabela3[[#This Row],[Produto]],Tabela2[],8,0),0)</f>
        <v>0</v>
      </c>
      <c r="AJ633" s="35">
        <f ca="1">IFERROR(VLOOKUP(Tabela3[[#This Row],[Produto]],Tabela2[],13,0),0)</f>
        <v>15.600000000000001</v>
      </c>
      <c r="AK633" s="40" t="str">
        <f>IFERROR(VLOOKUP(Tabela3[[#This Row],[Produto]],Tabela2[],14,0),0)</f>
        <v>Senun</v>
      </c>
      <c r="AL633" s="40">
        <f>IFERROR(VLOOKUP(Tabela3[[#This Row],[Produto]],Tabela2[],15,0),0)</f>
        <v>3.5</v>
      </c>
      <c r="AM633" s="36">
        <f ca="1">(Tabela3[[#This Row],[Custo Usinagem]]+Tabela3[[#This Row],[Custo / Pç]])*1.2</f>
        <v>16.04987339433989</v>
      </c>
      <c r="AN633" s="36">
        <f ca="1">Tabela3[[#This Row],[Valor Mínimo Venda]]*1.15</f>
        <v>18.457354403490871</v>
      </c>
      <c r="AO633" s="36">
        <f ca="1">Tabela3[[#This Row],[Tabela 1]]*1.08</f>
        <v>19.933942755770143</v>
      </c>
      <c r="AP633" s="36">
        <f ca="1">Tabela3[[#This Row],[Tabela 2]]*1.15</f>
        <v>22.924034169135663</v>
      </c>
    </row>
    <row r="634" spans="1:42">
      <c r="A634" s="9">
        <v>45911</v>
      </c>
      <c r="B634" s="6" t="s">
        <v>253</v>
      </c>
      <c r="C634" s="14">
        <v>7886</v>
      </c>
      <c r="D634" s="6" t="s">
        <v>44</v>
      </c>
      <c r="E634" s="6" t="s">
        <v>47</v>
      </c>
      <c r="F634" s="6">
        <v>12</v>
      </c>
      <c r="G634" s="15">
        <v>6.3194444444444442E-2</v>
      </c>
      <c r="H634" s="16">
        <v>0</v>
      </c>
      <c r="I634" s="35">
        <f ca="1">IFERROR(Tabela3[[#This Row],[Custo Total]]/Tabela3[[#This Row],[Aluminio Util]],0)</f>
        <v>31.927917324877633</v>
      </c>
      <c r="J634" s="35">
        <f ca="1">Tabela3[[#This Row],[Custo Total]]/Tabela3[[#This Row],[Realizado]]</f>
        <v>33.524313191121514</v>
      </c>
      <c r="K634" s="37">
        <f>IFERROR(Tabela3[[#This Row],[Qtde Cx Produzida]]/Tabela3[[#This Row],[Tempo]]/24,0)</f>
        <v>7.9120879120879124</v>
      </c>
      <c r="L634" s="37">
        <f>Tabela3[[#This Row],[Qtde Cx Produzida]]*Tabela3[[#This Row],[Qdt Peça Placa]]</f>
        <v>12</v>
      </c>
      <c r="M634" s="37">
        <f>Tabela3[[#This Row],[Previsto]]-Tabela3[[#This Row],[Perda Pçs]]</f>
        <v>12</v>
      </c>
      <c r="N634" s="38">
        <f>IFERROR(Tabela3[[#This Row],[Perda Pçs]]/Tabela3[[#This Row],[Previsto]],0)</f>
        <v>0</v>
      </c>
      <c r="O634" s="39">
        <f>IFERROR(IF(Tabela3[[#This Row],[Qtde Cx Produzida]] &lt;&gt; 0, Tabela3[[#This Row],[Tempo]] / Tabela3[[#This Row],[Qtde Cx Produzida]], 0),0)</f>
        <v>5.2662037037037035E-3</v>
      </c>
      <c r="P634" s="57">
        <f>IFERROR(Tabela3[[#This Row],[Perda Pçs]]/Tabela3[[#This Row],[Qdt Peça Placa]],0)</f>
        <v>0</v>
      </c>
      <c r="Q634" s="37">
        <f>IFERROR(Tabela3[[#This Row],[Realizado]]*Tabela3[[#This Row],[Peso Util/Pç]],0)</f>
        <v>12.600000000000001</v>
      </c>
      <c r="R634" s="37">
        <f>IFERROR(Tabela3[[#This Row],[Peso Total Galho]]*Tabela3[[#This Row],[Qtde Cx Produzida]]*1.055,0)</f>
        <v>26.206199999999995</v>
      </c>
      <c r="S634" s="37">
        <f>(Tabela3[[#This Row],[Aluminio Bruto]]-Tabela3[[#This Row],[Aluminio Util]])*0.9</f>
        <v>12.245579999999995</v>
      </c>
      <c r="T634" s="37">
        <f>Tabela3[[#This Row],[Aluminio Bruto]]/OleoKGAluminio</f>
        <v>11.024914455708938</v>
      </c>
      <c r="U634" s="35">
        <f>IFERROR((VLOOKUP(Tabela3[[#This Row],[Moldador]],Tabela1[],5,)+(VLOOKUP(Tabela3[[#This Row],[Ajudante]],Tabela1[],5,))*3.5),0)</f>
        <v>99.95034583333333</v>
      </c>
      <c r="V634" s="35">
        <f>IFERROR(Tabela3[[#This Row],[Custo M.O. / H]]/((Tabela3[[#This Row],[Realizado]]/Tabela3[[#This Row],[Qdt Peça Placa]])/Tabela3[[#This Row],[Tempo]]/24),)</f>
        <v>12.632613153935184</v>
      </c>
      <c r="W634" s="35">
        <f>Tabela3[[#This Row],[Custo / Cx Moldada]]*Tabela3[[#This Row],[Qtde Cx Produzida]]</f>
        <v>151.59135784722221</v>
      </c>
      <c r="X634" s="35">
        <f ca="1">Tabela3[[#This Row],[Aluminio Util]]*Tabela3[[#This Row],[Custo/Kg]]</f>
        <v>221.76000000000005</v>
      </c>
      <c r="Y634" s="35">
        <f>IFERROR(VLOOKUP(Tabela3[[#This Row],[Data]],Tabela461213[],2,1)*(Tabela3[[#This Row],[Qtde Cx Produzida]]*Tabela3[[#This Row],[Qde macho / CX]]*Tabela3[[#This Row],[Peso Macho]]),)</f>
        <v>0</v>
      </c>
      <c r="Z634" s="35">
        <f>IFERROR(Tabela3[[#This Row],[Qtde Oleo]]*(VLOOKUP(Tabela3[[#This Row],[Data]],CompraOleo[],3,TRUE))*1.05,0)</f>
        <v>28.940400446235962</v>
      </c>
      <c r="AA634" s="47">
        <f ca="1">(Tabela3[[#This Row],[Custo Oleo]]+Tabela3[[#This Row],[Custo Aluminio]]+Tabela3[[#This Row],[Custo M.O. Total]]+Tabela3[[#This Row],[Custo Machos]])</f>
        <v>402.2917582934582</v>
      </c>
      <c r="AB634" s="47">
        <f ca="1">Tabela3[[#This Row],[Custo Total]]*Tabela3[[#This Row],[% Perda]]</f>
        <v>0</v>
      </c>
      <c r="AC634" s="48">
        <f>IFERROR(VLOOKUP(Tabela3[[#This Row],[Produto]],Tabela2[],2,0),0)</f>
        <v>1</v>
      </c>
      <c r="AD634" s="48">
        <f>IFERROR(VLOOKUP(Tabela3[[#This Row],[Produto]],Tabela2[],3,0),0)</f>
        <v>1.05</v>
      </c>
      <c r="AE634" s="48">
        <f>IFERROR(VLOOKUP(Tabela3[[#This Row],[Produto]],Tabela2[],4,0),0)</f>
        <v>2.0699999999999998</v>
      </c>
      <c r="AF634" s="48">
        <f>IFERROR(VLOOKUP(Tabela3[[#This Row],[Produto]],Tabela2[],5,0),0)</f>
        <v>0.91799999999999982</v>
      </c>
      <c r="AG634" s="40">
        <f>IFERROR(VLOOKUP(Tabela3[[#This Row],[Produto]],Tabela2[],6,0),0)</f>
        <v>0</v>
      </c>
      <c r="AH634" s="40">
        <f>IFERROR(VLOOKUP(Tabela3[[#This Row],[Produto]],Tabela2[],7,0),0)</f>
        <v>0</v>
      </c>
      <c r="AI634" s="40">
        <f>IFERROR(VLOOKUP(Tabela3[[#This Row],[Produto]],Tabela2[],8,0),0)</f>
        <v>0</v>
      </c>
      <c r="AJ634" s="35">
        <f ca="1">IFERROR(VLOOKUP(Tabela3[[#This Row],[Produto]],Tabela2[],13,0),0)</f>
        <v>17.600000000000001</v>
      </c>
      <c r="AK634" s="40" t="str">
        <f>IFERROR(VLOOKUP(Tabela3[[#This Row],[Produto]],Tabela2[],14,0),0)</f>
        <v>Protec</v>
      </c>
      <c r="AL634" s="40">
        <f>IFERROR(VLOOKUP(Tabela3[[#This Row],[Produto]],Tabela2[],15,0),0)</f>
        <v>0</v>
      </c>
      <c r="AM634" s="36">
        <f ca="1">(Tabela3[[#This Row],[Custo Usinagem]]+Tabela3[[#This Row],[Custo / Pç]])*1.2</f>
        <v>40.229175829345813</v>
      </c>
      <c r="AN634" s="36">
        <f ca="1">Tabela3[[#This Row],[Valor Mínimo Venda]]*1.15</f>
        <v>46.263552203747679</v>
      </c>
      <c r="AO634" s="36">
        <f ca="1">Tabela3[[#This Row],[Tabela 1]]*1.08</f>
        <v>49.964636380047494</v>
      </c>
      <c r="AP634" s="36">
        <f ca="1">Tabela3[[#This Row],[Tabela 2]]*1.15</f>
        <v>57.459331837054613</v>
      </c>
    </row>
    <row r="635" spans="1:42">
      <c r="A635" s="9">
        <v>45912</v>
      </c>
      <c r="B635" s="6" t="s">
        <v>258</v>
      </c>
      <c r="C635" s="14">
        <v>7902</v>
      </c>
      <c r="D635" s="6" t="s">
        <v>46</v>
      </c>
      <c r="E635" s="6" t="s">
        <v>326</v>
      </c>
      <c r="F635" s="6">
        <v>2</v>
      </c>
      <c r="G635" s="15">
        <v>1.2500000000000001E-2</v>
      </c>
      <c r="H635" s="16">
        <v>0</v>
      </c>
      <c r="I635" s="35">
        <f ca="1">IFERROR(Tabela3[[#This Row],[Custo Total]]/Tabela3[[#This Row],[Aluminio Util]],0)</f>
        <v>28.232936207238684</v>
      </c>
      <c r="J635" s="35">
        <f ca="1">Tabela3[[#This Row],[Custo Total]]/Tabela3[[#This Row],[Realizado]]</f>
        <v>13.410644698438373</v>
      </c>
      <c r="K635" s="37">
        <f>IFERROR(Tabela3[[#This Row],[Qtde Cx Produzida]]/Tabela3[[#This Row],[Tempo]]/24,0)</f>
        <v>6.666666666666667</v>
      </c>
      <c r="L635" s="37">
        <f>Tabela3[[#This Row],[Qtde Cx Produzida]]*Tabela3[[#This Row],[Qdt Peça Placa]]</f>
        <v>6</v>
      </c>
      <c r="M635" s="37">
        <f>Tabela3[[#This Row],[Previsto]]-Tabela3[[#This Row],[Perda Pçs]]</f>
        <v>6</v>
      </c>
      <c r="N635" s="38">
        <f>IFERROR(Tabela3[[#This Row],[Perda Pçs]]/Tabela3[[#This Row],[Previsto]],0)</f>
        <v>0</v>
      </c>
      <c r="O635" s="39">
        <f>IFERROR(IF(Tabela3[[#This Row],[Qtde Cx Produzida]] &lt;&gt; 0, Tabela3[[#This Row],[Tempo]] / Tabela3[[#This Row],[Qtde Cx Produzida]], 0),0)</f>
        <v>6.2500000000000003E-3</v>
      </c>
      <c r="P635" s="57">
        <f>IFERROR(Tabela3[[#This Row],[Perda Pçs]]/Tabela3[[#This Row],[Qdt Peça Placa]],0)</f>
        <v>0</v>
      </c>
      <c r="Q635" s="37">
        <f>IFERROR(Tabela3[[#This Row],[Realizado]]*Tabela3[[#This Row],[Peso Util/Pç]],0)</f>
        <v>2.8499999999999996</v>
      </c>
      <c r="R635" s="37">
        <f>IFERROR(Tabela3[[#This Row],[Peso Total Galho]]*Tabela3[[#This Row],[Qtde Cx Produzida]]*1.055,0)</f>
        <v>5.4501299999999997</v>
      </c>
      <c r="S635" s="37">
        <f>(Tabela3[[#This Row],[Aluminio Bruto]]-Tabela3[[#This Row],[Aluminio Util]])*0.9</f>
        <v>2.3401170000000002</v>
      </c>
      <c r="T635" s="37">
        <f>Tabela3[[#This Row],[Aluminio Bruto]]/OleoKGAluminio</f>
        <v>2.2928626440496127</v>
      </c>
      <c r="U635" s="35">
        <f>IFERROR((VLOOKUP(Tabela3[[#This Row],[Moldador]],Tabela1[],5,)+(VLOOKUP(Tabela3[[#This Row],[Ajudante]],Tabela1[],5,))*3.5),0)</f>
        <v>99.95034583333333</v>
      </c>
      <c r="V635" s="35">
        <f>IFERROR(Tabela3[[#This Row],[Custo M.O. / H]]/((Tabela3[[#This Row],[Realizado]]/Tabela3[[#This Row],[Qdt Peça Placa]])/Tabela3[[#This Row],[Tempo]]/24),)</f>
        <v>14.992551874999998</v>
      </c>
      <c r="W635" s="35">
        <f>Tabela3[[#This Row],[Custo / Cx Moldada]]*Tabela3[[#This Row],[Qtde Cx Produzida]]</f>
        <v>29.985103749999997</v>
      </c>
      <c r="X635" s="35">
        <f ca="1">Tabela3[[#This Row],[Aluminio Util]]*Tabela3[[#This Row],[Custo/Kg]]</f>
        <v>44.46</v>
      </c>
      <c r="Y635" s="35">
        <f>IFERROR(VLOOKUP(Tabela3[[#This Row],[Data]],Tabela461213[],2,1)*(Tabela3[[#This Row],[Qtde Cx Produzida]]*Tabela3[[#This Row],[Qde macho / CX]]*Tabela3[[#This Row],[Peso Macho]]),)</f>
        <v>0</v>
      </c>
      <c r="Z635" s="35">
        <f>IFERROR(Tabela3[[#This Row],[Qtde Oleo]]*(VLOOKUP(Tabela3[[#This Row],[Data]],CompraOleo[],3,TRUE))*1.05,0)</f>
        <v>6.0187644406302336</v>
      </c>
      <c r="AA635" s="47">
        <f ca="1">(Tabela3[[#This Row],[Custo Oleo]]+Tabela3[[#This Row],[Custo Aluminio]]+Tabela3[[#This Row],[Custo M.O. Total]]+Tabela3[[#This Row],[Custo Machos]])</f>
        <v>80.463868190630237</v>
      </c>
      <c r="AB635" s="47">
        <f ca="1">Tabela3[[#This Row],[Custo Total]]*Tabela3[[#This Row],[% Perda]]</f>
        <v>0</v>
      </c>
      <c r="AC635" s="48">
        <f>IFERROR(VLOOKUP(Tabela3[[#This Row],[Produto]],Tabela2[],2,0),0)</f>
        <v>3</v>
      </c>
      <c r="AD635" s="48">
        <f>IFERROR(VLOOKUP(Tabela3[[#This Row],[Produto]],Tabela2[],3,0),0)</f>
        <v>0.47499999999999998</v>
      </c>
      <c r="AE635" s="48">
        <f>IFERROR(VLOOKUP(Tabela3[[#This Row],[Produto]],Tabela2[],4,0),0)</f>
        <v>2.5830000000000002</v>
      </c>
      <c r="AF635" s="48">
        <f>IFERROR(VLOOKUP(Tabela3[[#This Row],[Produto]],Tabela2[],5,0),0)</f>
        <v>1.0422000000000005</v>
      </c>
      <c r="AG635" s="40">
        <f>IFERROR(VLOOKUP(Tabela3[[#This Row],[Produto]],Tabela2[],6,0),0)</f>
        <v>0</v>
      </c>
      <c r="AH635" s="40">
        <f>IFERROR(VLOOKUP(Tabela3[[#This Row],[Produto]],Tabela2[],7,0),0)</f>
        <v>0</v>
      </c>
      <c r="AI635" s="40">
        <f>IFERROR(VLOOKUP(Tabela3[[#This Row],[Produto]],Tabela2[],8,0),0)</f>
        <v>0</v>
      </c>
      <c r="AJ635" s="35">
        <f ca="1">IFERROR(VLOOKUP(Tabela3[[#This Row],[Produto]],Tabela2[],13,0),0)</f>
        <v>15.600000000000001</v>
      </c>
      <c r="AK635" s="40" t="str">
        <f>IFERROR(VLOOKUP(Tabela3[[#This Row],[Produto]],Tabela2[],14,0),0)</f>
        <v>Senun</v>
      </c>
      <c r="AL635" s="40">
        <f>IFERROR(VLOOKUP(Tabela3[[#This Row],[Produto]],Tabela2[],15,0),0)</f>
        <v>6</v>
      </c>
      <c r="AM635" s="36">
        <f ca="1">(Tabela3[[#This Row],[Custo Usinagem]]+Tabela3[[#This Row],[Custo / Pç]])*1.2</f>
        <v>23.29277363812605</v>
      </c>
      <c r="AN635" s="36">
        <f ca="1">Tabela3[[#This Row],[Valor Mínimo Venda]]*1.15</f>
        <v>26.786689683844955</v>
      </c>
      <c r="AO635" s="36">
        <f ca="1">Tabela3[[#This Row],[Tabela 1]]*1.08</f>
        <v>28.929624858552554</v>
      </c>
      <c r="AP635" s="36">
        <f ca="1">Tabela3[[#This Row],[Tabela 2]]*1.15</f>
        <v>33.269068587335433</v>
      </c>
    </row>
    <row r="636" spans="1:42">
      <c r="A636" s="9">
        <v>45912</v>
      </c>
      <c r="B636" s="6" t="s">
        <v>125</v>
      </c>
      <c r="C636" s="14">
        <v>7901</v>
      </c>
      <c r="D636" s="6" t="s">
        <v>46</v>
      </c>
      <c r="E636" s="6" t="s">
        <v>326</v>
      </c>
      <c r="F636" s="6">
        <v>33</v>
      </c>
      <c r="G636" s="15">
        <v>0.16666666666666666</v>
      </c>
      <c r="H636" s="16">
        <v>0</v>
      </c>
      <c r="I636" s="35">
        <f ca="1">IFERROR(Tabela3[[#This Row],[Custo Total]]/Tabela3[[#This Row],[Aluminio Util]],0)</f>
        <v>25.861829367847264</v>
      </c>
      <c r="J636" s="35">
        <f ca="1">Tabela3[[#This Row],[Custo Total]]/Tabela3[[#This Row],[Realizado]]</f>
        <v>36.258284773721861</v>
      </c>
      <c r="K636" s="37">
        <f>IFERROR(Tabela3[[#This Row],[Qtde Cx Produzida]]/Tabela3[[#This Row],[Tempo]]/24,0)</f>
        <v>8.25</v>
      </c>
      <c r="L636" s="37">
        <f>Tabela3[[#This Row],[Qtde Cx Produzida]]*Tabela3[[#This Row],[Qdt Peça Placa]]</f>
        <v>33</v>
      </c>
      <c r="M636" s="37">
        <f>Tabela3[[#This Row],[Previsto]]-Tabela3[[#This Row],[Perda Pçs]]</f>
        <v>33</v>
      </c>
      <c r="N636" s="38">
        <f>IFERROR(Tabela3[[#This Row],[Perda Pçs]]/Tabela3[[#This Row],[Previsto]],0)</f>
        <v>0</v>
      </c>
      <c r="O636" s="39">
        <f>IFERROR(IF(Tabela3[[#This Row],[Qtde Cx Produzida]] &lt;&gt; 0, Tabela3[[#This Row],[Tempo]] / Tabela3[[#This Row],[Qtde Cx Produzida]], 0),0)</f>
        <v>5.0505050505050501E-3</v>
      </c>
      <c r="P636" s="57">
        <f>IFERROR(Tabela3[[#This Row],[Perda Pçs]]/Tabela3[[#This Row],[Qdt Peça Placa]],0)</f>
        <v>0</v>
      </c>
      <c r="Q636" s="37">
        <f>IFERROR(Tabela3[[#This Row],[Realizado]]*Tabela3[[#This Row],[Peso Util/Pç]],0)</f>
        <v>46.265999999999998</v>
      </c>
      <c r="R636" s="37">
        <f>IFERROR(Tabela3[[#This Row],[Peso Total Galho]]*Tabela3[[#This Row],[Qtde Cx Produzida]]*1.055,0)</f>
        <v>67.88924999999999</v>
      </c>
      <c r="S636" s="37">
        <f>(Tabela3[[#This Row],[Aluminio Bruto]]-Tabela3[[#This Row],[Aluminio Util]])*0.9</f>
        <v>19.460924999999992</v>
      </c>
      <c r="T636" s="37">
        <f>Tabela3[[#This Row],[Aluminio Bruto]]/OleoKGAluminio</f>
        <v>28.560919695043083</v>
      </c>
      <c r="U636" s="35">
        <f>IFERROR((VLOOKUP(Tabela3[[#This Row],[Moldador]],Tabela1[],5,)+(VLOOKUP(Tabela3[[#This Row],[Ajudante]],Tabela1[],5,))*3.5),0)</f>
        <v>99.95034583333333</v>
      </c>
      <c r="V636" s="35">
        <f>IFERROR(Tabela3[[#This Row],[Custo M.O. / H]]/((Tabela3[[#This Row],[Realizado]]/Tabela3[[#This Row],[Qdt Peça Placa]])/Tabela3[[#This Row],[Tempo]]/24),)</f>
        <v>12.115193434343434</v>
      </c>
      <c r="W636" s="35">
        <f>Tabela3[[#This Row],[Custo / Cx Moldada]]*Tabela3[[#This Row],[Qtde Cx Produzida]]</f>
        <v>399.80138333333332</v>
      </c>
      <c r="X636" s="35">
        <f ca="1">Tabela3[[#This Row],[Aluminio Util]]*Tabela3[[#This Row],[Custo/Kg]]</f>
        <v>721.74959999999999</v>
      </c>
      <c r="Y636" s="35">
        <f>IFERROR(VLOOKUP(Tabela3[[#This Row],[Data]],Tabela461213[],2,1)*(Tabela3[[#This Row],[Qtde Cx Produzida]]*Tabela3[[#This Row],[Qde macho / CX]]*Tabela3[[#This Row],[Peso Macho]]),)</f>
        <v>0</v>
      </c>
      <c r="Z636" s="35">
        <f>IFERROR(Tabela3[[#This Row],[Qtde Oleo]]*(VLOOKUP(Tabela3[[#This Row],[Data]],CompraOleo[],3,TRUE))*1.05,0)</f>
        <v>74.972414199488099</v>
      </c>
      <c r="AA636" s="47">
        <f ca="1">(Tabela3[[#This Row],[Custo Oleo]]+Tabela3[[#This Row],[Custo Aluminio]]+Tabela3[[#This Row],[Custo M.O. Total]]+Tabela3[[#This Row],[Custo Machos]])</f>
        <v>1196.5233975328215</v>
      </c>
      <c r="AB636" s="47">
        <f ca="1">Tabela3[[#This Row],[Custo Total]]*Tabela3[[#This Row],[% Perda]]</f>
        <v>0</v>
      </c>
      <c r="AC636" s="48">
        <f>IFERROR(VLOOKUP(Tabela3[[#This Row],[Produto]],Tabela2[],2,0),0)</f>
        <v>1</v>
      </c>
      <c r="AD636" s="48">
        <f>IFERROR(VLOOKUP(Tabela3[[#This Row],[Produto]],Tabela2[],3,0),0)</f>
        <v>1.4019999999999999</v>
      </c>
      <c r="AE636" s="48">
        <f>IFERROR(VLOOKUP(Tabela3[[#This Row],[Produto]],Tabela2[],4,0),0)</f>
        <v>1.95</v>
      </c>
      <c r="AF636" s="48">
        <f>IFERROR(VLOOKUP(Tabela3[[#This Row],[Produto]],Tabela2[],5,0),0)</f>
        <v>0.49320000000000003</v>
      </c>
      <c r="AG636" s="40">
        <f>IFERROR(VLOOKUP(Tabela3[[#This Row],[Produto]],Tabela2[],6,0),0)</f>
        <v>0</v>
      </c>
      <c r="AH636" s="40">
        <f>IFERROR(VLOOKUP(Tabela3[[#This Row],[Produto]],Tabela2[],7,0),0)</f>
        <v>0</v>
      </c>
      <c r="AI636" s="40">
        <f>IFERROR(VLOOKUP(Tabela3[[#This Row],[Produto]],Tabela2[],8,0),0)</f>
        <v>0</v>
      </c>
      <c r="AJ636" s="35">
        <f ca="1">IFERROR(VLOOKUP(Tabela3[[#This Row],[Produto]],Tabela2[],13,0),0)</f>
        <v>15.600000000000001</v>
      </c>
      <c r="AK636" s="40" t="str">
        <f>IFERROR(VLOOKUP(Tabela3[[#This Row],[Produto]],Tabela2[],14,0),0)</f>
        <v>Senun</v>
      </c>
      <c r="AL636" s="40">
        <f>IFERROR(VLOOKUP(Tabela3[[#This Row],[Produto]],Tabela2[],15,0),0)</f>
        <v>6</v>
      </c>
      <c r="AM636" s="36">
        <f ca="1">(Tabela3[[#This Row],[Custo Usinagem]]+Tabela3[[#This Row],[Custo / Pç]])*1.2</f>
        <v>50.709941728466234</v>
      </c>
      <c r="AN636" s="36">
        <f ca="1">Tabela3[[#This Row],[Valor Mínimo Venda]]*1.15</f>
        <v>58.316432987736164</v>
      </c>
      <c r="AO636" s="36">
        <f ca="1">Tabela3[[#This Row],[Tabela 1]]*1.08</f>
        <v>62.981747626755059</v>
      </c>
      <c r="AP636" s="36">
        <f ca="1">Tabela3[[#This Row],[Tabela 2]]*1.15</f>
        <v>72.429009770768317</v>
      </c>
    </row>
    <row r="637" spans="1:42">
      <c r="A637" s="9">
        <v>45912</v>
      </c>
      <c r="B637" s="6" t="s">
        <v>223</v>
      </c>
      <c r="C637" s="14">
        <v>7876</v>
      </c>
      <c r="D637" s="6" t="s">
        <v>46</v>
      </c>
      <c r="E637" s="6" t="s">
        <v>326</v>
      </c>
      <c r="F637" s="6">
        <v>24</v>
      </c>
      <c r="G637" s="15">
        <v>0.15972222222222221</v>
      </c>
      <c r="H637" s="16">
        <v>0</v>
      </c>
      <c r="I637" s="35">
        <f ca="1">IFERROR(Tabela3[[#This Row],[Custo Total]]/Tabela3[[#This Row],[Aluminio Util]],0)</f>
        <v>23.047818721049783</v>
      </c>
      <c r="J637" s="35">
        <f ca="1">Tabela3[[#This Row],[Custo Total]]/Tabela3[[#This Row],[Realizado]]</f>
        <v>2.3969731469891773</v>
      </c>
      <c r="K637" s="37">
        <f>IFERROR(Tabela3[[#This Row],[Qtde Cx Produzida]]/Tabela3[[#This Row],[Tempo]]/24,0)</f>
        <v>6.2608695652173916</v>
      </c>
      <c r="L637" s="37">
        <f>Tabela3[[#This Row],[Qtde Cx Produzida]]*Tabela3[[#This Row],[Qdt Peça Placa]]</f>
        <v>792</v>
      </c>
      <c r="M637" s="37">
        <f>Tabela3[[#This Row],[Previsto]]-Tabela3[[#This Row],[Perda Pçs]]</f>
        <v>792</v>
      </c>
      <c r="N637" s="38">
        <f>IFERROR(Tabela3[[#This Row],[Perda Pçs]]/Tabela3[[#This Row],[Previsto]],0)</f>
        <v>0</v>
      </c>
      <c r="O637" s="39">
        <f>IFERROR(IF(Tabela3[[#This Row],[Qtde Cx Produzida]] &lt;&gt; 0, Tabela3[[#This Row],[Tempo]] / Tabela3[[#This Row],[Qtde Cx Produzida]], 0),0)</f>
        <v>6.6550925925925918E-3</v>
      </c>
      <c r="P637" s="57">
        <f>IFERROR(Tabela3[[#This Row],[Perda Pçs]]/Tabela3[[#This Row],[Qdt Peça Placa]],0)</f>
        <v>0</v>
      </c>
      <c r="Q637" s="37">
        <f>IFERROR(Tabela3[[#This Row],[Realizado]]*Tabela3[[#This Row],[Peso Util/Pç]],0)</f>
        <v>82.367999999999995</v>
      </c>
      <c r="R637" s="37">
        <f>IFERROR(Tabela3[[#This Row],[Peso Total Galho]]*Tabela3[[#This Row],[Qtde Cx Produzida]]*1.055,0)</f>
        <v>136.2216</v>
      </c>
      <c r="S637" s="37">
        <f>(Tabela3[[#This Row],[Aluminio Bruto]]-Tabela3[[#This Row],[Aluminio Util]])*0.9</f>
        <v>48.468240000000002</v>
      </c>
      <c r="T637" s="37">
        <f>Tabela3[[#This Row],[Aluminio Bruto]]/OleoKGAluminio</f>
        <v>57.308250987163376</v>
      </c>
      <c r="U637" s="35">
        <f>IFERROR((VLOOKUP(Tabela3[[#This Row],[Moldador]],Tabela1[],5,)+(VLOOKUP(Tabela3[[#This Row],[Ajudante]],Tabela1[],5,))*3.5),0)</f>
        <v>99.95034583333333</v>
      </c>
      <c r="V637" s="35">
        <f>IFERROR(Tabela3[[#This Row],[Custo M.O. / H]]/((Tabela3[[#This Row],[Realizado]]/Tabela3[[#This Row],[Qdt Peça Placa]])/Tabela3[[#This Row],[Tempo]]/24),)</f>
        <v>15.964291348379628</v>
      </c>
      <c r="W637" s="35">
        <f>Tabela3[[#This Row],[Custo / Cx Moldada]]*Tabela3[[#This Row],[Qtde Cx Produzida]]</f>
        <v>383.14299236111106</v>
      </c>
      <c r="X637" s="35">
        <f ca="1">Tabela3[[#This Row],[Aluminio Util]]*Tabela3[[#This Row],[Custo/Kg]]</f>
        <v>1364.8255812130137</v>
      </c>
      <c r="Y637" s="35">
        <f>IFERROR(VLOOKUP(Tabela3[[#This Row],[Data]],Tabela461213[],2,1)*(Tabela3[[#This Row],[Qtde Cx Produzida]]*Tabela3[[#This Row],[Qde macho / CX]]*Tabela3[[#This Row],[Peso Macho]]),)</f>
        <v>0</v>
      </c>
      <c r="Z637" s="35">
        <f>IFERROR(Tabela3[[#This Row],[Qtde Oleo]]*(VLOOKUP(Tabela3[[#This Row],[Data]],CompraOleo[],3,TRUE))*1.05,0)</f>
        <v>150.43415884130386</v>
      </c>
      <c r="AA637" s="47">
        <f ca="1">(Tabela3[[#This Row],[Custo Oleo]]+Tabela3[[#This Row],[Custo Aluminio]]+Tabela3[[#This Row],[Custo M.O. Total]]+Tabela3[[#This Row],[Custo Machos]])</f>
        <v>1898.4027324154285</v>
      </c>
      <c r="AB637" s="47">
        <f ca="1">Tabela3[[#This Row],[Custo Total]]*Tabela3[[#This Row],[% Perda]]</f>
        <v>0</v>
      </c>
      <c r="AC637" s="48">
        <f>IFERROR(VLOOKUP(Tabela3[[#This Row],[Produto]],Tabela2[],2,0),0)</f>
        <v>33</v>
      </c>
      <c r="AD637" s="48">
        <f>IFERROR(VLOOKUP(Tabela3[[#This Row],[Produto]],Tabela2[],3,0),0)</f>
        <v>0.104</v>
      </c>
      <c r="AE637" s="48">
        <f>IFERROR(VLOOKUP(Tabela3[[#This Row],[Produto]],Tabela2[],4,0),0)</f>
        <v>5.38</v>
      </c>
      <c r="AF637" s="48">
        <f>IFERROR(VLOOKUP(Tabela3[[#This Row],[Produto]],Tabela2[],5,0),0)</f>
        <v>1.7532000000000001</v>
      </c>
      <c r="AG637" s="40">
        <f>IFERROR(VLOOKUP(Tabela3[[#This Row],[Produto]],Tabela2[],6,0),0)</f>
        <v>0</v>
      </c>
      <c r="AH637" s="40">
        <f>IFERROR(VLOOKUP(Tabela3[[#This Row],[Produto]],Tabela2[],7,0),0)</f>
        <v>0</v>
      </c>
      <c r="AI637" s="40">
        <f>IFERROR(VLOOKUP(Tabela3[[#This Row],[Produto]],Tabela2[],8,0),0)</f>
        <v>0</v>
      </c>
      <c r="AJ637" s="35">
        <f ca="1">IFERROR(VLOOKUP(Tabela3[[#This Row],[Produto]],Tabela2[],13,0),0)</f>
        <v>16.569852141766386</v>
      </c>
      <c r="AK637" s="40" t="str">
        <f>IFERROR(VLOOKUP(Tabela3[[#This Row],[Produto]],Tabela2[],14,0),0)</f>
        <v>Marcelo</v>
      </c>
      <c r="AL637" s="40">
        <f>IFERROR(VLOOKUP(Tabela3[[#This Row],[Produto]],Tabela2[],15,0),0)</f>
        <v>0</v>
      </c>
      <c r="AM637" s="36">
        <f ca="1">(Tabela3[[#This Row],[Custo Usinagem]]+Tabela3[[#This Row],[Custo / Pç]])*1.2</f>
        <v>2.8763677763870126</v>
      </c>
      <c r="AN637" s="36">
        <f ca="1">Tabela3[[#This Row],[Valor Mínimo Venda]]*1.15</f>
        <v>3.3078229428450641</v>
      </c>
      <c r="AO637" s="36">
        <f ca="1">Tabela3[[#This Row],[Tabela 1]]*1.08</f>
        <v>3.5724487782726695</v>
      </c>
      <c r="AP637" s="36">
        <f ca="1">Tabela3[[#This Row],[Tabela 2]]*1.15</f>
        <v>4.1083160950135698</v>
      </c>
    </row>
    <row r="638" spans="1:42">
      <c r="A638" s="9">
        <v>45912</v>
      </c>
      <c r="B638" s="6" t="s">
        <v>253</v>
      </c>
      <c r="C638" s="14">
        <v>7886</v>
      </c>
      <c r="D638" s="6" t="s">
        <v>44</v>
      </c>
      <c r="E638" s="6" t="s">
        <v>47</v>
      </c>
      <c r="F638" s="6">
        <v>23</v>
      </c>
      <c r="G638" s="15">
        <v>0.10555555555555556</v>
      </c>
      <c r="H638" s="16">
        <v>1</v>
      </c>
      <c r="I638" s="35">
        <f ca="1">IFERROR(Tabela3[[#This Row],[Custo Total]]/Tabela3[[#This Row],[Aluminio Util]],0)</f>
        <v>31.460869151328556</v>
      </c>
      <c r="J638" s="35">
        <f ca="1">Tabela3[[#This Row],[Custo Total]]/Tabela3[[#This Row],[Realizado]]</f>
        <v>33.033912608894987</v>
      </c>
      <c r="K638" s="37">
        <f>IFERROR(Tabela3[[#This Row],[Qtde Cx Produzida]]/Tabela3[[#This Row],[Tempo]]/24,0)</f>
        <v>9.0789473684210531</v>
      </c>
      <c r="L638" s="37">
        <f>Tabela3[[#This Row],[Qtde Cx Produzida]]*Tabela3[[#This Row],[Qdt Peça Placa]]</f>
        <v>23</v>
      </c>
      <c r="M638" s="37">
        <f>Tabela3[[#This Row],[Previsto]]-Tabela3[[#This Row],[Perda Pçs]]</f>
        <v>22</v>
      </c>
      <c r="N638" s="38">
        <f>IFERROR(Tabela3[[#This Row],[Perda Pçs]]/Tabela3[[#This Row],[Previsto]],0)</f>
        <v>4.3478260869565216E-2</v>
      </c>
      <c r="O638" s="39">
        <f>IFERROR(IF(Tabela3[[#This Row],[Qtde Cx Produzida]] &lt;&gt; 0, Tabela3[[#This Row],[Tempo]] / Tabela3[[#This Row],[Qtde Cx Produzida]], 0),0)</f>
        <v>4.5893719806763284E-3</v>
      </c>
      <c r="P638" s="57">
        <f>IFERROR(Tabela3[[#This Row],[Perda Pçs]]/Tabela3[[#This Row],[Qdt Peça Placa]],0)</f>
        <v>1</v>
      </c>
      <c r="Q638" s="37">
        <f>IFERROR(Tabela3[[#This Row],[Realizado]]*Tabela3[[#This Row],[Peso Util/Pç]],0)</f>
        <v>23.1</v>
      </c>
      <c r="R638" s="37">
        <f>IFERROR(Tabela3[[#This Row],[Peso Total Galho]]*Tabela3[[#This Row],[Qtde Cx Produzida]]*1.055,0)</f>
        <v>50.228549999999998</v>
      </c>
      <c r="S638" s="37">
        <f>(Tabela3[[#This Row],[Aluminio Bruto]]-Tabela3[[#This Row],[Aluminio Util]])*0.9</f>
        <v>24.415694999999999</v>
      </c>
      <c r="T638" s="37">
        <f>Tabela3[[#This Row],[Aluminio Bruto]]/OleoKGAluminio</f>
        <v>21.131086040108801</v>
      </c>
      <c r="U638" s="35">
        <f>IFERROR((VLOOKUP(Tabela3[[#This Row],[Moldador]],Tabela1[],5,)+(VLOOKUP(Tabela3[[#This Row],[Ajudante]],Tabela1[],5,))*3.5),0)</f>
        <v>99.95034583333333</v>
      </c>
      <c r="V638" s="35">
        <f>IFERROR(Tabela3[[#This Row],[Custo M.O. / H]]/((Tabela3[[#This Row],[Realizado]]/Tabela3[[#This Row],[Qdt Peça Placa]])/Tabela3[[#This Row],[Tempo]]/24),)</f>
        <v>11.509433762626262</v>
      </c>
      <c r="W638" s="35">
        <f>Tabela3[[#This Row],[Custo / Cx Moldada]]*Tabela3[[#This Row],[Qtde Cx Produzida]]</f>
        <v>264.716976540404</v>
      </c>
      <c r="X638" s="35">
        <f ca="1">Tabela3[[#This Row],[Aluminio Util]]*Tabela3[[#This Row],[Custo/Kg]]</f>
        <v>406.56000000000006</v>
      </c>
      <c r="Y638" s="35">
        <f>IFERROR(VLOOKUP(Tabela3[[#This Row],[Data]],Tabela461213[],2,1)*(Tabela3[[#This Row],[Qtde Cx Produzida]]*Tabela3[[#This Row],[Qde macho / CX]]*Tabela3[[#This Row],[Peso Macho]]),)</f>
        <v>0</v>
      </c>
      <c r="Z638" s="35">
        <f>IFERROR(Tabela3[[#This Row],[Qtde Oleo]]*(VLOOKUP(Tabela3[[#This Row],[Data]],CompraOleo[],3,TRUE))*1.05,0)</f>
        <v>55.469100855285603</v>
      </c>
      <c r="AA638" s="47">
        <f ca="1">(Tabela3[[#This Row],[Custo Oleo]]+Tabela3[[#This Row],[Custo Aluminio]]+Tabela3[[#This Row],[Custo M.O. Total]]+Tabela3[[#This Row],[Custo Machos]])</f>
        <v>726.74607739568967</v>
      </c>
      <c r="AB638" s="47">
        <f ca="1">Tabela3[[#This Row],[Custo Total]]*Tabela3[[#This Row],[% Perda]]</f>
        <v>31.597655538943027</v>
      </c>
      <c r="AC638" s="48">
        <f>IFERROR(VLOOKUP(Tabela3[[#This Row],[Produto]],Tabela2[],2,0),0)</f>
        <v>1</v>
      </c>
      <c r="AD638" s="48">
        <f>IFERROR(VLOOKUP(Tabela3[[#This Row],[Produto]],Tabela2[],3,0),0)</f>
        <v>1.05</v>
      </c>
      <c r="AE638" s="48">
        <f>IFERROR(VLOOKUP(Tabela3[[#This Row],[Produto]],Tabela2[],4,0),0)</f>
        <v>2.0699999999999998</v>
      </c>
      <c r="AF638" s="48">
        <f>IFERROR(VLOOKUP(Tabela3[[#This Row],[Produto]],Tabela2[],5,0),0)</f>
        <v>0.91799999999999982</v>
      </c>
      <c r="AG638" s="40">
        <f>IFERROR(VLOOKUP(Tabela3[[#This Row],[Produto]],Tabela2[],6,0),0)</f>
        <v>0</v>
      </c>
      <c r="AH638" s="40">
        <f>IFERROR(VLOOKUP(Tabela3[[#This Row],[Produto]],Tabela2[],7,0),0)</f>
        <v>0</v>
      </c>
      <c r="AI638" s="40">
        <f>IFERROR(VLOOKUP(Tabela3[[#This Row],[Produto]],Tabela2[],8,0),0)</f>
        <v>0</v>
      </c>
      <c r="AJ638" s="35">
        <f ca="1">IFERROR(VLOOKUP(Tabela3[[#This Row],[Produto]],Tabela2[],13,0),0)</f>
        <v>17.600000000000001</v>
      </c>
      <c r="AK638" s="40" t="str">
        <f>IFERROR(VLOOKUP(Tabela3[[#This Row],[Produto]],Tabela2[],14,0),0)</f>
        <v>Protec</v>
      </c>
      <c r="AL638" s="40">
        <f>IFERROR(VLOOKUP(Tabela3[[#This Row],[Produto]],Tabela2[],15,0),0)</f>
        <v>0</v>
      </c>
      <c r="AM638" s="36">
        <f ca="1">(Tabela3[[#This Row],[Custo Usinagem]]+Tabela3[[#This Row],[Custo / Pç]])*1.2</f>
        <v>39.640695130673983</v>
      </c>
      <c r="AN638" s="36">
        <f ca="1">Tabela3[[#This Row],[Valor Mínimo Venda]]*1.15</f>
        <v>45.586799400275076</v>
      </c>
      <c r="AO638" s="36">
        <f ca="1">Tabela3[[#This Row],[Tabela 1]]*1.08</f>
        <v>49.233743352297083</v>
      </c>
      <c r="AP638" s="36">
        <f ca="1">Tabela3[[#This Row],[Tabela 2]]*1.15</f>
        <v>56.61880485514164</v>
      </c>
    </row>
    <row r="639" spans="1:42">
      <c r="A639" s="9">
        <v>45912</v>
      </c>
      <c r="B639" s="6" t="s">
        <v>254</v>
      </c>
      <c r="C639" s="14">
        <v>7887</v>
      </c>
      <c r="D639" s="6" t="s">
        <v>44</v>
      </c>
      <c r="E639" s="6" t="s">
        <v>47</v>
      </c>
      <c r="F639" s="6">
        <v>33</v>
      </c>
      <c r="G639" s="15">
        <v>0.22083333333333333</v>
      </c>
      <c r="H639" s="16">
        <v>7</v>
      </c>
      <c r="I639" s="35">
        <f ca="1">IFERROR(Tabela3[[#This Row],[Custo Total]]/Tabela3[[#This Row],[Aluminio Util]],0)</f>
        <v>48.666129312532455</v>
      </c>
      <c r="J639" s="35">
        <f ca="1">Tabela3[[#This Row],[Custo Total]]/Tabela3[[#This Row],[Realizado]]</f>
        <v>44.724172838217328</v>
      </c>
      <c r="K639" s="37">
        <f>IFERROR(Tabela3[[#This Row],[Qtde Cx Produzida]]/Tabela3[[#This Row],[Tempo]]/24,0)</f>
        <v>6.2264150943396226</v>
      </c>
      <c r="L639" s="37">
        <f>Tabela3[[#This Row],[Qtde Cx Produzida]]*Tabela3[[#This Row],[Qdt Peça Placa]]</f>
        <v>33</v>
      </c>
      <c r="M639" s="37">
        <f>Tabela3[[#This Row],[Previsto]]-Tabela3[[#This Row],[Perda Pçs]]</f>
        <v>26</v>
      </c>
      <c r="N639" s="38">
        <f>IFERROR(Tabela3[[#This Row],[Perda Pçs]]/Tabela3[[#This Row],[Previsto]],0)</f>
        <v>0.21212121212121213</v>
      </c>
      <c r="O639" s="39">
        <f>IFERROR(IF(Tabela3[[#This Row],[Qtde Cx Produzida]] &lt;&gt; 0, Tabela3[[#This Row],[Tempo]] / Tabela3[[#This Row],[Qtde Cx Produzida]], 0),0)</f>
        <v>6.6919191919191916E-3</v>
      </c>
      <c r="P639" s="57">
        <f>IFERROR(Tabela3[[#This Row],[Perda Pçs]]/Tabela3[[#This Row],[Qdt Peça Placa]],0)</f>
        <v>7</v>
      </c>
      <c r="Q639" s="37">
        <f>IFERROR(Tabela3[[#This Row],[Realizado]]*Tabela3[[#This Row],[Peso Util/Pç]],0)</f>
        <v>23.894000000000002</v>
      </c>
      <c r="R639" s="37">
        <f>IFERROR(Tabela3[[#This Row],[Peso Total Galho]]*Tabela3[[#This Row],[Qtde Cx Produzida]]*1.055,0)</f>
        <v>63.328485000000001</v>
      </c>
      <c r="S639" s="37">
        <f>(Tabela3[[#This Row],[Aluminio Bruto]]-Tabela3[[#This Row],[Aluminio Util]])*0.9</f>
        <v>35.4910365</v>
      </c>
      <c r="T639" s="37">
        <f>Tabela3[[#This Row],[Aluminio Bruto]]/OleoKGAluminio</f>
        <v>26.642211756555579</v>
      </c>
      <c r="U639" s="35">
        <f>IFERROR((VLOOKUP(Tabela3[[#This Row],[Moldador]],Tabela1[],5,)+(VLOOKUP(Tabela3[[#This Row],[Ajudante]],Tabela1[],5,))*3.5),0)</f>
        <v>99.95034583333333</v>
      </c>
      <c r="V639" s="35">
        <f>IFERROR(Tabela3[[#This Row],[Custo M.O. / H]]/((Tabela3[[#This Row],[Realizado]]/Tabela3[[#This Row],[Qdt Peça Placa]])/Tabela3[[#This Row],[Tempo]]/24),)</f>
        <v>20.374493573717945</v>
      </c>
      <c r="W639" s="35">
        <f>Tabela3[[#This Row],[Custo / Cx Moldada]]*Tabela3[[#This Row],[Qtde Cx Produzida]]</f>
        <v>672.35828793269218</v>
      </c>
      <c r="X639" s="35">
        <f ca="1">Tabela3[[#This Row],[Aluminio Util]]*Tabela3[[#This Row],[Custo/Kg]]</f>
        <v>420.53440000000006</v>
      </c>
      <c r="Y639" s="35">
        <f>IFERROR(VLOOKUP(Tabela3[[#This Row],[Data]],Tabela461213[],2,1)*(Tabela3[[#This Row],[Qtde Cx Produzida]]*Tabela3[[#This Row],[Qde macho / CX]]*Tabela3[[#This Row],[Peso Macho]]),)</f>
        <v>0</v>
      </c>
      <c r="Z639" s="35">
        <f>IFERROR(Tabela3[[#This Row],[Qtde Oleo]]*(VLOOKUP(Tabela3[[#This Row],[Data]],CompraOleo[],3,TRUE))*1.05,0)</f>
        <v>69.935805860958396</v>
      </c>
      <c r="AA639" s="47">
        <f ca="1">(Tabela3[[#This Row],[Custo Oleo]]+Tabela3[[#This Row],[Custo Aluminio]]+Tabela3[[#This Row],[Custo M.O. Total]]+Tabela3[[#This Row],[Custo Machos]])</f>
        <v>1162.8284937936505</v>
      </c>
      <c r="AB639" s="47">
        <f ca="1">Tabela3[[#This Row],[Custo Total]]*Tabela3[[#This Row],[% Perda]]</f>
        <v>246.66058959259254</v>
      </c>
      <c r="AC639" s="48">
        <f>IFERROR(VLOOKUP(Tabela3[[#This Row],[Produto]],Tabela2[],2,0),0)</f>
        <v>1</v>
      </c>
      <c r="AD639" s="48">
        <f>IFERROR(VLOOKUP(Tabela3[[#This Row],[Produto]],Tabela2[],3,0),0)</f>
        <v>0.91900000000000004</v>
      </c>
      <c r="AE639" s="48">
        <f>IFERROR(VLOOKUP(Tabela3[[#This Row],[Produto]],Tabela2[],4,0),0)</f>
        <v>1.819</v>
      </c>
      <c r="AF639" s="48">
        <f>IFERROR(VLOOKUP(Tabela3[[#This Row],[Produto]],Tabela2[],5,0),0)</f>
        <v>0.80999999999999994</v>
      </c>
      <c r="AG639" s="40">
        <f>IFERROR(VLOOKUP(Tabela3[[#This Row],[Produto]],Tabela2[],6,0),0)</f>
        <v>0</v>
      </c>
      <c r="AH639" s="40">
        <f>IFERROR(VLOOKUP(Tabela3[[#This Row],[Produto]],Tabela2[],7,0),0)</f>
        <v>0</v>
      </c>
      <c r="AI639" s="40">
        <f>IFERROR(VLOOKUP(Tabela3[[#This Row],[Produto]],Tabela2[],8,0),0)</f>
        <v>0</v>
      </c>
      <c r="AJ639" s="35">
        <f ca="1">IFERROR(VLOOKUP(Tabela3[[#This Row],[Produto]],Tabela2[],13,0),0)</f>
        <v>17.600000000000001</v>
      </c>
      <c r="AK639" s="40" t="str">
        <f>IFERROR(VLOOKUP(Tabela3[[#This Row],[Produto]],Tabela2[],14,0),0)</f>
        <v>Protec</v>
      </c>
      <c r="AL639" s="40">
        <f>IFERROR(VLOOKUP(Tabela3[[#This Row],[Produto]],Tabela2[],15,0),0)</f>
        <v>0</v>
      </c>
      <c r="AM639" s="36">
        <f ca="1">(Tabela3[[#This Row],[Custo Usinagem]]+Tabela3[[#This Row],[Custo / Pç]])*1.2</f>
        <v>53.669007405860789</v>
      </c>
      <c r="AN639" s="36">
        <f ca="1">Tabela3[[#This Row],[Valor Mínimo Venda]]*1.15</f>
        <v>61.719358516739902</v>
      </c>
      <c r="AO639" s="36">
        <f ca="1">Tabela3[[#This Row],[Tabela 1]]*1.08</f>
        <v>66.656907198079097</v>
      </c>
      <c r="AP639" s="36">
        <f ca="1">Tabela3[[#This Row],[Tabela 2]]*1.15</f>
        <v>76.655443277790951</v>
      </c>
    </row>
    <row r="640" spans="1:42">
      <c r="A640" s="9">
        <v>45915</v>
      </c>
      <c r="B640" s="6" t="s">
        <v>223</v>
      </c>
      <c r="C640" s="14">
        <v>7876</v>
      </c>
      <c r="D640" s="6" t="s">
        <v>46</v>
      </c>
      <c r="E640" s="6" t="s">
        <v>326</v>
      </c>
      <c r="F640" s="6">
        <v>67</v>
      </c>
      <c r="G640" s="15">
        <v>0.36527777777777776</v>
      </c>
      <c r="H640" s="16">
        <v>0</v>
      </c>
      <c r="I640" s="35">
        <f ca="1">IFERROR(Tabela3[[#This Row],[Custo Total]]/Tabela3[[#This Row],[Aluminio Util]],0)</f>
        <v>22.206848070793431</v>
      </c>
      <c r="J640" s="35">
        <f ca="1">Tabela3[[#This Row],[Custo Total]]/Tabela3[[#This Row],[Realizado]]</f>
        <v>2.3095121993625165</v>
      </c>
      <c r="K640" s="37">
        <f>IFERROR(Tabela3[[#This Row],[Qtde Cx Produzida]]/Tabela3[[#This Row],[Tempo]]/24,0)</f>
        <v>7.6425855513307992</v>
      </c>
      <c r="L640" s="37">
        <f>Tabela3[[#This Row],[Qtde Cx Produzida]]*Tabela3[[#This Row],[Qdt Peça Placa]]</f>
        <v>2211</v>
      </c>
      <c r="M640" s="37">
        <f>Tabela3[[#This Row],[Previsto]]-Tabela3[[#This Row],[Perda Pçs]]</f>
        <v>2211</v>
      </c>
      <c r="N640" s="38">
        <f>IFERROR(Tabela3[[#This Row],[Perda Pçs]]/Tabela3[[#This Row],[Previsto]],0)</f>
        <v>0</v>
      </c>
      <c r="O640" s="39">
        <f>IFERROR(IF(Tabela3[[#This Row],[Qtde Cx Produzida]] &lt;&gt; 0, Tabela3[[#This Row],[Tempo]] / Tabela3[[#This Row],[Qtde Cx Produzida]], 0),0)</f>
        <v>5.4519071310116084E-3</v>
      </c>
      <c r="P640" s="57">
        <f>IFERROR(Tabela3[[#This Row],[Perda Pçs]]/Tabela3[[#This Row],[Qdt Peça Placa]],0)</f>
        <v>0</v>
      </c>
      <c r="Q640" s="37">
        <f>IFERROR(Tabela3[[#This Row],[Realizado]]*Tabela3[[#This Row],[Peso Util/Pç]],0)</f>
        <v>229.94399999999999</v>
      </c>
      <c r="R640" s="37">
        <f>IFERROR(Tabela3[[#This Row],[Peso Total Galho]]*Tabela3[[#This Row],[Qtde Cx Produzida]]*1.055,0)</f>
        <v>380.28529999999995</v>
      </c>
      <c r="S640" s="37">
        <f>(Tabela3[[#This Row],[Aluminio Bruto]]-Tabela3[[#This Row],[Aluminio Util]])*0.9</f>
        <v>135.30716999999996</v>
      </c>
      <c r="T640" s="37">
        <f>Tabela3[[#This Row],[Aluminio Bruto]]/OleoKGAluminio</f>
        <v>159.98553400583108</v>
      </c>
      <c r="U640" s="35">
        <f>IFERROR((VLOOKUP(Tabela3[[#This Row],[Moldador]],Tabela1[],5,)+(VLOOKUP(Tabela3[[#This Row],[Ajudante]],Tabela1[],5,))*3.5),0)</f>
        <v>99.95034583333333</v>
      </c>
      <c r="V640" s="35">
        <f>IFERROR(Tabela3[[#This Row],[Custo M.O. / H]]/((Tabela3[[#This Row],[Realizado]]/Tabela3[[#This Row],[Qdt Peça Placa]])/Tabela3[[#This Row],[Tempo]]/24),)</f>
        <v>13.078080076699832</v>
      </c>
      <c r="W640" s="35">
        <f>Tabela3[[#This Row],[Custo / Cx Moldada]]*Tabela3[[#This Row],[Qtde Cx Produzida]]</f>
        <v>876.2313651388888</v>
      </c>
      <c r="X640" s="35">
        <f ca="1">Tabela3[[#This Row],[Aluminio Util]]*Tabela3[[#This Row],[Custo/Kg]]</f>
        <v>3810.1380808863296</v>
      </c>
      <c r="Y640" s="35">
        <f>IFERROR(VLOOKUP(Tabela3[[#This Row],[Data]],Tabela461213[],2,1)*(Tabela3[[#This Row],[Qtde Cx Produzida]]*Tabela3[[#This Row],[Qde macho / CX]]*Tabela3[[#This Row],[Peso Macho]]),)</f>
        <v>0</v>
      </c>
      <c r="Z640" s="35">
        <f>IFERROR(Tabela3[[#This Row],[Qtde Oleo]]*(VLOOKUP(Tabela3[[#This Row],[Data]],CompraOleo[],3,TRUE))*1.05,0)</f>
        <v>419.96202676530663</v>
      </c>
      <c r="AA640" s="47">
        <f ca="1">(Tabela3[[#This Row],[Custo Oleo]]+Tabela3[[#This Row],[Custo Aluminio]]+Tabela3[[#This Row],[Custo M.O. Total]]+Tabela3[[#This Row],[Custo Machos]])</f>
        <v>5106.3314727905245</v>
      </c>
      <c r="AB640" s="47">
        <f ca="1">Tabela3[[#This Row],[Custo Total]]*Tabela3[[#This Row],[% Perda]]</f>
        <v>0</v>
      </c>
      <c r="AC640" s="48">
        <f>IFERROR(VLOOKUP(Tabela3[[#This Row],[Produto]],Tabela2[],2,0),0)</f>
        <v>33</v>
      </c>
      <c r="AD640" s="48">
        <f>IFERROR(VLOOKUP(Tabela3[[#This Row],[Produto]],Tabela2[],3,0),0)</f>
        <v>0.104</v>
      </c>
      <c r="AE640" s="48">
        <f>IFERROR(VLOOKUP(Tabela3[[#This Row],[Produto]],Tabela2[],4,0),0)</f>
        <v>5.38</v>
      </c>
      <c r="AF640" s="48">
        <f>IFERROR(VLOOKUP(Tabela3[[#This Row],[Produto]],Tabela2[],5,0),0)</f>
        <v>1.7532000000000001</v>
      </c>
      <c r="AG640" s="40">
        <f>IFERROR(VLOOKUP(Tabela3[[#This Row],[Produto]],Tabela2[],6,0),0)</f>
        <v>0</v>
      </c>
      <c r="AH640" s="40">
        <f>IFERROR(VLOOKUP(Tabela3[[#This Row],[Produto]],Tabela2[],7,0),0)</f>
        <v>0</v>
      </c>
      <c r="AI640" s="40">
        <f>IFERROR(VLOOKUP(Tabela3[[#This Row],[Produto]],Tabela2[],8,0),0)</f>
        <v>0</v>
      </c>
      <c r="AJ640" s="35">
        <f ca="1">IFERROR(VLOOKUP(Tabela3[[#This Row],[Produto]],Tabela2[],13,0),0)</f>
        <v>16.569852141766386</v>
      </c>
      <c r="AK640" s="40" t="str">
        <f>IFERROR(VLOOKUP(Tabela3[[#This Row],[Produto]],Tabela2[],14,0),0)</f>
        <v>Marcelo</v>
      </c>
      <c r="AL640" s="40">
        <f>IFERROR(VLOOKUP(Tabela3[[#This Row],[Produto]],Tabela2[],15,0),0)</f>
        <v>0</v>
      </c>
      <c r="AM640" s="36">
        <f ca="1">(Tabela3[[#This Row],[Custo Usinagem]]+Tabela3[[#This Row],[Custo / Pç]])*1.2</f>
        <v>2.7714146392350196</v>
      </c>
      <c r="AN640" s="36">
        <f ca="1">Tabela3[[#This Row],[Valor Mínimo Venda]]*1.15</f>
        <v>3.1871268351202722</v>
      </c>
      <c r="AO640" s="36">
        <f ca="1">Tabela3[[#This Row],[Tabela 1]]*1.08</f>
        <v>3.4420969819298941</v>
      </c>
      <c r="AP640" s="36">
        <f ca="1">Tabela3[[#This Row],[Tabela 2]]*1.15</f>
        <v>3.958411529219378</v>
      </c>
    </row>
    <row r="641" spans="1:42">
      <c r="A641" s="9">
        <v>45915</v>
      </c>
      <c r="B641" s="6" t="s">
        <v>254</v>
      </c>
      <c r="C641" s="14">
        <v>7887</v>
      </c>
      <c r="D641" s="6" t="s">
        <v>44</v>
      </c>
      <c r="E641" s="6" t="s">
        <v>47</v>
      </c>
      <c r="F641" s="6">
        <v>2</v>
      </c>
      <c r="G641" s="15">
        <v>1.0416666666666666E-2</v>
      </c>
      <c r="H641" s="16">
        <v>0</v>
      </c>
      <c r="I641" s="35">
        <f ca="1">IFERROR(Tabela3[[#This Row],[Custo Total]]/Tabela3[[#This Row],[Aluminio Util]],0)</f>
        <v>33.501044693621473</v>
      </c>
      <c r="J641" s="35">
        <f ca="1">Tabela3[[#This Row],[Custo Total]]/Tabela3[[#This Row],[Realizado]]</f>
        <v>30.787460073438133</v>
      </c>
      <c r="K641" s="37">
        <f>IFERROR(Tabela3[[#This Row],[Qtde Cx Produzida]]/Tabela3[[#This Row],[Tempo]]/24,0)</f>
        <v>8</v>
      </c>
      <c r="L641" s="37">
        <f>Tabela3[[#This Row],[Qtde Cx Produzida]]*Tabela3[[#This Row],[Qdt Peça Placa]]</f>
        <v>2</v>
      </c>
      <c r="M641" s="37">
        <f>Tabela3[[#This Row],[Previsto]]-Tabela3[[#This Row],[Perda Pçs]]</f>
        <v>2</v>
      </c>
      <c r="N641" s="38">
        <f>IFERROR(Tabela3[[#This Row],[Perda Pçs]]/Tabela3[[#This Row],[Previsto]],0)</f>
        <v>0</v>
      </c>
      <c r="O641" s="39">
        <f>IFERROR(IF(Tabela3[[#This Row],[Qtde Cx Produzida]] &lt;&gt; 0, Tabela3[[#This Row],[Tempo]] / Tabela3[[#This Row],[Qtde Cx Produzida]], 0),0)</f>
        <v>5.208333333333333E-3</v>
      </c>
      <c r="P641" s="57">
        <f>IFERROR(Tabela3[[#This Row],[Perda Pçs]]/Tabela3[[#This Row],[Qdt Peça Placa]],0)</f>
        <v>0</v>
      </c>
      <c r="Q641" s="37">
        <f>IFERROR(Tabela3[[#This Row],[Realizado]]*Tabela3[[#This Row],[Peso Util/Pç]],0)</f>
        <v>1.8380000000000001</v>
      </c>
      <c r="R641" s="37">
        <f>IFERROR(Tabela3[[#This Row],[Peso Total Galho]]*Tabela3[[#This Row],[Qtde Cx Produzida]]*1.055,0)</f>
        <v>3.8380899999999998</v>
      </c>
      <c r="S641" s="37">
        <f>(Tabela3[[#This Row],[Aluminio Bruto]]-Tabela3[[#This Row],[Aluminio Util]])*0.9</f>
        <v>1.8000809999999998</v>
      </c>
      <c r="T641" s="37">
        <f>Tabela3[[#This Row],[Aluminio Bruto]]/OleoKGAluminio</f>
        <v>1.6146795003973076</v>
      </c>
      <c r="U641" s="35">
        <f>IFERROR((VLOOKUP(Tabela3[[#This Row],[Moldador]],Tabela1[],5,)+(VLOOKUP(Tabela3[[#This Row],[Ajudante]],Tabela1[],5,))*3.5),0)</f>
        <v>99.95034583333333</v>
      </c>
      <c r="V641" s="35">
        <f>IFERROR(Tabela3[[#This Row],[Custo M.O. / H]]/((Tabela3[[#This Row],[Realizado]]/Tabela3[[#This Row],[Qdt Peça Placa]])/Tabela3[[#This Row],[Tempo]]/24),)</f>
        <v>12.493793229166666</v>
      </c>
      <c r="W641" s="35">
        <f>Tabela3[[#This Row],[Custo / Cx Moldada]]*Tabela3[[#This Row],[Qtde Cx Produzida]]</f>
        <v>24.987586458333332</v>
      </c>
      <c r="X641" s="35">
        <f ca="1">Tabela3[[#This Row],[Aluminio Util]]*Tabela3[[#This Row],[Custo/Kg]]</f>
        <v>32.348800000000004</v>
      </c>
      <c r="Y641" s="35">
        <f>IFERROR(VLOOKUP(Tabela3[[#This Row],[Data]],Tabela461213[],2,1)*(Tabela3[[#This Row],[Qtde Cx Produzida]]*Tabela3[[#This Row],[Qde macho / CX]]*Tabela3[[#This Row],[Peso Macho]]),)</f>
        <v>0</v>
      </c>
      <c r="Z641" s="35">
        <f>IFERROR(Tabela3[[#This Row],[Qtde Oleo]]*(VLOOKUP(Tabela3[[#This Row],[Data]],CompraOleo[],3,TRUE))*1.05,0)</f>
        <v>4.2385336885429323</v>
      </c>
      <c r="AA641" s="47">
        <f ca="1">(Tabela3[[#This Row],[Custo Oleo]]+Tabela3[[#This Row],[Custo Aluminio]]+Tabela3[[#This Row],[Custo M.O. Total]]+Tabela3[[#This Row],[Custo Machos]])</f>
        <v>61.574920146876266</v>
      </c>
      <c r="AB641" s="47">
        <f ca="1">Tabela3[[#This Row],[Custo Total]]*Tabela3[[#This Row],[% Perda]]</f>
        <v>0</v>
      </c>
      <c r="AC641" s="48">
        <f>IFERROR(VLOOKUP(Tabela3[[#This Row],[Produto]],Tabela2[],2,0),0)</f>
        <v>1</v>
      </c>
      <c r="AD641" s="48">
        <f>IFERROR(VLOOKUP(Tabela3[[#This Row],[Produto]],Tabela2[],3,0),0)</f>
        <v>0.91900000000000004</v>
      </c>
      <c r="AE641" s="48">
        <f>IFERROR(VLOOKUP(Tabela3[[#This Row],[Produto]],Tabela2[],4,0),0)</f>
        <v>1.819</v>
      </c>
      <c r="AF641" s="48">
        <f>IFERROR(VLOOKUP(Tabela3[[#This Row],[Produto]],Tabela2[],5,0),0)</f>
        <v>0.80999999999999994</v>
      </c>
      <c r="AG641" s="40">
        <f>IFERROR(VLOOKUP(Tabela3[[#This Row],[Produto]],Tabela2[],6,0),0)</f>
        <v>0</v>
      </c>
      <c r="AH641" s="40">
        <f>IFERROR(VLOOKUP(Tabela3[[#This Row],[Produto]],Tabela2[],7,0),0)</f>
        <v>0</v>
      </c>
      <c r="AI641" s="40">
        <f>IFERROR(VLOOKUP(Tabela3[[#This Row],[Produto]],Tabela2[],8,0),0)</f>
        <v>0</v>
      </c>
      <c r="AJ641" s="35">
        <f ca="1">IFERROR(VLOOKUP(Tabela3[[#This Row],[Produto]],Tabela2[],13,0),0)</f>
        <v>17.600000000000001</v>
      </c>
      <c r="AK641" s="40" t="str">
        <f>IFERROR(VLOOKUP(Tabela3[[#This Row],[Produto]],Tabela2[],14,0),0)</f>
        <v>Protec</v>
      </c>
      <c r="AL641" s="40">
        <f>IFERROR(VLOOKUP(Tabela3[[#This Row],[Produto]],Tabela2[],15,0),0)</f>
        <v>0</v>
      </c>
      <c r="AM641" s="36">
        <f ca="1">(Tabela3[[#This Row],[Custo Usinagem]]+Tabela3[[#This Row],[Custo / Pç]])*1.2</f>
        <v>36.94495208812576</v>
      </c>
      <c r="AN641" s="36">
        <f ca="1">Tabela3[[#This Row],[Valor Mínimo Venda]]*1.15</f>
        <v>42.48669490134462</v>
      </c>
      <c r="AO641" s="36">
        <f ca="1">Tabela3[[#This Row],[Tabela 1]]*1.08</f>
        <v>45.88563049345219</v>
      </c>
      <c r="AP641" s="36">
        <f ca="1">Tabela3[[#This Row],[Tabela 2]]*1.15</f>
        <v>52.768475067470014</v>
      </c>
    </row>
    <row r="642" spans="1:42">
      <c r="A642" s="9">
        <v>45915</v>
      </c>
      <c r="B642" s="6" t="s">
        <v>166</v>
      </c>
      <c r="C642" s="14">
        <v>7928</v>
      </c>
      <c r="D642" s="6" t="s">
        <v>44</v>
      </c>
      <c r="E642" s="6" t="s">
        <v>47</v>
      </c>
      <c r="F642" s="6">
        <v>21</v>
      </c>
      <c r="G642" s="15">
        <v>0.1451388888888889</v>
      </c>
      <c r="H642" s="16">
        <v>0</v>
      </c>
      <c r="I642" s="35">
        <f ca="1">IFERROR(Tabela3[[#This Row],[Custo Total]]/Tabela3[[#This Row],[Aluminio Util]],0)</f>
        <v>21.469038910791866</v>
      </c>
      <c r="J642" s="35">
        <f ca="1">Tabela3[[#This Row],[Custo Total]]/Tabela3[[#This Row],[Realizado]]</f>
        <v>138.11032731312406</v>
      </c>
      <c r="K642" s="37">
        <f>IFERROR(Tabela3[[#This Row],[Qtde Cx Produzida]]/Tabela3[[#This Row],[Tempo]]/24,0)</f>
        <v>6.0287081339712918</v>
      </c>
      <c r="L642" s="37">
        <f>Tabela3[[#This Row],[Qtde Cx Produzida]]*Tabela3[[#This Row],[Qdt Peça Placa]]</f>
        <v>21</v>
      </c>
      <c r="M642" s="37">
        <f>Tabela3[[#This Row],[Previsto]]-Tabela3[[#This Row],[Perda Pçs]]</f>
        <v>21</v>
      </c>
      <c r="N642" s="38">
        <f>IFERROR(Tabela3[[#This Row],[Perda Pçs]]/Tabela3[[#This Row],[Previsto]],0)</f>
        <v>0</v>
      </c>
      <c r="O642" s="39">
        <f>IFERROR(IF(Tabela3[[#This Row],[Qtde Cx Produzida]] &lt;&gt; 0, Tabela3[[#This Row],[Tempo]] / Tabela3[[#This Row],[Qtde Cx Produzida]], 0),0)</f>
        <v>6.9113756613756617E-3</v>
      </c>
      <c r="P642" s="57">
        <f>IFERROR(Tabela3[[#This Row],[Perda Pçs]]/Tabela3[[#This Row],[Qdt Peça Placa]],0)</f>
        <v>0</v>
      </c>
      <c r="Q642" s="37">
        <f>IFERROR(Tabela3[[#This Row],[Realizado]]*Tabela3[[#This Row],[Peso Util/Pç]],0)</f>
        <v>135.09299999999999</v>
      </c>
      <c r="R642" s="37">
        <f>IFERROR(Tabela3[[#This Row],[Peso Total Galho]]*Tabela3[[#This Row],[Qtde Cx Produzida]]*1.055,0)</f>
        <v>158.03161499999999</v>
      </c>
      <c r="S642" s="37">
        <f>(Tabela3[[#This Row],[Aluminio Bruto]]-Tabela3[[#This Row],[Aluminio Util]])*0.9</f>
        <v>20.6447535</v>
      </c>
      <c r="T642" s="37">
        <f>Tabela3[[#This Row],[Aluminio Bruto]]/OleoKGAluminio</f>
        <v>66.483696097584911</v>
      </c>
      <c r="U642" s="35">
        <f>IFERROR((VLOOKUP(Tabela3[[#This Row],[Moldador]],Tabela1[],5,)+(VLOOKUP(Tabela3[[#This Row],[Ajudante]],Tabela1[],5,))*3.5),0)</f>
        <v>99.95034583333333</v>
      </c>
      <c r="V642" s="35">
        <f>IFERROR(Tabela3[[#This Row],[Custo M.O. / H]]/((Tabela3[[#This Row],[Realizado]]/Tabela3[[#This Row],[Qdt Peça Placa]])/Tabela3[[#This Row],[Tempo]]/24),)</f>
        <v>16.579065300925926</v>
      </c>
      <c r="W642" s="35">
        <f>Tabela3[[#This Row],[Custo / Cx Moldada]]*Tabela3[[#This Row],[Qtde Cx Produzida]]</f>
        <v>348.16037131944444</v>
      </c>
      <c r="X642" s="35">
        <f ca="1">Tabela3[[#This Row],[Aluminio Util]]*Tabela3[[#This Row],[Custo/Kg]]</f>
        <v>2377.6368000000002</v>
      </c>
      <c r="Y642" s="35">
        <f>IFERROR(VLOOKUP(Tabela3[[#This Row],[Data]],Tabela461213[],2,1)*(Tabela3[[#This Row],[Qtde Cx Produzida]]*Tabela3[[#This Row],[Qde macho / CX]]*Tabela3[[#This Row],[Peso Macho]]),)</f>
        <v>0</v>
      </c>
      <c r="Z642" s="35">
        <f>IFERROR(Tabela3[[#This Row],[Qtde Oleo]]*(VLOOKUP(Tabela3[[#This Row],[Data]],CompraOleo[],3,TRUE))*1.05,0)</f>
        <v>174.5197022561604</v>
      </c>
      <c r="AA642" s="47">
        <f ca="1">(Tabela3[[#This Row],[Custo Oleo]]+Tabela3[[#This Row],[Custo Aluminio]]+Tabela3[[#This Row],[Custo M.O. Total]]+Tabela3[[#This Row],[Custo Machos]])</f>
        <v>2900.3168735756053</v>
      </c>
      <c r="AB642" s="47">
        <f ca="1">Tabela3[[#This Row],[Custo Total]]*Tabela3[[#This Row],[% Perda]]</f>
        <v>0</v>
      </c>
      <c r="AC642" s="48">
        <f>IFERROR(VLOOKUP(Tabela3[[#This Row],[Produto]],Tabela2[],2,0),0)</f>
        <v>1</v>
      </c>
      <c r="AD642" s="48">
        <f>IFERROR(VLOOKUP(Tabela3[[#This Row],[Produto]],Tabela2[],3,0),0)</f>
        <v>6.4329999999999998</v>
      </c>
      <c r="AE642" s="48">
        <f>IFERROR(VLOOKUP(Tabela3[[#This Row],[Produto]],Tabela2[],4,0),0)</f>
        <v>7.133</v>
      </c>
      <c r="AF642" s="48">
        <f>IFERROR(VLOOKUP(Tabela3[[#This Row],[Produto]],Tabela2[],5,0),0)</f>
        <v>0.63000000000000023</v>
      </c>
      <c r="AG642" s="40">
        <f>IFERROR(VLOOKUP(Tabela3[[#This Row],[Produto]],Tabela2[],6,0),0)</f>
        <v>0</v>
      </c>
      <c r="AH642" s="40">
        <f>IFERROR(VLOOKUP(Tabela3[[#This Row],[Produto]],Tabela2[],7,0),0)</f>
        <v>0</v>
      </c>
      <c r="AI642" s="40">
        <f>IFERROR(VLOOKUP(Tabela3[[#This Row],[Produto]],Tabela2[],8,0),0)</f>
        <v>0</v>
      </c>
      <c r="AJ642" s="35">
        <f ca="1">IFERROR(VLOOKUP(Tabela3[[#This Row],[Produto]],Tabela2[],13,0),0)</f>
        <v>17.600000000000001</v>
      </c>
      <c r="AK642" s="40" t="str">
        <f>IFERROR(VLOOKUP(Tabela3[[#This Row],[Produto]],Tabela2[],14,0),0)</f>
        <v>Oscar</v>
      </c>
      <c r="AL642" s="40">
        <f>IFERROR(VLOOKUP(Tabela3[[#This Row],[Produto]],Tabela2[],15,0),0)</f>
        <v>0</v>
      </c>
      <c r="AM642" s="36">
        <f ca="1">(Tabela3[[#This Row],[Custo Usinagem]]+Tabela3[[#This Row],[Custo / Pç]])*1.2</f>
        <v>165.73239277574888</v>
      </c>
      <c r="AN642" s="36">
        <f ca="1">Tabela3[[#This Row],[Valor Mínimo Venda]]*1.15</f>
        <v>190.5922516921112</v>
      </c>
      <c r="AO642" s="36">
        <f ca="1">Tabela3[[#This Row],[Tabela 1]]*1.08</f>
        <v>205.8396318274801</v>
      </c>
      <c r="AP642" s="36">
        <f ca="1">Tabela3[[#This Row],[Tabela 2]]*1.15</f>
        <v>236.71557660160209</v>
      </c>
    </row>
    <row r="643" spans="1:42">
      <c r="A643" s="9">
        <v>45915</v>
      </c>
      <c r="B643" s="6" t="s">
        <v>129</v>
      </c>
      <c r="C643" s="14">
        <v>7838</v>
      </c>
      <c r="D643" s="6" t="s">
        <v>44</v>
      </c>
      <c r="E643" s="6" t="s">
        <v>47</v>
      </c>
      <c r="F643" s="6">
        <v>27</v>
      </c>
      <c r="G643" s="15">
        <v>0.17569444444444443</v>
      </c>
      <c r="H643" s="16">
        <v>2</v>
      </c>
      <c r="I643" s="35">
        <f ca="1">IFERROR(Tabela3[[#This Row],[Custo Total]]/Tabela3[[#This Row],[Aluminio Util]],0)</f>
        <v>30.780648578813473</v>
      </c>
      <c r="J643" s="35">
        <f ca="1">Tabela3[[#This Row],[Custo Total]]/Tabela3[[#This Row],[Realizado]]</f>
        <v>49.864650697677824</v>
      </c>
      <c r="K643" s="37">
        <f>IFERROR(Tabela3[[#This Row],[Qtde Cx Produzida]]/Tabela3[[#This Row],[Tempo]]/24,0)</f>
        <v>6.4031620553359687</v>
      </c>
      <c r="L643" s="37">
        <f>Tabela3[[#This Row],[Qtde Cx Produzida]]*Tabela3[[#This Row],[Qdt Peça Placa]]</f>
        <v>27</v>
      </c>
      <c r="M643" s="37">
        <f>Tabela3[[#This Row],[Previsto]]-Tabela3[[#This Row],[Perda Pçs]]</f>
        <v>25</v>
      </c>
      <c r="N643" s="38">
        <f>IFERROR(Tabela3[[#This Row],[Perda Pçs]]/Tabela3[[#This Row],[Previsto]],0)</f>
        <v>7.407407407407407E-2</v>
      </c>
      <c r="O643" s="39">
        <f>IFERROR(IF(Tabela3[[#This Row],[Qtde Cx Produzida]] &lt;&gt; 0, Tabela3[[#This Row],[Tempo]] / Tabela3[[#This Row],[Qtde Cx Produzida]], 0),0)</f>
        <v>6.5072016460905342E-3</v>
      </c>
      <c r="P643" s="57">
        <f>IFERROR(Tabela3[[#This Row],[Perda Pçs]]/Tabela3[[#This Row],[Qdt Peça Placa]],0)</f>
        <v>2</v>
      </c>
      <c r="Q643" s="37">
        <f>IFERROR(Tabela3[[#This Row],[Realizado]]*Tabela3[[#This Row],[Peso Util/Pç]],0)</f>
        <v>40.5</v>
      </c>
      <c r="R643" s="37">
        <f>IFERROR(Tabela3[[#This Row],[Peso Total Galho]]*Tabela3[[#This Row],[Qtde Cx Produzida]]*1.055,0)</f>
        <v>71.212499999999991</v>
      </c>
      <c r="S643" s="37">
        <f>(Tabela3[[#This Row],[Aluminio Bruto]]-Tabela3[[#This Row],[Aluminio Util]])*0.9</f>
        <v>27.641249999999992</v>
      </c>
      <c r="T643" s="37">
        <f>Tabela3[[#This Row],[Aluminio Bruto]]/OleoKGAluminio</f>
        <v>29.959006673122119</v>
      </c>
      <c r="U643" s="35">
        <f>IFERROR((VLOOKUP(Tabela3[[#This Row],[Moldador]],Tabela1[],5,)+(VLOOKUP(Tabela3[[#This Row],[Ajudante]],Tabela1[],5,))*3.5),0)</f>
        <v>99.95034583333333</v>
      </c>
      <c r="V643" s="35">
        <f>IFERROR(Tabela3[[#This Row],[Custo M.O. / H]]/((Tabela3[[#This Row],[Realizado]]/Tabela3[[#This Row],[Qdt Peça Placa]])/Tabela3[[#This Row],[Tempo]]/24),)</f>
        <v>16.858291663888888</v>
      </c>
      <c r="W643" s="35">
        <f>Tabela3[[#This Row],[Custo / Cx Moldada]]*Tabela3[[#This Row],[Qtde Cx Produzida]]</f>
        <v>455.17387492500001</v>
      </c>
      <c r="X643" s="35">
        <f ca="1">Tabela3[[#This Row],[Aluminio Util]]*Tabela3[[#This Row],[Custo/Kg]]</f>
        <v>712.80000000000007</v>
      </c>
      <c r="Y643" s="35">
        <f>IFERROR(VLOOKUP(Tabela3[[#This Row],[Data]],Tabela461213[],2,1)*(Tabela3[[#This Row],[Qtde Cx Produzida]]*Tabela3[[#This Row],[Qde macho / CX]]*Tabela3[[#This Row],[Peso Macho]]),)</f>
        <v>0</v>
      </c>
      <c r="Z643" s="35">
        <f>IFERROR(Tabela3[[#This Row],[Qtde Oleo]]*(VLOOKUP(Tabela3[[#This Row],[Data]],CompraOleo[],3,TRUE))*1.05,0)</f>
        <v>78.642392516945577</v>
      </c>
      <c r="AA643" s="47">
        <f ca="1">(Tabela3[[#This Row],[Custo Oleo]]+Tabela3[[#This Row],[Custo Aluminio]]+Tabela3[[#This Row],[Custo M.O. Total]]+Tabela3[[#This Row],[Custo Machos]])</f>
        <v>1246.6162674419456</v>
      </c>
      <c r="AB643" s="47">
        <f ca="1">Tabela3[[#This Row],[Custo Total]]*Tabela3[[#This Row],[% Perda]]</f>
        <v>92.341945736440408</v>
      </c>
      <c r="AC643" s="48">
        <f>IFERROR(VLOOKUP(Tabela3[[#This Row],[Produto]],Tabela2[],2,0),0)</f>
        <v>1</v>
      </c>
      <c r="AD643" s="48">
        <f>IFERROR(VLOOKUP(Tabela3[[#This Row],[Produto]],Tabela2[],3,0),0)</f>
        <v>1.62</v>
      </c>
      <c r="AE643" s="48">
        <f>IFERROR(VLOOKUP(Tabela3[[#This Row],[Produto]],Tabela2[],4,0),0)</f>
        <v>2.5</v>
      </c>
      <c r="AF643" s="48">
        <f>IFERROR(VLOOKUP(Tabela3[[#This Row],[Produto]],Tabela2[],5,0),0)</f>
        <v>0.79199999999999993</v>
      </c>
      <c r="AG643" s="40">
        <f>IFERROR(VLOOKUP(Tabela3[[#This Row],[Produto]],Tabela2[],6,0),0)</f>
        <v>0</v>
      </c>
      <c r="AH643" s="40">
        <f>IFERROR(VLOOKUP(Tabela3[[#This Row],[Produto]],Tabela2[],7,0),0)</f>
        <v>0</v>
      </c>
      <c r="AI643" s="40">
        <f>IFERROR(VLOOKUP(Tabela3[[#This Row],[Produto]],Tabela2[],8,0),0)</f>
        <v>0</v>
      </c>
      <c r="AJ643" s="35">
        <f ca="1">IFERROR(VLOOKUP(Tabela3[[#This Row],[Produto]],Tabela2[],13,0),0)</f>
        <v>17.600000000000001</v>
      </c>
      <c r="AK643" s="40" t="str">
        <f>IFERROR(VLOOKUP(Tabela3[[#This Row],[Produto]],Tabela2[],14,0),0)</f>
        <v>Jumil</v>
      </c>
      <c r="AL643" s="40">
        <f>IFERROR(VLOOKUP(Tabela3[[#This Row],[Produto]],Tabela2[],15,0),0)</f>
        <v>80</v>
      </c>
      <c r="AM643" s="36">
        <f ca="1">(Tabela3[[#This Row],[Custo Usinagem]]+Tabela3[[#This Row],[Custo / Pç]])*1.2</f>
        <v>155.83758083721338</v>
      </c>
      <c r="AN643" s="36">
        <f ca="1">Tabela3[[#This Row],[Valor Mínimo Venda]]*1.15</f>
        <v>179.21321796279537</v>
      </c>
      <c r="AO643" s="36">
        <f ca="1">Tabela3[[#This Row],[Tabela 1]]*1.08</f>
        <v>193.55027539981901</v>
      </c>
      <c r="AP643" s="36">
        <f ca="1">Tabela3[[#This Row],[Tabela 2]]*1.15</f>
        <v>222.58281670979184</v>
      </c>
    </row>
    <row r="644" spans="1:42">
      <c r="A644" s="9">
        <v>45916</v>
      </c>
      <c r="B644" s="6" t="s">
        <v>223</v>
      </c>
      <c r="C644" s="14">
        <v>7876</v>
      </c>
      <c r="D644" s="6" t="s">
        <v>46</v>
      </c>
      <c r="E644" s="6" t="s">
        <v>326</v>
      </c>
      <c r="F644" s="6">
        <v>7</v>
      </c>
      <c r="G644" s="15">
        <v>4.5138888888888888E-2</v>
      </c>
      <c r="H644" s="16">
        <v>0</v>
      </c>
      <c r="I644" s="35">
        <f ca="1">IFERROR(Tabela3[[#This Row],[Custo Total]]/Tabela3[[#This Row],[Aluminio Util]],0)</f>
        <v>22.903359092377919</v>
      </c>
      <c r="J644" s="35">
        <f ca="1">Tabela3[[#This Row],[Custo Total]]/Tabela3[[#This Row],[Realizado]]</f>
        <v>2.3819493456073033</v>
      </c>
      <c r="K644" s="37">
        <f>IFERROR(Tabela3[[#This Row],[Qtde Cx Produzida]]/Tabela3[[#This Row],[Tempo]]/24,0)</f>
        <v>6.4615384615384608</v>
      </c>
      <c r="L644" s="37">
        <f>Tabela3[[#This Row],[Qtde Cx Produzida]]*Tabela3[[#This Row],[Qdt Peça Placa]]</f>
        <v>231</v>
      </c>
      <c r="M644" s="37">
        <f>Tabela3[[#This Row],[Previsto]]-Tabela3[[#This Row],[Perda Pçs]]</f>
        <v>231</v>
      </c>
      <c r="N644" s="38">
        <f>IFERROR(Tabela3[[#This Row],[Perda Pçs]]/Tabela3[[#This Row],[Previsto]],0)</f>
        <v>0</v>
      </c>
      <c r="O644" s="39">
        <f>IFERROR(IF(Tabela3[[#This Row],[Qtde Cx Produzida]] &lt;&gt; 0, Tabela3[[#This Row],[Tempo]] / Tabela3[[#This Row],[Qtde Cx Produzida]], 0),0)</f>
        <v>6.4484126984126981E-3</v>
      </c>
      <c r="P644" s="57">
        <f>IFERROR(Tabela3[[#This Row],[Perda Pçs]]/Tabela3[[#This Row],[Qdt Peça Placa]],0)</f>
        <v>0</v>
      </c>
      <c r="Q644" s="37">
        <f>IFERROR(Tabela3[[#This Row],[Realizado]]*Tabela3[[#This Row],[Peso Util/Pç]],0)</f>
        <v>24.023999999999997</v>
      </c>
      <c r="R644" s="37">
        <f>IFERROR(Tabela3[[#This Row],[Peso Total Galho]]*Tabela3[[#This Row],[Qtde Cx Produzida]]*1.055,0)</f>
        <v>39.731299999999997</v>
      </c>
      <c r="S644" s="37">
        <f>(Tabela3[[#This Row],[Aluminio Bruto]]-Tabela3[[#This Row],[Aluminio Util]])*0.9</f>
        <v>14.136570000000001</v>
      </c>
      <c r="T644" s="37">
        <f>Tabela3[[#This Row],[Aluminio Bruto]]/OleoKGAluminio</f>
        <v>16.714906537922651</v>
      </c>
      <c r="U644" s="35">
        <f>IFERROR((VLOOKUP(Tabela3[[#This Row],[Moldador]],Tabela1[],5,)+(VLOOKUP(Tabela3[[#This Row],[Ajudante]],Tabela1[],5,))*3.5),0)</f>
        <v>99.95034583333333</v>
      </c>
      <c r="V644" s="35">
        <f>IFERROR(Tabela3[[#This Row],[Custo M.O. / H]]/((Tabela3[[#This Row],[Realizado]]/Tabela3[[#This Row],[Qdt Peça Placa]])/Tabela3[[#This Row],[Tempo]]/24),)</f>
        <v>15.468505902777778</v>
      </c>
      <c r="W644" s="35">
        <f>Tabela3[[#This Row],[Custo / Cx Moldada]]*Tabela3[[#This Row],[Qtde Cx Produzida]]</f>
        <v>108.27954131944445</v>
      </c>
      <c r="X644" s="35">
        <f ca="1">Tabela3[[#This Row],[Aluminio Util]]*Tabela3[[#This Row],[Custo/Kg]]</f>
        <v>398.07412785379563</v>
      </c>
      <c r="Y644" s="35">
        <f>IFERROR(VLOOKUP(Tabela3[[#This Row],[Data]],Tabela461213[],2,1)*(Tabela3[[#This Row],[Qtde Cx Produzida]]*Tabela3[[#This Row],[Qde macho / CX]]*Tabela3[[#This Row],[Peso Macho]]),)</f>
        <v>0</v>
      </c>
      <c r="Z644" s="35">
        <f>IFERROR(Tabela3[[#This Row],[Qtde Oleo]]*(VLOOKUP(Tabela3[[#This Row],[Data]],CompraOleo[],3,TRUE))*1.05,0)</f>
        <v>43.876629662046959</v>
      </c>
      <c r="AA644" s="47">
        <f ca="1">(Tabela3[[#This Row],[Custo Oleo]]+Tabela3[[#This Row],[Custo Aluminio]]+Tabela3[[#This Row],[Custo M.O. Total]]+Tabela3[[#This Row],[Custo Machos]])</f>
        <v>550.23029883528704</v>
      </c>
      <c r="AB644" s="47">
        <f ca="1">Tabela3[[#This Row],[Custo Total]]*Tabela3[[#This Row],[% Perda]]</f>
        <v>0</v>
      </c>
      <c r="AC644" s="48">
        <f>IFERROR(VLOOKUP(Tabela3[[#This Row],[Produto]],Tabela2[],2,0),0)</f>
        <v>33</v>
      </c>
      <c r="AD644" s="48">
        <f>IFERROR(VLOOKUP(Tabela3[[#This Row],[Produto]],Tabela2[],3,0),0)</f>
        <v>0.104</v>
      </c>
      <c r="AE644" s="48">
        <f>IFERROR(VLOOKUP(Tabela3[[#This Row],[Produto]],Tabela2[],4,0),0)</f>
        <v>5.38</v>
      </c>
      <c r="AF644" s="48">
        <f>IFERROR(VLOOKUP(Tabela3[[#This Row],[Produto]],Tabela2[],5,0),0)</f>
        <v>1.7532000000000001</v>
      </c>
      <c r="AG644" s="40">
        <f>IFERROR(VLOOKUP(Tabela3[[#This Row],[Produto]],Tabela2[],6,0),0)</f>
        <v>0</v>
      </c>
      <c r="AH644" s="40">
        <f>IFERROR(VLOOKUP(Tabela3[[#This Row],[Produto]],Tabela2[],7,0),0)</f>
        <v>0</v>
      </c>
      <c r="AI644" s="40">
        <f>IFERROR(VLOOKUP(Tabela3[[#This Row],[Produto]],Tabela2[],8,0),0)</f>
        <v>0</v>
      </c>
      <c r="AJ644" s="35">
        <f ca="1">IFERROR(VLOOKUP(Tabela3[[#This Row],[Produto]],Tabela2[],13,0),0)</f>
        <v>16.569852141766386</v>
      </c>
      <c r="AK644" s="40" t="str">
        <f>IFERROR(VLOOKUP(Tabela3[[#This Row],[Produto]],Tabela2[],14,0),0)</f>
        <v>Marcelo</v>
      </c>
      <c r="AL644" s="40">
        <f>IFERROR(VLOOKUP(Tabela3[[#This Row],[Produto]],Tabela2[],15,0),0)</f>
        <v>0</v>
      </c>
      <c r="AM644" s="36">
        <f ca="1">(Tabela3[[#This Row],[Custo Usinagem]]+Tabela3[[#This Row],[Custo / Pç]])*1.2</f>
        <v>2.8583392147287641</v>
      </c>
      <c r="AN644" s="36">
        <f ca="1">Tabela3[[#This Row],[Valor Mínimo Venda]]*1.15</f>
        <v>3.2870900969380785</v>
      </c>
      <c r="AO644" s="36">
        <f ca="1">Tabela3[[#This Row],[Tabela 1]]*1.08</f>
        <v>3.5500573046931252</v>
      </c>
      <c r="AP644" s="36">
        <f ca="1">Tabela3[[#This Row],[Tabela 2]]*1.15</f>
        <v>4.0825659003970936</v>
      </c>
    </row>
    <row r="645" spans="1:42">
      <c r="A645" s="9">
        <v>45916</v>
      </c>
      <c r="B645" s="6" t="s">
        <v>245</v>
      </c>
      <c r="C645" s="14">
        <v>7866</v>
      </c>
      <c r="D645" s="6" t="s">
        <v>46</v>
      </c>
      <c r="E645" s="6" t="s">
        <v>326</v>
      </c>
      <c r="F645" s="6">
        <v>64</v>
      </c>
      <c r="G645" s="15">
        <v>0.31458333333333333</v>
      </c>
      <c r="H645" s="16">
        <v>0</v>
      </c>
      <c r="I645" s="35">
        <f ca="1">IFERROR(Tabela3[[#This Row],[Custo Total]]/Tabela3[[#This Row],[Aluminio Util]],0)</f>
        <v>26.496599448803352</v>
      </c>
      <c r="J645" s="35">
        <f ca="1">Tabela3[[#This Row],[Custo Total]]/Tabela3[[#This Row],[Realizado]]</f>
        <v>8.7968710170027133</v>
      </c>
      <c r="K645" s="37">
        <f>IFERROR(Tabela3[[#This Row],[Qtde Cx Produzida]]/Tabela3[[#This Row],[Tempo]]/24,0)</f>
        <v>8.4768211920529808</v>
      </c>
      <c r="L645" s="37">
        <f>Tabela3[[#This Row],[Qtde Cx Produzida]]*Tabela3[[#This Row],[Qdt Peça Placa]]</f>
        <v>256</v>
      </c>
      <c r="M645" s="37">
        <f>Tabela3[[#This Row],[Previsto]]-Tabela3[[#This Row],[Perda Pçs]]</f>
        <v>256</v>
      </c>
      <c r="N645" s="38">
        <f>IFERROR(Tabela3[[#This Row],[Perda Pçs]]/Tabela3[[#This Row],[Previsto]],0)</f>
        <v>0</v>
      </c>
      <c r="O645" s="39">
        <f>IFERROR(IF(Tabela3[[#This Row],[Qtde Cx Produzida]] &lt;&gt; 0, Tabela3[[#This Row],[Tempo]] / Tabela3[[#This Row],[Qtde Cx Produzida]], 0),0)</f>
        <v>4.9153645833333332E-3</v>
      </c>
      <c r="P645" s="57">
        <f>IFERROR(Tabela3[[#This Row],[Perda Pçs]]/Tabela3[[#This Row],[Qdt Peça Placa]],0)</f>
        <v>0</v>
      </c>
      <c r="Q645" s="37">
        <f>IFERROR(Tabela3[[#This Row],[Realizado]]*Tabela3[[#This Row],[Peso Util/Pç]],0)</f>
        <v>84.992000000000004</v>
      </c>
      <c r="R645" s="37">
        <f>IFERROR(Tabela3[[#This Row],[Peso Total Galho]]*Tabela3[[#This Row],[Qtde Cx Produzida]]*1.055,0)</f>
        <v>155.29599999999999</v>
      </c>
      <c r="S645" s="37">
        <f>(Tabela3[[#This Row],[Aluminio Bruto]]-Tabela3[[#This Row],[Aluminio Util]])*0.9</f>
        <v>63.273599999999988</v>
      </c>
      <c r="T645" s="37">
        <f>Tabela3[[#This Row],[Aluminio Bruto]]/OleoKGAluminio</f>
        <v>65.332826404201128</v>
      </c>
      <c r="U645" s="35">
        <f>IFERROR((VLOOKUP(Tabela3[[#This Row],[Moldador]],Tabela1[],5,)+(VLOOKUP(Tabela3[[#This Row],[Ajudante]],Tabela1[],5,))*3.5),0)</f>
        <v>99.95034583333333</v>
      </c>
      <c r="V645" s="35">
        <f>IFERROR(Tabela3[[#This Row],[Custo M.O. / H]]/((Tabela3[[#This Row],[Realizado]]/Tabela3[[#This Row],[Qdt Peça Placa]])/Tabela3[[#This Row],[Tempo]]/24),)</f>
        <v>11.791017360026041</v>
      </c>
      <c r="W645" s="35">
        <f>Tabela3[[#This Row],[Custo / Cx Moldada]]*Tabela3[[#This Row],[Qtde Cx Produzida]]</f>
        <v>754.62511104166663</v>
      </c>
      <c r="X645" s="35">
        <f ca="1">Tabela3[[#This Row],[Aluminio Util]]*Tabela3[[#This Row],[Custo/Kg]]</f>
        <v>1325.8752000000002</v>
      </c>
      <c r="Y645" s="35">
        <f>IFERROR(VLOOKUP(Tabela3[[#This Row],[Data]],Tabela461213[],2,1)*(Tabela3[[#This Row],[Qtde Cx Produzida]]*Tabela3[[#This Row],[Qde macho / CX]]*Tabela3[[#This Row],[Peso Macho]]),)</f>
        <v>0</v>
      </c>
      <c r="Z645" s="35">
        <f>IFERROR(Tabela3[[#This Row],[Qtde Oleo]]*(VLOOKUP(Tabela3[[#This Row],[Data]],CompraOleo[],3,TRUE))*1.05,0)</f>
        <v>171.49866931102795</v>
      </c>
      <c r="AA645" s="47">
        <f ca="1">(Tabela3[[#This Row],[Custo Oleo]]+Tabela3[[#This Row],[Custo Aluminio]]+Tabela3[[#This Row],[Custo M.O. Total]]+Tabela3[[#This Row],[Custo Machos]])</f>
        <v>2251.9989803526946</v>
      </c>
      <c r="AB645" s="47">
        <f ca="1">Tabela3[[#This Row],[Custo Total]]*Tabela3[[#This Row],[% Perda]]</f>
        <v>0</v>
      </c>
      <c r="AC645" s="48">
        <f>IFERROR(VLOOKUP(Tabela3[[#This Row],[Produto]],Tabela2[],2,0),0)</f>
        <v>4</v>
      </c>
      <c r="AD645" s="48">
        <f>IFERROR(VLOOKUP(Tabela3[[#This Row],[Produto]],Tabela2[],3,0),0)</f>
        <v>0.33200000000000002</v>
      </c>
      <c r="AE645" s="48">
        <f>IFERROR(VLOOKUP(Tabela3[[#This Row],[Produto]],Tabela2[],4,0),0)</f>
        <v>2.2999999999999998</v>
      </c>
      <c r="AF645" s="48">
        <f>IFERROR(VLOOKUP(Tabela3[[#This Row],[Produto]],Tabela2[],5,0),0)</f>
        <v>0.8747999999999998</v>
      </c>
      <c r="AG645" s="40">
        <f>IFERROR(VLOOKUP(Tabela3[[#This Row],[Produto]],Tabela2[],6,0),0)</f>
        <v>0</v>
      </c>
      <c r="AH645" s="40">
        <f>IFERROR(VLOOKUP(Tabela3[[#This Row],[Produto]],Tabela2[],7,0),0)</f>
        <v>0</v>
      </c>
      <c r="AI645" s="40">
        <f>IFERROR(VLOOKUP(Tabela3[[#This Row],[Produto]],Tabela2[],8,0),0)</f>
        <v>0</v>
      </c>
      <c r="AJ645" s="35">
        <f ca="1">IFERROR(VLOOKUP(Tabela3[[#This Row],[Produto]],Tabela2[],13,0),0)</f>
        <v>15.600000000000001</v>
      </c>
      <c r="AK645" s="40" t="str">
        <f>IFERROR(VLOOKUP(Tabela3[[#This Row],[Produto]],Tabela2[],14,0),0)</f>
        <v>Senun</v>
      </c>
      <c r="AL645" s="40">
        <f>IFERROR(VLOOKUP(Tabela3[[#This Row],[Produto]],Tabela2[],15,0),0)</f>
        <v>3.5</v>
      </c>
      <c r="AM645" s="36">
        <f ca="1">(Tabela3[[#This Row],[Custo Usinagem]]+Tabela3[[#This Row],[Custo / Pç]])*1.2</f>
        <v>14.756245220403255</v>
      </c>
      <c r="AN645" s="36">
        <f ca="1">Tabela3[[#This Row],[Valor Mínimo Venda]]*1.15</f>
        <v>16.969682003463742</v>
      </c>
      <c r="AO645" s="36">
        <f ca="1">Tabela3[[#This Row],[Tabela 1]]*1.08</f>
        <v>18.327256563740843</v>
      </c>
      <c r="AP645" s="36">
        <f ca="1">Tabela3[[#This Row],[Tabela 2]]*1.15</f>
        <v>21.076345048301967</v>
      </c>
    </row>
    <row r="646" spans="1:42">
      <c r="A646" s="9">
        <v>45916</v>
      </c>
      <c r="B646" s="6" t="s">
        <v>129</v>
      </c>
      <c r="C646" s="14">
        <v>7838</v>
      </c>
      <c r="D646" s="6" t="s">
        <v>44</v>
      </c>
      <c r="E646" s="6" t="s">
        <v>47</v>
      </c>
      <c r="F646" s="6">
        <v>5</v>
      </c>
      <c r="G646" s="15">
        <v>2.5694444444444443E-2</v>
      </c>
      <c r="H646" s="16">
        <v>0</v>
      </c>
      <c r="I646" s="35">
        <f ca="1">IFERROR(Tabela3[[#This Row],[Custo Total]]/Tabela3[[#This Row],[Aluminio Util]],0)</f>
        <v>27.007339829491212</v>
      </c>
      <c r="J646" s="35">
        <f ca="1">Tabela3[[#This Row],[Custo Total]]/Tabela3[[#This Row],[Realizado]]</f>
        <v>43.751890523775771</v>
      </c>
      <c r="K646" s="37">
        <f>IFERROR(Tabela3[[#This Row],[Qtde Cx Produzida]]/Tabela3[[#This Row],[Tempo]]/24,0)</f>
        <v>8.1081081081081088</v>
      </c>
      <c r="L646" s="37">
        <f>Tabela3[[#This Row],[Qtde Cx Produzida]]*Tabela3[[#This Row],[Qdt Peça Placa]]</f>
        <v>5</v>
      </c>
      <c r="M646" s="37">
        <f>Tabela3[[#This Row],[Previsto]]-Tabela3[[#This Row],[Perda Pçs]]</f>
        <v>5</v>
      </c>
      <c r="N646" s="38">
        <f>IFERROR(Tabela3[[#This Row],[Perda Pçs]]/Tabela3[[#This Row],[Previsto]],0)</f>
        <v>0</v>
      </c>
      <c r="O646" s="39">
        <f>IFERROR(IF(Tabela3[[#This Row],[Qtde Cx Produzida]] &lt;&gt; 0, Tabela3[[#This Row],[Tempo]] / Tabela3[[#This Row],[Qtde Cx Produzida]], 0),0)</f>
        <v>5.138888888888889E-3</v>
      </c>
      <c r="P646" s="57">
        <f>IFERROR(Tabela3[[#This Row],[Perda Pçs]]/Tabela3[[#This Row],[Qdt Peça Placa]],0)</f>
        <v>0</v>
      </c>
      <c r="Q646" s="37">
        <f>IFERROR(Tabela3[[#This Row],[Realizado]]*Tabela3[[#This Row],[Peso Util/Pç]],0)</f>
        <v>8.1000000000000014</v>
      </c>
      <c r="R646" s="37">
        <f>IFERROR(Tabela3[[#This Row],[Peso Total Galho]]*Tabela3[[#This Row],[Qtde Cx Produzida]]*1.055,0)</f>
        <v>13.1875</v>
      </c>
      <c r="S646" s="37">
        <f>(Tabela3[[#This Row],[Aluminio Bruto]]-Tabela3[[#This Row],[Aluminio Util]])*0.9</f>
        <v>4.5787499999999985</v>
      </c>
      <c r="T646" s="37">
        <f>Tabela3[[#This Row],[Aluminio Bruto]]/OleoKGAluminio</f>
        <v>5.5479641987263184</v>
      </c>
      <c r="U646" s="35">
        <f>IFERROR((VLOOKUP(Tabela3[[#This Row],[Moldador]],Tabela1[],5,)+(VLOOKUP(Tabela3[[#This Row],[Ajudante]],Tabela1[],5,))*3.5),0)</f>
        <v>99.95034583333333</v>
      </c>
      <c r="V646" s="35">
        <f>IFERROR(Tabela3[[#This Row],[Custo M.O. / H]]/((Tabela3[[#This Row],[Realizado]]/Tabela3[[#This Row],[Qdt Peça Placa]])/Tabela3[[#This Row],[Tempo]]/24),)</f>
        <v>12.327209319444442</v>
      </c>
      <c r="W646" s="35">
        <f>Tabela3[[#This Row],[Custo / Cx Moldada]]*Tabela3[[#This Row],[Qtde Cx Produzida]]</f>
        <v>61.636046597222212</v>
      </c>
      <c r="X646" s="35">
        <f ca="1">Tabela3[[#This Row],[Aluminio Util]]*Tabela3[[#This Row],[Custo/Kg]]</f>
        <v>142.56000000000003</v>
      </c>
      <c r="Y646" s="35">
        <f>IFERROR(VLOOKUP(Tabela3[[#This Row],[Data]],Tabela461213[],2,1)*(Tabela3[[#This Row],[Qtde Cx Produzida]]*Tabela3[[#This Row],[Qde macho / CX]]*Tabela3[[#This Row],[Peso Macho]]),)</f>
        <v>0</v>
      </c>
      <c r="Z646" s="35">
        <f>IFERROR(Tabela3[[#This Row],[Qtde Oleo]]*(VLOOKUP(Tabela3[[#This Row],[Data]],CompraOleo[],3,TRUE))*1.05,0)</f>
        <v>14.563406021656586</v>
      </c>
      <c r="AA646" s="47">
        <f ca="1">(Tabela3[[#This Row],[Custo Oleo]]+Tabela3[[#This Row],[Custo Aluminio]]+Tabela3[[#This Row],[Custo M.O. Total]]+Tabela3[[#This Row],[Custo Machos]])</f>
        <v>218.75945261887884</v>
      </c>
      <c r="AB646" s="47">
        <f ca="1">Tabela3[[#This Row],[Custo Total]]*Tabela3[[#This Row],[% Perda]]</f>
        <v>0</v>
      </c>
      <c r="AC646" s="48">
        <f>IFERROR(VLOOKUP(Tabela3[[#This Row],[Produto]],Tabela2[],2,0),0)</f>
        <v>1</v>
      </c>
      <c r="AD646" s="48">
        <f>IFERROR(VLOOKUP(Tabela3[[#This Row],[Produto]],Tabela2[],3,0),0)</f>
        <v>1.62</v>
      </c>
      <c r="AE646" s="48">
        <f>IFERROR(VLOOKUP(Tabela3[[#This Row],[Produto]],Tabela2[],4,0),0)</f>
        <v>2.5</v>
      </c>
      <c r="AF646" s="48">
        <f>IFERROR(VLOOKUP(Tabela3[[#This Row],[Produto]],Tabela2[],5,0),0)</f>
        <v>0.79199999999999993</v>
      </c>
      <c r="AG646" s="40">
        <f>IFERROR(VLOOKUP(Tabela3[[#This Row],[Produto]],Tabela2[],6,0),0)</f>
        <v>0</v>
      </c>
      <c r="AH646" s="40">
        <f>IFERROR(VLOOKUP(Tabela3[[#This Row],[Produto]],Tabela2[],7,0),0)</f>
        <v>0</v>
      </c>
      <c r="AI646" s="40">
        <f>IFERROR(VLOOKUP(Tabela3[[#This Row],[Produto]],Tabela2[],8,0),0)</f>
        <v>0</v>
      </c>
      <c r="AJ646" s="35">
        <f ca="1">IFERROR(VLOOKUP(Tabela3[[#This Row],[Produto]],Tabela2[],13,0),0)</f>
        <v>17.600000000000001</v>
      </c>
      <c r="AK646" s="40" t="str">
        <f>IFERROR(VLOOKUP(Tabela3[[#This Row],[Produto]],Tabela2[],14,0),0)</f>
        <v>Jumil</v>
      </c>
      <c r="AL646" s="40">
        <f>IFERROR(VLOOKUP(Tabela3[[#This Row],[Produto]],Tabela2[],15,0),0)</f>
        <v>80</v>
      </c>
      <c r="AM646" s="36">
        <f ca="1">(Tabela3[[#This Row],[Custo Usinagem]]+Tabela3[[#This Row],[Custo / Pç]])*1.2</f>
        <v>148.50226862853091</v>
      </c>
      <c r="AN646" s="36">
        <f ca="1">Tabela3[[#This Row],[Valor Mínimo Venda]]*1.15</f>
        <v>170.77760892281054</v>
      </c>
      <c r="AO646" s="36">
        <f ca="1">Tabela3[[#This Row],[Tabela 1]]*1.08</f>
        <v>184.43981763663541</v>
      </c>
      <c r="AP646" s="36">
        <f ca="1">Tabela3[[#This Row],[Tabela 2]]*1.15</f>
        <v>212.1057902821307</v>
      </c>
    </row>
    <row r="647" spans="1:42">
      <c r="A647" s="9">
        <v>45916</v>
      </c>
      <c r="B647" s="6" t="s">
        <v>265</v>
      </c>
      <c r="C647" s="14">
        <v>7906</v>
      </c>
      <c r="D647" s="6" t="s">
        <v>44</v>
      </c>
      <c r="E647" s="6" t="s">
        <v>47</v>
      </c>
      <c r="F647" s="6">
        <v>6</v>
      </c>
      <c r="G647" s="15">
        <v>3.6111111111111108E-2</v>
      </c>
      <c r="H647" s="16">
        <v>0</v>
      </c>
      <c r="I647" s="35">
        <f ca="1">IFERROR(Tabela3[[#This Row],[Custo Total]]/Tabela3[[#This Row],[Aluminio Util]],0)</f>
        <v>27.942922280355148</v>
      </c>
      <c r="J647" s="35">
        <f ca="1">Tabela3[[#This Row],[Custo Total]]/Tabela3[[#This Row],[Realizado]]</f>
        <v>47.502967876603748</v>
      </c>
      <c r="K647" s="37">
        <f>IFERROR(Tabela3[[#This Row],[Qtde Cx Produzida]]/Tabela3[[#This Row],[Tempo]]/24,0)</f>
        <v>6.9230769230769234</v>
      </c>
      <c r="L647" s="37">
        <f>Tabela3[[#This Row],[Qtde Cx Produzida]]*Tabela3[[#This Row],[Qdt Peça Placa]]</f>
        <v>6</v>
      </c>
      <c r="M647" s="37">
        <f>Tabela3[[#This Row],[Previsto]]-Tabela3[[#This Row],[Perda Pçs]]</f>
        <v>6</v>
      </c>
      <c r="N647" s="38">
        <f>IFERROR(Tabela3[[#This Row],[Perda Pçs]]/Tabela3[[#This Row],[Previsto]],0)</f>
        <v>0</v>
      </c>
      <c r="O647" s="39">
        <f>IFERROR(IF(Tabela3[[#This Row],[Qtde Cx Produzida]] &lt;&gt; 0, Tabela3[[#This Row],[Tempo]] / Tabela3[[#This Row],[Qtde Cx Produzida]], 0),0)</f>
        <v>6.0185185185185177E-3</v>
      </c>
      <c r="P647" s="57">
        <f>IFERROR(Tabela3[[#This Row],[Perda Pçs]]/Tabela3[[#This Row],[Qdt Peça Placa]],0)</f>
        <v>0</v>
      </c>
      <c r="Q647" s="37">
        <f>IFERROR(Tabela3[[#This Row],[Realizado]]*Tabela3[[#This Row],[Peso Util/Pç]],0)</f>
        <v>10.199999999999999</v>
      </c>
      <c r="R647" s="37">
        <f>IFERROR(Tabela3[[#This Row],[Peso Total Galho]]*Tabela3[[#This Row],[Qtde Cx Produzida]]*1.055,0)</f>
        <v>17.091000000000001</v>
      </c>
      <c r="S647" s="37">
        <f>(Tabela3[[#This Row],[Aluminio Bruto]]-Tabela3[[#This Row],[Aluminio Util]])*0.9</f>
        <v>6.201900000000002</v>
      </c>
      <c r="T647" s="37">
        <f>Tabela3[[#This Row],[Aluminio Bruto]]/OleoKGAluminio</f>
        <v>7.1901616015493097</v>
      </c>
      <c r="U647" s="35">
        <f>IFERROR((VLOOKUP(Tabela3[[#This Row],[Moldador]],Tabela1[],5,)+(VLOOKUP(Tabela3[[#This Row],[Ajudante]],Tabela1[],5,))*3.5),0)</f>
        <v>99.95034583333333</v>
      </c>
      <c r="V647" s="35">
        <f>IFERROR(Tabela3[[#This Row],[Custo M.O. / H]]/((Tabela3[[#This Row],[Realizado]]/Tabela3[[#This Row],[Qdt Peça Placa]])/Tabela3[[#This Row],[Tempo]]/24),)</f>
        <v>14.437272175925925</v>
      </c>
      <c r="W647" s="35">
        <f>Tabela3[[#This Row],[Custo / Cx Moldada]]*Tabela3[[#This Row],[Qtde Cx Produzida]]</f>
        <v>86.623633055555544</v>
      </c>
      <c r="X647" s="35">
        <f ca="1">Tabela3[[#This Row],[Aluminio Util]]*Tabela3[[#This Row],[Custo/Kg]]</f>
        <v>179.52</v>
      </c>
      <c r="Y647" s="35">
        <f>IFERROR(VLOOKUP(Tabela3[[#This Row],[Data]],Tabela461213[],2,1)*(Tabela3[[#This Row],[Qtde Cx Produzida]]*Tabela3[[#This Row],[Qde macho / CX]]*Tabela3[[#This Row],[Peso Macho]]),)</f>
        <v>0</v>
      </c>
      <c r="Z647" s="35">
        <f>IFERROR(Tabela3[[#This Row],[Qtde Oleo]]*(VLOOKUP(Tabela3[[#This Row],[Data]],CompraOleo[],3,TRUE))*1.05,0)</f>
        <v>18.874174204066936</v>
      </c>
      <c r="AA647" s="47">
        <f ca="1">(Tabela3[[#This Row],[Custo Oleo]]+Tabela3[[#This Row],[Custo Aluminio]]+Tabela3[[#This Row],[Custo M.O. Total]]+Tabela3[[#This Row],[Custo Machos]])</f>
        <v>285.01780725962249</v>
      </c>
      <c r="AB647" s="47">
        <f ca="1">Tabela3[[#This Row],[Custo Total]]*Tabela3[[#This Row],[% Perda]]</f>
        <v>0</v>
      </c>
      <c r="AC647" s="48">
        <f>IFERROR(VLOOKUP(Tabela3[[#This Row],[Produto]],Tabela2[],2,0),0)</f>
        <v>1</v>
      </c>
      <c r="AD647" s="48">
        <f>IFERROR(VLOOKUP(Tabela3[[#This Row],[Produto]],Tabela2[],3,0),0)</f>
        <v>1.7</v>
      </c>
      <c r="AE647" s="48">
        <f>IFERROR(VLOOKUP(Tabela3[[#This Row],[Produto]],Tabela2[],4,0),0)</f>
        <v>2.7</v>
      </c>
      <c r="AF647" s="48">
        <f>IFERROR(VLOOKUP(Tabela3[[#This Row],[Produto]],Tabela2[],5,0),0)</f>
        <v>0.90000000000000024</v>
      </c>
      <c r="AG647" s="40">
        <f>IFERROR(VLOOKUP(Tabela3[[#This Row],[Produto]],Tabela2[],6,0),0)</f>
        <v>0</v>
      </c>
      <c r="AH647" s="40">
        <f>IFERROR(VLOOKUP(Tabela3[[#This Row],[Produto]],Tabela2[],7,0),0)</f>
        <v>0</v>
      </c>
      <c r="AI647" s="40">
        <f>IFERROR(VLOOKUP(Tabela3[[#This Row],[Produto]],Tabela2[],8,0),0)</f>
        <v>0</v>
      </c>
      <c r="AJ647" s="35">
        <f ca="1">IFERROR(VLOOKUP(Tabela3[[#This Row],[Produto]],Tabela2[],13,0),0)</f>
        <v>17.600000000000001</v>
      </c>
      <c r="AK647" s="40" t="str">
        <f>IFERROR(VLOOKUP(Tabela3[[#This Row],[Produto]],Tabela2[],14,0),0)</f>
        <v>Jumil</v>
      </c>
      <c r="AL647" s="40">
        <f>IFERROR(VLOOKUP(Tabela3[[#This Row],[Produto]],Tabela2[],15,0),0)</f>
        <v>80</v>
      </c>
      <c r="AM647" s="36">
        <f ca="1">(Tabela3[[#This Row],[Custo Usinagem]]+Tabela3[[#This Row],[Custo / Pç]])*1.2</f>
        <v>153.0035614519245</v>
      </c>
      <c r="AN647" s="36">
        <f ca="1">Tabela3[[#This Row],[Valor Mínimo Venda]]*1.15</f>
        <v>175.95409566971315</v>
      </c>
      <c r="AO647" s="36">
        <f ca="1">Tabela3[[#This Row],[Tabela 1]]*1.08</f>
        <v>190.03042332329022</v>
      </c>
      <c r="AP647" s="36">
        <f ca="1">Tabela3[[#This Row],[Tabela 2]]*1.15</f>
        <v>218.53498682178375</v>
      </c>
    </row>
    <row r="648" spans="1:42">
      <c r="A648" s="9">
        <v>45916</v>
      </c>
      <c r="B648" s="6" t="s">
        <v>229</v>
      </c>
      <c r="C648" s="14">
        <v>7925</v>
      </c>
      <c r="D648" s="6" t="s">
        <v>44</v>
      </c>
      <c r="E648" s="6" t="s">
        <v>47</v>
      </c>
      <c r="F648" s="6">
        <v>25</v>
      </c>
      <c r="G648" s="15">
        <v>0.12013888888888889</v>
      </c>
      <c r="H648" s="16">
        <v>0</v>
      </c>
      <c r="I648" s="35">
        <f ca="1">IFERROR(Tabela3[[#This Row],[Custo Total]]/Tabela3[[#This Row],[Aluminio Util]],0)</f>
        <v>21.260014745732246</v>
      </c>
      <c r="J648" s="35">
        <f ca="1">Tabela3[[#This Row],[Custo Total]]/Tabela3[[#This Row],[Realizado]]</f>
        <v>59.272921111101496</v>
      </c>
      <c r="K648" s="37">
        <f>IFERROR(Tabela3[[#This Row],[Qtde Cx Produzida]]/Tabela3[[#This Row],[Tempo]]/24,0)</f>
        <v>8.6705202312138727</v>
      </c>
      <c r="L648" s="37">
        <f>Tabela3[[#This Row],[Qtde Cx Produzida]]*Tabela3[[#This Row],[Qdt Peça Placa]]</f>
        <v>25</v>
      </c>
      <c r="M648" s="37">
        <f>Tabela3[[#This Row],[Previsto]]-Tabela3[[#This Row],[Perda Pçs]]</f>
        <v>25</v>
      </c>
      <c r="N648" s="38">
        <f>IFERROR(Tabela3[[#This Row],[Perda Pçs]]/Tabela3[[#This Row],[Previsto]],0)</f>
        <v>0</v>
      </c>
      <c r="O648" s="39">
        <f>IFERROR(IF(Tabela3[[#This Row],[Qtde Cx Produzida]] &lt;&gt; 0, Tabela3[[#This Row],[Tempo]] / Tabela3[[#This Row],[Qtde Cx Produzida]], 0),0)</f>
        <v>4.805555555555556E-3</v>
      </c>
      <c r="P648" s="57">
        <f>IFERROR(Tabela3[[#This Row],[Perda Pçs]]/Tabela3[[#This Row],[Qdt Peça Placa]],0)</f>
        <v>0</v>
      </c>
      <c r="Q648" s="37">
        <f>IFERROR(Tabela3[[#This Row],[Realizado]]*Tabela3[[#This Row],[Peso Util/Pç]],0)</f>
        <v>69.699999999999989</v>
      </c>
      <c r="R648" s="37">
        <f>IFERROR(Tabela3[[#This Row],[Peso Total Galho]]*Tabela3[[#This Row],[Qtde Cx Produzida]]*1.055,0)</f>
        <v>96.268749999999997</v>
      </c>
      <c r="S648" s="37">
        <f>(Tabela3[[#This Row],[Aluminio Bruto]]-Tabela3[[#This Row],[Aluminio Util]])*0.9</f>
        <v>23.911875000000009</v>
      </c>
      <c r="T648" s="37">
        <f>Tabela3[[#This Row],[Aluminio Bruto]]/OleoKGAluminio</f>
        <v>40.500138650702127</v>
      </c>
      <c r="U648" s="35">
        <f>IFERROR((VLOOKUP(Tabela3[[#This Row],[Moldador]],Tabela1[],5,)+(VLOOKUP(Tabela3[[#This Row],[Ajudante]],Tabela1[],5,))*3.5),0)</f>
        <v>99.95034583333333</v>
      </c>
      <c r="V648" s="35">
        <f>IFERROR(Tabela3[[#This Row],[Custo M.O. / H]]/((Tabela3[[#This Row],[Realizado]]/Tabela3[[#This Row],[Qdt Peça Placa]])/Tabela3[[#This Row],[Tempo]]/24),)</f>
        <v>11.527606552777778</v>
      </c>
      <c r="W648" s="35">
        <f>Tabela3[[#This Row],[Custo / Cx Moldada]]*Tabela3[[#This Row],[Qtde Cx Produzida]]</f>
        <v>288.19016381944442</v>
      </c>
      <c r="X648" s="35">
        <f ca="1">Tabela3[[#This Row],[Aluminio Util]]*Tabela3[[#This Row],[Custo/Kg]]</f>
        <v>1087.32</v>
      </c>
      <c r="Y648" s="35">
        <f>IFERROR(VLOOKUP(Tabela3[[#This Row],[Data]],Tabela461213[],2,1)*(Tabela3[[#This Row],[Qtde Cx Produzida]]*Tabela3[[#This Row],[Qde macho / CX]]*Tabela3[[#This Row],[Peso Macho]]),)</f>
        <v>0</v>
      </c>
      <c r="Z648" s="35">
        <f>IFERROR(Tabela3[[#This Row],[Qtde Oleo]]*(VLOOKUP(Tabela3[[#This Row],[Data]],CompraOleo[],3,TRUE))*1.05,0)</f>
        <v>106.31286395809309</v>
      </c>
      <c r="AA648" s="47">
        <f ca="1">(Tabela3[[#This Row],[Custo Oleo]]+Tabela3[[#This Row],[Custo Aluminio]]+Tabela3[[#This Row],[Custo M.O. Total]]+Tabela3[[#This Row],[Custo Machos]])</f>
        <v>1481.8230277775374</v>
      </c>
      <c r="AB648" s="47">
        <f ca="1">Tabela3[[#This Row],[Custo Total]]*Tabela3[[#This Row],[% Perda]]</f>
        <v>0</v>
      </c>
      <c r="AC648" s="48">
        <f>IFERROR(VLOOKUP(Tabela3[[#This Row],[Produto]],Tabela2[],2,0),0)</f>
        <v>1</v>
      </c>
      <c r="AD648" s="48">
        <f>IFERROR(VLOOKUP(Tabela3[[#This Row],[Produto]],Tabela2[],3,0),0)</f>
        <v>2.7879999999999998</v>
      </c>
      <c r="AE648" s="48">
        <f>IFERROR(VLOOKUP(Tabela3[[#This Row],[Produto]],Tabela2[],4,0),0)</f>
        <v>3.65</v>
      </c>
      <c r="AF648" s="48">
        <f>IFERROR(VLOOKUP(Tabela3[[#This Row],[Produto]],Tabela2[],5,0),0)</f>
        <v>0.77580000000000016</v>
      </c>
      <c r="AG648" s="40">
        <f>IFERROR(VLOOKUP(Tabela3[[#This Row],[Produto]],Tabela2[],6,0),0)</f>
        <v>0</v>
      </c>
      <c r="AH648" s="40">
        <f>IFERROR(VLOOKUP(Tabela3[[#This Row],[Produto]],Tabela2[],7,0),0)</f>
        <v>0</v>
      </c>
      <c r="AI648" s="40">
        <f>IFERROR(VLOOKUP(Tabela3[[#This Row],[Produto]],Tabela2[],8,0),0)</f>
        <v>0</v>
      </c>
      <c r="AJ648" s="35">
        <f ca="1">IFERROR(VLOOKUP(Tabela3[[#This Row],[Produto]],Tabela2[],13,0),0)</f>
        <v>15.600000000000001</v>
      </c>
      <c r="AK648" s="40" t="str">
        <f>IFERROR(VLOOKUP(Tabela3[[#This Row],[Produto]],Tabela2[],14,0),0)</f>
        <v>Jumil</v>
      </c>
      <c r="AL648" s="40">
        <f>IFERROR(VLOOKUP(Tabela3[[#This Row],[Produto]],Tabela2[],15,0),0)</f>
        <v>35</v>
      </c>
      <c r="AM648" s="36">
        <f ca="1">(Tabela3[[#This Row],[Custo Usinagem]]+Tabela3[[#This Row],[Custo / Pç]])*1.2</f>
        <v>113.12750533332179</v>
      </c>
      <c r="AN648" s="36">
        <f ca="1">Tabela3[[#This Row],[Valor Mínimo Venda]]*1.15</f>
        <v>130.09663113332005</v>
      </c>
      <c r="AO648" s="36">
        <f ca="1">Tabela3[[#This Row],[Tabela 1]]*1.08</f>
        <v>140.50436162398566</v>
      </c>
      <c r="AP648" s="36">
        <f ca="1">Tabela3[[#This Row],[Tabela 2]]*1.15</f>
        <v>161.58001586758348</v>
      </c>
    </row>
    <row r="649" spans="1:42">
      <c r="A649" s="9">
        <v>45916</v>
      </c>
      <c r="B649" s="6" t="s">
        <v>167</v>
      </c>
      <c r="C649" s="14">
        <v>7941</v>
      </c>
      <c r="D649" s="6" t="s">
        <v>44</v>
      </c>
      <c r="E649" s="6" t="s">
        <v>47</v>
      </c>
      <c r="F649" s="6">
        <v>1</v>
      </c>
      <c r="G649" s="15">
        <v>1.2500000000000001E-2</v>
      </c>
      <c r="H649" s="16">
        <v>0</v>
      </c>
      <c r="I649" s="35">
        <f ca="1">IFERROR(Tabela3[[#This Row],[Custo Total]]/Tabela3[[#This Row],[Aluminio Util]],0)</f>
        <v>19.426302652946795</v>
      </c>
      <c r="J649" s="35">
        <f ca="1">Tabela3[[#This Row],[Custo Total]]/Tabela3[[#This Row],[Realizado]]</f>
        <v>959.65935105557173</v>
      </c>
      <c r="K649" s="37">
        <f>IFERROR(Tabela3[[#This Row],[Qtde Cx Produzida]]/Tabela3[[#This Row],[Tempo]]/24,0)</f>
        <v>3.3333333333333335</v>
      </c>
      <c r="L649" s="37">
        <f>Tabela3[[#This Row],[Qtde Cx Produzida]]*Tabela3[[#This Row],[Qdt Peça Placa]]</f>
        <v>1</v>
      </c>
      <c r="M649" s="37">
        <f>Tabela3[[#This Row],[Previsto]]-Tabela3[[#This Row],[Perda Pçs]]</f>
        <v>1</v>
      </c>
      <c r="N649" s="38">
        <f>IFERROR(Tabela3[[#This Row],[Perda Pçs]]/Tabela3[[#This Row],[Previsto]],0)</f>
        <v>0</v>
      </c>
      <c r="O649" s="39">
        <f>IFERROR(IF(Tabela3[[#This Row],[Qtde Cx Produzida]] &lt;&gt; 0, Tabela3[[#This Row],[Tempo]] / Tabela3[[#This Row],[Qtde Cx Produzida]], 0),0)</f>
        <v>1.2500000000000001E-2</v>
      </c>
      <c r="P649" s="57">
        <f>IFERROR(Tabela3[[#This Row],[Perda Pçs]]/Tabela3[[#This Row],[Qdt Peça Placa]],0)</f>
        <v>0</v>
      </c>
      <c r="Q649" s="37">
        <f>IFERROR(Tabela3[[#This Row],[Realizado]]*Tabela3[[#This Row],[Peso Util/Pç]],0)</f>
        <v>49.4</v>
      </c>
      <c r="R649" s="37">
        <f>IFERROR(Tabela3[[#This Row],[Peso Total Galho]]*Tabela3[[#This Row],[Qtde Cx Produzida]]*1.055,0)</f>
        <v>54.543500000000002</v>
      </c>
      <c r="S649" s="37">
        <f>(Tabela3[[#This Row],[Aluminio Bruto]]-Tabela3[[#This Row],[Aluminio Util]])*0.9</f>
        <v>4.6291500000000028</v>
      </c>
      <c r="T649" s="37">
        <f>Tabela3[[#This Row],[Aluminio Bruto]]/OleoKGAluminio</f>
        <v>22.946379925932053</v>
      </c>
      <c r="U649" s="35">
        <f>IFERROR((VLOOKUP(Tabela3[[#This Row],[Moldador]],Tabela1[],5,)+(VLOOKUP(Tabela3[[#This Row],[Ajudante]],Tabela1[],5,))*3.5),0)</f>
        <v>99.95034583333333</v>
      </c>
      <c r="V649" s="35">
        <f>IFERROR(Tabela3[[#This Row],[Custo M.O. / H]]/((Tabela3[[#This Row],[Realizado]]/Tabela3[[#This Row],[Qdt Peça Placa]])/Tabela3[[#This Row],[Tempo]]/24),)</f>
        <v>29.985103749999997</v>
      </c>
      <c r="W649" s="35">
        <f>Tabela3[[#This Row],[Custo / Cx Moldada]]*Tabela3[[#This Row],[Qtde Cx Produzida]]</f>
        <v>29.985103749999997</v>
      </c>
      <c r="X649" s="35">
        <f ca="1">Tabela3[[#This Row],[Aluminio Util]]*Tabela3[[#This Row],[Custo/Kg]]</f>
        <v>869.44</v>
      </c>
      <c r="Y649" s="35">
        <f>IFERROR(VLOOKUP(Tabela3[[#This Row],[Data]],Tabela461213[],2,1)*(Tabela3[[#This Row],[Qtde Cx Produzida]]*Tabela3[[#This Row],[Qde macho / CX]]*Tabela3[[#This Row],[Peso Macho]]),)</f>
        <v>0</v>
      </c>
      <c r="Z649" s="35">
        <f>IFERROR(Tabela3[[#This Row],[Qtde Oleo]]*(VLOOKUP(Tabela3[[#This Row],[Data]],CompraOleo[],3,TRUE))*1.05,0)</f>
        <v>60.234247305571643</v>
      </c>
      <c r="AA649" s="47">
        <f ca="1">(Tabela3[[#This Row],[Custo Oleo]]+Tabela3[[#This Row],[Custo Aluminio]]+Tabela3[[#This Row],[Custo M.O. Total]]+Tabela3[[#This Row],[Custo Machos]])</f>
        <v>959.65935105557173</v>
      </c>
      <c r="AB649" s="47">
        <f ca="1">Tabela3[[#This Row],[Custo Total]]*Tabela3[[#This Row],[% Perda]]</f>
        <v>0</v>
      </c>
      <c r="AC649" s="48">
        <f>IFERROR(VLOOKUP(Tabela3[[#This Row],[Produto]],Tabela2[],2,0),0)</f>
        <v>1</v>
      </c>
      <c r="AD649" s="48">
        <f>IFERROR(VLOOKUP(Tabela3[[#This Row],[Produto]],Tabela2[],3,0),0)</f>
        <v>49.4</v>
      </c>
      <c r="AE649" s="48">
        <f>IFERROR(VLOOKUP(Tabela3[[#This Row],[Produto]],Tabela2[],4,0),0)</f>
        <v>51.7</v>
      </c>
      <c r="AF649" s="48">
        <f>IFERROR(VLOOKUP(Tabela3[[#This Row],[Produto]],Tabela2[],5,0),0)</f>
        <v>2.0700000000000038</v>
      </c>
      <c r="AG649" s="40">
        <f>IFERROR(VLOOKUP(Tabela3[[#This Row],[Produto]],Tabela2[],6,0),0)</f>
        <v>0</v>
      </c>
      <c r="AH649" s="40">
        <f>IFERROR(VLOOKUP(Tabela3[[#This Row],[Produto]],Tabela2[],7,0),0)</f>
        <v>0</v>
      </c>
      <c r="AI649" s="40">
        <f>IFERROR(VLOOKUP(Tabela3[[#This Row],[Produto]],Tabela2[],8,0),0)</f>
        <v>0</v>
      </c>
      <c r="AJ649" s="35">
        <f ca="1">IFERROR(VLOOKUP(Tabela3[[#This Row],[Produto]],Tabela2[],13,0),0)</f>
        <v>17.600000000000001</v>
      </c>
      <c r="AK649" s="40" t="str">
        <f>IFERROR(VLOOKUP(Tabela3[[#This Row],[Produto]],Tabela2[],14,0),0)</f>
        <v>Oscar</v>
      </c>
      <c r="AL649" s="40">
        <f>IFERROR(VLOOKUP(Tabela3[[#This Row],[Produto]],Tabela2[],15,0),0)</f>
        <v>0</v>
      </c>
      <c r="AM649" s="36">
        <f ca="1">(Tabela3[[#This Row],[Custo Usinagem]]+Tabela3[[#This Row],[Custo / Pç]])*1.2</f>
        <v>1151.591221266686</v>
      </c>
      <c r="AN649" s="36">
        <f ca="1">Tabela3[[#This Row],[Valor Mínimo Venda]]*1.15</f>
        <v>1324.3299044566888</v>
      </c>
      <c r="AO649" s="36">
        <f ca="1">Tabela3[[#This Row],[Tabela 1]]*1.08</f>
        <v>1430.276296813224</v>
      </c>
      <c r="AP649" s="36">
        <f ca="1">Tabela3[[#This Row],[Tabela 2]]*1.15</f>
        <v>1644.8177413352075</v>
      </c>
    </row>
    <row r="650" spans="1:42">
      <c r="A650" s="9">
        <v>45916</v>
      </c>
      <c r="B650" s="6" t="s">
        <v>254</v>
      </c>
      <c r="C650" s="14">
        <v>7940</v>
      </c>
      <c r="D650" s="6" t="s">
        <v>44</v>
      </c>
      <c r="E650" s="6" t="s">
        <v>47</v>
      </c>
      <c r="F650" s="6">
        <v>5</v>
      </c>
      <c r="G650" s="15">
        <v>2.5000000000000001E-2</v>
      </c>
      <c r="H650" s="16">
        <v>0</v>
      </c>
      <c r="I650" s="35">
        <f ca="1">IFERROR(Tabela3[[#This Row],[Custo Total]]/Tabela3[[#This Row],[Aluminio Util]],0)</f>
        <v>32.957245205953711</v>
      </c>
      <c r="J650" s="35">
        <f ca="1">Tabela3[[#This Row],[Custo Total]]/Tabela3[[#This Row],[Realizado]]</f>
        <v>30.287708344271465</v>
      </c>
      <c r="K650" s="37">
        <f>IFERROR(Tabela3[[#This Row],[Qtde Cx Produzida]]/Tabela3[[#This Row],[Tempo]]/24,0)</f>
        <v>8.3333333333333339</v>
      </c>
      <c r="L650" s="37">
        <f>Tabela3[[#This Row],[Qtde Cx Produzida]]*Tabela3[[#This Row],[Qdt Peça Placa]]</f>
        <v>5</v>
      </c>
      <c r="M650" s="37">
        <f>Tabela3[[#This Row],[Previsto]]-Tabela3[[#This Row],[Perda Pçs]]</f>
        <v>5</v>
      </c>
      <c r="N650" s="38">
        <f>IFERROR(Tabela3[[#This Row],[Perda Pçs]]/Tabela3[[#This Row],[Previsto]],0)</f>
        <v>0</v>
      </c>
      <c r="O650" s="39">
        <f>IFERROR(IF(Tabela3[[#This Row],[Qtde Cx Produzida]] &lt;&gt; 0, Tabela3[[#This Row],[Tempo]] / Tabela3[[#This Row],[Qtde Cx Produzida]], 0),0)</f>
        <v>5.0000000000000001E-3</v>
      </c>
      <c r="P650" s="57">
        <f>IFERROR(Tabela3[[#This Row],[Perda Pçs]]/Tabela3[[#This Row],[Qdt Peça Placa]],0)</f>
        <v>0</v>
      </c>
      <c r="Q650" s="37">
        <f>IFERROR(Tabela3[[#This Row],[Realizado]]*Tabela3[[#This Row],[Peso Util/Pç]],0)</f>
        <v>4.5950000000000006</v>
      </c>
      <c r="R650" s="37">
        <f>IFERROR(Tabela3[[#This Row],[Peso Total Galho]]*Tabela3[[#This Row],[Qtde Cx Produzida]]*1.055,0)</f>
        <v>9.5952249999999975</v>
      </c>
      <c r="S650" s="37">
        <f>(Tabela3[[#This Row],[Aluminio Bruto]]-Tabela3[[#This Row],[Aluminio Util]])*0.9</f>
        <v>4.5002024999999977</v>
      </c>
      <c r="T650" s="37">
        <f>Tabela3[[#This Row],[Aluminio Bruto]]/OleoKGAluminio</f>
        <v>4.0366987509932679</v>
      </c>
      <c r="U650" s="35">
        <f>IFERROR((VLOOKUP(Tabela3[[#This Row],[Moldador]],Tabela1[],5,)+(VLOOKUP(Tabela3[[#This Row],[Ajudante]],Tabela1[],5,))*3.5),0)</f>
        <v>99.95034583333333</v>
      </c>
      <c r="V650" s="35">
        <f>IFERROR(Tabela3[[#This Row],[Custo M.O. / H]]/((Tabela3[[#This Row],[Realizado]]/Tabela3[[#This Row],[Qdt Peça Placa]])/Tabela3[[#This Row],[Tempo]]/24),)</f>
        <v>11.994041499999998</v>
      </c>
      <c r="W650" s="35">
        <f>Tabela3[[#This Row],[Custo / Cx Moldada]]*Tabela3[[#This Row],[Qtde Cx Produzida]]</f>
        <v>59.970207499999987</v>
      </c>
      <c r="X650" s="35">
        <f ca="1">Tabela3[[#This Row],[Aluminio Util]]*Tabela3[[#This Row],[Custo/Kg]]</f>
        <v>80.872000000000014</v>
      </c>
      <c r="Y650" s="35">
        <f>IFERROR(VLOOKUP(Tabela3[[#This Row],[Data]],Tabela461213[],2,1)*(Tabela3[[#This Row],[Qtde Cx Produzida]]*Tabela3[[#This Row],[Qde macho / CX]]*Tabela3[[#This Row],[Peso Macho]]),)</f>
        <v>0</v>
      </c>
      <c r="Z650" s="35">
        <f>IFERROR(Tabela3[[#This Row],[Qtde Oleo]]*(VLOOKUP(Tabela3[[#This Row],[Data]],CompraOleo[],3,TRUE))*1.05,0)</f>
        <v>10.596334221357328</v>
      </c>
      <c r="AA650" s="47">
        <f ca="1">(Tabela3[[#This Row],[Custo Oleo]]+Tabela3[[#This Row],[Custo Aluminio]]+Tabela3[[#This Row],[Custo M.O. Total]]+Tabela3[[#This Row],[Custo Machos]])</f>
        <v>151.43854172135732</v>
      </c>
      <c r="AB650" s="47">
        <f ca="1">Tabela3[[#This Row],[Custo Total]]*Tabela3[[#This Row],[% Perda]]</f>
        <v>0</v>
      </c>
      <c r="AC650" s="48">
        <f>IFERROR(VLOOKUP(Tabela3[[#This Row],[Produto]],Tabela2[],2,0),0)</f>
        <v>1</v>
      </c>
      <c r="AD650" s="48">
        <f>IFERROR(VLOOKUP(Tabela3[[#This Row],[Produto]],Tabela2[],3,0),0)</f>
        <v>0.91900000000000004</v>
      </c>
      <c r="AE650" s="48">
        <f>IFERROR(VLOOKUP(Tabela3[[#This Row],[Produto]],Tabela2[],4,0),0)</f>
        <v>1.819</v>
      </c>
      <c r="AF650" s="48">
        <f>IFERROR(VLOOKUP(Tabela3[[#This Row],[Produto]],Tabela2[],5,0),0)</f>
        <v>0.80999999999999994</v>
      </c>
      <c r="AG650" s="40">
        <f>IFERROR(VLOOKUP(Tabela3[[#This Row],[Produto]],Tabela2[],6,0),0)</f>
        <v>0</v>
      </c>
      <c r="AH650" s="40">
        <f>IFERROR(VLOOKUP(Tabela3[[#This Row],[Produto]],Tabela2[],7,0),0)</f>
        <v>0</v>
      </c>
      <c r="AI650" s="40">
        <f>IFERROR(VLOOKUP(Tabela3[[#This Row],[Produto]],Tabela2[],8,0),0)</f>
        <v>0</v>
      </c>
      <c r="AJ650" s="35">
        <f ca="1">IFERROR(VLOOKUP(Tabela3[[#This Row],[Produto]],Tabela2[],13,0),0)</f>
        <v>17.600000000000001</v>
      </c>
      <c r="AK650" s="40" t="str">
        <f>IFERROR(VLOOKUP(Tabela3[[#This Row],[Produto]],Tabela2[],14,0),0)</f>
        <v>Protec</v>
      </c>
      <c r="AL650" s="40">
        <f>IFERROR(VLOOKUP(Tabela3[[#This Row],[Produto]],Tabela2[],15,0),0)</f>
        <v>0</v>
      </c>
      <c r="AM650" s="36">
        <f ca="1">(Tabela3[[#This Row],[Custo Usinagem]]+Tabela3[[#This Row],[Custo / Pç]])*1.2</f>
        <v>36.345250013125757</v>
      </c>
      <c r="AN650" s="36">
        <f ca="1">Tabela3[[#This Row],[Valor Mínimo Venda]]*1.15</f>
        <v>41.797037515094615</v>
      </c>
      <c r="AO650" s="36">
        <f ca="1">Tabela3[[#This Row],[Tabela 1]]*1.08</f>
        <v>45.140800516302185</v>
      </c>
      <c r="AP650" s="36">
        <f ca="1">Tabela3[[#This Row],[Tabela 2]]*1.15</f>
        <v>51.91192059374751</v>
      </c>
    </row>
    <row r="651" spans="1:42">
      <c r="A651" s="9">
        <v>45916</v>
      </c>
      <c r="B651" s="6" t="s">
        <v>225</v>
      </c>
      <c r="C651" s="14">
        <v>7943</v>
      </c>
      <c r="D651" s="6" t="s">
        <v>44</v>
      </c>
      <c r="E651" s="6" t="s">
        <v>47</v>
      </c>
      <c r="F651" s="6">
        <v>5</v>
      </c>
      <c r="G651" s="15">
        <v>2.9166666666666667E-2</v>
      </c>
      <c r="H651" s="16">
        <v>0</v>
      </c>
      <c r="I651" s="35">
        <f ca="1">IFERROR(Tabela3[[#This Row],[Custo Total]]/Tabela3[[#This Row],[Aluminio Util]],0)</f>
        <v>32.871506974920891</v>
      </c>
      <c r="J651" s="35">
        <f ca="1">Tabela3[[#This Row],[Custo Total]]/Tabela3[[#This Row],[Realizado]]</f>
        <v>7.5604466042318048</v>
      </c>
      <c r="K651" s="37">
        <f>IFERROR(Tabela3[[#This Row],[Qtde Cx Produzida]]/Tabela3[[#This Row],[Tempo]]/24,0)</f>
        <v>7.1428571428571423</v>
      </c>
      <c r="L651" s="37">
        <f>Tabela3[[#This Row],[Qtde Cx Produzida]]*Tabela3[[#This Row],[Qdt Peça Placa]]</f>
        <v>20</v>
      </c>
      <c r="M651" s="37">
        <f>Tabela3[[#This Row],[Previsto]]-Tabela3[[#This Row],[Perda Pçs]]</f>
        <v>20</v>
      </c>
      <c r="N651" s="38">
        <f>IFERROR(Tabela3[[#This Row],[Perda Pçs]]/Tabela3[[#This Row],[Previsto]],0)</f>
        <v>0</v>
      </c>
      <c r="O651" s="39">
        <f>IFERROR(IF(Tabela3[[#This Row],[Qtde Cx Produzida]] &lt;&gt; 0, Tabela3[[#This Row],[Tempo]] / Tabela3[[#This Row],[Qtde Cx Produzida]], 0),0)</f>
        <v>5.8333333333333336E-3</v>
      </c>
      <c r="P651" s="57">
        <f>IFERROR(Tabela3[[#This Row],[Perda Pçs]]/Tabela3[[#This Row],[Qdt Peça Placa]],0)</f>
        <v>0</v>
      </c>
      <c r="Q651" s="37">
        <f>IFERROR(Tabela3[[#This Row],[Realizado]]*Tabela3[[#This Row],[Peso Util/Pç]],0)</f>
        <v>4.6000000000000005</v>
      </c>
      <c r="R651" s="37">
        <f>IFERROR(Tabela3[[#This Row],[Peso Total Galho]]*Tabela3[[#This Row],[Qtde Cx Produzida]]*1.055,0)</f>
        <v>8.5876999999999981</v>
      </c>
      <c r="S651" s="37">
        <f>(Tabela3[[#This Row],[Aluminio Bruto]]-Tabela3[[#This Row],[Aluminio Util]])*0.9</f>
        <v>3.5889299999999977</v>
      </c>
      <c r="T651" s="37">
        <f>Tabela3[[#This Row],[Aluminio Bruto]]/OleoKGAluminio</f>
        <v>3.6128342862105778</v>
      </c>
      <c r="U651" s="35">
        <f>IFERROR((VLOOKUP(Tabela3[[#This Row],[Moldador]],Tabela1[],5,)+(VLOOKUP(Tabela3[[#This Row],[Ajudante]],Tabela1[],5,))*3.5),0)</f>
        <v>99.95034583333333</v>
      </c>
      <c r="V651" s="35">
        <f>IFERROR(Tabela3[[#This Row],[Custo M.O. / H]]/((Tabela3[[#This Row],[Realizado]]/Tabela3[[#This Row],[Qdt Peça Placa]])/Tabela3[[#This Row],[Tempo]]/24),)</f>
        <v>13.993048416666667</v>
      </c>
      <c r="W651" s="35">
        <f>Tabela3[[#This Row],[Custo / Cx Moldada]]*Tabela3[[#This Row],[Qtde Cx Produzida]]</f>
        <v>69.965242083333337</v>
      </c>
      <c r="X651" s="35">
        <f ca="1">Tabela3[[#This Row],[Aluminio Util]]*Tabela3[[#This Row],[Custo/Kg]]</f>
        <v>71.760000000000019</v>
      </c>
      <c r="Y651" s="35">
        <f>IFERROR(VLOOKUP(Tabela3[[#This Row],[Data]],Tabela461213[],2,1)*(Tabela3[[#This Row],[Qtde Cx Produzida]]*Tabela3[[#This Row],[Qde macho / CX]]*Tabela3[[#This Row],[Peso Macho]]),)</f>
        <v>0</v>
      </c>
      <c r="Z651" s="35">
        <f>IFERROR(Tabela3[[#This Row],[Qtde Oleo]]*(VLOOKUP(Tabela3[[#This Row],[Data]],CompraOleo[],3,TRUE))*1.05,0)</f>
        <v>9.483690001302767</v>
      </c>
      <c r="AA651" s="47">
        <f ca="1">(Tabela3[[#This Row],[Custo Oleo]]+Tabela3[[#This Row],[Custo Aluminio]]+Tabela3[[#This Row],[Custo M.O. Total]]+Tabela3[[#This Row],[Custo Machos]])</f>
        <v>151.2089320846361</v>
      </c>
      <c r="AB651" s="47">
        <f ca="1">Tabela3[[#This Row],[Custo Total]]*Tabela3[[#This Row],[% Perda]]</f>
        <v>0</v>
      </c>
      <c r="AC651" s="48">
        <f>IFERROR(VLOOKUP(Tabela3[[#This Row],[Produto]],Tabela2[],2,0),0)</f>
        <v>4</v>
      </c>
      <c r="AD651" s="48">
        <f>IFERROR(VLOOKUP(Tabela3[[#This Row],[Produto]],Tabela2[],3,0),0)</f>
        <v>0.23</v>
      </c>
      <c r="AE651" s="48">
        <f>IFERROR(VLOOKUP(Tabela3[[#This Row],[Produto]],Tabela2[],4,0),0)</f>
        <v>1.6279999999999999</v>
      </c>
      <c r="AF651" s="48">
        <f>IFERROR(VLOOKUP(Tabela3[[#This Row],[Produto]],Tabela2[],5,0),0)</f>
        <v>0.63719999999999988</v>
      </c>
      <c r="AG651" s="40">
        <f>IFERROR(VLOOKUP(Tabela3[[#This Row],[Produto]],Tabela2[],6,0),0)</f>
        <v>0</v>
      </c>
      <c r="AH651" s="40">
        <f>IFERROR(VLOOKUP(Tabela3[[#This Row],[Produto]],Tabela2[],7,0),0)</f>
        <v>0</v>
      </c>
      <c r="AI651" s="40">
        <f>IFERROR(VLOOKUP(Tabela3[[#This Row],[Produto]],Tabela2[],8,0),0)</f>
        <v>0</v>
      </c>
      <c r="AJ651" s="35">
        <f ca="1">IFERROR(VLOOKUP(Tabela3[[#This Row],[Produto]],Tabela2[],13,0),0)</f>
        <v>15.600000000000001</v>
      </c>
      <c r="AK651" s="40" t="str">
        <f>IFERROR(VLOOKUP(Tabela3[[#This Row],[Produto]],Tabela2[],14,0),0)</f>
        <v>Senun</v>
      </c>
      <c r="AL651" s="40">
        <f>IFERROR(VLOOKUP(Tabela3[[#This Row],[Produto]],Tabela2[],15,0),0)</f>
        <v>4</v>
      </c>
      <c r="AM651" s="36">
        <f ca="1">(Tabela3[[#This Row],[Custo Usinagem]]+Tabela3[[#This Row],[Custo / Pç]])*1.2</f>
        <v>13.872535925078166</v>
      </c>
      <c r="AN651" s="36">
        <f ca="1">Tabela3[[#This Row],[Valor Mínimo Venda]]*1.15</f>
        <v>15.95341631383989</v>
      </c>
      <c r="AO651" s="36">
        <f ca="1">Tabela3[[#This Row],[Tabela 1]]*1.08</f>
        <v>17.229689618947081</v>
      </c>
      <c r="AP651" s="36">
        <f ca="1">Tabela3[[#This Row],[Tabela 2]]*1.15</f>
        <v>19.814143061789142</v>
      </c>
    </row>
    <row r="652" spans="1:42">
      <c r="A652" s="9">
        <v>45916</v>
      </c>
      <c r="B652" s="6" t="s">
        <v>265</v>
      </c>
      <c r="C652" s="14">
        <v>7906</v>
      </c>
      <c r="D652" s="6" t="s">
        <v>44</v>
      </c>
      <c r="E652" s="6" t="s">
        <v>47</v>
      </c>
      <c r="F652" s="6">
        <v>10</v>
      </c>
      <c r="G652" s="15">
        <v>6.9444444444444448E-2</v>
      </c>
      <c r="H652" s="16">
        <v>0</v>
      </c>
      <c r="I652" s="35">
        <f ca="1">IFERROR(Tabela3[[#This Row],[Custo Total]]/Tabela3[[#This Row],[Aluminio Util]],0)</f>
        <v>29.249462748764731</v>
      </c>
      <c r="J652" s="35">
        <f ca="1">Tabela3[[#This Row],[Custo Total]]/Tabela3[[#This Row],[Realizado]]</f>
        <v>49.724086672900043</v>
      </c>
      <c r="K652" s="37">
        <f>IFERROR(Tabela3[[#This Row],[Qtde Cx Produzida]]/Tabela3[[#This Row],[Tempo]]/24,0)</f>
        <v>6</v>
      </c>
      <c r="L652" s="37">
        <f>Tabela3[[#This Row],[Qtde Cx Produzida]]*Tabela3[[#This Row],[Qdt Peça Placa]]</f>
        <v>10</v>
      </c>
      <c r="M652" s="37">
        <f>Tabela3[[#This Row],[Previsto]]-Tabela3[[#This Row],[Perda Pçs]]</f>
        <v>10</v>
      </c>
      <c r="N652" s="38">
        <f>IFERROR(Tabela3[[#This Row],[Perda Pçs]]/Tabela3[[#This Row],[Previsto]],0)</f>
        <v>0</v>
      </c>
      <c r="O652" s="39">
        <f>IFERROR(IF(Tabela3[[#This Row],[Qtde Cx Produzida]] &lt;&gt; 0, Tabela3[[#This Row],[Tempo]] / Tabela3[[#This Row],[Qtde Cx Produzida]], 0),0)</f>
        <v>6.9444444444444449E-3</v>
      </c>
      <c r="P652" s="57">
        <f>IFERROR(Tabela3[[#This Row],[Perda Pçs]]/Tabela3[[#This Row],[Qdt Peça Placa]],0)</f>
        <v>0</v>
      </c>
      <c r="Q652" s="37">
        <f>IFERROR(Tabela3[[#This Row],[Realizado]]*Tabela3[[#This Row],[Peso Util/Pç]],0)</f>
        <v>17</v>
      </c>
      <c r="R652" s="37">
        <f>IFERROR(Tabela3[[#This Row],[Peso Total Galho]]*Tabela3[[#This Row],[Qtde Cx Produzida]]*1.055,0)</f>
        <v>28.484999999999999</v>
      </c>
      <c r="S652" s="37">
        <f>(Tabela3[[#This Row],[Aluminio Bruto]]-Tabela3[[#This Row],[Aluminio Util]])*0.9</f>
        <v>10.336499999999999</v>
      </c>
      <c r="T652" s="37">
        <f>Tabela3[[#This Row],[Aluminio Bruto]]/OleoKGAluminio</f>
        <v>11.983602669248848</v>
      </c>
      <c r="U652" s="35">
        <f>IFERROR((VLOOKUP(Tabela3[[#This Row],[Moldador]],Tabela1[],5,)+(VLOOKUP(Tabela3[[#This Row],[Ajudante]],Tabela1[],5,))*3.5),0)</f>
        <v>99.95034583333333</v>
      </c>
      <c r="V652" s="35">
        <f>IFERROR(Tabela3[[#This Row],[Custo M.O. / H]]/((Tabela3[[#This Row],[Realizado]]/Tabela3[[#This Row],[Qdt Peça Placa]])/Tabela3[[#This Row],[Tempo]]/24),)</f>
        <v>16.658390972222222</v>
      </c>
      <c r="W652" s="35">
        <f>Tabela3[[#This Row],[Custo / Cx Moldada]]*Tabela3[[#This Row],[Qtde Cx Produzida]]</f>
        <v>166.58390972222222</v>
      </c>
      <c r="X652" s="35">
        <f ca="1">Tabela3[[#This Row],[Aluminio Util]]*Tabela3[[#This Row],[Custo/Kg]]</f>
        <v>299.20000000000005</v>
      </c>
      <c r="Y652" s="35">
        <f>IFERROR(VLOOKUP(Tabela3[[#This Row],[Data]],Tabela461213[],2,1)*(Tabela3[[#This Row],[Qtde Cx Produzida]]*Tabela3[[#This Row],[Qde macho / CX]]*Tabela3[[#This Row],[Peso Macho]]),)</f>
        <v>0</v>
      </c>
      <c r="Z652" s="35">
        <f>IFERROR(Tabela3[[#This Row],[Qtde Oleo]]*(VLOOKUP(Tabela3[[#This Row],[Data]],CompraOleo[],3,TRUE))*1.05,0)</f>
        <v>31.456957006778225</v>
      </c>
      <c r="AA652" s="47">
        <f ca="1">(Tabela3[[#This Row],[Custo Oleo]]+Tabela3[[#This Row],[Custo Aluminio]]+Tabela3[[#This Row],[Custo M.O. Total]]+Tabela3[[#This Row],[Custo Machos]])</f>
        <v>497.24086672900046</v>
      </c>
      <c r="AB652" s="47">
        <f ca="1">Tabela3[[#This Row],[Custo Total]]*Tabela3[[#This Row],[% Perda]]</f>
        <v>0</v>
      </c>
      <c r="AC652" s="48">
        <f>IFERROR(VLOOKUP(Tabela3[[#This Row],[Produto]],Tabela2[],2,0),0)</f>
        <v>1</v>
      </c>
      <c r="AD652" s="48">
        <f>IFERROR(VLOOKUP(Tabela3[[#This Row],[Produto]],Tabela2[],3,0),0)</f>
        <v>1.7</v>
      </c>
      <c r="AE652" s="48">
        <f>IFERROR(VLOOKUP(Tabela3[[#This Row],[Produto]],Tabela2[],4,0),0)</f>
        <v>2.7</v>
      </c>
      <c r="AF652" s="48">
        <f>IFERROR(VLOOKUP(Tabela3[[#This Row],[Produto]],Tabela2[],5,0),0)</f>
        <v>0.90000000000000024</v>
      </c>
      <c r="AG652" s="40">
        <f>IFERROR(VLOOKUP(Tabela3[[#This Row],[Produto]],Tabela2[],6,0),0)</f>
        <v>0</v>
      </c>
      <c r="AH652" s="40">
        <f>IFERROR(VLOOKUP(Tabela3[[#This Row],[Produto]],Tabela2[],7,0),0)</f>
        <v>0</v>
      </c>
      <c r="AI652" s="40">
        <f>IFERROR(VLOOKUP(Tabela3[[#This Row],[Produto]],Tabela2[],8,0),0)</f>
        <v>0</v>
      </c>
      <c r="AJ652" s="35">
        <f ca="1">IFERROR(VLOOKUP(Tabela3[[#This Row],[Produto]],Tabela2[],13,0),0)</f>
        <v>17.600000000000001</v>
      </c>
      <c r="AK652" s="40" t="str">
        <f>IFERROR(VLOOKUP(Tabela3[[#This Row],[Produto]],Tabela2[],14,0),0)</f>
        <v>Jumil</v>
      </c>
      <c r="AL652" s="40">
        <f>IFERROR(VLOOKUP(Tabela3[[#This Row],[Produto]],Tabela2[],15,0),0)</f>
        <v>80</v>
      </c>
      <c r="AM652" s="36">
        <f ca="1">(Tabela3[[#This Row],[Custo Usinagem]]+Tabela3[[#This Row],[Custo / Pç]])*1.2</f>
        <v>155.66890400748005</v>
      </c>
      <c r="AN652" s="36">
        <f ca="1">Tabela3[[#This Row],[Valor Mínimo Venda]]*1.15</f>
        <v>179.01923960860205</v>
      </c>
      <c r="AO652" s="36">
        <f ca="1">Tabela3[[#This Row],[Tabela 1]]*1.08</f>
        <v>193.34077877729024</v>
      </c>
      <c r="AP652" s="36">
        <f ca="1">Tabela3[[#This Row],[Tabela 2]]*1.15</f>
        <v>222.34189559388375</v>
      </c>
    </row>
    <row r="653" spans="1:42">
      <c r="A653" s="9">
        <v>45917</v>
      </c>
      <c r="B653" s="6" t="s">
        <v>245</v>
      </c>
      <c r="C653" s="14">
        <v>7866</v>
      </c>
      <c r="D653" s="6" t="s">
        <v>46</v>
      </c>
      <c r="E653" s="6" t="s">
        <v>326</v>
      </c>
      <c r="F653" s="6">
        <v>75</v>
      </c>
      <c r="G653" s="15">
        <v>0.36041666666666666</v>
      </c>
      <c r="H653" s="16">
        <v>0</v>
      </c>
      <c r="I653" s="35">
        <f ca="1">IFERROR(Tabela3[[#This Row],[Custo Total]]/Tabela3[[#This Row],[Aluminio Util]],0)</f>
        <v>26.298247937321225</v>
      </c>
      <c r="J653" s="35">
        <f ca="1">Tabela3[[#This Row],[Custo Total]]/Tabela3[[#This Row],[Realizado]]</f>
        <v>8.7310183151906475</v>
      </c>
      <c r="K653" s="37">
        <f>IFERROR(Tabela3[[#This Row],[Qtde Cx Produzida]]/Tabela3[[#This Row],[Tempo]]/24,0)</f>
        <v>8.6705202312138727</v>
      </c>
      <c r="L653" s="37">
        <f>Tabela3[[#This Row],[Qtde Cx Produzida]]*Tabela3[[#This Row],[Qdt Peça Placa]]</f>
        <v>300</v>
      </c>
      <c r="M653" s="37">
        <f>Tabela3[[#This Row],[Previsto]]-Tabela3[[#This Row],[Perda Pçs]]</f>
        <v>300</v>
      </c>
      <c r="N653" s="38">
        <f>IFERROR(Tabela3[[#This Row],[Perda Pçs]]/Tabela3[[#This Row],[Previsto]],0)</f>
        <v>0</v>
      </c>
      <c r="O653" s="39">
        <f>IFERROR(IF(Tabela3[[#This Row],[Qtde Cx Produzida]] &lt;&gt; 0, Tabela3[[#This Row],[Tempo]] / Tabela3[[#This Row],[Qtde Cx Produzida]], 0),0)</f>
        <v>4.8055555555555551E-3</v>
      </c>
      <c r="P653" s="57">
        <f>IFERROR(Tabela3[[#This Row],[Perda Pçs]]/Tabela3[[#This Row],[Qdt Peça Placa]],0)</f>
        <v>0</v>
      </c>
      <c r="Q653" s="37">
        <f>IFERROR(Tabela3[[#This Row],[Realizado]]*Tabela3[[#This Row],[Peso Util/Pç]],0)</f>
        <v>99.600000000000009</v>
      </c>
      <c r="R653" s="37">
        <f>IFERROR(Tabela3[[#This Row],[Peso Total Galho]]*Tabela3[[#This Row],[Qtde Cx Produzida]]*1.055,0)</f>
        <v>181.98749999999998</v>
      </c>
      <c r="S653" s="37">
        <f>(Tabela3[[#This Row],[Aluminio Bruto]]-Tabela3[[#This Row],[Aluminio Util]])*0.9</f>
        <v>74.148749999999978</v>
      </c>
      <c r="T653" s="37">
        <f>Tabela3[[#This Row],[Aluminio Bruto]]/OleoKGAluminio</f>
        <v>76.561905942423195</v>
      </c>
      <c r="U653" s="35">
        <f>IFERROR((VLOOKUP(Tabela3[[#This Row],[Moldador]],Tabela1[],5,)+(VLOOKUP(Tabela3[[#This Row],[Ajudante]],Tabela1[],5,))*3.5),0)</f>
        <v>99.95034583333333</v>
      </c>
      <c r="V653" s="35">
        <f>IFERROR(Tabela3[[#This Row],[Custo M.O. / H]]/((Tabela3[[#This Row],[Realizado]]/Tabela3[[#This Row],[Qdt Peça Placa]])/Tabela3[[#This Row],[Tempo]]/24),)</f>
        <v>11.527606552777778</v>
      </c>
      <c r="W653" s="35">
        <f>Tabela3[[#This Row],[Custo / Cx Moldada]]*Tabela3[[#This Row],[Qtde Cx Produzida]]</f>
        <v>864.57049145833332</v>
      </c>
      <c r="X653" s="35">
        <f ca="1">Tabela3[[#This Row],[Aluminio Util]]*Tabela3[[#This Row],[Custo/Kg]]</f>
        <v>1553.7600000000002</v>
      </c>
      <c r="Y653" s="35">
        <f>IFERROR(VLOOKUP(Tabela3[[#This Row],[Data]],Tabela461213[],2,1)*(Tabela3[[#This Row],[Qtde Cx Produzida]]*Tabela3[[#This Row],[Qde macho / CX]]*Tabela3[[#This Row],[Peso Macho]]),)</f>
        <v>0</v>
      </c>
      <c r="Z653" s="35">
        <f>IFERROR(Tabela3[[#This Row],[Qtde Oleo]]*(VLOOKUP(Tabela3[[#This Row],[Data]],CompraOleo[],3,TRUE))*1.05,0)</f>
        <v>200.9750030988609</v>
      </c>
      <c r="AA653" s="47">
        <f ca="1">(Tabela3[[#This Row],[Custo Oleo]]+Tabela3[[#This Row],[Custo Aluminio]]+Tabela3[[#This Row],[Custo M.O. Total]]+Tabela3[[#This Row],[Custo Machos]])</f>
        <v>2619.3054945571944</v>
      </c>
      <c r="AB653" s="47">
        <f ca="1">Tabela3[[#This Row],[Custo Total]]*Tabela3[[#This Row],[% Perda]]</f>
        <v>0</v>
      </c>
      <c r="AC653" s="48">
        <f>IFERROR(VLOOKUP(Tabela3[[#This Row],[Produto]],Tabela2[],2,0),0)</f>
        <v>4</v>
      </c>
      <c r="AD653" s="48">
        <f>IFERROR(VLOOKUP(Tabela3[[#This Row],[Produto]],Tabela2[],3,0),0)</f>
        <v>0.33200000000000002</v>
      </c>
      <c r="AE653" s="48">
        <f>IFERROR(VLOOKUP(Tabela3[[#This Row],[Produto]],Tabela2[],4,0),0)</f>
        <v>2.2999999999999998</v>
      </c>
      <c r="AF653" s="48">
        <f>IFERROR(VLOOKUP(Tabela3[[#This Row],[Produto]],Tabela2[],5,0),0)</f>
        <v>0.8747999999999998</v>
      </c>
      <c r="AG653" s="40">
        <f>IFERROR(VLOOKUP(Tabela3[[#This Row],[Produto]],Tabela2[],6,0),0)</f>
        <v>0</v>
      </c>
      <c r="AH653" s="40">
        <f>IFERROR(VLOOKUP(Tabela3[[#This Row],[Produto]],Tabela2[],7,0),0)</f>
        <v>0</v>
      </c>
      <c r="AI653" s="40">
        <f>IFERROR(VLOOKUP(Tabela3[[#This Row],[Produto]],Tabela2[],8,0),0)</f>
        <v>0</v>
      </c>
      <c r="AJ653" s="35">
        <f ca="1">IFERROR(VLOOKUP(Tabela3[[#This Row],[Produto]],Tabela2[],13,0),0)</f>
        <v>15.600000000000001</v>
      </c>
      <c r="AK653" s="40" t="str">
        <f>IFERROR(VLOOKUP(Tabela3[[#This Row],[Produto]],Tabela2[],14,0),0)</f>
        <v>Senun</v>
      </c>
      <c r="AL653" s="40">
        <f>IFERROR(VLOOKUP(Tabela3[[#This Row],[Produto]],Tabela2[],15,0),0)</f>
        <v>3.5</v>
      </c>
      <c r="AM653" s="36">
        <f ca="1">(Tabela3[[#This Row],[Custo Usinagem]]+Tabela3[[#This Row],[Custo / Pç]])*1.2</f>
        <v>14.677221978228776</v>
      </c>
      <c r="AN653" s="36">
        <f ca="1">Tabela3[[#This Row],[Valor Mínimo Venda]]*1.15</f>
        <v>16.878805274963092</v>
      </c>
      <c r="AO653" s="36">
        <f ca="1">Tabela3[[#This Row],[Tabela 1]]*1.08</f>
        <v>18.22910969696014</v>
      </c>
      <c r="AP653" s="36">
        <f ca="1">Tabela3[[#This Row],[Tabela 2]]*1.15</f>
        <v>20.96347615150416</v>
      </c>
    </row>
    <row r="654" spans="1:42">
      <c r="A654" s="9">
        <v>45917</v>
      </c>
      <c r="B654" s="6" t="s">
        <v>265</v>
      </c>
      <c r="C654" s="14">
        <v>7906</v>
      </c>
      <c r="D654" s="6" t="s">
        <v>44</v>
      </c>
      <c r="E654" s="6" t="s">
        <v>47</v>
      </c>
      <c r="F654" s="6">
        <v>19</v>
      </c>
      <c r="G654" s="15">
        <v>0.12083333333333333</v>
      </c>
      <c r="H654" s="16">
        <v>0</v>
      </c>
      <c r="I654" s="35">
        <f ca="1">IFERROR(Tabela3[[#This Row],[Custo Total]]/Tabela3[[#This Row],[Aluminio Util]],0)</f>
        <v>28.424279295032363</v>
      </c>
      <c r="J654" s="35">
        <f ca="1">Tabela3[[#This Row],[Custo Total]]/Tabela3[[#This Row],[Realizado]]</f>
        <v>48.321274801555013</v>
      </c>
      <c r="K654" s="37">
        <f>IFERROR(Tabela3[[#This Row],[Qtde Cx Produzida]]/Tabela3[[#This Row],[Tempo]]/24,0)</f>
        <v>6.5517241379310347</v>
      </c>
      <c r="L654" s="37">
        <f>Tabela3[[#This Row],[Qtde Cx Produzida]]*Tabela3[[#This Row],[Qdt Peça Placa]]</f>
        <v>19</v>
      </c>
      <c r="M654" s="37">
        <f>Tabela3[[#This Row],[Previsto]]-Tabela3[[#This Row],[Perda Pçs]]</f>
        <v>19</v>
      </c>
      <c r="N654" s="38">
        <f>IFERROR(Tabela3[[#This Row],[Perda Pçs]]/Tabela3[[#This Row],[Previsto]],0)</f>
        <v>0</v>
      </c>
      <c r="O654" s="39">
        <f>IFERROR(IF(Tabela3[[#This Row],[Qtde Cx Produzida]] &lt;&gt; 0, Tabela3[[#This Row],[Tempo]] / Tabela3[[#This Row],[Qtde Cx Produzida]], 0),0)</f>
        <v>6.3596491228070174E-3</v>
      </c>
      <c r="P654" s="57">
        <f>IFERROR(Tabela3[[#This Row],[Perda Pçs]]/Tabela3[[#This Row],[Qdt Peça Placa]],0)</f>
        <v>0</v>
      </c>
      <c r="Q654" s="37">
        <f>IFERROR(Tabela3[[#This Row],[Realizado]]*Tabela3[[#This Row],[Peso Util/Pç]],0)</f>
        <v>32.299999999999997</v>
      </c>
      <c r="R654" s="37">
        <f>IFERROR(Tabela3[[#This Row],[Peso Total Galho]]*Tabela3[[#This Row],[Qtde Cx Produzida]]*1.055,0)</f>
        <v>54.121500000000005</v>
      </c>
      <c r="S654" s="37">
        <f>(Tabela3[[#This Row],[Aluminio Bruto]]-Tabela3[[#This Row],[Aluminio Util]])*0.9</f>
        <v>19.639350000000007</v>
      </c>
      <c r="T654" s="37">
        <f>Tabela3[[#This Row],[Aluminio Bruto]]/OleoKGAluminio</f>
        <v>22.768845071572812</v>
      </c>
      <c r="U654" s="35">
        <f>IFERROR((VLOOKUP(Tabela3[[#This Row],[Moldador]],Tabela1[],5,)+(VLOOKUP(Tabela3[[#This Row],[Ajudante]],Tabela1[],5,))*3.5),0)</f>
        <v>99.95034583333333</v>
      </c>
      <c r="V654" s="35">
        <f>IFERROR(Tabela3[[#This Row],[Custo M.O. / H]]/((Tabela3[[#This Row],[Realizado]]/Tabela3[[#This Row],[Qdt Peça Placa]])/Tabela3[[#This Row],[Tempo]]/24),)</f>
        <v>15.255579100877192</v>
      </c>
      <c r="W654" s="35">
        <f>Tabela3[[#This Row],[Custo / Cx Moldada]]*Tabela3[[#This Row],[Qtde Cx Produzida]]</f>
        <v>289.85600291666663</v>
      </c>
      <c r="X654" s="35">
        <f ca="1">Tabela3[[#This Row],[Aluminio Util]]*Tabela3[[#This Row],[Custo/Kg]]</f>
        <v>568.48</v>
      </c>
      <c r="Y654" s="35">
        <f>IFERROR(VLOOKUP(Tabela3[[#This Row],[Data]],Tabela461213[],2,1)*(Tabela3[[#This Row],[Qtde Cx Produzida]]*Tabela3[[#This Row],[Qde macho / CX]]*Tabela3[[#This Row],[Peso Macho]]),)</f>
        <v>0</v>
      </c>
      <c r="Z654" s="35">
        <f>IFERROR(Tabela3[[#This Row],[Qtde Oleo]]*(VLOOKUP(Tabela3[[#This Row],[Data]],CompraOleo[],3,TRUE))*1.05,0)</f>
        <v>59.768218312878638</v>
      </c>
      <c r="AA654" s="47">
        <f ca="1">(Tabela3[[#This Row],[Custo Oleo]]+Tabela3[[#This Row],[Custo Aluminio]]+Tabela3[[#This Row],[Custo M.O. Total]]+Tabela3[[#This Row],[Custo Machos]])</f>
        <v>918.10422122954526</v>
      </c>
      <c r="AB654" s="47">
        <f ca="1">Tabela3[[#This Row],[Custo Total]]*Tabela3[[#This Row],[% Perda]]</f>
        <v>0</v>
      </c>
      <c r="AC654" s="48">
        <f>IFERROR(VLOOKUP(Tabela3[[#This Row],[Produto]],Tabela2[],2,0),0)</f>
        <v>1</v>
      </c>
      <c r="AD654" s="48">
        <f>IFERROR(VLOOKUP(Tabela3[[#This Row],[Produto]],Tabela2[],3,0),0)</f>
        <v>1.7</v>
      </c>
      <c r="AE654" s="48">
        <f>IFERROR(VLOOKUP(Tabela3[[#This Row],[Produto]],Tabela2[],4,0),0)</f>
        <v>2.7</v>
      </c>
      <c r="AF654" s="48">
        <f>IFERROR(VLOOKUP(Tabela3[[#This Row],[Produto]],Tabela2[],5,0),0)</f>
        <v>0.90000000000000024</v>
      </c>
      <c r="AG654" s="40">
        <f>IFERROR(VLOOKUP(Tabela3[[#This Row],[Produto]],Tabela2[],6,0),0)</f>
        <v>0</v>
      </c>
      <c r="AH654" s="40">
        <f>IFERROR(VLOOKUP(Tabela3[[#This Row],[Produto]],Tabela2[],7,0),0)</f>
        <v>0</v>
      </c>
      <c r="AI654" s="40">
        <f>IFERROR(VLOOKUP(Tabela3[[#This Row],[Produto]],Tabela2[],8,0),0)</f>
        <v>0</v>
      </c>
      <c r="AJ654" s="35">
        <f ca="1">IFERROR(VLOOKUP(Tabela3[[#This Row],[Produto]],Tabela2[],13,0),0)</f>
        <v>17.600000000000001</v>
      </c>
      <c r="AK654" s="40" t="str">
        <f>IFERROR(VLOOKUP(Tabela3[[#This Row],[Produto]],Tabela2[],14,0),0)</f>
        <v>Jumil</v>
      </c>
      <c r="AL654" s="40">
        <f>IFERROR(VLOOKUP(Tabela3[[#This Row],[Produto]],Tabela2[],15,0),0)</f>
        <v>80</v>
      </c>
      <c r="AM654" s="36">
        <f ca="1">(Tabela3[[#This Row],[Custo Usinagem]]+Tabela3[[#This Row],[Custo / Pç]])*1.2</f>
        <v>153.98552976186599</v>
      </c>
      <c r="AN654" s="36">
        <f ca="1">Tabela3[[#This Row],[Valor Mínimo Venda]]*1.15</f>
        <v>177.08335922614589</v>
      </c>
      <c r="AO654" s="36">
        <f ca="1">Tabela3[[#This Row],[Tabela 1]]*1.08</f>
        <v>191.25002796423757</v>
      </c>
      <c r="AP654" s="36">
        <f ca="1">Tabela3[[#This Row],[Tabela 2]]*1.15</f>
        <v>219.93753215887318</v>
      </c>
    </row>
    <row r="655" spans="1:42">
      <c r="A655" s="9">
        <v>45917</v>
      </c>
      <c r="B655" s="6" t="s">
        <v>281</v>
      </c>
      <c r="C655" s="14">
        <v>7926</v>
      </c>
      <c r="D655" s="6" t="s">
        <v>44</v>
      </c>
      <c r="E655" s="6" t="s">
        <v>47</v>
      </c>
      <c r="F655" s="6">
        <v>10</v>
      </c>
      <c r="G655" s="15">
        <v>6.1805555555555558E-2</v>
      </c>
      <c r="H655" s="16">
        <v>0</v>
      </c>
      <c r="I655" s="35">
        <f ca="1">IFERROR(Tabela3[[#This Row],[Custo Total]]/Tabela3[[#This Row],[Aluminio Util]],0)</f>
        <v>41.015251675464654</v>
      </c>
      <c r="J655" s="35">
        <f ca="1">Tabela3[[#This Row],[Custo Total]]/Tabela3[[#This Row],[Realizado]]</f>
        <v>1.3535033052903336</v>
      </c>
      <c r="K655" s="37">
        <f>IFERROR(Tabela3[[#This Row],[Qtde Cx Produzida]]/Tabela3[[#This Row],[Tempo]]/24,0)</f>
        <v>6.7415730337078648</v>
      </c>
      <c r="L655" s="37">
        <f>Tabela3[[#This Row],[Qtde Cx Produzida]]*Tabela3[[#This Row],[Qdt Peça Placa]]</f>
        <v>240</v>
      </c>
      <c r="M655" s="37">
        <f>Tabela3[[#This Row],[Previsto]]-Tabela3[[#This Row],[Perda Pçs]]</f>
        <v>240</v>
      </c>
      <c r="N655" s="38">
        <f>IFERROR(Tabela3[[#This Row],[Perda Pçs]]/Tabela3[[#This Row],[Previsto]],0)</f>
        <v>0</v>
      </c>
      <c r="O655" s="39">
        <f>IFERROR(IF(Tabela3[[#This Row],[Qtde Cx Produzida]] &lt;&gt; 0, Tabela3[[#This Row],[Tempo]] / Tabela3[[#This Row],[Qtde Cx Produzida]], 0),0)</f>
        <v>6.1805555555555555E-3</v>
      </c>
      <c r="P655" s="57">
        <f>IFERROR(Tabela3[[#This Row],[Perda Pçs]]/Tabela3[[#This Row],[Qdt Peça Placa]],0)</f>
        <v>0</v>
      </c>
      <c r="Q655" s="37">
        <f>IFERROR(Tabela3[[#This Row],[Realizado]]*Tabela3[[#This Row],[Peso Util/Pç]],0)</f>
        <v>7.92</v>
      </c>
      <c r="R655" s="37">
        <f>IFERROR(Tabela3[[#This Row],[Peso Total Galho]]*Tabela3[[#This Row],[Qtde Cx Produzida]]*1.055,0)</f>
        <v>33.675600000000003</v>
      </c>
      <c r="S655" s="37">
        <f>(Tabela3[[#This Row],[Aluminio Bruto]]-Tabela3[[#This Row],[Aluminio Util]])*0.9</f>
        <v>23.180040000000002</v>
      </c>
      <c r="T655" s="37">
        <f>Tabela3[[#This Row],[Aluminio Bruto]]/OleoKGAluminio</f>
        <v>14.167281377867528</v>
      </c>
      <c r="U655" s="35">
        <f>IFERROR((VLOOKUP(Tabela3[[#This Row],[Moldador]],Tabela1[],5,)+(VLOOKUP(Tabela3[[#This Row],[Ajudante]],Tabela1[],5,))*3.5),0)</f>
        <v>99.95034583333333</v>
      </c>
      <c r="V655" s="35">
        <f>IFERROR(Tabela3[[#This Row],[Custo M.O. / H]]/((Tabela3[[#This Row],[Realizado]]/Tabela3[[#This Row],[Qdt Peça Placa]])/Tabela3[[#This Row],[Tempo]]/24),)</f>
        <v>14.825967965277778</v>
      </c>
      <c r="W655" s="35">
        <f>Tabela3[[#This Row],[Custo / Cx Moldada]]*Tabela3[[#This Row],[Qtde Cx Produzida]]</f>
        <v>148.25967965277778</v>
      </c>
      <c r="X655" s="35">
        <f ca="1">Tabela3[[#This Row],[Aluminio Util]]*Tabela3[[#This Row],[Custo/Kg]]</f>
        <v>139.392</v>
      </c>
      <c r="Y655" s="35">
        <f>IFERROR(VLOOKUP(Tabela3[[#This Row],[Data]],Tabela461213[],2,1)*(Tabela3[[#This Row],[Qtde Cx Produzida]]*Tabela3[[#This Row],[Qde macho / CX]]*Tabela3[[#This Row],[Peso Macho]]),)</f>
        <v>0</v>
      </c>
      <c r="Z655" s="35">
        <f>IFERROR(Tabela3[[#This Row],[Qtde Oleo]]*(VLOOKUP(Tabela3[[#This Row],[Data]],CompraOleo[],3,TRUE))*1.05,0)</f>
        <v>37.189113616902262</v>
      </c>
      <c r="AA655" s="47">
        <f ca="1">(Tabela3[[#This Row],[Custo Oleo]]+Tabela3[[#This Row],[Custo Aluminio]]+Tabela3[[#This Row],[Custo M.O. Total]]+Tabela3[[#This Row],[Custo Machos]])</f>
        <v>324.84079326968003</v>
      </c>
      <c r="AB655" s="47">
        <f ca="1">Tabela3[[#This Row],[Custo Total]]*Tabela3[[#This Row],[% Perda]]</f>
        <v>0</v>
      </c>
      <c r="AC655" s="48">
        <f>IFERROR(VLOOKUP(Tabela3[[#This Row],[Produto]],Tabela2[],2,0),0)</f>
        <v>24</v>
      </c>
      <c r="AD655" s="48">
        <f>IFERROR(VLOOKUP(Tabela3[[#This Row],[Produto]],Tabela2[],3,0),0)</f>
        <v>3.3000000000000002E-2</v>
      </c>
      <c r="AE655" s="48">
        <f>IFERROR(VLOOKUP(Tabela3[[#This Row],[Produto]],Tabela2[],4,0),0)</f>
        <v>3.1920000000000002</v>
      </c>
      <c r="AF655" s="48">
        <f>IFERROR(VLOOKUP(Tabela3[[#This Row],[Produto]],Tabela2[],5,0),0)</f>
        <v>2.1600000000000006</v>
      </c>
      <c r="AG655" s="40">
        <f>IFERROR(VLOOKUP(Tabela3[[#This Row],[Produto]],Tabela2[],6,0),0)</f>
        <v>0</v>
      </c>
      <c r="AH655" s="40">
        <f>IFERROR(VLOOKUP(Tabela3[[#This Row],[Produto]],Tabela2[],7,0),0)</f>
        <v>0</v>
      </c>
      <c r="AI655" s="40">
        <f>IFERROR(VLOOKUP(Tabela3[[#This Row],[Produto]],Tabela2[],8,0),0)</f>
        <v>0</v>
      </c>
      <c r="AJ655" s="35">
        <f ca="1">IFERROR(VLOOKUP(Tabela3[[#This Row],[Produto]],Tabela2[],13,0),0)</f>
        <v>17.600000000000001</v>
      </c>
      <c r="AK655" s="40" t="str">
        <f>IFERROR(VLOOKUP(Tabela3[[#This Row],[Produto]],Tabela2[],14,0),0)</f>
        <v>Oscar</v>
      </c>
      <c r="AL655" s="40">
        <f>IFERROR(VLOOKUP(Tabela3[[#This Row],[Produto]],Tabela2[],15,0),0)</f>
        <v>0</v>
      </c>
      <c r="AM655" s="36">
        <f ca="1">(Tabela3[[#This Row],[Custo Usinagem]]+Tabela3[[#This Row],[Custo / Pç]])*1.2</f>
        <v>1.6242039663484003</v>
      </c>
      <c r="AN655" s="36">
        <f ca="1">Tabela3[[#This Row],[Valor Mínimo Venda]]*1.15</f>
        <v>1.8678345613006602</v>
      </c>
      <c r="AO655" s="36">
        <f ca="1">Tabela3[[#This Row],[Tabela 1]]*1.08</f>
        <v>2.017261326204713</v>
      </c>
      <c r="AP655" s="36">
        <f ca="1">Tabela3[[#This Row],[Tabela 2]]*1.15</f>
        <v>2.3198505251354198</v>
      </c>
    </row>
    <row r="656" spans="1:42">
      <c r="A656" s="9">
        <v>45917</v>
      </c>
      <c r="B656" s="6" t="s">
        <v>225</v>
      </c>
      <c r="C656" s="14">
        <v>7943</v>
      </c>
      <c r="D656" s="6" t="s">
        <v>44</v>
      </c>
      <c r="E656" s="6" t="s">
        <v>47</v>
      </c>
      <c r="F656" s="6">
        <v>11</v>
      </c>
      <c r="G656" s="15">
        <v>5.1388888888888887E-2</v>
      </c>
      <c r="H656" s="16">
        <v>0</v>
      </c>
      <c r="I656" s="35">
        <f ca="1">IFERROR(Tabela3[[#This Row],[Custo Total]]/Tabela3[[#This Row],[Aluminio Util]],0)</f>
        <v>29.842708616335035</v>
      </c>
      <c r="J656" s="35">
        <f ca="1">Tabela3[[#This Row],[Custo Total]]/Tabela3[[#This Row],[Realizado]]</f>
        <v>6.8638229817570586</v>
      </c>
      <c r="K656" s="37">
        <f>IFERROR(Tabela3[[#This Row],[Qtde Cx Produzida]]/Tabela3[[#This Row],[Tempo]]/24,0)</f>
        <v>8.9189189189189193</v>
      </c>
      <c r="L656" s="37">
        <f>Tabela3[[#This Row],[Qtde Cx Produzida]]*Tabela3[[#This Row],[Qdt Peça Placa]]</f>
        <v>44</v>
      </c>
      <c r="M656" s="37">
        <f>Tabela3[[#This Row],[Previsto]]-Tabela3[[#This Row],[Perda Pçs]]</f>
        <v>44</v>
      </c>
      <c r="N656" s="38">
        <f>IFERROR(Tabela3[[#This Row],[Perda Pçs]]/Tabela3[[#This Row],[Previsto]],0)</f>
        <v>0</v>
      </c>
      <c r="O656" s="39">
        <f>IFERROR(IF(Tabela3[[#This Row],[Qtde Cx Produzida]] &lt;&gt; 0, Tabela3[[#This Row],[Tempo]] / Tabela3[[#This Row],[Qtde Cx Produzida]], 0),0)</f>
        <v>4.6717171717171714E-3</v>
      </c>
      <c r="P656" s="57">
        <f>IFERROR(Tabela3[[#This Row],[Perda Pçs]]/Tabela3[[#This Row],[Qdt Peça Placa]],0)</f>
        <v>0</v>
      </c>
      <c r="Q656" s="37">
        <f>IFERROR(Tabela3[[#This Row],[Realizado]]*Tabela3[[#This Row],[Peso Util/Pç]],0)</f>
        <v>10.120000000000001</v>
      </c>
      <c r="R656" s="37">
        <f>IFERROR(Tabela3[[#This Row],[Peso Total Galho]]*Tabela3[[#This Row],[Qtde Cx Produzida]]*1.055,0)</f>
        <v>18.892939999999996</v>
      </c>
      <c r="S656" s="37">
        <f>(Tabela3[[#This Row],[Aluminio Bruto]]-Tabela3[[#This Row],[Aluminio Util]])*0.9</f>
        <v>7.8956459999999957</v>
      </c>
      <c r="T656" s="37">
        <f>Tabela3[[#This Row],[Aluminio Bruto]]/OleoKGAluminio</f>
        <v>7.9482354296632716</v>
      </c>
      <c r="U656" s="35">
        <f>IFERROR((VLOOKUP(Tabela3[[#This Row],[Moldador]],Tabela1[],5,)+(VLOOKUP(Tabela3[[#This Row],[Ajudante]],Tabela1[],5,))*3.5),0)</f>
        <v>99.95034583333333</v>
      </c>
      <c r="V656" s="35">
        <f>IFERROR(Tabela3[[#This Row],[Custo M.O. / H]]/((Tabela3[[#This Row],[Realizado]]/Tabela3[[#This Row],[Qdt Peça Placa]])/Tabela3[[#This Row],[Tempo]]/24),)</f>
        <v>11.206553926767675</v>
      </c>
      <c r="W656" s="35">
        <f>Tabela3[[#This Row],[Custo / Cx Moldada]]*Tabela3[[#This Row],[Qtde Cx Produzida]]</f>
        <v>123.27209319444444</v>
      </c>
      <c r="X656" s="35">
        <f ca="1">Tabela3[[#This Row],[Aluminio Util]]*Tabela3[[#This Row],[Custo/Kg]]</f>
        <v>157.87200000000004</v>
      </c>
      <c r="Y656" s="35">
        <f>IFERROR(VLOOKUP(Tabela3[[#This Row],[Data]],Tabela461213[],2,1)*(Tabela3[[#This Row],[Qtde Cx Produzida]]*Tabela3[[#This Row],[Qde macho / CX]]*Tabela3[[#This Row],[Peso Macho]]),)</f>
        <v>0</v>
      </c>
      <c r="Z656" s="35">
        <f>IFERROR(Tabela3[[#This Row],[Qtde Oleo]]*(VLOOKUP(Tabela3[[#This Row],[Data]],CompraOleo[],3,TRUE))*1.05,0)</f>
        <v>20.864118002866089</v>
      </c>
      <c r="AA656" s="47">
        <f ca="1">(Tabela3[[#This Row],[Custo Oleo]]+Tabela3[[#This Row],[Custo Aluminio]]+Tabela3[[#This Row],[Custo M.O. Total]]+Tabela3[[#This Row],[Custo Machos]])</f>
        <v>302.00821119731057</v>
      </c>
      <c r="AB656" s="47">
        <f ca="1">Tabela3[[#This Row],[Custo Total]]*Tabela3[[#This Row],[% Perda]]</f>
        <v>0</v>
      </c>
      <c r="AC656" s="48">
        <f>IFERROR(VLOOKUP(Tabela3[[#This Row],[Produto]],Tabela2[],2,0),0)</f>
        <v>4</v>
      </c>
      <c r="AD656" s="48">
        <f>IFERROR(VLOOKUP(Tabela3[[#This Row],[Produto]],Tabela2[],3,0),0)</f>
        <v>0.23</v>
      </c>
      <c r="AE656" s="48">
        <f>IFERROR(VLOOKUP(Tabela3[[#This Row],[Produto]],Tabela2[],4,0),0)</f>
        <v>1.6279999999999999</v>
      </c>
      <c r="AF656" s="48">
        <f>IFERROR(VLOOKUP(Tabela3[[#This Row],[Produto]],Tabela2[],5,0),0)</f>
        <v>0.63719999999999988</v>
      </c>
      <c r="AG656" s="40">
        <f>IFERROR(VLOOKUP(Tabela3[[#This Row],[Produto]],Tabela2[],6,0),0)</f>
        <v>0</v>
      </c>
      <c r="AH656" s="40">
        <f>IFERROR(VLOOKUP(Tabela3[[#This Row],[Produto]],Tabela2[],7,0),0)</f>
        <v>0</v>
      </c>
      <c r="AI656" s="40">
        <f>IFERROR(VLOOKUP(Tabela3[[#This Row],[Produto]],Tabela2[],8,0),0)</f>
        <v>0</v>
      </c>
      <c r="AJ656" s="35">
        <f ca="1">IFERROR(VLOOKUP(Tabela3[[#This Row],[Produto]],Tabela2[],13,0),0)</f>
        <v>15.600000000000001</v>
      </c>
      <c r="AK656" s="40" t="str">
        <f>IFERROR(VLOOKUP(Tabela3[[#This Row],[Produto]],Tabela2[],14,0),0)</f>
        <v>Senun</v>
      </c>
      <c r="AL656" s="40">
        <f>IFERROR(VLOOKUP(Tabela3[[#This Row],[Produto]],Tabela2[],15,0),0)</f>
        <v>4</v>
      </c>
      <c r="AM656" s="36">
        <f ca="1">(Tabela3[[#This Row],[Custo Usinagem]]+Tabela3[[#This Row],[Custo / Pç]])*1.2</f>
        <v>13.03658757810847</v>
      </c>
      <c r="AN656" s="36">
        <f ca="1">Tabela3[[#This Row],[Valor Mínimo Venda]]*1.15</f>
        <v>14.99207571482474</v>
      </c>
      <c r="AO656" s="36">
        <f ca="1">Tabela3[[#This Row],[Tabela 1]]*1.08</f>
        <v>16.19144177201072</v>
      </c>
      <c r="AP656" s="36">
        <f ca="1">Tabela3[[#This Row],[Tabela 2]]*1.15</f>
        <v>18.620158037812327</v>
      </c>
    </row>
    <row r="657" spans="1:42">
      <c r="A657" s="9">
        <v>45917</v>
      </c>
      <c r="B657" s="6" t="s">
        <v>155</v>
      </c>
      <c r="C657" s="14">
        <v>7944</v>
      </c>
      <c r="D657" s="6" t="s">
        <v>44</v>
      </c>
      <c r="E657" s="6" t="s">
        <v>47</v>
      </c>
      <c r="F657" s="6">
        <v>13</v>
      </c>
      <c r="G657" s="15">
        <v>5.347222222222222E-2</v>
      </c>
      <c r="H657" s="16">
        <v>0</v>
      </c>
      <c r="I657" s="35">
        <f ca="1">IFERROR(Tabela3[[#This Row],[Custo Total]]/Tabela3[[#This Row],[Aluminio Util]],0)</f>
        <v>27.148679308369317</v>
      </c>
      <c r="J657" s="35">
        <f ca="1">Tabela3[[#This Row],[Custo Total]]/Tabela3[[#This Row],[Realizado]]</f>
        <v>7.0586566201760226</v>
      </c>
      <c r="K657" s="37">
        <f>IFERROR(Tabela3[[#This Row],[Qtde Cx Produzida]]/Tabela3[[#This Row],[Tempo]]/24,0)</f>
        <v>10.129870129870129</v>
      </c>
      <c r="L657" s="37">
        <f>Tabela3[[#This Row],[Qtde Cx Produzida]]*Tabela3[[#This Row],[Qdt Peça Placa]]</f>
        <v>52</v>
      </c>
      <c r="M657" s="37">
        <f>Tabela3[[#This Row],[Previsto]]-Tabela3[[#This Row],[Perda Pçs]]</f>
        <v>52</v>
      </c>
      <c r="N657" s="38">
        <f>IFERROR(Tabela3[[#This Row],[Perda Pçs]]/Tabela3[[#This Row],[Previsto]],0)</f>
        <v>0</v>
      </c>
      <c r="O657" s="39">
        <f>IFERROR(IF(Tabela3[[#This Row],[Qtde Cx Produzida]] &lt;&gt; 0, Tabela3[[#This Row],[Tempo]] / Tabela3[[#This Row],[Qtde Cx Produzida]], 0),0)</f>
        <v>4.1132478632478634E-3</v>
      </c>
      <c r="P657" s="57">
        <f>IFERROR(Tabela3[[#This Row],[Perda Pçs]]/Tabela3[[#This Row],[Qdt Peça Placa]],0)</f>
        <v>0</v>
      </c>
      <c r="Q657" s="37">
        <f>IFERROR(Tabela3[[#This Row],[Realizado]]*Tabela3[[#This Row],[Peso Util/Pç]],0)</f>
        <v>13.52</v>
      </c>
      <c r="R657" s="37">
        <f>IFERROR(Tabela3[[#This Row],[Peso Total Galho]]*Tabela3[[#This Row],[Qtde Cx Produzida]]*1.055,0)</f>
        <v>25.235600000000002</v>
      </c>
      <c r="S657" s="37">
        <f>(Tabela3[[#This Row],[Aluminio Bruto]]-Tabela3[[#This Row],[Aluminio Util]])*0.9</f>
        <v>10.544040000000003</v>
      </c>
      <c r="T657" s="37">
        <f>Tabela3[[#This Row],[Aluminio Bruto]]/OleoKGAluminio</f>
        <v>10.616584290682685</v>
      </c>
      <c r="U657" s="35">
        <f>IFERROR((VLOOKUP(Tabela3[[#This Row],[Moldador]],Tabela1[],5,)+(VLOOKUP(Tabela3[[#This Row],[Ajudante]],Tabela1[],5,))*3.5),0)</f>
        <v>99.95034583333333</v>
      </c>
      <c r="V657" s="35">
        <f>IFERROR(Tabela3[[#This Row],[Custo M.O. / H]]/((Tabela3[[#This Row],[Realizado]]/Tabela3[[#This Row],[Qdt Peça Placa]])/Tabela3[[#This Row],[Tempo]]/24),)</f>
        <v>9.8668931143162393</v>
      </c>
      <c r="W657" s="35">
        <f>Tabela3[[#This Row],[Custo / Cx Moldada]]*Tabela3[[#This Row],[Qtde Cx Produzida]]</f>
        <v>128.26961048611111</v>
      </c>
      <c r="X657" s="35">
        <f ca="1">Tabela3[[#This Row],[Aluminio Util]]*Tabela3[[#This Row],[Custo/Kg]]</f>
        <v>210.91200000000001</v>
      </c>
      <c r="Y657" s="35">
        <f>IFERROR(VLOOKUP(Tabela3[[#This Row],[Data]],Tabela461213[],2,1)*(Tabela3[[#This Row],[Qtde Cx Produzida]]*Tabela3[[#This Row],[Qde macho / CX]]*Tabela3[[#This Row],[Peso Macho]]),)</f>
        <v>0</v>
      </c>
      <c r="Z657" s="35">
        <f>IFERROR(Tabela3[[#This Row],[Qtde Oleo]]*(VLOOKUP(Tabela3[[#This Row],[Data]],CompraOleo[],3,TRUE))*1.05,0)</f>
        <v>27.868533763042045</v>
      </c>
      <c r="AA657" s="47">
        <f ca="1">(Tabela3[[#This Row],[Custo Oleo]]+Tabela3[[#This Row],[Custo Aluminio]]+Tabela3[[#This Row],[Custo M.O. Total]]+Tabela3[[#This Row],[Custo Machos]])</f>
        <v>367.05014424915316</v>
      </c>
      <c r="AB657" s="47">
        <f ca="1">Tabela3[[#This Row],[Custo Total]]*Tabela3[[#This Row],[% Perda]]</f>
        <v>0</v>
      </c>
      <c r="AC657" s="48">
        <f>IFERROR(VLOOKUP(Tabela3[[#This Row],[Produto]],Tabela2[],2,0),0)</f>
        <v>4</v>
      </c>
      <c r="AD657" s="48">
        <f>IFERROR(VLOOKUP(Tabela3[[#This Row],[Produto]],Tabela2[],3,0),0)</f>
        <v>0.26</v>
      </c>
      <c r="AE657" s="48">
        <f>IFERROR(VLOOKUP(Tabela3[[#This Row],[Produto]],Tabela2[],4,0),0)</f>
        <v>1.84</v>
      </c>
      <c r="AF657" s="48">
        <f>IFERROR(VLOOKUP(Tabela3[[#This Row],[Produto]],Tabela2[],5,0),0)</f>
        <v>0.72000000000000008</v>
      </c>
      <c r="AG657" s="40">
        <f>IFERROR(VLOOKUP(Tabela3[[#This Row],[Produto]],Tabela2[],6,0),0)</f>
        <v>0</v>
      </c>
      <c r="AH657" s="40">
        <f>IFERROR(VLOOKUP(Tabela3[[#This Row],[Produto]],Tabela2[],7,0),0)</f>
        <v>0</v>
      </c>
      <c r="AI657" s="40">
        <f>IFERROR(VLOOKUP(Tabela3[[#This Row],[Produto]],Tabela2[],8,0),0)</f>
        <v>0</v>
      </c>
      <c r="AJ657" s="35">
        <f ca="1">IFERROR(VLOOKUP(Tabela3[[#This Row],[Produto]],Tabela2[],13,0),0)</f>
        <v>15.600000000000001</v>
      </c>
      <c r="AK657" s="40" t="str">
        <f>IFERROR(VLOOKUP(Tabela3[[#This Row],[Produto]],Tabela2[],14,0),0)</f>
        <v>Senun</v>
      </c>
      <c r="AL657" s="40">
        <f>IFERROR(VLOOKUP(Tabela3[[#This Row],[Produto]],Tabela2[],15,0),0)</f>
        <v>0</v>
      </c>
      <c r="AM657" s="36">
        <f ca="1">(Tabela3[[#This Row],[Custo Usinagem]]+Tabela3[[#This Row],[Custo / Pç]])*1.2</f>
        <v>8.4703879442112271</v>
      </c>
      <c r="AN657" s="36">
        <f ca="1">Tabela3[[#This Row],[Valor Mínimo Venda]]*1.15</f>
        <v>9.7409461358429112</v>
      </c>
      <c r="AO657" s="36">
        <f ca="1">Tabela3[[#This Row],[Tabela 1]]*1.08</f>
        <v>10.520221826710344</v>
      </c>
      <c r="AP657" s="36">
        <f ca="1">Tabela3[[#This Row],[Tabela 2]]*1.15</f>
        <v>12.098255100716894</v>
      </c>
    </row>
    <row r="658" spans="1:42">
      <c r="A658" s="9">
        <v>45917</v>
      </c>
      <c r="B658" s="6" t="s">
        <v>277</v>
      </c>
      <c r="C658" s="14">
        <v>7945</v>
      </c>
      <c r="D658" s="6" t="s">
        <v>44</v>
      </c>
      <c r="E658" s="6" t="s">
        <v>47</v>
      </c>
      <c r="F658" s="6">
        <v>4</v>
      </c>
      <c r="G658" s="15">
        <v>2.361111111111111E-2</v>
      </c>
      <c r="H658" s="16">
        <v>0</v>
      </c>
      <c r="I658" s="35">
        <f ca="1">IFERROR(Tabela3[[#This Row],[Custo Total]]/Tabela3[[#This Row],[Aluminio Util]],0)</f>
        <v>34.520547832389148</v>
      </c>
      <c r="J658" s="35">
        <f ca="1">Tabela3[[#This Row],[Custo Total]]/Tabela3[[#This Row],[Realizado]]</f>
        <v>4.8328766965344814</v>
      </c>
      <c r="K658" s="37">
        <f>IFERROR(Tabela3[[#This Row],[Qtde Cx Produzida]]/Tabela3[[#This Row],[Tempo]]/24,0)</f>
        <v>7.0588235294117645</v>
      </c>
      <c r="L658" s="37">
        <f>Tabela3[[#This Row],[Qtde Cx Produzida]]*Tabela3[[#This Row],[Qdt Peça Placa]]</f>
        <v>24</v>
      </c>
      <c r="M658" s="37">
        <f>Tabela3[[#This Row],[Previsto]]-Tabela3[[#This Row],[Perda Pçs]]</f>
        <v>24</v>
      </c>
      <c r="N658" s="38">
        <f>IFERROR(Tabela3[[#This Row],[Perda Pçs]]/Tabela3[[#This Row],[Previsto]],0)</f>
        <v>0</v>
      </c>
      <c r="O658" s="39">
        <f>IFERROR(IF(Tabela3[[#This Row],[Qtde Cx Produzida]] &lt;&gt; 0, Tabela3[[#This Row],[Tempo]] / Tabela3[[#This Row],[Qtde Cx Produzida]], 0),0)</f>
        <v>5.9027777777777776E-3</v>
      </c>
      <c r="P658" s="57">
        <f>IFERROR(Tabela3[[#This Row],[Perda Pçs]]/Tabela3[[#This Row],[Qdt Peça Placa]],0)</f>
        <v>0</v>
      </c>
      <c r="Q658" s="37">
        <f>IFERROR(Tabela3[[#This Row],[Realizado]]*Tabela3[[#This Row],[Peso Util/Pç]],0)</f>
        <v>3.3600000000000003</v>
      </c>
      <c r="R658" s="37">
        <f>IFERROR(Tabela3[[#This Row],[Peso Total Galho]]*Tabela3[[#This Row],[Qtde Cx Produzida]]*1.055,0)</f>
        <v>6.2793599999999996</v>
      </c>
      <c r="S658" s="37">
        <f>(Tabela3[[#This Row],[Aluminio Bruto]]-Tabela3[[#This Row],[Aluminio Util]])*0.9</f>
        <v>2.6274239999999995</v>
      </c>
      <c r="T658" s="37">
        <f>Tabela3[[#This Row],[Aluminio Bruto]]/OleoKGAluminio</f>
        <v>2.6417186328655236</v>
      </c>
      <c r="U658" s="35">
        <f>IFERROR((VLOOKUP(Tabela3[[#This Row],[Moldador]],Tabela1[],5,)+(VLOOKUP(Tabela3[[#This Row],[Ajudante]],Tabela1[],5,))*3.5),0)</f>
        <v>99.95034583333333</v>
      </c>
      <c r="V658" s="35">
        <f>IFERROR(Tabela3[[#This Row],[Custo M.O. / H]]/((Tabela3[[#This Row],[Realizado]]/Tabela3[[#This Row],[Qdt Peça Placa]])/Tabela3[[#This Row],[Tempo]]/24),)</f>
        <v>14.159632326388889</v>
      </c>
      <c r="W658" s="35">
        <f>Tabela3[[#This Row],[Custo / Cx Moldada]]*Tabela3[[#This Row],[Qtde Cx Produzida]]</f>
        <v>56.638529305555558</v>
      </c>
      <c r="X658" s="35">
        <f ca="1">Tabela3[[#This Row],[Aluminio Util]]*Tabela3[[#This Row],[Custo/Kg]]</f>
        <v>52.416000000000011</v>
      </c>
      <c r="Y658" s="35">
        <f>IFERROR(VLOOKUP(Tabela3[[#This Row],[Data]],Tabela461213[],2,1)*(Tabela3[[#This Row],[Qtde Cx Produzida]]*Tabela3[[#This Row],[Qde macho / CX]]*Tabela3[[#This Row],[Peso Macho]]),)</f>
        <v>0</v>
      </c>
      <c r="Z658" s="35">
        <f>IFERROR(Tabela3[[#This Row],[Qtde Oleo]]*(VLOOKUP(Tabela3[[#This Row],[Data]],CompraOleo[],3,TRUE))*1.05,0)</f>
        <v>6.9345114112719992</v>
      </c>
      <c r="AA658" s="47">
        <f ca="1">(Tabela3[[#This Row],[Custo Oleo]]+Tabela3[[#This Row],[Custo Aluminio]]+Tabela3[[#This Row],[Custo M.O. Total]]+Tabela3[[#This Row],[Custo Machos]])</f>
        <v>115.98904071682756</v>
      </c>
      <c r="AB658" s="47">
        <f ca="1">Tabela3[[#This Row],[Custo Total]]*Tabela3[[#This Row],[% Perda]]</f>
        <v>0</v>
      </c>
      <c r="AC658" s="48">
        <f>IFERROR(VLOOKUP(Tabela3[[#This Row],[Produto]],Tabela2[],2,0),0)</f>
        <v>6</v>
      </c>
      <c r="AD658" s="48">
        <f>IFERROR(VLOOKUP(Tabela3[[#This Row],[Produto]],Tabela2[],3,0),0)</f>
        <v>0.14000000000000001</v>
      </c>
      <c r="AE658" s="48">
        <f>IFERROR(VLOOKUP(Tabela3[[#This Row],[Produto]],Tabela2[],4,0),0)</f>
        <v>1.488</v>
      </c>
      <c r="AF658" s="48">
        <f>IFERROR(VLOOKUP(Tabela3[[#This Row],[Produto]],Tabela2[],5,0),0)</f>
        <v>0.58319999999999994</v>
      </c>
      <c r="AG658" s="40">
        <f>IFERROR(VLOOKUP(Tabela3[[#This Row],[Produto]],Tabela2[],6,0),0)</f>
        <v>0</v>
      </c>
      <c r="AH658" s="40">
        <f>IFERROR(VLOOKUP(Tabela3[[#This Row],[Produto]],Tabela2[],7,0),0)</f>
        <v>0</v>
      </c>
      <c r="AI658" s="40">
        <f>IFERROR(VLOOKUP(Tabela3[[#This Row],[Produto]],Tabela2[],8,0),0)</f>
        <v>0</v>
      </c>
      <c r="AJ658" s="35">
        <f ca="1">IFERROR(VLOOKUP(Tabela3[[#This Row],[Produto]],Tabela2[],13,0),0)</f>
        <v>15.600000000000001</v>
      </c>
      <c r="AK658" s="40" t="str">
        <f>IFERROR(VLOOKUP(Tabela3[[#This Row],[Produto]],Tabela2[],14,0),0)</f>
        <v>Senun</v>
      </c>
      <c r="AL658" s="40">
        <f>IFERROR(VLOOKUP(Tabela3[[#This Row],[Produto]],Tabela2[],15,0),0)</f>
        <v>0</v>
      </c>
      <c r="AM658" s="36">
        <f ca="1">(Tabela3[[#This Row],[Custo Usinagem]]+Tabela3[[#This Row],[Custo / Pç]])*1.2</f>
        <v>5.7994520358413775</v>
      </c>
      <c r="AN658" s="36">
        <f ca="1">Tabela3[[#This Row],[Valor Mínimo Venda]]*1.15</f>
        <v>6.6693698412175833</v>
      </c>
      <c r="AO658" s="36">
        <f ca="1">Tabela3[[#This Row],[Tabela 1]]*1.08</f>
        <v>7.2029194285149902</v>
      </c>
      <c r="AP658" s="36">
        <f ca="1">Tabela3[[#This Row],[Tabela 2]]*1.15</f>
        <v>8.2833573427922378</v>
      </c>
    </row>
    <row r="659" spans="1:42">
      <c r="A659" s="9">
        <v>45918</v>
      </c>
      <c r="B659" s="6" t="s">
        <v>245</v>
      </c>
      <c r="C659" s="14">
        <v>7866</v>
      </c>
      <c r="D659" s="6" t="s">
        <v>46</v>
      </c>
      <c r="E659" s="6" t="s">
        <v>326</v>
      </c>
      <c r="F659" s="6">
        <v>80</v>
      </c>
      <c r="G659" s="15">
        <v>0.36527777777777776</v>
      </c>
      <c r="H659" s="16">
        <v>0</v>
      </c>
      <c r="I659" s="35">
        <f ca="1">IFERROR(Tabela3[[#This Row],[Custo Total]]/Tabela3[[#This Row],[Aluminio Util]],0)</f>
        <v>25.865481003178402</v>
      </c>
      <c r="J659" s="35">
        <f ca="1">Tabela3[[#This Row],[Custo Total]]/Tabela3[[#This Row],[Realizado]]</f>
        <v>8.587339693055231</v>
      </c>
      <c r="K659" s="37">
        <f>IFERROR(Tabela3[[#This Row],[Qtde Cx Produzida]]/Tabela3[[#This Row],[Tempo]]/24,0)</f>
        <v>9.1254752851711043</v>
      </c>
      <c r="L659" s="37">
        <f>Tabela3[[#This Row],[Qtde Cx Produzida]]*Tabela3[[#This Row],[Qdt Peça Placa]]</f>
        <v>320</v>
      </c>
      <c r="M659" s="37">
        <f>Tabela3[[#This Row],[Previsto]]-Tabela3[[#This Row],[Perda Pçs]]</f>
        <v>320</v>
      </c>
      <c r="N659" s="38">
        <f>IFERROR(Tabela3[[#This Row],[Perda Pçs]]/Tabela3[[#This Row],[Previsto]],0)</f>
        <v>0</v>
      </c>
      <c r="O659" s="39">
        <f>IFERROR(IF(Tabela3[[#This Row],[Qtde Cx Produzida]] &lt;&gt; 0, Tabela3[[#This Row],[Tempo]] / Tabela3[[#This Row],[Qtde Cx Produzida]], 0),0)</f>
        <v>4.5659722222222221E-3</v>
      </c>
      <c r="P659" s="57">
        <f>IFERROR(Tabela3[[#This Row],[Perda Pçs]]/Tabela3[[#This Row],[Qdt Peça Placa]],0)</f>
        <v>0</v>
      </c>
      <c r="Q659" s="37">
        <f>IFERROR(Tabela3[[#This Row],[Realizado]]*Tabela3[[#This Row],[Peso Util/Pç]],0)</f>
        <v>106.24000000000001</v>
      </c>
      <c r="R659" s="37">
        <f>IFERROR(Tabela3[[#This Row],[Peso Total Galho]]*Tabela3[[#This Row],[Qtde Cx Produzida]]*1.055,0)</f>
        <v>194.11999999999998</v>
      </c>
      <c r="S659" s="37">
        <f>(Tabela3[[#This Row],[Aluminio Bruto]]-Tabela3[[#This Row],[Aluminio Util]])*0.9</f>
        <v>79.09199999999997</v>
      </c>
      <c r="T659" s="37">
        <f>Tabela3[[#This Row],[Aluminio Bruto]]/OleoKGAluminio</f>
        <v>81.666033005251393</v>
      </c>
      <c r="U659" s="35">
        <f>IFERROR((VLOOKUP(Tabela3[[#This Row],[Moldador]],Tabela1[],5,)+(VLOOKUP(Tabela3[[#This Row],[Ajudante]],Tabela1[],5,))*3.5),0)</f>
        <v>99.95034583333333</v>
      </c>
      <c r="V659" s="35">
        <f>IFERROR(Tabela3[[#This Row],[Custo M.O. / H]]/((Tabela3[[#This Row],[Realizado]]/Tabela3[[#This Row],[Qdt Peça Placa]])/Tabela3[[#This Row],[Tempo]]/24),)</f>
        <v>10.952892064236108</v>
      </c>
      <c r="W659" s="35">
        <f>Tabela3[[#This Row],[Custo / Cx Moldada]]*Tabela3[[#This Row],[Qtde Cx Produzida]]</f>
        <v>876.23136513888869</v>
      </c>
      <c r="X659" s="35">
        <f ca="1">Tabela3[[#This Row],[Aluminio Util]]*Tabela3[[#This Row],[Custo/Kg]]</f>
        <v>1657.3440000000003</v>
      </c>
      <c r="Y659" s="35">
        <f>IFERROR(VLOOKUP(Tabela3[[#This Row],[Data]],Tabela461213[],2,1)*(Tabela3[[#This Row],[Qtde Cx Produzida]]*Tabela3[[#This Row],[Qde macho / CX]]*Tabela3[[#This Row],[Peso Macho]]),)</f>
        <v>0</v>
      </c>
      <c r="Z659" s="35">
        <f>IFERROR(Tabela3[[#This Row],[Qtde Oleo]]*(VLOOKUP(Tabela3[[#This Row],[Data]],CompraOleo[],3,TRUE))*1.05,0)</f>
        <v>214.37333663878491</v>
      </c>
      <c r="AA659" s="47">
        <f ca="1">(Tabela3[[#This Row],[Custo Oleo]]+Tabela3[[#This Row],[Custo Aluminio]]+Tabela3[[#This Row],[Custo M.O. Total]]+Tabela3[[#This Row],[Custo Machos]])</f>
        <v>2747.9487017776737</v>
      </c>
      <c r="AB659" s="47">
        <f ca="1">Tabela3[[#This Row],[Custo Total]]*Tabela3[[#This Row],[% Perda]]</f>
        <v>0</v>
      </c>
      <c r="AC659" s="48">
        <f>IFERROR(VLOOKUP(Tabela3[[#This Row],[Produto]],Tabela2[],2,0),0)</f>
        <v>4</v>
      </c>
      <c r="AD659" s="48">
        <f>IFERROR(VLOOKUP(Tabela3[[#This Row],[Produto]],Tabela2[],3,0),0)</f>
        <v>0.33200000000000002</v>
      </c>
      <c r="AE659" s="48">
        <f>IFERROR(VLOOKUP(Tabela3[[#This Row],[Produto]],Tabela2[],4,0),0)</f>
        <v>2.2999999999999998</v>
      </c>
      <c r="AF659" s="48">
        <f>IFERROR(VLOOKUP(Tabela3[[#This Row],[Produto]],Tabela2[],5,0),0)</f>
        <v>0.8747999999999998</v>
      </c>
      <c r="AG659" s="40">
        <f>IFERROR(VLOOKUP(Tabela3[[#This Row],[Produto]],Tabela2[],6,0),0)</f>
        <v>0</v>
      </c>
      <c r="AH659" s="40">
        <f>IFERROR(VLOOKUP(Tabela3[[#This Row],[Produto]],Tabela2[],7,0),0)</f>
        <v>0</v>
      </c>
      <c r="AI659" s="40">
        <f>IFERROR(VLOOKUP(Tabela3[[#This Row],[Produto]],Tabela2[],8,0),0)</f>
        <v>0</v>
      </c>
      <c r="AJ659" s="35">
        <f ca="1">IFERROR(VLOOKUP(Tabela3[[#This Row],[Produto]],Tabela2[],13,0),0)</f>
        <v>15.600000000000001</v>
      </c>
      <c r="AK659" s="40" t="str">
        <f>IFERROR(VLOOKUP(Tabela3[[#This Row],[Produto]],Tabela2[],14,0),0)</f>
        <v>Senun</v>
      </c>
      <c r="AL659" s="40">
        <f>IFERROR(VLOOKUP(Tabela3[[#This Row],[Produto]],Tabela2[],15,0),0)</f>
        <v>3.5</v>
      </c>
      <c r="AM659" s="36">
        <f ca="1">(Tabela3[[#This Row],[Custo Usinagem]]+Tabela3[[#This Row],[Custo / Pç]])*1.2</f>
        <v>14.504807631666276</v>
      </c>
      <c r="AN659" s="36">
        <f ca="1">Tabela3[[#This Row],[Valor Mínimo Venda]]*1.15</f>
        <v>16.680528776416217</v>
      </c>
      <c r="AO659" s="36">
        <f ca="1">Tabela3[[#This Row],[Tabela 1]]*1.08</f>
        <v>18.014971078529516</v>
      </c>
      <c r="AP659" s="36">
        <f ca="1">Tabela3[[#This Row],[Tabela 2]]*1.15</f>
        <v>20.717216740308942</v>
      </c>
    </row>
    <row r="660" spans="1:42">
      <c r="A660" s="9">
        <v>45918</v>
      </c>
      <c r="B660" s="6" t="s">
        <v>277</v>
      </c>
      <c r="C660" s="14">
        <v>7945</v>
      </c>
      <c r="D660" s="6" t="s">
        <v>44</v>
      </c>
      <c r="E660" s="6" t="s">
        <v>47</v>
      </c>
      <c r="F660" s="6">
        <v>2</v>
      </c>
      <c r="G660" s="15">
        <v>9.0277777777777769E-3</v>
      </c>
      <c r="H660" s="16">
        <v>0</v>
      </c>
      <c r="I660" s="35">
        <f ca="1">IFERROR(Tabela3[[#This Row],[Custo Total]]/Tabela3[[#This Row],[Aluminio Util]],0)</f>
        <v>30.554264267574339</v>
      </c>
      <c r="J660" s="35">
        <f ca="1">Tabela3[[#This Row],[Custo Total]]/Tabela3[[#This Row],[Realizado]]</f>
        <v>4.2775969974604076</v>
      </c>
      <c r="K660" s="37">
        <f>IFERROR(Tabela3[[#This Row],[Qtde Cx Produzida]]/Tabela3[[#This Row],[Tempo]]/24,0)</f>
        <v>9.2307692307692317</v>
      </c>
      <c r="L660" s="37">
        <f>Tabela3[[#This Row],[Qtde Cx Produzida]]*Tabela3[[#This Row],[Qdt Peça Placa]]</f>
        <v>12</v>
      </c>
      <c r="M660" s="37">
        <f>Tabela3[[#This Row],[Previsto]]-Tabela3[[#This Row],[Perda Pçs]]</f>
        <v>12</v>
      </c>
      <c r="N660" s="38">
        <f>IFERROR(Tabela3[[#This Row],[Perda Pçs]]/Tabela3[[#This Row],[Previsto]],0)</f>
        <v>0</v>
      </c>
      <c r="O660" s="39">
        <f>IFERROR(IF(Tabela3[[#This Row],[Qtde Cx Produzida]] &lt;&gt; 0, Tabela3[[#This Row],[Tempo]] / Tabela3[[#This Row],[Qtde Cx Produzida]], 0),0)</f>
        <v>4.5138888888888885E-3</v>
      </c>
      <c r="P660" s="57">
        <f>IFERROR(Tabela3[[#This Row],[Perda Pçs]]/Tabela3[[#This Row],[Qdt Peça Placa]],0)</f>
        <v>0</v>
      </c>
      <c r="Q660" s="37">
        <f>IFERROR(Tabela3[[#This Row],[Realizado]]*Tabela3[[#This Row],[Peso Util/Pç]],0)</f>
        <v>1.6800000000000002</v>
      </c>
      <c r="R660" s="37">
        <f>IFERROR(Tabela3[[#This Row],[Peso Total Galho]]*Tabela3[[#This Row],[Qtde Cx Produzida]]*1.055,0)</f>
        <v>3.1396799999999998</v>
      </c>
      <c r="S660" s="37">
        <f>(Tabela3[[#This Row],[Aluminio Bruto]]-Tabela3[[#This Row],[Aluminio Util]])*0.9</f>
        <v>1.3137119999999998</v>
      </c>
      <c r="T660" s="37">
        <f>Tabela3[[#This Row],[Aluminio Bruto]]/OleoKGAluminio</f>
        <v>1.3208593164327618</v>
      </c>
      <c r="U660" s="35">
        <f>IFERROR((VLOOKUP(Tabela3[[#This Row],[Moldador]],Tabela1[],5,)+(VLOOKUP(Tabela3[[#This Row],[Ajudante]],Tabela1[],5,))*3.5),0)</f>
        <v>99.95034583333333</v>
      </c>
      <c r="V660" s="35">
        <f>IFERROR(Tabela3[[#This Row],[Custo M.O. / H]]/((Tabela3[[#This Row],[Realizado]]/Tabela3[[#This Row],[Qdt Peça Placa]])/Tabela3[[#This Row],[Tempo]]/24),)</f>
        <v>10.827954131944443</v>
      </c>
      <c r="W660" s="35">
        <f>Tabela3[[#This Row],[Custo / Cx Moldada]]*Tabela3[[#This Row],[Qtde Cx Produzida]]</f>
        <v>21.655908263888886</v>
      </c>
      <c r="X660" s="35">
        <f ca="1">Tabela3[[#This Row],[Aluminio Util]]*Tabela3[[#This Row],[Custo/Kg]]</f>
        <v>26.208000000000006</v>
      </c>
      <c r="Y660" s="35">
        <f>IFERROR(VLOOKUP(Tabela3[[#This Row],[Data]],Tabela461213[],2,1)*(Tabela3[[#This Row],[Qtde Cx Produzida]]*Tabela3[[#This Row],[Qde macho / CX]]*Tabela3[[#This Row],[Peso Macho]]),)</f>
        <v>0</v>
      </c>
      <c r="Z660" s="35">
        <f>IFERROR(Tabela3[[#This Row],[Qtde Oleo]]*(VLOOKUP(Tabela3[[#This Row],[Data]],CompraOleo[],3,TRUE))*1.05,0)</f>
        <v>3.4672557056359996</v>
      </c>
      <c r="AA660" s="47">
        <f ca="1">(Tabela3[[#This Row],[Custo Oleo]]+Tabela3[[#This Row],[Custo Aluminio]]+Tabela3[[#This Row],[Custo M.O. Total]]+Tabela3[[#This Row],[Custo Machos]])</f>
        <v>51.331163969524894</v>
      </c>
      <c r="AB660" s="47">
        <f ca="1">Tabela3[[#This Row],[Custo Total]]*Tabela3[[#This Row],[% Perda]]</f>
        <v>0</v>
      </c>
      <c r="AC660" s="48">
        <f>IFERROR(VLOOKUP(Tabela3[[#This Row],[Produto]],Tabela2[],2,0),0)</f>
        <v>6</v>
      </c>
      <c r="AD660" s="48">
        <f>IFERROR(VLOOKUP(Tabela3[[#This Row],[Produto]],Tabela2[],3,0),0)</f>
        <v>0.14000000000000001</v>
      </c>
      <c r="AE660" s="48">
        <f>IFERROR(VLOOKUP(Tabela3[[#This Row],[Produto]],Tabela2[],4,0),0)</f>
        <v>1.488</v>
      </c>
      <c r="AF660" s="48">
        <f>IFERROR(VLOOKUP(Tabela3[[#This Row],[Produto]],Tabela2[],5,0),0)</f>
        <v>0.58319999999999994</v>
      </c>
      <c r="AG660" s="40">
        <f>IFERROR(VLOOKUP(Tabela3[[#This Row],[Produto]],Tabela2[],6,0),0)</f>
        <v>0</v>
      </c>
      <c r="AH660" s="40">
        <f>IFERROR(VLOOKUP(Tabela3[[#This Row],[Produto]],Tabela2[],7,0),0)</f>
        <v>0</v>
      </c>
      <c r="AI660" s="40">
        <f>IFERROR(VLOOKUP(Tabela3[[#This Row],[Produto]],Tabela2[],8,0),0)</f>
        <v>0</v>
      </c>
      <c r="AJ660" s="35">
        <f ca="1">IFERROR(VLOOKUP(Tabela3[[#This Row],[Produto]],Tabela2[],13,0),0)</f>
        <v>15.600000000000001</v>
      </c>
      <c r="AK660" s="40" t="str">
        <f>IFERROR(VLOOKUP(Tabela3[[#This Row],[Produto]],Tabela2[],14,0),0)</f>
        <v>Senun</v>
      </c>
      <c r="AL660" s="40">
        <f>IFERROR(VLOOKUP(Tabela3[[#This Row],[Produto]],Tabela2[],15,0),0)</f>
        <v>0</v>
      </c>
      <c r="AM660" s="36">
        <f ca="1">(Tabela3[[#This Row],[Custo Usinagem]]+Tabela3[[#This Row],[Custo / Pç]])*1.2</f>
        <v>5.1331163969524889</v>
      </c>
      <c r="AN660" s="36">
        <f ca="1">Tabela3[[#This Row],[Valor Mínimo Venda]]*1.15</f>
        <v>5.9030838564953614</v>
      </c>
      <c r="AO660" s="36">
        <f ca="1">Tabela3[[#This Row],[Tabela 1]]*1.08</f>
        <v>6.3753305650149903</v>
      </c>
      <c r="AP660" s="36">
        <f ca="1">Tabela3[[#This Row],[Tabela 2]]*1.15</f>
        <v>7.3316301497672383</v>
      </c>
    </row>
    <row r="661" spans="1:42">
      <c r="A661" s="9">
        <v>45918</v>
      </c>
      <c r="B661" s="6" t="s">
        <v>125</v>
      </c>
      <c r="C661" s="14">
        <v>7946</v>
      </c>
      <c r="D661" s="6" t="s">
        <v>44</v>
      </c>
      <c r="E661" s="6" t="s">
        <v>47</v>
      </c>
      <c r="F661" s="6">
        <v>19</v>
      </c>
      <c r="G661" s="15">
        <v>8.2638888888888887E-2</v>
      </c>
      <c r="H661" s="16">
        <v>0</v>
      </c>
      <c r="I661" s="35">
        <f ca="1">IFERROR(Tabela3[[#This Row],[Custo Total]]/Tabela3[[#This Row],[Aluminio Util]],0)</f>
        <v>24.66227149251575</v>
      </c>
      <c r="J661" s="35">
        <f ca="1">Tabela3[[#This Row],[Custo Total]]/Tabela3[[#This Row],[Realizado]]</f>
        <v>34.576504632507081</v>
      </c>
      <c r="K661" s="37">
        <f>IFERROR(Tabela3[[#This Row],[Qtde Cx Produzida]]/Tabela3[[#This Row],[Tempo]]/24,0)</f>
        <v>9.579831932773109</v>
      </c>
      <c r="L661" s="37">
        <f>Tabela3[[#This Row],[Qtde Cx Produzida]]*Tabela3[[#This Row],[Qdt Peça Placa]]</f>
        <v>19</v>
      </c>
      <c r="M661" s="37">
        <f>Tabela3[[#This Row],[Previsto]]-Tabela3[[#This Row],[Perda Pçs]]</f>
        <v>19</v>
      </c>
      <c r="N661" s="38">
        <f>IFERROR(Tabela3[[#This Row],[Perda Pçs]]/Tabela3[[#This Row],[Previsto]],0)</f>
        <v>0</v>
      </c>
      <c r="O661" s="39">
        <f>IFERROR(IF(Tabela3[[#This Row],[Qtde Cx Produzida]] &lt;&gt; 0, Tabela3[[#This Row],[Tempo]] / Tabela3[[#This Row],[Qtde Cx Produzida]], 0),0)</f>
        <v>4.3494152046783625E-3</v>
      </c>
      <c r="P661" s="57">
        <f>IFERROR(Tabela3[[#This Row],[Perda Pçs]]/Tabela3[[#This Row],[Qdt Peça Placa]],0)</f>
        <v>0</v>
      </c>
      <c r="Q661" s="37">
        <f>IFERROR(Tabela3[[#This Row],[Realizado]]*Tabela3[[#This Row],[Peso Util/Pç]],0)</f>
        <v>26.637999999999998</v>
      </c>
      <c r="R661" s="37">
        <f>IFERROR(Tabela3[[#This Row],[Peso Total Galho]]*Tabela3[[#This Row],[Qtde Cx Produzida]]*1.055,0)</f>
        <v>39.087749999999993</v>
      </c>
      <c r="S661" s="37">
        <f>(Tabela3[[#This Row],[Aluminio Bruto]]-Tabela3[[#This Row],[Aluminio Util]])*0.9</f>
        <v>11.204774999999996</v>
      </c>
      <c r="T661" s="37">
        <f>Tabela3[[#This Row],[Aluminio Bruto]]/OleoKGAluminio</f>
        <v>16.444165885024805</v>
      </c>
      <c r="U661" s="35">
        <f>IFERROR((VLOOKUP(Tabela3[[#This Row],[Moldador]],Tabela1[],5,)+(VLOOKUP(Tabela3[[#This Row],[Ajudante]],Tabela1[],5,))*3.5),0)</f>
        <v>99.95034583333333</v>
      </c>
      <c r="V661" s="35">
        <f>IFERROR(Tabela3[[#This Row],[Custo M.O. / H]]/((Tabela3[[#This Row],[Realizado]]/Tabela3[[#This Row],[Qdt Peça Placa]])/Tabela3[[#This Row],[Tempo]]/24),)</f>
        <v>10.433413293128655</v>
      </c>
      <c r="W661" s="35">
        <f>Tabela3[[#This Row],[Custo / Cx Moldada]]*Tabela3[[#This Row],[Qtde Cx Produzida]]</f>
        <v>198.23485256944446</v>
      </c>
      <c r="X661" s="35">
        <f ca="1">Tabela3[[#This Row],[Aluminio Util]]*Tabela3[[#This Row],[Custo/Kg]]</f>
        <v>415.55279999999999</v>
      </c>
      <c r="Y661" s="35">
        <f>IFERROR(VLOOKUP(Tabela3[[#This Row],[Data]],Tabela461213[],2,1)*(Tabela3[[#This Row],[Qtde Cx Produzida]]*Tabela3[[#This Row],[Qde macho / CX]]*Tabela3[[#This Row],[Peso Macho]]),)</f>
        <v>0</v>
      </c>
      <c r="Z661" s="35">
        <f>IFERROR(Tabela3[[#This Row],[Qtde Oleo]]*(VLOOKUP(Tabela3[[#This Row],[Data]],CompraOleo[],3,TRUE))*1.05,0)</f>
        <v>43.165935448190112</v>
      </c>
      <c r="AA661" s="47">
        <f ca="1">(Tabela3[[#This Row],[Custo Oleo]]+Tabela3[[#This Row],[Custo Aluminio]]+Tabela3[[#This Row],[Custo M.O. Total]]+Tabela3[[#This Row],[Custo Machos]])</f>
        <v>656.9535880176345</v>
      </c>
      <c r="AB661" s="47">
        <f ca="1">Tabela3[[#This Row],[Custo Total]]*Tabela3[[#This Row],[% Perda]]</f>
        <v>0</v>
      </c>
      <c r="AC661" s="48">
        <f>IFERROR(VLOOKUP(Tabela3[[#This Row],[Produto]],Tabela2[],2,0),0)</f>
        <v>1</v>
      </c>
      <c r="AD661" s="48">
        <f>IFERROR(VLOOKUP(Tabela3[[#This Row],[Produto]],Tabela2[],3,0),0)</f>
        <v>1.4019999999999999</v>
      </c>
      <c r="AE661" s="48">
        <f>IFERROR(VLOOKUP(Tabela3[[#This Row],[Produto]],Tabela2[],4,0),0)</f>
        <v>1.95</v>
      </c>
      <c r="AF661" s="48">
        <f>IFERROR(VLOOKUP(Tabela3[[#This Row],[Produto]],Tabela2[],5,0),0)</f>
        <v>0.49320000000000003</v>
      </c>
      <c r="AG661" s="40">
        <f>IFERROR(VLOOKUP(Tabela3[[#This Row],[Produto]],Tabela2[],6,0),0)</f>
        <v>0</v>
      </c>
      <c r="AH661" s="40">
        <f>IFERROR(VLOOKUP(Tabela3[[#This Row],[Produto]],Tabela2[],7,0),0)</f>
        <v>0</v>
      </c>
      <c r="AI661" s="40">
        <f>IFERROR(VLOOKUP(Tabela3[[#This Row],[Produto]],Tabela2[],8,0),0)</f>
        <v>0</v>
      </c>
      <c r="AJ661" s="35">
        <f ca="1">IFERROR(VLOOKUP(Tabela3[[#This Row],[Produto]],Tabela2[],13,0),0)</f>
        <v>15.600000000000001</v>
      </c>
      <c r="AK661" s="40" t="str">
        <f>IFERROR(VLOOKUP(Tabela3[[#This Row],[Produto]],Tabela2[],14,0),0)</f>
        <v>Senun</v>
      </c>
      <c r="AL661" s="40">
        <f>IFERROR(VLOOKUP(Tabela3[[#This Row],[Produto]],Tabela2[],15,0),0)</f>
        <v>6</v>
      </c>
      <c r="AM661" s="36">
        <f ca="1">(Tabela3[[#This Row],[Custo Usinagem]]+Tabela3[[#This Row],[Custo / Pç]])*1.2</f>
        <v>48.691805559008493</v>
      </c>
      <c r="AN661" s="36">
        <f ca="1">Tabela3[[#This Row],[Valor Mínimo Venda]]*1.15</f>
        <v>55.995576392859761</v>
      </c>
      <c r="AO661" s="36">
        <f ca="1">Tabela3[[#This Row],[Tabela 1]]*1.08</f>
        <v>60.475222504288546</v>
      </c>
      <c r="AP661" s="36">
        <f ca="1">Tabela3[[#This Row],[Tabela 2]]*1.15</f>
        <v>69.546505879931829</v>
      </c>
    </row>
    <row r="662" spans="1:42">
      <c r="A662" s="9">
        <v>45918</v>
      </c>
      <c r="B662" s="6" t="s">
        <v>258</v>
      </c>
      <c r="C662" s="14">
        <v>7947</v>
      </c>
      <c r="D662" s="6" t="s">
        <v>44</v>
      </c>
      <c r="E662" s="6" t="s">
        <v>47</v>
      </c>
      <c r="F662" s="6">
        <v>6</v>
      </c>
      <c r="G662" s="15">
        <v>2.6388888888888889E-2</v>
      </c>
      <c r="H662" s="16">
        <v>0</v>
      </c>
      <c r="I662" s="35">
        <f ca="1">IFERROR(Tabela3[[#This Row],[Custo Total]]/Tabela3[[#This Row],[Aluminio Util]],0)</f>
        <v>25.115576493138619</v>
      </c>
      <c r="J662" s="35">
        <f ca="1">Tabela3[[#This Row],[Custo Total]]/Tabela3[[#This Row],[Realizado]]</f>
        <v>11.929898834240841</v>
      </c>
      <c r="K662" s="37">
        <f>IFERROR(Tabela3[[#This Row],[Qtde Cx Produzida]]/Tabela3[[#This Row],[Tempo]]/24,0)</f>
        <v>9.4736842105263168</v>
      </c>
      <c r="L662" s="37">
        <f>Tabela3[[#This Row],[Qtde Cx Produzida]]*Tabela3[[#This Row],[Qdt Peça Placa]]</f>
        <v>18</v>
      </c>
      <c r="M662" s="37">
        <f>Tabela3[[#This Row],[Previsto]]-Tabela3[[#This Row],[Perda Pçs]]</f>
        <v>18</v>
      </c>
      <c r="N662" s="38">
        <f>IFERROR(Tabela3[[#This Row],[Perda Pçs]]/Tabela3[[#This Row],[Previsto]],0)</f>
        <v>0</v>
      </c>
      <c r="O662" s="39">
        <f>IFERROR(IF(Tabela3[[#This Row],[Qtde Cx Produzida]] &lt;&gt; 0, Tabela3[[#This Row],[Tempo]] / Tabela3[[#This Row],[Qtde Cx Produzida]], 0),0)</f>
        <v>4.3981481481481484E-3</v>
      </c>
      <c r="P662" s="57">
        <f>IFERROR(Tabela3[[#This Row],[Perda Pçs]]/Tabela3[[#This Row],[Qdt Peça Placa]],0)</f>
        <v>0</v>
      </c>
      <c r="Q662" s="37">
        <f>IFERROR(Tabela3[[#This Row],[Realizado]]*Tabela3[[#This Row],[Peso Util/Pç]],0)</f>
        <v>8.5499999999999989</v>
      </c>
      <c r="R662" s="37">
        <f>IFERROR(Tabela3[[#This Row],[Peso Total Galho]]*Tabela3[[#This Row],[Qtde Cx Produzida]]*1.055,0)</f>
        <v>16.350390000000001</v>
      </c>
      <c r="S662" s="37">
        <f>(Tabela3[[#This Row],[Aluminio Bruto]]-Tabela3[[#This Row],[Aluminio Util]])*0.9</f>
        <v>7.0203510000000016</v>
      </c>
      <c r="T662" s="37">
        <f>Tabela3[[#This Row],[Aluminio Bruto]]/OleoKGAluminio</f>
        <v>6.8785879321488395</v>
      </c>
      <c r="U662" s="35">
        <f>IFERROR((VLOOKUP(Tabela3[[#This Row],[Moldador]],Tabela1[],5,)+(VLOOKUP(Tabela3[[#This Row],[Ajudante]],Tabela1[],5,))*3.5),0)</f>
        <v>99.95034583333333</v>
      </c>
      <c r="V662" s="35">
        <f>IFERROR(Tabela3[[#This Row],[Custo M.O. / H]]/((Tabela3[[#This Row],[Realizado]]/Tabela3[[#This Row],[Qdt Peça Placa]])/Tabela3[[#This Row],[Tempo]]/24),)</f>
        <v>10.550314282407406</v>
      </c>
      <c r="W662" s="35">
        <f>Tabela3[[#This Row],[Custo / Cx Moldada]]*Tabela3[[#This Row],[Qtde Cx Produzida]]</f>
        <v>63.301885694444437</v>
      </c>
      <c r="X662" s="35">
        <f ca="1">Tabela3[[#This Row],[Aluminio Util]]*Tabela3[[#This Row],[Custo/Kg]]</f>
        <v>133.38</v>
      </c>
      <c r="Y662" s="35">
        <f>IFERROR(VLOOKUP(Tabela3[[#This Row],[Data]],Tabela461213[],2,1)*(Tabela3[[#This Row],[Qtde Cx Produzida]]*Tabela3[[#This Row],[Qde macho / CX]]*Tabela3[[#This Row],[Peso Macho]]),)</f>
        <v>0</v>
      </c>
      <c r="Z662" s="35">
        <f>IFERROR(Tabela3[[#This Row],[Qtde Oleo]]*(VLOOKUP(Tabela3[[#This Row],[Data]],CompraOleo[],3,TRUE))*1.05,0)</f>
        <v>18.056293321890703</v>
      </c>
      <c r="AA662" s="47">
        <f ca="1">(Tabela3[[#This Row],[Custo Oleo]]+Tabela3[[#This Row],[Custo Aluminio]]+Tabela3[[#This Row],[Custo M.O. Total]]+Tabela3[[#This Row],[Custo Machos]])</f>
        <v>214.73817901633515</v>
      </c>
      <c r="AB662" s="47">
        <f ca="1">Tabela3[[#This Row],[Custo Total]]*Tabela3[[#This Row],[% Perda]]</f>
        <v>0</v>
      </c>
      <c r="AC662" s="48">
        <f>IFERROR(VLOOKUP(Tabela3[[#This Row],[Produto]],Tabela2[],2,0),0)</f>
        <v>3</v>
      </c>
      <c r="AD662" s="48">
        <f>IFERROR(VLOOKUP(Tabela3[[#This Row],[Produto]],Tabela2[],3,0),0)</f>
        <v>0.47499999999999998</v>
      </c>
      <c r="AE662" s="48">
        <f>IFERROR(VLOOKUP(Tabela3[[#This Row],[Produto]],Tabela2[],4,0),0)</f>
        <v>2.5830000000000002</v>
      </c>
      <c r="AF662" s="48">
        <f>IFERROR(VLOOKUP(Tabela3[[#This Row],[Produto]],Tabela2[],5,0),0)</f>
        <v>1.0422000000000005</v>
      </c>
      <c r="AG662" s="40">
        <f>IFERROR(VLOOKUP(Tabela3[[#This Row],[Produto]],Tabela2[],6,0),0)</f>
        <v>0</v>
      </c>
      <c r="AH662" s="40">
        <f>IFERROR(VLOOKUP(Tabela3[[#This Row],[Produto]],Tabela2[],7,0),0)</f>
        <v>0</v>
      </c>
      <c r="AI662" s="40">
        <f>IFERROR(VLOOKUP(Tabela3[[#This Row],[Produto]],Tabela2[],8,0),0)</f>
        <v>0</v>
      </c>
      <c r="AJ662" s="35">
        <f ca="1">IFERROR(VLOOKUP(Tabela3[[#This Row],[Produto]],Tabela2[],13,0),0)</f>
        <v>15.600000000000001</v>
      </c>
      <c r="AK662" s="40" t="str">
        <f>IFERROR(VLOOKUP(Tabela3[[#This Row],[Produto]],Tabela2[],14,0),0)</f>
        <v>Senun</v>
      </c>
      <c r="AL662" s="40">
        <f>IFERROR(VLOOKUP(Tabela3[[#This Row],[Produto]],Tabela2[],15,0),0)</f>
        <v>6</v>
      </c>
      <c r="AM662" s="36">
        <f ca="1">(Tabela3[[#This Row],[Custo Usinagem]]+Tabela3[[#This Row],[Custo / Pç]])*1.2</f>
        <v>21.51587860108901</v>
      </c>
      <c r="AN662" s="36">
        <f ca="1">Tabela3[[#This Row],[Valor Mínimo Venda]]*1.15</f>
        <v>24.74326039125236</v>
      </c>
      <c r="AO662" s="36">
        <f ca="1">Tabela3[[#This Row],[Tabela 1]]*1.08</f>
        <v>26.722721222552551</v>
      </c>
      <c r="AP662" s="36">
        <f ca="1">Tabela3[[#This Row],[Tabela 2]]*1.15</f>
        <v>30.73112940593543</v>
      </c>
    </row>
    <row r="663" spans="1:42">
      <c r="A663" s="9">
        <v>45918</v>
      </c>
      <c r="B663" s="6" t="s">
        <v>257</v>
      </c>
      <c r="C663" s="14">
        <v>7981</v>
      </c>
      <c r="D663" s="6" t="s">
        <v>44</v>
      </c>
      <c r="E663" s="6" t="s">
        <v>47</v>
      </c>
      <c r="F663" s="6">
        <v>44</v>
      </c>
      <c r="G663" s="15">
        <v>0.22569444444444445</v>
      </c>
      <c r="H663" s="16">
        <v>0</v>
      </c>
      <c r="I663" s="35">
        <f ca="1">IFERROR(Tabela3[[#This Row],[Custo Total]]/Tabela3[[#This Row],[Aluminio Util]],0)</f>
        <v>30.467652791566614</v>
      </c>
      <c r="J663" s="35">
        <f ca="1">Tabela3[[#This Row],[Custo Total]]/Tabela3[[#This Row],[Realizado]]</f>
        <v>3.8084565989458268</v>
      </c>
      <c r="K663" s="37">
        <f>IFERROR(Tabela3[[#This Row],[Qtde Cx Produzida]]/Tabela3[[#This Row],[Tempo]]/24,0)</f>
        <v>8.1230769230769226</v>
      </c>
      <c r="L663" s="37">
        <f>Tabela3[[#This Row],[Qtde Cx Produzida]]*Tabela3[[#This Row],[Qdt Peça Placa]]</f>
        <v>352</v>
      </c>
      <c r="M663" s="37">
        <f>Tabela3[[#This Row],[Previsto]]-Tabela3[[#This Row],[Perda Pçs]]</f>
        <v>352</v>
      </c>
      <c r="N663" s="38">
        <f>IFERROR(Tabela3[[#This Row],[Perda Pçs]]/Tabela3[[#This Row],[Previsto]],0)</f>
        <v>0</v>
      </c>
      <c r="O663" s="39">
        <f>IFERROR(IF(Tabela3[[#This Row],[Qtde Cx Produzida]] &lt;&gt; 0, Tabela3[[#This Row],[Tempo]] / Tabela3[[#This Row],[Qtde Cx Produzida]], 0),0)</f>
        <v>5.129419191919192E-3</v>
      </c>
      <c r="P663" s="57">
        <f>IFERROR(Tabela3[[#This Row],[Perda Pçs]]/Tabela3[[#This Row],[Qdt Peça Placa]],0)</f>
        <v>0</v>
      </c>
      <c r="Q663" s="37">
        <f>IFERROR(Tabela3[[#This Row],[Realizado]]*Tabela3[[#This Row],[Peso Util/Pç]],0)</f>
        <v>44</v>
      </c>
      <c r="R663" s="37">
        <f>IFERROR(Tabela3[[#This Row],[Peso Total Galho]]*Tabela3[[#This Row],[Qtde Cx Produzida]]*1.055,0)</f>
        <v>102.12400000000001</v>
      </c>
      <c r="S663" s="37">
        <f>(Tabela3[[#This Row],[Aluminio Bruto]]-Tabela3[[#This Row],[Aluminio Util]])*0.9</f>
        <v>52.311600000000013</v>
      </c>
      <c r="T663" s="37">
        <f>Tabela3[[#This Row],[Aluminio Bruto]]/OleoKGAluminio</f>
        <v>42.963434754936614</v>
      </c>
      <c r="U663" s="35">
        <f>IFERROR((VLOOKUP(Tabela3[[#This Row],[Moldador]],Tabela1[],5,)+(VLOOKUP(Tabela3[[#This Row],[Ajudante]],Tabela1[],5,))*3.5),0)</f>
        <v>99.95034583333333</v>
      </c>
      <c r="V663" s="35">
        <f>IFERROR(Tabela3[[#This Row],[Custo M.O. / H]]/((Tabela3[[#This Row],[Realizado]]/Tabela3[[#This Row],[Qdt Peça Placa]])/Tabela3[[#This Row],[Tempo]]/24),)</f>
        <v>12.304493331755051</v>
      </c>
      <c r="W663" s="35">
        <f>Tabela3[[#This Row],[Custo / Cx Moldada]]*Tabela3[[#This Row],[Qtde Cx Produzida]]</f>
        <v>541.39770659722228</v>
      </c>
      <c r="X663" s="35">
        <f ca="1">Tabela3[[#This Row],[Aluminio Util]]*Tabela3[[#This Row],[Custo/Kg]]</f>
        <v>686.40000000000009</v>
      </c>
      <c r="Y663" s="35">
        <f>IFERROR(VLOOKUP(Tabela3[[#This Row],[Data]],Tabela461213[],2,1)*(Tabela3[[#This Row],[Qtde Cx Produzida]]*Tabela3[[#This Row],[Qde macho / CX]]*Tabela3[[#This Row],[Peso Macho]]),)</f>
        <v>0</v>
      </c>
      <c r="Z663" s="35">
        <f>IFERROR(Tabela3[[#This Row],[Qtde Oleo]]*(VLOOKUP(Tabela3[[#This Row],[Data]],CompraOleo[],3,TRUE))*1.05,0)</f>
        <v>112.77901623170861</v>
      </c>
      <c r="AA663" s="47">
        <f ca="1">(Tabela3[[#This Row],[Custo Oleo]]+Tabela3[[#This Row],[Custo Aluminio]]+Tabela3[[#This Row],[Custo M.O. Total]]+Tabela3[[#This Row],[Custo Machos]])</f>
        <v>1340.576722828931</v>
      </c>
      <c r="AB663" s="47">
        <f ca="1">Tabela3[[#This Row],[Custo Total]]*Tabela3[[#This Row],[% Perda]]</f>
        <v>0</v>
      </c>
      <c r="AC663" s="48">
        <f>IFERROR(VLOOKUP(Tabela3[[#This Row],[Produto]],Tabela2[],2,0),0)</f>
        <v>8</v>
      </c>
      <c r="AD663" s="48">
        <f>IFERROR(VLOOKUP(Tabela3[[#This Row],[Produto]],Tabela2[],3,0),0)</f>
        <v>0.125</v>
      </c>
      <c r="AE663" s="48">
        <f>IFERROR(VLOOKUP(Tabela3[[#This Row],[Produto]],Tabela2[],4,0),0)</f>
        <v>2.2000000000000002</v>
      </c>
      <c r="AF663" s="48">
        <f>IFERROR(VLOOKUP(Tabela3[[#This Row],[Produto]],Tabela2[],5,0),0)</f>
        <v>1.0800000000000003</v>
      </c>
      <c r="AG663" s="40">
        <f>IFERROR(VLOOKUP(Tabela3[[#This Row],[Produto]],Tabela2[],6,0),0)</f>
        <v>0</v>
      </c>
      <c r="AH663" s="40">
        <f>IFERROR(VLOOKUP(Tabela3[[#This Row],[Produto]],Tabela2[],7,0),0)</f>
        <v>0</v>
      </c>
      <c r="AI663" s="40">
        <f>IFERROR(VLOOKUP(Tabela3[[#This Row],[Produto]],Tabela2[],8,0),0)</f>
        <v>0</v>
      </c>
      <c r="AJ663" s="35">
        <f ca="1">IFERROR(VLOOKUP(Tabela3[[#This Row],[Produto]],Tabela2[],13,0),0)</f>
        <v>15.600000000000001</v>
      </c>
      <c r="AK663" s="40" t="str">
        <f>IFERROR(VLOOKUP(Tabela3[[#This Row],[Produto]],Tabela2[],14,0),0)</f>
        <v>Senun</v>
      </c>
      <c r="AL663" s="40">
        <f>IFERROR(VLOOKUP(Tabela3[[#This Row],[Produto]],Tabela2[],15,0),0)</f>
        <v>7</v>
      </c>
      <c r="AM663" s="36">
        <f ca="1">(Tabela3[[#This Row],[Custo Usinagem]]+Tabela3[[#This Row],[Custo / Pç]])*1.2</f>
        <v>12.970147918734993</v>
      </c>
      <c r="AN663" s="36">
        <f ca="1">Tabela3[[#This Row],[Valor Mínimo Venda]]*1.15</f>
        <v>14.915670106545241</v>
      </c>
      <c r="AO663" s="36">
        <f ca="1">Tabela3[[#This Row],[Tabela 1]]*1.08</f>
        <v>16.108923715068862</v>
      </c>
      <c r="AP663" s="36">
        <f ca="1">Tabela3[[#This Row],[Tabela 2]]*1.15</f>
        <v>18.52526227232919</v>
      </c>
    </row>
    <row r="664" spans="1:42">
      <c r="A664" s="9">
        <v>45919</v>
      </c>
      <c r="B664" s="6" t="s">
        <v>245</v>
      </c>
      <c r="C664" s="14">
        <v>7866</v>
      </c>
      <c r="D664" s="6" t="s">
        <v>46</v>
      </c>
      <c r="E664" s="6" t="s">
        <v>326</v>
      </c>
      <c r="F664" s="6">
        <v>32</v>
      </c>
      <c r="G664" s="15">
        <v>0.14930555555555555</v>
      </c>
      <c r="H664" s="16">
        <v>0</v>
      </c>
      <c r="I664" s="35">
        <f ca="1">IFERROR(Tabela3[[#This Row],[Custo Total]]/Tabela3[[#This Row],[Aluminio Util]],0)</f>
        <v>26.04580055907125</v>
      </c>
      <c r="J664" s="35">
        <f ca="1">Tabela3[[#This Row],[Custo Total]]/Tabela3[[#This Row],[Realizado]]</f>
        <v>8.6472057856116553</v>
      </c>
      <c r="K664" s="37">
        <f>IFERROR(Tabela3[[#This Row],[Qtde Cx Produzida]]/Tabela3[[#This Row],[Tempo]]/24,0)</f>
        <v>8.9302325581395348</v>
      </c>
      <c r="L664" s="37">
        <f>Tabela3[[#This Row],[Qtde Cx Produzida]]*Tabela3[[#This Row],[Qdt Peça Placa]]</f>
        <v>128</v>
      </c>
      <c r="M664" s="37">
        <f>Tabela3[[#This Row],[Previsto]]-Tabela3[[#This Row],[Perda Pçs]]</f>
        <v>128</v>
      </c>
      <c r="N664" s="38">
        <f>IFERROR(Tabela3[[#This Row],[Perda Pçs]]/Tabela3[[#This Row],[Previsto]],0)</f>
        <v>0</v>
      </c>
      <c r="O664" s="39">
        <f>IFERROR(IF(Tabela3[[#This Row],[Qtde Cx Produzida]] &lt;&gt; 0, Tabela3[[#This Row],[Tempo]] / Tabela3[[#This Row],[Qtde Cx Produzida]], 0),0)</f>
        <v>4.665798611111111E-3</v>
      </c>
      <c r="P664" s="57">
        <f>IFERROR(Tabela3[[#This Row],[Perda Pçs]]/Tabela3[[#This Row],[Qdt Peça Placa]],0)</f>
        <v>0</v>
      </c>
      <c r="Q664" s="37">
        <f>IFERROR(Tabela3[[#This Row],[Realizado]]*Tabela3[[#This Row],[Peso Util/Pç]],0)</f>
        <v>42.496000000000002</v>
      </c>
      <c r="R664" s="37">
        <f>IFERROR(Tabela3[[#This Row],[Peso Total Galho]]*Tabela3[[#This Row],[Qtde Cx Produzida]]*1.055,0)</f>
        <v>77.647999999999996</v>
      </c>
      <c r="S664" s="37">
        <f>(Tabela3[[#This Row],[Aluminio Bruto]]-Tabela3[[#This Row],[Aluminio Util]])*0.9</f>
        <v>31.636799999999994</v>
      </c>
      <c r="T664" s="37">
        <f>Tabela3[[#This Row],[Aluminio Bruto]]/OleoKGAluminio</f>
        <v>32.666413202100564</v>
      </c>
      <c r="U664" s="35">
        <f>IFERROR((VLOOKUP(Tabela3[[#This Row],[Moldador]],Tabela1[],5,)+(VLOOKUP(Tabela3[[#This Row],[Ajudante]],Tabela1[],5,))*3.5),0)</f>
        <v>99.95034583333333</v>
      </c>
      <c r="V664" s="35">
        <f>IFERROR(Tabela3[[#This Row],[Custo M.O. / H]]/((Tabela3[[#This Row],[Realizado]]/Tabela3[[#This Row],[Qdt Peça Placa]])/Tabela3[[#This Row],[Tempo]]/24),)</f>
        <v>11.192356434461805</v>
      </c>
      <c r="W664" s="35">
        <f>Tabela3[[#This Row],[Custo / Cx Moldada]]*Tabela3[[#This Row],[Qtde Cx Produzida]]</f>
        <v>358.15540590277777</v>
      </c>
      <c r="X664" s="35">
        <f ca="1">Tabela3[[#This Row],[Aluminio Util]]*Tabela3[[#This Row],[Custo/Kg]]</f>
        <v>662.93760000000009</v>
      </c>
      <c r="Y664" s="35">
        <f>IFERROR(VLOOKUP(Tabela3[[#This Row],[Data]],Tabela461213[],2,1)*(Tabela3[[#This Row],[Qtde Cx Produzida]]*Tabela3[[#This Row],[Qde macho / CX]]*Tabela3[[#This Row],[Peso Macho]]),)</f>
        <v>0</v>
      </c>
      <c r="Z664" s="35">
        <f>IFERROR(Tabela3[[#This Row],[Qtde Oleo]]*(VLOOKUP(Tabela3[[#This Row],[Data]],CompraOleo[],3,TRUE))*1.05,0)</f>
        <v>85.749334655513977</v>
      </c>
      <c r="AA664" s="47">
        <f ca="1">(Tabela3[[#This Row],[Custo Oleo]]+Tabela3[[#This Row],[Custo Aluminio]]+Tabela3[[#This Row],[Custo M.O. Total]]+Tabela3[[#This Row],[Custo Machos]])</f>
        <v>1106.8423405582919</v>
      </c>
      <c r="AB664" s="47">
        <f ca="1">Tabela3[[#This Row],[Custo Total]]*Tabela3[[#This Row],[% Perda]]</f>
        <v>0</v>
      </c>
      <c r="AC664" s="48">
        <f>IFERROR(VLOOKUP(Tabela3[[#This Row],[Produto]],Tabela2[],2,0),0)</f>
        <v>4</v>
      </c>
      <c r="AD664" s="48">
        <f>IFERROR(VLOOKUP(Tabela3[[#This Row],[Produto]],Tabela2[],3,0),0)</f>
        <v>0.33200000000000002</v>
      </c>
      <c r="AE664" s="48">
        <f>IFERROR(VLOOKUP(Tabela3[[#This Row],[Produto]],Tabela2[],4,0),0)</f>
        <v>2.2999999999999998</v>
      </c>
      <c r="AF664" s="48">
        <f>IFERROR(VLOOKUP(Tabela3[[#This Row],[Produto]],Tabela2[],5,0),0)</f>
        <v>0.8747999999999998</v>
      </c>
      <c r="AG664" s="40">
        <f>IFERROR(VLOOKUP(Tabela3[[#This Row],[Produto]],Tabela2[],6,0),0)</f>
        <v>0</v>
      </c>
      <c r="AH664" s="40">
        <f>IFERROR(VLOOKUP(Tabela3[[#This Row],[Produto]],Tabela2[],7,0),0)</f>
        <v>0</v>
      </c>
      <c r="AI664" s="40">
        <f>IFERROR(VLOOKUP(Tabela3[[#This Row],[Produto]],Tabela2[],8,0),0)</f>
        <v>0</v>
      </c>
      <c r="AJ664" s="35">
        <f ca="1">IFERROR(VLOOKUP(Tabela3[[#This Row],[Produto]],Tabela2[],13,0),0)</f>
        <v>15.600000000000001</v>
      </c>
      <c r="AK664" s="40" t="str">
        <f>IFERROR(VLOOKUP(Tabela3[[#This Row],[Produto]],Tabela2[],14,0),0)</f>
        <v>Senun</v>
      </c>
      <c r="AL664" s="40">
        <f>IFERROR(VLOOKUP(Tabela3[[#This Row],[Produto]],Tabela2[],15,0),0)</f>
        <v>3.5</v>
      </c>
      <c r="AM664" s="36">
        <f ca="1">(Tabela3[[#This Row],[Custo Usinagem]]+Tabela3[[#This Row],[Custo / Pç]])*1.2</f>
        <v>14.576646942733985</v>
      </c>
      <c r="AN664" s="36">
        <f ca="1">Tabela3[[#This Row],[Valor Mínimo Venda]]*1.15</f>
        <v>16.763143984144083</v>
      </c>
      <c r="AO664" s="36">
        <f ca="1">Tabela3[[#This Row],[Tabela 1]]*1.08</f>
        <v>18.104195502875612</v>
      </c>
      <c r="AP664" s="36">
        <f ca="1">Tabela3[[#This Row],[Tabela 2]]*1.15</f>
        <v>20.819824828306952</v>
      </c>
    </row>
    <row r="665" spans="1:42">
      <c r="A665" s="9">
        <v>45919</v>
      </c>
      <c r="B665" s="6" t="s">
        <v>237</v>
      </c>
      <c r="C665" s="14">
        <v>7993</v>
      </c>
      <c r="D665" s="6" t="s">
        <v>46</v>
      </c>
      <c r="E665" s="6" t="s">
        <v>326</v>
      </c>
      <c r="F665" s="6">
        <v>10</v>
      </c>
      <c r="G665" s="15">
        <v>5.6944444444444443E-2</v>
      </c>
      <c r="H665" s="16">
        <v>0</v>
      </c>
      <c r="I665" s="35">
        <f ca="1">IFERROR(Tabela3[[#This Row],[Custo Total]]/Tabela3[[#This Row],[Aluminio Util]],0)</f>
        <v>24.789669862463949</v>
      </c>
      <c r="J665" s="35">
        <f ca="1">Tabela3[[#This Row],[Custo Total]]/Tabela3[[#This Row],[Realizado]]</f>
        <v>7.1890042601145447</v>
      </c>
      <c r="K665" s="37">
        <f>IFERROR(Tabela3[[#This Row],[Qtde Cx Produzida]]/Tabela3[[#This Row],[Tempo]]/24,0)</f>
        <v>7.3170731707317076</v>
      </c>
      <c r="L665" s="37">
        <f>Tabela3[[#This Row],[Qtde Cx Produzida]]*Tabela3[[#This Row],[Qdt Peça Placa]]</f>
        <v>60</v>
      </c>
      <c r="M665" s="37">
        <f>Tabela3[[#This Row],[Previsto]]-Tabela3[[#This Row],[Perda Pçs]]</f>
        <v>60</v>
      </c>
      <c r="N665" s="38">
        <f>IFERROR(Tabela3[[#This Row],[Perda Pçs]]/Tabela3[[#This Row],[Previsto]],0)</f>
        <v>0</v>
      </c>
      <c r="O665" s="39">
        <f>IFERROR(IF(Tabela3[[#This Row],[Qtde Cx Produzida]] &lt;&gt; 0, Tabela3[[#This Row],[Tempo]] / Tabela3[[#This Row],[Qtde Cx Produzida]], 0),0)</f>
        <v>5.6944444444444447E-3</v>
      </c>
      <c r="P665" s="57">
        <f>IFERROR(Tabela3[[#This Row],[Perda Pçs]]/Tabela3[[#This Row],[Qdt Peça Placa]],0)</f>
        <v>0</v>
      </c>
      <c r="Q665" s="37">
        <f>IFERROR(Tabela3[[#This Row],[Realizado]]*Tabela3[[#This Row],[Peso Util/Pç]],0)</f>
        <v>17.399999999999999</v>
      </c>
      <c r="R665" s="37">
        <f>IFERROR(Tabela3[[#This Row],[Peso Total Galho]]*Tabela3[[#This Row],[Qtde Cx Produzida]]*1.055,0)</f>
        <v>21.099999999999998</v>
      </c>
      <c r="S665" s="37">
        <f>(Tabela3[[#This Row],[Aluminio Bruto]]-Tabela3[[#This Row],[Aluminio Util]])*0.9</f>
        <v>3.3299999999999996</v>
      </c>
      <c r="T665" s="37">
        <f>Tabela3[[#This Row],[Aluminio Bruto]]/OleoKGAluminio</f>
        <v>8.8767427179621095</v>
      </c>
      <c r="U665" s="35">
        <f>IFERROR((VLOOKUP(Tabela3[[#This Row],[Moldador]],Tabela1[],5,)+(VLOOKUP(Tabela3[[#This Row],[Ajudante]],Tabela1[],5,))*3.5),0)</f>
        <v>99.95034583333333</v>
      </c>
      <c r="V665" s="35">
        <f>IFERROR(Tabela3[[#This Row],[Custo M.O. / H]]/((Tabela3[[#This Row],[Realizado]]/Tabela3[[#This Row],[Qdt Peça Placa]])/Tabela3[[#This Row],[Tempo]]/24),)</f>
        <v>13.659880597222221</v>
      </c>
      <c r="W665" s="35">
        <f>Tabela3[[#This Row],[Custo / Cx Moldada]]*Tabela3[[#This Row],[Qtde Cx Produzida]]</f>
        <v>136.59880597222221</v>
      </c>
      <c r="X665" s="35">
        <f ca="1">Tabela3[[#This Row],[Aluminio Util]]*Tabela3[[#This Row],[Custo/Kg]]</f>
        <v>271.44</v>
      </c>
      <c r="Y665" s="35">
        <f>IFERROR(VLOOKUP(Tabela3[[#This Row],[Data]],Tabela461213[],2,1)*(Tabela3[[#This Row],[Qtde Cx Produzida]]*Tabela3[[#This Row],[Qde macho / CX]]*Tabela3[[#This Row],[Peso Macho]]),)</f>
        <v>0</v>
      </c>
      <c r="Z665" s="35">
        <f>IFERROR(Tabela3[[#This Row],[Qtde Oleo]]*(VLOOKUP(Tabela3[[#This Row],[Data]],CompraOleo[],3,TRUE))*1.05,0)</f>
        <v>23.301449634650538</v>
      </c>
      <c r="AA665" s="47">
        <f ca="1">(Tabela3[[#This Row],[Custo Oleo]]+Tabela3[[#This Row],[Custo Aluminio]]+Tabela3[[#This Row],[Custo M.O. Total]]+Tabela3[[#This Row],[Custo Machos]])</f>
        <v>431.34025560687269</v>
      </c>
      <c r="AB665" s="47">
        <f ca="1">Tabela3[[#This Row],[Custo Total]]*Tabela3[[#This Row],[% Perda]]</f>
        <v>0</v>
      </c>
      <c r="AC665" s="48">
        <f>IFERROR(VLOOKUP(Tabela3[[#This Row],[Produto]],Tabela2[],2,0),0)</f>
        <v>6</v>
      </c>
      <c r="AD665" s="48">
        <f>IFERROR(VLOOKUP(Tabela3[[#This Row],[Produto]],Tabela2[],3,0),0)</f>
        <v>0.28999999999999998</v>
      </c>
      <c r="AE665" s="48">
        <f>IFERROR(VLOOKUP(Tabela3[[#This Row],[Produto]],Tabela2[],4,0),0)</f>
        <v>2</v>
      </c>
      <c r="AF665" s="48">
        <f>IFERROR(VLOOKUP(Tabela3[[#This Row],[Produto]],Tabela2[],5,0),0)</f>
        <v>0.23400000000000021</v>
      </c>
      <c r="AG665" s="40">
        <f>IFERROR(VLOOKUP(Tabela3[[#This Row],[Produto]],Tabela2[],6,0),0)</f>
        <v>0</v>
      </c>
      <c r="AH665" s="40">
        <f>IFERROR(VLOOKUP(Tabela3[[#This Row],[Produto]],Tabela2[],7,0),0)</f>
        <v>0</v>
      </c>
      <c r="AI665" s="40">
        <f>IFERROR(VLOOKUP(Tabela3[[#This Row],[Produto]],Tabela2[],8,0),0)</f>
        <v>0</v>
      </c>
      <c r="AJ665" s="35">
        <f ca="1">IFERROR(VLOOKUP(Tabela3[[#This Row],[Produto]],Tabela2[],13,0),0)</f>
        <v>15.600000000000001</v>
      </c>
      <c r="AK665" s="40" t="str">
        <f>IFERROR(VLOOKUP(Tabela3[[#This Row],[Produto]],Tabela2[],14,0),0)</f>
        <v>Senun</v>
      </c>
      <c r="AL665" s="40">
        <f>IFERROR(VLOOKUP(Tabela3[[#This Row],[Produto]],Tabela2[],15,0),0)</f>
        <v>4</v>
      </c>
      <c r="AM665" s="36">
        <f ca="1">(Tabela3[[#This Row],[Custo Usinagem]]+Tabela3[[#This Row],[Custo / Pç]])*1.2</f>
        <v>13.426805112137453</v>
      </c>
      <c r="AN665" s="36">
        <f ca="1">Tabela3[[#This Row],[Valor Mínimo Venda]]*1.15</f>
        <v>15.440825878958069</v>
      </c>
      <c r="AO665" s="36">
        <f ca="1">Tabela3[[#This Row],[Tabela 1]]*1.08</f>
        <v>16.676091949274717</v>
      </c>
      <c r="AP665" s="36">
        <f ca="1">Tabela3[[#This Row],[Tabela 2]]*1.15</f>
        <v>19.177505741665922</v>
      </c>
    </row>
    <row r="666" spans="1:42">
      <c r="A666" s="9">
        <v>45919</v>
      </c>
      <c r="B666" s="6" t="s">
        <v>236</v>
      </c>
      <c r="C666" s="14">
        <v>7927</v>
      </c>
      <c r="D666" s="6" t="s">
        <v>46</v>
      </c>
      <c r="E666" s="6" t="s">
        <v>326</v>
      </c>
      <c r="F666" s="6">
        <v>37</v>
      </c>
      <c r="G666" s="15">
        <v>0.22152777777777777</v>
      </c>
      <c r="H666" s="16">
        <v>0</v>
      </c>
      <c r="I666" s="35">
        <f ca="1">IFERROR(Tabela3[[#This Row],[Custo Total]]/Tabela3[[#This Row],[Aluminio Util]],0)</f>
        <v>24.909862229272711</v>
      </c>
      <c r="J666" s="35">
        <f ca="1">Tabela3[[#This Row],[Custo Total]]/Tabela3[[#This Row],[Realizado]]</f>
        <v>7.5227783932403591</v>
      </c>
      <c r="K666" s="37">
        <f>IFERROR(Tabela3[[#This Row],[Qtde Cx Produzida]]/Tabela3[[#This Row],[Tempo]]/24,0)</f>
        <v>6.9592476489028217</v>
      </c>
      <c r="L666" s="37">
        <f>Tabela3[[#This Row],[Qtde Cx Produzida]]*Tabela3[[#This Row],[Qdt Peça Placa]]</f>
        <v>222</v>
      </c>
      <c r="M666" s="37">
        <f>Tabela3[[#This Row],[Previsto]]-Tabela3[[#This Row],[Perda Pçs]]</f>
        <v>222</v>
      </c>
      <c r="N666" s="38">
        <f>IFERROR(Tabela3[[#This Row],[Perda Pçs]]/Tabela3[[#This Row],[Previsto]],0)</f>
        <v>0</v>
      </c>
      <c r="O666" s="39">
        <f>IFERROR(IF(Tabela3[[#This Row],[Qtde Cx Produzida]] &lt;&gt; 0, Tabela3[[#This Row],[Tempo]] / Tabela3[[#This Row],[Qtde Cx Produzida]], 0),0)</f>
        <v>5.9872372372372371E-3</v>
      </c>
      <c r="P666" s="57">
        <f>IFERROR(Tabela3[[#This Row],[Perda Pçs]]/Tabela3[[#This Row],[Qdt Peça Placa]],0)</f>
        <v>0</v>
      </c>
      <c r="Q666" s="37">
        <f>IFERROR(Tabela3[[#This Row],[Realizado]]*Tabela3[[#This Row],[Peso Util/Pç]],0)</f>
        <v>67.043999999999997</v>
      </c>
      <c r="R666" s="37">
        <f>IFERROR(Tabela3[[#This Row],[Peso Total Galho]]*Tabela3[[#This Row],[Qtde Cx Produzida]]*1.055,0)</f>
        <v>84.003320000000002</v>
      </c>
      <c r="S666" s="37">
        <f>(Tabela3[[#This Row],[Aluminio Bruto]]-Tabela3[[#This Row],[Aluminio Util]])*0.9</f>
        <v>15.263388000000004</v>
      </c>
      <c r="T666" s="37">
        <f>Tabela3[[#This Row],[Aluminio Bruto]]/OleoKGAluminio</f>
        <v>35.340088108750756</v>
      </c>
      <c r="U666" s="35">
        <f>IFERROR((VLOOKUP(Tabela3[[#This Row],[Moldador]],Tabela1[],5,)+(VLOOKUP(Tabela3[[#This Row],[Ajudante]],Tabela1[],5,))*3.5),0)</f>
        <v>99.95034583333333</v>
      </c>
      <c r="V666" s="35">
        <f>IFERROR(Tabela3[[#This Row],[Custo M.O. / H]]/((Tabela3[[#This Row],[Realizado]]/Tabela3[[#This Row],[Qdt Peça Placa]])/Tabela3[[#This Row],[Tempo]]/24),)</f>
        <v>14.362234378753753</v>
      </c>
      <c r="W666" s="35">
        <f>Tabela3[[#This Row],[Custo / Cx Moldada]]*Tabela3[[#This Row],[Qtde Cx Produzida]]</f>
        <v>531.40267201388883</v>
      </c>
      <c r="X666" s="35">
        <f ca="1">Tabela3[[#This Row],[Aluminio Util]]*Tabela3[[#This Row],[Custo/Kg]]</f>
        <v>1045.8864000000001</v>
      </c>
      <c r="Y666" s="35">
        <f>IFERROR(VLOOKUP(Tabela3[[#This Row],[Data]],Tabela461213[],2,1)*(Tabela3[[#This Row],[Qtde Cx Produzida]]*Tabela3[[#This Row],[Qde macho / CX]]*Tabela3[[#This Row],[Peso Macho]]),)</f>
        <v>0</v>
      </c>
      <c r="Z666" s="35">
        <f>IFERROR(Tabela3[[#This Row],[Qtde Oleo]]*(VLOOKUP(Tabela3[[#This Row],[Data]],CompraOleo[],3,TRUE))*1.05,0)</f>
        <v>92.767731285470745</v>
      </c>
      <c r="AA666" s="47">
        <f ca="1">(Tabela3[[#This Row],[Custo Oleo]]+Tabela3[[#This Row],[Custo Aluminio]]+Tabela3[[#This Row],[Custo M.O. Total]]+Tabela3[[#This Row],[Custo Machos]])</f>
        <v>1670.0568032993597</v>
      </c>
      <c r="AB666" s="47">
        <f ca="1">Tabela3[[#This Row],[Custo Total]]*Tabela3[[#This Row],[% Perda]]</f>
        <v>0</v>
      </c>
      <c r="AC666" s="48">
        <f>IFERROR(VLOOKUP(Tabela3[[#This Row],[Produto]],Tabela2[],2,0),0)</f>
        <v>6</v>
      </c>
      <c r="AD666" s="48">
        <f>IFERROR(VLOOKUP(Tabela3[[#This Row],[Produto]],Tabela2[],3,0),0)</f>
        <v>0.30199999999999999</v>
      </c>
      <c r="AE666" s="48">
        <f>IFERROR(VLOOKUP(Tabela3[[#This Row],[Produto]],Tabela2[],4,0),0)</f>
        <v>2.1520000000000001</v>
      </c>
      <c r="AF666" s="48">
        <f>IFERROR(VLOOKUP(Tabela3[[#This Row],[Produto]],Tabela2[],5,0),0)</f>
        <v>0.30600000000000027</v>
      </c>
      <c r="AG666" s="40">
        <f>IFERROR(VLOOKUP(Tabela3[[#This Row],[Produto]],Tabela2[],6,0),0)</f>
        <v>0</v>
      </c>
      <c r="AH666" s="40">
        <f>IFERROR(VLOOKUP(Tabela3[[#This Row],[Produto]],Tabela2[],7,0),0)</f>
        <v>0</v>
      </c>
      <c r="AI666" s="40">
        <f>IFERROR(VLOOKUP(Tabela3[[#This Row],[Produto]],Tabela2[],8,0),0)</f>
        <v>0</v>
      </c>
      <c r="AJ666" s="35">
        <f ca="1">IFERROR(VLOOKUP(Tabela3[[#This Row],[Produto]],Tabela2[],13,0),0)</f>
        <v>15.600000000000001</v>
      </c>
      <c r="AK666" s="40" t="str">
        <f>IFERROR(VLOOKUP(Tabela3[[#This Row],[Produto]],Tabela2[],14,0),0)</f>
        <v>Senun</v>
      </c>
      <c r="AL666" s="40">
        <f>IFERROR(VLOOKUP(Tabela3[[#This Row],[Produto]],Tabela2[],15,0),0)</f>
        <v>4</v>
      </c>
      <c r="AM666" s="36">
        <f ca="1">(Tabela3[[#This Row],[Custo Usinagem]]+Tabela3[[#This Row],[Custo / Pç]])*1.2</f>
        <v>13.82733407188843</v>
      </c>
      <c r="AN666" s="36">
        <f ca="1">Tabela3[[#This Row],[Valor Mínimo Venda]]*1.15</f>
        <v>15.901434182671693</v>
      </c>
      <c r="AO666" s="36">
        <f ca="1">Tabela3[[#This Row],[Tabela 1]]*1.08</f>
        <v>17.17354891728543</v>
      </c>
      <c r="AP666" s="36">
        <f ca="1">Tabela3[[#This Row],[Tabela 2]]*1.15</f>
        <v>19.749581254878244</v>
      </c>
    </row>
    <row r="667" spans="1:42">
      <c r="A667" s="9">
        <v>45919</v>
      </c>
      <c r="B667" s="6" t="s">
        <v>257</v>
      </c>
      <c r="C667" s="14">
        <v>7981</v>
      </c>
      <c r="D667" s="6" t="s">
        <v>44</v>
      </c>
      <c r="E667" s="6" t="s">
        <v>47</v>
      </c>
      <c r="F667" s="6">
        <v>56</v>
      </c>
      <c r="G667" s="15">
        <v>0.26944444444444443</v>
      </c>
      <c r="H667" s="16">
        <v>0</v>
      </c>
      <c r="I667" s="35">
        <f ca="1">IFERROR(Tabela3[[#This Row],[Custo Total]]/Tabela3[[#This Row],[Aluminio Util]],0)</f>
        <v>29.705044633422677</v>
      </c>
      <c r="J667" s="35">
        <f ca="1">Tabela3[[#This Row],[Custo Total]]/Tabela3[[#This Row],[Realizado]]</f>
        <v>3.7131305791778346</v>
      </c>
      <c r="K667" s="37">
        <f>IFERROR(Tabela3[[#This Row],[Qtde Cx Produzida]]/Tabela3[[#This Row],[Tempo]]/24,0)</f>
        <v>8.6597938144329891</v>
      </c>
      <c r="L667" s="37">
        <f>Tabela3[[#This Row],[Qtde Cx Produzida]]*Tabela3[[#This Row],[Qdt Peça Placa]]</f>
        <v>448</v>
      </c>
      <c r="M667" s="37">
        <f>Tabela3[[#This Row],[Previsto]]-Tabela3[[#This Row],[Perda Pçs]]</f>
        <v>448</v>
      </c>
      <c r="N667" s="38">
        <f>IFERROR(Tabela3[[#This Row],[Perda Pçs]]/Tabela3[[#This Row],[Previsto]],0)</f>
        <v>0</v>
      </c>
      <c r="O667" s="39">
        <f>IFERROR(IF(Tabela3[[#This Row],[Qtde Cx Produzida]] &lt;&gt; 0, Tabela3[[#This Row],[Tempo]] / Tabela3[[#This Row],[Qtde Cx Produzida]], 0),0)</f>
        <v>4.8115079365079359E-3</v>
      </c>
      <c r="P667" s="57">
        <f>IFERROR(Tabela3[[#This Row],[Perda Pçs]]/Tabela3[[#This Row],[Qdt Peça Placa]],0)</f>
        <v>0</v>
      </c>
      <c r="Q667" s="37">
        <f>IFERROR(Tabela3[[#This Row],[Realizado]]*Tabela3[[#This Row],[Peso Util/Pç]],0)</f>
        <v>56</v>
      </c>
      <c r="R667" s="37">
        <f>IFERROR(Tabela3[[#This Row],[Peso Total Galho]]*Tabela3[[#This Row],[Qtde Cx Produzida]]*1.055,0)</f>
        <v>129.976</v>
      </c>
      <c r="S667" s="37">
        <f>(Tabela3[[#This Row],[Aluminio Bruto]]-Tabela3[[#This Row],[Aluminio Util]])*0.9</f>
        <v>66.578400000000002</v>
      </c>
      <c r="T667" s="37">
        <f>Tabela3[[#This Row],[Aluminio Bruto]]/OleoKGAluminio</f>
        <v>54.680735142646597</v>
      </c>
      <c r="U667" s="35">
        <f>IFERROR((VLOOKUP(Tabela3[[#This Row],[Moldador]],Tabela1[],5,)+(VLOOKUP(Tabela3[[#This Row],[Ajudante]],Tabela1[],5,))*3.5),0)</f>
        <v>99.95034583333333</v>
      </c>
      <c r="V667" s="35">
        <f>IFERROR(Tabela3[[#This Row],[Custo M.O. / H]]/((Tabela3[[#This Row],[Realizado]]/Tabela3[[#This Row],[Qdt Peça Placa]])/Tabela3[[#This Row],[Tempo]]/24),)</f>
        <v>11.541885173611112</v>
      </c>
      <c r="W667" s="35">
        <f>Tabela3[[#This Row],[Custo / Cx Moldada]]*Tabela3[[#This Row],[Qtde Cx Produzida]]</f>
        <v>646.34556972222231</v>
      </c>
      <c r="X667" s="35">
        <f ca="1">Tabela3[[#This Row],[Aluminio Util]]*Tabela3[[#This Row],[Custo/Kg]]</f>
        <v>873.60000000000014</v>
      </c>
      <c r="Y667" s="35">
        <f>IFERROR(VLOOKUP(Tabela3[[#This Row],[Data]],Tabela461213[],2,1)*(Tabela3[[#This Row],[Qtde Cx Produzida]]*Tabela3[[#This Row],[Qde macho / CX]]*Tabela3[[#This Row],[Peso Macho]]),)</f>
        <v>0</v>
      </c>
      <c r="Z667" s="35">
        <f>IFERROR(Tabela3[[#This Row],[Qtde Oleo]]*(VLOOKUP(Tabela3[[#This Row],[Data]],CompraOleo[],3,TRUE))*1.05,0)</f>
        <v>143.53692974944732</v>
      </c>
      <c r="AA667" s="47">
        <f ca="1">(Tabela3[[#This Row],[Custo Oleo]]+Tabela3[[#This Row],[Custo Aluminio]]+Tabela3[[#This Row],[Custo M.O. Total]]+Tabela3[[#This Row],[Custo Machos]])</f>
        <v>1663.4824994716698</v>
      </c>
      <c r="AB667" s="47">
        <f ca="1">Tabela3[[#This Row],[Custo Total]]*Tabela3[[#This Row],[% Perda]]</f>
        <v>0</v>
      </c>
      <c r="AC667" s="48">
        <f>IFERROR(VLOOKUP(Tabela3[[#This Row],[Produto]],Tabela2[],2,0),0)</f>
        <v>8</v>
      </c>
      <c r="AD667" s="48">
        <f>IFERROR(VLOOKUP(Tabela3[[#This Row],[Produto]],Tabela2[],3,0),0)</f>
        <v>0.125</v>
      </c>
      <c r="AE667" s="48">
        <f>IFERROR(VLOOKUP(Tabela3[[#This Row],[Produto]],Tabela2[],4,0),0)</f>
        <v>2.2000000000000002</v>
      </c>
      <c r="AF667" s="48">
        <f>IFERROR(VLOOKUP(Tabela3[[#This Row],[Produto]],Tabela2[],5,0),0)</f>
        <v>1.0800000000000003</v>
      </c>
      <c r="AG667" s="40">
        <f>IFERROR(VLOOKUP(Tabela3[[#This Row],[Produto]],Tabela2[],6,0),0)</f>
        <v>0</v>
      </c>
      <c r="AH667" s="40">
        <f>IFERROR(VLOOKUP(Tabela3[[#This Row],[Produto]],Tabela2[],7,0),0)</f>
        <v>0</v>
      </c>
      <c r="AI667" s="40">
        <f>IFERROR(VLOOKUP(Tabela3[[#This Row],[Produto]],Tabela2[],8,0),0)</f>
        <v>0</v>
      </c>
      <c r="AJ667" s="35">
        <f ca="1">IFERROR(VLOOKUP(Tabela3[[#This Row],[Produto]],Tabela2[],13,0),0)</f>
        <v>15.600000000000001</v>
      </c>
      <c r="AK667" s="40" t="str">
        <f>IFERROR(VLOOKUP(Tabela3[[#This Row],[Produto]],Tabela2[],14,0),0)</f>
        <v>Senun</v>
      </c>
      <c r="AL667" s="40">
        <f>IFERROR(VLOOKUP(Tabela3[[#This Row],[Produto]],Tabela2[],15,0),0)</f>
        <v>7</v>
      </c>
      <c r="AM667" s="36">
        <f ca="1">(Tabela3[[#This Row],[Custo Usinagem]]+Tabela3[[#This Row],[Custo / Pç]])*1.2</f>
        <v>12.855756695013401</v>
      </c>
      <c r="AN667" s="36">
        <f ca="1">Tabela3[[#This Row],[Valor Mínimo Venda]]*1.15</f>
        <v>14.784120199265409</v>
      </c>
      <c r="AO667" s="36">
        <f ca="1">Tabela3[[#This Row],[Tabela 1]]*1.08</f>
        <v>15.966849815206643</v>
      </c>
      <c r="AP667" s="36">
        <f ca="1">Tabela3[[#This Row],[Tabela 2]]*1.15</f>
        <v>18.361877287487637</v>
      </c>
    </row>
    <row r="668" spans="1:42">
      <c r="A668" s="9">
        <v>45919</v>
      </c>
      <c r="B668" s="6" t="s">
        <v>221</v>
      </c>
      <c r="C668" s="14">
        <v>7991</v>
      </c>
      <c r="D668" s="6" t="s">
        <v>44</v>
      </c>
      <c r="E668" s="6" t="s">
        <v>47</v>
      </c>
      <c r="F668" s="6">
        <v>16</v>
      </c>
      <c r="G668" s="15">
        <v>7.013888888888889E-2</v>
      </c>
      <c r="H668" s="16">
        <v>2</v>
      </c>
      <c r="I668" s="35">
        <f ca="1">IFERROR(Tabela3[[#This Row],[Custo Total]]/Tabela3[[#This Row],[Aluminio Util]],0)</f>
        <v>23.22570865174562</v>
      </c>
      <c r="J668" s="35">
        <f ca="1">Tabela3[[#This Row],[Custo Total]]/Tabela3[[#This Row],[Realizado]]</f>
        <v>2.9496649987716941</v>
      </c>
      <c r="K668" s="37">
        <f>IFERROR(Tabela3[[#This Row],[Qtde Cx Produzida]]/Tabela3[[#This Row],[Tempo]]/24,0)</f>
        <v>9.5049504950495045</v>
      </c>
      <c r="L668" s="37">
        <f>Tabela3[[#This Row],[Qtde Cx Produzida]]*Tabela3[[#This Row],[Qdt Peça Placa]]</f>
        <v>288</v>
      </c>
      <c r="M668" s="37">
        <f>Tabela3[[#This Row],[Previsto]]-Tabela3[[#This Row],[Perda Pçs]]</f>
        <v>286</v>
      </c>
      <c r="N668" s="38">
        <f>IFERROR(Tabela3[[#This Row],[Perda Pçs]]/Tabela3[[#This Row],[Previsto]],0)</f>
        <v>6.9444444444444441E-3</v>
      </c>
      <c r="O668" s="39">
        <f>IFERROR(IF(Tabela3[[#This Row],[Qtde Cx Produzida]] &lt;&gt; 0, Tabela3[[#This Row],[Tempo]] / Tabela3[[#This Row],[Qtde Cx Produzida]], 0),0)</f>
        <v>4.3836805555555556E-3</v>
      </c>
      <c r="P668" s="57">
        <f>IFERROR(Tabela3[[#This Row],[Perda Pçs]]/Tabela3[[#This Row],[Qdt Peça Placa]],0)</f>
        <v>0.1111111111111111</v>
      </c>
      <c r="Q668" s="37">
        <f>IFERROR(Tabela3[[#This Row],[Realizado]]*Tabela3[[#This Row],[Peso Util/Pç]],0)</f>
        <v>36.322000000000003</v>
      </c>
      <c r="R668" s="37">
        <f>IFERROR(Tabela3[[#This Row],[Peso Total Galho]]*Tabela3[[#This Row],[Qtde Cx Produzida]]*1.055,0)</f>
        <v>65.494399999999999</v>
      </c>
      <c r="S668" s="37">
        <f>(Tabela3[[#This Row],[Aluminio Bruto]]-Tabela3[[#This Row],[Aluminio Util]])*0.9</f>
        <v>26.255159999999997</v>
      </c>
      <c r="T668" s="37">
        <f>Tabela3[[#This Row],[Aluminio Bruto]]/OleoKGAluminio</f>
        <v>27.55340939655439</v>
      </c>
      <c r="U668" s="35">
        <f>IFERROR((VLOOKUP(Tabela3[[#This Row],[Moldador]],Tabela1[],5,)+(VLOOKUP(Tabela3[[#This Row],[Ajudante]],Tabela1[],5,))*3.5),0)</f>
        <v>99.95034583333333</v>
      </c>
      <c r="V668" s="35">
        <f>IFERROR(Tabela3[[#This Row],[Custo M.O. / H]]/((Tabela3[[#This Row],[Realizado]]/Tabela3[[#This Row],[Qdt Peça Placa]])/Tabela3[[#This Row],[Tempo]]/24),)</f>
        <v>10.589145030594405</v>
      </c>
      <c r="W668" s="35">
        <f>Tabela3[[#This Row],[Custo / Cx Moldada]]*Tabela3[[#This Row],[Qtde Cx Produzida]]</f>
        <v>169.42632048951049</v>
      </c>
      <c r="X668" s="35">
        <f ca="1">Tabela3[[#This Row],[Aluminio Util]]*Tabela3[[#This Row],[Custo/Kg]]</f>
        <v>601.8501694932387</v>
      </c>
      <c r="Y668" s="35">
        <f>IFERROR(VLOOKUP(Tabela3[[#This Row],[Data]],Tabela461213[],2,1)*(Tabela3[[#This Row],[Qtde Cx Produzida]]*Tabela3[[#This Row],[Qde macho / CX]]*Tabela3[[#This Row],[Peso Macho]]),)</f>
        <v>0</v>
      </c>
      <c r="Z668" s="35">
        <f>IFERROR(Tabela3[[#This Row],[Qtde Oleo]]*(VLOOKUP(Tabela3[[#This Row],[Data]],CompraOleo[],3,TRUE))*1.05,0)</f>
        <v>72.327699665955279</v>
      </c>
      <c r="AA668" s="47">
        <f ca="1">(Tabela3[[#This Row],[Custo Oleo]]+Tabela3[[#This Row],[Custo Aluminio]]+Tabela3[[#This Row],[Custo M.O. Total]]+Tabela3[[#This Row],[Custo Machos]])</f>
        <v>843.60418964870451</v>
      </c>
      <c r="AB668" s="47">
        <f ca="1">Tabela3[[#This Row],[Custo Total]]*Tabela3[[#This Row],[% Perda]]</f>
        <v>5.8583624281160036</v>
      </c>
      <c r="AC668" s="48">
        <f>IFERROR(VLOOKUP(Tabela3[[#This Row],[Produto]],Tabela2[],2,0),0)</f>
        <v>18</v>
      </c>
      <c r="AD668" s="48">
        <f>IFERROR(VLOOKUP(Tabela3[[#This Row],[Produto]],Tabela2[],3,0),0)</f>
        <v>0.127</v>
      </c>
      <c r="AE668" s="48">
        <f>IFERROR(VLOOKUP(Tabela3[[#This Row],[Produto]],Tabela2[],4,0),0)</f>
        <v>3.88</v>
      </c>
      <c r="AF668" s="48">
        <f>IFERROR(VLOOKUP(Tabela3[[#This Row],[Produto]],Tabela2[],5,0),0)</f>
        <v>1.4345999999999999</v>
      </c>
      <c r="AG668" s="40">
        <f>IFERROR(VLOOKUP(Tabela3[[#This Row],[Produto]],Tabela2[],6,0),0)</f>
        <v>0</v>
      </c>
      <c r="AH668" s="40">
        <f>IFERROR(VLOOKUP(Tabela3[[#This Row],[Produto]],Tabela2[],7,0),0)</f>
        <v>0</v>
      </c>
      <c r="AI668" s="40">
        <f>IFERROR(VLOOKUP(Tabela3[[#This Row],[Produto]],Tabela2[],8,0),0)</f>
        <v>0</v>
      </c>
      <c r="AJ668" s="35">
        <f ca="1">IFERROR(VLOOKUP(Tabela3[[#This Row],[Produto]],Tabela2[],13,0),0)</f>
        <v>16.569852141766386</v>
      </c>
      <c r="AK668" s="40" t="str">
        <f>IFERROR(VLOOKUP(Tabela3[[#This Row],[Produto]],Tabela2[],14,0),0)</f>
        <v>Marcelo</v>
      </c>
      <c r="AL668" s="40">
        <f>IFERROR(VLOOKUP(Tabela3[[#This Row],[Produto]],Tabela2[],15,0),0)</f>
        <v>0</v>
      </c>
      <c r="AM668" s="36">
        <f ca="1">(Tabela3[[#This Row],[Custo Usinagem]]+Tabela3[[#This Row],[Custo / Pç]])*1.2</f>
        <v>3.5395979985260326</v>
      </c>
      <c r="AN668" s="36">
        <f ca="1">Tabela3[[#This Row],[Valor Mínimo Venda]]*1.15</f>
        <v>4.0705376983049373</v>
      </c>
      <c r="AO668" s="36">
        <f ca="1">Tabela3[[#This Row],[Tabela 1]]*1.08</f>
        <v>4.3961807141693328</v>
      </c>
      <c r="AP668" s="36">
        <f ca="1">Tabela3[[#This Row],[Tabela 2]]*1.15</f>
        <v>5.055607821294732</v>
      </c>
    </row>
    <row r="669" spans="1:42">
      <c r="A669" s="9">
        <v>45922</v>
      </c>
      <c r="B669" s="6" t="s">
        <v>236</v>
      </c>
      <c r="C669" s="14">
        <v>7927</v>
      </c>
      <c r="D669" s="6" t="s">
        <v>46</v>
      </c>
      <c r="E669" s="6" t="s">
        <v>326</v>
      </c>
      <c r="F669" s="6">
        <v>55</v>
      </c>
      <c r="G669" s="15">
        <v>0.34305555555555556</v>
      </c>
      <c r="H669" s="16">
        <v>0</v>
      </c>
      <c r="I669" s="35">
        <f ca="1">IFERROR(Tabela3[[#This Row],[Custo Total]]/Tabela3[[#This Row],[Aluminio Util]],0)</f>
        <v>25.241004344427452</v>
      </c>
      <c r="J669" s="35">
        <f ca="1">Tabela3[[#This Row],[Custo Total]]/Tabela3[[#This Row],[Realizado]]</f>
        <v>7.6227833120170905</v>
      </c>
      <c r="K669" s="37">
        <f>IFERROR(Tabela3[[#This Row],[Qtde Cx Produzida]]/Tabela3[[#This Row],[Tempo]]/24,0)</f>
        <v>6.6801619433198383</v>
      </c>
      <c r="L669" s="37">
        <f>Tabela3[[#This Row],[Qtde Cx Produzida]]*Tabela3[[#This Row],[Qdt Peça Placa]]</f>
        <v>330</v>
      </c>
      <c r="M669" s="37">
        <f>Tabela3[[#This Row],[Previsto]]-Tabela3[[#This Row],[Perda Pçs]]</f>
        <v>330</v>
      </c>
      <c r="N669" s="38">
        <f>IFERROR(Tabela3[[#This Row],[Perda Pçs]]/Tabela3[[#This Row],[Previsto]],0)</f>
        <v>0</v>
      </c>
      <c r="O669" s="39">
        <f>IFERROR(IF(Tabela3[[#This Row],[Qtde Cx Produzida]] &lt;&gt; 0, Tabela3[[#This Row],[Tempo]] / Tabela3[[#This Row],[Qtde Cx Produzida]], 0),0)</f>
        <v>6.2373737373737376E-3</v>
      </c>
      <c r="P669" s="57">
        <f>IFERROR(Tabela3[[#This Row],[Perda Pçs]]/Tabela3[[#This Row],[Qdt Peça Placa]],0)</f>
        <v>0</v>
      </c>
      <c r="Q669" s="37">
        <f>IFERROR(Tabela3[[#This Row],[Realizado]]*Tabela3[[#This Row],[Peso Util/Pç]],0)</f>
        <v>99.66</v>
      </c>
      <c r="R669" s="37">
        <f>IFERROR(Tabela3[[#This Row],[Peso Total Galho]]*Tabela3[[#This Row],[Qtde Cx Produzida]]*1.055,0)</f>
        <v>124.86980000000001</v>
      </c>
      <c r="S669" s="37">
        <f>(Tabela3[[#This Row],[Aluminio Bruto]]-Tabela3[[#This Row],[Aluminio Util]])*0.9</f>
        <v>22.688820000000014</v>
      </c>
      <c r="T669" s="37">
        <f>Tabela3[[#This Row],[Aluminio Bruto]]/OleoKGAluminio</f>
        <v>52.532563404899768</v>
      </c>
      <c r="U669" s="35">
        <f>IFERROR((VLOOKUP(Tabela3[[#This Row],[Moldador]],Tabela1[],5,)+(VLOOKUP(Tabela3[[#This Row],[Ajudante]],Tabela1[],5,))*3.5),0)</f>
        <v>99.95034583333333</v>
      </c>
      <c r="V669" s="35">
        <f>IFERROR(Tabela3[[#This Row],[Custo M.O. / H]]/((Tabela3[[#This Row],[Realizado]]/Tabela3[[#This Row],[Qdt Peça Placa]])/Tabela3[[#This Row],[Tempo]]/24),)</f>
        <v>14.962263891414141</v>
      </c>
      <c r="W669" s="35">
        <f>Tabela3[[#This Row],[Custo / Cx Moldada]]*Tabela3[[#This Row],[Qtde Cx Produzida]]</f>
        <v>822.92451402777772</v>
      </c>
      <c r="X669" s="35">
        <f ca="1">Tabela3[[#This Row],[Aluminio Util]]*Tabela3[[#This Row],[Custo/Kg]]</f>
        <v>1554.6960000000001</v>
      </c>
      <c r="Y669" s="35">
        <f>IFERROR(VLOOKUP(Tabela3[[#This Row],[Data]],Tabela461213[],2,1)*(Tabela3[[#This Row],[Qtde Cx Produzida]]*Tabela3[[#This Row],[Qde macho / CX]]*Tabela3[[#This Row],[Peso Macho]]),)</f>
        <v>0</v>
      </c>
      <c r="Z669" s="35">
        <f>IFERROR(Tabela3[[#This Row],[Qtde Oleo]]*(VLOOKUP(Tabela3[[#This Row],[Data]],CompraOleo[],3,TRUE))*1.05,0)</f>
        <v>137.89797893786189</v>
      </c>
      <c r="AA669" s="47">
        <f ca="1">(Tabela3[[#This Row],[Custo Oleo]]+Tabela3[[#This Row],[Custo Aluminio]]+Tabela3[[#This Row],[Custo M.O. Total]]+Tabela3[[#This Row],[Custo Machos]])</f>
        <v>2515.5184929656398</v>
      </c>
      <c r="AB669" s="47">
        <f ca="1">Tabela3[[#This Row],[Custo Total]]*Tabela3[[#This Row],[% Perda]]</f>
        <v>0</v>
      </c>
      <c r="AC669" s="48">
        <f>IFERROR(VLOOKUP(Tabela3[[#This Row],[Produto]],Tabela2[],2,0),0)</f>
        <v>6</v>
      </c>
      <c r="AD669" s="48">
        <f>IFERROR(VLOOKUP(Tabela3[[#This Row],[Produto]],Tabela2[],3,0),0)</f>
        <v>0.30199999999999999</v>
      </c>
      <c r="AE669" s="48">
        <f>IFERROR(VLOOKUP(Tabela3[[#This Row],[Produto]],Tabela2[],4,0),0)</f>
        <v>2.1520000000000001</v>
      </c>
      <c r="AF669" s="48">
        <f>IFERROR(VLOOKUP(Tabela3[[#This Row],[Produto]],Tabela2[],5,0),0)</f>
        <v>0.30600000000000027</v>
      </c>
      <c r="AG669" s="40">
        <f>IFERROR(VLOOKUP(Tabela3[[#This Row],[Produto]],Tabela2[],6,0),0)</f>
        <v>0</v>
      </c>
      <c r="AH669" s="40">
        <f>IFERROR(VLOOKUP(Tabela3[[#This Row],[Produto]],Tabela2[],7,0),0)</f>
        <v>0</v>
      </c>
      <c r="AI669" s="40">
        <f>IFERROR(VLOOKUP(Tabela3[[#This Row],[Produto]],Tabela2[],8,0),0)</f>
        <v>0</v>
      </c>
      <c r="AJ669" s="35">
        <f ca="1">IFERROR(VLOOKUP(Tabela3[[#This Row],[Produto]],Tabela2[],13,0),0)</f>
        <v>15.600000000000001</v>
      </c>
      <c r="AK669" s="40" t="str">
        <f>IFERROR(VLOOKUP(Tabela3[[#This Row],[Produto]],Tabela2[],14,0),0)</f>
        <v>Senun</v>
      </c>
      <c r="AL669" s="40">
        <f>IFERROR(VLOOKUP(Tabela3[[#This Row],[Produto]],Tabela2[],15,0),0)</f>
        <v>4</v>
      </c>
      <c r="AM669" s="36">
        <f ca="1">(Tabela3[[#This Row],[Custo Usinagem]]+Tabela3[[#This Row],[Custo / Pç]])*1.2</f>
        <v>13.94733997442051</v>
      </c>
      <c r="AN669" s="36">
        <f ca="1">Tabela3[[#This Row],[Valor Mínimo Venda]]*1.15</f>
        <v>16.039440970583584</v>
      </c>
      <c r="AO669" s="36">
        <f ca="1">Tabela3[[#This Row],[Tabela 1]]*1.08</f>
        <v>17.322596248230273</v>
      </c>
      <c r="AP669" s="36">
        <f ca="1">Tabela3[[#This Row],[Tabela 2]]*1.15</f>
        <v>19.920985685464814</v>
      </c>
    </row>
    <row r="670" spans="1:42">
      <c r="A670" s="9">
        <v>45922</v>
      </c>
      <c r="B670" s="6" t="s">
        <v>168</v>
      </c>
      <c r="C670" s="14">
        <v>7986</v>
      </c>
      <c r="D670" s="6" t="s">
        <v>44</v>
      </c>
      <c r="E670" s="6" t="s">
        <v>47</v>
      </c>
      <c r="F670" s="6">
        <v>7</v>
      </c>
      <c r="G670" s="15">
        <v>0.32916666666666666</v>
      </c>
      <c r="H670" s="16">
        <v>0</v>
      </c>
      <c r="I670" s="35">
        <f ca="1">IFERROR(Tabela3[[#This Row],[Custo Total]]/Tabela3[[#This Row],[Aluminio Util]],0)</f>
        <v>23.225394208567291</v>
      </c>
      <c r="J670" s="35">
        <f ca="1">Tabela3[[#This Row],[Custo Total]]/Tabela3[[#This Row],[Realizado]]</f>
        <v>596.89263116017935</v>
      </c>
      <c r="K670" s="37">
        <f>IFERROR(Tabela3[[#This Row],[Qtde Cx Produzida]]/Tabela3[[#This Row],[Tempo]]/24,0)</f>
        <v>0.88607594936708856</v>
      </c>
      <c r="L670" s="37">
        <f>Tabela3[[#This Row],[Qtde Cx Produzida]]*Tabela3[[#This Row],[Qdt Peça Placa]]</f>
        <v>7</v>
      </c>
      <c r="M670" s="37">
        <f>Tabela3[[#This Row],[Previsto]]-Tabela3[[#This Row],[Perda Pçs]]</f>
        <v>7</v>
      </c>
      <c r="N670" s="38">
        <f>IFERROR(Tabela3[[#This Row],[Perda Pçs]]/Tabela3[[#This Row],[Previsto]],0)</f>
        <v>0</v>
      </c>
      <c r="O670" s="39">
        <f>IFERROR(IF(Tabela3[[#This Row],[Qtde Cx Produzida]] &lt;&gt; 0, Tabela3[[#This Row],[Tempo]] / Tabela3[[#This Row],[Qtde Cx Produzida]], 0),0)</f>
        <v>4.7023809523809523E-2</v>
      </c>
      <c r="P670" s="57">
        <f>IFERROR(Tabela3[[#This Row],[Perda Pçs]]/Tabela3[[#This Row],[Qdt Peça Placa]],0)</f>
        <v>0</v>
      </c>
      <c r="Q670" s="37">
        <f>IFERROR(Tabela3[[#This Row],[Realizado]]*Tabela3[[#This Row],[Peso Util/Pç]],0)</f>
        <v>179.9</v>
      </c>
      <c r="R670" s="37">
        <f>IFERROR(Tabela3[[#This Row],[Peso Total Galho]]*Tabela3[[#This Row],[Qtde Cx Produzida]]*1.055,0)</f>
        <v>201.38894999999997</v>
      </c>
      <c r="S670" s="37">
        <f>(Tabela3[[#This Row],[Aluminio Bruto]]-Tabela3[[#This Row],[Aluminio Util]])*0.9</f>
        <v>19.340054999999964</v>
      </c>
      <c r="T670" s="37">
        <f>Tabela3[[#This Row],[Aluminio Bruto]]/OleoKGAluminio</f>
        <v>84.724070871589348</v>
      </c>
      <c r="U670" s="35">
        <f>IFERROR((VLOOKUP(Tabela3[[#This Row],[Moldador]],Tabela1[],5,)+(VLOOKUP(Tabela3[[#This Row],[Ajudante]],Tabela1[],5,))*3.5),0)</f>
        <v>99.95034583333333</v>
      </c>
      <c r="V670" s="35">
        <f>IFERROR(Tabela3[[#This Row],[Custo M.O. / H]]/((Tabela3[[#This Row],[Realizado]]/Tabela3[[#This Row],[Qdt Peça Placa]])/Tabela3[[#This Row],[Tempo]]/24),)</f>
        <v>112.80110458333334</v>
      </c>
      <c r="W670" s="35">
        <f>Tabela3[[#This Row],[Custo / Cx Moldada]]*Tabela3[[#This Row],[Qtde Cx Produzida]]</f>
        <v>789.60773208333342</v>
      </c>
      <c r="X670" s="35">
        <f ca="1">Tabela3[[#This Row],[Aluminio Util]]*Tabela3[[#This Row],[Custo/Kg]]</f>
        <v>3166.2400000000002</v>
      </c>
      <c r="Y670" s="35">
        <f>IFERROR(VLOOKUP(Tabela3[[#This Row],[Data]],Tabela461213[],2,1)*(Tabela3[[#This Row],[Qtde Cx Produzida]]*Tabela3[[#This Row],[Qde macho / CX]]*Tabela3[[#This Row],[Peso Macho]]),)</f>
        <v>0</v>
      </c>
      <c r="Z670" s="35">
        <f>IFERROR(Tabela3[[#This Row],[Qtde Oleo]]*(VLOOKUP(Tabela3[[#This Row],[Data]],CompraOleo[],3,TRUE))*1.05,0)</f>
        <v>222.40068603792204</v>
      </c>
      <c r="AA670" s="47">
        <f ca="1">(Tabela3[[#This Row],[Custo Oleo]]+Tabela3[[#This Row],[Custo Aluminio]]+Tabela3[[#This Row],[Custo M.O. Total]]+Tabela3[[#This Row],[Custo Machos]])</f>
        <v>4178.2484181212558</v>
      </c>
      <c r="AB670" s="47">
        <f ca="1">Tabela3[[#This Row],[Custo Total]]*Tabela3[[#This Row],[% Perda]]</f>
        <v>0</v>
      </c>
      <c r="AC670" s="48">
        <f>IFERROR(VLOOKUP(Tabela3[[#This Row],[Produto]],Tabela2[],2,0),0)</f>
        <v>1</v>
      </c>
      <c r="AD670" s="48">
        <f>IFERROR(VLOOKUP(Tabela3[[#This Row],[Produto]],Tabela2[],3,0),0)</f>
        <v>25.7</v>
      </c>
      <c r="AE670" s="48">
        <f>IFERROR(VLOOKUP(Tabela3[[#This Row],[Produto]],Tabela2[],4,0),0)</f>
        <v>27.27</v>
      </c>
      <c r="AF670" s="48">
        <f>IFERROR(VLOOKUP(Tabela3[[#This Row],[Produto]],Tabela2[],5,0),0)</f>
        <v>1.4130000000000003</v>
      </c>
      <c r="AG670" s="40">
        <f>IFERROR(VLOOKUP(Tabela3[[#This Row],[Produto]],Tabela2[],6,0),0)</f>
        <v>0</v>
      </c>
      <c r="AH670" s="40">
        <f>IFERROR(VLOOKUP(Tabela3[[#This Row],[Produto]],Tabela2[],7,0),0)</f>
        <v>0</v>
      </c>
      <c r="AI670" s="40">
        <f>IFERROR(VLOOKUP(Tabela3[[#This Row],[Produto]],Tabela2[],8,0),0)</f>
        <v>0</v>
      </c>
      <c r="AJ670" s="35">
        <f ca="1">IFERROR(VLOOKUP(Tabela3[[#This Row],[Produto]],Tabela2[],13,0),0)</f>
        <v>17.600000000000001</v>
      </c>
      <c r="AK670" s="40" t="str">
        <f>IFERROR(VLOOKUP(Tabela3[[#This Row],[Produto]],Tabela2[],14,0),0)</f>
        <v>Oscar</v>
      </c>
      <c r="AL670" s="40">
        <f>IFERROR(VLOOKUP(Tabela3[[#This Row],[Produto]],Tabela2[],15,0),0)</f>
        <v>0</v>
      </c>
      <c r="AM670" s="36">
        <f ca="1">(Tabela3[[#This Row],[Custo Usinagem]]+Tabela3[[#This Row],[Custo / Pç]])*1.2</f>
        <v>716.27115739221517</v>
      </c>
      <c r="AN670" s="36">
        <f ca="1">Tabela3[[#This Row],[Valor Mínimo Venda]]*1.15</f>
        <v>823.71183100104736</v>
      </c>
      <c r="AO670" s="36">
        <f ca="1">Tabela3[[#This Row],[Tabela 1]]*1.08</f>
        <v>889.60877748113126</v>
      </c>
      <c r="AP670" s="36">
        <f ca="1">Tabela3[[#This Row],[Tabela 2]]*1.15</f>
        <v>1023.0500941033009</v>
      </c>
    </row>
    <row r="671" spans="1:42">
      <c r="A671" s="9">
        <v>45923</v>
      </c>
      <c r="B671" s="6" t="s">
        <v>91</v>
      </c>
      <c r="C671" s="14">
        <v>7989</v>
      </c>
      <c r="D671" s="6" t="s">
        <v>46</v>
      </c>
      <c r="E671" s="6" t="s">
        <v>326</v>
      </c>
      <c r="F671" s="6">
        <v>25</v>
      </c>
      <c r="G671" s="15">
        <v>0.17708333333333334</v>
      </c>
      <c r="H671" s="16">
        <v>0</v>
      </c>
      <c r="I671" s="35">
        <f ca="1">IFERROR(Tabela3[[#This Row],[Custo Total]]/Tabela3[[#This Row],[Aluminio Util]],0)</f>
        <v>40.395976058775098</v>
      </c>
      <c r="J671" s="35">
        <f ca="1">Tabela3[[#This Row],[Custo Total]]/Tabela3[[#This Row],[Realizado]]</f>
        <v>31.670445230079682</v>
      </c>
      <c r="K671" s="37">
        <f>IFERROR(Tabela3[[#This Row],[Qtde Cx Produzida]]/Tabela3[[#This Row],[Tempo]]/24,0)</f>
        <v>5.8823529411764701</v>
      </c>
      <c r="L671" s="37">
        <f>Tabela3[[#This Row],[Qtde Cx Produzida]]*Tabela3[[#This Row],[Qdt Peça Placa]]</f>
        <v>100</v>
      </c>
      <c r="M671" s="37">
        <f>Tabela3[[#This Row],[Previsto]]-Tabela3[[#This Row],[Perda Pçs]]</f>
        <v>100</v>
      </c>
      <c r="N671" s="38">
        <f>IFERROR(Tabela3[[#This Row],[Perda Pçs]]/Tabela3[[#This Row],[Previsto]],0)</f>
        <v>0</v>
      </c>
      <c r="O671" s="39">
        <f>IFERROR(IF(Tabela3[[#This Row],[Qtde Cx Produzida]] &lt;&gt; 0, Tabela3[[#This Row],[Tempo]] / Tabela3[[#This Row],[Qtde Cx Produzida]], 0),0)</f>
        <v>7.0833333333333338E-3</v>
      </c>
      <c r="P671" s="57">
        <f>IFERROR(Tabela3[[#This Row],[Perda Pçs]]/Tabela3[[#This Row],[Qdt Peça Placa]],0)</f>
        <v>0</v>
      </c>
      <c r="Q671" s="37">
        <f>IFERROR(Tabela3[[#This Row],[Realizado]]*Tabela3[[#This Row],[Peso Util/Pç]],0)</f>
        <v>78.400000000000006</v>
      </c>
      <c r="R671" s="37">
        <f>IFERROR(Tabela3[[#This Row],[Peso Total Galho]]*Tabela3[[#This Row],[Qtde Cx Produzida]]*1.055,0)</f>
        <v>146.32849999999999</v>
      </c>
      <c r="S671" s="37">
        <f>(Tabela3[[#This Row],[Aluminio Bruto]]-Tabela3[[#This Row],[Aluminio Util]])*0.9</f>
        <v>61.135649999999991</v>
      </c>
      <c r="T671" s="37">
        <f>Tabela3[[#This Row],[Aluminio Bruto]]/OleoKGAluminio</f>
        <v>61.560210749067231</v>
      </c>
      <c r="U671" s="35">
        <f>IFERROR((VLOOKUP(Tabela3[[#This Row],[Moldador]],Tabela1[],5,)+(VLOOKUP(Tabela3[[#This Row],[Ajudante]],Tabela1[],5,))*3.5),0)</f>
        <v>99.95034583333333</v>
      </c>
      <c r="V671" s="35">
        <f>IFERROR(Tabela3[[#This Row],[Custo M.O. / H]]/((Tabela3[[#This Row],[Realizado]]/Tabela3[[#This Row],[Qdt Peça Placa]])/Tabela3[[#This Row],[Tempo]]/24),)</f>
        <v>16.991558791666666</v>
      </c>
      <c r="W671" s="35">
        <f>Tabela3[[#This Row],[Custo / Cx Moldada]]*Tabela3[[#This Row],[Qtde Cx Produzida]]</f>
        <v>424.78896979166666</v>
      </c>
      <c r="X671" s="35">
        <f ca="1">Tabela3[[#This Row],[Aluminio Util]]*Tabela3[[#This Row],[Custo/Kg]]</f>
        <v>1223.0400000000002</v>
      </c>
      <c r="Y671" s="35">
        <f>IFERROR(VLOOKUP(Tabela3[[#This Row],[Data]],Tabela461213[],2,1)*(Tabela3[[#This Row],[Qtde Cx Produzida]]*Tabela3[[#This Row],[Qde macho / CX]]*Tabela3[[#This Row],[Peso Macho]]),)</f>
        <v>1357.62</v>
      </c>
      <c r="Z671" s="35">
        <f>IFERROR(Tabela3[[#This Row],[Qtde Oleo]]*(VLOOKUP(Tabela3[[#This Row],[Data]],CompraOleo[],3,TRUE))*1.05,0)</f>
        <v>161.59555321630148</v>
      </c>
      <c r="AA671" s="47">
        <f ca="1">(Tabela3[[#This Row],[Custo Oleo]]+Tabela3[[#This Row],[Custo Aluminio]]+Tabela3[[#This Row],[Custo M.O. Total]]+Tabela3[[#This Row],[Custo Machos]])</f>
        <v>3167.0445230079681</v>
      </c>
      <c r="AB671" s="47">
        <f ca="1">Tabela3[[#This Row],[Custo Total]]*Tabela3[[#This Row],[% Perda]]</f>
        <v>0</v>
      </c>
      <c r="AC671" s="48">
        <f>IFERROR(VLOOKUP(Tabela3[[#This Row],[Produto]],Tabela2[],2,0),0)</f>
        <v>4</v>
      </c>
      <c r="AD671" s="48">
        <f>IFERROR(VLOOKUP(Tabela3[[#This Row],[Produto]],Tabela2[],3,0),0)</f>
        <v>0.78400000000000003</v>
      </c>
      <c r="AE671" s="48">
        <f>IFERROR(VLOOKUP(Tabela3[[#This Row],[Produto]],Tabela2[],4,0),0)</f>
        <v>5.548</v>
      </c>
      <c r="AF671" s="48">
        <f>IFERROR(VLOOKUP(Tabela3[[#This Row],[Produto]],Tabela2[],5,0),0)</f>
        <v>2.1707999999999998</v>
      </c>
      <c r="AG671" s="40">
        <f>IFERROR(VLOOKUP(Tabela3[[#This Row],[Produto]],Tabela2[],6,0),0)</f>
        <v>0</v>
      </c>
      <c r="AH671" s="40">
        <f>IFERROR(VLOOKUP(Tabela3[[#This Row],[Produto]],Tabela2[],7,0),0)</f>
        <v>12</v>
      </c>
      <c r="AI671" s="40">
        <f>IFERROR(VLOOKUP(Tabela3[[#This Row],[Produto]],Tabela2[],8,0),0)</f>
        <v>2.6619999999999999</v>
      </c>
      <c r="AJ671" s="35">
        <f ca="1">IFERROR(VLOOKUP(Tabela3[[#This Row],[Produto]],Tabela2[],13,0),0)</f>
        <v>15.600000000000001</v>
      </c>
      <c r="AK671" s="40" t="str">
        <f>IFERROR(VLOOKUP(Tabela3[[#This Row],[Produto]],Tabela2[],14,0),0)</f>
        <v>Jumil</v>
      </c>
      <c r="AL671" s="40">
        <f>IFERROR(VLOOKUP(Tabela3[[#This Row],[Produto]],Tabela2[],15,0),0)</f>
        <v>8</v>
      </c>
      <c r="AM671" s="36">
        <f ca="1">(Tabela3[[#This Row],[Custo Usinagem]]+Tabela3[[#This Row],[Custo / Pç]])*1.2</f>
        <v>47.604534276095613</v>
      </c>
      <c r="AN671" s="36">
        <f ca="1">Tabela3[[#This Row],[Valor Mínimo Venda]]*1.15</f>
        <v>54.745214417509949</v>
      </c>
      <c r="AO671" s="36">
        <f ca="1">Tabela3[[#This Row],[Tabela 1]]*1.08</f>
        <v>59.12483157091075</v>
      </c>
      <c r="AP671" s="36">
        <f ca="1">Tabela3[[#This Row],[Tabela 2]]*1.15</f>
        <v>67.993556306547362</v>
      </c>
    </row>
    <row r="672" spans="1:42">
      <c r="A672" s="9">
        <v>45923</v>
      </c>
      <c r="B672" s="6" t="s">
        <v>240</v>
      </c>
      <c r="C672" s="14">
        <v>7983</v>
      </c>
      <c r="D672" s="6" t="s">
        <v>46</v>
      </c>
      <c r="E672" s="6" t="s">
        <v>326</v>
      </c>
      <c r="F672" s="6">
        <v>30</v>
      </c>
      <c r="G672" s="15">
        <v>0.16111111111111112</v>
      </c>
      <c r="H672" s="16">
        <v>0</v>
      </c>
      <c r="I672" s="35">
        <f ca="1">IFERROR(Tabela3[[#This Row],[Custo Total]]/Tabela3[[#This Row],[Aluminio Util]],0)</f>
        <v>26.602300423084802</v>
      </c>
      <c r="J672" s="35">
        <f ca="1">Tabela3[[#This Row],[Custo Total]]/Tabela3[[#This Row],[Realizado]]</f>
        <v>9.4970212510412733</v>
      </c>
      <c r="K672" s="37">
        <f>IFERROR(Tabela3[[#This Row],[Qtde Cx Produzida]]/Tabela3[[#This Row],[Tempo]]/24,0)</f>
        <v>7.7586206896551717</v>
      </c>
      <c r="L672" s="37">
        <f>Tabela3[[#This Row],[Qtde Cx Produzida]]*Tabela3[[#This Row],[Qdt Peça Placa]]</f>
        <v>120</v>
      </c>
      <c r="M672" s="37">
        <f>Tabela3[[#This Row],[Previsto]]-Tabela3[[#This Row],[Perda Pçs]]</f>
        <v>120</v>
      </c>
      <c r="N672" s="38">
        <f>IFERROR(Tabela3[[#This Row],[Perda Pçs]]/Tabela3[[#This Row],[Previsto]],0)</f>
        <v>0</v>
      </c>
      <c r="O672" s="39">
        <f>IFERROR(IF(Tabela3[[#This Row],[Qtde Cx Produzida]] &lt;&gt; 0, Tabela3[[#This Row],[Tempo]] / Tabela3[[#This Row],[Qtde Cx Produzida]], 0),0)</f>
        <v>5.3703703703703708E-3</v>
      </c>
      <c r="P672" s="57">
        <f>IFERROR(Tabela3[[#This Row],[Perda Pçs]]/Tabela3[[#This Row],[Qdt Peça Placa]],0)</f>
        <v>0</v>
      </c>
      <c r="Q672" s="37">
        <f>IFERROR(Tabela3[[#This Row],[Realizado]]*Tabela3[[#This Row],[Peso Util/Pç]],0)</f>
        <v>42.839999999999996</v>
      </c>
      <c r="R672" s="37">
        <f>IFERROR(Tabela3[[#This Row],[Peso Total Galho]]*Tabela3[[#This Row],[Qtde Cx Produzida]]*1.055,0)</f>
        <v>76.846199999999996</v>
      </c>
      <c r="S672" s="37">
        <f>(Tabela3[[#This Row],[Aluminio Bruto]]-Tabela3[[#This Row],[Aluminio Util]])*0.9</f>
        <v>30.60558</v>
      </c>
      <c r="T672" s="37">
        <f>Tabela3[[#This Row],[Aluminio Bruto]]/OleoKGAluminio</f>
        <v>32.329096978818001</v>
      </c>
      <c r="U672" s="35">
        <f>IFERROR((VLOOKUP(Tabela3[[#This Row],[Moldador]],Tabela1[],5,)+(VLOOKUP(Tabela3[[#This Row],[Ajudante]],Tabela1[],5,))*3.5),0)</f>
        <v>99.95034583333333</v>
      </c>
      <c r="V672" s="35">
        <f>IFERROR(Tabela3[[#This Row],[Custo M.O. / H]]/((Tabela3[[#This Row],[Realizado]]/Tabela3[[#This Row],[Qdt Peça Placa]])/Tabela3[[#This Row],[Tempo]]/24),)</f>
        <v>12.88248901851852</v>
      </c>
      <c r="W672" s="35">
        <f>Tabela3[[#This Row],[Custo / Cx Moldada]]*Tabela3[[#This Row],[Qtde Cx Produzida]]</f>
        <v>386.47467055555558</v>
      </c>
      <c r="X672" s="35">
        <f ca="1">Tabela3[[#This Row],[Aluminio Util]]*Tabela3[[#This Row],[Custo/Kg]]</f>
        <v>668.30399999999997</v>
      </c>
      <c r="Y672" s="35">
        <f>IFERROR(VLOOKUP(Tabela3[[#This Row],[Data]],Tabela461213[],2,1)*(Tabela3[[#This Row],[Qtde Cx Produzida]]*Tabela3[[#This Row],[Qde macho / CX]]*Tabela3[[#This Row],[Peso Macho]]),)</f>
        <v>0</v>
      </c>
      <c r="Z672" s="35">
        <f>IFERROR(Tabela3[[#This Row],[Qtde Oleo]]*(VLOOKUP(Tabela3[[#This Row],[Data]],CompraOleo[],3,TRUE))*1.05,0)</f>
        <v>84.863879569397255</v>
      </c>
      <c r="AA672" s="47">
        <f ca="1">(Tabela3[[#This Row],[Custo Oleo]]+Tabela3[[#This Row],[Custo Aluminio]]+Tabela3[[#This Row],[Custo M.O. Total]]+Tabela3[[#This Row],[Custo Machos]])</f>
        <v>1139.6425501249528</v>
      </c>
      <c r="AB672" s="47">
        <f ca="1">Tabela3[[#This Row],[Custo Total]]*Tabela3[[#This Row],[% Perda]]</f>
        <v>0</v>
      </c>
      <c r="AC672" s="48">
        <f>IFERROR(VLOOKUP(Tabela3[[#This Row],[Produto]],Tabela2[],2,0),0)</f>
        <v>4</v>
      </c>
      <c r="AD672" s="48">
        <f>IFERROR(VLOOKUP(Tabela3[[#This Row],[Produto]],Tabela2[],3,0),0)</f>
        <v>0.35699999999999998</v>
      </c>
      <c r="AE672" s="48">
        <f>IFERROR(VLOOKUP(Tabela3[[#This Row],[Produto]],Tabela2[],4,0),0)</f>
        <v>2.4279999999999999</v>
      </c>
      <c r="AF672" s="48">
        <f>IFERROR(VLOOKUP(Tabela3[[#This Row],[Produto]],Tabela2[],5,0),0)</f>
        <v>0.9</v>
      </c>
      <c r="AG672" s="40">
        <f>IFERROR(VLOOKUP(Tabela3[[#This Row],[Produto]],Tabela2[],6,0),0)</f>
        <v>0</v>
      </c>
      <c r="AH672" s="40">
        <f>IFERROR(VLOOKUP(Tabela3[[#This Row],[Produto]],Tabela2[],7,0),0)</f>
        <v>0</v>
      </c>
      <c r="AI672" s="40">
        <f>IFERROR(VLOOKUP(Tabela3[[#This Row],[Produto]],Tabela2[],8,0),0)</f>
        <v>0</v>
      </c>
      <c r="AJ672" s="35">
        <f ca="1">IFERROR(VLOOKUP(Tabela3[[#This Row],[Produto]],Tabela2[],13,0),0)</f>
        <v>15.600000000000001</v>
      </c>
      <c r="AK672" s="40" t="str">
        <f>IFERROR(VLOOKUP(Tabela3[[#This Row],[Produto]],Tabela2[],14,0),0)</f>
        <v>Senun</v>
      </c>
      <c r="AL672" s="40">
        <f>IFERROR(VLOOKUP(Tabela3[[#This Row],[Produto]],Tabela2[],15,0),0)</f>
        <v>4</v>
      </c>
      <c r="AM672" s="36">
        <f ca="1">(Tabela3[[#This Row],[Custo Usinagem]]+Tabela3[[#This Row],[Custo / Pç]])*1.2</f>
        <v>16.196425501249529</v>
      </c>
      <c r="AN672" s="36">
        <f ca="1">Tabela3[[#This Row],[Valor Mínimo Venda]]*1.15</f>
        <v>18.625889326436955</v>
      </c>
      <c r="AO672" s="36">
        <f ca="1">Tabela3[[#This Row],[Tabela 1]]*1.08</f>
        <v>20.115960472551912</v>
      </c>
      <c r="AP672" s="36">
        <f ca="1">Tabela3[[#This Row],[Tabela 2]]*1.15</f>
        <v>23.133354543434695</v>
      </c>
    </row>
    <row r="673" spans="1:42">
      <c r="A673" s="9">
        <v>45923</v>
      </c>
      <c r="B673" s="6" t="s">
        <v>236</v>
      </c>
      <c r="C673" s="14">
        <v>7927</v>
      </c>
      <c r="D673" s="6" t="s">
        <v>46</v>
      </c>
      <c r="E673" s="6" t="s">
        <v>326</v>
      </c>
      <c r="F673" s="6">
        <v>10</v>
      </c>
      <c r="G673" s="15">
        <v>6.25E-2</v>
      </c>
      <c r="H673" s="16">
        <v>0</v>
      </c>
      <c r="I673" s="35">
        <f ca="1">IFERROR(Tabela3[[#This Row],[Custo Total]]/Tabela3[[#This Row],[Aluminio Util]],0)</f>
        <v>25.257719567156951</v>
      </c>
      <c r="J673" s="35">
        <f ca="1">Tabela3[[#This Row],[Custo Total]]/Tabela3[[#This Row],[Realizado]]</f>
        <v>7.6278313092814001</v>
      </c>
      <c r="K673" s="37">
        <f>IFERROR(Tabela3[[#This Row],[Qtde Cx Produzida]]/Tabela3[[#This Row],[Tempo]]/24,0)</f>
        <v>6.666666666666667</v>
      </c>
      <c r="L673" s="37">
        <f>Tabela3[[#This Row],[Qtde Cx Produzida]]*Tabela3[[#This Row],[Qdt Peça Placa]]</f>
        <v>60</v>
      </c>
      <c r="M673" s="37">
        <f>Tabela3[[#This Row],[Previsto]]-Tabela3[[#This Row],[Perda Pçs]]</f>
        <v>60</v>
      </c>
      <c r="N673" s="38">
        <f>IFERROR(Tabela3[[#This Row],[Perda Pçs]]/Tabela3[[#This Row],[Previsto]],0)</f>
        <v>0</v>
      </c>
      <c r="O673" s="39">
        <f>IFERROR(IF(Tabela3[[#This Row],[Qtde Cx Produzida]] &lt;&gt; 0, Tabela3[[#This Row],[Tempo]] / Tabela3[[#This Row],[Qtde Cx Produzida]], 0),0)</f>
        <v>6.2500000000000003E-3</v>
      </c>
      <c r="P673" s="57">
        <f>IFERROR(Tabela3[[#This Row],[Perda Pçs]]/Tabela3[[#This Row],[Qdt Peça Placa]],0)</f>
        <v>0</v>
      </c>
      <c r="Q673" s="37">
        <f>IFERROR(Tabela3[[#This Row],[Realizado]]*Tabela3[[#This Row],[Peso Util/Pç]],0)</f>
        <v>18.12</v>
      </c>
      <c r="R673" s="37">
        <f>IFERROR(Tabela3[[#This Row],[Peso Total Galho]]*Tabela3[[#This Row],[Qtde Cx Produzida]]*1.055,0)</f>
        <v>22.703600000000002</v>
      </c>
      <c r="S673" s="37">
        <f>(Tabela3[[#This Row],[Aluminio Bruto]]-Tabela3[[#This Row],[Aluminio Util]])*0.9</f>
        <v>4.1252400000000007</v>
      </c>
      <c r="T673" s="37">
        <f>Tabela3[[#This Row],[Aluminio Bruto]]/OleoKGAluminio</f>
        <v>9.5513751645272311</v>
      </c>
      <c r="U673" s="35">
        <f>IFERROR((VLOOKUP(Tabela3[[#This Row],[Moldador]],Tabela1[],5,)+(VLOOKUP(Tabela3[[#This Row],[Ajudante]],Tabela1[],5,))*3.5),0)</f>
        <v>99.95034583333333</v>
      </c>
      <c r="V673" s="35">
        <f>IFERROR(Tabela3[[#This Row],[Custo M.O. / H]]/((Tabela3[[#This Row],[Realizado]]/Tabela3[[#This Row],[Qdt Peça Placa]])/Tabela3[[#This Row],[Tempo]]/24),)</f>
        <v>14.992551874999998</v>
      </c>
      <c r="W673" s="35">
        <f>Tabela3[[#This Row],[Custo / Cx Moldada]]*Tabela3[[#This Row],[Qtde Cx Produzida]]</f>
        <v>149.92551874999998</v>
      </c>
      <c r="X673" s="35">
        <f ca="1">Tabela3[[#This Row],[Aluminio Util]]*Tabela3[[#This Row],[Custo/Kg]]</f>
        <v>282.67200000000003</v>
      </c>
      <c r="Y673" s="35">
        <f>IFERROR(VLOOKUP(Tabela3[[#This Row],[Data]],Tabela461213[],2,1)*(Tabela3[[#This Row],[Qtde Cx Produzida]]*Tabela3[[#This Row],[Qde macho / CX]]*Tabela3[[#This Row],[Peso Macho]]),)</f>
        <v>0</v>
      </c>
      <c r="Z673" s="35">
        <f>IFERROR(Tabela3[[#This Row],[Qtde Oleo]]*(VLOOKUP(Tabela3[[#This Row],[Data]],CompraOleo[],3,TRUE))*1.05,0)</f>
        <v>25.072359806883981</v>
      </c>
      <c r="AA673" s="47">
        <f ca="1">(Tabela3[[#This Row],[Custo Oleo]]+Tabela3[[#This Row],[Custo Aluminio]]+Tabela3[[#This Row],[Custo M.O. Total]]+Tabela3[[#This Row],[Custo Machos]])</f>
        <v>457.66987855688399</v>
      </c>
      <c r="AB673" s="47">
        <f ca="1">Tabela3[[#This Row],[Custo Total]]*Tabela3[[#This Row],[% Perda]]</f>
        <v>0</v>
      </c>
      <c r="AC673" s="48">
        <f>IFERROR(VLOOKUP(Tabela3[[#This Row],[Produto]],Tabela2[],2,0),0)</f>
        <v>6</v>
      </c>
      <c r="AD673" s="48">
        <f>IFERROR(VLOOKUP(Tabela3[[#This Row],[Produto]],Tabela2[],3,0),0)</f>
        <v>0.30199999999999999</v>
      </c>
      <c r="AE673" s="48">
        <f>IFERROR(VLOOKUP(Tabela3[[#This Row],[Produto]],Tabela2[],4,0),0)</f>
        <v>2.1520000000000001</v>
      </c>
      <c r="AF673" s="48">
        <f>IFERROR(VLOOKUP(Tabela3[[#This Row],[Produto]],Tabela2[],5,0),0)</f>
        <v>0.30600000000000027</v>
      </c>
      <c r="AG673" s="40">
        <f>IFERROR(VLOOKUP(Tabela3[[#This Row],[Produto]],Tabela2[],6,0),0)</f>
        <v>0</v>
      </c>
      <c r="AH673" s="40">
        <f>IFERROR(VLOOKUP(Tabela3[[#This Row],[Produto]],Tabela2[],7,0),0)</f>
        <v>0</v>
      </c>
      <c r="AI673" s="40">
        <f>IFERROR(VLOOKUP(Tabela3[[#This Row],[Produto]],Tabela2[],8,0),0)</f>
        <v>0</v>
      </c>
      <c r="AJ673" s="35">
        <f ca="1">IFERROR(VLOOKUP(Tabela3[[#This Row],[Produto]],Tabela2[],13,0),0)</f>
        <v>15.600000000000001</v>
      </c>
      <c r="AK673" s="40" t="str">
        <f>IFERROR(VLOOKUP(Tabela3[[#This Row],[Produto]],Tabela2[],14,0),0)</f>
        <v>Senun</v>
      </c>
      <c r="AL673" s="40">
        <f>IFERROR(VLOOKUP(Tabela3[[#This Row],[Produto]],Tabela2[],15,0),0)</f>
        <v>4</v>
      </c>
      <c r="AM673" s="36">
        <f ca="1">(Tabela3[[#This Row],[Custo Usinagem]]+Tabela3[[#This Row],[Custo / Pç]])*1.2</f>
        <v>13.95339757113768</v>
      </c>
      <c r="AN673" s="36">
        <f ca="1">Tabela3[[#This Row],[Valor Mínimo Venda]]*1.15</f>
        <v>16.046407206808333</v>
      </c>
      <c r="AO673" s="36">
        <f ca="1">Tabela3[[#This Row],[Tabela 1]]*1.08</f>
        <v>17.330119783353002</v>
      </c>
      <c r="AP673" s="36">
        <f ca="1">Tabela3[[#This Row],[Tabela 2]]*1.15</f>
        <v>19.929637750855949</v>
      </c>
    </row>
    <row r="674" spans="1:42">
      <c r="A674" s="9">
        <v>45923</v>
      </c>
      <c r="B674" s="6" t="s">
        <v>247</v>
      </c>
      <c r="C674" s="14">
        <v>7982</v>
      </c>
      <c r="D674" s="6" t="s">
        <v>46</v>
      </c>
      <c r="E674" s="6" t="s">
        <v>326</v>
      </c>
      <c r="F674" s="6">
        <v>7</v>
      </c>
      <c r="G674" s="15">
        <v>3.5416666666666666E-2</v>
      </c>
      <c r="H674" s="16">
        <v>0</v>
      </c>
      <c r="I674" s="35">
        <f ca="1">IFERROR(Tabela3[[#This Row],[Custo Total]]/Tabela3[[#This Row],[Aluminio Util]],0)</f>
        <v>27.947078680265122</v>
      </c>
      <c r="J674" s="35">
        <f ca="1">Tabela3[[#This Row],[Custo Total]]/Tabela3[[#This Row],[Realizado]]</f>
        <v>8.3841236040795373</v>
      </c>
      <c r="K674" s="37">
        <f>IFERROR(Tabela3[[#This Row],[Qtde Cx Produzida]]/Tabela3[[#This Row],[Tempo]]/24,0)</f>
        <v>8.2352941176470598</v>
      </c>
      <c r="L674" s="37">
        <f>Tabela3[[#This Row],[Qtde Cx Produzida]]*Tabela3[[#This Row],[Qdt Peça Placa]]</f>
        <v>28</v>
      </c>
      <c r="M674" s="37">
        <f>Tabela3[[#This Row],[Previsto]]-Tabela3[[#This Row],[Perda Pçs]]</f>
        <v>28</v>
      </c>
      <c r="N674" s="38">
        <f>IFERROR(Tabela3[[#This Row],[Perda Pçs]]/Tabela3[[#This Row],[Previsto]],0)</f>
        <v>0</v>
      </c>
      <c r="O674" s="39">
        <f>IFERROR(IF(Tabela3[[#This Row],[Qtde Cx Produzida]] &lt;&gt; 0, Tabela3[[#This Row],[Tempo]] / Tabela3[[#This Row],[Qtde Cx Produzida]], 0),0)</f>
        <v>5.0595238095238098E-3</v>
      </c>
      <c r="P674" s="57">
        <f>IFERROR(Tabela3[[#This Row],[Perda Pçs]]/Tabela3[[#This Row],[Qdt Peça Placa]],0)</f>
        <v>0</v>
      </c>
      <c r="Q674" s="37">
        <f>IFERROR(Tabela3[[#This Row],[Realizado]]*Tabela3[[#This Row],[Peso Util/Pç]],0)</f>
        <v>8.4</v>
      </c>
      <c r="R674" s="37">
        <f>IFERROR(Tabela3[[#This Row],[Peso Total Galho]]*Tabela3[[#This Row],[Qtde Cx Produzida]]*1.055,0)</f>
        <v>16.985499999999998</v>
      </c>
      <c r="S674" s="37">
        <f>(Tabela3[[#This Row],[Aluminio Bruto]]-Tabela3[[#This Row],[Aluminio Util]])*0.9</f>
        <v>7.7269499999999987</v>
      </c>
      <c r="T674" s="37">
        <f>Tabela3[[#This Row],[Aluminio Bruto]]/OleoKGAluminio</f>
        <v>7.1457778879594978</v>
      </c>
      <c r="U674" s="35">
        <f>IFERROR((VLOOKUP(Tabela3[[#This Row],[Moldador]],Tabela1[],5,)+(VLOOKUP(Tabela3[[#This Row],[Ajudante]],Tabela1[],5,))*3.5),0)</f>
        <v>99.95034583333333</v>
      </c>
      <c r="V674" s="35">
        <f>IFERROR(Tabela3[[#This Row],[Custo M.O. / H]]/((Tabela3[[#This Row],[Realizado]]/Tabela3[[#This Row],[Qdt Peça Placa]])/Tabela3[[#This Row],[Tempo]]/24),)</f>
        <v>12.136827708333332</v>
      </c>
      <c r="W674" s="35">
        <f>Tabela3[[#This Row],[Custo / Cx Moldada]]*Tabela3[[#This Row],[Qtde Cx Produzida]]</f>
        <v>84.957793958333326</v>
      </c>
      <c r="X674" s="35">
        <f ca="1">Tabela3[[#This Row],[Aluminio Util]]*Tabela3[[#This Row],[Custo/Kg]]</f>
        <v>131.04000000000002</v>
      </c>
      <c r="Y674" s="35">
        <f>IFERROR(VLOOKUP(Tabela3[[#This Row],[Data]],Tabela461213[],2,1)*(Tabela3[[#This Row],[Qtde Cx Produzida]]*Tabela3[[#This Row],[Qde macho / CX]]*Tabela3[[#This Row],[Peso Macho]]),)</f>
        <v>0</v>
      </c>
      <c r="Z674" s="35">
        <f>IFERROR(Tabela3[[#This Row],[Qtde Oleo]]*(VLOOKUP(Tabela3[[#This Row],[Data]],CompraOleo[],3,TRUE))*1.05,0)</f>
        <v>18.757666955893683</v>
      </c>
      <c r="AA674" s="47">
        <f ca="1">(Tabela3[[#This Row],[Custo Oleo]]+Tabela3[[#This Row],[Custo Aluminio]]+Tabela3[[#This Row],[Custo M.O. Total]]+Tabela3[[#This Row],[Custo Machos]])</f>
        <v>234.75546091422703</v>
      </c>
      <c r="AB674" s="47">
        <f ca="1">Tabela3[[#This Row],[Custo Total]]*Tabela3[[#This Row],[% Perda]]</f>
        <v>0</v>
      </c>
      <c r="AC674" s="48">
        <f>IFERROR(VLOOKUP(Tabela3[[#This Row],[Produto]],Tabela2[],2,0),0)</f>
        <v>4</v>
      </c>
      <c r="AD674" s="48">
        <f>IFERROR(VLOOKUP(Tabela3[[#This Row],[Produto]],Tabela2[],3,0),0)</f>
        <v>0.3</v>
      </c>
      <c r="AE674" s="48">
        <f>IFERROR(VLOOKUP(Tabela3[[#This Row],[Produto]],Tabela2[],4,0),0)</f>
        <v>2.2999999999999998</v>
      </c>
      <c r="AF674" s="48">
        <f>IFERROR(VLOOKUP(Tabela3[[#This Row],[Produto]],Tabela2[],5,0),0)</f>
        <v>0.98999999999999988</v>
      </c>
      <c r="AG674" s="40">
        <f>IFERROR(VLOOKUP(Tabela3[[#This Row],[Produto]],Tabela2[],6,0),0)</f>
        <v>0</v>
      </c>
      <c r="AH674" s="40">
        <f>IFERROR(VLOOKUP(Tabela3[[#This Row],[Produto]],Tabela2[],7,0),0)</f>
        <v>0</v>
      </c>
      <c r="AI674" s="40">
        <f>IFERROR(VLOOKUP(Tabela3[[#This Row],[Produto]],Tabela2[],8,0),0)</f>
        <v>0</v>
      </c>
      <c r="AJ674" s="35">
        <f ca="1">IFERROR(VLOOKUP(Tabela3[[#This Row],[Produto]],Tabela2[],13,0),0)</f>
        <v>15.600000000000001</v>
      </c>
      <c r="AK674" s="40" t="str">
        <f>IFERROR(VLOOKUP(Tabela3[[#This Row],[Produto]],Tabela2[],14,0),0)</f>
        <v>Senun</v>
      </c>
      <c r="AL674" s="40">
        <f>IFERROR(VLOOKUP(Tabela3[[#This Row],[Produto]],Tabela2[],15,0),0)</f>
        <v>3.5</v>
      </c>
      <c r="AM674" s="36">
        <f ca="1">(Tabela3[[#This Row],[Custo Usinagem]]+Tabela3[[#This Row],[Custo / Pç]])*1.2</f>
        <v>14.260948324895445</v>
      </c>
      <c r="AN674" s="36">
        <f ca="1">Tabela3[[#This Row],[Valor Mínimo Venda]]*1.15</f>
        <v>16.400090573629761</v>
      </c>
      <c r="AO674" s="36">
        <f ca="1">Tabela3[[#This Row],[Tabela 1]]*1.08</f>
        <v>17.712097819520142</v>
      </c>
      <c r="AP674" s="36">
        <f ca="1">Tabela3[[#This Row],[Tabela 2]]*1.15</f>
        <v>20.368912492448164</v>
      </c>
    </row>
    <row r="675" spans="1:42">
      <c r="A675" s="9">
        <v>45923</v>
      </c>
      <c r="B675" s="6" t="s">
        <v>168</v>
      </c>
      <c r="C675" s="14">
        <v>7986</v>
      </c>
      <c r="D675" s="6" t="s">
        <v>44</v>
      </c>
      <c r="E675" s="6" t="s">
        <v>47</v>
      </c>
      <c r="F675" s="6">
        <v>1</v>
      </c>
      <c r="G675" s="15">
        <v>5.6944444444444443E-2</v>
      </c>
      <c r="H675" s="16">
        <v>0</v>
      </c>
      <c r="I675" s="35">
        <f ca="1">IFERROR(Tabela3[[#This Row],[Custo Total]]/Tabela3[[#This Row],[Aluminio Util]],0)</f>
        <v>24.151374807356742</v>
      </c>
      <c r="J675" s="35">
        <f ca="1">Tabela3[[#This Row],[Custo Total]]/Tabela3[[#This Row],[Realizado]]</f>
        <v>620.69033254906822</v>
      </c>
      <c r="K675" s="37">
        <f>IFERROR(Tabela3[[#This Row],[Qtde Cx Produzida]]/Tabela3[[#This Row],[Tempo]]/24,0)</f>
        <v>0.73170731707317083</v>
      </c>
      <c r="L675" s="37">
        <f>Tabela3[[#This Row],[Qtde Cx Produzida]]*Tabela3[[#This Row],[Qdt Peça Placa]]</f>
        <v>1</v>
      </c>
      <c r="M675" s="37">
        <f>Tabela3[[#This Row],[Previsto]]-Tabela3[[#This Row],[Perda Pçs]]</f>
        <v>1</v>
      </c>
      <c r="N675" s="38">
        <f>IFERROR(Tabela3[[#This Row],[Perda Pçs]]/Tabela3[[#This Row],[Previsto]],0)</f>
        <v>0</v>
      </c>
      <c r="O675" s="39">
        <f>IFERROR(IF(Tabela3[[#This Row],[Qtde Cx Produzida]] &lt;&gt; 0, Tabela3[[#This Row],[Tempo]] / Tabela3[[#This Row],[Qtde Cx Produzida]], 0),0)</f>
        <v>5.6944444444444443E-2</v>
      </c>
      <c r="P675" s="57">
        <f>IFERROR(Tabela3[[#This Row],[Perda Pçs]]/Tabela3[[#This Row],[Qdt Peça Placa]],0)</f>
        <v>0</v>
      </c>
      <c r="Q675" s="37">
        <f>IFERROR(Tabela3[[#This Row],[Realizado]]*Tabela3[[#This Row],[Peso Util/Pç]],0)</f>
        <v>25.7</v>
      </c>
      <c r="R675" s="37">
        <f>IFERROR(Tabela3[[#This Row],[Peso Total Galho]]*Tabela3[[#This Row],[Qtde Cx Produzida]]*1.055,0)</f>
        <v>28.769849999999998</v>
      </c>
      <c r="S675" s="37">
        <f>(Tabela3[[#This Row],[Aluminio Bruto]]-Tabela3[[#This Row],[Aluminio Util]])*0.9</f>
        <v>2.7628649999999992</v>
      </c>
      <c r="T675" s="37">
        <f>Tabela3[[#This Row],[Aluminio Bruto]]/OleoKGAluminio</f>
        <v>12.103438695941335</v>
      </c>
      <c r="U675" s="35">
        <f>IFERROR((VLOOKUP(Tabela3[[#This Row],[Moldador]],Tabela1[],5,)+(VLOOKUP(Tabela3[[#This Row],[Ajudante]],Tabela1[],5,))*3.5),0)</f>
        <v>99.95034583333333</v>
      </c>
      <c r="V675" s="35">
        <f>IFERROR(Tabela3[[#This Row],[Custo M.O. / H]]/((Tabela3[[#This Row],[Realizado]]/Tabela3[[#This Row],[Qdt Peça Placa]])/Tabela3[[#This Row],[Tempo]]/24),)</f>
        <v>136.59880597222221</v>
      </c>
      <c r="W675" s="35">
        <f>Tabela3[[#This Row],[Custo / Cx Moldada]]*Tabela3[[#This Row],[Qtde Cx Produzida]]</f>
        <v>136.59880597222221</v>
      </c>
      <c r="X675" s="35">
        <f ca="1">Tabela3[[#This Row],[Aluminio Util]]*Tabela3[[#This Row],[Custo/Kg]]</f>
        <v>452.32000000000005</v>
      </c>
      <c r="Y675" s="35">
        <f>IFERROR(VLOOKUP(Tabela3[[#This Row],[Data]],Tabela461213[],2,1)*(Tabela3[[#This Row],[Qtde Cx Produzida]]*Tabela3[[#This Row],[Qde macho / CX]]*Tabela3[[#This Row],[Peso Macho]]),)</f>
        <v>0</v>
      </c>
      <c r="Z675" s="35">
        <f>IFERROR(Tabela3[[#This Row],[Qtde Oleo]]*(VLOOKUP(Tabela3[[#This Row],[Data]],CompraOleo[],3,TRUE))*1.05,0)</f>
        <v>31.771526576846007</v>
      </c>
      <c r="AA675" s="47">
        <f ca="1">(Tabela3[[#This Row],[Custo Oleo]]+Tabela3[[#This Row],[Custo Aluminio]]+Tabela3[[#This Row],[Custo M.O. Total]]+Tabela3[[#This Row],[Custo Machos]])</f>
        <v>620.69033254906822</v>
      </c>
      <c r="AB675" s="47">
        <f ca="1">Tabela3[[#This Row],[Custo Total]]*Tabela3[[#This Row],[% Perda]]</f>
        <v>0</v>
      </c>
      <c r="AC675" s="48">
        <f>IFERROR(VLOOKUP(Tabela3[[#This Row],[Produto]],Tabela2[],2,0),0)</f>
        <v>1</v>
      </c>
      <c r="AD675" s="48">
        <f>IFERROR(VLOOKUP(Tabela3[[#This Row],[Produto]],Tabela2[],3,0),0)</f>
        <v>25.7</v>
      </c>
      <c r="AE675" s="48">
        <f>IFERROR(VLOOKUP(Tabela3[[#This Row],[Produto]],Tabela2[],4,0),0)</f>
        <v>27.27</v>
      </c>
      <c r="AF675" s="48">
        <f>IFERROR(VLOOKUP(Tabela3[[#This Row],[Produto]],Tabela2[],5,0),0)</f>
        <v>1.4130000000000003</v>
      </c>
      <c r="AG675" s="40">
        <f>IFERROR(VLOOKUP(Tabela3[[#This Row],[Produto]],Tabela2[],6,0),0)</f>
        <v>0</v>
      </c>
      <c r="AH675" s="40">
        <f>IFERROR(VLOOKUP(Tabela3[[#This Row],[Produto]],Tabela2[],7,0),0)</f>
        <v>0</v>
      </c>
      <c r="AI675" s="40">
        <f>IFERROR(VLOOKUP(Tabela3[[#This Row],[Produto]],Tabela2[],8,0),0)</f>
        <v>0</v>
      </c>
      <c r="AJ675" s="35">
        <f ca="1">IFERROR(VLOOKUP(Tabela3[[#This Row],[Produto]],Tabela2[],13,0),0)</f>
        <v>17.600000000000001</v>
      </c>
      <c r="AK675" s="40" t="str">
        <f>IFERROR(VLOOKUP(Tabela3[[#This Row],[Produto]],Tabela2[],14,0),0)</f>
        <v>Oscar</v>
      </c>
      <c r="AL675" s="40">
        <f>IFERROR(VLOOKUP(Tabela3[[#This Row],[Produto]],Tabela2[],15,0),0)</f>
        <v>0</v>
      </c>
      <c r="AM675" s="36">
        <f ca="1">(Tabela3[[#This Row],[Custo Usinagem]]+Tabela3[[#This Row],[Custo / Pç]])*1.2</f>
        <v>744.82839905888181</v>
      </c>
      <c r="AN675" s="36">
        <f ca="1">Tabela3[[#This Row],[Valor Mínimo Venda]]*1.15</f>
        <v>856.55265891771398</v>
      </c>
      <c r="AO675" s="36">
        <f ca="1">Tabela3[[#This Row],[Tabela 1]]*1.08</f>
        <v>925.07687163113121</v>
      </c>
      <c r="AP675" s="36">
        <f ca="1">Tabela3[[#This Row],[Tabela 2]]*1.15</f>
        <v>1063.8384023758008</v>
      </c>
    </row>
    <row r="676" spans="1:42">
      <c r="A676" s="9">
        <v>45923</v>
      </c>
      <c r="B676" s="6" t="s">
        <v>110</v>
      </c>
      <c r="C676" s="14">
        <v>8010</v>
      </c>
      <c r="D676" s="6" t="s">
        <v>44</v>
      </c>
      <c r="E676" s="6" t="s">
        <v>47</v>
      </c>
      <c r="F676" s="6">
        <v>7</v>
      </c>
      <c r="G676" s="15">
        <v>4.8611111111111112E-2</v>
      </c>
      <c r="H676" s="16">
        <v>0</v>
      </c>
      <c r="I676" s="35">
        <f ca="1">IFERROR(Tabela3[[#This Row],[Custo Total]]/Tabela3[[#This Row],[Aluminio Util]],0)</f>
        <v>25.576699963271942</v>
      </c>
      <c r="J676" s="35">
        <f ca="1">Tabela3[[#This Row],[Custo Total]]/Tabela3[[#This Row],[Realizado]]</f>
        <v>49.874564928380288</v>
      </c>
      <c r="K676" s="37">
        <f>IFERROR(Tabela3[[#This Row],[Qtde Cx Produzida]]/Tabela3[[#This Row],[Tempo]]/24,0)</f>
        <v>6</v>
      </c>
      <c r="L676" s="37">
        <f>Tabela3[[#This Row],[Qtde Cx Produzida]]*Tabela3[[#This Row],[Qdt Peça Placa]]</f>
        <v>7</v>
      </c>
      <c r="M676" s="37">
        <f>Tabela3[[#This Row],[Previsto]]-Tabela3[[#This Row],[Perda Pçs]]</f>
        <v>7</v>
      </c>
      <c r="N676" s="38">
        <f>IFERROR(Tabela3[[#This Row],[Perda Pçs]]/Tabela3[[#This Row],[Previsto]],0)</f>
        <v>0</v>
      </c>
      <c r="O676" s="39">
        <f>IFERROR(IF(Tabela3[[#This Row],[Qtde Cx Produzida]] &lt;&gt; 0, Tabela3[[#This Row],[Tempo]] / Tabela3[[#This Row],[Qtde Cx Produzida]], 0),0)</f>
        <v>6.9444444444444449E-3</v>
      </c>
      <c r="P676" s="57">
        <f>IFERROR(Tabela3[[#This Row],[Perda Pçs]]/Tabela3[[#This Row],[Qdt Peça Placa]],0)</f>
        <v>0</v>
      </c>
      <c r="Q676" s="37">
        <f>IFERROR(Tabela3[[#This Row],[Realizado]]*Tabela3[[#This Row],[Peso Util/Pç]],0)</f>
        <v>13.65</v>
      </c>
      <c r="R676" s="37">
        <f>IFERROR(Tabela3[[#This Row],[Peso Total Galho]]*Tabela3[[#This Row],[Qtde Cx Produzida]]*1.055,0)</f>
        <v>17.724</v>
      </c>
      <c r="S676" s="37">
        <f>(Tabela3[[#This Row],[Aluminio Bruto]]-Tabela3[[#This Row],[Aluminio Util]])*0.9</f>
        <v>3.6665999999999999</v>
      </c>
      <c r="T676" s="37">
        <f>Tabela3[[#This Row],[Aluminio Bruto]]/OleoKGAluminio</f>
        <v>7.4564638830881727</v>
      </c>
      <c r="U676" s="35">
        <f>IFERROR((VLOOKUP(Tabela3[[#This Row],[Moldador]],Tabela1[],5,)+(VLOOKUP(Tabela3[[#This Row],[Ajudante]],Tabela1[],5,))*3.5),0)</f>
        <v>99.95034583333333</v>
      </c>
      <c r="V676" s="35">
        <f>IFERROR(Tabela3[[#This Row],[Custo M.O. / H]]/((Tabela3[[#This Row],[Realizado]]/Tabela3[[#This Row],[Qdt Peça Placa]])/Tabela3[[#This Row],[Tempo]]/24),)</f>
        <v>16.658390972222222</v>
      </c>
      <c r="W676" s="35">
        <f>Tabela3[[#This Row],[Custo / Cx Moldada]]*Tabela3[[#This Row],[Qtde Cx Produzida]]</f>
        <v>116.60873680555555</v>
      </c>
      <c r="X676" s="35">
        <f ca="1">Tabela3[[#This Row],[Aluminio Util]]*Tabela3[[#This Row],[Custo/Kg]]</f>
        <v>212.94000000000003</v>
      </c>
      <c r="Y676" s="35">
        <f>IFERROR(VLOOKUP(Tabela3[[#This Row],[Data]],Tabela461213[],2,1)*(Tabela3[[#This Row],[Qtde Cx Produzida]]*Tabela3[[#This Row],[Qde macho / CX]]*Tabela3[[#This Row],[Peso Macho]]),)</f>
        <v>0</v>
      </c>
      <c r="Z676" s="35">
        <f>IFERROR(Tabela3[[#This Row],[Qtde Oleo]]*(VLOOKUP(Tabela3[[#This Row],[Data]],CompraOleo[],3,TRUE))*1.05,0)</f>
        <v>19.573217693106457</v>
      </c>
      <c r="AA676" s="47">
        <f ca="1">(Tabela3[[#This Row],[Custo Oleo]]+Tabela3[[#This Row],[Custo Aluminio]]+Tabela3[[#This Row],[Custo M.O. Total]]+Tabela3[[#This Row],[Custo Machos]])</f>
        <v>349.12195449866203</v>
      </c>
      <c r="AB676" s="47">
        <f ca="1">Tabela3[[#This Row],[Custo Total]]*Tabela3[[#This Row],[% Perda]]</f>
        <v>0</v>
      </c>
      <c r="AC676" s="48">
        <f>IFERROR(VLOOKUP(Tabela3[[#This Row],[Produto]],Tabela2[],2,0),0)</f>
        <v>1</v>
      </c>
      <c r="AD676" s="48">
        <f>IFERROR(VLOOKUP(Tabela3[[#This Row],[Produto]],Tabela2[],3,0),0)</f>
        <v>1.95</v>
      </c>
      <c r="AE676" s="48">
        <f>IFERROR(VLOOKUP(Tabela3[[#This Row],[Produto]],Tabela2[],4,0),0)</f>
        <v>2.4</v>
      </c>
      <c r="AF676" s="48">
        <f>IFERROR(VLOOKUP(Tabela3[[#This Row],[Produto]],Tabela2[],5,0),0)</f>
        <v>0.40499999999999997</v>
      </c>
      <c r="AG676" s="40">
        <f>IFERROR(VLOOKUP(Tabela3[[#This Row],[Produto]],Tabela2[],6,0),0)</f>
        <v>0</v>
      </c>
      <c r="AH676" s="40">
        <f>IFERROR(VLOOKUP(Tabela3[[#This Row],[Produto]],Tabela2[],7,0),0)</f>
        <v>1</v>
      </c>
      <c r="AI676" s="40">
        <f>IFERROR(VLOOKUP(Tabela3[[#This Row],[Produto]],Tabela2[],8,0),0)</f>
        <v>0</v>
      </c>
      <c r="AJ676" s="35">
        <f ca="1">IFERROR(VLOOKUP(Tabela3[[#This Row],[Produto]],Tabela2[],13,0),0)</f>
        <v>15.600000000000001</v>
      </c>
      <c r="AK676" s="40" t="str">
        <f>IFERROR(VLOOKUP(Tabela3[[#This Row],[Produto]],Tabela2[],14,0),0)</f>
        <v>Jumil</v>
      </c>
      <c r="AL676" s="40">
        <f>IFERROR(VLOOKUP(Tabela3[[#This Row],[Produto]],Tabela2[],15,0),0)</f>
        <v>1</v>
      </c>
      <c r="AM676" s="36">
        <f ca="1">(Tabela3[[#This Row],[Custo Usinagem]]+Tabela3[[#This Row],[Custo / Pç]])*1.2</f>
        <v>61.04947791405634</v>
      </c>
      <c r="AN676" s="36">
        <f ca="1">Tabela3[[#This Row],[Valor Mínimo Venda]]*1.15</f>
        <v>70.206899601164778</v>
      </c>
      <c r="AO676" s="36">
        <f ca="1">Tabela3[[#This Row],[Tabela 1]]*1.08</f>
        <v>75.823451569257969</v>
      </c>
      <c r="AP676" s="36">
        <f ca="1">Tabela3[[#This Row],[Tabela 2]]*1.15</f>
        <v>87.196969304646657</v>
      </c>
    </row>
    <row r="677" spans="1:42">
      <c r="A677" s="9">
        <v>45923</v>
      </c>
      <c r="B677" s="6" t="s">
        <v>111</v>
      </c>
      <c r="C677" s="14">
        <v>8001</v>
      </c>
      <c r="D677" s="6" t="s">
        <v>44</v>
      </c>
      <c r="E677" s="6" t="s">
        <v>47</v>
      </c>
      <c r="F677" s="6">
        <v>16</v>
      </c>
      <c r="G677" s="15">
        <v>0.1</v>
      </c>
      <c r="H677" s="16">
        <v>0</v>
      </c>
      <c r="I677" s="35">
        <f ca="1">IFERROR(Tabela3[[#This Row],[Custo Total]]/Tabela3[[#This Row],[Aluminio Util]],0)</f>
        <v>25.349770224090882</v>
      </c>
      <c r="J677" s="35">
        <f ca="1">Tabela3[[#This Row],[Custo Total]]/Tabela3[[#This Row],[Realizado]]</f>
        <v>49.432051936977217</v>
      </c>
      <c r="K677" s="37">
        <f>IFERROR(Tabela3[[#This Row],[Qtde Cx Produzida]]/Tabela3[[#This Row],[Tempo]]/24,0)</f>
        <v>6.666666666666667</v>
      </c>
      <c r="L677" s="37">
        <f>Tabela3[[#This Row],[Qtde Cx Produzida]]*Tabela3[[#This Row],[Qdt Peça Placa]]</f>
        <v>16</v>
      </c>
      <c r="M677" s="37">
        <f>Tabela3[[#This Row],[Previsto]]-Tabela3[[#This Row],[Perda Pçs]]</f>
        <v>16</v>
      </c>
      <c r="N677" s="38">
        <f>IFERROR(Tabela3[[#This Row],[Perda Pçs]]/Tabela3[[#This Row],[Previsto]],0)</f>
        <v>0</v>
      </c>
      <c r="O677" s="39">
        <f>IFERROR(IF(Tabela3[[#This Row],[Qtde Cx Produzida]] &lt;&gt; 0, Tabela3[[#This Row],[Tempo]] / Tabela3[[#This Row],[Qtde Cx Produzida]], 0),0)</f>
        <v>6.2500000000000003E-3</v>
      </c>
      <c r="P677" s="57">
        <f>IFERROR(Tabela3[[#This Row],[Perda Pçs]]/Tabela3[[#This Row],[Qdt Peça Placa]],0)</f>
        <v>0</v>
      </c>
      <c r="Q677" s="37">
        <f>IFERROR(Tabela3[[#This Row],[Realizado]]*Tabela3[[#This Row],[Peso Util/Pç]],0)</f>
        <v>31.2</v>
      </c>
      <c r="R677" s="37">
        <f>IFERROR(Tabela3[[#This Row],[Peso Total Galho]]*Tabela3[[#This Row],[Qtde Cx Produzida]]*1.055,0)</f>
        <v>58.235999999999997</v>
      </c>
      <c r="S677" s="37">
        <f>(Tabela3[[#This Row],[Aluminio Bruto]]-Tabela3[[#This Row],[Aluminio Util]])*0.9</f>
        <v>24.3324</v>
      </c>
      <c r="T677" s="37">
        <f>Tabela3[[#This Row],[Aluminio Bruto]]/OleoKGAluminio</f>
        <v>24.499809901575421</v>
      </c>
      <c r="U677" s="35">
        <f>IFERROR((VLOOKUP(Tabela3[[#This Row],[Moldador]],Tabela1[],5,)+(VLOOKUP(Tabela3[[#This Row],[Ajudante]],Tabela1[],5,))*3.5),0)</f>
        <v>99.95034583333333</v>
      </c>
      <c r="V677" s="35">
        <f>IFERROR(Tabela3[[#This Row],[Custo M.O. / H]]/((Tabela3[[#This Row],[Realizado]]/Tabela3[[#This Row],[Qdt Peça Placa]])/Tabela3[[#This Row],[Tempo]]/24),)</f>
        <v>14.992551874999998</v>
      </c>
      <c r="W677" s="35">
        <f>Tabela3[[#This Row],[Custo / Cx Moldada]]*Tabela3[[#This Row],[Qtde Cx Produzida]]</f>
        <v>239.88082999999997</v>
      </c>
      <c r="X677" s="35">
        <f ca="1">Tabela3[[#This Row],[Aluminio Util]]*Tabela3[[#This Row],[Custo/Kg]]</f>
        <v>486.72</v>
      </c>
      <c r="Y677" s="35">
        <f>IFERROR(VLOOKUP(Tabela3[[#This Row],[Data]],Tabela461213[],2,1)*(Tabela3[[#This Row],[Qtde Cx Produzida]]*Tabela3[[#This Row],[Qde macho / CX]]*Tabela3[[#This Row],[Peso Macho]]),)</f>
        <v>0</v>
      </c>
      <c r="Z677" s="35">
        <f>IFERROR(Tabela3[[#This Row],[Qtde Oleo]]*(VLOOKUP(Tabela3[[#This Row],[Data]],CompraOleo[],3,TRUE))*1.05,0)</f>
        <v>64.312000991635486</v>
      </c>
      <c r="AA677" s="47">
        <f ca="1">(Tabela3[[#This Row],[Custo Oleo]]+Tabela3[[#This Row],[Custo Aluminio]]+Tabela3[[#This Row],[Custo M.O. Total]]+Tabela3[[#This Row],[Custo Machos]])</f>
        <v>790.91283099163547</v>
      </c>
      <c r="AB677" s="47">
        <f ca="1">Tabela3[[#This Row],[Custo Total]]*Tabela3[[#This Row],[% Perda]]</f>
        <v>0</v>
      </c>
      <c r="AC677" s="48">
        <f>IFERROR(VLOOKUP(Tabela3[[#This Row],[Produto]],Tabela2[],2,0),0)</f>
        <v>1</v>
      </c>
      <c r="AD677" s="48">
        <f>IFERROR(VLOOKUP(Tabela3[[#This Row],[Produto]],Tabela2[],3,0),0)</f>
        <v>1.95</v>
      </c>
      <c r="AE677" s="48">
        <f>IFERROR(VLOOKUP(Tabela3[[#This Row],[Produto]],Tabela2[],4,0),0)</f>
        <v>3.45</v>
      </c>
      <c r="AF677" s="48">
        <f>IFERROR(VLOOKUP(Tabela3[[#This Row],[Produto]],Tabela2[],5,0),0)</f>
        <v>1.3500000000000003</v>
      </c>
      <c r="AG677" s="40">
        <f>IFERROR(VLOOKUP(Tabela3[[#This Row],[Produto]],Tabela2[],6,0),0)</f>
        <v>0</v>
      </c>
      <c r="AH677" s="40">
        <f>IFERROR(VLOOKUP(Tabela3[[#This Row],[Produto]],Tabela2[],7,0),0)</f>
        <v>0</v>
      </c>
      <c r="AI677" s="40">
        <f>IFERROR(VLOOKUP(Tabela3[[#This Row],[Produto]],Tabela2[],8,0),0)</f>
        <v>0</v>
      </c>
      <c r="AJ677" s="35">
        <f ca="1">IFERROR(VLOOKUP(Tabela3[[#This Row],[Produto]],Tabela2[],13,0),0)</f>
        <v>15.600000000000001</v>
      </c>
      <c r="AK677" s="40" t="str">
        <f>IFERROR(VLOOKUP(Tabela3[[#This Row],[Produto]],Tabela2[],14,0),0)</f>
        <v>Jumil</v>
      </c>
      <c r="AL677" s="40">
        <f>IFERROR(VLOOKUP(Tabela3[[#This Row],[Produto]],Tabela2[],15,0),0)</f>
        <v>1</v>
      </c>
      <c r="AM677" s="36">
        <f ca="1">(Tabela3[[#This Row],[Custo Usinagem]]+Tabela3[[#This Row],[Custo / Pç]])*1.2</f>
        <v>60.518462324372656</v>
      </c>
      <c r="AN677" s="36">
        <f ca="1">Tabela3[[#This Row],[Valor Mínimo Venda]]*1.15</f>
        <v>69.596231673028555</v>
      </c>
      <c r="AO677" s="36">
        <f ca="1">Tabela3[[#This Row],[Tabela 1]]*1.08</f>
        <v>75.163930206870845</v>
      </c>
      <c r="AP677" s="36">
        <f ca="1">Tabela3[[#This Row],[Tabela 2]]*1.15</f>
        <v>86.438519737901458</v>
      </c>
    </row>
    <row r="678" spans="1:42">
      <c r="A678" s="9">
        <v>45923</v>
      </c>
      <c r="B678" s="6" t="s">
        <v>135</v>
      </c>
      <c r="C678" s="14">
        <v>8012</v>
      </c>
      <c r="D678" s="6" t="s">
        <v>44</v>
      </c>
      <c r="E678" s="6" t="s">
        <v>47</v>
      </c>
      <c r="F678" s="6">
        <v>41</v>
      </c>
      <c r="G678" s="15">
        <v>0.19097222222222221</v>
      </c>
      <c r="H678" s="16">
        <v>0</v>
      </c>
      <c r="I678" s="35">
        <f ca="1">IFERROR(Tabela3[[#This Row],[Custo Total]]/Tabela3[[#This Row],[Aluminio Util]],0)</f>
        <v>26.524795415693074</v>
      </c>
      <c r="J678" s="35">
        <f ca="1">Tabela3[[#This Row],[Custo Total]]/Tabela3[[#This Row],[Realizado]]</f>
        <v>46.948887885776749</v>
      </c>
      <c r="K678" s="37">
        <f>IFERROR(Tabela3[[#This Row],[Qtde Cx Produzida]]/Tabela3[[#This Row],[Tempo]]/24,0)</f>
        <v>8.9454545454545471</v>
      </c>
      <c r="L678" s="37">
        <f>Tabela3[[#This Row],[Qtde Cx Produzida]]*Tabela3[[#This Row],[Qdt Peça Placa]]</f>
        <v>41</v>
      </c>
      <c r="M678" s="37">
        <f>Tabela3[[#This Row],[Previsto]]-Tabela3[[#This Row],[Perda Pçs]]</f>
        <v>41</v>
      </c>
      <c r="N678" s="38">
        <f>IFERROR(Tabela3[[#This Row],[Perda Pçs]]/Tabela3[[#This Row],[Previsto]],0)</f>
        <v>0</v>
      </c>
      <c r="O678" s="39">
        <f>IFERROR(IF(Tabela3[[#This Row],[Qtde Cx Produzida]] &lt;&gt; 0, Tabela3[[#This Row],[Tempo]] / Tabela3[[#This Row],[Qtde Cx Produzida]], 0),0)</f>
        <v>4.6578590785907852E-3</v>
      </c>
      <c r="P678" s="57">
        <f>IFERROR(Tabela3[[#This Row],[Perda Pçs]]/Tabela3[[#This Row],[Qdt Peça Placa]],0)</f>
        <v>0</v>
      </c>
      <c r="Q678" s="37">
        <f>IFERROR(Tabela3[[#This Row],[Realizado]]*Tabela3[[#This Row],[Peso Util/Pç]],0)</f>
        <v>72.570000000000007</v>
      </c>
      <c r="R678" s="37">
        <f>IFERROR(Tabela3[[#This Row],[Peso Total Galho]]*Tabela3[[#This Row],[Qtde Cx Produzida]]*1.055,0)</f>
        <v>135.38814999999997</v>
      </c>
      <c r="S678" s="37">
        <f>(Tabela3[[#This Row],[Aluminio Bruto]]-Tabela3[[#This Row],[Aluminio Util]])*0.9</f>
        <v>56.536334999999966</v>
      </c>
      <c r="T678" s="37">
        <f>Tabela3[[#This Row],[Aluminio Bruto]]/OleoKGAluminio</f>
        <v>56.957619649803867</v>
      </c>
      <c r="U678" s="35">
        <f>IFERROR((VLOOKUP(Tabela3[[#This Row],[Moldador]],Tabela1[],5,)+(VLOOKUP(Tabela3[[#This Row],[Ajudante]],Tabela1[],5,))*3.5),0)</f>
        <v>99.95034583333333</v>
      </c>
      <c r="V678" s="35">
        <f>IFERROR(Tabela3[[#This Row],[Custo M.O. / H]]/((Tabela3[[#This Row],[Realizado]]/Tabela3[[#This Row],[Qdt Peça Placa]])/Tabela3[[#This Row],[Tempo]]/24),)</f>
        <v>11.173311017953926</v>
      </c>
      <c r="W678" s="35">
        <f>Tabela3[[#This Row],[Custo / Cx Moldada]]*Tabela3[[#This Row],[Qtde Cx Produzida]]</f>
        <v>458.10575173611096</v>
      </c>
      <c r="X678" s="35">
        <f ca="1">Tabela3[[#This Row],[Aluminio Util]]*Tabela3[[#This Row],[Custo/Kg]]</f>
        <v>1132.0920000000003</v>
      </c>
      <c r="Y678" s="35">
        <f>IFERROR(VLOOKUP(Tabela3[[#This Row],[Data]],Tabela461213[],2,1)*(Tabela3[[#This Row],[Qtde Cx Produzida]]*Tabela3[[#This Row],[Qde macho / CX]]*Tabela3[[#This Row],[Peso Macho]]),)</f>
        <v>185.19289999999998</v>
      </c>
      <c r="Z678" s="35">
        <f>IFERROR(Tabela3[[#This Row],[Qtde Oleo]]*(VLOOKUP(Tabela3[[#This Row],[Data]],CompraOleo[],3,TRUE))*1.05,0)</f>
        <v>149.51375158073517</v>
      </c>
      <c r="AA678" s="47">
        <f ca="1">(Tabela3[[#This Row],[Custo Oleo]]+Tabela3[[#This Row],[Custo Aluminio]]+Tabela3[[#This Row],[Custo M.O. Total]]+Tabela3[[#This Row],[Custo Machos]])</f>
        <v>1924.9044033168466</v>
      </c>
      <c r="AB678" s="47">
        <f ca="1">Tabela3[[#This Row],[Custo Total]]*Tabela3[[#This Row],[% Perda]]</f>
        <v>0</v>
      </c>
      <c r="AC678" s="48">
        <f>IFERROR(VLOOKUP(Tabela3[[#This Row],[Produto]],Tabela2[],2,0),0)</f>
        <v>1</v>
      </c>
      <c r="AD678" s="48">
        <f>IFERROR(VLOOKUP(Tabela3[[#This Row],[Produto]],Tabela2[],3,0),0)</f>
        <v>1.77</v>
      </c>
      <c r="AE678" s="48">
        <f>IFERROR(VLOOKUP(Tabela3[[#This Row],[Produto]],Tabela2[],4,0),0)</f>
        <v>3.13</v>
      </c>
      <c r="AF678" s="48">
        <f>IFERROR(VLOOKUP(Tabela3[[#This Row],[Produto]],Tabela2[],5,0),0)</f>
        <v>1.224</v>
      </c>
      <c r="AG678" s="40">
        <f>IFERROR(VLOOKUP(Tabela3[[#This Row],[Produto]],Tabela2[],6,0),0)</f>
        <v>0</v>
      </c>
      <c r="AH678" s="40">
        <f>IFERROR(VLOOKUP(Tabela3[[#This Row],[Produto]],Tabela2[],7,0),0)</f>
        <v>1</v>
      </c>
      <c r="AI678" s="40">
        <f>IFERROR(VLOOKUP(Tabela3[[#This Row],[Produto]],Tabela2[],8,0),0)</f>
        <v>2.657</v>
      </c>
      <c r="AJ678" s="35">
        <f ca="1">IFERROR(VLOOKUP(Tabela3[[#This Row],[Produto]],Tabela2[],13,0),0)</f>
        <v>15.600000000000001</v>
      </c>
      <c r="AK678" s="40" t="str">
        <f>IFERROR(VLOOKUP(Tabela3[[#This Row],[Produto]],Tabela2[],14,0),0)</f>
        <v>Jumil</v>
      </c>
      <c r="AL678" s="40">
        <f>IFERROR(VLOOKUP(Tabela3[[#This Row],[Produto]],Tabela2[],15,0),0)</f>
        <v>10</v>
      </c>
      <c r="AM678" s="36">
        <f ca="1">(Tabela3[[#This Row],[Custo Usinagem]]+Tabela3[[#This Row],[Custo / Pç]])*1.2</f>
        <v>68.338665462932099</v>
      </c>
      <c r="AN678" s="36">
        <f ca="1">Tabela3[[#This Row],[Valor Mínimo Venda]]*1.15</f>
        <v>78.589465282371904</v>
      </c>
      <c r="AO678" s="36">
        <f ca="1">Tabela3[[#This Row],[Tabela 1]]*1.08</f>
        <v>84.876622504961659</v>
      </c>
      <c r="AP678" s="36">
        <f ca="1">Tabela3[[#This Row],[Tabela 2]]*1.15</f>
        <v>97.608115880705896</v>
      </c>
    </row>
    <row r="679" spans="1:42">
      <c r="A679" s="9">
        <v>45924</v>
      </c>
      <c r="B679" s="6" t="s">
        <v>247</v>
      </c>
      <c r="C679" s="14">
        <v>7982</v>
      </c>
      <c r="D679" s="6" t="s">
        <v>46</v>
      </c>
      <c r="E679" s="6" t="s">
        <v>326</v>
      </c>
      <c r="F679" s="6">
        <v>81</v>
      </c>
      <c r="G679" s="15">
        <v>0.43541666666666667</v>
      </c>
      <c r="H679" s="16">
        <v>184</v>
      </c>
      <c r="I679" s="35">
        <f ca="1">IFERROR(Tabela3[[#This Row],[Custo Total]]/Tabela3[[#This Row],[Aluminio Util]],0)</f>
        <v>78.320969624327859</v>
      </c>
      <c r="J679" s="35">
        <f ca="1">Tabela3[[#This Row],[Custo Total]]/Tabela3[[#This Row],[Realizado]]</f>
        <v>23.496290887298358</v>
      </c>
      <c r="K679" s="37">
        <f>IFERROR(Tabela3[[#This Row],[Qtde Cx Produzida]]/Tabela3[[#This Row],[Tempo]]/24,0)</f>
        <v>7.7511961722488039</v>
      </c>
      <c r="L679" s="37">
        <f>Tabela3[[#This Row],[Qtde Cx Produzida]]*Tabela3[[#This Row],[Qdt Peça Placa]]</f>
        <v>324</v>
      </c>
      <c r="M679" s="37">
        <f>Tabela3[[#This Row],[Previsto]]-Tabela3[[#This Row],[Perda Pçs]]</f>
        <v>140</v>
      </c>
      <c r="N679" s="38">
        <f>IFERROR(Tabela3[[#This Row],[Perda Pçs]]/Tabela3[[#This Row],[Previsto]],0)</f>
        <v>0.5679012345679012</v>
      </c>
      <c r="O679" s="39">
        <f>IFERROR(IF(Tabela3[[#This Row],[Qtde Cx Produzida]] &lt;&gt; 0, Tabela3[[#This Row],[Tempo]] / Tabela3[[#This Row],[Qtde Cx Produzida]], 0),0)</f>
        <v>5.3755144032921814E-3</v>
      </c>
      <c r="P679" s="57">
        <f>IFERROR(Tabela3[[#This Row],[Perda Pçs]]/Tabela3[[#This Row],[Qdt Peça Placa]],0)</f>
        <v>46</v>
      </c>
      <c r="Q679" s="37">
        <f>IFERROR(Tabela3[[#This Row],[Realizado]]*Tabela3[[#This Row],[Peso Util/Pç]],0)</f>
        <v>42</v>
      </c>
      <c r="R679" s="37">
        <f>IFERROR(Tabela3[[#This Row],[Peso Total Galho]]*Tabela3[[#This Row],[Qtde Cx Produzida]]*1.055,0)</f>
        <v>196.54649999999998</v>
      </c>
      <c r="S679" s="37">
        <f>(Tabela3[[#This Row],[Aluminio Bruto]]-Tabela3[[#This Row],[Aluminio Util]])*0.9</f>
        <v>139.09184999999999</v>
      </c>
      <c r="T679" s="37">
        <f>Tabela3[[#This Row],[Aluminio Bruto]]/OleoKGAluminio</f>
        <v>82.686858417817049</v>
      </c>
      <c r="U679" s="35">
        <f>IFERROR((VLOOKUP(Tabela3[[#This Row],[Moldador]],Tabela1[],5,)+(VLOOKUP(Tabela3[[#This Row],[Ajudante]],Tabela1[],5,))*3.5),0)</f>
        <v>99.95034583333333</v>
      </c>
      <c r="V679" s="35">
        <f>IFERROR(Tabela3[[#This Row],[Custo M.O. / H]]/((Tabela3[[#This Row],[Realizado]]/Tabela3[[#This Row],[Qdt Peça Placa]])/Tabela3[[#This Row],[Tempo]]/24),)</f>
        <v>29.842317541666667</v>
      </c>
      <c r="W679" s="35">
        <f>Tabela3[[#This Row],[Custo / Cx Moldada]]*Tabela3[[#This Row],[Qtde Cx Produzida]]</f>
        <v>2417.2277208750002</v>
      </c>
      <c r="X679" s="35">
        <f ca="1">Tabela3[[#This Row],[Aluminio Util]]*Tabela3[[#This Row],[Custo/Kg]]</f>
        <v>655.20000000000005</v>
      </c>
      <c r="Y679" s="35">
        <f>IFERROR(VLOOKUP(Tabela3[[#This Row],[Data]],Tabela461213[],2,1)*(Tabela3[[#This Row],[Qtde Cx Produzida]]*Tabela3[[#This Row],[Qde macho / CX]]*Tabela3[[#This Row],[Peso Macho]]),)</f>
        <v>0</v>
      </c>
      <c r="Z679" s="35">
        <f>IFERROR(Tabela3[[#This Row],[Qtde Oleo]]*(VLOOKUP(Tabela3[[#This Row],[Data]],CompraOleo[],3,TRUE))*1.05,0)</f>
        <v>217.05300334676977</v>
      </c>
      <c r="AA679" s="47">
        <f ca="1">(Tabela3[[#This Row],[Custo Oleo]]+Tabela3[[#This Row],[Custo Aluminio]]+Tabela3[[#This Row],[Custo M.O. Total]]+Tabela3[[#This Row],[Custo Machos]])</f>
        <v>3289.4807242217698</v>
      </c>
      <c r="AB679" s="47">
        <f ca="1">Tabela3[[#This Row],[Custo Total]]*Tabela3[[#This Row],[% Perda]]</f>
        <v>1868.1001643728569</v>
      </c>
      <c r="AC679" s="48">
        <f>IFERROR(VLOOKUP(Tabela3[[#This Row],[Produto]],Tabela2[],2,0),0)</f>
        <v>4</v>
      </c>
      <c r="AD679" s="48">
        <f>IFERROR(VLOOKUP(Tabela3[[#This Row],[Produto]],Tabela2[],3,0),0)</f>
        <v>0.3</v>
      </c>
      <c r="AE679" s="48">
        <f>IFERROR(VLOOKUP(Tabela3[[#This Row],[Produto]],Tabela2[],4,0),0)</f>
        <v>2.2999999999999998</v>
      </c>
      <c r="AF679" s="48">
        <f>IFERROR(VLOOKUP(Tabela3[[#This Row],[Produto]],Tabela2[],5,0),0)</f>
        <v>0.98999999999999988</v>
      </c>
      <c r="AG679" s="40">
        <f>IFERROR(VLOOKUP(Tabela3[[#This Row],[Produto]],Tabela2[],6,0),0)</f>
        <v>0</v>
      </c>
      <c r="AH679" s="40">
        <f>IFERROR(VLOOKUP(Tabela3[[#This Row],[Produto]],Tabela2[],7,0),0)</f>
        <v>0</v>
      </c>
      <c r="AI679" s="40">
        <f>IFERROR(VLOOKUP(Tabela3[[#This Row],[Produto]],Tabela2[],8,0),0)</f>
        <v>0</v>
      </c>
      <c r="AJ679" s="35">
        <f ca="1">IFERROR(VLOOKUP(Tabela3[[#This Row],[Produto]],Tabela2[],13,0),0)</f>
        <v>15.600000000000001</v>
      </c>
      <c r="AK679" s="40" t="str">
        <f>IFERROR(VLOOKUP(Tabela3[[#This Row],[Produto]],Tabela2[],14,0),0)</f>
        <v>Senun</v>
      </c>
      <c r="AL679" s="40">
        <f>IFERROR(VLOOKUP(Tabela3[[#This Row],[Produto]],Tabela2[],15,0),0)</f>
        <v>3.5</v>
      </c>
      <c r="AM679" s="36">
        <f ca="1">(Tabela3[[#This Row],[Custo Usinagem]]+Tabela3[[#This Row],[Custo / Pç]])*1.2</f>
        <v>32.395549064758029</v>
      </c>
      <c r="AN679" s="36">
        <f ca="1">Tabela3[[#This Row],[Valor Mínimo Venda]]*1.15</f>
        <v>37.254881424471733</v>
      </c>
      <c r="AO679" s="36">
        <f ca="1">Tabela3[[#This Row],[Tabela 1]]*1.08</f>
        <v>40.235271938429477</v>
      </c>
      <c r="AP679" s="36">
        <f ca="1">Tabela3[[#This Row],[Tabela 2]]*1.15</f>
        <v>46.270562729193898</v>
      </c>
    </row>
    <row r="680" spans="1:42">
      <c r="A680" s="9">
        <v>45924</v>
      </c>
      <c r="B680" s="6" t="s">
        <v>135</v>
      </c>
      <c r="C680" s="14">
        <v>8012</v>
      </c>
      <c r="D680" s="6" t="s">
        <v>44</v>
      </c>
      <c r="E680" s="6" t="s">
        <v>47</v>
      </c>
      <c r="F680" s="6">
        <v>3</v>
      </c>
      <c r="G680" s="15">
        <v>1.4583333333333334E-2</v>
      </c>
      <c r="H680" s="16">
        <v>0</v>
      </c>
      <c r="I680" s="35">
        <f ca="1">IFERROR(Tabela3[[#This Row],[Custo Total]]/Tabela3[[#This Row],[Aluminio Util]],0)</f>
        <v>26.80025454710642</v>
      </c>
      <c r="J680" s="35">
        <f ca="1">Tabela3[[#This Row],[Custo Total]]/Tabela3[[#This Row],[Realizado]]</f>
        <v>47.436450548378367</v>
      </c>
      <c r="K680" s="37">
        <f>IFERROR(Tabela3[[#This Row],[Qtde Cx Produzida]]/Tabela3[[#This Row],[Tempo]]/24,0)</f>
        <v>8.5714285714285712</v>
      </c>
      <c r="L680" s="37">
        <f>Tabela3[[#This Row],[Qtde Cx Produzida]]*Tabela3[[#This Row],[Qdt Peça Placa]]</f>
        <v>3</v>
      </c>
      <c r="M680" s="37">
        <f>Tabela3[[#This Row],[Previsto]]-Tabela3[[#This Row],[Perda Pçs]]</f>
        <v>3</v>
      </c>
      <c r="N680" s="38">
        <f>IFERROR(Tabela3[[#This Row],[Perda Pçs]]/Tabela3[[#This Row],[Previsto]],0)</f>
        <v>0</v>
      </c>
      <c r="O680" s="39">
        <f>IFERROR(IF(Tabela3[[#This Row],[Qtde Cx Produzida]] &lt;&gt; 0, Tabela3[[#This Row],[Tempo]] / Tabela3[[#This Row],[Qtde Cx Produzida]], 0),0)</f>
        <v>4.8611111111111112E-3</v>
      </c>
      <c r="P680" s="57">
        <f>IFERROR(Tabela3[[#This Row],[Perda Pçs]]/Tabela3[[#This Row],[Qdt Peça Placa]],0)</f>
        <v>0</v>
      </c>
      <c r="Q680" s="37">
        <f>IFERROR(Tabela3[[#This Row],[Realizado]]*Tabela3[[#This Row],[Peso Util/Pç]],0)</f>
        <v>5.3100000000000005</v>
      </c>
      <c r="R680" s="37">
        <f>IFERROR(Tabela3[[#This Row],[Peso Total Galho]]*Tabela3[[#This Row],[Qtde Cx Produzida]]*1.055,0)</f>
        <v>9.9064499999999995</v>
      </c>
      <c r="S680" s="37">
        <f>(Tabela3[[#This Row],[Aluminio Bruto]]-Tabela3[[#This Row],[Aluminio Util]])*0.9</f>
        <v>4.136804999999999</v>
      </c>
      <c r="T680" s="37">
        <f>Tabela3[[#This Row],[Aluminio Bruto]]/OleoKGAluminio</f>
        <v>4.1676307060832105</v>
      </c>
      <c r="U680" s="35">
        <f>IFERROR((VLOOKUP(Tabela3[[#This Row],[Moldador]],Tabela1[],5,)+(VLOOKUP(Tabela3[[#This Row],[Ajudante]],Tabela1[],5,))*3.5),0)</f>
        <v>99.95034583333333</v>
      </c>
      <c r="V680" s="35">
        <f>IFERROR(Tabela3[[#This Row],[Custo M.O. / H]]/((Tabela3[[#This Row],[Realizado]]/Tabela3[[#This Row],[Qdt Peça Placa]])/Tabela3[[#This Row],[Tempo]]/24),)</f>
        <v>11.660873680555556</v>
      </c>
      <c r="W680" s="35">
        <f>Tabela3[[#This Row],[Custo / Cx Moldada]]*Tabela3[[#This Row],[Qtde Cx Produzida]]</f>
        <v>34.982621041666668</v>
      </c>
      <c r="X680" s="35">
        <f ca="1">Tabela3[[#This Row],[Aluminio Util]]*Tabela3[[#This Row],[Custo/Kg]]</f>
        <v>82.836000000000013</v>
      </c>
      <c r="Y680" s="35">
        <f>IFERROR(VLOOKUP(Tabela3[[#This Row],[Data]],Tabela461213[],2,1)*(Tabela3[[#This Row],[Qtde Cx Produzida]]*Tabela3[[#This Row],[Qde macho / CX]]*Tabela3[[#This Row],[Peso Macho]]),)</f>
        <v>13.550699999999999</v>
      </c>
      <c r="Z680" s="35">
        <f>IFERROR(Tabela3[[#This Row],[Qtde Oleo]]*(VLOOKUP(Tabela3[[#This Row],[Data]],CompraOleo[],3,TRUE))*1.05,0)</f>
        <v>10.940030603468427</v>
      </c>
      <c r="AA680" s="47">
        <f ca="1">(Tabela3[[#This Row],[Custo Oleo]]+Tabela3[[#This Row],[Custo Aluminio]]+Tabela3[[#This Row],[Custo M.O. Total]]+Tabela3[[#This Row],[Custo Machos]])</f>
        <v>142.30935164513511</v>
      </c>
      <c r="AB680" s="47">
        <f ca="1">Tabela3[[#This Row],[Custo Total]]*Tabela3[[#This Row],[% Perda]]</f>
        <v>0</v>
      </c>
      <c r="AC680" s="48">
        <f>IFERROR(VLOOKUP(Tabela3[[#This Row],[Produto]],Tabela2[],2,0),0)</f>
        <v>1</v>
      </c>
      <c r="AD680" s="48">
        <f>IFERROR(VLOOKUP(Tabela3[[#This Row],[Produto]],Tabela2[],3,0),0)</f>
        <v>1.77</v>
      </c>
      <c r="AE680" s="48">
        <f>IFERROR(VLOOKUP(Tabela3[[#This Row],[Produto]],Tabela2[],4,0),0)</f>
        <v>3.13</v>
      </c>
      <c r="AF680" s="48">
        <f>IFERROR(VLOOKUP(Tabela3[[#This Row],[Produto]],Tabela2[],5,0),0)</f>
        <v>1.224</v>
      </c>
      <c r="AG680" s="40">
        <f>IFERROR(VLOOKUP(Tabela3[[#This Row],[Produto]],Tabela2[],6,0),0)</f>
        <v>0</v>
      </c>
      <c r="AH680" s="40">
        <f>IFERROR(VLOOKUP(Tabela3[[#This Row],[Produto]],Tabela2[],7,0),0)</f>
        <v>1</v>
      </c>
      <c r="AI680" s="40">
        <f>IFERROR(VLOOKUP(Tabela3[[#This Row],[Produto]],Tabela2[],8,0),0)</f>
        <v>2.657</v>
      </c>
      <c r="AJ680" s="35">
        <f ca="1">IFERROR(VLOOKUP(Tabela3[[#This Row],[Produto]],Tabela2[],13,0),0)</f>
        <v>15.600000000000001</v>
      </c>
      <c r="AK680" s="40" t="str">
        <f>IFERROR(VLOOKUP(Tabela3[[#This Row],[Produto]],Tabela2[],14,0),0)</f>
        <v>Jumil</v>
      </c>
      <c r="AL680" s="40">
        <f>IFERROR(VLOOKUP(Tabela3[[#This Row],[Produto]],Tabela2[],15,0),0)</f>
        <v>10</v>
      </c>
      <c r="AM680" s="36">
        <f ca="1">(Tabela3[[#This Row],[Custo Usinagem]]+Tabela3[[#This Row],[Custo / Pç]])*1.2</f>
        <v>68.923740658054044</v>
      </c>
      <c r="AN680" s="36">
        <f ca="1">Tabela3[[#This Row],[Valor Mínimo Venda]]*1.15</f>
        <v>79.262301756762142</v>
      </c>
      <c r="AO680" s="36">
        <f ca="1">Tabela3[[#This Row],[Tabela 1]]*1.08</f>
        <v>85.603285897303124</v>
      </c>
      <c r="AP680" s="36">
        <f ca="1">Tabela3[[#This Row],[Tabela 2]]*1.15</f>
        <v>98.443778781898587</v>
      </c>
    </row>
    <row r="681" spans="1:42">
      <c r="A681" s="9">
        <v>45924</v>
      </c>
      <c r="B681" s="6" t="s">
        <v>75</v>
      </c>
      <c r="C681" s="14">
        <v>8020</v>
      </c>
      <c r="D681" s="6" t="s">
        <v>44</v>
      </c>
      <c r="E681" s="6" t="s">
        <v>47</v>
      </c>
      <c r="F681" s="6">
        <v>10</v>
      </c>
      <c r="G681" s="15">
        <v>4.3749999999999997E-2</v>
      </c>
      <c r="H681" s="16">
        <v>0</v>
      </c>
      <c r="I681" s="35">
        <f ca="1">IFERROR(Tabela3[[#This Row],[Custo Total]]/Tabela3[[#This Row],[Aluminio Util]],0)</f>
        <v>0</v>
      </c>
      <c r="J681" s="35">
        <f ca="1">Tabela3[[#This Row],[Custo Total]]/Tabela3[[#This Row],[Realizado]]</f>
        <v>5.2473931562500002</v>
      </c>
      <c r="K681" s="37">
        <f>IFERROR(Tabela3[[#This Row],[Qtde Cx Produzida]]/Tabela3[[#This Row],[Tempo]]/24,0)</f>
        <v>9.5238095238095237</v>
      </c>
      <c r="L681" s="37">
        <f>Tabela3[[#This Row],[Qtde Cx Produzida]]*Tabela3[[#This Row],[Qdt Peça Placa]]</f>
        <v>20</v>
      </c>
      <c r="M681" s="37">
        <f>Tabela3[[#This Row],[Previsto]]-Tabela3[[#This Row],[Perda Pçs]]</f>
        <v>20</v>
      </c>
      <c r="N681" s="38">
        <f>IFERROR(Tabela3[[#This Row],[Perda Pçs]]/Tabela3[[#This Row],[Previsto]],0)</f>
        <v>0</v>
      </c>
      <c r="O681" s="39">
        <f>IFERROR(IF(Tabela3[[#This Row],[Qtde Cx Produzida]] &lt;&gt; 0, Tabela3[[#This Row],[Tempo]] / Tabela3[[#This Row],[Qtde Cx Produzida]], 0),0)</f>
        <v>4.3749999999999995E-3</v>
      </c>
      <c r="P681" s="57">
        <f>IFERROR(Tabela3[[#This Row],[Perda Pçs]]/Tabela3[[#This Row],[Qdt Peça Placa]],0)</f>
        <v>0</v>
      </c>
      <c r="Q681" s="37">
        <f>IFERROR(Tabela3[[#This Row],[Realizado]]*Tabela3[[#This Row],[Peso Util/Pç]],0)</f>
        <v>0</v>
      </c>
      <c r="R681" s="37">
        <f>IFERROR(Tabela3[[#This Row],[Peso Total Galho]]*Tabela3[[#This Row],[Qtde Cx Produzida]]*1.055,0)</f>
        <v>0</v>
      </c>
      <c r="S681" s="37">
        <f>(Tabela3[[#This Row],[Aluminio Bruto]]-Tabela3[[#This Row],[Aluminio Util]])*0.9</f>
        <v>0</v>
      </c>
      <c r="T681" s="37">
        <f>Tabela3[[#This Row],[Aluminio Bruto]]/OleoKGAluminio</f>
        <v>0</v>
      </c>
      <c r="U681" s="35">
        <f>IFERROR((VLOOKUP(Tabela3[[#This Row],[Moldador]],Tabela1[],5,)+(VLOOKUP(Tabela3[[#This Row],[Ajudante]],Tabela1[],5,))*3.5),0)</f>
        <v>99.95034583333333</v>
      </c>
      <c r="V681" s="35">
        <f>IFERROR(Tabela3[[#This Row],[Custo M.O. / H]]/((Tabela3[[#This Row],[Realizado]]/Tabela3[[#This Row],[Qdt Peça Placa]])/Tabela3[[#This Row],[Tempo]]/24),)</f>
        <v>10.4947863125</v>
      </c>
      <c r="W681" s="35">
        <f>Tabela3[[#This Row],[Custo / Cx Moldada]]*Tabela3[[#This Row],[Qtde Cx Produzida]]</f>
        <v>104.947863125</v>
      </c>
      <c r="X681" s="35">
        <f ca="1">Tabela3[[#This Row],[Aluminio Util]]*Tabela3[[#This Row],[Custo/Kg]]</f>
        <v>0</v>
      </c>
      <c r="Y681" s="35">
        <f>IFERROR(VLOOKUP(Tabela3[[#This Row],[Data]],Tabela461213[],2,1)*(Tabela3[[#This Row],[Qtde Cx Produzida]]*Tabela3[[#This Row],[Qde macho / CX]]*Tabela3[[#This Row],[Peso Macho]]),)</f>
        <v>0</v>
      </c>
      <c r="Z681" s="35">
        <f>IFERROR(Tabela3[[#This Row],[Qtde Oleo]]*(VLOOKUP(Tabela3[[#This Row],[Data]],CompraOleo[],3,TRUE))*1.05,0)</f>
        <v>0</v>
      </c>
      <c r="AA681" s="47">
        <f ca="1">(Tabela3[[#This Row],[Custo Oleo]]+Tabela3[[#This Row],[Custo Aluminio]]+Tabela3[[#This Row],[Custo M.O. Total]]+Tabela3[[#This Row],[Custo Machos]])</f>
        <v>104.947863125</v>
      </c>
      <c r="AB681" s="47">
        <f ca="1">Tabela3[[#This Row],[Custo Total]]*Tabela3[[#This Row],[% Perda]]</f>
        <v>0</v>
      </c>
      <c r="AC681" s="48">
        <f>IFERROR(VLOOKUP(Tabela3[[#This Row],[Produto]],Tabela2[],2,0),0)</f>
        <v>2</v>
      </c>
      <c r="AD681" s="48">
        <f>IFERROR(VLOOKUP(Tabela3[[#This Row],[Produto]],Tabela2[],3,0),0)</f>
        <v>0</v>
      </c>
      <c r="AE681" s="48">
        <f>IFERROR(VLOOKUP(Tabela3[[#This Row],[Produto]],Tabela2[],4,0),0)</f>
        <v>0</v>
      </c>
      <c r="AF681" s="48">
        <f>IFERROR(VLOOKUP(Tabela3[[#This Row],[Produto]],Tabela2[],5,0),0)</f>
        <v>0</v>
      </c>
      <c r="AG681" s="40">
        <f>IFERROR(VLOOKUP(Tabela3[[#This Row],[Produto]],Tabela2[],6,0),0)</f>
        <v>0</v>
      </c>
      <c r="AH681" s="40">
        <f>IFERROR(VLOOKUP(Tabela3[[#This Row],[Produto]],Tabela2[],7,0),0)</f>
        <v>0</v>
      </c>
      <c r="AI681" s="40">
        <f>IFERROR(VLOOKUP(Tabela3[[#This Row],[Produto]],Tabela2[],8,0),0)</f>
        <v>0</v>
      </c>
      <c r="AJ681" s="35">
        <f ca="1">IFERROR(VLOOKUP(Tabela3[[#This Row],[Produto]],Tabela2[],13,0),0)</f>
        <v>15.600000000000001</v>
      </c>
      <c r="AK681" s="40" t="str">
        <f>IFERROR(VLOOKUP(Tabela3[[#This Row],[Produto]],Tabela2[],14,0),0)</f>
        <v>Jumil</v>
      </c>
      <c r="AL681" s="40">
        <f>IFERROR(VLOOKUP(Tabela3[[#This Row],[Produto]],Tabela2[],15,0),0)</f>
        <v>3</v>
      </c>
      <c r="AM681" s="36">
        <f ca="1">(Tabela3[[#This Row],[Custo Usinagem]]+Tabela3[[#This Row],[Custo / Pç]])*1.2</f>
        <v>9.8968717875000003</v>
      </c>
      <c r="AN681" s="36">
        <f ca="1">Tabela3[[#This Row],[Valor Mínimo Venda]]*1.15</f>
        <v>11.381402555625</v>
      </c>
      <c r="AO681" s="36">
        <f ca="1">Tabela3[[#This Row],[Tabela 1]]*1.08</f>
        <v>12.291914760075001</v>
      </c>
      <c r="AP681" s="36">
        <f ca="1">Tabela3[[#This Row],[Tabela 2]]*1.15</f>
        <v>14.135701974086249</v>
      </c>
    </row>
    <row r="682" spans="1:42">
      <c r="A682" s="9">
        <v>45924</v>
      </c>
      <c r="B682" s="6" t="s">
        <v>245</v>
      </c>
      <c r="C682" s="14">
        <v>7984</v>
      </c>
      <c r="D682" s="6" t="s">
        <v>44</v>
      </c>
      <c r="E682" s="6" t="s">
        <v>47</v>
      </c>
      <c r="F682" s="6">
        <v>46</v>
      </c>
      <c r="G682" s="15">
        <v>0.22569444444444445</v>
      </c>
      <c r="H682" s="16">
        <v>0</v>
      </c>
      <c r="I682" s="35">
        <f ca="1">IFERROR(Tabela3[[#This Row],[Custo Total]]/Tabela3[[#This Row],[Aluminio Util]],0)</f>
        <v>26.480408184332823</v>
      </c>
      <c r="J682" s="35">
        <f ca="1">Tabela3[[#This Row],[Custo Total]]/Tabela3[[#This Row],[Realizado]]</f>
        <v>8.7914955171984985</v>
      </c>
      <c r="K682" s="37">
        <f>IFERROR(Tabela3[[#This Row],[Qtde Cx Produzida]]/Tabela3[[#This Row],[Tempo]]/24,0)</f>
        <v>8.4923076923076923</v>
      </c>
      <c r="L682" s="37">
        <f>Tabela3[[#This Row],[Qtde Cx Produzida]]*Tabela3[[#This Row],[Qdt Peça Placa]]</f>
        <v>184</v>
      </c>
      <c r="M682" s="37">
        <f>Tabela3[[#This Row],[Previsto]]-Tabela3[[#This Row],[Perda Pçs]]</f>
        <v>184</v>
      </c>
      <c r="N682" s="38">
        <f>IFERROR(Tabela3[[#This Row],[Perda Pçs]]/Tabela3[[#This Row],[Previsto]],0)</f>
        <v>0</v>
      </c>
      <c r="O682" s="39">
        <f>IFERROR(IF(Tabela3[[#This Row],[Qtde Cx Produzida]] &lt;&gt; 0, Tabela3[[#This Row],[Tempo]] / Tabela3[[#This Row],[Qtde Cx Produzida]], 0),0)</f>
        <v>4.906400966183575E-3</v>
      </c>
      <c r="P682" s="57">
        <f>IFERROR(Tabela3[[#This Row],[Perda Pçs]]/Tabela3[[#This Row],[Qdt Peça Placa]],0)</f>
        <v>0</v>
      </c>
      <c r="Q682" s="37">
        <f>IFERROR(Tabela3[[#This Row],[Realizado]]*Tabela3[[#This Row],[Peso Util/Pç]],0)</f>
        <v>61.088000000000001</v>
      </c>
      <c r="R682" s="37">
        <f>IFERROR(Tabela3[[#This Row],[Peso Total Galho]]*Tabela3[[#This Row],[Qtde Cx Produzida]]*1.055,0)</f>
        <v>111.61899999999999</v>
      </c>
      <c r="S682" s="37">
        <f>(Tabela3[[#This Row],[Aluminio Bruto]]-Tabela3[[#This Row],[Aluminio Util]])*0.9</f>
        <v>45.477899999999984</v>
      </c>
      <c r="T682" s="37">
        <f>Tabela3[[#This Row],[Aluminio Bruto]]/OleoKGAluminio</f>
        <v>46.957968978019558</v>
      </c>
      <c r="U682" s="35">
        <f>IFERROR((VLOOKUP(Tabela3[[#This Row],[Moldador]],Tabela1[],5,)+(VLOOKUP(Tabela3[[#This Row],[Ajudante]],Tabela1[],5,))*3.5),0)</f>
        <v>99.95034583333333</v>
      </c>
      <c r="V682" s="35">
        <f>IFERROR(Tabela3[[#This Row],[Custo M.O. / H]]/((Tabela3[[#This Row],[Realizado]]/Tabela3[[#This Row],[Qdt Peça Placa]])/Tabela3[[#This Row],[Tempo]]/24),)</f>
        <v>11.769515360809178</v>
      </c>
      <c r="W682" s="35">
        <f>Tabela3[[#This Row],[Custo / Cx Moldada]]*Tabela3[[#This Row],[Qtde Cx Produzida]]</f>
        <v>541.39770659722217</v>
      </c>
      <c r="X682" s="35">
        <f ca="1">Tabela3[[#This Row],[Aluminio Util]]*Tabela3[[#This Row],[Custo/Kg]]</f>
        <v>952.97280000000012</v>
      </c>
      <c r="Y682" s="35">
        <f>IFERROR(VLOOKUP(Tabela3[[#This Row],[Data]],Tabela461213[],2,1)*(Tabela3[[#This Row],[Qtde Cx Produzida]]*Tabela3[[#This Row],[Qde macho / CX]]*Tabela3[[#This Row],[Peso Macho]]),)</f>
        <v>0</v>
      </c>
      <c r="Z682" s="35">
        <f>IFERROR(Tabela3[[#This Row],[Qtde Oleo]]*(VLOOKUP(Tabela3[[#This Row],[Data]],CompraOleo[],3,TRUE))*1.05,0)</f>
        <v>123.26466856730134</v>
      </c>
      <c r="AA682" s="47">
        <f ca="1">(Tabela3[[#This Row],[Custo Oleo]]+Tabela3[[#This Row],[Custo Aluminio]]+Tabela3[[#This Row],[Custo M.O. Total]]+Tabela3[[#This Row],[Custo Machos]])</f>
        <v>1617.6351751645236</v>
      </c>
      <c r="AB682" s="47">
        <f ca="1">Tabela3[[#This Row],[Custo Total]]*Tabela3[[#This Row],[% Perda]]</f>
        <v>0</v>
      </c>
      <c r="AC682" s="48">
        <f>IFERROR(VLOOKUP(Tabela3[[#This Row],[Produto]],Tabela2[],2,0),0)</f>
        <v>4</v>
      </c>
      <c r="AD682" s="48">
        <f>IFERROR(VLOOKUP(Tabela3[[#This Row],[Produto]],Tabela2[],3,0),0)</f>
        <v>0.33200000000000002</v>
      </c>
      <c r="AE682" s="48">
        <f>IFERROR(VLOOKUP(Tabela3[[#This Row],[Produto]],Tabela2[],4,0),0)</f>
        <v>2.2999999999999998</v>
      </c>
      <c r="AF682" s="48">
        <f>IFERROR(VLOOKUP(Tabela3[[#This Row],[Produto]],Tabela2[],5,0),0)</f>
        <v>0.8747999999999998</v>
      </c>
      <c r="AG682" s="40">
        <f>IFERROR(VLOOKUP(Tabela3[[#This Row],[Produto]],Tabela2[],6,0),0)</f>
        <v>0</v>
      </c>
      <c r="AH682" s="40">
        <f>IFERROR(VLOOKUP(Tabela3[[#This Row],[Produto]],Tabela2[],7,0),0)</f>
        <v>0</v>
      </c>
      <c r="AI682" s="40">
        <f>IFERROR(VLOOKUP(Tabela3[[#This Row],[Produto]],Tabela2[],8,0),0)</f>
        <v>0</v>
      </c>
      <c r="AJ682" s="35">
        <f ca="1">IFERROR(VLOOKUP(Tabela3[[#This Row],[Produto]],Tabela2[],13,0),0)</f>
        <v>15.600000000000001</v>
      </c>
      <c r="AK682" s="40" t="str">
        <f>IFERROR(VLOOKUP(Tabela3[[#This Row],[Produto]],Tabela2[],14,0),0)</f>
        <v>Senun</v>
      </c>
      <c r="AL682" s="40">
        <f>IFERROR(VLOOKUP(Tabela3[[#This Row],[Produto]],Tabela2[],15,0),0)</f>
        <v>3.5</v>
      </c>
      <c r="AM682" s="36">
        <f ca="1">(Tabela3[[#This Row],[Custo Usinagem]]+Tabela3[[#This Row],[Custo / Pç]])*1.2</f>
        <v>14.749794620638198</v>
      </c>
      <c r="AN682" s="36">
        <f ca="1">Tabela3[[#This Row],[Valor Mínimo Venda]]*1.15</f>
        <v>16.962263813733927</v>
      </c>
      <c r="AO682" s="36">
        <f ca="1">Tabela3[[#This Row],[Tabela 1]]*1.08</f>
        <v>18.319244918832641</v>
      </c>
      <c r="AP682" s="36">
        <f ca="1">Tabela3[[#This Row],[Tabela 2]]*1.15</f>
        <v>21.067131656657537</v>
      </c>
    </row>
    <row r="683" spans="1:42">
      <c r="A683" s="9">
        <v>45924</v>
      </c>
      <c r="B683" s="6" t="s">
        <v>275</v>
      </c>
      <c r="C683" s="14">
        <v>8091</v>
      </c>
      <c r="D683" s="6" t="s">
        <v>44</v>
      </c>
      <c r="E683" s="6" t="s">
        <v>47</v>
      </c>
      <c r="F683" s="6">
        <v>3</v>
      </c>
      <c r="G683" s="15">
        <v>7.1527777777777773E-2</v>
      </c>
      <c r="H683" s="16">
        <v>0</v>
      </c>
      <c r="I683" s="35">
        <f ca="1">IFERROR(Tabela3[[#This Row],[Custo Total]]/Tabela3[[#This Row],[Aluminio Util]],0)</f>
        <v>20.350530566642067</v>
      </c>
      <c r="J683" s="35">
        <f ca="1">Tabela3[[#This Row],[Custo Total]]/Tabela3[[#This Row],[Realizado]]</f>
        <v>447.71167246612549</v>
      </c>
      <c r="K683" s="37">
        <f>IFERROR(Tabela3[[#This Row],[Qtde Cx Produzida]]/Tabela3[[#This Row],[Tempo]]/24,0)</f>
        <v>1.7475728155339807</v>
      </c>
      <c r="L683" s="37">
        <f>Tabela3[[#This Row],[Qtde Cx Produzida]]*Tabela3[[#This Row],[Qdt Peça Placa]]</f>
        <v>3</v>
      </c>
      <c r="M683" s="37">
        <f>Tabela3[[#This Row],[Previsto]]-Tabela3[[#This Row],[Perda Pçs]]</f>
        <v>3</v>
      </c>
      <c r="N683" s="38">
        <f>IFERROR(Tabela3[[#This Row],[Perda Pçs]]/Tabela3[[#This Row],[Previsto]],0)</f>
        <v>0</v>
      </c>
      <c r="O683" s="39">
        <f>IFERROR(IF(Tabela3[[#This Row],[Qtde Cx Produzida]] &lt;&gt; 0, Tabela3[[#This Row],[Tempo]] / Tabela3[[#This Row],[Qtde Cx Produzida]], 0),0)</f>
        <v>2.3842592592592592E-2</v>
      </c>
      <c r="P683" s="57">
        <f>IFERROR(Tabela3[[#This Row],[Perda Pçs]]/Tabela3[[#This Row],[Qdt Peça Placa]],0)</f>
        <v>0</v>
      </c>
      <c r="Q683" s="37">
        <f>IFERROR(Tabela3[[#This Row],[Realizado]]*Tabela3[[#This Row],[Peso Util/Pç]],0)</f>
        <v>66</v>
      </c>
      <c r="R683" s="37">
        <f>IFERROR(Tabela3[[#This Row],[Peso Total Galho]]*Tabela3[[#This Row],[Qtde Cx Produzida]]*1.055,0)</f>
        <v>70.579499999999996</v>
      </c>
      <c r="S683" s="37">
        <f>(Tabela3[[#This Row],[Aluminio Bruto]]-Tabela3[[#This Row],[Aluminio Util]])*0.9</f>
        <v>4.1215499999999965</v>
      </c>
      <c r="T683" s="37">
        <f>Tabela3[[#This Row],[Aluminio Bruto]]/OleoKGAluminio</f>
        <v>29.692704391583256</v>
      </c>
      <c r="U683" s="35">
        <f>IFERROR((VLOOKUP(Tabela3[[#This Row],[Moldador]],Tabela1[],5,)+(VLOOKUP(Tabela3[[#This Row],[Ajudante]],Tabela1[],5,))*3.5),0)</f>
        <v>99.95034583333333</v>
      </c>
      <c r="V683" s="35">
        <f>IFERROR(Tabela3[[#This Row],[Custo M.O. / H]]/((Tabela3[[#This Row],[Realizado]]/Tabela3[[#This Row],[Qdt Peça Placa]])/Tabela3[[#This Row],[Tempo]]/24),)</f>
        <v>57.193809004629621</v>
      </c>
      <c r="W683" s="35">
        <f>Tabela3[[#This Row],[Custo / Cx Moldada]]*Tabela3[[#This Row],[Qtde Cx Produzida]]</f>
        <v>171.58142701388886</v>
      </c>
      <c r="X683" s="35">
        <f ca="1">Tabela3[[#This Row],[Aluminio Util]]*Tabela3[[#This Row],[Custo/Kg]]</f>
        <v>1093.6102413565816</v>
      </c>
      <c r="Y683" s="35">
        <f>IFERROR(VLOOKUP(Tabela3[[#This Row],[Data]],Tabela461213[],2,1)*(Tabela3[[#This Row],[Qtde Cx Produzida]]*Tabela3[[#This Row],[Qde macho / CX]]*Tabela3[[#This Row],[Peso Macho]]),)</f>
        <v>0</v>
      </c>
      <c r="Z683" s="35">
        <f>IFERROR(Tabela3[[#This Row],[Qtde Oleo]]*(VLOOKUP(Tabela3[[#This Row],[Data]],CompraOleo[],3,TRUE))*1.05,0)</f>
        <v>77.943349027906052</v>
      </c>
      <c r="AA683" s="47">
        <f ca="1">(Tabela3[[#This Row],[Custo Oleo]]+Tabela3[[#This Row],[Custo Aluminio]]+Tabela3[[#This Row],[Custo M.O. Total]]+Tabela3[[#This Row],[Custo Machos]])</f>
        <v>1343.1350173983765</v>
      </c>
      <c r="AB683" s="47">
        <f ca="1">Tabela3[[#This Row],[Custo Total]]*Tabela3[[#This Row],[% Perda]]</f>
        <v>0</v>
      </c>
      <c r="AC683" s="48">
        <f>IFERROR(VLOOKUP(Tabela3[[#This Row],[Produto]],Tabela2[],2,0),0)</f>
        <v>1</v>
      </c>
      <c r="AD683" s="48">
        <f>IFERROR(VLOOKUP(Tabela3[[#This Row],[Produto]],Tabela2[],3,0),0)</f>
        <v>22</v>
      </c>
      <c r="AE683" s="48">
        <f>IFERROR(VLOOKUP(Tabela3[[#This Row],[Produto]],Tabela2[],4,0),0)</f>
        <v>22.3</v>
      </c>
      <c r="AF683" s="48">
        <f>IFERROR(VLOOKUP(Tabela3[[#This Row],[Produto]],Tabela2[],5,0),0)</f>
        <v>0.27000000000000063</v>
      </c>
      <c r="AG683" s="40">
        <f>IFERROR(VLOOKUP(Tabela3[[#This Row],[Produto]],Tabela2[],6,0),0)</f>
        <v>0</v>
      </c>
      <c r="AH683" s="40">
        <f>IFERROR(VLOOKUP(Tabela3[[#This Row],[Produto]],Tabela2[],7,0),0)</f>
        <v>0</v>
      </c>
      <c r="AI683" s="40">
        <f>IFERROR(VLOOKUP(Tabela3[[#This Row],[Produto]],Tabela2[],8,0),0)</f>
        <v>0</v>
      </c>
      <c r="AJ683" s="35">
        <f ca="1">IFERROR(VLOOKUP(Tabela3[[#This Row],[Produto]],Tabela2[],13,0),0)</f>
        <v>16.569852141766386</v>
      </c>
      <c r="AK683" s="40" t="str">
        <f>IFERROR(VLOOKUP(Tabela3[[#This Row],[Produto]],Tabela2[],14,0),0)</f>
        <v>Danilo</v>
      </c>
      <c r="AL683" s="40">
        <f>IFERROR(VLOOKUP(Tabela3[[#This Row],[Produto]],Tabela2[],15,0),0)</f>
        <v>0</v>
      </c>
      <c r="AM683" s="36">
        <f ca="1">(Tabela3[[#This Row],[Custo Usinagem]]+Tabela3[[#This Row],[Custo / Pç]])*1.2</f>
        <v>537.25400695935059</v>
      </c>
      <c r="AN683" s="36">
        <f ca="1">Tabela3[[#This Row],[Valor Mínimo Venda]]*1.15</f>
        <v>617.84210800325309</v>
      </c>
      <c r="AO683" s="36">
        <f ca="1">Tabela3[[#This Row],[Tabela 1]]*1.08</f>
        <v>667.26947664351337</v>
      </c>
      <c r="AP683" s="36">
        <f ca="1">Tabela3[[#This Row],[Tabela 2]]*1.15</f>
        <v>767.35989814004029</v>
      </c>
    </row>
    <row r="684" spans="1:42">
      <c r="A684" s="9">
        <v>45925</v>
      </c>
      <c r="B684" s="6" t="s">
        <v>247</v>
      </c>
      <c r="C684" s="14">
        <v>7982</v>
      </c>
      <c r="D684" s="6" t="s">
        <v>46</v>
      </c>
      <c r="E684" s="6" t="s">
        <v>326</v>
      </c>
      <c r="F684" s="6">
        <v>62</v>
      </c>
      <c r="G684" s="15">
        <v>0.32777777777777778</v>
      </c>
      <c r="H684" s="16">
        <v>0</v>
      </c>
      <c r="I684" s="35">
        <f ca="1">IFERROR(Tabela3[[#This Row],[Custo Total]]/Tabela3[[#This Row],[Aluminio Util]],0)</f>
        <v>28.401282120751983</v>
      </c>
      <c r="J684" s="35">
        <f ca="1">Tabela3[[#This Row],[Custo Total]]/Tabela3[[#This Row],[Realizado]]</f>
        <v>8.5203846362255931</v>
      </c>
      <c r="K684" s="37">
        <f>IFERROR(Tabela3[[#This Row],[Qtde Cx Produzida]]/Tabela3[[#This Row],[Tempo]]/24,0)</f>
        <v>7.8813559322033901</v>
      </c>
      <c r="L684" s="37">
        <f>Tabela3[[#This Row],[Qtde Cx Produzida]]*Tabela3[[#This Row],[Qdt Peça Placa]]</f>
        <v>248</v>
      </c>
      <c r="M684" s="37">
        <f>Tabela3[[#This Row],[Previsto]]-Tabela3[[#This Row],[Perda Pçs]]</f>
        <v>248</v>
      </c>
      <c r="N684" s="38">
        <f>IFERROR(Tabela3[[#This Row],[Perda Pçs]]/Tabela3[[#This Row],[Previsto]],0)</f>
        <v>0</v>
      </c>
      <c r="O684" s="39">
        <f>IFERROR(IF(Tabela3[[#This Row],[Qtde Cx Produzida]] &lt;&gt; 0, Tabela3[[#This Row],[Tempo]] / Tabela3[[#This Row],[Qtde Cx Produzida]], 0),0)</f>
        <v>5.2867383512544804E-3</v>
      </c>
      <c r="P684" s="57">
        <f>IFERROR(Tabela3[[#This Row],[Perda Pçs]]/Tabela3[[#This Row],[Qdt Peça Placa]],0)</f>
        <v>0</v>
      </c>
      <c r="Q684" s="37">
        <f>IFERROR(Tabela3[[#This Row],[Realizado]]*Tabela3[[#This Row],[Peso Util/Pç]],0)</f>
        <v>74.399999999999991</v>
      </c>
      <c r="R684" s="37">
        <f>IFERROR(Tabela3[[#This Row],[Peso Total Galho]]*Tabela3[[#This Row],[Qtde Cx Produzida]]*1.055,0)</f>
        <v>150.44299999999998</v>
      </c>
      <c r="S684" s="37">
        <f>(Tabela3[[#This Row],[Aluminio Bruto]]-Tabela3[[#This Row],[Aluminio Util]])*0.9</f>
        <v>68.438699999999997</v>
      </c>
      <c r="T684" s="37">
        <f>Tabela3[[#This Row],[Aluminio Bruto]]/OleoKGAluminio</f>
        <v>63.291175579069836</v>
      </c>
      <c r="U684" s="35">
        <f>IFERROR((VLOOKUP(Tabela3[[#This Row],[Moldador]],Tabela1[],5,)+(VLOOKUP(Tabela3[[#This Row],[Ajudante]],Tabela1[],5,))*3.5),0)</f>
        <v>99.95034583333333</v>
      </c>
      <c r="V684" s="35">
        <f>IFERROR(Tabela3[[#This Row],[Custo M.O. / H]]/((Tabela3[[#This Row],[Realizado]]/Tabela3[[#This Row],[Qdt Peça Placa]])/Tabela3[[#This Row],[Tempo]]/24),)</f>
        <v>12.681871836917562</v>
      </c>
      <c r="W684" s="35">
        <f>Tabela3[[#This Row],[Custo / Cx Moldada]]*Tabela3[[#This Row],[Qtde Cx Produzida]]</f>
        <v>786.2760538888889</v>
      </c>
      <c r="X684" s="35">
        <f ca="1">Tabela3[[#This Row],[Aluminio Util]]*Tabela3[[#This Row],[Custo/Kg]]</f>
        <v>1160.6399999999999</v>
      </c>
      <c r="Y684" s="35">
        <f>IFERROR(VLOOKUP(Tabela3[[#This Row],[Data]],Tabela461213[],2,1)*(Tabela3[[#This Row],[Qtde Cx Produzida]]*Tabela3[[#This Row],[Qde macho / CX]]*Tabela3[[#This Row],[Peso Macho]]),)</f>
        <v>0</v>
      </c>
      <c r="Z684" s="35">
        <f>IFERROR(Tabela3[[#This Row],[Qtde Oleo]]*(VLOOKUP(Tabela3[[#This Row],[Data]],CompraOleo[],3,TRUE))*1.05,0)</f>
        <v>166.13933589505834</v>
      </c>
      <c r="AA684" s="47">
        <f ca="1">(Tabela3[[#This Row],[Custo Oleo]]+Tabela3[[#This Row],[Custo Aluminio]]+Tabela3[[#This Row],[Custo M.O. Total]]+Tabela3[[#This Row],[Custo Machos]])</f>
        <v>2113.0553897839472</v>
      </c>
      <c r="AB684" s="47">
        <f ca="1">Tabela3[[#This Row],[Custo Total]]*Tabela3[[#This Row],[% Perda]]</f>
        <v>0</v>
      </c>
      <c r="AC684" s="48">
        <f>IFERROR(VLOOKUP(Tabela3[[#This Row],[Produto]],Tabela2[],2,0),0)</f>
        <v>4</v>
      </c>
      <c r="AD684" s="48">
        <f>IFERROR(VLOOKUP(Tabela3[[#This Row],[Produto]],Tabela2[],3,0),0)</f>
        <v>0.3</v>
      </c>
      <c r="AE684" s="48">
        <f>IFERROR(VLOOKUP(Tabela3[[#This Row],[Produto]],Tabela2[],4,0),0)</f>
        <v>2.2999999999999998</v>
      </c>
      <c r="AF684" s="48">
        <f>IFERROR(VLOOKUP(Tabela3[[#This Row],[Produto]],Tabela2[],5,0),0)</f>
        <v>0.98999999999999988</v>
      </c>
      <c r="AG684" s="40">
        <f>IFERROR(VLOOKUP(Tabela3[[#This Row],[Produto]],Tabela2[],6,0),0)</f>
        <v>0</v>
      </c>
      <c r="AH684" s="40">
        <f>IFERROR(VLOOKUP(Tabela3[[#This Row],[Produto]],Tabela2[],7,0),0)</f>
        <v>0</v>
      </c>
      <c r="AI684" s="40">
        <f>IFERROR(VLOOKUP(Tabela3[[#This Row],[Produto]],Tabela2[],8,0),0)</f>
        <v>0</v>
      </c>
      <c r="AJ684" s="35">
        <f ca="1">IFERROR(VLOOKUP(Tabela3[[#This Row],[Produto]],Tabela2[],13,0),0)</f>
        <v>15.600000000000001</v>
      </c>
      <c r="AK684" s="40" t="str">
        <f>IFERROR(VLOOKUP(Tabela3[[#This Row],[Produto]],Tabela2[],14,0),0)</f>
        <v>Senun</v>
      </c>
      <c r="AL684" s="40">
        <f>IFERROR(VLOOKUP(Tabela3[[#This Row],[Produto]],Tabela2[],15,0),0)</f>
        <v>3.5</v>
      </c>
      <c r="AM684" s="36">
        <f ca="1">(Tabela3[[#This Row],[Custo Usinagem]]+Tabela3[[#This Row],[Custo / Pç]])*1.2</f>
        <v>14.424461563470711</v>
      </c>
      <c r="AN684" s="36">
        <f ca="1">Tabela3[[#This Row],[Valor Mínimo Venda]]*1.15</f>
        <v>16.588130797991315</v>
      </c>
      <c r="AO684" s="36">
        <f ca="1">Tabela3[[#This Row],[Tabela 1]]*1.08</f>
        <v>17.915181261830622</v>
      </c>
      <c r="AP684" s="36">
        <f ca="1">Tabela3[[#This Row],[Tabela 2]]*1.15</f>
        <v>20.602458451105214</v>
      </c>
    </row>
    <row r="685" spans="1:42">
      <c r="A685" s="9">
        <v>45925</v>
      </c>
      <c r="B685" s="6" t="s">
        <v>246</v>
      </c>
      <c r="C685" s="14">
        <v>7985</v>
      </c>
      <c r="D685" s="6" t="s">
        <v>46</v>
      </c>
      <c r="E685" s="6" t="s">
        <v>326</v>
      </c>
      <c r="F685" s="6">
        <v>4</v>
      </c>
      <c r="G685" s="15">
        <v>2.8472222222222222E-2</v>
      </c>
      <c r="H685" s="16">
        <v>0</v>
      </c>
      <c r="I685" s="35">
        <f ca="1">IFERROR(Tabela3[[#This Row],[Custo Total]]/Tabela3[[#This Row],[Aluminio Util]],0)</f>
        <v>25.412190401615909</v>
      </c>
      <c r="J685" s="35">
        <f ca="1">Tabela3[[#This Row],[Custo Total]]/Tabela3[[#This Row],[Realizado]]</f>
        <v>13.544697484061281</v>
      </c>
      <c r="K685" s="37">
        <f>IFERROR(Tabela3[[#This Row],[Qtde Cx Produzida]]/Tabela3[[#This Row],[Tempo]]/24,0)</f>
        <v>5.8536585365853666</v>
      </c>
      <c r="L685" s="37">
        <f>Tabela3[[#This Row],[Qtde Cx Produzida]]*Tabela3[[#This Row],[Qdt Peça Placa]]</f>
        <v>16</v>
      </c>
      <c r="M685" s="37">
        <f>Tabela3[[#This Row],[Previsto]]-Tabela3[[#This Row],[Perda Pçs]]</f>
        <v>16</v>
      </c>
      <c r="N685" s="38">
        <f>IFERROR(Tabela3[[#This Row],[Perda Pçs]]/Tabela3[[#This Row],[Previsto]],0)</f>
        <v>0</v>
      </c>
      <c r="O685" s="39">
        <f>IFERROR(IF(Tabela3[[#This Row],[Qtde Cx Produzida]] &lt;&gt; 0, Tabela3[[#This Row],[Tempo]] / Tabela3[[#This Row],[Qtde Cx Produzida]], 0),0)</f>
        <v>7.1180555555555554E-3</v>
      </c>
      <c r="P685" s="57">
        <f>IFERROR(Tabela3[[#This Row],[Perda Pçs]]/Tabela3[[#This Row],[Qdt Peça Placa]],0)</f>
        <v>0</v>
      </c>
      <c r="Q685" s="37">
        <f>IFERROR(Tabela3[[#This Row],[Realizado]]*Tabela3[[#This Row],[Peso Util/Pç]],0)</f>
        <v>8.5280000000000005</v>
      </c>
      <c r="R685" s="37">
        <f>IFERROR(Tabela3[[#This Row],[Peso Total Galho]]*Tabela3[[#This Row],[Qtde Cx Produzida]]*1.055,0)</f>
        <v>13.925999999999998</v>
      </c>
      <c r="S685" s="37">
        <f>(Tabela3[[#This Row],[Aluminio Bruto]]-Tabela3[[#This Row],[Aluminio Util]])*0.9</f>
        <v>4.8581999999999983</v>
      </c>
      <c r="T685" s="37">
        <f>Tabela3[[#This Row],[Aluminio Bruto]]/OleoKGAluminio</f>
        <v>5.8586501938549915</v>
      </c>
      <c r="U685" s="35">
        <f>IFERROR((VLOOKUP(Tabela3[[#This Row],[Moldador]],Tabela1[],5,)+(VLOOKUP(Tabela3[[#This Row],[Ajudante]],Tabela1[],5,))*3.5),0)</f>
        <v>99.95034583333333</v>
      </c>
      <c r="V685" s="35">
        <f>IFERROR(Tabela3[[#This Row],[Custo M.O. / H]]/((Tabela3[[#This Row],[Realizado]]/Tabela3[[#This Row],[Qdt Peça Placa]])/Tabela3[[#This Row],[Tempo]]/24),)</f>
        <v>17.074850746527776</v>
      </c>
      <c r="W685" s="35">
        <f>Tabela3[[#This Row],[Custo / Cx Moldada]]*Tabela3[[#This Row],[Qtde Cx Produzida]]</f>
        <v>68.299402986111104</v>
      </c>
      <c r="X685" s="35">
        <f ca="1">Tabela3[[#This Row],[Aluminio Util]]*Tabela3[[#This Row],[Custo/Kg]]</f>
        <v>133.03680000000003</v>
      </c>
      <c r="Y685" s="35">
        <f>IFERROR(VLOOKUP(Tabela3[[#This Row],[Data]],Tabela461213[],2,1)*(Tabela3[[#This Row],[Qtde Cx Produzida]]*Tabela3[[#This Row],[Qde macho / CX]]*Tabela3[[#This Row],[Peso Macho]]),)</f>
        <v>0</v>
      </c>
      <c r="Z685" s="35">
        <f>IFERROR(Tabela3[[#This Row],[Qtde Oleo]]*(VLOOKUP(Tabela3[[#This Row],[Data]],CompraOleo[],3,TRUE))*1.05,0)</f>
        <v>15.378956758869354</v>
      </c>
      <c r="AA685" s="47">
        <f ca="1">(Tabela3[[#This Row],[Custo Oleo]]+Tabela3[[#This Row],[Custo Aluminio]]+Tabela3[[#This Row],[Custo M.O. Total]]+Tabela3[[#This Row],[Custo Machos]])</f>
        <v>216.7151597449805</v>
      </c>
      <c r="AB685" s="47">
        <f ca="1">Tabela3[[#This Row],[Custo Total]]*Tabela3[[#This Row],[% Perda]]</f>
        <v>0</v>
      </c>
      <c r="AC685" s="48">
        <f>IFERROR(VLOOKUP(Tabela3[[#This Row],[Produto]],Tabela2[],2,0),0)</f>
        <v>4</v>
      </c>
      <c r="AD685" s="48">
        <f>IFERROR(VLOOKUP(Tabela3[[#This Row],[Produto]],Tabela2[],3,0),0)</f>
        <v>0.53300000000000003</v>
      </c>
      <c r="AE685" s="48">
        <f>IFERROR(VLOOKUP(Tabela3[[#This Row],[Produto]],Tabela2[],4,0),0)</f>
        <v>3.3</v>
      </c>
      <c r="AF685" s="48">
        <f>IFERROR(VLOOKUP(Tabela3[[#This Row],[Produto]],Tabela2[],5,0),0)</f>
        <v>1.0511999999999997</v>
      </c>
      <c r="AG685" s="40">
        <f>IFERROR(VLOOKUP(Tabela3[[#This Row],[Produto]],Tabela2[],6,0),0)</f>
        <v>0</v>
      </c>
      <c r="AH685" s="40">
        <f>IFERROR(VLOOKUP(Tabela3[[#This Row],[Produto]],Tabela2[],7,0),0)</f>
        <v>0</v>
      </c>
      <c r="AI685" s="40">
        <f>IFERROR(VLOOKUP(Tabela3[[#This Row],[Produto]],Tabela2[],8,0),0)</f>
        <v>0</v>
      </c>
      <c r="AJ685" s="35">
        <f ca="1">IFERROR(VLOOKUP(Tabela3[[#This Row],[Produto]],Tabela2[],13,0),0)</f>
        <v>15.600000000000001</v>
      </c>
      <c r="AK685" s="40" t="str">
        <f>IFERROR(VLOOKUP(Tabela3[[#This Row],[Produto]],Tabela2[],14,0),0)</f>
        <v>Senun</v>
      </c>
      <c r="AL685" s="40">
        <f>IFERROR(VLOOKUP(Tabela3[[#This Row],[Produto]],Tabela2[],15,0),0)</f>
        <v>4</v>
      </c>
      <c r="AM685" s="36">
        <f ca="1">(Tabela3[[#This Row],[Custo Usinagem]]+Tabela3[[#This Row],[Custo / Pç]])*1.2</f>
        <v>21.053636980873538</v>
      </c>
      <c r="AN685" s="36">
        <f ca="1">Tabela3[[#This Row],[Valor Mínimo Venda]]*1.15</f>
        <v>24.211682528004566</v>
      </c>
      <c r="AO685" s="36">
        <f ca="1">Tabela3[[#This Row],[Tabela 1]]*1.08</f>
        <v>26.148617130244933</v>
      </c>
      <c r="AP685" s="36">
        <f ca="1">Tabela3[[#This Row],[Tabela 2]]*1.15</f>
        <v>30.070909699781669</v>
      </c>
    </row>
    <row r="686" spans="1:42">
      <c r="A686" s="9">
        <v>45925</v>
      </c>
      <c r="B686" s="6" t="s">
        <v>245</v>
      </c>
      <c r="C686" s="14">
        <v>7984</v>
      </c>
      <c r="D686" s="6" t="s">
        <v>44</v>
      </c>
      <c r="E686" s="6" t="s">
        <v>47</v>
      </c>
      <c r="F686" s="6">
        <v>40</v>
      </c>
      <c r="G686" s="15">
        <v>0.21527777777777779</v>
      </c>
      <c r="H686" s="16">
        <v>0</v>
      </c>
      <c r="I686" s="35">
        <f ca="1">IFERROR(Tabela3[[#This Row],[Custo Total]]/Tabela3[[#This Row],[Aluminio Util]],0)</f>
        <v>27.339397373085117</v>
      </c>
      <c r="J686" s="35">
        <f ca="1">Tabela3[[#This Row],[Custo Total]]/Tabela3[[#This Row],[Realizado]]</f>
        <v>9.0766799278642587</v>
      </c>
      <c r="K686" s="37">
        <f>IFERROR(Tabela3[[#This Row],[Qtde Cx Produzida]]/Tabela3[[#This Row],[Tempo]]/24,0)</f>
        <v>7.7419354838709671</v>
      </c>
      <c r="L686" s="37">
        <f>Tabela3[[#This Row],[Qtde Cx Produzida]]*Tabela3[[#This Row],[Qdt Peça Placa]]</f>
        <v>160</v>
      </c>
      <c r="M686" s="37">
        <f>Tabela3[[#This Row],[Previsto]]-Tabela3[[#This Row],[Perda Pçs]]</f>
        <v>160</v>
      </c>
      <c r="N686" s="38">
        <f>IFERROR(Tabela3[[#This Row],[Perda Pçs]]/Tabela3[[#This Row],[Previsto]],0)</f>
        <v>0</v>
      </c>
      <c r="O686" s="39">
        <f>IFERROR(IF(Tabela3[[#This Row],[Qtde Cx Produzida]] &lt;&gt; 0, Tabela3[[#This Row],[Tempo]] / Tabela3[[#This Row],[Qtde Cx Produzida]], 0),0)</f>
        <v>5.3819444444444444E-3</v>
      </c>
      <c r="P686" s="57">
        <f>IFERROR(Tabela3[[#This Row],[Perda Pçs]]/Tabela3[[#This Row],[Qdt Peça Placa]],0)</f>
        <v>0</v>
      </c>
      <c r="Q686" s="37">
        <f>IFERROR(Tabela3[[#This Row],[Realizado]]*Tabela3[[#This Row],[Peso Util/Pç]],0)</f>
        <v>53.120000000000005</v>
      </c>
      <c r="R686" s="37">
        <f>IFERROR(Tabela3[[#This Row],[Peso Total Galho]]*Tabela3[[#This Row],[Qtde Cx Produzida]]*1.055,0)</f>
        <v>97.059999999999988</v>
      </c>
      <c r="S686" s="37">
        <f>(Tabela3[[#This Row],[Aluminio Bruto]]-Tabela3[[#This Row],[Aluminio Util]])*0.9</f>
        <v>39.545999999999985</v>
      </c>
      <c r="T686" s="37">
        <f>Tabela3[[#This Row],[Aluminio Bruto]]/OleoKGAluminio</f>
        <v>40.833016502625696</v>
      </c>
      <c r="U686" s="35">
        <f>IFERROR((VLOOKUP(Tabela3[[#This Row],[Moldador]],Tabela1[],5,)+(VLOOKUP(Tabela3[[#This Row],[Ajudante]],Tabela1[],5,))*3.5),0)</f>
        <v>99.95034583333333</v>
      </c>
      <c r="V686" s="35">
        <f>IFERROR(Tabela3[[#This Row],[Custo M.O. / H]]/((Tabela3[[#This Row],[Realizado]]/Tabela3[[#This Row],[Qdt Peça Placa]])/Tabela3[[#This Row],[Tempo]]/24),)</f>
        <v>12.910253003472222</v>
      </c>
      <c r="W686" s="35">
        <f>Tabela3[[#This Row],[Custo / Cx Moldada]]*Tabela3[[#This Row],[Qtde Cx Produzida]]</f>
        <v>516.41012013888894</v>
      </c>
      <c r="X686" s="35">
        <f ca="1">Tabela3[[#This Row],[Aluminio Util]]*Tabela3[[#This Row],[Custo/Kg]]</f>
        <v>828.67200000000014</v>
      </c>
      <c r="Y686" s="35">
        <f>IFERROR(VLOOKUP(Tabela3[[#This Row],[Data]],Tabela461213[],2,1)*(Tabela3[[#This Row],[Qtde Cx Produzida]]*Tabela3[[#This Row],[Qde macho / CX]]*Tabela3[[#This Row],[Peso Macho]]),)</f>
        <v>0</v>
      </c>
      <c r="Z686" s="35">
        <f>IFERROR(Tabela3[[#This Row],[Qtde Oleo]]*(VLOOKUP(Tabela3[[#This Row],[Data]],CompraOleo[],3,TRUE))*1.05,0)</f>
        <v>107.18666831939245</v>
      </c>
      <c r="AA686" s="47">
        <f ca="1">(Tabela3[[#This Row],[Custo Oleo]]+Tabela3[[#This Row],[Custo Aluminio]]+Tabela3[[#This Row],[Custo M.O. Total]]+Tabela3[[#This Row],[Custo Machos]])</f>
        <v>1452.2687884582815</v>
      </c>
      <c r="AB686" s="47">
        <f ca="1">Tabela3[[#This Row],[Custo Total]]*Tabela3[[#This Row],[% Perda]]</f>
        <v>0</v>
      </c>
      <c r="AC686" s="48">
        <f>IFERROR(VLOOKUP(Tabela3[[#This Row],[Produto]],Tabela2[],2,0),0)</f>
        <v>4</v>
      </c>
      <c r="AD686" s="48">
        <f>IFERROR(VLOOKUP(Tabela3[[#This Row],[Produto]],Tabela2[],3,0),0)</f>
        <v>0.33200000000000002</v>
      </c>
      <c r="AE686" s="48">
        <f>IFERROR(VLOOKUP(Tabela3[[#This Row],[Produto]],Tabela2[],4,0),0)</f>
        <v>2.2999999999999998</v>
      </c>
      <c r="AF686" s="48">
        <f>IFERROR(VLOOKUP(Tabela3[[#This Row],[Produto]],Tabela2[],5,0),0)</f>
        <v>0.8747999999999998</v>
      </c>
      <c r="AG686" s="40">
        <f>IFERROR(VLOOKUP(Tabela3[[#This Row],[Produto]],Tabela2[],6,0),0)</f>
        <v>0</v>
      </c>
      <c r="AH686" s="40">
        <f>IFERROR(VLOOKUP(Tabela3[[#This Row],[Produto]],Tabela2[],7,0),0)</f>
        <v>0</v>
      </c>
      <c r="AI686" s="40">
        <f>IFERROR(VLOOKUP(Tabela3[[#This Row],[Produto]],Tabela2[],8,0),0)</f>
        <v>0</v>
      </c>
      <c r="AJ686" s="35">
        <f ca="1">IFERROR(VLOOKUP(Tabela3[[#This Row],[Produto]],Tabela2[],13,0),0)</f>
        <v>15.600000000000001</v>
      </c>
      <c r="AK686" s="40" t="str">
        <f>IFERROR(VLOOKUP(Tabela3[[#This Row],[Produto]],Tabela2[],14,0),0)</f>
        <v>Senun</v>
      </c>
      <c r="AL686" s="40">
        <f>IFERROR(VLOOKUP(Tabela3[[#This Row],[Produto]],Tabela2[],15,0),0)</f>
        <v>3.5</v>
      </c>
      <c r="AM686" s="36">
        <f ca="1">(Tabela3[[#This Row],[Custo Usinagem]]+Tabela3[[#This Row],[Custo / Pç]])*1.2</f>
        <v>15.092015913437109</v>
      </c>
      <c r="AN686" s="36">
        <f ca="1">Tabela3[[#This Row],[Valor Mínimo Venda]]*1.15</f>
        <v>17.355818300452675</v>
      </c>
      <c r="AO686" s="36">
        <f ca="1">Tabela3[[#This Row],[Tabela 1]]*1.08</f>
        <v>18.744283764488891</v>
      </c>
      <c r="AP686" s="36">
        <f ca="1">Tabela3[[#This Row],[Tabela 2]]*1.15</f>
        <v>21.555926329162222</v>
      </c>
    </row>
    <row r="687" spans="1:42">
      <c r="A687" s="9">
        <v>45925</v>
      </c>
      <c r="B687" s="6" t="s">
        <v>275</v>
      </c>
      <c r="C687" s="14">
        <v>8091</v>
      </c>
      <c r="D687" s="6" t="s">
        <v>44</v>
      </c>
      <c r="E687" s="6" t="s">
        <v>47</v>
      </c>
      <c r="F687" s="6">
        <v>2</v>
      </c>
      <c r="G687" s="15">
        <v>4.8611111111111112E-2</v>
      </c>
      <c r="H687" s="16">
        <v>0</v>
      </c>
      <c r="I687" s="35">
        <f ca="1">IFERROR(Tabela3[[#This Row],[Custo Total]]/Tabela3[[#This Row],[Aluminio Util]],0)</f>
        <v>20.401010539285164</v>
      </c>
      <c r="J687" s="35">
        <f ca="1">Tabela3[[#This Row],[Custo Total]]/Tabela3[[#This Row],[Realizado]]</f>
        <v>448.82223186427359</v>
      </c>
      <c r="K687" s="37">
        <f>IFERROR(Tabela3[[#This Row],[Qtde Cx Produzida]]/Tabela3[[#This Row],[Tempo]]/24,0)</f>
        <v>1.7142857142857142</v>
      </c>
      <c r="L687" s="37">
        <f>Tabela3[[#This Row],[Qtde Cx Produzida]]*Tabela3[[#This Row],[Qdt Peça Placa]]</f>
        <v>2</v>
      </c>
      <c r="M687" s="37">
        <f>Tabela3[[#This Row],[Previsto]]-Tabela3[[#This Row],[Perda Pçs]]</f>
        <v>2</v>
      </c>
      <c r="N687" s="38">
        <f>IFERROR(Tabela3[[#This Row],[Perda Pçs]]/Tabela3[[#This Row],[Previsto]],0)</f>
        <v>0</v>
      </c>
      <c r="O687" s="39">
        <f>IFERROR(IF(Tabela3[[#This Row],[Qtde Cx Produzida]] &lt;&gt; 0, Tabela3[[#This Row],[Tempo]] / Tabela3[[#This Row],[Qtde Cx Produzida]], 0),0)</f>
        <v>2.4305555555555556E-2</v>
      </c>
      <c r="P687" s="57">
        <f>IFERROR(Tabela3[[#This Row],[Perda Pçs]]/Tabela3[[#This Row],[Qdt Peça Placa]],0)</f>
        <v>0</v>
      </c>
      <c r="Q687" s="37">
        <f>IFERROR(Tabela3[[#This Row],[Realizado]]*Tabela3[[#This Row],[Peso Util/Pç]],0)</f>
        <v>44</v>
      </c>
      <c r="R687" s="37">
        <f>IFERROR(Tabela3[[#This Row],[Peso Total Galho]]*Tabela3[[#This Row],[Qtde Cx Produzida]]*1.055,0)</f>
        <v>47.052999999999997</v>
      </c>
      <c r="S687" s="37">
        <f>(Tabela3[[#This Row],[Aluminio Bruto]]-Tabela3[[#This Row],[Aluminio Util]])*0.9</f>
        <v>2.7476999999999978</v>
      </c>
      <c r="T687" s="37">
        <f>Tabela3[[#This Row],[Aluminio Bruto]]/OleoKGAluminio</f>
        <v>19.795136261055504</v>
      </c>
      <c r="U687" s="35">
        <f>IFERROR((VLOOKUP(Tabela3[[#This Row],[Moldador]],Tabela1[],5,)+(VLOOKUP(Tabela3[[#This Row],[Ajudante]],Tabela1[],5,))*3.5),0)</f>
        <v>99.95034583333333</v>
      </c>
      <c r="V687" s="35">
        <f>IFERROR(Tabela3[[#This Row],[Custo M.O. / H]]/((Tabela3[[#This Row],[Realizado]]/Tabela3[[#This Row],[Qdt Peça Placa]])/Tabela3[[#This Row],[Tempo]]/24),)</f>
        <v>58.304368402777776</v>
      </c>
      <c r="W687" s="35">
        <f>Tabela3[[#This Row],[Custo / Cx Moldada]]*Tabela3[[#This Row],[Qtde Cx Produzida]]</f>
        <v>116.60873680555555</v>
      </c>
      <c r="X687" s="35">
        <f ca="1">Tabela3[[#This Row],[Aluminio Util]]*Tabela3[[#This Row],[Custo/Kg]]</f>
        <v>729.07349423772098</v>
      </c>
      <c r="Y687" s="35">
        <f>IFERROR(VLOOKUP(Tabela3[[#This Row],[Data]],Tabela461213[],2,1)*(Tabela3[[#This Row],[Qtde Cx Produzida]]*Tabela3[[#This Row],[Qde macho / CX]]*Tabela3[[#This Row],[Peso Macho]]),)</f>
        <v>0</v>
      </c>
      <c r="Z687" s="35">
        <f>IFERROR(Tabela3[[#This Row],[Qtde Oleo]]*(VLOOKUP(Tabela3[[#This Row],[Data]],CompraOleo[],3,TRUE))*1.05,0)</f>
        <v>51.962232685270699</v>
      </c>
      <c r="AA687" s="47">
        <f ca="1">(Tabela3[[#This Row],[Custo Oleo]]+Tabela3[[#This Row],[Custo Aluminio]]+Tabela3[[#This Row],[Custo M.O. Total]]+Tabela3[[#This Row],[Custo Machos]])</f>
        <v>897.64446372854718</v>
      </c>
      <c r="AB687" s="47">
        <f ca="1">Tabela3[[#This Row],[Custo Total]]*Tabela3[[#This Row],[% Perda]]</f>
        <v>0</v>
      </c>
      <c r="AC687" s="48">
        <f>IFERROR(VLOOKUP(Tabela3[[#This Row],[Produto]],Tabela2[],2,0),0)</f>
        <v>1</v>
      </c>
      <c r="AD687" s="48">
        <f>IFERROR(VLOOKUP(Tabela3[[#This Row],[Produto]],Tabela2[],3,0),0)</f>
        <v>22</v>
      </c>
      <c r="AE687" s="48">
        <f>IFERROR(VLOOKUP(Tabela3[[#This Row],[Produto]],Tabela2[],4,0),0)</f>
        <v>22.3</v>
      </c>
      <c r="AF687" s="48">
        <f>IFERROR(VLOOKUP(Tabela3[[#This Row],[Produto]],Tabela2[],5,0),0)</f>
        <v>0.27000000000000063</v>
      </c>
      <c r="AG687" s="40">
        <f>IFERROR(VLOOKUP(Tabela3[[#This Row],[Produto]],Tabela2[],6,0),0)</f>
        <v>0</v>
      </c>
      <c r="AH687" s="40">
        <f>IFERROR(VLOOKUP(Tabela3[[#This Row],[Produto]],Tabela2[],7,0),0)</f>
        <v>0</v>
      </c>
      <c r="AI687" s="40">
        <f>IFERROR(VLOOKUP(Tabela3[[#This Row],[Produto]],Tabela2[],8,0),0)</f>
        <v>0</v>
      </c>
      <c r="AJ687" s="35">
        <f ca="1">IFERROR(VLOOKUP(Tabela3[[#This Row],[Produto]],Tabela2[],13,0),0)</f>
        <v>16.569852141766386</v>
      </c>
      <c r="AK687" s="40" t="str">
        <f>IFERROR(VLOOKUP(Tabela3[[#This Row],[Produto]],Tabela2[],14,0),0)</f>
        <v>Danilo</v>
      </c>
      <c r="AL687" s="40">
        <f>IFERROR(VLOOKUP(Tabela3[[#This Row],[Produto]],Tabela2[],15,0),0)</f>
        <v>0</v>
      </c>
      <c r="AM687" s="36">
        <f ca="1">(Tabela3[[#This Row],[Custo Usinagem]]+Tabela3[[#This Row],[Custo / Pç]])*1.2</f>
        <v>538.58667823712824</v>
      </c>
      <c r="AN687" s="36">
        <f ca="1">Tabela3[[#This Row],[Valor Mínimo Venda]]*1.15</f>
        <v>619.37467997269744</v>
      </c>
      <c r="AO687" s="36">
        <f ca="1">Tabela3[[#This Row],[Tabela 1]]*1.08</f>
        <v>668.92465437051328</v>
      </c>
      <c r="AP687" s="36">
        <f ca="1">Tabela3[[#This Row],[Tabela 2]]*1.15</f>
        <v>769.26335252609022</v>
      </c>
    </row>
    <row r="688" spans="1:42">
      <c r="A688" s="9">
        <v>45925</v>
      </c>
      <c r="B688" s="6" t="s">
        <v>117</v>
      </c>
      <c r="C688" s="14">
        <v>8090</v>
      </c>
      <c r="D688" s="6" t="s">
        <v>44</v>
      </c>
      <c r="E688" s="6" t="s">
        <v>47</v>
      </c>
      <c r="F688" s="6">
        <v>2</v>
      </c>
      <c r="G688" s="15">
        <v>0.10902777777777778</v>
      </c>
      <c r="H688" s="16">
        <v>0</v>
      </c>
      <c r="I688" s="35">
        <f ca="1">IFERROR(Tabela3[[#This Row],[Custo Total]]/Tabela3[[#This Row],[Aluminio Util]],0)</f>
        <v>21.01287189541052</v>
      </c>
      <c r="J688" s="35">
        <f ca="1">Tabela3[[#This Row],[Custo Total]]/Tabela3[[#This Row],[Realizado]]</f>
        <v>840.51487581642073</v>
      </c>
      <c r="K688" s="37">
        <f>IFERROR(Tabela3[[#This Row],[Qtde Cx Produzida]]/Tabela3[[#This Row],[Tempo]]/24,0)</f>
        <v>0.76433121019108274</v>
      </c>
      <c r="L688" s="37">
        <f>Tabela3[[#This Row],[Qtde Cx Produzida]]*Tabela3[[#This Row],[Qdt Peça Placa]]</f>
        <v>2</v>
      </c>
      <c r="M688" s="37">
        <f>Tabela3[[#This Row],[Previsto]]-Tabela3[[#This Row],[Perda Pçs]]</f>
        <v>2</v>
      </c>
      <c r="N688" s="38">
        <f>IFERROR(Tabela3[[#This Row],[Perda Pçs]]/Tabela3[[#This Row],[Previsto]],0)</f>
        <v>0</v>
      </c>
      <c r="O688" s="39">
        <f>IFERROR(IF(Tabela3[[#This Row],[Qtde Cx Produzida]] &lt;&gt; 0, Tabela3[[#This Row],[Tempo]] / Tabela3[[#This Row],[Qtde Cx Produzida]], 0),0)</f>
        <v>5.451388888888889E-2</v>
      </c>
      <c r="P688" s="57">
        <f>IFERROR(Tabela3[[#This Row],[Perda Pçs]]/Tabela3[[#This Row],[Qdt Peça Placa]],0)</f>
        <v>0</v>
      </c>
      <c r="Q688" s="37">
        <f>IFERROR(Tabela3[[#This Row],[Realizado]]*Tabela3[[#This Row],[Peso Util/Pç]],0)</f>
        <v>80</v>
      </c>
      <c r="R688" s="37">
        <f>IFERROR(Tabela3[[#This Row],[Peso Total Galho]]*Tabela3[[#This Row],[Qtde Cx Produzida]]*1.055,0)</f>
        <v>85.032999999999987</v>
      </c>
      <c r="S688" s="37">
        <f>(Tabela3[[#This Row],[Aluminio Bruto]]-Tabela3[[#This Row],[Aluminio Util]])*0.9</f>
        <v>4.5296999999999885</v>
      </c>
      <c r="T688" s="37">
        <f>Tabela3[[#This Row],[Aluminio Bruto]]/OleoKGAluminio</f>
        <v>35.773273153387294</v>
      </c>
      <c r="U688" s="35">
        <f>IFERROR((VLOOKUP(Tabela3[[#This Row],[Moldador]],Tabela1[],5,)+(VLOOKUP(Tabela3[[#This Row],[Ajudante]],Tabela1[],5,))*3.5),0)</f>
        <v>99.95034583333333</v>
      </c>
      <c r="V688" s="35">
        <f>IFERROR(Tabela3[[#This Row],[Custo M.O. / H]]/((Tabela3[[#This Row],[Realizado]]/Tabela3[[#This Row],[Qdt Peça Placa]])/Tabela3[[#This Row],[Tempo]]/24),)</f>
        <v>130.76836913194444</v>
      </c>
      <c r="W688" s="35">
        <f>Tabela3[[#This Row],[Custo / Cx Moldada]]*Tabela3[[#This Row],[Qtde Cx Produzida]]</f>
        <v>261.53673826388888</v>
      </c>
      <c r="X688" s="35">
        <f ca="1">Tabela3[[#This Row],[Aluminio Util]]*Tabela3[[#This Row],[Custo/Kg]]</f>
        <v>1325.588171341311</v>
      </c>
      <c r="Y688" s="35">
        <f>IFERROR(VLOOKUP(Tabela3[[#This Row],[Data]],Tabela461213[],2,1)*(Tabela3[[#This Row],[Qtde Cx Produzida]]*Tabela3[[#This Row],[Qde macho / CX]]*Tabela3[[#This Row],[Peso Macho]]),)</f>
        <v>0</v>
      </c>
      <c r="Z688" s="35">
        <f>IFERROR(Tabela3[[#This Row],[Qtde Oleo]]*(VLOOKUP(Tabela3[[#This Row],[Data]],CompraOleo[],3,TRUE))*1.05,0)</f>
        <v>93.904842027641649</v>
      </c>
      <c r="AA688" s="47">
        <f ca="1">(Tabela3[[#This Row],[Custo Oleo]]+Tabela3[[#This Row],[Custo Aluminio]]+Tabela3[[#This Row],[Custo M.O. Total]]+Tabela3[[#This Row],[Custo Machos]])</f>
        <v>1681.0297516328415</v>
      </c>
      <c r="AB688" s="47">
        <f ca="1">Tabela3[[#This Row],[Custo Total]]*Tabela3[[#This Row],[% Perda]]</f>
        <v>0</v>
      </c>
      <c r="AC688" s="48">
        <f>IFERROR(VLOOKUP(Tabela3[[#This Row],[Produto]],Tabela2[],2,0),0)</f>
        <v>1</v>
      </c>
      <c r="AD688" s="48">
        <f>IFERROR(VLOOKUP(Tabela3[[#This Row],[Produto]],Tabela2[],3,0),0)</f>
        <v>40</v>
      </c>
      <c r="AE688" s="48">
        <f>IFERROR(VLOOKUP(Tabela3[[#This Row],[Produto]],Tabela2[],4,0),0)</f>
        <v>40.299999999999997</v>
      </c>
      <c r="AF688" s="48">
        <f>IFERROR(VLOOKUP(Tabela3[[#This Row],[Produto]],Tabela2[],5,0),0)</f>
        <v>0.26999999999999746</v>
      </c>
      <c r="AG688" s="40">
        <f>IFERROR(VLOOKUP(Tabela3[[#This Row],[Produto]],Tabela2[],6,0),0)</f>
        <v>0</v>
      </c>
      <c r="AH688" s="40">
        <f>IFERROR(VLOOKUP(Tabela3[[#This Row],[Produto]],Tabela2[],7,0),0)</f>
        <v>0</v>
      </c>
      <c r="AI688" s="40">
        <f>IFERROR(VLOOKUP(Tabela3[[#This Row],[Produto]],Tabela2[],8,0),0)</f>
        <v>0</v>
      </c>
      <c r="AJ688" s="35">
        <f ca="1">IFERROR(VLOOKUP(Tabela3[[#This Row],[Produto]],Tabela2[],13,0),0)</f>
        <v>16.569852141766386</v>
      </c>
      <c r="AK688" s="40" t="str">
        <f>IFERROR(VLOOKUP(Tabela3[[#This Row],[Produto]],Tabela2[],14,0),0)</f>
        <v>Danilo</v>
      </c>
      <c r="AL688" s="40">
        <f>IFERROR(VLOOKUP(Tabela3[[#This Row],[Produto]],Tabela2[],15,0),0)</f>
        <v>0</v>
      </c>
      <c r="AM688" s="36">
        <f ca="1">(Tabela3[[#This Row],[Custo Usinagem]]+Tabela3[[#This Row],[Custo / Pç]])*1.2</f>
        <v>1008.6178509797048</v>
      </c>
      <c r="AN688" s="36">
        <f ca="1">Tabela3[[#This Row],[Valor Mínimo Venda]]*1.15</f>
        <v>1159.9105286266604</v>
      </c>
      <c r="AO688" s="36">
        <f ca="1">Tabela3[[#This Row],[Tabela 1]]*1.08</f>
        <v>1252.7033709167933</v>
      </c>
      <c r="AP688" s="36">
        <f ca="1">Tabela3[[#This Row],[Tabela 2]]*1.15</f>
        <v>1440.6088765543122</v>
      </c>
    </row>
    <row r="689" spans="1:42">
      <c r="A689" s="9">
        <v>45926</v>
      </c>
      <c r="B689" s="6" t="s">
        <v>246</v>
      </c>
      <c r="C689" s="14">
        <v>7985</v>
      </c>
      <c r="D689" s="6" t="s">
        <v>46</v>
      </c>
      <c r="E689" s="6" t="s">
        <v>326</v>
      </c>
      <c r="F689" s="6">
        <v>30</v>
      </c>
      <c r="G689" s="15">
        <v>0.17847222222222223</v>
      </c>
      <c r="H689" s="16">
        <v>64</v>
      </c>
      <c r="I689" s="35">
        <f ca="1">IFERROR(Tabela3[[#This Row],[Custo Total]]/Tabela3[[#This Row],[Aluminio Util]],0)</f>
        <v>50.200092610331907</v>
      </c>
      <c r="J689" s="35">
        <f ca="1">Tabela3[[#This Row],[Custo Total]]/Tabela3[[#This Row],[Realizado]]</f>
        <v>26.756649361306909</v>
      </c>
      <c r="K689" s="37">
        <f>IFERROR(Tabela3[[#This Row],[Qtde Cx Produzida]]/Tabela3[[#This Row],[Tempo]]/24,0)</f>
        <v>7.0038910505836576</v>
      </c>
      <c r="L689" s="37">
        <f>Tabela3[[#This Row],[Qtde Cx Produzida]]*Tabela3[[#This Row],[Qdt Peça Placa]]</f>
        <v>120</v>
      </c>
      <c r="M689" s="37">
        <f>Tabela3[[#This Row],[Previsto]]-Tabela3[[#This Row],[Perda Pçs]]</f>
        <v>56</v>
      </c>
      <c r="N689" s="38">
        <f>IFERROR(Tabela3[[#This Row],[Perda Pçs]]/Tabela3[[#This Row],[Previsto]],0)</f>
        <v>0.53333333333333333</v>
      </c>
      <c r="O689" s="39">
        <f>IFERROR(IF(Tabela3[[#This Row],[Qtde Cx Produzida]] &lt;&gt; 0, Tabela3[[#This Row],[Tempo]] / Tabela3[[#This Row],[Qtde Cx Produzida]], 0),0)</f>
        <v>5.9490740740740745E-3</v>
      </c>
      <c r="P689" s="57">
        <f>IFERROR(Tabela3[[#This Row],[Perda Pçs]]/Tabela3[[#This Row],[Qdt Peça Placa]],0)</f>
        <v>16</v>
      </c>
      <c r="Q689" s="37">
        <f>IFERROR(Tabela3[[#This Row],[Realizado]]*Tabela3[[#This Row],[Peso Util/Pç]],0)</f>
        <v>29.848000000000003</v>
      </c>
      <c r="R689" s="37">
        <f>IFERROR(Tabela3[[#This Row],[Peso Total Galho]]*Tabela3[[#This Row],[Qtde Cx Produzida]]*1.055,0)</f>
        <v>104.44499999999999</v>
      </c>
      <c r="S689" s="37">
        <f>(Tabela3[[#This Row],[Aluminio Bruto]]-Tabela3[[#This Row],[Aluminio Util]])*0.9</f>
        <v>67.137299999999996</v>
      </c>
      <c r="T689" s="37">
        <f>Tabela3[[#This Row],[Aluminio Bruto]]/OleoKGAluminio</f>
        <v>43.93987645391244</v>
      </c>
      <c r="U689" s="35">
        <f>IFERROR((VLOOKUP(Tabela3[[#This Row],[Moldador]],Tabela1[],5,)+(VLOOKUP(Tabela3[[#This Row],[Ajudante]],Tabela1[],5,))*3.5),0)</f>
        <v>99.95034583333333</v>
      </c>
      <c r="V689" s="35">
        <f>IFERROR(Tabela3[[#This Row],[Custo M.O. / H]]/((Tabela3[[#This Row],[Realizado]]/Tabela3[[#This Row],[Qdt Peça Placa]])/Tabela3[[#This Row],[Tempo]]/24),)</f>
        <v>30.580046284722226</v>
      </c>
      <c r="W689" s="35">
        <f>Tabela3[[#This Row],[Custo / Cx Moldada]]*Tabela3[[#This Row],[Qtde Cx Produzida]]</f>
        <v>917.40138854166673</v>
      </c>
      <c r="X689" s="35">
        <f ca="1">Tabela3[[#This Row],[Aluminio Util]]*Tabela3[[#This Row],[Custo/Kg]]</f>
        <v>465.62880000000007</v>
      </c>
      <c r="Y689" s="35">
        <f>IFERROR(VLOOKUP(Tabela3[[#This Row],[Data]],Tabela461213[],2,1)*(Tabela3[[#This Row],[Qtde Cx Produzida]]*Tabela3[[#This Row],[Qde macho / CX]]*Tabela3[[#This Row],[Peso Macho]]),)</f>
        <v>0</v>
      </c>
      <c r="Z689" s="35">
        <f>IFERROR(Tabela3[[#This Row],[Qtde Oleo]]*(VLOOKUP(Tabela3[[#This Row],[Data]],CompraOleo[],3,TRUE))*1.05,0)</f>
        <v>115.34217569152015</v>
      </c>
      <c r="AA689" s="47">
        <f ca="1">(Tabela3[[#This Row],[Custo Oleo]]+Tabela3[[#This Row],[Custo Aluminio]]+Tabela3[[#This Row],[Custo M.O. Total]]+Tabela3[[#This Row],[Custo Machos]])</f>
        <v>1498.372364233187</v>
      </c>
      <c r="AB689" s="47">
        <f ca="1">Tabela3[[#This Row],[Custo Total]]*Tabela3[[#This Row],[% Perda]]</f>
        <v>799.1319275910331</v>
      </c>
      <c r="AC689" s="48">
        <f>IFERROR(VLOOKUP(Tabela3[[#This Row],[Produto]],Tabela2[],2,0),0)</f>
        <v>4</v>
      </c>
      <c r="AD689" s="48">
        <f>IFERROR(VLOOKUP(Tabela3[[#This Row],[Produto]],Tabela2[],3,0),0)</f>
        <v>0.53300000000000003</v>
      </c>
      <c r="AE689" s="48">
        <f>IFERROR(VLOOKUP(Tabela3[[#This Row],[Produto]],Tabela2[],4,0),0)</f>
        <v>3.3</v>
      </c>
      <c r="AF689" s="48">
        <f>IFERROR(VLOOKUP(Tabela3[[#This Row],[Produto]],Tabela2[],5,0),0)</f>
        <v>1.0511999999999997</v>
      </c>
      <c r="AG689" s="40">
        <f>IFERROR(VLOOKUP(Tabela3[[#This Row],[Produto]],Tabela2[],6,0),0)</f>
        <v>0</v>
      </c>
      <c r="AH689" s="40">
        <f>IFERROR(VLOOKUP(Tabela3[[#This Row],[Produto]],Tabela2[],7,0),0)</f>
        <v>0</v>
      </c>
      <c r="AI689" s="40">
        <f>IFERROR(VLOOKUP(Tabela3[[#This Row],[Produto]],Tabela2[],8,0),0)</f>
        <v>0</v>
      </c>
      <c r="AJ689" s="35">
        <f ca="1">IFERROR(VLOOKUP(Tabela3[[#This Row],[Produto]],Tabela2[],13,0),0)</f>
        <v>15.600000000000001</v>
      </c>
      <c r="AK689" s="40" t="str">
        <f>IFERROR(VLOOKUP(Tabela3[[#This Row],[Produto]],Tabela2[],14,0),0)</f>
        <v>Senun</v>
      </c>
      <c r="AL689" s="40">
        <f>IFERROR(VLOOKUP(Tabela3[[#This Row],[Produto]],Tabela2[],15,0),0)</f>
        <v>4</v>
      </c>
      <c r="AM689" s="36">
        <f ca="1">(Tabela3[[#This Row],[Custo Usinagem]]+Tabela3[[#This Row],[Custo / Pç]])*1.2</f>
        <v>36.907979233568291</v>
      </c>
      <c r="AN689" s="36">
        <f ca="1">Tabela3[[#This Row],[Valor Mínimo Venda]]*1.15</f>
        <v>42.444176118603529</v>
      </c>
      <c r="AO689" s="36">
        <f ca="1">Tabela3[[#This Row],[Tabela 1]]*1.08</f>
        <v>45.839710208091816</v>
      </c>
      <c r="AP689" s="36">
        <f ca="1">Tabela3[[#This Row],[Tabela 2]]*1.15</f>
        <v>52.715666739305583</v>
      </c>
    </row>
    <row r="690" spans="1:42">
      <c r="A690" s="9">
        <v>45926</v>
      </c>
      <c r="B690" s="6" t="s">
        <v>245</v>
      </c>
      <c r="C690" s="14">
        <v>7984</v>
      </c>
      <c r="D690" s="6" t="s">
        <v>44</v>
      </c>
      <c r="E690" s="6" t="s">
        <v>47</v>
      </c>
      <c r="F690" s="6">
        <v>46</v>
      </c>
      <c r="G690" s="15">
        <v>0.23472222222222222</v>
      </c>
      <c r="H690" s="16">
        <v>0</v>
      </c>
      <c r="I690" s="35">
        <f ca="1">IFERROR(Tabela3[[#This Row],[Custo Total]]/Tabela3[[#This Row],[Aluminio Util]],0)</f>
        <v>26.834911659055994</v>
      </c>
      <c r="J690" s="35">
        <f ca="1">Tabela3[[#This Row],[Custo Total]]/Tabela3[[#This Row],[Realizado]]</f>
        <v>8.9091906708065896</v>
      </c>
      <c r="K690" s="37">
        <f>IFERROR(Tabela3[[#This Row],[Qtde Cx Produzida]]/Tabela3[[#This Row],[Tempo]]/24,0)</f>
        <v>8.165680473372781</v>
      </c>
      <c r="L690" s="37">
        <f>Tabela3[[#This Row],[Qtde Cx Produzida]]*Tabela3[[#This Row],[Qdt Peça Placa]]</f>
        <v>184</v>
      </c>
      <c r="M690" s="37">
        <f>Tabela3[[#This Row],[Previsto]]-Tabela3[[#This Row],[Perda Pçs]]</f>
        <v>184</v>
      </c>
      <c r="N690" s="38">
        <f>IFERROR(Tabela3[[#This Row],[Perda Pçs]]/Tabela3[[#This Row],[Previsto]],0)</f>
        <v>0</v>
      </c>
      <c r="O690" s="39">
        <f>IFERROR(IF(Tabela3[[#This Row],[Qtde Cx Produzida]] &lt;&gt; 0, Tabela3[[#This Row],[Tempo]] / Tabela3[[#This Row],[Qtde Cx Produzida]], 0),0)</f>
        <v>5.1026570048309178E-3</v>
      </c>
      <c r="P690" s="57">
        <f>IFERROR(Tabela3[[#This Row],[Perda Pçs]]/Tabela3[[#This Row],[Qdt Peça Placa]],0)</f>
        <v>0</v>
      </c>
      <c r="Q690" s="37">
        <f>IFERROR(Tabela3[[#This Row],[Realizado]]*Tabela3[[#This Row],[Peso Util/Pç]],0)</f>
        <v>61.088000000000001</v>
      </c>
      <c r="R690" s="37">
        <f>IFERROR(Tabela3[[#This Row],[Peso Total Galho]]*Tabela3[[#This Row],[Qtde Cx Produzida]]*1.055,0)</f>
        <v>111.61899999999999</v>
      </c>
      <c r="S690" s="37">
        <f>(Tabela3[[#This Row],[Aluminio Bruto]]-Tabela3[[#This Row],[Aluminio Util]])*0.9</f>
        <v>45.477899999999984</v>
      </c>
      <c r="T690" s="37">
        <f>Tabela3[[#This Row],[Aluminio Bruto]]/OleoKGAluminio</f>
        <v>46.957968978019558</v>
      </c>
      <c r="U690" s="35">
        <f>IFERROR((VLOOKUP(Tabela3[[#This Row],[Moldador]],Tabela1[],5,)+(VLOOKUP(Tabela3[[#This Row],[Ajudante]],Tabela1[],5,))*3.5),0)</f>
        <v>99.95034583333333</v>
      </c>
      <c r="V690" s="35">
        <f>IFERROR(Tabela3[[#This Row],[Custo M.O. / H]]/((Tabela3[[#This Row],[Realizado]]/Tabela3[[#This Row],[Qdt Peça Placa]])/Tabela3[[#This Row],[Tempo]]/24),)</f>
        <v>12.240295975241546</v>
      </c>
      <c r="W690" s="35">
        <f>Tabela3[[#This Row],[Custo / Cx Moldada]]*Tabela3[[#This Row],[Qtde Cx Produzida]]</f>
        <v>563.0536148611111</v>
      </c>
      <c r="X690" s="35">
        <f ca="1">Tabela3[[#This Row],[Aluminio Util]]*Tabela3[[#This Row],[Custo/Kg]]</f>
        <v>952.97280000000012</v>
      </c>
      <c r="Y690" s="35">
        <f>IFERROR(VLOOKUP(Tabela3[[#This Row],[Data]],Tabela461213[],2,1)*(Tabela3[[#This Row],[Qtde Cx Produzida]]*Tabela3[[#This Row],[Qde macho / CX]]*Tabela3[[#This Row],[Peso Macho]]),)</f>
        <v>0</v>
      </c>
      <c r="Z690" s="35">
        <f>IFERROR(Tabela3[[#This Row],[Qtde Oleo]]*(VLOOKUP(Tabela3[[#This Row],[Data]],CompraOleo[],3,TRUE))*1.05,0)</f>
        <v>123.26466856730134</v>
      </c>
      <c r="AA690" s="47">
        <f ca="1">(Tabela3[[#This Row],[Custo Oleo]]+Tabela3[[#This Row],[Custo Aluminio]]+Tabela3[[#This Row],[Custo M.O. Total]]+Tabela3[[#This Row],[Custo Machos]])</f>
        <v>1639.2910834284125</v>
      </c>
      <c r="AB690" s="47">
        <f ca="1">Tabela3[[#This Row],[Custo Total]]*Tabela3[[#This Row],[% Perda]]</f>
        <v>0</v>
      </c>
      <c r="AC690" s="48">
        <f>IFERROR(VLOOKUP(Tabela3[[#This Row],[Produto]],Tabela2[],2,0),0)</f>
        <v>4</v>
      </c>
      <c r="AD690" s="48">
        <f>IFERROR(VLOOKUP(Tabela3[[#This Row],[Produto]],Tabela2[],3,0),0)</f>
        <v>0.33200000000000002</v>
      </c>
      <c r="AE690" s="48">
        <f>IFERROR(VLOOKUP(Tabela3[[#This Row],[Produto]],Tabela2[],4,0),0)</f>
        <v>2.2999999999999998</v>
      </c>
      <c r="AF690" s="48">
        <f>IFERROR(VLOOKUP(Tabela3[[#This Row],[Produto]],Tabela2[],5,0),0)</f>
        <v>0.8747999999999998</v>
      </c>
      <c r="AG690" s="40">
        <f>IFERROR(VLOOKUP(Tabela3[[#This Row],[Produto]],Tabela2[],6,0),0)</f>
        <v>0</v>
      </c>
      <c r="AH690" s="40">
        <f>IFERROR(VLOOKUP(Tabela3[[#This Row],[Produto]],Tabela2[],7,0),0)</f>
        <v>0</v>
      </c>
      <c r="AI690" s="40">
        <f>IFERROR(VLOOKUP(Tabela3[[#This Row],[Produto]],Tabela2[],8,0),0)</f>
        <v>0</v>
      </c>
      <c r="AJ690" s="35">
        <f ca="1">IFERROR(VLOOKUP(Tabela3[[#This Row],[Produto]],Tabela2[],13,0),0)</f>
        <v>15.600000000000001</v>
      </c>
      <c r="AK690" s="40" t="str">
        <f>IFERROR(VLOOKUP(Tabela3[[#This Row],[Produto]],Tabela2[],14,0),0)</f>
        <v>Senun</v>
      </c>
      <c r="AL690" s="40">
        <f>IFERROR(VLOOKUP(Tabela3[[#This Row],[Produto]],Tabela2[],15,0),0)</f>
        <v>3.5</v>
      </c>
      <c r="AM690" s="36">
        <f ca="1">(Tabela3[[#This Row],[Custo Usinagem]]+Tabela3[[#This Row],[Custo / Pç]])*1.2</f>
        <v>14.891028804967906</v>
      </c>
      <c r="AN690" s="36">
        <f ca="1">Tabela3[[#This Row],[Valor Mínimo Venda]]*1.15</f>
        <v>17.124683125713091</v>
      </c>
      <c r="AO690" s="36">
        <f ca="1">Tabela3[[#This Row],[Tabela 1]]*1.08</f>
        <v>18.49465777577014</v>
      </c>
      <c r="AP690" s="36">
        <f ca="1">Tabela3[[#This Row],[Tabela 2]]*1.15</f>
        <v>21.268856442135657</v>
      </c>
    </row>
    <row r="691" spans="1:42">
      <c r="A691" s="9">
        <v>45926</v>
      </c>
      <c r="B691" s="6" t="s">
        <v>117</v>
      </c>
      <c r="C691" s="14">
        <v>8090</v>
      </c>
      <c r="D691" s="6" t="s">
        <v>44</v>
      </c>
      <c r="E691" s="6" t="s">
        <v>47</v>
      </c>
      <c r="F691" s="6">
        <v>3</v>
      </c>
      <c r="G691" s="15">
        <v>0.13194444444444445</v>
      </c>
      <c r="H691" s="16">
        <v>0</v>
      </c>
      <c r="I691" s="35">
        <f ca="1">IFERROR(Tabela3[[#This Row],[Custo Total]]/Tabela3[[#This Row],[Aluminio Util]],0)</f>
        <v>20.381241237713759</v>
      </c>
      <c r="J691" s="35">
        <f ca="1">Tabela3[[#This Row],[Custo Total]]/Tabela3[[#This Row],[Realizado]]</f>
        <v>815.24964950855031</v>
      </c>
      <c r="K691" s="37">
        <f>IFERROR(Tabela3[[#This Row],[Qtde Cx Produzida]]/Tabela3[[#This Row],[Tempo]]/24,0)</f>
        <v>0.94736842105263153</v>
      </c>
      <c r="L691" s="37">
        <f>Tabela3[[#This Row],[Qtde Cx Produzida]]*Tabela3[[#This Row],[Qdt Peça Placa]]</f>
        <v>3</v>
      </c>
      <c r="M691" s="37">
        <f>Tabela3[[#This Row],[Previsto]]-Tabela3[[#This Row],[Perda Pçs]]</f>
        <v>3</v>
      </c>
      <c r="N691" s="38">
        <f>IFERROR(Tabela3[[#This Row],[Perda Pçs]]/Tabela3[[#This Row],[Previsto]],0)</f>
        <v>0</v>
      </c>
      <c r="O691" s="39">
        <f>IFERROR(IF(Tabela3[[#This Row],[Qtde Cx Produzida]] &lt;&gt; 0, Tabela3[[#This Row],[Tempo]] / Tabela3[[#This Row],[Qtde Cx Produzida]], 0),0)</f>
        <v>4.3981481481481483E-2</v>
      </c>
      <c r="P691" s="57">
        <f>IFERROR(Tabela3[[#This Row],[Perda Pçs]]/Tabela3[[#This Row],[Qdt Peça Placa]],0)</f>
        <v>0</v>
      </c>
      <c r="Q691" s="37">
        <f>IFERROR(Tabela3[[#This Row],[Realizado]]*Tabela3[[#This Row],[Peso Util/Pç]],0)</f>
        <v>120</v>
      </c>
      <c r="R691" s="37">
        <f>IFERROR(Tabela3[[#This Row],[Peso Total Galho]]*Tabela3[[#This Row],[Qtde Cx Produzida]]*1.055,0)</f>
        <v>127.54949999999998</v>
      </c>
      <c r="S691" s="37">
        <f>(Tabela3[[#This Row],[Aluminio Bruto]]-Tabela3[[#This Row],[Aluminio Util]])*0.9</f>
        <v>6.7945499999999823</v>
      </c>
      <c r="T691" s="37">
        <f>Tabela3[[#This Row],[Aluminio Bruto]]/OleoKGAluminio</f>
        <v>53.659909730080948</v>
      </c>
      <c r="U691" s="35">
        <f>IFERROR((VLOOKUP(Tabela3[[#This Row],[Moldador]],Tabela1[],5,)+(VLOOKUP(Tabela3[[#This Row],[Ajudante]],Tabela1[],5,))*3.5),0)</f>
        <v>99.95034583333333</v>
      </c>
      <c r="V691" s="35">
        <f>IFERROR(Tabela3[[#This Row],[Custo M.O. / H]]/((Tabela3[[#This Row],[Realizado]]/Tabela3[[#This Row],[Qdt Peça Placa]])/Tabela3[[#This Row],[Tempo]]/24),)</f>
        <v>105.50314282407408</v>
      </c>
      <c r="W691" s="35">
        <f>Tabela3[[#This Row],[Custo / Cx Moldada]]*Tabela3[[#This Row],[Qtde Cx Produzida]]</f>
        <v>316.50942847222223</v>
      </c>
      <c r="X691" s="35">
        <f ca="1">Tabela3[[#This Row],[Aluminio Util]]*Tabela3[[#This Row],[Custo/Kg]]</f>
        <v>1988.3822570119664</v>
      </c>
      <c r="Y691" s="35">
        <f>IFERROR(VLOOKUP(Tabela3[[#This Row],[Data]],Tabela461213[],2,1)*(Tabela3[[#This Row],[Qtde Cx Produzida]]*Tabela3[[#This Row],[Qde macho / CX]]*Tabela3[[#This Row],[Peso Macho]]),)</f>
        <v>0</v>
      </c>
      <c r="Z691" s="35">
        <f>IFERROR(Tabela3[[#This Row],[Qtde Oleo]]*(VLOOKUP(Tabela3[[#This Row],[Data]],CompraOleo[],3,TRUE))*1.05,0)</f>
        <v>140.85726304146249</v>
      </c>
      <c r="AA691" s="47">
        <f ca="1">(Tabela3[[#This Row],[Custo Oleo]]+Tabela3[[#This Row],[Custo Aluminio]]+Tabela3[[#This Row],[Custo M.O. Total]]+Tabela3[[#This Row],[Custo Machos]])</f>
        <v>2445.748948525651</v>
      </c>
      <c r="AB691" s="47">
        <f ca="1">Tabela3[[#This Row],[Custo Total]]*Tabela3[[#This Row],[% Perda]]</f>
        <v>0</v>
      </c>
      <c r="AC691" s="48">
        <f>IFERROR(VLOOKUP(Tabela3[[#This Row],[Produto]],Tabela2[],2,0),0)</f>
        <v>1</v>
      </c>
      <c r="AD691" s="48">
        <f>IFERROR(VLOOKUP(Tabela3[[#This Row],[Produto]],Tabela2[],3,0),0)</f>
        <v>40</v>
      </c>
      <c r="AE691" s="48">
        <f>IFERROR(VLOOKUP(Tabela3[[#This Row],[Produto]],Tabela2[],4,0),0)</f>
        <v>40.299999999999997</v>
      </c>
      <c r="AF691" s="48">
        <f>IFERROR(VLOOKUP(Tabela3[[#This Row],[Produto]],Tabela2[],5,0),0)</f>
        <v>0.26999999999999746</v>
      </c>
      <c r="AG691" s="40">
        <f>IFERROR(VLOOKUP(Tabela3[[#This Row],[Produto]],Tabela2[],6,0),0)</f>
        <v>0</v>
      </c>
      <c r="AH691" s="40">
        <f>IFERROR(VLOOKUP(Tabela3[[#This Row],[Produto]],Tabela2[],7,0),0)</f>
        <v>0</v>
      </c>
      <c r="AI691" s="40">
        <f>IFERROR(VLOOKUP(Tabela3[[#This Row],[Produto]],Tabela2[],8,0),0)</f>
        <v>0</v>
      </c>
      <c r="AJ691" s="35">
        <f ca="1">IFERROR(VLOOKUP(Tabela3[[#This Row],[Produto]],Tabela2[],13,0),0)</f>
        <v>16.569852141766386</v>
      </c>
      <c r="AK691" s="40" t="str">
        <f>IFERROR(VLOOKUP(Tabela3[[#This Row],[Produto]],Tabela2[],14,0),0)</f>
        <v>Danilo</v>
      </c>
      <c r="AL691" s="40">
        <f>IFERROR(VLOOKUP(Tabela3[[#This Row],[Produto]],Tabela2[],15,0),0)</f>
        <v>0</v>
      </c>
      <c r="AM691" s="36">
        <f ca="1">(Tabela3[[#This Row],[Custo Usinagem]]+Tabela3[[#This Row],[Custo / Pç]])*1.2</f>
        <v>978.29957941026032</v>
      </c>
      <c r="AN691" s="36">
        <f ca="1">Tabela3[[#This Row],[Valor Mínimo Venda]]*1.15</f>
        <v>1125.0445163217994</v>
      </c>
      <c r="AO691" s="36">
        <f ca="1">Tabela3[[#This Row],[Tabela 1]]*1.08</f>
        <v>1215.0480776275435</v>
      </c>
      <c r="AP691" s="36">
        <f ca="1">Tabela3[[#This Row],[Tabela 2]]*1.15</f>
        <v>1397.3052892716751</v>
      </c>
    </row>
    <row r="692" spans="1:42">
      <c r="A692" s="9">
        <v>45929</v>
      </c>
      <c r="B692" s="6" t="s">
        <v>246</v>
      </c>
      <c r="C692" s="14">
        <v>7985</v>
      </c>
      <c r="D692" s="6" t="s">
        <v>46</v>
      </c>
      <c r="E692" s="6" t="s">
        <v>326</v>
      </c>
      <c r="F692" s="6">
        <v>14</v>
      </c>
      <c r="G692" s="15">
        <v>8.4722222222222227E-2</v>
      </c>
      <c r="H692" s="16">
        <v>0</v>
      </c>
      <c r="I692" s="35">
        <f ca="1">IFERROR(Tabela3[[#This Row],[Custo Total]]/Tabela3[[#This Row],[Aluminio Util]],0)</f>
        <v>24.212259398189286</v>
      </c>
      <c r="J692" s="35">
        <f ca="1">Tabela3[[#This Row],[Custo Total]]/Tabela3[[#This Row],[Realizado]]</f>
        <v>12.90513425923489</v>
      </c>
      <c r="K692" s="37">
        <f>IFERROR(Tabela3[[#This Row],[Qtde Cx Produzida]]/Tabela3[[#This Row],[Tempo]]/24,0)</f>
        <v>6.8852459016393439</v>
      </c>
      <c r="L692" s="37">
        <f>Tabela3[[#This Row],[Qtde Cx Produzida]]*Tabela3[[#This Row],[Qdt Peça Placa]]</f>
        <v>56</v>
      </c>
      <c r="M692" s="37">
        <f>Tabela3[[#This Row],[Previsto]]-Tabela3[[#This Row],[Perda Pçs]]</f>
        <v>56</v>
      </c>
      <c r="N692" s="38">
        <f>IFERROR(Tabela3[[#This Row],[Perda Pçs]]/Tabela3[[#This Row],[Previsto]],0)</f>
        <v>0</v>
      </c>
      <c r="O692" s="39">
        <f>IFERROR(IF(Tabela3[[#This Row],[Qtde Cx Produzida]] &lt;&gt; 0, Tabela3[[#This Row],[Tempo]] / Tabela3[[#This Row],[Qtde Cx Produzida]], 0),0)</f>
        <v>6.0515873015873018E-3</v>
      </c>
      <c r="P692" s="57">
        <f>IFERROR(Tabela3[[#This Row],[Perda Pçs]]/Tabela3[[#This Row],[Qdt Peça Placa]],0)</f>
        <v>0</v>
      </c>
      <c r="Q692" s="37">
        <f>IFERROR(Tabela3[[#This Row],[Realizado]]*Tabela3[[#This Row],[Peso Util/Pç]],0)</f>
        <v>29.848000000000003</v>
      </c>
      <c r="R692" s="37">
        <f>IFERROR(Tabela3[[#This Row],[Peso Total Galho]]*Tabela3[[#This Row],[Qtde Cx Produzida]]*1.055,0)</f>
        <v>48.740999999999993</v>
      </c>
      <c r="S692" s="37">
        <f>(Tabela3[[#This Row],[Aluminio Bruto]]-Tabela3[[#This Row],[Aluminio Util]])*0.9</f>
        <v>17.003699999999991</v>
      </c>
      <c r="T692" s="37">
        <f>Tabela3[[#This Row],[Aluminio Bruto]]/OleoKGAluminio</f>
        <v>20.50527567849247</v>
      </c>
      <c r="U692" s="35">
        <f>IFERROR((VLOOKUP(Tabela3[[#This Row],[Moldador]],Tabela1[],5,)+(VLOOKUP(Tabela3[[#This Row],[Ajudante]],Tabela1[],5,))*3.5),0)</f>
        <v>99.95034583333333</v>
      </c>
      <c r="V692" s="35">
        <f>IFERROR(Tabela3[[#This Row],[Custo M.O. / H]]/((Tabela3[[#This Row],[Realizado]]/Tabela3[[#This Row],[Qdt Peça Placa]])/Tabela3[[#This Row],[Tempo]]/24),)</f>
        <v>14.516597847222222</v>
      </c>
      <c r="W692" s="35">
        <f>Tabela3[[#This Row],[Custo / Cx Moldada]]*Tabela3[[#This Row],[Qtde Cx Produzida]]</f>
        <v>203.23236986111112</v>
      </c>
      <c r="X692" s="35">
        <f ca="1">Tabela3[[#This Row],[Aluminio Util]]*Tabela3[[#This Row],[Custo/Kg]]</f>
        <v>465.62880000000007</v>
      </c>
      <c r="Y692" s="35">
        <f>IFERROR(VLOOKUP(Tabela3[[#This Row],[Data]],Tabela461213[],2,1)*(Tabela3[[#This Row],[Qtde Cx Produzida]]*Tabela3[[#This Row],[Qde macho / CX]]*Tabela3[[#This Row],[Peso Macho]]),)</f>
        <v>0</v>
      </c>
      <c r="Z692" s="35">
        <f>IFERROR(Tabela3[[#This Row],[Qtde Oleo]]*(VLOOKUP(Tabela3[[#This Row],[Data]],CompraOleo[],3,TRUE))*1.05,0)</f>
        <v>53.826348656042732</v>
      </c>
      <c r="AA692" s="47">
        <f ca="1">(Tabela3[[#This Row],[Custo Oleo]]+Tabela3[[#This Row],[Custo Aluminio]]+Tabela3[[#This Row],[Custo M.O. Total]]+Tabela3[[#This Row],[Custo Machos]])</f>
        <v>722.68751851715388</v>
      </c>
      <c r="AB692" s="47">
        <f ca="1">Tabela3[[#This Row],[Custo Total]]*Tabela3[[#This Row],[% Perda]]</f>
        <v>0</v>
      </c>
      <c r="AC692" s="48">
        <f>IFERROR(VLOOKUP(Tabela3[[#This Row],[Produto]],Tabela2[],2,0),0)</f>
        <v>4</v>
      </c>
      <c r="AD692" s="48">
        <f>IFERROR(VLOOKUP(Tabela3[[#This Row],[Produto]],Tabela2[],3,0),0)</f>
        <v>0.53300000000000003</v>
      </c>
      <c r="AE692" s="48">
        <f>IFERROR(VLOOKUP(Tabela3[[#This Row],[Produto]],Tabela2[],4,0),0)</f>
        <v>3.3</v>
      </c>
      <c r="AF692" s="48">
        <f>IFERROR(VLOOKUP(Tabela3[[#This Row],[Produto]],Tabela2[],5,0),0)</f>
        <v>1.0511999999999997</v>
      </c>
      <c r="AG692" s="40">
        <f>IFERROR(VLOOKUP(Tabela3[[#This Row],[Produto]],Tabela2[],6,0),0)</f>
        <v>0</v>
      </c>
      <c r="AH692" s="40">
        <f>IFERROR(VLOOKUP(Tabela3[[#This Row],[Produto]],Tabela2[],7,0),0)</f>
        <v>0</v>
      </c>
      <c r="AI692" s="40">
        <f>IFERROR(VLOOKUP(Tabela3[[#This Row],[Produto]],Tabela2[],8,0),0)</f>
        <v>0</v>
      </c>
      <c r="AJ692" s="35">
        <f ca="1">IFERROR(VLOOKUP(Tabela3[[#This Row],[Produto]],Tabela2[],13,0),0)</f>
        <v>15.600000000000001</v>
      </c>
      <c r="AK692" s="40" t="str">
        <f>IFERROR(VLOOKUP(Tabela3[[#This Row],[Produto]],Tabela2[],14,0),0)</f>
        <v>Senun</v>
      </c>
      <c r="AL692" s="40">
        <f>IFERROR(VLOOKUP(Tabela3[[#This Row],[Produto]],Tabela2[],15,0),0)</f>
        <v>4</v>
      </c>
      <c r="AM692" s="36">
        <f ca="1">(Tabela3[[#This Row],[Custo Usinagem]]+Tabela3[[#This Row],[Custo / Pç]])*1.2</f>
        <v>20.286161111081871</v>
      </c>
      <c r="AN692" s="36">
        <f ca="1">Tabela3[[#This Row],[Valor Mínimo Venda]]*1.15</f>
        <v>23.329085277744149</v>
      </c>
      <c r="AO692" s="36">
        <f ca="1">Tabela3[[#This Row],[Tabela 1]]*1.08</f>
        <v>25.195412099963683</v>
      </c>
      <c r="AP692" s="36">
        <f ca="1">Tabela3[[#This Row],[Tabela 2]]*1.15</f>
        <v>28.974723914958233</v>
      </c>
    </row>
    <row r="693" spans="1:42">
      <c r="A693" s="9">
        <v>45929</v>
      </c>
      <c r="B693" s="6" t="s">
        <v>221</v>
      </c>
      <c r="C693" s="14">
        <v>7991</v>
      </c>
      <c r="D693" s="6" t="s">
        <v>46</v>
      </c>
      <c r="E693" s="6" t="s">
        <v>326</v>
      </c>
      <c r="F693" s="6">
        <v>13</v>
      </c>
      <c r="G693" s="15">
        <v>6.8750000000000006E-2</v>
      </c>
      <c r="H693" s="16">
        <v>0</v>
      </c>
      <c r="I693" s="35">
        <f ca="1">IFERROR(Tabela3[[#This Row],[Custo Total]]/Tabela3[[#This Row],[Aluminio Util]],0)</f>
        <v>24.096749194178685</v>
      </c>
      <c r="J693" s="35">
        <f ca="1">Tabela3[[#This Row],[Custo Total]]/Tabela3[[#This Row],[Realizado]]</f>
        <v>3.0602871476606928</v>
      </c>
      <c r="K693" s="37">
        <f>IFERROR(Tabela3[[#This Row],[Qtde Cx Produzida]]/Tabela3[[#This Row],[Tempo]]/24,0)</f>
        <v>7.878787878787878</v>
      </c>
      <c r="L693" s="37">
        <f>Tabela3[[#This Row],[Qtde Cx Produzida]]*Tabela3[[#This Row],[Qdt Peça Placa]]</f>
        <v>234</v>
      </c>
      <c r="M693" s="37">
        <f>Tabela3[[#This Row],[Previsto]]-Tabela3[[#This Row],[Perda Pçs]]</f>
        <v>234</v>
      </c>
      <c r="N693" s="38">
        <f>IFERROR(Tabela3[[#This Row],[Perda Pçs]]/Tabela3[[#This Row],[Previsto]],0)</f>
        <v>0</v>
      </c>
      <c r="O693" s="39">
        <f>IFERROR(IF(Tabela3[[#This Row],[Qtde Cx Produzida]] &lt;&gt; 0, Tabela3[[#This Row],[Tempo]] / Tabela3[[#This Row],[Qtde Cx Produzida]], 0),0)</f>
        <v>5.2884615384615388E-3</v>
      </c>
      <c r="P693" s="57">
        <f>IFERROR(Tabela3[[#This Row],[Perda Pçs]]/Tabela3[[#This Row],[Qdt Peça Placa]],0)</f>
        <v>0</v>
      </c>
      <c r="Q693" s="37">
        <f>IFERROR(Tabela3[[#This Row],[Realizado]]*Tabela3[[#This Row],[Peso Util/Pç]],0)</f>
        <v>29.718</v>
      </c>
      <c r="R693" s="37">
        <f>IFERROR(Tabela3[[#This Row],[Peso Total Galho]]*Tabela3[[#This Row],[Qtde Cx Produzida]]*1.055,0)</f>
        <v>53.214199999999991</v>
      </c>
      <c r="S693" s="37">
        <f>(Tabela3[[#This Row],[Aluminio Bruto]]-Tabela3[[#This Row],[Aluminio Util]])*0.9</f>
        <v>21.146579999999993</v>
      </c>
      <c r="T693" s="37">
        <f>Tabela3[[#This Row],[Aluminio Bruto]]/OleoKGAluminio</f>
        <v>22.387145134700436</v>
      </c>
      <c r="U693" s="35">
        <f>IFERROR((VLOOKUP(Tabela3[[#This Row],[Moldador]],Tabela1[],5,)+(VLOOKUP(Tabela3[[#This Row],[Ajudante]],Tabela1[],5,))*3.5),0)</f>
        <v>99.95034583333333</v>
      </c>
      <c r="V693" s="35">
        <f>IFERROR(Tabela3[[#This Row],[Custo M.O. / H]]/((Tabela3[[#This Row],[Realizado]]/Tabela3[[#This Row],[Qdt Peça Placa]])/Tabela3[[#This Row],[Tempo]]/24),)</f>
        <v>12.686005432692308</v>
      </c>
      <c r="W693" s="35">
        <f>Tabela3[[#This Row],[Custo / Cx Moldada]]*Tabela3[[#This Row],[Qtde Cx Produzida]]</f>
        <v>164.91807062500001</v>
      </c>
      <c r="X693" s="35">
        <f ca="1">Tabela3[[#This Row],[Aluminio Util]]*Tabela3[[#This Row],[Custo/Kg]]</f>
        <v>492.42286594901344</v>
      </c>
      <c r="Y693" s="35">
        <f>IFERROR(VLOOKUP(Tabela3[[#This Row],[Data]],Tabela461213[],2,1)*(Tabela3[[#This Row],[Qtde Cx Produzida]]*Tabela3[[#This Row],[Qde macho / CX]]*Tabela3[[#This Row],[Peso Macho]]),)</f>
        <v>0</v>
      </c>
      <c r="Z693" s="35">
        <f>IFERROR(Tabela3[[#This Row],[Qtde Oleo]]*(VLOOKUP(Tabela3[[#This Row],[Data]],CompraOleo[],3,TRUE))*1.05,0)</f>
        <v>58.766255978588646</v>
      </c>
      <c r="AA693" s="47">
        <f ca="1">(Tabela3[[#This Row],[Custo Oleo]]+Tabela3[[#This Row],[Custo Aluminio]]+Tabela3[[#This Row],[Custo M.O. Total]]+Tabela3[[#This Row],[Custo Machos]])</f>
        <v>716.1071925526021</v>
      </c>
      <c r="AB693" s="47">
        <f ca="1">Tabela3[[#This Row],[Custo Total]]*Tabela3[[#This Row],[% Perda]]</f>
        <v>0</v>
      </c>
      <c r="AC693" s="48">
        <f>IFERROR(VLOOKUP(Tabela3[[#This Row],[Produto]],Tabela2[],2,0),0)</f>
        <v>18</v>
      </c>
      <c r="AD693" s="48">
        <f>IFERROR(VLOOKUP(Tabela3[[#This Row],[Produto]],Tabela2[],3,0),0)</f>
        <v>0.127</v>
      </c>
      <c r="AE693" s="48">
        <f>IFERROR(VLOOKUP(Tabela3[[#This Row],[Produto]],Tabela2[],4,0),0)</f>
        <v>3.88</v>
      </c>
      <c r="AF693" s="48">
        <f>IFERROR(VLOOKUP(Tabela3[[#This Row],[Produto]],Tabela2[],5,0),0)</f>
        <v>1.4345999999999999</v>
      </c>
      <c r="AG693" s="40">
        <f>IFERROR(VLOOKUP(Tabela3[[#This Row],[Produto]],Tabela2[],6,0),0)</f>
        <v>0</v>
      </c>
      <c r="AH693" s="40">
        <f>IFERROR(VLOOKUP(Tabela3[[#This Row],[Produto]],Tabela2[],7,0),0)</f>
        <v>0</v>
      </c>
      <c r="AI693" s="40">
        <f>IFERROR(VLOOKUP(Tabela3[[#This Row],[Produto]],Tabela2[],8,0),0)</f>
        <v>0</v>
      </c>
      <c r="AJ693" s="35">
        <f ca="1">IFERROR(VLOOKUP(Tabela3[[#This Row],[Produto]],Tabela2[],13,0),0)</f>
        <v>16.569852141766386</v>
      </c>
      <c r="AK693" s="40" t="str">
        <f>IFERROR(VLOOKUP(Tabela3[[#This Row],[Produto]],Tabela2[],14,0),0)</f>
        <v>Marcelo</v>
      </c>
      <c r="AL693" s="40">
        <f>IFERROR(VLOOKUP(Tabela3[[#This Row],[Produto]],Tabela2[],15,0),0)</f>
        <v>0</v>
      </c>
      <c r="AM693" s="36">
        <f ca="1">(Tabela3[[#This Row],[Custo Usinagem]]+Tabela3[[#This Row],[Custo / Pç]])*1.2</f>
        <v>3.6723445771928311</v>
      </c>
      <c r="AN693" s="36">
        <f ca="1">Tabela3[[#This Row],[Valor Mínimo Venda]]*1.15</f>
        <v>4.2231962637717553</v>
      </c>
      <c r="AO693" s="36">
        <f ca="1">Tabela3[[#This Row],[Tabela 1]]*1.08</f>
        <v>4.5610519648734957</v>
      </c>
      <c r="AP693" s="36">
        <f ca="1">Tabela3[[#This Row],[Tabela 2]]*1.15</f>
        <v>5.2452097596045197</v>
      </c>
    </row>
    <row r="694" spans="1:42">
      <c r="A694" s="9">
        <v>45929</v>
      </c>
      <c r="B694" s="6" t="s">
        <v>241</v>
      </c>
      <c r="C694" s="14">
        <v>8022</v>
      </c>
      <c r="D694" s="6" t="s">
        <v>46</v>
      </c>
      <c r="E694" s="6" t="s">
        <v>326</v>
      </c>
      <c r="F694" s="6">
        <v>1</v>
      </c>
      <c r="G694" s="15">
        <v>9.0277777777777769E-3</v>
      </c>
      <c r="H694" s="16">
        <v>0</v>
      </c>
      <c r="I694" s="35">
        <f ca="1">IFERROR(Tabela3[[#This Row],[Custo Total]]/Tabela3[[#This Row],[Aluminio Util]],0)</f>
        <v>26.498847291772179</v>
      </c>
      <c r="J694" s="35">
        <f ca="1">Tabela3[[#This Row],[Custo Total]]/Tabela3[[#This Row],[Realizado]]</f>
        <v>16.243793389856346</v>
      </c>
      <c r="K694" s="37">
        <f>IFERROR(Tabela3[[#This Row],[Qtde Cx Produzida]]/Tabela3[[#This Row],[Tempo]]/24,0)</f>
        <v>4.6153846153846159</v>
      </c>
      <c r="L694" s="37">
        <f>Tabela3[[#This Row],[Qtde Cx Produzida]]*Tabela3[[#This Row],[Qdt Peça Placa]]</f>
        <v>4</v>
      </c>
      <c r="M694" s="37">
        <f>Tabela3[[#This Row],[Previsto]]-Tabela3[[#This Row],[Perda Pçs]]</f>
        <v>4</v>
      </c>
      <c r="N694" s="38">
        <f>IFERROR(Tabela3[[#This Row],[Perda Pçs]]/Tabela3[[#This Row],[Previsto]],0)</f>
        <v>0</v>
      </c>
      <c r="O694" s="39">
        <f>IFERROR(IF(Tabela3[[#This Row],[Qtde Cx Produzida]] &lt;&gt; 0, Tabela3[[#This Row],[Tempo]] / Tabela3[[#This Row],[Qtde Cx Produzida]], 0),0)</f>
        <v>9.0277777777777769E-3</v>
      </c>
      <c r="P694" s="57">
        <f>IFERROR(Tabela3[[#This Row],[Perda Pçs]]/Tabela3[[#This Row],[Qdt Peça Placa]],0)</f>
        <v>0</v>
      </c>
      <c r="Q694" s="37">
        <f>IFERROR(Tabela3[[#This Row],[Realizado]]*Tabela3[[#This Row],[Peso Util/Pç]],0)</f>
        <v>2.452</v>
      </c>
      <c r="R694" s="37">
        <f>IFERROR(Tabela3[[#This Row],[Peso Total Galho]]*Tabela3[[#This Row],[Qtde Cx Produzida]]*1.055,0)</f>
        <v>4.5892499999999989</v>
      </c>
      <c r="S694" s="37">
        <f>(Tabela3[[#This Row],[Aluminio Bruto]]-Tabela3[[#This Row],[Aluminio Util]])*0.9</f>
        <v>1.923524999999999</v>
      </c>
      <c r="T694" s="37">
        <f>Tabela3[[#This Row],[Aluminio Bruto]]/OleoKGAluminio</f>
        <v>1.9306915411567585</v>
      </c>
      <c r="U694" s="35">
        <f>IFERROR((VLOOKUP(Tabela3[[#This Row],[Moldador]],Tabela1[],5,)+(VLOOKUP(Tabela3[[#This Row],[Ajudante]],Tabela1[],5,))*3.5),0)</f>
        <v>99.95034583333333</v>
      </c>
      <c r="V694" s="35">
        <f>IFERROR(Tabela3[[#This Row],[Custo M.O. / H]]/((Tabela3[[#This Row],[Realizado]]/Tabela3[[#This Row],[Qdt Peça Placa]])/Tabela3[[#This Row],[Tempo]]/24),)</f>
        <v>21.655908263888886</v>
      </c>
      <c r="W694" s="35">
        <f>Tabela3[[#This Row],[Custo / Cx Moldada]]*Tabela3[[#This Row],[Qtde Cx Produzida]]</f>
        <v>21.655908263888886</v>
      </c>
      <c r="X694" s="35">
        <f ca="1">Tabela3[[#This Row],[Aluminio Util]]*Tabela3[[#This Row],[Custo/Kg]]</f>
        <v>38.251200000000004</v>
      </c>
      <c r="Y694" s="35">
        <f>IFERROR(VLOOKUP(Tabela3[[#This Row],[Data]],Tabela461213[],2,1)*(Tabela3[[#This Row],[Qtde Cx Produzida]]*Tabela3[[#This Row],[Qde macho / CX]]*Tabela3[[#This Row],[Peso Macho]]),)</f>
        <v>0</v>
      </c>
      <c r="Z694" s="35">
        <f>IFERROR(Tabela3[[#This Row],[Qtde Oleo]]*(VLOOKUP(Tabela3[[#This Row],[Data]],CompraOleo[],3,TRUE))*1.05,0)</f>
        <v>5.0680652955364911</v>
      </c>
      <c r="AA694" s="47">
        <f ca="1">(Tabela3[[#This Row],[Custo Oleo]]+Tabela3[[#This Row],[Custo Aluminio]]+Tabela3[[#This Row],[Custo M.O. Total]]+Tabela3[[#This Row],[Custo Machos]])</f>
        <v>64.975173559425386</v>
      </c>
      <c r="AB694" s="47">
        <f ca="1">Tabela3[[#This Row],[Custo Total]]*Tabela3[[#This Row],[% Perda]]</f>
        <v>0</v>
      </c>
      <c r="AC694" s="48">
        <f>IFERROR(VLOOKUP(Tabela3[[#This Row],[Produto]],Tabela2[],2,0),0)</f>
        <v>4</v>
      </c>
      <c r="AD694" s="48">
        <f>IFERROR(VLOOKUP(Tabela3[[#This Row],[Produto]],Tabela2[],3,0),0)</f>
        <v>0.61299999999999999</v>
      </c>
      <c r="AE694" s="48">
        <f>IFERROR(VLOOKUP(Tabela3[[#This Row],[Produto]],Tabela2[],4,0),0)</f>
        <v>4.3499999999999996</v>
      </c>
      <c r="AF694" s="48">
        <f>IFERROR(VLOOKUP(Tabela3[[#This Row],[Produto]],Tabela2[],5,0),0)</f>
        <v>1.7081999999999997</v>
      </c>
      <c r="AG694" s="40">
        <f>IFERROR(VLOOKUP(Tabela3[[#This Row],[Produto]],Tabela2[],6,0),0)</f>
        <v>0</v>
      </c>
      <c r="AH694" s="40">
        <f>IFERROR(VLOOKUP(Tabela3[[#This Row],[Produto]],Tabela2[],7,0),0)</f>
        <v>0</v>
      </c>
      <c r="AI694" s="40">
        <f>IFERROR(VLOOKUP(Tabela3[[#This Row],[Produto]],Tabela2[],8,0),0)</f>
        <v>0</v>
      </c>
      <c r="AJ694" s="35">
        <f ca="1">IFERROR(VLOOKUP(Tabela3[[#This Row],[Produto]],Tabela2[],13,0),0)</f>
        <v>15.600000000000001</v>
      </c>
      <c r="AK694" s="40" t="str">
        <f>IFERROR(VLOOKUP(Tabela3[[#This Row],[Produto]],Tabela2[],14,0),0)</f>
        <v>Senun</v>
      </c>
      <c r="AL694" s="40">
        <f>IFERROR(VLOOKUP(Tabela3[[#This Row],[Produto]],Tabela2[],15,0),0)</f>
        <v>4</v>
      </c>
      <c r="AM694" s="36">
        <f ca="1">(Tabela3[[#This Row],[Custo Usinagem]]+Tabela3[[#This Row],[Custo / Pç]])*1.2</f>
        <v>24.292552067827614</v>
      </c>
      <c r="AN694" s="36">
        <f ca="1">Tabela3[[#This Row],[Valor Mínimo Venda]]*1.15</f>
        <v>27.936434878001755</v>
      </c>
      <c r="AO694" s="36">
        <f ca="1">Tabela3[[#This Row],[Tabela 1]]*1.08</f>
        <v>30.171349668241898</v>
      </c>
      <c r="AP694" s="36">
        <f ca="1">Tabela3[[#This Row],[Tabela 2]]*1.15</f>
        <v>34.697052118478183</v>
      </c>
    </row>
    <row r="695" spans="1:42">
      <c r="A695" s="9">
        <v>45929</v>
      </c>
      <c r="B695" s="6" t="s">
        <v>245</v>
      </c>
      <c r="C695" s="14">
        <v>7984</v>
      </c>
      <c r="D695" s="6" t="s">
        <v>44</v>
      </c>
      <c r="E695" s="6" t="s">
        <v>47</v>
      </c>
      <c r="F695" s="6">
        <v>27</v>
      </c>
      <c r="G695" s="15">
        <v>0.13125000000000001</v>
      </c>
      <c r="H695" s="16">
        <v>0</v>
      </c>
      <c r="I695" s="35">
        <f ca="1">IFERROR(Tabela3[[#This Row],[Custo Total]]/Tabela3[[#This Row],[Aluminio Util]],0)</f>
        <v>26.398599690165941</v>
      </c>
      <c r="J695" s="35">
        <f ca="1">Tabela3[[#This Row],[Custo Total]]/Tabela3[[#This Row],[Realizado]]</f>
        <v>8.7643350971350937</v>
      </c>
      <c r="K695" s="37">
        <f>IFERROR(Tabela3[[#This Row],[Qtde Cx Produzida]]/Tabela3[[#This Row],[Tempo]]/24,0)</f>
        <v>8.5714285714285712</v>
      </c>
      <c r="L695" s="37">
        <f>Tabela3[[#This Row],[Qtde Cx Produzida]]*Tabela3[[#This Row],[Qdt Peça Placa]]</f>
        <v>108</v>
      </c>
      <c r="M695" s="37">
        <f>Tabela3[[#This Row],[Previsto]]-Tabela3[[#This Row],[Perda Pçs]]</f>
        <v>108</v>
      </c>
      <c r="N695" s="38">
        <f>IFERROR(Tabela3[[#This Row],[Perda Pçs]]/Tabela3[[#This Row],[Previsto]],0)</f>
        <v>0</v>
      </c>
      <c r="O695" s="39">
        <f>IFERROR(IF(Tabela3[[#This Row],[Qtde Cx Produzida]] &lt;&gt; 0, Tabela3[[#This Row],[Tempo]] / Tabela3[[#This Row],[Qtde Cx Produzida]], 0),0)</f>
        <v>4.8611111111111112E-3</v>
      </c>
      <c r="P695" s="57">
        <f>IFERROR(Tabela3[[#This Row],[Perda Pçs]]/Tabela3[[#This Row],[Qdt Peça Placa]],0)</f>
        <v>0</v>
      </c>
      <c r="Q695" s="37">
        <f>IFERROR(Tabela3[[#This Row],[Realizado]]*Tabela3[[#This Row],[Peso Util/Pç]],0)</f>
        <v>35.856000000000002</v>
      </c>
      <c r="R695" s="37">
        <f>IFERROR(Tabela3[[#This Row],[Peso Total Galho]]*Tabela3[[#This Row],[Qtde Cx Produzida]]*1.055,0)</f>
        <v>65.515499999999989</v>
      </c>
      <c r="S695" s="37">
        <f>(Tabela3[[#This Row],[Aluminio Bruto]]-Tabela3[[#This Row],[Aluminio Util]])*0.9</f>
        <v>26.693549999999988</v>
      </c>
      <c r="T695" s="37">
        <f>Tabela3[[#This Row],[Aluminio Bruto]]/OleoKGAluminio</f>
        <v>27.562286139272345</v>
      </c>
      <c r="U695" s="35">
        <f>IFERROR((VLOOKUP(Tabela3[[#This Row],[Moldador]],Tabela1[],5,)+(VLOOKUP(Tabela3[[#This Row],[Ajudante]],Tabela1[],5,))*3.5),0)</f>
        <v>99.95034583333333</v>
      </c>
      <c r="V695" s="35">
        <f>IFERROR(Tabela3[[#This Row],[Custo M.O. / H]]/((Tabela3[[#This Row],[Realizado]]/Tabela3[[#This Row],[Qdt Peça Placa]])/Tabela3[[#This Row],[Tempo]]/24),)</f>
        <v>11.660873680555556</v>
      </c>
      <c r="W695" s="35">
        <f>Tabela3[[#This Row],[Custo / Cx Moldada]]*Tabela3[[#This Row],[Qtde Cx Produzida]]</f>
        <v>314.84358937500002</v>
      </c>
      <c r="X695" s="35">
        <f ca="1">Tabela3[[#This Row],[Aluminio Util]]*Tabela3[[#This Row],[Custo/Kg]]</f>
        <v>559.35360000000003</v>
      </c>
      <c r="Y695" s="35">
        <f>IFERROR(VLOOKUP(Tabela3[[#This Row],[Data]],Tabela461213[],2,1)*(Tabela3[[#This Row],[Qtde Cx Produzida]]*Tabela3[[#This Row],[Qde macho / CX]]*Tabela3[[#This Row],[Peso Macho]]),)</f>
        <v>0</v>
      </c>
      <c r="Z695" s="35">
        <f>IFERROR(Tabela3[[#This Row],[Qtde Oleo]]*(VLOOKUP(Tabela3[[#This Row],[Data]],CompraOleo[],3,TRUE))*1.05,0)</f>
        <v>72.351001115589909</v>
      </c>
      <c r="AA695" s="47">
        <f ca="1">(Tabela3[[#This Row],[Custo Oleo]]+Tabela3[[#This Row],[Custo Aluminio]]+Tabela3[[#This Row],[Custo M.O. Total]]+Tabela3[[#This Row],[Custo Machos]])</f>
        <v>946.54819049059006</v>
      </c>
      <c r="AB695" s="47">
        <f ca="1">Tabela3[[#This Row],[Custo Total]]*Tabela3[[#This Row],[% Perda]]</f>
        <v>0</v>
      </c>
      <c r="AC695" s="48">
        <f>IFERROR(VLOOKUP(Tabela3[[#This Row],[Produto]],Tabela2[],2,0),0)</f>
        <v>4</v>
      </c>
      <c r="AD695" s="48">
        <f>IFERROR(VLOOKUP(Tabela3[[#This Row],[Produto]],Tabela2[],3,0),0)</f>
        <v>0.33200000000000002</v>
      </c>
      <c r="AE695" s="48">
        <f>IFERROR(VLOOKUP(Tabela3[[#This Row],[Produto]],Tabela2[],4,0),0)</f>
        <v>2.2999999999999998</v>
      </c>
      <c r="AF695" s="48">
        <f>IFERROR(VLOOKUP(Tabela3[[#This Row],[Produto]],Tabela2[],5,0),0)</f>
        <v>0.8747999999999998</v>
      </c>
      <c r="AG695" s="40">
        <f>IFERROR(VLOOKUP(Tabela3[[#This Row],[Produto]],Tabela2[],6,0),0)</f>
        <v>0</v>
      </c>
      <c r="AH695" s="40">
        <f>IFERROR(VLOOKUP(Tabela3[[#This Row],[Produto]],Tabela2[],7,0),0)</f>
        <v>0</v>
      </c>
      <c r="AI695" s="40">
        <f>IFERROR(VLOOKUP(Tabela3[[#This Row],[Produto]],Tabela2[],8,0),0)</f>
        <v>0</v>
      </c>
      <c r="AJ695" s="35">
        <f ca="1">IFERROR(VLOOKUP(Tabela3[[#This Row],[Produto]],Tabela2[],13,0),0)</f>
        <v>15.600000000000001</v>
      </c>
      <c r="AK695" s="40" t="str">
        <f>IFERROR(VLOOKUP(Tabela3[[#This Row],[Produto]],Tabela2[],14,0),0)</f>
        <v>Senun</v>
      </c>
      <c r="AL695" s="40">
        <f>IFERROR(VLOOKUP(Tabela3[[#This Row],[Produto]],Tabela2[],15,0),0)</f>
        <v>3.5</v>
      </c>
      <c r="AM695" s="36">
        <f ca="1">(Tabela3[[#This Row],[Custo Usinagem]]+Tabela3[[#This Row],[Custo / Pç]])*1.2</f>
        <v>14.717202116562111</v>
      </c>
      <c r="AN695" s="36">
        <f ca="1">Tabela3[[#This Row],[Valor Mínimo Venda]]*1.15</f>
        <v>16.924782434046428</v>
      </c>
      <c r="AO695" s="36">
        <f ca="1">Tabela3[[#This Row],[Tabela 1]]*1.08</f>
        <v>18.278765028770142</v>
      </c>
      <c r="AP695" s="36">
        <f ca="1">Tabela3[[#This Row],[Tabela 2]]*1.15</f>
        <v>21.020579783085662</v>
      </c>
    </row>
    <row r="696" spans="1:42">
      <c r="A696" s="9">
        <v>45929</v>
      </c>
      <c r="B696" s="6" t="s">
        <v>275</v>
      </c>
      <c r="C696" s="14">
        <v>8091</v>
      </c>
      <c r="D696" s="6" t="s">
        <v>44</v>
      </c>
      <c r="E696" s="6" t="s">
        <v>47</v>
      </c>
      <c r="F696" s="6">
        <v>1</v>
      </c>
      <c r="G696" s="15">
        <v>4.4444444444444446E-2</v>
      </c>
      <c r="H696" s="16">
        <v>0</v>
      </c>
      <c r="I696" s="35">
        <f ca="1">IFERROR(Tabela3[[#This Row],[Custo Total]]/Tabela3[[#This Row],[Aluminio Util]],0)</f>
        <v>22.596889349259911</v>
      </c>
      <c r="J696" s="35">
        <f ca="1">Tabela3[[#This Row],[Custo Total]]/Tabela3[[#This Row],[Realizado]]</f>
        <v>497.13156568371807</v>
      </c>
      <c r="K696" s="37">
        <f>IFERROR(Tabela3[[#This Row],[Qtde Cx Produzida]]/Tabela3[[#This Row],[Tempo]]/24,0)</f>
        <v>0.9375</v>
      </c>
      <c r="L696" s="37">
        <f>Tabela3[[#This Row],[Qtde Cx Produzida]]*Tabela3[[#This Row],[Qdt Peça Placa]]</f>
        <v>1</v>
      </c>
      <c r="M696" s="37">
        <f>Tabela3[[#This Row],[Previsto]]-Tabela3[[#This Row],[Perda Pçs]]</f>
        <v>1</v>
      </c>
      <c r="N696" s="38">
        <f>IFERROR(Tabela3[[#This Row],[Perda Pçs]]/Tabela3[[#This Row],[Previsto]],0)</f>
        <v>0</v>
      </c>
      <c r="O696" s="39">
        <f>IFERROR(IF(Tabela3[[#This Row],[Qtde Cx Produzida]] &lt;&gt; 0, Tabela3[[#This Row],[Tempo]] / Tabela3[[#This Row],[Qtde Cx Produzida]], 0),0)</f>
        <v>4.4444444444444446E-2</v>
      </c>
      <c r="P696" s="57">
        <f>IFERROR(Tabela3[[#This Row],[Perda Pçs]]/Tabela3[[#This Row],[Qdt Peça Placa]],0)</f>
        <v>0</v>
      </c>
      <c r="Q696" s="37">
        <f>IFERROR(Tabela3[[#This Row],[Realizado]]*Tabela3[[#This Row],[Peso Util/Pç]],0)</f>
        <v>22</v>
      </c>
      <c r="R696" s="37">
        <f>IFERROR(Tabela3[[#This Row],[Peso Total Galho]]*Tabela3[[#This Row],[Qtde Cx Produzida]]*1.055,0)</f>
        <v>23.526499999999999</v>
      </c>
      <c r="S696" s="37">
        <f>(Tabela3[[#This Row],[Aluminio Bruto]]-Tabela3[[#This Row],[Aluminio Util]])*0.9</f>
        <v>1.3738499999999989</v>
      </c>
      <c r="T696" s="37">
        <f>Tabela3[[#This Row],[Aluminio Bruto]]/OleoKGAluminio</f>
        <v>9.8975681305277519</v>
      </c>
      <c r="U696" s="35">
        <f>IFERROR((VLOOKUP(Tabela3[[#This Row],[Moldador]],Tabela1[],5,)+(VLOOKUP(Tabela3[[#This Row],[Ajudante]],Tabela1[],5,))*3.5),0)</f>
        <v>99.95034583333333</v>
      </c>
      <c r="V696" s="35">
        <f>IFERROR(Tabela3[[#This Row],[Custo M.O. / H]]/((Tabela3[[#This Row],[Realizado]]/Tabela3[[#This Row],[Qdt Peça Placa]])/Tabela3[[#This Row],[Tempo]]/24),)</f>
        <v>106.61370222222222</v>
      </c>
      <c r="W696" s="35">
        <f>Tabela3[[#This Row],[Custo / Cx Moldada]]*Tabela3[[#This Row],[Qtde Cx Produzida]]</f>
        <v>106.61370222222222</v>
      </c>
      <c r="X696" s="35">
        <f ca="1">Tabela3[[#This Row],[Aluminio Util]]*Tabela3[[#This Row],[Custo/Kg]]</f>
        <v>364.53674711886049</v>
      </c>
      <c r="Y696" s="35">
        <f>IFERROR(VLOOKUP(Tabela3[[#This Row],[Data]],Tabela461213[],2,1)*(Tabela3[[#This Row],[Qtde Cx Produzida]]*Tabela3[[#This Row],[Qde macho / CX]]*Tabela3[[#This Row],[Peso Macho]]),)</f>
        <v>0</v>
      </c>
      <c r="Z696" s="35">
        <f>IFERROR(Tabela3[[#This Row],[Qtde Oleo]]*(VLOOKUP(Tabela3[[#This Row],[Data]],CompraOleo[],3,TRUE))*1.05,0)</f>
        <v>25.98111634263535</v>
      </c>
      <c r="AA696" s="47">
        <f ca="1">(Tabela3[[#This Row],[Custo Oleo]]+Tabela3[[#This Row],[Custo Aluminio]]+Tabela3[[#This Row],[Custo M.O. Total]]+Tabela3[[#This Row],[Custo Machos]])</f>
        <v>497.13156568371807</v>
      </c>
      <c r="AB696" s="47">
        <f ca="1">Tabela3[[#This Row],[Custo Total]]*Tabela3[[#This Row],[% Perda]]</f>
        <v>0</v>
      </c>
      <c r="AC696" s="48">
        <f>IFERROR(VLOOKUP(Tabela3[[#This Row],[Produto]],Tabela2[],2,0),0)</f>
        <v>1</v>
      </c>
      <c r="AD696" s="48">
        <f>IFERROR(VLOOKUP(Tabela3[[#This Row],[Produto]],Tabela2[],3,0),0)</f>
        <v>22</v>
      </c>
      <c r="AE696" s="48">
        <f>IFERROR(VLOOKUP(Tabela3[[#This Row],[Produto]],Tabela2[],4,0),0)</f>
        <v>22.3</v>
      </c>
      <c r="AF696" s="48">
        <f>IFERROR(VLOOKUP(Tabela3[[#This Row],[Produto]],Tabela2[],5,0),0)</f>
        <v>0.27000000000000063</v>
      </c>
      <c r="AG696" s="40">
        <f>IFERROR(VLOOKUP(Tabela3[[#This Row],[Produto]],Tabela2[],6,0),0)</f>
        <v>0</v>
      </c>
      <c r="AH696" s="40">
        <f>IFERROR(VLOOKUP(Tabela3[[#This Row],[Produto]],Tabela2[],7,0),0)</f>
        <v>0</v>
      </c>
      <c r="AI696" s="40">
        <f>IFERROR(VLOOKUP(Tabela3[[#This Row],[Produto]],Tabela2[],8,0),0)</f>
        <v>0</v>
      </c>
      <c r="AJ696" s="35">
        <f ca="1">IFERROR(VLOOKUP(Tabela3[[#This Row],[Produto]],Tabela2[],13,0),0)</f>
        <v>16.569852141766386</v>
      </c>
      <c r="AK696" s="40" t="str">
        <f>IFERROR(VLOOKUP(Tabela3[[#This Row],[Produto]],Tabela2[],14,0),0)</f>
        <v>Danilo</v>
      </c>
      <c r="AL696" s="40">
        <f>IFERROR(VLOOKUP(Tabela3[[#This Row],[Produto]],Tabela2[],15,0),0)</f>
        <v>0</v>
      </c>
      <c r="AM696" s="36">
        <f ca="1">(Tabela3[[#This Row],[Custo Usinagem]]+Tabela3[[#This Row],[Custo / Pç]])*1.2</f>
        <v>596.55787882046161</v>
      </c>
      <c r="AN696" s="36">
        <f ca="1">Tabela3[[#This Row],[Valor Mínimo Venda]]*1.15</f>
        <v>686.04156064353083</v>
      </c>
      <c r="AO696" s="36">
        <f ca="1">Tabela3[[#This Row],[Tabela 1]]*1.08</f>
        <v>740.92488549501331</v>
      </c>
      <c r="AP696" s="36">
        <f ca="1">Tabela3[[#This Row],[Tabela 2]]*1.15</f>
        <v>852.06361831926529</v>
      </c>
    </row>
    <row r="697" spans="1:42">
      <c r="A697" s="9">
        <v>45929</v>
      </c>
      <c r="B697" s="6" t="s">
        <v>117</v>
      </c>
      <c r="C697" s="14">
        <v>8090</v>
      </c>
      <c r="D697" s="6" t="s">
        <v>44</v>
      </c>
      <c r="E697" s="6" t="s">
        <v>47</v>
      </c>
      <c r="F697" s="6">
        <v>1</v>
      </c>
      <c r="G697" s="15">
        <v>5.5555555555555552E-2</v>
      </c>
      <c r="H697" s="16"/>
      <c r="I697" s="35">
        <f ca="1">IFERROR(Tabela3[[#This Row],[Custo Total]]/Tabela3[[#This Row],[Aluminio Util]],0)</f>
        <v>21.075340861556352</v>
      </c>
      <c r="J697" s="35">
        <f ca="1">Tabela3[[#This Row],[Custo Total]]/Tabela3[[#This Row],[Realizado]]</f>
        <v>843.01363446225412</v>
      </c>
      <c r="K697" s="37">
        <f>IFERROR(Tabela3[[#This Row],[Qtde Cx Produzida]]/Tabela3[[#This Row],[Tempo]]/24,0)</f>
        <v>0.75</v>
      </c>
      <c r="L697" s="37">
        <f>Tabela3[[#This Row],[Qtde Cx Produzida]]*Tabela3[[#This Row],[Qdt Peça Placa]]</f>
        <v>1</v>
      </c>
      <c r="M697" s="37">
        <f>Tabela3[[#This Row],[Previsto]]-Tabela3[[#This Row],[Perda Pçs]]</f>
        <v>1</v>
      </c>
      <c r="N697" s="38">
        <f>IFERROR(Tabela3[[#This Row],[Perda Pçs]]/Tabela3[[#This Row],[Previsto]],0)</f>
        <v>0</v>
      </c>
      <c r="O697" s="39">
        <f>IFERROR(IF(Tabela3[[#This Row],[Qtde Cx Produzida]] &lt;&gt; 0, Tabela3[[#This Row],[Tempo]] / Tabela3[[#This Row],[Qtde Cx Produzida]], 0),0)</f>
        <v>5.5555555555555552E-2</v>
      </c>
      <c r="P697" s="57">
        <f>IFERROR(Tabela3[[#This Row],[Perda Pçs]]/Tabela3[[#This Row],[Qdt Peça Placa]],0)</f>
        <v>0</v>
      </c>
      <c r="Q697" s="37">
        <f>IFERROR(Tabela3[[#This Row],[Realizado]]*Tabela3[[#This Row],[Peso Util/Pç]],0)</f>
        <v>40</v>
      </c>
      <c r="R697" s="37">
        <f>IFERROR(Tabela3[[#This Row],[Peso Total Galho]]*Tabela3[[#This Row],[Qtde Cx Produzida]]*1.055,0)</f>
        <v>42.516499999999994</v>
      </c>
      <c r="S697" s="37">
        <f>(Tabela3[[#This Row],[Aluminio Bruto]]-Tabela3[[#This Row],[Aluminio Util]])*0.9</f>
        <v>2.2648499999999943</v>
      </c>
      <c r="T697" s="37">
        <f>Tabela3[[#This Row],[Aluminio Bruto]]/OleoKGAluminio</f>
        <v>17.886636576693647</v>
      </c>
      <c r="U697" s="35">
        <f>IFERROR((VLOOKUP(Tabela3[[#This Row],[Moldador]],Tabela1[],5,)+(VLOOKUP(Tabela3[[#This Row],[Ajudante]],Tabela1[],5,))*3.5),0)</f>
        <v>99.95034583333333</v>
      </c>
      <c r="V697" s="35">
        <f>IFERROR(Tabela3[[#This Row],[Custo M.O. / H]]/((Tabela3[[#This Row],[Realizado]]/Tabela3[[#This Row],[Qdt Peça Placa]])/Tabela3[[#This Row],[Tempo]]/24),)</f>
        <v>133.26712777777777</v>
      </c>
      <c r="W697" s="35">
        <f>Tabela3[[#This Row],[Custo / Cx Moldada]]*Tabela3[[#This Row],[Qtde Cx Produzida]]</f>
        <v>133.26712777777777</v>
      </c>
      <c r="X697" s="35">
        <f ca="1">Tabela3[[#This Row],[Aluminio Util]]*Tabela3[[#This Row],[Custo/Kg]]</f>
        <v>662.79408567065548</v>
      </c>
      <c r="Y697" s="35">
        <f>IFERROR(VLOOKUP(Tabela3[[#This Row],[Data]],Tabela461213[],2,1)*(Tabela3[[#This Row],[Qtde Cx Produzida]]*Tabela3[[#This Row],[Qde macho / CX]]*Tabela3[[#This Row],[Peso Macho]]),)</f>
        <v>0</v>
      </c>
      <c r="Z697" s="35">
        <f>IFERROR(Tabela3[[#This Row],[Qtde Oleo]]*(VLOOKUP(Tabela3[[#This Row],[Data]],CompraOleo[],3,TRUE))*1.05,0)</f>
        <v>46.952421013820825</v>
      </c>
      <c r="AA697" s="47">
        <f ca="1">(Tabela3[[#This Row],[Custo Oleo]]+Tabela3[[#This Row],[Custo Aluminio]]+Tabela3[[#This Row],[Custo M.O. Total]]+Tabela3[[#This Row],[Custo Machos]])</f>
        <v>843.01363446225412</v>
      </c>
      <c r="AB697" s="47">
        <f ca="1">Tabela3[[#This Row],[Custo Total]]*Tabela3[[#This Row],[% Perda]]</f>
        <v>0</v>
      </c>
      <c r="AC697" s="48">
        <f>IFERROR(VLOOKUP(Tabela3[[#This Row],[Produto]],Tabela2[],2,0),0)</f>
        <v>1</v>
      </c>
      <c r="AD697" s="48">
        <f>IFERROR(VLOOKUP(Tabela3[[#This Row],[Produto]],Tabela2[],3,0),0)</f>
        <v>40</v>
      </c>
      <c r="AE697" s="48">
        <f>IFERROR(VLOOKUP(Tabela3[[#This Row],[Produto]],Tabela2[],4,0),0)</f>
        <v>40.299999999999997</v>
      </c>
      <c r="AF697" s="48">
        <f>IFERROR(VLOOKUP(Tabela3[[#This Row],[Produto]],Tabela2[],5,0),0)</f>
        <v>0.26999999999999746</v>
      </c>
      <c r="AG697" s="40">
        <f>IFERROR(VLOOKUP(Tabela3[[#This Row],[Produto]],Tabela2[],6,0),0)</f>
        <v>0</v>
      </c>
      <c r="AH697" s="40">
        <f>IFERROR(VLOOKUP(Tabela3[[#This Row],[Produto]],Tabela2[],7,0),0)</f>
        <v>0</v>
      </c>
      <c r="AI697" s="40">
        <f>IFERROR(VLOOKUP(Tabela3[[#This Row],[Produto]],Tabela2[],8,0),0)</f>
        <v>0</v>
      </c>
      <c r="AJ697" s="35">
        <f ca="1">IFERROR(VLOOKUP(Tabela3[[#This Row],[Produto]],Tabela2[],13,0),0)</f>
        <v>16.569852141766386</v>
      </c>
      <c r="AK697" s="40" t="str">
        <f>IFERROR(VLOOKUP(Tabela3[[#This Row],[Produto]],Tabela2[],14,0),0)</f>
        <v>Danilo</v>
      </c>
      <c r="AL697" s="40">
        <f>IFERROR(VLOOKUP(Tabela3[[#This Row],[Produto]],Tabela2[],15,0),0)</f>
        <v>0</v>
      </c>
      <c r="AM697" s="36">
        <f ca="1">(Tabela3[[#This Row],[Custo Usinagem]]+Tabela3[[#This Row],[Custo / Pç]])*1.2</f>
        <v>1011.6163613547048</v>
      </c>
      <c r="AN697" s="36">
        <f ca="1">Tabela3[[#This Row],[Valor Mínimo Venda]]*1.15</f>
        <v>1163.3588155579105</v>
      </c>
      <c r="AO697" s="36">
        <f ca="1">Tabela3[[#This Row],[Tabela 1]]*1.08</f>
        <v>1256.4275208025433</v>
      </c>
      <c r="AP697" s="36">
        <f ca="1">Tabela3[[#This Row],[Tabela 2]]*1.15</f>
        <v>1444.8916489229248</v>
      </c>
    </row>
    <row r="698" spans="1:42">
      <c r="A698" s="9">
        <v>45930</v>
      </c>
      <c r="B698" s="6" t="s">
        <v>241</v>
      </c>
      <c r="C698" s="14">
        <v>8022</v>
      </c>
      <c r="D698" s="6" t="s">
        <v>46</v>
      </c>
      <c r="E698" s="6" t="s">
        <v>326</v>
      </c>
      <c r="F698" s="6">
        <v>39</v>
      </c>
      <c r="G698" s="15">
        <v>0.39444444444444443</v>
      </c>
      <c r="H698" s="16">
        <v>7</v>
      </c>
      <c r="I698" s="35">
        <f ca="1">IFERROR(Tabela3[[#This Row],[Custo Total]]/Tabela3[[#This Row],[Aluminio Util]],0)</f>
        <v>28.610098244404671</v>
      </c>
      <c r="J698" s="35">
        <f ca="1">Tabela3[[#This Row],[Custo Total]]/Tabela3[[#This Row],[Realizado]]</f>
        <v>17.537990223820064</v>
      </c>
      <c r="K698" s="37">
        <f>IFERROR(Tabela3[[#This Row],[Qtde Cx Produzida]]/Tabela3[[#This Row],[Tempo]]/24,0)</f>
        <v>4.119718309859155</v>
      </c>
      <c r="L698" s="37">
        <f>Tabela3[[#This Row],[Qtde Cx Produzida]]*Tabela3[[#This Row],[Qdt Peça Placa]]</f>
        <v>156</v>
      </c>
      <c r="M698" s="37">
        <f>Tabela3[[#This Row],[Previsto]]-Tabela3[[#This Row],[Perda Pçs]]</f>
        <v>149</v>
      </c>
      <c r="N698" s="38">
        <f>IFERROR(Tabela3[[#This Row],[Perda Pçs]]/Tabela3[[#This Row],[Previsto]],0)</f>
        <v>4.4871794871794872E-2</v>
      </c>
      <c r="O698" s="39">
        <f>IFERROR(IF(Tabela3[[#This Row],[Qtde Cx Produzida]] &lt;&gt; 0, Tabela3[[#This Row],[Tempo]] / Tabela3[[#This Row],[Qtde Cx Produzida]], 0),0)</f>
        <v>1.0113960113960114E-2</v>
      </c>
      <c r="P698" s="57">
        <f>IFERROR(Tabela3[[#This Row],[Perda Pçs]]/Tabela3[[#This Row],[Qdt Peça Placa]],0)</f>
        <v>1.75</v>
      </c>
      <c r="Q698" s="37">
        <f>IFERROR(Tabela3[[#This Row],[Realizado]]*Tabela3[[#This Row],[Peso Util/Pç]],0)</f>
        <v>91.337000000000003</v>
      </c>
      <c r="R698" s="37">
        <f>IFERROR(Tabela3[[#This Row],[Peso Total Galho]]*Tabela3[[#This Row],[Qtde Cx Produzida]]*1.055,0)</f>
        <v>178.98074999999997</v>
      </c>
      <c r="S698" s="37">
        <f>(Tabela3[[#This Row],[Aluminio Bruto]]-Tabela3[[#This Row],[Aluminio Util]])*0.9</f>
        <v>78.879374999999968</v>
      </c>
      <c r="T698" s="37">
        <f>Tabela3[[#This Row],[Aluminio Bruto]]/OleoKGAluminio</f>
        <v>75.296970105113587</v>
      </c>
      <c r="U698" s="35">
        <f>IFERROR((VLOOKUP(Tabela3[[#This Row],[Moldador]],Tabela1[],5,)+(VLOOKUP(Tabela3[[#This Row],[Ajudante]],Tabela1[],5,))*3.5),0)</f>
        <v>99.95034583333333</v>
      </c>
      <c r="V698" s="35">
        <f>IFERROR(Tabela3[[#This Row],[Custo M.O. / H]]/((Tabela3[[#This Row],[Realizado]]/Tabela3[[#This Row],[Qdt Peça Placa]])/Tabela3[[#This Row],[Tempo]]/24),)</f>
        <v>25.401251200596569</v>
      </c>
      <c r="W698" s="35">
        <f>Tabela3[[#This Row],[Custo / Cx Moldada]]*Tabela3[[#This Row],[Qtde Cx Produzida]]</f>
        <v>990.64879682326614</v>
      </c>
      <c r="X698" s="35">
        <f ca="1">Tabela3[[#This Row],[Aluminio Util]]*Tabela3[[#This Row],[Custo/Kg]]</f>
        <v>1424.8572000000001</v>
      </c>
      <c r="Y698" s="35">
        <f>IFERROR(VLOOKUP(Tabela3[[#This Row],[Data]],Tabela461213[],2,1)*(Tabela3[[#This Row],[Qtde Cx Produzida]]*Tabela3[[#This Row],[Qde macho / CX]]*Tabela3[[#This Row],[Peso Macho]]),)</f>
        <v>0</v>
      </c>
      <c r="Z698" s="35">
        <f>IFERROR(Tabela3[[#This Row],[Qtde Oleo]]*(VLOOKUP(Tabela3[[#This Row],[Data]],CompraOleo[],3,TRUE))*1.05,0)</f>
        <v>197.65454652592317</v>
      </c>
      <c r="AA698" s="47">
        <f ca="1">(Tabela3[[#This Row],[Custo Oleo]]+Tabela3[[#This Row],[Custo Aluminio]]+Tabela3[[#This Row],[Custo M.O. Total]]+Tabela3[[#This Row],[Custo Machos]])</f>
        <v>2613.1605433491895</v>
      </c>
      <c r="AB698" s="47">
        <f ca="1">Tabela3[[#This Row],[Custo Total]]*Tabela3[[#This Row],[% Perda]]</f>
        <v>117.25720386823286</v>
      </c>
      <c r="AC698" s="48">
        <f>IFERROR(VLOOKUP(Tabela3[[#This Row],[Produto]],Tabela2[],2,0),0)</f>
        <v>4</v>
      </c>
      <c r="AD698" s="48">
        <f>IFERROR(VLOOKUP(Tabela3[[#This Row],[Produto]],Tabela2[],3,0),0)</f>
        <v>0.61299999999999999</v>
      </c>
      <c r="AE698" s="48">
        <f>IFERROR(VLOOKUP(Tabela3[[#This Row],[Produto]],Tabela2[],4,0),0)</f>
        <v>4.3499999999999996</v>
      </c>
      <c r="AF698" s="48">
        <f>IFERROR(VLOOKUP(Tabela3[[#This Row],[Produto]],Tabela2[],5,0),0)</f>
        <v>1.7081999999999997</v>
      </c>
      <c r="AG698" s="40">
        <f>IFERROR(VLOOKUP(Tabela3[[#This Row],[Produto]],Tabela2[],6,0),0)</f>
        <v>0</v>
      </c>
      <c r="AH698" s="40">
        <f>IFERROR(VLOOKUP(Tabela3[[#This Row],[Produto]],Tabela2[],7,0),0)</f>
        <v>0</v>
      </c>
      <c r="AI698" s="40">
        <f>IFERROR(VLOOKUP(Tabela3[[#This Row],[Produto]],Tabela2[],8,0),0)</f>
        <v>0</v>
      </c>
      <c r="AJ698" s="35">
        <f ca="1">IFERROR(VLOOKUP(Tabela3[[#This Row],[Produto]],Tabela2[],13,0),0)</f>
        <v>15.600000000000001</v>
      </c>
      <c r="AK698" s="40" t="str">
        <f>IFERROR(VLOOKUP(Tabela3[[#This Row],[Produto]],Tabela2[],14,0),0)</f>
        <v>Senun</v>
      </c>
      <c r="AL698" s="40">
        <f>IFERROR(VLOOKUP(Tabela3[[#This Row],[Produto]],Tabela2[],15,0),0)</f>
        <v>4</v>
      </c>
      <c r="AM698" s="36">
        <f ca="1">(Tabela3[[#This Row],[Custo Usinagem]]+Tabela3[[#This Row],[Custo / Pç]])*1.2</f>
        <v>25.845588268584077</v>
      </c>
      <c r="AN698" s="36">
        <f ca="1">Tabela3[[#This Row],[Valor Mínimo Venda]]*1.15</f>
        <v>29.722426508871685</v>
      </c>
      <c r="AO698" s="36">
        <f ca="1">Tabela3[[#This Row],[Tabela 1]]*1.08</f>
        <v>32.100220629581422</v>
      </c>
      <c r="AP698" s="36">
        <f ca="1">Tabela3[[#This Row],[Tabela 2]]*1.15</f>
        <v>36.915253724018633</v>
      </c>
    </row>
    <row r="699" spans="1:42">
      <c r="A699" s="9">
        <v>45930</v>
      </c>
      <c r="B699" s="6" t="s">
        <v>247</v>
      </c>
      <c r="C699" s="14">
        <v>8059</v>
      </c>
      <c r="D699" s="6" t="s">
        <v>46</v>
      </c>
      <c r="E699" s="6" t="s">
        <v>326</v>
      </c>
      <c r="F699" s="6">
        <v>6</v>
      </c>
      <c r="G699" s="15">
        <v>2.7083333333333334E-2</v>
      </c>
      <c r="H699" s="16">
        <v>0</v>
      </c>
      <c r="I699" s="35">
        <f ca="1">IFERROR(Tabela3[[#This Row],[Custo Total]]/Tabela3[[#This Row],[Aluminio Util]],0)</f>
        <v>26.856350699941046</v>
      </c>
      <c r="J699" s="35">
        <f ca="1">Tabela3[[#This Row],[Custo Total]]/Tabela3[[#This Row],[Realizado]]</f>
        <v>8.0569052099823129</v>
      </c>
      <c r="K699" s="37">
        <f>IFERROR(Tabela3[[#This Row],[Qtde Cx Produzida]]/Tabela3[[#This Row],[Tempo]]/24,0)</f>
        <v>9.2307692307692299</v>
      </c>
      <c r="L699" s="37">
        <f>Tabela3[[#This Row],[Qtde Cx Produzida]]*Tabela3[[#This Row],[Qdt Peça Placa]]</f>
        <v>24</v>
      </c>
      <c r="M699" s="37">
        <f>Tabela3[[#This Row],[Previsto]]-Tabela3[[#This Row],[Perda Pçs]]</f>
        <v>24</v>
      </c>
      <c r="N699" s="38">
        <f>IFERROR(Tabela3[[#This Row],[Perda Pçs]]/Tabela3[[#This Row],[Previsto]],0)</f>
        <v>0</v>
      </c>
      <c r="O699" s="39">
        <f>IFERROR(IF(Tabela3[[#This Row],[Qtde Cx Produzida]] &lt;&gt; 0, Tabela3[[#This Row],[Tempo]] / Tabela3[[#This Row],[Qtde Cx Produzida]], 0),0)</f>
        <v>4.5138888888888893E-3</v>
      </c>
      <c r="P699" s="57">
        <f>IFERROR(Tabela3[[#This Row],[Perda Pçs]]/Tabela3[[#This Row],[Qdt Peça Placa]],0)</f>
        <v>0</v>
      </c>
      <c r="Q699" s="37">
        <f>IFERROR(Tabela3[[#This Row],[Realizado]]*Tabela3[[#This Row],[Peso Util/Pç]],0)</f>
        <v>7.1999999999999993</v>
      </c>
      <c r="R699" s="37">
        <f>IFERROR(Tabela3[[#This Row],[Peso Total Galho]]*Tabela3[[#This Row],[Qtde Cx Produzida]]*1.055,0)</f>
        <v>14.558999999999997</v>
      </c>
      <c r="S699" s="37">
        <f>(Tabela3[[#This Row],[Aluminio Bruto]]-Tabela3[[#This Row],[Aluminio Util]])*0.9</f>
        <v>6.6230999999999982</v>
      </c>
      <c r="T699" s="37">
        <f>Tabela3[[#This Row],[Aluminio Bruto]]/OleoKGAluminio</f>
        <v>6.1249524753938545</v>
      </c>
      <c r="U699" s="35">
        <f>IFERROR((VLOOKUP(Tabela3[[#This Row],[Moldador]],Tabela1[],5,)+(VLOOKUP(Tabela3[[#This Row],[Ajudante]],Tabela1[],5,))*3.5),0)</f>
        <v>99.95034583333333</v>
      </c>
      <c r="V699" s="35">
        <f>IFERROR(Tabela3[[#This Row],[Custo M.O. / H]]/((Tabela3[[#This Row],[Realizado]]/Tabela3[[#This Row],[Qdt Peça Placa]])/Tabela3[[#This Row],[Tempo]]/24),)</f>
        <v>10.827954131944445</v>
      </c>
      <c r="W699" s="35">
        <f>Tabela3[[#This Row],[Custo / Cx Moldada]]*Tabela3[[#This Row],[Qtde Cx Produzida]]</f>
        <v>64.967724791666669</v>
      </c>
      <c r="X699" s="35">
        <f ca="1">Tabela3[[#This Row],[Aluminio Util]]*Tabela3[[#This Row],[Custo/Kg]]</f>
        <v>112.32</v>
      </c>
      <c r="Y699" s="35">
        <f>IFERROR(VLOOKUP(Tabela3[[#This Row],[Data]],Tabela461213[],2,1)*(Tabela3[[#This Row],[Qtde Cx Produzida]]*Tabela3[[#This Row],[Qde macho / CX]]*Tabela3[[#This Row],[Peso Macho]]),)</f>
        <v>0</v>
      </c>
      <c r="Z699" s="35">
        <f>IFERROR(Tabela3[[#This Row],[Qtde Oleo]]*(VLOOKUP(Tabela3[[#This Row],[Data]],CompraOleo[],3,TRUE))*1.05,0)</f>
        <v>16.078000247908868</v>
      </c>
      <c r="AA699" s="47">
        <f ca="1">(Tabela3[[#This Row],[Custo Oleo]]+Tabela3[[#This Row],[Custo Aluminio]]+Tabela3[[#This Row],[Custo M.O. Total]]+Tabela3[[#This Row],[Custo Machos]])</f>
        <v>193.36572503957552</v>
      </c>
      <c r="AB699" s="47">
        <f ca="1">Tabela3[[#This Row],[Custo Total]]*Tabela3[[#This Row],[% Perda]]</f>
        <v>0</v>
      </c>
      <c r="AC699" s="48">
        <f>IFERROR(VLOOKUP(Tabela3[[#This Row],[Produto]],Tabela2[],2,0),0)</f>
        <v>4</v>
      </c>
      <c r="AD699" s="48">
        <f>IFERROR(VLOOKUP(Tabela3[[#This Row],[Produto]],Tabela2[],3,0),0)</f>
        <v>0.3</v>
      </c>
      <c r="AE699" s="48">
        <f>IFERROR(VLOOKUP(Tabela3[[#This Row],[Produto]],Tabela2[],4,0),0)</f>
        <v>2.2999999999999998</v>
      </c>
      <c r="AF699" s="48">
        <f>IFERROR(VLOOKUP(Tabela3[[#This Row],[Produto]],Tabela2[],5,0),0)</f>
        <v>0.98999999999999988</v>
      </c>
      <c r="AG699" s="40">
        <f>IFERROR(VLOOKUP(Tabela3[[#This Row],[Produto]],Tabela2[],6,0),0)</f>
        <v>0</v>
      </c>
      <c r="AH699" s="40">
        <f>IFERROR(VLOOKUP(Tabela3[[#This Row],[Produto]],Tabela2[],7,0),0)</f>
        <v>0</v>
      </c>
      <c r="AI699" s="40">
        <f>IFERROR(VLOOKUP(Tabela3[[#This Row],[Produto]],Tabela2[],8,0),0)</f>
        <v>0</v>
      </c>
      <c r="AJ699" s="35">
        <f ca="1">IFERROR(VLOOKUP(Tabela3[[#This Row],[Produto]],Tabela2[],13,0),0)</f>
        <v>15.600000000000001</v>
      </c>
      <c r="AK699" s="40" t="str">
        <f>IFERROR(VLOOKUP(Tabela3[[#This Row],[Produto]],Tabela2[],14,0),0)</f>
        <v>Senun</v>
      </c>
      <c r="AL699" s="40">
        <f>IFERROR(VLOOKUP(Tabela3[[#This Row],[Produto]],Tabela2[],15,0),0)</f>
        <v>3.5</v>
      </c>
      <c r="AM699" s="36">
        <f ca="1">(Tabela3[[#This Row],[Custo Usinagem]]+Tabela3[[#This Row],[Custo / Pç]])*1.2</f>
        <v>13.868286251978775</v>
      </c>
      <c r="AN699" s="36">
        <f ca="1">Tabela3[[#This Row],[Valor Mínimo Venda]]*1.15</f>
        <v>15.94852918977559</v>
      </c>
      <c r="AO699" s="36">
        <f ca="1">Tabela3[[#This Row],[Tabela 1]]*1.08</f>
        <v>17.224411524957638</v>
      </c>
      <c r="AP699" s="36">
        <f ca="1">Tabela3[[#This Row],[Tabela 2]]*1.15</f>
        <v>19.808073253701281</v>
      </c>
    </row>
    <row r="700" spans="1:42">
      <c r="A700" s="9">
        <v>45930</v>
      </c>
      <c r="B700" s="6" t="s">
        <v>151</v>
      </c>
      <c r="C700" s="14">
        <v>8032</v>
      </c>
      <c r="D700" s="6" t="s">
        <v>46</v>
      </c>
      <c r="E700" s="6" t="s">
        <v>326</v>
      </c>
      <c r="F700" s="6">
        <v>8</v>
      </c>
      <c r="G700" s="15">
        <v>4.4444444444444446E-2</v>
      </c>
      <c r="H700" s="16">
        <v>0</v>
      </c>
      <c r="I700" s="35">
        <f ca="1">IFERROR(Tabela3[[#This Row],[Custo Total]]/Tabela3[[#This Row],[Aluminio Util]],0)</f>
        <v>26.879931882953343</v>
      </c>
      <c r="J700" s="35">
        <f ca="1">Tabela3[[#This Row],[Custo Total]]/Tabela3[[#This Row],[Realizado]]</f>
        <v>38.975901230282346</v>
      </c>
      <c r="K700" s="37">
        <f>IFERROR(Tabela3[[#This Row],[Qtde Cx Produzida]]/Tabela3[[#This Row],[Tempo]]/24,0)</f>
        <v>7.5</v>
      </c>
      <c r="L700" s="37">
        <f>Tabela3[[#This Row],[Qtde Cx Produzida]]*Tabela3[[#This Row],[Qdt Peça Placa]]</f>
        <v>8</v>
      </c>
      <c r="M700" s="37">
        <f>Tabela3[[#This Row],[Previsto]]-Tabela3[[#This Row],[Perda Pçs]]</f>
        <v>8</v>
      </c>
      <c r="N700" s="38">
        <f>IFERROR(Tabela3[[#This Row],[Perda Pçs]]/Tabela3[[#This Row],[Previsto]],0)</f>
        <v>0</v>
      </c>
      <c r="O700" s="39">
        <f>IFERROR(IF(Tabela3[[#This Row],[Qtde Cx Produzida]] &lt;&gt; 0, Tabela3[[#This Row],[Tempo]] / Tabela3[[#This Row],[Qtde Cx Produzida]], 0),0)</f>
        <v>5.5555555555555558E-3</v>
      </c>
      <c r="P700" s="57">
        <f>IFERROR(Tabela3[[#This Row],[Perda Pçs]]/Tabela3[[#This Row],[Qdt Peça Placa]],0)</f>
        <v>0</v>
      </c>
      <c r="Q700" s="37">
        <f>IFERROR(Tabela3[[#This Row],[Realizado]]*Tabela3[[#This Row],[Peso Util/Pç]],0)</f>
        <v>11.6</v>
      </c>
      <c r="R700" s="37">
        <f>IFERROR(Tabela3[[#This Row],[Peso Total Galho]]*Tabela3[[#This Row],[Qtde Cx Produzida]]*1.055,0)</f>
        <v>21.943999999999999</v>
      </c>
      <c r="S700" s="37">
        <f>(Tabela3[[#This Row],[Aluminio Bruto]]-Tabela3[[#This Row],[Aluminio Util]])*0.9</f>
        <v>9.3095999999999997</v>
      </c>
      <c r="T700" s="37">
        <f>Tabela3[[#This Row],[Aluminio Bruto]]/OleoKGAluminio</f>
        <v>9.2318124266805945</v>
      </c>
      <c r="U700" s="35">
        <f>IFERROR((VLOOKUP(Tabela3[[#This Row],[Moldador]],Tabela1[],5,)+(VLOOKUP(Tabela3[[#This Row],[Ajudante]],Tabela1[],5,))*3.5),0)</f>
        <v>99.95034583333333</v>
      </c>
      <c r="V700" s="35">
        <f>IFERROR(Tabela3[[#This Row],[Custo M.O. / H]]/((Tabela3[[#This Row],[Realizado]]/Tabela3[[#This Row],[Qdt Peça Placa]])/Tabela3[[#This Row],[Tempo]]/24),)</f>
        <v>13.326712777777777</v>
      </c>
      <c r="W700" s="35">
        <f>Tabela3[[#This Row],[Custo / Cx Moldada]]*Tabela3[[#This Row],[Qtde Cx Produzida]]</f>
        <v>106.61370222222222</v>
      </c>
      <c r="X700" s="35">
        <f ca="1">Tabela3[[#This Row],[Aluminio Util]]*Tabela3[[#This Row],[Custo/Kg]]</f>
        <v>180.96</v>
      </c>
      <c r="Y700" s="35">
        <f>IFERROR(VLOOKUP(Tabela3[[#This Row],[Data]],Tabela461213[],2,1)*(Tabela3[[#This Row],[Qtde Cx Produzida]]*Tabela3[[#This Row],[Qde macho / CX]]*Tabela3[[#This Row],[Peso Macho]]),)</f>
        <v>0</v>
      </c>
      <c r="Z700" s="35">
        <f>IFERROR(Tabela3[[#This Row],[Qtde Oleo]]*(VLOOKUP(Tabela3[[#This Row],[Data]],CompraOleo[],3,TRUE))*1.05,0)</f>
        <v>24.233507620036558</v>
      </c>
      <c r="AA700" s="47">
        <f ca="1">(Tabela3[[#This Row],[Custo Oleo]]+Tabela3[[#This Row],[Custo Aluminio]]+Tabela3[[#This Row],[Custo M.O. Total]]+Tabela3[[#This Row],[Custo Machos]])</f>
        <v>311.80720984225877</v>
      </c>
      <c r="AB700" s="47">
        <f ca="1">Tabela3[[#This Row],[Custo Total]]*Tabela3[[#This Row],[% Perda]]</f>
        <v>0</v>
      </c>
      <c r="AC700" s="48">
        <f>IFERROR(VLOOKUP(Tabela3[[#This Row],[Produto]],Tabela2[],2,0),0)</f>
        <v>1</v>
      </c>
      <c r="AD700" s="48">
        <f>IFERROR(VLOOKUP(Tabela3[[#This Row],[Produto]],Tabela2[],3,0),0)</f>
        <v>1.45</v>
      </c>
      <c r="AE700" s="48">
        <f>IFERROR(VLOOKUP(Tabela3[[#This Row],[Produto]],Tabela2[],4,0),0)</f>
        <v>2.6</v>
      </c>
      <c r="AF700" s="48">
        <f>IFERROR(VLOOKUP(Tabela3[[#This Row],[Produto]],Tabela2[],5,0),0)</f>
        <v>1.0350000000000001</v>
      </c>
      <c r="AG700" s="40">
        <f>IFERROR(VLOOKUP(Tabela3[[#This Row],[Produto]],Tabela2[],6,0),0)</f>
        <v>0</v>
      </c>
      <c r="AH700" s="40">
        <f>IFERROR(VLOOKUP(Tabela3[[#This Row],[Produto]],Tabela2[],7,0),0)</f>
        <v>0</v>
      </c>
      <c r="AI700" s="40">
        <f>IFERROR(VLOOKUP(Tabela3[[#This Row],[Produto]],Tabela2[],8,0),0)</f>
        <v>0</v>
      </c>
      <c r="AJ700" s="35">
        <f ca="1">IFERROR(VLOOKUP(Tabela3[[#This Row],[Produto]],Tabela2[],13,0),0)</f>
        <v>15.600000000000001</v>
      </c>
      <c r="AK700" s="40" t="str">
        <f>IFERROR(VLOOKUP(Tabela3[[#This Row],[Produto]],Tabela2[],14,0),0)</f>
        <v>Senun</v>
      </c>
      <c r="AL700" s="40">
        <f>IFERROR(VLOOKUP(Tabela3[[#This Row],[Produto]],Tabela2[],15,0),0)</f>
        <v>5</v>
      </c>
      <c r="AM700" s="36">
        <f ca="1">(Tabela3[[#This Row],[Custo Usinagem]]+Tabela3[[#This Row],[Custo / Pç]])*1.2</f>
        <v>52.771081476338814</v>
      </c>
      <c r="AN700" s="36">
        <f ca="1">Tabela3[[#This Row],[Valor Mínimo Venda]]*1.15</f>
        <v>60.68674369778963</v>
      </c>
      <c r="AO700" s="36">
        <f ca="1">Tabela3[[#This Row],[Tabela 1]]*1.08</f>
        <v>65.541683193612812</v>
      </c>
      <c r="AP700" s="36">
        <f ca="1">Tabela3[[#This Row],[Tabela 2]]*1.15</f>
        <v>75.372935672654734</v>
      </c>
    </row>
    <row r="701" spans="1:42">
      <c r="A701" s="9">
        <v>45930</v>
      </c>
      <c r="B701" s="6" t="s">
        <v>245</v>
      </c>
      <c r="C701" s="14">
        <v>7984</v>
      </c>
      <c r="D701" s="6" t="s">
        <v>44</v>
      </c>
      <c r="E701" s="6" t="s">
        <v>47</v>
      </c>
      <c r="F701" s="6">
        <v>75</v>
      </c>
      <c r="G701" s="15">
        <v>0.34375</v>
      </c>
      <c r="H701" s="16">
        <v>188</v>
      </c>
      <c r="I701" s="35">
        <f ca="1">IFERROR(Tabela3[[#This Row],[Custo Total]]/Tabela3[[#This Row],[Aluminio Util]],0)</f>
        <v>80.404732230397769</v>
      </c>
      <c r="J701" s="35">
        <f ca="1">Tabela3[[#This Row],[Custo Total]]/Tabela3[[#This Row],[Realizado]]</f>
        <v>26.694371100492067</v>
      </c>
      <c r="K701" s="37">
        <f>IFERROR(Tabela3[[#This Row],[Qtde Cx Produzida]]/Tabela3[[#This Row],[Tempo]]/24,0)</f>
        <v>9.0909090909090917</v>
      </c>
      <c r="L701" s="37">
        <f>Tabela3[[#This Row],[Qtde Cx Produzida]]*Tabela3[[#This Row],[Qdt Peça Placa]]</f>
        <v>300</v>
      </c>
      <c r="M701" s="37">
        <f>Tabela3[[#This Row],[Previsto]]-Tabela3[[#This Row],[Perda Pçs]]</f>
        <v>112</v>
      </c>
      <c r="N701" s="38">
        <f>IFERROR(Tabela3[[#This Row],[Perda Pçs]]/Tabela3[[#This Row],[Previsto]],0)</f>
        <v>0.62666666666666671</v>
      </c>
      <c r="O701" s="39">
        <f>IFERROR(IF(Tabela3[[#This Row],[Qtde Cx Produzida]] &lt;&gt; 0, Tabela3[[#This Row],[Tempo]] / Tabela3[[#This Row],[Qtde Cx Produzida]], 0),0)</f>
        <v>4.5833333333333334E-3</v>
      </c>
      <c r="P701" s="57">
        <f>IFERROR(Tabela3[[#This Row],[Perda Pçs]]/Tabela3[[#This Row],[Qdt Peça Placa]],0)</f>
        <v>47</v>
      </c>
      <c r="Q701" s="37">
        <f>IFERROR(Tabela3[[#This Row],[Realizado]]*Tabela3[[#This Row],[Peso Util/Pç]],0)</f>
        <v>37.184000000000005</v>
      </c>
      <c r="R701" s="37">
        <f>IFERROR(Tabela3[[#This Row],[Peso Total Galho]]*Tabela3[[#This Row],[Qtde Cx Produzida]]*1.055,0)</f>
        <v>181.98749999999998</v>
      </c>
      <c r="S701" s="37">
        <f>(Tabela3[[#This Row],[Aluminio Bruto]]-Tabela3[[#This Row],[Aluminio Util]])*0.9</f>
        <v>130.32315</v>
      </c>
      <c r="T701" s="37">
        <f>Tabela3[[#This Row],[Aluminio Bruto]]/OleoKGAluminio</f>
        <v>76.561905942423195</v>
      </c>
      <c r="U701" s="35">
        <f>IFERROR((VLOOKUP(Tabela3[[#This Row],[Moldador]],Tabela1[],5,)+(VLOOKUP(Tabela3[[#This Row],[Ajudante]],Tabela1[],5,))*3.5),0)</f>
        <v>99.95034583333333</v>
      </c>
      <c r="V701" s="35">
        <f>IFERROR(Tabela3[[#This Row],[Custo M.O. / H]]/((Tabela3[[#This Row],[Realizado]]/Tabela3[[#This Row],[Qdt Peça Placa]])/Tabela3[[#This Row],[Tempo]]/24),)</f>
        <v>29.449655468749999</v>
      </c>
      <c r="W701" s="35">
        <f>Tabela3[[#This Row],[Custo / Cx Moldada]]*Tabela3[[#This Row],[Qtde Cx Produzida]]</f>
        <v>2208.72416015625</v>
      </c>
      <c r="X701" s="35">
        <f ca="1">Tabela3[[#This Row],[Aluminio Util]]*Tabela3[[#This Row],[Custo/Kg]]</f>
        <v>580.07040000000018</v>
      </c>
      <c r="Y701" s="35">
        <f>IFERROR(VLOOKUP(Tabela3[[#This Row],[Data]],Tabela461213[],2,1)*(Tabela3[[#This Row],[Qtde Cx Produzida]]*Tabela3[[#This Row],[Qde macho / CX]]*Tabela3[[#This Row],[Peso Macho]]),)</f>
        <v>0</v>
      </c>
      <c r="Z701" s="35">
        <f>IFERROR(Tabela3[[#This Row],[Qtde Oleo]]*(VLOOKUP(Tabela3[[#This Row],[Data]],CompraOleo[],3,TRUE))*1.05,0)</f>
        <v>200.9750030988609</v>
      </c>
      <c r="AA701" s="47">
        <f ca="1">(Tabela3[[#This Row],[Custo Oleo]]+Tabela3[[#This Row],[Custo Aluminio]]+Tabela3[[#This Row],[Custo M.O. Total]]+Tabela3[[#This Row],[Custo Machos]])</f>
        <v>2989.7695632551113</v>
      </c>
      <c r="AB701" s="47">
        <f ca="1">Tabela3[[#This Row],[Custo Total]]*Tabela3[[#This Row],[% Perda]]</f>
        <v>1873.5889263065365</v>
      </c>
      <c r="AC701" s="48">
        <f>IFERROR(VLOOKUP(Tabela3[[#This Row],[Produto]],Tabela2[],2,0),0)</f>
        <v>4</v>
      </c>
      <c r="AD701" s="48">
        <f>IFERROR(VLOOKUP(Tabela3[[#This Row],[Produto]],Tabela2[],3,0),0)</f>
        <v>0.33200000000000002</v>
      </c>
      <c r="AE701" s="48">
        <f>IFERROR(VLOOKUP(Tabela3[[#This Row],[Produto]],Tabela2[],4,0),0)</f>
        <v>2.2999999999999998</v>
      </c>
      <c r="AF701" s="48">
        <f>IFERROR(VLOOKUP(Tabela3[[#This Row],[Produto]],Tabela2[],5,0),0)</f>
        <v>0.8747999999999998</v>
      </c>
      <c r="AG701" s="40">
        <f>IFERROR(VLOOKUP(Tabela3[[#This Row],[Produto]],Tabela2[],6,0),0)</f>
        <v>0</v>
      </c>
      <c r="AH701" s="40">
        <f>IFERROR(VLOOKUP(Tabela3[[#This Row],[Produto]],Tabela2[],7,0),0)</f>
        <v>0</v>
      </c>
      <c r="AI701" s="40">
        <f>IFERROR(VLOOKUP(Tabela3[[#This Row],[Produto]],Tabela2[],8,0),0)</f>
        <v>0</v>
      </c>
      <c r="AJ701" s="35">
        <f ca="1">IFERROR(VLOOKUP(Tabela3[[#This Row],[Produto]],Tabela2[],13,0),0)</f>
        <v>15.600000000000001</v>
      </c>
      <c r="AK701" s="40" t="str">
        <f>IFERROR(VLOOKUP(Tabela3[[#This Row],[Produto]],Tabela2[],14,0),0)</f>
        <v>Senun</v>
      </c>
      <c r="AL701" s="40">
        <f>IFERROR(VLOOKUP(Tabela3[[#This Row],[Produto]],Tabela2[],15,0),0)</f>
        <v>3.5</v>
      </c>
      <c r="AM701" s="36">
        <f ca="1">(Tabela3[[#This Row],[Custo Usinagem]]+Tabela3[[#This Row],[Custo / Pç]])*1.2</f>
        <v>36.233245320590477</v>
      </c>
      <c r="AN701" s="36">
        <f ca="1">Tabela3[[#This Row],[Valor Mínimo Venda]]*1.15</f>
        <v>41.668232118679043</v>
      </c>
      <c r="AO701" s="36">
        <f ca="1">Tabela3[[#This Row],[Tabela 1]]*1.08</f>
        <v>45.001690688173369</v>
      </c>
      <c r="AP701" s="36">
        <f ca="1">Tabela3[[#This Row],[Tabela 2]]*1.15</f>
        <v>51.751944291399369</v>
      </c>
    </row>
    <row r="702" spans="1:42">
      <c r="A702" s="9">
        <v>45930</v>
      </c>
      <c r="B702" s="6" t="s">
        <v>117</v>
      </c>
      <c r="C702" s="14">
        <v>8090</v>
      </c>
      <c r="D702" s="6" t="s">
        <v>44</v>
      </c>
      <c r="E702" s="6" t="s">
        <v>47</v>
      </c>
      <c r="F702" s="6">
        <v>1</v>
      </c>
      <c r="G702" s="15">
        <v>3.4722222222222224E-2</v>
      </c>
      <c r="H702" s="16">
        <v>0</v>
      </c>
      <c r="I702" s="35">
        <f ca="1">IFERROR(Tabela3[[#This Row],[Custo Total]]/Tabela3[[#This Row],[Aluminio Util]],0)</f>
        <v>19.825961538639685</v>
      </c>
      <c r="J702" s="35">
        <f ca="1">Tabela3[[#This Row],[Custo Total]]/Tabela3[[#This Row],[Realizado]]</f>
        <v>793.03846154558744</v>
      </c>
      <c r="K702" s="37">
        <f>IFERROR(Tabela3[[#This Row],[Qtde Cx Produzida]]/Tabela3[[#This Row],[Tempo]]/24,0)</f>
        <v>1.2</v>
      </c>
      <c r="L702" s="37">
        <f>Tabela3[[#This Row],[Qtde Cx Produzida]]*Tabela3[[#This Row],[Qdt Peça Placa]]</f>
        <v>1</v>
      </c>
      <c r="M702" s="37">
        <f>Tabela3[[#This Row],[Previsto]]-Tabela3[[#This Row],[Perda Pçs]]</f>
        <v>1</v>
      </c>
      <c r="N702" s="38">
        <f>IFERROR(Tabela3[[#This Row],[Perda Pçs]]/Tabela3[[#This Row],[Previsto]],0)</f>
        <v>0</v>
      </c>
      <c r="O702" s="39">
        <f>IFERROR(IF(Tabela3[[#This Row],[Qtde Cx Produzida]] &lt;&gt; 0, Tabela3[[#This Row],[Tempo]] / Tabela3[[#This Row],[Qtde Cx Produzida]], 0),0)</f>
        <v>3.4722222222222224E-2</v>
      </c>
      <c r="P702" s="57">
        <f>IFERROR(Tabela3[[#This Row],[Perda Pçs]]/Tabela3[[#This Row],[Qdt Peça Placa]],0)</f>
        <v>0</v>
      </c>
      <c r="Q702" s="37">
        <f>IFERROR(Tabela3[[#This Row],[Realizado]]*Tabela3[[#This Row],[Peso Util/Pç]],0)</f>
        <v>40</v>
      </c>
      <c r="R702" s="37">
        <f>IFERROR(Tabela3[[#This Row],[Peso Total Galho]]*Tabela3[[#This Row],[Qtde Cx Produzida]]*1.055,0)</f>
        <v>42.516499999999994</v>
      </c>
      <c r="S702" s="37">
        <f>(Tabela3[[#This Row],[Aluminio Bruto]]-Tabela3[[#This Row],[Aluminio Util]])*0.9</f>
        <v>2.2648499999999943</v>
      </c>
      <c r="T702" s="37">
        <f>Tabela3[[#This Row],[Aluminio Bruto]]/OleoKGAluminio</f>
        <v>17.886636576693647</v>
      </c>
      <c r="U702" s="35">
        <f>IFERROR((VLOOKUP(Tabela3[[#This Row],[Moldador]],Tabela1[],5,)+(VLOOKUP(Tabela3[[#This Row],[Ajudante]],Tabela1[],5,))*3.5),0)</f>
        <v>99.95034583333333</v>
      </c>
      <c r="V702" s="35">
        <f>IFERROR(Tabela3[[#This Row],[Custo M.O. / H]]/((Tabela3[[#This Row],[Realizado]]/Tabela3[[#This Row],[Qdt Peça Placa]])/Tabela3[[#This Row],[Tempo]]/24),)</f>
        <v>83.291954861111108</v>
      </c>
      <c r="W702" s="35">
        <f>Tabela3[[#This Row],[Custo / Cx Moldada]]*Tabela3[[#This Row],[Qtde Cx Produzida]]</f>
        <v>83.291954861111108</v>
      </c>
      <c r="X702" s="35">
        <f ca="1">Tabela3[[#This Row],[Aluminio Util]]*Tabela3[[#This Row],[Custo/Kg]]</f>
        <v>662.79408567065548</v>
      </c>
      <c r="Y702" s="35">
        <f>IFERROR(VLOOKUP(Tabela3[[#This Row],[Data]],Tabela461213[],2,1)*(Tabela3[[#This Row],[Qtde Cx Produzida]]*Tabela3[[#This Row],[Qde macho / CX]]*Tabela3[[#This Row],[Peso Macho]]),)</f>
        <v>0</v>
      </c>
      <c r="Z702" s="35">
        <f>IFERROR(Tabela3[[#This Row],[Qtde Oleo]]*(VLOOKUP(Tabela3[[#This Row],[Data]],CompraOleo[],3,TRUE))*1.05,0)</f>
        <v>46.952421013820825</v>
      </c>
      <c r="AA702" s="47">
        <f ca="1">(Tabela3[[#This Row],[Custo Oleo]]+Tabela3[[#This Row],[Custo Aluminio]]+Tabela3[[#This Row],[Custo M.O. Total]]+Tabela3[[#This Row],[Custo Machos]])</f>
        <v>793.03846154558744</v>
      </c>
      <c r="AB702" s="47">
        <f ca="1">Tabela3[[#This Row],[Custo Total]]*Tabela3[[#This Row],[% Perda]]</f>
        <v>0</v>
      </c>
      <c r="AC702" s="48">
        <f>IFERROR(VLOOKUP(Tabela3[[#This Row],[Produto]],Tabela2[],2,0),0)</f>
        <v>1</v>
      </c>
      <c r="AD702" s="48">
        <f>IFERROR(VLOOKUP(Tabela3[[#This Row],[Produto]],Tabela2[],3,0),0)</f>
        <v>40</v>
      </c>
      <c r="AE702" s="48">
        <f>IFERROR(VLOOKUP(Tabela3[[#This Row],[Produto]],Tabela2[],4,0),0)</f>
        <v>40.299999999999997</v>
      </c>
      <c r="AF702" s="48">
        <f>IFERROR(VLOOKUP(Tabela3[[#This Row],[Produto]],Tabela2[],5,0),0)</f>
        <v>0.26999999999999746</v>
      </c>
      <c r="AG702" s="40">
        <f>IFERROR(VLOOKUP(Tabela3[[#This Row],[Produto]],Tabela2[],6,0),0)</f>
        <v>0</v>
      </c>
      <c r="AH702" s="40">
        <f>IFERROR(VLOOKUP(Tabela3[[#This Row],[Produto]],Tabela2[],7,0),0)</f>
        <v>0</v>
      </c>
      <c r="AI702" s="40">
        <f>IFERROR(VLOOKUP(Tabela3[[#This Row],[Produto]],Tabela2[],8,0),0)</f>
        <v>0</v>
      </c>
      <c r="AJ702" s="35">
        <f ca="1">IFERROR(VLOOKUP(Tabela3[[#This Row],[Produto]],Tabela2[],13,0),0)</f>
        <v>16.569852141766386</v>
      </c>
      <c r="AK702" s="40" t="str">
        <f>IFERROR(VLOOKUP(Tabela3[[#This Row],[Produto]],Tabela2[],14,0),0)</f>
        <v>Danilo</v>
      </c>
      <c r="AL702" s="40">
        <f>IFERROR(VLOOKUP(Tabela3[[#This Row],[Produto]],Tabela2[],15,0),0)</f>
        <v>0</v>
      </c>
      <c r="AM702" s="36">
        <f ca="1">(Tabela3[[#This Row],[Custo Usinagem]]+Tabela3[[#This Row],[Custo / Pç]])*1.2</f>
        <v>951.64615385470483</v>
      </c>
      <c r="AN702" s="36">
        <f ca="1">Tabela3[[#This Row],[Valor Mínimo Venda]]*1.15</f>
        <v>1094.3930769329104</v>
      </c>
      <c r="AO702" s="36">
        <f ca="1">Tabela3[[#This Row],[Tabela 1]]*1.08</f>
        <v>1181.9445230875433</v>
      </c>
      <c r="AP702" s="36">
        <f ca="1">Tabela3[[#This Row],[Tabela 2]]*1.15</f>
        <v>1359.2362015506747</v>
      </c>
    </row>
    <row r="703" spans="1:42">
      <c r="A703" s="9">
        <v>45931</v>
      </c>
      <c r="B703" s="6" t="s">
        <v>247</v>
      </c>
      <c r="C703" s="14">
        <v>8059</v>
      </c>
      <c r="D703" s="6" t="s">
        <v>46</v>
      </c>
      <c r="E703" s="6" t="s">
        <v>326</v>
      </c>
      <c r="F703" s="6">
        <v>74</v>
      </c>
      <c r="G703" s="15">
        <v>0.37013888888888891</v>
      </c>
      <c r="H703" s="16">
        <v>0</v>
      </c>
      <c r="I703" s="35">
        <f ca="1">IFERROR(Tabela3[[#This Row],[Custo Total]]/Tabela3[[#This Row],[Aluminio Util]],0)</f>
        <v>27.831842063179284</v>
      </c>
      <c r="J703" s="35">
        <f ca="1">Tabela3[[#This Row],[Custo Total]]/Tabela3[[#This Row],[Realizado]]</f>
        <v>8.3495526189537852</v>
      </c>
      <c r="K703" s="37">
        <f>IFERROR(Tabela3[[#This Row],[Qtde Cx Produzida]]/Tabela3[[#This Row],[Tempo]]/24,0)</f>
        <v>8.3302063789868672</v>
      </c>
      <c r="L703" s="37">
        <f>Tabela3[[#This Row],[Qtde Cx Produzida]]*Tabela3[[#This Row],[Qdt Peça Placa]]</f>
        <v>296</v>
      </c>
      <c r="M703" s="37">
        <f>Tabela3[[#This Row],[Previsto]]-Tabela3[[#This Row],[Perda Pçs]]</f>
        <v>296</v>
      </c>
      <c r="N703" s="38">
        <f>IFERROR(Tabela3[[#This Row],[Perda Pçs]]/Tabela3[[#This Row],[Previsto]],0)</f>
        <v>0</v>
      </c>
      <c r="O703" s="39">
        <f>IFERROR(IF(Tabela3[[#This Row],[Qtde Cx Produzida]] &lt;&gt; 0, Tabela3[[#This Row],[Tempo]] / Tabela3[[#This Row],[Qtde Cx Produzida]], 0),0)</f>
        <v>5.0018768768768773E-3</v>
      </c>
      <c r="P703" s="57">
        <f>IFERROR(Tabela3[[#This Row],[Perda Pçs]]/Tabela3[[#This Row],[Qdt Peça Placa]],0)</f>
        <v>0</v>
      </c>
      <c r="Q703" s="37">
        <f>IFERROR(Tabela3[[#This Row],[Realizado]]*Tabela3[[#This Row],[Peso Util/Pç]],0)</f>
        <v>88.8</v>
      </c>
      <c r="R703" s="37">
        <f>IFERROR(Tabela3[[#This Row],[Peso Total Galho]]*Tabela3[[#This Row],[Qtde Cx Produzida]]*1.055,0)</f>
        <v>179.56099999999998</v>
      </c>
      <c r="S703" s="37">
        <f>(Tabela3[[#This Row],[Aluminio Bruto]]-Tabela3[[#This Row],[Aluminio Util]])*0.9</f>
        <v>81.684899999999985</v>
      </c>
      <c r="T703" s="37">
        <f>Tabela3[[#This Row],[Aluminio Bruto]]/OleoKGAluminio</f>
        <v>75.541080529857538</v>
      </c>
      <c r="U703" s="35">
        <f>IFERROR((VLOOKUP(Tabela3[[#This Row],[Moldador]],Tabela1[],5,)+(VLOOKUP(Tabela3[[#This Row],[Ajudante]],Tabela1[],5,))*3.5),0)</f>
        <v>99.95034583333333</v>
      </c>
      <c r="V703" s="35">
        <f>IFERROR(Tabela3[[#This Row],[Custo M.O. / H]]/((Tabela3[[#This Row],[Realizado]]/Tabela3[[#This Row],[Qdt Peça Placa]])/Tabela3[[#This Row],[Tempo]]/24),)</f>
        <v>11.998543767830329</v>
      </c>
      <c r="W703" s="35">
        <f>Tabela3[[#This Row],[Custo / Cx Moldada]]*Tabela3[[#This Row],[Qtde Cx Produzida]]</f>
        <v>887.89223881944429</v>
      </c>
      <c r="X703" s="35">
        <f ca="1">Tabela3[[#This Row],[Aluminio Util]]*Tabela3[[#This Row],[Custo/Kg]]</f>
        <v>1385.28</v>
      </c>
      <c r="Y703" s="35">
        <f>IFERROR(VLOOKUP(Tabela3[[#This Row],[Data]],Tabela461213[],2,1)*(Tabela3[[#This Row],[Qtde Cx Produzida]]*Tabela3[[#This Row],[Qde macho / CX]]*Tabela3[[#This Row],[Peso Macho]]),)</f>
        <v>0</v>
      </c>
      <c r="Z703" s="35">
        <f>IFERROR(Tabela3[[#This Row],[Qtde Oleo]]*(VLOOKUP(Tabela3[[#This Row],[Data]],CompraOleo[],3,TRUE))*1.05,0)</f>
        <v>198.29533639087606</v>
      </c>
      <c r="AA703" s="47">
        <f ca="1">(Tabela3[[#This Row],[Custo Oleo]]+Tabela3[[#This Row],[Custo Aluminio]]+Tabela3[[#This Row],[Custo M.O. Total]]+Tabela3[[#This Row],[Custo Machos]])</f>
        <v>2471.4675752103203</v>
      </c>
      <c r="AB703" s="47">
        <f ca="1">Tabela3[[#This Row],[Custo Total]]*Tabela3[[#This Row],[% Perda]]</f>
        <v>0</v>
      </c>
      <c r="AC703" s="48">
        <f>IFERROR(VLOOKUP(Tabela3[[#This Row],[Produto]],Tabela2[],2,0),0)</f>
        <v>4</v>
      </c>
      <c r="AD703" s="48">
        <f>IFERROR(VLOOKUP(Tabela3[[#This Row],[Produto]],Tabela2[],3,0),0)</f>
        <v>0.3</v>
      </c>
      <c r="AE703" s="48">
        <f>IFERROR(VLOOKUP(Tabela3[[#This Row],[Produto]],Tabela2[],4,0),0)</f>
        <v>2.2999999999999998</v>
      </c>
      <c r="AF703" s="48">
        <f>IFERROR(VLOOKUP(Tabela3[[#This Row],[Produto]],Tabela2[],5,0),0)</f>
        <v>0.98999999999999988</v>
      </c>
      <c r="AG703" s="40">
        <f>IFERROR(VLOOKUP(Tabela3[[#This Row],[Produto]],Tabela2[],6,0),0)</f>
        <v>0</v>
      </c>
      <c r="AH703" s="40">
        <f>IFERROR(VLOOKUP(Tabela3[[#This Row],[Produto]],Tabela2[],7,0),0)</f>
        <v>0</v>
      </c>
      <c r="AI703" s="40">
        <f>IFERROR(VLOOKUP(Tabela3[[#This Row],[Produto]],Tabela2[],8,0),0)</f>
        <v>0</v>
      </c>
      <c r="AJ703" s="35">
        <f ca="1">IFERROR(VLOOKUP(Tabela3[[#This Row],[Produto]],Tabela2[],13,0),0)</f>
        <v>15.600000000000001</v>
      </c>
      <c r="AK703" s="40" t="str">
        <f>IFERROR(VLOOKUP(Tabela3[[#This Row],[Produto]],Tabela2[],14,0),0)</f>
        <v>Senun</v>
      </c>
      <c r="AL703" s="40">
        <f>IFERROR(VLOOKUP(Tabela3[[#This Row],[Produto]],Tabela2[],15,0),0)</f>
        <v>3.5</v>
      </c>
      <c r="AM703" s="36">
        <f ca="1">(Tabela3[[#This Row],[Custo Usinagem]]+Tabela3[[#This Row],[Custo / Pç]])*1.2</f>
        <v>14.219463142744543</v>
      </c>
      <c r="AN703" s="36">
        <f ca="1">Tabela3[[#This Row],[Valor Mínimo Venda]]*1.15</f>
        <v>16.352382614156223</v>
      </c>
      <c r="AO703" s="36">
        <f ca="1">Tabela3[[#This Row],[Tabela 1]]*1.08</f>
        <v>17.660573223288722</v>
      </c>
      <c r="AP703" s="36">
        <f ca="1">Tabela3[[#This Row],[Tabela 2]]*1.15</f>
        <v>20.30965920678203</v>
      </c>
    </row>
    <row r="704" spans="1:42">
      <c r="A704" s="9">
        <v>45931</v>
      </c>
      <c r="B704" s="6" t="s">
        <v>88</v>
      </c>
      <c r="C704" s="14">
        <v>8037</v>
      </c>
      <c r="D704" s="6" t="s">
        <v>46</v>
      </c>
      <c r="E704" s="6" t="s">
        <v>326</v>
      </c>
      <c r="F704" s="6">
        <v>10</v>
      </c>
      <c r="G704" s="15">
        <v>5.6944444444444443E-2</v>
      </c>
      <c r="H704" s="16">
        <v>0</v>
      </c>
      <c r="I704" s="35">
        <f ca="1">IFERROR(Tabela3[[#This Row],[Custo Total]]/Tabela3[[#This Row],[Aluminio Util]],0)</f>
        <v>28.058880345712787</v>
      </c>
      <c r="J704" s="35">
        <f ca="1">Tabela3[[#This Row],[Custo Total]]/Tabela3[[#This Row],[Realizado]]</f>
        <v>20.679394814790324</v>
      </c>
      <c r="K704" s="37">
        <f>IFERROR(Tabela3[[#This Row],[Qtde Cx Produzida]]/Tabela3[[#This Row],[Tempo]]/24,0)</f>
        <v>7.3170731707317076</v>
      </c>
      <c r="L704" s="37">
        <f>Tabela3[[#This Row],[Qtde Cx Produzida]]*Tabela3[[#This Row],[Qdt Peça Placa]]</f>
        <v>20</v>
      </c>
      <c r="M704" s="37">
        <f>Tabela3[[#This Row],[Previsto]]-Tabela3[[#This Row],[Perda Pçs]]</f>
        <v>20</v>
      </c>
      <c r="N704" s="38">
        <f>IFERROR(Tabela3[[#This Row],[Perda Pçs]]/Tabela3[[#This Row],[Previsto]],0)</f>
        <v>0</v>
      </c>
      <c r="O704" s="39">
        <f>IFERROR(IF(Tabela3[[#This Row],[Qtde Cx Produzida]] &lt;&gt; 0, Tabela3[[#This Row],[Tempo]] / Tabela3[[#This Row],[Qtde Cx Produzida]], 0),0)</f>
        <v>5.6944444444444447E-3</v>
      </c>
      <c r="P704" s="57">
        <f>IFERROR(Tabela3[[#This Row],[Perda Pçs]]/Tabela3[[#This Row],[Qdt Peça Placa]],0)</f>
        <v>0</v>
      </c>
      <c r="Q704" s="37">
        <f>IFERROR(Tabela3[[#This Row],[Realizado]]*Tabela3[[#This Row],[Peso Util/Pç]],0)</f>
        <v>14.74</v>
      </c>
      <c r="R704" s="37">
        <f>IFERROR(Tabela3[[#This Row],[Peso Total Galho]]*Tabela3[[#This Row],[Qtde Cx Produzida]]*1.055,0)</f>
        <v>27.514400000000002</v>
      </c>
      <c r="S704" s="37">
        <f>(Tabela3[[#This Row],[Aluminio Bruto]]-Tabela3[[#This Row],[Aluminio Util]])*0.9</f>
        <v>11.496960000000001</v>
      </c>
      <c r="T704" s="37">
        <f>Tabela3[[#This Row],[Aluminio Bruto]]/OleoKGAluminio</f>
        <v>11.575272504222593</v>
      </c>
      <c r="U704" s="35">
        <f>IFERROR((VLOOKUP(Tabela3[[#This Row],[Moldador]],Tabela1[],5,)+(VLOOKUP(Tabela3[[#This Row],[Ajudante]],Tabela1[],5,))*3.5),0)</f>
        <v>99.95034583333333</v>
      </c>
      <c r="V704" s="35">
        <f>IFERROR(Tabela3[[#This Row],[Custo M.O. / H]]/((Tabela3[[#This Row],[Realizado]]/Tabela3[[#This Row],[Qdt Peça Placa]])/Tabela3[[#This Row],[Tempo]]/24),)</f>
        <v>13.659880597222221</v>
      </c>
      <c r="W704" s="35">
        <f>Tabela3[[#This Row],[Custo / Cx Moldada]]*Tabela3[[#This Row],[Qtde Cx Produzida]]</f>
        <v>136.59880597222221</v>
      </c>
      <c r="X704" s="35">
        <f ca="1">Tabela3[[#This Row],[Aluminio Util]]*Tabela3[[#This Row],[Custo/Kg]]</f>
        <v>229.94400000000002</v>
      </c>
      <c r="Y704" s="35">
        <f>IFERROR(VLOOKUP(Tabela3[[#This Row],[Data]],Tabela461213[],2,1)*(Tabela3[[#This Row],[Qtde Cx Produzida]]*Tabela3[[#This Row],[Qde macho / CX]]*Tabela3[[#This Row],[Peso Macho]]),)</f>
        <v>16.66</v>
      </c>
      <c r="Z704" s="35">
        <f>IFERROR(Tabela3[[#This Row],[Qtde Oleo]]*(VLOOKUP(Tabela3[[#This Row],[Data]],CompraOleo[],3,TRUE))*1.05,0)</f>
        <v>30.385090323584308</v>
      </c>
      <c r="AA704" s="47">
        <f ca="1">(Tabela3[[#This Row],[Custo Oleo]]+Tabela3[[#This Row],[Custo Aluminio]]+Tabela3[[#This Row],[Custo M.O. Total]]+Tabela3[[#This Row],[Custo Machos]])</f>
        <v>413.5878962958065</v>
      </c>
      <c r="AB704" s="47">
        <f ca="1">Tabela3[[#This Row],[Custo Total]]*Tabela3[[#This Row],[% Perda]]</f>
        <v>0</v>
      </c>
      <c r="AC704" s="48">
        <f>IFERROR(VLOOKUP(Tabela3[[#This Row],[Produto]],Tabela2[],2,0),0)</f>
        <v>2</v>
      </c>
      <c r="AD704" s="48">
        <f>IFERROR(VLOOKUP(Tabela3[[#This Row],[Produto]],Tabela2[],3,0),0)</f>
        <v>0.73699999999999999</v>
      </c>
      <c r="AE704" s="48">
        <f>IFERROR(VLOOKUP(Tabela3[[#This Row],[Produto]],Tabela2[],4,0),0)</f>
        <v>2.6080000000000001</v>
      </c>
      <c r="AF704" s="48">
        <f>IFERROR(VLOOKUP(Tabela3[[#This Row],[Produto]],Tabela2[],5,0),0)</f>
        <v>1.0206000000000002</v>
      </c>
      <c r="AG704" s="40">
        <f>IFERROR(VLOOKUP(Tabela3[[#This Row],[Produto]],Tabela2[],6,0),0)</f>
        <v>0</v>
      </c>
      <c r="AH704" s="40">
        <f>IFERROR(VLOOKUP(Tabela3[[#This Row],[Produto]],Tabela2[],7,0),0)</f>
        <v>2</v>
      </c>
      <c r="AI704" s="40">
        <f>IFERROR(VLOOKUP(Tabela3[[#This Row],[Produto]],Tabela2[],8,0),0)</f>
        <v>0.49</v>
      </c>
      <c r="AJ704" s="35">
        <f ca="1">IFERROR(VLOOKUP(Tabela3[[#This Row],[Produto]],Tabela2[],13,0),0)</f>
        <v>15.600000000000001</v>
      </c>
      <c r="AK704" s="40" t="str">
        <f>IFERROR(VLOOKUP(Tabela3[[#This Row],[Produto]],Tabela2[],14,0),0)</f>
        <v>Jumil</v>
      </c>
      <c r="AL704" s="40">
        <f>IFERROR(VLOOKUP(Tabela3[[#This Row],[Produto]],Tabela2[],15,0),0)</f>
        <v>1</v>
      </c>
      <c r="AM704" s="36">
        <f ca="1">(Tabela3[[#This Row],[Custo Usinagem]]+Tabela3[[#This Row],[Custo / Pç]])*1.2</f>
        <v>26.015273777748387</v>
      </c>
      <c r="AN704" s="36">
        <f ca="1">Tabela3[[#This Row],[Valor Mínimo Venda]]*1.15</f>
        <v>29.917564844410641</v>
      </c>
      <c r="AO704" s="36">
        <f ca="1">Tabela3[[#This Row],[Tabela 1]]*1.08</f>
        <v>32.310970031963492</v>
      </c>
      <c r="AP704" s="36">
        <f ca="1">Tabela3[[#This Row],[Tabela 2]]*1.15</f>
        <v>37.157615536758016</v>
      </c>
    </row>
    <row r="705" spans="1:42">
      <c r="A705" s="9">
        <v>45931</v>
      </c>
      <c r="B705" s="6" t="s">
        <v>245</v>
      </c>
      <c r="C705" s="14">
        <v>7984</v>
      </c>
      <c r="D705" s="6" t="s">
        <v>44</v>
      </c>
      <c r="E705" s="6" t="s">
        <v>47</v>
      </c>
      <c r="F705" s="6">
        <v>41</v>
      </c>
      <c r="G705" s="15">
        <v>0.18402777777777779</v>
      </c>
      <c r="H705" s="16">
        <v>0</v>
      </c>
      <c r="I705" s="35">
        <f ca="1">IFERROR(Tabela3[[#This Row],[Custo Total]]/Tabela3[[#This Row],[Aluminio Util]],0)</f>
        <v>25.725508664987995</v>
      </c>
      <c r="J705" s="35">
        <f ca="1">Tabela3[[#This Row],[Custo Total]]/Tabela3[[#This Row],[Realizado]]</f>
        <v>8.5408688767760133</v>
      </c>
      <c r="K705" s="37">
        <f>IFERROR(Tabela3[[#This Row],[Qtde Cx Produzida]]/Tabela3[[#This Row],[Tempo]]/24,0)</f>
        <v>9.2830188679245271</v>
      </c>
      <c r="L705" s="37">
        <f>Tabela3[[#This Row],[Qtde Cx Produzida]]*Tabela3[[#This Row],[Qdt Peça Placa]]</f>
        <v>164</v>
      </c>
      <c r="M705" s="37">
        <f>Tabela3[[#This Row],[Previsto]]-Tabela3[[#This Row],[Perda Pçs]]</f>
        <v>164</v>
      </c>
      <c r="N705" s="38">
        <f>IFERROR(Tabela3[[#This Row],[Perda Pçs]]/Tabela3[[#This Row],[Previsto]],0)</f>
        <v>0</v>
      </c>
      <c r="O705" s="39">
        <f>IFERROR(IF(Tabela3[[#This Row],[Qtde Cx Produzida]] &lt;&gt; 0, Tabela3[[#This Row],[Tempo]] / Tabela3[[#This Row],[Qtde Cx Produzida]], 0),0)</f>
        <v>4.4884823848238484E-3</v>
      </c>
      <c r="P705" s="57">
        <f>IFERROR(Tabela3[[#This Row],[Perda Pçs]]/Tabela3[[#This Row],[Qdt Peça Placa]],0)</f>
        <v>0</v>
      </c>
      <c r="Q705" s="37">
        <f>IFERROR(Tabela3[[#This Row],[Realizado]]*Tabela3[[#This Row],[Peso Util/Pç]],0)</f>
        <v>54.448</v>
      </c>
      <c r="R705" s="37">
        <f>IFERROR(Tabela3[[#This Row],[Peso Total Galho]]*Tabela3[[#This Row],[Qtde Cx Produzida]]*1.055,0)</f>
        <v>99.486499999999992</v>
      </c>
      <c r="S705" s="37">
        <f>(Tabela3[[#This Row],[Aluminio Bruto]]-Tabela3[[#This Row],[Aluminio Util]])*0.9</f>
        <v>40.534649999999992</v>
      </c>
      <c r="T705" s="37">
        <f>Tabela3[[#This Row],[Aluminio Bruto]]/OleoKGAluminio</f>
        <v>41.853841915191346</v>
      </c>
      <c r="U705" s="35">
        <f>IFERROR((VLOOKUP(Tabela3[[#This Row],[Moldador]],Tabela1[],5,)+(VLOOKUP(Tabela3[[#This Row],[Ajudante]],Tabela1[],5,))*3.5),0)</f>
        <v>99.95034583333333</v>
      </c>
      <c r="V705" s="35">
        <f>IFERROR(Tabela3[[#This Row],[Custo M.O. / H]]/((Tabela3[[#This Row],[Realizado]]/Tabela3[[#This Row],[Qdt Peça Placa]])/Tabela3[[#This Row],[Tempo]]/24),)</f>
        <v>10.767008799119242</v>
      </c>
      <c r="W705" s="35">
        <f>Tabela3[[#This Row],[Custo / Cx Moldada]]*Tabela3[[#This Row],[Qtde Cx Produzida]]</f>
        <v>441.44736076388892</v>
      </c>
      <c r="X705" s="35">
        <f ca="1">Tabela3[[#This Row],[Aluminio Util]]*Tabela3[[#This Row],[Custo/Kg]]</f>
        <v>849.38880000000006</v>
      </c>
      <c r="Y705" s="35">
        <f>IFERROR(VLOOKUP(Tabela3[[#This Row],[Data]],Tabela461213[],2,1)*(Tabela3[[#This Row],[Qtde Cx Produzida]]*Tabela3[[#This Row],[Qde macho / CX]]*Tabela3[[#This Row],[Peso Macho]]),)</f>
        <v>0</v>
      </c>
      <c r="Z705" s="35">
        <f>IFERROR(Tabela3[[#This Row],[Qtde Oleo]]*(VLOOKUP(Tabela3[[#This Row],[Data]],CompraOleo[],3,TRUE))*1.05,0)</f>
        <v>109.86633502737729</v>
      </c>
      <c r="AA705" s="47">
        <f ca="1">(Tabela3[[#This Row],[Custo Oleo]]+Tabela3[[#This Row],[Custo Aluminio]]+Tabela3[[#This Row],[Custo M.O. Total]]+Tabela3[[#This Row],[Custo Machos]])</f>
        <v>1400.7024957912663</v>
      </c>
      <c r="AB705" s="47">
        <f ca="1">Tabela3[[#This Row],[Custo Total]]*Tabela3[[#This Row],[% Perda]]</f>
        <v>0</v>
      </c>
      <c r="AC705" s="48">
        <f>IFERROR(VLOOKUP(Tabela3[[#This Row],[Produto]],Tabela2[],2,0),0)</f>
        <v>4</v>
      </c>
      <c r="AD705" s="48">
        <f>IFERROR(VLOOKUP(Tabela3[[#This Row],[Produto]],Tabela2[],3,0),0)</f>
        <v>0.33200000000000002</v>
      </c>
      <c r="AE705" s="48">
        <f>IFERROR(VLOOKUP(Tabela3[[#This Row],[Produto]],Tabela2[],4,0),0)</f>
        <v>2.2999999999999998</v>
      </c>
      <c r="AF705" s="48">
        <f>IFERROR(VLOOKUP(Tabela3[[#This Row],[Produto]],Tabela2[],5,0),0)</f>
        <v>0.8747999999999998</v>
      </c>
      <c r="AG705" s="40">
        <f>IFERROR(VLOOKUP(Tabela3[[#This Row],[Produto]],Tabela2[],6,0),0)</f>
        <v>0</v>
      </c>
      <c r="AH705" s="40">
        <f>IFERROR(VLOOKUP(Tabela3[[#This Row],[Produto]],Tabela2[],7,0),0)</f>
        <v>0</v>
      </c>
      <c r="AI705" s="40">
        <f>IFERROR(VLOOKUP(Tabela3[[#This Row],[Produto]],Tabela2[],8,0),0)</f>
        <v>0</v>
      </c>
      <c r="AJ705" s="35">
        <f ca="1">IFERROR(VLOOKUP(Tabela3[[#This Row],[Produto]],Tabela2[],13,0),0)</f>
        <v>15.600000000000001</v>
      </c>
      <c r="AK705" s="40" t="str">
        <f>IFERROR(VLOOKUP(Tabela3[[#This Row],[Produto]],Tabela2[],14,0),0)</f>
        <v>Senun</v>
      </c>
      <c r="AL705" s="40">
        <f>IFERROR(VLOOKUP(Tabela3[[#This Row],[Produto]],Tabela2[],15,0),0)</f>
        <v>3.5</v>
      </c>
      <c r="AM705" s="36">
        <f ca="1">(Tabela3[[#This Row],[Custo Usinagem]]+Tabela3[[#This Row],[Custo / Pç]])*1.2</f>
        <v>14.449042652131215</v>
      </c>
      <c r="AN705" s="36">
        <f ca="1">Tabela3[[#This Row],[Valor Mínimo Venda]]*1.15</f>
        <v>16.616399049950896</v>
      </c>
      <c r="AO705" s="36">
        <f ca="1">Tabela3[[#This Row],[Tabela 1]]*1.08</f>
        <v>17.945710973946969</v>
      </c>
      <c r="AP705" s="36">
        <f ca="1">Tabela3[[#This Row],[Tabela 2]]*1.15</f>
        <v>20.637567620039015</v>
      </c>
    </row>
    <row r="706" spans="1:42">
      <c r="A706" s="9">
        <v>45931</v>
      </c>
      <c r="B706" s="6" t="s">
        <v>96</v>
      </c>
      <c r="C706" s="14">
        <v>8007</v>
      </c>
      <c r="D706" s="6" t="s">
        <v>44</v>
      </c>
      <c r="E706" s="6" t="s">
        <v>47</v>
      </c>
      <c r="F706" s="6">
        <v>28</v>
      </c>
      <c r="G706" s="15">
        <v>0.1701388888888889</v>
      </c>
      <c r="H706" s="16">
        <v>2</v>
      </c>
      <c r="I706" s="35">
        <f ca="1">IFERROR(Tabela3[[#This Row],[Custo Total]]/Tabela3[[#This Row],[Aluminio Util]],0)</f>
        <v>31.759032468008318</v>
      </c>
      <c r="J706" s="35">
        <f ca="1">Tabela3[[#This Row],[Custo Total]]/Tabela3[[#This Row],[Realizado]]</f>
        <v>28.074984701719352</v>
      </c>
      <c r="K706" s="37">
        <f>IFERROR(Tabela3[[#This Row],[Qtde Cx Produzida]]/Tabela3[[#This Row],[Tempo]]/24,0)</f>
        <v>6.8571428571428568</v>
      </c>
      <c r="L706" s="37">
        <f>Tabela3[[#This Row],[Qtde Cx Produzida]]*Tabela3[[#This Row],[Qdt Peça Placa]]</f>
        <v>84</v>
      </c>
      <c r="M706" s="37">
        <f>Tabela3[[#This Row],[Previsto]]-Tabela3[[#This Row],[Perda Pçs]]</f>
        <v>82</v>
      </c>
      <c r="N706" s="38">
        <f>IFERROR(Tabela3[[#This Row],[Perda Pçs]]/Tabela3[[#This Row],[Previsto]],0)</f>
        <v>2.3809523809523808E-2</v>
      </c>
      <c r="O706" s="39">
        <f>IFERROR(IF(Tabela3[[#This Row],[Qtde Cx Produzida]] &lt;&gt; 0, Tabela3[[#This Row],[Tempo]] / Tabela3[[#This Row],[Qtde Cx Produzida]], 0),0)</f>
        <v>6.076388888888889E-3</v>
      </c>
      <c r="P706" s="57">
        <f>IFERROR(Tabela3[[#This Row],[Perda Pçs]]/Tabela3[[#This Row],[Qdt Peça Placa]],0)</f>
        <v>0.66666666666666663</v>
      </c>
      <c r="Q706" s="37">
        <f>IFERROR(Tabela3[[#This Row],[Realizado]]*Tabela3[[#This Row],[Peso Util/Pç]],0)</f>
        <v>72.488</v>
      </c>
      <c r="R706" s="37">
        <f>IFERROR(Tabela3[[#This Row],[Peso Total Galho]]*Tabela3[[#This Row],[Qtde Cx Produzida]]*1.055,0)</f>
        <v>138.60167999999999</v>
      </c>
      <c r="S706" s="37">
        <f>(Tabela3[[#This Row],[Aluminio Bruto]]-Tabela3[[#This Row],[Aluminio Util]])*0.9</f>
        <v>59.502311999999989</v>
      </c>
      <c r="T706" s="37">
        <f>Tabela3[[#This Row],[Aluminio Bruto]]/OleoKGAluminio</f>
        <v>58.309547565749504</v>
      </c>
      <c r="U706" s="35">
        <f>IFERROR((VLOOKUP(Tabela3[[#This Row],[Moldador]],Tabela1[],5,)+(VLOOKUP(Tabela3[[#This Row],[Ajudante]],Tabela1[],5,))*3.5),0)</f>
        <v>99.95034583333333</v>
      </c>
      <c r="V706" s="35">
        <f>IFERROR(Tabela3[[#This Row],[Custo M.O. / H]]/((Tabela3[[#This Row],[Realizado]]/Tabela3[[#This Row],[Qdt Peça Placa]])/Tabela3[[#This Row],[Tempo]]/24),)</f>
        <v>14.931606542174798</v>
      </c>
      <c r="W706" s="35">
        <f>Tabela3[[#This Row],[Custo / Cx Moldada]]*Tabela3[[#This Row],[Qtde Cx Produzida]]</f>
        <v>418.08498318089437</v>
      </c>
      <c r="X706" s="35">
        <f ca="1">Tabela3[[#This Row],[Aluminio Util]]*Tabela3[[#This Row],[Custo/Kg]]</f>
        <v>1130.8128000000002</v>
      </c>
      <c r="Y706" s="35">
        <f>IFERROR(VLOOKUP(Tabela3[[#This Row],[Data]],Tabela461213[],2,1)*(Tabela3[[#This Row],[Qtde Cx Produzida]]*Tabela3[[#This Row],[Qde macho / CX]]*Tabela3[[#This Row],[Peso Macho]]),)</f>
        <v>600.1884</v>
      </c>
      <c r="Z706" s="35">
        <f>IFERROR(Tabela3[[#This Row],[Qtde Oleo]]*(VLOOKUP(Tabela3[[#This Row],[Data]],CompraOleo[],3,TRUE))*1.05,0)</f>
        <v>153.06256236009247</v>
      </c>
      <c r="AA706" s="47">
        <f ca="1">(Tabela3[[#This Row],[Custo Oleo]]+Tabela3[[#This Row],[Custo Aluminio]]+Tabela3[[#This Row],[Custo M.O. Total]]+Tabela3[[#This Row],[Custo Machos]])</f>
        <v>2302.148745540987</v>
      </c>
      <c r="AB706" s="47">
        <f ca="1">Tabela3[[#This Row],[Custo Total]]*Tabela3[[#This Row],[% Perda]]</f>
        <v>54.813065370023494</v>
      </c>
      <c r="AC706" s="48">
        <f>IFERROR(VLOOKUP(Tabela3[[#This Row],[Produto]],Tabela2[],2,0),0)</f>
        <v>3</v>
      </c>
      <c r="AD706" s="48">
        <f>IFERROR(VLOOKUP(Tabela3[[#This Row],[Produto]],Tabela2[],3,0),0)</f>
        <v>0.88400000000000001</v>
      </c>
      <c r="AE706" s="48">
        <f>IFERROR(VLOOKUP(Tabela3[[#This Row],[Produto]],Tabela2[],4,0),0)</f>
        <v>4.6920000000000002</v>
      </c>
      <c r="AF706" s="48">
        <f>IFERROR(VLOOKUP(Tabela3[[#This Row],[Produto]],Tabela2[],5,0),0)</f>
        <v>1.8360000000000001</v>
      </c>
      <c r="AG706" s="40">
        <f>IFERROR(VLOOKUP(Tabela3[[#This Row],[Produto]],Tabela2[],6,0),0)</f>
        <v>0</v>
      </c>
      <c r="AH706" s="40">
        <f>IFERROR(VLOOKUP(Tabela3[[#This Row],[Produto]],Tabela2[],7,0),0)</f>
        <v>9</v>
      </c>
      <c r="AI706" s="40">
        <f>IFERROR(VLOOKUP(Tabela3[[#This Row],[Produto]],Tabela2[],8,0),0)</f>
        <v>1.401</v>
      </c>
      <c r="AJ706" s="35">
        <f ca="1">IFERROR(VLOOKUP(Tabela3[[#This Row],[Produto]],Tabela2[],13,0),0)</f>
        <v>15.600000000000001</v>
      </c>
      <c r="AK706" s="40" t="str">
        <f>IFERROR(VLOOKUP(Tabela3[[#This Row],[Produto]],Tabela2[],14,0),0)</f>
        <v>Jumil</v>
      </c>
      <c r="AL706" s="40">
        <f>IFERROR(VLOOKUP(Tabela3[[#This Row],[Produto]],Tabela2[],15,0),0)</f>
        <v>10</v>
      </c>
      <c r="AM706" s="36">
        <f ca="1">(Tabela3[[#This Row],[Custo Usinagem]]+Tabela3[[#This Row],[Custo / Pç]])*1.2</f>
        <v>45.689981642063223</v>
      </c>
      <c r="AN706" s="36">
        <f ca="1">Tabela3[[#This Row],[Valor Mínimo Venda]]*1.15</f>
        <v>52.543478888372704</v>
      </c>
      <c r="AO706" s="36">
        <f ca="1">Tabela3[[#This Row],[Tabela 1]]*1.08</f>
        <v>56.746957199442527</v>
      </c>
      <c r="AP706" s="36">
        <f ca="1">Tabela3[[#This Row],[Tabela 2]]*1.15</f>
        <v>65.2590007793589</v>
      </c>
    </row>
    <row r="707" spans="1:42">
      <c r="A707" s="9">
        <v>45932</v>
      </c>
      <c r="B707" s="6" t="s">
        <v>247</v>
      </c>
      <c r="C707" s="14">
        <v>8059</v>
      </c>
      <c r="D707" s="6" t="s">
        <v>46</v>
      </c>
      <c r="E707" s="6" t="s">
        <v>326</v>
      </c>
      <c r="F707" s="6">
        <v>86</v>
      </c>
      <c r="G707" s="15">
        <v>0.44236111111111109</v>
      </c>
      <c r="H707" s="16">
        <v>200</v>
      </c>
      <c r="I707" s="35">
        <f ca="1">IFERROR(Tabela3[[#This Row],[Custo Total]]/Tabela3[[#This Row],[Aluminio Util]],0)</f>
        <v>79.613789578156357</v>
      </c>
      <c r="J707" s="35">
        <f ca="1">Tabela3[[#This Row],[Custo Total]]/Tabela3[[#This Row],[Realizado]]</f>
        <v>23.884136873446906</v>
      </c>
      <c r="K707" s="37">
        <f>IFERROR(Tabela3[[#This Row],[Qtde Cx Produzida]]/Tabela3[[#This Row],[Tempo]]/24,0)</f>
        <v>8.1004709576138154</v>
      </c>
      <c r="L707" s="37">
        <f>Tabela3[[#This Row],[Qtde Cx Produzida]]*Tabela3[[#This Row],[Qdt Peça Placa]]</f>
        <v>344</v>
      </c>
      <c r="M707" s="37">
        <f>Tabela3[[#This Row],[Previsto]]-Tabela3[[#This Row],[Perda Pçs]]</f>
        <v>144</v>
      </c>
      <c r="N707" s="38">
        <f>IFERROR(Tabela3[[#This Row],[Perda Pçs]]/Tabela3[[#This Row],[Previsto]],0)</f>
        <v>0.58139534883720934</v>
      </c>
      <c r="O707" s="39">
        <f>IFERROR(IF(Tabela3[[#This Row],[Qtde Cx Produzida]] &lt;&gt; 0, Tabela3[[#This Row],[Tempo]] / Tabela3[[#This Row],[Qtde Cx Produzida]], 0),0)</f>
        <v>5.143733850129199E-3</v>
      </c>
      <c r="P707" s="57">
        <f>IFERROR(Tabela3[[#This Row],[Perda Pçs]]/Tabela3[[#This Row],[Qdt Peça Placa]],0)</f>
        <v>50</v>
      </c>
      <c r="Q707" s="37">
        <f>IFERROR(Tabela3[[#This Row],[Realizado]]*Tabela3[[#This Row],[Peso Util/Pç]],0)</f>
        <v>43.199999999999996</v>
      </c>
      <c r="R707" s="37">
        <f>IFERROR(Tabela3[[#This Row],[Peso Total Galho]]*Tabela3[[#This Row],[Qtde Cx Produzida]]*1.055,0)</f>
        <v>208.67899999999997</v>
      </c>
      <c r="S707" s="37">
        <f>(Tabela3[[#This Row],[Aluminio Bruto]]-Tabela3[[#This Row],[Aluminio Util]])*0.9</f>
        <v>148.93109999999999</v>
      </c>
      <c r="T707" s="37">
        <f>Tabela3[[#This Row],[Aluminio Bruto]]/OleoKGAluminio</f>
        <v>87.790985480645261</v>
      </c>
      <c r="U707" s="35">
        <f>IFERROR((VLOOKUP(Tabela3[[#This Row],[Moldador]],Tabela1[],5,)+(VLOOKUP(Tabela3[[#This Row],[Ajudante]],Tabela1[],5,))*3.5),0)</f>
        <v>99.95034583333333</v>
      </c>
      <c r="V707" s="35">
        <f>IFERROR(Tabela3[[#This Row],[Custo M.O. / H]]/((Tabela3[[#This Row],[Realizado]]/Tabela3[[#This Row],[Qdt Peça Placa]])/Tabela3[[#This Row],[Tempo]]/24),)</f>
        <v>29.476097359182095</v>
      </c>
      <c r="W707" s="35">
        <f>Tabela3[[#This Row],[Custo / Cx Moldada]]*Tabela3[[#This Row],[Qtde Cx Produzida]]</f>
        <v>2534.9443728896604</v>
      </c>
      <c r="X707" s="35">
        <f ca="1">Tabela3[[#This Row],[Aluminio Util]]*Tabela3[[#This Row],[Custo/Kg]]</f>
        <v>673.92</v>
      </c>
      <c r="Y707" s="35">
        <f>IFERROR(VLOOKUP(Tabela3[[#This Row],[Data]],Tabela461213[],2,1)*(Tabela3[[#This Row],[Qtde Cx Produzida]]*Tabela3[[#This Row],[Qde macho / CX]]*Tabela3[[#This Row],[Peso Macho]]),)</f>
        <v>0</v>
      </c>
      <c r="Z707" s="35">
        <f>IFERROR(Tabela3[[#This Row],[Qtde Oleo]]*(VLOOKUP(Tabela3[[#This Row],[Data]],CompraOleo[],3,TRUE))*1.05,0)</f>
        <v>230.45133688669381</v>
      </c>
      <c r="AA707" s="47">
        <f ca="1">(Tabela3[[#This Row],[Custo Oleo]]+Tabela3[[#This Row],[Custo Aluminio]]+Tabela3[[#This Row],[Custo M.O. Total]]+Tabela3[[#This Row],[Custo Machos]])</f>
        <v>3439.3157097763542</v>
      </c>
      <c r="AB707" s="47">
        <f ca="1">Tabela3[[#This Row],[Custo Total]]*Tabela3[[#This Row],[% Perda]]</f>
        <v>1999.6021568467177</v>
      </c>
      <c r="AC707" s="48">
        <f>IFERROR(VLOOKUP(Tabela3[[#This Row],[Produto]],Tabela2[],2,0),0)</f>
        <v>4</v>
      </c>
      <c r="AD707" s="48">
        <f>IFERROR(VLOOKUP(Tabela3[[#This Row],[Produto]],Tabela2[],3,0),0)</f>
        <v>0.3</v>
      </c>
      <c r="AE707" s="48">
        <f>IFERROR(VLOOKUP(Tabela3[[#This Row],[Produto]],Tabela2[],4,0),0)</f>
        <v>2.2999999999999998</v>
      </c>
      <c r="AF707" s="48">
        <f>IFERROR(VLOOKUP(Tabela3[[#This Row],[Produto]],Tabela2[],5,0),0)</f>
        <v>0.98999999999999988</v>
      </c>
      <c r="AG707" s="40">
        <f>IFERROR(VLOOKUP(Tabela3[[#This Row],[Produto]],Tabela2[],6,0),0)</f>
        <v>0</v>
      </c>
      <c r="AH707" s="40">
        <f>IFERROR(VLOOKUP(Tabela3[[#This Row],[Produto]],Tabela2[],7,0),0)</f>
        <v>0</v>
      </c>
      <c r="AI707" s="40">
        <f>IFERROR(VLOOKUP(Tabela3[[#This Row],[Produto]],Tabela2[],8,0),0)</f>
        <v>0</v>
      </c>
      <c r="AJ707" s="35">
        <f ca="1">IFERROR(VLOOKUP(Tabela3[[#This Row],[Produto]],Tabela2[],13,0),0)</f>
        <v>15.600000000000001</v>
      </c>
      <c r="AK707" s="40" t="str">
        <f>IFERROR(VLOOKUP(Tabela3[[#This Row],[Produto]],Tabela2[],14,0),0)</f>
        <v>Senun</v>
      </c>
      <c r="AL707" s="40">
        <f>IFERROR(VLOOKUP(Tabela3[[#This Row],[Produto]],Tabela2[],15,0),0)</f>
        <v>3.5</v>
      </c>
      <c r="AM707" s="36">
        <f ca="1">(Tabela3[[#This Row],[Custo Usinagem]]+Tabela3[[#This Row],[Custo / Pç]])*1.2</f>
        <v>32.860964248136284</v>
      </c>
      <c r="AN707" s="36">
        <f ca="1">Tabela3[[#This Row],[Valor Mínimo Venda]]*1.15</f>
        <v>37.790108885356723</v>
      </c>
      <c r="AO707" s="36">
        <f ca="1">Tabela3[[#This Row],[Tabela 1]]*1.08</f>
        <v>40.813317596185264</v>
      </c>
      <c r="AP707" s="36">
        <f ca="1">Tabela3[[#This Row],[Tabela 2]]*1.15</f>
        <v>46.935315235613054</v>
      </c>
    </row>
    <row r="708" spans="1:42">
      <c r="A708" s="9">
        <v>45932</v>
      </c>
      <c r="B708" s="6" t="s">
        <v>170</v>
      </c>
      <c r="C708" s="14">
        <v>8093</v>
      </c>
      <c r="D708" s="6" t="s">
        <v>44</v>
      </c>
      <c r="E708" s="6" t="s">
        <v>47</v>
      </c>
      <c r="F708" s="6">
        <v>2</v>
      </c>
      <c r="G708" s="15">
        <v>8.0555555555555561E-2</v>
      </c>
      <c r="H708" s="16">
        <v>0</v>
      </c>
      <c r="I708" s="35">
        <f ca="1">IFERROR(Tabela3[[#This Row],[Custo Total]]/Tabela3[[#This Row],[Aluminio Util]],0)</f>
        <v>22.025716346029032</v>
      </c>
      <c r="J708" s="35">
        <f ca="1">Tabela3[[#This Row],[Custo Total]]/Tabela3[[#This Row],[Realizado]]</f>
        <v>669.58177691928256</v>
      </c>
      <c r="K708" s="37">
        <f>IFERROR(Tabela3[[#This Row],[Qtde Cx Produzida]]/Tabela3[[#This Row],[Tempo]]/24,0)</f>
        <v>1.0344827586206897</v>
      </c>
      <c r="L708" s="37">
        <f>Tabela3[[#This Row],[Qtde Cx Produzida]]*Tabela3[[#This Row],[Qdt Peça Placa]]</f>
        <v>2</v>
      </c>
      <c r="M708" s="37">
        <f>Tabela3[[#This Row],[Previsto]]-Tabela3[[#This Row],[Perda Pçs]]</f>
        <v>2</v>
      </c>
      <c r="N708" s="38">
        <f>IFERROR(Tabela3[[#This Row],[Perda Pçs]]/Tabela3[[#This Row],[Previsto]],0)</f>
        <v>0</v>
      </c>
      <c r="O708" s="39">
        <f>IFERROR(IF(Tabela3[[#This Row],[Qtde Cx Produzida]] &lt;&gt; 0, Tabela3[[#This Row],[Tempo]] / Tabela3[[#This Row],[Qtde Cx Produzida]], 0),0)</f>
        <v>4.027777777777778E-2</v>
      </c>
      <c r="P708" s="57">
        <f>IFERROR(Tabela3[[#This Row],[Perda Pçs]]/Tabela3[[#This Row],[Qdt Peça Placa]],0)</f>
        <v>0</v>
      </c>
      <c r="Q708" s="37">
        <f>IFERROR(Tabela3[[#This Row],[Realizado]]*Tabela3[[#This Row],[Peso Util/Pç]],0)</f>
        <v>60.8</v>
      </c>
      <c r="R708" s="37">
        <f>IFERROR(Tabela3[[#This Row],[Peso Total Galho]]*Tabela3[[#This Row],[Qtde Cx Produzida]]*1.055,0)</f>
        <v>68.680499999999995</v>
      </c>
      <c r="S708" s="37">
        <f>(Tabela3[[#This Row],[Aluminio Bruto]]-Tabela3[[#This Row],[Aluminio Util]])*0.9</f>
        <v>7.0924499999999986</v>
      </c>
      <c r="T708" s="37">
        <f>Tabela3[[#This Row],[Aluminio Bruto]]/OleoKGAluminio</f>
        <v>28.893797546966667</v>
      </c>
      <c r="U708" s="35">
        <f>IFERROR((VLOOKUP(Tabela3[[#This Row],[Moldador]],Tabela1[],5,)+(VLOOKUP(Tabela3[[#This Row],[Ajudante]],Tabela1[],5,))*3.5),0)</f>
        <v>99.95034583333333</v>
      </c>
      <c r="V708" s="35">
        <f>IFERROR(Tabela3[[#This Row],[Custo M.O. / H]]/((Tabela3[[#This Row],[Realizado]]/Tabela3[[#This Row],[Qdt Peça Placa]])/Tabela3[[#This Row],[Tempo]]/24),)</f>
        <v>96.61866763888888</v>
      </c>
      <c r="W708" s="35">
        <f>Tabela3[[#This Row],[Custo / Cx Moldada]]*Tabela3[[#This Row],[Qtde Cx Produzida]]</f>
        <v>193.23733527777776</v>
      </c>
      <c r="X708" s="35">
        <f ca="1">Tabela3[[#This Row],[Aluminio Util]]*Tabela3[[#This Row],[Custo/Kg]]</f>
        <v>1070.08</v>
      </c>
      <c r="Y708" s="35">
        <f>IFERROR(VLOOKUP(Tabela3[[#This Row],[Data]],Tabela461213[],2,1)*(Tabela3[[#This Row],[Qtde Cx Produzida]]*Tabela3[[#This Row],[Qde macho / CX]]*Tabela3[[#This Row],[Peso Macho]]),)</f>
        <v>0</v>
      </c>
      <c r="Z708" s="35">
        <f>IFERROR(Tabela3[[#This Row],[Qtde Oleo]]*(VLOOKUP(Tabela3[[#This Row],[Data]],CompraOleo[],3,TRUE))*1.05,0)</f>
        <v>75.846218560787491</v>
      </c>
      <c r="AA708" s="47">
        <f ca="1">(Tabela3[[#This Row],[Custo Oleo]]+Tabela3[[#This Row],[Custo Aluminio]]+Tabela3[[#This Row],[Custo M.O. Total]]+Tabela3[[#This Row],[Custo Machos]])</f>
        <v>1339.1635538385651</v>
      </c>
      <c r="AB708" s="47">
        <f ca="1">Tabela3[[#This Row],[Custo Total]]*Tabela3[[#This Row],[% Perda]]</f>
        <v>0</v>
      </c>
      <c r="AC708" s="48">
        <f>IFERROR(VLOOKUP(Tabela3[[#This Row],[Produto]],Tabela2[],2,0),0)</f>
        <v>1</v>
      </c>
      <c r="AD708" s="48">
        <f>IFERROR(VLOOKUP(Tabela3[[#This Row],[Produto]],Tabela2[],3,0),0)</f>
        <v>30.4</v>
      </c>
      <c r="AE708" s="48">
        <f>IFERROR(VLOOKUP(Tabela3[[#This Row],[Produto]],Tabela2[],4,0),0)</f>
        <v>32.549999999999997</v>
      </c>
      <c r="AF708" s="48">
        <f>IFERROR(VLOOKUP(Tabela3[[#This Row],[Produto]],Tabela2[],5,0),0)</f>
        <v>1.9349999999999987</v>
      </c>
      <c r="AG708" s="40">
        <f>IFERROR(VLOOKUP(Tabela3[[#This Row],[Produto]],Tabela2[],6,0),0)</f>
        <v>0</v>
      </c>
      <c r="AH708" s="40">
        <f>IFERROR(VLOOKUP(Tabela3[[#This Row],[Produto]],Tabela2[],7,0),0)</f>
        <v>0</v>
      </c>
      <c r="AI708" s="40">
        <f>IFERROR(VLOOKUP(Tabela3[[#This Row],[Produto]],Tabela2[],8,0),0)</f>
        <v>0</v>
      </c>
      <c r="AJ708" s="35">
        <f ca="1">IFERROR(VLOOKUP(Tabela3[[#This Row],[Produto]],Tabela2[],13,0),0)</f>
        <v>17.600000000000001</v>
      </c>
      <c r="AK708" s="40" t="str">
        <f>IFERROR(VLOOKUP(Tabela3[[#This Row],[Produto]],Tabela2[],14,0),0)</f>
        <v>Oscar</v>
      </c>
      <c r="AL708" s="40">
        <f>IFERROR(VLOOKUP(Tabela3[[#This Row],[Produto]],Tabela2[],15,0),0)</f>
        <v>0</v>
      </c>
      <c r="AM708" s="36">
        <f ca="1">(Tabela3[[#This Row],[Custo Usinagem]]+Tabela3[[#This Row],[Custo / Pç]])*1.2</f>
        <v>803.49813230313907</v>
      </c>
      <c r="AN708" s="36">
        <f ca="1">Tabela3[[#This Row],[Valor Mínimo Venda]]*1.15</f>
        <v>924.0228521486099</v>
      </c>
      <c r="AO708" s="36">
        <f ca="1">Tabela3[[#This Row],[Tabela 1]]*1.08</f>
        <v>997.94468032049872</v>
      </c>
      <c r="AP708" s="36">
        <f ca="1">Tabela3[[#This Row],[Tabela 2]]*1.15</f>
        <v>1147.6363823685735</v>
      </c>
    </row>
    <row r="709" spans="1:42">
      <c r="A709" s="9">
        <v>45932</v>
      </c>
      <c r="B709" s="6" t="s">
        <v>96</v>
      </c>
      <c r="C709" s="14">
        <v>8007</v>
      </c>
      <c r="D709" s="6" t="s">
        <v>44</v>
      </c>
      <c r="E709" s="6" t="s">
        <v>47</v>
      </c>
      <c r="F709" s="6">
        <v>12</v>
      </c>
      <c r="G709" s="15">
        <v>6.3194444444444442E-2</v>
      </c>
      <c r="H709" s="16">
        <v>0</v>
      </c>
      <c r="I709" s="35">
        <f ca="1">IFERROR(Tabela3[[#This Row],[Custo Total]]/Tabela3[[#This Row],[Aluminio Util]],0)</f>
        <v>30.50740318183416</v>
      </c>
      <c r="J709" s="35">
        <f ca="1">Tabela3[[#This Row],[Custo Total]]/Tabela3[[#This Row],[Realizado]]</f>
        <v>26.968544412741398</v>
      </c>
      <c r="K709" s="37">
        <f>IFERROR(Tabela3[[#This Row],[Qtde Cx Produzida]]/Tabela3[[#This Row],[Tempo]]/24,0)</f>
        <v>7.9120879120879124</v>
      </c>
      <c r="L709" s="37">
        <f>Tabela3[[#This Row],[Qtde Cx Produzida]]*Tabela3[[#This Row],[Qdt Peça Placa]]</f>
        <v>36</v>
      </c>
      <c r="M709" s="37">
        <f>Tabela3[[#This Row],[Previsto]]-Tabela3[[#This Row],[Perda Pçs]]</f>
        <v>36</v>
      </c>
      <c r="N709" s="38">
        <f>IFERROR(Tabela3[[#This Row],[Perda Pçs]]/Tabela3[[#This Row],[Previsto]],0)</f>
        <v>0</v>
      </c>
      <c r="O709" s="39">
        <f>IFERROR(IF(Tabela3[[#This Row],[Qtde Cx Produzida]] &lt;&gt; 0, Tabela3[[#This Row],[Tempo]] / Tabela3[[#This Row],[Qtde Cx Produzida]], 0),0)</f>
        <v>5.2662037037037035E-3</v>
      </c>
      <c r="P709" s="57">
        <f>IFERROR(Tabela3[[#This Row],[Perda Pçs]]/Tabela3[[#This Row],[Qdt Peça Placa]],0)</f>
        <v>0</v>
      </c>
      <c r="Q709" s="37">
        <f>IFERROR(Tabela3[[#This Row],[Realizado]]*Tabela3[[#This Row],[Peso Util/Pç]],0)</f>
        <v>31.824000000000002</v>
      </c>
      <c r="R709" s="37">
        <f>IFERROR(Tabela3[[#This Row],[Peso Total Galho]]*Tabela3[[#This Row],[Qtde Cx Produzida]]*1.055,0)</f>
        <v>59.40072</v>
      </c>
      <c r="S709" s="37">
        <f>(Tabela3[[#This Row],[Aluminio Bruto]]-Tabela3[[#This Row],[Aluminio Util]])*0.9</f>
        <v>24.819047999999999</v>
      </c>
      <c r="T709" s="37">
        <f>Tabela3[[#This Row],[Aluminio Bruto]]/OleoKGAluminio</f>
        <v>24.98980609960693</v>
      </c>
      <c r="U709" s="35">
        <f>IFERROR((VLOOKUP(Tabela3[[#This Row],[Moldador]],Tabela1[],5,)+(VLOOKUP(Tabela3[[#This Row],[Ajudante]],Tabela1[],5,))*3.5),0)</f>
        <v>99.95034583333333</v>
      </c>
      <c r="V709" s="35">
        <f>IFERROR(Tabela3[[#This Row],[Custo M.O. / H]]/((Tabela3[[#This Row],[Realizado]]/Tabela3[[#This Row],[Qdt Peça Placa]])/Tabela3[[#This Row],[Tempo]]/24),)</f>
        <v>12.632613153935184</v>
      </c>
      <c r="W709" s="35">
        <f>Tabela3[[#This Row],[Custo / Cx Moldada]]*Tabela3[[#This Row],[Qtde Cx Produzida]]</f>
        <v>151.59135784722221</v>
      </c>
      <c r="X709" s="35">
        <f ca="1">Tabela3[[#This Row],[Aluminio Util]]*Tabela3[[#This Row],[Custo/Kg]]</f>
        <v>496.45440000000008</v>
      </c>
      <c r="Y709" s="35">
        <f>IFERROR(VLOOKUP(Tabela3[[#This Row],[Data]],Tabela461213[],2,1)*(Tabela3[[#This Row],[Qtde Cx Produzida]]*Tabela3[[#This Row],[Qde macho / CX]]*Tabela3[[#This Row],[Peso Macho]]),)</f>
        <v>257.22359999999998</v>
      </c>
      <c r="Z709" s="35">
        <f>IFERROR(Tabela3[[#This Row],[Qtde Oleo]]*(VLOOKUP(Tabela3[[#This Row],[Data]],CompraOleo[],3,TRUE))*1.05,0)</f>
        <v>65.598241011468204</v>
      </c>
      <c r="AA709" s="47">
        <f ca="1">(Tabela3[[#This Row],[Custo Oleo]]+Tabela3[[#This Row],[Custo Aluminio]]+Tabela3[[#This Row],[Custo M.O. Total]]+Tabela3[[#This Row],[Custo Machos]])</f>
        <v>970.86759885869037</v>
      </c>
      <c r="AB709" s="47">
        <f ca="1">Tabela3[[#This Row],[Custo Total]]*Tabela3[[#This Row],[% Perda]]</f>
        <v>0</v>
      </c>
      <c r="AC709" s="48">
        <f>IFERROR(VLOOKUP(Tabela3[[#This Row],[Produto]],Tabela2[],2,0),0)</f>
        <v>3</v>
      </c>
      <c r="AD709" s="48">
        <f>IFERROR(VLOOKUP(Tabela3[[#This Row],[Produto]],Tabela2[],3,0),0)</f>
        <v>0.88400000000000001</v>
      </c>
      <c r="AE709" s="48">
        <f>IFERROR(VLOOKUP(Tabela3[[#This Row],[Produto]],Tabela2[],4,0),0)</f>
        <v>4.6920000000000002</v>
      </c>
      <c r="AF709" s="48">
        <f>IFERROR(VLOOKUP(Tabela3[[#This Row],[Produto]],Tabela2[],5,0),0)</f>
        <v>1.8360000000000001</v>
      </c>
      <c r="AG709" s="40">
        <f>IFERROR(VLOOKUP(Tabela3[[#This Row],[Produto]],Tabela2[],6,0),0)</f>
        <v>0</v>
      </c>
      <c r="AH709" s="40">
        <f>IFERROR(VLOOKUP(Tabela3[[#This Row],[Produto]],Tabela2[],7,0),0)</f>
        <v>9</v>
      </c>
      <c r="AI709" s="40">
        <f>IFERROR(VLOOKUP(Tabela3[[#This Row],[Produto]],Tabela2[],8,0),0)</f>
        <v>1.401</v>
      </c>
      <c r="AJ709" s="35">
        <f ca="1">IFERROR(VLOOKUP(Tabela3[[#This Row],[Produto]],Tabela2[],13,0),0)</f>
        <v>15.600000000000001</v>
      </c>
      <c r="AK709" s="40" t="str">
        <f>IFERROR(VLOOKUP(Tabela3[[#This Row],[Produto]],Tabela2[],14,0),0)</f>
        <v>Jumil</v>
      </c>
      <c r="AL709" s="40">
        <f>IFERROR(VLOOKUP(Tabela3[[#This Row],[Produto]],Tabela2[],15,0),0)</f>
        <v>10</v>
      </c>
      <c r="AM709" s="36">
        <f ca="1">(Tabela3[[#This Row],[Custo Usinagem]]+Tabela3[[#This Row],[Custo / Pç]])*1.2</f>
        <v>44.362253295289669</v>
      </c>
      <c r="AN709" s="36">
        <f ca="1">Tabela3[[#This Row],[Valor Mínimo Venda]]*1.15</f>
        <v>51.016591289583118</v>
      </c>
      <c r="AO709" s="36">
        <f ca="1">Tabela3[[#This Row],[Tabela 1]]*1.08</f>
        <v>55.097918592749771</v>
      </c>
      <c r="AP709" s="36">
        <f ca="1">Tabela3[[#This Row],[Tabela 2]]*1.15</f>
        <v>63.362606381662232</v>
      </c>
    </row>
    <row r="710" spans="1:42">
      <c r="A710" s="9">
        <v>45932</v>
      </c>
      <c r="B710" s="6" t="s">
        <v>229</v>
      </c>
      <c r="C710" s="14">
        <v>8018</v>
      </c>
      <c r="D710" s="6" t="s">
        <v>44</v>
      </c>
      <c r="E710" s="6" t="s">
        <v>47</v>
      </c>
      <c r="F710" s="6">
        <v>20</v>
      </c>
      <c r="G710" s="15">
        <v>9.583333333333334E-2</v>
      </c>
      <c r="H710" s="16">
        <v>5</v>
      </c>
      <c r="I710" s="35">
        <f ca="1">IFERROR(Tabela3[[#This Row],[Custo Total]]/Tabela3[[#This Row],[Aluminio Util]],0)</f>
        <v>24.963096247139248</v>
      </c>
      <c r="J710" s="35">
        <f ca="1">Tabela3[[#This Row],[Custo Total]]/Tabela3[[#This Row],[Realizado]]</f>
        <v>69.597112337024228</v>
      </c>
      <c r="K710" s="37">
        <f>IFERROR(Tabela3[[#This Row],[Qtde Cx Produzida]]/Tabela3[[#This Row],[Tempo]]/24,0)</f>
        <v>8.695652173913043</v>
      </c>
      <c r="L710" s="37">
        <f>Tabela3[[#This Row],[Qtde Cx Produzida]]*Tabela3[[#This Row],[Qdt Peça Placa]]</f>
        <v>20</v>
      </c>
      <c r="M710" s="37">
        <f>Tabela3[[#This Row],[Previsto]]-Tabela3[[#This Row],[Perda Pçs]]</f>
        <v>15</v>
      </c>
      <c r="N710" s="38">
        <f>IFERROR(Tabela3[[#This Row],[Perda Pçs]]/Tabela3[[#This Row],[Previsto]],0)</f>
        <v>0.25</v>
      </c>
      <c r="O710" s="39">
        <f>IFERROR(IF(Tabela3[[#This Row],[Qtde Cx Produzida]] &lt;&gt; 0, Tabela3[[#This Row],[Tempo]] / Tabela3[[#This Row],[Qtde Cx Produzida]], 0),0)</f>
        <v>4.7916666666666672E-3</v>
      </c>
      <c r="P710" s="57">
        <f>IFERROR(Tabela3[[#This Row],[Perda Pçs]]/Tabela3[[#This Row],[Qdt Peça Placa]],0)</f>
        <v>5</v>
      </c>
      <c r="Q710" s="37">
        <f>IFERROR(Tabela3[[#This Row],[Realizado]]*Tabela3[[#This Row],[Peso Util/Pç]],0)</f>
        <v>41.82</v>
      </c>
      <c r="R710" s="37">
        <f>IFERROR(Tabela3[[#This Row],[Peso Total Galho]]*Tabela3[[#This Row],[Qtde Cx Produzida]]*1.055,0)</f>
        <v>77.015000000000001</v>
      </c>
      <c r="S710" s="37">
        <f>(Tabela3[[#This Row],[Aluminio Bruto]]-Tabela3[[#This Row],[Aluminio Util]])*0.9</f>
        <v>31.6755</v>
      </c>
      <c r="T710" s="37">
        <f>Tabela3[[#This Row],[Aluminio Bruto]]/OleoKGAluminio</f>
        <v>32.400110920561701</v>
      </c>
      <c r="U710" s="35">
        <f>IFERROR((VLOOKUP(Tabela3[[#This Row],[Moldador]],Tabela1[],5,)+(VLOOKUP(Tabela3[[#This Row],[Ajudante]],Tabela1[],5,))*3.5),0)</f>
        <v>99.95034583333333</v>
      </c>
      <c r="V710" s="35">
        <f>IFERROR(Tabela3[[#This Row],[Custo M.O. / H]]/((Tabela3[[#This Row],[Realizado]]/Tabela3[[#This Row],[Qdt Peça Placa]])/Tabela3[[#This Row],[Tempo]]/24),)</f>
        <v>15.325719694444444</v>
      </c>
      <c r="W710" s="35">
        <f>Tabela3[[#This Row],[Custo / Cx Moldada]]*Tabela3[[#This Row],[Qtde Cx Produzida]]</f>
        <v>306.51439388888889</v>
      </c>
      <c r="X710" s="35">
        <f ca="1">Tabela3[[#This Row],[Aluminio Util]]*Tabela3[[#This Row],[Custo/Kg]]</f>
        <v>652.39200000000005</v>
      </c>
      <c r="Y710" s="35">
        <f>IFERROR(VLOOKUP(Tabela3[[#This Row],[Data]],Tabela461213[],2,1)*(Tabela3[[#This Row],[Qtde Cx Produzida]]*Tabela3[[#This Row],[Qde macho / CX]]*Tabela3[[#This Row],[Peso Macho]]),)</f>
        <v>0</v>
      </c>
      <c r="Z710" s="35">
        <f>IFERROR(Tabela3[[#This Row],[Qtde Oleo]]*(VLOOKUP(Tabela3[[#This Row],[Data]],CompraOleo[],3,TRUE))*1.05,0)</f>
        <v>85.050291166474466</v>
      </c>
      <c r="AA710" s="47">
        <f ca="1">(Tabela3[[#This Row],[Custo Oleo]]+Tabela3[[#This Row],[Custo Aluminio]]+Tabela3[[#This Row],[Custo M.O. Total]]+Tabela3[[#This Row],[Custo Machos]])</f>
        <v>1043.9566850553633</v>
      </c>
      <c r="AB710" s="47">
        <f ca="1">Tabela3[[#This Row],[Custo Total]]*Tabela3[[#This Row],[% Perda]]</f>
        <v>260.98917126384083</v>
      </c>
      <c r="AC710" s="48">
        <f>IFERROR(VLOOKUP(Tabela3[[#This Row],[Produto]],Tabela2[],2,0),0)</f>
        <v>1</v>
      </c>
      <c r="AD710" s="48">
        <f>IFERROR(VLOOKUP(Tabela3[[#This Row],[Produto]],Tabela2[],3,0),0)</f>
        <v>2.7879999999999998</v>
      </c>
      <c r="AE710" s="48">
        <f>IFERROR(VLOOKUP(Tabela3[[#This Row],[Produto]],Tabela2[],4,0),0)</f>
        <v>3.65</v>
      </c>
      <c r="AF710" s="48">
        <f>IFERROR(VLOOKUP(Tabela3[[#This Row],[Produto]],Tabela2[],5,0),0)</f>
        <v>0.77580000000000016</v>
      </c>
      <c r="AG710" s="40">
        <f>IFERROR(VLOOKUP(Tabela3[[#This Row],[Produto]],Tabela2[],6,0),0)</f>
        <v>0</v>
      </c>
      <c r="AH710" s="40">
        <f>IFERROR(VLOOKUP(Tabela3[[#This Row],[Produto]],Tabela2[],7,0),0)</f>
        <v>0</v>
      </c>
      <c r="AI710" s="40">
        <f>IFERROR(VLOOKUP(Tabela3[[#This Row],[Produto]],Tabela2[],8,0),0)</f>
        <v>0</v>
      </c>
      <c r="AJ710" s="35">
        <f ca="1">IFERROR(VLOOKUP(Tabela3[[#This Row],[Produto]],Tabela2[],13,0),0)</f>
        <v>15.600000000000001</v>
      </c>
      <c r="AK710" s="40" t="str">
        <f>IFERROR(VLOOKUP(Tabela3[[#This Row],[Produto]],Tabela2[],14,0),0)</f>
        <v>Jumil</v>
      </c>
      <c r="AL710" s="40">
        <f>IFERROR(VLOOKUP(Tabela3[[#This Row],[Produto]],Tabela2[],15,0),0)</f>
        <v>35</v>
      </c>
      <c r="AM710" s="36">
        <f ca="1">(Tabela3[[#This Row],[Custo Usinagem]]+Tabela3[[#This Row],[Custo / Pç]])*1.2</f>
        <v>125.51653480442907</v>
      </c>
      <c r="AN710" s="36">
        <f ca="1">Tabela3[[#This Row],[Valor Mínimo Venda]]*1.15</f>
        <v>144.34401502509343</v>
      </c>
      <c r="AO710" s="36">
        <f ca="1">Tabela3[[#This Row],[Tabela 1]]*1.08</f>
        <v>155.89153622710091</v>
      </c>
      <c r="AP710" s="36">
        <f ca="1">Tabela3[[#This Row],[Tabela 2]]*1.15</f>
        <v>179.27526666116603</v>
      </c>
    </row>
    <row r="711" spans="1:42">
      <c r="A711" s="9">
        <v>45932</v>
      </c>
      <c r="B711" s="6" t="s">
        <v>245</v>
      </c>
      <c r="C711" s="14">
        <v>8058</v>
      </c>
      <c r="D711" s="6" t="s">
        <v>44</v>
      </c>
      <c r="E711" s="6" t="s">
        <v>47</v>
      </c>
      <c r="F711" s="6">
        <v>20</v>
      </c>
      <c r="G711" s="15">
        <v>0.10069444444444445</v>
      </c>
      <c r="H711" s="16">
        <v>0</v>
      </c>
      <c r="I711" s="35">
        <f ca="1">IFERROR(Tabela3[[#This Row],[Custo Total]]/Tabela3[[#This Row],[Aluminio Util]],0)</f>
        <v>26.712198917805665</v>
      </c>
      <c r="J711" s="35">
        <f ca="1">Tabela3[[#This Row],[Custo Total]]/Tabela3[[#This Row],[Realizado]]</f>
        <v>8.8684500407114815</v>
      </c>
      <c r="K711" s="37">
        <f>IFERROR(Tabela3[[#This Row],[Qtde Cx Produzida]]/Tabela3[[#This Row],[Tempo]]/24,0)</f>
        <v>8.2758620689655178</v>
      </c>
      <c r="L711" s="37">
        <f>Tabela3[[#This Row],[Qtde Cx Produzida]]*Tabela3[[#This Row],[Qdt Peça Placa]]</f>
        <v>80</v>
      </c>
      <c r="M711" s="37">
        <f>Tabela3[[#This Row],[Previsto]]-Tabela3[[#This Row],[Perda Pçs]]</f>
        <v>80</v>
      </c>
      <c r="N711" s="38">
        <f>IFERROR(Tabela3[[#This Row],[Perda Pçs]]/Tabela3[[#This Row],[Previsto]],0)</f>
        <v>0</v>
      </c>
      <c r="O711" s="39">
        <f>IFERROR(IF(Tabela3[[#This Row],[Qtde Cx Produzida]] &lt;&gt; 0, Tabela3[[#This Row],[Tempo]] / Tabela3[[#This Row],[Qtde Cx Produzida]], 0),0)</f>
        <v>5.0347222222222225E-3</v>
      </c>
      <c r="P711" s="57">
        <f>IFERROR(Tabela3[[#This Row],[Perda Pçs]]/Tabela3[[#This Row],[Qdt Peça Placa]],0)</f>
        <v>0</v>
      </c>
      <c r="Q711" s="37">
        <f>IFERROR(Tabela3[[#This Row],[Realizado]]*Tabela3[[#This Row],[Peso Util/Pç]],0)</f>
        <v>26.560000000000002</v>
      </c>
      <c r="R711" s="37">
        <f>IFERROR(Tabela3[[#This Row],[Peso Total Galho]]*Tabela3[[#This Row],[Qtde Cx Produzida]]*1.055,0)</f>
        <v>48.529999999999994</v>
      </c>
      <c r="S711" s="37">
        <f>(Tabela3[[#This Row],[Aluminio Bruto]]-Tabela3[[#This Row],[Aluminio Util]])*0.9</f>
        <v>19.772999999999993</v>
      </c>
      <c r="T711" s="37">
        <f>Tabela3[[#This Row],[Aluminio Bruto]]/OleoKGAluminio</f>
        <v>20.416508251312848</v>
      </c>
      <c r="U711" s="35">
        <f>IFERROR((VLOOKUP(Tabela3[[#This Row],[Moldador]],Tabela1[],5,)+(VLOOKUP(Tabela3[[#This Row],[Ajudante]],Tabela1[],5,))*3.5),0)</f>
        <v>99.95034583333333</v>
      </c>
      <c r="V711" s="35">
        <f>IFERROR(Tabela3[[#This Row],[Custo M.O. / H]]/((Tabela3[[#This Row],[Realizado]]/Tabela3[[#This Row],[Qdt Peça Placa]])/Tabela3[[#This Row],[Tempo]]/24),)</f>
        <v>12.07733345486111</v>
      </c>
      <c r="W711" s="35">
        <f>Tabela3[[#This Row],[Custo / Cx Moldada]]*Tabela3[[#This Row],[Qtde Cx Produzida]]</f>
        <v>241.54666909722221</v>
      </c>
      <c r="X711" s="35">
        <f ca="1">Tabela3[[#This Row],[Aluminio Util]]*Tabela3[[#This Row],[Custo/Kg]]</f>
        <v>414.33600000000007</v>
      </c>
      <c r="Y711" s="35">
        <f>IFERROR(VLOOKUP(Tabela3[[#This Row],[Data]],Tabela461213[],2,1)*(Tabela3[[#This Row],[Qtde Cx Produzida]]*Tabela3[[#This Row],[Qde macho / CX]]*Tabela3[[#This Row],[Peso Macho]]),)</f>
        <v>0</v>
      </c>
      <c r="Z711" s="35">
        <f>IFERROR(Tabela3[[#This Row],[Qtde Oleo]]*(VLOOKUP(Tabela3[[#This Row],[Data]],CompraOleo[],3,TRUE))*1.05,0)</f>
        <v>53.593334159696226</v>
      </c>
      <c r="AA711" s="47">
        <f ca="1">(Tabela3[[#This Row],[Custo Oleo]]+Tabela3[[#This Row],[Custo Aluminio]]+Tabela3[[#This Row],[Custo M.O. Total]]+Tabela3[[#This Row],[Custo Machos]])</f>
        <v>709.47600325691849</v>
      </c>
      <c r="AB711" s="47">
        <f ca="1">Tabela3[[#This Row],[Custo Total]]*Tabela3[[#This Row],[% Perda]]</f>
        <v>0</v>
      </c>
      <c r="AC711" s="48">
        <f>IFERROR(VLOOKUP(Tabela3[[#This Row],[Produto]],Tabela2[],2,0),0)</f>
        <v>4</v>
      </c>
      <c r="AD711" s="48">
        <f>IFERROR(VLOOKUP(Tabela3[[#This Row],[Produto]],Tabela2[],3,0),0)</f>
        <v>0.33200000000000002</v>
      </c>
      <c r="AE711" s="48">
        <f>IFERROR(VLOOKUP(Tabela3[[#This Row],[Produto]],Tabela2[],4,0),0)</f>
        <v>2.2999999999999998</v>
      </c>
      <c r="AF711" s="48">
        <f>IFERROR(VLOOKUP(Tabela3[[#This Row],[Produto]],Tabela2[],5,0),0)</f>
        <v>0.8747999999999998</v>
      </c>
      <c r="AG711" s="40">
        <f>IFERROR(VLOOKUP(Tabela3[[#This Row],[Produto]],Tabela2[],6,0),0)</f>
        <v>0</v>
      </c>
      <c r="AH711" s="40">
        <f>IFERROR(VLOOKUP(Tabela3[[#This Row],[Produto]],Tabela2[],7,0),0)</f>
        <v>0</v>
      </c>
      <c r="AI711" s="40">
        <f>IFERROR(VLOOKUP(Tabela3[[#This Row],[Produto]],Tabela2[],8,0),0)</f>
        <v>0</v>
      </c>
      <c r="AJ711" s="35">
        <f ca="1">IFERROR(VLOOKUP(Tabela3[[#This Row],[Produto]],Tabela2[],13,0),0)</f>
        <v>15.600000000000001</v>
      </c>
      <c r="AK711" s="40" t="str">
        <f>IFERROR(VLOOKUP(Tabela3[[#This Row],[Produto]],Tabela2[],14,0),0)</f>
        <v>Senun</v>
      </c>
      <c r="AL711" s="40">
        <f>IFERROR(VLOOKUP(Tabela3[[#This Row],[Produto]],Tabela2[],15,0),0)</f>
        <v>3.5</v>
      </c>
      <c r="AM711" s="36">
        <f ca="1">(Tabela3[[#This Row],[Custo Usinagem]]+Tabela3[[#This Row],[Custo / Pç]])*1.2</f>
        <v>14.842140048853777</v>
      </c>
      <c r="AN711" s="36">
        <f ca="1">Tabela3[[#This Row],[Valor Mínimo Venda]]*1.15</f>
        <v>17.068461056181842</v>
      </c>
      <c r="AO711" s="36">
        <f ca="1">Tabela3[[#This Row],[Tabela 1]]*1.08</f>
        <v>18.43393794067639</v>
      </c>
      <c r="AP711" s="36">
        <f ca="1">Tabela3[[#This Row],[Tabela 2]]*1.15</f>
        <v>21.199028631777846</v>
      </c>
    </row>
    <row r="712" spans="1:42">
      <c r="A712" s="9">
        <v>45932</v>
      </c>
      <c r="B712" s="6" t="s">
        <v>169</v>
      </c>
      <c r="C712" s="14">
        <v>8092</v>
      </c>
      <c r="D712" s="6" t="s">
        <v>44</v>
      </c>
      <c r="E712" s="6" t="s">
        <v>47</v>
      </c>
      <c r="F712" s="6">
        <v>3</v>
      </c>
      <c r="G712" s="15">
        <v>4.1666666666666664E-2</v>
      </c>
      <c r="H712" s="16">
        <v>0</v>
      </c>
      <c r="I712" s="35">
        <f ca="1">IFERROR(Tabela3[[#This Row],[Custo Total]]/Tabela3[[#This Row],[Aluminio Util]],0)</f>
        <v>20.573632957966986</v>
      </c>
      <c r="J712" s="35">
        <f ca="1">Tabela3[[#This Row],[Custo Total]]/Tabela3[[#This Row],[Realizado]]</f>
        <v>411.47265915933968</v>
      </c>
      <c r="K712" s="37">
        <f>IFERROR(Tabela3[[#This Row],[Qtde Cx Produzida]]/Tabela3[[#This Row],[Tempo]]/24,0)</f>
        <v>3</v>
      </c>
      <c r="L712" s="37">
        <f>Tabela3[[#This Row],[Qtde Cx Produzida]]*Tabela3[[#This Row],[Qdt Peça Placa]]</f>
        <v>3</v>
      </c>
      <c r="M712" s="37">
        <f>Tabela3[[#This Row],[Previsto]]-Tabela3[[#This Row],[Perda Pçs]]</f>
        <v>3</v>
      </c>
      <c r="N712" s="38">
        <f>IFERROR(Tabela3[[#This Row],[Perda Pçs]]/Tabela3[[#This Row],[Previsto]],0)</f>
        <v>0</v>
      </c>
      <c r="O712" s="39">
        <f>IFERROR(IF(Tabela3[[#This Row],[Qtde Cx Produzida]] &lt;&gt; 0, Tabela3[[#This Row],[Tempo]] / Tabela3[[#This Row],[Qtde Cx Produzida]], 0),0)</f>
        <v>1.3888888888888888E-2</v>
      </c>
      <c r="P712" s="57">
        <f>IFERROR(Tabela3[[#This Row],[Perda Pçs]]/Tabela3[[#This Row],[Qdt Peça Placa]],0)</f>
        <v>0</v>
      </c>
      <c r="Q712" s="37">
        <f>IFERROR(Tabela3[[#This Row],[Realizado]]*Tabela3[[#This Row],[Peso Util/Pç]],0)</f>
        <v>60</v>
      </c>
      <c r="R712" s="37">
        <f>IFERROR(Tabela3[[#This Row],[Peso Total Galho]]*Tabela3[[#This Row],[Qtde Cx Produzida]]*1.055,0)</f>
        <v>71.054249999999996</v>
      </c>
      <c r="S712" s="37">
        <f>(Tabela3[[#This Row],[Aluminio Bruto]]-Tabela3[[#This Row],[Aluminio Util]])*0.9</f>
        <v>9.9488249999999976</v>
      </c>
      <c r="T712" s="37">
        <f>Tabela3[[#This Row],[Aluminio Bruto]]/OleoKGAluminio</f>
        <v>29.892431102737405</v>
      </c>
      <c r="U712" s="35">
        <f>IFERROR((VLOOKUP(Tabela3[[#This Row],[Moldador]],Tabela1[],5,)+(VLOOKUP(Tabela3[[#This Row],[Ajudante]],Tabela1[],5,))*3.5),0)</f>
        <v>99.95034583333333</v>
      </c>
      <c r="V712" s="35">
        <f>IFERROR(Tabela3[[#This Row],[Custo M.O. / H]]/((Tabela3[[#This Row],[Realizado]]/Tabela3[[#This Row],[Qdt Peça Placa]])/Tabela3[[#This Row],[Tempo]]/24),)</f>
        <v>33.316781944444443</v>
      </c>
      <c r="W712" s="35">
        <f>Tabela3[[#This Row],[Custo / Cx Moldada]]*Tabela3[[#This Row],[Qtde Cx Produzida]]</f>
        <v>99.95034583333333</v>
      </c>
      <c r="X712" s="35">
        <f ca="1">Tabela3[[#This Row],[Aluminio Util]]*Tabela3[[#This Row],[Custo/Kg]]</f>
        <v>1056</v>
      </c>
      <c r="Y712" s="35">
        <f>IFERROR(VLOOKUP(Tabela3[[#This Row],[Data]],Tabela461213[],2,1)*(Tabela3[[#This Row],[Qtde Cx Produzida]]*Tabela3[[#This Row],[Qde macho / CX]]*Tabela3[[#This Row],[Peso Macho]]),)</f>
        <v>0</v>
      </c>
      <c r="Z712" s="35">
        <f>IFERROR(Tabela3[[#This Row],[Qtde Oleo]]*(VLOOKUP(Tabela3[[#This Row],[Data]],CompraOleo[],3,TRUE))*1.05,0)</f>
        <v>78.467631644685696</v>
      </c>
      <c r="AA712" s="47">
        <f ca="1">(Tabela3[[#This Row],[Custo Oleo]]+Tabela3[[#This Row],[Custo Aluminio]]+Tabela3[[#This Row],[Custo M.O. Total]]+Tabela3[[#This Row],[Custo Machos]])</f>
        <v>1234.4179774780191</v>
      </c>
      <c r="AB712" s="47">
        <f ca="1">Tabela3[[#This Row],[Custo Total]]*Tabela3[[#This Row],[% Perda]]</f>
        <v>0</v>
      </c>
      <c r="AC712" s="48">
        <f>IFERROR(VLOOKUP(Tabela3[[#This Row],[Produto]],Tabela2[],2,0),0)</f>
        <v>1</v>
      </c>
      <c r="AD712" s="48">
        <f>IFERROR(VLOOKUP(Tabela3[[#This Row],[Produto]],Tabela2[],3,0),0)</f>
        <v>20</v>
      </c>
      <c r="AE712" s="48">
        <f>IFERROR(VLOOKUP(Tabela3[[#This Row],[Produto]],Tabela2[],4,0),0)</f>
        <v>22.45</v>
      </c>
      <c r="AF712" s="48">
        <f>IFERROR(VLOOKUP(Tabela3[[#This Row],[Produto]],Tabela2[],5,0),0)</f>
        <v>2.2049999999999996</v>
      </c>
      <c r="AG712" s="40">
        <f>IFERROR(VLOOKUP(Tabela3[[#This Row],[Produto]],Tabela2[],6,0),0)</f>
        <v>0</v>
      </c>
      <c r="AH712" s="40">
        <f>IFERROR(VLOOKUP(Tabela3[[#This Row],[Produto]],Tabela2[],7,0),0)</f>
        <v>0</v>
      </c>
      <c r="AI712" s="40">
        <f>IFERROR(VLOOKUP(Tabela3[[#This Row],[Produto]],Tabela2[],8,0),0)</f>
        <v>0</v>
      </c>
      <c r="AJ712" s="35">
        <f ca="1">IFERROR(VLOOKUP(Tabela3[[#This Row],[Produto]],Tabela2[],13,0),0)</f>
        <v>17.600000000000001</v>
      </c>
      <c r="AK712" s="40" t="str">
        <f>IFERROR(VLOOKUP(Tabela3[[#This Row],[Produto]],Tabela2[],14,0),0)</f>
        <v>Oscar</v>
      </c>
      <c r="AL712" s="40">
        <f>IFERROR(VLOOKUP(Tabela3[[#This Row],[Produto]],Tabela2[],15,0),0)</f>
        <v>0</v>
      </c>
      <c r="AM712" s="36">
        <f ca="1">(Tabela3[[#This Row],[Custo Usinagem]]+Tabela3[[#This Row],[Custo / Pç]])*1.2</f>
        <v>493.7671909912076</v>
      </c>
      <c r="AN712" s="36">
        <f ca="1">Tabela3[[#This Row],[Valor Mínimo Venda]]*1.15</f>
        <v>567.83226963988875</v>
      </c>
      <c r="AO712" s="36">
        <f ca="1">Tabela3[[#This Row],[Tabela 1]]*1.08</f>
        <v>613.2588512110799</v>
      </c>
      <c r="AP712" s="36">
        <f ca="1">Tabela3[[#This Row],[Tabela 2]]*1.15</f>
        <v>705.24767889274187</v>
      </c>
    </row>
    <row r="713" spans="1:42">
      <c r="A713" s="9">
        <v>45933</v>
      </c>
      <c r="B713" s="6" t="s">
        <v>247</v>
      </c>
      <c r="C713" s="14">
        <v>8059</v>
      </c>
      <c r="D713" s="6" t="s">
        <v>46</v>
      </c>
      <c r="E713" s="6" t="s">
        <v>326</v>
      </c>
      <c r="F713" s="6">
        <v>80</v>
      </c>
      <c r="G713" s="15">
        <v>0.35902777777777778</v>
      </c>
      <c r="H713" s="16">
        <v>0</v>
      </c>
      <c r="I713" s="35">
        <f ca="1">IFERROR(Tabela3[[#This Row],[Custo Total]]/Tabela3[[#This Row],[Aluminio Util]],0)</f>
        <v>26.804293228152854</v>
      </c>
      <c r="J713" s="35">
        <f ca="1">Tabela3[[#This Row],[Custo Total]]/Tabela3[[#This Row],[Realizado]]</f>
        <v>8.0412879684458556</v>
      </c>
      <c r="K713" s="37">
        <f>IFERROR(Tabela3[[#This Row],[Qtde Cx Produzida]]/Tabela3[[#This Row],[Tempo]]/24,0)</f>
        <v>9.2843326885880071</v>
      </c>
      <c r="L713" s="37">
        <f>Tabela3[[#This Row],[Qtde Cx Produzida]]*Tabela3[[#This Row],[Qdt Peça Placa]]</f>
        <v>320</v>
      </c>
      <c r="M713" s="37">
        <f>Tabela3[[#This Row],[Previsto]]-Tabela3[[#This Row],[Perda Pçs]]</f>
        <v>320</v>
      </c>
      <c r="N713" s="38">
        <f>IFERROR(Tabela3[[#This Row],[Perda Pçs]]/Tabela3[[#This Row],[Previsto]],0)</f>
        <v>0</v>
      </c>
      <c r="O713" s="39">
        <f>IFERROR(IF(Tabela3[[#This Row],[Qtde Cx Produzida]] &lt;&gt; 0, Tabela3[[#This Row],[Tempo]] / Tabela3[[#This Row],[Qtde Cx Produzida]], 0),0)</f>
        <v>4.4878472222222221E-3</v>
      </c>
      <c r="P713" s="57">
        <f>IFERROR(Tabela3[[#This Row],[Perda Pçs]]/Tabela3[[#This Row],[Qdt Peça Placa]],0)</f>
        <v>0</v>
      </c>
      <c r="Q713" s="37">
        <f>IFERROR(Tabela3[[#This Row],[Realizado]]*Tabela3[[#This Row],[Peso Util/Pç]],0)</f>
        <v>96</v>
      </c>
      <c r="R713" s="37">
        <f>IFERROR(Tabela3[[#This Row],[Peso Total Galho]]*Tabela3[[#This Row],[Qtde Cx Produzida]]*1.055,0)</f>
        <v>194.11999999999998</v>
      </c>
      <c r="S713" s="37">
        <f>(Tabela3[[#This Row],[Aluminio Bruto]]-Tabela3[[#This Row],[Aluminio Util]])*0.9</f>
        <v>88.307999999999979</v>
      </c>
      <c r="T713" s="37">
        <f>Tabela3[[#This Row],[Aluminio Bruto]]/OleoKGAluminio</f>
        <v>81.666033005251393</v>
      </c>
      <c r="U713" s="35">
        <f>IFERROR((VLOOKUP(Tabela3[[#This Row],[Moldador]],Tabela1[],5,)+(VLOOKUP(Tabela3[[#This Row],[Ajudante]],Tabela1[],5,))*3.5),0)</f>
        <v>99.95034583333333</v>
      </c>
      <c r="V713" s="35">
        <f>IFERROR(Tabela3[[#This Row],[Custo M.O. / H]]/((Tabela3[[#This Row],[Realizado]]/Tabela3[[#This Row],[Qdt Peça Placa]])/Tabela3[[#This Row],[Tempo]]/24),)</f>
        <v>10.765485165798612</v>
      </c>
      <c r="W713" s="35">
        <f>Tabela3[[#This Row],[Custo / Cx Moldada]]*Tabela3[[#This Row],[Qtde Cx Produzida]]</f>
        <v>861.23881326388891</v>
      </c>
      <c r="X713" s="35">
        <f ca="1">Tabela3[[#This Row],[Aluminio Util]]*Tabela3[[#This Row],[Custo/Kg]]</f>
        <v>1497.6000000000001</v>
      </c>
      <c r="Y713" s="35">
        <f>IFERROR(VLOOKUP(Tabela3[[#This Row],[Data]],Tabela461213[],2,1)*(Tabela3[[#This Row],[Qtde Cx Produzida]]*Tabela3[[#This Row],[Qde macho / CX]]*Tabela3[[#This Row],[Peso Macho]]),)</f>
        <v>0</v>
      </c>
      <c r="Z713" s="35">
        <f>IFERROR(Tabela3[[#This Row],[Qtde Oleo]]*(VLOOKUP(Tabela3[[#This Row],[Data]],CompraOleo[],3,TRUE))*1.05,0)</f>
        <v>214.37333663878491</v>
      </c>
      <c r="AA713" s="47">
        <f ca="1">(Tabela3[[#This Row],[Custo Oleo]]+Tabela3[[#This Row],[Custo Aluminio]]+Tabela3[[#This Row],[Custo M.O. Total]]+Tabela3[[#This Row],[Custo Machos]])</f>
        <v>2573.2121499026739</v>
      </c>
      <c r="AB713" s="47">
        <f ca="1">Tabela3[[#This Row],[Custo Total]]*Tabela3[[#This Row],[% Perda]]</f>
        <v>0</v>
      </c>
      <c r="AC713" s="48">
        <f>IFERROR(VLOOKUP(Tabela3[[#This Row],[Produto]],Tabela2[],2,0),0)</f>
        <v>4</v>
      </c>
      <c r="AD713" s="48">
        <f>IFERROR(VLOOKUP(Tabela3[[#This Row],[Produto]],Tabela2[],3,0),0)</f>
        <v>0.3</v>
      </c>
      <c r="AE713" s="48">
        <f>IFERROR(VLOOKUP(Tabela3[[#This Row],[Produto]],Tabela2[],4,0),0)</f>
        <v>2.2999999999999998</v>
      </c>
      <c r="AF713" s="48">
        <f>IFERROR(VLOOKUP(Tabela3[[#This Row],[Produto]],Tabela2[],5,0),0)</f>
        <v>0.98999999999999988</v>
      </c>
      <c r="AG713" s="40">
        <f>IFERROR(VLOOKUP(Tabela3[[#This Row],[Produto]],Tabela2[],6,0),0)</f>
        <v>0</v>
      </c>
      <c r="AH713" s="40">
        <f>IFERROR(VLOOKUP(Tabela3[[#This Row],[Produto]],Tabela2[],7,0),0)</f>
        <v>0</v>
      </c>
      <c r="AI713" s="40">
        <f>IFERROR(VLOOKUP(Tabela3[[#This Row],[Produto]],Tabela2[],8,0),0)</f>
        <v>0</v>
      </c>
      <c r="AJ713" s="35">
        <f ca="1">IFERROR(VLOOKUP(Tabela3[[#This Row],[Produto]],Tabela2[],13,0),0)</f>
        <v>15.600000000000001</v>
      </c>
      <c r="AK713" s="40" t="str">
        <f>IFERROR(VLOOKUP(Tabela3[[#This Row],[Produto]],Tabela2[],14,0),0)</f>
        <v>Senun</v>
      </c>
      <c r="AL713" s="40">
        <f>IFERROR(VLOOKUP(Tabela3[[#This Row],[Produto]],Tabela2[],15,0),0)</f>
        <v>3.5</v>
      </c>
      <c r="AM713" s="36">
        <f ca="1">(Tabela3[[#This Row],[Custo Usinagem]]+Tabela3[[#This Row],[Custo / Pç]])*1.2</f>
        <v>13.849545562135026</v>
      </c>
      <c r="AN713" s="36">
        <f ca="1">Tabela3[[#This Row],[Valor Mínimo Venda]]*1.15</f>
        <v>15.926977396455278</v>
      </c>
      <c r="AO713" s="36">
        <f ca="1">Tabela3[[#This Row],[Tabela 1]]*1.08</f>
        <v>17.201135588171702</v>
      </c>
      <c r="AP713" s="36">
        <f ca="1">Tabela3[[#This Row],[Tabela 2]]*1.15</f>
        <v>19.781305926397454</v>
      </c>
    </row>
    <row r="714" spans="1:42">
      <c r="A714" s="9">
        <v>45933</v>
      </c>
      <c r="B714" s="6" t="s">
        <v>245</v>
      </c>
      <c r="C714" s="14">
        <v>8058</v>
      </c>
      <c r="D714" s="6" t="s">
        <v>44</v>
      </c>
      <c r="E714" s="6" t="s">
        <v>47</v>
      </c>
      <c r="F714" s="6">
        <v>77</v>
      </c>
      <c r="G714" s="15">
        <v>0.3611111111111111</v>
      </c>
      <c r="H714" s="16">
        <v>0</v>
      </c>
      <c r="I714" s="35">
        <f ca="1">IFERROR(Tabela3[[#This Row],[Custo Total]]/Tabela3[[#This Row],[Aluminio Util]],0)</f>
        <v>26.089073179768292</v>
      </c>
      <c r="J714" s="35">
        <f ca="1">Tabela3[[#This Row],[Custo Total]]/Tabela3[[#This Row],[Realizado]]</f>
        <v>8.6615722956830723</v>
      </c>
      <c r="K714" s="37">
        <f>IFERROR(Tabela3[[#This Row],[Qtde Cx Produzida]]/Tabela3[[#This Row],[Tempo]]/24,0)</f>
        <v>8.884615384615385</v>
      </c>
      <c r="L714" s="37">
        <f>Tabela3[[#This Row],[Qtde Cx Produzida]]*Tabela3[[#This Row],[Qdt Peça Placa]]</f>
        <v>308</v>
      </c>
      <c r="M714" s="37">
        <f>Tabela3[[#This Row],[Previsto]]-Tabela3[[#This Row],[Perda Pçs]]</f>
        <v>308</v>
      </c>
      <c r="N714" s="38">
        <f>IFERROR(Tabela3[[#This Row],[Perda Pçs]]/Tabela3[[#This Row],[Previsto]],0)</f>
        <v>0</v>
      </c>
      <c r="O714" s="39">
        <f>IFERROR(IF(Tabela3[[#This Row],[Qtde Cx Produzida]] &lt;&gt; 0, Tabela3[[#This Row],[Tempo]] / Tabela3[[#This Row],[Qtde Cx Produzida]], 0),0)</f>
        <v>4.68975468975469E-3</v>
      </c>
      <c r="P714" s="57">
        <f>IFERROR(Tabela3[[#This Row],[Perda Pçs]]/Tabela3[[#This Row],[Qdt Peça Placa]],0)</f>
        <v>0</v>
      </c>
      <c r="Q714" s="37">
        <f>IFERROR(Tabela3[[#This Row],[Realizado]]*Tabela3[[#This Row],[Peso Util/Pç]],0)</f>
        <v>102.256</v>
      </c>
      <c r="R714" s="37">
        <f>IFERROR(Tabela3[[#This Row],[Peso Total Galho]]*Tabela3[[#This Row],[Qtde Cx Produzida]]*1.055,0)</f>
        <v>186.84049999999999</v>
      </c>
      <c r="S714" s="37">
        <f>(Tabela3[[#This Row],[Aluminio Bruto]]-Tabela3[[#This Row],[Aluminio Util]])*0.9</f>
        <v>76.126049999999992</v>
      </c>
      <c r="T714" s="37">
        <f>Tabela3[[#This Row],[Aluminio Bruto]]/OleoKGAluminio</f>
        <v>78.60355676755448</v>
      </c>
      <c r="U714" s="35">
        <f>IFERROR((VLOOKUP(Tabela3[[#This Row],[Moldador]],Tabela1[],5,)+(VLOOKUP(Tabela3[[#This Row],[Ajudante]],Tabela1[],5,))*3.5),0)</f>
        <v>99.95034583333333</v>
      </c>
      <c r="V714" s="35">
        <f>IFERROR(Tabela3[[#This Row],[Custo M.O. / H]]/((Tabela3[[#This Row],[Realizado]]/Tabela3[[#This Row],[Qdt Peça Placa]])/Tabela3[[#This Row],[Tempo]]/24),)</f>
        <v>11.249822474747473</v>
      </c>
      <c r="W714" s="35">
        <f>Tabela3[[#This Row],[Custo / Cx Moldada]]*Tabela3[[#This Row],[Qtde Cx Produzida]]</f>
        <v>866.23633055555547</v>
      </c>
      <c r="X714" s="35">
        <f ca="1">Tabela3[[#This Row],[Aluminio Util]]*Tabela3[[#This Row],[Custo/Kg]]</f>
        <v>1595.1936000000001</v>
      </c>
      <c r="Y714" s="35">
        <f>IFERROR(VLOOKUP(Tabela3[[#This Row],[Data]],Tabela461213[],2,1)*(Tabela3[[#This Row],[Qtde Cx Produzida]]*Tabela3[[#This Row],[Qde macho / CX]]*Tabela3[[#This Row],[Peso Macho]]),)</f>
        <v>0</v>
      </c>
      <c r="Z714" s="35">
        <f>IFERROR(Tabela3[[#This Row],[Qtde Oleo]]*(VLOOKUP(Tabela3[[#This Row],[Data]],CompraOleo[],3,TRUE))*1.05,0)</f>
        <v>206.33433651483054</v>
      </c>
      <c r="AA714" s="47">
        <f ca="1">(Tabela3[[#This Row],[Custo Oleo]]+Tabela3[[#This Row],[Custo Aluminio]]+Tabela3[[#This Row],[Custo M.O. Total]]+Tabela3[[#This Row],[Custo Machos]])</f>
        <v>2667.7642670703863</v>
      </c>
      <c r="AB714" s="47">
        <f ca="1">Tabela3[[#This Row],[Custo Total]]*Tabela3[[#This Row],[% Perda]]</f>
        <v>0</v>
      </c>
      <c r="AC714" s="48">
        <f>IFERROR(VLOOKUP(Tabela3[[#This Row],[Produto]],Tabela2[],2,0),0)</f>
        <v>4</v>
      </c>
      <c r="AD714" s="48">
        <f>IFERROR(VLOOKUP(Tabela3[[#This Row],[Produto]],Tabela2[],3,0),0)</f>
        <v>0.33200000000000002</v>
      </c>
      <c r="AE714" s="48">
        <f>IFERROR(VLOOKUP(Tabela3[[#This Row],[Produto]],Tabela2[],4,0),0)</f>
        <v>2.2999999999999998</v>
      </c>
      <c r="AF714" s="48">
        <f>IFERROR(VLOOKUP(Tabela3[[#This Row],[Produto]],Tabela2[],5,0),0)</f>
        <v>0.8747999999999998</v>
      </c>
      <c r="AG714" s="40">
        <f>IFERROR(VLOOKUP(Tabela3[[#This Row],[Produto]],Tabela2[],6,0),0)</f>
        <v>0</v>
      </c>
      <c r="AH714" s="40">
        <f>IFERROR(VLOOKUP(Tabela3[[#This Row],[Produto]],Tabela2[],7,0),0)</f>
        <v>0</v>
      </c>
      <c r="AI714" s="40">
        <f>IFERROR(VLOOKUP(Tabela3[[#This Row],[Produto]],Tabela2[],8,0),0)</f>
        <v>0</v>
      </c>
      <c r="AJ714" s="35">
        <f ca="1">IFERROR(VLOOKUP(Tabela3[[#This Row],[Produto]],Tabela2[],13,0),0)</f>
        <v>15.600000000000001</v>
      </c>
      <c r="AK714" s="40" t="str">
        <f>IFERROR(VLOOKUP(Tabela3[[#This Row],[Produto]],Tabela2[],14,0),0)</f>
        <v>Senun</v>
      </c>
      <c r="AL714" s="40">
        <f>IFERROR(VLOOKUP(Tabela3[[#This Row],[Produto]],Tabela2[],15,0),0)</f>
        <v>3.5</v>
      </c>
      <c r="AM714" s="36">
        <f ca="1">(Tabela3[[#This Row],[Custo Usinagem]]+Tabela3[[#This Row],[Custo / Pç]])*1.2</f>
        <v>14.593886754819685</v>
      </c>
      <c r="AN714" s="36">
        <f ca="1">Tabela3[[#This Row],[Valor Mínimo Venda]]*1.15</f>
        <v>16.782969768042637</v>
      </c>
      <c r="AO714" s="36">
        <f ca="1">Tabela3[[#This Row],[Tabela 1]]*1.08</f>
        <v>18.125607349486049</v>
      </c>
      <c r="AP714" s="36">
        <f ca="1">Tabela3[[#This Row],[Tabela 2]]*1.15</f>
        <v>20.844448451908956</v>
      </c>
    </row>
    <row r="715" spans="1:42">
      <c r="A715" s="9">
        <v>45936</v>
      </c>
      <c r="B715" s="6" t="s">
        <v>247</v>
      </c>
      <c r="C715" s="14">
        <v>8059</v>
      </c>
      <c r="D715" s="6" t="s">
        <v>46</v>
      </c>
      <c r="E715" s="6" t="s">
        <v>326</v>
      </c>
      <c r="F715" s="6">
        <v>80</v>
      </c>
      <c r="G715" s="15">
        <v>0.35833333333333334</v>
      </c>
      <c r="H715" s="16">
        <v>0</v>
      </c>
      <c r="I715" s="35">
        <f ca="1">IFERROR(Tabela3[[#This Row],[Custo Total]]/Tabela3[[#This Row],[Aluminio Util]],0)</f>
        <v>26.78694073755679</v>
      </c>
      <c r="J715" s="35">
        <f ca="1">Tabela3[[#This Row],[Custo Total]]/Tabela3[[#This Row],[Realizado]]</f>
        <v>8.0360822212670371</v>
      </c>
      <c r="K715" s="37">
        <f>IFERROR(Tabela3[[#This Row],[Qtde Cx Produzida]]/Tabela3[[#This Row],[Tempo]]/24,0)</f>
        <v>9.3023255813953494</v>
      </c>
      <c r="L715" s="37">
        <f>Tabela3[[#This Row],[Qtde Cx Produzida]]*Tabela3[[#This Row],[Qdt Peça Placa]]</f>
        <v>320</v>
      </c>
      <c r="M715" s="37">
        <f>Tabela3[[#This Row],[Previsto]]-Tabela3[[#This Row],[Perda Pçs]]</f>
        <v>320</v>
      </c>
      <c r="N715" s="38">
        <f>IFERROR(Tabela3[[#This Row],[Perda Pçs]]/Tabela3[[#This Row],[Previsto]],0)</f>
        <v>0</v>
      </c>
      <c r="O715" s="39">
        <f>IFERROR(IF(Tabela3[[#This Row],[Qtde Cx Produzida]] &lt;&gt; 0, Tabela3[[#This Row],[Tempo]] / Tabela3[[#This Row],[Qtde Cx Produzida]], 0),0)</f>
        <v>4.4791666666666669E-3</v>
      </c>
      <c r="P715" s="57">
        <f>IFERROR(Tabela3[[#This Row],[Perda Pçs]]/Tabela3[[#This Row],[Qdt Peça Placa]],0)</f>
        <v>0</v>
      </c>
      <c r="Q715" s="37">
        <f>IFERROR(Tabela3[[#This Row],[Realizado]]*Tabela3[[#This Row],[Peso Util/Pç]],0)</f>
        <v>96</v>
      </c>
      <c r="R715" s="37">
        <f>IFERROR(Tabela3[[#This Row],[Peso Total Galho]]*Tabela3[[#This Row],[Qtde Cx Produzida]]*1.055,0)</f>
        <v>194.11999999999998</v>
      </c>
      <c r="S715" s="37">
        <f>(Tabela3[[#This Row],[Aluminio Bruto]]-Tabela3[[#This Row],[Aluminio Util]])*0.9</f>
        <v>88.307999999999979</v>
      </c>
      <c r="T715" s="37">
        <f>Tabela3[[#This Row],[Aluminio Bruto]]/OleoKGAluminio</f>
        <v>81.666033005251393</v>
      </c>
      <c r="U715" s="35">
        <f>IFERROR((VLOOKUP(Tabela3[[#This Row],[Moldador]],Tabela1[],5,)+(VLOOKUP(Tabela3[[#This Row],[Ajudante]],Tabela1[],5,))*3.5),0)</f>
        <v>99.95034583333333</v>
      </c>
      <c r="V715" s="35">
        <f>IFERROR(Tabela3[[#This Row],[Custo M.O. / H]]/((Tabela3[[#This Row],[Realizado]]/Tabela3[[#This Row],[Qdt Peça Placa]])/Tabela3[[#This Row],[Tempo]]/24),)</f>
        <v>10.744662177083333</v>
      </c>
      <c r="W715" s="35">
        <f>Tabela3[[#This Row],[Custo / Cx Moldada]]*Tabela3[[#This Row],[Qtde Cx Produzida]]</f>
        <v>859.57297416666665</v>
      </c>
      <c r="X715" s="35">
        <f ca="1">Tabela3[[#This Row],[Aluminio Util]]*Tabela3[[#This Row],[Custo/Kg]]</f>
        <v>1497.6000000000001</v>
      </c>
      <c r="Y715" s="35">
        <f>IFERROR(VLOOKUP(Tabela3[[#This Row],[Data]],Tabela461213[],2,1)*(Tabela3[[#This Row],[Qtde Cx Produzida]]*Tabela3[[#This Row],[Qde macho / CX]]*Tabela3[[#This Row],[Peso Macho]]),)</f>
        <v>0</v>
      </c>
      <c r="Z715" s="35">
        <f>IFERROR(Tabela3[[#This Row],[Qtde Oleo]]*(VLOOKUP(Tabela3[[#This Row],[Data]],CompraOleo[],3,TRUE))*1.05,0)</f>
        <v>214.37333663878491</v>
      </c>
      <c r="AA715" s="47">
        <f ca="1">(Tabela3[[#This Row],[Custo Oleo]]+Tabela3[[#This Row],[Custo Aluminio]]+Tabela3[[#This Row],[Custo M.O. Total]]+Tabela3[[#This Row],[Custo Machos]])</f>
        <v>2571.5463108054519</v>
      </c>
      <c r="AB715" s="47">
        <f ca="1">Tabela3[[#This Row],[Custo Total]]*Tabela3[[#This Row],[% Perda]]</f>
        <v>0</v>
      </c>
      <c r="AC715" s="48">
        <f>IFERROR(VLOOKUP(Tabela3[[#This Row],[Produto]],Tabela2[],2,0),0)</f>
        <v>4</v>
      </c>
      <c r="AD715" s="48">
        <f>IFERROR(VLOOKUP(Tabela3[[#This Row],[Produto]],Tabela2[],3,0),0)</f>
        <v>0.3</v>
      </c>
      <c r="AE715" s="48">
        <f>IFERROR(VLOOKUP(Tabela3[[#This Row],[Produto]],Tabela2[],4,0),0)</f>
        <v>2.2999999999999998</v>
      </c>
      <c r="AF715" s="48">
        <f>IFERROR(VLOOKUP(Tabela3[[#This Row],[Produto]],Tabela2[],5,0),0)</f>
        <v>0.98999999999999988</v>
      </c>
      <c r="AG715" s="40">
        <f>IFERROR(VLOOKUP(Tabela3[[#This Row],[Produto]],Tabela2[],6,0),0)</f>
        <v>0</v>
      </c>
      <c r="AH715" s="40">
        <f>IFERROR(VLOOKUP(Tabela3[[#This Row],[Produto]],Tabela2[],7,0),0)</f>
        <v>0</v>
      </c>
      <c r="AI715" s="40">
        <f>IFERROR(VLOOKUP(Tabela3[[#This Row],[Produto]],Tabela2[],8,0),0)</f>
        <v>0</v>
      </c>
      <c r="AJ715" s="35">
        <f ca="1">IFERROR(VLOOKUP(Tabela3[[#This Row],[Produto]],Tabela2[],13,0),0)</f>
        <v>15.600000000000001</v>
      </c>
      <c r="AK715" s="40" t="str">
        <f>IFERROR(VLOOKUP(Tabela3[[#This Row],[Produto]],Tabela2[],14,0),0)</f>
        <v>Senun</v>
      </c>
      <c r="AL715" s="40">
        <f>IFERROR(VLOOKUP(Tabela3[[#This Row],[Produto]],Tabela2[],15,0),0)</f>
        <v>3.5</v>
      </c>
      <c r="AM715" s="36">
        <f ca="1">(Tabela3[[#This Row],[Custo Usinagem]]+Tabela3[[#This Row],[Custo / Pç]])*1.2</f>
        <v>13.843298665520445</v>
      </c>
      <c r="AN715" s="36">
        <f ca="1">Tabela3[[#This Row],[Valor Mínimo Venda]]*1.15</f>
        <v>15.91979346534851</v>
      </c>
      <c r="AO715" s="36">
        <f ca="1">Tabela3[[#This Row],[Tabela 1]]*1.08</f>
        <v>17.193376942576393</v>
      </c>
      <c r="AP715" s="36">
        <f ca="1">Tabela3[[#This Row],[Tabela 2]]*1.15</f>
        <v>19.772383483962852</v>
      </c>
    </row>
    <row r="716" spans="1:42">
      <c r="A716" s="9">
        <v>45936</v>
      </c>
      <c r="B716" s="6" t="s">
        <v>245</v>
      </c>
      <c r="C716" s="14">
        <v>8058</v>
      </c>
      <c r="D716" s="6" t="s">
        <v>44</v>
      </c>
      <c r="E716" s="6" t="s">
        <v>47</v>
      </c>
      <c r="F716" s="6">
        <v>80</v>
      </c>
      <c r="G716" s="15">
        <v>0.35972222222222222</v>
      </c>
      <c r="H716" s="16">
        <v>277</v>
      </c>
      <c r="I716" s="35">
        <f ca="1">IFERROR(Tabela3[[#This Row],[Custo Total]]/Tabela3[[#This Row],[Aluminio Util]],0)</f>
        <v>480.43534282781201</v>
      </c>
      <c r="J716" s="35">
        <f ca="1">Tabela3[[#This Row],[Custo Total]]/Tabela3[[#This Row],[Realizado]]</f>
        <v>159.50453381883361</v>
      </c>
      <c r="K716" s="37">
        <f>IFERROR(Tabela3[[#This Row],[Qtde Cx Produzida]]/Tabela3[[#This Row],[Tempo]]/24,0)</f>
        <v>9.2664092664092674</v>
      </c>
      <c r="L716" s="37">
        <f>Tabela3[[#This Row],[Qtde Cx Produzida]]*Tabela3[[#This Row],[Qdt Peça Placa]]</f>
        <v>320</v>
      </c>
      <c r="M716" s="37">
        <f>Tabela3[[#This Row],[Previsto]]-Tabela3[[#This Row],[Perda Pçs]]</f>
        <v>43</v>
      </c>
      <c r="N716" s="38">
        <f>IFERROR(Tabela3[[#This Row],[Perda Pçs]]/Tabela3[[#This Row],[Previsto]],0)</f>
        <v>0.86562499999999998</v>
      </c>
      <c r="O716" s="39">
        <f>IFERROR(IF(Tabela3[[#This Row],[Qtde Cx Produzida]] &lt;&gt; 0, Tabela3[[#This Row],[Tempo]] / Tabela3[[#This Row],[Qtde Cx Produzida]], 0),0)</f>
        <v>4.4965277777777781E-3</v>
      </c>
      <c r="P716" s="57">
        <f>IFERROR(Tabela3[[#This Row],[Perda Pçs]]/Tabela3[[#This Row],[Qdt Peça Placa]],0)</f>
        <v>69.25</v>
      </c>
      <c r="Q716" s="37">
        <f>IFERROR(Tabela3[[#This Row],[Realizado]]*Tabela3[[#This Row],[Peso Util/Pç]],0)</f>
        <v>14.276000000000002</v>
      </c>
      <c r="R716" s="37">
        <f>IFERROR(Tabela3[[#This Row],[Peso Total Galho]]*Tabela3[[#This Row],[Qtde Cx Produzida]]*1.055,0)</f>
        <v>194.11999999999998</v>
      </c>
      <c r="S716" s="37">
        <f>(Tabela3[[#This Row],[Aluminio Bruto]]-Tabela3[[#This Row],[Aluminio Util]])*0.9</f>
        <v>161.85959999999997</v>
      </c>
      <c r="T716" s="37">
        <f>Tabela3[[#This Row],[Aluminio Bruto]]/OleoKGAluminio</f>
        <v>81.666033005251393</v>
      </c>
      <c r="U716" s="35">
        <f>IFERROR((VLOOKUP(Tabela3[[#This Row],[Moldador]],Tabela1[],5,)+(VLOOKUP(Tabela3[[#This Row],[Ajudante]],Tabela1[],5,))*3.5),0)</f>
        <v>99.95034583333333</v>
      </c>
      <c r="V716" s="35">
        <f>IFERROR(Tabela3[[#This Row],[Custo M.O. / H]]/((Tabela3[[#This Row],[Realizado]]/Tabela3[[#This Row],[Qdt Peça Placa]])/Tabela3[[#This Row],[Tempo]]/24),)</f>
        <v>80.270200219638241</v>
      </c>
      <c r="W716" s="35">
        <f>Tabela3[[#This Row],[Custo / Cx Moldada]]*Tabela3[[#This Row],[Qtde Cx Produzida]]</f>
        <v>6421.6160175710593</v>
      </c>
      <c r="X716" s="35">
        <f ca="1">Tabela3[[#This Row],[Aluminio Util]]*Tabela3[[#This Row],[Custo/Kg]]</f>
        <v>222.70560000000003</v>
      </c>
      <c r="Y716" s="35">
        <f>IFERROR(VLOOKUP(Tabela3[[#This Row],[Data]],Tabela461213[],2,1)*(Tabela3[[#This Row],[Qtde Cx Produzida]]*Tabela3[[#This Row],[Qde macho / CX]]*Tabela3[[#This Row],[Peso Macho]]),)</f>
        <v>0</v>
      </c>
      <c r="Z716" s="35">
        <f>IFERROR(Tabela3[[#This Row],[Qtde Oleo]]*(VLOOKUP(Tabela3[[#This Row],[Data]],CompraOleo[],3,TRUE))*1.05,0)</f>
        <v>214.37333663878491</v>
      </c>
      <c r="AA716" s="47">
        <f ca="1">(Tabela3[[#This Row],[Custo Oleo]]+Tabela3[[#This Row],[Custo Aluminio]]+Tabela3[[#This Row],[Custo M.O. Total]]+Tabela3[[#This Row],[Custo Machos]])</f>
        <v>6858.6949542098446</v>
      </c>
      <c r="AB716" s="47">
        <f ca="1">Tabela3[[#This Row],[Custo Total]]*Tabela3[[#This Row],[% Perda]]</f>
        <v>5937.0578197378964</v>
      </c>
      <c r="AC716" s="48">
        <f>IFERROR(VLOOKUP(Tabela3[[#This Row],[Produto]],Tabela2[],2,0),0)</f>
        <v>4</v>
      </c>
      <c r="AD716" s="48">
        <f>IFERROR(VLOOKUP(Tabela3[[#This Row],[Produto]],Tabela2[],3,0),0)</f>
        <v>0.33200000000000002</v>
      </c>
      <c r="AE716" s="48">
        <f>IFERROR(VLOOKUP(Tabela3[[#This Row],[Produto]],Tabela2[],4,0),0)</f>
        <v>2.2999999999999998</v>
      </c>
      <c r="AF716" s="48">
        <f>IFERROR(VLOOKUP(Tabela3[[#This Row],[Produto]],Tabela2[],5,0),0)</f>
        <v>0.8747999999999998</v>
      </c>
      <c r="AG716" s="40">
        <f>IFERROR(VLOOKUP(Tabela3[[#This Row],[Produto]],Tabela2[],6,0),0)</f>
        <v>0</v>
      </c>
      <c r="AH716" s="40">
        <f>IFERROR(VLOOKUP(Tabela3[[#This Row],[Produto]],Tabela2[],7,0),0)</f>
        <v>0</v>
      </c>
      <c r="AI716" s="40">
        <f>IFERROR(VLOOKUP(Tabela3[[#This Row],[Produto]],Tabela2[],8,0),0)</f>
        <v>0</v>
      </c>
      <c r="AJ716" s="35">
        <f ca="1">IFERROR(VLOOKUP(Tabela3[[#This Row],[Produto]],Tabela2[],13,0),0)</f>
        <v>15.600000000000001</v>
      </c>
      <c r="AK716" s="40" t="str">
        <f>IFERROR(VLOOKUP(Tabela3[[#This Row],[Produto]],Tabela2[],14,0),0)</f>
        <v>Senun</v>
      </c>
      <c r="AL716" s="40">
        <f>IFERROR(VLOOKUP(Tabela3[[#This Row],[Produto]],Tabela2[],15,0),0)</f>
        <v>3.5</v>
      </c>
      <c r="AM716" s="36">
        <f ca="1">(Tabela3[[#This Row],[Custo Usinagem]]+Tabela3[[#This Row],[Custo / Pç]])*1.2</f>
        <v>195.60544058260032</v>
      </c>
      <c r="AN716" s="36">
        <f ca="1">Tabela3[[#This Row],[Valor Mínimo Venda]]*1.15</f>
        <v>224.94625666999036</v>
      </c>
      <c r="AO716" s="36">
        <f ca="1">Tabela3[[#This Row],[Tabela 1]]*1.08</f>
        <v>242.9419572035896</v>
      </c>
      <c r="AP716" s="36">
        <f ca="1">Tabela3[[#This Row],[Tabela 2]]*1.15</f>
        <v>279.38325078412799</v>
      </c>
    </row>
    <row r="717" spans="1:42">
      <c r="A717" s="9">
        <v>45937</v>
      </c>
      <c r="B717" s="6" t="s">
        <v>247</v>
      </c>
      <c r="C717" s="14">
        <v>8059</v>
      </c>
      <c r="D717" s="6" t="s">
        <v>46</v>
      </c>
      <c r="E717" s="6" t="s">
        <v>326</v>
      </c>
      <c r="F717" s="6">
        <v>76</v>
      </c>
      <c r="G717" s="15">
        <v>0.34375</v>
      </c>
      <c r="H717" s="16">
        <v>0</v>
      </c>
      <c r="I717" s="35">
        <f ca="1">IFERROR(Tabela3[[#This Row],[Custo Total]]/Tabela3[[#This Row],[Aluminio Util]],0)</f>
        <v>26.874616479515854</v>
      </c>
      <c r="J717" s="35">
        <f ca="1">Tabela3[[#This Row],[Custo Total]]/Tabela3[[#This Row],[Realizado]]</f>
        <v>8.0623849438547559</v>
      </c>
      <c r="K717" s="37">
        <f>IFERROR(Tabela3[[#This Row],[Qtde Cx Produzida]]/Tabela3[[#This Row],[Tempo]]/24,0)</f>
        <v>9.2121212121212128</v>
      </c>
      <c r="L717" s="37">
        <f>Tabela3[[#This Row],[Qtde Cx Produzida]]*Tabela3[[#This Row],[Qdt Peça Placa]]</f>
        <v>304</v>
      </c>
      <c r="M717" s="37">
        <f>Tabela3[[#This Row],[Previsto]]-Tabela3[[#This Row],[Perda Pçs]]</f>
        <v>304</v>
      </c>
      <c r="N717" s="38">
        <f>IFERROR(Tabela3[[#This Row],[Perda Pçs]]/Tabela3[[#This Row],[Previsto]],0)</f>
        <v>0</v>
      </c>
      <c r="O717" s="39">
        <f>IFERROR(IF(Tabela3[[#This Row],[Qtde Cx Produzida]] &lt;&gt; 0, Tabela3[[#This Row],[Tempo]] / Tabela3[[#This Row],[Qtde Cx Produzida]], 0),0)</f>
        <v>4.5230263157894739E-3</v>
      </c>
      <c r="P717" s="57">
        <f>IFERROR(Tabela3[[#This Row],[Perda Pçs]]/Tabela3[[#This Row],[Qdt Peça Placa]],0)</f>
        <v>0</v>
      </c>
      <c r="Q717" s="37">
        <f>IFERROR(Tabela3[[#This Row],[Realizado]]*Tabela3[[#This Row],[Peso Util/Pç]],0)</f>
        <v>91.2</v>
      </c>
      <c r="R717" s="37">
        <f>IFERROR(Tabela3[[#This Row],[Peso Total Galho]]*Tabela3[[#This Row],[Qtde Cx Produzida]]*1.055,0)</f>
        <v>184.41399999999996</v>
      </c>
      <c r="S717" s="37">
        <f>(Tabela3[[#This Row],[Aluminio Bruto]]-Tabela3[[#This Row],[Aluminio Util]])*0.9</f>
        <v>83.892599999999959</v>
      </c>
      <c r="T717" s="37">
        <f>Tabela3[[#This Row],[Aluminio Bruto]]/OleoKGAluminio</f>
        <v>77.582731354988823</v>
      </c>
      <c r="U717" s="35">
        <f>IFERROR((VLOOKUP(Tabela3[[#This Row],[Moldador]],Tabela1[],5,)+(VLOOKUP(Tabela3[[#This Row],[Ajudante]],Tabela1[],5,))*3.5),0)</f>
        <v>99.95034583333333</v>
      </c>
      <c r="V717" s="35">
        <f>IFERROR(Tabela3[[#This Row],[Custo M.O. / H]]/((Tabela3[[#This Row],[Realizado]]/Tabela3[[#This Row],[Qdt Peça Placa]])/Tabela3[[#This Row],[Tempo]]/24),)</f>
        <v>10.84987306743421</v>
      </c>
      <c r="W717" s="35">
        <f>Tabela3[[#This Row],[Custo / Cx Moldada]]*Tabela3[[#This Row],[Qtde Cx Produzida]]</f>
        <v>824.59035312499998</v>
      </c>
      <c r="X717" s="35">
        <f ca="1">Tabela3[[#This Row],[Aluminio Util]]*Tabela3[[#This Row],[Custo/Kg]]</f>
        <v>1422.7200000000003</v>
      </c>
      <c r="Y717" s="35">
        <f>IFERROR(VLOOKUP(Tabela3[[#This Row],[Data]],Tabela461213[],2,1)*(Tabela3[[#This Row],[Qtde Cx Produzida]]*Tabela3[[#This Row],[Qde macho / CX]]*Tabela3[[#This Row],[Peso Macho]]),)</f>
        <v>0</v>
      </c>
      <c r="Z717" s="35">
        <f>IFERROR(Tabela3[[#This Row],[Qtde Oleo]]*(VLOOKUP(Tabela3[[#This Row],[Data]],CompraOleo[],3,TRUE))*1.05,0)</f>
        <v>203.65466980684567</v>
      </c>
      <c r="AA717" s="47">
        <f ca="1">(Tabela3[[#This Row],[Custo Oleo]]+Tabela3[[#This Row],[Custo Aluminio]]+Tabela3[[#This Row],[Custo M.O. Total]]+Tabela3[[#This Row],[Custo Machos]])</f>
        <v>2450.9650229318459</v>
      </c>
      <c r="AB717" s="47">
        <f ca="1">Tabela3[[#This Row],[Custo Total]]*Tabela3[[#This Row],[% Perda]]</f>
        <v>0</v>
      </c>
      <c r="AC717" s="48">
        <f>IFERROR(VLOOKUP(Tabela3[[#This Row],[Produto]],Tabela2[],2,0),0)</f>
        <v>4</v>
      </c>
      <c r="AD717" s="48">
        <f>IFERROR(VLOOKUP(Tabela3[[#This Row],[Produto]],Tabela2[],3,0),0)</f>
        <v>0.3</v>
      </c>
      <c r="AE717" s="48">
        <f>IFERROR(VLOOKUP(Tabela3[[#This Row],[Produto]],Tabela2[],4,0),0)</f>
        <v>2.2999999999999998</v>
      </c>
      <c r="AF717" s="48">
        <f>IFERROR(VLOOKUP(Tabela3[[#This Row],[Produto]],Tabela2[],5,0),0)</f>
        <v>0.98999999999999988</v>
      </c>
      <c r="AG717" s="40">
        <f>IFERROR(VLOOKUP(Tabela3[[#This Row],[Produto]],Tabela2[],6,0),0)</f>
        <v>0</v>
      </c>
      <c r="AH717" s="40">
        <f>IFERROR(VLOOKUP(Tabela3[[#This Row],[Produto]],Tabela2[],7,0),0)</f>
        <v>0</v>
      </c>
      <c r="AI717" s="40">
        <f>IFERROR(VLOOKUP(Tabela3[[#This Row],[Produto]],Tabela2[],8,0),0)</f>
        <v>0</v>
      </c>
      <c r="AJ717" s="35">
        <f ca="1">IFERROR(VLOOKUP(Tabela3[[#This Row],[Produto]],Tabela2[],13,0),0)</f>
        <v>15.600000000000001</v>
      </c>
      <c r="AK717" s="40" t="str">
        <f>IFERROR(VLOOKUP(Tabela3[[#This Row],[Produto]],Tabela2[],14,0),0)</f>
        <v>Senun</v>
      </c>
      <c r="AL717" s="40">
        <f>IFERROR(VLOOKUP(Tabela3[[#This Row],[Produto]],Tabela2[],15,0),0)</f>
        <v>3.5</v>
      </c>
      <c r="AM717" s="36">
        <f ca="1">(Tabela3[[#This Row],[Custo Usinagem]]+Tabela3[[#This Row],[Custo / Pç]])*1.2</f>
        <v>13.874861932625707</v>
      </c>
      <c r="AN717" s="36">
        <f ca="1">Tabela3[[#This Row],[Valor Mínimo Venda]]*1.15</f>
        <v>15.956091222519563</v>
      </c>
      <c r="AO717" s="36">
        <f ca="1">Tabela3[[#This Row],[Tabela 1]]*1.08</f>
        <v>17.23257852032113</v>
      </c>
      <c r="AP717" s="36">
        <f ca="1">Tabela3[[#This Row],[Tabela 2]]*1.15</f>
        <v>19.817465298369299</v>
      </c>
    </row>
    <row r="718" spans="1:42">
      <c r="A718" s="9">
        <v>45937</v>
      </c>
      <c r="B718" s="6" t="s">
        <v>245</v>
      </c>
      <c r="C718" s="14">
        <v>8058</v>
      </c>
      <c r="D718" s="6" t="s">
        <v>44</v>
      </c>
      <c r="E718" s="6" t="s">
        <v>47</v>
      </c>
      <c r="F718" s="6">
        <v>49</v>
      </c>
      <c r="G718" s="15">
        <v>0.23194444444444445</v>
      </c>
      <c r="H718" s="16">
        <v>0</v>
      </c>
      <c r="I718" s="35">
        <f ca="1">IFERROR(Tabela3[[#This Row],[Custo Total]]/Tabela3[[#This Row],[Aluminio Util]],0)</f>
        <v>26.168200257614309</v>
      </c>
      <c r="J718" s="35">
        <f ca="1">Tabela3[[#This Row],[Custo Total]]/Tabela3[[#This Row],[Realizado]]</f>
        <v>8.6878424855279501</v>
      </c>
      <c r="K718" s="37">
        <f>IFERROR(Tabela3[[#This Row],[Qtde Cx Produzida]]/Tabela3[[#This Row],[Tempo]]/24,0)</f>
        <v>8.8023952095808387</v>
      </c>
      <c r="L718" s="37">
        <f>Tabela3[[#This Row],[Qtde Cx Produzida]]*Tabela3[[#This Row],[Qdt Peça Placa]]</f>
        <v>196</v>
      </c>
      <c r="M718" s="37">
        <f>Tabela3[[#This Row],[Previsto]]-Tabela3[[#This Row],[Perda Pçs]]</f>
        <v>196</v>
      </c>
      <c r="N718" s="38">
        <f>IFERROR(Tabela3[[#This Row],[Perda Pçs]]/Tabela3[[#This Row],[Previsto]],0)</f>
        <v>0</v>
      </c>
      <c r="O718" s="39">
        <f>IFERROR(IF(Tabela3[[#This Row],[Qtde Cx Produzida]] &lt;&gt; 0, Tabela3[[#This Row],[Tempo]] / Tabela3[[#This Row],[Qtde Cx Produzida]], 0),0)</f>
        <v>4.7335600907029481E-3</v>
      </c>
      <c r="P718" s="57">
        <f>IFERROR(Tabela3[[#This Row],[Perda Pçs]]/Tabela3[[#This Row],[Qdt Peça Placa]],0)</f>
        <v>0</v>
      </c>
      <c r="Q718" s="37">
        <f>IFERROR(Tabela3[[#This Row],[Realizado]]*Tabela3[[#This Row],[Peso Util/Pç]],0)</f>
        <v>65.072000000000003</v>
      </c>
      <c r="R718" s="37">
        <f>IFERROR(Tabela3[[#This Row],[Peso Total Galho]]*Tabela3[[#This Row],[Qtde Cx Produzida]]*1.055,0)</f>
        <v>118.89849999999998</v>
      </c>
      <c r="S718" s="37">
        <f>(Tabela3[[#This Row],[Aluminio Bruto]]-Tabela3[[#This Row],[Aluminio Util]])*0.9</f>
        <v>48.443849999999983</v>
      </c>
      <c r="T718" s="37">
        <f>Tabela3[[#This Row],[Aluminio Bruto]]/OleoKGAluminio</f>
        <v>50.020445215716485</v>
      </c>
      <c r="U718" s="35">
        <f>IFERROR((VLOOKUP(Tabela3[[#This Row],[Moldador]],Tabela1[],5,)+(VLOOKUP(Tabela3[[#This Row],[Ajudante]],Tabela1[],5,))*3.5),0)</f>
        <v>99.95034583333333</v>
      </c>
      <c r="V718" s="35">
        <f>IFERROR(Tabela3[[#This Row],[Custo M.O. / H]]/((Tabela3[[#This Row],[Realizado]]/Tabela3[[#This Row],[Qdt Peça Placa]])/Tabela3[[#This Row],[Tempo]]/24),)</f>
        <v>11.354903234126983</v>
      </c>
      <c r="W718" s="35">
        <f>Tabela3[[#This Row],[Custo / Cx Moldada]]*Tabela3[[#This Row],[Qtde Cx Produzida]]</f>
        <v>556.39025847222217</v>
      </c>
      <c r="X718" s="35">
        <f ca="1">Tabela3[[#This Row],[Aluminio Util]]*Tabela3[[#This Row],[Custo/Kg]]</f>
        <v>1015.1232000000001</v>
      </c>
      <c r="Y718" s="35">
        <f>IFERROR(VLOOKUP(Tabela3[[#This Row],[Data]],Tabela461213[],2,1)*(Tabela3[[#This Row],[Qtde Cx Produzida]]*Tabela3[[#This Row],[Qde macho / CX]]*Tabela3[[#This Row],[Peso Macho]]),)</f>
        <v>0</v>
      </c>
      <c r="Z718" s="35">
        <f>IFERROR(Tabela3[[#This Row],[Qtde Oleo]]*(VLOOKUP(Tabela3[[#This Row],[Data]],CompraOleo[],3,TRUE))*1.05,0)</f>
        <v>131.30366869125578</v>
      </c>
      <c r="AA718" s="47">
        <f ca="1">(Tabela3[[#This Row],[Custo Oleo]]+Tabela3[[#This Row],[Custo Aluminio]]+Tabela3[[#This Row],[Custo M.O. Total]]+Tabela3[[#This Row],[Custo Machos]])</f>
        <v>1702.8171271634783</v>
      </c>
      <c r="AB718" s="47">
        <f ca="1">Tabela3[[#This Row],[Custo Total]]*Tabela3[[#This Row],[% Perda]]</f>
        <v>0</v>
      </c>
      <c r="AC718" s="48">
        <f>IFERROR(VLOOKUP(Tabela3[[#This Row],[Produto]],Tabela2[],2,0),0)</f>
        <v>4</v>
      </c>
      <c r="AD718" s="48">
        <f>IFERROR(VLOOKUP(Tabela3[[#This Row],[Produto]],Tabela2[],3,0),0)</f>
        <v>0.33200000000000002</v>
      </c>
      <c r="AE718" s="48">
        <f>IFERROR(VLOOKUP(Tabela3[[#This Row],[Produto]],Tabela2[],4,0),0)</f>
        <v>2.2999999999999998</v>
      </c>
      <c r="AF718" s="48">
        <f>IFERROR(VLOOKUP(Tabela3[[#This Row],[Produto]],Tabela2[],5,0),0)</f>
        <v>0.8747999999999998</v>
      </c>
      <c r="AG718" s="40">
        <f>IFERROR(VLOOKUP(Tabela3[[#This Row],[Produto]],Tabela2[],6,0),0)</f>
        <v>0</v>
      </c>
      <c r="AH718" s="40">
        <f>IFERROR(VLOOKUP(Tabela3[[#This Row],[Produto]],Tabela2[],7,0),0)</f>
        <v>0</v>
      </c>
      <c r="AI718" s="40">
        <f>IFERROR(VLOOKUP(Tabela3[[#This Row],[Produto]],Tabela2[],8,0),0)</f>
        <v>0</v>
      </c>
      <c r="AJ718" s="35">
        <f ca="1">IFERROR(VLOOKUP(Tabela3[[#This Row],[Produto]],Tabela2[],13,0),0)</f>
        <v>15.600000000000001</v>
      </c>
      <c r="AK718" s="40" t="str">
        <f>IFERROR(VLOOKUP(Tabela3[[#This Row],[Produto]],Tabela2[],14,0),0)</f>
        <v>Senun</v>
      </c>
      <c r="AL718" s="40">
        <f>IFERROR(VLOOKUP(Tabela3[[#This Row],[Produto]],Tabela2[],15,0),0)</f>
        <v>3.5</v>
      </c>
      <c r="AM718" s="36">
        <f ca="1">(Tabela3[[#This Row],[Custo Usinagem]]+Tabela3[[#This Row],[Custo / Pç]])*1.2</f>
        <v>14.625410982633539</v>
      </c>
      <c r="AN718" s="36">
        <f ca="1">Tabela3[[#This Row],[Valor Mínimo Venda]]*1.15</f>
        <v>16.81922263002857</v>
      </c>
      <c r="AO718" s="36">
        <f ca="1">Tabela3[[#This Row],[Tabela 1]]*1.08</f>
        <v>18.164760440430857</v>
      </c>
      <c r="AP718" s="36">
        <f ca="1">Tabela3[[#This Row],[Tabela 2]]*1.15</f>
        <v>20.889474506495485</v>
      </c>
    </row>
    <row r="719" spans="1:42">
      <c r="A719" s="9">
        <v>45937</v>
      </c>
      <c r="B719" s="6" t="s">
        <v>170</v>
      </c>
      <c r="C719" s="14">
        <v>8093</v>
      </c>
      <c r="D719" s="6" t="s">
        <v>44</v>
      </c>
      <c r="E719" s="6" t="s">
        <v>47</v>
      </c>
      <c r="F719" s="6">
        <v>4</v>
      </c>
      <c r="G719" s="15">
        <v>9.4444444444444442E-2</v>
      </c>
      <c r="H719" s="16">
        <v>0</v>
      </c>
      <c r="I719" s="35">
        <f ca="1">IFERROR(Tabela3[[#This Row],[Custo Total]]/Tabela3[[#This Row],[Aluminio Util]],0)</f>
        <v>20.71058021664307</v>
      </c>
      <c r="J719" s="35">
        <f ca="1">Tabela3[[#This Row],[Custo Total]]/Tabela3[[#This Row],[Realizado]]</f>
        <v>629.60163858594933</v>
      </c>
      <c r="K719" s="37">
        <f>IFERROR(Tabela3[[#This Row],[Qtde Cx Produzida]]/Tabela3[[#This Row],[Tempo]]/24,0)</f>
        <v>1.7647058823529411</v>
      </c>
      <c r="L719" s="37">
        <f>Tabela3[[#This Row],[Qtde Cx Produzida]]*Tabela3[[#This Row],[Qdt Peça Placa]]</f>
        <v>4</v>
      </c>
      <c r="M719" s="37">
        <f>Tabela3[[#This Row],[Previsto]]-Tabela3[[#This Row],[Perda Pçs]]</f>
        <v>4</v>
      </c>
      <c r="N719" s="38">
        <f>IFERROR(Tabela3[[#This Row],[Perda Pçs]]/Tabela3[[#This Row],[Previsto]],0)</f>
        <v>0</v>
      </c>
      <c r="O719" s="39">
        <f>IFERROR(IF(Tabela3[[#This Row],[Qtde Cx Produzida]] &lt;&gt; 0, Tabela3[[#This Row],[Tempo]] / Tabela3[[#This Row],[Qtde Cx Produzida]], 0),0)</f>
        <v>2.361111111111111E-2</v>
      </c>
      <c r="P719" s="57">
        <f>IFERROR(Tabela3[[#This Row],[Perda Pçs]]/Tabela3[[#This Row],[Qdt Peça Placa]],0)</f>
        <v>0</v>
      </c>
      <c r="Q719" s="37">
        <f>IFERROR(Tabela3[[#This Row],[Realizado]]*Tabela3[[#This Row],[Peso Util/Pç]],0)</f>
        <v>121.6</v>
      </c>
      <c r="R719" s="37">
        <f>IFERROR(Tabela3[[#This Row],[Peso Total Galho]]*Tabela3[[#This Row],[Qtde Cx Produzida]]*1.055,0)</f>
        <v>137.36099999999999</v>
      </c>
      <c r="S719" s="37">
        <f>(Tabela3[[#This Row],[Aluminio Bruto]]-Tabela3[[#This Row],[Aluminio Util]])*0.9</f>
        <v>14.184899999999997</v>
      </c>
      <c r="T719" s="37">
        <f>Tabela3[[#This Row],[Aluminio Bruto]]/OleoKGAluminio</f>
        <v>57.787595093933334</v>
      </c>
      <c r="U719" s="35">
        <f>IFERROR((VLOOKUP(Tabela3[[#This Row],[Moldador]],Tabela1[],5,)+(VLOOKUP(Tabela3[[#This Row],[Ajudante]],Tabela1[],5,))*3.5),0)</f>
        <v>99.95034583333333</v>
      </c>
      <c r="V719" s="35">
        <f>IFERROR(Tabela3[[#This Row],[Custo M.O. / H]]/((Tabela3[[#This Row],[Realizado]]/Tabela3[[#This Row],[Qdt Peça Placa]])/Tabela3[[#This Row],[Tempo]]/24),)</f>
        <v>56.638529305555558</v>
      </c>
      <c r="W719" s="35">
        <f>Tabela3[[#This Row],[Custo / Cx Moldada]]*Tabela3[[#This Row],[Qtde Cx Produzida]]</f>
        <v>226.55411722222223</v>
      </c>
      <c r="X719" s="35">
        <f ca="1">Tabela3[[#This Row],[Aluminio Util]]*Tabela3[[#This Row],[Custo/Kg]]</f>
        <v>2140.16</v>
      </c>
      <c r="Y719" s="35">
        <f>IFERROR(VLOOKUP(Tabela3[[#This Row],[Data]],Tabela461213[],2,1)*(Tabela3[[#This Row],[Qtde Cx Produzida]]*Tabela3[[#This Row],[Qde macho / CX]]*Tabela3[[#This Row],[Peso Macho]]),)</f>
        <v>0</v>
      </c>
      <c r="Z719" s="35">
        <f>IFERROR(Tabela3[[#This Row],[Qtde Oleo]]*(VLOOKUP(Tabela3[[#This Row],[Data]],CompraOleo[],3,TRUE))*1.05,0)</f>
        <v>151.69243712157498</v>
      </c>
      <c r="AA719" s="47">
        <f ca="1">(Tabela3[[#This Row],[Custo Oleo]]+Tabela3[[#This Row],[Custo Aluminio]]+Tabela3[[#This Row],[Custo M.O. Total]]+Tabela3[[#This Row],[Custo Machos]])</f>
        <v>2518.4065543437973</v>
      </c>
      <c r="AB719" s="47">
        <f ca="1">Tabela3[[#This Row],[Custo Total]]*Tabela3[[#This Row],[% Perda]]</f>
        <v>0</v>
      </c>
      <c r="AC719" s="48">
        <f>IFERROR(VLOOKUP(Tabela3[[#This Row],[Produto]],Tabela2[],2,0),0)</f>
        <v>1</v>
      </c>
      <c r="AD719" s="48">
        <f>IFERROR(VLOOKUP(Tabela3[[#This Row],[Produto]],Tabela2[],3,0),0)</f>
        <v>30.4</v>
      </c>
      <c r="AE719" s="48">
        <f>IFERROR(VLOOKUP(Tabela3[[#This Row],[Produto]],Tabela2[],4,0),0)</f>
        <v>32.549999999999997</v>
      </c>
      <c r="AF719" s="48">
        <f>IFERROR(VLOOKUP(Tabela3[[#This Row],[Produto]],Tabela2[],5,0),0)</f>
        <v>1.9349999999999987</v>
      </c>
      <c r="AG719" s="40">
        <f>IFERROR(VLOOKUP(Tabela3[[#This Row],[Produto]],Tabela2[],6,0),0)</f>
        <v>0</v>
      </c>
      <c r="AH719" s="40">
        <f>IFERROR(VLOOKUP(Tabela3[[#This Row],[Produto]],Tabela2[],7,0),0)</f>
        <v>0</v>
      </c>
      <c r="AI719" s="40">
        <f>IFERROR(VLOOKUP(Tabela3[[#This Row],[Produto]],Tabela2[],8,0),0)</f>
        <v>0</v>
      </c>
      <c r="AJ719" s="35">
        <f ca="1">IFERROR(VLOOKUP(Tabela3[[#This Row],[Produto]],Tabela2[],13,0),0)</f>
        <v>17.600000000000001</v>
      </c>
      <c r="AK719" s="40" t="str">
        <f>IFERROR(VLOOKUP(Tabela3[[#This Row],[Produto]],Tabela2[],14,0),0)</f>
        <v>Oscar</v>
      </c>
      <c r="AL719" s="40">
        <f>IFERROR(VLOOKUP(Tabela3[[#This Row],[Produto]],Tabela2[],15,0),0)</f>
        <v>0</v>
      </c>
      <c r="AM719" s="36">
        <f ca="1">(Tabela3[[#This Row],[Custo Usinagem]]+Tabela3[[#This Row],[Custo / Pç]])*1.2</f>
        <v>755.52196630313915</v>
      </c>
      <c r="AN719" s="36">
        <f ca="1">Tabela3[[#This Row],[Valor Mínimo Venda]]*1.15</f>
        <v>868.85026124860997</v>
      </c>
      <c r="AO719" s="36">
        <f ca="1">Tabela3[[#This Row],[Tabela 1]]*1.08</f>
        <v>938.3582821484988</v>
      </c>
      <c r="AP719" s="36">
        <f ca="1">Tabela3[[#This Row],[Tabela 2]]*1.15</f>
        <v>1079.1120244707736</v>
      </c>
    </row>
    <row r="720" spans="1:42">
      <c r="A720" s="9">
        <v>45938</v>
      </c>
      <c r="B720" s="6" t="s">
        <v>240</v>
      </c>
      <c r="C720" s="14">
        <v>8061</v>
      </c>
      <c r="D720" s="6" t="s">
        <v>46</v>
      </c>
      <c r="E720" s="6" t="s">
        <v>326</v>
      </c>
      <c r="F720" s="6">
        <v>30</v>
      </c>
      <c r="G720" s="15">
        <v>0.15555555555555556</v>
      </c>
      <c r="H720" s="16">
        <v>16</v>
      </c>
      <c r="I720" s="35">
        <f ca="1">IFERROR(Tabela3[[#This Row],[Custo Total]]/Tabela3[[#This Row],[Aluminio Util]],0)</f>
        <v>29.482224075275621</v>
      </c>
      <c r="J720" s="35">
        <f ca="1">Tabela3[[#This Row],[Custo Total]]/Tabela3[[#This Row],[Realizado]]</f>
        <v>10.525153994873396</v>
      </c>
      <c r="K720" s="37">
        <f>IFERROR(Tabela3[[#This Row],[Qtde Cx Produzida]]/Tabela3[[#This Row],[Tempo]]/24,0)</f>
        <v>8.0357142857142865</v>
      </c>
      <c r="L720" s="37">
        <f>Tabela3[[#This Row],[Qtde Cx Produzida]]*Tabela3[[#This Row],[Qdt Peça Placa]]</f>
        <v>120</v>
      </c>
      <c r="M720" s="37">
        <f>Tabela3[[#This Row],[Previsto]]-Tabela3[[#This Row],[Perda Pçs]]</f>
        <v>104</v>
      </c>
      <c r="N720" s="38">
        <f>IFERROR(Tabela3[[#This Row],[Perda Pçs]]/Tabela3[[#This Row],[Previsto]],0)</f>
        <v>0.13333333333333333</v>
      </c>
      <c r="O720" s="39">
        <f>IFERROR(IF(Tabela3[[#This Row],[Qtde Cx Produzida]] &lt;&gt; 0, Tabela3[[#This Row],[Tempo]] / Tabela3[[#This Row],[Qtde Cx Produzida]], 0),0)</f>
        <v>5.185185185185185E-3</v>
      </c>
      <c r="P720" s="57">
        <f>IFERROR(Tabela3[[#This Row],[Perda Pçs]]/Tabela3[[#This Row],[Qdt Peça Placa]],0)</f>
        <v>4</v>
      </c>
      <c r="Q720" s="37">
        <f>IFERROR(Tabela3[[#This Row],[Realizado]]*Tabela3[[#This Row],[Peso Util/Pç]],0)</f>
        <v>37.128</v>
      </c>
      <c r="R720" s="37">
        <f>IFERROR(Tabela3[[#This Row],[Peso Total Galho]]*Tabela3[[#This Row],[Qtde Cx Produzida]]*1.055,0)</f>
        <v>76.846199999999996</v>
      </c>
      <c r="S720" s="37">
        <f>(Tabela3[[#This Row],[Aluminio Bruto]]-Tabela3[[#This Row],[Aluminio Util]])*0.9</f>
        <v>35.746379999999995</v>
      </c>
      <c r="T720" s="37">
        <f>Tabela3[[#This Row],[Aluminio Bruto]]/OleoKGAluminio</f>
        <v>32.329096978818001</v>
      </c>
      <c r="U720" s="35">
        <f>IFERROR((VLOOKUP(Tabela3[[#This Row],[Moldador]],Tabela1[],5,)+(VLOOKUP(Tabela3[[#This Row],[Ajudante]],Tabela1[],5,))*3.5),0)</f>
        <v>99.95034583333333</v>
      </c>
      <c r="V720" s="35">
        <f>IFERROR(Tabela3[[#This Row],[Custo M.O. / H]]/((Tabela3[[#This Row],[Realizado]]/Tabela3[[#This Row],[Qdt Peça Placa]])/Tabela3[[#This Row],[Tempo]]/24),)</f>
        <v>14.35184452991453</v>
      </c>
      <c r="W720" s="35">
        <f>Tabela3[[#This Row],[Custo / Cx Moldada]]*Tabela3[[#This Row],[Qtde Cx Produzida]]</f>
        <v>430.5553358974359</v>
      </c>
      <c r="X720" s="35">
        <f ca="1">Tabela3[[#This Row],[Aluminio Util]]*Tabela3[[#This Row],[Custo/Kg]]</f>
        <v>579.19680000000005</v>
      </c>
      <c r="Y720" s="35">
        <f>IFERROR(VLOOKUP(Tabela3[[#This Row],[Data]],Tabela461213[],2,1)*(Tabela3[[#This Row],[Qtde Cx Produzida]]*Tabela3[[#This Row],[Qde macho / CX]]*Tabela3[[#This Row],[Peso Macho]]),)</f>
        <v>0</v>
      </c>
      <c r="Z720" s="35">
        <f>IFERROR(Tabela3[[#This Row],[Qtde Oleo]]*(VLOOKUP(Tabela3[[#This Row],[Data]],CompraOleo[],3,TRUE))*1.05,0)</f>
        <v>84.863879569397255</v>
      </c>
      <c r="AA720" s="47">
        <f ca="1">(Tabela3[[#This Row],[Custo Oleo]]+Tabela3[[#This Row],[Custo Aluminio]]+Tabela3[[#This Row],[Custo M.O. Total]]+Tabela3[[#This Row],[Custo Machos]])</f>
        <v>1094.6160154668332</v>
      </c>
      <c r="AB720" s="47">
        <f ca="1">Tabela3[[#This Row],[Custo Total]]*Tabela3[[#This Row],[% Perda]]</f>
        <v>145.94880206224443</v>
      </c>
      <c r="AC720" s="48">
        <f>IFERROR(VLOOKUP(Tabela3[[#This Row],[Produto]],Tabela2[],2,0),0)</f>
        <v>4</v>
      </c>
      <c r="AD720" s="48">
        <f>IFERROR(VLOOKUP(Tabela3[[#This Row],[Produto]],Tabela2[],3,0),0)</f>
        <v>0.35699999999999998</v>
      </c>
      <c r="AE720" s="48">
        <f>IFERROR(VLOOKUP(Tabela3[[#This Row],[Produto]],Tabela2[],4,0),0)</f>
        <v>2.4279999999999999</v>
      </c>
      <c r="AF720" s="48">
        <f>IFERROR(VLOOKUP(Tabela3[[#This Row],[Produto]],Tabela2[],5,0),0)</f>
        <v>0.9</v>
      </c>
      <c r="AG720" s="40">
        <f>IFERROR(VLOOKUP(Tabela3[[#This Row],[Produto]],Tabela2[],6,0),0)</f>
        <v>0</v>
      </c>
      <c r="AH720" s="40">
        <f>IFERROR(VLOOKUP(Tabela3[[#This Row],[Produto]],Tabela2[],7,0),0)</f>
        <v>0</v>
      </c>
      <c r="AI720" s="40">
        <f>IFERROR(VLOOKUP(Tabela3[[#This Row],[Produto]],Tabela2[],8,0),0)</f>
        <v>0</v>
      </c>
      <c r="AJ720" s="35">
        <f ca="1">IFERROR(VLOOKUP(Tabela3[[#This Row],[Produto]],Tabela2[],13,0),0)</f>
        <v>15.600000000000001</v>
      </c>
      <c r="AK720" s="40" t="str">
        <f>IFERROR(VLOOKUP(Tabela3[[#This Row],[Produto]],Tabela2[],14,0),0)</f>
        <v>Senun</v>
      </c>
      <c r="AL720" s="40">
        <f>IFERROR(VLOOKUP(Tabela3[[#This Row],[Produto]],Tabela2[],15,0),0)</f>
        <v>4</v>
      </c>
      <c r="AM720" s="36">
        <f ca="1">(Tabela3[[#This Row],[Custo Usinagem]]+Tabela3[[#This Row],[Custo / Pç]])*1.2</f>
        <v>17.430184793848074</v>
      </c>
      <c r="AN720" s="36">
        <f ca="1">Tabela3[[#This Row],[Valor Mínimo Venda]]*1.15</f>
        <v>20.044712512925283</v>
      </c>
      <c r="AO720" s="36">
        <f ca="1">Tabela3[[#This Row],[Tabela 1]]*1.08</f>
        <v>21.648289513959309</v>
      </c>
      <c r="AP720" s="36">
        <f ca="1">Tabela3[[#This Row],[Tabela 2]]*1.15</f>
        <v>24.895532941053204</v>
      </c>
    </row>
    <row r="721" spans="1:42">
      <c r="A721" s="9">
        <v>45938</v>
      </c>
      <c r="B721" s="6" t="s">
        <v>91</v>
      </c>
      <c r="C721" s="14">
        <v>8050</v>
      </c>
      <c r="D721" s="6" t="s">
        <v>46</v>
      </c>
      <c r="E721" s="6" t="s">
        <v>326</v>
      </c>
      <c r="F721" s="6">
        <v>20</v>
      </c>
      <c r="G721" s="15">
        <v>0.12222222222222222</v>
      </c>
      <c r="H721" s="16">
        <v>4</v>
      </c>
      <c r="I721" s="35">
        <f ca="1">IFERROR(Tabela3[[#This Row],[Custo Total]]/Tabela3[[#This Row],[Aluminio Util]],0)</f>
        <v>41.177186061173259</v>
      </c>
      <c r="J721" s="35">
        <f ca="1">Tabela3[[#This Row],[Custo Total]]/Tabela3[[#This Row],[Realizado]]</f>
        <v>32.282913871959842</v>
      </c>
      <c r="K721" s="37">
        <f>IFERROR(Tabela3[[#This Row],[Qtde Cx Produzida]]/Tabela3[[#This Row],[Tempo]]/24,0)</f>
        <v>6.8181818181818192</v>
      </c>
      <c r="L721" s="37">
        <f>Tabela3[[#This Row],[Qtde Cx Produzida]]*Tabela3[[#This Row],[Qdt Peça Placa]]</f>
        <v>80</v>
      </c>
      <c r="M721" s="37">
        <f>Tabela3[[#This Row],[Previsto]]-Tabela3[[#This Row],[Perda Pçs]]</f>
        <v>76</v>
      </c>
      <c r="N721" s="38">
        <f>IFERROR(Tabela3[[#This Row],[Perda Pçs]]/Tabela3[[#This Row],[Previsto]],0)</f>
        <v>0.05</v>
      </c>
      <c r="O721" s="39">
        <f>IFERROR(IF(Tabela3[[#This Row],[Qtde Cx Produzida]] &lt;&gt; 0, Tabela3[[#This Row],[Tempo]] / Tabela3[[#This Row],[Qtde Cx Produzida]], 0),0)</f>
        <v>6.1111111111111106E-3</v>
      </c>
      <c r="P721" s="57">
        <f>IFERROR(Tabela3[[#This Row],[Perda Pçs]]/Tabela3[[#This Row],[Qdt Peça Placa]],0)</f>
        <v>1</v>
      </c>
      <c r="Q721" s="37">
        <f>IFERROR(Tabela3[[#This Row],[Realizado]]*Tabela3[[#This Row],[Peso Util/Pç]],0)</f>
        <v>59.584000000000003</v>
      </c>
      <c r="R721" s="37">
        <f>IFERROR(Tabela3[[#This Row],[Peso Total Galho]]*Tabela3[[#This Row],[Qtde Cx Produzida]]*1.055,0)</f>
        <v>117.0628</v>
      </c>
      <c r="S721" s="37">
        <f>(Tabela3[[#This Row],[Aluminio Bruto]]-Tabela3[[#This Row],[Aluminio Util]])*0.9</f>
        <v>51.730919999999998</v>
      </c>
      <c r="T721" s="37">
        <f>Tabela3[[#This Row],[Aluminio Bruto]]/OleoKGAluminio</f>
        <v>49.248168599253781</v>
      </c>
      <c r="U721" s="35">
        <f>IFERROR((VLOOKUP(Tabela3[[#This Row],[Moldador]],Tabela1[],5,)+(VLOOKUP(Tabela3[[#This Row],[Ajudante]],Tabela1[],5,))*3.5),0)</f>
        <v>99.95034583333333</v>
      </c>
      <c r="V721" s="35">
        <f>IFERROR(Tabela3[[#This Row],[Custo M.O. / H]]/((Tabela3[[#This Row],[Realizado]]/Tabela3[[#This Row],[Qdt Peça Placa]])/Tabela3[[#This Row],[Tempo]]/24),)</f>
        <v>15.43093058479532</v>
      </c>
      <c r="W721" s="35">
        <f>Tabela3[[#This Row],[Custo / Cx Moldada]]*Tabela3[[#This Row],[Qtde Cx Produzida]]</f>
        <v>308.6186116959064</v>
      </c>
      <c r="X721" s="35">
        <f ca="1">Tabela3[[#This Row],[Aluminio Util]]*Tabela3[[#This Row],[Custo/Kg]]</f>
        <v>929.51040000000012</v>
      </c>
      <c r="Y721" s="35">
        <f>IFERROR(VLOOKUP(Tabela3[[#This Row],[Data]],Tabela461213[],2,1)*(Tabela3[[#This Row],[Qtde Cx Produzida]]*Tabela3[[#This Row],[Qde macho / CX]]*Tabela3[[#This Row],[Peso Macho]]),)</f>
        <v>1086.096</v>
      </c>
      <c r="Z721" s="35">
        <f>IFERROR(Tabela3[[#This Row],[Qtde Oleo]]*(VLOOKUP(Tabela3[[#This Row],[Data]],CompraOleo[],3,TRUE))*1.05,0)</f>
        <v>129.27644257304118</v>
      </c>
      <c r="AA721" s="47">
        <f ca="1">(Tabela3[[#This Row],[Custo Oleo]]+Tabela3[[#This Row],[Custo Aluminio]]+Tabela3[[#This Row],[Custo M.O. Total]]+Tabela3[[#This Row],[Custo Machos]])</f>
        <v>2453.5014542689478</v>
      </c>
      <c r="AB721" s="47">
        <f ca="1">Tabela3[[#This Row],[Custo Total]]*Tabela3[[#This Row],[% Perda]]</f>
        <v>122.67507271344739</v>
      </c>
      <c r="AC721" s="48">
        <f>IFERROR(VLOOKUP(Tabela3[[#This Row],[Produto]],Tabela2[],2,0),0)</f>
        <v>4</v>
      </c>
      <c r="AD721" s="48">
        <f>IFERROR(VLOOKUP(Tabela3[[#This Row],[Produto]],Tabela2[],3,0),0)</f>
        <v>0.78400000000000003</v>
      </c>
      <c r="AE721" s="48">
        <f>IFERROR(VLOOKUP(Tabela3[[#This Row],[Produto]],Tabela2[],4,0),0)</f>
        <v>5.548</v>
      </c>
      <c r="AF721" s="48">
        <f>IFERROR(VLOOKUP(Tabela3[[#This Row],[Produto]],Tabela2[],5,0),0)</f>
        <v>2.1707999999999998</v>
      </c>
      <c r="AG721" s="40">
        <f>IFERROR(VLOOKUP(Tabela3[[#This Row],[Produto]],Tabela2[],6,0),0)</f>
        <v>0</v>
      </c>
      <c r="AH721" s="40">
        <f>IFERROR(VLOOKUP(Tabela3[[#This Row],[Produto]],Tabela2[],7,0),0)</f>
        <v>12</v>
      </c>
      <c r="AI721" s="40">
        <f>IFERROR(VLOOKUP(Tabela3[[#This Row],[Produto]],Tabela2[],8,0),0)</f>
        <v>2.6619999999999999</v>
      </c>
      <c r="AJ721" s="35">
        <f ca="1">IFERROR(VLOOKUP(Tabela3[[#This Row],[Produto]],Tabela2[],13,0),0)</f>
        <v>15.600000000000001</v>
      </c>
      <c r="AK721" s="40" t="str">
        <f>IFERROR(VLOOKUP(Tabela3[[#This Row],[Produto]],Tabela2[],14,0),0)</f>
        <v>Jumil</v>
      </c>
      <c r="AL721" s="40">
        <f>IFERROR(VLOOKUP(Tabela3[[#This Row],[Produto]],Tabela2[],15,0),0)</f>
        <v>8</v>
      </c>
      <c r="AM721" s="36">
        <f ca="1">(Tabela3[[#This Row],[Custo Usinagem]]+Tabela3[[#This Row],[Custo / Pç]])*1.2</f>
        <v>48.339496646351812</v>
      </c>
      <c r="AN721" s="36">
        <f ca="1">Tabela3[[#This Row],[Valor Mínimo Venda]]*1.15</f>
        <v>55.590421143304582</v>
      </c>
      <c r="AO721" s="36">
        <f ca="1">Tabela3[[#This Row],[Tabela 1]]*1.08</f>
        <v>60.037654834768951</v>
      </c>
      <c r="AP721" s="36">
        <f ca="1">Tabela3[[#This Row],[Tabela 2]]*1.15</f>
        <v>69.043303059984282</v>
      </c>
    </row>
    <row r="722" spans="1:42">
      <c r="A722" s="9">
        <v>45938</v>
      </c>
      <c r="B722" s="6" t="s">
        <v>127</v>
      </c>
      <c r="C722" s="14">
        <v>8096</v>
      </c>
      <c r="D722" s="6" t="s">
        <v>46</v>
      </c>
      <c r="E722" s="6" t="s">
        <v>326</v>
      </c>
      <c r="F722" s="6">
        <v>4</v>
      </c>
      <c r="G722" s="15">
        <v>2.7083333333333334E-2</v>
      </c>
      <c r="H722" s="16">
        <v>0</v>
      </c>
      <c r="I722" s="35">
        <f ca="1">IFERROR(Tabela3[[#This Row],[Custo Total]]/Tabela3[[#This Row],[Aluminio Util]],0)</f>
        <v>27.897580055064072</v>
      </c>
      <c r="J722" s="35">
        <f ca="1">Tabela3[[#This Row],[Custo Total]]/Tabela3[[#This Row],[Realizado]]</f>
        <v>11.159032022025629</v>
      </c>
      <c r="K722" s="37">
        <f>IFERROR(Tabela3[[#This Row],[Qtde Cx Produzida]]/Tabela3[[#This Row],[Tempo]]/24,0)</f>
        <v>6.1538461538461533</v>
      </c>
      <c r="L722" s="37">
        <f>Tabela3[[#This Row],[Qtde Cx Produzida]]*Tabela3[[#This Row],[Qdt Peça Placa]]</f>
        <v>24</v>
      </c>
      <c r="M722" s="37">
        <f>Tabela3[[#This Row],[Previsto]]-Tabela3[[#This Row],[Perda Pçs]]</f>
        <v>24</v>
      </c>
      <c r="N722" s="38">
        <f>IFERROR(Tabela3[[#This Row],[Perda Pçs]]/Tabela3[[#This Row],[Previsto]],0)</f>
        <v>0</v>
      </c>
      <c r="O722" s="39">
        <f>IFERROR(IF(Tabela3[[#This Row],[Qtde Cx Produzida]] &lt;&gt; 0, Tabela3[[#This Row],[Tempo]] / Tabela3[[#This Row],[Qtde Cx Produzida]], 0),0)</f>
        <v>6.7708333333333336E-3</v>
      </c>
      <c r="P722" s="57">
        <f>IFERROR(Tabela3[[#This Row],[Perda Pçs]]/Tabela3[[#This Row],[Qdt Peça Placa]],0)</f>
        <v>0</v>
      </c>
      <c r="Q722" s="37">
        <f>IFERROR(Tabela3[[#This Row],[Realizado]]*Tabela3[[#This Row],[Peso Util/Pç]],0)</f>
        <v>9.6000000000000014</v>
      </c>
      <c r="R722" s="37">
        <f>IFERROR(Tabela3[[#This Row],[Peso Total Galho]]*Tabela3[[#This Row],[Qtde Cx Produzida]]*1.055,0)</f>
        <v>15.192</v>
      </c>
      <c r="S722" s="37">
        <f>(Tabela3[[#This Row],[Aluminio Bruto]]-Tabela3[[#This Row],[Aluminio Util]])*0.9</f>
        <v>5.0327999999999991</v>
      </c>
      <c r="T722" s="37">
        <f>Tabela3[[#This Row],[Aluminio Bruto]]/OleoKGAluminio</f>
        <v>6.3912547569327192</v>
      </c>
      <c r="U722" s="35">
        <f>IFERROR((VLOOKUP(Tabela3[[#This Row],[Moldador]],Tabela1[],5,)+(VLOOKUP(Tabela3[[#This Row],[Ajudante]],Tabela1[],5,))*3.5),0)</f>
        <v>99.95034583333333</v>
      </c>
      <c r="V722" s="35">
        <f>IFERROR(Tabela3[[#This Row],[Custo M.O. / H]]/((Tabela3[[#This Row],[Realizado]]/Tabela3[[#This Row],[Qdt Peça Placa]])/Tabela3[[#This Row],[Tempo]]/24),)</f>
        <v>16.241931197916667</v>
      </c>
      <c r="W722" s="35">
        <f>Tabela3[[#This Row],[Custo / Cx Moldada]]*Tabela3[[#This Row],[Qtde Cx Produzida]]</f>
        <v>64.967724791666669</v>
      </c>
      <c r="X722" s="35">
        <f ca="1">Tabela3[[#This Row],[Aluminio Util]]*Tabela3[[#This Row],[Custo/Kg]]</f>
        <v>149.76000000000005</v>
      </c>
      <c r="Y722" s="35">
        <f>IFERROR(VLOOKUP(Tabela3[[#This Row],[Data]],Tabela461213[],2,1)*(Tabela3[[#This Row],[Qtde Cx Produzida]]*Tabela3[[#This Row],[Qde macho / CX]]*Tabela3[[#This Row],[Peso Macho]]),)</f>
        <v>36.311999999999998</v>
      </c>
      <c r="Z722" s="35">
        <f>IFERROR(Tabela3[[#This Row],[Qtde Oleo]]*(VLOOKUP(Tabela3[[#This Row],[Data]],CompraOleo[],3,TRUE))*1.05,0)</f>
        <v>16.777043736948386</v>
      </c>
      <c r="AA722" s="47">
        <f ca="1">(Tabela3[[#This Row],[Custo Oleo]]+Tabela3[[#This Row],[Custo Aluminio]]+Tabela3[[#This Row],[Custo M.O. Total]]+Tabela3[[#This Row],[Custo Machos]])</f>
        <v>267.81676852861511</v>
      </c>
      <c r="AB722" s="47">
        <f ca="1">Tabela3[[#This Row],[Custo Total]]*Tabela3[[#This Row],[% Perda]]</f>
        <v>0</v>
      </c>
      <c r="AC722" s="48">
        <f>IFERROR(VLOOKUP(Tabela3[[#This Row],[Produto]],Tabela2[],2,0),0)</f>
        <v>6</v>
      </c>
      <c r="AD722" s="48">
        <f>IFERROR(VLOOKUP(Tabela3[[#This Row],[Produto]],Tabela2[],3,0),0)</f>
        <v>0.4</v>
      </c>
      <c r="AE722" s="48">
        <f>IFERROR(VLOOKUP(Tabela3[[#This Row],[Produto]],Tabela2[],4,0),0)</f>
        <v>3.6</v>
      </c>
      <c r="AF722" s="48">
        <f>IFERROR(VLOOKUP(Tabela3[[#This Row],[Produto]],Tabela2[],5,0),0)</f>
        <v>1.0799999999999998</v>
      </c>
      <c r="AG722" s="40">
        <f>IFERROR(VLOOKUP(Tabela3[[#This Row],[Produto]],Tabela2[],6,0),0)</f>
        <v>0</v>
      </c>
      <c r="AH722" s="40">
        <f>IFERROR(VLOOKUP(Tabela3[[#This Row],[Produto]],Tabela2[],7,0),0)</f>
        <v>6</v>
      </c>
      <c r="AI722" s="40">
        <f>IFERROR(VLOOKUP(Tabela3[[#This Row],[Produto]],Tabela2[],8,0),0)</f>
        <v>0.89</v>
      </c>
      <c r="AJ722" s="35">
        <f ca="1">IFERROR(VLOOKUP(Tabela3[[#This Row],[Produto]],Tabela2[],13,0),0)</f>
        <v>15.600000000000001</v>
      </c>
      <c r="AK722" s="40" t="str">
        <f>IFERROR(VLOOKUP(Tabela3[[#This Row],[Produto]],Tabela2[],14,0),0)</f>
        <v>Jumil</v>
      </c>
      <c r="AL722" s="40">
        <f>IFERROR(VLOOKUP(Tabela3[[#This Row],[Produto]],Tabela2[],15,0),0)</f>
        <v>2</v>
      </c>
      <c r="AM722" s="36">
        <f ca="1">(Tabela3[[#This Row],[Custo Usinagem]]+Tabela3[[#This Row],[Custo / Pç]])*1.2</f>
        <v>15.790838426430755</v>
      </c>
      <c r="AN722" s="36">
        <f ca="1">Tabela3[[#This Row],[Valor Mínimo Venda]]*1.15</f>
        <v>18.159464190395365</v>
      </c>
      <c r="AO722" s="36">
        <f ca="1">Tabela3[[#This Row],[Tabela 1]]*1.08</f>
        <v>19.612221325626997</v>
      </c>
      <c r="AP722" s="36">
        <f ca="1">Tabela3[[#This Row],[Tabela 2]]*1.15</f>
        <v>22.554054524471045</v>
      </c>
    </row>
    <row r="723" spans="1:42">
      <c r="A723" s="9">
        <v>45938</v>
      </c>
      <c r="B723" s="6" t="s">
        <v>221</v>
      </c>
      <c r="C723" s="14">
        <v>8101</v>
      </c>
      <c r="D723" s="6" t="s">
        <v>46</v>
      </c>
      <c r="E723" s="6" t="s">
        <v>326</v>
      </c>
      <c r="F723" s="6">
        <v>8</v>
      </c>
      <c r="G723" s="15">
        <v>4.1666666666666664E-2</v>
      </c>
      <c r="H723" s="16">
        <v>0</v>
      </c>
      <c r="I723" s="35">
        <f ca="1">IFERROR(Tabela3[[#This Row],[Custo Total]]/Tabela3[[#This Row],[Aluminio Util]],0)</f>
        <v>24.012666865427306</v>
      </c>
      <c r="J723" s="35">
        <f ca="1">Tabela3[[#This Row],[Custo Total]]/Tabela3[[#This Row],[Realizado]]</f>
        <v>3.0496086919092682</v>
      </c>
      <c r="K723" s="37">
        <f>IFERROR(Tabela3[[#This Row],[Qtde Cx Produzida]]/Tabela3[[#This Row],[Tempo]]/24,0)</f>
        <v>8</v>
      </c>
      <c r="L723" s="37">
        <f>Tabela3[[#This Row],[Qtde Cx Produzida]]*Tabela3[[#This Row],[Qdt Peça Placa]]</f>
        <v>144</v>
      </c>
      <c r="M723" s="37">
        <f>Tabela3[[#This Row],[Previsto]]-Tabela3[[#This Row],[Perda Pçs]]</f>
        <v>144</v>
      </c>
      <c r="N723" s="38">
        <f>IFERROR(Tabela3[[#This Row],[Perda Pçs]]/Tabela3[[#This Row],[Previsto]],0)</f>
        <v>0</v>
      </c>
      <c r="O723" s="39">
        <f>IFERROR(IF(Tabela3[[#This Row],[Qtde Cx Produzida]] &lt;&gt; 0, Tabela3[[#This Row],[Tempo]] / Tabela3[[#This Row],[Qtde Cx Produzida]], 0),0)</f>
        <v>5.208333333333333E-3</v>
      </c>
      <c r="P723" s="57">
        <f>IFERROR(Tabela3[[#This Row],[Perda Pçs]]/Tabela3[[#This Row],[Qdt Peça Placa]],0)</f>
        <v>0</v>
      </c>
      <c r="Q723" s="37">
        <f>IFERROR(Tabela3[[#This Row],[Realizado]]*Tabela3[[#This Row],[Peso Util/Pç]],0)</f>
        <v>18.288</v>
      </c>
      <c r="R723" s="37">
        <f>IFERROR(Tabela3[[#This Row],[Peso Total Galho]]*Tabela3[[#This Row],[Qtde Cx Produzida]]*1.055,0)</f>
        <v>32.747199999999999</v>
      </c>
      <c r="S723" s="37">
        <f>(Tabela3[[#This Row],[Aluminio Bruto]]-Tabela3[[#This Row],[Aluminio Util]])*0.9</f>
        <v>13.01328</v>
      </c>
      <c r="T723" s="37">
        <f>Tabela3[[#This Row],[Aluminio Bruto]]/OleoKGAluminio</f>
        <v>13.776704698277195</v>
      </c>
      <c r="U723" s="35">
        <f>IFERROR((VLOOKUP(Tabela3[[#This Row],[Moldador]],Tabela1[],5,)+(VLOOKUP(Tabela3[[#This Row],[Ajudante]],Tabela1[],5,))*3.5),0)</f>
        <v>99.95034583333333</v>
      </c>
      <c r="V723" s="35">
        <f>IFERROR(Tabela3[[#This Row],[Custo M.O. / H]]/((Tabela3[[#This Row],[Realizado]]/Tabela3[[#This Row],[Qdt Peça Placa]])/Tabela3[[#This Row],[Tempo]]/24),)</f>
        <v>12.493793229166666</v>
      </c>
      <c r="W723" s="35">
        <f>Tabela3[[#This Row],[Custo / Cx Moldada]]*Tabela3[[#This Row],[Qtde Cx Produzida]]</f>
        <v>99.95034583333333</v>
      </c>
      <c r="X723" s="35">
        <f ca="1">Tabela3[[#This Row],[Aluminio Util]]*Tabela3[[#This Row],[Custo/Kg]]</f>
        <v>303.02945596862367</v>
      </c>
      <c r="Y723" s="35">
        <f>IFERROR(VLOOKUP(Tabela3[[#This Row],[Data]],Tabela461213[],2,1)*(Tabela3[[#This Row],[Qtde Cx Produzida]]*Tabela3[[#This Row],[Qde macho / CX]]*Tabela3[[#This Row],[Peso Macho]]),)</f>
        <v>0</v>
      </c>
      <c r="Z723" s="35">
        <f>IFERROR(Tabela3[[#This Row],[Qtde Oleo]]*(VLOOKUP(Tabela3[[#This Row],[Data]],CompraOleo[],3,TRUE))*1.05,0)</f>
        <v>36.16384983297764</v>
      </c>
      <c r="AA723" s="47">
        <f ca="1">(Tabela3[[#This Row],[Custo Oleo]]+Tabela3[[#This Row],[Custo Aluminio]]+Tabela3[[#This Row],[Custo M.O. Total]]+Tabela3[[#This Row],[Custo Machos]])</f>
        <v>439.1436516349346</v>
      </c>
      <c r="AB723" s="47">
        <f ca="1">Tabela3[[#This Row],[Custo Total]]*Tabela3[[#This Row],[% Perda]]</f>
        <v>0</v>
      </c>
      <c r="AC723" s="48">
        <f>IFERROR(VLOOKUP(Tabela3[[#This Row],[Produto]],Tabela2[],2,0),0)</f>
        <v>18</v>
      </c>
      <c r="AD723" s="48">
        <f>IFERROR(VLOOKUP(Tabela3[[#This Row],[Produto]],Tabela2[],3,0),0)</f>
        <v>0.127</v>
      </c>
      <c r="AE723" s="48">
        <f>IFERROR(VLOOKUP(Tabela3[[#This Row],[Produto]],Tabela2[],4,0),0)</f>
        <v>3.88</v>
      </c>
      <c r="AF723" s="48">
        <f>IFERROR(VLOOKUP(Tabela3[[#This Row],[Produto]],Tabela2[],5,0),0)</f>
        <v>1.4345999999999999</v>
      </c>
      <c r="AG723" s="40">
        <f>IFERROR(VLOOKUP(Tabela3[[#This Row],[Produto]],Tabela2[],6,0),0)</f>
        <v>0</v>
      </c>
      <c r="AH723" s="40">
        <f>IFERROR(VLOOKUP(Tabela3[[#This Row],[Produto]],Tabela2[],7,0),0)</f>
        <v>0</v>
      </c>
      <c r="AI723" s="40">
        <f>IFERROR(VLOOKUP(Tabela3[[#This Row],[Produto]],Tabela2[],8,0),0)</f>
        <v>0</v>
      </c>
      <c r="AJ723" s="35">
        <f ca="1">IFERROR(VLOOKUP(Tabela3[[#This Row],[Produto]],Tabela2[],13,0),0)</f>
        <v>16.569852141766386</v>
      </c>
      <c r="AK723" s="40" t="str">
        <f>IFERROR(VLOOKUP(Tabela3[[#This Row],[Produto]],Tabela2[],14,0),0)</f>
        <v>Marcelo</v>
      </c>
      <c r="AL723" s="40">
        <f>IFERROR(VLOOKUP(Tabela3[[#This Row],[Produto]],Tabela2[],15,0),0)</f>
        <v>0</v>
      </c>
      <c r="AM723" s="36">
        <f ca="1">(Tabela3[[#This Row],[Custo Usinagem]]+Tabela3[[#This Row],[Custo / Pç]])*1.2</f>
        <v>3.6595304302911216</v>
      </c>
      <c r="AN723" s="36">
        <f ca="1">Tabela3[[#This Row],[Valor Mínimo Venda]]*1.15</f>
        <v>4.2084599948347892</v>
      </c>
      <c r="AO723" s="36">
        <f ca="1">Tabela3[[#This Row],[Tabela 1]]*1.08</f>
        <v>4.5451367944215724</v>
      </c>
      <c r="AP723" s="36">
        <f ca="1">Tabela3[[#This Row],[Tabela 2]]*1.15</f>
        <v>5.2269073135848076</v>
      </c>
    </row>
    <row r="724" spans="1:42">
      <c r="A724" s="9">
        <v>45938</v>
      </c>
      <c r="B724" s="6" t="s">
        <v>237</v>
      </c>
      <c r="C724" s="14">
        <v>8060</v>
      </c>
      <c r="D724" s="6" t="s">
        <v>44</v>
      </c>
      <c r="E724" s="6" t="s">
        <v>47</v>
      </c>
      <c r="F724" s="6">
        <v>25</v>
      </c>
      <c r="G724" s="15">
        <v>0.13263888888888889</v>
      </c>
      <c r="H724" s="16">
        <v>0</v>
      </c>
      <c r="I724" s="35">
        <f ca="1">IFERROR(Tabela3[[#This Row],[Custo Total]]/Tabela3[[#This Row],[Aluminio Util]],0)</f>
        <v>24.253537739220018</v>
      </c>
      <c r="J724" s="35">
        <f ca="1">Tabela3[[#This Row],[Custo Total]]/Tabela3[[#This Row],[Realizado]]</f>
        <v>7.033525944373805</v>
      </c>
      <c r="K724" s="37">
        <f>IFERROR(Tabela3[[#This Row],[Qtde Cx Produzida]]/Tabela3[[#This Row],[Tempo]]/24,0)</f>
        <v>7.8534031413612562</v>
      </c>
      <c r="L724" s="37">
        <f>Tabela3[[#This Row],[Qtde Cx Produzida]]*Tabela3[[#This Row],[Qdt Peça Placa]]</f>
        <v>150</v>
      </c>
      <c r="M724" s="37">
        <f>Tabela3[[#This Row],[Previsto]]-Tabela3[[#This Row],[Perda Pçs]]</f>
        <v>150</v>
      </c>
      <c r="N724" s="38">
        <f>IFERROR(Tabela3[[#This Row],[Perda Pçs]]/Tabela3[[#This Row],[Previsto]],0)</f>
        <v>0</v>
      </c>
      <c r="O724" s="39">
        <f>IFERROR(IF(Tabela3[[#This Row],[Qtde Cx Produzida]] &lt;&gt; 0, Tabela3[[#This Row],[Tempo]] / Tabela3[[#This Row],[Qtde Cx Produzida]], 0),0)</f>
        <v>5.3055555555555555E-3</v>
      </c>
      <c r="P724" s="57">
        <f>IFERROR(Tabela3[[#This Row],[Perda Pçs]]/Tabela3[[#This Row],[Qdt Peça Placa]],0)</f>
        <v>0</v>
      </c>
      <c r="Q724" s="37">
        <f>IFERROR(Tabela3[[#This Row],[Realizado]]*Tabela3[[#This Row],[Peso Util/Pç]],0)</f>
        <v>43.5</v>
      </c>
      <c r="R724" s="37">
        <f>IFERROR(Tabela3[[#This Row],[Peso Total Galho]]*Tabela3[[#This Row],[Qtde Cx Produzida]]*1.055,0)</f>
        <v>52.75</v>
      </c>
      <c r="S724" s="37">
        <f>(Tabela3[[#This Row],[Aluminio Bruto]]-Tabela3[[#This Row],[Aluminio Util]])*0.9</f>
        <v>8.3250000000000011</v>
      </c>
      <c r="T724" s="37">
        <f>Tabela3[[#This Row],[Aluminio Bruto]]/OleoKGAluminio</f>
        <v>22.191856794905274</v>
      </c>
      <c r="U724" s="35">
        <f>IFERROR((VLOOKUP(Tabela3[[#This Row],[Moldador]],Tabela1[],5,)+(VLOOKUP(Tabela3[[#This Row],[Ajudante]],Tabela1[],5,))*3.5),0)</f>
        <v>99.95034583333333</v>
      </c>
      <c r="V724" s="35">
        <f>IFERROR(Tabela3[[#This Row],[Custo M.O. / H]]/((Tabela3[[#This Row],[Realizado]]/Tabela3[[#This Row],[Qdt Peça Placa]])/Tabela3[[#This Row],[Tempo]]/24),)</f>
        <v>12.727010702777777</v>
      </c>
      <c r="W724" s="35">
        <f>Tabela3[[#This Row],[Custo / Cx Moldada]]*Tabela3[[#This Row],[Qtde Cx Produzida]]</f>
        <v>318.17526756944443</v>
      </c>
      <c r="X724" s="35">
        <f ca="1">Tabela3[[#This Row],[Aluminio Util]]*Tabela3[[#This Row],[Custo/Kg]]</f>
        <v>678.6</v>
      </c>
      <c r="Y724" s="35">
        <f>IFERROR(VLOOKUP(Tabela3[[#This Row],[Data]],Tabela461213[],2,1)*(Tabela3[[#This Row],[Qtde Cx Produzida]]*Tabela3[[#This Row],[Qde macho / CX]]*Tabela3[[#This Row],[Peso Macho]]),)</f>
        <v>0</v>
      </c>
      <c r="Z724" s="35">
        <f>IFERROR(Tabela3[[#This Row],[Qtde Oleo]]*(VLOOKUP(Tabela3[[#This Row],[Data]],CompraOleo[],3,TRUE))*1.05,0)</f>
        <v>58.253624086626346</v>
      </c>
      <c r="AA724" s="47">
        <f ca="1">(Tabela3[[#This Row],[Custo Oleo]]+Tabela3[[#This Row],[Custo Aluminio]]+Tabela3[[#This Row],[Custo M.O. Total]]+Tabela3[[#This Row],[Custo Machos]])</f>
        <v>1055.0288916560708</v>
      </c>
      <c r="AB724" s="47">
        <f ca="1">Tabela3[[#This Row],[Custo Total]]*Tabela3[[#This Row],[% Perda]]</f>
        <v>0</v>
      </c>
      <c r="AC724" s="48">
        <f>IFERROR(VLOOKUP(Tabela3[[#This Row],[Produto]],Tabela2[],2,0),0)</f>
        <v>6</v>
      </c>
      <c r="AD724" s="48">
        <f>IFERROR(VLOOKUP(Tabela3[[#This Row],[Produto]],Tabela2[],3,0),0)</f>
        <v>0.28999999999999998</v>
      </c>
      <c r="AE724" s="48">
        <f>IFERROR(VLOOKUP(Tabela3[[#This Row],[Produto]],Tabela2[],4,0),0)</f>
        <v>2</v>
      </c>
      <c r="AF724" s="48">
        <f>IFERROR(VLOOKUP(Tabela3[[#This Row],[Produto]],Tabela2[],5,0),0)</f>
        <v>0.23400000000000021</v>
      </c>
      <c r="AG724" s="40">
        <f>IFERROR(VLOOKUP(Tabela3[[#This Row],[Produto]],Tabela2[],6,0),0)</f>
        <v>0</v>
      </c>
      <c r="AH724" s="40">
        <f>IFERROR(VLOOKUP(Tabela3[[#This Row],[Produto]],Tabela2[],7,0),0)</f>
        <v>0</v>
      </c>
      <c r="AI724" s="40">
        <f>IFERROR(VLOOKUP(Tabela3[[#This Row],[Produto]],Tabela2[],8,0),0)</f>
        <v>0</v>
      </c>
      <c r="AJ724" s="35">
        <f ca="1">IFERROR(VLOOKUP(Tabela3[[#This Row],[Produto]],Tabela2[],13,0),0)</f>
        <v>15.600000000000001</v>
      </c>
      <c r="AK724" s="40" t="str">
        <f>IFERROR(VLOOKUP(Tabela3[[#This Row],[Produto]],Tabela2[],14,0),0)</f>
        <v>Senun</v>
      </c>
      <c r="AL724" s="40">
        <f>IFERROR(VLOOKUP(Tabela3[[#This Row],[Produto]],Tabela2[],15,0),0)</f>
        <v>4</v>
      </c>
      <c r="AM724" s="36">
        <f ca="1">(Tabela3[[#This Row],[Custo Usinagem]]+Tabela3[[#This Row],[Custo / Pç]])*1.2</f>
        <v>13.240231133248566</v>
      </c>
      <c r="AN724" s="36">
        <f ca="1">Tabela3[[#This Row],[Valor Mínimo Venda]]*1.15</f>
        <v>15.226265803235849</v>
      </c>
      <c r="AO724" s="36">
        <f ca="1">Tabela3[[#This Row],[Tabela 1]]*1.08</f>
        <v>16.444367067494717</v>
      </c>
      <c r="AP724" s="36">
        <f ca="1">Tabela3[[#This Row],[Tabela 2]]*1.15</f>
        <v>18.911022127618924</v>
      </c>
    </row>
    <row r="725" spans="1:42">
      <c r="A725" s="9">
        <v>45938</v>
      </c>
      <c r="B725" s="6" t="s">
        <v>105</v>
      </c>
      <c r="C725" s="14">
        <v>8054</v>
      </c>
      <c r="D725" s="6" t="s">
        <v>44</v>
      </c>
      <c r="E725" s="6" t="s">
        <v>47</v>
      </c>
      <c r="F725" s="6">
        <v>6</v>
      </c>
      <c r="G725" s="15">
        <v>4.3055555555555555E-2</v>
      </c>
      <c r="H725" s="16">
        <v>5</v>
      </c>
      <c r="I725" s="35">
        <f ca="1">IFERROR(Tabela3[[#This Row],[Custo Total]]/Tabela3[[#This Row],[Aluminio Util]],0)</f>
        <v>25.055649954196525</v>
      </c>
      <c r="J725" s="35">
        <f ca="1">Tabela3[[#This Row],[Custo Total]]/Tabela3[[#This Row],[Realizado]]</f>
        <v>19.543406964273291</v>
      </c>
      <c r="K725" s="37">
        <f>IFERROR(Tabela3[[#This Row],[Qtde Cx Produzida]]/Tabela3[[#This Row],[Tempo]]/24,0)</f>
        <v>5.8064516129032251</v>
      </c>
      <c r="L725" s="37">
        <f>Tabela3[[#This Row],[Qtde Cx Produzida]]*Tabela3[[#This Row],[Qdt Peça Placa]]</f>
        <v>36</v>
      </c>
      <c r="M725" s="37">
        <f>Tabela3[[#This Row],[Previsto]]-Tabela3[[#This Row],[Perda Pçs]]</f>
        <v>31</v>
      </c>
      <c r="N725" s="38">
        <f>IFERROR(Tabela3[[#This Row],[Perda Pçs]]/Tabela3[[#This Row],[Previsto]],0)</f>
        <v>0.1388888888888889</v>
      </c>
      <c r="O725" s="39">
        <f>IFERROR(IF(Tabela3[[#This Row],[Qtde Cx Produzida]] &lt;&gt; 0, Tabela3[[#This Row],[Tempo]] / Tabela3[[#This Row],[Qtde Cx Produzida]], 0),0)</f>
        <v>7.1759259259259259E-3</v>
      </c>
      <c r="P725" s="57">
        <f>IFERROR(Tabela3[[#This Row],[Perda Pçs]]/Tabela3[[#This Row],[Qdt Peça Placa]],0)</f>
        <v>0.83333333333333337</v>
      </c>
      <c r="Q725" s="37">
        <f>IFERROR(Tabela3[[#This Row],[Realizado]]*Tabela3[[#This Row],[Peso Util/Pç]],0)</f>
        <v>24.18</v>
      </c>
      <c r="R725" s="37">
        <f>IFERROR(Tabela3[[#This Row],[Peso Total Galho]]*Tabela3[[#This Row],[Qtde Cx Produzida]]*1.055,0)</f>
        <v>52.412399999999991</v>
      </c>
      <c r="S725" s="37">
        <f>(Tabela3[[#This Row],[Aluminio Bruto]]-Tabela3[[#This Row],[Aluminio Util]])*0.9</f>
        <v>25.409159999999993</v>
      </c>
      <c r="T725" s="37">
        <f>Tabela3[[#This Row],[Aluminio Bruto]]/OleoKGAluminio</f>
        <v>22.049828911417876</v>
      </c>
      <c r="U725" s="35">
        <f>IFERROR((VLOOKUP(Tabela3[[#This Row],[Moldador]],Tabela1[],5,)+(VLOOKUP(Tabela3[[#This Row],[Ajudante]],Tabela1[],5,))*3.5),0)</f>
        <v>99.95034583333333</v>
      </c>
      <c r="V725" s="35">
        <f>IFERROR(Tabela3[[#This Row],[Custo M.O. / H]]/((Tabela3[[#This Row],[Realizado]]/Tabela3[[#This Row],[Qdt Peça Placa]])/Tabela3[[#This Row],[Tempo]]/24),)</f>
        <v>19.990069166666661</v>
      </c>
      <c r="W725" s="35">
        <f>Tabela3[[#This Row],[Custo / Cx Moldada]]*Tabela3[[#This Row],[Qtde Cx Produzida]]</f>
        <v>119.94041499999997</v>
      </c>
      <c r="X725" s="35">
        <f ca="1">Tabela3[[#This Row],[Aluminio Util]]*Tabela3[[#This Row],[Custo/Kg]]</f>
        <v>377.20800000000003</v>
      </c>
      <c r="Y725" s="35">
        <f>IFERROR(VLOOKUP(Tabela3[[#This Row],[Data]],Tabela461213[],2,1)*(Tabela3[[#This Row],[Qtde Cx Produzida]]*Tabela3[[#This Row],[Qde macho / CX]]*Tabela3[[#This Row],[Peso Macho]]),)</f>
        <v>50.816400000000002</v>
      </c>
      <c r="Z725" s="35">
        <f>IFERROR(Tabela3[[#This Row],[Qtde Oleo]]*(VLOOKUP(Tabela3[[#This Row],[Data]],CompraOleo[],3,TRUE))*1.05,0)</f>
        <v>57.880800892471925</v>
      </c>
      <c r="AA725" s="47">
        <f ca="1">(Tabela3[[#This Row],[Custo Oleo]]+Tabela3[[#This Row],[Custo Aluminio]]+Tabela3[[#This Row],[Custo M.O. Total]]+Tabela3[[#This Row],[Custo Machos]])</f>
        <v>605.84561589247198</v>
      </c>
      <c r="AB725" s="47">
        <f ca="1">Tabela3[[#This Row],[Custo Total]]*Tabela3[[#This Row],[% Perda]]</f>
        <v>84.145224429509994</v>
      </c>
      <c r="AC725" s="48">
        <f>IFERROR(VLOOKUP(Tabela3[[#This Row],[Produto]],Tabela2[],2,0),0)</f>
        <v>6</v>
      </c>
      <c r="AD725" s="48">
        <f>IFERROR(VLOOKUP(Tabela3[[#This Row],[Produto]],Tabela2[],3,0),0)</f>
        <v>0.78</v>
      </c>
      <c r="AE725" s="48">
        <f>IFERROR(VLOOKUP(Tabela3[[#This Row],[Produto]],Tabela2[],4,0),0)</f>
        <v>8.2799999999999994</v>
      </c>
      <c r="AF725" s="48">
        <f>IFERROR(VLOOKUP(Tabela3[[#This Row],[Produto]],Tabela2[],5,0),0)</f>
        <v>3.2399999999999998</v>
      </c>
      <c r="AG725" s="40">
        <f>IFERROR(VLOOKUP(Tabela3[[#This Row],[Produto]],Tabela2[],6,0),0)</f>
        <v>0</v>
      </c>
      <c r="AH725" s="40">
        <f>IFERROR(VLOOKUP(Tabela3[[#This Row],[Produto]],Tabela2[],7,0),0)</f>
        <v>1</v>
      </c>
      <c r="AI725" s="40">
        <f>IFERROR(VLOOKUP(Tabela3[[#This Row],[Produto]],Tabela2[],8,0),0)</f>
        <v>4.9820000000000002</v>
      </c>
      <c r="AJ725" s="35">
        <f ca="1">IFERROR(VLOOKUP(Tabela3[[#This Row],[Produto]],Tabela2[],13,0),0)</f>
        <v>15.600000000000001</v>
      </c>
      <c r="AK725" s="40" t="str">
        <f>IFERROR(VLOOKUP(Tabela3[[#This Row],[Produto]],Tabela2[],14,0),0)</f>
        <v>Jumil</v>
      </c>
      <c r="AL725" s="40">
        <f>IFERROR(VLOOKUP(Tabela3[[#This Row],[Produto]],Tabela2[],15,0),0)</f>
        <v>10</v>
      </c>
      <c r="AM725" s="36">
        <f ca="1">(Tabela3[[#This Row],[Custo Usinagem]]+Tabela3[[#This Row],[Custo / Pç]])*1.2</f>
        <v>35.452088357127948</v>
      </c>
      <c r="AN725" s="36">
        <f ca="1">Tabela3[[#This Row],[Valor Mínimo Venda]]*1.15</f>
        <v>40.76990161069714</v>
      </c>
      <c r="AO725" s="36">
        <f ca="1">Tabela3[[#This Row],[Tabela 1]]*1.08</f>
        <v>44.031493739552914</v>
      </c>
      <c r="AP725" s="36">
        <f ca="1">Tabela3[[#This Row],[Tabela 2]]*1.15</f>
        <v>50.636217800485845</v>
      </c>
    </row>
    <row r="726" spans="1:42">
      <c r="A726" s="9">
        <v>45938</v>
      </c>
      <c r="B726" s="6" t="s">
        <v>236</v>
      </c>
      <c r="C726" s="14">
        <v>8106</v>
      </c>
      <c r="D726" s="6" t="s">
        <v>44</v>
      </c>
      <c r="E726" s="6" t="s">
        <v>47</v>
      </c>
      <c r="F726" s="6">
        <v>28</v>
      </c>
      <c r="G726" s="15">
        <v>0.1736111111111111</v>
      </c>
      <c r="H726" s="16"/>
      <c r="I726" s="35">
        <f ca="1">IFERROR(Tabela3[[#This Row],[Custo Total]]/Tabela3[[#This Row],[Aluminio Util]],0)</f>
        <v>25.192052620719622</v>
      </c>
      <c r="J726" s="35">
        <f ca="1">Tabela3[[#This Row],[Custo Total]]/Tabela3[[#This Row],[Realizado]]</f>
        <v>7.6079998914573252</v>
      </c>
      <c r="K726" s="37" t="s">
        <v>328</v>
      </c>
      <c r="L726" s="37">
        <f>Tabela3[[#This Row],[Qtde Cx Produzida]]*Tabela3[[#This Row],[Qdt Peça Placa]]</f>
        <v>168</v>
      </c>
      <c r="M726" s="37">
        <f>Tabela3[[#This Row],[Previsto]]-Tabela3[[#This Row],[Perda Pçs]]</f>
        <v>168</v>
      </c>
      <c r="N726" s="38">
        <f>IFERROR(Tabela3[[#This Row],[Perda Pçs]]/Tabela3[[#This Row],[Previsto]],0)</f>
        <v>0</v>
      </c>
      <c r="O726" s="39">
        <f>IFERROR(IF(Tabela3[[#This Row],[Qtde Cx Produzida]] &lt;&gt; 0, Tabela3[[#This Row],[Tempo]] / Tabela3[[#This Row],[Qtde Cx Produzida]], 0),0)</f>
        <v>6.2003968253968251E-3</v>
      </c>
      <c r="P726" s="57">
        <f>IFERROR(Tabela3[[#This Row],[Perda Pçs]]/Tabela3[[#This Row],[Qdt Peça Placa]],0)</f>
        <v>0</v>
      </c>
      <c r="Q726" s="37">
        <f>IFERROR(Tabela3[[#This Row],[Realizado]]*Tabela3[[#This Row],[Peso Util/Pç]],0)</f>
        <v>50.735999999999997</v>
      </c>
      <c r="R726" s="37">
        <f>IFERROR(Tabela3[[#This Row],[Peso Total Galho]]*Tabela3[[#This Row],[Qtde Cx Produzida]]*1.055,0)</f>
        <v>63.570079999999997</v>
      </c>
      <c r="S726" s="37">
        <f>(Tabela3[[#This Row],[Aluminio Bruto]]-Tabela3[[#This Row],[Aluminio Util]])*0.9</f>
        <v>11.550672</v>
      </c>
      <c r="T726" s="37">
        <f>Tabela3[[#This Row],[Aluminio Bruto]]/OleoKGAluminio</f>
        <v>26.743850460676242</v>
      </c>
      <c r="U726" s="35">
        <f>IFERROR((VLOOKUP(Tabela3[[#This Row],[Moldador]],Tabela1[],5,)+(VLOOKUP(Tabela3[[#This Row],[Ajudante]],Tabela1[],5,))*3.5),0)</f>
        <v>99.95034583333333</v>
      </c>
      <c r="V726" s="35">
        <f>IFERROR(Tabela3[[#This Row],[Custo M.O. / H]]/((Tabela3[[#This Row],[Realizado]]/Tabela3[[#This Row],[Qdt Peça Placa]])/Tabela3[[#This Row],[Tempo]]/24),)</f>
        <v>14.873563368055555</v>
      </c>
      <c r="W726" s="35">
        <f>Tabela3[[#This Row],[Custo / Cx Moldada]]*Tabela3[[#This Row],[Qtde Cx Produzida]]</f>
        <v>416.45977430555553</v>
      </c>
      <c r="X726" s="35">
        <f ca="1">Tabela3[[#This Row],[Aluminio Util]]*Tabela3[[#This Row],[Custo/Kg]]</f>
        <v>791.48160000000007</v>
      </c>
      <c r="Y726" s="35">
        <f>IFERROR(VLOOKUP(Tabela3[[#This Row],[Data]],Tabela461213[],2,1)*(Tabela3[[#This Row],[Qtde Cx Produzida]]*Tabela3[[#This Row],[Qde macho / CX]]*Tabela3[[#This Row],[Peso Macho]]),)</f>
        <v>0</v>
      </c>
      <c r="Z726" s="35">
        <f>IFERROR(Tabela3[[#This Row],[Qtde Oleo]]*(VLOOKUP(Tabela3[[#This Row],[Data]],CompraOleo[],3,TRUE))*1.05,0)</f>
        <v>70.202607459275143</v>
      </c>
      <c r="AA726" s="47">
        <f ca="1">(Tabela3[[#This Row],[Custo Oleo]]+Tabela3[[#This Row],[Custo Aluminio]]+Tabela3[[#This Row],[Custo M.O. Total]]+Tabela3[[#This Row],[Custo Machos]])</f>
        <v>1278.1439817648306</v>
      </c>
      <c r="AB726" s="47">
        <f ca="1">Tabela3[[#This Row],[Custo Total]]*Tabela3[[#This Row],[% Perda]]</f>
        <v>0</v>
      </c>
      <c r="AC726" s="48">
        <f>IFERROR(VLOOKUP(Tabela3[[#This Row],[Produto]],Tabela2[],2,0),0)</f>
        <v>6</v>
      </c>
      <c r="AD726" s="48">
        <f>IFERROR(VLOOKUP(Tabela3[[#This Row],[Produto]],Tabela2[],3,0),0)</f>
        <v>0.30199999999999999</v>
      </c>
      <c r="AE726" s="48">
        <f>IFERROR(VLOOKUP(Tabela3[[#This Row],[Produto]],Tabela2[],4,0),0)</f>
        <v>2.1520000000000001</v>
      </c>
      <c r="AF726" s="48">
        <f>IFERROR(VLOOKUP(Tabela3[[#This Row],[Produto]],Tabela2[],5,0),0)</f>
        <v>0.30600000000000027</v>
      </c>
      <c r="AG726" s="40">
        <f>IFERROR(VLOOKUP(Tabela3[[#This Row],[Produto]],Tabela2[],6,0),0)</f>
        <v>0</v>
      </c>
      <c r="AH726" s="40">
        <f>IFERROR(VLOOKUP(Tabela3[[#This Row],[Produto]],Tabela2[],7,0),0)</f>
        <v>0</v>
      </c>
      <c r="AI726" s="40">
        <f>IFERROR(VLOOKUP(Tabela3[[#This Row],[Produto]],Tabela2[],8,0),0)</f>
        <v>0</v>
      </c>
      <c r="AJ726" s="35">
        <f ca="1">IFERROR(VLOOKUP(Tabela3[[#This Row],[Produto]],Tabela2[],13,0),0)</f>
        <v>15.600000000000001</v>
      </c>
      <c r="AK726" s="40" t="str">
        <f>IFERROR(VLOOKUP(Tabela3[[#This Row],[Produto]],Tabela2[],14,0),0)</f>
        <v>Senun</v>
      </c>
      <c r="AL726" s="40">
        <f>IFERROR(VLOOKUP(Tabela3[[#This Row],[Produto]],Tabela2[],15,0),0)</f>
        <v>4</v>
      </c>
      <c r="AM726" s="36">
        <f ca="1">(Tabela3[[#This Row],[Custo Usinagem]]+Tabela3[[#This Row],[Custo / Pç]])*1.2</f>
        <v>13.92959986974879</v>
      </c>
      <c r="AN726" s="36">
        <f ca="1">Tabela3[[#This Row],[Valor Mínimo Venda]]*1.15</f>
        <v>16.019039850211108</v>
      </c>
      <c r="AO726" s="36">
        <f ca="1">Tabela3[[#This Row],[Tabela 1]]*1.08</f>
        <v>17.300563038227999</v>
      </c>
      <c r="AP726" s="36">
        <f ca="1">Tabela3[[#This Row],[Tabela 2]]*1.15</f>
        <v>19.895647493962198</v>
      </c>
    </row>
    <row r="727" spans="1:42">
      <c r="A727" s="9">
        <v>45939</v>
      </c>
      <c r="B727" s="6" t="s">
        <v>221</v>
      </c>
      <c r="C727" s="14">
        <v>8101</v>
      </c>
      <c r="D727" s="6" t="s">
        <v>46</v>
      </c>
      <c r="E727" s="6" t="s">
        <v>326</v>
      </c>
      <c r="F727" s="6">
        <v>21</v>
      </c>
      <c r="G727" s="15">
        <v>0.10694444444444444</v>
      </c>
      <c r="H727" s="16">
        <v>0</v>
      </c>
      <c r="I727" s="35">
        <f ca="1">IFERROR(Tabela3[[#This Row],[Custo Total]]/Tabela3[[#This Row],[Aluminio Util]],0)</f>
        <v>23.891214612786435</v>
      </c>
      <c r="J727" s="35">
        <f ca="1">Tabela3[[#This Row],[Custo Total]]/Tabela3[[#This Row],[Realizado]]</f>
        <v>3.034184255823877</v>
      </c>
      <c r="K727" s="37">
        <f>IFERROR(Tabela3[[#This Row],[Qtde Cx Produzida]]/Tabela3[[#This Row],[Tempo]]/24,0)</f>
        <v>8.1818181818181817</v>
      </c>
      <c r="L727" s="37">
        <f>Tabela3[[#This Row],[Qtde Cx Produzida]]*Tabela3[[#This Row],[Qdt Peça Placa]]</f>
        <v>378</v>
      </c>
      <c r="M727" s="37">
        <f>Tabela3[[#This Row],[Previsto]]-Tabela3[[#This Row],[Perda Pçs]]</f>
        <v>378</v>
      </c>
      <c r="N727" s="38">
        <f>IFERROR(Tabela3[[#This Row],[Perda Pçs]]/Tabela3[[#This Row],[Previsto]],0)</f>
        <v>0</v>
      </c>
      <c r="O727" s="39">
        <f>IFERROR(IF(Tabela3[[#This Row],[Qtde Cx Produzida]] &lt;&gt; 0, Tabela3[[#This Row],[Tempo]] / Tabela3[[#This Row],[Qtde Cx Produzida]], 0),0)</f>
        <v>5.0925925925925921E-3</v>
      </c>
      <c r="P727" s="57">
        <f>IFERROR(Tabela3[[#This Row],[Perda Pçs]]/Tabela3[[#This Row],[Qdt Peça Placa]],0)</f>
        <v>0</v>
      </c>
      <c r="Q727" s="37">
        <f>IFERROR(Tabela3[[#This Row],[Realizado]]*Tabela3[[#This Row],[Peso Util/Pç]],0)</f>
        <v>48.006</v>
      </c>
      <c r="R727" s="37">
        <f>IFERROR(Tabela3[[#This Row],[Peso Total Galho]]*Tabela3[[#This Row],[Qtde Cx Produzida]]*1.055,0)</f>
        <v>85.961399999999998</v>
      </c>
      <c r="S727" s="37">
        <f>(Tabela3[[#This Row],[Aluminio Bruto]]-Tabela3[[#This Row],[Aluminio Util]])*0.9</f>
        <v>34.159860000000002</v>
      </c>
      <c r="T727" s="37">
        <f>Tabela3[[#This Row],[Aluminio Bruto]]/OleoKGAluminio</f>
        <v>36.163849832977633</v>
      </c>
      <c r="U727" s="35">
        <f>IFERROR((VLOOKUP(Tabela3[[#This Row],[Moldador]],Tabela1[],5,)+(VLOOKUP(Tabela3[[#This Row],[Ajudante]],Tabela1[],5,))*3.5),0)</f>
        <v>99.95034583333333</v>
      </c>
      <c r="V727" s="35">
        <f>IFERROR(Tabela3[[#This Row],[Custo M.O. / H]]/((Tabela3[[#This Row],[Realizado]]/Tabela3[[#This Row],[Qdt Peça Placa]])/Tabela3[[#This Row],[Tempo]]/24),)</f>
        <v>12.216153379629629</v>
      </c>
      <c r="W727" s="35">
        <f>Tabela3[[#This Row],[Custo / Cx Moldada]]*Tabela3[[#This Row],[Qtde Cx Produzida]]</f>
        <v>256.53922097222221</v>
      </c>
      <c r="X727" s="35">
        <f ca="1">Tabela3[[#This Row],[Aluminio Util]]*Tabela3[[#This Row],[Custo/Kg]]</f>
        <v>795.45232191763716</v>
      </c>
      <c r="Y727" s="35">
        <f>IFERROR(VLOOKUP(Tabela3[[#This Row],[Data]],Tabela461213[],2,1)*(Tabela3[[#This Row],[Qtde Cx Produzida]]*Tabela3[[#This Row],[Qde macho / CX]]*Tabela3[[#This Row],[Peso Macho]]),)</f>
        <v>0</v>
      </c>
      <c r="Z727" s="35">
        <f>IFERROR(Tabela3[[#This Row],[Qtde Oleo]]*(VLOOKUP(Tabela3[[#This Row],[Data]],CompraOleo[],3,TRUE))*1.05,0)</f>
        <v>94.930105811566293</v>
      </c>
      <c r="AA727" s="47">
        <f ca="1">(Tabela3[[#This Row],[Custo Oleo]]+Tabela3[[#This Row],[Custo Aluminio]]+Tabela3[[#This Row],[Custo M.O. Total]]+Tabela3[[#This Row],[Custo Machos]])</f>
        <v>1146.9216487014255</v>
      </c>
      <c r="AB727" s="47">
        <f ca="1">Tabela3[[#This Row],[Custo Total]]*Tabela3[[#This Row],[% Perda]]</f>
        <v>0</v>
      </c>
      <c r="AC727" s="48">
        <f>IFERROR(VLOOKUP(Tabela3[[#This Row],[Produto]],Tabela2[],2,0),0)</f>
        <v>18</v>
      </c>
      <c r="AD727" s="48">
        <f>IFERROR(VLOOKUP(Tabela3[[#This Row],[Produto]],Tabela2[],3,0),0)</f>
        <v>0.127</v>
      </c>
      <c r="AE727" s="48">
        <f>IFERROR(VLOOKUP(Tabela3[[#This Row],[Produto]],Tabela2[],4,0),0)</f>
        <v>3.88</v>
      </c>
      <c r="AF727" s="48">
        <f>IFERROR(VLOOKUP(Tabela3[[#This Row],[Produto]],Tabela2[],5,0),0)</f>
        <v>1.4345999999999999</v>
      </c>
      <c r="AG727" s="40">
        <f>IFERROR(VLOOKUP(Tabela3[[#This Row],[Produto]],Tabela2[],6,0),0)</f>
        <v>0</v>
      </c>
      <c r="AH727" s="40">
        <f>IFERROR(VLOOKUP(Tabela3[[#This Row],[Produto]],Tabela2[],7,0),0)</f>
        <v>0</v>
      </c>
      <c r="AI727" s="40">
        <f>IFERROR(VLOOKUP(Tabela3[[#This Row],[Produto]],Tabela2[],8,0),0)</f>
        <v>0</v>
      </c>
      <c r="AJ727" s="35">
        <f ca="1">IFERROR(VLOOKUP(Tabela3[[#This Row],[Produto]],Tabela2[],13,0),0)</f>
        <v>16.569852141766386</v>
      </c>
      <c r="AK727" s="40" t="str">
        <f>IFERROR(VLOOKUP(Tabela3[[#This Row],[Produto]],Tabela2[],14,0),0)</f>
        <v>Marcelo</v>
      </c>
      <c r="AL727" s="40">
        <f>IFERROR(VLOOKUP(Tabela3[[#This Row],[Produto]],Tabela2[],15,0),0)</f>
        <v>0</v>
      </c>
      <c r="AM727" s="36">
        <f ca="1">(Tabela3[[#This Row],[Custo Usinagem]]+Tabela3[[#This Row],[Custo / Pç]])*1.2</f>
        <v>3.641021106988652</v>
      </c>
      <c r="AN727" s="36">
        <f ca="1">Tabela3[[#This Row],[Valor Mínimo Venda]]*1.15</f>
        <v>4.1871742730369492</v>
      </c>
      <c r="AO727" s="36">
        <f ca="1">Tabela3[[#This Row],[Tabela 1]]*1.08</f>
        <v>4.5221482148799055</v>
      </c>
      <c r="AP727" s="36">
        <f ca="1">Tabela3[[#This Row],[Tabela 2]]*1.15</f>
        <v>5.2004704471118908</v>
      </c>
    </row>
    <row r="728" spans="1:42">
      <c r="A728" s="9">
        <v>45939</v>
      </c>
      <c r="B728" s="6" t="s">
        <v>110</v>
      </c>
      <c r="C728" s="14">
        <v>8057</v>
      </c>
      <c r="D728" s="6" t="s">
        <v>46</v>
      </c>
      <c r="E728" s="6" t="s">
        <v>326</v>
      </c>
      <c r="F728" s="6">
        <v>10</v>
      </c>
      <c r="G728" s="15">
        <v>8.1944444444444445E-2</v>
      </c>
      <c r="H728" s="16">
        <v>0</v>
      </c>
      <c r="I728" s="35">
        <f ca="1">IFERROR(Tabela3[[#This Row],[Custo Total]]/Tabela3[[#This Row],[Aluminio Util]],0)</f>
        <v>27.114397591477079</v>
      </c>
      <c r="J728" s="35">
        <f ca="1">Tabela3[[#This Row],[Custo Total]]/Tabela3[[#This Row],[Realizado]]</f>
        <v>52.873075303380304</v>
      </c>
      <c r="K728" s="37">
        <f>IFERROR(Tabela3[[#This Row],[Qtde Cx Produzida]]/Tabela3[[#This Row],[Tempo]]/24,0)</f>
        <v>5.0847457627118642</v>
      </c>
      <c r="L728" s="37">
        <f>Tabela3[[#This Row],[Qtde Cx Produzida]]*Tabela3[[#This Row],[Qdt Peça Placa]]</f>
        <v>10</v>
      </c>
      <c r="M728" s="37">
        <f>Tabela3[[#This Row],[Previsto]]-Tabela3[[#This Row],[Perda Pçs]]</f>
        <v>10</v>
      </c>
      <c r="N728" s="38">
        <f>IFERROR(Tabela3[[#This Row],[Perda Pçs]]/Tabela3[[#This Row],[Previsto]],0)</f>
        <v>0</v>
      </c>
      <c r="O728" s="39">
        <f>IFERROR(IF(Tabela3[[#This Row],[Qtde Cx Produzida]] &lt;&gt; 0, Tabela3[[#This Row],[Tempo]] / Tabela3[[#This Row],[Qtde Cx Produzida]], 0),0)</f>
        <v>8.1944444444444452E-3</v>
      </c>
      <c r="P728" s="57">
        <f>IFERROR(Tabela3[[#This Row],[Perda Pçs]]/Tabela3[[#This Row],[Qdt Peça Placa]],0)</f>
        <v>0</v>
      </c>
      <c r="Q728" s="37">
        <f>IFERROR(Tabela3[[#This Row],[Realizado]]*Tabela3[[#This Row],[Peso Util/Pç]],0)</f>
        <v>19.5</v>
      </c>
      <c r="R728" s="37">
        <f>IFERROR(Tabela3[[#This Row],[Peso Total Galho]]*Tabela3[[#This Row],[Qtde Cx Produzida]]*1.055,0)</f>
        <v>25.32</v>
      </c>
      <c r="S728" s="37">
        <f>(Tabela3[[#This Row],[Aluminio Bruto]]-Tabela3[[#This Row],[Aluminio Util]])*0.9</f>
        <v>5.2380000000000004</v>
      </c>
      <c r="T728" s="37">
        <f>Tabela3[[#This Row],[Aluminio Bruto]]/OleoKGAluminio</f>
        <v>10.652091261554531</v>
      </c>
      <c r="U728" s="35">
        <f>IFERROR((VLOOKUP(Tabela3[[#This Row],[Moldador]],Tabela1[],5,)+(VLOOKUP(Tabela3[[#This Row],[Ajudante]],Tabela1[],5,))*3.5),0)</f>
        <v>99.95034583333333</v>
      </c>
      <c r="V728" s="35">
        <f>IFERROR(Tabela3[[#This Row],[Custo M.O. / H]]/((Tabela3[[#This Row],[Realizado]]/Tabela3[[#This Row],[Qdt Peça Placa]])/Tabela3[[#This Row],[Tempo]]/24),)</f>
        <v>19.656901347222224</v>
      </c>
      <c r="W728" s="35">
        <f>Tabela3[[#This Row],[Custo / Cx Moldada]]*Tabela3[[#This Row],[Qtde Cx Produzida]]</f>
        <v>196.56901347222225</v>
      </c>
      <c r="X728" s="35">
        <f ca="1">Tabela3[[#This Row],[Aluminio Util]]*Tabela3[[#This Row],[Custo/Kg]]</f>
        <v>304.20000000000005</v>
      </c>
      <c r="Y728" s="35">
        <f>IFERROR(VLOOKUP(Tabela3[[#This Row],[Data]],Tabela461213[],2,1)*(Tabela3[[#This Row],[Qtde Cx Produzida]]*Tabela3[[#This Row],[Qde macho / CX]]*Tabela3[[#This Row],[Peso Macho]]),)</f>
        <v>0</v>
      </c>
      <c r="Z728" s="35">
        <f>IFERROR(Tabela3[[#This Row],[Qtde Oleo]]*(VLOOKUP(Tabela3[[#This Row],[Data]],CompraOleo[],3,TRUE))*1.05,0)</f>
        <v>27.961739561580647</v>
      </c>
      <c r="AA728" s="47">
        <f ca="1">(Tabela3[[#This Row],[Custo Oleo]]+Tabela3[[#This Row],[Custo Aluminio]]+Tabela3[[#This Row],[Custo M.O. Total]]+Tabela3[[#This Row],[Custo Machos]])</f>
        <v>528.73075303380301</v>
      </c>
      <c r="AB728" s="47">
        <f ca="1">Tabela3[[#This Row],[Custo Total]]*Tabela3[[#This Row],[% Perda]]</f>
        <v>0</v>
      </c>
      <c r="AC728" s="48">
        <f>IFERROR(VLOOKUP(Tabela3[[#This Row],[Produto]],Tabela2[],2,0),0)</f>
        <v>1</v>
      </c>
      <c r="AD728" s="48">
        <f>IFERROR(VLOOKUP(Tabela3[[#This Row],[Produto]],Tabela2[],3,0),0)</f>
        <v>1.95</v>
      </c>
      <c r="AE728" s="48">
        <f>IFERROR(VLOOKUP(Tabela3[[#This Row],[Produto]],Tabela2[],4,0),0)</f>
        <v>2.4</v>
      </c>
      <c r="AF728" s="48">
        <f>IFERROR(VLOOKUP(Tabela3[[#This Row],[Produto]],Tabela2[],5,0),0)</f>
        <v>0.40499999999999997</v>
      </c>
      <c r="AG728" s="40">
        <f>IFERROR(VLOOKUP(Tabela3[[#This Row],[Produto]],Tabela2[],6,0),0)</f>
        <v>0</v>
      </c>
      <c r="AH728" s="40">
        <f>IFERROR(VLOOKUP(Tabela3[[#This Row],[Produto]],Tabela2[],7,0),0)</f>
        <v>1</v>
      </c>
      <c r="AI728" s="40">
        <f>IFERROR(VLOOKUP(Tabela3[[#This Row],[Produto]],Tabela2[],8,0),0)</f>
        <v>0</v>
      </c>
      <c r="AJ728" s="35">
        <f ca="1">IFERROR(VLOOKUP(Tabela3[[#This Row],[Produto]],Tabela2[],13,0),0)</f>
        <v>15.600000000000001</v>
      </c>
      <c r="AK728" s="40" t="str">
        <f>IFERROR(VLOOKUP(Tabela3[[#This Row],[Produto]],Tabela2[],14,0),0)</f>
        <v>Jumil</v>
      </c>
      <c r="AL728" s="40">
        <f>IFERROR(VLOOKUP(Tabela3[[#This Row],[Produto]],Tabela2[],15,0),0)</f>
        <v>1</v>
      </c>
      <c r="AM728" s="36">
        <f ca="1">(Tabela3[[#This Row],[Custo Usinagem]]+Tabela3[[#This Row],[Custo / Pç]])*1.2</f>
        <v>64.647690364056359</v>
      </c>
      <c r="AN728" s="36">
        <f ca="1">Tabela3[[#This Row],[Valor Mínimo Venda]]*1.15</f>
        <v>74.344843918664807</v>
      </c>
      <c r="AO728" s="36">
        <f ca="1">Tabela3[[#This Row],[Tabela 1]]*1.08</f>
        <v>80.292431432157997</v>
      </c>
      <c r="AP728" s="36">
        <f ca="1">Tabela3[[#This Row],[Tabela 2]]*1.15</f>
        <v>92.336296146981695</v>
      </c>
    </row>
    <row r="729" spans="1:42">
      <c r="A729" s="9">
        <v>45939</v>
      </c>
      <c r="B729" s="6" t="s">
        <v>252</v>
      </c>
      <c r="C729" s="14">
        <v>8116</v>
      </c>
      <c r="D729" s="6" t="s">
        <v>46</v>
      </c>
      <c r="E729" s="6" t="s">
        <v>326</v>
      </c>
      <c r="F729" s="6">
        <v>32</v>
      </c>
      <c r="G729" s="15">
        <v>0.15416666666666667</v>
      </c>
      <c r="H729" s="16">
        <v>1</v>
      </c>
      <c r="I729" s="35">
        <f ca="1">IFERROR(Tabela3[[#This Row],[Custo Total]]/Tabela3[[#This Row],[Aluminio Util]],0)</f>
        <v>28.969096570493825</v>
      </c>
      <c r="J729" s="35">
        <f ca="1">Tabela3[[#This Row],[Custo Total]]/Tabela3[[#This Row],[Realizado]]</f>
        <v>37.659825541641979</v>
      </c>
      <c r="K729" s="37">
        <f>IFERROR(Tabela3[[#This Row],[Qtde Cx Produzida]]/Tabela3[[#This Row],[Tempo]]/24,0)</f>
        <v>8.6486486486486474</v>
      </c>
      <c r="L729" s="37">
        <f>Tabela3[[#This Row],[Qtde Cx Produzida]]*Tabela3[[#This Row],[Qdt Peça Placa]]</f>
        <v>32</v>
      </c>
      <c r="M729" s="37">
        <f>Tabela3[[#This Row],[Previsto]]-Tabela3[[#This Row],[Perda Pçs]]</f>
        <v>31</v>
      </c>
      <c r="N729" s="38">
        <f>IFERROR(Tabela3[[#This Row],[Perda Pçs]]/Tabela3[[#This Row],[Previsto]],0)</f>
        <v>3.125E-2</v>
      </c>
      <c r="O729" s="39">
        <f>IFERROR(IF(Tabela3[[#This Row],[Qtde Cx Produzida]] &lt;&gt; 0, Tabela3[[#This Row],[Tempo]] / Tabela3[[#This Row],[Qtde Cx Produzida]], 0),0)</f>
        <v>4.8177083333333336E-3</v>
      </c>
      <c r="P729" s="57">
        <f>IFERROR(Tabela3[[#This Row],[Perda Pçs]]/Tabela3[[#This Row],[Qdt Peça Placa]],0)</f>
        <v>1</v>
      </c>
      <c r="Q729" s="37">
        <f>IFERROR(Tabela3[[#This Row],[Realizado]]*Tabela3[[#This Row],[Peso Util/Pç]],0)</f>
        <v>40.300000000000004</v>
      </c>
      <c r="R729" s="37">
        <f>IFERROR(Tabela3[[#This Row],[Peso Total Galho]]*Tabela3[[#This Row],[Qtde Cx Produzida]]*1.055,0)</f>
        <v>69.207999999999984</v>
      </c>
      <c r="S729" s="37">
        <f>(Tabela3[[#This Row],[Aluminio Bruto]]-Tabela3[[#This Row],[Aluminio Util]])*0.9</f>
        <v>26.017199999999981</v>
      </c>
      <c r="T729" s="37">
        <f>Tabela3[[#This Row],[Aluminio Bruto]]/OleoKGAluminio</f>
        <v>29.115716114915713</v>
      </c>
      <c r="U729" s="35">
        <f>IFERROR((VLOOKUP(Tabela3[[#This Row],[Moldador]],Tabela1[],5,)+(VLOOKUP(Tabela3[[#This Row],[Ajudante]],Tabela1[],5,))*3.5),0)</f>
        <v>99.95034583333333</v>
      </c>
      <c r="V729" s="35">
        <f>IFERROR(Tabela3[[#This Row],[Custo M.O. / H]]/((Tabela3[[#This Row],[Realizado]]/Tabela3[[#This Row],[Qdt Peça Placa]])/Tabela3[[#This Row],[Tempo]]/24),)</f>
        <v>11.929557405913981</v>
      </c>
      <c r="W729" s="35">
        <f>Tabela3[[#This Row],[Custo / Cx Moldada]]*Tabela3[[#This Row],[Qtde Cx Produzida]]</f>
        <v>381.74583698924738</v>
      </c>
      <c r="X729" s="35">
        <f ca="1">Tabela3[[#This Row],[Aluminio Util]]*Tabela3[[#This Row],[Custo/Kg]]</f>
        <v>709.28000000000009</v>
      </c>
      <c r="Y729" s="35">
        <f>IFERROR(VLOOKUP(Tabela3[[#This Row],[Data]],Tabela461213[],2,1)*(Tabela3[[#This Row],[Qtde Cx Produzida]]*Tabela3[[#This Row],[Qde macho / CX]]*Tabela3[[#This Row],[Peso Macho]]),)</f>
        <v>0</v>
      </c>
      <c r="Z729" s="35">
        <f>IFERROR(Tabela3[[#This Row],[Qtde Oleo]]*(VLOOKUP(Tabela3[[#This Row],[Data]],CompraOleo[],3,TRUE))*1.05,0)</f>
        <v>76.428754801653739</v>
      </c>
      <c r="AA729" s="47">
        <f ca="1">(Tabela3[[#This Row],[Custo Oleo]]+Tabela3[[#This Row],[Custo Aluminio]]+Tabela3[[#This Row],[Custo M.O. Total]]+Tabela3[[#This Row],[Custo Machos]])</f>
        <v>1167.4545917909013</v>
      </c>
      <c r="AB729" s="47">
        <f ca="1">Tabela3[[#This Row],[Custo Total]]*Tabela3[[#This Row],[% Perda]]</f>
        <v>36.482955993465666</v>
      </c>
      <c r="AC729" s="48">
        <f>IFERROR(VLOOKUP(Tabela3[[#This Row],[Produto]],Tabela2[],2,0),0)</f>
        <v>1</v>
      </c>
      <c r="AD729" s="48">
        <f>IFERROR(VLOOKUP(Tabela3[[#This Row],[Produto]],Tabela2[],3,0),0)</f>
        <v>1.3</v>
      </c>
      <c r="AE729" s="48">
        <f>IFERROR(VLOOKUP(Tabela3[[#This Row],[Produto]],Tabela2[],4,0),0)</f>
        <v>2.0499999999999998</v>
      </c>
      <c r="AF729" s="48">
        <f>IFERROR(VLOOKUP(Tabela3[[#This Row],[Produto]],Tabela2[],5,0),0)</f>
        <v>0.67499999999999982</v>
      </c>
      <c r="AG729" s="40">
        <f>IFERROR(VLOOKUP(Tabela3[[#This Row],[Produto]],Tabela2[],6,0),0)</f>
        <v>0</v>
      </c>
      <c r="AH729" s="40">
        <f>IFERROR(VLOOKUP(Tabela3[[#This Row],[Produto]],Tabela2[],7,0),0)</f>
        <v>0</v>
      </c>
      <c r="AI729" s="40">
        <f>IFERROR(VLOOKUP(Tabela3[[#This Row],[Produto]],Tabela2[],8,0),0)</f>
        <v>0</v>
      </c>
      <c r="AJ729" s="35">
        <f ca="1">IFERROR(VLOOKUP(Tabela3[[#This Row],[Produto]],Tabela2[],13,0),0)</f>
        <v>17.600000000000001</v>
      </c>
      <c r="AK729" s="40" t="str">
        <f>IFERROR(VLOOKUP(Tabela3[[#This Row],[Produto]],Tabela2[],14,0),0)</f>
        <v>Protec</v>
      </c>
      <c r="AL729" s="40">
        <f>IFERROR(VLOOKUP(Tabela3[[#This Row],[Produto]],Tabela2[],15,0),0)</f>
        <v>0</v>
      </c>
      <c r="AM729" s="36">
        <f ca="1">(Tabela3[[#This Row],[Custo Usinagem]]+Tabela3[[#This Row],[Custo / Pç]])*1.2</f>
        <v>45.191790649970372</v>
      </c>
      <c r="AN729" s="36">
        <f ca="1">Tabela3[[#This Row],[Valor Mínimo Venda]]*1.15</f>
        <v>51.970559247465921</v>
      </c>
      <c r="AO729" s="36">
        <f ca="1">Tabela3[[#This Row],[Tabela 1]]*1.08</f>
        <v>56.128203987263198</v>
      </c>
      <c r="AP729" s="36">
        <f ca="1">Tabela3[[#This Row],[Tabela 2]]*1.15</f>
        <v>64.547434585352676</v>
      </c>
    </row>
    <row r="730" spans="1:42">
      <c r="A730" s="9">
        <v>45939</v>
      </c>
      <c r="B730" s="6" t="s">
        <v>236</v>
      </c>
      <c r="C730" s="14">
        <v>8106</v>
      </c>
      <c r="D730" s="6" t="s">
        <v>44</v>
      </c>
      <c r="E730" s="6" t="s">
        <v>47</v>
      </c>
      <c r="F730" s="6">
        <v>63</v>
      </c>
      <c r="G730" s="15">
        <v>0.36249999999999999</v>
      </c>
      <c r="H730" s="16">
        <v>0</v>
      </c>
      <c r="I730" s="35">
        <f ca="1">IFERROR(Tabela3[[#This Row],[Custo Total]]/Tabela3[[#This Row],[Aluminio Util]],0)</f>
        <v>24.601050102783638</v>
      </c>
      <c r="J730" s="35">
        <f ca="1">Tabela3[[#This Row],[Custo Total]]/Tabela3[[#This Row],[Realizado]]</f>
        <v>7.429517131040658</v>
      </c>
      <c r="K730" s="37">
        <f>IFERROR(Tabela3[[#This Row],[Qtde Cx Produzida]]/Tabela3[[#This Row],[Tempo]]/24,0)</f>
        <v>7.2413793103448283</v>
      </c>
      <c r="L730" s="37">
        <f>Tabela3[[#This Row],[Qtde Cx Produzida]]*Tabela3[[#This Row],[Qdt Peça Placa]]</f>
        <v>378</v>
      </c>
      <c r="M730" s="37">
        <f>Tabela3[[#This Row],[Previsto]]-Tabela3[[#This Row],[Perda Pçs]]</f>
        <v>378</v>
      </c>
      <c r="N730" s="38">
        <f>IFERROR(Tabela3[[#This Row],[Perda Pçs]]/Tabela3[[#This Row],[Previsto]],0)</f>
        <v>0</v>
      </c>
      <c r="O730" s="39">
        <f>IFERROR(IF(Tabela3[[#This Row],[Qtde Cx Produzida]] &lt;&gt; 0, Tabela3[[#This Row],[Tempo]] / Tabela3[[#This Row],[Qtde Cx Produzida]], 0),0)</f>
        <v>5.7539682539682535E-3</v>
      </c>
      <c r="P730" s="57">
        <f>IFERROR(Tabela3[[#This Row],[Perda Pçs]]/Tabela3[[#This Row],[Qdt Peça Placa]],0)</f>
        <v>0</v>
      </c>
      <c r="Q730" s="37">
        <f>IFERROR(Tabela3[[#This Row],[Realizado]]*Tabela3[[#This Row],[Peso Util/Pç]],0)</f>
        <v>114.15599999999999</v>
      </c>
      <c r="R730" s="37">
        <f>IFERROR(Tabela3[[#This Row],[Peso Total Galho]]*Tabela3[[#This Row],[Qtde Cx Produzida]]*1.055,0)</f>
        <v>143.03268000000003</v>
      </c>
      <c r="S730" s="37">
        <f>(Tabela3[[#This Row],[Aluminio Bruto]]-Tabela3[[#This Row],[Aluminio Util]])*0.9</f>
        <v>25.989012000000034</v>
      </c>
      <c r="T730" s="37">
        <f>Tabela3[[#This Row],[Aluminio Bruto]]/OleoKGAluminio</f>
        <v>60.173663536521559</v>
      </c>
      <c r="U730" s="35">
        <f>IFERROR((VLOOKUP(Tabela3[[#This Row],[Moldador]],Tabela1[],5,)+(VLOOKUP(Tabela3[[#This Row],[Ajudante]],Tabela1[],5,))*3.5),0)</f>
        <v>99.95034583333333</v>
      </c>
      <c r="V730" s="35">
        <f>IFERROR(Tabela3[[#This Row],[Custo M.O. / H]]/((Tabela3[[#This Row],[Realizado]]/Tabela3[[#This Row],[Qdt Peça Placa]])/Tabela3[[#This Row],[Tempo]]/24),)</f>
        <v>13.802666805555553</v>
      </c>
      <c r="W730" s="35">
        <f>Tabela3[[#This Row],[Custo / Cx Moldada]]*Tabela3[[#This Row],[Qtde Cx Produzida]]</f>
        <v>869.56800874999988</v>
      </c>
      <c r="X730" s="35">
        <f ca="1">Tabela3[[#This Row],[Aluminio Util]]*Tabela3[[#This Row],[Custo/Kg]]</f>
        <v>1780.8335999999999</v>
      </c>
      <c r="Y730" s="35">
        <f>IFERROR(VLOOKUP(Tabela3[[#This Row],[Data]],Tabela461213[],2,1)*(Tabela3[[#This Row],[Qtde Cx Produzida]]*Tabela3[[#This Row],[Qde macho / CX]]*Tabela3[[#This Row],[Peso Macho]]),)</f>
        <v>0</v>
      </c>
      <c r="Z730" s="35">
        <f>IFERROR(Tabela3[[#This Row],[Qtde Oleo]]*(VLOOKUP(Tabela3[[#This Row],[Data]],CompraOleo[],3,TRUE))*1.05,0)</f>
        <v>157.95586678336909</v>
      </c>
      <c r="AA730" s="47">
        <f ca="1">(Tabela3[[#This Row],[Custo Oleo]]+Tabela3[[#This Row],[Custo Aluminio]]+Tabela3[[#This Row],[Custo M.O. Total]]+Tabela3[[#This Row],[Custo Machos]])</f>
        <v>2808.3574755333689</v>
      </c>
      <c r="AB730" s="47">
        <f ca="1">Tabela3[[#This Row],[Custo Total]]*Tabela3[[#This Row],[% Perda]]</f>
        <v>0</v>
      </c>
      <c r="AC730" s="48">
        <f>IFERROR(VLOOKUP(Tabela3[[#This Row],[Produto]],Tabela2[],2,0),0)</f>
        <v>6</v>
      </c>
      <c r="AD730" s="48">
        <f>IFERROR(VLOOKUP(Tabela3[[#This Row],[Produto]],Tabela2[],3,0),0)</f>
        <v>0.30199999999999999</v>
      </c>
      <c r="AE730" s="48">
        <f>IFERROR(VLOOKUP(Tabela3[[#This Row],[Produto]],Tabela2[],4,0),0)</f>
        <v>2.1520000000000001</v>
      </c>
      <c r="AF730" s="48">
        <f>IFERROR(VLOOKUP(Tabela3[[#This Row],[Produto]],Tabela2[],5,0),0)</f>
        <v>0.30600000000000027</v>
      </c>
      <c r="AG730" s="40">
        <f>IFERROR(VLOOKUP(Tabela3[[#This Row],[Produto]],Tabela2[],6,0),0)</f>
        <v>0</v>
      </c>
      <c r="AH730" s="40">
        <f>IFERROR(VLOOKUP(Tabela3[[#This Row],[Produto]],Tabela2[],7,0),0)</f>
        <v>0</v>
      </c>
      <c r="AI730" s="40">
        <f>IFERROR(VLOOKUP(Tabela3[[#This Row],[Produto]],Tabela2[],8,0),0)</f>
        <v>0</v>
      </c>
      <c r="AJ730" s="35">
        <f ca="1">IFERROR(VLOOKUP(Tabela3[[#This Row],[Produto]],Tabela2[],13,0),0)</f>
        <v>15.600000000000001</v>
      </c>
      <c r="AK730" s="40" t="str">
        <f>IFERROR(VLOOKUP(Tabela3[[#This Row],[Produto]],Tabela2[],14,0),0)</f>
        <v>Senun</v>
      </c>
      <c r="AL730" s="40">
        <f>IFERROR(VLOOKUP(Tabela3[[#This Row],[Produto]],Tabela2[],15,0),0)</f>
        <v>4</v>
      </c>
      <c r="AM730" s="36">
        <f ca="1">(Tabela3[[#This Row],[Custo Usinagem]]+Tabela3[[#This Row],[Custo / Pç]])*1.2</f>
        <v>13.715420557248789</v>
      </c>
      <c r="AN730" s="36">
        <f ca="1">Tabela3[[#This Row],[Valor Mínimo Venda]]*1.15</f>
        <v>15.772733640836107</v>
      </c>
      <c r="AO730" s="36">
        <f ca="1">Tabela3[[#This Row],[Tabela 1]]*1.08</f>
        <v>17.034552332102997</v>
      </c>
      <c r="AP730" s="36">
        <f ca="1">Tabela3[[#This Row],[Tabela 2]]*1.15</f>
        <v>19.589735181918446</v>
      </c>
    </row>
    <row r="731" spans="1:42">
      <c r="A731" s="9">
        <v>45940</v>
      </c>
      <c r="B731" s="6" t="s">
        <v>252</v>
      </c>
      <c r="C731" s="14">
        <v>8116</v>
      </c>
      <c r="D731" s="6" t="s">
        <v>46</v>
      </c>
      <c r="E731" s="6" t="s">
        <v>326</v>
      </c>
      <c r="F731" s="6">
        <v>3</v>
      </c>
      <c r="G731" s="15">
        <v>1.4583333333333334E-2</v>
      </c>
      <c r="H731" s="16">
        <v>0</v>
      </c>
      <c r="I731" s="35">
        <f ca="1">IFERROR(Tabela3[[#This Row],[Custo Total]]/Tabela3[[#This Row],[Aluminio Util]],0)</f>
        <v>28.407132513928644</v>
      </c>
      <c r="J731" s="35">
        <f ca="1">Tabela3[[#This Row],[Custo Total]]/Tabela3[[#This Row],[Realizado]]</f>
        <v>36.929272268107241</v>
      </c>
      <c r="K731" s="37">
        <f>IFERROR(Tabela3[[#This Row],[Qtde Cx Produzida]]/Tabela3[[#This Row],[Tempo]]/24,0)</f>
        <v>8.5714285714285712</v>
      </c>
      <c r="L731" s="37">
        <f>Tabela3[[#This Row],[Qtde Cx Produzida]]*Tabela3[[#This Row],[Qdt Peça Placa]]</f>
        <v>3</v>
      </c>
      <c r="M731" s="37">
        <f>Tabela3[[#This Row],[Previsto]]-Tabela3[[#This Row],[Perda Pçs]]</f>
        <v>3</v>
      </c>
      <c r="N731" s="38">
        <f>IFERROR(Tabela3[[#This Row],[Perda Pçs]]/Tabela3[[#This Row],[Previsto]],0)</f>
        <v>0</v>
      </c>
      <c r="O731" s="39">
        <f>IFERROR(IF(Tabela3[[#This Row],[Qtde Cx Produzida]] &lt;&gt; 0, Tabela3[[#This Row],[Tempo]] / Tabela3[[#This Row],[Qtde Cx Produzida]], 0),0)</f>
        <v>4.8611111111111112E-3</v>
      </c>
      <c r="P731" s="57">
        <f>IFERROR(Tabela3[[#This Row],[Perda Pçs]]/Tabela3[[#This Row],[Qdt Peça Placa]],0)</f>
        <v>0</v>
      </c>
      <c r="Q731" s="37">
        <f>IFERROR(Tabela3[[#This Row],[Realizado]]*Tabela3[[#This Row],[Peso Util/Pç]],0)</f>
        <v>3.9000000000000004</v>
      </c>
      <c r="R731" s="37">
        <f>IFERROR(Tabela3[[#This Row],[Peso Total Galho]]*Tabela3[[#This Row],[Qtde Cx Produzida]]*1.055,0)</f>
        <v>6.488249999999999</v>
      </c>
      <c r="S731" s="37">
        <f>(Tabela3[[#This Row],[Aluminio Bruto]]-Tabela3[[#This Row],[Aluminio Util]])*0.9</f>
        <v>2.3294249999999987</v>
      </c>
      <c r="T731" s="37">
        <f>Tabela3[[#This Row],[Aluminio Bruto]]/OleoKGAluminio</f>
        <v>2.7295983857733481</v>
      </c>
      <c r="U731" s="35">
        <f>IFERROR((VLOOKUP(Tabela3[[#This Row],[Moldador]],Tabela1[],5,)+(VLOOKUP(Tabela3[[#This Row],[Ajudante]],Tabela1[],5,))*3.5),0)</f>
        <v>99.95034583333333</v>
      </c>
      <c r="V731" s="35">
        <f>IFERROR(Tabela3[[#This Row],[Custo M.O. / H]]/((Tabela3[[#This Row],[Realizado]]/Tabela3[[#This Row],[Qdt Peça Placa]])/Tabela3[[#This Row],[Tempo]]/24),)</f>
        <v>11.660873680555556</v>
      </c>
      <c r="W731" s="35">
        <f>Tabela3[[#This Row],[Custo / Cx Moldada]]*Tabela3[[#This Row],[Qtde Cx Produzida]]</f>
        <v>34.982621041666668</v>
      </c>
      <c r="X731" s="35">
        <f ca="1">Tabela3[[#This Row],[Aluminio Util]]*Tabela3[[#This Row],[Custo/Kg]]</f>
        <v>68.640000000000015</v>
      </c>
      <c r="Y731" s="35">
        <f>IFERROR(VLOOKUP(Tabela3[[#This Row],[Data]],Tabela461213[],2,1)*(Tabela3[[#This Row],[Qtde Cx Produzida]]*Tabela3[[#This Row],[Qde macho / CX]]*Tabela3[[#This Row],[Peso Macho]]),)</f>
        <v>0</v>
      </c>
      <c r="Z731" s="35">
        <f>IFERROR(Tabela3[[#This Row],[Qtde Oleo]]*(VLOOKUP(Tabela3[[#This Row],[Data]],CompraOleo[],3,TRUE))*1.05,0)</f>
        <v>7.1651957626550393</v>
      </c>
      <c r="AA731" s="47">
        <f ca="1">(Tabela3[[#This Row],[Custo Oleo]]+Tabela3[[#This Row],[Custo Aluminio]]+Tabela3[[#This Row],[Custo M.O. Total]]+Tabela3[[#This Row],[Custo Machos]])</f>
        <v>110.78781680432172</v>
      </c>
      <c r="AB731" s="47">
        <f ca="1">Tabela3[[#This Row],[Custo Total]]*Tabela3[[#This Row],[% Perda]]</f>
        <v>0</v>
      </c>
      <c r="AC731" s="48">
        <f>IFERROR(VLOOKUP(Tabela3[[#This Row],[Produto]],Tabela2[],2,0),0)</f>
        <v>1</v>
      </c>
      <c r="AD731" s="48">
        <f>IFERROR(VLOOKUP(Tabela3[[#This Row],[Produto]],Tabela2[],3,0),0)</f>
        <v>1.3</v>
      </c>
      <c r="AE731" s="48">
        <f>IFERROR(VLOOKUP(Tabela3[[#This Row],[Produto]],Tabela2[],4,0),0)</f>
        <v>2.0499999999999998</v>
      </c>
      <c r="AF731" s="48">
        <f>IFERROR(VLOOKUP(Tabela3[[#This Row],[Produto]],Tabela2[],5,0),0)</f>
        <v>0.67499999999999982</v>
      </c>
      <c r="AG731" s="40">
        <f>IFERROR(VLOOKUP(Tabela3[[#This Row],[Produto]],Tabela2[],6,0),0)</f>
        <v>0</v>
      </c>
      <c r="AH731" s="40">
        <f>IFERROR(VLOOKUP(Tabela3[[#This Row],[Produto]],Tabela2[],7,0),0)</f>
        <v>0</v>
      </c>
      <c r="AI731" s="40">
        <f>IFERROR(VLOOKUP(Tabela3[[#This Row],[Produto]],Tabela2[],8,0),0)</f>
        <v>0</v>
      </c>
      <c r="AJ731" s="35">
        <f ca="1">IFERROR(VLOOKUP(Tabela3[[#This Row],[Produto]],Tabela2[],13,0),0)</f>
        <v>17.600000000000001</v>
      </c>
      <c r="AK731" s="40" t="str">
        <f>IFERROR(VLOOKUP(Tabela3[[#This Row],[Produto]],Tabela2[],14,0),0)</f>
        <v>Protec</v>
      </c>
      <c r="AL731" s="40">
        <f>IFERROR(VLOOKUP(Tabela3[[#This Row],[Produto]],Tabela2[],15,0),0)</f>
        <v>0</v>
      </c>
      <c r="AM731" s="36">
        <f ca="1">(Tabela3[[#This Row],[Custo Usinagem]]+Tabela3[[#This Row],[Custo / Pç]])*1.2</f>
        <v>44.315126721728689</v>
      </c>
      <c r="AN731" s="36">
        <f ca="1">Tabela3[[#This Row],[Valor Mínimo Venda]]*1.15</f>
        <v>50.962395729987989</v>
      </c>
      <c r="AO731" s="36">
        <f ca="1">Tabela3[[#This Row],[Tabela 1]]*1.08</f>
        <v>55.039387388387034</v>
      </c>
      <c r="AP731" s="36">
        <f ca="1">Tabela3[[#This Row],[Tabela 2]]*1.15</f>
        <v>63.295295496645082</v>
      </c>
    </row>
    <row r="732" spans="1:42">
      <c r="A732" s="9">
        <v>45940</v>
      </c>
      <c r="B732" s="6" t="s">
        <v>255</v>
      </c>
      <c r="C732" s="14">
        <v>8117</v>
      </c>
      <c r="D732" s="6" t="s">
        <v>46</v>
      </c>
      <c r="E732" s="6" t="s">
        <v>326</v>
      </c>
      <c r="F732" s="6">
        <v>35</v>
      </c>
      <c r="G732" s="15">
        <v>0.16250000000000001</v>
      </c>
      <c r="H732" s="16">
        <v>1</v>
      </c>
      <c r="I732" s="35">
        <f ca="1">IFERROR(Tabela3[[#This Row],[Custo Total]]/Tabela3[[#This Row],[Aluminio Util]],0)</f>
        <v>28.816698460058245</v>
      </c>
      <c r="J732" s="35">
        <f ca="1">Tabela3[[#This Row],[Custo Total]]/Tabela3[[#This Row],[Realizado]]</f>
        <v>36.020873075072807</v>
      </c>
      <c r="K732" s="37">
        <f>IFERROR(Tabela3[[#This Row],[Qtde Cx Produzida]]/Tabela3[[#This Row],[Tempo]]/24,0)</f>
        <v>8.9743589743589745</v>
      </c>
      <c r="L732" s="37">
        <f>Tabela3[[#This Row],[Qtde Cx Produzida]]*Tabela3[[#This Row],[Qdt Peça Placa]]</f>
        <v>35</v>
      </c>
      <c r="M732" s="37">
        <f>Tabela3[[#This Row],[Previsto]]-Tabela3[[#This Row],[Perda Pçs]]</f>
        <v>34</v>
      </c>
      <c r="N732" s="38">
        <f>IFERROR(Tabela3[[#This Row],[Perda Pçs]]/Tabela3[[#This Row],[Previsto]],0)</f>
        <v>2.8571428571428571E-2</v>
      </c>
      <c r="O732" s="39">
        <f>IFERROR(IF(Tabela3[[#This Row],[Qtde Cx Produzida]] &lt;&gt; 0, Tabela3[[#This Row],[Tempo]] / Tabela3[[#This Row],[Qtde Cx Produzida]], 0),0)</f>
        <v>4.642857142857143E-3</v>
      </c>
      <c r="P732" s="57">
        <f>IFERROR(Tabela3[[#This Row],[Perda Pçs]]/Tabela3[[#This Row],[Qdt Peça Placa]],0)</f>
        <v>1</v>
      </c>
      <c r="Q732" s="37">
        <f>IFERROR(Tabela3[[#This Row],[Realizado]]*Tabela3[[#This Row],[Peso Util/Pç]],0)</f>
        <v>42.5</v>
      </c>
      <c r="R732" s="37">
        <f>IFERROR(Tabela3[[#This Row],[Peso Total Galho]]*Tabela3[[#This Row],[Qtde Cx Produzida]]*1.055,0)</f>
        <v>68.311250000000001</v>
      </c>
      <c r="S732" s="37">
        <f>(Tabela3[[#This Row],[Aluminio Bruto]]-Tabela3[[#This Row],[Aluminio Util]])*0.9</f>
        <v>23.230125000000001</v>
      </c>
      <c r="T732" s="37">
        <f>Tabela3[[#This Row],[Aluminio Bruto]]/OleoKGAluminio</f>
        <v>28.738454549402331</v>
      </c>
      <c r="U732" s="35">
        <f>IFERROR((VLOOKUP(Tabela3[[#This Row],[Moldador]],Tabela1[],5,)+(VLOOKUP(Tabela3[[#This Row],[Ajudante]],Tabela1[],5,))*3.5),0)</f>
        <v>99.95034583333333</v>
      </c>
      <c r="V732" s="35">
        <f>IFERROR(Tabela3[[#This Row],[Custo M.O. / H]]/((Tabela3[[#This Row],[Realizado]]/Tabela3[[#This Row],[Qdt Peça Placa]])/Tabela3[[#This Row],[Tempo]]/24),)</f>
        <v>11.464892610294118</v>
      </c>
      <c r="W732" s="35">
        <f>Tabela3[[#This Row],[Custo / Cx Moldada]]*Tabela3[[#This Row],[Qtde Cx Produzida]]</f>
        <v>401.27124136029414</v>
      </c>
      <c r="X732" s="35">
        <f ca="1">Tabela3[[#This Row],[Aluminio Util]]*Tabela3[[#This Row],[Custo/Kg]]</f>
        <v>748.00000000000011</v>
      </c>
      <c r="Y732" s="35">
        <f>IFERROR(VLOOKUP(Tabela3[[#This Row],[Data]],Tabela461213[],2,1)*(Tabela3[[#This Row],[Qtde Cx Produzida]]*Tabela3[[#This Row],[Qde macho / CX]]*Tabela3[[#This Row],[Peso Macho]]),)</f>
        <v>0</v>
      </c>
      <c r="Z732" s="35">
        <f>IFERROR(Tabela3[[#This Row],[Qtde Oleo]]*(VLOOKUP(Tabela3[[#This Row],[Data]],CompraOleo[],3,TRUE))*1.05,0)</f>
        <v>75.438443192181126</v>
      </c>
      <c r="AA732" s="47">
        <f ca="1">(Tabela3[[#This Row],[Custo Oleo]]+Tabela3[[#This Row],[Custo Aluminio]]+Tabela3[[#This Row],[Custo M.O. Total]]+Tabela3[[#This Row],[Custo Machos]])</f>
        <v>1224.7096845524754</v>
      </c>
      <c r="AB732" s="47">
        <f ca="1">Tabela3[[#This Row],[Custo Total]]*Tabela3[[#This Row],[% Perda]]</f>
        <v>34.991705272927867</v>
      </c>
      <c r="AC732" s="48">
        <f>IFERROR(VLOOKUP(Tabela3[[#This Row],[Produto]],Tabela2[],2,0),0)</f>
        <v>1</v>
      </c>
      <c r="AD732" s="48">
        <f>IFERROR(VLOOKUP(Tabela3[[#This Row],[Produto]],Tabela2[],3,0),0)</f>
        <v>1.25</v>
      </c>
      <c r="AE732" s="48">
        <f>IFERROR(VLOOKUP(Tabela3[[#This Row],[Produto]],Tabela2[],4,0),0)</f>
        <v>1.85</v>
      </c>
      <c r="AF732" s="48">
        <f>IFERROR(VLOOKUP(Tabela3[[#This Row],[Produto]],Tabela2[],5,0),0)</f>
        <v>0.54000000000000015</v>
      </c>
      <c r="AG732" s="40">
        <f>IFERROR(VLOOKUP(Tabela3[[#This Row],[Produto]],Tabela2[],6,0),0)</f>
        <v>0</v>
      </c>
      <c r="AH732" s="40">
        <f>IFERROR(VLOOKUP(Tabela3[[#This Row],[Produto]],Tabela2[],7,0),0)</f>
        <v>0</v>
      </c>
      <c r="AI732" s="40">
        <f>IFERROR(VLOOKUP(Tabela3[[#This Row],[Produto]],Tabela2[],8,0),0)</f>
        <v>0</v>
      </c>
      <c r="AJ732" s="35">
        <f ca="1">IFERROR(VLOOKUP(Tabela3[[#This Row],[Produto]],Tabela2[],13,0),0)</f>
        <v>17.600000000000001</v>
      </c>
      <c r="AK732" s="40" t="str">
        <f>IFERROR(VLOOKUP(Tabela3[[#This Row],[Produto]],Tabela2[],14,0),0)</f>
        <v>Protec</v>
      </c>
      <c r="AL732" s="40">
        <f>IFERROR(VLOOKUP(Tabela3[[#This Row],[Produto]],Tabela2[],15,0),0)</f>
        <v>0</v>
      </c>
      <c r="AM732" s="36">
        <f ca="1">(Tabela3[[#This Row],[Custo Usinagem]]+Tabela3[[#This Row],[Custo / Pç]])*1.2</f>
        <v>43.225047690087365</v>
      </c>
      <c r="AN732" s="36">
        <f ca="1">Tabela3[[#This Row],[Valor Mínimo Venda]]*1.15</f>
        <v>49.708804843600468</v>
      </c>
      <c r="AO732" s="36">
        <f ca="1">Tabela3[[#This Row],[Tabela 1]]*1.08</f>
        <v>53.68550923108851</v>
      </c>
      <c r="AP732" s="36">
        <f ca="1">Tabela3[[#This Row],[Tabela 2]]*1.15</f>
        <v>61.73833561575178</v>
      </c>
    </row>
    <row r="733" spans="1:42">
      <c r="A733" s="9">
        <v>45940</v>
      </c>
      <c r="B733" s="6" t="s">
        <v>256</v>
      </c>
      <c r="C733" s="14">
        <v>8118</v>
      </c>
      <c r="D733" s="6" t="s">
        <v>46</v>
      </c>
      <c r="E733" s="6" t="s">
        <v>326</v>
      </c>
      <c r="F733" s="6">
        <v>28</v>
      </c>
      <c r="G733" s="15">
        <v>0.15763888888888888</v>
      </c>
      <c r="H733" s="16">
        <v>0</v>
      </c>
      <c r="I733" s="35">
        <f ca="1">IFERROR(Tabela3[[#This Row],[Custo Total]]/Tabela3[[#This Row],[Aluminio Util]],0)</f>
        <v>27.41397756997365</v>
      </c>
      <c r="J733" s="35">
        <f ca="1">Tabela3[[#This Row],[Custo Total]]/Tabela3[[#This Row],[Realizado]]</f>
        <v>23.877574463447047</v>
      </c>
      <c r="K733" s="37">
        <f>IFERROR(Tabela3[[#This Row],[Qtde Cx Produzida]]/Tabela3[[#This Row],[Tempo]]/24,0)</f>
        <v>7.4008810572687231</v>
      </c>
      <c r="L733" s="37">
        <f>Tabela3[[#This Row],[Qtde Cx Produzida]]*Tabela3[[#This Row],[Qdt Peça Placa]]</f>
        <v>56</v>
      </c>
      <c r="M733" s="37">
        <f>Tabela3[[#This Row],[Previsto]]-Tabela3[[#This Row],[Perda Pçs]]</f>
        <v>56</v>
      </c>
      <c r="N733" s="38">
        <f>IFERROR(Tabela3[[#This Row],[Perda Pçs]]/Tabela3[[#This Row],[Previsto]],0)</f>
        <v>0</v>
      </c>
      <c r="O733" s="39">
        <f>IFERROR(IF(Tabela3[[#This Row],[Qtde Cx Produzida]] &lt;&gt; 0, Tabela3[[#This Row],[Tempo]] / Tabela3[[#This Row],[Qtde Cx Produzida]], 0),0)</f>
        <v>5.6299603174603174E-3</v>
      </c>
      <c r="P733" s="57">
        <f>IFERROR(Tabela3[[#This Row],[Perda Pçs]]/Tabela3[[#This Row],[Qdt Peça Placa]],0)</f>
        <v>0</v>
      </c>
      <c r="Q733" s="37">
        <f>IFERROR(Tabela3[[#This Row],[Realizado]]*Tabela3[[#This Row],[Peso Util/Pç]],0)</f>
        <v>48.775999999999996</v>
      </c>
      <c r="R733" s="37">
        <f>IFERROR(Tabela3[[#This Row],[Peso Total Galho]]*Tabela3[[#This Row],[Qtde Cx Produzida]]*1.055,0)</f>
        <v>91.042279999999991</v>
      </c>
      <c r="S733" s="37">
        <f>(Tabela3[[#This Row],[Aluminio Bruto]]-Tabela3[[#This Row],[Aluminio Util]])*0.9</f>
        <v>38.039651999999997</v>
      </c>
      <c r="T733" s="37">
        <f>Tabela3[[#This Row],[Aluminio Bruto]]/OleoKGAluminio</f>
        <v>38.301369479462906</v>
      </c>
      <c r="U733" s="35">
        <f>IFERROR((VLOOKUP(Tabela3[[#This Row],[Moldador]],Tabela1[],5,)+(VLOOKUP(Tabela3[[#This Row],[Ajudante]],Tabela1[],5,))*3.5),0)</f>
        <v>99.95034583333333</v>
      </c>
      <c r="V733" s="35">
        <f>IFERROR(Tabela3[[#This Row],[Custo M.O. / H]]/((Tabela3[[#This Row],[Realizado]]/Tabela3[[#This Row],[Qdt Peça Placa]])/Tabela3[[#This Row],[Tempo]]/24),)</f>
        <v>13.505195538194442</v>
      </c>
      <c r="W733" s="35">
        <f>Tabela3[[#This Row],[Custo / Cx Moldada]]*Tabela3[[#This Row],[Qtde Cx Produzida]]</f>
        <v>378.14547506944439</v>
      </c>
      <c r="X733" s="35">
        <f ca="1">Tabela3[[#This Row],[Aluminio Util]]*Tabela3[[#This Row],[Custo/Kg]]</f>
        <v>858.45759999999996</v>
      </c>
      <c r="Y733" s="35">
        <f>IFERROR(VLOOKUP(Tabela3[[#This Row],[Data]],Tabela461213[],2,1)*(Tabela3[[#This Row],[Qtde Cx Produzida]]*Tabela3[[#This Row],[Qde macho / CX]]*Tabela3[[#This Row],[Peso Macho]]),)</f>
        <v>0</v>
      </c>
      <c r="Z733" s="35">
        <f>IFERROR(Tabela3[[#This Row],[Qtde Oleo]]*(VLOOKUP(Tabela3[[#This Row],[Data]],CompraOleo[],3,TRUE))*1.05,0)</f>
        <v>100.54109488359012</v>
      </c>
      <c r="AA733" s="47">
        <f ca="1">(Tabela3[[#This Row],[Custo Oleo]]+Tabela3[[#This Row],[Custo Aluminio]]+Tabela3[[#This Row],[Custo M.O. Total]]+Tabela3[[#This Row],[Custo Machos]])</f>
        <v>1337.1441699530346</v>
      </c>
      <c r="AB733" s="47">
        <f ca="1">Tabela3[[#This Row],[Custo Total]]*Tabela3[[#This Row],[% Perda]]</f>
        <v>0</v>
      </c>
      <c r="AC733" s="48">
        <f>IFERROR(VLOOKUP(Tabela3[[#This Row],[Produto]],Tabela2[],2,0),0)</f>
        <v>2</v>
      </c>
      <c r="AD733" s="48">
        <f>IFERROR(VLOOKUP(Tabela3[[#This Row],[Produto]],Tabela2[],3,0),0)</f>
        <v>0.871</v>
      </c>
      <c r="AE733" s="48">
        <f>IFERROR(VLOOKUP(Tabela3[[#This Row],[Produto]],Tabela2[],4,0),0)</f>
        <v>3.0819999999999999</v>
      </c>
      <c r="AF733" s="48">
        <f>IFERROR(VLOOKUP(Tabela3[[#This Row],[Produto]],Tabela2[],5,0),0)</f>
        <v>1.206</v>
      </c>
      <c r="AG733" s="40">
        <f>IFERROR(VLOOKUP(Tabela3[[#This Row],[Produto]],Tabela2[],6,0),0)</f>
        <v>0</v>
      </c>
      <c r="AH733" s="40">
        <f>IFERROR(VLOOKUP(Tabela3[[#This Row],[Produto]],Tabela2[],7,0),0)</f>
        <v>0</v>
      </c>
      <c r="AI733" s="40">
        <f>IFERROR(VLOOKUP(Tabela3[[#This Row],[Produto]],Tabela2[],8,0),0)</f>
        <v>0</v>
      </c>
      <c r="AJ733" s="35">
        <f ca="1">IFERROR(VLOOKUP(Tabela3[[#This Row],[Produto]],Tabela2[],13,0),0)</f>
        <v>17.600000000000001</v>
      </c>
      <c r="AK733" s="40" t="str">
        <f>IFERROR(VLOOKUP(Tabela3[[#This Row],[Produto]],Tabela2[],14,0),0)</f>
        <v>Protec</v>
      </c>
      <c r="AL733" s="40">
        <f>IFERROR(VLOOKUP(Tabela3[[#This Row],[Produto]],Tabela2[],15,0),0)</f>
        <v>0</v>
      </c>
      <c r="AM733" s="36">
        <f ca="1">(Tabela3[[#This Row],[Custo Usinagem]]+Tabela3[[#This Row],[Custo / Pç]])*1.2</f>
        <v>28.653089356136455</v>
      </c>
      <c r="AN733" s="36">
        <f ca="1">Tabela3[[#This Row],[Valor Mínimo Venda]]*1.15</f>
        <v>32.951052759556923</v>
      </c>
      <c r="AO733" s="36">
        <f ca="1">Tabela3[[#This Row],[Tabela 1]]*1.08</f>
        <v>35.587136980321482</v>
      </c>
      <c r="AP733" s="36">
        <f ca="1">Tabela3[[#This Row],[Tabela 2]]*1.15</f>
        <v>40.9252075273697</v>
      </c>
    </row>
    <row r="734" spans="1:42">
      <c r="A734" s="9">
        <v>45940</v>
      </c>
      <c r="B734" s="6" t="s">
        <v>236</v>
      </c>
      <c r="C734" s="14">
        <v>8106</v>
      </c>
      <c r="D734" s="6" t="s">
        <v>44</v>
      </c>
      <c r="E734" s="6" t="s">
        <v>47</v>
      </c>
      <c r="F734" s="6">
        <v>58</v>
      </c>
      <c r="G734" s="15">
        <v>0.35555555555555557</v>
      </c>
      <c r="H734" s="16">
        <v>0</v>
      </c>
      <c r="I734" s="35">
        <f ca="1">IFERROR(Tabela3[[#This Row],[Custo Total]]/Tabela3[[#This Row],[Aluminio Util]],0)</f>
        <v>25.099213144722018</v>
      </c>
      <c r="J734" s="35">
        <f ca="1">Tabela3[[#This Row],[Custo Total]]/Tabela3[[#This Row],[Realizado]]</f>
        <v>7.5799623697060499</v>
      </c>
      <c r="K734" s="37">
        <f>IFERROR(Tabela3[[#This Row],[Qtde Cx Produzida]]/Tabela3[[#This Row],[Tempo]]/24,0)</f>
        <v>6.796875</v>
      </c>
      <c r="L734" s="37">
        <f>Tabela3[[#This Row],[Qtde Cx Produzida]]*Tabela3[[#This Row],[Qdt Peça Placa]]</f>
        <v>348</v>
      </c>
      <c r="M734" s="37">
        <f>Tabela3[[#This Row],[Previsto]]-Tabela3[[#This Row],[Perda Pçs]]</f>
        <v>348</v>
      </c>
      <c r="N734" s="38">
        <f>IFERROR(Tabela3[[#This Row],[Perda Pçs]]/Tabela3[[#This Row],[Previsto]],0)</f>
        <v>0</v>
      </c>
      <c r="O734" s="39">
        <f>IFERROR(IF(Tabela3[[#This Row],[Qtde Cx Produzida]] &lt;&gt; 0, Tabela3[[#This Row],[Tempo]] / Tabela3[[#This Row],[Qtde Cx Produzida]], 0),0)</f>
        <v>6.1302681992337167E-3</v>
      </c>
      <c r="P734" s="57">
        <f>IFERROR(Tabela3[[#This Row],[Perda Pçs]]/Tabela3[[#This Row],[Qdt Peça Placa]],0)</f>
        <v>0</v>
      </c>
      <c r="Q734" s="37">
        <f>IFERROR(Tabela3[[#This Row],[Realizado]]*Tabela3[[#This Row],[Peso Util/Pç]],0)</f>
        <v>105.096</v>
      </c>
      <c r="R734" s="37">
        <f>IFERROR(Tabela3[[#This Row],[Peso Total Galho]]*Tabela3[[#This Row],[Qtde Cx Produzida]]*1.055,0)</f>
        <v>131.68088</v>
      </c>
      <c r="S734" s="37">
        <f>(Tabela3[[#This Row],[Aluminio Bruto]]-Tabela3[[#This Row],[Aluminio Util]])*0.9</f>
        <v>23.926392</v>
      </c>
      <c r="T734" s="37">
        <f>Tabela3[[#This Row],[Aluminio Bruto]]/OleoKGAluminio</f>
        <v>55.397975954257937</v>
      </c>
      <c r="U734" s="35">
        <f>IFERROR((VLOOKUP(Tabela3[[#This Row],[Moldador]],Tabela1[],5,)+(VLOOKUP(Tabela3[[#This Row],[Ajudante]],Tabela1[],5,))*3.5),0)</f>
        <v>99.95034583333333</v>
      </c>
      <c r="V734" s="35">
        <f>IFERROR(Tabela3[[#This Row],[Custo M.O. / H]]/((Tabela3[[#This Row],[Realizado]]/Tabela3[[#This Row],[Qdt Peça Placa]])/Tabela3[[#This Row],[Tempo]]/24),)</f>
        <v>14.705338237547892</v>
      </c>
      <c r="W734" s="35">
        <f>Tabela3[[#This Row],[Custo / Cx Moldada]]*Tabela3[[#This Row],[Qtde Cx Produzida]]</f>
        <v>852.90961777777773</v>
      </c>
      <c r="X734" s="35">
        <f ca="1">Tabela3[[#This Row],[Aluminio Util]]*Tabela3[[#This Row],[Custo/Kg]]</f>
        <v>1639.4976000000001</v>
      </c>
      <c r="Y734" s="35">
        <f>IFERROR(VLOOKUP(Tabela3[[#This Row],[Data]],Tabela461213[],2,1)*(Tabela3[[#This Row],[Qtde Cx Produzida]]*Tabela3[[#This Row],[Qde macho / CX]]*Tabela3[[#This Row],[Peso Macho]]),)</f>
        <v>0</v>
      </c>
      <c r="Z734" s="35">
        <f>IFERROR(Tabela3[[#This Row],[Qtde Oleo]]*(VLOOKUP(Tabela3[[#This Row],[Data]],CompraOleo[],3,TRUE))*1.05,0)</f>
        <v>145.4196868799271</v>
      </c>
      <c r="AA734" s="47">
        <f ca="1">(Tabela3[[#This Row],[Custo Oleo]]+Tabela3[[#This Row],[Custo Aluminio]]+Tabela3[[#This Row],[Custo M.O. Total]]+Tabela3[[#This Row],[Custo Machos]])</f>
        <v>2637.8269046577052</v>
      </c>
      <c r="AB734" s="47">
        <f ca="1">Tabela3[[#This Row],[Custo Total]]*Tabela3[[#This Row],[% Perda]]</f>
        <v>0</v>
      </c>
      <c r="AC734" s="48">
        <f>IFERROR(VLOOKUP(Tabela3[[#This Row],[Produto]],Tabela2[],2,0),0)</f>
        <v>6</v>
      </c>
      <c r="AD734" s="48">
        <f>IFERROR(VLOOKUP(Tabela3[[#This Row],[Produto]],Tabela2[],3,0),0)</f>
        <v>0.30199999999999999</v>
      </c>
      <c r="AE734" s="48">
        <f>IFERROR(VLOOKUP(Tabela3[[#This Row],[Produto]],Tabela2[],4,0),0)</f>
        <v>2.1520000000000001</v>
      </c>
      <c r="AF734" s="48">
        <f>IFERROR(VLOOKUP(Tabela3[[#This Row],[Produto]],Tabela2[],5,0),0)</f>
        <v>0.30600000000000027</v>
      </c>
      <c r="AG734" s="40">
        <f>IFERROR(VLOOKUP(Tabela3[[#This Row],[Produto]],Tabela2[],6,0),0)</f>
        <v>0</v>
      </c>
      <c r="AH734" s="40">
        <f>IFERROR(VLOOKUP(Tabela3[[#This Row],[Produto]],Tabela2[],7,0),0)</f>
        <v>0</v>
      </c>
      <c r="AI734" s="40">
        <f>IFERROR(VLOOKUP(Tabela3[[#This Row],[Produto]],Tabela2[],8,0),0)</f>
        <v>0</v>
      </c>
      <c r="AJ734" s="35">
        <f ca="1">IFERROR(VLOOKUP(Tabela3[[#This Row],[Produto]],Tabela2[],13,0),0)</f>
        <v>15.600000000000001</v>
      </c>
      <c r="AK734" s="40" t="str">
        <f>IFERROR(VLOOKUP(Tabela3[[#This Row],[Produto]],Tabela2[],14,0),0)</f>
        <v>Senun</v>
      </c>
      <c r="AL734" s="40">
        <f>IFERROR(VLOOKUP(Tabela3[[#This Row],[Produto]],Tabela2[],15,0),0)</f>
        <v>4</v>
      </c>
      <c r="AM734" s="36">
        <f ca="1">(Tabela3[[#This Row],[Custo Usinagem]]+Tabela3[[#This Row],[Custo / Pç]])*1.2</f>
        <v>13.895954843647258</v>
      </c>
      <c r="AN734" s="36">
        <f ca="1">Tabela3[[#This Row],[Valor Mínimo Venda]]*1.15</f>
        <v>15.980348070194346</v>
      </c>
      <c r="AO734" s="36">
        <f ca="1">Tabela3[[#This Row],[Tabela 1]]*1.08</f>
        <v>17.258775915809895</v>
      </c>
      <c r="AP734" s="36">
        <f ca="1">Tabela3[[#This Row],[Tabela 2]]*1.15</f>
        <v>19.847592303181379</v>
      </c>
    </row>
    <row r="735" spans="1:42">
      <c r="A735" s="9">
        <v>45943</v>
      </c>
      <c r="B735" s="6" t="s">
        <v>247</v>
      </c>
      <c r="C735" s="14">
        <v>8120</v>
      </c>
      <c r="D735" s="6" t="s">
        <v>46</v>
      </c>
      <c r="E735" s="6" t="s">
        <v>326</v>
      </c>
      <c r="F735" s="6">
        <v>55</v>
      </c>
      <c r="G735" s="15">
        <v>0.28472222222222221</v>
      </c>
      <c r="H735" s="16">
        <v>0</v>
      </c>
      <c r="I735" s="35">
        <f ca="1">IFERROR(Tabela3[[#This Row],[Custo Total]]/Tabela3[[#This Row],[Aluminio Util]],0)</f>
        <v>28.181449981822364</v>
      </c>
      <c r="J735" s="35">
        <f ca="1">Tabela3[[#This Row],[Custo Total]]/Tabela3[[#This Row],[Realizado]]</f>
        <v>8.454434994546709</v>
      </c>
      <c r="K735" s="37">
        <f>IFERROR(Tabela3[[#This Row],[Qtde Cx Produzida]]/Tabela3[[#This Row],[Tempo]]/24,0)</f>
        <v>8.0487804878048781</v>
      </c>
      <c r="L735" s="37">
        <f>Tabela3[[#This Row],[Qtde Cx Produzida]]*Tabela3[[#This Row],[Qdt Peça Placa]]</f>
        <v>220</v>
      </c>
      <c r="M735" s="37">
        <f>Tabela3[[#This Row],[Previsto]]-Tabela3[[#This Row],[Perda Pçs]]</f>
        <v>220</v>
      </c>
      <c r="N735" s="38">
        <f>IFERROR(Tabela3[[#This Row],[Perda Pçs]]/Tabela3[[#This Row],[Previsto]],0)</f>
        <v>0</v>
      </c>
      <c r="O735" s="39">
        <f>IFERROR(IF(Tabela3[[#This Row],[Qtde Cx Produzida]] &lt;&gt; 0, Tabela3[[#This Row],[Tempo]] / Tabela3[[#This Row],[Qtde Cx Produzida]], 0),0)</f>
        <v>5.1767676767676763E-3</v>
      </c>
      <c r="P735" s="57">
        <f>IFERROR(Tabela3[[#This Row],[Perda Pçs]]/Tabela3[[#This Row],[Qdt Peça Placa]],0)</f>
        <v>0</v>
      </c>
      <c r="Q735" s="37">
        <f>IFERROR(Tabela3[[#This Row],[Realizado]]*Tabela3[[#This Row],[Peso Util/Pç]],0)</f>
        <v>66</v>
      </c>
      <c r="R735" s="37">
        <f>IFERROR(Tabela3[[#This Row],[Peso Total Galho]]*Tabela3[[#This Row],[Qtde Cx Produzida]]*1.055,0)</f>
        <v>133.45749999999998</v>
      </c>
      <c r="S735" s="37">
        <f>(Tabela3[[#This Row],[Aluminio Bruto]]-Tabela3[[#This Row],[Aluminio Util]])*0.9</f>
        <v>60.711749999999988</v>
      </c>
      <c r="T735" s="37">
        <f>Tabela3[[#This Row],[Aluminio Bruto]]/OleoKGAluminio</f>
        <v>56.14539769111034</v>
      </c>
      <c r="U735" s="35">
        <f>IFERROR((VLOOKUP(Tabela3[[#This Row],[Moldador]],Tabela1[],5,)+(VLOOKUP(Tabela3[[#This Row],[Ajudante]],Tabela1[],5,))*3.5),0)</f>
        <v>99.95034583333333</v>
      </c>
      <c r="V735" s="35">
        <f>IFERROR(Tabela3[[#This Row],[Custo M.O. / H]]/((Tabela3[[#This Row],[Realizado]]/Tabela3[[#This Row],[Qdt Peça Placa]])/Tabela3[[#This Row],[Tempo]]/24),)</f>
        <v>12.41807327020202</v>
      </c>
      <c r="W735" s="35">
        <f>Tabela3[[#This Row],[Custo / Cx Moldada]]*Tabela3[[#This Row],[Qtde Cx Produzida]]</f>
        <v>682.99402986111113</v>
      </c>
      <c r="X735" s="35">
        <f ca="1">Tabela3[[#This Row],[Aluminio Util]]*Tabela3[[#This Row],[Custo/Kg]]</f>
        <v>1029.6000000000001</v>
      </c>
      <c r="Y735" s="35">
        <f>IFERROR(VLOOKUP(Tabela3[[#This Row],[Data]],Tabela461213[],2,1)*(Tabela3[[#This Row],[Qtde Cx Produzida]]*Tabela3[[#This Row],[Qde macho / CX]]*Tabela3[[#This Row],[Peso Macho]]),)</f>
        <v>0</v>
      </c>
      <c r="Z735" s="35">
        <f>IFERROR(Tabela3[[#This Row],[Qtde Oleo]]*(VLOOKUP(Tabela3[[#This Row],[Data]],CompraOleo[],3,TRUE))*1.05,0)</f>
        <v>147.38166893916465</v>
      </c>
      <c r="AA735" s="47">
        <f ca="1">(Tabela3[[#This Row],[Custo Oleo]]+Tabela3[[#This Row],[Custo Aluminio]]+Tabela3[[#This Row],[Custo M.O. Total]]+Tabela3[[#This Row],[Custo Machos]])</f>
        <v>1859.9756988002759</v>
      </c>
      <c r="AB735" s="47">
        <f ca="1">Tabela3[[#This Row],[Custo Total]]*Tabela3[[#This Row],[% Perda]]</f>
        <v>0</v>
      </c>
      <c r="AC735" s="48">
        <f>IFERROR(VLOOKUP(Tabela3[[#This Row],[Produto]],Tabela2[],2,0),0)</f>
        <v>4</v>
      </c>
      <c r="AD735" s="48">
        <f>IFERROR(VLOOKUP(Tabela3[[#This Row],[Produto]],Tabela2[],3,0),0)</f>
        <v>0.3</v>
      </c>
      <c r="AE735" s="48">
        <f>IFERROR(VLOOKUP(Tabela3[[#This Row],[Produto]],Tabela2[],4,0),0)</f>
        <v>2.2999999999999998</v>
      </c>
      <c r="AF735" s="48">
        <f>IFERROR(VLOOKUP(Tabela3[[#This Row],[Produto]],Tabela2[],5,0),0)</f>
        <v>0.98999999999999988</v>
      </c>
      <c r="AG735" s="40">
        <f>IFERROR(VLOOKUP(Tabela3[[#This Row],[Produto]],Tabela2[],6,0),0)</f>
        <v>0</v>
      </c>
      <c r="AH735" s="40">
        <f>IFERROR(VLOOKUP(Tabela3[[#This Row],[Produto]],Tabela2[],7,0),0)</f>
        <v>0</v>
      </c>
      <c r="AI735" s="40">
        <f>IFERROR(VLOOKUP(Tabela3[[#This Row],[Produto]],Tabela2[],8,0),0)</f>
        <v>0</v>
      </c>
      <c r="AJ735" s="35">
        <f ca="1">IFERROR(VLOOKUP(Tabela3[[#This Row],[Produto]],Tabela2[],13,0),0)</f>
        <v>15.600000000000001</v>
      </c>
      <c r="AK735" s="40" t="str">
        <f>IFERROR(VLOOKUP(Tabela3[[#This Row],[Produto]],Tabela2[],14,0),0)</f>
        <v>Senun</v>
      </c>
      <c r="AL735" s="40">
        <f>IFERROR(VLOOKUP(Tabela3[[#This Row],[Produto]],Tabela2[],15,0),0)</f>
        <v>3.5</v>
      </c>
      <c r="AM735" s="36">
        <f ca="1">(Tabela3[[#This Row],[Custo Usinagem]]+Tabela3[[#This Row],[Custo / Pç]])*1.2</f>
        <v>14.34532199345605</v>
      </c>
      <c r="AN735" s="36">
        <f ca="1">Tabela3[[#This Row],[Valor Mínimo Venda]]*1.15</f>
        <v>16.497120292474456</v>
      </c>
      <c r="AO735" s="36">
        <f ca="1">Tabela3[[#This Row],[Tabela 1]]*1.08</f>
        <v>17.816889915872412</v>
      </c>
      <c r="AP735" s="36">
        <f ca="1">Tabela3[[#This Row],[Tabela 2]]*1.15</f>
        <v>20.489423403253273</v>
      </c>
    </row>
    <row r="736" spans="1:42">
      <c r="A736" s="9">
        <v>45943</v>
      </c>
      <c r="B736" s="6" t="s">
        <v>88</v>
      </c>
      <c r="C736" s="14">
        <v>8131</v>
      </c>
      <c r="D736" s="6" t="s">
        <v>46</v>
      </c>
      <c r="E736" s="6" t="s">
        <v>326</v>
      </c>
      <c r="F736" s="6">
        <v>15</v>
      </c>
      <c r="G736" s="15">
        <v>7.2222222222222215E-2</v>
      </c>
      <c r="H736" s="16">
        <v>0</v>
      </c>
      <c r="I736" s="35">
        <f ca="1">IFERROR(Tabela3[[#This Row],[Custo Total]]/Tabela3[[#This Row],[Aluminio Util]],0)</f>
        <v>26.627358733445842</v>
      </c>
      <c r="J736" s="35">
        <f ca="1">Tabela3[[#This Row],[Custo Total]]/Tabela3[[#This Row],[Realizado]]</f>
        <v>19.624363386549586</v>
      </c>
      <c r="K736" s="37">
        <f>IFERROR(Tabela3[[#This Row],[Qtde Cx Produzida]]/Tabela3[[#This Row],[Tempo]]/24,0)</f>
        <v>8.6538461538461551</v>
      </c>
      <c r="L736" s="37">
        <f>Tabela3[[#This Row],[Qtde Cx Produzida]]*Tabela3[[#This Row],[Qdt Peça Placa]]</f>
        <v>30</v>
      </c>
      <c r="M736" s="37">
        <f>Tabela3[[#This Row],[Previsto]]-Tabela3[[#This Row],[Perda Pçs]]</f>
        <v>30</v>
      </c>
      <c r="N736" s="38">
        <f>IFERROR(Tabela3[[#This Row],[Perda Pçs]]/Tabela3[[#This Row],[Previsto]],0)</f>
        <v>0</v>
      </c>
      <c r="O736" s="39">
        <f>IFERROR(IF(Tabela3[[#This Row],[Qtde Cx Produzida]] &lt;&gt; 0, Tabela3[[#This Row],[Tempo]] / Tabela3[[#This Row],[Qtde Cx Produzida]], 0),0)</f>
        <v>4.8148148148148143E-3</v>
      </c>
      <c r="P736" s="57">
        <f>IFERROR(Tabela3[[#This Row],[Perda Pçs]]/Tabela3[[#This Row],[Qdt Peça Placa]],0)</f>
        <v>0</v>
      </c>
      <c r="Q736" s="37">
        <f>IFERROR(Tabela3[[#This Row],[Realizado]]*Tabela3[[#This Row],[Peso Util/Pç]],0)</f>
        <v>22.11</v>
      </c>
      <c r="R736" s="37">
        <f>IFERROR(Tabela3[[#This Row],[Peso Total Galho]]*Tabela3[[#This Row],[Qtde Cx Produzida]]*1.055,0)</f>
        <v>41.271599999999999</v>
      </c>
      <c r="S736" s="37">
        <f>(Tabela3[[#This Row],[Aluminio Bruto]]-Tabela3[[#This Row],[Aluminio Util]])*0.9</f>
        <v>17.245440000000002</v>
      </c>
      <c r="T736" s="37">
        <f>Tabela3[[#This Row],[Aluminio Bruto]]/OleoKGAluminio</f>
        <v>17.362908756333887</v>
      </c>
      <c r="U736" s="35">
        <f>IFERROR((VLOOKUP(Tabela3[[#This Row],[Moldador]],Tabela1[],5,)+(VLOOKUP(Tabela3[[#This Row],[Ajudante]],Tabela1[],5,))*3.5),0)</f>
        <v>99.95034583333333</v>
      </c>
      <c r="V736" s="35">
        <f>IFERROR(Tabela3[[#This Row],[Custo M.O. / H]]/((Tabela3[[#This Row],[Realizado]]/Tabela3[[#This Row],[Qdt Peça Placa]])/Tabela3[[#This Row],[Tempo]]/24),)</f>
        <v>11.549817740740739</v>
      </c>
      <c r="W736" s="35">
        <f>Tabela3[[#This Row],[Custo / Cx Moldada]]*Tabela3[[#This Row],[Qtde Cx Produzida]]</f>
        <v>173.24726611111109</v>
      </c>
      <c r="X736" s="35">
        <f ca="1">Tabela3[[#This Row],[Aluminio Util]]*Tabela3[[#This Row],[Custo/Kg]]</f>
        <v>344.916</v>
      </c>
      <c r="Y736" s="35">
        <f>IFERROR(VLOOKUP(Tabela3[[#This Row],[Data]],Tabela461213[],2,1)*(Tabela3[[#This Row],[Qtde Cx Produzida]]*Tabela3[[#This Row],[Qde macho / CX]]*Tabela3[[#This Row],[Peso Macho]]),)</f>
        <v>24.99</v>
      </c>
      <c r="Z736" s="35">
        <f>IFERROR(Tabela3[[#This Row],[Qtde Oleo]]*(VLOOKUP(Tabela3[[#This Row],[Data]],CompraOleo[],3,TRUE))*1.05,0)</f>
        <v>45.577635485376462</v>
      </c>
      <c r="AA736" s="47">
        <f ca="1">(Tabela3[[#This Row],[Custo Oleo]]+Tabela3[[#This Row],[Custo Aluminio]]+Tabela3[[#This Row],[Custo M.O. Total]]+Tabela3[[#This Row],[Custo Machos]])</f>
        <v>588.73090159648757</v>
      </c>
      <c r="AB736" s="47">
        <f ca="1">Tabela3[[#This Row],[Custo Total]]*Tabela3[[#This Row],[% Perda]]</f>
        <v>0</v>
      </c>
      <c r="AC736" s="48">
        <f>IFERROR(VLOOKUP(Tabela3[[#This Row],[Produto]],Tabela2[],2,0),0)</f>
        <v>2</v>
      </c>
      <c r="AD736" s="48">
        <f>IFERROR(VLOOKUP(Tabela3[[#This Row],[Produto]],Tabela2[],3,0),0)</f>
        <v>0.73699999999999999</v>
      </c>
      <c r="AE736" s="48">
        <f>IFERROR(VLOOKUP(Tabela3[[#This Row],[Produto]],Tabela2[],4,0),0)</f>
        <v>2.6080000000000001</v>
      </c>
      <c r="AF736" s="48">
        <f>IFERROR(VLOOKUP(Tabela3[[#This Row],[Produto]],Tabela2[],5,0),0)</f>
        <v>1.0206000000000002</v>
      </c>
      <c r="AG736" s="40">
        <f>IFERROR(VLOOKUP(Tabela3[[#This Row],[Produto]],Tabela2[],6,0),0)</f>
        <v>0</v>
      </c>
      <c r="AH736" s="40">
        <f>IFERROR(VLOOKUP(Tabela3[[#This Row],[Produto]],Tabela2[],7,0),0)</f>
        <v>2</v>
      </c>
      <c r="AI736" s="40">
        <f>IFERROR(VLOOKUP(Tabela3[[#This Row],[Produto]],Tabela2[],8,0),0)</f>
        <v>0.49</v>
      </c>
      <c r="AJ736" s="35">
        <f ca="1">IFERROR(VLOOKUP(Tabela3[[#This Row],[Produto]],Tabela2[],13,0),0)</f>
        <v>15.600000000000001</v>
      </c>
      <c r="AK736" s="40" t="str">
        <f>IFERROR(VLOOKUP(Tabela3[[#This Row],[Produto]],Tabela2[],14,0),0)</f>
        <v>Jumil</v>
      </c>
      <c r="AL736" s="40">
        <f>IFERROR(VLOOKUP(Tabela3[[#This Row],[Produto]],Tabela2[],15,0),0)</f>
        <v>1</v>
      </c>
      <c r="AM736" s="36">
        <f ca="1">(Tabela3[[#This Row],[Custo Usinagem]]+Tabela3[[#This Row],[Custo / Pç]])*1.2</f>
        <v>24.749236063859502</v>
      </c>
      <c r="AN736" s="36">
        <f ca="1">Tabela3[[#This Row],[Valor Mínimo Venda]]*1.15</f>
        <v>28.461621473438427</v>
      </c>
      <c r="AO736" s="36">
        <f ca="1">Tabela3[[#This Row],[Tabela 1]]*1.08</f>
        <v>30.738551191313505</v>
      </c>
      <c r="AP736" s="36">
        <f ca="1">Tabela3[[#This Row],[Tabela 2]]*1.15</f>
        <v>35.349333870010526</v>
      </c>
    </row>
    <row r="737" spans="1:42">
      <c r="A737" s="9">
        <v>45943</v>
      </c>
      <c r="B737" s="6" t="s">
        <v>236</v>
      </c>
      <c r="C737" s="14">
        <v>8106</v>
      </c>
      <c r="D737" s="6" t="s">
        <v>44</v>
      </c>
      <c r="E737" s="6" t="s">
        <v>47</v>
      </c>
      <c r="F737" s="6">
        <v>18</v>
      </c>
      <c r="G737" s="15">
        <v>0.1</v>
      </c>
      <c r="H737" s="16">
        <v>0</v>
      </c>
      <c r="I737" s="35">
        <f ca="1">IFERROR(Tabela3[[#This Row],[Custo Total]]/Tabela3[[#This Row],[Aluminio Util]],0)</f>
        <v>24.338382317034313</v>
      </c>
      <c r="J737" s="35">
        <f ca="1">Tabela3[[#This Row],[Custo Total]]/Tabela3[[#This Row],[Realizado]]</f>
        <v>7.3501914597443623</v>
      </c>
      <c r="K737" s="37">
        <f>IFERROR(Tabela3[[#This Row],[Qtde Cx Produzida]]/Tabela3[[#This Row],[Tempo]]/24,0)</f>
        <v>7.5</v>
      </c>
      <c r="L737" s="37">
        <f>Tabela3[[#This Row],[Qtde Cx Produzida]]*Tabela3[[#This Row],[Qdt Peça Placa]]</f>
        <v>108</v>
      </c>
      <c r="M737" s="37">
        <f>Tabela3[[#This Row],[Previsto]]-Tabela3[[#This Row],[Perda Pçs]]</f>
        <v>108</v>
      </c>
      <c r="N737" s="38">
        <f>IFERROR(Tabela3[[#This Row],[Perda Pçs]]/Tabela3[[#This Row],[Previsto]],0)</f>
        <v>0</v>
      </c>
      <c r="O737" s="39">
        <f>IFERROR(IF(Tabela3[[#This Row],[Qtde Cx Produzida]] &lt;&gt; 0, Tabela3[[#This Row],[Tempo]] / Tabela3[[#This Row],[Qtde Cx Produzida]], 0),0)</f>
        <v>5.5555555555555558E-3</v>
      </c>
      <c r="P737" s="57">
        <f>IFERROR(Tabela3[[#This Row],[Perda Pçs]]/Tabela3[[#This Row],[Qdt Peça Placa]],0)</f>
        <v>0</v>
      </c>
      <c r="Q737" s="37">
        <f>IFERROR(Tabela3[[#This Row],[Realizado]]*Tabela3[[#This Row],[Peso Util/Pç]],0)</f>
        <v>32.616</v>
      </c>
      <c r="R737" s="37">
        <f>IFERROR(Tabela3[[#This Row],[Peso Total Galho]]*Tabela3[[#This Row],[Qtde Cx Produzida]]*1.055,0)</f>
        <v>40.866480000000003</v>
      </c>
      <c r="S737" s="37">
        <f>(Tabela3[[#This Row],[Aluminio Bruto]]-Tabela3[[#This Row],[Aluminio Util]])*0.9</f>
        <v>7.4254320000000034</v>
      </c>
      <c r="T737" s="37">
        <f>Tabela3[[#This Row],[Aluminio Bruto]]/OleoKGAluminio</f>
        <v>17.192475296149016</v>
      </c>
      <c r="U737" s="35">
        <f>IFERROR((VLOOKUP(Tabela3[[#This Row],[Moldador]],Tabela1[],5,)+(VLOOKUP(Tabela3[[#This Row],[Ajudante]],Tabela1[],5,))*3.5),0)</f>
        <v>99.95034583333333</v>
      </c>
      <c r="V737" s="35">
        <f>IFERROR(Tabela3[[#This Row],[Custo M.O. / H]]/((Tabela3[[#This Row],[Realizado]]/Tabela3[[#This Row],[Qdt Peça Placa]])/Tabela3[[#This Row],[Tempo]]/24),)</f>
        <v>13.326712777777777</v>
      </c>
      <c r="W737" s="35">
        <f>Tabela3[[#This Row],[Custo / Cx Moldada]]*Tabela3[[#This Row],[Qtde Cx Produzida]]</f>
        <v>239.88082999999997</v>
      </c>
      <c r="X737" s="35">
        <f ca="1">Tabela3[[#This Row],[Aluminio Util]]*Tabela3[[#This Row],[Custo/Kg]]</f>
        <v>508.80960000000005</v>
      </c>
      <c r="Y737" s="35">
        <f>IFERROR(VLOOKUP(Tabela3[[#This Row],[Data]],Tabela461213[],2,1)*(Tabela3[[#This Row],[Qtde Cx Produzida]]*Tabela3[[#This Row],[Qde macho / CX]]*Tabela3[[#This Row],[Peso Macho]]),)</f>
        <v>0</v>
      </c>
      <c r="Z737" s="35">
        <f>IFERROR(Tabela3[[#This Row],[Qtde Oleo]]*(VLOOKUP(Tabela3[[#This Row],[Data]],CompraOleo[],3,TRUE))*1.05,0)</f>
        <v>45.130247652391169</v>
      </c>
      <c r="AA737" s="47">
        <f ca="1">(Tabela3[[#This Row],[Custo Oleo]]+Tabela3[[#This Row],[Custo Aluminio]]+Tabela3[[#This Row],[Custo M.O. Total]]+Tabela3[[#This Row],[Custo Machos]])</f>
        <v>793.82067765239117</v>
      </c>
      <c r="AB737" s="47">
        <f ca="1">Tabela3[[#This Row],[Custo Total]]*Tabela3[[#This Row],[% Perda]]</f>
        <v>0</v>
      </c>
      <c r="AC737" s="48">
        <f>IFERROR(VLOOKUP(Tabela3[[#This Row],[Produto]],Tabela2[],2,0),0)</f>
        <v>6</v>
      </c>
      <c r="AD737" s="48">
        <f>IFERROR(VLOOKUP(Tabela3[[#This Row],[Produto]],Tabela2[],3,0),0)</f>
        <v>0.30199999999999999</v>
      </c>
      <c r="AE737" s="48">
        <f>IFERROR(VLOOKUP(Tabela3[[#This Row],[Produto]],Tabela2[],4,0),0)</f>
        <v>2.1520000000000001</v>
      </c>
      <c r="AF737" s="48">
        <f>IFERROR(VLOOKUP(Tabela3[[#This Row],[Produto]],Tabela2[],5,0),0)</f>
        <v>0.30600000000000027</v>
      </c>
      <c r="AG737" s="40">
        <f>IFERROR(VLOOKUP(Tabela3[[#This Row],[Produto]],Tabela2[],6,0),0)</f>
        <v>0</v>
      </c>
      <c r="AH737" s="40">
        <f>IFERROR(VLOOKUP(Tabela3[[#This Row],[Produto]],Tabela2[],7,0),0)</f>
        <v>0</v>
      </c>
      <c r="AI737" s="40">
        <f>IFERROR(VLOOKUP(Tabela3[[#This Row],[Produto]],Tabela2[],8,0),0)</f>
        <v>0</v>
      </c>
      <c r="AJ737" s="35">
        <f ca="1">IFERROR(VLOOKUP(Tabela3[[#This Row],[Produto]],Tabela2[],13,0),0)</f>
        <v>15.600000000000001</v>
      </c>
      <c r="AK737" s="40" t="str">
        <f>IFERROR(VLOOKUP(Tabela3[[#This Row],[Produto]],Tabela2[],14,0),0)</f>
        <v>Senun</v>
      </c>
      <c r="AL737" s="40">
        <f>IFERROR(VLOOKUP(Tabela3[[#This Row],[Produto]],Tabela2[],15,0),0)</f>
        <v>4</v>
      </c>
      <c r="AM737" s="36">
        <f ca="1">(Tabela3[[#This Row],[Custo Usinagem]]+Tabela3[[#This Row],[Custo / Pç]])*1.2</f>
        <v>13.620229751693234</v>
      </c>
      <c r="AN737" s="36">
        <f ca="1">Tabela3[[#This Row],[Valor Mínimo Venda]]*1.15</f>
        <v>15.663264214447217</v>
      </c>
      <c r="AO737" s="36">
        <f ca="1">Tabela3[[#This Row],[Tabela 1]]*1.08</f>
        <v>16.916325351602996</v>
      </c>
      <c r="AP737" s="36">
        <f ca="1">Tabela3[[#This Row],[Tabela 2]]*1.15</f>
        <v>19.453774154343446</v>
      </c>
    </row>
    <row r="738" spans="1:42">
      <c r="A738" s="9">
        <v>45943</v>
      </c>
      <c r="B738" s="6" t="s">
        <v>245</v>
      </c>
      <c r="C738" s="14">
        <v>8121</v>
      </c>
      <c r="D738" s="6" t="s">
        <v>44</v>
      </c>
      <c r="E738" s="6" t="s">
        <v>47</v>
      </c>
      <c r="F738" s="6">
        <v>32</v>
      </c>
      <c r="G738" s="15">
        <v>0.14305555555555555</v>
      </c>
      <c r="H738" s="16">
        <v>0</v>
      </c>
      <c r="I738" s="35">
        <f ca="1">IFERROR(Tabela3[[#This Row],[Custo Total]]/Tabela3[[#This Row],[Aluminio Util]],0)</f>
        <v>25.693001427976554</v>
      </c>
      <c r="J738" s="35">
        <f ca="1">Tabela3[[#This Row],[Custo Total]]/Tabela3[[#This Row],[Realizado]]</f>
        <v>8.5300764740882169</v>
      </c>
      <c r="K738" s="37">
        <f>IFERROR(Tabela3[[#This Row],[Qtde Cx Produzida]]/Tabela3[[#This Row],[Tempo]]/24,0)</f>
        <v>9.3203883495145643</v>
      </c>
      <c r="L738" s="37">
        <f>Tabela3[[#This Row],[Qtde Cx Produzida]]*Tabela3[[#This Row],[Qdt Peça Placa]]</f>
        <v>128</v>
      </c>
      <c r="M738" s="37">
        <f>Tabela3[[#This Row],[Previsto]]-Tabela3[[#This Row],[Perda Pçs]]</f>
        <v>128</v>
      </c>
      <c r="N738" s="38">
        <f>IFERROR(Tabela3[[#This Row],[Perda Pçs]]/Tabela3[[#This Row],[Previsto]],0)</f>
        <v>0</v>
      </c>
      <c r="O738" s="39">
        <f>IFERROR(IF(Tabela3[[#This Row],[Qtde Cx Produzida]] &lt;&gt; 0, Tabela3[[#This Row],[Tempo]] / Tabela3[[#This Row],[Qtde Cx Produzida]], 0),0)</f>
        <v>4.4704861111111108E-3</v>
      </c>
      <c r="P738" s="57">
        <f>IFERROR(Tabela3[[#This Row],[Perda Pçs]]/Tabela3[[#This Row],[Qdt Peça Placa]],0)</f>
        <v>0</v>
      </c>
      <c r="Q738" s="37">
        <f>IFERROR(Tabela3[[#This Row],[Realizado]]*Tabela3[[#This Row],[Peso Util/Pç]],0)</f>
        <v>42.496000000000002</v>
      </c>
      <c r="R738" s="37">
        <f>IFERROR(Tabela3[[#This Row],[Peso Total Galho]]*Tabela3[[#This Row],[Qtde Cx Produzida]]*1.055,0)</f>
        <v>77.647999999999996</v>
      </c>
      <c r="S738" s="37">
        <f>(Tabela3[[#This Row],[Aluminio Bruto]]-Tabela3[[#This Row],[Aluminio Util]])*0.9</f>
        <v>31.636799999999994</v>
      </c>
      <c r="T738" s="37">
        <f>Tabela3[[#This Row],[Aluminio Bruto]]/OleoKGAluminio</f>
        <v>32.666413202100564</v>
      </c>
      <c r="U738" s="35">
        <f>IFERROR((VLOOKUP(Tabela3[[#This Row],[Moldador]],Tabela1[],5,)+(VLOOKUP(Tabela3[[#This Row],[Ajudante]],Tabela1[],5,))*3.5),0)</f>
        <v>99.95034583333333</v>
      </c>
      <c r="V738" s="35">
        <f>IFERROR(Tabela3[[#This Row],[Custo M.O. / H]]/((Tabela3[[#This Row],[Realizado]]/Tabela3[[#This Row],[Qdt Peça Placa]])/Tabela3[[#This Row],[Tempo]]/24),)</f>
        <v>10.723839188368053</v>
      </c>
      <c r="W738" s="35">
        <f>Tabela3[[#This Row],[Custo / Cx Moldada]]*Tabela3[[#This Row],[Qtde Cx Produzida]]</f>
        <v>343.16285402777771</v>
      </c>
      <c r="X738" s="35">
        <f ca="1">Tabela3[[#This Row],[Aluminio Util]]*Tabela3[[#This Row],[Custo/Kg]]</f>
        <v>662.93760000000009</v>
      </c>
      <c r="Y738" s="35">
        <f>IFERROR(VLOOKUP(Tabela3[[#This Row],[Data]],Tabela461213[],2,1)*(Tabela3[[#This Row],[Qtde Cx Produzida]]*Tabela3[[#This Row],[Qde macho / CX]]*Tabela3[[#This Row],[Peso Macho]]),)</f>
        <v>0</v>
      </c>
      <c r="Z738" s="35">
        <f>IFERROR(Tabela3[[#This Row],[Qtde Oleo]]*(VLOOKUP(Tabela3[[#This Row],[Data]],CompraOleo[],3,TRUE))*1.05,0)</f>
        <v>85.749334655513977</v>
      </c>
      <c r="AA738" s="47">
        <f ca="1">(Tabela3[[#This Row],[Custo Oleo]]+Tabela3[[#This Row],[Custo Aluminio]]+Tabela3[[#This Row],[Custo M.O. Total]]+Tabela3[[#This Row],[Custo Machos]])</f>
        <v>1091.8497886832918</v>
      </c>
      <c r="AB738" s="47">
        <f ca="1">Tabela3[[#This Row],[Custo Total]]*Tabela3[[#This Row],[% Perda]]</f>
        <v>0</v>
      </c>
      <c r="AC738" s="48">
        <f>IFERROR(VLOOKUP(Tabela3[[#This Row],[Produto]],Tabela2[],2,0),0)</f>
        <v>4</v>
      </c>
      <c r="AD738" s="48">
        <f>IFERROR(VLOOKUP(Tabela3[[#This Row],[Produto]],Tabela2[],3,0),0)</f>
        <v>0.33200000000000002</v>
      </c>
      <c r="AE738" s="48">
        <f>IFERROR(VLOOKUP(Tabela3[[#This Row],[Produto]],Tabela2[],4,0),0)</f>
        <v>2.2999999999999998</v>
      </c>
      <c r="AF738" s="48">
        <f>IFERROR(VLOOKUP(Tabela3[[#This Row],[Produto]],Tabela2[],5,0),0)</f>
        <v>0.8747999999999998</v>
      </c>
      <c r="AG738" s="40">
        <f>IFERROR(VLOOKUP(Tabela3[[#This Row],[Produto]],Tabela2[],6,0),0)</f>
        <v>0</v>
      </c>
      <c r="AH738" s="40">
        <f>IFERROR(VLOOKUP(Tabela3[[#This Row],[Produto]],Tabela2[],7,0),0)</f>
        <v>0</v>
      </c>
      <c r="AI738" s="40">
        <f>IFERROR(VLOOKUP(Tabela3[[#This Row],[Produto]],Tabela2[],8,0),0)</f>
        <v>0</v>
      </c>
      <c r="AJ738" s="35">
        <f ca="1">IFERROR(VLOOKUP(Tabela3[[#This Row],[Produto]],Tabela2[],13,0),0)</f>
        <v>15.600000000000001</v>
      </c>
      <c r="AK738" s="40" t="str">
        <f>IFERROR(VLOOKUP(Tabela3[[#This Row],[Produto]],Tabela2[],14,0),0)</f>
        <v>Senun</v>
      </c>
      <c r="AL738" s="40">
        <f>IFERROR(VLOOKUP(Tabela3[[#This Row],[Produto]],Tabela2[],15,0),0)</f>
        <v>3.5</v>
      </c>
      <c r="AM738" s="36">
        <f ca="1">(Tabela3[[#This Row],[Custo Usinagem]]+Tabela3[[#This Row],[Custo / Pç]])*1.2</f>
        <v>14.436091768905859</v>
      </c>
      <c r="AN738" s="36">
        <f ca="1">Tabela3[[#This Row],[Valor Mínimo Venda]]*1.15</f>
        <v>16.601505534241738</v>
      </c>
      <c r="AO738" s="36">
        <f ca="1">Tabela3[[#This Row],[Tabela 1]]*1.08</f>
        <v>17.929625976981079</v>
      </c>
      <c r="AP738" s="36">
        <f ca="1">Tabela3[[#This Row],[Tabela 2]]*1.15</f>
        <v>20.61906987352824</v>
      </c>
    </row>
    <row r="739" spans="1:42">
      <c r="A739" s="9">
        <v>45944</v>
      </c>
      <c r="B739" s="6" t="s">
        <v>247</v>
      </c>
      <c r="C739" s="14">
        <v>8120</v>
      </c>
      <c r="D739" s="6" t="s">
        <v>46</v>
      </c>
      <c r="E739" s="6" t="s">
        <v>44</v>
      </c>
      <c r="F739" s="6">
        <v>65</v>
      </c>
      <c r="G739" s="15">
        <v>0.32361111111111113</v>
      </c>
      <c r="H739" s="16">
        <v>0</v>
      </c>
      <c r="I739" s="35">
        <f ca="1">IFERROR(Tabela3[[#This Row],[Custo Total]]/Tabela3[[#This Row],[Aluminio Util]],0)</f>
        <v>30.388619051525804</v>
      </c>
      <c r="J739" s="35">
        <f ca="1">Tabela3[[#This Row],[Custo Total]]/Tabela3[[#This Row],[Realizado]]</f>
        <v>9.1165857154577417</v>
      </c>
      <c r="K739" s="37">
        <f>IFERROR(Tabela3[[#This Row],[Qtde Cx Produzida]]/Tabela3[[#This Row],[Tempo]]/24,0)</f>
        <v>8.3690987124463518</v>
      </c>
      <c r="L739" s="37">
        <f>Tabela3[[#This Row],[Qtde Cx Produzida]]*Tabela3[[#This Row],[Qdt Peça Placa]]</f>
        <v>260</v>
      </c>
      <c r="M739" s="37">
        <f>Tabela3[[#This Row],[Previsto]]-Tabela3[[#This Row],[Perda Pçs]]</f>
        <v>260</v>
      </c>
      <c r="N739" s="38">
        <f>IFERROR(Tabela3[[#This Row],[Perda Pçs]]/Tabela3[[#This Row],[Previsto]],0)</f>
        <v>0</v>
      </c>
      <c r="O739" s="39">
        <f>IFERROR(IF(Tabela3[[#This Row],[Qtde Cx Produzida]] &lt;&gt; 0, Tabela3[[#This Row],[Tempo]] / Tabela3[[#This Row],[Qtde Cx Produzida]], 0),0)</f>
        <v>4.9786324786324785E-3</v>
      </c>
      <c r="P739" s="57">
        <f>IFERROR(Tabela3[[#This Row],[Perda Pçs]]/Tabela3[[#This Row],[Qdt Peça Placa]],0)</f>
        <v>0</v>
      </c>
      <c r="Q739" s="37">
        <f>IFERROR(Tabela3[[#This Row],[Realizado]]*Tabela3[[#This Row],[Peso Util/Pç]],0)</f>
        <v>78</v>
      </c>
      <c r="R739" s="37">
        <f>IFERROR(Tabela3[[#This Row],[Peso Total Galho]]*Tabela3[[#This Row],[Qtde Cx Produzida]]*1.055,0)</f>
        <v>157.7225</v>
      </c>
      <c r="S739" s="37">
        <f>(Tabela3[[#This Row],[Aluminio Bruto]]-Tabela3[[#This Row],[Aluminio Util]])*0.9</f>
        <v>71.750249999999994</v>
      </c>
      <c r="T739" s="37">
        <f>Tabela3[[#This Row],[Aluminio Bruto]]/OleoKGAluminio</f>
        <v>66.353651816766771</v>
      </c>
      <c r="U739" s="35">
        <f>IFERROR((VLOOKUP(Tabela3[[#This Row],[Moldador]],Tabela1[],5,)+(VLOOKUP(Tabela3[[#This Row],[Ajudante]],Tabela1[],5,))*3.5),0)</f>
        <v>126.0945</v>
      </c>
      <c r="V739" s="35">
        <f>IFERROR(Tabela3[[#This Row],[Custo M.O. / H]]/((Tabela3[[#This Row],[Realizado]]/Tabela3[[#This Row],[Qdt Peça Placa]])/Tabela3[[#This Row],[Tempo]]/24),)</f>
        <v>15.066676153846153</v>
      </c>
      <c r="W739" s="35">
        <f>Tabela3[[#This Row],[Custo / Cx Moldada]]*Tabela3[[#This Row],[Qtde Cx Produzida]]</f>
        <v>979.33394999999996</v>
      </c>
      <c r="X739" s="35">
        <f ca="1">Tabela3[[#This Row],[Aluminio Util]]*Tabela3[[#This Row],[Custo/Kg]]</f>
        <v>1216.8000000000002</v>
      </c>
      <c r="Y739" s="35">
        <f>IFERROR(VLOOKUP(Tabela3[[#This Row],[Data]],Tabela461213[],2,1)*(Tabela3[[#This Row],[Qtde Cx Produzida]]*Tabela3[[#This Row],[Qde macho / CX]]*Tabela3[[#This Row],[Peso Macho]]),)</f>
        <v>0</v>
      </c>
      <c r="Z739" s="35">
        <f>IFERROR(Tabela3[[#This Row],[Qtde Oleo]]*(VLOOKUP(Tabela3[[#This Row],[Data]],CompraOleo[],3,TRUE))*1.05,0)</f>
        <v>174.17833601901279</v>
      </c>
      <c r="AA739" s="47">
        <f ca="1">(Tabela3[[#This Row],[Custo Oleo]]+Tabela3[[#This Row],[Custo Aluminio]]+Tabela3[[#This Row],[Custo M.O. Total]]+Tabela3[[#This Row],[Custo Machos]])</f>
        <v>2370.3122860190128</v>
      </c>
      <c r="AB739" s="47">
        <f ca="1">Tabela3[[#This Row],[Custo Total]]*Tabela3[[#This Row],[% Perda]]</f>
        <v>0</v>
      </c>
      <c r="AC739" s="48">
        <f>IFERROR(VLOOKUP(Tabela3[[#This Row],[Produto]],Tabela2[],2,0),0)</f>
        <v>4</v>
      </c>
      <c r="AD739" s="48">
        <f>IFERROR(VLOOKUP(Tabela3[[#This Row],[Produto]],Tabela2[],3,0),0)</f>
        <v>0.3</v>
      </c>
      <c r="AE739" s="48">
        <f>IFERROR(VLOOKUP(Tabela3[[#This Row],[Produto]],Tabela2[],4,0),0)</f>
        <v>2.2999999999999998</v>
      </c>
      <c r="AF739" s="48">
        <f>IFERROR(VLOOKUP(Tabela3[[#This Row],[Produto]],Tabela2[],5,0),0)</f>
        <v>0.98999999999999988</v>
      </c>
      <c r="AG739" s="40">
        <f>IFERROR(VLOOKUP(Tabela3[[#This Row],[Produto]],Tabela2[],6,0),0)</f>
        <v>0</v>
      </c>
      <c r="AH739" s="40">
        <f>IFERROR(VLOOKUP(Tabela3[[#This Row],[Produto]],Tabela2[],7,0),0)</f>
        <v>0</v>
      </c>
      <c r="AI739" s="40">
        <f>IFERROR(VLOOKUP(Tabela3[[#This Row],[Produto]],Tabela2[],8,0),0)</f>
        <v>0</v>
      </c>
      <c r="AJ739" s="35">
        <f ca="1">IFERROR(VLOOKUP(Tabela3[[#This Row],[Produto]],Tabela2[],13,0),0)</f>
        <v>15.600000000000001</v>
      </c>
      <c r="AK739" s="40" t="str">
        <f>IFERROR(VLOOKUP(Tabela3[[#This Row],[Produto]],Tabela2[],14,0),0)</f>
        <v>Senun</v>
      </c>
      <c r="AL739" s="40">
        <f>IFERROR(VLOOKUP(Tabela3[[#This Row],[Produto]],Tabela2[],15,0),0)</f>
        <v>3.5</v>
      </c>
      <c r="AM739" s="36">
        <f ca="1">(Tabela3[[#This Row],[Custo Usinagem]]+Tabela3[[#This Row],[Custo / Pç]])*1.2</f>
        <v>15.13990285854929</v>
      </c>
      <c r="AN739" s="36">
        <f ca="1">Tabela3[[#This Row],[Valor Mínimo Venda]]*1.15</f>
        <v>17.41088828733168</v>
      </c>
      <c r="AO739" s="36">
        <f ca="1">Tabela3[[#This Row],[Tabela 1]]*1.08</f>
        <v>18.803759350318217</v>
      </c>
      <c r="AP739" s="36">
        <f ca="1">Tabela3[[#This Row],[Tabela 2]]*1.15</f>
        <v>21.624323252865949</v>
      </c>
    </row>
    <row r="740" spans="1:42">
      <c r="A740" s="9">
        <v>45945</v>
      </c>
      <c r="B740" s="6" t="s">
        <v>247</v>
      </c>
      <c r="C740" s="14">
        <v>8120</v>
      </c>
      <c r="D740" s="6" t="s">
        <v>46</v>
      </c>
      <c r="E740" s="6" t="s">
        <v>326</v>
      </c>
      <c r="F740" s="6">
        <v>75</v>
      </c>
      <c r="G740" s="15">
        <v>0.35694444444444445</v>
      </c>
      <c r="H740" s="16">
        <v>170</v>
      </c>
      <c r="I740" s="35">
        <f ca="1">IFERROR(Tabela3[[#This Row],[Custo Total]]/Tabela3[[#This Row],[Aluminio Util]],0)</f>
        <v>71.41837064980642</v>
      </c>
      <c r="J740" s="35">
        <f ca="1">Tabela3[[#This Row],[Custo Total]]/Tabela3[[#This Row],[Realizado]]</f>
        <v>21.425511194941926</v>
      </c>
      <c r="K740" s="37">
        <f>IFERROR(Tabela3[[#This Row],[Qtde Cx Produzida]]/Tabela3[[#This Row],[Tempo]]/24,0)</f>
        <v>8.7548638132295711</v>
      </c>
      <c r="L740" s="37">
        <f>Tabela3[[#This Row],[Qtde Cx Produzida]]*Tabela3[[#This Row],[Qdt Peça Placa]]</f>
        <v>300</v>
      </c>
      <c r="M740" s="37">
        <f>Tabela3[[#This Row],[Previsto]]-Tabela3[[#This Row],[Perda Pçs]]</f>
        <v>130</v>
      </c>
      <c r="N740" s="38">
        <f>IFERROR(Tabela3[[#This Row],[Perda Pçs]]/Tabela3[[#This Row],[Previsto]],0)</f>
        <v>0.56666666666666665</v>
      </c>
      <c r="O740" s="39">
        <f>IFERROR(IF(Tabela3[[#This Row],[Qtde Cx Produzida]] &lt;&gt; 0, Tabela3[[#This Row],[Tempo]] / Tabela3[[#This Row],[Qtde Cx Produzida]], 0),0)</f>
        <v>4.7592592592592591E-3</v>
      </c>
      <c r="P740" s="57">
        <f>IFERROR(Tabela3[[#This Row],[Perda Pçs]]/Tabela3[[#This Row],[Qdt Peça Placa]],0)</f>
        <v>42.5</v>
      </c>
      <c r="Q740" s="37">
        <f>IFERROR(Tabela3[[#This Row],[Realizado]]*Tabela3[[#This Row],[Peso Util/Pç]],0)</f>
        <v>39</v>
      </c>
      <c r="R740" s="37">
        <f>IFERROR(Tabela3[[#This Row],[Peso Total Galho]]*Tabela3[[#This Row],[Qtde Cx Produzida]]*1.055,0)</f>
        <v>181.98749999999998</v>
      </c>
      <c r="S740" s="37">
        <f>(Tabela3[[#This Row],[Aluminio Bruto]]-Tabela3[[#This Row],[Aluminio Util]])*0.9</f>
        <v>128.68875</v>
      </c>
      <c r="T740" s="37">
        <f>Tabela3[[#This Row],[Aluminio Bruto]]/OleoKGAluminio</f>
        <v>76.561905942423195</v>
      </c>
      <c r="U740" s="35">
        <f>IFERROR((VLOOKUP(Tabela3[[#This Row],[Moldador]],Tabela1[],5,)+(VLOOKUP(Tabela3[[#This Row],[Ajudante]],Tabela1[],5,))*3.5),0)</f>
        <v>99.95034583333333</v>
      </c>
      <c r="V740" s="35">
        <f>IFERROR(Tabela3[[#This Row],[Custo M.O. / H]]/((Tabela3[[#This Row],[Realizado]]/Tabela3[[#This Row],[Qdt Peça Placa]])/Tabela3[[#This Row],[Tempo]]/24),)</f>
        <v>26.345886029914528</v>
      </c>
      <c r="W740" s="35">
        <f>Tabela3[[#This Row],[Custo / Cx Moldada]]*Tabela3[[#This Row],[Qtde Cx Produzida]]</f>
        <v>1975.9414522435895</v>
      </c>
      <c r="X740" s="35">
        <f ca="1">Tabela3[[#This Row],[Aluminio Util]]*Tabela3[[#This Row],[Custo/Kg]]</f>
        <v>608.40000000000009</v>
      </c>
      <c r="Y740" s="35">
        <f>IFERROR(VLOOKUP(Tabela3[[#This Row],[Data]],Tabela461213[],2,1)*(Tabela3[[#This Row],[Qtde Cx Produzida]]*Tabela3[[#This Row],[Qde macho / CX]]*Tabela3[[#This Row],[Peso Macho]]),)</f>
        <v>0</v>
      </c>
      <c r="Z740" s="35">
        <f>IFERROR(Tabela3[[#This Row],[Qtde Oleo]]*(VLOOKUP(Tabela3[[#This Row],[Data]],CompraOleo[],3,TRUE))*1.05,0)</f>
        <v>200.9750030988609</v>
      </c>
      <c r="AA740" s="47">
        <f ca="1">(Tabela3[[#This Row],[Custo Oleo]]+Tabela3[[#This Row],[Custo Aluminio]]+Tabela3[[#This Row],[Custo M.O. Total]]+Tabela3[[#This Row],[Custo Machos]])</f>
        <v>2785.3164553424504</v>
      </c>
      <c r="AB740" s="47">
        <f ca="1">Tabela3[[#This Row],[Custo Total]]*Tabela3[[#This Row],[% Perda]]</f>
        <v>1578.3459913607219</v>
      </c>
      <c r="AC740" s="48">
        <f>IFERROR(VLOOKUP(Tabela3[[#This Row],[Produto]],Tabela2[],2,0),0)</f>
        <v>4</v>
      </c>
      <c r="AD740" s="48">
        <f>IFERROR(VLOOKUP(Tabela3[[#This Row],[Produto]],Tabela2[],3,0),0)</f>
        <v>0.3</v>
      </c>
      <c r="AE740" s="48">
        <f>IFERROR(VLOOKUP(Tabela3[[#This Row],[Produto]],Tabela2[],4,0),0)</f>
        <v>2.2999999999999998</v>
      </c>
      <c r="AF740" s="48">
        <f>IFERROR(VLOOKUP(Tabela3[[#This Row],[Produto]],Tabela2[],5,0),0)</f>
        <v>0.98999999999999988</v>
      </c>
      <c r="AG740" s="40">
        <f>IFERROR(VLOOKUP(Tabela3[[#This Row],[Produto]],Tabela2[],6,0),0)</f>
        <v>0</v>
      </c>
      <c r="AH740" s="40">
        <f>IFERROR(VLOOKUP(Tabela3[[#This Row],[Produto]],Tabela2[],7,0),0)</f>
        <v>0</v>
      </c>
      <c r="AI740" s="40">
        <f>IFERROR(VLOOKUP(Tabela3[[#This Row],[Produto]],Tabela2[],8,0),0)</f>
        <v>0</v>
      </c>
      <c r="AJ740" s="35">
        <f ca="1">IFERROR(VLOOKUP(Tabela3[[#This Row],[Produto]],Tabela2[],13,0),0)</f>
        <v>15.600000000000001</v>
      </c>
      <c r="AK740" s="40" t="str">
        <f>IFERROR(VLOOKUP(Tabela3[[#This Row],[Produto]],Tabela2[],14,0),0)</f>
        <v>Senun</v>
      </c>
      <c r="AL740" s="40">
        <f>IFERROR(VLOOKUP(Tabela3[[#This Row],[Produto]],Tabela2[],15,0),0)</f>
        <v>3.5</v>
      </c>
      <c r="AM740" s="36">
        <f ca="1">(Tabela3[[#This Row],[Custo Usinagem]]+Tabela3[[#This Row],[Custo / Pç]])*1.2</f>
        <v>29.910613433930308</v>
      </c>
      <c r="AN740" s="36">
        <f ca="1">Tabela3[[#This Row],[Valor Mínimo Venda]]*1.15</f>
        <v>34.39720544901985</v>
      </c>
      <c r="AO740" s="36">
        <f ca="1">Tabela3[[#This Row],[Tabela 1]]*1.08</f>
        <v>37.148981884941442</v>
      </c>
      <c r="AP740" s="36">
        <f ca="1">Tabela3[[#This Row],[Tabela 2]]*1.15</f>
        <v>42.721329167682654</v>
      </c>
    </row>
    <row r="741" spans="1:42">
      <c r="A741" s="9">
        <v>45945</v>
      </c>
      <c r="B741" s="6" t="s">
        <v>245</v>
      </c>
      <c r="C741" s="14">
        <v>8121</v>
      </c>
      <c r="D741" s="6" t="s">
        <v>44</v>
      </c>
      <c r="E741" s="6" t="s">
        <v>47</v>
      </c>
      <c r="F741" s="6">
        <v>84</v>
      </c>
      <c r="G741" s="15">
        <v>0.36736111111111114</v>
      </c>
      <c r="H741" s="16">
        <v>0</v>
      </c>
      <c r="I741" s="35">
        <f ca="1">IFERROR(Tabela3[[#This Row],[Custo Total]]/Tabela3[[#This Row],[Aluminio Util]],0)</f>
        <v>25.517535193463853</v>
      </c>
      <c r="J741" s="35">
        <f ca="1">Tabela3[[#This Row],[Custo Total]]/Tabela3[[#This Row],[Realizado]]</f>
        <v>8.4718216842299991</v>
      </c>
      <c r="K741" s="37">
        <f>IFERROR(Tabela3[[#This Row],[Qtde Cx Produzida]]/Tabela3[[#This Row],[Tempo]]/24,0)</f>
        <v>9.5274102079395089</v>
      </c>
      <c r="L741" s="37">
        <f>Tabela3[[#This Row],[Qtde Cx Produzida]]*Tabela3[[#This Row],[Qdt Peça Placa]]</f>
        <v>336</v>
      </c>
      <c r="M741" s="37">
        <f>Tabela3[[#This Row],[Previsto]]-Tabela3[[#This Row],[Perda Pçs]]</f>
        <v>336</v>
      </c>
      <c r="N741" s="38">
        <f>IFERROR(Tabela3[[#This Row],[Perda Pçs]]/Tabela3[[#This Row],[Previsto]],0)</f>
        <v>0</v>
      </c>
      <c r="O741" s="39">
        <f>IFERROR(IF(Tabela3[[#This Row],[Qtde Cx Produzida]] &lt;&gt; 0, Tabela3[[#This Row],[Tempo]] / Tabela3[[#This Row],[Qtde Cx Produzida]], 0),0)</f>
        <v>4.3733465608465612E-3</v>
      </c>
      <c r="P741" s="57">
        <f>IFERROR(Tabela3[[#This Row],[Perda Pçs]]/Tabela3[[#This Row],[Qdt Peça Placa]],0)</f>
        <v>0</v>
      </c>
      <c r="Q741" s="37">
        <f>IFERROR(Tabela3[[#This Row],[Realizado]]*Tabela3[[#This Row],[Peso Util/Pç]],0)</f>
        <v>111.55200000000001</v>
      </c>
      <c r="R741" s="37">
        <f>IFERROR(Tabela3[[#This Row],[Peso Total Galho]]*Tabela3[[#This Row],[Qtde Cx Produzida]]*1.055,0)</f>
        <v>203.82599999999996</v>
      </c>
      <c r="S741" s="37">
        <f>(Tabela3[[#This Row],[Aluminio Bruto]]-Tabela3[[#This Row],[Aluminio Util]])*0.9</f>
        <v>83.04659999999997</v>
      </c>
      <c r="T741" s="37">
        <f>Tabela3[[#This Row],[Aluminio Bruto]]/OleoKGAluminio</f>
        <v>85.749334655513962</v>
      </c>
      <c r="U741" s="35">
        <f>IFERROR((VLOOKUP(Tabela3[[#This Row],[Moldador]],Tabela1[],5,)+(VLOOKUP(Tabela3[[#This Row],[Ajudante]],Tabela1[],5,))*3.5),0)</f>
        <v>99.95034583333333</v>
      </c>
      <c r="V741" s="35">
        <f>IFERROR(Tabela3[[#This Row],[Custo M.O. / H]]/((Tabela3[[#This Row],[Realizado]]/Tabela3[[#This Row],[Qdt Peça Placa]])/Tabela3[[#This Row],[Tempo]]/24),)</f>
        <v>10.490820028935184</v>
      </c>
      <c r="W741" s="35">
        <f>Tabela3[[#This Row],[Custo / Cx Moldada]]*Tabela3[[#This Row],[Qtde Cx Produzida]]</f>
        <v>881.22888243055547</v>
      </c>
      <c r="X741" s="35">
        <f ca="1">Tabela3[[#This Row],[Aluminio Util]]*Tabela3[[#This Row],[Custo/Kg]]</f>
        <v>1740.2112000000002</v>
      </c>
      <c r="Y741" s="35">
        <f>IFERROR(VLOOKUP(Tabela3[[#This Row],[Data]],Tabela461213[],2,1)*(Tabela3[[#This Row],[Qtde Cx Produzida]]*Tabela3[[#This Row],[Qde macho / CX]]*Tabela3[[#This Row],[Peso Macho]]),)</f>
        <v>0</v>
      </c>
      <c r="Z741" s="35">
        <f>IFERROR(Tabela3[[#This Row],[Qtde Oleo]]*(VLOOKUP(Tabela3[[#This Row],[Data]],CompraOleo[],3,TRUE))*1.05,0)</f>
        <v>225.09200347072417</v>
      </c>
      <c r="AA741" s="47">
        <f ca="1">(Tabela3[[#This Row],[Custo Oleo]]+Tabela3[[#This Row],[Custo Aluminio]]+Tabela3[[#This Row],[Custo M.O. Total]]+Tabela3[[#This Row],[Custo Machos]])</f>
        <v>2846.53208590128</v>
      </c>
      <c r="AB741" s="47">
        <f ca="1">Tabela3[[#This Row],[Custo Total]]*Tabela3[[#This Row],[% Perda]]</f>
        <v>0</v>
      </c>
      <c r="AC741" s="48">
        <f>IFERROR(VLOOKUP(Tabela3[[#This Row],[Produto]],Tabela2[],2,0),0)</f>
        <v>4</v>
      </c>
      <c r="AD741" s="48">
        <f>IFERROR(VLOOKUP(Tabela3[[#This Row],[Produto]],Tabela2[],3,0),0)</f>
        <v>0.33200000000000002</v>
      </c>
      <c r="AE741" s="48">
        <f>IFERROR(VLOOKUP(Tabela3[[#This Row],[Produto]],Tabela2[],4,0),0)</f>
        <v>2.2999999999999998</v>
      </c>
      <c r="AF741" s="48">
        <f>IFERROR(VLOOKUP(Tabela3[[#This Row],[Produto]],Tabela2[],5,0),0)</f>
        <v>0.8747999999999998</v>
      </c>
      <c r="AG741" s="40">
        <f>IFERROR(VLOOKUP(Tabela3[[#This Row],[Produto]],Tabela2[],6,0),0)</f>
        <v>0</v>
      </c>
      <c r="AH741" s="40">
        <f>IFERROR(VLOOKUP(Tabela3[[#This Row],[Produto]],Tabela2[],7,0),0)</f>
        <v>0</v>
      </c>
      <c r="AI741" s="40">
        <f>IFERROR(VLOOKUP(Tabela3[[#This Row],[Produto]],Tabela2[],8,0),0)</f>
        <v>0</v>
      </c>
      <c r="AJ741" s="35">
        <f ca="1">IFERROR(VLOOKUP(Tabela3[[#This Row],[Produto]],Tabela2[],13,0),0)</f>
        <v>15.600000000000001</v>
      </c>
      <c r="AK741" s="40" t="str">
        <f>IFERROR(VLOOKUP(Tabela3[[#This Row],[Produto]],Tabela2[],14,0),0)</f>
        <v>Senun</v>
      </c>
      <c r="AL741" s="40">
        <f>IFERROR(VLOOKUP(Tabela3[[#This Row],[Produto]],Tabela2[],15,0),0)</f>
        <v>3.5</v>
      </c>
      <c r="AM741" s="36">
        <f ca="1">(Tabela3[[#This Row],[Custo Usinagem]]+Tabela3[[#This Row],[Custo / Pç]])*1.2</f>
        <v>14.366186021075999</v>
      </c>
      <c r="AN741" s="36">
        <f ca="1">Tabela3[[#This Row],[Valor Mínimo Venda]]*1.15</f>
        <v>16.521113924237397</v>
      </c>
      <c r="AO741" s="36">
        <f ca="1">Tabela3[[#This Row],[Tabela 1]]*1.08</f>
        <v>17.842803038176392</v>
      </c>
      <c r="AP741" s="36">
        <f ca="1">Tabela3[[#This Row],[Tabela 2]]*1.15</f>
        <v>20.519223493902849</v>
      </c>
    </row>
    <row r="742" spans="1:42">
      <c r="A742" s="9">
        <v>45946</v>
      </c>
      <c r="B742" s="6" t="s">
        <v>247</v>
      </c>
      <c r="C742" s="14">
        <v>8120</v>
      </c>
      <c r="D742" s="6" t="s">
        <v>46</v>
      </c>
      <c r="E742" s="6" t="s">
        <v>326</v>
      </c>
      <c r="F742" s="6">
        <v>52</v>
      </c>
      <c r="G742" s="15">
        <v>0.24722222222222223</v>
      </c>
      <c r="H742" s="16">
        <v>0</v>
      </c>
      <c r="I742" s="35">
        <f ca="1">IFERROR(Tabela3[[#This Row],[Custo Total]]/Tabela3[[#This Row],[Aluminio Util]],0)</f>
        <v>27.336881208755152</v>
      </c>
      <c r="J742" s="35">
        <f ca="1">Tabela3[[#This Row],[Custo Total]]/Tabela3[[#This Row],[Realizado]]</f>
        <v>8.2010643626265463</v>
      </c>
      <c r="K742" s="37">
        <f>IFERROR(Tabela3[[#This Row],[Qtde Cx Produzida]]/Tabela3[[#This Row],[Tempo]]/24,0)</f>
        <v>8.7640449438202239</v>
      </c>
      <c r="L742" s="37">
        <f>Tabela3[[#This Row],[Qtde Cx Produzida]]*Tabela3[[#This Row],[Qdt Peça Placa]]</f>
        <v>208</v>
      </c>
      <c r="M742" s="37">
        <f>Tabela3[[#This Row],[Previsto]]-Tabela3[[#This Row],[Perda Pçs]]</f>
        <v>208</v>
      </c>
      <c r="N742" s="38">
        <f>IFERROR(Tabela3[[#This Row],[Perda Pçs]]/Tabela3[[#This Row],[Previsto]],0)</f>
        <v>0</v>
      </c>
      <c r="O742" s="39">
        <f>IFERROR(IF(Tabela3[[#This Row],[Qtde Cx Produzida]] &lt;&gt; 0, Tabela3[[#This Row],[Tempo]] / Tabela3[[#This Row],[Qtde Cx Produzida]], 0),0)</f>
        <v>4.7542735042735047E-3</v>
      </c>
      <c r="P742" s="57">
        <f>IFERROR(Tabela3[[#This Row],[Perda Pçs]]/Tabela3[[#This Row],[Qdt Peça Placa]],0)</f>
        <v>0</v>
      </c>
      <c r="Q742" s="37">
        <f>IFERROR(Tabela3[[#This Row],[Realizado]]*Tabela3[[#This Row],[Peso Util/Pç]],0)</f>
        <v>62.4</v>
      </c>
      <c r="R742" s="37">
        <f>IFERROR(Tabela3[[#This Row],[Peso Total Galho]]*Tabela3[[#This Row],[Qtde Cx Produzida]]*1.055,0)</f>
        <v>126.17799999999998</v>
      </c>
      <c r="S742" s="37">
        <f>(Tabela3[[#This Row],[Aluminio Bruto]]-Tabela3[[#This Row],[Aluminio Util]])*0.9</f>
        <v>57.400199999999984</v>
      </c>
      <c r="T742" s="37">
        <f>Tabela3[[#This Row],[Aluminio Bruto]]/OleoKGAluminio</f>
        <v>53.082921453413412</v>
      </c>
      <c r="U742" s="35">
        <f>IFERROR((VLOOKUP(Tabela3[[#This Row],[Moldador]],Tabela1[],5,)+(VLOOKUP(Tabela3[[#This Row],[Ajudante]],Tabela1[],5,))*3.5),0)</f>
        <v>99.95034583333333</v>
      </c>
      <c r="V742" s="35">
        <f>IFERROR(Tabela3[[#This Row],[Custo M.O. / H]]/((Tabela3[[#This Row],[Realizado]]/Tabela3[[#This Row],[Qdt Peça Placa]])/Tabela3[[#This Row],[Tempo]]/24),)</f>
        <v>11.404590742521368</v>
      </c>
      <c r="W742" s="35">
        <f>Tabela3[[#This Row],[Custo / Cx Moldada]]*Tabela3[[#This Row],[Qtde Cx Produzida]]</f>
        <v>593.03871861111111</v>
      </c>
      <c r="X742" s="35">
        <f ca="1">Tabela3[[#This Row],[Aluminio Util]]*Tabela3[[#This Row],[Custo/Kg]]</f>
        <v>973.44</v>
      </c>
      <c r="Y742" s="35">
        <f>IFERROR(VLOOKUP(Tabela3[[#This Row],[Data]],Tabela461213[],2,1)*(Tabela3[[#This Row],[Qtde Cx Produzida]]*Tabela3[[#This Row],[Qde macho / CX]]*Tabela3[[#This Row],[Peso Macho]]),)</f>
        <v>0</v>
      </c>
      <c r="Z742" s="35">
        <f>IFERROR(Tabela3[[#This Row],[Qtde Oleo]]*(VLOOKUP(Tabela3[[#This Row],[Data]],CompraOleo[],3,TRUE))*1.05,0)</f>
        <v>139.34266881521023</v>
      </c>
      <c r="AA742" s="47">
        <f ca="1">(Tabela3[[#This Row],[Custo Oleo]]+Tabela3[[#This Row],[Custo Aluminio]]+Tabela3[[#This Row],[Custo M.O. Total]]+Tabela3[[#This Row],[Custo Machos]])</f>
        <v>1705.8213874263215</v>
      </c>
      <c r="AB742" s="47">
        <f ca="1">Tabela3[[#This Row],[Custo Total]]*Tabela3[[#This Row],[% Perda]]</f>
        <v>0</v>
      </c>
      <c r="AC742" s="48">
        <f>IFERROR(VLOOKUP(Tabela3[[#This Row],[Produto]],Tabela2[],2,0),0)</f>
        <v>4</v>
      </c>
      <c r="AD742" s="48">
        <f>IFERROR(VLOOKUP(Tabela3[[#This Row],[Produto]],Tabela2[],3,0),0)</f>
        <v>0.3</v>
      </c>
      <c r="AE742" s="48">
        <f>IFERROR(VLOOKUP(Tabela3[[#This Row],[Produto]],Tabela2[],4,0),0)</f>
        <v>2.2999999999999998</v>
      </c>
      <c r="AF742" s="48">
        <f>IFERROR(VLOOKUP(Tabela3[[#This Row],[Produto]],Tabela2[],5,0),0)</f>
        <v>0.98999999999999988</v>
      </c>
      <c r="AG742" s="40">
        <f>IFERROR(VLOOKUP(Tabela3[[#This Row],[Produto]],Tabela2[],6,0),0)</f>
        <v>0</v>
      </c>
      <c r="AH742" s="40">
        <f>IFERROR(VLOOKUP(Tabela3[[#This Row],[Produto]],Tabela2[],7,0),0)</f>
        <v>0</v>
      </c>
      <c r="AI742" s="40">
        <f>IFERROR(VLOOKUP(Tabela3[[#This Row],[Produto]],Tabela2[],8,0),0)</f>
        <v>0</v>
      </c>
      <c r="AJ742" s="35">
        <f ca="1">IFERROR(VLOOKUP(Tabela3[[#This Row],[Produto]],Tabela2[],13,0),0)</f>
        <v>15.600000000000001</v>
      </c>
      <c r="AK742" s="40" t="str">
        <f>IFERROR(VLOOKUP(Tabela3[[#This Row],[Produto]],Tabela2[],14,0),0)</f>
        <v>Senun</v>
      </c>
      <c r="AL742" s="40">
        <f>IFERROR(VLOOKUP(Tabela3[[#This Row],[Produto]],Tabela2[],15,0),0)</f>
        <v>3.5</v>
      </c>
      <c r="AM742" s="36">
        <f ca="1">(Tabela3[[#This Row],[Custo Usinagem]]+Tabela3[[#This Row],[Custo / Pç]])*1.2</f>
        <v>14.041277235151854</v>
      </c>
      <c r="AN742" s="36">
        <f ca="1">Tabela3[[#This Row],[Valor Mínimo Venda]]*1.15</f>
        <v>16.147468820424631</v>
      </c>
      <c r="AO742" s="36">
        <f ca="1">Tabela3[[#This Row],[Tabela 1]]*1.08</f>
        <v>17.439266326058604</v>
      </c>
      <c r="AP742" s="36">
        <f ca="1">Tabela3[[#This Row],[Tabela 2]]*1.15</f>
        <v>20.055156274967395</v>
      </c>
    </row>
    <row r="743" spans="1:42">
      <c r="A743" s="9">
        <v>45946</v>
      </c>
      <c r="B743" s="6" t="s">
        <v>237</v>
      </c>
      <c r="C743" s="14">
        <v>8123</v>
      </c>
      <c r="D743" s="6" t="s">
        <v>46</v>
      </c>
      <c r="E743" s="6" t="s">
        <v>326</v>
      </c>
      <c r="F743" s="6">
        <v>14</v>
      </c>
      <c r="G743" s="15">
        <v>0.1</v>
      </c>
      <c r="H743" s="16">
        <v>0</v>
      </c>
      <c r="I743" s="35">
        <f ca="1">IFERROR(Tabela3[[#This Row],[Custo Total]]/Tabela3[[#This Row],[Aluminio Util]],0)</f>
        <v>26.786488484750031</v>
      </c>
      <c r="J743" s="35">
        <f ca="1">Tabela3[[#This Row],[Custo Total]]/Tabela3[[#This Row],[Realizado]]</f>
        <v>7.7680816605775096</v>
      </c>
      <c r="K743" s="37">
        <f>IFERROR(Tabela3[[#This Row],[Qtde Cx Produzida]]/Tabela3[[#This Row],[Tempo]]/24,0)</f>
        <v>5.833333333333333</v>
      </c>
      <c r="L743" s="37">
        <f>Tabela3[[#This Row],[Qtde Cx Produzida]]*Tabela3[[#This Row],[Qdt Peça Placa]]</f>
        <v>84</v>
      </c>
      <c r="M743" s="37">
        <f>Tabela3[[#This Row],[Previsto]]-Tabela3[[#This Row],[Perda Pçs]]</f>
        <v>84</v>
      </c>
      <c r="N743" s="38">
        <f>IFERROR(Tabela3[[#This Row],[Perda Pçs]]/Tabela3[[#This Row],[Previsto]],0)</f>
        <v>0</v>
      </c>
      <c r="O743" s="39">
        <f>IFERROR(IF(Tabela3[[#This Row],[Qtde Cx Produzida]] &lt;&gt; 0, Tabela3[[#This Row],[Tempo]] / Tabela3[[#This Row],[Qtde Cx Produzida]], 0),0)</f>
        <v>7.1428571428571435E-3</v>
      </c>
      <c r="P743" s="57">
        <f>IFERROR(Tabela3[[#This Row],[Perda Pçs]]/Tabela3[[#This Row],[Qdt Peça Placa]],0)</f>
        <v>0</v>
      </c>
      <c r="Q743" s="37">
        <f>IFERROR(Tabela3[[#This Row],[Realizado]]*Tabela3[[#This Row],[Peso Util/Pç]],0)</f>
        <v>24.36</v>
      </c>
      <c r="R743" s="37">
        <f>IFERROR(Tabela3[[#This Row],[Peso Total Galho]]*Tabela3[[#This Row],[Qtde Cx Produzida]]*1.055,0)</f>
        <v>29.54</v>
      </c>
      <c r="S743" s="37">
        <f>(Tabela3[[#This Row],[Aluminio Bruto]]-Tabela3[[#This Row],[Aluminio Util]])*0.9</f>
        <v>4.6619999999999999</v>
      </c>
      <c r="T743" s="37">
        <f>Tabela3[[#This Row],[Aluminio Bruto]]/OleoKGAluminio</f>
        <v>12.427439805146953</v>
      </c>
      <c r="U743" s="35">
        <f>IFERROR((VLOOKUP(Tabela3[[#This Row],[Moldador]],Tabela1[],5,)+(VLOOKUP(Tabela3[[#This Row],[Ajudante]],Tabela1[],5,))*3.5),0)</f>
        <v>99.95034583333333</v>
      </c>
      <c r="V743" s="35">
        <f>IFERROR(Tabela3[[#This Row],[Custo M.O. / H]]/((Tabela3[[#This Row],[Realizado]]/Tabela3[[#This Row],[Qdt Peça Placa]])/Tabela3[[#This Row],[Tempo]]/24),)</f>
        <v>17.134345</v>
      </c>
      <c r="W743" s="35">
        <f>Tabela3[[#This Row],[Custo / Cx Moldada]]*Tabela3[[#This Row],[Qtde Cx Produzida]]</f>
        <v>239.88083</v>
      </c>
      <c r="X743" s="35">
        <f ca="1">Tabela3[[#This Row],[Aluminio Util]]*Tabela3[[#This Row],[Custo/Kg]]</f>
        <v>380.01600000000002</v>
      </c>
      <c r="Y743" s="35">
        <f>IFERROR(VLOOKUP(Tabela3[[#This Row],[Data]],Tabela461213[],2,1)*(Tabela3[[#This Row],[Qtde Cx Produzida]]*Tabela3[[#This Row],[Qde macho / CX]]*Tabela3[[#This Row],[Peso Macho]]),)</f>
        <v>0</v>
      </c>
      <c r="Z743" s="35">
        <f>IFERROR(Tabela3[[#This Row],[Qtde Oleo]]*(VLOOKUP(Tabela3[[#This Row],[Data]],CompraOleo[],3,TRUE))*1.05,0)</f>
        <v>32.622029488510755</v>
      </c>
      <c r="AA743" s="47">
        <f ca="1">(Tabela3[[#This Row],[Custo Oleo]]+Tabela3[[#This Row],[Custo Aluminio]]+Tabela3[[#This Row],[Custo M.O. Total]]+Tabela3[[#This Row],[Custo Machos]])</f>
        <v>652.51885948851077</v>
      </c>
      <c r="AB743" s="47">
        <f ca="1">Tabela3[[#This Row],[Custo Total]]*Tabela3[[#This Row],[% Perda]]</f>
        <v>0</v>
      </c>
      <c r="AC743" s="48">
        <f>IFERROR(VLOOKUP(Tabela3[[#This Row],[Produto]],Tabela2[],2,0),0)</f>
        <v>6</v>
      </c>
      <c r="AD743" s="48">
        <f>IFERROR(VLOOKUP(Tabela3[[#This Row],[Produto]],Tabela2[],3,0),0)</f>
        <v>0.28999999999999998</v>
      </c>
      <c r="AE743" s="48">
        <f>IFERROR(VLOOKUP(Tabela3[[#This Row],[Produto]],Tabela2[],4,0),0)</f>
        <v>2</v>
      </c>
      <c r="AF743" s="48">
        <f>IFERROR(VLOOKUP(Tabela3[[#This Row],[Produto]],Tabela2[],5,0),0)</f>
        <v>0.23400000000000021</v>
      </c>
      <c r="AG743" s="40">
        <f>IFERROR(VLOOKUP(Tabela3[[#This Row],[Produto]],Tabela2[],6,0),0)</f>
        <v>0</v>
      </c>
      <c r="AH743" s="40">
        <f>IFERROR(VLOOKUP(Tabela3[[#This Row],[Produto]],Tabela2[],7,0),0)</f>
        <v>0</v>
      </c>
      <c r="AI743" s="40">
        <f>IFERROR(VLOOKUP(Tabela3[[#This Row],[Produto]],Tabela2[],8,0),0)</f>
        <v>0</v>
      </c>
      <c r="AJ743" s="35">
        <f ca="1">IFERROR(VLOOKUP(Tabela3[[#This Row],[Produto]],Tabela2[],13,0),0)</f>
        <v>15.600000000000001</v>
      </c>
      <c r="AK743" s="40" t="str">
        <f>IFERROR(VLOOKUP(Tabela3[[#This Row],[Produto]],Tabela2[],14,0),0)</f>
        <v>Senun</v>
      </c>
      <c r="AL743" s="40">
        <f>IFERROR(VLOOKUP(Tabela3[[#This Row],[Produto]],Tabela2[],15,0),0)</f>
        <v>4</v>
      </c>
      <c r="AM743" s="36">
        <f ca="1">(Tabela3[[#This Row],[Custo Usinagem]]+Tabela3[[#This Row],[Custo / Pç]])*1.2</f>
        <v>14.121697992693012</v>
      </c>
      <c r="AN743" s="36">
        <f ca="1">Tabela3[[#This Row],[Valor Mínimo Venda]]*1.15</f>
        <v>16.239952691596962</v>
      </c>
      <c r="AO743" s="36">
        <f ca="1">Tabela3[[#This Row],[Tabela 1]]*1.08</f>
        <v>17.539148906924719</v>
      </c>
      <c r="AP743" s="36">
        <f ca="1">Tabela3[[#This Row],[Tabela 2]]*1.15</f>
        <v>20.170021242963426</v>
      </c>
    </row>
    <row r="744" spans="1:42">
      <c r="A744" s="9">
        <v>45946</v>
      </c>
      <c r="B744" s="6" t="s">
        <v>245</v>
      </c>
      <c r="C744" s="14">
        <v>8121</v>
      </c>
      <c r="D744" s="6" t="s">
        <v>44</v>
      </c>
      <c r="E744" s="6" t="s">
        <v>47</v>
      </c>
      <c r="F744" s="6">
        <v>10</v>
      </c>
      <c r="G744" s="15">
        <v>4.4444444444444446E-2</v>
      </c>
      <c r="H744" s="16">
        <v>0</v>
      </c>
      <c r="I744" s="35">
        <f ca="1">IFERROR(Tabela3[[#This Row],[Custo Total]]/Tabela3[[#This Row],[Aluminio Util]],0)</f>
        <v>25.645961543830598</v>
      </c>
      <c r="J744" s="35">
        <f ca="1">Tabela3[[#This Row],[Custo Total]]/Tabela3[[#This Row],[Realizado]]</f>
        <v>8.5144592325517596</v>
      </c>
      <c r="K744" s="37">
        <f>IFERROR(Tabela3[[#This Row],[Qtde Cx Produzida]]/Tabela3[[#This Row],[Tempo]]/24,0)</f>
        <v>9.375</v>
      </c>
      <c r="L744" s="37">
        <f>Tabela3[[#This Row],[Qtde Cx Produzida]]*Tabela3[[#This Row],[Qdt Peça Placa]]</f>
        <v>40</v>
      </c>
      <c r="M744" s="37">
        <f>Tabela3[[#This Row],[Previsto]]-Tabela3[[#This Row],[Perda Pçs]]</f>
        <v>40</v>
      </c>
      <c r="N744" s="38">
        <f>IFERROR(Tabela3[[#This Row],[Perda Pçs]]/Tabela3[[#This Row],[Previsto]],0)</f>
        <v>0</v>
      </c>
      <c r="O744" s="39">
        <f>IFERROR(IF(Tabela3[[#This Row],[Qtde Cx Produzida]] &lt;&gt; 0, Tabela3[[#This Row],[Tempo]] / Tabela3[[#This Row],[Qtde Cx Produzida]], 0),0)</f>
        <v>4.4444444444444444E-3</v>
      </c>
      <c r="P744" s="57">
        <f>IFERROR(Tabela3[[#This Row],[Perda Pçs]]/Tabela3[[#This Row],[Qdt Peça Placa]],0)</f>
        <v>0</v>
      </c>
      <c r="Q744" s="37">
        <f>IFERROR(Tabela3[[#This Row],[Realizado]]*Tabela3[[#This Row],[Peso Util/Pç]],0)</f>
        <v>13.280000000000001</v>
      </c>
      <c r="R744" s="37">
        <f>IFERROR(Tabela3[[#This Row],[Peso Total Galho]]*Tabela3[[#This Row],[Qtde Cx Produzida]]*1.055,0)</f>
        <v>24.264999999999997</v>
      </c>
      <c r="S744" s="37">
        <f>(Tabela3[[#This Row],[Aluminio Bruto]]-Tabela3[[#This Row],[Aluminio Util]])*0.9</f>
        <v>9.8864999999999963</v>
      </c>
      <c r="T744" s="37">
        <f>Tabela3[[#This Row],[Aluminio Bruto]]/OleoKGAluminio</f>
        <v>10.208254125656424</v>
      </c>
      <c r="U744" s="35">
        <f>IFERROR((VLOOKUP(Tabela3[[#This Row],[Moldador]],Tabela1[],5,)+(VLOOKUP(Tabela3[[#This Row],[Ajudante]],Tabela1[],5,))*3.5),0)</f>
        <v>99.95034583333333</v>
      </c>
      <c r="V744" s="35">
        <f>IFERROR(Tabela3[[#This Row],[Custo M.O. / H]]/((Tabela3[[#This Row],[Realizado]]/Tabela3[[#This Row],[Qdt Peça Placa]])/Tabela3[[#This Row],[Tempo]]/24),)</f>
        <v>10.661370222222223</v>
      </c>
      <c r="W744" s="35">
        <f>Tabela3[[#This Row],[Custo / Cx Moldada]]*Tabela3[[#This Row],[Qtde Cx Produzida]]</f>
        <v>106.61370222222223</v>
      </c>
      <c r="X744" s="35">
        <f ca="1">Tabela3[[#This Row],[Aluminio Util]]*Tabela3[[#This Row],[Custo/Kg]]</f>
        <v>207.16800000000003</v>
      </c>
      <c r="Y744" s="35">
        <f>IFERROR(VLOOKUP(Tabela3[[#This Row],[Data]],Tabela461213[],2,1)*(Tabela3[[#This Row],[Qtde Cx Produzida]]*Tabela3[[#This Row],[Qde macho / CX]]*Tabela3[[#This Row],[Peso Macho]]),)</f>
        <v>0</v>
      </c>
      <c r="Z744" s="35">
        <f>IFERROR(Tabela3[[#This Row],[Qtde Oleo]]*(VLOOKUP(Tabela3[[#This Row],[Data]],CompraOleo[],3,TRUE))*1.05,0)</f>
        <v>26.796667079848113</v>
      </c>
      <c r="AA744" s="47">
        <f ca="1">(Tabela3[[#This Row],[Custo Oleo]]+Tabela3[[#This Row],[Custo Aluminio]]+Tabela3[[#This Row],[Custo M.O. Total]]+Tabela3[[#This Row],[Custo Machos]])</f>
        <v>340.57836930207037</v>
      </c>
      <c r="AB744" s="47">
        <f ca="1">Tabela3[[#This Row],[Custo Total]]*Tabela3[[#This Row],[% Perda]]</f>
        <v>0</v>
      </c>
      <c r="AC744" s="48">
        <f>IFERROR(VLOOKUP(Tabela3[[#This Row],[Produto]],Tabela2[],2,0),0)</f>
        <v>4</v>
      </c>
      <c r="AD744" s="48">
        <f>IFERROR(VLOOKUP(Tabela3[[#This Row],[Produto]],Tabela2[],3,0),0)</f>
        <v>0.33200000000000002</v>
      </c>
      <c r="AE744" s="48">
        <f>IFERROR(VLOOKUP(Tabela3[[#This Row],[Produto]],Tabela2[],4,0),0)</f>
        <v>2.2999999999999998</v>
      </c>
      <c r="AF744" s="48">
        <f>IFERROR(VLOOKUP(Tabela3[[#This Row],[Produto]],Tabela2[],5,0),0)</f>
        <v>0.8747999999999998</v>
      </c>
      <c r="AG744" s="40">
        <f>IFERROR(VLOOKUP(Tabela3[[#This Row],[Produto]],Tabela2[],6,0),0)</f>
        <v>0</v>
      </c>
      <c r="AH744" s="40">
        <f>IFERROR(VLOOKUP(Tabela3[[#This Row],[Produto]],Tabela2[],7,0),0)</f>
        <v>0</v>
      </c>
      <c r="AI744" s="40">
        <f>IFERROR(VLOOKUP(Tabela3[[#This Row],[Produto]],Tabela2[],8,0),0)</f>
        <v>0</v>
      </c>
      <c r="AJ744" s="35">
        <f ca="1">IFERROR(VLOOKUP(Tabela3[[#This Row],[Produto]],Tabela2[],13,0),0)</f>
        <v>15.600000000000001</v>
      </c>
      <c r="AK744" s="40" t="str">
        <f>IFERROR(VLOOKUP(Tabela3[[#This Row],[Produto]],Tabela2[],14,0),0)</f>
        <v>Senun</v>
      </c>
      <c r="AL744" s="40">
        <f>IFERROR(VLOOKUP(Tabela3[[#This Row],[Produto]],Tabela2[],15,0),0)</f>
        <v>3.5</v>
      </c>
      <c r="AM744" s="36">
        <f ca="1">(Tabela3[[#This Row],[Custo Usinagem]]+Tabela3[[#This Row],[Custo / Pç]])*1.2</f>
        <v>14.417351079062112</v>
      </c>
      <c r="AN744" s="36">
        <f ca="1">Tabela3[[#This Row],[Valor Mínimo Venda]]*1.15</f>
        <v>16.579953740921425</v>
      </c>
      <c r="AO744" s="36">
        <f ca="1">Tabela3[[#This Row],[Tabela 1]]*1.08</f>
        <v>17.906350040195139</v>
      </c>
      <c r="AP744" s="36">
        <f ca="1">Tabela3[[#This Row],[Tabela 2]]*1.15</f>
        <v>20.59230254622441</v>
      </c>
    </row>
    <row r="745" spans="1:42">
      <c r="A745" s="9">
        <v>45946</v>
      </c>
      <c r="B745" s="6" t="s">
        <v>246</v>
      </c>
      <c r="C745" s="14">
        <v>8128</v>
      </c>
      <c r="D745" s="6" t="s">
        <v>44</v>
      </c>
      <c r="E745" s="6" t="s">
        <v>47</v>
      </c>
      <c r="F745" s="6">
        <v>34</v>
      </c>
      <c r="G745" s="15">
        <v>0.18055555555555555</v>
      </c>
      <c r="H745" s="16">
        <v>0</v>
      </c>
      <c r="I745" s="35">
        <f ca="1">IFERROR(Tabela3[[#This Row],[Custo Total]]/Tabela3[[#This Row],[Aluminio Util]],0)</f>
        <v>23.378381217969419</v>
      </c>
      <c r="J745" s="35">
        <f ca="1">Tabela3[[#This Row],[Custo Total]]/Tabela3[[#This Row],[Realizado]]</f>
        <v>12.460677189177702</v>
      </c>
      <c r="K745" s="37">
        <f>IFERROR(Tabela3[[#This Row],[Qtde Cx Produzida]]/Tabela3[[#This Row],[Tempo]]/24,0)</f>
        <v>7.8461538461538467</v>
      </c>
      <c r="L745" s="37">
        <f>Tabela3[[#This Row],[Qtde Cx Produzida]]*Tabela3[[#This Row],[Qdt Peça Placa]]</f>
        <v>136</v>
      </c>
      <c r="M745" s="37">
        <f>Tabela3[[#This Row],[Previsto]]-Tabela3[[#This Row],[Perda Pçs]]</f>
        <v>136</v>
      </c>
      <c r="N745" s="38">
        <f>IFERROR(Tabela3[[#This Row],[Perda Pçs]]/Tabela3[[#This Row],[Previsto]],0)</f>
        <v>0</v>
      </c>
      <c r="O745" s="39">
        <f>IFERROR(IF(Tabela3[[#This Row],[Qtde Cx Produzida]] &lt;&gt; 0, Tabela3[[#This Row],[Tempo]] / Tabela3[[#This Row],[Qtde Cx Produzida]], 0),0)</f>
        <v>5.3104575163398695E-3</v>
      </c>
      <c r="P745" s="57">
        <f>IFERROR(Tabela3[[#This Row],[Perda Pçs]]/Tabela3[[#This Row],[Qdt Peça Placa]],0)</f>
        <v>0</v>
      </c>
      <c r="Q745" s="37">
        <f>IFERROR(Tabela3[[#This Row],[Realizado]]*Tabela3[[#This Row],[Peso Util/Pç]],0)</f>
        <v>72.488</v>
      </c>
      <c r="R745" s="37">
        <f>IFERROR(Tabela3[[#This Row],[Peso Total Galho]]*Tabela3[[#This Row],[Qtde Cx Produzida]]*1.055,0)</f>
        <v>118.37099999999998</v>
      </c>
      <c r="S745" s="37">
        <f>(Tabela3[[#This Row],[Aluminio Bruto]]-Tabela3[[#This Row],[Aluminio Util]])*0.9</f>
        <v>41.294699999999985</v>
      </c>
      <c r="T745" s="37">
        <f>Tabela3[[#This Row],[Aluminio Bruto]]/OleoKGAluminio</f>
        <v>49.798526647767424</v>
      </c>
      <c r="U745" s="35">
        <f>IFERROR((VLOOKUP(Tabela3[[#This Row],[Moldador]],Tabela1[],5,)+(VLOOKUP(Tabela3[[#This Row],[Ajudante]],Tabela1[],5,))*3.5),0)</f>
        <v>99.95034583333333</v>
      </c>
      <c r="V745" s="35">
        <f>IFERROR(Tabela3[[#This Row],[Custo M.O. / H]]/((Tabela3[[#This Row],[Realizado]]/Tabela3[[#This Row],[Qdt Peça Placa]])/Tabela3[[#This Row],[Tempo]]/24),)</f>
        <v>12.738769566993463</v>
      </c>
      <c r="W745" s="35">
        <f>Tabela3[[#This Row],[Custo / Cx Moldada]]*Tabela3[[#This Row],[Qtde Cx Produzida]]</f>
        <v>433.11816527777773</v>
      </c>
      <c r="X745" s="35">
        <f ca="1">Tabela3[[#This Row],[Aluminio Util]]*Tabela3[[#This Row],[Custo/Kg]]</f>
        <v>1130.8128000000002</v>
      </c>
      <c r="Y745" s="35">
        <f>IFERROR(VLOOKUP(Tabela3[[#This Row],[Data]],Tabela461213[],2,1)*(Tabela3[[#This Row],[Qtde Cx Produzida]]*Tabela3[[#This Row],[Qde macho / CX]]*Tabela3[[#This Row],[Peso Macho]]),)</f>
        <v>0</v>
      </c>
      <c r="Z745" s="35">
        <f>IFERROR(Tabela3[[#This Row],[Qtde Oleo]]*(VLOOKUP(Tabela3[[#This Row],[Data]],CompraOleo[],3,TRUE))*1.05,0)</f>
        <v>130.72113245038949</v>
      </c>
      <c r="AA745" s="47">
        <f ca="1">(Tabela3[[#This Row],[Custo Oleo]]+Tabela3[[#This Row],[Custo Aluminio]]+Tabela3[[#This Row],[Custo M.O. Total]]+Tabela3[[#This Row],[Custo Machos]])</f>
        <v>1694.6520977281673</v>
      </c>
      <c r="AB745" s="47">
        <f ca="1">Tabela3[[#This Row],[Custo Total]]*Tabela3[[#This Row],[% Perda]]</f>
        <v>0</v>
      </c>
      <c r="AC745" s="48">
        <f>IFERROR(VLOOKUP(Tabela3[[#This Row],[Produto]],Tabela2[],2,0),0)</f>
        <v>4</v>
      </c>
      <c r="AD745" s="48">
        <f>IFERROR(VLOOKUP(Tabela3[[#This Row],[Produto]],Tabela2[],3,0),0)</f>
        <v>0.53300000000000003</v>
      </c>
      <c r="AE745" s="48">
        <f>IFERROR(VLOOKUP(Tabela3[[#This Row],[Produto]],Tabela2[],4,0),0)</f>
        <v>3.3</v>
      </c>
      <c r="AF745" s="48">
        <f>IFERROR(VLOOKUP(Tabela3[[#This Row],[Produto]],Tabela2[],5,0),0)</f>
        <v>1.0511999999999997</v>
      </c>
      <c r="AG745" s="40">
        <f>IFERROR(VLOOKUP(Tabela3[[#This Row],[Produto]],Tabela2[],6,0),0)</f>
        <v>0</v>
      </c>
      <c r="AH745" s="40">
        <f>IFERROR(VLOOKUP(Tabela3[[#This Row],[Produto]],Tabela2[],7,0),0)</f>
        <v>0</v>
      </c>
      <c r="AI745" s="40">
        <f>IFERROR(VLOOKUP(Tabela3[[#This Row],[Produto]],Tabela2[],8,0),0)</f>
        <v>0</v>
      </c>
      <c r="AJ745" s="35">
        <f ca="1">IFERROR(VLOOKUP(Tabela3[[#This Row],[Produto]],Tabela2[],13,0),0)</f>
        <v>15.600000000000001</v>
      </c>
      <c r="AK745" s="40" t="str">
        <f>IFERROR(VLOOKUP(Tabela3[[#This Row],[Produto]],Tabela2[],14,0),0)</f>
        <v>Senun</v>
      </c>
      <c r="AL745" s="40">
        <f>IFERROR(VLOOKUP(Tabela3[[#This Row],[Produto]],Tabela2[],15,0),0)</f>
        <v>4</v>
      </c>
      <c r="AM745" s="36">
        <f ca="1">(Tabela3[[#This Row],[Custo Usinagem]]+Tabela3[[#This Row],[Custo / Pç]])*1.2</f>
        <v>19.752812627013242</v>
      </c>
      <c r="AN745" s="36">
        <f ca="1">Tabela3[[#This Row],[Valor Mínimo Venda]]*1.15</f>
        <v>22.715734521065226</v>
      </c>
      <c r="AO745" s="36">
        <f ca="1">Tabela3[[#This Row],[Tabela 1]]*1.08</f>
        <v>24.532993282750446</v>
      </c>
      <c r="AP745" s="36">
        <f ca="1">Tabela3[[#This Row],[Tabela 2]]*1.15</f>
        <v>28.212942275163012</v>
      </c>
    </row>
    <row r="746" spans="1:42">
      <c r="A746" s="9">
        <v>45947</v>
      </c>
      <c r="B746" s="6" t="s">
        <v>237</v>
      </c>
      <c r="C746" s="14">
        <v>8123</v>
      </c>
      <c r="D746" s="6" t="s">
        <v>46</v>
      </c>
      <c r="E746" s="6" t="s">
        <v>326</v>
      </c>
      <c r="F746" s="6">
        <v>57</v>
      </c>
      <c r="G746" s="15">
        <v>0.35972222222222222</v>
      </c>
      <c r="H746" s="16">
        <v>29</v>
      </c>
      <c r="I746" s="35">
        <f ca="1">IFERROR(Tabela3[[#This Row],[Custo Total]]/Tabela3[[#This Row],[Aluminio Util]],0)</f>
        <v>27.450529333546399</v>
      </c>
      <c r="J746" s="35">
        <f ca="1">Tabela3[[#This Row],[Custo Total]]/Tabela3[[#This Row],[Realizado]]</f>
        <v>7.9606535067284554</v>
      </c>
      <c r="K746" s="37">
        <f>IFERROR(Tabela3[[#This Row],[Qtde Cx Produzida]]/Tabela3[[#This Row],[Tempo]]/24,0)</f>
        <v>6.602316602316602</v>
      </c>
      <c r="L746" s="37">
        <f>Tabela3[[#This Row],[Qtde Cx Produzida]]*Tabela3[[#This Row],[Qdt Peça Placa]]</f>
        <v>342</v>
      </c>
      <c r="M746" s="37">
        <f>Tabela3[[#This Row],[Previsto]]-Tabela3[[#This Row],[Perda Pçs]]</f>
        <v>313</v>
      </c>
      <c r="N746" s="38">
        <f>IFERROR(Tabela3[[#This Row],[Perda Pçs]]/Tabela3[[#This Row],[Previsto]],0)</f>
        <v>8.4795321637426896E-2</v>
      </c>
      <c r="O746" s="39">
        <f>IFERROR(IF(Tabela3[[#This Row],[Qtde Cx Produzida]] &lt;&gt; 0, Tabela3[[#This Row],[Tempo]] / Tabela3[[#This Row],[Qtde Cx Produzida]], 0),0)</f>
        <v>6.3109161793372323E-3</v>
      </c>
      <c r="P746" s="57">
        <f>IFERROR(Tabela3[[#This Row],[Perda Pçs]]/Tabela3[[#This Row],[Qdt Peça Placa]],0)</f>
        <v>4.833333333333333</v>
      </c>
      <c r="Q746" s="37">
        <f>IFERROR(Tabela3[[#This Row],[Realizado]]*Tabela3[[#This Row],[Peso Util/Pç]],0)</f>
        <v>90.77</v>
      </c>
      <c r="R746" s="37">
        <f>IFERROR(Tabela3[[#This Row],[Peso Total Galho]]*Tabela3[[#This Row],[Qtde Cx Produzida]]*1.055,0)</f>
        <v>120.27</v>
      </c>
      <c r="S746" s="37">
        <f>(Tabela3[[#This Row],[Aluminio Bruto]]-Tabela3[[#This Row],[Aluminio Util]])*0.9</f>
        <v>26.55</v>
      </c>
      <c r="T746" s="37">
        <f>Tabela3[[#This Row],[Aluminio Bruto]]/OleoKGAluminio</f>
        <v>50.597433492384027</v>
      </c>
      <c r="U746" s="35">
        <f>IFERROR((VLOOKUP(Tabela3[[#This Row],[Moldador]],Tabela1[],5,)+(VLOOKUP(Tabela3[[#This Row],[Ajudante]],Tabela1[],5,))*3.5),0)</f>
        <v>99.95034583333333</v>
      </c>
      <c r="V746" s="35">
        <f>IFERROR(Tabela3[[#This Row],[Custo M.O. / H]]/((Tabela3[[#This Row],[Realizado]]/Tabela3[[#This Row],[Qdt Peça Placa]])/Tabela3[[#This Row],[Tempo]]/24),)</f>
        <v>16.541303240149094</v>
      </c>
      <c r="W746" s="35">
        <f>Tabela3[[#This Row],[Custo / Cx Moldada]]*Tabela3[[#This Row],[Qtde Cx Produzida]]</f>
        <v>942.85428468849841</v>
      </c>
      <c r="X746" s="35">
        <f ca="1">Tabela3[[#This Row],[Aluminio Util]]*Tabela3[[#This Row],[Custo/Kg]]</f>
        <v>1416.0120000000002</v>
      </c>
      <c r="Y746" s="35">
        <f>IFERROR(VLOOKUP(Tabela3[[#This Row],[Data]],Tabela461213[],2,1)*(Tabela3[[#This Row],[Qtde Cx Produzida]]*Tabela3[[#This Row],[Qde macho / CX]]*Tabela3[[#This Row],[Peso Macho]]),)</f>
        <v>0</v>
      </c>
      <c r="Z746" s="35">
        <f>IFERROR(Tabela3[[#This Row],[Qtde Oleo]]*(VLOOKUP(Tabela3[[#This Row],[Data]],CompraOleo[],3,TRUE))*1.05,0)</f>
        <v>132.81826291750806</v>
      </c>
      <c r="AA746" s="47">
        <f ca="1">(Tabela3[[#This Row],[Custo Oleo]]+Tabela3[[#This Row],[Custo Aluminio]]+Tabela3[[#This Row],[Custo M.O. Total]]+Tabela3[[#This Row],[Custo Machos]])</f>
        <v>2491.6845476060066</v>
      </c>
      <c r="AB746" s="47">
        <f ca="1">Tabela3[[#This Row],[Custo Total]]*Tabela3[[#This Row],[% Perda]]</f>
        <v>211.28319263325787</v>
      </c>
      <c r="AC746" s="48">
        <f>IFERROR(VLOOKUP(Tabela3[[#This Row],[Produto]],Tabela2[],2,0),0)</f>
        <v>6</v>
      </c>
      <c r="AD746" s="48">
        <f>IFERROR(VLOOKUP(Tabela3[[#This Row],[Produto]],Tabela2[],3,0),0)</f>
        <v>0.28999999999999998</v>
      </c>
      <c r="AE746" s="48">
        <f>IFERROR(VLOOKUP(Tabela3[[#This Row],[Produto]],Tabela2[],4,0),0)</f>
        <v>2</v>
      </c>
      <c r="AF746" s="48">
        <f>IFERROR(VLOOKUP(Tabela3[[#This Row],[Produto]],Tabela2[],5,0),0)</f>
        <v>0.23400000000000021</v>
      </c>
      <c r="AG746" s="40">
        <f>IFERROR(VLOOKUP(Tabela3[[#This Row],[Produto]],Tabela2[],6,0),0)</f>
        <v>0</v>
      </c>
      <c r="AH746" s="40">
        <f>IFERROR(VLOOKUP(Tabela3[[#This Row],[Produto]],Tabela2[],7,0),0)</f>
        <v>0</v>
      </c>
      <c r="AI746" s="40">
        <f>IFERROR(VLOOKUP(Tabela3[[#This Row],[Produto]],Tabela2[],8,0),0)</f>
        <v>0</v>
      </c>
      <c r="AJ746" s="35">
        <f ca="1">IFERROR(VLOOKUP(Tabela3[[#This Row],[Produto]],Tabela2[],13,0),0)</f>
        <v>15.600000000000001</v>
      </c>
      <c r="AK746" s="40" t="str">
        <f>IFERROR(VLOOKUP(Tabela3[[#This Row],[Produto]],Tabela2[],14,0),0)</f>
        <v>Senun</v>
      </c>
      <c r="AL746" s="40">
        <f>IFERROR(VLOOKUP(Tabela3[[#This Row],[Produto]],Tabela2[],15,0),0)</f>
        <v>4</v>
      </c>
      <c r="AM746" s="36">
        <f ca="1">(Tabela3[[#This Row],[Custo Usinagem]]+Tabela3[[#This Row],[Custo / Pç]])*1.2</f>
        <v>14.352784208074146</v>
      </c>
      <c r="AN746" s="36">
        <f ca="1">Tabela3[[#This Row],[Valor Mínimo Venda]]*1.15</f>
        <v>16.505701839285265</v>
      </c>
      <c r="AO746" s="36">
        <f ca="1">Tabela3[[#This Row],[Tabela 1]]*1.08</f>
        <v>17.826157986428086</v>
      </c>
      <c r="AP746" s="36">
        <f ca="1">Tabela3[[#This Row],[Tabela 2]]*1.15</f>
        <v>20.500081684392299</v>
      </c>
    </row>
    <row r="747" spans="1:42">
      <c r="A747" s="9">
        <v>45947</v>
      </c>
      <c r="B747" s="6" t="s">
        <v>246</v>
      </c>
      <c r="C747" s="14">
        <v>8128</v>
      </c>
      <c r="D747" s="6" t="s">
        <v>44</v>
      </c>
      <c r="E747" s="6" t="s">
        <v>47</v>
      </c>
      <c r="F747" s="6">
        <v>41</v>
      </c>
      <c r="G747" s="15">
        <v>0.24236111111111111</v>
      </c>
      <c r="H747" s="16">
        <v>0</v>
      </c>
      <c r="I747" s="35">
        <f ca="1">IFERROR(Tabela3[[#This Row],[Custo Total]]/Tabela3[[#This Row],[Aluminio Util]],0)</f>
        <v>24.054355828821745</v>
      </c>
      <c r="J747" s="35">
        <f ca="1">Tabela3[[#This Row],[Custo Total]]/Tabela3[[#This Row],[Realizado]]</f>
        <v>12.820971656761991</v>
      </c>
      <c r="K747" s="37">
        <f>IFERROR(Tabela3[[#This Row],[Qtde Cx Produzida]]/Tabela3[[#This Row],[Tempo]]/24,0)</f>
        <v>7.0487106017191978</v>
      </c>
      <c r="L747" s="37">
        <f>Tabela3[[#This Row],[Qtde Cx Produzida]]*Tabela3[[#This Row],[Qdt Peça Placa]]</f>
        <v>164</v>
      </c>
      <c r="M747" s="37">
        <f>Tabela3[[#This Row],[Previsto]]-Tabela3[[#This Row],[Perda Pçs]]</f>
        <v>164</v>
      </c>
      <c r="N747" s="38">
        <f>IFERROR(Tabela3[[#This Row],[Perda Pçs]]/Tabela3[[#This Row],[Previsto]],0)</f>
        <v>0</v>
      </c>
      <c r="O747" s="39">
        <f>IFERROR(IF(Tabela3[[#This Row],[Qtde Cx Produzida]] &lt;&gt; 0, Tabela3[[#This Row],[Tempo]] / Tabela3[[#This Row],[Qtde Cx Produzida]], 0),0)</f>
        <v>5.9112466124661249E-3</v>
      </c>
      <c r="P747" s="57">
        <f>IFERROR(Tabela3[[#This Row],[Perda Pçs]]/Tabela3[[#This Row],[Qdt Peça Placa]],0)</f>
        <v>0</v>
      </c>
      <c r="Q747" s="37">
        <f>IFERROR(Tabela3[[#This Row],[Realizado]]*Tabela3[[#This Row],[Peso Util/Pç]],0)</f>
        <v>87.412000000000006</v>
      </c>
      <c r="R747" s="37">
        <f>IFERROR(Tabela3[[#This Row],[Peso Total Galho]]*Tabela3[[#This Row],[Qtde Cx Produzida]]*1.055,0)</f>
        <v>142.74149999999997</v>
      </c>
      <c r="S747" s="37">
        <f>(Tabela3[[#This Row],[Aluminio Bruto]]-Tabela3[[#This Row],[Aluminio Util]])*0.9</f>
        <v>49.796549999999975</v>
      </c>
      <c r="T747" s="37">
        <f>Tabela3[[#This Row],[Aluminio Bruto]]/OleoKGAluminio</f>
        <v>60.051164487013665</v>
      </c>
      <c r="U747" s="35">
        <f>IFERROR((VLOOKUP(Tabela3[[#This Row],[Moldador]],Tabela1[],5,)+(VLOOKUP(Tabela3[[#This Row],[Ajudante]],Tabela1[],5,))*3.5),0)</f>
        <v>99.95034583333333</v>
      </c>
      <c r="V747" s="35">
        <f>IFERROR(Tabela3[[#This Row],[Custo M.O. / H]]/((Tabela3[[#This Row],[Realizado]]/Tabela3[[#This Row],[Qdt Peça Placa]])/Tabela3[[#This Row],[Tempo]]/24),)</f>
        <v>14.179947437330622</v>
      </c>
      <c r="W747" s="35">
        <f>Tabela3[[#This Row],[Custo / Cx Moldada]]*Tabela3[[#This Row],[Qtde Cx Produzida]]</f>
        <v>581.37784493055551</v>
      </c>
      <c r="X747" s="35">
        <f ca="1">Tabela3[[#This Row],[Aluminio Util]]*Tabela3[[#This Row],[Custo/Kg]]</f>
        <v>1363.6272000000001</v>
      </c>
      <c r="Y747" s="35">
        <f>IFERROR(VLOOKUP(Tabela3[[#This Row],[Data]],Tabela461213[],2,1)*(Tabela3[[#This Row],[Qtde Cx Produzida]]*Tabela3[[#This Row],[Qde macho / CX]]*Tabela3[[#This Row],[Peso Macho]]),)</f>
        <v>0</v>
      </c>
      <c r="Z747" s="35">
        <f>IFERROR(Tabela3[[#This Row],[Qtde Oleo]]*(VLOOKUP(Tabela3[[#This Row],[Data]],CompraOleo[],3,TRUE))*1.05,0)</f>
        <v>157.63430677841089</v>
      </c>
      <c r="AA747" s="47">
        <f ca="1">(Tabela3[[#This Row],[Custo Oleo]]+Tabela3[[#This Row],[Custo Aluminio]]+Tabela3[[#This Row],[Custo M.O. Total]]+Tabela3[[#This Row],[Custo Machos]])</f>
        <v>2102.6393517089664</v>
      </c>
      <c r="AB747" s="47">
        <f ca="1">Tabela3[[#This Row],[Custo Total]]*Tabela3[[#This Row],[% Perda]]</f>
        <v>0</v>
      </c>
      <c r="AC747" s="48">
        <f>IFERROR(VLOOKUP(Tabela3[[#This Row],[Produto]],Tabela2[],2,0),0)</f>
        <v>4</v>
      </c>
      <c r="AD747" s="48">
        <f>IFERROR(VLOOKUP(Tabela3[[#This Row],[Produto]],Tabela2[],3,0),0)</f>
        <v>0.53300000000000003</v>
      </c>
      <c r="AE747" s="48">
        <f>IFERROR(VLOOKUP(Tabela3[[#This Row],[Produto]],Tabela2[],4,0),0)</f>
        <v>3.3</v>
      </c>
      <c r="AF747" s="48">
        <f>IFERROR(VLOOKUP(Tabela3[[#This Row],[Produto]],Tabela2[],5,0),0)</f>
        <v>1.0511999999999997</v>
      </c>
      <c r="AG747" s="40">
        <f>IFERROR(VLOOKUP(Tabela3[[#This Row],[Produto]],Tabela2[],6,0),0)</f>
        <v>0</v>
      </c>
      <c r="AH747" s="40">
        <f>IFERROR(VLOOKUP(Tabela3[[#This Row],[Produto]],Tabela2[],7,0),0)</f>
        <v>0</v>
      </c>
      <c r="AI747" s="40">
        <f>IFERROR(VLOOKUP(Tabela3[[#This Row],[Produto]],Tabela2[],8,0),0)</f>
        <v>0</v>
      </c>
      <c r="AJ747" s="35">
        <f ca="1">IFERROR(VLOOKUP(Tabela3[[#This Row],[Produto]],Tabela2[],13,0),0)</f>
        <v>15.600000000000001</v>
      </c>
      <c r="AK747" s="40" t="str">
        <f>IFERROR(VLOOKUP(Tabela3[[#This Row],[Produto]],Tabela2[],14,0),0)</f>
        <v>Senun</v>
      </c>
      <c r="AL747" s="40">
        <f>IFERROR(VLOOKUP(Tabela3[[#This Row],[Produto]],Tabela2[],15,0),0)</f>
        <v>4</v>
      </c>
      <c r="AM747" s="36">
        <f ca="1">(Tabela3[[#This Row],[Custo Usinagem]]+Tabela3[[#This Row],[Custo / Pç]])*1.2</f>
        <v>20.185165988114388</v>
      </c>
      <c r="AN747" s="36">
        <f ca="1">Tabela3[[#This Row],[Valor Mínimo Venda]]*1.15</f>
        <v>23.212940886331545</v>
      </c>
      <c r="AO747" s="36">
        <f ca="1">Tabela3[[#This Row],[Tabela 1]]*1.08</f>
        <v>25.06997615723807</v>
      </c>
      <c r="AP747" s="36">
        <f ca="1">Tabela3[[#This Row],[Tabela 2]]*1.15</f>
        <v>28.830472580823777</v>
      </c>
    </row>
    <row r="748" spans="1:42">
      <c r="A748" s="9">
        <v>45947</v>
      </c>
      <c r="B748" s="6" t="s">
        <v>221</v>
      </c>
      <c r="C748" s="14">
        <v>8164</v>
      </c>
      <c r="D748" s="6" t="s">
        <v>44</v>
      </c>
      <c r="E748" s="6" t="s">
        <v>47</v>
      </c>
      <c r="F748" s="6">
        <v>1</v>
      </c>
      <c r="G748" s="15">
        <v>6.2500000000000003E-3</v>
      </c>
      <c r="H748" s="16">
        <v>0</v>
      </c>
      <c r="I748" s="35">
        <f ca="1">IFERROR(Tabela3[[#This Row],[Custo Total]]/Tabela3[[#This Row],[Aluminio Util]],0)</f>
        <v>25.10573713919517</v>
      </c>
      <c r="J748" s="35">
        <f ca="1">Tabela3[[#This Row],[Custo Total]]/Tabela3[[#This Row],[Realizado]]</f>
        <v>3.1884286166777867</v>
      </c>
      <c r="K748" s="37">
        <f>IFERROR(Tabela3[[#This Row],[Qtde Cx Produzida]]/Tabela3[[#This Row],[Tempo]]/24,0)</f>
        <v>6.666666666666667</v>
      </c>
      <c r="L748" s="37">
        <f>Tabela3[[#This Row],[Qtde Cx Produzida]]*Tabela3[[#This Row],[Qdt Peça Placa]]</f>
        <v>18</v>
      </c>
      <c r="M748" s="37">
        <f>Tabela3[[#This Row],[Previsto]]-Tabela3[[#This Row],[Perda Pçs]]</f>
        <v>18</v>
      </c>
      <c r="N748" s="38">
        <f>IFERROR(Tabela3[[#This Row],[Perda Pçs]]/Tabela3[[#This Row],[Previsto]],0)</f>
        <v>0</v>
      </c>
      <c r="O748" s="39">
        <f>IFERROR(IF(Tabela3[[#This Row],[Qtde Cx Produzida]] &lt;&gt; 0, Tabela3[[#This Row],[Tempo]] / Tabela3[[#This Row],[Qtde Cx Produzida]], 0),0)</f>
        <v>6.2500000000000003E-3</v>
      </c>
      <c r="P748" s="57">
        <f>IFERROR(Tabela3[[#This Row],[Perda Pçs]]/Tabela3[[#This Row],[Qdt Peça Placa]],0)</f>
        <v>0</v>
      </c>
      <c r="Q748" s="37">
        <f>IFERROR(Tabela3[[#This Row],[Realizado]]*Tabela3[[#This Row],[Peso Util/Pç]],0)</f>
        <v>2.286</v>
      </c>
      <c r="R748" s="37">
        <f>IFERROR(Tabela3[[#This Row],[Peso Total Galho]]*Tabela3[[#This Row],[Qtde Cx Produzida]]*1.055,0)</f>
        <v>4.0933999999999999</v>
      </c>
      <c r="S748" s="37">
        <f>(Tabela3[[#This Row],[Aluminio Bruto]]-Tabela3[[#This Row],[Aluminio Util]])*0.9</f>
        <v>1.62666</v>
      </c>
      <c r="T748" s="37">
        <f>Tabela3[[#This Row],[Aluminio Bruto]]/OleoKGAluminio</f>
        <v>1.7220880872846493</v>
      </c>
      <c r="U748" s="35">
        <f>IFERROR((VLOOKUP(Tabela3[[#This Row],[Moldador]],Tabela1[],5,)+(VLOOKUP(Tabela3[[#This Row],[Ajudante]],Tabela1[],5,))*3.5),0)</f>
        <v>99.95034583333333</v>
      </c>
      <c r="V748" s="35">
        <f>IFERROR(Tabela3[[#This Row],[Custo M.O. / H]]/((Tabela3[[#This Row],[Realizado]]/Tabela3[[#This Row],[Qdt Peça Placa]])/Tabela3[[#This Row],[Tempo]]/24),)</f>
        <v>14.992551874999998</v>
      </c>
      <c r="W748" s="35">
        <f>Tabela3[[#This Row],[Custo / Cx Moldada]]*Tabela3[[#This Row],[Qtde Cx Produzida]]</f>
        <v>14.992551874999998</v>
      </c>
      <c r="X748" s="35">
        <f ca="1">Tabela3[[#This Row],[Aluminio Util]]*Tabela3[[#This Row],[Custo/Kg]]</f>
        <v>37.878681996077958</v>
      </c>
      <c r="Y748" s="35">
        <f>IFERROR(VLOOKUP(Tabela3[[#This Row],[Data]],Tabela461213[],2,1)*(Tabela3[[#This Row],[Qtde Cx Produzida]]*Tabela3[[#This Row],[Qde macho / CX]]*Tabela3[[#This Row],[Peso Macho]]),)</f>
        <v>0</v>
      </c>
      <c r="Z748" s="35">
        <f>IFERROR(Tabela3[[#This Row],[Qtde Oleo]]*(VLOOKUP(Tabela3[[#This Row],[Data]],CompraOleo[],3,TRUE))*1.05,0)</f>
        <v>4.520481229122205</v>
      </c>
      <c r="AA748" s="47">
        <f ca="1">(Tabela3[[#This Row],[Custo Oleo]]+Tabela3[[#This Row],[Custo Aluminio]]+Tabela3[[#This Row],[Custo M.O. Total]]+Tabela3[[#This Row],[Custo Machos]])</f>
        <v>57.391715100200159</v>
      </c>
      <c r="AB748" s="47">
        <f ca="1">Tabela3[[#This Row],[Custo Total]]*Tabela3[[#This Row],[% Perda]]</f>
        <v>0</v>
      </c>
      <c r="AC748" s="48">
        <f>IFERROR(VLOOKUP(Tabela3[[#This Row],[Produto]],Tabela2[],2,0),0)</f>
        <v>18</v>
      </c>
      <c r="AD748" s="48">
        <f>IFERROR(VLOOKUP(Tabela3[[#This Row],[Produto]],Tabela2[],3,0),0)</f>
        <v>0.127</v>
      </c>
      <c r="AE748" s="48">
        <f>IFERROR(VLOOKUP(Tabela3[[#This Row],[Produto]],Tabela2[],4,0),0)</f>
        <v>3.88</v>
      </c>
      <c r="AF748" s="48">
        <f>IFERROR(VLOOKUP(Tabela3[[#This Row],[Produto]],Tabela2[],5,0),0)</f>
        <v>1.4345999999999999</v>
      </c>
      <c r="AG748" s="40">
        <f>IFERROR(VLOOKUP(Tabela3[[#This Row],[Produto]],Tabela2[],6,0),0)</f>
        <v>0</v>
      </c>
      <c r="AH748" s="40">
        <f>IFERROR(VLOOKUP(Tabela3[[#This Row],[Produto]],Tabela2[],7,0),0)</f>
        <v>0</v>
      </c>
      <c r="AI748" s="40">
        <f>IFERROR(VLOOKUP(Tabela3[[#This Row],[Produto]],Tabela2[],8,0),0)</f>
        <v>0</v>
      </c>
      <c r="AJ748" s="35">
        <f ca="1">IFERROR(VLOOKUP(Tabela3[[#This Row],[Produto]],Tabela2[],13,0),0)</f>
        <v>16.569852141766386</v>
      </c>
      <c r="AK748" s="40" t="str">
        <f>IFERROR(VLOOKUP(Tabela3[[#This Row],[Produto]],Tabela2[],14,0),0)</f>
        <v>Marcelo</v>
      </c>
      <c r="AL748" s="40">
        <f>IFERROR(VLOOKUP(Tabela3[[#This Row],[Produto]],Tabela2[],15,0),0)</f>
        <v>0</v>
      </c>
      <c r="AM748" s="36">
        <f ca="1">(Tabela3[[#This Row],[Custo Usinagem]]+Tabela3[[#This Row],[Custo / Pç]])*1.2</f>
        <v>3.8261143400133437</v>
      </c>
      <c r="AN748" s="36">
        <f ca="1">Tabela3[[#This Row],[Valor Mínimo Venda]]*1.15</f>
        <v>4.4000314910153451</v>
      </c>
      <c r="AO748" s="36">
        <f ca="1">Tabela3[[#This Row],[Tabela 1]]*1.08</f>
        <v>4.7520340102965726</v>
      </c>
      <c r="AP748" s="36">
        <f ca="1">Tabela3[[#This Row],[Tabela 2]]*1.15</f>
        <v>5.4648391118410578</v>
      </c>
    </row>
    <row r="749" spans="1:42">
      <c r="A749" s="9">
        <v>45947</v>
      </c>
      <c r="B749" s="6" t="s">
        <v>256</v>
      </c>
      <c r="C749" s="14">
        <v>8156</v>
      </c>
      <c r="D749" s="6" t="s">
        <v>44</v>
      </c>
      <c r="E749" s="6" t="s">
        <v>47</v>
      </c>
      <c r="F749" s="6">
        <v>8</v>
      </c>
      <c r="G749" s="15">
        <v>4.583333333333333E-2</v>
      </c>
      <c r="H749" s="16">
        <v>0</v>
      </c>
      <c r="I749" s="35">
        <f ca="1">IFERROR(Tabela3[[#This Row],[Custo Total]]/Tabela3[[#This Row],[Aluminio Util]],0)</f>
        <v>27.550588944192295</v>
      </c>
      <c r="J749" s="35">
        <f ca="1">Tabela3[[#This Row],[Custo Total]]/Tabela3[[#This Row],[Realizado]]</f>
        <v>23.996562970391491</v>
      </c>
      <c r="K749" s="37">
        <f>IFERROR(Tabela3[[#This Row],[Qtde Cx Produzida]]/Tabela3[[#This Row],[Tempo]]/24,0)</f>
        <v>7.2727272727272734</v>
      </c>
      <c r="L749" s="37">
        <f>Tabela3[[#This Row],[Qtde Cx Produzida]]*Tabela3[[#This Row],[Qdt Peça Placa]]</f>
        <v>16</v>
      </c>
      <c r="M749" s="37">
        <f>Tabela3[[#This Row],[Previsto]]-Tabela3[[#This Row],[Perda Pçs]]</f>
        <v>16</v>
      </c>
      <c r="N749" s="38">
        <f>IFERROR(Tabela3[[#This Row],[Perda Pçs]]/Tabela3[[#This Row],[Previsto]],0)</f>
        <v>0</v>
      </c>
      <c r="O749" s="39">
        <f>IFERROR(IF(Tabela3[[#This Row],[Qtde Cx Produzida]] &lt;&gt; 0, Tabela3[[#This Row],[Tempo]] / Tabela3[[#This Row],[Qtde Cx Produzida]], 0),0)</f>
        <v>5.7291666666666663E-3</v>
      </c>
      <c r="P749" s="57">
        <f>IFERROR(Tabela3[[#This Row],[Perda Pçs]]/Tabela3[[#This Row],[Qdt Peça Placa]],0)</f>
        <v>0</v>
      </c>
      <c r="Q749" s="37">
        <f>IFERROR(Tabela3[[#This Row],[Realizado]]*Tabela3[[#This Row],[Peso Util/Pç]],0)</f>
        <v>13.936</v>
      </c>
      <c r="R749" s="37">
        <f>IFERROR(Tabela3[[#This Row],[Peso Total Galho]]*Tabela3[[#This Row],[Qtde Cx Produzida]]*1.055,0)</f>
        <v>26.012079999999997</v>
      </c>
      <c r="S749" s="37">
        <f>(Tabela3[[#This Row],[Aluminio Bruto]]-Tabela3[[#This Row],[Aluminio Util]])*0.9</f>
        <v>10.868471999999999</v>
      </c>
      <c r="T749" s="37">
        <f>Tabela3[[#This Row],[Aluminio Bruto]]/OleoKGAluminio</f>
        <v>10.943248422703688</v>
      </c>
      <c r="U749" s="35">
        <f>IFERROR((VLOOKUP(Tabela3[[#This Row],[Moldador]],Tabela1[],5,)+(VLOOKUP(Tabela3[[#This Row],[Ajudante]],Tabela1[],5,))*3.5),0)</f>
        <v>99.95034583333333</v>
      </c>
      <c r="V749" s="35">
        <f>IFERROR(Tabela3[[#This Row],[Custo M.O. / H]]/((Tabela3[[#This Row],[Realizado]]/Tabela3[[#This Row],[Qdt Peça Placa]])/Tabela3[[#This Row],[Tempo]]/24),)</f>
        <v>13.743172552083331</v>
      </c>
      <c r="W749" s="35">
        <f>Tabela3[[#This Row],[Custo / Cx Moldada]]*Tabela3[[#This Row],[Qtde Cx Produzida]]</f>
        <v>109.94538041666665</v>
      </c>
      <c r="X749" s="35">
        <f ca="1">Tabela3[[#This Row],[Aluminio Util]]*Tabela3[[#This Row],[Custo/Kg]]</f>
        <v>245.27360000000002</v>
      </c>
      <c r="Y749" s="35">
        <f>IFERROR(VLOOKUP(Tabela3[[#This Row],[Data]],Tabela461213[],2,1)*(Tabela3[[#This Row],[Qtde Cx Produzida]]*Tabela3[[#This Row],[Qde macho / CX]]*Tabela3[[#This Row],[Peso Macho]]),)</f>
        <v>0</v>
      </c>
      <c r="Z749" s="35">
        <f>IFERROR(Tabela3[[#This Row],[Qtde Oleo]]*(VLOOKUP(Tabela3[[#This Row],[Data]],CompraOleo[],3,TRUE))*1.05,0)</f>
        <v>28.726027109597183</v>
      </c>
      <c r="AA749" s="47">
        <f ca="1">(Tabela3[[#This Row],[Custo Oleo]]+Tabela3[[#This Row],[Custo Aluminio]]+Tabela3[[#This Row],[Custo M.O. Total]]+Tabela3[[#This Row],[Custo Machos]])</f>
        <v>383.94500752626385</v>
      </c>
      <c r="AB749" s="47">
        <f ca="1">Tabela3[[#This Row],[Custo Total]]*Tabela3[[#This Row],[% Perda]]</f>
        <v>0</v>
      </c>
      <c r="AC749" s="48">
        <f>IFERROR(VLOOKUP(Tabela3[[#This Row],[Produto]],Tabela2[],2,0),0)</f>
        <v>2</v>
      </c>
      <c r="AD749" s="48">
        <f>IFERROR(VLOOKUP(Tabela3[[#This Row],[Produto]],Tabela2[],3,0),0)</f>
        <v>0.871</v>
      </c>
      <c r="AE749" s="48">
        <f>IFERROR(VLOOKUP(Tabela3[[#This Row],[Produto]],Tabela2[],4,0),0)</f>
        <v>3.0819999999999999</v>
      </c>
      <c r="AF749" s="48">
        <f>IFERROR(VLOOKUP(Tabela3[[#This Row],[Produto]],Tabela2[],5,0),0)</f>
        <v>1.206</v>
      </c>
      <c r="AG749" s="40">
        <f>IFERROR(VLOOKUP(Tabela3[[#This Row],[Produto]],Tabela2[],6,0),0)</f>
        <v>0</v>
      </c>
      <c r="AH749" s="40">
        <f>IFERROR(VLOOKUP(Tabela3[[#This Row],[Produto]],Tabela2[],7,0),0)</f>
        <v>0</v>
      </c>
      <c r="AI749" s="40">
        <f>IFERROR(VLOOKUP(Tabela3[[#This Row],[Produto]],Tabela2[],8,0),0)</f>
        <v>0</v>
      </c>
      <c r="AJ749" s="35">
        <f ca="1">IFERROR(VLOOKUP(Tabela3[[#This Row],[Produto]],Tabela2[],13,0),0)</f>
        <v>17.600000000000001</v>
      </c>
      <c r="AK749" s="40" t="str">
        <f>IFERROR(VLOOKUP(Tabela3[[#This Row],[Produto]],Tabela2[],14,0),0)</f>
        <v>Protec</v>
      </c>
      <c r="AL749" s="40">
        <f>IFERROR(VLOOKUP(Tabela3[[#This Row],[Produto]],Tabela2[],15,0),0)</f>
        <v>0</v>
      </c>
      <c r="AM749" s="36">
        <f ca="1">(Tabela3[[#This Row],[Custo Usinagem]]+Tabela3[[#This Row],[Custo / Pç]])*1.2</f>
        <v>28.795875564469789</v>
      </c>
      <c r="AN749" s="36">
        <f ca="1">Tabela3[[#This Row],[Valor Mínimo Venda]]*1.15</f>
        <v>33.115256899140256</v>
      </c>
      <c r="AO749" s="36">
        <f ca="1">Tabela3[[#This Row],[Tabela 1]]*1.08</f>
        <v>35.764477451071478</v>
      </c>
      <c r="AP749" s="36">
        <f ca="1">Tabela3[[#This Row],[Tabela 2]]*1.15</f>
        <v>41.129149068732197</v>
      </c>
    </row>
    <row r="750" spans="1:42">
      <c r="A750" s="9">
        <v>45947</v>
      </c>
      <c r="B750" s="6" t="s">
        <v>285</v>
      </c>
      <c r="C750" s="14">
        <v>8172</v>
      </c>
      <c r="D750" s="6" t="s">
        <v>44</v>
      </c>
      <c r="E750" s="6" t="s">
        <v>47</v>
      </c>
      <c r="F750" s="6">
        <v>9</v>
      </c>
      <c r="G750" s="15">
        <v>4.1666666666666664E-2</v>
      </c>
      <c r="H750" s="16">
        <v>0</v>
      </c>
      <c r="I750" s="35">
        <f ca="1">IFERROR(Tabela3[[#This Row],[Custo Total]]/Tabela3[[#This Row],[Aluminio Util]],0)</f>
        <v>27.153242750998132</v>
      </c>
      <c r="J750" s="35">
        <f ca="1">Tabela3[[#This Row],[Custo Total]]/Tabela3[[#This Row],[Realizado]]</f>
        <v>5.294882336444636</v>
      </c>
      <c r="K750" s="37">
        <f>IFERROR(Tabela3[[#This Row],[Qtde Cx Produzida]]/Tabela3[[#This Row],[Tempo]]/24,0)</f>
        <v>9</v>
      </c>
      <c r="L750" s="37">
        <f>Tabela3[[#This Row],[Qtde Cx Produzida]]*Tabela3[[#This Row],[Qdt Peça Placa]]</f>
        <v>54</v>
      </c>
      <c r="M750" s="37">
        <f>Tabela3[[#This Row],[Previsto]]-Tabela3[[#This Row],[Perda Pçs]]</f>
        <v>54</v>
      </c>
      <c r="N750" s="38">
        <f>IFERROR(Tabela3[[#This Row],[Perda Pçs]]/Tabela3[[#This Row],[Previsto]],0)</f>
        <v>0</v>
      </c>
      <c r="O750" s="39">
        <f>IFERROR(IF(Tabela3[[#This Row],[Qtde Cx Produzida]] &lt;&gt; 0, Tabela3[[#This Row],[Tempo]] / Tabela3[[#This Row],[Qtde Cx Produzida]], 0),0)</f>
        <v>4.6296296296296294E-3</v>
      </c>
      <c r="P750" s="57">
        <f>IFERROR(Tabela3[[#This Row],[Perda Pçs]]/Tabela3[[#This Row],[Qdt Peça Placa]],0)</f>
        <v>0</v>
      </c>
      <c r="Q750" s="37">
        <f>IFERROR(Tabela3[[#This Row],[Realizado]]*Tabela3[[#This Row],[Peso Util/Pç]],0)</f>
        <v>10.530000000000001</v>
      </c>
      <c r="R750" s="37">
        <f>IFERROR(Tabela3[[#This Row],[Peso Total Galho]]*Tabela3[[#This Row],[Qtde Cx Produzida]]*1.055,0)</f>
        <v>19.654649999999997</v>
      </c>
      <c r="S750" s="37">
        <f>(Tabela3[[#This Row],[Aluminio Bruto]]-Tabela3[[#This Row],[Aluminio Util]])*0.9</f>
        <v>8.2121849999999963</v>
      </c>
      <c r="T750" s="37">
        <f>Tabela3[[#This Row],[Aluminio Bruto]]/OleoKGAluminio</f>
        <v>8.2686858417817035</v>
      </c>
      <c r="U750" s="35">
        <f>IFERROR((VLOOKUP(Tabela3[[#This Row],[Moldador]],Tabela1[],5,)+(VLOOKUP(Tabela3[[#This Row],[Ajudante]],Tabela1[],5,))*3.5),0)</f>
        <v>99.95034583333333</v>
      </c>
      <c r="V750" s="35">
        <f>IFERROR(Tabela3[[#This Row],[Custo M.O. / H]]/((Tabela3[[#This Row],[Realizado]]/Tabela3[[#This Row],[Qdt Peça Placa]])/Tabela3[[#This Row],[Tempo]]/24),)</f>
        <v>11.105593981481482</v>
      </c>
      <c r="W750" s="35">
        <f>Tabela3[[#This Row],[Custo / Cx Moldada]]*Tabela3[[#This Row],[Qtde Cx Produzida]]</f>
        <v>99.95034583333333</v>
      </c>
      <c r="X750" s="35">
        <f ca="1">Tabela3[[#This Row],[Aluminio Util]]*Tabela3[[#This Row],[Custo/Kg]]</f>
        <v>164.26800000000003</v>
      </c>
      <c r="Y750" s="35">
        <f>IFERROR(VLOOKUP(Tabela3[[#This Row],[Data]],Tabela461213[],2,1)*(Tabela3[[#This Row],[Qtde Cx Produzida]]*Tabela3[[#This Row],[Qde macho / CX]]*Tabela3[[#This Row],[Peso Macho]]),)</f>
        <v>0</v>
      </c>
      <c r="Z750" s="35">
        <f>IFERROR(Tabela3[[#This Row],[Qtde Oleo]]*(VLOOKUP(Tabela3[[#This Row],[Data]],CompraOleo[],3,TRUE))*1.05,0)</f>
        <v>21.705300334676974</v>
      </c>
      <c r="AA750" s="47">
        <f ca="1">(Tabela3[[#This Row],[Custo Oleo]]+Tabela3[[#This Row],[Custo Aluminio]]+Tabela3[[#This Row],[Custo M.O. Total]]+Tabela3[[#This Row],[Custo Machos]])</f>
        <v>285.92364616801035</v>
      </c>
      <c r="AB750" s="47">
        <f ca="1">Tabela3[[#This Row],[Custo Total]]*Tabela3[[#This Row],[% Perda]]</f>
        <v>0</v>
      </c>
      <c r="AC750" s="48">
        <f>IFERROR(VLOOKUP(Tabela3[[#This Row],[Produto]],Tabela2[],2,0),0)</f>
        <v>6</v>
      </c>
      <c r="AD750" s="48">
        <f>IFERROR(VLOOKUP(Tabela3[[#This Row],[Produto]],Tabela2[],3,0),0)</f>
        <v>0.19500000000000001</v>
      </c>
      <c r="AE750" s="48">
        <f>IFERROR(VLOOKUP(Tabela3[[#This Row],[Produto]],Tabela2[],4,0),0)</f>
        <v>2.0699999999999998</v>
      </c>
      <c r="AF750" s="48">
        <f>IFERROR(VLOOKUP(Tabela3[[#This Row],[Produto]],Tabela2[],5,0),0)</f>
        <v>0.80999999999999994</v>
      </c>
      <c r="AG750" s="40">
        <f>IFERROR(VLOOKUP(Tabela3[[#This Row],[Produto]],Tabela2[],6,0),0)</f>
        <v>0</v>
      </c>
      <c r="AH750" s="40">
        <f>IFERROR(VLOOKUP(Tabela3[[#This Row],[Produto]],Tabela2[],7,0),0)</f>
        <v>0</v>
      </c>
      <c r="AI750" s="40">
        <f>IFERROR(VLOOKUP(Tabela3[[#This Row],[Produto]],Tabela2[],8,0),0)</f>
        <v>0</v>
      </c>
      <c r="AJ750" s="35">
        <f ca="1">IFERROR(VLOOKUP(Tabela3[[#This Row],[Produto]],Tabela2[],13,0),0)</f>
        <v>15.600000000000001</v>
      </c>
      <c r="AK750" s="40" t="str">
        <f>IFERROR(VLOOKUP(Tabela3[[#This Row],[Produto]],Tabela2[],14,0),0)</f>
        <v>Senun</v>
      </c>
      <c r="AL750" s="40">
        <f>IFERROR(VLOOKUP(Tabela3[[#This Row],[Produto]],Tabela2[],15,0),0)</f>
        <v>5</v>
      </c>
      <c r="AM750" s="36">
        <f ca="1">(Tabela3[[#This Row],[Custo Usinagem]]+Tabela3[[#This Row],[Custo / Pç]])*1.2</f>
        <v>12.353858803733564</v>
      </c>
      <c r="AN750" s="36">
        <f ca="1">Tabela3[[#This Row],[Valor Mínimo Venda]]*1.15</f>
        <v>14.206937624293598</v>
      </c>
      <c r="AO750" s="36">
        <f ca="1">Tabela3[[#This Row],[Tabela 1]]*1.08</f>
        <v>15.343492634237087</v>
      </c>
      <c r="AP750" s="36">
        <f ca="1">Tabela3[[#This Row],[Tabela 2]]*1.15</f>
        <v>17.645016529372651</v>
      </c>
    </row>
    <row r="751" spans="1:42">
      <c r="A751" s="9">
        <v>45950</v>
      </c>
      <c r="B751" s="6" t="s">
        <v>237</v>
      </c>
      <c r="C751" s="14">
        <v>8123</v>
      </c>
      <c r="D751" s="6" t="s">
        <v>46</v>
      </c>
      <c r="E751" s="6" t="s">
        <v>44</v>
      </c>
      <c r="F751" s="6">
        <v>4</v>
      </c>
      <c r="G751" s="15">
        <v>4.3749999999999997E-2</v>
      </c>
      <c r="H751" s="16">
        <v>0</v>
      </c>
      <c r="I751" s="35">
        <f ca="1">IFERROR(Tabela3[[#This Row],[Custo Total]]/Tabela3[[#This Row],[Aluminio Util]],0)</f>
        <v>35.962040927278771</v>
      </c>
      <c r="J751" s="35">
        <f ca="1">Tabela3[[#This Row],[Custo Total]]/Tabela3[[#This Row],[Realizado]]</f>
        <v>10.428991868910842</v>
      </c>
      <c r="K751" s="37">
        <f>IFERROR(Tabela3[[#This Row],[Qtde Cx Produzida]]/Tabela3[[#This Row],[Tempo]]/24,0)</f>
        <v>3.8095238095238098</v>
      </c>
      <c r="L751" s="37">
        <f>Tabela3[[#This Row],[Qtde Cx Produzida]]*Tabela3[[#This Row],[Qdt Peça Placa]]</f>
        <v>24</v>
      </c>
      <c r="M751" s="37">
        <f>Tabela3[[#This Row],[Previsto]]-Tabela3[[#This Row],[Perda Pçs]]</f>
        <v>24</v>
      </c>
      <c r="N751" s="38">
        <f>IFERROR(Tabela3[[#This Row],[Perda Pçs]]/Tabela3[[#This Row],[Previsto]],0)</f>
        <v>0</v>
      </c>
      <c r="O751" s="39">
        <f>IFERROR(IF(Tabela3[[#This Row],[Qtde Cx Produzida]] &lt;&gt; 0, Tabela3[[#This Row],[Tempo]] / Tabela3[[#This Row],[Qtde Cx Produzida]], 0),0)</f>
        <v>1.0937499999999999E-2</v>
      </c>
      <c r="P751" s="57">
        <f>IFERROR(Tabela3[[#This Row],[Perda Pçs]]/Tabela3[[#This Row],[Qdt Peça Placa]],0)</f>
        <v>0</v>
      </c>
      <c r="Q751" s="37">
        <f>IFERROR(Tabela3[[#This Row],[Realizado]]*Tabela3[[#This Row],[Peso Util/Pç]],0)</f>
        <v>6.9599999999999991</v>
      </c>
      <c r="R751" s="37">
        <f>IFERROR(Tabela3[[#This Row],[Peso Total Galho]]*Tabela3[[#This Row],[Qtde Cx Produzida]]*1.055,0)</f>
        <v>8.44</v>
      </c>
      <c r="S751" s="37">
        <f>(Tabela3[[#This Row],[Aluminio Bruto]]-Tabela3[[#This Row],[Aluminio Util]])*0.9</f>
        <v>1.3320000000000005</v>
      </c>
      <c r="T751" s="37">
        <f>Tabela3[[#This Row],[Aluminio Bruto]]/OleoKGAluminio</f>
        <v>3.5506970871848438</v>
      </c>
      <c r="U751" s="35">
        <f>IFERROR((VLOOKUP(Tabela3[[#This Row],[Moldador]],Tabela1[],5,)+(VLOOKUP(Tabela3[[#This Row],[Ajudante]],Tabela1[],5,))*3.5),0)</f>
        <v>126.0945</v>
      </c>
      <c r="V751" s="35">
        <f>IFERROR(Tabela3[[#This Row],[Custo M.O. / H]]/((Tabela3[[#This Row],[Realizado]]/Tabela3[[#This Row],[Qdt Peça Placa]])/Tabela3[[#This Row],[Tempo]]/24),)</f>
        <v>33.09980625</v>
      </c>
      <c r="W751" s="35">
        <f>Tabela3[[#This Row],[Custo / Cx Moldada]]*Tabela3[[#This Row],[Qtde Cx Produzida]]</f>
        <v>132.399225</v>
      </c>
      <c r="X751" s="35">
        <f ca="1">Tabela3[[#This Row],[Aluminio Util]]*Tabela3[[#This Row],[Custo/Kg]]</f>
        <v>108.57599999999999</v>
      </c>
      <c r="Y751" s="35">
        <f>IFERROR(VLOOKUP(Tabela3[[#This Row],[Data]],Tabela461213[],2,1)*(Tabela3[[#This Row],[Qtde Cx Produzida]]*Tabela3[[#This Row],[Qde macho / CX]]*Tabela3[[#This Row],[Peso Macho]]),)</f>
        <v>0</v>
      </c>
      <c r="Z751" s="35">
        <f>IFERROR(Tabela3[[#This Row],[Qtde Oleo]]*(VLOOKUP(Tabela3[[#This Row],[Data]],CompraOleo[],3,TRUE))*1.05,0)</f>
        <v>9.3205798538602149</v>
      </c>
      <c r="AA751" s="47">
        <f ca="1">(Tabela3[[#This Row],[Custo Oleo]]+Tabela3[[#This Row],[Custo Aluminio]]+Tabela3[[#This Row],[Custo M.O. Total]]+Tabela3[[#This Row],[Custo Machos]])</f>
        <v>250.2958048538602</v>
      </c>
      <c r="AB751" s="47">
        <f ca="1">Tabela3[[#This Row],[Custo Total]]*Tabela3[[#This Row],[% Perda]]</f>
        <v>0</v>
      </c>
      <c r="AC751" s="48">
        <f>IFERROR(VLOOKUP(Tabela3[[#This Row],[Produto]],Tabela2[],2,0),0)</f>
        <v>6</v>
      </c>
      <c r="AD751" s="48">
        <f>IFERROR(VLOOKUP(Tabela3[[#This Row],[Produto]],Tabela2[],3,0),0)</f>
        <v>0.28999999999999998</v>
      </c>
      <c r="AE751" s="48">
        <f>IFERROR(VLOOKUP(Tabela3[[#This Row],[Produto]],Tabela2[],4,0),0)</f>
        <v>2</v>
      </c>
      <c r="AF751" s="48">
        <f>IFERROR(VLOOKUP(Tabela3[[#This Row],[Produto]],Tabela2[],5,0),0)</f>
        <v>0.23400000000000021</v>
      </c>
      <c r="AG751" s="40">
        <f>IFERROR(VLOOKUP(Tabela3[[#This Row],[Produto]],Tabela2[],6,0),0)</f>
        <v>0</v>
      </c>
      <c r="AH751" s="40">
        <f>IFERROR(VLOOKUP(Tabela3[[#This Row],[Produto]],Tabela2[],7,0),0)</f>
        <v>0</v>
      </c>
      <c r="AI751" s="40">
        <f>IFERROR(VLOOKUP(Tabela3[[#This Row],[Produto]],Tabela2[],8,0),0)</f>
        <v>0</v>
      </c>
      <c r="AJ751" s="35">
        <f ca="1">IFERROR(VLOOKUP(Tabela3[[#This Row],[Produto]],Tabela2[],13,0),0)</f>
        <v>15.600000000000001</v>
      </c>
      <c r="AK751" s="40" t="str">
        <f>IFERROR(VLOOKUP(Tabela3[[#This Row],[Produto]],Tabela2[],14,0),0)</f>
        <v>Senun</v>
      </c>
      <c r="AL751" s="40">
        <f>IFERROR(VLOOKUP(Tabela3[[#This Row],[Produto]],Tabela2[],15,0),0)</f>
        <v>4</v>
      </c>
      <c r="AM751" s="36">
        <f ca="1">(Tabela3[[#This Row],[Custo Usinagem]]+Tabela3[[#This Row],[Custo / Pç]])*1.2</f>
        <v>17.314790242693011</v>
      </c>
      <c r="AN751" s="36">
        <f ca="1">Tabela3[[#This Row],[Valor Mínimo Venda]]*1.15</f>
        <v>19.912008779096961</v>
      </c>
      <c r="AO751" s="36">
        <f ca="1">Tabela3[[#This Row],[Tabela 1]]*1.08</f>
        <v>21.50496948142472</v>
      </c>
      <c r="AP751" s="36">
        <f ca="1">Tabela3[[#This Row],[Tabela 2]]*1.15</f>
        <v>24.730714903638425</v>
      </c>
    </row>
    <row r="752" spans="1:42">
      <c r="A752" s="9">
        <v>45950</v>
      </c>
      <c r="B752" s="6" t="s">
        <v>151</v>
      </c>
      <c r="C752" s="14">
        <v>8126</v>
      </c>
      <c r="D752" s="6" t="s">
        <v>46</v>
      </c>
      <c r="E752" s="6" t="s">
        <v>44</v>
      </c>
      <c r="F752" s="6">
        <v>20</v>
      </c>
      <c r="G752" s="15">
        <v>0.11597222222222223</v>
      </c>
      <c r="H752" s="16">
        <v>0</v>
      </c>
      <c r="I752" s="35">
        <f ca="1">IFERROR(Tabela3[[#This Row],[Custo Total]]/Tabela3[[#This Row],[Aluminio Util]],0)</f>
        <v>29.791268760347982</v>
      </c>
      <c r="J752" s="35">
        <f ca="1">Tabela3[[#This Row],[Custo Total]]/Tabela3[[#This Row],[Realizado]]</f>
        <v>43.197339702504578</v>
      </c>
      <c r="K752" s="37">
        <f>IFERROR(Tabela3[[#This Row],[Qtde Cx Produzida]]/Tabela3[[#This Row],[Tempo]]/24,0)</f>
        <v>7.185628742514969</v>
      </c>
      <c r="L752" s="37">
        <f>Tabela3[[#This Row],[Qtde Cx Produzida]]*Tabela3[[#This Row],[Qdt Peça Placa]]</f>
        <v>20</v>
      </c>
      <c r="M752" s="37">
        <f>Tabela3[[#This Row],[Previsto]]-Tabela3[[#This Row],[Perda Pçs]]</f>
        <v>20</v>
      </c>
      <c r="N752" s="38">
        <f>IFERROR(Tabela3[[#This Row],[Perda Pçs]]/Tabela3[[#This Row],[Previsto]],0)</f>
        <v>0</v>
      </c>
      <c r="O752" s="39">
        <f>IFERROR(IF(Tabela3[[#This Row],[Qtde Cx Produzida]] &lt;&gt; 0, Tabela3[[#This Row],[Tempo]] / Tabela3[[#This Row],[Qtde Cx Produzida]], 0),0)</f>
        <v>5.7986111111111112E-3</v>
      </c>
      <c r="P752" s="57">
        <f>IFERROR(Tabela3[[#This Row],[Perda Pçs]]/Tabela3[[#This Row],[Qdt Peça Placa]],0)</f>
        <v>0</v>
      </c>
      <c r="Q752" s="37">
        <f>IFERROR(Tabela3[[#This Row],[Realizado]]*Tabela3[[#This Row],[Peso Util/Pç]],0)</f>
        <v>29</v>
      </c>
      <c r="R752" s="37">
        <f>IFERROR(Tabela3[[#This Row],[Peso Total Galho]]*Tabela3[[#This Row],[Qtde Cx Produzida]]*1.055,0)</f>
        <v>54.86</v>
      </c>
      <c r="S752" s="37">
        <f>(Tabela3[[#This Row],[Aluminio Bruto]]-Tabela3[[#This Row],[Aluminio Util]])*0.9</f>
        <v>23.274000000000001</v>
      </c>
      <c r="T752" s="37">
        <f>Tabela3[[#This Row],[Aluminio Bruto]]/OleoKGAluminio</f>
        <v>23.079531066701485</v>
      </c>
      <c r="U752" s="35">
        <f>IFERROR((VLOOKUP(Tabela3[[#This Row],[Moldador]],Tabela1[],5,)+(VLOOKUP(Tabela3[[#This Row],[Ajudante]],Tabela1[],5,))*3.5),0)</f>
        <v>126.0945</v>
      </c>
      <c r="V752" s="35">
        <f>IFERROR(Tabela3[[#This Row],[Custo M.O. / H]]/((Tabela3[[#This Row],[Realizado]]/Tabela3[[#This Row],[Qdt Peça Placa]])/Tabela3[[#This Row],[Tempo]]/24),)</f>
        <v>17.548151250000004</v>
      </c>
      <c r="W752" s="35">
        <f>Tabela3[[#This Row],[Custo / Cx Moldada]]*Tabela3[[#This Row],[Qtde Cx Produzida]]</f>
        <v>350.96302500000007</v>
      </c>
      <c r="X752" s="35">
        <f ca="1">Tabela3[[#This Row],[Aluminio Util]]*Tabela3[[#This Row],[Custo/Kg]]</f>
        <v>452.40000000000003</v>
      </c>
      <c r="Y752" s="35">
        <f>IFERROR(VLOOKUP(Tabela3[[#This Row],[Data]],Tabela461213[],2,1)*(Tabela3[[#This Row],[Qtde Cx Produzida]]*Tabela3[[#This Row],[Qde macho / CX]]*Tabela3[[#This Row],[Peso Macho]]),)</f>
        <v>0</v>
      </c>
      <c r="Z752" s="35">
        <f>IFERROR(Tabela3[[#This Row],[Qtde Oleo]]*(VLOOKUP(Tabela3[[#This Row],[Data]],CompraOleo[],3,TRUE))*1.05,0)</f>
        <v>60.583769050091405</v>
      </c>
      <c r="AA752" s="47">
        <f ca="1">(Tabela3[[#This Row],[Custo Oleo]]+Tabela3[[#This Row],[Custo Aluminio]]+Tabela3[[#This Row],[Custo M.O. Total]]+Tabela3[[#This Row],[Custo Machos]])</f>
        <v>863.94679405009151</v>
      </c>
      <c r="AB752" s="47">
        <f ca="1">Tabela3[[#This Row],[Custo Total]]*Tabela3[[#This Row],[% Perda]]</f>
        <v>0</v>
      </c>
      <c r="AC752" s="48">
        <f>IFERROR(VLOOKUP(Tabela3[[#This Row],[Produto]],Tabela2[],2,0),0)</f>
        <v>1</v>
      </c>
      <c r="AD752" s="48">
        <f>IFERROR(VLOOKUP(Tabela3[[#This Row],[Produto]],Tabela2[],3,0),0)</f>
        <v>1.45</v>
      </c>
      <c r="AE752" s="48">
        <f>IFERROR(VLOOKUP(Tabela3[[#This Row],[Produto]],Tabela2[],4,0),0)</f>
        <v>2.6</v>
      </c>
      <c r="AF752" s="48">
        <f>IFERROR(VLOOKUP(Tabela3[[#This Row],[Produto]],Tabela2[],5,0),0)</f>
        <v>1.0350000000000001</v>
      </c>
      <c r="AG752" s="40">
        <f>IFERROR(VLOOKUP(Tabela3[[#This Row],[Produto]],Tabela2[],6,0),0)</f>
        <v>0</v>
      </c>
      <c r="AH752" s="40">
        <f>IFERROR(VLOOKUP(Tabela3[[#This Row],[Produto]],Tabela2[],7,0),0)</f>
        <v>0</v>
      </c>
      <c r="AI752" s="40">
        <f>IFERROR(VLOOKUP(Tabela3[[#This Row],[Produto]],Tabela2[],8,0),0)</f>
        <v>0</v>
      </c>
      <c r="AJ752" s="35">
        <f ca="1">IFERROR(VLOOKUP(Tabela3[[#This Row],[Produto]],Tabela2[],13,0),0)</f>
        <v>15.600000000000001</v>
      </c>
      <c r="AK752" s="40" t="str">
        <f>IFERROR(VLOOKUP(Tabela3[[#This Row],[Produto]],Tabela2[],14,0),0)</f>
        <v>Senun</v>
      </c>
      <c r="AL752" s="40">
        <f>IFERROR(VLOOKUP(Tabela3[[#This Row],[Produto]],Tabela2[],15,0),0)</f>
        <v>5</v>
      </c>
      <c r="AM752" s="36">
        <f ca="1">(Tabela3[[#This Row],[Custo Usinagem]]+Tabela3[[#This Row],[Custo / Pç]])*1.2</f>
        <v>57.836807643005493</v>
      </c>
      <c r="AN752" s="36">
        <f ca="1">Tabela3[[#This Row],[Valor Mínimo Venda]]*1.15</f>
        <v>66.512328789456305</v>
      </c>
      <c r="AO752" s="36">
        <f ca="1">Tabela3[[#This Row],[Tabela 1]]*1.08</f>
        <v>71.833315092612807</v>
      </c>
      <c r="AP752" s="36">
        <f ca="1">Tabela3[[#This Row],[Tabela 2]]*1.15</f>
        <v>82.608312356504726</v>
      </c>
    </row>
    <row r="753" spans="1:42">
      <c r="A753" s="9">
        <v>45950</v>
      </c>
      <c r="B753" s="6" t="s">
        <v>148</v>
      </c>
      <c r="C753" s="14">
        <v>8127</v>
      </c>
      <c r="D753" s="6" t="s">
        <v>46</v>
      </c>
      <c r="E753" s="6" t="s">
        <v>44</v>
      </c>
      <c r="F753" s="6">
        <v>17</v>
      </c>
      <c r="G753" s="15">
        <v>8.611111111111111E-2</v>
      </c>
      <c r="H753" s="16">
        <v>0</v>
      </c>
      <c r="I753" s="35">
        <f ca="1">IFERROR(Tabela3[[#This Row],[Custo Total]]/Tabela3[[#This Row],[Aluminio Util]],0)</f>
        <v>27.761210998965979</v>
      </c>
      <c r="J753" s="35">
        <f ca="1">Tabela3[[#This Row],[Custo Total]]/Tabela3[[#This Row],[Realizado]]</f>
        <v>41.641816498448968</v>
      </c>
      <c r="K753" s="37">
        <f>IFERROR(Tabela3[[#This Row],[Qtde Cx Produzida]]/Tabela3[[#This Row],[Tempo]]/24,0)</f>
        <v>8.2258064516129021</v>
      </c>
      <c r="L753" s="37">
        <f>Tabela3[[#This Row],[Qtde Cx Produzida]]*Tabela3[[#This Row],[Qdt Peça Placa]]</f>
        <v>17</v>
      </c>
      <c r="M753" s="37">
        <f>Tabela3[[#This Row],[Previsto]]-Tabela3[[#This Row],[Perda Pçs]]</f>
        <v>17</v>
      </c>
      <c r="N753" s="38">
        <f>IFERROR(Tabela3[[#This Row],[Perda Pçs]]/Tabela3[[#This Row],[Previsto]],0)</f>
        <v>0</v>
      </c>
      <c r="O753" s="39">
        <f>IFERROR(IF(Tabela3[[#This Row],[Qtde Cx Produzida]] &lt;&gt; 0, Tabela3[[#This Row],[Tempo]] / Tabela3[[#This Row],[Qtde Cx Produzida]], 0),0)</f>
        <v>5.0653594771241832E-3</v>
      </c>
      <c r="P753" s="57">
        <f>IFERROR(Tabela3[[#This Row],[Perda Pçs]]/Tabela3[[#This Row],[Qdt Peça Placa]],0)</f>
        <v>0</v>
      </c>
      <c r="Q753" s="37">
        <f>IFERROR(Tabela3[[#This Row],[Realizado]]*Tabela3[[#This Row],[Peso Util/Pç]],0)</f>
        <v>25.5</v>
      </c>
      <c r="R753" s="37">
        <f>IFERROR(Tabela3[[#This Row],[Peso Total Galho]]*Tabela3[[#This Row],[Qtde Cx Produzida]]*1.055,0)</f>
        <v>44.837499999999999</v>
      </c>
      <c r="S753" s="37">
        <f>(Tabela3[[#This Row],[Aluminio Bruto]]-Tabela3[[#This Row],[Aluminio Util]])*0.9</f>
        <v>17.403749999999999</v>
      </c>
      <c r="T753" s="37">
        <f>Tabela3[[#This Row],[Aluminio Bruto]]/OleoKGAluminio</f>
        <v>18.863078275669483</v>
      </c>
      <c r="U753" s="35">
        <f>IFERROR((VLOOKUP(Tabela3[[#This Row],[Moldador]],Tabela1[],5,)+(VLOOKUP(Tabela3[[#This Row],[Ajudante]],Tabela1[],5,))*3.5),0)</f>
        <v>126.0945</v>
      </c>
      <c r="V753" s="35">
        <f>IFERROR(Tabela3[[#This Row],[Custo M.O. / H]]/((Tabela3[[#This Row],[Realizado]]/Tabela3[[#This Row],[Qdt Peça Placa]])/Tabela3[[#This Row],[Tempo]]/24),)</f>
        <v>15.329135294117648</v>
      </c>
      <c r="W753" s="35">
        <f>Tabela3[[#This Row],[Custo / Cx Moldada]]*Tabela3[[#This Row],[Qtde Cx Produzida]]</f>
        <v>260.59530000000001</v>
      </c>
      <c r="X753" s="35">
        <f ca="1">Tabela3[[#This Row],[Aluminio Util]]*Tabela3[[#This Row],[Custo/Kg]]</f>
        <v>397.8</v>
      </c>
      <c r="Y753" s="35">
        <f>IFERROR(VLOOKUP(Tabela3[[#This Row],[Data]],Tabela461213[],2,1)*(Tabela3[[#This Row],[Qtde Cx Produzida]]*Tabela3[[#This Row],[Qde macho / CX]]*Tabela3[[#This Row],[Peso Macho]]),)</f>
        <v>0</v>
      </c>
      <c r="Z753" s="35">
        <f>IFERROR(Tabela3[[#This Row],[Qtde Oleo]]*(VLOOKUP(Tabela3[[#This Row],[Data]],CompraOleo[],3,TRUE))*1.05,0)</f>
        <v>49.515580473632397</v>
      </c>
      <c r="AA753" s="47">
        <f ca="1">(Tabela3[[#This Row],[Custo Oleo]]+Tabela3[[#This Row],[Custo Aluminio]]+Tabela3[[#This Row],[Custo M.O. Total]]+Tabela3[[#This Row],[Custo Machos]])</f>
        <v>707.91088047363246</v>
      </c>
      <c r="AB753" s="47">
        <f ca="1">Tabela3[[#This Row],[Custo Total]]*Tabela3[[#This Row],[% Perda]]</f>
        <v>0</v>
      </c>
      <c r="AC753" s="48">
        <f>IFERROR(VLOOKUP(Tabela3[[#This Row],[Produto]],Tabela2[],2,0),0)</f>
        <v>1</v>
      </c>
      <c r="AD753" s="48">
        <f>IFERROR(VLOOKUP(Tabela3[[#This Row],[Produto]],Tabela2[],3,0),0)</f>
        <v>1.5</v>
      </c>
      <c r="AE753" s="48">
        <f>IFERROR(VLOOKUP(Tabela3[[#This Row],[Produto]],Tabela2[],4,0),0)</f>
        <v>2.5</v>
      </c>
      <c r="AF753" s="48">
        <f>IFERROR(VLOOKUP(Tabela3[[#This Row],[Produto]],Tabela2[],5,0),0)</f>
        <v>0.9</v>
      </c>
      <c r="AG753" s="40">
        <f>IFERROR(VLOOKUP(Tabela3[[#This Row],[Produto]],Tabela2[],6,0),0)</f>
        <v>0</v>
      </c>
      <c r="AH753" s="40">
        <f>IFERROR(VLOOKUP(Tabela3[[#This Row],[Produto]],Tabela2[],7,0),0)</f>
        <v>0</v>
      </c>
      <c r="AI753" s="40">
        <f>IFERROR(VLOOKUP(Tabela3[[#This Row],[Produto]],Tabela2[],8,0),0)</f>
        <v>0</v>
      </c>
      <c r="AJ753" s="35">
        <f ca="1">IFERROR(VLOOKUP(Tabela3[[#This Row],[Produto]],Tabela2[],13,0),0)</f>
        <v>15.600000000000001</v>
      </c>
      <c r="AK753" s="40" t="str">
        <f>IFERROR(VLOOKUP(Tabela3[[#This Row],[Produto]],Tabela2[],14,0),0)</f>
        <v>Senun</v>
      </c>
      <c r="AL753" s="40">
        <f>IFERROR(VLOOKUP(Tabela3[[#This Row],[Produto]],Tabela2[],15,0),0)</f>
        <v>5</v>
      </c>
      <c r="AM753" s="36">
        <f ca="1">(Tabela3[[#This Row],[Custo Usinagem]]+Tabela3[[#This Row],[Custo / Pç]])*1.2</f>
        <v>55.970179798138759</v>
      </c>
      <c r="AN753" s="36">
        <f ca="1">Tabela3[[#This Row],[Valor Mínimo Venda]]*1.15</f>
        <v>64.365706767859564</v>
      </c>
      <c r="AO753" s="36">
        <f ca="1">Tabela3[[#This Row],[Tabela 1]]*1.08</f>
        <v>69.514963309288333</v>
      </c>
      <c r="AP753" s="36">
        <f ca="1">Tabela3[[#This Row],[Tabela 2]]*1.15</f>
        <v>79.942207805681576</v>
      </c>
    </row>
    <row r="754" spans="1:42">
      <c r="A754" s="9">
        <v>45950</v>
      </c>
      <c r="B754" s="6" t="s">
        <v>238</v>
      </c>
      <c r="C754" s="14">
        <v>8129</v>
      </c>
      <c r="D754" s="6" t="s">
        <v>46</v>
      </c>
      <c r="E754" s="6" t="s">
        <v>44</v>
      </c>
      <c r="F754" s="6">
        <v>27</v>
      </c>
      <c r="G754" s="15">
        <v>0.14791666666666667</v>
      </c>
      <c r="H754" s="16">
        <v>0</v>
      </c>
      <c r="I754" s="35">
        <f ca="1">IFERROR(Tabela3[[#This Row],[Custo Total]]/Tabela3[[#This Row],[Aluminio Util]],0)</f>
        <v>24.50475936383798</v>
      </c>
      <c r="J754" s="35">
        <f ca="1">Tabela3[[#This Row],[Custo Total]]/Tabela3[[#This Row],[Realizado]]</f>
        <v>8.9932466865285399</v>
      </c>
      <c r="K754" s="37">
        <f>IFERROR(Tabela3[[#This Row],[Qtde Cx Produzida]]/Tabela3[[#This Row],[Tempo]]/24,0)</f>
        <v>7.605633802816901</v>
      </c>
      <c r="L754" s="37">
        <f>Tabela3[[#This Row],[Qtde Cx Produzida]]*Tabela3[[#This Row],[Qdt Peça Placa]]</f>
        <v>162</v>
      </c>
      <c r="M754" s="37">
        <f>Tabela3[[#This Row],[Previsto]]-Tabela3[[#This Row],[Perda Pçs]]</f>
        <v>162</v>
      </c>
      <c r="N754" s="38">
        <f>IFERROR(Tabela3[[#This Row],[Perda Pçs]]/Tabela3[[#This Row],[Previsto]],0)</f>
        <v>0</v>
      </c>
      <c r="O754" s="39">
        <f>IFERROR(IF(Tabela3[[#This Row],[Qtde Cx Produzida]] &lt;&gt; 0, Tabela3[[#This Row],[Tempo]] / Tabela3[[#This Row],[Qtde Cx Produzida]], 0),0)</f>
        <v>5.4783950617283955E-3</v>
      </c>
      <c r="P754" s="57">
        <f>IFERROR(Tabela3[[#This Row],[Perda Pçs]]/Tabela3[[#This Row],[Qdt Peça Placa]],0)</f>
        <v>0</v>
      </c>
      <c r="Q754" s="37">
        <f>IFERROR(Tabela3[[#This Row],[Realizado]]*Tabela3[[#This Row],[Peso Util/Pç]],0)</f>
        <v>59.454000000000001</v>
      </c>
      <c r="R754" s="37">
        <f>IFERROR(Tabela3[[#This Row],[Peso Total Galho]]*Tabela3[[#This Row],[Qtde Cx Produzida]]*1.055,0)</f>
        <v>74.060999999999993</v>
      </c>
      <c r="S754" s="37">
        <f>(Tabela3[[#This Row],[Aluminio Bruto]]-Tabela3[[#This Row],[Aluminio Util]])*0.9</f>
        <v>13.146299999999993</v>
      </c>
      <c r="T754" s="37">
        <f>Tabela3[[#This Row],[Aluminio Bruto]]/OleoKGAluminio</f>
        <v>31.157366940047002</v>
      </c>
      <c r="U754" s="35">
        <f>IFERROR((VLOOKUP(Tabela3[[#This Row],[Moldador]],Tabela1[],5,)+(VLOOKUP(Tabela3[[#This Row],[Ajudante]],Tabela1[],5,))*3.5),0)</f>
        <v>126.0945</v>
      </c>
      <c r="V754" s="35">
        <f>IFERROR(Tabela3[[#This Row],[Custo M.O. / H]]/((Tabela3[[#This Row],[Realizado]]/Tabela3[[#This Row],[Qdt Peça Placa]])/Tabela3[[#This Row],[Tempo]]/24),)</f>
        <v>16.579091666666667</v>
      </c>
      <c r="W754" s="35">
        <f>Tabela3[[#This Row],[Custo / Cx Moldada]]*Tabela3[[#This Row],[Qtde Cx Produzida]]</f>
        <v>447.63547499999999</v>
      </c>
      <c r="X754" s="35">
        <f ca="1">Tabela3[[#This Row],[Aluminio Util]]*Tabela3[[#This Row],[Custo/Kg]]</f>
        <v>927.4824000000001</v>
      </c>
      <c r="Y754" s="35">
        <f>IFERROR(VLOOKUP(Tabela3[[#This Row],[Data]],Tabela461213[],2,1)*(Tabela3[[#This Row],[Qtde Cx Produzida]]*Tabela3[[#This Row],[Qde macho / CX]]*Tabela3[[#This Row],[Peso Macho]]),)</f>
        <v>0</v>
      </c>
      <c r="Z754" s="35">
        <f>IFERROR(Tabela3[[#This Row],[Qtde Oleo]]*(VLOOKUP(Tabela3[[#This Row],[Data]],CompraOleo[],3,TRUE))*1.05,0)</f>
        <v>81.788088217623383</v>
      </c>
      <c r="AA754" s="47">
        <f ca="1">(Tabela3[[#This Row],[Custo Oleo]]+Tabela3[[#This Row],[Custo Aluminio]]+Tabela3[[#This Row],[Custo M.O. Total]]+Tabela3[[#This Row],[Custo Machos]])</f>
        <v>1456.9059632176234</v>
      </c>
      <c r="AB754" s="47">
        <f ca="1">Tabela3[[#This Row],[Custo Total]]*Tabela3[[#This Row],[% Perda]]</f>
        <v>0</v>
      </c>
      <c r="AC754" s="48">
        <f>IFERROR(VLOOKUP(Tabela3[[#This Row],[Produto]],Tabela2[],2,0),0)</f>
        <v>6</v>
      </c>
      <c r="AD754" s="48">
        <f>IFERROR(VLOOKUP(Tabela3[[#This Row],[Produto]],Tabela2[],3,0),0)</f>
        <v>0.36699999999999999</v>
      </c>
      <c r="AE754" s="48">
        <f>IFERROR(VLOOKUP(Tabela3[[#This Row],[Produto]],Tabela2[],4,0),0)</f>
        <v>2.6</v>
      </c>
      <c r="AF754" s="48">
        <f>IFERROR(VLOOKUP(Tabela3[[#This Row],[Produto]],Tabela2[],5,0),0)</f>
        <v>0.35820000000000013</v>
      </c>
      <c r="AG754" s="40">
        <f>IFERROR(VLOOKUP(Tabela3[[#This Row],[Produto]],Tabela2[],6,0),0)</f>
        <v>0</v>
      </c>
      <c r="AH754" s="40">
        <f>IFERROR(VLOOKUP(Tabela3[[#This Row],[Produto]],Tabela2[],7,0),0)</f>
        <v>0</v>
      </c>
      <c r="AI754" s="40">
        <f>IFERROR(VLOOKUP(Tabela3[[#This Row],[Produto]],Tabela2[],8,0),0)</f>
        <v>0</v>
      </c>
      <c r="AJ754" s="35">
        <f ca="1">IFERROR(VLOOKUP(Tabela3[[#This Row],[Produto]],Tabela2[],13,0),0)</f>
        <v>15.600000000000001</v>
      </c>
      <c r="AK754" s="40" t="str">
        <f>IFERROR(VLOOKUP(Tabela3[[#This Row],[Produto]],Tabela2[],14,0),0)</f>
        <v>Senun</v>
      </c>
      <c r="AL754" s="40">
        <f>IFERROR(VLOOKUP(Tabela3[[#This Row],[Produto]],Tabela2[],15,0),0)</f>
        <v>4</v>
      </c>
      <c r="AM754" s="36">
        <f ca="1">(Tabela3[[#This Row],[Custo Usinagem]]+Tabela3[[#This Row],[Custo / Pç]])*1.2</f>
        <v>15.591896023834247</v>
      </c>
      <c r="AN754" s="36">
        <f ca="1">Tabela3[[#This Row],[Valor Mínimo Venda]]*1.15</f>
        <v>17.930680427409381</v>
      </c>
      <c r="AO754" s="36">
        <f ca="1">Tabela3[[#This Row],[Tabela 1]]*1.08</f>
        <v>19.365134861602133</v>
      </c>
      <c r="AP754" s="36">
        <f ca="1">Tabela3[[#This Row],[Tabela 2]]*1.15</f>
        <v>22.26990509084245</v>
      </c>
    </row>
    <row r="755" spans="1:42">
      <c r="A755" s="9">
        <v>45950</v>
      </c>
      <c r="B755" s="6" t="s">
        <v>148</v>
      </c>
      <c r="C755" s="14">
        <v>8127</v>
      </c>
      <c r="D755" s="6" t="s">
        <v>44</v>
      </c>
      <c r="E755" s="6" t="s">
        <v>47</v>
      </c>
      <c r="F755" s="6">
        <v>3</v>
      </c>
      <c r="G755" s="15">
        <v>1.5277777777777777E-2</v>
      </c>
      <c r="H755" s="16">
        <v>0</v>
      </c>
      <c r="I755" s="35">
        <f ca="1">IFERROR(Tabela3[[#This Row],[Custo Total]]/Tabela3[[#This Row],[Aluminio Util]],0)</f>
        <v>25.685889722640631</v>
      </c>
      <c r="J755" s="35">
        <f ca="1">Tabela3[[#This Row],[Custo Total]]/Tabela3[[#This Row],[Realizado]]</f>
        <v>38.528834583960951</v>
      </c>
      <c r="K755" s="37">
        <f>IFERROR(Tabela3[[#This Row],[Qtde Cx Produzida]]/Tabela3[[#This Row],[Tempo]]/24,0)</f>
        <v>8.1818181818181817</v>
      </c>
      <c r="L755" s="37">
        <f>Tabela3[[#This Row],[Qtde Cx Produzida]]*Tabela3[[#This Row],[Qdt Peça Placa]]</f>
        <v>3</v>
      </c>
      <c r="M755" s="37">
        <f>Tabela3[[#This Row],[Previsto]]-Tabela3[[#This Row],[Perda Pçs]]</f>
        <v>3</v>
      </c>
      <c r="N755" s="38">
        <f>IFERROR(Tabela3[[#This Row],[Perda Pçs]]/Tabela3[[#This Row],[Previsto]],0)</f>
        <v>0</v>
      </c>
      <c r="O755" s="39">
        <f>IFERROR(IF(Tabela3[[#This Row],[Qtde Cx Produzida]] &lt;&gt; 0, Tabela3[[#This Row],[Tempo]] / Tabela3[[#This Row],[Qtde Cx Produzida]], 0),0)</f>
        <v>5.0925925925925921E-3</v>
      </c>
      <c r="P755" s="57">
        <f>IFERROR(Tabela3[[#This Row],[Perda Pçs]]/Tabela3[[#This Row],[Qdt Peça Placa]],0)</f>
        <v>0</v>
      </c>
      <c r="Q755" s="37">
        <f>IFERROR(Tabela3[[#This Row],[Realizado]]*Tabela3[[#This Row],[Peso Util/Pç]],0)</f>
        <v>4.5</v>
      </c>
      <c r="R755" s="37">
        <f>IFERROR(Tabela3[[#This Row],[Peso Total Galho]]*Tabela3[[#This Row],[Qtde Cx Produzida]]*1.055,0)</f>
        <v>7.9124999999999996</v>
      </c>
      <c r="S755" s="37">
        <f>(Tabela3[[#This Row],[Aluminio Bruto]]-Tabela3[[#This Row],[Aluminio Util]])*0.9</f>
        <v>3.0712499999999996</v>
      </c>
      <c r="T755" s="37">
        <f>Tabela3[[#This Row],[Aluminio Bruto]]/OleoKGAluminio</f>
        <v>3.328778519235791</v>
      </c>
      <c r="U755" s="35">
        <f>IFERROR((VLOOKUP(Tabela3[[#This Row],[Moldador]],Tabela1[],5,)+(VLOOKUP(Tabela3[[#This Row],[Ajudante]],Tabela1[],5,))*3.5),0)</f>
        <v>99.95034583333333</v>
      </c>
      <c r="V755" s="35">
        <f>IFERROR(Tabela3[[#This Row],[Custo M.O. / H]]/((Tabela3[[#This Row],[Realizado]]/Tabela3[[#This Row],[Qdt Peça Placa]])/Tabela3[[#This Row],[Tempo]]/24),)</f>
        <v>12.216153379629629</v>
      </c>
      <c r="W755" s="35">
        <f>Tabela3[[#This Row],[Custo / Cx Moldada]]*Tabela3[[#This Row],[Qtde Cx Produzida]]</f>
        <v>36.648460138888886</v>
      </c>
      <c r="X755" s="35">
        <f ca="1">Tabela3[[#This Row],[Aluminio Util]]*Tabela3[[#This Row],[Custo/Kg]]</f>
        <v>70.2</v>
      </c>
      <c r="Y755" s="35">
        <f>IFERROR(VLOOKUP(Tabela3[[#This Row],[Data]],Tabela461213[],2,1)*(Tabela3[[#This Row],[Qtde Cx Produzida]]*Tabela3[[#This Row],[Qde macho / CX]]*Tabela3[[#This Row],[Peso Macho]]),)</f>
        <v>0</v>
      </c>
      <c r="Z755" s="35">
        <f>IFERROR(Tabela3[[#This Row],[Qtde Oleo]]*(VLOOKUP(Tabela3[[#This Row],[Data]],CompraOleo[],3,TRUE))*1.05,0)</f>
        <v>8.7380436129939518</v>
      </c>
      <c r="AA755" s="47">
        <f ca="1">(Tabela3[[#This Row],[Custo Oleo]]+Tabela3[[#This Row],[Custo Aluminio]]+Tabela3[[#This Row],[Custo M.O. Total]]+Tabela3[[#This Row],[Custo Machos]])</f>
        <v>115.58650375188284</v>
      </c>
      <c r="AB755" s="47">
        <f ca="1">Tabela3[[#This Row],[Custo Total]]*Tabela3[[#This Row],[% Perda]]</f>
        <v>0</v>
      </c>
      <c r="AC755" s="48">
        <f>IFERROR(VLOOKUP(Tabela3[[#This Row],[Produto]],Tabela2[],2,0),0)</f>
        <v>1</v>
      </c>
      <c r="AD755" s="48">
        <f>IFERROR(VLOOKUP(Tabela3[[#This Row],[Produto]],Tabela2[],3,0),0)</f>
        <v>1.5</v>
      </c>
      <c r="AE755" s="48">
        <f>IFERROR(VLOOKUP(Tabela3[[#This Row],[Produto]],Tabela2[],4,0),0)</f>
        <v>2.5</v>
      </c>
      <c r="AF755" s="48">
        <f>IFERROR(VLOOKUP(Tabela3[[#This Row],[Produto]],Tabela2[],5,0),0)</f>
        <v>0.9</v>
      </c>
      <c r="AG755" s="40">
        <f>IFERROR(VLOOKUP(Tabela3[[#This Row],[Produto]],Tabela2[],6,0),0)</f>
        <v>0</v>
      </c>
      <c r="AH755" s="40">
        <f>IFERROR(VLOOKUP(Tabela3[[#This Row],[Produto]],Tabela2[],7,0),0)</f>
        <v>0</v>
      </c>
      <c r="AI755" s="40">
        <f>IFERROR(VLOOKUP(Tabela3[[#This Row],[Produto]],Tabela2[],8,0),0)</f>
        <v>0</v>
      </c>
      <c r="AJ755" s="35">
        <f ca="1">IFERROR(VLOOKUP(Tabela3[[#This Row],[Produto]],Tabela2[],13,0),0)</f>
        <v>15.600000000000001</v>
      </c>
      <c r="AK755" s="40" t="str">
        <f>IFERROR(VLOOKUP(Tabela3[[#This Row],[Produto]],Tabela2[],14,0),0)</f>
        <v>Senun</v>
      </c>
      <c r="AL755" s="40">
        <f>IFERROR(VLOOKUP(Tabela3[[#This Row],[Produto]],Tabela2[],15,0),0)</f>
        <v>5</v>
      </c>
      <c r="AM755" s="36">
        <f ca="1">(Tabela3[[#This Row],[Custo Usinagem]]+Tabela3[[#This Row],[Custo / Pç]])*1.2</f>
        <v>52.234601500753136</v>
      </c>
      <c r="AN755" s="36">
        <f ca="1">Tabela3[[#This Row],[Valor Mínimo Venda]]*1.15</f>
        <v>60.069791725866104</v>
      </c>
      <c r="AO755" s="36">
        <f ca="1">Tabela3[[#This Row],[Tabela 1]]*1.08</f>
        <v>64.875375063935394</v>
      </c>
      <c r="AP755" s="36">
        <f ca="1">Tabela3[[#This Row],[Tabela 2]]*1.15</f>
        <v>74.606681323525692</v>
      </c>
    </row>
    <row r="756" spans="1:42">
      <c r="A756" s="9">
        <v>45951</v>
      </c>
      <c r="B756" s="6" t="s">
        <v>238</v>
      </c>
      <c r="C756" s="14">
        <v>8129</v>
      </c>
      <c r="D756" s="6" t="s">
        <v>46</v>
      </c>
      <c r="E756" s="6" t="s">
        <v>326</v>
      </c>
      <c r="F756" s="6">
        <v>17</v>
      </c>
      <c r="G756" s="15">
        <v>0.10902777777777778</v>
      </c>
      <c r="H756" s="16">
        <v>0</v>
      </c>
      <c r="I756" s="35">
        <f ca="1">IFERROR(Tabela3[[#This Row],[Custo Total]]/Tabela3[[#This Row],[Aluminio Util]],0)</f>
        <v>23.962262701193215</v>
      </c>
      <c r="J756" s="35">
        <f ca="1">Tabela3[[#This Row],[Custo Total]]/Tabela3[[#This Row],[Realizado]]</f>
        <v>8.7941504113379079</v>
      </c>
      <c r="K756" s="37">
        <f>IFERROR(Tabela3[[#This Row],[Qtde Cx Produzida]]/Tabela3[[#This Row],[Tempo]]/24,0)</f>
        <v>6.4968152866242042</v>
      </c>
      <c r="L756" s="37">
        <f>Tabela3[[#This Row],[Qtde Cx Produzida]]*Tabela3[[#This Row],[Qdt Peça Placa]]</f>
        <v>102</v>
      </c>
      <c r="M756" s="37">
        <f>Tabela3[[#This Row],[Previsto]]-Tabela3[[#This Row],[Perda Pçs]]</f>
        <v>102</v>
      </c>
      <c r="N756" s="38">
        <f>IFERROR(Tabela3[[#This Row],[Perda Pçs]]/Tabela3[[#This Row],[Previsto]],0)</f>
        <v>0</v>
      </c>
      <c r="O756" s="39">
        <f>IFERROR(IF(Tabela3[[#This Row],[Qtde Cx Produzida]] &lt;&gt; 0, Tabela3[[#This Row],[Tempo]] / Tabela3[[#This Row],[Qtde Cx Produzida]], 0),0)</f>
        <v>6.4133986928104573E-3</v>
      </c>
      <c r="P756" s="57">
        <f>IFERROR(Tabela3[[#This Row],[Perda Pçs]]/Tabela3[[#This Row],[Qdt Peça Placa]],0)</f>
        <v>0</v>
      </c>
      <c r="Q756" s="37">
        <f>IFERROR(Tabela3[[#This Row],[Realizado]]*Tabela3[[#This Row],[Peso Util/Pç]],0)</f>
        <v>37.433999999999997</v>
      </c>
      <c r="R756" s="37">
        <f>IFERROR(Tabela3[[#This Row],[Peso Total Galho]]*Tabela3[[#This Row],[Qtde Cx Produzida]]*1.055,0)</f>
        <v>46.631</v>
      </c>
      <c r="S756" s="37">
        <f>(Tabela3[[#This Row],[Aluminio Bruto]]-Tabela3[[#This Row],[Aluminio Util]])*0.9</f>
        <v>8.2773000000000021</v>
      </c>
      <c r="T756" s="37">
        <f>Tabela3[[#This Row],[Aluminio Bruto]]/OleoKGAluminio</f>
        <v>19.617601406696263</v>
      </c>
      <c r="U756" s="35">
        <f>IFERROR((VLOOKUP(Tabela3[[#This Row],[Moldador]],Tabela1[],5,)+(VLOOKUP(Tabela3[[#This Row],[Ajudante]],Tabela1[],5,))*3.5),0)</f>
        <v>99.95034583333333</v>
      </c>
      <c r="V756" s="35">
        <f>IFERROR(Tabela3[[#This Row],[Custo M.O. / H]]/((Tabela3[[#This Row],[Realizado]]/Tabela3[[#This Row],[Qdt Peça Placa]])/Tabela3[[#This Row],[Tempo]]/24),)</f>
        <v>15.384514015522875</v>
      </c>
      <c r="W756" s="35">
        <f>Tabela3[[#This Row],[Custo / Cx Moldada]]*Tabela3[[#This Row],[Qtde Cx Produzida]]</f>
        <v>261.53673826388888</v>
      </c>
      <c r="X756" s="35">
        <f ca="1">Tabela3[[#This Row],[Aluminio Util]]*Tabela3[[#This Row],[Custo/Kg]]</f>
        <v>583.97040000000004</v>
      </c>
      <c r="Y756" s="35">
        <f>IFERROR(VLOOKUP(Tabela3[[#This Row],[Data]],Tabela461213[],2,1)*(Tabela3[[#This Row],[Qtde Cx Produzida]]*Tabela3[[#This Row],[Qde macho / CX]]*Tabela3[[#This Row],[Peso Macho]]),)</f>
        <v>0</v>
      </c>
      <c r="Z756" s="35">
        <f>IFERROR(Tabela3[[#This Row],[Qtde Oleo]]*(VLOOKUP(Tabela3[[#This Row],[Data]],CompraOleo[],3,TRUE))*1.05,0)</f>
        <v>51.496203692577694</v>
      </c>
      <c r="AA756" s="47">
        <f ca="1">(Tabela3[[#This Row],[Custo Oleo]]+Tabela3[[#This Row],[Custo Aluminio]]+Tabela3[[#This Row],[Custo M.O. Total]]+Tabela3[[#This Row],[Custo Machos]])</f>
        <v>897.00334195646667</v>
      </c>
      <c r="AB756" s="47">
        <f ca="1">Tabela3[[#This Row],[Custo Total]]*Tabela3[[#This Row],[% Perda]]</f>
        <v>0</v>
      </c>
      <c r="AC756" s="48">
        <f>IFERROR(VLOOKUP(Tabela3[[#This Row],[Produto]],Tabela2[],2,0),0)</f>
        <v>6</v>
      </c>
      <c r="AD756" s="48">
        <f>IFERROR(VLOOKUP(Tabela3[[#This Row],[Produto]],Tabela2[],3,0),0)</f>
        <v>0.36699999999999999</v>
      </c>
      <c r="AE756" s="48">
        <f>IFERROR(VLOOKUP(Tabela3[[#This Row],[Produto]],Tabela2[],4,0),0)</f>
        <v>2.6</v>
      </c>
      <c r="AF756" s="48">
        <f>IFERROR(VLOOKUP(Tabela3[[#This Row],[Produto]],Tabela2[],5,0),0)</f>
        <v>0.35820000000000013</v>
      </c>
      <c r="AG756" s="40">
        <f>IFERROR(VLOOKUP(Tabela3[[#This Row],[Produto]],Tabela2[],6,0),0)</f>
        <v>0</v>
      </c>
      <c r="AH756" s="40">
        <f>IFERROR(VLOOKUP(Tabela3[[#This Row],[Produto]],Tabela2[],7,0),0)</f>
        <v>0</v>
      </c>
      <c r="AI756" s="40">
        <f>IFERROR(VLOOKUP(Tabela3[[#This Row],[Produto]],Tabela2[],8,0),0)</f>
        <v>0</v>
      </c>
      <c r="AJ756" s="35">
        <f ca="1">IFERROR(VLOOKUP(Tabela3[[#This Row],[Produto]],Tabela2[],13,0),0)</f>
        <v>15.600000000000001</v>
      </c>
      <c r="AK756" s="40" t="str">
        <f>IFERROR(VLOOKUP(Tabela3[[#This Row],[Produto]],Tabela2[],14,0),0)</f>
        <v>Senun</v>
      </c>
      <c r="AL756" s="40">
        <f>IFERROR(VLOOKUP(Tabela3[[#This Row],[Produto]],Tabela2[],15,0),0)</f>
        <v>4</v>
      </c>
      <c r="AM756" s="36">
        <f ca="1">(Tabela3[[#This Row],[Custo Usinagem]]+Tabela3[[#This Row],[Custo / Pç]])*1.2</f>
        <v>15.352980493605489</v>
      </c>
      <c r="AN756" s="36">
        <f ca="1">Tabela3[[#This Row],[Valor Mínimo Venda]]*1.15</f>
        <v>17.655927567646312</v>
      </c>
      <c r="AO756" s="36">
        <f ca="1">Tabela3[[#This Row],[Tabela 1]]*1.08</f>
        <v>19.068401773058017</v>
      </c>
      <c r="AP756" s="36">
        <f ca="1">Tabela3[[#This Row],[Tabela 2]]*1.15</f>
        <v>21.928662039016718</v>
      </c>
    </row>
    <row r="757" spans="1:42">
      <c r="A757" s="9">
        <v>45951</v>
      </c>
      <c r="B757" s="6" t="s">
        <v>96</v>
      </c>
      <c r="C757" s="14">
        <v>8159</v>
      </c>
      <c r="D757" s="6" t="s">
        <v>46</v>
      </c>
      <c r="E757" s="6" t="s">
        <v>326</v>
      </c>
      <c r="F757" s="6">
        <v>23</v>
      </c>
      <c r="G757" s="15">
        <v>0.14652777777777778</v>
      </c>
      <c r="H757" s="16">
        <v>5</v>
      </c>
      <c r="I757" s="35">
        <f ca="1">IFERROR(Tabela3[[#This Row],[Custo Total]]/Tabela3[[#This Row],[Aluminio Util]],0)</f>
        <v>33.234584060746762</v>
      </c>
      <c r="J757" s="35">
        <f ca="1">Tabela3[[#This Row],[Custo Total]]/Tabela3[[#This Row],[Realizado]]</f>
        <v>29.379372309700141</v>
      </c>
      <c r="K757" s="37">
        <f>IFERROR(Tabela3[[#This Row],[Qtde Cx Produzida]]/Tabela3[[#This Row],[Tempo]]/24,0)</f>
        <v>6.540284360189573</v>
      </c>
      <c r="L757" s="37">
        <f>Tabela3[[#This Row],[Qtde Cx Produzida]]*Tabela3[[#This Row],[Qdt Peça Placa]]</f>
        <v>69</v>
      </c>
      <c r="M757" s="37">
        <f>Tabela3[[#This Row],[Previsto]]-Tabela3[[#This Row],[Perda Pçs]]</f>
        <v>64</v>
      </c>
      <c r="N757" s="38">
        <f>IFERROR(Tabela3[[#This Row],[Perda Pçs]]/Tabela3[[#This Row],[Previsto]],0)</f>
        <v>7.2463768115942032E-2</v>
      </c>
      <c r="O757" s="39">
        <f>IFERROR(IF(Tabela3[[#This Row],[Qtde Cx Produzida]] &lt;&gt; 0, Tabela3[[#This Row],[Tempo]] / Tabela3[[#This Row],[Qtde Cx Produzida]], 0),0)</f>
        <v>6.3707729468599041E-3</v>
      </c>
      <c r="P757" s="57">
        <f>IFERROR(Tabela3[[#This Row],[Perda Pçs]]/Tabela3[[#This Row],[Qdt Peça Placa]],0)</f>
        <v>1.6666666666666667</v>
      </c>
      <c r="Q757" s="37">
        <f>IFERROR(Tabela3[[#This Row],[Realizado]]*Tabela3[[#This Row],[Peso Util/Pç]],0)</f>
        <v>56.576000000000001</v>
      </c>
      <c r="R757" s="37">
        <f>IFERROR(Tabela3[[#This Row],[Peso Total Galho]]*Tabela3[[#This Row],[Qtde Cx Produzida]]*1.055,0)</f>
        <v>113.85137999999999</v>
      </c>
      <c r="S757" s="37">
        <f>(Tabela3[[#This Row],[Aluminio Bruto]]-Tabela3[[#This Row],[Aluminio Util]])*0.9</f>
        <v>51.547841999999996</v>
      </c>
      <c r="T757" s="37">
        <f>Tabela3[[#This Row],[Aluminio Bruto]]/OleoKGAluminio</f>
        <v>47.897128357579952</v>
      </c>
      <c r="U757" s="35">
        <f>IFERROR((VLOOKUP(Tabela3[[#This Row],[Moldador]],Tabela1[],5,)+(VLOOKUP(Tabela3[[#This Row],[Ajudante]],Tabela1[],5,))*3.5),0)</f>
        <v>99.95034583333333</v>
      </c>
      <c r="V757" s="35">
        <f>IFERROR(Tabela3[[#This Row],[Custo M.O. / H]]/((Tabela3[[#This Row],[Realizado]]/Tabela3[[#This Row],[Qdt Peça Placa]])/Tabela3[[#This Row],[Tempo]]/24),)</f>
        <v>16.476189820963544</v>
      </c>
      <c r="W757" s="35">
        <f>Tabela3[[#This Row],[Custo / Cx Moldada]]*Tabela3[[#This Row],[Qtde Cx Produzida]]</f>
        <v>378.95236588216153</v>
      </c>
      <c r="X757" s="35">
        <f ca="1">Tabela3[[#This Row],[Aluminio Util]]*Tabela3[[#This Row],[Custo/Kg]]</f>
        <v>882.58560000000011</v>
      </c>
      <c r="Y757" s="35">
        <f>IFERROR(VLOOKUP(Tabela3[[#This Row],[Data]],Tabela461213[],2,1)*(Tabela3[[#This Row],[Qtde Cx Produzida]]*Tabela3[[#This Row],[Qde macho / CX]]*Tabela3[[#This Row],[Peso Macho]]),)</f>
        <v>493.01189999999997</v>
      </c>
      <c r="Z757" s="35">
        <f>IFERROR(Tabela3[[#This Row],[Qtde Oleo]]*(VLOOKUP(Tabela3[[#This Row],[Data]],CompraOleo[],3,TRUE))*1.05,0)</f>
        <v>125.72996193864738</v>
      </c>
      <c r="AA757" s="47">
        <f ca="1">(Tabela3[[#This Row],[Custo Oleo]]+Tabela3[[#This Row],[Custo Aluminio]]+Tabela3[[#This Row],[Custo M.O. Total]]+Tabela3[[#This Row],[Custo Machos]])</f>
        <v>1880.279827820809</v>
      </c>
      <c r="AB757" s="47">
        <f ca="1">Tabela3[[#This Row],[Custo Total]]*Tabela3[[#This Row],[% Perda]]</f>
        <v>136.25216143629052</v>
      </c>
      <c r="AC757" s="48">
        <f>IFERROR(VLOOKUP(Tabela3[[#This Row],[Produto]],Tabela2[],2,0),0)</f>
        <v>3</v>
      </c>
      <c r="AD757" s="48">
        <f>IFERROR(VLOOKUP(Tabela3[[#This Row],[Produto]],Tabela2[],3,0),0)</f>
        <v>0.88400000000000001</v>
      </c>
      <c r="AE757" s="48">
        <f>IFERROR(VLOOKUP(Tabela3[[#This Row],[Produto]],Tabela2[],4,0),0)</f>
        <v>4.6920000000000002</v>
      </c>
      <c r="AF757" s="48">
        <f>IFERROR(VLOOKUP(Tabela3[[#This Row],[Produto]],Tabela2[],5,0),0)</f>
        <v>1.8360000000000001</v>
      </c>
      <c r="AG757" s="40">
        <f>IFERROR(VLOOKUP(Tabela3[[#This Row],[Produto]],Tabela2[],6,0),0)</f>
        <v>0</v>
      </c>
      <c r="AH757" s="40">
        <f>IFERROR(VLOOKUP(Tabela3[[#This Row],[Produto]],Tabela2[],7,0),0)</f>
        <v>9</v>
      </c>
      <c r="AI757" s="40">
        <f>IFERROR(VLOOKUP(Tabela3[[#This Row],[Produto]],Tabela2[],8,0),0)</f>
        <v>1.401</v>
      </c>
      <c r="AJ757" s="35">
        <f ca="1">IFERROR(VLOOKUP(Tabela3[[#This Row],[Produto]],Tabela2[],13,0),0)</f>
        <v>15.600000000000001</v>
      </c>
      <c r="AK757" s="40" t="str">
        <f>IFERROR(VLOOKUP(Tabela3[[#This Row],[Produto]],Tabela2[],14,0),0)</f>
        <v>Jumil</v>
      </c>
      <c r="AL757" s="40">
        <f>IFERROR(VLOOKUP(Tabela3[[#This Row],[Produto]],Tabela2[],15,0),0)</f>
        <v>10</v>
      </c>
      <c r="AM757" s="36">
        <f ca="1">(Tabela3[[#This Row],[Custo Usinagem]]+Tabela3[[#This Row],[Custo / Pç]])*1.2</f>
        <v>47.255246771640174</v>
      </c>
      <c r="AN757" s="36">
        <f ca="1">Tabela3[[#This Row],[Valor Mínimo Venda]]*1.15</f>
        <v>54.343533787386193</v>
      </c>
      <c r="AO757" s="36">
        <f ca="1">Tabela3[[#This Row],[Tabela 1]]*1.08</f>
        <v>58.691016490377095</v>
      </c>
      <c r="AP757" s="36">
        <f ca="1">Tabela3[[#This Row],[Tabela 2]]*1.15</f>
        <v>67.494668963933648</v>
      </c>
    </row>
    <row r="758" spans="1:42">
      <c r="A758" s="9">
        <v>45951</v>
      </c>
      <c r="B758" s="6" t="s">
        <v>285</v>
      </c>
      <c r="C758" s="14">
        <v>8172</v>
      </c>
      <c r="D758" s="6" t="s">
        <v>44</v>
      </c>
      <c r="E758" s="6" t="s">
        <v>47</v>
      </c>
      <c r="F758" s="6">
        <v>1</v>
      </c>
      <c r="G758" s="15">
        <v>6.2500000000000003E-3</v>
      </c>
      <c r="H758" s="16">
        <v>0</v>
      </c>
      <c r="I758" s="35">
        <f ca="1">IFERROR(Tabela3[[#This Row],[Custo Total]]/Tabela3[[#This Row],[Aluminio Util]],0)</f>
        <v>30.475428984774641</v>
      </c>
      <c r="J758" s="35">
        <f ca="1">Tabela3[[#This Row],[Custo Total]]/Tabela3[[#This Row],[Realizado]]</f>
        <v>5.9427086520310546</v>
      </c>
      <c r="K758" s="37">
        <f>IFERROR(Tabela3[[#This Row],[Qtde Cx Produzida]]/Tabela3[[#This Row],[Tempo]]/24,0)</f>
        <v>6.666666666666667</v>
      </c>
      <c r="L758" s="37">
        <f>Tabela3[[#This Row],[Qtde Cx Produzida]]*Tabela3[[#This Row],[Qdt Peça Placa]]</f>
        <v>6</v>
      </c>
      <c r="M758" s="37">
        <f>Tabela3[[#This Row],[Previsto]]-Tabela3[[#This Row],[Perda Pçs]]</f>
        <v>6</v>
      </c>
      <c r="N758" s="38">
        <f>IFERROR(Tabela3[[#This Row],[Perda Pçs]]/Tabela3[[#This Row],[Previsto]],0)</f>
        <v>0</v>
      </c>
      <c r="O758" s="39">
        <f>IFERROR(IF(Tabela3[[#This Row],[Qtde Cx Produzida]] &lt;&gt; 0, Tabela3[[#This Row],[Tempo]] / Tabela3[[#This Row],[Qtde Cx Produzida]], 0),0)</f>
        <v>6.2500000000000003E-3</v>
      </c>
      <c r="P758" s="57">
        <f>IFERROR(Tabela3[[#This Row],[Perda Pçs]]/Tabela3[[#This Row],[Qdt Peça Placa]],0)</f>
        <v>0</v>
      </c>
      <c r="Q758" s="37">
        <f>IFERROR(Tabela3[[#This Row],[Realizado]]*Tabela3[[#This Row],[Peso Util/Pç]],0)</f>
        <v>1.17</v>
      </c>
      <c r="R758" s="37">
        <f>IFERROR(Tabela3[[#This Row],[Peso Total Galho]]*Tabela3[[#This Row],[Qtde Cx Produzida]]*1.055,0)</f>
        <v>2.1838499999999996</v>
      </c>
      <c r="S758" s="37">
        <f>(Tabela3[[#This Row],[Aluminio Bruto]]-Tabela3[[#This Row],[Aluminio Util]])*0.9</f>
        <v>0.91246499999999975</v>
      </c>
      <c r="T758" s="37">
        <f>Tabela3[[#This Row],[Aluminio Bruto]]/OleoKGAluminio</f>
        <v>0.91874287130907817</v>
      </c>
      <c r="U758" s="35">
        <f>IFERROR((VLOOKUP(Tabela3[[#This Row],[Moldador]],Tabela1[],5,)+(VLOOKUP(Tabela3[[#This Row],[Ajudante]],Tabela1[],5,))*3.5),0)</f>
        <v>99.95034583333333</v>
      </c>
      <c r="V758" s="35">
        <f>IFERROR(Tabela3[[#This Row],[Custo M.O. / H]]/((Tabela3[[#This Row],[Realizado]]/Tabela3[[#This Row],[Qdt Peça Placa]])/Tabela3[[#This Row],[Tempo]]/24),)</f>
        <v>14.992551874999998</v>
      </c>
      <c r="W758" s="35">
        <f>Tabela3[[#This Row],[Custo / Cx Moldada]]*Tabela3[[#This Row],[Qtde Cx Produzida]]</f>
        <v>14.992551874999998</v>
      </c>
      <c r="X758" s="35">
        <f ca="1">Tabela3[[#This Row],[Aluminio Util]]*Tabela3[[#This Row],[Custo/Kg]]</f>
        <v>18.251999999999999</v>
      </c>
      <c r="Y758" s="35">
        <f>IFERROR(VLOOKUP(Tabela3[[#This Row],[Data]],Tabela461213[],2,1)*(Tabela3[[#This Row],[Qtde Cx Produzida]]*Tabela3[[#This Row],[Qde macho / CX]]*Tabela3[[#This Row],[Peso Macho]]),)</f>
        <v>0</v>
      </c>
      <c r="Z758" s="35">
        <f>IFERROR(Tabela3[[#This Row],[Qtde Oleo]]*(VLOOKUP(Tabela3[[#This Row],[Data]],CompraOleo[],3,TRUE))*1.05,0)</f>
        <v>2.4117000371863302</v>
      </c>
      <c r="AA758" s="47">
        <f ca="1">(Tabela3[[#This Row],[Custo Oleo]]+Tabela3[[#This Row],[Custo Aluminio]]+Tabela3[[#This Row],[Custo M.O. Total]]+Tabela3[[#This Row],[Custo Machos]])</f>
        <v>35.656251912186328</v>
      </c>
      <c r="AB758" s="47">
        <f ca="1">Tabela3[[#This Row],[Custo Total]]*Tabela3[[#This Row],[% Perda]]</f>
        <v>0</v>
      </c>
      <c r="AC758" s="48">
        <f>IFERROR(VLOOKUP(Tabela3[[#This Row],[Produto]],Tabela2[],2,0),0)</f>
        <v>6</v>
      </c>
      <c r="AD758" s="48">
        <f>IFERROR(VLOOKUP(Tabela3[[#This Row],[Produto]],Tabela2[],3,0),0)</f>
        <v>0.19500000000000001</v>
      </c>
      <c r="AE758" s="48">
        <f>IFERROR(VLOOKUP(Tabela3[[#This Row],[Produto]],Tabela2[],4,0),0)</f>
        <v>2.0699999999999998</v>
      </c>
      <c r="AF758" s="48">
        <f>IFERROR(VLOOKUP(Tabela3[[#This Row],[Produto]],Tabela2[],5,0),0)</f>
        <v>0.80999999999999994</v>
      </c>
      <c r="AG758" s="40">
        <f>IFERROR(VLOOKUP(Tabela3[[#This Row],[Produto]],Tabela2[],6,0),0)</f>
        <v>0</v>
      </c>
      <c r="AH758" s="40">
        <f>IFERROR(VLOOKUP(Tabela3[[#This Row],[Produto]],Tabela2[],7,0),0)</f>
        <v>0</v>
      </c>
      <c r="AI758" s="40">
        <f>IFERROR(VLOOKUP(Tabela3[[#This Row],[Produto]],Tabela2[],8,0),0)</f>
        <v>0</v>
      </c>
      <c r="AJ758" s="35">
        <f ca="1">IFERROR(VLOOKUP(Tabela3[[#This Row],[Produto]],Tabela2[],13,0),0)</f>
        <v>15.600000000000001</v>
      </c>
      <c r="AK758" s="40" t="str">
        <f>IFERROR(VLOOKUP(Tabela3[[#This Row],[Produto]],Tabela2[],14,0),0)</f>
        <v>Senun</v>
      </c>
      <c r="AL758" s="40">
        <f>IFERROR(VLOOKUP(Tabela3[[#This Row],[Produto]],Tabela2[],15,0),0)</f>
        <v>5</v>
      </c>
      <c r="AM758" s="36">
        <f ca="1">(Tabela3[[#This Row],[Custo Usinagem]]+Tabela3[[#This Row],[Custo / Pç]])*1.2</f>
        <v>13.131250382437266</v>
      </c>
      <c r="AN758" s="36">
        <f ca="1">Tabela3[[#This Row],[Valor Mínimo Venda]]*1.15</f>
        <v>15.100937939802854</v>
      </c>
      <c r="AO758" s="36">
        <f ca="1">Tabela3[[#This Row],[Tabela 1]]*1.08</f>
        <v>16.309012974987084</v>
      </c>
      <c r="AP758" s="36">
        <f ca="1">Tabela3[[#This Row],[Tabela 2]]*1.15</f>
        <v>18.755364921235145</v>
      </c>
    </row>
    <row r="759" spans="1:42">
      <c r="A759" s="9">
        <v>45951</v>
      </c>
      <c r="B759" s="6" t="s">
        <v>284</v>
      </c>
      <c r="C759" s="14">
        <v>8173</v>
      </c>
      <c r="D759" s="6" t="s">
        <v>44</v>
      </c>
      <c r="E759" s="6" t="s">
        <v>47</v>
      </c>
      <c r="F759" s="6">
        <v>10</v>
      </c>
      <c r="G759" s="15">
        <v>3.6111111111111108E-2</v>
      </c>
      <c r="H759" s="16">
        <v>0</v>
      </c>
      <c r="I759" s="35">
        <f ca="1">IFERROR(Tabela3[[#This Row],[Custo Total]]/Tabela3[[#This Row],[Aluminio Util]],0)</f>
        <v>25.065011404052889</v>
      </c>
      <c r="J759" s="35">
        <f ca="1">Tabela3[[#This Row],[Custo Total]]/Tabela3[[#This Row],[Realizado]]</f>
        <v>4.8876772237903143</v>
      </c>
      <c r="K759" s="37">
        <f>IFERROR(Tabela3[[#This Row],[Qtde Cx Produzida]]/Tabela3[[#This Row],[Tempo]]/24,0)</f>
        <v>11.53846153846154</v>
      </c>
      <c r="L759" s="37">
        <f>Tabela3[[#This Row],[Qtde Cx Produzida]]*Tabela3[[#This Row],[Qdt Peça Placa]]</f>
        <v>60</v>
      </c>
      <c r="M759" s="37">
        <f>Tabela3[[#This Row],[Previsto]]-Tabela3[[#This Row],[Perda Pçs]]</f>
        <v>60</v>
      </c>
      <c r="N759" s="38">
        <f>IFERROR(Tabela3[[#This Row],[Perda Pçs]]/Tabela3[[#This Row],[Previsto]],0)</f>
        <v>0</v>
      </c>
      <c r="O759" s="39">
        <f>IFERROR(IF(Tabela3[[#This Row],[Qtde Cx Produzida]] &lt;&gt; 0, Tabela3[[#This Row],[Tempo]] / Tabela3[[#This Row],[Qtde Cx Produzida]], 0),0)</f>
        <v>3.6111111111111109E-3</v>
      </c>
      <c r="P759" s="57">
        <f>IFERROR(Tabela3[[#This Row],[Perda Pçs]]/Tabela3[[#This Row],[Qdt Peça Placa]],0)</f>
        <v>0</v>
      </c>
      <c r="Q759" s="37">
        <f>IFERROR(Tabela3[[#This Row],[Realizado]]*Tabela3[[#This Row],[Peso Util/Pç]],0)</f>
        <v>11.700000000000001</v>
      </c>
      <c r="R759" s="37">
        <f>IFERROR(Tabela3[[#This Row],[Peso Total Galho]]*Tabela3[[#This Row],[Qtde Cx Produzida]]*1.055,0)</f>
        <v>21.838499999999996</v>
      </c>
      <c r="S759" s="37">
        <f>(Tabela3[[#This Row],[Aluminio Bruto]]-Tabela3[[#This Row],[Aluminio Util]])*0.9</f>
        <v>9.1246499999999955</v>
      </c>
      <c r="T759" s="37">
        <f>Tabela3[[#This Row],[Aluminio Bruto]]/OleoKGAluminio</f>
        <v>9.1874287130907817</v>
      </c>
      <c r="U759" s="35">
        <f>IFERROR((VLOOKUP(Tabela3[[#This Row],[Moldador]],Tabela1[],5,)+(VLOOKUP(Tabela3[[#This Row],[Ajudante]],Tabela1[],5,))*3.5),0)</f>
        <v>99.95034583333333</v>
      </c>
      <c r="V759" s="35">
        <f>IFERROR(Tabela3[[#This Row],[Custo M.O. / H]]/((Tabela3[[#This Row],[Realizado]]/Tabela3[[#This Row],[Qdt Peça Placa]])/Tabela3[[#This Row],[Tempo]]/24),)</f>
        <v>8.6623633055555533</v>
      </c>
      <c r="W759" s="35">
        <f>Tabela3[[#This Row],[Custo / Cx Moldada]]*Tabela3[[#This Row],[Qtde Cx Produzida]]</f>
        <v>86.62363305555553</v>
      </c>
      <c r="X759" s="35">
        <f ca="1">Tabela3[[#This Row],[Aluminio Util]]*Tabela3[[#This Row],[Custo/Kg]]</f>
        <v>182.52000000000004</v>
      </c>
      <c r="Y759" s="35">
        <f>IFERROR(VLOOKUP(Tabela3[[#This Row],[Data]],Tabela461213[],2,1)*(Tabela3[[#This Row],[Qtde Cx Produzida]]*Tabela3[[#This Row],[Qde macho / CX]]*Tabela3[[#This Row],[Peso Macho]]),)</f>
        <v>0</v>
      </c>
      <c r="Z759" s="35">
        <f>IFERROR(Tabela3[[#This Row],[Qtde Oleo]]*(VLOOKUP(Tabela3[[#This Row],[Data]],CompraOleo[],3,TRUE))*1.05,0)</f>
        <v>24.117000371863302</v>
      </c>
      <c r="AA759" s="47">
        <f ca="1">(Tabela3[[#This Row],[Custo Oleo]]+Tabela3[[#This Row],[Custo Aluminio]]+Tabela3[[#This Row],[Custo M.O. Total]]+Tabela3[[#This Row],[Custo Machos]])</f>
        <v>293.26063342741884</v>
      </c>
      <c r="AB759" s="47">
        <f ca="1">Tabela3[[#This Row],[Custo Total]]*Tabela3[[#This Row],[% Perda]]</f>
        <v>0</v>
      </c>
      <c r="AC759" s="48">
        <f>IFERROR(VLOOKUP(Tabela3[[#This Row],[Produto]],Tabela2[],2,0),0)</f>
        <v>6</v>
      </c>
      <c r="AD759" s="48">
        <f>IFERROR(VLOOKUP(Tabela3[[#This Row],[Produto]],Tabela2[],3,0),0)</f>
        <v>0.19500000000000001</v>
      </c>
      <c r="AE759" s="48">
        <f>IFERROR(VLOOKUP(Tabela3[[#This Row],[Produto]],Tabela2[],4,0),0)</f>
        <v>2.0699999999999998</v>
      </c>
      <c r="AF759" s="48">
        <f>IFERROR(VLOOKUP(Tabela3[[#This Row],[Produto]],Tabela2[],5,0),0)</f>
        <v>0.80999999999999994</v>
      </c>
      <c r="AG759" s="40">
        <f>IFERROR(VLOOKUP(Tabela3[[#This Row],[Produto]],Tabela2[],6,0),0)</f>
        <v>0</v>
      </c>
      <c r="AH759" s="40">
        <f>IFERROR(VLOOKUP(Tabela3[[#This Row],[Produto]],Tabela2[],7,0),0)</f>
        <v>0</v>
      </c>
      <c r="AI759" s="40">
        <f>IFERROR(VLOOKUP(Tabela3[[#This Row],[Produto]],Tabela2[],8,0),0)</f>
        <v>0</v>
      </c>
      <c r="AJ759" s="35">
        <f ca="1">IFERROR(VLOOKUP(Tabela3[[#This Row],[Produto]],Tabela2[],13,0),0)</f>
        <v>15.600000000000001</v>
      </c>
      <c r="AK759" s="40" t="str">
        <f>IFERROR(VLOOKUP(Tabela3[[#This Row],[Produto]],Tabela2[],14,0),0)</f>
        <v>Senun</v>
      </c>
      <c r="AL759" s="40">
        <f>IFERROR(VLOOKUP(Tabela3[[#This Row],[Produto]],Tabela2[],15,0),0)</f>
        <v>5</v>
      </c>
      <c r="AM759" s="36">
        <f ca="1">(Tabela3[[#This Row],[Custo Usinagem]]+Tabela3[[#This Row],[Custo / Pç]])*1.2</f>
        <v>11.865212668548377</v>
      </c>
      <c r="AN759" s="36">
        <f ca="1">Tabela3[[#This Row],[Valor Mínimo Venda]]*1.15</f>
        <v>13.644994568830633</v>
      </c>
      <c r="AO759" s="36">
        <f ca="1">Tabela3[[#This Row],[Tabela 1]]*1.08</f>
        <v>14.736594134337084</v>
      </c>
      <c r="AP759" s="36">
        <f ca="1">Tabela3[[#This Row],[Tabela 2]]*1.15</f>
        <v>16.947083254487644</v>
      </c>
    </row>
    <row r="760" spans="1:42">
      <c r="A760" s="9">
        <v>45951</v>
      </c>
      <c r="B760" s="6" t="s">
        <v>132</v>
      </c>
      <c r="C760" s="14">
        <v>8174</v>
      </c>
      <c r="D760" s="6" t="s">
        <v>44</v>
      </c>
      <c r="E760" s="6" t="s">
        <v>47</v>
      </c>
      <c r="F760" s="6">
        <v>10</v>
      </c>
      <c r="G760" s="15">
        <v>4.8611111111111112E-2</v>
      </c>
      <c r="H760" s="16">
        <v>0</v>
      </c>
      <c r="I760" s="35">
        <f ca="1">IFERROR(Tabela3[[#This Row],[Custo Total]]/Tabela3[[#This Row],[Aluminio Util]],0)</f>
        <v>33.012048739257871</v>
      </c>
      <c r="J760" s="35">
        <f ca="1">Tabela3[[#This Row],[Custo Total]]/Tabela3[[#This Row],[Realizado]]</f>
        <v>14.360241201577173</v>
      </c>
      <c r="K760" s="37">
        <f>IFERROR(Tabela3[[#This Row],[Qtde Cx Produzida]]/Tabela3[[#This Row],[Tempo]]/24,0)</f>
        <v>8.5714285714285712</v>
      </c>
      <c r="L760" s="37">
        <f>Tabela3[[#This Row],[Qtde Cx Produzida]]*Tabela3[[#This Row],[Qdt Peça Placa]]</f>
        <v>20</v>
      </c>
      <c r="M760" s="37">
        <f>Tabela3[[#This Row],[Previsto]]-Tabela3[[#This Row],[Perda Pçs]]</f>
        <v>20</v>
      </c>
      <c r="N760" s="38">
        <f>IFERROR(Tabela3[[#This Row],[Perda Pçs]]/Tabela3[[#This Row],[Previsto]],0)</f>
        <v>0</v>
      </c>
      <c r="O760" s="39">
        <f>IFERROR(IF(Tabela3[[#This Row],[Qtde Cx Produzida]] &lt;&gt; 0, Tabela3[[#This Row],[Tempo]] / Tabela3[[#This Row],[Qtde Cx Produzida]], 0),0)</f>
        <v>4.8611111111111112E-3</v>
      </c>
      <c r="P760" s="57">
        <f>IFERROR(Tabela3[[#This Row],[Perda Pçs]]/Tabela3[[#This Row],[Qdt Peça Placa]],0)</f>
        <v>0</v>
      </c>
      <c r="Q760" s="37">
        <f>IFERROR(Tabela3[[#This Row],[Realizado]]*Tabela3[[#This Row],[Peso Util/Pç]],0)</f>
        <v>8.6999999999999993</v>
      </c>
      <c r="R760" s="37">
        <f>IFERROR(Tabela3[[#This Row],[Peso Total Galho]]*Tabela3[[#This Row],[Qtde Cx Produzida]]*1.055,0)</f>
        <v>15.824999999999999</v>
      </c>
      <c r="S760" s="37">
        <f>(Tabela3[[#This Row],[Aluminio Bruto]]-Tabela3[[#This Row],[Aluminio Util]])*0.9</f>
        <v>6.4125000000000005</v>
      </c>
      <c r="T760" s="37">
        <f>Tabela3[[#This Row],[Aluminio Bruto]]/OleoKGAluminio</f>
        <v>6.6575570384715821</v>
      </c>
      <c r="U760" s="35">
        <f>IFERROR((VLOOKUP(Tabela3[[#This Row],[Moldador]],Tabela1[],5,)+(VLOOKUP(Tabela3[[#This Row],[Ajudante]],Tabela1[],5,))*3.5),0)</f>
        <v>99.95034583333333</v>
      </c>
      <c r="V760" s="35">
        <f>IFERROR(Tabela3[[#This Row],[Custo M.O. / H]]/((Tabela3[[#This Row],[Realizado]]/Tabela3[[#This Row],[Qdt Peça Placa]])/Tabela3[[#This Row],[Tempo]]/24),)</f>
        <v>11.660873680555556</v>
      </c>
      <c r="W760" s="35">
        <f>Tabela3[[#This Row],[Custo / Cx Moldada]]*Tabela3[[#This Row],[Qtde Cx Produzida]]</f>
        <v>116.60873680555555</v>
      </c>
      <c r="X760" s="35">
        <f ca="1">Tabela3[[#This Row],[Aluminio Util]]*Tabela3[[#This Row],[Custo/Kg]]</f>
        <v>153.12</v>
      </c>
      <c r="Y760" s="35">
        <f>IFERROR(VLOOKUP(Tabela3[[#This Row],[Data]],Tabela461213[],2,1)*(Tabela3[[#This Row],[Qtde Cx Produzida]]*Tabela3[[#This Row],[Qde macho / CX]]*Tabela3[[#This Row],[Peso Macho]]),)</f>
        <v>0</v>
      </c>
      <c r="Z760" s="35">
        <f>IFERROR(Tabela3[[#This Row],[Qtde Oleo]]*(VLOOKUP(Tabela3[[#This Row],[Data]],CompraOleo[],3,TRUE))*1.05,0)</f>
        <v>17.476087225987904</v>
      </c>
      <c r="AA760" s="47">
        <f ca="1">(Tabela3[[#This Row],[Custo Oleo]]+Tabela3[[#This Row],[Custo Aluminio]]+Tabela3[[#This Row],[Custo M.O. Total]]+Tabela3[[#This Row],[Custo Machos]])</f>
        <v>287.20482403154347</v>
      </c>
      <c r="AB760" s="47">
        <f ca="1">Tabela3[[#This Row],[Custo Total]]*Tabela3[[#This Row],[% Perda]]</f>
        <v>0</v>
      </c>
      <c r="AC760" s="48">
        <f>IFERROR(VLOOKUP(Tabela3[[#This Row],[Produto]],Tabela2[],2,0),0)</f>
        <v>2</v>
      </c>
      <c r="AD760" s="48">
        <f>IFERROR(VLOOKUP(Tabela3[[#This Row],[Produto]],Tabela2[],3,0),0)</f>
        <v>0.435</v>
      </c>
      <c r="AE760" s="48">
        <f>IFERROR(VLOOKUP(Tabela3[[#This Row],[Produto]],Tabela2[],4,0),0)</f>
        <v>1.5</v>
      </c>
      <c r="AF760" s="48">
        <f>IFERROR(VLOOKUP(Tabela3[[#This Row],[Produto]],Tabela2[],5,0),0)</f>
        <v>0.56700000000000006</v>
      </c>
      <c r="AG760" s="40">
        <f>IFERROR(VLOOKUP(Tabela3[[#This Row],[Produto]],Tabela2[],6,0),0)</f>
        <v>0</v>
      </c>
      <c r="AH760" s="40">
        <f>IFERROR(VLOOKUP(Tabela3[[#This Row],[Produto]],Tabela2[],7,0),0)</f>
        <v>0</v>
      </c>
      <c r="AI760" s="40">
        <f>IFERROR(VLOOKUP(Tabela3[[#This Row],[Produto]],Tabela2[],8,0),0)</f>
        <v>0</v>
      </c>
      <c r="AJ760" s="35">
        <f ca="1">IFERROR(VLOOKUP(Tabela3[[#This Row],[Produto]],Tabela2[],13,0),0)</f>
        <v>17.600000000000001</v>
      </c>
      <c r="AK760" s="40" t="str">
        <f>IFERROR(VLOOKUP(Tabela3[[#This Row],[Produto]],Tabela2[],14,0),0)</f>
        <v>Senun</v>
      </c>
      <c r="AL760" s="40">
        <f>IFERROR(VLOOKUP(Tabela3[[#This Row],[Produto]],Tabela2[],15,0),0)</f>
        <v>0</v>
      </c>
      <c r="AM760" s="36">
        <f ca="1">(Tabela3[[#This Row],[Custo Usinagem]]+Tabela3[[#This Row],[Custo / Pç]])*1.2</f>
        <v>17.232289441892608</v>
      </c>
      <c r="AN760" s="36">
        <f ca="1">Tabela3[[#This Row],[Valor Mínimo Venda]]*1.15</f>
        <v>19.817132858176496</v>
      </c>
      <c r="AO760" s="36">
        <f ca="1">Tabela3[[#This Row],[Tabela 1]]*1.08</f>
        <v>21.402503486830618</v>
      </c>
      <c r="AP760" s="36">
        <f ca="1">Tabela3[[#This Row],[Tabela 2]]*1.15</f>
        <v>24.612879009855209</v>
      </c>
    </row>
    <row r="761" spans="1:42">
      <c r="A761" s="9">
        <v>45951</v>
      </c>
      <c r="B761" s="6" t="s">
        <v>135</v>
      </c>
      <c r="C761" s="14">
        <v>8162</v>
      </c>
      <c r="D761" s="6" t="s">
        <v>44</v>
      </c>
      <c r="E761" s="6" t="s">
        <v>47</v>
      </c>
      <c r="F761" s="6">
        <v>11</v>
      </c>
      <c r="G761" s="15">
        <v>5.6250000000000001E-2</v>
      </c>
      <c r="H761" s="16">
        <v>0</v>
      </c>
      <c r="I761" s="35">
        <f ca="1">IFERROR(Tabela3[[#This Row],[Custo Total]]/Tabela3[[#This Row],[Aluminio Util]],0)</f>
        <v>27.14249164977149</v>
      </c>
      <c r="J761" s="35">
        <f ca="1">Tabela3[[#This Row],[Custo Total]]/Tabela3[[#This Row],[Realizado]]</f>
        <v>48.042210220095534</v>
      </c>
      <c r="K761" s="37">
        <f>IFERROR(Tabela3[[#This Row],[Qtde Cx Produzida]]/Tabela3[[#This Row],[Tempo]]/24,0)</f>
        <v>8.148148148148147</v>
      </c>
      <c r="L761" s="37">
        <f>Tabela3[[#This Row],[Qtde Cx Produzida]]*Tabela3[[#This Row],[Qdt Peça Placa]]</f>
        <v>11</v>
      </c>
      <c r="M761" s="37">
        <f>Tabela3[[#This Row],[Previsto]]-Tabela3[[#This Row],[Perda Pçs]]</f>
        <v>11</v>
      </c>
      <c r="N761" s="38">
        <f>IFERROR(Tabela3[[#This Row],[Perda Pçs]]/Tabela3[[#This Row],[Previsto]],0)</f>
        <v>0</v>
      </c>
      <c r="O761" s="39">
        <f>IFERROR(IF(Tabela3[[#This Row],[Qtde Cx Produzida]] &lt;&gt; 0, Tabela3[[#This Row],[Tempo]] / Tabela3[[#This Row],[Qtde Cx Produzida]], 0),0)</f>
        <v>5.1136363636363636E-3</v>
      </c>
      <c r="P761" s="57">
        <f>IFERROR(Tabela3[[#This Row],[Perda Pçs]]/Tabela3[[#This Row],[Qdt Peça Placa]],0)</f>
        <v>0</v>
      </c>
      <c r="Q761" s="37">
        <f>IFERROR(Tabela3[[#This Row],[Realizado]]*Tabela3[[#This Row],[Peso Util/Pç]],0)</f>
        <v>19.47</v>
      </c>
      <c r="R761" s="37">
        <f>IFERROR(Tabela3[[#This Row],[Peso Total Galho]]*Tabela3[[#This Row],[Qtde Cx Produzida]]*1.055,0)</f>
        <v>36.323650000000001</v>
      </c>
      <c r="S761" s="37">
        <f>(Tabela3[[#This Row],[Aluminio Bruto]]-Tabela3[[#This Row],[Aluminio Util]])*0.9</f>
        <v>15.168285000000003</v>
      </c>
      <c r="T761" s="37">
        <f>Tabela3[[#This Row],[Aluminio Bruto]]/OleoKGAluminio</f>
        <v>15.281312588971772</v>
      </c>
      <c r="U761" s="35">
        <f>IFERROR((VLOOKUP(Tabela3[[#This Row],[Moldador]],Tabela1[],5,)+(VLOOKUP(Tabela3[[#This Row],[Ajudante]],Tabela1[],5,))*3.5),0)</f>
        <v>99.95034583333333</v>
      </c>
      <c r="V761" s="35">
        <f>IFERROR(Tabela3[[#This Row],[Custo M.O. / H]]/((Tabela3[[#This Row],[Realizado]]/Tabela3[[#This Row],[Qdt Peça Placa]])/Tabela3[[#This Row],[Tempo]]/24),)</f>
        <v>12.266633352272729</v>
      </c>
      <c r="W761" s="35">
        <f>Tabela3[[#This Row],[Custo / Cx Moldada]]*Tabela3[[#This Row],[Qtde Cx Produzida]]</f>
        <v>134.93296687500001</v>
      </c>
      <c r="X761" s="35">
        <f ca="1">Tabela3[[#This Row],[Aluminio Util]]*Tabela3[[#This Row],[Custo/Kg]]</f>
        <v>303.73200000000003</v>
      </c>
      <c r="Y761" s="35">
        <f>IFERROR(VLOOKUP(Tabela3[[#This Row],[Data]],Tabela461213[],2,1)*(Tabela3[[#This Row],[Qtde Cx Produzida]]*Tabela3[[#This Row],[Qde macho / CX]]*Tabela3[[#This Row],[Peso Macho]]),)</f>
        <v>49.685899999999997</v>
      </c>
      <c r="Z761" s="35">
        <f>IFERROR(Tabela3[[#This Row],[Qtde Oleo]]*(VLOOKUP(Tabela3[[#This Row],[Data]],CompraOleo[],3,TRUE))*1.05,0)</f>
        <v>40.113445546050905</v>
      </c>
      <c r="AA761" s="47">
        <f ca="1">(Tabela3[[#This Row],[Custo Oleo]]+Tabela3[[#This Row],[Custo Aluminio]]+Tabela3[[#This Row],[Custo M.O. Total]]+Tabela3[[#This Row],[Custo Machos]])</f>
        <v>528.46431242105086</v>
      </c>
      <c r="AB761" s="47">
        <f ca="1">Tabela3[[#This Row],[Custo Total]]*Tabela3[[#This Row],[% Perda]]</f>
        <v>0</v>
      </c>
      <c r="AC761" s="48">
        <f>IFERROR(VLOOKUP(Tabela3[[#This Row],[Produto]],Tabela2[],2,0),0)</f>
        <v>1</v>
      </c>
      <c r="AD761" s="48">
        <f>IFERROR(VLOOKUP(Tabela3[[#This Row],[Produto]],Tabela2[],3,0),0)</f>
        <v>1.77</v>
      </c>
      <c r="AE761" s="48">
        <f>IFERROR(VLOOKUP(Tabela3[[#This Row],[Produto]],Tabela2[],4,0),0)</f>
        <v>3.13</v>
      </c>
      <c r="AF761" s="48">
        <f>IFERROR(VLOOKUP(Tabela3[[#This Row],[Produto]],Tabela2[],5,0),0)</f>
        <v>1.224</v>
      </c>
      <c r="AG761" s="40">
        <f>IFERROR(VLOOKUP(Tabela3[[#This Row],[Produto]],Tabela2[],6,0),0)</f>
        <v>0</v>
      </c>
      <c r="AH761" s="40">
        <f>IFERROR(VLOOKUP(Tabela3[[#This Row],[Produto]],Tabela2[],7,0),0)</f>
        <v>1</v>
      </c>
      <c r="AI761" s="40">
        <f>IFERROR(VLOOKUP(Tabela3[[#This Row],[Produto]],Tabela2[],8,0),0)</f>
        <v>2.657</v>
      </c>
      <c r="AJ761" s="35">
        <f ca="1">IFERROR(VLOOKUP(Tabela3[[#This Row],[Produto]],Tabela2[],13,0),0)</f>
        <v>15.600000000000001</v>
      </c>
      <c r="AK761" s="40" t="str">
        <f>IFERROR(VLOOKUP(Tabela3[[#This Row],[Produto]],Tabela2[],14,0),0)</f>
        <v>Jumil</v>
      </c>
      <c r="AL761" s="40">
        <f>IFERROR(VLOOKUP(Tabela3[[#This Row],[Produto]],Tabela2[],15,0),0)</f>
        <v>10</v>
      </c>
      <c r="AM761" s="36">
        <f ca="1">(Tabela3[[#This Row],[Custo Usinagem]]+Tabela3[[#This Row],[Custo / Pç]])*1.2</f>
        <v>69.65065226411464</v>
      </c>
      <c r="AN761" s="36">
        <f ca="1">Tabela3[[#This Row],[Valor Mínimo Venda]]*1.15</f>
        <v>80.098250103731829</v>
      </c>
      <c r="AO761" s="36">
        <f ca="1">Tabela3[[#This Row],[Tabela 1]]*1.08</f>
        <v>86.506110112030385</v>
      </c>
      <c r="AP761" s="36">
        <f ca="1">Tabela3[[#This Row],[Tabela 2]]*1.15</f>
        <v>99.48202662883493</v>
      </c>
    </row>
    <row r="762" spans="1:42">
      <c r="A762" s="9">
        <v>45952</v>
      </c>
      <c r="B762" s="6" t="s">
        <v>96</v>
      </c>
      <c r="C762" s="14">
        <v>8159</v>
      </c>
      <c r="D762" s="6" t="s">
        <v>46</v>
      </c>
      <c r="E762" s="6" t="s">
        <v>326</v>
      </c>
      <c r="F762" s="6">
        <v>5</v>
      </c>
      <c r="G762" s="15">
        <v>3.8194444444444448E-2</v>
      </c>
      <c r="H762" s="16">
        <v>0</v>
      </c>
      <c r="I762" s="35">
        <f ca="1">IFERROR(Tabela3[[#This Row],[Custo Total]]/Tabela3[[#This Row],[Aluminio Util]],0)</f>
        <v>32.653563406385167</v>
      </c>
      <c r="J762" s="35">
        <f ca="1">Tabela3[[#This Row],[Custo Total]]/Tabela3[[#This Row],[Realizado]]</f>
        <v>28.86575005124449</v>
      </c>
      <c r="K762" s="37">
        <f>IFERROR(Tabela3[[#This Row],[Qtde Cx Produzida]]/Tabela3[[#This Row],[Tempo]]/24,0)</f>
        <v>5.4545454545454541</v>
      </c>
      <c r="L762" s="37">
        <f>Tabela3[[#This Row],[Qtde Cx Produzida]]*Tabela3[[#This Row],[Qdt Peça Placa]]</f>
        <v>15</v>
      </c>
      <c r="M762" s="37">
        <f>Tabela3[[#This Row],[Previsto]]-Tabela3[[#This Row],[Perda Pçs]]</f>
        <v>15</v>
      </c>
      <c r="N762" s="38">
        <f>IFERROR(Tabela3[[#This Row],[Perda Pçs]]/Tabela3[[#This Row],[Previsto]],0)</f>
        <v>0</v>
      </c>
      <c r="O762" s="39">
        <f>IFERROR(IF(Tabela3[[#This Row],[Qtde Cx Produzida]] &lt;&gt; 0, Tabela3[[#This Row],[Tempo]] / Tabela3[[#This Row],[Qtde Cx Produzida]], 0),0)</f>
        <v>7.6388888888888895E-3</v>
      </c>
      <c r="P762" s="57">
        <f>IFERROR(Tabela3[[#This Row],[Perda Pçs]]/Tabela3[[#This Row],[Qdt Peça Placa]],0)</f>
        <v>0</v>
      </c>
      <c r="Q762" s="37">
        <f>IFERROR(Tabela3[[#This Row],[Realizado]]*Tabela3[[#This Row],[Peso Util/Pç]],0)</f>
        <v>13.26</v>
      </c>
      <c r="R762" s="37">
        <f>IFERROR(Tabela3[[#This Row],[Peso Total Galho]]*Tabela3[[#This Row],[Qtde Cx Produzida]]*1.055,0)</f>
        <v>24.750299999999999</v>
      </c>
      <c r="S762" s="37">
        <f>(Tabela3[[#This Row],[Aluminio Bruto]]-Tabela3[[#This Row],[Aluminio Util]])*0.9</f>
        <v>10.34127</v>
      </c>
      <c r="T762" s="37">
        <f>Tabela3[[#This Row],[Aluminio Bruto]]/OleoKGAluminio</f>
        <v>10.412419208169554</v>
      </c>
      <c r="U762" s="35">
        <f>IFERROR((VLOOKUP(Tabela3[[#This Row],[Moldador]],Tabela1[],5,)+(VLOOKUP(Tabela3[[#This Row],[Ajudante]],Tabela1[],5,))*3.5),0)</f>
        <v>99.95034583333333</v>
      </c>
      <c r="V762" s="35">
        <f>IFERROR(Tabela3[[#This Row],[Custo M.O. / H]]/((Tabela3[[#This Row],[Realizado]]/Tabela3[[#This Row],[Qdt Peça Placa]])/Tabela3[[#This Row],[Tempo]]/24),)</f>
        <v>18.324230069444447</v>
      </c>
      <c r="W762" s="35">
        <f>Tabela3[[#This Row],[Custo / Cx Moldada]]*Tabela3[[#This Row],[Qtde Cx Produzida]]</f>
        <v>91.621150347222226</v>
      </c>
      <c r="X762" s="35">
        <f ca="1">Tabela3[[#This Row],[Aluminio Util]]*Tabela3[[#This Row],[Custo/Kg]]</f>
        <v>206.85600000000002</v>
      </c>
      <c r="Y762" s="35">
        <f>IFERROR(VLOOKUP(Tabela3[[#This Row],[Data]],Tabela461213[],2,1)*(Tabela3[[#This Row],[Qtde Cx Produzida]]*Tabela3[[#This Row],[Qde macho / CX]]*Tabela3[[#This Row],[Peso Macho]]),)</f>
        <v>107.1765</v>
      </c>
      <c r="Z762" s="35">
        <f>IFERROR(Tabela3[[#This Row],[Qtde Oleo]]*(VLOOKUP(Tabela3[[#This Row],[Data]],CompraOleo[],3,TRUE))*1.05,0)</f>
        <v>27.332600421445079</v>
      </c>
      <c r="AA762" s="47">
        <f ca="1">(Tabela3[[#This Row],[Custo Oleo]]+Tabela3[[#This Row],[Custo Aluminio]]+Tabela3[[#This Row],[Custo M.O. Total]]+Tabela3[[#This Row],[Custo Machos]])</f>
        <v>432.98625076866733</v>
      </c>
      <c r="AB762" s="47">
        <f ca="1">Tabela3[[#This Row],[Custo Total]]*Tabela3[[#This Row],[% Perda]]</f>
        <v>0</v>
      </c>
      <c r="AC762" s="48">
        <f>IFERROR(VLOOKUP(Tabela3[[#This Row],[Produto]],Tabela2[],2,0),0)</f>
        <v>3</v>
      </c>
      <c r="AD762" s="48">
        <f>IFERROR(VLOOKUP(Tabela3[[#This Row],[Produto]],Tabela2[],3,0),0)</f>
        <v>0.88400000000000001</v>
      </c>
      <c r="AE762" s="48">
        <f>IFERROR(VLOOKUP(Tabela3[[#This Row],[Produto]],Tabela2[],4,0),0)</f>
        <v>4.6920000000000002</v>
      </c>
      <c r="AF762" s="48">
        <f>IFERROR(VLOOKUP(Tabela3[[#This Row],[Produto]],Tabela2[],5,0),0)</f>
        <v>1.8360000000000001</v>
      </c>
      <c r="AG762" s="40">
        <f>IFERROR(VLOOKUP(Tabela3[[#This Row],[Produto]],Tabela2[],6,0),0)</f>
        <v>0</v>
      </c>
      <c r="AH762" s="40">
        <f>IFERROR(VLOOKUP(Tabela3[[#This Row],[Produto]],Tabela2[],7,0),0)</f>
        <v>9</v>
      </c>
      <c r="AI762" s="40">
        <f>IFERROR(VLOOKUP(Tabela3[[#This Row],[Produto]],Tabela2[],8,0),0)</f>
        <v>1.401</v>
      </c>
      <c r="AJ762" s="35">
        <f ca="1">IFERROR(VLOOKUP(Tabela3[[#This Row],[Produto]],Tabela2[],13,0),0)</f>
        <v>15.600000000000001</v>
      </c>
      <c r="AK762" s="40" t="str">
        <f>IFERROR(VLOOKUP(Tabela3[[#This Row],[Produto]],Tabela2[],14,0),0)</f>
        <v>Jumil</v>
      </c>
      <c r="AL762" s="40">
        <f>IFERROR(VLOOKUP(Tabela3[[#This Row],[Produto]],Tabela2[],15,0),0)</f>
        <v>10</v>
      </c>
      <c r="AM762" s="36">
        <f ca="1">(Tabela3[[#This Row],[Custo Usinagem]]+Tabela3[[#This Row],[Custo / Pç]])*1.2</f>
        <v>46.638900061493388</v>
      </c>
      <c r="AN762" s="36">
        <f ca="1">Tabela3[[#This Row],[Valor Mínimo Venda]]*1.15</f>
        <v>53.63473507071739</v>
      </c>
      <c r="AO762" s="36">
        <f ca="1">Tabela3[[#This Row],[Tabela 1]]*1.08</f>
        <v>57.925513876374787</v>
      </c>
      <c r="AP762" s="36">
        <f ca="1">Tabela3[[#This Row],[Tabela 2]]*1.15</f>
        <v>66.614340957831004</v>
      </c>
    </row>
    <row r="763" spans="1:42">
      <c r="A763" s="9">
        <v>45952</v>
      </c>
      <c r="B763" s="6" t="s">
        <v>236</v>
      </c>
      <c r="C763" s="14">
        <v>8171</v>
      </c>
      <c r="D763" s="6" t="s">
        <v>46</v>
      </c>
      <c r="E763" s="6" t="s">
        <v>326</v>
      </c>
      <c r="F763" s="6">
        <v>39</v>
      </c>
      <c r="G763" s="15">
        <v>0.2361111111111111</v>
      </c>
      <c r="H763" s="16">
        <v>0</v>
      </c>
      <c r="I763" s="35">
        <f ca="1">IFERROR(Tabela3[[#This Row],[Custo Total]]/Tabela3[[#This Row],[Aluminio Util]],0)</f>
        <v>24.998419317122362</v>
      </c>
      <c r="J763" s="35">
        <f ca="1">Tabela3[[#This Row],[Custo Total]]/Tabela3[[#This Row],[Realizado]]</f>
        <v>7.5495226337709518</v>
      </c>
      <c r="K763" s="37">
        <f>IFERROR(Tabela3[[#This Row],[Qtde Cx Produzida]]/Tabela3[[#This Row],[Tempo]]/24,0)</f>
        <v>6.882352941176471</v>
      </c>
      <c r="L763" s="37">
        <f>Tabela3[[#This Row],[Qtde Cx Produzida]]*Tabela3[[#This Row],[Qdt Peça Placa]]</f>
        <v>234</v>
      </c>
      <c r="M763" s="37">
        <f>Tabela3[[#This Row],[Previsto]]-Tabela3[[#This Row],[Perda Pçs]]</f>
        <v>234</v>
      </c>
      <c r="N763" s="38">
        <f>IFERROR(Tabela3[[#This Row],[Perda Pçs]]/Tabela3[[#This Row],[Previsto]],0)</f>
        <v>0</v>
      </c>
      <c r="O763" s="39">
        <f>IFERROR(IF(Tabela3[[#This Row],[Qtde Cx Produzida]] &lt;&gt; 0, Tabela3[[#This Row],[Tempo]] / Tabela3[[#This Row],[Qtde Cx Produzida]], 0),0)</f>
        <v>6.0541310541310537E-3</v>
      </c>
      <c r="P763" s="57">
        <f>IFERROR(Tabela3[[#This Row],[Perda Pçs]]/Tabela3[[#This Row],[Qdt Peça Placa]],0)</f>
        <v>0</v>
      </c>
      <c r="Q763" s="37">
        <f>IFERROR(Tabela3[[#This Row],[Realizado]]*Tabela3[[#This Row],[Peso Util/Pç]],0)</f>
        <v>70.667999999999992</v>
      </c>
      <c r="R763" s="37">
        <f>IFERROR(Tabela3[[#This Row],[Peso Total Galho]]*Tabela3[[#This Row],[Qtde Cx Produzida]]*1.055,0)</f>
        <v>88.54404000000001</v>
      </c>
      <c r="S763" s="37">
        <f>(Tabela3[[#This Row],[Aluminio Bruto]]-Tabela3[[#This Row],[Aluminio Util]])*0.9</f>
        <v>16.088436000000016</v>
      </c>
      <c r="T763" s="37">
        <f>Tabela3[[#This Row],[Aluminio Bruto]]/OleoKGAluminio</f>
        <v>37.250363141656202</v>
      </c>
      <c r="U763" s="35">
        <f>IFERROR((VLOOKUP(Tabela3[[#This Row],[Moldador]],Tabela1[],5,)+(VLOOKUP(Tabela3[[#This Row],[Ajudante]],Tabela1[],5,))*3.5),0)</f>
        <v>99.95034583333333</v>
      </c>
      <c r="V763" s="35">
        <f>IFERROR(Tabela3[[#This Row],[Custo M.O. / H]]/((Tabela3[[#This Row],[Realizado]]/Tabela3[[#This Row],[Qdt Peça Placa]])/Tabela3[[#This Row],[Tempo]]/24),)</f>
        <v>14.522699821937321</v>
      </c>
      <c r="W763" s="35">
        <f>Tabela3[[#This Row],[Custo / Cx Moldada]]*Tabela3[[#This Row],[Qtde Cx Produzida]]</f>
        <v>566.38529305555551</v>
      </c>
      <c r="X763" s="35">
        <f ca="1">Tabela3[[#This Row],[Aluminio Util]]*Tabela3[[#This Row],[Custo/Kg]]</f>
        <v>1102.4207999999999</v>
      </c>
      <c r="Y763" s="35">
        <f>IFERROR(VLOOKUP(Tabela3[[#This Row],[Data]],Tabela461213[],2,1)*(Tabela3[[#This Row],[Qtde Cx Produzida]]*Tabela3[[#This Row],[Qde macho / CX]]*Tabela3[[#This Row],[Peso Macho]]),)</f>
        <v>0</v>
      </c>
      <c r="Z763" s="35">
        <f>IFERROR(Tabela3[[#This Row],[Qtde Oleo]]*(VLOOKUP(Tabela3[[#This Row],[Data]],CompraOleo[],3,TRUE))*1.05,0)</f>
        <v>97.78220324684753</v>
      </c>
      <c r="AA763" s="47">
        <f ca="1">(Tabela3[[#This Row],[Custo Oleo]]+Tabela3[[#This Row],[Custo Aluminio]]+Tabela3[[#This Row],[Custo M.O. Total]]+Tabela3[[#This Row],[Custo Machos]])</f>
        <v>1766.5882963024028</v>
      </c>
      <c r="AB763" s="47">
        <f ca="1">Tabela3[[#This Row],[Custo Total]]*Tabela3[[#This Row],[% Perda]]</f>
        <v>0</v>
      </c>
      <c r="AC763" s="48">
        <f>IFERROR(VLOOKUP(Tabela3[[#This Row],[Produto]],Tabela2[],2,0),0)</f>
        <v>6</v>
      </c>
      <c r="AD763" s="48">
        <f>IFERROR(VLOOKUP(Tabela3[[#This Row],[Produto]],Tabela2[],3,0),0)</f>
        <v>0.30199999999999999</v>
      </c>
      <c r="AE763" s="48">
        <f>IFERROR(VLOOKUP(Tabela3[[#This Row],[Produto]],Tabela2[],4,0),0)</f>
        <v>2.1520000000000001</v>
      </c>
      <c r="AF763" s="48">
        <f>IFERROR(VLOOKUP(Tabela3[[#This Row],[Produto]],Tabela2[],5,0),0)</f>
        <v>0.30600000000000027</v>
      </c>
      <c r="AG763" s="40">
        <f>IFERROR(VLOOKUP(Tabela3[[#This Row],[Produto]],Tabela2[],6,0),0)</f>
        <v>0</v>
      </c>
      <c r="AH763" s="40">
        <f>IFERROR(VLOOKUP(Tabela3[[#This Row],[Produto]],Tabela2[],7,0),0)</f>
        <v>0</v>
      </c>
      <c r="AI763" s="40">
        <f>IFERROR(VLOOKUP(Tabela3[[#This Row],[Produto]],Tabela2[],8,0),0)</f>
        <v>0</v>
      </c>
      <c r="AJ763" s="35">
        <f ca="1">IFERROR(VLOOKUP(Tabela3[[#This Row],[Produto]],Tabela2[],13,0),0)</f>
        <v>15.600000000000001</v>
      </c>
      <c r="AK763" s="40" t="str">
        <f>IFERROR(VLOOKUP(Tabela3[[#This Row],[Produto]],Tabela2[],14,0),0)</f>
        <v>Senun</v>
      </c>
      <c r="AL763" s="40">
        <f>IFERROR(VLOOKUP(Tabela3[[#This Row],[Produto]],Tabela2[],15,0),0)</f>
        <v>4</v>
      </c>
      <c r="AM763" s="36">
        <f ca="1">(Tabela3[[#This Row],[Custo Usinagem]]+Tabela3[[#This Row],[Custo / Pç]])*1.2</f>
        <v>13.859427160525142</v>
      </c>
      <c r="AN763" s="36">
        <f ca="1">Tabela3[[#This Row],[Valor Mínimo Venda]]*1.15</f>
        <v>15.938341234603913</v>
      </c>
      <c r="AO763" s="36">
        <f ca="1">Tabela3[[#This Row],[Tabela 1]]*1.08</f>
        <v>17.213408533372228</v>
      </c>
      <c r="AP763" s="36">
        <f ca="1">Tabela3[[#This Row],[Tabela 2]]*1.15</f>
        <v>19.795419813378061</v>
      </c>
    </row>
    <row r="764" spans="1:42">
      <c r="A764" s="9">
        <v>45952</v>
      </c>
      <c r="B764" s="6" t="s">
        <v>135</v>
      </c>
      <c r="C764" s="14">
        <v>8162</v>
      </c>
      <c r="D764" s="6" t="s">
        <v>44</v>
      </c>
      <c r="E764" s="6" t="s">
        <v>47</v>
      </c>
      <c r="F764" s="6">
        <v>14</v>
      </c>
      <c r="G764" s="15">
        <v>7.4999999999999997E-2</v>
      </c>
      <c r="H764" s="16">
        <v>0</v>
      </c>
      <c r="I764" s="35">
        <f ca="1">IFERROR(Tabela3[[#This Row],[Custo Total]]/Tabela3[[#This Row],[Aluminio Util]],0)</f>
        <v>27.47250599876995</v>
      </c>
      <c r="J764" s="35">
        <f ca="1">Tabela3[[#This Row],[Custo Total]]/Tabela3[[#This Row],[Realizado]]</f>
        <v>48.626335617822811</v>
      </c>
      <c r="K764" s="37">
        <f>IFERROR(Tabela3[[#This Row],[Qtde Cx Produzida]]/Tabela3[[#This Row],[Tempo]]/24,0)</f>
        <v>7.7777777777777786</v>
      </c>
      <c r="L764" s="37">
        <f>Tabela3[[#This Row],[Qtde Cx Produzida]]*Tabela3[[#This Row],[Qdt Peça Placa]]</f>
        <v>14</v>
      </c>
      <c r="M764" s="37">
        <f>Tabela3[[#This Row],[Previsto]]-Tabela3[[#This Row],[Perda Pçs]]</f>
        <v>14</v>
      </c>
      <c r="N764" s="38">
        <f>IFERROR(Tabela3[[#This Row],[Perda Pçs]]/Tabela3[[#This Row],[Previsto]],0)</f>
        <v>0</v>
      </c>
      <c r="O764" s="39">
        <f>IFERROR(IF(Tabela3[[#This Row],[Qtde Cx Produzida]] &lt;&gt; 0, Tabela3[[#This Row],[Tempo]] / Tabela3[[#This Row],[Qtde Cx Produzida]], 0),0)</f>
        <v>5.3571428571428572E-3</v>
      </c>
      <c r="P764" s="57">
        <f>IFERROR(Tabela3[[#This Row],[Perda Pçs]]/Tabela3[[#This Row],[Qdt Peça Placa]],0)</f>
        <v>0</v>
      </c>
      <c r="Q764" s="37">
        <f>IFERROR(Tabela3[[#This Row],[Realizado]]*Tabela3[[#This Row],[Peso Util/Pç]],0)</f>
        <v>24.78</v>
      </c>
      <c r="R764" s="37">
        <f>IFERROR(Tabela3[[#This Row],[Peso Total Galho]]*Tabela3[[#This Row],[Qtde Cx Produzida]]*1.055,0)</f>
        <v>46.2301</v>
      </c>
      <c r="S764" s="37">
        <f>(Tabela3[[#This Row],[Aluminio Bruto]]-Tabela3[[#This Row],[Aluminio Util]])*0.9</f>
        <v>19.30509</v>
      </c>
      <c r="T764" s="37">
        <f>Tabela3[[#This Row],[Aluminio Bruto]]/OleoKGAluminio</f>
        <v>19.448943295054981</v>
      </c>
      <c r="U764" s="35">
        <f>IFERROR((VLOOKUP(Tabela3[[#This Row],[Moldador]],Tabela1[],5,)+(VLOOKUP(Tabela3[[#This Row],[Ajudante]],Tabela1[],5,))*3.5),0)</f>
        <v>99.95034583333333</v>
      </c>
      <c r="V764" s="35">
        <f>IFERROR(Tabela3[[#This Row],[Custo M.O. / H]]/((Tabela3[[#This Row],[Realizado]]/Tabela3[[#This Row],[Qdt Peça Placa]])/Tabela3[[#This Row],[Tempo]]/24),)</f>
        <v>12.850758749999999</v>
      </c>
      <c r="W764" s="35">
        <f>Tabela3[[#This Row],[Custo / Cx Moldada]]*Tabela3[[#This Row],[Qtde Cx Produzida]]</f>
        <v>179.91062249999999</v>
      </c>
      <c r="X764" s="35">
        <f ca="1">Tabela3[[#This Row],[Aluminio Util]]*Tabela3[[#This Row],[Custo/Kg]]</f>
        <v>386.56800000000004</v>
      </c>
      <c r="Y764" s="35">
        <f>IFERROR(VLOOKUP(Tabela3[[#This Row],[Data]],Tabela461213[],2,1)*(Tabela3[[#This Row],[Qtde Cx Produzida]]*Tabela3[[#This Row],[Qde macho / CX]]*Tabela3[[#This Row],[Peso Macho]]),)</f>
        <v>63.236599999999996</v>
      </c>
      <c r="Z764" s="35">
        <f>IFERROR(Tabela3[[#This Row],[Qtde Oleo]]*(VLOOKUP(Tabela3[[#This Row],[Data]],CompraOleo[],3,TRUE))*1.05,0)</f>
        <v>51.053476149519334</v>
      </c>
      <c r="AA764" s="47">
        <f ca="1">(Tabela3[[#This Row],[Custo Oleo]]+Tabela3[[#This Row],[Custo Aluminio]]+Tabela3[[#This Row],[Custo M.O. Total]]+Tabela3[[#This Row],[Custo Machos]])</f>
        <v>680.76869864951937</v>
      </c>
      <c r="AB764" s="47">
        <f ca="1">Tabela3[[#This Row],[Custo Total]]*Tabela3[[#This Row],[% Perda]]</f>
        <v>0</v>
      </c>
      <c r="AC764" s="48">
        <f>IFERROR(VLOOKUP(Tabela3[[#This Row],[Produto]],Tabela2[],2,0),0)</f>
        <v>1</v>
      </c>
      <c r="AD764" s="48">
        <f>IFERROR(VLOOKUP(Tabela3[[#This Row],[Produto]],Tabela2[],3,0),0)</f>
        <v>1.77</v>
      </c>
      <c r="AE764" s="48">
        <f>IFERROR(VLOOKUP(Tabela3[[#This Row],[Produto]],Tabela2[],4,0),0)</f>
        <v>3.13</v>
      </c>
      <c r="AF764" s="48">
        <f>IFERROR(VLOOKUP(Tabela3[[#This Row],[Produto]],Tabela2[],5,0),0)</f>
        <v>1.224</v>
      </c>
      <c r="AG764" s="40">
        <f>IFERROR(VLOOKUP(Tabela3[[#This Row],[Produto]],Tabela2[],6,0),0)</f>
        <v>0</v>
      </c>
      <c r="AH764" s="40">
        <f>IFERROR(VLOOKUP(Tabela3[[#This Row],[Produto]],Tabela2[],7,0),0)</f>
        <v>1</v>
      </c>
      <c r="AI764" s="40">
        <f>IFERROR(VLOOKUP(Tabela3[[#This Row],[Produto]],Tabela2[],8,0),0)</f>
        <v>2.657</v>
      </c>
      <c r="AJ764" s="35">
        <f ca="1">IFERROR(VLOOKUP(Tabela3[[#This Row],[Produto]],Tabela2[],13,0),0)</f>
        <v>15.600000000000001</v>
      </c>
      <c r="AK764" s="40" t="str">
        <f>IFERROR(VLOOKUP(Tabela3[[#This Row],[Produto]],Tabela2[],14,0),0)</f>
        <v>Jumil</v>
      </c>
      <c r="AL764" s="40">
        <f>IFERROR(VLOOKUP(Tabela3[[#This Row],[Produto]],Tabela2[],15,0),0)</f>
        <v>10</v>
      </c>
      <c r="AM764" s="36">
        <f ca="1">(Tabela3[[#This Row],[Custo Usinagem]]+Tabela3[[#This Row],[Custo / Pç]])*1.2</f>
        <v>70.351602741387367</v>
      </c>
      <c r="AN764" s="36">
        <f ca="1">Tabela3[[#This Row],[Valor Mínimo Venda]]*1.15</f>
        <v>80.904343152595473</v>
      </c>
      <c r="AO764" s="36">
        <f ca="1">Tabela3[[#This Row],[Tabela 1]]*1.08</f>
        <v>87.376690604803116</v>
      </c>
      <c r="AP764" s="36">
        <f ca="1">Tabela3[[#This Row],[Tabela 2]]*1.15</f>
        <v>100.48319419552358</v>
      </c>
    </row>
    <row r="765" spans="1:42">
      <c r="A765" s="9">
        <v>45953</v>
      </c>
      <c r="B765" s="6" t="s">
        <v>236</v>
      </c>
      <c r="C765" s="14">
        <v>8171</v>
      </c>
      <c r="D765" s="6" t="s">
        <v>46</v>
      </c>
      <c r="E765" s="6" t="s">
        <v>326</v>
      </c>
      <c r="F765" s="6">
        <v>57</v>
      </c>
      <c r="G765" s="15">
        <v>0.35625000000000001</v>
      </c>
      <c r="H765" s="16">
        <v>0</v>
      </c>
      <c r="I765" s="35">
        <f ca="1">IFERROR(Tabela3[[#This Row],[Custo Total]]/Tabela3[[#This Row],[Aluminio Util]],0)</f>
        <v>25.257719567156951</v>
      </c>
      <c r="J765" s="35">
        <f ca="1">Tabela3[[#This Row],[Custo Total]]/Tabela3[[#This Row],[Realizado]]</f>
        <v>7.6278313092813992</v>
      </c>
      <c r="K765" s="37">
        <f>IFERROR(Tabela3[[#This Row],[Qtde Cx Produzida]]/Tabela3[[#This Row],[Tempo]]/24,0)</f>
        <v>6.666666666666667</v>
      </c>
      <c r="L765" s="37">
        <f>Tabela3[[#This Row],[Qtde Cx Produzida]]*Tabela3[[#This Row],[Qdt Peça Placa]]</f>
        <v>342</v>
      </c>
      <c r="M765" s="37">
        <f>Tabela3[[#This Row],[Previsto]]-Tabela3[[#This Row],[Perda Pçs]]</f>
        <v>342</v>
      </c>
      <c r="N765" s="38">
        <f>IFERROR(Tabela3[[#This Row],[Perda Pçs]]/Tabela3[[#This Row],[Previsto]],0)</f>
        <v>0</v>
      </c>
      <c r="O765" s="39">
        <f>IFERROR(IF(Tabela3[[#This Row],[Qtde Cx Produzida]] &lt;&gt; 0, Tabela3[[#This Row],[Tempo]] / Tabela3[[#This Row],[Qtde Cx Produzida]], 0),0)</f>
        <v>6.2500000000000003E-3</v>
      </c>
      <c r="P765" s="57">
        <f>IFERROR(Tabela3[[#This Row],[Perda Pçs]]/Tabela3[[#This Row],[Qdt Peça Placa]],0)</f>
        <v>0</v>
      </c>
      <c r="Q765" s="37">
        <f>IFERROR(Tabela3[[#This Row],[Realizado]]*Tabela3[[#This Row],[Peso Util/Pç]],0)</f>
        <v>103.28399999999999</v>
      </c>
      <c r="R765" s="37">
        <f>IFERROR(Tabela3[[#This Row],[Peso Total Galho]]*Tabela3[[#This Row],[Qtde Cx Produzida]]*1.055,0)</f>
        <v>129.41051999999999</v>
      </c>
      <c r="S765" s="37">
        <f>(Tabela3[[#This Row],[Aluminio Bruto]]-Tabela3[[#This Row],[Aluminio Util]])*0.9</f>
        <v>23.513867999999999</v>
      </c>
      <c r="T765" s="37">
        <f>Tabela3[[#This Row],[Aluminio Bruto]]/OleoKGAluminio</f>
        <v>54.442838437805207</v>
      </c>
      <c r="U765" s="35">
        <f>IFERROR((VLOOKUP(Tabela3[[#This Row],[Moldador]],Tabela1[],5,)+(VLOOKUP(Tabela3[[#This Row],[Ajudante]],Tabela1[],5,))*3.5),0)</f>
        <v>99.95034583333333</v>
      </c>
      <c r="V765" s="35">
        <f>IFERROR(Tabela3[[#This Row],[Custo M.O. / H]]/((Tabela3[[#This Row],[Realizado]]/Tabela3[[#This Row],[Qdt Peça Placa]])/Tabela3[[#This Row],[Tempo]]/24),)</f>
        <v>14.992551874999998</v>
      </c>
      <c r="W765" s="35">
        <f>Tabela3[[#This Row],[Custo / Cx Moldada]]*Tabela3[[#This Row],[Qtde Cx Produzida]]</f>
        <v>854.57545687499987</v>
      </c>
      <c r="X765" s="35">
        <f ca="1">Tabela3[[#This Row],[Aluminio Util]]*Tabela3[[#This Row],[Custo/Kg]]</f>
        <v>1611.2303999999999</v>
      </c>
      <c r="Y765" s="35">
        <f>IFERROR(VLOOKUP(Tabela3[[#This Row],[Data]],Tabela461213[],2,1)*(Tabela3[[#This Row],[Qtde Cx Produzida]]*Tabela3[[#This Row],[Qde macho / CX]]*Tabela3[[#This Row],[Peso Macho]]),)</f>
        <v>0</v>
      </c>
      <c r="Z765" s="35">
        <f>IFERROR(Tabela3[[#This Row],[Qtde Oleo]]*(VLOOKUP(Tabela3[[#This Row],[Data]],CompraOleo[],3,TRUE))*1.05,0)</f>
        <v>142.91245089923868</v>
      </c>
      <c r="AA765" s="47">
        <f ca="1">(Tabela3[[#This Row],[Custo Oleo]]+Tabela3[[#This Row],[Custo Aluminio]]+Tabela3[[#This Row],[Custo M.O. Total]]+Tabela3[[#This Row],[Custo Machos]])</f>
        <v>2608.7183077742384</v>
      </c>
      <c r="AB765" s="47">
        <f ca="1">Tabela3[[#This Row],[Custo Total]]*Tabela3[[#This Row],[% Perda]]</f>
        <v>0</v>
      </c>
      <c r="AC765" s="48">
        <f>IFERROR(VLOOKUP(Tabela3[[#This Row],[Produto]],Tabela2[],2,0),0)</f>
        <v>6</v>
      </c>
      <c r="AD765" s="48">
        <f>IFERROR(VLOOKUP(Tabela3[[#This Row],[Produto]],Tabela2[],3,0),0)</f>
        <v>0.30199999999999999</v>
      </c>
      <c r="AE765" s="48">
        <f>IFERROR(VLOOKUP(Tabela3[[#This Row],[Produto]],Tabela2[],4,0),0)</f>
        <v>2.1520000000000001</v>
      </c>
      <c r="AF765" s="48">
        <f>IFERROR(VLOOKUP(Tabela3[[#This Row],[Produto]],Tabela2[],5,0),0)</f>
        <v>0.30600000000000027</v>
      </c>
      <c r="AG765" s="40">
        <f>IFERROR(VLOOKUP(Tabela3[[#This Row],[Produto]],Tabela2[],6,0),0)</f>
        <v>0</v>
      </c>
      <c r="AH765" s="40">
        <f>IFERROR(VLOOKUP(Tabela3[[#This Row],[Produto]],Tabela2[],7,0),0)</f>
        <v>0</v>
      </c>
      <c r="AI765" s="40">
        <f>IFERROR(VLOOKUP(Tabela3[[#This Row],[Produto]],Tabela2[],8,0),0)</f>
        <v>0</v>
      </c>
      <c r="AJ765" s="35">
        <f ca="1">IFERROR(VLOOKUP(Tabela3[[#This Row],[Produto]],Tabela2[],13,0),0)</f>
        <v>15.600000000000001</v>
      </c>
      <c r="AK765" s="40" t="str">
        <f>IFERROR(VLOOKUP(Tabela3[[#This Row],[Produto]],Tabela2[],14,0),0)</f>
        <v>Senun</v>
      </c>
      <c r="AL765" s="40">
        <f>IFERROR(VLOOKUP(Tabela3[[#This Row],[Produto]],Tabela2[],15,0),0)</f>
        <v>4</v>
      </c>
      <c r="AM765" s="36">
        <f ca="1">(Tabela3[[#This Row],[Custo Usinagem]]+Tabela3[[#This Row],[Custo / Pç]])*1.2</f>
        <v>13.953397571137678</v>
      </c>
      <c r="AN765" s="36">
        <f ca="1">Tabela3[[#This Row],[Valor Mínimo Venda]]*1.15</f>
        <v>16.046407206808329</v>
      </c>
      <c r="AO765" s="36">
        <f ca="1">Tabela3[[#This Row],[Tabela 1]]*1.08</f>
        <v>17.330119783352995</v>
      </c>
      <c r="AP765" s="36">
        <f ca="1">Tabela3[[#This Row],[Tabela 2]]*1.15</f>
        <v>19.929637750855942</v>
      </c>
    </row>
    <row r="766" spans="1:42">
      <c r="A766" s="9">
        <v>45953</v>
      </c>
      <c r="B766" s="6" t="s">
        <v>135</v>
      </c>
      <c r="C766" s="14">
        <v>8162</v>
      </c>
      <c r="D766" s="6" t="s">
        <v>44</v>
      </c>
      <c r="E766" s="6" t="s">
        <v>47</v>
      </c>
      <c r="F766" s="6">
        <v>15</v>
      </c>
      <c r="G766" s="15">
        <v>8.0555555555555561E-2</v>
      </c>
      <c r="H766" s="16">
        <v>0</v>
      </c>
      <c r="I766" s="35">
        <f ca="1">IFERROR(Tabela3[[#This Row],[Custo Total]]/Tabela3[[#This Row],[Aluminio Util]],0)</f>
        <v>27.490432704147647</v>
      </c>
      <c r="J766" s="35">
        <f ca="1">Tabela3[[#This Row],[Custo Total]]/Tabela3[[#This Row],[Realizado]]</f>
        <v>48.658065886341333</v>
      </c>
      <c r="K766" s="37">
        <f>IFERROR(Tabela3[[#This Row],[Qtde Cx Produzida]]/Tabela3[[#This Row],[Tempo]]/24,0)</f>
        <v>7.7586206896551717</v>
      </c>
      <c r="L766" s="37">
        <f>Tabela3[[#This Row],[Qtde Cx Produzida]]*Tabela3[[#This Row],[Qdt Peça Placa]]</f>
        <v>15</v>
      </c>
      <c r="M766" s="37">
        <f>Tabela3[[#This Row],[Previsto]]-Tabela3[[#This Row],[Perda Pçs]]</f>
        <v>15</v>
      </c>
      <c r="N766" s="38">
        <f>IFERROR(Tabela3[[#This Row],[Perda Pçs]]/Tabela3[[#This Row],[Previsto]],0)</f>
        <v>0</v>
      </c>
      <c r="O766" s="39">
        <f>IFERROR(IF(Tabela3[[#This Row],[Qtde Cx Produzida]] &lt;&gt; 0, Tabela3[[#This Row],[Tempo]] / Tabela3[[#This Row],[Qtde Cx Produzida]], 0),0)</f>
        <v>5.3703703703703708E-3</v>
      </c>
      <c r="P766" s="57">
        <f>IFERROR(Tabela3[[#This Row],[Perda Pçs]]/Tabela3[[#This Row],[Qdt Peça Placa]],0)</f>
        <v>0</v>
      </c>
      <c r="Q766" s="37">
        <f>IFERROR(Tabela3[[#This Row],[Realizado]]*Tabela3[[#This Row],[Peso Util/Pç]],0)</f>
        <v>26.55</v>
      </c>
      <c r="R766" s="37">
        <f>IFERROR(Tabela3[[#This Row],[Peso Total Galho]]*Tabela3[[#This Row],[Qtde Cx Produzida]]*1.055,0)</f>
        <v>49.532249999999991</v>
      </c>
      <c r="S766" s="37">
        <f>(Tabela3[[#This Row],[Aluminio Bruto]]-Tabela3[[#This Row],[Aluminio Util]])*0.9</f>
        <v>20.684024999999991</v>
      </c>
      <c r="T766" s="37">
        <f>Tabela3[[#This Row],[Aluminio Bruto]]/OleoKGAluminio</f>
        <v>20.838153530416047</v>
      </c>
      <c r="U766" s="35">
        <f>IFERROR((VLOOKUP(Tabela3[[#This Row],[Moldador]],Tabela1[],5,)+(VLOOKUP(Tabela3[[#This Row],[Ajudante]],Tabela1[],5,))*3.5),0)</f>
        <v>99.95034583333333</v>
      </c>
      <c r="V766" s="35">
        <f>IFERROR(Tabela3[[#This Row],[Custo M.O. / H]]/((Tabela3[[#This Row],[Realizado]]/Tabela3[[#This Row],[Qdt Peça Placa]])/Tabela3[[#This Row],[Tempo]]/24),)</f>
        <v>12.88248901851852</v>
      </c>
      <c r="W766" s="35">
        <f>Tabela3[[#This Row],[Custo / Cx Moldada]]*Tabela3[[#This Row],[Qtde Cx Produzida]]</f>
        <v>193.23733527777779</v>
      </c>
      <c r="X766" s="35">
        <f ca="1">Tabela3[[#This Row],[Aluminio Util]]*Tabela3[[#This Row],[Custo/Kg]]</f>
        <v>414.18000000000006</v>
      </c>
      <c r="Y766" s="35">
        <f>IFERROR(VLOOKUP(Tabela3[[#This Row],[Data]],Tabela461213[],2,1)*(Tabela3[[#This Row],[Qtde Cx Produzida]]*Tabela3[[#This Row],[Qde macho / CX]]*Tabela3[[#This Row],[Peso Macho]]),)</f>
        <v>67.753500000000003</v>
      </c>
      <c r="Z766" s="35">
        <f>IFERROR(Tabela3[[#This Row],[Qtde Oleo]]*(VLOOKUP(Tabela3[[#This Row],[Data]],CompraOleo[],3,TRUE))*1.05,0)</f>
        <v>54.700153017342132</v>
      </c>
      <c r="AA766" s="47">
        <f ca="1">(Tabela3[[#This Row],[Custo Oleo]]+Tabela3[[#This Row],[Custo Aluminio]]+Tabela3[[#This Row],[Custo M.O. Total]]+Tabela3[[#This Row],[Custo Machos]])</f>
        <v>729.87098829512001</v>
      </c>
      <c r="AB766" s="47">
        <f ca="1">Tabela3[[#This Row],[Custo Total]]*Tabela3[[#This Row],[% Perda]]</f>
        <v>0</v>
      </c>
      <c r="AC766" s="48">
        <f>IFERROR(VLOOKUP(Tabela3[[#This Row],[Produto]],Tabela2[],2,0),0)</f>
        <v>1</v>
      </c>
      <c r="AD766" s="48">
        <f>IFERROR(VLOOKUP(Tabela3[[#This Row],[Produto]],Tabela2[],3,0),0)</f>
        <v>1.77</v>
      </c>
      <c r="AE766" s="48">
        <f>IFERROR(VLOOKUP(Tabela3[[#This Row],[Produto]],Tabela2[],4,0),0)</f>
        <v>3.13</v>
      </c>
      <c r="AF766" s="48">
        <f>IFERROR(VLOOKUP(Tabela3[[#This Row],[Produto]],Tabela2[],5,0),0)</f>
        <v>1.224</v>
      </c>
      <c r="AG766" s="40">
        <f>IFERROR(VLOOKUP(Tabela3[[#This Row],[Produto]],Tabela2[],6,0),0)</f>
        <v>0</v>
      </c>
      <c r="AH766" s="40">
        <f>IFERROR(VLOOKUP(Tabela3[[#This Row],[Produto]],Tabela2[],7,0),0)</f>
        <v>1</v>
      </c>
      <c r="AI766" s="40">
        <f>IFERROR(VLOOKUP(Tabela3[[#This Row],[Produto]],Tabela2[],8,0),0)</f>
        <v>2.657</v>
      </c>
      <c r="AJ766" s="35">
        <f ca="1">IFERROR(VLOOKUP(Tabela3[[#This Row],[Produto]],Tabela2[],13,0),0)</f>
        <v>15.600000000000001</v>
      </c>
      <c r="AK766" s="40" t="str">
        <f>IFERROR(VLOOKUP(Tabela3[[#This Row],[Produto]],Tabela2[],14,0),0)</f>
        <v>Jumil</v>
      </c>
      <c r="AL766" s="40">
        <f>IFERROR(VLOOKUP(Tabela3[[#This Row],[Produto]],Tabela2[],15,0),0)</f>
        <v>10</v>
      </c>
      <c r="AM766" s="36">
        <f ca="1">(Tabela3[[#This Row],[Custo Usinagem]]+Tabela3[[#This Row],[Custo / Pç]])*1.2</f>
        <v>70.389679063609591</v>
      </c>
      <c r="AN766" s="36">
        <f ca="1">Tabela3[[#This Row],[Valor Mínimo Venda]]*1.15</f>
        <v>80.948130923151027</v>
      </c>
      <c r="AO766" s="36">
        <f ca="1">Tabela3[[#This Row],[Tabela 1]]*1.08</f>
        <v>87.423981397003118</v>
      </c>
      <c r="AP766" s="36">
        <f ca="1">Tabela3[[#This Row],[Tabela 2]]*1.15</f>
        <v>100.53757860655358</v>
      </c>
    </row>
    <row r="767" spans="1:42">
      <c r="A767" s="9">
        <v>45953</v>
      </c>
      <c r="B767" s="6" t="s">
        <v>272</v>
      </c>
      <c r="C767" s="14">
        <v>8204</v>
      </c>
      <c r="D767" s="6" t="s">
        <v>44</v>
      </c>
      <c r="E767" s="6" t="s">
        <v>47</v>
      </c>
      <c r="F767" s="6">
        <v>25</v>
      </c>
      <c r="G767" s="15">
        <v>0.12777777777777777</v>
      </c>
      <c r="H767" s="16">
        <v>0</v>
      </c>
      <c r="I767" s="35">
        <f ca="1">IFERROR(Tabela3[[#This Row],[Custo Total]]/Tabela3[[#This Row],[Aluminio Util]],0)</f>
        <v>29.59305744158403</v>
      </c>
      <c r="J767" s="35">
        <f ca="1">Tabela3[[#This Row],[Custo Total]]/Tabela3[[#This Row],[Realizado]]</f>
        <v>40.838419269385966</v>
      </c>
      <c r="K767" s="37">
        <f>IFERROR(Tabela3[[#This Row],[Qtde Cx Produzida]]/Tabela3[[#This Row],[Tempo]]/24,0)</f>
        <v>8.1521739130434785</v>
      </c>
      <c r="L767" s="37">
        <f>Tabela3[[#This Row],[Qtde Cx Produzida]]*Tabela3[[#This Row],[Qdt Peça Placa]]</f>
        <v>25</v>
      </c>
      <c r="M767" s="37">
        <f>Tabela3[[#This Row],[Previsto]]-Tabela3[[#This Row],[Perda Pçs]]</f>
        <v>25</v>
      </c>
      <c r="N767" s="38">
        <f>IFERROR(Tabela3[[#This Row],[Perda Pçs]]/Tabela3[[#This Row],[Previsto]],0)</f>
        <v>0</v>
      </c>
      <c r="O767" s="39">
        <f>IFERROR(IF(Tabela3[[#This Row],[Qtde Cx Produzida]] &lt;&gt; 0, Tabela3[[#This Row],[Tempo]] / Tabela3[[#This Row],[Qtde Cx Produzida]], 0),0)</f>
        <v>5.1111111111111105E-3</v>
      </c>
      <c r="P767" s="57">
        <f>IFERROR(Tabela3[[#This Row],[Perda Pçs]]/Tabela3[[#This Row],[Qdt Peça Placa]],0)</f>
        <v>0</v>
      </c>
      <c r="Q767" s="37">
        <f>IFERROR(Tabela3[[#This Row],[Realizado]]*Tabela3[[#This Row],[Peso Util/Pç]],0)</f>
        <v>34.5</v>
      </c>
      <c r="R767" s="37">
        <f>IFERROR(Tabela3[[#This Row],[Peso Total Galho]]*Tabela3[[#This Row],[Qtde Cx Produzida]]*1.055,0)</f>
        <v>52.222499999999997</v>
      </c>
      <c r="S767" s="37">
        <f>(Tabela3[[#This Row],[Aluminio Bruto]]-Tabela3[[#This Row],[Aluminio Util]])*0.9</f>
        <v>15.950249999999997</v>
      </c>
      <c r="T767" s="37">
        <f>Tabela3[[#This Row],[Aluminio Bruto]]/OleoKGAluminio</f>
        <v>21.96993822695622</v>
      </c>
      <c r="U767" s="35">
        <f>IFERROR((VLOOKUP(Tabela3[[#This Row],[Moldador]],Tabela1[],5,)+(VLOOKUP(Tabela3[[#This Row],[Ajudante]],Tabela1[],5,))*3.5),0)</f>
        <v>99.95034583333333</v>
      </c>
      <c r="V767" s="35">
        <f>IFERROR(Tabela3[[#This Row],[Custo M.O. / H]]/((Tabela3[[#This Row],[Realizado]]/Tabela3[[#This Row],[Qdt Peça Placa]])/Tabela3[[#This Row],[Tempo]]/24),)</f>
        <v>12.260575755555555</v>
      </c>
      <c r="W767" s="35">
        <f>Tabela3[[#This Row],[Custo / Cx Moldada]]*Tabela3[[#This Row],[Qtde Cx Produzida]]</f>
        <v>306.51439388888889</v>
      </c>
      <c r="X767" s="35">
        <f ca="1">Tabela3[[#This Row],[Aluminio Util]]*Tabela3[[#This Row],[Custo/Kg]]</f>
        <v>538.20000000000005</v>
      </c>
      <c r="Y767" s="35">
        <f>IFERROR(VLOOKUP(Tabela3[[#This Row],[Data]],Tabela461213[],2,1)*(Tabela3[[#This Row],[Qtde Cx Produzida]]*Tabela3[[#This Row],[Qde macho / CX]]*Tabela3[[#This Row],[Peso Macho]]),)</f>
        <v>118.575</v>
      </c>
      <c r="Z767" s="35">
        <f>IFERROR(Tabela3[[#This Row],[Qtde Oleo]]*(VLOOKUP(Tabela3[[#This Row],[Data]],CompraOleo[],3,TRUE))*1.05,0)</f>
        <v>57.671087845760077</v>
      </c>
      <c r="AA767" s="47">
        <f ca="1">(Tabela3[[#This Row],[Custo Oleo]]+Tabela3[[#This Row],[Custo Aluminio]]+Tabela3[[#This Row],[Custo M.O. Total]]+Tabela3[[#This Row],[Custo Machos]])</f>
        <v>1020.9604817346491</v>
      </c>
      <c r="AB767" s="47">
        <f ca="1">Tabela3[[#This Row],[Custo Total]]*Tabela3[[#This Row],[% Perda]]</f>
        <v>0</v>
      </c>
      <c r="AC767" s="48">
        <f>IFERROR(VLOOKUP(Tabela3[[#This Row],[Produto]],Tabela2[],2,0),0)</f>
        <v>1</v>
      </c>
      <c r="AD767" s="48">
        <f>IFERROR(VLOOKUP(Tabela3[[#This Row],[Produto]],Tabela2[],3,0),0)</f>
        <v>1.38</v>
      </c>
      <c r="AE767" s="48">
        <f>IFERROR(VLOOKUP(Tabela3[[#This Row],[Produto]],Tabela2[],4,0),0)</f>
        <v>1.98</v>
      </c>
      <c r="AF767" s="48">
        <f>IFERROR(VLOOKUP(Tabela3[[#This Row],[Produto]],Tabela2[],5,0),0)</f>
        <v>0.54000000000000015</v>
      </c>
      <c r="AG767" s="40">
        <f>IFERROR(VLOOKUP(Tabela3[[#This Row],[Produto]],Tabela2[],6,0),0)</f>
        <v>0</v>
      </c>
      <c r="AH767" s="40">
        <f>IFERROR(VLOOKUP(Tabela3[[#This Row],[Produto]],Tabela2[],7,0),0)</f>
        <v>3</v>
      </c>
      <c r="AI767" s="40">
        <f>IFERROR(VLOOKUP(Tabela3[[#This Row],[Produto]],Tabela2[],8,0),0)</f>
        <v>0.93</v>
      </c>
      <c r="AJ767" s="35">
        <f ca="1">IFERROR(VLOOKUP(Tabela3[[#This Row],[Produto]],Tabela2[],13,0),0)</f>
        <v>15.600000000000001</v>
      </c>
      <c r="AK767" s="40" t="str">
        <f>IFERROR(VLOOKUP(Tabela3[[#This Row],[Produto]],Tabela2[],14,0),0)</f>
        <v>Jumil</v>
      </c>
      <c r="AL767" s="40">
        <f>IFERROR(VLOOKUP(Tabela3[[#This Row],[Produto]],Tabela2[],15,0),0)</f>
        <v>8</v>
      </c>
      <c r="AM767" s="36">
        <f ca="1">(Tabela3[[#This Row],[Custo Usinagem]]+Tabela3[[#This Row],[Custo / Pç]])*1.2</f>
        <v>58.606103123263154</v>
      </c>
      <c r="AN767" s="36">
        <f ca="1">Tabela3[[#This Row],[Valor Mínimo Venda]]*1.15</f>
        <v>67.397018591752627</v>
      </c>
      <c r="AO767" s="36">
        <f ca="1">Tabela3[[#This Row],[Tabela 1]]*1.08</f>
        <v>72.788780079092845</v>
      </c>
      <c r="AP767" s="36">
        <f ca="1">Tabela3[[#This Row],[Tabela 2]]*1.15</f>
        <v>83.707097090956765</v>
      </c>
    </row>
    <row r="768" spans="1:42">
      <c r="A768" s="9">
        <v>45953</v>
      </c>
      <c r="B768" s="6" t="s">
        <v>87</v>
      </c>
      <c r="C768" s="14">
        <v>8206</v>
      </c>
      <c r="D768" s="6" t="s">
        <v>44</v>
      </c>
      <c r="E768" s="6" t="s">
        <v>47</v>
      </c>
      <c r="F768" s="6">
        <v>15</v>
      </c>
      <c r="G768" s="15">
        <v>8.8888888888888892E-2</v>
      </c>
      <c r="H768" s="16">
        <v>0</v>
      </c>
      <c r="I768" s="35">
        <f ca="1">IFERROR(Tabela3[[#This Row],[Custo Total]]/Tabela3[[#This Row],[Aluminio Util]],0)</f>
        <v>23.837110683534938</v>
      </c>
      <c r="J768" s="35">
        <f ca="1">Tabela3[[#This Row],[Custo Total]]/Tabela3[[#This Row],[Realizado]]</f>
        <v>27.412677286065179</v>
      </c>
      <c r="K768" s="37">
        <f>IFERROR(Tabela3[[#This Row],[Qtde Cx Produzida]]/Tabela3[[#This Row],[Tempo]]/24,0)</f>
        <v>7.03125</v>
      </c>
      <c r="L768" s="37">
        <f>Tabela3[[#This Row],[Qtde Cx Produzida]]*Tabela3[[#This Row],[Qdt Peça Placa]]</f>
        <v>30</v>
      </c>
      <c r="M768" s="37">
        <f>Tabela3[[#This Row],[Previsto]]-Tabela3[[#This Row],[Perda Pçs]]</f>
        <v>30</v>
      </c>
      <c r="N768" s="38">
        <f>IFERROR(Tabela3[[#This Row],[Perda Pçs]]/Tabela3[[#This Row],[Previsto]],0)</f>
        <v>0</v>
      </c>
      <c r="O768" s="39">
        <f>IFERROR(IF(Tabela3[[#This Row],[Qtde Cx Produzida]] &lt;&gt; 0, Tabela3[[#This Row],[Tempo]] / Tabela3[[#This Row],[Qtde Cx Produzida]], 0),0)</f>
        <v>5.9259259259259265E-3</v>
      </c>
      <c r="P768" s="57">
        <f>IFERROR(Tabela3[[#This Row],[Perda Pçs]]/Tabela3[[#This Row],[Qdt Peça Placa]],0)</f>
        <v>0</v>
      </c>
      <c r="Q768" s="37">
        <f>IFERROR(Tabela3[[#This Row],[Realizado]]*Tabela3[[#This Row],[Peso Util/Pç]],0)</f>
        <v>34.5</v>
      </c>
      <c r="R768" s="37">
        <f>IFERROR(Tabela3[[#This Row],[Peso Total Galho]]*Tabela3[[#This Row],[Qtde Cx Produzida]]*1.055,0)</f>
        <v>64.249499999999983</v>
      </c>
      <c r="S768" s="37">
        <f>(Tabela3[[#This Row],[Aluminio Bruto]]-Tabela3[[#This Row],[Aluminio Util]])*0.9</f>
        <v>26.774549999999987</v>
      </c>
      <c r="T768" s="37">
        <f>Tabela3[[#This Row],[Aluminio Bruto]]/OleoKGAluminio</f>
        <v>27.029681576194616</v>
      </c>
      <c r="U768" s="35">
        <f>IFERROR((VLOOKUP(Tabela3[[#This Row],[Moldador]],Tabela1[],5,)+(VLOOKUP(Tabela3[[#This Row],[Ajudante]],Tabela1[],5,))*3.5),0)</f>
        <v>99.95034583333333</v>
      </c>
      <c r="V768" s="35">
        <f>IFERROR(Tabela3[[#This Row],[Custo M.O. / H]]/((Tabela3[[#This Row],[Realizado]]/Tabela3[[#This Row],[Qdt Peça Placa]])/Tabela3[[#This Row],[Tempo]]/24),)</f>
        <v>14.215160296296295</v>
      </c>
      <c r="W768" s="35">
        <f>Tabela3[[#This Row],[Custo / Cx Moldada]]*Tabela3[[#This Row],[Qtde Cx Produzida]]</f>
        <v>213.22740444444443</v>
      </c>
      <c r="X768" s="35">
        <f ca="1">Tabela3[[#This Row],[Aluminio Util]]*Tabela3[[#This Row],[Custo/Kg]]</f>
        <v>538.20000000000005</v>
      </c>
      <c r="Y768" s="35">
        <f>IFERROR(VLOOKUP(Tabela3[[#This Row],[Data]],Tabela461213[],2,1)*(Tabela3[[#This Row],[Qtde Cx Produzida]]*Tabela3[[#This Row],[Qde macho / CX]]*Tabela3[[#This Row],[Peso Macho]]),)</f>
        <v>0</v>
      </c>
      <c r="Z768" s="35">
        <f>IFERROR(Tabela3[[#This Row],[Qtde Oleo]]*(VLOOKUP(Tabela3[[#This Row],[Data]],CompraOleo[],3,TRUE))*1.05,0)</f>
        <v>70.952914137510874</v>
      </c>
      <c r="AA768" s="47">
        <f ca="1">(Tabela3[[#This Row],[Custo Oleo]]+Tabela3[[#This Row],[Custo Aluminio]]+Tabela3[[#This Row],[Custo M.O. Total]]+Tabela3[[#This Row],[Custo Machos]])</f>
        <v>822.38031858195541</v>
      </c>
      <c r="AB768" s="47">
        <f ca="1">Tabela3[[#This Row],[Custo Total]]*Tabela3[[#This Row],[% Perda]]</f>
        <v>0</v>
      </c>
      <c r="AC768" s="48">
        <f>IFERROR(VLOOKUP(Tabela3[[#This Row],[Produto]],Tabela2[],2,0),0)</f>
        <v>2</v>
      </c>
      <c r="AD768" s="48">
        <f>IFERROR(VLOOKUP(Tabela3[[#This Row],[Produto]],Tabela2[],3,0),0)</f>
        <v>1.1499999999999999</v>
      </c>
      <c r="AE768" s="48">
        <f>IFERROR(VLOOKUP(Tabela3[[#This Row],[Produto]],Tabela2[],4,0),0)</f>
        <v>4.0599999999999996</v>
      </c>
      <c r="AF768" s="48">
        <f>IFERROR(VLOOKUP(Tabela3[[#This Row],[Produto]],Tabela2[],5,0),0)</f>
        <v>1.5839999999999999</v>
      </c>
      <c r="AG768" s="40">
        <f>IFERROR(VLOOKUP(Tabela3[[#This Row],[Produto]],Tabela2[],6,0),0)</f>
        <v>0</v>
      </c>
      <c r="AH768" s="40">
        <f>IFERROR(VLOOKUP(Tabela3[[#This Row],[Produto]],Tabela2[],7,0),0)</f>
        <v>0</v>
      </c>
      <c r="AI768" s="40">
        <f>IFERROR(VLOOKUP(Tabela3[[#This Row],[Produto]],Tabela2[],8,0),0)</f>
        <v>0</v>
      </c>
      <c r="AJ768" s="35">
        <f ca="1">IFERROR(VLOOKUP(Tabela3[[#This Row],[Produto]],Tabela2[],13,0),0)</f>
        <v>15.600000000000001</v>
      </c>
      <c r="AK768" s="40" t="str">
        <f>IFERROR(VLOOKUP(Tabela3[[#This Row],[Produto]],Tabela2[],14,0),0)</f>
        <v>Jumil</v>
      </c>
      <c r="AL768" s="40">
        <f>IFERROR(VLOOKUP(Tabela3[[#This Row],[Produto]],Tabela2[],15,0),0)</f>
        <v>8</v>
      </c>
      <c r="AM768" s="36">
        <f ca="1">(Tabela3[[#This Row],[Custo Usinagem]]+Tabela3[[#This Row],[Custo / Pç]])*1.2</f>
        <v>42.495212743278209</v>
      </c>
      <c r="AN768" s="36">
        <f ca="1">Tabela3[[#This Row],[Valor Mínimo Venda]]*1.15</f>
        <v>48.869494654769937</v>
      </c>
      <c r="AO768" s="36">
        <f ca="1">Tabela3[[#This Row],[Tabela 1]]*1.08</f>
        <v>52.779054227151533</v>
      </c>
      <c r="AP768" s="36">
        <f ca="1">Tabela3[[#This Row],[Tabela 2]]*1.15</f>
        <v>60.695912361224259</v>
      </c>
    </row>
    <row r="769" spans="1:42">
      <c r="A769" s="69">
        <v>45953</v>
      </c>
      <c r="B769" s="6" t="s">
        <v>171</v>
      </c>
      <c r="C769" s="14">
        <v>8213</v>
      </c>
      <c r="D769" s="6" t="s">
        <v>44</v>
      </c>
      <c r="E769" s="6" t="s">
        <v>47</v>
      </c>
      <c r="F769" s="6">
        <v>1</v>
      </c>
      <c r="G769" s="15">
        <v>1.3888888888888888E-2</v>
      </c>
      <c r="H769" s="16">
        <v>0</v>
      </c>
      <c r="I769" s="35">
        <f ca="1">IFERROR(Tabela3[[#This Row],[Custo Total]]/Tabela3[[#This Row],[Aluminio Util]],0)</f>
        <v>26.870736094362417</v>
      </c>
      <c r="J769" s="35">
        <f ca="1">Tabela3[[#This Row],[Custo Total]]/Tabela3[[#This Row],[Realizado]]</f>
        <v>112.85709159632216</v>
      </c>
      <c r="K769" s="37">
        <f>IFERROR(Tabela3[[#This Row],[Qtde Cx Produzida]]/Tabela3[[#This Row],[Tempo]]/24,0)</f>
        <v>3</v>
      </c>
      <c r="L769" s="37">
        <f>Tabela3[[#This Row],[Qtde Cx Produzida]]*Tabela3[[#This Row],[Qdt Peça Placa]]</f>
        <v>1</v>
      </c>
      <c r="M769" s="37">
        <f>Tabela3[[#This Row],[Previsto]]-Tabela3[[#This Row],[Perda Pçs]]</f>
        <v>1</v>
      </c>
      <c r="N769" s="38">
        <f>IFERROR(Tabela3[[#This Row],[Perda Pçs]]/Tabela3[[#This Row],[Previsto]],0)</f>
        <v>0</v>
      </c>
      <c r="O769" s="39">
        <f>IFERROR(IF(Tabela3[[#This Row],[Qtde Cx Produzida]] &lt;&gt; 0, Tabela3[[#This Row],[Tempo]] / Tabela3[[#This Row],[Qtde Cx Produzida]], 0),0)</f>
        <v>1.3888888888888888E-2</v>
      </c>
      <c r="P769" s="57">
        <f>IFERROR(Tabela3[[#This Row],[Perda Pçs]]/Tabela3[[#This Row],[Qdt Peça Placa]],0)</f>
        <v>0</v>
      </c>
      <c r="Q769" s="37">
        <f>IFERROR(Tabela3[[#This Row],[Realizado]]*Tabela3[[#This Row],[Peso Util/Pç]],0)</f>
        <v>4.2</v>
      </c>
      <c r="R769" s="37">
        <f>IFERROR(Tabela3[[#This Row],[Peso Total Galho]]*Tabela3[[#This Row],[Qtde Cx Produzida]]*1.055,0)</f>
        <v>5.0893199999999998</v>
      </c>
      <c r="S769" s="37">
        <f>(Tabela3[[#This Row],[Aluminio Bruto]]-Tabela3[[#This Row],[Aluminio Util]])*0.9</f>
        <v>0.80038799999999977</v>
      </c>
      <c r="T769" s="37">
        <f>Tabela3[[#This Row],[Aluminio Bruto]]/OleoKGAluminio</f>
        <v>2.1410703435724607</v>
      </c>
      <c r="U769" s="35">
        <f>IFERROR((VLOOKUP(Tabela3[[#This Row],[Moldador]],Tabela1[],5,)+(VLOOKUP(Tabela3[[#This Row],[Ajudante]],Tabela1[],5,))*3.5),0)</f>
        <v>99.95034583333333</v>
      </c>
      <c r="V769" s="35">
        <f>IFERROR(Tabela3[[#This Row],[Custo M.O. / H]]/((Tabela3[[#This Row],[Realizado]]/Tabela3[[#This Row],[Qdt Peça Placa]])/Tabela3[[#This Row],[Tempo]]/24),)</f>
        <v>33.316781944444443</v>
      </c>
      <c r="W769" s="35">
        <f>Tabela3[[#This Row],[Custo / Cx Moldada]]*Tabela3[[#This Row],[Qtde Cx Produzida]]</f>
        <v>33.316781944444443</v>
      </c>
      <c r="X769" s="35">
        <f ca="1">Tabela3[[#This Row],[Aluminio Util]]*Tabela3[[#This Row],[Custo/Kg]]</f>
        <v>73.920000000000016</v>
      </c>
      <c r="Y769" s="35">
        <f>IFERROR(VLOOKUP(Tabela3[[#This Row],[Data]],Tabela461213[],2,1)*(Tabela3[[#This Row],[Qtde Cx Produzida]]*Tabela3[[#This Row],[Qde macho / CX]]*Tabela3[[#This Row],[Peso Macho]]),)</f>
        <v>0</v>
      </c>
      <c r="Z769" s="35">
        <f>IFERROR(Tabela3[[#This Row],[Qtde Oleo]]*(VLOOKUP(Tabela3[[#This Row],[Data]],CompraOleo[],3,TRUE))*1.05,0)</f>
        <v>5.6203096518777098</v>
      </c>
      <c r="AA769" s="47">
        <f ca="1">(Tabela3[[#This Row],[Custo Oleo]]+Tabela3[[#This Row],[Custo Aluminio]]+Tabela3[[#This Row],[Custo M.O. Total]]+Tabela3[[#This Row],[Custo Machos]])</f>
        <v>112.85709159632216</v>
      </c>
      <c r="AB769" s="47">
        <f ca="1">Tabela3[[#This Row],[Custo Total]]*Tabela3[[#This Row],[% Perda]]</f>
        <v>0</v>
      </c>
      <c r="AC769" s="48">
        <f>IFERROR(VLOOKUP(Tabela3[[#This Row],[Produto]],Tabela2[],2,0),0)</f>
        <v>1</v>
      </c>
      <c r="AD769" s="48">
        <f>IFERROR(VLOOKUP(Tabela3[[#This Row],[Produto]],Tabela2[],3,0),0)</f>
        <v>4.2</v>
      </c>
      <c r="AE769" s="48">
        <f>IFERROR(VLOOKUP(Tabela3[[#This Row],[Produto]],Tabela2[],4,0),0)</f>
        <v>4.8239999999999998</v>
      </c>
      <c r="AF769" s="48">
        <f>IFERROR(VLOOKUP(Tabela3[[#This Row],[Produto]],Tabela2[],5,0),0)</f>
        <v>0.56159999999999977</v>
      </c>
      <c r="AG769" s="40">
        <f>IFERROR(VLOOKUP(Tabela3[[#This Row],[Produto]],Tabela2[],6,0),0)</f>
        <v>0</v>
      </c>
      <c r="AH769" s="40">
        <f>IFERROR(VLOOKUP(Tabela3[[#This Row],[Produto]],Tabela2[],7,0),0)</f>
        <v>0</v>
      </c>
      <c r="AI769" s="40">
        <f>IFERROR(VLOOKUP(Tabela3[[#This Row],[Produto]],Tabela2[],8,0),0)</f>
        <v>0</v>
      </c>
      <c r="AJ769" s="35">
        <f ca="1">IFERROR(VLOOKUP(Tabela3[[#This Row],[Produto]],Tabela2[],13,0),0)</f>
        <v>17.600000000000001</v>
      </c>
      <c r="AK769" s="40" t="str">
        <f>IFERROR(VLOOKUP(Tabela3[[#This Row],[Produto]],Tabela2[],14,0),0)</f>
        <v>Oscar</v>
      </c>
      <c r="AL769" s="40">
        <f>IFERROR(VLOOKUP(Tabela3[[#This Row],[Produto]],Tabela2[],15,0),0)</f>
        <v>0</v>
      </c>
      <c r="AM769" s="36">
        <f ca="1">(Tabela3[[#This Row],[Custo Usinagem]]+Tabela3[[#This Row],[Custo / Pç]])*1.2</f>
        <v>135.4285099155866</v>
      </c>
      <c r="AN769" s="36">
        <f ca="1">Tabela3[[#This Row],[Valor Mínimo Venda]]*1.15</f>
        <v>155.74278640292459</v>
      </c>
      <c r="AO769" s="36">
        <f ca="1">Tabela3[[#This Row],[Tabela 1]]*1.08</f>
        <v>168.20220931515857</v>
      </c>
      <c r="AP769" s="36">
        <f ca="1">Tabela3[[#This Row],[Tabela 2]]*1.15</f>
        <v>193.43254071243234</v>
      </c>
    </row>
    <row r="770" spans="1:42">
      <c r="A770" s="9">
        <v>45954</v>
      </c>
      <c r="B770" s="6" t="s">
        <v>229</v>
      </c>
      <c r="C770" s="14">
        <v>8211</v>
      </c>
      <c r="D770" s="6" t="s">
        <v>46</v>
      </c>
      <c r="E770" s="6" t="s">
        <v>326</v>
      </c>
      <c r="F770" s="6">
        <v>25</v>
      </c>
      <c r="G770" s="15">
        <v>0.13263888888888889</v>
      </c>
      <c r="H770" s="16">
        <v>0</v>
      </c>
      <c r="I770" s="35">
        <f ca="1">IFERROR(Tabela3[[#This Row],[Custo Total]]/Tabela3[[#This Row],[Aluminio Util]],0)</f>
        <v>21.690217095086624</v>
      </c>
      <c r="J770" s="35">
        <f ca="1">Tabela3[[#This Row],[Custo Total]]/Tabela3[[#This Row],[Realizado]]</f>
        <v>60.472325261101496</v>
      </c>
      <c r="K770" s="37">
        <f>IFERROR(Tabela3[[#This Row],[Qtde Cx Produzida]]/Tabela3[[#This Row],[Tempo]]/24,0)</f>
        <v>7.8534031413612562</v>
      </c>
      <c r="L770" s="37">
        <f>Tabela3[[#This Row],[Qtde Cx Produzida]]*Tabela3[[#This Row],[Qdt Peça Placa]]</f>
        <v>25</v>
      </c>
      <c r="M770" s="37">
        <f>Tabela3[[#This Row],[Previsto]]-Tabela3[[#This Row],[Perda Pçs]]</f>
        <v>25</v>
      </c>
      <c r="N770" s="38">
        <f>IFERROR(Tabela3[[#This Row],[Perda Pçs]]/Tabela3[[#This Row],[Previsto]],0)</f>
        <v>0</v>
      </c>
      <c r="O770" s="39">
        <f>IFERROR(IF(Tabela3[[#This Row],[Qtde Cx Produzida]] &lt;&gt; 0, Tabela3[[#This Row],[Tempo]] / Tabela3[[#This Row],[Qtde Cx Produzida]], 0),0)</f>
        <v>5.3055555555555555E-3</v>
      </c>
      <c r="P770" s="57">
        <f>IFERROR(Tabela3[[#This Row],[Perda Pçs]]/Tabela3[[#This Row],[Qdt Peça Placa]],0)</f>
        <v>0</v>
      </c>
      <c r="Q770" s="37">
        <f>IFERROR(Tabela3[[#This Row],[Realizado]]*Tabela3[[#This Row],[Peso Util/Pç]],0)</f>
        <v>69.699999999999989</v>
      </c>
      <c r="R770" s="37">
        <f>IFERROR(Tabela3[[#This Row],[Peso Total Galho]]*Tabela3[[#This Row],[Qtde Cx Produzida]]*1.055,0)</f>
        <v>96.268749999999997</v>
      </c>
      <c r="S770" s="37">
        <f>(Tabela3[[#This Row],[Aluminio Bruto]]-Tabela3[[#This Row],[Aluminio Util]])*0.9</f>
        <v>23.911875000000009</v>
      </c>
      <c r="T770" s="37">
        <f>Tabela3[[#This Row],[Aluminio Bruto]]/OleoKGAluminio</f>
        <v>40.500138650702127</v>
      </c>
      <c r="U770" s="35">
        <f>IFERROR((VLOOKUP(Tabela3[[#This Row],[Moldador]],Tabela1[],5,)+(VLOOKUP(Tabela3[[#This Row],[Ajudante]],Tabela1[],5,))*3.5),0)</f>
        <v>99.95034583333333</v>
      </c>
      <c r="V770" s="35">
        <f>IFERROR(Tabela3[[#This Row],[Custo M.O. / H]]/((Tabela3[[#This Row],[Realizado]]/Tabela3[[#This Row],[Qdt Peça Placa]])/Tabela3[[#This Row],[Tempo]]/24),)</f>
        <v>12.727010702777777</v>
      </c>
      <c r="W770" s="35">
        <f>Tabela3[[#This Row],[Custo / Cx Moldada]]*Tabela3[[#This Row],[Qtde Cx Produzida]]</f>
        <v>318.17526756944443</v>
      </c>
      <c r="X770" s="35">
        <f ca="1">Tabela3[[#This Row],[Aluminio Util]]*Tabela3[[#This Row],[Custo/Kg]]</f>
        <v>1087.32</v>
      </c>
      <c r="Y770" s="35">
        <f>IFERROR(VLOOKUP(Tabela3[[#This Row],[Data]],Tabela461213[],2,1)*(Tabela3[[#This Row],[Qtde Cx Produzida]]*Tabela3[[#This Row],[Qde macho / CX]]*Tabela3[[#This Row],[Peso Macho]]),)</f>
        <v>0</v>
      </c>
      <c r="Z770" s="35">
        <f>IFERROR(Tabela3[[#This Row],[Qtde Oleo]]*(VLOOKUP(Tabela3[[#This Row],[Data]],CompraOleo[],3,TRUE))*1.05,0)</f>
        <v>106.31286395809309</v>
      </c>
      <c r="AA770" s="47">
        <f ca="1">(Tabela3[[#This Row],[Custo Oleo]]+Tabela3[[#This Row],[Custo Aluminio]]+Tabela3[[#This Row],[Custo M.O. Total]]+Tabela3[[#This Row],[Custo Machos]])</f>
        <v>1511.8081315275374</v>
      </c>
      <c r="AB770" s="47">
        <f ca="1">Tabela3[[#This Row],[Custo Total]]*Tabela3[[#This Row],[% Perda]]</f>
        <v>0</v>
      </c>
      <c r="AC770" s="48">
        <f>IFERROR(VLOOKUP(Tabela3[[#This Row],[Produto]],Tabela2[],2,0),0)</f>
        <v>1</v>
      </c>
      <c r="AD770" s="48">
        <f>IFERROR(VLOOKUP(Tabela3[[#This Row],[Produto]],Tabela2[],3,0),0)</f>
        <v>2.7879999999999998</v>
      </c>
      <c r="AE770" s="48">
        <f>IFERROR(VLOOKUP(Tabela3[[#This Row],[Produto]],Tabela2[],4,0),0)</f>
        <v>3.65</v>
      </c>
      <c r="AF770" s="48">
        <f>IFERROR(VLOOKUP(Tabela3[[#This Row],[Produto]],Tabela2[],5,0),0)</f>
        <v>0.77580000000000016</v>
      </c>
      <c r="AG770" s="40">
        <f>IFERROR(VLOOKUP(Tabela3[[#This Row],[Produto]],Tabela2[],6,0),0)</f>
        <v>0</v>
      </c>
      <c r="AH770" s="40">
        <f>IFERROR(VLOOKUP(Tabela3[[#This Row],[Produto]],Tabela2[],7,0),0)</f>
        <v>0</v>
      </c>
      <c r="AI770" s="40">
        <f>IFERROR(VLOOKUP(Tabela3[[#This Row],[Produto]],Tabela2[],8,0),0)</f>
        <v>0</v>
      </c>
      <c r="AJ770" s="35">
        <f ca="1">IFERROR(VLOOKUP(Tabela3[[#This Row],[Produto]],Tabela2[],13,0),0)</f>
        <v>15.600000000000001</v>
      </c>
      <c r="AK770" s="40" t="str">
        <f>IFERROR(VLOOKUP(Tabela3[[#This Row],[Produto]],Tabela2[],14,0),0)</f>
        <v>Jumil</v>
      </c>
      <c r="AL770" s="40">
        <f>IFERROR(VLOOKUP(Tabela3[[#This Row],[Produto]],Tabela2[],15,0),0)</f>
        <v>35</v>
      </c>
      <c r="AM770" s="36">
        <f ca="1">(Tabela3[[#This Row],[Custo Usinagem]]+Tabela3[[#This Row],[Custo / Pç]])*1.2</f>
        <v>114.5667903133218</v>
      </c>
      <c r="AN770" s="36">
        <f ca="1">Tabela3[[#This Row],[Valor Mínimo Venda]]*1.15</f>
        <v>131.75180886032007</v>
      </c>
      <c r="AO770" s="36">
        <f ca="1">Tabela3[[#This Row],[Tabela 1]]*1.08</f>
        <v>142.29195356914568</v>
      </c>
      <c r="AP770" s="36">
        <f ca="1">Tabela3[[#This Row],[Tabela 2]]*1.15</f>
        <v>163.63574660451752</v>
      </c>
    </row>
    <row r="771" spans="1:42">
      <c r="A771" s="9">
        <v>45954</v>
      </c>
      <c r="B771" s="6" t="s">
        <v>236</v>
      </c>
      <c r="C771" s="14">
        <v>8171</v>
      </c>
      <c r="D771" s="6" t="s">
        <v>46</v>
      </c>
      <c r="E771" s="6" t="s">
        <v>326</v>
      </c>
      <c r="F771" s="6">
        <v>36</v>
      </c>
      <c r="G771" s="15">
        <v>0.21249999999999999</v>
      </c>
      <c r="H771" s="16">
        <v>0</v>
      </c>
      <c r="I771" s="35">
        <f ca="1">IFERROR(Tabela3[[#This Row],[Custo Total]]/Tabela3[[#This Row],[Aluminio Util]],0)</f>
        <v>24.798050942095635</v>
      </c>
      <c r="J771" s="35">
        <f ca="1">Tabela3[[#This Row],[Custo Total]]/Tabela3[[#This Row],[Realizado]]</f>
        <v>7.4890113845128825</v>
      </c>
      <c r="K771" s="37">
        <f>IFERROR(Tabela3[[#This Row],[Qtde Cx Produzida]]/Tabela3[[#This Row],[Tempo]]/24,0)</f>
        <v>7.0588235294117645</v>
      </c>
      <c r="L771" s="37">
        <f>Tabela3[[#This Row],[Qtde Cx Produzida]]*Tabela3[[#This Row],[Qdt Peça Placa]]</f>
        <v>216</v>
      </c>
      <c r="M771" s="37">
        <f>Tabela3[[#This Row],[Previsto]]-Tabela3[[#This Row],[Perda Pçs]]</f>
        <v>216</v>
      </c>
      <c r="N771" s="38">
        <f>IFERROR(Tabela3[[#This Row],[Perda Pçs]]/Tabela3[[#This Row],[Previsto]],0)</f>
        <v>0</v>
      </c>
      <c r="O771" s="39">
        <f>IFERROR(IF(Tabela3[[#This Row],[Qtde Cx Produzida]] &lt;&gt; 0, Tabela3[[#This Row],[Tempo]] / Tabela3[[#This Row],[Qtde Cx Produzida]], 0),0)</f>
        <v>5.9027777777777776E-3</v>
      </c>
      <c r="P771" s="57">
        <f>IFERROR(Tabela3[[#This Row],[Perda Pçs]]/Tabela3[[#This Row],[Qdt Peça Placa]],0)</f>
        <v>0</v>
      </c>
      <c r="Q771" s="37">
        <f>IFERROR(Tabela3[[#This Row],[Realizado]]*Tabela3[[#This Row],[Peso Util/Pç]],0)</f>
        <v>65.231999999999999</v>
      </c>
      <c r="R771" s="37">
        <f>IFERROR(Tabela3[[#This Row],[Peso Total Galho]]*Tabela3[[#This Row],[Qtde Cx Produzida]]*1.055,0)</f>
        <v>81.732960000000006</v>
      </c>
      <c r="S771" s="37">
        <f>(Tabela3[[#This Row],[Aluminio Bruto]]-Tabela3[[#This Row],[Aluminio Util]])*0.9</f>
        <v>14.850864000000007</v>
      </c>
      <c r="T771" s="37">
        <f>Tabela3[[#This Row],[Aluminio Bruto]]/OleoKGAluminio</f>
        <v>34.384950592298033</v>
      </c>
      <c r="U771" s="35">
        <f>IFERROR((VLOOKUP(Tabela3[[#This Row],[Moldador]],Tabela1[],5,)+(VLOOKUP(Tabela3[[#This Row],[Ajudante]],Tabela1[],5,))*3.5),0)</f>
        <v>99.95034583333333</v>
      </c>
      <c r="V771" s="35">
        <f>IFERROR(Tabela3[[#This Row],[Custo M.O. / H]]/((Tabela3[[#This Row],[Realizado]]/Tabela3[[#This Row],[Qdt Peça Placa]])/Tabela3[[#This Row],[Tempo]]/24),)</f>
        <v>14.159632326388889</v>
      </c>
      <c r="W771" s="35">
        <f>Tabela3[[#This Row],[Custo / Cx Moldada]]*Tabela3[[#This Row],[Qtde Cx Produzida]]</f>
        <v>509.74676375000001</v>
      </c>
      <c r="X771" s="35">
        <f ca="1">Tabela3[[#This Row],[Aluminio Util]]*Tabela3[[#This Row],[Custo/Kg]]</f>
        <v>1017.6192000000001</v>
      </c>
      <c r="Y771" s="35">
        <f>IFERROR(VLOOKUP(Tabela3[[#This Row],[Data]],Tabela461213[],2,1)*(Tabela3[[#This Row],[Qtde Cx Produzida]]*Tabela3[[#This Row],[Qde macho / CX]]*Tabela3[[#This Row],[Peso Macho]]),)</f>
        <v>0</v>
      </c>
      <c r="Z771" s="35">
        <f>IFERROR(Tabela3[[#This Row],[Qtde Oleo]]*(VLOOKUP(Tabela3[[#This Row],[Data]],CompraOleo[],3,TRUE))*1.05,0)</f>
        <v>90.260495304782339</v>
      </c>
      <c r="AA771" s="47">
        <f ca="1">(Tabela3[[#This Row],[Custo Oleo]]+Tabela3[[#This Row],[Custo Aluminio]]+Tabela3[[#This Row],[Custo M.O. Total]]+Tabela3[[#This Row],[Custo Machos]])</f>
        <v>1617.6264590547826</v>
      </c>
      <c r="AB771" s="47">
        <f ca="1">Tabela3[[#This Row],[Custo Total]]*Tabela3[[#This Row],[% Perda]]</f>
        <v>0</v>
      </c>
      <c r="AC771" s="48">
        <f>IFERROR(VLOOKUP(Tabela3[[#This Row],[Produto]],Tabela2[],2,0),0)</f>
        <v>6</v>
      </c>
      <c r="AD771" s="48">
        <f>IFERROR(VLOOKUP(Tabela3[[#This Row],[Produto]],Tabela2[],3,0),0)</f>
        <v>0.30199999999999999</v>
      </c>
      <c r="AE771" s="48">
        <f>IFERROR(VLOOKUP(Tabela3[[#This Row],[Produto]],Tabela2[],4,0),0)</f>
        <v>2.1520000000000001</v>
      </c>
      <c r="AF771" s="48">
        <f>IFERROR(VLOOKUP(Tabela3[[#This Row],[Produto]],Tabela2[],5,0),0)</f>
        <v>0.30600000000000027</v>
      </c>
      <c r="AG771" s="40">
        <f>IFERROR(VLOOKUP(Tabela3[[#This Row],[Produto]],Tabela2[],6,0),0)</f>
        <v>0</v>
      </c>
      <c r="AH771" s="40">
        <f>IFERROR(VLOOKUP(Tabela3[[#This Row],[Produto]],Tabela2[],7,0),0)</f>
        <v>0</v>
      </c>
      <c r="AI771" s="40">
        <f>IFERROR(VLOOKUP(Tabela3[[#This Row],[Produto]],Tabela2[],8,0),0)</f>
        <v>0</v>
      </c>
      <c r="AJ771" s="35">
        <f ca="1">IFERROR(VLOOKUP(Tabela3[[#This Row],[Produto]],Tabela2[],13,0),0)</f>
        <v>15.600000000000001</v>
      </c>
      <c r="AK771" s="40" t="str">
        <f>IFERROR(VLOOKUP(Tabela3[[#This Row],[Produto]],Tabela2[],14,0),0)</f>
        <v>Senun</v>
      </c>
      <c r="AL771" s="40">
        <f>IFERROR(VLOOKUP(Tabela3[[#This Row],[Produto]],Tabela2[],15,0),0)</f>
        <v>4</v>
      </c>
      <c r="AM771" s="36">
        <f ca="1">(Tabela3[[#This Row],[Custo Usinagem]]+Tabela3[[#This Row],[Custo / Pç]])*1.2</f>
        <v>13.786813661415458</v>
      </c>
      <c r="AN771" s="36">
        <f ca="1">Tabela3[[#This Row],[Valor Mínimo Venda]]*1.15</f>
        <v>15.854835710627775</v>
      </c>
      <c r="AO771" s="36">
        <f ca="1">Tabela3[[#This Row],[Tabela 1]]*1.08</f>
        <v>17.123222567477999</v>
      </c>
      <c r="AP771" s="36">
        <f ca="1">Tabela3[[#This Row],[Tabela 2]]*1.15</f>
        <v>19.691705952599698</v>
      </c>
    </row>
    <row r="772" spans="1:42">
      <c r="A772" s="69">
        <v>45954</v>
      </c>
      <c r="B772" s="6" t="s">
        <v>171</v>
      </c>
      <c r="C772" s="14">
        <v>8213</v>
      </c>
      <c r="D772" s="6" t="s">
        <v>44</v>
      </c>
      <c r="E772" s="6" t="s">
        <v>47</v>
      </c>
      <c r="F772" s="6">
        <v>13</v>
      </c>
      <c r="G772" s="15">
        <v>6.3888888888888884E-2</v>
      </c>
      <c r="H772" s="16">
        <v>0</v>
      </c>
      <c r="I772" s="35">
        <f ca="1">IFERROR(Tabela3[[#This Row],[Custo Total]]/Tabela3[[#This Row],[Aluminio Util]],0)</f>
        <v>21.745077333678655</v>
      </c>
      <c r="J772" s="35">
        <f ca="1">Tabela3[[#This Row],[Custo Total]]/Tabela3[[#This Row],[Realizado]]</f>
        <v>91.329324801450355</v>
      </c>
      <c r="K772" s="37">
        <f>IFERROR(Tabela3[[#This Row],[Qtde Cx Produzida]]/Tabela3[[#This Row],[Tempo]]/24,0)</f>
        <v>8.4782608695652186</v>
      </c>
      <c r="L772" s="37">
        <f>Tabela3[[#This Row],[Qtde Cx Produzida]]*Tabela3[[#This Row],[Qdt Peça Placa]]</f>
        <v>13</v>
      </c>
      <c r="M772" s="37">
        <f>Tabela3[[#This Row],[Previsto]]-Tabela3[[#This Row],[Perda Pçs]]</f>
        <v>13</v>
      </c>
      <c r="N772" s="38">
        <f>IFERROR(Tabela3[[#This Row],[Perda Pçs]]/Tabela3[[#This Row],[Previsto]],0)</f>
        <v>0</v>
      </c>
      <c r="O772" s="39">
        <f>IFERROR(IF(Tabela3[[#This Row],[Qtde Cx Produzida]] &lt;&gt; 0, Tabela3[[#This Row],[Tempo]] / Tabela3[[#This Row],[Qtde Cx Produzida]], 0),0)</f>
        <v>4.9145299145299144E-3</v>
      </c>
      <c r="P772" s="57">
        <f>IFERROR(Tabela3[[#This Row],[Perda Pçs]]/Tabela3[[#This Row],[Qdt Peça Placa]],0)</f>
        <v>0</v>
      </c>
      <c r="Q772" s="37">
        <f>IFERROR(Tabela3[[#This Row],[Realizado]]*Tabela3[[#This Row],[Peso Util/Pç]],0)</f>
        <v>54.6</v>
      </c>
      <c r="R772" s="37">
        <f>IFERROR(Tabela3[[#This Row],[Peso Total Galho]]*Tabela3[[#This Row],[Qtde Cx Produzida]]*1.055,0)</f>
        <v>66.161159999999995</v>
      </c>
      <c r="S772" s="37">
        <f>(Tabela3[[#This Row],[Aluminio Bruto]]-Tabela3[[#This Row],[Aluminio Util]])*0.9</f>
        <v>10.405043999999995</v>
      </c>
      <c r="T772" s="37">
        <f>Tabela3[[#This Row],[Aluminio Bruto]]/OleoKGAluminio</f>
        <v>27.833914466441989</v>
      </c>
      <c r="U772" s="35">
        <f>IFERROR((VLOOKUP(Tabela3[[#This Row],[Moldador]],Tabela1[],5,)+(VLOOKUP(Tabela3[[#This Row],[Ajudante]],Tabela1[],5,))*3.5),0)</f>
        <v>99.95034583333333</v>
      </c>
      <c r="V772" s="35">
        <f>IFERROR(Tabela3[[#This Row],[Custo M.O. / H]]/((Tabela3[[#This Row],[Realizado]]/Tabela3[[#This Row],[Qdt Peça Placa]])/Tabela3[[#This Row],[Tempo]]/24),)</f>
        <v>11.789015149572647</v>
      </c>
      <c r="W772" s="35">
        <f>Tabela3[[#This Row],[Custo / Cx Moldada]]*Tabela3[[#This Row],[Qtde Cx Produzida]]</f>
        <v>153.25719694444442</v>
      </c>
      <c r="X772" s="35">
        <f ca="1">Tabela3[[#This Row],[Aluminio Util]]*Tabela3[[#This Row],[Custo/Kg]]</f>
        <v>960.96000000000015</v>
      </c>
      <c r="Y772" s="35">
        <f>IFERROR(VLOOKUP(Tabela3[[#This Row],[Data]],Tabela461213[],2,1)*(Tabela3[[#This Row],[Qtde Cx Produzida]]*Tabela3[[#This Row],[Qde macho / CX]]*Tabela3[[#This Row],[Peso Macho]]),)</f>
        <v>0</v>
      </c>
      <c r="Z772" s="35">
        <f>IFERROR(Tabela3[[#This Row],[Qtde Oleo]]*(VLOOKUP(Tabela3[[#This Row],[Data]],CompraOleo[],3,TRUE))*1.05,0)</f>
        <v>73.064025474410229</v>
      </c>
      <c r="AA772" s="47">
        <f ca="1">(Tabela3[[#This Row],[Custo Oleo]]+Tabela3[[#This Row],[Custo Aluminio]]+Tabela3[[#This Row],[Custo M.O. Total]]+Tabela3[[#This Row],[Custo Machos]])</f>
        <v>1187.2812224188547</v>
      </c>
      <c r="AB772" s="47">
        <f ca="1">Tabela3[[#This Row],[Custo Total]]*Tabela3[[#This Row],[% Perda]]</f>
        <v>0</v>
      </c>
      <c r="AC772" s="48">
        <f>IFERROR(VLOOKUP(Tabela3[[#This Row],[Produto]],Tabela2[],2,0),0)</f>
        <v>1</v>
      </c>
      <c r="AD772" s="48">
        <f>IFERROR(VLOOKUP(Tabela3[[#This Row],[Produto]],Tabela2[],3,0),0)</f>
        <v>4.2</v>
      </c>
      <c r="AE772" s="48">
        <f>IFERROR(VLOOKUP(Tabela3[[#This Row],[Produto]],Tabela2[],4,0),0)</f>
        <v>4.8239999999999998</v>
      </c>
      <c r="AF772" s="48">
        <f>IFERROR(VLOOKUP(Tabela3[[#This Row],[Produto]],Tabela2[],5,0),0)</f>
        <v>0.56159999999999977</v>
      </c>
      <c r="AG772" s="40">
        <f>IFERROR(VLOOKUP(Tabela3[[#This Row],[Produto]],Tabela2[],6,0),0)</f>
        <v>0</v>
      </c>
      <c r="AH772" s="40">
        <f>IFERROR(VLOOKUP(Tabela3[[#This Row],[Produto]],Tabela2[],7,0),0)</f>
        <v>0</v>
      </c>
      <c r="AI772" s="40">
        <f>IFERROR(VLOOKUP(Tabela3[[#This Row],[Produto]],Tabela2[],8,0),0)</f>
        <v>0</v>
      </c>
      <c r="AJ772" s="35">
        <f ca="1">IFERROR(VLOOKUP(Tabela3[[#This Row],[Produto]],Tabela2[],13,0),0)</f>
        <v>17.600000000000001</v>
      </c>
      <c r="AK772" s="40" t="str">
        <f>IFERROR(VLOOKUP(Tabela3[[#This Row],[Produto]],Tabela2[],14,0),0)</f>
        <v>Oscar</v>
      </c>
      <c r="AL772" s="40">
        <f>IFERROR(VLOOKUP(Tabela3[[#This Row],[Produto]],Tabela2[],15,0),0)</f>
        <v>0</v>
      </c>
      <c r="AM772" s="36">
        <f ca="1">(Tabela3[[#This Row],[Custo Usinagem]]+Tabela3[[#This Row],[Custo / Pç]])*1.2</f>
        <v>109.59518976174043</v>
      </c>
      <c r="AN772" s="36">
        <f ca="1">Tabela3[[#This Row],[Valor Mínimo Venda]]*1.15</f>
        <v>126.03446822600148</v>
      </c>
      <c r="AO772" s="36">
        <f ca="1">Tabela3[[#This Row],[Tabela 1]]*1.08</f>
        <v>136.1172256840816</v>
      </c>
      <c r="AP772" s="36">
        <f ca="1">Tabela3[[#This Row],[Tabela 2]]*1.15</f>
        <v>156.53480953669384</v>
      </c>
    </row>
    <row r="773" spans="1:42">
      <c r="A773" s="9">
        <v>45954</v>
      </c>
      <c r="B773" s="6" t="s">
        <v>147</v>
      </c>
      <c r="C773" s="14">
        <v>8208</v>
      </c>
      <c r="D773" s="6" t="s">
        <v>44</v>
      </c>
      <c r="E773" s="6" t="s">
        <v>47</v>
      </c>
      <c r="F773" s="6">
        <v>20</v>
      </c>
      <c r="G773" s="15">
        <v>9.583333333333334E-2</v>
      </c>
      <c r="H773" s="16">
        <v>0</v>
      </c>
      <c r="I773" s="35">
        <f ca="1">IFERROR(Tabela3[[#This Row],[Custo Total]]/Tabela3[[#This Row],[Aluminio Util]],0)</f>
        <v>23.217531825540163</v>
      </c>
      <c r="J773" s="35">
        <f ca="1">Tabela3[[#This Row],[Custo Total]]/Tabela3[[#This Row],[Realizado]]</f>
        <v>45.970713014569526</v>
      </c>
      <c r="K773" s="37">
        <f>IFERROR(Tabela3[[#This Row],[Qtde Cx Produzida]]/Tabela3[[#This Row],[Tempo]]/24,0)</f>
        <v>8.695652173913043</v>
      </c>
      <c r="L773" s="37">
        <f>Tabela3[[#This Row],[Qtde Cx Produzida]]*Tabela3[[#This Row],[Qdt Peça Placa]]</f>
        <v>20</v>
      </c>
      <c r="M773" s="37">
        <f>Tabela3[[#This Row],[Previsto]]-Tabela3[[#This Row],[Perda Pçs]]</f>
        <v>20</v>
      </c>
      <c r="N773" s="38">
        <f>IFERROR(Tabela3[[#This Row],[Perda Pçs]]/Tabela3[[#This Row],[Previsto]],0)</f>
        <v>0</v>
      </c>
      <c r="O773" s="39">
        <f>IFERROR(IF(Tabela3[[#This Row],[Qtde Cx Produzida]] &lt;&gt; 0, Tabela3[[#This Row],[Tempo]] / Tabela3[[#This Row],[Qtde Cx Produzida]], 0),0)</f>
        <v>4.7916666666666672E-3</v>
      </c>
      <c r="P773" s="57">
        <f>IFERROR(Tabela3[[#This Row],[Perda Pçs]]/Tabela3[[#This Row],[Qdt Peça Placa]],0)</f>
        <v>0</v>
      </c>
      <c r="Q773" s="37">
        <f>IFERROR(Tabela3[[#This Row],[Realizado]]*Tabela3[[#This Row],[Peso Util/Pç]],0)</f>
        <v>39.6</v>
      </c>
      <c r="R773" s="37">
        <f>IFERROR(Tabela3[[#This Row],[Peso Total Galho]]*Tabela3[[#This Row],[Qtde Cx Produzida]]*1.055,0)</f>
        <v>64.988</v>
      </c>
      <c r="S773" s="37">
        <f>(Tabela3[[#This Row],[Aluminio Bruto]]-Tabela3[[#This Row],[Aluminio Util]])*0.9</f>
        <v>22.8492</v>
      </c>
      <c r="T773" s="37">
        <f>Tabela3[[#This Row],[Aluminio Bruto]]/OleoKGAluminio</f>
        <v>27.340367571323299</v>
      </c>
      <c r="U773" s="35">
        <f>IFERROR((VLOOKUP(Tabela3[[#This Row],[Moldador]],Tabela1[],5,)+(VLOOKUP(Tabela3[[#This Row],[Ajudante]],Tabela1[],5,))*3.5),0)</f>
        <v>99.95034583333333</v>
      </c>
      <c r="V773" s="35">
        <f>IFERROR(Tabela3[[#This Row],[Custo M.O. / H]]/((Tabela3[[#This Row],[Realizado]]/Tabela3[[#This Row],[Qdt Peça Placa]])/Tabela3[[#This Row],[Tempo]]/24),)</f>
        <v>11.494289770833333</v>
      </c>
      <c r="W773" s="35">
        <f>Tabela3[[#This Row],[Custo / Cx Moldada]]*Tabela3[[#This Row],[Qtde Cx Produzida]]</f>
        <v>229.88579541666667</v>
      </c>
      <c r="X773" s="35">
        <f ca="1">Tabela3[[#This Row],[Aluminio Util]]*Tabela3[[#This Row],[Custo/Kg]]</f>
        <v>617.7600000000001</v>
      </c>
      <c r="Y773" s="35">
        <f>IFERROR(VLOOKUP(Tabela3[[#This Row],[Data]],Tabela461213[],2,1)*(Tabela3[[#This Row],[Qtde Cx Produzida]]*Tabela3[[#This Row],[Qde macho / CX]]*Tabela3[[#This Row],[Peso Macho]]),)</f>
        <v>0</v>
      </c>
      <c r="Z773" s="35">
        <f>IFERROR(Tabela3[[#This Row],[Qtde Oleo]]*(VLOOKUP(Tabela3[[#This Row],[Data]],CompraOleo[],3,TRUE))*1.05,0)</f>
        <v>71.768464874723662</v>
      </c>
      <c r="AA773" s="47">
        <f ca="1">(Tabela3[[#This Row],[Custo Oleo]]+Tabela3[[#This Row],[Custo Aluminio]]+Tabela3[[#This Row],[Custo M.O. Total]]+Tabela3[[#This Row],[Custo Machos]])</f>
        <v>919.41426029139052</v>
      </c>
      <c r="AB773" s="47">
        <f ca="1">Tabela3[[#This Row],[Custo Total]]*Tabela3[[#This Row],[% Perda]]</f>
        <v>0</v>
      </c>
      <c r="AC773" s="48">
        <f>IFERROR(VLOOKUP(Tabela3[[#This Row],[Produto]],Tabela2[],2,0),0)</f>
        <v>1</v>
      </c>
      <c r="AD773" s="48">
        <f>IFERROR(VLOOKUP(Tabela3[[#This Row],[Produto]],Tabela2[],3,0),0)</f>
        <v>1.98</v>
      </c>
      <c r="AE773" s="48">
        <f>IFERROR(VLOOKUP(Tabela3[[#This Row],[Produto]],Tabela2[],4,0),0)</f>
        <v>3.08</v>
      </c>
      <c r="AF773" s="48">
        <f>IFERROR(VLOOKUP(Tabela3[[#This Row],[Produto]],Tabela2[],5,0),0)</f>
        <v>0.9900000000000001</v>
      </c>
      <c r="AG773" s="40">
        <f>IFERROR(VLOOKUP(Tabela3[[#This Row],[Produto]],Tabela2[],6,0),0)</f>
        <v>0</v>
      </c>
      <c r="AH773" s="40">
        <f>IFERROR(VLOOKUP(Tabela3[[#This Row],[Produto]],Tabela2[],7,0),0)</f>
        <v>0</v>
      </c>
      <c r="AI773" s="40">
        <f>IFERROR(VLOOKUP(Tabela3[[#This Row],[Produto]],Tabela2[],8,0),0)</f>
        <v>0</v>
      </c>
      <c r="AJ773" s="35">
        <f ca="1">IFERROR(VLOOKUP(Tabela3[[#This Row],[Produto]],Tabela2[],13,0),0)</f>
        <v>15.600000000000001</v>
      </c>
      <c r="AK773" s="40" t="str">
        <f>IFERROR(VLOOKUP(Tabela3[[#This Row],[Produto]],Tabela2[],14,0),0)</f>
        <v>Senun</v>
      </c>
      <c r="AL773" s="40">
        <f>IFERROR(VLOOKUP(Tabela3[[#This Row],[Produto]],Tabela2[],15,0),0)</f>
        <v>5</v>
      </c>
      <c r="AM773" s="36">
        <f ca="1">(Tabela3[[#This Row],[Custo Usinagem]]+Tabela3[[#This Row],[Custo / Pç]])*1.2</f>
        <v>61.164855617483425</v>
      </c>
      <c r="AN773" s="36">
        <f ca="1">Tabela3[[#This Row],[Valor Mínimo Venda]]*1.15</f>
        <v>70.339583960105941</v>
      </c>
      <c r="AO773" s="36">
        <f ca="1">Tabela3[[#This Row],[Tabela 1]]*1.08</f>
        <v>75.966750676914415</v>
      </c>
      <c r="AP773" s="36">
        <f ca="1">Tabela3[[#This Row],[Tabela 2]]*1.15</f>
        <v>87.361763278451576</v>
      </c>
    </row>
    <row r="774" spans="1:42">
      <c r="A774" s="9">
        <v>45954</v>
      </c>
      <c r="B774" s="6" t="s">
        <v>152</v>
      </c>
      <c r="C774" s="14">
        <v>8222</v>
      </c>
      <c r="D774" s="6" t="s">
        <v>44</v>
      </c>
      <c r="E774" s="6" t="s">
        <v>47</v>
      </c>
      <c r="F774" s="6">
        <v>25</v>
      </c>
      <c r="G774" s="15">
        <v>0.1125</v>
      </c>
      <c r="H774" s="16">
        <v>0</v>
      </c>
      <c r="I774" s="35">
        <f ca="1">IFERROR(Tabela3[[#This Row],[Custo Total]]/Tabela3[[#This Row],[Aluminio Util]],0)</f>
        <v>25.695986394973119</v>
      </c>
      <c r="J774" s="35">
        <f ca="1">Tabela3[[#This Row],[Custo Total]]/Tabela3[[#This Row],[Realizado]]</f>
        <v>16.702391156732528</v>
      </c>
      <c r="K774" s="37">
        <f>IFERROR(Tabela3[[#This Row],[Qtde Cx Produzida]]/Tabela3[[#This Row],[Tempo]]/24,0)</f>
        <v>9.2592592592592595</v>
      </c>
      <c r="L774" s="37">
        <f>Tabela3[[#This Row],[Qtde Cx Produzida]]*Tabela3[[#This Row],[Qdt Peça Placa]]</f>
        <v>50</v>
      </c>
      <c r="M774" s="37">
        <f>Tabela3[[#This Row],[Previsto]]-Tabela3[[#This Row],[Perda Pçs]]</f>
        <v>50</v>
      </c>
      <c r="N774" s="38">
        <f>IFERROR(Tabela3[[#This Row],[Perda Pçs]]/Tabela3[[#This Row],[Previsto]],0)</f>
        <v>0</v>
      </c>
      <c r="O774" s="39">
        <f>IFERROR(IF(Tabela3[[#This Row],[Qtde Cx Produzida]] &lt;&gt; 0, Tabela3[[#This Row],[Tempo]] / Tabela3[[#This Row],[Qtde Cx Produzida]], 0),0)</f>
        <v>4.5000000000000005E-3</v>
      </c>
      <c r="P774" s="57">
        <f>IFERROR(Tabela3[[#This Row],[Perda Pçs]]/Tabela3[[#This Row],[Qdt Peça Placa]],0)</f>
        <v>0</v>
      </c>
      <c r="Q774" s="37">
        <f>IFERROR(Tabela3[[#This Row],[Realizado]]*Tabela3[[#This Row],[Peso Util/Pç]],0)</f>
        <v>32.5</v>
      </c>
      <c r="R774" s="37">
        <f>IFERROR(Tabela3[[#This Row],[Peso Total Galho]]*Tabela3[[#This Row],[Qtde Cx Produzida]]*1.055,0)</f>
        <v>52.75</v>
      </c>
      <c r="S774" s="37">
        <f>(Tabela3[[#This Row],[Aluminio Bruto]]-Tabela3[[#This Row],[Aluminio Util]])*0.9</f>
        <v>18.225000000000001</v>
      </c>
      <c r="T774" s="37">
        <f>Tabela3[[#This Row],[Aluminio Bruto]]/OleoKGAluminio</f>
        <v>22.191856794905274</v>
      </c>
      <c r="U774" s="35">
        <f>IFERROR((VLOOKUP(Tabela3[[#This Row],[Moldador]],Tabela1[],5,)+(VLOOKUP(Tabela3[[#This Row],[Ajudante]],Tabela1[],5,))*3.5),0)</f>
        <v>99.95034583333333</v>
      </c>
      <c r="V774" s="35">
        <f>IFERROR(Tabela3[[#This Row],[Custo M.O. / H]]/((Tabela3[[#This Row],[Realizado]]/Tabela3[[#This Row],[Qdt Peça Placa]])/Tabela3[[#This Row],[Tempo]]/24),)</f>
        <v>10.794637349999999</v>
      </c>
      <c r="W774" s="35">
        <f>Tabela3[[#This Row],[Custo / Cx Moldada]]*Tabela3[[#This Row],[Qtde Cx Produzida]]</f>
        <v>269.86593374999995</v>
      </c>
      <c r="X774" s="35">
        <f ca="1">Tabela3[[#This Row],[Aluminio Util]]*Tabela3[[#This Row],[Custo/Kg]]</f>
        <v>507.00000000000006</v>
      </c>
      <c r="Y774" s="35">
        <f>IFERROR(VLOOKUP(Tabela3[[#This Row],[Data]],Tabela461213[],2,1)*(Tabela3[[#This Row],[Qtde Cx Produzida]]*Tabela3[[#This Row],[Qde macho / CX]]*Tabela3[[#This Row],[Peso Macho]]),)</f>
        <v>0</v>
      </c>
      <c r="Z774" s="35">
        <f>IFERROR(Tabela3[[#This Row],[Qtde Oleo]]*(VLOOKUP(Tabela3[[#This Row],[Data]],CompraOleo[],3,TRUE))*1.05,0)</f>
        <v>58.253624086626346</v>
      </c>
      <c r="AA774" s="47">
        <f ca="1">(Tabela3[[#This Row],[Custo Oleo]]+Tabela3[[#This Row],[Custo Aluminio]]+Tabela3[[#This Row],[Custo M.O. Total]]+Tabela3[[#This Row],[Custo Machos]])</f>
        <v>835.11955783662631</v>
      </c>
      <c r="AB774" s="47">
        <f ca="1">Tabela3[[#This Row],[Custo Total]]*Tabela3[[#This Row],[% Perda]]</f>
        <v>0</v>
      </c>
      <c r="AC774" s="48">
        <f>IFERROR(VLOOKUP(Tabela3[[#This Row],[Produto]],Tabela2[],2,0),0)</f>
        <v>2</v>
      </c>
      <c r="AD774" s="48">
        <f>IFERROR(VLOOKUP(Tabela3[[#This Row],[Produto]],Tabela2[],3,0),0)</f>
        <v>0.65</v>
      </c>
      <c r="AE774" s="48">
        <f>IFERROR(VLOOKUP(Tabela3[[#This Row],[Produto]],Tabela2[],4,0),0)</f>
        <v>2</v>
      </c>
      <c r="AF774" s="48">
        <f>IFERROR(VLOOKUP(Tabela3[[#This Row],[Produto]],Tabela2[],5,0),0)</f>
        <v>0.63</v>
      </c>
      <c r="AG774" s="40">
        <f>IFERROR(VLOOKUP(Tabela3[[#This Row],[Produto]],Tabela2[],6,0),0)</f>
        <v>0</v>
      </c>
      <c r="AH774" s="40">
        <f>IFERROR(VLOOKUP(Tabela3[[#This Row],[Produto]],Tabela2[],7,0),0)</f>
        <v>0</v>
      </c>
      <c r="AI774" s="40">
        <f>IFERROR(VLOOKUP(Tabela3[[#This Row],[Produto]],Tabela2[],8,0),0)</f>
        <v>0</v>
      </c>
      <c r="AJ774" s="35">
        <f ca="1">IFERROR(VLOOKUP(Tabela3[[#This Row],[Produto]],Tabela2[],13,0),0)</f>
        <v>15.600000000000001</v>
      </c>
      <c r="AK774" s="40" t="str">
        <f>IFERROR(VLOOKUP(Tabela3[[#This Row],[Produto]],Tabela2[],14,0),0)</f>
        <v>Senun</v>
      </c>
      <c r="AL774" s="40">
        <f>IFERROR(VLOOKUP(Tabela3[[#This Row],[Produto]],Tabela2[],15,0),0)</f>
        <v>5</v>
      </c>
      <c r="AM774" s="36">
        <f ca="1">(Tabela3[[#This Row],[Custo Usinagem]]+Tabela3[[#This Row],[Custo / Pç]])*1.2</f>
        <v>26.042869388079033</v>
      </c>
      <c r="AN774" s="36">
        <f ca="1">Tabela3[[#This Row],[Valor Mínimo Venda]]*1.15</f>
        <v>29.949299796290887</v>
      </c>
      <c r="AO774" s="36">
        <f ca="1">Tabela3[[#This Row],[Tabela 1]]*1.08</f>
        <v>32.345243779994163</v>
      </c>
      <c r="AP774" s="36">
        <f ca="1">Tabela3[[#This Row],[Tabela 2]]*1.15</f>
        <v>37.197030346993287</v>
      </c>
    </row>
    <row r="775" spans="1:42">
      <c r="A775" s="9">
        <v>45954</v>
      </c>
      <c r="B775" s="6" t="s">
        <v>241</v>
      </c>
      <c r="C775" s="14">
        <v>8240</v>
      </c>
      <c r="D775" s="6" t="s">
        <v>44</v>
      </c>
      <c r="E775" s="6" t="s">
        <v>47</v>
      </c>
      <c r="F775" s="6">
        <v>6</v>
      </c>
      <c r="G775" s="15">
        <v>5.1388888888888887E-2</v>
      </c>
      <c r="H775" s="16">
        <v>0</v>
      </c>
      <c r="I775" s="35">
        <f ca="1">IFERROR(Tabela3[[#This Row],[Custo Total]]/Tabela3[[#This Row],[Aluminio Util]],0)</f>
        <v>26.045927471972771</v>
      </c>
      <c r="J775" s="35">
        <f ca="1">Tabela3[[#This Row],[Custo Total]]/Tabela3[[#This Row],[Realizado]]</f>
        <v>15.96615354031931</v>
      </c>
      <c r="K775" s="37">
        <f>IFERROR(Tabela3[[#This Row],[Qtde Cx Produzida]]/Tabela3[[#This Row],[Tempo]]/24,0)</f>
        <v>4.8648648648648649</v>
      </c>
      <c r="L775" s="37">
        <f>Tabela3[[#This Row],[Qtde Cx Produzida]]*Tabela3[[#This Row],[Qdt Peça Placa]]</f>
        <v>24</v>
      </c>
      <c r="M775" s="37">
        <f>Tabela3[[#This Row],[Previsto]]-Tabela3[[#This Row],[Perda Pçs]]</f>
        <v>24</v>
      </c>
      <c r="N775" s="38">
        <f>IFERROR(Tabela3[[#This Row],[Perda Pçs]]/Tabela3[[#This Row],[Previsto]],0)</f>
        <v>0</v>
      </c>
      <c r="O775" s="39">
        <f>IFERROR(IF(Tabela3[[#This Row],[Qtde Cx Produzida]] &lt;&gt; 0, Tabela3[[#This Row],[Tempo]] / Tabela3[[#This Row],[Qtde Cx Produzida]], 0),0)</f>
        <v>8.564814814814815E-3</v>
      </c>
      <c r="P775" s="57">
        <f>IFERROR(Tabela3[[#This Row],[Perda Pçs]]/Tabela3[[#This Row],[Qdt Peça Placa]],0)</f>
        <v>0</v>
      </c>
      <c r="Q775" s="37">
        <f>IFERROR(Tabela3[[#This Row],[Realizado]]*Tabela3[[#This Row],[Peso Util/Pç]],0)</f>
        <v>14.712</v>
      </c>
      <c r="R775" s="37">
        <f>IFERROR(Tabela3[[#This Row],[Peso Total Galho]]*Tabela3[[#This Row],[Qtde Cx Produzida]]*1.055,0)</f>
        <v>27.535499999999995</v>
      </c>
      <c r="S775" s="37">
        <f>(Tabela3[[#This Row],[Aluminio Bruto]]-Tabela3[[#This Row],[Aluminio Util]])*0.9</f>
        <v>11.541149999999996</v>
      </c>
      <c r="T775" s="37">
        <f>Tabela3[[#This Row],[Aluminio Bruto]]/OleoKGAluminio</f>
        <v>11.584149246940552</v>
      </c>
      <c r="U775" s="35">
        <f>IFERROR((VLOOKUP(Tabela3[[#This Row],[Moldador]],Tabela1[],5,)+(VLOOKUP(Tabela3[[#This Row],[Ajudante]],Tabela1[],5,))*3.5),0)</f>
        <v>99.95034583333333</v>
      </c>
      <c r="V775" s="35">
        <f>IFERROR(Tabela3[[#This Row],[Custo M.O. / H]]/((Tabela3[[#This Row],[Realizado]]/Tabela3[[#This Row],[Qdt Peça Placa]])/Tabela3[[#This Row],[Tempo]]/24),)</f>
        <v>20.545348865740738</v>
      </c>
      <c r="W775" s="35">
        <f>Tabela3[[#This Row],[Custo / Cx Moldada]]*Tabela3[[#This Row],[Qtde Cx Produzida]]</f>
        <v>123.27209319444444</v>
      </c>
      <c r="X775" s="35">
        <f ca="1">Tabela3[[#This Row],[Aluminio Util]]*Tabela3[[#This Row],[Custo/Kg]]</f>
        <v>229.50720000000001</v>
      </c>
      <c r="Y775" s="35">
        <f>IFERROR(VLOOKUP(Tabela3[[#This Row],[Data]],Tabela461213[],2,1)*(Tabela3[[#This Row],[Qtde Cx Produzida]]*Tabela3[[#This Row],[Qde macho / CX]]*Tabela3[[#This Row],[Peso Macho]]),)</f>
        <v>0</v>
      </c>
      <c r="Z775" s="35">
        <f>IFERROR(Tabela3[[#This Row],[Qtde Oleo]]*(VLOOKUP(Tabela3[[#This Row],[Data]],CompraOleo[],3,TRUE))*1.05,0)</f>
        <v>30.408391773218952</v>
      </c>
      <c r="AA775" s="47">
        <f ca="1">(Tabela3[[#This Row],[Custo Oleo]]+Tabela3[[#This Row],[Custo Aluminio]]+Tabela3[[#This Row],[Custo M.O. Total]]+Tabela3[[#This Row],[Custo Machos]])</f>
        <v>383.18768496766342</v>
      </c>
      <c r="AB775" s="47">
        <f ca="1">Tabela3[[#This Row],[Custo Total]]*Tabela3[[#This Row],[% Perda]]</f>
        <v>0</v>
      </c>
      <c r="AC775" s="48">
        <f>IFERROR(VLOOKUP(Tabela3[[#This Row],[Produto]],Tabela2[],2,0),0)</f>
        <v>4</v>
      </c>
      <c r="AD775" s="48">
        <f>IFERROR(VLOOKUP(Tabela3[[#This Row],[Produto]],Tabela2[],3,0),0)</f>
        <v>0.61299999999999999</v>
      </c>
      <c r="AE775" s="48">
        <f>IFERROR(VLOOKUP(Tabela3[[#This Row],[Produto]],Tabela2[],4,0),0)</f>
        <v>4.3499999999999996</v>
      </c>
      <c r="AF775" s="48">
        <f>IFERROR(VLOOKUP(Tabela3[[#This Row],[Produto]],Tabela2[],5,0),0)</f>
        <v>1.7081999999999997</v>
      </c>
      <c r="AG775" s="40">
        <f>IFERROR(VLOOKUP(Tabela3[[#This Row],[Produto]],Tabela2[],6,0),0)</f>
        <v>0</v>
      </c>
      <c r="AH775" s="40">
        <f>IFERROR(VLOOKUP(Tabela3[[#This Row],[Produto]],Tabela2[],7,0),0)</f>
        <v>0</v>
      </c>
      <c r="AI775" s="40">
        <f>IFERROR(VLOOKUP(Tabela3[[#This Row],[Produto]],Tabela2[],8,0),0)</f>
        <v>0</v>
      </c>
      <c r="AJ775" s="35">
        <f ca="1">IFERROR(VLOOKUP(Tabela3[[#This Row],[Produto]],Tabela2[],13,0),0)</f>
        <v>15.600000000000001</v>
      </c>
      <c r="AK775" s="40" t="str">
        <f>IFERROR(VLOOKUP(Tabela3[[#This Row],[Produto]],Tabela2[],14,0),0)</f>
        <v>Senun</v>
      </c>
      <c r="AL775" s="40">
        <f>IFERROR(VLOOKUP(Tabela3[[#This Row],[Produto]],Tabela2[],15,0),0)</f>
        <v>4</v>
      </c>
      <c r="AM775" s="36">
        <f ca="1">(Tabela3[[#This Row],[Custo Usinagem]]+Tabela3[[#This Row],[Custo / Pç]])*1.2</f>
        <v>23.959384248383174</v>
      </c>
      <c r="AN775" s="36">
        <f ca="1">Tabela3[[#This Row],[Valor Mínimo Venda]]*1.15</f>
        <v>27.553291885640647</v>
      </c>
      <c r="AO775" s="36">
        <f ca="1">Tabela3[[#This Row],[Tabela 1]]*1.08</f>
        <v>29.7575552364919</v>
      </c>
      <c r="AP775" s="36">
        <f ca="1">Tabela3[[#This Row],[Tabela 2]]*1.15</f>
        <v>34.221188521965679</v>
      </c>
    </row>
    <row r="776" spans="1:42">
      <c r="A776" s="9">
        <v>45957</v>
      </c>
      <c r="B776" s="6" t="s">
        <v>236</v>
      </c>
      <c r="C776" s="14">
        <v>8171</v>
      </c>
      <c r="D776" s="6" t="s">
        <v>46</v>
      </c>
      <c r="E776" s="6" t="s">
        <v>326</v>
      </c>
      <c r="F776" s="6">
        <v>35</v>
      </c>
      <c r="G776" s="15">
        <v>0.18194444444444444</v>
      </c>
      <c r="H776" s="16">
        <v>0</v>
      </c>
      <c r="I776" s="35">
        <f ca="1">IFERROR(Tabela3[[#This Row],[Custo Total]]/Tabela3[[#This Row],[Aluminio Util]],0)</f>
        <v>23.86558030268553</v>
      </c>
      <c r="J776" s="35">
        <f ca="1">Tabela3[[#This Row],[Custo Total]]/Tabela3[[#This Row],[Realizado]]</f>
        <v>7.2074052514110285</v>
      </c>
      <c r="K776" s="37">
        <f>IFERROR(Tabela3[[#This Row],[Qtde Cx Produzida]]/Tabela3[[#This Row],[Tempo]]/24,0)</f>
        <v>8.0152671755725198</v>
      </c>
      <c r="L776" s="37">
        <f>Tabela3[[#This Row],[Qtde Cx Produzida]]*Tabela3[[#This Row],[Qdt Peça Placa]]</f>
        <v>210</v>
      </c>
      <c r="M776" s="37">
        <f>Tabela3[[#This Row],[Previsto]]-Tabela3[[#This Row],[Perda Pçs]]</f>
        <v>210</v>
      </c>
      <c r="N776" s="38">
        <f>IFERROR(Tabela3[[#This Row],[Perda Pçs]]/Tabela3[[#This Row],[Previsto]],0)</f>
        <v>0</v>
      </c>
      <c r="O776" s="39">
        <f>IFERROR(IF(Tabela3[[#This Row],[Qtde Cx Produzida]] &lt;&gt; 0, Tabela3[[#This Row],[Tempo]] / Tabela3[[#This Row],[Qtde Cx Produzida]], 0),0)</f>
        <v>5.1984126984126978E-3</v>
      </c>
      <c r="P776" s="57">
        <f>IFERROR(Tabela3[[#This Row],[Perda Pçs]]/Tabela3[[#This Row],[Qdt Peça Placa]],0)</f>
        <v>0</v>
      </c>
      <c r="Q776" s="37">
        <f>IFERROR(Tabela3[[#This Row],[Realizado]]*Tabela3[[#This Row],[Peso Util/Pç]],0)</f>
        <v>63.419999999999995</v>
      </c>
      <c r="R776" s="37">
        <f>IFERROR(Tabela3[[#This Row],[Peso Total Galho]]*Tabela3[[#This Row],[Qtde Cx Produzida]]*1.055,0)</f>
        <v>79.462600000000009</v>
      </c>
      <c r="S776" s="37">
        <f>(Tabela3[[#This Row],[Aluminio Bruto]]-Tabela3[[#This Row],[Aluminio Util]])*0.9</f>
        <v>14.438340000000013</v>
      </c>
      <c r="T776" s="37">
        <f>Tabela3[[#This Row],[Aluminio Bruto]]/OleoKGAluminio</f>
        <v>33.42981307584531</v>
      </c>
      <c r="U776" s="35">
        <f>IFERROR((VLOOKUP(Tabela3[[#This Row],[Moldador]],Tabela1[],5,)+(VLOOKUP(Tabela3[[#This Row],[Ajudante]],Tabela1[],5,))*3.5),0)</f>
        <v>99.95034583333333</v>
      </c>
      <c r="V776" s="35">
        <f>IFERROR(Tabela3[[#This Row],[Custo M.O. / H]]/((Tabela3[[#This Row],[Realizado]]/Tabela3[[#This Row],[Qdt Peça Placa]])/Tabela3[[#This Row],[Tempo]]/24),)</f>
        <v>12.469995527777776</v>
      </c>
      <c r="W776" s="35">
        <f>Tabela3[[#This Row],[Custo / Cx Moldada]]*Tabela3[[#This Row],[Qtde Cx Produzida]]</f>
        <v>436.44984347222214</v>
      </c>
      <c r="X776" s="35">
        <f ca="1">Tabela3[[#This Row],[Aluminio Util]]*Tabela3[[#This Row],[Custo/Kg]]</f>
        <v>989.35199999999998</v>
      </c>
      <c r="Y776" s="35">
        <f>IFERROR(VLOOKUP(Tabela3[[#This Row],[Data]],Tabela461213[],2,1)*(Tabela3[[#This Row],[Qtde Cx Produzida]]*Tabela3[[#This Row],[Qde macho / CX]]*Tabela3[[#This Row],[Peso Macho]]),)</f>
        <v>0</v>
      </c>
      <c r="Z776" s="35">
        <f>IFERROR(Tabela3[[#This Row],[Qtde Oleo]]*(VLOOKUP(Tabela3[[#This Row],[Data]],CompraOleo[],3,TRUE))*1.05,0)</f>
        <v>87.753259324093946</v>
      </c>
      <c r="AA776" s="47">
        <f ca="1">(Tabela3[[#This Row],[Custo Oleo]]+Tabela3[[#This Row],[Custo Aluminio]]+Tabela3[[#This Row],[Custo M.O. Total]]+Tabela3[[#This Row],[Custo Machos]])</f>
        <v>1513.5551027963161</v>
      </c>
      <c r="AB776" s="47">
        <f ca="1">Tabela3[[#This Row],[Custo Total]]*Tabela3[[#This Row],[% Perda]]</f>
        <v>0</v>
      </c>
      <c r="AC776" s="48">
        <f>IFERROR(VLOOKUP(Tabela3[[#This Row],[Produto]],Tabela2[],2,0),0)</f>
        <v>6</v>
      </c>
      <c r="AD776" s="48">
        <f>IFERROR(VLOOKUP(Tabela3[[#This Row],[Produto]],Tabela2[],3,0),0)</f>
        <v>0.30199999999999999</v>
      </c>
      <c r="AE776" s="48">
        <f>IFERROR(VLOOKUP(Tabela3[[#This Row],[Produto]],Tabela2[],4,0),0)</f>
        <v>2.1520000000000001</v>
      </c>
      <c r="AF776" s="48">
        <f>IFERROR(VLOOKUP(Tabela3[[#This Row],[Produto]],Tabela2[],5,0),0)</f>
        <v>0.30600000000000027</v>
      </c>
      <c r="AG776" s="40">
        <f>IFERROR(VLOOKUP(Tabela3[[#This Row],[Produto]],Tabela2[],6,0),0)</f>
        <v>0</v>
      </c>
      <c r="AH776" s="40">
        <f>IFERROR(VLOOKUP(Tabela3[[#This Row],[Produto]],Tabela2[],7,0),0)</f>
        <v>0</v>
      </c>
      <c r="AI776" s="40">
        <f>IFERROR(VLOOKUP(Tabela3[[#This Row],[Produto]],Tabela2[],8,0),0)</f>
        <v>0</v>
      </c>
      <c r="AJ776" s="35">
        <f ca="1">IFERROR(VLOOKUP(Tabela3[[#This Row],[Produto]],Tabela2[],13,0),0)</f>
        <v>15.600000000000001</v>
      </c>
      <c r="AK776" s="40" t="str">
        <f>IFERROR(VLOOKUP(Tabela3[[#This Row],[Produto]],Tabela2[],14,0),0)</f>
        <v>Senun</v>
      </c>
      <c r="AL776" s="40">
        <f>IFERROR(VLOOKUP(Tabela3[[#This Row],[Produto]],Tabela2[],15,0),0)</f>
        <v>4</v>
      </c>
      <c r="AM776" s="36">
        <f ca="1">(Tabela3[[#This Row],[Custo Usinagem]]+Tabela3[[#This Row],[Custo / Pç]])*1.2</f>
        <v>13.448886301693234</v>
      </c>
      <c r="AN776" s="36">
        <f ca="1">Tabela3[[#This Row],[Valor Mínimo Venda]]*1.15</f>
        <v>15.466219246947217</v>
      </c>
      <c r="AO776" s="36">
        <f ca="1">Tabela3[[#This Row],[Tabela 1]]*1.08</f>
        <v>16.703516786702995</v>
      </c>
      <c r="AP776" s="36">
        <f ca="1">Tabela3[[#This Row],[Tabela 2]]*1.15</f>
        <v>19.209044304708442</v>
      </c>
    </row>
    <row r="777" spans="1:42">
      <c r="A777" s="9">
        <v>45957</v>
      </c>
      <c r="B777" s="6" t="s">
        <v>124</v>
      </c>
      <c r="C777" s="14">
        <v>8209</v>
      </c>
      <c r="D777" s="6" t="s">
        <v>46</v>
      </c>
      <c r="E777" s="6" t="s">
        <v>326</v>
      </c>
      <c r="F777" s="6">
        <v>35</v>
      </c>
      <c r="G777" s="15">
        <v>0.1736111111111111</v>
      </c>
      <c r="H777" s="16">
        <v>1</v>
      </c>
      <c r="I777" s="35">
        <f ca="1">IFERROR(Tabela3[[#This Row],[Custo Total]]/Tabela3[[#This Row],[Aluminio Util]],0)</f>
        <v>25.182899867911669</v>
      </c>
      <c r="J777" s="35">
        <f ca="1">Tabela3[[#This Row],[Custo Total]]/Tabela3[[#This Row],[Realizado]]</f>
        <v>42.55910077677072</v>
      </c>
      <c r="K777" s="37">
        <f>IFERROR(Tabela3[[#This Row],[Qtde Cx Produzida]]/Tabela3[[#This Row],[Tempo]]/24,0)</f>
        <v>8.4</v>
      </c>
      <c r="L777" s="37">
        <f>Tabela3[[#This Row],[Qtde Cx Produzida]]*Tabela3[[#This Row],[Qdt Peça Placa]]</f>
        <v>35</v>
      </c>
      <c r="M777" s="37">
        <f>Tabela3[[#This Row],[Previsto]]-Tabela3[[#This Row],[Perda Pçs]]</f>
        <v>34</v>
      </c>
      <c r="N777" s="38">
        <f>IFERROR(Tabela3[[#This Row],[Perda Pçs]]/Tabela3[[#This Row],[Previsto]],0)</f>
        <v>2.8571428571428571E-2</v>
      </c>
      <c r="O777" s="39">
        <f>IFERROR(IF(Tabela3[[#This Row],[Qtde Cx Produzida]] &lt;&gt; 0, Tabela3[[#This Row],[Tempo]] / Tabela3[[#This Row],[Qtde Cx Produzida]], 0),0)</f>
        <v>4.96031746031746E-3</v>
      </c>
      <c r="P777" s="57">
        <f>IFERROR(Tabela3[[#This Row],[Perda Pçs]]/Tabela3[[#This Row],[Qdt Peça Placa]],0)</f>
        <v>1</v>
      </c>
      <c r="Q777" s="37">
        <f>IFERROR(Tabela3[[#This Row],[Realizado]]*Tabela3[[#This Row],[Peso Util/Pç]],0)</f>
        <v>57.46</v>
      </c>
      <c r="R777" s="37">
        <f>IFERROR(Tabela3[[#This Row],[Peso Total Galho]]*Tabela3[[#This Row],[Qtde Cx Produzida]]*1.055,0)</f>
        <v>110.40575</v>
      </c>
      <c r="S777" s="37">
        <f>(Tabela3[[#This Row],[Aluminio Bruto]]-Tabela3[[#This Row],[Aluminio Util]])*0.9</f>
        <v>47.651174999999995</v>
      </c>
      <c r="T777" s="37">
        <f>Tabela3[[#This Row],[Aluminio Bruto]]/OleoKGAluminio</f>
        <v>46.447556271736737</v>
      </c>
      <c r="U777" s="35">
        <f>IFERROR((VLOOKUP(Tabela3[[#This Row],[Moldador]],Tabela1[],5,)+(VLOOKUP(Tabela3[[#This Row],[Ajudante]],Tabela1[],5,))*3.5),0)</f>
        <v>99.95034583333333</v>
      </c>
      <c r="V777" s="35">
        <f>IFERROR(Tabela3[[#This Row],[Custo M.O. / H]]/((Tabela3[[#This Row],[Realizado]]/Tabela3[[#This Row],[Qdt Peça Placa]])/Tabela3[[#This Row],[Tempo]]/24),)</f>
        <v>12.248816891339869</v>
      </c>
      <c r="W777" s="35">
        <f>Tabela3[[#This Row],[Custo / Cx Moldada]]*Tabela3[[#This Row],[Qtde Cx Produzida]]</f>
        <v>428.70859119689544</v>
      </c>
      <c r="X777" s="35">
        <f ca="1">Tabela3[[#This Row],[Aluminio Util]]*Tabela3[[#This Row],[Custo/Kg]]</f>
        <v>896.37600000000009</v>
      </c>
      <c r="Y777" s="35">
        <f>IFERROR(VLOOKUP(Tabela3[[#This Row],[Data]],Tabela461213[],2,1)*(Tabela3[[#This Row],[Qtde Cx Produzida]]*Tabela3[[#This Row],[Qde macho / CX]]*Tabela3[[#This Row],[Peso Macho]]),)</f>
        <v>0</v>
      </c>
      <c r="Z777" s="35">
        <f>IFERROR(Tabela3[[#This Row],[Qtde Oleo]]*(VLOOKUP(Tabela3[[#This Row],[Data]],CompraOleo[],3,TRUE))*1.05,0)</f>
        <v>121.92483521330894</v>
      </c>
      <c r="AA777" s="47">
        <f ca="1">(Tabela3[[#This Row],[Custo Oleo]]+Tabela3[[#This Row],[Custo Aluminio]]+Tabela3[[#This Row],[Custo M.O. Total]]+Tabela3[[#This Row],[Custo Machos]])</f>
        <v>1447.0094264102045</v>
      </c>
      <c r="AB777" s="47">
        <f ca="1">Tabela3[[#This Row],[Custo Total]]*Tabela3[[#This Row],[% Perda]]</f>
        <v>41.343126468862984</v>
      </c>
      <c r="AC777" s="48">
        <f>IFERROR(VLOOKUP(Tabela3[[#This Row],[Produto]],Tabela2[],2,0),0)</f>
        <v>1</v>
      </c>
      <c r="AD777" s="48">
        <f>IFERROR(VLOOKUP(Tabela3[[#This Row],[Produto]],Tabela2[],3,0),0)</f>
        <v>1.69</v>
      </c>
      <c r="AE777" s="48">
        <f>IFERROR(VLOOKUP(Tabela3[[#This Row],[Produto]],Tabela2[],4,0),0)</f>
        <v>2.99</v>
      </c>
      <c r="AF777" s="48">
        <f>IFERROR(VLOOKUP(Tabela3[[#This Row],[Produto]],Tabela2[],5,0),0)</f>
        <v>1.1700000000000004</v>
      </c>
      <c r="AG777" s="40">
        <f>IFERROR(VLOOKUP(Tabela3[[#This Row],[Produto]],Tabela2[],6,0),0)</f>
        <v>0</v>
      </c>
      <c r="AH777" s="40">
        <f>IFERROR(VLOOKUP(Tabela3[[#This Row],[Produto]],Tabela2[],7,0),0)</f>
        <v>0</v>
      </c>
      <c r="AI777" s="40">
        <f>IFERROR(VLOOKUP(Tabela3[[#This Row],[Produto]],Tabela2[],8,0),0)</f>
        <v>0</v>
      </c>
      <c r="AJ777" s="35">
        <f ca="1">IFERROR(VLOOKUP(Tabela3[[#This Row],[Produto]],Tabela2[],13,0),0)</f>
        <v>15.600000000000001</v>
      </c>
      <c r="AK777" s="40" t="str">
        <f>IFERROR(VLOOKUP(Tabela3[[#This Row],[Produto]],Tabela2[],14,0),0)</f>
        <v>Jumil</v>
      </c>
      <c r="AL777" s="40">
        <f>IFERROR(VLOOKUP(Tabela3[[#This Row],[Produto]],Tabela2[],15,0),0)</f>
        <v>8</v>
      </c>
      <c r="AM777" s="36">
        <f ca="1">(Tabela3[[#This Row],[Custo Usinagem]]+Tabela3[[#This Row],[Custo / Pç]])*1.2</f>
        <v>60.670920932124858</v>
      </c>
      <c r="AN777" s="36">
        <f ca="1">Tabela3[[#This Row],[Valor Mínimo Venda]]*1.15</f>
        <v>69.771559071943585</v>
      </c>
      <c r="AO777" s="36">
        <f ca="1">Tabela3[[#This Row],[Tabela 1]]*1.08</f>
        <v>75.353283797699078</v>
      </c>
      <c r="AP777" s="36">
        <f ca="1">Tabela3[[#This Row],[Tabela 2]]*1.15</f>
        <v>86.656276367353939</v>
      </c>
    </row>
    <row r="778" spans="1:42">
      <c r="A778" s="9">
        <v>45957</v>
      </c>
      <c r="B778" s="6" t="s">
        <v>241</v>
      </c>
      <c r="C778" s="14">
        <v>8240</v>
      </c>
      <c r="D778" s="6" t="s">
        <v>44</v>
      </c>
      <c r="E778" s="6" t="s">
        <v>47</v>
      </c>
      <c r="F778" s="6">
        <v>44</v>
      </c>
      <c r="G778" s="15">
        <v>0.30277777777777776</v>
      </c>
      <c r="H778" s="16">
        <v>4</v>
      </c>
      <c r="I778" s="35">
        <f ca="1">IFERROR(Tabela3[[#This Row],[Custo Total]]/Tabela3[[#This Row],[Aluminio Util]],0)</f>
        <v>24.763772838778458</v>
      </c>
      <c r="J778" s="35">
        <f ca="1">Tabela3[[#This Row],[Custo Total]]/Tabela3[[#This Row],[Realizado]]</f>
        <v>15.180192750171193</v>
      </c>
      <c r="K778" s="37">
        <f>IFERROR(Tabela3[[#This Row],[Qtde Cx Produzida]]/Tabela3[[#This Row],[Tempo]]/24,0)</f>
        <v>6.055045871559634</v>
      </c>
      <c r="L778" s="37">
        <f>Tabela3[[#This Row],[Qtde Cx Produzida]]*Tabela3[[#This Row],[Qdt Peça Placa]]</f>
        <v>176</v>
      </c>
      <c r="M778" s="37">
        <f>Tabela3[[#This Row],[Previsto]]-Tabela3[[#This Row],[Perda Pçs]]</f>
        <v>172</v>
      </c>
      <c r="N778" s="38">
        <f>IFERROR(Tabela3[[#This Row],[Perda Pçs]]/Tabela3[[#This Row],[Previsto]],0)</f>
        <v>2.2727272727272728E-2</v>
      </c>
      <c r="O778" s="39">
        <f>IFERROR(IF(Tabela3[[#This Row],[Qtde Cx Produzida]] &lt;&gt; 0, Tabela3[[#This Row],[Tempo]] / Tabela3[[#This Row],[Qtde Cx Produzida]], 0),0)</f>
        <v>6.8813131313131305E-3</v>
      </c>
      <c r="P778" s="57">
        <f>IFERROR(Tabela3[[#This Row],[Perda Pçs]]/Tabela3[[#This Row],[Qdt Peça Placa]],0)</f>
        <v>1</v>
      </c>
      <c r="Q778" s="37">
        <f>IFERROR(Tabela3[[#This Row],[Realizado]]*Tabela3[[#This Row],[Peso Util/Pç]],0)</f>
        <v>105.43599999999999</v>
      </c>
      <c r="R778" s="37">
        <f>IFERROR(Tabela3[[#This Row],[Peso Total Galho]]*Tabela3[[#This Row],[Qtde Cx Produzida]]*1.055,0)</f>
        <v>201.92699999999996</v>
      </c>
      <c r="S778" s="37">
        <f>(Tabela3[[#This Row],[Aluminio Bruto]]-Tabela3[[#This Row],[Aluminio Util]])*0.9</f>
        <v>86.841899999999981</v>
      </c>
      <c r="T778" s="37">
        <f>Tabela3[[#This Row],[Aluminio Bruto]]/OleoKGAluminio</f>
        <v>84.950427810897381</v>
      </c>
      <c r="U778" s="35">
        <f>IFERROR((VLOOKUP(Tabela3[[#This Row],[Moldador]],Tabela1[],5,)+(VLOOKUP(Tabela3[[#This Row],[Ajudante]],Tabela1[],5,))*3.5),0)</f>
        <v>99.95034583333333</v>
      </c>
      <c r="V778" s="35">
        <f>IFERROR(Tabela3[[#This Row],[Custo M.O. / H]]/((Tabela3[[#This Row],[Realizado]]/Tabela3[[#This Row],[Qdt Peça Placa]])/Tabela3[[#This Row],[Tempo]]/24),)</f>
        <v>16.890833636950902</v>
      </c>
      <c r="W778" s="35">
        <f>Tabela3[[#This Row],[Custo / Cx Moldada]]*Tabela3[[#This Row],[Qtde Cx Produzida]]</f>
        <v>743.19668002583967</v>
      </c>
      <c r="X778" s="35">
        <f ca="1">Tabela3[[#This Row],[Aluminio Util]]*Tabela3[[#This Row],[Custo/Kg]]</f>
        <v>1644.8016</v>
      </c>
      <c r="Y778" s="35">
        <f>IFERROR(VLOOKUP(Tabela3[[#This Row],[Data]],Tabela461213[],2,1)*(Tabela3[[#This Row],[Qtde Cx Produzida]]*Tabela3[[#This Row],[Qde macho / CX]]*Tabela3[[#This Row],[Peso Macho]]),)</f>
        <v>0</v>
      </c>
      <c r="Z778" s="35">
        <f>IFERROR(Tabela3[[#This Row],[Qtde Oleo]]*(VLOOKUP(Tabela3[[#This Row],[Data]],CompraOleo[],3,TRUE))*1.05,0)</f>
        <v>222.99487300360565</v>
      </c>
      <c r="AA778" s="47">
        <f ca="1">(Tabela3[[#This Row],[Custo Oleo]]+Tabela3[[#This Row],[Custo Aluminio]]+Tabela3[[#This Row],[Custo M.O. Total]]+Tabela3[[#This Row],[Custo Machos]])</f>
        <v>2610.9931530294452</v>
      </c>
      <c r="AB778" s="47">
        <f ca="1">Tabela3[[#This Row],[Custo Total]]*Tabela3[[#This Row],[% Perda]]</f>
        <v>59.340753477941938</v>
      </c>
      <c r="AC778" s="48">
        <f>IFERROR(VLOOKUP(Tabela3[[#This Row],[Produto]],Tabela2[],2,0),0)</f>
        <v>4</v>
      </c>
      <c r="AD778" s="48">
        <f>IFERROR(VLOOKUP(Tabela3[[#This Row],[Produto]],Tabela2[],3,0),0)</f>
        <v>0.61299999999999999</v>
      </c>
      <c r="AE778" s="48">
        <f>IFERROR(VLOOKUP(Tabela3[[#This Row],[Produto]],Tabela2[],4,0),0)</f>
        <v>4.3499999999999996</v>
      </c>
      <c r="AF778" s="48">
        <f>IFERROR(VLOOKUP(Tabela3[[#This Row],[Produto]],Tabela2[],5,0),0)</f>
        <v>1.7081999999999997</v>
      </c>
      <c r="AG778" s="40">
        <f>IFERROR(VLOOKUP(Tabela3[[#This Row],[Produto]],Tabela2[],6,0),0)</f>
        <v>0</v>
      </c>
      <c r="AH778" s="40">
        <f>IFERROR(VLOOKUP(Tabela3[[#This Row],[Produto]],Tabela2[],7,0),0)</f>
        <v>0</v>
      </c>
      <c r="AI778" s="40">
        <f>IFERROR(VLOOKUP(Tabela3[[#This Row],[Produto]],Tabela2[],8,0),0)</f>
        <v>0</v>
      </c>
      <c r="AJ778" s="35">
        <f ca="1">IFERROR(VLOOKUP(Tabela3[[#This Row],[Produto]],Tabela2[],13,0),0)</f>
        <v>15.600000000000001</v>
      </c>
      <c r="AK778" s="40" t="str">
        <f>IFERROR(VLOOKUP(Tabela3[[#This Row],[Produto]],Tabela2[],14,0),0)</f>
        <v>Senun</v>
      </c>
      <c r="AL778" s="40">
        <f>IFERROR(VLOOKUP(Tabela3[[#This Row],[Produto]],Tabela2[],15,0),0)</f>
        <v>4</v>
      </c>
      <c r="AM778" s="36">
        <f ca="1">(Tabela3[[#This Row],[Custo Usinagem]]+Tabela3[[#This Row],[Custo / Pç]])*1.2</f>
        <v>23.016231300205433</v>
      </c>
      <c r="AN778" s="36">
        <f ca="1">Tabela3[[#This Row],[Valor Mínimo Venda]]*1.15</f>
        <v>26.468665995236247</v>
      </c>
      <c r="AO778" s="36">
        <f ca="1">Tabela3[[#This Row],[Tabela 1]]*1.08</f>
        <v>28.586159274855149</v>
      </c>
      <c r="AP778" s="36">
        <f ca="1">Tabela3[[#This Row],[Tabela 2]]*1.15</f>
        <v>32.874083166083416</v>
      </c>
    </row>
    <row r="779" spans="1:42">
      <c r="A779" s="9">
        <v>45957</v>
      </c>
      <c r="B779" s="6" t="s">
        <v>158</v>
      </c>
      <c r="C779" s="14">
        <v>8263</v>
      </c>
      <c r="D779" s="6" t="s">
        <v>44</v>
      </c>
      <c r="E779" s="6" t="s">
        <v>47</v>
      </c>
      <c r="F779" s="6">
        <v>10</v>
      </c>
      <c r="G779" s="15">
        <v>5.2777777777777778E-2</v>
      </c>
      <c r="H779" s="16">
        <v>0</v>
      </c>
      <c r="I779" s="35">
        <f ca="1">IFERROR(Tabela3[[#This Row],[Custo Total]]/Tabela3[[#This Row],[Aluminio Util]],0)</f>
        <v>20.952806836996174</v>
      </c>
      <c r="J779" s="35">
        <f ca="1">Tabela3[[#This Row],[Custo Total]]/Tabela3[[#This Row],[Realizado]]</f>
        <v>31.429210255494262</v>
      </c>
      <c r="K779" s="37">
        <f>IFERROR(Tabela3[[#This Row],[Qtde Cx Produzida]]/Tabela3[[#This Row],[Tempo]]/24,0)</f>
        <v>7.8947368421052637</v>
      </c>
      <c r="L779" s="37">
        <f>Tabela3[[#This Row],[Qtde Cx Produzida]]*Tabela3[[#This Row],[Qdt Peça Placa]]</f>
        <v>40</v>
      </c>
      <c r="M779" s="37">
        <f>Tabela3[[#This Row],[Previsto]]-Tabela3[[#This Row],[Perda Pçs]]</f>
        <v>40</v>
      </c>
      <c r="N779" s="38">
        <f>IFERROR(Tabela3[[#This Row],[Perda Pçs]]/Tabela3[[#This Row],[Previsto]],0)</f>
        <v>0</v>
      </c>
      <c r="O779" s="39">
        <f>IFERROR(IF(Tabela3[[#This Row],[Qtde Cx Produzida]] &lt;&gt; 0, Tabela3[[#This Row],[Tempo]] / Tabela3[[#This Row],[Qtde Cx Produzida]], 0),0)</f>
        <v>5.2777777777777779E-3</v>
      </c>
      <c r="P779" s="57">
        <f>IFERROR(Tabela3[[#This Row],[Perda Pçs]]/Tabela3[[#This Row],[Qdt Peça Placa]],0)</f>
        <v>0</v>
      </c>
      <c r="Q779" s="37">
        <f>IFERROR(Tabela3[[#This Row],[Realizado]]*Tabela3[[#This Row],[Peso Util/Pç]],0)</f>
        <v>60</v>
      </c>
      <c r="R779" s="37">
        <f>IFERROR(Tabela3[[#This Row],[Peso Total Galho]]*Tabela3[[#This Row],[Qtde Cx Produzida]]*1.055,0)</f>
        <v>67.52</v>
      </c>
      <c r="S779" s="37">
        <f>(Tabela3[[#This Row],[Aluminio Bruto]]-Tabela3[[#This Row],[Aluminio Util]])*0.9</f>
        <v>6.7679999999999962</v>
      </c>
      <c r="T779" s="37">
        <f>Tabela3[[#This Row],[Aluminio Bruto]]/OleoKGAluminio</f>
        <v>28.40557669747875</v>
      </c>
      <c r="U779" s="35">
        <f>IFERROR((VLOOKUP(Tabela3[[#This Row],[Moldador]],Tabela1[],5,)+(VLOOKUP(Tabela3[[#This Row],[Ajudante]],Tabela1[],5,))*3.5),0)</f>
        <v>99.95034583333333</v>
      </c>
      <c r="V779" s="35">
        <f>IFERROR(Tabela3[[#This Row],[Custo M.O. / H]]/((Tabela3[[#This Row],[Realizado]]/Tabela3[[#This Row],[Qdt Peça Placa]])/Tabela3[[#This Row],[Tempo]]/24),)</f>
        <v>12.660377138888888</v>
      </c>
      <c r="W779" s="35">
        <f>Tabela3[[#This Row],[Custo / Cx Moldada]]*Tabela3[[#This Row],[Qtde Cx Produzida]]</f>
        <v>126.60377138888889</v>
      </c>
      <c r="X779" s="35">
        <f ca="1">Tabela3[[#This Row],[Aluminio Util]]*Tabela3[[#This Row],[Custo/Kg]]</f>
        <v>1056</v>
      </c>
      <c r="Y779" s="35">
        <f>IFERROR(VLOOKUP(Tabela3[[#This Row],[Data]],Tabela461213[],2,1)*(Tabela3[[#This Row],[Qtde Cx Produzida]]*Tabela3[[#This Row],[Qde macho / CX]]*Tabela3[[#This Row],[Peso Macho]]),)</f>
        <v>0</v>
      </c>
      <c r="Z779" s="35">
        <f>IFERROR(Tabela3[[#This Row],[Qtde Oleo]]*(VLOOKUP(Tabela3[[#This Row],[Data]],CompraOleo[],3,TRUE))*1.05,0)</f>
        <v>74.564638830881719</v>
      </c>
      <c r="AA779" s="47">
        <f ca="1">(Tabela3[[#This Row],[Custo Oleo]]+Tabela3[[#This Row],[Custo Aluminio]]+Tabela3[[#This Row],[Custo M.O. Total]]+Tabela3[[#This Row],[Custo Machos]])</f>
        <v>1257.1684102197705</v>
      </c>
      <c r="AB779" s="47">
        <f ca="1">Tabela3[[#This Row],[Custo Total]]*Tabela3[[#This Row],[% Perda]]</f>
        <v>0</v>
      </c>
      <c r="AC779" s="48">
        <f>IFERROR(VLOOKUP(Tabela3[[#This Row],[Produto]],Tabela2[],2,0),0)</f>
        <v>4</v>
      </c>
      <c r="AD779" s="48">
        <f>IFERROR(VLOOKUP(Tabela3[[#This Row],[Produto]],Tabela2[],3,0),0)</f>
        <v>1.5</v>
      </c>
      <c r="AE779" s="48">
        <f>IFERROR(VLOOKUP(Tabela3[[#This Row],[Produto]],Tabela2[],4,0),0)</f>
        <v>6.4</v>
      </c>
      <c r="AF779" s="48">
        <f>IFERROR(VLOOKUP(Tabela3[[#This Row],[Produto]],Tabela2[],5,0),0)</f>
        <v>0.36000000000000032</v>
      </c>
      <c r="AG779" s="40">
        <f>IFERROR(VLOOKUP(Tabela3[[#This Row],[Produto]],Tabela2[],6,0),0)</f>
        <v>0</v>
      </c>
      <c r="AH779" s="40">
        <f>IFERROR(VLOOKUP(Tabela3[[#This Row],[Produto]],Tabela2[],7,0),0)</f>
        <v>0</v>
      </c>
      <c r="AI779" s="40">
        <f>IFERROR(VLOOKUP(Tabela3[[#This Row],[Produto]],Tabela2[],8,0),0)</f>
        <v>0</v>
      </c>
      <c r="AJ779" s="35">
        <f ca="1">IFERROR(VLOOKUP(Tabela3[[#This Row],[Produto]],Tabela2[],13,0),0)</f>
        <v>17.600000000000001</v>
      </c>
      <c r="AK779" s="40" t="str">
        <f>IFERROR(VLOOKUP(Tabela3[[#This Row],[Produto]],Tabela2[],14,0),0)</f>
        <v>Danilo</v>
      </c>
      <c r="AL779" s="40">
        <f>IFERROR(VLOOKUP(Tabela3[[#This Row],[Produto]],Tabela2[],15,0),0)</f>
        <v>0</v>
      </c>
      <c r="AM779" s="36">
        <f ca="1">(Tabela3[[#This Row],[Custo Usinagem]]+Tabela3[[#This Row],[Custo / Pç]])*1.2</f>
        <v>37.715052306593115</v>
      </c>
      <c r="AN779" s="36">
        <f ca="1">Tabela3[[#This Row],[Valor Mínimo Venda]]*1.15</f>
        <v>43.372310152582081</v>
      </c>
      <c r="AO779" s="36">
        <f ca="1">Tabela3[[#This Row],[Tabela 1]]*1.08</f>
        <v>46.84209496478865</v>
      </c>
      <c r="AP779" s="36">
        <f ca="1">Tabela3[[#This Row],[Tabela 2]]*1.15</f>
        <v>53.868409209506943</v>
      </c>
    </row>
    <row r="780" spans="1:42">
      <c r="A780" s="9">
        <v>45958</v>
      </c>
      <c r="B780" s="6" t="s">
        <v>124</v>
      </c>
      <c r="C780" s="14">
        <v>8209</v>
      </c>
      <c r="D780" s="6" t="s">
        <v>46</v>
      </c>
      <c r="E780" s="6" t="s">
        <v>326</v>
      </c>
      <c r="F780" s="6">
        <v>65</v>
      </c>
      <c r="G780" s="15">
        <v>0.30277777777777776</v>
      </c>
      <c r="H780" s="16">
        <v>0</v>
      </c>
      <c r="I780" s="35">
        <f ca="1">IFERROR(Tabela3[[#This Row],[Custo Total]]/Tabela3[[#This Row],[Aluminio Util]],0)</f>
        <v>24.273078590929501</v>
      </c>
      <c r="J780" s="35">
        <f ca="1">Tabela3[[#This Row],[Custo Total]]/Tabela3[[#This Row],[Realizado]]</f>
        <v>41.021502818670854</v>
      </c>
      <c r="K780" s="37">
        <f>IFERROR(Tabela3[[#This Row],[Qtde Cx Produzida]]/Tabela3[[#This Row],[Tempo]]/24,0)</f>
        <v>8.9449541284403669</v>
      </c>
      <c r="L780" s="37">
        <f>Tabela3[[#This Row],[Qtde Cx Produzida]]*Tabela3[[#This Row],[Qdt Peça Placa]]</f>
        <v>65</v>
      </c>
      <c r="M780" s="37">
        <f>Tabela3[[#This Row],[Previsto]]-Tabela3[[#This Row],[Perda Pçs]]</f>
        <v>65</v>
      </c>
      <c r="N780" s="38">
        <f>IFERROR(Tabela3[[#This Row],[Perda Pçs]]/Tabela3[[#This Row],[Previsto]],0)</f>
        <v>0</v>
      </c>
      <c r="O780" s="39">
        <f>IFERROR(IF(Tabela3[[#This Row],[Qtde Cx Produzida]] &lt;&gt; 0, Tabela3[[#This Row],[Tempo]] / Tabela3[[#This Row],[Qtde Cx Produzida]], 0),0)</f>
        <v>4.6581196581196582E-3</v>
      </c>
      <c r="P780" s="57">
        <f>IFERROR(Tabela3[[#This Row],[Perda Pçs]]/Tabela3[[#This Row],[Qdt Peça Placa]],0)</f>
        <v>0</v>
      </c>
      <c r="Q780" s="37">
        <f>IFERROR(Tabela3[[#This Row],[Realizado]]*Tabela3[[#This Row],[Peso Util/Pç]],0)</f>
        <v>109.85</v>
      </c>
      <c r="R780" s="37">
        <f>IFERROR(Tabela3[[#This Row],[Peso Total Galho]]*Tabela3[[#This Row],[Qtde Cx Produzida]]*1.055,0)</f>
        <v>205.03925000000001</v>
      </c>
      <c r="S780" s="37">
        <f>(Tabela3[[#This Row],[Aluminio Bruto]]-Tabela3[[#This Row],[Aluminio Util]])*0.9</f>
        <v>85.67032500000002</v>
      </c>
      <c r="T780" s="37">
        <f>Tabela3[[#This Row],[Aluminio Bruto]]/OleoKGAluminio</f>
        <v>86.259747361796812</v>
      </c>
      <c r="U780" s="35">
        <f>IFERROR((VLOOKUP(Tabela3[[#This Row],[Moldador]],Tabela1[],5,)+(VLOOKUP(Tabela3[[#This Row],[Ajudante]],Tabela1[],5,))*3.5),0)</f>
        <v>99.95034583333333</v>
      </c>
      <c r="V780" s="35">
        <f>IFERROR(Tabela3[[#This Row],[Custo M.O. / H]]/((Tabela3[[#This Row],[Realizado]]/Tabela3[[#This Row],[Qdt Peça Placa]])/Tabela3[[#This Row],[Tempo]]/24),)</f>
        <v>11.173936098290598</v>
      </c>
      <c r="W780" s="35">
        <f>Tabela3[[#This Row],[Custo / Cx Moldada]]*Tabela3[[#This Row],[Qtde Cx Produzida]]</f>
        <v>726.30584638888888</v>
      </c>
      <c r="X780" s="35">
        <f ca="1">Tabela3[[#This Row],[Aluminio Util]]*Tabela3[[#This Row],[Custo/Kg]]</f>
        <v>1713.66</v>
      </c>
      <c r="Y780" s="35">
        <f>IFERROR(VLOOKUP(Tabela3[[#This Row],[Data]],Tabela461213[],2,1)*(Tabela3[[#This Row],[Qtde Cx Produzida]]*Tabela3[[#This Row],[Qde macho / CX]]*Tabela3[[#This Row],[Peso Macho]]),)</f>
        <v>0</v>
      </c>
      <c r="Z780" s="35">
        <f>IFERROR(Tabela3[[#This Row],[Qtde Oleo]]*(VLOOKUP(Tabela3[[#This Row],[Data]],CompraOleo[],3,TRUE))*1.05,0)</f>
        <v>226.43183682471664</v>
      </c>
      <c r="AA780" s="47">
        <f ca="1">(Tabela3[[#This Row],[Custo Oleo]]+Tabela3[[#This Row],[Custo Aluminio]]+Tabela3[[#This Row],[Custo M.O. Total]]+Tabela3[[#This Row],[Custo Machos]])</f>
        <v>2666.3976832136054</v>
      </c>
      <c r="AB780" s="47">
        <f ca="1">Tabela3[[#This Row],[Custo Total]]*Tabela3[[#This Row],[% Perda]]</f>
        <v>0</v>
      </c>
      <c r="AC780" s="48">
        <f>IFERROR(VLOOKUP(Tabela3[[#This Row],[Produto]],Tabela2[],2,0),0)</f>
        <v>1</v>
      </c>
      <c r="AD780" s="48">
        <f>IFERROR(VLOOKUP(Tabela3[[#This Row],[Produto]],Tabela2[],3,0),0)</f>
        <v>1.69</v>
      </c>
      <c r="AE780" s="48">
        <f>IFERROR(VLOOKUP(Tabela3[[#This Row],[Produto]],Tabela2[],4,0),0)</f>
        <v>2.99</v>
      </c>
      <c r="AF780" s="48">
        <f>IFERROR(VLOOKUP(Tabela3[[#This Row],[Produto]],Tabela2[],5,0),0)</f>
        <v>1.1700000000000004</v>
      </c>
      <c r="AG780" s="40">
        <f>IFERROR(VLOOKUP(Tabela3[[#This Row],[Produto]],Tabela2[],6,0),0)</f>
        <v>0</v>
      </c>
      <c r="AH780" s="40">
        <f>IFERROR(VLOOKUP(Tabela3[[#This Row],[Produto]],Tabela2[],7,0),0)</f>
        <v>0</v>
      </c>
      <c r="AI780" s="40">
        <f>IFERROR(VLOOKUP(Tabela3[[#This Row],[Produto]],Tabela2[],8,0),0)</f>
        <v>0</v>
      </c>
      <c r="AJ780" s="35">
        <f ca="1">IFERROR(VLOOKUP(Tabela3[[#This Row],[Produto]],Tabela2[],13,0),0)</f>
        <v>15.600000000000001</v>
      </c>
      <c r="AK780" s="40" t="str">
        <f>IFERROR(VLOOKUP(Tabela3[[#This Row],[Produto]],Tabela2[],14,0),0)</f>
        <v>Jumil</v>
      </c>
      <c r="AL780" s="40">
        <f>IFERROR(VLOOKUP(Tabela3[[#This Row],[Produto]],Tabela2[],15,0),0)</f>
        <v>8</v>
      </c>
      <c r="AM780" s="36">
        <f ca="1">(Tabela3[[#This Row],[Custo Usinagem]]+Tabela3[[#This Row],[Custo / Pç]])*1.2</f>
        <v>58.82580338240502</v>
      </c>
      <c r="AN780" s="36">
        <f ca="1">Tabela3[[#This Row],[Valor Mínimo Venda]]*1.15</f>
        <v>67.649673889765765</v>
      </c>
      <c r="AO780" s="36">
        <f ca="1">Tabela3[[#This Row],[Tabela 1]]*1.08</f>
        <v>73.061647800947028</v>
      </c>
      <c r="AP780" s="36">
        <f ca="1">Tabela3[[#This Row],[Tabela 2]]*1.15</f>
        <v>84.020894971089078</v>
      </c>
    </row>
    <row r="781" spans="1:42">
      <c r="A781" s="9">
        <v>45958</v>
      </c>
      <c r="B781" s="6" t="s">
        <v>96</v>
      </c>
      <c r="C781" s="14">
        <v>8260</v>
      </c>
      <c r="D781" s="6" t="s">
        <v>46</v>
      </c>
      <c r="E781" s="6" t="s">
        <v>326</v>
      </c>
      <c r="F781" s="6">
        <v>4</v>
      </c>
      <c r="G781" s="15">
        <v>3.4027777777777775E-2</v>
      </c>
      <c r="H781" s="16">
        <v>0</v>
      </c>
      <c r="I781" s="35">
        <f ca="1">IFERROR(Tabela3[[#This Row],[Custo Total]]/Tabela3[[#This Row],[Aluminio Util]],0)</f>
        <v>33.438743976342849</v>
      </c>
      <c r="J781" s="35">
        <f ca="1">Tabela3[[#This Row],[Custo Total]]/Tabela3[[#This Row],[Realizado]]</f>
        <v>29.559849675087079</v>
      </c>
      <c r="K781" s="37">
        <f>IFERROR(Tabela3[[#This Row],[Qtde Cx Produzida]]/Tabela3[[#This Row],[Tempo]]/24,0)</f>
        <v>4.8979591836734704</v>
      </c>
      <c r="L781" s="37">
        <f>Tabela3[[#This Row],[Qtde Cx Produzida]]*Tabela3[[#This Row],[Qdt Peça Placa]]</f>
        <v>12</v>
      </c>
      <c r="M781" s="37">
        <f>Tabela3[[#This Row],[Previsto]]-Tabela3[[#This Row],[Perda Pçs]]</f>
        <v>12</v>
      </c>
      <c r="N781" s="38">
        <f>IFERROR(Tabela3[[#This Row],[Perda Pçs]]/Tabela3[[#This Row],[Previsto]],0)</f>
        <v>0</v>
      </c>
      <c r="O781" s="39">
        <f>IFERROR(IF(Tabela3[[#This Row],[Qtde Cx Produzida]] &lt;&gt; 0, Tabela3[[#This Row],[Tempo]] / Tabela3[[#This Row],[Qtde Cx Produzida]], 0),0)</f>
        <v>8.5069444444444437E-3</v>
      </c>
      <c r="P781" s="57">
        <f>IFERROR(Tabela3[[#This Row],[Perda Pçs]]/Tabela3[[#This Row],[Qdt Peça Placa]],0)</f>
        <v>0</v>
      </c>
      <c r="Q781" s="37">
        <f>IFERROR(Tabela3[[#This Row],[Realizado]]*Tabela3[[#This Row],[Peso Util/Pç]],0)</f>
        <v>10.608000000000001</v>
      </c>
      <c r="R781" s="37">
        <f>IFERROR(Tabela3[[#This Row],[Peso Total Galho]]*Tabela3[[#This Row],[Qtde Cx Produzida]]*1.055,0)</f>
        <v>19.800239999999999</v>
      </c>
      <c r="S781" s="37">
        <f>(Tabela3[[#This Row],[Aluminio Bruto]]-Tabela3[[#This Row],[Aluminio Util]])*0.9</f>
        <v>8.2730159999999984</v>
      </c>
      <c r="T781" s="37">
        <f>Tabela3[[#This Row],[Aluminio Bruto]]/OleoKGAluminio</f>
        <v>8.3299353665356435</v>
      </c>
      <c r="U781" s="35">
        <f>IFERROR((VLOOKUP(Tabela3[[#This Row],[Moldador]],Tabela1[],5,)+(VLOOKUP(Tabela3[[#This Row],[Ajudante]],Tabela1[],5,))*3.5),0)</f>
        <v>99.95034583333333</v>
      </c>
      <c r="V781" s="35">
        <f>IFERROR(Tabela3[[#This Row],[Custo M.O. / H]]/((Tabela3[[#This Row],[Realizado]]/Tabela3[[#This Row],[Qdt Peça Placa]])/Tabela3[[#This Row],[Tempo]]/24),)</f>
        <v>20.406528940972219</v>
      </c>
      <c r="W781" s="35">
        <f>Tabela3[[#This Row],[Custo / Cx Moldada]]*Tabela3[[#This Row],[Qtde Cx Produzida]]</f>
        <v>81.626115763888876</v>
      </c>
      <c r="X781" s="35">
        <f ca="1">Tabela3[[#This Row],[Aluminio Util]]*Tabela3[[#This Row],[Custo/Kg]]</f>
        <v>165.48480000000004</v>
      </c>
      <c r="Y781" s="35">
        <f>IFERROR(VLOOKUP(Tabela3[[#This Row],[Data]],Tabela461213[],2,1)*(Tabela3[[#This Row],[Qtde Cx Produzida]]*Tabela3[[#This Row],[Qde macho / CX]]*Tabela3[[#This Row],[Peso Macho]]),)</f>
        <v>85.741199999999992</v>
      </c>
      <c r="Z781" s="35">
        <f>IFERROR(Tabela3[[#This Row],[Qtde Oleo]]*(VLOOKUP(Tabela3[[#This Row],[Data]],CompraOleo[],3,TRUE))*1.05,0)</f>
        <v>21.866080337156067</v>
      </c>
      <c r="AA781" s="47">
        <f ca="1">(Tabela3[[#This Row],[Custo Oleo]]+Tabela3[[#This Row],[Custo Aluminio]]+Tabela3[[#This Row],[Custo M.O. Total]]+Tabela3[[#This Row],[Custo Machos]])</f>
        <v>354.71819610104495</v>
      </c>
      <c r="AB781" s="47">
        <f ca="1">Tabela3[[#This Row],[Custo Total]]*Tabela3[[#This Row],[% Perda]]</f>
        <v>0</v>
      </c>
      <c r="AC781" s="48">
        <f>IFERROR(VLOOKUP(Tabela3[[#This Row],[Produto]],Tabela2[],2,0),0)</f>
        <v>3</v>
      </c>
      <c r="AD781" s="48">
        <f>IFERROR(VLOOKUP(Tabela3[[#This Row],[Produto]],Tabela2[],3,0),0)</f>
        <v>0.88400000000000001</v>
      </c>
      <c r="AE781" s="48">
        <f>IFERROR(VLOOKUP(Tabela3[[#This Row],[Produto]],Tabela2[],4,0),0)</f>
        <v>4.6920000000000002</v>
      </c>
      <c r="AF781" s="48">
        <f>IFERROR(VLOOKUP(Tabela3[[#This Row],[Produto]],Tabela2[],5,0),0)</f>
        <v>1.8360000000000001</v>
      </c>
      <c r="AG781" s="40">
        <f>IFERROR(VLOOKUP(Tabela3[[#This Row],[Produto]],Tabela2[],6,0),0)</f>
        <v>0</v>
      </c>
      <c r="AH781" s="40">
        <f>IFERROR(VLOOKUP(Tabela3[[#This Row],[Produto]],Tabela2[],7,0),0)</f>
        <v>9</v>
      </c>
      <c r="AI781" s="40">
        <f>IFERROR(VLOOKUP(Tabela3[[#This Row],[Produto]],Tabela2[],8,0),0)</f>
        <v>1.401</v>
      </c>
      <c r="AJ781" s="35">
        <f ca="1">IFERROR(VLOOKUP(Tabela3[[#This Row],[Produto]],Tabela2[],13,0),0)</f>
        <v>15.600000000000001</v>
      </c>
      <c r="AK781" s="40" t="str">
        <f>IFERROR(VLOOKUP(Tabela3[[#This Row],[Produto]],Tabela2[],14,0),0)</f>
        <v>Jumil</v>
      </c>
      <c r="AL781" s="40">
        <f>IFERROR(VLOOKUP(Tabela3[[#This Row],[Produto]],Tabela2[],15,0),0)</f>
        <v>10</v>
      </c>
      <c r="AM781" s="36">
        <f ca="1">(Tabela3[[#This Row],[Custo Usinagem]]+Tabela3[[#This Row],[Custo / Pç]])*1.2</f>
        <v>47.471819610104497</v>
      </c>
      <c r="AN781" s="36">
        <f ca="1">Tabela3[[#This Row],[Valor Mínimo Venda]]*1.15</f>
        <v>54.592592551620164</v>
      </c>
      <c r="AO781" s="36">
        <f ca="1">Tabela3[[#This Row],[Tabela 1]]*1.08</f>
        <v>58.95999995574978</v>
      </c>
      <c r="AP781" s="36">
        <f ca="1">Tabela3[[#This Row],[Tabela 2]]*1.15</f>
        <v>67.803999949112239</v>
      </c>
    </row>
    <row r="782" spans="1:42">
      <c r="A782" s="9">
        <v>45958</v>
      </c>
      <c r="B782" s="6" t="s">
        <v>158</v>
      </c>
      <c r="C782" s="14">
        <v>8263</v>
      </c>
      <c r="D782" s="6" t="s">
        <v>44</v>
      </c>
      <c r="E782" s="6" t="s">
        <v>47</v>
      </c>
      <c r="F782" s="6">
        <v>12</v>
      </c>
      <c r="G782" s="15">
        <v>0.18611111111111112</v>
      </c>
      <c r="H782" s="16">
        <v>0</v>
      </c>
      <c r="I782" s="35">
        <f ca="1">IFERROR(Tabela3[[#This Row],[Custo Total]]/Tabela3[[#This Row],[Aluminio Util]],0)</f>
        <v>25.043367286841857</v>
      </c>
      <c r="J782" s="35">
        <f ca="1">Tabela3[[#This Row],[Custo Total]]/Tabela3[[#This Row],[Realizado]]</f>
        <v>37.565050930262785</v>
      </c>
      <c r="K782" s="37">
        <f>IFERROR(Tabela3[[#This Row],[Qtde Cx Produzida]]/Tabela3[[#This Row],[Tempo]]/24,0)</f>
        <v>2.6865671641791042</v>
      </c>
      <c r="L782" s="37">
        <f>Tabela3[[#This Row],[Qtde Cx Produzida]]*Tabela3[[#This Row],[Qdt Peça Placa]]</f>
        <v>48</v>
      </c>
      <c r="M782" s="37">
        <f>Tabela3[[#This Row],[Previsto]]-Tabela3[[#This Row],[Perda Pçs]]</f>
        <v>48</v>
      </c>
      <c r="N782" s="38">
        <f>IFERROR(Tabela3[[#This Row],[Perda Pçs]]/Tabela3[[#This Row],[Previsto]],0)</f>
        <v>0</v>
      </c>
      <c r="O782" s="39">
        <f>IFERROR(IF(Tabela3[[#This Row],[Qtde Cx Produzida]] &lt;&gt; 0, Tabela3[[#This Row],[Tempo]] / Tabela3[[#This Row],[Qtde Cx Produzida]], 0),0)</f>
        <v>1.5509259259259259E-2</v>
      </c>
      <c r="P782" s="57">
        <f>IFERROR(Tabela3[[#This Row],[Perda Pçs]]/Tabela3[[#This Row],[Qdt Peça Placa]],0)</f>
        <v>0</v>
      </c>
      <c r="Q782" s="37">
        <f>IFERROR(Tabela3[[#This Row],[Realizado]]*Tabela3[[#This Row],[Peso Util/Pç]],0)</f>
        <v>72</v>
      </c>
      <c r="R782" s="37">
        <f>IFERROR(Tabela3[[#This Row],[Peso Total Galho]]*Tabela3[[#This Row],[Qtde Cx Produzida]]*1.055,0)</f>
        <v>81.024000000000001</v>
      </c>
      <c r="S782" s="37">
        <f>(Tabela3[[#This Row],[Aluminio Bruto]]-Tabela3[[#This Row],[Aluminio Util]])*0.9</f>
        <v>8.1216000000000008</v>
      </c>
      <c r="T782" s="37">
        <f>Tabela3[[#This Row],[Aluminio Bruto]]/OleoKGAluminio</f>
        <v>34.086692036974505</v>
      </c>
      <c r="U782" s="35">
        <f>IFERROR((VLOOKUP(Tabela3[[#This Row],[Moldador]],Tabela1[],5,)+(VLOOKUP(Tabela3[[#This Row],[Ajudante]],Tabela1[],5,))*3.5),0)</f>
        <v>99.95034583333333</v>
      </c>
      <c r="V782" s="35">
        <f>IFERROR(Tabela3[[#This Row],[Custo M.O. / H]]/((Tabela3[[#This Row],[Realizado]]/Tabela3[[#This Row],[Qdt Peça Placa]])/Tabela3[[#This Row],[Tempo]]/24),)</f>
        <v>37.203739837962964</v>
      </c>
      <c r="W782" s="35">
        <f>Tabela3[[#This Row],[Custo / Cx Moldada]]*Tabela3[[#This Row],[Qtde Cx Produzida]]</f>
        <v>446.44487805555559</v>
      </c>
      <c r="X782" s="35">
        <f ca="1">Tabela3[[#This Row],[Aluminio Util]]*Tabela3[[#This Row],[Custo/Kg]]</f>
        <v>1267.2</v>
      </c>
      <c r="Y782" s="35">
        <f>IFERROR(VLOOKUP(Tabela3[[#This Row],[Data]],Tabela461213[],2,1)*(Tabela3[[#This Row],[Qtde Cx Produzida]]*Tabela3[[#This Row],[Qde macho / CX]]*Tabela3[[#This Row],[Peso Macho]]),)</f>
        <v>0</v>
      </c>
      <c r="Z782" s="35">
        <f>IFERROR(Tabela3[[#This Row],[Qtde Oleo]]*(VLOOKUP(Tabela3[[#This Row],[Data]],CompraOleo[],3,TRUE))*1.05,0)</f>
        <v>89.477566597058086</v>
      </c>
      <c r="AA782" s="47">
        <f ca="1">(Tabela3[[#This Row],[Custo Oleo]]+Tabela3[[#This Row],[Custo Aluminio]]+Tabela3[[#This Row],[Custo M.O. Total]]+Tabela3[[#This Row],[Custo Machos]])</f>
        <v>1803.1224446526137</v>
      </c>
      <c r="AB782" s="47">
        <f ca="1">Tabela3[[#This Row],[Custo Total]]*Tabela3[[#This Row],[% Perda]]</f>
        <v>0</v>
      </c>
      <c r="AC782" s="48">
        <f>IFERROR(VLOOKUP(Tabela3[[#This Row],[Produto]],Tabela2[],2,0),0)</f>
        <v>4</v>
      </c>
      <c r="AD782" s="48">
        <f>IFERROR(VLOOKUP(Tabela3[[#This Row],[Produto]],Tabela2[],3,0),0)</f>
        <v>1.5</v>
      </c>
      <c r="AE782" s="48">
        <f>IFERROR(VLOOKUP(Tabela3[[#This Row],[Produto]],Tabela2[],4,0),0)</f>
        <v>6.4</v>
      </c>
      <c r="AF782" s="48">
        <f>IFERROR(VLOOKUP(Tabela3[[#This Row],[Produto]],Tabela2[],5,0),0)</f>
        <v>0.36000000000000032</v>
      </c>
      <c r="AG782" s="40">
        <f>IFERROR(VLOOKUP(Tabela3[[#This Row],[Produto]],Tabela2[],6,0),0)</f>
        <v>0</v>
      </c>
      <c r="AH782" s="40">
        <f>IFERROR(VLOOKUP(Tabela3[[#This Row],[Produto]],Tabela2[],7,0),0)</f>
        <v>0</v>
      </c>
      <c r="AI782" s="40">
        <f>IFERROR(VLOOKUP(Tabela3[[#This Row],[Produto]],Tabela2[],8,0),0)</f>
        <v>0</v>
      </c>
      <c r="AJ782" s="35">
        <f ca="1">IFERROR(VLOOKUP(Tabela3[[#This Row],[Produto]],Tabela2[],13,0),0)</f>
        <v>17.600000000000001</v>
      </c>
      <c r="AK782" s="40" t="str">
        <f>IFERROR(VLOOKUP(Tabela3[[#This Row],[Produto]],Tabela2[],14,0),0)</f>
        <v>Danilo</v>
      </c>
      <c r="AL782" s="40">
        <f>IFERROR(VLOOKUP(Tabela3[[#This Row],[Produto]],Tabela2[],15,0),0)</f>
        <v>0</v>
      </c>
      <c r="AM782" s="36">
        <f ca="1">(Tabela3[[#This Row],[Custo Usinagem]]+Tabela3[[#This Row],[Custo / Pç]])*1.2</f>
        <v>45.07806111631534</v>
      </c>
      <c r="AN782" s="36">
        <f ca="1">Tabela3[[#This Row],[Valor Mínimo Venda]]*1.15</f>
        <v>51.83977028376264</v>
      </c>
      <c r="AO782" s="36">
        <f ca="1">Tabela3[[#This Row],[Tabela 1]]*1.08</f>
        <v>55.986951906463652</v>
      </c>
      <c r="AP782" s="36">
        <f ca="1">Tabela3[[#This Row],[Tabela 2]]*1.15</f>
        <v>64.384994692433196</v>
      </c>
    </row>
    <row r="783" spans="1:42">
      <c r="A783" s="9">
        <v>45958</v>
      </c>
      <c r="B783" s="6" t="s">
        <v>248</v>
      </c>
      <c r="C783" s="14">
        <v>8239</v>
      </c>
      <c r="D783" s="6" t="s">
        <v>44</v>
      </c>
      <c r="E783" s="6" t="s">
        <v>47</v>
      </c>
      <c r="F783" s="6">
        <v>50</v>
      </c>
      <c r="G783" s="15">
        <v>0.1701388888888889</v>
      </c>
      <c r="H783" s="16">
        <v>0</v>
      </c>
      <c r="I783" s="35">
        <f ca="1">IFERROR(Tabela3[[#This Row],[Custo Total]]/Tabela3[[#This Row],[Aluminio Util]],0)</f>
        <v>23.171423382942532</v>
      </c>
      <c r="J783" s="35">
        <f ca="1">Tabela3[[#This Row],[Custo Total]]/Tabela3[[#This Row],[Realizado]]</f>
        <v>8.2953695710934259</v>
      </c>
      <c r="K783" s="37">
        <f>IFERROR(Tabela3[[#This Row],[Qtde Cx Produzida]]/Tabela3[[#This Row],[Tempo]]/24,0)</f>
        <v>12.244897959183673</v>
      </c>
      <c r="L783" s="37">
        <f>Tabela3[[#This Row],[Qtde Cx Produzida]]*Tabela3[[#This Row],[Qdt Peça Placa]]</f>
        <v>200</v>
      </c>
      <c r="M783" s="37">
        <f>Tabela3[[#This Row],[Previsto]]-Tabela3[[#This Row],[Perda Pçs]]</f>
        <v>200</v>
      </c>
      <c r="N783" s="38">
        <f>IFERROR(Tabela3[[#This Row],[Perda Pçs]]/Tabela3[[#This Row],[Previsto]],0)</f>
        <v>0</v>
      </c>
      <c r="O783" s="39">
        <f>IFERROR(IF(Tabela3[[#This Row],[Qtde Cx Produzida]] &lt;&gt; 0, Tabela3[[#This Row],[Tempo]] / Tabela3[[#This Row],[Qtde Cx Produzida]], 0),0)</f>
        <v>3.402777777777778E-3</v>
      </c>
      <c r="P783" s="57">
        <f>IFERROR(Tabela3[[#This Row],[Perda Pçs]]/Tabela3[[#This Row],[Qdt Peça Placa]],0)</f>
        <v>0</v>
      </c>
      <c r="Q783" s="37">
        <f>IFERROR(Tabela3[[#This Row],[Realizado]]*Tabela3[[#This Row],[Peso Util/Pç]],0)</f>
        <v>71.599999999999994</v>
      </c>
      <c r="R783" s="37">
        <f>IFERROR(Tabela3[[#This Row],[Peso Total Galho]]*Tabela3[[#This Row],[Qtde Cx Produzida]]*1.055,0)</f>
        <v>121.32499999999997</v>
      </c>
      <c r="S783" s="37">
        <f>(Tabela3[[#This Row],[Aluminio Bruto]]-Tabela3[[#This Row],[Aluminio Util]])*0.9</f>
        <v>44.752499999999984</v>
      </c>
      <c r="T783" s="37">
        <f>Tabela3[[#This Row],[Aluminio Bruto]]/OleoKGAluminio</f>
        <v>51.04127062828212</v>
      </c>
      <c r="U783" s="35">
        <f>IFERROR((VLOOKUP(Tabela3[[#This Row],[Moldador]],Tabela1[],5,)+(VLOOKUP(Tabela3[[#This Row],[Ajudante]],Tabela1[],5,))*3.5),0)</f>
        <v>99.95034583333333</v>
      </c>
      <c r="V783" s="35">
        <f>IFERROR(Tabela3[[#This Row],[Custo M.O. / H]]/((Tabela3[[#This Row],[Realizado]]/Tabela3[[#This Row],[Qdt Peça Placa]])/Tabela3[[#This Row],[Tempo]]/24),)</f>
        <v>8.1626115763888887</v>
      </c>
      <c r="W783" s="35">
        <f>Tabela3[[#This Row],[Custo / Cx Moldada]]*Tabela3[[#This Row],[Qtde Cx Produzida]]</f>
        <v>408.13057881944445</v>
      </c>
      <c r="X783" s="35">
        <f ca="1">Tabela3[[#This Row],[Aluminio Util]]*Tabela3[[#This Row],[Custo/Kg]]</f>
        <v>1116.96</v>
      </c>
      <c r="Y783" s="35">
        <f>IFERROR(VLOOKUP(Tabela3[[#This Row],[Data]],Tabela461213[],2,1)*(Tabela3[[#This Row],[Qtde Cx Produzida]]*Tabela3[[#This Row],[Qde macho / CX]]*Tabela3[[#This Row],[Peso Macho]]),)</f>
        <v>0</v>
      </c>
      <c r="Z783" s="35">
        <f>IFERROR(Tabela3[[#This Row],[Qtde Oleo]]*(VLOOKUP(Tabela3[[#This Row],[Data]],CompraOleo[],3,TRUE))*1.05,0)</f>
        <v>133.98333539924056</v>
      </c>
      <c r="AA783" s="47">
        <f ca="1">(Tabela3[[#This Row],[Custo Oleo]]+Tabela3[[#This Row],[Custo Aluminio]]+Tabela3[[#This Row],[Custo M.O. Total]]+Tabela3[[#This Row],[Custo Machos]])</f>
        <v>1659.0739142186851</v>
      </c>
      <c r="AB783" s="47">
        <f ca="1">Tabela3[[#This Row],[Custo Total]]*Tabela3[[#This Row],[% Perda]]</f>
        <v>0</v>
      </c>
      <c r="AC783" s="48">
        <f>IFERROR(VLOOKUP(Tabela3[[#This Row],[Produto]],Tabela2[],2,0),0)</f>
        <v>4</v>
      </c>
      <c r="AD783" s="48">
        <f>IFERROR(VLOOKUP(Tabela3[[#This Row],[Produto]],Tabela2[],3,0),0)</f>
        <v>0.35799999999999998</v>
      </c>
      <c r="AE783" s="48">
        <f>IFERROR(VLOOKUP(Tabela3[[#This Row],[Produto]],Tabela2[],4,0),0)</f>
        <v>2.2999999999999998</v>
      </c>
      <c r="AF783" s="48">
        <f>IFERROR(VLOOKUP(Tabela3[[#This Row],[Produto]],Tabela2[],5,0),0)</f>
        <v>0.78119999999999989</v>
      </c>
      <c r="AG783" s="40">
        <f>IFERROR(VLOOKUP(Tabela3[[#This Row],[Produto]],Tabela2[],6,0),0)</f>
        <v>0</v>
      </c>
      <c r="AH783" s="40">
        <f>IFERROR(VLOOKUP(Tabela3[[#This Row],[Produto]],Tabela2[],7,0),0)</f>
        <v>0</v>
      </c>
      <c r="AI783" s="40">
        <f>IFERROR(VLOOKUP(Tabela3[[#This Row],[Produto]],Tabela2[],8,0),0)</f>
        <v>0</v>
      </c>
      <c r="AJ783" s="35">
        <f ca="1">IFERROR(VLOOKUP(Tabela3[[#This Row],[Produto]],Tabela2[],13,0),0)</f>
        <v>15.600000000000001</v>
      </c>
      <c r="AK783" s="40" t="str">
        <f>IFERROR(VLOOKUP(Tabela3[[#This Row],[Produto]],Tabela2[],14,0),0)</f>
        <v>Senun</v>
      </c>
      <c r="AL783" s="40">
        <f>IFERROR(VLOOKUP(Tabela3[[#This Row],[Produto]],Tabela2[],15,0),0)</f>
        <v>4</v>
      </c>
      <c r="AM783" s="36">
        <f ca="1">(Tabela3[[#This Row],[Custo Usinagem]]+Tabela3[[#This Row],[Custo / Pç]])*1.2</f>
        <v>14.754443485312111</v>
      </c>
      <c r="AN783" s="36">
        <f ca="1">Tabela3[[#This Row],[Valor Mínimo Venda]]*1.15</f>
        <v>16.967610008108927</v>
      </c>
      <c r="AO783" s="36">
        <f ca="1">Tabela3[[#This Row],[Tabela 1]]*1.08</f>
        <v>18.325018808757644</v>
      </c>
      <c r="AP783" s="36">
        <f ca="1">Tabela3[[#This Row],[Tabela 2]]*1.15</f>
        <v>21.073771630071288</v>
      </c>
    </row>
    <row r="784" spans="1:42">
      <c r="A784" s="9">
        <v>45959</v>
      </c>
      <c r="B784" s="6" t="s">
        <v>96</v>
      </c>
      <c r="C784" s="14">
        <v>8260</v>
      </c>
      <c r="D784" s="6" t="s">
        <v>46</v>
      </c>
      <c r="E784" s="6" t="s">
        <v>326</v>
      </c>
      <c r="F784" s="6">
        <v>34</v>
      </c>
      <c r="G784" s="15">
        <v>0.20972222222222223</v>
      </c>
      <c r="H784" s="16">
        <v>0</v>
      </c>
      <c r="I784" s="35">
        <f ca="1">IFERROR(Tabela3[[#This Row],[Custo Total]]/Tabela3[[#This Row],[Aluminio Util]],0)</f>
        <v>31.32337514669215</v>
      </c>
      <c r="J784" s="35">
        <f ca="1">Tabela3[[#This Row],[Custo Total]]/Tabela3[[#This Row],[Realizado]]</f>
        <v>27.689863629675862</v>
      </c>
      <c r="K784" s="37">
        <f>IFERROR(Tabela3[[#This Row],[Qtde Cx Produzida]]/Tabela3[[#This Row],[Tempo]]/24,0)</f>
        <v>6.7549668874172184</v>
      </c>
      <c r="L784" s="37">
        <f>Tabela3[[#This Row],[Qtde Cx Produzida]]*Tabela3[[#This Row],[Qdt Peça Placa]]</f>
        <v>102</v>
      </c>
      <c r="M784" s="37">
        <f>Tabela3[[#This Row],[Previsto]]-Tabela3[[#This Row],[Perda Pçs]]</f>
        <v>102</v>
      </c>
      <c r="N784" s="38">
        <f>IFERROR(Tabela3[[#This Row],[Perda Pçs]]/Tabela3[[#This Row],[Previsto]],0)</f>
        <v>0</v>
      </c>
      <c r="O784" s="39">
        <f>IFERROR(IF(Tabela3[[#This Row],[Qtde Cx Produzida]] &lt;&gt; 0, Tabela3[[#This Row],[Tempo]] / Tabela3[[#This Row],[Qtde Cx Produzida]], 0),0)</f>
        <v>6.168300653594771E-3</v>
      </c>
      <c r="P784" s="57">
        <f>IFERROR(Tabela3[[#This Row],[Perda Pçs]]/Tabela3[[#This Row],[Qdt Peça Placa]],0)</f>
        <v>0</v>
      </c>
      <c r="Q784" s="37">
        <f>IFERROR(Tabela3[[#This Row],[Realizado]]*Tabela3[[#This Row],[Peso Util/Pç]],0)</f>
        <v>90.168000000000006</v>
      </c>
      <c r="R784" s="37">
        <f>IFERROR(Tabela3[[#This Row],[Peso Total Galho]]*Tabela3[[#This Row],[Qtde Cx Produzida]]*1.055,0)</f>
        <v>168.30204000000001</v>
      </c>
      <c r="S784" s="37">
        <f>(Tabela3[[#This Row],[Aluminio Bruto]]-Tabela3[[#This Row],[Aluminio Util]])*0.9</f>
        <v>70.320636000000007</v>
      </c>
      <c r="T784" s="37">
        <f>Tabela3[[#This Row],[Aluminio Bruto]]/OleoKGAluminio</f>
        <v>70.80445061555298</v>
      </c>
      <c r="U784" s="35">
        <f>IFERROR((VLOOKUP(Tabela3[[#This Row],[Moldador]],Tabela1[],5,)+(VLOOKUP(Tabela3[[#This Row],[Ajudante]],Tabela1[],5,))*3.5),0)</f>
        <v>99.95034583333333</v>
      </c>
      <c r="V784" s="35">
        <f>IFERROR(Tabela3[[#This Row],[Custo M.O. / H]]/((Tabela3[[#This Row],[Realizado]]/Tabela3[[#This Row],[Qdt Peça Placa]])/Tabela3[[#This Row],[Tempo]]/24),)</f>
        <v>14.796570804738561</v>
      </c>
      <c r="W784" s="35">
        <f>Tabela3[[#This Row],[Custo / Cx Moldada]]*Tabela3[[#This Row],[Qtde Cx Produzida]]</f>
        <v>503.08340736111109</v>
      </c>
      <c r="X784" s="35">
        <f ca="1">Tabela3[[#This Row],[Aluminio Util]]*Tabela3[[#This Row],[Custo/Kg]]</f>
        <v>1406.6208000000001</v>
      </c>
      <c r="Y784" s="35">
        <f>IFERROR(VLOOKUP(Tabela3[[#This Row],[Data]],Tabela461213[],2,1)*(Tabela3[[#This Row],[Qtde Cx Produzida]]*Tabela3[[#This Row],[Qde macho / CX]]*Tabela3[[#This Row],[Peso Macho]]),)</f>
        <v>728.80020000000002</v>
      </c>
      <c r="Z784" s="35">
        <f>IFERROR(Tabela3[[#This Row],[Qtde Oleo]]*(VLOOKUP(Tabela3[[#This Row],[Data]],CompraOleo[],3,TRUE))*1.05,0)</f>
        <v>185.86168286582659</v>
      </c>
      <c r="AA784" s="47">
        <f ca="1">(Tabela3[[#This Row],[Custo Oleo]]+Tabela3[[#This Row],[Custo Aluminio]]+Tabela3[[#This Row],[Custo M.O. Total]]+Tabela3[[#This Row],[Custo Machos]])</f>
        <v>2824.366090226938</v>
      </c>
      <c r="AB784" s="47">
        <f ca="1">Tabela3[[#This Row],[Custo Total]]*Tabela3[[#This Row],[% Perda]]</f>
        <v>0</v>
      </c>
      <c r="AC784" s="48">
        <f>IFERROR(VLOOKUP(Tabela3[[#This Row],[Produto]],Tabela2[],2,0),0)</f>
        <v>3</v>
      </c>
      <c r="AD784" s="48">
        <f>IFERROR(VLOOKUP(Tabela3[[#This Row],[Produto]],Tabela2[],3,0),0)</f>
        <v>0.88400000000000001</v>
      </c>
      <c r="AE784" s="48">
        <f>IFERROR(VLOOKUP(Tabela3[[#This Row],[Produto]],Tabela2[],4,0),0)</f>
        <v>4.6920000000000002</v>
      </c>
      <c r="AF784" s="48">
        <f>IFERROR(VLOOKUP(Tabela3[[#This Row],[Produto]],Tabela2[],5,0),0)</f>
        <v>1.8360000000000001</v>
      </c>
      <c r="AG784" s="40">
        <f>IFERROR(VLOOKUP(Tabela3[[#This Row],[Produto]],Tabela2[],6,0),0)</f>
        <v>0</v>
      </c>
      <c r="AH784" s="40">
        <f>IFERROR(VLOOKUP(Tabela3[[#This Row],[Produto]],Tabela2[],7,0),0)</f>
        <v>9</v>
      </c>
      <c r="AI784" s="40">
        <f>IFERROR(VLOOKUP(Tabela3[[#This Row],[Produto]],Tabela2[],8,0),0)</f>
        <v>1.401</v>
      </c>
      <c r="AJ784" s="35">
        <f ca="1">IFERROR(VLOOKUP(Tabela3[[#This Row],[Produto]],Tabela2[],13,0),0)</f>
        <v>15.600000000000001</v>
      </c>
      <c r="AK784" s="40" t="str">
        <f>IFERROR(VLOOKUP(Tabela3[[#This Row],[Produto]],Tabela2[],14,0),0)</f>
        <v>Jumil</v>
      </c>
      <c r="AL784" s="40">
        <f>IFERROR(VLOOKUP(Tabela3[[#This Row],[Produto]],Tabela2[],15,0),0)</f>
        <v>10</v>
      </c>
      <c r="AM784" s="36">
        <f ca="1">(Tabela3[[#This Row],[Custo Usinagem]]+Tabela3[[#This Row],[Custo / Pç]])*1.2</f>
        <v>45.227836355611032</v>
      </c>
      <c r="AN784" s="36">
        <f ca="1">Tabela3[[#This Row],[Valor Mínimo Venda]]*1.15</f>
        <v>52.012011808952685</v>
      </c>
      <c r="AO784" s="36">
        <f ca="1">Tabela3[[#This Row],[Tabela 1]]*1.08</f>
        <v>56.172972753668901</v>
      </c>
      <c r="AP784" s="36">
        <f ca="1">Tabela3[[#This Row],[Tabela 2]]*1.15</f>
        <v>64.598918666719229</v>
      </c>
    </row>
    <row r="785" spans="1:42">
      <c r="A785" s="9">
        <v>45959</v>
      </c>
      <c r="B785" s="6" t="s">
        <v>229</v>
      </c>
      <c r="C785" s="14">
        <v>8255</v>
      </c>
      <c r="D785" s="6" t="s">
        <v>46</v>
      </c>
      <c r="E785" s="6" t="s">
        <v>326</v>
      </c>
      <c r="F785" s="6">
        <v>23</v>
      </c>
      <c r="G785" s="15">
        <v>0.14652777777777778</v>
      </c>
      <c r="H785" s="16">
        <v>0</v>
      </c>
      <c r="I785" s="35">
        <f ca="1">IFERROR(Tabela3[[#This Row],[Custo Total]]/Tabela3[[#This Row],[Aluminio Util]],0)</f>
        <v>22.606735143711166</v>
      </c>
      <c r="J785" s="35">
        <f ca="1">Tabela3[[#This Row],[Custo Total]]/Tabela3[[#This Row],[Realizado]]</f>
        <v>63.02757758066673</v>
      </c>
      <c r="K785" s="37">
        <f>IFERROR(Tabela3[[#This Row],[Qtde Cx Produzida]]/Tabela3[[#This Row],[Tempo]]/24,0)</f>
        <v>6.540284360189573</v>
      </c>
      <c r="L785" s="37">
        <f>Tabela3[[#This Row],[Qtde Cx Produzida]]*Tabela3[[#This Row],[Qdt Peça Placa]]</f>
        <v>23</v>
      </c>
      <c r="M785" s="37">
        <f>Tabela3[[#This Row],[Previsto]]-Tabela3[[#This Row],[Perda Pçs]]</f>
        <v>23</v>
      </c>
      <c r="N785" s="38">
        <f>IFERROR(Tabela3[[#This Row],[Perda Pçs]]/Tabela3[[#This Row],[Previsto]],0)</f>
        <v>0</v>
      </c>
      <c r="O785" s="39">
        <f>IFERROR(IF(Tabela3[[#This Row],[Qtde Cx Produzida]] &lt;&gt; 0, Tabela3[[#This Row],[Tempo]] / Tabela3[[#This Row],[Qtde Cx Produzida]], 0),0)</f>
        <v>6.3707729468599041E-3</v>
      </c>
      <c r="P785" s="57">
        <f>IFERROR(Tabela3[[#This Row],[Perda Pçs]]/Tabela3[[#This Row],[Qdt Peça Placa]],0)</f>
        <v>0</v>
      </c>
      <c r="Q785" s="37">
        <f>IFERROR(Tabela3[[#This Row],[Realizado]]*Tabela3[[#This Row],[Peso Util/Pç]],0)</f>
        <v>64.123999999999995</v>
      </c>
      <c r="R785" s="37">
        <f>IFERROR(Tabela3[[#This Row],[Peso Total Galho]]*Tabela3[[#This Row],[Qtde Cx Produzida]]*1.055,0)</f>
        <v>88.567250000000001</v>
      </c>
      <c r="S785" s="37">
        <f>(Tabela3[[#This Row],[Aluminio Bruto]]-Tabela3[[#This Row],[Aluminio Util]])*0.9</f>
        <v>21.998925000000007</v>
      </c>
      <c r="T785" s="37">
        <f>Tabela3[[#This Row],[Aluminio Bruto]]/OleoKGAluminio</f>
        <v>37.260127558645955</v>
      </c>
      <c r="U785" s="35">
        <f>IFERROR((VLOOKUP(Tabela3[[#This Row],[Moldador]],Tabela1[],5,)+(VLOOKUP(Tabela3[[#This Row],[Ajudante]],Tabela1[],5,))*3.5),0)</f>
        <v>99.95034583333333</v>
      </c>
      <c r="V785" s="35">
        <f>IFERROR(Tabela3[[#This Row],[Custo M.O. / H]]/((Tabela3[[#This Row],[Realizado]]/Tabela3[[#This Row],[Qdt Peça Placa]])/Tabela3[[#This Row],[Tempo]]/24),)</f>
        <v>15.282263022342995</v>
      </c>
      <c r="W785" s="35">
        <f>Tabela3[[#This Row],[Custo / Cx Moldada]]*Tabela3[[#This Row],[Qtde Cx Produzida]]</f>
        <v>351.4920495138889</v>
      </c>
      <c r="X785" s="35">
        <f ca="1">Tabela3[[#This Row],[Aluminio Util]]*Tabela3[[#This Row],[Custo/Kg]]</f>
        <v>1000.3344000000001</v>
      </c>
      <c r="Y785" s="35">
        <f>IFERROR(VLOOKUP(Tabela3[[#This Row],[Data]],Tabela461213[],2,1)*(Tabela3[[#This Row],[Qtde Cx Produzida]]*Tabela3[[#This Row],[Qde macho / CX]]*Tabela3[[#This Row],[Peso Macho]]),)</f>
        <v>0</v>
      </c>
      <c r="Z785" s="35">
        <f>IFERROR(Tabela3[[#This Row],[Qtde Oleo]]*(VLOOKUP(Tabela3[[#This Row],[Data]],CompraOleo[],3,TRUE))*1.05,0)</f>
        <v>97.80783484144564</v>
      </c>
      <c r="AA785" s="47">
        <f ca="1">(Tabela3[[#This Row],[Custo Oleo]]+Tabela3[[#This Row],[Custo Aluminio]]+Tabela3[[#This Row],[Custo M.O. Total]]+Tabela3[[#This Row],[Custo Machos]])</f>
        <v>1449.6342843553348</v>
      </c>
      <c r="AB785" s="47">
        <f ca="1">Tabela3[[#This Row],[Custo Total]]*Tabela3[[#This Row],[% Perda]]</f>
        <v>0</v>
      </c>
      <c r="AC785" s="48">
        <f>IFERROR(VLOOKUP(Tabela3[[#This Row],[Produto]],Tabela2[],2,0),0)</f>
        <v>1</v>
      </c>
      <c r="AD785" s="48">
        <f>IFERROR(VLOOKUP(Tabela3[[#This Row],[Produto]],Tabela2[],3,0),0)</f>
        <v>2.7879999999999998</v>
      </c>
      <c r="AE785" s="48">
        <f>IFERROR(VLOOKUP(Tabela3[[#This Row],[Produto]],Tabela2[],4,0),0)</f>
        <v>3.65</v>
      </c>
      <c r="AF785" s="48">
        <f>IFERROR(VLOOKUP(Tabela3[[#This Row],[Produto]],Tabela2[],5,0),0)</f>
        <v>0.77580000000000016</v>
      </c>
      <c r="AG785" s="40">
        <f>IFERROR(VLOOKUP(Tabela3[[#This Row],[Produto]],Tabela2[],6,0),0)</f>
        <v>0</v>
      </c>
      <c r="AH785" s="40">
        <f>IFERROR(VLOOKUP(Tabela3[[#This Row],[Produto]],Tabela2[],7,0),0)</f>
        <v>0</v>
      </c>
      <c r="AI785" s="40">
        <f>IFERROR(VLOOKUP(Tabela3[[#This Row],[Produto]],Tabela2[],8,0),0)</f>
        <v>0</v>
      </c>
      <c r="AJ785" s="35">
        <f ca="1">IFERROR(VLOOKUP(Tabela3[[#This Row],[Produto]],Tabela2[],13,0),0)</f>
        <v>15.600000000000001</v>
      </c>
      <c r="AK785" s="40" t="str">
        <f>IFERROR(VLOOKUP(Tabela3[[#This Row],[Produto]],Tabela2[],14,0),0)</f>
        <v>Jumil</v>
      </c>
      <c r="AL785" s="40">
        <f>IFERROR(VLOOKUP(Tabela3[[#This Row],[Produto]],Tabela2[],15,0),0)</f>
        <v>35</v>
      </c>
      <c r="AM785" s="36">
        <f ca="1">(Tabela3[[#This Row],[Custo Usinagem]]+Tabela3[[#This Row],[Custo / Pç]])*1.2</f>
        <v>117.63309309680007</v>
      </c>
      <c r="AN785" s="36">
        <f ca="1">Tabela3[[#This Row],[Valor Mínimo Venda]]*1.15</f>
        <v>135.27805706132006</v>
      </c>
      <c r="AO785" s="36">
        <f ca="1">Tabela3[[#This Row],[Tabela 1]]*1.08</f>
        <v>146.10030162622567</v>
      </c>
      <c r="AP785" s="36">
        <f ca="1">Tabela3[[#This Row],[Tabela 2]]*1.15</f>
        <v>168.0153468701595</v>
      </c>
    </row>
    <row r="786" spans="1:42">
      <c r="A786" s="9">
        <v>45959</v>
      </c>
      <c r="B786" s="6" t="s">
        <v>106</v>
      </c>
      <c r="C786" s="14">
        <v>8252</v>
      </c>
      <c r="D786" s="6" t="s">
        <v>44</v>
      </c>
      <c r="E786" s="6" t="s">
        <v>47</v>
      </c>
      <c r="F786" s="6">
        <v>6</v>
      </c>
      <c r="G786" s="15">
        <v>3.888888888888889E-2</v>
      </c>
      <c r="H786" s="16">
        <v>0</v>
      </c>
      <c r="I786" s="35">
        <f ca="1">IFERROR(Tabela3[[#This Row],[Custo Total]]/Tabela3[[#This Row],[Aluminio Util]],0)</f>
        <v>24.93549040920275</v>
      </c>
      <c r="J786" s="35">
        <f ca="1">Tabela3[[#This Row],[Custo Total]]/Tabela3[[#This Row],[Realizado]]</f>
        <v>19.823714875316188</v>
      </c>
      <c r="K786" s="37">
        <f>IFERROR(Tabela3[[#This Row],[Qtde Cx Produzida]]/Tabela3[[#This Row],[Tempo]]/24,0)</f>
        <v>6.4285714285714279</v>
      </c>
      <c r="L786" s="37">
        <f>Tabela3[[#This Row],[Qtde Cx Produzida]]*Tabela3[[#This Row],[Qdt Peça Placa]]</f>
        <v>24</v>
      </c>
      <c r="M786" s="37">
        <f>Tabela3[[#This Row],[Previsto]]-Tabela3[[#This Row],[Perda Pçs]]</f>
        <v>24</v>
      </c>
      <c r="N786" s="38">
        <f>IFERROR(Tabela3[[#This Row],[Perda Pçs]]/Tabela3[[#This Row],[Previsto]],0)</f>
        <v>0</v>
      </c>
      <c r="O786" s="39">
        <f>IFERROR(IF(Tabela3[[#This Row],[Qtde Cx Produzida]] &lt;&gt; 0, Tabela3[[#This Row],[Tempo]] / Tabela3[[#This Row],[Qtde Cx Produzida]], 0),0)</f>
        <v>6.4814814814814813E-3</v>
      </c>
      <c r="P786" s="57">
        <f>IFERROR(Tabela3[[#This Row],[Perda Pçs]]/Tabela3[[#This Row],[Qdt Peça Placa]],0)</f>
        <v>0</v>
      </c>
      <c r="Q786" s="37">
        <f>IFERROR(Tabela3[[#This Row],[Realizado]]*Tabela3[[#This Row],[Peso Util/Pç]],0)</f>
        <v>19.080000000000002</v>
      </c>
      <c r="R786" s="37">
        <f>IFERROR(Tabela3[[#This Row],[Peso Total Galho]]*Tabela3[[#This Row],[Qtde Cx Produzida]]*1.055,0)</f>
        <v>35.625239999999998</v>
      </c>
      <c r="S786" s="37">
        <f>(Tabela3[[#This Row],[Aluminio Bruto]]-Tabela3[[#This Row],[Aluminio Util]])*0.9</f>
        <v>14.890715999999998</v>
      </c>
      <c r="T786" s="37">
        <f>Tabela3[[#This Row],[Aluminio Bruto]]/OleoKGAluminio</f>
        <v>14.987492405007226</v>
      </c>
      <c r="U786" s="35">
        <f>IFERROR((VLOOKUP(Tabela3[[#This Row],[Moldador]],Tabela1[],5,)+(VLOOKUP(Tabela3[[#This Row],[Ajudante]],Tabela1[],5,))*3.5),0)</f>
        <v>99.95034583333333</v>
      </c>
      <c r="V786" s="35">
        <f>IFERROR(Tabela3[[#This Row],[Custo M.O. / H]]/((Tabela3[[#This Row],[Realizado]]/Tabela3[[#This Row],[Qdt Peça Placa]])/Tabela3[[#This Row],[Tempo]]/24),)</f>
        <v>15.547831574074076</v>
      </c>
      <c r="W786" s="35">
        <f>Tabela3[[#This Row],[Custo / Cx Moldada]]*Tabela3[[#This Row],[Qtde Cx Produzida]]</f>
        <v>93.286989444444458</v>
      </c>
      <c r="X786" s="35">
        <f ca="1">Tabela3[[#This Row],[Aluminio Util]]*Tabela3[[#This Row],[Custo/Kg]]</f>
        <v>297.64800000000008</v>
      </c>
      <c r="Y786" s="35">
        <f>IFERROR(VLOOKUP(Tabela3[[#This Row],[Data]],Tabela461213[],2,1)*(Tabela3[[#This Row],[Qtde Cx Produzida]]*Tabela3[[#This Row],[Qde macho / CX]]*Tabela3[[#This Row],[Peso Macho]]),)</f>
        <v>45.491999999999997</v>
      </c>
      <c r="Z786" s="35">
        <f>IFERROR(Tabela3[[#This Row],[Qtde Oleo]]*(VLOOKUP(Tabela3[[#This Row],[Data]],CompraOleo[],3,TRUE))*1.05,0)</f>
        <v>39.342167563143967</v>
      </c>
      <c r="AA786" s="47">
        <f ca="1">(Tabela3[[#This Row],[Custo Oleo]]+Tabela3[[#This Row],[Custo Aluminio]]+Tabela3[[#This Row],[Custo M.O. Total]]+Tabela3[[#This Row],[Custo Machos]])</f>
        <v>475.76915700758849</v>
      </c>
      <c r="AB786" s="47">
        <f ca="1">Tabela3[[#This Row],[Custo Total]]*Tabela3[[#This Row],[% Perda]]</f>
        <v>0</v>
      </c>
      <c r="AC786" s="48">
        <f>IFERROR(VLOOKUP(Tabela3[[#This Row],[Produto]],Tabela2[],2,0),0)</f>
        <v>4</v>
      </c>
      <c r="AD786" s="48">
        <f>IFERROR(VLOOKUP(Tabela3[[#This Row],[Produto]],Tabela2[],3,0),0)</f>
        <v>0.79500000000000004</v>
      </c>
      <c r="AE786" s="48">
        <f>IFERROR(VLOOKUP(Tabela3[[#This Row],[Produto]],Tabela2[],4,0),0)</f>
        <v>5.6280000000000001</v>
      </c>
      <c r="AF786" s="48">
        <f>IFERROR(VLOOKUP(Tabela3[[#This Row],[Produto]],Tabela2[],5,0),0)</f>
        <v>2.2031999999999998</v>
      </c>
      <c r="AG786" s="40">
        <f>IFERROR(VLOOKUP(Tabela3[[#This Row],[Produto]],Tabela2[],6,0),0)</f>
        <v>0</v>
      </c>
      <c r="AH786" s="40">
        <f>IFERROR(VLOOKUP(Tabela3[[#This Row],[Produto]],Tabela2[],7,0),0)</f>
        <v>4</v>
      </c>
      <c r="AI786" s="40">
        <f>IFERROR(VLOOKUP(Tabela3[[#This Row],[Produto]],Tabela2[],8,0),0)</f>
        <v>1.115</v>
      </c>
      <c r="AJ786" s="35">
        <f ca="1">IFERROR(VLOOKUP(Tabela3[[#This Row],[Produto]],Tabela2[],13,0),0)</f>
        <v>15.600000000000001</v>
      </c>
      <c r="AK786" s="40" t="str">
        <f>IFERROR(VLOOKUP(Tabela3[[#This Row],[Produto]],Tabela2[],14,0),0)</f>
        <v>Jumil</v>
      </c>
      <c r="AL786" s="40">
        <f>IFERROR(VLOOKUP(Tabela3[[#This Row],[Produto]],Tabela2[],15,0),0)</f>
        <v>5</v>
      </c>
      <c r="AM786" s="36">
        <f ca="1">(Tabela3[[#This Row],[Custo Usinagem]]+Tabela3[[#This Row],[Custo / Pç]])*1.2</f>
        <v>29.788457850379423</v>
      </c>
      <c r="AN786" s="36">
        <f ca="1">Tabela3[[#This Row],[Valor Mínimo Venda]]*1.15</f>
        <v>34.256726527936337</v>
      </c>
      <c r="AO786" s="36">
        <f ca="1">Tabela3[[#This Row],[Tabela 1]]*1.08</f>
        <v>36.997264650171246</v>
      </c>
      <c r="AP786" s="36">
        <f ca="1">Tabela3[[#This Row],[Tabela 2]]*1.15</f>
        <v>42.546854347696929</v>
      </c>
    </row>
    <row r="787" spans="1:42">
      <c r="A787" s="69">
        <v>45959</v>
      </c>
      <c r="B787" s="6" t="s">
        <v>171</v>
      </c>
      <c r="C787" s="14">
        <v>8213</v>
      </c>
      <c r="D787" s="6" t="s">
        <v>44</v>
      </c>
      <c r="E787" s="6" t="s">
        <v>47</v>
      </c>
      <c r="F787" s="6">
        <v>7</v>
      </c>
      <c r="G787" s="15">
        <v>0.11597222222222223</v>
      </c>
      <c r="H787" s="16">
        <v>0</v>
      </c>
      <c r="I787" s="35">
        <f ca="1">IFERROR(Tabela3[[#This Row],[Custo Total]]/Tabela3[[#This Row],[Aluminio Util]],0)</f>
        <v>28.400588326505279</v>
      </c>
      <c r="J787" s="35">
        <f ca="1">Tabela3[[#This Row],[Custo Total]]/Tabela3[[#This Row],[Realizado]]</f>
        <v>119.28247097132217</v>
      </c>
      <c r="K787" s="37">
        <f>IFERROR(Tabela3[[#This Row],[Qtde Cx Produzida]]/Tabela3[[#This Row],[Tempo]]/24,0)</f>
        <v>2.5149700598802394</v>
      </c>
      <c r="L787" s="37">
        <f>Tabela3[[#This Row],[Qtde Cx Produzida]]*Tabela3[[#This Row],[Qdt Peça Placa]]</f>
        <v>7</v>
      </c>
      <c r="M787" s="37">
        <f>Tabela3[[#This Row],[Previsto]]-Tabela3[[#This Row],[Perda Pçs]]</f>
        <v>7</v>
      </c>
      <c r="N787" s="38">
        <f>IFERROR(Tabela3[[#This Row],[Perda Pçs]]/Tabela3[[#This Row],[Previsto]],0)</f>
        <v>0</v>
      </c>
      <c r="O787" s="39">
        <f>IFERROR(IF(Tabela3[[#This Row],[Qtde Cx Produzida]] &lt;&gt; 0, Tabela3[[#This Row],[Tempo]] / Tabela3[[#This Row],[Qtde Cx Produzida]], 0),0)</f>
        <v>1.6567460317460318E-2</v>
      </c>
      <c r="P787" s="57">
        <f>IFERROR(Tabela3[[#This Row],[Perda Pçs]]/Tabela3[[#This Row],[Qdt Peça Placa]],0)</f>
        <v>0</v>
      </c>
      <c r="Q787" s="37">
        <f>IFERROR(Tabela3[[#This Row],[Realizado]]*Tabela3[[#This Row],[Peso Util/Pç]],0)</f>
        <v>29.400000000000002</v>
      </c>
      <c r="R787" s="37">
        <f>IFERROR(Tabela3[[#This Row],[Peso Total Galho]]*Tabela3[[#This Row],[Qtde Cx Produzida]]*1.055,0)</f>
        <v>35.625239999999998</v>
      </c>
      <c r="S787" s="37">
        <f>(Tabela3[[#This Row],[Aluminio Bruto]]-Tabela3[[#This Row],[Aluminio Util]])*0.9</f>
        <v>5.6027159999999965</v>
      </c>
      <c r="T787" s="37">
        <f>Tabela3[[#This Row],[Aluminio Bruto]]/OleoKGAluminio</f>
        <v>14.987492405007226</v>
      </c>
      <c r="U787" s="35">
        <f>IFERROR((VLOOKUP(Tabela3[[#This Row],[Moldador]],Tabela1[],5,)+(VLOOKUP(Tabela3[[#This Row],[Ajudante]],Tabela1[],5,))*3.5),0)</f>
        <v>99.95034583333333</v>
      </c>
      <c r="V787" s="35">
        <f>IFERROR(Tabela3[[#This Row],[Custo M.O. / H]]/((Tabela3[[#This Row],[Realizado]]/Tabela3[[#This Row],[Qdt Peça Placa]])/Tabela3[[#This Row],[Tempo]]/24),)</f>
        <v>39.742161319444449</v>
      </c>
      <c r="W787" s="35">
        <f>Tabela3[[#This Row],[Custo / Cx Moldada]]*Tabela3[[#This Row],[Qtde Cx Produzida]]</f>
        <v>278.19512923611114</v>
      </c>
      <c r="X787" s="35">
        <f ca="1">Tabela3[[#This Row],[Aluminio Util]]*Tabela3[[#This Row],[Custo/Kg]]</f>
        <v>517.44000000000005</v>
      </c>
      <c r="Y787" s="35">
        <f>IFERROR(VLOOKUP(Tabela3[[#This Row],[Data]],Tabela461213[],2,1)*(Tabela3[[#This Row],[Qtde Cx Produzida]]*Tabela3[[#This Row],[Qde macho / CX]]*Tabela3[[#This Row],[Peso Macho]]),)</f>
        <v>0</v>
      </c>
      <c r="Z787" s="35">
        <f>IFERROR(Tabela3[[#This Row],[Qtde Oleo]]*(VLOOKUP(Tabela3[[#This Row],[Data]],CompraOleo[],3,TRUE))*1.05,0)</f>
        <v>39.342167563143967</v>
      </c>
      <c r="AA787" s="47">
        <f ca="1">(Tabela3[[#This Row],[Custo Oleo]]+Tabela3[[#This Row],[Custo Aluminio]]+Tabela3[[#This Row],[Custo M.O. Total]]+Tabela3[[#This Row],[Custo Machos]])</f>
        <v>834.97729679925521</v>
      </c>
      <c r="AB787" s="47">
        <f ca="1">Tabela3[[#This Row],[Custo Total]]*Tabela3[[#This Row],[% Perda]]</f>
        <v>0</v>
      </c>
      <c r="AC787" s="48">
        <f>IFERROR(VLOOKUP(Tabela3[[#This Row],[Produto]],Tabela2[],2,0),0)</f>
        <v>1</v>
      </c>
      <c r="AD787" s="48">
        <f>IFERROR(VLOOKUP(Tabela3[[#This Row],[Produto]],Tabela2[],3,0),0)</f>
        <v>4.2</v>
      </c>
      <c r="AE787" s="48">
        <f>IFERROR(VLOOKUP(Tabela3[[#This Row],[Produto]],Tabela2[],4,0),0)</f>
        <v>4.8239999999999998</v>
      </c>
      <c r="AF787" s="48">
        <f>IFERROR(VLOOKUP(Tabela3[[#This Row],[Produto]],Tabela2[],5,0),0)</f>
        <v>0.56159999999999977</v>
      </c>
      <c r="AG787" s="40">
        <f>IFERROR(VLOOKUP(Tabela3[[#This Row],[Produto]],Tabela2[],6,0),0)</f>
        <v>0</v>
      </c>
      <c r="AH787" s="40">
        <f>IFERROR(VLOOKUP(Tabela3[[#This Row],[Produto]],Tabela2[],7,0),0)</f>
        <v>0</v>
      </c>
      <c r="AI787" s="40">
        <f>IFERROR(VLOOKUP(Tabela3[[#This Row],[Produto]],Tabela2[],8,0),0)</f>
        <v>0</v>
      </c>
      <c r="AJ787" s="35">
        <f ca="1">IFERROR(VLOOKUP(Tabela3[[#This Row],[Produto]],Tabela2[],13,0),0)</f>
        <v>17.600000000000001</v>
      </c>
      <c r="AK787" s="40" t="str">
        <f>IFERROR(VLOOKUP(Tabela3[[#This Row],[Produto]],Tabela2[],14,0),0)</f>
        <v>Oscar</v>
      </c>
      <c r="AL787" s="40">
        <f>IFERROR(VLOOKUP(Tabela3[[#This Row],[Produto]],Tabela2[],15,0),0)</f>
        <v>0</v>
      </c>
      <c r="AM787" s="36">
        <f ca="1">(Tabela3[[#This Row],[Custo Usinagem]]+Tabela3[[#This Row],[Custo / Pç]])*1.2</f>
        <v>143.1389651655866</v>
      </c>
      <c r="AN787" s="36">
        <f ca="1">Tabela3[[#This Row],[Valor Mínimo Venda]]*1.15</f>
        <v>164.60980994042458</v>
      </c>
      <c r="AO787" s="36">
        <f ca="1">Tabela3[[#This Row],[Tabela 1]]*1.08</f>
        <v>177.77859473565857</v>
      </c>
      <c r="AP787" s="36">
        <f ca="1">Tabela3[[#This Row],[Tabela 2]]*1.15</f>
        <v>204.44538394600735</v>
      </c>
    </row>
    <row r="788" spans="1:42">
      <c r="A788" s="9">
        <v>45959</v>
      </c>
      <c r="B788" s="6" t="s">
        <v>245</v>
      </c>
      <c r="C788" s="14">
        <v>8277</v>
      </c>
      <c r="D788" s="6" t="s">
        <v>44</v>
      </c>
      <c r="E788" s="6" t="s">
        <v>47</v>
      </c>
      <c r="F788" s="6">
        <v>25</v>
      </c>
      <c r="G788" s="15">
        <v>0.11388888888888889</v>
      </c>
      <c r="H788" s="16">
        <v>0</v>
      </c>
      <c r="I788" s="35">
        <f ca="1">IFERROR(Tabela3[[#This Row],[Custo Total]]/Tabela3[[#This Row],[Aluminio Util]],0)</f>
        <v>25.846665049520023</v>
      </c>
      <c r="J788" s="35">
        <f ca="1">Tabela3[[#This Row],[Custo Total]]/Tabela3[[#This Row],[Realizado]]</f>
        <v>8.5810927964406485</v>
      </c>
      <c r="K788" s="37">
        <f>IFERROR(Tabela3[[#This Row],[Qtde Cx Produzida]]/Tabela3[[#This Row],[Tempo]]/24,0)</f>
        <v>9.1463414634146343</v>
      </c>
      <c r="L788" s="37">
        <f>Tabela3[[#This Row],[Qtde Cx Produzida]]*Tabela3[[#This Row],[Qdt Peça Placa]]</f>
        <v>100</v>
      </c>
      <c r="M788" s="37">
        <f>Tabela3[[#This Row],[Previsto]]-Tabela3[[#This Row],[Perda Pçs]]</f>
        <v>100</v>
      </c>
      <c r="N788" s="38">
        <f>IFERROR(Tabela3[[#This Row],[Perda Pçs]]/Tabela3[[#This Row],[Previsto]],0)</f>
        <v>0</v>
      </c>
      <c r="O788" s="39">
        <f>IFERROR(IF(Tabela3[[#This Row],[Qtde Cx Produzida]] &lt;&gt; 0, Tabela3[[#This Row],[Tempo]] / Tabela3[[#This Row],[Qtde Cx Produzida]], 0),0)</f>
        <v>4.5555555555555557E-3</v>
      </c>
      <c r="P788" s="57">
        <f>IFERROR(Tabela3[[#This Row],[Perda Pçs]]/Tabela3[[#This Row],[Qdt Peça Placa]],0)</f>
        <v>0</v>
      </c>
      <c r="Q788" s="37">
        <f>IFERROR(Tabela3[[#This Row],[Realizado]]*Tabela3[[#This Row],[Peso Util/Pç]],0)</f>
        <v>33.200000000000003</v>
      </c>
      <c r="R788" s="37">
        <f>IFERROR(Tabela3[[#This Row],[Peso Total Galho]]*Tabela3[[#This Row],[Qtde Cx Produzida]]*1.055,0)</f>
        <v>60.662499999999987</v>
      </c>
      <c r="S788" s="37">
        <f>(Tabela3[[#This Row],[Aluminio Bruto]]-Tabela3[[#This Row],[Aluminio Util]])*0.9</f>
        <v>24.716249999999988</v>
      </c>
      <c r="T788" s="37">
        <f>Tabela3[[#This Row],[Aluminio Bruto]]/OleoKGAluminio</f>
        <v>25.52063531414106</v>
      </c>
      <c r="U788" s="35">
        <f>IFERROR((VLOOKUP(Tabela3[[#This Row],[Moldador]],Tabela1[],5,)+(VLOOKUP(Tabela3[[#This Row],[Ajudante]],Tabela1[],5,))*3.5),0)</f>
        <v>99.95034583333333</v>
      </c>
      <c r="V788" s="35">
        <f>IFERROR(Tabela3[[#This Row],[Custo M.O. / H]]/((Tabela3[[#This Row],[Realizado]]/Tabela3[[#This Row],[Qdt Peça Placa]])/Tabela3[[#This Row],[Tempo]]/24),)</f>
        <v>10.927904477777778</v>
      </c>
      <c r="W788" s="35">
        <f>Tabela3[[#This Row],[Custo / Cx Moldada]]*Tabela3[[#This Row],[Qtde Cx Produzida]]</f>
        <v>273.19761194444447</v>
      </c>
      <c r="X788" s="35">
        <f ca="1">Tabela3[[#This Row],[Aluminio Util]]*Tabela3[[#This Row],[Custo/Kg]]</f>
        <v>517.92000000000007</v>
      </c>
      <c r="Y788" s="35">
        <f>IFERROR(VLOOKUP(Tabela3[[#This Row],[Data]],Tabela461213[],2,1)*(Tabela3[[#This Row],[Qtde Cx Produzida]]*Tabela3[[#This Row],[Qde macho / CX]]*Tabela3[[#This Row],[Peso Macho]]),)</f>
        <v>0</v>
      </c>
      <c r="Z788" s="35">
        <f>IFERROR(Tabela3[[#This Row],[Qtde Oleo]]*(VLOOKUP(Tabela3[[#This Row],[Data]],CompraOleo[],3,TRUE))*1.05,0)</f>
        <v>66.99166769962028</v>
      </c>
      <c r="AA788" s="47">
        <f ca="1">(Tabela3[[#This Row],[Custo Oleo]]+Tabela3[[#This Row],[Custo Aluminio]]+Tabela3[[#This Row],[Custo M.O. Total]]+Tabela3[[#This Row],[Custo Machos]])</f>
        <v>858.10927964406483</v>
      </c>
      <c r="AB788" s="47">
        <f ca="1">Tabela3[[#This Row],[Custo Total]]*Tabela3[[#This Row],[% Perda]]</f>
        <v>0</v>
      </c>
      <c r="AC788" s="48">
        <f>IFERROR(VLOOKUP(Tabela3[[#This Row],[Produto]],Tabela2[],2,0),0)</f>
        <v>4</v>
      </c>
      <c r="AD788" s="48">
        <f>IFERROR(VLOOKUP(Tabela3[[#This Row],[Produto]],Tabela2[],3,0),0)</f>
        <v>0.33200000000000002</v>
      </c>
      <c r="AE788" s="48">
        <f>IFERROR(VLOOKUP(Tabela3[[#This Row],[Produto]],Tabela2[],4,0),0)</f>
        <v>2.2999999999999998</v>
      </c>
      <c r="AF788" s="48">
        <f>IFERROR(VLOOKUP(Tabela3[[#This Row],[Produto]],Tabela2[],5,0),0)</f>
        <v>0.8747999999999998</v>
      </c>
      <c r="AG788" s="40">
        <f>IFERROR(VLOOKUP(Tabela3[[#This Row],[Produto]],Tabela2[],6,0),0)</f>
        <v>0</v>
      </c>
      <c r="AH788" s="40">
        <f>IFERROR(VLOOKUP(Tabela3[[#This Row],[Produto]],Tabela2[],7,0),0)</f>
        <v>0</v>
      </c>
      <c r="AI788" s="40">
        <f>IFERROR(VLOOKUP(Tabela3[[#This Row],[Produto]],Tabela2[],8,0),0)</f>
        <v>0</v>
      </c>
      <c r="AJ788" s="35">
        <f ca="1">IFERROR(VLOOKUP(Tabela3[[#This Row],[Produto]],Tabela2[],13,0),0)</f>
        <v>15.600000000000001</v>
      </c>
      <c r="AK788" s="40" t="str">
        <f>IFERROR(VLOOKUP(Tabela3[[#This Row],[Produto]],Tabela2[],14,0),0)</f>
        <v>Senun</v>
      </c>
      <c r="AL788" s="40">
        <f>IFERROR(VLOOKUP(Tabela3[[#This Row],[Produto]],Tabela2[],15,0),0)</f>
        <v>3.5</v>
      </c>
      <c r="AM788" s="36">
        <f ca="1">(Tabela3[[#This Row],[Custo Usinagem]]+Tabela3[[#This Row],[Custo / Pç]])*1.2</f>
        <v>14.497311355728778</v>
      </c>
      <c r="AN788" s="36">
        <f ca="1">Tabela3[[#This Row],[Valor Mínimo Venda]]*1.15</f>
        <v>16.671908059088093</v>
      </c>
      <c r="AO788" s="36">
        <f ca="1">Tabela3[[#This Row],[Tabela 1]]*1.08</f>
        <v>18.005660703815142</v>
      </c>
      <c r="AP788" s="36">
        <f ca="1">Tabela3[[#This Row],[Tabela 2]]*1.15</f>
        <v>20.706509809387413</v>
      </c>
    </row>
    <row r="789" spans="1:42">
      <c r="A789" s="9">
        <v>45960</v>
      </c>
      <c r="B789" s="6" t="s">
        <v>229</v>
      </c>
      <c r="C789" s="14">
        <v>8255</v>
      </c>
      <c r="D789" s="6" t="s">
        <v>46</v>
      </c>
      <c r="E789" s="6" t="s">
        <v>326</v>
      </c>
      <c r="F789" s="6">
        <v>7</v>
      </c>
      <c r="G789" s="15">
        <v>4.9305555555555554E-2</v>
      </c>
      <c r="H789" s="16">
        <v>0</v>
      </c>
      <c r="I789" s="35">
        <f ca="1">IFERROR(Tabela3[[#This Row],[Custo Total]]/Tabela3[[#This Row],[Aluminio Util]],0)</f>
        <v>23.18568240474707</v>
      </c>
      <c r="J789" s="35">
        <f ca="1">Tabela3[[#This Row],[Custo Total]]/Tabela3[[#This Row],[Realizado]]</f>
        <v>64.641682544434829</v>
      </c>
      <c r="K789" s="37">
        <f>IFERROR(Tabela3[[#This Row],[Qtde Cx Produzida]]/Tabela3[[#This Row],[Tempo]]/24,0)</f>
        <v>5.915492957746479</v>
      </c>
      <c r="L789" s="37">
        <f>Tabela3[[#This Row],[Qtde Cx Produzida]]*Tabela3[[#This Row],[Qdt Peça Placa]]</f>
        <v>7</v>
      </c>
      <c r="M789" s="37">
        <f>Tabela3[[#This Row],[Previsto]]-Tabela3[[#This Row],[Perda Pçs]]</f>
        <v>7</v>
      </c>
      <c r="N789" s="38">
        <f>IFERROR(Tabela3[[#This Row],[Perda Pçs]]/Tabela3[[#This Row],[Previsto]],0)</f>
        <v>0</v>
      </c>
      <c r="O789" s="39">
        <f>IFERROR(IF(Tabela3[[#This Row],[Qtde Cx Produzida]] &lt;&gt; 0, Tabela3[[#This Row],[Tempo]] / Tabela3[[#This Row],[Qtde Cx Produzida]], 0),0)</f>
        <v>7.0436507936507938E-3</v>
      </c>
      <c r="P789" s="57">
        <f>IFERROR(Tabela3[[#This Row],[Perda Pçs]]/Tabela3[[#This Row],[Qdt Peça Placa]],0)</f>
        <v>0</v>
      </c>
      <c r="Q789" s="37">
        <f>IFERROR(Tabela3[[#This Row],[Realizado]]*Tabela3[[#This Row],[Peso Util/Pç]],0)</f>
        <v>19.515999999999998</v>
      </c>
      <c r="R789" s="37">
        <f>IFERROR(Tabela3[[#This Row],[Peso Total Galho]]*Tabela3[[#This Row],[Qtde Cx Produzida]]*1.055,0)</f>
        <v>26.955249999999999</v>
      </c>
      <c r="S789" s="37">
        <f>(Tabela3[[#This Row],[Aluminio Bruto]]-Tabela3[[#This Row],[Aluminio Util]])*0.9</f>
        <v>6.6953250000000013</v>
      </c>
      <c r="T789" s="37">
        <f>Tabela3[[#This Row],[Aluminio Bruto]]/OleoKGAluminio</f>
        <v>11.340038822196595</v>
      </c>
      <c r="U789" s="35">
        <f>IFERROR((VLOOKUP(Tabela3[[#This Row],[Moldador]],Tabela1[],5,)+(VLOOKUP(Tabela3[[#This Row],[Ajudante]],Tabela1[],5,))*3.5),0)</f>
        <v>99.95034583333333</v>
      </c>
      <c r="V789" s="35">
        <f>IFERROR(Tabela3[[#This Row],[Custo M.O. / H]]/((Tabela3[[#This Row],[Realizado]]/Tabela3[[#This Row],[Qdt Peça Placa]])/Tabela3[[#This Row],[Tempo]]/24),)</f>
        <v>16.896367986111109</v>
      </c>
      <c r="W789" s="35">
        <f>Tabela3[[#This Row],[Custo / Cx Moldada]]*Tabela3[[#This Row],[Qtde Cx Produzida]]</f>
        <v>118.27457590277777</v>
      </c>
      <c r="X789" s="35">
        <f ca="1">Tabela3[[#This Row],[Aluminio Util]]*Tabela3[[#This Row],[Custo/Kg]]</f>
        <v>304.44959999999998</v>
      </c>
      <c r="Y789" s="35">
        <f>IFERROR(VLOOKUP(Tabela3[[#This Row],[Data]],Tabela461213[],2,1)*(Tabela3[[#This Row],[Qtde Cx Produzida]]*Tabela3[[#This Row],[Qde macho / CX]]*Tabela3[[#This Row],[Peso Macho]]),)</f>
        <v>0</v>
      </c>
      <c r="Z789" s="35">
        <f>IFERROR(Tabela3[[#This Row],[Qtde Oleo]]*(VLOOKUP(Tabela3[[#This Row],[Data]],CompraOleo[],3,TRUE))*1.05,0)</f>
        <v>29.767601908266066</v>
      </c>
      <c r="AA789" s="47">
        <f ca="1">(Tabela3[[#This Row],[Custo Oleo]]+Tabela3[[#This Row],[Custo Aluminio]]+Tabela3[[#This Row],[Custo M.O. Total]]+Tabela3[[#This Row],[Custo Machos]])</f>
        <v>452.49177781104379</v>
      </c>
      <c r="AB789" s="47">
        <f ca="1">Tabela3[[#This Row],[Custo Total]]*Tabela3[[#This Row],[% Perda]]</f>
        <v>0</v>
      </c>
      <c r="AC789" s="48">
        <f>IFERROR(VLOOKUP(Tabela3[[#This Row],[Produto]],Tabela2[],2,0),0)</f>
        <v>1</v>
      </c>
      <c r="AD789" s="48">
        <f>IFERROR(VLOOKUP(Tabela3[[#This Row],[Produto]],Tabela2[],3,0),0)</f>
        <v>2.7879999999999998</v>
      </c>
      <c r="AE789" s="48">
        <f>IFERROR(VLOOKUP(Tabela3[[#This Row],[Produto]],Tabela2[],4,0),0)</f>
        <v>3.65</v>
      </c>
      <c r="AF789" s="48">
        <f>IFERROR(VLOOKUP(Tabela3[[#This Row],[Produto]],Tabela2[],5,0),0)</f>
        <v>0.77580000000000016</v>
      </c>
      <c r="AG789" s="40">
        <f>IFERROR(VLOOKUP(Tabela3[[#This Row],[Produto]],Tabela2[],6,0),0)</f>
        <v>0</v>
      </c>
      <c r="AH789" s="40">
        <f>IFERROR(VLOOKUP(Tabela3[[#This Row],[Produto]],Tabela2[],7,0),0)</f>
        <v>0</v>
      </c>
      <c r="AI789" s="40">
        <f>IFERROR(VLOOKUP(Tabela3[[#This Row],[Produto]],Tabela2[],8,0),0)</f>
        <v>0</v>
      </c>
      <c r="AJ789" s="35">
        <f ca="1">IFERROR(VLOOKUP(Tabela3[[#This Row],[Produto]],Tabela2[],13,0),0)</f>
        <v>15.600000000000001</v>
      </c>
      <c r="AK789" s="40" t="str">
        <f>IFERROR(VLOOKUP(Tabela3[[#This Row],[Produto]],Tabela2[],14,0),0)</f>
        <v>Jumil</v>
      </c>
      <c r="AL789" s="40">
        <f>IFERROR(VLOOKUP(Tabela3[[#This Row],[Produto]],Tabela2[],15,0),0)</f>
        <v>35</v>
      </c>
      <c r="AM789" s="36">
        <f ca="1">(Tabela3[[#This Row],[Custo Usinagem]]+Tabela3[[#This Row],[Custo / Pç]])*1.2</f>
        <v>119.57001905332179</v>
      </c>
      <c r="AN789" s="36">
        <f ca="1">Tabela3[[#This Row],[Valor Mínimo Venda]]*1.15</f>
        <v>137.50552191132005</v>
      </c>
      <c r="AO789" s="36">
        <f ca="1">Tabela3[[#This Row],[Tabela 1]]*1.08</f>
        <v>148.50596366422565</v>
      </c>
      <c r="AP789" s="36">
        <f ca="1">Tabela3[[#This Row],[Tabela 2]]*1.15</f>
        <v>170.78185821385949</v>
      </c>
    </row>
    <row r="790" spans="1:42">
      <c r="A790" s="9">
        <v>45960</v>
      </c>
      <c r="B790" s="6" t="s">
        <v>257</v>
      </c>
      <c r="C790" s="14">
        <v>8278</v>
      </c>
      <c r="D790" s="6" t="s">
        <v>46</v>
      </c>
      <c r="E790" s="6" t="s">
        <v>326</v>
      </c>
      <c r="F790" s="6">
        <v>38</v>
      </c>
      <c r="G790" s="15">
        <v>0.19375000000000001</v>
      </c>
      <c r="H790" s="16">
        <v>0</v>
      </c>
      <c r="I790" s="35">
        <f ca="1">IFERROR(Tabela3[[#This Row],[Custo Total]]/Tabela3[[#This Row],[Aluminio Util]],0)</f>
        <v>30.393925463101034</v>
      </c>
      <c r="J790" s="35">
        <f ca="1">Tabela3[[#This Row],[Custo Total]]/Tabela3[[#This Row],[Realizado]]</f>
        <v>3.7992406828876293</v>
      </c>
      <c r="K790" s="37">
        <f>IFERROR(Tabela3[[#This Row],[Qtde Cx Produzida]]/Tabela3[[#This Row],[Tempo]]/24,0)</f>
        <v>8.172043010752688</v>
      </c>
      <c r="L790" s="37">
        <f>Tabela3[[#This Row],[Qtde Cx Produzida]]*Tabela3[[#This Row],[Qdt Peça Placa]]</f>
        <v>304</v>
      </c>
      <c r="M790" s="37">
        <f>Tabela3[[#This Row],[Previsto]]-Tabela3[[#This Row],[Perda Pçs]]</f>
        <v>304</v>
      </c>
      <c r="N790" s="38">
        <f>IFERROR(Tabela3[[#This Row],[Perda Pçs]]/Tabela3[[#This Row],[Previsto]],0)</f>
        <v>0</v>
      </c>
      <c r="O790" s="39">
        <f>IFERROR(IF(Tabela3[[#This Row],[Qtde Cx Produzida]] &lt;&gt; 0, Tabela3[[#This Row],[Tempo]] / Tabela3[[#This Row],[Qtde Cx Produzida]], 0),0)</f>
        <v>5.098684210526316E-3</v>
      </c>
      <c r="P790" s="57">
        <f>IFERROR(Tabela3[[#This Row],[Perda Pçs]]/Tabela3[[#This Row],[Qdt Peça Placa]],0)</f>
        <v>0</v>
      </c>
      <c r="Q790" s="37">
        <f>IFERROR(Tabela3[[#This Row],[Realizado]]*Tabela3[[#This Row],[Peso Util/Pç]],0)</f>
        <v>38</v>
      </c>
      <c r="R790" s="37">
        <f>IFERROR(Tabela3[[#This Row],[Peso Total Galho]]*Tabela3[[#This Row],[Qtde Cx Produzida]]*1.055,0)</f>
        <v>88.198000000000008</v>
      </c>
      <c r="S790" s="37">
        <f>(Tabela3[[#This Row],[Aluminio Bruto]]-Tabela3[[#This Row],[Aluminio Util]])*0.9</f>
        <v>45.178200000000011</v>
      </c>
      <c r="T790" s="37">
        <f>Tabela3[[#This Row],[Aluminio Bruto]]/OleoKGAluminio</f>
        <v>37.104784561081622</v>
      </c>
      <c r="U790" s="35">
        <f>IFERROR((VLOOKUP(Tabela3[[#This Row],[Moldador]],Tabela1[],5,)+(VLOOKUP(Tabela3[[#This Row],[Ajudante]],Tabela1[],5,))*3.5),0)</f>
        <v>99.95034583333333</v>
      </c>
      <c r="V790" s="35">
        <f>IFERROR(Tabela3[[#This Row],[Custo M.O. / H]]/((Tabela3[[#This Row],[Realizado]]/Tabela3[[#This Row],[Qdt Peça Placa]])/Tabela3[[#This Row],[Tempo]]/24),)</f>
        <v>12.230766003289473</v>
      </c>
      <c r="W790" s="35">
        <f>Tabela3[[#This Row],[Custo / Cx Moldada]]*Tabela3[[#This Row],[Qtde Cx Produzida]]</f>
        <v>464.76910812499995</v>
      </c>
      <c r="X790" s="35">
        <f ca="1">Tabela3[[#This Row],[Aluminio Util]]*Tabela3[[#This Row],[Custo/Kg]]</f>
        <v>592.80000000000007</v>
      </c>
      <c r="Y790" s="35">
        <f>IFERROR(VLOOKUP(Tabela3[[#This Row],[Data]],Tabela461213[],2,1)*(Tabela3[[#This Row],[Qtde Cx Produzida]]*Tabela3[[#This Row],[Qde macho / CX]]*Tabela3[[#This Row],[Peso Macho]]),)</f>
        <v>0</v>
      </c>
      <c r="Z790" s="35">
        <f>IFERROR(Tabela3[[#This Row],[Qtde Oleo]]*(VLOOKUP(Tabela3[[#This Row],[Data]],CompraOleo[],3,TRUE))*1.05,0)</f>
        <v>97.40005947283926</v>
      </c>
      <c r="AA790" s="47">
        <f ca="1">(Tabela3[[#This Row],[Custo Oleo]]+Tabela3[[#This Row],[Custo Aluminio]]+Tabela3[[#This Row],[Custo M.O. Total]]+Tabela3[[#This Row],[Custo Machos]])</f>
        <v>1154.9691675978393</v>
      </c>
      <c r="AB790" s="47">
        <f ca="1">Tabela3[[#This Row],[Custo Total]]*Tabela3[[#This Row],[% Perda]]</f>
        <v>0</v>
      </c>
      <c r="AC790" s="48">
        <f>IFERROR(VLOOKUP(Tabela3[[#This Row],[Produto]],Tabela2[],2,0),0)</f>
        <v>8</v>
      </c>
      <c r="AD790" s="48">
        <f>IFERROR(VLOOKUP(Tabela3[[#This Row],[Produto]],Tabela2[],3,0),0)</f>
        <v>0.125</v>
      </c>
      <c r="AE790" s="48">
        <f>IFERROR(VLOOKUP(Tabela3[[#This Row],[Produto]],Tabela2[],4,0),0)</f>
        <v>2.2000000000000002</v>
      </c>
      <c r="AF790" s="48">
        <f>IFERROR(VLOOKUP(Tabela3[[#This Row],[Produto]],Tabela2[],5,0),0)</f>
        <v>1.0800000000000003</v>
      </c>
      <c r="AG790" s="40">
        <f>IFERROR(VLOOKUP(Tabela3[[#This Row],[Produto]],Tabela2[],6,0),0)</f>
        <v>0</v>
      </c>
      <c r="AH790" s="40">
        <f>IFERROR(VLOOKUP(Tabela3[[#This Row],[Produto]],Tabela2[],7,0),0)</f>
        <v>0</v>
      </c>
      <c r="AI790" s="40">
        <f>IFERROR(VLOOKUP(Tabela3[[#This Row],[Produto]],Tabela2[],8,0),0)</f>
        <v>0</v>
      </c>
      <c r="AJ790" s="35">
        <f ca="1">IFERROR(VLOOKUP(Tabela3[[#This Row],[Produto]],Tabela2[],13,0),0)</f>
        <v>15.600000000000001</v>
      </c>
      <c r="AK790" s="40" t="str">
        <f>IFERROR(VLOOKUP(Tabela3[[#This Row],[Produto]],Tabela2[],14,0),0)</f>
        <v>Senun</v>
      </c>
      <c r="AL790" s="40">
        <f>IFERROR(VLOOKUP(Tabela3[[#This Row],[Produto]],Tabela2[],15,0),0)</f>
        <v>7</v>
      </c>
      <c r="AM790" s="36">
        <f ca="1">(Tabela3[[#This Row],[Custo Usinagem]]+Tabela3[[#This Row],[Custo / Pç]])*1.2</f>
        <v>12.959088819465153</v>
      </c>
      <c r="AN790" s="36">
        <f ca="1">Tabela3[[#This Row],[Valor Mínimo Venda]]*1.15</f>
        <v>14.902952142384924</v>
      </c>
      <c r="AO790" s="36">
        <f ca="1">Tabela3[[#This Row],[Tabela 1]]*1.08</f>
        <v>16.095188313775719</v>
      </c>
      <c r="AP790" s="36">
        <f ca="1">Tabela3[[#This Row],[Tabela 2]]*1.15</f>
        <v>18.509466560842075</v>
      </c>
    </row>
    <row r="791" spans="1:42">
      <c r="A791" s="9">
        <v>45960</v>
      </c>
      <c r="B791" s="6" t="s">
        <v>132</v>
      </c>
      <c r="C791" s="14">
        <v>8289</v>
      </c>
      <c r="D791" s="6" t="s">
        <v>46</v>
      </c>
      <c r="E791" s="6" t="s">
        <v>326</v>
      </c>
      <c r="F791" s="6">
        <v>20</v>
      </c>
      <c r="G791" s="15">
        <v>9.4444444444444442E-2</v>
      </c>
      <c r="H791" s="16">
        <v>0</v>
      </c>
      <c r="I791" s="35">
        <f ca="1">IFERROR(Tabela3[[#This Row],[Custo Total]]/Tabela3[[#This Row],[Aluminio Util]],0)</f>
        <v>32.629097222655062</v>
      </c>
      <c r="J791" s="35">
        <f ca="1">Tabela3[[#This Row],[Custo Total]]/Tabela3[[#This Row],[Realizado]]</f>
        <v>14.193657291854951</v>
      </c>
      <c r="K791" s="37">
        <f>IFERROR(Tabela3[[#This Row],[Qtde Cx Produzida]]/Tabela3[[#This Row],[Tempo]]/24,0)</f>
        <v>8.8235294117647065</v>
      </c>
      <c r="L791" s="37">
        <f>Tabela3[[#This Row],[Qtde Cx Produzida]]*Tabela3[[#This Row],[Qdt Peça Placa]]</f>
        <v>40</v>
      </c>
      <c r="M791" s="37">
        <f>Tabela3[[#This Row],[Previsto]]-Tabela3[[#This Row],[Perda Pçs]]</f>
        <v>40</v>
      </c>
      <c r="N791" s="38">
        <f>IFERROR(Tabela3[[#This Row],[Perda Pçs]]/Tabela3[[#This Row],[Previsto]],0)</f>
        <v>0</v>
      </c>
      <c r="O791" s="39">
        <f>IFERROR(IF(Tabela3[[#This Row],[Qtde Cx Produzida]] &lt;&gt; 0, Tabela3[[#This Row],[Tempo]] / Tabela3[[#This Row],[Qtde Cx Produzida]], 0),0)</f>
        <v>4.7222222222222223E-3</v>
      </c>
      <c r="P791" s="57">
        <f>IFERROR(Tabela3[[#This Row],[Perda Pçs]]/Tabela3[[#This Row],[Qdt Peça Placa]],0)</f>
        <v>0</v>
      </c>
      <c r="Q791" s="37">
        <f>IFERROR(Tabela3[[#This Row],[Realizado]]*Tabela3[[#This Row],[Peso Util/Pç]],0)</f>
        <v>17.399999999999999</v>
      </c>
      <c r="R791" s="37">
        <f>IFERROR(Tabela3[[#This Row],[Peso Total Galho]]*Tabela3[[#This Row],[Qtde Cx Produzida]]*1.055,0)</f>
        <v>31.65</v>
      </c>
      <c r="S791" s="37">
        <f>(Tabela3[[#This Row],[Aluminio Bruto]]-Tabela3[[#This Row],[Aluminio Util]])*0.9</f>
        <v>12.825000000000001</v>
      </c>
      <c r="T791" s="37">
        <f>Tabela3[[#This Row],[Aluminio Bruto]]/OleoKGAluminio</f>
        <v>13.315114076943164</v>
      </c>
      <c r="U791" s="35">
        <f>IFERROR((VLOOKUP(Tabela3[[#This Row],[Moldador]],Tabela1[],5,)+(VLOOKUP(Tabela3[[#This Row],[Ajudante]],Tabela1[],5,))*3.5),0)</f>
        <v>99.95034583333333</v>
      </c>
      <c r="V791" s="35">
        <f>IFERROR(Tabela3[[#This Row],[Custo M.O. / H]]/((Tabela3[[#This Row],[Realizado]]/Tabela3[[#This Row],[Qdt Peça Placa]])/Tabela3[[#This Row],[Tempo]]/24),)</f>
        <v>11.327705861111109</v>
      </c>
      <c r="W791" s="35">
        <f>Tabela3[[#This Row],[Custo / Cx Moldada]]*Tabela3[[#This Row],[Qtde Cx Produzida]]</f>
        <v>226.5541172222222</v>
      </c>
      <c r="X791" s="35">
        <f ca="1">Tabela3[[#This Row],[Aluminio Util]]*Tabela3[[#This Row],[Custo/Kg]]</f>
        <v>306.24</v>
      </c>
      <c r="Y791" s="35">
        <f>IFERROR(VLOOKUP(Tabela3[[#This Row],[Data]],Tabela461213[],2,1)*(Tabela3[[#This Row],[Qtde Cx Produzida]]*Tabela3[[#This Row],[Qde macho / CX]]*Tabela3[[#This Row],[Peso Macho]]),)</f>
        <v>0</v>
      </c>
      <c r="Z791" s="35">
        <f>IFERROR(Tabela3[[#This Row],[Qtde Oleo]]*(VLOOKUP(Tabela3[[#This Row],[Data]],CompraOleo[],3,TRUE))*1.05,0)</f>
        <v>34.952174451975807</v>
      </c>
      <c r="AA791" s="47">
        <f ca="1">(Tabela3[[#This Row],[Custo Oleo]]+Tabela3[[#This Row],[Custo Aluminio]]+Tabela3[[#This Row],[Custo M.O. Total]]+Tabela3[[#This Row],[Custo Machos]])</f>
        <v>567.74629167419801</v>
      </c>
      <c r="AB791" s="47">
        <f ca="1">Tabela3[[#This Row],[Custo Total]]*Tabela3[[#This Row],[% Perda]]</f>
        <v>0</v>
      </c>
      <c r="AC791" s="48">
        <f>IFERROR(VLOOKUP(Tabela3[[#This Row],[Produto]],Tabela2[],2,0),0)</f>
        <v>2</v>
      </c>
      <c r="AD791" s="48">
        <f>IFERROR(VLOOKUP(Tabela3[[#This Row],[Produto]],Tabela2[],3,0),0)</f>
        <v>0.435</v>
      </c>
      <c r="AE791" s="48">
        <f>IFERROR(VLOOKUP(Tabela3[[#This Row],[Produto]],Tabela2[],4,0),0)</f>
        <v>1.5</v>
      </c>
      <c r="AF791" s="48">
        <f>IFERROR(VLOOKUP(Tabela3[[#This Row],[Produto]],Tabela2[],5,0),0)</f>
        <v>0.56700000000000006</v>
      </c>
      <c r="AG791" s="40">
        <f>IFERROR(VLOOKUP(Tabela3[[#This Row],[Produto]],Tabela2[],6,0),0)</f>
        <v>0</v>
      </c>
      <c r="AH791" s="40">
        <f>IFERROR(VLOOKUP(Tabela3[[#This Row],[Produto]],Tabela2[],7,0),0)</f>
        <v>0</v>
      </c>
      <c r="AI791" s="40">
        <f>IFERROR(VLOOKUP(Tabela3[[#This Row],[Produto]],Tabela2[],8,0),0)</f>
        <v>0</v>
      </c>
      <c r="AJ791" s="35">
        <f ca="1">IFERROR(VLOOKUP(Tabela3[[#This Row],[Produto]],Tabela2[],13,0),0)</f>
        <v>17.600000000000001</v>
      </c>
      <c r="AK791" s="40" t="str">
        <f>IFERROR(VLOOKUP(Tabela3[[#This Row],[Produto]],Tabela2[],14,0),0)</f>
        <v>Senun</v>
      </c>
      <c r="AL791" s="40">
        <f>IFERROR(VLOOKUP(Tabela3[[#This Row],[Produto]],Tabela2[],15,0),0)</f>
        <v>0</v>
      </c>
      <c r="AM791" s="36">
        <f ca="1">(Tabela3[[#This Row],[Custo Usinagem]]+Tabela3[[#This Row],[Custo / Pç]])*1.2</f>
        <v>17.032388750225941</v>
      </c>
      <c r="AN791" s="36">
        <f ca="1">Tabela3[[#This Row],[Valor Mínimo Venda]]*1.15</f>
        <v>19.587247062759829</v>
      </c>
      <c r="AO791" s="36">
        <f ca="1">Tabela3[[#This Row],[Tabela 1]]*1.08</f>
        <v>21.154226827780615</v>
      </c>
      <c r="AP791" s="36">
        <f ca="1">Tabela3[[#This Row],[Tabela 2]]*1.15</f>
        <v>24.327360851947706</v>
      </c>
    </row>
    <row r="792" spans="1:42">
      <c r="A792" s="9">
        <v>45960</v>
      </c>
      <c r="B792" s="6" t="s">
        <v>245</v>
      </c>
      <c r="C792" s="14">
        <v>8277</v>
      </c>
      <c r="D792" s="6" t="s">
        <v>44</v>
      </c>
      <c r="E792" s="6" t="s">
        <v>47</v>
      </c>
      <c r="F792" s="6">
        <v>78</v>
      </c>
      <c r="G792" s="15">
        <v>0.34791666666666665</v>
      </c>
      <c r="H792" s="16">
        <v>124</v>
      </c>
      <c r="I792" s="35">
        <f ca="1">IFERROR(Tabela3[[#This Row],[Custo Total]]/Tabela3[[#This Row],[Aluminio Util]],0)</f>
        <v>41.139454692714601</v>
      </c>
      <c r="J792" s="35">
        <f ca="1">Tabela3[[#This Row],[Custo Total]]/Tabela3[[#This Row],[Realizado]]</f>
        <v>13.658298957981248</v>
      </c>
      <c r="K792" s="37">
        <f>IFERROR(Tabela3[[#This Row],[Qtde Cx Produzida]]/Tabela3[[#This Row],[Tempo]]/24,0)</f>
        <v>9.341317365269461</v>
      </c>
      <c r="L792" s="37">
        <f>Tabela3[[#This Row],[Qtde Cx Produzida]]*Tabela3[[#This Row],[Qdt Peça Placa]]</f>
        <v>312</v>
      </c>
      <c r="M792" s="37">
        <f>Tabela3[[#This Row],[Previsto]]-Tabela3[[#This Row],[Perda Pçs]]</f>
        <v>188</v>
      </c>
      <c r="N792" s="38">
        <f>IFERROR(Tabela3[[#This Row],[Perda Pçs]]/Tabela3[[#This Row],[Previsto]],0)</f>
        <v>0.39743589743589741</v>
      </c>
      <c r="O792" s="39">
        <f>IFERROR(IF(Tabela3[[#This Row],[Qtde Cx Produzida]] &lt;&gt; 0, Tabela3[[#This Row],[Tempo]] / Tabela3[[#This Row],[Qtde Cx Produzida]], 0),0)</f>
        <v>4.4604700854700852E-3</v>
      </c>
      <c r="P792" s="57">
        <f>IFERROR(Tabela3[[#This Row],[Perda Pçs]]/Tabela3[[#This Row],[Qdt Peça Placa]],0)</f>
        <v>31</v>
      </c>
      <c r="Q792" s="37">
        <f>IFERROR(Tabela3[[#This Row],[Realizado]]*Tabela3[[#This Row],[Peso Util/Pç]],0)</f>
        <v>62.416000000000004</v>
      </c>
      <c r="R792" s="37">
        <f>IFERROR(Tabela3[[#This Row],[Peso Total Galho]]*Tabela3[[#This Row],[Qtde Cx Produzida]]*1.055,0)</f>
        <v>189.26699999999997</v>
      </c>
      <c r="S792" s="37">
        <f>(Tabela3[[#This Row],[Aluminio Bruto]]-Tabela3[[#This Row],[Aluminio Util]])*0.9</f>
        <v>114.16589999999998</v>
      </c>
      <c r="T792" s="37">
        <f>Tabela3[[#This Row],[Aluminio Bruto]]/OleoKGAluminio</f>
        <v>79.624382180120108</v>
      </c>
      <c r="U792" s="35">
        <f>IFERROR((VLOOKUP(Tabela3[[#This Row],[Moldador]],Tabela1[],5,)+(VLOOKUP(Tabela3[[#This Row],[Ajudante]],Tabela1[],5,))*3.5),0)</f>
        <v>99.95034583333333</v>
      </c>
      <c r="V792" s="35">
        <f>IFERROR(Tabela3[[#This Row],[Custo M.O. / H]]/((Tabela3[[#This Row],[Realizado]]/Tabela3[[#This Row],[Qdt Peça Placa]])/Tabela3[[#This Row],[Tempo]]/24),)</f>
        <v>17.757135908687943</v>
      </c>
      <c r="W792" s="35">
        <f>Tabela3[[#This Row],[Custo / Cx Moldada]]*Tabela3[[#This Row],[Qtde Cx Produzida]]</f>
        <v>1385.0566008776595</v>
      </c>
      <c r="X792" s="35">
        <f ca="1">Tabela3[[#This Row],[Aluminio Util]]*Tabela3[[#This Row],[Custo/Kg]]</f>
        <v>973.68960000000015</v>
      </c>
      <c r="Y792" s="35">
        <f>IFERROR(VLOOKUP(Tabela3[[#This Row],[Data]],Tabela461213[],2,1)*(Tabela3[[#This Row],[Qtde Cx Produzida]]*Tabela3[[#This Row],[Qde macho / CX]]*Tabela3[[#This Row],[Peso Macho]]),)</f>
        <v>0</v>
      </c>
      <c r="Z792" s="35">
        <f>IFERROR(Tabela3[[#This Row],[Qtde Oleo]]*(VLOOKUP(Tabela3[[#This Row],[Data]],CompraOleo[],3,TRUE))*1.05,0)</f>
        <v>209.01400322281529</v>
      </c>
      <c r="AA792" s="47">
        <f ca="1">(Tabela3[[#This Row],[Custo Oleo]]+Tabela3[[#This Row],[Custo Aluminio]]+Tabela3[[#This Row],[Custo M.O. Total]]+Tabela3[[#This Row],[Custo Machos]])</f>
        <v>2567.7602041004748</v>
      </c>
      <c r="AB792" s="47">
        <f ca="1">Tabela3[[#This Row],[Custo Total]]*Tabela3[[#This Row],[% Perda]]</f>
        <v>1020.5200811168553</v>
      </c>
      <c r="AC792" s="48">
        <f>IFERROR(VLOOKUP(Tabela3[[#This Row],[Produto]],Tabela2[],2,0),0)</f>
        <v>4</v>
      </c>
      <c r="AD792" s="48">
        <f>IFERROR(VLOOKUP(Tabela3[[#This Row],[Produto]],Tabela2[],3,0),0)</f>
        <v>0.33200000000000002</v>
      </c>
      <c r="AE792" s="48">
        <f>IFERROR(VLOOKUP(Tabela3[[#This Row],[Produto]],Tabela2[],4,0),0)</f>
        <v>2.2999999999999998</v>
      </c>
      <c r="AF792" s="48">
        <f>IFERROR(VLOOKUP(Tabela3[[#This Row],[Produto]],Tabela2[],5,0),0)</f>
        <v>0.8747999999999998</v>
      </c>
      <c r="AG792" s="40">
        <f>IFERROR(VLOOKUP(Tabela3[[#This Row],[Produto]],Tabela2[],6,0),0)</f>
        <v>0</v>
      </c>
      <c r="AH792" s="40">
        <f>IFERROR(VLOOKUP(Tabela3[[#This Row],[Produto]],Tabela2[],7,0),0)</f>
        <v>0</v>
      </c>
      <c r="AI792" s="40">
        <f>IFERROR(VLOOKUP(Tabela3[[#This Row],[Produto]],Tabela2[],8,0),0)</f>
        <v>0</v>
      </c>
      <c r="AJ792" s="35">
        <f ca="1">IFERROR(VLOOKUP(Tabela3[[#This Row],[Produto]],Tabela2[],13,0),0)</f>
        <v>15.600000000000001</v>
      </c>
      <c r="AK792" s="40" t="str">
        <f>IFERROR(VLOOKUP(Tabela3[[#This Row],[Produto]],Tabela2[],14,0),0)</f>
        <v>Senun</v>
      </c>
      <c r="AL792" s="40">
        <f>IFERROR(VLOOKUP(Tabela3[[#This Row],[Produto]],Tabela2[],15,0),0)</f>
        <v>3.5</v>
      </c>
      <c r="AM792" s="36">
        <f ca="1">(Tabela3[[#This Row],[Custo Usinagem]]+Tabela3[[#This Row],[Custo / Pç]])*1.2</f>
        <v>20.589958749577498</v>
      </c>
      <c r="AN792" s="36">
        <f ca="1">Tabela3[[#This Row],[Valor Mínimo Venda]]*1.15</f>
        <v>23.678452562014122</v>
      </c>
      <c r="AO792" s="36">
        <f ca="1">Tabela3[[#This Row],[Tabela 1]]*1.08</f>
        <v>25.572728766975253</v>
      </c>
      <c r="AP792" s="36">
        <f ca="1">Tabela3[[#This Row],[Tabela 2]]*1.15</f>
        <v>29.40863808202154</v>
      </c>
    </row>
    <row r="793" spans="1:42">
      <c r="A793" s="9">
        <v>45961</v>
      </c>
      <c r="B793" s="6" t="s">
        <v>132</v>
      </c>
      <c r="C793" s="14">
        <v>8289</v>
      </c>
      <c r="D793" s="6" t="s">
        <v>46</v>
      </c>
      <c r="E793" s="6" t="s">
        <v>326</v>
      </c>
      <c r="F793" s="6">
        <v>20</v>
      </c>
      <c r="G793" s="15">
        <v>0.10486111111111111</v>
      </c>
      <c r="H793" s="16">
        <v>0</v>
      </c>
      <c r="I793" s="35">
        <f ca="1">IFERROR(Tabela3[[#This Row],[Custo Total]]/Tabela3[[#This Row],[Aluminio Util]],0)</f>
        <v>34.0651654099156</v>
      </c>
      <c r="J793" s="35">
        <f ca="1">Tabela3[[#This Row],[Custo Total]]/Tabela3[[#This Row],[Realizado]]</f>
        <v>14.818346953313284</v>
      </c>
      <c r="K793" s="37">
        <f>IFERROR(Tabela3[[#This Row],[Qtde Cx Produzida]]/Tabela3[[#This Row],[Tempo]]/24,0)</f>
        <v>7.9470198675496695</v>
      </c>
      <c r="L793" s="37">
        <f>Tabela3[[#This Row],[Qtde Cx Produzida]]*Tabela3[[#This Row],[Qdt Peça Placa]]</f>
        <v>40</v>
      </c>
      <c r="M793" s="37">
        <f>Tabela3[[#This Row],[Previsto]]-Tabela3[[#This Row],[Perda Pçs]]</f>
        <v>40</v>
      </c>
      <c r="N793" s="38">
        <f>IFERROR(Tabela3[[#This Row],[Perda Pçs]]/Tabela3[[#This Row],[Previsto]],0)</f>
        <v>0</v>
      </c>
      <c r="O793" s="39">
        <f>IFERROR(IF(Tabela3[[#This Row],[Qtde Cx Produzida]] &lt;&gt; 0, Tabela3[[#This Row],[Tempo]] / Tabela3[[#This Row],[Qtde Cx Produzida]], 0),0)</f>
        <v>5.2430555555555555E-3</v>
      </c>
      <c r="P793" s="57">
        <f>IFERROR(Tabela3[[#This Row],[Perda Pçs]]/Tabela3[[#This Row],[Qdt Peça Placa]],0)</f>
        <v>0</v>
      </c>
      <c r="Q793" s="37">
        <f>IFERROR(Tabela3[[#This Row],[Realizado]]*Tabela3[[#This Row],[Peso Util/Pç]],0)</f>
        <v>17.399999999999999</v>
      </c>
      <c r="R793" s="37">
        <f>IFERROR(Tabela3[[#This Row],[Peso Total Galho]]*Tabela3[[#This Row],[Qtde Cx Produzida]]*1.055,0)</f>
        <v>31.65</v>
      </c>
      <c r="S793" s="37">
        <f>(Tabela3[[#This Row],[Aluminio Bruto]]-Tabela3[[#This Row],[Aluminio Util]])*0.9</f>
        <v>12.825000000000001</v>
      </c>
      <c r="T793" s="37">
        <f>Tabela3[[#This Row],[Aluminio Bruto]]/OleoKGAluminio</f>
        <v>13.315114076943164</v>
      </c>
      <c r="U793" s="35">
        <f>IFERROR((VLOOKUP(Tabela3[[#This Row],[Moldador]],Tabela1[],5,)+(VLOOKUP(Tabela3[[#This Row],[Ajudante]],Tabela1[],5,))*3.5),0)</f>
        <v>99.95034583333333</v>
      </c>
      <c r="V793" s="35">
        <f>IFERROR(Tabela3[[#This Row],[Custo M.O. / H]]/((Tabela3[[#This Row],[Realizado]]/Tabela3[[#This Row],[Qdt Peça Placa]])/Tabela3[[#This Row],[Tempo]]/24),)</f>
        <v>12.577085184027776</v>
      </c>
      <c r="W793" s="35">
        <f>Tabela3[[#This Row],[Custo / Cx Moldada]]*Tabela3[[#This Row],[Qtde Cx Produzida]]</f>
        <v>251.54170368055554</v>
      </c>
      <c r="X793" s="35">
        <f ca="1">Tabela3[[#This Row],[Aluminio Util]]*Tabela3[[#This Row],[Custo/Kg]]</f>
        <v>306.24</v>
      </c>
      <c r="Y793" s="35">
        <f>IFERROR(VLOOKUP(Tabela3[[#This Row],[Data]],Tabela461213[],2,1)*(Tabela3[[#This Row],[Qtde Cx Produzida]]*Tabela3[[#This Row],[Qde macho / CX]]*Tabela3[[#This Row],[Peso Macho]]),)</f>
        <v>0</v>
      </c>
      <c r="Z793" s="35">
        <f>IFERROR(Tabela3[[#This Row],[Qtde Oleo]]*(VLOOKUP(Tabela3[[#This Row],[Data]],CompraOleo[],3,TRUE))*1.05,0)</f>
        <v>34.952174451975807</v>
      </c>
      <c r="AA793" s="47">
        <f ca="1">(Tabela3[[#This Row],[Custo Oleo]]+Tabela3[[#This Row],[Custo Aluminio]]+Tabela3[[#This Row],[Custo M.O. Total]]+Tabela3[[#This Row],[Custo Machos]])</f>
        <v>592.73387813253134</v>
      </c>
      <c r="AB793" s="47">
        <f ca="1">Tabela3[[#This Row],[Custo Total]]*Tabela3[[#This Row],[% Perda]]</f>
        <v>0</v>
      </c>
      <c r="AC793" s="48">
        <f>IFERROR(VLOOKUP(Tabela3[[#This Row],[Produto]],Tabela2[],2,0),0)</f>
        <v>2</v>
      </c>
      <c r="AD793" s="48">
        <f>IFERROR(VLOOKUP(Tabela3[[#This Row],[Produto]],Tabela2[],3,0),0)</f>
        <v>0.435</v>
      </c>
      <c r="AE793" s="48">
        <f>IFERROR(VLOOKUP(Tabela3[[#This Row],[Produto]],Tabela2[],4,0),0)</f>
        <v>1.5</v>
      </c>
      <c r="AF793" s="48">
        <f>IFERROR(VLOOKUP(Tabela3[[#This Row],[Produto]],Tabela2[],5,0),0)</f>
        <v>0.56700000000000006</v>
      </c>
      <c r="AG793" s="40">
        <f>IFERROR(VLOOKUP(Tabela3[[#This Row],[Produto]],Tabela2[],6,0),0)</f>
        <v>0</v>
      </c>
      <c r="AH793" s="40">
        <f>IFERROR(VLOOKUP(Tabela3[[#This Row],[Produto]],Tabela2[],7,0),0)</f>
        <v>0</v>
      </c>
      <c r="AI793" s="40">
        <f>IFERROR(VLOOKUP(Tabela3[[#This Row],[Produto]],Tabela2[],8,0),0)</f>
        <v>0</v>
      </c>
      <c r="AJ793" s="35">
        <f ca="1">IFERROR(VLOOKUP(Tabela3[[#This Row],[Produto]],Tabela2[],13,0),0)</f>
        <v>17.600000000000001</v>
      </c>
      <c r="AK793" s="40" t="str">
        <f>IFERROR(VLOOKUP(Tabela3[[#This Row],[Produto]],Tabela2[],14,0),0)</f>
        <v>Senun</v>
      </c>
      <c r="AL793" s="40">
        <f>IFERROR(VLOOKUP(Tabela3[[#This Row],[Produto]],Tabela2[],15,0),0)</f>
        <v>0</v>
      </c>
      <c r="AM793" s="36">
        <f ca="1">(Tabela3[[#This Row],[Custo Usinagem]]+Tabela3[[#This Row],[Custo / Pç]])*1.2</f>
        <v>17.78201634397594</v>
      </c>
      <c r="AN793" s="36">
        <f ca="1">Tabela3[[#This Row],[Valor Mínimo Venda]]*1.15</f>
        <v>20.449318795572328</v>
      </c>
      <c r="AO793" s="36">
        <f ca="1">Tabela3[[#This Row],[Tabela 1]]*1.08</f>
        <v>22.085264299218114</v>
      </c>
      <c r="AP793" s="36">
        <f ca="1">Tabela3[[#This Row],[Tabela 2]]*1.15</f>
        <v>25.39805394410083</v>
      </c>
    </row>
    <row r="794" spans="1:42">
      <c r="A794" s="9">
        <v>45961</v>
      </c>
      <c r="B794" s="6" t="s">
        <v>247</v>
      </c>
      <c r="C794" s="14">
        <v>8294</v>
      </c>
      <c r="D794" s="6" t="s">
        <v>46</v>
      </c>
      <c r="E794" s="6" t="s">
        <v>326</v>
      </c>
      <c r="F794" s="6">
        <v>44</v>
      </c>
      <c r="G794" s="15">
        <v>0.2361111111111111</v>
      </c>
      <c r="H794" s="16">
        <v>0</v>
      </c>
      <c r="I794" s="35">
        <f ca="1">IFERROR(Tabela3[[#This Row],[Custo Total]]/Tabela3[[#This Row],[Aluminio Util]],0)</f>
        <v>28.560049776645595</v>
      </c>
      <c r="J794" s="35">
        <f ca="1">Tabela3[[#This Row],[Custo Total]]/Tabela3[[#This Row],[Realizado]]</f>
        <v>8.5680149329936786</v>
      </c>
      <c r="K794" s="37">
        <f>IFERROR(Tabela3[[#This Row],[Qtde Cx Produzida]]/Tabela3[[#This Row],[Tempo]]/24,0)</f>
        <v>7.7647058823529411</v>
      </c>
      <c r="L794" s="37">
        <f>Tabela3[[#This Row],[Qtde Cx Produzida]]*Tabela3[[#This Row],[Qdt Peça Placa]]</f>
        <v>176</v>
      </c>
      <c r="M794" s="37">
        <f>Tabela3[[#This Row],[Previsto]]-Tabela3[[#This Row],[Perda Pçs]]</f>
        <v>176</v>
      </c>
      <c r="N794" s="38">
        <f>IFERROR(Tabela3[[#This Row],[Perda Pçs]]/Tabela3[[#This Row],[Previsto]],0)</f>
        <v>0</v>
      </c>
      <c r="O794" s="39">
        <f>IFERROR(IF(Tabela3[[#This Row],[Qtde Cx Produzida]] &lt;&gt; 0, Tabela3[[#This Row],[Tempo]] / Tabela3[[#This Row],[Qtde Cx Produzida]], 0),0)</f>
        <v>5.366161616161616E-3</v>
      </c>
      <c r="P794" s="57">
        <f>IFERROR(Tabela3[[#This Row],[Perda Pçs]]/Tabela3[[#This Row],[Qdt Peça Placa]],0)</f>
        <v>0</v>
      </c>
      <c r="Q794" s="37">
        <f>IFERROR(Tabela3[[#This Row],[Realizado]]*Tabela3[[#This Row],[Peso Util/Pç]],0)</f>
        <v>52.8</v>
      </c>
      <c r="R794" s="37">
        <f>IFERROR(Tabela3[[#This Row],[Peso Total Galho]]*Tabela3[[#This Row],[Qtde Cx Produzida]]*1.055,0)</f>
        <v>106.76599999999998</v>
      </c>
      <c r="S794" s="37">
        <f>(Tabela3[[#This Row],[Aluminio Bruto]]-Tabela3[[#This Row],[Aluminio Util]])*0.9</f>
        <v>48.56939999999998</v>
      </c>
      <c r="T794" s="37">
        <f>Tabela3[[#This Row],[Aluminio Bruto]]/OleoKGAluminio</f>
        <v>44.916318152888266</v>
      </c>
      <c r="U794" s="35">
        <f>IFERROR((VLOOKUP(Tabela3[[#This Row],[Moldador]],Tabela1[],5,)+(VLOOKUP(Tabela3[[#This Row],[Ajudante]],Tabela1[],5,))*3.5),0)</f>
        <v>99.95034583333333</v>
      </c>
      <c r="V794" s="35">
        <f>IFERROR(Tabela3[[#This Row],[Custo M.O. / H]]/((Tabela3[[#This Row],[Realizado]]/Tabela3[[#This Row],[Qdt Peça Placa]])/Tabela3[[#This Row],[Tempo]]/24),)</f>
        <v>12.872393023989899</v>
      </c>
      <c r="W794" s="35">
        <f>Tabela3[[#This Row],[Custo / Cx Moldada]]*Tabela3[[#This Row],[Qtde Cx Produzida]]</f>
        <v>566.38529305555551</v>
      </c>
      <c r="X794" s="35">
        <f ca="1">Tabela3[[#This Row],[Aluminio Util]]*Tabela3[[#This Row],[Custo/Kg]]</f>
        <v>823.68000000000006</v>
      </c>
      <c r="Y794" s="35">
        <f>IFERROR(VLOOKUP(Tabela3[[#This Row],[Data]],Tabela461213[],2,1)*(Tabela3[[#This Row],[Qtde Cx Produzida]]*Tabela3[[#This Row],[Qde macho / CX]]*Tabela3[[#This Row],[Peso Macho]]),)</f>
        <v>0</v>
      </c>
      <c r="Z794" s="35">
        <f>IFERROR(Tabela3[[#This Row],[Qtde Oleo]]*(VLOOKUP(Tabela3[[#This Row],[Data]],CompraOleo[],3,TRUE))*1.05,0)</f>
        <v>117.9053351513317</v>
      </c>
      <c r="AA794" s="47">
        <f ca="1">(Tabela3[[#This Row],[Custo Oleo]]+Tabela3[[#This Row],[Custo Aluminio]]+Tabela3[[#This Row],[Custo M.O. Total]]+Tabela3[[#This Row],[Custo Machos]])</f>
        <v>1507.9706282068873</v>
      </c>
      <c r="AB794" s="47">
        <f ca="1">Tabela3[[#This Row],[Custo Total]]*Tabela3[[#This Row],[% Perda]]</f>
        <v>0</v>
      </c>
      <c r="AC794" s="48">
        <f>IFERROR(VLOOKUP(Tabela3[[#This Row],[Produto]],Tabela2[],2,0),0)</f>
        <v>4</v>
      </c>
      <c r="AD794" s="48">
        <f>IFERROR(VLOOKUP(Tabela3[[#This Row],[Produto]],Tabela2[],3,0),0)</f>
        <v>0.3</v>
      </c>
      <c r="AE794" s="48">
        <f>IFERROR(VLOOKUP(Tabela3[[#This Row],[Produto]],Tabela2[],4,0),0)</f>
        <v>2.2999999999999998</v>
      </c>
      <c r="AF794" s="48">
        <f>IFERROR(VLOOKUP(Tabela3[[#This Row],[Produto]],Tabela2[],5,0),0)</f>
        <v>0.98999999999999988</v>
      </c>
      <c r="AG794" s="40">
        <f>IFERROR(VLOOKUP(Tabela3[[#This Row],[Produto]],Tabela2[],6,0),0)</f>
        <v>0</v>
      </c>
      <c r="AH794" s="40">
        <f>IFERROR(VLOOKUP(Tabela3[[#This Row],[Produto]],Tabela2[],7,0),0)</f>
        <v>0</v>
      </c>
      <c r="AI794" s="40">
        <f>IFERROR(VLOOKUP(Tabela3[[#This Row],[Produto]],Tabela2[],8,0),0)</f>
        <v>0</v>
      </c>
      <c r="AJ794" s="35">
        <f ca="1">IFERROR(VLOOKUP(Tabela3[[#This Row],[Produto]],Tabela2[],13,0),0)</f>
        <v>15.600000000000001</v>
      </c>
      <c r="AK794" s="40" t="str">
        <f>IFERROR(VLOOKUP(Tabela3[[#This Row],[Produto]],Tabela2[],14,0),0)</f>
        <v>Senun</v>
      </c>
      <c r="AL794" s="40">
        <f>IFERROR(VLOOKUP(Tabela3[[#This Row],[Produto]],Tabela2[],15,0),0)</f>
        <v>3.5</v>
      </c>
      <c r="AM794" s="36">
        <f ca="1">(Tabela3[[#This Row],[Custo Usinagem]]+Tabela3[[#This Row],[Custo / Pç]])*1.2</f>
        <v>14.481617919592413</v>
      </c>
      <c r="AN794" s="36">
        <f ca="1">Tabela3[[#This Row],[Valor Mínimo Venda]]*1.15</f>
        <v>16.653860607531275</v>
      </c>
      <c r="AO794" s="36">
        <f ca="1">Tabela3[[#This Row],[Tabela 1]]*1.08</f>
        <v>17.986169456133776</v>
      </c>
      <c r="AP794" s="36">
        <f ca="1">Tabela3[[#This Row],[Tabela 2]]*1.15</f>
        <v>20.684094874553843</v>
      </c>
    </row>
    <row r="795" spans="1:42">
      <c r="A795" s="9">
        <v>45961</v>
      </c>
      <c r="B795" s="6" t="s">
        <v>106</v>
      </c>
      <c r="C795" s="14">
        <v>8252</v>
      </c>
      <c r="D795" s="6" t="s">
        <v>44</v>
      </c>
      <c r="E795" s="6" t="s">
        <v>47</v>
      </c>
      <c r="F795" s="6">
        <v>6</v>
      </c>
      <c r="G795" s="15">
        <v>3.888888888888889E-2</v>
      </c>
      <c r="H795" s="16">
        <v>0</v>
      </c>
      <c r="I795" s="35">
        <f ca="1">IFERROR(Tabela3[[#This Row],[Custo Total]]/Tabela3[[#This Row],[Aluminio Util]],0)</f>
        <v>24.93549040920275</v>
      </c>
      <c r="J795" s="35">
        <f ca="1">Tabela3[[#This Row],[Custo Total]]/Tabela3[[#This Row],[Realizado]]</f>
        <v>19.823714875316188</v>
      </c>
      <c r="K795" s="37">
        <f>IFERROR(Tabela3[[#This Row],[Qtde Cx Produzida]]/Tabela3[[#This Row],[Tempo]]/24,0)</f>
        <v>6.4285714285714279</v>
      </c>
      <c r="L795" s="37">
        <f>Tabela3[[#This Row],[Qtde Cx Produzida]]*Tabela3[[#This Row],[Qdt Peça Placa]]</f>
        <v>24</v>
      </c>
      <c r="M795" s="37">
        <f>Tabela3[[#This Row],[Previsto]]-Tabela3[[#This Row],[Perda Pçs]]</f>
        <v>24</v>
      </c>
      <c r="N795" s="38">
        <f>IFERROR(Tabela3[[#This Row],[Perda Pçs]]/Tabela3[[#This Row],[Previsto]],0)</f>
        <v>0</v>
      </c>
      <c r="O795" s="39">
        <f>IFERROR(IF(Tabela3[[#This Row],[Qtde Cx Produzida]] &lt;&gt; 0, Tabela3[[#This Row],[Tempo]] / Tabela3[[#This Row],[Qtde Cx Produzida]], 0),0)</f>
        <v>6.4814814814814813E-3</v>
      </c>
      <c r="P795" s="57">
        <f>IFERROR(Tabela3[[#This Row],[Perda Pçs]]/Tabela3[[#This Row],[Qdt Peça Placa]],0)</f>
        <v>0</v>
      </c>
      <c r="Q795" s="37">
        <f>IFERROR(Tabela3[[#This Row],[Realizado]]*Tabela3[[#This Row],[Peso Util/Pç]],0)</f>
        <v>19.080000000000002</v>
      </c>
      <c r="R795" s="37">
        <f>IFERROR(Tabela3[[#This Row],[Peso Total Galho]]*Tabela3[[#This Row],[Qtde Cx Produzida]]*1.055,0)</f>
        <v>35.625239999999998</v>
      </c>
      <c r="S795" s="37">
        <f>(Tabela3[[#This Row],[Aluminio Bruto]]-Tabela3[[#This Row],[Aluminio Util]])*0.9</f>
        <v>14.890715999999998</v>
      </c>
      <c r="T795" s="37">
        <f>Tabela3[[#This Row],[Aluminio Bruto]]/OleoKGAluminio</f>
        <v>14.987492405007226</v>
      </c>
      <c r="U795" s="35">
        <f>IFERROR((VLOOKUP(Tabela3[[#This Row],[Moldador]],Tabela1[],5,)+(VLOOKUP(Tabela3[[#This Row],[Ajudante]],Tabela1[],5,))*3.5),0)</f>
        <v>99.95034583333333</v>
      </c>
      <c r="V795" s="35">
        <f>IFERROR(Tabela3[[#This Row],[Custo M.O. / H]]/((Tabela3[[#This Row],[Realizado]]/Tabela3[[#This Row],[Qdt Peça Placa]])/Tabela3[[#This Row],[Tempo]]/24),)</f>
        <v>15.547831574074076</v>
      </c>
      <c r="W795" s="35">
        <f>Tabela3[[#This Row],[Custo / Cx Moldada]]*Tabela3[[#This Row],[Qtde Cx Produzida]]</f>
        <v>93.286989444444458</v>
      </c>
      <c r="X795" s="35">
        <f ca="1">Tabela3[[#This Row],[Aluminio Util]]*Tabela3[[#This Row],[Custo/Kg]]</f>
        <v>297.64800000000008</v>
      </c>
      <c r="Y795" s="35">
        <f>IFERROR(VLOOKUP(Tabela3[[#This Row],[Data]],Tabela461213[],2,1)*(Tabela3[[#This Row],[Qtde Cx Produzida]]*Tabela3[[#This Row],[Qde macho / CX]]*Tabela3[[#This Row],[Peso Macho]]),)</f>
        <v>45.491999999999997</v>
      </c>
      <c r="Z795" s="35">
        <f>IFERROR(Tabela3[[#This Row],[Qtde Oleo]]*(VLOOKUP(Tabela3[[#This Row],[Data]],CompraOleo[],3,TRUE))*1.05,0)</f>
        <v>39.342167563143967</v>
      </c>
      <c r="AA795" s="47">
        <f ca="1">(Tabela3[[#This Row],[Custo Oleo]]+Tabela3[[#This Row],[Custo Aluminio]]+Tabela3[[#This Row],[Custo M.O. Total]]+Tabela3[[#This Row],[Custo Machos]])</f>
        <v>475.76915700758849</v>
      </c>
      <c r="AB795" s="47">
        <f ca="1">Tabela3[[#This Row],[Custo Total]]*Tabela3[[#This Row],[% Perda]]</f>
        <v>0</v>
      </c>
      <c r="AC795" s="48">
        <f>IFERROR(VLOOKUP(Tabela3[[#This Row],[Produto]],Tabela2[],2,0),0)</f>
        <v>4</v>
      </c>
      <c r="AD795" s="48">
        <f>IFERROR(VLOOKUP(Tabela3[[#This Row],[Produto]],Tabela2[],3,0),0)</f>
        <v>0.79500000000000004</v>
      </c>
      <c r="AE795" s="48">
        <f>IFERROR(VLOOKUP(Tabela3[[#This Row],[Produto]],Tabela2[],4,0),0)</f>
        <v>5.6280000000000001</v>
      </c>
      <c r="AF795" s="48">
        <f>IFERROR(VLOOKUP(Tabela3[[#This Row],[Produto]],Tabela2[],5,0),0)</f>
        <v>2.2031999999999998</v>
      </c>
      <c r="AG795" s="40">
        <f>IFERROR(VLOOKUP(Tabela3[[#This Row],[Produto]],Tabela2[],6,0),0)</f>
        <v>0</v>
      </c>
      <c r="AH795" s="40">
        <f>IFERROR(VLOOKUP(Tabela3[[#This Row],[Produto]],Tabela2[],7,0),0)</f>
        <v>4</v>
      </c>
      <c r="AI795" s="40">
        <f>IFERROR(VLOOKUP(Tabela3[[#This Row],[Produto]],Tabela2[],8,0),0)</f>
        <v>1.115</v>
      </c>
      <c r="AJ795" s="35">
        <f ca="1">IFERROR(VLOOKUP(Tabela3[[#This Row],[Produto]],Tabela2[],13,0),0)</f>
        <v>15.600000000000001</v>
      </c>
      <c r="AK795" s="40" t="str">
        <f>IFERROR(VLOOKUP(Tabela3[[#This Row],[Produto]],Tabela2[],14,0),0)</f>
        <v>Jumil</v>
      </c>
      <c r="AL795" s="40">
        <f>IFERROR(VLOOKUP(Tabela3[[#This Row],[Produto]],Tabela2[],15,0),0)</f>
        <v>5</v>
      </c>
      <c r="AM795" s="36">
        <f ca="1">(Tabela3[[#This Row],[Custo Usinagem]]+Tabela3[[#This Row],[Custo / Pç]])*1.2</f>
        <v>29.788457850379423</v>
      </c>
      <c r="AN795" s="36">
        <f ca="1">Tabela3[[#This Row],[Valor Mínimo Venda]]*1.15</f>
        <v>34.256726527936337</v>
      </c>
      <c r="AO795" s="36">
        <f ca="1">Tabela3[[#This Row],[Tabela 1]]*1.08</f>
        <v>36.997264650171246</v>
      </c>
      <c r="AP795" s="36">
        <f ca="1">Tabela3[[#This Row],[Tabela 2]]*1.15</f>
        <v>42.546854347696929</v>
      </c>
    </row>
    <row r="796" spans="1:42">
      <c r="A796" s="9">
        <v>45961</v>
      </c>
      <c r="B796" s="6" t="s">
        <v>245</v>
      </c>
      <c r="C796" s="14">
        <v>8277</v>
      </c>
      <c r="D796" s="6" t="s">
        <v>44</v>
      </c>
      <c r="E796" s="6" t="s">
        <v>47</v>
      </c>
      <c r="F796" s="6">
        <v>41</v>
      </c>
      <c r="G796" s="15">
        <v>0.17916666666666667</v>
      </c>
      <c r="H796" s="16">
        <v>0</v>
      </c>
      <c r="I796" s="35">
        <f ca="1">IFERROR(Tabela3[[#This Row],[Custo Total]]/Tabela3[[#This Row],[Aluminio Util]],0)</f>
        <v>25.511343338795008</v>
      </c>
      <c r="J796" s="35">
        <f ca="1">Tabela3[[#This Row],[Custo Total]]/Tabela3[[#This Row],[Realizado]]</f>
        <v>8.4697659884799439</v>
      </c>
      <c r="K796" s="37">
        <f>IFERROR(Tabela3[[#This Row],[Qtde Cx Produzida]]/Tabela3[[#This Row],[Tempo]]/24,0)</f>
        <v>9.5348837209302335</v>
      </c>
      <c r="L796" s="37">
        <f>Tabela3[[#This Row],[Qtde Cx Produzida]]*Tabela3[[#This Row],[Qdt Peça Placa]]</f>
        <v>164</v>
      </c>
      <c r="M796" s="37">
        <f>Tabela3[[#This Row],[Previsto]]-Tabela3[[#This Row],[Perda Pçs]]</f>
        <v>164</v>
      </c>
      <c r="N796" s="38">
        <f>IFERROR(Tabela3[[#This Row],[Perda Pçs]]/Tabela3[[#This Row],[Previsto]],0)</f>
        <v>0</v>
      </c>
      <c r="O796" s="39">
        <f>IFERROR(IF(Tabela3[[#This Row],[Qtde Cx Produzida]] &lt;&gt; 0, Tabela3[[#This Row],[Tempo]] / Tabela3[[#This Row],[Qtde Cx Produzida]], 0),0)</f>
        <v>4.3699186991869917E-3</v>
      </c>
      <c r="P796" s="57">
        <f>IFERROR(Tabela3[[#This Row],[Perda Pçs]]/Tabela3[[#This Row],[Qdt Peça Placa]],0)</f>
        <v>0</v>
      </c>
      <c r="Q796" s="37">
        <f>IFERROR(Tabela3[[#This Row],[Realizado]]*Tabela3[[#This Row],[Peso Util/Pç]],0)</f>
        <v>54.448</v>
      </c>
      <c r="R796" s="37">
        <f>IFERROR(Tabela3[[#This Row],[Peso Total Galho]]*Tabela3[[#This Row],[Qtde Cx Produzida]]*1.055,0)</f>
        <v>99.486499999999992</v>
      </c>
      <c r="S796" s="37">
        <f>(Tabela3[[#This Row],[Aluminio Bruto]]-Tabela3[[#This Row],[Aluminio Util]])*0.9</f>
        <v>40.534649999999992</v>
      </c>
      <c r="T796" s="37">
        <f>Tabela3[[#This Row],[Aluminio Bruto]]/OleoKGAluminio</f>
        <v>41.853841915191346</v>
      </c>
      <c r="U796" s="35">
        <f>IFERROR((VLOOKUP(Tabela3[[#This Row],[Moldador]],Tabela1[],5,)+(VLOOKUP(Tabela3[[#This Row],[Ajudante]],Tabela1[],5,))*3.5),0)</f>
        <v>99.95034583333333</v>
      </c>
      <c r="V796" s="35">
        <f>IFERROR(Tabela3[[#This Row],[Custo M.O. / H]]/((Tabela3[[#This Row],[Realizado]]/Tabela3[[#This Row],[Qdt Peça Placa]])/Tabela3[[#This Row],[Tempo]]/24),)</f>
        <v>10.482597245934958</v>
      </c>
      <c r="W796" s="35">
        <f>Tabela3[[#This Row],[Custo / Cx Moldada]]*Tabela3[[#This Row],[Qtde Cx Produzida]]</f>
        <v>429.78648708333327</v>
      </c>
      <c r="X796" s="35">
        <f ca="1">Tabela3[[#This Row],[Aluminio Util]]*Tabela3[[#This Row],[Custo/Kg]]</f>
        <v>849.38880000000006</v>
      </c>
      <c r="Y796" s="35">
        <f>IFERROR(VLOOKUP(Tabela3[[#This Row],[Data]],Tabela461213[],2,1)*(Tabela3[[#This Row],[Qtde Cx Produzida]]*Tabela3[[#This Row],[Qde macho / CX]]*Tabela3[[#This Row],[Peso Macho]]),)</f>
        <v>0</v>
      </c>
      <c r="Z796" s="35">
        <f>IFERROR(Tabela3[[#This Row],[Qtde Oleo]]*(VLOOKUP(Tabela3[[#This Row],[Data]],CompraOleo[],3,TRUE))*1.05,0)</f>
        <v>109.86633502737729</v>
      </c>
      <c r="AA796" s="47">
        <f ca="1">(Tabela3[[#This Row],[Custo Oleo]]+Tabela3[[#This Row],[Custo Aluminio]]+Tabela3[[#This Row],[Custo M.O. Total]]+Tabela3[[#This Row],[Custo Machos]])</f>
        <v>1389.0416221107107</v>
      </c>
      <c r="AB796" s="47">
        <f ca="1">Tabela3[[#This Row],[Custo Total]]*Tabela3[[#This Row],[% Perda]]</f>
        <v>0</v>
      </c>
      <c r="AC796" s="48">
        <f>IFERROR(VLOOKUP(Tabela3[[#This Row],[Produto]],Tabela2[],2,0),0)</f>
        <v>4</v>
      </c>
      <c r="AD796" s="48">
        <f>IFERROR(VLOOKUP(Tabela3[[#This Row],[Produto]],Tabela2[],3,0),0)</f>
        <v>0.33200000000000002</v>
      </c>
      <c r="AE796" s="48">
        <f>IFERROR(VLOOKUP(Tabela3[[#This Row],[Produto]],Tabela2[],4,0),0)</f>
        <v>2.2999999999999998</v>
      </c>
      <c r="AF796" s="48">
        <f>IFERROR(VLOOKUP(Tabela3[[#This Row],[Produto]],Tabela2[],5,0),0)</f>
        <v>0.8747999999999998</v>
      </c>
      <c r="AG796" s="40">
        <f>IFERROR(VLOOKUP(Tabela3[[#This Row],[Produto]],Tabela2[],6,0),0)</f>
        <v>0</v>
      </c>
      <c r="AH796" s="40">
        <f>IFERROR(VLOOKUP(Tabela3[[#This Row],[Produto]],Tabela2[],7,0),0)</f>
        <v>0</v>
      </c>
      <c r="AI796" s="40">
        <f>IFERROR(VLOOKUP(Tabela3[[#This Row],[Produto]],Tabela2[],8,0),0)</f>
        <v>0</v>
      </c>
      <c r="AJ796" s="35">
        <f ca="1">IFERROR(VLOOKUP(Tabela3[[#This Row],[Produto]],Tabela2[],13,0),0)</f>
        <v>15.600000000000001</v>
      </c>
      <c r="AK796" s="40" t="str">
        <f>IFERROR(VLOOKUP(Tabela3[[#This Row],[Produto]],Tabela2[],14,0),0)</f>
        <v>Senun</v>
      </c>
      <c r="AL796" s="40">
        <f>IFERROR(VLOOKUP(Tabela3[[#This Row],[Produto]],Tabela2[],15,0),0)</f>
        <v>3.5</v>
      </c>
      <c r="AM796" s="36">
        <f ca="1">(Tabela3[[#This Row],[Custo Usinagem]]+Tabela3[[#This Row],[Custo / Pç]])*1.2</f>
        <v>14.363719186175933</v>
      </c>
      <c r="AN796" s="36">
        <f ca="1">Tabela3[[#This Row],[Valor Mínimo Venda]]*1.15</f>
        <v>16.518277064102321</v>
      </c>
      <c r="AO796" s="36">
        <f ca="1">Tabela3[[#This Row],[Tabela 1]]*1.08</f>
        <v>17.839739229230506</v>
      </c>
      <c r="AP796" s="36">
        <f ca="1">Tabela3[[#This Row],[Tabela 2]]*1.15</f>
        <v>20.515700113615083</v>
      </c>
    </row>
    <row r="797" spans="1:42">
      <c r="A797" s="9">
        <v>45964</v>
      </c>
      <c r="B797" s="6" t="s">
        <v>247</v>
      </c>
      <c r="C797" s="14">
        <v>8294</v>
      </c>
      <c r="D797" s="6" t="s">
        <v>46</v>
      </c>
      <c r="E797" s="6" t="s">
        <v>53</v>
      </c>
      <c r="F797" s="6">
        <v>70</v>
      </c>
      <c r="G797" s="15">
        <v>0.35416666666666669</v>
      </c>
      <c r="H797" s="16">
        <v>0</v>
      </c>
      <c r="I797" s="35">
        <f ca="1">IFERROR(Tabela3[[#This Row],[Custo Total]]/Tabela3[[#This Row],[Aluminio Util]],0)</f>
        <v>27.947078680265122</v>
      </c>
      <c r="J797" s="35">
        <f ca="1">Tabela3[[#This Row],[Custo Total]]/Tabela3[[#This Row],[Realizado]]</f>
        <v>8.3841236040795373</v>
      </c>
      <c r="K797" s="37">
        <f>IFERROR(Tabela3[[#This Row],[Qtde Cx Produzida]]/Tabela3[[#This Row],[Tempo]]/24,0)</f>
        <v>8.235294117647058</v>
      </c>
      <c r="L797" s="37">
        <f>Tabela3[[#This Row],[Qtde Cx Produzida]]*Tabela3[[#This Row],[Qdt Peça Placa]]</f>
        <v>280</v>
      </c>
      <c r="M797" s="37">
        <f>Tabela3[[#This Row],[Previsto]]-Tabela3[[#This Row],[Perda Pçs]]</f>
        <v>280</v>
      </c>
      <c r="N797" s="38">
        <f>IFERROR(Tabela3[[#This Row],[Perda Pçs]]/Tabela3[[#This Row],[Previsto]],0)</f>
        <v>0</v>
      </c>
      <c r="O797" s="39">
        <f>IFERROR(IF(Tabela3[[#This Row],[Qtde Cx Produzida]] &lt;&gt; 0, Tabela3[[#This Row],[Tempo]] / Tabela3[[#This Row],[Qtde Cx Produzida]], 0),0)</f>
        <v>5.0595238095238098E-3</v>
      </c>
      <c r="P797" s="57">
        <f>IFERROR(Tabela3[[#This Row],[Perda Pçs]]/Tabela3[[#This Row],[Qdt Peça Placa]],0)</f>
        <v>0</v>
      </c>
      <c r="Q797" s="37">
        <f>IFERROR(Tabela3[[#This Row],[Realizado]]*Tabela3[[#This Row],[Peso Util/Pç]],0)</f>
        <v>84</v>
      </c>
      <c r="R797" s="37">
        <f>IFERROR(Tabela3[[#This Row],[Peso Total Galho]]*Tabela3[[#This Row],[Qtde Cx Produzida]]*1.055,0)</f>
        <v>169.85499999999999</v>
      </c>
      <c r="S797" s="37">
        <f>(Tabela3[[#This Row],[Aluminio Bruto]]-Tabela3[[#This Row],[Aluminio Util]])*0.9</f>
        <v>77.269499999999994</v>
      </c>
      <c r="T797" s="37">
        <f>Tabela3[[#This Row],[Aluminio Bruto]]/OleoKGAluminio</f>
        <v>71.457778879594983</v>
      </c>
      <c r="U797" s="35">
        <f>IFERROR((VLOOKUP(Tabela3[[#This Row],[Moldador]],Tabela1[],5,)+(VLOOKUP(Tabela3[[#This Row],[Ajudante]],Tabela1[],5,))*3.5),0)</f>
        <v>99.95034583333333</v>
      </c>
      <c r="V797" s="35">
        <f>IFERROR(Tabela3[[#This Row],[Custo M.O. / H]]/((Tabela3[[#This Row],[Realizado]]/Tabela3[[#This Row],[Qdt Peça Placa]])/Tabela3[[#This Row],[Tempo]]/24),)</f>
        <v>12.136827708333334</v>
      </c>
      <c r="W797" s="35">
        <f>Tabela3[[#This Row],[Custo / Cx Moldada]]*Tabela3[[#This Row],[Qtde Cx Produzida]]</f>
        <v>849.57793958333332</v>
      </c>
      <c r="X797" s="35">
        <f ca="1">Tabela3[[#This Row],[Aluminio Util]]*Tabela3[[#This Row],[Custo/Kg]]</f>
        <v>1310.4000000000001</v>
      </c>
      <c r="Y797" s="35">
        <f>IFERROR(VLOOKUP(Tabela3[[#This Row],[Data]],Tabela461213[],2,1)*(Tabela3[[#This Row],[Qtde Cx Produzida]]*Tabela3[[#This Row],[Qde macho / CX]]*Tabela3[[#This Row],[Peso Macho]]),)</f>
        <v>0</v>
      </c>
      <c r="Z797" s="35">
        <f>IFERROR(Tabela3[[#This Row],[Qtde Oleo]]*(VLOOKUP(Tabela3[[#This Row],[Data]],CompraOleo[],3,TRUE))*1.05,0)</f>
        <v>187.57666955893683</v>
      </c>
      <c r="AA797" s="47">
        <f ca="1">(Tabela3[[#This Row],[Custo Oleo]]+Tabela3[[#This Row],[Custo Aluminio]]+Tabela3[[#This Row],[Custo M.O. Total]]+Tabela3[[#This Row],[Custo Machos]])</f>
        <v>2347.5546091422702</v>
      </c>
      <c r="AB797" s="47">
        <f ca="1">Tabela3[[#This Row],[Custo Total]]*Tabela3[[#This Row],[% Perda]]</f>
        <v>0</v>
      </c>
      <c r="AC797" s="48">
        <f>IFERROR(VLOOKUP(Tabela3[[#This Row],[Produto]],Tabela2[],2,0),0)</f>
        <v>4</v>
      </c>
      <c r="AD797" s="48">
        <f>IFERROR(VLOOKUP(Tabela3[[#This Row],[Produto]],Tabela2[],3,0),0)</f>
        <v>0.3</v>
      </c>
      <c r="AE797" s="48">
        <f>IFERROR(VLOOKUP(Tabela3[[#This Row],[Produto]],Tabela2[],4,0),0)</f>
        <v>2.2999999999999998</v>
      </c>
      <c r="AF797" s="48">
        <f>IFERROR(VLOOKUP(Tabela3[[#This Row],[Produto]],Tabela2[],5,0),0)</f>
        <v>0.98999999999999988</v>
      </c>
      <c r="AG797" s="40">
        <f>IFERROR(VLOOKUP(Tabela3[[#This Row],[Produto]],Tabela2[],6,0),0)</f>
        <v>0</v>
      </c>
      <c r="AH797" s="40">
        <f>IFERROR(VLOOKUP(Tabela3[[#This Row],[Produto]],Tabela2[],7,0),0)</f>
        <v>0</v>
      </c>
      <c r="AI797" s="40">
        <f>IFERROR(VLOOKUP(Tabela3[[#This Row],[Produto]],Tabela2[],8,0),0)</f>
        <v>0</v>
      </c>
      <c r="AJ797" s="35">
        <f ca="1">IFERROR(VLOOKUP(Tabela3[[#This Row],[Produto]],Tabela2[],13,0),0)</f>
        <v>15.600000000000001</v>
      </c>
      <c r="AK797" s="40" t="str">
        <f>IFERROR(VLOOKUP(Tabela3[[#This Row],[Produto]],Tabela2[],14,0),0)</f>
        <v>Senun</v>
      </c>
      <c r="AL797" s="40">
        <f>IFERROR(VLOOKUP(Tabela3[[#This Row],[Produto]],Tabela2[],15,0),0)</f>
        <v>3.5</v>
      </c>
      <c r="AM797" s="36">
        <f ca="1">(Tabela3[[#This Row],[Custo Usinagem]]+Tabela3[[#This Row],[Custo / Pç]])*1.2</f>
        <v>14.260948324895445</v>
      </c>
      <c r="AN797" s="36">
        <f ca="1">Tabela3[[#This Row],[Valor Mínimo Venda]]*1.15</f>
        <v>16.400090573629761</v>
      </c>
      <c r="AO797" s="36">
        <f ca="1">Tabela3[[#This Row],[Tabela 1]]*1.08</f>
        <v>17.712097819520142</v>
      </c>
      <c r="AP797" s="36">
        <f ca="1">Tabela3[[#This Row],[Tabela 2]]*1.15</f>
        <v>20.368912492448164</v>
      </c>
    </row>
    <row r="798" spans="1:42">
      <c r="A798" s="9">
        <v>45964</v>
      </c>
      <c r="B798" s="6" t="s">
        <v>245</v>
      </c>
      <c r="C798" s="14">
        <v>8277</v>
      </c>
      <c r="D798" s="6" t="s">
        <v>44</v>
      </c>
      <c r="E798" s="6" t="s">
        <v>47</v>
      </c>
      <c r="F798" s="6">
        <v>54</v>
      </c>
      <c r="G798" s="15">
        <v>0.23194444444444445</v>
      </c>
      <c r="H798" s="16">
        <v>44</v>
      </c>
      <c r="I798" s="35">
        <f ca="1">IFERROR(Tabela3[[#This Row],[Custo Total]]/Tabela3[[#This Row],[Aluminio Util]],0)</f>
        <v>30.369975000098037</v>
      </c>
      <c r="J798" s="35">
        <f ca="1">Tabela3[[#This Row],[Custo Total]]/Tabela3[[#This Row],[Realizado]]</f>
        <v>10.08283170003255</v>
      </c>
      <c r="K798" s="37">
        <f>IFERROR(Tabela3[[#This Row],[Qtde Cx Produzida]]/Tabela3[[#This Row],[Tempo]]/24,0)</f>
        <v>9.7005988023952092</v>
      </c>
      <c r="L798" s="37">
        <f>Tabela3[[#This Row],[Qtde Cx Produzida]]*Tabela3[[#This Row],[Qdt Peça Placa]]</f>
        <v>216</v>
      </c>
      <c r="M798" s="37">
        <f>Tabela3[[#This Row],[Previsto]]-Tabela3[[#This Row],[Perda Pçs]]</f>
        <v>172</v>
      </c>
      <c r="N798" s="38">
        <f>IFERROR(Tabela3[[#This Row],[Perda Pçs]]/Tabela3[[#This Row],[Previsto]],0)</f>
        <v>0.20370370370370369</v>
      </c>
      <c r="O798" s="39">
        <f>IFERROR(IF(Tabela3[[#This Row],[Qtde Cx Produzida]] &lt;&gt; 0, Tabela3[[#This Row],[Tempo]] / Tabela3[[#This Row],[Qtde Cx Produzida]], 0),0)</f>
        <v>4.2952674897119344E-3</v>
      </c>
      <c r="P798" s="57">
        <f>IFERROR(Tabela3[[#This Row],[Perda Pçs]]/Tabela3[[#This Row],[Qdt Peça Placa]],0)</f>
        <v>11</v>
      </c>
      <c r="Q798" s="37">
        <f>IFERROR(Tabela3[[#This Row],[Realizado]]*Tabela3[[#This Row],[Peso Util/Pç]],0)</f>
        <v>57.104000000000006</v>
      </c>
      <c r="R798" s="37">
        <f>IFERROR(Tabela3[[#This Row],[Peso Total Galho]]*Tabela3[[#This Row],[Qtde Cx Produzida]]*1.055,0)</f>
        <v>131.03099999999998</v>
      </c>
      <c r="S798" s="37">
        <f>(Tabela3[[#This Row],[Aluminio Bruto]]-Tabela3[[#This Row],[Aluminio Util]])*0.9</f>
        <v>66.534299999999973</v>
      </c>
      <c r="T798" s="37">
        <f>Tabela3[[#This Row],[Aluminio Bruto]]/OleoKGAluminio</f>
        <v>55.12457227854469</v>
      </c>
      <c r="U798" s="35">
        <f>IFERROR((VLOOKUP(Tabela3[[#This Row],[Moldador]],Tabela1[],5,)+(VLOOKUP(Tabela3[[#This Row],[Ajudante]],Tabela1[],5,))*3.5),0)</f>
        <v>99.95034583333333</v>
      </c>
      <c r="V798" s="35">
        <f>IFERROR(Tabela3[[#This Row],[Custo M.O. / H]]/((Tabela3[[#This Row],[Realizado]]/Tabela3[[#This Row],[Qdt Peça Placa]])/Tabela3[[#This Row],[Tempo]]/24),)</f>
        <v>12.939308336563307</v>
      </c>
      <c r="W798" s="35">
        <f>Tabela3[[#This Row],[Custo / Cx Moldada]]*Tabela3[[#This Row],[Qtde Cx Produzida]]</f>
        <v>698.72265017441862</v>
      </c>
      <c r="X798" s="35">
        <f ca="1">Tabela3[[#This Row],[Aluminio Util]]*Tabela3[[#This Row],[Custo/Kg]]</f>
        <v>890.82240000000013</v>
      </c>
      <c r="Y798" s="35">
        <f>IFERROR(VLOOKUP(Tabela3[[#This Row],[Data]],Tabela461213[],2,1)*(Tabela3[[#This Row],[Qtde Cx Produzida]]*Tabela3[[#This Row],[Qde macho / CX]]*Tabela3[[#This Row],[Peso Macho]]),)</f>
        <v>0</v>
      </c>
      <c r="Z798" s="35">
        <f>IFERROR(Tabela3[[#This Row],[Qtde Oleo]]*(VLOOKUP(Tabela3[[#This Row],[Data]],CompraOleo[],3,TRUE))*1.05,0)</f>
        <v>144.70200223117982</v>
      </c>
      <c r="AA798" s="47">
        <f ca="1">(Tabela3[[#This Row],[Custo Oleo]]+Tabela3[[#This Row],[Custo Aluminio]]+Tabela3[[#This Row],[Custo M.O. Total]]+Tabela3[[#This Row],[Custo Machos]])</f>
        <v>1734.2470524055984</v>
      </c>
      <c r="AB798" s="47">
        <f ca="1">Tabela3[[#This Row],[Custo Total]]*Tabela3[[#This Row],[% Perda]]</f>
        <v>353.27254771225154</v>
      </c>
      <c r="AC798" s="48">
        <f>IFERROR(VLOOKUP(Tabela3[[#This Row],[Produto]],Tabela2[],2,0),0)</f>
        <v>4</v>
      </c>
      <c r="AD798" s="48">
        <f>IFERROR(VLOOKUP(Tabela3[[#This Row],[Produto]],Tabela2[],3,0),0)</f>
        <v>0.33200000000000002</v>
      </c>
      <c r="AE798" s="48">
        <f>IFERROR(VLOOKUP(Tabela3[[#This Row],[Produto]],Tabela2[],4,0),0)</f>
        <v>2.2999999999999998</v>
      </c>
      <c r="AF798" s="48">
        <f>IFERROR(VLOOKUP(Tabela3[[#This Row],[Produto]],Tabela2[],5,0),0)</f>
        <v>0.8747999999999998</v>
      </c>
      <c r="AG798" s="40">
        <f>IFERROR(VLOOKUP(Tabela3[[#This Row],[Produto]],Tabela2[],6,0),0)</f>
        <v>0</v>
      </c>
      <c r="AH798" s="40">
        <f>IFERROR(VLOOKUP(Tabela3[[#This Row],[Produto]],Tabela2[],7,0),0)</f>
        <v>0</v>
      </c>
      <c r="AI798" s="40">
        <f>IFERROR(VLOOKUP(Tabela3[[#This Row],[Produto]],Tabela2[],8,0),0)</f>
        <v>0</v>
      </c>
      <c r="AJ798" s="35">
        <f ca="1">IFERROR(VLOOKUP(Tabela3[[#This Row],[Produto]],Tabela2[],13,0),0)</f>
        <v>15.600000000000001</v>
      </c>
      <c r="AK798" s="40" t="str">
        <f>IFERROR(VLOOKUP(Tabela3[[#This Row],[Produto]],Tabela2[],14,0),0)</f>
        <v>Senun</v>
      </c>
      <c r="AL798" s="40">
        <f>IFERROR(VLOOKUP(Tabela3[[#This Row],[Produto]],Tabela2[],15,0),0)</f>
        <v>3.5</v>
      </c>
      <c r="AM798" s="36">
        <f ca="1">(Tabela3[[#This Row],[Custo Usinagem]]+Tabela3[[#This Row],[Custo / Pç]])*1.2</f>
        <v>16.299398040039058</v>
      </c>
      <c r="AN798" s="36">
        <f ca="1">Tabela3[[#This Row],[Valor Mínimo Venda]]*1.15</f>
        <v>18.744307746044914</v>
      </c>
      <c r="AO798" s="36">
        <f ca="1">Tabela3[[#This Row],[Tabela 1]]*1.08</f>
        <v>20.243852365728507</v>
      </c>
      <c r="AP798" s="36">
        <f ca="1">Tabela3[[#This Row],[Tabela 2]]*1.15</f>
        <v>23.280430220587782</v>
      </c>
    </row>
    <row r="799" spans="1:42">
      <c r="A799" s="9">
        <v>45964</v>
      </c>
      <c r="B799" s="6" t="s">
        <v>172</v>
      </c>
      <c r="C799" s="14">
        <v>8307</v>
      </c>
      <c r="D799" s="6" t="s">
        <v>44</v>
      </c>
      <c r="E799" s="6" t="s">
        <v>47</v>
      </c>
      <c r="F799" s="6">
        <v>7</v>
      </c>
      <c r="G799" s="15">
        <v>9.6527777777777782E-2</v>
      </c>
      <c r="H799" s="16">
        <v>0</v>
      </c>
      <c r="I799" s="35">
        <f ca="1">IFERROR(Tabela3[[#This Row],[Custo Total]]/Tabela3[[#This Row],[Aluminio Util]],0)</f>
        <v>22.899890422247076</v>
      </c>
      <c r="J799" s="35">
        <f ca="1">Tabela3[[#This Row],[Custo Total]]/Tabela3[[#This Row],[Realizado]]</f>
        <v>189.38209379198332</v>
      </c>
      <c r="K799" s="37">
        <f>IFERROR(Tabela3[[#This Row],[Qtde Cx Produzida]]/Tabela3[[#This Row],[Tempo]]/24,0)</f>
        <v>3.02158273381295</v>
      </c>
      <c r="L799" s="37">
        <f>Tabela3[[#This Row],[Qtde Cx Produzida]]*Tabela3[[#This Row],[Qdt Peça Placa]]</f>
        <v>7</v>
      </c>
      <c r="M799" s="37">
        <f>Tabela3[[#This Row],[Previsto]]-Tabela3[[#This Row],[Perda Pçs]]</f>
        <v>7</v>
      </c>
      <c r="N799" s="38">
        <f>IFERROR(Tabela3[[#This Row],[Perda Pçs]]/Tabela3[[#This Row],[Previsto]],0)</f>
        <v>0</v>
      </c>
      <c r="O799" s="39">
        <f>IFERROR(IF(Tabela3[[#This Row],[Qtde Cx Produzida]] &lt;&gt; 0, Tabela3[[#This Row],[Tempo]] / Tabela3[[#This Row],[Qtde Cx Produzida]], 0),0)</f>
        <v>1.3789682539682541E-2</v>
      </c>
      <c r="P799" s="57">
        <f>IFERROR(Tabela3[[#This Row],[Perda Pçs]]/Tabela3[[#This Row],[Qdt Peça Placa]],0)</f>
        <v>0</v>
      </c>
      <c r="Q799" s="37">
        <f>IFERROR(Tabela3[[#This Row],[Realizado]]*Tabela3[[#This Row],[Peso Util/Pç]],0)</f>
        <v>57.89</v>
      </c>
      <c r="R799" s="37">
        <f>IFERROR(Tabela3[[#This Row],[Peso Total Galho]]*Tabela3[[#This Row],[Qtde Cx Produzida]]*1.055,0)</f>
        <v>68.148780000000002</v>
      </c>
      <c r="S799" s="37">
        <f>(Tabela3[[#This Row],[Aluminio Bruto]]-Tabela3[[#This Row],[Aluminio Util]])*0.9</f>
        <v>9.2329020000000011</v>
      </c>
      <c r="T799" s="37">
        <f>Tabela3[[#This Row],[Aluminio Bruto]]/OleoKGAluminio</f>
        <v>28.670103630474024</v>
      </c>
      <c r="U799" s="35">
        <f>IFERROR((VLOOKUP(Tabela3[[#This Row],[Moldador]],Tabela1[],5,)+(VLOOKUP(Tabela3[[#This Row],[Ajudante]],Tabela1[],5,))*3.5),0)</f>
        <v>99.95034583333333</v>
      </c>
      <c r="V799" s="35">
        <f>IFERROR(Tabela3[[#This Row],[Custo M.O. / H]]/((Tabela3[[#This Row],[Realizado]]/Tabela3[[#This Row],[Qdt Peça Placa]])/Tabela3[[#This Row],[Tempo]]/24),)</f>
        <v>33.078804930555549</v>
      </c>
      <c r="W799" s="35">
        <f>Tabela3[[#This Row],[Custo / Cx Moldada]]*Tabela3[[#This Row],[Qtde Cx Produzida]]</f>
        <v>231.55163451388884</v>
      </c>
      <c r="X799" s="35">
        <f ca="1">Tabela3[[#This Row],[Aluminio Util]]*Tabela3[[#This Row],[Custo/Kg]]</f>
        <v>1018.8640000000001</v>
      </c>
      <c r="Y799" s="35">
        <f>IFERROR(VLOOKUP(Tabela3[[#This Row],[Data]],Tabela461213[],2,1)*(Tabela3[[#This Row],[Qtde Cx Produzida]]*Tabela3[[#This Row],[Qde macho / CX]]*Tabela3[[#This Row],[Peso Macho]]),)</f>
        <v>0</v>
      </c>
      <c r="Z799" s="35">
        <f>IFERROR(Tabela3[[#This Row],[Qtde Oleo]]*(VLOOKUP(Tabela3[[#This Row],[Data]],CompraOleo[],3,TRUE))*1.05,0)</f>
        <v>75.259022029994313</v>
      </c>
      <c r="AA799" s="47">
        <f ca="1">(Tabela3[[#This Row],[Custo Oleo]]+Tabela3[[#This Row],[Custo Aluminio]]+Tabela3[[#This Row],[Custo M.O. Total]]+Tabela3[[#This Row],[Custo Machos]])</f>
        <v>1325.6746565438832</v>
      </c>
      <c r="AB799" s="47">
        <f ca="1">Tabela3[[#This Row],[Custo Total]]*Tabela3[[#This Row],[% Perda]]</f>
        <v>0</v>
      </c>
      <c r="AC799" s="48">
        <f>IFERROR(VLOOKUP(Tabela3[[#This Row],[Produto]],Tabela2[],2,0),0)</f>
        <v>1</v>
      </c>
      <c r="AD799" s="48">
        <f>IFERROR(VLOOKUP(Tabela3[[#This Row],[Produto]],Tabela2[],3,0),0)</f>
        <v>8.27</v>
      </c>
      <c r="AE799" s="48">
        <f>IFERROR(VLOOKUP(Tabela3[[#This Row],[Produto]],Tabela2[],4,0),0)</f>
        <v>9.2279999999999998</v>
      </c>
      <c r="AF799" s="48">
        <f>IFERROR(VLOOKUP(Tabela3[[#This Row],[Produto]],Tabela2[],5,0),0)</f>
        <v>0.86220000000000019</v>
      </c>
      <c r="AG799" s="40">
        <f>IFERROR(VLOOKUP(Tabela3[[#This Row],[Produto]],Tabela2[],6,0),0)</f>
        <v>0</v>
      </c>
      <c r="AH799" s="40">
        <f>IFERROR(VLOOKUP(Tabela3[[#This Row],[Produto]],Tabela2[],7,0),0)</f>
        <v>0</v>
      </c>
      <c r="AI799" s="40">
        <f>IFERROR(VLOOKUP(Tabela3[[#This Row],[Produto]],Tabela2[],8,0),0)</f>
        <v>0</v>
      </c>
      <c r="AJ799" s="35">
        <f ca="1">IFERROR(VLOOKUP(Tabela3[[#This Row],[Produto]],Tabela2[],13,0),0)</f>
        <v>17.600000000000001</v>
      </c>
      <c r="AK799" s="40" t="str">
        <f>IFERROR(VLOOKUP(Tabela3[[#This Row],[Produto]],Tabela2[],14,0),0)</f>
        <v>Oscar</v>
      </c>
      <c r="AL799" s="40">
        <f>IFERROR(VLOOKUP(Tabela3[[#This Row],[Produto]],Tabela2[],15,0),0)</f>
        <v>0</v>
      </c>
      <c r="AM799" s="36">
        <f ca="1">(Tabela3[[#This Row],[Custo Usinagem]]+Tabela3[[#This Row],[Custo / Pç]])*1.2</f>
        <v>227.25851255037998</v>
      </c>
      <c r="AN799" s="36">
        <f ca="1">Tabela3[[#This Row],[Valor Mínimo Venda]]*1.15</f>
        <v>261.34728943293698</v>
      </c>
      <c r="AO799" s="36">
        <f ca="1">Tabela3[[#This Row],[Tabela 1]]*1.08</f>
        <v>282.25507258757193</v>
      </c>
      <c r="AP799" s="36">
        <f ca="1">Tabela3[[#This Row],[Tabela 2]]*1.15</f>
        <v>324.59333347570771</v>
      </c>
    </row>
    <row r="800" spans="1:42">
      <c r="A800" s="9">
        <v>45965</v>
      </c>
      <c r="B800" s="6" t="s">
        <v>247</v>
      </c>
      <c r="C800" s="14">
        <v>8294</v>
      </c>
      <c r="D800" s="6" t="s">
        <v>46</v>
      </c>
      <c r="E800" s="6" t="s">
        <v>53</v>
      </c>
      <c r="F800" s="6">
        <v>71</v>
      </c>
      <c r="G800" s="15">
        <v>0.3576388888888889</v>
      </c>
      <c r="H800" s="16">
        <v>65</v>
      </c>
      <c r="I800" s="35">
        <f ca="1">IFERROR(Tabela3[[#This Row],[Custo Total]]/Tabela3[[#This Row],[Aluminio Util]],0)</f>
        <v>35.429428355134242</v>
      </c>
      <c r="J800" s="35">
        <f ca="1">Tabela3[[#This Row],[Custo Total]]/Tabela3[[#This Row],[Realizado]]</f>
        <v>10.628828506540271</v>
      </c>
      <c r="K800" s="37">
        <f>IFERROR(Tabela3[[#This Row],[Qtde Cx Produzida]]/Tabela3[[#This Row],[Tempo]]/24,0)</f>
        <v>8.2718446601941746</v>
      </c>
      <c r="L800" s="37">
        <f>Tabela3[[#This Row],[Qtde Cx Produzida]]*Tabela3[[#This Row],[Qdt Peça Placa]]</f>
        <v>284</v>
      </c>
      <c r="M800" s="37">
        <f>Tabela3[[#This Row],[Previsto]]-Tabela3[[#This Row],[Perda Pçs]]</f>
        <v>219</v>
      </c>
      <c r="N800" s="38">
        <f>IFERROR(Tabela3[[#This Row],[Perda Pçs]]/Tabela3[[#This Row],[Previsto]],0)</f>
        <v>0.22887323943661972</v>
      </c>
      <c r="O800" s="39">
        <f>IFERROR(IF(Tabela3[[#This Row],[Qtde Cx Produzida]] &lt;&gt; 0, Tabela3[[#This Row],[Tempo]] / Tabela3[[#This Row],[Qtde Cx Produzida]], 0),0)</f>
        <v>5.03716744913928E-3</v>
      </c>
      <c r="P800" s="57">
        <f>IFERROR(Tabela3[[#This Row],[Perda Pçs]]/Tabela3[[#This Row],[Qdt Peça Placa]],0)</f>
        <v>16.25</v>
      </c>
      <c r="Q800" s="37">
        <f>IFERROR(Tabela3[[#This Row],[Realizado]]*Tabela3[[#This Row],[Peso Util/Pç]],0)</f>
        <v>65.7</v>
      </c>
      <c r="R800" s="37">
        <f>IFERROR(Tabela3[[#This Row],[Peso Total Galho]]*Tabela3[[#This Row],[Qtde Cx Produzida]]*1.055,0)</f>
        <v>172.28149999999997</v>
      </c>
      <c r="S800" s="37">
        <f>(Tabela3[[#This Row],[Aluminio Bruto]]-Tabela3[[#This Row],[Aluminio Util]])*0.9</f>
        <v>95.923349999999971</v>
      </c>
      <c r="T800" s="37">
        <f>Tabela3[[#This Row],[Aluminio Bruto]]/OleoKGAluminio</f>
        <v>72.478604292160611</v>
      </c>
      <c r="U800" s="35">
        <f>IFERROR((VLOOKUP(Tabela3[[#This Row],[Moldador]],Tabela1[],5,)+(VLOOKUP(Tabela3[[#This Row],[Ajudante]],Tabela1[],5,))*3.5),0)</f>
        <v>99.95034583333333</v>
      </c>
      <c r="V800" s="35">
        <f>IFERROR(Tabela3[[#This Row],[Custo M.O. / H]]/((Tabela3[[#This Row],[Realizado]]/Tabela3[[#This Row],[Qdt Peça Placa]])/Tabela3[[#This Row],[Tempo]]/24),)</f>
        <v>15.669536713597157</v>
      </c>
      <c r="W800" s="35">
        <f>Tabela3[[#This Row],[Custo / Cx Moldada]]*Tabela3[[#This Row],[Qtde Cx Produzida]]</f>
        <v>1112.5371066653981</v>
      </c>
      <c r="X800" s="35">
        <f ca="1">Tabela3[[#This Row],[Aluminio Util]]*Tabela3[[#This Row],[Custo/Kg]]</f>
        <v>1024.92</v>
      </c>
      <c r="Y800" s="35">
        <f>IFERROR(VLOOKUP(Tabela3[[#This Row],[Data]],Tabela461213[],2,1)*(Tabela3[[#This Row],[Qtde Cx Produzida]]*Tabela3[[#This Row],[Qde macho / CX]]*Tabela3[[#This Row],[Peso Macho]]),)</f>
        <v>0</v>
      </c>
      <c r="Z800" s="35">
        <f>IFERROR(Tabela3[[#This Row],[Qtde Oleo]]*(VLOOKUP(Tabela3[[#This Row],[Data]],CompraOleo[],3,TRUE))*1.05,0)</f>
        <v>190.25633626692164</v>
      </c>
      <c r="AA800" s="47">
        <f ca="1">(Tabela3[[#This Row],[Custo Oleo]]+Tabela3[[#This Row],[Custo Aluminio]]+Tabela3[[#This Row],[Custo M.O. Total]]+Tabela3[[#This Row],[Custo Machos]])</f>
        <v>2327.7134429323196</v>
      </c>
      <c r="AB800" s="47">
        <f ca="1">Tabela3[[#This Row],[Custo Total]]*Tabela3[[#This Row],[% Perda]]</f>
        <v>532.75131616408726</v>
      </c>
      <c r="AC800" s="48">
        <f>IFERROR(VLOOKUP(Tabela3[[#This Row],[Produto]],Tabela2[],2,0),0)</f>
        <v>4</v>
      </c>
      <c r="AD800" s="48">
        <f>IFERROR(VLOOKUP(Tabela3[[#This Row],[Produto]],Tabela2[],3,0),0)</f>
        <v>0.3</v>
      </c>
      <c r="AE800" s="48">
        <f>IFERROR(VLOOKUP(Tabela3[[#This Row],[Produto]],Tabela2[],4,0),0)</f>
        <v>2.2999999999999998</v>
      </c>
      <c r="AF800" s="48">
        <f>IFERROR(VLOOKUP(Tabela3[[#This Row],[Produto]],Tabela2[],5,0),0)</f>
        <v>0.98999999999999988</v>
      </c>
      <c r="AG800" s="40">
        <f>IFERROR(VLOOKUP(Tabela3[[#This Row],[Produto]],Tabela2[],6,0),0)</f>
        <v>0</v>
      </c>
      <c r="AH800" s="40">
        <f>IFERROR(VLOOKUP(Tabela3[[#This Row],[Produto]],Tabela2[],7,0),0)</f>
        <v>0</v>
      </c>
      <c r="AI800" s="40">
        <f>IFERROR(VLOOKUP(Tabela3[[#This Row],[Produto]],Tabela2[],8,0),0)</f>
        <v>0</v>
      </c>
      <c r="AJ800" s="35">
        <f ca="1">IFERROR(VLOOKUP(Tabela3[[#This Row],[Produto]],Tabela2[],13,0),0)</f>
        <v>15.600000000000001</v>
      </c>
      <c r="AK800" s="40" t="str">
        <f>IFERROR(VLOOKUP(Tabela3[[#This Row],[Produto]],Tabela2[],14,0),0)</f>
        <v>Senun</v>
      </c>
      <c r="AL800" s="40">
        <f>IFERROR(VLOOKUP(Tabela3[[#This Row],[Produto]],Tabela2[],15,0),0)</f>
        <v>3.5</v>
      </c>
      <c r="AM800" s="36">
        <f ca="1">(Tabela3[[#This Row],[Custo Usinagem]]+Tabela3[[#This Row],[Custo / Pç]])*1.2</f>
        <v>16.954594207848324</v>
      </c>
      <c r="AN800" s="36">
        <f ca="1">Tabela3[[#This Row],[Valor Mínimo Venda]]*1.15</f>
        <v>19.49778333902557</v>
      </c>
      <c r="AO800" s="36">
        <f ca="1">Tabela3[[#This Row],[Tabela 1]]*1.08</f>
        <v>21.057606006147619</v>
      </c>
      <c r="AP800" s="36">
        <f ca="1">Tabela3[[#This Row],[Tabela 2]]*1.15</f>
        <v>24.21624690706976</v>
      </c>
    </row>
    <row r="801" spans="1:42">
      <c r="A801" s="9">
        <v>45965</v>
      </c>
      <c r="B801" s="6" t="s">
        <v>245</v>
      </c>
      <c r="C801" s="14">
        <v>8277</v>
      </c>
      <c r="D801" s="6" t="s">
        <v>44</v>
      </c>
      <c r="E801" s="6" t="s">
        <v>47</v>
      </c>
      <c r="F801" s="6">
        <v>52</v>
      </c>
      <c r="G801" s="15">
        <v>0.20833333333333334</v>
      </c>
      <c r="H801" s="16">
        <v>80</v>
      </c>
      <c r="I801" s="35">
        <f ca="1">IFERROR(Tabela3[[#This Row],[Custo Total]]/Tabela3[[#This Row],[Aluminio Util]],0)</f>
        <v>37.988912573207919</v>
      </c>
      <c r="J801" s="35">
        <f ca="1">Tabela3[[#This Row],[Custo Total]]/Tabela3[[#This Row],[Realizado]]</f>
        <v>12.61231897430503</v>
      </c>
      <c r="K801" s="37">
        <f>IFERROR(Tabela3[[#This Row],[Qtde Cx Produzida]]/Tabela3[[#This Row],[Tempo]]/24,0)</f>
        <v>10.4</v>
      </c>
      <c r="L801" s="37">
        <f>Tabela3[[#This Row],[Qtde Cx Produzida]]*Tabela3[[#This Row],[Qdt Peça Placa]]</f>
        <v>208</v>
      </c>
      <c r="M801" s="37">
        <f>Tabela3[[#This Row],[Previsto]]-Tabela3[[#This Row],[Perda Pçs]]</f>
        <v>128</v>
      </c>
      <c r="N801" s="38">
        <f>IFERROR(Tabela3[[#This Row],[Perda Pçs]]/Tabela3[[#This Row],[Previsto]],0)</f>
        <v>0.38461538461538464</v>
      </c>
      <c r="O801" s="39">
        <f>IFERROR(IF(Tabela3[[#This Row],[Qtde Cx Produzida]] &lt;&gt; 0, Tabela3[[#This Row],[Tempo]] / Tabela3[[#This Row],[Qtde Cx Produzida]], 0),0)</f>
        <v>4.0064102564102569E-3</v>
      </c>
      <c r="P801" s="57">
        <f>IFERROR(Tabela3[[#This Row],[Perda Pçs]]/Tabela3[[#This Row],[Qdt Peça Placa]],0)</f>
        <v>20</v>
      </c>
      <c r="Q801" s="37">
        <f>IFERROR(Tabela3[[#This Row],[Realizado]]*Tabela3[[#This Row],[Peso Util/Pç]],0)</f>
        <v>42.496000000000002</v>
      </c>
      <c r="R801" s="37">
        <f>IFERROR(Tabela3[[#This Row],[Peso Total Galho]]*Tabela3[[#This Row],[Qtde Cx Produzida]]*1.055,0)</f>
        <v>126.17799999999998</v>
      </c>
      <c r="S801" s="37">
        <f>(Tabela3[[#This Row],[Aluminio Bruto]]-Tabela3[[#This Row],[Aluminio Util]])*0.9</f>
        <v>75.313799999999986</v>
      </c>
      <c r="T801" s="37">
        <f>Tabela3[[#This Row],[Aluminio Bruto]]/OleoKGAluminio</f>
        <v>53.082921453413412</v>
      </c>
      <c r="U801" s="35">
        <f>IFERROR((VLOOKUP(Tabela3[[#This Row],[Moldador]],Tabela1[],5,)+(VLOOKUP(Tabela3[[#This Row],[Ajudante]],Tabela1[],5,))*3.5),0)</f>
        <v>99.95034583333333</v>
      </c>
      <c r="V801" s="35">
        <f>IFERROR(Tabela3[[#This Row],[Custo M.O. / H]]/((Tabela3[[#This Row],[Realizado]]/Tabela3[[#This Row],[Qdt Peça Placa]])/Tabela3[[#This Row],[Tempo]]/24),)</f>
        <v>15.617241536458334</v>
      </c>
      <c r="W801" s="35">
        <f>Tabela3[[#This Row],[Custo / Cx Moldada]]*Tabela3[[#This Row],[Qtde Cx Produzida]]</f>
        <v>812.09655989583337</v>
      </c>
      <c r="X801" s="35">
        <f ca="1">Tabela3[[#This Row],[Aluminio Util]]*Tabela3[[#This Row],[Custo/Kg]]</f>
        <v>662.93760000000009</v>
      </c>
      <c r="Y801" s="35">
        <f>IFERROR(VLOOKUP(Tabela3[[#This Row],[Data]],Tabela461213[],2,1)*(Tabela3[[#This Row],[Qtde Cx Produzida]]*Tabela3[[#This Row],[Qde macho / CX]]*Tabela3[[#This Row],[Peso Macho]]),)</f>
        <v>0</v>
      </c>
      <c r="Z801" s="35">
        <f>IFERROR(Tabela3[[#This Row],[Qtde Oleo]]*(VLOOKUP(Tabela3[[#This Row],[Data]],CompraOleo[],3,TRUE))*1.05,0)</f>
        <v>139.34266881521023</v>
      </c>
      <c r="AA801" s="47">
        <f ca="1">(Tabela3[[#This Row],[Custo Oleo]]+Tabela3[[#This Row],[Custo Aluminio]]+Tabela3[[#This Row],[Custo M.O. Total]]+Tabela3[[#This Row],[Custo Machos]])</f>
        <v>1614.3768287110438</v>
      </c>
      <c r="AB801" s="47">
        <f ca="1">Tabela3[[#This Row],[Custo Total]]*Tabela3[[#This Row],[% Perda]]</f>
        <v>620.91416488886307</v>
      </c>
      <c r="AC801" s="48">
        <f>IFERROR(VLOOKUP(Tabela3[[#This Row],[Produto]],Tabela2[],2,0),0)</f>
        <v>4</v>
      </c>
      <c r="AD801" s="48">
        <f>IFERROR(VLOOKUP(Tabela3[[#This Row],[Produto]],Tabela2[],3,0),0)</f>
        <v>0.33200000000000002</v>
      </c>
      <c r="AE801" s="48">
        <f>IFERROR(VLOOKUP(Tabela3[[#This Row],[Produto]],Tabela2[],4,0),0)</f>
        <v>2.2999999999999998</v>
      </c>
      <c r="AF801" s="48">
        <f>IFERROR(VLOOKUP(Tabela3[[#This Row],[Produto]],Tabela2[],5,0),0)</f>
        <v>0.8747999999999998</v>
      </c>
      <c r="AG801" s="40">
        <f>IFERROR(VLOOKUP(Tabela3[[#This Row],[Produto]],Tabela2[],6,0),0)</f>
        <v>0</v>
      </c>
      <c r="AH801" s="40">
        <f>IFERROR(VLOOKUP(Tabela3[[#This Row],[Produto]],Tabela2[],7,0),0)</f>
        <v>0</v>
      </c>
      <c r="AI801" s="40">
        <f>IFERROR(VLOOKUP(Tabela3[[#This Row],[Produto]],Tabela2[],8,0),0)</f>
        <v>0</v>
      </c>
      <c r="AJ801" s="35">
        <f ca="1">IFERROR(VLOOKUP(Tabela3[[#This Row],[Produto]],Tabela2[],13,0),0)</f>
        <v>15.600000000000001</v>
      </c>
      <c r="AK801" s="40" t="str">
        <f>IFERROR(VLOOKUP(Tabela3[[#This Row],[Produto]],Tabela2[],14,0),0)</f>
        <v>Senun</v>
      </c>
      <c r="AL801" s="40">
        <f>IFERROR(VLOOKUP(Tabela3[[#This Row],[Produto]],Tabela2[],15,0),0)</f>
        <v>3.5</v>
      </c>
      <c r="AM801" s="36">
        <f ca="1">(Tabela3[[#This Row],[Custo Usinagem]]+Tabela3[[#This Row],[Custo / Pç]])*1.2</f>
        <v>19.334782769166036</v>
      </c>
      <c r="AN801" s="36">
        <f ca="1">Tabela3[[#This Row],[Valor Mínimo Venda]]*1.15</f>
        <v>22.23500018454094</v>
      </c>
      <c r="AO801" s="36">
        <f ca="1">Tabela3[[#This Row],[Tabela 1]]*1.08</f>
        <v>24.013800199304217</v>
      </c>
      <c r="AP801" s="36">
        <f ca="1">Tabela3[[#This Row],[Tabela 2]]*1.15</f>
        <v>27.615870229199849</v>
      </c>
    </row>
    <row r="802" spans="1:42">
      <c r="A802" s="9">
        <v>45965</v>
      </c>
      <c r="B802" s="6" t="s">
        <v>236</v>
      </c>
      <c r="C802" s="14">
        <v>8303</v>
      </c>
      <c r="D802" s="6" t="s">
        <v>44</v>
      </c>
      <c r="E802" s="6" t="s">
        <v>47</v>
      </c>
      <c r="F802" s="6">
        <v>25</v>
      </c>
      <c r="G802" s="15">
        <v>0.14722222222222223</v>
      </c>
      <c r="H802" s="16">
        <v>0</v>
      </c>
      <c r="I802" s="35">
        <f ca="1">IFERROR(Tabela3[[#This Row],[Custo Total]]/Tabela3[[#This Row],[Aluminio Util]],0)</f>
        <v>24.779664197093183</v>
      </c>
      <c r="J802" s="35">
        <f ca="1">Tabela3[[#This Row],[Custo Total]]/Tabela3[[#This Row],[Realizado]]</f>
        <v>7.4834585875221409</v>
      </c>
      <c r="K802" s="37">
        <f>IFERROR(Tabela3[[#This Row],[Qtde Cx Produzida]]/Tabela3[[#This Row],[Tempo]]/24,0)</f>
        <v>7.0754716981132075</v>
      </c>
      <c r="L802" s="37">
        <f>Tabela3[[#This Row],[Qtde Cx Produzida]]*Tabela3[[#This Row],[Qdt Peça Placa]]</f>
        <v>150</v>
      </c>
      <c r="M802" s="37">
        <f>Tabela3[[#This Row],[Previsto]]-Tabela3[[#This Row],[Perda Pçs]]</f>
        <v>150</v>
      </c>
      <c r="N802" s="38">
        <f>IFERROR(Tabela3[[#This Row],[Perda Pçs]]/Tabela3[[#This Row],[Previsto]],0)</f>
        <v>0</v>
      </c>
      <c r="O802" s="39">
        <f>IFERROR(IF(Tabela3[[#This Row],[Qtde Cx Produzida]] &lt;&gt; 0, Tabela3[[#This Row],[Tempo]] / Tabela3[[#This Row],[Qtde Cx Produzida]], 0),0)</f>
        <v>5.8888888888888888E-3</v>
      </c>
      <c r="P802" s="57">
        <f>IFERROR(Tabela3[[#This Row],[Perda Pçs]]/Tabela3[[#This Row],[Qdt Peça Placa]],0)</f>
        <v>0</v>
      </c>
      <c r="Q802" s="37">
        <f>IFERROR(Tabela3[[#This Row],[Realizado]]*Tabela3[[#This Row],[Peso Util/Pç]],0)</f>
        <v>45.3</v>
      </c>
      <c r="R802" s="37">
        <f>IFERROR(Tabela3[[#This Row],[Peso Total Galho]]*Tabela3[[#This Row],[Qtde Cx Produzida]]*1.055,0)</f>
        <v>56.759</v>
      </c>
      <c r="S802" s="37">
        <f>(Tabela3[[#This Row],[Aluminio Bruto]]-Tabela3[[#This Row],[Aluminio Util]])*0.9</f>
        <v>10.313100000000004</v>
      </c>
      <c r="T802" s="37">
        <f>Tabela3[[#This Row],[Aluminio Bruto]]/OleoKGAluminio</f>
        <v>23.878437911318077</v>
      </c>
      <c r="U802" s="35">
        <f>IFERROR((VLOOKUP(Tabela3[[#This Row],[Moldador]],Tabela1[],5,)+(VLOOKUP(Tabela3[[#This Row],[Ajudante]],Tabela1[],5,))*3.5),0)</f>
        <v>99.95034583333333</v>
      </c>
      <c r="V802" s="35">
        <f>IFERROR(Tabela3[[#This Row],[Custo M.O. / H]]/((Tabela3[[#This Row],[Realizado]]/Tabela3[[#This Row],[Qdt Peça Placa]])/Tabela3[[#This Row],[Tempo]]/24),)</f>
        <v>14.126315544444443</v>
      </c>
      <c r="W802" s="35">
        <f>Tabela3[[#This Row],[Custo / Cx Moldada]]*Tabela3[[#This Row],[Qtde Cx Produzida]]</f>
        <v>353.1578886111111</v>
      </c>
      <c r="X802" s="35">
        <f ca="1">Tabela3[[#This Row],[Aluminio Util]]*Tabela3[[#This Row],[Custo/Kg]]</f>
        <v>706.68000000000006</v>
      </c>
      <c r="Y802" s="35">
        <f>IFERROR(VLOOKUP(Tabela3[[#This Row],[Data]],Tabela461213[],2,1)*(Tabela3[[#This Row],[Qtde Cx Produzida]]*Tabela3[[#This Row],[Qde macho / CX]]*Tabela3[[#This Row],[Peso Macho]]),)</f>
        <v>0</v>
      </c>
      <c r="Z802" s="35">
        <f>IFERROR(Tabela3[[#This Row],[Qtde Oleo]]*(VLOOKUP(Tabela3[[#This Row],[Data]],CompraOleo[],3,TRUE))*1.05,0)</f>
        <v>62.680899517209951</v>
      </c>
      <c r="AA802" s="47">
        <f ca="1">(Tabela3[[#This Row],[Custo Oleo]]+Tabela3[[#This Row],[Custo Aluminio]]+Tabela3[[#This Row],[Custo M.O. Total]]+Tabela3[[#This Row],[Custo Machos]])</f>
        <v>1122.5187881283211</v>
      </c>
      <c r="AB802" s="47">
        <f ca="1">Tabela3[[#This Row],[Custo Total]]*Tabela3[[#This Row],[% Perda]]</f>
        <v>0</v>
      </c>
      <c r="AC802" s="48">
        <f>IFERROR(VLOOKUP(Tabela3[[#This Row],[Produto]],Tabela2[],2,0),0)</f>
        <v>6</v>
      </c>
      <c r="AD802" s="48">
        <f>IFERROR(VLOOKUP(Tabela3[[#This Row],[Produto]],Tabela2[],3,0),0)</f>
        <v>0.30199999999999999</v>
      </c>
      <c r="AE802" s="48">
        <f>IFERROR(VLOOKUP(Tabela3[[#This Row],[Produto]],Tabela2[],4,0),0)</f>
        <v>2.1520000000000001</v>
      </c>
      <c r="AF802" s="48">
        <f>IFERROR(VLOOKUP(Tabela3[[#This Row],[Produto]],Tabela2[],5,0),0)</f>
        <v>0.30600000000000027</v>
      </c>
      <c r="AG802" s="40">
        <f>IFERROR(VLOOKUP(Tabela3[[#This Row],[Produto]],Tabela2[],6,0),0)</f>
        <v>0</v>
      </c>
      <c r="AH802" s="40">
        <f>IFERROR(VLOOKUP(Tabela3[[#This Row],[Produto]],Tabela2[],7,0),0)</f>
        <v>0</v>
      </c>
      <c r="AI802" s="40">
        <f>IFERROR(VLOOKUP(Tabela3[[#This Row],[Produto]],Tabela2[],8,0),0)</f>
        <v>0</v>
      </c>
      <c r="AJ802" s="35">
        <f ca="1">IFERROR(VLOOKUP(Tabela3[[#This Row],[Produto]],Tabela2[],13,0),0)</f>
        <v>15.600000000000001</v>
      </c>
      <c r="AK802" s="40" t="str">
        <f>IFERROR(VLOOKUP(Tabela3[[#This Row],[Produto]],Tabela2[],14,0),0)</f>
        <v>Senun</v>
      </c>
      <c r="AL802" s="40">
        <f>IFERROR(VLOOKUP(Tabela3[[#This Row],[Produto]],Tabela2[],15,0),0)</f>
        <v>4</v>
      </c>
      <c r="AM802" s="36">
        <f ca="1">(Tabela3[[#This Row],[Custo Usinagem]]+Tabela3[[#This Row],[Custo / Pç]])*1.2</f>
        <v>13.780150305026568</v>
      </c>
      <c r="AN802" s="36">
        <f ca="1">Tabela3[[#This Row],[Valor Mínimo Venda]]*1.15</f>
        <v>15.847172850780552</v>
      </c>
      <c r="AO802" s="36">
        <f ca="1">Tabela3[[#This Row],[Tabela 1]]*1.08</f>
        <v>17.114946678842998</v>
      </c>
      <c r="AP802" s="36">
        <f ca="1">Tabela3[[#This Row],[Tabela 2]]*1.15</f>
        <v>19.682188680669444</v>
      </c>
    </row>
    <row r="803" spans="1:42">
      <c r="A803" s="9">
        <v>45966</v>
      </c>
      <c r="B803" s="6" t="s">
        <v>247</v>
      </c>
      <c r="C803" s="14">
        <v>8294</v>
      </c>
      <c r="D803" s="6" t="s">
        <v>46</v>
      </c>
      <c r="E803" s="6" t="s">
        <v>53</v>
      </c>
      <c r="F803" s="6">
        <v>15</v>
      </c>
      <c r="G803" s="15">
        <v>7.7777777777777779E-2</v>
      </c>
      <c r="H803" s="16">
        <v>0</v>
      </c>
      <c r="I803" s="35">
        <f ca="1">IFERROR(Tabela3[[#This Row],[Custo Total]]/Tabela3[[#This Row],[Aluminio Util]],0)</f>
        <v>28.198276639370061</v>
      </c>
      <c r="J803" s="35">
        <f ca="1">Tabela3[[#This Row],[Custo Total]]/Tabela3[[#This Row],[Realizado]]</f>
        <v>8.4594829918110186</v>
      </c>
      <c r="K803" s="37">
        <f>IFERROR(Tabela3[[#This Row],[Qtde Cx Produzida]]/Tabela3[[#This Row],[Tempo]]/24,0)</f>
        <v>8.0357142857142865</v>
      </c>
      <c r="L803" s="37">
        <f>Tabela3[[#This Row],[Qtde Cx Produzida]]*Tabela3[[#This Row],[Qdt Peça Placa]]</f>
        <v>60</v>
      </c>
      <c r="M803" s="37">
        <f>Tabela3[[#This Row],[Previsto]]-Tabela3[[#This Row],[Perda Pçs]]</f>
        <v>60</v>
      </c>
      <c r="N803" s="38">
        <f>IFERROR(Tabela3[[#This Row],[Perda Pçs]]/Tabela3[[#This Row],[Previsto]],0)</f>
        <v>0</v>
      </c>
      <c r="O803" s="39">
        <f>IFERROR(IF(Tabela3[[#This Row],[Qtde Cx Produzida]] &lt;&gt; 0, Tabela3[[#This Row],[Tempo]] / Tabela3[[#This Row],[Qtde Cx Produzida]], 0),0)</f>
        <v>5.185185185185185E-3</v>
      </c>
      <c r="P803" s="57">
        <f>IFERROR(Tabela3[[#This Row],[Perda Pçs]]/Tabela3[[#This Row],[Qdt Peça Placa]],0)</f>
        <v>0</v>
      </c>
      <c r="Q803" s="37">
        <f>IFERROR(Tabela3[[#This Row],[Realizado]]*Tabela3[[#This Row],[Peso Util/Pç]],0)</f>
        <v>18</v>
      </c>
      <c r="R803" s="37">
        <f>IFERROR(Tabela3[[#This Row],[Peso Total Galho]]*Tabela3[[#This Row],[Qtde Cx Produzida]]*1.055,0)</f>
        <v>36.397500000000001</v>
      </c>
      <c r="S803" s="37">
        <f>(Tabela3[[#This Row],[Aluminio Bruto]]-Tabela3[[#This Row],[Aluminio Util]])*0.9</f>
        <v>16.557750000000002</v>
      </c>
      <c r="T803" s="37">
        <f>Tabela3[[#This Row],[Aluminio Bruto]]/OleoKGAluminio</f>
        <v>15.31238118848464</v>
      </c>
      <c r="U803" s="35">
        <f>IFERROR((VLOOKUP(Tabela3[[#This Row],[Moldador]],Tabela1[],5,)+(VLOOKUP(Tabela3[[#This Row],[Ajudante]],Tabela1[],5,))*3.5),0)</f>
        <v>99.95034583333333</v>
      </c>
      <c r="V803" s="35">
        <f>IFERROR(Tabela3[[#This Row],[Custo M.O. / H]]/((Tabela3[[#This Row],[Realizado]]/Tabela3[[#This Row],[Qdt Peça Placa]])/Tabela3[[#This Row],[Tempo]]/24),)</f>
        <v>12.438265259259257</v>
      </c>
      <c r="W803" s="35">
        <f>Tabela3[[#This Row],[Custo / Cx Moldada]]*Tabela3[[#This Row],[Qtde Cx Produzida]]</f>
        <v>186.57397888888886</v>
      </c>
      <c r="X803" s="35">
        <f ca="1">Tabela3[[#This Row],[Aluminio Util]]*Tabela3[[#This Row],[Custo/Kg]]</f>
        <v>280.8</v>
      </c>
      <c r="Y803" s="35">
        <f>IFERROR(VLOOKUP(Tabela3[[#This Row],[Data]],Tabela461213[],2,1)*(Tabela3[[#This Row],[Qtde Cx Produzida]]*Tabela3[[#This Row],[Qde macho / CX]]*Tabela3[[#This Row],[Peso Macho]]),)</f>
        <v>0</v>
      </c>
      <c r="Z803" s="35">
        <f>IFERROR(Tabela3[[#This Row],[Qtde Oleo]]*(VLOOKUP(Tabela3[[#This Row],[Data]],CompraOleo[],3,TRUE))*1.05,0)</f>
        <v>40.195000619772181</v>
      </c>
      <c r="AA803" s="47">
        <f ca="1">(Tabela3[[#This Row],[Custo Oleo]]+Tabela3[[#This Row],[Custo Aluminio]]+Tabela3[[#This Row],[Custo M.O. Total]]+Tabela3[[#This Row],[Custo Machos]])</f>
        <v>507.56897950866107</v>
      </c>
      <c r="AB803" s="47">
        <f ca="1">Tabela3[[#This Row],[Custo Total]]*Tabela3[[#This Row],[% Perda]]</f>
        <v>0</v>
      </c>
      <c r="AC803" s="48">
        <f>IFERROR(VLOOKUP(Tabela3[[#This Row],[Produto]],Tabela2[],2,0),0)</f>
        <v>4</v>
      </c>
      <c r="AD803" s="48">
        <f>IFERROR(VLOOKUP(Tabela3[[#This Row],[Produto]],Tabela2[],3,0),0)</f>
        <v>0.3</v>
      </c>
      <c r="AE803" s="48">
        <f>IFERROR(VLOOKUP(Tabela3[[#This Row],[Produto]],Tabela2[],4,0),0)</f>
        <v>2.2999999999999998</v>
      </c>
      <c r="AF803" s="48">
        <f>IFERROR(VLOOKUP(Tabela3[[#This Row],[Produto]],Tabela2[],5,0),0)</f>
        <v>0.98999999999999988</v>
      </c>
      <c r="AG803" s="40">
        <f>IFERROR(VLOOKUP(Tabela3[[#This Row],[Produto]],Tabela2[],6,0),0)</f>
        <v>0</v>
      </c>
      <c r="AH803" s="40">
        <f>IFERROR(VLOOKUP(Tabela3[[#This Row],[Produto]],Tabela2[],7,0),0)</f>
        <v>0</v>
      </c>
      <c r="AI803" s="40">
        <f>IFERROR(VLOOKUP(Tabela3[[#This Row],[Produto]],Tabela2[],8,0),0)</f>
        <v>0</v>
      </c>
      <c r="AJ803" s="35">
        <f ca="1">IFERROR(VLOOKUP(Tabela3[[#This Row],[Produto]],Tabela2[],13,0),0)</f>
        <v>15.600000000000001</v>
      </c>
      <c r="AK803" s="40" t="str">
        <f>IFERROR(VLOOKUP(Tabela3[[#This Row],[Produto]],Tabela2[],14,0),0)</f>
        <v>Senun</v>
      </c>
      <c r="AL803" s="40">
        <f>IFERROR(VLOOKUP(Tabela3[[#This Row],[Produto]],Tabela2[],15,0),0)</f>
        <v>3.5</v>
      </c>
      <c r="AM803" s="36">
        <f ca="1">(Tabela3[[#This Row],[Custo Usinagem]]+Tabela3[[#This Row],[Custo / Pç]])*1.2</f>
        <v>14.351379590173222</v>
      </c>
      <c r="AN803" s="36">
        <f ca="1">Tabela3[[#This Row],[Valor Mínimo Venda]]*1.15</f>
        <v>16.504086528699204</v>
      </c>
      <c r="AO803" s="36">
        <f ca="1">Tabela3[[#This Row],[Tabela 1]]*1.08</f>
        <v>17.824413450995142</v>
      </c>
      <c r="AP803" s="36">
        <f ca="1">Tabela3[[#This Row],[Tabela 2]]*1.15</f>
        <v>20.498075468644412</v>
      </c>
    </row>
    <row r="804" spans="1:42">
      <c r="A804" s="9">
        <v>45966</v>
      </c>
      <c r="B804" s="6" t="s">
        <v>246</v>
      </c>
      <c r="C804" s="14">
        <v>8305</v>
      </c>
      <c r="D804" s="6" t="s">
        <v>46</v>
      </c>
      <c r="E804" s="6" t="s">
        <v>53</v>
      </c>
      <c r="F804" s="6">
        <v>9</v>
      </c>
      <c r="G804" s="15">
        <v>5.347222222222222E-2</v>
      </c>
      <c r="H804" s="16">
        <v>0</v>
      </c>
      <c r="I804" s="35">
        <f ca="1">IFERROR(Tabela3[[#This Row],[Custo Total]]/Tabela3[[#This Row],[Aluminio Util]],0)</f>
        <v>24.088235521866121</v>
      </c>
      <c r="J804" s="35">
        <f ca="1">Tabela3[[#This Row],[Custo Total]]/Tabela3[[#This Row],[Realizado]]</f>
        <v>12.839029533154644</v>
      </c>
      <c r="K804" s="37">
        <f>IFERROR(Tabela3[[#This Row],[Qtde Cx Produzida]]/Tabela3[[#This Row],[Tempo]]/24,0)</f>
        <v>7.012987012987014</v>
      </c>
      <c r="L804" s="37">
        <f>Tabela3[[#This Row],[Qtde Cx Produzida]]*Tabela3[[#This Row],[Qdt Peça Placa]]</f>
        <v>36</v>
      </c>
      <c r="M804" s="37">
        <f>Tabela3[[#This Row],[Previsto]]-Tabela3[[#This Row],[Perda Pçs]]</f>
        <v>36</v>
      </c>
      <c r="N804" s="38">
        <f>IFERROR(Tabela3[[#This Row],[Perda Pçs]]/Tabela3[[#This Row],[Previsto]],0)</f>
        <v>0</v>
      </c>
      <c r="O804" s="39">
        <f>IFERROR(IF(Tabela3[[#This Row],[Qtde Cx Produzida]] &lt;&gt; 0, Tabela3[[#This Row],[Tempo]] / Tabela3[[#This Row],[Qtde Cx Produzida]], 0),0)</f>
        <v>5.9413580246913573E-3</v>
      </c>
      <c r="P804" s="57">
        <f>IFERROR(Tabela3[[#This Row],[Perda Pçs]]/Tabela3[[#This Row],[Qdt Peça Placa]],0)</f>
        <v>0</v>
      </c>
      <c r="Q804" s="37">
        <f>IFERROR(Tabela3[[#This Row],[Realizado]]*Tabela3[[#This Row],[Peso Util/Pç]],0)</f>
        <v>19.188000000000002</v>
      </c>
      <c r="R804" s="37">
        <f>IFERROR(Tabela3[[#This Row],[Peso Total Galho]]*Tabela3[[#This Row],[Qtde Cx Produzida]]*1.055,0)</f>
        <v>31.333499999999997</v>
      </c>
      <c r="S804" s="37">
        <f>(Tabela3[[#This Row],[Aluminio Bruto]]-Tabela3[[#This Row],[Aluminio Util]])*0.9</f>
        <v>10.930949999999996</v>
      </c>
      <c r="T804" s="37">
        <f>Tabela3[[#This Row],[Aluminio Bruto]]/OleoKGAluminio</f>
        <v>13.181962936173733</v>
      </c>
      <c r="U804" s="35">
        <f>IFERROR((VLOOKUP(Tabela3[[#This Row],[Moldador]],Tabela1[],5,)+(VLOOKUP(Tabela3[[#This Row],[Ajudante]],Tabela1[],5,))*3.5),0)</f>
        <v>99.95034583333333</v>
      </c>
      <c r="V804" s="35">
        <f>IFERROR(Tabela3[[#This Row],[Custo M.O. / H]]/((Tabela3[[#This Row],[Realizado]]/Tabela3[[#This Row],[Qdt Peça Placa]])/Tabela3[[#This Row],[Tempo]]/24),)</f>
        <v>14.252178942901232</v>
      </c>
      <c r="W804" s="35">
        <f>Tabela3[[#This Row],[Custo / Cx Moldada]]*Tabela3[[#This Row],[Qtde Cx Produzida]]</f>
        <v>128.26961048611108</v>
      </c>
      <c r="X804" s="35">
        <f ca="1">Tabela3[[#This Row],[Aluminio Util]]*Tabela3[[#This Row],[Custo/Kg]]</f>
        <v>299.33280000000008</v>
      </c>
      <c r="Y804" s="35">
        <f>IFERROR(VLOOKUP(Tabela3[[#This Row],[Data]],Tabela461213[],2,1)*(Tabela3[[#This Row],[Qtde Cx Produzida]]*Tabela3[[#This Row],[Qde macho / CX]]*Tabela3[[#This Row],[Peso Macho]]),)</f>
        <v>0</v>
      </c>
      <c r="Z804" s="35">
        <f>IFERROR(Tabela3[[#This Row],[Qtde Oleo]]*(VLOOKUP(Tabela3[[#This Row],[Data]],CompraOleo[],3,TRUE))*1.05,0)</f>
        <v>34.602652707456052</v>
      </c>
      <c r="AA804" s="47">
        <f ca="1">(Tabela3[[#This Row],[Custo Oleo]]+Tabela3[[#This Row],[Custo Aluminio]]+Tabela3[[#This Row],[Custo M.O. Total]]+Tabela3[[#This Row],[Custo Machos]])</f>
        <v>462.20506319356718</v>
      </c>
      <c r="AB804" s="47">
        <f ca="1">Tabela3[[#This Row],[Custo Total]]*Tabela3[[#This Row],[% Perda]]</f>
        <v>0</v>
      </c>
      <c r="AC804" s="48">
        <f>IFERROR(VLOOKUP(Tabela3[[#This Row],[Produto]],Tabela2[],2,0),0)</f>
        <v>4</v>
      </c>
      <c r="AD804" s="48">
        <f>IFERROR(VLOOKUP(Tabela3[[#This Row],[Produto]],Tabela2[],3,0),0)</f>
        <v>0.53300000000000003</v>
      </c>
      <c r="AE804" s="48">
        <f>IFERROR(VLOOKUP(Tabela3[[#This Row],[Produto]],Tabela2[],4,0),0)</f>
        <v>3.3</v>
      </c>
      <c r="AF804" s="48">
        <f>IFERROR(VLOOKUP(Tabela3[[#This Row],[Produto]],Tabela2[],5,0),0)</f>
        <v>1.0511999999999997</v>
      </c>
      <c r="AG804" s="40">
        <f>IFERROR(VLOOKUP(Tabela3[[#This Row],[Produto]],Tabela2[],6,0),0)</f>
        <v>0</v>
      </c>
      <c r="AH804" s="40">
        <f>IFERROR(VLOOKUP(Tabela3[[#This Row],[Produto]],Tabela2[],7,0),0)</f>
        <v>0</v>
      </c>
      <c r="AI804" s="40">
        <f>IFERROR(VLOOKUP(Tabela3[[#This Row],[Produto]],Tabela2[],8,0),0)</f>
        <v>0</v>
      </c>
      <c r="AJ804" s="35">
        <f ca="1">IFERROR(VLOOKUP(Tabela3[[#This Row],[Produto]],Tabela2[],13,0),0)</f>
        <v>15.600000000000001</v>
      </c>
      <c r="AK804" s="40" t="str">
        <f>IFERROR(VLOOKUP(Tabela3[[#This Row],[Produto]],Tabela2[],14,0),0)</f>
        <v>Senun</v>
      </c>
      <c r="AL804" s="40">
        <f>IFERROR(VLOOKUP(Tabela3[[#This Row],[Produto]],Tabela2[],15,0),0)</f>
        <v>4</v>
      </c>
      <c r="AM804" s="36">
        <f ca="1">(Tabela3[[#This Row],[Custo Usinagem]]+Tabela3[[#This Row],[Custo / Pç]])*1.2</f>
        <v>20.206835439785571</v>
      </c>
      <c r="AN804" s="36">
        <f ca="1">Tabela3[[#This Row],[Valor Mínimo Venda]]*1.15</f>
        <v>23.237860755753406</v>
      </c>
      <c r="AO804" s="36">
        <f ca="1">Tabela3[[#This Row],[Tabela 1]]*1.08</f>
        <v>25.09688961621368</v>
      </c>
      <c r="AP804" s="36">
        <f ca="1">Tabela3[[#This Row],[Tabela 2]]*1.15</f>
        <v>28.86142305864573</v>
      </c>
    </row>
    <row r="805" spans="1:42">
      <c r="A805" s="9">
        <v>45966</v>
      </c>
      <c r="B805" s="6" t="s">
        <v>236</v>
      </c>
      <c r="C805" s="14">
        <v>8303</v>
      </c>
      <c r="D805" s="6" t="s">
        <v>44</v>
      </c>
      <c r="E805" s="6" t="s">
        <v>47</v>
      </c>
      <c r="F805" s="6">
        <v>68</v>
      </c>
      <c r="G805" s="15">
        <v>0.35416666666666669</v>
      </c>
      <c r="H805" s="16">
        <v>39</v>
      </c>
      <c r="I805" s="35">
        <f ca="1">IFERROR(Tabela3[[#This Row],[Custo Total]]/Tabela3[[#This Row],[Aluminio Util]],0)</f>
        <v>25.559464245882111</v>
      </c>
      <c r="J805" s="35">
        <f ca="1">Tabela3[[#This Row],[Custo Total]]/Tabela3[[#This Row],[Realizado]]</f>
        <v>7.7189582022563981</v>
      </c>
      <c r="K805" s="37">
        <f>IFERROR(Tabela3[[#This Row],[Qtde Cx Produzida]]/Tabela3[[#This Row],[Tempo]]/24,0)</f>
        <v>8</v>
      </c>
      <c r="L805" s="37">
        <f>Tabela3[[#This Row],[Qtde Cx Produzida]]*Tabela3[[#This Row],[Qdt Peça Placa]]</f>
        <v>408</v>
      </c>
      <c r="M805" s="37">
        <f>Tabela3[[#This Row],[Previsto]]-Tabela3[[#This Row],[Perda Pçs]]</f>
        <v>369</v>
      </c>
      <c r="N805" s="38">
        <f>IFERROR(Tabela3[[#This Row],[Perda Pçs]]/Tabela3[[#This Row],[Previsto]],0)</f>
        <v>9.5588235294117641E-2</v>
      </c>
      <c r="O805" s="39">
        <f>IFERROR(IF(Tabela3[[#This Row],[Qtde Cx Produzida]] &lt;&gt; 0, Tabela3[[#This Row],[Tempo]] / Tabela3[[#This Row],[Qtde Cx Produzida]], 0),0)</f>
        <v>5.2083333333333339E-3</v>
      </c>
      <c r="P805" s="57">
        <f>IFERROR(Tabela3[[#This Row],[Perda Pçs]]/Tabela3[[#This Row],[Qdt Peça Placa]],0)</f>
        <v>6.5</v>
      </c>
      <c r="Q805" s="37">
        <f>IFERROR(Tabela3[[#This Row],[Realizado]]*Tabela3[[#This Row],[Peso Util/Pç]],0)</f>
        <v>111.438</v>
      </c>
      <c r="R805" s="37">
        <f>IFERROR(Tabela3[[#This Row],[Peso Total Galho]]*Tabela3[[#This Row],[Qtde Cx Produzida]]*1.055,0)</f>
        <v>154.38448</v>
      </c>
      <c r="S805" s="37">
        <f>(Tabela3[[#This Row],[Aluminio Bruto]]-Tabela3[[#This Row],[Aluminio Util]])*0.9</f>
        <v>38.651831999999999</v>
      </c>
      <c r="T805" s="37">
        <f>Tabela3[[#This Row],[Aluminio Bruto]]/OleoKGAluminio</f>
        <v>64.94935111878516</v>
      </c>
      <c r="U805" s="35">
        <f>IFERROR((VLOOKUP(Tabela3[[#This Row],[Moldador]],Tabela1[],5,)+(VLOOKUP(Tabela3[[#This Row],[Ajudante]],Tabela1[],5,))*3.5),0)</f>
        <v>99.95034583333333</v>
      </c>
      <c r="V805" s="35">
        <f>IFERROR(Tabela3[[#This Row],[Custo M.O. / H]]/((Tabela3[[#This Row],[Realizado]]/Tabela3[[#This Row],[Qdt Peça Placa]])/Tabela3[[#This Row],[Tempo]]/24),)</f>
        <v>13.814275440379404</v>
      </c>
      <c r="W805" s="35">
        <f>Tabela3[[#This Row],[Custo / Cx Moldada]]*Tabela3[[#This Row],[Qtde Cx Produzida]]</f>
        <v>939.37072994579944</v>
      </c>
      <c r="X805" s="35">
        <f ca="1">Tabela3[[#This Row],[Aluminio Util]]*Tabela3[[#This Row],[Custo/Kg]]</f>
        <v>1738.4328000000003</v>
      </c>
      <c r="Y805" s="35">
        <f>IFERROR(VLOOKUP(Tabela3[[#This Row],[Data]],Tabela461213[],2,1)*(Tabela3[[#This Row],[Qtde Cx Produzida]]*Tabela3[[#This Row],[Qde macho / CX]]*Tabela3[[#This Row],[Peso Macho]]),)</f>
        <v>0</v>
      </c>
      <c r="Z805" s="35">
        <f>IFERROR(Tabela3[[#This Row],[Qtde Oleo]]*(VLOOKUP(Tabela3[[#This Row],[Data]],CompraOleo[],3,TRUE))*1.05,0)</f>
        <v>170.49204668681105</v>
      </c>
      <c r="AA805" s="47">
        <f ca="1">(Tabela3[[#This Row],[Custo Oleo]]+Tabela3[[#This Row],[Custo Aluminio]]+Tabela3[[#This Row],[Custo M.O. Total]]+Tabela3[[#This Row],[Custo Machos]])</f>
        <v>2848.2955766326108</v>
      </c>
      <c r="AB805" s="47">
        <f ca="1">Tabela3[[#This Row],[Custo Total]]*Tabela3[[#This Row],[% Perda]]</f>
        <v>272.26354776635247</v>
      </c>
      <c r="AC805" s="48">
        <f>IFERROR(VLOOKUP(Tabela3[[#This Row],[Produto]],Tabela2[],2,0),0)</f>
        <v>6</v>
      </c>
      <c r="AD805" s="48">
        <f>IFERROR(VLOOKUP(Tabela3[[#This Row],[Produto]],Tabela2[],3,0),0)</f>
        <v>0.30199999999999999</v>
      </c>
      <c r="AE805" s="48">
        <f>IFERROR(VLOOKUP(Tabela3[[#This Row],[Produto]],Tabela2[],4,0),0)</f>
        <v>2.1520000000000001</v>
      </c>
      <c r="AF805" s="48">
        <f>IFERROR(VLOOKUP(Tabela3[[#This Row],[Produto]],Tabela2[],5,0),0)</f>
        <v>0.30600000000000027</v>
      </c>
      <c r="AG805" s="40">
        <f>IFERROR(VLOOKUP(Tabela3[[#This Row],[Produto]],Tabela2[],6,0),0)</f>
        <v>0</v>
      </c>
      <c r="AH805" s="40">
        <f>IFERROR(VLOOKUP(Tabela3[[#This Row],[Produto]],Tabela2[],7,0),0)</f>
        <v>0</v>
      </c>
      <c r="AI805" s="40">
        <f>IFERROR(VLOOKUP(Tabela3[[#This Row],[Produto]],Tabela2[],8,0),0)</f>
        <v>0</v>
      </c>
      <c r="AJ805" s="35">
        <f ca="1">IFERROR(VLOOKUP(Tabela3[[#This Row],[Produto]],Tabela2[],13,0),0)</f>
        <v>15.600000000000001</v>
      </c>
      <c r="AK805" s="40" t="str">
        <f>IFERROR(VLOOKUP(Tabela3[[#This Row],[Produto]],Tabela2[],14,0),0)</f>
        <v>Senun</v>
      </c>
      <c r="AL805" s="40">
        <f>IFERROR(VLOOKUP(Tabela3[[#This Row],[Produto]],Tabela2[],15,0),0)</f>
        <v>4</v>
      </c>
      <c r="AM805" s="36">
        <f ca="1">(Tabela3[[#This Row],[Custo Usinagem]]+Tabela3[[#This Row],[Custo / Pç]])*1.2</f>
        <v>14.062749842707678</v>
      </c>
      <c r="AN805" s="36">
        <f ca="1">Tabela3[[#This Row],[Valor Mínimo Venda]]*1.15</f>
        <v>16.172162319113827</v>
      </c>
      <c r="AO805" s="36">
        <f ca="1">Tabela3[[#This Row],[Tabela 1]]*1.08</f>
        <v>17.465935304642933</v>
      </c>
      <c r="AP805" s="36">
        <f ca="1">Tabela3[[#This Row],[Tabela 2]]*1.15</f>
        <v>20.085825600339373</v>
      </c>
    </row>
    <row r="806" spans="1:42">
      <c r="A806" s="9">
        <v>45967</v>
      </c>
      <c r="B806" s="6" t="s">
        <v>246</v>
      </c>
      <c r="C806" s="14">
        <v>8305</v>
      </c>
      <c r="D806" s="6" t="s">
        <v>46</v>
      </c>
      <c r="E806" s="6" t="s">
        <v>53</v>
      </c>
      <c r="F806" s="6">
        <v>41</v>
      </c>
      <c r="G806" s="15">
        <v>0.23472222222222222</v>
      </c>
      <c r="H806" s="16">
        <v>0</v>
      </c>
      <c r="I806" s="35">
        <f ca="1">IFERROR(Tabela3[[#This Row],[Custo Total]]/Tabela3[[#This Row],[Aluminio Util]],0)</f>
        <v>23.844725228109667</v>
      </c>
      <c r="J806" s="35">
        <f ca="1">Tabela3[[#This Row],[Custo Total]]/Tabela3[[#This Row],[Realizado]]</f>
        <v>12.709238546582453</v>
      </c>
      <c r="K806" s="37">
        <f>IFERROR(Tabela3[[#This Row],[Qtde Cx Produzida]]/Tabela3[[#This Row],[Tempo]]/24,0)</f>
        <v>7.27810650887574</v>
      </c>
      <c r="L806" s="37">
        <f>Tabela3[[#This Row],[Qtde Cx Produzida]]*Tabela3[[#This Row],[Qdt Peça Placa]]</f>
        <v>164</v>
      </c>
      <c r="M806" s="37">
        <f>Tabela3[[#This Row],[Previsto]]-Tabela3[[#This Row],[Perda Pçs]]</f>
        <v>164</v>
      </c>
      <c r="N806" s="38">
        <f>IFERROR(Tabela3[[#This Row],[Perda Pçs]]/Tabela3[[#This Row],[Previsto]],0)</f>
        <v>0</v>
      </c>
      <c r="O806" s="39">
        <f>IFERROR(IF(Tabela3[[#This Row],[Qtde Cx Produzida]] &lt;&gt; 0, Tabela3[[#This Row],[Tempo]] / Tabela3[[#This Row],[Qtde Cx Produzida]], 0),0)</f>
        <v>5.7249322493224935E-3</v>
      </c>
      <c r="P806" s="57">
        <f>IFERROR(Tabela3[[#This Row],[Perda Pçs]]/Tabela3[[#This Row],[Qdt Peça Placa]],0)</f>
        <v>0</v>
      </c>
      <c r="Q806" s="37">
        <f>IFERROR(Tabela3[[#This Row],[Realizado]]*Tabela3[[#This Row],[Peso Util/Pç]],0)</f>
        <v>87.412000000000006</v>
      </c>
      <c r="R806" s="37">
        <f>IFERROR(Tabela3[[#This Row],[Peso Total Galho]]*Tabela3[[#This Row],[Qtde Cx Produzida]]*1.055,0)</f>
        <v>142.74149999999997</v>
      </c>
      <c r="S806" s="37">
        <f>(Tabela3[[#This Row],[Aluminio Bruto]]-Tabela3[[#This Row],[Aluminio Util]])*0.9</f>
        <v>49.796549999999975</v>
      </c>
      <c r="T806" s="37">
        <f>Tabela3[[#This Row],[Aluminio Bruto]]/OleoKGAluminio</f>
        <v>60.051164487013665</v>
      </c>
      <c r="U806" s="35">
        <f>IFERROR((VLOOKUP(Tabela3[[#This Row],[Moldador]],Tabela1[],5,)+(VLOOKUP(Tabela3[[#This Row],[Ajudante]],Tabela1[],5,))*3.5),0)</f>
        <v>99.95034583333333</v>
      </c>
      <c r="V806" s="35">
        <f>IFERROR(Tabela3[[#This Row],[Custo M.O. / H]]/((Tabela3[[#This Row],[Realizado]]/Tabela3[[#This Row],[Qdt Peça Placa]])/Tabela3[[#This Row],[Tempo]]/24),)</f>
        <v>13.733014996612464</v>
      </c>
      <c r="W806" s="35">
        <f>Tabela3[[#This Row],[Custo / Cx Moldada]]*Tabela3[[#This Row],[Qtde Cx Produzida]]</f>
        <v>563.05361486111099</v>
      </c>
      <c r="X806" s="35">
        <f ca="1">Tabela3[[#This Row],[Aluminio Util]]*Tabela3[[#This Row],[Custo/Kg]]</f>
        <v>1363.6272000000001</v>
      </c>
      <c r="Y806" s="35">
        <f>IFERROR(VLOOKUP(Tabela3[[#This Row],[Data]],Tabela461213[],2,1)*(Tabela3[[#This Row],[Qtde Cx Produzida]]*Tabela3[[#This Row],[Qde macho / CX]]*Tabela3[[#This Row],[Peso Macho]]),)</f>
        <v>0</v>
      </c>
      <c r="Z806" s="35">
        <f>IFERROR(Tabela3[[#This Row],[Qtde Oleo]]*(VLOOKUP(Tabela3[[#This Row],[Data]],CompraOleo[],3,TRUE))*1.05,0)</f>
        <v>157.63430677841089</v>
      </c>
      <c r="AA806" s="47">
        <f ca="1">(Tabela3[[#This Row],[Custo Oleo]]+Tabela3[[#This Row],[Custo Aluminio]]+Tabela3[[#This Row],[Custo M.O. Total]]+Tabela3[[#This Row],[Custo Machos]])</f>
        <v>2084.3151216395222</v>
      </c>
      <c r="AB806" s="47">
        <f ca="1">Tabela3[[#This Row],[Custo Total]]*Tabela3[[#This Row],[% Perda]]</f>
        <v>0</v>
      </c>
      <c r="AC806" s="48">
        <f>IFERROR(VLOOKUP(Tabela3[[#This Row],[Produto]],Tabela2[],2,0),0)</f>
        <v>4</v>
      </c>
      <c r="AD806" s="48">
        <f>IFERROR(VLOOKUP(Tabela3[[#This Row],[Produto]],Tabela2[],3,0),0)</f>
        <v>0.53300000000000003</v>
      </c>
      <c r="AE806" s="48">
        <f>IFERROR(VLOOKUP(Tabela3[[#This Row],[Produto]],Tabela2[],4,0),0)</f>
        <v>3.3</v>
      </c>
      <c r="AF806" s="48">
        <f>IFERROR(VLOOKUP(Tabela3[[#This Row],[Produto]],Tabela2[],5,0),0)</f>
        <v>1.0511999999999997</v>
      </c>
      <c r="AG806" s="40">
        <f>IFERROR(VLOOKUP(Tabela3[[#This Row],[Produto]],Tabela2[],6,0),0)</f>
        <v>0</v>
      </c>
      <c r="AH806" s="40">
        <f>IFERROR(VLOOKUP(Tabela3[[#This Row],[Produto]],Tabela2[],7,0),0)</f>
        <v>0</v>
      </c>
      <c r="AI806" s="40">
        <f>IFERROR(VLOOKUP(Tabela3[[#This Row],[Produto]],Tabela2[],8,0),0)</f>
        <v>0</v>
      </c>
      <c r="AJ806" s="35">
        <f ca="1">IFERROR(VLOOKUP(Tabela3[[#This Row],[Produto]],Tabela2[],13,0),0)</f>
        <v>15.600000000000001</v>
      </c>
      <c r="AK806" s="40" t="str">
        <f>IFERROR(VLOOKUP(Tabela3[[#This Row],[Produto]],Tabela2[],14,0),0)</f>
        <v>Senun</v>
      </c>
      <c r="AL806" s="40">
        <f>IFERROR(VLOOKUP(Tabela3[[#This Row],[Produto]],Tabela2[],15,0),0)</f>
        <v>4</v>
      </c>
      <c r="AM806" s="36">
        <f ca="1">(Tabela3[[#This Row],[Custo Usinagem]]+Tabela3[[#This Row],[Custo / Pç]])*1.2</f>
        <v>20.051086255898944</v>
      </c>
      <c r="AN806" s="36">
        <f ca="1">Tabela3[[#This Row],[Valor Mínimo Venda]]*1.15</f>
        <v>23.058749194283784</v>
      </c>
      <c r="AO806" s="36">
        <f ca="1">Tabela3[[#This Row],[Tabela 1]]*1.08</f>
        <v>24.903449129826488</v>
      </c>
      <c r="AP806" s="36">
        <f ca="1">Tabela3[[#This Row],[Tabela 2]]*1.15</f>
        <v>28.638966499300459</v>
      </c>
    </row>
    <row r="807" spans="1:42">
      <c r="A807" s="9">
        <v>45967</v>
      </c>
      <c r="B807" s="6" t="s">
        <v>242</v>
      </c>
      <c r="C807" s="14">
        <v>8306</v>
      </c>
      <c r="D807" s="6" t="s">
        <v>46</v>
      </c>
      <c r="E807" s="6" t="s">
        <v>53</v>
      </c>
      <c r="F807" s="6">
        <v>23</v>
      </c>
      <c r="G807" s="15">
        <v>0.12222222222222222</v>
      </c>
      <c r="H807" s="16">
        <v>0</v>
      </c>
      <c r="I807" s="35">
        <f ca="1">IFERROR(Tabela3[[#This Row],[Custo Total]]/Tabela3[[#This Row],[Aluminio Util]],0)</f>
        <v>22.200077318841203</v>
      </c>
      <c r="J807" s="35">
        <f ca="1">Tabela3[[#This Row],[Custo Total]]/Tabela3[[#This Row],[Realizado]]</f>
        <v>13.364446545942403</v>
      </c>
      <c r="K807" s="37">
        <f>IFERROR(Tabela3[[#This Row],[Qtde Cx Produzida]]/Tabela3[[#This Row],[Tempo]]/24,0)</f>
        <v>7.8409090909090908</v>
      </c>
      <c r="L807" s="37">
        <f>Tabela3[[#This Row],[Qtde Cx Produzida]]*Tabela3[[#This Row],[Qdt Peça Placa]]</f>
        <v>92</v>
      </c>
      <c r="M807" s="37">
        <f>Tabela3[[#This Row],[Previsto]]-Tabela3[[#This Row],[Perda Pçs]]</f>
        <v>92</v>
      </c>
      <c r="N807" s="38">
        <f>IFERROR(Tabela3[[#This Row],[Perda Pçs]]/Tabela3[[#This Row],[Previsto]],0)</f>
        <v>0</v>
      </c>
      <c r="O807" s="39">
        <f>IFERROR(IF(Tabela3[[#This Row],[Qtde Cx Produzida]] &lt;&gt; 0, Tabela3[[#This Row],[Tempo]] / Tabela3[[#This Row],[Qtde Cx Produzida]], 0),0)</f>
        <v>5.3140096618357483E-3</v>
      </c>
      <c r="P807" s="57">
        <f>IFERROR(Tabela3[[#This Row],[Perda Pçs]]/Tabela3[[#This Row],[Qdt Peça Placa]],0)</f>
        <v>0</v>
      </c>
      <c r="Q807" s="37">
        <f>IFERROR(Tabela3[[#This Row],[Realizado]]*Tabela3[[#This Row],[Peso Util/Pç]],0)</f>
        <v>55.384</v>
      </c>
      <c r="R807" s="37">
        <f>IFERROR(Tabela3[[#This Row],[Peso Total Galho]]*Tabela3[[#This Row],[Qtde Cx Produzida]]*1.055,0)</f>
        <v>65.515500000000003</v>
      </c>
      <c r="S807" s="37">
        <f>(Tabela3[[#This Row],[Aluminio Bruto]]-Tabela3[[#This Row],[Aluminio Util]])*0.9</f>
        <v>9.1183500000000031</v>
      </c>
      <c r="T807" s="37">
        <f>Tabela3[[#This Row],[Aluminio Bruto]]/OleoKGAluminio</f>
        <v>27.562286139272352</v>
      </c>
      <c r="U807" s="35">
        <f>IFERROR((VLOOKUP(Tabela3[[#This Row],[Moldador]],Tabela1[],5,)+(VLOOKUP(Tabela3[[#This Row],[Ajudante]],Tabela1[],5,))*3.5),0)</f>
        <v>99.95034583333333</v>
      </c>
      <c r="V807" s="35">
        <f>IFERROR(Tabela3[[#This Row],[Custo M.O. / H]]/((Tabela3[[#This Row],[Realizado]]/Tabela3[[#This Row],[Qdt Peça Placa]])/Tabela3[[#This Row],[Tempo]]/24),)</f>
        <v>12.747290483091787</v>
      </c>
      <c r="W807" s="35">
        <f>Tabela3[[#This Row],[Custo / Cx Moldada]]*Tabela3[[#This Row],[Qtde Cx Produzida]]</f>
        <v>293.18768111111109</v>
      </c>
      <c r="X807" s="35">
        <f ca="1">Tabela3[[#This Row],[Aluminio Util]]*Tabela3[[#This Row],[Custo/Kg]]</f>
        <v>863.99040000000014</v>
      </c>
      <c r="Y807" s="35">
        <f>IFERROR(VLOOKUP(Tabela3[[#This Row],[Data]],Tabela461213[],2,1)*(Tabela3[[#This Row],[Qtde Cx Produzida]]*Tabela3[[#This Row],[Qde macho / CX]]*Tabela3[[#This Row],[Peso Macho]]),)</f>
        <v>0</v>
      </c>
      <c r="Z807" s="35">
        <f>IFERROR(Tabela3[[#This Row],[Qtde Oleo]]*(VLOOKUP(Tabela3[[#This Row],[Data]],CompraOleo[],3,TRUE))*1.05,0)</f>
        <v>72.351001115589924</v>
      </c>
      <c r="AA807" s="47">
        <f ca="1">(Tabela3[[#This Row],[Custo Oleo]]+Tabela3[[#This Row],[Custo Aluminio]]+Tabela3[[#This Row],[Custo M.O. Total]]+Tabela3[[#This Row],[Custo Machos]])</f>
        <v>1229.5290822267011</v>
      </c>
      <c r="AB807" s="47">
        <f ca="1">Tabela3[[#This Row],[Custo Total]]*Tabela3[[#This Row],[% Perda]]</f>
        <v>0</v>
      </c>
      <c r="AC807" s="48">
        <f>IFERROR(VLOOKUP(Tabela3[[#This Row],[Produto]],Tabela2[],2,0),0)</f>
        <v>4</v>
      </c>
      <c r="AD807" s="48">
        <f>IFERROR(VLOOKUP(Tabela3[[#This Row],[Produto]],Tabela2[],3,0),0)</f>
        <v>0.60199999999999998</v>
      </c>
      <c r="AE807" s="48">
        <f>IFERROR(VLOOKUP(Tabela3[[#This Row],[Produto]],Tabela2[],4,0),0)</f>
        <v>2.7</v>
      </c>
      <c r="AF807" s="48">
        <f>IFERROR(VLOOKUP(Tabela3[[#This Row],[Produto]],Tabela2[],5,0),0)</f>
        <v>0.26280000000000026</v>
      </c>
      <c r="AG807" s="40">
        <f>IFERROR(VLOOKUP(Tabela3[[#This Row],[Produto]],Tabela2[],6,0),0)</f>
        <v>0</v>
      </c>
      <c r="AH807" s="40">
        <f>IFERROR(VLOOKUP(Tabela3[[#This Row],[Produto]],Tabela2[],7,0),0)</f>
        <v>0</v>
      </c>
      <c r="AI807" s="40">
        <f>IFERROR(VLOOKUP(Tabela3[[#This Row],[Produto]],Tabela2[],8,0),0)</f>
        <v>0</v>
      </c>
      <c r="AJ807" s="35">
        <f ca="1">IFERROR(VLOOKUP(Tabela3[[#This Row],[Produto]],Tabela2[],13,0),0)</f>
        <v>15.600000000000001</v>
      </c>
      <c r="AK807" s="40" t="str">
        <f>IFERROR(VLOOKUP(Tabela3[[#This Row],[Produto]],Tabela2[],14,0),0)</f>
        <v>Senun</v>
      </c>
      <c r="AL807" s="40">
        <f>IFERROR(VLOOKUP(Tabela3[[#This Row],[Produto]],Tabela2[],15,0),0)</f>
        <v>4</v>
      </c>
      <c r="AM807" s="36">
        <f ca="1">(Tabela3[[#This Row],[Custo Usinagem]]+Tabela3[[#This Row],[Custo / Pç]])*1.2</f>
        <v>20.837335855130885</v>
      </c>
      <c r="AN807" s="36">
        <f ca="1">Tabela3[[#This Row],[Valor Mínimo Venda]]*1.15</f>
        <v>23.962936233400516</v>
      </c>
      <c r="AO807" s="36">
        <f ca="1">Tabela3[[#This Row],[Tabela 1]]*1.08</f>
        <v>25.879971132072559</v>
      </c>
      <c r="AP807" s="36">
        <f ca="1">Tabela3[[#This Row],[Tabela 2]]*1.15</f>
        <v>29.761966801883439</v>
      </c>
    </row>
    <row r="808" spans="1:42">
      <c r="A808" s="9">
        <v>45967</v>
      </c>
      <c r="B808" s="6" t="s">
        <v>236</v>
      </c>
      <c r="C808" s="14">
        <v>8303</v>
      </c>
      <c r="D808" s="6" t="s">
        <v>44</v>
      </c>
      <c r="E808" s="6" t="s">
        <v>47</v>
      </c>
      <c r="F808" s="6">
        <v>58</v>
      </c>
      <c r="G808" s="15">
        <v>0.34027777777777779</v>
      </c>
      <c r="H808" s="16">
        <v>0</v>
      </c>
      <c r="I808" s="35">
        <f ca="1">IFERROR(Tabela3[[#This Row],[Custo Total]]/Tabela3[[#This Row],[Aluminio Util]],0)</f>
        <v>24.750499015365154</v>
      </c>
      <c r="J808" s="35">
        <f ca="1">Tabela3[[#This Row],[Custo Total]]/Tabela3[[#This Row],[Realizado]]</f>
        <v>7.4746507026402771</v>
      </c>
      <c r="K808" s="37">
        <f>IFERROR(Tabela3[[#This Row],[Qtde Cx Produzida]]/Tabela3[[#This Row],[Tempo]]/24,0)</f>
        <v>7.1020408163265296</v>
      </c>
      <c r="L808" s="37">
        <f>Tabela3[[#This Row],[Qtde Cx Produzida]]*Tabela3[[#This Row],[Qdt Peça Placa]]</f>
        <v>348</v>
      </c>
      <c r="M808" s="37">
        <f>Tabela3[[#This Row],[Previsto]]-Tabela3[[#This Row],[Perda Pçs]]</f>
        <v>348</v>
      </c>
      <c r="N808" s="38">
        <f>IFERROR(Tabela3[[#This Row],[Perda Pçs]]/Tabela3[[#This Row],[Previsto]],0)</f>
        <v>0</v>
      </c>
      <c r="O808" s="39">
        <f>IFERROR(IF(Tabela3[[#This Row],[Qtde Cx Produzida]] &lt;&gt; 0, Tabela3[[#This Row],[Tempo]] / Tabela3[[#This Row],[Qtde Cx Produzida]], 0),0)</f>
        <v>5.8668582375478928E-3</v>
      </c>
      <c r="P808" s="57">
        <f>IFERROR(Tabela3[[#This Row],[Perda Pçs]]/Tabela3[[#This Row],[Qdt Peça Placa]],0)</f>
        <v>0</v>
      </c>
      <c r="Q808" s="37">
        <f>IFERROR(Tabela3[[#This Row],[Realizado]]*Tabela3[[#This Row],[Peso Util/Pç]],0)</f>
        <v>105.096</v>
      </c>
      <c r="R808" s="37">
        <f>IFERROR(Tabela3[[#This Row],[Peso Total Galho]]*Tabela3[[#This Row],[Qtde Cx Produzida]]*1.055,0)</f>
        <v>131.68088</v>
      </c>
      <c r="S808" s="37">
        <f>(Tabela3[[#This Row],[Aluminio Bruto]]-Tabela3[[#This Row],[Aluminio Util]])*0.9</f>
        <v>23.926392</v>
      </c>
      <c r="T808" s="37">
        <f>Tabela3[[#This Row],[Aluminio Bruto]]/OleoKGAluminio</f>
        <v>55.397975954257937</v>
      </c>
      <c r="U808" s="35">
        <f>IFERROR((VLOOKUP(Tabela3[[#This Row],[Moldador]],Tabela1[],5,)+(VLOOKUP(Tabela3[[#This Row],[Ajudante]],Tabela1[],5,))*3.5),0)</f>
        <v>99.95034583333333</v>
      </c>
      <c r="V808" s="35">
        <f>IFERROR(Tabela3[[#This Row],[Custo M.O. / H]]/((Tabela3[[#This Row],[Realizado]]/Tabela3[[#This Row],[Qdt Peça Placa]])/Tabela3[[#This Row],[Tempo]]/24),)</f>
        <v>14.073468235153259</v>
      </c>
      <c r="W808" s="35">
        <f>Tabela3[[#This Row],[Custo / Cx Moldada]]*Tabela3[[#This Row],[Qtde Cx Produzida]]</f>
        <v>816.26115763888902</v>
      </c>
      <c r="X808" s="35">
        <f ca="1">Tabela3[[#This Row],[Aluminio Util]]*Tabela3[[#This Row],[Custo/Kg]]</f>
        <v>1639.4976000000001</v>
      </c>
      <c r="Y808" s="35">
        <f>IFERROR(VLOOKUP(Tabela3[[#This Row],[Data]],Tabela461213[],2,1)*(Tabela3[[#This Row],[Qtde Cx Produzida]]*Tabela3[[#This Row],[Qde macho / CX]]*Tabela3[[#This Row],[Peso Macho]]),)</f>
        <v>0</v>
      </c>
      <c r="Z808" s="35">
        <f>IFERROR(Tabela3[[#This Row],[Qtde Oleo]]*(VLOOKUP(Tabela3[[#This Row],[Data]],CompraOleo[],3,TRUE))*1.05,0)</f>
        <v>145.4196868799271</v>
      </c>
      <c r="AA808" s="47">
        <f ca="1">(Tabela3[[#This Row],[Custo Oleo]]+Tabela3[[#This Row],[Custo Aluminio]]+Tabela3[[#This Row],[Custo M.O. Total]]+Tabela3[[#This Row],[Custo Machos]])</f>
        <v>2601.1784445188164</v>
      </c>
      <c r="AB808" s="47">
        <f ca="1">Tabela3[[#This Row],[Custo Total]]*Tabela3[[#This Row],[% Perda]]</f>
        <v>0</v>
      </c>
      <c r="AC808" s="48">
        <f>IFERROR(VLOOKUP(Tabela3[[#This Row],[Produto]],Tabela2[],2,0),0)</f>
        <v>6</v>
      </c>
      <c r="AD808" s="48">
        <f>IFERROR(VLOOKUP(Tabela3[[#This Row],[Produto]],Tabela2[],3,0),0)</f>
        <v>0.30199999999999999</v>
      </c>
      <c r="AE808" s="48">
        <f>IFERROR(VLOOKUP(Tabela3[[#This Row],[Produto]],Tabela2[],4,0),0)</f>
        <v>2.1520000000000001</v>
      </c>
      <c r="AF808" s="48">
        <f>IFERROR(VLOOKUP(Tabela3[[#This Row],[Produto]],Tabela2[],5,0),0)</f>
        <v>0.30600000000000027</v>
      </c>
      <c r="AG808" s="40">
        <f>IFERROR(VLOOKUP(Tabela3[[#This Row],[Produto]],Tabela2[],6,0),0)</f>
        <v>0</v>
      </c>
      <c r="AH808" s="40">
        <f>IFERROR(VLOOKUP(Tabela3[[#This Row],[Produto]],Tabela2[],7,0),0)</f>
        <v>0</v>
      </c>
      <c r="AI808" s="40">
        <f>IFERROR(VLOOKUP(Tabela3[[#This Row],[Produto]],Tabela2[],8,0),0)</f>
        <v>0</v>
      </c>
      <c r="AJ808" s="35">
        <f ca="1">IFERROR(VLOOKUP(Tabela3[[#This Row],[Produto]],Tabela2[],13,0),0)</f>
        <v>15.600000000000001</v>
      </c>
      <c r="AK808" s="40" t="str">
        <f>IFERROR(VLOOKUP(Tabela3[[#This Row],[Produto]],Tabela2[],14,0),0)</f>
        <v>Senun</v>
      </c>
      <c r="AL808" s="40">
        <f>IFERROR(VLOOKUP(Tabela3[[#This Row],[Produto]],Tabela2[],15,0),0)</f>
        <v>4</v>
      </c>
      <c r="AM808" s="36">
        <f ca="1">(Tabela3[[#This Row],[Custo Usinagem]]+Tabela3[[#This Row],[Custo / Pç]])*1.2</f>
        <v>13.769580843168333</v>
      </c>
      <c r="AN808" s="36">
        <f ca="1">Tabela3[[#This Row],[Valor Mínimo Venda]]*1.15</f>
        <v>15.835017969643582</v>
      </c>
      <c r="AO808" s="36">
        <f ca="1">Tabela3[[#This Row],[Tabela 1]]*1.08</f>
        <v>17.101819407215071</v>
      </c>
      <c r="AP808" s="36">
        <f ca="1">Tabela3[[#This Row],[Tabela 2]]*1.15</f>
        <v>19.667092318297332</v>
      </c>
    </row>
    <row r="809" spans="1:42">
      <c r="A809" s="9">
        <v>45968</v>
      </c>
      <c r="B809" s="6" t="s">
        <v>242</v>
      </c>
      <c r="C809" s="14">
        <v>8306</v>
      </c>
      <c r="D809" s="6" t="s">
        <v>46</v>
      </c>
      <c r="E809" s="6" t="s">
        <v>53</v>
      </c>
      <c r="F809" s="6">
        <v>27</v>
      </c>
      <c r="G809" s="15">
        <v>0.13055555555555556</v>
      </c>
      <c r="H809" s="16">
        <v>8</v>
      </c>
      <c r="I809" s="35">
        <f ca="1">IFERROR(Tabela3[[#This Row],[Custo Total]]/Tabela3[[#This Row],[Aluminio Util]],0)</f>
        <v>22.62933146542029</v>
      </c>
      <c r="J809" s="35">
        <f ca="1">Tabela3[[#This Row],[Custo Total]]/Tabela3[[#This Row],[Realizado]]</f>
        <v>13.622857542183013</v>
      </c>
      <c r="K809" s="37">
        <f>IFERROR(Tabela3[[#This Row],[Qtde Cx Produzida]]/Tabela3[[#This Row],[Tempo]]/24,0)</f>
        <v>8.6170212765957448</v>
      </c>
      <c r="L809" s="37">
        <f>Tabela3[[#This Row],[Qtde Cx Produzida]]*Tabela3[[#This Row],[Qdt Peça Placa]]</f>
        <v>108</v>
      </c>
      <c r="M809" s="37">
        <f>Tabela3[[#This Row],[Previsto]]-Tabela3[[#This Row],[Perda Pçs]]</f>
        <v>100</v>
      </c>
      <c r="N809" s="38">
        <f>IFERROR(Tabela3[[#This Row],[Perda Pçs]]/Tabela3[[#This Row],[Previsto]],0)</f>
        <v>7.407407407407407E-2</v>
      </c>
      <c r="O809" s="39">
        <f>IFERROR(IF(Tabela3[[#This Row],[Qtde Cx Produzida]] &lt;&gt; 0, Tabela3[[#This Row],[Tempo]] / Tabela3[[#This Row],[Qtde Cx Produzida]], 0),0)</f>
        <v>4.8353909465020583E-3</v>
      </c>
      <c r="P809" s="57">
        <f>IFERROR(Tabela3[[#This Row],[Perda Pçs]]/Tabela3[[#This Row],[Qdt Peça Placa]],0)</f>
        <v>2</v>
      </c>
      <c r="Q809" s="37">
        <f>IFERROR(Tabela3[[#This Row],[Realizado]]*Tabela3[[#This Row],[Peso Util/Pç]],0)</f>
        <v>60.199999999999996</v>
      </c>
      <c r="R809" s="37">
        <f>IFERROR(Tabela3[[#This Row],[Peso Total Galho]]*Tabela3[[#This Row],[Qtde Cx Produzida]]*1.055,0)</f>
        <v>76.909500000000008</v>
      </c>
      <c r="S809" s="37">
        <f>(Tabela3[[#This Row],[Aluminio Bruto]]-Tabela3[[#This Row],[Aluminio Util]])*0.9</f>
        <v>15.038550000000011</v>
      </c>
      <c r="T809" s="37">
        <f>Tabela3[[#This Row],[Aluminio Bruto]]/OleoKGAluminio</f>
        <v>32.355727206971892</v>
      </c>
      <c r="U809" s="35">
        <f>IFERROR((VLOOKUP(Tabela3[[#This Row],[Moldador]],Tabela1[],5,)+(VLOOKUP(Tabela3[[#This Row],[Ajudante]],Tabela1[],5,))*3.5),0)</f>
        <v>99.95034583333333</v>
      </c>
      <c r="V809" s="35">
        <f>IFERROR(Tabela3[[#This Row],[Custo M.O. / H]]/((Tabela3[[#This Row],[Realizado]]/Tabela3[[#This Row],[Qdt Peça Placa]])/Tabela3[[#This Row],[Tempo]]/24),)</f>
        <v>12.527110011111112</v>
      </c>
      <c r="W809" s="35">
        <f>Tabela3[[#This Row],[Custo / Cx Moldada]]*Tabela3[[#This Row],[Qtde Cx Produzida]]</f>
        <v>338.23197030000006</v>
      </c>
      <c r="X809" s="35">
        <f ca="1">Tabela3[[#This Row],[Aluminio Util]]*Tabela3[[#This Row],[Custo/Kg]]</f>
        <v>939.12</v>
      </c>
      <c r="Y809" s="35">
        <f>IFERROR(VLOOKUP(Tabela3[[#This Row],[Data]],Tabela461213[],2,1)*(Tabela3[[#This Row],[Qtde Cx Produzida]]*Tabela3[[#This Row],[Qde macho / CX]]*Tabela3[[#This Row],[Peso Macho]]),)</f>
        <v>0</v>
      </c>
      <c r="Z809" s="35">
        <f>IFERROR(Tabela3[[#This Row],[Qtde Oleo]]*(VLOOKUP(Tabela3[[#This Row],[Data]],CompraOleo[],3,TRUE))*1.05,0)</f>
        <v>84.933783918301216</v>
      </c>
      <c r="AA809" s="47">
        <f ca="1">(Tabela3[[#This Row],[Custo Oleo]]+Tabela3[[#This Row],[Custo Aluminio]]+Tabela3[[#This Row],[Custo M.O. Total]]+Tabela3[[#This Row],[Custo Machos]])</f>
        <v>1362.2857542183012</v>
      </c>
      <c r="AB809" s="47">
        <f ca="1">Tabela3[[#This Row],[Custo Total]]*Tabela3[[#This Row],[% Perda]]</f>
        <v>100.91005586802231</v>
      </c>
      <c r="AC809" s="48">
        <f>IFERROR(VLOOKUP(Tabela3[[#This Row],[Produto]],Tabela2[],2,0),0)</f>
        <v>4</v>
      </c>
      <c r="AD809" s="48">
        <f>IFERROR(VLOOKUP(Tabela3[[#This Row],[Produto]],Tabela2[],3,0),0)</f>
        <v>0.60199999999999998</v>
      </c>
      <c r="AE809" s="48">
        <f>IFERROR(VLOOKUP(Tabela3[[#This Row],[Produto]],Tabela2[],4,0),0)</f>
        <v>2.7</v>
      </c>
      <c r="AF809" s="48">
        <f>IFERROR(VLOOKUP(Tabela3[[#This Row],[Produto]],Tabela2[],5,0),0)</f>
        <v>0.26280000000000026</v>
      </c>
      <c r="AG809" s="40">
        <f>IFERROR(VLOOKUP(Tabela3[[#This Row],[Produto]],Tabela2[],6,0),0)</f>
        <v>0</v>
      </c>
      <c r="AH809" s="40">
        <f>IFERROR(VLOOKUP(Tabela3[[#This Row],[Produto]],Tabela2[],7,0),0)</f>
        <v>0</v>
      </c>
      <c r="AI809" s="40">
        <f>IFERROR(VLOOKUP(Tabela3[[#This Row],[Produto]],Tabela2[],8,0),0)</f>
        <v>0</v>
      </c>
      <c r="AJ809" s="35">
        <f ca="1">IFERROR(VLOOKUP(Tabela3[[#This Row],[Produto]],Tabela2[],13,0),0)</f>
        <v>15.600000000000001</v>
      </c>
      <c r="AK809" s="40" t="str">
        <f>IFERROR(VLOOKUP(Tabela3[[#This Row],[Produto]],Tabela2[],14,0),0)</f>
        <v>Senun</v>
      </c>
      <c r="AL809" s="40">
        <f>IFERROR(VLOOKUP(Tabela3[[#This Row],[Produto]],Tabela2[],15,0),0)</f>
        <v>4</v>
      </c>
      <c r="AM809" s="36">
        <f ca="1">(Tabela3[[#This Row],[Custo Usinagem]]+Tabela3[[#This Row],[Custo / Pç]])*1.2</f>
        <v>21.147429050619614</v>
      </c>
      <c r="AN809" s="36">
        <f ca="1">Tabela3[[#This Row],[Valor Mínimo Venda]]*1.15</f>
        <v>24.319543408212553</v>
      </c>
      <c r="AO809" s="36">
        <f ca="1">Tabela3[[#This Row],[Tabela 1]]*1.08</f>
        <v>26.26510688086956</v>
      </c>
      <c r="AP809" s="36">
        <f ca="1">Tabela3[[#This Row],[Tabela 2]]*1.15</f>
        <v>30.204872912999992</v>
      </c>
    </row>
    <row r="810" spans="1:42">
      <c r="A810" s="9">
        <v>45968</v>
      </c>
      <c r="B810" s="6" t="s">
        <v>125</v>
      </c>
      <c r="C810" s="14">
        <v>8338</v>
      </c>
      <c r="D810" s="6" t="s">
        <v>46</v>
      </c>
      <c r="E810" s="6" t="s">
        <v>53</v>
      </c>
      <c r="F810" s="6">
        <v>20</v>
      </c>
      <c r="G810" s="15">
        <v>8.9583333333333334E-2</v>
      </c>
      <c r="H810" s="16">
        <v>1</v>
      </c>
      <c r="I810" s="35">
        <f ca="1">IFERROR(Tabela3[[#This Row],[Custo Total]]/Tabela3[[#This Row],[Aluminio Util]],0)</f>
        <v>25.797508861098976</v>
      </c>
      <c r="J810" s="35">
        <f ca="1">Tabela3[[#This Row],[Custo Total]]/Tabela3[[#This Row],[Realizado]]</f>
        <v>36.168107423260764</v>
      </c>
      <c r="K810" s="37">
        <f>IFERROR(Tabela3[[#This Row],[Qtde Cx Produzida]]/Tabela3[[#This Row],[Tempo]]/24,0)</f>
        <v>9.3023255813953494</v>
      </c>
      <c r="L810" s="37">
        <f>Tabela3[[#This Row],[Qtde Cx Produzida]]*Tabela3[[#This Row],[Qdt Peça Placa]]</f>
        <v>20</v>
      </c>
      <c r="M810" s="37">
        <f>Tabela3[[#This Row],[Previsto]]-Tabela3[[#This Row],[Perda Pçs]]</f>
        <v>19</v>
      </c>
      <c r="N810" s="38">
        <f>IFERROR(Tabela3[[#This Row],[Perda Pçs]]/Tabela3[[#This Row],[Previsto]],0)</f>
        <v>0.05</v>
      </c>
      <c r="O810" s="39">
        <f>IFERROR(IF(Tabela3[[#This Row],[Qtde Cx Produzida]] &lt;&gt; 0, Tabela3[[#This Row],[Tempo]] / Tabela3[[#This Row],[Qtde Cx Produzida]], 0),0)</f>
        <v>4.4791666666666669E-3</v>
      </c>
      <c r="P810" s="57">
        <f>IFERROR(Tabela3[[#This Row],[Perda Pçs]]/Tabela3[[#This Row],[Qdt Peça Placa]],0)</f>
        <v>1</v>
      </c>
      <c r="Q810" s="37">
        <f>IFERROR(Tabela3[[#This Row],[Realizado]]*Tabela3[[#This Row],[Peso Util/Pç]],0)</f>
        <v>26.637999999999998</v>
      </c>
      <c r="R810" s="37">
        <f>IFERROR(Tabela3[[#This Row],[Peso Total Galho]]*Tabela3[[#This Row],[Qtde Cx Produzida]]*1.055,0)</f>
        <v>41.144999999999996</v>
      </c>
      <c r="S810" s="37">
        <f>(Tabela3[[#This Row],[Aluminio Bruto]]-Tabela3[[#This Row],[Aluminio Util]])*0.9</f>
        <v>13.056299999999998</v>
      </c>
      <c r="T810" s="37">
        <f>Tabela3[[#This Row],[Aluminio Bruto]]/OleoKGAluminio</f>
        <v>17.309648300026112</v>
      </c>
      <c r="U810" s="35">
        <f>IFERROR((VLOOKUP(Tabela3[[#This Row],[Moldador]],Tabela1[],5,)+(VLOOKUP(Tabela3[[#This Row],[Ajudante]],Tabela1[],5,))*3.5),0)</f>
        <v>99.95034583333333</v>
      </c>
      <c r="V810" s="35">
        <f>IFERROR(Tabela3[[#This Row],[Custo M.O. / H]]/((Tabela3[[#This Row],[Realizado]]/Tabela3[[#This Row],[Qdt Peça Placa]])/Tabela3[[#This Row],[Tempo]]/24),)</f>
        <v>11.310170712719298</v>
      </c>
      <c r="W810" s="35">
        <f>Tabela3[[#This Row],[Custo / Cx Moldada]]*Tabela3[[#This Row],[Qtde Cx Produzida]]</f>
        <v>226.20341425438596</v>
      </c>
      <c r="X810" s="35">
        <f ca="1">Tabela3[[#This Row],[Aluminio Util]]*Tabela3[[#This Row],[Custo/Kg]]</f>
        <v>415.55279999999999</v>
      </c>
      <c r="Y810" s="35">
        <f>IFERROR(VLOOKUP(Tabela3[[#This Row],[Data]],Tabela461213[],2,1)*(Tabela3[[#This Row],[Qtde Cx Produzida]]*Tabela3[[#This Row],[Qde macho / CX]]*Tabela3[[#This Row],[Peso Macho]]),)</f>
        <v>0</v>
      </c>
      <c r="Z810" s="35">
        <f>IFERROR(Tabela3[[#This Row],[Qtde Oleo]]*(VLOOKUP(Tabela3[[#This Row],[Data]],CompraOleo[],3,TRUE))*1.05,0)</f>
        <v>45.437826787568547</v>
      </c>
      <c r="AA810" s="47">
        <f ca="1">(Tabela3[[#This Row],[Custo Oleo]]+Tabela3[[#This Row],[Custo Aluminio]]+Tabela3[[#This Row],[Custo M.O. Total]]+Tabela3[[#This Row],[Custo Machos]])</f>
        <v>687.19404104195451</v>
      </c>
      <c r="AB810" s="47">
        <f ca="1">Tabela3[[#This Row],[Custo Total]]*Tabela3[[#This Row],[% Perda]]</f>
        <v>34.359702052097724</v>
      </c>
      <c r="AC810" s="48">
        <f>IFERROR(VLOOKUP(Tabela3[[#This Row],[Produto]],Tabela2[],2,0),0)</f>
        <v>1</v>
      </c>
      <c r="AD810" s="48">
        <f>IFERROR(VLOOKUP(Tabela3[[#This Row],[Produto]],Tabela2[],3,0),0)</f>
        <v>1.4019999999999999</v>
      </c>
      <c r="AE810" s="48">
        <f>IFERROR(VLOOKUP(Tabela3[[#This Row],[Produto]],Tabela2[],4,0),0)</f>
        <v>1.95</v>
      </c>
      <c r="AF810" s="48">
        <f>IFERROR(VLOOKUP(Tabela3[[#This Row],[Produto]],Tabela2[],5,0),0)</f>
        <v>0.49320000000000003</v>
      </c>
      <c r="AG810" s="40">
        <f>IFERROR(VLOOKUP(Tabela3[[#This Row],[Produto]],Tabela2[],6,0),0)</f>
        <v>0</v>
      </c>
      <c r="AH810" s="40">
        <f>IFERROR(VLOOKUP(Tabela3[[#This Row],[Produto]],Tabela2[],7,0),0)</f>
        <v>0</v>
      </c>
      <c r="AI810" s="40">
        <f>IFERROR(VLOOKUP(Tabela3[[#This Row],[Produto]],Tabela2[],8,0),0)</f>
        <v>0</v>
      </c>
      <c r="AJ810" s="35">
        <f ca="1">IFERROR(VLOOKUP(Tabela3[[#This Row],[Produto]],Tabela2[],13,0),0)</f>
        <v>15.600000000000001</v>
      </c>
      <c r="AK810" s="40" t="str">
        <f>IFERROR(VLOOKUP(Tabela3[[#This Row],[Produto]],Tabela2[],14,0),0)</f>
        <v>Senun</v>
      </c>
      <c r="AL810" s="40">
        <f>IFERROR(VLOOKUP(Tabela3[[#This Row],[Produto]],Tabela2[],15,0),0)</f>
        <v>6</v>
      </c>
      <c r="AM810" s="36">
        <f ca="1">(Tabela3[[#This Row],[Custo Usinagem]]+Tabela3[[#This Row],[Custo / Pç]])*1.2</f>
        <v>50.601728907912914</v>
      </c>
      <c r="AN810" s="36">
        <f ca="1">Tabela3[[#This Row],[Valor Mínimo Venda]]*1.15</f>
        <v>58.191988244099846</v>
      </c>
      <c r="AO810" s="36">
        <f ca="1">Tabela3[[#This Row],[Tabela 1]]*1.08</f>
        <v>62.847347303627835</v>
      </c>
      <c r="AP810" s="36">
        <f ca="1">Tabela3[[#This Row],[Tabela 2]]*1.15</f>
        <v>72.274449399171999</v>
      </c>
    </row>
    <row r="811" spans="1:42">
      <c r="A811" s="9">
        <v>45968</v>
      </c>
      <c r="B811" s="6" t="s">
        <v>126</v>
      </c>
      <c r="C811" s="14">
        <v>8335</v>
      </c>
      <c r="D811" s="6" t="s">
        <v>46</v>
      </c>
      <c r="E811" s="6" t="s">
        <v>53</v>
      </c>
      <c r="F811" s="6">
        <v>20</v>
      </c>
      <c r="G811" s="15">
        <v>0.11319444444444444</v>
      </c>
      <c r="H811" s="16">
        <v>2</v>
      </c>
      <c r="I811" s="35">
        <f ca="1">IFERROR(Tabela3[[#This Row],[Custo Total]]/Tabela3[[#This Row],[Aluminio Util]],0)</f>
        <v>23.224915629628498</v>
      </c>
      <c r="J811" s="35">
        <f ca="1">Tabela3[[#This Row],[Custo Total]]/Tabela3[[#This Row],[Realizado]]</f>
        <v>72.972684908292734</v>
      </c>
      <c r="K811" s="37">
        <f>IFERROR(Tabela3[[#This Row],[Qtde Cx Produzida]]/Tabela3[[#This Row],[Tempo]]/24,0)</f>
        <v>7.3619631901840492</v>
      </c>
      <c r="L811" s="37">
        <f>Tabela3[[#This Row],[Qtde Cx Produzida]]*Tabela3[[#This Row],[Qdt Peça Placa]]</f>
        <v>20</v>
      </c>
      <c r="M811" s="37">
        <f>Tabela3[[#This Row],[Previsto]]-Tabela3[[#This Row],[Perda Pçs]]</f>
        <v>18</v>
      </c>
      <c r="N811" s="38">
        <f>IFERROR(Tabela3[[#This Row],[Perda Pçs]]/Tabela3[[#This Row],[Previsto]],0)</f>
        <v>0.1</v>
      </c>
      <c r="O811" s="39">
        <f>IFERROR(IF(Tabela3[[#This Row],[Qtde Cx Produzida]] &lt;&gt; 0, Tabela3[[#This Row],[Tempo]] / Tabela3[[#This Row],[Qtde Cx Produzida]], 0),0)</f>
        <v>5.6597222222222222E-3</v>
      </c>
      <c r="P811" s="57">
        <f>IFERROR(Tabela3[[#This Row],[Perda Pçs]]/Tabela3[[#This Row],[Qdt Peça Placa]],0)</f>
        <v>2</v>
      </c>
      <c r="Q811" s="37">
        <f>IFERROR(Tabela3[[#This Row],[Realizado]]*Tabela3[[#This Row],[Peso Util/Pç]],0)</f>
        <v>56.555999999999997</v>
      </c>
      <c r="R811" s="37">
        <f>IFERROR(Tabela3[[#This Row],[Peso Total Galho]]*Tabela3[[#This Row],[Qtde Cx Produzida]]*1.055,0)</f>
        <v>117.2949</v>
      </c>
      <c r="S811" s="37">
        <f>(Tabela3[[#This Row],[Aluminio Bruto]]-Tabela3[[#This Row],[Aluminio Util]])*0.9</f>
        <v>54.665010000000002</v>
      </c>
      <c r="T811" s="37">
        <f>Tabela3[[#This Row],[Aluminio Bruto]]/OleoKGAluminio</f>
        <v>49.345812769151365</v>
      </c>
      <c r="U811" s="35">
        <f>IFERROR((VLOOKUP(Tabela3[[#This Row],[Moldador]],Tabela1[],5,)+(VLOOKUP(Tabela3[[#This Row],[Ajudante]],Tabela1[],5,))*3.5),0)</f>
        <v>99.95034583333333</v>
      </c>
      <c r="V811" s="35">
        <f>IFERROR(Tabela3[[#This Row],[Custo M.O. / H]]/((Tabela3[[#This Row],[Realizado]]/Tabela3[[#This Row],[Qdt Peça Placa]])/Tabela3[[#This Row],[Tempo]]/24),)</f>
        <v>15.085098491512346</v>
      </c>
      <c r="W811" s="35">
        <f>Tabela3[[#This Row],[Custo / Cx Moldada]]*Tabela3[[#This Row],[Qtde Cx Produzida]]</f>
        <v>301.70196983024692</v>
      </c>
      <c r="X811" s="35">
        <f ca="1">Tabela3[[#This Row],[Aluminio Util]]*Tabela3[[#This Row],[Custo/Kg]]</f>
        <v>882.27359999999999</v>
      </c>
      <c r="Y811" s="35">
        <f>IFERROR(VLOOKUP(Tabela3[[#This Row],[Data]],Tabela461213[],2,1)*(Tabela3[[#This Row],[Qtde Cx Produzida]]*Tabela3[[#This Row],[Qde macho / CX]]*Tabela3[[#This Row],[Peso Macho]]),)</f>
        <v>0</v>
      </c>
      <c r="Z811" s="35">
        <f>IFERROR(Tabela3[[#This Row],[Qtde Oleo]]*(VLOOKUP(Tabela3[[#This Row],[Data]],CompraOleo[],3,TRUE))*1.05,0)</f>
        <v>129.53275851902234</v>
      </c>
      <c r="AA811" s="47">
        <f ca="1">(Tabela3[[#This Row],[Custo Oleo]]+Tabela3[[#This Row],[Custo Aluminio]]+Tabela3[[#This Row],[Custo M.O. Total]]+Tabela3[[#This Row],[Custo Machos]])</f>
        <v>1313.5083283492693</v>
      </c>
      <c r="AB811" s="47">
        <f ca="1">Tabela3[[#This Row],[Custo Total]]*Tabela3[[#This Row],[% Perda]]</f>
        <v>131.35083283492693</v>
      </c>
      <c r="AC811" s="48">
        <f>IFERROR(VLOOKUP(Tabela3[[#This Row],[Produto]],Tabela2[],2,0),0)</f>
        <v>1</v>
      </c>
      <c r="AD811" s="48">
        <f>IFERROR(VLOOKUP(Tabela3[[#This Row],[Produto]],Tabela2[],3,0),0)</f>
        <v>3.1419999999999999</v>
      </c>
      <c r="AE811" s="48">
        <f>IFERROR(VLOOKUP(Tabela3[[#This Row],[Produto]],Tabela2[],4,0),0)</f>
        <v>5.5590000000000002</v>
      </c>
      <c r="AF811" s="48">
        <f>IFERROR(VLOOKUP(Tabela3[[#This Row],[Produto]],Tabela2[],5,0),0)</f>
        <v>2.1753000000000005</v>
      </c>
      <c r="AG811" s="40">
        <f>IFERROR(VLOOKUP(Tabela3[[#This Row],[Produto]],Tabela2[],6,0),0)</f>
        <v>0</v>
      </c>
      <c r="AH811" s="40">
        <f>IFERROR(VLOOKUP(Tabela3[[#This Row],[Produto]],Tabela2[],7,0),0)</f>
        <v>0</v>
      </c>
      <c r="AI811" s="40">
        <f>IFERROR(VLOOKUP(Tabela3[[#This Row],[Produto]],Tabela2[],8,0),0)</f>
        <v>0</v>
      </c>
      <c r="AJ811" s="35">
        <f ca="1">IFERROR(VLOOKUP(Tabela3[[#This Row],[Produto]],Tabela2[],13,0),0)</f>
        <v>15.600000000000001</v>
      </c>
      <c r="AK811" s="40" t="str">
        <f>IFERROR(VLOOKUP(Tabela3[[#This Row],[Produto]],Tabela2[],14,0),0)</f>
        <v>Senun</v>
      </c>
      <c r="AL811" s="40">
        <f>IFERROR(VLOOKUP(Tabela3[[#This Row],[Produto]],Tabela2[],15,0),0)</f>
        <v>6.5</v>
      </c>
      <c r="AM811" s="36">
        <f ca="1">(Tabela3[[#This Row],[Custo Usinagem]]+Tabela3[[#This Row],[Custo / Pç]])*1.2</f>
        <v>95.367221889951281</v>
      </c>
      <c r="AN811" s="36">
        <f ca="1">Tabela3[[#This Row],[Valor Mínimo Venda]]*1.15</f>
        <v>109.67230517344396</v>
      </c>
      <c r="AO811" s="36">
        <f ca="1">Tabela3[[#This Row],[Tabela 1]]*1.08</f>
        <v>118.44608958731948</v>
      </c>
      <c r="AP811" s="36">
        <f ca="1">Tabela3[[#This Row],[Tabela 2]]*1.15</f>
        <v>136.21300302541738</v>
      </c>
    </row>
    <row r="812" spans="1:42">
      <c r="A812" s="9">
        <v>45968</v>
      </c>
      <c r="B812" s="6" t="s">
        <v>236</v>
      </c>
      <c r="C812" s="14">
        <v>8303</v>
      </c>
      <c r="D812" s="6" t="s">
        <v>44</v>
      </c>
      <c r="E812" s="6" t="s">
        <v>47</v>
      </c>
      <c r="F812" s="6">
        <v>16</v>
      </c>
      <c r="G812" s="15">
        <v>9.583333333333334E-2</v>
      </c>
      <c r="H812" s="16">
        <v>0</v>
      </c>
      <c r="I812" s="35">
        <f ca="1">IFERROR(Tabela3[[#This Row],[Custo Total]]/Tabela3[[#This Row],[Aluminio Util]],0)</f>
        <v>24.912968098360967</v>
      </c>
      <c r="J812" s="35">
        <f ca="1">Tabela3[[#This Row],[Custo Total]]/Tabela3[[#This Row],[Realizado]]</f>
        <v>7.5237163657050106</v>
      </c>
      <c r="K812" s="37">
        <f>IFERROR(Tabela3[[#This Row],[Qtde Cx Produzida]]/Tabela3[[#This Row],[Tempo]]/24,0)</f>
        <v>6.9565217391304346</v>
      </c>
      <c r="L812" s="37">
        <f>Tabela3[[#This Row],[Qtde Cx Produzida]]*Tabela3[[#This Row],[Qdt Peça Placa]]</f>
        <v>96</v>
      </c>
      <c r="M812" s="37">
        <f>Tabela3[[#This Row],[Previsto]]-Tabela3[[#This Row],[Perda Pçs]]</f>
        <v>96</v>
      </c>
      <c r="N812" s="38">
        <f>IFERROR(Tabela3[[#This Row],[Perda Pçs]]/Tabela3[[#This Row],[Previsto]],0)</f>
        <v>0</v>
      </c>
      <c r="O812" s="39">
        <f>IFERROR(IF(Tabela3[[#This Row],[Qtde Cx Produzida]] &lt;&gt; 0, Tabela3[[#This Row],[Tempo]] / Tabela3[[#This Row],[Qtde Cx Produzida]], 0),0)</f>
        <v>5.9895833333333337E-3</v>
      </c>
      <c r="P812" s="57">
        <f>IFERROR(Tabela3[[#This Row],[Perda Pçs]]/Tabela3[[#This Row],[Qdt Peça Placa]],0)</f>
        <v>0</v>
      </c>
      <c r="Q812" s="37">
        <f>IFERROR(Tabela3[[#This Row],[Realizado]]*Tabela3[[#This Row],[Peso Util/Pç]],0)</f>
        <v>28.991999999999997</v>
      </c>
      <c r="R812" s="37">
        <f>IFERROR(Tabela3[[#This Row],[Peso Total Galho]]*Tabela3[[#This Row],[Qtde Cx Produzida]]*1.055,0)</f>
        <v>36.325760000000002</v>
      </c>
      <c r="S812" s="37">
        <f>(Tabela3[[#This Row],[Aluminio Bruto]]-Tabela3[[#This Row],[Aluminio Util]])*0.9</f>
        <v>6.6003840000000045</v>
      </c>
      <c r="T812" s="37">
        <f>Tabela3[[#This Row],[Aluminio Bruto]]/OleoKGAluminio</f>
        <v>15.282200263243569</v>
      </c>
      <c r="U812" s="35">
        <f>IFERROR((VLOOKUP(Tabela3[[#This Row],[Moldador]],Tabela1[],5,)+(VLOOKUP(Tabela3[[#This Row],[Ajudante]],Tabela1[],5,))*3.5),0)</f>
        <v>99.95034583333333</v>
      </c>
      <c r="V812" s="35">
        <f>IFERROR(Tabela3[[#This Row],[Custo M.O. / H]]/((Tabela3[[#This Row],[Realizado]]/Tabela3[[#This Row],[Qdt Peça Placa]])/Tabela3[[#This Row],[Tempo]]/24),)</f>
        <v>14.367862213541667</v>
      </c>
      <c r="W812" s="35">
        <f>Tabela3[[#This Row],[Custo / Cx Moldada]]*Tabela3[[#This Row],[Qtde Cx Produzida]]</f>
        <v>229.88579541666667</v>
      </c>
      <c r="X812" s="35">
        <f ca="1">Tabela3[[#This Row],[Aluminio Util]]*Tabela3[[#This Row],[Custo/Kg]]</f>
        <v>452.27519999999998</v>
      </c>
      <c r="Y812" s="35">
        <f>IFERROR(VLOOKUP(Tabela3[[#This Row],[Data]],Tabela461213[],2,1)*(Tabela3[[#This Row],[Qtde Cx Produzida]]*Tabela3[[#This Row],[Qde macho / CX]]*Tabela3[[#This Row],[Peso Macho]]),)</f>
        <v>0</v>
      </c>
      <c r="Z812" s="35">
        <f>IFERROR(Tabela3[[#This Row],[Qtde Oleo]]*(VLOOKUP(Tabela3[[#This Row],[Data]],CompraOleo[],3,TRUE))*1.05,0)</f>
        <v>40.11577569101437</v>
      </c>
      <c r="AA812" s="47">
        <f ca="1">(Tabela3[[#This Row],[Custo Oleo]]+Tabela3[[#This Row],[Custo Aluminio]]+Tabela3[[#This Row],[Custo M.O. Total]]+Tabela3[[#This Row],[Custo Machos]])</f>
        <v>722.27677110768104</v>
      </c>
      <c r="AB812" s="47">
        <f ca="1">Tabela3[[#This Row],[Custo Total]]*Tabela3[[#This Row],[% Perda]]</f>
        <v>0</v>
      </c>
      <c r="AC812" s="48">
        <f>IFERROR(VLOOKUP(Tabela3[[#This Row],[Produto]],Tabela2[],2,0),0)</f>
        <v>6</v>
      </c>
      <c r="AD812" s="48">
        <f>IFERROR(VLOOKUP(Tabela3[[#This Row],[Produto]],Tabela2[],3,0),0)</f>
        <v>0.30199999999999999</v>
      </c>
      <c r="AE812" s="48">
        <f>IFERROR(VLOOKUP(Tabela3[[#This Row],[Produto]],Tabela2[],4,0),0)</f>
        <v>2.1520000000000001</v>
      </c>
      <c r="AF812" s="48">
        <f>IFERROR(VLOOKUP(Tabela3[[#This Row],[Produto]],Tabela2[],5,0),0)</f>
        <v>0.30600000000000027</v>
      </c>
      <c r="AG812" s="40">
        <f>IFERROR(VLOOKUP(Tabela3[[#This Row],[Produto]],Tabela2[],6,0),0)</f>
        <v>0</v>
      </c>
      <c r="AH812" s="40">
        <f>IFERROR(VLOOKUP(Tabela3[[#This Row],[Produto]],Tabela2[],7,0),0)</f>
        <v>0</v>
      </c>
      <c r="AI812" s="40">
        <f>IFERROR(VLOOKUP(Tabela3[[#This Row],[Produto]],Tabela2[],8,0),0)</f>
        <v>0</v>
      </c>
      <c r="AJ812" s="35">
        <f ca="1">IFERROR(VLOOKUP(Tabela3[[#This Row],[Produto]],Tabela2[],13,0),0)</f>
        <v>15.600000000000001</v>
      </c>
      <c r="AK812" s="40" t="str">
        <f>IFERROR(VLOOKUP(Tabela3[[#This Row],[Produto]],Tabela2[],14,0),0)</f>
        <v>Senun</v>
      </c>
      <c r="AL812" s="40">
        <f>IFERROR(VLOOKUP(Tabela3[[#This Row],[Produto]],Tabela2[],15,0),0)</f>
        <v>4</v>
      </c>
      <c r="AM812" s="36">
        <f ca="1">(Tabela3[[#This Row],[Custo Usinagem]]+Tabela3[[#This Row],[Custo / Pç]])*1.2</f>
        <v>13.828459638846011</v>
      </c>
      <c r="AN812" s="36">
        <f ca="1">Tabela3[[#This Row],[Valor Mínimo Venda]]*1.15</f>
        <v>15.902728584672913</v>
      </c>
      <c r="AO812" s="36">
        <f ca="1">Tabela3[[#This Row],[Tabela 1]]*1.08</f>
        <v>17.174946871446746</v>
      </c>
      <c r="AP812" s="36">
        <f ca="1">Tabela3[[#This Row],[Tabela 2]]*1.15</f>
        <v>19.751188902163758</v>
      </c>
    </row>
    <row r="813" spans="1:42">
      <c r="A813" s="9">
        <v>45968</v>
      </c>
      <c r="B813" s="6" t="s">
        <v>121</v>
      </c>
      <c r="C813" s="14">
        <v>8314</v>
      </c>
      <c r="D813" s="6" t="s">
        <v>44</v>
      </c>
      <c r="E813" s="6" t="s">
        <v>47</v>
      </c>
      <c r="F813" s="6">
        <v>18</v>
      </c>
      <c r="G813" s="15">
        <v>0.15277777777777779</v>
      </c>
      <c r="H813" s="16">
        <v>0</v>
      </c>
      <c r="I813" s="35">
        <f ca="1">IFERROR(Tabela3[[#This Row],[Custo Total]]/Tabela3[[#This Row],[Aluminio Util]],0)</f>
        <v>31.221429169925948</v>
      </c>
      <c r="J813" s="35">
        <f ca="1">Tabela3[[#This Row],[Custo Total]]/Tabela3[[#This Row],[Realizado]]</f>
        <v>13.269107397218527</v>
      </c>
      <c r="K813" s="37">
        <f>IFERROR(Tabela3[[#This Row],[Qtde Cx Produzida]]/Tabela3[[#This Row],[Tempo]]/24,0)</f>
        <v>4.9090909090909092</v>
      </c>
      <c r="L813" s="37">
        <f>Tabela3[[#This Row],[Qtde Cx Produzida]]*Tabela3[[#This Row],[Qdt Peça Placa]]</f>
        <v>72</v>
      </c>
      <c r="M813" s="37">
        <f>Tabela3[[#This Row],[Previsto]]-Tabela3[[#This Row],[Perda Pçs]]</f>
        <v>72</v>
      </c>
      <c r="N813" s="38">
        <f>IFERROR(Tabela3[[#This Row],[Perda Pçs]]/Tabela3[[#This Row],[Previsto]],0)</f>
        <v>0</v>
      </c>
      <c r="O813" s="39">
        <f>IFERROR(IF(Tabela3[[#This Row],[Qtde Cx Produzida]] &lt;&gt; 0, Tabela3[[#This Row],[Tempo]] / Tabela3[[#This Row],[Qtde Cx Produzida]], 0),0)</f>
        <v>8.4876543209876556E-3</v>
      </c>
      <c r="P813" s="57">
        <f>IFERROR(Tabela3[[#This Row],[Perda Pçs]]/Tabela3[[#This Row],[Qdt Peça Placa]],0)</f>
        <v>0</v>
      </c>
      <c r="Q813" s="37">
        <f>IFERROR(Tabela3[[#This Row],[Realizado]]*Tabela3[[#This Row],[Peso Util/Pç]],0)</f>
        <v>30.599999999999998</v>
      </c>
      <c r="R813" s="37">
        <f>IFERROR(Tabela3[[#This Row],[Peso Total Galho]]*Tabela3[[#This Row],[Qtde Cx Produzida]]*1.055,0)</f>
        <v>45.575999999999993</v>
      </c>
      <c r="S813" s="37">
        <f>(Tabela3[[#This Row],[Aluminio Bruto]]-Tabela3[[#This Row],[Aluminio Util]])*0.9</f>
        <v>13.478399999999997</v>
      </c>
      <c r="T813" s="37">
        <f>Tabela3[[#This Row],[Aluminio Bruto]]/OleoKGAluminio</f>
        <v>19.173764270798156</v>
      </c>
      <c r="U813" s="35">
        <f>IFERROR((VLOOKUP(Tabela3[[#This Row],[Moldador]],Tabela1[],5,)+(VLOOKUP(Tabela3[[#This Row],[Ajudante]],Tabela1[],5,))*3.5),0)</f>
        <v>99.95034583333333</v>
      </c>
      <c r="V813" s="35">
        <f>IFERROR(Tabela3[[#This Row],[Custo M.O. / H]]/((Tabela3[[#This Row],[Realizado]]/Tabela3[[#This Row],[Qdt Peça Placa]])/Tabela3[[#This Row],[Tempo]]/24),)</f>
        <v>20.360255632716047</v>
      </c>
      <c r="W813" s="35">
        <f>Tabela3[[#This Row],[Custo / Cx Moldada]]*Tabela3[[#This Row],[Qtde Cx Produzida]]</f>
        <v>366.48460138888885</v>
      </c>
      <c r="X813" s="35">
        <f ca="1">Tabela3[[#This Row],[Aluminio Util]]*Tabela3[[#This Row],[Custo/Kg]]</f>
        <v>538.56000000000006</v>
      </c>
      <c r="Y813" s="35">
        <f>IFERROR(VLOOKUP(Tabela3[[#This Row],[Data]],Tabela461213[],2,1)*(Tabela3[[#This Row],[Qtde Cx Produzida]]*Tabela3[[#This Row],[Qde macho / CX]]*Tabela3[[#This Row],[Peso Macho]]),)</f>
        <v>0</v>
      </c>
      <c r="Z813" s="35">
        <f>IFERROR(Tabela3[[#This Row],[Qtde Oleo]]*(VLOOKUP(Tabela3[[#This Row],[Data]],CompraOleo[],3,TRUE))*1.05,0)</f>
        <v>50.331131210845165</v>
      </c>
      <c r="AA813" s="47">
        <f ca="1">(Tabela3[[#This Row],[Custo Oleo]]+Tabela3[[#This Row],[Custo Aluminio]]+Tabela3[[#This Row],[Custo M.O. Total]]+Tabela3[[#This Row],[Custo Machos]])</f>
        <v>955.37573259973396</v>
      </c>
      <c r="AB813" s="47">
        <f ca="1">Tabela3[[#This Row],[Custo Total]]*Tabela3[[#This Row],[% Perda]]</f>
        <v>0</v>
      </c>
      <c r="AC813" s="48">
        <f>IFERROR(VLOOKUP(Tabela3[[#This Row],[Produto]],Tabela2[],2,0),0)</f>
        <v>4</v>
      </c>
      <c r="AD813" s="48">
        <f>IFERROR(VLOOKUP(Tabela3[[#This Row],[Produto]],Tabela2[],3,0),0)</f>
        <v>0.42499999999999999</v>
      </c>
      <c r="AE813" s="48">
        <f>IFERROR(VLOOKUP(Tabela3[[#This Row],[Produto]],Tabela2[],4,0),0)</f>
        <v>2.4</v>
      </c>
      <c r="AF813" s="48">
        <f>IFERROR(VLOOKUP(Tabela3[[#This Row],[Produto]],Tabela2[],5,0),0)</f>
        <v>0.63</v>
      </c>
      <c r="AG813" s="40">
        <f>IFERROR(VLOOKUP(Tabela3[[#This Row],[Produto]],Tabela2[],6,0),0)</f>
        <v>0</v>
      </c>
      <c r="AH813" s="40">
        <f>IFERROR(VLOOKUP(Tabela3[[#This Row],[Produto]],Tabela2[],7,0),0)</f>
        <v>0</v>
      </c>
      <c r="AI813" s="40">
        <f>IFERROR(VLOOKUP(Tabela3[[#This Row],[Produto]],Tabela2[],8,0),0)</f>
        <v>0</v>
      </c>
      <c r="AJ813" s="35">
        <f ca="1">IFERROR(VLOOKUP(Tabela3[[#This Row],[Produto]],Tabela2[],13,0),0)</f>
        <v>17.600000000000001</v>
      </c>
      <c r="AK813" s="40" t="str">
        <f>IFERROR(VLOOKUP(Tabela3[[#This Row],[Produto]],Tabela2[],14,0),0)</f>
        <v>TPA/TEMPLA</v>
      </c>
      <c r="AL813" s="40">
        <f>IFERROR(VLOOKUP(Tabela3[[#This Row],[Produto]],Tabela2[],15,0),0)</f>
        <v>0</v>
      </c>
      <c r="AM813" s="36">
        <f ca="1">(Tabela3[[#This Row],[Custo Usinagem]]+Tabela3[[#This Row],[Custo / Pç]])*1.2</f>
        <v>15.922928876662231</v>
      </c>
      <c r="AN813" s="36">
        <f ca="1">Tabela3[[#This Row],[Valor Mínimo Venda]]*1.15</f>
        <v>18.311368208161564</v>
      </c>
      <c r="AO813" s="36">
        <f ca="1">Tabela3[[#This Row],[Tabela 1]]*1.08</f>
        <v>19.77627766481449</v>
      </c>
      <c r="AP813" s="36">
        <f ca="1">Tabela3[[#This Row],[Tabela 2]]*1.15</f>
        <v>22.742719314536661</v>
      </c>
    </row>
    <row r="814" spans="1:42">
      <c r="A814" s="9">
        <v>45968</v>
      </c>
      <c r="B814" s="6" t="s">
        <v>173</v>
      </c>
      <c r="C814" s="14">
        <v>8332</v>
      </c>
      <c r="D814" s="6" t="s">
        <v>44</v>
      </c>
      <c r="E814" s="6" t="s">
        <v>47</v>
      </c>
      <c r="F814" s="6">
        <v>1</v>
      </c>
      <c r="G814" s="15">
        <v>4.5138888888888888E-2</v>
      </c>
      <c r="H814" s="16">
        <v>0</v>
      </c>
      <c r="I814" s="35">
        <f ca="1">IFERROR(Tabela3[[#This Row],[Custo Total]]/Tabela3[[#This Row],[Aluminio Util]],0)</f>
        <v>20.637485476517366</v>
      </c>
      <c r="J814" s="35">
        <f ca="1">Tabela3[[#This Row],[Custo Total]]/Tabela3[[#This Row],[Realizado]]</f>
        <v>1211.4203974715695</v>
      </c>
      <c r="K814" s="37">
        <f>IFERROR(Tabela3[[#This Row],[Qtde Cx Produzida]]/Tabela3[[#This Row],[Tempo]]/24,0)</f>
        <v>0.92307692307692302</v>
      </c>
      <c r="L814" s="37">
        <f>Tabela3[[#This Row],[Qtde Cx Produzida]]*Tabela3[[#This Row],[Qdt Peça Placa]]</f>
        <v>1</v>
      </c>
      <c r="M814" s="37">
        <f>Tabela3[[#This Row],[Previsto]]-Tabela3[[#This Row],[Perda Pçs]]</f>
        <v>1</v>
      </c>
      <c r="N814" s="38">
        <f>IFERROR(Tabela3[[#This Row],[Perda Pçs]]/Tabela3[[#This Row],[Previsto]],0)</f>
        <v>0</v>
      </c>
      <c r="O814" s="39">
        <f>IFERROR(IF(Tabela3[[#This Row],[Qtde Cx Produzida]] &lt;&gt; 0, Tabela3[[#This Row],[Tempo]] / Tabela3[[#This Row],[Qtde Cx Produzida]], 0),0)</f>
        <v>4.5138888888888888E-2</v>
      </c>
      <c r="P814" s="57">
        <f>IFERROR(Tabela3[[#This Row],[Perda Pçs]]/Tabela3[[#This Row],[Qdt Peça Placa]],0)</f>
        <v>0</v>
      </c>
      <c r="Q814" s="37">
        <f>IFERROR(Tabela3[[#This Row],[Realizado]]*Tabela3[[#This Row],[Peso Util/Pç]],0)</f>
        <v>58.7</v>
      </c>
      <c r="R814" s="37">
        <f>IFERROR(Tabela3[[#This Row],[Peso Total Galho]]*Tabela3[[#This Row],[Qtde Cx Produzida]]*1.055,0)</f>
        <v>63.405499999999996</v>
      </c>
      <c r="S814" s="37">
        <f>(Tabela3[[#This Row],[Aluminio Bruto]]-Tabela3[[#This Row],[Aluminio Util]])*0.9</f>
        <v>4.2349499999999942</v>
      </c>
      <c r="T814" s="37">
        <f>Tabela3[[#This Row],[Aluminio Bruto]]/OleoKGAluminio</f>
        <v>26.674611867476138</v>
      </c>
      <c r="U814" s="35">
        <f>IFERROR((VLOOKUP(Tabela3[[#This Row],[Moldador]],Tabela1[],5,)+(VLOOKUP(Tabela3[[#This Row],[Ajudante]],Tabela1[],5,))*3.5),0)</f>
        <v>99.95034583333333</v>
      </c>
      <c r="V814" s="35">
        <f>IFERROR(Tabela3[[#This Row],[Custo M.O. / H]]/((Tabela3[[#This Row],[Realizado]]/Tabela3[[#This Row],[Qdt Peça Placa]])/Tabela3[[#This Row],[Tempo]]/24),)</f>
        <v>108.27954131944445</v>
      </c>
      <c r="W814" s="35">
        <f>Tabela3[[#This Row],[Custo / Cx Moldada]]*Tabela3[[#This Row],[Qtde Cx Produzida]]</f>
        <v>108.27954131944445</v>
      </c>
      <c r="X814" s="35">
        <f ca="1">Tabela3[[#This Row],[Aluminio Util]]*Tabela3[[#This Row],[Custo/Kg]]</f>
        <v>1033.1200000000001</v>
      </c>
      <c r="Y814" s="35">
        <f>IFERROR(VLOOKUP(Tabela3[[#This Row],[Data]],Tabela461213[],2,1)*(Tabela3[[#This Row],[Qtde Cx Produzida]]*Tabela3[[#This Row],[Qde macho / CX]]*Tabela3[[#This Row],[Peso Macho]]),)</f>
        <v>0</v>
      </c>
      <c r="Z814" s="35">
        <f>IFERROR(Tabela3[[#This Row],[Qtde Oleo]]*(VLOOKUP(Tabela3[[#This Row],[Data]],CompraOleo[],3,TRUE))*1.05,0)</f>
        <v>70.020856152124864</v>
      </c>
      <c r="AA814" s="47">
        <f ca="1">(Tabela3[[#This Row],[Custo Oleo]]+Tabela3[[#This Row],[Custo Aluminio]]+Tabela3[[#This Row],[Custo M.O. Total]]+Tabela3[[#This Row],[Custo Machos]])</f>
        <v>1211.4203974715695</v>
      </c>
      <c r="AB814" s="47">
        <f ca="1">Tabela3[[#This Row],[Custo Total]]*Tabela3[[#This Row],[% Perda]]</f>
        <v>0</v>
      </c>
      <c r="AC814" s="48">
        <f>IFERROR(VLOOKUP(Tabela3[[#This Row],[Produto]],Tabela2[],2,0),0)</f>
        <v>1</v>
      </c>
      <c r="AD814" s="48">
        <f>IFERROR(VLOOKUP(Tabela3[[#This Row],[Produto]],Tabela2[],3,0),0)</f>
        <v>58.7</v>
      </c>
      <c r="AE814" s="48">
        <f>IFERROR(VLOOKUP(Tabela3[[#This Row],[Produto]],Tabela2[],4,0),0)</f>
        <v>60.1</v>
      </c>
      <c r="AF814" s="48">
        <f>IFERROR(VLOOKUP(Tabela3[[#This Row],[Produto]],Tabela2[],5,0),0)</f>
        <v>1.2599999999999987</v>
      </c>
      <c r="AG814" s="40">
        <f>IFERROR(VLOOKUP(Tabela3[[#This Row],[Produto]],Tabela2[],6,0),0)</f>
        <v>0</v>
      </c>
      <c r="AH814" s="40">
        <f>IFERROR(VLOOKUP(Tabela3[[#This Row],[Produto]],Tabela2[],7,0),0)</f>
        <v>0</v>
      </c>
      <c r="AI814" s="40">
        <f>IFERROR(VLOOKUP(Tabela3[[#This Row],[Produto]],Tabela2[],8,0),0)</f>
        <v>0</v>
      </c>
      <c r="AJ814" s="35">
        <f ca="1">IFERROR(VLOOKUP(Tabela3[[#This Row],[Produto]],Tabela2[],13,0),0)</f>
        <v>17.600000000000001</v>
      </c>
      <c r="AK814" s="40" t="str">
        <f>IFERROR(VLOOKUP(Tabela3[[#This Row],[Produto]],Tabela2[],14,0),0)</f>
        <v>MARCELO</v>
      </c>
      <c r="AL814" s="40">
        <f>IFERROR(VLOOKUP(Tabela3[[#This Row],[Produto]],Tabela2[],15,0),0)</f>
        <v>0</v>
      </c>
      <c r="AM814" s="36">
        <f ca="1">(Tabela3[[#This Row],[Custo Usinagem]]+Tabela3[[#This Row],[Custo / Pç]])*1.2</f>
        <v>1453.7044769658833</v>
      </c>
      <c r="AN814" s="36">
        <f ca="1">Tabela3[[#This Row],[Valor Mínimo Venda]]*1.15</f>
        <v>1671.7601485107657</v>
      </c>
      <c r="AO814" s="36">
        <f ca="1">Tabela3[[#This Row],[Tabela 1]]*1.08</f>
        <v>1805.5009603916271</v>
      </c>
      <c r="AP814" s="36">
        <f ca="1">Tabela3[[#This Row],[Tabela 2]]*1.15</f>
        <v>2076.3261044503711</v>
      </c>
    </row>
    <row r="815" spans="1:42">
      <c r="A815" s="9">
        <v>45971</v>
      </c>
      <c r="B815" s="6" t="s">
        <v>155</v>
      </c>
      <c r="C815" s="14">
        <v>8342</v>
      </c>
      <c r="D815" s="6" t="s">
        <v>46</v>
      </c>
      <c r="E815" s="6" t="s">
        <v>53</v>
      </c>
      <c r="F815" s="6">
        <v>25</v>
      </c>
      <c r="G815" s="15">
        <v>0.10694444444444444</v>
      </c>
      <c r="H815" s="16">
        <v>0</v>
      </c>
      <c r="I815" s="35">
        <f ca="1">IFERROR(Tabela3[[#This Row],[Custo Total]]/Tabela3[[#This Row],[Aluminio Util]],0)</f>
        <v>27.528175197381476</v>
      </c>
      <c r="J815" s="35">
        <f ca="1">Tabela3[[#This Row],[Custo Total]]/Tabela3[[#This Row],[Realizado]]</f>
        <v>7.1573255513191842</v>
      </c>
      <c r="K815" s="37">
        <f>IFERROR(Tabela3[[#This Row],[Qtde Cx Produzida]]/Tabela3[[#This Row],[Tempo]]/24,0)</f>
        <v>9.7402597402597397</v>
      </c>
      <c r="L815" s="37">
        <f>Tabela3[[#This Row],[Qtde Cx Produzida]]*Tabela3[[#This Row],[Qdt Peça Placa]]</f>
        <v>100</v>
      </c>
      <c r="M815" s="37">
        <f>Tabela3[[#This Row],[Previsto]]-Tabela3[[#This Row],[Perda Pçs]]</f>
        <v>100</v>
      </c>
      <c r="N815" s="38">
        <f>IFERROR(Tabela3[[#This Row],[Perda Pçs]]/Tabela3[[#This Row],[Previsto]],0)</f>
        <v>0</v>
      </c>
      <c r="O815" s="39">
        <f>IFERROR(IF(Tabela3[[#This Row],[Qtde Cx Produzida]] &lt;&gt; 0, Tabela3[[#This Row],[Tempo]] / Tabela3[[#This Row],[Qtde Cx Produzida]], 0),0)</f>
        <v>4.2777777777777779E-3</v>
      </c>
      <c r="P815" s="57">
        <f>IFERROR(Tabela3[[#This Row],[Perda Pçs]]/Tabela3[[#This Row],[Qdt Peça Placa]],0)</f>
        <v>0</v>
      </c>
      <c r="Q815" s="37">
        <f>IFERROR(Tabela3[[#This Row],[Realizado]]*Tabela3[[#This Row],[Peso Util/Pç]],0)</f>
        <v>26</v>
      </c>
      <c r="R815" s="37">
        <f>IFERROR(Tabela3[[#This Row],[Peso Total Galho]]*Tabela3[[#This Row],[Qtde Cx Produzida]]*1.055,0)</f>
        <v>48.529999999999994</v>
      </c>
      <c r="S815" s="37">
        <f>(Tabela3[[#This Row],[Aluminio Bruto]]-Tabela3[[#This Row],[Aluminio Util]])*0.9</f>
        <v>20.276999999999994</v>
      </c>
      <c r="T815" s="37">
        <f>Tabela3[[#This Row],[Aluminio Bruto]]/OleoKGAluminio</f>
        <v>20.416508251312848</v>
      </c>
      <c r="U815" s="35">
        <f>IFERROR((VLOOKUP(Tabela3[[#This Row],[Moldador]],Tabela1[],5,)+(VLOOKUP(Tabela3[[#This Row],[Ajudante]],Tabela1[],5,))*3.5),0)</f>
        <v>99.95034583333333</v>
      </c>
      <c r="V815" s="35">
        <f>IFERROR(Tabela3[[#This Row],[Custo M.O. / H]]/((Tabela3[[#This Row],[Realizado]]/Tabela3[[#This Row],[Qdt Peça Placa]])/Tabela3[[#This Row],[Tempo]]/24),)</f>
        <v>10.261568838888889</v>
      </c>
      <c r="W815" s="35">
        <f>Tabela3[[#This Row],[Custo / Cx Moldada]]*Tabela3[[#This Row],[Qtde Cx Produzida]]</f>
        <v>256.53922097222221</v>
      </c>
      <c r="X815" s="35">
        <f ca="1">Tabela3[[#This Row],[Aluminio Util]]*Tabela3[[#This Row],[Custo/Kg]]</f>
        <v>405.6</v>
      </c>
      <c r="Y815" s="35">
        <f>IFERROR(VLOOKUP(Tabela3[[#This Row],[Data]],Tabela461213[],2,1)*(Tabela3[[#This Row],[Qtde Cx Produzida]]*Tabela3[[#This Row],[Qde macho / CX]]*Tabela3[[#This Row],[Peso Macho]]),)</f>
        <v>0</v>
      </c>
      <c r="Z815" s="35">
        <f>IFERROR(Tabela3[[#This Row],[Qtde Oleo]]*(VLOOKUP(Tabela3[[#This Row],[Data]],CompraOleo[],3,TRUE))*1.05,0)</f>
        <v>53.593334159696226</v>
      </c>
      <c r="AA815" s="47">
        <f ca="1">(Tabela3[[#This Row],[Custo Oleo]]+Tabela3[[#This Row],[Custo Aluminio]]+Tabela3[[#This Row],[Custo M.O. Total]]+Tabela3[[#This Row],[Custo Machos]])</f>
        <v>715.73255513191839</v>
      </c>
      <c r="AB815" s="47">
        <f ca="1">Tabela3[[#This Row],[Custo Total]]*Tabela3[[#This Row],[% Perda]]</f>
        <v>0</v>
      </c>
      <c r="AC815" s="48">
        <f>IFERROR(VLOOKUP(Tabela3[[#This Row],[Produto]],Tabela2[],2,0),0)</f>
        <v>4</v>
      </c>
      <c r="AD815" s="48">
        <f>IFERROR(VLOOKUP(Tabela3[[#This Row],[Produto]],Tabela2[],3,0),0)</f>
        <v>0.26</v>
      </c>
      <c r="AE815" s="48">
        <f>IFERROR(VLOOKUP(Tabela3[[#This Row],[Produto]],Tabela2[],4,0),0)</f>
        <v>1.84</v>
      </c>
      <c r="AF815" s="48">
        <f>IFERROR(VLOOKUP(Tabela3[[#This Row],[Produto]],Tabela2[],5,0),0)</f>
        <v>0.72000000000000008</v>
      </c>
      <c r="AG815" s="40">
        <f>IFERROR(VLOOKUP(Tabela3[[#This Row],[Produto]],Tabela2[],6,0),0)</f>
        <v>0</v>
      </c>
      <c r="AH815" s="40">
        <f>IFERROR(VLOOKUP(Tabela3[[#This Row],[Produto]],Tabela2[],7,0),0)</f>
        <v>0</v>
      </c>
      <c r="AI815" s="40">
        <f>IFERROR(VLOOKUP(Tabela3[[#This Row],[Produto]],Tabela2[],8,0),0)</f>
        <v>0</v>
      </c>
      <c r="AJ815" s="35">
        <f ca="1">IFERROR(VLOOKUP(Tabela3[[#This Row],[Produto]],Tabela2[],13,0),0)</f>
        <v>15.600000000000001</v>
      </c>
      <c r="AK815" s="40" t="str">
        <f>IFERROR(VLOOKUP(Tabela3[[#This Row],[Produto]],Tabela2[],14,0),0)</f>
        <v>Senun</v>
      </c>
      <c r="AL815" s="40">
        <f>IFERROR(VLOOKUP(Tabela3[[#This Row],[Produto]],Tabela2[],15,0),0)</f>
        <v>0</v>
      </c>
      <c r="AM815" s="36">
        <f ca="1">(Tabela3[[#This Row],[Custo Usinagem]]+Tabela3[[#This Row],[Custo / Pç]])*1.2</f>
        <v>8.5887906615830207</v>
      </c>
      <c r="AN815" s="36">
        <f ca="1">Tabela3[[#This Row],[Valor Mínimo Venda]]*1.15</f>
        <v>9.8771092608204736</v>
      </c>
      <c r="AO815" s="36">
        <f ca="1">Tabela3[[#This Row],[Tabela 1]]*1.08</f>
        <v>10.667278001686112</v>
      </c>
      <c r="AP815" s="36">
        <f ca="1">Tabela3[[#This Row],[Tabela 2]]*1.15</f>
        <v>12.267369701939028</v>
      </c>
    </row>
    <row r="816" spans="1:42">
      <c r="A816" s="9">
        <v>45971</v>
      </c>
      <c r="B816" s="6" t="s">
        <v>277</v>
      </c>
      <c r="C816" s="14">
        <v>8340</v>
      </c>
      <c r="D816" s="6" t="s">
        <v>46</v>
      </c>
      <c r="E816" s="6" t="s">
        <v>53</v>
      </c>
      <c r="F816" s="6">
        <v>1</v>
      </c>
      <c r="G816" s="15">
        <v>1.2500000000000001E-2</v>
      </c>
      <c r="H816" s="16">
        <v>0</v>
      </c>
      <c r="I816" s="35">
        <f ca="1">IFERROR(Tabela3[[#This Row],[Custo Total]]/Tabela3[[#This Row],[Aluminio Util]],0)</f>
        <v>53.360394765259514</v>
      </c>
      <c r="J816" s="35">
        <f ca="1">Tabela3[[#This Row],[Custo Total]]/Tabela3[[#This Row],[Realizado]]</f>
        <v>7.4704552671363329</v>
      </c>
      <c r="K816" s="37">
        <f>IFERROR(Tabela3[[#This Row],[Qtde Cx Produzida]]/Tabela3[[#This Row],[Tempo]]/24,0)</f>
        <v>3.3333333333333335</v>
      </c>
      <c r="L816" s="37">
        <f>Tabela3[[#This Row],[Qtde Cx Produzida]]*Tabela3[[#This Row],[Qdt Peça Placa]]</f>
        <v>6</v>
      </c>
      <c r="M816" s="37">
        <f>Tabela3[[#This Row],[Previsto]]-Tabela3[[#This Row],[Perda Pçs]]</f>
        <v>6</v>
      </c>
      <c r="N816" s="38">
        <f>IFERROR(Tabela3[[#This Row],[Perda Pçs]]/Tabela3[[#This Row],[Previsto]],0)</f>
        <v>0</v>
      </c>
      <c r="O816" s="39">
        <f>IFERROR(IF(Tabela3[[#This Row],[Qtde Cx Produzida]] &lt;&gt; 0, Tabela3[[#This Row],[Tempo]] / Tabela3[[#This Row],[Qtde Cx Produzida]], 0),0)</f>
        <v>1.2500000000000001E-2</v>
      </c>
      <c r="P816" s="57">
        <f>IFERROR(Tabela3[[#This Row],[Perda Pçs]]/Tabela3[[#This Row],[Qdt Peça Placa]],0)</f>
        <v>0</v>
      </c>
      <c r="Q816" s="37">
        <f>IFERROR(Tabela3[[#This Row],[Realizado]]*Tabela3[[#This Row],[Peso Util/Pç]],0)</f>
        <v>0.84000000000000008</v>
      </c>
      <c r="R816" s="37">
        <f>IFERROR(Tabela3[[#This Row],[Peso Total Galho]]*Tabela3[[#This Row],[Qtde Cx Produzida]]*1.055,0)</f>
        <v>1.5698399999999999</v>
      </c>
      <c r="S816" s="37">
        <f>(Tabela3[[#This Row],[Aluminio Bruto]]-Tabela3[[#This Row],[Aluminio Util]])*0.9</f>
        <v>0.65685599999999988</v>
      </c>
      <c r="T816" s="37">
        <f>Tabela3[[#This Row],[Aluminio Bruto]]/OleoKGAluminio</f>
        <v>0.66042965821638089</v>
      </c>
      <c r="U816" s="35">
        <f>IFERROR((VLOOKUP(Tabela3[[#This Row],[Moldador]],Tabela1[],5,)+(VLOOKUP(Tabela3[[#This Row],[Ajudante]],Tabela1[],5,))*3.5),0)</f>
        <v>99.95034583333333</v>
      </c>
      <c r="V816" s="35">
        <f>IFERROR(Tabela3[[#This Row],[Custo M.O. / H]]/((Tabela3[[#This Row],[Realizado]]/Tabela3[[#This Row],[Qdt Peça Placa]])/Tabela3[[#This Row],[Tempo]]/24),)</f>
        <v>29.985103749999997</v>
      </c>
      <c r="W816" s="35">
        <f>Tabela3[[#This Row],[Custo / Cx Moldada]]*Tabela3[[#This Row],[Qtde Cx Produzida]]</f>
        <v>29.985103749999997</v>
      </c>
      <c r="X816" s="35">
        <f ca="1">Tabela3[[#This Row],[Aluminio Util]]*Tabela3[[#This Row],[Custo/Kg]]</f>
        <v>13.104000000000003</v>
      </c>
      <c r="Y816" s="35">
        <f>IFERROR(VLOOKUP(Tabela3[[#This Row],[Data]],Tabela461213[],2,1)*(Tabela3[[#This Row],[Qtde Cx Produzida]]*Tabela3[[#This Row],[Qde macho / CX]]*Tabela3[[#This Row],[Peso Macho]]),)</f>
        <v>0</v>
      </c>
      <c r="Z816" s="35">
        <f>IFERROR(Tabela3[[#This Row],[Qtde Oleo]]*(VLOOKUP(Tabela3[[#This Row],[Data]],CompraOleo[],3,TRUE))*1.05,0)</f>
        <v>1.7336278528179998</v>
      </c>
      <c r="AA816" s="47">
        <f ca="1">(Tabela3[[#This Row],[Custo Oleo]]+Tabela3[[#This Row],[Custo Aluminio]]+Tabela3[[#This Row],[Custo M.O. Total]]+Tabela3[[#This Row],[Custo Machos]])</f>
        <v>44.822731602817996</v>
      </c>
      <c r="AB816" s="47">
        <f ca="1">Tabela3[[#This Row],[Custo Total]]*Tabela3[[#This Row],[% Perda]]</f>
        <v>0</v>
      </c>
      <c r="AC816" s="48">
        <f>IFERROR(VLOOKUP(Tabela3[[#This Row],[Produto]],Tabela2[],2,0),0)</f>
        <v>6</v>
      </c>
      <c r="AD816" s="48">
        <f>IFERROR(VLOOKUP(Tabela3[[#This Row],[Produto]],Tabela2[],3,0),0)</f>
        <v>0.14000000000000001</v>
      </c>
      <c r="AE816" s="48">
        <f>IFERROR(VLOOKUP(Tabela3[[#This Row],[Produto]],Tabela2[],4,0),0)</f>
        <v>1.488</v>
      </c>
      <c r="AF816" s="48">
        <f>IFERROR(VLOOKUP(Tabela3[[#This Row],[Produto]],Tabela2[],5,0),0)</f>
        <v>0.58319999999999994</v>
      </c>
      <c r="AG816" s="40">
        <f>IFERROR(VLOOKUP(Tabela3[[#This Row],[Produto]],Tabela2[],6,0),0)</f>
        <v>0</v>
      </c>
      <c r="AH816" s="40">
        <f>IFERROR(VLOOKUP(Tabela3[[#This Row],[Produto]],Tabela2[],7,0),0)</f>
        <v>0</v>
      </c>
      <c r="AI816" s="40">
        <f>IFERROR(VLOOKUP(Tabela3[[#This Row],[Produto]],Tabela2[],8,0),0)</f>
        <v>0</v>
      </c>
      <c r="AJ816" s="35">
        <f ca="1">IFERROR(VLOOKUP(Tabela3[[#This Row],[Produto]],Tabela2[],13,0),0)</f>
        <v>15.600000000000001</v>
      </c>
      <c r="AK816" s="40" t="str">
        <f>IFERROR(VLOOKUP(Tabela3[[#This Row],[Produto]],Tabela2[],14,0),0)</f>
        <v>Senun</v>
      </c>
      <c r="AL816" s="40">
        <f>IFERROR(VLOOKUP(Tabela3[[#This Row],[Produto]],Tabela2[],15,0),0)</f>
        <v>0</v>
      </c>
      <c r="AM816" s="36">
        <f ca="1">(Tabela3[[#This Row],[Custo Usinagem]]+Tabela3[[#This Row],[Custo / Pç]])*1.2</f>
        <v>8.9645463205635991</v>
      </c>
      <c r="AN816" s="36">
        <f ca="1">Tabela3[[#This Row],[Valor Mínimo Venda]]*1.15</f>
        <v>10.309228268648138</v>
      </c>
      <c r="AO816" s="36">
        <f ca="1">Tabela3[[#This Row],[Tabela 1]]*1.08</f>
        <v>11.13396653013999</v>
      </c>
      <c r="AP816" s="36">
        <f ca="1">Tabela3[[#This Row],[Tabela 2]]*1.15</f>
        <v>12.804061509660988</v>
      </c>
    </row>
    <row r="817" spans="1:42">
      <c r="A817" s="9">
        <v>45971</v>
      </c>
      <c r="B817" s="6" t="s">
        <v>156</v>
      </c>
      <c r="C817" s="14">
        <v>8344</v>
      </c>
      <c r="D817" s="6" t="s">
        <v>46</v>
      </c>
      <c r="E817" s="6" t="s">
        <v>53</v>
      </c>
      <c r="F817" s="6">
        <v>25</v>
      </c>
      <c r="G817" s="15">
        <v>0.13194444444444445</v>
      </c>
      <c r="H817" s="16">
        <v>2</v>
      </c>
      <c r="I817" s="35">
        <f ca="1">IFERROR(Tabela3[[#This Row],[Custo Total]]/Tabela3[[#This Row],[Aluminio Util]],0)</f>
        <v>30.806410224567518</v>
      </c>
      <c r="J817" s="35">
        <f ca="1">Tabela3[[#This Row],[Custo Total]]/Tabela3[[#This Row],[Realizado]]</f>
        <v>16.204171778122515</v>
      </c>
      <c r="K817" s="37">
        <f>IFERROR(Tabela3[[#This Row],[Qtde Cx Produzida]]/Tabela3[[#This Row],[Tempo]]/24,0)</f>
        <v>7.8947368421052628</v>
      </c>
      <c r="L817" s="37">
        <f>Tabela3[[#This Row],[Qtde Cx Produzida]]*Tabela3[[#This Row],[Qdt Peça Placa]]</f>
        <v>50</v>
      </c>
      <c r="M817" s="37">
        <f>Tabela3[[#This Row],[Previsto]]-Tabela3[[#This Row],[Perda Pçs]]</f>
        <v>48</v>
      </c>
      <c r="N817" s="38">
        <f>IFERROR(Tabela3[[#This Row],[Perda Pçs]]/Tabela3[[#This Row],[Previsto]],0)</f>
        <v>0.04</v>
      </c>
      <c r="O817" s="39">
        <f>IFERROR(IF(Tabela3[[#This Row],[Qtde Cx Produzida]] &lt;&gt; 0, Tabela3[[#This Row],[Tempo]] / Tabela3[[#This Row],[Qtde Cx Produzida]], 0),0)</f>
        <v>5.2777777777777779E-3</v>
      </c>
      <c r="P817" s="57">
        <f>IFERROR(Tabela3[[#This Row],[Perda Pçs]]/Tabela3[[#This Row],[Qdt Peça Placa]],0)</f>
        <v>1</v>
      </c>
      <c r="Q817" s="37">
        <f>IFERROR(Tabela3[[#This Row],[Realizado]]*Tabela3[[#This Row],[Peso Util/Pç]],0)</f>
        <v>25.248000000000001</v>
      </c>
      <c r="R817" s="37">
        <f>IFERROR(Tabela3[[#This Row],[Peso Total Galho]]*Tabela3[[#This Row],[Qtde Cx Produzida]]*1.055,0)</f>
        <v>49.110250000000001</v>
      </c>
      <c r="S817" s="37">
        <f>(Tabela3[[#This Row],[Aluminio Bruto]]-Tabela3[[#This Row],[Aluminio Util]])*0.9</f>
        <v>21.476025</v>
      </c>
      <c r="T817" s="37">
        <f>Tabela3[[#This Row],[Aluminio Bruto]]/OleoKGAluminio</f>
        <v>20.66061867605681</v>
      </c>
      <c r="U817" s="35">
        <f>IFERROR((VLOOKUP(Tabela3[[#This Row],[Moldador]],Tabela1[],5,)+(VLOOKUP(Tabela3[[#This Row],[Ajudante]],Tabela1[],5,))*3.5),0)</f>
        <v>99.95034583333333</v>
      </c>
      <c r="V817" s="35">
        <f>IFERROR(Tabela3[[#This Row],[Custo M.O. / H]]/((Tabela3[[#This Row],[Realizado]]/Tabela3[[#This Row],[Qdt Peça Placa]])/Tabela3[[#This Row],[Tempo]]/24),)</f>
        <v>13.187892853009259</v>
      </c>
      <c r="W817" s="35">
        <f>Tabela3[[#This Row],[Custo / Cx Moldada]]*Tabela3[[#This Row],[Qtde Cx Produzida]]</f>
        <v>329.69732132523148</v>
      </c>
      <c r="X817" s="35">
        <f ca="1">Tabela3[[#This Row],[Aluminio Util]]*Tabela3[[#This Row],[Custo/Kg]]</f>
        <v>393.86880000000008</v>
      </c>
      <c r="Y817" s="35">
        <f>IFERROR(VLOOKUP(Tabela3[[#This Row],[Data]],Tabela461213[],2,1)*(Tabela3[[#This Row],[Qtde Cx Produzida]]*Tabela3[[#This Row],[Qde macho / CX]]*Tabela3[[#This Row],[Peso Macho]]),)</f>
        <v>0</v>
      </c>
      <c r="Z817" s="35">
        <f>IFERROR(Tabela3[[#This Row],[Qtde Oleo]]*(VLOOKUP(Tabela3[[#This Row],[Data]],CompraOleo[],3,TRUE))*1.05,0)</f>
        <v>54.234124024649134</v>
      </c>
      <c r="AA817" s="47">
        <f ca="1">(Tabela3[[#This Row],[Custo Oleo]]+Tabela3[[#This Row],[Custo Aluminio]]+Tabela3[[#This Row],[Custo M.O. Total]]+Tabela3[[#This Row],[Custo Machos]])</f>
        <v>777.8002453498807</v>
      </c>
      <c r="AB817" s="47">
        <f ca="1">Tabela3[[#This Row],[Custo Total]]*Tabela3[[#This Row],[% Perda]]</f>
        <v>31.112009813995229</v>
      </c>
      <c r="AC817" s="48">
        <f>IFERROR(VLOOKUP(Tabela3[[#This Row],[Produto]],Tabela2[],2,0),0)</f>
        <v>2</v>
      </c>
      <c r="AD817" s="48">
        <f>IFERROR(VLOOKUP(Tabela3[[#This Row],[Produto]],Tabela2[],3,0),0)</f>
        <v>0.52600000000000002</v>
      </c>
      <c r="AE817" s="48">
        <f>IFERROR(VLOOKUP(Tabela3[[#This Row],[Produto]],Tabela2[],4,0),0)</f>
        <v>1.8620000000000001</v>
      </c>
      <c r="AF817" s="48">
        <f>IFERROR(VLOOKUP(Tabela3[[#This Row],[Produto]],Tabela2[],5,0),0)</f>
        <v>0.72900000000000009</v>
      </c>
      <c r="AG817" s="40">
        <f>IFERROR(VLOOKUP(Tabela3[[#This Row],[Produto]],Tabela2[],6,0),0)</f>
        <v>0</v>
      </c>
      <c r="AH817" s="40">
        <f>IFERROR(VLOOKUP(Tabela3[[#This Row],[Produto]],Tabela2[],7,0),0)</f>
        <v>0</v>
      </c>
      <c r="AI817" s="40">
        <f>IFERROR(VLOOKUP(Tabela3[[#This Row],[Produto]],Tabela2[],8,0),0)</f>
        <v>0</v>
      </c>
      <c r="AJ817" s="35">
        <f ca="1">IFERROR(VLOOKUP(Tabela3[[#This Row],[Produto]],Tabela2[],13,0),0)</f>
        <v>15.600000000000001</v>
      </c>
      <c r="AK817" s="40" t="str">
        <f>IFERROR(VLOOKUP(Tabela3[[#This Row],[Produto]],Tabela2[],14,0),0)</f>
        <v>Senun</v>
      </c>
      <c r="AL817" s="40">
        <f>IFERROR(VLOOKUP(Tabela3[[#This Row],[Produto]],Tabela2[],15,0),0)</f>
        <v>0</v>
      </c>
      <c r="AM817" s="36">
        <f ca="1">(Tabela3[[#This Row],[Custo Usinagem]]+Tabela3[[#This Row],[Custo / Pç]])*1.2</f>
        <v>19.445006133747018</v>
      </c>
      <c r="AN817" s="36">
        <f ca="1">Tabela3[[#This Row],[Valor Mínimo Venda]]*1.15</f>
        <v>22.361757053809068</v>
      </c>
      <c r="AO817" s="36">
        <f ca="1">Tabela3[[#This Row],[Tabela 1]]*1.08</f>
        <v>24.150697618113796</v>
      </c>
      <c r="AP817" s="36">
        <f ca="1">Tabela3[[#This Row],[Tabela 2]]*1.15</f>
        <v>27.773302260830864</v>
      </c>
    </row>
    <row r="818" spans="1:42">
      <c r="A818" s="9">
        <v>45971</v>
      </c>
      <c r="B818" s="6" t="s">
        <v>236</v>
      </c>
      <c r="C818" s="14">
        <v>8303</v>
      </c>
      <c r="D818" s="6" t="s">
        <v>44</v>
      </c>
      <c r="E818" s="6" t="s">
        <v>47</v>
      </c>
      <c r="F818" s="6">
        <v>50</v>
      </c>
      <c r="G818" s="15">
        <v>0.25486111111111109</v>
      </c>
      <c r="H818" s="16">
        <v>0</v>
      </c>
      <c r="I818" s="35">
        <f ca="1">IFERROR(Tabela3[[#This Row],[Custo Total]]/Tabela3[[#This Row],[Aluminio Util]],0)</f>
        <v>23.731619731953373</v>
      </c>
      <c r="J818" s="35">
        <f ca="1">Tabela3[[#This Row],[Custo Total]]/Tabela3[[#This Row],[Realizado]]</f>
        <v>7.1669491590499179</v>
      </c>
      <c r="K818" s="37">
        <f>IFERROR(Tabela3[[#This Row],[Qtde Cx Produzida]]/Tabela3[[#This Row],[Tempo]]/24,0)</f>
        <v>8.1743869209809272</v>
      </c>
      <c r="L818" s="37">
        <f>Tabela3[[#This Row],[Qtde Cx Produzida]]*Tabela3[[#This Row],[Qdt Peça Placa]]</f>
        <v>300</v>
      </c>
      <c r="M818" s="37">
        <f>Tabela3[[#This Row],[Previsto]]-Tabela3[[#This Row],[Perda Pçs]]</f>
        <v>300</v>
      </c>
      <c r="N818" s="38">
        <f>IFERROR(Tabela3[[#This Row],[Perda Pçs]]/Tabela3[[#This Row],[Previsto]],0)</f>
        <v>0</v>
      </c>
      <c r="O818" s="39">
        <f>IFERROR(IF(Tabela3[[#This Row],[Qtde Cx Produzida]] &lt;&gt; 0, Tabela3[[#This Row],[Tempo]] / Tabela3[[#This Row],[Qtde Cx Produzida]], 0),0)</f>
        <v>5.0972222222222217E-3</v>
      </c>
      <c r="P818" s="57">
        <f>IFERROR(Tabela3[[#This Row],[Perda Pçs]]/Tabela3[[#This Row],[Qdt Peça Placa]],0)</f>
        <v>0</v>
      </c>
      <c r="Q818" s="37">
        <f>IFERROR(Tabela3[[#This Row],[Realizado]]*Tabela3[[#This Row],[Peso Util/Pç]],0)</f>
        <v>90.6</v>
      </c>
      <c r="R818" s="37">
        <f>IFERROR(Tabela3[[#This Row],[Peso Total Galho]]*Tabela3[[#This Row],[Qtde Cx Produzida]]*1.055,0)</f>
        <v>113.518</v>
      </c>
      <c r="S818" s="37">
        <f>(Tabela3[[#This Row],[Aluminio Bruto]]-Tabela3[[#This Row],[Aluminio Util]])*0.9</f>
        <v>20.626200000000008</v>
      </c>
      <c r="T818" s="37">
        <f>Tabela3[[#This Row],[Aluminio Bruto]]/OleoKGAluminio</f>
        <v>47.756875822636154</v>
      </c>
      <c r="U818" s="35">
        <f>IFERROR((VLOOKUP(Tabela3[[#This Row],[Moldador]],Tabela1[],5,)+(VLOOKUP(Tabela3[[#This Row],[Ajudante]],Tabela1[],5,))*3.5),0)</f>
        <v>99.95034583333333</v>
      </c>
      <c r="V818" s="35">
        <f>IFERROR(Tabela3[[#This Row],[Custo M.O. / H]]/((Tabela3[[#This Row],[Realizado]]/Tabela3[[#This Row],[Qdt Peça Placa]])/Tabela3[[#This Row],[Tempo]]/24),)</f>
        <v>12.227258973611109</v>
      </c>
      <c r="W818" s="35">
        <f>Tabela3[[#This Row],[Custo / Cx Moldada]]*Tabela3[[#This Row],[Qtde Cx Produzida]]</f>
        <v>611.36294868055541</v>
      </c>
      <c r="X818" s="35">
        <f ca="1">Tabela3[[#This Row],[Aluminio Util]]*Tabela3[[#This Row],[Custo/Kg]]</f>
        <v>1413.3600000000001</v>
      </c>
      <c r="Y818" s="35">
        <f>IFERROR(VLOOKUP(Tabela3[[#This Row],[Data]],Tabela461213[],2,1)*(Tabela3[[#This Row],[Qtde Cx Produzida]]*Tabela3[[#This Row],[Qde macho / CX]]*Tabela3[[#This Row],[Peso Macho]]),)</f>
        <v>0</v>
      </c>
      <c r="Z818" s="35">
        <f>IFERROR(Tabela3[[#This Row],[Qtde Oleo]]*(VLOOKUP(Tabela3[[#This Row],[Data]],CompraOleo[],3,TRUE))*1.05,0)</f>
        <v>125.3617990344199</v>
      </c>
      <c r="AA818" s="47">
        <f ca="1">(Tabela3[[#This Row],[Custo Oleo]]+Tabela3[[#This Row],[Custo Aluminio]]+Tabela3[[#This Row],[Custo M.O. Total]]+Tabela3[[#This Row],[Custo Machos]])</f>
        <v>2150.0847477149755</v>
      </c>
      <c r="AB818" s="47">
        <f ca="1">Tabela3[[#This Row],[Custo Total]]*Tabela3[[#This Row],[% Perda]]</f>
        <v>0</v>
      </c>
      <c r="AC818" s="48">
        <f>IFERROR(VLOOKUP(Tabela3[[#This Row],[Produto]],Tabela2[],2,0),0)</f>
        <v>6</v>
      </c>
      <c r="AD818" s="48">
        <f>IFERROR(VLOOKUP(Tabela3[[#This Row],[Produto]],Tabela2[],3,0),0)</f>
        <v>0.30199999999999999</v>
      </c>
      <c r="AE818" s="48">
        <f>IFERROR(VLOOKUP(Tabela3[[#This Row],[Produto]],Tabela2[],4,0),0)</f>
        <v>2.1520000000000001</v>
      </c>
      <c r="AF818" s="48">
        <f>IFERROR(VLOOKUP(Tabela3[[#This Row],[Produto]],Tabela2[],5,0),0)</f>
        <v>0.30600000000000027</v>
      </c>
      <c r="AG818" s="40">
        <f>IFERROR(VLOOKUP(Tabela3[[#This Row],[Produto]],Tabela2[],6,0),0)</f>
        <v>0</v>
      </c>
      <c r="AH818" s="40">
        <f>IFERROR(VLOOKUP(Tabela3[[#This Row],[Produto]],Tabela2[],7,0),0)</f>
        <v>0</v>
      </c>
      <c r="AI818" s="40">
        <f>IFERROR(VLOOKUP(Tabela3[[#This Row],[Produto]],Tabela2[],8,0),0)</f>
        <v>0</v>
      </c>
      <c r="AJ818" s="35">
        <f ca="1">IFERROR(VLOOKUP(Tabela3[[#This Row],[Produto]],Tabela2[],13,0),0)</f>
        <v>15.600000000000001</v>
      </c>
      <c r="AK818" s="40" t="str">
        <f>IFERROR(VLOOKUP(Tabela3[[#This Row],[Produto]],Tabela2[],14,0),0)</f>
        <v>Senun</v>
      </c>
      <c r="AL818" s="40">
        <f>IFERROR(VLOOKUP(Tabela3[[#This Row],[Produto]],Tabela2[],15,0),0)</f>
        <v>4</v>
      </c>
      <c r="AM818" s="36">
        <f ca="1">(Tabela3[[#This Row],[Custo Usinagem]]+Tabela3[[#This Row],[Custo / Pç]])*1.2</f>
        <v>13.4003389908599</v>
      </c>
      <c r="AN818" s="36">
        <f ca="1">Tabela3[[#This Row],[Valor Mínimo Venda]]*1.15</f>
        <v>15.410389839488884</v>
      </c>
      <c r="AO818" s="36">
        <f ca="1">Tabela3[[#This Row],[Tabela 1]]*1.08</f>
        <v>16.643221026647996</v>
      </c>
      <c r="AP818" s="36">
        <f ca="1">Tabela3[[#This Row],[Tabela 2]]*1.15</f>
        <v>19.139704180645193</v>
      </c>
    </row>
    <row r="819" spans="1:42">
      <c r="A819" s="9">
        <v>45972</v>
      </c>
      <c r="B819" s="6" t="s">
        <v>277</v>
      </c>
      <c r="C819" s="14">
        <v>8340</v>
      </c>
      <c r="D819" s="6" t="s">
        <v>46</v>
      </c>
      <c r="E819" s="6" t="s">
        <v>44</v>
      </c>
      <c r="F819" s="6">
        <v>7</v>
      </c>
      <c r="G819" s="15">
        <v>3.4722222222222224E-2</v>
      </c>
      <c r="H819" s="16">
        <v>0</v>
      </c>
      <c r="I819" s="35">
        <f ca="1">IFERROR(Tabela3[[#This Row],[Custo Total]]/Tabela3[[#This Row],[Aluminio Util]],0)</f>
        <v>35.534378396211899</v>
      </c>
      <c r="J819" s="35">
        <f ca="1">Tabela3[[#This Row],[Custo Total]]/Tabela3[[#This Row],[Realizado]]</f>
        <v>4.9748129754696668</v>
      </c>
      <c r="K819" s="37">
        <f>IFERROR(Tabela3[[#This Row],[Qtde Cx Produzida]]/Tabela3[[#This Row],[Tempo]]/24,0)</f>
        <v>8.4</v>
      </c>
      <c r="L819" s="37">
        <f>Tabela3[[#This Row],[Qtde Cx Produzida]]*Tabela3[[#This Row],[Qdt Peça Placa]]</f>
        <v>42</v>
      </c>
      <c r="M819" s="37">
        <f>Tabela3[[#This Row],[Previsto]]-Tabela3[[#This Row],[Perda Pçs]]</f>
        <v>42</v>
      </c>
      <c r="N819" s="38">
        <f>IFERROR(Tabela3[[#This Row],[Perda Pçs]]/Tabela3[[#This Row],[Previsto]],0)</f>
        <v>0</v>
      </c>
      <c r="O819" s="39">
        <f>IFERROR(IF(Tabela3[[#This Row],[Qtde Cx Produzida]] &lt;&gt; 0, Tabela3[[#This Row],[Tempo]] / Tabela3[[#This Row],[Qtde Cx Produzida]], 0),0)</f>
        <v>4.9603174603174609E-3</v>
      </c>
      <c r="P819" s="57">
        <f>IFERROR(Tabela3[[#This Row],[Perda Pçs]]/Tabela3[[#This Row],[Qdt Peça Placa]],0)</f>
        <v>0</v>
      </c>
      <c r="Q819" s="37">
        <f>IFERROR(Tabela3[[#This Row],[Realizado]]*Tabela3[[#This Row],[Peso Util/Pç]],0)</f>
        <v>5.8800000000000008</v>
      </c>
      <c r="R819" s="37">
        <f>IFERROR(Tabela3[[#This Row],[Peso Total Galho]]*Tabela3[[#This Row],[Qtde Cx Produzida]]*1.055,0)</f>
        <v>10.98888</v>
      </c>
      <c r="S819" s="37">
        <f>(Tabela3[[#This Row],[Aluminio Bruto]]-Tabela3[[#This Row],[Aluminio Util]])*0.9</f>
        <v>4.5979919999999996</v>
      </c>
      <c r="T819" s="37">
        <f>Tabela3[[#This Row],[Aluminio Bruto]]/OleoKGAluminio</f>
        <v>4.6230076075146664</v>
      </c>
      <c r="U819" s="35">
        <f>IFERROR((VLOOKUP(Tabela3[[#This Row],[Moldador]],Tabela1[],5,)+(VLOOKUP(Tabela3[[#This Row],[Ajudante]],Tabela1[],5,))*3.5),0)</f>
        <v>126.0945</v>
      </c>
      <c r="V819" s="35">
        <f>IFERROR(Tabela3[[#This Row],[Custo M.O. / H]]/((Tabela3[[#This Row],[Realizado]]/Tabela3[[#This Row],[Qdt Peça Placa]])/Tabela3[[#This Row],[Tempo]]/24),)</f>
        <v>15.011249999999999</v>
      </c>
      <c r="W819" s="35">
        <f>Tabela3[[#This Row],[Custo / Cx Moldada]]*Tabela3[[#This Row],[Qtde Cx Produzida]]</f>
        <v>105.07874999999999</v>
      </c>
      <c r="X819" s="35">
        <f ca="1">Tabela3[[#This Row],[Aluminio Util]]*Tabela3[[#This Row],[Custo/Kg]]</f>
        <v>91.728000000000023</v>
      </c>
      <c r="Y819" s="35">
        <f>IFERROR(VLOOKUP(Tabela3[[#This Row],[Data]],Tabela461213[],2,1)*(Tabela3[[#This Row],[Qtde Cx Produzida]]*Tabela3[[#This Row],[Qde macho / CX]]*Tabela3[[#This Row],[Peso Macho]]),)</f>
        <v>0</v>
      </c>
      <c r="Z819" s="35">
        <f>IFERROR(Tabela3[[#This Row],[Qtde Oleo]]*(VLOOKUP(Tabela3[[#This Row],[Data]],CompraOleo[],3,TRUE))*1.05,0)</f>
        <v>12.135394969725999</v>
      </c>
      <c r="AA819" s="47">
        <f ca="1">(Tabela3[[#This Row],[Custo Oleo]]+Tabela3[[#This Row],[Custo Aluminio]]+Tabela3[[#This Row],[Custo M.O. Total]]+Tabela3[[#This Row],[Custo Machos]])</f>
        <v>208.942144969726</v>
      </c>
      <c r="AB819" s="47">
        <f ca="1">Tabela3[[#This Row],[Custo Total]]*Tabela3[[#This Row],[% Perda]]</f>
        <v>0</v>
      </c>
      <c r="AC819" s="48">
        <f>IFERROR(VLOOKUP(Tabela3[[#This Row],[Produto]],Tabela2[],2,0),0)</f>
        <v>6</v>
      </c>
      <c r="AD819" s="48">
        <f>IFERROR(VLOOKUP(Tabela3[[#This Row],[Produto]],Tabela2[],3,0),0)</f>
        <v>0.14000000000000001</v>
      </c>
      <c r="AE819" s="48">
        <f>IFERROR(VLOOKUP(Tabela3[[#This Row],[Produto]],Tabela2[],4,0),0)</f>
        <v>1.488</v>
      </c>
      <c r="AF819" s="48">
        <f>IFERROR(VLOOKUP(Tabela3[[#This Row],[Produto]],Tabela2[],5,0),0)</f>
        <v>0.58319999999999994</v>
      </c>
      <c r="AG819" s="40">
        <f>IFERROR(VLOOKUP(Tabela3[[#This Row],[Produto]],Tabela2[],6,0),0)</f>
        <v>0</v>
      </c>
      <c r="AH819" s="40">
        <f>IFERROR(VLOOKUP(Tabela3[[#This Row],[Produto]],Tabela2[],7,0),0)</f>
        <v>0</v>
      </c>
      <c r="AI819" s="40">
        <f>IFERROR(VLOOKUP(Tabela3[[#This Row],[Produto]],Tabela2[],8,0),0)</f>
        <v>0</v>
      </c>
      <c r="AJ819" s="35">
        <f ca="1">IFERROR(VLOOKUP(Tabela3[[#This Row],[Produto]],Tabela2[],13,0),0)</f>
        <v>15.600000000000001</v>
      </c>
      <c r="AK819" s="40" t="str">
        <f>IFERROR(VLOOKUP(Tabela3[[#This Row],[Produto]],Tabela2[],14,0),0)</f>
        <v>Senun</v>
      </c>
      <c r="AL819" s="40">
        <f>IFERROR(VLOOKUP(Tabela3[[#This Row],[Produto]],Tabela2[],15,0),0)</f>
        <v>0</v>
      </c>
      <c r="AM819" s="36">
        <f ca="1">(Tabela3[[#This Row],[Custo Usinagem]]+Tabela3[[#This Row],[Custo / Pç]])*1.2</f>
        <v>5.9697755705636002</v>
      </c>
      <c r="AN819" s="36">
        <f ca="1">Tabela3[[#This Row],[Valor Mínimo Venda]]*1.15</f>
        <v>6.8652419061481398</v>
      </c>
      <c r="AO819" s="36">
        <f ca="1">Tabela3[[#This Row],[Tabela 1]]*1.08</f>
        <v>7.4144612586399914</v>
      </c>
      <c r="AP819" s="36">
        <f ca="1">Tabela3[[#This Row],[Tabela 2]]*1.15</f>
        <v>8.5266304474359895</v>
      </c>
    </row>
    <row r="820" spans="1:42">
      <c r="A820" s="9">
        <v>45972</v>
      </c>
      <c r="B820" s="6" t="s">
        <v>225</v>
      </c>
      <c r="C820" s="14">
        <v>8341</v>
      </c>
      <c r="D820" s="6" t="s">
        <v>46</v>
      </c>
      <c r="E820" s="6" t="s">
        <v>44</v>
      </c>
      <c r="F820" s="6">
        <v>25</v>
      </c>
      <c r="G820" s="15">
        <v>0.12083333333333333</v>
      </c>
      <c r="H820" s="16">
        <v>0</v>
      </c>
      <c r="I820" s="35">
        <f ca="1">IFERROR(Tabela3[[#This Row],[Custo Total]]/Tabela3[[#This Row],[Aluminio Util]],0)</f>
        <v>33.560543478544083</v>
      </c>
      <c r="J820" s="35">
        <f ca="1">Tabela3[[#This Row],[Custo Total]]/Tabela3[[#This Row],[Realizado]]</f>
        <v>7.7189250000651386</v>
      </c>
      <c r="K820" s="37">
        <f>IFERROR(Tabela3[[#This Row],[Qtde Cx Produzida]]/Tabela3[[#This Row],[Tempo]]/24,0)</f>
        <v>8.6206896551724146</v>
      </c>
      <c r="L820" s="37">
        <f>Tabela3[[#This Row],[Qtde Cx Produzida]]*Tabela3[[#This Row],[Qdt Peça Placa]]</f>
        <v>100</v>
      </c>
      <c r="M820" s="37">
        <f>Tabela3[[#This Row],[Previsto]]-Tabela3[[#This Row],[Perda Pçs]]</f>
        <v>100</v>
      </c>
      <c r="N820" s="38">
        <f>IFERROR(Tabela3[[#This Row],[Perda Pçs]]/Tabela3[[#This Row],[Previsto]],0)</f>
        <v>0</v>
      </c>
      <c r="O820" s="39">
        <f>IFERROR(IF(Tabela3[[#This Row],[Qtde Cx Produzida]] &lt;&gt; 0, Tabela3[[#This Row],[Tempo]] / Tabela3[[#This Row],[Qtde Cx Produzida]], 0),0)</f>
        <v>4.8333333333333336E-3</v>
      </c>
      <c r="P820" s="57">
        <f>IFERROR(Tabela3[[#This Row],[Perda Pçs]]/Tabela3[[#This Row],[Qdt Peça Placa]],0)</f>
        <v>0</v>
      </c>
      <c r="Q820" s="37">
        <f>IFERROR(Tabela3[[#This Row],[Realizado]]*Tabela3[[#This Row],[Peso Util/Pç]],0)</f>
        <v>23</v>
      </c>
      <c r="R820" s="37">
        <f>IFERROR(Tabela3[[#This Row],[Peso Total Galho]]*Tabela3[[#This Row],[Qtde Cx Produzida]]*1.055,0)</f>
        <v>42.938499999999991</v>
      </c>
      <c r="S820" s="37">
        <f>(Tabela3[[#This Row],[Aluminio Bruto]]-Tabela3[[#This Row],[Aluminio Util]])*0.9</f>
        <v>17.944649999999992</v>
      </c>
      <c r="T820" s="37">
        <f>Tabela3[[#This Row],[Aluminio Bruto]]/OleoKGAluminio</f>
        <v>18.064171431052891</v>
      </c>
      <c r="U820" s="35">
        <f>IFERROR((VLOOKUP(Tabela3[[#This Row],[Moldador]],Tabela1[],5,)+(VLOOKUP(Tabela3[[#This Row],[Ajudante]],Tabela1[],5,))*3.5),0)</f>
        <v>126.0945</v>
      </c>
      <c r="V820" s="35">
        <f>IFERROR(Tabela3[[#This Row],[Custo M.O. / H]]/((Tabela3[[#This Row],[Realizado]]/Tabela3[[#This Row],[Qdt Peça Placa]])/Tabela3[[#This Row],[Tempo]]/24),)</f>
        <v>14.626961999999999</v>
      </c>
      <c r="W820" s="35">
        <f>Tabela3[[#This Row],[Custo / Cx Moldada]]*Tabela3[[#This Row],[Qtde Cx Produzida]]</f>
        <v>365.67404999999997</v>
      </c>
      <c r="X820" s="35">
        <f ca="1">Tabela3[[#This Row],[Aluminio Util]]*Tabela3[[#This Row],[Custo/Kg]]</f>
        <v>358.8</v>
      </c>
      <c r="Y820" s="35">
        <f>IFERROR(VLOOKUP(Tabela3[[#This Row],[Data]],Tabela461213[],2,1)*(Tabela3[[#This Row],[Qtde Cx Produzida]]*Tabela3[[#This Row],[Qde macho / CX]]*Tabela3[[#This Row],[Peso Macho]]),)</f>
        <v>0</v>
      </c>
      <c r="Z820" s="35">
        <f>IFERROR(Tabela3[[#This Row],[Qtde Oleo]]*(VLOOKUP(Tabela3[[#This Row],[Data]],CompraOleo[],3,TRUE))*1.05,0)</f>
        <v>47.418450006513844</v>
      </c>
      <c r="AA820" s="47">
        <f ca="1">(Tabela3[[#This Row],[Custo Oleo]]+Tabela3[[#This Row],[Custo Aluminio]]+Tabela3[[#This Row],[Custo M.O. Total]]+Tabela3[[#This Row],[Custo Machos]])</f>
        <v>771.89250000651384</v>
      </c>
      <c r="AB820" s="47">
        <f ca="1">Tabela3[[#This Row],[Custo Total]]*Tabela3[[#This Row],[% Perda]]</f>
        <v>0</v>
      </c>
      <c r="AC820" s="48">
        <f>IFERROR(VLOOKUP(Tabela3[[#This Row],[Produto]],Tabela2[],2,0),0)</f>
        <v>4</v>
      </c>
      <c r="AD820" s="48">
        <f>IFERROR(VLOOKUP(Tabela3[[#This Row],[Produto]],Tabela2[],3,0),0)</f>
        <v>0.23</v>
      </c>
      <c r="AE820" s="48">
        <f>IFERROR(VLOOKUP(Tabela3[[#This Row],[Produto]],Tabela2[],4,0),0)</f>
        <v>1.6279999999999999</v>
      </c>
      <c r="AF820" s="48">
        <f>IFERROR(VLOOKUP(Tabela3[[#This Row],[Produto]],Tabela2[],5,0),0)</f>
        <v>0.63719999999999988</v>
      </c>
      <c r="AG820" s="40">
        <f>IFERROR(VLOOKUP(Tabela3[[#This Row],[Produto]],Tabela2[],6,0),0)</f>
        <v>0</v>
      </c>
      <c r="AH820" s="40">
        <f>IFERROR(VLOOKUP(Tabela3[[#This Row],[Produto]],Tabela2[],7,0),0)</f>
        <v>0</v>
      </c>
      <c r="AI820" s="40">
        <f>IFERROR(VLOOKUP(Tabela3[[#This Row],[Produto]],Tabela2[],8,0),0)</f>
        <v>0</v>
      </c>
      <c r="AJ820" s="35">
        <f ca="1">IFERROR(VLOOKUP(Tabela3[[#This Row],[Produto]],Tabela2[],13,0),0)</f>
        <v>15.600000000000001</v>
      </c>
      <c r="AK820" s="40" t="str">
        <f>IFERROR(VLOOKUP(Tabela3[[#This Row],[Produto]],Tabela2[],14,0),0)</f>
        <v>Senun</v>
      </c>
      <c r="AL820" s="40">
        <f>IFERROR(VLOOKUP(Tabela3[[#This Row],[Produto]],Tabela2[],15,0),0)</f>
        <v>4</v>
      </c>
      <c r="AM820" s="36">
        <f ca="1">(Tabela3[[#This Row],[Custo Usinagem]]+Tabela3[[#This Row],[Custo / Pç]])*1.2</f>
        <v>14.062710000078164</v>
      </c>
      <c r="AN820" s="36">
        <f ca="1">Tabela3[[#This Row],[Valor Mínimo Venda]]*1.15</f>
        <v>16.172116500089889</v>
      </c>
      <c r="AO820" s="36">
        <f ca="1">Tabela3[[#This Row],[Tabela 1]]*1.08</f>
        <v>17.465885820097082</v>
      </c>
      <c r="AP820" s="36">
        <f ca="1">Tabela3[[#This Row],[Tabela 2]]*1.15</f>
        <v>20.085768693111643</v>
      </c>
    </row>
    <row r="821" spans="1:42">
      <c r="A821" s="9">
        <v>45972</v>
      </c>
      <c r="B821" s="6" t="s">
        <v>278</v>
      </c>
      <c r="C821" s="14">
        <v>8343</v>
      </c>
      <c r="D821" s="6" t="s">
        <v>46</v>
      </c>
      <c r="E821" s="6" t="s">
        <v>44</v>
      </c>
      <c r="F821" s="6">
        <v>16</v>
      </c>
      <c r="G821" s="15">
        <v>6.5972222222222224E-2</v>
      </c>
      <c r="H821" s="16">
        <v>0</v>
      </c>
      <c r="I821" s="35">
        <f ca="1">IFERROR(Tabela3[[#This Row],[Custo Total]]/Tabela3[[#This Row],[Aluminio Util]],0)</f>
        <v>32.518725494426192</v>
      </c>
      <c r="J821" s="35">
        <f ca="1">Tabela3[[#This Row],[Custo Total]]/Tabela3[[#This Row],[Realizado]]</f>
        <v>4.5526215692196672</v>
      </c>
      <c r="K821" s="37">
        <f>IFERROR(Tabela3[[#This Row],[Qtde Cx Produzida]]/Tabela3[[#This Row],[Tempo]]/24,0)</f>
        <v>10.105263157894736</v>
      </c>
      <c r="L821" s="37">
        <f>Tabela3[[#This Row],[Qtde Cx Produzida]]*Tabela3[[#This Row],[Qdt Peça Placa]]</f>
        <v>96</v>
      </c>
      <c r="M821" s="37">
        <f>Tabela3[[#This Row],[Previsto]]-Tabela3[[#This Row],[Perda Pçs]]</f>
        <v>96</v>
      </c>
      <c r="N821" s="38">
        <f>IFERROR(Tabela3[[#This Row],[Perda Pçs]]/Tabela3[[#This Row],[Previsto]],0)</f>
        <v>0</v>
      </c>
      <c r="O821" s="39">
        <f>IFERROR(IF(Tabela3[[#This Row],[Qtde Cx Produzida]] &lt;&gt; 0, Tabela3[[#This Row],[Tempo]] / Tabela3[[#This Row],[Qtde Cx Produzida]], 0),0)</f>
        <v>4.123263888888889E-3</v>
      </c>
      <c r="P821" s="57">
        <f>IFERROR(Tabela3[[#This Row],[Perda Pçs]]/Tabela3[[#This Row],[Qdt Peça Placa]],0)</f>
        <v>0</v>
      </c>
      <c r="Q821" s="37">
        <f>IFERROR(Tabela3[[#This Row],[Realizado]]*Tabela3[[#This Row],[Peso Util/Pç]],0)</f>
        <v>13.440000000000001</v>
      </c>
      <c r="R821" s="37">
        <f>IFERROR(Tabela3[[#This Row],[Peso Total Galho]]*Tabela3[[#This Row],[Qtde Cx Produzida]]*1.055,0)</f>
        <v>25.117439999999998</v>
      </c>
      <c r="S821" s="37">
        <f>(Tabela3[[#This Row],[Aluminio Bruto]]-Tabela3[[#This Row],[Aluminio Util]])*0.9</f>
        <v>10.509695999999998</v>
      </c>
      <c r="T821" s="37">
        <f>Tabela3[[#This Row],[Aluminio Bruto]]/OleoKGAluminio</f>
        <v>10.566874531462094</v>
      </c>
      <c r="U821" s="35">
        <f>IFERROR((VLOOKUP(Tabela3[[#This Row],[Moldador]],Tabela1[],5,)+(VLOOKUP(Tabela3[[#This Row],[Ajudante]],Tabela1[],5,))*3.5),0)</f>
        <v>126.0945</v>
      </c>
      <c r="V821" s="35">
        <f>IFERROR(Tabela3[[#This Row],[Custo M.O. / H]]/((Tabela3[[#This Row],[Realizado]]/Tabela3[[#This Row],[Qdt Peça Placa]])/Tabela3[[#This Row],[Tempo]]/24),)</f>
        <v>12.478101562500001</v>
      </c>
      <c r="W821" s="35">
        <f>Tabela3[[#This Row],[Custo / Cx Moldada]]*Tabela3[[#This Row],[Qtde Cx Produzida]]</f>
        <v>199.64962500000001</v>
      </c>
      <c r="X821" s="35">
        <f ca="1">Tabela3[[#This Row],[Aluminio Util]]*Tabela3[[#This Row],[Custo/Kg]]</f>
        <v>209.66400000000004</v>
      </c>
      <c r="Y821" s="35">
        <f>IFERROR(VLOOKUP(Tabela3[[#This Row],[Data]],Tabela461213[],2,1)*(Tabela3[[#This Row],[Qtde Cx Produzida]]*Tabela3[[#This Row],[Qde macho / CX]]*Tabela3[[#This Row],[Peso Macho]]),)</f>
        <v>0</v>
      </c>
      <c r="Z821" s="35">
        <f>IFERROR(Tabela3[[#This Row],[Qtde Oleo]]*(VLOOKUP(Tabela3[[#This Row],[Data]],CompraOleo[],3,TRUE))*1.05,0)</f>
        <v>27.738045645087997</v>
      </c>
      <c r="AA821" s="47">
        <f ca="1">(Tabela3[[#This Row],[Custo Oleo]]+Tabela3[[#This Row],[Custo Aluminio]]+Tabela3[[#This Row],[Custo M.O. Total]]+Tabela3[[#This Row],[Custo Machos]])</f>
        <v>437.05167064508805</v>
      </c>
      <c r="AB821" s="47">
        <f ca="1">Tabela3[[#This Row],[Custo Total]]*Tabela3[[#This Row],[% Perda]]</f>
        <v>0</v>
      </c>
      <c r="AC821" s="48">
        <f>IFERROR(VLOOKUP(Tabela3[[#This Row],[Produto]],Tabela2[],2,0),0)</f>
        <v>6</v>
      </c>
      <c r="AD821" s="48">
        <f>IFERROR(VLOOKUP(Tabela3[[#This Row],[Produto]],Tabela2[],3,0),0)</f>
        <v>0.14000000000000001</v>
      </c>
      <c r="AE821" s="48">
        <f>IFERROR(VLOOKUP(Tabela3[[#This Row],[Produto]],Tabela2[],4,0),0)</f>
        <v>1.488</v>
      </c>
      <c r="AF821" s="48">
        <f>IFERROR(VLOOKUP(Tabela3[[#This Row],[Produto]],Tabela2[],5,0),0)</f>
        <v>0.58319999999999994</v>
      </c>
      <c r="AG821" s="40">
        <f>IFERROR(VLOOKUP(Tabela3[[#This Row],[Produto]],Tabela2[],6,0),0)</f>
        <v>0</v>
      </c>
      <c r="AH821" s="40">
        <f>IFERROR(VLOOKUP(Tabela3[[#This Row],[Produto]],Tabela2[],7,0),0)</f>
        <v>0</v>
      </c>
      <c r="AI821" s="40">
        <f>IFERROR(VLOOKUP(Tabela3[[#This Row],[Produto]],Tabela2[],8,0),0)</f>
        <v>0</v>
      </c>
      <c r="AJ821" s="35">
        <f ca="1">IFERROR(VLOOKUP(Tabela3[[#This Row],[Produto]],Tabela2[],13,0),0)</f>
        <v>15.600000000000001</v>
      </c>
      <c r="AK821" s="40" t="str">
        <f>IFERROR(VLOOKUP(Tabela3[[#This Row],[Produto]],Tabela2[],14,0),0)</f>
        <v>Senun</v>
      </c>
      <c r="AL821" s="40">
        <f>IFERROR(VLOOKUP(Tabela3[[#This Row],[Produto]],Tabela2[],15,0),0)</f>
        <v>0</v>
      </c>
      <c r="AM821" s="36">
        <f ca="1">(Tabela3[[#This Row],[Custo Usinagem]]+Tabela3[[#This Row],[Custo / Pç]])*1.2</f>
        <v>5.4631458830636008</v>
      </c>
      <c r="AN821" s="36">
        <f ca="1">Tabela3[[#This Row],[Valor Mínimo Venda]]*1.15</f>
        <v>6.2826177655231401</v>
      </c>
      <c r="AO821" s="36">
        <f ca="1">Tabela3[[#This Row],[Tabela 1]]*1.08</f>
        <v>6.7852271867649918</v>
      </c>
      <c r="AP821" s="36">
        <f ca="1">Tabela3[[#This Row],[Tabela 2]]*1.15</f>
        <v>7.8030112647797401</v>
      </c>
    </row>
    <row r="822" spans="1:42">
      <c r="A822" s="9">
        <v>45972</v>
      </c>
      <c r="B822" s="6" t="s">
        <v>145</v>
      </c>
      <c r="C822" s="14">
        <v>8346</v>
      </c>
      <c r="D822" s="6" t="s">
        <v>46</v>
      </c>
      <c r="E822" s="6" t="s">
        <v>44</v>
      </c>
      <c r="F822" s="6">
        <v>20</v>
      </c>
      <c r="G822" s="15">
        <v>0.10972222222222222</v>
      </c>
      <c r="H822" s="16">
        <v>4</v>
      </c>
      <c r="I822" s="35">
        <f ca="1">IFERROR(Tabela3[[#This Row],[Custo Total]]/Tabela3[[#This Row],[Aluminio Util]],0)</f>
        <v>27.998514432803589</v>
      </c>
      <c r="J822" s="35">
        <f ca="1">Tabela3[[#This Row],[Custo Total]]/Tabela3[[#This Row],[Realizado]]</f>
        <v>28.390493634862835</v>
      </c>
      <c r="K822" s="37">
        <f>IFERROR(Tabela3[[#This Row],[Qtde Cx Produzida]]/Tabela3[[#This Row],[Tempo]]/24,0)</f>
        <v>7.59493670886076</v>
      </c>
      <c r="L822" s="37">
        <f>Tabela3[[#This Row],[Qtde Cx Produzida]]*Tabela3[[#This Row],[Qdt Peça Placa]]</f>
        <v>40</v>
      </c>
      <c r="M822" s="37">
        <f>Tabela3[[#This Row],[Previsto]]-Tabela3[[#This Row],[Perda Pçs]]</f>
        <v>36</v>
      </c>
      <c r="N822" s="38">
        <f>IFERROR(Tabela3[[#This Row],[Perda Pçs]]/Tabela3[[#This Row],[Previsto]],0)</f>
        <v>0.1</v>
      </c>
      <c r="O822" s="39">
        <f>IFERROR(IF(Tabela3[[#This Row],[Qtde Cx Produzida]] &lt;&gt; 0, Tabela3[[#This Row],[Tempo]] / Tabela3[[#This Row],[Qtde Cx Produzida]], 0),0)</f>
        <v>5.4861111111111109E-3</v>
      </c>
      <c r="P822" s="57">
        <f>IFERROR(Tabela3[[#This Row],[Perda Pçs]]/Tabela3[[#This Row],[Qdt Peça Placa]],0)</f>
        <v>2</v>
      </c>
      <c r="Q822" s="37">
        <f>IFERROR(Tabela3[[#This Row],[Realizado]]*Tabela3[[#This Row],[Peso Util/Pç]],0)</f>
        <v>36.503999999999998</v>
      </c>
      <c r="R822" s="37">
        <f>IFERROR(Tabela3[[#This Row],[Peso Total Galho]]*Tabela3[[#This Row],[Qtde Cx Produzida]]*1.055,0)</f>
        <v>75.748999999999995</v>
      </c>
      <c r="S822" s="37">
        <f>(Tabela3[[#This Row],[Aluminio Bruto]]-Tabela3[[#This Row],[Aluminio Util]])*0.9</f>
        <v>35.320499999999996</v>
      </c>
      <c r="T822" s="37">
        <f>Tabela3[[#This Row],[Aluminio Bruto]]/OleoKGAluminio</f>
        <v>31.867506357483972</v>
      </c>
      <c r="U822" s="35">
        <f>IFERROR((VLOOKUP(Tabela3[[#This Row],[Moldador]],Tabela1[],5,)+(VLOOKUP(Tabela3[[#This Row],[Ajudante]],Tabela1[],5,))*3.5),0)</f>
        <v>126.0945</v>
      </c>
      <c r="V822" s="35">
        <f>IFERROR(Tabela3[[#This Row],[Custo M.O. / H]]/((Tabela3[[#This Row],[Realizado]]/Tabela3[[#This Row],[Qdt Peça Placa]])/Tabela3[[#This Row],[Tempo]]/24),)</f>
        <v>18.447158333333334</v>
      </c>
      <c r="W822" s="35">
        <f>Tabela3[[#This Row],[Custo / Cx Moldada]]*Tabela3[[#This Row],[Qtde Cx Produzida]]</f>
        <v>368.94316666666668</v>
      </c>
      <c r="X822" s="35">
        <f ca="1">Tabela3[[#This Row],[Aluminio Util]]*Tabela3[[#This Row],[Custo/Kg]]</f>
        <v>569.4624</v>
      </c>
      <c r="Y822" s="35">
        <f>IFERROR(VLOOKUP(Tabela3[[#This Row],[Data]],Tabela461213[],2,1)*(Tabela3[[#This Row],[Qtde Cx Produzida]]*Tabela3[[#This Row],[Qde macho / CX]]*Tabela3[[#This Row],[Peso Macho]]),)</f>
        <v>0</v>
      </c>
      <c r="Z822" s="35">
        <f>IFERROR(Tabela3[[#This Row],[Qtde Oleo]]*(VLOOKUP(Tabela3[[#This Row],[Data]],CompraOleo[],3,TRUE))*1.05,0)</f>
        <v>83.65220418839543</v>
      </c>
      <c r="AA822" s="47">
        <f ca="1">(Tabela3[[#This Row],[Custo Oleo]]+Tabela3[[#This Row],[Custo Aluminio]]+Tabela3[[#This Row],[Custo M.O. Total]]+Tabela3[[#This Row],[Custo Machos]])</f>
        <v>1022.0577708550621</v>
      </c>
      <c r="AB822" s="47">
        <f ca="1">Tabela3[[#This Row],[Custo Total]]*Tabela3[[#This Row],[% Perda]]</f>
        <v>102.20577708550621</v>
      </c>
      <c r="AC822" s="48">
        <f>IFERROR(VLOOKUP(Tabela3[[#This Row],[Produto]],Tabela2[],2,0),0)</f>
        <v>2</v>
      </c>
      <c r="AD822" s="48">
        <f>IFERROR(VLOOKUP(Tabela3[[#This Row],[Produto]],Tabela2[],3,0),0)</f>
        <v>1.014</v>
      </c>
      <c r="AE822" s="48">
        <f>IFERROR(VLOOKUP(Tabela3[[#This Row],[Produto]],Tabela2[],4,0),0)</f>
        <v>3.59</v>
      </c>
      <c r="AF822" s="48">
        <f>IFERROR(VLOOKUP(Tabela3[[#This Row],[Produto]],Tabela2[],5,0),0)</f>
        <v>1.4057999999999999</v>
      </c>
      <c r="AG822" s="40">
        <f>IFERROR(VLOOKUP(Tabela3[[#This Row],[Produto]],Tabela2[],6,0),0)</f>
        <v>0</v>
      </c>
      <c r="AH822" s="40">
        <f>IFERROR(VLOOKUP(Tabela3[[#This Row],[Produto]],Tabela2[],7,0),0)</f>
        <v>0</v>
      </c>
      <c r="AI822" s="40">
        <f>IFERROR(VLOOKUP(Tabela3[[#This Row],[Produto]],Tabela2[],8,0),0)</f>
        <v>0</v>
      </c>
      <c r="AJ822" s="35">
        <f ca="1">IFERROR(VLOOKUP(Tabela3[[#This Row],[Produto]],Tabela2[],13,0),0)</f>
        <v>15.600000000000001</v>
      </c>
      <c r="AK822" s="40" t="str">
        <f>IFERROR(VLOOKUP(Tabela3[[#This Row],[Produto]],Tabela2[],14,0),0)</f>
        <v>Senun</v>
      </c>
      <c r="AL822" s="40">
        <f>IFERROR(VLOOKUP(Tabela3[[#This Row],[Produto]],Tabela2[],15,0),0)</f>
        <v>6</v>
      </c>
      <c r="AM822" s="36">
        <f ca="1">(Tabela3[[#This Row],[Custo Usinagem]]+Tabela3[[#This Row],[Custo / Pç]])*1.2</f>
        <v>41.268592361835402</v>
      </c>
      <c r="AN822" s="36">
        <f ca="1">Tabela3[[#This Row],[Valor Mínimo Venda]]*1.15</f>
        <v>47.458881216110711</v>
      </c>
      <c r="AO822" s="36">
        <f ca="1">Tabela3[[#This Row],[Tabela 1]]*1.08</f>
        <v>51.255591713399575</v>
      </c>
      <c r="AP822" s="36">
        <f ca="1">Tabela3[[#This Row],[Tabela 2]]*1.15</f>
        <v>58.943930470409505</v>
      </c>
    </row>
    <row r="823" spans="1:42">
      <c r="A823" s="9">
        <v>45972</v>
      </c>
      <c r="B823" s="6" t="s">
        <v>145</v>
      </c>
      <c r="C823" s="14">
        <v>8346</v>
      </c>
      <c r="D823" s="6" t="s">
        <v>44</v>
      </c>
      <c r="E823" s="6" t="s">
        <v>47</v>
      </c>
      <c r="F823" s="6">
        <v>6</v>
      </c>
      <c r="G823" s="15">
        <v>2.9861111111111113E-2</v>
      </c>
      <c r="H823" s="16">
        <v>0</v>
      </c>
      <c r="I823" s="35">
        <f ca="1">IFERROR(Tabela3[[#This Row],[Custo Total]]/Tabela3[[#This Row],[Aluminio Util]],0)</f>
        <v>23.54927206090354</v>
      </c>
      <c r="J823" s="35">
        <f ca="1">Tabela3[[#This Row],[Custo Total]]/Tabela3[[#This Row],[Realizado]]</f>
        <v>23.878961869756186</v>
      </c>
      <c r="K823" s="37">
        <f>IFERROR(Tabela3[[#This Row],[Qtde Cx Produzida]]/Tabela3[[#This Row],[Tempo]]/24,0)</f>
        <v>8.3720930232558128</v>
      </c>
      <c r="L823" s="37">
        <f>Tabela3[[#This Row],[Qtde Cx Produzida]]*Tabela3[[#This Row],[Qdt Peça Placa]]</f>
        <v>12</v>
      </c>
      <c r="M823" s="37">
        <f>Tabela3[[#This Row],[Previsto]]-Tabela3[[#This Row],[Perda Pçs]]</f>
        <v>12</v>
      </c>
      <c r="N823" s="38">
        <f>IFERROR(Tabela3[[#This Row],[Perda Pçs]]/Tabela3[[#This Row],[Previsto]],0)</f>
        <v>0</v>
      </c>
      <c r="O823" s="39">
        <f>IFERROR(IF(Tabela3[[#This Row],[Qtde Cx Produzida]] &lt;&gt; 0, Tabela3[[#This Row],[Tempo]] / Tabela3[[#This Row],[Qtde Cx Produzida]], 0),0)</f>
        <v>4.9768518518518521E-3</v>
      </c>
      <c r="P823" s="57">
        <f>IFERROR(Tabela3[[#This Row],[Perda Pçs]]/Tabela3[[#This Row],[Qdt Peça Placa]],0)</f>
        <v>0</v>
      </c>
      <c r="Q823" s="37">
        <f>IFERROR(Tabela3[[#This Row],[Realizado]]*Tabela3[[#This Row],[Peso Util/Pç]],0)</f>
        <v>12.167999999999999</v>
      </c>
      <c r="R823" s="37">
        <f>IFERROR(Tabela3[[#This Row],[Peso Total Galho]]*Tabela3[[#This Row],[Qtde Cx Produzida]]*1.055,0)</f>
        <v>22.724699999999999</v>
      </c>
      <c r="S823" s="37">
        <f>(Tabela3[[#This Row],[Aluminio Bruto]]-Tabela3[[#This Row],[Aluminio Util]])*0.9</f>
        <v>9.5010300000000001</v>
      </c>
      <c r="T823" s="37">
        <f>Tabela3[[#This Row],[Aluminio Bruto]]/OleoKGAluminio</f>
        <v>9.5602519072451919</v>
      </c>
      <c r="U823" s="35">
        <f>IFERROR((VLOOKUP(Tabela3[[#This Row],[Moldador]],Tabela1[],5,)+(VLOOKUP(Tabela3[[#This Row],[Ajudante]],Tabela1[],5,))*3.5),0)</f>
        <v>99.95034583333333</v>
      </c>
      <c r="V823" s="35">
        <f>IFERROR(Tabela3[[#This Row],[Custo M.O. / H]]/((Tabela3[[#This Row],[Realizado]]/Tabela3[[#This Row],[Qdt Peça Placa]])/Tabela3[[#This Row],[Tempo]]/24),)</f>
        <v>11.938513530092594</v>
      </c>
      <c r="W823" s="35">
        <f>Tabela3[[#This Row],[Custo / Cx Moldada]]*Tabela3[[#This Row],[Qtde Cx Produzida]]</f>
        <v>71.631081180555569</v>
      </c>
      <c r="X823" s="35">
        <f ca="1">Tabela3[[#This Row],[Aluminio Util]]*Tabela3[[#This Row],[Custo/Kg]]</f>
        <v>189.82080000000002</v>
      </c>
      <c r="Y823" s="35">
        <f>IFERROR(VLOOKUP(Tabela3[[#This Row],[Data]],Tabela461213[],2,1)*(Tabela3[[#This Row],[Qtde Cx Produzida]]*Tabela3[[#This Row],[Qde macho / CX]]*Tabela3[[#This Row],[Peso Macho]]),)</f>
        <v>0</v>
      </c>
      <c r="Z823" s="35">
        <f>IFERROR(Tabela3[[#This Row],[Qtde Oleo]]*(VLOOKUP(Tabela3[[#This Row],[Data]],CompraOleo[],3,TRUE))*1.05,0)</f>
        <v>25.095661256518628</v>
      </c>
      <c r="AA823" s="47">
        <f ca="1">(Tabela3[[#This Row],[Custo Oleo]]+Tabela3[[#This Row],[Custo Aluminio]]+Tabela3[[#This Row],[Custo M.O. Total]]+Tabela3[[#This Row],[Custo Machos]])</f>
        <v>286.54754243707424</v>
      </c>
      <c r="AB823" s="47">
        <f ca="1">Tabela3[[#This Row],[Custo Total]]*Tabela3[[#This Row],[% Perda]]</f>
        <v>0</v>
      </c>
      <c r="AC823" s="48">
        <f>IFERROR(VLOOKUP(Tabela3[[#This Row],[Produto]],Tabela2[],2,0),0)</f>
        <v>2</v>
      </c>
      <c r="AD823" s="48">
        <f>IFERROR(VLOOKUP(Tabela3[[#This Row],[Produto]],Tabela2[],3,0),0)</f>
        <v>1.014</v>
      </c>
      <c r="AE823" s="48">
        <f>IFERROR(VLOOKUP(Tabela3[[#This Row],[Produto]],Tabela2[],4,0),0)</f>
        <v>3.59</v>
      </c>
      <c r="AF823" s="48">
        <f>IFERROR(VLOOKUP(Tabela3[[#This Row],[Produto]],Tabela2[],5,0),0)</f>
        <v>1.4057999999999999</v>
      </c>
      <c r="AG823" s="40">
        <f>IFERROR(VLOOKUP(Tabela3[[#This Row],[Produto]],Tabela2[],6,0),0)</f>
        <v>0</v>
      </c>
      <c r="AH823" s="40">
        <f>IFERROR(VLOOKUP(Tabela3[[#This Row],[Produto]],Tabela2[],7,0),0)</f>
        <v>0</v>
      </c>
      <c r="AI823" s="40">
        <f>IFERROR(VLOOKUP(Tabela3[[#This Row],[Produto]],Tabela2[],8,0),0)</f>
        <v>0</v>
      </c>
      <c r="AJ823" s="35">
        <f ca="1">IFERROR(VLOOKUP(Tabela3[[#This Row],[Produto]],Tabela2[],13,0),0)</f>
        <v>15.600000000000001</v>
      </c>
      <c r="AK823" s="40" t="str">
        <f>IFERROR(VLOOKUP(Tabela3[[#This Row],[Produto]],Tabela2[],14,0),0)</f>
        <v>Senun</v>
      </c>
      <c r="AL823" s="40">
        <f>IFERROR(VLOOKUP(Tabela3[[#This Row],[Produto]],Tabela2[],15,0),0)</f>
        <v>6</v>
      </c>
      <c r="AM823" s="36">
        <f ca="1">(Tabela3[[#This Row],[Custo Usinagem]]+Tabela3[[#This Row],[Custo / Pç]])*1.2</f>
        <v>35.854754243707418</v>
      </c>
      <c r="AN823" s="36">
        <f ca="1">Tabela3[[#This Row],[Valor Mínimo Venda]]*1.15</f>
        <v>41.232967380263531</v>
      </c>
      <c r="AO823" s="36">
        <f ca="1">Tabela3[[#This Row],[Tabela 1]]*1.08</f>
        <v>44.531604770684616</v>
      </c>
      <c r="AP823" s="36">
        <f ca="1">Tabela3[[#This Row],[Tabela 2]]*1.15</f>
        <v>51.211345486287307</v>
      </c>
    </row>
    <row r="824" spans="1:42">
      <c r="A824" s="9">
        <v>45972</v>
      </c>
      <c r="B824" s="6" t="s">
        <v>226</v>
      </c>
      <c r="C824" s="14">
        <v>8345</v>
      </c>
      <c r="D824" s="6" t="s">
        <v>44</v>
      </c>
      <c r="E824" s="6" t="s">
        <v>47</v>
      </c>
      <c r="F824" s="6">
        <v>7</v>
      </c>
      <c r="G824" s="15">
        <v>3.0555555555555555E-2</v>
      </c>
      <c r="H824" s="16">
        <v>0</v>
      </c>
      <c r="I824" s="35">
        <f ca="1">IFERROR(Tabela3[[#This Row],[Custo Total]]/Tabela3[[#This Row],[Aluminio Util]],0)</f>
        <v>29.043181099317025</v>
      </c>
      <c r="J824" s="35">
        <f ca="1">Tabela3[[#This Row],[Custo Total]]/Tabela3[[#This Row],[Realizado]]</f>
        <v>6.6799316528429165</v>
      </c>
      <c r="K824" s="37">
        <f>IFERROR(Tabela3[[#This Row],[Qtde Cx Produzida]]/Tabela3[[#This Row],[Tempo]]/24,0)</f>
        <v>9.545454545454545</v>
      </c>
      <c r="L824" s="37">
        <f>Tabela3[[#This Row],[Qtde Cx Produzida]]*Tabela3[[#This Row],[Qdt Peça Placa]]</f>
        <v>28</v>
      </c>
      <c r="M824" s="37">
        <f>Tabela3[[#This Row],[Previsto]]-Tabela3[[#This Row],[Perda Pçs]]</f>
        <v>28</v>
      </c>
      <c r="N824" s="38">
        <f>IFERROR(Tabela3[[#This Row],[Perda Pçs]]/Tabela3[[#This Row],[Previsto]],0)</f>
        <v>0</v>
      </c>
      <c r="O824" s="39">
        <f>IFERROR(IF(Tabela3[[#This Row],[Qtde Cx Produzida]] &lt;&gt; 0, Tabela3[[#This Row],[Tempo]] / Tabela3[[#This Row],[Qtde Cx Produzida]], 0),0)</f>
        <v>4.3650793650793652E-3</v>
      </c>
      <c r="P824" s="57">
        <f>IFERROR(Tabela3[[#This Row],[Perda Pçs]]/Tabela3[[#This Row],[Qdt Peça Placa]],0)</f>
        <v>0</v>
      </c>
      <c r="Q824" s="37">
        <f>IFERROR(Tabela3[[#This Row],[Realizado]]*Tabela3[[#This Row],[Peso Util/Pç]],0)</f>
        <v>6.44</v>
      </c>
      <c r="R824" s="37">
        <f>IFERROR(Tabela3[[#This Row],[Peso Total Galho]]*Tabela3[[#This Row],[Qtde Cx Produzida]]*1.055,0)</f>
        <v>12.022779999999999</v>
      </c>
      <c r="S824" s="37">
        <f>(Tabela3[[#This Row],[Aluminio Bruto]]-Tabela3[[#This Row],[Aluminio Util]])*0.9</f>
        <v>5.0245019999999991</v>
      </c>
      <c r="T824" s="37">
        <f>Tabela3[[#This Row],[Aluminio Bruto]]/OleoKGAluminio</f>
        <v>5.0579680006948093</v>
      </c>
      <c r="U824" s="35">
        <f>IFERROR((VLOOKUP(Tabela3[[#This Row],[Moldador]],Tabela1[],5,)+(VLOOKUP(Tabela3[[#This Row],[Ajudante]],Tabela1[],5,))*3.5),0)</f>
        <v>99.95034583333333</v>
      </c>
      <c r="V824" s="35">
        <f>IFERROR(Tabela3[[#This Row],[Custo M.O. / H]]/((Tabela3[[#This Row],[Realizado]]/Tabela3[[#This Row],[Qdt Peça Placa]])/Tabela3[[#This Row],[Tempo]]/24),)</f>
        <v>10.470988611111112</v>
      </c>
      <c r="W824" s="35">
        <f>Tabela3[[#This Row],[Custo / Cx Moldada]]*Tabela3[[#This Row],[Qtde Cx Produzida]]</f>
        <v>73.296920277777787</v>
      </c>
      <c r="X824" s="35">
        <f ca="1">Tabela3[[#This Row],[Aluminio Util]]*Tabela3[[#This Row],[Custo/Kg]]</f>
        <v>100.46400000000001</v>
      </c>
      <c r="Y824" s="35">
        <f>IFERROR(VLOOKUP(Tabela3[[#This Row],[Data]],Tabela461213[],2,1)*(Tabela3[[#This Row],[Qtde Cx Produzida]]*Tabela3[[#This Row],[Qde macho / CX]]*Tabela3[[#This Row],[Peso Macho]]),)</f>
        <v>0</v>
      </c>
      <c r="Z824" s="35">
        <f>IFERROR(Tabela3[[#This Row],[Qtde Oleo]]*(VLOOKUP(Tabela3[[#This Row],[Data]],CompraOleo[],3,TRUE))*1.05,0)</f>
        <v>13.277166001823876</v>
      </c>
      <c r="AA824" s="47">
        <f ca="1">(Tabela3[[#This Row],[Custo Oleo]]+Tabela3[[#This Row],[Custo Aluminio]]+Tabela3[[#This Row],[Custo M.O. Total]]+Tabela3[[#This Row],[Custo Machos]])</f>
        <v>187.03808627960166</v>
      </c>
      <c r="AB824" s="47">
        <f ca="1">Tabela3[[#This Row],[Custo Total]]*Tabela3[[#This Row],[% Perda]]</f>
        <v>0</v>
      </c>
      <c r="AC824" s="48">
        <f>IFERROR(VLOOKUP(Tabela3[[#This Row],[Produto]],Tabela2[],2,0),0)</f>
        <v>4</v>
      </c>
      <c r="AD824" s="48">
        <f>IFERROR(VLOOKUP(Tabela3[[#This Row],[Produto]],Tabela2[],3,0),0)</f>
        <v>0.23</v>
      </c>
      <c r="AE824" s="48">
        <f>IFERROR(VLOOKUP(Tabela3[[#This Row],[Produto]],Tabela2[],4,0),0)</f>
        <v>1.6279999999999999</v>
      </c>
      <c r="AF824" s="48">
        <f>IFERROR(VLOOKUP(Tabela3[[#This Row],[Produto]],Tabela2[],5,0),0)</f>
        <v>0.63719999999999988</v>
      </c>
      <c r="AG824" s="40">
        <f>IFERROR(VLOOKUP(Tabela3[[#This Row],[Produto]],Tabela2[],6,0),0)</f>
        <v>0</v>
      </c>
      <c r="AH824" s="40">
        <f>IFERROR(VLOOKUP(Tabela3[[#This Row],[Produto]],Tabela2[],7,0),0)</f>
        <v>0</v>
      </c>
      <c r="AI824" s="40">
        <f>IFERROR(VLOOKUP(Tabela3[[#This Row],[Produto]],Tabela2[],8,0),0)</f>
        <v>0</v>
      </c>
      <c r="AJ824" s="35">
        <f ca="1">IFERROR(VLOOKUP(Tabela3[[#This Row],[Produto]],Tabela2[],13,0),0)</f>
        <v>15.600000000000001</v>
      </c>
      <c r="AK824" s="40" t="str">
        <f>IFERROR(VLOOKUP(Tabela3[[#This Row],[Produto]],Tabela2[],14,0),0)</f>
        <v>Senun</v>
      </c>
      <c r="AL824" s="40">
        <f>IFERROR(VLOOKUP(Tabela3[[#This Row],[Produto]],Tabela2[],15,0),0)</f>
        <v>4</v>
      </c>
      <c r="AM824" s="36">
        <f ca="1">(Tabela3[[#This Row],[Custo Usinagem]]+Tabela3[[#This Row],[Custo / Pç]])*1.2</f>
        <v>12.8159179834115</v>
      </c>
      <c r="AN824" s="36">
        <f ca="1">Tabela3[[#This Row],[Valor Mínimo Venda]]*1.15</f>
        <v>14.738305680923224</v>
      </c>
      <c r="AO824" s="36">
        <f ca="1">Tabela3[[#This Row],[Tabela 1]]*1.08</f>
        <v>15.917370135397084</v>
      </c>
      <c r="AP824" s="36">
        <f ca="1">Tabela3[[#This Row],[Tabela 2]]*1.15</f>
        <v>18.304975655706645</v>
      </c>
    </row>
    <row r="825" spans="1:42">
      <c r="A825" s="9">
        <v>45973</v>
      </c>
      <c r="B825" s="6" t="s">
        <v>226</v>
      </c>
      <c r="C825" s="14">
        <v>8345</v>
      </c>
      <c r="D825" s="6" t="s">
        <v>46</v>
      </c>
      <c r="E825" s="6" t="s">
        <v>44</v>
      </c>
      <c r="F825" s="6">
        <v>18</v>
      </c>
      <c r="G825" s="15">
        <v>0.10625</v>
      </c>
      <c r="H825" s="16">
        <v>0</v>
      </c>
      <c r="I825" s="35">
        <f ca="1">IFERROR(Tabela3[[#This Row],[Custo Total]]/Tabela3[[#This Row],[Aluminio Util]],0)</f>
        <v>37.078397282891899</v>
      </c>
      <c r="J825" s="35">
        <f ca="1">Tabela3[[#This Row],[Custo Total]]/Tabela3[[#This Row],[Realizado]]</f>
        <v>8.5280313750651384</v>
      </c>
      <c r="K825" s="37">
        <f>IFERROR(Tabela3[[#This Row],[Qtde Cx Produzida]]/Tabela3[[#This Row],[Tempo]]/24,0)</f>
        <v>7.0588235294117645</v>
      </c>
      <c r="L825" s="37">
        <f>Tabela3[[#This Row],[Qtde Cx Produzida]]*Tabela3[[#This Row],[Qdt Peça Placa]]</f>
        <v>72</v>
      </c>
      <c r="M825" s="37">
        <f>Tabela3[[#This Row],[Previsto]]-Tabela3[[#This Row],[Perda Pçs]]</f>
        <v>72</v>
      </c>
      <c r="N825" s="38">
        <f>IFERROR(Tabela3[[#This Row],[Perda Pçs]]/Tabela3[[#This Row],[Previsto]],0)</f>
        <v>0</v>
      </c>
      <c r="O825" s="39">
        <f>IFERROR(IF(Tabela3[[#This Row],[Qtde Cx Produzida]] &lt;&gt; 0, Tabela3[[#This Row],[Tempo]] / Tabela3[[#This Row],[Qtde Cx Produzida]], 0),0)</f>
        <v>5.9027777777777776E-3</v>
      </c>
      <c r="P825" s="57">
        <f>IFERROR(Tabela3[[#This Row],[Perda Pçs]]/Tabela3[[#This Row],[Qdt Peça Placa]],0)</f>
        <v>0</v>
      </c>
      <c r="Q825" s="37">
        <f>IFERROR(Tabela3[[#This Row],[Realizado]]*Tabela3[[#This Row],[Peso Util/Pç]],0)</f>
        <v>16.560000000000002</v>
      </c>
      <c r="R825" s="37">
        <f>IFERROR(Tabela3[[#This Row],[Peso Total Galho]]*Tabela3[[#This Row],[Qtde Cx Produzida]]*1.055,0)</f>
        <v>30.915719999999997</v>
      </c>
      <c r="S825" s="37">
        <f>(Tabela3[[#This Row],[Aluminio Bruto]]-Tabela3[[#This Row],[Aluminio Util]])*0.9</f>
        <v>12.920147999999996</v>
      </c>
      <c r="T825" s="37">
        <f>Tabela3[[#This Row],[Aluminio Bruto]]/OleoKGAluminio</f>
        <v>13.006203430358083</v>
      </c>
      <c r="U825" s="35">
        <f>IFERROR((VLOOKUP(Tabela3[[#This Row],[Moldador]],Tabela1[],5,)+(VLOOKUP(Tabela3[[#This Row],[Ajudante]],Tabela1[],5,))*3.5),0)</f>
        <v>126.0945</v>
      </c>
      <c r="V825" s="35">
        <f>IFERROR(Tabela3[[#This Row],[Custo M.O. / H]]/((Tabela3[[#This Row],[Realizado]]/Tabela3[[#This Row],[Qdt Peça Placa]])/Tabela3[[#This Row],[Tempo]]/24),)</f>
        <v>17.863387500000002</v>
      </c>
      <c r="W825" s="35">
        <f>Tabela3[[#This Row],[Custo / Cx Moldada]]*Tabela3[[#This Row],[Qtde Cx Produzida]]</f>
        <v>321.540975</v>
      </c>
      <c r="X825" s="35">
        <f ca="1">Tabela3[[#This Row],[Aluminio Util]]*Tabela3[[#This Row],[Custo/Kg]]</f>
        <v>258.33600000000007</v>
      </c>
      <c r="Y825" s="35">
        <f>IFERROR(VLOOKUP(Tabela3[[#This Row],[Data]],Tabela461213[],2,1)*(Tabela3[[#This Row],[Qtde Cx Produzida]]*Tabela3[[#This Row],[Qde macho / CX]]*Tabela3[[#This Row],[Peso Macho]]),)</f>
        <v>0</v>
      </c>
      <c r="Z825" s="35">
        <f>IFERROR(Tabela3[[#This Row],[Qtde Oleo]]*(VLOOKUP(Tabela3[[#This Row],[Data]],CompraOleo[],3,TRUE))*1.05,0)</f>
        <v>34.141284004689965</v>
      </c>
      <c r="AA825" s="47">
        <f ca="1">(Tabela3[[#This Row],[Custo Oleo]]+Tabela3[[#This Row],[Custo Aluminio]]+Tabela3[[#This Row],[Custo M.O. Total]]+Tabela3[[#This Row],[Custo Machos]])</f>
        <v>614.01825900468998</v>
      </c>
      <c r="AB825" s="47">
        <f ca="1">Tabela3[[#This Row],[Custo Total]]*Tabela3[[#This Row],[% Perda]]</f>
        <v>0</v>
      </c>
      <c r="AC825" s="48">
        <f>IFERROR(VLOOKUP(Tabela3[[#This Row],[Produto]],Tabela2[],2,0),0)</f>
        <v>4</v>
      </c>
      <c r="AD825" s="48">
        <f>IFERROR(VLOOKUP(Tabela3[[#This Row],[Produto]],Tabela2[],3,0),0)</f>
        <v>0.23</v>
      </c>
      <c r="AE825" s="48">
        <f>IFERROR(VLOOKUP(Tabela3[[#This Row],[Produto]],Tabela2[],4,0),0)</f>
        <v>1.6279999999999999</v>
      </c>
      <c r="AF825" s="48">
        <f>IFERROR(VLOOKUP(Tabela3[[#This Row],[Produto]],Tabela2[],5,0),0)</f>
        <v>0.63719999999999988</v>
      </c>
      <c r="AG825" s="40">
        <f>IFERROR(VLOOKUP(Tabela3[[#This Row],[Produto]],Tabela2[],6,0),0)</f>
        <v>0</v>
      </c>
      <c r="AH825" s="40">
        <f>IFERROR(VLOOKUP(Tabela3[[#This Row],[Produto]],Tabela2[],7,0),0)</f>
        <v>0</v>
      </c>
      <c r="AI825" s="40">
        <f>IFERROR(VLOOKUP(Tabela3[[#This Row],[Produto]],Tabela2[],8,0),0)</f>
        <v>0</v>
      </c>
      <c r="AJ825" s="35">
        <f ca="1">IFERROR(VLOOKUP(Tabela3[[#This Row],[Produto]],Tabela2[],13,0),0)</f>
        <v>15.600000000000001</v>
      </c>
      <c r="AK825" s="40" t="str">
        <f>IFERROR(VLOOKUP(Tabela3[[#This Row],[Produto]],Tabela2[],14,0),0)</f>
        <v>Senun</v>
      </c>
      <c r="AL825" s="40">
        <f>IFERROR(VLOOKUP(Tabela3[[#This Row],[Produto]],Tabela2[],15,0),0)</f>
        <v>4</v>
      </c>
      <c r="AM825" s="36">
        <f ca="1">(Tabela3[[#This Row],[Custo Usinagem]]+Tabela3[[#This Row],[Custo / Pç]])*1.2</f>
        <v>15.033637650078166</v>
      </c>
      <c r="AN825" s="36">
        <f ca="1">Tabela3[[#This Row],[Valor Mínimo Venda]]*1.15</f>
        <v>17.288683297589891</v>
      </c>
      <c r="AO825" s="36">
        <f ca="1">Tabela3[[#This Row],[Tabela 1]]*1.08</f>
        <v>18.671777961397083</v>
      </c>
      <c r="AP825" s="36">
        <f ca="1">Tabela3[[#This Row],[Tabela 2]]*1.15</f>
        <v>21.472544655606644</v>
      </c>
    </row>
    <row r="826" spans="1:42">
      <c r="A826" s="9">
        <v>45973</v>
      </c>
      <c r="B826" s="6" t="s">
        <v>229</v>
      </c>
      <c r="C826" s="14">
        <v>8374</v>
      </c>
      <c r="D826" s="6" t="s">
        <v>46</v>
      </c>
      <c r="E826" s="6" t="s">
        <v>44</v>
      </c>
      <c r="F826" s="6">
        <v>31</v>
      </c>
      <c r="G826" s="15">
        <v>0.15347222222222223</v>
      </c>
      <c r="H826" s="16">
        <v>0</v>
      </c>
      <c r="I826" s="35">
        <f ca="1">IFERROR(Tabela3[[#This Row],[Custo Total]]/Tabela3[[#This Row],[Aluminio Util]],0)</f>
        <v>22.499107075346362</v>
      </c>
      <c r="J826" s="35">
        <f ca="1">Tabela3[[#This Row],[Custo Total]]/Tabela3[[#This Row],[Realizado]]</f>
        <v>62.727510526065664</v>
      </c>
      <c r="K826" s="37">
        <f>IFERROR(Tabela3[[#This Row],[Qtde Cx Produzida]]/Tabela3[[#This Row],[Tempo]]/24,0)</f>
        <v>8.4162895927601813</v>
      </c>
      <c r="L826" s="37">
        <f>Tabela3[[#This Row],[Qtde Cx Produzida]]*Tabela3[[#This Row],[Qdt Peça Placa]]</f>
        <v>31</v>
      </c>
      <c r="M826" s="37">
        <f>Tabela3[[#This Row],[Previsto]]-Tabela3[[#This Row],[Perda Pçs]]</f>
        <v>31</v>
      </c>
      <c r="N826" s="38">
        <f>IFERROR(Tabela3[[#This Row],[Perda Pçs]]/Tabela3[[#This Row],[Previsto]],0)</f>
        <v>0</v>
      </c>
      <c r="O826" s="39">
        <f>IFERROR(IF(Tabela3[[#This Row],[Qtde Cx Produzida]] &lt;&gt; 0, Tabela3[[#This Row],[Tempo]] / Tabela3[[#This Row],[Qtde Cx Produzida]], 0),0)</f>
        <v>4.9507168458781366E-3</v>
      </c>
      <c r="P826" s="57">
        <f>IFERROR(Tabela3[[#This Row],[Perda Pçs]]/Tabela3[[#This Row],[Qdt Peça Placa]],0)</f>
        <v>0</v>
      </c>
      <c r="Q826" s="37">
        <f>IFERROR(Tabela3[[#This Row],[Realizado]]*Tabela3[[#This Row],[Peso Util/Pç]],0)</f>
        <v>86.427999999999997</v>
      </c>
      <c r="R826" s="37">
        <f>IFERROR(Tabela3[[#This Row],[Peso Total Galho]]*Tabela3[[#This Row],[Qtde Cx Produzida]]*1.055,0)</f>
        <v>119.37324999999998</v>
      </c>
      <c r="S826" s="37">
        <f>(Tabela3[[#This Row],[Aluminio Bruto]]-Tabela3[[#This Row],[Aluminio Util]])*0.9</f>
        <v>29.650724999999991</v>
      </c>
      <c r="T826" s="37">
        <f>Tabela3[[#This Row],[Aluminio Bruto]]/OleoKGAluminio</f>
        <v>50.220171926870627</v>
      </c>
      <c r="U826" s="35">
        <f>IFERROR((VLOOKUP(Tabela3[[#This Row],[Moldador]],Tabela1[],5,)+(VLOOKUP(Tabela3[[#This Row],[Ajudante]],Tabela1[],5,))*3.5),0)</f>
        <v>126.0945</v>
      </c>
      <c r="V826" s="35">
        <f>IFERROR(Tabela3[[#This Row],[Custo M.O. / H]]/((Tabela3[[#This Row],[Realizado]]/Tabela3[[#This Row],[Qdt Peça Placa]])/Tabela3[[#This Row],[Tempo]]/24),)</f>
        <v>14.982195967741935</v>
      </c>
      <c r="W826" s="35">
        <f>Tabela3[[#This Row],[Custo / Cx Moldada]]*Tabela3[[#This Row],[Qtde Cx Produzida]]</f>
        <v>464.44807500000002</v>
      </c>
      <c r="X826" s="35">
        <f ca="1">Tabela3[[#This Row],[Aluminio Util]]*Tabela3[[#This Row],[Custo/Kg]]</f>
        <v>1348.2768000000001</v>
      </c>
      <c r="Y826" s="35">
        <f>IFERROR(VLOOKUP(Tabela3[[#This Row],[Data]],Tabela461213[],2,1)*(Tabela3[[#This Row],[Qtde Cx Produzida]]*Tabela3[[#This Row],[Qde macho / CX]]*Tabela3[[#This Row],[Peso Macho]]),)</f>
        <v>0</v>
      </c>
      <c r="Z826" s="35">
        <f>IFERROR(Tabela3[[#This Row],[Qtde Oleo]]*(VLOOKUP(Tabela3[[#This Row],[Data]],CompraOleo[],3,TRUE))*1.05,0)</f>
        <v>131.82795130803541</v>
      </c>
      <c r="AA826" s="47">
        <f ca="1">(Tabela3[[#This Row],[Custo Oleo]]+Tabela3[[#This Row],[Custo Aluminio]]+Tabela3[[#This Row],[Custo M.O. Total]]+Tabela3[[#This Row],[Custo Machos]])</f>
        <v>1944.5528263080355</v>
      </c>
      <c r="AB826" s="47">
        <f ca="1">Tabela3[[#This Row],[Custo Total]]*Tabela3[[#This Row],[% Perda]]</f>
        <v>0</v>
      </c>
      <c r="AC826" s="48">
        <f>IFERROR(VLOOKUP(Tabela3[[#This Row],[Produto]],Tabela2[],2,0),0)</f>
        <v>1</v>
      </c>
      <c r="AD826" s="48">
        <f>IFERROR(VLOOKUP(Tabela3[[#This Row],[Produto]],Tabela2[],3,0),0)</f>
        <v>2.7879999999999998</v>
      </c>
      <c r="AE826" s="48">
        <f>IFERROR(VLOOKUP(Tabela3[[#This Row],[Produto]],Tabela2[],4,0),0)</f>
        <v>3.65</v>
      </c>
      <c r="AF826" s="48">
        <f>IFERROR(VLOOKUP(Tabela3[[#This Row],[Produto]],Tabela2[],5,0),0)</f>
        <v>0.77580000000000016</v>
      </c>
      <c r="AG826" s="40">
        <f>IFERROR(VLOOKUP(Tabela3[[#This Row],[Produto]],Tabela2[],6,0),0)</f>
        <v>0</v>
      </c>
      <c r="AH826" s="40">
        <f>IFERROR(VLOOKUP(Tabela3[[#This Row],[Produto]],Tabela2[],7,0),0)</f>
        <v>0</v>
      </c>
      <c r="AI826" s="40">
        <f>IFERROR(VLOOKUP(Tabela3[[#This Row],[Produto]],Tabela2[],8,0),0)</f>
        <v>0</v>
      </c>
      <c r="AJ826" s="35">
        <f ca="1">IFERROR(VLOOKUP(Tabela3[[#This Row],[Produto]],Tabela2[],13,0),0)</f>
        <v>15.600000000000001</v>
      </c>
      <c r="AK826" s="40" t="str">
        <f>IFERROR(VLOOKUP(Tabela3[[#This Row],[Produto]],Tabela2[],14,0),0)</f>
        <v>Jumil</v>
      </c>
      <c r="AL826" s="40">
        <f>IFERROR(VLOOKUP(Tabela3[[#This Row],[Produto]],Tabela2[],15,0),0)</f>
        <v>35</v>
      </c>
      <c r="AM826" s="36">
        <f ca="1">(Tabela3[[#This Row],[Custo Usinagem]]+Tabela3[[#This Row],[Custo / Pç]])*1.2</f>
        <v>117.27301263127879</v>
      </c>
      <c r="AN826" s="36">
        <f ca="1">Tabela3[[#This Row],[Valor Mínimo Venda]]*1.15</f>
        <v>134.8639645259706</v>
      </c>
      <c r="AO826" s="36">
        <f ca="1">Tabela3[[#This Row],[Tabela 1]]*1.08</f>
        <v>145.65308168804825</v>
      </c>
      <c r="AP826" s="36">
        <f ca="1">Tabela3[[#This Row],[Tabela 2]]*1.15</f>
        <v>167.50104394125546</v>
      </c>
    </row>
    <row r="827" spans="1:42">
      <c r="A827" s="9">
        <v>45973</v>
      </c>
      <c r="B827" s="6" t="s">
        <v>83</v>
      </c>
      <c r="C827" s="14">
        <v>8376</v>
      </c>
      <c r="D827" s="6" t="s">
        <v>46</v>
      </c>
      <c r="E827" s="6" t="s">
        <v>44</v>
      </c>
      <c r="F827" s="6">
        <v>19</v>
      </c>
      <c r="G827" s="15">
        <v>9.5138888888888884E-2</v>
      </c>
      <c r="H827" s="16">
        <v>0</v>
      </c>
      <c r="I827" s="35">
        <f ca="1">IFERROR(Tabela3[[#This Row],[Custo Total]]/Tabela3[[#This Row],[Aluminio Util]],0)</f>
        <v>32.850592309223813</v>
      </c>
      <c r="J827" s="35">
        <f ca="1">Tabela3[[#This Row],[Custo Total]]/Tabela3[[#This Row],[Realizado]]</f>
        <v>32.850592309223813</v>
      </c>
      <c r="K827" s="37">
        <f>IFERROR(Tabela3[[#This Row],[Qtde Cx Produzida]]/Tabela3[[#This Row],[Tempo]]/24,0)</f>
        <v>8.3211678832116789</v>
      </c>
      <c r="L827" s="37">
        <f>Tabela3[[#This Row],[Qtde Cx Produzida]]*Tabela3[[#This Row],[Qdt Peça Placa]]</f>
        <v>19</v>
      </c>
      <c r="M827" s="37">
        <f>Tabela3[[#This Row],[Previsto]]-Tabela3[[#This Row],[Perda Pçs]]</f>
        <v>19</v>
      </c>
      <c r="N827" s="38">
        <f>IFERROR(Tabela3[[#This Row],[Perda Pçs]]/Tabela3[[#This Row],[Previsto]],0)</f>
        <v>0</v>
      </c>
      <c r="O827" s="39">
        <f>IFERROR(IF(Tabela3[[#This Row],[Qtde Cx Produzida]] &lt;&gt; 0, Tabela3[[#This Row],[Tempo]] / Tabela3[[#This Row],[Qtde Cx Produzida]], 0),0)</f>
        <v>5.0073099415204672E-3</v>
      </c>
      <c r="P827" s="57">
        <f>IFERROR(Tabela3[[#This Row],[Perda Pçs]]/Tabela3[[#This Row],[Qdt Peça Placa]],0)</f>
        <v>0</v>
      </c>
      <c r="Q827" s="37">
        <f>IFERROR(Tabela3[[#This Row],[Realizado]]*Tabela3[[#This Row],[Peso Util/Pç]],0)</f>
        <v>19</v>
      </c>
      <c r="R827" s="37">
        <f>IFERROR(Tabela3[[#This Row],[Peso Total Galho]]*Tabela3[[#This Row],[Qtde Cx Produzida]]*1.055,0)</f>
        <v>36.081000000000003</v>
      </c>
      <c r="S827" s="37">
        <f>(Tabela3[[#This Row],[Aluminio Bruto]]-Tabela3[[#This Row],[Aluminio Util]])*0.9</f>
        <v>15.372900000000003</v>
      </c>
      <c r="T827" s="37">
        <f>Tabela3[[#This Row],[Aluminio Bruto]]/OleoKGAluminio</f>
        <v>15.179230047715208</v>
      </c>
      <c r="U827" s="35">
        <f>IFERROR((VLOOKUP(Tabela3[[#This Row],[Moldador]],Tabela1[],5,)+(VLOOKUP(Tabela3[[#This Row],[Ajudante]],Tabela1[],5,))*3.5),0)</f>
        <v>126.0945</v>
      </c>
      <c r="V827" s="35">
        <f>IFERROR(Tabela3[[#This Row],[Custo M.O. / H]]/((Tabela3[[#This Row],[Realizado]]/Tabela3[[#This Row],[Qdt Peça Placa]])/Tabela3[[#This Row],[Tempo]]/24),)</f>
        <v>15.153461842105262</v>
      </c>
      <c r="W827" s="35">
        <f>Tabela3[[#This Row],[Custo / Cx Moldada]]*Tabela3[[#This Row],[Qtde Cx Produzida]]</f>
        <v>287.915775</v>
      </c>
      <c r="X827" s="35">
        <f ca="1">Tabela3[[#This Row],[Aluminio Util]]*Tabela3[[#This Row],[Custo/Kg]]</f>
        <v>296.40000000000003</v>
      </c>
      <c r="Y827" s="35">
        <f>IFERROR(VLOOKUP(Tabela3[[#This Row],[Data]],Tabela461213[],2,1)*(Tabela3[[#This Row],[Qtde Cx Produzida]]*Tabela3[[#This Row],[Qde macho / CX]]*Tabela3[[#This Row],[Peso Macho]]),)</f>
        <v>0</v>
      </c>
      <c r="Z827" s="35">
        <f>IFERROR(Tabela3[[#This Row],[Qtde Oleo]]*(VLOOKUP(Tabela3[[#This Row],[Data]],CompraOleo[],3,TRUE))*1.05,0)</f>
        <v>39.845478875252425</v>
      </c>
      <c r="AA827" s="47">
        <f ca="1">(Tabela3[[#This Row],[Custo Oleo]]+Tabela3[[#This Row],[Custo Aluminio]]+Tabela3[[#This Row],[Custo M.O. Total]]+Tabela3[[#This Row],[Custo Machos]])</f>
        <v>624.16125387525244</v>
      </c>
      <c r="AB827" s="47">
        <f ca="1">Tabela3[[#This Row],[Custo Total]]*Tabela3[[#This Row],[% Perda]]</f>
        <v>0</v>
      </c>
      <c r="AC827" s="48">
        <f>IFERROR(VLOOKUP(Tabela3[[#This Row],[Produto]],Tabela2[],2,0),0)</f>
        <v>1</v>
      </c>
      <c r="AD827" s="48">
        <f>IFERROR(VLOOKUP(Tabela3[[#This Row],[Produto]],Tabela2[],3,0),0)</f>
        <v>1</v>
      </c>
      <c r="AE827" s="48">
        <f>IFERROR(VLOOKUP(Tabela3[[#This Row],[Produto]],Tabela2[],4,0),0)</f>
        <v>1.8</v>
      </c>
      <c r="AF827" s="48">
        <f>IFERROR(VLOOKUP(Tabela3[[#This Row],[Produto]],Tabela2[],5,0),0)</f>
        <v>0.72000000000000008</v>
      </c>
      <c r="AG827" s="40">
        <f>IFERROR(VLOOKUP(Tabela3[[#This Row],[Produto]],Tabela2[],6,0),0)</f>
        <v>0</v>
      </c>
      <c r="AH827" s="40">
        <f>IFERROR(VLOOKUP(Tabela3[[#This Row],[Produto]],Tabela2[],7,0),0)</f>
        <v>0</v>
      </c>
      <c r="AI827" s="40">
        <f>IFERROR(VLOOKUP(Tabela3[[#This Row],[Produto]],Tabela2[],8,0),0)</f>
        <v>0</v>
      </c>
      <c r="AJ827" s="35">
        <f ca="1">IFERROR(VLOOKUP(Tabela3[[#This Row],[Produto]],Tabela2[],13,0),0)</f>
        <v>15.600000000000001</v>
      </c>
      <c r="AK827" s="40" t="str">
        <f>IFERROR(VLOOKUP(Tabela3[[#This Row],[Produto]],Tabela2[],14,0),0)</f>
        <v>Jumil</v>
      </c>
      <c r="AL827" s="40">
        <f>IFERROR(VLOOKUP(Tabela3[[#This Row],[Produto]],Tabela2[],15,0),0)</f>
        <v>4</v>
      </c>
      <c r="AM827" s="36">
        <f ca="1">(Tabela3[[#This Row],[Custo Usinagem]]+Tabela3[[#This Row],[Custo / Pç]])*1.2</f>
        <v>44.220710771068575</v>
      </c>
      <c r="AN827" s="36">
        <f ca="1">Tabela3[[#This Row],[Valor Mínimo Venda]]*1.15</f>
        <v>50.853817386728856</v>
      </c>
      <c r="AO827" s="36">
        <f ca="1">Tabela3[[#This Row],[Tabela 1]]*1.08</f>
        <v>54.92212277766717</v>
      </c>
      <c r="AP827" s="36">
        <f ca="1">Tabela3[[#This Row],[Tabela 2]]*1.15</f>
        <v>63.160441194317244</v>
      </c>
    </row>
    <row r="828" spans="1:42">
      <c r="A828" s="9">
        <v>45973</v>
      </c>
      <c r="B828" s="6" t="s">
        <v>229</v>
      </c>
      <c r="C828" s="14">
        <v>8374</v>
      </c>
      <c r="D828" s="6" t="s">
        <v>44</v>
      </c>
      <c r="E828" s="6" t="s">
        <v>47</v>
      </c>
      <c r="F828" s="6">
        <v>2</v>
      </c>
      <c r="G828" s="15">
        <v>9.7222222222222224E-3</v>
      </c>
      <c r="H828" s="16">
        <v>0</v>
      </c>
      <c r="I828" s="35">
        <f ca="1">IFERROR(Tabela3[[#This Row],[Custo Total]]/Tabela3[[#This Row],[Aluminio Util]],0)</f>
        <v>21.307815006771623</v>
      </c>
      <c r="J828" s="35">
        <f ca="1">Tabela3[[#This Row],[Custo Total]]/Tabela3[[#This Row],[Realizado]]</f>
        <v>59.406188238879281</v>
      </c>
      <c r="K828" s="37">
        <f>IFERROR(Tabela3[[#This Row],[Qtde Cx Produzida]]/Tabela3[[#This Row],[Tempo]]/24,0)</f>
        <v>8.5714285714285712</v>
      </c>
      <c r="L828" s="37">
        <f>Tabela3[[#This Row],[Qtde Cx Produzida]]*Tabela3[[#This Row],[Qdt Peça Placa]]</f>
        <v>2</v>
      </c>
      <c r="M828" s="37">
        <f>Tabela3[[#This Row],[Previsto]]-Tabela3[[#This Row],[Perda Pçs]]</f>
        <v>2</v>
      </c>
      <c r="N828" s="38">
        <f>IFERROR(Tabela3[[#This Row],[Perda Pçs]]/Tabela3[[#This Row],[Previsto]],0)</f>
        <v>0</v>
      </c>
      <c r="O828" s="39">
        <f>IFERROR(IF(Tabela3[[#This Row],[Qtde Cx Produzida]] &lt;&gt; 0, Tabela3[[#This Row],[Tempo]] / Tabela3[[#This Row],[Qtde Cx Produzida]], 0),0)</f>
        <v>4.8611111111111112E-3</v>
      </c>
      <c r="P828" s="57">
        <f>IFERROR(Tabela3[[#This Row],[Perda Pçs]]/Tabela3[[#This Row],[Qdt Peça Placa]],0)</f>
        <v>0</v>
      </c>
      <c r="Q828" s="37">
        <f>IFERROR(Tabela3[[#This Row],[Realizado]]*Tabela3[[#This Row],[Peso Util/Pç]],0)</f>
        <v>5.5759999999999996</v>
      </c>
      <c r="R828" s="37">
        <f>IFERROR(Tabela3[[#This Row],[Peso Total Galho]]*Tabela3[[#This Row],[Qtde Cx Produzida]]*1.055,0)</f>
        <v>7.7014999999999993</v>
      </c>
      <c r="S828" s="37">
        <f>(Tabela3[[#This Row],[Aluminio Bruto]]-Tabela3[[#This Row],[Aluminio Util]])*0.9</f>
        <v>1.9129499999999997</v>
      </c>
      <c r="T828" s="37">
        <f>Tabela3[[#This Row],[Aluminio Bruto]]/OleoKGAluminio</f>
        <v>3.2400110920561698</v>
      </c>
      <c r="U828" s="35">
        <f>IFERROR((VLOOKUP(Tabela3[[#This Row],[Moldador]],Tabela1[],5,)+(VLOOKUP(Tabela3[[#This Row],[Ajudante]],Tabela1[],5,))*3.5),0)</f>
        <v>99.95034583333333</v>
      </c>
      <c r="V828" s="35">
        <f>IFERROR(Tabela3[[#This Row],[Custo M.O. / H]]/((Tabela3[[#This Row],[Realizado]]/Tabela3[[#This Row],[Qdt Peça Placa]])/Tabela3[[#This Row],[Tempo]]/24),)</f>
        <v>11.660873680555556</v>
      </c>
      <c r="W828" s="35">
        <f>Tabela3[[#This Row],[Custo / Cx Moldada]]*Tabela3[[#This Row],[Qtde Cx Produzida]]</f>
        <v>23.321747361111111</v>
      </c>
      <c r="X828" s="35">
        <f ca="1">Tabela3[[#This Row],[Aluminio Util]]*Tabela3[[#This Row],[Custo/Kg]]</f>
        <v>86.985600000000005</v>
      </c>
      <c r="Y828" s="35">
        <f>IFERROR(VLOOKUP(Tabela3[[#This Row],[Data]],Tabela461213[],2,1)*(Tabela3[[#This Row],[Qtde Cx Produzida]]*Tabela3[[#This Row],[Qde macho / CX]]*Tabela3[[#This Row],[Peso Macho]]),)</f>
        <v>0</v>
      </c>
      <c r="Z828" s="35">
        <f>IFERROR(Tabela3[[#This Row],[Qtde Oleo]]*(VLOOKUP(Tabela3[[#This Row],[Data]],CompraOleo[],3,TRUE))*1.05,0)</f>
        <v>8.5050291166474477</v>
      </c>
      <c r="AA828" s="47">
        <f ca="1">(Tabela3[[#This Row],[Custo Oleo]]+Tabela3[[#This Row],[Custo Aluminio]]+Tabela3[[#This Row],[Custo M.O. Total]]+Tabela3[[#This Row],[Custo Machos]])</f>
        <v>118.81237647775856</v>
      </c>
      <c r="AB828" s="47">
        <f ca="1">Tabela3[[#This Row],[Custo Total]]*Tabela3[[#This Row],[% Perda]]</f>
        <v>0</v>
      </c>
      <c r="AC828" s="48">
        <f>IFERROR(VLOOKUP(Tabela3[[#This Row],[Produto]],Tabela2[],2,0),0)</f>
        <v>1</v>
      </c>
      <c r="AD828" s="48">
        <f>IFERROR(VLOOKUP(Tabela3[[#This Row],[Produto]],Tabela2[],3,0),0)</f>
        <v>2.7879999999999998</v>
      </c>
      <c r="AE828" s="48">
        <f>IFERROR(VLOOKUP(Tabela3[[#This Row],[Produto]],Tabela2[],4,0),0)</f>
        <v>3.65</v>
      </c>
      <c r="AF828" s="48">
        <f>IFERROR(VLOOKUP(Tabela3[[#This Row],[Produto]],Tabela2[],5,0),0)</f>
        <v>0.77580000000000016</v>
      </c>
      <c r="AG828" s="40">
        <f>IFERROR(VLOOKUP(Tabela3[[#This Row],[Produto]],Tabela2[],6,0),0)</f>
        <v>0</v>
      </c>
      <c r="AH828" s="40">
        <f>IFERROR(VLOOKUP(Tabela3[[#This Row],[Produto]],Tabela2[],7,0),0)</f>
        <v>0</v>
      </c>
      <c r="AI828" s="40">
        <f>IFERROR(VLOOKUP(Tabela3[[#This Row],[Produto]],Tabela2[],8,0),0)</f>
        <v>0</v>
      </c>
      <c r="AJ828" s="35">
        <f ca="1">IFERROR(VLOOKUP(Tabela3[[#This Row],[Produto]],Tabela2[],13,0),0)</f>
        <v>15.600000000000001</v>
      </c>
      <c r="AK828" s="40" t="str">
        <f>IFERROR(VLOOKUP(Tabela3[[#This Row],[Produto]],Tabela2[],14,0),0)</f>
        <v>Jumil</v>
      </c>
      <c r="AL828" s="40">
        <f>IFERROR(VLOOKUP(Tabela3[[#This Row],[Produto]],Tabela2[],15,0),0)</f>
        <v>35</v>
      </c>
      <c r="AM828" s="36">
        <f ca="1">(Tabela3[[#This Row],[Custo Usinagem]]+Tabela3[[#This Row],[Custo / Pç]])*1.2</f>
        <v>113.28742588665513</v>
      </c>
      <c r="AN828" s="36">
        <f ca="1">Tabela3[[#This Row],[Valor Mínimo Venda]]*1.15</f>
        <v>130.28053976965339</v>
      </c>
      <c r="AO828" s="36">
        <f ca="1">Tabela3[[#This Row],[Tabela 1]]*1.08</f>
        <v>140.70298295122566</v>
      </c>
      <c r="AP828" s="36">
        <f ca="1">Tabela3[[#This Row],[Tabela 2]]*1.15</f>
        <v>161.8084303939095</v>
      </c>
    </row>
    <row r="829" spans="1:42">
      <c r="A829" s="9">
        <v>45973</v>
      </c>
      <c r="B829" s="6" t="s">
        <v>83</v>
      </c>
      <c r="C829" s="14">
        <v>8376</v>
      </c>
      <c r="D829" s="6" t="s">
        <v>44</v>
      </c>
      <c r="E829" s="6" t="s">
        <v>47</v>
      </c>
      <c r="F829" s="6">
        <v>13</v>
      </c>
      <c r="G829" s="15">
        <v>5.6944444444444443E-2</v>
      </c>
      <c r="H829" s="16">
        <v>0</v>
      </c>
      <c r="I829" s="35">
        <f ca="1">IFERROR(Tabela3[[#This Row],[Custo Total]]/Tabela3[[#This Row],[Aluminio Util]],0)</f>
        <v>28.204730926520256</v>
      </c>
      <c r="J829" s="35">
        <f ca="1">Tabela3[[#This Row],[Custo Total]]/Tabela3[[#This Row],[Realizado]]</f>
        <v>28.204730926520256</v>
      </c>
      <c r="K829" s="37">
        <f>IFERROR(Tabela3[[#This Row],[Qtde Cx Produzida]]/Tabela3[[#This Row],[Tempo]]/24,0)</f>
        <v>9.5121951219512209</v>
      </c>
      <c r="L829" s="37">
        <f>Tabela3[[#This Row],[Qtde Cx Produzida]]*Tabela3[[#This Row],[Qdt Peça Placa]]</f>
        <v>13</v>
      </c>
      <c r="M829" s="37">
        <f>Tabela3[[#This Row],[Previsto]]-Tabela3[[#This Row],[Perda Pçs]]</f>
        <v>13</v>
      </c>
      <c r="N829" s="38">
        <f>IFERROR(Tabela3[[#This Row],[Perda Pçs]]/Tabela3[[#This Row],[Previsto]],0)</f>
        <v>0</v>
      </c>
      <c r="O829" s="39">
        <f>IFERROR(IF(Tabela3[[#This Row],[Qtde Cx Produzida]] &lt;&gt; 0, Tabela3[[#This Row],[Tempo]] / Tabela3[[#This Row],[Qtde Cx Produzida]], 0),0)</f>
        <v>4.3803418803418804E-3</v>
      </c>
      <c r="P829" s="57">
        <f>IFERROR(Tabela3[[#This Row],[Perda Pçs]]/Tabela3[[#This Row],[Qdt Peça Placa]],0)</f>
        <v>0</v>
      </c>
      <c r="Q829" s="37">
        <f>IFERROR(Tabela3[[#This Row],[Realizado]]*Tabela3[[#This Row],[Peso Util/Pç]],0)</f>
        <v>13</v>
      </c>
      <c r="R829" s="37">
        <f>IFERROR(Tabela3[[#This Row],[Peso Total Galho]]*Tabela3[[#This Row],[Qtde Cx Produzida]]*1.055,0)</f>
        <v>24.687000000000001</v>
      </c>
      <c r="S829" s="37">
        <f>(Tabela3[[#This Row],[Aluminio Bruto]]-Tabela3[[#This Row],[Aluminio Util]])*0.9</f>
        <v>10.518300000000002</v>
      </c>
      <c r="T829" s="37">
        <f>Tabela3[[#This Row],[Aluminio Bruto]]/OleoKGAluminio</f>
        <v>10.385788980015668</v>
      </c>
      <c r="U829" s="35">
        <f>IFERROR((VLOOKUP(Tabela3[[#This Row],[Moldador]],Tabela1[],5,)+(VLOOKUP(Tabela3[[#This Row],[Ajudante]],Tabela1[],5,))*3.5),0)</f>
        <v>99.95034583333333</v>
      </c>
      <c r="V829" s="35">
        <f>IFERROR(Tabela3[[#This Row],[Custo M.O. / H]]/((Tabela3[[#This Row],[Realizado]]/Tabela3[[#This Row],[Qdt Peça Placa]])/Tabela3[[#This Row],[Tempo]]/24),)</f>
        <v>10.507600459401708</v>
      </c>
      <c r="W829" s="35">
        <f>Tabela3[[#This Row],[Custo / Cx Moldada]]*Tabela3[[#This Row],[Qtde Cx Produzida]]</f>
        <v>136.59880597222221</v>
      </c>
      <c r="X829" s="35">
        <f ca="1">Tabela3[[#This Row],[Aluminio Util]]*Tabela3[[#This Row],[Custo/Kg]]</f>
        <v>202.8</v>
      </c>
      <c r="Y829" s="35">
        <f>IFERROR(VLOOKUP(Tabela3[[#This Row],[Data]],Tabela461213[],2,1)*(Tabela3[[#This Row],[Qtde Cx Produzida]]*Tabela3[[#This Row],[Qde macho / CX]]*Tabela3[[#This Row],[Peso Macho]]),)</f>
        <v>0</v>
      </c>
      <c r="Z829" s="35">
        <f>IFERROR(Tabela3[[#This Row],[Qtde Oleo]]*(VLOOKUP(Tabela3[[#This Row],[Data]],CompraOleo[],3,TRUE))*1.05,0)</f>
        <v>27.262696072541132</v>
      </c>
      <c r="AA829" s="47">
        <f ca="1">(Tabela3[[#This Row],[Custo Oleo]]+Tabela3[[#This Row],[Custo Aluminio]]+Tabela3[[#This Row],[Custo M.O. Total]]+Tabela3[[#This Row],[Custo Machos]])</f>
        <v>366.66150204476332</v>
      </c>
      <c r="AB829" s="47">
        <f ca="1">Tabela3[[#This Row],[Custo Total]]*Tabela3[[#This Row],[% Perda]]</f>
        <v>0</v>
      </c>
      <c r="AC829" s="48">
        <f>IFERROR(VLOOKUP(Tabela3[[#This Row],[Produto]],Tabela2[],2,0),0)</f>
        <v>1</v>
      </c>
      <c r="AD829" s="48">
        <f>IFERROR(VLOOKUP(Tabela3[[#This Row],[Produto]],Tabela2[],3,0),0)</f>
        <v>1</v>
      </c>
      <c r="AE829" s="48">
        <f>IFERROR(VLOOKUP(Tabela3[[#This Row],[Produto]],Tabela2[],4,0),0)</f>
        <v>1.8</v>
      </c>
      <c r="AF829" s="48">
        <f>IFERROR(VLOOKUP(Tabela3[[#This Row],[Produto]],Tabela2[],5,0),0)</f>
        <v>0.72000000000000008</v>
      </c>
      <c r="AG829" s="40">
        <f>IFERROR(VLOOKUP(Tabela3[[#This Row],[Produto]],Tabela2[],6,0),0)</f>
        <v>0</v>
      </c>
      <c r="AH829" s="40">
        <f>IFERROR(VLOOKUP(Tabela3[[#This Row],[Produto]],Tabela2[],7,0),0)</f>
        <v>0</v>
      </c>
      <c r="AI829" s="40">
        <f>IFERROR(VLOOKUP(Tabela3[[#This Row],[Produto]],Tabela2[],8,0),0)</f>
        <v>0</v>
      </c>
      <c r="AJ829" s="35">
        <f ca="1">IFERROR(VLOOKUP(Tabela3[[#This Row],[Produto]],Tabela2[],13,0),0)</f>
        <v>15.600000000000001</v>
      </c>
      <c r="AK829" s="40" t="str">
        <f>IFERROR(VLOOKUP(Tabela3[[#This Row],[Produto]],Tabela2[],14,0),0)</f>
        <v>Jumil</v>
      </c>
      <c r="AL829" s="40">
        <f>IFERROR(VLOOKUP(Tabela3[[#This Row],[Produto]],Tabela2[],15,0),0)</f>
        <v>4</v>
      </c>
      <c r="AM829" s="36">
        <f ca="1">(Tabela3[[#This Row],[Custo Usinagem]]+Tabela3[[#This Row],[Custo / Pç]])*1.2</f>
        <v>38.645677111824305</v>
      </c>
      <c r="AN829" s="36">
        <f ca="1">Tabela3[[#This Row],[Valor Mínimo Venda]]*1.15</f>
        <v>44.442528678597945</v>
      </c>
      <c r="AO829" s="36">
        <f ca="1">Tabela3[[#This Row],[Tabela 1]]*1.08</f>
        <v>47.997930972885783</v>
      </c>
      <c r="AP829" s="36">
        <f ca="1">Tabela3[[#This Row],[Tabela 2]]*1.15</f>
        <v>55.197620618818647</v>
      </c>
    </row>
    <row r="830" spans="1:42">
      <c r="A830" s="9">
        <v>45973</v>
      </c>
      <c r="B830" s="6" t="s">
        <v>245</v>
      </c>
      <c r="C830" s="14">
        <v>8389</v>
      </c>
      <c r="D830" s="6" t="s">
        <v>44</v>
      </c>
      <c r="E830" s="6" t="s">
        <v>47</v>
      </c>
      <c r="F830" s="6">
        <v>13</v>
      </c>
      <c r="G830" s="15">
        <v>6.3888888888888884E-2</v>
      </c>
      <c r="H830" s="16">
        <v>0</v>
      </c>
      <c r="I830" s="35">
        <f ca="1">IFERROR(Tabela3[[#This Row],[Custo Total]]/Tabela3[[#This Row],[Aluminio Util]],0)</f>
        <v>26.495091760208936</v>
      </c>
      <c r="J830" s="35">
        <f ca="1">Tabela3[[#This Row],[Custo Total]]/Tabela3[[#This Row],[Realizado]]</f>
        <v>8.7963704643893657</v>
      </c>
      <c r="K830" s="37">
        <f>IFERROR(Tabela3[[#This Row],[Qtde Cx Produzida]]/Tabela3[[#This Row],[Tempo]]/24,0)</f>
        <v>8.4782608695652186</v>
      </c>
      <c r="L830" s="37">
        <f>Tabela3[[#This Row],[Qtde Cx Produzida]]*Tabela3[[#This Row],[Qdt Peça Placa]]</f>
        <v>52</v>
      </c>
      <c r="M830" s="37">
        <f>Tabela3[[#This Row],[Previsto]]-Tabela3[[#This Row],[Perda Pçs]]</f>
        <v>52</v>
      </c>
      <c r="N830" s="38">
        <f>IFERROR(Tabela3[[#This Row],[Perda Pçs]]/Tabela3[[#This Row],[Previsto]],0)</f>
        <v>0</v>
      </c>
      <c r="O830" s="39">
        <f>IFERROR(IF(Tabela3[[#This Row],[Qtde Cx Produzida]] &lt;&gt; 0, Tabela3[[#This Row],[Tempo]] / Tabela3[[#This Row],[Qtde Cx Produzida]], 0),0)</f>
        <v>4.9145299145299144E-3</v>
      </c>
      <c r="P830" s="57">
        <f>IFERROR(Tabela3[[#This Row],[Perda Pçs]]/Tabela3[[#This Row],[Qdt Peça Placa]],0)</f>
        <v>0</v>
      </c>
      <c r="Q830" s="37">
        <f>IFERROR(Tabela3[[#This Row],[Realizado]]*Tabela3[[#This Row],[Peso Util/Pç]],0)</f>
        <v>17.263999999999999</v>
      </c>
      <c r="R830" s="37">
        <f>IFERROR(Tabela3[[#This Row],[Peso Total Galho]]*Tabela3[[#This Row],[Qtde Cx Produzida]]*1.055,0)</f>
        <v>31.544499999999996</v>
      </c>
      <c r="S830" s="37">
        <f>(Tabela3[[#This Row],[Aluminio Bruto]]-Tabela3[[#This Row],[Aluminio Util]])*0.9</f>
        <v>12.852449999999997</v>
      </c>
      <c r="T830" s="37">
        <f>Tabela3[[#This Row],[Aluminio Bruto]]/OleoKGAluminio</f>
        <v>13.270730363353353</v>
      </c>
      <c r="U830" s="35">
        <f>IFERROR((VLOOKUP(Tabela3[[#This Row],[Moldador]],Tabela1[],5,)+(VLOOKUP(Tabela3[[#This Row],[Ajudante]],Tabela1[],5,))*3.5),0)</f>
        <v>99.95034583333333</v>
      </c>
      <c r="V830" s="35">
        <f>IFERROR(Tabela3[[#This Row],[Custo M.O. / H]]/((Tabela3[[#This Row],[Realizado]]/Tabela3[[#This Row],[Qdt Peça Placa]])/Tabela3[[#This Row],[Tempo]]/24),)</f>
        <v>11.789015149572647</v>
      </c>
      <c r="W830" s="35">
        <f>Tabela3[[#This Row],[Custo / Cx Moldada]]*Tabela3[[#This Row],[Qtde Cx Produzida]]</f>
        <v>153.25719694444442</v>
      </c>
      <c r="X830" s="35">
        <f ca="1">Tabela3[[#This Row],[Aluminio Util]]*Tabela3[[#This Row],[Custo/Kg]]</f>
        <v>269.3184</v>
      </c>
      <c r="Y830" s="35">
        <f>IFERROR(VLOOKUP(Tabela3[[#This Row],[Data]],Tabela461213[],2,1)*(Tabela3[[#This Row],[Qtde Cx Produzida]]*Tabela3[[#This Row],[Qde macho / CX]]*Tabela3[[#This Row],[Peso Macho]]),)</f>
        <v>0</v>
      </c>
      <c r="Z830" s="35">
        <f>IFERROR(Tabela3[[#This Row],[Qtde Oleo]]*(VLOOKUP(Tabela3[[#This Row],[Data]],CompraOleo[],3,TRUE))*1.05,0)</f>
        <v>34.835667203802558</v>
      </c>
      <c r="AA830" s="47">
        <f ca="1">(Tabela3[[#This Row],[Custo Oleo]]+Tabela3[[#This Row],[Custo Aluminio]]+Tabela3[[#This Row],[Custo M.O. Total]]+Tabela3[[#This Row],[Custo Machos]])</f>
        <v>457.41126414824703</v>
      </c>
      <c r="AB830" s="47">
        <f ca="1">Tabela3[[#This Row],[Custo Total]]*Tabela3[[#This Row],[% Perda]]</f>
        <v>0</v>
      </c>
      <c r="AC830" s="48">
        <f>IFERROR(VLOOKUP(Tabela3[[#This Row],[Produto]],Tabela2[],2,0),0)</f>
        <v>4</v>
      </c>
      <c r="AD830" s="48">
        <f>IFERROR(VLOOKUP(Tabela3[[#This Row],[Produto]],Tabela2[],3,0),0)</f>
        <v>0.33200000000000002</v>
      </c>
      <c r="AE830" s="48">
        <f>IFERROR(VLOOKUP(Tabela3[[#This Row],[Produto]],Tabela2[],4,0),0)</f>
        <v>2.2999999999999998</v>
      </c>
      <c r="AF830" s="48">
        <f>IFERROR(VLOOKUP(Tabela3[[#This Row],[Produto]],Tabela2[],5,0),0)</f>
        <v>0.8747999999999998</v>
      </c>
      <c r="AG830" s="40">
        <f>IFERROR(VLOOKUP(Tabela3[[#This Row],[Produto]],Tabela2[],6,0),0)</f>
        <v>0</v>
      </c>
      <c r="AH830" s="40">
        <f>IFERROR(VLOOKUP(Tabela3[[#This Row],[Produto]],Tabela2[],7,0),0)</f>
        <v>0</v>
      </c>
      <c r="AI830" s="40">
        <f>IFERROR(VLOOKUP(Tabela3[[#This Row],[Produto]],Tabela2[],8,0),0)</f>
        <v>0</v>
      </c>
      <c r="AJ830" s="35">
        <f ca="1">IFERROR(VLOOKUP(Tabela3[[#This Row],[Produto]],Tabela2[],13,0),0)</f>
        <v>15.600000000000001</v>
      </c>
      <c r="AK830" s="40" t="str">
        <f>IFERROR(VLOOKUP(Tabela3[[#This Row],[Produto]],Tabela2[],14,0),0)</f>
        <v>Senun</v>
      </c>
      <c r="AL830" s="40">
        <f>IFERROR(VLOOKUP(Tabela3[[#This Row],[Produto]],Tabela2[],15,0),0)</f>
        <v>3.5</v>
      </c>
      <c r="AM830" s="36">
        <f ca="1">(Tabela3[[#This Row],[Custo Usinagem]]+Tabela3[[#This Row],[Custo / Pç]])*1.2</f>
        <v>14.755644557267239</v>
      </c>
      <c r="AN830" s="36">
        <f ca="1">Tabela3[[#This Row],[Valor Mínimo Venda]]*1.15</f>
        <v>16.968991240857324</v>
      </c>
      <c r="AO830" s="36">
        <f ca="1">Tabela3[[#This Row],[Tabela 1]]*1.08</f>
        <v>18.326510540125913</v>
      </c>
      <c r="AP830" s="36">
        <f ca="1">Tabela3[[#This Row],[Tabela 2]]*1.15</f>
        <v>21.075487121144796</v>
      </c>
    </row>
    <row r="831" spans="1:42">
      <c r="A831" s="9">
        <v>45974</v>
      </c>
      <c r="B831" s="6" t="s">
        <v>245</v>
      </c>
      <c r="C831" s="14">
        <v>8389</v>
      </c>
      <c r="D831" s="6" t="s">
        <v>46</v>
      </c>
      <c r="E831" s="6" t="s">
        <v>44</v>
      </c>
      <c r="F831" s="6">
        <v>69</v>
      </c>
      <c r="G831" s="15">
        <v>0.34861111111111109</v>
      </c>
      <c r="H831" s="16">
        <v>0</v>
      </c>
      <c r="I831" s="35">
        <f ca="1">IFERROR(Tabela3[[#This Row],[Custo Total]]/Tabela3[[#This Row],[Aluminio Util]],0)</f>
        <v>29.131164362351054</v>
      </c>
      <c r="J831" s="35">
        <f ca="1">Tabela3[[#This Row],[Custo Total]]/Tabela3[[#This Row],[Realizado]]</f>
        <v>9.6715465683005508</v>
      </c>
      <c r="K831" s="37">
        <f>IFERROR(Tabela3[[#This Row],[Qtde Cx Produzida]]/Tabela3[[#This Row],[Tempo]]/24,0)</f>
        <v>8.2470119521912348</v>
      </c>
      <c r="L831" s="37">
        <f>Tabela3[[#This Row],[Qtde Cx Produzida]]*Tabela3[[#This Row],[Qdt Peça Placa]]</f>
        <v>276</v>
      </c>
      <c r="M831" s="37">
        <f>Tabela3[[#This Row],[Previsto]]-Tabela3[[#This Row],[Perda Pçs]]</f>
        <v>276</v>
      </c>
      <c r="N831" s="38">
        <f>IFERROR(Tabela3[[#This Row],[Perda Pçs]]/Tabela3[[#This Row],[Previsto]],0)</f>
        <v>0</v>
      </c>
      <c r="O831" s="39">
        <f>IFERROR(IF(Tabela3[[#This Row],[Qtde Cx Produzida]] &lt;&gt; 0, Tabela3[[#This Row],[Tempo]] / Tabela3[[#This Row],[Qtde Cx Produzida]], 0),0)</f>
        <v>5.0523349436392912E-3</v>
      </c>
      <c r="P831" s="57">
        <f>IFERROR(Tabela3[[#This Row],[Perda Pçs]]/Tabela3[[#This Row],[Qdt Peça Placa]],0)</f>
        <v>0</v>
      </c>
      <c r="Q831" s="37">
        <f>IFERROR(Tabela3[[#This Row],[Realizado]]*Tabela3[[#This Row],[Peso Util/Pç]],0)</f>
        <v>91.632000000000005</v>
      </c>
      <c r="R831" s="37">
        <f>IFERROR(Tabela3[[#This Row],[Peso Total Galho]]*Tabela3[[#This Row],[Qtde Cx Produzida]]*1.055,0)</f>
        <v>167.42849999999999</v>
      </c>
      <c r="S831" s="37">
        <f>(Tabela3[[#This Row],[Aluminio Bruto]]-Tabela3[[#This Row],[Aluminio Util]])*0.9</f>
        <v>68.21684999999998</v>
      </c>
      <c r="T831" s="37">
        <f>Tabela3[[#This Row],[Aluminio Bruto]]/OleoKGAluminio</f>
        <v>70.43695346702934</v>
      </c>
      <c r="U831" s="35">
        <f>IFERROR((VLOOKUP(Tabela3[[#This Row],[Moldador]],Tabela1[],5,)+(VLOOKUP(Tabela3[[#This Row],[Ajudante]],Tabela1[],5,))*3.5),0)</f>
        <v>126.0945</v>
      </c>
      <c r="V831" s="35">
        <f>IFERROR(Tabela3[[#This Row],[Custo M.O. / H]]/((Tabela3[[#This Row],[Realizado]]/Tabela3[[#This Row],[Qdt Peça Placa]])/Tabela3[[#This Row],[Tempo]]/24),)</f>
        <v>15.289719565217391</v>
      </c>
      <c r="W831" s="35">
        <f>Tabela3[[#This Row],[Custo / Cx Moldada]]*Tabela3[[#This Row],[Qtde Cx Produzida]]</f>
        <v>1054.99065</v>
      </c>
      <c r="X831" s="35">
        <f ca="1">Tabela3[[#This Row],[Aluminio Util]]*Tabela3[[#This Row],[Custo/Kg]]</f>
        <v>1429.4592000000002</v>
      </c>
      <c r="Y831" s="35">
        <f>IFERROR(VLOOKUP(Tabela3[[#This Row],[Data]],Tabela461213[],2,1)*(Tabela3[[#This Row],[Qtde Cx Produzida]]*Tabela3[[#This Row],[Qde macho / CX]]*Tabela3[[#This Row],[Peso Macho]]),)</f>
        <v>0</v>
      </c>
      <c r="Z831" s="35">
        <f>IFERROR(Tabela3[[#This Row],[Qtde Oleo]]*(VLOOKUP(Tabela3[[#This Row],[Data]],CompraOleo[],3,TRUE))*1.05,0)</f>
        <v>184.89700285095202</v>
      </c>
      <c r="AA831" s="47">
        <f ca="1">(Tabela3[[#This Row],[Custo Oleo]]+Tabela3[[#This Row],[Custo Aluminio]]+Tabela3[[#This Row],[Custo M.O. Total]]+Tabela3[[#This Row],[Custo Machos]])</f>
        <v>2669.346852850952</v>
      </c>
      <c r="AB831" s="47">
        <f ca="1">Tabela3[[#This Row],[Custo Total]]*Tabela3[[#This Row],[% Perda]]</f>
        <v>0</v>
      </c>
      <c r="AC831" s="48">
        <f>IFERROR(VLOOKUP(Tabela3[[#This Row],[Produto]],Tabela2[],2,0),0)</f>
        <v>4</v>
      </c>
      <c r="AD831" s="48">
        <f>IFERROR(VLOOKUP(Tabela3[[#This Row],[Produto]],Tabela2[],3,0),0)</f>
        <v>0.33200000000000002</v>
      </c>
      <c r="AE831" s="48">
        <f>IFERROR(VLOOKUP(Tabela3[[#This Row],[Produto]],Tabela2[],4,0),0)</f>
        <v>2.2999999999999998</v>
      </c>
      <c r="AF831" s="48">
        <f>IFERROR(VLOOKUP(Tabela3[[#This Row],[Produto]],Tabela2[],5,0),0)</f>
        <v>0.8747999999999998</v>
      </c>
      <c r="AG831" s="40">
        <f>IFERROR(VLOOKUP(Tabela3[[#This Row],[Produto]],Tabela2[],6,0),0)</f>
        <v>0</v>
      </c>
      <c r="AH831" s="40">
        <f>IFERROR(VLOOKUP(Tabela3[[#This Row],[Produto]],Tabela2[],7,0),0)</f>
        <v>0</v>
      </c>
      <c r="AI831" s="40">
        <f>IFERROR(VLOOKUP(Tabela3[[#This Row],[Produto]],Tabela2[],8,0),0)</f>
        <v>0</v>
      </c>
      <c r="AJ831" s="35">
        <f ca="1">IFERROR(VLOOKUP(Tabela3[[#This Row],[Produto]],Tabela2[],13,0),0)</f>
        <v>15.600000000000001</v>
      </c>
      <c r="AK831" s="40" t="str">
        <f>IFERROR(VLOOKUP(Tabela3[[#This Row],[Produto]],Tabela2[],14,0),0)</f>
        <v>Senun</v>
      </c>
      <c r="AL831" s="40">
        <f>IFERROR(VLOOKUP(Tabela3[[#This Row],[Produto]],Tabela2[],15,0),0)</f>
        <v>3.5</v>
      </c>
      <c r="AM831" s="36">
        <f ca="1">(Tabela3[[#This Row],[Custo Usinagem]]+Tabela3[[#This Row],[Custo / Pç]])*1.2</f>
        <v>15.80585588196066</v>
      </c>
      <c r="AN831" s="36">
        <f ca="1">Tabela3[[#This Row],[Valor Mínimo Venda]]*1.15</f>
        <v>18.176734264254758</v>
      </c>
      <c r="AO831" s="36">
        <f ca="1">Tabela3[[#This Row],[Tabela 1]]*1.08</f>
        <v>19.630873005395141</v>
      </c>
      <c r="AP831" s="36">
        <f ca="1">Tabela3[[#This Row],[Tabela 2]]*1.15</f>
        <v>22.575503956204411</v>
      </c>
    </row>
    <row r="832" spans="1:42">
      <c r="A832" s="9">
        <v>45974</v>
      </c>
      <c r="B832" s="6" t="s">
        <v>245</v>
      </c>
      <c r="C832" s="14">
        <v>8389</v>
      </c>
      <c r="D832" s="6" t="s">
        <v>44</v>
      </c>
      <c r="E832" s="6" t="s">
        <v>47</v>
      </c>
      <c r="F832" s="6">
        <v>14</v>
      </c>
      <c r="G832" s="15">
        <v>8.4027777777777785E-2</v>
      </c>
      <c r="H832" s="16">
        <v>0</v>
      </c>
      <c r="I832" s="35">
        <f ca="1">IFERROR(Tabela3[[#This Row],[Custo Total]]/Tabela3[[#This Row],[Aluminio Util]],0)</f>
        <v>28.459394614655569</v>
      </c>
      <c r="J832" s="35">
        <f ca="1">Tabela3[[#This Row],[Custo Total]]/Tabela3[[#This Row],[Realizado]]</f>
        <v>9.448519012065649</v>
      </c>
      <c r="K832" s="37">
        <f>IFERROR(Tabela3[[#This Row],[Qtde Cx Produzida]]/Tabela3[[#This Row],[Tempo]]/24,0)</f>
        <v>6.9421487603305785</v>
      </c>
      <c r="L832" s="37">
        <f>Tabela3[[#This Row],[Qtde Cx Produzida]]*Tabela3[[#This Row],[Qdt Peça Placa]]</f>
        <v>56</v>
      </c>
      <c r="M832" s="37">
        <f>Tabela3[[#This Row],[Previsto]]-Tabela3[[#This Row],[Perda Pçs]]</f>
        <v>56</v>
      </c>
      <c r="N832" s="38">
        <f>IFERROR(Tabela3[[#This Row],[Perda Pçs]]/Tabela3[[#This Row],[Previsto]],0)</f>
        <v>0</v>
      </c>
      <c r="O832" s="39">
        <f>IFERROR(IF(Tabela3[[#This Row],[Qtde Cx Produzida]] &lt;&gt; 0, Tabela3[[#This Row],[Tempo]] / Tabela3[[#This Row],[Qtde Cx Produzida]], 0),0)</f>
        <v>6.0019841269841273E-3</v>
      </c>
      <c r="P832" s="57">
        <f>IFERROR(Tabela3[[#This Row],[Perda Pçs]]/Tabela3[[#This Row],[Qdt Peça Placa]],0)</f>
        <v>0</v>
      </c>
      <c r="Q832" s="37">
        <f>IFERROR(Tabela3[[#This Row],[Realizado]]*Tabela3[[#This Row],[Peso Util/Pç]],0)</f>
        <v>18.592000000000002</v>
      </c>
      <c r="R832" s="37">
        <f>IFERROR(Tabela3[[#This Row],[Peso Total Galho]]*Tabela3[[#This Row],[Qtde Cx Produzida]]*1.055,0)</f>
        <v>33.970999999999997</v>
      </c>
      <c r="S832" s="37">
        <f>(Tabela3[[#This Row],[Aluminio Bruto]]-Tabela3[[#This Row],[Aluminio Util]])*0.9</f>
        <v>13.841099999999996</v>
      </c>
      <c r="T832" s="37">
        <f>Tabela3[[#This Row],[Aluminio Bruto]]/OleoKGAluminio</f>
        <v>14.291555775918996</v>
      </c>
      <c r="U832" s="35">
        <f>IFERROR((VLOOKUP(Tabela3[[#This Row],[Moldador]],Tabela1[],5,)+(VLOOKUP(Tabela3[[#This Row],[Ajudante]],Tabela1[],5,))*3.5),0)</f>
        <v>99.95034583333333</v>
      </c>
      <c r="V832" s="35">
        <f>IFERROR(Tabela3[[#This Row],[Custo M.O. / H]]/((Tabela3[[#This Row],[Realizado]]/Tabela3[[#This Row],[Qdt Peça Placa]])/Tabela3[[#This Row],[Tempo]]/24),)</f>
        <v>14.397609340277777</v>
      </c>
      <c r="W832" s="35">
        <f>Tabela3[[#This Row],[Custo / Cx Moldada]]*Tabela3[[#This Row],[Qtde Cx Produzida]]</f>
        <v>201.56653076388886</v>
      </c>
      <c r="X832" s="35">
        <f ca="1">Tabela3[[#This Row],[Aluminio Util]]*Tabela3[[#This Row],[Custo/Kg]]</f>
        <v>290.03520000000009</v>
      </c>
      <c r="Y832" s="35">
        <f>IFERROR(VLOOKUP(Tabela3[[#This Row],[Data]],Tabela461213[],2,1)*(Tabela3[[#This Row],[Qtde Cx Produzida]]*Tabela3[[#This Row],[Qde macho / CX]]*Tabela3[[#This Row],[Peso Macho]]),)</f>
        <v>0</v>
      </c>
      <c r="Z832" s="35">
        <f>IFERROR(Tabela3[[#This Row],[Qtde Oleo]]*(VLOOKUP(Tabela3[[#This Row],[Data]],CompraOleo[],3,TRUE))*1.05,0)</f>
        <v>37.515333911787366</v>
      </c>
      <c r="AA832" s="47">
        <f ca="1">(Tabela3[[#This Row],[Custo Oleo]]+Tabela3[[#This Row],[Custo Aluminio]]+Tabela3[[#This Row],[Custo M.O. Total]]+Tabela3[[#This Row],[Custo Machos]])</f>
        <v>529.11706467567637</v>
      </c>
      <c r="AB832" s="47">
        <f ca="1">Tabela3[[#This Row],[Custo Total]]*Tabela3[[#This Row],[% Perda]]</f>
        <v>0</v>
      </c>
      <c r="AC832" s="48">
        <f>IFERROR(VLOOKUP(Tabela3[[#This Row],[Produto]],Tabela2[],2,0),0)</f>
        <v>4</v>
      </c>
      <c r="AD832" s="48">
        <f>IFERROR(VLOOKUP(Tabela3[[#This Row],[Produto]],Tabela2[],3,0),0)</f>
        <v>0.33200000000000002</v>
      </c>
      <c r="AE832" s="48">
        <f>IFERROR(VLOOKUP(Tabela3[[#This Row],[Produto]],Tabela2[],4,0),0)</f>
        <v>2.2999999999999998</v>
      </c>
      <c r="AF832" s="48">
        <f>IFERROR(VLOOKUP(Tabela3[[#This Row],[Produto]],Tabela2[],5,0),0)</f>
        <v>0.8747999999999998</v>
      </c>
      <c r="AG832" s="40">
        <f>IFERROR(VLOOKUP(Tabela3[[#This Row],[Produto]],Tabela2[],6,0),0)</f>
        <v>0</v>
      </c>
      <c r="AH832" s="40">
        <f>IFERROR(VLOOKUP(Tabela3[[#This Row],[Produto]],Tabela2[],7,0),0)</f>
        <v>0</v>
      </c>
      <c r="AI832" s="40">
        <f>IFERROR(VLOOKUP(Tabela3[[#This Row],[Produto]],Tabela2[],8,0),0)</f>
        <v>0</v>
      </c>
      <c r="AJ832" s="35">
        <f ca="1">IFERROR(VLOOKUP(Tabela3[[#This Row],[Produto]],Tabela2[],13,0),0)</f>
        <v>15.600000000000001</v>
      </c>
      <c r="AK832" s="40" t="str">
        <f>IFERROR(VLOOKUP(Tabela3[[#This Row],[Produto]],Tabela2[],14,0),0)</f>
        <v>Senun</v>
      </c>
      <c r="AL832" s="40">
        <f>IFERROR(VLOOKUP(Tabela3[[#This Row],[Produto]],Tabela2[],15,0),0)</f>
        <v>3.5</v>
      </c>
      <c r="AM832" s="36">
        <f ca="1">(Tabela3[[#This Row],[Custo Usinagem]]+Tabela3[[#This Row],[Custo / Pç]])*1.2</f>
        <v>15.538222814478779</v>
      </c>
      <c r="AN832" s="36">
        <f ca="1">Tabela3[[#This Row],[Valor Mínimo Venda]]*1.15</f>
        <v>17.868956236650593</v>
      </c>
      <c r="AO832" s="36">
        <f ca="1">Tabela3[[#This Row],[Tabela 1]]*1.08</f>
        <v>19.298472735582642</v>
      </c>
      <c r="AP832" s="36">
        <f ca="1">Tabela3[[#This Row],[Tabela 2]]*1.15</f>
        <v>22.193243645920038</v>
      </c>
    </row>
    <row r="833" spans="1:42">
      <c r="A833" s="9">
        <v>45975</v>
      </c>
      <c r="B833" s="6" t="s">
        <v>245</v>
      </c>
      <c r="C833" s="14">
        <v>8389</v>
      </c>
      <c r="D833" s="6" t="s">
        <v>46</v>
      </c>
      <c r="E833" s="6" t="s">
        <v>44</v>
      </c>
      <c r="F833" s="6">
        <v>36</v>
      </c>
      <c r="G833" s="15">
        <v>0.15625</v>
      </c>
      <c r="H833" s="16">
        <v>0</v>
      </c>
      <c r="I833" s="35">
        <f ca="1">IFERROR(Tabela3[[#This Row],[Custo Total]]/Tabela3[[#This Row],[Aluminio Util]],0)</f>
        <v>27.508516911133142</v>
      </c>
      <c r="J833" s="35">
        <f ca="1">Tabela3[[#This Row],[Custo Total]]/Tabela3[[#This Row],[Realizado]]</f>
        <v>9.1328276144962022</v>
      </c>
      <c r="K833" s="37">
        <f>IFERROR(Tabela3[[#This Row],[Qtde Cx Produzida]]/Tabela3[[#This Row],[Tempo]]/24,0)</f>
        <v>9.6</v>
      </c>
      <c r="L833" s="37">
        <f>Tabela3[[#This Row],[Qtde Cx Produzida]]*Tabela3[[#This Row],[Qdt Peça Placa]]</f>
        <v>144</v>
      </c>
      <c r="M833" s="37">
        <f>Tabela3[[#This Row],[Previsto]]-Tabela3[[#This Row],[Perda Pçs]]</f>
        <v>144</v>
      </c>
      <c r="N833" s="38">
        <f>IFERROR(Tabela3[[#This Row],[Perda Pçs]]/Tabela3[[#This Row],[Previsto]],0)</f>
        <v>0</v>
      </c>
      <c r="O833" s="39">
        <f>IFERROR(IF(Tabela3[[#This Row],[Qtde Cx Produzida]] &lt;&gt; 0, Tabela3[[#This Row],[Tempo]] / Tabela3[[#This Row],[Qtde Cx Produzida]], 0),0)</f>
        <v>4.340277777777778E-3</v>
      </c>
      <c r="P833" s="57">
        <f>IFERROR(Tabela3[[#This Row],[Perda Pçs]]/Tabela3[[#This Row],[Qdt Peça Placa]],0)</f>
        <v>0</v>
      </c>
      <c r="Q833" s="37">
        <f>IFERROR(Tabela3[[#This Row],[Realizado]]*Tabela3[[#This Row],[Peso Util/Pç]],0)</f>
        <v>47.808</v>
      </c>
      <c r="R833" s="37">
        <f>IFERROR(Tabela3[[#This Row],[Peso Total Galho]]*Tabela3[[#This Row],[Qtde Cx Produzida]]*1.055,0)</f>
        <v>87.353999999999985</v>
      </c>
      <c r="S833" s="37">
        <f>(Tabela3[[#This Row],[Aluminio Bruto]]-Tabela3[[#This Row],[Aluminio Util]])*0.9</f>
        <v>35.591399999999986</v>
      </c>
      <c r="T833" s="37">
        <f>Tabela3[[#This Row],[Aluminio Bruto]]/OleoKGAluminio</f>
        <v>36.749714852363127</v>
      </c>
      <c r="U833" s="35">
        <f>IFERROR((VLOOKUP(Tabela3[[#This Row],[Moldador]],Tabela1[],5,)+(VLOOKUP(Tabela3[[#This Row],[Ajudante]],Tabela1[],5,))*3.5),0)</f>
        <v>126.0945</v>
      </c>
      <c r="V833" s="35">
        <f>IFERROR(Tabela3[[#This Row],[Custo M.O. / H]]/((Tabela3[[#This Row],[Realizado]]/Tabela3[[#This Row],[Qdt Peça Placa]])/Tabela3[[#This Row],[Tempo]]/24),)</f>
        <v>13.13484375</v>
      </c>
      <c r="W833" s="35">
        <f>Tabela3[[#This Row],[Custo / Cx Moldada]]*Tabela3[[#This Row],[Qtde Cx Produzida]]</f>
        <v>472.854375</v>
      </c>
      <c r="X833" s="35">
        <f ca="1">Tabela3[[#This Row],[Aluminio Util]]*Tabela3[[#This Row],[Custo/Kg]]</f>
        <v>745.80480000000011</v>
      </c>
      <c r="Y833" s="35">
        <f>IFERROR(VLOOKUP(Tabela3[[#This Row],[Data]],Tabela461213[],2,1)*(Tabela3[[#This Row],[Qtde Cx Produzida]]*Tabela3[[#This Row],[Qde macho / CX]]*Tabela3[[#This Row],[Peso Macho]]),)</f>
        <v>0</v>
      </c>
      <c r="Z833" s="35">
        <f>IFERROR(Tabela3[[#This Row],[Qtde Oleo]]*(VLOOKUP(Tabela3[[#This Row],[Data]],CompraOleo[],3,TRUE))*1.05,0)</f>
        <v>96.468001487453208</v>
      </c>
      <c r="AA833" s="47">
        <f ca="1">(Tabela3[[#This Row],[Custo Oleo]]+Tabela3[[#This Row],[Custo Aluminio]]+Tabela3[[#This Row],[Custo M.O. Total]]+Tabela3[[#This Row],[Custo Machos]])</f>
        <v>1315.1271764874532</v>
      </c>
      <c r="AB833" s="47">
        <f ca="1">Tabela3[[#This Row],[Custo Total]]*Tabela3[[#This Row],[% Perda]]</f>
        <v>0</v>
      </c>
      <c r="AC833" s="48">
        <f>IFERROR(VLOOKUP(Tabela3[[#This Row],[Produto]],Tabela2[],2,0),0)</f>
        <v>4</v>
      </c>
      <c r="AD833" s="48">
        <f>IFERROR(VLOOKUP(Tabela3[[#This Row],[Produto]],Tabela2[],3,0),0)</f>
        <v>0.33200000000000002</v>
      </c>
      <c r="AE833" s="48">
        <f>IFERROR(VLOOKUP(Tabela3[[#This Row],[Produto]],Tabela2[],4,0),0)</f>
        <v>2.2999999999999998</v>
      </c>
      <c r="AF833" s="48">
        <f>IFERROR(VLOOKUP(Tabela3[[#This Row],[Produto]],Tabela2[],5,0),0)</f>
        <v>0.8747999999999998</v>
      </c>
      <c r="AG833" s="40">
        <f>IFERROR(VLOOKUP(Tabela3[[#This Row],[Produto]],Tabela2[],6,0),0)</f>
        <v>0</v>
      </c>
      <c r="AH833" s="40">
        <f>IFERROR(VLOOKUP(Tabela3[[#This Row],[Produto]],Tabela2[],7,0),0)</f>
        <v>0</v>
      </c>
      <c r="AI833" s="40">
        <f>IFERROR(VLOOKUP(Tabela3[[#This Row],[Produto]],Tabela2[],8,0),0)</f>
        <v>0</v>
      </c>
      <c r="AJ833" s="35">
        <f ca="1">IFERROR(VLOOKUP(Tabela3[[#This Row],[Produto]],Tabela2[],13,0),0)</f>
        <v>15.600000000000001</v>
      </c>
      <c r="AK833" s="40" t="str">
        <f>IFERROR(VLOOKUP(Tabela3[[#This Row],[Produto]],Tabela2[],14,0),0)</f>
        <v>Senun</v>
      </c>
      <c r="AL833" s="40">
        <f>IFERROR(VLOOKUP(Tabela3[[#This Row],[Produto]],Tabela2[],15,0),0)</f>
        <v>3.5</v>
      </c>
      <c r="AM833" s="36">
        <f ca="1">(Tabela3[[#This Row],[Custo Usinagem]]+Tabela3[[#This Row],[Custo / Pç]])*1.2</f>
        <v>15.159393137395442</v>
      </c>
      <c r="AN833" s="36">
        <f ca="1">Tabela3[[#This Row],[Valor Mínimo Venda]]*1.15</f>
        <v>17.433302108004757</v>
      </c>
      <c r="AO833" s="36">
        <f ca="1">Tabela3[[#This Row],[Tabela 1]]*1.08</f>
        <v>18.827966276645139</v>
      </c>
      <c r="AP833" s="36">
        <f ca="1">Tabela3[[#This Row],[Tabela 2]]*1.15</f>
        <v>21.652161218141909</v>
      </c>
    </row>
    <row r="834" spans="1:42">
      <c r="A834" s="9">
        <v>45975</v>
      </c>
      <c r="B834" s="6" t="s">
        <v>221</v>
      </c>
      <c r="C834" s="14">
        <v>8397</v>
      </c>
      <c r="D834" s="6" t="s">
        <v>46</v>
      </c>
      <c r="E834" s="6" t="s">
        <v>44</v>
      </c>
      <c r="F834" s="6">
        <v>32</v>
      </c>
      <c r="G834" s="15">
        <v>0.14374999999999999</v>
      </c>
      <c r="H834" s="16">
        <v>0</v>
      </c>
      <c r="I834" s="35">
        <f ca="1">IFERROR(Tabela3[[#This Row],[Custo Total]]/Tabela3[[#This Row],[Aluminio Util]],0)</f>
        <v>24.494193572375398</v>
      </c>
      <c r="J834" s="35">
        <f ca="1">Tabela3[[#This Row],[Custo Total]]/Tabela3[[#This Row],[Realizado]]</f>
        <v>3.1107625836916757</v>
      </c>
      <c r="K834" s="37">
        <f>IFERROR(Tabela3[[#This Row],[Qtde Cx Produzida]]/Tabela3[[#This Row],[Tempo]]/24,0)</f>
        <v>9.27536231884058</v>
      </c>
      <c r="L834" s="37">
        <f>Tabela3[[#This Row],[Qtde Cx Produzida]]*Tabela3[[#This Row],[Qdt Peça Placa]]</f>
        <v>576</v>
      </c>
      <c r="M834" s="37">
        <f>Tabela3[[#This Row],[Previsto]]-Tabela3[[#This Row],[Perda Pçs]]</f>
        <v>576</v>
      </c>
      <c r="N834" s="38">
        <f>IFERROR(Tabela3[[#This Row],[Perda Pçs]]/Tabela3[[#This Row],[Previsto]],0)</f>
        <v>0</v>
      </c>
      <c r="O834" s="39">
        <f>IFERROR(IF(Tabela3[[#This Row],[Qtde Cx Produzida]] &lt;&gt; 0, Tabela3[[#This Row],[Tempo]] / Tabela3[[#This Row],[Qtde Cx Produzida]], 0),0)</f>
        <v>4.4921874999999997E-3</v>
      </c>
      <c r="P834" s="57">
        <f>IFERROR(Tabela3[[#This Row],[Perda Pçs]]/Tabela3[[#This Row],[Qdt Peça Placa]],0)</f>
        <v>0</v>
      </c>
      <c r="Q834" s="37">
        <f>IFERROR(Tabela3[[#This Row],[Realizado]]*Tabela3[[#This Row],[Peso Util/Pç]],0)</f>
        <v>73.152000000000001</v>
      </c>
      <c r="R834" s="37">
        <f>IFERROR(Tabela3[[#This Row],[Peso Total Galho]]*Tabela3[[#This Row],[Qtde Cx Produzida]]*1.055,0)</f>
        <v>130.9888</v>
      </c>
      <c r="S834" s="37">
        <f>(Tabela3[[#This Row],[Aluminio Bruto]]-Tabela3[[#This Row],[Aluminio Util]])*0.9</f>
        <v>52.05312</v>
      </c>
      <c r="T834" s="37">
        <f>Tabela3[[#This Row],[Aluminio Bruto]]/OleoKGAluminio</f>
        <v>55.106818793108779</v>
      </c>
      <c r="U834" s="35">
        <f>IFERROR((VLOOKUP(Tabela3[[#This Row],[Moldador]],Tabela1[],5,)+(VLOOKUP(Tabela3[[#This Row],[Ajudante]],Tabela1[],5,))*3.5),0)</f>
        <v>126.0945</v>
      </c>
      <c r="V834" s="35">
        <f>IFERROR(Tabela3[[#This Row],[Custo M.O. / H]]/((Tabela3[[#This Row],[Realizado]]/Tabela3[[#This Row],[Qdt Peça Placa]])/Tabela3[[#This Row],[Tempo]]/24),)</f>
        <v>13.594563281249998</v>
      </c>
      <c r="W834" s="35">
        <f>Tabela3[[#This Row],[Custo / Cx Moldada]]*Tabela3[[#This Row],[Qtde Cx Produzida]]</f>
        <v>435.02602499999995</v>
      </c>
      <c r="X834" s="35">
        <f ca="1">Tabela3[[#This Row],[Aluminio Util]]*Tabela3[[#This Row],[Custo/Kg]]</f>
        <v>1212.1178238744947</v>
      </c>
      <c r="Y834" s="35">
        <f>IFERROR(VLOOKUP(Tabela3[[#This Row],[Data]],Tabela461213[],2,1)*(Tabela3[[#This Row],[Qtde Cx Produzida]]*Tabela3[[#This Row],[Qde macho / CX]]*Tabela3[[#This Row],[Peso Macho]]),)</f>
        <v>0</v>
      </c>
      <c r="Z834" s="35">
        <f>IFERROR(Tabela3[[#This Row],[Qtde Oleo]]*(VLOOKUP(Tabela3[[#This Row],[Data]],CompraOleo[],3,TRUE))*1.05,0)</f>
        <v>144.65539933191056</v>
      </c>
      <c r="AA834" s="47">
        <f ca="1">(Tabela3[[#This Row],[Custo Oleo]]+Tabela3[[#This Row],[Custo Aluminio]]+Tabela3[[#This Row],[Custo M.O. Total]]+Tabela3[[#This Row],[Custo Machos]])</f>
        <v>1791.7992482064051</v>
      </c>
      <c r="AB834" s="47">
        <f ca="1">Tabela3[[#This Row],[Custo Total]]*Tabela3[[#This Row],[% Perda]]</f>
        <v>0</v>
      </c>
      <c r="AC834" s="48">
        <f>IFERROR(VLOOKUP(Tabela3[[#This Row],[Produto]],Tabela2[],2,0),0)</f>
        <v>18</v>
      </c>
      <c r="AD834" s="48">
        <f>IFERROR(VLOOKUP(Tabela3[[#This Row],[Produto]],Tabela2[],3,0),0)</f>
        <v>0.127</v>
      </c>
      <c r="AE834" s="48">
        <f>IFERROR(VLOOKUP(Tabela3[[#This Row],[Produto]],Tabela2[],4,0),0)</f>
        <v>3.88</v>
      </c>
      <c r="AF834" s="48">
        <f>IFERROR(VLOOKUP(Tabela3[[#This Row],[Produto]],Tabela2[],5,0),0)</f>
        <v>1.4345999999999999</v>
      </c>
      <c r="AG834" s="40">
        <f>IFERROR(VLOOKUP(Tabela3[[#This Row],[Produto]],Tabela2[],6,0),0)</f>
        <v>0</v>
      </c>
      <c r="AH834" s="40">
        <f>IFERROR(VLOOKUP(Tabela3[[#This Row],[Produto]],Tabela2[],7,0),0)</f>
        <v>0</v>
      </c>
      <c r="AI834" s="40">
        <f>IFERROR(VLOOKUP(Tabela3[[#This Row],[Produto]],Tabela2[],8,0),0)</f>
        <v>0</v>
      </c>
      <c r="AJ834" s="35">
        <f ca="1">IFERROR(VLOOKUP(Tabela3[[#This Row],[Produto]],Tabela2[],13,0),0)</f>
        <v>16.569852141766386</v>
      </c>
      <c r="AK834" s="40" t="str">
        <f>IFERROR(VLOOKUP(Tabela3[[#This Row],[Produto]],Tabela2[],14,0),0)</f>
        <v>Marcelo</v>
      </c>
      <c r="AL834" s="40">
        <f>IFERROR(VLOOKUP(Tabela3[[#This Row],[Produto]],Tabela2[],15,0),0)</f>
        <v>0</v>
      </c>
      <c r="AM834" s="36">
        <f ca="1">(Tabela3[[#This Row],[Custo Usinagem]]+Tabela3[[#This Row],[Custo / Pç]])*1.2</f>
        <v>3.7329151004300107</v>
      </c>
      <c r="AN834" s="36">
        <f ca="1">Tabela3[[#This Row],[Valor Mínimo Venda]]*1.15</f>
        <v>4.2928523654945119</v>
      </c>
      <c r="AO834" s="36">
        <f ca="1">Tabela3[[#This Row],[Tabela 1]]*1.08</f>
        <v>4.6362805547340731</v>
      </c>
      <c r="AP834" s="36">
        <f ca="1">Tabela3[[#This Row],[Tabela 2]]*1.15</f>
        <v>5.3317226379441838</v>
      </c>
    </row>
    <row r="835" spans="1:42">
      <c r="A835" s="9">
        <v>45978</v>
      </c>
      <c r="B835" s="6" t="s">
        <v>245</v>
      </c>
      <c r="C835" s="14">
        <v>8389</v>
      </c>
      <c r="D835" s="6" t="s">
        <v>46</v>
      </c>
      <c r="E835" s="6" t="s">
        <v>44</v>
      </c>
      <c r="F835" s="6">
        <v>68</v>
      </c>
      <c r="G835" s="15">
        <v>0.29583333333333334</v>
      </c>
      <c r="H835" s="16">
        <v>97</v>
      </c>
      <c r="I835" s="35">
        <f ca="1">IFERROR(Tabela3[[#This Row],[Custo Total]]/Tabela3[[#This Row],[Aluminio Util]],0)</f>
        <v>42.686474770102706</v>
      </c>
      <c r="J835" s="35">
        <f ca="1">Tabela3[[#This Row],[Custo Total]]/Tabela3[[#This Row],[Realizado]]</f>
        <v>14.1719096236741</v>
      </c>
      <c r="K835" s="37">
        <f>IFERROR(Tabela3[[#This Row],[Qtde Cx Produzida]]/Tabela3[[#This Row],[Tempo]]/24,0)</f>
        <v>9.577464788732394</v>
      </c>
      <c r="L835" s="37">
        <f>Tabela3[[#This Row],[Qtde Cx Produzida]]*Tabela3[[#This Row],[Qdt Peça Placa]]</f>
        <v>272</v>
      </c>
      <c r="M835" s="37">
        <f>Tabela3[[#This Row],[Previsto]]-Tabela3[[#This Row],[Perda Pçs]]</f>
        <v>175</v>
      </c>
      <c r="N835" s="38">
        <f>IFERROR(Tabela3[[#This Row],[Perda Pçs]]/Tabela3[[#This Row],[Previsto]],0)</f>
        <v>0.35661764705882354</v>
      </c>
      <c r="O835" s="39">
        <f>IFERROR(IF(Tabela3[[#This Row],[Qtde Cx Produzida]] &lt;&gt; 0, Tabela3[[#This Row],[Tempo]] / Tabela3[[#This Row],[Qtde Cx Produzida]], 0),0)</f>
        <v>4.3504901960784315E-3</v>
      </c>
      <c r="P835" s="57">
        <f>IFERROR(Tabela3[[#This Row],[Perda Pçs]]/Tabela3[[#This Row],[Qdt Peça Placa]],0)</f>
        <v>24.25</v>
      </c>
      <c r="Q835" s="37">
        <f>IFERROR(Tabela3[[#This Row],[Realizado]]*Tabela3[[#This Row],[Peso Util/Pç]],0)</f>
        <v>58.1</v>
      </c>
      <c r="R835" s="37">
        <f>IFERROR(Tabela3[[#This Row],[Peso Total Galho]]*Tabela3[[#This Row],[Qtde Cx Produzida]]*1.055,0)</f>
        <v>165.00199999999995</v>
      </c>
      <c r="S835" s="37">
        <f>(Tabela3[[#This Row],[Aluminio Bruto]]-Tabela3[[#This Row],[Aluminio Util]])*0.9</f>
        <v>96.211799999999968</v>
      </c>
      <c r="T835" s="37">
        <f>Tabela3[[#This Row],[Aluminio Bruto]]/OleoKGAluminio</f>
        <v>69.416128054463684</v>
      </c>
      <c r="U835" s="35">
        <f>IFERROR((VLOOKUP(Tabela3[[#This Row],[Moldador]],Tabela1[],5,)+(VLOOKUP(Tabela3[[#This Row],[Ajudante]],Tabela1[],5,))*3.5),0)</f>
        <v>126.0945</v>
      </c>
      <c r="V835" s="35">
        <f>IFERROR(Tabela3[[#This Row],[Custo M.O. / H]]/((Tabela3[[#This Row],[Realizado]]/Tabela3[[#This Row],[Qdt Peça Placa]])/Tabela3[[#This Row],[Tempo]]/24),)</f>
        <v>20.463335999999998</v>
      </c>
      <c r="W835" s="35">
        <f>Tabela3[[#This Row],[Custo / Cx Moldada]]*Tabela3[[#This Row],[Qtde Cx Produzida]]</f>
        <v>1391.506848</v>
      </c>
      <c r="X835" s="35">
        <f ca="1">Tabela3[[#This Row],[Aluminio Util]]*Tabela3[[#This Row],[Custo/Kg]]</f>
        <v>906.36000000000013</v>
      </c>
      <c r="Y835" s="35">
        <f>IFERROR(VLOOKUP(Tabela3[[#This Row],[Data]],Tabela461213[],2,1)*(Tabela3[[#This Row],[Qtde Cx Produzida]]*Tabela3[[#This Row],[Qde macho / CX]]*Tabela3[[#This Row],[Peso Macho]]),)</f>
        <v>0</v>
      </c>
      <c r="Z835" s="35">
        <f>IFERROR(Tabela3[[#This Row],[Qtde Oleo]]*(VLOOKUP(Tabela3[[#This Row],[Data]],CompraOleo[],3,TRUE))*1.05,0)</f>
        <v>182.21733614296718</v>
      </c>
      <c r="AA835" s="47">
        <f ca="1">(Tabela3[[#This Row],[Custo Oleo]]+Tabela3[[#This Row],[Custo Aluminio]]+Tabela3[[#This Row],[Custo M.O. Total]]+Tabela3[[#This Row],[Custo Machos]])</f>
        <v>2480.0841841429674</v>
      </c>
      <c r="AB835" s="47">
        <f ca="1">Tabela3[[#This Row],[Custo Total]]*Tabela3[[#This Row],[% Perda]]</f>
        <v>884.44178625686709</v>
      </c>
      <c r="AC835" s="48">
        <f>IFERROR(VLOOKUP(Tabela3[[#This Row],[Produto]],Tabela2[],2,0),0)</f>
        <v>4</v>
      </c>
      <c r="AD835" s="48">
        <f>IFERROR(VLOOKUP(Tabela3[[#This Row],[Produto]],Tabela2[],3,0),0)</f>
        <v>0.33200000000000002</v>
      </c>
      <c r="AE835" s="48">
        <f>IFERROR(VLOOKUP(Tabela3[[#This Row],[Produto]],Tabela2[],4,0),0)</f>
        <v>2.2999999999999998</v>
      </c>
      <c r="AF835" s="48">
        <f>IFERROR(VLOOKUP(Tabela3[[#This Row],[Produto]],Tabela2[],5,0),0)</f>
        <v>0.8747999999999998</v>
      </c>
      <c r="AG835" s="40">
        <f>IFERROR(VLOOKUP(Tabela3[[#This Row],[Produto]],Tabela2[],6,0),0)</f>
        <v>0</v>
      </c>
      <c r="AH835" s="40">
        <f>IFERROR(VLOOKUP(Tabela3[[#This Row],[Produto]],Tabela2[],7,0),0)</f>
        <v>0</v>
      </c>
      <c r="AI835" s="40">
        <f>IFERROR(VLOOKUP(Tabela3[[#This Row],[Produto]],Tabela2[],8,0),0)</f>
        <v>0</v>
      </c>
      <c r="AJ835" s="35">
        <f ca="1">IFERROR(VLOOKUP(Tabela3[[#This Row],[Produto]],Tabela2[],13,0),0)</f>
        <v>15.600000000000001</v>
      </c>
      <c r="AK835" s="40" t="str">
        <f>IFERROR(VLOOKUP(Tabela3[[#This Row],[Produto]],Tabela2[],14,0),0)</f>
        <v>Senun</v>
      </c>
      <c r="AL835" s="40">
        <f>IFERROR(VLOOKUP(Tabela3[[#This Row],[Produto]],Tabela2[],15,0),0)</f>
        <v>3.5</v>
      </c>
      <c r="AM835" s="36">
        <f ca="1">(Tabela3[[#This Row],[Custo Usinagem]]+Tabela3[[#This Row],[Custo / Pç]])*1.2</f>
        <v>21.20629154840892</v>
      </c>
      <c r="AN835" s="36">
        <f ca="1">Tabela3[[#This Row],[Valor Mínimo Venda]]*1.15</f>
        <v>24.387235280670257</v>
      </c>
      <c r="AO835" s="36">
        <f ca="1">Tabela3[[#This Row],[Tabela 1]]*1.08</f>
        <v>26.338214103123878</v>
      </c>
      <c r="AP835" s="36">
        <f ca="1">Tabela3[[#This Row],[Tabela 2]]*1.15</f>
        <v>30.288946218592457</v>
      </c>
    </row>
    <row r="836" spans="1:42">
      <c r="A836" s="9">
        <v>45978</v>
      </c>
      <c r="B836" s="6" t="s">
        <v>91</v>
      </c>
      <c r="C836" s="14">
        <v>8403</v>
      </c>
      <c r="D836" s="6" t="s">
        <v>46</v>
      </c>
      <c r="E836" s="6" t="s">
        <v>44</v>
      </c>
      <c r="F836" s="6">
        <v>9</v>
      </c>
      <c r="G836" s="15">
        <v>5.6250000000000001E-2</v>
      </c>
      <c r="H836" s="16">
        <v>0</v>
      </c>
      <c r="I836" s="35">
        <f ca="1">IFERROR(Tabela3[[#This Row],[Custo Total]]/Tabela3[[#This Row],[Aluminio Util]],0)</f>
        <v>41.009055206840578</v>
      </c>
      <c r="J836" s="35">
        <f ca="1">Tabela3[[#This Row],[Custo Total]]/Tabela3[[#This Row],[Realizado]]</f>
        <v>32.151099282163017</v>
      </c>
      <c r="K836" s="37">
        <f>IFERROR(Tabela3[[#This Row],[Qtde Cx Produzida]]/Tabela3[[#This Row],[Tempo]]/24,0)</f>
        <v>6.666666666666667</v>
      </c>
      <c r="L836" s="37">
        <f>Tabela3[[#This Row],[Qtde Cx Produzida]]*Tabela3[[#This Row],[Qdt Peça Placa]]</f>
        <v>36</v>
      </c>
      <c r="M836" s="37">
        <f>Tabela3[[#This Row],[Previsto]]-Tabela3[[#This Row],[Perda Pçs]]</f>
        <v>36</v>
      </c>
      <c r="N836" s="38">
        <f>IFERROR(Tabela3[[#This Row],[Perda Pçs]]/Tabela3[[#This Row],[Previsto]],0)</f>
        <v>0</v>
      </c>
      <c r="O836" s="39">
        <f>IFERROR(IF(Tabela3[[#This Row],[Qtde Cx Produzida]] &lt;&gt; 0, Tabela3[[#This Row],[Tempo]] / Tabela3[[#This Row],[Qtde Cx Produzida]], 0),0)</f>
        <v>6.2500000000000003E-3</v>
      </c>
      <c r="P836" s="57">
        <f>IFERROR(Tabela3[[#This Row],[Perda Pçs]]/Tabela3[[#This Row],[Qdt Peça Placa]],0)</f>
        <v>0</v>
      </c>
      <c r="Q836" s="37">
        <f>IFERROR(Tabela3[[#This Row],[Realizado]]*Tabela3[[#This Row],[Peso Util/Pç]],0)</f>
        <v>28.224</v>
      </c>
      <c r="R836" s="37">
        <f>IFERROR(Tabela3[[#This Row],[Peso Total Galho]]*Tabela3[[#This Row],[Qtde Cx Produzida]]*1.055,0)</f>
        <v>52.678260000000002</v>
      </c>
      <c r="S836" s="37">
        <f>(Tabela3[[#This Row],[Aluminio Bruto]]-Tabela3[[#This Row],[Aluminio Util]])*0.9</f>
        <v>22.008834</v>
      </c>
      <c r="T836" s="37">
        <f>Tabela3[[#This Row],[Aluminio Bruto]]/OleoKGAluminio</f>
        <v>22.161675869664204</v>
      </c>
      <c r="U836" s="35">
        <f>IFERROR((VLOOKUP(Tabela3[[#This Row],[Moldador]],Tabela1[],5,)+(VLOOKUP(Tabela3[[#This Row],[Ajudante]],Tabela1[],5,))*3.5),0)</f>
        <v>126.0945</v>
      </c>
      <c r="V836" s="35">
        <f>IFERROR(Tabela3[[#This Row],[Custo M.O. / H]]/((Tabela3[[#This Row],[Realizado]]/Tabela3[[#This Row],[Qdt Peça Placa]])/Tabela3[[#This Row],[Tempo]]/24),)</f>
        <v>18.914175</v>
      </c>
      <c r="W836" s="35">
        <f>Tabela3[[#This Row],[Custo / Cx Moldada]]*Tabela3[[#This Row],[Qtde Cx Produzida]]</f>
        <v>170.227575</v>
      </c>
      <c r="X836" s="35">
        <f ca="1">Tabela3[[#This Row],[Aluminio Util]]*Tabela3[[#This Row],[Custo/Kg]]</f>
        <v>440.29440000000005</v>
      </c>
      <c r="Y836" s="35">
        <f>IFERROR(VLOOKUP(Tabela3[[#This Row],[Data]],Tabela461213[],2,1)*(Tabela3[[#This Row],[Qtde Cx Produzida]]*Tabela3[[#This Row],[Qde macho / CX]]*Tabela3[[#This Row],[Peso Macho]]),)</f>
        <v>488.74319999999994</v>
      </c>
      <c r="Z836" s="35">
        <f>IFERROR(Tabela3[[#This Row],[Qtde Oleo]]*(VLOOKUP(Tabela3[[#This Row],[Data]],CompraOleo[],3,TRUE))*1.05,0)</f>
        <v>58.174399157868542</v>
      </c>
      <c r="AA836" s="47">
        <f ca="1">(Tabela3[[#This Row],[Custo Oleo]]+Tabela3[[#This Row],[Custo Aluminio]]+Tabela3[[#This Row],[Custo M.O. Total]]+Tabela3[[#This Row],[Custo Machos]])</f>
        <v>1157.4395741578685</v>
      </c>
      <c r="AB836" s="47">
        <f ca="1">Tabela3[[#This Row],[Custo Total]]*Tabela3[[#This Row],[% Perda]]</f>
        <v>0</v>
      </c>
      <c r="AC836" s="48">
        <f>IFERROR(VLOOKUP(Tabela3[[#This Row],[Produto]],Tabela2[],2,0),0)</f>
        <v>4</v>
      </c>
      <c r="AD836" s="48">
        <f>IFERROR(VLOOKUP(Tabela3[[#This Row],[Produto]],Tabela2[],3,0),0)</f>
        <v>0.78400000000000003</v>
      </c>
      <c r="AE836" s="48">
        <f>IFERROR(VLOOKUP(Tabela3[[#This Row],[Produto]],Tabela2[],4,0),0)</f>
        <v>5.548</v>
      </c>
      <c r="AF836" s="48">
        <f>IFERROR(VLOOKUP(Tabela3[[#This Row],[Produto]],Tabela2[],5,0),0)</f>
        <v>2.1707999999999998</v>
      </c>
      <c r="AG836" s="40">
        <f>IFERROR(VLOOKUP(Tabela3[[#This Row],[Produto]],Tabela2[],6,0),0)</f>
        <v>0</v>
      </c>
      <c r="AH836" s="40">
        <f>IFERROR(VLOOKUP(Tabela3[[#This Row],[Produto]],Tabela2[],7,0),0)</f>
        <v>12</v>
      </c>
      <c r="AI836" s="40">
        <f>IFERROR(VLOOKUP(Tabela3[[#This Row],[Produto]],Tabela2[],8,0),0)</f>
        <v>2.6619999999999999</v>
      </c>
      <c r="AJ836" s="35">
        <f ca="1">IFERROR(VLOOKUP(Tabela3[[#This Row],[Produto]],Tabela2[],13,0),0)</f>
        <v>15.600000000000001</v>
      </c>
      <c r="AK836" s="40" t="str">
        <f>IFERROR(VLOOKUP(Tabela3[[#This Row],[Produto]],Tabela2[],14,0),0)</f>
        <v>Jumil</v>
      </c>
      <c r="AL836" s="40">
        <f>IFERROR(VLOOKUP(Tabela3[[#This Row],[Produto]],Tabela2[],15,0),0)</f>
        <v>8</v>
      </c>
      <c r="AM836" s="36">
        <f ca="1">(Tabela3[[#This Row],[Custo Usinagem]]+Tabela3[[#This Row],[Custo / Pç]])*1.2</f>
        <v>48.181319138595619</v>
      </c>
      <c r="AN836" s="36">
        <f ca="1">Tabela3[[#This Row],[Valor Mínimo Venda]]*1.15</f>
        <v>55.408517009384958</v>
      </c>
      <c r="AO836" s="36">
        <f ca="1">Tabela3[[#This Row],[Tabela 1]]*1.08</f>
        <v>59.841198370135757</v>
      </c>
      <c r="AP836" s="36">
        <f ca="1">Tabela3[[#This Row],[Tabela 2]]*1.15</f>
        <v>68.81737812565612</v>
      </c>
    </row>
    <row r="837" spans="1:42">
      <c r="A837" s="9">
        <v>45979</v>
      </c>
      <c r="B837" s="6" t="s">
        <v>91</v>
      </c>
      <c r="C837" s="14">
        <v>8403</v>
      </c>
      <c r="D837" s="6" t="s">
        <v>46</v>
      </c>
      <c r="E837" s="6" t="s">
        <v>44</v>
      </c>
      <c r="F837" s="6">
        <v>19</v>
      </c>
      <c r="G837" s="15">
        <v>0.10555555555555556</v>
      </c>
      <c r="H837" s="16">
        <v>12</v>
      </c>
      <c r="I837" s="35">
        <f ca="1">IFERROR(Tabela3[[#This Row],[Custo Total]]/Tabela3[[#This Row],[Aluminio Util]],0)</f>
        <v>46.171151704886583</v>
      </c>
      <c r="J837" s="35">
        <f ca="1">Tabela3[[#This Row],[Custo Total]]/Tabela3[[#This Row],[Realizado]]</f>
        <v>36.198182936631085</v>
      </c>
      <c r="K837" s="37">
        <f>IFERROR(Tabela3[[#This Row],[Qtde Cx Produzida]]/Tabela3[[#This Row],[Tempo]]/24,0)</f>
        <v>7.5</v>
      </c>
      <c r="L837" s="37">
        <f>Tabela3[[#This Row],[Qtde Cx Produzida]]*Tabela3[[#This Row],[Qdt Peça Placa]]</f>
        <v>76</v>
      </c>
      <c r="M837" s="37">
        <f>Tabela3[[#This Row],[Previsto]]-Tabela3[[#This Row],[Perda Pçs]]</f>
        <v>64</v>
      </c>
      <c r="N837" s="38">
        <f>IFERROR(Tabela3[[#This Row],[Perda Pçs]]/Tabela3[[#This Row],[Previsto]],0)</f>
        <v>0.15789473684210525</v>
      </c>
      <c r="O837" s="39">
        <f>IFERROR(IF(Tabela3[[#This Row],[Qtde Cx Produzida]] &lt;&gt; 0, Tabela3[[#This Row],[Tempo]] / Tabela3[[#This Row],[Qtde Cx Produzida]], 0),0)</f>
        <v>5.5555555555555558E-3</v>
      </c>
      <c r="P837" s="57">
        <f>IFERROR(Tabela3[[#This Row],[Perda Pçs]]/Tabela3[[#This Row],[Qdt Peça Placa]],0)</f>
        <v>3</v>
      </c>
      <c r="Q837" s="37">
        <f>IFERROR(Tabela3[[#This Row],[Realizado]]*Tabela3[[#This Row],[Peso Util/Pç]],0)</f>
        <v>50.176000000000002</v>
      </c>
      <c r="R837" s="37">
        <f>IFERROR(Tabela3[[#This Row],[Peso Total Galho]]*Tabela3[[#This Row],[Qtde Cx Produzida]]*1.055,0)</f>
        <v>111.20966</v>
      </c>
      <c r="S837" s="37">
        <f>(Tabela3[[#This Row],[Aluminio Bruto]]-Tabela3[[#This Row],[Aluminio Util]])*0.9</f>
        <v>54.930293999999996</v>
      </c>
      <c r="T837" s="37">
        <f>Tabela3[[#This Row],[Aluminio Bruto]]/OleoKGAluminio</f>
        <v>46.785760169291095</v>
      </c>
      <c r="U837" s="35">
        <f>IFERROR((VLOOKUP(Tabela3[[#This Row],[Moldador]],Tabela1[],5,)+(VLOOKUP(Tabela3[[#This Row],[Ajudante]],Tabela1[],5,))*3.5),0)</f>
        <v>126.0945</v>
      </c>
      <c r="V837" s="35">
        <f>IFERROR(Tabela3[[#This Row],[Custo M.O. / H]]/((Tabela3[[#This Row],[Realizado]]/Tabela3[[#This Row],[Qdt Peça Placa]])/Tabela3[[#This Row],[Tempo]]/24),)</f>
        <v>19.964962500000002</v>
      </c>
      <c r="W837" s="35">
        <f>Tabela3[[#This Row],[Custo / Cx Moldada]]*Tabela3[[#This Row],[Qtde Cx Produzida]]</f>
        <v>379.33428750000002</v>
      </c>
      <c r="X837" s="35">
        <f ca="1">Tabela3[[#This Row],[Aluminio Util]]*Tabela3[[#This Row],[Custo/Kg]]</f>
        <v>782.74560000000008</v>
      </c>
      <c r="Y837" s="35">
        <f>IFERROR(VLOOKUP(Tabela3[[#This Row],[Data]],Tabela461213[],2,1)*(Tabela3[[#This Row],[Qtde Cx Produzida]]*Tabela3[[#This Row],[Qde macho / CX]]*Tabela3[[#This Row],[Peso Macho]]),)</f>
        <v>1031.7912000000001</v>
      </c>
      <c r="Z837" s="35">
        <f>IFERROR(Tabela3[[#This Row],[Qtde Oleo]]*(VLOOKUP(Tabela3[[#This Row],[Data]],CompraOleo[],3,TRUE))*1.05,0)</f>
        <v>122.81262044438914</v>
      </c>
      <c r="AA837" s="47">
        <f ca="1">(Tabela3[[#This Row],[Custo Oleo]]+Tabela3[[#This Row],[Custo Aluminio]]+Tabela3[[#This Row],[Custo M.O. Total]]+Tabela3[[#This Row],[Custo Machos]])</f>
        <v>2316.6837079443894</v>
      </c>
      <c r="AB837" s="47">
        <f ca="1">Tabela3[[#This Row],[Custo Total]]*Tabela3[[#This Row],[% Perda]]</f>
        <v>365.79216441227197</v>
      </c>
      <c r="AC837" s="48">
        <f>IFERROR(VLOOKUP(Tabela3[[#This Row],[Produto]],Tabela2[],2,0),0)</f>
        <v>4</v>
      </c>
      <c r="AD837" s="48">
        <f>IFERROR(VLOOKUP(Tabela3[[#This Row],[Produto]],Tabela2[],3,0),0)</f>
        <v>0.78400000000000003</v>
      </c>
      <c r="AE837" s="48">
        <f>IFERROR(VLOOKUP(Tabela3[[#This Row],[Produto]],Tabela2[],4,0),0)</f>
        <v>5.548</v>
      </c>
      <c r="AF837" s="48">
        <f>IFERROR(VLOOKUP(Tabela3[[#This Row],[Produto]],Tabela2[],5,0),0)</f>
        <v>2.1707999999999998</v>
      </c>
      <c r="AG837" s="40">
        <f>IFERROR(VLOOKUP(Tabela3[[#This Row],[Produto]],Tabela2[],6,0),0)</f>
        <v>0</v>
      </c>
      <c r="AH837" s="40">
        <f>IFERROR(VLOOKUP(Tabela3[[#This Row],[Produto]],Tabela2[],7,0),0)</f>
        <v>12</v>
      </c>
      <c r="AI837" s="40">
        <f>IFERROR(VLOOKUP(Tabela3[[#This Row],[Produto]],Tabela2[],8,0),0)</f>
        <v>2.6619999999999999</v>
      </c>
      <c r="AJ837" s="35">
        <f ca="1">IFERROR(VLOOKUP(Tabela3[[#This Row],[Produto]],Tabela2[],13,0),0)</f>
        <v>15.600000000000001</v>
      </c>
      <c r="AK837" s="40" t="str">
        <f>IFERROR(VLOOKUP(Tabela3[[#This Row],[Produto]],Tabela2[],14,0),0)</f>
        <v>Jumil</v>
      </c>
      <c r="AL837" s="40">
        <f>IFERROR(VLOOKUP(Tabela3[[#This Row],[Produto]],Tabela2[],15,0),0)</f>
        <v>8</v>
      </c>
      <c r="AM837" s="36">
        <f ca="1">(Tabela3[[#This Row],[Custo Usinagem]]+Tabela3[[#This Row],[Custo / Pç]])*1.2</f>
        <v>53.037819523957303</v>
      </c>
      <c r="AN837" s="36">
        <f ca="1">Tabela3[[#This Row],[Valor Mínimo Venda]]*1.15</f>
        <v>60.993492452550896</v>
      </c>
      <c r="AO837" s="36">
        <f ca="1">Tabela3[[#This Row],[Tabela 1]]*1.08</f>
        <v>65.872971848754972</v>
      </c>
      <c r="AP837" s="36">
        <f ca="1">Tabela3[[#This Row],[Tabela 2]]*1.15</f>
        <v>75.753917626068215</v>
      </c>
    </row>
    <row r="838" spans="1:42">
      <c r="A838" s="69">
        <v>45979</v>
      </c>
      <c r="B838" s="6" t="s">
        <v>119</v>
      </c>
      <c r="C838" s="14">
        <v>8355</v>
      </c>
      <c r="D838" s="6" t="s">
        <v>46</v>
      </c>
      <c r="E838" s="6" t="s">
        <v>44</v>
      </c>
      <c r="F838" s="6">
        <v>30</v>
      </c>
      <c r="G838" s="15">
        <v>7.7083333333333337E-2</v>
      </c>
      <c r="H838" s="16">
        <v>5</v>
      </c>
      <c r="I838" s="35">
        <f ca="1">IFERROR(Tabela3[[#This Row],[Custo Total]]/Tabela3[[#This Row],[Aluminio Util]],0)</f>
        <v>24.570942618290424</v>
      </c>
      <c r="J838" s="35">
        <f ca="1">Tabela3[[#This Row],[Custo Total]]/Tabela3[[#This Row],[Realizado]]</f>
        <v>76.16992211670032</v>
      </c>
      <c r="K838" s="37">
        <f>IFERROR(Tabela3[[#This Row],[Qtde Cx Produzida]]/Tabela3[[#This Row],[Tempo]]/24,0)</f>
        <v>16.216216216216214</v>
      </c>
      <c r="L838" s="37">
        <f>Tabela3[[#This Row],[Qtde Cx Produzida]]*Tabela3[[#This Row],[Qdt Peça Placa]]</f>
        <v>30</v>
      </c>
      <c r="M838" s="37">
        <f>Tabela3[[#This Row],[Previsto]]-Tabela3[[#This Row],[Perda Pçs]]</f>
        <v>25</v>
      </c>
      <c r="N838" s="38">
        <f>IFERROR(Tabela3[[#This Row],[Perda Pçs]]/Tabela3[[#This Row],[Previsto]],0)</f>
        <v>0.16666666666666666</v>
      </c>
      <c r="O838" s="39">
        <f>IFERROR(IF(Tabela3[[#This Row],[Qtde Cx Produzida]] &lt;&gt; 0, Tabela3[[#This Row],[Tempo]] / Tabela3[[#This Row],[Qtde Cx Produzida]], 0),0)</f>
        <v>2.5694444444444445E-3</v>
      </c>
      <c r="P838" s="57">
        <f>IFERROR(Tabela3[[#This Row],[Perda Pçs]]/Tabela3[[#This Row],[Qdt Peça Placa]],0)</f>
        <v>5</v>
      </c>
      <c r="Q838" s="37">
        <f>IFERROR(Tabela3[[#This Row],[Realizado]]*Tabela3[[#This Row],[Peso Util/Pç]],0)</f>
        <v>77.5</v>
      </c>
      <c r="R838" s="37">
        <f>IFERROR(Tabela3[[#This Row],[Peso Total Galho]]*Tabela3[[#This Row],[Qtde Cx Produzida]]*1.055,0)</f>
        <v>120.27</v>
      </c>
      <c r="S838" s="37">
        <f>(Tabela3[[#This Row],[Aluminio Bruto]]-Tabela3[[#This Row],[Aluminio Util]])*0.9</f>
        <v>38.492999999999995</v>
      </c>
      <c r="T838" s="37">
        <f>Tabela3[[#This Row],[Aluminio Bruto]]/OleoKGAluminio</f>
        <v>50.597433492384027</v>
      </c>
      <c r="U838" s="35">
        <f>IFERROR((VLOOKUP(Tabela3[[#This Row],[Moldador]],Tabela1[],5,)+(VLOOKUP(Tabela3[[#This Row],[Ajudante]],Tabela1[],5,))*3.5),0)</f>
        <v>126.0945</v>
      </c>
      <c r="V838" s="35">
        <f>IFERROR(Tabela3[[#This Row],[Custo M.O. / H]]/((Tabela3[[#This Row],[Realizado]]/Tabela3[[#This Row],[Qdt Peça Placa]])/Tabela3[[#This Row],[Tempo]]/24),)</f>
        <v>9.3309929999999994</v>
      </c>
      <c r="W838" s="35">
        <f>Tabela3[[#This Row],[Custo / Cx Moldada]]*Tabela3[[#This Row],[Qtde Cx Produzida]]</f>
        <v>279.92978999999997</v>
      </c>
      <c r="X838" s="35">
        <f ca="1">Tabela3[[#This Row],[Aluminio Util]]*Tabela3[[#This Row],[Custo/Kg]]</f>
        <v>1364</v>
      </c>
      <c r="Y838" s="35">
        <f>IFERROR(VLOOKUP(Tabela3[[#This Row],[Data]],Tabela461213[],2,1)*(Tabela3[[#This Row],[Qtde Cx Produzida]]*Tabela3[[#This Row],[Qde macho / CX]]*Tabela3[[#This Row],[Peso Macho]]),)</f>
        <v>127.5</v>
      </c>
      <c r="Z838" s="35">
        <f>IFERROR(Tabela3[[#This Row],[Qtde Oleo]]*(VLOOKUP(Tabela3[[#This Row],[Data]],CompraOleo[],3,TRUE))*1.05,0)</f>
        <v>132.81826291750806</v>
      </c>
      <c r="AA838" s="47">
        <f ca="1">(Tabela3[[#This Row],[Custo Oleo]]+Tabela3[[#This Row],[Custo Aluminio]]+Tabela3[[#This Row],[Custo M.O. Total]]+Tabela3[[#This Row],[Custo Machos]])</f>
        <v>1904.2480529175079</v>
      </c>
      <c r="AB838" s="47">
        <f ca="1">Tabela3[[#This Row],[Custo Total]]*Tabela3[[#This Row],[% Perda]]</f>
        <v>317.37467548625131</v>
      </c>
      <c r="AC838" s="48">
        <f>IFERROR(VLOOKUP(Tabela3[[#This Row],[Produto]],Tabela2[],2,0),0)</f>
        <v>1</v>
      </c>
      <c r="AD838" s="48">
        <f>IFERROR(VLOOKUP(Tabela3[[#This Row],[Produto]],Tabela2[],3,0),0)</f>
        <v>3.1</v>
      </c>
      <c r="AE838" s="48">
        <f>IFERROR(VLOOKUP(Tabela3[[#This Row],[Produto]],Tabela2[],4,0),0)</f>
        <v>3.8</v>
      </c>
      <c r="AF838" s="48">
        <f>IFERROR(VLOOKUP(Tabela3[[#This Row],[Produto]],Tabela2[],5,0),0)</f>
        <v>0.62999999999999978</v>
      </c>
      <c r="AG838" s="40">
        <f>IFERROR(VLOOKUP(Tabela3[[#This Row],[Produto]],Tabela2[],6,0),0)</f>
        <v>0</v>
      </c>
      <c r="AH838" s="40">
        <f>IFERROR(VLOOKUP(Tabela3[[#This Row],[Produto]],Tabela2[],7,0),0)</f>
        <v>2</v>
      </c>
      <c r="AI838" s="40">
        <f>IFERROR(VLOOKUP(Tabela3[[#This Row],[Produto]],Tabela2[],8,0),0)</f>
        <v>1.25</v>
      </c>
      <c r="AJ838" s="35">
        <f ca="1">IFERROR(VLOOKUP(Tabela3[[#This Row],[Produto]],Tabela2[],13,0),0)</f>
        <v>17.600000000000001</v>
      </c>
      <c r="AK838" s="40" t="str">
        <f>IFERROR(VLOOKUP(Tabela3[[#This Row],[Produto]],Tabela2[],14,0),0)</f>
        <v>Oscar</v>
      </c>
      <c r="AL838" s="40">
        <f>IFERROR(VLOOKUP(Tabela3[[#This Row],[Produto]],Tabela2[],15,0),0)</f>
        <v>20</v>
      </c>
      <c r="AM838" s="36">
        <f ca="1">(Tabela3[[#This Row],[Custo Usinagem]]+Tabela3[[#This Row],[Custo / Pç]])*1.2</f>
        <v>115.40390654004038</v>
      </c>
      <c r="AN838" s="36">
        <f ca="1">Tabela3[[#This Row],[Valor Mínimo Venda]]*1.15</f>
        <v>132.71449252104642</v>
      </c>
      <c r="AO838" s="36">
        <f ca="1">Tabela3[[#This Row],[Tabela 1]]*1.08</f>
        <v>143.33165192273015</v>
      </c>
      <c r="AP838" s="36">
        <f ca="1">Tabela3[[#This Row],[Tabela 2]]*1.15</f>
        <v>164.83139971113965</v>
      </c>
    </row>
    <row r="839" spans="1:42">
      <c r="A839" s="9">
        <v>45979</v>
      </c>
      <c r="B839" s="6" t="s">
        <v>127</v>
      </c>
      <c r="C839" s="14">
        <v>8412</v>
      </c>
      <c r="D839" s="6" t="s">
        <v>46</v>
      </c>
      <c r="E839" s="6" t="s">
        <v>44</v>
      </c>
      <c r="F839" s="6">
        <v>2</v>
      </c>
      <c r="G839" s="15">
        <v>1.3888888888888888E-2</v>
      </c>
      <c r="H839" s="16">
        <v>0</v>
      </c>
      <c r="I839" s="35">
        <f ca="1">IFERROR(Tabela3[[#This Row],[Custo Total]]/Tabela3[[#This Row],[Aluminio Util]],0)</f>
        <v>29.886671222598789</v>
      </c>
      <c r="J839" s="35">
        <f ca="1">Tabela3[[#This Row],[Custo Total]]/Tabela3[[#This Row],[Realizado]]</f>
        <v>11.954668489039518</v>
      </c>
      <c r="K839" s="37">
        <f>IFERROR(Tabela3[[#This Row],[Qtde Cx Produzida]]/Tabela3[[#This Row],[Tempo]]/24,0)</f>
        <v>6</v>
      </c>
      <c r="L839" s="37">
        <f>Tabela3[[#This Row],[Qtde Cx Produzida]]*Tabela3[[#This Row],[Qdt Peça Placa]]</f>
        <v>12</v>
      </c>
      <c r="M839" s="37">
        <f>Tabela3[[#This Row],[Previsto]]-Tabela3[[#This Row],[Perda Pçs]]</f>
        <v>12</v>
      </c>
      <c r="N839" s="38">
        <f>IFERROR(Tabela3[[#This Row],[Perda Pçs]]/Tabela3[[#This Row],[Previsto]],0)</f>
        <v>0</v>
      </c>
      <c r="O839" s="39">
        <f>IFERROR(IF(Tabela3[[#This Row],[Qtde Cx Produzida]] &lt;&gt; 0, Tabela3[[#This Row],[Tempo]] / Tabela3[[#This Row],[Qtde Cx Produzida]], 0),0)</f>
        <v>6.9444444444444441E-3</v>
      </c>
      <c r="P839" s="57">
        <f>IFERROR(Tabela3[[#This Row],[Perda Pçs]]/Tabela3[[#This Row],[Qdt Peça Placa]],0)</f>
        <v>0</v>
      </c>
      <c r="Q839" s="37">
        <f>IFERROR(Tabela3[[#This Row],[Realizado]]*Tabela3[[#This Row],[Peso Util/Pç]],0)</f>
        <v>4.8000000000000007</v>
      </c>
      <c r="R839" s="37">
        <f>IFERROR(Tabela3[[#This Row],[Peso Total Galho]]*Tabela3[[#This Row],[Qtde Cx Produzida]]*1.055,0)</f>
        <v>7.5960000000000001</v>
      </c>
      <c r="S839" s="37">
        <f>(Tabela3[[#This Row],[Aluminio Bruto]]-Tabela3[[#This Row],[Aluminio Util]])*0.9</f>
        <v>2.5163999999999995</v>
      </c>
      <c r="T839" s="37">
        <f>Tabela3[[#This Row],[Aluminio Bruto]]/OleoKGAluminio</f>
        <v>3.1956273784663596</v>
      </c>
      <c r="U839" s="35">
        <f>IFERROR((VLOOKUP(Tabela3[[#This Row],[Moldador]],Tabela1[],5,)+(VLOOKUP(Tabela3[[#This Row],[Ajudante]],Tabela1[],5,))*3.5),0)</f>
        <v>126.0945</v>
      </c>
      <c r="V839" s="35">
        <f>IFERROR(Tabela3[[#This Row],[Custo M.O. / H]]/((Tabela3[[#This Row],[Realizado]]/Tabela3[[#This Row],[Qdt Peça Placa]])/Tabela3[[#This Row],[Tempo]]/24),)</f>
        <v>21.015750000000001</v>
      </c>
      <c r="W839" s="35">
        <f>Tabela3[[#This Row],[Custo / Cx Moldada]]*Tabela3[[#This Row],[Qtde Cx Produzida]]</f>
        <v>42.031500000000001</v>
      </c>
      <c r="X839" s="35">
        <f ca="1">Tabela3[[#This Row],[Aluminio Util]]*Tabela3[[#This Row],[Custo/Kg]]</f>
        <v>74.880000000000024</v>
      </c>
      <c r="Y839" s="35">
        <f>IFERROR(VLOOKUP(Tabela3[[#This Row],[Data]],Tabela461213[],2,1)*(Tabela3[[#This Row],[Qtde Cx Produzida]]*Tabela3[[#This Row],[Qde macho / CX]]*Tabela3[[#This Row],[Peso Macho]]),)</f>
        <v>18.155999999999999</v>
      </c>
      <c r="Z839" s="35">
        <f>IFERROR(Tabela3[[#This Row],[Qtde Oleo]]*(VLOOKUP(Tabela3[[#This Row],[Data]],CompraOleo[],3,TRUE))*1.05,0)</f>
        <v>8.3885218684741929</v>
      </c>
      <c r="AA839" s="47">
        <f ca="1">(Tabela3[[#This Row],[Custo Oleo]]+Tabela3[[#This Row],[Custo Aluminio]]+Tabela3[[#This Row],[Custo M.O. Total]]+Tabela3[[#This Row],[Custo Machos]])</f>
        <v>143.45602186847421</v>
      </c>
      <c r="AB839" s="47">
        <f ca="1">Tabela3[[#This Row],[Custo Total]]*Tabela3[[#This Row],[% Perda]]</f>
        <v>0</v>
      </c>
      <c r="AC839" s="48">
        <f>IFERROR(VLOOKUP(Tabela3[[#This Row],[Produto]],Tabela2[],2,0),0)</f>
        <v>6</v>
      </c>
      <c r="AD839" s="48">
        <f>IFERROR(VLOOKUP(Tabela3[[#This Row],[Produto]],Tabela2[],3,0),0)</f>
        <v>0.4</v>
      </c>
      <c r="AE839" s="48">
        <f>IFERROR(VLOOKUP(Tabela3[[#This Row],[Produto]],Tabela2[],4,0),0)</f>
        <v>3.6</v>
      </c>
      <c r="AF839" s="48">
        <f>IFERROR(VLOOKUP(Tabela3[[#This Row],[Produto]],Tabela2[],5,0),0)</f>
        <v>1.0799999999999998</v>
      </c>
      <c r="AG839" s="40">
        <f>IFERROR(VLOOKUP(Tabela3[[#This Row],[Produto]],Tabela2[],6,0),0)</f>
        <v>0</v>
      </c>
      <c r="AH839" s="40">
        <f>IFERROR(VLOOKUP(Tabela3[[#This Row],[Produto]],Tabela2[],7,0),0)</f>
        <v>6</v>
      </c>
      <c r="AI839" s="40">
        <f>IFERROR(VLOOKUP(Tabela3[[#This Row],[Produto]],Tabela2[],8,0),0)</f>
        <v>0.89</v>
      </c>
      <c r="AJ839" s="35">
        <f ca="1">IFERROR(VLOOKUP(Tabela3[[#This Row],[Produto]],Tabela2[],13,0),0)</f>
        <v>15.600000000000001</v>
      </c>
      <c r="AK839" s="40" t="str">
        <f>IFERROR(VLOOKUP(Tabela3[[#This Row],[Produto]],Tabela2[],14,0),0)</f>
        <v>Jumil</v>
      </c>
      <c r="AL839" s="40">
        <f>IFERROR(VLOOKUP(Tabela3[[#This Row],[Produto]],Tabela2[],15,0),0)</f>
        <v>2</v>
      </c>
      <c r="AM839" s="36">
        <f ca="1">(Tabela3[[#This Row],[Custo Usinagem]]+Tabela3[[#This Row],[Custo / Pç]])*1.2</f>
        <v>16.745602186847421</v>
      </c>
      <c r="AN839" s="36">
        <f ca="1">Tabela3[[#This Row],[Valor Mínimo Venda]]*1.15</f>
        <v>19.257442514874533</v>
      </c>
      <c r="AO839" s="36">
        <f ca="1">Tabela3[[#This Row],[Tabela 1]]*1.08</f>
        <v>20.798037916064498</v>
      </c>
      <c r="AP839" s="36">
        <f ca="1">Tabela3[[#This Row],[Tabela 2]]*1.15</f>
        <v>23.917743603474172</v>
      </c>
    </row>
    <row r="840" spans="1:42">
      <c r="A840" s="9">
        <v>45979</v>
      </c>
      <c r="B840" s="6" t="s">
        <v>246</v>
      </c>
      <c r="C840" s="14">
        <v>8415</v>
      </c>
      <c r="D840" s="6" t="s">
        <v>46</v>
      </c>
      <c r="E840" s="6" t="s">
        <v>44</v>
      </c>
      <c r="F840" s="6">
        <v>8</v>
      </c>
      <c r="G840" s="15">
        <v>4.5138888888888888E-2</v>
      </c>
      <c r="H840" s="16">
        <v>0</v>
      </c>
      <c r="I840" s="35">
        <f ca="1">IFERROR(Tabela3[[#This Row],[Custo Total]]/Tabela3[[#This Row],[Aluminio Util]],0)</f>
        <v>25.412399655120705</v>
      </c>
      <c r="J840" s="35">
        <f ca="1">Tabela3[[#This Row],[Custo Total]]/Tabela3[[#This Row],[Realizado]]</f>
        <v>13.544809016179336</v>
      </c>
      <c r="K840" s="37">
        <f>IFERROR(Tabela3[[#This Row],[Qtde Cx Produzida]]/Tabela3[[#This Row],[Tempo]]/24,0)</f>
        <v>7.3846153846153841</v>
      </c>
      <c r="L840" s="37">
        <f>Tabela3[[#This Row],[Qtde Cx Produzida]]*Tabela3[[#This Row],[Qdt Peça Placa]]</f>
        <v>32</v>
      </c>
      <c r="M840" s="37">
        <f>Tabela3[[#This Row],[Previsto]]-Tabela3[[#This Row],[Perda Pçs]]</f>
        <v>32</v>
      </c>
      <c r="N840" s="38">
        <f>IFERROR(Tabela3[[#This Row],[Perda Pçs]]/Tabela3[[#This Row],[Previsto]],0)</f>
        <v>0</v>
      </c>
      <c r="O840" s="39">
        <f>IFERROR(IF(Tabela3[[#This Row],[Qtde Cx Produzida]] &lt;&gt; 0, Tabela3[[#This Row],[Tempo]] / Tabela3[[#This Row],[Qtde Cx Produzida]], 0),0)</f>
        <v>5.642361111111111E-3</v>
      </c>
      <c r="P840" s="57">
        <f>IFERROR(Tabela3[[#This Row],[Perda Pçs]]/Tabela3[[#This Row],[Qdt Peça Placa]],0)</f>
        <v>0</v>
      </c>
      <c r="Q840" s="37">
        <f>IFERROR(Tabela3[[#This Row],[Realizado]]*Tabela3[[#This Row],[Peso Util/Pç]],0)</f>
        <v>17.056000000000001</v>
      </c>
      <c r="R840" s="37">
        <f>IFERROR(Tabela3[[#This Row],[Peso Total Galho]]*Tabela3[[#This Row],[Qtde Cx Produzida]]*1.055,0)</f>
        <v>27.851999999999997</v>
      </c>
      <c r="S840" s="37">
        <f>(Tabela3[[#This Row],[Aluminio Bruto]]-Tabela3[[#This Row],[Aluminio Util]])*0.9</f>
        <v>9.7163999999999966</v>
      </c>
      <c r="T840" s="37">
        <f>Tabela3[[#This Row],[Aluminio Bruto]]/OleoKGAluminio</f>
        <v>11.717300387709983</v>
      </c>
      <c r="U840" s="35">
        <f>IFERROR((VLOOKUP(Tabela3[[#This Row],[Moldador]],Tabela1[],5,)+(VLOOKUP(Tabela3[[#This Row],[Ajudante]],Tabela1[],5,))*3.5),0)</f>
        <v>126.0945</v>
      </c>
      <c r="V840" s="35">
        <f>IFERROR(Tabela3[[#This Row],[Custo M.O. / H]]/((Tabela3[[#This Row],[Realizado]]/Tabela3[[#This Row],[Qdt Peça Placa]])/Tabela3[[#This Row],[Tempo]]/24),)</f>
        <v>17.075296874999999</v>
      </c>
      <c r="W840" s="35">
        <f>Tabela3[[#This Row],[Custo / Cx Moldada]]*Tabela3[[#This Row],[Qtde Cx Produzida]]</f>
        <v>136.60237499999999</v>
      </c>
      <c r="X840" s="35">
        <f ca="1">Tabela3[[#This Row],[Aluminio Util]]*Tabela3[[#This Row],[Custo/Kg]]</f>
        <v>266.07360000000006</v>
      </c>
      <c r="Y840" s="35">
        <f>IFERROR(VLOOKUP(Tabela3[[#This Row],[Data]],Tabela461213[],2,1)*(Tabela3[[#This Row],[Qtde Cx Produzida]]*Tabela3[[#This Row],[Qde macho / CX]]*Tabela3[[#This Row],[Peso Macho]]),)</f>
        <v>0</v>
      </c>
      <c r="Z840" s="35">
        <f>IFERROR(Tabela3[[#This Row],[Qtde Oleo]]*(VLOOKUP(Tabela3[[#This Row],[Data]],CompraOleo[],3,TRUE))*1.05,0)</f>
        <v>30.757913517738707</v>
      </c>
      <c r="AA840" s="47">
        <f ca="1">(Tabela3[[#This Row],[Custo Oleo]]+Tabela3[[#This Row],[Custo Aluminio]]+Tabela3[[#This Row],[Custo M.O. Total]]+Tabela3[[#This Row],[Custo Machos]])</f>
        <v>433.43388851773875</v>
      </c>
      <c r="AB840" s="47">
        <f ca="1">Tabela3[[#This Row],[Custo Total]]*Tabela3[[#This Row],[% Perda]]</f>
        <v>0</v>
      </c>
      <c r="AC840" s="48">
        <f>IFERROR(VLOOKUP(Tabela3[[#This Row],[Produto]],Tabela2[],2,0),0)</f>
        <v>4</v>
      </c>
      <c r="AD840" s="48">
        <f>IFERROR(VLOOKUP(Tabela3[[#This Row],[Produto]],Tabela2[],3,0),0)</f>
        <v>0.53300000000000003</v>
      </c>
      <c r="AE840" s="48">
        <f>IFERROR(VLOOKUP(Tabela3[[#This Row],[Produto]],Tabela2[],4,0),0)</f>
        <v>3.3</v>
      </c>
      <c r="AF840" s="48">
        <f>IFERROR(VLOOKUP(Tabela3[[#This Row],[Produto]],Tabela2[],5,0),0)</f>
        <v>1.0511999999999997</v>
      </c>
      <c r="AG840" s="40">
        <f>IFERROR(VLOOKUP(Tabela3[[#This Row],[Produto]],Tabela2[],6,0),0)</f>
        <v>0</v>
      </c>
      <c r="AH840" s="40">
        <f>IFERROR(VLOOKUP(Tabela3[[#This Row],[Produto]],Tabela2[],7,0),0)</f>
        <v>0</v>
      </c>
      <c r="AI840" s="40">
        <f>IFERROR(VLOOKUP(Tabela3[[#This Row],[Produto]],Tabela2[],8,0),0)</f>
        <v>0</v>
      </c>
      <c r="AJ840" s="35">
        <f ca="1">IFERROR(VLOOKUP(Tabela3[[#This Row],[Produto]],Tabela2[],13,0),0)</f>
        <v>15.600000000000001</v>
      </c>
      <c r="AK840" s="40" t="str">
        <f>IFERROR(VLOOKUP(Tabela3[[#This Row],[Produto]],Tabela2[],14,0),0)</f>
        <v>Senun</v>
      </c>
      <c r="AL840" s="40">
        <f>IFERROR(VLOOKUP(Tabela3[[#This Row],[Produto]],Tabela2[],15,0),0)</f>
        <v>4</v>
      </c>
      <c r="AM840" s="36">
        <f ca="1">(Tabela3[[#This Row],[Custo Usinagem]]+Tabela3[[#This Row],[Custo / Pç]])*1.2</f>
        <v>21.053770819415202</v>
      </c>
      <c r="AN840" s="36">
        <f ca="1">Tabela3[[#This Row],[Valor Mínimo Venda]]*1.15</f>
        <v>24.211836442327481</v>
      </c>
      <c r="AO840" s="36">
        <f ca="1">Tabela3[[#This Row],[Tabela 1]]*1.08</f>
        <v>26.148783357713683</v>
      </c>
      <c r="AP840" s="36">
        <f ca="1">Tabela3[[#This Row],[Tabela 2]]*1.15</f>
        <v>30.071100861370734</v>
      </c>
    </row>
    <row r="841" spans="1:42">
      <c r="A841" s="69">
        <v>45980</v>
      </c>
      <c r="B841" s="6" t="s">
        <v>246</v>
      </c>
      <c r="C841" s="14">
        <v>5415</v>
      </c>
      <c r="D841" s="6" t="s">
        <v>46</v>
      </c>
      <c r="E841" s="6" t="s">
        <v>44</v>
      </c>
      <c r="F841" s="6">
        <v>42</v>
      </c>
      <c r="G841" s="15">
        <v>0.22361111111111112</v>
      </c>
      <c r="H841" s="16">
        <v>0</v>
      </c>
      <c r="I841" s="35">
        <f ca="1">IFERROR(Tabela3[[#This Row],[Custo Total]]/Tabela3[[#This Row],[Aluminio Util]],0)</f>
        <v>24.960607030824267</v>
      </c>
      <c r="J841" s="35">
        <f ca="1">Tabela3[[#This Row],[Custo Total]]/Tabela3[[#This Row],[Realizado]]</f>
        <v>13.304003547429337</v>
      </c>
      <c r="K841" s="37">
        <f>IFERROR(Tabela3[[#This Row],[Qtde Cx Produzida]]/Tabela3[[#This Row],[Tempo]]/24,0)</f>
        <v>7.8260869565217384</v>
      </c>
      <c r="L841" s="37">
        <f>Tabela3[[#This Row],[Qtde Cx Produzida]]*Tabela3[[#This Row],[Qdt Peça Placa]]</f>
        <v>168</v>
      </c>
      <c r="M841" s="37">
        <f>Tabela3[[#This Row],[Previsto]]-Tabela3[[#This Row],[Perda Pçs]]</f>
        <v>168</v>
      </c>
      <c r="N841" s="38">
        <f>IFERROR(Tabela3[[#This Row],[Perda Pçs]]/Tabela3[[#This Row],[Previsto]],0)</f>
        <v>0</v>
      </c>
      <c r="O841" s="39">
        <f>IFERROR(IF(Tabela3[[#This Row],[Qtde Cx Produzida]] &lt;&gt; 0, Tabela3[[#This Row],[Tempo]] / Tabela3[[#This Row],[Qtde Cx Produzida]], 0),0)</f>
        <v>5.324074074074074E-3</v>
      </c>
      <c r="P841" s="57">
        <f>IFERROR(Tabela3[[#This Row],[Perda Pçs]]/Tabela3[[#This Row],[Qdt Peça Placa]],0)</f>
        <v>0</v>
      </c>
      <c r="Q841" s="37">
        <f>IFERROR(Tabela3[[#This Row],[Realizado]]*Tabela3[[#This Row],[Peso Util/Pç]],0)</f>
        <v>89.544000000000011</v>
      </c>
      <c r="R841" s="37">
        <f>IFERROR(Tabela3[[#This Row],[Peso Total Galho]]*Tabela3[[#This Row],[Qtde Cx Produzida]]*1.055,0)</f>
        <v>146.22299999999998</v>
      </c>
      <c r="S841" s="37">
        <f>(Tabela3[[#This Row],[Aluminio Bruto]]-Tabela3[[#This Row],[Aluminio Util]])*0.9</f>
        <v>51.011099999999978</v>
      </c>
      <c r="T841" s="37">
        <f>Tabela3[[#This Row],[Aluminio Bruto]]/OleoKGAluminio</f>
        <v>61.515827035477415</v>
      </c>
      <c r="U841" s="35">
        <f>IFERROR((VLOOKUP(Tabela3[[#This Row],[Moldador]],Tabela1[],5,)+(VLOOKUP(Tabela3[[#This Row],[Ajudante]],Tabela1[],5,))*3.5),0)</f>
        <v>126.0945</v>
      </c>
      <c r="V841" s="35">
        <f>IFERROR(Tabela3[[#This Row],[Custo M.O. / H]]/((Tabela3[[#This Row],[Realizado]]/Tabela3[[#This Row],[Qdt Peça Placa]])/Tabela3[[#This Row],[Tempo]]/24),)</f>
        <v>16.112075000000001</v>
      </c>
      <c r="W841" s="35">
        <f>Tabela3[[#This Row],[Custo / Cx Moldada]]*Tabela3[[#This Row],[Qtde Cx Produzida]]</f>
        <v>676.70715000000007</v>
      </c>
      <c r="X841" s="35">
        <f ca="1">Tabela3[[#This Row],[Aluminio Util]]*Tabela3[[#This Row],[Custo/Kg]]</f>
        <v>1396.8864000000003</v>
      </c>
      <c r="Y841" s="35">
        <f>IFERROR(VLOOKUP(Tabela3[[#This Row],[Data]],Tabela461213[],2,1)*(Tabela3[[#This Row],[Qtde Cx Produzida]]*Tabela3[[#This Row],[Qde macho / CX]]*Tabela3[[#This Row],[Peso Macho]]),)</f>
        <v>0</v>
      </c>
      <c r="Z841" s="35">
        <f>IFERROR(Tabela3[[#This Row],[Qtde Oleo]]*(VLOOKUP(Tabela3[[#This Row],[Data]],CompraOleo[],3,TRUE))*1.05,0)</f>
        <v>161.47904596812822</v>
      </c>
      <c r="AA841" s="47">
        <f ca="1">(Tabela3[[#This Row],[Custo Oleo]]+Tabela3[[#This Row],[Custo Aluminio]]+Tabela3[[#This Row],[Custo M.O. Total]]+Tabela3[[#This Row],[Custo Machos]])</f>
        <v>2235.0725959681286</v>
      </c>
      <c r="AB841" s="47">
        <f ca="1">Tabela3[[#This Row],[Custo Total]]*Tabela3[[#This Row],[% Perda]]</f>
        <v>0</v>
      </c>
      <c r="AC841" s="48">
        <f>IFERROR(VLOOKUP(Tabela3[[#This Row],[Produto]],Tabela2[],2,0),0)</f>
        <v>4</v>
      </c>
      <c r="AD841" s="48">
        <f>IFERROR(VLOOKUP(Tabela3[[#This Row],[Produto]],Tabela2[],3,0),0)</f>
        <v>0.53300000000000003</v>
      </c>
      <c r="AE841" s="48">
        <f>IFERROR(VLOOKUP(Tabela3[[#This Row],[Produto]],Tabela2[],4,0),0)</f>
        <v>3.3</v>
      </c>
      <c r="AF841" s="48">
        <f>IFERROR(VLOOKUP(Tabela3[[#This Row],[Produto]],Tabela2[],5,0),0)</f>
        <v>1.0511999999999997</v>
      </c>
      <c r="AG841" s="40">
        <f>IFERROR(VLOOKUP(Tabela3[[#This Row],[Produto]],Tabela2[],6,0),0)</f>
        <v>0</v>
      </c>
      <c r="AH841" s="40">
        <f>IFERROR(VLOOKUP(Tabela3[[#This Row],[Produto]],Tabela2[],7,0),0)</f>
        <v>0</v>
      </c>
      <c r="AI841" s="40">
        <f>IFERROR(VLOOKUP(Tabela3[[#This Row],[Produto]],Tabela2[],8,0),0)</f>
        <v>0</v>
      </c>
      <c r="AJ841" s="35">
        <f ca="1">IFERROR(VLOOKUP(Tabela3[[#This Row],[Produto]],Tabela2[],13,0),0)</f>
        <v>15.600000000000001</v>
      </c>
      <c r="AK841" s="40" t="str">
        <f>IFERROR(VLOOKUP(Tabela3[[#This Row],[Produto]],Tabela2[],14,0),0)</f>
        <v>Senun</v>
      </c>
      <c r="AL841" s="40">
        <f>IFERROR(VLOOKUP(Tabela3[[#This Row],[Produto]],Tabela2[],15,0),0)</f>
        <v>4</v>
      </c>
      <c r="AM841" s="36">
        <f ca="1">(Tabela3[[#This Row],[Custo Usinagem]]+Tabela3[[#This Row],[Custo / Pç]])*1.2</f>
        <v>20.764804256915205</v>
      </c>
      <c r="AN841" s="36">
        <f ca="1">Tabela3[[#This Row],[Valor Mínimo Venda]]*1.15</f>
        <v>23.879524895452484</v>
      </c>
      <c r="AO841" s="36">
        <f ca="1">Tabela3[[#This Row],[Tabela 1]]*1.08</f>
        <v>25.789886887088684</v>
      </c>
      <c r="AP841" s="36">
        <f ca="1">Tabela3[[#This Row],[Tabela 2]]*1.15</f>
        <v>29.658369920151983</v>
      </c>
    </row>
    <row r="842" spans="1:42">
      <c r="A842" s="69">
        <v>45980</v>
      </c>
      <c r="B842" s="6" t="s">
        <v>236</v>
      </c>
      <c r="C842" s="14">
        <v>8303</v>
      </c>
      <c r="D842" s="6" t="s">
        <v>46</v>
      </c>
      <c r="E842" s="6" t="s">
        <v>44</v>
      </c>
      <c r="F842" s="6">
        <v>21</v>
      </c>
      <c r="G842" s="15">
        <v>0.13541666666666666</v>
      </c>
      <c r="H842" s="16">
        <v>0</v>
      </c>
      <c r="I842" s="35">
        <f ca="1">IFERROR(Tabela3[[#This Row],[Custo Total]]/Tabela3[[#This Row],[Aluminio Util]],0)</f>
        <v>27.75334491207969</v>
      </c>
      <c r="J842" s="35">
        <f ca="1">Tabela3[[#This Row],[Custo Total]]/Tabela3[[#This Row],[Realizado]]</f>
        <v>8.3815101634480662</v>
      </c>
      <c r="K842" s="37">
        <f>IFERROR(Tabela3[[#This Row],[Qtde Cx Produzida]]/Tabela3[[#This Row],[Tempo]]/24,0)</f>
        <v>6.4615384615384626</v>
      </c>
      <c r="L842" s="37">
        <f>Tabela3[[#This Row],[Qtde Cx Produzida]]*Tabela3[[#This Row],[Qdt Peça Placa]]</f>
        <v>126</v>
      </c>
      <c r="M842" s="37">
        <f>Tabela3[[#This Row],[Previsto]]-Tabela3[[#This Row],[Perda Pçs]]</f>
        <v>126</v>
      </c>
      <c r="N842" s="38">
        <f>IFERROR(Tabela3[[#This Row],[Perda Pçs]]/Tabela3[[#This Row],[Previsto]],0)</f>
        <v>0</v>
      </c>
      <c r="O842" s="39">
        <f>IFERROR(IF(Tabela3[[#This Row],[Qtde Cx Produzida]] &lt;&gt; 0, Tabela3[[#This Row],[Tempo]] / Tabela3[[#This Row],[Qtde Cx Produzida]], 0),0)</f>
        <v>6.4484126984126981E-3</v>
      </c>
      <c r="P842" s="57">
        <f>IFERROR(Tabela3[[#This Row],[Perda Pçs]]/Tabela3[[#This Row],[Qdt Peça Placa]],0)</f>
        <v>0</v>
      </c>
      <c r="Q842" s="37">
        <f>IFERROR(Tabela3[[#This Row],[Realizado]]*Tabela3[[#This Row],[Peso Util/Pç]],0)</f>
        <v>38.052</v>
      </c>
      <c r="R842" s="37">
        <f>IFERROR(Tabela3[[#This Row],[Peso Total Galho]]*Tabela3[[#This Row],[Qtde Cx Produzida]]*1.055,0)</f>
        <v>47.67756</v>
      </c>
      <c r="S842" s="37">
        <f>(Tabela3[[#This Row],[Aluminio Bruto]]-Tabela3[[#This Row],[Aluminio Util]])*0.9</f>
        <v>8.6630040000000008</v>
      </c>
      <c r="T842" s="37">
        <f>Tabela3[[#This Row],[Aluminio Bruto]]/OleoKGAluminio</f>
        <v>20.057887845507182</v>
      </c>
      <c r="U842" s="35">
        <f>IFERROR((VLOOKUP(Tabela3[[#This Row],[Moldador]],Tabela1[],5,)+(VLOOKUP(Tabela3[[#This Row],[Ajudante]],Tabela1[],5,))*3.5),0)</f>
        <v>126.0945</v>
      </c>
      <c r="V842" s="35">
        <f>IFERROR(Tabela3[[#This Row],[Custo M.O. / H]]/((Tabela3[[#This Row],[Realizado]]/Tabela3[[#This Row],[Qdt Peça Placa]])/Tabela3[[#This Row],[Tempo]]/24),)</f>
        <v>19.514624999999995</v>
      </c>
      <c r="W842" s="35">
        <f>Tabela3[[#This Row],[Custo / Cx Moldada]]*Tabela3[[#This Row],[Qtde Cx Produzida]]</f>
        <v>409.80712499999993</v>
      </c>
      <c r="X842" s="35">
        <f ca="1">Tabela3[[#This Row],[Aluminio Util]]*Tabela3[[#This Row],[Custo/Kg]]</f>
        <v>593.61120000000005</v>
      </c>
      <c r="Y842" s="35">
        <f>IFERROR(VLOOKUP(Tabela3[[#This Row],[Data]],Tabela461213[],2,1)*(Tabela3[[#This Row],[Qtde Cx Produzida]]*Tabela3[[#This Row],[Qde macho / CX]]*Tabela3[[#This Row],[Peso Macho]]),)</f>
        <v>0</v>
      </c>
      <c r="Z842" s="35">
        <f>IFERROR(Tabela3[[#This Row],[Qtde Oleo]]*(VLOOKUP(Tabela3[[#This Row],[Data]],CompraOleo[],3,TRUE))*1.05,0)</f>
        <v>52.651955594456354</v>
      </c>
      <c r="AA842" s="47">
        <f ca="1">(Tabela3[[#This Row],[Custo Oleo]]+Tabela3[[#This Row],[Custo Aluminio]]+Tabela3[[#This Row],[Custo M.O. Total]]+Tabela3[[#This Row],[Custo Machos]])</f>
        <v>1056.0702805944563</v>
      </c>
      <c r="AB842" s="47">
        <f ca="1">Tabela3[[#This Row],[Custo Total]]*Tabela3[[#This Row],[% Perda]]</f>
        <v>0</v>
      </c>
      <c r="AC842" s="48">
        <f>IFERROR(VLOOKUP(Tabela3[[#This Row],[Produto]],Tabela2[],2,0),0)</f>
        <v>6</v>
      </c>
      <c r="AD842" s="48">
        <f>IFERROR(VLOOKUP(Tabela3[[#This Row],[Produto]],Tabela2[],3,0),0)</f>
        <v>0.30199999999999999</v>
      </c>
      <c r="AE842" s="48">
        <f>IFERROR(VLOOKUP(Tabela3[[#This Row],[Produto]],Tabela2[],4,0),0)</f>
        <v>2.1520000000000001</v>
      </c>
      <c r="AF842" s="48">
        <f>IFERROR(VLOOKUP(Tabela3[[#This Row],[Produto]],Tabela2[],5,0),0)</f>
        <v>0.30600000000000027</v>
      </c>
      <c r="AG842" s="40">
        <f>IFERROR(VLOOKUP(Tabela3[[#This Row],[Produto]],Tabela2[],6,0),0)</f>
        <v>0</v>
      </c>
      <c r="AH842" s="40">
        <f>IFERROR(VLOOKUP(Tabela3[[#This Row],[Produto]],Tabela2[],7,0),0)</f>
        <v>0</v>
      </c>
      <c r="AI842" s="40">
        <f>IFERROR(VLOOKUP(Tabela3[[#This Row],[Produto]],Tabela2[],8,0),0)</f>
        <v>0</v>
      </c>
      <c r="AJ842" s="35">
        <f ca="1">IFERROR(VLOOKUP(Tabela3[[#This Row],[Produto]],Tabela2[],13,0),0)</f>
        <v>15.600000000000001</v>
      </c>
      <c r="AK842" s="40" t="str">
        <f>IFERROR(VLOOKUP(Tabela3[[#This Row],[Produto]],Tabela2[],14,0),0)</f>
        <v>Senun</v>
      </c>
      <c r="AL842" s="40">
        <f>IFERROR(VLOOKUP(Tabela3[[#This Row],[Produto]],Tabela2[],15,0),0)</f>
        <v>4</v>
      </c>
      <c r="AM842" s="36">
        <f ca="1">(Tabela3[[#This Row],[Custo Usinagem]]+Tabela3[[#This Row],[Custo / Pç]])*1.2</f>
        <v>14.857812196137679</v>
      </c>
      <c r="AN842" s="36">
        <f ca="1">Tabela3[[#This Row],[Valor Mínimo Venda]]*1.15</f>
        <v>17.086484025558331</v>
      </c>
      <c r="AO842" s="36">
        <f ca="1">Tabela3[[#This Row],[Tabela 1]]*1.08</f>
        <v>18.453402747603</v>
      </c>
      <c r="AP842" s="36">
        <f ca="1">Tabela3[[#This Row],[Tabela 2]]*1.15</f>
        <v>21.221413159743449</v>
      </c>
    </row>
    <row r="843" spans="1:42">
      <c r="A843" s="69">
        <v>45981</v>
      </c>
      <c r="B843" s="6" t="s">
        <v>119</v>
      </c>
      <c r="C843" s="14">
        <v>8430</v>
      </c>
      <c r="D843" s="6" t="s">
        <v>46</v>
      </c>
      <c r="E843" s="6" t="s">
        <v>44</v>
      </c>
      <c r="F843" s="6">
        <v>15</v>
      </c>
      <c r="G843" s="15">
        <v>0.10069444444444445</v>
      </c>
      <c r="H843" s="16">
        <v>5</v>
      </c>
      <c r="I843" s="35">
        <f ca="1">IFERROR(Tabela3[[#This Row],[Custo Total]]/Tabela3[[#This Row],[Aluminio Util]],0)</f>
        <v>36.543603030927542</v>
      </c>
      <c r="J843" s="35">
        <f ca="1">Tabela3[[#This Row],[Custo Total]]/Tabela3[[#This Row],[Realizado]]</f>
        <v>113.28516939587539</v>
      </c>
      <c r="K843" s="37">
        <f>IFERROR(Tabela3[[#This Row],[Qtde Cx Produzida]]/Tabela3[[#This Row],[Tempo]]/24,0)</f>
        <v>6.2068965517241379</v>
      </c>
      <c r="L843" s="37">
        <f>Tabela3[[#This Row],[Qtde Cx Produzida]]*Tabela3[[#This Row],[Qdt Peça Placa]]</f>
        <v>15</v>
      </c>
      <c r="M843" s="37">
        <f>Tabela3[[#This Row],[Previsto]]-Tabela3[[#This Row],[Perda Pçs]]</f>
        <v>10</v>
      </c>
      <c r="N843" s="38">
        <f>IFERROR(Tabela3[[#This Row],[Perda Pçs]]/Tabela3[[#This Row],[Previsto]],0)</f>
        <v>0.33333333333333331</v>
      </c>
      <c r="O843" s="39">
        <f>IFERROR(IF(Tabela3[[#This Row],[Qtde Cx Produzida]] &lt;&gt; 0, Tabela3[[#This Row],[Tempo]] / Tabela3[[#This Row],[Qtde Cx Produzida]], 0),0)</f>
        <v>6.7129629629629631E-3</v>
      </c>
      <c r="P843" s="57">
        <f>IFERROR(Tabela3[[#This Row],[Perda Pçs]]/Tabela3[[#This Row],[Qdt Peça Placa]],0)</f>
        <v>5</v>
      </c>
      <c r="Q843" s="37">
        <f>IFERROR(Tabela3[[#This Row],[Realizado]]*Tabela3[[#This Row],[Peso Util/Pç]],0)</f>
        <v>31</v>
      </c>
      <c r="R843" s="37">
        <f>IFERROR(Tabela3[[#This Row],[Peso Total Galho]]*Tabela3[[#This Row],[Qtde Cx Produzida]]*1.055,0)</f>
        <v>60.134999999999998</v>
      </c>
      <c r="S843" s="37">
        <f>(Tabela3[[#This Row],[Aluminio Bruto]]-Tabela3[[#This Row],[Aluminio Util]])*0.9</f>
        <v>26.221499999999999</v>
      </c>
      <c r="T843" s="37">
        <f>Tabela3[[#This Row],[Aluminio Bruto]]/OleoKGAluminio</f>
        <v>25.298716746192014</v>
      </c>
      <c r="U843" s="35">
        <f>IFERROR((VLOOKUP(Tabela3[[#This Row],[Moldador]],Tabela1[],5,)+(VLOOKUP(Tabela3[[#This Row],[Ajudante]],Tabela1[],5,))*3.5),0)</f>
        <v>126.0945</v>
      </c>
      <c r="V843" s="35">
        <f>IFERROR(Tabela3[[#This Row],[Custo M.O. / H]]/((Tabela3[[#This Row],[Realizado]]/Tabela3[[#This Row],[Qdt Peça Placa]])/Tabela3[[#This Row],[Tempo]]/24),)</f>
        <v>30.472837499999997</v>
      </c>
      <c r="W843" s="35">
        <f>Tabela3[[#This Row],[Custo / Cx Moldada]]*Tabela3[[#This Row],[Qtde Cx Produzida]]</f>
        <v>457.09256249999999</v>
      </c>
      <c r="X843" s="35">
        <f ca="1">Tabela3[[#This Row],[Aluminio Util]]*Tabela3[[#This Row],[Custo/Kg]]</f>
        <v>545.6</v>
      </c>
      <c r="Y843" s="35">
        <f>IFERROR(VLOOKUP(Tabela3[[#This Row],[Data]],Tabela461213[],2,1)*(Tabela3[[#This Row],[Qtde Cx Produzida]]*Tabela3[[#This Row],[Qde macho / CX]]*Tabela3[[#This Row],[Peso Macho]]),)</f>
        <v>63.75</v>
      </c>
      <c r="Z843" s="35">
        <f>IFERROR(Tabela3[[#This Row],[Qtde Oleo]]*(VLOOKUP(Tabela3[[#This Row],[Data]],CompraOleo[],3,TRUE))*1.05,0)</f>
        <v>66.409131458754032</v>
      </c>
      <c r="AA843" s="47">
        <f ca="1">(Tabela3[[#This Row],[Custo Oleo]]+Tabela3[[#This Row],[Custo Aluminio]]+Tabela3[[#This Row],[Custo M.O. Total]]+Tabela3[[#This Row],[Custo Machos]])</f>
        <v>1132.8516939587539</v>
      </c>
      <c r="AB843" s="47">
        <f ca="1">Tabela3[[#This Row],[Custo Total]]*Tabela3[[#This Row],[% Perda]]</f>
        <v>377.61723131958462</v>
      </c>
      <c r="AC843" s="48">
        <f>IFERROR(VLOOKUP(Tabela3[[#This Row],[Produto]],Tabela2[],2,0),0)</f>
        <v>1</v>
      </c>
      <c r="AD843" s="48">
        <f>IFERROR(VLOOKUP(Tabela3[[#This Row],[Produto]],Tabela2[],3,0),0)</f>
        <v>3.1</v>
      </c>
      <c r="AE843" s="48">
        <f>IFERROR(VLOOKUP(Tabela3[[#This Row],[Produto]],Tabela2[],4,0),0)</f>
        <v>3.8</v>
      </c>
      <c r="AF843" s="48">
        <f>IFERROR(VLOOKUP(Tabela3[[#This Row],[Produto]],Tabela2[],5,0),0)</f>
        <v>0.62999999999999978</v>
      </c>
      <c r="AG843" s="40">
        <f>IFERROR(VLOOKUP(Tabela3[[#This Row],[Produto]],Tabela2[],6,0),0)</f>
        <v>0</v>
      </c>
      <c r="AH843" s="40">
        <f>IFERROR(VLOOKUP(Tabela3[[#This Row],[Produto]],Tabela2[],7,0),0)</f>
        <v>2</v>
      </c>
      <c r="AI843" s="40">
        <f>IFERROR(VLOOKUP(Tabela3[[#This Row],[Produto]],Tabela2[],8,0),0)</f>
        <v>1.25</v>
      </c>
      <c r="AJ843" s="35">
        <f ca="1">IFERROR(VLOOKUP(Tabela3[[#This Row],[Produto]],Tabela2[],13,0),0)</f>
        <v>17.600000000000001</v>
      </c>
      <c r="AK843" s="40" t="str">
        <f>IFERROR(VLOOKUP(Tabela3[[#This Row],[Produto]],Tabela2[],14,0),0)</f>
        <v>Oscar</v>
      </c>
      <c r="AL843" s="40">
        <f>IFERROR(VLOOKUP(Tabela3[[#This Row],[Produto]],Tabela2[],15,0),0)</f>
        <v>20</v>
      </c>
      <c r="AM843" s="36">
        <f ca="1">(Tabela3[[#This Row],[Custo Usinagem]]+Tabela3[[#This Row],[Custo / Pç]])*1.2</f>
        <v>159.94220327505045</v>
      </c>
      <c r="AN843" s="36">
        <f ca="1">Tabela3[[#This Row],[Valor Mínimo Venda]]*1.15</f>
        <v>183.93353376630799</v>
      </c>
      <c r="AO843" s="36">
        <f ca="1">Tabela3[[#This Row],[Tabela 1]]*1.08</f>
        <v>198.64821646761263</v>
      </c>
      <c r="AP843" s="36">
        <f ca="1">Tabela3[[#This Row],[Tabela 2]]*1.15</f>
        <v>228.44544893775449</v>
      </c>
    </row>
    <row r="844" spans="1:42">
      <c r="A844" s="69">
        <v>45981</v>
      </c>
      <c r="B844" s="6" t="s">
        <v>105</v>
      </c>
      <c r="C844" s="14">
        <v>8426</v>
      </c>
      <c r="D844" s="6" t="s">
        <v>46</v>
      </c>
      <c r="E844" s="6" t="s">
        <v>44</v>
      </c>
      <c r="F844" s="6">
        <v>5</v>
      </c>
      <c r="G844" s="15">
        <v>3.4722222222222224E-2</v>
      </c>
      <c r="H844" s="16">
        <v>0</v>
      </c>
      <c r="I844" s="35">
        <f ca="1">IFERROR(Tabela3[[#This Row],[Custo Total]]/Tabela3[[#This Row],[Aluminio Util]],0)</f>
        <v>23.961527809560966</v>
      </c>
      <c r="J844" s="35">
        <f ca="1">Tabela3[[#This Row],[Custo Total]]/Tabela3[[#This Row],[Realizado]]</f>
        <v>18.689991691457557</v>
      </c>
      <c r="K844" s="37">
        <f>IFERROR(Tabela3[[#This Row],[Qtde Cx Produzida]]/Tabela3[[#This Row],[Tempo]]/24,0)</f>
        <v>6</v>
      </c>
      <c r="L844" s="37">
        <f>Tabela3[[#This Row],[Qtde Cx Produzida]]*Tabela3[[#This Row],[Qdt Peça Placa]]</f>
        <v>30</v>
      </c>
      <c r="M844" s="37">
        <f>Tabela3[[#This Row],[Previsto]]-Tabela3[[#This Row],[Perda Pçs]]</f>
        <v>30</v>
      </c>
      <c r="N844" s="38">
        <f>IFERROR(Tabela3[[#This Row],[Perda Pçs]]/Tabela3[[#This Row],[Previsto]],0)</f>
        <v>0</v>
      </c>
      <c r="O844" s="39">
        <f>IFERROR(IF(Tabela3[[#This Row],[Qtde Cx Produzida]] &lt;&gt; 0, Tabela3[[#This Row],[Tempo]] / Tabela3[[#This Row],[Qtde Cx Produzida]], 0),0)</f>
        <v>6.9444444444444449E-3</v>
      </c>
      <c r="P844" s="57">
        <f>IFERROR(Tabela3[[#This Row],[Perda Pçs]]/Tabela3[[#This Row],[Qdt Peça Placa]],0)</f>
        <v>0</v>
      </c>
      <c r="Q844" s="37">
        <f>IFERROR(Tabela3[[#This Row],[Realizado]]*Tabela3[[#This Row],[Peso Util/Pç]],0)</f>
        <v>23.400000000000002</v>
      </c>
      <c r="R844" s="37">
        <f>IFERROR(Tabela3[[#This Row],[Peso Total Galho]]*Tabela3[[#This Row],[Qtde Cx Produzida]]*1.055,0)</f>
        <v>43.676999999999992</v>
      </c>
      <c r="S844" s="37">
        <f>(Tabela3[[#This Row],[Aluminio Bruto]]-Tabela3[[#This Row],[Aluminio Util]])*0.9</f>
        <v>18.249299999999991</v>
      </c>
      <c r="T844" s="37">
        <f>Tabela3[[#This Row],[Aluminio Bruto]]/OleoKGAluminio</f>
        <v>18.374857426181563</v>
      </c>
      <c r="U844" s="35">
        <f>IFERROR((VLOOKUP(Tabela3[[#This Row],[Moldador]],Tabela1[],5,)+(VLOOKUP(Tabela3[[#This Row],[Ajudante]],Tabela1[],5,))*3.5),0)</f>
        <v>126.0945</v>
      </c>
      <c r="V844" s="35">
        <f>IFERROR(Tabela3[[#This Row],[Custo M.O. / H]]/((Tabela3[[#This Row],[Realizado]]/Tabela3[[#This Row],[Qdt Peça Placa]])/Tabela3[[#This Row],[Tempo]]/24),)</f>
        <v>21.015750000000001</v>
      </c>
      <c r="W844" s="35">
        <f>Tabela3[[#This Row],[Custo / Cx Moldada]]*Tabela3[[#This Row],[Qtde Cx Produzida]]</f>
        <v>105.07875</v>
      </c>
      <c r="X844" s="35">
        <f ca="1">Tabela3[[#This Row],[Aluminio Util]]*Tabela3[[#This Row],[Custo/Kg]]</f>
        <v>365.04000000000008</v>
      </c>
      <c r="Y844" s="35">
        <f>IFERROR(VLOOKUP(Tabela3[[#This Row],[Data]],Tabela461213[],2,1)*(Tabela3[[#This Row],[Qtde Cx Produzida]]*Tabela3[[#This Row],[Qde macho / CX]]*Tabela3[[#This Row],[Peso Macho]]),)</f>
        <v>42.347000000000001</v>
      </c>
      <c r="Z844" s="35">
        <f>IFERROR(Tabela3[[#This Row],[Qtde Oleo]]*(VLOOKUP(Tabela3[[#This Row],[Data]],CompraOleo[],3,TRUE))*1.05,0)</f>
        <v>48.234000743726604</v>
      </c>
      <c r="AA844" s="47">
        <f ca="1">(Tabela3[[#This Row],[Custo Oleo]]+Tabela3[[#This Row],[Custo Aluminio]]+Tabela3[[#This Row],[Custo M.O. Total]]+Tabela3[[#This Row],[Custo Machos]])</f>
        <v>560.69975074372667</v>
      </c>
      <c r="AB844" s="47">
        <f ca="1">Tabela3[[#This Row],[Custo Total]]*Tabela3[[#This Row],[% Perda]]</f>
        <v>0</v>
      </c>
      <c r="AC844" s="48">
        <f>IFERROR(VLOOKUP(Tabela3[[#This Row],[Produto]],Tabela2[],2,0),0)</f>
        <v>6</v>
      </c>
      <c r="AD844" s="48">
        <f>IFERROR(VLOOKUP(Tabela3[[#This Row],[Produto]],Tabela2[],3,0),0)</f>
        <v>0.78</v>
      </c>
      <c r="AE844" s="48">
        <f>IFERROR(VLOOKUP(Tabela3[[#This Row],[Produto]],Tabela2[],4,0),0)</f>
        <v>8.2799999999999994</v>
      </c>
      <c r="AF844" s="48">
        <f>IFERROR(VLOOKUP(Tabela3[[#This Row],[Produto]],Tabela2[],5,0),0)</f>
        <v>3.2399999999999998</v>
      </c>
      <c r="AG844" s="40">
        <f>IFERROR(VLOOKUP(Tabela3[[#This Row],[Produto]],Tabela2[],6,0),0)</f>
        <v>0</v>
      </c>
      <c r="AH844" s="40">
        <f>IFERROR(VLOOKUP(Tabela3[[#This Row],[Produto]],Tabela2[],7,0),0)</f>
        <v>1</v>
      </c>
      <c r="AI844" s="40">
        <f>IFERROR(VLOOKUP(Tabela3[[#This Row],[Produto]],Tabela2[],8,0),0)</f>
        <v>4.9820000000000002</v>
      </c>
      <c r="AJ844" s="35">
        <f ca="1">IFERROR(VLOOKUP(Tabela3[[#This Row],[Produto]],Tabela2[],13,0),0)</f>
        <v>15.600000000000001</v>
      </c>
      <c r="AK844" s="40" t="str">
        <f>IFERROR(VLOOKUP(Tabela3[[#This Row],[Produto]],Tabela2[],14,0),0)</f>
        <v>Jumil</v>
      </c>
      <c r="AL844" s="40">
        <f>IFERROR(VLOOKUP(Tabela3[[#This Row],[Produto]],Tabela2[],15,0),0)</f>
        <v>10</v>
      </c>
      <c r="AM844" s="36">
        <f ca="1">(Tabela3[[#This Row],[Custo Usinagem]]+Tabela3[[#This Row],[Custo / Pç]])*1.2</f>
        <v>34.427990029749068</v>
      </c>
      <c r="AN844" s="36">
        <f ca="1">Tabela3[[#This Row],[Valor Mínimo Venda]]*1.15</f>
        <v>39.592188534211424</v>
      </c>
      <c r="AO844" s="36">
        <f ca="1">Tabela3[[#This Row],[Tabela 1]]*1.08</f>
        <v>42.759563616948341</v>
      </c>
      <c r="AP844" s="36">
        <f ca="1">Tabela3[[#This Row],[Tabela 2]]*1.15</f>
        <v>49.173498159490592</v>
      </c>
    </row>
    <row r="845" spans="1:42">
      <c r="A845" s="69">
        <v>45985</v>
      </c>
      <c r="B845" s="6" t="s">
        <v>232</v>
      </c>
      <c r="C845" s="14">
        <v>8375</v>
      </c>
      <c r="D845" s="6" t="s">
        <v>46</v>
      </c>
      <c r="E845" s="6" t="s">
        <v>44</v>
      </c>
      <c r="F845" s="6">
        <v>59</v>
      </c>
      <c r="G845" s="15">
        <v>0.30833333333333335</v>
      </c>
      <c r="H845" s="16">
        <v>7</v>
      </c>
      <c r="I845" s="35">
        <f ca="1">IFERROR(Tabela3[[#This Row],[Custo Total]]/Tabela3[[#This Row],[Aluminio Util]],0)</f>
        <v>29.86739722432613</v>
      </c>
      <c r="J845" s="35">
        <f ca="1">Tabela3[[#This Row],[Custo Total]]/Tabela3[[#This Row],[Realizado]]</f>
        <v>12.574174231441299</v>
      </c>
      <c r="K845" s="37">
        <f>IFERROR(Tabela3[[#This Row],[Qtde Cx Produzida]]/Tabela3[[#This Row],[Tempo]]/24,0)</f>
        <v>7.9729729729729728</v>
      </c>
      <c r="L845" s="37">
        <f>Tabela3[[#This Row],[Qtde Cx Produzida]]*Tabela3[[#This Row],[Qdt Peça Placa]]</f>
        <v>236</v>
      </c>
      <c r="M845" s="37">
        <f>Tabela3[[#This Row],[Previsto]]-Tabela3[[#This Row],[Perda Pçs]]</f>
        <v>229</v>
      </c>
      <c r="N845" s="38">
        <f>IFERROR(Tabela3[[#This Row],[Perda Pçs]]/Tabela3[[#This Row],[Previsto]],0)</f>
        <v>2.9661016949152543E-2</v>
      </c>
      <c r="O845" s="39">
        <f>IFERROR(IF(Tabela3[[#This Row],[Qtde Cx Produzida]] &lt;&gt; 0, Tabela3[[#This Row],[Tempo]] / Tabela3[[#This Row],[Qtde Cx Produzida]], 0),0)</f>
        <v>5.2259887005649723E-3</v>
      </c>
      <c r="P845" s="57">
        <f>IFERROR(Tabela3[[#This Row],[Perda Pçs]]/Tabela3[[#This Row],[Qdt Peça Placa]],0)</f>
        <v>1.75</v>
      </c>
      <c r="Q845" s="37">
        <f>IFERROR(Tabela3[[#This Row],[Realizado]]*Tabela3[[#This Row],[Peso Util/Pç]],0)</f>
        <v>96.408999999999992</v>
      </c>
      <c r="R845" s="37">
        <f>IFERROR(Tabela3[[#This Row],[Peso Total Galho]]*Tabela3[[#This Row],[Qtde Cx Produzida]]*1.055,0)</f>
        <v>200.17991999999998</v>
      </c>
      <c r="S845" s="37">
        <f>(Tabela3[[#This Row],[Aluminio Bruto]]-Tabela3[[#This Row],[Aluminio Util]])*0.9</f>
        <v>93.393827999999999</v>
      </c>
      <c r="T845" s="37">
        <f>Tabela3[[#This Row],[Aluminio Bruto]]/OleoKGAluminio</f>
        <v>84.215433513850115</v>
      </c>
      <c r="U845" s="35">
        <f>IFERROR((VLOOKUP(Tabela3[[#This Row],[Moldador]],Tabela1[],5,)+(VLOOKUP(Tabela3[[#This Row],[Ajudante]],Tabela1[],5,))*3.5),0)</f>
        <v>126.0945</v>
      </c>
      <c r="V845" s="35">
        <f>IFERROR(Tabela3[[#This Row],[Custo M.O. / H]]/((Tabela3[[#This Row],[Realizado]]/Tabela3[[#This Row],[Qdt Peça Placa]])/Tabela3[[#This Row],[Tempo]]/24),)</f>
        <v>16.298677729257641</v>
      </c>
      <c r="W845" s="35">
        <f>Tabela3[[#This Row],[Custo / Cx Moldada]]*Tabela3[[#This Row],[Qtde Cx Produzida]]</f>
        <v>961.62198602620083</v>
      </c>
      <c r="X845" s="35">
        <f ca="1">Tabela3[[#This Row],[Aluminio Util]]*Tabela3[[#This Row],[Custo/Kg]]</f>
        <v>1696.7983999999999</v>
      </c>
      <c r="Y845" s="35">
        <f>IFERROR(VLOOKUP(Tabela3[[#This Row],[Data]],Tabela461213[],2,1)*(Tabela3[[#This Row],[Qtde Cx Produzida]]*Tabela3[[#This Row],[Qde macho / CX]]*Tabela3[[#This Row],[Peso Macho]]),)</f>
        <v>0</v>
      </c>
      <c r="Z845" s="35">
        <f>IFERROR(Tabela3[[#This Row],[Qtde Oleo]]*(VLOOKUP(Tabela3[[#This Row],[Data]],CompraOleo[],3,TRUE))*1.05,0)</f>
        <v>221.06551297385658</v>
      </c>
      <c r="AA845" s="47">
        <f ca="1">(Tabela3[[#This Row],[Custo Oleo]]+Tabela3[[#This Row],[Custo Aluminio]]+Tabela3[[#This Row],[Custo M.O. Total]]+Tabela3[[#This Row],[Custo Machos]])</f>
        <v>2879.4858990000575</v>
      </c>
      <c r="AB845" s="47">
        <f ca="1">Tabela3[[#This Row],[Custo Total]]*Tabela3[[#This Row],[% Perda]]</f>
        <v>85.408480055086457</v>
      </c>
      <c r="AC845" s="48">
        <f>IFERROR(VLOOKUP(Tabela3[[#This Row],[Produto]],Tabela2[],2,0),0)</f>
        <v>4</v>
      </c>
      <c r="AD845" s="48">
        <f>IFERROR(VLOOKUP(Tabela3[[#This Row],[Produto]],Tabela2[],3,0),0)</f>
        <v>0.42099999999999999</v>
      </c>
      <c r="AE845" s="48">
        <f>IFERROR(VLOOKUP(Tabela3[[#This Row],[Produto]],Tabela2[],4,0),0)</f>
        <v>3.2160000000000002</v>
      </c>
      <c r="AF845" s="48">
        <f>IFERROR(VLOOKUP(Tabela3[[#This Row],[Produto]],Tabela2[],5,0),0)</f>
        <v>1.3788000000000002</v>
      </c>
      <c r="AG845" s="40">
        <f>IFERROR(VLOOKUP(Tabela3[[#This Row],[Produto]],Tabela2[],6,0),0)</f>
        <v>0</v>
      </c>
      <c r="AH845" s="40">
        <f>IFERROR(VLOOKUP(Tabela3[[#This Row],[Produto]],Tabela2[],7,0),0)</f>
        <v>0</v>
      </c>
      <c r="AI845" s="40">
        <f>IFERROR(VLOOKUP(Tabela3[[#This Row],[Produto]],Tabela2[],8,0),0)</f>
        <v>0</v>
      </c>
      <c r="AJ845" s="35">
        <f ca="1">IFERROR(VLOOKUP(Tabela3[[#This Row],[Produto]],Tabela2[],13,0),0)</f>
        <v>17.600000000000001</v>
      </c>
      <c r="AK845" s="40" t="str">
        <f>IFERROR(VLOOKUP(Tabela3[[#This Row],[Produto]],Tabela2[],14,0),0)</f>
        <v>Busa</v>
      </c>
      <c r="AL845" s="40">
        <f>IFERROR(VLOOKUP(Tabela3[[#This Row],[Produto]],Tabela2[],15,0),0)</f>
        <v>0.5</v>
      </c>
      <c r="AM845" s="36">
        <f ca="1">(Tabela3[[#This Row],[Custo Usinagem]]+Tabela3[[#This Row],[Custo / Pç]])*1.2</f>
        <v>15.689009077729558</v>
      </c>
      <c r="AN845" s="36">
        <f ca="1">Tabela3[[#This Row],[Valor Mínimo Venda]]*1.15</f>
        <v>18.04236043938899</v>
      </c>
      <c r="AO845" s="36">
        <f ca="1">Tabela3[[#This Row],[Tabela 1]]*1.08</f>
        <v>19.485749274540112</v>
      </c>
      <c r="AP845" s="36">
        <f ca="1">Tabela3[[#This Row],[Tabela 2]]*1.15</f>
        <v>22.408611665721129</v>
      </c>
    </row>
    <row r="846" spans="1:42">
      <c r="A846" s="69">
        <v>45985</v>
      </c>
      <c r="B846" s="6" t="s">
        <v>92</v>
      </c>
      <c r="C846" s="14">
        <v>8427</v>
      </c>
      <c r="D846" s="6" t="s">
        <v>46</v>
      </c>
      <c r="E846" s="6" t="s">
        <v>44</v>
      </c>
      <c r="F846" s="6">
        <v>5</v>
      </c>
      <c r="G846" s="15">
        <v>2.4305555555555556E-2</v>
      </c>
      <c r="H846" s="16">
        <v>0</v>
      </c>
      <c r="I846" s="35">
        <f ca="1">IFERROR(Tabela3[[#This Row],[Custo Total]]/Tabela3[[#This Row],[Aluminio Util]],0)</f>
        <v>24.473828124339491</v>
      </c>
      <c r="J846" s="35">
        <f ca="1">Tabela3[[#This Row],[Custo Total]]/Tabela3[[#This Row],[Realizado]]</f>
        <v>60.450355467118548</v>
      </c>
      <c r="K846" s="37">
        <f>IFERROR(Tabela3[[#This Row],[Qtde Cx Produzida]]/Tabela3[[#This Row],[Tempo]]/24,0)</f>
        <v>8.5714285714285712</v>
      </c>
      <c r="L846" s="37">
        <f>Tabela3[[#This Row],[Qtde Cx Produzida]]*Tabela3[[#This Row],[Qdt Peça Placa]]</f>
        <v>5</v>
      </c>
      <c r="M846" s="37">
        <f>Tabela3[[#This Row],[Previsto]]-Tabela3[[#This Row],[Perda Pçs]]</f>
        <v>5</v>
      </c>
      <c r="N846" s="38">
        <f>IFERROR(Tabela3[[#This Row],[Perda Pçs]]/Tabela3[[#This Row],[Previsto]],0)</f>
        <v>0</v>
      </c>
      <c r="O846" s="39">
        <f>IFERROR(IF(Tabela3[[#This Row],[Qtde Cx Produzida]] &lt;&gt; 0, Tabela3[[#This Row],[Tempo]] / Tabela3[[#This Row],[Qtde Cx Produzida]], 0),0)</f>
        <v>4.8611111111111112E-3</v>
      </c>
      <c r="P846" s="57">
        <f>IFERROR(Tabela3[[#This Row],[Perda Pçs]]/Tabela3[[#This Row],[Qdt Peça Placa]],0)</f>
        <v>0</v>
      </c>
      <c r="Q846" s="37">
        <f>IFERROR(Tabela3[[#This Row],[Realizado]]*Tabela3[[#This Row],[Peso Util/Pç]],0)</f>
        <v>12.350000000000001</v>
      </c>
      <c r="R846" s="37">
        <f>IFERROR(Tabela3[[#This Row],[Peso Total Galho]]*Tabela3[[#This Row],[Qtde Cx Produzida]]*1.055,0)</f>
        <v>9.4949999999999992</v>
      </c>
      <c r="S846" s="37">
        <f>(Tabela3[[#This Row],[Aluminio Bruto]]-Tabela3[[#This Row],[Aluminio Util]])*0.9</f>
        <v>-2.5695000000000019</v>
      </c>
      <c r="T846" s="37">
        <f>Tabela3[[#This Row],[Aluminio Bruto]]/OleoKGAluminio</f>
        <v>3.9945342230829493</v>
      </c>
      <c r="U846" s="35">
        <f>IFERROR((VLOOKUP(Tabela3[[#This Row],[Moldador]],Tabela1[],5,)+(VLOOKUP(Tabela3[[#This Row],[Ajudante]],Tabela1[],5,))*3.5),0)</f>
        <v>126.0945</v>
      </c>
      <c r="V846" s="35">
        <f>IFERROR(Tabela3[[#This Row],[Custo M.O. / H]]/((Tabela3[[#This Row],[Realizado]]/Tabela3[[#This Row],[Qdt Peça Placa]])/Tabela3[[#This Row],[Tempo]]/24),)</f>
        <v>14.711024999999999</v>
      </c>
      <c r="W846" s="35">
        <f>Tabela3[[#This Row],[Custo / Cx Moldada]]*Tabela3[[#This Row],[Qtde Cx Produzida]]</f>
        <v>73.555125000000004</v>
      </c>
      <c r="X846" s="35">
        <f ca="1">Tabela3[[#This Row],[Aluminio Util]]*Tabela3[[#This Row],[Custo/Kg]]</f>
        <v>192.66000000000005</v>
      </c>
      <c r="Y846" s="35">
        <f>IFERROR(VLOOKUP(Tabela3[[#This Row],[Data]],Tabela461213[],2,1)*(Tabela3[[#This Row],[Qtde Cx Produzida]]*Tabela3[[#This Row],[Qde macho / CX]]*Tabela3[[#This Row],[Peso Macho]]),)</f>
        <v>25.550999999999998</v>
      </c>
      <c r="Z846" s="35">
        <f>IFERROR(Tabela3[[#This Row],[Qtde Oleo]]*(VLOOKUP(Tabela3[[#This Row],[Data]],CompraOleo[],3,TRUE))*1.05,0)</f>
        <v>10.485652335592743</v>
      </c>
      <c r="AA846" s="47">
        <f ca="1">(Tabela3[[#This Row],[Custo Oleo]]+Tabela3[[#This Row],[Custo Aluminio]]+Tabela3[[#This Row],[Custo M.O. Total]]+Tabela3[[#This Row],[Custo Machos]])</f>
        <v>302.25177733559275</v>
      </c>
      <c r="AB846" s="47">
        <f ca="1">Tabela3[[#This Row],[Custo Total]]*Tabela3[[#This Row],[% Perda]]</f>
        <v>0</v>
      </c>
      <c r="AC846" s="48">
        <f>IFERROR(VLOOKUP(Tabela3[[#This Row],[Produto]],Tabela2[],2,0),0)</f>
        <v>1</v>
      </c>
      <c r="AD846" s="48">
        <f>IFERROR(VLOOKUP(Tabela3[[#This Row],[Produto]],Tabela2[],3,0),0)</f>
        <v>2.4700000000000002</v>
      </c>
      <c r="AE846" s="48">
        <f>IFERROR(VLOOKUP(Tabela3[[#This Row],[Produto]],Tabela2[],4,0),0)</f>
        <v>1.8</v>
      </c>
      <c r="AF846" s="48">
        <f>IFERROR(VLOOKUP(Tabela3[[#This Row],[Produto]],Tabela2[],5,0),0)</f>
        <v>-0.6030000000000002</v>
      </c>
      <c r="AG846" s="40">
        <f>IFERROR(VLOOKUP(Tabela3[[#This Row],[Produto]],Tabela2[],6,0),0)</f>
        <v>0</v>
      </c>
      <c r="AH846" s="40">
        <f>IFERROR(VLOOKUP(Tabela3[[#This Row],[Produto]],Tabela2[],7,0),0)</f>
        <v>1</v>
      </c>
      <c r="AI846" s="40">
        <f>IFERROR(VLOOKUP(Tabela3[[#This Row],[Produto]],Tabela2[],8,0),0)</f>
        <v>3.0059999999999998</v>
      </c>
      <c r="AJ846" s="35">
        <f ca="1">IFERROR(VLOOKUP(Tabela3[[#This Row],[Produto]],Tabela2[],13,0),0)</f>
        <v>15.600000000000001</v>
      </c>
      <c r="AK846" s="40" t="str">
        <f>IFERROR(VLOOKUP(Tabela3[[#This Row],[Produto]],Tabela2[],14,0),0)</f>
        <v>Jumil</v>
      </c>
      <c r="AL846" s="40">
        <f>IFERROR(VLOOKUP(Tabela3[[#This Row],[Produto]],Tabela2[],15,0),0)</f>
        <v>4</v>
      </c>
      <c r="AM846" s="36">
        <f ca="1">(Tabela3[[#This Row],[Custo Usinagem]]+Tabela3[[#This Row],[Custo / Pç]])*1.2</f>
        <v>77.340426560542269</v>
      </c>
      <c r="AN846" s="36">
        <f ca="1">Tabela3[[#This Row],[Valor Mínimo Venda]]*1.15</f>
        <v>88.941490544623605</v>
      </c>
      <c r="AO846" s="36">
        <f ca="1">Tabela3[[#This Row],[Tabela 1]]*1.08</f>
        <v>96.056809788193505</v>
      </c>
      <c r="AP846" s="36">
        <f ca="1">Tabela3[[#This Row],[Tabela 2]]*1.15</f>
        <v>110.46533125642252</v>
      </c>
    </row>
    <row r="847" spans="1:42">
      <c r="A847" s="69">
        <v>45986</v>
      </c>
      <c r="B847" s="6" t="s">
        <v>232</v>
      </c>
      <c r="C847" s="14">
        <v>8375</v>
      </c>
      <c r="D847" s="6" t="s">
        <v>46</v>
      </c>
      <c r="E847" s="6" t="s">
        <v>44</v>
      </c>
      <c r="F847" s="6">
        <v>12</v>
      </c>
      <c r="G847" s="15">
        <v>6.0416666666666667E-2</v>
      </c>
      <c r="H847" s="16">
        <v>0</v>
      </c>
      <c r="I847" s="35">
        <f ca="1">IFERROR(Tabela3[[#This Row],[Custo Total]]/Tabela3[[#This Row],[Aluminio Util]],0)</f>
        <v>28.872738629009387</v>
      </c>
      <c r="J847" s="35">
        <f ca="1">Tabela3[[#This Row],[Custo Total]]/Tabela3[[#This Row],[Realizado]]</f>
        <v>12.155422962812951</v>
      </c>
      <c r="K847" s="37">
        <f>IFERROR(Tabela3[[#This Row],[Qtde Cx Produzida]]/Tabela3[[#This Row],[Tempo]]/24,0)</f>
        <v>8.2758620689655178</v>
      </c>
      <c r="L847" s="37">
        <f>Tabela3[[#This Row],[Qtde Cx Produzida]]*Tabela3[[#This Row],[Qdt Peça Placa]]</f>
        <v>48</v>
      </c>
      <c r="M847" s="37">
        <f>Tabela3[[#This Row],[Previsto]]-Tabela3[[#This Row],[Perda Pçs]]</f>
        <v>48</v>
      </c>
      <c r="N847" s="38">
        <f>IFERROR(Tabela3[[#This Row],[Perda Pçs]]/Tabela3[[#This Row],[Previsto]],0)</f>
        <v>0</v>
      </c>
      <c r="O847" s="39">
        <f>IFERROR(IF(Tabela3[[#This Row],[Qtde Cx Produzida]] &lt;&gt; 0, Tabela3[[#This Row],[Tempo]] / Tabela3[[#This Row],[Qtde Cx Produzida]], 0),0)</f>
        <v>5.0347222222222225E-3</v>
      </c>
      <c r="P847" s="57">
        <f>IFERROR(Tabela3[[#This Row],[Perda Pçs]]/Tabela3[[#This Row],[Qdt Peça Placa]],0)</f>
        <v>0</v>
      </c>
      <c r="Q847" s="37">
        <f>IFERROR(Tabela3[[#This Row],[Realizado]]*Tabela3[[#This Row],[Peso Util/Pç]],0)</f>
        <v>20.207999999999998</v>
      </c>
      <c r="R847" s="37">
        <f>IFERROR(Tabela3[[#This Row],[Peso Total Galho]]*Tabela3[[#This Row],[Qtde Cx Produzida]]*1.055,0)</f>
        <v>40.714559999999999</v>
      </c>
      <c r="S847" s="37">
        <f>(Tabela3[[#This Row],[Aluminio Bruto]]-Tabela3[[#This Row],[Aluminio Util]])*0.9</f>
        <v>18.455904</v>
      </c>
      <c r="T847" s="37">
        <f>Tabela3[[#This Row],[Aluminio Bruto]]/OleoKGAluminio</f>
        <v>17.128562748579686</v>
      </c>
      <c r="U847" s="35">
        <f>IFERROR((VLOOKUP(Tabela3[[#This Row],[Moldador]],Tabela1[],5,)+(VLOOKUP(Tabela3[[#This Row],[Ajudante]],Tabela1[],5,))*3.5),0)</f>
        <v>126.0945</v>
      </c>
      <c r="V847" s="35">
        <f>IFERROR(Tabela3[[#This Row],[Custo M.O. / H]]/((Tabela3[[#This Row],[Realizado]]/Tabela3[[#This Row],[Qdt Peça Placa]])/Tabela3[[#This Row],[Tempo]]/24),)</f>
        <v>15.236418749999999</v>
      </c>
      <c r="W847" s="35">
        <f>Tabela3[[#This Row],[Custo / Cx Moldada]]*Tabela3[[#This Row],[Qtde Cx Produzida]]</f>
        <v>182.83702499999998</v>
      </c>
      <c r="X847" s="35">
        <f ca="1">Tabela3[[#This Row],[Aluminio Util]]*Tabela3[[#This Row],[Custo/Kg]]</f>
        <v>355.66079999999999</v>
      </c>
      <c r="Y847" s="35">
        <f>IFERROR(VLOOKUP(Tabela3[[#This Row],[Data]],Tabela461213[],2,1)*(Tabela3[[#This Row],[Qtde Cx Produzida]]*Tabela3[[#This Row],[Qde macho / CX]]*Tabela3[[#This Row],[Peso Macho]]),)</f>
        <v>0</v>
      </c>
      <c r="Z847" s="35">
        <f>IFERROR(Tabela3[[#This Row],[Qtde Oleo]]*(VLOOKUP(Tabela3[[#This Row],[Data]],CompraOleo[],3,TRUE))*1.05,0)</f>
        <v>44.962477215021678</v>
      </c>
      <c r="AA847" s="47">
        <f ca="1">(Tabela3[[#This Row],[Custo Oleo]]+Tabela3[[#This Row],[Custo Aluminio]]+Tabela3[[#This Row],[Custo M.O. Total]]+Tabela3[[#This Row],[Custo Machos]])</f>
        <v>583.46030221502167</v>
      </c>
      <c r="AB847" s="47">
        <f ca="1">Tabela3[[#This Row],[Custo Total]]*Tabela3[[#This Row],[% Perda]]</f>
        <v>0</v>
      </c>
      <c r="AC847" s="48">
        <f>IFERROR(VLOOKUP(Tabela3[[#This Row],[Produto]],Tabela2[],2,0),0)</f>
        <v>4</v>
      </c>
      <c r="AD847" s="48">
        <f>IFERROR(VLOOKUP(Tabela3[[#This Row],[Produto]],Tabela2[],3,0),0)</f>
        <v>0.42099999999999999</v>
      </c>
      <c r="AE847" s="48">
        <f>IFERROR(VLOOKUP(Tabela3[[#This Row],[Produto]],Tabela2[],4,0),0)</f>
        <v>3.2160000000000002</v>
      </c>
      <c r="AF847" s="48">
        <f>IFERROR(VLOOKUP(Tabela3[[#This Row],[Produto]],Tabela2[],5,0),0)</f>
        <v>1.3788000000000002</v>
      </c>
      <c r="AG847" s="40">
        <f>IFERROR(VLOOKUP(Tabela3[[#This Row],[Produto]],Tabela2[],6,0),0)</f>
        <v>0</v>
      </c>
      <c r="AH847" s="40">
        <f>IFERROR(VLOOKUP(Tabela3[[#This Row],[Produto]],Tabela2[],7,0),0)</f>
        <v>0</v>
      </c>
      <c r="AI847" s="40">
        <f>IFERROR(VLOOKUP(Tabela3[[#This Row],[Produto]],Tabela2[],8,0),0)</f>
        <v>0</v>
      </c>
      <c r="AJ847" s="35">
        <f ca="1">IFERROR(VLOOKUP(Tabela3[[#This Row],[Produto]],Tabela2[],13,0),0)</f>
        <v>17.600000000000001</v>
      </c>
      <c r="AK847" s="40" t="str">
        <f>IFERROR(VLOOKUP(Tabela3[[#This Row],[Produto]],Tabela2[],14,0),0)</f>
        <v>Busa</v>
      </c>
      <c r="AL847" s="40">
        <f>IFERROR(VLOOKUP(Tabela3[[#This Row],[Produto]],Tabela2[],15,0),0)</f>
        <v>0.5</v>
      </c>
      <c r="AM847" s="36">
        <f ca="1">(Tabela3[[#This Row],[Custo Usinagem]]+Tabela3[[#This Row],[Custo / Pç]])*1.2</f>
        <v>15.18650755537554</v>
      </c>
      <c r="AN847" s="36">
        <f ca="1">Tabela3[[#This Row],[Valor Mínimo Venda]]*1.15</f>
        <v>17.46448368868187</v>
      </c>
      <c r="AO847" s="36">
        <f ca="1">Tabela3[[#This Row],[Tabela 1]]*1.08</f>
        <v>18.86164238377642</v>
      </c>
      <c r="AP847" s="36">
        <f ca="1">Tabela3[[#This Row],[Tabela 2]]*1.15</f>
        <v>21.690888741342881</v>
      </c>
    </row>
    <row r="848" spans="1:42">
      <c r="A848" s="69">
        <v>45986</v>
      </c>
      <c r="B848" s="6" t="s">
        <v>247</v>
      </c>
      <c r="C848" s="14">
        <v>8463</v>
      </c>
      <c r="D848" s="6" t="s">
        <v>46</v>
      </c>
      <c r="E848" s="6" t="s">
        <v>44</v>
      </c>
      <c r="F848" s="6">
        <v>64</v>
      </c>
      <c r="G848" s="15">
        <v>0.29652777777777778</v>
      </c>
      <c r="H848" s="16">
        <v>0</v>
      </c>
      <c r="I848" s="35">
        <f ca="1">IFERROR(Tabela3[[#This Row],[Custo Total]]/Tabela3[[#This Row],[Aluminio Util]],0)</f>
        <v>29.517593675924843</v>
      </c>
      <c r="J848" s="35">
        <f ca="1">Tabela3[[#This Row],[Custo Total]]/Tabela3[[#This Row],[Realizado]]</f>
        <v>8.8552781027774525</v>
      </c>
      <c r="K848" s="37">
        <f>IFERROR(Tabela3[[#This Row],[Qtde Cx Produzida]]/Tabela3[[#This Row],[Tempo]]/24,0)</f>
        <v>8.9929742388758793</v>
      </c>
      <c r="L848" s="37">
        <f>Tabela3[[#This Row],[Qtde Cx Produzida]]*Tabela3[[#This Row],[Qdt Peça Placa]]</f>
        <v>256</v>
      </c>
      <c r="M848" s="37">
        <f>Tabela3[[#This Row],[Previsto]]-Tabela3[[#This Row],[Perda Pçs]]</f>
        <v>256</v>
      </c>
      <c r="N848" s="38">
        <f>IFERROR(Tabela3[[#This Row],[Perda Pçs]]/Tabela3[[#This Row],[Previsto]],0)</f>
        <v>0</v>
      </c>
      <c r="O848" s="39">
        <f>IFERROR(IF(Tabela3[[#This Row],[Qtde Cx Produzida]] &lt;&gt; 0, Tabela3[[#This Row],[Tempo]] / Tabela3[[#This Row],[Qtde Cx Produzida]], 0),0)</f>
        <v>4.6332465277777778E-3</v>
      </c>
      <c r="P848" s="57">
        <f>IFERROR(Tabela3[[#This Row],[Perda Pçs]]/Tabela3[[#This Row],[Qdt Peça Placa]],0)</f>
        <v>0</v>
      </c>
      <c r="Q848" s="37">
        <f>IFERROR(Tabela3[[#This Row],[Realizado]]*Tabela3[[#This Row],[Peso Util/Pç]],0)</f>
        <v>76.8</v>
      </c>
      <c r="R848" s="37">
        <f>IFERROR(Tabela3[[#This Row],[Peso Total Galho]]*Tabela3[[#This Row],[Qtde Cx Produzida]]*1.055,0)</f>
        <v>155.29599999999999</v>
      </c>
      <c r="S848" s="37">
        <f>(Tabela3[[#This Row],[Aluminio Bruto]]-Tabela3[[#This Row],[Aluminio Util]])*0.9</f>
        <v>70.6464</v>
      </c>
      <c r="T848" s="37">
        <f>Tabela3[[#This Row],[Aluminio Bruto]]/OleoKGAluminio</f>
        <v>65.332826404201128</v>
      </c>
      <c r="U848" s="35">
        <f>IFERROR((VLOOKUP(Tabela3[[#This Row],[Moldador]],Tabela1[],5,)+(VLOOKUP(Tabela3[[#This Row],[Ajudante]],Tabela1[],5,))*3.5),0)</f>
        <v>126.0945</v>
      </c>
      <c r="V848" s="35">
        <f>IFERROR(Tabela3[[#This Row],[Custo M.O. / H]]/((Tabela3[[#This Row],[Realizado]]/Tabela3[[#This Row],[Qdt Peça Placa]])/Tabela3[[#This Row],[Tempo]]/24),)</f>
        <v>14.021445703124998</v>
      </c>
      <c r="W848" s="35">
        <f>Tabela3[[#This Row],[Custo / Cx Moldada]]*Tabela3[[#This Row],[Qtde Cx Produzida]]</f>
        <v>897.37252499999988</v>
      </c>
      <c r="X848" s="35">
        <f ca="1">Tabela3[[#This Row],[Aluminio Util]]*Tabela3[[#This Row],[Custo/Kg]]</f>
        <v>1198.0800000000002</v>
      </c>
      <c r="Y848" s="35">
        <f>IFERROR(VLOOKUP(Tabela3[[#This Row],[Data]],Tabela461213[],2,1)*(Tabela3[[#This Row],[Qtde Cx Produzida]]*Tabela3[[#This Row],[Qde macho / CX]]*Tabela3[[#This Row],[Peso Macho]]),)</f>
        <v>0</v>
      </c>
      <c r="Z848" s="35">
        <f>IFERROR(Tabela3[[#This Row],[Qtde Oleo]]*(VLOOKUP(Tabela3[[#This Row],[Data]],CompraOleo[],3,TRUE))*1.05,0)</f>
        <v>171.49866931102795</v>
      </c>
      <c r="AA848" s="47">
        <f ca="1">(Tabela3[[#This Row],[Custo Oleo]]+Tabela3[[#This Row],[Custo Aluminio]]+Tabela3[[#This Row],[Custo M.O. Total]]+Tabela3[[#This Row],[Custo Machos]])</f>
        <v>2266.9511943110278</v>
      </c>
      <c r="AB848" s="47">
        <f ca="1">Tabela3[[#This Row],[Custo Total]]*Tabela3[[#This Row],[% Perda]]</f>
        <v>0</v>
      </c>
      <c r="AC848" s="48">
        <f>IFERROR(VLOOKUP(Tabela3[[#This Row],[Produto]],Tabela2[],2,0),0)</f>
        <v>4</v>
      </c>
      <c r="AD848" s="48">
        <f>IFERROR(VLOOKUP(Tabela3[[#This Row],[Produto]],Tabela2[],3,0),0)</f>
        <v>0.3</v>
      </c>
      <c r="AE848" s="48">
        <f>IFERROR(VLOOKUP(Tabela3[[#This Row],[Produto]],Tabela2[],4,0),0)</f>
        <v>2.2999999999999998</v>
      </c>
      <c r="AF848" s="48">
        <f>IFERROR(VLOOKUP(Tabela3[[#This Row],[Produto]],Tabela2[],5,0),0)</f>
        <v>0.98999999999999988</v>
      </c>
      <c r="AG848" s="40">
        <f>IFERROR(VLOOKUP(Tabela3[[#This Row],[Produto]],Tabela2[],6,0),0)</f>
        <v>0</v>
      </c>
      <c r="AH848" s="40">
        <f>IFERROR(VLOOKUP(Tabela3[[#This Row],[Produto]],Tabela2[],7,0),0)</f>
        <v>0</v>
      </c>
      <c r="AI848" s="40">
        <f>IFERROR(VLOOKUP(Tabela3[[#This Row],[Produto]],Tabela2[],8,0),0)</f>
        <v>0</v>
      </c>
      <c r="AJ848" s="35">
        <f ca="1">IFERROR(VLOOKUP(Tabela3[[#This Row],[Produto]],Tabela2[],13,0),0)</f>
        <v>15.600000000000001</v>
      </c>
      <c r="AK848" s="40" t="str">
        <f>IFERROR(VLOOKUP(Tabela3[[#This Row],[Produto]],Tabela2[],14,0),0)</f>
        <v>Senun</v>
      </c>
      <c r="AL848" s="40">
        <f>IFERROR(VLOOKUP(Tabela3[[#This Row],[Produto]],Tabela2[],15,0),0)</f>
        <v>3.5</v>
      </c>
      <c r="AM848" s="36">
        <f ca="1">(Tabela3[[#This Row],[Custo Usinagem]]+Tabela3[[#This Row],[Custo / Pç]])*1.2</f>
        <v>14.826333723332942</v>
      </c>
      <c r="AN848" s="36">
        <f ca="1">Tabela3[[#This Row],[Valor Mínimo Venda]]*1.15</f>
        <v>17.050283781832881</v>
      </c>
      <c r="AO848" s="36">
        <f ca="1">Tabela3[[#This Row],[Tabela 1]]*1.08</f>
        <v>18.414306484379512</v>
      </c>
      <c r="AP848" s="36">
        <f ca="1">Tabela3[[#This Row],[Tabela 2]]*1.15</f>
        <v>21.176452457036437</v>
      </c>
    </row>
    <row r="849" spans="1:42">
      <c r="A849" s="69">
        <v>45986</v>
      </c>
      <c r="B849" s="6" t="s">
        <v>247</v>
      </c>
      <c r="C849" s="14">
        <v>8463</v>
      </c>
      <c r="D849" s="6" t="s">
        <v>44</v>
      </c>
      <c r="E849" s="6" t="s">
        <v>47</v>
      </c>
      <c r="F849" s="6">
        <v>12</v>
      </c>
      <c r="G849" s="15">
        <v>5.9027777777777776E-2</v>
      </c>
      <c r="H849" s="16">
        <v>0</v>
      </c>
      <c r="I849" s="35">
        <f ca="1">IFERROR(Tabela3[[#This Row],[Custo Total]]/Tabela3[[#This Row],[Aluminio Util]],0)</f>
        <v>27.666133594424075</v>
      </c>
      <c r="J849" s="35">
        <f ca="1">Tabela3[[#This Row],[Custo Total]]/Tabela3[[#This Row],[Realizado]]</f>
        <v>8.2998400783272217</v>
      </c>
      <c r="K849" s="37">
        <f>IFERROR(Tabela3[[#This Row],[Qtde Cx Produzida]]/Tabela3[[#This Row],[Tempo]]/24,0)</f>
        <v>8.4705882352941178</v>
      </c>
      <c r="L849" s="37">
        <f>Tabela3[[#This Row],[Qtde Cx Produzida]]*Tabela3[[#This Row],[Qdt Peça Placa]]</f>
        <v>48</v>
      </c>
      <c r="M849" s="37">
        <f>Tabela3[[#This Row],[Previsto]]-Tabela3[[#This Row],[Perda Pçs]]</f>
        <v>48</v>
      </c>
      <c r="N849" s="38">
        <f>IFERROR(Tabela3[[#This Row],[Perda Pçs]]/Tabela3[[#This Row],[Previsto]],0)</f>
        <v>0</v>
      </c>
      <c r="O849" s="39">
        <f>IFERROR(IF(Tabela3[[#This Row],[Qtde Cx Produzida]] &lt;&gt; 0, Tabela3[[#This Row],[Tempo]] / Tabela3[[#This Row],[Qtde Cx Produzida]], 0),0)</f>
        <v>4.9189814814814816E-3</v>
      </c>
      <c r="P849" s="57">
        <f>IFERROR(Tabela3[[#This Row],[Perda Pçs]]/Tabela3[[#This Row],[Qdt Peça Placa]],0)</f>
        <v>0</v>
      </c>
      <c r="Q849" s="37">
        <f>IFERROR(Tabela3[[#This Row],[Realizado]]*Tabela3[[#This Row],[Peso Util/Pç]],0)</f>
        <v>14.399999999999999</v>
      </c>
      <c r="R849" s="37">
        <f>IFERROR(Tabela3[[#This Row],[Peso Total Galho]]*Tabela3[[#This Row],[Qtde Cx Produzida]]*1.055,0)</f>
        <v>29.117999999999995</v>
      </c>
      <c r="S849" s="37">
        <f>(Tabela3[[#This Row],[Aluminio Bruto]]-Tabela3[[#This Row],[Aluminio Util]])*0.9</f>
        <v>13.246199999999996</v>
      </c>
      <c r="T849" s="37">
        <f>Tabela3[[#This Row],[Aluminio Bruto]]/OleoKGAluminio</f>
        <v>12.249904950787709</v>
      </c>
      <c r="U849" s="35">
        <f>IFERROR((VLOOKUP(Tabela3[[#This Row],[Moldador]],Tabela1[],5,)+(VLOOKUP(Tabela3[[#This Row],[Ajudante]],Tabela1[],5,))*3.5),0)</f>
        <v>99.95034583333333</v>
      </c>
      <c r="V849" s="35">
        <f>IFERROR(Tabela3[[#This Row],[Custo M.O. / H]]/((Tabela3[[#This Row],[Realizado]]/Tabela3[[#This Row],[Qdt Peça Placa]])/Tabela3[[#This Row],[Tempo]]/24),)</f>
        <v>11.799693605324073</v>
      </c>
      <c r="W849" s="35">
        <f>Tabela3[[#This Row],[Custo / Cx Moldada]]*Tabela3[[#This Row],[Qtde Cx Produzida]]</f>
        <v>141.59632326388888</v>
      </c>
      <c r="X849" s="35">
        <f ca="1">Tabela3[[#This Row],[Aluminio Util]]*Tabela3[[#This Row],[Custo/Kg]]</f>
        <v>224.64</v>
      </c>
      <c r="Y849" s="35">
        <f>IFERROR(VLOOKUP(Tabela3[[#This Row],[Data]],Tabela461213[],2,1)*(Tabela3[[#This Row],[Qtde Cx Produzida]]*Tabela3[[#This Row],[Qde macho / CX]]*Tabela3[[#This Row],[Peso Macho]]),)</f>
        <v>0</v>
      </c>
      <c r="Z849" s="35">
        <f>IFERROR(Tabela3[[#This Row],[Qtde Oleo]]*(VLOOKUP(Tabela3[[#This Row],[Data]],CompraOleo[],3,TRUE))*1.05,0)</f>
        <v>32.156000495817736</v>
      </c>
      <c r="AA849" s="47">
        <f ca="1">(Tabela3[[#This Row],[Custo Oleo]]+Tabela3[[#This Row],[Custo Aluminio]]+Tabela3[[#This Row],[Custo M.O. Total]]+Tabela3[[#This Row],[Custo Machos]])</f>
        <v>398.39232375970664</v>
      </c>
      <c r="AB849" s="47">
        <f ca="1">Tabela3[[#This Row],[Custo Total]]*Tabela3[[#This Row],[% Perda]]</f>
        <v>0</v>
      </c>
      <c r="AC849" s="48">
        <f>IFERROR(VLOOKUP(Tabela3[[#This Row],[Produto]],Tabela2[],2,0),0)</f>
        <v>4</v>
      </c>
      <c r="AD849" s="48">
        <f>IFERROR(VLOOKUP(Tabela3[[#This Row],[Produto]],Tabela2[],3,0),0)</f>
        <v>0.3</v>
      </c>
      <c r="AE849" s="48">
        <f>IFERROR(VLOOKUP(Tabela3[[#This Row],[Produto]],Tabela2[],4,0),0)</f>
        <v>2.2999999999999998</v>
      </c>
      <c r="AF849" s="48">
        <f>IFERROR(VLOOKUP(Tabela3[[#This Row],[Produto]],Tabela2[],5,0),0)</f>
        <v>0.98999999999999988</v>
      </c>
      <c r="AG849" s="40">
        <f>IFERROR(VLOOKUP(Tabela3[[#This Row],[Produto]],Tabela2[],6,0),0)</f>
        <v>0</v>
      </c>
      <c r="AH849" s="40">
        <f>IFERROR(VLOOKUP(Tabela3[[#This Row],[Produto]],Tabela2[],7,0),0)</f>
        <v>0</v>
      </c>
      <c r="AI849" s="40">
        <f>IFERROR(VLOOKUP(Tabela3[[#This Row],[Produto]],Tabela2[],8,0),0)</f>
        <v>0</v>
      </c>
      <c r="AJ849" s="35">
        <f ca="1">IFERROR(VLOOKUP(Tabela3[[#This Row],[Produto]],Tabela2[],13,0),0)</f>
        <v>15.600000000000001</v>
      </c>
      <c r="AK849" s="40" t="str">
        <f>IFERROR(VLOOKUP(Tabela3[[#This Row],[Produto]],Tabela2[],14,0),0)</f>
        <v>Senun</v>
      </c>
      <c r="AL849" s="40">
        <f>IFERROR(VLOOKUP(Tabela3[[#This Row],[Produto]],Tabela2[],15,0),0)</f>
        <v>3.5</v>
      </c>
      <c r="AM849" s="36">
        <f ca="1">(Tabela3[[#This Row],[Custo Usinagem]]+Tabela3[[#This Row],[Custo / Pç]])*1.2</f>
        <v>14.159808093992666</v>
      </c>
      <c r="AN849" s="36">
        <f ca="1">Tabela3[[#This Row],[Valor Mínimo Venda]]*1.15</f>
        <v>16.283779308091564</v>
      </c>
      <c r="AO849" s="36">
        <f ca="1">Tabela3[[#This Row],[Tabela 1]]*1.08</f>
        <v>17.58648165273889</v>
      </c>
      <c r="AP849" s="36">
        <f ca="1">Tabela3[[#This Row],[Tabela 2]]*1.15</f>
        <v>20.224453900649721</v>
      </c>
    </row>
    <row r="850" spans="1:42">
      <c r="A850" s="69">
        <v>45987</v>
      </c>
      <c r="B850" s="6" t="s">
        <v>247</v>
      </c>
      <c r="C850" s="14">
        <v>8463</v>
      </c>
      <c r="D850" s="6" t="s">
        <v>46</v>
      </c>
      <c r="E850" s="6" t="s">
        <v>44</v>
      </c>
      <c r="F850" s="6">
        <v>70</v>
      </c>
      <c r="G850" s="15">
        <v>0.35625000000000001</v>
      </c>
      <c r="H850" s="16">
        <v>0</v>
      </c>
      <c r="I850" s="35">
        <f ca="1">IFERROR(Tabela3[[#This Row],[Custo Total]]/Tabela3[[#This Row],[Aluminio Util]],0)</f>
        <v>30.667674339987343</v>
      </c>
      <c r="J850" s="35">
        <f ca="1">Tabela3[[#This Row],[Custo Total]]/Tabela3[[#This Row],[Realizado]]</f>
        <v>9.2003023019962029</v>
      </c>
      <c r="K850" s="37">
        <f>IFERROR(Tabela3[[#This Row],[Qtde Cx Produzida]]/Tabela3[[#This Row],[Tempo]]/24,0)</f>
        <v>8.1871345029239766</v>
      </c>
      <c r="L850" s="37">
        <f>Tabela3[[#This Row],[Qtde Cx Produzida]]*Tabela3[[#This Row],[Qdt Peça Placa]]</f>
        <v>280</v>
      </c>
      <c r="M850" s="37">
        <f>Tabela3[[#This Row],[Previsto]]-Tabela3[[#This Row],[Perda Pçs]]</f>
        <v>280</v>
      </c>
      <c r="N850" s="38">
        <f>IFERROR(Tabela3[[#This Row],[Perda Pçs]]/Tabela3[[#This Row],[Previsto]],0)</f>
        <v>0</v>
      </c>
      <c r="O850" s="39">
        <f>IFERROR(IF(Tabela3[[#This Row],[Qtde Cx Produzida]] &lt;&gt; 0, Tabela3[[#This Row],[Tempo]] / Tabela3[[#This Row],[Qtde Cx Produzida]], 0),0)</f>
        <v>5.0892857142857146E-3</v>
      </c>
      <c r="P850" s="57">
        <f>IFERROR(Tabela3[[#This Row],[Perda Pçs]]/Tabela3[[#This Row],[Qdt Peça Placa]],0)</f>
        <v>0</v>
      </c>
      <c r="Q850" s="37">
        <f>IFERROR(Tabela3[[#This Row],[Realizado]]*Tabela3[[#This Row],[Peso Util/Pç]],0)</f>
        <v>84</v>
      </c>
      <c r="R850" s="37">
        <f>IFERROR(Tabela3[[#This Row],[Peso Total Galho]]*Tabela3[[#This Row],[Qtde Cx Produzida]]*1.055,0)</f>
        <v>169.85499999999999</v>
      </c>
      <c r="S850" s="37">
        <f>(Tabela3[[#This Row],[Aluminio Bruto]]-Tabela3[[#This Row],[Aluminio Util]])*0.9</f>
        <v>77.269499999999994</v>
      </c>
      <c r="T850" s="37">
        <f>Tabela3[[#This Row],[Aluminio Bruto]]/OleoKGAluminio</f>
        <v>71.457778879594983</v>
      </c>
      <c r="U850" s="35">
        <f>IFERROR((VLOOKUP(Tabela3[[#This Row],[Moldador]],Tabela1[],5,)+(VLOOKUP(Tabela3[[#This Row],[Ajudante]],Tabela1[],5,))*3.5),0)</f>
        <v>126.0945</v>
      </c>
      <c r="V850" s="35">
        <f>IFERROR(Tabela3[[#This Row],[Custo M.O. / H]]/((Tabela3[[#This Row],[Realizado]]/Tabela3[[#This Row],[Qdt Peça Placa]])/Tabela3[[#This Row],[Tempo]]/24),)</f>
        <v>15.4015425</v>
      </c>
      <c r="W850" s="35">
        <f>Tabela3[[#This Row],[Custo / Cx Moldada]]*Tabela3[[#This Row],[Qtde Cx Produzida]]</f>
        <v>1078.1079749999999</v>
      </c>
      <c r="X850" s="35">
        <f ca="1">Tabela3[[#This Row],[Aluminio Util]]*Tabela3[[#This Row],[Custo/Kg]]</f>
        <v>1310.4000000000001</v>
      </c>
      <c r="Y850" s="35">
        <f>IFERROR(VLOOKUP(Tabela3[[#This Row],[Data]],Tabela461213[],2,1)*(Tabela3[[#This Row],[Qtde Cx Produzida]]*Tabela3[[#This Row],[Qde macho / CX]]*Tabela3[[#This Row],[Peso Macho]]),)</f>
        <v>0</v>
      </c>
      <c r="Z850" s="35">
        <f>IFERROR(Tabela3[[#This Row],[Qtde Oleo]]*(VLOOKUP(Tabela3[[#This Row],[Data]],CompraOleo[],3,TRUE))*1.05,0)</f>
        <v>187.57666955893683</v>
      </c>
      <c r="AA850" s="47">
        <f ca="1">(Tabela3[[#This Row],[Custo Oleo]]+Tabela3[[#This Row],[Custo Aluminio]]+Tabela3[[#This Row],[Custo M.O. Total]]+Tabela3[[#This Row],[Custo Machos]])</f>
        <v>2576.0846445589368</v>
      </c>
      <c r="AB850" s="47">
        <f ca="1">Tabela3[[#This Row],[Custo Total]]*Tabela3[[#This Row],[% Perda]]</f>
        <v>0</v>
      </c>
      <c r="AC850" s="48">
        <f>IFERROR(VLOOKUP(Tabela3[[#This Row],[Produto]],Tabela2[],2,0),0)</f>
        <v>4</v>
      </c>
      <c r="AD850" s="48">
        <f>IFERROR(VLOOKUP(Tabela3[[#This Row],[Produto]],Tabela2[],3,0),0)</f>
        <v>0.3</v>
      </c>
      <c r="AE850" s="48">
        <f>IFERROR(VLOOKUP(Tabela3[[#This Row],[Produto]],Tabela2[],4,0),0)</f>
        <v>2.2999999999999998</v>
      </c>
      <c r="AF850" s="48">
        <f>IFERROR(VLOOKUP(Tabela3[[#This Row],[Produto]],Tabela2[],5,0),0)</f>
        <v>0.98999999999999988</v>
      </c>
      <c r="AG850" s="40">
        <f>IFERROR(VLOOKUP(Tabela3[[#This Row],[Produto]],Tabela2[],6,0),0)</f>
        <v>0</v>
      </c>
      <c r="AH850" s="40">
        <f>IFERROR(VLOOKUP(Tabela3[[#This Row],[Produto]],Tabela2[],7,0),0)</f>
        <v>0</v>
      </c>
      <c r="AI850" s="40">
        <f>IFERROR(VLOOKUP(Tabela3[[#This Row],[Produto]],Tabela2[],8,0),0)</f>
        <v>0</v>
      </c>
      <c r="AJ850" s="35">
        <f ca="1">IFERROR(VLOOKUP(Tabela3[[#This Row],[Produto]],Tabela2[],13,0),0)</f>
        <v>15.600000000000001</v>
      </c>
      <c r="AK850" s="40" t="str">
        <f>IFERROR(VLOOKUP(Tabela3[[#This Row],[Produto]],Tabela2[],14,0),0)</f>
        <v>Senun</v>
      </c>
      <c r="AL850" s="40">
        <f>IFERROR(VLOOKUP(Tabela3[[#This Row],[Produto]],Tabela2[],15,0),0)</f>
        <v>3.5</v>
      </c>
      <c r="AM850" s="36">
        <f ca="1">(Tabela3[[#This Row],[Custo Usinagem]]+Tabela3[[#This Row],[Custo / Pç]])*1.2</f>
        <v>15.240362762395442</v>
      </c>
      <c r="AN850" s="36">
        <f ca="1">Tabela3[[#This Row],[Valor Mínimo Venda]]*1.15</f>
        <v>17.526417176754759</v>
      </c>
      <c r="AO850" s="36">
        <f ca="1">Tabela3[[#This Row],[Tabela 1]]*1.08</f>
        <v>18.92853055089514</v>
      </c>
      <c r="AP850" s="36">
        <f ca="1">Tabela3[[#This Row],[Tabela 2]]*1.15</f>
        <v>21.767810133529409</v>
      </c>
    </row>
    <row r="851" spans="1:42">
      <c r="A851" s="69">
        <v>45987</v>
      </c>
      <c r="B851" s="6" t="s">
        <v>247</v>
      </c>
      <c r="C851" s="14">
        <v>8463</v>
      </c>
      <c r="D851" s="6" t="s">
        <v>44</v>
      </c>
      <c r="E851" s="6" t="s">
        <v>47</v>
      </c>
      <c r="F851" s="6">
        <v>12</v>
      </c>
      <c r="G851" s="15">
        <v>6.25E-2</v>
      </c>
      <c r="H851" s="16">
        <v>0</v>
      </c>
      <c r="I851" s="35">
        <f ca="1">IFERROR(Tabela3[[#This Row],[Custo Total]]/Tabela3[[#This Row],[Aluminio Util]],0)</f>
        <v>28.244549947626233</v>
      </c>
      <c r="J851" s="35">
        <f ca="1">Tabela3[[#This Row],[Custo Total]]/Tabela3[[#This Row],[Realizado]]</f>
        <v>8.4733649842878691</v>
      </c>
      <c r="K851" s="37">
        <f>IFERROR(Tabela3[[#This Row],[Qtde Cx Produzida]]/Tabela3[[#This Row],[Tempo]]/24,0)</f>
        <v>8</v>
      </c>
      <c r="L851" s="37">
        <f>Tabela3[[#This Row],[Qtde Cx Produzida]]*Tabela3[[#This Row],[Qdt Peça Placa]]</f>
        <v>48</v>
      </c>
      <c r="M851" s="37">
        <f>Tabela3[[#This Row],[Previsto]]-Tabela3[[#This Row],[Perda Pçs]]</f>
        <v>48</v>
      </c>
      <c r="N851" s="38">
        <f>IFERROR(Tabela3[[#This Row],[Perda Pçs]]/Tabela3[[#This Row],[Previsto]],0)</f>
        <v>0</v>
      </c>
      <c r="O851" s="39">
        <f>IFERROR(IF(Tabela3[[#This Row],[Qtde Cx Produzida]] &lt;&gt; 0, Tabela3[[#This Row],[Tempo]] / Tabela3[[#This Row],[Qtde Cx Produzida]], 0),0)</f>
        <v>5.208333333333333E-3</v>
      </c>
      <c r="P851" s="57">
        <f>IFERROR(Tabela3[[#This Row],[Perda Pçs]]/Tabela3[[#This Row],[Qdt Peça Placa]],0)</f>
        <v>0</v>
      </c>
      <c r="Q851" s="37">
        <f>IFERROR(Tabela3[[#This Row],[Realizado]]*Tabela3[[#This Row],[Peso Util/Pç]],0)</f>
        <v>14.399999999999999</v>
      </c>
      <c r="R851" s="37">
        <f>IFERROR(Tabela3[[#This Row],[Peso Total Galho]]*Tabela3[[#This Row],[Qtde Cx Produzida]]*1.055,0)</f>
        <v>29.117999999999995</v>
      </c>
      <c r="S851" s="37">
        <f>(Tabela3[[#This Row],[Aluminio Bruto]]-Tabela3[[#This Row],[Aluminio Util]])*0.9</f>
        <v>13.246199999999996</v>
      </c>
      <c r="T851" s="37">
        <f>Tabela3[[#This Row],[Aluminio Bruto]]/OleoKGAluminio</f>
        <v>12.249904950787709</v>
      </c>
      <c r="U851" s="35">
        <f>IFERROR((VLOOKUP(Tabela3[[#This Row],[Moldador]],Tabela1[],5,)+(VLOOKUP(Tabela3[[#This Row],[Ajudante]],Tabela1[],5,))*3.5),0)</f>
        <v>99.95034583333333</v>
      </c>
      <c r="V851" s="35">
        <f>IFERROR(Tabela3[[#This Row],[Custo M.O. / H]]/((Tabela3[[#This Row],[Realizado]]/Tabela3[[#This Row],[Qdt Peça Placa]])/Tabela3[[#This Row],[Tempo]]/24),)</f>
        <v>12.493793229166666</v>
      </c>
      <c r="W851" s="35">
        <f>Tabela3[[#This Row],[Custo / Cx Moldada]]*Tabela3[[#This Row],[Qtde Cx Produzida]]</f>
        <v>149.92551874999998</v>
      </c>
      <c r="X851" s="35">
        <f ca="1">Tabela3[[#This Row],[Aluminio Util]]*Tabela3[[#This Row],[Custo/Kg]]</f>
        <v>224.64</v>
      </c>
      <c r="Y851" s="35">
        <f>IFERROR(VLOOKUP(Tabela3[[#This Row],[Data]],Tabela461213[],2,1)*(Tabela3[[#This Row],[Qtde Cx Produzida]]*Tabela3[[#This Row],[Qde macho / CX]]*Tabela3[[#This Row],[Peso Macho]]),)</f>
        <v>0</v>
      </c>
      <c r="Z851" s="35">
        <f>IFERROR(Tabela3[[#This Row],[Qtde Oleo]]*(VLOOKUP(Tabela3[[#This Row],[Data]],CompraOleo[],3,TRUE))*1.05,0)</f>
        <v>32.156000495817736</v>
      </c>
      <c r="AA851" s="47">
        <f ca="1">(Tabela3[[#This Row],[Custo Oleo]]+Tabela3[[#This Row],[Custo Aluminio]]+Tabela3[[#This Row],[Custo M.O. Total]]+Tabela3[[#This Row],[Custo Machos]])</f>
        <v>406.72151924581772</v>
      </c>
      <c r="AB851" s="47">
        <f ca="1">Tabela3[[#This Row],[Custo Total]]*Tabela3[[#This Row],[% Perda]]</f>
        <v>0</v>
      </c>
      <c r="AC851" s="48">
        <f>IFERROR(VLOOKUP(Tabela3[[#This Row],[Produto]],Tabela2[],2,0),0)</f>
        <v>4</v>
      </c>
      <c r="AD851" s="48">
        <f>IFERROR(VLOOKUP(Tabela3[[#This Row],[Produto]],Tabela2[],3,0),0)</f>
        <v>0.3</v>
      </c>
      <c r="AE851" s="48">
        <f>IFERROR(VLOOKUP(Tabela3[[#This Row],[Produto]],Tabela2[],4,0),0)</f>
        <v>2.2999999999999998</v>
      </c>
      <c r="AF851" s="48">
        <f>IFERROR(VLOOKUP(Tabela3[[#This Row],[Produto]],Tabela2[],5,0),0)</f>
        <v>0.98999999999999988</v>
      </c>
      <c r="AG851" s="40">
        <f>IFERROR(VLOOKUP(Tabela3[[#This Row],[Produto]],Tabela2[],6,0),0)</f>
        <v>0</v>
      </c>
      <c r="AH851" s="40">
        <f>IFERROR(VLOOKUP(Tabela3[[#This Row],[Produto]],Tabela2[],7,0),0)</f>
        <v>0</v>
      </c>
      <c r="AI851" s="40">
        <f>IFERROR(VLOOKUP(Tabela3[[#This Row],[Produto]],Tabela2[],8,0),0)</f>
        <v>0</v>
      </c>
      <c r="AJ851" s="35">
        <f ca="1">IFERROR(VLOOKUP(Tabela3[[#This Row],[Produto]],Tabela2[],13,0),0)</f>
        <v>15.600000000000001</v>
      </c>
      <c r="AK851" s="40" t="str">
        <f>IFERROR(VLOOKUP(Tabela3[[#This Row],[Produto]],Tabela2[],14,0),0)</f>
        <v>Senun</v>
      </c>
      <c r="AL851" s="40">
        <f>IFERROR(VLOOKUP(Tabela3[[#This Row],[Produto]],Tabela2[],15,0),0)</f>
        <v>3.5</v>
      </c>
      <c r="AM851" s="36">
        <f ca="1">(Tabela3[[#This Row],[Custo Usinagem]]+Tabela3[[#This Row],[Custo / Pç]])*1.2</f>
        <v>14.368037981145443</v>
      </c>
      <c r="AN851" s="36">
        <f ca="1">Tabela3[[#This Row],[Valor Mínimo Venda]]*1.15</f>
        <v>16.523243678317257</v>
      </c>
      <c r="AO851" s="36">
        <f ca="1">Tabela3[[#This Row],[Tabela 1]]*1.08</f>
        <v>17.84510317258264</v>
      </c>
      <c r="AP851" s="36">
        <f ca="1">Tabela3[[#This Row],[Tabela 2]]*1.15</f>
        <v>20.521868648470033</v>
      </c>
    </row>
    <row r="852" spans="1:42">
      <c r="A852" s="69">
        <v>45988</v>
      </c>
      <c r="B852" s="6" t="s">
        <v>126</v>
      </c>
      <c r="C852" s="14">
        <v>8484</v>
      </c>
      <c r="D852" s="6" t="s">
        <v>46</v>
      </c>
      <c r="E852" s="6" t="s">
        <v>44</v>
      </c>
      <c r="F852" s="6">
        <v>20</v>
      </c>
      <c r="G852" s="15">
        <v>0.1125</v>
      </c>
      <c r="H852" s="16">
        <v>0</v>
      </c>
      <c r="I852" s="35">
        <f ca="1">IFERROR(Tabela3[[#This Row],[Custo Total]]/Tabela3[[#This Row],[Aluminio Util]],0)</f>
        <v>23.07912012283613</v>
      </c>
      <c r="J852" s="35">
        <f ca="1">Tabela3[[#This Row],[Custo Total]]/Tabela3[[#This Row],[Realizado]]</f>
        <v>72.514595425951114</v>
      </c>
      <c r="K852" s="37">
        <f>IFERROR(Tabela3[[#This Row],[Qtde Cx Produzida]]/Tabela3[[#This Row],[Tempo]]/24,0)</f>
        <v>7.4074074074074074</v>
      </c>
      <c r="L852" s="37">
        <f>Tabela3[[#This Row],[Qtde Cx Produzida]]*Tabela3[[#This Row],[Qdt Peça Placa]]</f>
        <v>20</v>
      </c>
      <c r="M852" s="37">
        <f>Tabela3[[#This Row],[Previsto]]-Tabela3[[#This Row],[Perda Pçs]]</f>
        <v>20</v>
      </c>
      <c r="N852" s="38">
        <f>IFERROR(Tabela3[[#This Row],[Perda Pçs]]/Tabela3[[#This Row],[Previsto]],0)</f>
        <v>0</v>
      </c>
      <c r="O852" s="39">
        <f>IFERROR(IF(Tabela3[[#This Row],[Qtde Cx Produzida]] &lt;&gt; 0, Tabela3[[#This Row],[Tempo]] / Tabela3[[#This Row],[Qtde Cx Produzida]], 0),0)</f>
        <v>5.6249999999999998E-3</v>
      </c>
      <c r="P852" s="57">
        <f>IFERROR(Tabela3[[#This Row],[Perda Pçs]]/Tabela3[[#This Row],[Qdt Peça Placa]],0)</f>
        <v>0</v>
      </c>
      <c r="Q852" s="37">
        <f>IFERROR(Tabela3[[#This Row],[Realizado]]*Tabela3[[#This Row],[Peso Util/Pç]],0)</f>
        <v>62.839999999999996</v>
      </c>
      <c r="R852" s="37">
        <f>IFERROR(Tabela3[[#This Row],[Peso Total Galho]]*Tabela3[[#This Row],[Qtde Cx Produzida]]*1.055,0)</f>
        <v>117.2949</v>
      </c>
      <c r="S852" s="37">
        <f>(Tabela3[[#This Row],[Aluminio Bruto]]-Tabela3[[#This Row],[Aluminio Util]])*0.9</f>
        <v>49.009410000000003</v>
      </c>
      <c r="T852" s="37">
        <f>Tabela3[[#This Row],[Aluminio Bruto]]/OleoKGAluminio</f>
        <v>49.345812769151365</v>
      </c>
      <c r="U852" s="35">
        <f>IFERROR((VLOOKUP(Tabela3[[#This Row],[Moldador]],Tabela1[],5,)+(VLOOKUP(Tabela3[[#This Row],[Ajudante]],Tabela1[],5,))*3.5),0)</f>
        <v>126.0945</v>
      </c>
      <c r="V852" s="35">
        <f>IFERROR(Tabela3[[#This Row],[Custo M.O. / H]]/((Tabela3[[#This Row],[Realizado]]/Tabela3[[#This Row],[Qdt Peça Placa]])/Tabela3[[#This Row],[Tempo]]/24),)</f>
        <v>17.022757500000001</v>
      </c>
      <c r="W852" s="35">
        <f>Tabela3[[#This Row],[Custo / Cx Moldada]]*Tabela3[[#This Row],[Qtde Cx Produzida]]</f>
        <v>340.45515</v>
      </c>
      <c r="X852" s="35">
        <f ca="1">Tabela3[[#This Row],[Aluminio Util]]*Tabela3[[#This Row],[Custo/Kg]]</f>
        <v>980.30400000000009</v>
      </c>
      <c r="Y852" s="35">
        <f>IFERROR(VLOOKUP(Tabela3[[#This Row],[Data]],Tabela461213[],2,1)*(Tabela3[[#This Row],[Qtde Cx Produzida]]*Tabela3[[#This Row],[Qde macho / CX]]*Tabela3[[#This Row],[Peso Macho]]),)</f>
        <v>0</v>
      </c>
      <c r="Z852" s="35">
        <f>IFERROR(Tabela3[[#This Row],[Qtde Oleo]]*(VLOOKUP(Tabela3[[#This Row],[Data]],CompraOleo[],3,TRUE))*1.05,0)</f>
        <v>129.53275851902234</v>
      </c>
      <c r="AA852" s="47">
        <f ca="1">(Tabela3[[#This Row],[Custo Oleo]]+Tabela3[[#This Row],[Custo Aluminio]]+Tabela3[[#This Row],[Custo M.O. Total]]+Tabela3[[#This Row],[Custo Machos]])</f>
        <v>1450.2919085190224</v>
      </c>
      <c r="AB852" s="47">
        <f ca="1">Tabela3[[#This Row],[Custo Total]]*Tabela3[[#This Row],[% Perda]]</f>
        <v>0</v>
      </c>
      <c r="AC852" s="48">
        <f>IFERROR(VLOOKUP(Tabela3[[#This Row],[Produto]],Tabela2[],2,0),0)</f>
        <v>1</v>
      </c>
      <c r="AD852" s="48">
        <f>IFERROR(VLOOKUP(Tabela3[[#This Row],[Produto]],Tabela2[],3,0),0)</f>
        <v>3.1419999999999999</v>
      </c>
      <c r="AE852" s="48">
        <f>IFERROR(VLOOKUP(Tabela3[[#This Row],[Produto]],Tabela2[],4,0),0)</f>
        <v>5.5590000000000002</v>
      </c>
      <c r="AF852" s="48">
        <f>IFERROR(VLOOKUP(Tabela3[[#This Row],[Produto]],Tabela2[],5,0),0)</f>
        <v>2.1753000000000005</v>
      </c>
      <c r="AG852" s="40">
        <f>IFERROR(VLOOKUP(Tabela3[[#This Row],[Produto]],Tabela2[],6,0),0)</f>
        <v>0</v>
      </c>
      <c r="AH852" s="40">
        <f>IFERROR(VLOOKUP(Tabela3[[#This Row],[Produto]],Tabela2[],7,0),0)</f>
        <v>0</v>
      </c>
      <c r="AI852" s="40">
        <f>IFERROR(VLOOKUP(Tabela3[[#This Row],[Produto]],Tabela2[],8,0),0)</f>
        <v>0</v>
      </c>
      <c r="AJ852" s="35">
        <f ca="1">IFERROR(VLOOKUP(Tabela3[[#This Row],[Produto]],Tabela2[],13,0),0)</f>
        <v>15.600000000000001</v>
      </c>
      <c r="AK852" s="40" t="str">
        <f>IFERROR(VLOOKUP(Tabela3[[#This Row],[Produto]],Tabela2[],14,0),0)</f>
        <v>Senun</v>
      </c>
      <c r="AL852" s="40">
        <f>IFERROR(VLOOKUP(Tabela3[[#This Row],[Produto]],Tabela2[],15,0),0)</f>
        <v>6.5</v>
      </c>
      <c r="AM852" s="36">
        <f ca="1">(Tabela3[[#This Row],[Custo Usinagem]]+Tabela3[[#This Row],[Custo / Pç]])*1.2</f>
        <v>94.81751451114134</v>
      </c>
      <c r="AN852" s="36">
        <f ca="1">Tabela3[[#This Row],[Valor Mínimo Venda]]*1.15</f>
        <v>109.04014168781254</v>
      </c>
      <c r="AO852" s="36">
        <f ca="1">Tabela3[[#This Row],[Tabela 1]]*1.08</f>
        <v>117.76335302283755</v>
      </c>
      <c r="AP852" s="36">
        <f ca="1">Tabela3[[#This Row],[Tabela 2]]*1.15</f>
        <v>135.42785597626317</v>
      </c>
    </row>
    <row r="853" spans="1:42">
      <c r="A853" s="69">
        <v>45988</v>
      </c>
      <c r="B853" s="6" t="s">
        <v>156</v>
      </c>
      <c r="C853" s="14">
        <v>8482</v>
      </c>
      <c r="D853" s="6" t="s">
        <v>46</v>
      </c>
      <c r="E853" s="6" t="s">
        <v>44</v>
      </c>
      <c r="F853" s="6">
        <v>15</v>
      </c>
      <c r="G853" s="15">
        <v>6.25E-2</v>
      </c>
      <c r="H853" s="16">
        <v>0</v>
      </c>
      <c r="I853" s="35">
        <f ca="1">IFERROR(Tabela3[[#This Row],[Custo Total]]/Tabela3[[#This Row],[Aluminio Util]],0)</f>
        <v>29.648303194853579</v>
      </c>
      <c r="J853" s="35">
        <f ca="1">Tabela3[[#This Row],[Custo Total]]/Tabela3[[#This Row],[Realizado]]</f>
        <v>15.595007480492985</v>
      </c>
      <c r="K853" s="37">
        <f>IFERROR(Tabela3[[#This Row],[Qtde Cx Produzida]]/Tabela3[[#This Row],[Tempo]]/24,0)</f>
        <v>10</v>
      </c>
      <c r="L853" s="37">
        <f>Tabela3[[#This Row],[Qtde Cx Produzida]]*Tabela3[[#This Row],[Qdt Peça Placa]]</f>
        <v>30</v>
      </c>
      <c r="M853" s="37">
        <f>Tabela3[[#This Row],[Previsto]]-Tabela3[[#This Row],[Perda Pçs]]</f>
        <v>30</v>
      </c>
      <c r="N853" s="38">
        <f>IFERROR(Tabela3[[#This Row],[Perda Pçs]]/Tabela3[[#This Row],[Previsto]],0)</f>
        <v>0</v>
      </c>
      <c r="O853" s="39">
        <f>IFERROR(IF(Tabela3[[#This Row],[Qtde Cx Produzida]] &lt;&gt; 0, Tabela3[[#This Row],[Tempo]] / Tabela3[[#This Row],[Qtde Cx Produzida]], 0),0)</f>
        <v>4.1666666666666666E-3</v>
      </c>
      <c r="P853" s="57">
        <f>IFERROR(Tabela3[[#This Row],[Perda Pçs]]/Tabela3[[#This Row],[Qdt Peça Placa]],0)</f>
        <v>0</v>
      </c>
      <c r="Q853" s="37">
        <f>IFERROR(Tabela3[[#This Row],[Realizado]]*Tabela3[[#This Row],[Peso Util/Pç]],0)</f>
        <v>15.780000000000001</v>
      </c>
      <c r="R853" s="37">
        <f>IFERROR(Tabela3[[#This Row],[Peso Total Galho]]*Tabela3[[#This Row],[Qtde Cx Produzida]]*1.055,0)</f>
        <v>29.466149999999999</v>
      </c>
      <c r="S853" s="37">
        <f>(Tabela3[[#This Row],[Aluminio Bruto]]-Tabela3[[#This Row],[Aluminio Util]])*0.9</f>
        <v>12.317534999999998</v>
      </c>
      <c r="T853" s="37">
        <f>Tabela3[[#This Row],[Aluminio Bruto]]/OleoKGAluminio</f>
        <v>12.396371205634086</v>
      </c>
      <c r="U853" s="35">
        <f>IFERROR((VLOOKUP(Tabela3[[#This Row],[Moldador]],Tabela1[],5,)+(VLOOKUP(Tabela3[[#This Row],[Ajudante]],Tabela1[],5,))*3.5),0)</f>
        <v>126.0945</v>
      </c>
      <c r="V853" s="35">
        <f>IFERROR(Tabela3[[#This Row],[Custo M.O. / H]]/((Tabela3[[#This Row],[Realizado]]/Tabela3[[#This Row],[Qdt Peça Placa]])/Tabela3[[#This Row],[Tempo]]/24),)</f>
        <v>12.609449999999999</v>
      </c>
      <c r="W853" s="35">
        <f>Tabela3[[#This Row],[Custo / Cx Moldada]]*Tabela3[[#This Row],[Qtde Cx Produzida]]</f>
        <v>189.14174999999997</v>
      </c>
      <c r="X853" s="35">
        <f ca="1">Tabela3[[#This Row],[Aluminio Util]]*Tabela3[[#This Row],[Custo/Kg]]</f>
        <v>246.16800000000003</v>
      </c>
      <c r="Y853" s="35">
        <f>IFERROR(VLOOKUP(Tabela3[[#This Row],[Data]],Tabela461213[],2,1)*(Tabela3[[#This Row],[Qtde Cx Produzida]]*Tabela3[[#This Row],[Qde macho / CX]]*Tabela3[[#This Row],[Peso Macho]]),)</f>
        <v>0</v>
      </c>
      <c r="Z853" s="35">
        <f>IFERROR(Tabela3[[#This Row],[Qtde Oleo]]*(VLOOKUP(Tabela3[[#This Row],[Data]],CompraOleo[],3,TRUE))*1.05,0)</f>
        <v>32.540474414789472</v>
      </c>
      <c r="AA853" s="47">
        <f ca="1">(Tabela3[[#This Row],[Custo Oleo]]+Tabela3[[#This Row],[Custo Aluminio]]+Tabela3[[#This Row],[Custo M.O. Total]]+Tabela3[[#This Row],[Custo Machos]])</f>
        <v>467.85022441478952</v>
      </c>
      <c r="AB853" s="47">
        <f ca="1">Tabela3[[#This Row],[Custo Total]]*Tabela3[[#This Row],[% Perda]]</f>
        <v>0</v>
      </c>
      <c r="AC853" s="48">
        <f>IFERROR(VLOOKUP(Tabela3[[#This Row],[Produto]],Tabela2[],2,0),0)</f>
        <v>2</v>
      </c>
      <c r="AD853" s="48">
        <f>IFERROR(VLOOKUP(Tabela3[[#This Row],[Produto]],Tabela2[],3,0),0)</f>
        <v>0.52600000000000002</v>
      </c>
      <c r="AE853" s="48">
        <f>IFERROR(VLOOKUP(Tabela3[[#This Row],[Produto]],Tabela2[],4,0),0)</f>
        <v>1.8620000000000001</v>
      </c>
      <c r="AF853" s="48">
        <f>IFERROR(VLOOKUP(Tabela3[[#This Row],[Produto]],Tabela2[],5,0),0)</f>
        <v>0.72900000000000009</v>
      </c>
      <c r="AG853" s="40">
        <f>IFERROR(VLOOKUP(Tabela3[[#This Row],[Produto]],Tabela2[],6,0),0)</f>
        <v>0</v>
      </c>
      <c r="AH853" s="40">
        <f>IFERROR(VLOOKUP(Tabela3[[#This Row],[Produto]],Tabela2[],7,0),0)</f>
        <v>0</v>
      </c>
      <c r="AI853" s="40">
        <f>IFERROR(VLOOKUP(Tabela3[[#This Row],[Produto]],Tabela2[],8,0),0)</f>
        <v>0</v>
      </c>
      <c r="AJ853" s="35">
        <f ca="1">IFERROR(VLOOKUP(Tabela3[[#This Row],[Produto]],Tabela2[],13,0),0)</f>
        <v>15.600000000000001</v>
      </c>
      <c r="AK853" s="40" t="str">
        <f>IFERROR(VLOOKUP(Tabela3[[#This Row],[Produto]],Tabela2[],14,0),0)</f>
        <v>Senun</v>
      </c>
      <c r="AL853" s="40">
        <f>IFERROR(VLOOKUP(Tabela3[[#This Row],[Produto]],Tabela2[],15,0),0)</f>
        <v>0</v>
      </c>
      <c r="AM853" s="36">
        <f ca="1">(Tabela3[[#This Row],[Custo Usinagem]]+Tabela3[[#This Row],[Custo / Pç]])*1.2</f>
        <v>18.714008976591582</v>
      </c>
      <c r="AN853" s="36">
        <f ca="1">Tabela3[[#This Row],[Valor Mínimo Venda]]*1.15</f>
        <v>21.521110323080318</v>
      </c>
      <c r="AO853" s="36">
        <f ca="1">Tabela3[[#This Row],[Tabela 1]]*1.08</f>
        <v>23.242799148926746</v>
      </c>
      <c r="AP853" s="36">
        <f ca="1">Tabela3[[#This Row],[Tabela 2]]*1.15</f>
        <v>26.729219021265756</v>
      </c>
    </row>
    <row r="854" spans="1:42">
      <c r="A854" s="69">
        <v>45988</v>
      </c>
      <c r="B854" s="6" t="s">
        <v>125</v>
      </c>
      <c r="C854" s="14">
        <v>8483</v>
      </c>
      <c r="D854" s="6" t="s">
        <v>46</v>
      </c>
      <c r="E854" s="6" t="s">
        <v>44</v>
      </c>
      <c r="F854" s="6">
        <v>20</v>
      </c>
      <c r="G854" s="15">
        <v>7.9166666666666663E-2</v>
      </c>
      <c r="H854" s="16">
        <v>0</v>
      </c>
      <c r="I854" s="35">
        <f ca="1">IFERROR(Tabela3[[#This Row],[Custo Total]]/Tabela3[[#This Row],[Aluminio Util]],0)</f>
        <v>25.764671069456796</v>
      </c>
      <c r="J854" s="35">
        <f ca="1">Tabela3[[#This Row],[Custo Total]]/Tabela3[[#This Row],[Realizado]]</f>
        <v>36.122068839378429</v>
      </c>
      <c r="K854" s="37">
        <f>IFERROR(Tabela3[[#This Row],[Qtde Cx Produzida]]/Tabela3[[#This Row],[Tempo]]/24,0)</f>
        <v>10.526315789473685</v>
      </c>
      <c r="L854" s="37">
        <f>Tabela3[[#This Row],[Qtde Cx Produzida]]*Tabela3[[#This Row],[Qdt Peça Placa]]</f>
        <v>20</v>
      </c>
      <c r="M854" s="37">
        <f>Tabela3[[#This Row],[Previsto]]-Tabela3[[#This Row],[Perda Pçs]]</f>
        <v>20</v>
      </c>
      <c r="N854" s="38">
        <f>IFERROR(Tabela3[[#This Row],[Perda Pçs]]/Tabela3[[#This Row],[Previsto]],0)</f>
        <v>0</v>
      </c>
      <c r="O854" s="39">
        <f>IFERROR(IF(Tabela3[[#This Row],[Qtde Cx Produzida]] &lt;&gt; 0, Tabela3[[#This Row],[Tempo]] / Tabela3[[#This Row],[Qtde Cx Produzida]], 0),0)</f>
        <v>3.9583333333333328E-3</v>
      </c>
      <c r="P854" s="57">
        <f>IFERROR(Tabela3[[#This Row],[Perda Pçs]]/Tabela3[[#This Row],[Qdt Peça Placa]],0)</f>
        <v>0</v>
      </c>
      <c r="Q854" s="37">
        <f>IFERROR(Tabela3[[#This Row],[Realizado]]*Tabela3[[#This Row],[Peso Util/Pç]],0)</f>
        <v>28.04</v>
      </c>
      <c r="R854" s="37">
        <f>IFERROR(Tabela3[[#This Row],[Peso Total Galho]]*Tabela3[[#This Row],[Qtde Cx Produzida]]*1.055,0)</f>
        <v>41.144999999999996</v>
      </c>
      <c r="S854" s="37">
        <f>(Tabela3[[#This Row],[Aluminio Bruto]]-Tabela3[[#This Row],[Aluminio Util]])*0.9</f>
        <v>11.794499999999998</v>
      </c>
      <c r="T854" s="37">
        <f>Tabela3[[#This Row],[Aluminio Bruto]]/OleoKGAluminio</f>
        <v>17.309648300026112</v>
      </c>
      <c r="U854" s="35">
        <f>IFERROR((VLOOKUP(Tabela3[[#This Row],[Moldador]],Tabela1[],5,)+(VLOOKUP(Tabela3[[#This Row],[Ajudante]],Tabela1[],5,))*3.5),0)</f>
        <v>126.0945</v>
      </c>
      <c r="V854" s="35">
        <f>IFERROR(Tabela3[[#This Row],[Custo M.O. / H]]/((Tabela3[[#This Row],[Realizado]]/Tabela3[[#This Row],[Qdt Peça Placa]])/Tabela3[[#This Row],[Tempo]]/24),)</f>
        <v>11.978977499999999</v>
      </c>
      <c r="W854" s="35">
        <f>Tabela3[[#This Row],[Custo / Cx Moldada]]*Tabela3[[#This Row],[Qtde Cx Produzida]]</f>
        <v>239.57954999999998</v>
      </c>
      <c r="X854" s="35">
        <f ca="1">Tabela3[[#This Row],[Aluminio Util]]*Tabela3[[#This Row],[Custo/Kg]]</f>
        <v>437.42400000000004</v>
      </c>
      <c r="Y854" s="35">
        <f>IFERROR(VLOOKUP(Tabela3[[#This Row],[Data]],Tabela461213[],2,1)*(Tabela3[[#This Row],[Qtde Cx Produzida]]*Tabela3[[#This Row],[Qde macho / CX]]*Tabela3[[#This Row],[Peso Macho]]),)</f>
        <v>0</v>
      </c>
      <c r="Z854" s="35">
        <f>IFERROR(Tabela3[[#This Row],[Qtde Oleo]]*(VLOOKUP(Tabela3[[#This Row],[Data]],CompraOleo[],3,TRUE))*1.05,0)</f>
        <v>45.437826787568547</v>
      </c>
      <c r="AA854" s="47">
        <f ca="1">(Tabela3[[#This Row],[Custo Oleo]]+Tabela3[[#This Row],[Custo Aluminio]]+Tabela3[[#This Row],[Custo M.O. Total]]+Tabela3[[#This Row],[Custo Machos]])</f>
        <v>722.44137678756852</v>
      </c>
      <c r="AB854" s="47">
        <f ca="1">Tabela3[[#This Row],[Custo Total]]*Tabela3[[#This Row],[% Perda]]</f>
        <v>0</v>
      </c>
      <c r="AC854" s="48">
        <f>IFERROR(VLOOKUP(Tabela3[[#This Row],[Produto]],Tabela2[],2,0),0)</f>
        <v>1</v>
      </c>
      <c r="AD854" s="48">
        <f>IFERROR(VLOOKUP(Tabela3[[#This Row],[Produto]],Tabela2[],3,0),0)</f>
        <v>1.4019999999999999</v>
      </c>
      <c r="AE854" s="48">
        <f>IFERROR(VLOOKUP(Tabela3[[#This Row],[Produto]],Tabela2[],4,0),0)</f>
        <v>1.95</v>
      </c>
      <c r="AF854" s="48">
        <f>IFERROR(VLOOKUP(Tabela3[[#This Row],[Produto]],Tabela2[],5,0),0)</f>
        <v>0.49320000000000003</v>
      </c>
      <c r="AG854" s="40">
        <f>IFERROR(VLOOKUP(Tabela3[[#This Row],[Produto]],Tabela2[],6,0),0)</f>
        <v>0</v>
      </c>
      <c r="AH854" s="40">
        <f>IFERROR(VLOOKUP(Tabela3[[#This Row],[Produto]],Tabela2[],7,0),0)</f>
        <v>0</v>
      </c>
      <c r="AI854" s="40">
        <f>IFERROR(VLOOKUP(Tabela3[[#This Row],[Produto]],Tabela2[],8,0),0)</f>
        <v>0</v>
      </c>
      <c r="AJ854" s="35">
        <f ca="1">IFERROR(VLOOKUP(Tabela3[[#This Row],[Produto]],Tabela2[],13,0),0)</f>
        <v>15.600000000000001</v>
      </c>
      <c r="AK854" s="40" t="str">
        <f>IFERROR(VLOOKUP(Tabela3[[#This Row],[Produto]],Tabela2[],14,0),0)</f>
        <v>Senun</v>
      </c>
      <c r="AL854" s="40">
        <f>IFERROR(VLOOKUP(Tabela3[[#This Row],[Produto]],Tabela2[],15,0),0)</f>
        <v>6</v>
      </c>
      <c r="AM854" s="36">
        <f ca="1">(Tabela3[[#This Row],[Custo Usinagem]]+Tabela3[[#This Row],[Custo / Pç]])*1.2</f>
        <v>50.546482607254113</v>
      </c>
      <c r="AN854" s="36">
        <f ca="1">Tabela3[[#This Row],[Valor Mínimo Venda]]*1.15</f>
        <v>58.128454998342228</v>
      </c>
      <c r="AO854" s="36">
        <f ca="1">Tabela3[[#This Row],[Tabela 1]]*1.08</f>
        <v>62.778731398209608</v>
      </c>
      <c r="AP854" s="36">
        <f ca="1">Tabela3[[#This Row],[Tabela 2]]*1.15</f>
        <v>72.19554110794104</v>
      </c>
    </row>
    <row r="855" spans="1:42">
      <c r="A855" s="69">
        <v>45988</v>
      </c>
      <c r="B855" s="6" t="s">
        <v>243</v>
      </c>
      <c r="C855" s="14">
        <v>8490</v>
      </c>
      <c r="D855" s="6" t="s">
        <v>46</v>
      </c>
      <c r="E855" s="6" t="s">
        <v>44</v>
      </c>
      <c r="F855" s="6">
        <v>20</v>
      </c>
      <c r="G855" s="15">
        <v>0.10486111111111111</v>
      </c>
      <c r="H855" s="16">
        <v>0</v>
      </c>
      <c r="I855" s="35">
        <f ca="1">IFERROR(Tabela3[[#This Row],[Custo Total]]/Tabela3[[#This Row],[Aluminio Util]],0)</f>
        <v>23.71117190728576</v>
      </c>
      <c r="J855" s="35">
        <f ca="1">Tabela3[[#This Row],[Custo Total]]/Tabela3[[#This Row],[Realizado]]</f>
        <v>13.894746737669454</v>
      </c>
      <c r="K855" s="37">
        <f>IFERROR(Tabela3[[#This Row],[Qtde Cx Produzida]]/Tabela3[[#This Row],[Tempo]]/24,0)</f>
        <v>7.9470198675496695</v>
      </c>
      <c r="L855" s="37">
        <f>Tabela3[[#This Row],[Qtde Cx Produzida]]*Tabela3[[#This Row],[Qdt Peça Placa]]</f>
        <v>80</v>
      </c>
      <c r="M855" s="37">
        <f>Tabela3[[#This Row],[Previsto]]-Tabela3[[#This Row],[Perda Pçs]]</f>
        <v>80</v>
      </c>
      <c r="N855" s="38">
        <f>IFERROR(Tabela3[[#This Row],[Perda Pçs]]/Tabela3[[#This Row],[Previsto]],0)</f>
        <v>0</v>
      </c>
      <c r="O855" s="39">
        <f>IFERROR(IF(Tabela3[[#This Row],[Qtde Cx Produzida]] &lt;&gt; 0, Tabela3[[#This Row],[Tempo]] / Tabela3[[#This Row],[Qtde Cx Produzida]], 0),0)</f>
        <v>5.2430555555555555E-3</v>
      </c>
      <c r="P855" s="57">
        <f>IFERROR(Tabela3[[#This Row],[Perda Pçs]]/Tabela3[[#This Row],[Qdt Peça Placa]],0)</f>
        <v>0</v>
      </c>
      <c r="Q855" s="37">
        <f>IFERROR(Tabela3[[#This Row],[Realizado]]*Tabela3[[#This Row],[Peso Util/Pç]],0)</f>
        <v>46.879999999999995</v>
      </c>
      <c r="R855" s="37">
        <f>IFERROR(Tabela3[[#This Row],[Peso Total Galho]]*Tabela3[[#This Row],[Qtde Cx Produzida]]*1.055,0)</f>
        <v>56.97</v>
      </c>
      <c r="S855" s="37">
        <f>(Tabela3[[#This Row],[Aluminio Bruto]]-Tabela3[[#This Row],[Aluminio Util]])*0.9</f>
        <v>9.0810000000000031</v>
      </c>
      <c r="T855" s="37">
        <f>Tabela3[[#This Row],[Aluminio Bruto]]/OleoKGAluminio</f>
        <v>23.967205338497696</v>
      </c>
      <c r="U855" s="35">
        <f>IFERROR((VLOOKUP(Tabela3[[#This Row],[Moldador]],Tabela1[],5,)+(VLOOKUP(Tabela3[[#This Row],[Ajudante]],Tabela1[],5,))*3.5),0)</f>
        <v>126.0945</v>
      </c>
      <c r="V855" s="35">
        <f>IFERROR(Tabela3[[#This Row],[Custo M.O. / H]]/((Tabela3[[#This Row],[Realizado]]/Tabela3[[#This Row],[Qdt Peça Placa]])/Tabela3[[#This Row],[Tempo]]/24),)</f>
        <v>15.866891249999998</v>
      </c>
      <c r="W855" s="35">
        <f>Tabela3[[#This Row],[Custo / Cx Moldada]]*Tabela3[[#This Row],[Qtde Cx Produzida]]</f>
        <v>317.33782499999995</v>
      </c>
      <c r="X855" s="35">
        <f ca="1">Tabela3[[#This Row],[Aluminio Util]]*Tabela3[[#This Row],[Custo/Kg]]</f>
        <v>731.32799999999997</v>
      </c>
      <c r="Y855" s="35">
        <f>IFERROR(VLOOKUP(Tabela3[[#This Row],[Data]],Tabela461213[],2,1)*(Tabela3[[#This Row],[Qtde Cx Produzida]]*Tabela3[[#This Row],[Qde macho / CX]]*Tabela3[[#This Row],[Peso Macho]]),)</f>
        <v>0</v>
      </c>
      <c r="Z855" s="35">
        <f>IFERROR(Tabela3[[#This Row],[Qtde Oleo]]*(VLOOKUP(Tabela3[[#This Row],[Data]],CompraOleo[],3,TRUE))*1.05,0)</f>
        <v>62.91391401355645</v>
      </c>
      <c r="AA855" s="47">
        <f ca="1">(Tabela3[[#This Row],[Custo Oleo]]+Tabela3[[#This Row],[Custo Aluminio]]+Tabela3[[#This Row],[Custo M.O. Total]]+Tabela3[[#This Row],[Custo Machos]])</f>
        <v>1111.5797390135563</v>
      </c>
      <c r="AB855" s="47">
        <f ca="1">Tabela3[[#This Row],[Custo Total]]*Tabela3[[#This Row],[% Perda]]</f>
        <v>0</v>
      </c>
      <c r="AC855" s="48">
        <f>IFERROR(VLOOKUP(Tabela3[[#This Row],[Produto]],Tabela2[],2,0),0)</f>
        <v>4</v>
      </c>
      <c r="AD855" s="48">
        <f>IFERROR(VLOOKUP(Tabela3[[#This Row],[Produto]],Tabela2[],3,0),0)</f>
        <v>0.58599999999999997</v>
      </c>
      <c r="AE855" s="48">
        <f>IFERROR(VLOOKUP(Tabela3[[#This Row],[Produto]],Tabela2[],4,0),0)</f>
        <v>2.7</v>
      </c>
      <c r="AF855" s="48">
        <f>IFERROR(VLOOKUP(Tabela3[[#This Row],[Produto]],Tabela2[],5,0),0)</f>
        <v>0.3204000000000003</v>
      </c>
      <c r="AG855" s="40">
        <f>IFERROR(VLOOKUP(Tabela3[[#This Row],[Produto]],Tabela2[],6,0),0)</f>
        <v>0</v>
      </c>
      <c r="AH855" s="40">
        <f>IFERROR(VLOOKUP(Tabela3[[#This Row],[Produto]],Tabela2[],7,0),0)</f>
        <v>0</v>
      </c>
      <c r="AI855" s="40">
        <f>IFERROR(VLOOKUP(Tabela3[[#This Row],[Produto]],Tabela2[],8,0),0)</f>
        <v>0</v>
      </c>
      <c r="AJ855" s="35">
        <f ca="1">IFERROR(VLOOKUP(Tabela3[[#This Row],[Produto]],Tabela2[],13,0),0)</f>
        <v>15.600000000000001</v>
      </c>
      <c r="AK855" s="40" t="str">
        <f>IFERROR(VLOOKUP(Tabela3[[#This Row],[Produto]],Tabela2[],14,0),0)</f>
        <v>Senun</v>
      </c>
      <c r="AL855" s="40">
        <f>IFERROR(VLOOKUP(Tabela3[[#This Row],[Produto]],Tabela2[],15,0),0)</f>
        <v>4</v>
      </c>
      <c r="AM855" s="36">
        <f ca="1">(Tabela3[[#This Row],[Custo Usinagem]]+Tabela3[[#This Row],[Custo / Pç]])*1.2</f>
        <v>21.473696085203343</v>
      </c>
      <c r="AN855" s="36">
        <f ca="1">Tabela3[[#This Row],[Valor Mínimo Venda]]*1.15</f>
        <v>24.694750497983843</v>
      </c>
      <c r="AO855" s="36">
        <f ca="1">Tabela3[[#This Row],[Tabela 1]]*1.08</f>
        <v>26.670330537822554</v>
      </c>
      <c r="AP855" s="36">
        <f ca="1">Tabela3[[#This Row],[Tabela 2]]*1.15</f>
        <v>30.670880118495933</v>
      </c>
    </row>
    <row r="856" spans="1:42">
      <c r="A856" s="69">
        <v>45988</v>
      </c>
      <c r="B856" s="6" t="s">
        <v>244</v>
      </c>
      <c r="C856" s="14">
        <v>8491</v>
      </c>
      <c r="D856" s="6" t="s">
        <v>46</v>
      </c>
      <c r="E856" s="6" t="s">
        <v>44</v>
      </c>
      <c r="F856" s="6">
        <v>11</v>
      </c>
      <c r="G856" s="15">
        <v>5.347222222222222E-2</v>
      </c>
      <c r="H856" s="16">
        <v>0</v>
      </c>
      <c r="I856" s="35">
        <f ca="1">IFERROR(Tabela3[[#This Row],[Custo Total]]/Tabela3[[#This Row],[Aluminio Util]],0)</f>
        <v>25.34366457629995</v>
      </c>
      <c r="J856" s="35">
        <f ca="1">Tabela3[[#This Row],[Custo Total]]/Tabela3[[#This Row],[Realizado]]</f>
        <v>11.911522350860976</v>
      </c>
      <c r="K856" s="37">
        <f>IFERROR(Tabela3[[#This Row],[Qtde Cx Produzida]]/Tabela3[[#This Row],[Tempo]]/24,0)</f>
        <v>8.5714285714285712</v>
      </c>
      <c r="L856" s="37">
        <f>Tabela3[[#This Row],[Qtde Cx Produzida]]*Tabela3[[#This Row],[Qdt Peça Placa]]</f>
        <v>44</v>
      </c>
      <c r="M856" s="37">
        <f>Tabela3[[#This Row],[Previsto]]-Tabela3[[#This Row],[Perda Pçs]]</f>
        <v>44</v>
      </c>
      <c r="N856" s="38">
        <f>IFERROR(Tabela3[[#This Row],[Perda Pçs]]/Tabela3[[#This Row],[Previsto]],0)</f>
        <v>0</v>
      </c>
      <c r="O856" s="39">
        <f>IFERROR(IF(Tabela3[[#This Row],[Qtde Cx Produzida]] &lt;&gt; 0, Tabela3[[#This Row],[Tempo]] / Tabela3[[#This Row],[Qtde Cx Produzida]], 0),0)</f>
        <v>4.8611111111111112E-3</v>
      </c>
      <c r="P856" s="57">
        <f>IFERROR(Tabela3[[#This Row],[Perda Pçs]]/Tabela3[[#This Row],[Qdt Peça Placa]],0)</f>
        <v>0</v>
      </c>
      <c r="Q856" s="37">
        <f>IFERROR(Tabela3[[#This Row],[Realizado]]*Tabela3[[#This Row],[Peso Util/Pç]],0)</f>
        <v>20.68</v>
      </c>
      <c r="R856" s="37">
        <f>IFERROR(Tabela3[[#This Row],[Peso Total Galho]]*Tabela3[[#This Row],[Qtde Cx Produzida]]*1.055,0)</f>
        <v>35.929079999999992</v>
      </c>
      <c r="S856" s="37">
        <f>(Tabela3[[#This Row],[Aluminio Bruto]]-Tabela3[[#This Row],[Aluminio Util]])*0.9</f>
        <v>13.724171999999994</v>
      </c>
      <c r="T856" s="37">
        <f>Tabela3[[#This Row],[Aluminio Bruto]]/OleoKGAluminio</f>
        <v>15.115317500145878</v>
      </c>
      <c r="U856" s="35">
        <f>IFERROR((VLOOKUP(Tabela3[[#This Row],[Moldador]],Tabela1[],5,)+(VLOOKUP(Tabela3[[#This Row],[Ajudante]],Tabela1[],5,))*3.5),0)</f>
        <v>126.0945</v>
      </c>
      <c r="V856" s="35">
        <f>IFERROR(Tabela3[[#This Row],[Custo M.O. / H]]/((Tabela3[[#This Row],[Realizado]]/Tabela3[[#This Row],[Qdt Peça Placa]])/Tabela3[[#This Row],[Tempo]]/24),)</f>
        <v>14.711024999999999</v>
      </c>
      <c r="W856" s="35">
        <f>Tabela3[[#This Row],[Custo / Cx Moldada]]*Tabela3[[#This Row],[Qtde Cx Produzida]]</f>
        <v>161.82127499999999</v>
      </c>
      <c r="X856" s="35">
        <f ca="1">Tabela3[[#This Row],[Aluminio Util]]*Tabela3[[#This Row],[Custo/Kg]]</f>
        <v>322.608</v>
      </c>
      <c r="Y856" s="35">
        <f>IFERROR(VLOOKUP(Tabela3[[#This Row],[Data]],Tabela461213[],2,1)*(Tabela3[[#This Row],[Qtde Cx Produzida]]*Tabela3[[#This Row],[Qde macho / CX]]*Tabela3[[#This Row],[Peso Macho]]),)</f>
        <v>0</v>
      </c>
      <c r="Z856" s="35">
        <f>IFERROR(Tabela3[[#This Row],[Qtde Oleo]]*(VLOOKUP(Tabela3[[#This Row],[Data]],CompraOleo[],3,TRUE))*1.05,0)</f>
        <v>39.677708437882927</v>
      </c>
      <c r="AA856" s="47">
        <f ca="1">(Tabela3[[#This Row],[Custo Oleo]]+Tabela3[[#This Row],[Custo Aluminio]]+Tabela3[[#This Row],[Custo M.O. Total]]+Tabela3[[#This Row],[Custo Machos]])</f>
        <v>524.10698343788295</v>
      </c>
      <c r="AB856" s="47">
        <f ca="1">Tabela3[[#This Row],[Custo Total]]*Tabela3[[#This Row],[% Perda]]</f>
        <v>0</v>
      </c>
      <c r="AC856" s="48">
        <f>IFERROR(VLOOKUP(Tabela3[[#This Row],[Produto]],Tabela2[],2,0),0)</f>
        <v>4</v>
      </c>
      <c r="AD856" s="48">
        <f>IFERROR(VLOOKUP(Tabela3[[#This Row],[Produto]],Tabela2[],3,0),0)</f>
        <v>0.47</v>
      </c>
      <c r="AE856" s="48">
        <f>IFERROR(VLOOKUP(Tabela3[[#This Row],[Produto]],Tabela2[],4,0),0)</f>
        <v>3.0960000000000001</v>
      </c>
      <c r="AF856" s="48">
        <f>IFERROR(VLOOKUP(Tabela3[[#This Row],[Produto]],Tabela2[],5,0),0)</f>
        <v>1.0944000000000003</v>
      </c>
      <c r="AG856" s="40">
        <f>IFERROR(VLOOKUP(Tabela3[[#This Row],[Produto]],Tabela2[],6,0),0)</f>
        <v>0</v>
      </c>
      <c r="AH856" s="40">
        <f>IFERROR(VLOOKUP(Tabela3[[#This Row],[Produto]],Tabela2[],7,0),0)</f>
        <v>0</v>
      </c>
      <c r="AI856" s="40">
        <f>IFERROR(VLOOKUP(Tabela3[[#This Row],[Produto]],Tabela2[],8,0),0)</f>
        <v>0</v>
      </c>
      <c r="AJ856" s="35">
        <f ca="1">IFERROR(VLOOKUP(Tabela3[[#This Row],[Produto]],Tabela2[],13,0),0)</f>
        <v>15.600000000000001</v>
      </c>
      <c r="AK856" s="40" t="str">
        <f>IFERROR(VLOOKUP(Tabela3[[#This Row],[Produto]],Tabela2[],14,0),0)</f>
        <v>Senun</v>
      </c>
      <c r="AL856" s="40">
        <f>IFERROR(VLOOKUP(Tabela3[[#This Row],[Produto]],Tabela2[],15,0),0)</f>
        <v>4</v>
      </c>
      <c r="AM856" s="36">
        <f ca="1">(Tabela3[[#This Row],[Custo Usinagem]]+Tabela3[[#This Row],[Custo / Pç]])*1.2</f>
        <v>19.093826821033169</v>
      </c>
      <c r="AN856" s="36">
        <f ca="1">Tabela3[[#This Row],[Valor Mínimo Venda]]*1.15</f>
        <v>21.957900844188142</v>
      </c>
      <c r="AO856" s="36">
        <f ca="1">Tabela3[[#This Row],[Tabela 1]]*1.08</f>
        <v>23.714532911723197</v>
      </c>
      <c r="AP856" s="36">
        <f ca="1">Tabela3[[#This Row],[Tabela 2]]*1.15</f>
        <v>27.271712848481673</v>
      </c>
    </row>
    <row r="857" spans="1:42">
      <c r="A857" s="9">
        <v>46027</v>
      </c>
      <c r="B857" s="6" t="s">
        <v>241</v>
      </c>
      <c r="C857" s="14">
        <v>8755</v>
      </c>
      <c r="D857" s="6" t="s">
        <v>46</v>
      </c>
      <c r="E857" s="6" t="s">
        <v>44</v>
      </c>
      <c r="F857" s="6">
        <v>33</v>
      </c>
      <c r="G857" s="15">
        <v>0.19444444444444445</v>
      </c>
      <c r="H857" s="16">
        <v>30</v>
      </c>
      <c r="I857" s="35">
        <f ca="1">IFERROR(Tabela3[[#This Row],[Custo Total]]/Tabela3[[#This Row],[Aluminio Util]],0)</f>
        <v>30.453949350760407</v>
      </c>
      <c r="J857" s="35">
        <f ca="1">Tabela3[[#This Row],[Custo Total]]/Tabela3[[#This Row],[Realizado]]</f>
        <v>18.66827095201613</v>
      </c>
      <c r="K857" s="37">
        <f>IFERROR(Tabela3[[#This Row],[Qtde Cx Produzida]]/Tabela3[[#This Row],[Tempo]]/24,0)</f>
        <v>7.0714285714285721</v>
      </c>
      <c r="L857" s="37">
        <f>Tabela3[[#This Row],[Qtde Cx Produzida]]*Tabela3[[#This Row],[Qdt Peça Placa]]</f>
        <v>132</v>
      </c>
      <c r="M857" s="37">
        <f>Tabela3[[#This Row],[Previsto]]-Tabela3[[#This Row],[Perda Pçs]]</f>
        <v>102</v>
      </c>
      <c r="N857" s="38">
        <f>IFERROR(Tabela3[[#This Row],[Perda Pçs]]/Tabela3[[#This Row],[Previsto]],0)</f>
        <v>0.22727272727272727</v>
      </c>
      <c r="O857" s="39">
        <f>IFERROR(IF(Tabela3[[#This Row],[Qtde Cx Produzida]] &lt;&gt; 0, Tabela3[[#This Row],[Tempo]] / Tabela3[[#This Row],[Qtde Cx Produzida]], 0),0)</f>
        <v>5.8922558922558923E-3</v>
      </c>
      <c r="P857" s="57">
        <f>IFERROR(Tabela3[[#This Row],[Perda Pçs]]/Tabela3[[#This Row],[Qdt Peça Placa]],0)</f>
        <v>7.5</v>
      </c>
      <c r="Q857" s="37">
        <f>IFERROR(Tabela3[[#This Row],[Realizado]]*Tabela3[[#This Row],[Peso Util/Pç]],0)</f>
        <v>62.525999999999996</v>
      </c>
      <c r="R857" s="37">
        <f>IFERROR(Tabela3[[#This Row],[Peso Total Galho]]*Tabela3[[#This Row],[Qtde Cx Produzida]]*1.055,0)</f>
        <v>151.44524999999999</v>
      </c>
      <c r="S857" s="37">
        <f>(Tabela3[[#This Row],[Aluminio Bruto]]-Tabela3[[#This Row],[Aluminio Util]])*0.9</f>
        <v>80.02732499999999</v>
      </c>
      <c r="T857" s="37">
        <f>Tabela3[[#This Row],[Aluminio Bruto]]/OleoKGAluminio</f>
        <v>63.712820858173039</v>
      </c>
      <c r="U857" s="35">
        <f>IFERROR((VLOOKUP(Tabela3[[#This Row],[Moldador]],Tabela1[],5,)+(VLOOKUP(Tabela3[[#This Row],[Ajudante]],Tabela1[],5,))*3.5),0)</f>
        <v>126.0945</v>
      </c>
      <c r="V857" s="35">
        <f>IFERROR(Tabela3[[#This Row],[Custo M.O. / H]]/((Tabela3[[#This Row],[Realizado]]/Tabela3[[#This Row],[Qdt Peça Placa]])/Tabela3[[#This Row],[Tempo]]/24),)</f>
        <v>23.076117647058823</v>
      </c>
      <c r="W857" s="35">
        <f>Tabela3[[#This Row],[Custo / Cx Moldada]]*Tabela3[[#This Row],[Qtde Cx Produzida]]</f>
        <v>761.51188235294114</v>
      </c>
      <c r="X857" s="35">
        <f ca="1">Tabela3[[#This Row],[Aluminio Util]]*Tabela3[[#This Row],[Custo/Kg]]</f>
        <v>975.40560000000005</v>
      </c>
      <c r="Y857" s="35">
        <f>IFERROR(VLOOKUP(Tabela3[[#This Row],[Data]],Tabela461213[],2,1)*(Tabela3[[#This Row],[Qtde Cx Produzida]]*Tabela3[[#This Row],[Qde macho / CX]]*Tabela3[[#This Row],[Peso Macho]]),)</f>
        <v>0</v>
      </c>
      <c r="Z857" s="35">
        <f>IFERROR(Tabela3[[#This Row],[Qtde Oleo]]*(VLOOKUP(Tabela3[[#This Row],[Data]],CompraOleo[],3,TRUE))*1.05,0)</f>
        <v>167.24615475270423</v>
      </c>
      <c r="AA857" s="47">
        <f ca="1">(Tabela3[[#This Row],[Custo Oleo]]+Tabela3[[#This Row],[Custo Aluminio]]+Tabela3[[#This Row],[Custo M.O. Total]]+Tabela3[[#This Row],[Custo Machos]])</f>
        <v>1904.1636371056452</v>
      </c>
      <c r="AB857" s="47">
        <f ca="1">Tabela3[[#This Row],[Custo Total]]*Tabela3[[#This Row],[% Perda]]</f>
        <v>432.76446297855568</v>
      </c>
      <c r="AC857" s="48">
        <f>IFERROR(VLOOKUP(Tabela3[[#This Row],[Produto]],Tabela2[],2,0),0)</f>
        <v>4</v>
      </c>
      <c r="AD857" s="48">
        <f>IFERROR(VLOOKUP(Tabela3[[#This Row],[Produto]],Tabela2[],3,0),0)</f>
        <v>0.61299999999999999</v>
      </c>
      <c r="AE857" s="48">
        <f>IFERROR(VLOOKUP(Tabela3[[#This Row],[Produto]],Tabela2[],4,0),0)</f>
        <v>4.3499999999999996</v>
      </c>
      <c r="AF857" s="48">
        <f>IFERROR(VLOOKUP(Tabela3[[#This Row],[Produto]],Tabela2[],5,0),0)</f>
        <v>1.7081999999999997</v>
      </c>
      <c r="AG857" s="40">
        <f>IFERROR(VLOOKUP(Tabela3[[#This Row],[Produto]],Tabela2[],6,0),0)</f>
        <v>0</v>
      </c>
      <c r="AH857" s="40">
        <f>IFERROR(VLOOKUP(Tabela3[[#This Row],[Produto]],Tabela2[],7,0),0)</f>
        <v>0</v>
      </c>
      <c r="AI857" s="40">
        <f>IFERROR(VLOOKUP(Tabela3[[#This Row],[Produto]],Tabela2[],8,0),0)</f>
        <v>0</v>
      </c>
      <c r="AJ857" s="35">
        <f ca="1">IFERROR(VLOOKUP(Tabela3[[#This Row],[Produto]],Tabela2[],13,0),0)</f>
        <v>15.600000000000001</v>
      </c>
      <c r="AK857" s="40" t="str">
        <f>IFERROR(VLOOKUP(Tabela3[[#This Row],[Produto]],Tabela2[],14,0),0)</f>
        <v>Senun</v>
      </c>
      <c r="AL857" s="40">
        <f>IFERROR(VLOOKUP(Tabela3[[#This Row],[Produto]],Tabela2[],15,0),0)</f>
        <v>4</v>
      </c>
      <c r="AM857" s="36">
        <f ca="1">(Tabela3[[#This Row],[Custo Usinagem]]+Tabela3[[#This Row],[Custo / Pç]])*1.2</f>
        <v>27.201925142419356</v>
      </c>
      <c r="AN857" s="36">
        <f ca="1">Tabela3[[#This Row],[Valor Mínimo Venda]]*1.15</f>
        <v>31.282213913782257</v>
      </c>
      <c r="AO857" s="36">
        <f ca="1">Tabela3[[#This Row],[Tabela 1]]*1.08</f>
        <v>33.784791026884839</v>
      </c>
      <c r="AP857" s="36">
        <f ca="1">Tabela3[[#This Row],[Tabela 2]]*1.15</f>
        <v>38.852509680917564</v>
      </c>
    </row>
    <row r="858" spans="1:42">
      <c r="A858" s="9">
        <v>46027</v>
      </c>
      <c r="B858" s="6" t="s">
        <v>248</v>
      </c>
      <c r="C858" s="14">
        <v>8726</v>
      </c>
      <c r="D858" s="6" t="s">
        <v>46</v>
      </c>
      <c r="E858" s="6" t="s">
        <v>44</v>
      </c>
      <c r="F858" s="6">
        <v>20</v>
      </c>
      <c r="G858" s="15">
        <v>0.13819444444444445</v>
      </c>
      <c r="H858" s="16">
        <v>35</v>
      </c>
      <c r="I858" s="35">
        <f ca="1">IFERROR(Tabela3[[#This Row],[Custo Total]]/Tabela3[[#This Row],[Aluminio Util]],0)</f>
        <v>65.077583332900659</v>
      </c>
      <c r="J858" s="35">
        <f ca="1">Tabela3[[#This Row],[Custo Total]]/Tabela3[[#This Row],[Realizado]]</f>
        <v>23.297774833178437</v>
      </c>
      <c r="K858" s="37">
        <f>IFERROR(Tabela3[[#This Row],[Qtde Cx Produzida]]/Tabela3[[#This Row],[Tempo]]/24,0)</f>
        <v>6.0301507537688437</v>
      </c>
      <c r="L858" s="37">
        <f>Tabela3[[#This Row],[Qtde Cx Produzida]]*Tabela3[[#This Row],[Qdt Peça Placa]]</f>
        <v>80</v>
      </c>
      <c r="M858" s="37">
        <f>Tabela3[[#This Row],[Previsto]]-Tabela3[[#This Row],[Perda Pçs]]</f>
        <v>45</v>
      </c>
      <c r="N858" s="38">
        <f>IFERROR(Tabela3[[#This Row],[Perda Pçs]]/Tabela3[[#This Row],[Previsto]],0)</f>
        <v>0.4375</v>
      </c>
      <c r="O858" s="39">
        <f>IFERROR(IF(Tabela3[[#This Row],[Qtde Cx Produzida]] &lt;&gt; 0, Tabela3[[#This Row],[Tempo]] / Tabela3[[#This Row],[Qtde Cx Produzida]], 0),0)</f>
        <v>6.9097222222222225E-3</v>
      </c>
      <c r="P858" s="57">
        <f>IFERROR(Tabela3[[#This Row],[Perda Pçs]]/Tabela3[[#This Row],[Qdt Peça Placa]],0)</f>
        <v>8.75</v>
      </c>
      <c r="Q858" s="37">
        <f>IFERROR(Tabela3[[#This Row],[Realizado]]*Tabela3[[#This Row],[Peso Util/Pç]],0)</f>
        <v>16.11</v>
      </c>
      <c r="R858" s="37">
        <f>IFERROR(Tabela3[[#This Row],[Peso Total Galho]]*Tabela3[[#This Row],[Qtde Cx Produzida]]*1.055,0)</f>
        <v>48.529999999999994</v>
      </c>
      <c r="S858" s="37">
        <f>(Tabela3[[#This Row],[Aluminio Bruto]]-Tabela3[[#This Row],[Aluminio Util]])*0.9</f>
        <v>29.177999999999997</v>
      </c>
      <c r="T858" s="37">
        <f>Tabela3[[#This Row],[Aluminio Bruto]]/OleoKGAluminio</f>
        <v>20.416508251312848</v>
      </c>
      <c r="U858" s="35">
        <f>IFERROR((VLOOKUP(Tabela3[[#This Row],[Moldador]],Tabela1[],5,)+(VLOOKUP(Tabela3[[#This Row],[Ajudante]],Tabela1[],5,))*3.5),0)</f>
        <v>126.0945</v>
      </c>
      <c r="V858" s="35">
        <f>IFERROR(Tabela3[[#This Row],[Custo M.O. / H]]/((Tabela3[[#This Row],[Realizado]]/Tabela3[[#This Row],[Qdt Peça Placa]])/Tabela3[[#This Row],[Tempo]]/24),)</f>
        <v>37.174526666666672</v>
      </c>
      <c r="W858" s="35">
        <f>Tabela3[[#This Row],[Custo / Cx Moldada]]*Tabela3[[#This Row],[Qtde Cx Produzida]]</f>
        <v>743.49053333333347</v>
      </c>
      <c r="X858" s="35">
        <f ca="1">Tabela3[[#This Row],[Aluminio Util]]*Tabela3[[#This Row],[Custo/Kg]]</f>
        <v>251.316</v>
      </c>
      <c r="Y858" s="35">
        <f>IFERROR(VLOOKUP(Tabela3[[#This Row],[Data]],Tabela461213[],2,1)*(Tabela3[[#This Row],[Qtde Cx Produzida]]*Tabela3[[#This Row],[Qde macho / CX]]*Tabela3[[#This Row],[Peso Macho]]),)</f>
        <v>0</v>
      </c>
      <c r="Z858" s="35">
        <f>IFERROR(Tabela3[[#This Row],[Qtde Oleo]]*(VLOOKUP(Tabela3[[#This Row],[Data]],CompraOleo[],3,TRUE))*1.05,0)</f>
        <v>53.593334159696226</v>
      </c>
      <c r="AA858" s="47">
        <f ca="1">(Tabela3[[#This Row],[Custo Oleo]]+Tabela3[[#This Row],[Custo Aluminio]]+Tabela3[[#This Row],[Custo M.O. Total]]+Tabela3[[#This Row],[Custo Machos]])</f>
        <v>1048.3998674930297</v>
      </c>
      <c r="AB858" s="47">
        <f ca="1">Tabela3[[#This Row],[Custo Total]]*Tabela3[[#This Row],[% Perda]]</f>
        <v>458.67494202820046</v>
      </c>
      <c r="AC858" s="48">
        <f>IFERROR(VLOOKUP(Tabela3[[#This Row],[Produto]],Tabela2[],2,0),0)</f>
        <v>4</v>
      </c>
      <c r="AD858" s="48">
        <f>IFERROR(VLOOKUP(Tabela3[[#This Row],[Produto]],Tabela2[],3,0),0)</f>
        <v>0.35799999999999998</v>
      </c>
      <c r="AE858" s="48">
        <f>IFERROR(VLOOKUP(Tabela3[[#This Row],[Produto]],Tabela2[],4,0),0)</f>
        <v>2.2999999999999998</v>
      </c>
      <c r="AF858" s="48">
        <f>IFERROR(VLOOKUP(Tabela3[[#This Row],[Produto]],Tabela2[],5,0),0)</f>
        <v>0.78119999999999989</v>
      </c>
      <c r="AG858" s="40">
        <f>IFERROR(VLOOKUP(Tabela3[[#This Row],[Produto]],Tabela2[],6,0),0)</f>
        <v>0</v>
      </c>
      <c r="AH858" s="40">
        <f>IFERROR(VLOOKUP(Tabela3[[#This Row],[Produto]],Tabela2[],7,0),0)</f>
        <v>0</v>
      </c>
      <c r="AI858" s="40">
        <f>IFERROR(VLOOKUP(Tabela3[[#This Row],[Produto]],Tabela2[],8,0),0)</f>
        <v>0</v>
      </c>
      <c r="AJ858" s="35">
        <f ca="1">IFERROR(VLOOKUP(Tabela3[[#This Row],[Produto]],Tabela2[],13,0),0)</f>
        <v>15.600000000000001</v>
      </c>
      <c r="AK858" s="40" t="str">
        <f>IFERROR(VLOOKUP(Tabela3[[#This Row],[Produto]],Tabela2[],14,0),0)</f>
        <v>Senun</v>
      </c>
      <c r="AL858" s="40">
        <f>IFERROR(VLOOKUP(Tabela3[[#This Row],[Produto]],Tabela2[],15,0),0)</f>
        <v>4</v>
      </c>
      <c r="AM858" s="36">
        <f ca="1">(Tabela3[[#This Row],[Custo Usinagem]]+Tabela3[[#This Row],[Custo / Pç]])*1.2</f>
        <v>32.757329799814123</v>
      </c>
      <c r="AN858" s="36">
        <f ca="1">Tabela3[[#This Row],[Valor Mínimo Venda]]*1.15</f>
        <v>37.670929269786235</v>
      </c>
      <c r="AO858" s="36">
        <f ca="1">Tabela3[[#This Row],[Tabela 1]]*1.08</f>
        <v>40.684603611369134</v>
      </c>
      <c r="AP858" s="36">
        <f ca="1">Tabela3[[#This Row],[Tabela 2]]*1.15</f>
        <v>46.787294153074498</v>
      </c>
    </row>
    <row r="859" spans="1:42">
      <c r="A859" s="9">
        <v>46027</v>
      </c>
      <c r="B859" s="6" t="s">
        <v>241</v>
      </c>
      <c r="C859" s="14">
        <v>8755</v>
      </c>
      <c r="D859" s="6" t="s">
        <v>44</v>
      </c>
      <c r="E859" s="6" t="s">
        <v>47</v>
      </c>
      <c r="F859" s="6">
        <v>7</v>
      </c>
      <c r="G859" s="15">
        <v>5.347222222222222E-2</v>
      </c>
      <c r="H859" s="16">
        <v>0</v>
      </c>
      <c r="I859" s="35">
        <f ca="1">IFERROR(Tabela3[[#This Row],[Custo Total]]/Tabela3[[#This Row],[Aluminio Util]],0)</f>
        <v>25.140087832373958</v>
      </c>
      <c r="J859" s="35">
        <f ca="1">Tabela3[[#This Row],[Custo Total]]/Tabela3[[#This Row],[Realizado]]</f>
        <v>15.410873841245238</v>
      </c>
      <c r="K859" s="37">
        <f>IFERROR(Tabela3[[#This Row],[Qtde Cx Produzida]]/Tabela3[[#This Row],[Tempo]]/24,0)</f>
        <v>5.4545454545454541</v>
      </c>
      <c r="L859" s="37">
        <f>Tabela3[[#This Row],[Qtde Cx Produzida]]*Tabela3[[#This Row],[Qdt Peça Placa]]</f>
        <v>28</v>
      </c>
      <c r="M859" s="37">
        <f>Tabela3[[#This Row],[Previsto]]-Tabela3[[#This Row],[Perda Pçs]]</f>
        <v>28</v>
      </c>
      <c r="N859" s="38">
        <f>IFERROR(Tabela3[[#This Row],[Perda Pçs]]/Tabela3[[#This Row],[Previsto]],0)</f>
        <v>0</v>
      </c>
      <c r="O859" s="39">
        <f>IFERROR(IF(Tabela3[[#This Row],[Qtde Cx Produzida]] &lt;&gt; 0, Tabela3[[#This Row],[Tempo]] / Tabela3[[#This Row],[Qtde Cx Produzida]], 0),0)</f>
        <v>7.6388888888888886E-3</v>
      </c>
      <c r="P859" s="57">
        <f>IFERROR(Tabela3[[#This Row],[Perda Pçs]]/Tabela3[[#This Row],[Qdt Peça Placa]],0)</f>
        <v>0</v>
      </c>
      <c r="Q859" s="37">
        <f>IFERROR(Tabela3[[#This Row],[Realizado]]*Tabela3[[#This Row],[Peso Util/Pç]],0)</f>
        <v>17.164000000000001</v>
      </c>
      <c r="R859" s="37">
        <f>IFERROR(Tabela3[[#This Row],[Peso Total Galho]]*Tabela3[[#This Row],[Qtde Cx Produzida]]*1.055,0)</f>
        <v>32.124749999999992</v>
      </c>
      <c r="S859" s="37">
        <f>(Tabela3[[#This Row],[Aluminio Bruto]]-Tabela3[[#This Row],[Aluminio Util]])*0.9</f>
        <v>13.464674999999991</v>
      </c>
      <c r="T859" s="37">
        <f>Tabela3[[#This Row],[Aluminio Bruto]]/OleoKGAluminio</f>
        <v>13.514840788097308</v>
      </c>
      <c r="U859" s="35">
        <f>IFERROR((VLOOKUP(Tabela3[[#This Row],[Moldador]],Tabela1[],5,)+(VLOOKUP(Tabela3[[#This Row],[Ajudante]],Tabela1[],5,))*3.5),0)</f>
        <v>99.95034583333333</v>
      </c>
      <c r="V859" s="35">
        <f>IFERROR(Tabela3[[#This Row],[Custo M.O. / H]]/((Tabela3[[#This Row],[Realizado]]/Tabela3[[#This Row],[Qdt Peça Placa]])/Tabela3[[#This Row],[Tempo]]/24),)</f>
        <v>18.324230069444447</v>
      </c>
      <c r="W859" s="35">
        <f>Tabela3[[#This Row],[Custo / Cx Moldada]]*Tabela3[[#This Row],[Qtde Cx Produzida]]</f>
        <v>128.26961048611113</v>
      </c>
      <c r="X859" s="35">
        <f ca="1">Tabela3[[#This Row],[Aluminio Util]]*Tabela3[[#This Row],[Custo/Kg]]</f>
        <v>267.75840000000005</v>
      </c>
      <c r="Y859" s="35">
        <f>IFERROR(VLOOKUP(Tabela3[[#This Row],[Data]],Tabela461213[],2,1)*(Tabela3[[#This Row],[Qtde Cx Produzida]]*Tabela3[[#This Row],[Qde macho / CX]]*Tabela3[[#This Row],[Peso Macho]]),)</f>
        <v>0</v>
      </c>
      <c r="Z859" s="35">
        <f>IFERROR(Tabela3[[#This Row],[Qtde Oleo]]*(VLOOKUP(Tabela3[[#This Row],[Data]],CompraOleo[],3,TRUE))*1.05,0)</f>
        <v>35.476457068755437</v>
      </c>
      <c r="AA859" s="47">
        <f ca="1">(Tabela3[[#This Row],[Custo Oleo]]+Tabela3[[#This Row],[Custo Aluminio]]+Tabela3[[#This Row],[Custo M.O. Total]]+Tabela3[[#This Row],[Custo Machos]])</f>
        <v>431.50446755486666</v>
      </c>
      <c r="AB859" s="47">
        <f ca="1">Tabela3[[#This Row],[Custo Total]]*Tabela3[[#This Row],[% Perda]]</f>
        <v>0</v>
      </c>
      <c r="AC859" s="48">
        <f>IFERROR(VLOOKUP(Tabela3[[#This Row],[Produto]],Tabela2[],2,0),0)</f>
        <v>4</v>
      </c>
      <c r="AD859" s="48">
        <f>IFERROR(VLOOKUP(Tabela3[[#This Row],[Produto]],Tabela2[],3,0),0)</f>
        <v>0.61299999999999999</v>
      </c>
      <c r="AE859" s="48">
        <f>IFERROR(VLOOKUP(Tabela3[[#This Row],[Produto]],Tabela2[],4,0),0)</f>
        <v>4.3499999999999996</v>
      </c>
      <c r="AF859" s="48">
        <f>IFERROR(VLOOKUP(Tabela3[[#This Row],[Produto]],Tabela2[],5,0),0)</f>
        <v>1.7081999999999997</v>
      </c>
      <c r="AG859" s="40">
        <f>IFERROR(VLOOKUP(Tabela3[[#This Row],[Produto]],Tabela2[],6,0),0)</f>
        <v>0</v>
      </c>
      <c r="AH859" s="40">
        <f>IFERROR(VLOOKUP(Tabela3[[#This Row],[Produto]],Tabela2[],7,0),0)</f>
        <v>0</v>
      </c>
      <c r="AI859" s="40">
        <f>IFERROR(VLOOKUP(Tabela3[[#This Row],[Produto]],Tabela2[],8,0),0)</f>
        <v>0</v>
      </c>
      <c r="AJ859" s="35">
        <f ca="1">IFERROR(VLOOKUP(Tabela3[[#This Row],[Produto]],Tabela2[],13,0),0)</f>
        <v>15.600000000000001</v>
      </c>
      <c r="AK859" s="40" t="str">
        <f>IFERROR(VLOOKUP(Tabela3[[#This Row],[Produto]],Tabela2[],14,0),0)</f>
        <v>Senun</v>
      </c>
      <c r="AL859" s="40">
        <f>IFERROR(VLOOKUP(Tabela3[[#This Row],[Produto]],Tabela2[],15,0),0)</f>
        <v>4</v>
      </c>
      <c r="AM859" s="36">
        <f ca="1">(Tabela3[[#This Row],[Custo Usinagem]]+Tabela3[[#This Row],[Custo / Pç]])*1.2</f>
        <v>23.293048609494285</v>
      </c>
      <c r="AN859" s="36">
        <f ca="1">Tabela3[[#This Row],[Valor Mínimo Venda]]*1.15</f>
        <v>26.787005900918427</v>
      </c>
      <c r="AO859" s="36">
        <f ca="1">Tabela3[[#This Row],[Tabela 1]]*1.08</f>
        <v>28.929966372991903</v>
      </c>
      <c r="AP859" s="36">
        <f ca="1">Tabela3[[#This Row],[Tabela 2]]*1.15</f>
        <v>33.269461328940686</v>
      </c>
    </row>
    <row r="860" spans="1:42">
      <c r="A860" s="9">
        <v>46028</v>
      </c>
      <c r="B860" s="6" t="s">
        <v>248</v>
      </c>
      <c r="C860" s="14">
        <v>8726</v>
      </c>
      <c r="D860" s="6" t="s">
        <v>46</v>
      </c>
      <c r="E860" s="6" t="s">
        <v>44</v>
      </c>
      <c r="F860" s="6">
        <v>4</v>
      </c>
      <c r="G860" s="15">
        <v>4.5138888888888888E-2</v>
      </c>
      <c r="H860" s="16">
        <v>0</v>
      </c>
      <c r="I860" s="35">
        <f ca="1">IFERROR(Tabela3[[#This Row],[Custo Total]]/Tabela3[[#This Row],[Aluminio Util]],0)</f>
        <v>41.319455627084366</v>
      </c>
      <c r="J860" s="35">
        <f ca="1">Tabela3[[#This Row],[Custo Total]]/Tabela3[[#This Row],[Realizado]]</f>
        <v>14.792365114496203</v>
      </c>
      <c r="K860" s="37">
        <f>IFERROR(Tabela3[[#This Row],[Qtde Cx Produzida]]/Tabela3[[#This Row],[Tempo]]/24,0)</f>
        <v>3.6923076923076921</v>
      </c>
      <c r="L860" s="37">
        <f>Tabela3[[#This Row],[Qtde Cx Produzida]]*Tabela3[[#This Row],[Qdt Peça Placa]]</f>
        <v>16</v>
      </c>
      <c r="M860" s="37">
        <f>Tabela3[[#This Row],[Previsto]]-Tabela3[[#This Row],[Perda Pçs]]</f>
        <v>16</v>
      </c>
      <c r="N860" s="38">
        <f>IFERROR(Tabela3[[#This Row],[Perda Pçs]]/Tabela3[[#This Row],[Previsto]],0)</f>
        <v>0</v>
      </c>
      <c r="O860" s="39">
        <f>IFERROR(IF(Tabela3[[#This Row],[Qtde Cx Produzida]] &lt;&gt; 0, Tabela3[[#This Row],[Tempo]] / Tabela3[[#This Row],[Qtde Cx Produzida]], 0),0)</f>
        <v>1.1284722222222222E-2</v>
      </c>
      <c r="P860" s="57">
        <f>IFERROR(Tabela3[[#This Row],[Perda Pçs]]/Tabela3[[#This Row],[Qdt Peça Placa]],0)</f>
        <v>0</v>
      </c>
      <c r="Q860" s="37">
        <f>IFERROR(Tabela3[[#This Row],[Realizado]]*Tabela3[[#This Row],[Peso Util/Pç]],0)</f>
        <v>5.7279999999999998</v>
      </c>
      <c r="R860" s="37">
        <f>IFERROR(Tabela3[[#This Row],[Peso Total Galho]]*Tabela3[[#This Row],[Qtde Cx Produzida]]*1.055,0)</f>
        <v>9.7059999999999995</v>
      </c>
      <c r="S860" s="37">
        <f>(Tabela3[[#This Row],[Aluminio Bruto]]-Tabela3[[#This Row],[Aluminio Util]])*0.9</f>
        <v>3.5802</v>
      </c>
      <c r="T860" s="37">
        <f>Tabela3[[#This Row],[Aluminio Bruto]]/OleoKGAluminio</f>
        <v>4.0833016502625705</v>
      </c>
      <c r="U860" s="35">
        <f>IFERROR((VLOOKUP(Tabela3[[#This Row],[Moldador]],Tabela1[],5,)+(VLOOKUP(Tabela3[[#This Row],[Ajudante]],Tabela1[],5,))*3.5),0)</f>
        <v>126.0945</v>
      </c>
      <c r="V860" s="35">
        <f>IFERROR(Tabela3[[#This Row],[Custo M.O. / H]]/((Tabela3[[#This Row],[Realizado]]/Tabela3[[#This Row],[Qdt Peça Placa]])/Tabela3[[#This Row],[Tempo]]/24),)</f>
        <v>34.150593749999999</v>
      </c>
      <c r="W860" s="35">
        <f>Tabela3[[#This Row],[Custo / Cx Moldada]]*Tabela3[[#This Row],[Qtde Cx Produzida]]</f>
        <v>136.60237499999999</v>
      </c>
      <c r="X860" s="35">
        <f ca="1">Tabela3[[#This Row],[Aluminio Util]]*Tabela3[[#This Row],[Custo/Kg]]</f>
        <v>89.356800000000007</v>
      </c>
      <c r="Y860" s="35">
        <f>IFERROR(VLOOKUP(Tabela3[[#This Row],[Data]],Tabela461213[],2,1)*(Tabela3[[#This Row],[Qtde Cx Produzida]]*Tabela3[[#This Row],[Qde macho / CX]]*Tabela3[[#This Row],[Peso Macho]]),)</f>
        <v>0</v>
      </c>
      <c r="Z860" s="35">
        <f>IFERROR(Tabela3[[#This Row],[Qtde Oleo]]*(VLOOKUP(Tabela3[[#This Row],[Data]],CompraOleo[],3,TRUE))*1.05,0)</f>
        <v>10.718666831939247</v>
      </c>
      <c r="AA860" s="47">
        <f ca="1">(Tabela3[[#This Row],[Custo Oleo]]+Tabela3[[#This Row],[Custo Aluminio]]+Tabela3[[#This Row],[Custo M.O. Total]]+Tabela3[[#This Row],[Custo Machos]])</f>
        <v>236.67784183193925</v>
      </c>
      <c r="AB860" s="47">
        <f ca="1">Tabela3[[#This Row],[Custo Total]]*Tabela3[[#This Row],[% Perda]]</f>
        <v>0</v>
      </c>
      <c r="AC860" s="48">
        <f>IFERROR(VLOOKUP(Tabela3[[#This Row],[Produto]],Tabela2[],2,0),0)</f>
        <v>4</v>
      </c>
      <c r="AD860" s="48">
        <f>IFERROR(VLOOKUP(Tabela3[[#This Row],[Produto]],Tabela2[],3,0),0)</f>
        <v>0.35799999999999998</v>
      </c>
      <c r="AE860" s="48">
        <f>IFERROR(VLOOKUP(Tabela3[[#This Row],[Produto]],Tabela2[],4,0),0)</f>
        <v>2.2999999999999998</v>
      </c>
      <c r="AF860" s="48">
        <f>IFERROR(VLOOKUP(Tabela3[[#This Row],[Produto]],Tabela2[],5,0),0)</f>
        <v>0.78119999999999989</v>
      </c>
      <c r="AG860" s="40">
        <f>IFERROR(VLOOKUP(Tabela3[[#This Row],[Produto]],Tabela2[],6,0),0)</f>
        <v>0</v>
      </c>
      <c r="AH860" s="40">
        <f>IFERROR(VLOOKUP(Tabela3[[#This Row],[Produto]],Tabela2[],7,0),0)</f>
        <v>0</v>
      </c>
      <c r="AI860" s="40">
        <f>IFERROR(VLOOKUP(Tabela3[[#This Row],[Produto]],Tabela2[],8,0),0)</f>
        <v>0</v>
      </c>
      <c r="AJ860" s="35">
        <f ca="1">IFERROR(VLOOKUP(Tabela3[[#This Row],[Produto]],Tabela2[],13,0),0)</f>
        <v>15.600000000000001</v>
      </c>
      <c r="AK860" s="40" t="str">
        <f>IFERROR(VLOOKUP(Tabela3[[#This Row],[Produto]],Tabela2[],14,0),0)</f>
        <v>Senun</v>
      </c>
      <c r="AL860" s="40">
        <f>IFERROR(VLOOKUP(Tabela3[[#This Row],[Produto]],Tabela2[],15,0),0)</f>
        <v>4</v>
      </c>
      <c r="AM860" s="36">
        <f ca="1">(Tabela3[[#This Row],[Custo Usinagem]]+Tabela3[[#This Row],[Custo / Pç]])*1.2</f>
        <v>22.550838137395441</v>
      </c>
      <c r="AN860" s="36">
        <f ca="1">Tabela3[[#This Row],[Valor Mínimo Venda]]*1.15</f>
        <v>25.933463858004757</v>
      </c>
      <c r="AO860" s="36">
        <f ca="1">Tabela3[[#This Row],[Tabela 1]]*1.08</f>
        <v>28.00814096664514</v>
      </c>
      <c r="AP860" s="36">
        <f ca="1">Tabela3[[#This Row],[Tabela 2]]*1.15</f>
        <v>32.209362111641909</v>
      </c>
    </row>
    <row r="861" spans="1:42">
      <c r="A861" s="9">
        <v>46028</v>
      </c>
      <c r="B861" s="6" t="s">
        <v>246</v>
      </c>
      <c r="C861" s="14">
        <v>8763</v>
      </c>
      <c r="D861" s="6" t="s">
        <v>46</v>
      </c>
      <c r="E861" s="6" t="s">
        <v>44</v>
      </c>
      <c r="F861" s="6">
        <v>30</v>
      </c>
      <c r="G861" s="15">
        <v>0.15347222222222223</v>
      </c>
      <c r="H861" s="16">
        <v>20</v>
      </c>
      <c r="I861" s="35">
        <f ca="1">IFERROR(Tabela3[[#This Row],[Custo Total]]/Tabela3[[#This Row],[Aluminio Util]],0)</f>
        <v>28.220635378827769</v>
      </c>
      <c r="J861" s="35">
        <f ca="1">Tabela3[[#This Row],[Custo Total]]/Tabela3[[#This Row],[Realizado]]</f>
        <v>15.041598656915204</v>
      </c>
      <c r="K861" s="37">
        <f>IFERROR(Tabela3[[#This Row],[Qtde Cx Produzida]]/Tabela3[[#This Row],[Tempo]]/24,0)</f>
        <v>8.1447963800904972</v>
      </c>
      <c r="L861" s="37">
        <f>Tabela3[[#This Row],[Qtde Cx Produzida]]*Tabela3[[#This Row],[Qdt Peça Placa]]</f>
        <v>120</v>
      </c>
      <c r="M861" s="37">
        <f>Tabela3[[#This Row],[Previsto]]-Tabela3[[#This Row],[Perda Pçs]]</f>
        <v>100</v>
      </c>
      <c r="N861" s="38">
        <f>IFERROR(Tabela3[[#This Row],[Perda Pçs]]/Tabela3[[#This Row],[Previsto]],0)</f>
        <v>0.16666666666666666</v>
      </c>
      <c r="O861" s="39">
        <f>IFERROR(IF(Tabela3[[#This Row],[Qtde Cx Produzida]] &lt;&gt; 0, Tabela3[[#This Row],[Tempo]] / Tabela3[[#This Row],[Qtde Cx Produzida]], 0),0)</f>
        <v>5.115740740740741E-3</v>
      </c>
      <c r="P861" s="57">
        <f>IFERROR(Tabela3[[#This Row],[Perda Pçs]]/Tabela3[[#This Row],[Qdt Peça Placa]],0)</f>
        <v>5</v>
      </c>
      <c r="Q861" s="37">
        <f>IFERROR(Tabela3[[#This Row],[Realizado]]*Tabela3[[#This Row],[Peso Util/Pç]],0)</f>
        <v>53.300000000000004</v>
      </c>
      <c r="R861" s="37">
        <f>IFERROR(Tabela3[[#This Row],[Peso Total Galho]]*Tabela3[[#This Row],[Qtde Cx Produzida]]*1.055,0)</f>
        <v>104.44499999999999</v>
      </c>
      <c r="S861" s="37">
        <f>(Tabela3[[#This Row],[Aluminio Bruto]]-Tabela3[[#This Row],[Aluminio Util]])*0.9</f>
        <v>46.030499999999989</v>
      </c>
      <c r="T861" s="37">
        <f>Tabela3[[#This Row],[Aluminio Bruto]]/OleoKGAluminio</f>
        <v>43.93987645391244</v>
      </c>
      <c r="U861" s="35">
        <f>IFERROR((VLOOKUP(Tabela3[[#This Row],[Moldador]],Tabela1[],5,)+(VLOOKUP(Tabela3[[#This Row],[Ajudante]],Tabela1[],5,))*3.5),0)</f>
        <v>126.0945</v>
      </c>
      <c r="V861" s="35">
        <f>IFERROR(Tabela3[[#This Row],[Custo M.O. / H]]/((Tabela3[[#This Row],[Realizado]]/Tabela3[[#This Row],[Qdt Peça Placa]])/Tabela3[[#This Row],[Tempo]]/24),)</f>
        <v>18.577922999999998</v>
      </c>
      <c r="W861" s="35">
        <f>Tabela3[[#This Row],[Custo / Cx Moldada]]*Tabela3[[#This Row],[Qtde Cx Produzida]]</f>
        <v>557.33768999999995</v>
      </c>
      <c r="X861" s="35">
        <f ca="1">Tabela3[[#This Row],[Aluminio Util]]*Tabela3[[#This Row],[Custo/Kg]]</f>
        <v>831.48000000000013</v>
      </c>
      <c r="Y861" s="35">
        <f>IFERROR(VLOOKUP(Tabela3[[#This Row],[Data]],Tabela461213[],2,1)*(Tabela3[[#This Row],[Qtde Cx Produzida]]*Tabela3[[#This Row],[Qde macho / CX]]*Tabela3[[#This Row],[Peso Macho]]),)</f>
        <v>0</v>
      </c>
      <c r="Z861" s="35">
        <f>IFERROR(Tabela3[[#This Row],[Qtde Oleo]]*(VLOOKUP(Tabela3[[#This Row],[Data]],CompraOleo[],3,TRUE))*1.05,0)</f>
        <v>115.34217569152015</v>
      </c>
      <c r="AA861" s="47">
        <f ca="1">(Tabela3[[#This Row],[Custo Oleo]]+Tabela3[[#This Row],[Custo Aluminio]]+Tabela3[[#This Row],[Custo M.O. Total]]+Tabela3[[#This Row],[Custo Machos]])</f>
        <v>1504.1598656915203</v>
      </c>
      <c r="AB861" s="47">
        <f ca="1">Tabela3[[#This Row],[Custo Total]]*Tabela3[[#This Row],[% Perda]]</f>
        <v>250.69331094858671</v>
      </c>
      <c r="AC861" s="48">
        <f>IFERROR(VLOOKUP(Tabela3[[#This Row],[Produto]],Tabela2[],2,0),0)</f>
        <v>4</v>
      </c>
      <c r="AD861" s="48">
        <f>IFERROR(VLOOKUP(Tabela3[[#This Row],[Produto]],Tabela2[],3,0),0)</f>
        <v>0.53300000000000003</v>
      </c>
      <c r="AE861" s="48">
        <f>IFERROR(VLOOKUP(Tabela3[[#This Row],[Produto]],Tabela2[],4,0),0)</f>
        <v>3.3</v>
      </c>
      <c r="AF861" s="48">
        <f>IFERROR(VLOOKUP(Tabela3[[#This Row],[Produto]],Tabela2[],5,0),0)</f>
        <v>1.0511999999999997</v>
      </c>
      <c r="AG861" s="40">
        <f>IFERROR(VLOOKUP(Tabela3[[#This Row],[Produto]],Tabela2[],6,0),0)</f>
        <v>0</v>
      </c>
      <c r="AH861" s="40">
        <f>IFERROR(VLOOKUP(Tabela3[[#This Row],[Produto]],Tabela2[],7,0),0)</f>
        <v>0</v>
      </c>
      <c r="AI861" s="40">
        <f>IFERROR(VLOOKUP(Tabela3[[#This Row],[Produto]],Tabela2[],8,0),0)</f>
        <v>0</v>
      </c>
      <c r="AJ861" s="35">
        <f ca="1">IFERROR(VLOOKUP(Tabela3[[#This Row],[Produto]],Tabela2[],13,0),0)</f>
        <v>15.600000000000001</v>
      </c>
      <c r="AK861" s="40" t="str">
        <f>IFERROR(VLOOKUP(Tabela3[[#This Row],[Produto]],Tabela2[],14,0),0)</f>
        <v>Senun</v>
      </c>
      <c r="AL861" s="40">
        <f>IFERROR(VLOOKUP(Tabela3[[#This Row],[Produto]],Tabela2[],15,0),0)</f>
        <v>4</v>
      </c>
      <c r="AM861" s="36">
        <f ca="1">(Tabela3[[#This Row],[Custo Usinagem]]+Tabela3[[#This Row],[Custo / Pç]])*1.2</f>
        <v>22.849918388298246</v>
      </c>
      <c r="AN861" s="36">
        <f ca="1">Tabela3[[#This Row],[Valor Mínimo Venda]]*1.15</f>
        <v>26.27740614654298</v>
      </c>
      <c r="AO861" s="36">
        <f ca="1">Tabela3[[#This Row],[Tabela 1]]*1.08</f>
        <v>28.379598638266419</v>
      </c>
      <c r="AP861" s="36">
        <f ca="1">Tabela3[[#This Row],[Tabela 2]]*1.15</f>
        <v>32.636538434006383</v>
      </c>
    </row>
    <row r="862" spans="1:42">
      <c r="A862" s="9">
        <v>46028</v>
      </c>
      <c r="B862" s="6" t="s">
        <v>229</v>
      </c>
      <c r="C862" s="14">
        <v>8758</v>
      </c>
      <c r="D862" s="6" t="s">
        <v>46</v>
      </c>
      <c r="E862" s="6" t="s">
        <v>44</v>
      </c>
      <c r="F862" s="6">
        <v>12</v>
      </c>
      <c r="G862" s="15">
        <v>5.5555555555555552E-2</v>
      </c>
      <c r="H862" s="16">
        <v>0</v>
      </c>
      <c r="I862" s="35">
        <f ca="1">IFERROR(Tabela3[[#This Row],[Custo Total]]/Tabela3[[#This Row],[Aluminio Util]],0)</f>
        <v>22.150579109872211</v>
      </c>
      <c r="J862" s="35">
        <f ca="1">Tabela3[[#This Row],[Custo Total]]/Tabela3[[#This Row],[Realizado]]</f>
        <v>61.755814558323721</v>
      </c>
      <c r="K862" s="37">
        <f>IFERROR(Tabela3[[#This Row],[Qtde Cx Produzida]]/Tabela3[[#This Row],[Tempo]]/24,0)</f>
        <v>9</v>
      </c>
      <c r="L862" s="37">
        <f>Tabela3[[#This Row],[Qtde Cx Produzida]]*Tabela3[[#This Row],[Qdt Peça Placa]]</f>
        <v>12</v>
      </c>
      <c r="M862" s="37">
        <f>Tabela3[[#This Row],[Previsto]]-Tabela3[[#This Row],[Perda Pçs]]</f>
        <v>12</v>
      </c>
      <c r="N862" s="38">
        <f>IFERROR(Tabela3[[#This Row],[Perda Pçs]]/Tabela3[[#This Row],[Previsto]],0)</f>
        <v>0</v>
      </c>
      <c r="O862" s="39">
        <f>IFERROR(IF(Tabela3[[#This Row],[Qtde Cx Produzida]] &lt;&gt; 0, Tabela3[[#This Row],[Tempo]] / Tabela3[[#This Row],[Qtde Cx Produzida]], 0),0)</f>
        <v>4.6296296296296294E-3</v>
      </c>
      <c r="P862" s="57">
        <f>IFERROR(Tabela3[[#This Row],[Perda Pçs]]/Tabela3[[#This Row],[Qdt Peça Placa]],0)</f>
        <v>0</v>
      </c>
      <c r="Q862" s="37">
        <f>IFERROR(Tabela3[[#This Row],[Realizado]]*Tabela3[[#This Row],[Peso Util/Pç]],0)</f>
        <v>33.455999999999996</v>
      </c>
      <c r="R862" s="37">
        <f>IFERROR(Tabela3[[#This Row],[Peso Total Galho]]*Tabela3[[#This Row],[Qtde Cx Produzida]]*1.055,0)</f>
        <v>46.208999999999996</v>
      </c>
      <c r="S862" s="37">
        <f>(Tabela3[[#This Row],[Aluminio Bruto]]-Tabela3[[#This Row],[Aluminio Util]])*0.9</f>
        <v>11.4777</v>
      </c>
      <c r="T862" s="37">
        <f>Tabela3[[#This Row],[Aluminio Bruto]]/OleoKGAluminio</f>
        <v>19.440066552337019</v>
      </c>
      <c r="U862" s="35">
        <f>IFERROR((VLOOKUP(Tabela3[[#This Row],[Moldador]],Tabela1[],5,)+(VLOOKUP(Tabela3[[#This Row],[Ajudante]],Tabela1[],5,))*3.5),0)</f>
        <v>126.0945</v>
      </c>
      <c r="V862" s="35">
        <f>IFERROR(Tabela3[[#This Row],[Custo M.O. / H]]/((Tabela3[[#This Row],[Realizado]]/Tabela3[[#This Row],[Qdt Peça Placa]])/Tabela3[[#This Row],[Tempo]]/24),)</f>
        <v>14.0105</v>
      </c>
      <c r="W862" s="35">
        <f>Tabela3[[#This Row],[Custo / Cx Moldada]]*Tabela3[[#This Row],[Qtde Cx Produzida]]</f>
        <v>168.126</v>
      </c>
      <c r="X862" s="35">
        <f ca="1">Tabela3[[#This Row],[Aluminio Util]]*Tabela3[[#This Row],[Custo/Kg]]</f>
        <v>521.91359999999997</v>
      </c>
      <c r="Y862" s="35">
        <f>IFERROR(VLOOKUP(Tabela3[[#This Row],[Data]],Tabela461213[],2,1)*(Tabela3[[#This Row],[Qtde Cx Produzida]]*Tabela3[[#This Row],[Qde macho / CX]]*Tabela3[[#This Row],[Peso Macho]]),)</f>
        <v>0</v>
      </c>
      <c r="Z862" s="35">
        <f>IFERROR(Tabela3[[#This Row],[Qtde Oleo]]*(VLOOKUP(Tabela3[[#This Row],[Data]],CompraOleo[],3,TRUE))*1.05,0)</f>
        <v>51.030174699884675</v>
      </c>
      <c r="AA862" s="47">
        <f ca="1">(Tabela3[[#This Row],[Custo Oleo]]+Tabela3[[#This Row],[Custo Aluminio]]+Tabela3[[#This Row],[Custo M.O. Total]]+Tabela3[[#This Row],[Custo Machos]])</f>
        <v>741.06977469988465</v>
      </c>
      <c r="AB862" s="47">
        <f ca="1">Tabela3[[#This Row],[Custo Total]]*Tabela3[[#This Row],[% Perda]]</f>
        <v>0</v>
      </c>
      <c r="AC862" s="48">
        <f>IFERROR(VLOOKUP(Tabela3[[#This Row],[Produto]],Tabela2[],2,0),0)</f>
        <v>1</v>
      </c>
      <c r="AD862" s="48">
        <f>IFERROR(VLOOKUP(Tabela3[[#This Row],[Produto]],Tabela2[],3,0),0)</f>
        <v>2.7879999999999998</v>
      </c>
      <c r="AE862" s="48">
        <f>IFERROR(VLOOKUP(Tabela3[[#This Row],[Produto]],Tabela2[],4,0),0)</f>
        <v>3.65</v>
      </c>
      <c r="AF862" s="48">
        <f>IFERROR(VLOOKUP(Tabela3[[#This Row],[Produto]],Tabela2[],5,0),0)</f>
        <v>0.77580000000000016</v>
      </c>
      <c r="AG862" s="40">
        <f>IFERROR(VLOOKUP(Tabela3[[#This Row],[Produto]],Tabela2[],6,0),0)</f>
        <v>0</v>
      </c>
      <c r="AH862" s="40">
        <f>IFERROR(VLOOKUP(Tabela3[[#This Row],[Produto]],Tabela2[],7,0),0)</f>
        <v>0</v>
      </c>
      <c r="AI862" s="40">
        <f>IFERROR(VLOOKUP(Tabela3[[#This Row],[Produto]],Tabela2[],8,0),0)</f>
        <v>0</v>
      </c>
      <c r="AJ862" s="35">
        <f ca="1">IFERROR(VLOOKUP(Tabela3[[#This Row],[Produto]],Tabela2[],13,0),0)</f>
        <v>15.600000000000001</v>
      </c>
      <c r="AK862" s="40" t="str">
        <f>IFERROR(VLOOKUP(Tabela3[[#This Row],[Produto]],Tabela2[],14,0),0)</f>
        <v>Jumil</v>
      </c>
      <c r="AL862" s="40">
        <f>IFERROR(VLOOKUP(Tabela3[[#This Row],[Produto]],Tabela2[],15,0),0)</f>
        <v>35</v>
      </c>
      <c r="AM862" s="36">
        <f ca="1">(Tabela3[[#This Row],[Custo Usinagem]]+Tabela3[[#This Row],[Custo / Pç]])*1.2</f>
        <v>116.10697746998846</v>
      </c>
      <c r="AN862" s="36">
        <f ca="1">Tabela3[[#This Row],[Valor Mínimo Venda]]*1.15</f>
        <v>133.52302409048673</v>
      </c>
      <c r="AO862" s="36">
        <f ca="1">Tabela3[[#This Row],[Tabela 1]]*1.08</f>
        <v>144.20486601772566</v>
      </c>
      <c r="AP862" s="36">
        <f ca="1">Tabela3[[#This Row],[Tabela 2]]*1.15</f>
        <v>165.83559592038449</v>
      </c>
    </row>
    <row r="863" spans="1:42">
      <c r="A863" s="9">
        <v>46028</v>
      </c>
      <c r="B863" s="6" t="s">
        <v>101</v>
      </c>
      <c r="C863" s="14">
        <v>8772</v>
      </c>
      <c r="D863" s="6" t="s">
        <v>46</v>
      </c>
      <c r="E863" s="6" t="s">
        <v>44</v>
      </c>
      <c r="F863" s="6">
        <v>7</v>
      </c>
      <c r="G863" s="15">
        <v>3.5416666666666666E-2</v>
      </c>
      <c r="H863" s="16">
        <v>4</v>
      </c>
      <c r="I863" s="35">
        <f ca="1">IFERROR(Tabela3[[#This Row],[Custo Total]]/Tabela3[[#This Row],[Aluminio Util]],0)</f>
        <v>45.599095203113485</v>
      </c>
      <c r="J863" s="35">
        <f ca="1">Tabela3[[#This Row],[Custo Total]]/Tabela3[[#This Row],[Realizado]]</f>
        <v>27.359457121868093</v>
      </c>
      <c r="K863" s="37">
        <f>IFERROR(Tabela3[[#This Row],[Qtde Cx Produzida]]/Tabela3[[#This Row],[Tempo]]/24,0)</f>
        <v>8.2352941176470598</v>
      </c>
      <c r="L863" s="37">
        <f>Tabela3[[#This Row],[Qtde Cx Produzida]]*Tabela3[[#This Row],[Qdt Peça Placa]]</f>
        <v>14</v>
      </c>
      <c r="M863" s="37">
        <f>Tabela3[[#This Row],[Previsto]]-Tabela3[[#This Row],[Perda Pçs]]</f>
        <v>10</v>
      </c>
      <c r="N863" s="38">
        <f>IFERROR(Tabela3[[#This Row],[Perda Pçs]]/Tabela3[[#This Row],[Previsto]],0)</f>
        <v>0.2857142857142857</v>
      </c>
      <c r="O863" s="39">
        <f>IFERROR(IF(Tabela3[[#This Row],[Qtde Cx Produzida]] &lt;&gt; 0, Tabela3[[#This Row],[Tempo]] / Tabela3[[#This Row],[Qtde Cx Produzida]], 0),0)</f>
        <v>5.0595238095238098E-3</v>
      </c>
      <c r="P863" s="57">
        <f>IFERROR(Tabela3[[#This Row],[Perda Pçs]]/Tabela3[[#This Row],[Qdt Peça Placa]],0)</f>
        <v>2</v>
      </c>
      <c r="Q863" s="37">
        <f>IFERROR(Tabela3[[#This Row],[Realizado]]*Tabela3[[#This Row],[Peso Util/Pç]],0)</f>
        <v>6</v>
      </c>
      <c r="R863" s="37">
        <f>IFERROR(Tabela3[[#This Row],[Peso Total Galho]]*Tabela3[[#This Row],[Qtde Cx Produzida]]*1.055,0)</f>
        <v>16.247</v>
      </c>
      <c r="S863" s="37">
        <f>(Tabela3[[#This Row],[Aluminio Bruto]]-Tabela3[[#This Row],[Aluminio Util]])*0.9</f>
        <v>9.2223000000000006</v>
      </c>
      <c r="T863" s="37">
        <f>Tabela3[[#This Row],[Aluminio Bruto]]/OleoKGAluminio</f>
        <v>6.8350918928308246</v>
      </c>
      <c r="U863" s="35">
        <f>IFERROR((VLOOKUP(Tabela3[[#This Row],[Moldador]],Tabela1[],5,)+(VLOOKUP(Tabela3[[#This Row],[Ajudante]],Tabela1[],5,))*3.5),0)</f>
        <v>126.0945</v>
      </c>
      <c r="V863" s="35">
        <f>IFERROR(Tabela3[[#This Row],[Custo M.O. / H]]/((Tabela3[[#This Row],[Realizado]]/Tabela3[[#This Row],[Qdt Peça Placa]])/Tabela3[[#This Row],[Tempo]]/24),)</f>
        <v>21.436064999999999</v>
      </c>
      <c r="W863" s="35">
        <f>Tabela3[[#This Row],[Custo / Cx Moldada]]*Tabela3[[#This Row],[Qtde Cx Produzida]]</f>
        <v>150.05245500000001</v>
      </c>
      <c r="X863" s="35">
        <f ca="1">Tabela3[[#This Row],[Aluminio Util]]*Tabela3[[#This Row],[Custo/Kg]]</f>
        <v>105.60000000000001</v>
      </c>
      <c r="Y863" s="35">
        <f>IFERROR(VLOOKUP(Tabela3[[#This Row],[Data]],Tabela461213[],2,1)*(Tabela3[[#This Row],[Qtde Cx Produzida]]*Tabela3[[#This Row],[Qde macho / CX]]*Tabela3[[#This Row],[Peso Macho]]),)</f>
        <v>0</v>
      </c>
      <c r="Z863" s="35">
        <f>IFERROR(Tabela3[[#This Row],[Qtde Oleo]]*(VLOOKUP(Tabela3[[#This Row],[Data]],CompraOleo[],3,TRUE))*1.05,0)</f>
        <v>17.942116218680916</v>
      </c>
      <c r="AA863" s="47">
        <f ca="1">(Tabela3[[#This Row],[Custo Oleo]]+Tabela3[[#This Row],[Custo Aluminio]]+Tabela3[[#This Row],[Custo M.O. Total]]+Tabela3[[#This Row],[Custo Machos]])</f>
        <v>273.59457121868093</v>
      </c>
      <c r="AB863" s="47">
        <f ca="1">Tabela3[[#This Row],[Custo Total]]*Tabela3[[#This Row],[% Perda]]</f>
        <v>78.169877491051693</v>
      </c>
      <c r="AC863" s="48">
        <f>IFERROR(VLOOKUP(Tabela3[[#This Row],[Produto]],Tabela2[],2,0),0)</f>
        <v>2</v>
      </c>
      <c r="AD863" s="48">
        <f>IFERROR(VLOOKUP(Tabela3[[#This Row],[Produto]],Tabela2[],3,0),0)</f>
        <v>0.6</v>
      </c>
      <c r="AE863" s="48">
        <f>IFERROR(VLOOKUP(Tabela3[[#This Row],[Produto]],Tabela2[],4,0),0)</f>
        <v>2.2000000000000002</v>
      </c>
      <c r="AF863" s="48">
        <f>IFERROR(VLOOKUP(Tabela3[[#This Row],[Produto]],Tabela2[],5,0),0)</f>
        <v>0.90000000000000024</v>
      </c>
      <c r="AG863" s="40">
        <f>IFERROR(VLOOKUP(Tabela3[[#This Row],[Produto]],Tabela2[],6,0),0)</f>
        <v>0</v>
      </c>
      <c r="AH863" s="40">
        <f>IFERROR(VLOOKUP(Tabela3[[#This Row],[Produto]],Tabela2[],7,0),0)</f>
        <v>0</v>
      </c>
      <c r="AI863" s="40">
        <f>IFERROR(VLOOKUP(Tabela3[[#This Row],[Produto]],Tabela2[],8,0),0)</f>
        <v>0</v>
      </c>
      <c r="AJ863" s="35">
        <f ca="1">IFERROR(VLOOKUP(Tabela3[[#This Row],[Produto]],Tabela2[],13,0),0)</f>
        <v>17.600000000000001</v>
      </c>
      <c r="AK863" s="40" t="str">
        <f>IFERROR(VLOOKUP(Tabela3[[#This Row],[Produto]],Tabela2[],14,0),0)</f>
        <v>Protec</v>
      </c>
      <c r="AL863" s="40">
        <f>IFERROR(VLOOKUP(Tabela3[[#This Row],[Produto]],Tabela2[],15,0),0)</f>
        <v>0</v>
      </c>
      <c r="AM863" s="36">
        <f ca="1">(Tabela3[[#This Row],[Custo Usinagem]]+Tabela3[[#This Row],[Custo / Pç]])*1.2</f>
        <v>32.831348546241713</v>
      </c>
      <c r="AN863" s="36">
        <f ca="1">Tabela3[[#This Row],[Valor Mínimo Venda]]*1.15</f>
        <v>37.756050828177969</v>
      </c>
      <c r="AO863" s="36">
        <f ca="1">Tabela3[[#This Row],[Tabela 1]]*1.08</f>
        <v>40.77653489443221</v>
      </c>
      <c r="AP863" s="36">
        <f ca="1">Tabela3[[#This Row],[Tabela 2]]*1.15</f>
        <v>46.893015128597035</v>
      </c>
    </row>
    <row r="864" spans="1:42">
      <c r="A864" s="9">
        <v>46028</v>
      </c>
      <c r="B864" s="6" t="s">
        <v>100</v>
      </c>
      <c r="C864" s="14">
        <v>8771</v>
      </c>
      <c r="D864" s="6" t="s">
        <v>46</v>
      </c>
      <c r="E864" s="6" t="s">
        <v>44</v>
      </c>
      <c r="F864" s="6">
        <v>7</v>
      </c>
      <c r="G864" s="15">
        <v>3.7499999999999999E-2</v>
      </c>
      <c r="H864" s="16">
        <v>6</v>
      </c>
      <c r="I864" s="35">
        <f ca="1">IFERROR(Tabela3[[#This Row],[Custo Total]]/Tabela3[[#This Row],[Aluminio Util]],0)</f>
        <v>62.71269869139185</v>
      </c>
      <c r="J864" s="35">
        <f ca="1">Tabela3[[#This Row],[Custo Total]]/Tabela3[[#This Row],[Realizado]]</f>
        <v>37.627619214835107</v>
      </c>
      <c r="K864" s="37">
        <f>IFERROR(Tabela3[[#This Row],[Qtde Cx Produzida]]/Tabela3[[#This Row],[Tempo]]/24,0)</f>
        <v>7.7777777777777786</v>
      </c>
      <c r="L864" s="37">
        <f>Tabela3[[#This Row],[Qtde Cx Produzida]]*Tabela3[[#This Row],[Qdt Peça Placa]]</f>
        <v>14</v>
      </c>
      <c r="M864" s="37">
        <f>Tabela3[[#This Row],[Previsto]]-Tabela3[[#This Row],[Perda Pçs]]</f>
        <v>8</v>
      </c>
      <c r="N864" s="38">
        <f>IFERROR(Tabela3[[#This Row],[Perda Pçs]]/Tabela3[[#This Row],[Previsto]],0)</f>
        <v>0.42857142857142855</v>
      </c>
      <c r="O864" s="39">
        <f>IFERROR(IF(Tabela3[[#This Row],[Qtde Cx Produzida]] &lt;&gt; 0, Tabela3[[#This Row],[Tempo]] / Tabela3[[#This Row],[Qtde Cx Produzida]], 0),0)</f>
        <v>5.3571428571428572E-3</v>
      </c>
      <c r="P864" s="57">
        <f>IFERROR(Tabela3[[#This Row],[Perda Pçs]]/Tabela3[[#This Row],[Qdt Peça Placa]],0)</f>
        <v>3</v>
      </c>
      <c r="Q864" s="37">
        <f>IFERROR(Tabela3[[#This Row],[Realizado]]*Tabela3[[#This Row],[Peso Util/Pç]],0)</f>
        <v>4.8</v>
      </c>
      <c r="R864" s="37">
        <f>IFERROR(Tabela3[[#This Row],[Peso Total Galho]]*Tabela3[[#This Row],[Qtde Cx Produzida]]*1.055,0)</f>
        <v>16.247</v>
      </c>
      <c r="S864" s="37">
        <f>(Tabela3[[#This Row],[Aluminio Bruto]]-Tabela3[[#This Row],[Aluminio Util]])*0.9</f>
        <v>10.302299999999999</v>
      </c>
      <c r="T864" s="37">
        <f>Tabela3[[#This Row],[Aluminio Bruto]]/OleoKGAluminio</f>
        <v>6.8350918928308246</v>
      </c>
      <c r="U864" s="35">
        <f>IFERROR((VLOOKUP(Tabela3[[#This Row],[Moldador]],Tabela1[],5,)+(VLOOKUP(Tabela3[[#This Row],[Ajudante]],Tabela1[],5,))*3.5),0)</f>
        <v>126.0945</v>
      </c>
      <c r="V864" s="35">
        <f>IFERROR(Tabela3[[#This Row],[Custo M.O. / H]]/((Tabela3[[#This Row],[Realizado]]/Tabela3[[#This Row],[Qdt Peça Placa]])/Tabela3[[#This Row],[Tempo]]/24),)</f>
        <v>28.371262499999997</v>
      </c>
      <c r="W864" s="35">
        <f>Tabela3[[#This Row],[Custo / Cx Moldada]]*Tabela3[[#This Row],[Qtde Cx Produzida]]</f>
        <v>198.59883749999997</v>
      </c>
      <c r="X864" s="35">
        <f ca="1">Tabela3[[#This Row],[Aluminio Util]]*Tabela3[[#This Row],[Custo/Kg]]</f>
        <v>84.48</v>
      </c>
      <c r="Y864" s="35">
        <f>IFERROR(VLOOKUP(Tabela3[[#This Row],[Data]],Tabela461213[],2,1)*(Tabela3[[#This Row],[Qtde Cx Produzida]]*Tabela3[[#This Row],[Qde macho / CX]]*Tabela3[[#This Row],[Peso Macho]]),)</f>
        <v>0</v>
      </c>
      <c r="Z864" s="35">
        <f>IFERROR(Tabela3[[#This Row],[Qtde Oleo]]*(VLOOKUP(Tabela3[[#This Row],[Data]],CompraOleo[],3,TRUE))*1.05,0)</f>
        <v>17.942116218680916</v>
      </c>
      <c r="AA864" s="47">
        <f ca="1">(Tabela3[[#This Row],[Custo Oleo]]+Tabela3[[#This Row],[Custo Aluminio]]+Tabela3[[#This Row],[Custo M.O. Total]]+Tabela3[[#This Row],[Custo Machos]])</f>
        <v>301.02095371868086</v>
      </c>
      <c r="AB864" s="47">
        <f ca="1">Tabela3[[#This Row],[Custo Total]]*Tabela3[[#This Row],[% Perda]]</f>
        <v>129.00898016514893</v>
      </c>
      <c r="AC864" s="48">
        <f>IFERROR(VLOOKUP(Tabela3[[#This Row],[Produto]],Tabela2[],2,0),0)</f>
        <v>2</v>
      </c>
      <c r="AD864" s="48">
        <f>IFERROR(VLOOKUP(Tabela3[[#This Row],[Produto]],Tabela2[],3,0),0)</f>
        <v>0.6</v>
      </c>
      <c r="AE864" s="48">
        <f>IFERROR(VLOOKUP(Tabela3[[#This Row],[Produto]],Tabela2[],4,0),0)</f>
        <v>2.2000000000000002</v>
      </c>
      <c r="AF864" s="48">
        <f>IFERROR(VLOOKUP(Tabela3[[#This Row],[Produto]],Tabela2[],5,0),0)</f>
        <v>0.90000000000000024</v>
      </c>
      <c r="AG864" s="40">
        <f>IFERROR(VLOOKUP(Tabela3[[#This Row],[Produto]],Tabela2[],6,0),0)</f>
        <v>0</v>
      </c>
      <c r="AH864" s="40">
        <f>IFERROR(VLOOKUP(Tabela3[[#This Row],[Produto]],Tabela2[],7,0),0)</f>
        <v>0</v>
      </c>
      <c r="AI864" s="40">
        <f>IFERROR(VLOOKUP(Tabela3[[#This Row],[Produto]],Tabela2[],8,0),0)</f>
        <v>0</v>
      </c>
      <c r="AJ864" s="35">
        <f ca="1">IFERROR(VLOOKUP(Tabela3[[#This Row],[Produto]],Tabela2[],13,0),0)</f>
        <v>17.600000000000001</v>
      </c>
      <c r="AK864" s="40" t="str">
        <f>IFERROR(VLOOKUP(Tabela3[[#This Row],[Produto]],Tabela2[],14,0),0)</f>
        <v>Protec</v>
      </c>
      <c r="AL864" s="40">
        <f>IFERROR(VLOOKUP(Tabela3[[#This Row],[Produto]],Tabela2[],15,0),0)</f>
        <v>0</v>
      </c>
      <c r="AM864" s="36">
        <f ca="1">(Tabela3[[#This Row],[Custo Usinagem]]+Tabela3[[#This Row],[Custo / Pç]])*1.2</f>
        <v>45.153143057802126</v>
      </c>
      <c r="AN864" s="36">
        <f ca="1">Tabela3[[#This Row],[Valor Mínimo Venda]]*1.15</f>
        <v>51.926114516472438</v>
      </c>
      <c r="AO864" s="36">
        <f ca="1">Tabela3[[#This Row],[Tabela 1]]*1.08</f>
        <v>56.080203677790237</v>
      </c>
      <c r="AP864" s="36">
        <f ca="1">Tabela3[[#This Row],[Tabela 2]]*1.15</f>
        <v>64.492234229458774</v>
      </c>
    </row>
    <row r="865" spans="1:42">
      <c r="A865" s="9">
        <v>46029</v>
      </c>
      <c r="B865" s="6" t="s">
        <v>229</v>
      </c>
      <c r="C865" s="14">
        <v>8758</v>
      </c>
      <c r="D865" s="6" t="s">
        <v>46</v>
      </c>
      <c r="E865" s="6" t="s">
        <v>44</v>
      </c>
      <c r="F865" s="6">
        <v>8</v>
      </c>
      <c r="G865" s="15">
        <v>2.5694444444444443E-2</v>
      </c>
      <c r="H865" s="16">
        <v>0</v>
      </c>
      <c r="I865" s="35">
        <f ca="1">IFERROR(Tabela3[[#This Row],[Custo Total]]/Tabela3[[#This Row],[Aluminio Util]],0)</f>
        <v>20.611584983258155</v>
      </c>
      <c r="J865" s="35">
        <f ca="1">Tabela3[[#This Row],[Custo Total]]/Tabela3[[#This Row],[Realizado]]</f>
        <v>57.465098933323731</v>
      </c>
      <c r="K865" s="37">
        <f>IFERROR(Tabela3[[#This Row],[Qtde Cx Produzida]]/Tabela3[[#This Row],[Tempo]]/24,0)</f>
        <v>12.972972972972974</v>
      </c>
      <c r="L865" s="37">
        <f>Tabela3[[#This Row],[Qtde Cx Produzida]]*Tabela3[[#This Row],[Qdt Peça Placa]]</f>
        <v>8</v>
      </c>
      <c r="M865" s="37">
        <f>Tabela3[[#This Row],[Previsto]]-Tabela3[[#This Row],[Perda Pçs]]</f>
        <v>8</v>
      </c>
      <c r="N865" s="38">
        <f>IFERROR(Tabela3[[#This Row],[Perda Pçs]]/Tabela3[[#This Row],[Previsto]],0)</f>
        <v>0</v>
      </c>
      <c r="O865" s="39">
        <f>IFERROR(IF(Tabela3[[#This Row],[Qtde Cx Produzida]] &lt;&gt; 0, Tabela3[[#This Row],[Tempo]] / Tabela3[[#This Row],[Qtde Cx Produzida]], 0),0)</f>
        <v>3.2118055555555554E-3</v>
      </c>
      <c r="P865" s="57">
        <f>IFERROR(Tabela3[[#This Row],[Perda Pçs]]/Tabela3[[#This Row],[Qdt Peça Placa]],0)</f>
        <v>0</v>
      </c>
      <c r="Q865" s="37">
        <f>IFERROR(Tabela3[[#This Row],[Realizado]]*Tabela3[[#This Row],[Peso Util/Pç]],0)</f>
        <v>22.303999999999998</v>
      </c>
      <c r="R865" s="37">
        <f>IFERROR(Tabela3[[#This Row],[Peso Total Galho]]*Tabela3[[#This Row],[Qtde Cx Produzida]]*1.055,0)</f>
        <v>30.805999999999997</v>
      </c>
      <c r="S865" s="37">
        <f>(Tabela3[[#This Row],[Aluminio Bruto]]-Tabela3[[#This Row],[Aluminio Util]])*0.9</f>
        <v>7.6517999999999988</v>
      </c>
      <c r="T865" s="37">
        <f>Tabela3[[#This Row],[Aluminio Bruto]]/OleoKGAluminio</f>
        <v>12.960044368224679</v>
      </c>
      <c r="U865" s="35">
        <f>IFERROR((VLOOKUP(Tabela3[[#This Row],[Moldador]],Tabela1[],5,)+(VLOOKUP(Tabela3[[#This Row],[Ajudante]],Tabela1[],5,))*3.5),0)</f>
        <v>126.0945</v>
      </c>
      <c r="V865" s="35">
        <f>IFERROR(Tabela3[[#This Row],[Custo M.O. / H]]/((Tabela3[[#This Row],[Realizado]]/Tabela3[[#This Row],[Qdt Peça Placa]])/Tabela3[[#This Row],[Tempo]]/24),)</f>
        <v>9.7197843749999997</v>
      </c>
      <c r="W865" s="35">
        <f>Tabela3[[#This Row],[Custo / Cx Moldada]]*Tabela3[[#This Row],[Qtde Cx Produzida]]</f>
        <v>77.758274999999998</v>
      </c>
      <c r="X865" s="35">
        <f ca="1">Tabela3[[#This Row],[Aluminio Util]]*Tabela3[[#This Row],[Custo/Kg]]</f>
        <v>347.94240000000002</v>
      </c>
      <c r="Y865" s="35">
        <f>IFERROR(VLOOKUP(Tabela3[[#This Row],[Data]],Tabela461213[],2,1)*(Tabela3[[#This Row],[Qtde Cx Produzida]]*Tabela3[[#This Row],[Qde macho / CX]]*Tabela3[[#This Row],[Peso Macho]]),)</f>
        <v>0</v>
      </c>
      <c r="Z865" s="35">
        <f>IFERROR(Tabela3[[#This Row],[Qtde Oleo]]*(VLOOKUP(Tabela3[[#This Row],[Data]],CompraOleo[],3,TRUE))*1.05,0)</f>
        <v>34.020116466589791</v>
      </c>
      <c r="AA865" s="47">
        <f ca="1">(Tabela3[[#This Row],[Custo Oleo]]+Tabela3[[#This Row],[Custo Aluminio]]+Tabela3[[#This Row],[Custo M.O. Total]]+Tabela3[[#This Row],[Custo Machos]])</f>
        <v>459.72079146658984</v>
      </c>
      <c r="AB865" s="47">
        <f ca="1">Tabela3[[#This Row],[Custo Total]]*Tabela3[[#This Row],[% Perda]]</f>
        <v>0</v>
      </c>
      <c r="AC865" s="48">
        <f>IFERROR(VLOOKUP(Tabela3[[#This Row],[Produto]],Tabela2[],2,0),0)</f>
        <v>1</v>
      </c>
      <c r="AD865" s="48">
        <f>IFERROR(VLOOKUP(Tabela3[[#This Row],[Produto]],Tabela2[],3,0),0)</f>
        <v>2.7879999999999998</v>
      </c>
      <c r="AE865" s="48">
        <f>IFERROR(VLOOKUP(Tabela3[[#This Row],[Produto]],Tabela2[],4,0),0)</f>
        <v>3.65</v>
      </c>
      <c r="AF865" s="48">
        <f>IFERROR(VLOOKUP(Tabela3[[#This Row],[Produto]],Tabela2[],5,0),0)</f>
        <v>0.77580000000000016</v>
      </c>
      <c r="AG865" s="40">
        <f>IFERROR(VLOOKUP(Tabela3[[#This Row],[Produto]],Tabela2[],6,0),0)</f>
        <v>0</v>
      </c>
      <c r="AH865" s="40">
        <f>IFERROR(VLOOKUP(Tabela3[[#This Row],[Produto]],Tabela2[],7,0),0)</f>
        <v>0</v>
      </c>
      <c r="AI865" s="40">
        <f>IFERROR(VLOOKUP(Tabela3[[#This Row],[Produto]],Tabela2[],8,0),0)</f>
        <v>0</v>
      </c>
      <c r="AJ865" s="35">
        <f ca="1">IFERROR(VLOOKUP(Tabela3[[#This Row],[Produto]],Tabela2[],13,0),0)</f>
        <v>15.600000000000001</v>
      </c>
      <c r="AK865" s="40" t="str">
        <f>IFERROR(VLOOKUP(Tabela3[[#This Row],[Produto]],Tabela2[],14,0),0)</f>
        <v>Jumil</v>
      </c>
      <c r="AL865" s="40">
        <f>IFERROR(VLOOKUP(Tabela3[[#This Row],[Produto]],Tabela2[],15,0),0)</f>
        <v>35</v>
      </c>
      <c r="AM865" s="36">
        <f ca="1">(Tabela3[[#This Row],[Custo Usinagem]]+Tabela3[[#This Row],[Custo / Pç]])*1.2</f>
        <v>110.95811871998848</v>
      </c>
      <c r="AN865" s="36">
        <f ca="1">Tabela3[[#This Row],[Valor Mínimo Venda]]*1.15</f>
        <v>127.60183652798673</v>
      </c>
      <c r="AO865" s="36">
        <f ca="1">Tabela3[[#This Row],[Tabela 1]]*1.08</f>
        <v>137.80998345022567</v>
      </c>
      <c r="AP865" s="36">
        <f ca="1">Tabela3[[#This Row],[Tabela 2]]*1.15</f>
        <v>158.48148096775952</v>
      </c>
    </row>
    <row r="866" spans="1:42">
      <c r="A866" s="9">
        <v>46029</v>
      </c>
      <c r="B866" s="6" t="s">
        <v>248</v>
      </c>
      <c r="C866" s="14">
        <v>8726</v>
      </c>
      <c r="D866" s="6" t="s">
        <v>46</v>
      </c>
      <c r="E866" s="6" t="s">
        <v>44</v>
      </c>
      <c r="F866" s="6">
        <v>30</v>
      </c>
      <c r="G866" s="15">
        <v>0.21597222222222223</v>
      </c>
      <c r="H866" s="16">
        <v>30</v>
      </c>
      <c r="I866" s="35">
        <f ca="1">IFERROR(Tabela3[[#This Row],[Custo Total]]/Tabela3[[#This Row],[Aluminio Util]],0)</f>
        <v>45.141995693344029</v>
      </c>
      <c r="J866" s="35">
        <f ca="1">Tabela3[[#This Row],[Custo Total]]/Tabela3[[#This Row],[Realizado]]</f>
        <v>16.16083445821716</v>
      </c>
      <c r="K866" s="37">
        <f>IFERROR(Tabela3[[#This Row],[Qtde Cx Produzida]]/Tabela3[[#This Row],[Tempo]]/24,0)</f>
        <v>5.787781350482315</v>
      </c>
      <c r="L866" s="37">
        <f>Tabela3[[#This Row],[Qtde Cx Produzida]]*Tabela3[[#This Row],[Qdt Peça Placa]]</f>
        <v>120</v>
      </c>
      <c r="M866" s="37">
        <f>Tabela3[[#This Row],[Previsto]]-Tabela3[[#This Row],[Perda Pçs]]</f>
        <v>90</v>
      </c>
      <c r="N866" s="38">
        <f>IFERROR(Tabela3[[#This Row],[Perda Pçs]]/Tabela3[[#This Row],[Previsto]],0)</f>
        <v>0.25</v>
      </c>
      <c r="O866" s="39">
        <f>IFERROR(IF(Tabela3[[#This Row],[Qtde Cx Produzida]] &lt;&gt; 0, Tabela3[[#This Row],[Tempo]] / Tabela3[[#This Row],[Qtde Cx Produzida]], 0),0)</f>
        <v>7.1990740740740747E-3</v>
      </c>
      <c r="P866" s="57">
        <f>IFERROR(Tabela3[[#This Row],[Perda Pçs]]/Tabela3[[#This Row],[Qdt Peça Placa]],0)</f>
        <v>7.5</v>
      </c>
      <c r="Q866" s="37">
        <f>IFERROR(Tabela3[[#This Row],[Realizado]]*Tabela3[[#This Row],[Peso Util/Pç]],0)</f>
        <v>32.22</v>
      </c>
      <c r="R866" s="37">
        <f>IFERROR(Tabela3[[#This Row],[Peso Total Galho]]*Tabela3[[#This Row],[Qtde Cx Produzida]]*1.055,0)</f>
        <v>72.795000000000002</v>
      </c>
      <c r="S866" s="37">
        <f>(Tabela3[[#This Row],[Aluminio Bruto]]-Tabela3[[#This Row],[Aluminio Util]])*0.9</f>
        <v>36.517500000000005</v>
      </c>
      <c r="T866" s="37">
        <f>Tabela3[[#This Row],[Aluminio Bruto]]/OleoKGAluminio</f>
        <v>30.624762376969279</v>
      </c>
      <c r="U866" s="35">
        <f>IFERROR((VLOOKUP(Tabela3[[#This Row],[Moldador]],Tabela1[],5,)+(VLOOKUP(Tabela3[[#This Row],[Ajudante]],Tabela1[],5,))*3.5),0)</f>
        <v>126.0945</v>
      </c>
      <c r="V866" s="35">
        <f>IFERROR(Tabela3[[#This Row],[Custo M.O. / H]]/((Tabela3[[#This Row],[Realizado]]/Tabela3[[#This Row],[Qdt Peça Placa]])/Tabela3[[#This Row],[Tempo]]/24),)</f>
        <v>29.048436666666667</v>
      </c>
      <c r="W866" s="35">
        <f>Tabela3[[#This Row],[Custo / Cx Moldada]]*Tabela3[[#This Row],[Qtde Cx Produzida]]</f>
        <v>871.45310000000006</v>
      </c>
      <c r="X866" s="35">
        <f ca="1">Tabela3[[#This Row],[Aluminio Util]]*Tabela3[[#This Row],[Custo/Kg]]</f>
        <v>502.63200000000001</v>
      </c>
      <c r="Y866" s="35">
        <f>IFERROR(VLOOKUP(Tabela3[[#This Row],[Data]],Tabela461213[],2,1)*(Tabela3[[#This Row],[Qtde Cx Produzida]]*Tabela3[[#This Row],[Qde macho / CX]]*Tabela3[[#This Row],[Peso Macho]]),)</f>
        <v>0</v>
      </c>
      <c r="Z866" s="35">
        <f>IFERROR(Tabela3[[#This Row],[Qtde Oleo]]*(VLOOKUP(Tabela3[[#This Row],[Data]],CompraOleo[],3,TRUE))*1.05,0)</f>
        <v>80.390001239544361</v>
      </c>
      <c r="AA866" s="47">
        <f ca="1">(Tabela3[[#This Row],[Custo Oleo]]+Tabela3[[#This Row],[Custo Aluminio]]+Tabela3[[#This Row],[Custo M.O. Total]]+Tabela3[[#This Row],[Custo Machos]])</f>
        <v>1454.4751012395445</v>
      </c>
      <c r="AB866" s="47">
        <f ca="1">Tabela3[[#This Row],[Custo Total]]*Tabela3[[#This Row],[% Perda]]</f>
        <v>363.61877530988613</v>
      </c>
      <c r="AC866" s="48">
        <f>IFERROR(VLOOKUP(Tabela3[[#This Row],[Produto]],Tabela2[],2,0),0)</f>
        <v>4</v>
      </c>
      <c r="AD866" s="48">
        <f>IFERROR(VLOOKUP(Tabela3[[#This Row],[Produto]],Tabela2[],3,0),0)</f>
        <v>0.35799999999999998</v>
      </c>
      <c r="AE866" s="48">
        <f>IFERROR(VLOOKUP(Tabela3[[#This Row],[Produto]],Tabela2[],4,0),0)</f>
        <v>2.2999999999999998</v>
      </c>
      <c r="AF866" s="48">
        <f>IFERROR(VLOOKUP(Tabela3[[#This Row],[Produto]],Tabela2[],5,0),0)</f>
        <v>0.78119999999999989</v>
      </c>
      <c r="AG866" s="40">
        <f>IFERROR(VLOOKUP(Tabela3[[#This Row],[Produto]],Tabela2[],6,0),0)</f>
        <v>0</v>
      </c>
      <c r="AH866" s="40">
        <f>IFERROR(VLOOKUP(Tabela3[[#This Row],[Produto]],Tabela2[],7,0),0)</f>
        <v>0</v>
      </c>
      <c r="AI866" s="40">
        <f>IFERROR(VLOOKUP(Tabela3[[#This Row],[Produto]],Tabela2[],8,0),0)</f>
        <v>0</v>
      </c>
      <c r="AJ866" s="35">
        <f ca="1">IFERROR(VLOOKUP(Tabela3[[#This Row],[Produto]],Tabela2[],13,0),0)</f>
        <v>15.600000000000001</v>
      </c>
      <c r="AK866" s="40" t="str">
        <f>IFERROR(VLOOKUP(Tabela3[[#This Row],[Produto]],Tabela2[],14,0),0)</f>
        <v>Senun</v>
      </c>
      <c r="AL866" s="40">
        <f>IFERROR(VLOOKUP(Tabela3[[#This Row],[Produto]],Tabela2[],15,0),0)</f>
        <v>4</v>
      </c>
      <c r="AM866" s="36">
        <f ca="1">(Tabela3[[#This Row],[Custo Usinagem]]+Tabela3[[#This Row],[Custo / Pç]])*1.2</f>
        <v>24.193001349860591</v>
      </c>
      <c r="AN866" s="36">
        <f ca="1">Tabela3[[#This Row],[Valor Mínimo Venda]]*1.15</f>
        <v>27.821951552339677</v>
      </c>
      <c r="AO866" s="36">
        <f ca="1">Tabela3[[#This Row],[Tabela 1]]*1.08</f>
        <v>30.047707676526851</v>
      </c>
      <c r="AP866" s="36">
        <f ca="1">Tabela3[[#This Row],[Tabela 2]]*1.15</f>
        <v>34.554863828005878</v>
      </c>
    </row>
    <row r="867" spans="1:42">
      <c r="A867" s="9">
        <v>46029</v>
      </c>
      <c r="B867" s="6" t="s">
        <v>236</v>
      </c>
      <c r="C867" s="14">
        <v>8757</v>
      </c>
      <c r="D867" s="6" t="s">
        <v>46</v>
      </c>
      <c r="E867" s="6" t="s">
        <v>44</v>
      </c>
      <c r="F867" s="6">
        <v>29</v>
      </c>
      <c r="G867" s="15">
        <v>0.15694444444444444</v>
      </c>
      <c r="H867" s="16">
        <v>0</v>
      </c>
      <c r="I867" s="35">
        <f ca="1">IFERROR(Tabela3[[#This Row],[Custo Total]]/Tabela3[[#This Row],[Aluminio Util]],0)</f>
        <v>26.022200529800632</v>
      </c>
      <c r="J867" s="35">
        <f ca="1">Tabela3[[#This Row],[Custo Total]]/Tabela3[[#This Row],[Realizado]]</f>
        <v>7.8587045599997918</v>
      </c>
      <c r="K867" s="37">
        <f>IFERROR(Tabela3[[#This Row],[Qtde Cx Produzida]]/Tabela3[[#This Row],[Tempo]]/24,0)</f>
        <v>7.6991150442477876</v>
      </c>
      <c r="L867" s="37">
        <f>Tabela3[[#This Row],[Qtde Cx Produzida]]*Tabela3[[#This Row],[Qdt Peça Placa]]</f>
        <v>174</v>
      </c>
      <c r="M867" s="37">
        <f>Tabela3[[#This Row],[Previsto]]-Tabela3[[#This Row],[Perda Pçs]]</f>
        <v>174</v>
      </c>
      <c r="N867" s="38">
        <f>IFERROR(Tabela3[[#This Row],[Perda Pçs]]/Tabela3[[#This Row],[Previsto]],0)</f>
        <v>0</v>
      </c>
      <c r="O867" s="39">
        <f>IFERROR(IF(Tabela3[[#This Row],[Qtde Cx Produzida]] &lt;&gt; 0, Tabela3[[#This Row],[Tempo]] / Tabela3[[#This Row],[Qtde Cx Produzida]], 0),0)</f>
        <v>5.4118773946360155E-3</v>
      </c>
      <c r="P867" s="57">
        <f>IFERROR(Tabela3[[#This Row],[Perda Pçs]]/Tabela3[[#This Row],[Qdt Peça Placa]],0)</f>
        <v>0</v>
      </c>
      <c r="Q867" s="37">
        <f>IFERROR(Tabela3[[#This Row],[Realizado]]*Tabela3[[#This Row],[Peso Util/Pç]],0)</f>
        <v>52.548000000000002</v>
      </c>
      <c r="R867" s="37">
        <f>IFERROR(Tabela3[[#This Row],[Peso Total Galho]]*Tabela3[[#This Row],[Qtde Cx Produzida]]*1.055,0)</f>
        <v>65.840440000000001</v>
      </c>
      <c r="S867" s="37">
        <f>(Tabela3[[#This Row],[Aluminio Bruto]]-Tabela3[[#This Row],[Aluminio Util]])*0.9</f>
        <v>11.963196</v>
      </c>
      <c r="T867" s="37">
        <f>Tabela3[[#This Row],[Aluminio Bruto]]/OleoKGAluminio</f>
        <v>27.698987977128969</v>
      </c>
      <c r="U867" s="35">
        <f>IFERROR((VLOOKUP(Tabela3[[#This Row],[Moldador]],Tabela1[],5,)+(VLOOKUP(Tabela3[[#This Row],[Ajudante]],Tabela1[],5,))*3.5),0)</f>
        <v>126.0945</v>
      </c>
      <c r="V867" s="35">
        <f>IFERROR(Tabela3[[#This Row],[Custo M.O. / H]]/((Tabela3[[#This Row],[Realizado]]/Tabela3[[#This Row],[Qdt Peça Placa]])/Tabela3[[#This Row],[Tempo]]/24),)</f>
        <v>16.377791379310345</v>
      </c>
      <c r="W867" s="35">
        <f>Tabela3[[#This Row],[Custo / Cx Moldada]]*Tabela3[[#This Row],[Qtde Cx Produzida]]</f>
        <v>474.95595000000003</v>
      </c>
      <c r="X867" s="35">
        <f ca="1">Tabela3[[#This Row],[Aluminio Util]]*Tabela3[[#This Row],[Custo/Kg]]</f>
        <v>819.74880000000007</v>
      </c>
      <c r="Y867" s="35">
        <f>IFERROR(VLOOKUP(Tabela3[[#This Row],[Data]],Tabela461213[],2,1)*(Tabela3[[#This Row],[Qtde Cx Produzida]]*Tabela3[[#This Row],[Qde macho / CX]]*Tabela3[[#This Row],[Peso Macho]]),)</f>
        <v>0</v>
      </c>
      <c r="Z867" s="35">
        <f>IFERROR(Tabela3[[#This Row],[Qtde Oleo]]*(VLOOKUP(Tabela3[[#This Row],[Data]],CompraOleo[],3,TRUE))*1.05,0)</f>
        <v>72.709843439963549</v>
      </c>
      <c r="AA867" s="47">
        <f ca="1">(Tabela3[[#This Row],[Custo Oleo]]+Tabela3[[#This Row],[Custo Aluminio]]+Tabela3[[#This Row],[Custo M.O. Total]]+Tabela3[[#This Row],[Custo Machos]])</f>
        <v>1367.4145934399637</v>
      </c>
      <c r="AB867" s="47">
        <f ca="1">Tabela3[[#This Row],[Custo Total]]*Tabela3[[#This Row],[% Perda]]</f>
        <v>0</v>
      </c>
      <c r="AC867" s="48">
        <f>IFERROR(VLOOKUP(Tabela3[[#This Row],[Produto]],Tabela2[],2,0),0)</f>
        <v>6</v>
      </c>
      <c r="AD867" s="48">
        <f>IFERROR(VLOOKUP(Tabela3[[#This Row],[Produto]],Tabela2[],3,0),0)</f>
        <v>0.30199999999999999</v>
      </c>
      <c r="AE867" s="48">
        <f>IFERROR(VLOOKUP(Tabela3[[#This Row],[Produto]],Tabela2[],4,0),0)</f>
        <v>2.1520000000000001</v>
      </c>
      <c r="AF867" s="48">
        <f>IFERROR(VLOOKUP(Tabela3[[#This Row],[Produto]],Tabela2[],5,0),0)</f>
        <v>0.30600000000000027</v>
      </c>
      <c r="AG867" s="40">
        <f>IFERROR(VLOOKUP(Tabela3[[#This Row],[Produto]],Tabela2[],6,0),0)</f>
        <v>0</v>
      </c>
      <c r="AH867" s="40">
        <f>IFERROR(VLOOKUP(Tabela3[[#This Row],[Produto]],Tabela2[],7,0),0)</f>
        <v>0</v>
      </c>
      <c r="AI867" s="40">
        <f>IFERROR(VLOOKUP(Tabela3[[#This Row],[Produto]],Tabela2[],8,0),0)</f>
        <v>0</v>
      </c>
      <c r="AJ867" s="35">
        <f ca="1">IFERROR(VLOOKUP(Tabela3[[#This Row],[Produto]],Tabela2[],13,0),0)</f>
        <v>15.600000000000001</v>
      </c>
      <c r="AK867" s="40" t="str">
        <f>IFERROR(VLOOKUP(Tabela3[[#This Row],[Produto]],Tabela2[],14,0),0)</f>
        <v>Senun</v>
      </c>
      <c r="AL867" s="40">
        <f>IFERROR(VLOOKUP(Tabela3[[#This Row],[Produto]],Tabela2[],15,0),0)</f>
        <v>4</v>
      </c>
      <c r="AM867" s="36">
        <f ca="1">(Tabela3[[#This Row],[Custo Usinagem]]+Tabela3[[#This Row],[Custo / Pç]])*1.2</f>
        <v>14.230445471999749</v>
      </c>
      <c r="AN867" s="36">
        <f ca="1">Tabela3[[#This Row],[Valor Mínimo Venda]]*1.15</f>
        <v>16.365012292799712</v>
      </c>
      <c r="AO867" s="36">
        <f ca="1">Tabela3[[#This Row],[Tabela 1]]*1.08</f>
        <v>17.674213276223689</v>
      </c>
      <c r="AP867" s="36">
        <f ca="1">Tabela3[[#This Row],[Tabela 2]]*1.15</f>
        <v>20.325345267657241</v>
      </c>
    </row>
    <row r="868" spans="1:42">
      <c r="A868" s="9">
        <v>46030</v>
      </c>
      <c r="B868" s="6" t="s">
        <v>236</v>
      </c>
      <c r="C868" s="14">
        <v>8757</v>
      </c>
      <c r="D868" s="6" t="s">
        <v>46</v>
      </c>
      <c r="E868" s="6" t="s">
        <v>44</v>
      </c>
      <c r="F868" s="6">
        <v>69</v>
      </c>
      <c r="G868" s="15">
        <v>0.36319444444444443</v>
      </c>
      <c r="H868" s="16">
        <v>0</v>
      </c>
      <c r="I868" s="35">
        <f ca="1">IFERROR(Tabela3[[#This Row],[Custo Total]]/Tabela3[[#This Row],[Aluminio Util]],0)</f>
        <v>25.77470492743625</v>
      </c>
      <c r="J868" s="35">
        <f ca="1">Tabela3[[#This Row],[Custo Total]]/Tabela3[[#This Row],[Realizado]]</f>
        <v>7.7839608880857467</v>
      </c>
      <c r="K868" s="37">
        <f>IFERROR(Tabela3[[#This Row],[Qtde Cx Produzida]]/Tabela3[[#This Row],[Tempo]]/24,0)</f>
        <v>7.9158699808795419</v>
      </c>
      <c r="L868" s="37">
        <f>Tabela3[[#This Row],[Qtde Cx Produzida]]*Tabela3[[#This Row],[Qdt Peça Placa]]</f>
        <v>414</v>
      </c>
      <c r="M868" s="37">
        <f>Tabela3[[#This Row],[Previsto]]-Tabela3[[#This Row],[Perda Pçs]]</f>
        <v>414</v>
      </c>
      <c r="N868" s="38">
        <f>IFERROR(Tabela3[[#This Row],[Perda Pçs]]/Tabela3[[#This Row],[Previsto]],0)</f>
        <v>0</v>
      </c>
      <c r="O868" s="39">
        <f>IFERROR(IF(Tabela3[[#This Row],[Qtde Cx Produzida]] &lt;&gt; 0, Tabela3[[#This Row],[Tempo]] / Tabela3[[#This Row],[Qtde Cx Produzida]], 0),0)</f>
        <v>5.2636876006441225E-3</v>
      </c>
      <c r="P868" s="57">
        <f>IFERROR(Tabela3[[#This Row],[Perda Pçs]]/Tabela3[[#This Row],[Qdt Peça Placa]],0)</f>
        <v>0</v>
      </c>
      <c r="Q868" s="37">
        <f>IFERROR(Tabela3[[#This Row],[Realizado]]*Tabela3[[#This Row],[Peso Util/Pç]],0)</f>
        <v>125.02799999999999</v>
      </c>
      <c r="R868" s="37">
        <f>IFERROR(Tabela3[[#This Row],[Peso Total Galho]]*Tabela3[[#This Row],[Qtde Cx Produzida]]*1.055,0)</f>
        <v>156.65483999999998</v>
      </c>
      <c r="S868" s="37">
        <f>(Tabela3[[#This Row],[Aluminio Bruto]]-Tabela3[[#This Row],[Aluminio Util]])*0.9</f>
        <v>28.464155999999988</v>
      </c>
      <c r="T868" s="37">
        <f>Tabela3[[#This Row],[Aluminio Bruto]]/OleoKGAluminio</f>
        <v>65.904488635237882</v>
      </c>
      <c r="U868" s="35">
        <f>IFERROR((VLOOKUP(Tabela3[[#This Row],[Moldador]],Tabela1[],5,)+(VLOOKUP(Tabela3[[#This Row],[Ajudante]],Tabela1[],5,))*3.5),0)</f>
        <v>126.0945</v>
      </c>
      <c r="V868" s="35">
        <f>IFERROR(Tabela3[[#This Row],[Custo M.O. / H]]/((Tabela3[[#This Row],[Realizado]]/Tabela3[[#This Row],[Qdt Peça Placa]])/Tabela3[[#This Row],[Tempo]]/24),)</f>
        <v>15.929329347826085</v>
      </c>
      <c r="W868" s="35">
        <f>Tabela3[[#This Row],[Custo / Cx Moldada]]*Tabela3[[#This Row],[Qtde Cx Produzida]]</f>
        <v>1099.1237249999999</v>
      </c>
      <c r="X868" s="35">
        <f ca="1">Tabela3[[#This Row],[Aluminio Util]]*Tabela3[[#This Row],[Custo/Kg]]</f>
        <v>1950.4367999999999</v>
      </c>
      <c r="Y868" s="35">
        <f>IFERROR(VLOOKUP(Tabela3[[#This Row],[Data]],Tabela461213[],2,1)*(Tabela3[[#This Row],[Qtde Cx Produzida]]*Tabela3[[#This Row],[Qde macho / CX]]*Tabela3[[#This Row],[Peso Macho]]),)</f>
        <v>0</v>
      </c>
      <c r="Z868" s="35">
        <f>IFERROR(Tabela3[[#This Row],[Qtde Oleo]]*(VLOOKUP(Tabela3[[#This Row],[Data]],CompraOleo[],3,TRUE))*1.05,0)</f>
        <v>172.99928266749944</v>
      </c>
      <c r="AA868" s="47">
        <f ca="1">(Tabela3[[#This Row],[Custo Oleo]]+Tabela3[[#This Row],[Custo Aluminio]]+Tabela3[[#This Row],[Custo M.O. Total]]+Tabela3[[#This Row],[Custo Machos]])</f>
        <v>3222.5598076674992</v>
      </c>
      <c r="AB868" s="47">
        <f ca="1">Tabela3[[#This Row],[Custo Total]]*Tabela3[[#This Row],[% Perda]]</f>
        <v>0</v>
      </c>
      <c r="AC868" s="48">
        <f>IFERROR(VLOOKUP(Tabela3[[#This Row],[Produto]],Tabela2[],2,0),0)</f>
        <v>6</v>
      </c>
      <c r="AD868" s="48">
        <f>IFERROR(VLOOKUP(Tabela3[[#This Row],[Produto]],Tabela2[],3,0),0)</f>
        <v>0.30199999999999999</v>
      </c>
      <c r="AE868" s="48">
        <f>IFERROR(VLOOKUP(Tabela3[[#This Row],[Produto]],Tabela2[],4,0),0)</f>
        <v>2.1520000000000001</v>
      </c>
      <c r="AF868" s="48">
        <f>IFERROR(VLOOKUP(Tabela3[[#This Row],[Produto]],Tabela2[],5,0),0)</f>
        <v>0.30600000000000027</v>
      </c>
      <c r="AG868" s="40">
        <f>IFERROR(VLOOKUP(Tabela3[[#This Row],[Produto]],Tabela2[],6,0),0)</f>
        <v>0</v>
      </c>
      <c r="AH868" s="40">
        <f>IFERROR(VLOOKUP(Tabela3[[#This Row],[Produto]],Tabela2[],7,0),0)</f>
        <v>0</v>
      </c>
      <c r="AI868" s="40">
        <f>IFERROR(VLOOKUP(Tabela3[[#This Row],[Produto]],Tabela2[],8,0),0)</f>
        <v>0</v>
      </c>
      <c r="AJ868" s="35">
        <f ca="1">IFERROR(VLOOKUP(Tabela3[[#This Row],[Produto]],Tabela2[],13,0),0)</f>
        <v>15.600000000000001</v>
      </c>
      <c r="AK868" s="40" t="str">
        <f>IFERROR(VLOOKUP(Tabela3[[#This Row],[Produto]],Tabela2[],14,0),0)</f>
        <v>Senun</v>
      </c>
      <c r="AL868" s="40">
        <f>IFERROR(VLOOKUP(Tabela3[[#This Row],[Produto]],Tabela2[],15,0),0)</f>
        <v>4</v>
      </c>
      <c r="AM868" s="36">
        <f ca="1">(Tabela3[[#This Row],[Custo Usinagem]]+Tabela3[[#This Row],[Custo / Pç]])*1.2</f>
        <v>14.140753065702897</v>
      </c>
      <c r="AN868" s="36">
        <f ca="1">Tabela3[[#This Row],[Valor Mínimo Venda]]*1.15</f>
        <v>16.26186602555833</v>
      </c>
      <c r="AO868" s="36">
        <f ca="1">Tabela3[[#This Row],[Tabela 1]]*1.08</f>
        <v>17.562815307602996</v>
      </c>
      <c r="AP868" s="36">
        <f ca="1">Tabela3[[#This Row],[Tabela 2]]*1.15</f>
        <v>20.197237603743442</v>
      </c>
    </row>
    <row r="869" spans="1:42">
      <c r="A869" s="9">
        <v>46031</v>
      </c>
      <c r="B869" s="6" t="s">
        <v>236</v>
      </c>
      <c r="C869" s="14">
        <v>8757</v>
      </c>
      <c r="D869" s="6" t="s">
        <v>46</v>
      </c>
      <c r="E869" s="6" t="s">
        <v>44</v>
      </c>
      <c r="F869" s="6">
        <v>2</v>
      </c>
      <c r="G869" s="15">
        <v>1.3888888888888888E-2</v>
      </c>
      <c r="H869" s="16">
        <v>0</v>
      </c>
      <c r="I869" s="35">
        <f ca="1">IFERROR(Tabela3[[#This Row],[Custo Total]]/Tabela3[[#This Row],[Aluminio Util]],0)</f>
        <v>28.581780342543269</v>
      </c>
      <c r="J869" s="35">
        <f ca="1">Tabela3[[#This Row],[Custo Total]]/Tabela3[[#This Row],[Realizado]]</f>
        <v>8.6316976634480671</v>
      </c>
      <c r="K869" s="37">
        <f>IFERROR(Tabela3[[#This Row],[Qtde Cx Produzida]]/Tabela3[[#This Row],[Tempo]]/24,0)</f>
        <v>6</v>
      </c>
      <c r="L869" s="37">
        <f>Tabela3[[#This Row],[Qtde Cx Produzida]]*Tabela3[[#This Row],[Qdt Peça Placa]]</f>
        <v>12</v>
      </c>
      <c r="M869" s="37">
        <f>Tabela3[[#This Row],[Previsto]]-Tabela3[[#This Row],[Perda Pçs]]</f>
        <v>12</v>
      </c>
      <c r="N869" s="38">
        <f>IFERROR(Tabela3[[#This Row],[Perda Pçs]]/Tabela3[[#This Row],[Previsto]],0)</f>
        <v>0</v>
      </c>
      <c r="O869" s="39">
        <f>IFERROR(IF(Tabela3[[#This Row],[Qtde Cx Produzida]] &lt;&gt; 0, Tabela3[[#This Row],[Tempo]] / Tabela3[[#This Row],[Qtde Cx Produzida]], 0),0)</f>
        <v>6.9444444444444441E-3</v>
      </c>
      <c r="P869" s="57">
        <f>IFERROR(Tabela3[[#This Row],[Perda Pçs]]/Tabela3[[#This Row],[Qdt Peça Placa]],0)</f>
        <v>0</v>
      </c>
      <c r="Q869" s="37">
        <f>IFERROR(Tabela3[[#This Row],[Realizado]]*Tabela3[[#This Row],[Peso Util/Pç]],0)</f>
        <v>3.6239999999999997</v>
      </c>
      <c r="R869" s="37">
        <f>IFERROR(Tabela3[[#This Row],[Peso Total Galho]]*Tabela3[[#This Row],[Qtde Cx Produzida]]*1.055,0)</f>
        <v>4.5407200000000003</v>
      </c>
      <c r="S869" s="37">
        <f>(Tabela3[[#This Row],[Aluminio Bruto]]-Tabela3[[#This Row],[Aluminio Util]])*0.9</f>
        <v>0.82504800000000056</v>
      </c>
      <c r="T869" s="37">
        <f>Tabela3[[#This Row],[Aluminio Bruto]]/OleoKGAluminio</f>
        <v>1.9102750329054461</v>
      </c>
      <c r="U869" s="35">
        <f>IFERROR((VLOOKUP(Tabela3[[#This Row],[Moldador]],Tabela1[],5,)+(VLOOKUP(Tabela3[[#This Row],[Ajudante]],Tabela1[],5,))*3.5),0)</f>
        <v>126.0945</v>
      </c>
      <c r="V869" s="35">
        <f>IFERROR(Tabela3[[#This Row],[Custo M.O. / H]]/((Tabela3[[#This Row],[Realizado]]/Tabela3[[#This Row],[Qdt Peça Placa]])/Tabela3[[#This Row],[Tempo]]/24),)</f>
        <v>21.015750000000001</v>
      </c>
      <c r="W869" s="35">
        <f>Tabela3[[#This Row],[Custo / Cx Moldada]]*Tabela3[[#This Row],[Qtde Cx Produzida]]</f>
        <v>42.031500000000001</v>
      </c>
      <c r="X869" s="35">
        <f ca="1">Tabela3[[#This Row],[Aluminio Util]]*Tabela3[[#This Row],[Custo/Kg]]</f>
        <v>56.534399999999998</v>
      </c>
      <c r="Y869" s="35">
        <f>IFERROR(VLOOKUP(Tabela3[[#This Row],[Data]],Tabela461213[],2,1)*(Tabela3[[#This Row],[Qtde Cx Produzida]]*Tabela3[[#This Row],[Qde macho / CX]]*Tabela3[[#This Row],[Peso Macho]]),)</f>
        <v>0</v>
      </c>
      <c r="Z869" s="35">
        <f>IFERROR(Tabela3[[#This Row],[Qtde Oleo]]*(VLOOKUP(Tabela3[[#This Row],[Data]],CompraOleo[],3,TRUE))*1.05,0)</f>
        <v>5.0144719613767963</v>
      </c>
      <c r="AA869" s="47">
        <f ca="1">(Tabela3[[#This Row],[Custo Oleo]]+Tabela3[[#This Row],[Custo Aluminio]]+Tabela3[[#This Row],[Custo M.O. Total]]+Tabela3[[#This Row],[Custo Machos]])</f>
        <v>103.5803719613768</v>
      </c>
      <c r="AB869" s="47">
        <f ca="1">Tabela3[[#This Row],[Custo Total]]*Tabela3[[#This Row],[% Perda]]</f>
        <v>0</v>
      </c>
      <c r="AC869" s="48">
        <f>IFERROR(VLOOKUP(Tabela3[[#This Row],[Produto]],Tabela2[],2,0),0)</f>
        <v>6</v>
      </c>
      <c r="AD869" s="48">
        <f>IFERROR(VLOOKUP(Tabela3[[#This Row],[Produto]],Tabela2[],3,0),0)</f>
        <v>0.30199999999999999</v>
      </c>
      <c r="AE869" s="48">
        <f>IFERROR(VLOOKUP(Tabela3[[#This Row],[Produto]],Tabela2[],4,0),0)</f>
        <v>2.1520000000000001</v>
      </c>
      <c r="AF869" s="48">
        <f>IFERROR(VLOOKUP(Tabela3[[#This Row],[Produto]],Tabela2[],5,0),0)</f>
        <v>0.30600000000000027</v>
      </c>
      <c r="AG869" s="40">
        <f>IFERROR(VLOOKUP(Tabela3[[#This Row],[Produto]],Tabela2[],6,0),0)</f>
        <v>0</v>
      </c>
      <c r="AH869" s="40">
        <f>IFERROR(VLOOKUP(Tabela3[[#This Row],[Produto]],Tabela2[],7,0),0)</f>
        <v>0</v>
      </c>
      <c r="AI869" s="40">
        <f>IFERROR(VLOOKUP(Tabela3[[#This Row],[Produto]],Tabela2[],8,0),0)</f>
        <v>0</v>
      </c>
      <c r="AJ869" s="35">
        <f ca="1">IFERROR(VLOOKUP(Tabela3[[#This Row],[Produto]],Tabela2[],13,0),0)</f>
        <v>15.600000000000001</v>
      </c>
      <c r="AK869" s="40" t="str">
        <f>IFERROR(VLOOKUP(Tabela3[[#This Row],[Produto]],Tabela2[],14,0),0)</f>
        <v>Senun</v>
      </c>
      <c r="AL869" s="40">
        <f>IFERROR(VLOOKUP(Tabela3[[#This Row],[Produto]],Tabela2[],15,0),0)</f>
        <v>4</v>
      </c>
      <c r="AM869" s="36">
        <f ca="1">(Tabela3[[#This Row],[Custo Usinagem]]+Tabela3[[#This Row],[Custo / Pç]])*1.2</f>
        <v>15.158037196137681</v>
      </c>
      <c r="AN869" s="36">
        <f ca="1">Tabela3[[#This Row],[Valor Mínimo Venda]]*1.15</f>
        <v>17.43174277555833</v>
      </c>
      <c r="AO869" s="36">
        <f ca="1">Tabela3[[#This Row],[Tabela 1]]*1.08</f>
        <v>18.826282197603</v>
      </c>
      <c r="AP869" s="36">
        <f ca="1">Tabela3[[#This Row],[Tabela 2]]*1.15</f>
        <v>21.650224527243449</v>
      </c>
    </row>
    <row r="870" spans="1:42">
      <c r="A870" s="9">
        <v>46031</v>
      </c>
      <c r="B870" s="6" t="s">
        <v>245</v>
      </c>
      <c r="C870" s="14">
        <v>8806</v>
      </c>
      <c r="D870" s="6" t="s">
        <v>46</v>
      </c>
      <c r="E870" s="6" t="s">
        <v>44</v>
      </c>
      <c r="F870" s="6">
        <v>43</v>
      </c>
      <c r="G870" s="15">
        <v>0.19513888888888889</v>
      </c>
      <c r="H870" s="16">
        <v>50</v>
      </c>
      <c r="I870" s="35">
        <f ca="1">IFERROR(Tabela3[[#This Row],[Custo Total]]/Tabela3[[#This Row],[Aluminio Util]],0)</f>
        <v>39.000007133496695</v>
      </c>
      <c r="J870" s="35">
        <f ca="1">Tabela3[[#This Row],[Custo Total]]/Tabela3[[#This Row],[Realizado]]</f>
        <v>12.948002368320903</v>
      </c>
      <c r="K870" s="37">
        <f>IFERROR(Tabela3[[#This Row],[Qtde Cx Produzida]]/Tabela3[[#This Row],[Tempo]]/24,0)</f>
        <v>9.1814946619217093</v>
      </c>
      <c r="L870" s="37">
        <f>Tabela3[[#This Row],[Qtde Cx Produzida]]*Tabela3[[#This Row],[Qdt Peça Placa]]</f>
        <v>172</v>
      </c>
      <c r="M870" s="37">
        <f>Tabela3[[#This Row],[Previsto]]-Tabela3[[#This Row],[Perda Pçs]]</f>
        <v>122</v>
      </c>
      <c r="N870" s="38">
        <f>IFERROR(Tabela3[[#This Row],[Perda Pçs]]/Tabela3[[#This Row],[Previsto]],0)</f>
        <v>0.29069767441860467</v>
      </c>
      <c r="O870" s="39">
        <f>IFERROR(IF(Tabela3[[#This Row],[Qtde Cx Produzida]] &lt;&gt; 0, Tabela3[[#This Row],[Tempo]] / Tabela3[[#This Row],[Qtde Cx Produzida]], 0),0)</f>
        <v>4.5381136950904391E-3</v>
      </c>
      <c r="P870" s="57">
        <f>IFERROR(Tabela3[[#This Row],[Perda Pçs]]/Tabela3[[#This Row],[Qdt Peça Placa]],0)</f>
        <v>12.5</v>
      </c>
      <c r="Q870" s="37">
        <f>IFERROR(Tabela3[[#This Row],[Realizado]]*Tabela3[[#This Row],[Peso Util/Pç]],0)</f>
        <v>40.504000000000005</v>
      </c>
      <c r="R870" s="37">
        <f>IFERROR(Tabela3[[#This Row],[Peso Total Galho]]*Tabela3[[#This Row],[Qtde Cx Produzida]]*1.055,0)</f>
        <v>104.33949999999999</v>
      </c>
      <c r="S870" s="37">
        <f>(Tabela3[[#This Row],[Aluminio Bruto]]-Tabela3[[#This Row],[Aluminio Util]])*0.9</f>
        <v>57.451949999999982</v>
      </c>
      <c r="T870" s="37">
        <f>Tabela3[[#This Row],[Aluminio Bruto]]/OleoKGAluminio</f>
        <v>43.895492740322631</v>
      </c>
      <c r="U870" s="35">
        <f>IFERROR((VLOOKUP(Tabela3[[#This Row],[Moldador]],Tabela1[],5,)+(VLOOKUP(Tabela3[[#This Row],[Ajudante]],Tabela1[],5,))*3.5),0)</f>
        <v>126.0945</v>
      </c>
      <c r="V870" s="35">
        <f>IFERROR(Tabela3[[#This Row],[Custo M.O. / H]]/((Tabela3[[#This Row],[Realizado]]/Tabela3[[#This Row],[Qdt Peça Placa]])/Tabela3[[#This Row],[Tempo]]/24),)</f>
        <v>19.362051639344262</v>
      </c>
      <c r="W870" s="35">
        <f>Tabela3[[#This Row],[Custo / Cx Moldada]]*Tabela3[[#This Row],[Qtde Cx Produzida]]</f>
        <v>832.56822049180323</v>
      </c>
      <c r="X870" s="35">
        <f ca="1">Tabela3[[#This Row],[Aluminio Util]]*Tabela3[[#This Row],[Custo/Kg]]</f>
        <v>631.86240000000009</v>
      </c>
      <c r="Y870" s="35">
        <f>IFERROR(VLOOKUP(Tabela3[[#This Row],[Data]],Tabela461213[],2,1)*(Tabela3[[#This Row],[Qtde Cx Produzida]]*Tabela3[[#This Row],[Qde macho / CX]]*Tabela3[[#This Row],[Peso Macho]]),)</f>
        <v>0</v>
      </c>
      <c r="Z870" s="35">
        <f>IFERROR(Tabela3[[#This Row],[Qtde Oleo]]*(VLOOKUP(Tabela3[[#This Row],[Data]],CompraOleo[],3,TRUE))*1.05,0)</f>
        <v>115.2256684433469</v>
      </c>
      <c r="AA870" s="47">
        <f ca="1">(Tabela3[[#This Row],[Custo Oleo]]+Tabela3[[#This Row],[Custo Aluminio]]+Tabela3[[#This Row],[Custo M.O. Total]]+Tabela3[[#This Row],[Custo Machos]])</f>
        <v>1579.6562889351503</v>
      </c>
      <c r="AB870" s="47">
        <f ca="1">Tabela3[[#This Row],[Custo Total]]*Tabela3[[#This Row],[% Perda]]</f>
        <v>459.20240957417161</v>
      </c>
      <c r="AC870" s="48">
        <f>IFERROR(VLOOKUP(Tabela3[[#This Row],[Produto]],Tabela2[],2,0),0)</f>
        <v>4</v>
      </c>
      <c r="AD870" s="48">
        <f>IFERROR(VLOOKUP(Tabela3[[#This Row],[Produto]],Tabela2[],3,0),0)</f>
        <v>0.33200000000000002</v>
      </c>
      <c r="AE870" s="48">
        <f>IFERROR(VLOOKUP(Tabela3[[#This Row],[Produto]],Tabela2[],4,0),0)</f>
        <v>2.2999999999999998</v>
      </c>
      <c r="AF870" s="48">
        <f>IFERROR(VLOOKUP(Tabela3[[#This Row],[Produto]],Tabela2[],5,0),0)</f>
        <v>0.8747999999999998</v>
      </c>
      <c r="AG870" s="40">
        <f>IFERROR(VLOOKUP(Tabela3[[#This Row],[Produto]],Tabela2[],6,0),0)</f>
        <v>0</v>
      </c>
      <c r="AH870" s="40">
        <f>IFERROR(VLOOKUP(Tabela3[[#This Row],[Produto]],Tabela2[],7,0),0)</f>
        <v>0</v>
      </c>
      <c r="AI870" s="40">
        <f>IFERROR(VLOOKUP(Tabela3[[#This Row],[Produto]],Tabela2[],8,0),0)</f>
        <v>0</v>
      </c>
      <c r="AJ870" s="35">
        <f ca="1">IFERROR(VLOOKUP(Tabela3[[#This Row],[Produto]],Tabela2[],13,0),0)</f>
        <v>15.600000000000001</v>
      </c>
      <c r="AK870" s="40" t="str">
        <f>IFERROR(VLOOKUP(Tabela3[[#This Row],[Produto]],Tabela2[],14,0),0)</f>
        <v>Senun</v>
      </c>
      <c r="AL870" s="40">
        <f>IFERROR(VLOOKUP(Tabela3[[#This Row],[Produto]],Tabela2[],15,0),0)</f>
        <v>3.5</v>
      </c>
      <c r="AM870" s="36">
        <f ca="1">(Tabela3[[#This Row],[Custo Usinagem]]+Tabela3[[#This Row],[Custo / Pç]])*1.2</f>
        <v>19.737602841985083</v>
      </c>
      <c r="AN870" s="36">
        <f ca="1">Tabela3[[#This Row],[Valor Mínimo Venda]]*1.15</f>
        <v>22.698243268282845</v>
      </c>
      <c r="AO870" s="36">
        <f ca="1">Tabela3[[#This Row],[Tabela 1]]*1.08</f>
        <v>24.514102729745474</v>
      </c>
      <c r="AP870" s="36">
        <f ca="1">Tabela3[[#This Row],[Tabela 2]]*1.15</f>
        <v>28.191218139207294</v>
      </c>
    </row>
    <row r="871" spans="1:42">
      <c r="A871" s="9">
        <v>46032</v>
      </c>
      <c r="B871" s="6" t="s">
        <v>245</v>
      </c>
      <c r="C871" s="14">
        <v>8806</v>
      </c>
      <c r="D871" s="6" t="s">
        <v>46</v>
      </c>
      <c r="E871" s="6" t="s">
        <v>44</v>
      </c>
      <c r="F871" s="6">
        <v>60</v>
      </c>
      <c r="G871" s="15">
        <v>0.25277777777777777</v>
      </c>
      <c r="H871" s="16">
        <v>50</v>
      </c>
      <c r="I871" s="35">
        <f ca="1">IFERROR(Tabela3[[#This Row],[Custo Total]]/Tabela3[[#This Row],[Aluminio Util]],0)</f>
        <v>33.467185568119582</v>
      </c>
      <c r="J871" s="35">
        <f ca="1">Tabela3[[#This Row],[Custo Total]]/Tabela3[[#This Row],[Realizado]]</f>
        <v>11.111105608615704</v>
      </c>
      <c r="K871" s="37">
        <f>IFERROR(Tabela3[[#This Row],[Qtde Cx Produzida]]/Tabela3[[#This Row],[Tempo]]/24,0)</f>
        <v>9.8901098901098905</v>
      </c>
      <c r="L871" s="37">
        <f>Tabela3[[#This Row],[Qtde Cx Produzida]]*Tabela3[[#This Row],[Qdt Peça Placa]]</f>
        <v>240</v>
      </c>
      <c r="M871" s="37">
        <f>Tabela3[[#This Row],[Previsto]]-Tabela3[[#This Row],[Perda Pçs]]</f>
        <v>190</v>
      </c>
      <c r="N871" s="38">
        <f>IFERROR(Tabela3[[#This Row],[Perda Pçs]]/Tabela3[[#This Row],[Previsto]],0)</f>
        <v>0.20833333333333334</v>
      </c>
      <c r="O871" s="39">
        <f>IFERROR(IF(Tabela3[[#This Row],[Qtde Cx Produzida]] &lt;&gt; 0, Tabela3[[#This Row],[Tempo]] / Tabela3[[#This Row],[Qtde Cx Produzida]], 0),0)</f>
        <v>4.2129629629629626E-3</v>
      </c>
      <c r="P871" s="57">
        <f>IFERROR(Tabela3[[#This Row],[Perda Pçs]]/Tabela3[[#This Row],[Qdt Peça Placa]],0)</f>
        <v>12.5</v>
      </c>
      <c r="Q871" s="37">
        <f>IFERROR(Tabela3[[#This Row],[Realizado]]*Tabela3[[#This Row],[Peso Util/Pç]],0)</f>
        <v>63.080000000000005</v>
      </c>
      <c r="R871" s="37">
        <f>IFERROR(Tabela3[[#This Row],[Peso Total Galho]]*Tabela3[[#This Row],[Qtde Cx Produzida]]*1.055,0)</f>
        <v>145.59</v>
      </c>
      <c r="S871" s="37">
        <f>(Tabela3[[#This Row],[Aluminio Bruto]]-Tabela3[[#This Row],[Aluminio Util]])*0.9</f>
        <v>74.259</v>
      </c>
      <c r="T871" s="37">
        <f>Tabela3[[#This Row],[Aluminio Bruto]]/OleoKGAluminio</f>
        <v>61.249524753938559</v>
      </c>
      <c r="U871" s="35">
        <f>IFERROR((VLOOKUP(Tabela3[[#This Row],[Moldador]],Tabela1[],5,)+(VLOOKUP(Tabela3[[#This Row],[Ajudante]],Tabela1[],5,))*3.5),0)</f>
        <v>126.0945</v>
      </c>
      <c r="V871" s="35">
        <f>IFERROR(Tabela3[[#This Row],[Custo M.O. / H]]/((Tabela3[[#This Row],[Realizado]]/Tabela3[[#This Row],[Qdt Peça Placa]])/Tabela3[[#This Row],[Tempo]]/24),)</f>
        <v>16.104701052631579</v>
      </c>
      <c r="W871" s="35">
        <f>Tabela3[[#This Row],[Custo / Cx Moldada]]*Tabela3[[#This Row],[Qtde Cx Produzida]]</f>
        <v>966.28206315789475</v>
      </c>
      <c r="X871" s="35">
        <f ca="1">Tabela3[[#This Row],[Aluminio Util]]*Tabela3[[#This Row],[Custo/Kg]]</f>
        <v>984.04800000000023</v>
      </c>
      <c r="Y871" s="35">
        <f>IFERROR(VLOOKUP(Tabela3[[#This Row],[Data]],Tabela461213[],2,1)*(Tabela3[[#This Row],[Qtde Cx Produzida]]*Tabela3[[#This Row],[Qde macho / CX]]*Tabela3[[#This Row],[Peso Macho]]),)</f>
        <v>0</v>
      </c>
      <c r="Z871" s="35">
        <f>IFERROR(Tabela3[[#This Row],[Qtde Oleo]]*(VLOOKUP(Tabela3[[#This Row],[Data]],CompraOleo[],3,TRUE))*1.05,0)</f>
        <v>160.78000247908872</v>
      </c>
      <c r="AA871" s="47">
        <f ca="1">(Tabela3[[#This Row],[Custo Oleo]]+Tabela3[[#This Row],[Custo Aluminio]]+Tabela3[[#This Row],[Custo M.O. Total]]+Tabela3[[#This Row],[Custo Machos]])</f>
        <v>2111.1100656369836</v>
      </c>
      <c r="AB871" s="47">
        <f ca="1">Tabela3[[#This Row],[Custo Total]]*Tabela3[[#This Row],[% Perda]]</f>
        <v>439.81459700770495</v>
      </c>
      <c r="AC871" s="48">
        <f>IFERROR(VLOOKUP(Tabela3[[#This Row],[Produto]],Tabela2[],2,0),0)</f>
        <v>4</v>
      </c>
      <c r="AD871" s="48">
        <f>IFERROR(VLOOKUP(Tabela3[[#This Row],[Produto]],Tabela2[],3,0),0)</f>
        <v>0.33200000000000002</v>
      </c>
      <c r="AE871" s="48">
        <f>IFERROR(VLOOKUP(Tabela3[[#This Row],[Produto]],Tabela2[],4,0),0)</f>
        <v>2.2999999999999998</v>
      </c>
      <c r="AF871" s="48">
        <f>IFERROR(VLOOKUP(Tabela3[[#This Row],[Produto]],Tabela2[],5,0),0)</f>
        <v>0.8747999999999998</v>
      </c>
      <c r="AG871" s="40">
        <f>IFERROR(VLOOKUP(Tabela3[[#This Row],[Produto]],Tabela2[],6,0),0)</f>
        <v>0</v>
      </c>
      <c r="AH871" s="40">
        <f>IFERROR(VLOOKUP(Tabela3[[#This Row],[Produto]],Tabela2[],7,0),0)</f>
        <v>0</v>
      </c>
      <c r="AI871" s="40">
        <f>IFERROR(VLOOKUP(Tabela3[[#This Row],[Produto]],Tabela2[],8,0),0)</f>
        <v>0</v>
      </c>
      <c r="AJ871" s="35">
        <f ca="1">IFERROR(VLOOKUP(Tabela3[[#This Row],[Produto]],Tabela2[],13,0),0)</f>
        <v>15.600000000000001</v>
      </c>
      <c r="AK871" s="40" t="str">
        <f>IFERROR(VLOOKUP(Tabela3[[#This Row],[Produto]],Tabela2[],14,0),0)</f>
        <v>Senun</v>
      </c>
      <c r="AL871" s="40">
        <f>IFERROR(VLOOKUP(Tabela3[[#This Row],[Produto]],Tabela2[],15,0),0)</f>
        <v>3.5</v>
      </c>
      <c r="AM871" s="36">
        <f ca="1">(Tabela3[[#This Row],[Custo Usinagem]]+Tabela3[[#This Row],[Custo / Pç]])*1.2</f>
        <v>17.533326730338842</v>
      </c>
      <c r="AN871" s="36">
        <f ca="1">Tabela3[[#This Row],[Valor Mínimo Venda]]*1.15</f>
        <v>20.163325739889668</v>
      </c>
      <c r="AO871" s="36">
        <f ca="1">Tabela3[[#This Row],[Tabela 1]]*1.08</f>
        <v>21.776391799080844</v>
      </c>
      <c r="AP871" s="36">
        <f ca="1">Tabela3[[#This Row],[Tabela 2]]*1.15</f>
        <v>25.042850568942971</v>
      </c>
    </row>
    <row r="872" spans="1:42">
      <c r="A872" s="9">
        <v>46034</v>
      </c>
      <c r="B872" s="6" t="s">
        <v>245</v>
      </c>
      <c r="C872" s="14">
        <v>8806</v>
      </c>
      <c r="D872" s="6" t="s">
        <v>46</v>
      </c>
      <c r="E872" s="6" t="s">
        <v>44</v>
      </c>
      <c r="F872" s="6">
        <v>80</v>
      </c>
      <c r="G872" s="15">
        <v>0.35486111111111113</v>
      </c>
      <c r="H872" s="16">
        <v>0</v>
      </c>
      <c r="I872" s="35">
        <f ca="1">IFERROR(Tabela3[[#This Row],[Custo Total]]/Tabela3[[#This Row],[Aluminio Util]],0)</f>
        <v>27.726112214220493</v>
      </c>
      <c r="J872" s="35">
        <f ca="1">Tabela3[[#This Row],[Custo Total]]/Tabela3[[#This Row],[Realizado]]</f>
        <v>9.2050692551212041</v>
      </c>
      <c r="K872" s="37">
        <f>IFERROR(Tabela3[[#This Row],[Qtde Cx Produzida]]/Tabela3[[#This Row],[Tempo]]/24,0)</f>
        <v>9.393346379647749</v>
      </c>
      <c r="L872" s="37">
        <f>Tabela3[[#This Row],[Qtde Cx Produzida]]*Tabela3[[#This Row],[Qdt Peça Placa]]</f>
        <v>320</v>
      </c>
      <c r="M872" s="37">
        <f>Tabela3[[#This Row],[Previsto]]-Tabela3[[#This Row],[Perda Pçs]]</f>
        <v>320</v>
      </c>
      <c r="N872" s="38">
        <f>IFERROR(Tabela3[[#This Row],[Perda Pçs]]/Tabela3[[#This Row],[Previsto]],0)</f>
        <v>0</v>
      </c>
      <c r="O872" s="39">
        <f>IFERROR(IF(Tabela3[[#This Row],[Qtde Cx Produzida]] &lt;&gt; 0, Tabela3[[#This Row],[Tempo]] / Tabela3[[#This Row],[Qtde Cx Produzida]], 0),0)</f>
        <v>4.4357638888888893E-3</v>
      </c>
      <c r="P872" s="57">
        <f>IFERROR(Tabela3[[#This Row],[Perda Pçs]]/Tabela3[[#This Row],[Qdt Peça Placa]],0)</f>
        <v>0</v>
      </c>
      <c r="Q872" s="37">
        <f>IFERROR(Tabela3[[#This Row],[Realizado]]*Tabela3[[#This Row],[Peso Util/Pç]],0)</f>
        <v>106.24000000000001</v>
      </c>
      <c r="R872" s="37">
        <f>IFERROR(Tabela3[[#This Row],[Peso Total Galho]]*Tabela3[[#This Row],[Qtde Cx Produzida]]*1.055,0)</f>
        <v>194.11999999999998</v>
      </c>
      <c r="S872" s="37">
        <f>(Tabela3[[#This Row],[Aluminio Bruto]]-Tabela3[[#This Row],[Aluminio Util]])*0.9</f>
        <v>79.09199999999997</v>
      </c>
      <c r="T872" s="37">
        <f>Tabela3[[#This Row],[Aluminio Bruto]]/OleoKGAluminio</f>
        <v>81.666033005251393</v>
      </c>
      <c r="U872" s="35">
        <f>IFERROR((VLOOKUP(Tabela3[[#This Row],[Moldador]],Tabela1[],5,)+(VLOOKUP(Tabela3[[#This Row],[Ajudante]],Tabela1[],5,))*3.5),0)</f>
        <v>126.0945</v>
      </c>
      <c r="V872" s="35">
        <f>IFERROR(Tabela3[[#This Row],[Custo M.O. / H]]/((Tabela3[[#This Row],[Realizado]]/Tabela3[[#This Row],[Qdt Peça Placa]])/Tabela3[[#This Row],[Tempo]]/24),)</f>
        <v>13.423810312500001</v>
      </c>
      <c r="W872" s="35">
        <f>Tabela3[[#This Row],[Custo / Cx Moldada]]*Tabela3[[#This Row],[Qtde Cx Produzida]]</f>
        <v>1073.9048250000001</v>
      </c>
      <c r="X872" s="35">
        <f ca="1">Tabela3[[#This Row],[Aluminio Util]]*Tabela3[[#This Row],[Custo/Kg]]</f>
        <v>1657.3440000000003</v>
      </c>
      <c r="Y872" s="35">
        <f>IFERROR(VLOOKUP(Tabela3[[#This Row],[Data]],Tabela461213[],2,1)*(Tabela3[[#This Row],[Qtde Cx Produzida]]*Tabela3[[#This Row],[Qde macho / CX]]*Tabela3[[#This Row],[Peso Macho]]),)</f>
        <v>0</v>
      </c>
      <c r="Z872" s="35">
        <f>IFERROR(Tabela3[[#This Row],[Qtde Oleo]]*(VLOOKUP(Tabela3[[#This Row],[Data]],CompraOleo[],3,TRUE))*1.05,0)</f>
        <v>214.37333663878491</v>
      </c>
      <c r="AA872" s="47">
        <f ca="1">(Tabela3[[#This Row],[Custo Oleo]]+Tabela3[[#This Row],[Custo Aluminio]]+Tabela3[[#This Row],[Custo M.O. Total]]+Tabela3[[#This Row],[Custo Machos]])</f>
        <v>2945.6221616387852</v>
      </c>
      <c r="AB872" s="47">
        <f ca="1">Tabela3[[#This Row],[Custo Total]]*Tabela3[[#This Row],[% Perda]]</f>
        <v>0</v>
      </c>
      <c r="AC872" s="48">
        <f>IFERROR(VLOOKUP(Tabela3[[#This Row],[Produto]],Tabela2[],2,0),0)</f>
        <v>4</v>
      </c>
      <c r="AD872" s="48">
        <f>IFERROR(VLOOKUP(Tabela3[[#This Row],[Produto]],Tabela2[],3,0),0)</f>
        <v>0.33200000000000002</v>
      </c>
      <c r="AE872" s="48">
        <f>IFERROR(VLOOKUP(Tabela3[[#This Row],[Produto]],Tabela2[],4,0),0)</f>
        <v>2.2999999999999998</v>
      </c>
      <c r="AF872" s="48">
        <f>IFERROR(VLOOKUP(Tabela3[[#This Row],[Produto]],Tabela2[],5,0),0)</f>
        <v>0.8747999999999998</v>
      </c>
      <c r="AG872" s="40">
        <f>IFERROR(VLOOKUP(Tabela3[[#This Row],[Produto]],Tabela2[],6,0),0)</f>
        <v>0</v>
      </c>
      <c r="AH872" s="40">
        <f>IFERROR(VLOOKUP(Tabela3[[#This Row],[Produto]],Tabela2[],7,0),0)</f>
        <v>0</v>
      </c>
      <c r="AI872" s="40">
        <f>IFERROR(VLOOKUP(Tabela3[[#This Row],[Produto]],Tabela2[],8,0),0)</f>
        <v>0</v>
      </c>
      <c r="AJ872" s="35">
        <f ca="1">IFERROR(VLOOKUP(Tabela3[[#This Row],[Produto]],Tabela2[],13,0),0)</f>
        <v>15.600000000000001</v>
      </c>
      <c r="AK872" s="40" t="str">
        <f>IFERROR(VLOOKUP(Tabela3[[#This Row],[Produto]],Tabela2[],14,0),0)</f>
        <v>Senun</v>
      </c>
      <c r="AL872" s="40">
        <f>IFERROR(VLOOKUP(Tabela3[[#This Row],[Produto]],Tabela2[],15,0),0)</f>
        <v>3.5</v>
      </c>
      <c r="AM872" s="36">
        <f ca="1">(Tabela3[[#This Row],[Custo Usinagem]]+Tabela3[[#This Row],[Custo / Pç]])*1.2</f>
        <v>15.246083106145445</v>
      </c>
      <c r="AN872" s="36">
        <f ca="1">Tabela3[[#This Row],[Valor Mínimo Venda]]*1.15</f>
        <v>17.532995572067261</v>
      </c>
      <c r="AO872" s="36">
        <f ca="1">Tabela3[[#This Row],[Tabela 1]]*1.08</f>
        <v>18.935635217832644</v>
      </c>
      <c r="AP872" s="36">
        <f ca="1">Tabela3[[#This Row],[Tabela 2]]*1.15</f>
        <v>21.77598050050754</v>
      </c>
    </row>
    <row r="873" spans="1:42">
      <c r="A873" s="9">
        <v>46035</v>
      </c>
      <c r="B873" s="6" t="s">
        <v>245</v>
      </c>
      <c r="C873" s="14">
        <v>8806</v>
      </c>
      <c r="D873" s="6" t="s">
        <v>46</v>
      </c>
      <c r="E873" s="6" t="s">
        <v>44</v>
      </c>
      <c r="F873" s="6">
        <v>62</v>
      </c>
      <c r="G873" s="15">
        <v>0.25972222222222224</v>
      </c>
      <c r="H873" s="16">
        <v>0</v>
      </c>
      <c r="I873" s="35">
        <f ca="1">IFERROR(Tabela3[[#This Row],[Custo Total]]/Tabela3[[#This Row],[Aluminio Util]],0)</f>
        <v>27.163937838795405</v>
      </c>
      <c r="J873" s="35">
        <f ca="1">Tabela3[[#This Row],[Custo Total]]/Tabela3[[#This Row],[Realizado]]</f>
        <v>9.0184273624800735</v>
      </c>
      <c r="K873" s="37">
        <f>IFERROR(Tabela3[[#This Row],[Qtde Cx Produzida]]/Tabela3[[#This Row],[Tempo]]/24,0)</f>
        <v>9.9465240641711219</v>
      </c>
      <c r="L873" s="37">
        <f>Tabela3[[#This Row],[Qtde Cx Produzida]]*Tabela3[[#This Row],[Qdt Peça Placa]]</f>
        <v>248</v>
      </c>
      <c r="M873" s="37">
        <f>Tabela3[[#This Row],[Previsto]]-Tabela3[[#This Row],[Perda Pçs]]</f>
        <v>248</v>
      </c>
      <c r="N873" s="38">
        <f>IFERROR(Tabela3[[#This Row],[Perda Pçs]]/Tabela3[[#This Row],[Previsto]],0)</f>
        <v>0</v>
      </c>
      <c r="O873" s="39">
        <f>IFERROR(IF(Tabela3[[#This Row],[Qtde Cx Produzida]] &lt;&gt; 0, Tabela3[[#This Row],[Tempo]] / Tabela3[[#This Row],[Qtde Cx Produzida]], 0),0)</f>
        <v>4.1890681003584236E-3</v>
      </c>
      <c r="P873" s="57">
        <f>IFERROR(Tabela3[[#This Row],[Perda Pçs]]/Tabela3[[#This Row],[Qdt Peça Placa]],0)</f>
        <v>0</v>
      </c>
      <c r="Q873" s="37">
        <f>IFERROR(Tabela3[[#This Row],[Realizado]]*Tabela3[[#This Row],[Peso Util/Pç]],0)</f>
        <v>82.335999999999999</v>
      </c>
      <c r="R873" s="37">
        <f>IFERROR(Tabela3[[#This Row],[Peso Total Galho]]*Tabela3[[#This Row],[Qtde Cx Produzida]]*1.055,0)</f>
        <v>150.44299999999998</v>
      </c>
      <c r="S873" s="37">
        <f>(Tabela3[[#This Row],[Aluminio Bruto]]-Tabela3[[#This Row],[Aluminio Util]])*0.9</f>
        <v>61.296299999999988</v>
      </c>
      <c r="T873" s="37">
        <f>Tabela3[[#This Row],[Aluminio Bruto]]/OleoKGAluminio</f>
        <v>63.291175579069836</v>
      </c>
      <c r="U873" s="35">
        <f>IFERROR((VLOOKUP(Tabela3[[#This Row],[Moldador]],Tabela1[],5,)+(VLOOKUP(Tabela3[[#This Row],[Ajudante]],Tabela1[],5,))*3.5),0)</f>
        <v>126.0945</v>
      </c>
      <c r="V873" s="35">
        <f>IFERROR(Tabela3[[#This Row],[Custo M.O. / H]]/((Tabela3[[#This Row],[Realizado]]/Tabela3[[#This Row],[Qdt Peça Placa]])/Tabela3[[#This Row],[Tempo]]/24),)</f>
        <v>12.677242741935485</v>
      </c>
      <c r="W873" s="35">
        <f>Tabela3[[#This Row],[Custo / Cx Moldada]]*Tabela3[[#This Row],[Qtde Cx Produzida]]</f>
        <v>785.98905000000013</v>
      </c>
      <c r="X873" s="35">
        <f ca="1">Tabela3[[#This Row],[Aluminio Util]]*Tabela3[[#This Row],[Custo/Kg]]</f>
        <v>1284.4416000000001</v>
      </c>
      <c r="Y873" s="35">
        <f>IFERROR(VLOOKUP(Tabela3[[#This Row],[Data]],Tabela461213[],2,1)*(Tabela3[[#This Row],[Qtde Cx Produzida]]*Tabela3[[#This Row],[Qde macho / CX]]*Tabela3[[#This Row],[Peso Macho]]),)</f>
        <v>0</v>
      </c>
      <c r="Z873" s="35">
        <f>IFERROR(Tabela3[[#This Row],[Qtde Oleo]]*(VLOOKUP(Tabela3[[#This Row],[Data]],CompraOleo[],3,TRUE))*1.05,0)</f>
        <v>166.13933589505834</v>
      </c>
      <c r="AA873" s="47">
        <f ca="1">(Tabela3[[#This Row],[Custo Oleo]]+Tabela3[[#This Row],[Custo Aluminio]]+Tabela3[[#This Row],[Custo M.O. Total]]+Tabela3[[#This Row],[Custo Machos]])</f>
        <v>2236.5699858950584</v>
      </c>
      <c r="AB873" s="47">
        <f ca="1">Tabela3[[#This Row],[Custo Total]]*Tabela3[[#This Row],[% Perda]]</f>
        <v>0</v>
      </c>
      <c r="AC873" s="48">
        <f>IFERROR(VLOOKUP(Tabela3[[#This Row],[Produto]],Tabela2[],2,0),0)</f>
        <v>4</v>
      </c>
      <c r="AD873" s="48">
        <f>IFERROR(VLOOKUP(Tabela3[[#This Row],[Produto]],Tabela2[],3,0),0)</f>
        <v>0.33200000000000002</v>
      </c>
      <c r="AE873" s="48">
        <f>IFERROR(VLOOKUP(Tabela3[[#This Row],[Produto]],Tabela2[],4,0),0)</f>
        <v>2.2999999999999998</v>
      </c>
      <c r="AF873" s="48">
        <f>IFERROR(VLOOKUP(Tabela3[[#This Row],[Produto]],Tabela2[],5,0),0)</f>
        <v>0.8747999999999998</v>
      </c>
      <c r="AG873" s="40">
        <f>IFERROR(VLOOKUP(Tabela3[[#This Row],[Produto]],Tabela2[],6,0),0)</f>
        <v>0</v>
      </c>
      <c r="AH873" s="40">
        <f>IFERROR(VLOOKUP(Tabela3[[#This Row],[Produto]],Tabela2[],7,0),0)</f>
        <v>0</v>
      </c>
      <c r="AI873" s="40">
        <f>IFERROR(VLOOKUP(Tabela3[[#This Row],[Produto]],Tabela2[],8,0),0)</f>
        <v>0</v>
      </c>
      <c r="AJ873" s="35">
        <f ca="1">IFERROR(VLOOKUP(Tabela3[[#This Row],[Produto]],Tabela2[],13,0),0)</f>
        <v>15.600000000000001</v>
      </c>
      <c r="AK873" s="40" t="str">
        <f>IFERROR(VLOOKUP(Tabela3[[#This Row],[Produto]],Tabela2[],14,0),0)</f>
        <v>Senun</v>
      </c>
      <c r="AL873" s="40">
        <f>IFERROR(VLOOKUP(Tabela3[[#This Row],[Produto]],Tabela2[],15,0),0)</f>
        <v>3.5</v>
      </c>
      <c r="AM873" s="36">
        <f ca="1">(Tabela3[[#This Row],[Custo Usinagem]]+Tabela3[[#This Row],[Custo / Pç]])*1.2</f>
        <v>15.022112834976088</v>
      </c>
      <c r="AN873" s="36">
        <f ca="1">Tabela3[[#This Row],[Valor Mínimo Venda]]*1.15</f>
        <v>17.275429760222501</v>
      </c>
      <c r="AO873" s="36">
        <f ca="1">Tabela3[[#This Row],[Tabela 1]]*1.08</f>
        <v>18.657464141040304</v>
      </c>
      <c r="AP873" s="36">
        <f ca="1">Tabela3[[#This Row],[Tabela 2]]*1.15</f>
        <v>21.456083762196346</v>
      </c>
    </row>
    <row r="874" spans="1:42">
      <c r="A874" s="9">
        <v>46035</v>
      </c>
      <c r="B874" s="6" t="s">
        <v>246</v>
      </c>
      <c r="C874" s="14">
        <v>8800</v>
      </c>
      <c r="D874" s="6" t="s">
        <v>46</v>
      </c>
      <c r="E874" s="6" t="s">
        <v>44</v>
      </c>
      <c r="F874" s="6">
        <v>30</v>
      </c>
      <c r="G874" s="15">
        <v>0.15972222222222221</v>
      </c>
      <c r="H874" s="16">
        <v>19</v>
      </c>
      <c r="I874" s="35">
        <f ca="1">IFERROR(Tabela3[[#This Row],[Custo Total]]/Tabela3[[#This Row],[Aluminio Util]],0)</f>
        <v>28.410617239792284</v>
      </c>
      <c r="J874" s="35">
        <f ca="1">Tabela3[[#This Row],[Custo Total]]/Tabela3[[#This Row],[Realizado]]</f>
        <v>15.142858988809287</v>
      </c>
      <c r="K874" s="37">
        <f>IFERROR(Tabela3[[#This Row],[Qtde Cx Produzida]]/Tabela3[[#This Row],[Tempo]]/24,0)</f>
        <v>7.8260869565217392</v>
      </c>
      <c r="L874" s="37">
        <f>Tabela3[[#This Row],[Qtde Cx Produzida]]*Tabela3[[#This Row],[Qdt Peça Placa]]</f>
        <v>120</v>
      </c>
      <c r="M874" s="37">
        <f>Tabela3[[#This Row],[Previsto]]-Tabela3[[#This Row],[Perda Pçs]]</f>
        <v>101</v>
      </c>
      <c r="N874" s="38">
        <f>IFERROR(Tabela3[[#This Row],[Perda Pçs]]/Tabela3[[#This Row],[Previsto]],0)</f>
        <v>0.15833333333333333</v>
      </c>
      <c r="O874" s="39">
        <f>IFERROR(IF(Tabela3[[#This Row],[Qtde Cx Produzida]] &lt;&gt; 0, Tabela3[[#This Row],[Tempo]] / Tabela3[[#This Row],[Qtde Cx Produzida]], 0),0)</f>
        <v>5.324074074074074E-3</v>
      </c>
      <c r="P874" s="57">
        <f>IFERROR(Tabela3[[#This Row],[Perda Pçs]]/Tabela3[[#This Row],[Qdt Peça Placa]],0)</f>
        <v>4.75</v>
      </c>
      <c r="Q874" s="37">
        <f>IFERROR(Tabela3[[#This Row],[Realizado]]*Tabela3[[#This Row],[Peso Util/Pç]],0)</f>
        <v>53.833000000000006</v>
      </c>
      <c r="R874" s="37">
        <f>IFERROR(Tabela3[[#This Row],[Peso Total Galho]]*Tabela3[[#This Row],[Qtde Cx Produzida]]*1.055,0)</f>
        <v>104.44499999999999</v>
      </c>
      <c r="S874" s="37">
        <f>(Tabela3[[#This Row],[Aluminio Bruto]]-Tabela3[[#This Row],[Aluminio Util]])*0.9</f>
        <v>45.550799999999988</v>
      </c>
      <c r="T874" s="37">
        <f>Tabela3[[#This Row],[Aluminio Bruto]]/OleoKGAluminio</f>
        <v>43.93987645391244</v>
      </c>
      <c r="U874" s="35">
        <f>IFERROR((VLOOKUP(Tabela3[[#This Row],[Moldador]],Tabela1[],5,)+(VLOOKUP(Tabela3[[#This Row],[Ajudante]],Tabela1[],5,))*3.5),0)</f>
        <v>126.0945</v>
      </c>
      <c r="V874" s="35">
        <f>IFERROR(Tabela3[[#This Row],[Custo M.O. / H]]/((Tabela3[[#This Row],[Realizado]]/Tabela3[[#This Row],[Qdt Peça Placa]])/Tabela3[[#This Row],[Tempo]]/24),)</f>
        <v>19.143059405940591</v>
      </c>
      <c r="W874" s="35">
        <f>Tabela3[[#This Row],[Custo / Cx Moldada]]*Tabela3[[#This Row],[Qtde Cx Produzida]]</f>
        <v>574.29178217821777</v>
      </c>
      <c r="X874" s="35">
        <f ca="1">Tabela3[[#This Row],[Aluminio Util]]*Tabela3[[#This Row],[Custo/Kg]]</f>
        <v>839.79480000000012</v>
      </c>
      <c r="Y874" s="35">
        <f>IFERROR(VLOOKUP(Tabela3[[#This Row],[Data]],Tabela461213[],2,1)*(Tabela3[[#This Row],[Qtde Cx Produzida]]*Tabela3[[#This Row],[Qde macho / CX]]*Tabela3[[#This Row],[Peso Macho]]),)</f>
        <v>0</v>
      </c>
      <c r="Z874" s="35">
        <f>IFERROR(Tabela3[[#This Row],[Qtde Oleo]]*(VLOOKUP(Tabela3[[#This Row],[Data]],CompraOleo[],3,TRUE))*1.05,0)</f>
        <v>115.34217569152015</v>
      </c>
      <c r="AA874" s="47">
        <f ca="1">(Tabela3[[#This Row],[Custo Oleo]]+Tabela3[[#This Row],[Custo Aluminio]]+Tabela3[[#This Row],[Custo M.O. Total]]+Tabela3[[#This Row],[Custo Machos]])</f>
        <v>1529.4287578697381</v>
      </c>
      <c r="AB874" s="47">
        <f ca="1">Tabela3[[#This Row],[Custo Total]]*Tabela3[[#This Row],[% Perda]]</f>
        <v>242.1595533293752</v>
      </c>
      <c r="AC874" s="48">
        <f>IFERROR(VLOOKUP(Tabela3[[#This Row],[Produto]],Tabela2[],2,0),0)</f>
        <v>4</v>
      </c>
      <c r="AD874" s="48">
        <f>IFERROR(VLOOKUP(Tabela3[[#This Row],[Produto]],Tabela2[],3,0),0)</f>
        <v>0.53300000000000003</v>
      </c>
      <c r="AE874" s="48">
        <f>IFERROR(VLOOKUP(Tabela3[[#This Row],[Produto]],Tabela2[],4,0),0)</f>
        <v>3.3</v>
      </c>
      <c r="AF874" s="48">
        <f>IFERROR(VLOOKUP(Tabela3[[#This Row],[Produto]],Tabela2[],5,0),0)</f>
        <v>1.0511999999999997</v>
      </c>
      <c r="AG874" s="40">
        <f>IFERROR(VLOOKUP(Tabela3[[#This Row],[Produto]],Tabela2[],6,0),0)</f>
        <v>0</v>
      </c>
      <c r="AH874" s="40">
        <f>IFERROR(VLOOKUP(Tabela3[[#This Row],[Produto]],Tabela2[],7,0),0)</f>
        <v>0</v>
      </c>
      <c r="AI874" s="40">
        <f>IFERROR(VLOOKUP(Tabela3[[#This Row],[Produto]],Tabela2[],8,0),0)</f>
        <v>0</v>
      </c>
      <c r="AJ874" s="35">
        <f ca="1">IFERROR(VLOOKUP(Tabela3[[#This Row],[Produto]],Tabela2[],13,0),0)</f>
        <v>15.600000000000001</v>
      </c>
      <c r="AK874" s="40" t="str">
        <f>IFERROR(VLOOKUP(Tabela3[[#This Row],[Produto]],Tabela2[],14,0),0)</f>
        <v>Senun</v>
      </c>
      <c r="AL874" s="40">
        <f>IFERROR(VLOOKUP(Tabela3[[#This Row],[Produto]],Tabela2[],15,0),0)</f>
        <v>4</v>
      </c>
      <c r="AM874" s="36">
        <f ca="1">(Tabela3[[#This Row],[Custo Usinagem]]+Tabela3[[#This Row],[Custo / Pç]])*1.2</f>
        <v>22.971430786571144</v>
      </c>
      <c r="AN874" s="36">
        <f ca="1">Tabela3[[#This Row],[Valor Mínimo Venda]]*1.15</f>
        <v>26.417145404556813</v>
      </c>
      <c r="AO874" s="36">
        <f ca="1">Tabela3[[#This Row],[Tabela 1]]*1.08</f>
        <v>28.53051703692136</v>
      </c>
      <c r="AP874" s="36">
        <f ca="1">Tabela3[[#This Row],[Tabela 2]]*1.15</f>
        <v>32.810094592459564</v>
      </c>
    </row>
    <row r="875" spans="1:42">
      <c r="A875" s="9">
        <v>46036</v>
      </c>
      <c r="B875" s="6" t="s">
        <v>236</v>
      </c>
      <c r="C875" s="14">
        <v>8877</v>
      </c>
      <c r="D875" s="6" t="s">
        <v>46</v>
      </c>
      <c r="E875" s="6" t="s">
        <v>47</v>
      </c>
      <c r="F875" s="6">
        <v>76</v>
      </c>
      <c r="G875" s="15">
        <v>0.44236111111111109</v>
      </c>
      <c r="H875" s="16">
        <v>0</v>
      </c>
      <c r="I875" s="35">
        <f ca="1">IFERROR(Tabela3[[#This Row],[Custo Total]]/Tabela3[[#This Row],[Aluminio Util]],0)</f>
        <v>24.689182057212694</v>
      </c>
      <c r="J875" s="35">
        <f ca="1">Tabela3[[#This Row],[Custo Total]]/Tabela3[[#This Row],[Realizado]]</f>
        <v>7.4561329812782331</v>
      </c>
      <c r="K875" s="37">
        <f>IFERROR(Tabela3[[#This Row],[Qtde Cx Produzida]]/Tabela3[[#This Row],[Tempo]]/24,0)</f>
        <v>7.1585557299843012</v>
      </c>
      <c r="L875" s="37">
        <f>Tabela3[[#This Row],[Qtde Cx Produzida]]*Tabela3[[#This Row],[Qdt Peça Placa]]</f>
        <v>456</v>
      </c>
      <c r="M875" s="37">
        <f>Tabela3[[#This Row],[Previsto]]-Tabela3[[#This Row],[Perda Pçs]]</f>
        <v>456</v>
      </c>
      <c r="N875" s="38">
        <f>IFERROR(Tabela3[[#This Row],[Perda Pçs]]/Tabela3[[#This Row],[Previsto]],0)</f>
        <v>0</v>
      </c>
      <c r="O875" s="39">
        <f>IFERROR(IF(Tabela3[[#This Row],[Qtde Cx Produzida]] &lt;&gt; 0, Tabela3[[#This Row],[Tempo]] / Tabela3[[#This Row],[Qtde Cx Produzida]], 0),0)</f>
        <v>5.8205409356725142E-3</v>
      </c>
      <c r="P875" s="57">
        <f>IFERROR(Tabela3[[#This Row],[Perda Pçs]]/Tabela3[[#This Row],[Qdt Peça Placa]],0)</f>
        <v>0</v>
      </c>
      <c r="Q875" s="37">
        <f>IFERROR(Tabela3[[#This Row],[Realizado]]*Tabela3[[#This Row],[Peso Util/Pç]],0)</f>
        <v>137.71199999999999</v>
      </c>
      <c r="R875" s="37">
        <f>IFERROR(Tabela3[[#This Row],[Peso Total Galho]]*Tabela3[[#This Row],[Qtde Cx Produzida]]*1.055,0)</f>
        <v>172.54736000000003</v>
      </c>
      <c r="S875" s="37">
        <f>(Tabela3[[#This Row],[Aluminio Bruto]]-Tabela3[[#This Row],[Aluminio Util]])*0.9</f>
        <v>31.351824000000033</v>
      </c>
      <c r="T875" s="37">
        <f>Tabela3[[#This Row],[Aluminio Bruto]]/OleoKGAluminio</f>
        <v>72.590451250406957</v>
      </c>
      <c r="U875" s="35">
        <f>IFERROR((VLOOKUP(Tabela3[[#This Row],[Moldador]],Tabela1[],5,)+(VLOOKUP(Tabela3[[#This Row],[Ajudante]],Tabela1[],5,))*3.5),0)</f>
        <v>99.95034583333333</v>
      </c>
      <c r="V875" s="35">
        <f>IFERROR(Tabela3[[#This Row],[Custo M.O. / H]]/((Tabela3[[#This Row],[Realizado]]/Tabela3[[#This Row],[Qdt Peça Placa]])/Tabela3[[#This Row],[Tempo]]/24),)</f>
        <v>13.962361906980995</v>
      </c>
      <c r="W875" s="35">
        <f>Tabela3[[#This Row],[Custo / Cx Moldada]]*Tabela3[[#This Row],[Qtde Cx Produzida]]</f>
        <v>1061.1395049305556</v>
      </c>
      <c r="X875" s="35">
        <f ca="1">Tabela3[[#This Row],[Aluminio Util]]*Tabela3[[#This Row],[Custo/Kg]]</f>
        <v>2148.3072000000002</v>
      </c>
      <c r="Y875" s="35">
        <f>IFERROR(VLOOKUP(Tabela3[[#This Row],[Data]],Tabela461213[],2,1)*(Tabela3[[#This Row],[Qtde Cx Produzida]]*Tabela3[[#This Row],[Qde macho / CX]]*Tabela3[[#This Row],[Peso Macho]]),)</f>
        <v>0</v>
      </c>
      <c r="Z875" s="35">
        <f>IFERROR(Tabela3[[#This Row],[Qtde Oleo]]*(VLOOKUP(Tabela3[[#This Row],[Data]],CompraOleo[],3,TRUE))*1.05,0)</f>
        <v>190.54993453231828</v>
      </c>
      <c r="AA875" s="47">
        <f ca="1">(Tabela3[[#This Row],[Custo Oleo]]+Tabela3[[#This Row],[Custo Aluminio]]+Tabela3[[#This Row],[Custo M.O. Total]]+Tabela3[[#This Row],[Custo Machos]])</f>
        <v>3399.9966394628741</v>
      </c>
      <c r="AB875" s="47">
        <f ca="1">Tabela3[[#This Row],[Custo Total]]*Tabela3[[#This Row],[% Perda]]</f>
        <v>0</v>
      </c>
      <c r="AC875" s="48">
        <f>IFERROR(VLOOKUP(Tabela3[[#This Row],[Produto]],Tabela2[],2,0),0)</f>
        <v>6</v>
      </c>
      <c r="AD875" s="48">
        <f>IFERROR(VLOOKUP(Tabela3[[#This Row],[Produto]],Tabela2[],3,0),0)</f>
        <v>0.30199999999999999</v>
      </c>
      <c r="AE875" s="48">
        <f>IFERROR(VLOOKUP(Tabela3[[#This Row],[Produto]],Tabela2[],4,0),0)</f>
        <v>2.1520000000000001</v>
      </c>
      <c r="AF875" s="48">
        <f>IFERROR(VLOOKUP(Tabela3[[#This Row],[Produto]],Tabela2[],5,0),0)</f>
        <v>0.30600000000000027</v>
      </c>
      <c r="AG875" s="40">
        <f>IFERROR(VLOOKUP(Tabela3[[#This Row],[Produto]],Tabela2[],6,0),0)</f>
        <v>0</v>
      </c>
      <c r="AH875" s="40">
        <f>IFERROR(VLOOKUP(Tabela3[[#This Row],[Produto]],Tabela2[],7,0),0)</f>
        <v>0</v>
      </c>
      <c r="AI875" s="40">
        <f>IFERROR(VLOOKUP(Tabela3[[#This Row],[Produto]],Tabela2[],8,0),0)</f>
        <v>0</v>
      </c>
      <c r="AJ875" s="35">
        <f ca="1">IFERROR(VLOOKUP(Tabela3[[#This Row],[Produto]],Tabela2[],13,0),0)</f>
        <v>15.600000000000001</v>
      </c>
      <c r="AK875" s="40" t="str">
        <f>IFERROR(VLOOKUP(Tabela3[[#This Row],[Produto]],Tabela2[],14,0),0)</f>
        <v>Senun</v>
      </c>
      <c r="AL875" s="40">
        <f>IFERROR(VLOOKUP(Tabela3[[#This Row],[Produto]],Tabela2[],15,0),0)</f>
        <v>4</v>
      </c>
      <c r="AM875" s="36">
        <f ca="1">(Tabela3[[#This Row],[Custo Usinagem]]+Tabela3[[#This Row],[Custo / Pç]])*1.2</f>
        <v>13.74735957753388</v>
      </c>
      <c r="AN875" s="36">
        <f ca="1">Tabela3[[#This Row],[Valor Mínimo Venda]]*1.15</f>
        <v>15.80946351416396</v>
      </c>
      <c r="AO875" s="36">
        <f ca="1">Tabela3[[#This Row],[Tabela 1]]*1.08</f>
        <v>17.074220595297078</v>
      </c>
      <c r="AP875" s="36">
        <f ca="1">Tabela3[[#This Row],[Tabela 2]]*1.15</f>
        <v>19.635353684591639</v>
      </c>
    </row>
    <row r="876" spans="1:42">
      <c r="A876" s="9">
        <v>46036</v>
      </c>
      <c r="B876" s="6" t="s">
        <v>91</v>
      </c>
      <c r="C876" s="14">
        <v>8795</v>
      </c>
      <c r="D876" s="6" t="s">
        <v>44</v>
      </c>
      <c r="E876" s="6" t="s">
        <v>51</v>
      </c>
      <c r="F876" s="6">
        <v>10</v>
      </c>
      <c r="G876" s="15">
        <v>6.1805555555555558E-2</v>
      </c>
      <c r="H876" s="16">
        <v>0</v>
      </c>
      <c r="I876" s="35">
        <f ca="1">IFERROR(Tabela3[[#This Row],[Custo Total]]/Tabela3[[#This Row],[Aluminio Util]],0)</f>
        <v>39.705417759543955</v>
      </c>
      <c r="J876" s="35">
        <f ca="1">Tabela3[[#This Row],[Custo Total]]/Tabela3[[#This Row],[Realizado]]</f>
        <v>31.129047523482463</v>
      </c>
      <c r="K876" s="37">
        <f>IFERROR(Tabela3[[#This Row],[Qtde Cx Produzida]]/Tabela3[[#This Row],[Tempo]]/24,0)</f>
        <v>6.7415730337078648</v>
      </c>
      <c r="L876" s="37">
        <f>Tabela3[[#This Row],[Qtde Cx Produzida]]*Tabela3[[#This Row],[Qdt Peça Placa]]</f>
        <v>40</v>
      </c>
      <c r="M876" s="37">
        <f>Tabela3[[#This Row],[Previsto]]-Tabela3[[#This Row],[Perda Pçs]]</f>
        <v>40</v>
      </c>
      <c r="N876" s="38">
        <f>IFERROR(Tabela3[[#This Row],[Perda Pçs]]/Tabela3[[#This Row],[Previsto]],0)</f>
        <v>0</v>
      </c>
      <c r="O876" s="39">
        <f>IFERROR(IF(Tabela3[[#This Row],[Qtde Cx Produzida]] &lt;&gt; 0, Tabela3[[#This Row],[Tempo]] / Tabela3[[#This Row],[Qtde Cx Produzida]], 0),0)</f>
        <v>6.1805555555555555E-3</v>
      </c>
      <c r="P876" s="57">
        <f>IFERROR(Tabela3[[#This Row],[Perda Pçs]]/Tabela3[[#This Row],[Qdt Peça Placa]],0)</f>
        <v>0</v>
      </c>
      <c r="Q876" s="37">
        <f>IFERROR(Tabela3[[#This Row],[Realizado]]*Tabela3[[#This Row],[Peso Util/Pç]],0)</f>
        <v>31.36</v>
      </c>
      <c r="R876" s="37">
        <f>IFERROR(Tabela3[[#This Row],[Peso Total Galho]]*Tabela3[[#This Row],[Qtde Cx Produzida]]*1.055,0)</f>
        <v>58.531399999999998</v>
      </c>
      <c r="S876" s="37">
        <f>(Tabela3[[#This Row],[Aluminio Bruto]]-Tabela3[[#This Row],[Aluminio Util]])*0.9</f>
        <v>24.454259999999998</v>
      </c>
      <c r="T876" s="37">
        <f>Tabela3[[#This Row],[Aluminio Bruto]]/OleoKGAluminio</f>
        <v>24.62408429962689</v>
      </c>
      <c r="U876" s="35">
        <f>IFERROR((VLOOKUP(Tabela3[[#This Row],[Moldador]],Tabela1[],5,)+(VLOOKUP(Tabela3[[#This Row],[Ajudante]],Tabela1[],5,))*3.5),0)</f>
        <v>99.95034583333333</v>
      </c>
      <c r="V876" s="35">
        <f>IFERROR(Tabela3[[#This Row],[Custo M.O. / H]]/((Tabela3[[#This Row],[Realizado]]/Tabela3[[#This Row],[Qdt Peça Placa]])/Tabela3[[#This Row],[Tempo]]/24),)</f>
        <v>14.825967965277778</v>
      </c>
      <c r="W876" s="35">
        <f>Tabela3[[#This Row],[Custo / Cx Moldada]]*Tabela3[[#This Row],[Qtde Cx Produzida]]</f>
        <v>148.25967965277778</v>
      </c>
      <c r="X876" s="35">
        <f ca="1">Tabela3[[#This Row],[Aluminio Util]]*Tabela3[[#This Row],[Custo/Kg]]</f>
        <v>489.21600000000001</v>
      </c>
      <c r="Y876" s="35">
        <f>IFERROR(VLOOKUP(Tabela3[[#This Row],[Data]],Tabela461213[],2,1)*(Tabela3[[#This Row],[Qtde Cx Produzida]]*Tabela3[[#This Row],[Qde macho / CX]]*Tabela3[[#This Row],[Peso Macho]]),)</f>
        <v>543.048</v>
      </c>
      <c r="Z876" s="35">
        <f>IFERROR(Tabela3[[#This Row],[Qtde Oleo]]*(VLOOKUP(Tabela3[[#This Row],[Data]],CompraOleo[],3,TRUE))*1.05,0)</f>
        <v>64.63822128652059</v>
      </c>
      <c r="AA876" s="47">
        <f ca="1">(Tabela3[[#This Row],[Custo Oleo]]+Tabela3[[#This Row],[Custo Aluminio]]+Tabela3[[#This Row],[Custo M.O. Total]]+Tabela3[[#This Row],[Custo Machos]])</f>
        <v>1245.1619009392984</v>
      </c>
      <c r="AB876" s="47">
        <f ca="1">Tabela3[[#This Row],[Custo Total]]*Tabela3[[#This Row],[% Perda]]</f>
        <v>0</v>
      </c>
      <c r="AC876" s="48">
        <f>IFERROR(VLOOKUP(Tabela3[[#This Row],[Produto]],Tabela2[],2,0),0)</f>
        <v>4</v>
      </c>
      <c r="AD876" s="48">
        <f>IFERROR(VLOOKUP(Tabela3[[#This Row],[Produto]],Tabela2[],3,0),0)</f>
        <v>0.78400000000000003</v>
      </c>
      <c r="AE876" s="48">
        <f>IFERROR(VLOOKUP(Tabela3[[#This Row],[Produto]],Tabela2[],4,0),0)</f>
        <v>5.548</v>
      </c>
      <c r="AF876" s="48">
        <f>IFERROR(VLOOKUP(Tabela3[[#This Row],[Produto]],Tabela2[],5,0),0)</f>
        <v>2.1707999999999998</v>
      </c>
      <c r="AG876" s="40">
        <f>IFERROR(VLOOKUP(Tabela3[[#This Row],[Produto]],Tabela2[],6,0),0)</f>
        <v>0</v>
      </c>
      <c r="AH876" s="40">
        <f>IFERROR(VLOOKUP(Tabela3[[#This Row],[Produto]],Tabela2[],7,0),0)</f>
        <v>12</v>
      </c>
      <c r="AI876" s="40">
        <f>IFERROR(VLOOKUP(Tabela3[[#This Row],[Produto]],Tabela2[],8,0),0)</f>
        <v>2.6619999999999999</v>
      </c>
      <c r="AJ876" s="35">
        <f ca="1">IFERROR(VLOOKUP(Tabela3[[#This Row],[Produto]],Tabela2[],13,0),0)</f>
        <v>15.600000000000001</v>
      </c>
      <c r="AK876" s="40" t="str">
        <f>IFERROR(VLOOKUP(Tabela3[[#This Row],[Produto]],Tabela2[],14,0),0)</f>
        <v>Jumil</v>
      </c>
      <c r="AL876" s="40">
        <f>IFERROR(VLOOKUP(Tabela3[[#This Row],[Produto]],Tabela2[],15,0),0)</f>
        <v>8</v>
      </c>
      <c r="AM876" s="36">
        <f ca="1">(Tabela3[[#This Row],[Custo Usinagem]]+Tabela3[[#This Row],[Custo / Pç]])*1.2</f>
        <v>46.954857028178957</v>
      </c>
      <c r="AN876" s="36">
        <f ca="1">Tabela3[[#This Row],[Valor Mínimo Venda]]*1.15</f>
        <v>53.998085582405793</v>
      </c>
      <c r="AO876" s="36">
        <f ca="1">Tabela3[[#This Row],[Tabela 1]]*1.08</f>
        <v>58.317932428998262</v>
      </c>
      <c r="AP876" s="36">
        <f ca="1">Tabela3[[#This Row],[Tabela 2]]*1.15</f>
        <v>67.065622293348</v>
      </c>
    </row>
    <row r="877" spans="1:42">
      <c r="A877" s="9">
        <v>46036</v>
      </c>
      <c r="B877" s="6" t="s">
        <v>227</v>
      </c>
      <c r="C877" s="14">
        <v>8889</v>
      </c>
      <c r="D877" s="6" t="s">
        <v>44</v>
      </c>
      <c r="E877" s="6" t="s">
        <v>47</v>
      </c>
      <c r="F877" s="6">
        <v>5</v>
      </c>
      <c r="G877" s="15">
        <v>7.9861111111111105E-2</v>
      </c>
      <c r="H877" s="16">
        <v>0</v>
      </c>
      <c r="I877" s="35">
        <f ca="1">IFERROR(Tabela3[[#This Row],[Custo Total]]/Tabela3[[#This Row],[Aluminio Util]],0)</f>
        <v>20.270422266902017</v>
      </c>
      <c r="J877" s="35">
        <f ca="1">Tabela3[[#This Row],[Custo Total]]/Tabela3[[#This Row],[Realizado]]</f>
        <v>547.3014012063544</v>
      </c>
      <c r="K877" s="37">
        <f>IFERROR(Tabela3[[#This Row],[Qtde Cx Produzida]]/Tabela3[[#This Row],[Tempo]]/24,0)</f>
        <v>2.6086956521739135</v>
      </c>
      <c r="L877" s="37">
        <f>Tabela3[[#This Row],[Qtde Cx Produzida]]*Tabela3[[#This Row],[Qdt Peça Placa]]</f>
        <v>5</v>
      </c>
      <c r="M877" s="37">
        <f>Tabela3[[#This Row],[Previsto]]-Tabela3[[#This Row],[Perda Pçs]]</f>
        <v>5</v>
      </c>
      <c r="N877" s="38">
        <f>IFERROR(Tabela3[[#This Row],[Perda Pçs]]/Tabela3[[#This Row],[Previsto]],0)</f>
        <v>0</v>
      </c>
      <c r="O877" s="39">
        <f>IFERROR(IF(Tabela3[[#This Row],[Qtde Cx Produzida]] &lt;&gt; 0, Tabela3[[#This Row],[Tempo]] / Tabela3[[#This Row],[Qtde Cx Produzida]], 0),0)</f>
        <v>1.5972222222222221E-2</v>
      </c>
      <c r="P877" s="57">
        <f>IFERROR(Tabela3[[#This Row],[Perda Pçs]]/Tabela3[[#This Row],[Qdt Peça Placa]],0)</f>
        <v>0</v>
      </c>
      <c r="Q877" s="37">
        <f>IFERROR(Tabela3[[#This Row],[Realizado]]*Tabela3[[#This Row],[Peso Util/Pç]],0)</f>
        <v>135</v>
      </c>
      <c r="R877" s="37">
        <f>IFERROR(Tabela3[[#This Row],[Peso Total Galho]]*Tabela3[[#This Row],[Qtde Cx Produzida]]*1.055,0)</f>
        <v>152.97499999999999</v>
      </c>
      <c r="S877" s="37">
        <f>(Tabela3[[#This Row],[Aluminio Bruto]]-Tabela3[[#This Row],[Aluminio Util]])*0.9</f>
        <v>16.177499999999995</v>
      </c>
      <c r="T877" s="37">
        <f>Tabela3[[#This Row],[Aluminio Bruto]]/OleoKGAluminio</f>
        <v>64.356384705225295</v>
      </c>
      <c r="U877" s="35">
        <f>IFERROR((VLOOKUP(Tabela3[[#This Row],[Moldador]],Tabela1[],5,)+(VLOOKUP(Tabela3[[#This Row],[Ajudante]],Tabela1[],5,))*3.5),0)</f>
        <v>99.95034583333333</v>
      </c>
      <c r="V877" s="35">
        <f>IFERROR(Tabela3[[#This Row],[Custo M.O. / H]]/((Tabela3[[#This Row],[Realizado]]/Tabela3[[#This Row],[Qdt Peça Placa]])/Tabela3[[#This Row],[Tempo]]/24),)</f>
        <v>38.314299236111104</v>
      </c>
      <c r="W877" s="35">
        <f>Tabela3[[#This Row],[Custo / Cx Moldada]]*Tabela3[[#This Row],[Qtde Cx Produzida]]</f>
        <v>191.57149618055553</v>
      </c>
      <c r="X877" s="35">
        <f ca="1">Tabela3[[#This Row],[Aluminio Util]]*Tabela3[[#This Row],[Custo/Kg]]</f>
        <v>2376</v>
      </c>
      <c r="Y877" s="35">
        <f>IFERROR(VLOOKUP(Tabela3[[#This Row],[Data]],Tabela461213[],2,1)*(Tabela3[[#This Row],[Qtde Cx Produzida]]*Tabela3[[#This Row],[Qde macho / CX]]*Tabela3[[#This Row],[Peso Macho]]),)</f>
        <v>0</v>
      </c>
      <c r="Z877" s="35">
        <f>IFERROR(Tabela3[[#This Row],[Qtde Oleo]]*(VLOOKUP(Tabela3[[#This Row],[Data]],CompraOleo[],3,TRUE))*1.05,0)</f>
        <v>168.93550985121641</v>
      </c>
      <c r="AA877" s="47">
        <f ca="1">(Tabela3[[#This Row],[Custo Oleo]]+Tabela3[[#This Row],[Custo Aluminio]]+Tabela3[[#This Row],[Custo M.O. Total]]+Tabela3[[#This Row],[Custo Machos]])</f>
        <v>2736.5070060317721</v>
      </c>
      <c r="AB877" s="47">
        <f ca="1">Tabela3[[#This Row],[Custo Total]]*Tabela3[[#This Row],[% Perda]]</f>
        <v>0</v>
      </c>
      <c r="AC877" s="48">
        <f>IFERROR(VLOOKUP(Tabela3[[#This Row],[Produto]],Tabela2[],2,0),0)</f>
        <v>1</v>
      </c>
      <c r="AD877" s="48">
        <f>IFERROR(VLOOKUP(Tabela3[[#This Row],[Produto]],Tabela2[],3,0),0)</f>
        <v>27</v>
      </c>
      <c r="AE877" s="48">
        <f>IFERROR(VLOOKUP(Tabela3[[#This Row],[Produto]],Tabela2[],4,0),0)</f>
        <v>29</v>
      </c>
      <c r="AF877" s="48">
        <f>IFERROR(VLOOKUP(Tabela3[[#This Row],[Produto]],Tabela2[],5,0),0)</f>
        <v>1.8</v>
      </c>
      <c r="AG877" s="40">
        <f>IFERROR(VLOOKUP(Tabela3[[#This Row],[Produto]],Tabela2[],6,0),0)</f>
        <v>0</v>
      </c>
      <c r="AH877" s="40">
        <f>IFERROR(VLOOKUP(Tabela3[[#This Row],[Produto]],Tabela2[],7,0),0)</f>
        <v>0</v>
      </c>
      <c r="AI877" s="40">
        <f>IFERROR(VLOOKUP(Tabela3[[#This Row],[Produto]],Tabela2[],8,0),0)</f>
        <v>0</v>
      </c>
      <c r="AJ877" s="35">
        <f ca="1">IFERROR(VLOOKUP(Tabela3[[#This Row],[Produto]],Tabela2[],13,0),0)</f>
        <v>17.600000000000001</v>
      </c>
      <c r="AK877" s="40" t="str">
        <f>IFERROR(VLOOKUP(Tabela3[[#This Row],[Produto]],Tabela2[],14,0),0)</f>
        <v>Oscar</v>
      </c>
      <c r="AL877" s="40">
        <f>IFERROR(VLOOKUP(Tabela3[[#This Row],[Produto]],Tabela2[],15,0),0)</f>
        <v>0</v>
      </c>
      <c r="AM877" s="36">
        <f ca="1">(Tabela3[[#This Row],[Custo Usinagem]]+Tabela3[[#This Row],[Custo / Pç]])*1.2</f>
        <v>656.76168144762528</v>
      </c>
      <c r="AN877" s="36">
        <f ca="1">Tabela3[[#This Row],[Valor Mínimo Venda]]*1.15</f>
        <v>755.27593366476901</v>
      </c>
      <c r="AO877" s="36">
        <f ca="1">Tabela3[[#This Row],[Tabela 1]]*1.08</f>
        <v>815.69800835795058</v>
      </c>
      <c r="AP877" s="36">
        <f ca="1">Tabela3[[#This Row],[Tabela 2]]*1.15</f>
        <v>938.05270961164308</v>
      </c>
    </row>
    <row r="878" spans="1:42">
      <c r="A878" s="9">
        <v>46037</v>
      </c>
      <c r="B878" s="6" t="s">
        <v>236</v>
      </c>
      <c r="C878" s="14">
        <v>8877</v>
      </c>
      <c r="D878" s="6" t="s">
        <v>46</v>
      </c>
      <c r="E878" s="6" t="s">
        <v>47</v>
      </c>
      <c r="F878" s="6">
        <v>24</v>
      </c>
      <c r="G878" s="15">
        <v>0.14305555555555555</v>
      </c>
      <c r="H878" s="16">
        <v>0</v>
      </c>
      <c r="I878" s="35">
        <f ca="1">IFERROR(Tabela3[[#This Row],[Custo Total]]/Tabela3[[#This Row],[Aluminio Util]],0)</f>
        <v>24.874662379605855</v>
      </c>
      <c r="J878" s="35">
        <f ca="1">Tabela3[[#This Row],[Custo Total]]/Tabela3[[#This Row],[Realizado]]</f>
        <v>7.5121480386409685</v>
      </c>
      <c r="K878" s="37">
        <f>IFERROR(Tabela3[[#This Row],[Qtde Cx Produzida]]/Tabela3[[#This Row],[Tempo]]/24,0)</f>
        <v>6.9902912621359228</v>
      </c>
      <c r="L878" s="37">
        <f>Tabela3[[#This Row],[Qtde Cx Produzida]]*Tabela3[[#This Row],[Qdt Peça Placa]]</f>
        <v>144</v>
      </c>
      <c r="M878" s="37">
        <f>Tabela3[[#This Row],[Previsto]]-Tabela3[[#This Row],[Perda Pçs]]</f>
        <v>144</v>
      </c>
      <c r="N878" s="38">
        <f>IFERROR(Tabela3[[#This Row],[Perda Pçs]]/Tabela3[[#This Row],[Previsto]],0)</f>
        <v>0</v>
      </c>
      <c r="O878" s="39">
        <f>IFERROR(IF(Tabela3[[#This Row],[Qtde Cx Produzida]] &lt;&gt; 0, Tabela3[[#This Row],[Tempo]] / Tabela3[[#This Row],[Qtde Cx Produzida]], 0),0)</f>
        <v>5.9606481481481481E-3</v>
      </c>
      <c r="P878" s="57">
        <f>IFERROR(Tabela3[[#This Row],[Perda Pçs]]/Tabela3[[#This Row],[Qdt Peça Placa]],0)</f>
        <v>0</v>
      </c>
      <c r="Q878" s="37">
        <f>IFERROR(Tabela3[[#This Row],[Realizado]]*Tabela3[[#This Row],[Peso Util/Pç]],0)</f>
        <v>43.488</v>
      </c>
      <c r="R878" s="37">
        <f>IFERROR(Tabela3[[#This Row],[Peso Total Galho]]*Tabela3[[#This Row],[Qtde Cx Produzida]]*1.055,0)</f>
        <v>54.488640000000004</v>
      </c>
      <c r="S878" s="37">
        <f>(Tabela3[[#This Row],[Aluminio Bruto]]-Tabela3[[#This Row],[Aluminio Util]])*0.9</f>
        <v>9.9005760000000045</v>
      </c>
      <c r="T878" s="37">
        <f>Tabela3[[#This Row],[Aluminio Bruto]]/OleoKGAluminio</f>
        <v>22.923300394865354</v>
      </c>
      <c r="U878" s="35">
        <f>IFERROR((VLOOKUP(Tabela3[[#This Row],[Moldador]],Tabela1[],5,)+(VLOOKUP(Tabela3[[#This Row],[Ajudante]],Tabela1[],5,))*3.5),0)</f>
        <v>99.95034583333333</v>
      </c>
      <c r="V878" s="35">
        <f>IFERROR(Tabela3[[#This Row],[Custo M.O. / H]]/((Tabela3[[#This Row],[Realizado]]/Tabela3[[#This Row],[Qdt Peça Placa]])/Tabela3[[#This Row],[Tempo]]/24),)</f>
        <v>14.298452251157405</v>
      </c>
      <c r="W878" s="35">
        <f>Tabela3[[#This Row],[Custo / Cx Moldada]]*Tabela3[[#This Row],[Qtde Cx Produzida]]</f>
        <v>343.16285402777771</v>
      </c>
      <c r="X878" s="35">
        <f ca="1">Tabela3[[#This Row],[Aluminio Util]]*Tabela3[[#This Row],[Custo/Kg]]</f>
        <v>678.41280000000006</v>
      </c>
      <c r="Y878" s="35">
        <f>IFERROR(VLOOKUP(Tabela3[[#This Row],[Data]],Tabela461213[],2,1)*(Tabela3[[#This Row],[Qtde Cx Produzida]]*Tabela3[[#This Row],[Qde macho / CX]]*Tabela3[[#This Row],[Peso Macho]]),)</f>
        <v>0</v>
      </c>
      <c r="Z878" s="35">
        <f>IFERROR(Tabela3[[#This Row],[Qtde Oleo]]*(VLOOKUP(Tabela3[[#This Row],[Data]],CompraOleo[],3,TRUE))*1.05,0)</f>
        <v>60.173663536521552</v>
      </c>
      <c r="AA878" s="47">
        <f ca="1">(Tabela3[[#This Row],[Custo Oleo]]+Tabela3[[#This Row],[Custo Aluminio]]+Tabela3[[#This Row],[Custo M.O. Total]]+Tabela3[[#This Row],[Custo Machos]])</f>
        <v>1081.7493175642994</v>
      </c>
      <c r="AB878" s="47">
        <f ca="1">Tabela3[[#This Row],[Custo Total]]*Tabela3[[#This Row],[% Perda]]</f>
        <v>0</v>
      </c>
      <c r="AC878" s="48">
        <f>IFERROR(VLOOKUP(Tabela3[[#This Row],[Produto]],Tabela2[],2,0),0)</f>
        <v>6</v>
      </c>
      <c r="AD878" s="48">
        <f>IFERROR(VLOOKUP(Tabela3[[#This Row],[Produto]],Tabela2[],3,0),0)</f>
        <v>0.30199999999999999</v>
      </c>
      <c r="AE878" s="48">
        <f>IFERROR(VLOOKUP(Tabela3[[#This Row],[Produto]],Tabela2[],4,0),0)</f>
        <v>2.1520000000000001</v>
      </c>
      <c r="AF878" s="48">
        <f>IFERROR(VLOOKUP(Tabela3[[#This Row],[Produto]],Tabela2[],5,0),0)</f>
        <v>0.30600000000000027</v>
      </c>
      <c r="AG878" s="40">
        <f>IFERROR(VLOOKUP(Tabela3[[#This Row],[Produto]],Tabela2[],6,0),0)</f>
        <v>0</v>
      </c>
      <c r="AH878" s="40">
        <f>IFERROR(VLOOKUP(Tabela3[[#This Row],[Produto]],Tabela2[],7,0),0)</f>
        <v>0</v>
      </c>
      <c r="AI878" s="40">
        <f>IFERROR(VLOOKUP(Tabela3[[#This Row],[Produto]],Tabela2[],8,0),0)</f>
        <v>0</v>
      </c>
      <c r="AJ878" s="35">
        <f ca="1">IFERROR(VLOOKUP(Tabela3[[#This Row],[Produto]],Tabela2[],13,0),0)</f>
        <v>15.600000000000001</v>
      </c>
      <c r="AK878" s="40" t="str">
        <f>IFERROR(VLOOKUP(Tabela3[[#This Row],[Produto]],Tabela2[],14,0),0)</f>
        <v>Senun</v>
      </c>
      <c r="AL878" s="40">
        <f>IFERROR(VLOOKUP(Tabela3[[#This Row],[Produto]],Tabela2[],15,0),0)</f>
        <v>4</v>
      </c>
      <c r="AM878" s="36">
        <f ca="1">(Tabela3[[#This Row],[Custo Usinagem]]+Tabela3[[#This Row],[Custo / Pç]])*1.2</f>
        <v>13.814577646369163</v>
      </c>
      <c r="AN878" s="36">
        <f ca="1">Tabela3[[#This Row],[Valor Mínimo Venda]]*1.15</f>
        <v>15.886764293324536</v>
      </c>
      <c r="AO878" s="36">
        <f ca="1">Tabela3[[#This Row],[Tabela 1]]*1.08</f>
        <v>17.157705436790501</v>
      </c>
      <c r="AP878" s="36">
        <f ca="1">Tabela3[[#This Row],[Tabela 2]]*1.15</f>
        <v>19.731361252309075</v>
      </c>
    </row>
    <row r="879" spans="1:42">
      <c r="A879" s="9">
        <v>46037</v>
      </c>
      <c r="B879" s="6" t="s">
        <v>247</v>
      </c>
      <c r="C879" s="14">
        <v>8766</v>
      </c>
      <c r="D879" s="6" t="s">
        <v>46</v>
      </c>
      <c r="E879" s="6" t="s">
        <v>44</v>
      </c>
      <c r="F879" s="6">
        <v>60</v>
      </c>
      <c r="G879" s="15">
        <v>0.29236111111111113</v>
      </c>
      <c r="H879" s="16">
        <v>40</v>
      </c>
      <c r="I879" s="35">
        <f ca="1">IFERROR(Tabela3[[#This Row],[Custo Total]]/Tabela3[[#This Row],[Aluminio Util]],0)</f>
        <v>35.97492820798481</v>
      </c>
      <c r="J879" s="35">
        <f ca="1">Tabela3[[#This Row],[Custo Total]]/Tabela3[[#This Row],[Realizado]]</f>
        <v>10.792478462395444</v>
      </c>
      <c r="K879" s="37">
        <f>IFERROR(Tabela3[[#This Row],[Qtde Cx Produzida]]/Tabela3[[#This Row],[Tempo]]/24,0)</f>
        <v>8.5510688836104514</v>
      </c>
      <c r="L879" s="37">
        <f>Tabela3[[#This Row],[Qtde Cx Produzida]]*Tabela3[[#This Row],[Qdt Peça Placa]]</f>
        <v>240</v>
      </c>
      <c r="M879" s="37">
        <f>Tabela3[[#This Row],[Previsto]]-Tabela3[[#This Row],[Perda Pçs]]</f>
        <v>200</v>
      </c>
      <c r="N879" s="38">
        <f>IFERROR(Tabela3[[#This Row],[Perda Pçs]]/Tabela3[[#This Row],[Previsto]],0)</f>
        <v>0.16666666666666666</v>
      </c>
      <c r="O879" s="39">
        <f>IFERROR(IF(Tabela3[[#This Row],[Qtde Cx Produzida]] &lt;&gt; 0, Tabela3[[#This Row],[Tempo]] / Tabela3[[#This Row],[Qtde Cx Produzida]], 0),0)</f>
        <v>4.8726851851851856E-3</v>
      </c>
      <c r="P879" s="57">
        <f>IFERROR(Tabela3[[#This Row],[Perda Pçs]]/Tabela3[[#This Row],[Qdt Peça Placa]],0)</f>
        <v>10</v>
      </c>
      <c r="Q879" s="37">
        <f>IFERROR(Tabela3[[#This Row],[Realizado]]*Tabela3[[#This Row],[Peso Util/Pç]],0)</f>
        <v>60</v>
      </c>
      <c r="R879" s="37">
        <f>IFERROR(Tabela3[[#This Row],[Peso Total Galho]]*Tabela3[[#This Row],[Qtde Cx Produzida]]*1.055,0)</f>
        <v>145.59</v>
      </c>
      <c r="S879" s="37">
        <f>(Tabela3[[#This Row],[Aluminio Bruto]]-Tabela3[[#This Row],[Aluminio Util]])*0.9</f>
        <v>77.031000000000006</v>
      </c>
      <c r="T879" s="37">
        <f>Tabela3[[#This Row],[Aluminio Bruto]]/OleoKGAluminio</f>
        <v>61.249524753938559</v>
      </c>
      <c r="U879" s="35">
        <f>IFERROR((VLOOKUP(Tabela3[[#This Row],[Moldador]],Tabela1[],5,)+(VLOOKUP(Tabela3[[#This Row],[Ajudante]],Tabela1[],5,))*3.5),0)</f>
        <v>126.0945</v>
      </c>
      <c r="V879" s="35">
        <f>IFERROR(Tabela3[[#This Row],[Custo M.O. / H]]/((Tabela3[[#This Row],[Realizado]]/Tabela3[[#This Row],[Qdt Peça Placa]])/Tabela3[[#This Row],[Tempo]]/24),)</f>
        <v>17.695261500000001</v>
      </c>
      <c r="W879" s="35">
        <f>Tabela3[[#This Row],[Custo / Cx Moldada]]*Tabela3[[#This Row],[Qtde Cx Produzida]]</f>
        <v>1061.71569</v>
      </c>
      <c r="X879" s="35">
        <f ca="1">Tabela3[[#This Row],[Aluminio Util]]*Tabela3[[#This Row],[Custo/Kg]]</f>
        <v>936.00000000000011</v>
      </c>
      <c r="Y879" s="35">
        <f>IFERROR(VLOOKUP(Tabela3[[#This Row],[Data]],Tabela461213[],2,1)*(Tabela3[[#This Row],[Qtde Cx Produzida]]*Tabela3[[#This Row],[Qde macho / CX]]*Tabela3[[#This Row],[Peso Macho]]),)</f>
        <v>0</v>
      </c>
      <c r="Z879" s="35">
        <f>IFERROR(Tabela3[[#This Row],[Qtde Oleo]]*(VLOOKUP(Tabela3[[#This Row],[Data]],CompraOleo[],3,TRUE))*1.05,0)</f>
        <v>160.78000247908872</v>
      </c>
      <c r="AA879" s="47">
        <f ca="1">(Tabela3[[#This Row],[Custo Oleo]]+Tabela3[[#This Row],[Custo Aluminio]]+Tabela3[[#This Row],[Custo M.O. Total]]+Tabela3[[#This Row],[Custo Machos]])</f>
        <v>2158.4956924790886</v>
      </c>
      <c r="AB879" s="47">
        <f ca="1">Tabela3[[#This Row],[Custo Total]]*Tabela3[[#This Row],[% Perda]]</f>
        <v>359.74928207984806</v>
      </c>
      <c r="AC879" s="48">
        <f>IFERROR(VLOOKUP(Tabela3[[#This Row],[Produto]],Tabela2[],2,0),0)</f>
        <v>4</v>
      </c>
      <c r="AD879" s="48">
        <f>IFERROR(VLOOKUP(Tabela3[[#This Row],[Produto]],Tabela2[],3,0),0)</f>
        <v>0.3</v>
      </c>
      <c r="AE879" s="48">
        <f>IFERROR(VLOOKUP(Tabela3[[#This Row],[Produto]],Tabela2[],4,0),0)</f>
        <v>2.2999999999999998</v>
      </c>
      <c r="AF879" s="48">
        <f>IFERROR(VLOOKUP(Tabela3[[#This Row],[Produto]],Tabela2[],5,0),0)</f>
        <v>0.98999999999999988</v>
      </c>
      <c r="AG879" s="40">
        <f>IFERROR(VLOOKUP(Tabela3[[#This Row],[Produto]],Tabela2[],6,0),0)</f>
        <v>0</v>
      </c>
      <c r="AH879" s="40">
        <f>IFERROR(VLOOKUP(Tabela3[[#This Row],[Produto]],Tabela2[],7,0),0)</f>
        <v>0</v>
      </c>
      <c r="AI879" s="40">
        <f>IFERROR(VLOOKUP(Tabela3[[#This Row],[Produto]],Tabela2[],8,0),0)</f>
        <v>0</v>
      </c>
      <c r="AJ879" s="35">
        <f ca="1">IFERROR(VLOOKUP(Tabela3[[#This Row],[Produto]],Tabela2[],13,0),0)</f>
        <v>15.600000000000001</v>
      </c>
      <c r="AK879" s="40" t="str">
        <f>IFERROR(VLOOKUP(Tabela3[[#This Row],[Produto]],Tabela2[],14,0),0)</f>
        <v>Senun</v>
      </c>
      <c r="AL879" s="40">
        <f>IFERROR(VLOOKUP(Tabela3[[#This Row],[Produto]],Tabela2[],15,0),0)</f>
        <v>3.5</v>
      </c>
      <c r="AM879" s="36">
        <f ca="1">(Tabela3[[#This Row],[Custo Usinagem]]+Tabela3[[#This Row],[Custo / Pç]])*1.2</f>
        <v>17.150974154874532</v>
      </c>
      <c r="AN879" s="36">
        <f ca="1">Tabela3[[#This Row],[Valor Mínimo Venda]]*1.15</f>
        <v>19.72362027810571</v>
      </c>
      <c r="AO879" s="36">
        <f ca="1">Tabela3[[#This Row],[Tabela 1]]*1.08</f>
        <v>21.301509900354169</v>
      </c>
      <c r="AP879" s="36">
        <f ca="1">Tabela3[[#This Row],[Tabela 2]]*1.15</f>
        <v>24.496736385407292</v>
      </c>
    </row>
    <row r="880" spans="1:42">
      <c r="A880" s="9">
        <v>46037</v>
      </c>
      <c r="B880" s="6" t="s">
        <v>245</v>
      </c>
      <c r="C880" s="14">
        <v>8806</v>
      </c>
      <c r="D880" s="6" t="s">
        <v>44</v>
      </c>
      <c r="E880" s="6" t="s">
        <v>51</v>
      </c>
      <c r="F880" s="6">
        <v>22</v>
      </c>
      <c r="G880" s="15">
        <v>0.11597222222222223</v>
      </c>
      <c r="H880" s="16">
        <v>0</v>
      </c>
      <c r="I880" s="35">
        <f ca="1">IFERROR(Tabela3[[#This Row],[Custo Total]]/Tabela3[[#This Row],[Aluminio Util]],0)</f>
        <v>27.139834228223474</v>
      </c>
      <c r="J880" s="35">
        <f ca="1">Tabela3[[#This Row],[Custo Total]]/Tabela3[[#This Row],[Realizado]]</f>
        <v>9.010424963770193</v>
      </c>
      <c r="K880" s="37">
        <f>IFERROR(Tabela3[[#This Row],[Qtde Cx Produzida]]/Tabela3[[#This Row],[Tempo]]/24,0)</f>
        <v>7.9041916167664672</v>
      </c>
      <c r="L880" s="37">
        <f>Tabela3[[#This Row],[Qtde Cx Produzida]]*Tabela3[[#This Row],[Qdt Peça Placa]]</f>
        <v>88</v>
      </c>
      <c r="M880" s="37">
        <f>Tabela3[[#This Row],[Previsto]]-Tabela3[[#This Row],[Perda Pçs]]</f>
        <v>88</v>
      </c>
      <c r="N880" s="38">
        <f>IFERROR(Tabela3[[#This Row],[Perda Pçs]]/Tabela3[[#This Row],[Previsto]],0)</f>
        <v>0</v>
      </c>
      <c r="O880" s="39">
        <f>IFERROR(IF(Tabela3[[#This Row],[Qtde Cx Produzida]] &lt;&gt; 0, Tabela3[[#This Row],[Tempo]] / Tabela3[[#This Row],[Qtde Cx Produzida]], 0),0)</f>
        <v>5.2714646464646466E-3</v>
      </c>
      <c r="P880" s="57">
        <f>IFERROR(Tabela3[[#This Row],[Perda Pçs]]/Tabela3[[#This Row],[Qdt Peça Placa]],0)</f>
        <v>0</v>
      </c>
      <c r="Q880" s="37">
        <f>IFERROR(Tabela3[[#This Row],[Realizado]]*Tabela3[[#This Row],[Peso Util/Pç]],0)</f>
        <v>29.216000000000001</v>
      </c>
      <c r="R880" s="37">
        <f>IFERROR(Tabela3[[#This Row],[Peso Total Galho]]*Tabela3[[#This Row],[Qtde Cx Produzida]]*1.055,0)</f>
        <v>53.382999999999988</v>
      </c>
      <c r="S880" s="37">
        <f>(Tabela3[[#This Row],[Aluminio Bruto]]-Tabela3[[#This Row],[Aluminio Util]])*0.9</f>
        <v>21.750299999999989</v>
      </c>
      <c r="T880" s="37">
        <f>Tabela3[[#This Row],[Aluminio Bruto]]/OleoKGAluminio</f>
        <v>22.458159076444133</v>
      </c>
      <c r="U880" s="35">
        <f>IFERROR((VLOOKUP(Tabela3[[#This Row],[Moldador]],Tabela1[],5,)+(VLOOKUP(Tabela3[[#This Row],[Ajudante]],Tabela1[],5,))*3.5),0)</f>
        <v>99.95034583333333</v>
      </c>
      <c r="V880" s="35">
        <f>IFERROR(Tabela3[[#This Row],[Custo M.O. / H]]/((Tabela3[[#This Row],[Realizado]]/Tabela3[[#This Row],[Qdt Peça Placa]])/Tabela3[[#This Row],[Tempo]]/24),)</f>
        <v>12.64523314709596</v>
      </c>
      <c r="W880" s="35">
        <f>Tabela3[[#This Row],[Custo / Cx Moldada]]*Tabela3[[#This Row],[Qtde Cx Produzida]]</f>
        <v>278.19512923611109</v>
      </c>
      <c r="X880" s="35">
        <f ca="1">Tabela3[[#This Row],[Aluminio Util]]*Tabela3[[#This Row],[Custo/Kg]]</f>
        <v>455.76960000000008</v>
      </c>
      <c r="Y880" s="35">
        <f>IFERROR(VLOOKUP(Tabela3[[#This Row],[Data]],Tabela461213[],2,1)*(Tabela3[[#This Row],[Qtde Cx Produzida]]*Tabela3[[#This Row],[Qde macho / CX]]*Tabela3[[#This Row],[Peso Macho]]),)</f>
        <v>0</v>
      </c>
      <c r="Z880" s="35">
        <f>IFERROR(Tabela3[[#This Row],[Qtde Oleo]]*(VLOOKUP(Tabela3[[#This Row],[Data]],CompraOleo[],3,TRUE))*1.05,0)</f>
        <v>58.952667575665849</v>
      </c>
      <c r="AA880" s="47">
        <f ca="1">(Tabela3[[#This Row],[Custo Oleo]]+Tabela3[[#This Row],[Custo Aluminio]]+Tabela3[[#This Row],[Custo M.O. Total]]+Tabela3[[#This Row],[Custo Machos]])</f>
        <v>792.91739681177705</v>
      </c>
      <c r="AB880" s="47">
        <f ca="1">Tabela3[[#This Row],[Custo Total]]*Tabela3[[#This Row],[% Perda]]</f>
        <v>0</v>
      </c>
      <c r="AC880" s="48">
        <f>IFERROR(VLOOKUP(Tabela3[[#This Row],[Produto]],Tabela2[],2,0),0)</f>
        <v>4</v>
      </c>
      <c r="AD880" s="48">
        <f>IFERROR(VLOOKUP(Tabela3[[#This Row],[Produto]],Tabela2[],3,0),0)</f>
        <v>0.33200000000000002</v>
      </c>
      <c r="AE880" s="48">
        <f>IFERROR(VLOOKUP(Tabela3[[#This Row],[Produto]],Tabela2[],4,0),0)</f>
        <v>2.2999999999999998</v>
      </c>
      <c r="AF880" s="48">
        <f>IFERROR(VLOOKUP(Tabela3[[#This Row],[Produto]],Tabela2[],5,0),0)</f>
        <v>0.8747999999999998</v>
      </c>
      <c r="AG880" s="40">
        <f>IFERROR(VLOOKUP(Tabela3[[#This Row],[Produto]],Tabela2[],6,0),0)</f>
        <v>0</v>
      </c>
      <c r="AH880" s="40">
        <f>IFERROR(VLOOKUP(Tabela3[[#This Row],[Produto]],Tabela2[],7,0),0)</f>
        <v>0</v>
      </c>
      <c r="AI880" s="40">
        <f>IFERROR(VLOOKUP(Tabela3[[#This Row],[Produto]],Tabela2[],8,0),0)</f>
        <v>0</v>
      </c>
      <c r="AJ880" s="35">
        <f ca="1">IFERROR(VLOOKUP(Tabela3[[#This Row],[Produto]],Tabela2[],13,0),0)</f>
        <v>15.600000000000001</v>
      </c>
      <c r="AK880" s="40" t="str">
        <f>IFERROR(VLOOKUP(Tabela3[[#This Row],[Produto]],Tabela2[],14,0),0)</f>
        <v>Senun</v>
      </c>
      <c r="AL880" s="40">
        <f>IFERROR(VLOOKUP(Tabela3[[#This Row],[Produto]],Tabela2[],15,0),0)</f>
        <v>3.5</v>
      </c>
      <c r="AM880" s="36">
        <f ca="1">(Tabela3[[#This Row],[Custo Usinagem]]+Tabela3[[#This Row],[Custo / Pç]])*1.2</f>
        <v>15.01250995652423</v>
      </c>
      <c r="AN880" s="36">
        <f ca="1">Tabela3[[#This Row],[Valor Mínimo Venda]]*1.15</f>
        <v>17.264386450002863</v>
      </c>
      <c r="AO880" s="36">
        <f ca="1">Tabela3[[#This Row],[Tabela 1]]*1.08</f>
        <v>18.645537366003094</v>
      </c>
      <c r="AP880" s="36">
        <f ca="1">Tabela3[[#This Row],[Tabela 2]]*1.15</f>
        <v>21.442367970903558</v>
      </c>
    </row>
    <row r="881" spans="1:42">
      <c r="A881" s="9">
        <v>46038</v>
      </c>
      <c r="B881" s="6" t="s">
        <v>247</v>
      </c>
      <c r="C881" s="14">
        <v>8766</v>
      </c>
      <c r="D881" s="6" t="s">
        <v>46</v>
      </c>
      <c r="E881" s="6" t="s">
        <v>44</v>
      </c>
      <c r="F881" s="6">
        <v>74</v>
      </c>
      <c r="G881" s="15">
        <v>0.35069444444444442</v>
      </c>
      <c r="H881" s="16">
        <v>40</v>
      </c>
      <c r="I881" s="35">
        <f ca="1">IFERROR(Tabela3[[#This Row],[Custo Total]]/Tabela3[[#This Row],[Aluminio Util]],0)</f>
        <v>34.16013168925295</v>
      </c>
      <c r="J881" s="35">
        <f ca="1">Tabela3[[#This Row],[Custo Total]]/Tabela3[[#This Row],[Realizado]]</f>
        <v>10.248039506775884</v>
      </c>
      <c r="K881" s="37">
        <f>IFERROR(Tabela3[[#This Row],[Qtde Cx Produzida]]/Tabela3[[#This Row],[Tempo]]/24,0)</f>
        <v>8.7920792079207928</v>
      </c>
      <c r="L881" s="37">
        <f>Tabela3[[#This Row],[Qtde Cx Produzida]]*Tabela3[[#This Row],[Qdt Peça Placa]]</f>
        <v>296</v>
      </c>
      <c r="M881" s="37">
        <f>Tabela3[[#This Row],[Previsto]]-Tabela3[[#This Row],[Perda Pçs]]</f>
        <v>256</v>
      </c>
      <c r="N881" s="38">
        <f>IFERROR(Tabela3[[#This Row],[Perda Pçs]]/Tabela3[[#This Row],[Previsto]],0)</f>
        <v>0.13513513513513514</v>
      </c>
      <c r="O881" s="39">
        <f>IFERROR(IF(Tabela3[[#This Row],[Qtde Cx Produzida]] &lt;&gt; 0, Tabela3[[#This Row],[Tempo]] / Tabela3[[#This Row],[Qtde Cx Produzida]], 0),0)</f>
        <v>4.739114114114114E-3</v>
      </c>
      <c r="P881" s="57">
        <f>IFERROR(Tabela3[[#This Row],[Perda Pçs]]/Tabela3[[#This Row],[Qdt Peça Placa]],0)</f>
        <v>10</v>
      </c>
      <c r="Q881" s="37">
        <f>IFERROR(Tabela3[[#This Row],[Realizado]]*Tabela3[[#This Row],[Peso Util/Pç]],0)</f>
        <v>76.8</v>
      </c>
      <c r="R881" s="37">
        <f>IFERROR(Tabela3[[#This Row],[Peso Total Galho]]*Tabela3[[#This Row],[Qtde Cx Produzida]]*1.055,0)</f>
        <v>179.56099999999998</v>
      </c>
      <c r="S881" s="37">
        <f>(Tabela3[[#This Row],[Aluminio Bruto]]-Tabela3[[#This Row],[Aluminio Util]])*0.9</f>
        <v>92.484899999999982</v>
      </c>
      <c r="T881" s="37">
        <f>Tabela3[[#This Row],[Aluminio Bruto]]/OleoKGAluminio</f>
        <v>75.541080529857538</v>
      </c>
      <c r="U881" s="35">
        <f>IFERROR((VLOOKUP(Tabela3[[#This Row],[Moldador]],Tabela1[],5,)+(VLOOKUP(Tabela3[[#This Row],[Ajudante]],Tabela1[],5,))*3.5),0)</f>
        <v>126.0945</v>
      </c>
      <c r="V881" s="35">
        <f>IFERROR(Tabela3[[#This Row],[Custo M.O. / H]]/((Tabela3[[#This Row],[Realizado]]/Tabela3[[#This Row],[Qdt Peça Placa]])/Tabela3[[#This Row],[Tempo]]/24),)</f>
        <v>16.582740234374999</v>
      </c>
      <c r="W881" s="35">
        <f>Tabela3[[#This Row],[Custo / Cx Moldada]]*Tabela3[[#This Row],[Qtde Cx Produzida]]</f>
        <v>1227.1227773437499</v>
      </c>
      <c r="X881" s="35">
        <f ca="1">Tabela3[[#This Row],[Aluminio Util]]*Tabela3[[#This Row],[Custo/Kg]]</f>
        <v>1198.0800000000002</v>
      </c>
      <c r="Y881" s="35">
        <f>IFERROR(VLOOKUP(Tabela3[[#This Row],[Data]],Tabela461213[],2,1)*(Tabela3[[#This Row],[Qtde Cx Produzida]]*Tabela3[[#This Row],[Qde macho / CX]]*Tabela3[[#This Row],[Peso Macho]]),)</f>
        <v>0</v>
      </c>
      <c r="Z881" s="35">
        <f>IFERROR(Tabela3[[#This Row],[Qtde Oleo]]*(VLOOKUP(Tabela3[[#This Row],[Data]],CompraOleo[],3,TRUE))*1.05,0)</f>
        <v>198.29533639087606</v>
      </c>
      <c r="AA881" s="47">
        <f ca="1">(Tabela3[[#This Row],[Custo Oleo]]+Tabela3[[#This Row],[Custo Aluminio]]+Tabela3[[#This Row],[Custo M.O. Total]]+Tabela3[[#This Row],[Custo Machos]])</f>
        <v>2623.4981137346263</v>
      </c>
      <c r="AB881" s="47">
        <f ca="1">Tabela3[[#This Row],[Custo Total]]*Tabela3[[#This Row],[% Perda]]</f>
        <v>354.52677212630084</v>
      </c>
      <c r="AC881" s="48">
        <f>IFERROR(VLOOKUP(Tabela3[[#This Row],[Produto]],Tabela2[],2,0),0)</f>
        <v>4</v>
      </c>
      <c r="AD881" s="48">
        <f>IFERROR(VLOOKUP(Tabela3[[#This Row],[Produto]],Tabela2[],3,0),0)</f>
        <v>0.3</v>
      </c>
      <c r="AE881" s="48">
        <f>IFERROR(VLOOKUP(Tabela3[[#This Row],[Produto]],Tabela2[],4,0),0)</f>
        <v>2.2999999999999998</v>
      </c>
      <c r="AF881" s="48">
        <f>IFERROR(VLOOKUP(Tabela3[[#This Row],[Produto]],Tabela2[],5,0),0)</f>
        <v>0.98999999999999988</v>
      </c>
      <c r="AG881" s="40">
        <f>IFERROR(VLOOKUP(Tabela3[[#This Row],[Produto]],Tabela2[],6,0),0)</f>
        <v>0</v>
      </c>
      <c r="AH881" s="40">
        <f>IFERROR(VLOOKUP(Tabela3[[#This Row],[Produto]],Tabela2[],7,0),0)</f>
        <v>0</v>
      </c>
      <c r="AI881" s="40">
        <f>IFERROR(VLOOKUP(Tabela3[[#This Row],[Produto]],Tabela2[],8,0),0)</f>
        <v>0</v>
      </c>
      <c r="AJ881" s="35">
        <f ca="1">IFERROR(VLOOKUP(Tabela3[[#This Row],[Produto]],Tabela2[],13,0),0)</f>
        <v>15.600000000000001</v>
      </c>
      <c r="AK881" s="40" t="str">
        <f>IFERROR(VLOOKUP(Tabela3[[#This Row],[Produto]],Tabela2[],14,0),0)</f>
        <v>Senun</v>
      </c>
      <c r="AL881" s="40">
        <f>IFERROR(VLOOKUP(Tabela3[[#This Row],[Produto]],Tabela2[],15,0),0)</f>
        <v>3.5</v>
      </c>
      <c r="AM881" s="36">
        <f ca="1">(Tabela3[[#This Row],[Custo Usinagem]]+Tabela3[[#This Row],[Custo / Pç]])*1.2</f>
        <v>16.497647408131058</v>
      </c>
      <c r="AN881" s="36">
        <f ca="1">Tabela3[[#This Row],[Valor Mínimo Venda]]*1.15</f>
        <v>18.972294519350715</v>
      </c>
      <c r="AO881" s="36">
        <f ca="1">Tabela3[[#This Row],[Tabela 1]]*1.08</f>
        <v>20.490078080898773</v>
      </c>
      <c r="AP881" s="36">
        <f ca="1">Tabela3[[#This Row],[Tabela 2]]*1.15</f>
        <v>23.563589793033586</v>
      </c>
    </row>
    <row r="882" spans="1:42">
      <c r="A882" s="9">
        <v>46039</v>
      </c>
      <c r="B882" s="6" t="s">
        <v>257</v>
      </c>
      <c r="C882" s="14">
        <v>8768</v>
      </c>
      <c r="D882" s="6" t="s">
        <v>46</v>
      </c>
      <c r="E882" s="6" t="s">
        <v>44</v>
      </c>
      <c r="F882" s="6">
        <v>60</v>
      </c>
      <c r="G882" s="15">
        <v>0.25208333333333333</v>
      </c>
      <c r="H882" s="16">
        <v>0</v>
      </c>
      <c r="I882" s="35">
        <f ca="1">IFERROR(Tabela3[[#This Row],[Custo Total]]/Tabela3[[#This Row],[Aluminio Util]],0)</f>
        <v>30.877688209811559</v>
      </c>
      <c r="J882" s="35">
        <f ca="1">Tabela3[[#This Row],[Custo Total]]/Tabela3[[#This Row],[Realizado]]</f>
        <v>3.8597110262264449</v>
      </c>
      <c r="K882" s="37">
        <f>IFERROR(Tabela3[[#This Row],[Qtde Cx Produzida]]/Tabela3[[#This Row],[Tempo]]/24,0)</f>
        <v>9.9173553719008272</v>
      </c>
      <c r="L882" s="37">
        <f>Tabela3[[#This Row],[Qtde Cx Produzida]]*Tabela3[[#This Row],[Qdt Peça Placa]]</f>
        <v>480</v>
      </c>
      <c r="M882" s="37">
        <f>Tabela3[[#This Row],[Previsto]]-Tabela3[[#This Row],[Perda Pçs]]</f>
        <v>480</v>
      </c>
      <c r="N882" s="38">
        <f>IFERROR(Tabela3[[#This Row],[Perda Pçs]]/Tabela3[[#This Row],[Previsto]],0)</f>
        <v>0</v>
      </c>
      <c r="O882" s="39">
        <f>IFERROR(IF(Tabela3[[#This Row],[Qtde Cx Produzida]] &lt;&gt; 0, Tabela3[[#This Row],[Tempo]] / Tabela3[[#This Row],[Qtde Cx Produzida]], 0),0)</f>
        <v>4.2013888888888891E-3</v>
      </c>
      <c r="P882" s="57">
        <f>IFERROR(Tabela3[[#This Row],[Perda Pçs]]/Tabela3[[#This Row],[Qdt Peça Placa]],0)</f>
        <v>0</v>
      </c>
      <c r="Q882" s="37">
        <f>IFERROR(Tabela3[[#This Row],[Realizado]]*Tabela3[[#This Row],[Peso Util/Pç]],0)</f>
        <v>60</v>
      </c>
      <c r="R882" s="37">
        <f>IFERROR(Tabela3[[#This Row],[Peso Total Galho]]*Tabela3[[#This Row],[Qtde Cx Produzida]]*1.055,0)</f>
        <v>139.26</v>
      </c>
      <c r="S882" s="37">
        <f>(Tabela3[[#This Row],[Aluminio Bruto]]-Tabela3[[#This Row],[Aluminio Util]])*0.9</f>
        <v>71.333999999999989</v>
      </c>
      <c r="T882" s="37">
        <f>Tabela3[[#This Row],[Aluminio Bruto]]/OleoKGAluminio</f>
        <v>58.586501938549922</v>
      </c>
      <c r="U882" s="35">
        <f>IFERROR((VLOOKUP(Tabela3[[#This Row],[Moldador]],Tabela1[],5,)+(VLOOKUP(Tabela3[[#This Row],[Ajudante]],Tabela1[],5,))*3.5),0)</f>
        <v>126.0945</v>
      </c>
      <c r="V882" s="35">
        <f>IFERROR(Tabela3[[#This Row],[Custo M.O. / H]]/((Tabela3[[#This Row],[Realizado]]/Tabela3[[#This Row],[Qdt Peça Placa]])/Tabela3[[#This Row],[Tempo]]/24),)</f>
        <v>12.714528749999999</v>
      </c>
      <c r="W882" s="35">
        <f>Tabela3[[#This Row],[Custo / Cx Moldada]]*Tabela3[[#This Row],[Qtde Cx Produzida]]</f>
        <v>762.87172499999997</v>
      </c>
      <c r="X882" s="35">
        <f ca="1">Tabela3[[#This Row],[Aluminio Util]]*Tabela3[[#This Row],[Custo/Kg]]</f>
        <v>936.00000000000011</v>
      </c>
      <c r="Y882" s="35">
        <f>IFERROR(VLOOKUP(Tabela3[[#This Row],[Data]],Tabela461213[],2,1)*(Tabela3[[#This Row],[Qtde Cx Produzida]]*Tabela3[[#This Row],[Qde macho / CX]]*Tabela3[[#This Row],[Peso Macho]]),)</f>
        <v>0</v>
      </c>
      <c r="Z882" s="35">
        <f>IFERROR(Tabela3[[#This Row],[Qtde Oleo]]*(VLOOKUP(Tabela3[[#This Row],[Data]],CompraOleo[],3,TRUE))*1.05,0)</f>
        <v>153.78956758869353</v>
      </c>
      <c r="AA882" s="47">
        <f ca="1">(Tabela3[[#This Row],[Custo Oleo]]+Tabela3[[#This Row],[Custo Aluminio]]+Tabela3[[#This Row],[Custo M.O. Total]]+Tabela3[[#This Row],[Custo Machos]])</f>
        <v>1852.6612925886936</v>
      </c>
      <c r="AB882" s="47">
        <f ca="1">Tabela3[[#This Row],[Custo Total]]*Tabela3[[#This Row],[% Perda]]</f>
        <v>0</v>
      </c>
      <c r="AC882" s="48">
        <f>IFERROR(VLOOKUP(Tabela3[[#This Row],[Produto]],Tabela2[],2,0),0)</f>
        <v>8</v>
      </c>
      <c r="AD882" s="48">
        <f>IFERROR(VLOOKUP(Tabela3[[#This Row],[Produto]],Tabela2[],3,0),0)</f>
        <v>0.125</v>
      </c>
      <c r="AE882" s="48">
        <f>IFERROR(VLOOKUP(Tabela3[[#This Row],[Produto]],Tabela2[],4,0),0)</f>
        <v>2.2000000000000002</v>
      </c>
      <c r="AF882" s="48">
        <f>IFERROR(VLOOKUP(Tabela3[[#This Row],[Produto]],Tabela2[],5,0),0)</f>
        <v>1.0800000000000003</v>
      </c>
      <c r="AG882" s="40">
        <f>IFERROR(VLOOKUP(Tabela3[[#This Row],[Produto]],Tabela2[],6,0),0)</f>
        <v>0</v>
      </c>
      <c r="AH882" s="40">
        <f>IFERROR(VLOOKUP(Tabela3[[#This Row],[Produto]],Tabela2[],7,0),0)</f>
        <v>0</v>
      </c>
      <c r="AI882" s="40">
        <f>IFERROR(VLOOKUP(Tabela3[[#This Row],[Produto]],Tabela2[],8,0),0)</f>
        <v>0</v>
      </c>
      <c r="AJ882" s="35">
        <f ca="1">IFERROR(VLOOKUP(Tabela3[[#This Row],[Produto]],Tabela2[],13,0),0)</f>
        <v>15.600000000000001</v>
      </c>
      <c r="AK882" s="40" t="str">
        <f>IFERROR(VLOOKUP(Tabela3[[#This Row],[Produto]],Tabela2[],14,0),0)</f>
        <v>Senun</v>
      </c>
      <c r="AL882" s="40">
        <f>IFERROR(VLOOKUP(Tabela3[[#This Row],[Produto]],Tabela2[],15,0),0)</f>
        <v>7</v>
      </c>
      <c r="AM882" s="36">
        <f ca="1">(Tabela3[[#This Row],[Custo Usinagem]]+Tabela3[[#This Row],[Custo / Pç]])*1.2</f>
        <v>13.031653231471735</v>
      </c>
      <c r="AN882" s="36">
        <f ca="1">Tabela3[[#This Row],[Valor Mínimo Venda]]*1.15</f>
        <v>14.986401216192494</v>
      </c>
      <c r="AO882" s="36">
        <f ca="1">Tabela3[[#This Row],[Tabela 1]]*1.08</f>
        <v>16.185313313487896</v>
      </c>
      <c r="AP882" s="36">
        <f ca="1">Tabela3[[#This Row],[Tabela 2]]*1.15</f>
        <v>18.613110310511079</v>
      </c>
    </row>
    <row r="883" spans="1:42">
      <c r="A883" s="9">
        <v>46041</v>
      </c>
      <c r="B883" s="6" t="s">
        <v>111</v>
      </c>
      <c r="C883" s="14">
        <v>8868</v>
      </c>
      <c r="D883" s="6" t="s">
        <v>44</v>
      </c>
      <c r="E883" s="6" t="s">
        <v>47</v>
      </c>
      <c r="F883" s="6">
        <v>3</v>
      </c>
      <c r="G883" s="15">
        <v>1.6666666666666666E-2</v>
      </c>
      <c r="H883" s="16">
        <v>0</v>
      </c>
      <c r="I883" s="35">
        <f ca="1">IFERROR(Tabela3[[#This Row],[Custo Total]]/Tabela3[[#This Row],[Aluminio Util]],0)</f>
        <v>24.495493763976921</v>
      </c>
      <c r="J883" s="35">
        <f ca="1">Tabela3[[#This Row],[Custo Total]]/Tabela3[[#This Row],[Realizado]]</f>
        <v>47.766212839754992</v>
      </c>
      <c r="K883" s="37">
        <f>IFERROR(Tabela3[[#This Row],[Qtde Cx Produzida]]/Tabela3[[#This Row],[Tempo]]/24,0)</f>
        <v>7.5</v>
      </c>
      <c r="L883" s="37">
        <f>Tabela3[[#This Row],[Qtde Cx Produzida]]*Tabela3[[#This Row],[Qdt Peça Placa]]</f>
        <v>3</v>
      </c>
      <c r="M883" s="37">
        <f>Tabela3[[#This Row],[Previsto]]-Tabela3[[#This Row],[Perda Pçs]]</f>
        <v>3</v>
      </c>
      <c r="N883" s="38">
        <f>IFERROR(Tabela3[[#This Row],[Perda Pçs]]/Tabela3[[#This Row],[Previsto]],0)</f>
        <v>0</v>
      </c>
      <c r="O883" s="39">
        <f>IFERROR(IF(Tabela3[[#This Row],[Qtde Cx Produzida]] &lt;&gt; 0, Tabela3[[#This Row],[Tempo]] / Tabela3[[#This Row],[Qtde Cx Produzida]], 0),0)</f>
        <v>5.5555555555555558E-3</v>
      </c>
      <c r="P883" s="57">
        <f>IFERROR(Tabela3[[#This Row],[Perda Pçs]]/Tabela3[[#This Row],[Qdt Peça Placa]],0)</f>
        <v>0</v>
      </c>
      <c r="Q883" s="37">
        <f>IFERROR(Tabela3[[#This Row],[Realizado]]*Tabela3[[#This Row],[Peso Util/Pç]],0)</f>
        <v>5.85</v>
      </c>
      <c r="R883" s="37">
        <f>IFERROR(Tabela3[[#This Row],[Peso Total Galho]]*Tabela3[[#This Row],[Qtde Cx Produzida]]*1.055,0)</f>
        <v>10.919250000000002</v>
      </c>
      <c r="S883" s="37">
        <f>(Tabela3[[#This Row],[Aluminio Bruto]]-Tabela3[[#This Row],[Aluminio Util]])*0.9</f>
        <v>4.5623250000000022</v>
      </c>
      <c r="T883" s="37">
        <f>Tabela3[[#This Row],[Aluminio Bruto]]/OleoKGAluminio</f>
        <v>4.5937143565453926</v>
      </c>
      <c r="U883" s="35">
        <f>IFERROR((VLOOKUP(Tabela3[[#This Row],[Moldador]],Tabela1[],5,)+(VLOOKUP(Tabela3[[#This Row],[Ajudante]],Tabela1[],5,))*3.5),0)</f>
        <v>99.95034583333333</v>
      </c>
      <c r="V883" s="35">
        <f>IFERROR(Tabela3[[#This Row],[Custo M.O. / H]]/((Tabela3[[#This Row],[Realizado]]/Tabela3[[#This Row],[Qdt Peça Placa]])/Tabela3[[#This Row],[Tempo]]/24),)</f>
        <v>13.326712777777777</v>
      </c>
      <c r="W883" s="35">
        <f>Tabela3[[#This Row],[Custo / Cx Moldada]]*Tabela3[[#This Row],[Qtde Cx Produzida]]</f>
        <v>39.980138333333329</v>
      </c>
      <c r="X883" s="35">
        <f ca="1">Tabela3[[#This Row],[Aluminio Util]]*Tabela3[[#This Row],[Custo/Kg]]</f>
        <v>91.26</v>
      </c>
      <c r="Y883" s="35">
        <f>IFERROR(VLOOKUP(Tabela3[[#This Row],[Data]],Tabela461213[],2,1)*(Tabela3[[#This Row],[Qtde Cx Produzida]]*Tabela3[[#This Row],[Qde macho / CX]]*Tabela3[[#This Row],[Peso Macho]]),)</f>
        <v>0</v>
      </c>
      <c r="Z883" s="35">
        <f>IFERROR(Tabela3[[#This Row],[Qtde Oleo]]*(VLOOKUP(Tabela3[[#This Row],[Data]],CompraOleo[],3,TRUE))*1.05,0)</f>
        <v>12.058500185931655</v>
      </c>
      <c r="AA883" s="47">
        <f ca="1">(Tabela3[[#This Row],[Custo Oleo]]+Tabela3[[#This Row],[Custo Aluminio]]+Tabela3[[#This Row],[Custo M.O. Total]]+Tabela3[[#This Row],[Custo Machos]])</f>
        <v>143.29863851926498</v>
      </c>
      <c r="AB883" s="47">
        <f ca="1">Tabela3[[#This Row],[Custo Total]]*Tabela3[[#This Row],[% Perda]]</f>
        <v>0</v>
      </c>
      <c r="AC883" s="48">
        <f>IFERROR(VLOOKUP(Tabela3[[#This Row],[Produto]],Tabela2[],2,0),0)</f>
        <v>1</v>
      </c>
      <c r="AD883" s="48">
        <f>IFERROR(VLOOKUP(Tabela3[[#This Row],[Produto]],Tabela2[],3,0),0)</f>
        <v>1.95</v>
      </c>
      <c r="AE883" s="48">
        <f>IFERROR(VLOOKUP(Tabela3[[#This Row],[Produto]],Tabela2[],4,0),0)</f>
        <v>3.45</v>
      </c>
      <c r="AF883" s="48">
        <f>IFERROR(VLOOKUP(Tabela3[[#This Row],[Produto]],Tabela2[],5,0),0)</f>
        <v>1.3500000000000003</v>
      </c>
      <c r="AG883" s="40">
        <f>IFERROR(VLOOKUP(Tabela3[[#This Row],[Produto]],Tabela2[],6,0),0)</f>
        <v>0</v>
      </c>
      <c r="AH883" s="40">
        <f>IFERROR(VLOOKUP(Tabela3[[#This Row],[Produto]],Tabela2[],7,0),0)</f>
        <v>0</v>
      </c>
      <c r="AI883" s="40">
        <f>IFERROR(VLOOKUP(Tabela3[[#This Row],[Produto]],Tabela2[],8,0),0)</f>
        <v>0</v>
      </c>
      <c r="AJ883" s="35">
        <f ca="1">IFERROR(VLOOKUP(Tabela3[[#This Row],[Produto]],Tabela2[],13,0),0)</f>
        <v>15.600000000000001</v>
      </c>
      <c r="AK883" s="40" t="str">
        <f>IFERROR(VLOOKUP(Tabela3[[#This Row],[Produto]],Tabela2[],14,0),0)</f>
        <v>Jumil</v>
      </c>
      <c r="AL883" s="40">
        <f>IFERROR(VLOOKUP(Tabela3[[#This Row],[Produto]],Tabela2[],15,0),0)</f>
        <v>1</v>
      </c>
      <c r="AM883" s="36">
        <f ca="1">(Tabela3[[#This Row],[Custo Usinagem]]+Tabela3[[#This Row],[Custo / Pç]])*1.2</f>
        <v>58.519455407705991</v>
      </c>
      <c r="AN883" s="36">
        <f ca="1">Tabela3[[#This Row],[Valor Mínimo Venda]]*1.15</f>
        <v>67.297373718861877</v>
      </c>
      <c r="AO883" s="36">
        <f ca="1">Tabela3[[#This Row],[Tabela 1]]*1.08</f>
        <v>72.681163616370839</v>
      </c>
      <c r="AP883" s="36">
        <f ca="1">Tabela3[[#This Row],[Tabela 2]]*1.15</f>
        <v>83.583338158826464</v>
      </c>
    </row>
    <row r="884" spans="1:42">
      <c r="A884" s="9">
        <v>46041</v>
      </c>
      <c r="B884" s="6" t="s">
        <v>111</v>
      </c>
      <c r="C884" s="14">
        <v>8868</v>
      </c>
      <c r="D884" s="6" t="s">
        <v>46</v>
      </c>
      <c r="E884" s="6" t="s">
        <v>44</v>
      </c>
      <c r="F884" s="6">
        <v>7</v>
      </c>
      <c r="G884" s="15">
        <v>3.9583333333333331E-2</v>
      </c>
      <c r="H884" s="16">
        <v>1</v>
      </c>
      <c r="I884" s="35">
        <f ca="1">IFERROR(Tabela3[[#This Row],[Custo Total]]/Tabela3[[#This Row],[Aluminio Util]],0)</f>
        <v>29.949678455883809</v>
      </c>
      <c r="J884" s="35">
        <f ca="1">Tabela3[[#This Row],[Custo Total]]/Tabela3[[#This Row],[Realizado]]</f>
        <v>58.401872988973423</v>
      </c>
      <c r="K884" s="37">
        <f>IFERROR(Tabela3[[#This Row],[Qtde Cx Produzida]]/Tabela3[[#This Row],[Tempo]]/24,0)</f>
        <v>7.3684210526315788</v>
      </c>
      <c r="L884" s="37">
        <f>Tabela3[[#This Row],[Qtde Cx Produzida]]*Tabela3[[#This Row],[Qdt Peça Placa]]</f>
        <v>7</v>
      </c>
      <c r="M884" s="37">
        <f>Tabela3[[#This Row],[Previsto]]-Tabela3[[#This Row],[Perda Pçs]]</f>
        <v>6</v>
      </c>
      <c r="N884" s="38">
        <f>IFERROR(Tabela3[[#This Row],[Perda Pçs]]/Tabela3[[#This Row],[Previsto]],0)</f>
        <v>0.14285714285714285</v>
      </c>
      <c r="O884" s="39">
        <f>IFERROR(IF(Tabela3[[#This Row],[Qtde Cx Produzida]] &lt;&gt; 0, Tabela3[[#This Row],[Tempo]] / Tabela3[[#This Row],[Qtde Cx Produzida]], 0),0)</f>
        <v>5.6547619047619046E-3</v>
      </c>
      <c r="P884" s="57">
        <f>IFERROR(Tabela3[[#This Row],[Perda Pçs]]/Tabela3[[#This Row],[Qdt Peça Placa]],0)</f>
        <v>1</v>
      </c>
      <c r="Q884" s="37">
        <f>IFERROR(Tabela3[[#This Row],[Realizado]]*Tabela3[[#This Row],[Peso Util/Pç]],0)</f>
        <v>11.7</v>
      </c>
      <c r="R884" s="37">
        <f>IFERROR(Tabela3[[#This Row],[Peso Total Galho]]*Tabela3[[#This Row],[Qtde Cx Produzida]]*1.055,0)</f>
        <v>25.478249999999999</v>
      </c>
      <c r="S884" s="37">
        <f>(Tabela3[[#This Row],[Aluminio Bruto]]-Tabela3[[#This Row],[Aluminio Util]])*0.9</f>
        <v>12.400425</v>
      </c>
      <c r="T884" s="37">
        <f>Tabela3[[#This Row],[Aluminio Bruto]]/OleoKGAluminio</f>
        <v>10.718666831939247</v>
      </c>
      <c r="U884" s="35">
        <f>IFERROR((VLOOKUP(Tabela3[[#This Row],[Moldador]],Tabela1[],5,)+(VLOOKUP(Tabela3[[#This Row],[Ajudante]],Tabela1[],5,))*3.5),0)</f>
        <v>126.0945</v>
      </c>
      <c r="V884" s="35">
        <f>IFERROR(Tabela3[[#This Row],[Custo M.O. / H]]/((Tabela3[[#This Row],[Realizado]]/Tabela3[[#This Row],[Qdt Peça Placa]])/Tabela3[[#This Row],[Tempo]]/24),)</f>
        <v>19.964962499999995</v>
      </c>
      <c r="W884" s="35">
        <f>Tabela3[[#This Row],[Custo / Cx Moldada]]*Tabela3[[#This Row],[Qtde Cx Produzida]]</f>
        <v>139.75473749999998</v>
      </c>
      <c r="X884" s="35">
        <f ca="1">Tabela3[[#This Row],[Aluminio Util]]*Tabela3[[#This Row],[Custo/Kg]]</f>
        <v>182.52</v>
      </c>
      <c r="Y884" s="35">
        <f>IFERROR(VLOOKUP(Tabela3[[#This Row],[Data]],Tabela461213[],2,1)*(Tabela3[[#This Row],[Qtde Cx Produzida]]*Tabela3[[#This Row],[Qde macho / CX]]*Tabela3[[#This Row],[Peso Macho]]),)</f>
        <v>0</v>
      </c>
      <c r="Z884" s="35">
        <f>IFERROR(Tabela3[[#This Row],[Qtde Oleo]]*(VLOOKUP(Tabela3[[#This Row],[Data]],CompraOleo[],3,TRUE))*1.05,0)</f>
        <v>28.136500433840524</v>
      </c>
      <c r="AA884" s="47">
        <f ca="1">(Tabela3[[#This Row],[Custo Oleo]]+Tabela3[[#This Row],[Custo Aluminio]]+Tabela3[[#This Row],[Custo M.O. Total]]+Tabela3[[#This Row],[Custo Machos]])</f>
        <v>350.41123793384054</v>
      </c>
      <c r="AB884" s="47">
        <f ca="1">Tabela3[[#This Row],[Custo Total]]*Tabela3[[#This Row],[% Perda]]</f>
        <v>50.058748276262932</v>
      </c>
      <c r="AC884" s="48">
        <f>IFERROR(VLOOKUP(Tabela3[[#This Row],[Produto]],Tabela2[],2,0),0)</f>
        <v>1</v>
      </c>
      <c r="AD884" s="48">
        <f>IFERROR(VLOOKUP(Tabela3[[#This Row],[Produto]],Tabela2[],3,0),0)</f>
        <v>1.95</v>
      </c>
      <c r="AE884" s="48">
        <f>IFERROR(VLOOKUP(Tabela3[[#This Row],[Produto]],Tabela2[],4,0),0)</f>
        <v>3.45</v>
      </c>
      <c r="AF884" s="48">
        <f>IFERROR(VLOOKUP(Tabela3[[#This Row],[Produto]],Tabela2[],5,0),0)</f>
        <v>1.3500000000000003</v>
      </c>
      <c r="AG884" s="40">
        <f>IFERROR(VLOOKUP(Tabela3[[#This Row],[Produto]],Tabela2[],6,0),0)</f>
        <v>0</v>
      </c>
      <c r="AH884" s="40">
        <f>IFERROR(VLOOKUP(Tabela3[[#This Row],[Produto]],Tabela2[],7,0),0)</f>
        <v>0</v>
      </c>
      <c r="AI884" s="40">
        <f>IFERROR(VLOOKUP(Tabela3[[#This Row],[Produto]],Tabela2[],8,0),0)</f>
        <v>0</v>
      </c>
      <c r="AJ884" s="35">
        <f ca="1">IFERROR(VLOOKUP(Tabela3[[#This Row],[Produto]],Tabela2[],13,0),0)</f>
        <v>15.600000000000001</v>
      </c>
      <c r="AK884" s="40" t="str">
        <f>IFERROR(VLOOKUP(Tabela3[[#This Row],[Produto]],Tabela2[],14,0),0)</f>
        <v>Jumil</v>
      </c>
      <c r="AL884" s="40">
        <f>IFERROR(VLOOKUP(Tabela3[[#This Row],[Produto]],Tabela2[],15,0),0)</f>
        <v>1</v>
      </c>
      <c r="AM884" s="36">
        <f ca="1">(Tabela3[[#This Row],[Custo Usinagem]]+Tabela3[[#This Row],[Custo / Pç]])*1.2</f>
        <v>71.282247586768108</v>
      </c>
      <c r="AN884" s="36">
        <f ca="1">Tabela3[[#This Row],[Valor Mínimo Venda]]*1.15</f>
        <v>81.974584724783313</v>
      </c>
      <c r="AO884" s="36">
        <f ca="1">Tabela3[[#This Row],[Tabela 1]]*1.08</f>
        <v>88.532551502765983</v>
      </c>
      <c r="AP884" s="36">
        <f ca="1">Tabela3[[#This Row],[Tabela 2]]*1.15</f>
        <v>101.81243422818088</v>
      </c>
    </row>
    <row r="885" spans="1:42">
      <c r="A885" s="9">
        <v>46041</v>
      </c>
      <c r="B885" s="6" t="s">
        <v>247</v>
      </c>
      <c r="C885" s="14">
        <v>8766</v>
      </c>
      <c r="D885" s="6" t="s">
        <v>46</v>
      </c>
      <c r="E885" s="6" t="s">
        <v>44</v>
      </c>
      <c r="F885" s="6">
        <v>36</v>
      </c>
      <c r="G885" s="15">
        <v>0.15902777777777777</v>
      </c>
      <c r="H885" s="16">
        <v>0</v>
      </c>
      <c r="I885" s="35">
        <f ca="1">IFERROR(Tabela3[[#This Row],[Custo Total]]/Tabela3[[#This Row],[Aluminio Util]],0)</f>
        <v>28.973348992765118</v>
      </c>
      <c r="J885" s="35">
        <f ca="1">Tabela3[[#This Row],[Custo Total]]/Tabela3[[#This Row],[Realizado]]</f>
        <v>8.6920046978295353</v>
      </c>
      <c r="K885" s="37">
        <f>IFERROR(Tabela3[[#This Row],[Qtde Cx Produzida]]/Tabela3[[#This Row],[Tempo]]/24,0)</f>
        <v>9.43231441048035</v>
      </c>
      <c r="L885" s="37">
        <f>Tabela3[[#This Row],[Qtde Cx Produzida]]*Tabela3[[#This Row],[Qdt Peça Placa]]</f>
        <v>144</v>
      </c>
      <c r="M885" s="37">
        <f>Tabela3[[#This Row],[Previsto]]-Tabela3[[#This Row],[Perda Pçs]]</f>
        <v>144</v>
      </c>
      <c r="N885" s="38">
        <f>IFERROR(Tabela3[[#This Row],[Perda Pçs]]/Tabela3[[#This Row],[Previsto]],0)</f>
        <v>0</v>
      </c>
      <c r="O885" s="39">
        <f>IFERROR(IF(Tabela3[[#This Row],[Qtde Cx Produzida]] &lt;&gt; 0, Tabela3[[#This Row],[Tempo]] / Tabela3[[#This Row],[Qtde Cx Produzida]], 0),0)</f>
        <v>4.4174382716049383E-3</v>
      </c>
      <c r="P885" s="57">
        <f>IFERROR(Tabela3[[#This Row],[Perda Pçs]]/Tabela3[[#This Row],[Qdt Peça Placa]],0)</f>
        <v>0</v>
      </c>
      <c r="Q885" s="37">
        <f>IFERROR(Tabela3[[#This Row],[Realizado]]*Tabela3[[#This Row],[Peso Util/Pç]],0)</f>
        <v>43.199999999999996</v>
      </c>
      <c r="R885" s="37">
        <f>IFERROR(Tabela3[[#This Row],[Peso Total Galho]]*Tabela3[[#This Row],[Qtde Cx Produzida]]*1.055,0)</f>
        <v>87.353999999999985</v>
      </c>
      <c r="S885" s="37">
        <f>(Tabela3[[#This Row],[Aluminio Bruto]]-Tabela3[[#This Row],[Aluminio Util]])*0.9</f>
        <v>39.738599999999991</v>
      </c>
      <c r="T885" s="37">
        <f>Tabela3[[#This Row],[Aluminio Bruto]]/OleoKGAluminio</f>
        <v>36.749714852363127</v>
      </c>
      <c r="U885" s="35">
        <f>IFERROR((VLOOKUP(Tabela3[[#This Row],[Moldador]],Tabela1[],5,)+(VLOOKUP(Tabela3[[#This Row],[Ajudante]],Tabela1[],5,))*3.5),0)</f>
        <v>126.0945</v>
      </c>
      <c r="V885" s="35">
        <f>IFERROR(Tabela3[[#This Row],[Custo M.O. / H]]/((Tabela3[[#This Row],[Realizado]]/Tabela3[[#This Row],[Qdt Peça Placa]])/Tabela3[[#This Row],[Tempo]]/24),)</f>
        <v>13.368352083333331</v>
      </c>
      <c r="W885" s="35">
        <f>Tabela3[[#This Row],[Custo / Cx Moldada]]*Tabela3[[#This Row],[Qtde Cx Produzida]]</f>
        <v>481.26067499999994</v>
      </c>
      <c r="X885" s="35">
        <f ca="1">Tabela3[[#This Row],[Aluminio Util]]*Tabela3[[#This Row],[Custo/Kg]]</f>
        <v>673.92</v>
      </c>
      <c r="Y885" s="35">
        <f>IFERROR(VLOOKUP(Tabela3[[#This Row],[Data]],Tabela461213[],2,1)*(Tabela3[[#This Row],[Qtde Cx Produzida]]*Tabela3[[#This Row],[Qde macho / CX]]*Tabela3[[#This Row],[Peso Macho]]),)</f>
        <v>0</v>
      </c>
      <c r="Z885" s="35">
        <f>IFERROR(Tabela3[[#This Row],[Qtde Oleo]]*(VLOOKUP(Tabela3[[#This Row],[Data]],CompraOleo[],3,TRUE))*1.05,0)</f>
        <v>96.468001487453208</v>
      </c>
      <c r="AA885" s="47">
        <f ca="1">(Tabela3[[#This Row],[Custo Oleo]]+Tabela3[[#This Row],[Custo Aluminio]]+Tabela3[[#This Row],[Custo M.O. Total]]+Tabela3[[#This Row],[Custo Machos]])</f>
        <v>1251.648676487453</v>
      </c>
      <c r="AB885" s="47">
        <f ca="1">Tabela3[[#This Row],[Custo Total]]*Tabela3[[#This Row],[% Perda]]</f>
        <v>0</v>
      </c>
      <c r="AC885" s="48">
        <f>IFERROR(VLOOKUP(Tabela3[[#This Row],[Produto]],Tabela2[],2,0),0)</f>
        <v>4</v>
      </c>
      <c r="AD885" s="48">
        <f>IFERROR(VLOOKUP(Tabela3[[#This Row],[Produto]],Tabela2[],3,0),0)</f>
        <v>0.3</v>
      </c>
      <c r="AE885" s="48">
        <f>IFERROR(VLOOKUP(Tabela3[[#This Row],[Produto]],Tabela2[],4,0),0)</f>
        <v>2.2999999999999998</v>
      </c>
      <c r="AF885" s="48">
        <f>IFERROR(VLOOKUP(Tabela3[[#This Row],[Produto]],Tabela2[],5,0),0)</f>
        <v>0.98999999999999988</v>
      </c>
      <c r="AG885" s="40">
        <f>IFERROR(VLOOKUP(Tabela3[[#This Row],[Produto]],Tabela2[],6,0),0)</f>
        <v>0</v>
      </c>
      <c r="AH885" s="40">
        <f>IFERROR(VLOOKUP(Tabela3[[#This Row],[Produto]],Tabela2[],7,0),0)</f>
        <v>0</v>
      </c>
      <c r="AI885" s="40">
        <f>IFERROR(VLOOKUP(Tabela3[[#This Row],[Produto]],Tabela2[],8,0),0)</f>
        <v>0</v>
      </c>
      <c r="AJ885" s="35">
        <f ca="1">IFERROR(VLOOKUP(Tabela3[[#This Row],[Produto]],Tabela2[],13,0),0)</f>
        <v>15.600000000000001</v>
      </c>
      <c r="AK885" s="40" t="str">
        <f>IFERROR(VLOOKUP(Tabela3[[#This Row],[Produto]],Tabela2[],14,0),0)</f>
        <v>Senun</v>
      </c>
      <c r="AL885" s="40">
        <f>IFERROR(VLOOKUP(Tabela3[[#This Row],[Produto]],Tabela2[],15,0),0)</f>
        <v>3.5</v>
      </c>
      <c r="AM885" s="36">
        <f ca="1">(Tabela3[[#This Row],[Custo Usinagem]]+Tabela3[[#This Row],[Custo / Pç]])*1.2</f>
        <v>14.630405637395441</v>
      </c>
      <c r="AN885" s="36">
        <f ca="1">Tabela3[[#This Row],[Valor Mínimo Venda]]*1.15</f>
        <v>16.824966483004754</v>
      </c>
      <c r="AO885" s="36">
        <f ca="1">Tabela3[[#This Row],[Tabela 1]]*1.08</f>
        <v>18.170963801645136</v>
      </c>
      <c r="AP885" s="36">
        <f ca="1">Tabela3[[#This Row],[Tabela 2]]*1.15</f>
        <v>20.896608371891904</v>
      </c>
    </row>
    <row r="886" spans="1:42">
      <c r="A886" s="9">
        <v>46041</v>
      </c>
      <c r="B886" s="6" t="s">
        <v>245</v>
      </c>
      <c r="C886" s="14">
        <v>8806</v>
      </c>
      <c r="D886" s="6" t="s">
        <v>46</v>
      </c>
      <c r="E886" s="6" t="s">
        <v>44</v>
      </c>
      <c r="F886" s="6">
        <v>29</v>
      </c>
      <c r="G886" s="15">
        <v>0.12777777777777777</v>
      </c>
      <c r="H886" s="16">
        <v>0</v>
      </c>
      <c r="I886" s="35">
        <f ca="1">IFERROR(Tabela3[[#This Row],[Custo Total]]/Tabela3[[#This Row],[Aluminio Util]],0)</f>
        <v>27.658582637400279</v>
      </c>
      <c r="J886" s="35">
        <f ca="1">Tabela3[[#This Row],[Custo Total]]/Tabela3[[#This Row],[Realizado]]</f>
        <v>9.1826494356168933</v>
      </c>
      <c r="K886" s="37">
        <f>IFERROR(Tabela3[[#This Row],[Qtde Cx Produzida]]/Tabela3[[#This Row],[Tempo]]/24,0)</f>
        <v>9.4565217391304355</v>
      </c>
      <c r="L886" s="37">
        <f>Tabela3[[#This Row],[Qtde Cx Produzida]]*Tabela3[[#This Row],[Qdt Peça Placa]]</f>
        <v>116</v>
      </c>
      <c r="M886" s="37">
        <f>Tabela3[[#This Row],[Previsto]]-Tabela3[[#This Row],[Perda Pçs]]</f>
        <v>116</v>
      </c>
      <c r="N886" s="38">
        <f>IFERROR(Tabela3[[#This Row],[Perda Pçs]]/Tabela3[[#This Row],[Previsto]],0)</f>
        <v>0</v>
      </c>
      <c r="O886" s="39">
        <f>IFERROR(IF(Tabela3[[#This Row],[Qtde Cx Produzida]] &lt;&gt; 0, Tabela3[[#This Row],[Tempo]] / Tabela3[[#This Row],[Qtde Cx Produzida]], 0),0)</f>
        <v>4.4061302681992331E-3</v>
      </c>
      <c r="P886" s="57">
        <f>IFERROR(Tabela3[[#This Row],[Perda Pçs]]/Tabela3[[#This Row],[Qdt Peça Placa]],0)</f>
        <v>0</v>
      </c>
      <c r="Q886" s="37">
        <f>IFERROR(Tabela3[[#This Row],[Realizado]]*Tabela3[[#This Row],[Peso Util/Pç]],0)</f>
        <v>38.512</v>
      </c>
      <c r="R886" s="37">
        <f>IFERROR(Tabela3[[#This Row],[Peso Total Galho]]*Tabela3[[#This Row],[Qtde Cx Produzida]]*1.055,0)</f>
        <v>70.368499999999983</v>
      </c>
      <c r="S886" s="37">
        <f>(Tabela3[[#This Row],[Aluminio Bruto]]-Tabela3[[#This Row],[Aluminio Util]])*0.9</f>
        <v>28.670849999999984</v>
      </c>
      <c r="T886" s="37">
        <f>Tabela3[[#This Row],[Aluminio Bruto]]/OleoKGAluminio</f>
        <v>29.60393696440363</v>
      </c>
      <c r="U886" s="35">
        <f>IFERROR((VLOOKUP(Tabela3[[#This Row],[Moldador]],Tabela1[],5,)+(VLOOKUP(Tabela3[[#This Row],[Ajudante]],Tabela1[],5,))*3.5),0)</f>
        <v>126.0945</v>
      </c>
      <c r="V886" s="35">
        <f>IFERROR(Tabela3[[#This Row],[Custo M.O. / H]]/((Tabela3[[#This Row],[Realizado]]/Tabela3[[#This Row],[Qdt Peça Placa]])/Tabela3[[#This Row],[Tempo]]/24),)</f>
        <v>13.334131034482757</v>
      </c>
      <c r="W886" s="35">
        <f>Tabela3[[#This Row],[Custo / Cx Moldada]]*Tabela3[[#This Row],[Qtde Cx Produzida]]</f>
        <v>386.68979999999993</v>
      </c>
      <c r="X886" s="35">
        <f ca="1">Tabela3[[#This Row],[Aluminio Util]]*Tabela3[[#This Row],[Custo/Kg]]</f>
        <v>600.7872000000001</v>
      </c>
      <c r="Y886" s="35">
        <f>IFERROR(VLOOKUP(Tabela3[[#This Row],[Data]],Tabela461213[],2,1)*(Tabela3[[#This Row],[Qtde Cx Produzida]]*Tabela3[[#This Row],[Qde macho / CX]]*Tabela3[[#This Row],[Peso Macho]]),)</f>
        <v>0</v>
      </c>
      <c r="Z886" s="35">
        <f>IFERROR(Tabela3[[#This Row],[Qtde Oleo]]*(VLOOKUP(Tabela3[[#This Row],[Data]],CompraOleo[],3,TRUE))*1.05,0)</f>
        <v>77.710334531559525</v>
      </c>
      <c r="AA886" s="47">
        <f ca="1">(Tabela3[[#This Row],[Custo Oleo]]+Tabela3[[#This Row],[Custo Aluminio]]+Tabela3[[#This Row],[Custo M.O. Total]]+Tabela3[[#This Row],[Custo Machos]])</f>
        <v>1065.1873345315596</v>
      </c>
      <c r="AB886" s="47">
        <f ca="1">Tabela3[[#This Row],[Custo Total]]*Tabela3[[#This Row],[% Perda]]</f>
        <v>0</v>
      </c>
      <c r="AC886" s="48">
        <f>IFERROR(VLOOKUP(Tabela3[[#This Row],[Produto]],Tabela2[],2,0),0)</f>
        <v>4</v>
      </c>
      <c r="AD886" s="48">
        <f>IFERROR(VLOOKUP(Tabela3[[#This Row],[Produto]],Tabela2[],3,0),0)</f>
        <v>0.33200000000000002</v>
      </c>
      <c r="AE886" s="48">
        <f>IFERROR(VLOOKUP(Tabela3[[#This Row],[Produto]],Tabela2[],4,0),0)</f>
        <v>2.2999999999999998</v>
      </c>
      <c r="AF886" s="48">
        <f>IFERROR(VLOOKUP(Tabela3[[#This Row],[Produto]],Tabela2[],5,0),0)</f>
        <v>0.8747999999999998</v>
      </c>
      <c r="AG886" s="40">
        <f>IFERROR(VLOOKUP(Tabela3[[#This Row],[Produto]],Tabela2[],6,0),0)</f>
        <v>0</v>
      </c>
      <c r="AH886" s="40">
        <f>IFERROR(VLOOKUP(Tabela3[[#This Row],[Produto]],Tabela2[],7,0),0)</f>
        <v>0</v>
      </c>
      <c r="AI886" s="40">
        <f>IFERROR(VLOOKUP(Tabela3[[#This Row],[Produto]],Tabela2[],8,0),0)</f>
        <v>0</v>
      </c>
      <c r="AJ886" s="35">
        <f ca="1">IFERROR(VLOOKUP(Tabela3[[#This Row],[Produto]],Tabela2[],13,0),0)</f>
        <v>15.600000000000001</v>
      </c>
      <c r="AK886" s="40" t="str">
        <f>IFERROR(VLOOKUP(Tabela3[[#This Row],[Produto]],Tabela2[],14,0),0)</f>
        <v>Senun</v>
      </c>
      <c r="AL886" s="40">
        <f>IFERROR(VLOOKUP(Tabela3[[#This Row],[Produto]],Tabela2[],15,0),0)</f>
        <v>3.5</v>
      </c>
      <c r="AM886" s="36">
        <f ca="1">(Tabela3[[#This Row],[Custo Usinagem]]+Tabela3[[#This Row],[Custo / Pç]])*1.2</f>
        <v>15.219179322740271</v>
      </c>
      <c r="AN886" s="36">
        <f ca="1">Tabela3[[#This Row],[Valor Mínimo Venda]]*1.15</f>
        <v>17.50205622115131</v>
      </c>
      <c r="AO886" s="36">
        <f ca="1">Tabela3[[#This Row],[Tabela 1]]*1.08</f>
        <v>18.902220718843417</v>
      </c>
      <c r="AP886" s="36">
        <f ca="1">Tabela3[[#This Row],[Tabela 2]]*1.15</f>
        <v>21.737553826669927</v>
      </c>
    </row>
    <row r="887" spans="1:42">
      <c r="A887" s="9">
        <v>46042</v>
      </c>
      <c r="B887" s="6" t="s">
        <v>245</v>
      </c>
      <c r="C887" s="14">
        <v>8806</v>
      </c>
      <c r="D887" s="6" t="s">
        <v>46</v>
      </c>
      <c r="E887" s="6" t="s">
        <v>47</v>
      </c>
      <c r="F887" s="6">
        <v>30</v>
      </c>
      <c r="G887" s="15">
        <v>0.125</v>
      </c>
      <c r="H887" s="16">
        <v>0</v>
      </c>
      <c r="I887" s="35">
        <f ca="1">IFERROR(Tabela3[[#This Row],[Custo Total]]/Tabela3[[#This Row],[Aluminio Util]],0)</f>
        <v>25.144202779607038</v>
      </c>
      <c r="J887" s="35">
        <f ca="1">Tabela3[[#This Row],[Custo Total]]/Tabela3[[#This Row],[Realizado]]</f>
        <v>8.3478753228295375</v>
      </c>
      <c r="K887" s="37">
        <f>IFERROR(Tabela3[[#This Row],[Qtde Cx Produzida]]/Tabela3[[#This Row],[Tempo]]/24,0)</f>
        <v>10</v>
      </c>
      <c r="L887" s="37">
        <f>Tabela3[[#This Row],[Qtde Cx Produzida]]*Tabela3[[#This Row],[Qdt Peça Placa]]</f>
        <v>120</v>
      </c>
      <c r="M887" s="37">
        <f>Tabela3[[#This Row],[Previsto]]-Tabela3[[#This Row],[Perda Pçs]]</f>
        <v>120</v>
      </c>
      <c r="N887" s="38">
        <f>IFERROR(Tabela3[[#This Row],[Perda Pçs]]/Tabela3[[#This Row],[Previsto]],0)</f>
        <v>0</v>
      </c>
      <c r="O887" s="39">
        <f>IFERROR(IF(Tabela3[[#This Row],[Qtde Cx Produzida]] &lt;&gt; 0, Tabela3[[#This Row],[Tempo]] / Tabela3[[#This Row],[Qtde Cx Produzida]], 0),0)</f>
        <v>4.1666666666666666E-3</v>
      </c>
      <c r="P887" s="57">
        <f>IFERROR(Tabela3[[#This Row],[Perda Pçs]]/Tabela3[[#This Row],[Qdt Peça Placa]],0)</f>
        <v>0</v>
      </c>
      <c r="Q887" s="37">
        <f>IFERROR(Tabela3[[#This Row],[Realizado]]*Tabela3[[#This Row],[Peso Util/Pç]],0)</f>
        <v>39.840000000000003</v>
      </c>
      <c r="R887" s="37">
        <f>IFERROR(Tabela3[[#This Row],[Peso Total Galho]]*Tabela3[[#This Row],[Qtde Cx Produzida]]*1.055,0)</f>
        <v>72.795000000000002</v>
      </c>
      <c r="S887" s="37">
        <f>(Tabela3[[#This Row],[Aluminio Bruto]]-Tabela3[[#This Row],[Aluminio Util]])*0.9</f>
        <v>29.659499999999998</v>
      </c>
      <c r="T887" s="37">
        <f>Tabela3[[#This Row],[Aluminio Bruto]]/OleoKGAluminio</f>
        <v>30.624762376969279</v>
      </c>
      <c r="U887" s="35">
        <f>IFERROR((VLOOKUP(Tabela3[[#This Row],[Moldador]],Tabela1[],5,)+(VLOOKUP(Tabela3[[#This Row],[Ajudante]],Tabela1[],5,))*3.5),0)</f>
        <v>99.95034583333333</v>
      </c>
      <c r="V887" s="35">
        <f>IFERROR(Tabela3[[#This Row],[Custo M.O. / H]]/((Tabela3[[#This Row],[Realizado]]/Tabela3[[#This Row],[Qdt Peça Placa]])/Tabela3[[#This Row],[Tempo]]/24),)</f>
        <v>9.9950345833333323</v>
      </c>
      <c r="W887" s="35">
        <f>Tabela3[[#This Row],[Custo / Cx Moldada]]*Tabela3[[#This Row],[Qtde Cx Produzida]]</f>
        <v>299.85103749999996</v>
      </c>
      <c r="X887" s="35">
        <f ca="1">Tabela3[[#This Row],[Aluminio Util]]*Tabela3[[#This Row],[Custo/Kg]]</f>
        <v>621.50400000000013</v>
      </c>
      <c r="Y887" s="35">
        <f>IFERROR(VLOOKUP(Tabela3[[#This Row],[Data]],Tabela461213[],2,1)*(Tabela3[[#This Row],[Qtde Cx Produzida]]*Tabela3[[#This Row],[Qde macho / CX]]*Tabela3[[#This Row],[Peso Macho]]),)</f>
        <v>0</v>
      </c>
      <c r="Z887" s="35">
        <f>IFERROR(Tabela3[[#This Row],[Qtde Oleo]]*(VLOOKUP(Tabela3[[#This Row],[Data]],CompraOleo[],3,TRUE))*1.05,0)</f>
        <v>80.390001239544361</v>
      </c>
      <c r="AA887" s="47">
        <f ca="1">(Tabela3[[#This Row],[Custo Oleo]]+Tabela3[[#This Row],[Custo Aluminio]]+Tabela3[[#This Row],[Custo M.O. Total]]+Tabela3[[#This Row],[Custo Machos]])</f>
        <v>1001.7450387395445</v>
      </c>
      <c r="AB887" s="47">
        <f ca="1">Tabela3[[#This Row],[Custo Total]]*Tabela3[[#This Row],[% Perda]]</f>
        <v>0</v>
      </c>
      <c r="AC887" s="48">
        <f>IFERROR(VLOOKUP(Tabela3[[#This Row],[Produto]],Tabela2[],2,0),0)</f>
        <v>4</v>
      </c>
      <c r="AD887" s="48">
        <f>IFERROR(VLOOKUP(Tabela3[[#This Row],[Produto]],Tabela2[],3,0),0)</f>
        <v>0.33200000000000002</v>
      </c>
      <c r="AE887" s="48">
        <f>IFERROR(VLOOKUP(Tabela3[[#This Row],[Produto]],Tabela2[],4,0),0)</f>
        <v>2.2999999999999998</v>
      </c>
      <c r="AF887" s="48">
        <f>IFERROR(VLOOKUP(Tabela3[[#This Row],[Produto]],Tabela2[],5,0),0)</f>
        <v>0.8747999999999998</v>
      </c>
      <c r="AG887" s="40">
        <f>IFERROR(VLOOKUP(Tabela3[[#This Row],[Produto]],Tabela2[],6,0),0)</f>
        <v>0</v>
      </c>
      <c r="AH887" s="40">
        <f>IFERROR(VLOOKUP(Tabela3[[#This Row],[Produto]],Tabela2[],7,0),0)</f>
        <v>0</v>
      </c>
      <c r="AI887" s="40">
        <f>IFERROR(VLOOKUP(Tabela3[[#This Row],[Produto]],Tabela2[],8,0),0)</f>
        <v>0</v>
      </c>
      <c r="AJ887" s="35">
        <f ca="1">IFERROR(VLOOKUP(Tabela3[[#This Row],[Produto]],Tabela2[],13,0),0)</f>
        <v>15.600000000000001</v>
      </c>
      <c r="AK887" s="40" t="str">
        <f>IFERROR(VLOOKUP(Tabela3[[#This Row],[Produto]],Tabela2[],14,0),0)</f>
        <v>Senun</v>
      </c>
      <c r="AL887" s="40">
        <f>IFERROR(VLOOKUP(Tabela3[[#This Row],[Produto]],Tabela2[],15,0),0)</f>
        <v>3.5</v>
      </c>
      <c r="AM887" s="36">
        <f ca="1">(Tabela3[[#This Row],[Custo Usinagem]]+Tabela3[[#This Row],[Custo / Pç]])*1.2</f>
        <v>14.217450387395445</v>
      </c>
      <c r="AN887" s="36">
        <f ca="1">Tabela3[[#This Row],[Valor Mínimo Venda]]*1.15</f>
        <v>16.350067945504762</v>
      </c>
      <c r="AO887" s="36">
        <f ca="1">Tabela3[[#This Row],[Tabela 1]]*1.08</f>
        <v>17.658073381145144</v>
      </c>
      <c r="AP887" s="36">
        <f ca="1">Tabela3[[#This Row],[Tabela 2]]*1.15</f>
        <v>20.306784388316913</v>
      </c>
    </row>
    <row r="888" spans="1:42">
      <c r="A888" s="9">
        <v>46042</v>
      </c>
      <c r="B888" s="6" t="s">
        <v>245</v>
      </c>
      <c r="C888" s="14">
        <v>8806</v>
      </c>
      <c r="D888" s="6" t="s">
        <v>46</v>
      </c>
      <c r="E888" s="6" t="s">
        <v>44</v>
      </c>
      <c r="F888" s="6">
        <v>70</v>
      </c>
      <c r="G888" s="15">
        <v>0.31597222222222221</v>
      </c>
      <c r="H888" s="16">
        <v>0</v>
      </c>
      <c r="I888" s="35">
        <f ca="1">IFERROR(Tabela3[[#This Row],[Custo Total]]/Tabela3[[#This Row],[Aluminio Util]],0)</f>
        <v>27.90414473492832</v>
      </c>
      <c r="J888" s="35">
        <f ca="1">Tabela3[[#This Row],[Custo Total]]/Tabela3[[#This Row],[Realizado]]</f>
        <v>9.264176051996202</v>
      </c>
      <c r="K888" s="37">
        <f>IFERROR(Tabela3[[#This Row],[Qtde Cx Produzida]]/Tabela3[[#This Row],[Tempo]]/24,0)</f>
        <v>9.2307692307692317</v>
      </c>
      <c r="L888" s="37">
        <f>Tabela3[[#This Row],[Qtde Cx Produzida]]*Tabela3[[#This Row],[Qdt Peça Placa]]</f>
        <v>280</v>
      </c>
      <c r="M888" s="37">
        <f>Tabela3[[#This Row],[Previsto]]-Tabela3[[#This Row],[Perda Pçs]]</f>
        <v>280</v>
      </c>
      <c r="N888" s="38">
        <f>IFERROR(Tabela3[[#This Row],[Perda Pçs]]/Tabela3[[#This Row],[Previsto]],0)</f>
        <v>0</v>
      </c>
      <c r="O888" s="39">
        <f>IFERROR(IF(Tabela3[[#This Row],[Qtde Cx Produzida]] &lt;&gt; 0, Tabela3[[#This Row],[Tempo]] / Tabela3[[#This Row],[Qtde Cx Produzida]], 0),0)</f>
        <v>4.5138888888888885E-3</v>
      </c>
      <c r="P888" s="57">
        <f>IFERROR(Tabela3[[#This Row],[Perda Pçs]]/Tabela3[[#This Row],[Qdt Peça Placa]],0)</f>
        <v>0</v>
      </c>
      <c r="Q888" s="37">
        <f>IFERROR(Tabela3[[#This Row],[Realizado]]*Tabela3[[#This Row],[Peso Util/Pç]],0)</f>
        <v>92.960000000000008</v>
      </c>
      <c r="R888" s="37">
        <f>IFERROR(Tabela3[[#This Row],[Peso Total Galho]]*Tabela3[[#This Row],[Qtde Cx Produzida]]*1.055,0)</f>
        <v>169.85499999999999</v>
      </c>
      <c r="S888" s="37">
        <f>(Tabela3[[#This Row],[Aluminio Bruto]]-Tabela3[[#This Row],[Aluminio Util]])*0.9</f>
        <v>69.205499999999986</v>
      </c>
      <c r="T888" s="37">
        <f>Tabela3[[#This Row],[Aluminio Bruto]]/OleoKGAluminio</f>
        <v>71.457778879594983</v>
      </c>
      <c r="U888" s="35">
        <f>IFERROR((VLOOKUP(Tabela3[[#This Row],[Moldador]],Tabela1[],5,)+(VLOOKUP(Tabela3[[#This Row],[Ajudante]],Tabela1[],5,))*3.5),0)</f>
        <v>126.0945</v>
      </c>
      <c r="V888" s="35">
        <f>IFERROR(Tabela3[[#This Row],[Custo M.O. / H]]/((Tabela3[[#This Row],[Realizado]]/Tabela3[[#This Row],[Qdt Peça Placa]])/Tabela3[[#This Row],[Tempo]]/24),)</f>
        <v>13.660237499999997</v>
      </c>
      <c r="W888" s="35">
        <f>Tabela3[[#This Row],[Custo / Cx Moldada]]*Tabela3[[#This Row],[Qtde Cx Produzida]]</f>
        <v>956.21662499999979</v>
      </c>
      <c r="X888" s="35">
        <f ca="1">Tabela3[[#This Row],[Aluminio Util]]*Tabela3[[#This Row],[Custo/Kg]]</f>
        <v>1450.1760000000002</v>
      </c>
      <c r="Y888" s="35">
        <f>IFERROR(VLOOKUP(Tabela3[[#This Row],[Data]],Tabela461213[],2,1)*(Tabela3[[#This Row],[Qtde Cx Produzida]]*Tabela3[[#This Row],[Qde macho / CX]]*Tabela3[[#This Row],[Peso Macho]]),)</f>
        <v>0</v>
      </c>
      <c r="Z888" s="35">
        <f>IFERROR(Tabela3[[#This Row],[Qtde Oleo]]*(VLOOKUP(Tabela3[[#This Row],[Data]],CompraOleo[],3,TRUE))*1.05,0)</f>
        <v>187.57666955893683</v>
      </c>
      <c r="AA888" s="47">
        <f ca="1">(Tabela3[[#This Row],[Custo Oleo]]+Tabela3[[#This Row],[Custo Aluminio]]+Tabela3[[#This Row],[Custo M.O. Total]]+Tabela3[[#This Row],[Custo Machos]])</f>
        <v>2593.9692945589368</v>
      </c>
      <c r="AB888" s="47">
        <f ca="1">Tabela3[[#This Row],[Custo Total]]*Tabela3[[#This Row],[% Perda]]</f>
        <v>0</v>
      </c>
      <c r="AC888" s="48">
        <f>IFERROR(VLOOKUP(Tabela3[[#This Row],[Produto]],Tabela2[],2,0),0)</f>
        <v>4</v>
      </c>
      <c r="AD888" s="48">
        <f>IFERROR(VLOOKUP(Tabela3[[#This Row],[Produto]],Tabela2[],3,0),0)</f>
        <v>0.33200000000000002</v>
      </c>
      <c r="AE888" s="48">
        <f>IFERROR(VLOOKUP(Tabela3[[#This Row],[Produto]],Tabela2[],4,0),0)</f>
        <v>2.2999999999999998</v>
      </c>
      <c r="AF888" s="48">
        <f>IFERROR(VLOOKUP(Tabela3[[#This Row],[Produto]],Tabela2[],5,0),0)</f>
        <v>0.8747999999999998</v>
      </c>
      <c r="AG888" s="40">
        <f>IFERROR(VLOOKUP(Tabela3[[#This Row],[Produto]],Tabela2[],6,0),0)</f>
        <v>0</v>
      </c>
      <c r="AH888" s="40">
        <f>IFERROR(VLOOKUP(Tabela3[[#This Row],[Produto]],Tabela2[],7,0),0)</f>
        <v>0</v>
      </c>
      <c r="AI888" s="40">
        <f>IFERROR(VLOOKUP(Tabela3[[#This Row],[Produto]],Tabela2[],8,0),0)</f>
        <v>0</v>
      </c>
      <c r="AJ888" s="35">
        <f ca="1">IFERROR(VLOOKUP(Tabela3[[#This Row],[Produto]],Tabela2[],13,0),0)</f>
        <v>15.600000000000001</v>
      </c>
      <c r="AK888" s="40" t="str">
        <f>IFERROR(VLOOKUP(Tabela3[[#This Row],[Produto]],Tabela2[],14,0),0)</f>
        <v>Senun</v>
      </c>
      <c r="AL888" s="40">
        <f>IFERROR(VLOOKUP(Tabela3[[#This Row],[Produto]],Tabela2[],15,0),0)</f>
        <v>3.5</v>
      </c>
      <c r="AM888" s="36">
        <f ca="1">(Tabela3[[#This Row],[Custo Usinagem]]+Tabela3[[#This Row],[Custo / Pç]])*1.2</f>
        <v>15.317011262395441</v>
      </c>
      <c r="AN888" s="36">
        <f ca="1">Tabela3[[#This Row],[Valor Mínimo Venda]]*1.15</f>
        <v>17.614562951754756</v>
      </c>
      <c r="AO888" s="36">
        <f ca="1">Tabela3[[#This Row],[Tabela 1]]*1.08</f>
        <v>19.023727987895139</v>
      </c>
      <c r="AP888" s="36">
        <f ca="1">Tabela3[[#This Row],[Tabela 2]]*1.15</f>
        <v>21.877287186079407</v>
      </c>
    </row>
    <row r="889" spans="1:42">
      <c r="A889" s="9">
        <v>46042</v>
      </c>
      <c r="B889" s="6" t="s">
        <v>240</v>
      </c>
      <c r="C889" s="14">
        <v>8807</v>
      </c>
      <c r="D889" s="6" t="s">
        <v>44</v>
      </c>
      <c r="E889" s="6" t="s">
        <v>51</v>
      </c>
      <c r="F889" s="6">
        <v>23</v>
      </c>
      <c r="G889" s="15">
        <v>0.12569444444444444</v>
      </c>
      <c r="H889" s="16">
        <v>7</v>
      </c>
      <c r="I889" s="35">
        <f ca="1">IFERROR(Tabela3[[#This Row],[Custo Total]]/Tabela3[[#This Row],[Aluminio Util]],0)</f>
        <v>28.498664882821476</v>
      </c>
      <c r="J889" s="35">
        <f ca="1">Tabela3[[#This Row],[Custo Total]]/Tabela3[[#This Row],[Realizado]]</f>
        <v>10.174023363167267</v>
      </c>
      <c r="K889" s="37">
        <f>IFERROR(Tabela3[[#This Row],[Qtde Cx Produzida]]/Tabela3[[#This Row],[Tempo]]/24,0)</f>
        <v>7.624309392265193</v>
      </c>
      <c r="L889" s="37">
        <f>Tabela3[[#This Row],[Qtde Cx Produzida]]*Tabela3[[#This Row],[Qdt Peça Placa]]</f>
        <v>92</v>
      </c>
      <c r="M889" s="37">
        <f>Tabela3[[#This Row],[Previsto]]-Tabela3[[#This Row],[Perda Pçs]]</f>
        <v>85</v>
      </c>
      <c r="N889" s="38">
        <f>IFERROR(Tabela3[[#This Row],[Perda Pçs]]/Tabela3[[#This Row],[Previsto]],0)</f>
        <v>7.6086956521739135E-2</v>
      </c>
      <c r="O889" s="39">
        <f>IFERROR(IF(Tabela3[[#This Row],[Qtde Cx Produzida]] &lt;&gt; 0, Tabela3[[#This Row],[Tempo]] / Tabela3[[#This Row],[Qtde Cx Produzida]], 0),0)</f>
        <v>5.4649758454106282E-3</v>
      </c>
      <c r="P889" s="57">
        <f>IFERROR(Tabela3[[#This Row],[Perda Pçs]]/Tabela3[[#This Row],[Qdt Peça Placa]],0)</f>
        <v>1.75</v>
      </c>
      <c r="Q889" s="37">
        <f>IFERROR(Tabela3[[#This Row],[Realizado]]*Tabela3[[#This Row],[Peso Util/Pç]],0)</f>
        <v>30.344999999999999</v>
      </c>
      <c r="R889" s="37">
        <f>IFERROR(Tabela3[[#This Row],[Peso Total Galho]]*Tabela3[[#This Row],[Qtde Cx Produzida]]*1.055,0)</f>
        <v>58.915419999999997</v>
      </c>
      <c r="S889" s="37">
        <f>(Tabela3[[#This Row],[Aluminio Bruto]]-Tabela3[[#This Row],[Aluminio Util]])*0.9</f>
        <v>25.713377999999999</v>
      </c>
      <c r="T889" s="37">
        <f>Tabela3[[#This Row],[Aluminio Bruto]]/OleoKGAluminio</f>
        <v>24.785641017093802</v>
      </c>
      <c r="U889" s="35">
        <f>IFERROR((VLOOKUP(Tabela3[[#This Row],[Moldador]],Tabela1[],5,)+(VLOOKUP(Tabela3[[#This Row],[Ajudante]],Tabela1[],5,))*3.5),0)</f>
        <v>99.95034583333333</v>
      </c>
      <c r="V889" s="35">
        <f>IFERROR(Tabela3[[#This Row],[Custo M.O. / H]]/((Tabela3[[#This Row],[Realizado]]/Tabela3[[#This Row],[Qdt Peça Placa]])/Tabela3[[#This Row],[Tempo]]/24),)</f>
        <v>14.189029486928105</v>
      </c>
      <c r="W889" s="35">
        <f>Tabela3[[#This Row],[Custo / Cx Moldada]]*Tabela3[[#This Row],[Qtde Cx Produzida]]</f>
        <v>326.34767819934643</v>
      </c>
      <c r="X889" s="35">
        <f ca="1">Tabela3[[#This Row],[Aluminio Util]]*Tabela3[[#This Row],[Custo/Kg]]</f>
        <v>473.38200000000001</v>
      </c>
      <c r="Y889" s="35">
        <f>IFERROR(VLOOKUP(Tabela3[[#This Row],[Data]],Tabela461213[],2,1)*(Tabela3[[#This Row],[Qtde Cx Produzida]]*Tabela3[[#This Row],[Qde macho / CX]]*Tabela3[[#This Row],[Peso Macho]]),)</f>
        <v>0</v>
      </c>
      <c r="Z889" s="35">
        <f>IFERROR(Tabela3[[#This Row],[Qtde Oleo]]*(VLOOKUP(Tabela3[[#This Row],[Data]],CompraOleo[],3,TRUE))*1.05,0)</f>
        <v>65.062307669871231</v>
      </c>
      <c r="AA889" s="47">
        <f ca="1">(Tabela3[[#This Row],[Custo Oleo]]+Tabela3[[#This Row],[Custo Aluminio]]+Tabela3[[#This Row],[Custo M.O. Total]]+Tabela3[[#This Row],[Custo Machos]])</f>
        <v>864.79198586921768</v>
      </c>
      <c r="AB889" s="47">
        <f ca="1">Tabela3[[#This Row],[Custo Total]]*Tabela3[[#This Row],[% Perda]]</f>
        <v>65.799390229179608</v>
      </c>
      <c r="AC889" s="48">
        <f>IFERROR(VLOOKUP(Tabela3[[#This Row],[Produto]],Tabela2[],2,0),0)</f>
        <v>4</v>
      </c>
      <c r="AD889" s="48">
        <f>IFERROR(VLOOKUP(Tabela3[[#This Row],[Produto]],Tabela2[],3,0),0)</f>
        <v>0.35699999999999998</v>
      </c>
      <c r="AE889" s="48">
        <f>IFERROR(VLOOKUP(Tabela3[[#This Row],[Produto]],Tabela2[],4,0),0)</f>
        <v>2.4279999999999999</v>
      </c>
      <c r="AF889" s="48">
        <f>IFERROR(VLOOKUP(Tabela3[[#This Row],[Produto]],Tabela2[],5,0),0)</f>
        <v>0.9</v>
      </c>
      <c r="AG889" s="40">
        <f>IFERROR(VLOOKUP(Tabela3[[#This Row],[Produto]],Tabela2[],6,0),0)</f>
        <v>0</v>
      </c>
      <c r="AH889" s="40">
        <f>IFERROR(VLOOKUP(Tabela3[[#This Row],[Produto]],Tabela2[],7,0),0)</f>
        <v>0</v>
      </c>
      <c r="AI889" s="40">
        <f>IFERROR(VLOOKUP(Tabela3[[#This Row],[Produto]],Tabela2[],8,0),0)</f>
        <v>0</v>
      </c>
      <c r="AJ889" s="35">
        <f ca="1">IFERROR(VLOOKUP(Tabela3[[#This Row],[Produto]],Tabela2[],13,0),0)</f>
        <v>15.600000000000001</v>
      </c>
      <c r="AK889" s="40" t="str">
        <f>IFERROR(VLOOKUP(Tabela3[[#This Row],[Produto]],Tabela2[],14,0),0)</f>
        <v>Senun</v>
      </c>
      <c r="AL889" s="40">
        <f>IFERROR(VLOOKUP(Tabela3[[#This Row],[Produto]],Tabela2[],15,0),0)</f>
        <v>4</v>
      </c>
      <c r="AM889" s="36">
        <f ca="1">(Tabela3[[#This Row],[Custo Usinagem]]+Tabela3[[#This Row],[Custo / Pç]])*1.2</f>
        <v>17.008828035800718</v>
      </c>
      <c r="AN889" s="36">
        <f ca="1">Tabela3[[#This Row],[Valor Mínimo Venda]]*1.15</f>
        <v>19.560152241170826</v>
      </c>
      <c r="AO889" s="36">
        <f ca="1">Tabela3[[#This Row],[Tabela 1]]*1.08</f>
        <v>21.124964420464494</v>
      </c>
      <c r="AP889" s="36">
        <f ca="1">Tabela3[[#This Row],[Tabela 2]]*1.15</f>
        <v>24.293709083534164</v>
      </c>
    </row>
    <row r="890" spans="1:42">
      <c r="A890" s="9">
        <v>46043</v>
      </c>
      <c r="B890" s="6" t="s">
        <v>245</v>
      </c>
      <c r="C890" s="14">
        <v>8806</v>
      </c>
      <c r="D890" s="6" t="s">
        <v>46</v>
      </c>
      <c r="E890" s="6" t="s">
        <v>44</v>
      </c>
      <c r="F890" s="6">
        <v>21</v>
      </c>
      <c r="G890" s="15">
        <v>9.6527777777777782E-2</v>
      </c>
      <c r="H890" s="16">
        <v>0</v>
      </c>
      <c r="I890" s="35">
        <f ca="1">IFERROR(Tabela3[[#This Row],[Custo Total]]/Tabela3[[#This Row],[Aluminio Util]],0)</f>
        <v>28.092538936735554</v>
      </c>
      <c r="J890" s="35">
        <f ca="1">Tabela3[[#This Row],[Custo Total]]/Tabela3[[#This Row],[Realizado]]</f>
        <v>9.3267229269962044</v>
      </c>
      <c r="K890" s="37">
        <f>IFERROR(Tabela3[[#This Row],[Qtde Cx Produzida]]/Tabela3[[#This Row],[Tempo]]/24,0)</f>
        <v>9.0647482014388476</v>
      </c>
      <c r="L890" s="37">
        <f>Tabela3[[#This Row],[Qtde Cx Produzida]]*Tabela3[[#This Row],[Qdt Peça Placa]]</f>
        <v>84</v>
      </c>
      <c r="M890" s="37">
        <f>Tabela3[[#This Row],[Previsto]]-Tabela3[[#This Row],[Perda Pçs]]</f>
        <v>84</v>
      </c>
      <c r="N890" s="38">
        <f>IFERROR(Tabela3[[#This Row],[Perda Pçs]]/Tabela3[[#This Row],[Previsto]],0)</f>
        <v>0</v>
      </c>
      <c r="O890" s="39">
        <f>IFERROR(IF(Tabela3[[#This Row],[Qtde Cx Produzida]] &lt;&gt; 0, Tabela3[[#This Row],[Tempo]] / Tabela3[[#This Row],[Qtde Cx Produzida]], 0),0)</f>
        <v>4.596560846560847E-3</v>
      </c>
      <c r="P890" s="57">
        <f>IFERROR(Tabela3[[#This Row],[Perda Pçs]]/Tabela3[[#This Row],[Qdt Peça Placa]],0)</f>
        <v>0</v>
      </c>
      <c r="Q890" s="37">
        <f>IFERROR(Tabela3[[#This Row],[Realizado]]*Tabela3[[#This Row],[Peso Util/Pç]],0)</f>
        <v>27.888000000000002</v>
      </c>
      <c r="R890" s="37">
        <f>IFERROR(Tabela3[[#This Row],[Peso Total Galho]]*Tabela3[[#This Row],[Qtde Cx Produzida]]*1.055,0)</f>
        <v>50.956499999999991</v>
      </c>
      <c r="S890" s="37">
        <f>(Tabela3[[#This Row],[Aluminio Bruto]]-Tabela3[[#This Row],[Aluminio Util]])*0.9</f>
        <v>20.761649999999992</v>
      </c>
      <c r="T890" s="37">
        <f>Tabela3[[#This Row],[Aluminio Bruto]]/OleoKGAluminio</f>
        <v>21.437333663878491</v>
      </c>
      <c r="U890" s="35">
        <f>IFERROR((VLOOKUP(Tabela3[[#This Row],[Moldador]],Tabela1[],5,)+(VLOOKUP(Tabela3[[#This Row],[Ajudante]],Tabela1[],5,))*3.5),0)</f>
        <v>126.0945</v>
      </c>
      <c r="V890" s="35">
        <f>IFERROR(Tabela3[[#This Row],[Custo M.O. / H]]/((Tabela3[[#This Row],[Realizado]]/Tabela3[[#This Row],[Qdt Peça Placa]])/Tabela3[[#This Row],[Tempo]]/24),)</f>
        <v>13.910425000000002</v>
      </c>
      <c r="W890" s="35">
        <f>Tabela3[[#This Row],[Custo / Cx Moldada]]*Tabela3[[#This Row],[Qtde Cx Produzida]]</f>
        <v>292.11892500000005</v>
      </c>
      <c r="X890" s="35">
        <f ca="1">Tabela3[[#This Row],[Aluminio Util]]*Tabela3[[#This Row],[Custo/Kg]]</f>
        <v>435.05280000000005</v>
      </c>
      <c r="Y890" s="35">
        <f>IFERROR(VLOOKUP(Tabela3[[#This Row],[Data]],Tabela461213[],2,1)*(Tabela3[[#This Row],[Qtde Cx Produzida]]*Tabela3[[#This Row],[Qde macho / CX]]*Tabela3[[#This Row],[Peso Macho]]),)</f>
        <v>0</v>
      </c>
      <c r="Z890" s="35">
        <f>IFERROR(Tabela3[[#This Row],[Qtde Oleo]]*(VLOOKUP(Tabela3[[#This Row],[Data]],CompraOleo[],3,TRUE))*1.05,0)</f>
        <v>56.273000867681041</v>
      </c>
      <c r="AA890" s="47">
        <f ca="1">(Tabela3[[#This Row],[Custo Oleo]]+Tabela3[[#This Row],[Custo Aluminio]]+Tabela3[[#This Row],[Custo M.O. Total]]+Tabela3[[#This Row],[Custo Machos]])</f>
        <v>783.4447258676812</v>
      </c>
      <c r="AB890" s="47">
        <f ca="1">Tabela3[[#This Row],[Custo Total]]*Tabela3[[#This Row],[% Perda]]</f>
        <v>0</v>
      </c>
      <c r="AC890" s="48">
        <f>IFERROR(VLOOKUP(Tabela3[[#This Row],[Produto]],Tabela2[],2,0),0)</f>
        <v>4</v>
      </c>
      <c r="AD890" s="48">
        <f>IFERROR(VLOOKUP(Tabela3[[#This Row],[Produto]],Tabela2[],3,0),0)</f>
        <v>0.33200000000000002</v>
      </c>
      <c r="AE890" s="48">
        <f>IFERROR(VLOOKUP(Tabela3[[#This Row],[Produto]],Tabela2[],4,0),0)</f>
        <v>2.2999999999999998</v>
      </c>
      <c r="AF890" s="48">
        <f>IFERROR(VLOOKUP(Tabela3[[#This Row],[Produto]],Tabela2[],5,0),0)</f>
        <v>0.8747999999999998</v>
      </c>
      <c r="AG890" s="40">
        <f>IFERROR(VLOOKUP(Tabela3[[#This Row],[Produto]],Tabela2[],6,0),0)</f>
        <v>0</v>
      </c>
      <c r="AH890" s="40">
        <f>IFERROR(VLOOKUP(Tabela3[[#This Row],[Produto]],Tabela2[],7,0),0)</f>
        <v>0</v>
      </c>
      <c r="AI890" s="40">
        <f>IFERROR(VLOOKUP(Tabela3[[#This Row],[Produto]],Tabela2[],8,0),0)</f>
        <v>0</v>
      </c>
      <c r="AJ890" s="35">
        <f ca="1">IFERROR(VLOOKUP(Tabela3[[#This Row],[Produto]],Tabela2[],13,0),0)</f>
        <v>15.600000000000001</v>
      </c>
      <c r="AK890" s="40" t="str">
        <f>IFERROR(VLOOKUP(Tabela3[[#This Row],[Produto]],Tabela2[],14,0),0)</f>
        <v>Senun</v>
      </c>
      <c r="AL890" s="40">
        <f>IFERROR(VLOOKUP(Tabela3[[#This Row],[Produto]],Tabela2[],15,0),0)</f>
        <v>3.5</v>
      </c>
      <c r="AM890" s="36">
        <f ca="1">(Tabela3[[#This Row],[Custo Usinagem]]+Tabela3[[#This Row],[Custo / Pç]])*1.2</f>
        <v>15.392067512395444</v>
      </c>
      <c r="AN890" s="36">
        <f ca="1">Tabela3[[#This Row],[Valor Mínimo Venda]]*1.15</f>
        <v>17.70087763925476</v>
      </c>
      <c r="AO890" s="36">
        <f ca="1">Tabela3[[#This Row],[Tabela 1]]*1.08</f>
        <v>19.116947850395142</v>
      </c>
      <c r="AP890" s="36">
        <f ca="1">Tabela3[[#This Row],[Tabela 2]]*1.15</f>
        <v>21.984490027954411</v>
      </c>
    </row>
    <row r="891" spans="1:42">
      <c r="A891" s="9">
        <v>46043</v>
      </c>
      <c r="B891" s="6" t="s">
        <v>240</v>
      </c>
      <c r="C891" s="14">
        <v>8807</v>
      </c>
      <c r="D891" s="6" t="s">
        <v>46</v>
      </c>
      <c r="E891" s="6" t="s">
        <v>44</v>
      </c>
      <c r="F891" s="6">
        <v>37</v>
      </c>
      <c r="G891" s="15">
        <v>0.1451388888888889</v>
      </c>
      <c r="H891" s="16">
        <v>30</v>
      </c>
      <c r="I891" s="35">
        <f ca="1">IFERROR(Tabela3[[#This Row],[Custo Total]]/Tabela3[[#This Row],[Aluminio Util]],0)</f>
        <v>31.161958429258828</v>
      </c>
      <c r="J891" s="35">
        <f ca="1">Tabela3[[#This Row],[Custo Total]]/Tabela3[[#This Row],[Realizado]]</f>
        <v>11.124819159245401</v>
      </c>
      <c r="K891" s="37">
        <f>IFERROR(Tabela3[[#This Row],[Qtde Cx Produzida]]/Tabela3[[#This Row],[Tempo]]/24,0)</f>
        <v>10.622009569377989</v>
      </c>
      <c r="L891" s="37">
        <f>Tabela3[[#This Row],[Qtde Cx Produzida]]*Tabela3[[#This Row],[Qdt Peça Placa]]</f>
        <v>148</v>
      </c>
      <c r="M891" s="37">
        <f>Tabela3[[#This Row],[Previsto]]-Tabela3[[#This Row],[Perda Pçs]]</f>
        <v>118</v>
      </c>
      <c r="N891" s="38">
        <f>IFERROR(Tabela3[[#This Row],[Perda Pçs]]/Tabela3[[#This Row],[Previsto]],0)</f>
        <v>0.20270270270270271</v>
      </c>
      <c r="O891" s="39">
        <f>IFERROR(IF(Tabela3[[#This Row],[Qtde Cx Produzida]] &lt;&gt; 0, Tabela3[[#This Row],[Tempo]] / Tabela3[[#This Row],[Qtde Cx Produzida]], 0),0)</f>
        <v>3.9226726726726731E-3</v>
      </c>
      <c r="P891" s="57">
        <f>IFERROR(Tabela3[[#This Row],[Perda Pçs]]/Tabela3[[#This Row],[Qdt Peça Placa]],0)</f>
        <v>7.5</v>
      </c>
      <c r="Q891" s="37">
        <f>IFERROR(Tabela3[[#This Row],[Realizado]]*Tabela3[[#This Row],[Peso Util/Pç]],0)</f>
        <v>42.125999999999998</v>
      </c>
      <c r="R891" s="37">
        <f>IFERROR(Tabela3[[#This Row],[Peso Total Galho]]*Tabela3[[#This Row],[Qtde Cx Produzida]]*1.055,0)</f>
        <v>94.776979999999995</v>
      </c>
      <c r="S891" s="37">
        <f>(Tabela3[[#This Row],[Aluminio Bruto]]-Tabela3[[#This Row],[Aluminio Util]])*0.9</f>
        <v>47.385881999999995</v>
      </c>
      <c r="T891" s="37">
        <f>Tabela3[[#This Row],[Aluminio Bruto]]/OleoKGAluminio</f>
        <v>39.872552940542199</v>
      </c>
      <c r="U891" s="35">
        <f>IFERROR((VLOOKUP(Tabela3[[#This Row],[Moldador]],Tabela1[],5,)+(VLOOKUP(Tabela3[[#This Row],[Ajudante]],Tabela1[],5,))*3.5),0)</f>
        <v>126.0945</v>
      </c>
      <c r="V891" s="35">
        <f>IFERROR(Tabela3[[#This Row],[Custo M.O. / H]]/((Tabela3[[#This Row],[Realizado]]/Tabela3[[#This Row],[Qdt Peça Placa]])/Tabela3[[#This Row],[Tempo]]/24),)</f>
        <v>14.889124576271188</v>
      </c>
      <c r="W891" s="35">
        <f>Tabela3[[#This Row],[Custo / Cx Moldada]]*Tabela3[[#This Row],[Qtde Cx Produzida]]</f>
        <v>550.89760932203399</v>
      </c>
      <c r="X891" s="35">
        <f ca="1">Tabela3[[#This Row],[Aluminio Util]]*Tabela3[[#This Row],[Custo/Kg]]</f>
        <v>657.16560000000004</v>
      </c>
      <c r="Y891" s="35">
        <f>IFERROR(VLOOKUP(Tabela3[[#This Row],[Data]],Tabela461213[],2,1)*(Tabela3[[#This Row],[Qtde Cx Produzida]]*Tabela3[[#This Row],[Qde macho / CX]]*Tabela3[[#This Row],[Peso Macho]]),)</f>
        <v>0</v>
      </c>
      <c r="Z891" s="35">
        <f>IFERROR(Tabela3[[#This Row],[Qtde Oleo]]*(VLOOKUP(Tabela3[[#This Row],[Data]],CompraOleo[],3,TRUE))*1.05,0)</f>
        <v>104.66545146892328</v>
      </c>
      <c r="AA891" s="47">
        <f ca="1">(Tabela3[[#This Row],[Custo Oleo]]+Tabela3[[#This Row],[Custo Aluminio]]+Tabela3[[#This Row],[Custo M.O. Total]]+Tabela3[[#This Row],[Custo Machos]])</f>
        <v>1312.7286607909573</v>
      </c>
      <c r="AB891" s="47">
        <f ca="1">Tabela3[[#This Row],[Custo Total]]*Tabela3[[#This Row],[% Perda]]</f>
        <v>266.0936474576265</v>
      </c>
      <c r="AC891" s="48">
        <f>IFERROR(VLOOKUP(Tabela3[[#This Row],[Produto]],Tabela2[],2,0),0)</f>
        <v>4</v>
      </c>
      <c r="AD891" s="48">
        <f>IFERROR(VLOOKUP(Tabela3[[#This Row],[Produto]],Tabela2[],3,0),0)</f>
        <v>0.35699999999999998</v>
      </c>
      <c r="AE891" s="48">
        <f>IFERROR(VLOOKUP(Tabela3[[#This Row],[Produto]],Tabela2[],4,0),0)</f>
        <v>2.4279999999999999</v>
      </c>
      <c r="AF891" s="48">
        <f>IFERROR(VLOOKUP(Tabela3[[#This Row],[Produto]],Tabela2[],5,0),0)</f>
        <v>0.9</v>
      </c>
      <c r="AG891" s="40">
        <f>IFERROR(VLOOKUP(Tabela3[[#This Row],[Produto]],Tabela2[],6,0),0)</f>
        <v>0</v>
      </c>
      <c r="AH891" s="40">
        <f>IFERROR(VLOOKUP(Tabela3[[#This Row],[Produto]],Tabela2[],7,0),0)</f>
        <v>0</v>
      </c>
      <c r="AI891" s="40">
        <f>IFERROR(VLOOKUP(Tabela3[[#This Row],[Produto]],Tabela2[],8,0),0)</f>
        <v>0</v>
      </c>
      <c r="AJ891" s="35">
        <f ca="1">IFERROR(VLOOKUP(Tabela3[[#This Row],[Produto]],Tabela2[],13,0),0)</f>
        <v>15.600000000000001</v>
      </c>
      <c r="AK891" s="40" t="str">
        <f>IFERROR(VLOOKUP(Tabela3[[#This Row],[Produto]],Tabela2[],14,0),0)</f>
        <v>Senun</v>
      </c>
      <c r="AL891" s="40">
        <f>IFERROR(VLOOKUP(Tabela3[[#This Row],[Produto]],Tabela2[],15,0),0)</f>
        <v>4</v>
      </c>
      <c r="AM891" s="36">
        <f ca="1">(Tabela3[[#This Row],[Custo Usinagem]]+Tabela3[[#This Row],[Custo / Pç]])*1.2</f>
        <v>18.149782991094479</v>
      </c>
      <c r="AN891" s="36">
        <f ca="1">Tabela3[[#This Row],[Valor Mínimo Venda]]*1.15</f>
        <v>20.872250439758648</v>
      </c>
      <c r="AO891" s="36">
        <f ca="1">Tabela3[[#This Row],[Tabela 1]]*1.08</f>
        <v>22.542030474939342</v>
      </c>
      <c r="AP891" s="36">
        <f ca="1">Tabela3[[#This Row],[Tabela 2]]*1.15</f>
        <v>25.923335046180242</v>
      </c>
    </row>
    <row r="892" spans="1:42">
      <c r="A892" s="9">
        <v>46043</v>
      </c>
      <c r="B892" s="6" t="s">
        <v>244</v>
      </c>
      <c r="C892" s="14">
        <v>8808</v>
      </c>
      <c r="D892" s="6" t="s">
        <v>46</v>
      </c>
      <c r="E892" s="6" t="s">
        <v>44</v>
      </c>
      <c r="F892" s="6">
        <v>42</v>
      </c>
      <c r="G892" s="15">
        <v>0.20069444444444445</v>
      </c>
      <c r="H892" s="16">
        <v>25</v>
      </c>
      <c r="I892" s="35">
        <f ca="1">IFERROR(Tabela3[[#This Row],[Custo Total]]/Tabela3[[#This Row],[Aluminio Util]],0)</f>
        <v>28.470597449709768</v>
      </c>
      <c r="J892" s="35">
        <f ca="1">Tabela3[[#This Row],[Custo Total]]/Tabela3[[#This Row],[Realizado]]</f>
        <v>13.381180801363591</v>
      </c>
      <c r="K892" s="37">
        <f>IFERROR(Tabela3[[#This Row],[Qtde Cx Produzida]]/Tabela3[[#This Row],[Tempo]]/24,0)</f>
        <v>8.7197231833910021</v>
      </c>
      <c r="L892" s="37">
        <f>Tabela3[[#This Row],[Qtde Cx Produzida]]*Tabela3[[#This Row],[Qdt Peça Placa]]</f>
        <v>168</v>
      </c>
      <c r="M892" s="37">
        <f>Tabela3[[#This Row],[Previsto]]-Tabela3[[#This Row],[Perda Pçs]]</f>
        <v>143</v>
      </c>
      <c r="N892" s="38">
        <f>IFERROR(Tabela3[[#This Row],[Perda Pçs]]/Tabela3[[#This Row],[Previsto]],0)</f>
        <v>0.14880952380952381</v>
      </c>
      <c r="O892" s="39">
        <f>IFERROR(IF(Tabela3[[#This Row],[Qtde Cx Produzida]] &lt;&gt; 0, Tabela3[[#This Row],[Tempo]] / Tabela3[[#This Row],[Qtde Cx Produzida]], 0),0)</f>
        <v>4.7784391534391535E-3</v>
      </c>
      <c r="P892" s="57">
        <f>IFERROR(Tabela3[[#This Row],[Perda Pçs]]/Tabela3[[#This Row],[Qdt Peça Placa]],0)</f>
        <v>6.25</v>
      </c>
      <c r="Q892" s="37">
        <f>IFERROR(Tabela3[[#This Row],[Realizado]]*Tabela3[[#This Row],[Peso Util/Pç]],0)</f>
        <v>67.209999999999994</v>
      </c>
      <c r="R892" s="37">
        <f>IFERROR(Tabela3[[#This Row],[Peso Total Galho]]*Tabela3[[#This Row],[Qtde Cx Produzida]]*1.055,0)</f>
        <v>137.18376000000001</v>
      </c>
      <c r="S892" s="37">
        <f>(Tabela3[[#This Row],[Aluminio Bruto]]-Tabela3[[#This Row],[Aluminio Util]])*0.9</f>
        <v>62.97638400000001</v>
      </c>
      <c r="T892" s="37">
        <f>Tabela3[[#This Row],[Aluminio Bruto]]/OleoKGAluminio</f>
        <v>57.713030455102455</v>
      </c>
      <c r="U892" s="35">
        <f>IFERROR((VLOOKUP(Tabela3[[#This Row],[Moldador]],Tabela1[],5,)+(VLOOKUP(Tabela3[[#This Row],[Ajudante]],Tabela1[],5,))*3.5),0)</f>
        <v>126.0945</v>
      </c>
      <c r="V892" s="35">
        <f>IFERROR(Tabela3[[#This Row],[Custo M.O. / H]]/((Tabela3[[#This Row],[Realizado]]/Tabela3[[#This Row],[Qdt Peça Placa]])/Tabela3[[#This Row],[Tempo]]/24),)</f>
        <v>16.988955944055945</v>
      </c>
      <c r="W892" s="35">
        <f>Tabela3[[#This Row],[Custo / Cx Moldada]]*Tabela3[[#This Row],[Qtde Cx Produzida]]</f>
        <v>713.53614965034967</v>
      </c>
      <c r="X892" s="35">
        <f ca="1">Tabela3[[#This Row],[Aluminio Util]]*Tabela3[[#This Row],[Custo/Kg]]</f>
        <v>1048.4759999999999</v>
      </c>
      <c r="Y892" s="35">
        <f>IFERROR(VLOOKUP(Tabela3[[#This Row],[Data]],Tabela461213[],2,1)*(Tabela3[[#This Row],[Qtde Cx Produzida]]*Tabela3[[#This Row],[Qde macho / CX]]*Tabela3[[#This Row],[Peso Macho]]),)</f>
        <v>0</v>
      </c>
      <c r="Z892" s="35">
        <f>IFERROR(Tabela3[[#This Row],[Qtde Oleo]]*(VLOOKUP(Tabela3[[#This Row],[Data]],CompraOleo[],3,TRUE))*1.05,0)</f>
        <v>151.49670494464394</v>
      </c>
      <c r="AA892" s="47">
        <f ca="1">(Tabela3[[#This Row],[Custo Oleo]]+Tabela3[[#This Row],[Custo Aluminio]]+Tabela3[[#This Row],[Custo M.O. Total]]+Tabela3[[#This Row],[Custo Machos]])</f>
        <v>1913.5088545949934</v>
      </c>
      <c r="AB892" s="47">
        <f ca="1">Tabela3[[#This Row],[Custo Total]]*Tabela3[[#This Row],[% Perda]]</f>
        <v>284.74834145758831</v>
      </c>
      <c r="AC892" s="48">
        <f>IFERROR(VLOOKUP(Tabela3[[#This Row],[Produto]],Tabela2[],2,0),0)</f>
        <v>4</v>
      </c>
      <c r="AD892" s="48">
        <f>IFERROR(VLOOKUP(Tabela3[[#This Row],[Produto]],Tabela2[],3,0),0)</f>
        <v>0.47</v>
      </c>
      <c r="AE892" s="48">
        <f>IFERROR(VLOOKUP(Tabela3[[#This Row],[Produto]],Tabela2[],4,0),0)</f>
        <v>3.0960000000000001</v>
      </c>
      <c r="AF892" s="48">
        <f>IFERROR(VLOOKUP(Tabela3[[#This Row],[Produto]],Tabela2[],5,0),0)</f>
        <v>1.0944000000000003</v>
      </c>
      <c r="AG892" s="40">
        <f>IFERROR(VLOOKUP(Tabela3[[#This Row],[Produto]],Tabela2[],6,0),0)</f>
        <v>0</v>
      </c>
      <c r="AH892" s="40">
        <f>IFERROR(VLOOKUP(Tabela3[[#This Row],[Produto]],Tabela2[],7,0),0)</f>
        <v>0</v>
      </c>
      <c r="AI892" s="40">
        <f>IFERROR(VLOOKUP(Tabela3[[#This Row],[Produto]],Tabela2[],8,0),0)</f>
        <v>0</v>
      </c>
      <c r="AJ892" s="35">
        <f ca="1">IFERROR(VLOOKUP(Tabela3[[#This Row],[Produto]],Tabela2[],13,0),0)</f>
        <v>15.600000000000001</v>
      </c>
      <c r="AK892" s="40" t="str">
        <f>IFERROR(VLOOKUP(Tabela3[[#This Row],[Produto]],Tabela2[],14,0),0)</f>
        <v>Senun</v>
      </c>
      <c r="AL892" s="40">
        <f>IFERROR(VLOOKUP(Tabela3[[#This Row],[Produto]],Tabela2[],15,0),0)</f>
        <v>4</v>
      </c>
      <c r="AM892" s="36">
        <f ca="1">(Tabela3[[#This Row],[Custo Usinagem]]+Tabela3[[#This Row],[Custo / Pç]])*1.2</f>
        <v>20.857416961636307</v>
      </c>
      <c r="AN892" s="36">
        <f ca="1">Tabela3[[#This Row],[Valor Mínimo Venda]]*1.15</f>
        <v>23.986029505881753</v>
      </c>
      <c r="AO892" s="36">
        <f ca="1">Tabela3[[#This Row],[Tabela 1]]*1.08</f>
        <v>25.904911866352293</v>
      </c>
      <c r="AP892" s="36">
        <f ca="1">Tabela3[[#This Row],[Tabela 2]]*1.15</f>
        <v>29.790648646305137</v>
      </c>
    </row>
    <row r="893" spans="1:42">
      <c r="A893" s="9">
        <v>46044</v>
      </c>
      <c r="B893" s="6" t="s">
        <v>244</v>
      </c>
      <c r="C893" s="14">
        <v>8808</v>
      </c>
      <c r="D893" s="6" t="s">
        <v>46</v>
      </c>
      <c r="E893" s="6" t="s">
        <v>44</v>
      </c>
      <c r="F893" s="6">
        <v>8</v>
      </c>
      <c r="G893" s="15">
        <v>3.4722222222222224E-2</v>
      </c>
      <c r="H893" s="16">
        <v>5</v>
      </c>
      <c r="I893" s="35">
        <f ca="1">IFERROR(Tabela3[[#This Row],[Custo Total]]/Tabela3[[#This Row],[Aluminio Util]],0)</f>
        <v>27.687808747464857</v>
      </c>
      <c r="J893" s="35">
        <f ca="1">Tabela3[[#This Row],[Custo Total]]/Tabela3[[#This Row],[Realizado]]</f>
        <v>13.013270111308483</v>
      </c>
      <c r="K893" s="37">
        <f>IFERROR(Tabela3[[#This Row],[Qtde Cx Produzida]]/Tabela3[[#This Row],[Tempo]]/24,0)</f>
        <v>9.6</v>
      </c>
      <c r="L893" s="37">
        <f>Tabela3[[#This Row],[Qtde Cx Produzida]]*Tabela3[[#This Row],[Qdt Peça Placa]]</f>
        <v>32</v>
      </c>
      <c r="M893" s="37">
        <f>Tabela3[[#This Row],[Previsto]]-Tabela3[[#This Row],[Perda Pçs]]</f>
        <v>27</v>
      </c>
      <c r="N893" s="38">
        <f>IFERROR(Tabela3[[#This Row],[Perda Pçs]]/Tabela3[[#This Row],[Previsto]],0)</f>
        <v>0.15625</v>
      </c>
      <c r="O893" s="39">
        <f>IFERROR(IF(Tabela3[[#This Row],[Qtde Cx Produzida]] &lt;&gt; 0, Tabela3[[#This Row],[Tempo]] / Tabela3[[#This Row],[Qtde Cx Produzida]], 0),0)</f>
        <v>4.340277777777778E-3</v>
      </c>
      <c r="P893" s="57">
        <f>IFERROR(Tabela3[[#This Row],[Perda Pçs]]/Tabela3[[#This Row],[Qdt Peça Placa]],0)</f>
        <v>1.25</v>
      </c>
      <c r="Q893" s="37">
        <f>IFERROR(Tabela3[[#This Row],[Realizado]]*Tabela3[[#This Row],[Peso Util/Pç]],0)</f>
        <v>12.69</v>
      </c>
      <c r="R893" s="37">
        <f>IFERROR(Tabela3[[#This Row],[Peso Total Galho]]*Tabela3[[#This Row],[Qtde Cx Produzida]]*1.055,0)</f>
        <v>26.130240000000001</v>
      </c>
      <c r="S893" s="37">
        <f>(Tabela3[[#This Row],[Aluminio Bruto]]-Tabela3[[#This Row],[Aluminio Util]])*0.9</f>
        <v>12.096216000000002</v>
      </c>
      <c r="T893" s="37">
        <f>Tabela3[[#This Row],[Aluminio Bruto]]/OleoKGAluminio</f>
        <v>10.992958181924276</v>
      </c>
      <c r="U893" s="35">
        <f>IFERROR((VLOOKUP(Tabela3[[#This Row],[Moldador]],Tabela1[],5,)+(VLOOKUP(Tabela3[[#This Row],[Ajudante]],Tabela1[],5,))*3.5),0)</f>
        <v>126.0945</v>
      </c>
      <c r="V893" s="35">
        <f>IFERROR(Tabela3[[#This Row],[Custo M.O. / H]]/((Tabela3[[#This Row],[Realizado]]/Tabela3[[#This Row],[Qdt Peça Placa]])/Tabela3[[#This Row],[Tempo]]/24),)</f>
        <v>15.567222222222222</v>
      </c>
      <c r="W893" s="35">
        <f>Tabela3[[#This Row],[Custo / Cx Moldada]]*Tabela3[[#This Row],[Qtde Cx Produzida]]</f>
        <v>124.53777777777778</v>
      </c>
      <c r="X893" s="35">
        <f ca="1">Tabela3[[#This Row],[Aluminio Util]]*Tabela3[[#This Row],[Custo/Kg]]</f>
        <v>197.964</v>
      </c>
      <c r="Y893" s="35">
        <f>IFERROR(VLOOKUP(Tabela3[[#This Row],[Data]],Tabela461213[],2,1)*(Tabela3[[#This Row],[Qtde Cx Produzida]]*Tabela3[[#This Row],[Qde macho / CX]]*Tabela3[[#This Row],[Peso Macho]]),)</f>
        <v>0</v>
      </c>
      <c r="Z893" s="35">
        <f>IFERROR(Tabela3[[#This Row],[Qtde Oleo]]*(VLOOKUP(Tabela3[[#This Row],[Data]],CompraOleo[],3,TRUE))*1.05,0)</f>
        <v>28.856515227551228</v>
      </c>
      <c r="AA893" s="47">
        <f ca="1">(Tabela3[[#This Row],[Custo Oleo]]+Tabela3[[#This Row],[Custo Aluminio]]+Tabela3[[#This Row],[Custo M.O. Total]]+Tabela3[[#This Row],[Custo Machos]])</f>
        <v>351.35829300532902</v>
      </c>
      <c r="AB893" s="47">
        <f ca="1">Tabela3[[#This Row],[Custo Total]]*Tabela3[[#This Row],[% Perda]]</f>
        <v>54.899733282082657</v>
      </c>
      <c r="AC893" s="48">
        <f>IFERROR(VLOOKUP(Tabela3[[#This Row],[Produto]],Tabela2[],2,0),0)</f>
        <v>4</v>
      </c>
      <c r="AD893" s="48">
        <f>IFERROR(VLOOKUP(Tabela3[[#This Row],[Produto]],Tabela2[],3,0),0)</f>
        <v>0.47</v>
      </c>
      <c r="AE893" s="48">
        <f>IFERROR(VLOOKUP(Tabela3[[#This Row],[Produto]],Tabela2[],4,0),0)</f>
        <v>3.0960000000000001</v>
      </c>
      <c r="AF893" s="48">
        <f>IFERROR(VLOOKUP(Tabela3[[#This Row],[Produto]],Tabela2[],5,0),0)</f>
        <v>1.0944000000000003</v>
      </c>
      <c r="AG893" s="40">
        <f>IFERROR(VLOOKUP(Tabela3[[#This Row],[Produto]],Tabela2[],6,0),0)</f>
        <v>0</v>
      </c>
      <c r="AH893" s="40">
        <f>IFERROR(VLOOKUP(Tabela3[[#This Row],[Produto]],Tabela2[],7,0),0)</f>
        <v>0</v>
      </c>
      <c r="AI893" s="40">
        <f>IFERROR(VLOOKUP(Tabela3[[#This Row],[Produto]],Tabela2[],8,0),0)</f>
        <v>0</v>
      </c>
      <c r="AJ893" s="35">
        <f ca="1">IFERROR(VLOOKUP(Tabela3[[#This Row],[Produto]],Tabela2[],13,0),0)</f>
        <v>15.600000000000001</v>
      </c>
      <c r="AK893" s="40" t="str">
        <f>IFERROR(VLOOKUP(Tabela3[[#This Row],[Produto]],Tabela2[],14,0),0)</f>
        <v>Senun</v>
      </c>
      <c r="AL893" s="40">
        <f>IFERROR(VLOOKUP(Tabela3[[#This Row],[Produto]],Tabela2[],15,0),0)</f>
        <v>4</v>
      </c>
      <c r="AM893" s="36">
        <f ca="1">(Tabela3[[#This Row],[Custo Usinagem]]+Tabela3[[#This Row],[Custo / Pç]])*1.2</f>
        <v>20.415924133570179</v>
      </c>
      <c r="AN893" s="36">
        <f ca="1">Tabela3[[#This Row],[Valor Mínimo Venda]]*1.15</f>
        <v>23.478312753605703</v>
      </c>
      <c r="AO893" s="36">
        <f ca="1">Tabela3[[#This Row],[Tabela 1]]*1.08</f>
        <v>25.356577773894163</v>
      </c>
      <c r="AP893" s="36">
        <f ca="1">Tabela3[[#This Row],[Tabela 2]]*1.15</f>
        <v>29.160064439978285</v>
      </c>
    </row>
    <row r="894" spans="1:42">
      <c r="A894" s="9">
        <v>46044</v>
      </c>
      <c r="B894" s="6" t="s">
        <v>143</v>
      </c>
      <c r="C894" s="14">
        <v>8955</v>
      </c>
      <c r="D894" s="6" t="s">
        <v>46</v>
      </c>
      <c r="E894" s="6" t="s">
        <v>44</v>
      </c>
      <c r="F894" s="6">
        <v>10</v>
      </c>
      <c r="G894" s="15">
        <v>5.9722222222222225E-2</v>
      </c>
      <c r="H894" s="16">
        <v>0</v>
      </c>
      <c r="I894" s="35">
        <f ca="1">IFERROR(Tabela3[[#This Row],[Custo Total]]/Tabela3[[#This Row],[Aluminio Util]],0)</f>
        <v>89.771476119507113</v>
      </c>
      <c r="J894" s="35">
        <f ca="1">Tabela3[[#This Row],[Custo Total]]/Tabela3[[#This Row],[Realizado]]</f>
        <v>23.879212647788894</v>
      </c>
      <c r="K894" s="37">
        <f>IFERROR(Tabela3[[#This Row],[Qtde Cx Produzida]]/Tabela3[[#This Row],[Tempo]]/24,0)</f>
        <v>6.9767441860465107</v>
      </c>
      <c r="L894" s="37">
        <f>Tabela3[[#This Row],[Qtde Cx Produzida]]*Tabela3[[#This Row],[Qdt Peça Placa]]</f>
        <v>10</v>
      </c>
      <c r="M894" s="37">
        <f>Tabela3[[#This Row],[Previsto]]-Tabela3[[#This Row],[Perda Pçs]]</f>
        <v>10</v>
      </c>
      <c r="N894" s="38">
        <f>IFERROR(Tabela3[[#This Row],[Perda Pçs]]/Tabela3[[#This Row],[Previsto]],0)</f>
        <v>0</v>
      </c>
      <c r="O894" s="39">
        <f>IFERROR(IF(Tabela3[[#This Row],[Qtde Cx Produzida]] &lt;&gt; 0, Tabela3[[#This Row],[Tempo]] / Tabela3[[#This Row],[Qtde Cx Produzida]], 0),0)</f>
        <v>5.9722222222222225E-3</v>
      </c>
      <c r="P894" s="57">
        <f>IFERROR(Tabela3[[#This Row],[Perda Pçs]]/Tabela3[[#This Row],[Qdt Peça Placa]],0)</f>
        <v>0</v>
      </c>
      <c r="Q894" s="37">
        <f>IFERROR(Tabela3[[#This Row],[Realizado]]*Tabela3[[#This Row],[Peso Util/Pç]],0)</f>
        <v>2.66</v>
      </c>
      <c r="R894" s="37">
        <f>IFERROR(Tabela3[[#This Row],[Peso Total Galho]]*Tabela3[[#This Row],[Qtde Cx Produzida]]*1.055,0)</f>
        <v>12.66</v>
      </c>
      <c r="S894" s="37">
        <f>(Tabela3[[#This Row],[Aluminio Bruto]]-Tabela3[[#This Row],[Aluminio Util]])*0.9</f>
        <v>9</v>
      </c>
      <c r="T894" s="37">
        <f>Tabela3[[#This Row],[Aluminio Bruto]]/OleoKGAluminio</f>
        <v>5.3260456307772657</v>
      </c>
      <c r="U894" s="35">
        <f>IFERROR((VLOOKUP(Tabela3[[#This Row],[Moldador]],Tabela1[],5,)+(VLOOKUP(Tabela3[[#This Row],[Ajudante]],Tabela1[],5,))*3.5),0)</f>
        <v>126.0945</v>
      </c>
      <c r="V894" s="35">
        <f>IFERROR(Tabela3[[#This Row],[Custo M.O. / H]]/((Tabela3[[#This Row],[Realizado]]/Tabela3[[#This Row],[Qdt Peça Placa]])/Tabela3[[#This Row],[Tempo]]/24),)</f>
        <v>18.073545000000003</v>
      </c>
      <c r="W894" s="35">
        <f>Tabela3[[#This Row],[Custo / Cx Moldada]]*Tabela3[[#This Row],[Qtde Cx Produzida]]</f>
        <v>180.73545000000001</v>
      </c>
      <c r="X894" s="35">
        <f ca="1">Tabela3[[#This Row],[Aluminio Util]]*Tabela3[[#This Row],[Custo/Kg]]</f>
        <v>44.075806697098592</v>
      </c>
      <c r="Y894" s="35">
        <f>IFERROR(VLOOKUP(Tabela3[[#This Row],[Data]],Tabela461213[],2,1)*(Tabela3[[#This Row],[Qtde Cx Produzida]]*Tabela3[[#This Row],[Qde macho / CX]]*Tabela3[[#This Row],[Peso Macho]]),)</f>
        <v>0</v>
      </c>
      <c r="Z894" s="35">
        <f>IFERROR(Tabela3[[#This Row],[Qtde Oleo]]*(VLOOKUP(Tabela3[[#This Row],[Data]],CompraOleo[],3,TRUE))*1.05,0)</f>
        <v>13.980869780790323</v>
      </c>
      <c r="AA894" s="47">
        <f ca="1">(Tabela3[[#This Row],[Custo Oleo]]+Tabela3[[#This Row],[Custo Aluminio]]+Tabela3[[#This Row],[Custo M.O. Total]]+Tabela3[[#This Row],[Custo Machos]])</f>
        <v>238.79212647788893</v>
      </c>
      <c r="AB894" s="47">
        <f ca="1">Tabela3[[#This Row],[Custo Total]]*Tabela3[[#This Row],[% Perda]]</f>
        <v>0</v>
      </c>
      <c r="AC894" s="48">
        <f>IFERROR(VLOOKUP(Tabela3[[#This Row],[Produto]],Tabela2[],2,0),0)</f>
        <v>1</v>
      </c>
      <c r="AD894" s="48">
        <f>IFERROR(VLOOKUP(Tabela3[[#This Row],[Produto]],Tabela2[],3,0),0)</f>
        <v>0.26600000000000001</v>
      </c>
      <c r="AE894" s="48">
        <f>IFERROR(VLOOKUP(Tabela3[[#This Row],[Produto]],Tabela2[],4,0),0)</f>
        <v>1.2</v>
      </c>
      <c r="AF894" s="48">
        <f>IFERROR(VLOOKUP(Tabela3[[#This Row],[Produto]],Tabela2[],5,0),0)</f>
        <v>0.84060000000000001</v>
      </c>
      <c r="AG894" s="40">
        <f>IFERROR(VLOOKUP(Tabela3[[#This Row],[Produto]],Tabela2[],6,0),0)</f>
        <v>0</v>
      </c>
      <c r="AH894" s="40">
        <f>IFERROR(VLOOKUP(Tabela3[[#This Row],[Produto]],Tabela2[],7,0),0)</f>
        <v>0</v>
      </c>
      <c r="AI894" s="40">
        <f>IFERROR(VLOOKUP(Tabela3[[#This Row],[Produto]],Tabela2[],8,0),0)</f>
        <v>0</v>
      </c>
      <c r="AJ894" s="35">
        <f ca="1">IFERROR(VLOOKUP(Tabela3[[#This Row],[Produto]],Tabela2[],13,0),0)</f>
        <v>16.569852141766386</v>
      </c>
      <c r="AK894" s="40" t="str">
        <f>IFERROR(VLOOKUP(Tabela3[[#This Row],[Produto]],Tabela2[],14,0),0)</f>
        <v>Danilo</v>
      </c>
      <c r="AL894" s="40">
        <f>IFERROR(VLOOKUP(Tabela3[[#This Row],[Produto]],Tabela2[],15,0),0)</f>
        <v>0</v>
      </c>
      <c r="AM894" s="36">
        <f ca="1">(Tabela3[[#This Row],[Custo Usinagem]]+Tabela3[[#This Row],[Custo / Pç]])*1.2</f>
        <v>28.655055177346672</v>
      </c>
      <c r="AN894" s="36">
        <f ca="1">Tabela3[[#This Row],[Valor Mínimo Venda]]*1.15</f>
        <v>32.953313453948667</v>
      </c>
      <c r="AO894" s="36">
        <f ca="1">Tabela3[[#This Row],[Tabela 1]]*1.08</f>
        <v>35.589578530264561</v>
      </c>
      <c r="AP894" s="36">
        <f ca="1">Tabela3[[#This Row],[Tabela 2]]*1.15</f>
        <v>40.928015309804245</v>
      </c>
    </row>
    <row r="895" spans="1:42">
      <c r="A895" s="9">
        <v>46044</v>
      </c>
      <c r="B895" s="6" t="s">
        <v>234</v>
      </c>
      <c r="C895" s="14">
        <v>8976</v>
      </c>
      <c r="D895" s="6" t="s">
        <v>46</v>
      </c>
      <c r="E895" s="6" t="s">
        <v>44</v>
      </c>
      <c r="F895" s="6">
        <v>10</v>
      </c>
      <c r="G895" s="15">
        <v>4.8611111111111112E-2</v>
      </c>
      <c r="H895" s="16">
        <v>0</v>
      </c>
      <c r="I895" s="35">
        <f ca="1">IFERROR(Tabela3[[#This Row],[Custo Total]]/Tabela3[[#This Row],[Aluminio Util]],0)</f>
        <v>28.250731227165662</v>
      </c>
      <c r="J895" s="35">
        <f ca="1">Tabela3[[#This Row],[Custo Total]]/Tabela3[[#This Row],[Realizado]]</f>
        <v>45.201169963465063</v>
      </c>
      <c r="K895" s="37">
        <f>IFERROR(Tabela3[[#This Row],[Qtde Cx Produzida]]/Tabela3[[#This Row],[Tempo]]/24,0)</f>
        <v>8.5714285714285712</v>
      </c>
      <c r="L895" s="37">
        <f>Tabela3[[#This Row],[Qtde Cx Produzida]]*Tabela3[[#This Row],[Qdt Peça Placa]]</f>
        <v>10</v>
      </c>
      <c r="M895" s="37">
        <f>Tabela3[[#This Row],[Previsto]]-Tabela3[[#This Row],[Perda Pçs]]</f>
        <v>10</v>
      </c>
      <c r="N895" s="38">
        <f>IFERROR(Tabela3[[#This Row],[Perda Pçs]]/Tabela3[[#This Row],[Previsto]],0)</f>
        <v>0</v>
      </c>
      <c r="O895" s="39">
        <f>IFERROR(IF(Tabela3[[#This Row],[Qtde Cx Produzida]] &lt;&gt; 0, Tabela3[[#This Row],[Tempo]] / Tabela3[[#This Row],[Qtde Cx Produzida]], 0),0)</f>
        <v>4.8611111111111112E-3</v>
      </c>
      <c r="P895" s="57">
        <f>IFERROR(Tabela3[[#This Row],[Perda Pçs]]/Tabela3[[#This Row],[Qdt Peça Placa]],0)</f>
        <v>0</v>
      </c>
      <c r="Q895" s="37">
        <f>IFERROR(Tabela3[[#This Row],[Realizado]]*Tabela3[[#This Row],[Peso Util/Pç]],0)</f>
        <v>16</v>
      </c>
      <c r="R895" s="37">
        <f>IFERROR(Tabela3[[#This Row],[Peso Total Galho]]*Tabela3[[#This Row],[Qtde Cx Produzida]]*1.055,0)</f>
        <v>21.099999999999998</v>
      </c>
      <c r="S895" s="37">
        <f>(Tabela3[[#This Row],[Aluminio Bruto]]-Tabela3[[#This Row],[Aluminio Util]])*0.9</f>
        <v>4.5899999999999981</v>
      </c>
      <c r="T895" s="37">
        <f>Tabela3[[#This Row],[Aluminio Bruto]]/OleoKGAluminio</f>
        <v>8.8767427179621095</v>
      </c>
      <c r="U895" s="35">
        <f>IFERROR((VLOOKUP(Tabela3[[#This Row],[Moldador]],Tabela1[],5,)+(VLOOKUP(Tabela3[[#This Row],[Ajudante]],Tabela1[],5,))*3.5),0)</f>
        <v>126.0945</v>
      </c>
      <c r="V895" s="35">
        <f>IFERROR(Tabela3[[#This Row],[Custo M.O. / H]]/((Tabela3[[#This Row],[Realizado]]/Tabela3[[#This Row],[Qdt Peça Placa]])/Tabela3[[#This Row],[Tempo]]/24),)</f>
        <v>14.711024999999999</v>
      </c>
      <c r="W895" s="35">
        <f>Tabela3[[#This Row],[Custo / Cx Moldada]]*Tabela3[[#This Row],[Qtde Cx Produzida]]</f>
        <v>147.11025000000001</v>
      </c>
      <c r="X895" s="35">
        <f ca="1">Tabela3[[#This Row],[Aluminio Util]]*Tabela3[[#This Row],[Custo/Kg]]</f>
        <v>281.60000000000002</v>
      </c>
      <c r="Y895" s="35">
        <f>IFERROR(VLOOKUP(Tabela3[[#This Row],[Data]],Tabela461213[],2,1)*(Tabela3[[#This Row],[Qtde Cx Produzida]]*Tabela3[[#This Row],[Qde macho / CX]]*Tabela3[[#This Row],[Peso Macho]]),)</f>
        <v>0</v>
      </c>
      <c r="Z895" s="35">
        <f>IFERROR(Tabela3[[#This Row],[Qtde Oleo]]*(VLOOKUP(Tabela3[[#This Row],[Data]],CompraOleo[],3,TRUE))*1.05,0)</f>
        <v>23.301449634650538</v>
      </c>
      <c r="AA895" s="47">
        <f ca="1">(Tabela3[[#This Row],[Custo Oleo]]+Tabela3[[#This Row],[Custo Aluminio]]+Tabela3[[#This Row],[Custo M.O. Total]]+Tabela3[[#This Row],[Custo Machos]])</f>
        <v>452.0116996346506</v>
      </c>
      <c r="AB895" s="47">
        <f ca="1">Tabela3[[#This Row],[Custo Total]]*Tabela3[[#This Row],[% Perda]]</f>
        <v>0</v>
      </c>
      <c r="AC895" s="48">
        <f>IFERROR(VLOOKUP(Tabela3[[#This Row],[Produto]],Tabela2[],2,0),0)</f>
        <v>1</v>
      </c>
      <c r="AD895" s="48">
        <f>IFERROR(VLOOKUP(Tabela3[[#This Row],[Produto]],Tabela2[],3,0),0)</f>
        <v>1.6</v>
      </c>
      <c r="AE895" s="48">
        <f>IFERROR(VLOOKUP(Tabela3[[#This Row],[Produto]],Tabela2[],4,0),0)</f>
        <v>2</v>
      </c>
      <c r="AF895" s="48">
        <f>IFERROR(VLOOKUP(Tabela3[[#This Row],[Produto]],Tabela2[],5,0),0)</f>
        <v>0.35999999999999993</v>
      </c>
      <c r="AG895" s="40">
        <f>IFERROR(VLOOKUP(Tabela3[[#This Row],[Produto]],Tabela2[],6,0),0)</f>
        <v>0</v>
      </c>
      <c r="AH895" s="40">
        <f>IFERROR(VLOOKUP(Tabela3[[#This Row],[Produto]],Tabela2[],7,0),0)</f>
        <v>0</v>
      </c>
      <c r="AI895" s="40">
        <f>IFERROR(VLOOKUP(Tabela3[[#This Row],[Produto]],Tabela2[],8,0),0)</f>
        <v>0</v>
      </c>
      <c r="AJ895" s="35">
        <f ca="1">IFERROR(VLOOKUP(Tabela3[[#This Row],[Produto]],Tabela2[],13,0),0)</f>
        <v>17.600000000000001</v>
      </c>
      <c r="AK895" s="40" t="str">
        <f>IFERROR(VLOOKUP(Tabela3[[#This Row],[Produto]],Tabela2[],14,0),0)</f>
        <v>Danilo</v>
      </c>
      <c r="AL895" s="40">
        <f>IFERROR(VLOOKUP(Tabela3[[#This Row],[Produto]],Tabela2[],15,0),0)</f>
        <v>0</v>
      </c>
      <c r="AM895" s="36">
        <f ca="1">(Tabela3[[#This Row],[Custo Usinagem]]+Tabela3[[#This Row],[Custo / Pç]])*1.2</f>
        <v>54.241403956158074</v>
      </c>
      <c r="AN895" s="36">
        <f ca="1">Tabela3[[#This Row],[Valor Mínimo Venda]]*1.15</f>
        <v>62.377614549581779</v>
      </c>
      <c r="AO895" s="36">
        <f ca="1">Tabela3[[#This Row],[Tabela 1]]*1.08</f>
        <v>67.367823713548319</v>
      </c>
      <c r="AP895" s="36">
        <f ca="1">Tabela3[[#This Row],[Tabela 2]]*1.15</f>
        <v>77.472997270580564</v>
      </c>
    </row>
    <row r="896" spans="1:42">
      <c r="A896" s="9">
        <v>46044</v>
      </c>
      <c r="B896" s="6" t="s">
        <v>257</v>
      </c>
      <c r="C896" s="14">
        <v>8768</v>
      </c>
      <c r="D896" s="6" t="s">
        <v>46</v>
      </c>
      <c r="E896" s="6" t="s">
        <v>44</v>
      </c>
      <c r="F896" s="6">
        <v>50</v>
      </c>
      <c r="G896" s="15">
        <v>0.21875</v>
      </c>
      <c r="H896" s="16">
        <v>0</v>
      </c>
      <c r="I896" s="35">
        <f ca="1">IFERROR(Tabela3[[#This Row],[Custo Total]]/Tabela3[[#This Row],[Aluminio Util]],0)</f>
        <v>31.403081959811562</v>
      </c>
      <c r="J896" s="35">
        <f ca="1">Tabela3[[#This Row],[Custo Total]]/Tabela3[[#This Row],[Realizado]]</f>
        <v>3.9253852449764453</v>
      </c>
      <c r="K896" s="37">
        <f>IFERROR(Tabela3[[#This Row],[Qtde Cx Produzida]]/Tabela3[[#This Row],[Tempo]]/24,0)</f>
        <v>9.5238095238095237</v>
      </c>
      <c r="L896" s="37">
        <f>Tabela3[[#This Row],[Qtde Cx Produzida]]*Tabela3[[#This Row],[Qdt Peça Placa]]</f>
        <v>400</v>
      </c>
      <c r="M896" s="37">
        <f>Tabela3[[#This Row],[Previsto]]-Tabela3[[#This Row],[Perda Pçs]]</f>
        <v>400</v>
      </c>
      <c r="N896" s="38">
        <f>IFERROR(Tabela3[[#This Row],[Perda Pçs]]/Tabela3[[#This Row],[Previsto]],0)</f>
        <v>0</v>
      </c>
      <c r="O896" s="39">
        <f>IFERROR(IF(Tabela3[[#This Row],[Qtde Cx Produzida]] &lt;&gt; 0, Tabela3[[#This Row],[Tempo]] / Tabela3[[#This Row],[Qtde Cx Produzida]], 0),0)</f>
        <v>4.3750000000000004E-3</v>
      </c>
      <c r="P896" s="57">
        <f>IFERROR(Tabela3[[#This Row],[Perda Pçs]]/Tabela3[[#This Row],[Qdt Peça Placa]],0)</f>
        <v>0</v>
      </c>
      <c r="Q896" s="37">
        <f>IFERROR(Tabela3[[#This Row],[Realizado]]*Tabela3[[#This Row],[Peso Util/Pç]],0)</f>
        <v>50</v>
      </c>
      <c r="R896" s="37">
        <f>IFERROR(Tabela3[[#This Row],[Peso Total Galho]]*Tabela3[[#This Row],[Qtde Cx Produzida]]*1.055,0)</f>
        <v>116.05000000000001</v>
      </c>
      <c r="S896" s="37">
        <f>(Tabela3[[#This Row],[Aluminio Bruto]]-Tabela3[[#This Row],[Aluminio Util]])*0.9</f>
        <v>59.445000000000014</v>
      </c>
      <c r="T896" s="37">
        <f>Tabela3[[#This Row],[Aluminio Bruto]]/OleoKGAluminio</f>
        <v>48.822084948791606</v>
      </c>
      <c r="U896" s="35">
        <f>IFERROR((VLOOKUP(Tabela3[[#This Row],[Moldador]],Tabela1[],5,)+(VLOOKUP(Tabela3[[#This Row],[Ajudante]],Tabela1[],5,))*3.5),0)</f>
        <v>126.0945</v>
      </c>
      <c r="V896" s="35">
        <f>IFERROR(Tabela3[[#This Row],[Custo M.O. / H]]/((Tabela3[[#This Row],[Realizado]]/Tabela3[[#This Row],[Qdt Peça Placa]])/Tabela3[[#This Row],[Tempo]]/24),)</f>
        <v>13.2399225</v>
      </c>
      <c r="W896" s="35">
        <f>Tabela3[[#This Row],[Custo / Cx Moldada]]*Tabela3[[#This Row],[Qtde Cx Produzida]]</f>
        <v>661.99612500000001</v>
      </c>
      <c r="X896" s="35">
        <f ca="1">Tabela3[[#This Row],[Aluminio Util]]*Tabela3[[#This Row],[Custo/Kg]]</f>
        <v>780.00000000000011</v>
      </c>
      <c r="Y896" s="35">
        <f>IFERROR(VLOOKUP(Tabela3[[#This Row],[Data]],Tabela461213[],2,1)*(Tabela3[[#This Row],[Qtde Cx Produzida]]*Tabela3[[#This Row],[Qde macho / CX]]*Tabela3[[#This Row],[Peso Macho]]),)</f>
        <v>0</v>
      </c>
      <c r="Z896" s="35">
        <f>IFERROR(Tabela3[[#This Row],[Qtde Oleo]]*(VLOOKUP(Tabela3[[#This Row],[Data]],CompraOleo[],3,TRUE))*1.05,0)</f>
        <v>128.15797299057797</v>
      </c>
      <c r="AA896" s="47">
        <f ca="1">(Tabela3[[#This Row],[Custo Oleo]]+Tabela3[[#This Row],[Custo Aluminio]]+Tabela3[[#This Row],[Custo M.O. Total]]+Tabela3[[#This Row],[Custo Machos]])</f>
        <v>1570.1540979905781</v>
      </c>
      <c r="AB896" s="47">
        <f ca="1">Tabela3[[#This Row],[Custo Total]]*Tabela3[[#This Row],[% Perda]]</f>
        <v>0</v>
      </c>
      <c r="AC896" s="48">
        <f>IFERROR(VLOOKUP(Tabela3[[#This Row],[Produto]],Tabela2[],2,0),0)</f>
        <v>8</v>
      </c>
      <c r="AD896" s="48">
        <f>IFERROR(VLOOKUP(Tabela3[[#This Row],[Produto]],Tabela2[],3,0),0)</f>
        <v>0.125</v>
      </c>
      <c r="AE896" s="48">
        <f>IFERROR(VLOOKUP(Tabela3[[#This Row],[Produto]],Tabela2[],4,0),0)</f>
        <v>2.2000000000000002</v>
      </c>
      <c r="AF896" s="48">
        <f>IFERROR(VLOOKUP(Tabela3[[#This Row],[Produto]],Tabela2[],5,0),0)</f>
        <v>1.0800000000000003</v>
      </c>
      <c r="AG896" s="40">
        <f>IFERROR(VLOOKUP(Tabela3[[#This Row],[Produto]],Tabela2[],6,0),0)</f>
        <v>0</v>
      </c>
      <c r="AH896" s="40">
        <f>IFERROR(VLOOKUP(Tabela3[[#This Row],[Produto]],Tabela2[],7,0),0)</f>
        <v>0</v>
      </c>
      <c r="AI896" s="40">
        <f>IFERROR(VLOOKUP(Tabela3[[#This Row],[Produto]],Tabela2[],8,0),0)</f>
        <v>0</v>
      </c>
      <c r="AJ896" s="35">
        <f ca="1">IFERROR(VLOOKUP(Tabela3[[#This Row],[Produto]],Tabela2[],13,0),0)</f>
        <v>15.600000000000001</v>
      </c>
      <c r="AK896" s="40" t="str">
        <f>IFERROR(VLOOKUP(Tabela3[[#This Row],[Produto]],Tabela2[],14,0),0)</f>
        <v>Senun</v>
      </c>
      <c r="AL896" s="40">
        <f>IFERROR(VLOOKUP(Tabela3[[#This Row],[Produto]],Tabela2[],15,0),0)</f>
        <v>7</v>
      </c>
      <c r="AM896" s="36">
        <f ca="1">(Tabela3[[#This Row],[Custo Usinagem]]+Tabela3[[#This Row],[Custo / Pç]])*1.2</f>
        <v>13.110462293971734</v>
      </c>
      <c r="AN896" s="36">
        <f ca="1">Tabela3[[#This Row],[Valor Mínimo Venda]]*1.15</f>
        <v>15.077031638067494</v>
      </c>
      <c r="AO896" s="36">
        <f ca="1">Tabela3[[#This Row],[Tabela 1]]*1.08</f>
        <v>16.283194169112896</v>
      </c>
      <c r="AP896" s="36">
        <f ca="1">Tabela3[[#This Row],[Tabela 2]]*1.15</f>
        <v>18.725673294479829</v>
      </c>
    </row>
    <row r="897" spans="1:42">
      <c r="A897" s="9">
        <v>46044</v>
      </c>
      <c r="B897" s="6" t="s">
        <v>241</v>
      </c>
      <c r="C897" s="14">
        <v>8914</v>
      </c>
      <c r="D897" s="6" t="s">
        <v>46</v>
      </c>
      <c r="E897" s="6" t="s">
        <v>44</v>
      </c>
      <c r="F897" s="6">
        <v>10</v>
      </c>
      <c r="G897" s="15">
        <v>5.0694444444444445E-2</v>
      </c>
      <c r="H897" s="16">
        <v>0</v>
      </c>
      <c r="I897" s="35">
        <f ca="1">IFERROR(Tabela3[[#This Row],[Custo Total]]/Tabela3[[#This Row],[Aluminio Util]],0)</f>
        <v>23.923638986760398</v>
      </c>
      <c r="J897" s="35">
        <f ca="1">Tabela3[[#This Row],[Custo Total]]/Tabela3[[#This Row],[Realizado]]</f>
        <v>14.665190698884123</v>
      </c>
      <c r="K897" s="37">
        <f>IFERROR(Tabela3[[#This Row],[Qtde Cx Produzida]]/Tabela3[[#This Row],[Tempo]]/24,0)</f>
        <v>8.2191780821917799</v>
      </c>
      <c r="L897" s="37">
        <f>Tabela3[[#This Row],[Qtde Cx Produzida]]*Tabela3[[#This Row],[Qdt Peça Placa]]</f>
        <v>40</v>
      </c>
      <c r="M897" s="37">
        <f>Tabela3[[#This Row],[Previsto]]-Tabela3[[#This Row],[Perda Pçs]]</f>
        <v>40</v>
      </c>
      <c r="N897" s="38">
        <f>IFERROR(Tabela3[[#This Row],[Perda Pçs]]/Tabela3[[#This Row],[Previsto]],0)</f>
        <v>0</v>
      </c>
      <c r="O897" s="39">
        <f>IFERROR(IF(Tabela3[[#This Row],[Qtde Cx Produzida]] &lt;&gt; 0, Tabela3[[#This Row],[Tempo]] / Tabela3[[#This Row],[Qtde Cx Produzida]], 0),0)</f>
        <v>5.0694444444444441E-3</v>
      </c>
      <c r="P897" s="57">
        <f>IFERROR(Tabela3[[#This Row],[Perda Pçs]]/Tabela3[[#This Row],[Qdt Peça Placa]],0)</f>
        <v>0</v>
      </c>
      <c r="Q897" s="37">
        <f>IFERROR(Tabela3[[#This Row],[Realizado]]*Tabela3[[#This Row],[Peso Util/Pç]],0)</f>
        <v>24.52</v>
      </c>
      <c r="R897" s="37">
        <f>IFERROR(Tabela3[[#This Row],[Peso Total Galho]]*Tabela3[[#This Row],[Qtde Cx Produzida]]*1.055,0)</f>
        <v>45.892499999999998</v>
      </c>
      <c r="S897" s="37">
        <f>(Tabela3[[#This Row],[Aluminio Bruto]]-Tabela3[[#This Row],[Aluminio Util]])*0.9</f>
        <v>19.235250000000001</v>
      </c>
      <c r="T897" s="37">
        <f>Tabela3[[#This Row],[Aluminio Bruto]]/OleoKGAluminio</f>
        <v>19.306915411567587</v>
      </c>
      <c r="U897" s="35">
        <f>IFERROR((VLOOKUP(Tabela3[[#This Row],[Moldador]],Tabela1[],5,)+(VLOOKUP(Tabela3[[#This Row],[Ajudante]],Tabela1[],5,))*3.5),0)</f>
        <v>126.0945</v>
      </c>
      <c r="V897" s="35">
        <f>IFERROR(Tabela3[[#This Row],[Custo M.O. / H]]/((Tabela3[[#This Row],[Realizado]]/Tabela3[[#This Row],[Qdt Peça Placa]])/Tabela3[[#This Row],[Tempo]]/24),)</f>
        <v>15.341497500000001</v>
      </c>
      <c r="W897" s="35">
        <f>Tabela3[[#This Row],[Custo / Cx Moldada]]*Tabela3[[#This Row],[Qtde Cx Produzida]]</f>
        <v>153.414975</v>
      </c>
      <c r="X897" s="35">
        <f ca="1">Tabela3[[#This Row],[Aluminio Util]]*Tabela3[[#This Row],[Custo/Kg]]</f>
        <v>382.512</v>
      </c>
      <c r="Y897" s="35">
        <f>IFERROR(VLOOKUP(Tabela3[[#This Row],[Data]],Tabela461213[],2,1)*(Tabela3[[#This Row],[Qtde Cx Produzida]]*Tabela3[[#This Row],[Qde macho / CX]]*Tabela3[[#This Row],[Peso Macho]]),)</f>
        <v>0</v>
      </c>
      <c r="Z897" s="35">
        <f>IFERROR(Tabela3[[#This Row],[Qtde Oleo]]*(VLOOKUP(Tabela3[[#This Row],[Data]],CompraOleo[],3,TRUE))*1.05,0)</f>
        <v>50.68065295536492</v>
      </c>
      <c r="AA897" s="47">
        <f ca="1">(Tabela3[[#This Row],[Custo Oleo]]+Tabela3[[#This Row],[Custo Aluminio]]+Tabela3[[#This Row],[Custo M.O. Total]]+Tabela3[[#This Row],[Custo Machos]])</f>
        <v>586.60762795536493</v>
      </c>
      <c r="AB897" s="47">
        <f ca="1">Tabela3[[#This Row],[Custo Total]]*Tabela3[[#This Row],[% Perda]]</f>
        <v>0</v>
      </c>
      <c r="AC897" s="48">
        <f>IFERROR(VLOOKUP(Tabela3[[#This Row],[Produto]],Tabela2[],2,0),0)</f>
        <v>4</v>
      </c>
      <c r="AD897" s="48">
        <f>IFERROR(VLOOKUP(Tabela3[[#This Row],[Produto]],Tabela2[],3,0),0)</f>
        <v>0.61299999999999999</v>
      </c>
      <c r="AE897" s="48">
        <f>IFERROR(VLOOKUP(Tabela3[[#This Row],[Produto]],Tabela2[],4,0),0)</f>
        <v>4.3499999999999996</v>
      </c>
      <c r="AF897" s="48">
        <f>IFERROR(VLOOKUP(Tabela3[[#This Row],[Produto]],Tabela2[],5,0),0)</f>
        <v>1.7081999999999997</v>
      </c>
      <c r="AG897" s="40">
        <f>IFERROR(VLOOKUP(Tabela3[[#This Row],[Produto]],Tabela2[],6,0),0)</f>
        <v>0</v>
      </c>
      <c r="AH897" s="40">
        <f>IFERROR(VLOOKUP(Tabela3[[#This Row],[Produto]],Tabela2[],7,0),0)</f>
        <v>0</v>
      </c>
      <c r="AI897" s="40">
        <f>IFERROR(VLOOKUP(Tabela3[[#This Row],[Produto]],Tabela2[],8,0),0)</f>
        <v>0</v>
      </c>
      <c r="AJ897" s="35">
        <f ca="1">IFERROR(VLOOKUP(Tabela3[[#This Row],[Produto]],Tabela2[],13,0),0)</f>
        <v>15.600000000000001</v>
      </c>
      <c r="AK897" s="40" t="str">
        <f>IFERROR(VLOOKUP(Tabela3[[#This Row],[Produto]],Tabela2[],14,0),0)</f>
        <v>Senun</v>
      </c>
      <c r="AL897" s="40">
        <f>IFERROR(VLOOKUP(Tabela3[[#This Row],[Produto]],Tabela2[],15,0),0)</f>
        <v>4</v>
      </c>
      <c r="AM897" s="36">
        <f ca="1">(Tabela3[[#This Row],[Custo Usinagem]]+Tabela3[[#This Row],[Custo / Pç]])*1.2</f>
        <v>22.398228838660948</v>
      </c>
      <c r="AN897" s="36">
        <f ca="1">Tabela3[[#This Row],[Valor Mínimo Venda]]*1.15</f>
        <v>25.75796316446009</v>
      </c>
      <c r="AO897" s="36">
        <f ca="1">Tabela3[[#This Row],[Tabela 1]]*1.08</f>
        <v>27.8186002176169</v>
      </c>
      <c r="AP897" s="36">
        <f ca="1">Tabela3[[#This Row],[Tabela 2]]*1.15</f>
        <v>31.991390250259432</v>
      </c>
    </row>
    <row r="898" spans="1:42">
      <c r="A898" s="9">
        <v>46045</v>
      </c>
      <c r="B898" s="6" t="s">
        <v>247</v>
      </c>
      <c r="C898" s="14">
        <v>8977</v>
      </c>
      <c r="D898" s="6" t="s">
        <v>46</v>
      </c>
      <c r="E898" s="6" t="s">
        <v>44</v>
      </c>
      <c r="F898" s="6">
        <v>60</v>
      </c>
      <c r="G898" s="15">
        <v>0.29652777777777778</v>
      </c>
      <c r="H898" s="16">
        <v>0</v>
      </c>
      <c r="I898" s="35">
        <f ca="1">IFERROR(Tabela3[[#This Row],[Custo Total]]/Tabela3[[#This Row],[Aluminio Util]],0)</f>
        <v>30.296562881654008</v>
      </c>
      <c r="J898" s="35">
        <f ca="1">Tabela3[[#This Row],[Custo Total]]/Tabela3[[#This Row],[Realizado]]</f>
        <v>9.0889688644962021</v>
      </c>
      <c r="K898" s="37">
        <f>IFERROR(Tabela3[[#This Row],[Qtde Cx Produzida]]/Tabela3[[#This Row],[Tempo]]/24,0)</f>
        <v>8.4309133489461363</v>
      </c>
      <c r="L898" s="37">
        <f>Tabela3[[#This Row],[Qtde Cx Produzida]]*Tabela3[[#This Row],[Qdt Peça Placa]]</f>
        <v>240</v>
      </c>
      <c r="M898" s="37">
        <f>Tabela3[[#This Row],[Previsto]]-Tabela3[[#This Row],[Perda Pçs]]</f>
        <v>240</v>
      </c>
      <c r="N898" s="38">
        <f>IFERROR(Tabela3[[#This Row],[Perda Pçs]]/Tabela3[[#This Row],[Previsto]],0)</f>
        <v>0</v>
      </c>
      <c r="O898" s="39">
        <f>IFERROR(IF(Tabela3[[#This Row],[Qtde Cx Produzida]] &lt;&gt; 0, Tabela3[[#This Row],[Tempo]] / Tabela3[[#This Row],[Qtde Cx Produzida]], 0),0)</f>
        <v>4.9421296296296297E-3</v>
      </c>
      <c r="P898" s="57">
        <f>IFERROR(Tabela3[[#This Row],[Perda Pçs]]/Tabela3[[#This Row],[Qdt Peça Placa]],0)</f>
        <v>0</v>
      </c>
      <c r="Q898" s="37">
        <f>IFERROR(Tabela3[[#This Row],[Realizado]]*Tabela3[[#This Row],[Peso Util/Pç]],0)</f>
        <v>72</v>
      </c>
      <c r="R898" s="37">
        <f>IFERROR(Tabela3[[#This Row],[Peso Total Galho]]*Tabela3[[#This Row],[Qtde Cx Produzida]]*1.055,0)</f>
        <v>145.59</v>
      </c>
      <c r="S898" s="37">
        <f>(Tabela3[[#This Row],[Aluminio Bruto]]-Tabela3[[#This Row],[Aluminio Util]])*0.9</f>
        <v>66.231000000000009</v>
      </c>
      <c r="T898" s="37">
        <f>Tabela3[[#This Row],[Aluminio Bruto]]/OleoKGAluminio</f>
        <v>61.249524753938559</v>
      </c>
      <c r="U898" s="35">
        <f>IFERROR((VLOOKUP(Tabela3[[#This Row],[Moldador]],Tabela1[],5,)+(VLOOKUP(Tabela3[[#This Row],[Ajudante]],Tabela1[],5,))*3.5),0)</f>
        <v>126.0945</v>
      </c>
      <c r="V898" s="35">
        <f>IFERROR(Tabela3[[#This Row],[Custo M.O. / H]]/((Tabela3[[#This Row],[Realizado]]/Tabela3[[#This Row],[Qdt Peça Placa]])/Tabela3[[#This Row],[Tempo]]/24),)</f>
        <v>14.956208749999998</v>
      </c>
      <c r="W898" s="35">
        <f>Tabela3[[#This Row],[Custo / Cx Moldada]]*Tabela3[[#This Row],[Qtde Cx Produzida]]</f>
        <v>897.37252499999988</v>
      </c>
      <c r="X898" s="35">
        <f ca="1">Tabela3[[#This Row],[Aluminio Util]]*Tabela3[[#This Row],[Custo/Kg]]</f>
        <v>1123.2</v>
      </c>
      <c r="Y898" s="35">
        <f>IFERROR(VLOOKUP(Tabela3[[#This Row],[Data]],Tabela461213[],2,1)*(Tabela3[[#This Row],[Qtde Cx Produzida]]*Tabela3[[#This Row],[Qde macho / CX]]*Tabela3[[#This Row],[Peso Macho]]),)</f>
        <v>0</v>
      </c>
      <c r="Z898" s="35">
        <f>IFERROR(Tabela3[[#This Row],[Qtde Oleo]]*(VLOOKUP(Tabela3[[#This Row],[Data]],CompraOleo[],3,TRUE))*1.05,0)</f>
        <v>160.78000247908872</v>
      </c>
      <c r="AA898" s="47">
        <f ca="1">(Tabela3[[#This Row],[Custo Oleo]]+Tabela3[[#This Row],[Custo Aluminio]]+Tabela3[[#This Row],[Custo M.O. Total]]+Tabela3[[#This Row],[Custo Machos]])</f>
        <v>2181.3525274790886</v>
      </c>
      <c r="AB898" s="47">
        <f ca="1">Tabela3[[#This Row],[Custo Total]]*Tabela3[[#This Row],[% Perda]]</f>
        <v>0</v>
      </c>
      <c r="AC898" s="48">
        <f>IFERROR(VLOOKUP(Tabela3[[#This Row],[Produto]],Tabela2[],2,0),0)</f>
        <v>4</v>
      </c>
      <c r="AD898" s="48">
        <f>IFERROR(VLOOKUP(Tabela3[[#This Row],[Produto]],Tabela2[],3,0),0)</f>
        <v>0.3</v>
      </c>
      <c r="AE898" s="48">
        <f>IFERROR(VLOOKUP(Tabela3[[#This Row],[Produto]],Tabela2[],4,0),0)</f>
        <v>2.2999999999999998</v>
      </c>
      <c r="AF898" s="48">
        <f>IFERROR(VLOOKUP(Tabela3[[#This Row],[Produto]],Tabela2[],5,0),0)</f>
        <v>0.98999999999999988</v>
      </c>
      <c r="AG898" s="40">
        <f>IFERROR(VLOOKUP(Tabela3[[#This Row],[Produto]],Tabela2[],6,0),0)</f>
        <v>0</v>
      </c>
      <c r="AH898" s="40">
        <f>IFERROR(VLOOKUP(Tabela3[[#This Row],[Produto]],Tabela2[],7,0),0)</f>
        <v>0</v>
      </c>
      <c r="AI898" s="40">
        <f>IFERROR(VLOOKUP(Tabela3[[#This Row],[Produto]],Tabela2[],8,0),0)</f>
        <v>0</v>
      </c>
      <c r="AJ898" s="35">
        <f ca="1">IFERROR(VLOOKUP(Tabela3[[#This Row],[Produto]],Tabela2[],13,0),0)</f>
        <v>15.600000000000001</v>
      </c>
      <c r="AK898" s="40" t="str">
        <f>IFERROR(VLOOKUP(Tabela3[[#This Row],[Produto]],Tabela2[],14,0),0)</f>
        <v>Senun</v>
      </c>
      <c r="AL898" s="40">
        <f>IFERROR(VLOOKUP(Tabela3[[#This Row],[Produto]],Tabela2[],15,0),0)</f>
        <v>3.5</v>
      </c>
      <c r="AM898" s="36">
        <f ca="1">(Tabela3[[#This Row],[Custo Usinagem]]+Tabela3[[#This Row],[Custo / Pç]])*1.2</f>
        <v>15.106762637395441</v>
      </c>
      <c r="AN898" s="36">
        <f ca="1">Tabela3[[#This Row],[Valor Mínimo Venda]]*1.15</f>
        <v>17.372777033004756</v>
      </c>
      <c r="AO898" s="36">
        <f ca="1">Tabela3[[#This Row],[Tabela 1]]*1.08</f>
        <v>18.762599195645137</v>
      </c>
      <c r="AP898" s="36">
        <f ca="1">Tabela3[[#This Row],[Tabela 2]]*1.15</f>
        <v>21.576989074991907</v>
      </c>
    </row>
    <row r="899" spans="1:42">
      <c r="A899" s="9">
        <v>46045</v>
      </c>
      <c r="B899" s="6" t="s">
        <v>246</v>
      </c>
      <c r="C899" s="14">
        <v>8959</v>
      </c>
      <c r="D899" s="6" t="s">
        <v>46</v>
      </c>
      <c r="E899" s="6" t="s">
        <v>44</v>
      </c>
      <c r="F899" s="6">
        <v>27</v>
      </c>
      <c r="G899" s="15">
        <v>0.14374999999999999</v>
      </c>
      <c r="H899" s="16">
        <v>0</v>
      </c>
      <c r="I899" s="35">
        <f ca="1">IFERROR(Tabela3[[#This Row],[Custo Total]]/Tabela3[[#This Row],[Aluminio Util]],0)</f>
        <v>24.960607030824271</v>
      </c>
      <c r="J899" s="35">
        <f ca="1">Tabela3[[#This Row],[Custo Total]]/Tabela3[[#This Row],[Realizado]]</f>
        <v>13.304003547429337</v>
      </c>
      <c r="K899" s="37">
        <f>IFERROR(Tabela3[[#This Row],[Qtde Cx Produzida]]/Tabela3[[#This Row],[Tempo]]/24,0)</f>
        <v>7.8260869565217392</v>
      </c>
      <c r="L899" s="37">
        <f>Tabela3[[#This Row],[Qtde Cx Produzida]]*Tabela3[[#This Row],[Qdt Peça Placa]]</f>
        <v>108</v>
      </c>
      <c r="M899" s="37">
        <f>Tabela3[[#This Row],[Previsto]]-Tabela3[[#This Row],[Perda Pçs]]</f>
        <v>108</v>
      </c>
      <c r="N899" s="38">
        <f>IFERROR(Tabela3[[#This Row],[Perda Pçs]]/Tabela3[[#This Row],[Previsto]],0)</f>
        <v>0</v>
      </c>
      <c r="O899" s="39">
        <f>IFERROR(IF(Tabela3[[#This Row],[Qtde Cx Produzida]] &lt;&gt; 0, Tabela3[[#This Row],[Tempo]] / Tabela3[[#This Row],[Qtde Cx Produzida]], 0),0)</f>
        <v>5.324074074074074E-3</v>
      </c>
      <c r="P899" s="57">
        <f>IFERROR(Tabela3[[#This Row],[Perda Pçs]]/Tabela3[[#This Row],[Qdt Peça Placa]],0)</f>
        <v>0</v>
      </c>
      <c r="Q899" s="37">
        <f>IFERROR(Tabela3[[#This Row],[Realizado]]*Tabela3[[#This Row],[Peso Util/Pç]],0)</f>
        <v>57.564</v>
      </c>
      <c r="R899" s="37">
        <f>IFERROR(Tabela3[[#This Row],[Peso Total Galho]]*Tabela3[[#This Row],[Qtde Cx Produzida]]*1.055,0)</f>
        <v>94.000499999999988</v>
      </c>
      <c r="S899" s="37">
        <f>(Tabela3[[#This Row],[Aluminio Bruto]]-Tabela3[[#This Row],[Aluminio Util]])*0.9</f>
        <v>32.792849999999987</v>
      </c>
      <c r="T899" s="37">
        <f>Tabela3[[#This Row],[Aluminio Bruto]]/OleoKGAluminio</f>
        <v>39.545888808521191</v>
      </c>
      <c r="U899" s="35">
        <f>IFERROR((VLOOKUP(Tabela3[[#This Row],[Moldador]],Tabela1[],5,)+(VLOOKUP(Tabela3[[#This Row],[Ajudante]],Tabela1[],5,))*3.5),0)</f>
        <v>126.0945</v>
      </c>
      <c r="V899" s="35">
        <f>IFERROR(Tabela3[[#This Row],[Custo M.O. / H]]/((Tabela3[[#This Row],[Realizado]]/Tabela3[[#This Row],[Qdt Peça Placa]])/Tabela3[[#This Row],[Tempo]]/24),)</f>
        <v>16.112075000000001</v>
      </c>
      <c r="W899" s="35">
        <f>Tabela3[[#This Row],[Custo / Cx Moldada]]*Tabela3[[#This Row],[Qtde Cx Produzida]]</f>
        <v>435.026025</v>
      </c>
      <c r="X899" s="35">
        <f ca="1">Tabela3[[#This Row],[Aluminio Util]]*Tabela3[[#This Row],[Custo/Kg]]</f>
        <v>897.99840000000006</v>
      </c>
      <c r="Y899" s="35">
        <f>IFERROR(VLOOKUP(Tabela3[[#This Row],[Data]],Tabela461213[],2,1)*(Tabela3[[#This Row],[Qtde Cx Produzida]]*Tabela3[[#This Row],[Qde macho / CX]]*Tabela3[[#This Row],[Peso Macho]]),)</f>
        <v>0</v>
      </c>
      <c r="Z899" s="35">
        <f>IFERROR(Tabela3[[#This Row],[Qtde Oleo]]*(VLOOKUP(Tabela3[[#This Row],[Data]],CompraOleo[],3,TRUE))*1.05,0)</f>
        <v>103.80795812236813</v>
      </c>
      <c r="AA899" s="47">
        <f ca="1">(Tabela3[[#This Row],[Custo Oleo]]+Tabela3[[#This Row],[Custo Aluminio]]+Tabela3[[#This Row],[Custo M.O. Total]]+Tabela3[[#This Row],[Custo Machos]])</f>
        <v>1436.8323831223684</v>
      </c>
      <c r="AB899" s="47">
        <f ca="1">Tabela3[[#This Row],[Custo Total]]*Tabela3[[#This Row],[% Perda]]</f>
        <v>0</v>
      </c>
      <c r="AC899" s="48">
        <f>IFERROR(VLOOKUP(Tabela3[[#This Row],[Produto]],Tabela2[],2,0),0)</f>
        <v>4</v>
      </c>
      <c r="AD899" s="48">
        <f>IFERROR(VLOOKUP(Tabela3[[#This Row],[Produto]],Tabela2[],3,0),0)</f>
        <v>0.53300000000000003</v>
      </c>
      <c r="AE899" s="48">
        <f>IFERROR(VLOOKUP(Tabela3[[#This Row],[Produto]],Tabela2[],4,0),0)</f>
        <v>3.3</v>
      </c>
      <c r="AF899" s="48">
        <f>IFERROR(VLOOKUP(Tabela3[[#This Row],[Produto]],Tabela2[],5,0),0)</f>
        <v>1.0511999999999997</v>
      </c>
      <c r="AG899" s="40">
        <f>IFERROR(VLOOKUP(Tabela3[[#This Row],[Produto]],Tabela2[],6,0),0)</f>
        <v>0</v>
      </c>
      <c r="AH899" s="40">
        <f>IFERROR(VLOOKUP(Tabela3[[#This Row],[Produto]],Tabela2[],7,0),0)</f>
        <v>0</v>
      </c>
      <c r="AI899" s="40">
        <f>IFERROR(VLOOKUP(Tabela3[[#This Row],[Produto]],Tabela2[],8,0),0)</f>
        <v>0</v>
      </c>
      <c r="AJ899" s="35">
        <f ca="1">IFERROR(VLOOKUP(Tabela3[[#This Row],[Produto]],Tabela2[],13,0),0)</f>
        <v>15.600000000000001</v>
      </c>
      <c r="AK899" s="40" t="str">
        <f>IFERROR(VLOOKUP(Tabela3[[#This Row],[Produto]],Tabela2[],14,0),0)</f>
        <v>Senun</v>
      </c>
      <c r="AL899" s="40">
        <f>IFERROR(VLOOKUP(Tabela3[[#This Row],[Produto]],Tabela2[],15,0),0)</f>
        <v>4</v>
      </c>
      <c r="AM899" s="36">
        <f ca="1">(Tabela3[[#This Row],[Custo Usinagem]]+Tabela3[[#This Row],[Custo / Pç]])*1.2</f>
        <v>20.764804256915205</v>
      </c>
      <c r="AN899" s="36">
        <f ca="1">Tabela3[[#This Row],[Valor Mínimo Venda]]*1.15</f>
        <v>23.879524895452484</v>
      </c>
      <c r="AO899" s="36">
        <f ca="1">Tabela3[[#This Row],[Tabela 1]]*1.08</f>
        <v>25.789886887088684</v>
      </c>
      <c r="AP899" s="36">
        <f ca="1">Tabela3[[#This Row],[Tabela 2]]*1.15</f>
        <v>29.658369920151983</v>
      </c>
    </row>
    <row r="900" spans="1:42">
      <c r="A900" s="9">
        <v>46046</v>
      </c>
      <c r="B900" s="6" t="s">
        <v>246</v>
      </c>
      <c r="C900" s="14">
        <v>8959</v>
      </c>
      <c r="D900" s="6" t="s">
        <v>46</v>
      </c>
      <c r="E900" s="6" t="s">
        <v>44</v>
      </c>
      <c r="F900" s="6">
        <v>8</v>
      </c>
      <c r="G900" s="15">
        <v>4.3055555555555555E-2</v>
      </c>
      <c r="H900" s="16">
        <v>0</v>
      </c>
      <c r="I900" s="35">
        <f ca="1">IFERROR(Tabela3[[#This Row],[Custo Total]]/Tabela3[[#This Row],[Aluminio Util]],0)</f>
        <v>25.042751144332712</v>
      </c>
      <c r="J900" s="35">
        <f ca="1">Tabela3[[#This Row],[Custo Total]]/Tabela3[[#This Row],[Realizado]]</f>
        <v>13.347786359929337</v>
      </c>
      <c r="K900" s="37">
        <f>IFERROR(Tabela3[[#This Row],[Qtde Cx Produzida]]/Tabela3[[#This Row],[Tempo]]/24,0)</f>
        <v>7.741935483870968</v>
      </c>
      <c r="L900" s="37">
        <f>Tabela3[[#This Row],[Qtde Cx Produzida]]*Tabela3[[#This Row],[Qdt Peça Placa]]</f>
        <v>32</v>
      </c>
      <c r="M900" s="37">
        <f>Tabela3[[#This Row],[Previsto]]-Tabela3[[#This Row],[Perda Pçs]]</f>
        <v>32</v>
      </c>
      <c r="N900" s="38">
        <f>IFERROR(Tabela3[[#This Row],[Perda Pçs]]/Tabela3[[#This Row],[Previsto]],0)</f>
        <v>0</v>
      </c>
      <c r="O900" s="39">
        <f>IFERROR(IF(Tabela3[[#This Row],[Qtde Cx Produzida]] &lt;&gt; 0, Tabela3[[#This Row],[Tempo]] / Tabela3[[#This Row],[Qtde Cx Produzida]], 0),0)</f>
        <v>5.3819444444444444E-3</v>
      </c>
      <c r="P900" s="57">
        <f>IFERROR(Tabela3[[#This Row],[Perda Pçs]]/Tabela3[[#This Row],[Qdt Peça Placa]],0)</f>
        <v>0</v>
      </c>
      <c r="Q900" s="37">
        <f>IFERROR(Tabela3[[#This Row],[Realizado]]*Tabela3[[#This Row],[Peso Util/Pç]],0)</f>
        <v>17.056000000000001</v>
      </c>
      <c r="R900" s="37">
        <f>IFERROR(Tabela3[[#This Row],[Peso Total Galho]]*Tabela3[[#This Row],[Qtde Cx Produzida]]*1.055,0)</f>
        <v>27.851999999999997</v>
      </c>
      <c r="S900" s="37">
        <f>(Tabela3[[#This Row],[Aluminio Bruto]]-Tabela3[[#This Row],[Aluminio Util]])*0.9</f>
        <v>9.7163999999999966</v>
      </c>
      <c r="T900" s="37">
        <f>Tabela3[[#This Row],[Aluminio Bruto]]/OleoKGAluminio</f>
        <v>11.717300387709983</v>
      </c>
      <c r="U900" s="35">
        <f>IFERROR((VLOOKUP(Tabela3[[#This Row],[Moldador]],Tabela1[],5,)+(VLOOKUP(Tabela3[[#This Row],[Ajudante]],Tabela1[],5,))*3.5),0)</f>
        <v>126.0945</v>
      </c>
      <c r="V900" s="35">
        <f>IFERROR(Tabela3[[#This Row],[Custo M.O. / H]]/((Tabela3[[#This Row],[Realizado]]/Tabela3[[#This Row],[Qdt Peça Placa]])/Tabela3[[#This Row],[Tempo]]/24),)</f>
        <v>16.287206250000001</v>
      </c>
      <c r="W900" s="35">
        <f>Tabela3[[#This Row],[Custo / Cx Moldada]]*Tabela3[[#This Row],[Qtde Cx Produzida]]</f>
        <v>130.29765</v>
      </c>
      <c r="X900" s="35">
        <f ca="1">Tabela3[[#This Row],[Aluminio Util]]*Tabela3[[#This Row],[Custo/Kg]]</f>
        <v>266.07360000000006</v>
      </c>
      <c r="Y900" s="35">
        <f>IFERROR(VLOOKUP(Tabela3[[#This Row],[Data]],Tabela461213[],2,1)*(Tabela3[[#This Row],[Qtde Cx Produzida]]*Tabela3[[#This Row],[Qde macho / CX]]*Tabela3[[#This Row],[Peso Macho]]),)</f>
        <v>0</v>
      </c>
      <c r="Z900" s="35">
        <f>IFERROR(Tabela3[[#This Row],[Qtde Oleo]]*(VLOOKUP(Tabela3[[#This Row],[Data]],CompraOleo[],3,TRUE))*1.05,0)</f>
        <v>30.757913517738707</v>
      </c>
      <c r="AA900" s="47">
        <f ca="1">(Tabela3[[#This Row],[Custo Oleo]]+Tabela3[[#This Row],[Custo Aluminio]]+Tabela3[[#This Row],[Custo M.O. Total]]+Tabela3[[#This Row],[Custo Machos]])</f>
        <v>427.12916351773879</v>
      </c>
      <c r="AB900" s="47">
        <f ca="1">Tabela3[[#This Row],[Custo Total]]*Tabela3[[#This Row],[% Perda]]</f>
        <v>0</v>
      </c>
      <c r="AC900" s="48">
        <f>IFERROR(VLOOKUP(Tabela3[[#This Row],[Produto]],Tabela2[],2,0),0)</f>
        <v>4</v>
      </c>
      <c r="AD900" s="48">
        <f>IFERROR(VLOOKUP(Tabela3[[#This Row],[Produto]],Tabela2[],3,0),0)</f>
        <v>0.53300000000000003</v>
      </c>
      <c r="AE900" s="48">
        <f>IFERROR(VLOOKUP(Tabela3[[#This Row],[Produto]],Tabela2[],4,0),0)</f>
        <v>3.3</v>
      </c>
      <c r="AF900" s="48">
        <f>IFERROR(VLOOKUP(Tabela3[[#This Row],[Produto]],Tabela2[],5,0),0)</f>
        <v>1.0511999999999997</v>
      </c>
      <c r="AG900" s="40">
        <f>IFERROR(VLOOKUP(Tabela3[[#This Row],[Produto]],Tabela2[],6,0),0)</f>
        <v>0</v>
      </c>
      <c r="AH900" s="40">
        <f>IFERROR(VLOOKUP(Tabela3[[#This Row],[Produto]],Tabela2[],7,0),0)</f>
        <v>0</v>
      </c>
      <c r="AI900" s="40">
        <f>IFERROR(VLOOKUP(Tabela3[[#This Row],[Produto]],Tabela2[],8,0),0)</f>
        <v>0</v>
      </c>
      <c r="AJ900" s="35">
        <f ca="1">IFERROR(VLOOKUP(Tabela3[[#This Row],[Produto]],Tabela2[],13,0),0)</f>
        <v>15.600000000000001</v>
      </c>
      <c r="AK900" s="40" t="str">
        <f>IFERROR(VLOOKUP(Tabela3[[#This Row],[Produto]],Tabela2[],14,0),0)</f>
        <v>Senun</v>
      </c>
      <c r="AL900" s="40">
        <f>IFERROR(VLOOKUP(Tabela3[[#This Row],[Produto]],Tabela2[],15,0),0)</f>
        <v>4</v>
      </c>
      <c r="AM900" s="36">
        <f ca="1">(Tabela3[[#This Row],[Custo Usinagem]]+Tabela3[[#This Row],[Custo / Pç]])*1.2</f>
        <v>20.817343631915204</v>
      </c>
      <c r="AN900" s="36">
        <f ca="1">Tabela3[[#This Row],[Valor Mínimo Venda]]*1.15</f>
        <v>23.939945176702484</v>
      </c>
      <c r="AO900" s="36">
        <f ca="1">Tabela3[[#This Row],[Tabela 1]]*1.08</f>
        <v>25.855140790838686</v>
      </c>
      <c r="AP900" s="36">
        <f ca="1">Tabela3[[#This Row],[Tabela 2]]*1.15</f>
        <v>29.733411909464486</v>
      </c>
    </row>
    <row r="901" spans="1:42">
      <c r="A901" s="9">
        <v>46046</v>
      </c>
      <c r="B901" s="6" t="s">
        <v>266</v>
      </c>
      <c r="C901" s="14">
        <v>8958</v>
      </c>
      <c r="D901" s="6" t="s">
        <v>46</v>
      </c>
      <c r="E901" s="6" t="s">
        <v>44</v>
      </c>
      <c r="F901" s="6">
        <v>24</v>
      </c>
      <c r="G901" s="15">
        <v>0.12013888888888889</v>
      </c>
      <c r="H901" s="16">
        <v>1</v>
      </c>
      <c r="I901" s="35">
        <f ca="1">IFERROR(Tabela3[[#This Row],[Custo Total]]/Tabela3[[#This Row],[Aluminio Util]],0)</f>
        <v>20.63602084512376</v>
      </c>
      <c r="J901" s="35">
        <f ca="1">Tabela3[[#This Row],[Custo Total]]/Tabela3[[#This Row],[Realizado]]</f>
        <v>123.81612507074256</v>
      </c>
      <c r="K901" s="37">
        <f>IFERROR(Tabela3[[#This Row],[Qtde Cx Produzida]]/Tabela3[[#This Row],[Tempo]]/24,0)</f>
        <v>8.3236994219653173</v>
      </c>
      <c r="L901" s="37">
        <f>Tabela3[[#This Row],[Qtde Cx Produzida]]*Tabela3[[#This Row],[Qdt Peça Placa]]</f>
        <v>24</v>
      </c>
      <c r="M901" s="37">
        <f>Tabela3[[#This Row],[Previsto]]-Tabela3[[#This Row],[Perda Pçs]]</f>
        <v>23</v>
      </c>
      <c r="N901" s="38">
        <f>IFERROR(Tabela3[[#This Row],[Perda Pçs]]/Tabela3[[#This Row],[Previsto]],0)</f>
        <v>4.1666666666666664E-2</v>
      </c>
      <c r="O901" s="39">
        <f>IFERROR(IF(Tabela3[[#This Row],[Qtde Cx Produzida]] &lt;&gt; 0, Tabela3[[#This Row],[Tempo]] / Tabela3[[#This Row],[Qtde Cx Produzida]], 0),0)</f>
        <v>5.0057870370370369E-3</v>
      </c>
      <c r="P901" s="57">
        <f>IFERROR(Tabela3[[#This Row],[Perda Pçs]]/Tabela3[[#This Row],[Qdt Peça Placa]],0)</f>
        <v>1</v>
      </c>
      <c r="Q901" s="37">
        <f>IFERROR(Tabela3[[#This Row],[Realizado]]*Tabela3[[#This Row],[Peso Util/Pç]],0)</f>
        <v>138</v>
      </c>
      <c r="R901" s="37">
        <f>IFERROR(Tabela3[[#This Row],[Peso Total Galho]]*Tabela3[[#This Row],[Qtde Cx Produzida]]*1.055,0)</f>
        <v>164.57999999999998</v>
      </c>
      <c r="S901" s="37">
        <f>(Tabela3[[#This Row],[Aluminio Bruto]]-Tabela3[[#This Row],[Aluminio Util]])*0.9</f>
        <v>23.921999999999986</v>
      </c>
      <c r="T901" s="37">
        <f>Tabela3[[#This Row],[Aluminio Bruto]]/OleoKGAluminio</f>
        <v>69.238593200104447</v>
      </c>
      <c r="U901" s="35">
        <f>IFERROR((VLOOKUP(Tabela3[[#This Row],[Moldador]],Tabela1[],5,)+(VLOOKUP(Tabela3[[#This Row],[Ajudante]],Tabela1[],5,))*3.5),0)</f>
        <v>126.0945</v>
      </c>
      <c r="V901" s="35">
        <f>IFERROR(Tabela3[[#This Row],[Custo M.O. / H]]/((Tabela3[[#This Row],[Realizado]]/Tabela3[[#This Row],[Qdt Peça Placa]])/Tabela3[[#This Row],[Tempo]]/24),)</f>
        <v>15.807498913043478</v>
      </c>
      <c r="W901" s="35">
        <f>Tabela3[[#This Row],[Custo / Cx Moldada]]*Tabela3[[#This Row],[Qtde Cx Produzida]]</f>
        <v>379.3799739130435</v>
      </c>
      <c r="X901" s="35">
        <f ca="1">Tabela3[[#This Row],[Aluminio Util]]*Tabela3[[#This Row],[Custo/Kg]]</f>
        <v>2286.6395955637613</v>
      </c>
      <c r="Y901" s="35">
        <f>IFERROR(VLOOKUP(Tabela3[[#This Row],[Data]],Tabela461213[],2,1)*(Tabela3[[#This Row],[Qtde Cx Produzida]]*Tabela3[[#This Row],[Qde macho / CX]]*Tabela3[[#This Row],[Peso Macho]]),)</f>
        <v>0</v>
      </c>
      <c r="Z901" s="35">
        <f>IFERROR(Tabela3[[#This Row],[Qtde Oleo]]*(VLOOKUP(Tabela3[[#This Row],[Data]],CompraOleo[],3,TRUE))*1.05,0)</f>
        <v>181.75130715027419</v>
      </c>
      <c r="AA901" s="47">
        <f ca="1">(Tabela3[[#This Row],[Custo Oleo]]+Tabela3[[#This Row],[Custo Aluminio]]+Tabela3[[#This Row],[Custo M.O. Total]]+Tabela3[[#This Row],[Custo Machos]])</f>
        <v>2847.7708766270789</v>
      </c>
      <c r="AB901" s="47">
        <f ca="1">Tabela3[[#This Row],[Custo Total]]*Tabela3[[#This Row],[% Perda]]</f>
        <v>118.65711985946162</v>
      </c>
      <c r="AC901" s="48">
        <f>IFERROR(VLOOKUP(Tabela3[[#This Row],[Produto]],Tabela2[],2,0),0)</f>
        <v>1</v>
      </c>
      <c r="AD901" s="48">
        <f>IFERROR(VLOOKUP(Tabela3[[#This Row],[Produto]],Tabela2[],3,0),0)</f>
        <v>6</v>
      </c>
      <c r="AE901" s="48">
        <f>IFERROR(VLOOKUP(Tabela3[[#This Row],[Produto]],Tabela2[],4,0),0)</f>
        <v>6.5</v>
      </c>
      <c r="AF901" s="48">
        <f>IFERROR(VLOOKUP(Tabela3[[#This Row],[Produto]],Tabela2[],5,0),0)</f>
        <v>0.45</v>
      </c>
      <c r="AG901" s="40">
        <f>IFERROR(VLOOKUP(Tabela3[[#This Row],[Produto]],Tabela2[],6,0),0)</f>
        <v>0</v>
      </c>
      <c r="AH901" s="40">
        <f>IFERROR(VLOOKUP(Tabela3[[#This Row],[Produto]],Tabela2[],7,0),0)</f>
        <v>0</v>
      </c>
      <c r="AI901" s="40">
        <f>IFERROR(VLOOKUP(Tabela3[[#This Row],[Produto]],Tabela2[],8,0),0)</f>
        <v>0</v>
      </c>
      <c r="AJ901" s="35">
        <f ca="1">IFERROR(VLOOKUP(Tabela3[[#This Row],[Produto]],Tabela2[],13,0),0)</f>
        <v>16.569852141766386</v>
      </c>
      <c r="AK901" s="40" t="str">
        <f>IFERROR(VLOOKUP(Tabela3[[#This Row],[Produto]],Tabela2[],14,0),0)</f>
        <v>JUMIL</v>
      </c>
      <c r="AL901" s="40">
        <f>IFERROR(VLOOKUP(Tabela3[[#This Row],[Produto]],Tabela2[],15,0),0)</f>
        <v>0</v>
      </c>
      <c r="AM901" s="36">
        <f ca="1">(Tabela3[[#This Row],[Custo Usinagem]]+Tabela3[[#This Row],[Custo / Pç]])*1.2</f>
        <v>148.57935008489108</v>
      </c>
      <c r="AN901" s="36">
        <f ca="1">Tabela3[[#This Row],[Valor Mínimo Venda]]*1.15</f>
        <v>170.86625259762474</v>
      </c>
      <c r="AO901" s="36">
        <f ca="1">Tabela3[[#This Row],[Tabela 1]]*1.08</f>
        <v>184.53555280543472</v>
      </c>
      <c r="AP901" s="36">
        <f ca="1">Tabela3[[#This Row],[Tabela 2]]*1.15</f>
        <v>212.21588572624992</v>
      </c>
    </row>
    <row r="902" spans="1:42">
      <c r="A902" s="9">
        <v>46046</v>
      </c>
      <c r="B902" s="6" t="s">
        <v>96</v>
      </c>
      <c r="C902" s="14">
        <v>8912</v>
      </c>
      <c r="D902" s="6" t="s">
        <v>46</v>
      </c>
      <c r="E902" s="6" t="s">
        <v>44</v>
      </c>
      <c r="F902" s="6">
        <v>14</v>
      </c>
      <c r="G902" s="15">
        <v>8.1250000000000003E-2</v>
      </c>
      <c r="H902" s="16">
        <v>0</v>
      </c>
      <c r="I902" s="35">
        <f ca="1">IFERROR(Tabela3[[#This Row],[Custo Total]]/Tabela3[[#This Row],[Aluminio Util]],0)</f>
        <v>32.3665846848752</v>
      </c>
      <c r="J902" s="35">
        <f ca="1">Tabela3[[#This Row],[Custo Total]]/Tabela3[[#This Row],[Realizado]]</f>
        <v>28.612060861429676</v>
      </c>
      <c r="K902" s="37">
        <f>IFERROR(Tabela3[[#This Row],[Qtde Cx Produzida]]/Tabela3[[#This Row],[Tempo]]/24,0)</f>
        <v>7.1794871794871788</v>
      </c>
      <c r="L902" s="37">
        <f>Tabela3[[#This Row],[Qtde Cx Produzida]]*Tabela3[[#This Row],[Qdt Peça Placa]]</f>
        <v>42</v>
      </c>
      <c r="M902" s="37">
        <f>Tabela3[[#This Row],[Previsto]]-Tabela3[[#This Row],[Perda Pçs]]</f>
        <v>42</v>
      </c>
      <c r="N902" s="38">
        <f>IFERROR(Tabela3[[#This Row],[Perda Pçs]]/Tabela3[[#This Row],[Previsto]],0)</f>
        <v>0</v>
      </c>
      <c r="O902" s="39">
        <f>IFERROR(IF(Tabela3[[#This Row],[Qtde Cx Produzida]] &lt;&gt; 0, Tabela3[[#This Row],[Tempo]] / Tabela3[[#This Row],[Qtde Cx Produzida]], 0),0)</f>
        <v>5.8035714285714288E-3</v>
      </c>
      <c r="P902" s="57">
        <f>IFERROR(Tabela3[[#This Row],[Perda Pçs]]/Tabela3[[#This Row],[Qdt Peça Placa]],0)</f>
        <v>0</v>
      </c>
      <c r="Q902" s="37">
        <f>IFERROR(Tabela3[[#This Row],[Realizado]]*Tabela3[[#This Row],[Peso Util/Pç]],0)</f>
        <v>37.128</v>
      </c>
      <c r="R902" s="37">
        <f>IFERROR(Tabela3[[#This Row],[Peso Total Galho]]*Tabela3[[#This Row],[Qtde Cx Produzida]]*1.055,0)</f>
        <v>69.300839999999994</v>
      </c>
      <c r="S902" s="37">
        <f>(Tabela3[[#This Row],[Aluminio Bruto]]-Tabela3[[#This Row],[Aluminio Util]])*0.9</f>
        <v>28.955555999999994</v>
      </c>
      <c r="T902" s="37">
        <f>Tabela3[[#This Row],[Aluminio Bruto]]/OleoKGAluminio</f>
        <v>29.154773782874752</v>
      </c>
      <c r="U902" s="35">
        <f>IFERROR((VLOOKUP(Tabela3[[#This Row],[Moldador]],Tabela1[],5,)+(VLOOKUP(Tabela3[[#This Row],[Ajudante]],Tabela1[],5,))*3.5),0)</f>
        <v>126.0945</v>
      </c>
      <c r="V902" s="35">
        <f>IFERROR(Tabela3[[#This Row],[Custo M.O. / H]]/((Tabela3[[#This Row],[Realizado]]/Tabela3[[#This Row],[Qdt Peça Placa]])/Tabela3[[#This Row],[Tempo]]/24),)</f>
        <v>17.563162500000001</v>
      </c>
      <c r="W902" s="35">
        <f>Tabela3[[#This Row],[Custo / Cx Moldada]]*Tabela3[[#This Row],[Qtde Cx Produzida]]</f>
        <v>245.884275</v>
      </c>
      <c r="X902" s="35">
        <f ca="1">Tabela3[[#This Row],[Aluminio Util]]*Tabela3[[#This Row],[Custo/Kg]]</f>
        <v>579.19680000000005</v>
      </c>
      <c r="Y902" s="35">
        <f>IFERROR(VLOOKUP(Tabela3[[#This Row],[Data]],Tabela461213[],2,1)*(Tabela3[[#This Row],[Qtde Cx Produzida]]*Tabela3[[#This Row],[Qde macho / CX]]*Tabela3[[#This Row],[Peso Macho]]),)</f>
        <v>300.0942</v>
      </c>
      <c r="Z902" s="35">
        <f>IFERROR(Tabela3[[#This Row],[Qtde Oleo]]*(VLOOKUP(Tabela3[[#This Row],[Data]],CompraOleo[],3,TRUE))*1.05,0)</f>
        <v>76.531281180046236</v>
      </c>
      <c r="AA902" s="47">
        <f ca="1">(Tabela3[[#This Row],[Custo Oleo]]+Tabela3[[#This Row],[Custo Aluminio]]+Tabela3[[#This Row],[Custo M.O. Total]]+Tabela3[[#This Row],[Custo Machos]])</f>
        <v>1201.7065561800464</v>
      </c>
      <c r="AB902" s="47">
        <f ca="1">Tabela3[[#This Row],[Custo Total]]*Tabela3[[#This Row],[% Perda]]</f>
        <v>0</v>
      </c>
      <c r="AC902" s="48">
        <f>IFERROR(VLOOKUP(Tabela3[[#This Row],[Produto]],Tabela2[],2,0),0)</f>
        <v>3</v>
      </c>
      <c r="AD902" s="48">
        <f>IFERROR(VLOOKUP(Tabela3[[#This Row],[Produto]],Tabela2[],3,0),0)</f>
        <v>0.88400000000000001</v>
      </c>
      <c r="AE902" s="48">
        <f>IFERROR(VLOOKUP(Tabela3[[#This Row],[Produto]],Tabela2[],4,0),0)</f>
        <v>4.6920000000000002</v>
      </c>
      <c r="AF902" s="48">
        <f>IFERROR(VLOOKUP(Tabela3[[#This Row],[Produto]],Tabela2[],5,0),0)</f>
        <v>1.8360000000000001</v>
      </c>
      <c r="AG902" s="40">
        <f>IFERROR(VLOOKUP(Tabela3[[#This Row],[Produto]],Tabela2[],6,0),0)</f>
        <v>0</v>
      </c>
      <c r="AH902" s="40">
        <f>IFERROR(VLOOKUP(Tabela3[[#This Row],[Produto]],Tabela2[],7,0),0)</f>
        <v>9</v>
      </c>
      <c r="AI902" s="40">
        <f>IFERROR(VLOOKUP(Tabela3[[#This Row],[Produto]],Tabela2[],8,0),0)</f>
        <v>1.401</v>
      </c>
      <c r="AJ902" s="35">
        <f ca="1">IFERROR(VLOOKUP(Tabela3[[#This Row],[Produto]],Tabela2[],13,0),0)</f>
        <v>15.600000000000001</v>
      </c>
      <c r="AK902" s="40" t="str">
        <f>IFERROR(VLOOKUP(Tabela3[[#This Row],[Produto]],Tabela2[],14,0),0)</f>
        <v>Jumil</v>
      </c>
      <c r="AL902" s="40">
        <f>IFERROR(VLOOKUP(Tabela3[[#This Row],[Produto]],Tabela2[],15,0),0)</f>
        <v>10</v>
      </c>
      <c r="AM902" s="36">
        <f ca="1">(Tabela3[[#This Row],[Custo Usinagem]]+Tabela3[[#This Row],[Custo / Pç]])*1.2</f>
        <v>46.334473033715611</v>
      </c>
      <c r="AN902" s="36">
        <f ca="1">Tabela3[[#This Row],[Valor Mínimo Venda]]*1.15</f>
        <v>53.284643988772949</v>
      </c>
      <c r="AO902" s="36">
        <f ca="1">Tabela3[[#This Row],[Tabela 1]]*1.08</f>
        <v>57.547415507874788</v>
      </c>
      <c r="AP902" s="36">
        <f ca="1">Tabela3[[#This Row],[Tabela 2]]*1.15</f>
        <v>66.179527834056003</v>
      </c>
    </row>
    <row r="903" spans="1:42">
      <c r="A903" s="9">
        <v>46048</v>
      </c>
      <c r="B903" s="6" t="s">
        <v>129</v>
      </c>
      <c r="C903" s="14">
        <v>8878</v>
      </c>
      <c r="D903" s="6" t="s">
        <v>46</v>
      </c>
      <c r="E903" s="6" t="s">
        <v>44</v>
      </c>
      <c r="F903" s="6">
        <v>14</v>
      </c>
      <c r="G903" s="15">
        <v>7.9861111111111105E-2</v>
      </c>
      <c r="H903" s="16">
        <v>3</v>
      </c>
      <c r="I903" s="35">
        <f ca="1">IFERROR(Tabela3[[#This Row],[Custo Total]]/Tabela3[[#This Row],[Aluminio Util]],0)</f>
        <v>37.149477887292228</v>
      </c>
      <c r="J903" s="35">
        <f ca="1">Tabela3[[#This Row],[Custo Total]]/Tabela3[[#This Row],[Realizado]]</f>
        <v>60.182154177413416</v>
      </c>
      <c r="K903" s="37">
        <f>IFERROR(Tabela3[[#This Row],[Qtde Cx Produzida]]/Tabela3[[#This Row],[Tempo]]/24,0)</f>
        <v>7.304347826086957</v>
      </c>
      <c r="L903" s="37">
        <f>Tabela3[[#This Row],[Qtde Cx Produzida]]*Tabela3[[#This Row],[Qdt Peça Placa]]</f>
        <v>14</v>
      </c>
      <c r="M903" s="37">
        <f>Tabela3[[#This Row],[Previsto]]-Tabela3[[#This Row],[Perda Pçs]]</f>
        <v>11</v>
      </c>
      <c r="N903" s="38">
        <f>IFERROR(Tabela3[[#This Row],[Perda Pçs]]/Tabela3[[#This Row],[Previsto]],0)</f>
        <v>0.21428571428571427</v>
      </c>
      <c r="O903" s="39">
        <f>IFERROR(IF(Tabela3[[#This Row],[Qtde Cx Produzida]] &lt;&gt; 0, Tabela3[[#This Row],[Tempo]] / Tabela3[[#This Row],[Qtde Cx Produzida]], 0),0)</f>
        <v>5.704365079365079E-3</v>
      </c>
      <c r="P903" s="57">
        <f>IFERROR(Tabela3[[#This Row],[Perda Pçs]]/Tabela3[[#This Row],[Qdt Peça Placa]],0)</f>
        <v>3</v>
      </c>
      <c r="Q903" s="37">
        <f>IFERROR(Tabela3[[#This Row],[Realizado]]*Tabela3[[#This Row],[Peso Util/Pç]],0)</f>
        <v>17.82</v>
      </c>
      <c r="R903" s="37">
        <f>IFERROR(Tabela3[[#This Row],[Peso Total Galho]]*Tabela3[[#This Row],[Qtde Cx Produzida]]*1.055,0)</f>
        <v>36.924999999999997</v>
      </c>
      <c r="S903" s="37">
        <f>(Tabela3[[#This Row],[Aluminio Bruto]]-Tabela3[[#This Row],[Aluminio Util]])*0.9</f>
        <v>17.194499999999998</v>
      </c>
      <c r="T903" s="37">
        <f>Tabela3[[#This Row],[Aluminio Bruto]]/OleoKGAluminio</f>
        <v>15.534299756433692</v>
      </c>
      <c r="U903" s="35">
        <f>IFERROR((VLOOKUP(Tabela3[[#This Row],[Moldador]],Tabela1[],5,)+(VLOOKUP(Tabela3[[#This Row],[Ajudante]],Tabela1[],5,))*3.5),0)</f>
        <v>126.0945</v>
      </c>
      <c r="V903" s="35">
        <f>IFERROR(Tabela3[[#This Row],[Custo M.O. / H]]/((Tabela3[[#This Row],[Realizado]]/Tabela3[[#This Row],[Qdt Peça Placa]])/Tabela3[[#This Row],[Tempo]]/24),)</f>
        <v>21.971011363636361</v>
      </c>
      <c r="W903" s="35">
        <f>Tabela3[[#This Row],[Custo / Cx Moldada]]*Tabela3[[#This Row],[Qtde Cx Produzida]]</f>
        <v>307.59415909090905</v>
      </c>
      <c r="X903" s="35">
        <f ca="1">Tabela3[[#This Row],[Aluminio Util]]*Tabela3[[#This Row],[Custo/Kg]]</f>
        <v>313.63200000000001</v>
      </c>
      <c r="Y903" s="35">
        <f>IFERROR(VLOOKUP(Tabela3[[#This Row],[Data]],Tabela461213[],2,1)*(Tabela3[[#This Row],[Qtde Cx Produzida]]*Tabela3[[#This Row],[Qde macho / CX]]*Tabela3[[#This Row],[Peso Macho]]),)</f>
        <v>0</v>
      </c>
      <c r="Z903" s="35">
        <f>IFERROR(Tabela3[[#This Row],[Qtde Oleo]]*(VLOOKUP(Tabela3[[#This Row],[Data]],CompraOleo[],3,TRUE))*1.05,0)</f>
        <v>40.777536860638442</v>
      </c>
      <c r="AA903" s="47">
        <f ca="1">(Tabela3[[#This Row],[Custo Oleo]]+Tabela3[[#This Row],[Custo Aluminio]]+Tabela3[[#This Row],[Custo M.O. Total]]+Tabela3[[#This Row],[Custo Machos]])</f>
        <v>662.00369595154757</v>
      </c>
      <c r="AB903" s="47">
        <f ca="1">Tabela3[[#This Row],[Custo Total]]*Tabela3[[#This Row],[% Perda]]</f>
        <v>141.85793484676017</v>
      </c>
      <c r="AC903" s="48">
        <f>IFERROR(VLOOKUP(Tabela3[[#This Row],[Produto]],Tabela2[],2,0),0)</f>
        <v>1</v>
      </c>
      <c r="AD903" s="48">
        <f>IFERROR(VLOOKUP(Tabela3[[#This Row],[Produto]],Tabela2[],3,0),0)</f>
        <v>1.62</v>
      </c>
      <c r="AE903" s="48">
        <f>IFERROR(VLOOKUP(Tabela3[[#This Row],[Produto]],Tabela2[],4,0),0)</f>
        <v>2.5</v>
      </c>
      <c r="AF903" s="48">
        <f>IFERROR(VLOOKUP(Tabela3[[#This Row],[Produto]],Tabela2[],5,0),0)</f>
        <v>0.79199999999999993</v>
      </c>
      <c r="AG903" s="40">
        <f>IFERROR(VLOOKUP(Tabela3[[#This Row],[Produto]],Tabela2[],6,0),0)</f>
        <v>0</v>
      </c>
      <c r="AH903" s="40">
        <f>IFERROR(VLOOKUP(Tabela3[[#This Row],[Produto]],Tabela2[],7,0),0)</f>
        <v>0</v>
      </c>
      <c r="AI903" s="40">
        <f>IFERROR(VLOOKUP(Tabela3[[#This Row],[Produto]],Tabela2[],8,0),0)</f>
        <v>0</v>
      </c>
      <c r="AJ903" s="35">
        <f ca="1">IFERROR(VLOOKUP(Tabela3[[#This Row],[Produto]],Tabela2[],13,0),0)</f>
        <v>17.600000000000001</v>
      </c>
      <c r="AK903" s="40" t="str">
        <f>IFERROR(VLOOKUP(Tabela3[[#This Row],[Produto]],Tabela2[],14,0),0)</f>
        <v>Jumil</v>
      </c>
      <c r="AL903" s="40">
        <f>IFERROR(VLOOKUP(Tabela3[[#This Row],[Produto]],Tabela2[],15,0),0)</f>
        <v>80</v>
      </c>
      <c r="AM903" s="36">
        <f ca="1">(Tabela3[[#This Row],[Custo Usinagem]]+Tabela3[[#This Row],[Custo / Pç]])*1.2</f>
        <v>168.21858501289611</v>
      </c>
      <c r="AN903" s="36">
        <f ca="1">Tabela3[[#This Row],[Valor Mínimo Venda]]*1.15</f>
        <v>193.45137276483052</v>
      </c>
      <c r="AO903" s="36">
        <f ca="1">Tabela3[[#This Row],[Tabela 1]]*1.08</f>
        <v>208.92748258601699</v>
      </c>
      <c r="AP903" s="36">
        <f ca="1">Tabela3[[#This Row],[Tabela 2]]*1.15</f>
        <v>240.26660497391953</v>
      </c>
    </row>
    <row r="904" spans="1:42">
      <c r="A904" s="9">
        <v>46048</v>
      </c>
      <c r="B904" s="6" t="s">
        <v>281</v>
      </c>
      <c r="C904" s="14">
        <v>8978</v>
      </c>
      <c r="D904" s="6" t="s">
        <v>46</v>
      </c>
      <c r="E904" s="6" t="s">
        <v>44</v>
      </c>
      <c r="F904" s="6">
        <v>50</v>
      </c>
      <c r="G904" s="15">
        <v>0.27430555555555558</v>
      </c>
      <c r="H904" s="16">
        <v>150</v>
      </c>
      <c r="I904" s="35">
        <f ca="1">IFERROR(Tabela3[[#This Row],[Custo Total]]/Tabela3[[#This Row],[Aluminio Util]],0)</f>
        <v>50.346221301140311</v>
      </c>
      <c r="J904" s="35">
        <f ca="1">Tabela3[[#This Row],[Custo Total]]/Tabela3[[#This Row],[Realizado]]</f>
        <v>1.66142530293763</v>
      </c>
      <c r="K904" s="37">
        <f>IFERROR(Tabela3[[#This Row],[Qtde Cx Produzida]]/Tabela3[[#This Row],[Tempo]]/24,0)</f>
        <v>7.5949367088607582</v>
      </c>
      <c r="L904" s="37">
        <f>Tabela3[[#This Row],[Qtde Cx Produzida]]*Tabela3[[#This Row],[Qdt Peça Placa]]</f>
        <v>1200</v>
      </c>
      <c r="M904" s="37">
        <f>Tabela3[[#This Row],[Previsto]]-Tabela3[[#This Row],[Perda Pçs]]</f>
        <v>1050</v>
      </c>
      <c r="N904" s="38">
        <f>IFERROR(Tabela3[[#This Row],[Perda Pçs]]/Tabela3[[#This Row],[Previsto]],0)</f>
        <v>0.125</v>
      </c>
      <c r="O904" s="39">
        <f>IFERROR(IF(Tabela3[[#This Row],[Qtde Cx Produzida]] &lt;&gt; 0, Tabela3[[#This Row],[Tempo]] / Tabela3[[#This Row],[Qtde Cx Produzida]], 0),0)</f>
        <v>5.4861111111111117E-3</v>
      </c>
      <c r="P904" s="57">
        <f>IFERROR(Tabela3[[#This Row],[Perda Pçs]]/Tabela3[[#This Row],[Qdt Peça Placa]],0)</f>
        <v>6.25</v>
      </c>
      <c r="Q904" s="37">
        <f>IFERROR(Tabela3[[#This Row],[Realizado]]*Tabela3[[#This Row],[Peso Util/Pç]],0)</f>
        <v>34.65</v>
      </c>
      <c r="R904" s="37">
        <f>IFERROR(Tabela3[[#This Row],[Peso Total Galho]]*Tabela3[[#This Row],[Qtde Cx Produzida]]*1.055,0)</f>
        <v>168.37800000000001</v>
      </c>
      <c r="S904" s="37">
        <f>(Tabela3[[#This Row],[Aluminio Bruto]]-Tabela3[[#This Row],[Aluminio Util]])*0.9</f>
        <v>120.35520000000001</v>
      </c>
      <c r="T904" s="37">
        <f>Tabela3[[#This Row],[Aluminio Bruto]]/OleoKGAluminio</f>
        <v>70.836406889337638</v>
      </c>
      <c r="U904" s="35">
        <f>IFERROR((VLOOKUP(Tabela3[[#This Row],[Moldador]],Tabela1[],5,)+(VLOOKUP(Tabela3[[#This Row],[Ajudante]],Tabela1[],5,))*3.5),0)</f>
        <v>126.0945</v>
      </c>
      <c r="V904" s="35">
        <f>IFERROR(Tabela3[[#This Row],[Custo M.O. / H]]/((Tabela3[[#This Row],[Realizado]]/Tabela3[[#This Row],[Qdt Peça Placa]])/Tabela3[[#This Row],[Tempo]]/24),)</f>
        <v>18.974220000000003</v>
      </c>
      <c r="W904" s="35">
        <f>Tabela3[[#This Row],[Custo / Cx Moldada]]*Tabela3[[#This Row],[Qtde Cx Produzida]]</f>
        <v>948.71100000000013</v>
      </c>
      <c r="X904" s="35">
        <f ca="1">Tabela3[[#This Row],[Aluminio Util]]*Tabela3[[#This Row],[Custo/Kg]]</f>
        <v>609.84</v>
      </c>
      <c r="Y904" s="35">
        <f>IFERROR(VLOOKUP(Tabela3[[#This Row],[Data]],Tabela461213[],2,1)*(Tabela3[[#This Row],[Qtde Cx Produzida]]*Tabela3[[#This Row],[Qde macho / CX]]*Tabela3[[#This Row],[Peso Macho]]),)</f>
        <v>0</v>
      </c>
      <c r="Z904" s="35">
        <f>IFERROR(Tabela3[[#This Row],[Qtde Oleo]]*(VLOOKUP(Tabela3[[#This Row],[Data]],CompraOleo[],3,TRUE))*1.05,0)</f>
        <v>185.94556808451131</v>
      </c>
      <c r="AA904" s="47">
        <f ca="1">(Tabela3[[#This Row],[Custo Oleo]]+Tabela3[[#This Row],[Custo Aluminio]]+Tabela3[[#This Row],[Custo M.O. Total]]+Tabela3[[#This Row],[Custo Machos]])</f>
        <v>1744.4965680845116</v>
      </c>
      <c r="AB904" s="47">
        <f ca="1">Tabela3[[#This Row],[Custo Total]]*Tabela3[[#This Row],[% Perda]]</f>
        <v>218.06207101056395</v>
      </c>
      <c r="AC904" s="48">
        <f>IFERROR(VLOOKUP(Tabela3[[#This Row],[Produto]],Tabela2[],2,0),0)</f>
        <v>24</v>
      </c>
      <c r="AD904" s="48">
        <f>IFERROR(VLOOKUP(Tabela3[[#This Row],[Produto]],Tabela2[],3,0),0)</f>
        <v>3.3000000000000002E-2</v>
      </c>
      <c r="AE904" s="48">
        <f>IFERROR(VLOOKUP(Tabela3[[#This Row],[Produto]],Tabela2[],4,0),0)</f>
        <v>3.1920000000000002</v>
      </c>
      <c r="AF904" s="48">
        <f>IFERROR(VLOOKUP(Tabela3[[#This Row],[Produto]],Tabela2[],5,0),0)</f>
        <v>2.1600000000000006</v>
      </c>
      <c r="AG904" s="40">
        <f>IFERROR(VLOOKUP(Tabela3[[#This Row],[Produto]],Tabela2[],6,0),0)</f>
        <v>0</v>
      </c>
      <c r="AH904" s="40">
        <f>IFERROR(VLOOKUP(Tabela3[[#This Row],[Produto]],Tabela2[],7,0),0)</f>
        <v>0</v>
      </c>
      <c r="AI904" s="40">
        <f>IFERROR(VLOOKUP(Tabela3[[#This Row],[Produto]],Tabela2[],8,0),0)</f>
        <v>0</v>
      </c>
      <c r="AJ904" s="35">
        <f ca="1">IFERROR(VLOOKUP(Tabela3[[#This Row],[Produto]],Tabela2[],13,0),0)</f>
        <v>17.600000000000001</v>
      </c>
      <c r="AK904" s="40" t="str">
        <f>IFERROR(VLOOKUP(Tabela3[[#This Row],[Produto]],Tabela2[],14,0),0)</f>
        <v>Oscar</v>
      </c>
      <c r="AL904" s="40">
        <f>IFERROR(VLOOKUP(Tabela3[[#This Row],[Produto]],Tabela2[],15,0),0)</f>
        <v>0</v>
      </c>
      <c r="AM904" s="36">
        <f ca="1">(Tabela3[[#This Row],[Custo Usinagem]]+Tabela3[[#This Row],[Custo / Pç]])*1.2</f>
        <v>1.9937103635251558</v>
      </c>
      <c r="AN904" s="36">
        <f ca="1">Tabela3[[#This Row],[Valor Mínimo Venda]]*1.15</f>
        <v>2.2927669180539292</v>
      </c>
      <c r="AO904" s="36">
        <f ca="1">Tabela3[[#This Row],[Tabela 1]]*1.08</f>
        <v>2.4761882714982435</v>
      </c>
      <c r="AP904" s="36">
        <f ca="1">Tabela3[[#This Row],[Tabela 2]]*1.15</f>
        <v>2.84761651222298</v>
      </c>
    </row>
    <row r="905" spans="1:42">
      <c r="A905" s="9">
        <v>46049</v>
      </c>
      <c r="B905" s="6" t="s">
        <v>282</v>
      </c>
      <c r="C905" s="14">
        <v>8948</v>
      </c>
      <c r="D905" s="6" t="s">
        <v>46</v>
      </c>
      <c r="E905" s="6" t="s">
        <v>44</v>
      </c>
      <c r="F905" s="6">
        <v>35</v>
      </c>
      <c r="G905" s="15">
        <v>0.18611111111111112</v>
      </c>
      <c r="H905" s="16">
        <v>80</v>
      </c>
      <c r="I905" s="35">
        <f ca="1">IFERROR(Tabela3[[#This Row],[Custo Total]]/Tabela3[[#This Row],[Aluminio Util]],0)</f>
        <v>49.058891266958064</v>
      </c>
      <c r="J905" s="35">
        <f ca="1">Tabela3[[#This Row],[Custo Total]]/Tabela3[[#This Row],[Realizado]]</f>
        <v>2.0604734332122385</v>
      </c>
      <c r="K905" s="37">
        <f>IFERROR(Tabela3[[#This Row],[Qtde Cx Produzida]]/Tabela3[[#This Row],[Tempo]]/24,0)</f>
        <v>7.8358208955223878</v>
      </c>
      <c r="L905" s="37">
        <f>Tabela3[[#This Row],[Qtde Cx Produzida]]*Tabela3[[#This Row],[Qdt Peça Placa]]</f>
        <v>630</v>
      </c>
      <c r="M905" s="37">
        <f>Tabela3[[#This Row],[Previsto]]-Tabela3[[#This Row],[Perda Pçs]]</f>
        <v>550</v>
      </c>
      <c r="N905" s="38">
        <f>IFERROR(Tabela3[[#This Row],[Perda Pçs]]/Tabela3[[#This Row],[Previsto]],0)</f>
        <v>0.12698412698412698</v>
      </c>
      <c r="O905" s="39">
        <f>IFERROR(IF(Tabela3[[#This Row],[Qtde Cx Produzida]] &lt;&gt; 0, Tabela3[[#This Row],[Tempo]] / Tabela3[[#This Row],[Qtde Cx Produzida]], 0),0)</f>
        <v>5.317460317460318E-3</v>
      </c>
      <c r="P905" s="57">
        <f>IFERROR(Tabela3[[#This Row],[Perda Pçs]]/Tabela3[[#This Row],[Qdt Peça Placa]],0)</f>
        <v>4.4444444444444446</v>
      </c>
      <c r="Q905" s="37">
        <f>IFERROR(Tabela3[[#This Row],[Realizado]]*Tabela3[[#This Row],[Peso Util/Pç]],0)</f>
        <v>23.1</v>
      </c>
      <c r="R905" s="37">
        <f>IFERROR(Tabela3[[#This Row],[Peso Total Galho]]*Tabela3[[#This Row],[Qtde Cx Produzida]]*1.055,0)</f>
        <v>73.849999999999994</v>
      </c>
      <c r="S905" s="37">
        <f>(Tabela3[[#This Row],[Aluminio Bruto]]-Tabela3[[#This Row],[Aluminio Util]])*0.9</f>
        <v>45.674999999999997</v>
      </c>
      <c r="T905" s="37">
        <f>Tabela3[[#This Row],[Aluminio Bruto]]/OleoKGAluminio</f>
        <v>31.068599512867383</v>
      </c>
      <c r="U905" s="35">
        <f>IFERROR((VLOOKUP(Tabela3[[#This Row],[Moldador]],Tabela1[],5,)+(VLOOKUP(Tabela3[[#This Row],[Ajudante]],Tabela1[],5,))*3.5),0)</f>
        <v>126.0945</v>
      </c>
      <c r="V905" s="35">
        <f>IFERROR(Tabela3[[#This Row],[Custo M.O. / H]]/((Tabela3[[#This Row],[Realizado]]/Tabela3[[#This Row],[Qdt Peça Placa]])/Tabela3[[#This Row],[Tempo]]/24),)</f>
        <v>18.432723272727269</v>
      </c>
      <c r="W905" s="35">
        <f>Tabela3[[#This Row],[Custo / Cx Moldada]]*Tabela3[[#This Row],[Qtde Cx Produzida]]</f>
        <v>645.14531454545443</v>
      </c>
      <c r="X905" s="35">
        <f ca="1">Tabela3[[#This Row],[Aluminio Util]]*Tabela3[[#This Row],[Custo/Kg]]</f>
        <v>406.56000000000006</v>
      </c>
      <c r="Y905" s="35">
        <f>IFERROR(VLOOKUP(Tabela3[[#This Row],[Data]],Tabela461213[],2,1)*(Tabela3[[#This Row],[Qtde Cx Produzida]]*Tabela3[[#This Row],[Qde macho / CX]]*Tabela3[[#This Row],[Peso Macho]]),)</f>
        <v>0</v>
      </c>
      <c r="Z905" s="35">
        <f>IFERROR(Tabela3[[#This Row],[Qtde Oleo]]*(VLOOKUP(Tabela3[[#This Row],[Data]],CompraOleo[],3,TRUE))*1.05,0)</f>
        <v>81.555073721276884</v>
      </c>
      <c r="AA905" s="47">
        <f ca="1">(Tabela3[[#This Row],[Custo Oleo]]+Tabela3[[#This Row],[Custo Aluminio]]+Tabela3[[#This Row],[Custo M.O. Total]]+Tabela3[[#This Row],[Custo Machos]])</f>
        <v>1133.2603882667313</v>
      </c>
      <c r="AB905" s="47">
        <f ca="1">Tabela3[[#This Row],[Custo Total]]*Tabela3[[#This Row],[% Perda]]</f>
        <v>143.90608104974365</v>
      </c>
      <c r="AC905" s="48">
        <f>IFERROR(VLOOKUP(Tabela3[[#This Row],[Produto]],Tabela2[],2,0),0)</f>
        <v>18</v>
      </c>
      <c r="AD905" s="48">
        <f>IFERROR(VLOOKUP(Tabela3[[#This Row],[Produto]],Tabela2[],3,0),0)</f>
        <v>4.2000000000000003E-2</v>
      </c>
      <c r="AE905" s="48">
        <f>IFERROR(VLOOKUP(Tabela3[[#This Row],[Produto]],Tabela2[],4,0),0)</f>
        <v>2</v>
      </c>
      <c r="AF905" s="48">
        <f>IFERROR(VLOOKUP(Tabela3[[#This Row],[Produto]],Tabela2[],5,0),0)</f>
        <v>1.1195999999999999</v>
      </c>
      <c r="AG905" s="40">
        <f>IFERROR(VLOOKUP(Tabela3[[#This Row],[Produto]],Tabela2[],6,0),0)</f>
        <v>0</v>
      </c>
      <c r="AH905" s="40">
        <f>IFERROR(VLOOKUP(Tabela3[[#This Row],[Produto]],Tabela2[],7,0),0)</f>
        <v>0</v>
      </c>
      <c r="AI905" s="40">
        <f>IFERROR(VLOOKUP(Tabela3[[#This Row],[Produto]],Tabela2[],8,0),0)</f>
        <v>0</v>
      </c>
      <c r="AJ905" s="35">
        <f ca="1">IFERROR(VLOOKUP(Tabela3[[#This Row],[Produto]],Tabela2[],13,0),0)</f>
        <v>17.600000000000001</v>
      </c>
      <c r="AK905" s="40" t="str">
        <f>IFERROR(VLOOKUP(Tabela3[[#This Row],[Produto]],Tabela2[],14,0),0)</f>
        <v>DIGITROL</v>
      </c>
      <c r="AL905" s="40">
        <f>IFERROR(VLOOKUP(Tabela3[[#This Row],[Produto]],Tabela2[],15,0),0)</f>
        <v>0</v>
      </c>
      <c r="AM905" s="36">
        <f ca="1">(Tabela3[[#This Row],[Custo Usinagem]]+Tabela3[[#This Row],[Custo / Pç]])*1.2</f>
        <v>2.4725681198546861</v>
      </c>
      <c r="AN905" s="36">
        <f ca="1">Tabela3[[#This Row],[Valor Mínimo Venda]]*1.15</f>
        <v>2.8434533378328886</v>
      </c>
      <c r="AO905" s="36">
        <f ca="1">Tabela3[[#This Row],[Tabela 1]]*1.08</f>
        <v>3.0709296048595198</v>
      </c>
      <c r="AP905" s="36">
        <f ca="1">Tabela3[[#This Row],[Tabela 2]]*1.15</f>
        <v>3.5315690455884474</v>
      </c>
    </row>
    <row r="906" spans="1:42">
      <c r="A906" s="9">
        <v>46049</v>
      </c>
      <c r="B906" s="6" t="s">
        <v>279</v>
      </c>
      <c r="C906" s="14">
        <v>8949</v>
      </c>
      <c r="D906" s="6" t="s">
        <v>44</v>
      </c>
      <c r="E906" s="6" t="s">
        <v>47</v>
      </c>
      <c r="F906" s="6">
        <v>10</v>
      </c>
      <c r="G906" s="15">
        <v>4.8611111111111112E-2</v>
      </c>
      <c r="H906" s="16">
        <v>0</v>
      </c>
      <c r="I906" s="35">
        <f ca="1">IFERROR(Tabela3[[#This Row],[Custo Total]]/Tabela3[[#This Row],[Aluminio Util]],0)</f>
        <v>33.792838760985411</v>
      </c>
      <c r="J906" s="35">
        <f ca="1">Tabela3[[#This Row],[Custo Total]]/Tabela3[[#This Row],[Realizado]]</f>
        <v>1.6896419380492707</v>
      </c>
      <c r="K906" s="37">
        <f>IFERROR(Tabela3[[#This Row],[Qtde Cx Produzida]]/Tabela3[[#This Row],[Tempo]]/24,0)</f>
        <v>8.5714285714285712</v>
      </c>
      <c r="L906" s="37">
        <f>Tabela3[[#This Row],[Qtde Cx Produzida]]*Tabela3[[#This Row],[Qdt Peça Placa]]</f>
        <v>180</v>
      </c>
      <c r="M906" s="37">
        <f>Tabela3[[#This Row],[Previsto]]-Tabela3[[#This Row],[Perda Pçs]]</f>
        <v>180</v>
      </c>
      <c r="N906" s="38">
        <f>IFERROR(Tabela3[[#This Row],[Perda Pçs]]/Tabela3[[#This Row],[Previsto]],0)</f>
        <v>0</v>
      </c>
      <c r="O906" s="39">
        <f>IFERROR(IF(Tabela3[[#This Row],[Qtde Cx Produzida]] &lt;&gt; 0, Tabela3[[#This Row],[Tempo]] / Tabela3[[#This Row],[Qtde Cx Produzida]], 0),0)</f>
        <v>4.8611111111111112E-3</v>
      </c>
      <c r="P906" s="57">
        <f>IFERROR(Tabela3[[#This Row],[Perda Pçs]]/Tabela3[[#This Row],[Qdt Peça Placa]],0)</f>
        <v>0</v>
      </c>
      <c r="Q906" s="37">
        <f>IFERROR(Tabela3[[#This Row],[Realizado]]*Tabela3[[#This Row],[Peso Util/Pç]],0)</f>
        <v>9</v>
      </c>
      <c r="R906" s="37">
        <f>IFERROR(Tabela3[[#This Row],[Peso Total Galho]]*Tabela3[[#This Row],[Qtde Cx Produzida]]*1.055,0)</f>
        <v>26.375</v>
      </c>
      <c r="S906" s="37">
        <f>(Tabela3[[#This Row],[Aluminio Bruto]]-Tabela3[[#This Row],[Aluminio Util]])*0.9</f>
        <v>15.637500000000001</v>
      </c>
      <c r="T906" s="37">
        <f>Tabela3[[#This Row],[Aluminio Bruto]]/OleoKGAluminio</f>
        <v>11.095928397452637</v>
      </c>
      <c r="U906" s="35">
        <f>IFERROR((VLOOKUP(Tabela3[[#This Row],[Moldador]],Tabela1[],5,)+(VLOOKUP(Tabela3[[#This Row],[Ajudante]],Tabela1[],5,))*3.5),0)</f>
        <v>99.95034583333333</v>
      </c>
      <c r="V906" s="35">
        <f>IFERROR(Tabela3[[#This Row],[Custo M.O. / H]]/((Tabela3[[#This Row],[Realizado]]/Tabela3[[#This Row],[Qdt Peça Placa]])/Tabela3[[#This Row],[Tempo]]/24),)</f>
        <v>11.660873680555556</v>
      </c>
      <c r="W906" s="35">
        <f>Tabela3[[#This Row],[Custo / Cx Moldada]]*Tabela3[[#This Row],[Qtde Cx Produzida]]</f>
        <v>116.60873680555555</v>
      </c>
      <c r="X906" s="35">
        <f ca="1">Tabela3[[#This Row],[Aluminio Util]]*Tabela3[[#This Row],[Custo/Kg]]</f>
        <v>158.4</v>
      </c>
      <c r="Y906" s="35">
        <f>IFERROR(VLOOKUP(Tabela3[[#This Row],[Data]],Tabela461213[],2,1)*(Tabela3[[#This Row],[Qtde Cx Produzida]]*Tabela3[[#This Row],[Qde macho / CX]]*Tabela3[[#This Row],[Peso Macho]]),)</f>
        <v>0</v>
      </c>
      <c r="Z906" s="35">
        <f>IFERROR(Tabela3[[#This Row],[Qtde Oleo]]*(VLOOKUP(Tabela3[[#This Row],[Data]],CompraOleo[],3,TRUE))*1.05,0)</f>
        <v>29.126812043313173</v>
      </c>
      <c r="AA906" s="47">
        <f ca="1">(Tabela3[[#This Row],[Custo Oleo]]+Tabela3[[#This Row],[Custo Aluminio]]+Tabela3[[#This Row],[Custo M.O. Total]]+Tabela3[[#This Row],[Custo Machos]])</f>
        <v>304.13554884886872</v>
      </c>
      <c r="AB906" s="47">
        <f ca="1">Tabela3[[#This Row],[Custo Total]]*Tabela3[[#This Row],[% Perda]]</f>
        <v>0</v>
      </c>
      <c r="AC906" s="48">
        <f>IFERROR(VLOOKUP(Tabela3[[#This Row],[Produto]],Tabela2[],2,0),0)</f>
        <v>18</v>
      </c>
      <c r="AD906" s="48">
        <f>IFERROR(VLOOKUP(Tabela3[[#This Row],[Produto]],Tabela2[],3,0),0)</f>
        <v>0.05</v>
      </c>
      <c r="AE906" s="48">
        <f>IFERROR(VLOOKUP(Tabela3[[#This Row],[Produto]],Tabela2[],4,0),0)</f>
        <v>2.5</v>
      </c>
      <c r="AF906" s="48">
        <f>IFERROR(VLOOKUP(Tabela3[[#This Row],[Produto]],Tabela2[],5,0),0)</f>
        <v>1.4400000000000002</v>
      </c>
      <c r="AG906" s="40">
        <f>IFERROR(VLOOKUP(Tabela3[[#This Row],[Produto]],Tabela2[],6,0),0)</f>
        <v>0</v>
      </c>
      <c r="AH906" s="40">
        <f>IFERROR(VLOOKUP(Tabela3[[#This Row],[Produto]],Tabela2[],7,0),0)</f>
        <v>0</v>
      </c>
      <c r="AI906" s="40">
        <f>IFERROR(VLOOKUP(Tabela3[[#This Row],[Produto]],Tabela2[],8,0),0)</f>
        <v>0</v>
      </c>
      <c r="AJ906" s="35">
        <f ca="1">IFERROR(VLOOKUP(Tabela3[[#This Row],[Produto]],Tabela2[],13,0),0)</f>
        <v>17.600000000000001</v>
      </c>
      <c r="AK906" s="40" t="str">
        <f>IFERROR(VLOOKUP(Tabela3[[#This Row],[Produto]],Tabela2[],14,0),0)</f>
        <v>DIGITROL</v>
      </c>
      <c r="AL906" s="40">
        <f>IFERROR(VLOOKUP(Tabela3[[#This Row],[Produto]],Tabela2[],15,0),0)</f>
        <v>0</v>
      </c>
      <c r="AM906" s="36">
        <f ca="1">(Tabela3[[#This Row],[Custo Usinagem]]+Tabela3[[#This Row],[Custo / Pç]])*1.2</f>
        <v>2.0275703256591249</v>
      </c>
      <c r="AN906" s="36">
        <f ca="1">Tabela3[[#This Row],[Valor Mínimo Venda]]*1.15</f>
        <v>2.3317058745079935</v>
      </c>
      <c r="AO906" s="36">
        <f ca="1">Tabela3[[#This Row],[Tabela 1]]*1.08</f>
        <v>2.518242344468633</v>
      </c>
      <c r="AP906" s="36">
        <f ca="1">Tabela3[[#This Row],[Tabela 2]]*1.15</f>
        <v>2.8959786961389278</v>
      </c>
    </row>
    <row r="907" spans="1:42">
      <c r="A907" s="9">
        <v>46049</v>
      </c>
      <c r="B907" s="6" t="s">
        <v>279</v>
      </c>
      <c r="C907" s="14">
        <v>8949</v>
      </c>
      <c r="D907" s="6" t="s">
        <v>46</v>
      </c>
      <c r="E907" s="6" t="s">
        <v>47</v>
      </c>
      <c r="F907" s="6">
        <v>15</v>
      </c>
      <c r="G907" s="15">
        <v>7.9861111111111105E-2</v>
      </c>
      <c r="H907" s="16">
        <v>60</v>
      </c>
      <c r="I907" s="35">
        <f ca="1">IFERROR(Tabela3[[#This Row],[Custo Total]]/Tabela3[[#This Row],[Aluminio Util]],0)</f>
        <v>45.218707375235212</v>
      </c>
      <c r="J907" s="35">
        <f ca="1">Tabela3[[#This Row],[Custo Total]]/Tabela3[[#This Row],[Realizado]]</f>
        <v>2.2609353687617606</v>
      </c>
      <c r="K907" s="37">
        <f>IFERROR(Tabela3[[#This Row],[Qtde Cx Produzida]]/Tabela3[[#This Row],[Tempo]]/24,0)</f>
        <v>7.8260869565217392</v>
      </c>
      <c r="L907" s="37">
        <f>Tabela3[[#This Row],[Qtde Cx Produzida]]*Tabela3[[#This Row],[Qdt Peça Placa]]</f>
        <v>270</v>
      </c>
      <c r="M907" s="37">
        <f>Tabela3[[#This Row],[Previsto]]-Tabela3[[#This Row],[Perda Pçs]]</f>
        <v>210</v>
      </c>
      <c r="N907" s="38">
        <f>IFERROR(Tabela3[[#This Row],[Perda Pçs]]/Tabela3[[#This Row],[Previsto]],0)</f>
        <v>0.22222222222222221</v>
      </c>
      <c r="O907" s="39">
        <f>IFERROR(IF(Tabela3[[#This Row],[Qtde Cx Produzida]] &lt;&gt; 0, Tabela3[[#This Row],[Tempo]] / Tabela3[[#This Row],[Qtde Cx Produzida]], 0),0)</f>
        <v>5.324074074074074E-3</v>
      </c>
      <c r="P907" s="57">
        <f>IFERROR(Tabela3[[#This Row],[Perda Pçs]]/Tabela3[[#This Row],[Qdt Peça Placa]],0)</f>
        <v>3.3333333333333335</v>
      </c>
      <c r="Q907" s="37">
        <f>IFERROR(Tabela3[[#This Row],[Realizado]]*Tabela3[[#This Row],[Peso Util/Pç]],0)</f>
        <v>10.5</v>
      </c>
      <c r="R907" s="37">
        <f>IFERROR(Tabela3[[#This Row],[Peso Total Galho]]*Tabela3[[#This Row],[Qtde Cx Produzida]]*1.055,0)</f>
        <v>39.5625</v>
      </c>
      <c r="S907" s="37">
        <f>(Tabela3[[#This Row],[Aluminio Bruto]]-Tabela3[[#This Row],[Aluminio Util]])*0.9</f>
        <v>26.15625</v>
      </c>
      <c r="T907" s="37">
        <f>Tabela3[[#This Row],[Aluminio Bruto]]/OleoKGAluminio</f>
        <v>16.643892596178954</v>
      </c>
      <c r="U907" s="35">
        <f>IFERROR((VLOOKUP(Tabela3[[#This Row],[Moldador]],Tabela1[],5,)+(VLOOKUP(Tabela3[[#This Row],[Ajudante]],Tabela1[],5,))*3.5),0)</f>
        <v>99.95034583333333</v>
      </c>
      <c r="V907" s="35">
        <f>IFERROR(Tabela3[[#This Row],[Custo M.O. / H]]/((Tabela3[[#This Row],[Realizado]]/Tabela3[[#This Row],[Qdt Peça Placa]])/Tabela3[[#This Row],[Tempo]]/24),)</f>
        <v>16.420413958333334</v>
      </c>
      <c r="W907" s="35">
        <f>Tabela3[[#This Row],[Custo / Cx Moldada]]*Tabela3[[#This Row],[Qtde Cx Produzida]]</f>
        <v>246.30620937500001</v>
      </c>
      <c r="X907" s="35">
        <f ca="1">Tabela3[[#This Row],[Aluminio Util]]*Tabela3[[#This Row],[Custo/Kg]]</f>
        <v>184.8</v>
      </c>
      <c r="Y907" s="35">
        <f>IFERROR(VLOOKUP(Tabela3[[#This Row],[Data]],Tabela461213[],2,1)*(Tabela3[[#This Row],[Qtde Cx Produzida]]*Tabela3[[#This Row],[Qde macho / CX]]*Tabela3[[#This Row],[Peso Macho]]),)</f>
        <v>0</v>
      </c>
      <c r="Z907" s="35">
        <f>IFERROR(Tabela3[[#This Row],[Qtde Oleo]]*(VLOOKUP(Tabela3[[#This Row],[Data]],CompraOleo[],3,TRUE))*1.05,0)</f>
        <v>43.690218064969756</v>
      </c>
      <c r="AA907" s="47">
        <f ca="1">(Tabela3[[#This Row],[Custo Oleo]]+Tabela3[[#This Row],[Custo Aluminio]]+Tabela3[[#This Row],[Custo M.O. Total]]+Tabela3[[#This Row],[Custo Machos]])</f>
        <v>474.79642743996976</v>
      </c>
      <c r="AB907" s="47">
        <f ca="1">Tabela3[[#This Row],[Custo Total]]*Tabela3[[#This Row],[% Perda]]</f>
        <v>105.51031720888216</v>
      </c>
      <c r="AC907" s="48">
        <f>IFERROR(VLOOKUP(Tabela3[[#This Row],[Produto]],Tabela2[],2,0),0)</f>
        <v>18</v>
      </c>
      <c r="AD907" s="48">
        <f>IFERROR(VLOOKUP(Tabela3[[#This Row],[Produto]],Tabela2[],3,0),0)</f>
        <v>0.05</v>
      </c>
      <c r="AE907" s="48">
        <f>IFERROR(VLOOKUP(Tabela3[[#This Row],[Produto]],Tabela2[],4,0),0)</f>
        <v>2.5</v>
      </c>
      <c r="AF907" s="48">
        <f>IFERROR(VLOOKUP(Tabela3[[#This Row],[Produto]],Tabela2[],5,0),0)</f>
        <v>1.4400000000000002</v>
      </c>
      <c r="AG907" s="40">
        <f>IFERROR(VLOOKUP(Tabela3[[#This Row],[Produto]],Tabela2[],6,0),0)</f>
        <v>0</v>
      </c>
      <c r="AH907" s="40">
        <f>IFERROR(VLOOKUP(Tabela3[[#This Row],[Produto]],Tabela2[],7,0),0)</f>
        <v>0</v>
      </c>
      <c r="AI907" s="40">
        <f>IFERROR(VLOOKUP(Tabela3[[#This Row],[Produto]],Tabela2[],8,0),0)</f>
        <v>0</v>
      </c>
      <c r="AJ907" s="35">
        <f ca="1">IFERROR(VLOOKUP(Tabela3[[#This Row],[Produto]],Tabela2[],13,0),0)</f>
        <v>17.600000000000001</v>
      </c>
      <c r="AK907" s="40" t="str">
        <f>IFERROR(VLOOKUP(Tabela3[[#This Row],[Produto]],Tabela2[],14,0),0)</f>
        <v>DIGITROL</v>
      </c>
      <c r="AL907" s="40">
        <f>IFERROR(VLOOKUP(Tabela3[[#This Row],[Produto]],Tabela2[],15,0),0)</f>
        <v>0</v>
      </c>
      <c r="AM907" s="36">
        <f ca="1">(Tabela3[[#This Row],[Custo Usinagem]]+Tabela3[[#This Row],[Custo / Pç]])*1.2</f>
        <v>2.7131224425141127</v>
      </c>
      <c r="AN907" s="36">
        <f ca="1">Tabela3[[#This Row],[Valor Mínimo Venda]]*1.15</f>
        <v>3.1200908088912294</v>
      </c>
      <c r="AO907" s="36">
        <f ca="1">Tabela3[[#This Row],[Tabela 1]]*1.08</f>
        <v>3.3696980736025277</v>
      </c>
      <c r="AP907" s="36">
        <f ca="1">Tabela3[[#This Row],[Tabela 2]]*1.15</f>
        <v>3.8751527846429066</v>
      </c>
    </row>
    <row r="908" spans="1:42">
      <c r="A908" s="9">
        <v>46049</v>
      </c>
      <c r="B908" s="6" t="s">
        <v>248</v>
      </c>
      <c r="C908" s="14">
        <v>8866</v>
      </c>
      <c r="D908" s="6" t="s">
        <v>46</v>
      </c>
      <c r="E908" s="6" t="s">
        <v>44</v>
      </c>
      <c r="F908" s="6">
        <v>15</v>
      </c>
      <c r="G908" s="15">
        <v>8.1250000000000003E-2</v>
      </c>
      <c r="H908" s="16">
        <v>12</v>
      </c>
      <c r="I908" s="35">
        <f ca="1">IFERROR(Tabela3[[#This Row],[Custo Total]]/Tabela3[[#This Row],[Aluminio Util]],0)</f>
        <v>35.825229537347084</v>
      </c>
      <c r="J908" s="35">
        <f ca="1">Tabela3[[#This Row],[Custo Total]]/Tabela3[[#This Row],[Realizado]]</f>
        <v>12.825432174370254</v>
      </c>
      <c r="K908" s="37">
        <f>IFERROR(Tabela3[[#This Row],[Qtde Cx Produzida]]/Tabela3[[#This Row],[Tempo]]/24,0)</f>
        <v>7.6923076923076925</v>
      </c>
      <c r="L908" s="37">
        <f>Tabela3[[#This Row],[Qtde Cx Produzida]]*Tabela3[[#This Row],[Qdt Peça Placa]]</f>
        <v>60</v>
      </c>
      <c r="M908" s="37">
        <f>Tabela3[[#This Row],[Previsto]]-Tabela3[[#This Row],[Perda Pçs]]</f>
        <v>48</v>
      </c>
      <c r="N908" s="38">
        <f>IFERROR(Tabela3[[#This Row],[Perda Pçs]]/Tabela3[[#This Row],[Previsto]],0)</f>
        <v>0.2</v>
      </c>
      <c r="O908" s="39">
        <f>IFERROR(IF(Tabela3[[#This Row],[Qtde Cx Produzida]] &lt;&gt; 0, Tabela3[[#This Row],[Tempo]] / Tabela3[[#This Row],[Qtde Cx Produzida]], 0),0)</f>
        <v>5.4166666666666669E-3</v>
      </c>
      <c r="P908" s="57">
        <f>IFERROR(Tabela3[[#This Row],[Perda Pçs]]/Tabela3[[#This Row],[Qdt Peça Placa]],0)</f>
        <v>3</v>
      </c>
      <c r="Q908" s="37">
        <f>IFERROR(Tabela3[[#This Row],[Realizado]]*Tabela3[[#This Row],[Peso Util/Pç]],0)</f>
        <v>17.183999999999997</v>
      </c>
      <c r="R908" s="37">
        <f>IFERROR(Tabela3[[#This Row],[Peso Total Galho]]*Tabela3[[#This Row],[Qtde Cx Produzida]]*1.055,0)</f>
        <v>36.397500000000001</v>
      </c>
      <c r="S908" s="37">
        <f>(Tabela3[[#This Row],[Aluminio Bruto]]-Tabela3[[#This Row],[Aluminio Util]])*0.9</f>
        <v>17.292150000000003</v>
      </c>
      <c r="T908" s="37">
        <f>Tabela3[[#This Row],[Aluminio Bruto]]/OleoKGAluminio</f>
        <v>15.31238118848464</v>
      </c>
      <c r="U908" s="35">
        <f>IFERROR((VLOOKUP(Tabela3[[#This Row],[Moldador]],Tabela1[],5,)+(VLOOKUP(Tabela3[[#This Row],[Ajudante]],Tabela1[],5,))*3.5),0)</f>
        <v>126.0945</v>
      </c>
      <c r="V908" s="35">
        <f>IFERROR(Tabela3[[#This Row],[Custo M.O. / H]]/((Tabela3[[#This Row],[Realizado]]/Tabela3[[#This Row],[Qdt Peça Placa]])/Tabela3[[#This Row],[Tempo]]/24),)</f>
        <v>20.490356250000001</v>
      </c>
      <c r="W908" s="35">
        <f>Tabela3[[#This Row],[Custo / Cx Moldada]]*Tabela3[[#This Row],[Qtde Cx Produzida]]</f>
        <v>307.35534375000003</v>
      </c>
      <c r="X908" s="35">
        <f ca="1">Tabela3[[#This Row],[Aluminio Util]]*Tabela3[[#This Row],[Custo/Kg]]</f>
        <v>268.07040000000001</v>
      </c>
      <c r="Y908" s="35">
        <f>IFERROR(VLOOKUP(Tabela3[[#This Row],[Data]],Tabela461213[],2,1)*(Tabela3[[#This Row],[Qtde Cx Produzida]]*Tabela3[[#This Row],[Qde macho / CX]]*Tabela3[[#This Row],[Peso Macho]]),)</f>
        <v>0</v>
      </c>
      <c r="Z908" s="35">
        <f>IFERROR(Tabela3[[#This Row],[Qtde Oleo]]*(VLOOKUP(Tabela3[[#This Row],[Data]],CompraOleo[],3,TRUE))*1.05,0)</f>
        <v>40.195000619772181</v>
      </c>
      <c r="AA908" s="47">
        <f ca="1">(Tabela3[[#This Row],[Custo Oleo]]+Tabela3[[#This Row],[Custo Aluminio]]+Tabela3[[#This Row],[Custo M.O. Total]]+Tabela3[[#This Row],[Custo Machos]])</f>
        <v>615.62074436977218</v>
      </c>
      <c r="AB908" s="47">
        <f ca="1">Tabela3[[#This Row],[Custo Total]]*Tabela3[[#This Row],[% Perda]]</f>
        <v>123.12414887395444</v>
      </c>
      <c r="AC908" s="48">
        <f>IFERROR(VLOOKUP(Tabela3[[#This Row],[Produto]],Tabela2[],2,0),0)</f>
        <v>4</v>
      </c>
      <c r="AD908" s="48">
        <f>IFERROR(VLOOKUP(Tabela3[[#This Row],[Produto]],Tabela2[],3,0),0)</f>
        <v>0.35799999999999998</v>
      </c>
      <c r="AE908" s="48">
        <f>IFERROR(VLOOKUP(Tabela3[[#This Row],[Produto]],Tabela2[],4,0),0)</f>
        <v>2.2999999999999998</v>
      </c>
      <c r="AF908" s="48">
        <f>IFERROR(VLOOKUP(Tabela3[[#This Row],[Produto]],Tabela2[],5,0),0)</f>
        <v>0.78119999999999989</v>
      </c>
      <c r="AG908" s="40">
        <f>IFERROR(VLOOKUP(Tabela3[[#This Row],[Produto]],Tabela2[],6,0),0)</f>
        <v>0</v>
      </c>
      <c r="AH908" s="40">
        <f>IFERROR(VLOOKUP(Tabela3[[#This Row],[Produto]],Tabela2[],7,0),0)</f>
        <v>0</v>
      </c>
      <c r="AI908" s="40">
        <f>IFERROR(VLOOKUP(Tabela3[[#This Row],[Produto]],Tabela2[],8,0),0)</f>
        <v>0</v>
      </c>
      <c r="AJ908" s="35">
        <f ca="1">IFERROR(VLOOKUP(Tabela3[[#This Row],[Produto]],Tabela2[],13,0),0)</f>
        <v>15.600000000000001</v>
      </c>
      <c r="AK908" s="40" t="str">
        <f>IFERROR(VLOOKUP(Tabela3[[#This Row],[Produto]],Tabela2[],14,0),0)</f>
        <v>Senun</v>
      </c>
      <c r="AL908" s="40">
        <f>IFERROR(VLOOKUP(Tabela3[[#This Row],[Produto]],Tabela2[],15,0),0)</f>
        <v>4</v>
      </c>
      <c r="AM908" s="36">
        <f ca="1">(Tabela3[[#This Row],[Custo Usinagem]]+Tabela3[[#This Row],[Custo / Pç]])*1.2</f>
        <v>20.190518609244307</v>
      </c>
      <c r="AN908" s="36">
        <f ca="1">Tabela3[[#This Row],[Valor Mínimo Venda]]*1.15</f>
        <v>23.219096400630953</v>
      </c>
      <c r="AO908" s="36">
        <f ca="1">Tabela3[[#This Row],[Tabela 1]]*1.08</f>
        <v>25.076624112681429</v>
      </c>
      <c r="AP908" s="36">
        <f ca="1">Tabela3[[#This Row],[Tabela 2]]*1.15</f>
        <v>28.83811772958364</v>
      </c>
    </row>
    <row r="909" spans="1:42">
      <c r="A909" s="9">
        <v>46050</v>
      </c>
      <c r="B909" s="6" t="s">
        <v>135</v>
      </c>
      <c r="C909" s="14">
        <v>8865</v>
      </c>
      <c r="D909" s="6" t="s">
        <v>46</v>
      </c>
      <c r="E909" s="6" t="s">
        <v>44</v>
      </c>
      <c r="F909" s="6">
        <v>20</v>
      </c>
      <c r="G909" s="15">
        <v>0.10555555555555556</v>
      </c>
      <c r="H909" s="16">
        <v>1</v>
      </c>
      <c r="I909" s="35">
        <f ca="1">IFERROR(Tabela3[[#This Row],[Custo Total]]/Tabela3[[#This Row],[Aluminio Util]],0)</f>
        <v>30.453509882737322</v>
      </c>
      <c r="J909" s="35">
        <f ca="1">Tabela3[[#This Row],[Custo Total]]/Tabela3[[#This Row],[Realizado]]</f>
        <v>53.902712492445062</v>
      </c>
      <c r="K909" s="37">
        <f>IFERROR(Tabela3[[#This Row],[Qtde Cx Produzida]]/Tabela3[[#This Row],[Tempo]]/24,0)</f>
        <v>7.8947368421052637</v>
      </c>
      <c r="L909" s="37">
        <f>Tabela3[[#This Row],[Qtde Cx Produzida]]*Tabela3[[#This Row],[Qdt Peça Placa]]</f>
        <v>20</v>
      </c>
      <c r="M909" s="37">
        <f>Tabela3[[#This Row],[Previsto]]-Tabela3[[#This Row],[Perda Pçs]]</f>
        <v>19</v>
      </c>
      <c r="N909" s="38">
        <f>IFERROR(Tabela3[[#This Row],[Perda Pçs]]/Tabela3[[#This Row],[Previsto]],0)</f>
        <v>0.05</v>
      </c>
      <c r="O909" s="39">
        <f>IFERROR(IF(Tabela3[[#This Row],[Qtde Cx Produzida]] &lt;&gt; 0, Tabela3[[#This Row],[Tempo]] / Tabela3[[#This Row],[Qtde Cx Produzida]], 0),0)</f>
        <v>5.2777777777777779E-3</v>
      </c>
      <c r="P909" s="57">
        <f>IFERROR(Tabela3[[#This Row],[Perda Pçs]]/Tabela3[[#This Row],[Qdt Peça Placa]],0)</f>
        <v>1</v>
      </c>
      <c r="Q909" s="37">
        <f>IFERROR(Tabela3[[#This Row],[Realizado]]*Tabela3[[#This Row],[Peso Util/Pç]],0)</f>
        <v>33.630000000000003</v>
      </c>
      <c r="R909" s="37">
        <f>IFERROR(Tabela3[[#This Row],[Peso Total Galho]]*Tabela3[[#This Row],[Qtde Cx Produzida]]*1.055,0)</f>
        <v>66.042999999999992</v>
      </c>
      <c r="S909" s="37">
        <f>(Tabela3[[#This Row],[Aluminio Bruto]]-Tabela3[[#This Row],[Aluminio Util]])*0.9</f>
        <v>29.171699999999991</v>
      </c>
      <c r="T909" s="37">
        <f>Tabela3[[#This Row],[Aluminio Bruto]]/OleoKGAluminio</f>
        <v>27.784204707221399</v>
      </c>
      <c r="U909" s="35">
        <f>IFERROR((VLOOKUP(Tabela3[[#This Row],[Moldador]],Tabela1[],5,)+(VLOOKUP(Tabela3[[#This Row],[Ajudante]],Tabela1[],5,))*3.5),0)</f>
        <v>126.0945</v>
      </c>
      <c r="V909" s="35">
        <f>IFERROR(Tabela3[[#This Row],[Custo M.O. / H]]/((Tabela3[[#This Row],[Realizado]]/Tabela3[[#This Row],[Qdt Peça Placa]])/Tabela3[[#This Row],[Tempo]]/24),)</f>
        <v>16.8126</v>
      </c>
      <c r="W909" s="35">
        <f>Tabela3[[#This Row],[Custo / Cx Moldada]]*Tabela3[[#This Row],[Qtde Cx Produzida]]</f>
        <v>336.25200000000001</v>
      </c>
      <c r="X909" s="35">
        <f ca="1">Tabela3[[#This Row],[Aluminio Util]]*Tabela3[[#This Row],[Custo/Kg]]</f>
        <v>524.62800000000004</v>
      </c>
      <c r="Y909" s="35">
        <f>IFERROR(VLOOKUP(Tabela3[[#This Row],[Data]],Tabela461213[],2,1)*(Tabela3[[#This Row],[Qtde Cx Produzida]]*Tabela3[[#This Row],[Qde macho / CX]]*Tabela3[[#This Row],[Peso Macho]]),)</f>
        <v>90.337999999999994</v>
      </c>
      <c r="Z909" s="35">
        <f>IFERROR(Tabela3[[#This Row],[Qtde Oleo]]*(VLOOKUP(Tabela3[[#This Row],[Data]],CompraOleo[],3,TRUE))*1.05,0)</f>
        <v>72.933537356456171</v>
      </c>
      <c r="AA909" s="47">
        <f ca="1">(Tabela3[[#This Row],[Custo Oleo]]+Tabela3[[#This Row],[Custo Aluminio]]+Tabela3[[#This Row],[Custo M.O. Total]]+Tabela3[[#This Row],[Custo Machos]])</f>
        <v>1024.1515373564562</v>
      </c>
      <c r="AB909" s="47">
        <f ca="1">Tabela3[[#This Row],[Custo Total]]*Tabela3[[#This Row],[% Perda]]</f>
        <v>51.207576867822809</v>
      </c>
      <c r="AC909" s="48">
        <f>IFERROR(VLOOKUP(Tabela3[[#This Row],[Produto]],Tabela2[],2,0),0)</f>
        <v>1</v>
      </c>
      <c r="AD909" s="48">
        <f>IFERROR(VLOOKUP(Tabela3[[#This Row],[Produto]],Tabela2[],3,0),0)</f>
        <v>1.77</v>
      </c>
      <c r="AE909" s="48">
        <f>IFERROR(VLOOKUP(Tabela3[[#This Row],[Produto]],Tabela2[],4,0),0)</f>
        <v>3.13</v>
      </c>
      <c r="AF909" s="48">
        <f>IFERROR(VLOOKUP(Tabela3[[#This Row],[Produto]],Tabela2[],5,0),0)</f>
        <v>1.224</v>
      </c>
      <c r="AG909" s="40">
        <f>IFERROR(VLOOKUP(Tabela3[[#This Row],[Produto]],Tabela2[],6,0),0)</f>
        <v>0</v>
      </c>
      <c r="AH909" s="40">
        <f>IFERROR(VLOOKUP(Tabela3[[#This Row],[Produto]],Tabela2[],7,0),0)</f>
        <v>1</v>
      </c>
      <c r="AI909" s="40">
        <f>IFERROR(VLOOKUP(Tabela3[[#This Row],[Produto]],Tabela2[],8,0),0)</f>
        <v>2.657</v>
      </c>
      <c r="AJ909" s="35">
        <f ca="1">IFERROR(VLOOKUP(Tabela3[[#This Row],[Produto]],Tabela2[],13,0),0)</f>
        <v>15.600000000000001</v>
      </c>
      <c r="AK909" s="40" t="str">
        <f>IFERROR(VLOOKUP(Tabela3[[#This Row],[Produto]],Tabela2[],14,0),0)</f>
        <v>Jumil</v>
      </c>
      <c r="AL909" s="40">
        <f>IFERROR(VLOOKUP(Tabela3[[#This Row],[Produto]],Tabela2[],15,0),0)</f>
        <v>10</v>
      </c>
      <c r="AM909" s="36">
        <f ca="1">(Tabela3[[#This Row],[Custo Usinagem]]+Tabela3[[#This Row],[Custo / Pç]])*1.2</f>
        <v>76.683254990934074</v>
      </c>
      <c r="AN909" s="36">
        <f ca="1">Tabela3[[#This Row],[Valor Mínimo Venda]]*1.15</f>
        <v>88.18574323957418</v>
      </c>
      <c r="AO909" s="36">
        <f ca="1">Tabela3[[#This Row],[Tabela 1]]*1.08</f>
        <v>95.240602698740119</v>
      </c>
      <c r="AP909" s="36">
        <f ca="1">Tabela3[[#This Row],[Tabela 2]]*1.15</f>
        <v>109.52669310355112</v>
      </c>
    </row>
    <row r="910" spans="1:42">
      <c r="A910" s="9">
        <v>46050</v>
      </c>
      <c r="B910" s="6" t="s">
        <v>91</v>
      </c>
      <c r="C910" s="14">
        <v>8795</v>
      </c>
      <c r="D910" s="6" t="s">
        <v>46</v>
      </c>
      <c r="E910" s="6" t="s">
        <v>44</v>
      </c>
      <c r="F910" s="6">
        <v>10</v>
      </c>
      <c r="G910" s="15">
        <v>5.6250000000000001E-2</v>
      </c>
      <c r="H910" s="16">
        <v>0</v>
      </c>
      <c r="I910" s="35">
        <f ca="1">IFERROR(Tabela3[[#This Row],[Custo Total]]/Tabela3[[#This Row],[Aluminio Util]],0)</f>
        <v>40.40592462648344</v>
      </c>
      <c r="J910" s="35">
        <f ca="1">Tabela3[[#This Row],[Custo Total]]/Tabela3[[#This Row],[Realizado]]</f>
        <v>31.678244907163013</v>
      </c>
      <c r="K910" s="37">
        <f>IFERROR(Tabela3[[#This Row],[Qtde Cx Produzida]]/Tabela3[[#This Row],[Tempo]]/24,0)</f>
        <v>7.4074074074074074</v>
      </c>
      <c r="L910" s="37">
        <f>Tabela3[[#This Row],[Qtde Cx Produzida]]*Tabela3[[#This Row],[Qdt Peça Placa]]</f>
        <v>40</v>
      </c>
      <c r="M910" s="37">
        <f>Tabela3[[#This Row],[Previsto]]-Tabela3[[#This Row],[Perda Pçs]]</f>
        <v>40</v>
      </c>
      <c r="N910" s="38">
        <f>IFERROR(Tabela3[[#This Row],[Perda Pçs]]/Tabela3[[#This Row],[Previsto]],0)</f>
        <v>0</v>
      </c>
      <c r="O910" s="39">
        <f>IFERROR(IF(Tabela3[[#This Row],[Qtde Cx Produzida]] &lt;&gt; 0, Tabela3[[#This Row],[Tempo]] / Tabela3[[#This Row],[Qtde Cx Produzida]], 0),0)</f>
        <v>5.6249999999999998E-3</v>
      </c>
      <c r="P910" s="57">
        <f>IFERROR(Tabela3[[#This Row],[Perda Pçs]]/Tabela3[[#This Row],[Qdt Peça Placa]],0)</f>
        <v>0</v>
      </c>
      <c r="Q910" s="37">
        <f>IFERROR(Tabela3[[#This Row],[Realizado]]*Tabela3[[#This Row],[Peso Util/Pç]],0)</f>
        <v>31.36</v>
      </c>
      <c r="R910" s="37">
        <f>IFERROR(Tabela3[[#This Row],[Peso Total Galho]]*Tabela3[[#This Row],[Qtde Cx Produzida]]*1.055,0)</f>
        <v>58.531399999999998</v>
      </c>
      <c r="S910" s="37">
        <f>(Tabela3[[#This Row],[Aluminio Bruto]]-Tabela3[[#This Row],[Aluminio Util]])*0.9</f>
        <v>24.454259999999998</v>
      </c>
      <c r="T910" s="37">
        <f>Tabela3[[#This Row],[Aluminio Bruto]]/OleoKGAluminio</f>
        <v>24.62408429962689</v>
      </c>
      <c r="U910" s="35">
        <f>IFERROR((VLOOKUP(Tabela3[[#This Row],[Moldador]],Tabela1[],5,)+(VLOOKUP(Tabela3[[#This Row],[Ajudante]],Tabela1[],5,))*3.5),0)</f>
        <v>126.0945</v>
      </c>
      <c r="V910" s="35">
        <f>IFERROR(Tabela3[[#This Row],[Custo M.O. / H]]/((Tabela3[[#This Row],[Realizado]]/Tabela3[[#This Row],[Qdt Peça Placa]])/Tabela3[[#This Row],[Tempo]]/24),)</f>
        <v>17.022757500000001</v>
      </c>
      <c r="W910" s="35">
        <f>Tabela3[[#This Row],[Custo / Cx Moldada]]*Tabela3[[#This Row],[Qtde Cx Produzida]]</f>
        <v>170.227575</v>
      </c>
      <c r="X910" s="35">
        <f ca="1">Tabela3[[#This Row],[Aluminio Util]]*Tabela3[[#This Row],[Custo/Kg]]</f>
        <v>489.21600000000001</v>
      </c>
      <c r="Y910" s="35">
        <f>IFERROR(VLOOKUP(Tabela3[[#This Row],[Data]],Tabela461213[],2,1)*(Tabela3[[#This Row],[Qtde Cx Produzida]]*Tabela3[[#This Row],[Qde macho / CX]]*Tabela3[[#This Row],[Peso Macho]]),)</f>
        <v>543.048</v>
      </c>
      <c r="Z910" s="35">
        <f>IFERROR(Tabela3[[#This Row],[Qtde Oleo]]*(VLOOKUP(Tabela3[[#This Row],[Data]],CompraOleo[],3,TRUE))*1.05,0)</f>
        <v>64.63822128652059</v>
      </c>
      <c r="AA910" s="47">
        <f ca="1">(Tabela3[[#This Row],[Custo Oleo]]+Tabela3[[#This Row],[Custo Aluminio]]+Tabela3[[#This Row],[Custo M.O. Total]]+Tabela3[[#This Row],[Custo Machos]])</f>
        <v>1267.1297962865206</v>
      </c>
      <c r="AB910" s="47">
        <f ca="1">Tabela3[[#This Row],[Custo Total]]*Tabela3[[#This Row],[% Perda]]</f>
        <v>0</v>
      </c>
      <c r="AC910" s="48">
        <f>IFERROR(VLOOKUP(Tabela3[[#This Row],[Produto]],Tabela2[],2,0),0)</f>
        <v>4</v>
      </c>
      <c r="AD910" s="48">
        <f>IFERROR(VLOOKUP(Tabela3[[#This Row],[Produto]],Tabela2[],3,0),0)</f>
        <v>0.78400000000000003</v>
      </c>
      <c r="AE910" s="48">
        <f>IFERROR(VLOOKUP(Tabela3[[#This Row],[Produto]],Tabela2[],4,0),0)</f>
        <v>5.548</v>
      </c>
      <c r="AF910" s="48">
        <f>IFERROR(VLOOKUP(Tabela3[[#This Row],[Produto]],Tabela2[],5,0),0)</f>
        <v>2.1707999999999998</v>
      </c>
      <c r="AG910" s="40">
        <f>IFERROR(VLOOKUP(Tabela3[[#This Row],[Produto]],Tabela2[],6,0),0)</f>
        <v>0</v>
      </c>
      <c r="AH910" s="40">
        <f>IFERROR(VLOOKUP(Tabela3[[#This Row],[Produto]],Tabela2[],7,0),0)</f>
        <v>12</v>
      </c>
      <c r="AI910" s="40">
        <f>IFERROR(VLOOKUP(Tabela3[[#This Row],[Produto]],Tabela2[],8,0),0)</f>
        <v>2.6619999999999999</v>
      </c>
      <c r="AJ910" s="35">
        <f ca="1">IFERROR(VLOOKUP(Tabela3[[#This Row],[Produto]],Tabela2[],13,0),0)</f>
        <v>15.600000000000001</v>
      </c>
      <c r="AK910" s="40" t="str">
        <f>IFERROR(VLOOKUP(Tabela3[[#This Row],[Produto]],Tabela2[],14,0),0)</f>
        <v>Jumil</v>
      </c>
      <c r="AL910" s="40">
        <f>IFERROR(VLOOKUP(Tabela3[[#This Row],[Produto]],Tabela2[],15,0),0)</f>
        <v>8</v>
      </c>
      <c r="AM910" s="36">
        <f ca="1">(Tabela3[[#This Row],[Custo Usinagem]]+Tabela3[[#This Row],[Custo / Pç]])*1.2</f>
        <v>47.613893888595612</v>
      </c>
      <c r="AN910" s="36">
        <f ca="1">Tabela3[[#This Row],[Valor Mínimo Venda]]*1.15</f>
        <v>54.755977971884953</v>
      </c>
      <c r="AO910" s="36">
        <f ca="1">Tabela3[[#This Row],[Tabela 1]]*1.08</f>
        <v>59.136456209635753</v>
      </c>
      <c r="AP910" s="36">
        <f ca="1">Tabela3[[#This Row],[Tabela 2]]*1.15</f>
        <v>68.006924641081113</v>
      </c>
    </row>
    <row r="911" spans="1:42">
      <c r="A911" s="9">
        <v>46050</v>
      </c>
      <c r="B911" s="6" t="s">
        <v>111</v>
      </c>
      <c r="C911" s="14">
        <v>8981</v>
      </c>
      <c r="D911" s="6" t="s">
        <v>46</v>
      </c>
      <c r="E911" s="6" t="s">
        <v>44</v>
      </c>
      <c r="F911" s="6">
        <v>6</v>
      </c>
      <c r="G911" s="15">
        <v>3.2638888888888891E-2</v>
      </c>
      <c r="H911" s="16">
        <v>0</v>
      </c>
      <c r="I911" s="35">
        <f ca="1">IFERROR(Tabela3[[#This Row],[Custo Total]]/Tabela3[[#This Row],[Aluminio Util]],0)</f>
        <v>26.103506442039599</v>
      </c>
      <c r="J911" s="35">
        <f ca="1">Tabela3[[#This Row],[Custo Total]]/Tabela3[[#This Row],[Realizado]]</f>
        <v>50.90183756197721</v>
      </c>
      <c r="K911" s="37">
        <f>IFERROR(Tabela3[[#This Row],[Qtde Cx Produzida]]/Tabela3[[#This Row],[Tempo]]/24,0)</f>
        <v>7.6595744680851068</v>
      </c>
      <c r="L911" s="37">
        <f>Tabela3[[#This Row],[Qtde Cx Produzida]]*Tabela3[[#This Row],[Qdt Peça Placa]]</f>
        <v>6</v>
      </c>
      <c r="M911" s="37">
        <f>Tabela3[[#This Row],[Previsto]]-Tabela3[[#This Row],[Perda Pçs]]</f>
        <v>6</v>
      </c>
      <c r="N911" s="38">
        <f>IFERROR(Tabela3[[#This Row],[Perda Pçs]]/Tabela3[[#This Row],[Previsto]],0)</f>
        <v>0</v>
      </c>
      <c r="O911" s="39">
        <f>IFERROR(IF(Tabela3[[#This Row],[Qtde Cx Produzida]] &lt;&gt; 0, Tabela3[[#This Row],[Tempo]] / Tabela3[[#This Row],[Qtde Cx Produzida]], 0),0)</f>
        <v>5.4398148148148149E-3</v>
      </c>
      <c r="P911" s="57">
        <f>IFERROR(Tabela3[[#This Row],[Perda Pçs]]/Tabela3[[#This Row],[Qdt Peça Placa]],0)</f>
        <v>0</v>
      </c>
      <c r="Q911" s="37">
        <f>IFERROR(Tabela3[[#This Row],[Realizado]]*Tabela3[[#This Row],[Peso Util/Pç]],0)</f>
        <v>11.7</v>
      </c>
      <c r="R911" s="37">
        <f>IFERROR(Tabela3[[#This Row],[Peso Total Galho]]*Tabela3[[#This Row],[Qtde Cx Produzida]]*1.055,0)</f>
        <v>21.838500000000003</v>
      </c>
      <c r="S911" s="37">
        <f>(Tabela3[[#This Row],[Aluminio Bruto]]-Tabela3[[#This Row],[Aluminio Util]])*0.9</f>
        <v>9.1246500000000044</v>
      </c>
      <c r="T911" s="37">
        <f>Tabela3[[#This Row],[Aluminio Bruto]]/OleoKGAluminio</f>
        <v>9.1874287130907852</v>
      </c>
      <c r="U911" s="35">
        <f>IFERROR((VLOOKUP(Tabela3[[#This Row],[Moldador]],Tabela1[],5,)+(VLOOKUP(Tabela3[[#This Row],[Ajudante]],Tabela1[],5,))*3.5),0)</f>
        <v>126.0945</v>
      </c>
      <c r="V911" s="35">
        <f>IFERROR(Tabela3[[#This Row],[Custo M.O. / H]]/((Tabela3[[#This Row],[Realizado]]/Tabela3[[#This Row],[Qdt Peça Placa]])/Tabela3[[#This Row],[Tempo]]/24),)</f>
        <v>16.4623375</v>
      </c>
      <c r="W911" s="35">
        <f>Tabela3[[#This Row],[Custo / Cx Moldada]]*Tabela3[[#This Row],[Qtde Cx Produzida]]</f>
        <v>98.774024999999995</v>
      </c>
      <c r="X911" s="35">
        <f ca="1">Tabela3[[#This Row],[Aluminio Util]]*Tabela3[[#This Row],[Custo/Kg]]</f>
        <v>182.52</v>
      </c>
      <c r="Y911" s="35">
        <f>IFERROR(VLOOKUP(Tabela3[[#This Row],[Data]],Tabela461213[],2,1)*(Tabela3[[#This Row],[Qtde Cx Produzida]]*Tabela3[[#This Row],[Qde macho / CX]]*Tabela3[[#This Row],[Peso Macho]]),)</f>
        <v>0</v>
      </c>
      <c r="Z911" s="35">
        <f>IFERROR(Tabela3[[#This Row],[Qtde Oleo]]*(VLOOKUP(Tabela3[[#This Row],[Data]],CompraOleo[],3,TRUE))*1.05,0)</f>
        <v>24.117000371863309</v>
      </c>
      <c r="AA911" s="47">
        <f ca="1">(Tabela3[[#This Row],[Custo Oleo]]+Tabela3[[#This Row],[Custo Aluminio]]+Tabela3[[#This Row],[Custo M.O. Total]]+Tabela3[[#This Row],[Custo Machos]])</f>
        <v>305.41102537186327</v>
      </c>
      <c r="AB911" s="47">
        <f ca="1">Tabela3[[#This Row],[Custo Total]]*Tabela3[[#This Row],[% Perda]]</f>
        <v>0</v>
      </c>
      <c r="AC911" s="48">
        <f>IFERROR(VLOOKUP(Tabela3[[#This Row],[Produto]],Tabela2[],2,0),0)</f>
        <v>1</v>
      </c>
      <c r="AD911" s="48">
        <f>IFERROR(VLOOKUP(Tabela3[[#This Row],[Produto]],Tabela2[],3,0),0)</f>
        <v>1.95</v>
      </c>
      <c r="AE911" s="48">
        <f>IFERROR(VLOOKUP(Tabela3[[#This Row],[Produto]],Tabela2[],4,0),0)</f>
        <v>3.45</v>
      </c>
      <c r="AF911" s="48">
        <f>IFERROR(VLOOKUP(Tabela3[[#This Row],[Produto]],Tabela2[],5,0),0)</f>
        <v>1.3500000000000003</v>
      </c>
      <c r="AG911" s="40">
        <f>IFERROR(VLOOKUP(Tabela3[[#This Row],[Produto]],Tabela2[],6,0),0)</f>
        <v>0</v>
      </c>
      <c r="AH911" s="40">
        <f>IFERROR(VLOOKUP(Tabela3[[#This Row],[Produto]],Tabela2[],7,0),0)</f>
        <v>0</v>
      </c>
      <c r="AI911" s="40">
        <f>IFERROR(VLOOKUP(Tabela3[[#This Row],[Produto]],Tabela2[],8,0),0)</f>
        <v>0</v>
      </c>
      <c r="AJ911" s="35">
        <f ca="1">IFERROR(VLOOKUP(Tabela3[[#This Row],[Produto]],Tabela2[],13,0),0)</f>
        <v>15.600000000000001</v>
      </c>
      <c r="AK911" s="40" t="str">
        <f>IFERROR(VLOOKUP(Tabela3[[#This Row],[Produto]],Tabela2[],14,0),0)</f>
        <v>Jumil</v>
      </c>
      <c r="AL911" s="40">
        <f>IFERROR(VLOOKUP(Tabela3[[#This Row],[Produto]],Tabela2[],15,0),0)</f>
        <v>1</v>
      </c>
      <c r="AM911" s="36">
        <f ca="1">(Tabela3[[#This Row],[Custo Usinagem]]+Tabela3[[#This Row],[Custo / Pç]])*1.2</f>
        <v>62.282205074372648</v>
      </c>
      <c r="AN911" s="36">
        <f ca="1">Tabela3[[#This Row],[Valor Mínimo Venda]]*1.15</f>
        <v>71.624535835528533</v>
      </c>
      <c r="AO911" s="36">
        <f ca="1">Tabela3[[#This Row],[Tabela 1]]*1.08</f>
        <v>77.354498702370819</v>
      </c>
      <c r="AP911" s="36">
        <f ca="1">Tabela3[[#This Row],[Tabela 2]]*1.15</f>
        <v>88.95767350772644</v>
      </c>
    </row>
    <row r="912" spans="1:42">
      <c r="A912" s="9">
        <v>46050</v>
      </c>
      <c r="B912" s="6" t="s">
        <v>229</v>
      </c>
      <c r="C912" s="14">
        <v>8915</v>
      </c>
      <c r="D912" s="6" t="s">
        <v>46</v>
      </c>
      <c r="E912" s="6" t="s">
        <v>44</v>
      </c>
      <c r="F912" s="6">
        <v>15</v>
      </c>
      <c r="G912" s="15">
        <v>7.6388888888888895E-2</v>
      </c>
      <c r="H912" s="16">
        <v>0</v>
      </c>
      <c r="I912" s="35">
        <f ca="1">IFERROR(Tabela3[[#This Row],[Custo Total]]/Tabela3[[#This Row],[Aluminio Util]],0)</f>
        <v>22.653107804276804</v>
      </c>
      <c r="J912" s="35">
        <f ca="1">Tabela3[[#This Row],[Custo Total]]/Tabela3[[#This Row],[Realizado]]</f>
        <v>63.156864558323726</v>
      </c>
      <c r="K912" s="37">
        <f>IFERROR(Tabela3[[#This Row],[Qtde Cx Produzida]]/Tabela3[[#This Row],[Tempo]]/24,0)</f>
        <v>8.1818181818181817</v>
      </c>
      <c r="L912" s="37">
        <f>Tabela3[[#This Row],[Qtde Cx Produzida]]*Tabela3[[#This Row],[Qdt Peça Placa]]</f>
        <v>15</v>
      </c>
      <c r="M912" s="37">
        <f>Tabela3[[#This Row],[Previsto]]-Tabela3[[#This Row],[Perda Pçs]]</f>
        <v>15</v>
      </c>
      <c r="N912" s="38">
        <f>IFERROR(Tabela3[[#This Row],[Perda Pçs]]/Tabela3[[#This Row],[Previsto]],0)</f>
        <v>0</v>
      </c>
      <c r="O912" s="39">
        <f>IFERROR(IF(Tabela3[[#This Row],[Qtde Cx Produzida]] &lt;&gt; 0, Tabela3[[#This Row],[Tempo]] / Tabela3[[#This Row],[Qtde Cx Produzida]], 0),0)</f>
        <v>5.092592592592593E-3</v>
      </c>
      <c r="P912" s="57">
        <f>IFERROR(Tabela3[[#This Row],[Perda Pçs]]/Tabela3[[#This Row],[Qdt Peça Placa]],0)</f>
        <v>0</v>
      </c>
      <c r="Q912" s="37">
        <f>IFERROR(Tabela3[[#This Row],[Realizado]]*Tabela3[[#This Row],[Peso Util/Pç]],0)</f>
        <v>41.82</v>
      </c>
      <c r="R912" s="37">
        <f>IFERROR(Tabela3[[#This Row],[Peso Total Galho]]*Tabela3[[#This Row],[Qtde Cx Produzida]]*1.055,0)</f>
        <v>57.761249999999997</v>
      </c>
      <c r="S912" s="37">
        <f>(Tabela3[[#This Row],[Aluminio Bruto]]-Tabela3[[#This Row],[Aluminio Util]])*0.9</f>
        <v>14.347124999999997</v>
      </c>
      <c r="T912" s="37">
        <f>Tabela3[[#This Row],[Aluminio Bruto]]/OleoKGAluminio</f>
        <v>24.300083190421272</v>
      </c>
      <c r="U912" s="35">
        <f>IFERROR((VLOOKUP(Tabela3[[#This Row],[Moldador]],Tabela1[],5,)+(VLOOKUP(Tabela3[[#This Row],[Ajudante]],Tabela1[],5,))*3.5),0)</f>
        <v>126.0945</v>
      </c>
      <c r="V912" s="35">
        <f>IFERROR(Tabela3[[#This Row],[Custo M.O. / H]]/((Tabela3[[#This Row],[Realizado]]/Tabela3[[#This Row],[Qdt Peça Placa]])/Tabela3[[#This Row],[Tempo]]/24),)</f>
        <v>15.41155</v>
      </c>
      <c r="W912" s="35">
        <f>Tabela3[[#This Row],[Custo / Cx Moldada]]*Tabela3[[#This Row],[Qtde Cx Produzida]]</f>
        <v>231.17325</v>
      </c>
      <c r="X912" s="35">
        <f ca="1">Tabela3[[#This Row],[Aluminio Util]]*Tabela3[[#This Row],[Custo/Kg]]</f>
        <v>652.39200000000005</v>
      </c>
      <c r="Y912" s="35">
        <f>IFERROR(VLOOKUP(Tabela3[[#This Row],[Data]],Tabela461213[],2,1)*(Tabela3[[#This Row],[Qtde Cx Produzida]]*Tabela3[[#This Row],[Qde macho / CX]]*Tabela3[[#This Row],[Peso Macho]]),)</f>
        <v>0</v>
      </c>
      <c r="Z912" s="35">
        <f>IFERROR(Tabela3[[#This Row],[Qtde Oleo]]*(VLOOKUP(Tabela3[[#This Row],[Data]],CompraOleo[],3,TRUE))*1.05,0)</f>
        <v>63.787718374855842</v>
      </c>
      <c r="AA912" s="47">
        <f ca="1">(Tabela3[[#This Row],[Custo Oleo]]+Tabela3[[#This Row],[Custo Aluminio]]+Tabela3[[#This Row],[Custo M.O. Total]]+Tabela3[[#This Row],[Custo Machos]])</f>
        <v>947.35296837485589</v>
      </c>
      <c r="AB912" s="47">
        <f ca="1">Tabela3[[#This Row],[Custo Total]]*Tabela3[[#This Row],[% Perda]]</f>
        <v>0</v>
      </c>
      <c r="AC912" s="48">
        <f>IFERROR(VLOOKUP(Tabela3[[#This Row],[Produto]],Tabela2[],2,0),0)</f>
        <v>1</v>
      </c>
      <c r="AD912" s="48">
        <f>IFERROR(VLOOKUP(Tabela3[[#This Row],[Produto]],Tabela2[],3,0),0)</f>
        <v>2.7879999999999998</v>
      </c>
      <c r="AE912" s="48">
        <f>IFERROR(VLOOKUP(Tabela3[[#This Row],[Produto]],Tabela2[],4,0),0)</f>
        <v>3.65</v>
      </c>
      <c r="AF912" s="48">
        <f>IFERROR(VLOOKUP(Tabela3[[#This Row],[Produto]],Tabela2[],5,0),0)</f>
        <v>0.77580000000000016</v>
      </c>
      <c r="AG912" s="40">
        <f>IFERROR(VLOOKUP(Tabela3[[#This Row],[Produto]],Tabela2[],6,0),0)</f>
        <v>0</v>
      </c>
      <c r="AH912" s="40">
        <f>IFERROR(VLOOKUP(Tabela3[[#This Row],[Produto]],Tabela2[],7,0),0)</f>
        <v>0</v>
      </c>
      <c r="AI912" s="40">
        <f>IFERROR(VLOOKUP(Tabela3[[#This Row],[Produto]],Tabela2[],8,0),0)</f>
        <v>0</v>
      </c>
      <c r="AJ912" s="35">
        <f ca="1">IFERROR(VLOOKUP(Tabela3[[#This Row],[Produto]],Tabela2[],13,0),0)</f>
        <v>15.600000000000001</v>
      </c>
      <c r="AK912" s="40" t="str">
        <f>IFERROR(VLOOKUP(Tabela3[[#This Row],[Produto]],Tabela2[],14,0),0)</f>
        <v>Jumil</v>
      </c>
      <c r="AL912" s="40">
        <f>IFERROR(VLOOKUP(Tabela3[[#This Row],[Produto]],Tabela2[],15,0),0)</f>
        <v>35</v>
      </c>
      <c r="AM912" s="36">
        <f ca="1">(Tabela3[[#This Row],[Custo Usinagem]]+Tabela3[[#This Row],[Custo / Pç]])*1.2</f>
        <v>117.78823746998846</v>
      </c>
      <c r="AN912" s="36">
        <f ca="1">Tabela3[[#This Row],[Valor Mínimo Venda]]*1.15</f>
        <v>135.45647309048672</v>
      </c>
      <c r="AO912" s="36">
        <f ca="1">Tabela3[[#This Row],[Tabela 1]]*1.08</f>
        <v>146.29299093772568</v>
      </c>
      <c r="AP912" s="36">
        <f ca="1">Tabela3[[#This Row],[Tabela 2]]*1.15</f>
        <v>168.23693957838452</v>
      </c>
    </row>
    <row r="913" spans="1:42">
      <c r="A913" s="9">
        <v>46050</v>
      </c>
      <c r="B913" s="6" t="s">
        <v>234</v>
      </c>
      <c r="C913" s="14">
        <v>8976</v>
      </c>
      <c r="D913" s="6" t="s">
        <v>46</v>
      </c>
      <c r="E913" s="6" t="s">
        <v>44</v>
      </c>
      <c r="F913" s="6">
        <v>28</v>
      </c>
      <c r="G913" s="15">
        <v>0.14305555555555555</v>
      </c>
      <c r="H913" s="16">
        <v>0</v>
      </c>
      <c r="I913" s="35">
        <f ca="1">IFERROR(Tabela3[[#This Row],[Custo Total]]/Tabela3[[#This Row],[Aluminio Util]],0)</f>
        <v>28.719832789665659</v>
      </c>
      <c r="J913" s="35">
        <f ca="1">Tabela3[[#This Row],[Custo Total]]/Tabela3[[#This Row],[Realizado]]</f>
        <v>45.951732463465063</v>
      </c>
      <c r="K913" s="37">
        <f>IFERROR(Tabela3[[#This Row],[Qtde Cx Produzida]]/Tabela3[[#This Row],[Tempo]]/24,0)</f>
        <v>8.1553398058252426</v>
      </c>
      <c r="L913" s="37">
        <f>Tabela3[[#This Row],[Qtde Cx Produzida]]*Tabela3[[#This Row],[Qdt Peça Placa]]</f>
        <v>28</v>
      </c>
      <c r="M913" s="37">
        <f>Tabela3[[#This Row],[Previsto]]-Tabela3[[#This Row],[Perda Pçs]]</f>
        <v>28</v>
      </c>
      <c r="N913" s="38">
        <f>IFERROR(Tabela3[[#This Row],[Perda Pçs]]/Tabela3[[#This Row],[Previsto]],0)</f>
        <v>0</v>
      </c>
      <c r="O913" s="39">
        <f>IFERROR(IF(Tabela3[[#This Row],[Qtde Cx Produzida]] &lt;&gt; 0, Tabela3[[#This Row],[Tempo]] / Tabela3[[#This Row],[Qtde Cx Produzida]], 0),0)</f>
        <v>5.1091269841269842E-3</v>
      </c>
      <c r="P913" s="57">
        <f>IFERROR(Tabela3[[#This Row],[Perda Pçs]]/Tabela3[[#This Row],[Qdt Peça Placa]],0)</f>
        <v>0</v>
      </c>
      <c r="Q913" s="37">
        <f>IFERROR(Tabela3[[#This Row],[Realizado]]*Tabela3[[#This Row],[Peso Util/Pç]],0)</f>
        <v>44.800000000000004</v>
      </c>
      <c r="R913" s="37">
        <f>IFERROR(Tabela3[[#This Row],[Peso Total Galho]]*Tabela3[[#This Row],[Qtde Cx Produzida]]*1.055,0)</f>
        <v>59.08</v>
      </c>
      <c r="S913" s="37">
        <f>(Tabela3[[#This Row],[Aluminio Bruto]]-Tabela3[[#This Row],[Aluminio Util]])*0.9</f>
        <v>12.851999999999995</v>
      </c>
      <c r="T913" s="37">
        <f>Tabela3[[#This Row],[Aluminio Bruto]]/OleoKGAluminio</f>
        <v>24.854879610293906</v>
      </c>
      <c r="U913" s="35">
        <f>IFERROR((VLOOKUP(Tabela3[[#This Row],[Moldador]],Tabela1[],5,)+(VLOOKUP(Tabela3[[#This Row],[Ajudante]],Tabela1[],5,))*3.5),0)</f>
        <v>126.0945</v>
      </c>
      <c r="V913" s="35">
        <f>IFERROR(Tabela3[[#This Row],[Custo M.O. / H]]/((Tabela3[[#This Row],[Realizado]]/Tabela3[[#This Row],[Qdt Peça Placa]])/Tabela3[[#This Row],[Tempo]]/24),)</f>
        <v>15.4615875</v>
      </c>
      <c r="W913" s="35">
        <f>Tabela3[[#This Row],[Custo / Cx Moldada]]*Tabela3[[#This Row],[Qtde Cx Produzida]]</f>
        <v>432.92444999999998</v>
      </c>
      <c r="X913" s="35">
        <f ca="1">Tabela3[[#This Row],[Aluminio Util]]*Tabela3[[#This Row],[Custo/Kg]]</f>
        <v>788.48000000000013</v>
      </c>
      <c r="Y913" s="35">
        <f>IFERROR(VLOOKUP(Tabela3[[#This Row],[Data]],Tabela461213[],2,1)*(Tabela3[[#This Row],[Qtde Cx Produzida]]*Tabela3[[#This Row],[Qde macho / CX]]*Tabela3[[#This Row],[Peso Macho]]),)</f>
        <v>0</v>
      </c>
      <c r="Z913" s="35">
        <f>IFERROR(Tabela3[[#This Row],[Qtde Oleo]]*(VLOOKUP(Tabela3[[#This Row],[Data]],CompraOleo[],3,TRUE))*1.05,0)</f>
        <v>65.24405897702151</v>
      </c>
      <c r="AA913" s="47">
        <f ca="1">(Tabela3[[#This Row],[Custo Oleo]]+Tabela3[[#This Row],[Custo Aluminio]]+Tabela3[[#This Row],[Custo M.O. Total]]+Tabela3[[#This Row],[Custo Machos]])</f>
        <v>1286.6485089770217</v>
      </c>
      <c r="AB913" s="47">
        <f ca="1">Tabela3[[#This Row],[Custo Total]]*Tabela3[[#This Row],[% Perda]]</f>
        <v>0</v>
      </c>
      <c r="AC913" s="48">
        <f>IFERROR(VLOOKUP(Tabela3[[#This Row],[Produto]],Tabela2[],2,0),0)</f>
        <v>1</v>
      </c>
      <c r="AD913" s="48">
        <f>IFERROR(VLOOKUP(Tabela3[[#This Row],[Produto]],Tabela2[],3,0),0)</f>
        <v>1.6</v>
      </c>
      <c r="AE913" s="48">
        <f>IFERROR(VLOOKUP(Tabela3[[#This Row],[Produto]],Tabela2[],4,0),0)</f>
        <v>2</v>
      </c>
      <c r="AF913" s="48">
        <f>IFERROR(VLOOKUP(Tabela3[[#This Row],[Produto]],Tabela2[],5,0),0)</f>
        <v>0.35999999999999993</v>
      </c>
      <c r="AG913" s="40">
        <f>IFERROR(VLOOKUP(Tabela3[[#This Row],[Produto]],Tabela2[],6,0),0)</f>
        <v>0</v>
      </c>
      <c r="AH913" s="40">
        <f>IFERROR(VLOOKUP(Tabela3[[#This Row],[Produto]],Tabela2[],7,0),0)</f>
        <v>0</v>
      </c>
      <c r="AI913" s="40">
        <f>IFERROR(VLOOKUP(Tabela3[[#This Row],[Produto]],Tabela2[],8,0),0)</f>
        <v>0</v>
      </c>
      <c r="AJ913" s="35">
        <f ca="1">IFERROR(VLOOKUP(Tabela3[[#This Row],[Produto]],Tabela2[],13,0),0)</f>
        <v>17.600000000000001</v>
      </c>
      <c r="AK913" s="40" t="str">
        <f>IFERROR(VLOOKUP(Tabela3[[#This Row],[Produto]],Tabela2[],14,0),0)</f>
        <v>Danilo</v>
      </c>
      <c r="AL913" s="40">
        <f>IFERROR(VLOOKUP(Tabela3[[#This Row],[Produto]],Tabela2[],15,0),0)</f>
        <v>0</v>
      </c>
      <c r="AM913" s="36">
        <f ca="1">(Tabela3[[#This Row],[Custo Usinagem]]+Tabela3[[#This Row],[Custo / Pç]])*1.2</f>
        <v>55.142078956158073</v>
      </c>
      <c r="AN913" s="36">
        <f ca="1">Tabela3[[#This Row],[Valor Mínimo Venda]]*1.15</f>
        <v>63.413390799581776</v>
      </c>
      <c r="AO913" s="36">
        <f ca="1">Tabela3[[#This Row],[Tabela 1]]*1.08</f>
        <v>68.486462063548316</v>
      </c>
      <c r="AP913" s="36">
        <f ca="1">Tabela3[[#This Row],[Tabela 2]]*1.15</f>
        <v>78.75943137308056</v>
      </c>
    </row>
    <row r="914" spans="1:42">
      <c r="A914" s="9">
        <v>46051</v>
      </c>
      <c r="B914" s="6" t="s">
        <v>234</v>
      </c>
      <c r="C914" s="14">
        <v>8976</v>
      </c>
      <c r="D914" s="6" t="s">
        <v>46</v>
      </c>
      <c r="E914" s="6" t="s">
        <v>44</v>
      </c>
      <c r="F914" s="6">
        <v>2</v>
      </c>
      <c r="G914" s="15">
        <v>9.7222222222222224E-3</v>
      </c>
      <c r="H914" s="16">
        <v>0</v>
      </c>
      <c r="I914" s="35">
        <f ca="1">IFERROR(Tabela3[[#This Row],[Custo Total]]/Tabela3[[#This Row],[Aluminio Util]],0)</f>
        <v>28.250731227165659</v>
      </c>
      <c r="J914" s="35">
        <f ca="1">Tabela3[[#This Row],[Custo Total]]/Tabela3[[#This Row],[Realizado]]</f>
        <v>45.201169963465055</v>
      </c>
      <c r="K914" s="37">
        <f>IFERROR(Tabela3[[#This Row],[Qtde Cx Produzida]]/Tabela3[[#This Row],[Tempo]]/24,0)</f>
        <v>8.5714285714285712</v>
      </c>
      <c r="L914" s="37">
        <f>Tabela3[[#This Row],[Qtde Cx Produzida]]*Tabela3[[#This Row],[Qdt Peça Placa]]</f>
        <v>2</v>
      </c>
      <c r="M914" s="37">
        <f>Tabela3[[#This Row],[Previsto]]-Tabela3[[#This Row],[Perda Pçs]]</f>
        <v>2</v>
      </c>
      <c r="N914" s="38">
        <f>IFERROR(Tabela3[[#This Row],[Perda Pçs]]/Tabela3[[#This Row],[Previsto]],0)</f>
        <v>0</v>
      </c>
      <c r="O914" s="39">
        <f>IFERROR(IF(Tabela3[[#This Row],[Qtde Cx Produzida]] &lt;&gt; 0, Tabela3[[#This Row],[Tempo]] / Tabela3[[#This Row],[Qtde Cx Produzida]], 0),0)</f>
        <v>4.8611111111111112E-3</v>
      </c>
      <c r="P914" s="57">
        <f>IFERROR(Tabela3[[#This Row],[Perda Pçs]]/Tabela3[[#This Row],[Qdt Peça Placa]],0)</f>
        <v>0</v>
      </c>
      <c r="Q914" s="37">
        <f>IFERROR(Tabela3[[#This Row],[Realizado]]*Tabela3[[#This Row],[Peso Util/Pç]],0)</f>
        <v>3.2</v>
      </c>
      <c r="R914" s="37">
        <f>IFERROR(Tabela3[[#This Row],[Peso Total Galho]]*Tabela3[[#This Row],[Qtde Cx Produzida]]*1.055,0)</f>
        <v>4.22</v>
      </c>
      <c r="S914" s="37">
        <f>(Tabela3[[#This Row],[Aluminio Bruto]]-Tabela3[[#This Row],[Aluminio Util]])*0.9</f>
        <v>0.91799999999999959</v>
      </c>
      <c r="T914" s="37">
        <f>Tabela3[[#This Row],[Aluminio Bruto]]/OleoKGAluminio</f>
        <v>1.7753485435924219</v>
      </c>
      <c r="U914" s="35">
        <f>IFERROR((VLOOKUP(Tabela3[[#This Row],[Moldador]],Tabela1[],5,)+(VLOOKUP(Tabela3[[#This Row],[Ajudante]],Tabela1[],5,))*3.5),0)</f>
        <v>126.0945</v>
      </c>
      <c r="V914" s="35">
        <f>IFERROR(Tabela3[[#This Row],[Custo M.O. / H]]/((Tabela3[[#This Row],[Realizado]]/Tabela3[[#This Row],[Qdt Peça Placa]])/Tabela3[[#This Row],[Tempo]]/24),)</f>
        <v>14.711024999999999</v>
      </c>
      <c r="W914" s="35">
        <f>Tabela3[[#This Row],[Custo / Cx Moldada]]*Tabela3[[#This Row],[Qtde Cx Produzida]]</f>
        <v>29.422049999999999</v>
      </c>
      <c r="X914" s="35">
        <f ca="1">Tabela3[[#This Row],[Aluminio Util]]*Tabela3[[#This Row],[Custo/Kg]]</f>
        <v>56.320000000000007</v>
      </c>
      <c r="Y914" s="35">
        <f>IFERROR(VLOOKUP(Tabela3[[#This Row],[Data]],Tabela461213[],2,1)*(Tabela3[[#This Row],[Qtde Cx Produzida]]*Tabela3[[#This Row],[Qde macho / CX]]*Tabela3[[#This Row],[Peso Macho]]),)</f>
        <v>0</v>
      </c>
      <c r="Z914" s="35">
        <f>IFERROR(Tabela3[[#This Row],[Qtde Oleo]]*(VLOOKUP(Tabela3[[#This Row],[Data]],CompraOleo[],3,TRUE))*1.05,0)</f>
        <v>4.6602899269301075</v>
      </c>
      <c r="AA914" s="47">
        <f ca="1">(Tabela3[[#This Row],[Custo Oleo]]+Tabela3[[#This Row],[Custo Aluminio]]+Tabela3[[#This Row],[Custo M.O. Total]]+Tabela3[[#This Row],[Custo Machos]])</f>
        <v>90.402339926930111</v>
      </c>
      <c r="AB914" s="47">
        <f ca="1">Tabela3[[#This Row],[Custo Total]]*Tabela3[[#This Row],[% Perda]]</f>
        <v>0</v>
      </c>
      <c r="AC914" s="48">
        <f>IFERROR(VLOOKUP(Tabela3[[#This Row],[Produto]],Tabela2[],2,0),0)</f>
        <v>1</v>
      </c>
      <c r="AD914" s="48">
        <f>IFERROR(VLOOKUP(Tabela3[[#This Row],[Produto]],Tabela2[],3,0),0)</f>
        <v>1.6</v>
      </c>
      <c r="AE914" s="48">
        <f>IFERROR(VLOOKUP(Tabela3[[#This Row],[Produto]],Tabela2[],4,0),0)</f>
        <v>2</v>
      </c>
      <c r="AF914" s="48">
        <f>IFERROR(VLOOKUP(Tabela3[[#This Row],[Produto]],Tabela2[],5,0),0)</f>
        <v>0.35999999999999993</v>
      </c>
      <c r="AG914" s="40">
        <f>IFERROR(VLOOKUP(Tabela3[[#This Row],[Produto]],Tabela2[],6,0),0)</f>
        <v>0</v>
      </c>
      <c r="AH914" s="40">
        <f>IFERROR(VLOOKUP(Tabela3[[#This Row],[Produto]],Tabela2[],7,0),0)</f>
        <v>0</v>
      </c>
      <c r="AI914" s="40">
        <f>IFERROR(VLOOKUP(Tabela3[[#This Row],[Produto]],Tabela2[],8,0),0)</f>
        <v>0</v>
      </c>
      <c r="AJ914" s="35">
        <f ca="1">IFERROR(VLOOKUP(Tabela3[[#This Row],[Produto]],Tabela2[],13,0),0)</f>
        <v>17.600000000000001</v>
      </c>
      <c r="AK914" s="40" t="str">
        <f>IFERROR(VLOOKUP(Tabela3[[#This Row],[Produto]],Tabela2[],14,0),0)</f>
        <v>Danilo</v>
      </c>
      <c r="AL914" s="40">
        <f>IFERROR(VLOOKUP(Tabela3[[#This Row],[Produto]],Tabela2[],15,0),0)</f>
        <v>0</v>
      </c>
      <c r="AM914" s="36">
        <f ca="1">(Tabela3[[#This Row],[Custo Usinagem]]+Tabela3[[#This Row],[Custo / Pç]])*1.2</f>
        <v>54.241403956158067</v>
      </c>
      <c r="AN914" s="36">
        <f ca="1">Tabela3[[#This Row],[Valor Mínimo Venda]]*1.15</f>
        <v>62.377614549581772</v>
      </c>
      <c r="AO914" s="36">
        <f ca="1">Tabela3[[#This Row],[Tabela 1]]*1.08</f>
        <v>67.367823713548319</v>
      </c>
      <c r="AP914" s="36">
        <f ca="1">Tabela3[[#This Row],[Tabela 2]]*1.15</f>
        <v>77.472997270580564</v>
      </c>
    </row>
    <row r="915" spans="1:42">
      <c r="A915" s="9">
        <v>46051</v>
      </c>
      <c r="B915" s="6" t="s">
        <v>232</v>
      </c>
      <c r="C915" s="14">
        <v>8748</v>
      </c>
      <c r="D915" s="6" t="s">
        <v>46</v>
      </c>
      <c r="E915" s="6" t="s">
        <v>44</v>
      </c>
      <c r="F915" s="6">
        <v>48</v>
      </c>
      <c r="G915" s="15">
        <v>0.20069444444444445</v>
      </c>
      <c r="H915" s="16">
        <v>0</v>
      </c>
      <c r="I915" s="35">
        <f ca="1">IFERROR(Tabela3[[#This Row],[Custo Total]]/Tabela3[[#This Row],[Aluminio Util]],0)</f>
        <v>27.338780233819364</v>
      </c>
      <c r="J915" s="35">
        <f ca="1">Tabela3[[#This Row],[Custo Total]]/Tabela3[[#This Row],[Realizado]]</f>
        <v>11.509626478437951</v>
      </c>
      <c r="K915" s="37">
        <f>IFERROR(Tabela3[[#This Row],[Qtde Cx Produzida]]/Tabela3[[#This Row],[Tempo]]/24,0)</f>
        <v>9.9653979238754324</v>
      </c>
      <c r="L915" s="37">
        <f>Tabela3[[#This Row],[Qtde Cx Produzida]]*Tabela3[[#This Row],[Qdt Peça Placa]]</f>
        <v>192</v>
      </c>
      <c r="M915" s="37">
        <f>Tabela3[[#This Row],[Previsto]]-Tabela3[[#This Row],[Perda Pçs]]</f>
        <v>192</v>
      </c>
      <c r="N915" s="38">
        <f>IFERROR(Tabela3[[#This Row],[Perda Pçs]]/Tabela3[[#This Row],[Previsto]],0)</f>
        <v>0</v>
      </c>
      <c r="O915" s="39">
        <f>IFERROR(IF(Tabela3[[#This Row],[Qtde Cx Produzida]] &lt;&gt; 0, Tabela3[[#This Row],[Tempo]] / Tabela3[[#This Row],[Qtde Cx Produzida]], 0),0)</f>
        <v>4.1811342592592594E-3</v>
      </c>
      <c r="P915" s="57">
        <f>IFERROR(Tabela3[[#This Row],[Perda Pçs]]/Tabela3[[#This Row],[Qdt Peça Placa]],0)</f>
        <v>0</v>
      </c>
      <c r="Q915" s="37">
        <f>IFERROR(Tabela3[[#This Row],[Realizado]]*Tabela3[[#This Row],[Peso Util/Pç]],0)</f>
        <v>80.831999999999994</v>
      </c>
      <c r="R915" s="37">
        <f>IFERROR(Tabela3[[#This Row],[Peso Total Galho]]*Tabela3[[#This Row],[Qtde Cx Produzida]]*1.055,0)</f>
        <v>162.85824</v>
      </c>
      <c r="S915" s="37">
        <f>(Tabela3[[#This Row],[Aluminio Bruto]]-Tabela3[[#This Row],[Aluminio Util]])*0.9</f>
        <v>73.823616000000001</v>
      </c>
      <c r="T915" s="37">
        <f>Tabela3[[#This Row],[Aluminio Bruto]]/OleoKGAluminio</f>
        <v>68.514250994318743</v>
      </c>
      <c r="U915" s="35">
        <f>IFERROR((VLOOKUP(Tabela3[[#This Row],[Moldador]],Tabela1[],5,)+(VLOOKUP(Tabela3[[#This Row],[Ajudante]],Tabela1[],5,))*3.5),0)</f>
        <v>126.0945</v>
      </c>
      <c r="V915" s="35">
        <f>IFERROR(Tabela3[[#This Row],[Custo M.O. / H]]/((Tabela3[[#This Row],[Realizado]]/Tabela3[[#This Row],[Qdt Peça Placa]])/Tabela3[[#This Row],[Tempo]]/24),)</f>
        <v>12.653232812499999</v>
      </c>
      <c r="W915" s="35">
        <f>Tabela3[[#This Row],[Custo / Cx Moldada]]*Tabela3[[#This Row],[Qtde Cx Produzida]]</f>
        <v>607.35517499999992</v>
      </c>
      <c r="X915" s="35">
        <f ca="1">Tabela3[[#This Row],[Aluminio Util]]*Tabela3[[#This Row],[Custo/Kg]]</f>
        <v>1422.6432</v>
      </c>
      <c r="Y915" s="35">
        <f>IFERROR(VLOOKUP(Tabela3[[#This Row],[Data]],Tabela461213[],2,1)*(Tabela3[[#This Row],[Qtde Cx Produzida]]*Tabela3[[#This Row],[Qde macho / CX]]*Tabela3[[#This Row],[Peso Macho]]),)</f>
        <v>0</v>
      </c>
      <c r="Z915" s="35">
        <f>IFERROR(Tabela3[[#This Row],[Qtde Oleo]]*(VLOOKUP(Tabela3[[#This Row],[Data]],CompraOleo[],3,TRUE))*1.05,0)</f>
        <v>179.84990886008671</v>
      </c>
      <c r="AA915" s="47">
        <f ca="1">(Tabela3[[#This Row],[Custo Oleo]]+Tabela3[[#This Row],[Custo Aluminio]]+Tabela3[[#This Row],[Custo M.O. Total]]+Tabela3[[#This Row],[Custo Machos]])</f>
        <v>2209.8482838600867</v>
      </c>
      <c r="AB915" s="47">
        <f ca="1">Tabela3[[#This Row],[Custo Total]]*Tabela3[[#This Row],[% Perda]]</f>
        <v>0</v>
      </c>
      <c r="AC915" s="48">
        <f>IFERROR(VLOOKUP(Tabela3[[#This Row],[Produto]],Tabela2[],2,0),0)</f>
        <v>4</v>
      </c>
      <c r="AD915" s="48">
        <f>IFERROR(VLOOKUP(Tabela3[[#This Row],[Produto]],Tabela2[],3,0),0)</f>
        <v>0.42099999999999999</v>
      </c>
      <c r="AE915" s="48">
        <f>IFERROR(VLOOKUP(Tabela3[[#This Row],[Produto]],Tabela2[],4,0),0)</f>
        <v>3.2160000000000002</v>
      </c>
      <c r="AF915" s="48">
        <f>IFERROR(VLOOKUP(Tabela3[[#This Row],[Produto]],Tabela2[],5,0),0)</f>
        <v>1.3788000000000002</v>
      </c>
      <c r="AG915" s="40">
        <f>IFERROR(VLOOKUP(Tabela3[[#This Row],[Produto]],Tabela2[],6,0),0)</f>
        <v>0</v>
      </c>
      <c r="AH915" s="40">
        <f>IFERROR(VLOOKUP(Tabela3[[#This Row],[Produto]],Tabela2[],7,0),0)</f>
        <v>0</v>
      </c>
      <c r="AI915" s="40">
        <f>IFERROR(VLOOKUP(Tabela3[[#This Row],[Produto]],Tabela2[],8,0),0)</f>
        <v>0</v>
      </c>
      <c r="AJ915" s="35">
        <f ca="1">IFERROR(VLOOKUP(Tabela3[[#This Row],[Produto]],Tabela2[],13,0),0)</f>
        <v>17.600000000000001</v>
      </c>
      <c r="AK915" s="40" t="str">
        <f>IFERROR(VLOOKUP(Tabela3[[#This Row],[Produto]],Tabela2[],14,0),0)</f>
        <v>Busa</v>
      </c>
      <c r="AL915" s="40">
        <f>IFERROR(VLOOKUP(Tabela3[[#This Row],[Produto]],Tabela2[],15,0),0)</f>
        <v>0.5</v>
      </c>
      <c r="AM915" s="36">
        <f ca="1">(Tabela3[[#This Row],[Custo Usinagem]]+Tabela3[[#This Row],[Custo / Pç]])*1.2</f>
        <v>14.411551774125542</v>
      </c>
      <c r="AN915" s="36">
        <f ca="1">Tabela3[[#This Row],[Valor Mínimo Venda]]*1.15</f>
        <v>16.573284540244373</v>
      </c>
      <c r="AO915" s="36">
        <f ca="1">Tabela3[[#This Row],[Tabela 1]]*1.08</f>
        <v>17.899147303463923</v>
      </c>
      <c r="AP915" s="36">
        <f ca="1">Tabela3[[#This Row],[Tabela 2]]*1.15</f>
        <v>20.584019398983511</v>
      </c>
    </row>
    <row r="916" spans="1:42">
      <c r="A916" s="9">
        <v>46051</v>
      </c>
      <c r="B916" s="6" t="s">
        <v>142</v>
      </c>
      <c r="C916" s="14">
        <v>8987</v>
      </c>
      <c r="D916" s="6" t="s">
        <v>46</v>
      </c>
      <c r="E916" s="6" t="s">
        <v>44</v>
      </c>
      <c r="F916" s="6">
        <v>30</v>
      </c>
      <c r="G916" s="15">
        <v>0.15347222222222223</v>
      </c>
      <c r="H916" s="16">
        <v>0</v>
      </c>
      <c r="I916" s="35">
        <f ca="1">IFERROR(Tabela3[[#This Row],[Custo Total]]/Tabela3[[#This Row],[Aluminio Util]],0)</f>
        <v>37.887915079690025</v>
      </c>
      <c r="J916" s="35">
        <f ca="1">Tabela3[[#This Row],[Custo Total]]/Tabela3[[#This Row],[Realizado]]</f>
        <v>30.310332063752018</v>
      </c>
      <c r="K916" s="37">
        <f>IFERROR(Tabela3[[#This Row],[Qtde Cx Produzida]]/Tabela3[[#This Row],[Tempo]]/24,0)</f>
        <v>8.1447963800904972</v>
      </c>
      <c r="L916" s="37">
        <f>Tabela3[[#This Row],[Qtde Cx Produzida]]*Tabela3[[#This Row],[Qdt Peça Placa]]</f>
        <v>30</v>
      </c>
      <c r="M916" s="37">
        <f>Tabela3[[#This Row],[Previsto]]-Tabela3[[#This Row],[Perda Pçs]]</f>
        <v>30</v>
      </c>
      <c r="N916" s="38">
        <f>IFERROR(Tabela3[[#This Row],[Perda Pçs]]/Tabela3[[#This Row],[Previsto]],0)</f>
        <v>0</v>
      </c>
      <c r="O916" s="39">
        <f>IFERROR(IF(Tabela3[[#This Row],[Qtde Cx Produzida]] &lt;&gt; 0, Tabela3[[#This Row],[Tempo]] / Tabela3[[#This Row],[Qtde Cx Produzida]], 0),0)</f>
        <v>5.115740740740741E-3</v>
      </c>
      <c r="P916" s="57">
        <f>IFERROR(Tabela3[[#This Row],[Perda Pçs]]/Tabela3[[#This Row],[Qdt Peça Placa]],0)</f>
        <v>0</v>
      </c>
      <c r="Q916" s="37">
        <f>IFERROR(Tabela3[[#This Row],[Realizado]]*Tabela3[[#This Row],[Peso Util/Pç]],0)</f>
        <v>24</v>
      </c>
      <c r="R916" s="37">
        <f>IFERROR(Tabela3[[#This Row],[Peso Total Galho]]*Tabela3[[#This Row],[Qtde Cx Produzida]]*1.055,0)</f>
        <v>42.727499999999999</v>
      </c>
      <c r="S916" s="37">
        <f>(Tabela3[[#This Row],[Aluminio Bruto]]-Tabela3[[#This Row],[Aluminio Util]])*0.9</f>
        <v>16.854749999999999</v>
      </c>
      <c r="T916" s="37">
        <f>Tabela3[[#This Row],[Aluminio Bruto]]/OleoKGAluminio</f>
        <v>17.975404003873273</v>
      </c>
      <c r="U916" s="35">
        <f>IFERROR((VLOOKUP(Tabela3[[#This Row],[Moldador]],Tabela1[],5,)+(VLOOKUP(Tabela3[[#This Row],[Ajudante]],Tabela1[],5,))*3.5),0)</f>
        <v>126.0945</v>
      </c>
      <c r="V916" s="35">
        <f>IFERROR(Tabela3[[#This Row],[Custo M.O. / H]]/((Tabela3[[#This Row],[Realizado]]/Tabela3[[#This Row],[Qdt Peça Placa]])/Tabela3[[#This Row],[Tempo]]/24),)</f>
        <v>15.481602500000001</v>
      </c>
      <c r="W916" s="35">
        <f>Tabela3[[#This Row],[Custo / Cx Moldada]]*Tabela3[[#This Row],[Qtde Cx Produzida]]</f>
        <v>464.44807500000002</v>
      </c>
      <c r="X916" s="35">
        <f ca="1">Tabela3[[#This Row],[Aluminio Util]]*Tabela3[[#This Row],[Custo/Kg]]</f>
        <v>397.67645140239324</v>
      </c>
      <c r="Y916" s="35">
        <f>IFERROR(VLOOKUP(Tabela3[[#This Row],[Data]],Tabela461213[],2,1)*(Tabela3[[#This Row],[Qtde Cx Produzida]]*Tabela3[[#This Row],[Qde macho / CX]]*Tabela3[[#This Row],[Peso Macho]]),)</f>
        <v>0</v>
      </c>
      <c r="Z916" s="35">
        <f>IFERROR(Tabela3[[#This Row],[Qtde Oleo]]*(VLOOKUP(Tabela3[[#This Row],[Data]],CompraOleo[],3,TRUE))*1.05,0)</f>
        <v>47.185435510167345</v>
      </c>
      <c r="AA916" s="47">
        <f ca="1">(Tabela3[[#This Row],[Custo Oleo]]+Tabela3[[#This Row],[Custo Aluminio]]+Tabela3[[#This Row],[Custo M.O. Total]]+Tabela3[[#This Row],[Custo Machos]])</f>
        <v>909.30996191256054</v>
      </c>
      <c r="AB916" s="47">
        <f ca="1">Tabela3[[#This Row],[Custo Total]]*Tabela3[[#This Row],[% Perda]]</f>
        <v>0</v>
      </c>
      <c r="AC916" s="48">
        <f>IFERROR(VLOOKUP(Tabela3[[#This Row],[Produto]],Tabela2[],2,0),0)</f>
        <v>1</v>
      </c>
      <c r="AD916" s="48">
        <f>IFERROR(VLOOKUP(Tabela3[[#This Row],[Produto]],Tabela2[],3,0),0)</f>
        <v>0.8</v>
      </c>
      <c r="AE916" s="48">
        <f>IFERROR(VLOOKUP(Tabela3[[#This Row],[Produto]],Tabela2[],4,0),0)</f>
        <v>1.35</v>
      </c>
      <c r="AF916" s="48">
        <f>IFERROR(VLOOKUP(Tabela3[[#This Row],[Produto]],Tabela2[],5,0),0)</f>
        <v>0.49500000000000005</v>
      </c>
      <c r="AG916" s="40">
        <f>IFERROR(VLOOKUP(Tabela3[[#This Row],[Produto]],Tabela2[],6,0),0)</f>
        <v>0</v>
      </c>
      <c r="AH916" s="40">
        <f>IFERROR(VLOOKUP(Tabela3[[#This Row],[Produto]],Tabela2[],7,0),0)</f>
        <v>0</v>
      </c>
      <c r="AI916" s="40">
        <f>IFERROR(VLOOKUP(Tabela3[[#This Row],[Produto]],Tabela2[],8,0),0)</f>
        <v>0</v>
      </c>
      <c r="AJ916" s="35">
        <f ca="1">IFERROR(VLOOKUP(Tabela3[[#This Row],[Produto]],Tabela2[],13,0),0)</f>
        <v>16.569852141766386</v>
      </c>
      <c r="AK916" s="40" t="str">
        <f>IFERROR(VLOOKUP(Tabela3[[#This Row],[Produto]],Tabela2[],14,0),0)</f>
        <v>Danilo</v>
      </c>
      <c r="AL916" s="40">
        <f>IFERROR(VLOOKUP(Tabela3[[#This Row],[Produto]],Tabela2[],15,0),0)</f>
        <v>0</v>
      </c>
      <c r="AM916" s="36">
        <f ca="1">(Tabela3[[#This Row],[Custo Usinagem]]+Tabela3[[#This Row],[Custo / Pç]])*1.2</f>
        <v>36.372398476502418</v>
      </c>
      <c r="AN916" s="36">
        <f ca="1">Tabela3[[#This Row],[Valor Mínimo Venda]]*1.15</f>
        <v>41.828258247977779</v>
      </c>
      <c r="AO916" s="36">
        <f ca="1">Tabela3[[#This Row],[Tabela 1]]*1.08</f>
        <v>45.174518907816001</v>
      </c>
      <c r="AP916" s="36">
        <f ca="1">Tabela3[[#This Row],[Tabela 2]]*1.15</f>
        <v>51.950696743988395</v>
      </c>
    </row>
    <row r="917" spans="1:42">
      <c r="A917" s="9">
        <v>46052</v>
      </c>
      <c r="B917" s="6" t="s">
        <v>281</v>
      </c>
      <c r="C917" s="14">
        <v>8989</v>
      </c>
      <c r="D917" s="6" t="s">
        <v>46</v>
      </c>
      <c r="E917" s="6" t="s">
        <v>44</v>
      </c>
      <c r="F917" s="6">
        <v>2</v>
      </c>
      <c r="G917" s="15">
        <v>1.5277777777777777E-2</v>
      </c>
      <c r="H917" s="16">
        <v>0</v>
      </c>
      <c r="I917" s="35">
        <f ca="1">IFERROR(Tabela3[[#This Row],[Custo Total]]/Tabela3[[#This Row],[Aluminio Util]],0)</f>
        <v>51.484136820315939</v>
      </c>
      <c r="J917" s="35">
        <f ca="1">Tabela3[[#This Row],[Custo Total]]/Tabela3[[#This Row],[Realizado]]</f>
        <v>1.6989765150704261</v>
      </c>
      <c r="K917" s="37">
        <f>IFERROR(Tabela3[[#This Row],[Qtde Cx Produzida]]/Tabela3[[#This Row],[Tempo]]/24,0)</f>
        <v>5.4545454545454541</v>
      </c>
      <c r="L917" s="37">
        <f>Tabela3[[#This Row],[Qtde Cx Produzida]]*Tabela3[[#This Row],[Qdt Peça Placa]]</f>
        <v>48</v>
      </c>
      <c r="M917" s="37">
        <f>Tabela3[[#This Row],[Previsto]]-Tabela3[[#This Row],[Perda Pçs]]</f>
        <v>48</v>
      </c>
      <c r="N917" s="38">
        <f>IFERROR(Tabela3[[#This Row],[Perda Pçs]]/Tabela3[[#This Row],[Previsto]],0)</f>
        <v>0</v>
      </c>
      <c r="O917" s="39">
        <f>IFERROR(IF(Tabela3[[#This Row],[Qtde Cx Produzida]] &lt;&gt; 0, Tabela3[[#This Row],[Tempo]] / Tabela3[[#This Row],[Qtde Cx Produzida]], 0),0)</f>
        <v>7.6388888888888886E-3</v>
      </c>
      <c r="P917" s="57">
        <f>IFERROR(Tabela3[[#This Row],[Perda Pçs]]/Tabela3[[#This Row],[Qdt Peça Placa]],0)</f>
        <v>0</v>
      </c>
      <c r="Q917" s="37">
        <f>IFERROR(Tabela3[[#This Row],[Realizado]]*Tabela3[[#This Row],[Peso Util/Pç]],0)</f>
        <v>1.5840000000000001</v>
      </c>
      <c r="R917" s="37">
        <f>IFERROR(Tabela3[[#This Row],[Peso Total Galho]]*Tabela3[[#This Row],[Qtde Cx Produzida]]*1.055,0)</f>
        <v>6.7351200000000002</v>
      </c>
      <c r="S917" s="37">
        <f>(Tabela3[[#This Row],[Aluminio Bruto]]-Tabela3[[#This Row],[Aluminio Util]])*0.9</f>
        <v>4.6360080000000004</v>
      </c>
      <c r="T917" s="37">
        <f>Tabela3[[#This Row],[Aluminio Bruto]]/OleoKGAluminio</f>
        <v>2.8334562755735053</v>
      </c>
      <c r="U917" s="35">
        <f>IFERROR((VLOOKUP(Tabela3[[#This Row],[Moldador]],Tabela1[],5,)+(VLOOKUP(Tabela3[[#This Row],[Ajudante]],Tabela1[],5,))*3.5),0)</f>
        <v>126.0945</v>
      </c>
      <c r="V917" s="35">
        <f>IFERROR(Tabela3[[#This Row],[Custo M.O. / H]]/((Tabela3[[#This Row],[Realizado]]/Tabela3[[#This Row],[Qdt Peça Placa]])/Tabela3[[#This Row],[Tempo]]/24),)</f>
        <v>23.117325000000001</v>
      </c>
      <c r="W917" s="35">
        <f>Tabela3[[#This Row],[Custo / Cx Moldada]]*Tabela3[[#This Row],[Qtde Cx Produzida]]</f>
        <v>46.234650000000002</v>
      </c>
      <c r="X917" s="35">
        <f ca="1">Tabela3[[#This Row],[Aluminio Util]]*Tabela3[[#This Row],[Custo/Kg]]</f>
        <v>27.878400000000003</v>
      </c>
      <c r="Y917" s="35">
        <f>IFERROR(VLOOKUP(Tabela3[[#This Row],[Data]],Tabela461213[],2,1)*(Tabela3[[#This Row],[Qtde Cx Produzida]]*Tabela3[[#This Row],[Qde macho / CX]]*Tabela3[[#This Row],[Peso Macho]]),)</f>
        <v>0</v>
      </c>
      <c r="Z917" s="35">
        <f>IFERROR(Tabela3[[#This Row],[Qtde Oleo]]*(VLOOKUP(Tabela3[[#This Row],[Data]],CompraOleo[],3,TRUE))*1.05,0)</f>
        <v>7.4378227233804521</v>
      </c>
      <c r="AA917" s="47">
        <f ca="1">(Tabela3[[#This Row],[Custo Oleo]]+Tabela3[[#This Row],[Custo Aluminio]]+Tabela3[[#This Row],[Custo M.O. Total]]+Tabela3[[#This Row],[Custo Machos]])</f>
        <v>81.550872723380451</v>
      </c>
      <c r="AB917" s="47">
        <f ca="1">Tabela3[[#This Row],[Custo Total]]*Tabela3[[#This Row],[% Perda]]</f>
        <v>0</v>
      </c>
      <c r="AC917" s="48">
        <f>IFERROR(VLOOKUP(Tabela3[[#This Row],[Produto]],Tabela2[],2,0),0)</f>
        <v>24</v>
      </c>
      <c r="AD917" s="48">
        <f>IFERROR(VLOOKUP(Tabela3[[#This Row],[Produto]],Tabela2[],3,0),0)</f>
        <v>3.3000000000000002E-2</v>
      </c>
      <c r="AE917" s="48">
        <f>IFERROR(VLOOKUP(Tabela3[[#This Row],[Produto]],Tabela2[],4,0),0)</f>
        <v>3.1920000000000002</v>
      </c>
      <c r="AF917" s="48">
        <f>IFERROR(VLOOKUP(Tabela3[[#This Row],[Produto]],Tabela2[],5,0),0)</f>
        <v>2.1600000000000006</v>
      </c>
      <c r="AG917" s="40">
        <f>IFERROR(VLOOKUP(Tabela3[[#This Row],[Produto]],Tabela2[],6,0),0)</f>
        <v>0</v>
      </c>
      <c r="AH917" s="40">
        <f>IFERROR(VLOOKUP(Tabela3[[#This Row],[Produto]],Tabela2[],7,0),0)</f>
        <v>0</v>
      </c>
      <c r="AI917" s="40">
        <f>IFERROR(VLOOKUP(Tabela3[[#This Row],[Produto]],Tabela2[],8,0),0)</f>
        <v>0</v>
      </c>
      <c r="AJ917" s="35">
        <f ca="1">IFERROR(VLOOKUP(Tabela3[[#This Row],[Produto]],Tabela2[],13,0),0)</f>
        <v>17.600000000000001</v>
      </c>
      <c r="AK917" s="40" t="str">
        <f>IFERROR(VLOOKUP(Tabela3[[#This Row],[Produto]],Tabela2[],14,0),0)</f>
        <v>Oscar</v>
      </c>
      <c r="AL917" s="40">
        <f>IFERROR(VLOOKUP(Tabela3[[#This Row],[Produto]],Tabela2[],15,0),0)</f>
        <v>0</v>
      </c>
      <c r="AM917" s="36">
        <f ca="1">(Tabela3[[#This Row],[Custo Usinagem]]+Tabela3[[#This Row],[Custo / Pç]])*1.2</f>
        <v>2.0387718180845114</v>
      </c>
      <c r="AN917" s="36">
        <f ca="1">Tabela3[[#This Row],[Valor Mínimo Venda]]*1.15</f>
        <v>2.3445875907971878</v>
      </c>
      <c r="AO917" s="36">
        <f ca="1">Tabela3[[#This Row],[Tabela 1]]*1.08</f>
        <v>2.5321545980609632</v>
      </c>
      <c r="AP917" s="36">
        <f ca="1">Tabela3[[#This Row],[Tabela 2]]*1.15</f>
        <v>2.9119777877701076</v>
      </c>
    </row>
    <row r="918" spans="1:42">
      <c r="A918" s="9">
        <v>46052</v>
      </c>
      <c r="B918" s="6" t="s">
        <v>282</v>
      </c>
      <c r="C918" s="14">
        <v>8990</v>
      </c>
      <c r="D918" s="6" t="s">
        <v>46</v>
      </c>
      <c r="E918" s="6" t="s">
        <v>44</v>
      </c>
      <c r="F918" s="6">
        <v>2</v>
      </c>
      <c r="G918" s="15">
        <v>1.3888888888888888E-2</v>
      </c>
      <c r="H918" s="16">
        <v>0</v>
      </c>
      <c r="I918" s="35">
        <f ca="1">IFERROR(Tabela3[[#This Row],[Custo Total]]/Tabela3[[#This Row],[Aluminio Util]],0)</f>
        <v>48.480813443736842</v>
      </c>
      <c r="J918" s="35">
        <f ca="1">Tabela3[[#This Row],[Custo Total]]/Tabela3[[#This Row],[Realizado]]</f>
        <v>2.0361941646369477</v>
      </c>
      <c r="K918" s="37">
        <f>IFERROR(Tabela3[[#This Row],[Qtde Cx Produzida]]/Tabela3[[#This Row],[Tempo]]/24,0)</f>
        <v>6</v>
      </c>
      <c r="L918" s="37">
        <f>Tabela3[[#This Row],[Qtde Cx Produzida]]*Tabela3[[#This Row],[Qdt Peça Placa]]</f>
        <v>36</v>
      </c>
      <c r="M918" s="37">
        <f>Tabela3[[#This Row],[Previsto]]-Tabela3[[#This Row],[Perda Pçs]]</f>
        <v>36</v>
      </c>
      <c r="N918" s="38">
        <f>IFERROR(Tabela3[[#This Row],[Perda Pçs]]/Tabela3[[#This Row],[Previsto]],0)</f>
        <v>0</v>
      </c>
      <c r="O918" s="39">
        <f>IFERROR(IF(Tabela3[[#This Row],[Qtde Cx Produzida]] &lt;&gt; 0, Tabela3[[#This Row],[Tempo]] / Tabela3[[#This Row],[Qtde Cx Produzida]], 0),0)</f>
        <v>6.9444444444444441E-3</v>
      </c>
      <c r="P918" s="57">
        <f>IFERROR(Tabela3[[#This Row],[Perda Pçs]]/Tabela3[[#This Row],[Qdt Peça Placa]],0)</f>
        <v>0</v>
      </c>
      <c r="Q918" s="37">
        <f>IFERROR(Tabela3[[#This Row],[Realizado]]*Tabela3[[#This Row],[Peso Util/Pç]],0)</f>
        <v>1.512</v>
      </c>
      <c r="R918" s="37">
        <f>IFERROR(Tabela3[[#This Row],[Peso Total Galho]]*Tabela3[[#This Row],[Qtde Cx Produzida]]*1.055,0)</f>
        <v>4.22</v>
      </c>
      <c r="S918" s="37">
        <f>(Tabela3[[#This Row],[Aluminio Bruto]]-Tabela3[[#This Row],[Aluminio Util]])*0.9</f>
        <v>2.4371999999999998</v>
      </c>
      <c r="T918" s="37">
        <f>Tabela3[[#This Row],[Aluminio Bruto]]/OleoKGAluminio</f>
        <v>1.7753485435924219</v>
      </c>
      <c r="U918" s="35">
        <f>IFERROR((VLOOKUP(Tabela3[[#This Row],[Moldador]],Tabela1[],5,)+(VLOOKUP(Tabela3[[#This Row],[Ajudante]],Tabela1[],5,))*3.5),0)</f>
        <v>126.0945</v>
      </c>
      <c r="V918" s="35">
        <f>IFERROR(Tabela3[[#This Row],[Custo M.O. / H]]/((Tabela3[[#This Row],[Realizado]]/Tabela3[[#This Row],[Qdt Peça Placa]])/Tabela3[[#This Row],[Tempo]]/24),)</f>
        <v>21.015750000000001</v>
      </c>
      <c r="W918" s="35">
        <f>Tabela3[[#This Row],[Custo / Cx Moldada]]*Tabela3[[#This Row],[Qtde Cx Produzida]]</f>
        <v>42.031500000000001</v>
      </c>
      <c r="X918" s="35">
        <f ca="1">Tabela3[[#This Row],[Aluminio Util]]*Tabela3[[#This Row],[Custo/Kg]]</f>
        <v>26.611200000000004</v>
      </c>
      <c r="Y918" s="35">
        <f>IFERROR(VLOOKUP(Tabela3[[#This Row],[Data]],Tabela461213[],2,1)*(Tabela3[[#This Row],[Qtde Cx Produzida]]*Tabela3[[#This Row],[Qde macho / CX]]*Tabela3[[#This Row],[Peso Macho]]),)</f>
        <v>0</v>
      </c>
      <c r="Z918" s="35">
        <f>IFERROR(Tabela3[[#This Row],[Qtde Oleo]]*(VLOOKUP(Tabela3[[#This Row],[Data]],CompraOleo[],3,TRUE))*1.05,0)</f>
        <v>4.6602899269301075</v>
      </c>
      <c r="AA918" s="47">
        <f ca="1">(Tabela3[[#This Row],[Custo Oleo]]+Tabela3[[#This Row],[Custo Aluminio]]+Tabela3[[#This Row],[Custo M.O. Total]]+Tabela3[[#This Row],[Custo Machos]])</f>
        <v>73.30298992693011</v>
      </c>
      <c r="AB918" s="47">
        <f ca="1">Tabela3[[#This Row],[Custo Total]]*Tabela3[[#This Row],[% Perda]]</f>
        <v>0</v>
      </c>
      <c r="AC918" s="48">
        <f>IFERROR(VLOOKUP(Tabela3[[#This Row],[Produto]],Tabela2[],2,0),0)</f>
        <v>18</v>
      </c>
      <c r="AD918" s="48">
        <f>IFERROR(VLOOKUP(Tabela3[[#This Row],[Produto]],Tabela2[],3,0),0)</f>
        <v>4.2000000000000003E-2</v>
      </c>
      <c r="AE918" s="48">
        <f>IFERROR(VLOOKUP(Tabela3[[#This Row],[Produto]],Tabela2[],4,0),0)</f>
        <v>2</v>
      </c>
      <c r="AF918" s="48">
        <f>IFERROR(VLOOKUP(Tabela3[[#This Row],[Produto]],Tabela2[],5,0),0)</f>
        <v>1.1195999999999999</v>
      </c>
      <c r="AG918" s="40">
        <f>IFERROR(VLOOKUP(Tabela3[[#This Row],[Produto]],Tabela2[],6,0),0)</f>
        <v>0</v>
      </c>
      <c r="AH918" s="40">
        <f>IFERROR(VLOOKUP(Tabela3[[#This Row],[Produto]],Tabela2[],7,0),0)</f>
        <v>0</v>
      </c>
      <c r="AI918" s="40">
        <f>IFERROR(VLOOKUP(Tabela3[[#This Row],[Produto]],Tabela2[],8,0),0)</f>
        <v>0</v>
      </c>
      <c r="AJ918" s="35">
        <f ca="1">IFERROR(VLOOKUP(Tabela3[[#This Row],[Produto]],Tabela2[],13,0),0)</f>
        <v>17.600000000000001</v>
      </c>
      <c r="AK918" s="40" t="str">
        <f>IFERROR(VLOOKUP(Tabela3[[#This Row],[Produto]],Tabela2[],14,0),0)</f>
        <v>DIGITROL</v>
      </c>
      <c r="AL918" s="40">
        <f>IFERROR(VLOOKUP(Tabela3[[#This Row],[Produto]],Tabela2[],15,0),0)</f>
        <v>0</v>
      </c>
      <c r="AM918" s="36">
        <f ca="1">(Tabela3[[#This Row],[Custo Usinagem]]+Tabela3[[#This Row],[Custo / Pç]])*1.2</f>
        <v>2.443432997564337</v>
      </c>
      <c r="AN918" s="36">
        <f ca="1">Tabela3[[#This Row],[Valor Mínimo Venda]]*1.15</f>
        <v>2.8099479471989874</v>
      </c>
      <c r="AO918" s="36">
        <f ca="1">Tabela3[[#This Row],[Tabela 1]]*1.08</f>
        <v>3.0347437829749064</v>
      </c>
      <c r="AP918" s="36">
        <f ca="1">Tabela3[[#This Row],[Tabela 2]]*1.15</f>
        <v>3.489955350421142</v>
      </c>
    </row>
    <row r="919" spans="1:42">
      <c r="A919" s="9">
        <v>46052</v>
      </c>
      <c r="B919" s="6" t="s">
        <v>279</v>
      </c>
      <c r="C919" s="14">
        <v>8991</v>
      </c>
      <c r="D919" s="6" t="s">
        <v>46</v>
      </c>
      <c r="E919" s="6" t="s">
        <v>44</v>
      </c>
      <c r="F919" s="6">
        <v>2</v>
      </c>
      <c r="G919" s="15">
        <v>1.3888888888888888E-2</v>
      </c>
      <c r="H919" s="16">
        <v>0</v>
      </c>
      <c r="I919" s="35">
        <f ca="1">IFERROR(Tabela3[[#This Row],[Custo Total]]/Tabela3[[#This Row],[Aluminio Util]],0)</f>
        <v>44.187145782590356</v>
      </c>
      <c r="J919" s="35">
        <f ca="1">Tabela3[[#This Row],[Custo Total]]/Tabela3[[#This Row],[Realizado]]</f>
        <v>2.2093572891295179</v>
      </c>
      <c r="K919" s="37">
        <f>IFERROR(Tabela3[[#This Row],[Qtde Cx Produzida]]/Tabela3[[#This Row],[Tempo]]/24,0)</f>
        <v>6</v>
      </c>
      <c r="L919" s="37">
        <f>Tabela3[[#This Row],[Qtde Cx Produzida]]*Tabela3[[#This Row],[Qdt Peça Placa]]</f>
        <v>36</v>
      </c>
      <c r="M919" s="37">
        <f>Tabela3[[#This Row],[Previsto]]-Tabela3[[#This Row],[Perda Pçs]]</f>
        <v>36</v>
      </c>
      <c r="N919" s="38">
        <f>IFERROR(Tabela3[[#This Row],[Perda Pçs]]/Tabela3[[#This Row],[Previsto]],0)</f>
        <v>0</v>
      </c>
      <c r="O919" s="39">
        <f>IFERROR(IF(Tabela3[[#This Row],[Qtde Cx Produzida]] &lt;&gt; 0, Tabela3[[#This Row],[Tempo]] / Tabela3[[#This Row],[Qtde Cx Produzida]], 0),0)</f>
        <v>6.9444444444444441E-3</v>
      </c>
      <c r="P919" s="57">
        <f>IFERROR(Tabela3[[#This Row],[Perda Pçs]]/Tabela3[[#This Row],[Qdt Peça Placa]],0)</f>
        <v>0</v>
      </c>
      <c r="Q919" s="37">
        <f>IFERROR(Tabela3[[#This Row],[Realizado]]*Tabela3[[#This Row],[Peso Util/Pç]],0)</f>
        <v>1.8</v>
      </c>
      <c r="R919" s="37">
        <f>IFERROR(Tabela3[[#This Row],[Peso Total Galho]]*Tabela3[[#This Row],[Qtde Cx Produzida]]*1.055,0)</f>
        <v>5.2749999999999995</v>
      </c>
      <c r="S919" s="37">
        <f>(Tabela3[[#This Row],[Aluminio Bruto]]-Tabela3[[#This Row],[Aluminio Util]])*0.9</f>
        <v>3.1274999999999999</v>
      </c>
      <c r="T919" s="37">
        <f>Tabela3[[#This Row],[Aluminio Bruto]]/OleoKGAluminio</f>
        <v>2.2191856794905274</v>
      </c>
      <c r="U919" s="35">
        <f>IFERROR((VLOOKUP(Tabela3[[#This Row],[Moldador]],Tabela1[],5,)+(VLOOKUP(Tabela3[[#This Row],[Ajudante]],Tabela1[],5,))*3.5),0)</f>
        <v>126.0945</v>
      </c>
      <c r="V919" s="35">
        <f>IFERROR(Tabela3[[#This Row],[Custo M.O. / H]]/((Tabela3[[#This Row],[Realizado]]/Tabela3[[#This Row],[Qdt Peça Placa]])/Tabela3[[#This Row],[Tempo]]/24),)</f>
        <v>21.015750000000001</v>
      </c>
      <c r="W919" s="35">
        <f>Tabela3[[#This Row],[Custo / Cx Moldada]]*Tabela3[[#This Row],[Qtde Cx Produzida]]</f>
        <v>42.031500000000001</v>
      </c>
      <c r="X919" s="35">
        <f ca="1">Tabela3[[#This Row],[Aluminio Util]]*Tabela3[[#This Row],[Custo/Kg]]</f>
        <v>31.680000000000003</v>
      </c>
      <c r="Y919" s="35">
        <f>IFERROR(VLOOKUP(Tabela3[[#This Row],[Data]],Tabela461213[],2,1)*(Tabela3[[#This Row],[Qtde Cx Produzida]]*Tabela3[[#This Row],[Qde macho / CX]]*Tabela3[[#This Row],[Peso Macho]]),)</f>
        <v>0</v>
      </c>
      <c r="Z919" s="35">
        <f>IFERROR(Tabela3[[#This Row],[Qtde Oleo]]*(VLOOKUP(Tabela3[[#This Row],[Data]],CompraOleo[],3,TRUE))*1.05,0)</f>
        <v>5.8253624086626346</v>
      </c>
      <c r="AA919" s="47">
        <f ca="1">(Tabela3[[#This Row],[Custo Oleo]]+Tabela3[[#This Row],[Custo Aluminio]]+Tabela3[[#This Row],[Custo M.O. Total]]+Tabela3[[#This Row],[Custo Machos]])</f>
        <v>79.536862408662643</v>
      </c>
      <c r="AB919" s="47">
        <f ca="1">Tabela3[[#This Row],[Custo Total]]*Tabela3[[#This Row],[% Perda]]</f>
        <v>0</v>
      </c>
      <c r="AC919" s="48">
        <f>IFERROR(VLOOKUP(Tabela3[[#This Row],[Produto]],Tabela2[],2,0),0)</f>
        <v>18</v>
      </c>
      <c r="AD919" s="48">
        <f>IFERROR(VLOOKUP(Tabela3[[#This Row],[Produto]],Tabela2[],3,0),0)</f>
        <v>0.05</v>
      </c>
      <c r="AE919" s="48">
        <f>IFERROR(VLOOKUP(Tabela3[[#This Row],[Produto]],Tabela2[],4,0),0)</f>
        <v>2.5</v>
      </c>
      <c r="AF919" s="48">
        <f>IFERROR(VLOOKUP(Tabela3[[#This Row],[Produto]],Tabela2[],5,0),0)</f>
        <v>1.4400000000000002</v>
      </c>
      <c r="AG919" s="40">
        <f>IFERROR(VLOOKUP(Tabela3[[#This Row],[Produto]],Tabela2[],6,0),0)</f>
        <v>0</v>
      </c>
      <c r="AH919" s="40">
        <f>IFERROR(VLOOKUP(Tabela3[[#This Row],[Produto]],Tabela2[],7,0),0)</f>
        <v>0</v>
      </c>
      <c r="AI919" s="40">
        <f>IFERROR(VLOOKUP(Tabela3[[#This Row],[Produto]],Tabela2[],8,0),0)</f>
        <v>0</v>
      </c>
      <c r="AJ919" s="35">
        <f ca="1">IFERROR(VLOOKUP(Tabela3[[#This Row],[Produto]],Tabela2[],13,0),0)</f>
        <v>17.600000000000001</v>
      </c>
      <c r="AK919" s="40" t="str">
        <f>IFERROR(VLOOKUP(Tabela3[[#This Row],[Produto]],Tabela2[],14,0),0)</f>
        <v>DIGITROL</v>
      </c>
      <c r="AL919" s="40">
        <f>IFERROR(VLOOKUP(Tabela3[[#This Row],[Produto]],Tabela2[],15,0),0)</f>
        <v>0</v>
      </c>
      <c r="AM919" s="36">
        <f ca="1">(Tabela3[[#This Row],[Custo Usinagem]]+Tabela3[[#This Row],[Custo / Pç]])*1.2</f>
        <v>2.6512287469554212</v>
      </c>
      <c r="AN919" s="36">
        <f ca="1">Tabela3[[#This Row],[Valor Mínimo Venda]]*1.15</f>
        <v>3.0489130589987341</v>
      </c>
      <c r="AO919" s="36">
        <f ca="1">Tabela3[[#This Row],[Tabela 1]]*1.08</f>
        <v>3.292826103718633</v>
      </c>
      <c r="AP919" s="36">
        <f ca="1">Tabela3[[#This Row],[Tabela 2]]*1.15</f>
        <v>3.7867500192764276</v>
      </c>
    </row>
    <row r="920" spans="1:42">
      <c r="A920" s="9">
        <v>46052</v>
      </c>
      <c r="B920" s="6" t="s">
        <v>232</v>
      </c>
      <c r="C920" s="14">
        <v>8748</v>
      </c>
      <c r="D920" s="6" t="s">
        <v>46</v>
      </c>
      <c r="E920" s="6" t="s">
        <v>44</v>
      </c>
      <c r="F920" s="6">
        <v>64</v>
      </c>
      <c r="G920" s="15">
        <v>0.31874999999999998</v>
      </c>
      <c r="H920" s="16">
        <v>0</v>
      </c>
      <c r="I920" s="35">
        <f ca="1">IFERROR(Tabela3[[#This Row],[Custo Total]]/Tabela3[[#This Row],[Aluminio Util]],0)</f>
        <v>28.775241273382903</v>
      </c>
      <c r="J920" s="35">
        <f ca="1">Tabela3[[#This Row],[Custo Total]]/Tabela3[[#This Row],[Realizado]]</f>
        <v>12.114376576094202</v>
      </c>
      <c r="K920" s="37">
        <f>IFERROR(Tabela3[[#This Row],[Qtde Cx Produzida]]/Tabela3[[#This Row],[Tempo]]/24,0)</f>
        <v>8.3660130718954253</v>
      </c>
      <c r="L920" s="37">
        <f>Tabela3[[#This Row],[Qtde Cx Produzida]]*Tabela3[[#This Row],[Qdt Peça Placa]]</f>
        <v>256</v>
      </c>
      <c r="M920" s="37">
        <f>Tabela3[[#This Row],[Previsto]]-Tabela3[[#This Row],[Perda Pçs]]</f>
        <v>256</v>
      </c>
      <c r="N920" s="38">
        <f>IFERROR(Tabela3[[#This Row],[Perda Pçs]]/Tabela3[[#This Row],[Previsto]],0)</f>
        <v>0</v>
      </c>
      <c r="O920" s="39">
        <f>IFERROR(IF(Tabela3[[#This Row],[Qtde Cx Produzida]] &lt;&gt; 0, Tabela3[[#This Row],[Tempo]] / Tabela3[[#This Row],[Qtde Cx Produzida]], 0),0)</f>
        <v>4.9804687499999997E-3</v>
      </c>
      <c r="P920" s="57">
        <f>IFERROR(Tabela3[[#This Row],[Perda Pçs]]/Tabela3[[#This Row],[Qdt Peça Placa]],0)</f>
        <v>0</v>
      </c>
      <c r="Q920" s="37">
        <f>IFERROR(Tabela3[[#This Row],[Realizado]]*Tabela3[[#This Row],[Peso Util/Pç]],0)</f>
        <v>107.776</v>
      </c>
      <c r="R920" s="37">
        <f>IFERROR(Tabela3[[#This Row],[Peso Total Galho]]*Tabela3[[#This Row],[Qtde Cx Produzida]]*1.055,0)</f>
        <v>217.14431999999999</v>
      </c>
      <c r="S920" s="37">
        <f>(Tabela3[[#This Row],[Aluminio Bruto]]-Tabela3[[#This Row],[Aluminio Util]])*0.9</f>
        <v>98.431488000000002</v>
      </c>
      <c r="T920" s="37">
        <f>Tabela3[[#This Row],[Aluminio Bruto]]/OleoKGAluminio</f>
        <v>91.352334659091667</v>
      </c>
      <c r="U920" s="35">
        <f>IFERROR((VLOOKUP(Tabela3[[#This Row],[Moldador]],Tabela1[],5,)+(VLOOKUP(Tabela3[[#This Row],[Ajudante]],Tabela1[],5,))*3.5),0)</f>
        <v>126.0945</v>
      </c>
      <c r="V920" s="35">
        <f>IFERROR(Tabela3[[#This Row],[Custo M.O. / H]]/((Tabela3[[#This Row],[Realizado]]/Tabela3[[#This Row],[Qdt Peça Placa]])/Tabela3[[#This Row],[Tempo]]/24),)</f>
        <v>15.072233203124998</v>
      </c>
      <c r="W920" s="35">
        <f>Tabela3[[#This Row],[Custo / Cx Moldada]]*Tabela3[[#This Row],[Qtde Cx Produzida]]</f>
        <v>964.6229249999999</v>
      </c>
      <c r="X920" s="35">
        <f ca="1">Tabela3[[#This Row],[Aluminio Util]]*Tabela3[[#This Row],[Custo/Kg]]</f>
        <v>1896.8576</v>
      </c>
      <c r="Y920" s="35">
        <f>IFERROR(VLOOKUP(Tabela3[[#This Row],[Data]],Tabela461213[],2,1)*(Tabela3[[#This Row],[Qtde Cx Produzida]]*Tabela3[[#This Row],[Qde macho / CX]]*Tabela3[[#This Row],[Peso Macho]]),)</f>
        <v>0</v>
      </c>
      <c r="Z920" s="35">
        <f>IFERROR(Tabela3[[#This Row],[Qtde Oleo]]*(VLOOKUP(Tabela3[[#This Row],[Data]],CompraOleo[],3,TRUE))*1.05,0)</f>
        <v>239.79987848011561</v>
      </c>
      <c r="AA920" s="47">
        <f ca="1">(Tabela3[[#This Row],[Custo Oleo]]+Tabela3[[#This Row],[Custo Aluminio]]+Tabela3[[#This Row],[Custo M.O. Total]]+Tabela3[[#This Row],[Custo Machos]])</f>
        <v>3101.2804034801156</v>
      </c>
      <c r="AB920" s="47">
        <f ca="1">Tabela3[[#This Row],[Custo Total]]*Tabela3[[#This Row],[% Perda]]</f>
        <v>0</v>
      </c>
      <c r="AC920" s="48">
        <f>IFERROR(VLOOKUP(Tabela3[[#This Row],[Produto]],Tabela2[],2,0),0)</f>
        <v>4</v>
      </c>
      <c r="AD920" s="48">
        <f>IFERROR(VLOOKUP(Tabela3[[#This Row],[Produto]],Tabela2[],3,0),0)</f>
        <v>0.42099999999999999</v>
      </c>
      <c r="AE920" s="48">
        <f>IFERROR(VLOOKUP(Tabela3[[#This Row],[Produto]],Tabela2[],4,0),0)</f>
        <v>3.2160000000000002</v>
      </c>
      <c r="AF920" s="48">
        <f>IFERROR(VLOOKUP(Tabela3[[#This Row],[Produto]],Tabela2[],5,0),0)</f>
        <v>1.3788000000000002</v>
      </c>
      <c r="AG920" s="40">
        <f>IFERROR(VLOOKUP(Tabela3[[#This Row],[Produto]],Tabela2[],6,0),0)</f>
        <v>0</v>
      </c>
      <c r="AH920" s="40">
        <f>IFERROR(VLOOKUP(Tabela3[[#This Row],[Produto]],Tabela2[],7,0),0)</f>
        <v>0</v>
      </c>
      <c r="AI920" s="40">
        <f>IFERROR(VLOOKUP(Tabela3[[#This Row],[Produto]],Tabela2[],8,0),0)</f>
        <v>0</v>
      </c>
      <c r="AJ920" s="35">
        <f ca="1">IFERROR(VLOOKUP(Tabela3[[#This Row],[Produto]],Tabela2[],13,0),0)</f>
        <v>17.600000000000001</v>
      </c>
      <c r="AK920" s="40" t="str">
        <f>IFERROR(VLOOKUP(Tabela3[[#This Row],[Produto]],Tabela2[],14,0),0)</f>
        <v>Busa</v>
      </c>
      <c r="AL920" s="40">
        <f>IFERROR(VLOOKUP(Tabela3[[#This Row],[Produto]],Tabela2[],15,0),0)</f>
        <v>0.5</v>
      </c>
      <c r="AM920" s="36">
        <f ca="1">(Tabela3[[#This Row],[Custo Usinagem]]+Tabela3[[#This Row],[Custo / Pç]])*1.2</f>
        <v>15.137251891313042</v>
      </c>
      <c r="AN920" s="36">
        <f ca="1">Tabela3[[#This Row],[Valor Mínimo Venda]]*1.15</f>
        <v>17.407839675009996</v>
      </c>
      <c r="AO920" s="36">
        <f ca="1">Tabela3[[#This Row],[Tabela 1]]*1.08</f>
        <v>18.800466849010796</v>
      </c>
      <c r="AP920" s="36">
        <f ca="1">Tabela3[[#This Row],[Tabela 2]]*1.15</f>
        <v>21.620536876362415</v>
      </c>
    </row>
    <row r="921" spans="1:42">
      <c r="A921" s="9">
        <v>46055</v>
      </c>
      <c r="B921" s="6" t="s">
        <v>232</v>
      </c>
      <c r="C921" s="14">
        <v>8748</v>
      </c>
      <c r="D921" s="6" t="s">
        <v>46</v>
      </c>
      <c r="E921" s="6" t="s">
        <v>44</v>
      </c>
      <c r="F921" s="6">
        <v>15</v>
      </c>
      <c r="G921" s="15">
        <v>8.7499999999999994E-2</v>
      </c>
      <c r="H921" s="16">
        <v>0</v>
      </c>
      <c r="I921" s="35">
        <f ca="1">IFERROR(Tabela3[[#This Row],[Custo Total]]/Tabela3[[#This Row],[Aluminio Util]],0)</f>
        <v>30.307899703831243</v>
      </c>
      <c r="J921" s="35">
        <f ca="1">Tabela3[[#This Row],[Custo Total]]/Tabela3[[#This Row],[Realizado]]</f>
        <v>12.759625775312951</v>
      </c>
      <c r="K921" s="37">
        <f>IFERROR(Tabela3[[#This Row],[Qtde Cx Produzida]]/Tabela3[[#This Row],[Tempo]]/24,0)</f>
        <v>7.1428571428571432</v>
      </c>
      <c r="L921" s="37">
        <f>Tabela3[[#This Row],[Qtde Cx Produzida]]*Tabela3[[#This Row],[Qdt Peça Placa]]</f>
        <v>60</v>
      </c>
      <c r="M921" s="37">
        <f>Tabela3[[#This Row],[Previsto]]-Tabela3[[#This Row],[Perda Pçs]]</f>
        <v>60</v>
      </c>
      <c r="N921" s="38">
        <f>IFERROR(Tabela3[[#This Row],[Perda Pçs]]/Tabela3[[#This Row],[Previsto]],0)</f>
        <v>0</v>
      </c>
      <c r="O921" s="39">
        <f>IFERROR(IF(Tabela3[[#This Row],[Qtde Cx Produzida]] &lt;&gt; 0, Tabela3[[#This Row],[Tempo]] / Tabela3[[#This Row],[Qtde Cx Produzida]], 0),0)</f>
        <v>5.8333333333333327E-3</v>
      </c>
      <c r="P921" s="57">
        <f>IFERROR(Tabela3[[#This Row],[Perda Pçs]]/Tabela3[[#This Row],[Qdt Peça Placa]],0)</f>
        <v>0</v>
      </c>
      <c r="Q921" s="37">
        <f>IFERROR(Tabela3[[#This Row],[Realizado]]*Tabela3[[#This Row],[Peso Util/Pç]],0)</f>
        <v>25.259999999999998</v>
      </c>
      <c r="R921" s="37">
        <f>IFERROR(Tabela3[[#This Row],[Peso Total Galho]]*Tabela3[[#This Row],[Qtde Cx Produzida]]*1.055,0)</f>
        <v>50.8932</v>
      </c>
      <c r="S921" s="37">
        <f>(Tabela3[[#This Row],[Aluminio Bruto]]-Tabela3[[#This Row],[Aluminio Util]])*0.9</f>
        <v>23.069880000000001</v>
      </c>
      <c r="T921" s="37">
        <f>Tabela3[[#This Row],[Aluminio Bruto]]/OleoKGAluminio</f>
        <v>21.41070343572461</v>
      </c>
      <c r="U921" s="35">
        <f>IFERROR((VLOOKUP(Tabela3[[#This Row],[Moldador]],Tabela1[],5,)+(VLOOKUP(Tabela3[[#This Row],[Ajudante]],Tabela1[],5,))*3.5),0)</f>
        <v>126.0945</v>
      </c>
      <c r="V921" s="35">
        <f>IFERROR(Tabela3[[#This Row],[Custo M.O. / H]]/((Tabela3[[#This Row],[Realizado]]/Tabela3[[#This Row],[Qdt Peça Placa]])/Tabela3[[#This Row],[Tempo]]/24),)</f>
        <v>17.653229999999997</v>
      </c>
      <c r="W921" s="35">
        <f>Tabela3[[#This Row],[Custo / Cx Moldada]]*Tabela3[[#This Row],[Qtde Cx Produzida]]</f>
        <v>264.79844999999995</v>
      </c>
      <c r="X921" s="35">
        <f ca="1">Tabela3[[#This Row],[Aluminio Util]]*Tabela3[[#This Row],[Custo/Kg]]</f>
        <v>444.57600000000002</v>
      </c>
      <c r="Y921" s="35">
        <f>IFERROR(VLOOKUP(Tabela3[[#This Row],[Data]],Tabela461213[],2,1)*(Tabela3[[#This Row],[Qtde Cx Produzida]]*Tabela3[[#This Row],[Qde macho / CX]]*Tabela3[[#This Row],[Peso Macho]]),)</f>
        <v>0</v>
      </c>
      <c r="Z921" s="35">
        <f>IFERROR(Tabela3[[#This Row],[Qtde Oleo]]*(VLOOKUP(Tabela3[[#This Row],[Data]],CompraOleo[],3,TRUE))*1.05,0)</f>
        <v>56.203096518777109</v>
      </c>
      <c r="AA921" s="47">
        <f ca="1">(Tabela3[[#This Row],[Custo Oleo]]+Tabela3[[#This Row],[Custo Aluminio]]+Tabela3[[#This Row],[Custo M.O. Total]]+Tabela3[[#This Row],[Custo Machos]])</f>
        <v>765.57754651877713</v>
      </c>
      <c r="AB921" s="47">
        <f ca="1">Tabela3[[#This Row],[Custo Total]]*Tabela3[[#This Row],[% Perda]]</f>
        <v>0</v>
      </c>
      <c r="AC921" s="48">
        <f>IFERROR(VLOOKUP(Tabela3[[#This Row],[Produto]],Tabela2[],2,0),0)</f>
        <v>4</v>
      </c>
      <c r="AD921" s="48">
        <f>IFERROR(VLOOKUP(Tabela3[[#This Row],[Produto]],Tabela2[],3,0),0)</f>
        <v>0.42099999999999999</v>
      </c>
      <c r="AE921" s="48">
        <f>IFERROR(VLOOKUP(Tabela3[[#This Row],[Produto]],Tabela2[],4,0),0)</f>
        <v>3.2160000000000002</v>
      </c>
      <c r="AF921" s="48">
        <f>IFERROR(VLOOKUP(Tabela3[[#This Row],[Produto]],Tabela2[],5,0),0)</f>
        <v>1.3788000000000002</v>
      </c>
      <c r="AG921" s="40">
        <f>IFERROR(VLOOKUP(Tabela3[[#This Row],[Produto]],Tabela2[],6,0),0)</f>
        <v>0</v>
      </c>
      <c r="AH921" s="40">
        <f>IFERROR(VLOOKUP(Tabela3[[#This Row],[Produto]],Tabela2[],7,0),0)</f>
        <v>0</v>
      </c>
      <c r="AI921" s="40">
        <f>IFERROR(VLOOKUP(Tabela3[[#This Row],[Produto]],Tabela2[],8,0),0)</f>
        <v>0</v>
      </c>
      <c r="AJ921" s="35">
        <f ca="1">IFERROR(VLOOKUP(Tabela3[[#This Row],[Produto]],Tabela2[],13,0),0)</f>
        <v>17.600000000000001</v>
      </c>
      <c r="AK921" s="40" t="str">
        <f>IFERROR(VLOOKUP(Tabela3[[#This Row],[Produto]],Tabela2[],14,0),0)</f>
        <v>Busa</v>
      </c>
      <c r="AL921" s="40">
        <f>IFERROR(VLOOKUP(Tabela3[[#This Row],[Produto]],Tabela2[],15,0),0)</f>
        <v>0.5</v>
      </c>
      <c r="AM921" s="36">
        <f ca="1">(Tabela3[[#This Row],[Custo Usinagem]]+Tabela3[[#This Row],[Custo / Pç]])*1.2</f>
        <v>15.91155093037554</v>
      </c>
      <c r="AN921" s="36">
        <f ca="1">Tabela3[[#This Row],[Valor Mínimo Venda]]*1.15</f>
        <v>18.298283569931868</v>
      </c>
      <c r="AO921" s="36">
        <f ca="1">Tabela3[[#This Row],[Tabela 1]]*1.08</f>
        <v>19.762146255526421</v>
      </c>
      <c r="AP921" s="36">
        <f ca="1">Tabela3[[#This Row],[Tabela 2]]*1.15</f>
        <v>22.726468193855382</v>
      </c>
    </row>
    <row r="922" spans="1:42">
      <c r="A922" s="9">
        <v>46055</v>
      </c>
      <c r="B922" s="6" t="s">
        <v>236</v>
      </c>
      <c r="C922" s="14">
        <v>8992</v>
      </c>
      <c r="D922" s="6" t="s">
        <v>46</v>
      </c>
      <c r="E922" s="6" t="s">
        <v>44</v>
      </c>
      <c r="F922" s="6">
        <v>47</v>
      </c>
      <c r="G922" s="15">
        <v>0.26874999999999999</v>
      </c>
      <c r="H922" s="16">
        <v>0</v>
      </c>
      <c r="I922" s="35">
        <f ca="1">IFERROR(Tabela3[[#This Row],[Custo Total]]/Tabela3[[#This Row],[Aluminio Util]],0)</f>
        <v>26.533605937865239</v>
      </c>
      <c r="J922" s="35">
        <f ca="1">Tabela3[[#This Row],[Custo Total]]/Tabela3[[#This Row],[Realizado]]</f>
        <v>8.0131489932353013</v>
      </c>
      <c r="K922" s="37">
        <f>IFERROR(Tabela3[[#This Row],[Qtde Cx Produzida]]/Tabela3[[#This Row],[Tempo]]/24,0)</f>
        <v>7.2868217054263562</v>
      </c>
      <c r="L922" s="37">
        <f>Tabela3[[#This Row],[Qtde Cx Produzida]]*Tabela3[[#This Row],[Qdt Peça Placa]]</f>
        <v>282</v>
      </c>
      <c r="M922" s="37">
        <f>Tabela3[[#This Row],[Previsto]]-Tabela3[[#This Row],[Perda Pçs]]</f>
        <v>282</v>
      </c>
      <c r="N922" s="38">
        <f>IFERROR(Tabela3[[#This Row],[Perda Pçs]]/Tabela3[[#This Row],[Previsto]],0)</f>
        <v>0</v>
      </c>
      <c r="O922" s="39">
        <f>IFERROR(IF(Tabela3[[#This Row],[Qtde Cx Produzida]] &lt;&gt; 0, Tabela3[[#This Row],[Tempo]] / Tabela3[[#This Row],[Qtde Cx Produzida]], 0),0)</f>
        <v>5.7180851063829783E-3</v>
      </c>
      <c r="P922" s="57">
        <f>IFERROR(Tabela3[[#This Row],[Perda Pçs]]/Tabela3[[#This Row],[Qdt Peça Placa]],0)</f>
        <v>0</v>
      </c>
      <c r="Q922" s="37">
        <f>IFERROR(Tabela3[[#This Row],[Realizado]]*Tabela3[[#This Row],[Peso Util/Pç]],0)</f>
        <v>85.164000000000001</v>
      </c>
      <c r="R922" s="37">
        <f>IFERROR(Tabela3[[#This Row],[Peso Total Galho]]*Tabela3[[#This Row],[Qtde Cx Produzida]]*1.055,0)</f>
        <v>106.70692</v>
      </c>
      <c r="S922" s="37">
        <f>(Tabela3[[#This Row],[Aluminio Bruto]]-Tabela3[[#This Row],[Aluminio Util]])*0.9</f>
        <v>19.388627999999997</v>
      </c>
      <c r="T922" s="37">
        <f>Tabela3[[#This Row],[Aluminio Bruto]]/OleoKGAluminio</f>
        <v>44.891463273277978</v>
      </c>
      <c r="U922" s="35">
        <f>IFERROR((VLOOKUP(Tabela3[[#This Row],[Moldador]],Tabela1[],5,)+(VLOOKUP(Tabela3[[#This Row],[Ajudante]],Tabela1[],5,))*3.5),0)</f>
        <v>126.0945</v>
      </c>
      <c r="V922" s="35">
        <f>IFERROR(Tabela3[[#This Row],[Custo M.O. / H]]/((Tabela3[[#This Row],[Realizado]]/Tabela3[[#This Row],[Qdt Peça Placa]])/Tabela3[[#This Row],[Tempo]]/24),)</f>
        <v>17.304457978723406</v>
      </c>
      <c r="W922" s="35">
        <f>Tabela3[[#This Row],[Custo / Cx Moldada]]*Tabela3[[#This Row],[Qtde Cx Produzida]]</f>
        <v>813.30952500000012</v>
      </c>
      <c r="X922" s="35">
        <f ca="1">Tabela3[[#This Row],[Aluminio Util]]*Tabela3[[#This Row],[Custo/Kg]]</f>
        <v>1328.5584000000001</v>
      </c>
      <c r="Y922" s="35">
        <f>IFERROR(VLOOKUP(Tabela3[[#This Row],[Data]],Tabela461213[],2,1)*(Tabela3[[#This Row],[Qtde Cx Produzida]]*Tabela3[[#This Row],[Qde macho / CX]]*Tabela3[[#This Row],[Peso Macho]]),)</f>
        <v>0</v>
      </c>
      <c r="Z922" s="35">
        <f>IFERROR(Tabela3[[#This Row],[Qtde Oleo]]*(VLOOKUP(Tabela3[[#This Row],[Data]],CompraOleo[],3,TRUE))*1.05,0)</f>
        <v>117.84009109235468</v>
      </c>
      <c r="AA922" s="47">
        <f ca="1">(Tabela3[[#This Row],[Custo Oleo]]+Tabela3[[#This Row],[Custo Aluminio]]+Tabela3[[#This Row],[Custo M.O. Total]]+Tabela3[[#This Row],[Custo Machos]])</f>
        <v>2259.7080160923551</v>
      </c>
      <c r="AB922" s="47">
        <f ca="1">Tabela3[[#This Row],[Custo Total]]*Tabela3[[#This Row],[% Perda]]</f>
        <v>0</v>
      </c>
      <c r="AC922" s="48">
        <f>IFERROR(VLOOKUP(Tabela3[[#This Row],[Produto]],Tabela2[],2,0),0)</f>
        <v>6</v>
      </c>
      <c r="AD922" s="48">
        <f>IFERROR(VLOOKUP(Tabela3[[#This Row],[Produto]],Tabela2[],3,0),0)</f>
        <v>0.30199999999999999</v>
      </c>
      <c r="AE922" s="48">
        <f>IFERROR(VLOOKUP(Tabela3[[#This Row],[Produto]],Tabela2[],4,0),0)</f>
        <v>2.1520000000000001</v>
      </c>
      <c r="AF922" s="48">
        <f>IFERROR(VLOOKUP(Tabela3[[#This Row],[Produto]],Tabela2[],5,0),0)</f>
        <v>0.30600000000000027</v>
      </c>
      <c r="AG922" s="40">
        <f>IFERROR(VLOOKUP(Tabela3[[#This Row],[Produto]],Tabela2[],6,0),0)</f>
        <v>0</v>
      </c>
      <c r="AH922" s="40">
        <f>IFERROR(VLOOKUP(Tabela3[[#This Row],[Produto]],Tabela2[],7,0),0)</f>
        <v>0</v>
      </c>
      <c r="AI922" s="40">
        <f>IFERROR(VLOOKUP(Tabela3[[#This Row],[Produto]],Tabela2[],8,0),0)</f>
        <v>0</v>
      </c>
      <c r="AJ922" s="35">
        <f ca="1">IFERROR(VLOOKUP(Tabela3[[#This Row],[Produto]],Tabela2[],13,0),0)</f>
        <v>15.600000000000001</v>
      </c>
      <c r="AK922" s="40" t="str">
        <f>IFERROR(VLOOKUP(Tabela3[[#This Row],[Produto]],Tabela2[],14,0),0)</f>
        <v>Senun</v>
      </c>
      <c r="AL922" s="40">
        <f>IFERROR(VLOOKUP(Tabela3[[#This Row],[Produto]],Tabela2[],15,0),0)</f>
        <v>4</v>
      </c>
      <c r="AM922" s="36">
        <f ca="1">(Tabela3[[#This Row],[Custo Usinagem]]+Tabela3[[#This Row],[Custo / Pç]])*1.2</f>
        <v>14.41577879188236</v>
      </c>
      <c r="AN922" s="36">
        <f ca="1">Tabela3[[#This Row],[Valor Mínimo Venda]]*1.15</f>
        <v>16.578145610664713</v>
      </c>
      <c r="AO922" s="36">
        <f ca="1">Tabela3[[#This Row],[Tabela 1]]*1.08</f>
        <v>17.904397259517889</v>
      </c>
      <c r="AP922" s="36">
        <f ca="1">Tabela3[[#This Row],[Tabela 2]]*1.15</f>
        <v>20.59005684844557</v>
      </c>
    </row>
    <row r="923" spans="1:42">
      <c r="A923" s="9">
        <v>46056</v>
      </c>
      <c r="B923" s="6" t="s">
        <v>236</v>
      </c>
      <c r="C923" s="14">
        <v>8992</v>
      </c>
      <c r="D923" s="6" t="s">
        <v>46</v>
      </c>
      <c r="E923" s="6" t="s">
        <v>44</v>
      </c>
      <c r="F923" s="6">
        <v>28</v>
      </c>
      <c r="G923" s="15">
        <v>0.15347222222222223</v>
      </c>
      <c r="H923" s="16">
        <v>0</v>
      </c>
      <c r="I923" s="35">
        <f ca="1">IFERROR(Tabela3[[#This Row],[Custo Total]]/Tabela3[[#This Row],[Aluminio Util]],0)</f>
        <v>26.13789582267572</v>
      </c>
      <c r="J923" s="35">
        <f ca="1">Tabela3[[#This Row],[Custo Total]]/Tabela3[[#This Row],[Realizado]]</f>
        <v>7.8936445384480676</v>
      </c>
      <c r="K923" s="37">
        <f>IFERROR(Tabela3[[#This Row],[Qtde Cx Produzida]]/Tabela3[[#This Row],[Tempo]]/24,0)</f>
        <v>7.60180995475113</v>
      </c>
      <c r="L923" s="37">
        <f>Tabela3[[#This Row],[Qtde Cx Produzida]]*Tabela3[[#This Row],[Qdt Peça Placa]]</f>
        <v>168</v>
      </c>
      <c r="M923" s="37">
        <f>Tabela3[[#This Row],[Previsto]]-Tabela3[[#This Row],[Perda Pçs]]</f>
        <v>168</v>
      </c>
      <c r="N923" s="38">
        <f>IFERROR(Tabela3[[#This Row],[Perda Pçs]]/Tabela3[[#This Row],[Previsto]],0)</f>
        <v>0</v>
      </c>
      <c r="O923" s="39">
        <f>IFERROR(IF(Tabela3[[#This Row],[Qtde Cx Produzida]] &lt;&gt; 0, Tabela3[[#This Row],[Tempo]] / Tabela3[[#This Row],[Qtde Cx Produzida]], 0),0)</f>
        <v>5.4811507936507941E-3</v>
      </c>
      <c r="P923" s="57">
        <f>IFERROR(Tabela3[[#This Row],[Perda Pçs]]/Tabela3[[#This Row],[Qdt Peça Placa]],0)</f>
        <v>0</v>
      </c>
      <c r="Q923" s="37">
        <f>IFERROR(Tabela3[[#This Row],[Realizado]]*Tabela3[[#This Row],[Peso Util/Pç]],0)</f>
        <v>50.735999999999997</v>
      </c>
      <c r="R923" s="37">
        <f>IFERROR(Tabela3[[#This Row],[Peso Total Galho]]*Tabela3[[#This Row],[Qtde Cx Produzida]]*1.055,0)</f>
        <v>63.570079999999997</v>
      </c>
      <c r="S923" s="37">
        <f>(Tabela3[[#This Row],[Aluminio Bruto]]-Tabela3[[#This Row],[Aluminio Util]])*0.9</f>
        <v>11.550672</v>
      </c>
      <c r="T923" s="37">
        <f>Tabela3[[#This Row],[Aluminio Bruto]]/OleoKGAluminio</f>
        <v>26.743850460676242</v>
      </c>
      <c r="U923" s="35">
        <f>IFERROR((VLOOKUP(Tabela3[[#This Row],[Moldador]],Tabela1[],5,)+(VLOOKUP(Tabela3[[#This Row],[Ajudante]],Tabela1[],5,))*3.5),0)</f>
        <v>126.0945</v>
      </c>
      <c r="V923" s="35">
        <f>IFERROR(Tabela3[[#This Row],[Custo M.O. / H]]/((Tabela3[[#This Row],[Realizado]]/Tabela3[[#This Row],[Qdt Peça Placa]])/Tabela3[[#This Row],[Tempo]]/24),)</f>
        <v>16.587431250000002</v>
      </c>
      <c r="W923" s="35">
        <f>Tabela3[[#This Row],[Custo / Cx Moldada]]*Tabela3[[#This Row],[Qtde Cx Produzida]]</f>
        <v>464.44807500000002</v>
      </c>
      <c r="X923" s="35">
        <f ca="1">Tabela3[[#This Row],[Aluminio Util]]*Tabela3[[#This Row],[Custo/Kg]]</f>
        <v>791.48160000000007</v>
      </c>
      <c r="Y923" s="35">
        <f>IFERROR(VLOOKUP(Tabela3[[#This Row],[Data]],Tabela461213[],2,1)*(Tabela3[[#This Row],[Qtde Cx Produzida]]*Tabela3[[#This Row],[Qde macho / CX]]*Tabela3[[#This Row],[Peso Macho]]),)</f>
        <v>0</v>
      </c>
      <c r="Z923" s="35">
        <f>IFERROR(Tabela3[[#This Row],[Qtde Oleo]]*(VLOOKUP(Tabela3[[#This Row],[Data]],CompraOleo[],3,TRUE))*1.05,0)</f>
        <v>70.202607459275143</v>
      </c>
      <c r="AA923" s="47">
        <f ca="1">(Tabela3[[#This Row],[Custo Oleo]]+Tabela3[[#This Row],[Custo Aluminio]]+Tabela3[[#This Row],[Custo M.O. Total]]+Tabela3[[#This Row],[Custo Machos]])</f>
        <v>1326.1322824592753</v>
      </c>
      <c r="AB923" s="47">
        <f ca="1">Tabela3[[#This Row],[Custo Total]]*Tabela3[[#This Row],[% Perda]]</f>
        <v>0</v>
      </c>
      <c r="AC923" s="48">
        <f>IFERROR(VLOOKUP(Tabela3[[#This Row],[Produto]],Tabela2[],2,0),0)</f>
        <v>6</v>
      </c>
      <c r="AD923" s="48">
        <f>IFERROR(VLOOKUP(Tabela3[[#This Row],[Produto]],Tabela2[],3,0),0)</f>
        <v>0.30199999999999999</v>
      </c>
      <c r="AE923" s="48">
        <f>IFERROR(VLOOKUP(Tabela3[[#This Row],[Produto]],Tabela2[],4,0),0)</f>
        <v>2.1520000000000001</v>
      </c>
      <c r="AF923" s="48">
        <f>IFERROR(VLOOKUP(Tabela3[[#This Row],[Produto]],Tabela2[],5,0),0)</f>
        <v>0.30600000000000027</v>
      </c>
      <c r="AG923" s="40">
        <f>IFERROR(VLOOKUP(Tabela3[[#This Row],[Produto]],Tabela2[],6,0),0)</f>
        <v>0</v>
      </c>
      <c r="AH923" s="40">
        <f>IFERROR(VLOOKUP(Tabela3[[#This Row],[Produto]],Tabela2[],7,0),0)</f>
        <v>0</v>
      </c>
      <c r="AI923" s="40">
        <f>IFERROR(VLOOKUP(Tabela3[[#This Row],[Produto]],Tabela2[],8,0),0)</f>
        <v>0</v>
      </c>
      <c r="AJ923" s="35">
        <f ca="1">IFERROR(VLOOKUP(Tabela3[[#This Row],[Produto]],Tabela2[],13,0),0)</f>
        <v>15.600000000000001</v>
      </c>
      <c r="AK923" s="40" t="str">
        <f>IFERROR(VLOOKUP(Tabela3[[#This Row],[Produto]],Tabela2[],14,0),0)</f>
        <v>Senun</v>
      </c>
      <c r="AL923" s="40">
        <f>IFERROR(VLOOKUP(Tabela3[[#This Row],[Produto]],Tabela2[],15,0),0)</f>
        <v>4</v>
      </c>
      <c r="AM923" s="36">
        <f ca="1">(Tabela3[[#This Row],[Custo Usinagem]]+Tabela3[[#This Row],[Custo / Pç]])*1.2</f>
        <v>14.272373446137681</v>
      </c>
      <c r="AN923" s="36">
        <f ca="1">Tabela3[[#This Row],[Valor Mínimo Venda]]*1.15</f>
        <v>16.413229463058332</v>
      </c>
      <c r="AO923" s="36">
        <f ca="1">Tabela3[[#This Row],[Tabela 1]]*1.08</f>
        <v>17.726287820103</v>
      </c>
      <c r="AP923" s="36">
        <f ca="1">Tabela3[[#This Row],[Tabela 2]]*1.15</f>
        <v>20.385230993118448</v>
      </c>
    </row>
    <row r="924" spans="1:42">
      <c r="A924" s="9">
        <v>46056</v>
      </c>
      <c r="B924" s="6" t="s">
        <v>240</v>
      </c>
      <c r="C924" s="14">
        <v>8998</v>
      </c>
      <c r="D924" s="6" t="s">
        <v>46</v>
      </c>
      <c r="E924" s="6" t="s">
        <v>44</v>
      </c>
      <c r="F924" s="6">
        <v>20</v>
      </c>
      <c r="G924" s="15">
        <v>9.2361111111111116E-2</v>
      </c>
      <c r="H924" s="16">
        <v>9</v>
      </c>
      <c r="I924" s="35">
        <f ca="1">IFERROR(Tabela3[[#This Row],[Custo Total]]/Tabela3[[#This Row],[Aluminio Util]],0)</f>
        <v>30.257204925003293</v>
      </c>
      <c r="J924" s="35">
        <f ca="1">Tabela3[[#This Row],[Custo Total]]/Tabela3[[#This Row],[Realizado]]</f>
        <v>10.801822158226175</v>
      </c>
      <c r="K924" s="37">
        <f>IFERROR(Tabela3[[#This Row],[Qtde Cx Produzida]]/Tabela3[[#This Row],[Tempo]]/24,0)</f>
        <v>9.022556390977444</v>
      </c>
      <c r="L924" s="37">
        <f>Tabela3[[#This Row],[Qtde Cx Produzida]]*Tabela3[[#This Row],[Qdt Peça Placa]]</f>
        <v>80</v>
      </c>
      <c r="M924" s="37">
        <f>Tabela3[[#This Row],[Previsto]]-Tabela3[[#This Row],[Perda Pçs]]</f>
        <v>71</v>
      </c>
      <c r="N924" s="38">
        <f>IFERROR(Tabela3[[#This Row],[Perda Pçs]]/Tabela3[[#This Row],[Previsto]],0)</f>
        <v>0.1125</v>
      </c>
      <c r="O924" s="39">
        <f>IFERROR(IF(Tabela3[[#This Row],[Qtde Cx Produzida]] &lt;&gt; 0, Tabela3[[#This Row],[Tempo]] / Tabela3[[#This Row],[Qtde Cx Produzida]], 0),0)</f>
        <v>4.6180555555555558E-3</v>
      </c>
      <c r="P924" s="57">
        <f>IFERROR(Tabela3[[#This Row],[Perda Pçs]]/Tabela3[[#This Row],[Qdt Peça Placa]],0)</f>
        <v>2.25</v>
      </c>
      <c r="Q924" s="37">
        <f>IFERROR(Tabela3[[#This Row],[Realizado]]*Tabela3[[#This Row],[Peso Util/Pç]],0)</f>
        <v>25.346999999999998</v>
      </c>
      <c r="R924" s="37">
        <f>IFERROR(Tabela3[[#This Row],[Peso Total Galho]]*Tabela3[[#This Row],[Qtde Cx Produzida]]*1.055,0)</f>
        <v>51.230800000000002</v>
      </c>
      <c r="S924" s="37">
        <f>(Tabela3[[#This Row],[Aluminio Bruto]]-Tabela3[[#This Row],[Aluminio Util]])*0.9</f>
        <v>23.295420000000004</v>
      </c>
      <c r="T924" s="37">
        <f>Tabela3[[#This Row],[Aluminio Bruto]]/OleoKGAluminio</f>
        <v>21.552731319212004</v>
      </c>
      <c r="U924" s="35">
        <f>IFERROR((VLOOKUP(Tabela3[[#This Row],[Moldador]],Tabela1[],5,)+(VLOOKUP(Tabela3[[#This Row],[Ajudante]],Tabela1[],5,))*3.5),0)</f>
        <v>126.0945</v>
      </c>
      <c r="V924" s="35">
        <f>IFERROR(Tabela3[[#This Row],[Custo M.O. / H]]/((Tabela3[[#This Row],[Realizado]]/Tabela3[[#This Row],[Qdt Peça Placa]])/Tabela3[[#This Row],[Tempo]]/24),)</f>
        <v>15.74701267605634</v>
      </c>
      <c r="W924" s="35">
        <f>Tabela3[[#This Row],[Custo / Cx Moldada]]*Tabela3[[#This Row],[Qtde Cx Produzida]]</f>
        <v>314.94025352112681</v>
      </c>
      <c r="X924" s="35">
        <f ca="1">Tabela3[[#This Row],[Aluminio Util]]*Tabela3[[#This Row],[Custo/Kg]]</f>
        <v>395.41320000000002</v>
      </c>
      <c r="Y924" s="35">
        <f>IFERROR(VLOOKUP(Tabela3[[#This Row],[Data]],Tabela461213[],2,1)*(Tabela3[[#This Row],[Qtde Cx Produzida]]*Tabela3[[#This Row],[Qde macho / CX]]*Tabela3[[#This Row],[Peso Macho]]),)</f>
        <v>0</v>
      </c>
      <c r="Z924" s="35">
        <f>IFERROR(Tabela3[[#This Row],[Qtde Oleo]]*(VLOOKUP(Tabela3[[#This Row],[Data]],CompraOleo[],3,TRUE))*1.05,0)</f>
        <v>56.575919712931508</v>
      </c>
      <c r="AA924" s="47">
        <f ca="1">(Tabela3[[#This Row],[Custo Oleo]]+Tabela3[[#This Row],[Custo Aluminio]]+Tabela3[[#This Row],[Custo M.O. Total]]+Tabela3[[#This Row],[Custo Machos]])</f>
        <v>766.9293732340584</v>
      </c>
      <c r="AB924" s="47">
        <f ca="1">Tabela3[[#This Row],[Custo Total]]*Tabela3[[#This Row],[% Perda]]</f>
        <v>86.279554488831579</v>
      </c>
      <c r="AC924" s="48">
        <f>IFERROR(VLOOKUP(Tabela3[[#This Row],[Produto]],Tabela2[],2,0),0)</f>
        <v>4</v>
      </c>
      <c r="AD924" s="48">
        <f>IFERROR(VLOOKUP(Tabela3[[#This Row],[Produto]],Tabela2[],3,0),0)</f>
        <v>0.35699999999999998</v>
      </c>
      <c r="AE924" s="48">
        <f>IFERROR(VLOOKUP(Tabela3[[#This Row],[Produto]],Tabela2[],4,0),0)</f>
        <v>2.4279999999999999</v>
      </c>
      <c r="AF924" s="48">
        <f>IFERROR(VLOOKUP(Tabela3[[#This Row],[Produto]],Tabela2[],5,0),0)</f>
        <v>0.9</v>
      </c>
      <c r="AG924" s="40">
        <f>IFERROR(VLOOKUP(Tabela3[[#This Row],[Produto]],Tabela2[],6,0),0)</f>
        <v>0</v>
      </c>
      <c r="AH924" s="40">
        <f>IFERROR(VLOOKUP(Tabela3[[#This Row],[Produto]],Tabela2[],7,0),0)</f>
        <v>0</v>
      </c>
      <c r="AI924" s="40">
        <f>IFERROR(VLOOKUP(Tabela3[[#This Row],[Produto]],Tabela2[],8,0),0)</f>
        <v>0</v>
      </c>
      <c r="AJ924" s="35">
        <f ca="1">IFERROR(VLOOKUP(Tabela3[[#This Row],[Produto]],Tabela2[],13,0),0)</f>
        <v>15.600000000000001</v>
      </c>
      <c r="AK924" s="40" t="str">
        <f>IFERROR(VLOOKUP(Tabela3[[#This Row],[Produto]],Tabela2[],14,0),0)</f>
        <v>Senun</v>
      </c>
      <c r="AL924" s="40">
        <f>IFERROR(VLOOKUP(Tabela3[[#This Row],[Produto]],Tabela2[],15,0),0)</f>
        <v>4</v>
      </c>
      <c r="AM924" s="36">
        <f ca="1">(Tabela3[[#This Row],[Custo Usinagem]]+Tabela3[[#This Row],[Custo / Pç]])*1.2</f>
        <v>17.762186589871408</v>
      </c>
      <c r="AN924" s="36">
        <f ca="1">Tabela3[[#This Row],[Valor Mínimo Venda]]*1.15</f>
        <v>20.426514578352119</v>
      </c>
      <c r="AO924" s="36">
        <f ca="1">Tabela3[[#This Row],[Tabela 1]]*1.08</f>
        <v>22.060635744620289</v>
      </c>
      <c r="AP924" s="36">
        <f ca="1">Tabela3[[#This Row],[Tabela 2]]*1.15</f>
        <v>25.369731106313331</v>
      </c>
    </row>
    <row r="925" spans="1:42">
      <c r="A925" s="9">
        <v>46056</v>
      </c>
      <c r="B925" s="6" t="s">
        <v>175</v>
      </c>
      <c r="C925" s="14">
        <v>8999</v>
      </c>
      <c r="D925" s="6" t="s">
        <v>44</v>
      </c>
      <c r="E925" s="6" t="s">
        <v>47</v>
      </c>
      <c r="F925" s="6">
        <v>2</v>
      </c>
      <c r="G925" s="15">
        <v>6.6666666666666666E-2</v>
      </c>
      <c r="H925" s="16">
        <v>0</v>
      </c>
      <c r="I925" s="35">
        <f ca="1">IFERROR(Tabela3[[#This Row],[Custo Total]]/Tabela3[[#This Row],[Aluminio Util]],0)</f>
        <v>27.494492134687992</v>
      </c>
      <c r="J925" s="35">
        <f ca="1">Tabela3[[#This Row],[Custo Total]]/Tabela3[[#This Row],[Realizado]]</f>
        <v>255.69877685259834</v>
      </c>
      <c r="K925" s="37">
        <f>IFERROR(Tabela3[[#This Row],[Qtde Cx Produzida]]/Tabela3[[#This Row],[Tempo]]/24,0)</f>
        <v>1.25</v>
      </c>
      <c r="L925" s="37">
        <f>Tabela3[[#This Row],[Qtde Cx Produzida]]*Tabela3[[#This Row],[Qdt Peça Placa]]</f>
        <v>2</v>
      </c>
      <c r="M925" s="37">
        <f>Tabela3[[#This Row],[Previsto]]-Tabela3[[#This Row],[Perda Pçs]]</f>
        <v>2</v>
      </c>
      <c r="N925" s="38">
        <f>IFERROR(Tabela3[[#This Row],[Perda Pçs]]/Tabela3[[#This Row],[Previsto]],0)</f>
        <v>0</v>
      </c>
      <c r="O925" s="39">
        <f>IFERROR(IF(Tabela3[[#This Row],[Qtde Cx Produzida]] &lt;&gt; 0, Tabela3[[#This Row],[Tempo]] / Tabela3[[#This Row],[Qtde Cx Produzida]], 0),0)</f>
        <v>3.3333333333333333E-2</v>
      </c>
      <c r="P925" s="57">
        <f>IFERROR(Tabela3[[#This Row],[Perda Pçs]]/Tabela3[[#This Row],[Qdt Peça Placa]],0)</f>
        <v>0</v>
      </c>
      <c r="Q925" s="37">
        <f>IFERROR(Tabela3[[#This Row],[Realizado]]*Tabela3[[#This Row],[Peso Util/Pç]],0)</f>
        <v>18.600000000000001</v>
      </c>
      <c r="R925" s="37">
        <f>IFERROR(Tabela3[[#This Row],[Peso Total Galho]]*Tabela3[[#This Row],[Qtde Cx Produzida]]*1.055,0)</f>
        <v>21.838499999999996</v>
      </c>
      <c r="S925" s="37">
        <f>(Tabela3[[#This Row],[Aluminio Bruto]]-Tabela3[[#This Row],[Aluminio Util]])*0.9</f>
        <v>2.9146499999999955</v>
      </c>
      <c r="T925" s="37">
        <f>Tabela3[[#This Row],[Aluminio Bruto]]/OleoKGAluminio</f>
        <v>9.1874287130907817</v>
      </c>
      <c r="U925" s="35">
        <f>IFERROR((VLOOKUP(Tabela3[[#This Row],[Moldador]],Tabela1[],5,)+(VLOOKUP(Tabela3[[#This Row],[Ajudante]],Tabela1[],5,))*3.5),0)</f>
        <v>99.95034583333333</v>
      </c>
      <c r="V925" s="35">
        <f>IFERROR(Tabela3[[#This Row],[Custo M.O. / H]]/((Tabela3[[#This Row],[Realizado]]/Tabela3[[#This Row],[Qdt Peça Placa]])/Tabela3[[#This Row],[Tempo]]/24),)</f>
        <v>79.960276666666658</v>
      </c>
      <c r="W925" s="35">
        <f>Tabela3[[#This Row],[Custo / Cx Moldada]]*Tabela3[[#This Row],[Qtde Cx Produzida]]</f>
        <v>159.92055333333332</v>
      </c>
      <c r="X925" s="35">
        <f ca="1">Tabela3[[#This Row],[Aluminio Util]]*Tabela3[[#This Row],[Custo/Kg]]</f>
        <v>327.36000000000007</v>
      </c>
      <c r="Y925" s="35">
        <f>IFERROR(VLOOKUP(Tabela3[[#This Row],[Data]],Tabela461213[],2,1)*(Tabela3[[#This Row],[Qtde Cx Produzida]]*Tabela3[[#This Row],[Qde macho / CX]]*Tabela3[[#This Row],[Peso Macho]]),)</f>
        <v>0</v>
      </c>
      <c r="Z925" s="35">
        <f>IFERROR(Tabela3[[#This Row],[Qtde Oleo]]*(VLOOKUP(Tabela3[[#This Row],[Data]],CompraOleo[],3,TRUE))*1.05,0)</f>
        <v>24.117000371863302</v>
      </c>
      <c r="AA925" s="47">
        <f ca="1">(Tabela3[[#This Row],[Custo Oleo]]+Tabela3[[#This Row],[Custo Aluminio]]+Tabela3[[#This Row],[Custo M.O. Total]]+Tabela3[[#This Row],[Custo Machos]])</f>
        <v>511.39755370519669</v>
      </c>
      <c r="AB925" s="47">
        <f ca="1">Tabela3[[#This Row],[Custo Total]]*Tabela3[[#This Row],[% Perda]]</f>
        <v>0</v>
      </c>
      <c r="AC925" s="48">
        <f>IFERROR(VLOOKUP(Tabela3[[#This Row],[Produto]],Tabela2[],2,0),0)</f>
        <v>1</v>
      </c>
      <c r="AD925" s="48">
        <f>IFERROR(VLOOKUP(Tabela3[[#This Row],[Produto]],Tabela2[],3,0),0)</f>
        <v>9.3000000000000007</v>
      </c>
      <c r="AE925" s="48">
        <f>IFERROR(VLOOKUP(Tabela3[[#This Row],[Produto]],Tabela2[],4,0),0)</f>
        <v>10.35</v>
      </c>
      <c r="AF925" s="48">
        <f>IFERROR(VLOOKUP(Tabela3[[#This Row],[Produto]],Tabela2[],5,0),0)</f>
        <v>0.94499999999999906</v>
      </c>
      <c r="AG925" s="40">
        <f>IFERROR(VLOOKUP(Tabela3[[#This Row],[Produto]],Tabela2[],6,0),0)</f>
        <v>0</v>
      </c>
      <c r="AH925" s="40">
        <f>IFERROR(VLOOKUP(Tabela3[[#This Row],[Produto]],Tabela2[],7,0),0)</f>
        <v>0</v>
      </c>
      <c r="AI925" s="40">
        <f>IFERROR(VLOOKUP(Tabela3[[#This Row],[Produto]],Tabela2[],8,0),0)</f>
        <v>0</v>
      </c>
      <c r="AJ925" s="35">
        <f ca="1">IFERROR(VLOOKUP(Tabela3[[#This Row],[Produto]],Tabela2[],13,0),0)</f>
        <v>17.600000000000001</v>
      </c>
      <c r="AK925" s="40" t="str">
        <f>IFERROR(VLOOKUP(Tabela3[[#This Row],[Produto]],Tabela2[],14,0),0)</f>
        <v>Oscar</v>
      </c>
      <c r="AL925" s="40">
        <f>IFERROR(VLOOKUP(Tabela3[[#This Row],[Produto]],Tabela2[],15,0),0)</f>
        <v>0</v>
      </c>
      <c r="AM925" s="36">
        <f ca="1">(Tabela3[[#This Row],[Custo Usinagem]]+Tabela3[[#This Row],[Custo / Pç]])*1.2</f>
        <v>306.83853222311802</v>
      </c>
      <c r="AN925" s="36">
        <f ca="1">Tabela3[[#This Row],[Valor Mínimo Venda]]*1.15</f>
        <v>352.86431205658567</v>
      </c>
      <c r="AO925" s="36">
        <f ca="1">Tabela3[[#This Row],[Tabela 1]]*1.08</f>
        <v>381.09345702111256</v>
      </c>
      <c r="AP925" s="36">
        <f ca="1">Tabela3[[#This Row],[Tabela 2]]*1.15</f>
        <v>438.2574755742794</v>
      </c>
    </row>
    <row r="926" spans="1:42">
      <c r="A926" s="9">
        <v>46056</v>
      </c>
      <c r="B926" s="6" t="s">
        <v>244</v>
      </c>
      <c r="C926" s="14">
        <v>8979</v>
      </c>
      <c r="D926" s="6" t="s">
        <v>46</v>
      </c>
      <c r="E926" s="6" t="s">
        <v>44</v>
      </c>
      <c r="F926" s="6">
        <v>21</v>
      </c>
      <c r="G926" s="15">
        <v>0.1</v>
      </c>
      <c r="H926" s="16">
        <v>9</v>
      </c>
      <c r="I926" s="35">
        <f ca="1">IFERROR(Tabela3[[#This Row],[Custo Total]]/Tabela3[[#This Row],[Aluminio Util]],0)</f>
        <v>27.364265772264453</v>
      </c>
      <c r="J926" s="35">
        <f ca="1">Tabela3[[#This Row],[Custo Total]]/Tabela3[[#This Row],[Realizado]]</f>
        <v>12.861204912964293</v>
      </c>
      <c r="K926" s="37">
        <f>IFERROR(Tabela3[[#This Row],[Qtde Cx Produzida]]/Tabela3[[#This Row],[Tempo]]/24,0)</f>
        <v>8.75</v>
      </c>
      <c r="L926" s="37">
        <f>Tabela3[[#This Row],[Qtde Cx Produzida]]*Tabela3[[#This Row],[Qdt Peça Placa]]</f>
        <v>84</v>
      </c>
      <c r="M926" s="37">
        <f>Tabela3[[#This Row],[Previsto]]-Tabela3[[#This Row],[Perda Pçs]]</f>
        <v>75</v>
      </c>
      <c r="N926" s="38">
        <f>IFERROR(Tabela3[[#This Row],[Perda Pçs]]/Tabela3[[#This Row],[Previsto]],0)</f>
        <v>0.10714285714285714</v>
      </c>
      <c r="O926" s="39">
        <f>IFERROR(IF(Tabela3[[#This Row],[Qtde Cx Produzida]] &lt;&gt; 0, Tabela3[[#This Row],[Tempo]] / Tabela3[[#This Row],[Qtde Cx Produzida]], 0),0)</f>
        <v>4.7619047619047623E-3</v>
      </c>
      <c r="P926" s="57">
        <f>IFERROR(Tabela3[[#This Row],[Perda Pçs]]/Tabela3[[#This Row],[Qdt Peça Placa]],0)</f>
        <v>2.25</v>
      </c>
      <c r="Q926" s="37">
        <f>IFERROR(Tabela3[[#This Row],[Realizado]]*Tabela3[[#This Row],[Peso Util/Pç]],0)</f>
        <v>35.25</v>
      </c>
      <c r="R926" s="37">
        <f>IFERROR(Tabela3[[#This Row],[Peso Total Galho]]*Tabela3[[#This Row],[Qtde Cx Produzida]]*1.055,0)</f>
        <v>68.591880000000003</v>
      </c>
      <c r="S926" s="37">
        <f>(Tabela3[[#This Row],[Aluminio Bruto]]-Tabela3[[#This Row],[Aluminio Util]])*0.9</f>
        <v>30.007692000000002</v>
      </c>
      <c r="T926" s="37">
        <f>Tabela3[[#This Row],[Aluminio Bruto]]/OleoKGAluminio</f>
        <v>28.856515227551228</v>
      </c>
      <c r="U926" s="35">
        <f>IFERROR((VLOOKUP(Tabela3[[#This Row],[Moldador]],Tabela1[],5,)+(VLOOKUP(Tabela3[[#This Row],[Ajudante]],Tabela1[],5,))*3.5),0)</f>
        <v>126.0945</v>
      </c>
      <c r="V926" s="35">
        <f>IFERROR(Tabela3[[#This Row],[Custo M.O. / H]]/((Tabela3[[#This Row],[Realizado]]/Tabela3[[#This Row],[Qdt Peça Placa]])/Tabela3[[#This Row],[Tempo]]/24),)</f>
        <v>16.140096</v>
      </c>
      <c r="W926" s="35">
        <f>Tabela3[[#This Row],[Custo / Cx Moldada]]*Tabela3[[#This Row],[Qtde Cx Produzida]]</f>
        <v>338.94201599999997</v>
      </c>
      <c r="X926" s="35">
        <f ca="1">Tabela3[[#This Row],[Aluminio Util]]*Tabela3[[#This Row],[Custo/Kg]]</f>
        <v>549.90000000000009</v>
      </c>
      <c r="Y926" s="35">
        <f>IFERROR(VLOOKUP(Tabela3[[#This Row],[Data]],Tabela461213[],2,1)*(Tabela3[[#This Row],[Qtde Cx Produzida]]*Tabela3[[#This Row],[Qde macho / CX]]*Tabela3[[#This Row],[Peso Macho]]),)</f>
        <v>0</v>
      </c>
      <c r="Z926" s="35">
        <f>IFERROR(Tabela3[[#This Row],[Qtde Oleo]]*(VLOOKUP(Tabela3[[#This Row],[Data]],CompraOleo[],3,TRUE))*1.05,0)</f>
        <v>75.748352472321969</v>
      </c>
      <c r="AA926" s="47">
        <f ca="1">(Tabela3[[#This Row],[Custo Oleo]]+Tabela3[[#This Row],[Custo Aluminio]]+Tabela3[[#This Row],[Custo M.O. Total]]+Tabela3[[#This Row],[Custo Machos]])</f>
        <v>964.59036847232198</v>
      </c>
      <c r="AB926" s="47">
        <f ca="1">Tabela3[[#This Row],[Custo Total]]*Tabela3[[#This Row],[% Perda]]</f>
        <v>103.34896805060592</v>
      </c>
      <c r="AC926" s="48">
        <f>IFERROR(VLOOKUP(Tabela3[[#This Row],[Produto]],Tabela2[],2,0),0)</f>
        <v>4</v>
      </c>
      <c r="AD926" s="48">
        <f>IFERROR(VLOOKUP(Tabela3[[#This Row],[Produto]],Tabela2[],3,0),0)</f>
        <v>0.47</v>
      </c>
      <c r="AE926" s="48">
        <f>IFERROR(VLOOKUP(Tabela3[[#This Row],[Produto]],Tabela2[],4,0),0)</f>
        <v>3.0960000000000001</v>
      </c>
      <c r="AF926" s="48">
        <f>IFERROR(VLOOKUP(Tabela3[[#This Row],[Produto]],Tabela2[],5,0),0)</f>
        <v>1.0944000000000003</v>
      </c>
      <c r="AG926" s="40">
        <f>IFERROR(VLOOKUP(Tabela3[[#This Row],[Produto]],Tabela2[],6,0),0)</f>
        <v>0</v>
      </c>
      <c r="AH926" s="40">
        <f>IFERROR(VLOOKUP(Tabela3[[#This Row],[Produto]],Tabela2[],7,0),0)</f>
        <v>0</v>
      </c>
      <c r="AI926" s="40">
        <f>IFERROR(VLOOKUP(Tabela3[[#This Row],[Produto]],Tabela2[],8,0),0)</f>
        <v>0</v>
      </c>
      <c r="AJ926" s="35">
        <f ca="1">IFERROR(VLOOKUP(Tabela3[[#This Row],[Produto]],Tabela2[],13,0),0)</f>
        <v>15.600000000000001</v>
      </c>
      <c r="AK926" s="40" t="str">
        <f>IFERROR(VLOOKUP(Tabela3[[#This Row],[Produto]],Tabela2[],14,0),0)</f>
        <v>Senun</v>
      </c>
      <c r="AL926" s="40">
        <f>IFERROR(VLOOKUP(Tabela3[[#This Row],[Produto]],Tabela2[],15,0),0)</f>
        <v>4</v>
      </c>
      <c r="AM926" s="36">
        <f ca="1">(Tabela3[[#This Row],[Custo Usinagem]]+Tabela3[[#This Row],[Custo / Pç]])*1.2</f>
        <v>20.23344589555715</v>
      </c>
      <c r="AN926" s="36">
        <f ca="1">Tabela3[[#This Row],[Valor Mínimo Venda]]*1.15</f>
        <v>23.268462779890722</v>
      </c>
      <c r="AO926" s="36">
        <f ca="1">Tabela3[[#This Row],[Tabela 1]]*1.08</f>
        <v>25.129939802281982</v>
      </c>
      <c r="AP926" s="36">
        <f ca="1">Tabela3[[#This Row],[Tabela 2]]*1.15</f>
        <v>28.899430772624278</v>
      </c>
    </row>
    <row r="927" spans="1:42">
      <c r="A927" s="9">
        <v>46057</v>
      </c>
      <c r="B927" s="6" t="s">
        <v>256</v>
      </c>
      <c r="C927" s="14">
        <v>9000</v>
      </c>
      <c r="D927" s="6" t="s">
        <v>46</v>
      </c>
      <c r="E927" s="6" t="s">
        <v>44</v>
      </c>
      <c r="F927" s="6">
        <v>15</v>
      </c>
      <c r="G927" s="15">
        <v>7.7777777777777779E-2</v>
      </c>
      <c r="H927" s="16">
        <v>0</v>
      </c>
      <c r="I927" s="35">
        <f ca="1">IFERROR(Tabela3[[#This Row],[Custo Total]]/Tabela3[[#This Row],[Aluminio Util]],0)</f>
        <v>28.669181049770181</v>
      </c>
      <c r="J927" s="35">
        <f ca="1">Tabela3[[#This Row],[Custo Total]]/Tabela3[[#This Row],[Realizado]]</f>
        <v>24.970856694349827</v>
      </c>
      <c r="K927" s="37">
        <f>IFERROR(Tabela3[[#This Row],[Qtde Cx Produzida]]/Tabela3[[#This Row],[Tempo]]/24,0)</f>
        <v>8.0357142857142865</v>
      </c>
      <c r="L927" s="37">
        <f>Tabela3[[#This Row],[Qtde Cx Produzida]]*Tabela3[[#This Row],[Qdt Peça Placa]]</f>
        <v>30</v>
      </c>
      <c r="M927" s="37">
        <f>Tabela3[[#This Row],[Previsto]]-Tabela3[[#This Row],[Perda Pçs]]</f>
        <v>30</v>
      </c>
      <c r="N927" s="38">
        <f>IFERROR(Tabela3[[#This Row],[Perda Pçs]]/Tabela3[[#This Row],[Previsto]],0)</f>
        <v>0</v>
      </c>
      <c r="O927" s="39">
        <f>IFERROR(IF(Tabela3[[#This Row],[Qtde Cx Produzida]] &lt;&gt; 0, Tabela3[[#This Row],[Tempo]] / Tabela3[[#This Row],[Qtde Cx Produzida]], 0),0)</f>
        <v>5.185185185185185E-3</v>
      </c>
      <c r="P927" s="57">
        <f>IFERROR(Tabela3[[#This Row],[Perda Pçs]]/Tabela3[[#This Row],[Qdt Peça Placa]],0)</f>
        <v>0</v>
      </c>
      <c r="Q927" s="37">
        <f>IFERROR(Tabela3[[#This Row],[Realizado]]*Tabela3[[#This Row],[Peso Util/Pç]],0)</f>
        <v>26.13</v>
      </c>
      <c r="R927" s="37">
        <f>IFERROR(Tabela3[[#This Row],[Peso Total Galho]]*Tabela3[[#This Row],[Qtde Cx Produzida]]*1.055,0)</f>
        <v>48.772649999999992</v>
      </c>
      <c r="S927" s="37">
        <f>(Tabela3[[#This Row],[Aluminio Bruto]]-Tabela3[[#This Row],[Aluminio Util]])*0.9</f>
        <v>20.378384999999994</v>
      </c>
      <c r="T927" s="37">
        <f>Tabela3[[#This Row],[Aluminio Bruto]]/OleoKGAluminio</f>
        <v>20.518590792569412</v>
      </c>
      <c r="U927" s="35">
        <f>IFERROR((VLOOKUP(Tabela3[[#This Row],[Moldador]],Tabela1[],5,)+(VLOOKUP(Tabela3[[#This Row],[Ajudante]],Tabela1[],5,))*3.5),0)</f>
        <v>126.0945</v>
      </c>
      <c r="V927" s="35">
        <f>IFERROR(Tabela3[[#This Row],[Custo M.O. / H]]/((Tabela3[[#This Row],[Realizado]]/Tabela3[[#This Row],[Qdt Peça Placa]])/Tabela3[[#This Row],[Tempo]]/24),)</f>
        <v>15.691759999999999</v>
      </c>
      <c r="W927" s="35">
        <f>Tabela3[[#This Row],[Custo / Cx Moldada]]*Tabela3[[#This Row],[Qtde Cx Produzida]]</f>
        <v>235.37639999999999</v>
      </c>
      <c r="X927" s="35">
        <f ca="1">Tabela3[[#This Row],[Aluminio Util]]*Tabela3[[#This Row],[Custo/Kg]]</f>
        <v>459.88800000000003</v>
      </c>
      <c r="Y927" s="35">
        <f>IFERROR(VLOOKUP(Tabela3[[#This Row],[Data]],Tabela461213[],2,1)*(Tabela3[[#This Row],[Qtde Cx Produzida]]*Tabela3[[#This Row],[Qde macho / CX]]*Tabela3[[#This Row],[Peso Macho]]),)</f>
        <v>0</v>
      </c>
      <c r="Z927" s="35">
        <f>IFERROR(Tabela3[[#This Row],[Qtde Oleo]]*(VLOOKUP(Tabela3[[#This Row],[Data]],CompraOleo[],3,TRUE))*1.05,0)</f>
        <v>53.861300830494713</v>
      </c>
      <c r="AA927" s="47">
        <f ca="1">(Tabela3[[#This Row],[Custo Oleo]]+Tabela3[[#This Row],[Custo Aluminio]]+Tabela3[[#This Row],[Custo M.O. Total]]+Tabela3[[#This Row],[Custo Machos]])</f>
        <v>749.12570083049479</v>
      </c>
      <c r="AB927" s="47">
        <f ca="1">Tabela3[[#This Row],[Custo Total]]*Tabela3[[#This Row],[% Perda]]</f>
        <v>0</v>
      </c>
      <c r="AC927" s="48">
        <f>IFERROR(VLOOKUP(Tabela3[[#This Row],[Produto]],Tabela2[],2,0),0)</f>
        <v>2</v>
      </c>
      <c r="AD927" s="48">
        <f>IFERROR(VLOOKUP(Tabela3[[#This Row],[Produto]],Tabela2[],3,0),0)</f>
        <v>0.871</v>
      </c>
      <c r="AE927" s="48">
        <f>IFERROR(VLOOKUP(Tabela3[[#This Row],[Produto]],Tabela2[],4,0),0)</f>
        <v>3.0819999999999999</v>
      </c>
      <c r="AF927" s="48">
        <f>IFERROR(VLOOKUP(Tabela3[[#This Row],[Produto]],Tabela2[],5,0),0)</f>
        <v>1.206</v>
      </c>
      <c r="AG927" s="40">
        <f>IFERROR(VLOOKUP(Tabela3[[#This Row],[Produto]],Tabela2[],6,0),0)</f>
        <v>0</v>
      </c>
      <c r="AH927" s="40">
        <f>IFERROR(VLOOKUP(Tabela3[[#This Row],[Produto]],Tabela2[],7,0),0)</f>
        <v>0</v>
      </c>
      <c r="AI927" s="40">
        <f>IFERROR(VLOOKUP(Tabela3[[#This Row],[Produto]],Tabela2[],8,0),0)</f>
        <v>0</v>
      </c>
      <c r="AJ927" s="35">
        <f ca="1">IFERROR(VLOOKUP(Tabela3[[#This Row],[Produto]],Tabela2[],13,0),0)</f>
        <v>17.600000000000001</v>
      </c>
      <c r="AK927" s="40" t="str">
        <f>IFERROR(VLOOKUP(Tabela3[[#This Row],[Produto]],Tabela2[],14,0),0)</f>
        <v>Protec</v>
      </c>
      <c r="AL927" s="40">
        <f>IFERROR(VLOOKUP(Tabela3[[#This Row],[Produto]],Tabela2[],15,0),0)</f>
        <v>0</v>
      </c>
      <c r="AM927" s="36">
        <f ca="1">(Tabela3[[#This Row],[Custo Usinagem]]+Tabela3[[#This Row],[Custo / Pç]])*1.2</f>
        <v>29.965028033219792</v>
      </c>
      <c r="AN927" s="36">
        <f ca="1">Tabela3[[#This Row],[Valor Mínimo Venda]]*1.15</f>
        <v>34.459782238202756</v>
      </c>
      <c r="AO927" s="36">
        <f ca="1">Tabela3[[#This Row],[Tabela 1]]*1.08</f>
        <v>37.216564817258977</v>
      </c>
      <c r="AP927" s="36">
        <f ca="1">Tabela3[[#This Row],[Tabela 2]]*1.15</f>
        <v>42.799049539847822</v>
      </c>
    </row>
    <row r="928" spans="1:42">
      <c r="A928" s="9">
        <v>46057</v>
      </c>
      <c r="B928" s="6" t="s">
        <v>96</v>
      </c>
      <c r="C928" s="14">
        <v>8912</v>
      </c>
      <c r="D928" s="6" t="s">
        <v>46</v>
      </c>
      <c r="E928" s="6" t="s">
        <v>44</v>
      </c>
      <c r="F928" s="6">
        <v>10</v>
      </c>
      <c r="G928" s="15">
        <v>5.5555555555555552E-2</v>
      </c>
      <c r="H928" s="16">
        <v>3</v>
      </c>
      <c r="I928" s="35">
        <f ca="1">IFERROR(Tabela3[[#This Row],[Custo Total]]/Tabela3[[#This Row],[Aluminio Util]],0)</f>
        <v>34.697740385015791</v>
      </c>
      <c r="J928" s="35">
        <f ca="1">Tabela3[[#This Row],[Custo Total]]/Tabela3[[#This Row],[Realizado]]</f>
        <v>30.67280250035396</v>
      </c>
      <c r="K928" s="37">
        <f>IFERROR(Tabela3[[#This Row],[Qtde Cx Produzida]]/Tabela3[[#This Row],[Tempo]]/24,0)</f>
        <v>7.5</v>
      </c>
      <c r="L928" s="37">
        <f>Tabela3[[#This Row],[Qtde Cx Produzida]]*Tabela3[[#This Row],[Qdt Peça Placa]]</f>
        <v>30</v>
      </c>
      <c r="M928" s="37">
        <f>Tabela3[[#This Row],[Previsto]]-Tabela3[[#This Row],[Perda Pçs]]</f>
        <v>27</v>
      </c>
      <c r="N928" s="38">
        <f>IFERROR(Tabela3[[#This Row],[Perda Pçs]]/Tabela3[[#This Row],[Previsto]],0)</f>
        <v>0.1</v>
      </c>
      <c r="O928" s="39">
        <f>IFERROR(IF(Tabela3[[#This Row],[Qtde Cx Produzida]] &lt;&gt; 0, Tabela3[[#This Row],[Tempo]] / Tabela3[[#This Row],[Qtde Cx Produzida]], 0),0)</f>
        <v>5.5555555555555549E-3</v>
      </c>
      <c r="P928" s="57">
        <f>IFERROR(Tabela3[[#This Row],[Perda Pçs]]/Tabela3[[#This Row],[Qdt Peça Placa]],0)</f>
        <v>1</v>
      </c>
      <c r="Q928" s="37">
        <f>IFERROR(Tabela3[[#This Row],[Realizado]]*Tabela3[[#This Row],[Peso Util/Pç]],0)</f>
        <v>23.867999999999999</v>
      </c>
      <c r="R928" s="37">
        <f>IFERROR(Tabela3[[#This Row],[Peso Total Galho]]*Tabela3[[#This Row],[Qtde Cx Produzida]]*1.055,0)</f>
        <v>49.500599999999999</v>
      </c>
      <c r="S928" s="37">
        <f>(Tabela3[[#This Row],[Aluminio Bruto]]-Tabela3[[#This Row],[Aluminio Util]])*0.9</f>
        <v>23.06934</v>
      </c>
      <c r="T928" s="37">
        <f>Tabela3[[#This Row],[Aluminio Bruto]]/OleoKGAluminio</f>
        <v>20.824838416339109</v>
      </c>
      <c r="U928" s="35">
        <f>IFERROR((VLOOKUP(Tabela3[[#This Row],[Moldador]],Tabela1[],5,)+(VLOOKUP(Tabela3[[#This Row],[Ajudante]],Tabela1[],5,))*3.5),0)</f>
        <v>126.0945</v>
      </c>
      <c r="V928" s="35">
        <f>IFERROR(Tabela3[[#This Row],[Custo M.O. / H]]/((Tabela3[[#This Row],[Realizado]]/Tabela3[[#This Row],[Qdt Peça Placa]])/Tabela3[[#This Row],[Tempo]]/24),)</f>
        <v>18.680666666666667</v>
      </c>
      <c r="W928" s="35">
        <f>Tabela3[[#This Row],[Custo / Cx Moldada]]*Tabela3[[#This Row],[Qtde Cx Produzida]]</f>
        <v>186.80666666666667</v>
      </c>
      <c r="X928" s="35">
        <f ca="1">Tabela3[[#This Row],[Aluminio Util]]*Tabela3[[#This Row],[Custo/Kg]]</f>
        <v>372.3408</v>
      </c>
      <c r="Y928" s="35">
        <f>IFERROR(VLOOKUP(Tabela3[[#This Row],[Data]],Tabela461213[],2,1)*(Tabela3[[#This Row],[Qtde Cx Produzida]]*Tabela3[[#This Row],[Qde macho / CX]]*Tabela3[[#This Row],[Peso Macho]]),)</f>
        <v>214.35300000000001</v>
      </c>
      <c r="Z928" s="35">
        <f>IFERROR(Tabela3[[#This Row],[Qtde Oleo]]*(VLOOKUP(Tabela3[[#This Row],[Data]],CompraOleo[],3,TRUE))*1.05,0)</f>
        <v>54.665200842890158</v>
      </c>
      <c r="AA928" s="47">
        <f ca="1">(Tabela3[[#This Row],[Custo Oleo]]+Tabela3[[#This Row],[Custo Aluminio]]+Tabela3[[#This Row],[Custo M.O. Total]]+Tabela3[[#This Row],[Custo Machos]])</f>
        <v>828.1656675095569</v>
      </c>
      <c r="AB928" s="47">
        <f ca="1">Tabela3[[#This Row],[Custo Total]]*Tabela3[[#This Row],[% Perda]]</f>
        <v>82.816566750955701</v>
      </c>
      <c r="AC928" s="48">
        <f>IFERROR(VLOOKUP(Tabela3[[#This Row],[Produto]],Tabela2[],2,0),0)</f>
        <v>3</v>
      </c>
      <c r="AD928" s="48">
        <f>IFERROR(VLOOKUP(Tabela3[[#This Row],[Produto]],Tabela2[],3,0),0)</f>
        <v>0.88400000000000001</v>
      </c>
      <c r="AE928" s="48">
        <f>IFERROR(VLOOKUP(Tabela3[[#This Row],[Produto]],Tabela2[],4,0),0)</f>
        <v>4.6920000000000002</v>
      </c>
      <c r="AF928" s="48">
        <f>IFERROR(VLOOKUP(Tabela3[[#This Row],[Produto]],Tabela2[],5,0),0)</f>
        <v>1.8360000000000001</v>
      </c>
      <c r="AG928" s="40">
        <f>IFERROR(VLOOKUP(Tabela3[[#This Row],[Produto]],Tabela2[],6,0),0)</f>
        <v>0</v>
      </c>
      <c r="AH928" s="40">
        <f>IFERROR(VLOOKUP(Tabela3[[#This Row],[Produto]],Tabela2[],7,0),0)</f>
        <v>9</v>
      </c>
      <c r="AI928" s="40">
        <f>IFERROR(VLOOKUP(Tabela3[[#This Row],[Produto]],Tabela2[],8,0),0)</f>
        <v>1.401</v>
      </c>
      <c r="AJ928" s="35">
        <f ca="1">IFERROR(VLOOKUP(Tabela3[[#This Row],[Produto]],Tabela2[],13,0),0)</f>
        <v>15.600000000000001</v>
      </c>
      <c r="AK928" s="40" t="str">
        <f>IFERROR(VLOOKUP(Tabela3[[#This Row],[Produto]],Tabela2[],14,0),0)</f>
        <v>Jumil</v>
      </c>
      <c r="AL928" s="40">
        <f>IFERROR(VLOOKUP(Tabela3[[#This Row],[Produto]],Tabela2[],15,0),0)</f>
        <v>10</v>
      </c>
      <c r="AM928" s="36">
        <f ca="1">(Tabela3[[#This Row],[Custo Usinagem]]+Tabela3[[#This Row],[Custo / Pç]])*1.2</f>
        <v>48.807363000424751</v>
      </c>
      <c r="AN928" s="36">
        <f ca="1">Tabela3[[#This Row],[Valor Mínimo Venda]]*1.15</f>
        <v>56.128467450488458</v>
      </c>
      <c r="AO928" s="36">
        <f ca="1">Tabela3[[#This Row],[Tabela 1]]*1.08</f>
        <v>60.618744846527541</v>
      </c>
      <c r="AP928" s="36">
        <f ca="1">Tabela3[[#This Row],[Tabela 2]]*1.15</f>
        <v>69.71155657350667</v>
      </c>
    </row>
    <row r="929" spans="1:42">
      <c r="A929" s="9">
        <v>46057</v>
      </c>
      <c r="B929" s="6" t="s">
        <v>245</v>
      </c>
      <c r="C929" s="14">
        <v>9001</v>
      </c>
      <c r="D929" s="6" t="s">
        <v>46</v>
      </c>
      <c r="E929" s="6" t="s">
        <v>44</v>
      </c>
      <c r="F929" s="6">
        <v>65</v>
      </c>
      <c r="G929" s="15">
        <v>0.26874999999999999</v>
      </c>
      <c r="H929" s="16">
        <v>0</v>
      </c>
      <c r="I929" s="35">
        <f ca="1">IFERROR(Tabela3[[#This Row],[Custo Total]]/Tabela3[[#This Row],[Aluminio Util]],0)</f>
        <v>27.039850104483467</v>
      </c>
      <c r="J929" s="35">
        <f ca="1">Tabela3[[#This Row],[Custo Total]]/Tabela3[[#This Row],[Realizado]]</f>
        <v>8.9772302346885127</v>
      </c>
      <c r="K929" s="37">
        <f>IFERROR(Tabela3[[#This Row],[Qtde Cx Produzida]]/Tabela3[[#This Row],[Tempo]]/24,0)</f>
        <v>10.077519379844961</v>
      </c>
      <c r="L929" s="37">
        <f>Tabela3[[#This Row],[Qtde Cx Produzida]]*Tabela3[[#This Row],[Qdt Peça Placa]]</f>
        <v>260</v>
      </c>
      <c r="M929" s="37">
        <f>Tabela3[[#This Row],[Previsto]]-Tabela3[[#This Row],[Perda Pçs]]</f>
        <v>260</v>
      </c>
      <c r="N929" s="38">
        <f>IFERROR(Tabela3[[#This Row],[Perda Pçs]]/Tabela3[[#This Row],[Previsto]],0)</f>
        <v>0</v>
      </c>
      <c r="O929" s="39">
        <f>IFERROR(IF(Tabela3[[#This Row],[Qtde Cx Produzida]] &lt;&gt; 0, Tabela3[[#This Row],[Tempo]] / Tabela3[[#This Row],[Qtde Cx Produzida]], 0),0)</f>
        <v>4.1346153846153842E-3</v>
      </c>
      <c r="P929" s="57">
        <f>IFERROR(Tabela3[[#This Row],[Perda Pçs]]/Tabela3[[#This Row],[Qdt Peça Placa]],0)</f>
        <v>0</v>
      </c>
      <c r="Q929" s="37">
        <f>IFERROR(Tabela3[[#This Row],[Realizado]]*Tabela3[[#This Row],[Peso Util/Pç]],0)</f>
        <v>86.320000000000007</v>
      </c>
      <c r="R929" s="37">
        <f>IFERROR(Tabela3[[#This Row],[Peso Total Galho]]*Tabela3[[#This Row],[Qtde Cx Produzida]]*1.055,0)</f>
        <v>157.7225</v>
      </c>
      <c r="S929" s="37">
        <f>(Tabela3[[#This Row],[Aluminio Bruto]]-Tabela3[[#This Row],[Aluminio Util]])*0.9</f>
        <v>64.262249999999995</v>
      </c>
      <c r="T929" s="37">
        <f>Tabela3[[#This Row],[Aluminio Bruto]]/OleoKGAluminio</f>
        <v>66.353651816766771</v>
      </c>
      <c r="U929" s="35">
        <f>IFERROR((VLOOKUP(Tabela3[[#This Row],[Moldador]],Tabela1[],5,)+(VLOOKUP(Tabela3[[#This Row],[Ajudante]],Tabela1[],5,))*3.5),0)</f>
        <v>126.0945</v>
      </c>
      <c r="V929" s="35">
        <f>IFERROR(Tabela3[[#This Row],[Custo M.O. / H]]/((Tabela3[[#This Row],[Realizado]]/Tabela3[[#This Row],[Qdt Peça Placa]])/Tabela3[[#This Row],[Tempo]]/24),)</f>
        <v>12.512454230769229</v>
      </c>
      <c r="W929" s="35">
        <f>Tabela3[[#This Row],[Custo / Cx Moldada]]*Tabela3[[#This Row],[Qtde Cx Produzida]]</f>
        <v>813.30952499999989</v>
      </c>
      <c r="X929" s="35">
        <f ca="1">Tabela3[[#This Row],[Aluminio Util]]*Tabela3[[#This Row],[Custo/Kg]]</f>
        <v>1346.5920000000003</v>
      </c>
      <c r="Y929" s="35">
        <f>IFERROR(VLOOKUP(Tabela3[[#This Row],[Data]],Tabela461213[],2,1)*(Tabela3[[#This Row],[Qtde Cx Produzida]]*Tabela3[[#This Row],[Qde macho / CX]]*Tabela3[[#This Row],[Peso Macho]]),)</f>
        <v>0</v>
      </c>
      <c r="Z929" s="35">
        <f>IFERROR(Tabela3[[#This Row],[Qtde Oleo]]*(VLOOKUP(Tabela3[[#This Row],[Data]],CompraOleo[],3,TRUE))*1.05,0)</f>
        <v>174.17833601901279</v>
      </c>
      <c r="AA929" s="47">
        <f ca="1">(Tabela3[[#This Row],[Custo Oleo]]+Tabela3[[#This Row],[Custo Aluminio]]+Tabela3[[#This Row],[Custo M.O. Total]]+Tabela3[[#This Row],[Custo Machos]])</f>
        <v>2334.0798610190132</v>
      </c>
      <c r="AB929" s="47">
        <f ca="1">Tabela3[[#This Row],[Custo Total]]*Tabela3[[#This Row],[% Perda]]</f>
        <v>0</v>
      </c>
      <c r="AC929" s="48">
        <f>IFERROR(VLOOKUP(Tabela3[[#This Row],[Produto]],Tabela2[],2,0),0)</f>
        <v>4</v>
      </c>
      <c r="AD929" s="48">
        <f>IFERROR(VLOOKUP(Tabela3[[#This Row],[Produto]],Tabela2[],3,0),0)</f>
        <v>0.33200000000000002</v>
      </c>
      <c r="AE929" s="48">
        <f>IFERROR(VLOOKUP(Tabela3[[#This Row],[Produto]],Tabela2[],4,0),0)</f>
        <v>2.2999999999999998</v>
      </c>
      <c r="AF929" s="48">
        <f>IFERROR(VLOOKUP(Tabela3[[#This Row],[Produto]],Tabela2[],5,0),0)</f>
        <v>0.8747999999999998</v>
      </c>
      <c r="AG929" s="40">
        <f>IFERROR(VLOOKUP(Tabela3[[#This Row],[Produto]],Tabela2[],6,0),0)</f>
        <v>0</v>
      </c>
      <c r="AH929" s="40">
        <f>IFERROR(VLOOKUP(Tabela3[[#This Row],[Produto]],Tabela2[],7,0),0)</f>
        <v>0</v>
      </c>
      <c r="AI929" s="40">
        <f>IFERROR(VLOOKUP(Tabela3[[#This Row],[Produto]],Tabela2[],8,0),0)</f>
        <v>0</v>
      </c>
      <c r="AJ929" s="35">
        <f ca="1">IFERROR(VLOOKUP(Tabela3[[#This Row],[Produto]],Tabela2[],13,0),0)</f>
        <v>15.600000000000001</v>
      </c>
      <c r="AK929" s="40" t="str">
        <f>IFERROR(VLOOKUP(Tabela3[[#This Row],[Produto]],Tabela2[],14,0),0)</f>
        <v>Senun</v>
      </c>
      <c r="AL929" s="40">
        <f>IFERROR(VLOOKUP(Tabela3[[#This Row],[Produto]],Tabela2[],15,0),0)</f>
        <v>3.5</v>
      </c>
      <c r="AM929" s="36">
        <f ca="1">(Tabela3[[#This Row],[Custo Usinagem]]+Tabela3[[#This Row],[Custo / Pç]])*1.2</f>
        <v>14.972676281626214</v>
      </c>
      <c r="AN929" s="36">
        <f ca="1">Tabela3[[#This Row],[Valor Mínimo Venda]]*1.15</f>
        <v>17.218577723870144</v>
      </c>
      <c r="AO929" s="36">
        <f ca="1">Tabela3[[#This Row],[Tabela 1]]*1.08</f>
        <v>18.596063941779757</v>
      </c>
      <c r="AP929" s="36">
        <f ca="1">Tabela3[[#This Row],[Tabela 2]]*1.15</f>
        <v>21.385473533046721</v>
      </c>
    </row>
    <row r="930" spans="1:42">
      <c r="A930" s="9">
        <v>46058</v>
      </c>
      <c r="B930" s="6" t="s">
        <v>245</v>
      </c>
      <c r="C930" s="14">
        <v>9001</v>
      </c>
      <c r="D930" s="6" t="s">
        <v>46</v>
      </c>
      <c r="E930" s="6" t="s">
        <v>44</v>
      </c>
      <c r="F930" s="6">
        <v>102</v>
      </c>
      <c r="G930" s="15">
        <v>0.41944444444444445</v>
      </c>
      <c r="H930" s="16">
        <v>75</v>
      </c>
      <c r="I930" s="35">
        <f ca="1">IFERROR(Tabela3[[#This Row],[Custo Total]]/Tabela3[[#This Row],[Aluminio Util]],0)</f>
        <v>32.139737659167146</v>
      </c>
      <c r="J930" s="35">
        <f ca="1">Tabela3[[#This Row],[Custo Total]]/Tabela3[[#This Row],[Realizado]]</f>
        <v>10.670392902843494</v>
      </c>
      <c r="K930" s="37">
        <f>IFERROR(Tabela3[[#This Row],[Qtde Cx Produzida]]/Tabela3[[#This Row],[Tempo]]/24,0)</f>
        <v>10.132450331125828</v>
      </c>
      <c r="L930" s="37">
        <f>Tabela3[[#This Row],[Qtde Cx Produzida]]*Tabela3[[#This Row],[Qdt Peça Placa]]</f>
        <v>408</v>
      </c>
      <c r="M930" s="37">
        <f>Tabela3[[#This Row],[Previsto]]-Tabela3[[#This Row],[Perda Pçs]]</f>
        <v>333</v>
      </c>
      <c r="N930" s="38">
        <f>IFERROR(Tabela3[[#This Row],[Perda Pçs]]/Tabela3[[#This Row],[Previsto]],0)</f>
        <v>0.18382352941176472</v>
      </c>
      <c r="O930" s="39">
        <f>IFERROR(IF(Tabela3[[#This Row],[Qtde Cx Produzida]] &lt;&gt; 0, Tabela3[[#This Row],[Tempo]] / Tabela3[[#This Row],[Qtde Cx Produzida]], 0),0)</f>
        <v>4.1122004357298479E-3</v>
      </c>
      <c r="P930" s="57">
        <f>IFERROR(Tabela3[[#This Row],[Perda Pçs]]/Tabela3[[#This Row],[Qdt Peça Placa]],0)</f>
        <v>18.75</v>
      </c>
      <c r="Q930" s="37">
        <f>IFERROR(Tabela3[[#This Row],[Realizado]]*Tabela3[[#This Row],[Peso Util/Pç]],0)</f>
        <v>110.55600000000001</v>
      </c>
      <c r="R930" s="37">
        <f>IFERROR(Tabela3[[#This Row],[Peso Total Galho]]*Tabela3[[#This Row],[Qtde Cx Produzida]]*1.055,0)</f>
        <v>247.50299999999999</v>
      </c>
      <c r="S930" s="37">
        <f>(Tabela3[[#This Row],[Aluminio Bruto]]-Tabela3[[#This Row],[Aluminio Util]])*0.9</f>
        <v>123.25229999999998</v>
      </c>
      <c r="T930" s="37">
        <f>Tabela3[[#This Row],[Aluminio Bruto]]/OleoKGAluminio</f>
        <v>104.12419208169554</v>
      </c>
      <c r="U930" s="35">
        <f>IFERROR((VLOOKUP(Tabela3[[#This Row],[Moldador]],Tabela1[],5,)+(VLOOKUP(Tabela3[[#This Row],[Ajudante]],Tabela1[],5,))*3.5),0)</f>
        <v>126.0945</v>
      </c>
      <c r="V930" s="35">
        <f>IFERROR(Tabela3[[#This Row],[Custo M.O. / H]]/((Tabela3[[#This Row],[Realizado]]/Tabela3[[#This Row],[Qdt Peça Placa]])/Tabela3[[#This Row],[Tempo]]/24),)</f>
        <v>15.247463063063064</v>
      </c>
      <c r="W930" s="35">
        <f>Tabela3[[#This Row],[Custo / Cx Moldada]]*Tabela3[[#This Row],[Qtde Cx Produzida]]</f>
        <v>1555.2412324324325</v>
      </c>
      <c r="X930" s="35">
        <f ca="1">Tabela3[[#This Row],[Aluminio Util]]*Tabela3[[#This Row],[Custo/Kg]]</f>
        <v>1724.6736000000003</v>
      </c>
      <c r="Y930" s="35">
        <f>IFERROR(VLOOKUP(Tabela3[[#This Row],[Data]],Tabela461213[],2,1)*(Tabela3[[#This Row],[Qtde Cx Produzida]]*Tabela3[[#This Row],[Qde macho / CX]]*Tabela3[[#This Row],[Peso Macho]]),)</f>
        <v>0</v>
      </c>
      <c r="Z930" s="35">
        <f>IFERROR(Tabela3[[#This Row],[Qtde Oleo]]*(VLOOKUP(Tabela3[[#This Row],[Data]],CompraOleo[],3,TRUE))*1.05,0)</f>
        <v>273.32600421445079</v>
      </c>
      <c r="AA930" s="47">
        <f ca="1">(Tabela3[[#This Row],[Custo Oleo]]+Tabela3[[#This Row],[Custo Aluminio]]+Tabela3[[#This Row],[Custo M.O. Total]]+Tabela3[[#This Row],[Custo Machos]])</f>
        <v>3553.2408366468835</v>
      </c>
      <c r="AB930" s="47">
        <f ca="1">Tabela3[[#This Row],[Custo Total]]*Tabela3[[#This Row],[% Perda]]</f>
        <v>653.16927144244187</v>
      </c>
      <c r="AC930" s="48">
        <f>IFERROR(VLOOKUP(Tabela3[[#This Row],[Produto]],Tabela2[],2,0),0)</f>
        <v>4</v>
      </c>
      <c r="AD930" s="48">
        <f>IFERROR(VLOOKUP(Tabela3[[#This Row],[Produto]],Tabela2[],3,0),0)</f>
        <v>0.33200000000000002</v>
      </c>
      <c r="AE930" s="48">
        <f>IFERROR(VLOOKUP(Tabela3[[#This Row],[Produto]],Tabela2[],4,0),0)</f>
        <v>2.2999999999999998</v>
      </c>
      <c r="AF930" s="48">
        <f>IFERROR(VLOOKUP(Tabela3[[#This Row],[Produto]],Tabela2[],5,0),0)</f>
        <v>0.8747999999999998</v>
      </c>
      <c r="AG930" s="40">
        <f>IFERROR(VLOOKUP(Tabela3[[#This Row],[Produto]],Tabela2[],6,0),0)</f>
        <v>0</v>
      </c>
      <c r="AH930" s="40">
        <f>IFERROR(VLOOKUP(Tabela3[[#This Row],[Produto]],Tabela2[],7,0),0)</f>
        <v>0</v>
      </c>
      <c r="AI930" s="40">
        <f>IFERROR(VLOOKUP(Tabela3[[#This Row],[Produto]],Tabela2[],8,0),0)</f>
        <v>0</v>
      </c>
      <c r="AJ930" s="35">
        <f ca="1">IFERROR(VLOOKUP(Tabela3[[#This Row],[Produto]],Tabela2[],13,0),0)</f>
        <v>15.600000000000001</v>
      </c>
      <c r="AK930" s="40" t="str">
        <f>IFERROR(VLOOKUP(Tabela3[[#This Row],[Produto]],Tabela2[],14,0),0)</f>
        <v>Senun</v>
      </c>
      <c r="AL930" s="40">
        <f>IFERROR(VLOOKUP(Tabela3[[#This Row],[Produto]],Tabela2[],15,0),0)</f>
        <v>3.5</v>
      </c>
      <c r="AM930" s="36">
        <f ca="1">(Tabela3[[#This Row],[Custo Usinagem]]+Tabela3[[#This Row],[Custo / Pç]])*1.2</f>
        <v>17.004471483412193</v>
      </c>
      <c r="AN930" s="36">
        <f ca="1">Tabela3[[#This Row],[Valor Mínimo Venda]]*1.15</f>
        <v>19.555142205924021</v>
      </c>
      <c r="AO930" s="36">
        <f ca="1">Tabela3[[#This Row],[Tabela 1]]*1.08</f>
        <v>21.119553582397945</v>
      </c>
      <c r="AP930" s="36">
        <f ca="1">Tabela3[[#This Row],[Tabela 2]]*1.15</f>
        <v>24.287486619757633</v>
      </c>
    </row>
    <row r="931" spans="1:42">
      <c r="A931" s="9">
        <v>46059</v>
      </c>
      <c r="B931" s="6" t="s">
        <v>245</v>
      </c>
      <c r="C931" s="14">
        <v>9001</v>
      </c>
      <c r="D931" s="6" t="s">
        <v>46</v>
      </c>
      <c r="E931" s="6" t="s">
        <v>44</v>
      </c>
      <c r="F931" s="6">
        <v>83</v>
      </c>
      <c r="G931" s="15">
        <v>0.34861111111111109</v>
      </c>
      <c r="H931" s="16">
        <v>0</v>
      </c>
      <c r="I931" s="35">
        <f ca="1">IFERROR(Tabela3[[#This Row],[Custo Total]]/Tabela3[[#This Row],[Aluminio Util]],0)</f>
        <v>27.189154691924983</v>
      </c>
      <c r="J931" s="35">
        <f ca="1">Tabela3[[#This Row],[Custo Total]]/Tabela3[[#This Row],[Realizado]]</f>
        <v>9.0267993577190957</v>
      </c>
      <c r="K931" s="37">
        <f>IFERROR(Tabela3[[#This Row],[Qtde Cx Produzida]]/Tabela3[[#This Row],[Tempo]]/24,0)</f>
        <v>9.9203187250996017</v>
      </c>
      <c r="L931" s="37">
        <f>Tabela3[[#This Row],[Qtde Cx Produzida]]*Tabela3[[#This Row],[Qdt Peça Placa]]</f>
        <v>332</v>
      </c>
      <c r="M931" s="37">
        <f>Tabela3[[#This Row],[Previsto]]-Tabela3[[#This Row],[Perda Pçs]]</f>
        <v>332</v>
      </c>
      <c r="N931" s="38">
        <f>IFERROR(Tabela3[[#This Row],[Perda Pçs]]/Tabela3[[#This Row],[Previsto]],0)</f>
        <v>0</v>
      </c>
      <c r="O931" s="39">
        <f>IFERROR(IF(Tabela3[[#This Row],[Qtde Cx Produzida]] &lt;&gt; 0, Tabela3[[#This Row],[Tempo]] / Tabela3[[#This Row],[Qtde Cx Produzida]], 0),0)</f>
        <v>4.2001338688085676E-3</v>
      </c>
      <c r="P931" s="57">
        <f>IFERROR(Tabela3[[#This Row],[Perda Pçs]]/Tabela3[[#This Row],[Qdt Peça Placa]],0)</f>
        <v>0</v>
      </c>
      <c r="Q931" s="37">
        <f>IFERROR(Tabela3[[#This Row],[Realizado]]*Tabela3[[#This Row],[Peso Util/Pç]],0)</f>
        <v>110.224</v>
      </c>
      <c r="R931" s="37">
        <f>IFERROR(Tabela3[[#This Row],[Peso Total Galho]]*Tabela3[[#This Row],[Qtde Cx Produzida]]*1.055,0)</f>
        <v>201.39949999999996</v>
      </c>
      <c r="S931" s="37">
        <f>(Tabela3[[#This Row],[Aluminio Bruto]]-Tabela3[[#This Row],[Aluminio Util]])*0.9</f>
        <v>82.057949999999963</v>
      </c>
      <c r="T931" s="37">
        <f>Tabela3[[#This Row],[Aluminio Bruto]]/OleoKGAluminio</f>
        <v>84.72850924294832</v>
      </c>
      <c r="U931" s="35">
        <f>IFERROR((VLOOKUP(Tabela3[[#This Row],[Moldador]],Tabela1[],5,)+(VLOOKUP(Tabela3[[#This Row],[Ajudante]],Tabela1[],5,))*3.5),0)</f>
        <v>126.0945</v>
      </c>
      <c r="V931" s="35">
        <f>IFERROR(Tabela3[[#This Row],[Custo M.O. / H]]/((Tabela3[[#This Row],[Realizado]]/Tabela3[[#This Row],[Qdt Peça Placa]])/Tabela3[[#This Row],[Tempo]]/24),)</f>
        <v>12.710730722891565</v>
      </c>
      <c r="W931" s="35">
        <f>Tabela3[[#This Row],[Custo / Cx Moldada]]*Tabela3[[#This Row],[Qtde Cx Produzida]]</f>
        <v>1054.99065</v>
      </c>
      <c r="X931" s="35">
        <f ca="1">Tabela3[[#This Row],[Aluminio Util]]*Tabela3[[#This Row],[Custo/Kg]]</f>
        <v>1719.4944000000003</v>
      </c>
      <c r="Y931" s="35">
        <f>IFERROR(VLOOKUP(Tabela3[[#This Row],[Data]],Tabela461213[],2,1)*(Tabela3[[#This Row],[Qtde Cx Produzida]]*Tabela3[[#This Row],[Qde macho / CX]]*Tabela3[[#This Row],[Peso Macho]]),)</f>
        <v>0</v>
      </c>
      <c r="Z931" s="35">
        <f>IFERROR(Tabela3[[#This Row],[Qtde Oleo]]*(VLOOKUP(Tabela3[[#This Row],[Data]],CompraOleo[],3,TRUE))*1.05,0)</f>
        <v>222.41233676273936</v>
      </c>
      <c r="AA931" s="47">
        <f ca="1">(Tabela3[[#This Row],[Custo Oleo]]+Tabela3[[#This Row],[Custo Aluminio]]+Tabela3[[#This Row],[Custo M.O. Total]]+Tabela3[[#This Row],[Custo Machos]])</f>
        <v>2996.8973867627396</v>
      </c>
      <c r="AB931" s="47">
        <f ca="1">Tabela3[[#This Row],[Custo Total]]*Tabela3[[#This Row],[% Perda]]</f>
        <v>0</v>
      </c>
      <c r="AC931" s="48">
        <f>IFERROR(VLOOKUP(Tabela3[[#This Row],[Produto]],Tabela2[],2,0),0)</f>
        <v>4</v>
      </c>
      <c r="AD931" s="48">
        <f>IFERROR(VLOOKUP(Tabela3[[#This Row],[Produto]],Tabela2[],3,0),0)</f>
        <v>0.33200000000000002</v>
      </c>
      <c r="AE931" s="48">
        <f>IFERROR(VLOOKUP(Tabela3[[#This Row],[Produto]],Tabela2[],4,0),0)</f>
        <v>2.2999999999999998</v>
      </c>
      <c r="AF931" s="48">
        <f>IFERROR(VLOOKUP(Tabela3[[#This Row],[Produto]],Tabela2[],5,0),0)</f>
        <v>0.8747999999999998</v>
      </c>
      <c r="AG931" s="40">
        <f>IFERROR(VLOOKUP(Tabela3[[#This Row],[Produto]],Tabela2[],6,0),0)</f>
        <v>0</v>
      </c>
      <c r="AH931" s="40">
        <f>IFERROR(VLOOKUP(Tabela3[[#This Row],[Produto]],Tabela2[],7,0),0)</f>
        <v>0</v>
      </c>
      <c r="AI931" s="40">
        <f>IFERROR(VLOOKUP(Tabela3[[#This Row],[Produto]],Tabela2[],8,0),0)</f>
        <v>0</v>
      </c>
      <c r="AJ931" s="35">
        <f ca="1">IFERROR(VLOOKUP(Tabela3[[#This Row],[Produto]],Tabela2[],13,0),0)</f>
        <v>15.600000000000001</v>
      </c>
      <c r="AK931" s="40" t="str">
        <f>IFERROR(VLOOKUP(Tabela3[[#This Row],[Produto]],Tabela2[],14,0),0)</f>
        <v>Senun</v>
      </c>
      <c r="AL931" s="40">
        <f>IFERROR(VLOOKUP(Tabela3[[#This Row],[Produto]],Tabela2[],15,0),0)</f>
        <v>3.5</v>
      </c>
      <c r="AM931" s="36">
        <f ca="1">(Tabela3[[#This Row],[Custo Usinagem]]+Tabela3[[#This Row],[Custo / Pç]])*1.2</f>
        <v>15.032159229262914</v>
      </c>
      <c r="AN931" s="36">
        <f ca="1">Tabela3[[#This Row],[Valor Mínimo Venda]]*1.15</f>
        <v>17.286983113652351</v>
      </c>
      <c r="AO931" s="36">
        <f ca="1">Tabela3[[#This Row],[Tabela 1]]*1.08</f>
        <v>18.669941762744539</v>
      </c>
      <c r="AP931" s="36">
        <f ca="1">Tabela3[[#This Row],[Tabela 2]]*1.15</f>
        <v>21.470433027156218</v>
      </c>
    </row>
    <row r="932" spans="1:42">
      <c r="A932" s="9">
        <v>46062</v>
      </c>
      <c r="B932" s="6" t="s">
        <v>91</v>
      </c>
      <c r="C932" s="14">
        <v>9008</v>
      </c>
      <c r="D932" s="6" t="s">
        <v>46</v>
      </c>
      <c r="E932" s="6" t="s">
        <v>44</v>
      </c>
      <c r="F932" s="6">
        <v>20</v>
      </c>
      <c r="G932" s="15">
        <v>0.12152777777777778</v>
      </c>
      <c r="H932" s="16">
        <v>12</v>
      </c>
      <c r="I932" s="35">
        <f ca="1">IFERROR(Tabela3[[#This Row],[Custo Total]]/Tabela3[[#This Row],[Aluminio Util]],0)</f>
        <v>46.513296227029443</v>
      </c>
      <c r="J932" s="35">
        <f ca="1">Tabela3[[#This Row],[Custo Total]]/Tabela3[[#This Row],[Realizado]]</f>
        <v>36.466424241991092</v>
      </c>
      <c r="K932" s="37">
        <f>IFERROR(Tabela3[[#This Row],[Qtde Cx Produzida]]/Tabela3[[#This Row],[Tempo]]/24,0)</f>
        <v>6.8571428571428577</v>
      </c>
      <c r="L932" s="37">
        <f>Tabela3[[#This Row],[Qtde Cx Produzida]]*Tabela3[[#This Row],[Qdt Peça Placa]]</f>
        <v>80</v>
      </c>
      <c r="M932" s="37">
        <f>Tabela3[[#This Row],[Previsto]]-Tabela3[[#This Row],[Perda Pçs]]</f>
        <v>68</v>
      </c>
      <c r="N932" s="38">
        <f>IFERROR(Tabela3[[#This Row],[Perda Pçs]]/Tabela3[[#This Row],[Previsto]],0)</f>
        <v>0.15</v>
      </c>
      <c r="O932" s="39">
        <f>IFERROR(IF(Tabela3[[#This Row],[Qtde Cx Produzida]] &lt;&gt; 0, Tabela3[[#This Row],[Tempo]] / Tabela3[[#This Row],[Qtde Cx Produzida]], 0),0)</f>
        <v>6.076388888888889E-3</v>
      </c>
      <c r="P932" s="57">
        <f>IFERROR(Tabela3[[#This Row],[Perda Pçs]]/Tabela3[[#This Row],[Qdt Peça Placa]],0)</f>
        <v>3</v>
      </c>
      <c r="Q932" s="37">
        <f>IFERROR(Tabela3[[#This Row],[Realizado]]*Tabela3[[#This Row],[Peso Util/Pç]],0)</f>
        <v>53.312000000000005</v>
      </c>
      <c r="R932" s="37">
        <f>IFERROR(Tabela3[[#This Row],[Peso Total Galho]]*Tabela3[[#This Row],[Qtde Cx Produzida]]*1.055,0)</f>
        <v>117.0628</v>
      </c>
      <c r="S932" s="37">
        <f>(Tabela3[[#This Row],[Aluminio Bruto]]-Tabela3[[#This Row],[Aluminio Util]])*0.9</f>
        <v>57.375719999999994</v>
      </c>
      <c r="T932" s="37">
        <f>Tabela3[[#This Row],[Aluminio Bruto]]/OleoKGAluminio</f>
        <v>49.248168599253781</v>
      </c>
      <c r="U932" s="35">
        <f>IFERROR((VLOOKUP(Tabela3[[#This Row],[Moldador]],Tabela1[],5,)+(VLOOKUP(Tabela3[[#This Row],[Ajudante]],Tabela1[],5,))*3.5),0)</f>
        <v>126.0945</v>
      </c>
      <c r="V932" s="35">
        <f>IFERROR(Tabela3[[#This Row],[Custo M.O. / H]]/((Tabela3[[#This Row],[Realizado]]/Tabela3[[#This Row],[Qdt Peça Placa]])/Tabela3[[#This Row],[Tempo]]/24),)</f>
        <v>21.633860294117643</v>
      </c>
      <c r="W932" s="35">
        <f>Tabela3[[#This Row],[Custo / Cx Moldada]]*Tabela3[[#This Row],[Qtde Cx Produzida]]</f>
        <v>432.67720588235284</v>
      </c>
      <c r="X932" s="35">
        <f ca="1">Tabela3[[#This Row],[Aluminio Util]]*Tabela3[[#This Row],[Custo/Kg]]</f>
        <v>831.66720000000009</v>
      </c>
      <c r="Y932" s="35">
        <f>IFERROR(VLOOKUP(Tabela3[[#This Row],[Data]],Tabela461213[],2,1)*(Tabela3[[#This Row],[Qtde Cx Produzida]]*Tabela3[[#This Row],[Qde macho / CX]]*Tabela3[[#This Row],[Peso Macho]]),)</f>
        <v>1086.096</v>
      </c>
      <c r="Z932" s="35">
        <f>IFERROR(Tabela3[[#This Row],[Qtde Oleo]]*(VLOOKUP(Tabela3[[#This Row],[Data]],CompraOleo[],3,TRUE))*1.05,0)</f>
        <v>129.27644257304118</v>
      </c>
      <c r="AA932" s="47">
        <f ca="1">(Tabela3[[#This Row],[Custo Oleo]]+Tabela3[[#This Row],[Custo Aluminio]]+Tabela3[[#This Row],[Custo M.O. Total]]+Tabela3[[#This Row],[Custo Machos]])</f>
        <v>2479.716848455394</v>
      </c>
      <c r="AB932" s="47">
        <f ca="1">Tabela3[[#This Row],[Custo Total]]*Tabela3[[#This Row],[% Perda]]</f>
        <v>371.95752726830909</v>
      </c>
      <c r="AC932" s="48">
        <f>IFERROR(VLOOKUP(Tabela3[[#This Row],[Produto]],Tabela2[],2,0),0)</f>
        <v>4</v>
      </c>
      <c r="AD932" s="48">
        <f>IFERROR(VLOOKUP(Tabela3[[#This Row],[Produto]],Tabela2[],3,0),0)</f>
        <v>0.78400000000000003</v>
      </c>
      <c r="AE932" s="48">
        <f>IFERROR(VLOOKUP(Tabela3[[#This Row],[Produto]],Tabela2[],4,0),0)</f>
        <v>5.548</v>
      </c>
      <c r="AF932" s="48">
        <f>IFERROR(VLOOKUP(Tabela3[[#This Row],[Produto]],Tabela2[],5,0),0)</f>
        <v>2.1707999999999998</v>
      </c>
      <c r="AG932" s="40">
        <f>IFERROR(VLOOKUP(Tabela3[[#This Row],[Produto]],Tabela2[],6,0),0)</f>
        <v>0</v>
      </c>
      <c r="AH932" s="40">
        <f>IFERROR(VLOOKUP(Tabela3[[#This Row],[Produto]],Tabela2[],7,0),0)</f>
        <v>12</v>
      </c>
      <c r="AI932" s="40">
        <f>IFERROR(VLOOKUP(Tabela3[[#This Row],[Produto]],Tabela2[],8,0),0)</f>
        <v>2.6619999999999999</v>
      </c>
      <c r="AJ932" s="35">
        <f ca="1">IFERROR(VLOOKUP(Tabela3[[#This Row],[Produto]],Tabela2[],13,0),0)</f>
        <v>15.600000000000001</v>
      </c>
      <c r="AK932" s="40" t="str">
        <f>IFERROR(VLOOKUP(Tabela3[[#This Row],[Produto]],Tabela2[],14,0),0)</f>
        <v>Jumil</v>
      </c>
      <c r="AL932" s="40">
        <f>IFERROR(VLOOKUP(Tabela3[[#This Row],[Produto]],Tabela2[],15,0),0)</f>
        <v>8</v>
      </c>
      <c r="AM932" s="36">
        <f ca="1">(Tabela3[[#This Row],[Custo Usinagem]]+Tabela3[[#This Row],[Custo / Pç]])*1.2</f>
        <v>53.359709090389309</v>
      </c>
      <c r="AN932" s="36">
        <f ca="1">Tabela3[[#This Row],[Valor Mínimo Venda]]*1.15</f>
        <v>61.363665453947704</v>
      </c>
      <c r="AO932" s="36">
        <f ca="1">Tabela3[[#This Row],[Tabela 1]]*1.08</f>
        <v>66.27275869026353</v>
      </c>
      <c r="AP932" s="36">
        <f ca="1">Tabela3[[#This Row],[Tabela 2]]*1.15</f>
        <v>76.21367249380306</v>
      </c>
    </row>
    <row r="933" spans="1:42">
      <c r="A933" s="9">
        <v>46062</v>
      </c>
      <c r="B933" s="6" t="s">
        <v>229</v>
      </c>
      <c r="C933" s="14">
        <v>9015</v>
      </c>
      <c r="D933" s="6" t="s">
        <v>46</v>
      </c>
      <c r="E933" s="6" t="s">
        <v>44</v>
      </c>
      <c r="F933" s="6">
        <v>10</v>
      </c>
      <c r="G933" s="15">
        <v>4.3749999999999997E-2</v>
      </c>
      <c r="H933" s="16">
        <v>0</v>
      </c>
      <c r="I933" s="35">
        <f ca="1">IFERROR(Tabela3[[#This Row],[Custo Total]]/Tabela3[[#This Row],[Aluminio Util]],0)</f>
        <v>21.874188327949685</v>
      </c>
      <c r="J933" s="35">
        <f ca="1">Tabela3[[#This Row],[Custo Total]]/Tabela3[[#This Row],[Realizado]]</f>
        <v>60.985237058323719</v>
      </c>
      <c r="K933" s="37">
        <f>IFERROR(Tabela3[[#This Row],[Qtde Cx Produzida]]/Tabela3[[#This Row],[Tempo]]/24,0)</f>
        <v>9.5238095238095237</v>
      </c>
      <c r="L933" s="37">
        <f>Tabela3[[#This Row],[Qtde Cx Produzida]]*Tabela3[[#This Row],[Qdt Peça Placa]]</f>
        <v>10</v>
      </c>
      <c r="M933" s="37">
        <f>Tabela3[[#This Row],[Previsto]]-Tabela3[[#This Row],[Perda Pçs]]</f>
        <v>10</v>
      </c>
      <c r="N933" s="38">
        <f>IFERROR(Tabela3[[#This Row],[Perda Pçs]]/Tabela3[[#This Row],[Previsto]],0)</f>
        <v>0</v>
      </c>
      <c r="O933" s="39">
        <f>IFERROR(IF(Tabela3[[#This Row],[Qtde Cx Produzida]] &lt;&gt; 0, Tabela3[[#This Row],[Tempo]] / Tabela3[[#This Row],[Qtde Cx Produzida]], 0),0)</f>
        <v>4.3749999999999995E-3</v>
      </c>
      <c r="P933" s="57">
        <f>IFERROR(Tabela3[[#This Row],[Perda Pçs]]/Tabela3[[#This Row],[Qdt Peça Placa]],0)</f>
        <v>0</v>
      </c>
      <c r="Q933" s="37">
        <f>IFERROR(Tabela3[[#This Row],[Realizado]]*Tabela3[[#This Row],[Peso Util/Pç]],0)</f>
        <v>27.88</v>
      </c>
      <c r="R933" s="37">
        <f>IFERROR(Tabela3[[#This Row],[Peso Total Galho]]*Tabela3[[#This Row],[Qtde Cx Produzida]]*1.055,0)</f>
        <v>38.5075</v>
      </c>
      <c r="S933" s="37">
        <f>(Tabela3[[#This Row],[Aluminio Bruto]]-Tabela3[[#This Row],[Aluminio Util]])*0.9</f>
        <v>9.5647500000000019</v>
      </c>
      <c r="T933" s="37">
        <f>Tabela3[[#This Row],[Aluminio Bruto]]/OleoKGAluminio</f>
        <v>16.200055460280851</v>
      </c>
      <c r="U933" s="35">
        <f>IFERROR((VLOOKUP(Tabela3[[#This Row],[Moldador]],Tabela1[],5,)+(VLOOKUP(Tabela3[[#This Row],[Ajudante]],Tabela1[],5,))*3.5),0)</f>
        <v>126.0945</v>
      </c>
      <c r="V933" s="35">
        <f>IFERROR(Tabela3[[#This Row],[Custo M.O. / H]]/((Tabela3[[#This Row],[Realizado]]/Tabela3[[#This Row],[Qdt Peça Placa]])/Tabela3[[#This Row],[Tempo]]/24),)</f>
        <v>13.2399225</v>
      </c>
      <c r="W933" s="35">
        <f>Tabela3[[#This Row],[Custo / Cx Moldada]]*Tabela3[[#This Row],[Qtde Cx Produzida]]</f>
        <v>132.399225</v>
      </c>
      <c r="X933" s="35">
        <f ca="1">Tabela3[[#This Row],[Aluminio Util]]*Tabela3[[#This Row],[Custo/Kg]]</f>
        <v>434.928</v>
      </c>
      <c r="Y933" s="35">
        <f>IFERROR(VLOOKUP(Tabela3[[#This Row],[Data]],Tabela461213[],2,1)*(Tabela3[[#This Row],[Qtde Cx Produzida]]*Tabela3[[#This Row],[Qde macho / CX]]*Tabela3[[#This Row],[Peso Macho]]),)</f>
        <v>0</v>
      </c>
      <c r="Z933" s="35">
        <f>IFERROR(Tabela3[[#This Row],[Qtde Oleo]]*(VLOOKUP(Tabela3[[#This Row],[Data]],CompraOleo[],3,TRUE))*1.05,0)</f>
        <v>42.525145583237233</v>
      </c>
      <c r="AA933" s="47">
        <f ca="1">(Tabela3[[#This Row],[Custo Oleo]]+Tabela3[[#This Row],[Custo Aluminio]]+Tabela3[[#This Row],[Custo M.O. Total]]+Tabela3[[#This Row],[Custo Machos]])</f>
        <v>609.85237058323719</v>
      </c>
      <c r="AB933" s="47">
        <f ca="1">Tabela3[[#This Row],[Custo Total]]*Tabela3[[#This Row],[% Perda]]</f>
        <v>0</v>
      </c>
      <c r="AC933" s="48">
        <f>IFERROR(VLOOKUP(Tabela3[[#This Row],[Produto]],Tabela2[],2,0),0)</f>
        <v>1</v>
      </c>
      <c r="AD933" s="48">
        <f>IFERROR(VLOOKUP(Tabela3[[#This Row],[Produto]],Tabela2[],3,0),0)</f>
        <v>2.7879999999999998</v>
      </c>
      <c r="AE933" s="48">
        <f>IFERROR(VLOOKUP(Tabela3[[#This Row],[Produto]],Tabela2[],4,0),0)</f>
        <v>3.65</v>
      </c>
      <c r="AF933" s="48">
        <f>IFERROR(VLOOKUP(Tabela3[[#This Row],[Produto]],Tabela2[],5,0),0)</f>
        <v>0.77580000000000016</v>
      </c>
      <c r="AG933" s="40">
        <f>IFERROR(VLOOKUP(Tabela3[[#This Row],[Produto]],Tabela2[],6,0),0)</f>
        <v>0</v>
      </c>
      <c r="AH933" s="40">
        <f>IFERROR(VLOOKUP(Tabela3[[#This Row],[Produto]],Tabela2[],7,0),0)</f>
        <v>0</v>
      </c>
      <c r="AI933" s="40">
        <f>IFERROR(VLOOKUP(Tabela3[[#This Row],[Produto]],Tabela2[],8,0),0)</f>
        <v>0</v>
      </c>
      <c r="AJ933" s="35">
        <f ca="1">IFERROR(VLOOKUP(Tabela3[[#This Row],[Produto]],Tabela2[],13,0),0)</f>
        <v>15.600000000000001</v>
      </c>
      <c r="AK933" s="40" t="str">
        <f>IFERROR(VLOOKUP(Tabela3[[#This Row],[Produto]],Tabela2[],14,0),0)</f>
        <v>Jumil</v>
      </c>
      <c r="AL933" s="40">
        <f>IFERROR(VLOOKUP(Tabela3[[#This Row],[Produto]],Tabela2[],15,0),0)</f>
        <v>35</v>
      </c>
      <c r="AM933" s="36">
        <f ca="1">(Tabela3[[#This Row],[Custo Usinagem]]+Tabela3[[#This Row],[Custo / Pç]])*1.2</f>
        <v>115.18228446998846</v>
      </c>
      <c r="AN933" s="36">
        <f ca="1">Tabela3[[#This Row],[Valor Mínimo Venda]]*1.15</f>
        <v>132.45962714048673</v>
      </c>
      <c r="AO933" s="36">
        <f ca="1">Tabela3[[#This Row],[Tabela 1]]*1.08</f>
        <v>143.05639731172568</v>
      </c>
      <c r="AP933" s="36">
        <f ca="1">Tabela3[[#This Row],[Tabela 2]]*1.15</f>
        <v>164.51485690848452</v>
      </c>
    </row>
    <row r="934" spans="1:42">
      <c r="A934" s="9">
        <v>46062</v>
      </c>
      <c r="B934" s="6" t="s">
        <v>247</v>
      </c>
      <c r="C934" s="14">
        <v>9002</v>
      </c>
      <c r="D934" s="6" t="s">
        <v>44</v>
      </c>
      <c r="E934" s="6" t="s">
        <v>47</v>
      </c>
      <c r="F934" s="6">
        <v>12</v>
      </c>
      <c r="G934" s="15">
        <v>5.7638888888888892E-2</v>
      </c>
      <c r="H934" s="16">
        <v>0</v>
      </c>
      <c r="I934" s="35">
        <f ca="1">IFERROR(Tabela3[[#This Row],[Custo Total]]/Tabela3[[#This Row],[Aluminio Util]],0)</f>
        <v>27.434767053143208</v>
      </c>
      <c r="J934" s="35">
        <f ca="1">Tabela3[[#This Row],[Custo Total]]/Tabela3[[#This Row],[Realizado]]</f>
        <v>8.230430115942962</v>
      </c>
      <c r="K934" s="37">
        <f>IFERROR(Tabela3[[#This Row],[Qtde Cx Produzida]]/Tabela3[[#This Row],[Tempo]]/24,0)</f>
        <v>8.6746987951807224</v>
      </c>
      <c r="L934" s="37">
        <f>Tabela3[[#This Row],[Qtde Cx Produzida]]*Tabela3[[#This Row],[Qdt Peça Placa]]</f>
        <v>48</v>
      </c>
      <c r="M934" s="37">
        <f>Tabela3[[#This Row],[Previsto]]-Tabela3[[#This Row],[Perda Pçs]]</f>
        <v>48</v>
      </c>
      <c r="N934" s="38">
        <f>IFERROR(Tabela3[[#This Row],[Perda Pçs]]/Tabela3[[#This Row],[Previsto]],0)</f>
        <v>0</v>
      </c>
      <c r="O934" s="39">
        <f>IFERROR(IF(Tabela3[[#This Row],[Qtde Cx Produzida]] &lt;&gt; 0, Tabela3[[#This Row],[Tempo]] / Tabela3[[#This Row],[Qtde Cx Produzida]], 0),0)</f>
        <v>4.8032407407407407E-3</v>
      </c>
      <c r="P934" s="57">
        <f>IFERROR(Tabela3[[#This Row],[Perda Pçs]]/Tabela3[[#This Row],[Qdt Peça Placa]],0)</f>
        <v>0</v>
      </c>
      <c r="Q934" s="37">
        <f>IFERROR(Tabela3[[#This Row],[Realizado]]*Tabela3[[#This Row],[Peso Util/Pç]],0)</f>
        <v>14.399999999999999</v>
      </c>
      <c r="R934" s="37">
        <f>IFERROR(Tabela3[[#This Row],[Peso Total Galho]]*Tabela3[[#This Row],[Qtde Cx Produzida]]*1.055,0)</f>
        <v>29.117999999999995</v>
      </c>
      <c r="S934" s="37">
        <f>(Tabela3[[#This Row],[Aluminio Bruto]]-Tabela3[[#This Row],[Aluminio Util]])*0.9</f>
        <v>13.246199999999996</v>
      </c>
      <c r="T934" s="37">
        <f>Tabela3[[#This Row],[Aluminio Bruto]]/OleoKGAluminio</f>
        <v>12.249904950787709</v>
      </c>
      <c r="U934" s="35">
        <f>IFERROR((VLOOKUP(Tabela3[[#This Row],[Moldador]],Tabela1[],5,)+(VLOOKUP(Tabela3[[#This Row],[Ajudante]],Tabela1[],5,))*3.5),0)</f>
        <v>99.95034583333333</v>
      </c>
      <c r="V934" s="35">
        <f>IFERROR(Tabela3[[#This Row],[Custo M.O. / H]]/((Tabela3[[#This Row],[Realizado]]/Tabela3[[#This Row],[Qdt Peça Placa]])/Tabela3[[#This Row],[Tempo]]/24),)</f>
        <v>11.522053755787038</v>
      </c>
      <c r="W934" s="35">
        <f>Tabela3[[#This Row],[Custo / Cx Moldada]]*Tabela3[[#This Row],[Qtde Cx Produzida]]</f>
        <v>138.26464506944444</v>
      </c>
      <c r="X934" s="35">
        <f ca="1">Tabela3[[#This Row],[Aluminio Util]]*Tabela3[[#This Row],[Custo/Kg]]</f>
        <v>224.64</v>
      </c>
      <c r="Y934" s="35">
        <f>IFERROR(VLOOKUP(Tabela3[[#This Row],[Data]],Tabela461213[],2,1)*(Tabela3[[#This Row],[Qtde Cx Produzida]]*Tabela3[[#This Row],[Qde macho / CX]]*Tabela3[[#This Row],[Peso Macho]]),)</f>
        <v>0</v>
      </c>
      <c r="Z934" s="35">
        <f>IFERROR(Tabela3[[#This Row],[Qtde Oleo]]*(VLOOKUP(Tabela3[[#This Row],[Data]],CompraOleo[],3,TRUE))*1.05,0)</f>
        <v>32.156000495817736</v>
      </c>
      <c r="AA934" s="47">
        <f ca="1">(Tabela3[[#This Row],[Custo Oleo]]+Tabela3[[#This Row],[Custo Aluminio]]+Tabela3[[#This Row],[Custo M.O. Total]]+Tabela3[[#This Row],[Custo Machos]])</f>
        <v>395.06064556526218</v>
      </c>
      <c r="AB934" s="47">
        <f ca="1">Tabela3[[#This Row],[Custo Total]]*Tabela3[[#This Row],[% Perda]]</f>
        <v>0</v>
      </c>
      <c r="AC934" s="48">
        <f>IFERROR(VLOOKUP(Tabela3[[#This Row],[Produto]],Tabela2[],2,0),0)</f>
        <v>4</v>
      </c>
      <c r="AD934" s="48">
        <f>IFERROR(VLOOKUP(Tabela3[[#This Row],[Produto]],Tabela2[],3,0),0)</f>
        <v>0.3</v>
      </c>
      <c r="AE934" s="48">
        <f>IFERROR(VLOOKUP(Tabela3[[#This Row],[Produto]],Tabela2[],4,0),0)</f>
        <v>2.2999999999999998</v>
      </c>
      <c r="AF934" s="48">
        <f>IFERROR(VLOOKUP(Tabela3[[#This Row],[Produto]],Tabela2[],5,0),0)</f>
        <v>0.98999999999999988</v>
      </c>
      <c r="AG934" s="40">
        <f>IFERROR(VLOOKUP(Tabela3[[#This Row],[Produto]],Tabela2[],6,0),0)</f>
        <v>0</v>
      </c>
      <c r="AH934" s="40">
        <f>IFERROR(VLOOKUP(Tabela3[[#This Row],[Produto]],Tabela2[],7,0),0)</f>
        <v>0</v>
      </c>
      <c r="AI934" s="40">
        <f>IFERROR(VLOOKUP(Tabela3[[#This Row],[Produto]],Tabela2[],8,0),0)</f>
        <v>0</v>
      </c>
      <c r="AJ934" s="35">
        <f ca="1">IFERROR(VLOOKUP(Tabela3[[#This Row],[Produto]],Tabela2[],13,0),0)</f>
        <v>15.600000000000001</v>
      </c>
      <c r="AK934" s="40" t="str">
        <f>IFERROR(VLOOKUP(Tabela3[[#This Row],[Produto]],Tabela2[],14,0),0)</f>
        <v>Senun</v>
      </c>
      <c r="AL934" s="40">
        <f>IFERROR(VLOOKUP(Tabela3[[#This Row],[Produto]],Tabela2[],15,0),0)</f>
        <v>3.5</v>
      </c>
      <c r="AM934" s="36">
        <f ca="1">(Tabela3[[#This Row],[Custo Usinagem]]+Tabela3[[#This Row],[Custo / Pç]])*1.2</f>
        <v>14.076516139131554</v>
      </c>
      <c r="AN934" s="36">
        <f ca="1">Tabela3[[#This Row],[Valor Mínimo Venda]]*1.15</f>
        <v>16.187993560001285</v>
      </c>
      <c r="AO934" s="36">
        <f ca="1">Tabela3[[#This Row],[Tabela 1]]*1.08</f>
        <v>17.483033044801388</v>
      </c>
      <c r="AP934" s="36">
        <f ca="1">Tabela3[[#This Row],[Tabela 2]]*1.15</f>
        <v>20.105488001521596</v>
      </c>
    </row>
    <row r="935" spans="1:42">
      <c r="A935" s="9">
        <v>46062</v>
      </c>
      <c r="B935" s="6" t="s">
        <v>247</v>
      </c>
      <c r="C935" s="14">
        <v>9002</v>
      </c>
      <c r="D935" s="6" t="s">
        <v>46</v>
      </c>
      <c r="E935" s="6" t="s">
        <v>44</v>
      </c>
      <c r="F935" s="6">
        <v>38</v>
      </c>
      <c r="G935" s="15">
        <v>0.17499999999999999</v>
      </c>
      <c r="H935" s="16">
        <v>0</v>
      </c>
      <c r="I935" s="35">
        <f ca="1">IFERROR(Tabela3[[#This Row],[Custo Total]]/Tabela3[[#This Row],[Aluminio Util]],0)</f>
        <v>29.447022695250499</v>
      </c>
      <c r="J935" s="35">
        <f ca="1">Tabela3[[#This Row],[Custo Total]]/Tabela3[[#This Row],[Realizado]]</f>
        <v>8.8341068085751502</v>
      </c>
      <c r="K935" s="37">
        <f>IFERROR(Tabela3[[#This Row],[Qtde Cx Produzida]]/Tabela3[[#This Row],[Tempo]]/24,0)</f>
        <v>9.0476190476190492</v>
      </c>
      <c r="L935" s="37">
        <f>Tabela3[[#This Row],[Qtde Cx Produzida]]*Tabela3[[#This Row],[Qdt Peça Placa]]</f>
        <v>152</v>
      </c>
      <c r="M935" s="37">
        <f>Tabela3[[#This Row],[Previsto]]-Tabela3[[#This Row],[Perda Pçs]]</f>
        <v>152</v>
      </c>
      <c r="N935" s="38">
        <f>IFERROR(Tabela3[[#This Row],[Perda Pçs]]/Tabela3[[#This Row],[Previsto]],0)</f>
        <v>0</v>
      </c>
      <c r="O935" s="39">
        <f>IFERROR(IF(Tabela3[[#This Row],[Qtde Cx Produzida]] &lt;&gt; 0, Tabela3[[#This Row],[Tempo]] / Tabela3[[#This Row],[Qtde Cx Produzida]], 0),0)</f>
        <v>4.6052631578947364E-3</v>
      </c>
      <c r="P935" s="57">
        <f>IFERROR(Tabela3[[#This Row],[Perda Pçs]]/Tabela3[[#This Row],[Qdt Peça Placa]],0)</f>
        <v>0</v>
      </c>
      <c r="Q935" s="37">
        <f>IFERROR(Tabela3[[#This Row],[Realizado]]*Tabela3[[#This Row],[Peso Util/Pç]],0)</f>
        <v>45.6</v>
      </c>
      <c r="R935" s="37">
        <f>IFERROR(Tabela3[[#This Row],[Peso Total Galho]]*Tabela3[[#This Row],[Qtde Cx Produzida]]*1.055,0)</f>
        <v>92.206999999999979</v>
      </c>
      <c r="S935" s="37">
        <f>(Tabela3[[#This Row],[Aluminio Bruto]]-Tabela3[[#This Row],[Aluminio Util]])*0.9</f>
        <v>41.946299999999979</v>
      </c>
      <c r="T935" s="37">
        <f>Tabela3[[#This Row],[Aluminio Bruto]]/OleoKGAluminio</f>
        <v>38.791365677494412</v>
      </c>
      <c r="U935" s="35">
        <f>IFERROR((VLOOKUP(Tabela3[[#This Row],[Moldador]],Tabela1[],5,)+(VLOOKUP(Tabela3[[#This Row],[Ajudante]],Tabela1[],5,))*3.5),0)</f>
        <v>126.0945</v>
      </c>
      <c r="V935" s="35">
        <f>IFERROR(Tabela3[[#This Row],[Custo M.O. / H]]/((Tabela3[[#This Row],[Realizado]]/Tabela3[[#This Row],[Qdt Peça Placa]])/Tabela3[[#This Row],[Tempo]]/24),)</f>
        <v>13.936760526315787</v>
      </c>
      <c r="W935" s="35">
        <f>Tabela3[[#This Row],[Custo / Cx Moldada]]*Tabela3[[#This Row],[Qtde Cx Produzida]]</f>
        <v>529.59689999999989</v>
      </c>
      <c r="X935" s="35">
        <f ca="1">Tabela3[[#This Row],[Aluminio Util]]*Tabela3[[#This Row],[Custo/Kg]]</f>
        <v>711.36000000000013</v>
      </c>
      <c r="Y935" s="35">
        <f>IFERROR(VLOOKUP(Tabela3[[#This Row],[Data]],Tabela461213[],2,1)*(Tabela3[[#This Row],[Qtde Cx Produzida]]*Tabela3[[#This Row],[Qde macho / CX]]*Tabela3[[#This Row],[Peso Macho]]),)</f>
        <v>0</v>
      </c>
      <c r="Z935" s="35">
        <f>IFERROR(Tabela3[[#This Row],[Qtde Oleo]]*(VLOOKUP(Tabela3[[#This Row],[Data]],CompraOleo[],3,TRUE))*1.05,0)</f>
        <v>101.82733490342284</v>
      </c>
      <c r="AA935" s="47">
        <f ca="1">(Tabela3[[#This Row],[Custo Oleo]]+Tabela3[[#This Row],[Custo Aluminio]]+Tabela3[[#This Row],[Custo M.O. Total]]+Tabela3[[#This Row],[Custo Machos]])</f>
        <v>1342.7842349034229</v>
      </c>
      <c r="AB935" s="47">
        <f ca="1">Tabela3[[#This Row],[Custo Total]]*Tabela3[[#This Row],[% Perda]]</f>
        <v>0</v>
      </c>
      <c r="AC935" s="48">
        <f>IFERROR(VLOOKUP(Tabela3[[#This Row],[Produto]],Tabela2[],2,0),0)</f>
        <v>4</v>
      </c>
      <c r="AD935" s="48">
        <f>IFERROR(VLOOKUP(Tabela3[[#This Row],[Produto]],Tabela2[],3,0),0)</f>
        <v>0.3</v>
      </c>
      <c r="AE935" s="48">
        <f>IFERROR(VLOOKUP(Tabela3[[#This Row],[Produto]],Tabela2[],4,0),0)</f>
        <v>2.2999999999999998</v>
      </c>
      <c r="AF935" s="48">
        <f>IFERROR(VLOOKUP(Tabela3[[#This Row],[Produto]],Tabela2[],5,0),0)</f>
        <v>0.98999999999999988</v>
      </c>
      <c r="AG935" s="40">
        <f>IFERROR(VLOOKUP(Tabela3[[#This Row],[Produto]],Tabela2[],6,0),0)</f>
        <v>0</v>
      </c>
      <c r="AH935" s="40">
        <f>IFERROR(VLOOKUP(Tabela3[[#This Row],[Produto]],Tabela2[],7,0),0)</f>
        <v>0</v>
      </c>
      <c r="AI935" s="40">
        <f>IFERROR(VLOOKUP(Tabela3[[#This Row],[Produto]],Tabela2[],8,0),0)</f>
        <v>0</v>
      </c>
      <c r="AJ935" s="35">
        <f ca="1">IFERROR(VLOOKUP(Tabela3[[#This Row],[Produto]],Tabela2[],13,0),0)</f>
        <v>15.600000000000001</v>
      </c>
      <c r="AK935" s="40" t="str">
        <f>IFERROR(VLOOKUP(Tabela3[[#This Row],[Produto]],Tabela2[],14,0),0)</f>
        <v>Senun</v>
      </c>
      <c r="AL935" s="40">
        <f>IFERROR(VLOOKUP(Tabela3[[#This Row],[Produto]],Tabela2[],15,0),0)</f>
        <v>3.5</v>
      </c>
      <c r="AM935" s="36">
        <f ca="1">(Tabela3[[#This Row],[Custo Usinagem]]+Tabela3[[#This Row],[Custo / Pç]])*1.2</f>
        <v>14.800928170290179</v>
      </c>
      <c r="AN935" s="36">
        <f ca="1">Tabela3[[#This Row],[Valor Mínimo Venda]]*1.15</f>
        <v>17.021067395833704</v>
      </c>
      <c r="AO935" s="36">
        <f ca="1">Tabela3[[#This Row],[Tabela 1]]*1.08</f>
        <v>18.382752787500401</v>
      </c>
      <c r="AP935" s="36">
        <f ca="1">Tabela3[[#This Row],[Tabela 2]]*1.15</f>
        <v>21.14016570562546</v>
      </c>
    </row>
    <row r="936" spans="1:42">
      <c r="A936" s="9">
        <v>46063</v>
      </c>
      <c r="B936" s="6" t="s">
        <v>247</v>
      </c>
      <c r="C936" s="14">
        <v>9002</v>
      </c>
      <c r="D936" s="6" t="s">
        <v>46</v>
      </c>
      <c r="E936" s="6" t="s">
        <v>44</v>
      </c>
      <c r="F936" s="6">
        <v>100</v>
      </c>
      <c r="G936" s="15">
        <v>0.30069444444444443</v>
      </c>
      <c r="H936" s="16">
        <v>100</v>
      </c>
      <c r="I936" s="35">
        <f ca="1">IFERROR(Tabela3[[#This Row],[Custo Total]]/Tabela3[[#This Row],[Aluminio Util]],0)</f>
        <v>32.058621897760908</v>
      </c>
      <c r="J936" s="35">
        <f ca="1">Tabela3[[#This Row],[Custo Total]]/Tabela3[[#This Row],[Realizado]]</f>
        <v>9.6175865693282709</v>
      </c>
      <c r="K936" s="37">
        <f>IFERROR(Tabela3[[#This Row],[Qtde Cx Produzida]]/Tabela3[[#This Row],[Tempo]]/24,0)</f>
        <v>13.856812933025404</v>
      </c>
      <c r="L936" s="37">
        <f>Tabela3[[#This Row],[Qtde Cx Produzida]]*Tabela3[[#This Row],[Qdt Peça Placa]]</f>
        <v>400</v>
      </c>
      <c r="M936" s="37">
        <f>Tabela3[[#This Row],[Previsto]]-Tabela3[[#This Row],[Perda Pçs]]</f>
        <v>300</v>
      </c>
      <c r="N936" s="38">
        <f>IFERROR(Tabela3[[#This Row],[Perda Pçs]]/Tabela3[[#This Row],[Previsto]],0)</f>
        <v>0.25</v>
      </c>
      <c r="O936" s="39">
        <f>IFERROR(IF(Tabela3[[#This Row],[Qtde Cx Produzida]] &lt;&gt; 0, Tabela3[[#This Row],[Tempo]] / Tabela3[[#This Row],[Qtde Cx Produzida]], 0),0)</f>
        <v>3.0069444444444445E-3</v>
      </c>
      <c r="P936" s="57">
        <f>IFERROR(Tabela3[[#This Row],[Perda Pçs]]/Tabela3[[#This Row],[Qdt Peça Placa]],0)</f>
        <v>25</v>
      </c>
      <c r="Q936" s="37">
        <f>IFERROR(Tabela3[[#This Row],[Realizado]]*Tabela3[[#This Row],[Peso Util/Pç]],0)</f>
        <v>90</v>
      </c>
      <c r="R936" s="37">
        <f>IFERROR(Tabela3[[#This Row],[Peso Total Galho]]*Tabela3[[#This Row],[Qtde Cx Produzida]]*1.055,0)</f>
        <v>242.64999999999995</v>
      </c>
      <c r="S936" s="37">
        <f>(Tabela3[[#This Row],[Aluminio Bruto]]-Tabela3[[#This Row],[Aluminio Util]])*0.9</f>
        <v>137.38499999999996</v>
      </c>
      <c r="T936" s="37">
        <f>Tabela3[[#This Row],[Aluminio Bruto]]/OleoKGAluminio</f>
        <v>102.08254125656424</v>
      </c>
      <c r="U936" s="35">
        <f>IFERROR((VLOOKUP(Tabela3[[#This Row],[Moldador]],Tabela1[],5,)+(VLOOKUP(Tabela3[[#This Row],[Ajudante]],Tabela1[],5,))*3.5),0)</f>
        <v>126.0945</v>
      </c>
      <c r="V936" s="35">
        <f>IFERROR(Tabela3[[#This Row],[Custo M.O. / H]]/((Tabela3[[#This Row],[Realizado]]/Tabela3[[#This Row],[Qdt Peça Placa]])/Tabela3[[#This Row],[Tempo]]/24),)</f>
        <v>12.133092999999999</v>
      </c>
      <c r="W936" s="35">
        <f>Tabela3[[#This Row],[Custo / Cx Moldada]]*Tabela3[[#This Row],[Qtde Cx Produzida]]</f>
        <v>1213.3092999999999</v>
      </c>
      <c r="X936" s="35">
        <f ca="1">Tabela3[[#This Row],[Aluminio Util]]*Tabela3[[#This Row],[Custo/Kg]]</f>
        <v>1404.0000000000002</v>
      </c>
      <c r="Y936" s="35">
        <f>IFERROR(VLOOKUP(Tabela3[[#This Row],[Data]],Tabela461213[],2,1)*(Tabela3[[#This Row],[Qtde Cx Produzida]]*Tabela3[[#This Row],[Qde macho / CX]]*Tabela3[[#This Row],[Peso Macho]]),)</f>
        <v>0</v>
      </c>
      <c r="Z936" s="35">
        <f>IFERROR(Tabela3[[#This Row],[Qtde Oleo]]*(VLOOKUP(Tabela3[[#This Row],[Data]],CompraOleo[],3,TRUE))*1.05,0)</f>
        <v>267.96667079848112</v>
      </c>
      <c r="AA936" s="47">
        <f ca="1">(Tabela3[[#This Row],[Custo Oleo]]+Tabela3[[#This Row],[Custo Aluminio]]+Tabela3[[#This Row],[Custo M.O. Total]]+Tabela3[[#This Row],[Custo Machos]])</f>
        <v>2885.2759707984815</v>
      </c>
      <c r="AB936" s="47">
        <f ca="1">Tabela3[[#This Row],[Custo Total]]*Tabela3[[#This Row],[% Perda]]</f>
        <v>721.31899269962037</v>
      </c>
      <c r="AC936" s="48">
        <f>IFERROR(VLOOKUP(Tabela3[[#This Row],[Produto]],Tabela2[],2,0),0)</f>
        <v>4</v>
      </c>
      <c r="AD936" s="48">
        <f>IFERROR(VLOOKUP(Tabela3[[#This Row],[Produto]],Tabela2[],3,0),0)</f>
        <v>0.3</v>
      </c>
      <c r="AE936" s="48">
        <f>IFERROR(VLOOKUP(Tabela3[[#This Row],[Produto]],Tabela2[],4,0),0)</f>
        <v>2.2999999999999998</v>
      </c>
      <c r="AF936" s="48">
        <f>IFERROR(VLOOKUP(Tabela3[[#This Row],[Produto]],Tabela2[],5,0),0)</f>
        <v>0.98999999999999988</v>
      </c>
      <c r="AG936" s="40">
        <f>IFERROR(VLOOKUP(Tabela3[[#This Row],[Produto]],Tabela2[],6,0),0)</f>
        <v>0</v>
      </c>
      <c r="AH936" s="40">
        <f>IFERROR(VLOOKUP(Tabela3[[#This Row],[Produto]],Tabela2[],7,0),0)</f>
        <v>0</v>
      </c>
      <c r="AI936" s="40">
        <f>IFERROR(VLOOKUP(Tabela3[[#This Row],[Produto]],Tabela2[],8,0),0)</f>
        <v>0</v>
      </c>
      <c r="AJ936" s="35">
        <f ca="1">IFERROR(VLOOKUP(Tabela3[[#This Row],[Produto]],Tabela2[],13,0),0)</f>
        <v>15.600000000000001</v>
      </c>
      <c r="AK936" s="40" t="str">
        <f>IFERROR(VLOOKUP(Tabela3[[#This Row],[Produto]],Tabela2[],14,0),0)</f>
        <v>Senun</v>
      </c>
      <c r="AL936" s="40">
        <f>IFERROR(VLOOKUP(Tabela3[[#This Row],[Produto]],Tabela2[],15,0),0)</f>
        <v>3.5</v>
      </c>
      <c r="AM936" s="36">
        <f ca="1">(Tabela3[[#This Row],[Custo Usinagem]]+Tabela3[[#This Row],[Custo / Pç]])*1.2</f>
        <v>15.741103883193924</v>
      </c>
      <c r="AN936" s="36">
        <f ca="1">Tabela3[[#This Row],[Valor Mínimo Venda]]*1.15</f>
        <v>18.102269465673011</v>
      </c>
      <c r="AO936" s="36">
        <f ca="1">Tabela3[[#This Row],[Tabela 1]]*1.08</f>
        <v>19.550451022926854</v>
      </c>
      <c r="AP936" s="36">
        <f ca="1">Tabela3[[#This Row],[Tabela 2]]*1.15</f>
        <v>22.48301867636588</v>
      </c>
    </row>
    <row r="937" spans="1:42">
      <c r="A937" s="9">
        <v>46063</v>
      </c>
      <c r="B937" s="6" t="s">
        <v>176</v>
      </c>
      <c r="C937" s="14">
        <v>9034</v>
      </c>
      <c r="D937" s="6" t="s">
        <v>46</v>
      </c>
      <c r="E937" s="6" t="s">
        <v>44</v>
      </c>
      <c r="F937" s="6">
        <v>11</v>
      </c>
      <c r="G937" s="15">
        <v>0.12083333333333333</v>
      </c>
      <c r="H937" s="16">
        <v>0</v>
      </c>
      <c r="I937" s="35">
        <f ca="1">IFERROR(Tabela3[[#This Row],[Custo Total]]/Tabela3[[#This Row],[Aluminio Util]],0)</f>
        <v>22.595822222252231</v>
      </c>
      <c r="J937" s="35">
        <f ca="1">Tabela3[[#This Row],[Custo Total]]/Tabela3[[#This Row],[Realizado]]</f>
        <v>200.47013475582179</v>
      </c>
      <c r="K937" s="37">
        <f>IFERROR(Tabela3[[#This Row],[Qtde Cx Produzida]]/Tabela3[[#This Row],[Tempo]]/24,0)</f>
        <v>3.7931034482758617</v>
      </c>
      <c r="L937" s="37">
        <f>Tabela3[[#This Row],[Qtde Cx Produzida]]*Tabela3[[#This Row],[Qdt Peça Placa]]</f>
        <v>11</v>
      </c>
      <c r="M937" s="37">
        <f>Tabela3[[#This Row],[Previsto]]-Tabela3[[#This Row],[Perda Pçs]]</f>
        <v>11</v>
      </c>
      <c r="N937" s="38">
        <f>IFERROR(Tabela3[[#This Row],[Perda Pçs]]/Tabela3[[#This Row],[Previsto]],0)</f>
        <v>0</v>
      </c>
      <c r="O937" s="39">
        <f>IFERROR(IF(Tabela3[[#This Row],[Qtde Cx Produzida]] &lt;&gt; 0, Tabela3[[#This Row],[Tempo]] / Tabela3[[#This Row],[Qtde Cx Produzida]], 0),0)</f>
        <v>1.0984848484848484E-2</v>
      </c>
      <c r="P937" s="57">
        <f>IFERROR(Tabela3[[#This Row],[Perda Pçs]]/Tabela3[[#This Row],[Qdt Peça Placa]],0)</f>
        <v>0</v>
      </c>
      <c r="Q937" s="37">
        <f>IFERROR(Tabela3[[#This Row],[Realizado]]*Tabela3[[#This Row],[Peso Util/Pç]],0)</f>
        <v>97.591999999999999</v>
      </c>
      <c r="R937" s="37">
        <f>IFERROR(Tabela3[[#This Row],[Peso Total Galho]]*Tabela3[[#This Row],[Qtde Cx Produzida]]*1.055,0)</f>
        <v>110.36354999999999</v>
      </c>
      <c r="S937" s="37">
        <f>(Tabela3[[#This Row],[Aluminio Bruto]]-Tabela3[[#This Row],[Aluminio Util]])*0.9</f>
        <v>11.494394999999992</v>
      </c>
      <c r="T937" s="37">
        <f>Tabela3[[#This Row],[Aluminio Bruto]]/OleoKGAluminio</f>
        <v>46.429802786300812</v>
      </c>
      <c r="U937" s="35">
        <f>IFERROR((VLOOKUP(Tabela3[[#This Row],[Moldador]],Tabela1[],5,)+(VLOOKUP(Tabela3[[#This Row],[Ajudante]],Tabela1[],5,))*3.5),0)</f>
        <v>126.0945</v>
      </c>
      <c r="V937" s="35">
        <f>IFERROR(Tabela3[[#This Row],[Custo M.O. / H]]/((Tabela3[[#This Row],[Realizado]]/Tabela3[[#This Row],[Qdt Peça Placa]])/Tabela3[[#This Row],[Tempo]]/24),)</f>
        <v>33.243095454545454</v>
      </c>
      <c r="W937" s="35">
        <f>Tabela3[[#This Row],[Custo / Cx Moldada]]*Tabela3[[#This Row],[Qtde Cx Produzida]]</f>
        <v>365.67404999999997</v>
      </c>
      <c r="X937" s="35">
        <f ca="1">Tabela3[[#This Row],[Aluminio Util]]*Tabela3[[#This Row],[Custo/Kg]]</f>
        <v>1717.6192000000001</v>
      </c>
      <c r="Y937" s="35">
        <f>IFERROR(VLOOKUP(Tabela3[[#This Row],[Data]],Tabela461213[],2,1)*(Tabela3[[#This Row],[Qtde Cx Produzida]]*Tabela3[[#This Row],[Qde macho / CX]]*Tabela3[[#This Row],[Peso Macho]]),)</f>
        <v>0</v>
      </c>
      <c r="Z937" s="35">
        <f>IFERROR(Tabela3[[#This Row],[Qtde Oleo]]*(VLOOKUP(Tabela3[[#This Row],[Data]],CompraOleo[],3,TRUE))*1.05,0)</f>
        <v>121.87823231403962</v>
      </c>
      <c r="AA937" s="47">
        <f ca="1">(Tabela3[[#This Row],[Custo Oleo]]+Tabela3[[#This Row],[Custo Aluminio]]+Tabela3[[#This Row],[Custo M.O. Total]]+Tabela3[[#This Row],[Custo Machos]])</f>
        <v>2205.1714823140396</v>
      </c>
      <c r="AB937" s="47">
        <f ca="1">Tabela3[[#This Row],[Custo Total]]*Tabela3[[#This Row],[% Perda]]</f>
        <v>0</v>
      </c>
      <c r="AC937" s="48">
        <f>IFERROR(VLOOKUP(Tabela3[[#This Row],[Produto]],Tabela2[],2,0),0)</f>
        <v>1</v>
      </c>
      <c r="AD937" s="48">
        <f>IFERROR(VLOOKUP(Tabela3[[#This Row],[Produto]],Tabela2[],3,0),0)</f>
        <v>8.8719999999999999</v>
      </c>
      <c r="AE937" s="48">
        <f>IFERROR(VLOOKUP(Tabela3[[#This Row],[Produto]],Tabela2[],4,0),0)</f>
        <v>9.51</v>
      </c>
      <c r="AF937" s="48">
        <f>IFERROR(VLOOKUP(Tabela3[[#This Row],[Produto]],Tabela2[],5,0),0)</f>
        <v>0.57419999999999993</v>
      </c>
      <c r="AG937" s="40">
        <f>IFERROR(VLOOKUP(Tabela3[[#This Row],[Produto]],Tabela2[],6,0),0)</f>
        <v>0</v>
      </c>
      <c r="AH937" s="40">
        <f>IFERROR(VLOOKUP(Tabela3[[#This Row],[Produto]],Tabela2[],7,0),0)</f>
        <v>0</v>
      </c>
      <c r="AI937" s="40">
        <f>IFERROR(VLOOKUP(Tabela3[[#This Row],[Produto]],Tabela2[],8,0),0)</f>
        <v>0</v>
      </c>
      <c r="AJ937" s="35">
        <f ca="1">IFERROR(VLOOKUP(Tabela3[[#This Row],[Produto]],Tabela2[],13,0),0)</f>
        <v>17.600000000000001</v>
      </c>
      <c r="AK937" s="40" t="str">
        <f>IFERROR(VLOOKUP(Tabela3[[#This Row],[Produto]],Tabela2[],14,0),0)</f>
        <v>Oscar</v>
      </c>
      <c r="AL937" s="40">
        <f>IFERROR(VLOOKUP(Tabela3[[#This Row],[Produto]],Tabela2[],15,0),0)</f>
        <v>0</v>
      </c>
      <c r="AM937" s="36">
        <f ca="1">(Tabela3[[#This Row],[Custo Usinagem]]+Tabela3[[#This Row],[Custo / Pç]])*1.2</f>
        <v>240.56416170698614</v>
      </c>
      <c r="AN937" s="36">
        <f ca="1">Tabela3[[#This Row],[Valor Mínimo Venda]]*1.15</f>
        <v>276.64878596303402</v>
      </c>
      <c r="AO937" s="36">
        <f ca="1">Tabela3[[#This Row],[Tabela 1]]*1.08</f>
        <v>298.78068884007678</v>
      </c>
      <c r="AP937" s="36">
        <f ca="1">Tabela3[[#This Row],[Tabela 2]]*1.15</f>
        <v>343.59779216608825</v>
      </c>
    </row>
    <row r="938" spans="1:42">
      <c r="A938" s="9">
        <v>46064</v>
      </c>
      <c r="B938" s="6" t="s">
        <v>257</v>
      </c>
      <c r="C938" s="14">
        <v>9006</v>
      </c>
      <c r="D938" s="6" t="s">
        <v>46</v>
      </c>
      <c r="E938" s="6" t="s">
        <v>47</v>
      </c>
      <c r="F938" s="6">
        <v>75</v>
      </c>
      <c r="G938" s="15">
        <v>0.35416666666666669</v>
      </c>
      <c r="H938" s="16">
        <v>25</v>
      </c>
      <c r="I938" s="35">
        <f ca="1">IFERROR(Tabela3[[#This Row],[Custo Total]]/Tabela3[[#This Row],[Aluminio Util]],0)</f>
        <v>30.608738370162534</v>
      </c>
      <c r="J938" s="35">
        <f ca="1">Tabela3[[#This Row],[Custo Total]]/Tabela3[[#This Row],[Realizado]]</f>
        <v>3.8260922962703168</v>
      </c>
      <c r="K938" s="37">
        <f>IFERROR(Tabela3[[#This Row],[Qtde Cx Produzida]]/Tabela3[[#This Row],[Tempo]]/24,0)</f>
        <v>8.8235294117647047</v>
      </c>
      <c r="L938" s="37">
        <f>Tabela3[[#This Row],[Qtde Cx Produzida]]*Tabela3[[#This Row],[Qdt Peça Placa]]</f>
        <v>600</v>
      </c>
      <c r="M938" s="37">
        <f>Tabela3[[#This Row],[Previsto]]-Tabela3[[#This Row],[Perda Pçs]]</f>
        <v>575</v>
      </c>
      <c r="N938" s="38">
        <f>IFERROR(Tabela3[[#This Row],[Perda Pçs]]/Tabela3[[#This Row],[Previsto]],0)</f>
        <v>4.1666666666666664E-2</v>
      </c>
      <c r="O938" s="39">
        <f>IFERROR(IF(Tabela3[[#This Row],[Qtde Cx Produzida]] &lt;&gt; 0, Tabela3[[#This Row],[Tempo]] / Tabela3[[#This Row],[Qtde Cx Produzida]], 0),0)</f>
        <v>4.7222222222222223E-3</v>
      </c>
      <c r="P938" s="57">
        <f>IFERROR(Tabela3[[#This Row],[Perda Pçs]]/Tabela3[[#This Row],[Qdt Peça Placa]],0)</f>
        <v>3.125</v>
      </c>
      <c r="Q938" s="37">
        <f>IFERROR(Tabela3[[#This Row],[Realizado]]*Tabela3[[#This Row],[Peso Util/Pç]],0)</f>
        <v>71.875</v>
      </c>
      <c r="R938" s="37">
        <f>IFERROR(Tabela3[[#This Row],[Peso Total Galho]]*Tabela3[[#This Row],[Qtde Cx Produzida]]*1.055,0)</f>
        <v>174.07499999999999</v>
      </c>
      <c r="S938" s="37">
        <f>(Tabela3[[#This Row],[Aluminio Bruto]]-Tabela3[[#This Row],[Aluminio Util]])*0.9</f>
        <v>91.97999999999999</v>
      </c>
      <c r="T938" s="37">
        <f>Tabela3[[#This Row],[Aluminio Bruto]]/OleoKGAluminio</f>
        <v>73.233127423187398</v>
      </c>
      <c r="U938" s="35">
        <f>IFERROR((VLOOKUP(Tabela3[[#This Row],[Moldador]],Tabela1[],5,)+(VLOOKUP(Tabela3[[#This Row],[Ajudante]],Tabela1[],5,))*3.5),0)</f>
        <v>99.95034583333333</v>
      </c>
      <c r="V938" s="35">
        <f>IFERROR(Tabela3[[#This Row],[Custo M.O. / H]]/((Tabela3[[#This Row],[Realizado]]/Tabela3[[#This Row],[Qdt Peça Placa]])/Tabela3[[#This Row],[Tempo]]/24),)</f>
        <v>11.820214811594203</v>
      </c>
      <c r="W938" s="35">
        <f>Tabela3[[#This Row],[Custo / Cx Moldada]]*Tabela3[[#This Row],[Qtde Cx Produzida]]</f>
        <v>886.5161108695653</v>
      </c>
      <c r="X938" s="35">
        <f ca="1">Tabela3[[#This Row],[Aluminio Util]]*Tabela3[[#This Row],[Custo/Kg]]</f>
        <v>1121.25</v>
      </c>
      <c r="Y938" s="35">
        <f>IFERROR(VLOOKUP(Tabela3[[#This Row],[Data]],Tabela461213[],2,1)*(Tabela3[[#This Row],[Qtde Cx Produzida]]*Tabela3[[#This Row],[Qde macho / CX]]*Tabela3[[#This Row],[Peso Macho]]),)</f>
        <v>0</v>
      </c>
      <c r="Z938" s="35">
        <f>IFERROR(Tabela3[[#This Row],[Qtde Oleo]]*(VLOOKUP(Tabela3[[#This Row],[Data]],CompraOleo[],3,TRUE))*1.05,0)</f>
        <v>192.23695948586692</v>
      </c>
      <c r="AA938" s="47">
        <f ca="1">(Tabela3[[#This Row],[Custo Oleo]]+Tabela3[[#This Row],[Custo Aluminio]]+Tabela3[[#This Row],[Custo M.O. Total]]+Tabela3[[#This Row],[Custo Machos]])</f>
        <v>2200.0030703554321</v>
      </c>
      <c r="AB938" s="47">
        <f ca="1">Tabela3[[#This Row],[Custo Total]]*Tabela3[[#This Row],[% Perda]]</f>
        <v>91.666794598142999</v>
      </c>
      <c r="AC938" s="48">
        <f>IFERROR(VLOOKUP(Tabela3[[#This Row],[Produto]],Tabela2[],2,0),0)</f>
        <v>8</v>
      </c>
      <c r="AD938" s="48">
        <f>IFERROR(VLOOKUP(Tabela3[[#This Row],[Produto]],Tabela2[],3,0),0)</f>
        <v>0.125</v>
      </c>
      <c r="AE938" s="48">
        <f>IFERROR(VLOOKUP(Tabela3[[#This Row],[Produto]],Tabela2[],4,0),0)</f>
        <v>2.2000000000000002</v>
      </c>
      <c r="AF938" s="48">
        <f>IFERROR(VLOOKUP(Tabela3[[#This Row],[Produto]],Tabela2[],5,0),0)</f>
        <v>1.0800000000000003</v>
      </c>
      <c r="AG938" s="40">
        <f>IFERROR(VLOOKUP(Tabela3[[#This Row],[Produto]],Tabela2[],6,0),0)</f>
        <v>0</v>
      </c>
      <c r="AH938" s="40">
        <f>IFERROR(VLOOKUP(Tabela3[[#This Row],[Produto]],Tabela2[],7,0),0)</f>
        <v>0</v>
      </c>
      <c r="AI938" s="40">
        <f>IFERROR(VLOOKUP(Tabela3[[#This Row],[Produto]],Tabela2[],8,0),0)</f>
        <v>0</v>
      </c>
      <c r="AJ938" s="35">
        <f ca="1">IFERROR(VLOOKUP(Tabela3[[#This Row],[Produto]],Tabela2[],13,0),0)</f>
        <v>15.600000000000001</v>
      </c>
      <c r="AK938" s="40" t="str">
        <f>IFERROR(VLOOKUP(Tabela3[[#This Row],[Produto]],Tabela2[],14,0),0)</f>
        <v>Senun</v>
      </c>
      <c r="AL938" s="40">
        <f>IFERROR(VLOOKUP(Tabela3[[#This Row],[Produto]],Tabela2[],15,0),0)</f>
        <v>7</v>
      </c>
      <c r="AM938" s="36">
        <f ca="1">(Tabela3[[#This Row],[Custo Usinagem]]+Tabela3[[#This Row],[Custo / Pç]])*1.2</f>
        <v>12.991310755524381</v>
      </c>
      <c r="AN938" s="36">
        <f ca="1">Tabela3[[#This Row],[Valor Mínimo Venda]]*1.15</f>
        <v>14.940007368853037</v>
      </c>
      <c r="AO938" s="36">
        <f ca="1">Tabela3[[#This Row],[Tabela 1]]*1.08</f>
        <v>16.135207958361281</v>
      </c>
      <c r="AP938" s="36">
        <f ca="1">Tabela3[[#This Row],[Tabela 2]]*1.15</f>
        <v>18.555489152115474</v>
      </c>
    </row>
    <row r="939" spans="1:42">
      <c r="A939" s="9">
        <v>46064</v>
      </c>
      <c r="B939" s="6" t="s">
        <v>258</v>
      </c>
      <c r="C939" s="14">
        <v>9017</v>
      </c>
      <c r="D939" s="6" t="s">
        <v>46</v>
      </c>
      <c r="E939" s="6" t="s">
        <v>47</v>
      </c>
      <c r="F939" s="6">
        <v>7</v>
      </c>
      <c r="G939" s="15">
        <v>3.7499999999999999E-2</v>
      </c>
      <c r="H939" s="16">
        <v>0</v>
      </c>
      <c r="I939" s="35">
        <f ca="1">IFERROR(Tabela3[[#This Row],[Custo Total]]/Tabela3[[#This Row],[Aluminio Util]],0)</f>
        <v>26.729923487940432</v>
      </c>
      <c r="J939" s="35">
        <f ca="1">Tabela3[[#This Row],[Custo Total]]/Tabela3[[#This Row],[Realizado]]</f>
        <v>12.696713656771706</v>
      </c>
      <c r="K939" s="37">
        <f>IFERROR(Tabela3[[#This Row],[Qtde Cx Produzida]]/Tabela3[[#This Row],[Tempo]]/24,0)</f>
        <v>7.7777777777777786</v>
      </c>
      <c r="L939" s="37">
        <f>Tabela3[[#This Row],[Qtde Cx Produzida]]*Tabela3[[#This Row],[Qdt Peça Placa]]</f>
        <v>21</v>
      </c>
      <c r="M939" s="37">
        <f>Tabela3[[#This Row],[Previsto]]-Tabela3[[#This Row],[Perda Pçs]]</f>
        <v>21</v>
      </c>
      <c r="N939" s="38">
        <f>IFERROR(Tabela3[[#This Row],[Perda Pçs]]/Tabela3[[#This Row],[Previsto]],0)</f>
        <v>0</v>
      </c>
      <c r="O939" s="39">
        <f>IFERROR(IF(Tabela3[[#This Row],[Qtde Cx Produzida]] &lt;&gt; 0, Tabela3[[#This Row],[Tempo]] / Tabela3[[#This Row],[Qtde Cx Produzida]], 0),0)</f>
        <v>5.3571428571428572E-3</v>
      </c>
      <c r="P939" s="57">
        <f>IFERROR(Tabela3[[#This Row],[Perda Pçs]]/Tabela3[[#This Row],[Qdt Peça Placa]],0)</f>
        <v>0</v>
      </c>
      <c r="Q939" s="37">
        <f>IFERROR(Tabela3[[#This Row],[Realizado]]*Tabela3[[#This Row],[Peso Util/Pç]],0)</f>
        <v>9.9749999999999996</v>
      </c>
      <c r="R939" s="37">
        <f>IFERROR(Tabela3[[#This Row],[Peso Total Galho]]*Tabela3[[#This Row],[Qtde Cx Produzida]]*1.055,0)</f>
        <v>19.075455000000002</v>
      </c>
      <c r="S939" s="37">
        <f>(Tabela3[[#This Row],[Aluminio Bruto]]-Tabela3[[#This Row],[Aluminio Util]])*0.9</f>
        <v>8.1904095000000012</v>
      </c>
      <c r="T939" s="37">
        <f>Tabela3[[#This Row],[Aluminio Bruto]]/OleoKGAluminio</f>
        <v>8.025019254173646</v>
      </c>
      <c r="U939" s="35">
        <f>IFERROR((VLOOKUP(Tabela3[[#This Row],[Moldador]],Tabela1[],5,)+(VLOOKUP(Tabela3[[#This Row],[Ajudante]],Tabela1[],5,))*3.5),0)</f>
        <v>99.95034583333333</v>
      </c>
      <c r="V939" s="35">
        <f>IFERROR(Tabela3[[#This Row],[Custo M.O. / H]]/((Tabela3[[#This Row],[Realizado]]/Tabela3[[#This Row],[Qdt Peça Placa]])/Tabela3[[#This Row],[Tempo]]/24),)</f>
        <v>12.850758749999999</v>
      </c>
      <c r="W939" s="35">
        <f>Tabela3[[#This Row],[Custo / Cx Moldada]]*Tabela3[[#This Row],[Qtde Cx Produzida]]</f>
        <v>89.955311249999994</v>
      </c>
      <c r="X939" s="35">
        <f ca="1">Tabela3[[#This Row],[Aluminio Util]]*Tabela3[[#This Row],[Custo/Kg]]</f>
        <v>155.61000000000001</v>
      </c>
      <c r="Y939" s="35">
        <f>IFERROR(VLOOKUP(Tabela3[[#This Row],[Data]],Tabela461213[],2,1)*(Tabela3[[#This Row],[Qtde Cx Produzida]]*Tabela3[[#This Row],[Qde macho / CX]]*Tabela3[[#This Row],[Peso Macho]]),)</f>
        <v>0</v>
      </c>
      <c r="Z939" s="35">
        <f>IFERROR(Tabela3[[#This Row],[Qtde Oleo]]*(VLOOKUP(Tabela3[[#This Row],[Data]],CompraOleo[],3,TRUE))*1.05,0)</f>
        <v>21.06567554220582</v>
      </c>
      <c r="AA939" s="47">
        <f ca="1">(Tabela3[[#This Row],[Custo Oleo]]+Tabela3[[#This Row],[Custo Aluminio]]+Tabela3[[#This Row],[Custo M.O. Total]]+Tabela3[[#This Row],[Custo Machos]])</f>
        <v>266.63098679220582</v>
      </c>
      <c r="AB939" s="47">
        <f ca="1">Tabela3[[#This Row],[Custo Total]]*Tabela3[[#This Row],[% Perda]]</f>
        <v>0</v>
      </c>
      <c r="AC939" s="48">
        <f>IFERROR(VLOOKUP(Tabela3[[#This Row],[Produto]],Tabela2[],2,0),0)</f>
        <v>3</v>
      </c>
      <c r="AD939" s="48">
        <f>IFERROR(VLOOKUP(Tabela3[[#This Row],[Produto]],Tabela2[],3,0),0)</f>
        <v>0.47499999999999998</v>
      </c>
      <c r="AE939" s="48">
        <f>IFERROR(VLOOKUP(Tabela3[[#This Row],[Produto]],Tabela2[],4,0),0)</f>
        <v>2.5830000000000002</v>
      </c>
      <c r="AF939" s="48">
        <f>IFERROR(VLOOKUP(Tabela3[[#This Row],[Produto]],Tabela2[],5,0),0)</f>
        <v>1.0422000000000005</v>
      </c>
      <c r="AG939" s="40">
        <f>IFERROR(VLOOKUP(Tabela3[[#This Row],[Produto]],Tabela2[],6,0),0)</f>
        <v>0</v>
      </c>
      <c r="AH939" s="40">
        <f>IFERROR(VLOOKUP(Tabela3[[#This Row],[Produto]],Tabela2[],7,0),0)</f>
        <v>0</v>
      </c>
      <c r="AI939" s="40">
        <f>IFERROR(VLOOKUP(Tabela3[[#This Row],[Produto]],Tabela2[],8,0),0)</f>
        <v>0</v>
      </c>
      <c r="AJ939" s="35">
        <f ca="1">IFERROR(VLOOKUP(Tabela3[[#This Row],[Produto]],Tabela2[],13,0),0)</f>
        <v>15.600000000000001</v>
      </c>
      <c r="AK939" s="40" t="str">
        <f>IFERROR(VLOOKUP(Tabela3[[#This Row],[Produto]],Tabela2[],14,0),0)</f>
        <v>Senun</v>
      </c>
      <c r="AL939" s="40">
        <f>IFERROR(VLOOKUP(Tabela3[[#This Row],[Produto]],Tabela2[],15,0),0)</f>
        <v>6</v>
      </c>
      <c r="AM939" s="36">
        <f ca="1">(Tabela3[[#This Row],[Custo Usinagem]]+Tabela3[[#This Row],[Custo / Pç]])*1.2</f>
        <v>22.436056388126048</v>
      </c>
      <c r="AN939" s="36">
        <f ca="1">Tabela3[[#This Row],[Valor Mínimo Venda]]*1.15</f>
        <v>25.801464846344953</v>
      </c>
      <c r="AO939" s="36">
        <f ca="1">Tabela3[[#This Row],[Tabela 1]]*1.08</f>
        <v>27.865582034052551</v>
      </c>
      <c r="AP939" s="36">
        <f ca="1">Tabela3[[#This Row],[Tabela 2]]*1.15</f>
        <v>32.045419339160432</v>
      </c>
    </row>
    <row r="940" spans="1:42">
      <c r="A940" s="9">
        <v>46064</v>
      </c>
      <c r="B940" s="6" t="s">
        <v>277</v>
      </c>
      <c r="C940" s="14">
        <v>9018</v>
      </c>
      <c r="D940" s="6" t="s">
        <v>46</v>
      </c>
      <c r="E940" s="6" t="s">
        <v>47</v>
      </c>
      <c r="F940" s="6">
        <v>7</v>
      </c>
      <c r="G940" s="15">
        <v>2.9861111111111113E-2</v>
      </c>
      <c r="H940" s="16">
        <v>0</v>
      </c>
      <c r="I940" s="35">
        <f ca="1">IFERROR(Tabela3[[#This Row],[Custo Total]]/Tabela3[[#This Row],[Aluminio Util]],0)</f>
        <v>29.845999345285978</v>
      </c>
      <c r="J940" s="35">
        <f ca="1">Tabela3[[#This Row],[Custo Total]]/Tabela3[[#This Row],[Realizado]]</f>
        <v>4.178439908340037</v>
      </c>
      <c r="K940" s="37">
        <f>IFERROR(Tabela3[[#This Row],[Qtde Cx Produzida]]/Tabela3[[#This Row],[Tempo]]/24,0)</f>
        <v>9.7674418604651159</v>
      </c>
      <c r="L940" s="37">
        <f>Tabela3[[#This Row],[Qtde Cx Produzida]]*Tabela3[[#This Row],[Qdt Peça Placa]]</f>
        <v>42</v>
      </c>
      <c r="M940" s="37">
        <f>Tabela3[[#This Row],[Previsto]]-Tabela3[[#This Row],[Perda Pçs]]</f>
        <v>42</v>
      </c>
      <c r="N940" s="38">
        <f>IFERROR(Tabela3[[#This Row],[Perda Pçs]]/Tabela3[[#This Row],[Previsto]],0)</f>
        <v>0</v>
      </c>
      <c r="O940" s="39">
        <f>IFERROR(IF(Tabela3[[#This Row],[Qtde Cx Produzida]] &lt;&gt; 0, Tabela3[[#This Row],[Tempo]] / Tabela3[[#This Row],[Qtde Cx Produzida]], 0),0)</f>
        <v>4.2658730158730163E-3</v>
      </c>
      <c r="P940" s="57">
        <f>IFERROR(Tabela3[[#This Row],[Perda Pçs]]/Tabela3[[#This Row],[Qdt Peça Placa]],0)</f>
        <v>0</v>
      </c>
      <c r="Q940" s="37">
        <f>IFERROR(Tabela3[[#This Row],[Realizado]]*Tabela3[[#This Row],[Peso Util/Pç]],0)</f>
        <v>5.8800000000000008</v>
      </c>
      <c r="R940" s="37">
        <f>IFERROR(Tabela3[[#This Row],[Peso Total Galho]]*Tabela3[[#This Row],[Qtde Cx Produzida]]*1.055,0)</f>
        <v>10.98888</v>
      </c>
      <c r="S940" s="37">
        <f>(Tabela3[[#This Row],[Aluminio Bruto]]-Tabela3[[#This Row],[Aluminio Util]])*0.9</f>
        <v>4.5979919999999996</v>
      </c>
      <c r="T940" s="37">
        <f>Tabela3[[#This Row],[Aluminio Bruto]]/OleoKGAluminio</f>
        <v>4.6230076075146664</v>
      </c>
      <c r="U940" s="35">
        <f>IFERROR((VLOOKUP(Tabela3[[#This Row],[Moldador]],Tabela1[],5,)+(VLOOKUP(Tabela3[[#This Row],[Ajudante]],Tabela1[],5,))*3.5),0)</f>
        <v>99.95034583333333</v>
      </c>
      <c r="V940" s="35">
        <f>IFERROR(Tabela3[[#This Row],[Custo M.O. / H]]/((Tabela3[[#This Row],[Realizado]]/Tabela3[[#This Row],[Qdt Peça Placa]])/Tabela3[[#This Row],[Tempo]]/24),)</f>
        <v>10.233011597222223</v>
      </c>
      <c r="W940" s="35">
        <f>Tabela3[[#This Row],[Custo / Cx Moldada]]*Tabela3[[#This Row],[Qtde Cx Produzida]]</f>
        <v>71.631081180555555</v>
      </c>
      <c r="X940" s="35">
        <f ca="1">Tabela3[[#This Row],[Aluminio Util]]*Tabela3[[#This Row],[Custo/Kg]]</f>
        <v>91.728000000000023</v>
      </c>
      <c r="Y940" s="35">
        <f>IFERROR(VLOOKUP(Tabela3[[#This Row],[Data]],Tabela461213[],2,1)*(Tabela3[[#This Row],[Qtde Cx Produzida]]*Tabela3[[#This Row],[Qde macho / CX]]*Tabela3[[#This Row],[Peso Macho]]),)</f>
        <v>0</v>
      </c>
      <c r="Z940" s="35">
        <f>IFERROR(Tabela3[[#This Row],[Qtde Oleo]]*(VLOOKUP(Tabela3[[#This Row],[Data]],CompraOleo[],3,TRUE))*1.05,0)</f>
        <v>12.135394969725999</v>
      </c>
      <c r="AA940" s="47">
        <f ca="1">(Tabela3[[#This Row],[Custo Oleo]]+Tabela3[[#This Row],[Custo Aluminio]]+Tabela3[[#This Row],[Custo M.O. Total]]+Tabela3[[#This Row],[Custo Machos]])</f>
        <v>175.49447615028157</v>
      </c>
      <c r="AB940" s="47">
        <f ca="1">Tabela3[[#This Row],[Custo Total]]*Tabela3[[#This Row],[% Perda]]</f>
        <v>0</v>
      </c>
      <c r="AC940" s="48">
        <f>IFERROR(VLOOKUP(Tabela3[[#This Row],[Produto]],Tabela2[],2,0),0)</f>
        <v>6</v>
      </c>
      <c r="AD940" s="48">
        <f>IFERROR(VLOOKUP(Tabela3[[#This Row],[Produto]],Tabela2[],3,0),0)</f>
        <v>0.14000000000000001</v>
      </c>
      <c r="AE940" s="48">
        <f>IFERROR(VLOOKUP(Tabela3[[#This Row],[Produto]],Tabela2[],4,0),0)</f>
        <v>1.488</v>
      </c>
      <c r="AF940" s="48">
        <f>IFERROR(VLOOKUP(Tabela3[[#This Row],[Produto]],Tabela2[],5,0),0)</f>
        <v>0.58319999999999994</v>
      </c>
      <c r="AG940" s="40">
        <f>IFERROR(VLOOKUP(Tabela3[[#This Row],[Produto]],Tabela2[],6,0),0)</f>
        <v>0</v>
      </c>
      <c r="AH940" s="40">
        <f>IFERROR(VLOOKUP(Tabela3[[#This Row],[Produto]],Tabela2[],7,0),0)</f>
        <v>0</v>
      </c>
      <c r="AI940" s="40">
        <f>IFERROR(VLOOKUP(Tabela3[[#This Row],[Produto]],Tabela2[],8,0),0)</f>
        <v>0</v>
      </c>
      <c r="AJ940" s="35">
        <f ca="1">IFERROR(VLOOKUP(Tabela3[[#This Row],[Produto]],Tabela2[],13,0),0)</f>
        <v>15.600000000000001</v>
      </c>
      <c r="AK940" s="40" t="str">
        <f>IFERROR(VLOOKUP(Tabela3[[#This Row],[Produto]],Tabela2[],14,0),0)</f>
        <v>Senun</v>
      </c>
      <c r="AL940" s="40">
        <f>IFERROR(VLOOKUP(Tabela3[[#This Row],[Produto]],Tabela2[],15,0),0)</f>
        <v>0</v>
      </c>
      <c r="AM940" s="36">
        <f ca="1">(Tabela3[[#This Row],[Custo Usinagem]]+Tabela3[[#This Row],[Custo / Pç]])*1.2</f>
        <v>5.0141278900080444</v>
      </c>
      <c r="AN940" s="36">
        <f ca="1">Tabela3[[#This Row],[Valor Mínimo Venda]]*1.15</f>
        <v>5.7662470735092501</v>
      </c>
      <c r="AO940" s="36">
        <f ca="1">Tabela3[[#This Row],[Tabela 1]]*1.08</f>
        <v>6.2275468393899907</v>
      </c>
      <c r="AP940" s="36">
        <f ca="1">Tabela3[[#This Row],[Tabela 2]]*1.15</f>
        <v>7.1616788652984891</v>
      </c>
    </row>
    <row r="941" spans="1:42">
      <c r="A941" s="9">
        <v>46064</v>
      </c>
      <c r="B941" s="6" t="s">
        <v>147</v>
      </c>
      <c r="C941" s="14">
        <v>9036</v>
      </c>
      <c r="D941" s="6" t="s">
        <v>44</v>
      </c>
      <c r="E941" s="6" t="s">
        <v>58</v>
      </c>
      <c r="F941" s="6">
        <v>30</v>
      </c>
      <c r="G941" s="15">
        <v>0.12847222222222221</v>
      </c>
      <c r="H941" s="16">
        <v>0</v>
      </c>
      <c r="I941" s="35">
        <f ca="1">IFERROR(Tabela3[[#This Row],[Custo Total]]/Tabela3[[#This Row],[Aluminio Util]],0)</f>
        <v>22.600554382124528</v>
      </c>
      <c r="J941" s="35">
        <f ca="1">Tabela3[[#This Row],[Custo Total]]/Tabela3[[#This Row],[Realizado]]</f>
        <v>44.74909767660656</v>
      </c>
      <c r="K941" s="37">
        <f>IFERROR(Tabela3[[#This Row],[Qtde Cx Produzida]]/Tabela3[[#This Row],[Tempo]]/24,0)</f>
        <v>9.7297297297297316</v>
      </c>
      <c r="L941" s="37">
        <f>Tabela3[[#This Row],[Qtde Cx Produzida]]*Tabela3[[#This Row],[Qdt Peça Placa]]</f>
        <v>30</v>
      </c>
      <c r="M941" s="37">
        <f>Tabela3[[#This Row],[Previsto]]-Tabela3[[#This Row],[Perda Pçs]]</f>
        <v>30</v>
      </c>
      <c r="N941" s="38">
        <f>IFERROR(Tabela3[[#This Row],[Perda Pçs]]/Tabela3[[#This Row],[Previsto]],0)</f>
        <v>0</v>
      </c>
      <c r="O941" s="39">
        <f>IFERROR(IF(Tabela3[[#This Row],[Qtde Cx Produzida]] &lt;&gt; 0, Tabela3[[#This Row],[Tempo]] / Tabela3[[#This Row],[Qtde Cx Produzida]], 0),0)</f>
        <v>4.2824074074074066E-3</v>
      </c>
      <c r="P941" s="57">
        <f>IFERROR(Tabela3[[#This Row],[Perda Pçs]]/Tabela3[[#This Row],[Qdt Peça Placa]],0)</f>
        <v>0</v>
      </c>
      <c r="Q941" s="37">
        <f>IFERROR(Tabela3[[#This Row],[Realizado]]*Tabela3[[#This Row],[Peso Util/Pç]],0)</f>
        <v>59.4</v>
      </c>
      <c r="R941" s="37">
        <f>IFERROR(Tabela3[[#This Row],[Peso Total Galho]]*Tabela3[[#This Row],[Qtde Cx Produzida]]*1.055,0)</f>
        <v>97.481999999999999</v>
      </c>
      <c r="S941" s="37">
        <f>(Tabela3[[#This Row],[Aluminio Bruto]]-Tabela3[[#This Row],[Aluminio Util]])*0.9</f>
        <v>34.273800000000001</v>
      </c>
      <c r="T941" s="37">
        <f>Tabela3[[#This Row],[Aluminio Bruto]]/OleoKGAluminio</f>
        <v>41.010551356984948</v>
      </c>
      <c r="U941" s="35">
        <f>IFERROR((VLOOKUP(Tabela3[[#This Row],[Moldador]],Tabela1[],5,)+(VLOOKUP(Tabela3[[#This Row],[Ajudante]],Tabela1[],5,))*3.5),0)</f>
        <v>99.95034583333333</v>
      </c>
      <c r="V941" s="35">
        <f>IFERROR(Tabela3[[#This Row],[Custo M.O. / H]]/((Tabela3[[#This Row],[Realizado]]/Tabela3[[#This Row],[Qdt Peça Placa]])/Tabela3[[#This Row],[Tempo]]/24),)</f>
        <v>10.272674432870367</v>
      </c>
      <c r="W941" s="35">
        <f>Tabela3[[#This Row],[Custo / Cx Moldada]]*Tabela3[[#This Row],[Qtde Cx Produzida]]</f>
        <v>308.18023298611104</v>
      </c>
      <c r="X941" s="35">
        <f ca="1">Tabela3[[#This Row],[Aluminio Util]]*Tabela3[[#This Row],[Custo/Kg]]</f>
        <v>926.6400000000001</v>
      </c>
      <c r="Y941" s="35">
        <f>IFERROR(VLOOKUP(Tabela3[[#This Row],[Data]],Tabela461213[],2,1)*(Tabela3[[#This Row],[Qtde Cx Produzida]]*Tabela3[[#This Row],[Qde macho / CX]]*Tabela3[[#This Row],[Peso Macho]]),)</f>
        <v>0</v>
      </c>
      <c r="Z941" s="35">
        <f>IFERROR(Tabela3[[#This Row],[Qtde Oleo]]*(VLOOKUP(Tabela3[[#This Row],[Data]],CompraOleo[],3,TRUE))*1.05,0)</f>
        <v>107.65269731208548</v>
      </c>
      <c r="AA941" s="47">
        <f ca="1">(Tabela3[[#This Row],[Custo Oleo]]+Tabela3[[#This Row],[Custo Aluminio]]+Tabela3[[#This Row],[Custo M.O. Total]]+Tabela3[[#This Row],[Custo Machos]])</f>
        <v>1342.4729302981968</v>
      </c>
      <c r="AB941" s="47">
        <f ca="1">Tabela3[[#This Row],[Custo Total]]*Tabela3[[#This Row],[% Perda]]</f>
        <v>0</v>
      </c>
      <c r="AC941" s="48">
        <f>IFERROR(VLOOKUP(Tabela3[[#This Row],[Produto]],Tabela2[],2,0),0)</f>
        <v>1</v>
      </c>
      <c r="AD941" s="48">
        <f>IFERROR(VLOOKUP(Tabela3[[#This Row],[Produto]],Tabela2[],3,0),0)</f>
        <v>1.98</v>
      </c>
      <c r="AE941" s="48">
        <f>IFERROR(VLOOKUP(Tabela3[[#This Row],[Produto]],Tabela2[],4,0),0)</f>
        <v>3.08</v>
      </c>
      <c r="AF941" s="48">
        <f>IFERROR(VLOOKUP(Tabela3[[#This Row],[Produto]],Tabela2[],5,0),0)</f>
        <v>0.9900000000000001</v>
      </c>
      <c r="AG941" s="40">
        <f>IFERROR(VLOOKUP(Tabela3[[#This Row],[Produto]],Tabela2[],6,0),0)</f>
        <v>0</v>
      </c>
      <c r="AH941" s="40">
        <f>IFERROR(VLOOKUP(Tabela3[[#This Row],[Produto]],Tabela2[],7,0),0)</f>
        <v>0</v>
      </c>
      <c r="AI941" s="40">
        <f>IFERROR(VLOOKUP(Tabela3[[#This Row],[Produto]],Tabela2[],8,0),0)</f>
        <v>0</v>
      </c>
      <c r="AJ941" s="35">
        <f ca="1">IFERROR(VLOOKUP(Tabela3[[#This Row],[Produto]],Tabela2[],13,0),0)</f>
        <v>15.600000000000001</v>
      </c>
      <c r="AK941" s="40" t="str">
        <f>IFERROR(VLOOKUP(Tabela3[[#This Row],[Produto]],Tabela2[],14,0),0)</f>
        <v>Senun</v>
      </c>
      <c r="AL941" s="40">
        <f>IFERROR(VLOOKUP(Tabela3[[#This Row],[Produto]],Tabela2[],15,0),0)</f>
        <v>5</v>
      </c>
      <c r="AM941" s="36">
        <f ca="1">(Tabela3[[#This Row],[Custo Usinagem]]+Tabela3[[#This Row],[Custo / Pç]])*1.2</f>
        <v>59.698917211927871</v>
      </c>
      <c r="AN941" s="36">
        <f ca="1">Tabela3[[#This Row],[Valor Mínimo Venda]]*1.15</f>
        <v>68.653754793717042</v>
      </c>
      <c r="AO941" s="36">
        <f ca="1">Tabela3[[#This Row],[Tabela 1]]*1.08</f>
        <v>74.146055177214407</v>
      </c>
      <c r="AP941" s="36">
        <f ca="1">Tabela3[[#This Row],[Tabela 2]]*1.15</f>
        <v>85.267963453796568</v>
      </c>
    </row>
    <row r="942" spans="1:42">
      <c r="A942" s="9">
        <v>46064</v>
      </c>
      <c r="B942" s="6" t="s">
        <v>125</v>
      </c>
      <c r="C942" s="14">
        <v>9016</v>
      </c>
      <c r="D942" s="6" t="s">
        <v>44</v>
      </c>
      <c r="E942" s="6" t="s">
        <v>58</v>
      </c>
      <c r="F942" s="6">
        <v>27</v>
      </c>
      <c r="G942" s="15">
        <v>0.12916666666666668</v>
      </c>
      <c r="H942" s="16">
        <v>0</v>
      </c>
      <c r="I942" s="35">
        <f ca="1">IFERROR(Tabela3[[#This Row],[Custo Total]]/Tabela3[[#This Row],[Aluminio Util]],0)</f>
        <v>25.405757337310479</v>
      </c>
      <c r="J942" s="35">
        <f ca="1">Tabela3[[#This Row],[Custo Total]]/Tabela3[[#This Row],[Realizado]]</f>
        <v>35.618871786909295</v>
      </c>
      <c r="K942" s="37">
        <f>IFERROR(Tabela3[[#This Row],[Qtde Cx Produzida]]/Tabela3[[#This Row],[Tempo]]/24,0)</f>
        <v>8.7096774193548381</v>
      </c>
      <c r="L942" s="37">
        <f>Tabela3[[#This Row],[Qtde Cx Produzida]]*Tabela3[[#This Row],[Qdt Peça Placa]]</f>
        <v>27</v>
      </c>
      <c r="M942" s="37">
        <f>Tabela3[[#This Row],[Previsto]]-Tabela3[[#This Row],[Perda Pçs]]</f>
        <v>27</v>
      </c>
      <c r="N942" s="38">
        <f>IFERROR(Tabela3[[#This Row],[Perda Pçs]]/Tabela3[[#This Row],[Previsto]],0)</f>
        <v>0</v>
      </c>
      <c r="O942" s="39">
        <f>IFERROR(IF(Tabela3[[#This Row],[Qtde Cx Produzida]] &lt;&gt; 0, Tabela3[[#This Row],[Tempo]] / Tabela3[[#This Row],[Qtde Cx Produzida]], 0),0)</f>
        <v>4.7839506172839509E-3</v>
      </c>
      <c r="P942" s="57">
        <f>IFERROR(Tabela3[[#This Row],[Perda Pçs]]/Tabela3[[#This Row],[Qdt Peça Placa]],0)</f>
        <v>0</v>
      </c>
      <c r="Q942" s="37">
        <f>IFERROR(Tabela3[[#This Row],[Realizado]]*Tabela3[[#This Row],[Peso Util/Pç]],0)</f>
        <v>37.853999999999999</v>
      </c>
      <c r="R942" s="37">
        <f>IFERROR(Tabela3[[#This Row],[Peso Total Galho]]*Tabela3[[#This Row],[Qtde Cx Produzida]]*1.055,0)</f>
        <v>55.545749999999998</v>
      </c>
      <c r="S942" s="37">
        <f>(Tabela3[[#This Row],[Aluminio Bruto]]-Tabela3[[#This Row],[Aluminio Util]])*0.9</f>
        <v>15.922575</v>
      </c>
      <c r="T942" s="37">
        <f>Tabela3[[#This Row],[Aluminio Bruto]]/OleoKGAluminio</f>
        <v>23.368025205035252</v>
      </c>
      <c r="U942" s="35">
        <f>IFERROR((VLOOKUP(Tabela3[[#This Row],[Moldador]],Tabela1[],5,)+(VLOOKUP(Tabela3[[#This Row],[Ajudante]],Tabela1[],5,))*3.5),0)</f>
        <v>99.95034583333333</v>
      </c>
      <c r="V942" s="35">
        <f>IFERROR(Tabela3[[#This Row],[Custo M.O. / H]]/((Tabela3[[#This Row],[Realizado]]/Tabela3[[#This Row],[Qdt Peça Placa]])/Tabela3[[#This Row],[Tempo]]/24),)</f>
        <v>11.475780447530864</v>
      </c>
      <c r="W942" s="35">
        <f>Tabela3[[#This Row],[Custo / Cx Moldada]]*Tabela3[[#This Row],[Qtde Cx Produzida]]</f>
        <v>309.84607208333335</v>
      </c>
      <c r="X942" s="35">
        <f ca="1">Tabela3[[#This Row],[Aluminio Util]]*Tabela3[[#This Row],[Custo/Kg]]</f>
        <v>590.52240000000006</v>
      </c>
      <c r="Y942" s="35">
        <f>IFERROR(VLOOKUP(Tabela3[[#This Row],[Data]],Tabela461213[],2,1)*(Tabela3[[#This Row],[Qtde Cx Produzida]]*Tabela3[[#This Row],[Qde macho / CX]]*Tabela3[[#This Row],[Peso Macho]]),)</f>
        <v>0</v>
      </c>
      <c r="Z942" s="35">
        <f>IFERROR(Tabela3[[#This Row],[Qtde Oleo]]*(VLOOKUP(Tabela3[[#This Row],[Data]],CompraOleo[],3,TRUE))*1.05,0)</f>
        <v>61.34106616321754</v>
      </c>
      <c r="AA942" s="47">
        <f ca="1">(Tabela3[[#This Row],[Custo Oleo]]+Tabela3[[#This Row],[Custo Aluminio]]+Tabela3[[#This Row],[Custo M.O. Total]]+Tabela3[[#This Row],[Custo Machos]])</f>
        <v>961.70953824655089</v>
      </c>
      <c r="AB942" s="47">
        <f ca="1">Tabela3[[#This Row],[Custo Total]]*Tabela3[[#This Row],[% Perda]]</f>
        <v>0</v>
      </c>
      <c r="AC942" s="48">
        <f>IFERROR(VLOOKUP(Tabela3[[#This Row],[Produto]],Tabela2[],2,0),0)</f>
        <v>1</v>
      </c>
      <c r="AD942" s="48">
        <f>IFERROR(VLOOKUP(Tabela3[[#This Row],[Produto]],Tabela2[],3,0),0)</f>
        <v>1.4019999999999999</v>
      </c>
      <c r="AE942" s="48">
        <f>IFERROR(VLOOKUP(Tabela3[[#This Row],[Produto]],Tabela2[],4,0),0)</f>
        <v>1.95</v>
      </c>
      <c r="AF942" s="48">
        <f>IFERROR(VLOOKUP(Tabela3[[#This Row],[Produto]],Tabela2[],5,0),0)</f>
        <v>0.49320000000000003</v>
      </c>
      <c r="AG942" s="40">
        <f>IFERROR(VLOOKUP(Tabela3[[#This Row],[Produto]],Tabela2[],6,0),0)</f>
        <v>0</v>
      </c>
      <c r="AH942" s="40">
        <f>IFERROR(VLOOKUP(Tabela3[[#This Row],[Produto]],Tabela2[],7,0),0)</f>
        <v>0</v>
      </c>
      <c r="AI942" s="40">
        <f>IFERROR(VLOOKUP(Tabela3[[#This Row],[Produto]],Tabela2[],8,0),0)</f>
        <v>0</v>
      </c>
      <c r="AJ942" s="35">
        <f ca="1">IFERROR(VLOOKUP(Tabela3[[#This Row],[Produto]],Tabela2[],13,0),0)</f>
        <v>15.600000000000001</v>
      </c>
      <c r="AK942" s="40" t="str">
        <f>IFERROR(VLOOKUP(Tabela3[[#This Row],[Produto]],Tabela2[],14,0),0)</f>
        <v>Senun</v>
      </c>
      <c r="AL942" s="40">
        <f>IFERROR(VLOOKUP(Tabela3[[#This Row],[Produto]],Tabela2[],15,0),0)</f>
        <v>6</v>
      </c>
      <c r="AM942" s="36">
        <f ca="1">(Tabela3[[#This Row],[Custo Usinagem]]+Tabela3[[#This Row],[Custo / Pç]])*1.2</f>
        <v>49.942646144291153</v>
      </c>
      <c r="AN942" s="36">
        <f ca="1">Tabela3[[#This Row],[Valor Mínimo Venda]]*1.15</f>
        <v>57.434043065934823</v>
      </c>
      <c r="AO942" s="36">
        <f ca="1">Tabela3[[#This Row],[Tabela 1]]*1.08</f>
        <v>62.028766511209611</v>
      </c>
      <c r="AP942" s="36">
        <f ca="1">Tabela3[[#This Row],[Tabela 2]]*1.15</f>
        <v>71.33308148789105</v>
      </c>
    </row>
    <row r="943" spans="1:42">
      <c r="A943" s="9">
        <v>46064</v>
      </c>
      <c r="B943" s="6" t="s">
        <v>109</v>
      </c>
      <c r="C943" s="14">
        <v>9070</v>
      </c>
      <c r="D943" s="6" t="s">
        <v>44</v>
      </c>
      <c r="E943" s="6" t="s">
        <v>58</v>
      </c>
      <c r="F943" s="6">
        <v>10</v>
      </c>
      <c r="G943" s="15">
        <v>5.9722222222222225E-2</v>
      </c>
      <c r="H943" s="16">
        <v>0</v>
      </c>
      <c r="I943" s="35">
        <f ca="1">IFERROR(Tabela3[[#This Row],[Custo Total]]/Tabela3[[#This Row],[Aluminio Util]],0)</f>
        <v>20.815043344355249</v>
      </c>
      <c r="J943" s="35">
        <f ca="1">Tabela3[[#This Row],[Custo Total]]/Tabela3[[#This Row],[Realizado]]</f>
        <v>52.037608360888122</v>
      </c>
      <c r="K943" s="37">
        <f>IFERROR(Tabela3[[#This Row],[Qtde Cx Produzida]]/Tabela3[[#This Row],[Tempo]]/24,0)</f>
        <v>6.9767441860465107</v>
      </c>
      <c r="L943" s="37">
        <f>Tabela3[[#This Row],[Qtde Cx Produzida]]*Tabela3[[#This Row],[Qdt Peça Placa]]</f>
        <v>30</v>
      </c>
      <c r="M943" s="37">
        <f>Tabela3[[#This Row],[Previsto]]-Tabela3[[#This Row],[Perda Pçs]]</f>
        <v>30</v>
      </c>
      <c r="N943" s="38">
        <f>IFERROR(Tabela3[[#This Row],[Perda Pçs]]/Tabela3[[#This Row],[Previsto]],0)</f>
        <v>0</v>
      </c>
      <c r="O943" s="39">
        <f>IFERROR(IF(Tabela3[[#This Row],[Qtde Cx Produzida]] &lt;&gt; 0, Tabela3[[#This Row],[Tempo]] / Tabela3[[#This Row],[Qtde Cx Produzida]], 0),0)</f>
        <v>5.9722222222222225E-3</v>
      </c>
      <c r="P943" s="57">
        <f>IFERROR(Tabela3[[#This Row],[Perda Pçs]]/Tabela3[[#This Row],[Qdt Peça Placa]],0)</f>
        <v>0</v>
      </c>
      <c r="Q943" s="37">
        <f>IFERROR(Tabela3[[#This Row],[Realizado]]*Tabela3[[#This Row],[Peso Util/Pç]],0)</f>
        <v>75</v>
      </c>
      <c r="R943" s="37">
        <f>IFERROR(Tabela3[[#This Row],[Peso Total Galho]]*Tabela3[[#This Row],[Qtde Cx Produzida]]*1.055,0)</f>
        <v>88.61999999999999</v>
      </c>
      <c r="S943" s="37">
        <f>(Tabela3[[#This Row],[Aluminio Bruto]]-Tabela3[[#This Row],[Aluminio Util]])*0.9</f>
        <v>12.257999999999992</v>
      </c>
      <c r="T943" s="37">
        <f>Tabela3[[#This Row],[Aluminio Bruto]]/OleoKGAluminio</f>
        <v>37.28231941544086</v>
      </c>
      <c r="U943" s="35">
        <f>IFERROR((VLOOKUP(Tabela3[[#This Row],[Moldador]],Tabela1[],5,)+(VLOOKUP(Tabela3[[#This Row],[Ajudante]],Tabela1[],5,))*3.5),0)</f>
        <v>99.95034583333333</v>
      </c>
      <c r="V943" s="35">
        <f>IFERROR(Tabela3[[#This Row],[Custo M.O. / H]]/((Tabela3[[#This Row],[Realizado]]/Tabela3[[#This Row],[Qdt Peça Placa]])/Tabela3[[#This Row],[Tempo]]/24),)</f>
        <v>14.326216236111113</v>
      </c>
      <c r="W943" s="35">
        <f>Tabela3[[#This Row],[Custo / Cx Moldada]]*Tabela3[[#This Row],[Qtde Cx Produzida]]</f>
        <v>143.26216236111114</v>
      </c>
      <c r="X943" s="35">
        <f ca="1">Tabela3[[#This Row],[Aluminio Util]]*Tabela3[[#This Row],[Custo/Kg]]</f>
        <v>1320</v>
      </c>
      <c r="Y943" s="35">
        <f>IFERROR(VLOOKUP(Tabela3[[#This Row],[Data]],Tabela461213[],2,1)*(Tabela3[[#This Row],[Qtde Cx Produzida]]*Tabela3[[#This Row],[Qde macho / CX]]*Tabela3[[#This Row],[Peso Macho]]),)</f>
        <v>0</v>
      </c>
      <c r="Z943" s="35">
        <f>IFERROR(Tabela3[[#This Row],[Qtde Oleo]]*(VLOOKUP(Tabela3[[#This Row],[Data]],CompraOleo[],3,TRUE))*1.05,0)</f>
        <v>97.866088465532258</v>
      </c>
      <c r="AA943" s="47">
        <f ca="1">(Tabela3[[#This Row],[Custo Oleo]]+Tabela3[[#This Row],[Custo Aluminio]]+Tabela3[[#This Row],[Custo M.O. Total]]+Tabela3[[#This Row],[Custo Machos]])</f>
        <v>1561.1282508266436</v>
      </c>
      <c r="AB943" s="47">
        <f ca="1">Tabela3[[#This Row],[Custo Total]]*Tabela3[[#This Row],[% Perda]]</f>
        <v>0</v>
      </c>
      <c r="AC943" s="48">
        <f>IFERROR(VLOOKUP(Tabela3[[#This Row],[Produto]],Tabela2[],2,0),0)</f>
        <v>3</v>
      </c>
      <c r="AD943" s="48">
        <f>IFERROR(VLOOKUP(Tabela3[[#This Row],[Produto]],Tabela2[],3,0),0)</f>
        <v>2.5</v>
      </c>
      <c r="AE943" s="48">
        <f>IFERROR(VLOOKUP(Tabela3[[#This Row],[Produto]],Tabela2[],4,0),0)</f>
        <v>8.4</v>
      </c>
      <c r="AF943" s="48">
        <f>IFERROR(VLOOKUP(Tabela3[[#This Row],[Produto]],Tabela2[],5,0),0)</f>
        <v>0.81000000000000039</v>
      </c>
      <c r="AG943" s="40">
        <f>IFERROR(VLOOKUP(Tabela3[[#This Row],[Produto]],Tabela2[],6,0),0)</f>
        <v>0</v>
      </c>
      <c r="AH943" s="40">
        <f>IFERROR(VLOOKUP(Tabela3[[#This Row],[Produto]],Tabela2[],7,0),0)</f>
        <v>0</v>
      </c>
      <c r="AI943" s="40">
        <f>IFERROR(VLOOKUP(Tabela3[[#This Row],[Produto]],Tabela2[],8,0),0)</f>
        <v>0</v>
      </c>
      <c r="AJ943" s="35">
        <f ca="1">IFERROR(VLOOKUP(Tabela3[[#This Row],[Produto]],Tabela2[],13,0),0)</f>
        <v>17.600000000000001</v>
      </c>
      <c r="AK943" s="40" t="str">
        <f>IFERROR(VLOOKUP(Tabela3[[#This Row],[Produto]],Tabela2[],14,0),0)</f>
        <v>MGA</v>
      </c>
      <c r="AL943" s="40">
        <f>IFERROR(VLOOKUP(Tabela3[[#This Row],[Produto]],Tabela2[],15,0),0)</f>
        <v>0</v>
      </c>
      <c r="AM943" s="36">
        <f ca="1">(Tabela3[[#This Row],[Custo Usinagem]]+Tabela3[[#This Row],[Custo / Pç]])*1.2</f>
        <v>62.445130033065745</v>
      </c>
      <c r="AN943" s="36">
        <f ca="1">Tabela3[[#This Row],[Valor Mínimo Venda]]*1.15</f>
        <v>71.8118995380256</v>
      </c>
      <c r="AO943" s="36">
        <f ca="1">Tabela3[[#This Row],[Tabela 1]]*1.08</f>
        <v>77.556851501067655</v>
      </c>
      <c r="AP943" s="36">
        <f ca="1">Tabela3[[#This Row],[Tabela 2]]*1.15</f>
        <v>89.19037922622779</v>
      </c>
    </row>
    <row r="944" spans="1:42">
      <c r="A944" s="9">
        <v>46065</v>
      </c>
      <c r="B944" s="6" t="s">
        <v>225</v>
      </c>
      <c r="C944" s="14">
        <v>9019</v>
      </c>
      <c r="D944" s="6" t="s">
        <v>46</v>
      </c>
      <c r="E944" s="6" t="s">
        <v>44</v>
      </c>
      <c r="F944" s="6">
        <v>5</v>
      </c>
      <c r="G944" s="15">
        <v>1.9444444444444445E-2</v>
      </c>
      <c r="H944" s="16">
        <v>0</v>
      </c>
      <c r="I944" s="35">
        <f ca="1">IFERROR(Tabela3[[#This Row],[Custo Total]]/Tabela3[[#This Row],[Aluminio Util]],0)</f>
        <v>30.453867391587558</v>
      </c>
      <c r="J944" s="35">
        <f ca="1">Tabela3[[#This Row],[Custo Total]]/Tabela3[[#This Row],[Realizado]]</f>
        <v>7.0043895000651393</v>
      </c>
      <c r="K944" s="37">
        <f>IFERROR(Tabela3[[#This Row],[Qtde Cx Produzida]]/Tabela3[[#This Row],[Tempo]]/24,0)</f>
        <v>10.714285714285714</v>
      </c>
      <c r="L944" s="37">
        <f>Tabela3[[#This Row],[Qtde Cx Produzida]]*Tabela3[[#This Row],[Qdt Peça Placa]]</f>
        <v>20</v>
      </c>
      <c r="M944" s="37">
        <f>Tabela3[[#This Row],[Previsto]]-Tabela3[[#This Row],[Perda Pçs]]</f>
        <v>20</v>
      </c>
      <c r="N944" s="38">
        <f>IFERROR(Tabela3[[#This Row],[Perda Pçs]]/Tabela3[[#This Row],[Previsto]],0)</f>
        <v>0</v>
      </c>
      <c r="O944" s="39">
        <f>IFERROR(IF(Tabela3[[#This Row],[Qtde Cx Produzida]] &lt;&gt; 0, Tabela3[[#This Row],[Tempo]] / Tabela3[[#This Row],[Qtde Cx Produzida]], 0),0)</f>
        <v>3.8888888888888888E-3</v>
      </c>
      <c r="P944" s="57">
        <f>IFERROR(Tabela3[[#This Row],[Perda Pçs]]/Tabela3[[#This Row],[Qdt Peça Placa]],0)</f>
        <v>0</v>
      </c>
      <c r="Q944" s="37">
        <f>IFERROR(Tabela3[[#This Row],[Realizado]]*Tabela3[[#This Row],[Peso Util/Pç]],0)</f>
        <v>4.6000000000000005</v>
      </c>
      <c r="R944" s="37">
        <f>IFERROR(Tabela3[[#This Row],[Peso Total Galho]]*Tabela3[[#This Row],[Qtde Cx Produzida]]*1.055,0)</f>
        <v>8.5876999999999981</v>
      </c>
      <c r="S944" s="37">
        <f>(Tabela3[[#This Row],[Aluminio Bruto]]-Tabela3[[#This Row],[Aluminio Util]])*0.9</f>
        <v>3.5889299999999977</v>
      </c>
      <c r="T944" s="37">
        <f>Tabela3[[#This Row],[Aluminio Bruto]]/OleoKGAluminio</f>
        <v>3.6128342862105778</v>
      </c>
      <c r="U944" s="35">
        <f>IFERROR((VLOOKUP(Tabela3[[#This Row],[Moldador]],Tabela1[],5,)+(VLOOKUP(Tabela3[[#This Row],[Ajudante]],Tabela1[],5,))*3.5),0)</f>
        <v>126.0945</v>
      </c>
      <c r="V944" s="35">
        <f>IFERROR(Tabela3[[#This Row],[Custo M.O. / H]]/((Tabela3[[#This Row],[Realizado]]/Tabela3[[#This Row],[Qdt Peça Placa]])/Tabela3[[#This Row],[Tempo]]/24),)</f>
        <v>11.76882</v>
      </c>
      <c r="W944" s="35">
        <f>Tabela3[[#This Row],[Custo / Cx Moldada]]*Tabela3[[#This Row],[Qtde Cx Produzida]]</f>
        <v>58.844099999999997</v>
      </c>
      <c r="X944" s="35">
        <f ca="1">Tabela3[[#This Row],[Aluminio Util]]*Tabela3[[#This Row],[Custo/Kg]]</f>
        <v>71.760000000000019</v>
      </c>
      <c r="Y944" s="35">
        <f>IFERROR(VLOOKUP(Tabela3[[#This Row],[Data]],Tabela461213[],2,1)*(Tabela3[[#This Row],[Qtde Cx Produzida]]*Tabela3[[#This Row],[Qde macho / CX]]*Tabela3[[#This Row],[Peso Macho]]),)</f>
        <v>0</v>
      </c>
      <c r="Z944" s="35">
        <f>IFERROR(Tabela3[[#This Row],[Qtde Oleo]]*(VLOOKUP(Tabela3[[#This Row],[Data]],CompraOleo[],3,TRUE))*1.05,0)</f>
        <v>9.483690001302767</v>
      </c>
      <c r="AA944" s="47">
        <f ca="1">(Tabela3[[#This Row],[Custo Oleo]]+Tabela3[[#This Row],[Custo Aluminio]]+Tabela3[[#This Row],[Custo M.O. Total]]+Tabela3[[#This Row],[Custo Machos]])</f>
        <v>140.08779000130278</v>
      </c>
      <c r="AB944" s="47">
        <f ca="1">Tabela3[[#This Row],[Custo Total]]*Tabela3[[#This Row],[% Perda]]</f>
        <v>0</v>
      </c>
      <c r="AC944" s="48">
        <f>IFERROR(VLOOKUP(Tabela3[[#This Row],[Produto]],Tabela2[],2,0),0)</f>
        <v>4</v>
      </c>
      <c r="AD944" s="48">
        <f>IFERROR(VLOOKUP(Tabela3[[#This Row],[Produto]],Tabela2[],3,0),0)</f>
        <v>0.23</v>
      </c>
      <c r="AE944" s="48">
        <f>IFERROR(VLOOKUP(Tabela3[[#This Row],[Produto]],Tabela2[],4,0),0)</f>
        <v>1.6279999999999999</v>
      </c>
      <c r="AF944" s="48">
        <f>IFERROR(VLOOKUP(Tabela3[[#This Row],[Produto]],Tabela2[],5,0),0)</f>
        <v>0.63719999999999988</v>
      </c>
      <c r="AG944" s="40">
        <f>IFERROR(VLOOKUP(Tabela3[[#This Row],[Produto]],Tabela2[],6,0),0)</f>
        <v>0</v>
      </c>
      <c r="AH944" s="40">
        <f>IFERROR(VLOOKUP(Tabela3[[#This Row],[Produto]],Tabela2[],7,0),0)</f>
        <v>0</v>
      </c>
      <c r="AI944" s="40">
        <f>IFERROR(VLOOKUP(Tabela3[[#This Row],[Produto]],Tabela2[],8,0),0)</f>
        <v>0</v>
      </c>
      <c r="AJ944" s="35">
        <f ca="1">IFERROR(VLOOKUP(Tabela3[[#This Row],[Produto]],Tabela2[],13,0),0)</f>
        <v>15.600000000000001</v>
      </c>
      <c r="AK944" s="40" t="str">
        <f>IFERROR(VLOOKUP(Tabela3[[#This Row],[Produto]],Tabela2[],14,0),0)</f>
        <v>Senun</v>
      </c>
      <c r="AL944" s="40">
        <f>IFERROR(VLOOKUP(Tabela3[[#This Row],[Produto]],Tabela2[],15,0),0)</f>
        <v>4</v>
      </c>
      <c r="AM944" s="36">
        <f ca="1">(Tabela3[[#This Row],[Custo Usinagem]]+Tabela3[[#This Row],[Custo / Pç]])*1.2</f>
        <v>13.205267400078167</v>
      </c>
      <c r="AN944" s="36">
        <f ca="1">Tabela3[[#This Row],[Valor Mínimo Venda]]*1.15</f>
        <v>15.18605751008989</v>
      </c>
      <c r="AO944" s="36">
        <f ca="1">Tabela3[[#This Row],[Tabela 1]]*1.08</f>
        <v>16.400942110897084</v>
      </c>
      <c r="AP944" s="36">
        <f ca="1">Tabela3[[#This Row],[Tabela 2]]*1.15</f>
        <v>18.861083427531646</v>
      </c>
    </row>
    <row r="945" spans="1:42">
      <c r="A945" s="9">
        <v>46065</v>
      </c>
      <c r="B945" s="6" t="s">
        <v>126</v>
      </c>
      <c r="C945" s="14">
        <v>9021</v>
      </c>
      <c r="D945" s="6" t="s">
        <v>46</v>
      </c>
      <c r="E945" s="6" t="s">
        <v>44</v>
      </c>
      <c r="F945" s="6">
        <v>30</v>
      </c>
      <c r="G945" s="15">
        <v>0.19652777777777777</v>
      </c>
      <c r="H945" s="16">
        <v>0</v>
      </c>
      <c r="I945" s="35">
        <f ca="1">IFERROR(Tabela3[[#This Row],[Custo Total]]/Tabela3[[#This Row],[Aluminio Util]],0)</f>
        <v>23.970940619335178</v>
      </c>
      <c r="J945" s="35">
        <f ca="1">Tabela3[[#This Row],[Custo Total]]/Tabela3[[#This Row],[Realizado]]</f>
        <v>75.316695425951124</v>
      </c>
      <c r="K945" s="37">
        <f>IFERROR(Tabela3[[#This Row],[Qtde Cx Produzida]]/Tabela3[[#This Row],[Tempo]]/24,0)</f>
        <v>6.3604240282685511</v>
      </c>
      <c r="L945" s="37">
        <f>Tabela3[[#This Row],[Qtde Cx Produzida]]*Tabela3[[#This Row],[Qdt Peça Placa]]</f>
        <v>30</v>
      </c>
      <c r="M945" s="37">
        <f>Tabela3[[#This Row],[Previsto]]-Tabela3[[#This Row],[Perda Pçs]]</f>
        <v>30</v>
      </c>
      <c r="N945" s="38">
        <f>IFERROR(Tabela3[[#This Row],[Perda Pçs]]/Tabela3[[#This Row],[Previsto]],0)</f>
        <v>0</v>
      </c>
      <c r="O945" s="39">
        <f>IFERROR(IF(Tabela3[[#This Row],[Qtde Cx Produzida]] &lt;&gt; 0, Tabela3[[#This Row],[Tempo]] / Tabela3[[#This Row],[Qtde Cx Produzida]], 0),0)</f>
        <v>6.5509259259259262E-3</v>
      </c>
      <c r="P945" s="57">
        <f>IFERROR(Tabela3[[#This Row],[Perda Pçs]]/Tabela3[[#This Row],[Qdt Peça Placa]],0)</f>
        <v>0</v>
      </c>
      <c r="Q945" s="37">
        <f>IFERROR(Tabela3[[#This Row],[Realizado]]*Tabela3[[#This Row],[Peso Util/Pç]],0)</f>
        <v>94.259999999999991</v>
      </c>
      <c r="R945" s="37">
        <f>IFERROR(Tabela3[[#This Row],[Peso Total Galho]]*Tabela3[[#This Row],[Qtde Cx Produzida]]*1.055,0)</f>
        <v>175.94235</v>
      </c>
      <c r="S945" s="37">
        <f>(Tabela3[[#This Row],[Aluminio Bruto]]-Tabela3[[#This Row],[Aluminio Util]])*0.9</f>
        <v>73.514115000000018</v>
      </c>
      <c r="T945" s="37">
        <f>Tabela3[[#This Row],[Aluminio Bruto]]/OleoKGAluminio</f>
        <v>74.018719153727048</v>
      </c>
      <c r="U945" s="35">
        <f>IFERROR((VLOOKUP(Tabela3[[#This Row],[Moldador]],Tabela1[],5,)+(VLOOKUP(Tabela3[[#This Row],[Ajudante]],Tabela1[],5,))*3.5),0)</f>
        <v>126.0945</v>
      </c>
      <c r="V945" s="35">
        <f>IFERROR(Tabela3[[#This Row],[Custo M.O. / H]]/((Tabela3[[#This Row],[Realizado]]/Tabela3[[#This Row],[Qdt Peça Placa]])/Tabela3[[#This Row],[Tempo]]/24),)</f>
        <v>19.8248575</v>
      </c>
      <c r="W945" s="35">
        <f>Tabela3[[#This Row],[Custo / Cx Moldada]]*Tabela3[[#This Row],[Qtde Cx Produzida]]</f>
        <v>594.74572499999999</v>
      </c>
      <c r="X945" s="35">
        <f ca="1">Tabela3[[#This Row],[Aluminio Util]]*Tabela3[[#This Row],[Custo/Kg]]</f>
        <v>1470.4559999999999</v>
      </c>
      <c r="Y945" s="35">
        <f>IFERROR(VLOOKUP(Tabela3[[#This Row],[Data]],Tabela461213[],2,1)*(Tabela3[[#This Row],[Qtde Cx Produzida]]*Tabela3[[#This Row],[Qde macho / CX]]*Tabela3[[#This Row],[Peso Macho]]),)</f>
        <v>0</v>
      </c>
      <c r="Z945" s="35">
        <f>IFERROR(Tabela3[[#This Row],[Qtde Oleo]]*(VLOOKUP(Tabela3[[#This Row],[Data]],CompraOleo[],3,TRUE))*1.05,0)</f>
        <v>194.29913777853349</v>
      </c>
      <c r="AA945" s="47">
        <f ca="1">(Tabela3[[#This Row],[Custo Oleo]]+Tabela3[[#This Row],[Custo Aluminio]]+Tabela3[[#This Row],[Custo M.O. Total]]+Tabela3[[#This Row],[Custo Machos]])</f>
        <v>2259.5008627785337</v>
      </c>
      <c r="AB945" s="47">
        <f ca="1">Tabela3[[#This Row],[Custo Total]]*Tabela3[[#This Row],[% Perda]]</f>
        <v>0</v>
      </c>
      <c r="AC945" s="48">
        <f>IFERROR(VLOOKUP(Tabela3[[#This Row],[Produto]],Tabela2[],2,0),0)</f>
        <v>1</v>
      </c>
      <c r="AD945" s="48">
        <f>IFERROR(VLOOKUP(Tabela3[[#This Row],[Produto]],Tabela2[],3,0),0)</f>
        <v>3.1419999999999999</v>
      </c>
      <c r="AE945" s="48">
        <f>IFERROR(VLOOKUP(Tabela3[[#This Row],[Produto]],Tabela2[],4,0),0)</f>
        <v>5.5590000000000002</v>
      </c>
      <c r="AF945" s="48">
        <f>IFERROR(VLOOKUP(Tabela3[[#This Row],[Produto]],Tabela2[],5,0),0)</f>
        <v>2.1753000000000005</v>
      </c>
      <c r="AG945" s="40">
        <f>IFERROR(VLOOKUP(Tabela3[[#This Row],[Produto]],Tabela2[],6,0),0)</f>
        <v>0</v>
      </c>
      <c r="AH945" s="40">
        <f>IFERROR(VLOOKUP(Tabela3[[#This Row],[Produto]],Tabela2[],7,0),0)</f>
        <v>0</v>
      </c>
      <c r="AI945" s="40">
        <f>IFERROR(VLOOKUP(Tabela3[[#This Row],[Produto]],Tabela2[],8,0),0)</f>
        <v>0</v>
      </c>
      <c r="AJ945" s="35">
        <f ca="1">IFERROR(VLOOKUP(Tabela3[[#This Row],[Produto]],Tabela2[],13,0),0)</f>
        <v>15.600000000000001</v>
      </c>
      <c r="AK945" s="40" t="str">
        <f>IFERROR(VLOOKUP(Tabela3[[#This Row],[Produto]],Tabela2[],14,0),0)</f>
        <v>Senun</v>
      </c>
      <c r="AL945" s="40">
        <f>IFERROR(VLOOKUP(Tabela3[[#This Row],[Produto]],Tabela2[],15,0),0)</f>
        <v>6.5</v>
      </c>
      <c r="AM945" s="36">
        <f ca="1">(Tabela3[[#This Row],[Custo Usinagem]]+Tabela3[[#This Row],[Custo / Pç]])*1.2</f>
        <v>98.180034511141344</v>
      </c>
      <c r="AN945" s="36">
        <f ca="1">Tabela3[[#This Row],[Valor Mínimo Venda]]*1.15</f>
        <v>112.90703968781254</v>
      </c>
      <c r="AO945" s="36">
        <f ca="1">Tabela3[[#This Row],[Tabela 1]]*1.08</f>
        <v>121.93960286283756</v>
      </c>
      <c r="AP945" s="36">
        <f ca="1">Tabela3[[#This Row],[Tabela 2]]*1.15</f>
        <v>140.23054329226318</v>
      </c>
    </row>
    <row r="946" spans="1:42">
      <c r="A946" s="9">
        <v>46065</v>
      </c>
      <c r="B946" s="6" t="s">
        <v>135</v>
      </c>
      <c r="C946" s="14">
        <v>9027</v>
      </c>
      <c r="D946" s="6" t="s">
        <v>46</v>
      </c>
      <c r="E946" s="6" t="s">
        <v>44</v>
      </c>
      <c r="F946" s="6">
        <v>17</v>
      </c>
      <c r="G946" s="15">
        <v>9.5138888888888884E-2</v>
      </c>
      <c r="H946" s="16">
        <v>0</v>
      </c>
      <c r="I946" s="35">
        <f ca="1">IFERROR(Tabela3[[#This Row],[Custo Total]]/Tabela3[[#This Row],[Aluminio Util]],0)</f>
        <v>29.7806773596872</v>
      </c>
      <c r="J946" s="35">
        <f ca="1">Tabela3[[#This Row],[Custo Total]]/Tabela3[[#This Row],[Realizado]]</f>
        <v>52.711798926646345</v>
      </c>
      <c r="K946" s="37">
        <f>IFERROR(Tabela3[[#This Row],[Qtde Cx Produzida]]/Tabela3[[#This Row],[Tempo]]/24,0)</f>
        <v>7.445255474452555</v>
      </c>
      <c r="L946" s="37">
        <f>Tabela3[[#This Row],[Qtde Cx Produzida]]*Tabela3[[#This Row],[Qdt Peça Placa]]</f>
        <v>17</v>
      </c>
      <c r="M946" s="37">
        <f>Tabela3[[#This Row],[Previsto]]-Tabela3[[#This Row],[Perda Pçs]]</f>
        <v>17</v>
      </c>
      <c r="N946" s="38">
        <f>IFERROR(Tabela3[[#This Row],[Perda Pçs]]/Tabela3[[#This Row],[Previsto]],0)</f>
        <v>0</v>
      </c>
      <c r="O946" s="39">
        <f>IFERROR(IF(Tabela3[[#This Row],[Qtde Cx Produzida]] &lt;&gt; 0, Tabela3[[#This Row],[Tempo]] / Tabela3[[#This Row],[Qtde Cx Produzida]], 0),0)</f>
        <v>5.59640522875817E-3</v>
      </c>
      <c r="P946" s="57">
        <f>IFERROR(Tabela3[[#This Row],[Perda Pçs]]/Tabela3[[#This Row],[Qdt Peça Placa]],0)</f>
        <v>0</v>
      </c>
      <c r="Q946" s="37">
        <f>IFERROR(Tabela3[[#This Row],[Realizado]]*Tabela3[[#This Row],[Peso Util/Pç]],0)</f>
        <v>30.09</v>
      </c>
      <c r="R946" s="37">
        <f>IFERROR(Tabela3[[#This Row],[Peso Total Galho]]*Tabela3[[#This Row],[Qtde Cx Produzida]]*1.055,0)</f>
        <v>56.13655</v>
      </c>
      <c r="S946" s="37">
        <f>(Tabela3[[#This Row],[Aluminio Bruto]]-Tabela3[[#This Row],[Aluminio Util]])*0.9</f>
        <v>23.441894999999999</v>
      </c>
      <c r="T946" s="37">
        <f>Tabela3[[#This Row],[Aluminio Bruto]]/OleoKGAluminio</f>
        <v>23.616574001138193</v>
      </c>
      <c r="U946" s="35">
        <f>IFERROR((VLOOKUP(Tabela3[[#This Row],[Moldador]],Tabela1[],5,)+(VLOOKUP(Tabela3[[#This Row],[Ajudante]],Tabela1[],5,))*3.5),0)</f>
        <v>126.0945</v>
      </c>
      <c r="V946" s="35">
        <f>IFERROR(Tabela3[[#This Row],[Custo M.O. / H]]/((Tabela3[[#This Row],[Realizado]]/Tabela3[[#This Row],[Qdt Peça Placa]])/Tabela3[[#This Row],[Tempo]]/24),)</f>
        <v>16.936222058823528</v>
      </c>
      <c r="W946" s="35">
        <f>Tabela3[[#This Row],[Custo / Cx Moldada]]*Tabela3[[#This Row],[Qtde Cx Produzida]]</f>
        <v>287.915775</v>
      </c>
      <c r="X946" s="35">
        <f ca="1">Tabela3[[#This Row],[Aluminio Util]]*Tabela3[[#This Row],[Custo/Kg]]</f>
        <v>469.40400000000005</v>
      </c>
      <c r="Y946" s="35">
        <f>IFERROR(VLOOKUP(Tabela3[[#This Row],[Data]],Tabela461213[],2,1)*(Tabela3[[#This Row],[Qtde Cx Produzida]]*Tabela3[[#This Row],[Qde macho / CX]]*Tabela3[[#This Row],[Peso Macho]]),)</f>
        <v>76.787299999999988</v>
      </c>
      <c r="Z946" s="35">
        <f>IFERROR(Tabela3[[#This Row],[Qtde Oleo]]*(VLOOKUP(Tabela3[[#This Row],[Data]],CompraOleo[],3,TRUE))*1.05,0)</f>
        <v>61.993506752987756</v>
      </c>
      <c r="AA946" s="47">
        <f ca="1">(Tabela3[[#This Row],[Custo Oleo]]+Tabela3[[#This Row],[Custo Aluminio]]+Tabela3[[#This Row],[Custo M.O. Total]]+Tabela3[[#This Row],[Custo Machos]])</f>
        <v>896.10058175298786</v>
      </c>
      <c r="AB946" s="47">
        <f ca="1">Tabela3[[#This Row],[Custo Total]]*Tabela3[[#This Row],[% Perda]]</f>
        <v>0</v>
      </c>
      <c r="AC946" s="48">
        <f>IFERROR(VLOOKUP(Tabela3[[#This Row],[Produto]],Tabela2[],2,0),0)</f>
        <v>1</v>
      </c>
      <c r="AD946" s="48">
        <f>IFERROR(VLOOKUP(Tabela3[[#This Row],[Produto]],Tabela2[],3,0),0)</f>
        <v>1.77</v>
      </c>
      <c r="AE946" s="48">
        <f>IFERROR(VLOOKUP(Tabela3[[#This Row],[Produto]],Tabela2[],4,0),0)</f>
        <v>3.13</v>
      </c>
      <c r="AF946" s="48">
        <f>IFERROR(VLOOKUP(Tabela3[[#This Row],[Produto]],Tabela2[],5,0),0)</f>
        <v>1.224</v>
      </c>
      <c r="AG946" s="40">
        <f>IFERROR(VLOOKUP(Tabela3[[#This Row],[Produto]],Tabela2[],6,0),0)</f>
        <v>0</v>
      </c>
      <c r="AH946" s="40">
        <f>IFERROR(VLOOKUP(Tabela3[[#This Row],[Produto]],Tabela2[],7,0),0)</f>
        <v>1</v>
      </c>
      <c r="AI946" s="40">
        <f>IFERROR(VLOOKUP(Tabela3[[#This Row],[Produto]],Tabela2[],8,0),0)</f>
        <v>2.657</v>
      </c>
      <c r="AJ946" s="35">
        <f ca="1">IFERROR(VLOOKUP(Tabela3[[#This Row],[Produto]],Tabela2[],13,0),0)</f>
        <v>15.600000000000001</v>
      </c>
      <c r="AK946" s="40" t="str">
        <f>IFERROR(VLOOKUP(Tabela3[[#This Row],[Produto]],Tabela2[],14,0),0)</f>
        <v>Jumil</v>
      </c>
      <c r="AL946" s="40">
        <f>IFERROR(VLOOKUP(Tabela3[[#This Row],[Produto]],Tabela2[],15,0),0)</f>
        <v>10</v>
      </c>
      <c r="AM946" s="36">
        <f ca="1">(Tabela3[[#This Row],[Custo Usinagem]]+Tabela3[[#This Row],[Custo / Pç]])*1.2</f>
        <v>75.254158711975606</v>
      </c>
      <c r="AN946" s="36">
        <f ca="1">Tabela3[[#This Row],[Valor Mínimo Venda]]*1.15</f>
        <v>86.542282518771941</v>
      </c>
      <c r="AO946" s="36">
        <f ca="1">Tabela3[[#This Row],[Tabela 1]]*1.08</f>
        <v>93.465665120273698</v>
      </c>
      <c r="AP946" s="36">
        <f ca="1">Tabela3[[#This Row],[Tabela 2]]*1.15</f>
        <v>107.48551488831474</v>
      </c>
    </row>
    <row r="947" spans="1:42">
      <c r="A947" s="9">
        <v>46065</v>
      </c>
      <c r="B947" s="6" t="s">
        <v>226</v>
      </c>
      <c r="C947" s="14">
        <v>9022</v>
      </c>
      <c r="D947" s="6" t="s">
        <v>46</v>
      </c>
      <c r="E947" s="6" t="s">
        <v>44</v>
      </c>
      <c r="F947" s="6">
        <v>10</v>
      </c>
      <c r="G947" s="15">
        <v>5.7638888888888892E-2</v>
      </c>
      <c r="H947" s="16">
        <v>0</v>
      </c>
      <c r="I947" s="35">
        <f ca="1">IFERROR(Tabela3[[#This Row],[Custo Total]]/Tabela3[[#This Row],[Aluminio Util]],0)</f>
        <v>36.621533152457118</v>
      </c>
      <c r="J947" s="35">
        <f ca="1">Tabela3[[#This Row],[Custo Total]]/Tabela3[[#This Row],[Realizado]]</f>
        <v>8.4229526250651396</v>
      </c>
      <c r="K947" s="37">
        <f>IFERROR(Tabela3[[#This Row],[Qtde Cx Produzida]]/Tabela3[[#This Row],[Tempo]]/24,0)</f>
        <v>7.2289156626506026</v>
      </c>
      <c r="L947" s="37">
        <f>Tabela3[[#This Row],[Qtde Cx Produzida]]*Tabela3[[#This Row],[Qdt Peça Placa]]</f>
        <v>40</v>
      </c>
      <c r="M947" s="37">
        <f>Tabela3[[#This Row],[Previsto]]-Tabela3[[#This Row],[Perda Pçs]]</f>
        <v>40</v>
      </c>
      <c r="N947" s="38">
        <f>IFERROR(Tabela3[[#This Row],[Perda Pçs]]/Tabela3[[#This Row],[Previsto]],0)</f>
        <v>0</v>
      </c>
      <c r="O947" s="39">
        <f>IFERROR(IF(Tabela3[[#This Row],[Qtde Cx Produzida]] &lt;&gt; 0, Tabela3[[#This Row],[Tempo]] / Tabela3[[#This Row],[Qtde Cx Produzida]], 0),0)</f>
        <v>5.7638888888888896E-3</v>
      </c>
      <c r="P947" s="57">
        <f>IFERROR(Tabela3[[#This Row],[Perda Pçs]]/Tabela3[[#This Row],[Qdt Peça Placa]],0)</f>
        <v>0</v>
      </c>
      <c r="Q947" s="37">
        <f>IFERROR(Tabela3[[#This Row],[Realizado]]*Tabela3[[#This Row],[Peso Util/Pç]],0)</f>
        <v>9.2000000000000011</v>
      </c>
      <c r="R947" s="37">
        <f>IFERROR(Tabela3[[#This Row],[Peso Total Galho]]*Tabela3[[#This Row],[Qtde Cx Produzida]]*1.055,0)</f>
        <v>17.175399999999996</v>
      </c>
      <c r="S947" s="37">
        <f>(Tabela3[[#This Row],[Aluminio Bruto]]-Tabela3[[#This Row],[Aluminio Util]])*0.9</f>
        <v>7.1778599999999955</v>
      </c>
      <c r="T947" s="37">
        <f>Tabela3[[#This Row],[Aluminio Bruto]]/OleoKGAluminio</f>
        <v>7.2256685724211556</v>
      </c>
      <c r="U947" s="35">
        <f>IFERROR((VLOOKUP(Tabela3[[#This Row],[Moldador]],Tabela1[],5,)+(VLOOKUP(Tabela3[[#This Row],[Ajudante]],Tabela1[],5,))*3.5),0)</f>
        <v>126.0945</v>
      </c>
      <c r="V947" s="35">
        <f>IFERROR(Tabela3[[#This Row],[Custo M.O. / H]]/((Tabela3[[#This Row],[Realizado]]/Tabela3[[#This Row],[Qdt Peça Placa]])/Tabela3[[#This Row],[Tempo]]/24),)</f>
        <v>17.4430725</v>
      </c>
      <c r="W947" s="35">
        <f>Tabela3[[#This Row],[Custo / Cx Moldada]]*Tabela3[[#This Row],[Qtde Cx Produzida]]</f>
        <v>174.430725</v>
      </c>
      <c r="X947" s="35">
        <f ca="1">Tabela3[[#This Row],[Aluminio Util]]*Tabela3[[#This Row],[Custo/Kg]]</f>
        <v>143.52000000000004</v>
      </c>
      <c r="Y947" s="35">
        <f>IFERROR(VLOOKUP(Tabela3[[#This Row],[Data]],Tabela461213[],2,1)*(Tabela3[[#This Row],[Qtde Cx Produzida]]*Tabela3[[#This Row],[Qde macho / CX]]*Tabela3[[#This Row],[Peso Macho]]),)</f>
        <v>0</v>
      </c>
      <c r="Z947" s="35">
        <f>IFERROR(Tabela3[[#This Row],[Qtde Oleo]]*(VLOOKUP(Tabela3[[#This Row],[Data]],CompraOleo[],3,TRUE))*1.05,0)</f>
        <v>18.967380002605534</v>
      </c>
      <c r="AA947" s="47">
        <f ca="1">(Tabela3[[#This Row],[Custo Oleo]]+Tabela3[[#This Row],[Custo Aluminio]]+Tabela3[[#This Row],[Custo M.O. Total]]+Tabela3[[#This Row],[Custo Machos]])</f>
        <v>336.91810500260556</v>
      </c>
      <c r="AB947" s="47">
        <f ca="1">Tabela3[[#This Row],[Custo Total]]*Tabela3[[#This Row],[% Perda]]</f>
        <v>0</v>
      </c>
      <c r="AC947" s="48">
        <f>IFERROR(VLOOKUP(Tabela3[[#This Row],[Produto]],Tabela2[],2,0),0)</f>
        <v>4</v>
      </c>
      <c r="AD947" s="48">
        <f>IFERROR(VLOOKUP(Tabela3[[#This Row],[Produto]],Tabela2[],3,0),0)</f>
        <v>0.23</v>
      </c>
      <c r="AE947" s="48">
        <f>IFERROR(VLOOKUP(Tabela3[[#This Row],[Produto]],Tabela2[],4,0),0)</f>
        <v>1.6279999999999999</v>
      </c>
      <c r="AF947" s="48">
        <f>IFERROR(VLOOKUP(Tabela3[[#This Row],[Produto]],Tabela2[],5,0),0)</f>
        <v>0.63719999999999988</v>
      </c>
      <c r="AG947" s="40">
        <f>IFERROR(VLOOKUP(Tabela3[[#This Row],[Produto]],Tabela2[],6,0),0)</f>
        <v>0</v>
      </c>
      <c r="AH947" s="40">
        <f>IFERROR(VLOOKUP(Tabela3[[#This Row],[Produto]],Tabela2[],7,0),0)</f>
        <v>0</v>
      </c>
      <c r="AI947" s="40">
        <f>IFERROR(VLOOKUP(Tabela3[[#This Row],[Produto]],Tabela2[],8,0),0)</f>
        <v>0</v>
      </c>
      <c r="AJ947" s="35">
        <f ca="1">IFERROR(VLOOKUP(Tabela3[[#This Row],[Produto]],Tabela2[],13,0),0)</f>
        <v>15.600000000000001</v>
      </c>
      <c r="AK947" s="40" t="str">
        <f>IFERROR(VLOOKUP(Tabela3[[#This Row],[Produto]],Tabela2[],14,0),0)</f>
        <v>Senun</v>
      </c>
      <c r="AL947" s="40">
        <f>IFERROR(VLOOKUP(Tabela3[[#This Row],[Produto]],Tabela2[],15,0),0)</f>
        <v>4</v>
      </c>
      <c r="AM947" s="36">
        <f ca="1">(Tabela3[[#This Row],[Custo Usinagem]]+Tabela3[[#This Row],[Custo / Pç]])*1.2</f>
        <v>14.907543150078167</v>
      </c>
      <c r="AN947" s="36">
        <f ca="1">Tabela3[[#This Row],[Valor Mínimo Venda]]*1.15</f>
        <v>17.143674622589891</v>
      </c>
      <c r="AO947" s="36">
        <f ca="1">Tabela3[[#This Row],[Tabela 1]]*1.08</f>
        <v>18.515168592397085</v>
      </c>
      <c r="AP947" s="36">
        <f ca="1">Tabela3[[#This Row],[Tabela 2]]*1.15</f>
        <v>21.292443881256645</v>
      </c>
    </row>
    <row r="948" spans="1:42">
      <c r="A948" s="9">
        <v>46065</v>
      </c>
      <c r="B948" s="6" t="s">
        <v>278</v>
      </c>
      <c r="C948" s="14">
        <v>9023</v>
      </c>
      <c r="D948" s="6" t="s">
        <v>46</v>
      </c>
      <c r="E948" s="6" t="s">
        <v>44</v>
      </c>
      <c r="F948" s="6">
        <v>8</v>
      </c>
      <c r="G948" s="15">
        <v>4.3749999999999997E-2</v>
      </c>
      <c r="H948" s="16">
        <v>0</v>
      </c>
      <c r="I948" s="35">
        <f ca="1">IFERROR(Tabela3[[#This Row],[Custo Total]]/Tabela3[[#This Row],[Aluminio Util]],0)</f>
        <v>37.366108306926186</v>
      </c>
      <c r="J948" s="35">
        <f ca="1">Tabela3[[#This Row],[Custo Total]]/Tabela3[[#This Row],[Realizado]]</f>
        <v>5.2312551629696671</v>
      </c>
      <c r="K948" s="37">
        <f>IFERROR(Tabela3[[#This Row],[Qtde Cx Produzida]]/Tabela3[[#This Row],[Tempo]]/24,0)</f>
        <v>7.6190476190476195</v>
      </c>
      <c r="L948" s="37">
        <f>Tabela3[[#This Row],[Qtde Cx Produzida]]*Tabela3[[#This Row],[Qdt Peça Placa]]</f>
        <v>48</v>
      </c>
      <c r="M948" s="37">
        <f>Tabela3[[#This Row],[Previsto]]-Tabela3[[#This Row],[Perda Pçs]]</f>
        <v>48</v>
      </c>
      <c r="N948" s="38">
        <f>IFERROR(Tabela3[[#This Row],[Perda Pçs]]/Tabela3[[#This Row],[Previsto]],0)</f>
        <v>0</v>
      </c>
      <c r="O948" s="39">
        <f>IFERROR(IF(Tabela3[[#This Row],[Qtde Cx Produzida]] &lt;&gt; 0, Tabela3[[#This Row],[Tempo]] / Tabela3[[#This Row],[Qtde Cx Produzida]], 0),0)</f>
        <v>5.4687499999999997E-3</v>
      </c>
      <c r="P948" s="57">
        <f>IFERROR(Tabela3[[#This Row],[Perda Pçs]]/Tabela3[[#This Row],[Qdt Peça Placa]],0)</f>
        <v>0</v>
      </c>
      <c r="Q948" s="37">
        <f>IFERROR(Tabela3[[#This Row],[Realizado]]*Tabela3[[#This Row],[Peso Util/Pç]],0)</f>
        <v>6.7200000000000006</v>
      </c>
      <c r="R948" s="37">
        <f>IFERROR(Tabela3[[#This Row],[Peso Total Galho]]*Tabela3[[#This Row],[Qtde Cx Produzida]]*1.055,0)</f>
        <v>12.558719999999999</v>
      </c>
      <c r="S948" s="37">
        <f>(Tabela3[[#This Row],[Aluminio Bruto]]-Tabela3[[#This Row],[Aluminio Util]])*0.9</f>
        <v>5.2548479999999991</v>
      </c>
      <c r="T948" s="37">
        <f>Tabela3[[#This Row],[Aluminio Bruto]]/OleoKGAluminio</f>
        <v>5.2834372657310471</v>
      </c>
      <c r="U948" s="35">
        <f>IFERROR((VLOOKUP(Tabela3[[#This Row],[Moldador]],Tabela1[],5,)+(VLOOKUP(Tabela3[[#This Row],[Ajudante]],Tabela1[],5,))*3.5),0)</f>
        <v>126.0945</v>
      </c>
      <c r="V948" s="35">
        <f>IFERROR(Tabela3[[#This Row],[Custo M.O. / H]]/((Tabela3[[#This Row],[Realizado]]/Tabela3[[#This Row],[Qdt Peça Placa]])/Tabela3[[#This Row],[Tempo]]/24),)</f>
        <v>16.549903125</v>
      </c>
      <c r="W948" s="35">
        <f>Tabela3[[#This Row],[Custo / Cx Moldada]]*Tabela3[[#This Row],[Qtde Cx Produzida]]</f>
        <v>132.399225</v>
      </c>
      <c r="X948" s="35">
        <f ca="1">Tabela3[[#This Row],[Aluminio Util]]*Tabela3[[#This Row],[Custo/Kg]]</f>
        <v>104.83200000000002</v>
      </c>
      <c r="Y948" s="35">
        <f>IFERROR(VLOOKUP(Tabela3[[#This Row],[Data]],Tabela461213[],2,1)*(Tabela3[[#This Row],[Qtde Cx Produzida]]*Tabela3[[#This Row],[Qde macho / CX]]*Tabela3[[#This Row],[Peso Macho]]),)</f>
        <v>0</v>
      </c>
      <c r="Z948" s="35">
        <f>IFERROR(Tabela3[[#This Row],[Qtde Oleo]]*(VLOOKUP(Tabela3[[#This Row],[Data]],CompraOleo[],3,TRUE))*1.05,0)</f>
        <v>13.869022822543998</v>
      </c>
      <c r="AA948" s="47">
        <f ca="1">(Tabela3[[#This Row],[Custo Oleo]]+Tabela3[[#This Row],[Custo Aluminio]]+Tabela3[[#This Row],[Custo M.O. Total]]+Tabela3[[#This Row],[Custo Machos]])</f>
        <v>251.10024782254402</v>
      </c>
      <c r="AB948" s="47">
        <f ca="1">Tabela3[[#This Row],[Custo Total]]*Tabela3[[#This Row],[% Perda]]</f>
        <v>0</v>
      </c>
      <c r="AC948" s="48">
        <f>IFERROR(VLOOKUP(Tabela3[[#This Row],[Produto]],Tabela2[],2,0),0)</f>
        <v>6</v>
      </c>
      <c r="AD948" s="48">
        <f>IFERROR(VLOOKUP(Tabela3[[#This Row],[Produto]],Tabela2[],3,0),0)</f>
        <v>0.14000000000000001</v>
      </c>
      <c r="AE948" s="48">
        <f>IFERROR(VLOOKUP(Tabela3[[#This Row],[Produto]],Tabela2[],4,0),0)</f>
        <v>1.488</v>
      </c>
      <c r="AF948" s="48">
        <f>IFERROR(VLOOKUP(Tabela3[[#This Row],[Produto]],Tabela2[],5,0),0)</f>
        <v>0.58319999999999994</v>
      </c>
      <c r="AG948" s="40">
        <f>IFERROR(VLOOKUP(Tabela3[[#This Row],[Produto]],Tabela2[],6,0),0)</f>
        <v>0</v>
      </c>
      <c r="AH948" s="40">
        <f>IFERROR(VLOOKUP(Tabela3[[#This Row],[Produto]],Tabela2[],7,0),0)</f>
        <v>0</v>
      </c>
      <c r="AI948" s="40">
        <f>IFERROR(VLOOKUP(Tabela3[[#This Row],[Produto]],Tabela2[],8,0),0)</f>
        <v>0</v>
      </c>
      <c r="AJ948" s="35">
        <f ca="1">IFERROR(VLOOKUP(Tabela3[[#This Row],[Produto]],Tabela2[],13,0),0)</f>
        <v>15.600000000000001</v>
      </c>
      <c r="AK948" s="40" t="str">
        <f>IFERROR(VLOOKUP(Tabela3[[#This Row],[Produto]],Tabela2[],14,0),0)</f>
        <v>Senun</v>
      </c>
      <c r="AL948" s="40">
        <f>IFERROR(VLOOKUP(Tabela3[[#This Row],[Produto]],Tabela2[],15,0),0)</f>
        <v>0</v>
      </c>
      <c r="AM948" s="36">
        <f ca="1">(Tabela3[[#This Row],[Custo Usinagem]]+Tabela3[[#This Row],[Custo / Pç]])*1.2</f>
        <v>6.2775061955636007</v>
      </c>
      <c r="AN948" s="36">
        <f ca="1">Tabela3[[#This Row],[Valor Mínimo Venda]]*1.15</f>
        <v>7.2191321248981399</v>
      </c>
      <c r="AO948" s="36">
        <f ca="1">Tabela3[[#This Row],[Tabela 1]]*1.08</f>
        <v>7.7966626948899913</v>
      </c>
      <c r="AP948" s="36">
        <f ca="1">Tabela3[[#This Row],[Tabela 2]]*1.15</f>
        <v>8.9661620991234887</v>
      </c>
    </row>
    <row r="949" spans="1:42">
      <c r="A949" s="9">
        <v>46065</v>
      </c>
      <c r="B949" s="6" t="s">
        <v>109</v>
      </c>
      <c r="C949" s="14">
        <v>9070</v>
      </c>
      <c r="D949" s="6" t="s">
        <v>46</v>
      </c>
      <c r="E949" s="6" t="s">
        <v>44</v>
      </c>
      <c r="F949" s="6">
        <v>2</v>
      </c>
      <c r="G949" s="15">
        <v>2.2222222222222223E-2</v>
      </c>
      <c r="H949" s="16">
        <v>0</v>
      </c>
      <c r="I949" s="35">
        <f ca="1">IFERROR(Tabela3[[#This Row],[Custo Total]]/Tabela3[[#This Row],[Aluminio Util]],0)</f>
        <v>23.388241179540433</v>
      </c>
      <c r="J949" s="35">
        <f ca="1">Tabela3[[#This Row],[Custo Total]]/Tabela3[[#This Row],[Realizado]]</f>
        <v>58.470602948851081</v>
      </c>
      <c r="K949" s="37">
        <f>IFERROR(Tabela3[[#This Row],[Qtde Cx Produzida]]/Tabela3[[#This Row],[Tempo]]/24,0)</f>
        <v>3.75</v>
      </c>
      <c r="L949" s="37">
        <f>Tabela3[[#This Row],[Qtde Cx Produzida]]*Tabela3[[#This Row],[Qdt Peça Placa]]</f>
        <v>6</v>
      </c>
      <c r="M949" s="37">
        <f>Tabela3[[#This Row],[Previsto]]-Tabela3[[#This Row],[Perda Pçs]]</f>
        <v>6</v>
      </c>
      <c r="N949" s="38">
        <f>IFERROR(Tabela3[[#This Row],[Perda Pçs]]/Tabela3[[#This Row],[Previsto]],0)</f>
        <v>0</v>
      </c>
      <c r="O949" s="39">
        <f>IFERROR(IF(Tabela3[[#This Row],[Qtde Cx Produzida]] &lt;&gt; 0, Tabela3[[#This Row],[Tempo]] / Tabela3[[#This Row],[Qtde Cx Produzida]], 0),0)</f>
        <v>1.1111111111111112E-2</v>
      </c>
      <c r="P949" s="57">
        <f>IFERROR(Tabela3[[#This Row],[Perda Pçs]]/Tabela3[[#This Row],[Qdt Peça Placa]],0)</f>
        <v>0</v>
      </c>
      <c r="Q949" s="37">
        <f>IFERROR(Tabela3[[#This Row],[Realizado]]*Tabela3[[#This Row],[Peso Util/Pç]],0)</f>
        <v>15</v>
      </c>
      <c r="R949" s="37">
        <f>IFERROR(Tabela3[[#This Row],[Peso Total Galho]]*Tabela3[[#This Row],[Qtde Cx Produzida]]*1.055,0)</f>
        <v>17.724</v>
      </c>
      <c r="S949" s="37">
        <f>(Tabela3[[#This Row],[Aluminio Bruto]]-Tabela3[[#This Row],[Aluminio Util]])*0.9</f>
        <v>2.4516000000000004</v>
      </c>
      <c r="T949" s="37">
        <f>Tabela3[[#This Row],[Aluminio Bruto]]/OleoKGAluminio</f>
        <v>7.4564638830881727</v>
      </c>
      <c r="U949" s="35">
        <f>IFERROR((VLOOKUP(Tabela3[[#This Row],[Moldador]],Tabela1[],5,)+(VLOOKUP(Tabela3[[#This Row],[Ajudante]],Tabela1[],5,))*3.5),0)</f>
        <v>126.0945</v>
      </c>
      <c r="V949" s="35">
        <f>IFERROR(Tabela3[[#This Row],[Custo M.O. / H]]/((Tabela3[[#This Row],[Realizado]]/Tabela3[[#This Row],[Qdt Peça Placa]])/Tabela3[[#This Row],[Tempo]]/24),)</f>
        <v>33.6252</v>
      </c>
      <c r="W949" s="35">
        <f>Tabela3[[#This Row],[Custo / Cx Moldada]]*Tabela3[[#This Row],[Qtde Cx Produzida]]</f>
        <v>67.250399999999999</v>
      </c>
      <c r="X949" s="35">
        <f ca="1">Tabela3[[#This Row],[Aluminio Util]]*Tabela3[[#This Row],[Custo/Kg]]</f>
        <v>264</v>
      </c>
      <c r="Y949" s="35">
        <f>IFERROR(VLOOKUP(Tabela3[[#This Row],[Data]],Tabela461213[],2,1)*(Tabela3[[#This Row],[Qtde Cx Produzida]]*Tabela3[[#This Row],[Qde macho / CX]]*Tabela3[[#This Row],[Peso Macho]]),)</f>
        <v>0</v>
      </c>
      <c r="Z949" s="35">
        <f>IFERROR(Tabela3[[#This Row],[Qtde Oleo]]*(VLOOKUP(Tabela3[[#This Row],[Data]],CompraOleo[],3,TRUE))*1.05,0)</f>
        <v>19.573217693106457</v>
      </c>
      <c r="AA949" s="47">
        <f ca="1">(Tabela3[[#This Row],[Custo Oleo]]+Tabela3[[#This Row],[Custo Aluminio]]+Tabela3[[#This Row],[Custo M.O. Total]]+Tabela3[[#This Row],[Custo Machos]])</f>
        <v>350.82361769310648</v>
      </c>
      <c r="AB949" s="47">
        <f ca="1">Tabela3[[#This Row],[Custo Total]]*Tabela3[[#This Row],[% Perda]]</f>
        <v>0</v>
      </c>
      <c r="AC949" s="48">
        <f>IFERROR(VLOOKUP(Tabela3[[#This Row],[Produto]],Tabela2[],2,0),0)</f>
        <v>3</v>
      </c>
      <c r="AD949" s="48">
        <f>IFERROR(VLOOKUP(Tabela3[[#This Row],[Produto]],Tabela2[],3,0),0)</f>
        <v>2.5</v>
      </c>
      <c r="AE949" s="48">
        <f>IFERROR(VLOOKUP(Tabela3[[#This Row],[Produto]],Tabela2[],4,0),0)</f>
        <v>8.4</v>
      </c>
      <c r="AF949" s="48">
        <f>IFERROR(VLOOKUP(Tabela3[[#This Row],[Produto]],Tabela2[],5,0),0)</f>
        <v>0.81000000000000039</v>
      </c>
      <c r="AG949" s="40">
        <f>IFERROR(VLOOKUP(Tabela3[[#This Row],[Produto]],Tabela2[],6,0),0)</f>
        <v>0</v>
      </c>
      <c r="AH949" s="40">
        <f>IFERROR(VLOOKUP(Tabela3[[#This Row],[Produto]],Tabela2[],7,0),0)</f>
        <v>0</v>
      </c>
      <c r="AI949" s="40">
        <f>IFERROR(VLOOKUP(Tabela3[[#This Row],[Produto]],Tabela2[],8,0),0)</f>
        <v>0</v>
      </c>
      <c r="AJ949" s="35">
        <f ca="1">IFERROR(VLOOKUP(Tabela3[[#This Row],[Produto]],Tabela2[],13,0),0)</f>
        <v>17.600000000000001</v>
      </c>
      <c r="AK949" s="40" t="str">
        <f>IFERROR(VLOOKUP(Tabela3[[#This Row],[Produto]],Tabela2[],14,0),0)</f>
        <v>MGA</v>
      </c>
      <c r="AL949" s="40">
        <f>IFERROR(VLOOKUP(Tabela3[[#This Row],[Produto]],Tabela2[],15,0),0)</f>
        <v>0</v>
      </c>
      <c r="AM949" s="36">
        <f ca="1">(Tabela3[[#This Row],[Custo Usinagem]]+Tabela3[[#This Row],[Custo / Pç]])*1.2</f>
        <v>70.164723538621288</v>
      </c>
      <c r="AN949" s="36">
        <f ca="1">Tabela3[[#This Row],[Valor Mínimo Venda]]*1.15</f>
        <v>80.68943206941448</v>
      </c>
      <c r="AO949" s="36">
        <f ca="1">Tabela3[[#This Row],[Tabela 1]]*1.08</f>
        <v>87.144586634967638</v>
      </c>
      <c r="AP949" s="36">
        <f ca="1">Tabela3[[#This Row],[Tabela 2]]*1.15</f>
        <v>100.21627463021278</v>
      </c>
    </row>
    <row r="950" spans="1:42">
      <c r="A950" s="9">
        <v>46066</v>
      </c>
      <c r="B950" s="6" t="s">
        <v>278</v>
      </c>
      <c r="C950" s="6">
        <v>9023</v>
      </c>
      <c r="D950" s="6" t="s">
        <v>46</v>
      </c>
      <c r="E950" s="6" t="s">
        <v>44</v>
      </c>
      <c r="F950" s="6">
        <v>4</v>
      </c>
      <c r="G950" s="15">
        <v>1.2500000000000001E-2</v>
      </c>
      <c r="H950" s="16">
        <v>0</v>
      </c>
      <c r="I950" s="35">
        <f ca="1">IFERROR(Tabela3[[#This Row],[Custo Total]]/Tabela3[[#This Row],[Aluminio Util]],0)</f>
        <v>28.92228018192619</v>
      </c>
      <c r="J950" s="35">
        <f ca="1">Tabela3[[#This Row],[Custo Total]]/Tabela3[[#This Row],[Realizado]]</f>
        <v>4.0491192254696671</v>
      </c>
      <c r="K950" s="37">
        <f>IFERROR(Tabela3[[#This Row],[Qtde Cx Produzida]]/Tabela3[[#This Row],[Tempo]]/24,0)</f>
        <v>13.333333333333334</v>
      </c>
      <c r="L950" s="37">
        <f>Tabela3[[#This Row],[Qtde Cx Produzida]]*Tabela3[[#This Row],[Qdt Peça Placa]]</f>
        <v>24</v>
      </c>
      <c r="M950" s="37">
        <f>Tabela3[[#This Row],[Previsto]]-Tabela3[[#This Row],[Perda Pçs]]</f>
        <v>24</v>
      </c>
      <c r="N950" s="38">
        <f>IFERROR(Tabela3[[#This Row],[Perda Pçs]]/Tabela3[[#This Row],[Previsto]],0)</f>
        <v>0</v>
      </c>
      <c r="O950" s="39">
        <f>IFERROR(IF(Tabela3[[#This Row],[Qtde Cx Produzida]] &lt;&gt; 0, Tabela3[[#This Row],[Tempo]] / Tabela3[[#This Row],[Qtde Cx Produzida]], 0),0)</f>
        <v>3.1250000000000002E-3</v>
      </c>
      <c r="P950" s="57">
        <f>IFERROR(Tabela3[[#This Row],[Perda Pçs]]/Tabela3[[#This Row],[Qdt Peça Placa]],0)</f>
        <v>0</v>
      </c>
      <c r="Q950" s="37">
        <f>IFERROR(Tabela3[[#This Row],[Realizado]]*Tabela3[[#This Row],[Peso Util/Pç]],0)</f>
        <v>3.3600000000000003</v>
      </c>
      <c r="R950" s="37">
        <f>IFERROR(Tabela3[[#This Row],[Peso Total Galho]]*Tabela3[[#This Row],[Qtde Cx Produzida]]*1.055,0)</f>
        <v>6.2793599999999996</v>
      </c>
      <c r="S950" s="37">
        <f>(Tabela3[[#This Row],[Aluminio Bruto]]-Tabela3[[#This Row],[Aluminio Util]])*0.9</f>
        <v>2.6274239999999995</v>
      </c>
      <c r="T950" s="37">
        <f>Tabela3[[#This Row],[Aluminio Bruto]]/OleoKGAluminio</f>
        <v>2.6417186328655236</v>
      </c>
      <c r="U950" s="35">
        <f>IFERROR((VLOOKUP(Tabela3[[#This Row],[Moldador]],Tabela1[],5,)+(VLOOKUP(Tabela3[[#This Row],[Ajudante]],Tabela1[],5,))*3.5),0)</f>
        <v>126.0945</v>
      </c>
      <c r="V950" s="35">
        <f>IFERROR(Tabela3[[#This Row],[Custo M.O. / H]]/((Tabela3[[#This Row],[Realizado]]/Tabela3[[#This Row],[Qdt Peça Placa]])/Tabela3[[#This Row],[Tempo]]/24),)</f>
        <v>9.4570875000000001</v>
      </c>
      <c r="W950" s="35">
        <f>Tabela3[[#This Row],[Custo / Cx Moldada]]*Tabela3[[#This Row],[Qtde Cx Produzida]]</f>
        <v>37.82835</v>
      </c>
      <c r="X950" s="35">
        <f ca="1">Tabela3[[#This Row],[Aluminio Util]]*Tabela3[[#This Row],[Custo/Kg]]</f>
        <v>52.416000000000011</v>
      </c>
      <c r="Y950" s="35">
        <f>IFERROR(VLOOKUP(Tabela3[[#This Row],[Data]],Tabela461213[],2,1)*(Tabela3[[#This Row],[Qtde Cx Produzida]]*Tabela3[[#This Row],[Qde macho / CX]]*Tabela3[[#This Row],[Peso Macho]]),)</f>
        <v>0</v>
      </c>
      <c r="Z950" s="35">
        <f>IFERROR(Tabela3[[#This Row],[Qtde Oleo]]*(VLOOKUP(Tabela3[[#This Row],[Data]],CompraOleo[],3,TRUE))*1.05,0)</f>
        <v>6.9345114112719992</v>
      </c>
      <c r="AA950" s="47">
        <f ca="1">(Tabela3[[#This Row],[Custo Oleo]]+Tabela3[[#This Row],[Custo Aluminio]]+Tabela3[[#This Row],[Custo M.O. Total]]+Tabela3[[#This Row],[Custo Machos]])</f>
        <v>97.17886141127201</v>
      </c>
      <c r="AB950" s="47">
        <f ca="1">Tabela3[[#This Row],[Custo Total]]*Tabela3[[#This Row],[% Perda]]</f>
        <v>0</v>
      </c>
      <c r="AC950" s="48">
        <f>IFERROR(VLOOKUP(Tabela3[[#This Row],[Produto]],Tabela2[],2,0),0)</f>
        <v>6</v>
      </c>
      <c r="AD950" s="48">
        <f>IFERROR(VLOOKUP(Tabela3[[#This Row],[Produto]],Tabela2[],3,0),0)</f>
        <v>0.14000000000000001</v>
      </c>
      <c r="AE950" s="48">
        <f>IFERROR(VLOOKUP(Tabela3[[#This Row],[Produto]],Tabela2[],4,0),0)</f>
        <v>1.488</v>
      </c>
      <c r="AF950" s="48">
        <f>IFERROR(VLOOKUP(Tabela3[[#This Row],[Produto]],Tabela2[],5,0),0)</f>
        <v>0.58319999999999994</v>
      </c>
      <c r="AG950" s="40">
        <f>IFERROR(VLOOKUP(Tabela3[[#This Row],[Produto]],Tabela2[],6,0),0)</f>
        <v>0</v>
      </c>
      <c r="AH950" s="40">
        <f>IFERROR(VLOOKUP(Tabela3[[#This Row],[Produto]],Tabela2[],7,0),0)</f>
        <v>0</v>
      </c>
      <c r="AI950" s="40">
        <f>IFERROR(VLOOKUP(Tabela3[[#This Row],[Produto]],Tabela2[],8,0),0)</f>
        <v>0</v>
      </c>
      <c r="AJ950" s="35">
        <f ca="1">IFERROR(VLOOKUP(Tabela3[[#This Row],[Produto]],Tabela2[],13,0),0)</f>
        <v>15.600000000000001</v>
      </c>
      <c r="AK950" s="40" t="str">
        <f>IFERROR(VLOOKUP(Tabela3[[#This Row],[Produto]],Tabela2[],14,0),0)</f>
        <v>Senun</v>
      </c>
      <c r="AL950" s="40">
        <f>IFERROR(VLOOKUP(Tabela3[[#This Row],[Produto]],Tabela2[],15,0),0)</f>
        <v>0</v>
      </c>
      <c r="AM950" s="36">
        <f ca="1">(Tabela3[[#This Row],[Custo Usinagem]]+Tabela3[[#This Row],[Custo / Pç]])*1.2</f>
        <v>4.8589430705636003</v>
      </c>
      <c r="AN950" s="36">
        <f ca="1">Tabela3[[#This Row],[Valor Mínimo Venda]]*1.15</f>
        <v>5.5877845311481398</v>
      </c>
      <c r="AO950" s="36">
        <f ca="1">Tabela3[[#This Row],[Tabela 1]]*1.08</f>
        <v>6.0348072936399912</v>
      </c>
      <c r="AP950" s="36">
        <f ca="1">Tabela3[[#This Row],[Tabela 2]]*1.15</f>
        <v>6.940028387685989</v>
      </c>
    </row>
    <row r="951" spans="1:42">
      <c r="A951" s="9">
        <v>46066</v>
      </c>
      <c r="B951" s="6" t="s">
        <v>155</v>
      </c>
      <c r="C951" s="14">
        <v>9020</v>
      </c>
      <c r="D951" s="6" t="s">
        <v>46</v>
      </c>
      <c r="E951" s="6" t="s">
        <v>44</v>
      </c>
      <c r="F951" s="6">
        <v>10</v>
      </c>
      <c r="G951" s="15">
        <v>4.3749999999999997E-2</v>
      </c>
      <c r="H951" s="16">
        <v>0</v>
      </c>
      <c r="I951" s="35">
        <f ca="1">IFERROR(Tabela3[[#This Row],[Custo Total]]/Tabela3[[#This Row],[Aluminio Util]],0)</f>
        <v>30.3919767946037</v>
      </c>
      <c r="J951" s="35">
        <f ca="1">Tabela3[[#This Row],[Custo Total]]/Tabela3[[#This Row],[Realizado]]</f>
        <v>7.901913966596962</v>
      </c>
      <c r="K951" s="37">
        <f>IFERROR(Tabela3[[#This Row],[Qtde Cx Produzida]]/Tabela3[[#This Row],[Tempo]]/24,0)</f>
        <v>9.5238095238095237</v>
      </c>
      <c r="L951" s="37">
        <f>Tabela3[[#This Row],[Qtde Cx Produzida]]*Tabela3[[#This Row],[Qdt Peça Placa]]</f>
        <v>40</v>
      </c>
      <c r="M951" s="37">
        <f>Tabela3[[#This Row],[Previsto]]-Tabela3[[#This Row],[Perda Pçs]]</f>
        <v>40</v>
      </c>
      <c r="N951" s="38">
        <f>IFERROR(Tabela3[[#This Row],[Perda Pçs]]/Tabela3[[#This Row],[Previsto]],0)</f>
        <v>0</v>
      </c>
      <c r="O951" s="39">
        <f>IFERROR(IF(Tabela3[[#This Row],[Qtde Cx Produzida]] &lt;&gt; 0, Tabela3[[#This Row],[Tempo]] / Tabela3[[#This Row],[Qtde Cx Produzida]], 0),0)</f>
        <v>4.3749999999999995E-3</v>
      </c>
      <c r="P951" s="57">
        <f>IFERROR(Tabela3[[#This Row],[Perda Pçs]]/Tabela3[[#This Row],[Qdt Peça Placa]],0)</f>
        <v>0</v>
      </c>
      <c r="Q951" s="37">
        <f>IFERROR(Tabela3[[#This Row],[Realizado]]*Tabela3[[#This Row],[Peso Util/Pç]],0)</f>
        <v>10.4</v>
      </c>
      <c r="R951" s="37">
        <f>IFERROR(Tabela3[[#This Row],[Peso Total Galho]]*Tabela3[[#This Row],[Qtde Cx Produzida]]*1.055,0)</f>
        <v>19.412000000000003</v>
      </c>
      <c r="S951" s="37">
        <f>(Tabela3[[#This Row],[Aluminio Bruto]]-Tabela3[[#This Row],[Aluminio Util]])*0.9</f>
        <v>8.1108000000000029</v>
      </c>
      <c r="T951" s="37">
        <f>Tabela3[[#This Row],[Aluminio Bruto]]/OleoKGAluminio</f>
        <v>8.1666033005251428</v>
      </c>
      <c r="U951" s="35">
        <f>IFERROR((VLOOKUP(Tabela3[[#This Row],[Moldador]],Tabela1[],5,)+(VLOOKUP(Tabela3[[#This Row],[Ajudante]],Tabela1[],5,))*3.5),0)</f>
        <v>126.0945</v>
      </c>
      <c r="V951" s="35">
        <f>IFERROR(Tabela3[[#This Row],[Custo M.O. / H]]/((Tabela3[[#This Row],[Realizado]]/Tabela3[[#This Row],[Qdt Peça Placa]])/Tabela3[[#This Row],[Tempo]]/24),)</f>
        <v>13.2399225</v>
      </c>
      <c r="W951" s="35">
        <f>Tabela3[[#This Row],[Custo / Cx Moldada]]*Tabela3[[#This Row],[Qtde Cx Produzida]]</f>
        <v>132.399225</v>
      </c>
      <c r="X951" s="35">
        <f ca="1">Tabela3[[#This Row],[Aluminio Util]]*Tabela3[[#This Row],[Custo/Kg]]</f>
        <v>162.24</v>
      </c>
      <c r="Y951" s="35">
        <f>IFERROR(VLOOKUP(Tabela3[[#This Row],[Data]],Tabela461213[],2,1)*(Tabela3[[#This Row],[Qtde Cx Produzida]]*Tabela3[[#This Row],[Qde macho / CX]]*Tabela3[[#This Row],[Peso Macho]]),)</f>
        <v>0</v>
      </c>
      <c r="Z951" s="35">
        <f>IFERROR(Tabela3[[#This Row],[Qtde Oleo]]*(VLOOKUP(Tabela3[[#This Row],[Data]],CompraOleo[],3,TRUE))*1.05,0)</f>
        <v>21.437333663878498</v>
      </c>
      <c r="AA951" s="47">
        <f ca="1">(Tabela3[[#This Row],[Custo Oleo]]+Tabela3[[#This Row],[Custo Aluminio]]+Tabela3[[#This Row],[Custo M.O. Total]]+Tabela3[[#This Row],[Custo Machos]])</f>
        <v>316.07655866387847</v>
      </c>
      <c r="AB951" s="47">
        <f ca="1">Tabela3[[#This Row],[Custo Total]]*Tabela3[[#This Row],[% Perda]]</f>
        <v>0</v>
      </c>
      <c r="AC951" s="48">
        <f>IFERROR(VLOOKUP(Tabela3[[#This Row],[Produto]],Tabela2[],2,0),0)</f>
        <v>4</v>
      </c>
      <c r="AD951" s="48">
        <f>IFERROR(VLOOKUP(Tabela3[[#This Row],[Produto]],Tabela2[],3,0),0)</f>
        <v>0.26</v>
      </c>
      <c r="AE951" s="48">
        <f>IFERROR(VLOOKUP(Tabela3[[#This Row],[Produto]],Tabela2[],4,0),0)</f>
        <v>1.84</v>
      </c>
      <c r="AF951" s="48">
        <f>IFERROR(VLOOKUP(Tabela3[[#This Row],[Produto]],Tabela2[],5,0),0)</f>
        <v>0.72000000000000008</v>
      </c>
      <c r="AG951" s="40">
        <f>IFERROR(VLOOKUP(Tabela3[[#This Row],[Produto]],Tabela2[],6,0),0)</f>
        <v>0</v>
      </c>
      <c r="AH951" s="40">
        <f>IFERROR(VLOOKUP(Tabela3[[#This Row],[Produto]],Tabela2[],7,0),0)</f>
        <v>0</v>
      </c>
      <c r="AI951" s="40">
        <f>IFERROR(VLOOKUP(Tabela3[[#This Row],[Produto]],Tabela2[],8,0),0)</f>
        <v>0</v>
      </c>
      <c r="AJ951" s="35">
        <f ca="1">IFERROR(VLOOKUP(Tabela3[[#This Row],[Produto]],Tabela2[],13,0),0)</f>
        <v>15.600000000000001</v>
      </c>
      <c r="AK951" s="40" t="str">
        <f>IFERROR(VLOOKUP(Tabela3[[#This Row],[Produto]],Tabela2[],14,0),0)</f>
        <v>Senun</v>
      </c>
      <c r="AL951" s="40">
        <f>IFERROR(VLOOKUP(Tabela3[[#This Row],[Produto]],Tabela2[],15,0),0)</f>
        <v>0</v>
      </c>
      <c r="AM951" s="36">
        <f ca="1">(Tabela3[[#This Row],[Custo Usinagem]]+Tabela3[[#This Row],[Custo / Pç]])*1.2</f>
        <v>9.4822967599163537</v>
      </c>
      <c r="AN951" s="36">
        <f ca="1">Tabela3[[#This Row],[Valor Mínimo Venda]]*1.15</f>
        <v>10.904641273903806</v>
      </c>
      <c r="AO951" s="36">
        <f ca="1">Tabela3[[#This Row],[Tabela 1]]*1.08</f>
        <v>11.777012575816112</v>
      </c>
      <c r="AP951" s="36">
        <f ca="1">Tabela3[[#This Row],[Tabela 2]]*1.15</f>
        <v>13.543564462188527</v>
      </c>
    </row>
    <row r="952" spans="1:42">
      <c r="A952" s="9">
        <v>46066</v>
      </c>
      <c r="B952" s="6" t="s">
        <v>145</v>
      </c>
      <c r="C952" s="14">
        <v>9025</v>
      </c>
      <c r="D952" s="6" t="s">
        <v>46</v>
      </c>
      <c r="E952" s="6" t="s">
        <v>44</v>
      </c>
      <c r="F952" s="6">
        <v>10</v>
      </c>
      <c r="G952" s="15">
        <v>5.1388888888888887E-2</v>
      </c>
      <c r="H952" s="16">
        <v>0</v>
      </c>
      <c r="I952" s="35">
        <f ca="1">IFERROR(Tabela3[[#This Row],[Custo Total]]/Tabela3[[#This Row],[Aluminio Util]],0)</f>
        <v>25.330900004644857</v>
      </c>
      <c r="J952" s="35">
        <f ca="1">Tabela3[[#This Row],[Custo Total]]/Tabela3[[#This Row],[Realizado]]</f>
        <v>25.685532604709884</v>
      </c>
      <c r="K952" s="37">
        <f>IFERROR(Tabela3[[#This Row],[Qtde Cx Produzida]]/Tabela3[[#This Row],[Tempo]]/24,0)</f>
        <v>8.1081081081081088</v>
      </c>
      <c r="L952" s="37">
        <f>Tabela3[[#This Row],[Qtde Cx Produzida]]*Tabela3[[#This Row],[Qdt Peça Placa]]</f>
        <v>20</v>
      </c>
      <c r="M952" s="37">
        <f>Tabela3[[#This Row],[Previsto]]-Tabela3[[#This Row],[Perda Pçs]]</f>
        <v>20</v>
      </c>
      <c r="N952" s="38">
        <f>IFERROR(Tabela3[[#This Row],[Perda Pçs]]/Tabela3[[#This Row],[Previsto]],0)</f>
        <v>0</v>
      </c>
      <c r="O952" s="39">
        <f>IFERROR(IF(Tabela3[[#This Row],[Qtde Cx Produzida]] &lt;&gt; 0, Tabela3[[#This Row],[Tempo]] / Tabela3[[#This Row],[Qtde Cx Produzida]], 0),0)</f>
        <v>5.138888888888889E-3</v>
      </c>
      <c r="P952" s="57">
        <f>IFERROR(Tabela3[[#This Row],[Perda Pçs]]/Tabela3[[#This Row],[Qdt Peça Placa]],0)</f>
        <v>0</v>
      </c>
      <c r="Q952" s="37">
        <f>IFERROR(Tabela3[[#This Row],[Realizado]]*Tabela3[[#This Row],[Peso Util/Pç]],0)</f>
        <v>20.28</v>
      </c>
      <c r="R952" s="37">
        <f>IFERROR(Tabela3[[#This Row],[Peso Total Galho]]*Tabela3[[#This Row],[Qtde Cx Produzida]]*1.055,0)</f>
        <v>37.874499999999998</v>
      </c>
      <c r="S952" s="37">
        <f>(Tabela3[[#This Row],[Aluminio Bruto]]-Tabela3[[#This Row],[Aluminio Util]])*0.9</f>
        <v>15.835049999999997</v>
      </c>
      <c r="T952" s="37">
        <f>Tabela3[[#This Row],[Aluminio Bruto]]/OleoKGAluminio</f>
        <v>15.933753178741986</v>
      </c>
      <c r="U952" s="35">
        <f>IFERROR((VLOOKUP(Tabela3[[#This Row],[Moldador]],Tabela1[],5,)+(VLOOKUP(Tabela3[[#This Row],[Ajudante]],Tabela1[],5,))*3.5),0)</f>
        <v>126.0945</v>
      </c>
      <c r="V952" s="35">
        <f>IFERROR(Tabela3[[#This Row],[Custo M.O. / H]]/((Tabela3[[#This Row],[Realizado]]/Tabela3[[#This Row],[Qdt Peça Placa]])/Tabela3[[#This Row],[Tempo]]/24),)</f>
        <v>15.551654999999998</v>
      </c>
      <c r="W952" s="35">
        <f>Tabela3[[#This Row],[Custo / Cx Moldada]]*Tabela3[[#This Row],[Qtde Cx Produzida]]</f>
        <v>155.51655</v>
      </c>
      <c r="X952" s="35">
        <f ca="1">Tabela3[[#This Row],[Aluminio Util]]*Tabela3[[#This Row],[Custo/Kg]]</f>
        <v>316.36800000000005</v>
      </c>
      <c r="Y952" s="35">
        <f>IFERROR(VLOOKUP(Tabela3[[#This Row],[Data]],Tabela461213[],2,1)*(Tabela3[[#This Row],[Qtde Cx Produzida]]*Tabela3[[#This Row],[Qde macho / CX]]*Tabela3[[#This Row],[Peso Macho]]),)</f>
        <v>0</v>
      </c>
      <c r="Z952" s="35">
        <f>IFERROR(Tabela3[[#This Row],[Qtde Oleo]]*(VLOOKUP(Tabela3[[#This Row],[Data]],CompraOleo[],3,TRUE))*1.05,0)</f>
        <v>41.826102094197715</v>
      </c>
      <c r="AA952" s="47">
        <f ca="1">(Tabela3[[#This Row],[Custo Oleo]]+Tabela3[[#This Row],[Custo Aluminio]]+Tabela3[[#This Row],[Custo M.O. Total]]+Tabela3[[#This Row],[Custo Machos]])</f>
        <v>513.71065209419771</v>
      </c>
      <c r="AB952" s="47">
        <f ca="1">Tabela3[[#This Row],[Custo Total]]*Tabela3[[#This Row],[% Perda]]</f>
        <v>0</v>
      </c>
      <c r="AC952" s="48">
        <f>IFERROR(VLOOKUP(Tabela3[[#This Row],[Produto]],Tabela2[],2,0),0)</f>
        <v>2</v>
      </c>
      <c r="AD952" s="48">
        <f>IFERROR(VLOOKUP(Tabela3[[#This Row],[Produto]],Tabela2[],3,0),0)</f>
        <v>1.014</v>
      </c>
      <c r="AE952" s="48">
        <f>IFERROR(VLOOKUP(Tabela3[[#This Row],[Produto]],Tabela2[],4,0),0)</f>
        <v>3.59</v>
      </c>
      <c r="AF952" s="48">
        <f>IFERROR(VLOOKUP(Tabela3[[#This Row],[Produto]],Tabela2[],5,0),0)</f>
        <v>1.4057999999999999</v>
      </c>
      <c r="AG952" s="40">
        <f>IFERROR(VLOOKUP(Tabela3[[#This Row],[Produto]],Tabela2[],6,0),0)</f>
        <v>0</v>
      </c>
      <c r="AH952" s="40">
        <f>IFERROR(VLOOKUP(Tabela3[[#This Row],[Produto]],Tabela2[],7,0),0)</f>
        <v>0</v>
      </c>
      <c r="AI952" s="40">
        <f>IFERROR(VLOOKUP(Tabela3[[#This Row],[Produto]],Tabela2[],8,0),0)</f>
        <v>0</v>
      </c>
      <c r="AJ952" s="35">
        <f ca="1">IFERROR(VLOOKUP(Tabela3[[#This Row],[Produto]],Tabela2[],13,0),0)</f>
        <v>15.600000000000001</v>
      </c>
      <c r="AK952" s="40" t="str">
        <f>IFERROR(VLOOKUP(Tabela3[[#This Row],[Produto]],Tabela2[],14,0),0)</f>
        <v>Senun</v>
      </c>
      <c r="AL952" s="40">
        <f>IFERROR(VLOOKUP(Tabela3[[#This Row],[Produto]],Tabela2[],15,0),0)</f>
        <v>6</v>
      </c>
      <c r="AM952" s="36">
        <f ca="1">(Tabela3[[#This Row],[Custo Usinagem]]+Tabela3[[#This Row],[Custo / Pç]])*1.2</f>
        <v>38.022639125651857</v>
      </c>
      <c r="AN952" s="36">
        <f ca="1">Tabela3[[#This Row],[Valor Mínimo Venda]]*1.15</f>
        <v>43.726034994499635</v>
      </c>
      <c r="AO952" s="36">
        <f ca="1">Tabela3[[#This Row],[Tabela 1]]*1.08</f>
        <v>47.224117794059609</v>
      </c>
      <c r="AP952" s="36">
        <f ca="1">Tabela3[[#This Row],[Tabela 2]]*1.15</f>
        <v>54.307735463168548</v>
      </c>
    </row>
    <row r="953" spans="1:42">
      <c r="A953" s="9">
        <v>46066</v>
      </c>
      <c r="B953" s="6" t="s">
        <v>156</v>
      </c>
      <c r="C953" s="14">
        <v>9024</v>
      </c>
      <c r="D953" s="6" t="s">
        <v>46</v>
      </c>
      <c r="E953" s="6" t="s">
        <v>44</v>
      </c>
      <c r="F953" s="6">
        <v>28</v>
      </c>
      <c r="G953" s="15">
        <v>0.13472222222222222</v>
      </c>
      <c r="H953" s="16">
        <v>0</v>
      </c>
      <c r="I953" s="35">
        <f ca="1">IFERROR(Tabela3[[#This Row],[Custo Total]]/Tabela3[[#This Row],[Aluminio Util]],0)</f>
        <v>31.503305571279437</v>
      </c>
      <c r="J953" s="35">
        <f ca="1">Tabela3[[#This Row],[Custo Total]]/Tabela3[[#This Row],[Realizado]]</f>
        <v>16.570738730492984</v>
      </c>
      <c r="K953" s="37">
        <f>IFERROR(Tabela3[[#This Row],[Qtde Cx Produzida]]/Tabela3[[#This Row],[Tempo]]/24,0)</f>
        <v>8.6597938144329891</v>
      </c>
      <c r="L953" s="37">
        <f>Tabela3[[#This Row],[Qtde Cx Produzida]]*Tabela3[[#This Row],[Qdt Peça Placa]]</f>
        <v>56</v>
      </c>
      <c r="M953" s="37">
        <f>Tabela3[[#This Row],[Previsto]]-Tabela3[[#This Row],[Perda Pçs]]</f>
        <v>56</v>
      </c>
      <c r="N953" s="38">
        <f>IFERROR(Tabela3[[#This Row],[Perda Pçs]]/Tabela3[[#This Row],[Previsto]],0)</f>
        <v>0</v>
      </c>
      <c r="O953" s="39">
        <f>IFERROR(IF(Tabela3[[#This Row],[Qtde Cx Produzida]] &lt;&gt; 0, Tabela3[[#This Row],[Tempo]] / Tabela3[[#This Row],[Qtde Cx Produzida]], 0),0)</f>
        <v>4.8115079365079359E-3</v>
      </c>
      <c r="P953" s="57">
        <f>IFERROR(Tabela3[[#This Row],[Perda Pçs]]/Tabela3[[#This Row],[Qdt Peça Placa]],0)</f>
        <v>0</v>
      </c>
      <c r="Q953" s="37">
        <f>IFERROR(Tabela3[[#This Row],[Realizado]]*Tabela3[[#This Row],[Peso Util/Pç]],0)</f>
        <v>29.456000000000003</v>
      </c>
      <c r="R953" s="37">
        <f>IFERROR(Tabela3[[#This Row],[Peso Total Galho]]*Tabela3[[#This Row],[Qtde Cx Produzida]]*1.055,0)</f>
        <v>55.003479999999996</v>
      </c>
      <c r="S953" s="37">
        <f>(Tabela3[[#This Row],[Aluminio Bruto]]-Tabela3[[#This Row],[Aluminio Util]])*0.9</f>
        <v>22.992731999999993</v>
      </c>
      <c r="T953" s="37">
        <f>Tabela3[[#This Row],[Aluminio Bruto]]/OleoKGAluminio</f>
        <v>23.139892917183627</v>
      </c>
      <c r="U953" s="35">
        <f>IFERROR((VLOOKUP(Tabela3[[#This Row],[Moldador]],Tabela1[],5,)+(VLOOKUP(Tabela3[[#This Row],[Ajudante]],Tabela1[],5,))*3.5),0)</f>
        <v>126.0945</v>
      </c>
      <c r="V953" s="35">
        <f>IFERROR(Tabela3[[#This Row],[Custo M.O. / H]]/((Tabela3[[#This Row],[Realizado]]/Tabela3[[#This Row],[Qdt Peça Placa]])/Tabela3[[#This Row],[Tempo]]/24),)</f>
        <v>14.560912500000001</v>
      </c>
      <c r="W953" s="35">
        <f>Tabela3[[#This Row],[Custo / Cx Moldada]]*Tabela3[[#This Row],[Qtde Cx Produzida]]</f>
        <v>407.70555000000002</v>
      </c>
      <c r="X953" s="35">
        <f ca="1">Tabela3[[#This Row],[Aluminio Util]]*Tabela3[[#This Row],[Custo/Kg]]</f>
        <v>459.51360000000011</v>
      </c>
      <c r="Y953" s="35">
        <f>IFERROR(VLOOKUP(Tabela3[[#This Row],[Data]],Tabela461213[],2,1)*(Tabela3[[#This Row],[Qtde Cx Produzida]]*Tabela3[[#This Row],[Qde macho / CX]]*Tabela3[[#This Row],[Peso Macho]]),)</f>
        <v>0</v>
      </c>
      <c r="Z953" s="35">
        <f>IFERROR(Tabela3[[#This Row],[Qtde Oleo]]*(VLOOKUP(Tabela3[[#This Row],[Data]],CompraOleo[],3,TRUE))*1.05,0)</f>
        <v>60.742218907607025</v>
      </c>
      <c r="AA953" s="47">
        <f ca="1">(Tabela3[[#This Row],[Custo Oleo]]+Tabela3[[#This Row],[Custo Aluminio]]+Tabela3[[#This Row],[Custo M.O. Total]]+Tabela3[[#This Row],[Custo Machos]])</f>
        <v>927.96136890760715</v>
      </c>
      <c r="AB953" s="47">
        <f ca="1">Tabela3[[#This Row],[Custo Total]]*Tabela3[[#This Row],[% Perda]]</f>
        <v>0</v>
      </c>
      <c r="AC953" s="48">
        <f>IFERROR(VLOOKUP(Tabela3[[#This Row],[Produto]],Tabela2[],2,0),0)</f>
        <v>2</v>
      </c>
      <c r="AD953" s="48">
        <f>IFERROR(VLOOKUP(Tabela3[[#This Row],[Produto]],Tabela2[],3,0),0)</f>
        <v>0.52600000000000002</v>
      </c>
      <c r="AE953" s="48">
        <f>IFERROR(VLOOKUP(Tabela3[[#This Row],[Produto]],Tabela2[],4,0),0)</f>
        <v>1.8620000000000001</v>
      </c>
      <c r="AF953" s="48">
        <f>IFERROR(VLOOKUP(Tabela3[[#This Row],[Produto]],Tabela2[],5,0),0)</f>
        <v>0.72900000000000009</v>
      </c>
      <c r="AG953" s="40">
        <f>IFERROR(VLOOKUP(Tabela3[[#This Row],[Produto]],Tabela2[],6,0),0)</f>
        <v>0</v>
      </c>
      <c r="AH953" s="40">
        <f>IFERROR(VLOOKUP(Tabela3[[#This Row],[Produto]],Tabela2[],7,0),0)</f>
        <v>0</v>
      </c>
      <c r="AI953" s="40">
        <f>IFERROR(VLOOKUP(Tabela3[[#This Row],[Produto]],Tabela2[],8,0),0)</f>
        <v>0</v>
      </c>
      <c r="AJ953" s="35">
        <f ca="1">IFERROR(VLOOKUP(Tabela3[[#This Row],[Produto]],Tabela2[],13,0),0)</f>
        <v>15.600000000000001</v>
      </c>
      <c r="AK953" s="40" t="str">
        <f>IFERROR(VLOOKUP(Tabela3[[#This Row],[Produto]],Tabela2[],14,0),0)</f>
        <v>Senun</v>
      </c>
      <c r="AL953" s="40">
        <f>IFERROR(VLOOKUP(Tabela3[[#This Row],[Produto]],Tabela2[],15,0),0)</f>
        <v>0</v>
      </c>
      <c r="AM953" s="36">
        <f ca="1">(Tabela3[[#This Row],[Custo Usinagem]]+Tabela3[[#This Row],[Custo / Pç]])*1.2</f>
        <v>19.884886476591578</v>
      </c>
      <c r="AN953" s="36">
        <f ca="1">Tabela3[[#This Row],[Valor Mínimo Venda]]*1.15</f>
        <v>22.867619448080312</v>
      </c>
      <c r="AO953" s="36">
        <f ca="1">Tabela3[[#This Row],[Tabela 1]]*1.08</f>
        <v>24.697029003926737</v>
      </c>
      <c r="AP953" s="36">
        <f ca="1">Tabela3[[#This Row],[Tabela 2]]*1.15</f>
        <v>28.401583354515743</v>
      </c>
    </row>
    <row r="954" spans="1:42">
      <c r="A954" s="9">
        <v>46066</v>
      </c>
      <c r="B954" s="6" t="s">
        <v>160</v>
      </c>
      <c r="C954" s="14">
        <v>9071</v>
      </c>
      <c r="D954" s="6" t="s">
        <v>44</v>
      </c>
      <c r="E954" s="6" t="s">
        <v>47</v>
      </c>
      <c r="F954" s="6">
        <v>4</v>
      </c>
      <c r="G954" s="15">
        <v>8.3333333333333329E-2</v>
      </c>
      <c r="H954" s="16">
        <v>0</v>
      </c>
      <c r="I954" s="35">
        <f ca="1">IFERROR(Tabela3[[#This Row],[Custo Total]]/Tabela3[[#This Row],[Aluminio Util]],0)</f>
        <v>23.053562661891789</v>
      </c>
      <c r="J954" s="35">
        <f ca="1">Tabela3[[#This Row],[Custo Total]]/Tabela3[[#This Row],[Realizado]]</f>
        <v>274.91373474305959</v>
      </c>
      <c r="K954" s="37">
        <f>IFERROR(Tabela3[[#This Row],[Qtde Cx Produzida]]/Tabela3[[#This Row],[Tempo]]/24,0)</f>
        <v>2</v>
      </c>
      <c r="L954" s="37">
        <f>Tabela3[[#This Row],[Qtde Cx Produzida]]*Tabela3[[#This Row],[Qdt Peça Placa]]</f>
        <v>4</v>
      </c>
      <c r="M954" s="37">
        <f>Tabela3[[#This Row],[Previsto]]-Tabela3[[#This Row],[Perda Pçs]]</f>
        <v>4</v>
      </c>
      <c r="N954" s="38">
        <f>IFERROR(Tabela3[[#This Row],[Perda Pçs]]/Tabela3[[#This Row],[Previsto]],0)</f>
        <v>0</v>
      </c>
      <c r="O954" s="39">
        <f>IFERROR(IF(Tabela3[[#This Row],[Qtde Cx Produzida]] &lt;&gt; 0, Tabela3[[#This Row],[Tempo]] / Tabela3[[#This Row],[Qtde Cx Produzida]], 0),0)</f>
        <v>2.0833333333333332E-2</v>
      </c>
      <c r="P954" s="57">
        <f>IFERROR(Tabela3[[#This Row],[Perda Pçs]]/Tabela3[[#This Row],[Qdt Peça Placa]],0)</f>
        <v>0</v>
      </c>
      <c r="Q954" s="37">
        <f>IFERROR(Tabela3[[#This Row],[Realizado]]*Tabela3[[#This Row],[Peso Util/Pç]],0)</f>
        <v>47.7</v>
      </c>
      <c r="R954" s="37">
        <f>IFERROR(Tabela3[[#This Row],[Peso Total Galho]]*Tabela3[[#This Row],[Qtde Cx Produzida]]*1.055,0)</f>
        <v>54.543500000000002</v>
      </c>
      <c r="S954" s="37">
        <f>(Tabela3[[#This Row],[Aluminio Bruto]]-Tabela3[[#This Row],[Aluminio Util]])*0.9</f>
        <v>6.1591499999999995</v>
      </c>
      <c r="T954" s="37">
        <f>Tabela3[[#This Row],[Aluminio Bruto]]/OleoKGAluminio</f>
        <v>22.946379925932053</v>
      </c>
      <c r="U954" s="35">
        <f>IFERROR((VLOOKUP(Tabela3[[#This Row],[Moldador]],Tabela1[],5,)+(VLOOKUP(Tabela3[[#This Row],[Ajudante]],Tabela1[],5,))*3.5),0)</f>
        <v>99.95034583333333</v>
      </c>
      <c r="V954" s="35">
        <f>IFERROR(Tabela3[[#This Row],[Custo M.O. / H]]/((Tabela3[[#This Row],[Realizado]]/Tabela3[[#This Row],[Qdt Peça Placa]])/Tabela3[[#This Row],[Tempo]]/24),)</f>
        <v>49.975172916666665</v>
      </c>
      <c r="W954" s="35">
        <f>Tabela3[[#This Row],[Custo / Cx Moldada]]*Tabela3[[#This Row],[Qtde Cx Produzida]]</f>
        <v>199.90069166666666</v>
      </c>
      <c r="X954" s="35">
        <f ca="1">Tabela3[[#This Row],[Aluminio Util]]*Tabela3[[#This Row],[Custo/Kg]]</f>
        <v>839.5200000000001</v>
      </c>
      <c r="Y954" s="35">
        <f>IFERROR(VLOOKUP(Tabela3[[#This Row],[Data]],Tabela461213[],2,1)*(Tabela3[[#This Row],[Qtde Cx Produzida]]*Tabela3[[#This Row],[Qde macho / CX]]*Tabela3[[#This Row],[Peso Macho]]),)</f>
        <v>0</v>
      </c>
      <c r="Z954" s="35">
        <f>IFERROR(Tabela3[[#This Row],[Qtde Oleo]]*(VLOOKUP(Tabela3[[#This Row],[Data]],CompraOleo[],3,TRUE))*1.05,0)</f>
        <v>60.234247305571643</v>
      </c>
      <c r="AA954" s="47">
        <f ca="1">(Tabela3[[#This Row],[Custo Oleo]]+Tabela3[[#This Row],[Custo Aluminio]]+Tabela3[[#This Row],[Custo M.O. Total]]+Tabela3[[#This Row],[Custo Machos]])</f>
        <v>1099.6549389722384</v>
      </c>
      <c r="AB954" s="47">
        <f ca="1">Tabela3[[#This Row],[Custo Total]]*Tabela3[[#This Row],[% Perda]]</f>
        <v>0</v>
      </c>
      <c r="AC954" s="48">
        <f>IFERROR(VLOOKUP(Tabela3[[#This Row],[Produto]],Tabela2[],2,0),0)</f>
        <v>1</v>
      </c>
      <c r="AD954" s="48">
        <f>IFERROR(VLOOKUP(Tabela3[[#This Row],[Produto]],Tabela2[],3,0),0)</f>
        <v>11.925000000000001</v>
      </c>
      <c r="AE954" s="48">
        <f>IFERROR(VLOOKUP(Tabela3[[#This Row],[Produto]],Tabela2[],4,0),0)</f>
        <v>12.925000000000001</v>
      </c>
      <c r="AF954" s="48">
        <f>IFERROR(VLOOKUP(Tabela3[[#This Row],[Produto]],Tabela2[],5,0),0)</f>
        <v>0.9</v>
      </c>
      <c r="AG954" s="40">
        <f>IFERROR(VLOOKUP(Tabela3[[#This Row],[Produto]],Tabela2[],6,0),0)</f>
        <v>0</v>
      </c>
      <c r="AH954" s="40">
        <f>IFERROR(VLOOKUP(Tabela3[[#This Row],[Produto]],Tabela2[],7,0),0)</f>
        <v>0</v>
      </c>
      <c r="AI954" s="40">
        <f>IFERROR(VLOOKUP(Tabela3[[#This Row],[Produto]],Tabela2[],8,0),0)</f>
        <v>0</v>
      </c>
      <c r="AJ954" s="35">
        <f ca="1">IFERROR(VLOOKUP(Tabela3[[#This Row],[Produto]],Tabela2[],13,0),0)</f>
        <v>17.600000000000001</v>
      </c>
      <c r="AK954" s="40" t="str">
        <f>IFERROR(VLOOKUP(Tabela3[[#This Row],[Produto]],Tabela2[],14,0),0)</f>
        <v>Oscar</v>
      </c>
      <c r="AL954" s="40">
        <f>IFERROR(VLOOKUP(Tabela3[[#This Row],[Produto]],Tabela2[],15,0),0)</f>
        <v>0</v>
      </c>
      <c r="AM954" s="36">
        <f ca="1">(Tabela3[[#This Row],[Custo Usinagem]]+Tabela3[[#This Row],[Custo / Pç]])*1.2</f>
        <v>329.89648169167151</v>
      </c>
      <c r="AN954" s="36">
        <f ca="1">Tabela3[[#This Row],[Valor Mínimo Venda]]*1.15</f>
        <v>379.38095394542222</v>
      </c>
      <c r="AO954" s="36">
        <f ca="1">Tabela3[[#This Row],[Tabela 1]]*1.08</f>
        <v>409.731430261056</v>
      </c>
      <c r="AP954" s="36">
        <f ca="1">Tabela3[[#This Row],[Tabela 2]]*1.15</f>
        <v>471.19114480021437</v>
      </c>
    </row>
    <row r="955" spans="1:42">
      <c r="A955" s="9">
        <v>46066</v>
      </c>
      <c r="B955" s="6" t="s">
        <v>109</v>
      </c>
      <c r="C955" s="14">
        <v>9070</v>
      </c>
      <c r="D955" s="6" t="s">
        <v>46</v>
      </c>
      <c r="E955" s="6" t="s">
        <v>44</v>
      </c>
      <c r="F955" s="6">
        <v>10</v>
      </c>
      <c r="G955" s="15">
        <v>8.3333333333333329E-2</v>
      </c>
      <c r="H955" s="16">
        <v>10</v>
      </c>
      <c r="I955" s="35">
        <f ca="1">IFERROR(Tabela3[[#This Row],[Custo Total]]/Tabela3[[#This Row],[Aluminio Util]],0)</f>
        <v>27.122991769310648</v>
      </c>
      <c r="J955" s="35">
        <f ca="1">Tabela3[[#This Row],[Custo Total]]/Tabela3[[#This Row],[Realizado]]</f>
        <v>67.807479423276618</v>
      </c>
      <c r="K955" s="37">
        <f>IFERROR(Tabela3[[#This Row],[Qtde Cx Produzida]]/Tabela3[[#This Row],[Tempo]]/24,0)</f>
        <v>5</v>
      </c>
      <c r="L955" s="37">
        <f>Tabela3[[#This Row],[Qtde Cx Produzida]]*Tabela3[[#This Row],[Qdt Peça Placa]]</f>
        <v>30</v>
      </c>
      <c r="M955" s="37">
        <f>Tabela3[[#This Row],[Previsto]]-Tabela3[[#This Row],[Perda Pçs]]</f>
        <v>20</v>
      </c>
      <c r="N955" s="38">
        <f>IFERROR(Tabela3[[#This Row],[Perda Pçs]]/Tabela3[[#This Row],[Previsto]],0)</f>
        <v>0.33333333333333331</v>
      </c>
      <c r="O955" s="39">
        <f>IFERROR(IF(Tabela3[[#This Row],[Qtde Cx Produzida]] &lt;&gt; 0, Tabela3[[#This Row],[Tempo]] / Tabela3[[#This Row],[Qtde Cx Produzida]], 0),0)</f>
        <v>8.3333333333333332E-3</v>
      </c>
      <c r="P955" s="57">
        <f>IFERROR(Tabela3[[#This Row],[Perda Pçs]]/Tabela3[[#This Row],[Qdt Peça Placa]],0)</f>
        <v>3.3333333333333335</v>
      </c>
      <c r="Q955" s="37">
        <f>IFERROR(Tabela3[[#This Row],[Realizado]]*Tabela3[[#This Row],[Peso Util/Pç]],0)</f>
        <v>50</v>
      </c>
      <c r="R955" s="37">
        <f>IFERROR(Tabela3[[#This Row],[Peso Total Galho]]*Tabela3[[#This Row],[Qtde Cx Produzida]]*1.055,0)</f>
        <v>88.61999999999999</v>
      </c>
      <c r="S955" s="37">
        <f>(Tabela3[[#This Row],[Aluminio Bruto]]-Tabela3[[#This Row],[Aluminio Util]])*0.9</f>
        <v>34.757999999999996</v>
      </c>
      <c r="T955" s="37">
        <f>Tabela3[[#This Row],[Aluminio Bruto]]/OleoKGAluminio</f>
        <v>37.28231941544086</v>
      </c>
      <c r="U955" s="35">
        <f>IFERROR((VLOOKUP(Tabela3[[#This Row],[Moldador]],Tabela1[],5,)+(VLOOKUP(Tabela3[[#This Row],[Ajudante]],Tabela1[],5,))*3.5),0)</f>
        <v>126.0945</v>
      </c>
      <c r="V955" s="35">
        <f>IFERROR(Tabela3[[#This Row],[Custo M.O. / H]]/((Tabela3[[#This Row],[Realizado]]/Tabela3[[#This Row],[Qdt Peça Placa]])/Tabela3[[#This Row],[Tempo]]/24),)</f>
        <v>37.828349999999993</v>
      </c>
      <c r="W955" s="35">
        <f>Tabela3[[#This Row],[Custo / Cx Moldada]]*Tabela3[[#This Row],[Qtde Cx Produzida]]</f>
        <v>378.28349999999995</v>
      </c>
      <c r="X955" s="35">
        <f ca="1">Tabela3[[#This Row],[Aluminio Util]]*Tabela3[[#This Row],[Custo/Kg]]</f>
        <v>880.00000000000011</v>
      </c>
      <c r="Y955" s="35">
        <f>IFERROR(VLOOKUP(Tabela3[[#This Row],[Data]],Tabela461213[],2,1)*(Tabela3[[#This Row],[Qtde Cx Produzida]]*Tabela3[[#This Row],[Qde macho / CX]]*Tabela3[[#This Row],[Peso Macho]]),)</f>
        <v>0</v>
      </c>
      <c r="Z955" s="35">
        <f>IFERROR(Tabela3[[#This Row],[Qtde Oleo]]*(VLOOKUP(Tabela3[[#This Row],[Data]],CompraOleo[],3,TRUE))*1.05,0)</f>
        <v>97.866088465532258</v>
      </c>
      <c r="AA955" s="47">
        <f ca="1">(Tabela3[[#This Row],[Custo Oleo]]+Tabela3[[#This Row],[Custo Aluminio]]+Tabela3[[#This Row],[Custo M.O. Total]]+Tabela3[[#This Row],[Custo Machos]])</f>
        <v>1356.1495884655324</v>
      </c>
      <c r="AB955" s="47">
        <f ca="1">Tabela3[[#This Row],[Custo Total]]*Tabela3[[#This Row],[% Perda]]</f>
        <v>452.0498628218441</v>
      </c>
      <c r="AC955" s="48">
        <f>IFERROR(VLOOKUP(Tabela3[[#This Row],[Produto]],Tabela2[],2,0),0)</f>
        <v>3</v>
      </c>
      <c r="AD955" s="48">
        <f>IFERROR(VLOOKUP(Tabela3[[#This Row],[Produto]],Tabela2[],3,0),0)</f>
        <v>2.5</v>
      </c>
      <c r="AE955" s="48">
        <f>IFERROR(VLOOKUP(Tabela3[[#This Row],[Produto]],Tabela2[],4,0),0)</f>
        <v>8.4</v>
      </c>
      <c r="AF955" s="48">
        <f>IFERROR(VLOOKUP(Tabela3[[#This Row],[Produto]],Tabela2[],5,0),0)</f>
        <v>0.81000000000000039</v>
      </c>
      <c r="AG955" s="40">
        <f>IFERROR(VLOOKUP(Tabela3[[#This Row],[Produto]],Tabela2[],6,0),0)</f>
        <v>0</v>
      </c>
      <c r="AH955" s="40">
        <f>IFERROR(VLOOKUP(Tabela3[[#This Row],[Produto]],Tabela2[],7,0),0)</f>
        <v>0</v>
      </c>
      <c r="AI955" s="40">
        <f>IFERROR(VLOOKUP(Tabela3[[#This Row],[Produto]],Tabela2[],8,0),0)</f>
        <v>0</v>
      </c>
      <c r="AJ955" s="35">
        <f ca="1">IFERROR(VLOOKUP(Tabela3[[#This Row],[Produto]],Tabela2[],13,0),0)</f>
        <v>17.600000000000001</v>
      </c>
      <c r="AK955" s="40" t="str">
        <f>IFERROR(VLOOKUP(Tabela3[[#This Row],[Produto]],Tabela2[],14,0),0)</f>
        <v>MGA</v>
      </c>
      <c r="AL955" s="40">
        <f>IFERROR(VLOOKUP(Tabela3[[#This Row],[Produto]],Tabela2[],15,0),0)</f>
        <v>0</v>
      </c>
      <c r="AM955" s="36">
        <f ca="1">(Tabela3[[#This Row],[Custo Usinagem]]+Tabela3[[#This Row],[Custo / Pç]])*1.2</f>
        <v>81.368975307931933</v>
      </c>
      <c r="AN955" s="36">
        <f ca="1">Tabela3[[#This Row],[Valor Mínimo Venda]]*1.15</f>
        <v>93.574321604121721</v>
      </c>
      <c r="AO955" s="36">
        <f ca="1">Tabela3[[#This Row],[Tabela 1]]*1.08</f>
        <v>101.06026733245146</v>
      </c>
      <c r="AP955" s="36">
        <f ca="1">Tabela3[[#This Row],[Tabela 2]]*1.15</f>
        <v>116.21930743231917</v>
      </c>
    </row>
    <row r="956" spans="1:42">
      <c r="A956" s="9">
        <v>46071</v>
      </c>
      <c r="B956" s="6" t="s">
        <v>96</v>
      </c>
      <c r="C956" s="14">
        <v>9077</v>
      </c>
      <c r="D956" s="6" t="s">
        <v>46</v>
      </c>
      <c r="E956" s="6" t="s">
        <v>44</v>
      </c>
      <c r="F956" s="6">
        <v>15</v>
      </c>
      <c r="G956" s="15">
        <v>9.7222222222222224E-2</v>
      </c>
      <c r="H956" s="16">
        <v>5</v>
      </c>
      <c r="I956" s="35">
        <f ca="1">IFERROR(Tabela3[[#This Row],[Custo Total]]/Tabela3[[#This Row],[Aluminio Util]],0)</f>
        <v>36.372776124556985</v>
      </c>
      <c r="J956" s="35">
        <f ca="1">Tabela3[[#This Row],[Custo Total]]/Tabela3[[#This Row],[Realizado]]</f>
        <v>32.153534094108373</v>
      </c>
      <c r="K956" s="37">
        <f>IFERROR(Tabela3[[#This Row],[Qtde Cx Produzida]]/Tabela3[[#This Row],[Tempo]]/24,0)</f>
        <v>6.4285714285714279</v>
      </c>
      <c r="L956" s="37">
        <f>Tabela3[[#This Row],[Qtde Cx Produzida]]*Tabela3[[#This Row],[Qdt Peça Placa]]</f>
        <v>45</v>
      </c>
      <c r="M956" s="37">
        <f>Tabela3[[#This Row],[Previsto]]-Tabela3[[#This Row],[Perda Pçs]]</f>
        <v>40</v>
      </c>
      <c r="N956" s="38">
        <f>IFERROR(Tabela3[[#This Row],[Perda Pçs]]/Tabela3[[#This Row],[Previsto]],0)</f>
        <v>0.1111111111111111</v>
      </c>
      <c r="O956" s="39">
        <f>IFERROR(IF(Tabela3[[#This Row],[Qtde Cx Produzida]] &lt;&gt; 0, Tabela3[[#This Row],[Tempo]] / Tabela3[[#This Row],[Qtde Cx Produzida]], 0),0)</f>
        <v>6.4814814814814813E-3</v>
      </c>
      <c r="P956" s="57">
        <f>IFERROR(Tabela3[[#This Row],[Perda Pçs]]/Tabela3[[#This Row],[Qdt Peça Placa]],0)</f>
        <v>1.6666666666666667</v>
      </c>
      <c r="Q956" s="37">
        <f>IFERROR(Tabela3[[#This Row],[Realizado]]*Tabela3[[#This Row],[Peso Util/Pç]],0)</f>
        <v>35.36</v>
      </c>
      <c r="R956" s="37">
        <f>IFERROR(Tabela3[[#This Row],[Peso Total Galho]]*Tabela3[[#This Row],[Qtde Cx Produzida]]*1.055,0)</f>
        <v>74.250899999999987</v>
      </c>
      <c r="S956" s="37">
        <f>(Tabela3[[#This Row],[Aluminio Bruto]]-Tabela3[[#This Row],[Aluminio Util]])*0.9</f>
        <v>35.001809999999992</v>
      </c>
      <c r="T956" s="37">
        <f>Tabela3[[#This Row],[Aluminio Bruto]]/OleoKGAluminio</f>
        <v>31.237257624508658</v>
      </c>
      <c r="U956" s="35">
        <f>IFERROR((VLOOKUP(Tabela3[[#This Row],[Moldador]],Tabela1[],5,)+(VLOOKUP(Tabela3[[#This Row],[Ajudante]],Tabela1[],5,))*3.5),0)</f>
        <v>126.0945</v>
      </c>
      <c r="V956" s="35">
        <f>IFERROR(Tabela3[[#This Row],[Custo M.O. / H]]/((Tabela3[[#This Row],[Realizado]]/Tabela3[[#This Row],[Qdt Peça Placa]])/Tabela3[[#This Row],[Tempo]]/24),)</f>
        <v>22.066537499999999</v>
      </c>
      <c r="W956" s="35">
        <f>Tabela3[[#This Row],[Custo / Cx Moldada]]*Tabela3[[#This Row],[Qtde Cx Produzida]]</f>
        <v>330.9980625</v>
      </c>
      <c r="X956" s="35">
        <f ca="1">Tabela3[[#This Row],[Aluminio Util]]*Tabela3[[#This Row],[Custo/Kg]]</f>
        <v>551.61599999999999</v>
      </c>
      <c r="Y956" s="35">
        <f>IFERROR(VLOOKUP(Tabela3[[#This Row],[Data]],Tabela461213[],2,1)*(Tabela3[[#This Row],[Qtde Cx Produzida]]*Tabela3[[#This Row],[Qde macho / CX]]*Tabela3[[#This Row],[Peso Macho]]),)</f>
        <v>321.52949999999998</v>
      </c>
      <c r="Z956" s="35">
        <f>IFERROR(Tabela3[[#This Row],[Qtde Oleo]]*(VLOOKUP(Tabela3[[#This Row],[Data]],CompraOleo[],3,TRUE))*1.05,0)</f>
        <v>81.997801264335223</v>
      </c>
      <c r="AA956" s="47">
        <f ca="1">(Tabela3[[#This Row],[Custo Oleo]]+Tabela3[[#This Row],[Custo Aluminio]]+Tabela3[[#This Row],[Custo M.O. Total]]+Tabela3[[#This Row],[Custo Machos]])</f>
        <v>1286.141363764335</v>
      </c>
      <c r="AB956" s="47">
        <f ca="1">Tabela3[[#This Row],[Custo Total]]*Tabela3[[#This Row],[% Perda]]</f>
        <v>142.90459597381499</v>
      </c>
      <c r="AC956" s="48">
        <f>IFERROR(VLOOKUP(Tabela3[[#This Row],[Produto]],Tabela2[],2,0),0)</f>
        <v>3</v>
      </c>
      <c r="AD956" s="48">
        <f>IFERROR(VLOOKUP(Tabela3[[#This Row],[Produto]],Tabela2[],3,0),0)</f>
        <v>0.88400000000000001</v>
      </c>
      <c r="AE956" s="48">
        <f>IFERROR(VLOOKUP(Tabela3[[#This Row],[Produto]],Tabela2[],4,0),0)</f>
        <v>4.6920000000000002</v>
      </c>
      <c r="AF956" s="48">
        <f>IFERROR(VLOOKUP(Tabela3[[#This Row],[Produto]],Tabela2[],5,0),0)</f>
        <v>1.8360000000000001</v>
      </c>
      <c r="AG956" s="40">
        <f>IFERROR(VLOOKUP(Tabela3[[#This Row],[Produto]],Tabela2[],6,0),0)</f>
        <v>0</v>
      </c>
      <c r="AH956" s="40">
        <f>IFERROR(VLOOKUP(Tabela3[[#This Row],[Produto]],Tabela2[],7,0),0)</f>
        <v>9</v>
      </c>
      <c r="AI956" s="40">
        <f>IFERROR(VLOOKUP(Tabela3[[#This Row],[Produto]],Tabela2[],8,0),0)</f>
        <v>1.401</v>
      </c>
      <c r="AJ956" s="35">
        <f ca="1">IFERROR(VLOOKUP(Tabela3[[#This Row],[Produto]],Tabela2[],13,0),0)</f>
        <v>15.600000000000001</v>
      </c>
      <c r="AK956" s="40" t="str">
        <f>IFERROR(VLOOKUP(Tabela3[[#This Row],[Produto]],Tabela2[],14,0),0)</f>
        <v>Jumil</v>
      </c>
      <c r="AL956" s="40">
        <f>IFERROR(VLOOKUP(Tabela3[[#This Row],[Produto]],Tabela2[],15,0),0)</f>
        <v>10</v>
      </c>
      <c r="AM956" s="36">
        <f ca="1">(Tabela3[[#This Row],[Custo Usinagem]]+Tabela3[[#This Row],[Custo / Pç]])*1.2</f>
        <v>50.584240912930049</v>
      </c>
      <c r="AN956" s="36">
        <f ca="1">Tabela3[[#This Row],[Valor Mínimo Venda]]*1.15</f>
        <v>58.171877049869551</v>
      </c>
      <c r="AO956" s="36">
        <f ca="1">Tabela3[[#This Row],[Tabela 1]]*1.08</f>
        <v>62.825627213859121</v>
      </c>
      <c r="AP956" s="36">
        <f ca="1">Tabela3[[#This Row],[Tabela 2]]*1.15</f>
        <v>72.24947129593798</v>
      </c>
    </row>
    <row r="957" spans="1:42">
      <c r="A957" s="9">
        <v>46071</v>
      </c>
      <c r="B957" s="6" t="s">
        <v>247</v>
      </c>
      <c r="C957" s="14">
        <v>9075</v>
      </c>
      <c r="D957" s="6" t="s">
        <v>46</v>
      </c>
      <c r="E957" s="6" t="s">
        <v>44</v>
      </c>
      <c r="F957" s="6">
        <v>38</v>
      </c>
      <c r="G957" s="15">
        <v>0.18055555555555555</v>
      </c>
      <c r="H957" s="16">
        <v>44</v>
      </c>
      <c r="I957" s="35">
        <f ca="1">IFERROR(Tabela3[[#This Row],[Custo Total]]/Tabela3[[#This Row],[Aluminio Util]],0)</f>
        <v>42.478028169172859</v>
      </c>
      <c r="J957" s="35">
        <f ca="1">Tabela3[[#This Row],[Custo Total]]/Tabela3[[#This Row],[Realizado]]</f>
        <v>12.743408450751858</v>
      </c>
      <c r="K957" s="37">
        <f>IFERROR(Tabela3[[#This Row],[Qtde Cx Produzida]]/Tabela3[[#This Row],[Tempo]]/24,0)</f>
        <v>8.7692307692307683</v>
      </c>
      <c r="L957" s="37">
        <f>Tabela3[[#This Row],[Qtde Cx Produzida]]*Tabela3[[#This Row],[Qdt Peça Placa]]</f>
        <v>152</v>
      </c>
      <c r="M957" s="37">
        <f>Tabela3[[#This Row],[Previsto]]-Tabela3[[#This Row],[Perda Pçs]]</f>
        <v>108</v>
      </c>
      <c r="N957" s="38">
        <f>IFERROR(Tabela3[[#This Row],[Perda Pçs]]/Tabela3[[#This Row],[Previsto]],0)</f>
        <v>0.28947368421052633</v>
      </c>
      <c r="O957" s="39">
        <f>IFERROR(IF(Tabela3[[#This Row],[Qtde Cx Produzida]] &lt;&gt; 0, Tabela3[[#This Row],[Tempo]] / Tabela3[[#This Row],[Qtde Cx Produzida]], 0),0)</f>
        <v>4.7514619883040933E-3</v>
      </c>
      <c r="P957" s="57">
        <f>IFERROR(Tabela3[[#This Row],[Perda Pçs]]/Tabela3[[#This Row],[Qdt Peça Placa]],0)</f>
        <v>11</v>
      </c>
      <c r="Q957" s="37">
        <f>IFERROR(Tabela3[[#This Row],[Realizado]]*Tabela3[[#This Row],[Peso Util/Pç]],0)</f>
        <v>32.4</v>
      </c>
      <c r="R957" s="37">
        <f>IFERROR(Tabela3[[#This Row],[Peso Total Galho]]*Tabela3[[#This Row],[Qtde Cx Produzida]]*1.055,0)</f>
        <v>92.206999999999979</v>
      </c>
      <c r="S957" s="37">
        <f>(Tabela3[[#This Row],[Aluminio Bruto]]-Tabela3[[#This Row],[Aluminio Util]])*0.9</f>
        <v>53.826299999999982</v>
      </c>
      <c r="T957" s="37">
        <f>Tabela3[[#This Row],[Aluminio Bruto]]/OleoKGAluminio</f>
        <v>38.791365677494412</v>
      </c>
      <c r="U957" s="35">
        <f>IFERROR((VLOOKUP(Tabela3[[#This Row],[Moldador]],Tabela1[],5,)+(VLOOKUP(Tabela3[[#This Row],[Ajudante]],Tabela1[],5,))*3.5),0)</f>
        <v>126.0945</v>
      </c>
      <c r="V957" s="35">
        <f>IFERROR(Tabela3[[#This Row],[Custo M.O. / H]]/((Tabela3[[#This Row],[Realizado]]/Tabela3[[#This Row],[Qdt Peça Placa]])/Tabela3[[#This Row],[Tempo]]/24),)</f>
        <v>20.237388888888887</v>
      </c>
      <c r="W957" s="35">
        <f>Tabela3[[#This Row],[Custo / Cx Moldada]]*Tabela3[[#This Row],[Qtde Cx Produzida]]</f>
        <v>769.02077777777777</v>
      </c>
      <c r="X957" s="35">
        <f ca="1">Tabela3[[#This Row],[Aluminio Util]]*Tabela3[[#This Row],[Custo/Kg]]</f>
        <v>505.44</v>
      </c>
      <c r="Y957" s="35">
        <f>IFERROR(VLOOKUP(Tabela3[[#This Row],[Data]],Tabela461213[],2,1)*(Tabela3[[#This Row],[Qtde Cx Produzida]]*Tabela3[[#This Row],[Qde macho / CX]]*Tabela3[[#This Row],[Peso Macho]]),)</f>
        <v>0</v>
      </c>
      <c r="Z957" s="35">
        <f>IFERROR(Tabela3[[#This Row],[Qtde Oleo]]*(VLOOKUP(Tabela3[[#This Row],[Data]],CompraOleo[],3,TRUE))*1.05,0)</f>
        <v>101.82733490342284</v>
      </c>
      <c r="AA957" s="47">
        <f ca="1">(Tabela3[[#This Row],[Custo Oleo]]+Tabela3[[#This Row],[Custo Aluminio]]+Tabela3[[#This Row],[Custo M.O. Total]]+Tabela3[[#This Row],[Custo Machos]])</f>
        <v>1376.2881126812006</v>
      </c>
      <c r="AB957" s="47">
        <f ca="1">Tabela3[[#This Row],[Custo Total]]*Tabela3[[#This Row],[% Perda]]</f>
        <v>398.39919051297915</v>
      </c>
      <c r="AC957" s="48">
        <f>IFERROR(VLOOKUP(Tabela3[[#This Row],[Produto]],Tabela2[],2,0),0)</f>
        <v>4</v>
      </c>
      <c r="AD957" s="48">
        <f>IFERROR(VLOOKUP(Tabela3[[#This Row],[Produto]],Tabela2[],3,0),0)</f>
        <v>0.3</v>
      </c>
      <c r="AE957" s="48">
        <f>IFERROR(VLOOKUP(Tabela3[[#This Row],[Produto]],Tabela2[],4,0),0)</f>
        <v>2.2999999999999998</v>
      </c>
      <c r="AF957" s="48">
        <f>IFERROR(VLOOKUP(Tabela3[[#This Row],[Produto]],Tabela2[],5,0),0)</f>
        <v>0.98999999999999988</v>
      </c>
      <c r="AG957" s="40">
        <f>IFERROR(VLOOKUP(Tabela3[[#This Row],[Produto]],Tabela2[],6,0),0)</f>
        <v>0</v>
      </c>
      <c r="AH957" s="40">
        <f>IFERROR(VLOOKUP(Tabela3[[#This Row],[Produto]],Tabela2[],7,0),0)</f>
        <v>0</v>
      </c>
      <c r="AI957" s="40">
        <f>IFERROR(VLOOKUP(Tabela3[[#This Row],[Produto]],Tabela2[],8,0),0)</f>
        <v>0</v>
      </c>
      <c r="AJ957" s="35">
        <f ca="1">IFERROR(VLOOKUP(Tabela3[[#This Row],[Produto]],Tabela2[],13,0),0)</f>
        <v>15.600000000000001</v>
      </c>
      <c r="AK957" s="40" t="str">
        <f>IFERROR(VLOOKUP(Tabela3[[#This Row],[Produto]],Tabela2[],14,0),0)</f>
        <v>Senun</v>
      </c>
      <c r="AL957" s="40">
        <f>IFERROR(VLOOKUP(Tabela3[[#This Row],[Produto]],Tabela2[],15,0),0)</f>
        <v>3.5</v>
      </c>
      <c r="AM957" s="36">
        <f ca="1">(Tabela3[[#This Row],[Custo Usinagem]]+Tabela3[[#This Row],[Custo / Pç]])*1.2</f>
        <v>19.492090140902228</v>
      </c>
      <c r="AN957" s="36">
        <f ca="1">Tabela3[[#This Row],[Valor Mínimo Venda]]*1.15</f>
        <v>22.415903662037561</v>
      </c>
      <c r="AO957" s="36">
        <f ca="1">Tabela3[[#This Row],[Tabela 1]]*1.08</f>
        <v>24.209175955000568</v>
      </c>
      <c r="AP957" s="36">
        <f ca="1">Tabela3[[#This Row],[Tabela 2]]*1.15</f>
        <v>27.84055234825065</v>
      </c>
    </row>
    <row r="958" spans="1:42">
      <c r="A958" s="9">
        <v>46071</v>
      </c>
      <c r="B958" s="6" t="s">
        <v>247</v>
      </c>
      <c r="C958" s="14">
        <v>9075</v>
      </c>
      <c r="D958" s="6" t="s">
        <v>44</v>
      </c>
      <c r="E958" s="6" t="s">
        <v>47</v>
      </c>
      <c r="F958" s="6">
        <v>12</v>
      </c>
      <c r="G958" s="15">
        <v>5.1388888888888887E-2</v>
      </c>
      <c r="H958" s="16">
        <v>10</v>
      </c>
      <c r="I958" s="35">
        <f ca="1">IFERROR(Tabela3[[#This Row],[Custo Total]]/Tabela3[[#This Row],[Aluminio Util]],0)</f>
        <v>32.079659492554036</v>
      </c>
      <c r="J958" s="35">
        <f ca="1">Tabela3[[#This Row],[Custo Total]]/Tabela3[[#This Row],[Realizado]]</f>
        <v>9.6238978477662105</v>
      </c>
      <c r="K958" s="37">
        <f>IFERROR(Tabela3[[#This Row],[Qtde Cx Produzida]]/Tabela3[[#This Row],[Tempo]]/24,0)</f>
        <v>9.7297297297297298</v>
      </c>
      <c r="L958" s="37">
        <f>Tabela3[[#This Row],[Qtde Cx Produzida]]*Tabela3[[#This Row],[Qdt Peça Placa]]</f>
        <v>48</v>
      </c>
      <c r="M958" s="37">
        <f>Tabela3[[#This Row],[Previsto]]-Tabela3[[#This Row],[Perda Pçs]]</f>
        <v>38</v>
      </c>
      <c r="N958" s="38">
        <f>IFERROR(Tabela3[[#This Row],[Perda Pçs]]/Tabela3[[#This Row],[Previsto]],0)</f>
        <v>0.20833333333333334</v>
      </c>
      <c r="O958" s="39">
        <f>IFERROR(IF(Tabela3[[#This Row],[Qtde Cx Produzida]] &lt;&gt; 0, Tabela3[[#This Row],[Tempo]] / Tabela3[[#This Row],[Qtde Cx Produzida]], 0),0)</f>
        <v>4.2824074074074075E-3</v>
      </c>
      <c r="P958" s="57">
        <f>IFERROR(Tabela3[[#This Row],[Perda Pçs]]/Tabela3[[#This Row],[Qdt Peça Placa]],0)</f>
        <v>2.5</v>
      </c>
      <c r="Q958" s="37">
        <f>IFERROR(Tabela3[[#This Row],[Realizado]]*Tabela3[[#This Row],[Peso Util/Pç]],0)</f>
        <v>11.4</v>
      </c>
      <c r="R958" s="37">
        <f>IFERROR(Tabela3[[#This Row],[Peso Total Galho]]*Tabela3[[#This Row],[Qtde Cx Produzida]]*1.055,0)</f>
        <v>29.117999999999995</v>
      </c>
      <c r="S958" s="37">
        <f>(Tabela3[[#This Row],[Aluminio Bruto]]-Tabela3[[#This Row],[Aluminio Util]])*0.9</f>
        <v>15.946199999999997</v>
      </c>
      <c r="T958" s="37">
        <f>Tabela3[[#This Row],[Aluminio Bruto]]/OleoKGAluminio</f>
        <v>12.249904950787709</v>
      </c>
      <c r="U958" s="35">
        <f>IFERROR((VLOOKUP(Tabela3[[#This Row],[Moldador]],Tabela1[],5,)+(VLOOKUP(Tabela3[[#This Row],[Ajudante]],Tabela1[],5,))*3.5),0)</f>
        <v>99.95034583333333</v>
      </c>
      <c r="V958" s="35">
        <f>IFERROR(Tabela3[[#This Row],[Custo M.O. / H]]/((Tabela3[[#This Row],[Realizado]]/Tabela3[[#This Row],[Qdt Peça Placa]])/Tabela3[[#This Row],[Tempo]]/24),)</f>
        <v>12.97600980994152</v>
      </c>
      <c r="W958" s="35">
        <f>Tabela3[[#This Row],[Custo / Cx Moldada]]*Tabela3[[#This Row],[Qtde Cx Produzida]]</f>
        <v>155.71211771929825</v>
      </c>
      <c r="X958" s="35">
        <f ca="1">Tabela3[[#This Row],[Aluminio Util]]*Tabela3[[#This Row],[Custo/Kg]]</f>
        <v>177.84000000000003</v>
      </c>
      <c r="Y958" s="35">
        <f>IFERROR(VLOOKUP(Tabela3[[#This Row],[Data]],Tabela461213[],2,1)*(Tabela3[[#This Row],[Qtde Cx Produzida]]*Tabela3[[#This Row],[Qde macho / CX]]*Tabela3[[#This Row],[Peso Macho]]),)</f>
        <v>0</v>
      </c>
      <c r="Z958" s="35">
        <f>IFERROR(Tabela3[[#This Row],[Qtde Oleo]]*(VLOOKUP(Tabela3[[#This Row],[Data]],CompraOleo[],3,TRUE))*1.05,0)</f>
        <v>32.156000495817736</v>
      </c>
      <c r="AA958" s="47">
        <f ca="1">(Tabela3[[#This Row],[Custo Oleo]]+Tabela3[[#This Row],[Custo Aluminio]]+Tabela3[[#This Row],[Custo M.O. Total]]+Tabela3[[#This Row],[Custo Machos]])</f>
        <v>365.70811821511603</v>
      </c>
      <c r="AB958" s="47">
        <f ca="1">Tabela3[[#This Row],[Custo Total]]*Tabela3[[#This Row],[% Perda]]</f>
        <v>76.189191294815842</v>
      </c>
      <c r="AC958" s="48">
        <f>IFERROR(VLOOKUP(Tabela3[[#This Row],[Produto]],Tabela2[],2,0),0)</f>
        <v>4</v>
      </c>
      <c r="AD958" s="48">
        <f>IFERROR(VLOOKUP(Tabela3[[#This Row],[Produto]],Tabela2[],3,0),0)</f>
        <v>0.3</v>
      </c>
      <c r="AE958" s="48">
        <f>IFERROR(VLOOKUP(Tabela3[[#This Row],[Produto]],Tabela2[],4,0),0)</f>
        <v>2.2999999999999998</v>
      </c>
      <c r="AF958" s="48">
        <f>IFERROR(VLOOKUP(Tabela3[[#This Row],[Produto]],Tabela2[],5,0),0)</f>
        <v>0.98999999999999988</v>
      </c>
      <c r="AG958" s="40">
        <f>IFERROR(VLOOKUP(Tabela3[[#This Row],[Produto]],Tabela2[],6,0),0)</f>
        <v>0</v>
      </c>
      <c r="AH958" s="40">
        <f>IFERROR(VLOOKUP(Tabela3[[#This Row],[Produto]],Tabela2[],7,0),0)</f>
        <v>0</v>
      </c>
      <c r="AI958" s="40">
        <f>IFERROR(VLOOKUP(Tabela3[[#This Row],[Produto]],Tabela2[],8,0),0)</f>
        <v>0</v>
      </c>
      <c r="AJ958" s="35">
        <f ca="1">IFERROR(VLOOKUP(Tabela3[[#This Row],[Produto]],Tabela2[],13,0),0)</f>
        <v>15.600000000000001</v>
      </c>
      <c r="AK958" s="40" t="str">
        <f>IFERROR(VLOOKUP(Tabela3[[#This Row],[Produto]],Tabela2[],14,0),0)</f>
        <v>Senun</v>
      </c>
      <c r="AL958" s="40">
        <f>IFERROR(VLOOKUP(Tabela3[[#This Row],[Produto]],Tabela2[],15,0),0)</f>
        <v>3.5</v>
      </c>
      <c r="AM958" s="36">
        <f ca="1">(Tabela3[[#This Row],[Custo Usinagem]]+Tabela3[[#This Row],[Custo / Pç]])*1.2</f>
        <v>15.748677417319453</v>
      </c>
      <c r="AN958" s="36">
        <f ca="1">Tabela3[[#This Row],[Valor Mínimo Venda]]*1.15</f>
        <v>18.11097902991737</v>
      </c>
      <c r="AO958" s="36">
        <f ca="1">Tabela3[[#This Row],[Tabela 1]]*1.08</f>
        <v>19.559857352310761</v>
      </c>
      <c r="AP958" s="36">
        <f ca="1">Tabela3[[#This Row],[Tabela 2]]*1.15</f>
        <v>22.493835955157373</v>
      </c>
    </row>
    <row r="959" spans="1:42">
      <c r="A959" s="9">
        <v>46071</v>
      </c>
      <c r="B959" s="6" t="s">
        <v>115</v>
      </c>
      <c r="C959" s="14">
        <v>9076</v>
      </c>
      <c r="D959" s="6" t="s">
        <v>46</v>
      </c>
      <c r="E959" s="6" t="s">
        <v>44</v>
      </c>
      <c r="F959" s="6">
        <v>10</v>
      </c>
      <c r="G959" s="15">
        <v>9.0277777777777776E-2</v>
      </c>
      <c r="H959" s="16">
        <v>0</v>
      </c>
      <c r="I959" s="35">
        <f ca="1">IFERROR(Tabela3[[#This Row],[Custo Total]]/Tabela3[[#This Row],[Aluminio Util]],0)</f>
        <v>28.353794123171173</v>
      </c>
      <c r="J959" s="35">
        <f ca="1">Tabela3[[#This Row],[Custo Total]]/Tabela3[[#This Row],[Realizado]]</f>
        <v>7.4286940602708471</v>
      </c>
      <c r="K959" s="37">
        <f>IFERROR(Tabela3[[#This Row],[Qtde Cx Produzida]]/Tabela3[[#This Row],[Tempo]]/24,0)</f>
        <v>4.6153846153846159</v>
      </c>
      <c r="L959" s="37">
        <f>Tabela3[[#This Row],[Qtde Cx Produzida]]*Tabela3[[#This Row],[Qdt Peça Placa]]</f>
        <v>120</v>
      </c>
      <c r="M959" s="37">
        <f>Tabela3[[#This Row],[Previsto]]-Tabela3[[#This Row],[Perda Pçs]]</f>
        <v>120</v>
      </c>
      <c r="N959" s="38">
        <f>IFERROR(Tabela3[[#This Row],[Perda Pçs]]/Tabela3[[#This Row],[Previsto]],0)</f>
        <v>0</v>
      </c>
      <c r="O959" s="39">
        <f>IFERROR(IF(Tabela3[[#This Row],[Qtde Cx Produzida]] &lt;&gt; 0, Tabela3[[#This Row],[Tempo]] / Tabela3[[#This Row],[Qtde Cx Produzida]], 0),0)</f>
        <v>9.0277777777777769E-3</v>
      </c>
      <c r="P959" s="57">
        <f>IFERROR(Tabela3[[#This Row],[Perda Pçs]]/Tabela3[[#This Row],[Qdt Peça Placa]],0)</f>
        <v>0</v>
      </c>
      <c r="Q959" s="37">
        <f>IFERROR(Tabela3[[#This Row],[Realizado]]*Tabela3[[#This Row],[Peso Util/Pç]],0)</f>
        <v>31.44</v>
      </c>
      <c r="R959" s="37">
        <f>IFERROR(Tabela3[[#This Row],[Peso Total Galho]]*Tabela3[[#This Row],[Qtde Cx Produzida]]*1.055,0)</f>
        <v>58.763500000000001</v>
      </c>
      <c r="S959" s="37">
        <f>(Tabela3[[#This Row],[Aluminio Bruto]]-Tabela3[[#This Row],[Aluminio Util]])*0.9</f>
        <v>24.591149999999999</v>
      </c>
      <c r="T959" s="37">
        <f>Tabela3[[#This Row],[Aluminio Bruto]]/OleoKGAluminio</f>
        <v>24.721728469524475</v>
      </c>
      <c r="U959" s="35">
        <f>IFERROR((VLOOKUP(Tabela3[[#This Row],[Moldador]],Tabela1[],5,)+(VLOOKUP(Tabela3[[#This Row],[Ajudante]],Tabela1[],5,))*3.5),0)</f>
        <v>126.0945</v>
      </c>
      <c r="V959" s="35">
        <f>IFERROR(Tabela3[[#This Row],[Custo M.O. / H]]/((Tabela3[[#This Row],[Realizado]]/Tabela3[[#This Row],[Qdt Peça Placa]])/Tabela3[[#This Row],[Tempo]]/24),)</f>
        <v>27.320474999999995</v>
      </c>
      <c r="W959" s="35">
        <f>Tabela3[[#This Row],[Custo / Cx Moldada]]*Tabela3[[#This Row],[Qtde Cx Produzida]]</f>
        <v>273.20474999999993</v>
      </c>
      <c r="X959" s="35">
        <f ca="1">Tabela3[[#This Row],[Aluminio Util]]*Tabela3[[#This Row],[Custo/Kg]]</f>
        <v>553.34400000000005</v>
      </c>
      <c r="Y959" s="35">
        <f>IFERROR(VLOOKUP(Tabela3[[#This Row],[Data]],Tabela461213[],2,1)*(Tabela3[[#This Row],[Qtde Cx Produzida]]*Tabela3[[#This Row],[Qde macho / CX]]*Tabela3[[#This Row],[Peso Macho]]),)</f>
        <v>0</v>
      </c>
      <c r="Z959" s="35">
        <f>IFERROR(Tabela3[[#This Row],[Qtde Oleo]]*(VLOOKUP(Tabela3[[#This Row],[Data]],CompraOleo[],3,TRUE))*1.05,0)</f>
        <v>64.894537232501747</v>
      </c>
      <c r="AA959" s="47">
        <f ca="1">(Tabela3[[#This Row],[Custo Oleo]]+Tabela3[[#This Row],[Custo Aluminio]]+Tabela3[[#This Row],[Custo M.O. Total]]+Tabela3[[#This Row],[Custo Machos]])</f>
        <v>891.44328723250169</v>
      </c>
      <c r="AB959" s="47">
        <f ca="1">Tabela3[[#This Row],[Custo Total]]*Tabela3[[#This Row],[% Perda]]</f>
        <v>0</v>
      </c>
      <c r="AC959" s="48">
        <f>IFERROR(VLOOKUP(Tabela3[[#This Row],[Produto]],Tabela2[],2,0),0)</f>
        <v>12</v>
      </c>
      <c r="AD959" s="48">
        <f>IFERROR(VLOOKUP(Tabela3[[#This Row],[Produto]],Tabela2[],3,0),0)</f>
        <v>0.26200000000000001</v>
      </c>
      <c r="AE959" s="48">
        <f>IFERROR(VLOOKUP(Tabela3[[#This Row],[Produto]],Tabela2[],4,0),0)</f>
        <v>5.57</v>
      </c>
      <c r="AF959" s="48">
        <f>IFERROR(VLOOKUP(Tabela3[[#This Row],[Produto]],Tabela2[],5,0),0)</f>
        <v>2.1834000000000002</v>
      </c>
      <c r="AG959" s="40">
        <f>IFERROR(VLOOKUP(Tabela3[[#This Row],[Produto]],Tabela2[],6,0),0)</f>
        <v>0</v>
      </c>
      <c r="AH959" s="40">
        <f>IFERROR(VLOOKUP(Tabela3[[#This Row],[Produto]],Tabela2[],7,0),0)</f>
        <v>0</v>
      </c>
      <c r="AI959" s="40">
        <f>IFERROR(VLOOKUP(Tabela3[[#This Row],[Produto]],Tabela2[],8,0),0)</f>
        <v>0</v>
      </c>
      <c r="AJ959" s="35">
        <f ca="1">IFERROR(VLOOKUP(Tabela3[[#This Row],[Produto]],Tabela2[],13,0),0)</f>
        <v>17.600000000000001</v>
      </c>
      <c r="AK959" s="40" t="str">
        <f>IFERROR(VLOOKUP(Tabela3[[#This Row],[Produto]],Tabela2[],14,0),0)</f>
        <v>Marcelo</v>
      </c>
      <c r="AL959" s="40">
        <f>IFERROR(VLOOKUP(Tabela3[[#This Row],[Produto]],Tabela2[],15,0),0)</f>
        <v>5</v>
      </c>
      <c r="AM959" s="36">
        <f ca="1">(Tabela3[[#This Row],[Custo Usinagem]]+Tabela3[[#This Row],[Custo / Pç]])*1.2</f>
        <v>14.914432872325015</v>
      </c>
      <c r="AN959" s="36">
        <f ca="1">Tabela3[[#This Row],[Valor Mínimo Venda]]*1.15</f>
        <v>17.151597803173768</v>
      </c>
      <c r="AO959" s="36">
        <f ca="1">Tabela3[[#This Row],[Tabela 1]]*1.08</f>
        <v>18.52372562742767</v>
      </c>
      <c r="AP959" s="36">
        <f ca="1">Tabela3[[#This Row],[Tabela 2]]*1.15</f>
        <v>21.302284471541817</v>
      </c>
    </row>
    <row r="960" spans="1:42">
      <c r="A960" s="9">
        <v>46072</v>
      </c>
      <c r="B960" s="9" t="s">
        <v>115</v>
      </c>
      <c r="C960" s="14">
        <v>9076</v>
      </c>
      <c r="D960" s="6" t="s">
        <v>46</v>
      </c>
      <c r="E960" s="6" t="s">
        <v>44</v>
      </c>
      <c r="F960" s="6">
        <v>10</v>
      </c>
      <c r="G960" s="15">
        <v>4.7222222222222221E-2</v>
      </c>
      <c r="H960" s="16">
        <v>50</v>
      </c>
      <c r="I960" s="35">
        <f ca="1">IFERROR(Tabela3[[#This Row],[Custo Total]]/Tabela3[[#This Row],[Aluminio Util]],0)</f>
        <v>34.496299740049167</v>
      </c>
      <c r="J960" s="35">
        <f ca="1">Tabela3[[#This Row],[Custo Total]]/Tabela3[[#This Row],[Realizado]]</f>
        <v>9.0380305318928826</v>
      </c>
      <c r="K960" s="37">
        <f>IFERROR(Tabela3[[#This Row],[Qtde Cx Produzida]]/Tabela3[[#This Row],[Tempo]]/24,0)</f>
        <v>8.8235294117647065</v>
      </c>
      <c r="L960" s="37">
        <f>Tabela3[[#This Row],[Qtde Cx Produzida]]*Tabela3[[#This Row],[Qdt Peça Placa]]</f>
        <v>120</v>
      </c>
      <c r="M960" s="37">
        <f>Tabela3[[#This Row],[Previsto]]-Tabela3[[#This Row],[Perda Pçs]]</f>
        <v>70</v>
      </c>
      <c r="N960" s="38">
        <f>IFERROR(Tabela3[[#This Row],[Perda Pçs]]/Tabela3[[#This Row],[Previsto]],0)</f>
        <v>0.41666666666666669</v>
      </c>
      <c r="O960" s="39">
        <f>IFERROR(IF(Tabela3[[#This Row],[Qtde Cx Produzida]] &lt;&gt; 0, Tabela3[[#This Row],[Tempo]] / Tabela3[[#This Row],[Qtde Cx Produzida]], 0),0)</f>
        <v>4.7222222222222223E-3</v>
      </c>
      <c r="P960" s="57">
        <f>IFERROR(Tabela3[[#This Row],[Perda Pçs]]/Tabela3[[#This Row],[Qdt Peça Placa]],0)</f>
        <v>4.166666666666667</v>
      </c>
      <c r="Q960" s="37">
        <f>IFERROR(Tabela3[[#This Row],[Realizado]]*Tabela3[[#This Row],[Peso Util/Pç]],0)</f>
        <v>18.34</v>
      </c>
      <c r="R960" s="37">
        <f>IFERROR(Tabela3[[#This Row],[Peso Total Galho]]*Tabela3[[#This Row],[Qtde Cx Produzida]]*1.055,0)</f>
        <v>58.763500000000001</v>
      </c>
      <c r="S960" s="37">
        <f>(Tabela3[[#This Row],[Aluminio Bruto]]-Tabela3[[#This Row],[Aluminio Util]])*0.9</f>
        <v>36.381150000000005</v>
      </c>
      <c r="T960" s="37">
        <f>Tabela3[[#This Row],[Aluminio Bruto]]/OleoKGAluminio</f>
        <v>24.721728469524475</v>
      </c>
      <c r="U960" s="35">
        <f>IFERROR((VLOOKUP(Tabela3[[#This Row],[Moldador]],Tabela1[],5,)+(VLOOKUP(Tabela3[[#This Row],[Ajudante]],Tabela1[],5,))*3.5),0)</f>
        <v>126.0945</v>
      </c>
      <c r="V960" s="35">
        <f>IFERROR(Tabela3[[#This Row],[Custo M.O. / H]]/((Tabela3[[#This Row],[Realizado]]/Tabela3[[#This Row],[Qdt Peça Placa]])/Tabela3[[#This Row],[Tempo]]/24),)</f>
        <v>24.498359999999998</v>
      </c>
      <c r="W960" s="35">
        <f>Tabela3[[#This Row],[Custo / Cx Moldada]]*Tabela3[[#This Row],[Qtde Cx Produzida]]</f>
        <v>244.98359999999997</v>
      </c>
      <c r="X960" s="35">
        <f ca="1">Tabela3[[#This Row],[Aluminio Util]]*Tabela3[[#This Row],[Custo/Kg]]</f>
        <v>322.78400000000005</v>
      </c>
      <c r="Y960" s="35">
        <f>IFERROR(VLOOKUP(Tabela3[[#This Row],[Data]],Tabela461213[],2,1)*(Tabela3[[#This Row],[Qtde Cx Produzida]]*Tabela3[[#This Row],[Qde macho / CX]]*Tabela3[[#This Row],[Peso Macho]]),)</f>
        <v>0</v>
      </c>
      <c r="Z960" s="35">
        <f>IFERROR(Tabela3[[#This Row],[Qtde Oleo]]*(VLOOKUP(Tabela3[[#This Row],[Data]],CompraOleo[],3,TRUE))*1.05,0)</f>
        <v>64.894537232501747</v>
      </c>
      <c r="AA960" s="47">
        <f ca="1">(Tabela3[[#This Row],[Custo Oleo]]+Tabela3[[#This Row],[Custo Aluminio]]+Tabela3[[#This Row],[Custo M.O. Total]]+Tabela3[[#This Row],[Custo Machos]])</f>
        <v>632.66213723250178</v>
      </c>
      <c r="AB960" s="47">
        <f ca="1">Tabela3[[#This Row],[Custo Total]]*Tabela3[[#This Row],[% Perda]]</f>
        <v>263.60922384687575</v>
      </c>
      <c r="AC960" s="40">
        <f>IFERROR(VLOOKUP(Tabela3[[#This Row],[Produto]],Tabela2[],2,0),0)</f>
        <v>12</v>
      </c>
      <c r="AD960" s="48">
        <f>IFERROR(VLOOKUP(Tabela3[[#This Row],[Produto]],Tabela2[],3,0),0)</f>
        <v>0.26200000000000001</v>
      </c>
      <c r="AE960" s="48">
        <f>IFERROR(VLOOKUP(Tabela3[[#This Row],[Produto]],Tabela2[],4,0),0)</f>
        <v>5.57</v>
      </c>
      <c r="AF960" s="48">
        <f>IFERROR(VLOOKUP(Tabela3[[#This Row],[Produto]],Tabela2[],5,0),0)</f>
        <v>2.1834000000000002</v>
      </c>
      <c r="AG960" s="48">
        <f>IFERROR(VLOOKUP(Tabela3[[#This Row],[Produto]],Tabela2[],6,0),0)</f>
        <v>0</v>
      </c>
      <c r="AH960" s="40">
        <f>IFERROR(VLOOKUP(Tabela3[[#This Row],[Produto]],Tabela2[],7,0),0)</f>
        <v>0</v>
      </c>
      <c r="AI960" s="40">
        <f>IFERROR(VLOOKUP(Tabela3[[#This Row],[Produto]],Tabela2[],8,0),0)</f>
        <v>0</v>
      </c>
      <c r="AJ960" s="35">
        <f ca="1">IFERROR(VLOOKUP(Tabela3[[#This Row],[Produto]],Tabela2[],13,0),0)</f>
        <v>17.600000000000001</v>
      </c>
      <c r="AK960" s="48" t="str">
        <f>IFERROR(VLOOKUP(Tabela3[[#This Row],[Produto]],Tabela2[],14,0),0)</f>
        <v>Marcelo</v>
      </c>
      <c r="AL960" s="40">
        <f>IFERROR(VLOOKUP(Tabela3[[#This Row],[Produto]],Tabela2[],15,0),0)</f>
        <v>5</v>
      </c>
      <c r="AM960" s="36">
        <f ca="1">(Tabela3[[#This Row],[Custo Usinagem]]+Tabela3[[#This Row],[Custo / Pç]])*1.2</f>
        <v>16.845636638271458</v>
      </c>
      <c r="AN960" s="36">
        <f ca="1">Tabela3[[#This Row],[Valor Mínimo Venda]]*1.15</f>
        <v>19.372482134012174</v>
      </c>
      <c r="AO960" s="36">
        <f ca="1">Tabela3[[#This Row],[Tabela 1]]*1.08</f>
        <v>20.922280704733147</v>
      </c>
      <c r="AP960" s="36">
        <f ca="1">Tabela3[[#This Row],[Tabela 2]]*1.15</f>
        <v>24.060622810443117</v>
      </c>
    </row>
    <row r="961" spans="1:42">
      <c r="A961" s="9">
        <v>46072</v>
      </c>
      <c r="B961" s="9" t="s">
        <v>135</v>
      </c>
      <c r="C961" s="14">
        <v>9079</v>
      </c>
      <c r="D961" s="6" t="s">
        <v>46</v>
      </c>
      <c r="E961" s="6" t="s">
        <v>44</v>
      </c>
      <c r="F961" s="6">
        <v>17</v>
      </c>
      <c r="G961" s="15">
        <v>8.0555555555555561E-2</v>
      </c>
      <c r="H961" s="16">
        <v>0</v>
      </c>
      <c r="I961" s="35">
        <f ca="1">IFERROR(Tabela3[[#This Row],[Custo Total]]/Tabela3[[#This Row],[Aluminio Util]],0)</f>
        <v>28.313974966865661</v>
      </c>
      <c r="J961" s="35">
        <f ca="1">Tabela3[[#This Row],[Custo Total]]/Tabela3[[#This Row],[Realizado]]</f>
        <v>50.115735691352221</v>
      </c>
      <c r="K961" s="37">
        <f>IFERROR(Tabela3[[#This Row],[Qtde Cx Produzida]]/Tabela3[[#This Row],[Tempo]]/24,0)</f>
        <v>8.7931034482758612</v>
      </c>
      <c r="L961" s="37">
        <f>Tabela3[[#This Row],[Qtde Cx Produzida]]*Tabela3[[#This Row],[Qdt Peça Placa]]</f>
        <v>17</v>
      </c>
      <c r="M961" s="37">
        <f>Tabela3[[#This Row],[Previsto]]-Tabela3[[#This Row],[Perda Pçs]]</f>
        <v>17</v>
      </c>
      <c r="N961" s="38">
        <f>IFERROR(Tabela3[[#This Row],[Perda Pçs]]/Tabela3[[#This Row],[Previsto]],0)</f>
        <v>0</v>
      </c>
      <c r="O961" s="39">
        <f>IFERROR(IF(Tabela3[[#This Row],[Qtde Cx Produzida]] &lt;&gt; 0, Tabela3[[#This Row],[Tempo]] / Tabela3[[#This Row],[Qtde Cx Produzida]], 0),0)</f>
        <v>4.7385620915032685E-3</v>
      </c>
      <c r="P961" s="57">
        <f>IFERROR(Tabela3[[#This Row],[Perda Pçs]]/Tabela3[[#This Row],[Qdt Peça Placa]],0)</f>
        <v>0</v>
      </c>
      <c r="Q961" s="37">
        <f>IFERROR(Tabela3[[#This Row],[Realizado]]*Tabela3[[#This Row],[Peso Util/Pç]],0)</f>
        <v>30.09</v>
      </c>
      <c r="R961" s="37">
        <f>IFERROR(Tabela3[[#This Row],[Peso Total Galho]]*Tabela3[[#This Row],[Qtde Cx Produzida]]*1.055,0)</f>
        <v>56.13655</v>
      </c>
      <c r="S961" s="37">
        <f>(Tabela3[[#This Row],[Aluminio Bruto]]-Tabela3[[#This Row],[Aluminio Util]])*0.9</f>
        <v>23.441894999999999</v>
      </c>
      <c r="T961" s="37">
        <f>Tabela3[[#This Row],[Aluminio Bruto]]/OleoKGAluminio</f>
        <v>23.616574001138193</v>
      </c>
      <c r="U961" s="35">
        <f>IFERROR((VLOOKUP(Tabela3[[#This Row],[Moldador]],Tabela1[],5,)+(VLOOKUP(Tabela3[[#This Row],[Ajudante]],Tabela1[],5,))*3.5),0)</f>
        <v>126.0945</v>
      </c>
      <c r="V961" s="35">
        <f>IFERROR(Tabela3[[#This Row],[Custo M.O. / H]]/((Tabela3[[#This Row],[Realizado]]/Tabela3[[#This Row],[Qdt Peça Placa]])/Tabela3[[#This Row],[Tempo]]/24),)</f>
        <v>14.340158823529412</v>
      </c>
      <c r="W961" s="35">
        <f>Tabela3[[#This Row],[Custo / Cx Moldada]]*Tabela3[[#This Row],[Qtde Cx Produzida]]</f>
        <v>243.78270000000001</v>
      </c>
      <c r="X961" s="35">
        <f ca="1">Tabela3[[#This Row],[Aluminio Util]]*Tabela3[[#This Row],[Custo/Kg]]</f>
        <v>469.40400000000005</v>
      </c>
      <c r="Y961" s="35">
        <f>IFERROR(VLOOKUP(Tabela3[[#This Row],[Data]],Tabela461213[],2,1)*(Tabela3[[#This Row],[Qtde Cx Produzida]]*Tabela3[[#This Row],[Qde macho / CX]]*Tabela3[[#This Row],[Peso Macho]]),)</f>
        <v>76.787299999999988</v>
      </c>
      <c r="Z961" s="35">
        <f>IFERROR(Tabela3[[#This Row],[Qtde Oleo]]*(VLOOKUP(Tabela3[[#This Row],[Data]],CompraOleo[],3,TRUE))*1.05,0)</f>
        <v>61.993506752987756</v>
      </c>
      <c r="AA961" s="47">
        <f ca="1">(Tabela3[[#This Row],[Custo Oleo]]+Tabela3[[#This Row],[Custo Aluminio]]+Tabela3[[#This Row],[Custo M.O. Total]]+Tabela3[[#This Row],[Custo Machos]])</f>
        <v>851.96750675298779</v>
      </c>
      <c r="AB961" s="47">
        <f ca="1">Tabela3[[#This Row],[Custo Total]]*Tabela3[[#This Row],[% Perda]]</f>
        <v>0</v>
      </c>
      <c r="AC961" s="40">
        <f>IFERROR(VLOOKUP(Tabela3[[#This Row],[Produto]],Tabela2[],2,0),0)</f>
        <v>1</v>
      </c>
      <c r="AD961" s="48">
        <f>IFERROR(VLOOKUP(Tabela3[[#This Row],[Produto]],Tabela2[],3,0),0)</f>
        <v>1.77</v>
      </c>
      <c r="AE961" s="48">
        <f>IFERROR(VLOOKUP(Tabela3[[#This Row],[Produto]],Tabela2[],4,0),0)</f>
        <v>3.13</v>
      </c>
      <c r="AF961" s="48">
        <f>IFERROR(VLOOKUP(Tabela3[[#This Row],[Produto]],Tabela2[],5,0),0)</f>
        <v>1.224</v>
      </c>
      <c r="AG961" s="48">
        <f>IFERROR(VLOOKUP(Tabela3[[#This Row],[Produto]],Tabela2[],6,0),0)</f>
        <v>0</v>
      </c>
      <c r="AH961" s="40">
        <f>IFERROR(VLOOKUP(Tabela3[[#This Row],[Produto]],Tabela2[],7,0),0)</f>
        <v>1</v>
      </c>
      <c r="AI961" s="40">
        <f>IFERROR(VLOOKUP(Tabela3[[#This Row],[Produto]],Tabela2[],8,0),0)</f>
        <v>2.657</v>
      </c>
      <c r="AJ961" s="35">
        <f ca="1">IFERROR(VLOOKUP(Tabela3[[#This Row],[Produto]],Tabela2[],13,0),0)</f>
        <v>15.600000000000001</v>
      </c>
      <c r="AK961" s="48" t="str">
        <f>IFERROR(VLOOKUP(Tabela3[[#This Row],[Produto]],Tabela2[],14,0),0)</f>
        <v>Jumil</v>
      </c>
      <c r="AL961" s="40">
        <f>IFERROR(VLOOKUP(Tabela3[[#This Row],[Produto]],Tabela2[],15,0),0)</f>
        <v>10</v>
      </c>
      <c r="AM961" s="36">
        <f ca="1">(Tabela3[[#This Row],[Custo Usinagem]]+Tabela3[[#This Row],[Custo / Pç]])*1.2</f>
        <v>72.138882829622659</v>
      </c>
      <c r="AN961" s="36">
        <f ca="1">Tabela3[[#This Row],[Valor Mínimo Venda]]*1.15</f>
        <v>82.959715254066055</v>
      </c>
      <c r="AO961" s="36">
        <f ca="1">Tabela3[[#This Row],[Tabela 1]]*1.08</f>
        <v>89.59649247439134</v>
      </c>
      <c r="AP961" s="36">
        <f ca="1">Tabela3[[#This Row],[Tabela 2]]*1.15</f>
        <v>103.03596634555004</v>
      </c>
    </row>
    <row r="962" spans="1:42">
      <c r="A962" s="9">
        <v>46072</v>
      </c>
      <c r="B962" s="9" t="s">
        <v>229</v>
      </c>
      <c r="C962" s="14">
        <v>9078</v>
      </c>
      <c r="D962" s="6" t="s">
        <v>46</v>
      </c>
      <c r="E962" s="6" t="s">
        <v>44</v>
      </c>
      <c r="F962" s="6">
        <v>5</v>
      </c>
      <c r="G962" s="15">
        <v>1.9444444444444445E-2</v>
      </c>
      <c r="H962" s="16">
        <v>0</v>
      </c>
      <c r="I962" s="35">
        <f ca="1">IFERROR(Tabela3[[#This Row],[Custo Total]]/Tabela3[[#This Row],[Aluminio Util]],0)</f>
        <v>21.346533198824865</v>
      </c>
      <c r="J962" s="35">
        <f ca="1">Tabela3[[#This Row],[Custo Total]]/Tabela3[[#This Row],[Realizado]]</f>
        <v>59.514134558323725</v>
      </c>
      <c r="K962" s="37">
        <f>IFERROR(Tabela3[[#This Row],[Qtde Cx Produzida]]/Tabela3[[#This Row],[Tempo]]/24,0)</f>
        <v>10.714285714285714</v>
      </c>
      <c r="L962" s="37">
        <f>Tabela3[[#This Row],[Qtde Cx Produzida]]*Tabela3[[#This Row],[Qdt Peça Placa]]</f>
        <v>5</v>
      </c>
      <c r="M962" s="37">
        <f>Tabela3[[#This Row],[Previsto]]-Tabela3[[#This Row],[Perda Pçs]]</f>
        <v>5</v>
      </c>
      <c r="N962" s="38">
        <f>IFERROR(Tabela3[[#This Row],[Perda Pçs]]/Tabela3[[#This Row],[Previsto]],0)</f>
        <v>0</v>
      </c>
      <c r="O962" s="39">
        <f>IFERROR(IF(Tabela3[[#This Row],[Qtde Cx Produzida]] &lt;&gt; 0, Tabela3[[#This Row],[Tempo]] / Tabela3[[#This Row],[Qtde Cx Produzida]], 0),0)</f>
        <v>3.8888888888888888E-3</v>
      </c>
      <c r="P962" s="57">
        <f>IFERROR(Tabela3[[#This Row],[Perda Pçs]]/Tabela3[[#This Row],[Qdt Peça Placa]],0)</f>
        <v>0</v>
      </c>
      <c r="Q962" s="37">
        <f>IFERROR(Tabela3[[#This Row],[Realizado]]*Tabela3[[#This Row],[Peso Util/Pç]],0)</f>
        <v>13.94</v>
      </c>
      <c r="R962" s="37">
        <f>IFERROR(Tabela3[[#This Row],[Peso Total Galho]]*Tabela3[[#This Row],[Qtde Cx Produzida]]*1.055,0)</f>
        <v>19.25375</v>
      </c>
      <c r="S962" s="37">
        <f>(Tabela3[[#This Row],[Aluminio Bruto]]-Tabela3[[#This Row],[Aluminio Util]])*0.9</f>
        <v>4.7823750000000009</v>
      </c>
      <c r="T962" s="37">
        <f>Tabela3[[#This Row],[Aluminio Bruto]]/OleoKGAluminio</f>
        <v>8.1000277301404253</v>
      </c>
      <c r="U962" s="35">
        <f>IFERROR((VLOOKUP(Tabela3[[#This Row],[Moldador]],Tabela1[],5,)+(VLOOKUP(Tabela3[[#This Row],[Ajudante]],Tabela1[],5,))*3.5),0)</f>
        <v>126.0945</v>
      </c>
      <c r="V962" s="35">
        <f>IFERROR(Tabela3[[#This Row],[Custo M.O. / H]]/((Tabela3[[#This Row],[Realizado]]/Tabela3[[#This Row],[Qdt Peça Placa]])/Tabela3[[#This Row],[Tempo]]/24),)</f>
        <v>11.76882</v>
      </c>
      <c r="W962" s="35">
        <f>Tabela3[[#This Row],[Custo / Cx Moldada]]*Tabela3[[#This Row],[Qtde Cx Produzida]]</f>
        <v>58.844099999999997</v>
      </c>
      <c r="X962" s="35">
        <f ca="1">Tabela3[[#This Row],[Aluminio Util]]*Tabela3[[#This Row],[Custo/Kg]]</f>
        <v>217.464</v>
      </c>
      <c r="Y962" s="35">
        <f>IFERROR(VLOOKUP(Tabela3[[#This Row],[Data]],Tabela461213[],2,1)*(Tabela3[[#This Row],[Qtde Cx Produzida]]*Tabela3[[#This Row],[Qde macho / CX]]*Tabela3[[#This Row],[Peso Macho]]),)</f>
        <v>0</v>
      </c>
      <c r="Z962" s="35">
        <f>IFERROR(Tabela3[[#This Row],[Qtde Oleo]]*(VLOOKUP(Tabela3[[#This Row],[Data]],CompraOleo[],3,TRUE))*1.05,0)</f>
        <v>21.262572791618616</v>
      </c>
      <c r="AA962" s="47">
        <f ca="1">(Tabela3[[#This Row],[Custo Oleo]]+Tabela3[[#This Row],[Custo Aluminio]]+Tabela3[[#This Row],[Custo M.O. Total]]+Tabela3[[#This Row],[Custo Machos]])</f>
        <v>297.57067279161862</v>
      </c>
      <c r="AB962" s="47">
        <f ca="1">Tabela3[[#This Row],[Custo Total]]*Tabela3[[#This Row],[% Perda]]</f>
        <v>0</v>
      </c>
      <c r="AC962" s="40">
        <f>IFERROR(VLOOKUP(Tabela3[[#This Row],[Produto]],Tabela2[],2,0),0)</f>
        <v>1</v>
      </c>
      <c r="AD962" s="48">
        <f>IFERROR(VLOOKUP(Tabela3[[#This Row],[Produto]],Tabela2[],3,0),0)</f>
        <v>2.7879999999999998</v>
      </c>
      <c r="AE962" s="48">
        <f>IFERROR(VLOOKUP(Tabela3[[#This Row],[Produto]],Tabela2[],4,0),0)</f>
        <v>3.65</v>
      </c>
      <c r="AF962" s="48">
        <f>IFERROR(VLOOKUP(Tabela3[[#This Row],[Produto]],Tabela2[],5,0),0)</f>
        <v>0.77580000000000016</v>
      </c>
      <c r="AG962" s="48">
        <f>IFERROR(VLOOKUP(Tabela3[[#This Row],[Produto]],Tabela2[],6,0),0)</f>
        <v>0</v>
      </c>
      <c r="AH962" s="40">
        <f>IFERROR(VLOOKUP(Tabela3[[#This Row],[Produto]],Tabela2[],7,0),0)</f>
        <v>0</v>
      </c>
      <c r="AI962" s="40">
        <f>IFERROR(VLOOKUP(Tabela3[[#This Row],[Produto]],Tabela2[],8,0),0)</f>
        <v>0</v>
      </c>
      <c r="AJ962" s="35">
        <f ca="1">IFERROR(VLOOKUP(Tabela3[[#This Row],[Produto]],Tabela2[],13,0),0)</f>
        <v>15.600000000000001</v>
      </c>
      <c r="AK962" s="48" t="str">
        <f>IFERROR(VLOOKUP(Tabela3[[#This Row],[Produto]],Tabela2[],14,0),0)</f>
        <v>Jumil</v>
      </c>
      <c r="AL962" s="40">
        <f>IFERROR(VLOOKUP(Tabela3[[#This Row],[Produto]],Tabela2[],15,0),0)</f>
        <v>35</v>
      </c>
      <c r="AM962" s="36">
        <f ca="1">(Tabela3[[#This Row],[Custo Usinagem]]+Tabela3[[#This Row],[Custo / Pç]])*1.2</f>
        <v>113.41696146998846</v>
      </c>
      <c r="AN962" s="36">
        <f ca="1">Tabela3[[#This Row],[Valor Mínimo Venda]]*1.15</f>
        <v>130.42950569048674</v>
      </c>
      <c r="AO962" s="36">
        <f ca="1">Tabela3[[#This Row],[Tabela 1]]*1.08</f>
        <v>140.86386614572569</v>
      </c>
      <c r="AP962" s="36">
        <f ca="1">Tabela3[[#This Row],[Tabela 2]]*1.15</f>
        <v>161.99344606758453</v>
      </c>
    </row>
    <row r="963" spans="1:42">
      <c r="A963" s="9">
        <v>46072</v>
      </c>
      <c r="B963" s="9" t="s">
        <v>221</v>
      </c>
      <c r="C963" s="14">
        <v>9080</v>
      </c>
      <c r="D963" s="6" t="s">
        <v>46</v>
      </c>
      <c r="E963" s="6" t="s">
        <v>44</v>
      </c>
      <c r="F963" s="6">
        <v>26</v>
      </c>
      <c r="G963" s="15">
        <v>0.12708333333333333</v>
      </c>
      <c r="H963" s="16">
        <v>0</v>
      </c>
      <c r="I963" s="35">
        <f ca="1">IFERROR(Tabela3[[#This Row],[Custo Total]]/Tabela3[[#This Row],[Aluminio Util]],0)</f>
        <v>25.017943146497142</v>
      </c>
      <c r="J963" s="35">
        <f ca="1">Tabela3[[#This Row],[Custo Total]]/Tabela3[[#This Row],[Realizado]]</f>
        <v>3.1772787796051367</v>
      </c>
      <c r="K963" s="37">
        <f>IFERROR(Tabela3[[#This Row],[Qtde Cx Produzida]]/Tabela3[[#This Row],[Tempo]]/24,0)</f>
        <v>8.5245901639344268</v>
      </c>
      <c r="L963" s="37">
        <f>Tabela3[[#This Row],[Qtde Cx Produzida]]*Tabela3[[#This Row],[Qdt Peça Placa]]</f>
        <v>468</v>
      </c>
      <c r="M963" s="37">
        <f>Tabela3[[#This Row],[Previsto]]-Tabela3[[#This Row],[Perda Pçs]]</f>
        <v>468</v>
      </c>
      <c r="N963" s="38">
        <f>IFERROR(Tabela3[[#This Row],[Perda Pçs]]/Tabela3[[#This Row],[Previsto]],0)</f>
        <v>0</v>
      </c>
      <c r="O963" s="39">
        <f>IFERROR(IF(Tabela3[[#This Row],[Qtde Cx Produzida]] &lt;&gt; 0, Tabela3[[#This Row],[Tempo]] / Tabela3[[#This Row],[Qtde Cx Produzida]], 0),0)</f>
        <v>4.8878205128205128E-3</v>
      </c>
      <c r="P963" s="57">
        <f>IFERROR(Tabela3[[#This Row],[Perda Pçs]]/Tabela3[[#This Row],[Qdt Peça Placa]],0)</f>
        <v>0</v>
      </c>
      <c r="Q963" s="37">
        <f>IFERROR(Tabela3[[#This Row],[Realizado]]*Tabela3[[#This Row],[Peso Util/Pç]],0)</f>
        <v>59.436</v>
      </c>
      <c r="R963" s="37">
        <f>IFERROR(Tabela3[[#This Row],[Peso Total Galho]]*Tabela3[[#This Row],[Qtde Cx Produzida]]*1.055,0)</f>
        <v>106.42839999999998</v>
      </c>
      <c r="S963" s="37">
        <f>(Tabela3[[#This Row],[Aluminio Bruto]]-Tabela3[[#This Row],[Aluminio Util]])*0.9</f>
        <v>42.293159999999986</v>
      </c>
      <c r="T963" s="37">
        <f>Tabela3[[#This Row],[Aluminio Bruto]]/OleoKGAluminio</f>
        <v>44.774290269400872</v>
      </c>
      <c r="U963" s="35">
        <f>IFERROR((VLOOKUP(Tabela3[[#This Row],[Moldador]],Tabela1[],5,)+(VLOOKUP(Tabela3[[#This Row],[Ajudante]],Tabela1[],5,))*3.5),0)</f>
        <v>126.0945</v>
      </c>
      <c r="V963" s="35">
        <f>IFERROR(Tabela3[[#This Row],[Custo M.O. / H]]/((Tabela3[[#This Row],[Realizado]]/Tabela3[[#This Row],[Qdt Peça Placa]])/Tabela3[[#This Row],[Tempo]]/24),)</f>
        <v>14.791854807692307</v>
      </c>
      <c r="W963" s="35">
        <f>Tabela3[[#This Row],[Custo / Cx Moldada]]*Tabela3[[#This Row],[Qtde Cx Produzida]]</f>
        <v>384.58822499999997</v>
      </c>
      <c r="X963" s="35">
        <f ca="1">Tabela3[[#This Row],[Aluminio Util]]*Tabela3[[#This Row],[Custo/Kg]]</f>
        <v>984.84573189802688</v>
      </c>
      <c r="Y963" s="35">
        <f>IFERROR(VLOOKUP(Tabela3[[#This Row],[Data]],Tabela461213[],2,1)*(Tabela3[[#This Row],[Qtde Cx Produzida]]*Tabela3[[#This Row],[Qde macho / CX]]*Tabela3[[#This Row],[Peso Macho]]),)</f>
        <v>0</v>
      </c>
      <c r="Z963" s="35">
        <f>IFERROR(Tabela3[[#This Row],[Qtde Oleo]]*(VLOOKUP(Tabela3[[#This Row],[Data]],CompraOleo[],3,TRUE))*1.05,0)</f>
        <v>117.53251195717729</v>
      </c>
      <c r="AA963" s="47">
        <f ca="1">(Tabela3[[#This Row],[Custo Oleo]]+Tabela3[[#This Row],[Custo Aluminio]]+Tabela3[[#This Row],[Custo M.O. Total]]+Tabela3[[#This Row],[Custo Machos]])</f>
        <v>1486.9664688552041</v>
      </c>
      <c r="AB963" s="47">
        <f ca="1">Tabela3[[#This Row],[Custo Total]]*Tabela3[[#This Row],[% Perda]]</f>
        <v>0</v>
      </c>
      <c r="AC963" s="40">
        <f>IFERROR(VLOOKUP(Tabela3[[#This Row],[Produto]],Tabela2[],2,0),0)</f>
        <v>18</v>
      </c>
      <c r="AD963" s="48">
        <f>IFERROR(VLOOKUP(Tabela3[[#This Row],[Produto]],Tabela2[],3,0),0)</f>
        <v>0.127</v>
      </c>
      <c r="AE963" s="48">
        <f>IFERROR(VLOOKUP(Tabela3[[#This Row],[Produto]],Tabela2[],4,0),0)</f>
        <v>3.88</v>
      </c>
      <c r="AF963" s="48">
        <f>IFERROR(VLOOKUP(Tabela3[[#This Row],[Produto]],Tabela2[],5,0),0)</f>
        <v>1.4345999999999999</v>
      </c>
      <c r="AG963" s="48">
        <f>IFERROR(VLOOKUP(Tabela3[[#This Row],[Produto]],Tabela2[],6,0),0)</f>
        <v>0</v>
      </c>
      <c r="AH963" s="40">
        <f>IFERROR(VLOOKUP(Tabela3[[#This Row],[Produto]],Tabela2[],7,0),0)</f>
        <v>0</v>
      </c>
      <c r="AI963" s="40">
        <f>IFERROR(VLOOKUP(Tabela3[[#This Row],[Produto]],Tabela2[],8,0),0)</f>
        <v>0</v>
      </c>
      <c r="AJ963" s="35">
        <f ca="1">IFERROR(VLOOKUP(Tabela3[[#This Row],[Produto]],Tabela2[],13,0),0)</f>
        <v>16.569852141766386</v>
      </c>
      <c r="AK963" s="48" t="str">
        <f>IFERROR(VLOOKUP(Tabela3[[#This Row],[Produto]],Tabela2[],14,0),0)</f>
        <v>Marcelo</v>
      </c>
      <c r="AL963" s="40">
        <f>IFERROR(VLOOKUP(Tabela3[[#This Row],[Produto]],Tabela2[],15,0),0)</f>
        <v>0</v>
      </c>
      <c r="AM963" s="36">
        <f ca="1">(Tabela3[[#This Row],[Custo Usinagem]]+Tabela3[[#This Row],[Custo / Pç]])*1.2</f>
        <v>3.8127345355261637</v>
      </c>
      <c r="AN963" s="36">
        <f ca="1">Tabela3[[#This Row],[Valor Mínimo Venda]]*1.15</f>
        <v>4.3846447158550879</v>
      </c>
      <c r="AO963" s="36">
        <f ca="1">Tabela3[[#This Row],[Tabela 1]]*1.08</f>
        <v>4.7354162931234951</v>
      </c>
      <c r="AP963" s="36">
        <f ca="1">Tabela3[[#This Row],[Tabela 2]]*1.15</f>
        <v>5.4457287370920193</v>
      </c>
    </row>
    <row r="964" spans="1:42">
      <c r="A964" s="9">
        <v>46072</v>
      </c>
      <c r="B964" s="9" t="s">
        <v>229</v>
      </c>
      <c r="C964" s="14">
        <v>9078</v>
      </c>
      <c r="D964" s="6" t="s">
        <v>44</v>
      </c>
      <c r="E964" s="6" t="s">
        <v>47</v>
      </c>
      <c r="F964" s="6">
        <v>9</v>
      </c>
      <c r="G964" s="15">
        <v>3.6111111111111108E-2</v>
      </c>
      <c r="H964" s="16">
        <v>0</v>
      </c>
      <c r="I964" s="35">
        <f ca="1">IFERROR(Tabela3[[#This Row],[Custo Total]]/Tabela3[[#This Row],[Aluminio Util]],0)</f>
        <v>20.577533240892279</v>
      </c>
      <c r="J964" s="35">
        <f ca="1">Tabela3[[#This Row],[Custo Total]]/Tabela3[[#This Row],[Realizado]]</f>
        <v>57.370162675607666</v>
      </c>
      <c r="K964" s="37">
        <f>IFERROR(Tabela3[[#This Row],[Qtde Cx Produzida]]/Tabela3[[#This Row],[Tempo]]/24,0)</f>
        <v>10.384615384615385</v>
      </c>
      <c r="L964" s="37">
        <f>Tabela3[[#This Row],[Qtde Cx Produzida]]*Tabela3[[#This Row],[Qdt Peça Placa]]</f>
        <v>9</v>
      </c>
      <c r="M964" s="37">
        <f>Tabela3[[#This Row],[Previsto]]-Tabela3[[#This Row],[Perda Pçs]]</f>
        <v>9</v>
      </c>
      <c r="N964" s="38">
        <f>IFERROR(Tabela3[[#This Row],[Perda Pçs]]/Tabela3[[#This Row],[Previsto]],0)</f>
        <v>0</v>
      </c>
      <c r="O964" s="39">
        <f>IFERROR(IF(Tabela3[[#This Row],[Qtde Cx Produzida]] &lt;&gt; 0, Tabela3[[#This Row],[Tempo]] / Tabela3[[#This Row],[Qtde Cx Produzida]], 0),0)</f>
        <v>4.0123456790123451E-3</v>
      </c>
      <c r="P964" s="57">
        <f>IFERROR(Tabela3[[#This Row],[Perda Pçs]]/Tabela3[[#This Row],[Qdt Peça Placa]],0)</f>
        <v>0</v>
      </c>
      <c r="Q964" s="37">
        <f>IFERROR(Tabela3[[#This Row],[Realizado]]*Tabela3[[#This Row],[Peso Util/Pç]],0)</f>
        <v>25.091999999999999</v>
      </c>
      <c r="R964" s="37">
        <f>IFERROR(Tabela3[[#This Row],[Peso Total Galho]]*Tabela3[[#This Row],[Qtde Cx Produzida]]*1.055,0)</f>
        <v>34.656750000000002</v>
      </c>
      <c r="S964" s="37">
        <f>(Tabela3[[#This Row],[Aluminio Bruto]]-Tabela3[[#This Row],[Aluminio Util]])*0.9</f>
        <v>8.6082750000000043</v>
      </c>
      <c r="T964" s="37">
        <f>Tabela3[[#This Row],[Aluminio Bruto]]/OleoKGAluminio</f>
        <v>14.580049914252767</v>
      </c>
      <c r="U964" s="35">
        <f>IFERROR((VLOOKUP(Tabela3[[#This Row],[Moldador]],Tabela1[],5,)+(VLOOKUP(Tabela3[[#This Row],[Ajudante]],Tabela1[],5,))*3.5),0)</f>
        <v>99.95034583333333</v>
      </c>
      <c r="V964" s="35">
        <f>IFERROR(Tabela3[[#This Row],[Custo M.O. / H]]/((Tabela3[[#This Row],[Realizado]]/Tabela3[[#This Row],[Qdt Peça Placa]])/Tabela3[[#This Row],[Tempo]]/24),)</f>
        <v>9.6248481172839497</v>
      </c>
      <c r="W964" s="35">
        <f>Tabela3[[#This Row],[Custo / Cx Moldada]]*Tabela3[[#This Row],[Qtde Cx Produzida]]</f>
        <v>86.623633055555544</v>
      </c>
      <c r="X964" s="35">
        <f ca="1">Tabela3[[#This Row],[Aluminio Util]]*Tabela3[[#This Row],[Custo/Kg]]</f>
        <v>391.43520000000001</v>
      </c>
      <c r="Y964" s="35">
        <f>IFERROR(VLOOKUP(Tabela3[[#This Row],[Data]],Tabela461213[],2,1)*(Tabela3[[#This Row],[Qtde Cx Produzida]]*Tabela3[[#This Row],[Qde macho / CX]]*Tabela3[[#This Row],[Peso Macho]]),)</f>
        <v>0</v>
      </c>
      <c r="Z964" s="35">
        <f>IFERROR(Tabela3[[#This Row],[Qtde Oleo]]*(VLOOKUP(Tabela3[[#This Row],[Data]],CompraOleo[],3,TRUE))*1.05,0)</f>
        <v>38.272631024913508</v>
      </c>
      <c r="AA964" s="47">
        <f ca="1">(Tabela3[[#This Row],[Custo Oleo]]+Tabela3[[#This Row],[Custo Aluminio]]+Tabela3[[#This Row],[Custo M.O. Total]]+Tabela3[[#This Row],[Custo Machos]])</f>
        <v>516.331464080469</v>
      </c>
      <c r="AB964" s="47">
        <f ca="1">Tabela3[[#This Row],[Custo Total]]*Tabela3[[#This Row],[% Perda]]</f>
        <v>0</v>
      </c>
      <c r="AC964" s="40">
        <f>IFERROR(VLOOKUP(Tabela3[[#This Row],[Produto]],Tabela2[],2,0),0)</f>
        <v>1</v>
      </c>
      <c r="AD964" s="48">
        <f>IFERROR(VLOOKUP(Tabela3[[#This Row],[Produto]],Tabela2[],3,0),0)</f>
        <v>2.7879999999999998</v>
      </c>
      <c r="AE964" s="48">
        <f>IFERROR(VLOOKUP(Tabela3[[#This Row],[Produto]],Tabela2[],4,0),0)</f>
        <v>3.65</v>
      </c>
      <c r="AF964" s="48">
        <f>IFERROR(VLOOKUP(Tabela3[[#This Row],[Produto]],Tabela2[],5,0),0)</f>
        <v>0.77580000000000016</v>
      </c>
      <c r="AG964" s="48">
        <f>IFERROR(VLOOKUP(Tabela3[[#This Row],[Produto]],Tabela2[],6,0),0)</f>
        <v>0</v>
      </c>
      <c r="AH964" s="40">
        <f>IFERROR(VLOOKUP(Tabela3[[#This Row],[Produto]],Tabela2[],7,0),0)</f>
        <v>0</v>
      </c>
      <c r="AI964" s="40">
        <f>IFERROR(VLOOKUP(Tabela3[[#This Row],[Produto]],Tabela2[],8,0),0)</f>
        <v>0</v>
      </c>
      <c r="AJ964" s="35">
        <f ca="1">IFERROR(VLOOKUP(Tabela3[[#This Row],[Produto]],Tabela2[],13,0),0)</f>
        <v>15.600000000000001</v>
      </c>
      <c r="AK964" s="48" t="str">
        <f>IFERROR(VLOOKUP(Tabela3[[#This Row],[Produto]],Tabela2[],14,0),0)</f>
        <v>Jumil</v>
      </c>
      <c r="AL964" s="40">
        <f>IFERROR(VLOOKUP(Tabela3[[#This Row],[Produto]],Tabela2[],15,0),0)</f>
        <v>35</v>
      </c>
      <c r="AM964" s="36">
        <f ca="1">(Tabela3[[#This Row],[Custo Usinagem]]+Tabela3[[#This Row],[Custo / Pç]])*1.2</f>
        <v>110.84419521072921</v>
      </c>
      <c r="AN964" s="36">
        <f ca="1">Tabela3[[#This Row],[Valor Mínimo Venda]]*1.15</f>
        <v>127.47082449233858</v>
      </c>
      <c r="AO964" s="36">
        <f ca="1">Tabela3[[#This Row],[Tabela 1]]*1.08</f>
        <v>137.66849045172569</v>
      </c>
      <c r="AP964" s="36">
        <f ca="1">Tabela3[[#This Row],[Tabela 2]]*1.15</f>
        <v>158.31876401948452</v>
      </c>
    </row>
    <row r="965" spans="1:42">
      <c r="A965" s="9">
        <v>46073</v>
      </c>
      <c r="B965" s="9" t="s">
        <v>221</v>
      </c>
      <c r="C965" s="14">
        <v>9080</v>
      </c>
      <c r="D965" s="6" t="s">
        <v>46</v>
      </c>
      <c r="E965" s="6" t="s">
        <v>44</v>
      </c>
      <c r="F965" s="6">
        <v>21</v>
      </c>
      <c r="G965" s="15">
        <v>9.8611111111111108E-2</v>
      </c>
      <c r="H965" s="16">
        <v>0</v>
      </c>
      <c r="I965" s="35">
        <f ca="1">IFERROR(Tabela3[[#This Row],[Custo Total]]/Tabela3[[#This Row],[Aluminio Util]],0)</f>
        <v>24.763697823797099</v>
      </c>
      <c r="J965" s="35">
        <f ca="1">Tabela3[[#This Row],[Custo Total]]/Tabela3[[#This Row],[Realizado]]</f>
        <v>3.1449896236222314</v>
      </c>
      <c r="K965" s="37">
        <f>IFERROR(Tabela3[[#This Row],[Qtde Cx Produzida]]/Tabela3[[#This Row],[Tempo]]/24,0)</f>
        <v>8.873239436619718</v>
      </c>
      <c r="L965" s="37">
        <f>Tabela3[[#This Row],[Qtde Cx Produzida]]*Tabela3[[#This Row],[Qdt Peça Placa]]</f>
        <v>378</v>
      </c>
      <c r="M965" s="37">
        <f>Tabela3[[#This Row],[Previsto]]-Tabela3[[#This Row],[Perda Pçs]]</f>
        <v>378</v>
      </c>
      <c r="N965" s="38">
        <f>IFERROR(Tabela3[[#This Row],[Perda Pçs]]/Tabela3[[#This Row],[Previsto]],0)</f>
        <v>0</v>
      </c>
      <c r="O965" s="39">
        <f>IFERROR(IF(Tabela3[[#This Row],[Qtde Cx Produzida]] &lt;&gt; 0, Tabela3[[#This Row],[Tempo]] / Tabela3[[#This Row],[Qtde Cx Produzida]], 0),0)</f>
        <v>4.6957671957671959E-3</v>
      </c>
      <c r="P965" s="57">
        <f>IFERROR(Tabela3[[#This Row],[Perda Pçs]]/Tabela3[[#This Row],[Qdt Peça Placa]],0)</f>
        <v>0</v>
      </c>
      <c r="Q965" s="37">
        <f>IFERROR(Tabela3[[#This Row],[Realizado]]*Tabela3[[#This Row],[Peso Util/Pç]],0)</f>
        <v>48.006</v>
      </c>
      <c r="R965" s="37">
        <f>IFERROR(Tabela3[[#This Row],[Peso Total Galho]]*Tabela3[[#This Row],[Qtde Cx Produzida]]*1.055,0)</f>
        <v>85.961399999999998</v>
      </c>
      <c r="S965" s="37">
        <f>(Tabela3[[#This Row],[Aluminio Bruto]]-Tabela3[[#This Row],[Aluminio Util]])*0.9</f>
        <v>34.159860000000002</v>
      </c>
      <c r="T965" s="37">
        <f>Tabela3[[#This Row],[Aluminio Bruto]]/OleoKGAluminio</f>
        <v>36.163849832977633</v>
      </c>
      <c r="U965" s="35">
        <f>IFERROR((VLOOKUP(Tabela3[[#This Row],[Moldador]],Tabela1[],5,)+(VLOOKUP(Tabela3[[#This Row],[Ajudante]],Tabela1[],5,))*3.5),0)</f>
        <v>126.0945</v>
      </c>
      <c r="V965" s="35">
        <f>IFERROR(Tabela3[[#This Row],[Custo M.O. / H]]/((Tabela3[[#This Row],[Realizado]]/Tabela3[[#This Row],[Qdt Peça Placa]])/Tabela3[[#This Row],[Tempo]]/24),)</f>
        <v>14.210649999999999</v>
      </c>
      <c r="W965" s="35">
        <f>Tabela3[[#This Row],[Custo / Cx Moldada]]*Tabela3[[#This Row],[Qtde Cx Produzida]]</f>
        <v>298.42365000000001</v>
      </c>
      <c r="X965" s="35">
        <f ca="1">Tabela3[[#This Row],[Aluminio Util]]*Tabela3[[#This Row],[Custo/Kg]]</f>
        <v>795.45232191763716</v>
      </c>
      <c r="Y965" s="35">
        <f>IFERROR(VLOOKUP(Tabela3[[#This Row],[Data]],Tabela461213[],2,1)*(Tabela3[[#This Row],[Qtde Cx Produzida]]*Tabela3[[#This Row],[Qde macho / CX]]*Tabela3[[#This Row],[Peso Macho]]),)</f>
        <v>0</v>
      </c>
      <c r="Z965" s="35">
        <f>IFERROR(Tabela3[[#This Row],[Qtde Oleo]]*(VLOOKUP(Tabela3[[#This Row],[Data]],CompraOleo[],3,TRUE))*1.05,0)</f>
        <v>94.930105811566293</v>
      </c>
      <c r="AA965" s="47">
        <f ca="1">(Tabela3[[#This Row],[Custo Oleo]]+Tabela3[[#This Row],[Custo Aluminio]]+Tabela3[[#This Row],[Custo M.O. Total]]+Tabela3[[#This Row],[Custo Machos]])</f>
        <v>1188.8060777292035</v>
      </c>
      <c r="AB965" s="47">
        <f ca="1">Tabela3[[#This Row],[Custo Total]]*Tabela3[[#This Row],[% Perda]]</f>
        <v>0</v>
      </c>
      <c r="AC965" s="40">
        <f>IFERROR(VLOOKUP(Tabela3[[#This Row],[Produto]],Tabela2[],2,0),0)</f>
        <v>18</v>
      </c>
      <c r="AD965" s="48">
        <f>IFERROR(VLOOKUP(Tabela3[[#This Row],[Produto]],Tabela2[],3,0),0)</f>
        <v>0.127</v>
      </c>
      <c r="AE965" s="48">
        <f>IFERROR(VLOOKUP(Tabela3[[#This Row],[Produto]],Tabela2[],4,0),0)</f>
        <v>3.88</v>
      </c>
      <c r="AF965" s="48">
        <f>IFERROR(VLOOKUP(Tabela3[[#This Row],[Produto]],Tabela2[],5,0),0)</f>
        <v>1.4345999999999999</v>
      </c>
      <c r="AG965" s="48">
        <f>IFERROR(VLOOKUP(Tabela3[[#This Row],[Produto]],Tabela2[],6,0),0)</f>
        <v>0</v>
      </c>
      <c r="AH965" s="40">
        <f>IFERROR(VLOOKUP(Tabela3[[#This Row],[Produto]],Tabela2[],7,0),0)</f>
        <v>0</v>
      </c>
      <c r="AI965" s="40">
        <f>IFERROR(VLOOKUP(Tabela3[[#This Row],[Produto]],Tabela2[],8,0),0)</f>
        <v>0</v>
      </c>
      <c r="AJ965" s="35">
        <f ca="1">IFERROR(VLOOKUP(Tabela3[[#This Row],[Produto]],Tabela2[],13,0),0)</f>
        <v>16.569852141766386</v>
      </c>
      <c r="AK965" s="48" t="str">
        <f>IFERROR(VLOOKUP(Tabela3[[#This Row],[Produto]],Tabela2[],14,0),0)</f>
        <v>Marcelo</v>
      </c>
      <c r="AL965" s="40">
        <f>IFERROR(VLOOKUP(Tabela3[[#This Row],[Produto]],Tabela2[],15,0),0)</f>
        <v>0</v>
      </c>
      <c r="AM965" s="36">
        <f ca="1">(Tabela3[[#This Row],[Custo Usinagem]]+Tabela3[[#This Row],[Custo / Pç]])*1.2</f>
        <v>3.7739875483466774</v>
      </c>
      <c r="AN965" s="36">
        <f ca="1">Tabela3[[#This Row],[Valor Mínimo Venda]]*1.15</f>
        <v>4.3400856805986789</v>
      </c>
      <c r="AO965" s="36">
        <f ca="1">Tabela3[[#This Row],[Tabela 1]]*1.08</f>
        <v>4.6872925350465735</v>
      </c>
      <c r="AP965" s="36">
        <f ca="1">Tabela3[[#This Row],[Tabela 2]]*1.15</f>
        <v>5.390386415303559</v>
      </c>
    </row>
    <row r="966" spans="1:42">
      <c r="A966" s="9">
        <v>46073</v>
      </c>
      <c r="B966" s="9" t="s">
        <v>226</v>
      </c>
      <c r="C966" s="14">
        <v>9091</v>
      </c>
      <c r="D966" s="6" t="s">
        <v>46</v>
      </c>
      <c r="E966" s="6" t="s">
        <v>44</v>
      </c>
      <c r="F966" s="6">
        <v>7</v>
      </c>
      <c r="G966" s="15">
        <v>2.9166666666666667E-2</v>
      </c>
      <c r="H966" s="16">
        <v>0</v>
      </c>
      <c r="I966" s="35">
        <f ca="1">IFERROR(Tabela3[[#This Row],[Custo Total]]/Tabela3[[#This Row],[Aluminio Util]],0)</f>
        <v>31.367595652457123</v>
      </c>
      <c r="J966" s="35">
        <f ca="1">Tabela3[[#This Row],[Custo Total]]/Tabela3[[#This Row],[Realizado]]</f>
        <v>7.2145470000651386</v>
      </c>
      <c r="K966" s="37">
        <f>IFERROR(Tabela3[[#This Row],[Qtde Cx Produzida]]/Tabela3[[#This Row],[Tempo]]/24,0)</f>
        <v>10</v>
      </c>
      <c r="L966" s="37">
        <f>Tabela3[[#This Row],[Qtde Cx Produzida]]*Tabela3[[#This Row],[Qdt Peça Placa]]</f>
        <v>28</v>
      </c>
      <c r="M966" s="37">
        <f>Tabela3[[#This Row],[Previsto]]-Tabela3[[#This Row],[Perda Pçs]]</f>
        <v>28</v>
      </c>
      <c r="N966" s="38">
        <f>IFERROR(Tabela3[[#This Row],[Perda Pçs]]/Tabela3[[#This Row],[Previsto]],0)</f>
        <v>0</v>
      </c>
      <c r="O966" s="39">
        <f>IFERROR(IF(Tabela3[[#This Row],[Qtde Cx Produzida]] &lt;&gt; 0, Tabela3[[#This Row],[Tempo]] / Tabela3[[#This Row],[Qtde Cx Produzida]], 0),0)</f>
        <v>4.1666666666666666E-3</v>
      </c>
      <c r="P966" s="57">
        <f>IFERROR(Tabela3[[#This Row],[Perda Pçs]]/Tabela3[[#This Row],[Qdt Peça Placa]],0)</f>
        <v>0</v>
      </c>
      <c r="Q966" s="37">
        <f>IFERROR(Tabela3[[#This Row],[Realizado]]*Tabela3[[#This Row],[Peso Util/Pç]],0)</f>
        <v>6.44</v>
      </c>
      <c r="R966" s="37">
        <f>IFERROR(Tabela3[[#This Row],[Peso Total Galho]]*Tabela3[[#This Row],[Qtde Cx Produzida]]*1.055,0)</f>
        <v>12.022779999999999</v>
      </c>
      <c r="S966" s="37">
        <f>(Tabela3[[#This Row],[Aluminio Bruto]]-Tabela3[[#This Row],[Aluminio Util]])*0.9</f>
        <v>5.0245019999999991</v>
      </c>
      <c r="T966" s="37">
        <f>Tabela3[[#This Row],[Aluminio Bruto]]/OleoKGAluminio</f>
        <v>5.0579680006948093</v>
      </c>
      <c r="U966" s="35">
        <f>IFERROR((VLOOKUP(Tabela3[[#This Row],[Moldador]],Tabela1[],5,)+(VLOOKUP(Tabela3[[#This Row],[Ajudante]],Tabela1[],5,))*3.5),0)</f>
        <v>126.0945</v>
      </c>
      <c r="V966" s="35">
        <f>IFERROR(Tabela3[[#This Row],[Custo M.O. / H]]/((Tabela3[[#This Row],[Realizado]]/Tabela3[[#This Row],[Qdt Peça Placa]])/Tabela3[[#This Row],[Tempo]]/24),)</f>
        <v>12.609449999999999</v>
      </c>
      <c r="W966" s="35">
        <f>Tabela3[[#This Row],[Custo / Cx Moldada]]*Tabela3[[#This Row],[Qtde Cx Produzida]]</f>
        <v>88.266149999999996</v>
      </c>
      <c r="X966" s="35">
        <f ca="1">Tabela3[[#This Row],[Aluminio Util]]*Tabela3[[#This Row],[Custo/Kg]]</f>
        <v>100.46400000000001</v>
      </c>
      <c r="Y966" s="35">
        <f>IFERROR(VLOOKUP(Tabela3[[#This Row],[Data]],Tabela461213[],2,1)*(Tabela3[[#This Row],[Qtde Cx Produzida]]*Tabela3[[#This Row],[Qde macho / CX]]*Tabela3[[#This Row],[Peso Macho]]),)</f>
        <v>0</v>
      </c>
      <c r="Z966" s="35">
        <f>IFERROR(Tabela3[[#This Row],[Qtde Oleo]]*(VLOOKUP(Tabela3[[#This Row],[Data]],CompraOleo[],3,TRUE))*1.05,0)</f>
        <v>13.277166001823876</v>
      </c>
      <c r="AA966" s="47">
        <f ca="1">(Tabela3[[#This Row],[Custo Oleo]]+Tabela3[[#This Row],[Custo Aluminio]]+Tabela3[[#This Row],[Custo M.O. Total]]+Tabela3[[#This Row],[Custo Machos]])</f>
        <v>202.00731600182388</v>
      </c>
      <c r="AB966" s="47">
        <f ca="1">Tabela3[[#This Row],[Custo Total]]*Tabela3[[#This Row],[% Perda]]</f>
        <v>0</v>
      </c>
      <c r="AC966" s="40">
        <f>IFERROR(VLOOKUP(Tabela3[[#This Row],[Produto]],Tabela2[],2,0),0)</f>
        <v>4</v>
      </c>
      <c r="AD966" s="48">
        <f>IFERROR(VLOOKUP(Tabela3[[#This Row],[Produto]],Tabela2[],3,0),0)</f>
        <v>0.23</v>
      </c>
      <c r="AE966" s="48">
        <f>IFERROR(VLOOKUP(Tabela3[[#This Row],[Produto]],Tabela2[],4,0),0)</f>
        <v>1.6279999999999999</v>
      </c>
      <c r="AF966" s="48">
        <f>IFERROR(VLOOKUP(Tabela3[[#This Row],[Produto]],Tabela2[],5,0),0)</f>
        <v>0.63719999999999988</v>
      </c>
      <c r="AG966" s="48">
        <f>IFERROR(VLOOKUP(Tabela3[[#This Row],[Produto]],Tabela2[],6,0),0)</f>
        <v>0</v>
      </c>
      <c r="AH966" s="40">
        <f>IFERROR(VLOOKUP(Tabela3[[#This Row],[Produto]],Tabela2[],7,0),0)</f>
        <v>0</v>
      </c>
      <c r="AI966" s="40">
        <f>IFERROR(VLOOKUP(Tabela3[[#This Row],[Produto]],Tabela2[],8,0),0)</f>
        <v>0</v>
      </c>
      <c r="AJ966" s="35">
        <f ca="1">IFERROR(VLOOKUP(Tabela3[[#This Row],[Produto]],Tabela2[],13,0),0)</f>
        <v>15.600000000000001</v>
      </c>
      <c r="AK966" s="48" t="str">
        <f>IFERROR(VLOOKUP(Tabela3[[#This Row],[Produto]],Tabela2[],14,0),0)</f>
        <v>Senun</v>
      </c>
      <c r="AL966" s="40">
        <f>IFERROR(VLOOKUP(Tabela3[[#This Row],[Produto]],Tabela2[],15,0),0)</f>
        <v>4</v>
      </c>
      <c r="AM966" s="36">
        <f ca="1">(Tabela3[[#This Row],[Custo Usinagem]]+Tabela3[[#This Row],[Custo / Pç]])*1.2</f>
        <v>13.457456400078167</v>
      </c>
      <c r="AN966" s="36">
        <f ca="1">Tabela3[[#This Row],[Valor Mínimo Venda]]*1.15</f>
        <v>15.47607486008989</v>
      </c>
      <c r="AO966" s="36">
        <f ca="1">Tabela3[[#This Row],[Tabela 1]]*1.08</f>
        <v>16.71416084889708</v>
      </c>
      <c r="AP966" s="36">
        <f ca="1">Tabela3[[#This Row],[Tabela 2]]*1.15</f>
        <v>19.22128497623164</v>
      </c>
    </row>
    <row r="967" spans="1:42">
      <c r="A967" s="9">
        <v>46073</v>
      </c>
      <c r="B967" s="9" t="s">
        <v>223</v>
      </c>
      <c r="C967" s="14">
        <v>9081</v>
      </c>
      <c r="D967" s="6" t="s">
        <v>46</v>
      </c>
      <c r="E967" s="6" t="s">
        <v>44</v>
      </c>
      <c r="F967" s="6">
        <v>31</v>
      </c>
      <c r="G967" s="15">
        <v>0.16875000000000001</v>
      </c>
      <c r="H967" s="16">
        <v>0</v>
      </c>
      <c r="I967" s="35">
        <f ca="1">IFERROR(Tabela3[[#This Row],[Custo Total]]/Tabela3[[#This Row],[Aluminio Util]],0)</f>
        <v>23.196229251918943</v>
      </c>
      <c r="J967" s="35">
        <f ca="1">Tabela3[[#This Row],[Custo Total]]/Tabela3[[#This Row],[Realizado]]</f>
        <v>2.4124078421995701</v>
      </c>
      <c r="K967" s="37">
        <f>IFERROR(Tabela3[[#This Row],[Qtde Cx Produzida]]/Tabela3[[#This Row],[Tempo]]/24,0)</f>
        <v>7.6543209876543203</v>
      </c>
      <c r="L967" s="37">
        <f>Tabela3[[#This Row],[Qtde Cx Produzida]]*Tabela3[[#This Row],[Qdt Peça Placa]]</f>
        <v>1023</v>
      </c>
      <c r="M967" s="37">
        <f>Tabela3[[#This Row],[Previsto]]-Tabela3[[#This Row],[Perda Pçs]]</f>
        <v>1023</v>
      </c>
      <c r="N967" s="38">
        <f>IFERROR(Tabela3[[#This Row],[Perda Pçs]]/Tabela3[[#This Row],[Previsto]],0)</f>
        <v>0</v>
      </c>
      <c r="O967" s="39">
        <f>IFERROR(IF(Tabela3[[#This Row],[Qtde Cx Produzida]] &lt;&gt; 0, Tabela3[[#This Row],[Tempo]] / Tabela3[[#This Row],[Qtde Cx Produzida]], 0),0)</f>
        <v>5.4435483870967742E-3</v>
      </c>
      <c r="P967" s="57">
        <f>IFERROR(Tabela3[[#This Row],[Perda Pçs]]/Tabela3[[#This Row],[Qdt Peça Placa]],0)</f>
        <v>0</v>
      </c>
      <c r="Q967" s="37">
        <f>IFERROR(Tabela3[[#This Row],[Realizado]]*Tabela3[[#This Row],[Peso Util/Pç]],0)</f>
        <v>106.392</v>
      </c>
      <c r="R967" s="37">
        <f>IFERROR(Tabela3[[#This Row],[Peso Total Galho]]*Tabela3[[#This Row],[Qtde Cx Produzida]]*1.055,0)</f>
        <v>175.9529</v>
      </c>
      <c r="S967" s="37">
        <f>(Tabela3[[#This Row],[Aluminio Bruto]]-Tabela3[[#This Row],[Aluminio Util]])*0.9</f>
        <v>62.604810000000008</v>
      </c>
      <c r="T967" s="37">
        <f>Tabela3[[#This Row],[Aluminio Bruto]]/OleoKGAluminio</f>
        <v>74.023157525086035</v>
      </c>
      <c r="U967" s="35">
        <f>IFERROR((VLOOKUP(Tabela3[[#This Row],[Moldador]],Tabela1[],5,)+(VLOOKUP(Tabela3[[#This Row],[Ajudante]],Tabela1[],5,))*3.5),0)</f>
        <v>126.0945</v>
      </c>
      <c r="V967" s="35">
        <f>IFERROR(Tabela3[[#This Row],[Custo M.O. / H]]/((Tabela3[[#This Row],[Realizado]]/Tabela3[[#This Row],[Qdt Peça Placa]])/Tabela3[[#This Row],[Tempo]]/24),)</f>
        <v>16.473636290322581</v>
      </c>
      <c r="W967" s="35">
        <f>Tabela3[[#This Row],[Custo / Cx Moldada]]*Tabela3[[#This Row],[Qtde Cx Produzida]]</f>
        <v>510.682725</v>
      </c>
      <c r="X967" s="35">
        <f ca="1">Tabela3[[#This Row],[Aluminio Util]]*Tabela3[[#This Row],[Custo/Kg]]</f>
        <v>1762.8997090668092</v>
      </c>
      <c r="Y967" s="35">
        <f>IFERROR(VLOOKUP(Tabela3[[#This Row],[Data]],Tabela461213[],2,1)*(Tabela3[[#This Row],[Qtde Cx Produzida]]*Tabela3[[#This Row],[Qde macho / CX]]*Tabela3[[#This Row],[Peso Macho]]),)</f>
        <v>0</v>
      </c>
      <c r="Z967" s="35">
        <f>IFERROR(Tabela3[[#This Row],[Qtde Oleo]]*(VLOOKUP(Tabela3[[#This Row],[Data]],CompraOleo[],3,TRUE))*1.05,0)</f>
        <v>194.31078850335086</v>
      </c>
      <c r="AA967" s="47">
        <f ca="1">(Tabela3[[#This Row],[Custo Oleo]]+Tabela3[[#This Row],[Custo Aluminio]]+Tabela3[[#This Row],[Custo M.O. Total]]+Tabela3[[#This Row],[Custo Machos]])</f>
        <v>2467.8932225701601</v>
      </c>
      <c r="AB967" s="47">
        <f ca="1">Tabela3[[#This Row],[Custo Total]]*Tabela3[[#This Row],[% Perda]]</f>
        <v>0</v>
      </c>
      <c r="AC967" s="40">
        <f>IFERROR(VLOOKUP(Tabela3[[#This Row],[Produto]],Tabela2[],2,0),0)</f>
        <v>33</v>
      </c>
      <c r="AD967" s="48">
        <f>IFERROR(VLOOKUP(Tabela3[[#This Row],[Produto]],Tabela2[],3,0),0)</f>
        <v>0.104</v>
      </c>
      <c r="AE967" s="48">
        <f>IFERROR(VLOOKUP(Tabela3[[#This Row],[Produto]],Tabela2[],4,0),0)</f>
        <v>5.38</v>
      </c>
      <c r="AF967" s="48">
        <f>IFERROR(VLOOKUP(Tabela3[[#This Row],[Produto]],Tabela2[],5,0),0)</f>
        <v>1.7532000000000001</v>
      </c>
      <c r="AG967" s="48">
        <f>IFERROR(VLOOKUP(Tabela3[[#This Row],[Produto]],Tabela2[],6,0),0)</f>
        <v>0</v>
      </c>
      <c r="AH967" s="40">
        <f>IFERROR(VLOOKUP(Tabela3[[#This Row],[Produto]],Tabela2[],7,0),0)</f>
        <v>0</v>
      </c>
      <c r="AI967" s="40">
        <f>IFERROR(VLOOKUP(Tabela3[[#This Row],[Produto]],Tabela2[],8,0),0)</f>
        <v>0</v>
      </c>
      <c r="AJ967" s="35">
        <f ca="1">IFERROR(VLOOKUP(Tabela3[[#This Row],[Produto]],Tabela2[],13,0),0)</f>
        <v>16.569852141766386</v>
      </c>
      <c r="AK967" s="48" t="str">
        <f>IFERROR(VLOOKUP(Tabela3[[#This Row],[Produto]],Tabela2[],14,0),0)</f>
        <v>Marcelo</v>
      </c>
      <c r="AL967" s="40">
        <f>IFERROR(VLOOKUP(Tabela3[[#This Row],[Produto]],Tabela2[],15,0),0)</f>
        <v>0</v>
      </c>
      <c r="AM967" s="36">
        <f ca="1">(Tabela3[[#This Row],[Custo Usinagem]]+Tabela3[[#This Row],[Custo / Pç]])*1.2</f>
        <v>2.8948894106394838</v>
      </c>
      <c r="AN967" s="36">
        <f ca="1">Tabela3[[#This Row],[Valor Mínimo Venda]]*1.15</f>
        <v>3.3291228222354059</v>
      </c>
      <c r="AO967" s="36">
        <f ca="1">Tabela3[[#This Row],[Tabela 1]]*1.08</f>
        <v>3.5954526480142386</v>
      </c>
      <c r="AP967" s="36">
        <f ca="1">Tabela3[[#This Row],[Tabela 2]]*1.15</f>
        <v>4.1347705452163739</v>
      </c>
    </row>
    <row r="968" spans="1:42">
      <c r="A968" s="9">
        <v>46073</v>
      </c>
      <c r="B968" s="9" t="s">
        <v>227</v>
      </c>
      <c r="C968" s="14">
        <v>9026</v>
      </c>
      <c r="D968" s="6" t="s">
        <v>44</v>
      </c>
      <c r="E968" s="6" t="s">
        <v>47</v>
      </c>
      <c r="F968" s="6">
        <v>3</v>
      </c>
      <c r="G968" s="15">
        <v>3.6111111111111108E-2</v>
      </c>
      <c r="H968" s="16">
        <v>0</v>
      </c>
      <c r="I968" s="35">
        <f ca="1">IFERROR(Tabela3[[#This Row],[Custo Total]]/Tabela3[[#This Row],[Aluminio Util]],0)</f>
        <v>19.920801715633154</v>
      </c>
      <c r="J968" s="35">
        <f ca="1">Tabela3[[#This Row],[Custo Total]]/Tabela3[[#This Row],[Realizado]]</f>
        <v>537.86164632209523</v>
      </c>
      <c r="K968" s="37">
        <f>IFERROR(Tabela3[[#This Row],[Qtde Cx Produzida]]/Tabela3[[#This Row],[Tempo]]/24,0)</f>
        <v>3.4615384615384617</v>
      </c>
      <c r="L968" s="37">
        <f>Tabela3[[#This Row],[Qtde Cx Produzida]]*Tabela3[[#This Row],[Qdt Peça Placa]]</f>
        <v>3</v>
      </c>
      <c r="M968" s="37">
        <f>Tabela3[[#This Row],[Previsto]]-Tabela3[[#This Row],[Perda Pçs]]</f>
        <v>3</v>
      </c>
      <c r="N968" s="38">
        <f>IFERROR(Tabela3[[#This Row],[Perda Pçs]]/Tabela3[[#This Row],[Previsto]],0)</f>
        <v>0</v>
      </c>
      <c r="O968" s="39">
        <f>IFERROR(IF(Tabela3[[#This Row],[Qtde Cx Produzida]] &lt;&gt; 0, Tabela3[[#This Row],[Tempo]] / Tabela3[[#This Row],[Qtde Cx Produzida]], 0),0)</f>
        <v>1.2037037037037035E-2</v>
      </c>
      <c r="P968" s="57">
        <f>IFERROR(Tabela3[[#This Row],[Perda Pçs]]/Tabela3[[#This Row],[Qdt Peça Placa]],0)</f>
        <v>0</v>
      </c>
      <c r="Q968" s="37">
        <f>IFERROR(Tabela3[[#This Row],[Realizado]]*Tabela3[[#This Row],[Peso Util/Pç]],0)</f>
        <v>81</v>
      </c>
      <c r="R968" s="37">
        <f>IFERROR(Tabela3[[#This Row],[Peso Total Galho]]*Tabela3[[#This Row],[Qtde Cx Produzida]]*1.055,0)</f>
        <v>91.784999999999997</v>
      </c>
      <c r="S968" s="37">
        <f>(Tabela3[[#This Row],[Aluminio Bruto]]-Tabela3[[#This Row],[Aluminio Util]])*0.9</f>
        <v>9.7064999999999966</v>
      </c>
      <c r="T968" s="37">
        <f>Tabela3[[#This Row],[Aluminio Bruto]]/OleoKGAluminio</f>
        <v>38.613830823135174</v>
      </c>
      <c r="U968" s="35">
        <f>IFERROR((VLOOKUP(Tabela3[[#This Row],[Moldador]],Tabela1[],5,)+(VLOOKUP(Tabela3[[#This Row],[Ajudante]],Tabela1[],5,))*3.5),0)</f>
        <v>99.95034583333333</v>
      </c>
      <c r="V968" s="35">
        <f>IFERROR(Tabela3[[#This Row],[Custo M.O. / H]]/((Tabela3[[#This Row],[Realizado]]/Tabela3[[#This Row],[Qdt Peça Placa]])/Tabela3[[#This Row],[Tempo]]/24),)</f>
        <v>28.874544351851849</v>
      </c>
      <c r="W968" s="35">
        <f>Tabela3[[#This Row],[Custo / Cx Moldada]]*Tabela3[[#This Row],[Qtde Cx Produzida]]</f>
        <v>86.623633055555544</v>
      </c>
      <c r="X968" s="35">
        <f ca="1">Tabela3[[#This Row],[Aluminio Util]]*Tabela3[[#This Row],[Custo/Kg]]</f>
        <v>1425.6000000000001</v>
      </c>
      <c r="Y968" s="35">
        <f>IFERROR(VLOOKUP(Tabela3[[#This Row],[Data]],Tabela461213[],2,1)*(Tabela3[[#This Row],[Qtde Cx Produzida]]*Tabela3[[#This Row],[Qde macho / CX]]*Tabela3[[#This Row],[Peso Macho]]),)</f>
        <v>0</v>
      </c>
      <c r="Z968" s="35">
        <f>IFERROR(Tabela3[[#This Row],[Qtde Oleo]]*(VLOOKUP(Tabela3[[#This Row],[Data]],CompraOleo[],3,TRUE))*1.05,0)</f>
        <v>101.36130591072984</v>
      </c>
      <c r="AA968" s="47">
        <f ca="1">(Tabela3[[#This Row],[Custo Oleo]]+Tabela3[[#This Row],[Custo Aluminio]]+Tabela3[[#This Row],[Custo M.O. Total]]+Tabela3[[#This Row],[Custo Machos]])</f>
        <v>1613.5849389662856</v>
      </c>
      <c r="AB968" s="47">
        <f ca="1">Tabela3[[#This Row],[Custo Total]]*Tabela3[[#This Row],[% Perda]]</f>
        <v>0</v>
      </c>
      <c r="AC968" s="40">
        <f>IFERROR(VLOOKUP(Tabela3[[#This Row],[Produto]],Tabela2[],2,0),0)</f>
        <v>1</v>
      </c>
      <c r="AD968" s="48">
        <f>IFERROR(VLOOKUP(Tabela3[[#This Row],[Produto]],Tabela2[],3,0),0)</f>
        <v>27</v>
      </c>
      <c r="AE968" s="48">
        <f>IFERROR(VLOOKUP(Tabela3[[#This Row],[Produto]],Tabela2[],4,0),0)</f>
        <v>29</v>
      </c>
      <c r="AF968" s="48">
        <f>IFERROR(VLOOKUP(Tabela3[[#This Row],[Produto]],Tabela2[],5,0),0)</f>
        <v>1.8</v>
      </c>
      <c r="AG968" s="48">
        <f>IFERROR(VLOOKUP(Tabela3[[#This Row],[Produto]],Tabela2[],6,0),0)</f>
        <v>0</v>
      </c>
      <c r="AH968" s="40">
        <f>IFERROR(VLOOKUP(Tabela3[[#This Row],[Produto]],Tabela2[],7,0),0)</f>
        <v>0</v>
      </c>
      <c r="AI968" s="40">
        <f>IFERROR(VLOOKUP(Tabela3[[#This Row],[Produto]],Tabela2[],8,0),0)</f>
        <v>0</v>
      </c>
      <c r="AJ968" s="35">
        <f ca="1">IFERROR(VLOOKUP(Tabela3[[#This Row],[Produto]],Tabela2[],13,0),0)</f>
        <v>17.600000000000001</v>
      </c>
      <c r="AK968" s="48" t="str">
        <f>IFERROR(VLOOKUP(Tabela3[[#This Row],[Produto]],Tabela2[],14,0),0)</f>
        <v>Oscar</v>
      </c>
      <c r="AL968" s="40">
        <f>IFERROR(VLOOKUP(Tabela3[[#This Row],[Produto]],Tabela2[],15,0),0)</f>
        <v>0</v>
      </c>
      <c r="AM968" s="36">
        <f ca="1">(Tabela3[[#This Row],[Custo Usinagem]]+Tabela3[[#This Row],[Custo / Pç]])*1.2</f>
        <v>645.43397558651429</v>
      </c>
      <c r="AN968" s="36">
        <f ca="1">Tabela3[[#This Row],[Valor Mínimo Venda]]*1.15</f>
        <v>742.24907192449143</v>
      </c>
      <c r="AO968" s="36">
        <f ca="1">Tabela3[[#This Row],[Tabela 1]]*1.08</f>
        <v>801.62899767845079</v>
      </c>
      <c r="AP968" s="36">
        <f ca="1">Tabela3[[#This Row],[Tabela 2]]*1.15</f>
        <v>921.87334733021828</v>
      </c>
    </row>
    <row r="969" spans="1:42">
      <c r="A969" s="9">
        <v>46074</v>
      </c>
      <c r="B969" s="9" t="s">
        <v>223</v>
      </c>
      <c r="C969" s="14">
        <v>9081</v>
      </c>
      <c r="D969" s="6" t="s">
        <v>46</v>
      </c>
      <c r="E969" s="6" t="s">
        <v>44</v>
      </c>
      <c r="F969" s="6">
        <v>32</v>
      </c>
      <c r="G969" s="15">
        <v>0.1701388888888889</v>
      </c>
      <c r="H969" s="16">
        <v>0</v>
      </c>
      <c r="I969" s="35">
        <f ca="1">IFERROR(Tabela3[[#This Row],[Custo Total]]/Tabela3[[#This Row],[Aluminio Util]],0)</f>
        <v>23.084500610726469</v>
      </c>
      <c r="J969" s="35">
        <f ca="1">Tabela3[[#This Row],[Custo Total]]/Tabela3[[#This Row],[Realizado]]</f>
        <v>2.4007880635155527</v>
      </c>
      <c r="K969" s="37">
        <f>IFERROR(Tabela3[[#This Row],[Qtde Cx Produzida]]/Tabela3[[#This Row],[Tempo]]/24,0)</f>
        <v>7.83673469387755</v>
      </c>
      <c r="L969" s="37">
        <f>Tabela3[[#This Row],[Qtde Cx Produzida]]*Tabela3[[#This Row],[Qdt Peça Placa]]</f>
        <v>1056</v>
      </c>
      <c r="M969" s="37">
        <f>Tabela3[[#This Row],[Previsto]]-Tabela3[[#This Row],[Perda Pçs]]</f>
        <v>1056</v>
      </c>
      <c r="N969" s="38">
        <f>IFERROR(Tabela3[[#This Row],[Perda Pçs]]/Tabela3[[#This Row],[Previsto]],0)</f>
        <v>0</v>
      </c>
      <c r="O969" s="39">
        <f>IFERROR(IF(Tabela3[[#This Row],[Qtde Cx Produzida]] &lt;&gt; 0, Tabela3[[#This Row],[Tempo]] / Tabela3[[#This Row],[Qtde Cx Produzida]], 0),0)</f>
        <v>5.316840277777778E-3</v>
      </c>
      <c r="P969" s="57">
        <f>IFERROR(Tabela3[[#This Row],[Perda Pçs]]/Tabela3[[#This Row],[Qdt Peça Placa]],0)</f>
        <v>0</v>
      </c>
      <c r="Q969" s="37">
        <f>IFERROR(Tabela3[[#This Row],[Realizado]]*Tabela3[[#This Row],[Peso Util/Pç]],0)</f>
        <v>109.824</v>
      </c>
      <c r="R969" s="37">
        <f>IFERROR(Tabela3[[#This Row],[Peso Total Galho]]*Tabela3[[#This Row],[Qtde Cx Produzida]]*1.055,0)</f>
        <v>181.62879999999998</v>
      </c>
      <c r="S969" s="37">
        <f>(Tabela3[[#This Row],[Aluminio Bruto]]-Tabela3[[#This Row],[Aluminio Util]])*0.9</f>
        <v>64.624319999999983</v>
      </c>
      <c r="T969" s="37">
        <f>Tabela3[[#This Row],[Aluminio Bruto]]/OleoKGAluminio</f>
        <v>76.411001316217835</v>
      </c>
      <c r="U969" s="35">
        <f>IFERROR((VLOOKUP(Tabela3[[#This Row],[Moldador]],Tabela1[],5,)+(VLOOKUP(Tabela3[[#This Row],[Ajudante]],Tabela1[],5,))*3.5),0)</f>
        <v>126.0945</v>
      </c>
      <c r="V969" s="35">
        <f>IFERROR(Tabela3[[#This Row],[Custo M.O. / H]]/((Tabela3[[#This Row],[Realizado]]/Tabela3[[#This Row],[Qdt Peça Placa]])/Tabela3[[#This Row],[Tempo]]/24),)</f>
        <v>16.090183593750002</v>
      </c>
      <c r="W969" s="35">
        <f>Tabela3[[#This Row],[Custo / Cx Moldada]]*Tabela3[[#This Row],[Qtde Cx Produzida]]</f>
        <v>514.88587500000006</v>
      </c>
      <c r="X969" s="35">
        <f ca="1">Tabela3[[#This Row],[Aluminio Util]]*Tabela3[[#This Row],[Custo/Kg]]</f>
        <v>1819.7674416173516</v>
      </c>
      <c r="Y969" s="35">
        <f>IFERROR(VLOOKUP(Tabela3[[#This Row],[Data]],Tabela461213[],2,1)*(Tabela3[[#This Row],[Qtde Cx Produzida]]*Tabela3[[#This Row],[Qde macho / CX]]*Tabela3[[#This Row],[Peso Macho]]),)</f>
        <v>0</v>
      </c>
      <c r="Z969" s="35">
        <f>IFERROR(Tabela3[[#This Row],[Qtde Oleo]]*(VLOOKUP(Tabela3[[#This Row],[Data]],CompraOleo[],3,TRUE))*1.05,0)</f>
        <v>200.57887845507182</v>
      </c>
      <c r="AA969" s="47">
        <f ca="1">(Tabela3[[#This Row],[Custo Oleo]]+Tabela3[[#This Row],[Custo Aluminio]]+Tabela3[[#This Row],[Custo M.O. Total]]+Tabela3[[#This Row],[Custo Machos]])</f>
        <v>2535.2321950724236</v>
      </c>
      <c r="AB969" s="47">
        <f ca="1">Tabela3[[#This Row],[Custo Total]]*Tabela3[[#This Row],[% Perda]]</f>
        <v>0</v>
      </c>
      <c r="AC969" s="40">
        <f>IFERROR(VLOOKUP(Tabela3[[#This Row],[Produto]],Tabela2[],2,0),0)</f>
        <v>33</v>
      </c>
      <c r="AD969" s="48">
        <f>IFERROR(VLOOKUP(Tabela3[[#This Row],[Produto]],Tabela2[],3,0),0)</f>
        <v>0.104</v>
      </c>
      <c r="AE969" s="48">
        <f>IFERROR(VLOOKUP(Tabela3[[#This Row],[Produto]],Tabela2[],4,0),0)</f>
        <v>5.38</v>
      </c>
      <c r="AF969" s="48">
        <f>IFERROR(VLOOKUP(Tabela3[[#This Row],[Produto]],Tabela2[],5,0),0)</f>
        <v>1.7532000000000001</v>
      </c>
      <c r="AG969" s="48">
        <f>IFERROR(VLOOKUP(Tabela3[[#This Row],[Produto]],Tabela2[],6,0),0)</f>
        <v>0</v>
      </c>
      <c r="AH969" s="40">
        <f>IFERROR(VLOOKUP(Tabela3[[#This Row],[Produto]],Tabela2[],7,0),0)</f>
        <v>0</v>
      </c>
      <c r="AI969" s="40">
        <f>IFERROR(VLOOKUP(Tabela3[[#This Row],[Produto]],Tabela2[],8,0),0)</f>
        <v>0</v>
      </c>
      <c r="AJ969" s="35">
        <f ca="1">IFERROR(VLOOKUP(Tabela3[[#This Row],[Produto]],Tabela2[],13,0),0)</f>
        <v>16.569852141766386</v>
      </c>
      <c r="AK969" s="48" t="str">
        <f>IFERROR(VLOOKUP(Tabela3[[#This Row],[Produto]],Tabela2[],14,0),0)</f>
        <v>Marcelo</v>
      </c>
      <c r="AL969" s="40">
        <f>IFERROR(VLOOKUP(Tabela3[[#This Row],[Produto]],Tabela2[],15,0),0)</f>
        <v>0</v>
      </c>
      <c r="AM969" s="36">
        <f ca="1">(Tabela3[[#This Row],[Custo Usinagem]]+Tabela3[[#This Row],[Custo / Pç]])*1.2</f>
        <v>2.8809456762186634</v>
      </c>
      <c r="AN969" s="36">
        <f ca="1">Tabela3[[#This Row],[Valor Mínimo Venda]]*1.15</f>
        <v>3.3130875276514624</v>
      </c>
      <c r="AO969" s="36">
        <f ca="1">Tabela3[[#This Row],[Tabela 1]]*1.08</f>
        <v>3.5781345298635796</v>
      </c>
      <c r="AP969" s="36">
        <f ca="1">Tabela3[[#This Row],[Tabela 2]]*1.15</f>
        <v>4.114854709343116</v>
      </c>
    </row>
    <row r="970" spans="1:42">
      <c r="A970" s="9">
        <v>46074</v>
      </c>
      <c r="B970" s="9" t="s">
        <v>245</v>
      </c>
      <c r="C970" s="14">
        <v>9095</v>
      </c>
      <c r="D970" s="6" t="s">
        <v>46</v>
      </c>
      <c r="E970" s="6" t="s">
        <v>44</v>
      </c>
      <c r="F970" s="6">
        <v>16</v>
      </c>
      <c r="G970" s="15">
        <v>7.7777777777777779E-2</v>
      </c>
      <c r="H970" s="16">
        <v>0</v>
      </c>
      <c r="I970" s="35">
        <f ca="1">IFERROR(Tabela3[[#This Row],[Custo Total]]/Tabela3[[#This Row],[Aluminio Util]],0)</f>
        <v>28.695400382518685</v>
      </c>
      <c r="J970" s="35">
        <f ca="1">Tabela3[[#This Row],[Custo Total]]/Tabela3[[#This Row],[Realizado]]</f>
        <v>9.5268729269962034</v>
      </c>
      <c r="K970" s="37">
        <f>IFERROR(Tabela3[[#This Row],[Qtde Cx Produzida]]/Tabela3[[#This Row],[Tempo]]/24,0)</f>
        <v>8.5714285714285712</v>
      </c>
      <c r="L970" s="37">
        <f>Tabela3[[#This Row],[Qtde Cx Produzida]]*Tabela3[[#This Row],[Qdt Peça Placa]]</f>
        <v>64</v>
      </c>
      <c r="M970" s="37">
        <f>Tabela3[[#This Row],[Previsto]]-Tabela3[[#This Row],[Perda Pçs]]</f>
        <v>64</v>
      </c>
      <c r="N970" s="38">
        <f>IFERROR(Tabela3[[#This Row],[Perda Pçs]]/Tabela3[[#This Row],[Previsto]],0)</f>
        <v>0</v>
      </c>
      <c r="O970" s="39">
        <f>IFERROR(IF(Tabela3[[#This Row],[Qtde Cx Produzida]] &lt;&gt; 0, Tabela3[[#This Row],[Tempo]] / Tabela3[[#This Row],[Qtde Cx Produzida]], 0),0)</f>
        <v>4.8611111111111112E-3</v>
      </c>
      <c r="P970" s="57">
        <f>IFERROR(Tabela3[[#This Row],[Perda Pçs]]/Tabela3[[#This Row],[Qdt Peça Placa]],0)</f>
        <v>0</v>
      </c>
      <c r="Q970" s="37">
        <f>IFERROR(Tabela3[[#This Row],[Realizado]]*Tabela3[[#This Row],[Peso Util/Pç]],0)</f>
        <v>21.248000000000001</v>
      </c>
      <c r="R970" s="37">
        <f>IFERROR(Tabela3[[#This Row],[Peso Total Galho]]*Tabela3[[#This Row],[Qtde Cx Produzida]]*1.055,0)</f>
        <v>38.823999999999998</v>
      </c>
      <c r="S970" s="37">
        <f>(Tabela3[[#This Row],[Aluminio Bruto]]-Tabela3[[#This Row],[Aluminio Util]])*0.9</f>
        <v>15.818399999999997</v>
      </c>
      <c r="T970" s="37">
        <f>Tabela3[[#This Row],[Aluminio Bruto]]/OleoKGAluminio</f>
        <v>16.333206601050282</v>
      </c>
      <c r="U970" s="35">
        <f>IFERROR((VLOOKUP(Tabela3[[#This Row],[Moldador]],Tabela1[],5,)+(VLOOKUP(Tabela3[[#This Row],[Ajudante]],Tabela1[],5,))*3.5),0)</f>
        <v>126.0945</v>
      </c>
      <c r="V970" s="35">
        <f>IFERROR(Tabela3[[#This Row],[Custo M.O. / H]]/((Tabela3[[#This Row],[Realizado]]/Tabela3[[#This Row],[Qdt Peça Placa]])/Tabela3[[#This Row],[Tempo]]/24),)</f>
        <v>14.711024999999999</v>
      </c>
      <c r="W970" s="35">
        <f>Tabela3[[#This Row],[Custo / Cx Moldada]]*Tabela3[[#This Row],[Qtde Cx Produzida]]</f>
        <v>235.37639999999999</v>
      </c>
      <c r="X970" s="35">
        <f ca="1">Tabela3[[#This Row],[Aluminio Util]]*Tabela3[[#This Row],[Custo/Kg]]</f>
        <v>331.46880000000004</v>
      </c>
      <c r="Y970" s="35">
        <f>IFERROR(VLOOKUP(Tabela3[[#This Row],[Data]],Tabela461213[],2,1)*(Tabela3[[#This Row],[Qtde Cx Produzida]]*Tabela3[[#This Row],[Qde macho / CX]]*Tabela3[[#This Row],[Peso Macho]]),)</f>
        <v>0</v>
      </c>
      <c r="Z970" s="35">
        <f>IFERROR(Tabela3[[#This Row],[Qtde Oleo]]*(VLOOKUP(Tabela3[[#This Row],[Data]],CompraOleo[],3,TRUE))*1.05,0)</f>
        <v>42.874667327756988</v>
      </c>
      <c r="AA970" s="47">
        <f ca="1">(Tabela3[[#This Row],[Custo Oleo]]+Tabela3[[#This Row],[Custo Aluminio]]+Tabela3[[#This Row],[Custo M.O. Total]]+Tabela3[[#This Row],[Custo Machos]])</f>
        <v>609.71986732775702</v>
      </c>
      <c r="AB970" s="47">
        <f ca="1">Tabela3[[#This Row],[Custo Total]]*Tabela3[[#This Row],[% Perda]]</f>
        <v>0</v>
      </c>
      <c r="AC970" s="40">
        <f>IFERROR(VLOOKUP(Tabela3[[#This Row],[Produto]],Tabela2[],2,0),0)</f>
        <v>4</v>
      </c>
      <c r="AD970" s="48">
        <f>IFERROR(VLOOKUP(Tabela3[[#This Row],[Produto]],Tabela2[],3,0),0)</f>
        <v>0.33200000000000002</v>
      </c>
      <c r="AE970" s="48">
        <f>IFERROR(VLOOKUP(Tabela3[[#This Row],[Produto]],Tabela2[],4,0),0)</f>
        <v>2.2999999999999998</v>
      </c>
      <c r="AF970" s="48">
        <f>IFERROR(VLOOKUP(Tabela3[[#This Row],[Produto]],Tabela2[],5,0),0)</f>
        <v>0.8747999999999998</v>
      </c>
      <c r="AG970" s="48">
        <f>IFERROR(VLOOKUP(Tabela3[[#This Row],[Produto]],Tabela2[],6,0),0)</f>
        <v>0</v>
      </c>
      <c r="AH970" s="40">
        <f>IFERROR(VLOOKUP(Tabela3[[#This Row],[Produto]],Tabela2[],7,0),0)</f>
        <v>0</v>
      </c>
      <c r="AI970" s="40">
        <f>IFERROR(VLOOKUP(Tabela3[[#This Row],[Produto]],Tabela2[],8,0),0)</f>
        <v>0</v>
      </c>
      <c r="AJ970" s="35">
        <f ca="1">IFERROR(VLOOKUP(Tabela3[[#This Row],[Produto]],Tabela2[],13,0),0)</f>
        <v>15.600000000000001</v>
      </c>
      <c r="AK970" s="48" t="str">
        <f>IFERROR(VLOOKUP(Tabela3[[#This Row],[Produto]],Tabela2[],14,0),0)</f>
        <v>Senun</v>
      </c>
      <c r="AL970" s="40">
        <f>IFERROR(VLOOKUP(Tabela3[[#This Row],[Produto]],Tabela2[],15,0),0)</f>
        <v>3.5</v>
      </c>
      <c r="AM970" s="36">
        <f ca="1">(Tabela3[[#This Row],[Custo Usinagem]]+Tabela3[[#This Row],[Custo / Pç]])*1.2</f>
        <v>15.632247512395443</v>
      </c>
      <c r="AN970" s="36">
        <f ca="1">Tabela3[[#This Row],[Valor Mínimo Venda]]*1.15</f>
        <v>17.977084639254759</v>
      </c>
      <c r="AO970" s="36">
        <f ca="1">Tabela3[[#This Row],[Tabela 1]]*1.08</f>
        <v>19.41525141039514</v>
      </c>
      <c r="AP970" s="36">
        <f ca="1">Tabela3[[#This Row],[Tabela 2]]*1.15</f>
        <v>22.327539121954409</v>
      </c>
    </row>
    <row r="971" spans="1:42">
      <c r="A971" s="9">
        <v>46076</v>
      </c>
      <c r="B971" s="9" t="s">
        <v>109</v>
      </c>
      <c r="C971" s="14">
        <v>9102</v>
      </c>
      <c r="D971" s="6" t="s">
        <v>46</v>
      </c>
      <c r="E971" s="6" t="s">
        <v>44</v>
      </c>
      <c r="F971" s="6">
        <v>8</v>
      </c>
      <c r="G971" s="15">
        <v>4.6527777777777779E-2</v>
      </c>
      <c r="H971" s="16">
        <v>4</v>
      </c>
      <c r="I971" s="35">
        <f ca="1">IFERROR(Tabela3[[#This Row],[Custo Total]]/Tabela3[[#This Row],[Aluminio Util]],0)</f>
        <v>22.545190015448515</v>
      </c>
      <c r="J971" s="35">
        <f ca="1">Tabela3[[#This Row],[Custo Total]]/Tabela3[[#This Row],[Realizado]]</f>
        <v>56.362975038621286</v>
      </c>
      <c r="K971" s="37">
        <f>IFERROR(Tabela3[[#This Row],[Qtde Cx Produzida]]/Tabela3[[#This Row],[Tempo]]/24,0)</f>
        <v>7.1641791044776113</v>
      </c>
      <c r="L971" s="37">
        <f>Tabela3[[#This Row],[Qtde Cx Produzida]]*Tabela3[[#This Row],[Qdt Peça Placa]]</f>
        <v>24</v>
      </c>
      <c r="M971" s="37">
        <f>Tabela3[[#This Row],[Previsto]]-Tabela3[[#This Row],[Perda Pçs]]</f>
        <v>20</v>
      </c>
      <c r="N971" s="38">
        <f>IFERROR(Tabela3[[#This Row],[Perda Pçs]]/Tabela3[[#This Row],[Previsto]],0)</f>
        <v>0.16666666666666666</v>
      </c>
      <c r="O971" s="39">
        <f>IFERROR(IF(Tabela3[[#This Row],[Qtde Cx Produzida]] &lt;&gt; 0, Tabela3[[#This Row],[Tempo]] / Tabela3[[#This Row],[Qtde Cx Produzida]], 0),0)</f>
        <v>5.8159722222222224E-3</v>
      </c>
      <c r="P971" s="57">
        <f>IFERROR(Tabela3[[#This Row],[Perda Pçs]]/Tabela3[[#This Row],[Qdt Peça Placa]],0)</f>
        <v>1.3333333333333333</v>
      </c>
      <c r="Q971" s="37">
        <f>IFERROR(Tabela3[[#This Row],[Realizado]]*Tabela3[[#This Row],[Peso Util/Pç]],0)</f>
        <v>50</v>
      </c>
      <c r="R971" s="37">
        <f>IFERROR(Tabela3[[#This Row],[Peso Total Galho]]*Tabela3[[#This Row],[Qtde Cx Produzida]]*1.055,0)</f>
        <v>70.896000000000001</v>
      </c>
      <c r="S971" s="37">
        <f>(Tabela3[[#This Row],[Aluminio Bruto]]-Tabela3[[#This Row],[Aluminio Util]])*0.9</f>
        <v>18.8064</v>
      </c>
      <c r="T971" s="37">
        <f>Tabela3[[#This Row],[Aluminio Bruto]]/OleoKGAluminio</f>
        <v>29.825855532352691</v>
      </c>
      <c r="U971" s="35">
        <f>IFERROR((VLOOKUP(Tabela3[[#This Row],[Moldador]],Tabela1[],5,)+(VLOOKUP(Tabela3[[#This Row],[Ajudante]],Tabela1[],5,))*3.5),0)</f>
        <v>126.0945</v>
      </c>
      <c r="V971" s="35">
        <f>IFERROR(Tabela3[[#This Row],[Custo M.O. / H]]/((Tabela3[[#This Row],[Realizado]]/Tabela3[[#This Row],[Qdt Peça Placa]])/Tabela3[[#This Row],[Tempo]]/24),)</f>
        <v>21.120828749999998</v>
      </c>
      <c r="W971" s="35">
        <f>Tabela3[[#This Row],[Custo / Cx Moldada]]*Tabela3[[#This Row],[Qtde Cx Produzida]]</f>
        <v>168.96662999999998</v>
      </c>
      <c r="X971" s="35">
        <f ca="1">Tabela3[[#This Row],[Aluminio Util]]*Tabela3[[#This Row],[Custo/Kg]]</f>
        <v>880.00000000000011</v>
      </c>
      <c r="Y971" s="35">
        <f>IFERROR(VLOOKUP(Tabela3[[#This Row],[Data]],Tabela461213[],2,1)*(Tabela3[[#This Row],[Qtde Cx Produzida]]*Tabela3[[#This Row],[Qde macho / CX]]*Tabela3[[#This Row],[Peso Macho]]),)</f>
        <v>0</v>
      </c>
      <c r="Z971" s="35">
        <f>IFERROR(Tabela3[[#This Row],[Qtde Oleo]]*(VLOOKUP(Tabela3[[#This Row],[Data]],CompraOleo[],3,TRUE))*1.05,0)</f>
        <v>78.292870772425829</v>
      </c>
      <c r="AA971" s="47">
        <f ca="1">(Tabela3[[#This Row],[Custo Oleo]]+Tabela3[[#This Row],[Custo Aluminio]]+Tabela3[[#This Row],[Custo M.O. Total]]+Tabela3[[#This Row],[Custo Machos]])</f>
        <v>1127.2595007724258</v>
      </c>
      <c r="AB971" s="47">
        <f ca="1">Tabela3[[#This Row],[Custo Total]]*Tabela3[[#This Row],[% Perda]]</f>
        <v>187.87658346207095</v>
      </c>
      <c r="AC971" s="40">
        <f>IFERROR(VLOOKUP(Tabela3[[#This Row],[Produto]],Tabela2[],2,0),0)</f>
        <v>3</v>
      </c>
      <c r="AD971" s="48">
        <f>IFERROR(VLOOKUP(Tabela3[[#This Row],[Produto]],Tabela2[],3,0),0)</f>
        <v>2.5</v>
      </c>
      <c r="AE971" s="48">
        <f>IFERROR(VLOOKUP(Tabela3[[#This Row],[Produto]],Tabela2[],4,0),0)</f>
        <v>8.4</v>
      </c>
      <c r="AF971" s="48">
        <f>IFERROR(VLOOKUP(Tabela3[[#This Row],[Produto]],Tabela2[],5,0),0)</f>
        <v>0.81000000000000039</v>
      </c>
      <c r="AG971" s="48">
        <f>IFERROR(VLOOKUP(Tabela3[[#This Row],[Produto]],Tabela2[],6,0),0)</f>
        <v>0</v>
      </c>
      <c r="AH971" s="40">
        <f>IFERROR(VLOOKUP(Tabela3[[#This Row],[Produto]],Tabela2[],7,0),0)</f>
        <v>0</v>
      </c>
      <c r="AI971" s="40">
        <f>IFERROR(VLOOKUP(Tabela3[[#This Row],[Produto]],Tabela2[],8,0),0)</f>
        <v>0</v>
      </c>
      <c r="AJ971" s="35">
        <f ca="1">IFERROR(VLOOKUP(Tabela3[[#This Row],[Produto]],Tabela2[],13,0),0)</f>
        <v>17.600000000000001</v>
      </c>
      <c r="AK971" s="48" t="str">
        <f>IFERROR(VLOOKUP(Tabela3[[#This Row],[Produto]],Tabela2[],14,0),0)</f>
        <v>MGA</v>
      </c>
      <c r="AL971" s="40">
        <f>IFERROR(VLOOKUP(Tabela3[[#This Row],[Produto]],Tabela2[],15,0),0)</f>
        <v>0</v>
      </c>
      <c r="AM971" s="36">
        <f ca="1">(Tabela3[[#This Row],[Custo Usinagem]]+Tabela3[[#This Row],[Custo / Pç]])*1.2</f>
        <v>67.635570046345535</v>
      </c>
      <c r="AN971" s="36">
        <f ca="1">Tabela3[[#This Row],[Valor Mínimo Venda]]*1.15</f>
        <v>77.780905553297359</v>
      </c>
      <c r="AO971" s="36">
        <f ca="1">Tabela3[[#This Row],[Tabela 1]]*1.08</f>
        <v>84.003377997561159</v>
      </c>
      <c r="AP971" s="36">
        <f ca="1">Tabela3[[#This Row],[Tabela 2]]*1.15</f>
        <v>96.603884697195326</v>
      </c>
    </row>
    <row r="972" spans="1:42">
      <c r="A972" s="9">
        <v>46076</v>
      </c>
      <c r="B972" s="9" t="s">
        <v>245</v>
      </c>
      <c r="C972" s="14">
        <v>9095</v>
      </c>
      <c r="D972" s="6" t="s">
        <v>46</v>
      </c>
      <c r="E972" s="6" t="s">
        <v>44</v>
      </c>
      <c r="F972" s="6">
        <v>63</v>
      </c>
      <c r="G972" s="15">
        <v>0.28819444444444442</v>
      </c>
      <c r="H972" s="16">
        <v>0</v>
      </c>
      <c r="I972" s="35">
        <f ca="1">IFERROR(Tabela3[[#This Row],[Custo Total]]/Tabela3[[#This Row],[Aluminio Util]],0)</f>
        <v>28.04230048292029</v>
      </c>
      <c r="J972" s="35">
        <f ca="1">Tabela3[[#This Row],[Custo Total]]/Tabela3[[#This Row],[Realizado]]</f>
        <v>9.3100437603295365</v>
      </c>
      <c r="K972" s="37">
        <f>IFERROR(Tabela3[[#This Row],[Qtde Cx Produzida]]/Tabela3[[#This Row],[Tempo]]/24,0)</f>
        <v>9.1084337349397604</v>
      </c>
      <c r="L972" s="37">
        <f>Tabela3[[#This Row],[Qtde Cx Produzida]]*Tabela3[[#This Row],[Qdt Peça Placa]]</f>
        <v>252</v>
      </c>
      <c r="M972" s="37">
        <f>Tabela3[[#This Row],[Previsto]]-Tabela3[[#This Row],[Perda Pçs]]</f>
        <v>252</v>
      </c>
      <c r="N972" s="38">
        <f>IFERROR(Tabela3[[#This Row],[Perda Pçs]]/Tabela3[[#This Row],[Previsto]],0)</f>
        <v>0</v>
      </c>
      <c r="O972" s="39">
        <f>IFERROR(IF(Tabela3[[#This Row],[Qtde Cx Produzida]] &lt;&gt; 0, Tabela3[[#This Row],[Tempo]] / Tabela3[[#This Row],[Qtde Cx Produzida]], 0),0)</f>
        <v>4.5745149911816576E-3</v>
      </c>
      <c r="P972" s="57">
        <f>IFERROR(Tabela3[[#This Row],[Perda Pçs]]/Tabela3[[#This Row],[Qdt Peça Placa]],0)</f>
        <v>0</v>
      </c>
      <c r="Q972" s="37">
        <f>IFERROR(Tabela3[[#This Row],[Realizado]]*Tabela3[[#This Row],[Peso Util/Pç]],0)</f>
        <v>83.664000000000001</v>
      </c>
      <c r="R972" s="37">
        <f>IFERROR(Tabela3[[#This Row],[Peso Total Galho]]*Tabela3[[#This Row],[Qtde Cx Produzida]]*1.055,0)</f>
        <v>152.86949999999996</v>
      </c>
      <c r="S972" s="37">
        <f>(Tabela3[[#This Row],[Aluminio Bruto]]-Tabela3[[#This Row],[Aluminio Util]])*0.9</f>
        <v>62.284949999999967</v>
      </c>
      <c r="T972" s="37">
        <f>Tabela3[[#This Row],[Aluminio Bruto]]/OleoKGAluminio</f>
        <v>64.312000991635472</v>
      </c>
      <c r="U972" s="35">
        <f>IFERROR((VLOOKUP(Tabela3[[#This Row],[Moldador]],Tabela1[],5,)+(VLOOKUP(Tabela3[[#This Row],[Ajudante]],Tabela1[],5,))*3.5),0)</f>
        <v>126.0945</v>
      </c>
      <c r="V972" s="35">
        <f>IFERROR(Tabela3[[#This Row],[Custo M.O. / H]]/((Tabela3[[#This Row],[Realizado]]/Tabela3[[#This Row],[Qdt Peça Placa]])/Tabela3[[#This Row],[Tempo]]/24),)</f>
        <v>13.84370833333333</v>
      </c>
      <c r="W972" s="35">
        <f>Tabela3[[#This Row],[Custo / Cx Moldada]]*Tabela3[[#This Row],[Qtde Cx Produzida]]</f>
        <v>872.15362499999981</v>
      </c>
      <c r="X972" s="35">
        <f ca="1">Tabela3[[#This Row],[Aluminio Util]]*Tabela3[[#This Row],[Custo/Kg]]</f>
        <v>1305.1584</v>
      </c>
      <c r="Y972" s="35">
        <f>IFERROR(VLOOKUP(Tabela3[[#This Row],[Data]],Tabela461213[],2,1)*(Tabela3[[#This Row],[Qtde Cx Produzida]]*Tabela3[[#This Row],[Qde macho / CX]]*Tabela3[[#This Row],[Peso Macho]]),)</f>
        <v>0</v>
      </c>
      <c r="Z972" s="35">
        <f>IFERROR(Tabela3[[#This Row],[Qtde Oleo]]*(VLOOKUP(Tabela3[[#This Row],[Data]],CompraOleo[],3,TRUE))*1.05,0)</f>
        <v>168.81900260304315</v>
      </c>
      <c r="AA972" s="47">
        <f ca="1">(Tabela3[[#This Row],[Custo Oleo]]+Tabela3[[#This Row],[Custo Aluminio]]+Tabela3[[#This Row],[Custo M.O. Total]]+Tabela3[[#This Row],[Custo Machos]])</f>
        <v>2346.1310276030431</v>
      </c>
      <c r="AB972" s="47">
        <f ca="1">Tabela3[[#This Row],[Custo Total]]*Tabela3[[#This Row],[% Perda]]</f>
        <v>0</v>
      </c>
      <c r="AC972" s="40">
        <f>IFERROR(VLOOKUP(Tabela3[[#This Row],[Produto]],Tabela2[],2,0),0)</f>
        <v>4</v>
      </c>
      <c r="AD972" s="48">
        <f>IFERROR(VLOOKUP(Tabela3[[#This Row],[Produto]],Tabela2[],3,0),0)</f>
        <v>0.33200000000000002</v>
      </c>
      <c r="AE972" s="48">
        <f>IFERROR(VLOOKUP(Tabela3[[#This Row],[Produto]],Tabela2[],4,0),0)</f>
        <v>2.2999999999999998</v>
      </c>
      <c r="AF972" s="48">
        <f>IFERROR(VLOOKUP(Tabela3[[#This Row],[Produto]],Tabela2[],5,0),0)</f>
        <v>0.8747999999999998</v>
      </c>
      <c r="AG972" s="48">
        <f>IFERROR(VLOOKUP(Tabela3[[#This Row],[Produto]],Tabela2[],6,0),0)</f>
        <v>0</v>
      </c>
      <c r="AH972" s="40">
        <f>IFERROR(VLOOKUP(Tabela3[[#This Row],[Produto]],Tabela2[],7,0),0)</f>
        <v>0</v>
      </c>
      <c r="AI972" s="40">
        <f>IFERROR(VLOOKUP(Tabela3[[#This Row],[Produto]],Tabela2[],8,0),0)</f>
        <v>0</v>
      </c>
      <c r="AJ972" s="35">
        <f ca="1">IFERROR(VLOOKUP(Tabela3[[#This Row],[Produto]],Tabela2[],13,0),0)</f>
        <v>15.600000000000001</v>
      </c>
      <c r="AK972" s="48" t="str">
        <f>IFERROR(VLOOKUP(Tabela3[[#This Row],[Produto]],Tabela2[],14,0),0)</f>
        <v>Senun</v>
      </c>
      <c r="AL972" s="40">
        <f>IFERROR(VLOOKUP(Tabela3[[#This Row],[Produto]],Tabela2[],15,0),0)</f>
        <v>3.5</v>
      </c>
      <c r="AM972" s="36">
        <f ca="1">(Tabela3[[#This Row],[Custo Usinagem]]+Tabela3[[#This Row],[Custo / Pç]])*1.2</f>
        <v>15.372052512395443</v>
      </c>
      <c r="AN972" s="36">
        <f ca="1">Tabela3[[#This Row],[Valor Mínimo Venda]]*1.15</f>
        <v>17.677860389254757</v>
      </c>
      <c r="AO972" s="36">
        <f ca="1">Tabela3[[#This Row],[Tabela 1]]*1.08</f>
        <v>19.092089220395138</v>
      </c>
      <c r="AP972" s="36">
        <f ca="1">Tabela3[[#This Row],[Tabela 2]]*1.15</f>
        <v>21.955902603454408</v>
      </c>
    </row>
    <row r="973" spans="1:42">
      <c r="A973" s="9">
        <v>46076</v>
      </c>
      <c r="B973" s="9" t="s">
        <v>115</v>
      </c>
      <c r="C973" s="14">
        <v>9103</v>
      </c>
      <c r="D973" s="6" t="s">
        <v>46</v>
      </c>
      <c r="E973" s="6" t="s">
        <v>44</v>
      </c>
      <c r="F973" s="6">
        <v>3</v>
      </c>
      <c r="G973" s="15">
        <v>1.2500000000000001E-2</v>
      </c>
      <c r="H973" s="16">
        <v>0</v>
      </c>
      <c r="I973" s="35">
        <f ca="1">IFERROR(Tabela3[[#This Row],[Custo Total]]/Tabela3[[#This Row],[Aluminio Util]],0)</f>
        <v>23.674714924697895</v>
      </c>
      <c r="J973" s="35">
        <f ca="1">Tabela3[[#This Row],[Custo Total]]/Tabela3[[#This Row],[Realizado]]</f>
        <v>6.2027753102708481</v>
      </c>
      <c r="K973" s="37">
        <f>IFERROR(Tabela3[[#This Row],[Qtde Cx Produzida]]/Tabela3[[#This Row],[Tempo]]/24,0)</f>
        <v>10</v>
      </c>
      <c r="L973" s="37">
        <f>Tabela3[[#This Row],[Qtde Cx Produzida]]*Tabela3[[#This Row],[Qdt Peça Placa]]</f>
        <v>36</v>
      </c>
      <c r="M973" s="37">
        <f>Tabela3[[#This Row],[Previsto]]-Tabela3[[#This Row],[Perda Pçs]]</f>
        <v>36</v>
      </c>
      <c r="N973" s="38">
        <f>IFERROR(Tabela3[[#This Row],[Perda Pçs]]/Tabela3[[#This Row],[Previsto]],0)</f>
        <v>0</v>
      </c>
      <c r="O973" s="39">
        <f>IFERROR(IF(Tabela3[[#This Row],[Qtde Cx Produzida]] &lt;&gt; 0, Tabela3[[#This Row],[Tempo]] / Tabela3[[#This Row],[Qtde Cx Produzida]], 0),0)</f>
        <v>4.1666666666666666E-3</v>
      </c>
      <c r="P973" s="57">
        <f>IFERROR(Tabela3[[#This Row],[Perda Pçs]]/Tabela3[[#This Row],[Qdt Peça Placa]],0)</f>
        <v>0</v>
      </c>
      <c r="Q973" s="37">
        <f>IFERROR(Tabela3[[#This Row],[Realizado]]*Tabela3[[#This Row],[Peso Util/Pç]],0)</f>
        <v>9.4320000000000004</v>
      </c>
      <c r="R973" s="37">
        <f>IFERROR(Tabela3[[#This Row],[Peso Total Galho]]*Tabela3[[#This Row],[Qtde Cx Produzida]]*1.055,0)</f>
        <v>17.629049999999999</v>
      </c>
      <c r="S973" s="37">
        <f>(Tabela3[[#This Row],[Aluminio Bruto]]-Tabela3[[#This Row],[Aluminio Util]])*0.9</f>
        <v>7.3773449999999992</v>
      </c>
      <c r="T973" s="37">
        <f>Tabela3[[#This Row],[Aluminio Bruto]]/OleoKGAluminio</f>
        <v>7.4165185408573429</v>
      </c>
      <c r="U973" s="35">
        <f>IFERROR((VLOOKUP(Tabela3[[#This Row],[Moldador]],Tabela1[],5,)+(VLOOKUP(Tabela3[[#This Row],[Ajudante]],Tabela1[],5,))*3.5),0)</f>
        <v>126.0945</v>
      </c>
      <c r="V973" s="35">
        <f>IFERROR(Tabela3[[#This Row],[Custo M.O. / H]]/((Tabela3[[#This Row],[Realizado]]/Tabela3[[#This Row],[Qdt Peça Placa]])/Tabela3[[#This Row],[Tempo]]/24),)</f>
        <v>12.609449999999999</v>
      </c>
      <c r="W973" s="35">
        <f>Tabela3[[#This Row],[Custo / Cx Moldada]]*Tabela3[[#This Row],[Qtde Cx Produzida]]</f>
        <v>37.82835</v>
      </c>
      <c r="X973" s="35">
        <f ca="1">Tabela3[[#This Row],[Aluminio Util]]*Tabela3[[#This Row],[Custo/Kg]]</f>
        <v>166.00320000000002</v>
      </c>
      <c r="Y973" s="35">
        <f>IFERROR(VLOOKUP(Tabela3[[#This Row],[Data]],Tabela461213[],2,1)*(Tabela3[[#This Row],[Qtde Cx Produzida]]*Tabela3[[#This Row],[Qde macho / CX]]*Tabela3[[#This Row],[Peso Macho]]),)</f>
        <v>0</v>
      </c>
      <c r="Z973" s="35">
        <f>IFERROR(Tabela3[[#This Row],[Qtde Oleo]]*(VLOOKUP(Tabela3[[#This Row],[Data]],CompraOleo[],3,TRUE))*1.05,0)</f>
        <v>19.468361169750523</v>
      </c>
      <c r="AA973" s="47">
        <f ca="1">(Tabela3[[#This Row],[Custo Oleo]]+Tabela3[[#This Row],[Custo Aluminio]]+Tabela3[[#This Row],[Custo M.O. Total]]+Tabela3[[#This Row],[Custo Machos]])</f>
        <v>223.29991116975054</v>
      </c>
      <c r="AB973" s="47">
        <f ca="1">Tabela3[[#This Row],[Custo Total]]*Tabela3[[#This Row],[% Perda]]</f>
        <v>0</v>
      </c>
      <c r="AC973" s="40">
        <f>IFERROR(VLOOKUP(Tabela3[[#This Row],[Produto]],Tabela2[],2,0),0)</f>
        <v>12</v>
      </c>
      <c r="AD973" s="48">
        <f>IFERROR(VLOOKUP(Tabela3[[#This Row],[Produto]],Tabela2[],3,0),0)</f>
        <v>0.26200000000000001</v>
      </c>
      <c r="AE973" s="48">
        <f>IFERROR(VLOOKUP(Tabela3[[#This Row],[Produto]],Tabela2[],4,0),0)</f>
        <v>5.57</v>
      </c>
      <c r="AF973" s="48">
        <f>IFERROR(VLOOKUP(Tabela3[[#This Row],[Produto]],Tabela2[],5,0),0)</f>
        <v>2.1834000000000002</v>
      </c>
      <c r="AG973" s="48">
        <f>IFERROR(VLOOKUP(Tabela3[[#This Row],[Produto]],Tabela2[],6,0),0)</f>
        <v>0</v>
      </c>
      <c r="AH973" s="40">
        <f>IFERROR(VLOOKUP(Tabela3[[#This Row],[Produto]],Tabela2[],7,0),0)</f>
        <v>0</v>
      </c>
      <c r="AI973" s="40">
        <f>IFERROR(VLOOKUP(Tabela3[[#This Row],[Produto]],Tabela2[],8,0),0)</f>
        <v>0</v>
      </c>
      <c r="AJ973" s="35">
        <f ca="1">IFERROR(VLOOKUP(Tabela3[[#This Row],[Produto]],Tabela2[],13,0),0)</f>
        <v>17.600000000000001</v>
      </c>
      <c r="AK973" s="48" t="str">
        <f>IFERROR(VLOOKUP(Tabela3[[#This Row],[Produto]],Tabela2[],14,0),0)</f>
        <v>Marcelo</v>
      </c>
      <c r="AL973" s="40">
        <f>IFERROR(VLOOKUP(Tabela3[[#This Row],[Produto]],Tabela2[],15,0),0)</f>
        <v>5</v>
      </c>
      <c r="AM973" s="36">
        <f ca="1">(Tabela3[[#This Row],[Custo Usinagem]]+Tabela3[[#This Row],[Custo / Pç]])*1.2</f>
        <v>13.443330372325017</v>
      </c>
      <c r="AN973" s="36">
        <f ca="1">Tabela3[[#This Row],[Valor Mínimo Venda]]*1.15</f>
        <v>15.459829928173768</v>
      </c>
      <c r="AO973" s="36">
        <f ca="1">Tabela3[[#This Row],[Tabela 1]]*1.08</f>
        <v>16.696616322427669</v>
      </c>
      <c r="AP973" s="36">
        <f ca="1">Tabela3[[#This Row],[Tabela 2]]*1.15</f>
        <v>19.201108770791819</v>
      </c>
    </row>
    <row r="974" spans="1:42">
      <c r="A974" s="9">
        <v>46076</v>
      </c>
      <c r="B974" s="9" t="s">
        <v>258</v>
      </c>
      <c r="C974" s="14">
        <v>9096</v>
      </c>
      <c r="D974" s="6" t="s">
        <v>44</v>
      </c>
      <c r="E974" s="6" t="s">
        <v>47</v>
      </c>
      <c r="F974" s="6">
        <v>2</v>
      </c>
      <c r="G974" s="15">
        <v>1.0416666666666666E-2</v>
      </c>
      <c r="H974" s="16">
        <v>0</v>
      </c>
      <c r="I974" s="35">
        <f ca="1">IFERROR(Tabela3[[#This Row],[Custo Total]]/Tabela3[[#This Row],[Aluminio Util]],0)</f>
        <v>26.479421368057395</v>
      </c>
      <c r="J974" s="35">
        <f ca="1">Tabela3[[#This Row],[Custo Total]]/Tabela3[[#This Row],[Realizado]]</f>
        <v>12.577725149827261</v>
      </c>
      <c r="K974" s="37">
        <f>IFERROR(Tabela3[[#This Row],[Qtde Cx Produzida]]/Tabela3[[#This Row],[Tempo]]/24,0)</f>
        <v>8</v>
      </c>
      <c r="L974" s="37">
        <f>Tabela3[[#This Row],[Qtde Cx Produzida]]*Tabela3[[#This Row],[Qdt Peça Placa]]</f>
        <v>6</v>
      </c>
      <c r="M974" s="37">
        <f>Tabela3[[#This Row],[Previsto]]-Tabela3[[#This Row],[Perda Pçs]]</f>
        <v>6</v>
      </c>
      <c r="N974" s="38">
        <f>IFERROR(Tabela3[[#This Row],[Perda Pçs]]/Tabela3[[#This Row],[Previsto]],0)</f>
        <v>0</v>
      </c>
      <c r="O974" s="39">
        <f>IFERROR(IF(Tabela3[[#This Row],[Qtde Cx Produzida]] &lt;&gt; 0, Tabela3[[#This Row],[Tempo]] / Tabela3[[#This Row],[Qtde Cx Produzida]], 0),0)</f>
        <v>5.208333333333333E-3</v>
      </c>
      <c r="P974" s="57">
        <f>IFERROR(Tabela3[[#This Row],[Perda Pçs]]/Tabela3[[#This Row],[Qdt Peça Placa]],0)</f>
        <v>0</v>
      </c>
      <c r="Q974" s="37">
        <f>IFERROR(Tabela3[[#This Row],[Realizado]]*Tabela3[[#This Row],[Peso Util/Pç]],0)</f>
        <v>2.8499999999999996</v>
      </c>
      <c r="R974" s="37">
        <f>IFERROR(Tabela3[[#This Row],[Peso Total Galho]]*Tabela3[[#This Row],[Qtde Cx Produzida]]*1.055,0)</f>
        <v>5.4501299999999997</v>
      </c>
      <c r="S974" s="37">
        <f>(Tabela3[[#This Row],[Aluminio Bruto]]-Tabela3[[#This Row],[Aluminio Util]])*0.9</f>
        <v>2.3401170000000002</v>
      </c>
      <c r="T974" s="37">
        <f>Tabela3[[#This Row],[Aluminio Bruto]]/OleoKGAluminio</f>
        <v>2.2928626440496127</v>
      </c>
      <c r="U974" s="35">
        <f>IFERROR((VLOOKUP(Tabela3[[#This Row],[Moldador]],Tabela1[],5,)+(VLOOKUP(Tabela3[[#This Row],[Ajudante]],Tabela1[],5,))*3.5),0)</f>
        <v>99.95034583333333</v>
      </c>
      <c r="V974" s="35">
        <f>IFERROR(Tabela3[[#This Row],[Custo M.O. / H]]/((Tabela3[[#This Row],[Realizado]]/Tabela3[[#This Row],[Qdt Peça Placa]])/Tabela3[[#This Row],[Tempo]]/24),)</f>
        <v>12.493793229166666</v>
      </c>
      <c r="W974" s="35">
        <f>Tabela3[[#This Row],[Custo / Cx Moldada]]*Tabela3[[#This Row],[Qtde Cx Produzida]]</f>
        <v>24.987586458333332</v>
      </c>
      <c r="X974" s="35">
        <f ca="1">Tabela3[[#This Row],[Aluminio Util]]*Tabela3[[#This Row],[Custo/Kg]]</f>
        <v>44.46</v>
      </c>
      <c r="Y974" s="35">
        <f>IFERROR(VLOOKUP(Tabela3[[#This Row],[Data]],Tabela461213[],2,1)*(Tabela3[[#This Row],[Qtde Cx Produzida]]*Tabela3[[#This Row],[Qde macho / CX]]*Tabela3[[#This Row],[Peso Macho]]),)</f>
        <v>0</v>
      </c>
      <c r="Z974" s="35">
        <f>IFERROR(Tabela3[[#This Row],[Qtde Oleo]]*(VLOOKUP(Tabela3[[#This Row],[Data]],CompraOleo[],3,TRUE))*1.05,0)</f>
        <v>6.0187644406302336</v>
      </c>
      <c r="AA974" s="47">
        <f ca="1">(Tabela3[[#This Row],[Custo Oleo]]+Tabela3[[#This Row],[Custo Aluminio]]+Tabela3[[#This Row],[Custo M.O. Total]]+Tabela3[[#This Row],[Custo Machos]])</f>
        <v>75.466350898963569</v>
      </c>
      <c r="AB974" s="47">
        <f ca="1">Tabela3[[#This Row],[Custo Total]]*Tabela3[[#This Row],[% Perda]]</f>
        <v>0</v>
      </c>
      <c r="AC974" s="40">
        <f>IFERROR(VLOOKUP(Tabela3[[#This Row],[Produto]],Tabela2[],2,0),0)</f>
        <v>3</v>
      </c>
      <c r="AD974" s="48">
        <f>IFERROR(VLOOKUP(Tabela3[[#This Row],[Produto]],Tabela2[],3,0),0)</f>
        <v>0.47499999999999998</v>
      </c>
      <c r="AE974" s="48">
        <f>IFERROR(VLOOKUP(Tabela3[[#This Row],[Produto]],Tabela2[],4,0),0)</f>
        <v>2.5830000000000002</v>
      </c>
      <c r="AF974" s="48">
        <f>IFERROR(VLOOKUP(Tabela3[[#This Row],[Produto]],Tabela2[],5,0),0)</f>
        <v>1.0422000000000005</v>
      </c>
      <c r="AG974" s="48">
        <f>IFERROR(VLOOKUP(Tabela3[[#This Row],[Produto]],Tabela2[],6,0),0)</f>
        <v>0</v>
      </c>
      <c r="AH974" s="40">
        <f>IFERROR(VLOOKUP(Tabela3[[#This Row],[Produto]],Tabela2[],7,0),0)</f>
        <v>0</v>
      </c>
      <c r="AI974" s="40">
        <f>IFERROR(VLOOKUP(Tabela3[[#This Row],[Produto]],Tabela2[],8,0),0)</f>
        <v>0</v>
      </c>
      <c r="AJ974" s="35">
        <f ca="1">IFERROR(VLOOKUP(Tabela3[[#This Row],[Produto]],Tabela2[],13,0),0)</f>
        <v>15.600000000000001</v>
      </c>
      <c r="AK974" s="48" t="str">
        <f>IFERROR(VLOOKUP(Tabela3[[#This Row],[Produto]],Tabela2[],14,0),0)</f>
        <v>Senun</v>
      </c>
      <c r="AL974" s="40">
        <f>IFERROR(VLOOKUP(Tabela3[[#This Row],[Produto]],Tabela2[],15,0),0)</f>
        <v>6</v>
      </c>
      <c r="AM974" s="36">
        <f ca="1">(Tabela3[[#This Row],[Custo Usinagem]]+Tabela3[[#This Row],[Custo / Pç]])*1.2</f>
        <v>22.29327017979271</v>
      </c>
      <c r="AN974" s="36">
        <f ca="1">Tabela3[[#This Row],[Valor Mínimo Venda]]*1.15</f>
        <v>25.637260706761616</v>
      </c>
      <c r="AO974" s="36">
        <f ca="1">Tabela3[[#This Row],[Tabela 1]]*1.08</f>
        <v>27.688241563302547</v>
      </c>
      <c r="AP974" s="36">
        <f ca="1">Tabela3[[#This Row],[Tabela 2]]*1.15</f>
        <v>31.841477797797928</v>
      </c>
    </row>
    <row r="975" spans="1:42">
      <c r="A975" s="9">
        <v>46076</v>
      </c>
      <c r="B975" s="9" t="s">
        <v>227</v>
      </c>
      <c r="C975" s="14">
        <v>9026</v>
      </c>
      <c r="D975" s="6" t="s">
        <v>44</v>
      </c>
      <c r="E975" s="6" t="s">
        <v>47</v>
      </c>
      <c r="F975" s="6">
        <v>2</v>
      </c>
      <c r="G975" s="15">
        <v>2.7777777777777776E-2</v>
      </c>
      <c r="H975" s="16">
        <v>0</v>
      </c>
      <c r="I975" s="35">
        <f ca="1">IFERROR(Tabela3[[#This Row],[Custo Total]]/Tabela3[[#This Row],[Aluminio Util]],0)</f>
        <v>20.085329033877322</v>
      </c>
      <c r="J975" s="35">
        <f ca="1">Tabela3[[#This Row],[Custo Total]]/Tabela3[[#This Row],[Realizado]]</f>
        <v>542.30388391468773</v>
      </c>
      <c r="K975" s="37">
        <f>IFERROR(Tabela3[[#This Row],[Qtde Cx Produzida]]/Tabela3[[#This Row],[Tempo]]/24,0)</f>
        <v>3</v>
      </c>
      <c r="L975" s="37">
        <f>Tabela3[[#This Row],[Qtde Cx Produzida]]*Tabela3[[#This Row],[Qdt Peça Placa]]</f>
        <v>2</v>
      </c>
      <c r="M975" s="37">
        <f>Tabela3[[#This Row],[Previsto]]-Tabela3[[#This Row],[Perda Pçs]]</f>
        <v>2</v>
      </c>
      <c r="N975" s="38">
        <f>IFERROR(Tabela3[[#This Row],[Perda Pçs]]/Tabela3[[#This Row],[Previsto]],0)</f>
        <v>0</v>
      </c>
      <c r="O975" s="39">
        <f>IFERROR(IF(Tabela3[[#This Row],[Qtde Cx Produzida]] &lt;&gt; 0, Tabela3[[#This Row],[Tempo]] / Tabela3[[#This Row],[Qtde Cx Produzida]], 0),0)</f>
        <v>1.3888888888888888E-2</v>
      </c>
      <c r="P975" s="57">
        <f>IFERROR(Tabela3[[#This Row],[Perda Pçs]]/Tabela3[[#This Row],[Qdt Peça Placa]],0)</f>
        <v>0</v>
      </c>
      <c r="Q975" s="37">
        <f>IFERROR(Tabela3[[#This Row],[Realizado]]*Tabela3[[#This Row],[Peso Util/Pç]],0)</f>
        <v>54</v>
      </c>
      <c r="R975" s="37">
        <f>IFERROR(Tabela3[[#This Row],[Peso Total Galho]]*Tabela3[[#This Row],[Qtde Cx Produzida]]*1.055,0)</f>
        <v>61.19</v>
      </c>
      <c r="S975" s="37">
        <f>(Tabela3[[#This Row],[Aluminio Bruto]]-Tabela3[[#This Row],[Aluminio Util]])*0.9</f>
        <v>6.4709999999999983</v>
      </c>
      <c r="T975" s="37">
        <f>Tabela3[[#This Row],[Aluminio Bruto]]/OleoKGAluminio</f>
        <v>25.742553882090117</v>
      </c>
      <c r="U975" s="35">
        <f>IFERROR((VLOOKUP(Tabela3[[#This Row],[Moldador]],Tabela1[],5,)+(VLOOKUP(Tabela3[[#This Row],[Ajudante]],Tabela1[],5,))*3.5),0)</f>
        <v>99.95034583333333</v>
      </c>
      <c r="V975" s="35">
        <f>IFERROR(Tabela3[[#This Row],[Custo M.O. / H]]/((Tabela3[[#This Row],[Realizado]]/Tabela3[[#This Row],[Qdt Peça Placa]])/Tabela3[[#This Row],[Tempo]]/24),)</f>
        <v>33.316781944444443</v>
      </c>
      <c r="W975" s="35">
        <f>Tabela3[[#This Row],[Custo / Cx Moldada]]*Tabela3[[#This Row],[Qtde Cx Produzida]]</f>
        <v>66.633563888888887</v>
      </c>
      <c r="X975" s="35">
        <f ca="1">Tabela3[[#This Row],[Aluminio Util]]*Tabela3[[#This Row],[Custo/Kg]]</f>
        <v>950.40000000000009</v>
      </c>
      <c r="Y975" s="35">
        <f>IFERROR(VLOOKUP(Tabela3[[#This Row],[Data]],Tabela461213[],2,1)*(Tabela3[[#This Row],[Qtde Cx Produzida]]*Tabela3[[#This Row],[Qde macho / CX]]*Tabela3[[#This Row],[Peso Macho]]),)</f>
        <v>0</v>
      </c>
      <c r="Z975" s="35">
        <f>IFERROR(Tabela3[[#This Row],[Qtde Oleo]]*(VLOOKUP(Tabela3[[#This Row],[Data]],CompraOleo[],3,TRUE))*1.05,0)</f>
        <v>67.574203940486569</v>
      </c>
      <c r="AA975" s="47">
        <f ca="1">(Tabela3[[#This Row],[Custo Oleo]]+Tabela3[[#This Row],[Custo Aluminio]]+Tabela3[[#This Row],[Custo M.O. Total]]+Tabela3[[#This Row],[Custo Machos]])</f>
        <v>1084.6077678293755</v>
      </c>
      <c r="AB975" s="47">
        <f ca="1">Tabela3[[#This Row],[Custo Total]]*Tabela3[[#This Row],[% Perda]]</f>
        <v>0</v>
      </c>
      <c r="AC975" s="40">
        <f>IFERROR(VLOOKUP(Tabela3[[#This Row],[Produto]],Tabela2[],2,0),0)</f>
        <v>1</v>
      </c>
      <c r="AD975" s="48">
        <f>IFERROR(VLOOKUP(Tabela3[[#This Row],[Produto]],Tabela2[],3,0),0)</f>
        <v>27</v>
      </c>
      <c r="AE975" s="48">
        <f>IFERROR(VLOOKUP(Tabela3[[#This Row],[Produto]],Tabela2[],4,0),0)</f>
        <v>29</v>
      </c>
      <c r="AF975" s="48">
        <f>IFERROR(VLOOKUP(Tabela3[[#This Row],[Produto]],Tabela2[],5,0),0)</f>
        <v>1.8</v>
      </c>
      <c r="AG975" s="48">
        <f>IFERROR(VLOOKUP(Tabela3[[#This Row],[Produto]],Tabela2[],6,0),0)</f>
        <v>0</v>
      </c>
      <c r="AH975" s="40">
        <f>IFERROR(VLOOKUP(Tabela3[[#This Row],[Produto]],Tabela2[],7,0),0)</f>
        <v>0</v>
      </c>
      <c r="AI975" s="40">
        <f>IFERROR(VLOOKUP(Tabela3[[#This Row],[Produto]],Tabela2[],8,0),0)</f>
        <v>0</v>
      </c>
      <c r="AJ975" s="35">
        <f ca="1">IFERROR(VLOOKUP(Tabela3[[#This Row],[Produto]],Tabela2[],13,0),0)</f>
        <v>17.600000000000001</v>
      </c>
      <c r="AK975" s="48" t="str">
        <f>IFERROR(VLOOKUP(Tabela3[[#This Row],[Produto]],Tabela2[],14,0),0)</f>
        <v>Oscar</v>
      </c>
      <c r="AL975" s="40">
        <f>IFERROR(VLOOKUP(Tabela3[[#This Row],[Produto]],Tabela2[],15,0),0)</f>
        <v>0</v>
      </c>
      <c r="AM975" s="36">
        <f ca="1">(Tabela3[[#This Row],[Custo Usinagem]]+Tabela3[[#This Row],[Custo / Pç]])*1.2</f>
        <v>650.76466069762523</v>
      </c>
      <c r="AN975" s="36">
        <f ca="1">Tabela3[[#This Row],[Valor Mínimo Venda]]*1.15</f>
        <v>748.37935980226894</v>
      </c>
      <c r="AO975" s="36">
        <f ca="1">Tabela3[[#This Row],[Tabela 1]]*1.08</f>
        <v>808.24970858645054</v>
      </c>
      <c r="AP975" s="36">
        <f ca="1">Tabela3[[#This Row],[Tabela 2]]*1.15</f>
        <v>929.487164874418</v>
      </c>
    </row>
    <row r="976" spans="1:42">
      <c r="A976" s="9">
        <v>46077</v>
      </c>
      <c r="B976" s="9" t="s">
        <v>245</v>
      </c>
      <c r="C976" s="14">
        <v>9095</v>
      </c>
      <c r="D976" s="6" t="s">
        <v>46</v>
      </c>
      <c r="E976" s="6" t="s">
        <v>44</v>
      </c>
      <c r="F976" s="6">
        <v>21</v>
      </c>
      <c r="G976" s="15">
        <v>8.7499999999999994E-2</v>
      </c>
      <c r="H976" s="16">
        <v>0</v>
      </c>
      <c r="I976" s="35">
        <f ca="1">IFERROR(Tabela3[[#This Row],[Custo Total]]/Tabela3[[#This Row],[Aluminio Util]],0)</f>
        <v>27.112889087337958</v>
      </c>
      <c r="J976" s="35">
        <f ca="1">Tabela3[[#This Row],[Custo Total]]/Tabela3[[#This Row],[Realizado]]</f>
        <v>9.0014791769962024</v>
      </c>
      <c r="K976" s="37">
        <f>IFERROR(Tabela3[[#This Row],[Qtde Cx Produzida]]/Tabela3[[#This Row],[Tempo]]/24,0)</f>
        <v>10.000000000000002</v>
      </c>
      <c r="L976" s="37">
        <f>Tabela3[[#This Row],[Qtde Cx Produzida]]*Tabela3[[#This Row],[Qdt Peça Placa]]</f>
        <v>84</v>
      </c>
      <c r="M976" s="37">
        <f>Tabela3[[#This Row],[Previsto]]-Tabela3[[#This Row],[Perda Pçs]]</f>
        <v>84</v>
      </c>
      <c r="N976" s="38">
        <f>IFERROR(Tabela3[[#This Row],[Perda Pçs]]/Tabela3[[#This Row],[Previsto]],0)</f>
        <v>0</v>
      </c>
      <c r="O976" s="39">
        <f>IFERROR(IF(Tabela3[[#This Row],[Qtde Cx Produzida]] &lt;&gt; 0, Tabela3[[#This Row],[Tempo]] / Tabela3[[#This Row],[Qtde Cx Produzida]], 0),0)</f>
        <v>4.1666666666666666E-3</v>
      </c>
      <c r="P976" s="57">
        <f>IFERROR(Tabela3[[#This Row],[Perda Pçs]]/Tabela3[[#This Row],[Qdt Peça Placa]],0)</f>
        <v>0</v>
      </c>
      <c r="Q976" s="37">
        <f>IFERROR(Tabela3[[#This Row],[Realizado]]*Tabela3[[#This Row],[Peso Util/Pç]],0)</f>
        <v>27.888000000000002</v>
      </c>
      <c r="R976" s="37">
        <f>IFERROR(Tabela3[[#This Row],[Peso Total Galho]]*Tabela3[[#This Row],[Qtde Cx Produzida]]*1.055,0)</f>
        <v>50.956499999999991</v>
      </c>
      <c r="S976" s="37">
        <f>(Tabela3[[#This Row],[Aluminio Bruto]]-Tabela3[[#This Row],[Aluminio Util]])*0.9</f>
        <v>20.761649999999992</v>
      </c>
      <c r="T976" s="37">
        <f>Tabela3[[#This Row],[Aluminio Bruto]]/OleoKGAluminio</f>
        <v>21.437333663878491</v>
      </c>
      <c r="U976" s="35">
        <f>IFERROR((VLOOKUP(Tabela3[[#This Row],[Moldador]],Tabela1[],5,)+(VLOOKUP(Tabela3[[#This Row],[Ajudante]],Tabela1[],5,))*3.5),0)</f>
        <v>126.0945</v>
      </c>
      <c r="V976" s="35">
        <f>IFERROR(Tabela3[[#This Row],[Custo M.O. / H]]/((Tabela3[[#This Row],[Realizado]]/Tabela3[[#This Row],[Qdt Peça Placa]])/Tabela3[[#This Row],[Tempo]]/24),)</f>
        <v>12.609449999999997</v>
      </c>
      <c r="W976" s="35">
        <f>Tabela3[[#This Row],[Custo / Cx Moldada]]*Tabela3[[#This Row],[Qtde Cx Produzida]]</f>
        <v>264.79844999999995</v>
      </c>
      <c r="X976" s="35">
        <f ca="1">Tabela3[[#This Row],[Aluminio Util]]*Tabela3[[#This Row],[Custo/Kg]]</f>
        <v>435.05280000000005</v>
      </c>
      <c r="Y976" s="35">
        <f>IFERROR(VLOOKUP(Tabela3[[#This Row],[Data]],Tabela461213[],2,1)*(Tabela3[[#This Row],[Qtde Cx Produzida]]*Tabela3[[#This Row],[Qde macho / CX]]*Tabela3[[#This Row],[Peso Macho]]),)</f>
        <v>0</v>
      </c>
      <c r="Z976" s="35">
        <f>IFERROR(Tabela3[[#This Row],[Qtde Oleo]]*(VLOOKUP(Tabela3[[#This Row],[Data]],CompraOleo[],3,TRUE))*1.05,0)</f>
        <v>56.273000867681041</v>
      </c>
      <c r="AA976" s="47">
        <f ca="1">(Tabela3[[#This Row],[Custo Oleo]]+Tabela3[[#This Row],[Custo Aluminio]]+Tabela3[[#This Row],[Custo M.O. Total]]+Tabela3[[#This Row],[Custo Machos]])</f>
        <v>756.12425086768098</v>
      </c>
      <c r="AB976" s="47">
        <f ca="1">Tabela3[[#This Row],[Custo Total]]*Tabela3[[#This Row],[% Perda]]</f>
        <v>0</v>
      </c>
      <c r="AC976" s="40">
        <f>IFERROR(VLOOKUP(Tabela3[[#This Row],[Produto]],Tabela2[],2,0),0)</f>
        <v>4</v>
      </c>
      <c r="AD976" s="48">
        <f>IFERROR(VLOOKUP(Tabela3[[#This Row],[Produto]],Tabela2[],3,0),0)</f>
        <v>0.33200000000000002</v>
      </c>
      <c r="AE976" s="48">
        <f>IFERROR(VLOOKUP(Tabela3[[#This Row],[Produto]],Tabela2[],4,0),0)</f>
        <v>2.2999999999999998</v>
      </c>
      <c r="AF976" s="48">
        <f>IFERROR(VLOOKUP(Tabela3[[#This Row],[Produto]],Tabela2[],5,0),0)</f>
        <v>0.8747999999999998</v>
      </c>
      <c r="AG976" s="48">
        <f>IFERROR(VLOOKUP(Tabela3[[#This Row],[Produto]],Tabela2[],6,0),0)</f>
        <v>0</v>
      </c>
      <c r="AH976" s="40">
        <f>IFERROR(VLOOKUP(Tabela3[[#This Row],[Produto]],Tabela2[],7,0),0)</f>
        <v>0</v>
      </c>
      <c r="AI976" s="40">
        <f>IFERROR(VLOOKUP(Tabela3[[#This Row],[Produto]],Tabela2[],8,0),0)</f>
        <v>0</v>
      </c>
      <c r="AJ976" s="35">
        <f ca="1">IFERROR(VLOOKUP(Tabela3[[#This Row],[Produto]],Tabela2[],13,0),0)</f>
        <v>15.600000000000001</v>
      </c>
      <c r="AK976" s="48" t="str">
        <f>IFERROR(VLOOKUP(Tabela3[[#This Row],[Produto]],Tabela2[],14,0),0)</f>
        <v>Senun</v>
      </c>
      <c r="AL976" s="40">
        <f>IFERROR(VLOOKUP(Tabela3[[#This Row],[Produto]],Tabela2[],15,0),0)</f>
        <v>3.5</v>
      </c>
      <c r="AM976" s="36">
        <f ca="1">(Tabela3[[#This Row],[Custo Usinagem]]+Tabela3[[#This Row],[Custo / Pç]])*1.2</f>
        <v>15.001775012395441</v>
      </c>
      <c r="AN976" s="36">
        <f ca="1">Tabela3[[#This Row],[Valor Mínimo Venda]]*1.15</f>
        <v>17.252041264254757</v>
      </c>
      <c r="AO976" s="36">
        <f ca="1">Tabela3[[#This Row],[Tabela 1]]*1.08</f>
        <v>18.632204565395138</v>
      </c>
      <c r="AP976" s="36">
        <f ca="1">Tabela3[[#This Row],[Tabela 2]]*1.15</f>
        <v>21.427035250204408</v>
      </c>
    </row>
    <row r="977" spans="1:42">
      <c r="A977" s="9">
        <v>46077</v>
      </c>
      <c r="B977" s="9" t="s">
        <v>246</v>
      </c>
      <c r="C977" s="14">
        <v>9098</v>
      </c>
      <c r="D977" s="6" t="s">
        <v>46</v>
      </c>
      <c r="E977" s="6" t="s">
        <v>44</v>
      </c>
      <c r="F977" s="6">
        <v>19</v>
      </c>
      <c r="G977" s="15">
        <v>9.3055555555555558E-2</v>
      </c>
      <c r="H977" s="16">
        <v>10</v>
      </c>
      <c r="I977" s="35">
        <f ca="1">IFERROR(Tabela3[[#This Row],[Custo Total]]/Tabela3[[#This Row],[Aluminio Util]],0)</f>
        <v>26.894827321442957</v>
      </c>
      <c r="J977" s="35">
        <f ca="1">Tabela3[[#This Row],[Custo Total]]/Tabela3[[#This Row],[Realizado]]</f>
        <v>14.334942962329098</v>
      </c>
      <c r="K977" s="37">
        <f>IFERROR(Tabela3[[#This Row],[Qtde Cx Produzida]]/Tabela3[[#This Row],[Tempo]]/24,0)</f>
        <v>8.5074626865671643</v>
      </c>
      <c r="L977" s="37">
        <f>Tabela3[[#This Row],[Qtde Cx Produzida]]*Tabela3[[#This Row],[Qdt Peça Placa]]</f>
        <v>76</v>
      </c>
      <c r="M977" s="37">
        <f>Tabela3[[#This Row],[Previsto]]-Tabela3[[#This Row],[Perda Pçs]]</f>
        <v>66</v>
      </c>
      <c r="N977" s="38">
        <f>IFERROR(Tabela3[[#This Row],[Perda Pçs]]/Tabela3[[#This Row],[Previsto]],0)</f>
        <v>0.13157894736842105</v>
      </c>
      <c r="O977" s="39">
        <f>IFERROR(IF(Tabela3[[#This Row],[Qtde Cx Produzida]] &lt;&gt; 0, Tabela3[[#This Row],[Tempo]] / Tabela3[[#This Row],[Qtde Cx Produzida]], 0),0)</f>
        <v>4.8976608187134502E-3</v>
      </c>
      <c r="P977" s="57">
        <f>IFERROR(Tabela3[[#This Row],[Perda Pçs]]/Tabela3[[#This Row],[Qdt Peça Placa]],0)</f>
        <v>2.5</v>
      </c>
      <c r="Q977" s="37">
        <f>IFERROR(Tabela3[[#This Row],[Realizado]]*Tabela3[[#This Row],[Peso Util/Pç]],0)</f>
        <v>35.178000000000004</v>
      </c>
      <c r="R977" s="37">
        <f>IFERROR(Tabela3[[#This Row],[Peso Total Galho]]*Tabela3[[#This Row],[Qtde Cx Produzida]]*1.055,0)</f>
        <v>66.148499999999999</v>
      </c>
      <c r="S977" s="37">
        <f>(Tabela3[[#This Row],[Aluminio Bruto]]-Tabela3[[#This Row],[Aluminio Util]])*0.9</f>
        <v>27.873449999999995</v>
      </c>
      <c r="T977" s="37">
        <f>Tabela3[[#This Row],[Aluminio Bruto]]/OleoKGAluminio</f>
        <v>27.828588420811215</v>
      </c>
      <c r="U977" s="35">
        <f>IFERROR((VLOOKUP(Tabela3[[#This Row],[Moldador]],Tabela1[],5,)+(VLOOKUP(Tabela3[[#This Row],[Ajudante]],Tabela1[],5,))*3.5),0)</f>
        <v>126.0945</v>
      </c>
      <c r="V977" s="35">
        <f>IFERROR(Tabela3[[#This Row],[Custo M.O. / H]]/((Tabela3[[#This Row],[Realizado]]/Tabela3[[#This Row],[Qdt Peça Placa]])/Tabela3[[#This Row],[Tempo]]/24),)</f>
        <v>17.067336363636365</v>
      </c>
      <c r="W977" s="35">
        <f>Tabela3[[#This Row],[Custo / Cx Moldada]]*Tabela3[[#This Row],[Qtde Cx Produzida]]</f>
        <v>324.27939090909092</v>
      </c>
      <c r="X977" s="35">
        <f ca="1">Tabela3[[#This Row],[Aluminio Util]]*Tabela3[[#This Row],[Custo/Kg]]</f>
        <v>548.77680000000009</v>
      </c>
      <c r="Y977" s="35">
        <f>IFERROR(VLOOKUP(Tabela3[[#This Row],[Data]],Tabela461213[],2,1)*(Tabela3[[#This Row],[Qtde Cx Produzida]]*Tabela3[[#This Row],[Qde macho / CX]]*Tabela3[[#This Row],[Peso Macho]]),)</f>
        <v>0</v>
      </c>
      <c r="Z977" s="35">
        <f>IFERROR(Tabela3[[#This Row],[Qtde Oleo]]*(VLOOKUP(Tabela3[[#This Row],[Data]],CompraOleo[],3,TRUE))*1.05,0)</f>
        <v>73.050044604629448</v>
      </c>
      <c r="AA977" s="47">
        <f ca="1">(Tabela3[[#This Row],[Custo Oleo]]+Tabela3[[#This Row],[Custo Aluminio]]+Tabela3[[#This Row],[Custo M.O. Total]]+Tabela3[[#This Row],[Custo Machos]])</f>
        <v>946.10623551372043</v>
      </c>
      <c r="AB977" s="47">
        <f ca="1">Tabela3[[#This Row],[Custo Total]]*Tabela3[[#This Row],[% Perda]]</f>
        <v>124.48766256759478</v>
      </c>
      <c r="AC977" s="40">
        <f>IFERROR(VLOOKUP(Tabela3[[#This Row],[Produto]],Tabela2[],2,0),0)</f>
        <v>4</v>
      </c>
      <c r="AD977" s="48">
        <f>IFERROR(VLOOKUP(Tabela3[[#This Row],[Produto]],Tabela2[],3,0),0)</f>
        <v>0.53300000000000003</v>
      </c>
      <c r="AE977" s="48">
        <f>IFERROR(VLOOKUP(Tabela3[[#This Row],[Produto]],Tabela2[],4,0),0)</f>
        <v>3.3</v>
      </c>
      <c r="AF977" s="48">
        <f>IFERROR(VLOOKUP(Tabela3[[#This Row],[Produto]],Tabela2[],5,0),0)</f>
        <v>1.0511999999999997</v>
      </c>
      <c r="AG977" s="48">
        <f>IFERROR(VLOOKUP(Tabela3[[#This Row],[Produto]],Tabela2[],6,0),0)</f>
        <v>0</v>
      </c>
      <c r="AH977" s="40">
        <f>IFERROR(VLOOKUP(Tabela3[[#This Row],[Produto]],Tabela2[],7,0),0)</f>
        <v>0</v>
      </c>
      <c r="AI977" s="40">
        <f>IFERROR(VLOOKUP(Tabela3[[#This Row],[Produto]],Tabela2[],8,0),0)</f>
        <v>0</v>
      </c>
      <c r="AJ977" s="35">
        <f ca="1">IFERROR(VLOOKUP(Tabela3[[#This Row],[Produto]],Tabela2[],13,0),0)</f>
        <v>15.600000000000001</v>
      </c>
      <c r="AK977" s="48" t="str">
        <f>IFERROR(VLOOKUP(Tabela3[[#This Row],[Produto]],Tabela2[],14,0),0)</f>
        <v>Senun</v>
      </c>
      <c r="AL977" s="40">
        <f>IFERROR(VLOOKUP(Tabela3[[#This Row],[Produto]],Tabela2[],15,0),0)</f>
        <v>4</v>
      </c>
      <c r="AM977" s="36">
        <f ca="1">(Tabela3[[#This Row],[Custo Usinagem]]+Tabela3[[#This Row],[Custo / Pç]])*1.2</f>
        <v>22.001931554794918</v>
      </c>
      <c r="AN977" s="36">
        <f ca="1">Tabela3[[#This Row],[Valor Mínimo Venda]]*1.15</f>
        <v>25.302221288014152</v>
      </c>
      <c r="AO977" s="36">
        <f ca="1">Tabela3[[#This Row],[Tabela 1]]*1.08</f>
        <v>27.326398991055285</v>
      </c>
      <c r="AP977" s="36">
        <f ca="1">Tabela3[[#This Row],[Tabela 2]]*1.15</f>
        <v>31.425358839713574</v>
      </c>
    </row>
    <row r="978" spans="1:42">
      <c r="A978" s="9">
        <v>46077</v>
      </c>
      <c r="B978" s="9" t="s">
        <v>246</v>
      </c>
      <c r="C978" s="14">
        <v>9098</v>
      </c>
      <c r="D978" s="6" t="s">
        <v>44</v>
      </c>
      <c r="E978" s="6" t="s">
        <v>47</v>
      </c>
      <c r="F978" s="6">
        <v>11</v>
      </c>
      <c r="G978" s="15">
        <v>5.2083333333333336E-2</v>
      </c>
      <c r="H978" s="16">
        <v>0</v>
      </c>
      <c r="I978" s="35">
        <f ca="1">IFERROR(Tabela3[[#This Row],[Custo Total]]/Tabela3[[#This Row],[Aluminio Util]],0)</f>
        <v>22.730737821019844</v>
      </c>
      <c r="J978" s="35">
        <f ca="1">Tabela3[[#This Row],[Custo Total]]/Tabela3[[#This Row],[Realizado]]</f>
        <v>12.115483258603577</v>
      </c>
      <c r="K978" s="37">
        <f>IFERROR(Tabela3[[#This Row],[Qtde Cx Produzida]]/Tabela3[[#This Row],[Tempo]]/24,0)</f>
        <v>8.7999999999999989</v>
      </c>
      <c r="L978" s="37">
        <f>Tabela3[[#This Row],[Qtde Cx Produzida]]*Tabela3[[#This Row],[Qdt Peça Placa]]</f>
        <v>44</v>
      </c>
      <c r="M978" s="37">
        <f>Tabela3[[#This Row],[Previsto]]-Tabela3[[#This Row],[Perda Pçs]]</f>
        <v>44</v>
      </c>
      <c r="N978" s="38">
        <f>IFERROR(Tabela3[[#This Row],[Perda Pçs]]/Tabela3[[#This Row],[Previsto]],0)</f>
        <v>0</v>
      </c>
      <c r="O978" s="39">
        <f>IFERROR(IF(Tabela3[[#This Row],[Qtde Cx Produzida]] &lt;&gt; 0, Tabela3[[#This Row],[Tempo]] / Tabela3[[#This Row],[Qtde Cx Produzida]], 0),0)</f>
        <v>4.734848484848485E-3</v>
      </c>
      <c r="P978" s="57">
        <f>IFERROR(Tabela3[[#This Row],[Perda Pçs]]/Tabela3[[#This Row],[Qdt Peça Placa]],0)</f>
        <v>0</v>
      </c>
      <c r="Q978" s="37">
        <f>IFERROR(Tabela3[[#This Row],[Realizado]]*Tabela3[[#This Row],[Peso Util/Pç]],0)</f>
        <v>23.452000000000002</v>
      </c>
      <c r="R978" s="37">
        <f>IFERROR(Tabela3[[#This Row],[Peso Total Galho]]*Tabela3[[#This Row],[Qtde Cx Produzida]]*1.055,0)</f>
        <v>38.296499999999995</v>
      </c>
      <c r="S978" s="37">
        <f>(Tabela3[[#This Row],[Aluminio Bruto]]-Tabela3[[#This Row],[Aluminio Util]])*0.9</f>
        <v>13.360049999999994</v>
      </c>
      <c r="T978" s="37">
        <f>Tabela3[[#This Row],[Aluminio Bruto]]/OleoKGAluminio</f>
        <v>16.111288033101228</v>
      </c>
      <c r="U978" s="35">
        <f>IFERROR((VLOOKUP(Tabela3[[#This Row],[Moldador]],Tabela1[],5,)+(VLOOKUP(Tabela3[[#This Row],[Ajudante]],Tabela1[],5,))*3.5),0)</f>
        <v>99.95034583333333</v>
      </c>
      <c r="V978" s="35">
        <f>IFERROR(Tabela3[[#This Row],[Custo M.O. / H]]/((Tabela3[[#This Row],[Realizado]]/Tabela3[[#This Row],[Qdt Peça Placa]])/Tabela3[[#This Row],[Tempo]]/24),)</f>
        <v>11.357993844696971</v>
      </c>
      <c r="W978" s="35">
        <f>Tabela3[[#This Row],[Custo / Cx Moldada]]*Tabela3[[#This Row],[Qtde Cx Produzida]]</f>
        <v>124.93793229166667</v>
      </c>
      <c r="X978" s="35">
        <f ca="1">Tabela3[[#This Row],[Aluminio Util]]*Tabela3[[#This Row],[Custo/Kg]]</f>
        <v>365.85120000000006</v>
      </c>
      <c r="Y978" s="35">
        <f>IFERROR(VLOOKUP(Tabela3[[#This Row],[Data]],Tabela461213[],2,1)*(Tabela3[[#This Row],[Qtde Cx Produzida]]*Tabela3[[#This Row],[Qde macho / CX]]*Tabela3[[#This Row],[Peso Macho]]),)</f>
        <v>0</v>
      </c>
      <c r="Z978" s="35">
        <f>IFERROR(Tabela3[[#This Row],[Qtde Oleo]]*(VLOOKUP(Tabela3[[#This Row],[Data]],CompraOleo[],3,TRUE))*1.05,0)</f>
        <v>42.292131086890727</v>
      </c>
      <c r="AA978" s="47">
        <f ca="1">(Tabela3[[#This Row],[Custo Oleo]]+Tabela3[[#This Row],[Custo Aluminio]]+Tabela3[[#This Row],[Custo M.O. Total]]+Tabela3[[#This Row],[Custo Machos]])</f>
        <v>533.08126337855742</v>
      </c>
      <c r="AB978" s="47">
        <f ca="1">Tabela3[[#This Row],[Custo Total]]*Tabela3[[#This Row],[% Perda]]</f>
        <v>0</v>
      </c>
      <c r="AC978" s="40">
        <f>IFERROR(VLOOKUP(Tabela3[[#This Row],[Produto]],Tabela2[],2,0),0)</f>
        <v>4</v>
      </c>
      <c r="AD978" s="48">
        <f>IFERROR(VLOOKUP(Tabela3[[#This Row],[Produto]],Tabela2[],3,0),0)</f>
        <v>0.53300000000000003</v>
      </c>
      <c r="AE978" s="48">
        <f>IFERROR(VLOOKUP(Tabela3[[#This Row],[Produto]],Tabela2[],4,0),0)</f>
        <v>3.3</v>
      </c>
      <c r="AF978" s="48">
        <f>IFERROR(VLOOKUP(Tabela3[[#This Row],[Produto]],Tabela2[],5,0),0)</f>
        <v>1.0511999999999997</v>
      </c>
      <c r="AG978" s="48">
        <f>IFERROR(VLOOKUP(Tabela3[[#This Row],[Produto]],Tabela2[],6,0),0)</f>
        <v>0</v>
      </c>
      <c r="AH978" s="40">
        <f>IFERROR(VLOOKUP(Tabela3[[#This Row],[Produto]],Tabela2[],7,0),0)</f>
        <v>0</v>
      </c>
      <c r="AI978" s="40">
        <f>IFERROR(VLOOKUP(Tabela3[[#This Row],[Produto]],Tabela2[],8,0),0)</f>
        <v>0</v>
      </c>
      <c r="AJ978" s="35">
        <f ca="1">IFERROR(VLOOKUP(Tabela3[[#This Row],[Produto]],Tabela2[],13,0),0)</f>
        <v>15.600000000000001</v>
      </c>
      <c r="AK978" s="48" t="str">
        <f>IFERROR(VLOOKUP(Tabela3[[#This Row],[Produto]],Tabela2[],14,0),0)</f>
        <v>Senun</v>
      </c>
      <c r="AL978" s="40">
        <f>IFERROR(VLOOKUP(Tabela3[[#This Row],[Produto]],Tabela2[],15,0),0)</f>
        <v>4</v>
      </c>
      <c r="AM978" s="36">
        <f ca="1">(Tabela3[[#This Row],[Custo Usinagem]]+Tabela3[[#This Row],[Custo / Pç]])*1.2</f>
        <v>19.338579910324288</v>
      </c>
      <c r="AN978" s="36">
        <f ca="1">Tabela3[[#This Row],[Valor Mínimo Venda]]*1.15</f>
        <v>22.23936689687293</v>
      </c>
      <c r="AO978" s="36">
        <f ca="1">Tabela3[[#This Row],[Tabela 1]]*1.08</f>
        <v>24.018516248622767</v>
      </c>
      <c r="AP978" s="36">
        <f ca="1">Tabela3[[#This Row],[Tabela 2]]*1.15</f>
        <v>27.621293685916179</v>
      </c>
    </row>
    <row r="979" spans="1:42">
      <c r="A979" s="9">
        <v>46077</v>
      </c>
      <c r="B979" s="9" t="s">
        <v>236</v>
      </c>
      <c r="C979" s="14">
        <v>9097</v>
      </c>
      <c r="D979" s="6" t="s">
        <v>46</v>
      </c>
      <c r="E979" s="6" t="s">
        <v>44</v>
      </c>
      <c r="F979" s="6">
        <v>33</v>
      </c>
      <c r="G979" s="15">
        <v>0.17986111111111111</v>
      </c>
      <c r="H979" s="16">
        <v>0</v>
      </c>
      <c r="I979" s="35">
        <f ca="1">IFERROR(Tabela3[[#This Row],[Custo Total]]/Tabela3[[#This Row],[Aluminio Util]],0)</f>
        <v>26.086432409571163</v>
      </c>
      <c r="J979" s="35">
        <f ca="1">Tabela3[[#This Row],[Custo Total]]/Tabela3[[#This Row],[Realizado]]</f>
        <v>7.878102587690492</v>
      </c>
      <c r="K979" s="37">
        <f>IFERROR(Tabela3[[#This Row],[Qtde Cx Produzida]]/Tabela3[[#This Row],[Tempo]]/24,0)</f>
        <v>7.6447876447876446</v>
      </c>
      <c r="L979" s="37">
        <f>Tabela3[[#This Row],[Qtde Cx Produzida]]*Tabela3[[#This Row],[Qdt Peça Placa]]</f>
        <v>198</v>
      </c>
      <c r="M979" s="37">
        <f>Tabela3[[#This Row],[Previsto]]-Tabela3[[#This Row],[Perda Pçs]]</f>
        <v>198</v>
      </c>
      <c r="N979" s="38">
        <f>IFERROR(Tabela3[[#This Row],[Perda Pçs]]/Tabela3[[#This Row],[Previsto]],0)</f>
        <v>0</v>
      </c>
      <c r="O979" s="39">
        <f>IFERROR(IF(Tabela3[[#This Row],[Qtde Cx Produzida]] &lt;&gt; 0, Tabela3[[#This Row],[Tempo]] / Tabela3[[#This Row],[Qtde Cx Produzida]], 0),0)</f>
        <v>5.4503367003367002E-3</v>
      </c>
      <c r="P979" s="57">
        <f>IFERROR(Tabela3[[#This Row],[Perda Pçs]]/Tabela3[[#This Row],[Qdt Peça Placa]],0)</f>
        <v>0</v>
      </c>
      <c r="Q979" s="37">
        <f>IFERROR(Tabela3[[#This Row],[Realizado]]*Tabela3[[#This Row],[Peso Util/Pç]],0)</f>
        <v>59.795999999999999</v>
      </c>
      <c r="R979" s="37">
        <f>IFERROR(Tabela3[[#This Row],[Peso Total Galho]]*Tabela3[[#This Row],[Qtde Cx Produzida]]*1.055,0)</f>
        <v>74.921880000000002</v>
      </c>
      <c r="S979" s="37">
        <f>(Tabela3[[#This Row],[Aluminio Bruto]]-Tabela3[[#This Row],[Aluminio Util]])*0.9</f>
        <v>13.613292000000003</v>
      </c>
      <c r="T979" s="37">
        <f>Tabela3[[#This Row],[Aluminio Bruto]]/OleoKGAluminio</f>
        <v>31.51953804293986</v>
      </c>
      <c r="U979" s="35">
        <f>IFERROR((VLOOKUP(Tabela3[[#This Row],[Moldador]],Tabela1[],5,)+(VLOOKUP(Tabela3[[#This Row],[Ajudante]],Tabela1[],5,))*3.5),0)</f>
        <v>126.0945</v>
      </c>
      <c r="V979" s="35">
        <f>IFERROR(Tabela3[[#This Row],[Custo M.O. / H]]/((Tabela3[[#This Row],[Realizado]]/Tabela3[[#This Row],[Qdt Peça Placa]])/Tabela3[[#This Row],[Tempo]]/24),)</f>
        <v>16.494179545454546</v>
      </c>
      <c r="W979" s="35">
        <f>Tabela3[[#This Row],[Custo / Cx Moldada]]*Tabela3[[#This Row],[Qtde Cx Produzida]]</f>
        <v>544.30792500000007</v>
      </c>
      <c r="X979" s="35">
        <f ca="1">Tabela3[[#This Row],[Aluminio Util]]*Tabela3[[#This Row],[Custo/Kg]]</f>
        <v>932.81760000000008</v>
      </c>
      <c r="Y979" s="35">
        <f>IFERROR(VLOOKUP(Tabela3[[#This Row],[Data]],Tabela461213[],2,1)*(Tabela3[[#This Row],[Qtde Cx Produzida]]*Tabela3[[#This Row],[Qde macho / CX]]*Tabela3[[#This Row],[Peso Macho]]),)</f>
        <v>0</v>
      </c>
      <c r="Z979" s="35">
        <f>IFERROR(Tabela3[[#This Row],[Qtde Oleo]]*(VLOOKUP(Tabela3[[#This Row],[Data]],CompraOleo[],3,TRUE))*1.05,0)</f>
        <v>82.738787362717133</v>
      </c>
      <c r="AA979" s="47">
        <f ca="1">(Tabela3[[#This Row],[Custo Oleo]]+Tabela3[[#This Row],[Custo Aluminio]]+Tabela3[[#This Row],[Custo M.O. Total]]+Tabela3[[#This Row],[Custo Machos]])</f>
        <v>1559.8643123627173</v>
      </c>
      <c r="AB979" s="47">
        <f ca="1">Tabela3[[#This Row],[Custo Total]]*Tabela3[[#This Row],[% Perda]]</f>
        <v>0</v>
      </c>
      <c r="AC979" s="40">
        <f>IFERROR(VLOOKUP(Tabela3[[#This Row],[Produto]],Tabela2[],2,0),0)</f>
        <v>6</v>
      </c>
      <c r="AD979" s="48">
        <f>IFERROR(VLOOKUP(Tabela3[[#This Row],[Produto]],Tabela2[],3,0),0)</f>
        <v>0.30199999999999999</v>
      </c>
      <c r="AE979" s="48">
        <f>IFERROR(VLOOKUP(Tabela3[[#This Row],[Produto]],Tabela2[],4,0),0)</f>
        <v>2.1520000000000001</v>
      </c>
      <c r="AF979" s="48">
        <f>IFERROR(VLOOKUP(Tabela3[[#This Row],[Produto]],Tabela2[],5,0),0)</f>
        <v>0.30600000000000027</v>
      </c>
      <c r="AG979" s="48">
        <f>IFERROR(VLOOKUP(Tabela3[[#This Row],[Produto]],Tabela2[],6,0),0)</f>
        <v>0</v>
      </c>
      <c r="AH979" s="40">
        <f>IFERROR(VLOOKUP(Tabela3[[#This Row],[Produto]],Tabela2[],7,0),0)</f>
        <v>0</v>
      </c>
      <c r="AI979" s="40">
        <f>IFERROR(VLOOKUP(Tabela3[[#This Row],[Produto]],Tabela2[],8,0),0)</f>
        <v>0</v>
      </c>
      <c r="AJ979" s="35">
        <f ca="1">IFERROR(VLOOKUP(Tabela3[[#This Row],[Produto]],Tabela2[],13,0),0)</f>
        <v>15.600000000000001</v>
      </c>
      <c r="AK979" s="48" t="str">
        <f>IFERROR(VLOOKUP(Tabela3[[#This Row],[Produto]],Tabela2[],14,0),0)</f>
        <v>Senun</v>
      </c>
      <c r="AL979" s="40">
        <f>IFERROR(VLOOKUP(Tabela3[[#This Row],[Produto]],Tabela2[],15,0),0)</f>
        <v>4</v>
      </c>
      <c r="AM979" s="36">
        <f ca="1">(Tabela3[[#This Row],[Custo Usinagem]]+Tabela3[[#This Row],[Custo / Pç]])*1.2</f>
        <v>14.253723105228589</v>
      </c>
      <c r="AN979" s="36">
        <f ca="1">Tabela3[[#This Row],[Valor Mínimo Venda]]*1.15</f>
        <v>16.391781571012878</v>
      </c>
      <c r="AO979" s="36">
        <f ca="1">Tabela3[[#This Row],[Tabela 1]]*1.08</f>
        <v>17.703124096693909</v>
      </c>
      <c r="AP979" s="36">
        <f ca="1">Tabela3[[#This Row],[Tabela 2]]*1.15</f>
        <v>20.358592711197993</v>
      </c>
    </row>
    <row r="980" spans="1:42">
      <c r="A980" s="9">
        <v>46078</v>
      </c>
      <c r="B980" s="9" t="s">
        <v>236</v>
      </c>
      <c r="C980" s="14">
        <v>9097</v>
      </c>
      <c r="D980" s="6" t="s">
        <v>46</v>
      </c>
      <c r="E980" s="6" t="s">
        <v>44</v>
      </c>
      <c r="F980" s="6">
        <v>37</v>
      </c>
      <c r="G980" s="15">
        <v>0.22152777777777777</v>
      </c>
      <c r="H980" s="16">
        <v>0</v>
      </c>
      <c r="I980" s="35">
        <f ca="1">IFERROR(Tabela3[[#This Row],[Custo Total]]/Tabela3[[#This Row],[Aluminio Util]],0)</f>
        <v>26.98312386321626</v>
      </c>
      <c r="J980" s="35">
        <f ca="1">Tabela3[[#This Row],[Custo Total]]/Tabela3[[#This Row],[Realizado]]</f>
        <v>8.1489034066913106</v>
      </c>
      <c r="K980" s="37">
        <f>IFERROR(Tabela3[[#This Row],[Qtde Cx Produzida]]/Tabela3[[#This Row],[Tempo]]/24,0)</f>
        <v>6.9592476489028217</v>
      </c>
      <c r="L980" s="37">
        <f>Tabela3[[#This Row],[Qtde Cx Produzida]]*Tabela3[[#This Row],[Qdt Peça Placa]]</f>
        <v>222</v>
      </c>
      <c r="M980" s="37">
        <f>Tabela3[[#This Row],[Previsto]]-Tabela3[[#This Row],[Perda Pçs]]</f>
        <v>222</v>
      </c>
      <c r="N980" s="38">
        <f>IFERROR(Tabela3[[#This Row],[Perda Pçs]]/Tabela3[[#This Row],[Previsto]],0)</f>
        <v>0</v>
      </c>
      <c r="O980" s="39">
        <f>IFERROR(IF(Tabela3[[#This Row],[Qtde Cx Produzida]] &lt;&gt; 0, Tabela3[[#This Row],[Tempo]] / Tabela3[[#This Row],[Qtde Cx Produzida]], 0),0)</f>
        <v>5.9872372372372371E-3</v>
      </c>
      <c r="P980" s="57">
        <f>IFERROR(Tabela3[[#This Row],[Perda Pçs]]/Tabela3[[#This Row],[Qdt Peça Placa]],0)</f>
        <v>0</v>
      </c>
      <c r="Q980" s="37">
        <f>IFERROR(Tabela3[[#This Row],[Realizado]]*Tabela3[[#This Row],[Peso Util/Pç]],0)</f>
        <v>67.043999999999997</v>
      </c>
      <c r="R980" s="37">
        <f>IFERROR(Tabela3[[#This Row],[Peso Total Galho]]*Tabela3[[#This Row],[Qtde Cx Produzida]]*1.055,0)</f>
        <v>84.003320000000002</v>
      </c>
      <c r="S980" s="37">
        <f>(Tabela3[[#This Row],[Aluminio Bruto]]-Tabela3[[#This Row],[Aluminio Util]])*0.9</f>
        <v>15.263388000000004</v>
      </c>
      <c r="T980" s="37">
        <f>Tabela3[[#This Row],[Aluminio Bruto]]/OleoKGAluminio</f>
        <v>35.340088108750756</v>
      </c>
      <c r="U980" s="35">
        <f>IFERROR((VLOOKUP(Tabela3[[#This Row],[Moldador]],Tabela1[],5,)+(VLOOKUP(Tabela3[[#This Row],[Ajudante]],Tabela1[],5,))*3.5),0)</f>
        <v>126.0945</v>
      </c>
      <c r="V980" s="35">
        <f>IFERROR(Tabela3[[#This Row],[Custo M.O. / H]]/((Tabela3[[#This Row],[Realizado]]/Tabela3[[#This Row],[Qdt Peça Placa]])/Tabela3[[#This Row],[Tempo]]/24),)</f>
        <v>18.118984459459458</v>
      </c>
      <c r="W980" s="35">
        <f>Tabela3[[#This Row],[Custo / Cx Moldada]]*Tabela3[[#This Row],[Qtde Cx Produzida]]</f>
        <v>670.40242499999999</v>
      </c>
      <c r="X980" s="35">
        <f ca="1">Tabela3[[#This Row],[Aluminio Util]]*Tabela3[[#This Row],[Custo/Kg]]</f>
        <v>1045.8864000000001</v>
      </c>
      <c r="Y980" s="35">
        <f>IFERROR(VLOOKUP(Tabela3[[#This Row],[Data]],Tabela461213[],2,1)*(Tabela3[[#This Row],[Qtde Cx Produzida]]*Tabela3[[#This Row],[Qde macho / CX]]*Tabela3[[#This Row],[Peso Macho]]),)</f>
        <v>0</v>
      </c>
      <c r="Z980" s="35">
        <f>IFERROR(Tabela3[[#This Row],[Qtde Oleo]]*(VLOOKUP(Tabela3[[#This Row],[Data]],CompraOleo[],3,TRUE))*1.05,0)</f>
        <v>92.767731285470745</v>
      </c>
      <c r="AA980" s="47">
        <f ca="1">(Tabela3[[#This Row],[Custo Oleo]]+Tabela3[[#This Row],[Custo Aluminio]]+Tabela3[[#This Row],[Custo M.O. Total]]+Tabela3[[#This Row],[Custo Machos]])</f>
        <v>1809.0565562854708</v>
      </c>
      <c r="AB980" s="47">
        <f ca="1">Tabela3[[#This Row],[Custo Total]]*Tabela3[[#This Row],[% Perda]]</f>
        <v>0</v>
      </c>
      <c r="AC980" s="40">
        <f>IFERROR(VLOOKUP(Tabela3[[#This Row],[Produto]],Tabela2[],2,0),0)</f>
        <v>6</v>
      </c>
      <c r="AD980" s="48">
        <f>IFERROR(VLOOKUP(Tabela3[[#This Row],[Produto]],Tabela2[],3,0),0)</f>
        <v>0.30199999999999999</v>
      </c>
      <c r="AE980" s="48">
        <f>IFERROR(VLOOKUP(Tabela3[[#This Row],[Produto]],Tabela2[],4,0),0)</f>
        <v>2.1520000000000001</v>
      </c>
      <c r="AF980" s="48">
        <f>IFERROR(VLOOKUP(Tabela3[[#This Row],[Produto]],Tabela2[],5,0),0)</f>
        <v>0.30600000000000027</v>
      </c>
      <c r="AG980" s="48">
        <f>IFERROR(VLOOKUP(Tabela3[[#This Row],[Produto]],Tabela2[],6,0),0)</f>
        <v>0</v>
      </c>
      <c r="AH980" s="40">
        <f>IFERROR(VLOOKUP(Tabela3[[#This Row],[Produto]],Tabela2[],7,0),0)</f>
        <v>0</v>
      </c>
      <c r="AI980" s="40">
        <f>IFERROR(VLOOKUP(Tabela3[[#This Row],[Produto]],Tabela2[],8,0),0)</f>
        <v>0</v>
      </c>
      <c r="AJ980" s="35">
        <f ca="1">IFERROR(VLOOKUP(Tabela3[[#This Row],[Produto]],Tabela2[],13,0),0)</f>
        <v>15.600000000000001</v>
      </c>
      <c r="AK980" s="48" t="str">
        <f>IFERROR(VLOOKUP(Tabela3[[#This Row],[Produto]],Tabela2[],14,0),0)</f>
        <v>Senun</v>
      </c>
      <c r="AL980" s="40">
        <f>IFERROR(VLOOKUP(Tabela3[[#This Row],[Produto]],Tabela2[],15,0),0)</f>
        <v>4</v>
      </c>
      <c r="AM980" s="36">
        <f ca="1">(Tabela3[[#This Row],[Custo Usinagem]]+Tabela3[[#This Row],[Custo / Pç]])*1.2</f>
        <v>14.578684088029572</v>
      </c>
      <c r="AN980" s="36">
        <f ca="1">Tabela3[[#This Row],[Valor Mínimo Venda]]*1.15</f>
        <v>16.765486701234007</v>
      </c>
      <c r="AO980" s="36">
        <f ca="1">Tabela3[[#This Row],[Tabela 1]]*1.08</f>
        <v>18.10672563733273</v>
      </c>
      <c r="AP980" s="36">
        <f ca="1">Tabela3[[#This Row],[Tabela 2]]*1.15</f>
        <v>20.822734482932638</v>
      </c>
    </row>
    <row r="981" spans="1:42">
      <c r="A981" s="9">
        <v>46078</v>
      </c>
      <c r="B981" s="6" t="s">
        <v>241</v>
      </c>
      <c r="C981" s="14">
        <v>9099</v>
      </c>
      <c r="D981" s="6" t="s">
        <v>46</v>
      </c>
      <c r="E981" s="6" t="s">
        <v>44</v>
      </c>
      <c r="F981" s="6">
        <v>10</v>
      </c>
      <c r="G981" s="15">
        <v>5.347222222222222E-2</v>
      </c>
      <c r="H981" s="16">
        <v>1</v>
      </c>
      <c r="I981" s="35">
        <f ca="1">IFERROR(Tabela3[[#This Row],[Custo Total]]/Tabela3[[#This Row],[Aluminio Util]],0)</f>
        <v>24.662249191320672</v>
      </c>
      <c r="J981" s="35">
        <f ca="1">Tabela3[[#This Row],[Custo Total]]/Tabela3[[#This Row],[Realizado]]</f>
        <v>15.117958754279572</v>
      </c>
      <c r="K981" s="37">
        <f>IFERROR(Tabela3[[#This Row],[Qtde Cx Produzida]]/Tabela3[[#This Row],[Tempo]]/24,0)</f>
        <v>7.792207792207793</v>
      </c>
      <c r="L981" s="37">
        <f>Tabela3[[#This Row],[Qtde Cx Produzida]]*Tabela3[[#This Row],[Qdt Peça Placa]]</f>
        <v>40</v>
      </c>
      <c r="M981" s="37">
        <f>Tabela3[[#This Row],[Previsto]]-Tabela3[[#This Row],[Perda Pçs]]</f>
        <v>39</v>
      </c>
      <c r="N981" s="38">
        <f>IFERROR(Tabela3[[#This Row],[Perda Pçs]]/Tabela3[[#This Row],[Previsto]],0)</f>
        <v>2.5000000000000001E-2</v>
      </c>
      <c r="O981" s="39">
        <f>IFERROR(IF(Tabela3[[#This Row],[Qtde Cx Produzida]] &lt;&gt; 0, Tabela3[[#This Row],[Tempo]] / Tabela3[[#This Row],[Qtde Cx Produzida]], 0),0)</f>
        <v>5.347222222222222E-3</v>
      </c>
      <c r="P981" s="57">
        <f>IFERROR(Tabela3[[#This Row],[Perda Pçs]]/Tabela3[[#This Row],[Qdt Peça Placa]],0)</f>
        <v>0.25</v>
      </c>
      <c r="Q981" s="37">
        <f>IFERROR(Tabela3[[#This Row],[Realizado]]*Tabela3[[#This Row],[Peso Util/Pç]],0)</f>
        <v>23.907</v>
      </c>
      <c r="R981" s="37">
        <f>IFERROR(Tabela3[[#This Row],[Peso Total Galho]]*Tabela3[[#This Row],[Qtde Cx Produzida]]*1.055,0)</f>
        <v>45.892499999999998</v>
      </c>
      <c r="S981" s="37">
        <f>(Tabela3[[#This Row],[Aluminio Bruto]]-Tabela3[[#This Row],[Aluminio Util]])*0.9</f>
        <v>19.786949999999997</v>
      </c>
      <c r="T981" s="37">
        <f>Tabela3[[#This Row],[Aluminio Bruto]]/OleoKGAluminio</f>
        <v>19.306915411567587</v>
      </c>
      <c r="U981" s="35">
        <f>IFERROR((VLOOKUP(Tabela3[[#This Row],[Moldador]],Tabela1[],5,)+(VLOOKUP(Tabela3[[#This Row],[Ajudante]],Tabela1[],5,))*3.5),0)</f>
        <v>126.0945</v>
      </c>
      <c r="V981" s="35">
        <f>IFERROR(Tabela3[[#This Row],[Custo M.O. / H]]/((Tabela3[[#This Row],[Realizado]]/Tabela3[[#This Row],[Qdt Peça Placa]])/Tabela3[[#This Row],[Tempo]]/24),)</f>
        <v>16.597053846153845</v>
      </c>
      <c r="W981" s="35">
        <f>Tabela3[[#This Row],[Custo / Cx Moldada]]*Tabela3[[#This Row],[Qtde Cx Produzida]]</f>
        <v>165.97053846153844</v>
      </c>
      <c r="X981" s="35">
        <f ca="1">Tabela3[[#This Row],[Aluminio Util]]*Tabela3[[#This Row],[Custo/Kg]]</f>
        <v>372.94920000000002</v>
      </c>
      <c r="Y981" s="35">
        <f>IFERROR(VLOOKUP(Tabela3[[#This Row],[Data]],Tabela461213[],2,1)*(Tabela3[[#This Row],[Qtde Cx Produzida]]*Tabela3[[#This Row],[Qde macho / CX]]*Tabela3[[#This Row],[Peso Macho]]),)</f>
        <v>0</v>
      </c>
      <c r="Z981" s="35">
        <f>IFERROR(Tabela3[[#This Row],[Qtde Oleo]]*(VLOOKUP(Tabela3[[#This Row],[Data]],CompraOleo[],3,TRUE))*1.05,0)</f>
        <v>50.68065295536492</v>
      </c>
      <c r="AA981" s="47">
        <f ca="1">(Tabela3[[#This Row],[Custo Oleo]]+Tabela3[[#This Row],[Custo Aluminio]]+Tabela3[[#This Row],[Custo M.O. Total]]+Tabela3[[#This Row],[Custo Machos]])</f>
        <v>589.60039141690334</v>
      </c>
      <c r="AB981" s="47">
        <f ca="1">Tabela3[[#This Row],[Custo Total]]*Tabela3[[#This Row],[% Perda]]</f>
        <v>14.740009785422584</v>
      </c>
      <c r="AC981" s="40">
        <f>IFERROR(VLOOKUP(Tabela3[[#This Row],[Produto]],Tabela2[],2,0),0)</f>
        <v>4</v>
      </c>
      <c r="AD981" s="48">
        <f>IFERROR(VLOOKUP(Tabela3[[#This Row],[Produto]],Tabela2[],3,0),0)</f>
        <v>0.61299999999999999</v>
      </c>
      <c r="AE981" s="48">
        <f>IFERROR(VLOOKUP(Tabela3[[#This Row],[Produto]],Tabela2[],4,0),0)</f>
        <v>4.3499999999999996</v>
      </c>
      <c r="AF981" s="48">
        <f>IFERROR(VLOOKUP(Tabela3[[#This Row],[Produto]],Tabela2[],5,0),0)</f>
        <v>1.7081999999999997</v>
      </c>
      <c r="AG981" s="48">
        <f>IFERROR(VLOOKUP(Tabela3[[#This Row],[Produto]],Tabela2[],6,0),0)</f>
        <v>0</v>
      </c>
      <c r="AH981" s="40">
        <f>IFERROR(VLOOKUP(Tabela3[[#This Row],[Produto]],Tabela2[],7,0),0)</f>
        <v>0</v>
      </c>
      <c r="AI981" s="40">
        <f>IFERROR(VLOOKUP(Tabela3[[#This Row],[Produto]],Tabela2[],8,0),0)</f>
        <v>0</v>
      </c>
      <c r="AJ981" s="35">
        <f ca="1">IFERROR(VLOOKUP(Tabela3[[#This Row],[Produto]],Tabela2[],13,0),0)</f>
        <v>15.600000000000001</v>
      </c>
      <c r="AK981" s="48" t="str">
        <f>IFERROR(VLOOKUP(Tabela3[[#This Row],[Produto]],Tabela2[],14,0),0)</f>
        <v>Senun</v>
      </c>
      <c r="AL981" s="40">
        <f>IFERROR(VLOOKUP(Tabela3[[#This Row],[Produto]],Tabela2[],15,0),0)</f>
        <v>4</v>
      </c>
      <c r="AM981" s="36">
        <f ca="1">(Tabela3[[#This Row],[Custo Usinagem]]+Tabela3[[#This Row],[Custo / Pç]])*1.2</f>
        <v>22.941550505135485</v>
      </c>
      <c r="AN981" s="36">
        <f ca="1">Tabela3[[#This Row],[Valor Mínimo Venda]]*1.15</f>
        <v>26.382783080905806</v>
      </c>
      <c r="AO981" s="36">
        <f ca="1">Tabela3[[#This Row],[Tabela 1]]*1.08</f>
        <v>28.493405727378274</v>
      </c>
      <c r="AP981" s="36">
        <f ca="1">Tabela3[[#This Row],[Tabela 2]]*1.15</f>
        <v>32.767416586485012</v>
      </c>
    </row>
    <row r="982" spans="1:42">
      <c r="A982" s="9">
        <v>46078</v>
      </c>
      <c r="B982" s="9" t="s">
        <v>223</v>
      </c>
      <c r="C982" s="14">
        <v>9100</v>
      </c>
      <c r="D982" s="6" t="s">
        <v>46</v>
      </c>
      <c r="E982" s="6" t="s">
        <v>44</v>
      </c>
      <c r="F982" s="6">
        <v>36</v>
      </c>
      <c r="G982" s="15">
        <v>0.16597222222222222</v>
      </c>
      <c r="H982" s="16">
        <v>0</v>
      </c>
      <c r="I982" s="35">
        <f ca="1">IFERROR(Tabela3[[#This Row],[Custo Total]]/Tabela3[[#This Row],[Aluminio Util]],0)</f>
        <v>22.46152255796326</v>
      </c>
      <c r="J982" s="35">
        <f ca="1">Tabela3[[#This Row],[Custo Total]]/Tabela3[[#This Row],[Realizado]]</f>
        <v>2.3359983460281786</v>
      </c>
      <c r="K982" s="37">
        <f>IFERROR(Tabela3[[#This Row],[Qtde Cx Produzida]]/Tabela3[[#This Row],[Tempo]]/24,0)</f>
        <v>9.0376569037656918</v>
      </c>
      <c r="L982" s="37">
        <f>Tabela3[[#This Row],[Qtde Cx Produzida]]*Tabela3[[#This Row],[Qdt Peça Placa]]</f>
        <v>1188</v>
      </c>
      <c r="M982" s="37">
        <f>Tabela3[[#This Row],[Previsto]]-Tabela3[[#This Row],[Perda Pçs]]</f>
        <v>1188</v>
      </c>
      <c r="N982" s="38">
        <f>IFERROR(Tabela3[[#This Row],[Perda Pçs]]/Tabela3[[#This Row],[Previsto]],0)</f>
        <v>0</v>
      </c>
      <c r="O982" s="39">
        <f>IFERROR(IF(Tabela3[[#This Row],[Qtde Cx Produzida]] &lt;&gt; 0, Tabela3[[#This Row],[Tempo]] / Tabela3[[#This Row],[Qtde Cx Produzida]], 0),0)</f>
        <v>4.6103395061728395E-3</v>
      </c>
      <c r="P982" s="57">
        <f>IFERROR(Tabela3[[#This Row],[Perda Pçs]]/Tabela3[[#This Row],[Qdt Peça Placa]],0)</f>
        <v>0</v>
      </c>
      <c r="Q982" s="37">
        <f>IFERROR(Tabela3[[#This Row],[Realizado]]*Tabela3[[#This Row],[Peso Util/Pç]],0)</f>
        <v>123.55199999999999</v>
      </c>
      <c r="R982" s="37">
        <f>IFERROR(Tabela3[[#This Row],[Peso Total Galho]]*Tabela3[[#This Row],[Qtde Cx Produzida]]*1.055,0)</f>
        <v>204.33240000000001</v>
      </c>
      <c r="S982" s="37">
        <f>(Tabela3[[#This Row],[Aluminio Bruto]]-Tabela3[[#This Row],[Aluminio Util]])*0.9</f>
        <v>72.702360000000013</v>
      </c>
      <c r="T982" s="37">
        <f>Tabela3[[#This Row],[Aluminio Bruto]]/OleoKGAluminio</f>
        <v>85.962376480745078</v>
      </c>
      <c r="U982" s="35">
        <f>IFERROR((VLOOKUP(Tabela3[[#This Row],[Moldador]],Tabela1[],5,)+(VLOOKUP(Tabela3[[#This Row],[Ajudante]],Tabela1[],5,))*3.5),0)</f>
        <v>126.0945</v>
      </c>
      <c r="V982" s="35">
        <f>IFERROR(Tabela3[[#This Row],[Custo M.O. / H]]/((Tabela3[[#This Row],[Realizado]]/Tabela3[[#This Row],[Qdt Peça Placa]])/Tabela3[[#This Row],[Tempo]]/24),)</f>
        <v>13.952122916666664</v>
      </c>
      <c r="W982" s="35">
        <f>Tabela3[[#This Row],[Custo / Cx Moldada]]*Tabela3[[#This Row],[Qtde Cx Produzida]]</f>
        <v>502.2764249999999</v>
      </c>
      <c r="X982" s="35">
        <f ca="1">Tabela3[[#This Row],[Aluminio Util]]*Tabela3[[#This Row],[Custo/Kg]]</f>
        <v>2047.2383718195204</v>
      </c>
      <c r="Y982" s="35">
        <f>IFERROR(VLOOKUP(Tabela3[[#This Row],[Data]],Tabela461213[],2,1)*(Tabela3[[#This Row],[Qtde Cx Produzida]]*Tabela3[[#This Row],[Qde macho / CX]]*Tabela3[[#This Row],[Peso Macho]]),)</f>
        <v>0</v>
      </c>
      <c r="Z982" s="35">
        <f>IFERROR(Tabela3[[#This Row],[Qtde Oleo]]*(VLOOKUP(Tabela3[[#This Row],[Data]],CompraOleo[],3,TRUE))*1.05,0)</f>
        <v>225.65123826195585</v>
      </c>
      <c r="AA982" s="47">
        <f ca="1">(Tabela3[[#This Row],[Custo Oleo]]+Tabela3[[#This Row],[Custo Aluminio]]+Tabela3[[#This Row],[Custo M.O. Total]]+Tabela3[[#This Row],[Custo Machos]])</f>
        <v>2775.1660350814764</v>
      </c>
      <c r="AB982" s="47">
        <f ca="1">Tabela3[[#This Row],[Custo Total]]*Tabela3[[#This Row],[% Perda]]</f>
        <v>0</v>
      </c>
      <c r="AC982" s="40">
        <f>IFERROR(VLOOKUP(Tabela3[[#This Row],[Produto]],Tabela2[],2,0),0)</f>
        <v>33</v>
      </c>
      <c r="AD982" s="48">
        <f>IFERROR(VLOOKUP(Tabela3[[#This Row],[Produto]],Tabela2[],3,0),0)</f>
        <v>0.104</v>
      </c>
      <c r="AE982" s="48">
        <f>IFERROR(VLOOKUP(Tabela3[[#This Row],[Produto]],Tabela2[],4,0),0)</f>
        <v>5.38</v>
      </c>
      <c r="AF982" s="48">
        <f>IFERROR(VLOOKUP(Tabela3[[#This Row],[Produto]],Tabela2[],5,0),0)</f>
        <v>1.7532000000000001</v>
      </c>
      <c r="AG982" s="48">
        <f>IFERROR(VLOOKUP(Tabela3[[#This Row],[Produto]],Tabela2[],6,0),0)</f>
        <v>0</v>
      </c>
      <c r="AH982" s="40">
        <f>IFERROR(VLOOKUP(Tabela3[[#This Row],[Produto]],Tabela2[],7,0),0)</f>
        <v>0</v>
      </c>
      <c r="AI982" s="40">
        <f>IFERROR(VLOOKUP(Tabela3[[#This Row],[Produto]],Tabela2[],8,0),0)</f>
        <v>0</v>
      </c>
      <c r="AJ982" s="35">
        <f ca="1">IFERROR(VLOOKUP(Tabela3[[#This Row],[Produto]],Tabela2[],13,0),0)</f>
        <v>16.569852141766386</v>
      </c>
      <c r="AK982" s="48" t="str">
        <f>IFERROR(VLOOKUP(Tabela3[[#This Row],[Produto]],Tabela2[],14,0),0)</f>
        <v>Marcelo</v>
      </c>
      <c r="AL982" s="40">
        <f>IFERROR(VLOOKUP(Tabela3[[#This Row],[Produto]],Tabela2[],15,0),0)</f>
        <v>0</v>
      </c>
      <c r="AM982" s="36">
        <f ca="1">(Tabela3[[#This Row],[Custo Usinagem]]+Tabela3[[#This Row],[Custo / Pç]])*1.2</f>
        <v>2.8031980152338143</v>
      </c>
      <c r="AN982" s="36">
        <f ca="1">Tabela3[[#This Row],[Valor Mínimo Venda]]*1.15</f>
        <v>3.223677717518886</v>
      </c>
      <c r="AO982" s="36">
        <f ca="1">Tabela3[[#This Row],[Tabela 1]]*1.08</f>
        <v>3.4815719349203973</v>
      </c>
      <c r="AP982" s="36">
        <f ca="1">Tabela3[[#This Row],[Tabela 2]]*1.15</f>
        <v>4.003807725158457</v>
      </c>
    </row>
    <row r="983" spans="1:42">
      <c r="A983" s="9">
        <v>46079</v>
      </c>
      <c r="B983" s="9" t="s">
        <v>223</v>
      </c>
      <c r="C983" s="14">
        <v>9100</v>
      </c>
      <c r="D983" s="6" t="s">
        <v>46</v>
      </c>
      <c r="E983" s="6" t="s">
        <v>44</v>
      </c>
      <c r="F983" s="6">
        <v>54</v>
      </c>
      <c r="G983" s="15">
        <v>0.26944444444444443</v>
      </c>
      <c r="H983" s="16">
        <v>0</v>
      </c>
      <c r="I983" s="35">
        <f ca="1">IFERROR(Tabela3[[#This Row],[Custo Total]]/Tabela3[[#This Row],[Aluminio Util]],0)</f>
        <v>22.796045471392421</v>
      </c>
      <c r="J983" s="35">
        <f ca="1">Tabela3[[#This Row],[Custo Total]]/Tabela3[[#This Row],[Realizado]]</f>
        <v>2.3707887290248117</v>
      </c>
      <c r="K983" s="37">
        <f>IFERROR(Tabela3[[#This Row],[Qtde Cx Produzida]]/Tabela3[[#This Row],[Tempo]]/24,0)</f>
        <v>8.3505154639175263</v>
      </c>
      <c r="L983" s="37">
        <f>Tabela3[[#This Row],[Qtde Cx Produzida]]*Tabela3[[#This Row],[Qdt Peça Placa]]</f>
        <v>1782</v>
      </c>
      <c r="M983" s="37">
        <f>Tabela3[[#This Row],[Previsto]]-Tabela3[[#This Row],[Perda Pçs]]</f>
        <v>1782</v>
      </c>
      <c r="N983" s="38">
        <f>IFERROR(Tabela3[[#This Row],[Perda Pçs]]/Tabela3[[#This Row],[Previsto]],0)</f>
        <v>0</v>
      </c>
      <c r="O983" s="39">
        <f>IFERROR(IF(Tabela3[[#This Row],[Qtde Cx Produzida]] &lt;&gt; 0, Tabela3[[#This Row],[Tempo]] / Tabela3[[#This Row],[Qtde Cx Produzida]], 0),0)</f>
        <v>4.9897119341563781E-3</v>
      </c>
      <c r="P983" s="57">
        <f>IFERROR(Tabela3[[#This Row],[Perda Pçs]]/Tabela3[[#This Row],[Qdt Peça Placa]],0)</f>
        <v>0</v>
      </c>
      <c r="Q983" s="37">
        <f>IFERROR(Tabela3[[#This Row],[Realizado]]*Tabela3[[#This Row],[Peso Util/Pç]],0)</f>
        <v>185.328</v>
      </c>
      <c r="R983" s="37">
        <f>IFERROR(Tabela3[[#This Row],[Peso Total Galho]]*Tabela3[[#This Row],[Qtde Cx Produzida]]*1.055,0)</f>
        <v>306.49859999999995</v>
      </c>
      <c r="S983" s="37">
        <f>(Tabela3[[#This Row],[Aluminio Bruto]]-Tabela3[[#This Row],[Aluminio Util]])*0.9</f>
        <v>109.05353999999996</v>
      </c>
      <c r="T983" s="37">
        <f>Tabela3[[#This Row],[Aluminio Bruto]]/OleoKGAluminio</f>
        <v>128.94356472111758</v>
      </c>
      <c r="U983" s="35">
        <f>IFERROR((VLOOKUP(Tabela3[[#This Row],[Moldador]],Tabela1[],5,)+(VLOOKUP(Tabela3[[#This Row],[Ajudante]],Tabela1[],5,))*3.5),0)</f>
        <v>126.0945</v>
      </c>
      <c r="V983" s="35">
        <f>IFERROR(Tabela3[[#This Row],[Custo M.O. / H]]/((Tabela3[[#This Row],[Realizado]]/Tabela3[[#This Row],[Qdt Peça Placa]])/Tabela3[[#This Row],[Tempo]]/24),)</f>
        <v>15.100205555555554</v>
      </c>
      <c r="W983" s="35">
        <f>Tabela3[[#This Row],[Custo / Cx Moldada]]*Tabela3[[#This Row],[Qtde Cx Produzida]]</f>
        <v>815.41109999999992</v>
      </c>
      <c r="X983" s="35">
        <f ca="1">Tabela3[[#This Row],[Aluminio Util]]*Tabela3[[#This Row],[Custo/Kg]]</f>
        <v>3070.8575577292809</v>
      </c>
      <c r="Y983" s="35">
        <f>IFERROR(VLOOKUP(Tabela3[[#This Row],[Data]],Tabela461213[],2,1)*(Tabela3[[#This Row],[Qtde Cx Produzida]]*Tabela3[[#This Row],[Qde macho / CX]]*Tabela3[[#This Row],[Peso Macho]]),)</f>
        <v>0</v>
      </c>
      <c r="Z983" s="35">
        <f>IFERROR(Tabela3[[#This Row],[Qtde Oleo]]*(VLOOKUP(Tabela3[[#This Row],[Data]],CompraOleo[],3,TRUE))*1.05,0)</f>
        <v>338.47685739293365</v>
      </c>
      <c r="AA983" s="47">
        <f ca="1">(Tabela3[[#This Row],[Custo Oleo]]+Tabela3[[#This Row],[Custo Aluminio]]+Tabela3[[#This Row],[Custo M.O. Total]]+Tabela3[[#This Row],[Custo Machos]])</f>
        <v>4224.7455151222148</v>
      </c>
      <c r="AB983" s="47">
        <f ca="1">Tabela3[[#This Row],[Custo Total]]*Tabela3[[#This Row],[% Perda]]</f>
        <v>0</v>
      </c>
      <c r="AC983" s="40">
        <f>IFERROR(VLOOKUP(Tabela3[[#This Row],[Produto]],Tabela2[],2,0),0)</f>
        <v>33</v>
      </c>
      <c r="AD983" s="48">
        <f>IFERROR(VLOOKUP(Tabela3[[#This Row],[Produto]],Tabela2[],3,0),0)</f>
        <v>0.104</v>
      </c>
      <c r="AE983" s="48">
        <f>IFERROR(VLOOKUP(Tabela3[[#This Row],[Produto]],Tabela2[],4,0),0)</f>
        <v>5.38</v>
      </c>
      <c r="AF983" s="48">
        <f>IFERROR(VLOOKUP(Tabela3[[#This Row],[Produto]],Tabela2[],5,0),0)</f>
        <v>1.7532000000000001</v>
      </c>
      <c r="AG983" s="48">
        <f>IFERROR(VLOOKUP(Tabela3[[#This Row],[Produto]],Tabela2[],6,0),0)</f>
        <v>0</v>
      </c>
      <c r="AH983" s="40">
        <f>IFERROR(VLOOKUP(Tabela3[[#This Row],[Produto]],Tabela2[],7,0),0)</f>
        <v>0</v>
      </c>
      <c r="AI983" s="40">
        <f>IFERROR(VLOOKUP(Tabela3[[#This Row],[Produto]],Tabela2[],8,0),0)</f>
        <v>0</v>
      </c>
      <c r="AJ983" s="35">
        <f ca="1">IFERROR(VLOOKUP(Tabela3[[#This Row],[Produto]],Tabela2[],13,0),0)</f>
        <v>16.569852141766386</v>
      </c>
      <c r="AK983" s="48" t="str">
        <f>IFERROR(VLOOKUP(Tabela3[[#This Row],[Produto]],Tabela2[],14,0),0)</f>
        <v>Marcelo</v>
      </c>
      <c r="AL983" s="40">
        <f>IFERROR(VLOOKUP(Tabela3[[#This Row],[Produto]],Tabela2[],15,0),0)</f>
        <v>0</v>
      </c>
      <c r="AM983" s="36">
        <f ca="1">(Tabela3[[#This Row],[Custo Usinagem]]+Tabela3[[#This Row],[Custo / Pç]])*1.2</f>
        <v>2.8449464748297739</v>
      </c>
      <c r="AN983" s="36">
        <f ca="1">Tabela3[[#This Row],[Valor Mínimo Venda]]*1.15</f>
        <v>3.2716884460542399</v>
      </c>
      <c r="AO983" s="36">
        <f ca="1">Tabela3[[#This Row],[Tabela 1]]*1.08</f>
        <v>3.5334235217385794</v>
      </c>
      <c r="AP983" s="36">
        <f ca="1">Tabela3[[#This Row],[Tabela 2]]*1.15</f>
        <v>4.0634370499993659</v>
      </c>
    </row>
    <row r="984" spans="1:42">
      <c r="A984" s="9">
        <v>46079</v>
      </c>
      <c r="B984" s="9" t="s">
        <v>232</v>
      </c>
      <c r="C984" s="14">
        <v>8748</v>
      </c>
      <c r="D984" s="6" t="s">
        <v>46</v>
      </c>
      <c r="E984" s="6" t="s">
        <v>44</v>
      </c>
      <c r="F984" s="6">
        <v>35</v>
      </c>
      <c r="G984" s="15">
        <v>0.16875000000000001</v>
      </c>
      <c r="H984" s="16">
        <v>0</v>
      </c>
      <c r="I984" s="35">
        <f ca="1">IFERROR(Tabela3[[#This Row],[Custo Total]]/Tabela3[[#This Row],[Aluminio Util]],0)</f>
        <v>28.489434739460698</v>
      </c>
      <c r="J984" s="35">
        <f ca="1">Tabela3[[#This Row],[Custo Total]]/Tabela3[[#This Row],[Realizado]]</f>
        <v>11.994052025312953</v>
      </c>
      <c r="K984" s="37">
        <f>IFERROR(Tabela3[[#This Row],[Qtde Cx Produzida]]/Tabela3[[#This Row],[Tempo]]/24,0)</f>
        <v>8.6419753086419746</v>
      </c>
      <c r="L984" s="37">
        <f>Tabela3[[#This Row],[Qtde Cx Produzida]]*Tabela3[[#This Row],[Qdt Peça Placa]]</f>
        <v>140</v>
      </c>
      <c r="M984" s="37">
        <f>Tabela3[[#This Row],[Previsto]]-Tabela3[[#This Row],[Perda Pçs]]</f>
        <v>140</v>
      </c>
      <c r="N984" s="38">
        <f>IFERROR(Tabela3[[#This Row],[Perda Pçs]]/Tabela3[[#This Row],[Previsto]],0)</f>
        <v>0</v>
      </c>
      <c r="O984" s="39">
        <f>IFERROR(IF(Tabela3[[#This Row],[Qtde Cx Produzida]] &lt;&gt; 0, Tabela3[[#This Row],[Tempo]] / Tabela3[[#This Row],[Qtde Cx Produzida]], 0),0)</f>
        <v>4.821428571428572E-3</v>
      </c>
      <c r="P984" s="57">
        <f>IFERROR(Tabela3[[#This Row],[Perda Pçs]]/Tabela3[[#This Row],[Qdt Peça Placa]],0)</f>
        <v>0</v>
      </c>
      <c r="Q984" s="37">
        <f>IFERROR(Tabela3[[#This Row],[Realizado]]*Tabela3[[#This Row],[Peso Util/Pç]],0)</f>
        <v>58.94</v>
      </c>
      <c r="R984" s="37">
        <f>IFERROR(Tabela3[[#This Row],[Peso Total Galho]]*Tabela3[[#This Row],[Qtde Cx Produzida]]*1.055,0)</f>
        <v>118.7508</v>
      </c>
      <c r="S984" s="37">
        <f>(Tabela3[[#This Row],[Aluminio Bruto]]-Tabela3[[#This Row],[Aluminio Util]])*0.9</f>
        <v>53.829720000000002</v>
      </c>
      <c r="T984" s="37">
        <f>Tabela3[[#This Row],[Aluminio Bruto]]/OleoKGAluminio</f>
        <v>49.958308016690751</v>
      </c>
      <c r="U984" s="35">
        <f>IFERROR((VLOOKUP(Tabela3[[#This Row],[Moldador]],Tabela1[],5,)+(VLOOKUP(Tabela3[[#This Row],[Ajudante]],Tabela1[],5,))*3.5),0)</f>
        <v>126.0945</v>
      </c>
      <c r="V984" s="35">
        <f>IFERROR(Tabela3[[#This Row],[Custo M.O. / H]]/((Tabela3[[#This Row],[Realizado]]/Tabela3[[#This Row],[Qdt Peça Placa]])/Tabela3[[#This Row],[Tempo]]/24),)</f>
        <v>14.590935</v>
      </c>
      <c r="W984" s="35">
        <f>Tabela3[[#This Row],[Custo / Cx Moldada]]*Tabela3[[#This Row],[Qtde Cx Produzida]]</f>
        <v>510.682725</v>
      </c>
      <c r="X984" s="35">
        <f ca="1">Tabela3[[#This Row],[Aluminio Util]]*Tabela3[[#This Row],[Custo/Kg]]</f>
        <v>1037.3440000000001</v>
      </c>
      <c r="Y984" s="35">
        <f>IFERROR(VLOOKUP(Tabela3[[#This Row],[Data]],Tabela461213[],2,1)*(Tabela3[[#This Row],[Qtde Cx Produzida]]*Tabela3[[#This Row],[Qde macho / CX]]*Tabela3[[#This Row],[Peso Macho]]),)</f>
        <v>0</v>
      </c>
      <c r="Z984" s="35">
        <f>IFERROR(Tabela3[[#This Row],[Qtde Oleo]]*(VLOOKUP(Tabela3[[#This Row],[Data]],CompraOleo[],3,TRUE))*1.05,0)</f>
        <v>131.14055854381323</v>
      </c>
      <c r="AA984" s="47">
        <f ca="1">(Tabela3[[#This Row],[Custo Oleo]]+Tabela3[[#This Row],[Custo Aluminio]]+Tabela3[[#This Row],[Custo M.O. Total]]+Tabela3[[#This Row],[Custo Machos]])</f>
        <v>1679.1672835438135</v>
      </c>
      <c r="AB984" s="47">
        <f ca="1">Tabela3[[#This Row],[Custo Total]]*Tabela3[[#This Row],[% Perda]]</f>
        <v>0</v>
      </c>
      <c r="AC984" s="40">
        <f>IFERROR(VLOOKUP(Tabela3[[#This Row],[Produto]],Tabela2[],2,0),0)</f>
        <v>4</v>
      </c>
      <c r="AD984" s="48">
        <f>IFERROR(VLOOKUP(Tabela3[[#This Row],[Produto]],Tabela2[],3,0),0)</f>
        <v>0.42099999999999999</v>
      </c>
      <c r="AE984" s="48">
        <f>IFERROR(VLOOKUP(Tabela3[[#This Row],[Produto]],Tabela2[],4,0),0)</f>
        <v>3.2160000000000002</v>
      </c>
      <c r="AF984" s="48">
        <f>IFERROR(VLOOKUP(Tabela3[[#This Row],[Produto]],Tabela2[],5,0),0)</f>
        <v>1.3788000000000002</v>
      </c>
      <c r="AG984" s="48">
        <f>IFERROR(VLOOKUP(Tabela3[[#This Row],[Produto]],Tabela2[],6,0),0)</f>
        <v>0</v>
      </c>
      <c r="AH984" s="40">
        <f>IFERROR(VLOOKUP(Tabela3[[#This Row],[Produto]],Tabela2[],7,0),0)</f>
        <v>0</v>
      </c>
      <c r="AI984" s="40">
        <f>IFERROR(VLOOKUP(Tabela3[[#This Row],[Produto]],Tabela2[],8,0),0)</f>
        <v>0</v>
      </c>
      <c r="AJ984" s="35">
        <f ca="1">IFERROR(VLOOKUP(Tabela3[[#This Row],[Produto]],Tabela2[],13,0),0)</f>
        <v>17.600000000000001</v>
      </c>
      <c r="AK984" s="48" t="str">
        <f>IFERROR(VLOOKUP(Tabela3[[#This Row],[Produto]],Tabela2[],14,0),0)</f>
        <v>Busa</v>
      </c>
      <c r="AL984" s="40">
        <f>IFERROR(VLOOKUP(Tabela3[[#This Row],[Produto]],Tabela2[],15,0),0)</f>
        <v>0.5</v>
      </c>
      <c r="AM984" s="36">
        <f ca="1">(Tabela3[[#This Row],[Custo Usinagem]]+Tabela3[[#This Row],[Custo / Pç]])*1.2</f>
        <v>14.992862430375544</v>
      </c>
      <c r="AN984" s="36">
        <f ca="1">Tabela3[[#This Row],[Valor Mínimo Venda]]*1.15</f>
        <v>17.241791794931874</v>
      </c>
      <c r="AO984" s="36">
        <f ca="1">Tabela3[[#This Row],[Tabela 1]]*1.08</f>
        <v>18.621135138526427</v>
      </c>
      <c r="AP984" s="36">
        <f ca="1">Tabela3[[#This Row],[Tabela 2]]*1.15</f>
        <v>21.414305409305388</v>
      </c>
    </row>
    <row r="985" spans="1:42">
      <c r="A985" s="9">
        <v>46079</v>
      </c>
      <c r="B985" s="9" t="s">
        <v>211</v>
      </c>
      <c r="C985" s="14">
        <v>9105</v>
      </c>
      <c r="D985" s="6" t="s">
        <v>44</v>
      </c>
      <c r="E985" s="6" t="s">
        <v>47</v>
      </c>
      <c r="F985" s="6">
        <v>6</v>
      </c>
      <c r="G985" s="15">
        <v>7.4999999999999997E-2</v>
      </c>
      <c r="H985" s="16">
        <v>0</v>
      </c>
      <c r="I985" s="35">
        <f ca="1">IFERROR(Tabela3[[#This Row],[Custo Total]]/Tabela3[[#This Row],[Aluminio Util]],0)</f>
        <v>24.541344725154335</v>
      </c>
      <c r="J985" s="35">
        <f ca="1">Tabela3[[#This Row],[Custo Total]]/Tabela3[[#This Row],[Realizado]]</f>
        <v>130.06912704331796</v>
      </c>
      <c r="K985" s="37">
        <f>IFERROR(Tabela3[[#This Row],[Qtde Cx Produzida]]/Tabela3[[#This Row],[Tempo]]/24,0)</f>
        <v>3.3333333333333335</v>
      </c>
      <c r="L985" s="37">
        <f>Tabela3[[#This Row],[Qtde Cx Produzida]]*Tabela3[[#This Row],[Qdt Peça Placa]]</f>
        <v>6</v>
      </c>
      <c r="M985" s="37">
        <f>Tabela3[[#This Row],[Previsto]]-Tabela3[[#This Row],[Perda Pçs]]</f>
        <v>6</v>
      </c>
      <c r="N985" s="38">
        <f>IFERROR(Tabela3[[#This Row],[Perda Pçs]]/Tabela3[[#This Row],[Previsto]],0)</f>
        <v>0</v>
      </c>
      <c r="O985" s="39">
        <f>IFERROR(IF(Tabela3[[#This Row],[Qtde Cx Produzida]] &lt;&gt; 0, Tabela3[[#This Row],[Tempo]] / Tabela3[[#This Row],[Qtde Cx Produzida]], 0),0)</f>
        <v>1.2499999999999999E-2</v>
      </c>
      <c r="P985" s="57">
        <f>IFERROR(Tabela3[[#This Row],[Perda Pçs]]/Tabela3[[#This Row],[Qdt Peça Placa]],0)</f>
        <v>0</v>
      </c>
      <c r="Q985" s="37">
        <f>IFERROR(Tabela3[[#This Row],[Realizado]]*Tabela3[[#This Row],[Peso Util/Pç]],0)</f>
        <v>31.799999999999997</v>
      </c>
      <c r="R985" s="37">
        <f>IFERROR(Tabela3[[#This Row],[Peso Total Galho]]*Tabela3[[#This Row],[Qtde Cx Produzida]]*1.055,0)</f>
        <v>36.967199999999998</v>
      </c>
      <c r="S985" s="37">
        <f>(Tabela3[[#This Row],[Aluminio Bruto]]-Tabela3[[#This Row],[Aluminio Util]])*0.9</f>
        <v>4.6504800000000008</v>
      </c>
      <c r="T985" s="37">
        <f>Tabela3[[#This Row],[Aluminio Bruto]]/OleoKGAluminio</f>
        <v>15.552053241869615</v>
      </c>
      <c r="U985" s="35">
        <f>IFERROR((VLOOKUP(Tabela3[[#This Row],[Moldador]],Tabela1[],5,)+(VLOOKUP(Tabela3[[#This Row],[Ajudante]],Tabela1[],5,))*3.5),0)</f>
        <v>99.95034583333333</v>
      </c>
      <c r="V985" s="35">
        <f>IFERROR(Tabela3[[#This Row],[Custo M.O. / H]]/((Tabela3[[#This Row],[Realizado]]/Tabela3[[#This Row],[Qdt Peça Placa]])/Tabela3[[#This Row],[Tempo]]/24),)</f>
        <v>29.985103749999997</v>
      </c>
      <c r="W985" s="35">
        <f>Tabela3[[#This Row],[Custo / Cx Moldada]]*Tabela3[[#This Row],[Qtde Cx Produzida]]</f>
        <v>179.91062249999999</v>
      </c>
      <c r="X985" s="35">
        <f ca="1">Tabela3[[#This Row],[Aluminio Util]]*Tabela3[[#This Row],[Custo/Kg]]</f>
        <v>559.67999999999995</v>
      </c>
      <c r="Y985" s="35">
        <f>IFERROR(VLOOKUP(Tabela3[[#This Row],[Data]],Tabela461213[],2,1)*(Tabela3[[#This Row],[Qtde Cx Produzida]]*Tabela3[[#This Row],[Qde macho / CX]]*Tabela3[[#This Row],[Peso Macho]]),)</f>
        <v>0</v>
      </c>
      <c r="Z985" s="35">
        <f>IFERROR(Tabela3[[#This Row],[Qtde Oleo]]*(VLOOKUP(Tabela3[[#This Row],[Data]],CompraOleo[],3,TRUE))*1.05,0)</f>
        <v>40.824139759907737</v>
      </c>
      <c r="AA985" s="47">
        <f ca="1">(Tabela3[[#This Row],[Custo Oleo]]+Tabela3[[#This Row],[Custo Aluminio]]+Tabela3[[#This Row],[Custo M.O. Total]]+Tabela3[[#This Row],[Custo Machos]])</f>
        <v>780.41476225990777</v>
      </c>
      <c r="AB985" s="47">
        <f ca="1">Tabela3[[#This Row],[Custo Total]]*Tabela3[[#This Row],[% Perda]]</f>
        <v>0</v>
      </c>
      <c r="AC985" s="40">
        <f>IFERROR(VLOOKUP(Tabela3[[#This Row],[Produto]],Tabela2[],2,0),0)</f>
        <v>1</v>
      </c>
      <c r="AD985" s="48">
        <f>IFERROR(VLOOKUP(Tabela3[[#This Row],[Produto]],Tabela2[],3,0),0)</f>
        <v>5.3</v>
      </c>
      <c r="AE985" s="48">
        <f>IFERROR(VLOOKUP(Tabela3[[#This Row],[Produto]],Tabela2[],4,0),0)</f>
        <v>5.84</v>
      </c>
      <c r="AF985" s="48">
        <f>IFERROR(VLOOKUP(Tabela3[[#This Row],[Produto]],Tabela2[],5,0),0)</f>
        <v>0.48600000000000004</v>
      </c>
      <c r="AG985" s="48">
        <f>IFERROR(VLOOKUP(Tabela3[[#This Row],[Produto]],Tabela2[],6,0),0)</f>
        <v>0</v>
      </c>
      <c r="AH985" s="40">
        <f>IFERROR(VLOOKUP(Tabela3[[#This Row],[Produto]],Tabela2[],7,0),0)</f>
        <v>0</v>
      </c>
      <c r="AI985" s="40">
        <f>IFERROR(VLOOKUP(Tabela3[[#This Row],[Produto]],Tabela2[],8,0),0)</f>
        <v>0</v>
      </c>
      <c r="AJ985" s="35">
        <f ca="1">IFERROR(VLOOKUP(Tabela3[[#This Row],[Produto]],Tabela2[],13,0),0)</f>
        <v>17.600000000000001</v>
      </c>
      <c r="AK985" s="48" t="str">
        <f>IFERROR(VLOOKUP(Tabela3[[#This Row],[Produto]],Tabela2[],14,0),0)</f>
        <v>Oscar</v>
      </c>
      <c r="AL985" s="40">
        <f>IFERROR(VLOOKUP(Tabela3[[#This Row],[Produto]],Tabela2[],15,0),0)</f>
        <v>0</v>
      </c>
      <c r="AM985" s="36">
        <f ca="1">(Tabela3[[#This Row],[Custo Usinagem]]+Tabela3[[#This Row],[Custo / Pç]])*1.2</f>
        <v>156.08295245198155</v>
      </c>
      <c r="AN985" s="36">
        <f ca="1">Tabela3[[#This Row],[Valor Mínimo Venda]]*1.15</f>
        <v>179.49539531977877</v>
      </c>
      <c r="AO985" s="36">
        <f ca="1">Tabela3[[#This Row],[Tabela 1]]*1.08</f>
        <v>193.85502694536109</v>
      </c>
      <c r="AP985" s="36">
        <f ca="1">Tabela3[[#This Row],[Tabela 2]]*1.15</f>
        <v>222.93328098716523</v>
      </c>
    </row>
    <row r="986" spans="1:42">
      <c r="A986" s="9">
        <v>46080</v>
      </c>
      <c r="B986" s="9" t="s">
        <v>232</v>
      </c>
      <c r="C986" s="14">
        <v>8748</v>
      </c>
      <c r="D986" s="6" t="s">
        <v>46</v>
      </c>
      <c r="E986" s="6" t="s">
        <v>44</v>
      </c>
      <c r="F986" s="6">
        <v>71</v>
      </c>
      <c r="G986" s="15">
        <v>0.33888888888888891</v>
      </c>
      <c r="H986" s="16">
        <v>0</v>
      </c>
      <c r="I986" s="35">
        <f ca="1">IFERROR(Tabela3[[#This Row],[Custo Total]]/Tabela3[[#This Row],[Aluminio Util]],0)</f>
        <v>28.402554198495189</v>
      </c>
      <c r="J986" s="35">
        <f ca="1">Tabela3[[#This Row],[Custo Total]]/Tabela3[[#This Row],[Realizado]]</f>
        <v>11.957475317566473</v>
      </c>
      <c r="K986" s="37">
        <f>IFERROR(Tabela3[[#This Row],[Qtde Cx Produzida]]/Tabela3[[#This Row],[Tempo]]/24,0)</f>
        <v>8.7295081967213104</v>
      </c>
      <c r="L986" s="37">
        <f>Tabela3[[#This Row],[Qtde Cx Produzida]]*Tabela3[[#This Row],[Qdt Peça Placa]]</f>
        <v>284</v>
      </c>
      <c r="M986" s="37">
        <f>Tabela3[[#This Row],[Previsto]]-Tabela3[[#This Row],[Perda Pçs]]</f>
        <v>284</v>
      </c>
      <c r="N986" s="38">
        <f>IFERROR(Tabela3[[#This Row],[Perda Pçs]]/Tabela3[[#This Row],[Previsto]],0)</f>
        <v>0</v>
      </c>
      <c r="O986" s="39">
        <f>IFERROR(IF(Tabela3[[#This Row],[Qtde Cx Produzida]] &lt;&gt; 0, Tabela3[[#This Row],[Tempo]] / Tabela3[[#This Row],[Qtde Cx Produzida]], 0),0)</f>
        <v>4.7730829420970268E-3</v>
      </c>
      <c r="P986" s="57">
        <f>IFERROR(Tabela3[[#This Row],[Perda Pçs]]/Tabela3[[#This Row],[Qdt Peça Placa]],0)</f>
        <v>0</v>
      </c>
      <c r="Q986" s="37">
        <f>IFERROR(Tabela3[[#This Row],[Realizado]]*Tabela3[[#This Row],[Peso Util/Pç]],0)</f>
        <v>119.56399999999999</v>
      </c>
      <c r="R986" s="37">
        <f>IFERROR(Tabela3[[#This Row],[Peso Total Galho]]*Tabela3[[#This Row],[Qtde Cx Produzida]]*1.055,0)</f>
        <v>240.89447999999999</v>
      </c>
      <c r="S986" s="37">
        <f>(Tabela3[[#This Row],[Aluminio Bruto]]-Tabela3[[#This Row],[Aluminio Util]])*0.9</f>
        <v>109.19743199999999</v>
      </c>
      <c r="T986" s="37">
        <f>Tabela3[[#This Row],[Aluminio Bruto]]/OleoKGAluminio</f>
        <v>101.34399626242981</v>
      </c>
      <c r="U986" s="35">
        <f>IFERROR((VLOOKUP(Tabela3[[#This Row],[Moldador]],Tabela1[],5,)+(VLOOKUP(Tabela3[[#This Row],[Ajudante]],Tabela1[],5,))*3.5),0)</f>
        <v>126.0945</v>
      </c>
      <c r="V986" s="35">
        <f>IFERROR(Tabela3[[#This Row],[Custo M.O. / H]]/((Tabela3[[#This Row],[Realizado]]/Tabela3[[#This Row],[Qdt Peça Placa]])/Tabela3[[#This Row],[Tempo]]/24),)</f>
        <v>14.444628169014086</v>
      </c>
      <c r="W986" s="35">
        <f>Tabela3[[#This Row],[Custo / Cx Moldada]]*Tabela3[[#This Row],[Qtde Cx Produzida]]</f>
        <v>1025.5686000000001</v>
      </c>
      <c r="X986" s="35">
        <f ca="1">Tabela3[[#This Row],[Aluminio Util]]*Tabela3[[#This Row],[Custo/Kg]]</f>
        <v>2104.3263999999999</v>
      </c>
      <c r="Y986" s="35">
        <f>IFERROR(VLOOKUP(Tabela3[[#This Row],[Data]],Tabela461213[],2,1)*(Tabela3[[#This Row],[Qtde Cx Produzida]]*Tabela3[[#This Row],[Qde macho / CX]]*Tabela3[[#This Row],[Peso Macho]]),)</f>
        <v>0</v>
      </c>
      <c r="Z986" s="35">
        <f>IFERROR(Tabela3[[#This Row],[Qtde Oleo]]*(VLOOKUP(Tabela3[[#This Row],[Data]],CompraOleo[],3,TRUE))*1.05,0)</f>
        <v>266.02799018887828</v>
      </c>
      <c r="AA986" s="47">
        <f ca="1">(Tabela3[[#This Row],[Custo Oleo]]+Tabela3[[#This Row],[Custo Aluminio]]+Tabela3[[#This Row],[Custo M.O. Total]]+Tabela3[[#This Row],[Custo Machos]])</f>
        <v>3395.9229901888784</v>
      </c>
      <c r="AB986" s="47">
        <f ca="1">Tabela3[[#This Row],[Custo Total]]*Tabela3[[#This Row],[% Perda]]</f>
        <v>0</v>
      </c>
      <c r="AC986" s="40">
        <f>IFERROR(VLOOKUP(Tabela3[[#This Row],[Produto]],Tabela2[],2,0),0)</f>
        <v>4</v>
      </c>
      <c r="AD986" s="48">
        <f>IFERROR(VLOOKUP(Tabela3[[#This Row],[Produto]],Tabela2[],3,0),0)</f>
        <v>0.42099999999999999</v>
      </c>
      <c r="AE986" s="48">
        <f>IFERROR(VLOOKUP(Tabela3[[#This Row],[Produto]],Tabela2[],4,0),0)</f>
        <v>3.2160000000000002</v>
      </c>
      <c r="AF986" s="48">
        <f>IFERROR(VLOOKUP(Tabela3[[#This Row],[Produto]],Tabela2[],5,0),0)</f>
        <v>1.3788000000000002</v>
      </c>
      <c r="AG986" s="48">
        <f>IFERROR(VLOOKUP(Tabela3[[#This Row],[Produto]],Tabela2[],6,0),0)</f>
        <v>0</v>
      </c>
      <c r="AH986" s="40">
        <f>IFERROR(VLOOKUP(Tabela3[[#This Row],[Produto]],Tabela2[],7,0),0)</f>
        <v>0</v>
      </c>
      <c r="AI986" s="40">
        <f>IFERROR(VLOOKUP(Tabela3[[#This Row],[Produto]],Tabela2[],8,0),0)</f>
        <v>0</v>
      </c>
      <c r="AJ986" s="35">
        <f ca="1">IFERROR(VLOOKUP(Tabela3[[#This Row],[Produto]],Tabela2[],13,0),0)</f>
        <v>17.600000000000001</v>
      </c>
      <c r="AK986" s="48" t="str">
        <f>IFERROR(VLOOKUP(Tabela3[[#This Row],[Produto]],Tabela2[],14,0),0)</f>
        <v>Busa</v>
      </c>
      <c r="AL986" s="40">
        <f>IFERROR(VLOOKUP(Tabela3[[#This Row],[Produto]],Tabela2[],15,0),0)</f>
        <v>0.5</v>
      </c>
      <c r="AM986" s="36">
        <f ca="1">(Tabela3[[#This Row],[Custo Usinagem]]+Tabela3[[#This Row],[Custo / Pç]])*1.2</f>
        <v>14.948970381079768</v>
      </c>
      <c r="AN986" s="36">
        <f ca="1">Tabela3[[#This Row],[Valor Mínimo Venda]]*1.15</f>
        <v>17.191315938241733</v>
      </c>
      <c r="AO986" s="36">
        <f ca="1">Tabela3[[#This Row],[Tabela 1]]*1.08</f>
        <v>18.566621213301072</v>
      </c>
      <c r="AP986" s="36">
        <f ca="1">Tabela3[[#This Row],[Tabela 2]]*1.15</f>
        <v>21.351614395296231</v>
      </c>
    </row>
    <row r="987" spans="1:42">
      <c r="A987" s="9">
        <v>46080</v>
      </c>
      <c r="B987" s="9" t="s">
        <v>159</v>
      </c>
      <c r="C987" s="14">
        <v>9122</v>
      </c>
      <c r="D987" s="6" t="s">
        <v>46</v>
      </c>
      <c r="E987" s="6" t="s">
        <v>44</v>
      </c>
      <c r="F987" s="6">
        <v>2</v>
      </c>
      <c r="G987" s="15">
        <v>4.8611111111111112E-3</v>
      </c>
      <c r="H987" s="16">
        <v>0</v>
      </c>
      <c r="I987" s="35">
        <f ca="1">IFERROR(Tabela3[[#This Row],[Custo Total]]/Tabela3[[#This Row],[Aluminio Util]],0)</f>
        <v>20.749584666949094</v>
      </c>
      <c r="J987" s="35">
        <f ca="1">Tabela3[[#This Row],[Custo Total]]/Tabela3[[#This Row],[Realizado]]</f>
        <v>20.749584666949094</v>
      </c>
      <c r="K987" s="37">
        <f>IFERROR(Tabela3[[#This Row],[Qtde Cx Produzida]]/Tabela3[[#This Row],[Tempo]]/24,0)</f>
        <v>17.142857142857142</v>
      </c>
      <c r="L987" s="37">
        <f>Tabela3[[#This Row],[Qtde Cx Produzida]]*Tabela3[[#This Row],[Qdt Peça Placa]]</f>
        <v>8</v>
      </c>
      <c r="M987" s="37">
        <f>Tabela3[[#This Row],[Previsto]]-Tabela3[[#This Row],[Perda Pçs]]</f>
        <v>8</v>
      </c>
      <c r="N987" s="38">
        <f>IFERROR(Tabela3[[#This Row],[Perda Pçs]]/Tabela3[[#This Row],[Previsto]],0)</f>
        <v>0</v>
      </c>
      <c r="O987" s="39">
        <f>IFERROR(IF(Tabela3[[#This Row],[Qtde Cx Produzida]] &lt;&gt; 0, Tabela3[[#This Row],[Tempo]] / Tabela3[[#This Row],[Qtde Cx Produzida]], 0),0)</f>
        <v>2.4305555555555556E-3</v>
      </c>
      <c r="P987" s="57">
        <f>IFERROR(Tabela3[[#This Row],[Perda Pçs]]/Tabela3[[#This Row],[Qdt Peça Placa]],0)</f>
        <v>0</v>
      </c>
      <c r="Q987" s="37">
        <f>IFERROR(Tabela3[[#This Row],[Realizado]]*Tabela3[[#This Row],[Peso Util/Pç]],0)</f>
        <v>8</v>
      </c>
      <c r="R987" s="37">
        <f>IFERROR(Tabela3[[#This Row],[Peso Total Galho]]*Tabela3[[#This Row],[Qtde Cx Produzida]]*1.055,0)</f>
        <v>9.4949999999999992</v>
      </c>
      <c r="S987" s="37">
        <f>(Tabela3[[#This Row],[Aluminio Bruto]]-Tabela3[[#This Row],[Aluminio Util]])*0.9</f>
        <v>1.3454999999999993</v>
      </c>
      <c r="T987" s="37">
        <f>Tabela3[[#This Row],[Aluminio Bruto]]/OleoKGAluminio</f>
        <v>3.9945342230829493</v>
      </c>
      <c r="U987" s="35">
        <f>IFERROR((VLOOKUP(Tabela3[[#This Row],[Moldador]],Tabela1[],5,)+(VLOOKUP(Tabela3[[#This Row],[Ajudante]],Tabela1[],5,))*3.5),0)</f>
        <v>126.0945</v>
      </c>
      <c r="V987" s="35">
        <f>IFERROR(Tabela3[[#This Row],[Custo M.O. / H]]/((Tabela3[[#This Row],[Realizado]]/Tabela3[[#This Row],[Qdt Peça Placa]])/Tabela3[[#This Row],[Tempo]]/24),)</f>
        <v>7.3555124999999997</v>
      </c>
      <c r="W987" s="35">
        <f>Tabela3[[#This Row],[Custo / Cx Moldada]]*Tabela3[[#This Row],[Qtde Cx Produzida]]</f>
        <v>14.711024999999999</v>
      </c>
      <c r="X987" s="35">
        <f ca="1">Tabela3[[#This Row],[Aluminio Util]]*Tabela3[[#This Row],[Custo/Kg]]</f>
        <v>140.80000000000001</v>
      </c>
      <c r="Y987" s="35">
        <f>IFERROR(VLOOKUP(Tabela3[[#This Row],[Data]],Tabela461213[],2,1)*(Tabela3[[#This Row],[Qtde Cx Produzida]]*Tabela3[[#This Row],[Qde macho / CX]]*Tabela3[[#This Row],[Peso Macho]]),)</f>
        <v>0</v>
      </c>
      <c r="Z987" s="35">
        <f>IFERROR(Tabela3[[#This Row],[Qtde Oleo]]*(VLOOKUP(Tabela3[[#This Row],[Data]],CompraOleo[],3,TRUE))*1.05,0)</f>
        <v>10.485652335592743</v>
      </c>
      <c r="AA987" s="47">
        <f ca="1">(Tabela3[[#This Row],[Custo Oleo]]+Tabela3[[#This Row],[Custo Aluminio]]+Tabela3[[#This Row],[Custo M.O. Total]]+Tabela3[[#This Row],[Custo Machos]])</f>
        <v>165.99667733559275</v>
      </c>
      <c r="AB987" s="47">
        <f ca="1">Tabela3[[#This Row],[Custo Total]]*Tabela3[[#This Row],[% Perda]]</f>
        <v>0</v>
      </c>
      <c r="AC987" s="40">
        <f>IFERROR(VLOOKUP(Tabela3[[#This Row],[Produto]],Tabela2[],2,0),0)</f>
        <v>4</v>
      </c>
      <c r="AD987" s="48">
        <f>IFERROR(VLOOKUP(Tabela3[[#This Row],[Produto]],Tabela2[],3,0),0)</f>
        <v>1</v>
      </c>
      <c r="AE987" s="48">
        <f>IFERROR(VLOOKUP(Tabela3[[#This Row],[Produto]],Tabela2[],4,0),0)</f>
        <v>4.5</v>
      </c>
      <c r="AF987" s="48">
        <f>IFERROR(VLOOKUP(Tabela3[[#This Row],[Produto]],Tabela2[],5,0),0)</f>
        <v>0.45</v>
      </c>
      <c r="AG987" s="48">
        <f>IFERROR(VLOOKUP(Tabela3[[#This Row],[Produto]],Tabela2[],6,0),0)</f>
        <v>0</v>
      </c>
      <c r="AH987" s="40">
        <f>IFERROR(VLOOKUP(Tabela3[[#This Row],[Produto]],Tabela2[],7,0),0)</f>
        <v>0</v>
      </c>
      <c r="AI987" s="40">
        <f>IFERROR(VLOOKUP(Tabela3[[#This Row],[Produto]],Tabela2[],8,0),0)</f>
        <v>0</v>
      </c>
      <c r="AJ987" s="35">
        <f ca="1">IFERROR(VLOOKUP(Tabela3[[#This Row],[Produto]],Tabela2[],13,0),0)</f>
        <v>17.600000000000001</v>
      </c>
      <c r="AK987" s="48" t="str">
        <f>IFERROR(VLOOKUP(Tabela3[[#This Row],[Produto]],Tabela2[],14,0),0)</f>
        <v>Danilo</v>
      </c>
      <c r="AL987" s="40">
        <f>IFERROR(VLOOKUP(Tabela3[[#This Row],[Produto]],Tabela2[],15,0),0)</f>
        <v>0</v>
      </c>
      <c r="AM987" s="36">
        <f ca="1">(Tabela3[[#This Row],[Custo Usinagem]]+Tabela3[[#This Row],[Custo / Pç]])*1.2</f>
        <v>24.899501600338912</v>
      </c>
      <c r="AN987" s="36">
        <f ca="1">Tabela3[[#This Row],[Valor Mínimo Venda]]*1.15</f>
        <v>28.634426840389747</v>
      </c>
      <c r="AO987" s="36">
        <f ca="1">Tabela3[[#This Row],[Tabela 1]]*1.08</f>
        <v>30.92518098762093</v>
      </c>
      <c r="AP987" s="36">
        <f ca="1">Tabela3[[#This Row],[Tabela 2]]*1.15</f>
        <v>35.563958135764068</v>
      </c>
    </row>
    <row r="988" spans="1:42">
      <c r="A988" s="9">
        <v>46080</v>
      </c>
      <c r="B988" s="9" t="s">
        <v>211</v>
      </c>
      <c r="C988" s="14">
        <v>9105</v>
      </c>
      <c r="D988" s="6" t="s">
        <v>44</v>
      </c>
      <c r="E988" s="6" t="s">
        <v>47</v>
      </c>
      <c r="F988" s="6">
        <v>10</v>
      </c>
      <c r="G988" s="15">
        <v>8.7499999999999994E-2</v>
      </c>
      <c r="H988" s="16">
        <v>0</v>
      </c>
      <c r="I988" s="35">
        <f ca="1">IFERROR(Tabela3[[#This Row],[Custo Total]]/Tabela3[[#This Row],[Aluminio Util]],0)</f>
        <v>22.844074701569426</v>
      </c>
      <c r="J988" s="35">
        <f ca="1">Tabela3[[#This Row],[Custo Total]]/Tabela3[[#This Row],[Realizado]]</f>
        <v>121.07359591831796</v>
      </c>
      <c r="K988" s="37">
        <f>IFERROR(Tabela3[[#This Row],[Qtde Cx Produzida]]/Tabela3[[#This Row],[Tempo]]/24,0)</f>
        <v>4.7619047619047619</v>
      </c>
      <c r="L988" s="37">
        <f>Tabela3[[#This Row],[Qtde Cx Produzida]]*Tabela3[[#This Row],[Qdt Peça Placa]]</f>
        <v>10</v>
      </c>
      <c r="M988" s="37">
        <f>Tabela3[[#This Row],[Previsto]]-Tabela3[[#This Row],[Perda Pçs]]</f>
        <v>10</v>
      </c>
      <c r="N988" s="38">
        <f>IFERROR(Tabela3[[#This Row],[Perda Pçs]]/Tabela3[[#This Row],[Previsto]],0)</f>
        <v>0</v>
      </c>
      <c r="O988" s="39">
        <f>IFERROR(IF(Tabela3[[#This Row],[Qtde Cx Produzida]] &lt;&gt; 0, Tabela3[[#This Row],[Tempo]] / Tabela3[[#This Row],[Qtde Cx Produzida]], 0),0)</f>
        <v>8.7499999999999991E-3</v>
      </c>
      <c r="P988" s="57">
        <f>IFERROR(Tabela3[[#This Row],[Perda Pçs]]/Tabela3[[#This Row],[Qdt Peça Placa]],0)</f>
        <v>0</v>
      </c>
      <c r="Q988" s="37">
        <f>IFERROR(Tabela3[[#This Row],[Realizado]]*Tabela3[[#This Row],[Peso Util/Pç]],0)</f>
        <v>53</v>
      </c>
      <c r="R988" s="37">
        <f>IFERROR(Tabela3[[#This Row],[Peso Total Galho]]*Tabela3[[#This Row],[Qtde Cx Produzida]]*1.055,0)</f>
        <v>61.611999999999995</v>
      </c>
      <c r="S988" s="37">
        <f>(Tabela3[[#This Row],[Aluminio Bruto]]-Tabela3[[#This Row],[Aluminio Util]])*0.9</f>
        <v>7.7507999999999955</v>
      </c>
      <c r="T988" s="37">
        <f>Tabela3[[#This Row],[Aluminio Bruto]]/OleoKGAluminio</f>
        <v>25.920088736449358</v>
      </c>
      <c r="U988" s="35">
        <f>IFERROR((VLOOKUP(Tabela3[[#This Row],[Moldador]],Tabela1[],5,)+(VLOOKUP(Tabela3[[#This Row],[Ajudante]],Tabela1[],5,))*3.5),0)</f>
        <v>99.95034583333333</v>
      </c>
      <c r="V988" s="35">
        <f>IFERROR(Tabela3[[#This Row],[Custo M.O. / H]]/((Tabela3[[#This Row],[Realizado]]/Tabela3[[#This Row],[Qdt Peça Placa]])/Tabela3[[#This Row],[Tempo]]/24),)</f>
        <v>20.989572625000001</v>
      </c>
      <c r="W988" s="35">
        <f>Tabela3[[#This Row],[Custo / Cx Moldada]]*Tabela3[[#This Row],[Qtde Cx Produzida]]</f>
        <v>209.89572625</v>
      </c>
      <c r="X988" s="35">
        <f ca="1">Tabela3[[#This Row],[Aluminio Util]]*Tabela3[[#This Row],[Custo/Kg]]</f>
        <v>932.80000000000007</v>
      </c>
      <c r="Y988" s="35">
        <f>IFERROR(VLOOKUP(Tabela3[[#This Row],[Data]],Tabela461213[],2,1)*(Tabela3[[#This Row],[Qtde Cx Produzida]]*Tabela3[[#This Row],[Qde macho / CX]]*Tabela3[[#This Row],[Peso Macho]]),)</f>
        <v>0</v>
      </c>
      <c r="Z988" s="35">
        <f>IFERROR(Tabela3[[#This Row],[Qtde Oleo]]*(VLOOKUP(Tabela3[[#This Row],[Data]],CompraOleo[],3,TRUE))*1.05,0)</f>
        <v>68.040232933179581</v>
      </c>
      <c r="AA988" s="47">
        <f ca="1">(Tabela3[[#This Row],[Custo Oleo]]+Tabela3[[#This Row],[Custo Aluminio]]+Tabela3[[#This Row],[Custo M.O. Total]]+Tabela3[[#This Row],[Custo Machos]])</f>
        <v>1210.7359591831796</v>
      </c>
      <c r="AB988" s="47">
        <f ca="1">Tabela3[[#This Row],[Custo Total]]*Tabela3[[#This Row],[% Perda]]</f>
        <v>0</v>
      </c>
      <c r="AC988" s="40">
        <f>IFERROR(VLOOKUP(Tabela3[[#This Row],[Produto]],Tabela2[],2,0),0)</f>
        <v>1</v>
      </c>
      <c r="AD988" s="48">
        <f>IFERROR(VLOOKUP(Tabela3[[#This Row],[Produto]],Tabela2[],3,0),0)</f>
        <v>5.3</v>
      </c>
      <c r="AE988" s="48">
        <f>IFERROR(VLOOKUP(Tabela3[[#This Row],[Produto]],Tabela2[],4,0),0)</f>
        <v>5.84</v>
      </c>
      <c r="AF988" s="48">
        <f>IFERROR(VLOOKUP(Tabela3[[#This Row],[Produto]],Tabela2[],5,0),0)</f>
        <v>0.48600000000000004</v>
      </c>
      <c r="AG988" s="48">
        <f>IFERROR(VLOOKUP(Tabela3[[#This Row],[Produto]],Tabela2[],6,0),0)</f>
        <v>0</v>
      </c>
      <c r="AH988" s="40">
        <f>IFERROR(VLOOKUP(Tabela3[[#This Row],[Produto]],Tabela2[],7,0),0)</f>
        <v>0</v>
      </c>
      <c r="AI988" s="40">
        <f>IFERROR(VLOOKUP(Tabela3[[#This Row],[Produto]],Tabela2[],8,0),0)</f>
        <v>0</v>
      </c>
      <c r="AJ988" s="35">
        <f ca="1">IFERROR(VLOOKUP(Tabela3[[#This Row],[Produto]],Tabela2[],13,0),0)</f>
        <v>17.600000000000001</v>
      </c>
      <c r="AK988" s="48" t="str">
        <f>IFERROR(VLOOKUP(Tabela3[[#This Row],[Produto]],Tabela2[],14,0),0)</f>
        <v>Oscar</v>
      </c>
      <c r="AL988" s="40">
        <f>IFERROR(VLOOKUP(Tabela3[[#This Row],[Produto]],Tabela2[],15,0),0)</f>
        <v>0</v>
      </c>
      <c r="AM988" s="36">
        <f ca="1">(Tabela3[[#This Row],[Custo Usinagem]]+Tabela3[[#This Row],[Custo / Pç]])*1.2</f>
        <v>145.28831510198154</v>
      </c>
      <c r="AN988" s="36">
        <f ca="1">Tabela3[[#This Row],[Valor Mínimo Venda]]*1.15</f>
        <v>167.08156236727876</v>
      </c>
      <c r="AO988" s="36">
        <f ca="1">Tabela3[[#This Row],[Tabela 1]]*1.08</f>
        <v>180.44808735666106</v>
      </c>
      <c r="AP988" s="36">
        <f ca="1">Tabela3[[#This Row],[Tabela 2]]*1.15</f>
        <v>207.5153004601602</v>
      </c>
    </row>
    <row r="989" spans="1:42">
      <c r="A989" s="9">
        <v>46083</v>
      </c>
      <c r="B989" s="9" t="s">
        <v>229</v>
      </c>
      <c r="C989" s="14">
        <v>9117</v>
      </c>
      <c r="D989" s="6" t="s">
        <v>46</v>
      </c>
      <c r="E989" s="6" t="s">
        <v>44</v>
      </c>
      <c r="F989" s="6">
        <v>30</v>
      </c>
      <c r="G989" s="15">
        <v>0.11666666666666667</v>
      </c>
      <c r="H989" s="16">
        <v>0</v>
      </c>
      <c r="I989" s="35">
        <f ca="1">IFERROR(Tabela3[[#This Row],[Custo Total]]/Tabela3[[#This Row],[Aluminio Util]],0)</f>
        <v>21.346533198824865</v>
      </c>
      <c r="J989" s="35">
        <f ca="1">Tabela3[[#This Row],[Custo Total]]/Tabela3[[#This Row],[Realizado]]</f>
        <v>59.514134558323718</v>
      </c>
      <c r="K989" s="37">
        <f>IFERROR(Tabela3[[#This Row],[Qtde Cx Produzida]]/Tabela3[[#This Row],[Tempo]]/24,0)</f>
        <v>10.714285714285714</v>
      </c>
      <c r="L989" s="37">
        <f>Tabela3[[#This Row],[Qtde Cx Produzida]]*Tabela3[[#This Row],[Qdt Peça Placa]]</f>
        <v>30</v>
      </c>
      <c r="M989" s="37">
        <f>Tabela3[[#This Row],[Previsto]]-Tabela3[[#This Row],[Perda Pçs]]</f>
        <v>30</v>
      </c>
      <c r="N989" s="38">
        <f>IFERROR(Tabela3[[#This Row],[Perda Pçs]]/Tabela3[[#This Row],[Previsto]],0)</f>
        <v>0</v>
      </c>
      <c r="O989" s="39">
        <f>IFERROR(IF(Tabela3[[#This Row],[Qtde Cx Produzida]] &lt;&gt; 0, Tabela3[[#This Row],[Tempo]] / Tabela3[[#This Row],[Qtde Cx Produzida]], 0),0)</f>
        <v>3.8888888888888888E-3</v>
      </c>
      <c r="P989" s="57">
        <f>IFERROR(Tabela3[[#This Row],[Perda Pçs]]/Tabela3[[#This Row],[Qdt Peça Placa]],0)</f>
        <v>0</v>
      </c>
      <c r="Q989" s="37">
        <f>IFERROR(Tabela3[[#This Row],[Realizado]]*Tabela3[[#This Row],[Peso Util/Pç]],0)</f>
        <v>83.64</v>
      </c>
      <c r="R989" s="37">
        <f>IFERROR(Tabela3[[#This Row],[Peso Total Galho]]*Tabela3[[#This Row],[Qtde Cx Produzida]]*1.055,0)</f>
        <v>115.52249999999999</v>
      </c>
      <c r="S989" s="37">
        <f>(Tabela3[[#This Row],[Aluminio Bruto]]-Tabela3[[#This Row],[Aluminio Util]])*0.9</f>
        <v>28.694249999999993</v>
      </c>
      <c r="T989" s="37">
        <f>Tabela3[[#This Row],[Aluminio Bruto]]/OleoKGAluminio</f>
        <v>48.600166380842545</v>
      </c>
      <c r="U989" s="35">
        <f>IFERROR((VLOOKUP(Tabela3[[#This Row],[Moldador]],Tabela1[],5,)+(VLOOKUP(Tabela3[[#This Row],[Ajudante]],Tabela1[],5,))*3.5),0)</f>
        <v>126.0945</v>
      </c>
      <c r="V989" s="35">
        <f>IFERROR(Tabela3[[#This Row],[Custo M.O. / H]]/((Tabela3[[#This Row],[Realizado]]/Tabela3[[#This Row],[Qdt Peça Placa]])/Tabela3[[#This Row],[Tempo]]/24),)</f>
        <v>11.76882</v>
      </c>
      <c r="W989" s="35">
        <f>Tabela3[[#This Row],[Custo / Cx Moldada]]*Tabela3[[#This Row],[Qtde Cx Produzida]]</f>
        <v>353.06459999999998</v>
      </c>
      <c r="X989" s="35">
        <f ca="1">Tabela3[[#This Row],[Aluminio Util]]*Tabela3[[#This Row],[Custo/Kg]]</f>
        <v>1304.7840000000001</v>
      </c>
      <c r="Y989" s="35">
        <f>IFERROR(VLOOKUP(Tabela3[[#This Row],[Data]],Tabela461213[],2,1)*(Tabela3[[#This Row],[Qtde Cx Produzida]]*Tabela3[[#This Row],[Qde macho / CX]]*Tabela3[[#This Row],[Peso Macho]]),)</f>
        <v>0</v>
      </c>
      <c r="Z989" s="35">
        <f>IFERROR(Tabela3[[#This Row],[Qtde Oleo]]*(VLOOKUP(Tabela3[[#This Row],[Data]],CompraOleo[],3,TRUE))*1.05,0)</f>
        <v>127.57543674971168</v>
      </c>
      <c r="AA989" s="47">
        <f ca="1">(Tabela3[[#This Row],[Custo Oleo]]+Tabela3[[#This Row],[Custo Aluminio]]+Tabela3[[#This Row],[Custo M.O. Total]]+Tabela3[[#This Row],[Custo Machos]])</f>
        <v>1785.4240367497116</v>
      </c>
      <c r="AB989" s="47">
        <f ca="1">Tabela3[[#This Row],[Custo Total]]*Tabela3[[#This Row],[% Perda]]</f>
        <v>0</v>
      </c>
      <c r="AC989" s="40">
        <f>IFERROR(VLOOKUP(Tabela3[[#This Row],[Produto]],Tabela2[],2,0),0)</f>
        <v>1</v>
      </c>
      <c r="AD989" s="48">
        <f>IFERROR(VLOOKUP(Tabela3[[#This Row],[Produto]],Tabela2[],3,0),0)</f>
        <v>2.7879999999999998</v>
      </c>
      <c r="AE989" s="48">
        <f>IFERROR(VLOOKUP(Tabela3[[#This Row],[Produto]],Tabela2[],4,0),0)</f>
        <v>3.65</v>
      </c>
      <c r="AF989" s="48">
        <f>IFERROR(VLOOKUP(Tabela3[[#This Row],[Produto]],Tabela2[],5,0),0)</f>
        <v>0.77580000000000016</v>
      </c>
      <c r="AG989" s="48">
        <f>IFERROR(VLOOKUP(Tabela3[[#This Row],[Produto]],Tabela2[],6,0),0)</f>
        <v>0</v>
      </c>
      <c r="AH989" s="40">
        <f>IFERROR(VLOOKUP(Tabela3[[#This Row],[Produto]],Tabela2[],7,0),0)</f>
        <v>0</v>
      </c>
      <c r="AI989" s="40">
        <f>IFERROR(VLOOKUP(Tabela3[[#This Row],[Produto]],Tabela2[],8,0),0)</f>
        <v>0</v>
      </c>
      <c r="AJ989" s="35">
        <f ca="1">IFERROR(VLOOKUP(Tabela3[[#This Row],[Produto]],Tabela2[],13,0),0)</f>
        <v>15.600000000000001</v>
      </c>
      <c r="AK989" s="48" t="str">
        <f>IFERROR(VLOOKUP(Tabela3[[#This Row],[Produto]],Tabela2[],14,0),0)</f>
        <v>Jumil</v>
      </c>
      <c r="AL989" s="40">
        <f>IFERROR(VLOOKUP(Tabela3[[#This Row],[Produto]],Tabela2[],15,0),0)</f>
        <v>35</v>
      </c>
      <c r="AM989" s="36">
        <f ca="1">(Tabela3[[#This Row],[Custo Usinagem]]+Tabela3[[#This Row],[Custo / Pç]])*1.2</f>
        <v>113.41696146998846</v>
      </c>
      <c r="AN989" s="36">
        <f ca="1">Tabela3[[#This Row],[Valor Mínimo Venda]]*1.15</f>
        <v>130.42950569048674</v>
      </c>
      <c r="AO989" s="36">
        <f ca="1">Tabela3[[#This Row],[Tabela 1]]*1.08</f>
        <v>140.86386614572569</v>
      </c>
      <c r="AP989" s="36">
        <f ca="1">Tabela3[[#This Row],[Tabela 2]]*1.15</f>
        <v>161.99344606758453</v>
      </c>
    </row>
    <row r="990" spans="1:42">
      <c r="A990" s="9">
        <v>46083</v>
      </c>
      <c r="B990" s="9" t="s">
        <v>159</v>
      </c>
      <c r="C990" s="14">
        <v>9106</v>
      </c>
      <c r="D990" s="6" t="s">
        <v>46</v>
      </c>
      <c r="E990" s="6" t="s">
        <v>44</v>
      </c>
      <c r="F990" s="6">
        <v>15</v>
      </c>
      <c r="G990" s="15">
        <v>8.9583333333333334E-2</v>
      </c>
      <c r="H990" s="16">
        <v>0</v>
      </c>
      <c r="I990" s="35">
        <f ca="1">IFERROR(Tabela3[[#This Row],[Custo Total]]/Tabela3[[#This Row],[Aluminio Util]],0)</f>
        <v>23.429092791949092</v>
      </c>
      <c r="J990" s="35">
        <f ca="1">Tabela3[[#This Row],[Custo Total]]/Tabela3[[#This Row],[Realizado]]</f>
        <v>23.429092791949092</v>
      </c>
      <c r="K990" s="37">
        <f>IFERROR(Tabela3[[#This Row],[Qtde Cx Produzida]]/Tabela3[[#This Row],[Tempo]]/24,0)</f>
        <v>6.9767441860465107</v>
      </c>
      <c r="L990" s="37">
        <f>Tabela3[[#This Row],[Qtde Cx Produzida]]*Tabela3[[#This Row],[Qdt Peça Placa]]</f>
        <v>60</v>
      </c>
      <c r="M990" s="37">
        <f>Tabela3[[#This Row],[Previsto]]-Tabela3[[#This Row],[Perda Pçs]]</f>
        <v>60</v>
      </c>
      <c r="N990" s="38">
        <f>IFERROR(Tabela3[[#This Row],[Perda Pçs]]/Tabela3[[#This Row],[Previsto]],0)</f>
        <v>0</v>
      </c>
      <c r="O990" s="39">
        <f>IFERROR(IF(Tabela3[[#This Row],[Qtde Cx Produzida]] &lt;&gt; 0, Tabela3[[#This Row],[Tempo]] / Tabela3[[#This Row],[Qtde Cx Produzida]], 0),0)</f>
        <v>5.9722222222222225E-3</v>
      </c>
      <c r="P990" s="57">
        <f>IFERROR(Tabela3[[#This Row],[Perda Pçs]]/Tabela3[[#This Row],[Qdt Peça Placa]],0)</f>
        <v>0</v>
      </c>
      <c r="Q990" s="37">
        <f>IFERROR(Tabela3[[#This Row],[Realizado]]*Tabela3[[#This Row],[Peso Util/Pç]],0)</f>
        <v>60</v>
      </c>
      <c r="R990" s="37">
        <f>IFERROR(Tabela3[[#This Row],[Peso Total Galho]]*Tabela3[[#This Row],[Qtde Cx Produzida]]*1.055,0)</f>
        <v>71.212499999999991</v>
      </c>
      <c r="S990" s="37">
        <f>(Tabela3[[#This Row],[Aluminio Bruto]]-Tabela3[[#This Row],[Aluminio Util]])*0.9</f>
        <v>10.091249999999993</v>
      </c>
      <c r="T990" s="37">
        <f>Tabela3[[#This Row],[Aluminio Bruto]]/OleoKGAluminio</f>
        <v>29.959006673122119</v>
      </c>
      <c r="U990" s="35">
        <f>IFERROR((VLOOKUP(Tabela3[[#This Row],[Moldador]],Tabela1[],5,)+(VLOOKUP(Tabela3[[#This Row],[Ajudante]],Tabela1[],5,))*3.5),0)</f>
        <v>126.0945</v>
      </c>
      <c r="V990" s="35">
        <f>IFERROR(Tabela3[[#This Row],[Custo M.O. / H]]/((Tabela3[[#This Row],[Realizado]]/Tabela3[[#This Row],[Qdt Peça Placa]])/Tabela3[[#This Row],[Tempo]]/24),)</f>
        <v>18.073545000000003</v>
      </c>
      <c r="W990" s="35">
        <f>Tabela3[[#This Row],[Custo / Cx Moldada]]*Tabela3[[#This Row],[Qtde Cx Produzida]]</f>
        <v>271.10317500000002</v>
      </c>
      <c r="X990" s="35">
        <f ca="1">Tabela3[[#This Row],[Aluminio Util]]*Tabela3[[#This Row],[Custo/Kg]]</f>
        <v>1056</v>
      </c>
      <c r="Y990" s="35">
        <f>IFERROR(VLOOKUP(Tabela3[[#This Row],[Data]],Tabela461213[],2,1)*(Tabela3[[#This Row],[Qtde Cx Produzida]]*Tabela3[[#This Row],[Qde macho / CX]]*Tabela3[[#This Row],[Peso Macho]]),)</f>
        <v>0</v>
      </c>
      <c r="Z990" s="35">
        <f>IFERROR(Tabela3[[#This Row],[Qtde Oleo]]*(VLOOKUP(Tabela3[[#This Row],[Data]],CompraOleo[],3,TRUE))*1.05,0)</f>
        <v>78.642392516945577</v>
      </c>
      <c r="AA990" s="47">
        <f ca="1">(Tabela3[[#This Row],[Custo Oleo]]+Tabela3[[#This Row],[Custo Aluminio]]+Tabela3[[#This Row],[Custo M.O. Total]]+Tabela3[[#This Row],[Custo Machos]])</f>
        <v>1405.7455675169456</v>
      </c>
      <c r="AB990" s="47">
        <f ca="1">Tabela3[[#This Row],[Custo Total]]*Tabela3[[#This Row],[% Perda]]</f>
        <v>0</v>
      </c>
      <c r="AC990" s="40">
        <f>IFERROR(VLOOKUP(Tabela3[[#This Row],[Produto]],Tabela2[],2,0),0)</f>
        <v>4</v>
      </c>
      <c r="AD990" s="48">
        <f>IFERROR(VLOOKUP(Tabela3[[#This Row],[Produto]],Tabela2[],3,0),0)</f>
        <v>1</v>
      </c>
      <c r="AE990" s="48">
        <f>IFERROR(VLOOKUP(Tabela3[[#This Row],[Produto]],Tabela2[],4,0),0)</f>
        <v>4.5</v>
      </c>
      <c r="AF990" s="48">
        <f>IFERROR(VLOOKUP(Tabela3[[#This Row],[Produto]],Tabela2[],5,0),0)</f>
        <v>0.45</v>
      </c>
      <c r="AG990" s="48">
        <f>IFERROR(VLOOKUP(Tabela3[[#This Row],[Produto]],Tabela2[],6,0),0)</f>
        <v>0</v>
      </c>
      <c r="AH990" s="40">
        <f>IFERROR(VLOOKUP(Tabela3[[#This Row],[Produto]],Tabela2[],7,0),0)</f>
        <v>0</v>
      </c>
      <c r="AI990" s="40">
        <f>IFERROR(VLOOKUP(Tabela3[[#This Row],[Produto]],Tabela2[],8,0),0)</f>
        <v>0</v>
      </c>
      <c r="AJ990" s="35">
        <f ca="1">IFERROR(VLOOKUP(Tabela3[[#This Row],[Produto]],Tabela2[],13,0),0)</f>
        <v>17.600000000000001</v>
      </c>
      <c r="AK990" s="48" t="str">
        <f>IFERROR(VLOOKUP(Tabela3[[#This Row],[Produto]],Tabela2[],14,0),0)</f>
        <v>Danilo</v>
      </c>
      <c r="AL990" s="40">
        <f>IFERROR(VLOOKUP(Tabela3[[#This Row],[Produto]],Tabela2[],15,0),0)</f>
        <v>0</v>
      </c>
      <c r="AM990" s="36">
        <f ca="1">(Tabela3[[#This Row],[Custo Usinagem]]+Tabela3[[#This Row],[Custo / Pç]])*1.2</f>
        <v>28.114911350338911</v>
      </c>
      <c r="AN990" s="36">
        <f ca="1">Tabela3[[#This Row],[Valor Mínimo Venda]]*1.15</f>
        <v>32.332148052889742</v>
      </c>
      <c r="AO990" s="36">
        <f ca="1">Tabela3[[#This Row],[Tabela 1]]*1.08</f>
        <v>34.918719897120923</v>
      </c>
      <c r="AP990" s="36">
        <f ca="1">Tabela3[[#This Row],[Tabela 2]]*1.15</f>
        <v>40.156527881689058</v>
      </c>
    </row>
    <row r="991" spans="1:42">
      <c r="A991" s="9">
        <v>46083</v>
      </c>
      <c r="B991" s="9" t="s">
        <v>91</v>
      </c>
      <c r="C991" s="14">
        <v>9101</v>
      </c>
      <c r="D991" s="6" t="s">
        <v>46</v>
      </c>
      <c r="E991" s="6" t="s">
        <v>44</v>
      </c>
      <c r="F991" s="6">
        <v>15</v>
      </c>
      <c r="G991" s="15">
        <v>8.8888888888888892E-2</v>
      </c>
      <c r="H991" s="16">
        <v>2</v>
      </c>
      <c r="I991" s="35">
        <f ca="1">IFERROR(Tabela3[[#This Row],[Custo Total]]/Tabela3[[#This Row],[Aluminio Util]],0)</f>
        <v>41.765703051793636</v>
      </c>
      <c r="J991" s="35">
        <f ca="1">Tabela3[[#This Row],[Custo Total]]/Tabela3[[#This Row],[Realizado]]</f>
        <v>32.744311192606212</v>
      </c>
      <c r="K991" s="37">
        <f>IFERROR(Tabela3[[#This Row],[Qtde Cx Produzida]]/Tabela3[[#This Row],[Tempo]]/24,0)</f>
        <v>7.03125</v>
      </c>
      <c r="L991" s="37">
        <f>Tabela3[[#This Row],[Qtde Cx Produzida]]*Tabela3[[#This Row],[Qdt Peça Placa]]</f>
        <v>60</v>
      </c>
      <c r="M991" s="37">
        <f>Tabela3[[#This Row],[Previsto]]-Tabela3[[#This Row],[Perda Pçs]]</f>
        <v>58</v>
      </c>
      <c r="N991" s="38">
        <f>IFERROR(Tabela3[[#This Row],[Perda Pçs]]/Tabela3[[#This Row],[Previsto]],0)</f>
        <v>3.3333333333333333E-2</v>
      </c>
      <c r="O991" s="39">
        <f>IFERROR(IF(Tabela3[[#This Row],[Qtde Cx Produzida]] &lt;&gt; 0, Tabela3[[#This Row],[Tempo]] / Tabela3[[#This Row],[Qtde Cx Produzida]], 0),0)</f>
        <v>5.9259259259259265E-3</v>
      </c>
      <c r="P991" s="57">
        <f>IFERROR(Tabela3[[#This Row],[Perda Pçs]]/Tabela3[[#This Row],[Qdt Peça Placa]],0)</f>
        <v>0.5</v>
      </c>
      <c r="Q991" s="37">
        <f>IFERROR(Tabela3[[#This Row],[Realizado]]*Tabela3[[#This Row],[Peso Util/Pç]],0)</f>
        <v>45.472000000000001</v>
      </c>
      <c r="R991" s="37">
        <f>IFERROR(Tabela3[[#This Row],[Peso Total Galho]]*Tabela3[[#This Row],[Qtde Cx Produzida]]*1.055,0)</f>
        <v>87.7971</v>
      </c>
      <c r="S991" s="37">
        <f>(Tabela3[[#This Row],[Aluminio Bruto]]-Tabela3[[#This Row],[Aluminio Util]])*0.9</f>
        <v>38.092590000000001</v>
      </c>
      <c r="T991" s="37">
        <f>Tabela3[[#This Row],[Aluminio Bruto]]/OleoKGAluminio</f>
        <v>36.936126449440337</v>
      </c>
      <c r="U991" s="35">
        <f>IFERROR((VLOOKUP(Tabela3[[#This Row],[Moldador]],Tabela1[],5,)+(VLOOKUP(Tabela3[[#This Row],[Ajudante]],Tabela1[],5,))*3.5),0)</f>
        <v>126.0945</v>
      </c>
      <c r="V991" s="35">
        <f>IFERROR(Tabela3[[#This Row],[Custo M.O. / H]]/((Tabela3[[#This Row],[Realizado]]/Tabela3[[#This Row],[Qdt Peça Placa]])/Tabela3[[#This Row],[Tempo]]/24),)</f>
        <v>18.551834482758622</v>
      </c>
      <c r="W991" s="35">
        <f>Tabela3[[#This Row],[Custo / Cx Moldada]]*Tabela3[[#This Row],[Qtde Cx Produzida]]</f>
        <v>278.27751724137931</v>
      </c>
      <c r="X991" s="35">
        <f ca="1">Tabela3[[#This Row],[Aluminio Util]]*Tabela3[[#This Row],[Custo/Kg]]</f>
        <v>709.36320000000012</v>
      </c>
      <c r="Y991" s="35">
        <f>IFERROR(VLOOKUP(Tabela3[[#This Row],[Data]],Tabela461213[],2,1)*(Tabela3[[#This Row],[Qtde Cx Produzida]]*Tabela3[[#This Row],[Qde macho / CX]]*Tabela3[[#This Row],[Peso Macho]]),)</f>
        <v>814.57199999999989</v>
      </c>
      <c r="Z991" s="35">
        <f>IFERROR(Tabela3[[#This Row],[Qtde Oleo]]*(VLOOKUP(Tabela3[[#This Row],[Data]],CompraOleo[],3,TRUE))*1.05,0)</f>
        <v>96.957331929780892</v>
      </c>
      <c r="AA991" s="47">
        <f ca="1">(Tabela3[[#This Row],[Custo Oleo]]+Tabela3[[#This Row],[Custo Aluminio]]+Tabela3[[#This Row],[Custo M.O. Total]]+Tabela3[[#This Row],[Custo Machos]])</f>
        <v>1899.1700491711601</v>
      </c>
      <c r="AB991" s="47">
        <f ca="1">Tabela3[[#This Row],[Custo Total]]*Tabela3[[#This Row],[% Perda]]</f>
        <v>63.305668305705339</v>
      </c>
      <c r="AC991" s="40">
        <f>IFERROR(VLOOKUP(Tabela3[[#This Row],[Produto]],Tabela2[],2,0),0)</f>
        <v>4</v>
      </c>
      <c r="AD991" s="48">
        <f>IFERROR(VLOOKUP(Tabela3[[#This Row],[Produto]],Tabela2[],3,0),0)</f>
        <v>0.78400000000000003</v>
      </c>
      <c r="AE991" s="48">
        <f>IFERROR(VLOOKUP(Tabela3[[#This Row],[Produto]],Tabela2[],4,0),0)</f>
        <v>5.548</v>
      </c>
      <c r="AF991" s="48">
        <f>IFERROR(VLOOKUP(Tabela3[[#This Row],[Produto]],Tabela2[],5,0),0)</f>
        <v>2.1707999999999998</v>
      </c>
      <c r="AG991" s="48">
        <f>IFERROR(VLOOKUP(Tabela3[[#This Row],[Produto]],Tabela2[],6,0),0)</f>
        <v>0</v>
      </c>
      <c r="AH991" s="40">
        <f>IFERROR(VLOOKUP(Tabela3[[#This Row],[Produto]],Tabela2[],7,0),0)</f>
        <v>12</v>
      </c>
      <c r="AI991" s="40">
        <f>IFERROR(VLOOKUP(Tabela3[[#This Row],[Produto]],Tabela2[],8,0),0)</f>
        <v>2.6619999999999999</v>
      </c>
      <c r="AJ991" s="35">
        <f ca="1">IFERROR(VLOOKUP(Tabela3[[#This Row],[Produto]],Tabela2[],13,0),0)</f>
        <v>15.600000000000001</v>
      </c>
      <c r="AK991" s="48" t="str">
        <f>IFERROR(VLOOKUP(Tabela3[[#This Row],[Produto]],Tabela2[],14,0),0)</f>
        <v>Jumil</v>
      </c>
      <c r="AL991" s="40">
        <f>IFERROR(VLOOKUP(Tabela3[[#This Row],[Produto]],Tabela2[],15,0),0)</f>
        <v>8</v>
      </c>
      <c r="AM991" s="36">
        <f ca="1">(Tabela3[[#This Row],[Custo Usinagem]]+Tabela3[[#This Row],[Custo / Pç]])*1.2</f>
        <v>48.893173431127451</v>
      </c>
      <c r="AN991" s="36">
        <f ca="1">Tabela3[[#This Row],[Valor Mínimo Venda]]*1.15</f>
        <v>56.227149445796563</v>
      </c>
      <c r="AO991" s="36">
        <f ca="1">Tabela3[[#This Row],[Tabela 1]]*1.08</f>
        <v>60.725321401460292</v>
      </c>
      <c r="AP991" s="36">
        <f ca="1">Tabela3[[#This Row],[Tabela 2]]*1.15</f>
        <v>69.834119611679327</v>
      </c>
    </row>
    <row r="992" spans="1:42">
      <c r="A992" s="9">
        <v>46083</v>
      </c>
      <c r="B992" s="9" t="s">
        <v>232</v>
      </c>
      <c r="C992" s="14">
        <v>8748</v>
      </c>
      <c r="D992" s="6" t="s">
        <v>46</v>
      </c>
      <c r="E992" s="6" t="s">
        <v>44</v>
      </c>
      <c r="F992" s="6">
        <v>19</v>
      </c>
      <c r="G992" s="15">
        <v>9.8611111111111108E-2</v>
      </c>
      <c r="H992" s="16">
        <v>0</v>
      </c>
      <c r="I992" s="35">
        <f ca="1">IFERROR(Tabela3[[#This Row],[Custo Total]]/Tabela3[[#This Row],[Aluminio Util]],0)</f>
        <v>29.151888952487319</v>
      </c>
      <c r="J992" s="35">
        <f ca="1">Tabela3[[#This Row],[Custo Total]]/Tabela3[[#This Row],[Realizado]]</f>
        <v>12.272945248997161</v>
      </c>
      <c r="K992" s="37">
        <f>IFERROR(Tabela3[[#This Row],[Qtde Cx Produzida]]/Tabela3[[#This Row],[Tempo]]/24,0)</f>
        <v>8.0281690140845079</v>
      </c>
      <c r="L992" s="37">
        <f>Tabela3[[#This Row],[Qtde Cx Produzida]]*Tabela3[[#This Row],[Qdt Peça Placa]]</f>
        <v>76</v>
      </c>
      <c r="M992" s="37">
        <f>Tabela3[[#This Row],[Previsto]]-Tabela3[[#This Row],[Perda Pçs]]</f>
        <v>76</v>
      </c>
      <c r="N992" s="38">
        <f>IFERROR(Tabela3[[#This Row],[Perda Pçs]]/Tabela3[[#This Row],[Previsto]],0)</f>
        <v>0</v>
      </c>
      <c r="O992" s="39">
        <f>IFERROR(IF(Tabela3[[#This Row],[Qtde Cx Produzida]] &lt;&gt; 0, Tabela3[[#This Row],[Tempo]] / Tabela3[[#This Row],[Qtde Cx Produzida]], 0),0)</f>
        <v>5.190058479532164E-3</v>
      </c>
      <c r="P992" s="57">
        <f>IFERROR(Tabela3[[#This Row],[Perda Pçs]]/Tabela3[[#This Row],[Qdt Peça Placa]],0)</f>
        <v>0</v>
      </c>
      <c r="Q992" s="37">
        <f>IFERROR(Tabela3[[#This Row],[Realizado]]*Tabela3[[#This Row],[Peso Util/Pç]],0)</f>
        <v>31.995999999999999</v>
      </c>
      <c r="R992" s="37">
        <f>IFERROR(Tabela3[[#This Row],[Peso Total Galho]]*Tabela3[[#This Row],[Qtde Cx Produzida]]*1.055,0)</f>
        <v>64.46472</v>
      </c>
      <c r="S992" s="37">
        <f>(Tabela3[[#This Row],[Aluminio Bruto]]-Tabela3[[#This Row],[Aluminio Util]])*0.9</f>
        <v>29.221848000000005</v>
      </c>
      <c r="T992" s="37">
        <f>Tabela3[[#This Row],[Aluminio Bruto]]/OleoKGAluminio</f>
        <v>27.120224351917837</v>
      </c>
      <c r="U992" s="35">
        <f>IFERROR((VLOOKUP(Tabela3[[#This Row],[Moldador]],Tabela1[],5,)+(VLOOKUP(Tabela3[[#This Row],[Ajudante]],Tabela1[],5,))*3.5),0)</f>
        <v>126.0945</v>
      </c>
      <c r="V992" s="35">
        <f>IFERROR(Tabela3[[#This Row],[Custo M.O. / H]]/((Tabela3[[#This Row],[Realizado]]/Tabela3[[#This Row],[Qdt Peça Placa]])/Tabela3[[#This Row],[Tempo]]/24),)</f>
        <v>15.70650789473684</v>
      </c>
      <c r="W992" s="35">
        <f>Tabela3[[#This Row],[Custo / Cx Moldada]]*Tabela3[[#This Row],[Qtde Cx Produzida]]</f>
        <v>298.42364999999995</v>
      </c>
      <c r="X992" s="35">
        <f ca="1">Tabela3[[#This Row],[Aluminio Util]]*Tabela3[[#This Row],[Custo/Kg]]</f>
        <v>563.12959999999998</v>
      </c>
      <c r="Y992" s="35">
        <f>IFERROR(VLOOKUP(Tabela3[[#This Row],[Data]],Tabela461213[],2,1)*(Tabela3[[#This Row],[Qtde Cx Produzida]]*Tabela3[[#This Row],[Qde macho / CX]]*Tabela3[[#This Row],[Peso Macho]]),)</f>
        <v>0</v>
      </c>
      <c r="Z992" s="35">
        <f>IFERROR(Tabela3[[#This Row],[Qtde Oleo]]*(VLOOKUP(Tabela3[[#This Row],[Data]],CompraOleo[],3,TRUE))*1.05,0)</f>
        <v>71.190588923784318</v>
      </c>
      <c r="AA992" s="47">
        <f ca="1">(Tabela3[[#This Row],[Custo Oleo]]+Tabela3[[#This Row],[Custo Aluminio]]+Tabela3[[#This Row],[Custo M.O. Total]]+Tabela3[[#This Row],[Custo Machos]])</f>
        <v>932.74383892378421</v>
      </c>
      <c r="AB992" s="47">
        <f ca="1">Tabela3[[#This Row],[Custo Total]]*Tabela3[[#This Row],[% Perda]]</f>
        <v>0</v>
      </c>
      <c r="AC992" s="40">
        <f>IFERROR(VLOOKUP(Tabela3[[#This Row],[Produto]],Tabela2[],2,0),0)</f>
        <v>4</v>
      </c>
      <c r="AD992" s="48">
        <f>IFERROR(VLOOKUP(Tabela3[[#This Row],[Produto]],Tabela2[],3,0),0)</f>
        <v>0.42099999999999999</v>
      </c>
      <c r="AE992" s="48">
        <f>IFERROR(VLOOKUP(Tabela3[[#This Row],[Produto]],Tabela2[],4,0),0)</f>
        <v>3.2160000000000002</v>
      </c>
      <c r="AF992" s="48">
        <f>IFERROR(VLOOKUP(Tabela3[[#This Row],[Produto]],Tabela2[],5,0),0)</f>
        <v>1.3788000000000002</v>
      </c>
      <c r="AG992" s="48">
        <f>IFERROR(VLOOKUP(Tabela3[[#This Row],[Produto]],Tabela2[],6,0),0)</f>
        <v>0</v>
      </c>
      <c r="AH992" s="40">
        <f>IFERROR(VLOOKUP(Tabela3[[#This Row],[Produto]],Tabela2[],7,0),0)</f>
        <v>0</v>
      </c>
      <c r="AI992" s="40">
        <f>IFERROR(VLOOKUP(Tabela3[[#This Row],[Produto]],Tabela2[],8,0),0)</f>
        <v>0</v>
      </c>
      <c r="AJ992" s="35">
        <f ca="1">IFERROR(VLOOKUP(Tabela3[[#This Row],[Produto]],Tabela2[],13,0),0)</f>
        <v>17.600000000000001</v>
      </c>
      <c r="AK992" s="48" t="str">
        <f>IFERROR(VLOOKUP(Tabela3[[#This Row],[Produto]],Tabela2[],14,0),0)</f>
        <v>Busa</v>
      </c>
      <c r="AL992" s="40">
        <f>IFERROR(VLOOKUP(Tabela3[[#This Row],[Produto]],Tabela2[],15,0),0)</f>
        <v>0.5</v>
      </c>
      <c r="AM992" s="36">
        <f ca="1">(Tabela3[[#This Row],[Custo Usinagem]]+Tabela3[[#This Row],[Custo / Pç]])*1.2</f>
        <v>15.327534298796593</v>
      </c>
      <c r="AN992" s="36">
        <f ca="1">Tabela3[[#This Row],[Valor Mínimo Venda]]*1.15</f>
        <v>17.626664443616079</v>
      </c>
      <c r="AO992" s="36">
        <f ca="1">Tabela3[[#This Row],[Tabela 1]]*1.08</f>
        <v>19.036797599105366</v>
      </c>
      <c r="AP992" s="36">
        <f ca="1">Tabela3[[#This Row],[Tabela 2]]*1.15</f>
        <v>21.89231723897117</v>
      </c>
    </row>
    <row r="993" spans="1:42">
      <c r="A993" s="9">
        <v>46083</v>
      </c>
      <c r="B993" s="9" t="s">
        <v>96</v>
      </c>
      <c r="C993" s="14">
        <v>9119</v>
      </c>
      <c r="D993" s="6" t="s">
        <v>46</v>
      </c>
      <c r="E993" s="6" t="s">
        <v>44</v>
      </c>
      <c r="F993" s="6">
        <v>6</v>
      </c>
      <c r="G993" s="15">
        <v>2.7777777777777776E-2</v>
      </c>
      <c r="H993" s="16">
        <v>0</v>
      </c>
      <c r="I993" s="35">
        <f ca="1">IFERROR(Tabela3[[#This Row],[Custo Total]]/Tabela3[[#This Row],[Aluminio Util]],0)</f>
        <v>31.026968357575043</v>
      </c>
      <c r="J993" s="35">
        <f ca="1">Tabela3[[#This Row],[Custo Total]]/Tabela3[[#This Row],[Realizado]]</f>
        <v>27.427840028096341</v>
      </c>
      <c r="K993" s="37">
        <f>IFERROR(Tabela3[[#This Row],[Qtde Cx Produzida]]/Tabela3[[#This Row],[Tempo]]/24,0)</f>
        <v>9</v>
      </c>
      <c r="L993" s="37">
        <f>Tabela3[[#This Row],[Qtde Cx Produzida]]*Tabela3[[#This Row],[Qdt Peça Placa]]</f>
        <v>18</v>
      </c>
      <c r="M993" s="37">
        <f>Tabela3[[#This Row],[Previsto]]-Tabela3[[#This Row],[Perda Pçs]]</f>
        <v>18</v>
      </c>
      <c r="N993" s="38">
        <f>IFERROR(Tabela3[[#This Row],[Perda Pçs]]/Tabela3[[#This Row],[Previsto]],0)</f>
        <v>0</v>
      </c>
      <c r="O993" s="39">
        <f>IFERROR(IF(Tabela3[[#This Row],[Qtde Cx Produzida]] &lt;&gt; 0, Tabela3[[#This Row],[Tempo]] / Tabela3[[#This Row],[Qtde Cx Produzida]], 0),0)</f>
        <v>4.6296296296296294E-3</v>
      </c>
      <c r="P993" s="57">
        <f>IFERROR(Tabela3[[#This Row],[Perda Pçs]]/Tabela3[[#This Row],[Qdt Peça Placa]],0)</f>
        <v>0</v>
      </c>
      <c r="Q993" s="37">
        <f>IFERROR(Tabela3[[#This Row],[Realizado]]*Tabela3[[#This Row],[Peso Util/Pç]],0)</f>
        <v>15.912000000000001</v>
      </c>
      <c r="R993" s="37">
        <f>IFERROR(Tabela3[[#This Row],[Peso Total Galho]]*Tabela3[[#This Row],[Qtde Cx Produzida]]*1.055,0)</f>
        <v>29.70036</v>
      </c>
      <c r="S993" s="37">
        <f>(Tabela3[[#This Row],[Aluminio Bruto]]-Tabela3[[#This Row],[Aluminio Util]])*0.9</f>
        <v>12.409523999999999</v>
      </c>
      <c r="T993" s="37">
        <f>Tabela3[[#This Row],[Aluminio Bruto]]/OleoKGAluminio</f>
        <v>12.494903049803465</v>
      </c>
      <c r="U993" s="35">
        <f>IFERROR((VLOOKUP(Tabela3[[#This Row],[Moldador]],Tabela1[],5,)+(VLOOKUP(Tabela3[[#This Row],[Ajudante]],Tabela1[],5,))*3.5),0)</f>
        <v>126.0945</v>
      </c>
      <c r="V993" s="35">
        <f>IFERROR(Tabela3[[#This Row],[Custo M.O. / H]]/((Tabela3[[#This Row],[Realizado]]/Tabela3[[#This Row],[Qdt Peça Placa]])/Tabela3[[#This Row],[Tempo]]/24),)</f>
        <v>14.0105</v>
      </c>
      <c r="W993" s="35">
        <f>Tabela3[[#This Row],[Custo / Cx Moldada]]*Tabela3[[#This Row],[Qtde Cx Produzida]]</f>
        <v>84.063000000000002</v>
      </c>
      <c r="X993" s="35">
        <f ca="1">Tabela3[[#This Row],[Aluminio Util]]*Tabela3[[#This Row],[Custo/Kg]]</f>
        <v>248.22720000000004</v>
      </c>
      <c r="Y993" s="35">
        <f>IFERROR(VLOOKUP(Tabela3[[#This Row],[Data]],Tabela461213[],2,1)*(Tabela3[[#This Row],[Qtde Cx Produzida]]*Tabela3[[#This Row],[Qde macho / CX]]*Tabela3[[#This Row],[Peso Macho]]),)</f>
        <v>128.61179999999999</v>
      </c>
      <c r="Z993" s="35">
        <f>IFERROR(Tabela3[[#This Row],[Qtde Oleo]]*(VLOOKUP(Tabela3[[#This Row],[Data]],CompraOleo[],3,TRUE))*1.05,0)</f>
        <v>32.799120505734102</v>
      </c>
      <c r="AA993" s="47">
        <f ca="1">(Tabela3[[#This Row],[Custo Oleo]]+Tabela3[[#This Row],[Custo Aluminio]]+Tabela3[[#This Row],[Custo M.O. Total]]+Tabela3[[#This Row],[Custo Machos]])</f>
        <v>493.70112050573414</v>
      </c>
      <c r="AB993" s="47">
        <f ca="1">Tabela3[[#This Row],[Custo Total]]*Tabela3[[#This Row],[% Perda]]</f>
        <v>0</v>
      </c>
      <c r="AC993" s="40">
        <f>IFERROR(VLOOKUP(Tabela3[[#This Row],[Produto]],Tabela2[],2,0),0)</f>
        <v>3</v>
      </c>
      <c r="AD993" s="48">
        <f>IFERROR(VLOOKUP(Tabela3[[#This Row],[Produto]],Tabela2[],3,0),0)</f>
        <v>0.88400000000000001</v>
      </c>
      <c r="AE993" s="48">
        <f>IFERROR(VLOOKUP(Tabela3[[#This Row],[Produto]],Tabela2[],4,0),0)</f>
        <v>4.6920000000000002</v>
      </c>
      <c r="AF993" s="48">
        <f>IFERROR(VLOOKUP(Tabela3[[#This Row],[Produto]],Tabela2[],5,0),0)</f>
        <v>1.8360000000000001</v>
      </c>
      <c r="AG993" s="48">
        <f>IFERROR(VLOOKUP(Tabela3[[#This Row],[Produto]],Tabela2[],6,0),0)</f>
        <v>0</v>
      </c>
      <c r="AH993" s="40">
        <f>IFERROR(VLOOKUP(Tabela3[[#This Row],[Produto]],Tabela2[],7,0),0)</f>
        <v>9</v>
      </c>
      <c r="AI993" s="40">
        <f>IFERROR(VLOOKUP(Tabela3[[#This Row],[Produto]],Tabela2[],8,0),0)</f>
        <v>1.401</v>
      </c>
      <c r="AJ993" s="35">
        <f ca="1">IFERROR(VLOOKUP(Tabela3[[#This Row],[Produto]],Tabela2[],13,0),0)</f>
        <v>15.600000000000001</v>
      </c>
      <c r="AK993" s="48" t="str">
        <f>IFERROR(VLOOKUP(Tabela3[[#This Row],[Produto]],Tabela2[],14,0),0)</f>
        <v>Jumil</v>
      </c>
      <c r="AL993" s="40">
        <f>IFERROR(VLOOKUP(Tabela3[[#This Row],[Produto]],Tabela2[],15,0),0)</f>
        <v>10</v>
      </c>
      <c r="AM993" s="36">
        <f ca="1">(Tabela3[[#This Row],[Custo Usinagem]]+Tabela3[[#This Row],[Custo / Pç]])*1.2</f>
        <v>44.913408033715605</v>
      </c>
      <c r="AN993" s="36">
        <f ca="1">Tabela3[[#This Row],[Valor Mínimo Venda]]*1.15</f>
        <v>51.65041923877294</v>
      </c>
      <c r="AO993" s="36">
        <f ca="1">Tabela3[[#This Row],[Tabela 1]]*1.08</f>
        <v>55.782452777874781</v>
      </c>
      <c r="AP993" s="36">
        <f ca="1">Tabela3[[#This Row],[Tabela 2]]*1.15</f>
        <v>64.149820694555999</v>
      </c>
    </row>
    <row r="994" spans="1:42">
      <c r="A994" s="9">
        <v>46084</v>
      </c>
      <c r="B994" s="9" t="s">
        <v>96</v>
      </c>
      <c r="C994" s="14">
        <v>9119</v>
      </c>
      <c r="D994" s="6" t="s">
        <v>46</v>
      </c>
      <c r="E994" s="6" t="s">
        <v>44</v>
      </c>
      <c r="F994" s="6">
        <v>4</v>
      </c>
      <c r="G994" s="15">
        <v>1.7361111111111112E-2</v>
      </c>
      <c r="H994" s="16">
        <v>0</v>
      </c>
      <c r="I994" s="35">
        <f ca="1">IFERROR(Tabela3[[#This Row],[Custo Total]]/Tabela3[[#This Row],[Aluminio Util]],0)</f>
        <v>30.696781234648956</v>
      </c>
      <c r="J994" s="35">
        <f ca="1">Tabela3[[#This Row],[Custo Total]]/Tabela3[[#This Row],[Realizado]]</f>
        <v>27.135954611429678</v>
      </c>
      <c r="K994" s="37">
        <f>IFERROR(Tabela3[[#This Row],[Qtde Cx Produzida]]/Tabela3[[#This Row],[Tempo]]/24,0)</f>
        <v>9.6</v>
      </c>
      <c r="L994" s="37">
        <f>Tabela3[[#This Row],[Qtde Cx Produzida]]*Tabela3[[#This Row],[Qdt Peça Placa]]</f>
        <v>12</v>
      </c>
      <c r="M994" s="37">
        <f>Tabela3[[#This Row],[Previsto]]-Tabela3[[#This Row],[Perda Pçs]]</f>
        <v>12</v>
      </c>
      <c r="N994" s="38">
        <f>IFERROR(Tabela3[[#This Row],[Perda Pçs]]/Tabela3[[#This Row],[Previsto]],0)</f>
        <v>0</v>
      </c>
      <c r="O994" s="39">
        <f>IFERROR(IF(Tabela3[[#This Row],[Qtde Cx Produzida]] &lt;&gt; 0, Tabela3[[#This Row],[Tempo]] / Tabela3[[#This Row],[Qtde Cx Produzida]], 0),0)</f>
        <v>4.340277777777778E-3</v>
      </c>
      <c r="P994" s="57">
        <f>IFERROR(Tabela3[[#This Row],[Perda Pçs]]/Tabela3[[#This Row],[Qdt Peça Placa]],0)</f>
        <v>0</v>
      </c>
      <c r="Q994" s="37">
        <f>IFERROR(Tabela3[[#This Row],[Realizado]]*Tabela3[[#This Row],[Peso Util/Pç]],0)</f>
        <v>10.608000000000001</v>
      </c>
      <c r="R994" s="37">
        <f>IFERROR(Tabela3[[#This Row],[Peso Total Galho]]*Tabela3[[#This Row],[Qtde Cx Produzida]]*1.055,0)</f>
        <v>19.800239999999999</v>
      </c>
      <c r="S994" s="37">
        <f>(Tabela3[[#This Row],[Aluminio Bruto]]-Tabela3[[#This Row],[Aluminio Util]])*0.9</f>
        <v>8.2730159999999984</v>
      </c>
      <c r="T994" s="37">
        <f>Tabela3[[#This Row],[Aluminio Bruto]]/OleoKGAluminio</f>
        <v>8.3299353665356435</v>
      </c>
      <c r="U994" s="35">
        <f>IFERROR((VLOOKUP(Tabela3[[#This Row],[Moldador]],Tabela1[],5,)+(VLOOKUP(Tabela3[[#This Row],[Ajudante]],Tabela1[],5,))*3.5),0)</f>
        <v>126.0945</v>
      </c>
      <c r="V994" s="35">
        <f>IFERROR(Tabela3[[#This Row],[Custo M.O. / H]]/((Tabela3[[#This Row],[Realizado]]/Tabela3[[#This Row],[Qdt Peça Placa]])/Tabela3[[#This Row],[Tempo]]/24),)</f>
        <v>13.13484375</v>
      </c>
      <c r="W994" s="35">
        <f>Tabela3[[#This Row],[Custo / Cx Moldada]]*Tabela3[[#This Row],[Qtde Cx Produzida]]</f>
        <v>52.539375</v>
      </c>
      <c r="X994" s="35">
        <f ca="1">Tabela3[[#This Row],[Aluminio Util]]*Tabela3[[#This Row],[Custo/Kg]]</f>
        <v>165.48480000000004</v>
      </c>
      <c r="Y994" s="35">
        <f>IFERROR(VLOOKUP(Tabela3[[#This Row],[Data]],Tabela461213[],2,1)*(Tabela3[[#This Row],[Qtde Cx Produzida]]*Tabela3[[#This Row],[Qde macho / CX]]*Tabela3[[#This Row],[Peso Macho]]),)</f>
        <v>85.741199999999992</v>
      </c>
      <c r="Z994" s="35">
        <f>IFERROR(Tabela3[[#This Row],[Qtde Oleo]]*(VLOOKUP(Tabela3[[#This Row],[Data]],CompraOleo[],3,TRUE))*1.05,0)</f>
        <v>21.866080337156067</v>
      </c>
      <c r="AA994" s="47">
        <f ca="1">(Tabela3[[#This Row],[Custo Oleo]]+Tabela3[[#This Row],[Custo Aluminio]]+Tabela3[[#This Row],[Custo M.O. Total]]+Tabela3[[#This Row],[Custo Machos]])</f>
        <v>325.63145533715613</v>
      </c>
      <c r="AB994" s="47">
        <f ca="1">Tabela3[[#This Row],[Custo Total]]*Tabela3[[#This Row],[% Perda]]</f>
        <v>0</v>
      </c>
      <c r="AC994" s="40">
        <f>IFERROR(VLOOKUP(Tabela3[[#This Row],[Produto]],Tabela2[],2,0),0)</f>
        <v>3</v>
      </c>
      <c r="AD994" s="48">
        <f>IFERROR(VLOOKUP(Tabela3[[#This Row],[Produto]],Tabela2[],3,0),0)</f>
        <v>0.88400000000000001</v>
      </c>
      <c r="AE994" s="48">
        <f>IFERROR(VLOOKUP(Tabela3[[#This Row],[Produto]],Tabela2[],4,0),0)</f>
        <v>4.6920000000000002</v>
      </c>
      <c r="AF994" s="48">
        <f>IFERROR(VLOOKUP(Tabela3[[#This Row],[Produto]],Tabela2[],5,0),0)</f>
        <v>1.8360000000000001</v>
      </c>
      <c r="AG994" s="48">
        <f>IFERROR(VLOOKUP(Tabela3[[#This Row],[Produto]],Tabela2[],6,0),0)</f>
        <v>0</v>
      </c>
      <c r="AH994" s="40">
        <f>IFERROR(VLOOKUP(Tabela3[[#This Row],[Produto]],Tabela2[],7,0),0)</f>
        <v>9</v>
      </c>
      <c r="AI994" s="40">
        <f>IFERROR(VLOOKUP(Tabela3[[#This Row],[Produto]],Tabela2[],8,0),0)</f>
        <v>1.401</v>
      </c>
      <c r="AJ994" s="35">
        <f ca="1">IFERROR(VLOOKUP(Tabela3[[#This Row],[Produto]],Tabela2[],13,0),0)</f>
        <v>15.600000000000001</v>
      </c>
      <c r="AK994" s="48" t="str">
        <f>IFERROR(VLOOKUP(Tabela3[[#This Row],[Produto]],Tabela2[],14,0),0)</f>
        <v>Jumil</v>
      </c>
      <c r="AL994" s="40">
        <f>IFERROR(VLOOKUP(Tabela3[[#This Row],[Produto]],Tabela2[],15,0),0)</f>
        <v>10</v>
      </c>
      <c r="AM994" s="36">
        <f ca="1">(Tabela3[[#This Row],[Custo Usinagem]]+Tabela3[[#This Row],[Custo / Pç]])*1.2</f>
        <v>44.56314553371562</v>
      </c>
      <c r="AN994" s="36">
        <f ca="1">Tabela3[[#This Row],[Valor Mínimo Venda]]*1.15</f>
        <v>51.24761736377296</v>
      </c>
      <c r="AO994" s="36">
        <f ca="1">Tabela3[[#This Row],[Tabela 1]]*1.08</f>
        <v>55.347426752874803</v>
      </c>
      <c r="AP994" s="36">
        <f ca="1">Tabela3[[#This Row],[Tabela 2]]*1.15</f>
        <v>63.649540765806016</v>
      </c>
    </row>
    <row r="995" spans="1:42">
      <c r="A995" s="9">
        <v>46084</v>
      </c>
      <c r="B995" s="9" t="s">
        <v>245</v>
      </c>
      <c r="C995" s="14">
        <v>9108</v>
      </c>
      <c r="D995" s="6" t="s">
        <v>46</v>
      </c>
      <c r="E995" s="6" t="s">
        <v>44</v>
      </c>
      <c r="F995" s="6">
        <v>100</v>
      </c>
      <c r="G995" s="15">
        <v>0.42430555555555555</v>
      </c>
      <c r="H995" s="16">
        <v>38</v>
      </c>
      <c r="I995" s="35">
        <f ca="1">IFERROR(Tabela3[[#This Row],[Custo Total]]/Tabela3[[#This Row],[Aluminio Util]],0)</f>
        <v>29.635313091497505</v>
      </c>
      <c r="J995" s="35">
        <f ca="1">Tabela3[[#This Row],[Custo Total]]/Tabela3[[#This Row],[Realizado]]</f>
        <v>9.8389239463771734</v>
      </c>
      <c r="K995" s="37">
        <f>IFERROR(Tabela3[[#This Row],[Qtde Cx Produzida]]/Tabela3[[#This Row],[Tempo]]/24,0)</f>
        <v>9.8199672667757785</v>
      </c>
      <c r="L995" s="37">
        <f>Tabela3[[#This Row],[Qtde Cx Produzida]]*Tabela3[[#This Row],[Qdt Peça Placa]]</f>
        <v>400</v>
      </c>
      <c r="M995" s="37">
        <f>Tabela3[[#This Row],[Previsto]]-Tabela3[[#This Row],[Perda Pçs]]</f>
        <v>362</v>
      </c>
      <c r="N995" s="38">
        <f>IFERROR(Tabela3[[#This Row],[Perda Pçs]]/Tabela3[[#This Row],[Previsto]],0)</f>
        <v>9.5000000000000001E-2</v>
      </c>
      <c r="O995" s="39">
        <f>IFERROR(IF(Tabela3[[#This Row],[Qtde Cx Produzida]] &lt;&gt; 0, Tabela3[[#This Row],[Tempo]] / Tabela3[[#This Row],[Qtde Cx Produzida]], 0),0)</f>
        <v>4.2430555555555555E-3</v>
      </c>
      <c r="P995" s="57">
        <f>IFERROR(Tabela3[[#This Row],[Perda Pçs]]/Tabela3[[#This Row],[Qdt Peça Placa]],0)</f>
        <v>9.5</v>
      </c>
      <c r="Q995" s="37">
        <f>IFERROR(Tabela3[[#This Row],[Realizado]]*Tabela3[[#This Row],[Peso Util/Pç]],0)</f>
        <v>120.18400000000001</v>
      </c>
      <c r="R995" s="37">
        <f>IFERROR(Tabela3[[#This Row],[Peso Total Galho]]*Tabela3[[#This Row],[Qtde Cx Produzida]]*1.055,0)</f>
        <v>242.64999999999995</v>
      </c>
      <c r="S995" s="37">
        <f>(Tabela3[[#This Row],[Aluminio Bruto]]-Tabela3[[#This Row],[Aluminio Util]])*0.9</f>
        <v>110.21939999999995</v>
      </c>
      <c r="T995" s="37">
        <f>Tabela3[[#This Row],[Aluminio Bruto]]/OleoKGAluminio</f>
        <v>102.08254125656424</v>
      </c>
      <c r="U995" s="35">
        <f>IFERROR((VLOOKUP(Tabela3[[#This Row],[Moldador]],Tabela1[],5,)+(VLOOKUP(Tabela3[[#This Row],[Ajudante]],Tabela1[],5,))*3.5),0)</f>
        <v>126.0945</v>
      </c>
      <c r="V995" s="35">
        <f>IFERROR(Tabela3[[#This Row],[Custo M.O. / H]]/((Tabela3[[#This Row],[Realizado]]/Tabela3[[#This Row],[Qdt Peça Placa]])/Tabela3[[#This Row],[Tempo]]/24),)</f>
        <v>14.188533977900549</v>
      </c>
      <c r="W995" s="35">
        <f>Tabela3[[#This Row],[Custo / Cx Moldada]]*Tabela3[[#This Row],[Qtde Cx Produzida]]</f>
        <v>1418.8533977900549</v>
      </c>
      <c r="X995" s="35">
        <f ca="1">Tabela3[[#This Row],[Aluminio Util]]*Tabela3[[#This Row],[Custo/Kg]]</f>
        <v>1874.8704000000002</v>
      </c>
      <c r="Y995" s="35">
        <f>IFERROR(VLOOKUP(Tabela3[[#This Row],[Data]],Tabela461213[],2,1)*(Tabela3[[#This Row],[Qtde Cx Produzida]]*Tabela3[[#This Row],[Qde macho / CX]]*Tabela3[[#This Row],[Peso Macho]]),)</f>
        <v>0</v>
      </c>
      <c r="Z995" s="35">
        <f>IFERROR(Tabela3[[#This Row],[Qtde Oleo]]*(VLOOKUP(Tabela3[[#This Row],[Data]],CompraOleo[],3,TRUE))*1.05,0)</f>
        <v>267.96667079848112</v>
      </c>
      <c r="AA995" s="47">
        <f ca="1">(Tabela3[[#This Row],[Custo Oleo]]+Tabela3[[#This Row],[Custo Aluminio]]+Tabela3[[#This Row],[Custo M.O. Total]]+Tabela3[[#This Row],[Custo Machos]])</f>
        <v>3561.6904685885365</v>
      </c>
      <c r="AB995" s="47">
        <f ca="1">Tabela3[[#This Row],[Custo Total]]*Tabela3[[#This Row],[% Perda]]</f>
        <v>338.36059451591098</v>
      </c>
      <c r="AC995" s="40">
        <f>IFERROR(VLOOKUP(Tabela3[[#This Row],[Produto]],Tabela2[],2,0),0)</f>
        <v>4</v>
      </c>
      <c r="AD995" s="48">
        <f>IFERROR(VLOOKUP(Tabela3[[#This Row],[Produto]],Tabela2[],3,0),0)</f>
        <v>0.33200000000000002</v>
      </c>
      <c r="AE995" s="48">
        <f>IFERROR(VLOOKUP(Tabela3[[#This Row],[Produto]],Tabela2[],4,0),0)</f>
        <v>2.2999999999999998</v>
      </c>
      <c r="AF995" s="48">
        <f>IFERROR(VLOOKUP(Tabela3[[#This Row],[Produto]],Tabela2[],5,0),0)</f>
        <v>0.8747999999999998</v>
      </c>
      <c r="AG995" s="48">
        <f>IFERROR(VLOOKUP(Tabela3[[#This Row],[Produto]],Tabela2[],6,0),0)</f>
        <v>0</v>
      </c>
      <c r="AH995" s="40">
        <f>IFERROR(VLOOKUP(Tabela3[[#This Row],[Produto]],Tabela2[],7,0),0)</f>
        <v>0</v>
      </c>
      <c r="AI995" s="40">
        <f>IFERROR(VLOOKUP(Tabela3[[#This Row],[Produto]],Tabela2[],8,0),0)</f>
        <v>0</v>
      </c>
      <c r="AJ995" s="35">
        <f ca="1">IFERROR(VLOOKUP(Tabela3[[#This Row],[Produto]],Tabela2[],13,0),0)</f>
        <v>15.600000000000001</v>
      </c>
      <c r="AK995" s="48" t="str">
        <f>IFERROR(VLOOKUP(Tabela3[[#This Row],[Produto]],Tabela2[],14,0),0)</f>
        <v>Senun</v>
      </c>
      <c r="AL995" s="40">
        <f>IFERROR(VLOOKUP(Tabela3[[#This Row],[Produto]],Tabela2[],15,0),0)</f>
        <v>3.5</v>
      </c>
      <c r="AM995" s="36">
        <f ca="1">(Tabela3[[#This Row],[Custo Usinagem]]+Tabela3[[#This Row],[Custo / Pç]])*1.2</f>
        <v>16.006708735652609</v>
      </c>
      <c r="AN995" s="36">
        <f ca="1">Tabela3[[#This Row],[Valor Mínimo Venda]]*1.15</f>
        <v>18.407715046000497</v>
      </c>
      <c r="AO995" s="36">
        <f ca="1">Tabela3[[#This Row],[Tabela 1]]*1.08</f>
        <v>19.880332249680539</v>
      </c>
      <c r="AP995" s="36">
        <f ca="1">Tabela3[[#This Row],[Tabela 2]]*1.15</f>
        <v>22.862382087132616</v>
      </c>
    </row>
    <row r="996" spans="1:42">
      <c r="A996" s="9">
        <v>46084</v>
      </c>
      <c r="B996" s="9" t="s">
        <v>177</v>
      </c>
      <c r="C996" s="14">
        <v>9141</v>
      </c>
      <c r="D996" s="6" t="s">
        <v>44</v>
      </c>
      <c r="E996" s="6" t="s">
        <v>47</v>
      </c>
      <c r="F996" s="6">
        <v>3</v>
      </c>
      <c r="G996" s="15">
        <v>5.9722222222222225E-2</v>
      </c>
      <c r="H996" s="16">
        <v>0</v>
      </c>
      <c r="I996" s="35">
        <f ca="1">IFERROR(Tabela3[[#This Row],[Custo Total]]/Tabela3[[#This Row],[Aluminio Util]],0)</f>
        <v>21.627026715094555</v>
      </c>
      <c r="J996" s="35">
        <f ca="1">Tabela3[[#This Row],[Custo Total]]/Tabela3[[#This Row],[Realizado]]</f>
        <v>378.47296751415473</v>
      </c>
      <c r="K996" s="37">
        <f>IFERROR(Tabela3[[#This Row],[Qtde Cx Produzida]]/Tabela3[[#This Row],[Tempo]]/24,0)</f>
        <v>2.0930232558139532</v>
      </c>
      <c r="L996" s="37">
        <f>Tabela3[[#This Row],[Qtde Cx Produzida]]*Tabela3[[#This Row],[Qdt Peça Placa]]</f>
        <v>3</v>
      </c>
      <c r="M996" s="37">
        <f>Tabela3[[#This Row],[Previsto]]-Tabela3[[#This Row],[Perda Pçs]]</f>
        <v>3</v>
      </c>
      <c r="N996" s="38">
        <f>IFERROR(Tabela3[[#This Row],[Perda Pçs]]/Tabela3[[#This Row],[Previsto]],0)</f>
        <v>0</v>
      </c>
      <c r="O996" s="39">
        <f>IFERROR(IF(Tabela3[[#This Row],[Qtde Cx Produzida]] &lt;&gt; 0, Tabela3[[#This Row],[Tempo]] / Tabela3[[#This Row],[Qtde Cx Produzida]], 0),0)</f>
        <v>1.9907407407407408E-2</v>
      </c>
      <c r="P996" s="57">
        <f>IFERROR(Tabela3[[#This Row],[Perda Pçs]]/Tabela3[[#This Row],[Qdt Peça Placa]],0)</f>
        <v>0</v>
      </c>
      <c r="Q996" s="37">
        <f>IFERROR(Tabela3[[#This Row],[Realizado]]*Tabela3[[#This Row],[Peso Util/Pç]],0)</f>
        <v>52.5</v>
      </c>
      <c r="R996" s="37">
        <f>IFERROR(Tabela3[[#This Row],[Peso Total Galho]]*Tabela3[[#This Row],[Qtde Cx Produzida]]*1.055,0)</f>
        <v>61.717499999999994</v>
      </c>
      <c r="S996" s="37">
        <f>(Tabela3[[#This Row],[Aluminio Bruto]]-Tabela3[[#This Row],[Aluminio Util]])*0.9</f>
        <v>8.2957499999999946</v>
      </c>
      <c r="T996" s="37">
        <f>Tabela3[[#This Row],[Aluminio Bruto]]/OleoKGAluminio</f>
        <v>25.964472450039167</v>
      </c>
      <c r="U996" s="35">
        <f>IFERROR((VLOOKUP(Tabela3[[#This Row],[Moldador]],Tabela1[],5,)+(VLOOKUP(Tabela3[[#This Row],[Ajudante]],Tabela1[],5,))*3.5),0)</f>
        <v>99.95034583333333</v>
      </c>
      <c r="V996" s="35">
        <f>IFERROR(Tabela3[[#This Row],[Custo M.O. / H]]/((Tabela3[[#This Row],[Realizado]]/Tabela3[[#This Row],[Qdt Peça Placa]])/Tabela3[[#This Row],[Tempo]]/24),)</f>
        <v>47.754054120370377</v>
      </c>
      <c r="W996" s="35">
        <f>Tabela3[[#This Row],[Custo / Cx Moldada]]*Tabela3[[#This Row],[Qtde Cx Produzida]]</f>
        <v>143.26216236111114</v>
      </c>
      <c r="X996" s="35">
        <f ca="1">Tabela3[[#This Row],[Aluminio Util]]*Tabela3[[#This Row],[Custo/Kg]]</f>
        <v>924.00000000000011</v>
      </c>
      <c r="Y996" s="35">
        <f>IFERROR(VLOOKUP(Tabela3[[#This Row],[Data]],Tabela461213[],2,1)*(Tabela3[[#This Row],[Qtde Cx Produzida]]*Tabela3[[#This Row],[Qde macho / CX]]*Tabela3[[#This Row],[Peso Macho]]),)</f>
        <v>0</v>
      </c>
      <c r="Z996" s="35">
        <f>IFERROR(Tabela3[[#This Row],[Qtde Oleo]]*(VLOOKUP(Tabela3[[#This Row],[Data]],CompraOleo[],3,TRUE))*1.05,0)</f>
        <v>68.156740181352831</v>
      </c>
      <c r="AA996" s="47">
        <f ca="1">(Tabela3[[#This Row],[Custo Oleo]]+Tabela3[[#This Row],[Custo Aluminio]]+Tabela3[[#This Row],[Custo M.O. Total]]+Tabela3[[#This Row],[Custo Machos]])</f>
        <v>1135.4189025424641</v>
      </c>
      <c r="AB996" s="47">
        <f ca="1">Tabela3[[#This Row],[Custo Total]]*Tabela3[[#This Row],[% Perda]]</f>
        <v>0</v>
      </c>
      <c r="AC996" s="40">
        <f>IFERROR(VLOOKUP(Tabela3[[#This Row],[Produto]],Tabela2[],2,0),0)</f>
        <v>1</v>
      </c>
      <c r="AD996" s="48">
        <f>IFERROR(VLOOKUP(Tabela3[[#This Row],[Produto]],Tabela2[],3,0),0)</f>
        <v>17.5</v>
      </c>
      <c r="AE996" s="48">
        <f>IFERROR(VLOOKUP(Tabela3[[#This Row],[Produto]],Tabela2[],4,0),0)</f>
        <v>19.5</v>
      </c>
      <c r="AF996" s="48">
        <f>IFERROR(VLOOKUP(Tabela3[[#This Row],[Produto]],Tabela2[],5,0),0)</f>
        <v>1.8</v>
      </c>
      <c r="AG996" s="48">
        <f>IFERROR(VLOOKUP(Tabela3[[#This Row],[Produto]],Tabela2[],6,0),0)</f>
        <v>0</v>
      </c>
      <c r="AH996" s="40">
        <f>IFERROR(VLOOKUP(Tabela3[[#This Row],[Produto]],Tabela2[],7,0),0)</f>
        <v>0</v>
      </c>
      <c r="AI996" s="40">
        <f>IFERROR(VLOOKUP(Tabela3[[#This Row],[Produto]],Tabela2[],8,0),0)</f>
        <v>0</v>
      </c>
      <c r="AJ996" s="35">
        <f ca="1">IFERROR(VLOOKUP(Tabela3[[#This Row],[Produto]],Tabela2[],13,0),0)</f>
        <v>17.600000000000001</v>
      </c>
      <c r="AK996" s="48" t="str">
        <f>IFERROR(VLOOKUP(Tabela3[[#This Row],[Produto]],Tabela2[],14,0),0)</f>
        <v>Oscar</v>
      </c>
      <c r="AL996" s="40">
        <f>IFERROR(VLOOKUP(Tabela3[[#This Row],[Produto]],Tabela2[],15,0),0)</f>
        <v>0</v>
      </c>
      <c r="AM996" s="36">
        <f ca="1">(Tabela3[[#This Row],[Custo Usinagem]]+Tabela3[[#This Row],[Custo / Pç]])*1.2</f>
        <v>454.16756101698564</v>
      </c>
      <c r="AN996" s="36">
        <f ca="1">Tabela3[[#This Row],[Valor Mínimo Venda]]*1.15</f>
        <v>522.29269516953343</v>
      </c>
      <c r="AO996" s="36">
        <f ca="1">Tabela3[[#This Row],[Tabela 1]]*1.08</f>
        <v>564.07611078309617</v>
      </c>
      <c r="AP996" s="36">
        <f ca="1">Tabela3[[#This Row],[Tabela 2]]*1.15</f>
        <v>648.6875274005605</v>
      </c>
    </row>
    <row r="997" spans="1:42">
      <c r="A997" s="9">
        <v>46085</v>
      </c>
      <c r="B997" s="9" t="s">
        <v>245</v>
      </c>
      <c r="C997" s="14">
        <v>9108</v>
      </c>
      <c r="D997" s="6" t="s">
        <v>46</v>
      </c>
      <c r="E997" s="6" t="s">
        <v>44</v>
      </c>
      <c r="F997" s="6">
        <v>10</v>
      </c>
      <c r="G997" s="15">
        <v>4.1666666666666664E-2</v>
      </c>
      <c r="H997" s="16">
        <v>0</v>
      </c>
      <c r="I997" s="35">
        <f ca="1">IFERROR(Tabela3[[#This Row],[Custo Total]]/Tabela3[[#This Row],[Aluminio Util]],0)</f>
        <v>27.112889087337958</v>
      </c>
      <c r="J997" s="35">
        <f ca="1">Tabela3[[#This Row],[Custo Total]]/Tabela3[[#This Row],[Realizado]]</f>
        <v>9.0014791769962024</v>
      </c>
      <c r="K997" s="37">
        <f>IFERROR(Tabela3[[#This Row],[Qtde Cx Produzida]]/Tabela3[[#This Row],[Tempo]]/24,0)</f>
        <v>10</v>
      </c>
      <c r="L997" s="37">
        <f>Tabela3[[#This Row],[Qtde Cx Produzida]]*Tabela3[[#This Row],[Qdt Peça Placa]]</f>
        <v>40</v>
      </c>
      <c r="M997" s="37">
        <f>Tabela3[[#This Row],[Previsto]]-Tabela3[[#This Row],[Perda Pçs]]</f>
        <v>40</v>
      </c>
      <c r="N997" s="38">
        <f>IFERROR(Tabela3[[#This Row],[Perda Pçs]]/Tabela3[[#This Row],[Previsto]],0)</f>
        <v>0</v>
      </c>
      <c r="O997" s="39">
        <f>IFERROR(IF(Tabela3[[#This Row],[Qtde Cx Produzida]] &lt;&gt; 0, Tabela3[[#This Row],[Tempo]] / Tabela3[[#This Row],[Qtde Cx Produzida]], 0),0)</f>
        <v>4.1666666666666666E-3</v>
      </c>
      <c r="P997" s="57">
        <f>IFERROR(Tabela3[[#This Row],[Perda Pçs]]/Tabela3[[#This Row],[Qdt Peça Placa]],0)</f>
        <v>0</v>
      </c>
      <c r="Q997" s="37">
        <f>IFERROR(Tabela3[[#This Row],[Realizado]]*Tabela3[[#This Row],[Peso Util/Pç]],0)</f>
        <v>13.280000000000001</v>
      </c>
      <c r="R997" s="37">
        <f>IFERROR(Tabela3[[#This Row],[Peso Total Galho]]*Tabela3[[#This Row],[Qtde Cx Produzida]]*1.055,0)</f>
        <v>24.264999999999997</v>
      </c>
      <c r="S997" s="37">
        <f>(Tabela3[[#This Row],[Aluminio Bruto]]-Tabela3[[#This Row],[Aluminio Util]])*0.9</f>
        <v>9.8864999999999963</v>
      </c>
      <c r="T997" s="37">
        <f>Tabela3[[#This Row],[Aluminio Bruto]]/OleoKGAluminio</f>
        <v>10.208254125656424</v>
      </c>
      <c r="U997" s="35">
        <f>IFERROR((VLOOKUP(Tabela3[[#This Row],[Moldador]],Tabela1[],5,)+(VLOOKUP(Tabela3[[#This Row],[Ajudante]],Tabela1[],5,))*3.5),0)</f>
        <v>126.0945</v>
      </c>
      <c r="V997" s="35">
        <f>IFERROR(Tabela3[[#This Row],[Custo M.O. / H]]/((Tabela3[[#This Row],[Realizado]]/Tabela3[[#This Row],[Qdt Peça Placa]])/Tabela3[[#This Row],[Tempo]]/24),)</f>
        <v>12.609449999999999</v>
      </c>
      <c r="W997" s="35">
        <f>Tabela3[[#This Row],[Custo / Cx Moldada]]*Tabela3[[#This Row],[Qtde Cx Produzida]]</f>
        <v>126.09449999999998</v>
      </c>
      <c r="X997" s="35">
        <f ca="1">Tabela3[[#This Row],[Aluminio Util]]*Tabela3[[#This Row],[Custo/Kg]]</f>
        <v>207.16800000000003</v>
      </c>
      <c r="Y997" s="35">
        <f>IFERROR(VLOOKUP(Tabela3[[#This Row],[Data]],Tabela461213[],2,1)*(Tabela3[[#This Row],[Qtde Cx Produzida]]*Tabela3[[#This Row],[Qde macho / CX]]*Tabela3[[#This Row],[Peso Macho]]),)</f>
        <v>0</v>
      </c>
      <c r="Z997" s="35">
        <f>IFERROR(Tabela3[[#This Row],[Qtde Oleo]]*(VLOOKUP(Tabela3[[#This Row],[Data]],CompraOleo[],3,TRUE))*1.05,0)</f>
        <v>26.796667079848113</v>
      </c>
      <c r="AA997" s="47">
        <f ca="1">(Tabela3[[#This Row],[Custo Oleo]]+Tabela3[[#This Row],[Custo Aluminio]]+Tabela3[[#This Row],[Custo M.O. Total]]+Tabela3[[#This Row],[Custo Machos]])</f>
        <v>360.05916707984812</v>
      </c>
      <c r="AB997" s="47">
        <f ca="1">Tabela3[[#This Row],[Custo Total]]*Tabela3[[#This Row],[% Perda]]</f>
        <v>0</v>
      </c>
      <c r="AC997" s="40">
        <f>IFERROR(VLOOKUP(Tabela3[[#This Row],[Produto]],Tabela2[],2,0),0)</f>
        <v>4</v>
      </c>
      <c r="AD997" s="48">
        <f>IFERROR(VLOOKUP(Tabela3[[#This Row],[Produto]],Tabela2[],3,0),0)</f>
        <v>0.33200000000000002</v>
      </c>
      <c r="AE997" s="48">
        <f>IFERROR(VLOOKUP(Tabela3[[#This Row],[Produto]],Tabela2[],4,0),0)</f>
        <v>2.2999999999999998</v>
      </c>
      <c r="AF997" s="48">
        <f>IFERROR(VLOOKUP(Tabela3[[#This Row],[Produto]],Tabela2[],5,0),0)</f>
        <v>0.8747999999999998</v>
      </c>
      <c r="AG997" s="48">
        <f>IFERROR(VLOOKUP(Tabela3[[#This Row],[Produto]],Tabela2[],6,0),0)</f>
        <v>0</v>
      </c>
      <c r="AH997" s="40">
        <f>IFERROR(VLOOKUP(Tabela3[[#This Row],[Produto]],Tabela2[],7,0),0)</f>
        <v>0</v>
      </c>
      <c r="AI997" s="40">
        <f>IFERROR(VLOOKUP(Tabela3[[#This Row],[Produto]],Tabela2[],8,0),0)</f>
        <v>0</v>
      </c>
      <c r="AJ997" s="35">
        <f ca="1">IFERROR(VLOOKUP(Tabela3[[#This Row],[Produto]],Tabela2[],13,0),0)</f>
        <v>15.600000000000001</v>
      </c>
      <c r="AK997" s="48" t="str">
        <f>IFERROR(VLOOKUP(Tabela3[[#This Row],[Produto]],Tabela2[],14,0),0)</f>
        <v>Senun</v>
      </c>
      <c r="AL997" s="40">
        <f>IFERROR(VLOOKUP(Tabela3[[#This Row],[Produto]],Tabela2[],15,0),0)</f>
        <v>3.5</v>
      </c>
      <c r="AM997" s="36">
        <f ca="1">(Tabela3[[#This Row],[Custo Usinagem]]+Tabela3[[#This Row],[Custo / Pç]])*1.2</f>
        <v>15.001775012395441</v>
      </c>
      <c r="AN997" s="36">
        <f ca="1">Tabela3[[#This Row],[Valor Mínimo Venda]]*1.15</f>
        <v>17.252041264254757</v>
      </c>
      <c r="AO997" s="36">
        <f ca="1">Tabela3[[#This Row],[Tabela 1]]*1.08</f>
        <v>18.632204565395138</v>
      </c>
      <c r="AP997" s="36">
        <f ca="1">Tabela3[[#This Row],[Tabela 2]]*1.15</f>
        <v>21.427035250204408</v>
      </c>
    </row>
    <row r="998" spans="1:42">
      <c r="A998" s="9">
        <v>46085</v>
      </c>
      <c r="B998" s="9" t="s">
        <v>158</v>
      </c>
      <c r="C998" s="14">
        <v>9107</v>
      </c>
      <c r="D998" s="6" t="s">
        <v>46</v>
      </c>
      <c r="E998" s="6" t="s">
        <v>44</v>
      </c>
      <c r="F998" s="6">
        <v>15</v>
      </c>
      <c r="G998" s="15">
        <v>8.9583333333333334E-2</v>
      </c>
      <c r="H998" s="16">
        <v>0</v>
      </c>
      <c r="I998" s="35">
        <f ca="1">IFERROR(Tabela3[[#This Row],[Custo Total]]/Tabela3[[#This Row],[Aluminio Util]],0)</f>
        <v>21.855001480514698</v>
      </c>
      <c r="J998" s="35">
        <f ca="1">Tabela3[[#This Row],[Custo Total]]/Tabela3[[#This Row],[Realizado]]</f>
        <v>32.782502220772045</v>
      </c>
      <c r="K998" s="37">
        <f>IFERROR(Tabela3[[#This Row],[Qtde Cx Produzida]]/Tabela3[[#This Row],[Tempo]]/24,0)</f>
        <v>6.9767441860465107</v>
      </c>
      <c r="L998" s="37">
        <f>Tabela3[[#This Row],[Qtde Cx Produzida]]*Tabela3[[#This Row],[Qdt Peça Placa]]</f>
        <v>60</v>
      </c>
      <c r="M998" s="37">
        <f>Tabela3[[#This Row],[Previsto]]-Tabela3[[#This Row],[Perda Pçs]]</f>
        <v>60</v>
      </c>
      <c r="N998" s="38">
        <f>IFERROR(Tabela3[[#This Row],[Perda Pçs]]/Tabela3[[#This Row],[Previsto]],0)</f>
        <v>0</v>
      </c>
      <c r="O998" s="39">
        <f>IFERROR(IF(Tabela3[[#This Row],[Qtde Cx Produzida]] &lt;&gt; 0, Tabela3[[#This Row],[Tempo]] / Tabela3[[#This Row],[Qtde Cx Produzida]], 0),0)</f>
        <v>5.9722222222222225E-3</v>
      </c>
      <c r="P998" s="57">
        <f>IFERROR(Tabela3[[#This Row],[Perda Pçs]]/Tabela3[[#This Row],[Qdt Peça Placa]],0)</f>
        <v>0</v>
      </c>
      <c r="Q998" s="37">
        <f>IFERROR(Tabela3[[#This Row],[Realizado]]*Tabela3[[#This Row],[Peso Util/Pç]],0)</f>
        <v>90</v>
      </c>
      <c r="R998" s="37">
        <f>IFERROR(Tabela3[[#This Row],[Peso Total Galho]]*Tabela3[[#This Row],[Qtde Cx Produzida]]*1.055,0)</f>
        <v>101.28</v>
      </c>
      <c r="S998" s="37">
        <f>(Tabela3[[#This Row],[Aluminio Bruto]]-Tabela3[[#This Row],[Aluminio Util]])*0.9</f>
        <v>10.152000000000001</v>
      </c>
      <c r="T998" s="37">
        <f>Tabela3[[#This Row],[Aluminio Bruto]]/OleoKGAluminio</f>
        <v>42.608365046218125</v>
      </c>
      <c r="U998" s="35">
        <f>IFERROR((VLOOKUP(Tabela3[[#This Row],[Moldador]],Tabela1[],5,)+(VLOOKUP(Tabela3[[#This Row],[Ajudante]],Tabela1[],5,))*3.5),0)</f>
        <v>126.0945</v>
      </c>
      <c r="V998" s="35">
        <f>IFERROR(Tabela3[[#This Row],[Custo M.O. / H]]/((Tabela3[[#This Row],[Realizado]]/Tabela3[[#This Row],[Qdt Peça Placa]])/Tabela3[[#This Row],[Tempo]]/24),)</f>
        <v>18.073545000000003</v>
      </c>
      <c r="W998" s="35">
        <f>Tabela3[[#This Row],[Custo / Cx Moldada]]*Tabela3[[#This Row],[Qtde Cx Produzida]]</f>
        <v>271.10317500000002</v>
      </c>
      <c r="X998" s="35">
        <f ca="1">Tabela3[[#This Row],[Aluminio Util]]*Tabela3[[#This Row],[Custo/Kg]]</f>
        <v>1584.0000000000002</v>
      </c>
      <c r="Y998" s="35">
        <f>IFERROR(VLOOKUP(Tabela3[[#This Row],[Data]],Tabela461213[],2,1)*(Tabela3[[#This Row],[Qtde Cx Produzida]]*Tabela3[[#This Row],[Qde macho / CX]]*Tabela3[[#This Row],[Peso Macho]]),)</f>
        <v>0</v>
      </c>
      <c r="Z998" s="35">
        <f>IFERROR(Tabela3[[#This Row],[Qtde Oleo]]*(VLOOKUP(Tabela3[[#This Row],[Data]],CompraOleo[],3,TRUE))*1.05,0)</f>
        <v>111.84695824632259</v>
      </c>
      <c r="AA998" s="47">
        <f ca="1">(Tabela3[[#This Row],[Custo Oleo]]+Tabela3[[#This Row],[Custo Aluminio]]+Tabela3[[#This Row],[Custo M.O. Total]]+Tabela3[[#This Row],[Custo Machos]])</f>
        <v>1966.9501332463228</v>
      </c>
      <c r="AB998" s="47">
        <f ca="1">Tabela3[[#This Row],[Custo Total]]*Tabela3[[#This Row],[% Perda]]</f>
        <v>0</v>
      </c>
      <c r="AC998" s="40">
        <f>IFERROR(VLOOKUP(Tabela3[[#This Row],[Produto]],Tabela2[],2,0),0)</f>
        <v>4</v>
      </c>
      <c r="AD998" s="48">
        <f>IFERROR(VLOOKUP(Tabela3[[#This Row],[Produto]],Tabela2[],3,0),0)</f>
        <v>1.5</v>
      </c>
      <c r="AE998" s="48">
        <f>IFERROR(VLOOKUP(Tabela3[[#This Row],[Produto]],Tabela2[],4,0),0)</f>
        <v>6.4</v>
      </c>
      <c r="AF998" s="48">
        <f>IFERROR(VLOOKUP(Tabela3[[#This Row],[Produto]],Tabela2[],5,0),0)</f>
        <v>0.36000000000000032</v>
      </c>
      <c r="AG998" s="48">
        <f>IFERROR(VLOOKUP(Tabela3[[#This Row],[Produto]],Tabela2[],6,0),0)</f>
        <v>0</v>
      </c>
      <c r="AH998" s="40">
        <f>IFERROR(VLOOKUP(Tabela3[[#This Row],[Produto]],Tabela2[],7,0),0)</f>
        <v>0</v>
      </c>
      <c r="AI998" s="40">
        <f>IFERROR(VLOOKUP(Tabela3[[#This Row],[Produto]],Tabela2[],8,0),0)</f>
        <v>0</v>
      </c>
      <c r="AJ998" s="35">
        <f ca="1">IFERROR(VLOOKUP(Tabela3[[#This Row],[Produto]],Tabela2[],13,0),0)</f>
        <v>17.600000000000001</v>
      </c>
      <c r="AK998" s="48" t="str">
        <f>IFERROR(VLOOKUP(Tabela3[[#This Row],[Produto]],Tabela2[],14,0),0)</f>
        <v>Danilo</v>
      </c>
      <c r="AL998" s="40">
        <f>IFERROR(VLOOKUP(Tabela3[[#This Row],[Produto]],Tabela2[],15,0),0)</f>
        <v>0</v>
      </c>
      <c r="AM998" s="36">
        <f ca="1">(Tabela3[[#This Row],[Custo Usinagem]]+Tabela3[[#This Row],[Custo / Pç]])*1.2</f>
        <v>39.339002664926454</v>
      </c>
      <c r="AN998" s="36">
        <f ca="1">Tabela3[[#This Row],[Valor Mínimo Venda]]*1.15</f>
        <v>45.239853064665418</v>
      </c>
      <c r="AO998" s="36">
        <f ca="1">Tabela3[[#This Row],[Tabela 1]]*1.08</f>
        <v>48.859041309838652</v>
      </c>
      <c r="AP998" s="36">
        <f ca="1">Tabela3[[#This Row],[Tabela 2]]*1.15</f>
        <v>56.187897506314442</v>
      </c>
    </row>
    <row r="999" spans="1:42">
      <c r="A999" s="9">
        <v>46085</v>
      </c>
      <c r="B999" s="9" t="s">
        <v>236</v>
      </c>
      <c r="C999" s="14">
        <v>9120</v>
      </c>
      <c r="D999" s="6" t="s">
        <v>46</v>
      </c>
      <c r="E999" s="6" t="s">
        <v>44</v>
      </c>
      <c r="F999" s="6">
        <v>55</v>
      </c>
      <c r="G999" s="15">
        <v>0.30277777777777776</v>
      </c>
      <c r="H999" s="16">
        <v>13</v>
      </c>
      <c r="I999" s="35">
        <f ca="1">IFERROR(Tabela3[[#This Row],[Custo Total]]/Tabela3[[#This Row],[Aluminio Util]],0)</f>
        <v>27.004110400911141</v>
      </c>
      <c r="J999" s="35">
        <f ca="1">Tabela3[[#This Row],[Custo Total]]/Tabela3[[#This Row],[Realizado]]</f>
        <v>8.1552413410751647</v>
      </c>
      <c r="K999" s="37">
        <f>IFERROR(Tabela3[[#This Row],[Qtde Cx Produzida]]/Tabela3[[#This Row],[Tempo]]/24,0)</f>
        <v>7.5688073394495419</v>
      </c>
      <c r="L999" s="37">
        <f>Tabela3[[#This Row],[Qtde Cx Produzida]]*Tabela3[[#This Row],[Qdt Peça Placa]]</f>
        <v>330</v>
      </c>
      <c r="M999" s="37">
        <f>Tabela3[[#This Row],[Previsto]]-Tabela3[[#This Row],[Perda Pçs]]</f>
        <v>317</v>
      </c>
      <c r="N999" s="38">
        <f>IFERROR(Tabela3[[#This Row],[Perda Pçs]]/Tabela3[[#This Row],[Previsto]],0)</f>
        <v>3.9393939393939391E-2</v>
      </c>
      <c r="O999" s="39">
        <f>IFERROR(IF(Tabela3[[#This Row],[Qtde Cx Produzida]] &lt;&gt; 0, Tabela3[[#This Row],[Tempo]] / Tabela3[[#This Row],[Qtde Cx Produzida]], 0),0)</f>
        <v>5.5050505050505049E-3</v>
      </c>
      <c r="P999" s="57">
        <f>IFERROR(Tabela3[[#This Row],[Perda Pçs]]/Tabela3[[#This Row],[Qdt Peça Placa]],0)</f>
        <v>2.1666666666666665</v>
      </c>
      <c r="Q999" s="37">
        <f>IFERROR(Tabela3[[#This Row],[Realizado]]*Tabela3[[#This Row],[Peso Util/Pç]],0)</f>
        <v>95.733999999999995</v>
      </c>
      <c r="R999" s="37">
        <f>IFERROR(Tabela3[[#This Row],[Peso Total Galho]]*Tabela3[[#This Row],[Qtde Cx Produzida]]*1.055,0)</f>
        <v>124.86980000000001</v>
      </c>
      <c r="S999" s="37">
        <f>(Tabela3[[#This Row],[Aluminio Bruto]]-Tabela3[[#This Row],[Aluminio Util]])*0.9</f>
        <v>26.222220000000018</v>
      </c>
      <c r="T999" s="37">
        <f>Tabela3[[#This Row],[Aluminio Bruto]]/OleoKGAluminio</f>
        <v>52.532563404899768</v>
      </c>
      <c r="U999" s="35">
        <f>IFERROR((VLOOKUP(Tabela3[[#This Row],[Moldador]],Tabela1[],5,)+(VLOOKUP(Tabela3[[#This Row],[Ajudante]],Tabela1[],5,))*3.5),0)</f>
        <v>126.0945</v>
      </c>
      <c r="V999" s="35">
        <f>IFERROR(Tabela3[[#This Row],[Custo M.O. / H]]/((Tabela3[[#This Row],[Realizado]]/Tabela3[[#This Row],[Qdt Peça Placa]])/Tabela3[[#This Row],[Tempo]]/24),)</f>
        <v>17.342965930599366</v>
      </c>
      <c r="W999" s="35">
        <f>Tabela3[[#This Row],[Custo / Cx Moldada]]*Tabela3[[#This Row],[Qtde Cx Produzida]]</f>
        <v>953.86312618296517</v>
      </c>
      <c r="X999" s="35">
        <f ca="1">Tabela3[[#This Row],[Aluminio Util]]*Tabela3[[#This Row],[Custo/Kg]]</f>
        <v>1493.4503999999999</v>
      </c>
      <c r="Y999" s="35">
        <f>IFERROR(VLOOKUP(Tabela3[[#This Row],[Data]],Tabela461213[],2,1)*(Tabela3[[#This Row],[Qtde Cx Produzida]]*Tabela3[[#This Row],[Qde macho / CX]]*Tabela3[[#This Row],[Peso Macho]]),)</f>
        <v>0</v>
      </c>
      <c r="Z999" s="35">
        <f>IFERROR(Tabela3[[#This Row],[Qtde Oleo]]*(VLOOKUP(Tabela3[[#This Row],[Data]],CompraOleo[],3,TRUE))*1.05,0)</f>
        <v>137.89797893786189</v>
      </c>
      <c r="AA999" s="47">
        <f ca="1">(Tabela3[[#This Row],[Custo Oleo]]+Tabela3[[#This Row],[Custo Aluminio]]+Tabela3[[#This Row],[Custo M.O. Total]]+Tabela3[[#This Row],[Custo Machos]])</f>
        <v>2585.211505120827</v>
      </c>
      <c r="AB999" s="47">
        <f ca="1">Tabela3[[#This Row],[Custo Total]]*Tabela3[[#This Row],[% Perda]]</f>
        <v>101.84166535324469</v>
      </c>
      <c r="AC999" s="40">
        <f>IFERROR(VLOOKUP(Tabela3[[#This Row],[Produto]],Tabela2[],2,0),0)</f>
        <v>6</v>
      </c>
      <c r="AD999" s="48">
        <f>IFERROR(VLOOKUP(Tabela3[[#This Row],[Produto]],Tabela2[],3,0),0)</f>
        <v>0.30199999999999999</v>
      </c>
      <c r="AE999" s="48">
        <f>IFERROR(VLOOKUP(Tabela3[[#This Row],[Produto]],Tabela2[],4,0),0)</f>
        <v>2.1520000000000001</v>
      </c>
      <c r="AF999" s="48">
        <f>IFERROR(VLOOKUP(Tabela3[[#This Row],[Produto]],Tabela2[],5,0),0)</f>
        <v>0.30600000000000027</v>
      </c>
      <c r="AG999" s="48">
        <f>IFERROR(VLOOKUP(Tabela3[[#This Row],[Produto]],Tabela2[],6,0),0)</f>
        <v>0</v>
      </c>
      <c r="AH999" s="40">
        <f>IFERROR(VLOOKUP(Tabela3[[#This Row],[Produto]],Tabela2[],7,0),0)</f>
        <v>0</v>
      </c>
      <c r="AI999" s="40">
        <f>IFERROR(VLOOKUP(Tabela3[[#This Row],[Produto]],Tabela2[],8,0),0)</f>
        <v>0</v>
      </c>
      <c r="AJ999" s="35">
        <f ca="1">IFERROR(VLOOKUP(Tabela3[[#This Row],[Produto]],Tabela2[],13,0),0)</f>
        <v>15.600000000000001</v>
      </c>
      <c r="AK999" s="48" t="str">
        <f>IFERROR(VLOOKUP(Tabela3[[#This Row],[Produto]],Tabela2[],14,0),0)</f>
        <v>Senun</v>
      </c>
      <c r="AL999" s="40">
        <f>IFERROR(VLOOKUP(Tabela3[[#This Row],[Produto]],Tabela2[],15,0),0)</f>
        <v>4</v>
      </c>
      <c r="AM999" s="36">
        <f ca="1">(Tabela3[[#This Row],[Custo Usinagem]]+Tabela3[[#This Row],[Custo / Pç]])*1.2</f>
        <v>14.586289609290198</v>
      </c>
      <c r="AN999" s="36">
        <f ca="1">Tabela3[[#This Row],[Valor Mínimo Venda]]*1.15</f>
        <v>16.774233050683726</v>
      </c>
      <c r="AO999" s="36">
        <f ca="1">Tabela3[[#This Row],[Tabela 1]]*1.08</f>
        <v>18.116171694738426</v>
      </c>
      <c r="AP999" s="36">
        <f ca="1">Tabela3[[#This Row],[Tabela 2]]*1.15</f>
        <v>20.833597448949188</v>
      </c>
    </row>
    <row r="1000" spans="1:42">
      <c r="A1000" s="9">
        <v>46086</v>
      </c>
      <c r="B1000" s="9" t="s">
        <v>236</v>
      </c>
      <c r="C1000" s="14">
        <v>9120</v>
      </c>
      <c r="D1000" s="6" t="s">
        <v>46</v>
      </c>
      <c r="E1000" s="6" t="s">
        <v>44</v>
      </c>
      <c r="F1000" s="6">
        <v>15</v>
      </c>
      <c r="G1000" s="15">
        <v>7.1527777777777773E-2</v>
      </c>
      <c r="H1000" s="16">
        <v>0</v>
      </c>
      <c r="I1000" s="35">
        <f ca="1">IFERROR(Tabela3[[#This Row],[Custo Total]]/Tabela3[[#This Row],[Aluminio Util]],0)</f>
        <v>24.947710254243049</v>
      </c>
      <c r="J1000" s="35">
        <f ca="1">Tabela3[[#This Row],[Custo Total]]/Tabela3[[#This Row],[Realizado]]</f>
        <v>7.5342084967814005</v>
      </c>
      <c r="K1000" s="37">
        <f>IFERROR(Tabela3[[#This Row],[Qtde Cx Produzida]]/Tabela3[[#This Row],[Tempo]]/24,0)</f>
        <v>8.7378640776699026</v>
      </c>
      <c r="L1000" s="37">
        <f>Tabela3[[#This Row],[Qtde Cx Produzida]]*Tabela3[[#This Row],[Qdt Peça Placa]]</f>
        <v>90</v>
      </c>
      <c r="M1000" s="37">
        <f>Tabela3[[#This Row],[Previsto]]-Tabela3[[#This Row],[Perda Pçs]]</f>
        <v>90</v>
      </c>
      <c r="N1000" s="38">
        <f>IFERROR(Tabela3[[#This Row],[Perda Pçs]]/Tabela3[[#This Row],[Previsto]],0)</f>
        <v>0</v>
      </c>
      <c r="O1000" s="39">
        <f>IFERROR(IF(Tabela3[[#This Row],[Qtde Cx Produzida]] &lt;&gt; 0, Tabela3[[#This Row],[Tempo]] / Tabela3[[#This Row],[Qtde Cx Produzida]], 0),0)</f>
        <v>4.7685185185185183E-3</v>
      </c>
      <c r="P1000" s="57">
        <f>IFERROR(Tabela3[[#This Row],[Perda Pçs]]/Tabela3[[#This Row],[Qdt Peça Placa]],0)</f>
        <v>0</v>
      </c>
      <c r="Q1000" s="37">
        <f>IFERROR(Tabela3[[#This Row],[Realizado]]*Tabela3[[#This Row],[Peso Util/Pç]],0)</f>
        <v>27.18</v>
      </c>
      <c r="R1000" s="37">
        <f>IFERROR(Tabela3[[#This Row],[Peso Total Galho]]*Tabela3[[#This Row],[Qtde Cx Produzida]]*1.055,0)</f>
        <v>34.055399999999999</v>
      </c>
      <c r="S1000" s="37">
        <f>(Tabela3[[#This Row],[Aluminio Bruto]]-Tabela3[[#This Row],[Aluminio Util]])*0.9</f>
        <v>6.1878599999999997</v>
      </c>
      <c r="T1000" s="37">
        <f>Tabela3[[#This Row],[Aluminio Bruto]]/OleoKGAluminio</f>
        <v>14.327062746790844</v>
      </c>
      <c r="U1000" s="35">
        <f>IFERROR((VLOOKUP(Tabela3[[#This Row],[Moldador]],Tabela1[],5,)+(VLOOKUP(Tabela3[[#This Row],[Ajudante]],Tabela1[],5,))*3.5),0)</f>
        <v>126.0945</v>
      </c>
      <c r="V1000" s="35">
        <f>IFERROR(Tabela3[[#This Row],[Custo M.O. / H]]/((Tabela3[[#This Row],[Realizado]]/Tabela3[[#This Row],[Qdt Peça Placa]])/Tabela3[[#This Row],[Tempo]]/24),)</f>
        <v>14.430815000000001</v>
      </c>
      <c r="W1000" s="35">
        <f>Tabela3[[#This Row],[Custo / Cx Moldada]]*Tabela3[[#This Row],[Qtde Cx Produzida]]</f>
        <v>216.46222500000002</v>
      </c>
      <c r="X1000" s="35">
        <f ca="1">Tabela3[[#This Row],[Aluminio Util]]*Tabela3[[#This Row],[Custo/Kg]]</f>
        <v>424.00800000000004</v>
      </c>
      <c r="Y1000" s="35">
        <f>IFERROR(VLOOKUP(Tabela3[[#This Row],[Data]],Tabela461213[],2,1)*(Tabela3[[#This Row],[Qtde Cx Produzida]]*Tabela3[[#This Row],[Qde macho / CX]]*Tabela3[[#This Row],[Peso Macho]]),)</f>
        <v>0</v>
      </c>
      <c r="Z1000" s="35">
        <f>IFERROR(Tabela3[[#This Row],[Qtde Oleo]]*(VLOOKUP(Tabela3[[#This Row],[Data]],CompraOleo[],3,TRUE))*1.05,0)</f>
        <v>37.608539710325964</v>
      </c>
      <c r="AA1000" s="47">
        <f ca="1">(Tabela3[[#This Row],[Custo Oleo]]+Tabela3[[#This Row],[Custo Aluminio]]+Tabela3[[#This Row],[Custo M.O. Total]]+Tabela3[[#This Row],[Custo Machos]])</f>
        <v>678.07876471032603</v>
      </c>
      <c r="AB1000" s="47">
        <f ca="1">Tabela3[[#This Row],[Custo Total]]*Tabela3[[#This Row],[% Perda]]</f>
        <v>0</v>
      </c>
      <c r="AC1000" s="40">
        <f>IFERROR(VLOOKUP(Tabela3[[#This Row],[Produto]],Tabela2[],2,0),0)</f>
        <v>6</v>
      </c>
      <c r="AD1000" s="48">
        <f>IFERROR(VLOOKUP(Tabela3[[#This Row],[Produto]],Tabela2[],3,0),0)</f>
        <v>0.30199999999999999</v>
      </c>
      <c r="AE1000" s="48">
        <f>IFERROR(VLOOKUP(Tabela3[[#This Row],[Produto]],Tabela2[],4,0),0)</f>
        <v>2.1520000000000001</v>
      </c>
      <c r="AF1000" s="48">
        <f>IFERROR(VLOOKUP(Tabela3[[#This Row],[Produto]],Tabela2[],5,0),0)</f>
        <v>0.30600000000000027</v>
      </c>
      <c r="AG1000" s="48">
        <f>IFERROR(VLOOKUP(Tabela3[[#This Row],[Produto]],Tabela2[],6,0),0)</f>
        <v>0</v>
      </c>
      <c r="AH1000" s="40">
        <f>IFERROR(VLOOKUP(Tabela3[[#This Row],[Produto]],Tabela2[],7,0),0)</f>
        <v>0</v>
      </c>
      <c r="AI1000" s="40">
        <f>IFERROR(VLOOKUP(Tabela3[[#This Row],[Produto]],Tabela2[],8,0),0)</f>
        <v>0</v>
      </c>
      <c r="AJ1000" s="35">
        <f ca="1">IFERROR(VLOOKUP(Tabela3[[#This Row],[Produto]],Tabela2[],13,0),0)</f>
        <v>15.600000000000001</v>
      </c>
      <c r="AK1000" s="48" t="str">
        <f>IFERROR(VLOOKUP(Tabela3[[#This Row],[Produto]],Tabela2[],14,0),0)</f>
        <v>Senun</v>
      </c>
      <c r="AL1000" s="40">
        <f>IFERROR(VLOOKUP(Tabela3[[#This Row],[Produto]],Tabela2[],15,0),0)</f>
        <v>4</v>
      </c>
      <c r="AM1000" s="36">
        <f ca="1">(Tabela3[[#This Row],[Custo Usinagem]]+Tabela3[[#This Row],[Custo / Pç]])*1.2</f>
        <v>13.84105019613768</v>
      </c>
      <c r="AN1000" s="36">
        <f ca="1">Tabela3[[#This Row],[Valor Mínimo Venda]]*1.15</f>
        <v>15.917207725558331</v>
      </c>
      <c r="AO1000" s="36">
        <f ca="1">Tabela3[[#This Row],[Tabela 1]]*1.08</f>
        <v>17.190584343603</v>
      </c>
      <c r="AP1000" s="36">
        <f ca="1">Tabela3[[#This Row],[Tabela 2]]*1.15</f>
        <v>19.769171995143449</v>
      </c>
    </row>
    <row r="1001" spans="1:42">
      <c r="A1001" s="9">
        <v>46086</v>
      </c>
      <c r="B1001" s="9" t="s">
        <v>135</v>
      </c>
      <c r="C1001" s="14">
        <v>9121</v>
      </c>
      <c r="D1001" s="6" t="s">
        <v>46</v>
      </c>
      <c r="E1001" s="6" t="s">
        <v>44</v>
      </c>
      <c r="F1001" s="6">
        <v>7</v>
      </c>
      <c r="G1001" s="15">
        <v>3.6111111111111108E-2</v>
      </c>
      <c r="H1001" s="16">
        <v>0</v>
      </c>
      <c r="I1001" s="35">
        <f ca="1">IFERROR(Tabela3[[#This Row],[Custo Total]]/Tabela3[[#This Row],[Aluminio Util]],0)</f>
        <v>29.032359812329265</v>
      </c>
      <c r="J1001" s="35">
        <f ca="1">Tabela3[[#This Row],[Custo Total]]/Tabela3[[#This Row],[Realizado]]</f>
        <v>51.387276867822798</v>
      </c>
      <c r="K1001" s="37">
        <f>IFERROR(Tabela3[[#This Row],[Qtde Cx Produzida]]/Tabela3[[#This Row],[Tempo]]/24,0)</f>
        <v>8.0769230769230784</v>
      </c>
      <c r="L1001" s="37">
        <f>Tabela3[[#This Row],[Qtde Cx Produzida]]*Tabela3[[#This Row],[Qdt Peça Placa]]</f>
        <v>7</v>
      </c>
      <c r="M1001" s="37">
        <f>Tabela3[[#This Row],[Previsto]]-Tabela3[[#This Row],[Perda Pçs]]</f>
        <v>7</v>
      </c>
      <c r="N1001" s="38">
        <f>IFERROR(Tabela3[[#This Row],[Perda Pçs]]/Tabela3[[#This Row],[Previsto]],0)</f>
        <v>0</v>
      </c>
      <c r="O1001" s="39">
        <f>IFERROR(IF(Tabela3[[#This Row],[Qtde Cx Produzida]] &lt;&gt; 0, Tabela3[[#This Row],[Tempo]] / Tabela3[[#This Row],[Qtde Cx Produzida]], 0),0)</f>
        <v>5.1587301587301586E-3</v>
      </c>
      <c r="P1001" s="57">
        <f>IFERROR(Tabela3[[#This Row],[Perda Pçs]]/Tabela3[[#This Row],[Qdt Peça Placa]],0)</f>
        <v>0</v>
      </c>
      <c r="Q1001" s="37">
        <f>IFERROR(Tabela3[[#This Row],[Realizado]]*Tabela3[[#This Row],[Peso Util/Pç]],0)</f>
        <v>12.39</v>
      </c>
      <c r="R1001" s="37">
        <f>IFERROR(Tabela3[[#This Row],[Peso Total Galho]]*Tabela3[[#This Row],[Qtde Cx Produzida]]*1.055,0)</f>
        <v>23.11505</v>
      </c>
      <c r="S1001" s="37">
        <f>(Tabela3[[#This Row],[Aluminio Bruto]]-Tabela3[[#This Row],[Aluminio Util]])*0.9</f>
        <v>9.6525449999999999</v>
      </c>
      <c r="T1001" s="37">
        <f>Tabela3[[#This Row],[Aluminio Bruto]]/OleoKGAluminio</f>
        <v>9.7244716475274906</v>
      </c>
      <c r="U1001" s="35">
        <f>IFERROR((VLOOKUP(Tabela3[[#This Row],[Moldador]],Tabela1[],5,)+(VLOOKUP(Tabela3[[#This Row],[Ajudante]],Tabela1[],5,))*3.5),0)</f>
        <v>126.0945</v>
      </c>
      <c r="V1001" s="35">
        <f>IFERROR(Tabela3[[#This Row],[Custo M.O. / H]]/((Tabela3[[#This Row],[Realizado]]/Tabela3[[#This Row],[Qdt Peça Placa]])/Tabela3[[#This Row],[Tempo]]/24),)</f>
        <v>15.611699999999997</v>
      </c>
      <c r="W1001" s="35">
        <f>Tabela3[[#This Row],[Custo / Cx Moldada]]*Tabela3[[#This Row],[Qtde Cx Produzida]]</f>
        <v>109.28189999999998</v>
      </c>
      <c r="X1001" s="35">
        <f ca="1">Tabela3[[#This Row],[Aluminio Util]]*Tabela3[[#This Row],[Custo/Kg]]</f>
        <v>193.28400000000002</v>
      </c>
      <c r="Y1001" s="35">
        <f>IFERROR(VLOOKUP(Tabela3[[#This Row],[Data]],Tabela461213[],2,1)*(Tabela3[[#This Row],[Qtde Cx Produzida]]*Tabela3[[#This Row],[Qde macho / CX]]*Tabela3[[#This Row],[Peso Macho]]),)</f>
        <v>31.618299999999998</v>
      </c>
      <c r="Z1001" s="35">
        <f>IFERROR(Tabela3[[#This Row],[Qtde Oleo]]*(VLOOKUP(Tabela3[[#This Row],[Data]],CompraOleo[],3,TRUE))*1.05,0)</f>
        <v>25.526738074759667</v>
      </c>
      <c r="AA1001" s="47">
        <f ca="1">(Tabela3[[#This Row],[Custo Oleo]]+Tabela3[[#This Row],[Custo Aluminio]]+Tabela3[[#This Row],[Custo M.O. Total]]+Tabela3[[#This Row],[Custo Machos]])</f>
        <v>359.71093807475961</v>
      </c>
      <c r="AB1001" s="47">
        <f ca="1">Tabela3[[#This Row],[Custo Total]]*Tabela3[[#This Row],[% Perda]]</f>
        <v>0</v>
      </c>
      <c r="AC1001" s="40">
        <f>IFERROR(VLOOKUP(Tabela3[[#This Row],[Produto]],Tabela2[],2,0),0)</f>
        <v>1</v>
      </c>
      <c r="AD1001" s="48">
        <f>IFERROR(VLOOKUP(Tabela3[[#This Row],[Produto]],Tabela2[],3,0),0)</f>
        <v>1.77</v>
      </c>
      <c r="AE1001" s="48">
        <f>IFERROR(VLOOKUP(Tabela3[[#This Row],[Produto]],Tabela2[],4,0),0)</f>
        <v>3.13</v>
      </c>
      <c r="AF1001" s="48">
        <f>IFERROR(VLOOKUP(Tabela3[[#This Row],[Produto]],Tabela2[],5,0),0)</f>
        <v>1.224</v>
      </c>
      <c r="AG1001" s="48">
        <f>IFERROR(VLOOKUP(Tabela3[[#This Row],[Produto]],Tabela2[],6,0),0)</f>
        <v>0</v>
      </c>
      <c r="AH1001" s="40">
        <f>IFERROR(VLOOKUP(Tabela3[[#This Row],[Produto]],Tabela2[],7,0),0)</f>
        <v>1</v>
      </c>
      <c r="AI1001" s="40">
        <f>IFERROR(VLOOKUP(Tabela3[[#This Row],[Produto]],Tabela2[],8,0),0)</f>
        <v>2.657</v>
      </c>
      <c r="AJ1001" s="35">
        <f ca="1">IFERROR(VLOOKUP(Tabela3[[#This Row],[Produto]],Tabela2[],13,0),0)</f>
        <v>15.600000000000001</v>
      </c>
      <c r="AK1001" s="48" t="str">
        <f>IFERROR(VLOOKUP(Tabela3[[#This Row],[Produto]],Tabela2[],14,0),0)</f>
        <v>Jumil</v>
      </c>
      <c r="AL1001" s="40">
        <f>IFERROR(VLOOKUP(Tabela3[[#This Row],[Produto]],Tabela2[],15,0),0)</f>
        <v>10</v>
      </c>
      <c r="AM1001" s="36">
        <f ca="1">(Tabela3[[#This Row],[Custo Usinagem]]+Tabela3[[#This Row],[Custo / Pç]])*1.2</f>
        <v>73.664732241387355</v>
      </c>
      <c r="AN1001" s="36">
        <f ca="1">Tabela3[[#This Row],[Valor Mínimo Venda]]*1.15</f>
        <v>84.71444207759545</v>
      </c>
      <c r="AO1001" s="36">
        <f ca="1">Tabela3[[#This Row],[Tabela 1]]*1.08</f>
        <v>91.491597443803087</v>
      </c>
      <c r="AP1001" s="36">
        <f ca="1">Tabela3[[#This Row],[Tabela 2]]*1.15</f>
        <v>105.21533706037354</v>
      </c>
    </row>
    <row r="1002" spans="1:42">
      <c r="A1002" s="9">
        <v>46086</v>
      </c>
      <c r="B1002" s="6" t="s">
        <v>241</v>
      </c>
      <c r="C1002" s="14">
        <v>9124</v>
      </c>
      <c r="D1002" s="6" t="s">
        <v>46</v>
      </c>
      <c r="E1002" s="6" t="s">
        <v>44</v>
      </c>
      <c r="F1002" s="6">
        <v>40</v>
      </c>
      <c r="G1002" s="15">
        <v>0.21458333333333332</v>
      </c>
      <c r="H1002" s="16">
        <v>2</v>
      </c>
      <c r="I1002" s="35">
        <f ca="1">IFERROR(Tabela3[[#This Row],[Custo Total]]/Tabela3[[#This Row],[Aluminio Util]],0)</f>
        <v>24.482744866656315</v>
      </c>
      <c r="J1002" s="35">
        <f ca="1">Tabela3[[#This Row],[Custo Total]]/Tabela3[[#This Row],[Realizado]]</f>
        <v>15.007922603260321</v>
      </c>
      <c r="K1002" s="37">
        <f>IFERROR(Tabela3[[#This Row],[Qtde Cx Produzida]]/Tabela3[[#This Row],[Tempo]]/24,0)</f>
        <v>7.766990291262136</v>
      </c>
      <c r="L1002" s="37">
        <f>Tabela3[[#This Row],[Qtde Cx Produzida]]*Tabela3[[#This Row],[Qdt Peça Placa]]</f>
        <v>160</v>
      </c>
      <c r="M1002" s="37">
        <f>Tabela3[[#This Row],[Previsto]]-Tabela3[[#This Row],[Perda Pçs]]</f>
        <v>158</v>
      </c>
      <c r="N1002" s="38">
        <f>IFERROR(Tabela3[[#This Row],[Perda Pçs]]/Tabela3[[#This Row],[Previsto]],0)</f>
        <v>1.2500000000000001E-2</v>
      </c>
      <c r="O1002" s="39">
        <f>IFERROR(IF(Tabela3[[#This Row],[Qtde Cx Produzida]] &lt;&gt; 0, Tabela3[[#This Row],[Tempo]] / Tabela3[[#This Row],[Qtde Cx Produzida]], 0),0)</f>
        <v>5.3645833333333332E-3</v>
      </c>
      <c r="P1002" s="57">
        <f>IFERROR(Tabela3[[#This Row],[Perda Pçs]]/Tabela3[[#This Row],[Qdt Peça Placa]],0)</f>
        <v>0.5</v>
      </c>
      <c r="Q1002" s="37">
        <f>IFERROR(Tabela3[[#This Row],[Realizado]]*Tabela3[[#This Row],[Peso Util/Pç]],0)</f>
        <v>96.853999999999999</v>
      </c>
      <c r="R1002" s="37">
        <f>IFERROR(Tabela3[[#This Row],[Peso Total Galho]]*Tabela3[[#This Row],[Qtde Cx Produzida]]*1.055,0)</f>
        <v>183.57</v>
      </c>
      <c r="S1002" s="37">
        <f>(Tabela3[[#This Row],[Aluminio Bruto]]-Tabela3[[#This Row],[Aluminio Util]])*0.9</f>
        <v>78.044399999999996</v>
      </c>
      <c r="T1002" s="37">
        <f>Tabela3[[#This Row],[Aluminio Bruto]]/OleoKGAluminio</f>
        <v>77.227661646270349</v>
      </c>
      <c r="U1002" s="35">
        <f>IFERROR((VLOOKUP(Tabela3[[#This Row],[Moldador]],Tabela1[],5,)+(VLOOKUP(Tabela3[[#This Row],[Ajudante]],Tabela1[],5,))*3.5),0)</f>
        <v>126.0945</v>
      </c>
      <c r="V1002" s="35">
        <f>IFERROR(Tabela3[[#This Row],[Custo M.O. / H]]/((Tabela3[[#This Row],[Realizado]]/Tabela3[[#This Row],[Qdt Peça Placa]])/Tabela3[[#This Row],[Tempo]]/24),)</f>
        <v>16.440168987341771</v>
      </c>
      <c r="W1002" s="35">
        <f>Tabela3[[#This Row],[Custo / Cx Moldada]]*Tabela3[[#This Row],[Qtde Cx Produzida]]</f>
        <v>657.60675949367078</v>
      </c>
      <c r="X1002" s="35">
        <f ca="1">Tabela3[[#This Row],[Aluminio Util]]*Tabela3[[#This Row],[Custo/Kg]]</f>
        <v>1510.9224000000002</v>
      </c>
      <c r="Y1002" s="35">
        <f>IFERROR(VLOOKUP(Tabela3[[#This Row],[Data]],Tabela461213[],2,1)*(Tabela3[[#This Row],[Qtde Cx Produzida]]*Tabela3[[#This Row],[Qde macho / CX]]*Tabela3[[#This Row],[Peso Macho]]),)</f>
        <v>0</v>
      </c>
      <c r="Z1002" s="35">
        <f>IFERROR(Tabela3[[#This Row],[Qtde Oleo]]*(VLOOKUP(Tabela3[[#This Row],[Data]],CompraOleo[],3,TRUE))*1.05,0)</f>
        <v>202.72261182145968</v>
      </c>
      <c r="AA1002" s="47">
        <f ca="1">(Tabela3[[#This Row],[Custo Oleo]]+Tabela3[[#This Row],[Custo Aluminio]]+Tabela3[[#This Row],[Custo M.O. Total]]+Tabela3[[#This Row],[Custo Machos]])</f>
        <v>2371.2517713151306</v>
      </c>
      <c r="AB1002" s="47">
        <f ca="1">Tabela3[[#This Row],[Custo Total]]*Tabela3[[#This Row],[% Perda]]</f>
        <v>29.640647141439132</v>
      </c>
      <c r="AC1002" s="40">
        <f>IFERROR(VLOOKUP(Tabela3[[#This Row],[Produto]],Tabela2[],2,0),0)</f>
        <v>4</v>
      </c>
      <c r="AD1002" s="48">
        <f>IFERROR(VLOOKUP(Tabela3[[#This Row],[Produto]],Tabela2[],3,0),0)</f>
        <v>0.61299999999999999</v>
      </c>
      <c r="AE1002" s="48">
        <f>IFERROR(VLOOKUP(Tabela3[[#This Row],[Produto]],Tabela2[],4,0),0)</f>
        <v>4.3499999999999996</v>
      </c>
      <c r="AF1002" s="48">
        <f>IFERROR(VLOOKUP(Tabela3[[#This Row],[Produto]],Tabela2[],5,0),0)</f>
        <v>1.7081999999999997</v>
      </c>
      <c r="AG1002" s="48">
        <f>IFERROR(VLOOKUP(Tabela3[[#This Row],[Produto]],Tabela2[],6,0),0)</f>
        <v>0</v>
      </c>
      <c r="AH1002" s="40">
        <f>IFERROR(VLOOKUP(Tabela3[[#This Row],[Produto]],Tabela2[],7,0),0)</f>
        <v>0</v>
      </c>
      <c r="AI1002" s="40">
        <f>IFERROR(VLOOKUP(Tabela3[[#This Row],[Produto]],Tabela2[],8,0),0)</f>
        <v>0</v>
      </c>
      <c r="AJ1002" s="35">
        <f ca="1">IFERROR(VLOOKUP(Tabela3[[#This Row],[Produto]],Tabela2[],13,0),0)</f>
        <v>15.600000000000001</v>
      </c>
      <c r="AK1002" s="48" t="str">
        <f>IFERROR(VLOOKUP(Tabela3[[#This Row],[Produto]],Tabela2[],14,0),0)</f>
        <v>Senun</v>
      </c>
      <c r="AL1002" s="40">
        <f>IFERROR(VLOOKUP(Tabela3[[#This Row],[Produto]],Tabela2[],15,0),0)</f>
        <v>4</v>
      </c>
      <c r="AM1002" s="36">
        <f ca="1">(Tabela3[[#This Row],[Custo Usinagem]]+Tabela3[[#This Row],[Custo / Pç]])*1.2</f>
        <v>22.809507123912383</v>
      </c>
      <c r="AN1002" s="36">
        <f ca="1">Tabela3[[#This Row],[Valor Mínimo Venda]]*1.15</f>
        <v>26.230933192499236</v>
      </c>
      <c r="AO1002" s="36">
        <f ca="1">Tabela3[[#This Row],[Tabela 1]]*1.08</f>
        <v>28.329407847899176</v>
      </c>
      <c r="AP1002" s="36">
        <f ca="1">Tabela3[[#This Row],[Tabela 2]]*1.15</f>
        <v>32.578819025084051</v>
      </c>
    </row>
    <row r="1003" spans="1:42">
      <c r="A1003" s="9">
        <v>46086</v>
      </c>
      <c r="B1003" s="9" t="s">
        <v>91</v>
      </c>
      <c r="C1003" s="14">
        <v>9131</v>
      </c>
      <c r="D1003" s="6" t="s">
        <v>46</v>
      </c>
      <c r="E1003" s="6" t="s">
        <v>44</v>
      </c>
      <c r="F1003" s="6">
        <v>10</v>
      </c>
      <c r="G1003" s="15">
        <v>4.9305555555555554E-2</v>
      </c>
      <c r="H1003" s="16">
        <v>0</v>
      </c>
      <c r="I1003" s="35">
        <f ca="1">IFERROR(Tabela3[[#This Row],[Custo Total]]/Tabela3[[#This Row],[Aluminio Util]],0)</f>
        <v>39.735779537197722</v>
      </c>
      <c r="J1003" s="35">
        <f ca="1">Tabela3[[#This Row],[Custo Total]]/Tabela3[[#This Row],[Realizado]]</f>
        <v>31.152851157163013</v>
      </c>
      <c r="K1003" s="37">
        <f>IFERROR(Tabela3[[#This Row],[Qtde Cx Produzida]]/Tabela3[[#This Row],[Tempo]]/24,0)</f>
        <v>8.4507042253521139</v>
      </c>
      <c r="L1003" s="37">
        <f>Tabela3[[#This Row],[Qtde Cx Produzida]]*Tabela3[[#This Row],[Qdt Peça Placa]]</f>
        <v>40</v>
      </c>
      <c r="M1003" s="37">
        <f>Tabela3[[#This Row],[Previsto]]-Tabela3[[#This Row],[Perda Pçs]]</f>
        <v>40</v>
      </c>
      <c r="N1003" s="38">
        <f>IFERROR(Tabela3[[#This Row],[Perda Pçs]]/Tabela3[[#This Row],[Previsto]],0)</f>
        <v>0</v>
      </c>
      <c r="O1003" s="39">
        <f>IFERROR(IF(Tabela3[[#This Row],[Qtde Cx Produzida]] &lt;&gt; 0, Tabela3[[#This Row],[Tempo]] / Tabela3[[#This Row],[Qtde Cx Produzida]], 0),0)</f>
        <v>4.9305555555555552E-3</v>
      </c>
      <c r="P1003" s="57">
        <f>IFERROR(Tabela3[[#This Row],[Perda Pçs]]/Tabela3[[#This Row],[Qdt Peça Placa]],0)</f>
        <v>0</v>
      </c>
      <c r="Q1003" s="37">
        <f>IFERROR(Tabela3[[#This Row],[Realizado]]*Tabela3[[#This Row],[Peso Util/Pç]],0)</f>
        <v>31.36</v>
      </c>
      <c r="R1003" s="37">
        <f>IFERROR(Tabela3[[#This Row],[Peso Total Galho]]*Tabela3[[#This Row],[Qtde Cx Produzida]]*1.055,0)</f>
        <v>58.531399999999998</v>
      </c>
      <c r="S1003" s="37">
        <f>(Tabela3[[#This Row],[Aluminio Bruto]]-Tabela3[[#This Row],[Aluminio Util]])*0.9</f>
        <v>24.454259999999998</v>
      </c>
      <c r="T1003" s="37">
        <f>Tabela3[[#This Row],[Aluminio Bruto]]/OleoKGAluminio</f>
        <v>24.62408429962689</v>
      </c>
      <c r="U1003" s="35">
        <f>IFERROR((VLOOKUP(Tabela3[[#This Row],[Moldador]],Tabela1[],5,)+(VLOOKUP(Tabela3[[#This Row],[Ajudante]],Tabela1[],5,))*3.5),0)</f>
        <v>126.0945</v>
      </c>
      <c r="V1003" s="35">
        <f>IFERROR(Tabela3[[#This Row],[Custo M.O. / H]]/((Tabela3[[#This Row],[Realizado]]/Tabela3[[#This Row],[Qdt Peça Placa]])/Tabela3[[#This Row],[Tempo]]/24),)</f>
        <v>14.921182499999997</v>
      </c>
      <c r="W1003" s="35">
        <f>Tabela3[[#This Row],[Custo / Cx Moldada]]*Tabela3[[#This Row],[Qtde Cx Produzida]]</f>
        <v>149.21182499999998</v>
      </c>
      <c r="X1003" s="35">
        <f ca="1">Tabela3[[#This Row],[Aluminio Util]]*Tabela3[[#This Row],[Custo/Kg]]</f>
        <v>489.21600000000001</v>
      </c>
      <c r="Y1003" s="35">
        <f>IFERROR(VLOOKUP(Tabela3[[#This Row],[Data]],Tabela461213[],2,1)*(Tabela3[[#This Row],[Qtde Cx Produzida]]*Tabela3[[#This Row],[Qde macho / CX]]*Tabela3[[#This Row],[Peso Macho]]),)</f>
        <v>543.048</v>
      </c>
      <c r="Z1003" s="35">
        <f>IFERROR(Tabela3[[#This Row],[Qtde Oleo]]*(VLOOKUP(Tabela3[[#This Row],[Data]],CompraOleo[],3,TRUE))*1.05,0)</f>
        <v>64.63822128652059</v>
      </c>
      <c r="AA1003" s="47">
        <f ca="1">(Tabela3[[#This Row],[Custo Oleo]]+Tabela3[[#This Row],[Custo Aluminio]]+Tabela3[[#This Row],[Custo M.O. Total]]+Tabela3[[#This Row],[Custo Machos]])</f>
        <v>1246.1140462865205</v>
      </c>
      <c r="AB1003" s="47">
        <f ca="1">Tabela3[[#This Row],[Custo Total]]*Tabela3[[#This Row],[% Perda]]</f>
        <v>0</v>
      </c>
      <c r="AC1003" s="40">
        <f>IFERROR(VLOOKUP(Tabela3[[#This Row],[Produto]],Tabela2[],2,0),0)</f>
        <v>4</v>
      </c>
      <c r="AD1003" s="48">
        <f>IFERROR(VLOOKUP(Tabela3[[#This Row],[Produto]],Tabela2[],3,0),0)</f>
        <v>0.78400000000000003</v>
      </c>
      <c r="AE1003" s="48">
        <f>IFERROR(VLOOKUP(Tabela3[[#This Row],[Produto]],Tabela2[],4,0),0)</f>
        <v>5.548</v>
      </c>
      <c r="AF1003" s="48">
        <f>IFERROR(VLOOKUP(Tabela3[[#This Row],[Produto]],Tabela2[],5,0),0)</f>
        <v>2.1707999999999998</v>
      </c>
      <c r="AG1003" s="48">
        <f>IFERROR(VLOOKUP(Tabela3[[#This Row],[Produto]],Tabela2[],6,0),0)</f>
        <v>0</v>
      </c>
      <c r="AH1003" s="40">
        <f>IFERROR(VLOOKUP(Tabela3[[#This Row],[Produto]],Tabela2[],7,0),0)</f>
        <v>12</v>
      </c>
      <c r="AI1003" s="40">
        <f>IFERROR(VLOOKUP(Tabela3[[#This Row],[Produto]],Tabela2[],8,0),0)</f>
        <v>2.6619999999999999</v>
      </c>
      <c r="AJ1003" s="35">
        <f ca="1">IFERROR(VLOOKUP(Tabela3[[#This Row],[Produto]],Tabela2[],13,0),0)</f>
        <v>15.600000000000001</v>
      </c>
      <c r="AK1003" s="48" t="str">
        <f>IFERROR(VLOOKUP(Tabela3[[#This Row],[Produto]],Tabela2[],14,0),0)</f>
        <v>Jumil</v>
      </c>
      <c r="AL1003" s="40">
        <f>IFERROR(VLOOKUP(Tabela3[[#This Row],[Produto]],Tabela2[],15,0),0)</f>
        <v>8</v>
      </c>
      <c r="AM1003" s="36">
        <f ca="1">(Tabela3[[#This Row],[Custo Usinagem]]+Tabela3[[#This Row],[Custo / Pç]])*1.2</f>
        <v>46.983421388595616</v>
      </c>
      <c r="AN1003" s="36">
        <f ca="1">Tabela3[[#This Row],[Valor Mínimo Venda]]*1.15</f>
        <v>54.030934596884954</v>
      </c>
      <c r="AO1003" s="36">
        <f ca="1">Tabela3[[#This Row],[Tabela 1]]*1.08</f>
        <v>58.353409364635752</v>
      </c>
      <c r="AP1003" s="36">
        <f ca="1">Tabela3[[#This Row],[Tabela 2]]*1.15</f>
        <v>67.106420769331109</v>
      </c>
    </row>
    <row r="1004" spans="1:42">
      <c r="A1004" s="9">
        <v>46086</v>
      </c>
      <c r="B1004" s="9" t="s">
        <v>247</v>
      </c>
      <c r="C1004" s="14">
        <v>9123</v>
      </c>
      <c r="D1004" s="6" t="s">
        <v>46</v>
      </c>
      <c r="E1004" s="6" t="s">
        <v>44</v>
      </c>
      <c r="F1004" s="6">
        <v>11</v>
      </c>
      <c r="G1004" s="15">
        <v>5.347222222222222E-2</v>
      </c>
      <c r="H1004" s="16">
        <v>0</v>
      </c>
      <c r="I1004" s="35">
        <f ca="1">IFERROR(Tabela3[[#This Row],[Custo Total]]/Tabela3[[#This Row],[Aluminio Util]],0)</f>
        <v>30.092243089987342</v>
      </c>
      <c r="J1004" s="35">
        <f ca="1">Tabela3[[#This Row],[Custo Total]]/Tabela3[[#This Row],[Realizado]]</f>
        <v>9.0276729269962015</v>
      </c>
      <c r="K1004" s="37">
        <f>IFERROR(Tabela3[[#This Row],[Qtde Cx Produzida]]/Tabela3[[#This Row],[Tempo]]/24,0)</f>
        <v>8.5714285714285712</v>
      </c>
      <c r="L1004" s="37">
        <f>Tabela3[[#This Row],[Qtde Cx Produzida]]*Tabela3[[#This Row],[Qdt Peça Placa]]</f>
        <v>44</v>
      </c>
      <c r="M1004" s="37">
        <f>Tabela3[[#This Row],[Previsto]]-Tabela3[[#This Row],[Perda Pçs]]</f>
        <v>44</v>
      </c>
      <c r="N1004" s="38">
        <f>IFERROR(Tabela3[[#This Row],[Perda Pçs]]/Tabela3[[#This Row],[Previsto]],0)</f>
        <v>0</v>
      </c>
      <c r="O1004" s="39">
        <f>IFERROR(IF(Tabela3[[#This Row],[Qtde Cx Produzida]] &lt;&gt; 0, Tabela3[[#This Row],[Tempo]] / Tabela3[[#This Row],[Qtde Cx Produzida]], 0),0)</f>
        <v>4.8611111111111112E-3</v>
      </c>
      <c r="P1004" s="57">
        <f>IFERROR(Tabela3[[#This Row],[Perda Pçs]]/Tabela3[[#This Row],[Qdt Peça Placa]],0)</f>
        <v>0</v>
      </c>
      <c r="Q1004" s="37">
        <f>IFERROR(Tabela3[[#This Row],[Realizado]]*Tabela3[[#This Row],[Peso Util/Pç]],0)</f>
        <v>13.2</v>
      </c>
      <c r="R1004" s="37">
        <f>IFERROR(Tabela3[[#This Row],[Peso Total Galho]]*Tabela3[[#This Row],[Qtde Cx Produzida]]*1.055,0)</f>
        <v>26.691499999999994</v>
      </c>
      <c r="S1004" s="37">
        <f>(Tabela3[[#This Row],[Aluminio Bruto]]-Tabela3[[#This Row],[Aluminio Util]])*0.9</f>
        <v>12.142349999999995</v>
      </c>
      <c r="T1004" s="37">
        <f>Tabela3[[#This Row],[Aluminio Bruto]]/OleoKGAluminio</f>
        <v>11.229079538222067</v>
      </c>
      <c r="U1004" s="35">
        <f>IFERROR((VLOOKUP(Tabela3[[#This Row],[Moldador]],Tabela1[],5,)+(VLOOKUP(Tabela3[[#This Row],[Ajudante]],Tabela1[],5,))*3.5),0)</f>
        <v>126.0945</v>
      </c>
      <c r="V1004" s="35">
        <f>IFERROR(Tabela3[[#This Row],[Custo M.O. / H]]/((Tabela3[[#This Row],[Realizado]]/Tabela3[[#This Row],[Qdt Peça Placa]])/Tabela3[[#This Row],[Tempo]]/24),)</f>
        <v>14.711024999999999</v>
      </c>
      <c r="W1004" s="35">
        <f>Tabela3[[#This Row],[Custo / Cx Moldada]]*Tabela3[[#This Row],[Qtde Cx Produzida]]</f>
        <v>161.82127499999999</v>
      </c>
      <c r="X1004" s="35">
        <f ca="1">Tabela3[[#This Row],[Aluminio Util]]*Tabela3[[#This Row],[Custo/Kg]]</f>
        <v>205.92000000000002</v>
      </c>
      <c r="Y1004" s="35">
        <f>IFERROR(VLOOKUP(Tabela3[[#This Row],[Data]],Tabela461213[],2,1)*(Tabela3[[#This Row],[Qtde Cx Produzida]]*Tabela3[[#This Row],[Qde macho / CX]]*Tabela3[[#This Row],[Peso Macho]]),)</f>
        <v>0</v>
      </c>
      <c r="Z1004" s="35">
        <f>IFERROR(Tabela3[[#This Row],[Qtde Oleo]]*(VLOOKUP(Tabela3[[#This Row],[Data]],CompraOleo[],3,TRUE))*1.05,0)</f>
        <v>29.476333787832925</v>
      </c>
      <c r="AA1004" s="47">
        <f ca="1">(Tabela3[[#This Row],[Custo Oleo]]+Tabela3[[#This Row],[Custo Aluminio]]+Tabela3[[#This Row],[Custo M.O. Total]]+Tabela3[[#This Row],[Custo Machos]])</f>
        <v>397.21760878783289</v>
      </c>
      <c r="AB1004" s="47">
        <f ca="1">Tabela3[[#This Row],[Custo Total]]*Tabela3[[#This Row],[% Perda]]</f>
        <v>0</v>
      </c>
      <c r="AC1004" s="40">
        <f>IFERROR(VLOOKUP(Tabela3[[#This Row],[Produto]],Tabela2[],2,0),0)</f>
        <v>4</v>
      </c>
      <c r="AD1004" s="48">
        <f>IFERROR(VLOOKUP(Tabela3[[#This Row],[Produto]],Tabela2[],3,0),0)</f>
        <v>0.3</v>
      </c>
      <c r="AE1004" s="48">
        <f>IFERROR(VLOOKUP(Tabela3[[#This Row],[Produto]],Tabela2[],4,0),0)</f>
        <v>2.2999999999999998</v>
      </c>
      <c r="AF1004" s="48">
        <f>IFERROR(VLOOKUP(Tabela3[[#This Row],[Produto]],Tabela2[],5,0),0)</f>
        <v>0.98999999999999988</v>
      </c>
      <c r="AG1004" s="48">
        <f>IFERROR(VLOOKUP(Tabela3[[#This Row],[Produto]],Tabela2[],6,0),0)</f>
        <v>0</v>
      </c>
      <c r="AH1004" s="40">
        <f>IFERROR(VLOOKUP(Tabela3[[#This Row],[Produto]],Tabela2[],7,0),0)</f>
        <v>0</v>
      </c>
      <c r="AI1004" s="40">
        <f>IFERROR(VLOOKUP(Tabela3[[#This Row],[Produto]],Tabela2[],8,0),0)</f>
        <v>0</v>
      </c>
      <c r="AJ1004" s="35">
        <f ca="1">IFERROR(VLOOKUP(Tabela3[[#This Row],[Produto]],Tabela2[],13,0),0)</f>
        <v>15.600000000000001</v>
      </c>
      <c r="AK1004" s="48" t="str">
        <f>IFERROR(VLOOKUP(Tabela3[[#This Row],[Produto]],Tabela2[],14,0),0)</f>
        <v>Senun</v>
      </c>
      <c r="AL1004" s="40">
        <f>IFERROR(VLOOKUP(Tabela3[[#This Row],[Produto]],Tabela2[],15,0),0)</f>
        <v>3.5</v>
      </c>
      <c r="AM1004" s="36">
        <f ca="1">(Tabela3[[#This Row],[Custo Usinagem]]+Tabela3[[#This Row],[Custo / Pç]])*1.2</f>
        <v>15.033207512395441</v>
      </c>
      <c r="AN1004" s="36">
        <f ca="1">Tabela3[[#This Row],[Valor Mínimo Venda]]*1.15</f>
        <v>17.288188639254756</v>
      </c>
      <c r="AO1004" s="36">
        <f ca="1">Tabela3[[#This Row],[Tabela 1]]*1.08</f>
        <v>18.671243730395137</v>
      </c>
      <c r="AP1004" s="36">
        <f ca="1">Tabela3[[#This Row],[Tabela 2]]*1.15</f>
        <v>21.471930289954404</v>
      </c>
    </row>
    <row r="1005" spans="1:42">
      <c r="A1005" s="9">
        <v>46087</v>
      </c>
      <c r="B1005" s="9" t="s">
        <v>247</v>
      </c>
      <c r="C1005" s="14">
        <v>9123</v>
      </c>
      <c r="D1005" s="6" t="s">
        <v>46</v>
      </c>
      <c r="E1005" s="6" t="s">
        <v>44</v>
      </c>
      <c r="F1005" s="6">
        <v>20</v>
      </c>
      <c r="G1005" s="15">
        <v>9.375E-2</v>
      </c>
      <c r="H1005" s="16">
        <v>11</v>
      </c>
      <c r="I1005" s="35">
        <f ca="1">IFERROR(Tabela3[[#This Row],[Custo Total]]/Tabela3[[#This Row],[Aluminio Util]],0)</f>
        <v>34.079976235398057</v>
      </c>
      <c r="J1005" s="35">
        <f ca="1">Tabela3[[#This Row],[Custo Total]]/Tabela3[[#This Row],[Realizado]]</f>
        <v>10.223992870619416</v>
      </c>
      <c r="K1005" s="37">
        <f>IFERROR(Tabela3[[#This Row],[Qtde Cx Produzida]]/Tabela3[[#This Row],[Tempo]]/24,0)</f>
        <v>8.8888888888888893</v>
      </c>
      <c r="L1005" s="37">
        <f>Tabela3[[#This Row],[Qtde Cx Produzida]]*Tabela3[[#This Row],[Qdt Peça Placa]]</f>
        <v>80</v>
      </c>
      <c r="M1005" s="37">
        <f>Tabela3[[#This Row],[Previsto]]-Tabela3[[#This Row],[Perda Pçs]]</f>
        <v>69</v>
      </c>
      <c r="N1005" s="38">
        <f>IFERROR(Tabela3[[#This Row],[Perda Pçs]]/Tabela3[[#This Row],[Previsto]],0)</f>
        <v>0.13750000000000001</v>
      </c>
      <c r="O1005" s="39">
        <f>IFERROR(IF(Tabela3[[#This Row],[Qtde Cx Produzida]] &lt;&gt; 0, Tabela3[[#This Row],[Tempo]] / Tabela3[[#This Row],[Qtde Cx Produzida]], 0),0)</f>
        <v>4.6874999999999998E-3</v>
      </c>
      <c r="P1005" s="57">
        <f>IFERROR(Tabela3[[#This Row],[Perda Pçs]]/Tabela3[[#This Row],[Qdt Peça Placa]],0)</f>
        <v>2.75</v>
      </c>
      <c r="Q1005" s="37">
        <f>IFERROR(Tabela3[[#This Row],[Realizado]]*Tabela3[[#This Row],[Peso Util/Pç]],0)</f>
        <v>20.7</v>
      </c>
      <c r="R1005" s="37">
        <f>IFERROR(Tabela3[[#This Row],[Peso Total Galho]]*Tabela3[[#This Row],[Qtde Cx Produzida]]*1.055,0)</f>
        <v>48.529999999999994</v>
      </c>
      <c r="S1005" s="37">
        <f>(Tabela3[[#This Row],[Aluminio Bruto]]-Tabela3[[#This Row],[Aluminio Util]])*0.9</f>
        <v>25.046999999999997</v>
      </c>
      <c r="T1005" s="37">
        <f>Tabela3[[#This Row],[Aluminio Bruto]]/OleoKGAluminio</f>
        <v>20.416508251312848</v>
      </c>
      <c r="U1005" s="35">
        <f>IFERROR((VLOOKUP(Tabela3[[#This Row],[Moldador]],Tabela1[],5,)+(VLOOKUP(Tabela3[[#This Row],[Ajudante]],Tabela1[],5,))*3.5),0)</f>
        <v>126.0945</v>
      </c>
      <c r="V1005" s="35">
        <f>IFERROR(Tabela3[[#This Row],[Custo M.O. / H]]/((Tabela3[[#This Row],[Realizado]]/Tabela3[[#This Row],[Qdt Peça Placa]])/Tabela3[[#This Row],[Tempo]]/24),)</f>
        <v>16.447108695652172</v>
      </c>
      <c r="W1005" s="35">
        <f>Tabela3[[#This Row],[Custo / Cx Moldada]]*Tabela3[[#This Row],[Qtde Cx Produzida]]</f>
        <v>328.94217391304346</v>
      </c>
      <c r="X1005" s="35">
        <f ca="1">Tabela3[[#This Row],[Aluminio Util]]*Tabela3[[#This Row],[Custo/Kg]]</f>
        <v>322.92</v>
      </c>
      <c r="Y1005" s="35">
        <f>IFERROR(VLOOKUP(Tabela3[[#This Row],[Data]],Tabela461213[],2,1)*(Tabela3[[#This Row],[Qtde Cx Produzida]]*Tabela3[[#This Row],[Qde macho / CX]]*Tabela3[[#This Row],[Peso Macho]]),)</f>
        <v>0</v>
      </c>
      <c r="Z1005" s="35">
        <f>IFERROR(Tabela3[[#This Row],[Qtde Oleo]]*(VLOOKUP(Tabela3[[#This Row],[Data]],CompraOleo[],3,TRUE))*1.05,0)</f>
        <v>53.593334159696226</v>
      </c>
      <c r="AA1005" s="47">
        <f ca="1">(Tabela3[[#This Row],[Custo Oleo]]+Tabela3[[#This Row],[Custo Aluminio]]+Tabela3[[#This Row],[Custo M.O. Total]]+Tabela3[[#This Row],[Custo Machos]])</f>
        <v>705.45550807273969</v>
      </c>
      <c r="AB1005" s="47">
        <f ca="1">Tabela3[[#This Row],[Custo Total]]*Tabela3[[#This Row],[% Perda]]</f>
        <v>97.000132360001714</v>
      </c>
      <c r="AC1005" s="40">
        <f>IFERROR(VLOOKUP(Tabela3[[#This Row],[Produto]],Tabela2[],2,0),0)</f>
        <v>4</v>
      </c>
      <c r="AD1005" s="48">
        <f>IFERROR(VLOOKUP(Tabela3[[#This Row],[Produto]],Tabela2[],3,0),0)</f>
        <v>0.3</v>
      </c>
      <c r="AE1005" s="48">
        <f>IFERROR(VLOOKUP(Tabela3[[#This Row],[Produto]],Tabela2[],4,0),0)</f>
        <v>2.2999999999999998</v>
      </c>
      <c r="AF1005" s="48">
        <f>IFERROR(VLOOKUP(Tabela3[[#This Row],[Produto]],Tabela2[],5,0),0)</f>
        <v>0.98999999999999988</v>
      </c>
      <c r="AG1005" s="48">
        <f>IFERROR(VLOOKUP(Tabela3[[#This Row],[Produto]],Tabela2[],6,0),0)</f>
        <v>0</v>
      </c>
      <c r="AH1005" s="40">
        <f>IFERROR(VLOOKUP(Tabela3[[#This Row],[Produto]],Tabela2[],7,0),0)</f>
        <v>0</v>
      </c>
      <c r="AI1005" s="40">
        <f>IFERROR(VLOOKUP(Tabela3[[#This Row],[Produto]],Tabela2[],8,0),0)</f>
        <v>0</v>
      </c>
      <c r="AJ1005" s="35">
        <f ca="1">IFERROR(VLOOKUP(Tabela3[[#This Row],[Produto]],Tabela2[],13,0),0)</f>
        <v>15.600000000000001</v>
      </c>
      <c r="AK1005" s="48" t="str">
        <f>IFERROR(VLOOKUP(Tabela3[[#This Row],[Produto]],Tabela2[],14,0),0)</f>
        <v>Senun</v>
      </c>
      <c r="AL1005" s="40">
        <f>IFERROR(VLOOKUP(Tabela3[[#This Row],[Produto]],Tabela2[],15,0),0)</f>
        <v>3.5</v>
      </c>
      <c r="AM1005" s="36">
        <f ca="1">(Tabela3[[#This Row],[Custo Usinagem]]+Tabela3[[#This Row],[Custo / Pç]])*1.2</f>
        <v>16.468791444743299</v>
      </c>
      <c r="AN1005" s="36">
        <f ca="1">Tabela3[[#This Row],[Valor Mínimo Venda]]*1.15</f>
        <v>18.939110161454792</v>
      </c>
      <c r="AO1005" s="36">
        <f ca="1">Tabela3[[#This Row],[Tabela 1]]*1.08</f>
        <v>20.454238974371176</v>
      </c>
      <c r="AP1005" s="36">
        <f ca="1">Tabela3[[#This Row],[Tabela 2]]*1.15</f>
        <v>23.522374820526849</v>
      </c>
    </row>
    <row r="1006" spans="1:42">
      <c r="A1006" s="9">
        <v>46087</v>
      </c>
      <c r="B1006" s="9" t="s">
        <v>248</v>
      </c>
      <c r="C1006" s="14">
        <v>9125</v>
      </c>
      <c r="D1006" s="6" t="s">
        <v>46</v>
      </c>
      <c r="E1006" s="6" t="s">
        <v>44</v>
      </c>
      <c r="F1006" s="6">
        <v>20</v>
      </c>
      <c r="G1006" s="15">
        <v>7.2222222222222215E-2</v>
      </c>
      <c r="H1006" s="16">
        <v>17</v>
      </c>
      <c r="I1006" s="35">
        <f ca="1">IFERROR(Tabela3[[#This Row],[Custo Total]]/Tabela3[[#This Row],[Aluminio Util]],0)</f>
        <v>30.281859869337133</v>
      </c>
      <c r="J1006" s="35">
        <f ca="1">Tabela3[[#This Row],[Custo Total]]/Tabela3[[#This Row],[Realizado]]</f>
        <v>10.840905833222692</v>
      </c>
      <c r="K1006" s="37">
        <f>IFERROR(Tabela3[[#This Row],[Qtde Cx Produzida]]/Tabela3[[#This Row],[Tempo]]/24,0)</f>
        <v>11.53846153846154</v>
      </c>
      <c r="L1006" s="37">
        <f>Tabela3[[#This Row],[Qtde Cx Produzida]]*Tabela3[[#This Row],[Qdt Peça Placa]]</f>
        <v>80</v>
      </c>
      <c r="M1006" s="37">
        <f>Tabela3[[#This Row],[Previsto]]-Tabela3[[#This Row],[Perda Pçs]]</f>
        <v>63</v>
      </c>
      <c r="N1006" s="38">
        <f>IFERROR(Tabela3[[#This Row],[Perda Pçs]]/Tabela3[[#This Row],[Previsto]],0)</f>
        <v>0.21249999999999999</v>
      </c>
      <c r="O1006" s="39">
        <f>IFERROR(IF(Tabela3[[#This Row],[Qtde Cx Produzida]] &lt;&gt; 0, Tabela3[[#This Row],[Tempo]] / Tabela3[[#This Row],[Qtde Cx Produzida]], 0),0)</f>
        <v>3.6111111111111109E-3</v>
      </c>
      <c r="P1006" s="57">
        <f>IFERROR(Tabela3[[#This Row],[Perda Pçs]]/Tabela3[[#This Row],[Qdt Peça Placa]],0)</f>
        <v>4.25</v>
      </c>
      <c r="Q1006" s="37">
        <f>IFERROR(Tabela3[[#This Row],[Realizado]]*Tabela3[[#This Row],[Peso Util/Pç]],0)</f>
        <v>22.553999999999998</v>
      </c>
      <c r="R1006" s="37">
        <f>IFERROR(Tabela3[[#This Row],[Peso Total Galho]]*Tabela3[[#This Row],[Qtde Cx Produzida]]*1.055,0)</f>
        <v>48.529999999999994</v>
      </c>
      <c r="S1006" s="37">
        <f>(Tabela3[[#This Row],[Aluminio Bruto]]-Tabela3[[#This Row],[Aluminio Util]])*0.9</f>
        <v>23.378399999999996</v>
      </c>
      <c r="T1006" s="37">
        <f>Tabela3[[#This Row],[Aluminio Bruto]]/OleoKGAluminio</f>
        <v>20.416508251312848</v>
      </c>
      <c r="U1006" s="35">
        <f>IFERROR((VLOOKUP(Tabela3[[#This Row],[Moldador]],Tabela1[],5,)+(VLOOKUP(Tabela3[[#This Row],[Ajudante]],Tabela1[],5,))*3.5),0)</f>
        <v>126.0945</v>
      </c>
      <c r="V1006" s="35">
        <f>IFERROR(Tabela3[[#This Row],[Custo M.O. / H]]/((Tabela3[[#This Row],[Realizado]]/Tabela3[[#This Row],[Qdt Peça Placa]])/Tabela3[[#This Row],[Tempo]]/24),)</f>
        <v>13.877066666666666</v>
      </c>
      <c r="W1006" s="35">
        <f>Tabela3[[#This Row],[Custo / Cx Moldada]]*Tabela3[[#This Row],[Qtde Cx Produzida]]</f>
        <v>277.54133333333334</v>
      </c>
      <c r="X1006" s="35">
        <f ca="1">Tabela3[[#This Row],[Aluminio Util]]*Tabela3[[#This Row],[Custo/Kg]]</f>
        <v>351.8424</v>
      </c>
      <c r="Y1006" s="35">
        <f>IFERROR(VLOOKUP(Tabela3[[#This Row],[Data]],Tabela461213[],2,1)*(Tabela3[[#This Row],[Qtde Cx Produzida]]*Tabela3[[#This Row],[Qde macho / CX]]*Tabela3[[#This Row],[Peso Macho]]),)</f>
        <v>0</v>
      </c>
      <c r="Z1006" s="35">
        <f>IFERROR(Tabela3[[#This Row],[Qtde Oleo]]*(VLOOKUP(Tabela3[[#This Row],[Data]],CompraOleo[],3,TRUE))*1.05,0)</f>
        <v>53.593334159696226</v>
      </c>
      <c r="AA1006" s="47">
        <f ca="1">(Tabela3[[#This Row],[Custo Oleo]]+Tabela3[[#This Row],[Custo Aluminio]]+Tabela3[[#This Row],[Custo M.O. Total]]+Tabela3[[#This Row],[Custo Machos]])</f>
        <v>682.97706749302961</v>
      </c>
      <c r="AB1006" s="47">
        <f ca="1">Tabela3[[#This Row],[Custo Total]]*Tabela3[[#This Row],[% Perda]]</f>
        <v>145.13262684226879</v>
      </c>
      <c r="AC1006" s="40">
        <f>IFERROR(VLOOKUP(Tabela3[[#This Row],[Produto]],Tabela2[],2,0),0)</f>
        <v>4</v>
      </c>
      <c r="AD1006" s="48">
        <f>IFERROR(VLOOKUP(Tabela3[[#This Row],[Produto]],Tabela2[],3,0),0)</f>
        <v>0.35799999999999998</v>
      </c>
      <c r="AE1006" s="48">
        <f>IFERROR(VLOOKUP(Tabela3[[#This Row],[Produto]],Tabela2[],4,0),0)</f>
        <v>2.2999999999999998</v>
      </c>
      <c r="AF1006" s="48">
        <f>IFERROR(VLOOKUP(Tabela3[[#This Row],[Produto]],Tabela2[],5,0),0)</f>
        <v>0.78119999999999989</v>
      </c>
      <c r="AG1006" s="48">
        <f>IFERROR(VLOOKUP(Tabela3[[#This Row],[Produto]],Tabela2[],6,0),0)</f>
        <v>0</v>
      </c>
      <c r="AH1006" s="40">
        <f>IFERROR(VLOOKUP(Tabela3[[#This Row],[Produto]],Tabela2[],7,0),0)</f>
        <v>0</v>
      </c>
      <c r="AI1006" s="40">
        <f>IFERROR(VLOOKUP(Tabela3[[#This Row],[Produto]],Tabela2[],8,0),0)</f>
        <v>0</v>
      </c>
      <c r="AJ1006" s="35">
        <f ca="1">IFERROR(VLOOKUP(Tabela3[[#This Row],[Produto]],Tabela2[],13,0),0)</f>
        <v>15.600000000000001</v>
      </c>
      <c r="AK1006" s="48" t="str">
        <f>IFERROR(VLOOKUP(Tabela3[[#This Row],[Produto]],Tabela2[],14,0),0)</f>
        <v>Senun</v>
      </c>
      <c r="AL1006" s="40">
        <f>IFERROR(VLOOKUP(Tabela3[[#This Row],[Produto]],Tabela2[],15,0),0)</f>
        <v>4</v>
      </c>
      <c r="AM1006" s="36">
        <f ca="1">(Tabela3[[#This Row],[Custo Usinagem]]+Tabela3[[#This Row],[Custo / Pç]])*1.2</f>
        <v>17.80908699986723</v>
      </c>
      <c r="AN1006" s="36">
        <f ca="1">Tabela3[[#This Row],[Valor Mínimo Venda]]*1.15</f>
        <v>20.480450049847313</v>
      </c>
      <c r="AO1006" s="36">
        <f ca="1">Tabela3[[#This Row],[Tabela 1]]*1.08</f>
        <v>22.118886053835098</v>
      </c>
      <c r="AP1006" s="36">
        <f ca="1">Tabela3[[#This Row],[Tabela 2]]*1.15</f>
        <v>25.436718961910362</v>
      </c>
    </row>
    <row r="1007" spans="1:42">
      <c r="A1007" s="9">
        <v>46087</v>
      </c>
      <c r="B1007" s="9" t="s">
        <v>246</v>
      </c>
      <c r="C1007" s="14">
        <v>9129</v>
      </c>
      <c r="D1007" s="6" t="s">
        <v>46</v>
      </c>
      <c r="E1007" s="6" t="s">
        <v>44</v>
      </c>
      <c r="F1007" s="6">
        <v>20</v>
      </c>
      <c r="G1007" s="15">
        <v>7.7083333333333337E-2</v>
      </c>
      <c r="H1007" s="16">
        <v>5</v>
      </c>
      <c r="I1007" s="35">
        <f ca="1">IFERROR(Tabela3[[#This Row],[Custo Total]]/Tabela3[[#This Row],[Aluminio Util]],0)</f>
        <v>23.748124172466461</v>
      </c>
      <c r="J1007" s="35">
        <f ca="1">Tabela3[[#This Row],[Custo Total]]/Tabela3[[#This Row],[Realizado]]</f>
        <v>12.657750183924623</v>
      </c>
      <c r="K1007" s="37">
        <f>IFERROR(Tabela3[[#This Row],[Qtde Cx Produzida]]/Tabela3[[#This Row],[Tempo]]/24,0)</f>
        <v>10.810810810810809</v>
      </c>
      <c r="L1007" s="37">
        <f>Tabela3[[#This Row],[Qtde Cx Produzida]]*Tabela3[[#This Row],[Qdt Peça Placa]]</f>
        <v>80</v>
      </c>
      <c r="M1007" s="37">
        <f>Tabela3[[#This Row],[Previsto]]-Tabela3[[#This Row],[Perda Pçs]]</f>
        <v>75</v>
      </c>
      <c r="N1007" s="38">
        <f>IFERROR(Tabela3[[#This Row],[Perda Pçs]]/Tabela3[[#This Row],[Previsto]],0)</f>
        <v>6.25E-2</v>
      </c>
      <c r="O1007" s="39">
        <f>IFERROR(IF(Tabela3[[#This Row],[Qtde Cx Produzida]] &lt;&gt; 0, Tabela3[[#This Row],[Tempo]] / Tabela3[[#This Row],[Qtde Cx Produzida]], 0),0)</f>
        <v>3.8541666666666668E-3</v>
      </c>
      <c r="P1007" s="57">
        <f>IFERROR(Tabela3[[#This Row],[Perda Pçs]]/Tabela3[[#This Row],[Qdt Peça Placa]],0)</f>
        <v>1.25</v>
      </c>
      <c r="Q1007" s="37">
        <f>IFERROR(Tabela3[[#This Row],[Realizado]]*Tabela3[[#This Row],[Peso Util/Pç]],0)</f>
        <v>39.975000000000001</v>
      </c>
      <c r="R1007" s="37">
        <f>IFERROR(Tabela3[[#This Row],[Peso Total Galho]]*Tabela3[[#This Row],[Qtde Cx Produzida]]*1.055,0)</f>
        <v>69.63</v>
      </c>
      <c r="S1007" s="37">
        <f>(Tabela3[[#This Row],[Aluminio Bruto]]-Tabela3[[#This Row],[Aluminio Util]])*0.9</f>
        <v>26.689499999999995</v>
      </c>
      <c r="T1007" s="37">
        <f>Tabela3[[#This Row],[Aluminio Bruto]]/OleoKGAluminio</f>
        <v>29.293250969274961</v>
      </c>
      <c r="U1007" s="35">
        <f>IFERROR((VLOOKUP(Tabela3[[#This Row],[Moldador]],Tabela1[],5,)+(VLOOKUP(Tabela3[[#This Row],[Ajudante]],Tabela1[],5,))*3.5),0)</f>
        <v>126.0945</v>
      </c>
      <c r="V1007" s="35">
        <f>IFERROR(Tabela3[[#This Row],[Custo M.O. / H]]/((Tabela3[[#This Row],[Realizado]]/Tabela3[[#This Row],[Qdt Peça Placa]])/Tabela3[[#This Row],[Tempo]]/24),)</f>
        <v>12.441324</v>
      </c>
      <c r="W1007" s="35">
        <f>Tabela3[[#This Row],[Custo / Cx Moldada]]*Tabela3[[#This Row],[Qtde Cx Produzida]]</f>
        <v>248.82648</v>
      </c>
      <c r="X1007" s="35">
        <f ca="1">Tabela3[[#This Row],[Aluminio Util]]*Tabela3[[#This Row],[Custo/Kg]]</f>
        <v>623.61000000000013</v>
      </c>
      <c r="Y1007" s="35">
        <f>IFERROR(VLOOKUP(Tabela3[[#This Row],[Data]],Tabela461213[],2,1)*(Tabela3[[#This Row],[Qtde Cx Produzida]]*Tabela3[[#This Row],[Qde macho / CX]]*Tabela3[[#This Row],[Peso Macho]]),)</f>
        <v>0</v>
      </c>
      <c r="Z1007" s="35">
        <f>IFERROR(Tabela3[[#This Row],[Qtde Oleo]]*(VLOOKUP(Tabela3[[#This Row],[Data]],CompraOleo[],3,TRUE))*1.05,0)</f>
        <v>76.894783794346765</v>
      </c>
      <c r="AA1007" s="47">
        <f ca="1">(Tabela3[[#This Row],[Custo Oleo]]+Tabela3[[#This Row],[Custo Aluminio]]+Tabela3[[#This Row],[Custo M.O. Total]]+Tabela3[[#This Row],[Custo Machos]])</f>
        <v>949.3312637943468</v>
      </c>
      <c r="AB1007" s="47">
        <f ca="1">Tabela3[[#This Row],[Custo Total]]*Tabela3[[#This Row],[% Perda]]</f>
        <v>59.333203987146675</v>
      </c>
      <c r="AC1007" s="40">
        <f>IFERROR(VLOOKUP(Tabela3[[#This Row],[Produto]],Tabela2[],2,0),0)</f>
        <v>4</v>
      </c>
      <c r="AD1007" s="48">
        <f>IFERROR(VLOOKUP(Tabela3[[#This Row],[Produto]],Tabela2[],3,0),0)</f>
        <v>0.53300000000000003</v>
      </c>
      <c r="AE1007" s="48">
        <f>IFERROR(VLOOKUP(Tabela3[[#This Row],[Produto]],Tabela2[],4,0),0)</f>
        <v>3.3</v>
      </c>
      <c r="AF1007" s="48">
        <f>IFERROR(VLOOKUP(Tabela3[[#This Row],[Produto]],Tabela2[],5,0),0)</f>
        <v>1.0511999999999997</v>
      </c>
      <c r="AG1007" s="48">
        <f>IFERROR(VLOOKUP(Tabela3[[#This Row],[Produto]],Tabela2[],6,0),0)</f>
        <v>0</v>
      </c>
      <c r="AH1007" s="40">
        <f>IFERROR(VLOOKUP(Tabela3[[#This Row],[Produto]],Tabela2[],7,0),0)</f>
        <v>0</v>
      </c>
      <c r="AI1007" s="40">
        <f>IFERROR(VLOOKUP(Tabela3[[#This Row],[Produto]],Tabela2[],8,0),0)</f>
        <v>0</v>
      </c>
      <c r="AJ1007" s="35">
        <f ca="1">IFERROR(VLOOKUP(Tabela3[[#This Row],[Produto]],Tabela2[],13,0),0)</f>
        <v>15.600000000000001</v>
      </c>
      <c r="AK1007" s="48" t="str">
        <f>IFERROR(VLOOKUP(Tabela3[[#This Row],[Produto]],Tabela2[],14,0),0)</f>
        <v>Senun</v>
      </c>
      <c r="AL1007" s="40">
        <f>IFERROR(VLOOKUP(Tabela3[[#This Row],[Produto]],Tabela2[],15,0),0)</f>
        <v>4</v>
      </c>
      <c r="AM1007" s="36">
        <f ca="1">(Tabela3[[#This Row],[Custo Usinagem]]+Tabela3[[#This Row],[Custo / Pç]])*1.2</f>
        <v>19.989300220709548</v>
      </c>
      <c r="AN1007" s="36">
        <f ca="1">Tabela3[[#This Row],[Valor Mínimo Venda]]*1.15</f>
        <v>22.987695253815978</v>
      </c>
      <c r="AO1007" s="36">
        <f ca="1">Tabela3[[#This Row],[Tabela 1]]*1.08</f>
        <v>24.826710874121257</v>
      </c>
      <c r="AP1007" s="36">
        <f ca="1">Tabela3[[#This Row],[Tabela 2]]*1.15</f>
        <v>28.550717505239444</v>
      </c>
    </row>
    <row r="1008" spans="1:42">
      <c r="A1008" s="9">
        <v>46087</v>
      </c>
      <c r="B1008" s="9" t="s">
        <v>256</v>
      </c>
      <c r="C1008" s="14">
        <v>9069</v>
      </c>
      <c r="D1008" s="6" t="s">
        <v>46</v>
      </c>
      <c r="E1008" s="6" t="s">
        <v>44</v>
      </c>
      <c r="F1008" s="6">
        <v>20</v>
      </c>
      <c r="G1008" s="15">
        <v>9.2361111111111116E-2</v>
      </c>
      <c r="H1008" s="16">
        <v>0</v>
      </c>
      <c r="I1008" s="35">
        <f ca="1">IFERROR(Tabela3[[#This Row],[Custo Total]]/Tabela3[[#This Row],[Aluminio Util]],0)</f>
        <v>27.683942100286821</v>
      </c>
      <c r="J1008" s="35">
        <f ca="1">Tabela3[[#This Row],[Custo Total]]/Tabela3[[#This Row],[Realizado]]</f>
        <v>24.112713569349825</v>
      </c>
      <c r="K1008" s="37">
        <f>IFERROR(Tabela3[[#This Row],[Qtde Cx Produzida]]/Tabela3[[#This Row],[Tempo]]/24,0)</f>
        <v>9.022556390977444</v>
      </c>
      <c r="L1008" s="37">
        <f>Tabela3[[#This Row],[Qtde Cx Produzida]]*Tabela3[[#This Row],[Qdt Peça Placa]]</f>
        <v>40</v>
      </c>
      <c r="M1008" s="37">
        <f>Tabela3[[#This Row],[Previsto]]-Tabela3[[#This Row],[Perda Pçs]]</f>
        <v>40</v>
      </c>
      <c r="N1008" s="38">
        <f>IFERROR(Tabela3[[#This Row],[Perda Pçs]]/Tabela3[[#This Row],[Previsto]],0)</f>
        <v>0</v>
      </c>
      <c r="O1008" s="39">
        <f>IFERROR(IF(Tabela3[[#This Row],[Qtde Cx Produzida]] &lt;&gt; 0, Tabela3[[#This Row],[Tempo]] / Tabela3[[#This Row],[Qtde Cx Produzida]], 0),0)</f>
        <v>4.6180555555555558E-3</v>
      </c>
      <c r="P1008" s="57">
        <f>IFERROR(Tabela3[[#This Row],[Perda Pçs]]/Tabela3[[#This Row],[Qdt Peça Placa]],0)</f>
        <v>0</v>
      </c>
      <c r="Q1008" s="37">
        <f>IFERROR(Tabela3[[#This Row],[Realizado]]*Tabela3[[#This Row],[Peso Util/Pç]],0)</f>
        <v>34.840000000000003</v>
      </c>
      <c r="R1008" s="37">
        <f>IFERROR(Tabela3[[#This Row],[Peso Total Galho]]*Tabela3[[#This Row],[Qtde Cx Produzida]]*1.055,0)</f>
        <v>65.030199999999994</v>
      </c>
      <c r="S1008" s="37">
        <f>(Tabela3[[#This Row],[Aluminio Bruto]]-Tabela3[[#This Row],[Aluminio Util]])*0.9</f>
        <v>27.171179999999993</v>
      </c>
      <c r="T1008" s="37">
        <f>Tabela3[[#This Row],[Aluminio Bruto]]/OleoKGAluminio</f>
        <v>27.35812105675922</v>
      </c>
      <c r="U1008" s="35">
        <f>IFERROR((VLOOKUP(Tabela3[[#This Row],[Moldador]],Tabela1[],5,)+(VLOOKUP(Tabela3[[#This Row],[Ajudante]],Tabela1[],5,))*3.5),0)</f>
        <v>126.0945</v>
      </c>
      <c r="V1008" s="35">
        <f>IFERROR(Tabela3[[#This Row],[Custo M.O. / H]]/((Tabela3[[#This Row],[Realizado]]/Tabela3[[#This Row],[Qdt Peça Placa]])/Tabela3[[#This Row],[Tempo]]/24),)</f>
        <v>13.975473749999999</v>
      </c>
      <c r="W1008" s="35">
        <f>Tabela3[[#This Row],[Custo / Cx Moldada]]*Tabela3[[#This Row],[Qtde Cx Produzida]]</f>
        <v>279.50947499999995</v>
      </c>
      <c r="X1008" s="35">
        <f ca="1">Tabela3[[#This Row],[Aluminio Util]]*Tabela3[[#This Row],[Custo/Kg]]</f>
        <v>613.18400000000008</v>
      </c>
      <c r="Y1008" s="35">
        <f>IFERROR(VLOOKUP(Tabela3[[#This Row],[Data]],Tabela461213[],2,1)*(Tabela3[[#This Row],[Qtde Cx Produzida]]*Tabela3[[#This Row],[Qde macho / CX]]*Tabela3[[#This Row],[Peso Macho]]),)</f>
        <v>0</v>
      </c>
      <c r="Z1008" s="35">
        <f>IFERROR(Tabela3[[#This Row],[Qtde Oleo]]*(VLOOKUP(Tabela3[[#This Row],[Data]],CompraOleo[],3,TRUE))*1.05,0)</f>
        <v>71.815067773992965</v>
      </c>
      <c r="AA1008" s="47">
        <f ca="1">(Tabela3[[#This Row],[Custo Oleo]]+Tabela3[[#This Row],[Custo Aluminio]]+Tabela3[[#This Row],[Custo M.O. Total]]+Tabela3[[#This Row],[Custo Machos]])</f>
        <v>964.50854277399299</v>
      </c>
      <c r="AB1008" s="47">
        <f ca="1">Tabela3[[#This Row],[Custo Total]]*Tabela3[[#This Row],[% Perda]]</f>
        <v>0</v>
      </c>
      <c r="AC1008" s="40">
        <f>IFERROR(VLOOKUP(Tabela3[[#This Row],[Produto]],Tabela2[],2,0),0)</f>
        <v>2</v>
      </c>
      <c r="AD1008" s="48">
        <f>IFERROR(VLOOKUP(Tabela3[[#This Row],[Produto]],Tabela2[],3,0),0)</f>
        <v>0.871</v>
      </c>
      <c r="AE1008" s="48">
        <f>IFERROR(VLOOKUP(Tabela3[[#This Row],[Produto]],Tabela2[],4,0),0)</f>
        <v>3.0819999999999999</v>
      </c>
      <c r="AF1008" s="48">
        <f>IFERROR(VLOOKUP(Tabela3[[#This Row],[Produto]],Tabela2[],5,0),0)</f>
        <v>1.206</v>
      </c>
      <c r="AG1008" s="48">
        <f>IFERROR(VLOOKUP(Tabela3[[#This Row],[Produto]],Tabela2[],6,0),0)</f>
        <v>0</v>
      </c>
      <c r="AH1008" s="40">
        <f>IFERROR(VLOOKUP(Tabela3[[#This Row],[Produto]],Tabela2[],7,0),0)</f>
        <v>0</v>
      </c>
      <c r="AI1008" s="40">
        <f>IFERROR(VLOOKUP(Tabela3[[#This Row],[Produto]],Tabela2[],8,0),0)</f>
        <v>0</v>
      </c>
      <c r="AJ1008" s="35">
        <f ca="1">IFERROR(VLOOKUP(Tabela3[[#This Row],[Produto]],Tabela2[],13,0),0)</f>
        <v>17.600000000000001</v>
      </c>
      <c r="AK1008" s="48" t="str">
        <f>IFERROR(VLOOKUP(Tabela3[[#This Row],[Produto]],Tabela2[],14,0),0)</f>
        <v>Protec</v>
      </c>
      <c r="AL1008" s="40">
        <f>IFERROR(VLOOKUP(Tabela3[[#This Row],[Produto]],Tabela2[],15,0),0)</f>
        <v>0</v>
      </c>
      <c r="AM1008" s="36">
        <f ca="1">(Tabela3[[#This Row],[Custo Usinagem]]+Tabela3[[#This Row],[Custo / Pç]])*1.2</f>
        <v>28.93525628321979</v>
      </c>
      <c r="AN1008" s="36">
        <f ca="1">Tabela3[[#This Row],[Valor Mínimo Venda]]*1.15</f>
        <v>33.275544725702758</v>
      </c>
      <c r="AO1008" s="36">
        <f ca="1">Tabela3[[#This Row],[Tabela 1]]*1.08</f>
        <v>35.937588303758979</v>
      </c>
      <c r="AP1008" s="36">
        <f ca="1">Tabela3[[#This Row],[Tabela 2]]*1.15</f>
        <v>41.328226549322821</v>
      </c>
    </row>
    <row r="1009" spans="1:42">
      <c r="A1009" s="9">
        <v>46090</v>
      </c>
      <c r="B1009" s="9" t="s">
        <v>91</v>
      </c>
      <c r="C1009" s="14">
        <v>9142</v>
      </c>
      <c r="D1009" s="6" t="s">
        <v>46</v>
      </c>
      <c r="E1009" s="6" t="s">
        <v>44</v>
      </c>
      <c r="F1009" s="6">
        <v>35</v>
      </c>
      <c r="G1009" s="15">
        <v>0.18124999999999999</v>
      </c>
      <c r="H1009" s="16">
        <v>5</v>
      </c>
      <c r="I1009" s="35">
        <f ca="1">IFERROR(Tabela3[[#This Row],[Custo Total]]/Tabela3[[#This Row],[Aluminio Util]],0)</f>
        <v>41.069841973760603</v>
      </c>
      <c r="J1009" s="35">
        <f ca="1">Tabela3[[#This Row],[Custo Total]]/Tabela3[[#This Row],[Realizado]]</f>
        <v>32.198756107428316</v>
      </c>
      <c r="K1009" s="37">
        <f>IFERROR(Tabela3[[#This Row],[Qtde Cx Produzida]]/Tabela3[[#This Row],[Tempo]]/24,0)</f>
        <v>8.0459770114942533</v>
      </c>
      <c r="L1009" s="37">
        <f>Tabela3[[#This Row],[Qtde Cx Produzida]]*Tabela3[[#This Row],[Qdt Peça Placa]]</f>
        <v>140</v>
      </c>
      <c r="M1009" s="37">
        <f>Tabela3[[#This Row],[Previsto]]-Tabela3[[#This Row],[Perda Pçs]]</f>
        <v>135</v>
      </c>
      <c r="N1009" s="38">
        <f>IFERROR(Tabela3[[#This Row],[Perda Pçs]]/Tabela3[[#This Row],[Previsto]],0)</f>
        <v>3.5714285714285712E-2</v>
      </c>
      <c r="O1009" s="39">
        <f>IFERROR(IF(Tabela3[[#This Row],[Qtde Cx Produzida]] &lt;&gt; 0, Tabela3[[#This Row],[Tempo]] / Tabela3[[#This Row],[Qtde Cx Produzida]], 0),0)</f>
        <v>5.1785714285714282E-3</v>
      </c>
      <c r="P1009" s="57">
        <f>IFERROR(Tabela3[[#This Row],[Perda Pçs]]/Tabela3[[#This Row],[Qdt Peça Placa]],0)</f>
        <v>1.25</v>
      </c>
      <c r="Q1009" s="37">
        <f>IFERROR(Tabela3[[#This Row],[Realizado]]*Tabela3[[#This Row],[Peso Util/Pç]],0)</f>
        <v>105.84</v>
      </c>
      <c r="R1009" s="37">
        <f>IFERROR(Tabela3[[#This Row],[Peso Total Galho]]*Tabela3[[#This Row],[Qtde Cx Produzida]]*1.055,0)</f>
        <v>204.85989999999998</v>
      </c>
      <c r="S1009" s="37">
        <f>(Tabela3[[#This Row],[Aluminio Bruto]]-Tabela3[[#This Row],[Aluminio Util]])*0.9</f>
        <v>89.117909999999981</v>
      </c>
      <c r="T1009" s="37">
        <f>Tabela3[[#This Row],[Aluminio Bruto]]/OleoKGAluminio</f>
        <v>86.184295048694111</v>
      </c>
      <c r="U1009" s="35">
        <f>IFERROR((VLOOKUP(Tabela3[[#This Row],[Moldador]],Tabela1[],5,)+(VLOOKUP(Tabela3[[#This Row],[Ajudante]],Tabela1[],5,))*3.5),0)</f>
        <v>126.0945</v>
      </c>
      <c r="V1009" s="35">
        <f>IFERROR(Tabela3[[#This Row],[Custo M.O. / H]]/((Tabela3[[#This Row],[Realizado]]/Tabela3[[#This Row],[Qdt Peça Placa]])/Tabela3[[#This Row],[Tempo]]/24),)</f>
        <v>16.252179999999996</v>
      </c>
      <c r="W1009" s="35">
        <f>Tabela3[[#This Row],[Custo / Cx Moldada]]*Tabela3[[#This Row],[Qtde Cx Produzida]]</f>
        <v>568.82629999999983</v>
      </c>
      <c r="X1009" s="35">
        <f ca="1">Tabela3[[#This Row],[Aluminio Util]]*Tabela3[[#This Row],[Custo/Kg]]</f>
        <v>1651.1040000000003</v>
      </c>
      <c r="Y1009" s="35">
        <f>IFERROR(VLOOKUP(Tabela3[[#This Row],[Data]],Tabela461213[],2,1)*(Tabela3[[#This Row],[Qtde Cx Produzida]]*Tabela3[[#This Row],[Qde macho / CX]]*Tabela3[[#This Row],[Peso Macho]]),)</f>
        <v>1900.6679999999999</v>
      </c>
      <c r="Z1009" s="35">
        <f>IFERROR(Tabela3[[#This Row],[Qtde Oleo]]*(VLOOKUP(Tabela3[[#This Row],[Data]],CompraOleo[],3,TRUE))*1.05,0)</f>
        <v>226.23377450282206</v>
      </c>
      <c r="AA1009" s="47">
        <f ca="1">(Tabela3[[#This Row],[Custo Oleo]]+Tabela3[[#This Row],[Custo Aluminio]]+Tabela3[[#This Row],[Custo M.O. Total]]+Tabela3[[#This Row],[Custo Machos]])</f>
        <v>4346.8320745028223</v>
      </c>
      <c r="AB1009" s="47">
        <f ca="1">Tabela3[[#This Row],[Custo Total]]*Tabela3[[#This Row],[% Perda]]</f>
        <v>155.24400266081508</v>
      </c>
      <c r="AC1009" s="40">
        <f>IFERROR(VLOOKUP(Tabela3[[#This Row],[Produto]],Tabela2[],2,0),0)</f>
        <v>4</v>
      </c>
      <c r="AD1009" s="48">
        <f>IFERROR(VLOOKUP(Tabela3[[#This Row],[Produto]],Tabela2[],3,0),0)</f>
        <v>0.78400000000000003</v>
      </c>
      <c r="AE1009" s="48">
        <f>IFERROR(VLOOKUP(Tabela3[[#This Row],[Produto]],Tabela2[],4,0),0)</f>
        <v>5.548</v>
      </c>
      <c r="AF1009" s="48">
        <f>IFERROR(VLOOKUP(Tabela3[[#This Row],[Produto]],Tabela2[],5,0),0)</f>
        <v>2.1707999999999998</v>
      </c>
      <c r="AG1009" s="48">
        <f>IFERROR(VLOOKUP(Tabela3[[#This Row],[Produto]],Tabela2[],6,0),0)</f>
        <v>0</v>
      </c>
      <c r="AH1009" s="40">
        <f>IFERROR(VLOOKUP(Tabela3[[#This Row],[Produto]],Tabela2[],7,0),0)</f>
        <v>12</v>
      </c>
      <c r="AI1009" s="40">
        <f>IFERROR(VLOOKUP(Tabela3[[#This Row],[Produto]],Tabela2[],8,0),0)</f>
        <v>2.6619999999999999</v>
      </c>
      <c r="AJ1009" s="35">
        <f ca="1">IFERROR(VLOOKUP(Tabela3[[#This Row],[Produto]],Tabela2[],13,0),0)</f>
        <v>15.600000000000001</v>
      </c>
      <c r="AK1009" s="48" t="str">
        <f>IFERROR(VLOOKUP(Tabela3[[#This Row],[Produto]],Tabela2[],14,0),0)</f>
        <v>Jumil</v>
      </c>
      <c r="AL1009" s="40">
        <f>IFERROR(VLOOKUP(Tabela3[[#This Row],[Produto]],Tabela2[],15,0),0)</f>
        <v>8</v>
      </c>
      <c r="AM1009" s="36">
        <f ca="1">(Tabela3[[#This Row],[Custo Usinagem]]+Tabela3[[#This Row],[Custo / Pç]])*1.2</f>
        <v>48.238507328913975</v>
      </c>
      <c r="AN1009" s="36">
        <f ca="1">Tabela3[[#This Row],[Valor Mínimo Venda]]*1.15</f>
        <v>55.47428342825107</v>
      </c>
      <c r="AO1009" s="36">
        <f ca="1">Tabela3[[#This Row],[Tabela 1]]*1.08</f>
        <v>59.912226102511163</v>
      </c>
      <c r="AP1009" s="36">
        <f ca="1">Tabela3[[#This Row],[Tabela 2]]*1.15</f>
        <v>68.899060017887834</v>
      </c>
    </row>
    <row r="1010" spans="1:42">
      <c r="A1010" s="9">
        <v>46090</v>
      </c>
      <c r="B1010" s="9" t="s">
        <v>255</v>
      </c>
      <c r="C1010" s="14">
        <v>9143</v>
      </c>
      <c r="D1010" s="6" t="s">
        <v>46</v>
      </c>
      <c r="E1010" s="6" t="s">
        <v>44</v>
      </c>
      <c r="F1010" s="6">
        <v>35</v>
      </c>
      <c r="G1010" s="15">
        <v>0.13472222222222222</v>
      </c>
      <c r="H1010" s="16">
        <v>0</v>
      </c>
      <c r="I1010" s="35">
        <f ca="1">IFERROR(Tabela3[[#This Row],[Custo Total]]/Tabela3[[#This Row],[Aluminio Util]],0)</f>
        <v>28.643291272964145</v>
      </c>
      <c r="J1010" s="35">
        <f ca="1">Tabela3[[#This Row],[Custo Total]]/Tabela3[[#This Row],[Realizado]]</f>
        <v>35.804114091205179</v>
      </c>
      <c r="K1010" s="37">
        <f>IFERROR(Tabela3[[#This Row],[Qtde Cx Produzida]]/Tabela3[[#This Row],[Tempo]]/24,0)</f>
        <v>10.824742268041236</v>
      </c>
      <c r="L1010" s="37">
        <f>Tabela3[[#This Row],[Qtde Cx Produzida]]*Tabela3[[#This Row],[Qdt Peça Placa]]</f>
        <v>35</v>
      </c>
      <c r="M1010" s="37">
        <f>Tabela3[[#This Row],[Previsto]]-Tabela3[[#This Row],[Perda Pçs]]</f>
        <v>35</v>
      </c>
      <c r="N1010" s="38">
        <f>IFERROR(Tabela3[[#This Row],[Perda Pçs]]/Tabela3[[#This Row],[Previsto]],0)</f>
        <v>0</v>
      </c>
      <c r="O1010" s="39">
        <f>IFERROR(IF(Tabela3[[#This Row],[Qtde Cx Produzida]] &lt;&gt; 0, Tabela3[[#This Row],[Tempo]] / Tabela3[[#This Row],[Qtde Cx Produzida]], 0),0)</f>
        <v>3.8492063492063491E-3</v>
      </c>
      <c r="P1010" s="57">
        <f>IFERROR(Tabela3[[#This Row],[Perda Pçs]]/Tabela3[[#This Row],[Qdt Peça Placa]],0)</f>
        <v>0</v>
      </c>
      <c r="Q1010" s="37">
        <f>IFERROR(Tabela3[[#This Row],[Realizado]]*Tabela3[[#This Row],[Peso Util/Pç]],0)</f>
        <v>43.75</v>
      </c>
      <c r="R1010" s="37">
        <f>IFERROR(Tabela3[[#This Row],[Peso Total Galho]]*Tabela3[[#This Row],[Qtde Cx Produzida]]*1.055,0)</f>
        <v>68.311250000000001</v>
      </c>
      <c r="S1010" s="37">
        <f>(Tabela3[[#This Row],[Aluminio Bruto]]-Tabela3[[#This Row],[Aluminio Util]])*0.9</f>
        <v>22.105125000000001</v>
      </c>
      <c r="T1010" s="37">
        <f>Tabela3[[#This Row],[Aluminio Bruto]]/OleoKGAluminio</f>
        <v>28.738454549402331</v>
      </c>
      <c r="U1010" s="35">
        <f>IFERROR((VLOOKUP(Tabela3[[#This Row],[Moldador]],Tabela1[],5,)+(VLOOKUP(Tabela3[[#This Row],[Ajudante]],Tabela1[],5,))*3.5),0)</f>
        <v>126.0945</v>
      </c>
      <c r="V1010" s="35">
        <f>IFERROR(Tabela3[[#This Row],[Custo M.O. / H]]/((Tabela3[[#This Row],[Realizado]]/Tabela3[[#This Row],[Qdt Peça Placa]])/Tabela3[[#This Row],[Tempo]]/24),)</f>
        <v>11.64873</v>
      </c>
      <c r="W1010" s="35">
        <f>Tabela3[[#This Row],[Custo / Cx Moldada]]*Tabela3[[#This Row],[Qtde Cx Produzida]]</f>
        <v>407.70555000000002</v>
      </c>
      <c r="X1010" s="35">
        <f ca="1">Tabela3[[#This Row],[Aluminio Util]]*Tabela3[[#This Row],[Custo/Kg]]</f>
        <v>770.00000000000011</v>
      </c>
      <c r="Y1010" s="35">
        <f>IFERROR(VLOOKUP(Tabela3[[#This Row],[Data]],Tabela461213[],2,1)*(Tabela3[[#This Row],[Qtde Cx Produzida]]*Tabela3[[#This Row],[Qde macho / CX]]*Tabela3[[#This Row],[Peso Macho]]),)</f>
        <v>0</v>
      </c>
      <c r="Z1010" s="35">
        <f>IFERROR(Tabela3[[#This Row],[Qtde Oleo]]*(VLOOKUP(Tabela3[[#This Row],[Data]],CompraOleo[],3,TRUE))*1.05,0)</f>
        <v>75.438443192181126</v>
      </c>
      <c r="AA1010" s="47">
        <f ca="1">(Tabela3[[#This Row],[Custo Oleo]]+Tabela3[[#This Row],[Custo Aluminio]]+Tabela3[[#This Row],[Custo M.O. Total]]+Tabela3[[#This Row],[Custo Machos]])</f>
        <v>1253.1439931921814</v>
      </c>
      <c r="AB1010" s="47">
        <f ca="1">Tabela3[[#This Row],[Custo Total]]*Tabela3[[#This Row],[% Perda]]</f>
        <v>0</v>
      </c>
      <c r="AC1010" s="40">
        <f>IFERROR(VLOOKUP(Tabela3[[#This Row],[Produto]],Tabela2[],2,0),0)</f>
        <v>1</v>
      </c>
      <c r="AD1010" s="48">
        <f>IFERROR(VLOOKUP(Tabela3[[#This Row],[Produto]],Tabela2[],3,0),0)</f>
        <v>1.25</v>
      </c>
      <c r="AE1010" s="48">
        <f>IFERROR(VLOOKUP(Tabela3[[#This Row],[Produto]],Tabela2[],4,0),0)</f>
        <v>1.85</v>
      </c>
      <c r="AF1010" s="48">
        <f>IFERROR(VLOOKUP(Tabela3[[#This Row],[Produto]],Tabela2[],5,0),0)</f>
        <v>0.54000000000000015</v>
      </c>
      <c r="AG1010" s="48">
        <f>IFERROR(VLOOKUP(Tabela3[[#This Row],[Produto]],Tabela2[],6,0),0)</f>
        <v>0</v>
      </c>
      <c r="AH1010" s="40">
        <f>IFERROR(VLOOKUP(Tabela3[[#This Row],[Produto]],Tabela2[],7,0),0)</f>
        <v>0</v>
      </c>
      <c r="AI1010" s="40">
        <f>IFERROR(VLOOKUP(Tabela3[[#This Row],[Produto]],Tabela2[],8,0),0)</f>
        <v>0</v>
      </c>
      <c r="AJ1010" s="35">
        <f ca="1">IFERROR(VLOOKUP(Tabela3[[#This Row],[Produto]],Tabela2[],13,0),0)</f>
        <v>17.600000000000001</v>
      </c>
      <c r="AK1010" s="48" t="str">
        <f>IFERROR(VLOOKUP(Tabela3[[#This Row],[Produto]],Tabela2[],14,0),0)</f>
        <v>Protec</v>
      </c>
      <c r="AL1010" s="40">
        <f>IFERROR(VLOOKUP(Tabela3[[#This Row],[Produto]],Tabela2[],15,0),0)</f>
        <v>0</v>
      </c>
      <c r="AM1010" s="36">
        <f ca="1">(Tabela3[[#This Row],[Custo Usinagem]]+Tabela3[[#This Row],[Custo / Pç]])*1.2</f>
        <v>42.964936909446216</v>
      </c>
      <c r="AN1010" s="36">
        <f ca="1">Tabela3[[#This Row],[Valor Mínimo Venda]]*1.15</f>
        <v>49.409677445863146</v>
      </c>
      <c r="AO1010" s="36">
        <f ca="1">Tabela3[[#This Row],[Tabela 1]]*1.08</f>
        <v>53.362451641532203</v>
      </c>
      <c r="AP1010" s="36">
        <f ca="1">Tabela3[[#This Row],[Tabela 2]]*1.15</f>
        <v>61.366819387762028</v>
      </c>
    </row>
    <row r="1011" spans="1:42">
      <c r="A1011" s="9">
        <v>46090</v>
      </c>
      <c r="B1011" s="9" t="s">
        <v>245</v>
      </c>
      <c r="C1011" s="14">
        <v>9144</v>
      </c>
      <c r="D1011" s="6" t="s">
        <v>46</v>
      </c>
      <c r="E1011" s="6" t="s">
        <v>44</v>
      </c>
      <c r="F1011" s="6">
        <v>8</v>
      </c>
      <c r="G1011" s="15">
        <v>4.027777777777778E-2</v>
      </c>
      <c r="H1011" s="16">
        <v>0</v>
      </c>
      <c r="I1011" s="35">
        <f ca="1">IFERROR(Tabela3[[#This Row],[Custo Total]]/Tabela3[[#This Row],[Aluminio Util]],0)</f>
        <v>29.091028206313865</v>
      </c>
      <c r="J1011" s="35">
        <f ca="1">Tabela3[[#This Row],[Custo Total]]/Tabela3[[#This Row],[Realizado]]</f>
        <v>9.6582213644962032</v>
      </c>
      <c r="K1011" s="37">
        <f>IFERROR(Tabela3[[#This Row],[Qtde Cx Produzida]]/Tabela3[[#This Row],[Tempo]]/24,0)</f>
        <v>8.2758620689655178</v>
      </c>
      <c r="L1011" s="37">
        <f>Tabela3[[#This Row],[Qtde Cx Produzida]]*Tabela3[[#This Row],[Qdt Peça Placa]]</f>
        <v>32</v>
      </c>
      <c r="M1011" s="37">
        <f>Tabela3[[#This Row],[Previsto]]-Tabela3[[#This Row],[Perda Pçs]]</f>
        <v>32</v>
      </c>
      <c r="N1011" s="38">
        <f>IFERROR(Tabela3[[#This Row],[Perda Pçs]]/Tabela3[[#This Row],[Previsto]],0)</f>
        <v>0</v>
      </c>
      <c r="O1011" s="39">
        <f>IFERROR(IF(Tabela3[[#This Row],[Qtde Cx Produzida]] &lt;&gt; 0, Tabela3[[#This Row],[Tempo]] / Tabela3[[#This Row],[Qtde Cx Produzida]], 0),0)</f>
        <v>5.0347222222222225E-3</v>
      </c>
      <c r="P1011" s="57">
        <f>IFERROR(Tabela3[[#This Row],[Perda Pçs]]/Tabela3[[#This Row],[Qdt Peça Placa]],0)</f>
        <v>0</v>
      </c>
      <c r="Q1011" s="37">
        <f>IFERROR(Tabela3[[#This Row],[Realizado]]*Tabela3[[#This Row],[Peso Util/Pç]],0)</f>
        <v>10.624000000000001</v>
      </c>
      <c r="R1011" s="37">
        <f>IFERROR(Tabela3[[#This Row],[Peso Total Galho]]*Tabela3[[#This Row],[Qtde Cx Produzida]]*1.055,0)</f>
        <v>19.411999999999999</v>
      </c>
      <c r="S1011" s="37">
        <f>(Tabela3[[#This Row],[Aluminio Bruto]]-Tabela3[[#This Row],[Aluminio Util]])*0.9</f>
        <v>7.9091999999999985</v>
      </c>
      <c r="T1011" s="37">
        <f>Tabela3[[#This Row],[Aluminio Bruto]]/OleoKGAluminio</f>
        <v>8.1666033005251411</v>
      </c>
      <c r="U1011" s="35">
        <f>IFERROR((VLOOKUP(Tabela3[[#This Row],[Moldador]],Tabela1[],5,)+(VLOOKUP(Tabela3[[#This Row],[Ajudante]],Tabela1[],5,))*3.5),0)</f>
        <v>126.0945</v>
      </c>
      <c r="V1011" s="35">
        <f>IFERROR(Tabela3[[#This Row],[Custo M.O. / H]]/((Tabela3[[#This Row],[Realizado]]/Tabela3[[#This Row],[Qdt Peça Placa]])/Tabela3[[#This Row],[Tempo]]/24),)</f>
        <v>15.236418749999999</v>
      </c>
      <c r="W1011" s="35">
        <f>Tabela3[[#This Row],[Custo / Cx Moldada]]*Tabela3[[#This Row],[Qtde Cx Produzida]]</f>
        <v>121.89134999999999</v>
      </c>
      <c r="X1011" s="35">
        <f ca="1">Tabela3[[#This Row],[Aluminio Util]]*Tabela3[[#This Row],[Custo/Kg]]</f>
        <v>165.73440000000002</v>
      </c>
      <c r="Y1011" s="35">
        <f>IFERROR(VLOOKUP(Tabela3[[#This Row],[Data]],Tabela461213[],2,1)*(Tabela3[[#This Row],[Qtde Cx Produzida]]*Tabela3[[#This Row],[Qde macho / CX]]*Tabela3[[#This Row],[Peso Macho]]),)</f>
        <v>0</v>
      </c>
      <c r="Z1011" s="35">
        <f>IFERROR(Tabela3[[#This Row],[Qtde Oleo]]*(VLOOKUP(Tabela3[[#This Row],[Data]],CompraOleo[],3,TRUE))*1.05,0)</f>
        <v>21.437333663878494</v>
      </c>
      <c r="AA1011" s="47">
        <f ca="1">(Tabela3[[#This Row],[Custo Oleo]]+Tabela3[[#This Row],[Custo Aluminio]]+Tabela3[[#This Row],[Custo M.O. Total]]+Tabela3[[#This Row],[Custo Machos]])</f>
        <v>309.0630836638785</v>
      </c>
      <c r="AB1011" s="47">
        <f ca="1">Tabela3[[#This Row],[Custo Total]]*Tabela3[[#This Row],[% Perda]]</f>
        <v>0</v>
      </c>
      <c r="AC1011" s="40">
        <f>IFERROR(VLOOKUP(Tabela3[[#This Row],[Produto]],Tabela2[],2,0),0)</f>
        <v>4</v>
      </c>
      <c r="AD1011" s="48">
        <f>IFERROR(VLOOKUP(Tabela3[[#This Row],[Produto]],Tabela2[],3,0),0)</f>
        <v>0.33200000000000002</v>
      </c>
      <c r="AE1011" s="48">
        <f>IFERROR(VLOOKUP(Tabela3[[#This Row],[Produto]],Tabela2[],4,0),0)</f>
        <v>2.2999999999999998</v>
      </c>
      <c r="AF1011" s="48">
        <f>IFERROR(VLOOKUP(Tabela3[[#This Row],[Produto]],Tabela2[],5,0),0)</f>
        <v>0.8747999999999998</v>
      </c>
      <c r="AG1011" s="48">
        <f>IFERROR(VLOOKUP(Tabela3[[#This Row],[Produto]],Tabela2[],6,0),0)</f>
        <v>0</v>
      </c>
      <c r="AH1011" s="40">
        <f>IFERROR(VLOOKUP(Tabela3[[#This Row],[Produto]],Tabela2[],7,0),0)</f>
        <v>0</v>
      </c>
      <c r="AI1011" s="40">
        <f>IFERROR(VLOOKUP(Tabela3[[#This Row],[Produto]],Tabela2[],8,0),0)</f>
        <v>0</v>
      </c>
      <c r="AJ1011" s="35">
        <f ca="1">IFERROR(VLOOKUP(Tabela3[[#This Row],[Produto]],Tabela2[],13,0),0)</f>
        <v>15.600000000000001</v>
      </c>
      <c r="AK1011" s="48" t="str">
        <f>IFERROR(VLOOKUP(Tabela3[[#This Row],[Produto]],Tabela2[],14,0),0)</f>
        <v>Senun</v>
      </c>
      <c r="AL1011" s="40">
        <f>IFERROR(VLOOKUP(Tabela3[[#This Row],[Produto]],Tabela2[],15,0),0)</f>
        <v>3.5</v>
      </c>
      <c r="AM1011" s="36">
        <f ca="1">(Tabela3[[#This Row],[Custo Usinagem]]+Tabela3[[#This Row],[Custo / Pç]])*1.2</f>
        <v>15.789865637395444</v>
      </c>
      <c r="AN1011" s="36">
        <f ca="1">Tabela3[[#This Row],[Valor Mínimo Venda]]*1.15</f>
        <v>18.158345483004759</v>
      </c>
      <c r="AO1011" s="36">
        <f ca="1">Tabela3[[#This Row],[Tabela 1]]*1.08</f>
        <v>19.61101312164514</v>
      </c>
      <c r="AP1011" s="36">
        <f ca="1">Tabela3[[#This Row],[Tabela 2]]*1.15</f>
        <v>22.55266508989191</v>
      </c>
    </row>
    <row r="1012" spans="1:42">
      <c r="A1012" s="9">
        <v>46091</v>
      </c>
      <c r="B1012" s="9" t="s">
        <v>245</v>
      </c>
      <c r="C1012" s="14">
        <v>9144</v>
      </c>
      <c r="D1012" s="6" t="s">
        <v>46</v>
      </c>
      <c r="E1012" s="6" t="s">
        <v>44</v>
      </c>
      <c r="F1012" s="6">
        <v>88</v>
      </c>
      <c r="G1012" s="15">
        <v>0.3611111111111111</v>
      </c>
      <c r="H1012" s="16">
        <v>43</v>
      </c>
      <c r="I1012" s="35">
        <f ca="1">IFERROR(Tabela3[[#This Row],[Custo Total]]/Tabela3[[#This Row],[Aluminio Util]],0)</f>
        <v>30.033508853130908</v>
      </c>
      <c r="J1012" s="35">
        <f ca="1">Tabela3[[#This Row],[Custo Total]]/Tabela3[[#This Row],[Realizado]]</f>
        <v>9.9711249392394627</v>
      </c>
      <c r="K1012" s="37">
        <f>IFERROR(Tabela3[[#This Row],[Qtde Cx Produzida]]/Tabela3[[#This Row],[Tempo]]/24,0)</f>
        <v>10.153846153846155</v>
      </c>
      <c r="L1012" s="37">
        <f>Tabela3[[#This Row],[Qtde Cx Produzida]]*Tabela3[[#This Row],[Qdt Peça Placa]]</f>
        <v>352</v>
      </c>
      <c r="M1012" s="37">
        <f>Tabela3[[#This Row],[Previsto]]-Tabela3[[#This Row],[Perda Pçs]]</f>
        <v>309</v>
      </c>
      <c r="N1012" s="38">
        <f>IFERROR(Tabela3[[#This Row],[Perda Pçs]]/Tabela3[[#This Row],[Previsto]],0)</f>
        <v>0.12215909090909091</v>
      </c>
      <c r="O1012" s="39">
        <f>IFERROR(IF(Tabela3[[#This Row],[Qtde Cx Produzida]] &lt;&gt; 0, Tabela3[[#This Row],[Tempo]] / Tabela3[[#This Row],[Qtde Cx Produzida]], 0),0)</f>
        <v>4.1035353535353531E-3</v>
      </c>
      <c r="P1012" s="57">
        <f>IFERROR(Tabela3[[#This Row],[Perda Pçs]]/Tabela3[[#This Row],[Qdt Peça Placa]],0)</f>
        <v>10.75</v>
      </c>
      <c r="Q1012" s="37">
        <f>IFERROR(Tabela3[[#This Row],[Realizado]]*Tabela3[[#This Row],[Peso Util/Pç]],0)</f>
        <v>102.58800000000001</v>
      </c>
      <c r="R1012" s="37">
        <f>IFERROR(Tabela3[[#This Row],[Peso Total Galho]]*Tabela3[[#This Row],[Qtde Cx Produzida]]*1.055,0)</f>
        <v>213.53199999999995</v>
      </c>
      <c r="S1012" s="37">
        <f>(Tabela3[[#This Row],[Aluminio Bruto]]-Tabela3[[#This Row],[Aluminio Util]])*0.9</f>
        <v>99.849599999999953</v>
      </c>
      <c r="T1012" s="37">
        <f>Tabela3[[#This Row],[Aluminio Bruto]]/OleoKGAluminio</f>
        <v>89.832636305776532</v>
      </c>
      <c r="U1012" s="35">
        <f>IFERROR((VLOOKUP(Tabela3[[#This Row],[Moldador]],Tabela1[],5,)+(VLOOKUP(Tabela3[[#This Row],[Ajudante]],Tabela1[],5,))*3.5),0)</f>
        <v>126.0945</v>
      </c>
      <c r="V1012" s="35">
        <f>IFERROR(Tabela3[[#This Row],[Custo M.O. / H]]/((Tabela3[[#This Row],[Realizado]]/Tabela3[[#This Row],[Qdt Peça Placa]])/Tabela3[[#This Row],[Tempo]]/24),)</f>
        <v>14.14652427184466</v>
      </c>
      <c r="W1012" s="35">
        <f>Tabela3[[#This Row],[Custo / Cx Moldada]]*Tabela3[[#This Row],[Qtde Cx Produzida]]</f>
        <v>1244.8941359223302</v>
      </c>
      <c r="X1012" s="35">
        <f ca="1">Tabela3[[#This Row],[Aluminio Util]]*Tabela3[[#This Row],[Custo/Kg]]</f>
        <v>1600.3728000000003</v>
      </c>
      <c r="Y1012" s="35">
        <f>IFERROR(VLOOKUP(Tabela3[[#This Row],[Data]],Tabela461213[],2,1)*(Tabela3[[#This Row],[Qtde Cx Produzida]]*Tabela3[[#This Row],[Qde macho / CX]]*Tabela3[[#This Row],[Peso Macho]]),)</f>
        <v>0</v>
      </c>
      <c r="Z1012" s="35">
        <f>IFERROR(Tabela3[[#This Row],[Qtde Oleo]]*(VLOOKUP(Tabela3[[#This Row],[Data]],CompraOleo[],3,TRUE))*1.05,0)</f>
        <v>235.8106703026634</v>
      </c>
      <c r="AA1012" s="47">
        <f ca="1">(Tabela3[[#This Row],[Custo Oleo]]+Tabela3[[#This Row],[Custo Aluminio]]+Tabela3[[#This Row],[Custo M.O. Total]]+Tabela3[[#This Row],[Custo Machos]])</f>
        <v>3081.0776062249938</v>
      </c>
      <c r="AB1012" s="47">
        <f ca="1">Tabela3[[#This Row],[Custo Total]]*Tabela3[[#This Row],[% Perda]]</f>
        <v>376.38163939680322</v>
      </c>
      <c r="AC1012" s="40">
        <f>IFERROR(VLOOKUP(Tabela3[[#This Row],[Produto]],Tabela2[],2,0),0)</f>
        <v>4</v>
      </c>
      <c r="AD1012" s="48">
        <f>IFERROR(VLOOKUP(Tabela3[[#This Row],[Produto]],Tabela2[],3,0),0)</f>
        <v>0.33200000000000002</v>
      </c>
      <c r="AE1012" s="48">
        <f>IFERROR(VLOOKUP(Tabela3[[#This Row],[Produto]],Tabela2[],4,0),0)</f>
        <v>2.2999999999999998</v>
      </c>
      <c r="AF1012" s="48">
        <f>IFERROR(VLOOKUP(Tabela3[[#This Row],[Produto]],Tabela2[],5,0),0)</f>
        <v>0.8747999999999998</v>
      </c>
      <c r="AG1012" s="48">
        <f>IFERROR(VLOOKUP(Tabela3[[#This Row],[Produto]],Tabela2[],6,0),0)</f>
        <v>0</v>
      </c>
      <c r="AH1012" s="40">
        <f>IFERROR(VLOOKUP(Tabela3[[#This Row],[Produto]],Tabela2[],7,0),0)</f>
        <v>0</v>
      </c>
      <c r="AI1012" s="40">
        <f>IFERROR(VLOOKUP(Tabela3[[#This Row],[Produto]],Tabela2[],8,0),0)</f>
        <v>0</v>
      </c>
      <c r="AJ1012" s="35">
        <f ca="1">IFERROR(VLOOKUP(Tabela3[[#This Row],[Produto]],Tabela2[],13,0),0)</f>
        <v>15.600000000000001</v>
      </c>
      <c r="AK1012" s="48" t="str">
        <f>IFERROR(VLOOKUP(Tabela3[[#This Row],[Produto]],Tabela2[],14,0),0)</f>
        <v>Senun</v>
      </c>
      <c r="AL1012" s="40">
        <f>IFERROR(VLOOKUP(Tabela3[[#This Row],[Produto]],Tabela2[],15,0),0)</f>
        <v>3.5</v>
      </c>
      <c r="AM1012" s="36">
        <f ca="1">(Tabela3[[#This Row],[Custo Usinagem]]+Tabela3[[#This Row],[Custo / Pç]])*1.2</f>
        <v>16.165349927087355</v>
      </c>
      <c r="AN1012" s="36">
        <f ca="1">Tabela3[[#This Row],[Valor Mínimo Venda]]*1.15</f>
        <v>18.590152416150456</v>
      </c>
      <c r="AO1012" s="36">
        <f ca="1">Tabela3[[#This Row],[Tabela 1]]*1.08</f>
        <v>20.077364609442494</v>
      </c>
      <c r="AP1012" s="36">
        <f ca="1">Tabela3[[#This Row],[Tabela 2]]*1.15</f>
        <v>23.088969300858867</v>
      </c>
    </row>
    <row r="1013" spans="1:42">
      <c r="A1013" s="9">
        <v>46092</v>
      </c>
      <c r="B1013" s="9" t="s">
        <v>245</v>
      </c>
      <c r="C1013" s="14">
        <v>9144</v>
      </c>
      <c r="D1013" s="6" t="s">
        <v>46</v>
      </c>
      <c r="E1013" s="6" t="s">
        <v>44</v>
      </c>
      <c r="F1013" s="6">
        <v>24</v>
      </c>
      <c r="G1013" s="15">
        <v>9.4444444444444442E-2</v>
      </c>
      <c r="H1013" s="16">
        <v>0</v>
      </c>
      <c r="I1013" s="35">
        <f ca="1">IFERROR(Tabela3[[#This Row],[Custo Total]]/Tabela3[[#This Row],[Aluminio Util]],0)</f>
        <v>26.585385322277723</v>
      </c>
      <c r="J1013" s="35">
        <f ca="1">Tabela3[[#This Row],[Custo Total]]/Tabela3[[#This Row],[Realizado]]</f>
        <v>8.8263479269962044</v>
      </c>
      <c r="K1013" s="37">
        <f>IFERROR(Tabela3[[#This Row],[Qtde Cx Produzida]]/Tabela3[[#This Row],[Tempo]]/24,0)</f>
        <v>10.588235294117647</v>
      </c>
      <c r="L1013" s="37">
        <f>Tabela3[[#This Row],[Qtde Cx Produzida]]*Tabela3[[#This Row],[Qdt Peça Placa]]</f>
        <v>96</v>
      </c>
      <c r="M1013" s="37">
        <f>Tabela3[[#This Row],[Previsto]]-Tabela3[[#This Row],[Perda Pçs]]</f>
        <v>96</v>
      </c>
      <c r="N1013" s="38">
        <f>IFERROR(Tabela3[[#This Row],[Perda Pçs]]/Tabela3[[#This Row],[Previsto]],0)</f>
        <v>0</v>
      </c>
      <c r="O1013" s="39">
        <f>IFERROR(IF(Tabela3[[#This Row],[Qtde Cx Produzida]] &lt;&gt; 0, Tabela3[[#This Row],[Tempo]] / Tabela3[[#This Row],[Qtde Cx Produzida]], 0),0)</f>
        <v>3.9351851851851848E-3</v>
      </c>
      <c r="P1013" s="57">
        <f>IFERROR(Tabela3[[#This Row],[Perda Pçs]]/Tabela3[[#This Row],[Qdt Peça Placa]],0)</f>
        <v>0</v>
      </c>
      <c r="Q1013" s="37">
        <f>IFERROR(Tabela3[[#This Row],[Realizado]]*Tabela3[[#This Row],[Peso Util/Pç]],0)</f>
        <v>31.872</v>
      </c>
      <c r="R1013" s="37">
        <f>IFERROR(Tabela3[[#This Row],[Peso Total Galho]]*Tabela3[[#This Row],[Qtde Cx Produzida]]*1.055,0)</f>
        <v>58.23599999999999</v>
      </c>
      <c r="S1013" s="37">
        <f>(Tabela3[[#This Row],[Aluminio Bruto]]-Tabela3[[#This Row],[Aluminio Util]])*0.9</f>
        <v>23.727599999999992</v>
      </c>
      <c r="T1013" s="37">
        <f>Tabela3[[#This Row],[Aluminio Bruto]]/OleoKGAluminio</f>
        <v>24.499809901575418</v>
      </c>
      <c r="U1013" s="35">
        <f>IFERROR((VLOOKUP(Tabela3[[#This Row],[Moldador]],Tabela1[],5,)+(VLOOKUP(Tabela3[[#This Row],[Ajudante]],Tabela1[],5,))*3.5),0)</f>
        <v>126.0945</v>
      </c>
      <c r="V1013" s="35">
        <f>IFERROR(Tabela3[[#This Row],[Custo M.O. / H]]/((Tabela3[[#This Row],[Realizado]]/Tabela3[[#This Row],[Qdt Peça Placa]])/Tabela3[[#This Row],[Tempo]]/24),)</f>
        <v>11.908925</v>
      </c>
      <c r="W1013" s="35">
        <f>Tabela3[[#This Row],[Custo / Cx Moldada]]*Tabela3[[#This Row],[Qtde Cx Produzida]]</f>
        <v>285.81420000000003</v>
      </c>
      <c r="X1013" s="35">
        <f ca="1">Tabela3[[#This Row],[Aluminio Util]]*Tabela3[[#This Row],[Custo/Kg]]</f>
        <v>497.20320000000004</v>
      </c>
      <c r="Y1013" s="35">
        <f>IFERROR(VLOOKUP(Tabela3[[#This Row],[Data]],Tabela461213[],2,1)*(Tabela3[[#This Row],[Qtde Cx Produzida]]*Tabela3[[#This Row],[Qde macho / CX]]*Tabela3[[#This Row],[Peso Macho]]),)</f>
        <v>0</v>
      </c>
      <c r="Z1013" s="35">
        <f>IFERROR(Tabela3[[#This Row],[Qtde Oleo]]*(VLOOKUP(Tabela3[[#This Row],[Data]],CompraOleo[],3,TRUE))*1.05,0)</f>
        <v>64.312000991635472</v>
      </c>
      <c r="AA1013" s="47">
        <f ca="1">(Tabela3[[#This Row],[Custo Oleo]]+Tabela3[[#This Row],[Custo Aluminio]]+Tabela3[[#This Row],[Custo M.O. Total]]+Tabela3[[#This Row],[Custo Machos]])</f>
        <v>847.32940099163557</v>
      </c>
      <c r="AB1013" s="47">
        <f ca="1">Tabela3[[#This Row],[Custo Total]]*Tabela3[[#This Row],[% Perda]]</f>
        <v>0</v>
      </c>
      <c r="AC1013" s="40">
        <f>IFERROR(VLOOKUP(Tabela3[[#This Row],[Produto]],Tabela2[],2,0),0)</f>
        <v>4</v>
      </c>
      <c r="AD1013" s="48">
        <f>IFERROR(VLOOKUP(Tabela3[[#This Row],[Produto]],Tabela2[],3,0),0)</f>
        <v>0.33200000000000002</v>
      </c>
      <c r="AE1013" s="48">
        <f>IFERROR(VLOOKUP(Tabela3[[#This Row],[Produto]],Tabela2[],4,0),0)</f>
        <v>2.2999999999999998</v>
      </c>
      <c r="AF1013" s="48">
        <f>IFERROR(VLOOKUP(Tabela3[[#This Row],[Produto]],Tabela2[],5,0),0)</f>
        <v>0.8747999999999998</v>
      </c>
      <c r="AG1013" s="48">
        <f>IFERROR(VLOOKUP(Tabela3[[#This Row],[Produto]],Tabela2[],6,0),0)</f>
        <v>0</v>
      </c>
      <c r="AH1013" s="40">
        <f>IFERROR(VLOOKUP(Tabela3[[#This Row],[Produto]],Tabela2[],7,0),0)</f>
        <v>0</v>
      </c>
      <c r="AI1013" s="40">
        <f>IFERROR(VLOOKUP(Tabela3[[#This Row],[Produto]],Tabela2[],8,0),0)</f>
        <v>0</v>
      </c>
      <c r="AJ1013" s="35">
        <f ca="1">IFERROR(VLOOKUP(Tabela3[[#This Row],[Produto]],Tabela2[],13,0),0)</f>
        <v>15.600000000000001</v>
      </c>
      <c r="AK1013" s="48" t="str">
        <f>IFERROR(VLOOKUP(Tabela3[[#This Row],[Produto]],Tabela2[],14,0),0)</f>
        <v>Senun</v>
      </c>
      <c r="AL1013" s="40">
        <f>IFERROR(VLOOKUP(Tabela3[[#This Row],[Produto]],Tabela2[],15,0),0)</f>
        <v>3.5</v>
      </c>
      <c r="AM1013" s="36">
        <f ca="1">(Tabela3[[#This Row],[Custo Usinagem]]+Tabela3[[#This Row],[Custo / Pç]])*1.2</f>
        <v>14.791617512395444</v>
      </c>
      <c r="AN1013" s="36">
        <f ca="1">Tabela3[[#This Row],[Valor Mínimo Venda]]*1.15</f>
        <v>17.010360139254757</v>
      </c>
      <c r="AO1013" s="36">
        <f ca="1">Tabela3[[#This Row],[Tabela 1]]*1.08</f>
        <v>18.37118895039514</v>
      </c>
      <c r="AP1013" s="36">
        <f ca="1">Tabela3[[#This Row],[Tabela 2]]*1.15</f>
        <v>21.126867292954408</v>
      </c>
    </row>
    <row r="1014" spans="1:42">
      <c r="A1014" s="9">
        <v>46092</v>
      </c>
      <c r="B1014" s="9" t="s">
        <v>247</v>
      </c>
      <c r="C1014" s="14">
        <v>9149</v>
      </c>
      <c r="D1014" s="6" t="s">
        <v>46</v>
      </c>
      <c r="E1014" s="6" t="s">
        <v>44</v>
      </c>
      <c r="F1014" s="6">
        <v>40</v>
      </c>
      <c r="G1014" s="15">
        <v>0.1701388888888889</v>
      </c>
      <c r="H1014" s="16">
        <v>5</v>
      </c>
      <c r="I1014" s="35">
        <f ca="1">IFERROR(Tabela3[[#This Row],[Custo Total]]/Tabela3[[#This Row],[Aluminio Util]],0)</f>
        <v>29.335091722442709</v>
      </c>
      <c r="J1014" s="35">
        <f ca="1">Tabela3[[#This Row],[Custo Total]]/Tabela3[[#This Row],[Realizado]]</f>
        <v>8.8005275167328136</v>
      </c>
      <c r="K1014" s="37">
        <f>IFERROR(Tabela3[[#This Row],[Qtde Cx Produzida]]/Tabela3[[#This Row],[Tempo]]/24,0)</f>
        <v>9.795918367346939</v>
      </c>
      <c r="L1014" s="37">
        <f>Tabela3[[#This Row],[Qtde Cx Produzida]]*Tabela3[[#This Row],[Qdt Peça Placa]]</f>
        <v>160</v>
      </c>
      <c r="M1014" s="37">
        <f>Tabela3[[#This Row],[Previsto]]-Tabela3[[#This Row],[Perda Pçs]]</f>
        <v>155</v>
      </c>
      <c r="N1014" s="38">
        <f>IFERROR(Tabela3[[#This Row],[Perda Pçs]]/Tabela3[[#This Row],[Previsto]],0)</f>
        <v>3.125E-2</v>
      </c>
      <c r="O1014" s="39">
        <f>IFERROR(IF(Tabela3[[#This Row],[Qtde Cx Produzida]] &lt;&gt; 0, Tabela3[[#This Row],[Tempo]] / Tabela3[[#This Row],[Qtde Cx Produzida]], 0),0)</f>
        <v>4.2534722222222227E-3</v>
      </c>
      <c r="P1014" s="57">
        <f>IFERROR(Tabela3[[#This Row],[Perda Pçs]]/Tabela3[[#This Row],[Qdt Peça Placa]],0)</f>
        <v>1.25</v>
      </c>
      <c r="Q1014" s="37">
        <f>IFERROR(Tabela3[[#This Row],[Realizado]]*Tabela3[[#This Row],[Peso Util/Pç]],0)</f>
        <v>46.5</v>
      </c>
      <c r="R1014" s="37">
        <f>IFERROR(Tabela3[[#This Row],[Peso Total Galho]]*Tabela3[[#This Row],[Qtde Cx Produzida]]*1.055,0)</f>
        <v>97.059999999999988</v>
      </c>
      <c r="S1014" s="37">
        <f>(Tabela3[[#This Row],[Aluminio Bruto]]-Tabela3[[#This Row],[Aluminio Util]])*0.9</f>
        <v>45.503999999999991</v>
      </c>
      <c r="T1014" s="37">
        <f>Tabela3[[#This Row],[Aluminio Bruto]]/OleoKGAluminio</f>
        <v>40.833016502625696</v>
      </c>
      <c r="U1014" s="35">
        <f>IFERROR((VLOOKUP(Tabela3[[#This Row],[Moldador]],Tabela1[],5,)+(VLOOKUP(Tabela3[[#This Row],[Ajudante]],Tabela1[],5,))*3.5),0)</f>
        <v>126.0945</v>
      </c>
      <c r="V1014" s="35">
        <f>IFERROR(Tabela3[[#This Row],[Custo M.O. / H]]/((Tabela3[[#This Row],[Realizado]]/Tabela3[[#This Row],[Qdt Peça Placa]])/Tabela3[[#This Row],[Tempo]]/24),)</f>
        <v>13.287377419354838</v>
      </c>
      <c r="W1014" s="35">
        <f>Tabela3[[#This Row],[Custo / Cx Moldada]]*Tabela3[[#This Row],[Qtde Cx Produzida]]</f>
        <v>531.49509677419348</v>
      </c>
      <c r="X1014" s="35">
        <f ca="1">Tabela3[[#This Row],[Aluminio Util]]*Tabela3[[#This Row],[Custo/Kg]]</f>
        <v>725.40000000000009</v>
      </c>
      <c r="Y1014" s="35">
        <f>IFERROR(VLOOKUP(Tabela3[[#This Row],[Data]],Tabela461213[],2,1)*(Tabela3[[#This Row],[Qtde Cx Produzida]]*Tabela3[[#This Row],[Qde macho / CX]]*Tabela3[[#This Row],[Peso Macho]]),)</f>
        <v>0</v>
      </c>
      <c r="Z1014" s="35">
        <f>IFERROR(Tabela3[[#This Row],[Qtde Oleo]]*(VLOOKUP(Tabela3[[#This Row],[Data]],CompraOleo[],3,TRUE))*1.05,0)</f>
        <v>107.18666831939245</v>
      </c>
      <c r="AA1014" s="47">
        <f ca="1">(Tabela3[[#This Row],[Custo Oleo]]+Tabela3[[#This Row],[Custo Aluminio]]+Tabela3[[#This Row],[Custo M.O. Total]]+Tabela3[[#This Row],[Custo Machos]])</f>
        <v>1364.081765093586</v>
      </c>
      <c r="AB1014" s="47">
        <f ca="1">Tabela3[[#This Row],[Custo Total]]*Tabela3[[#This Row],[% Perda]]</f>
        <v>42.627555159174563</v>
      </c>
      <c r="AC1014" s="40">
        <f>IFERROR(VLOOKUP(Tabela3[[#This Row],[Produto]],Tabela2[],2,0),0)</f>
        <v>4</v>
      </c>
      <c r="AD1014" s="48">
        <f>IFERROR(VLOOKUP(Tabela3[[#This Row],[Produto]],Tabela2[],3,0),0)</f>
        <v>0.3</v>
      </c>
      <c r="AE1014" s="48">
        <f>IFERROR(VLOOKUP(Tabela3[[#This Row],[Produto]],Tabela2[],4,0),0)</f>
        <v>2.2999999999999998</v>
      </c>
      <c r="AF1014" s="48">
        <f>IFERROR(VLOOKUP(Tabela3[[#This Row],[Produto]],Tabela2[],5,0),0)</f>
        <v>0.98999999999999988</v>
      </c>
      <c r="AG1014" s="48">
        <f>IFERROR(VLOOKUP(Tabela3[[#This Row],[Produto]],Tabela2[],6,0),0)</f>
        <v>0</v>
      </c>
      <c r="AH1014" s="40">
        <f>IFERROR(VLOOKUP(Tabela3[[#This Row],[Produto]],Tabela2[],7,0),0)</f>
        <v>0</v>
      </c>
      <c r="AI1014" s="40">
        <f>IFERROR(VLOOKUP(Tabela3[[#This Row],[Produto]],Tabela2[],8,0),0)</f>
        <v>0</v>
      </c>
      <c r="AJ1014" s="35">
        <f ca="1">IFERROR(VLOOKUP(Tabela3[[#This Row],[Produto]],Tabela2[],13,0),0)</f>
        <v>15.600000000000001</v>
      </c>
      <c r="AK1014" s="48" t="str">
        <f>IFERROR(VLOOKUP(Tabela3[[#This Row],[Produto]],Tabela2[],14,0),0)</f>
        <v>Senun</v>
      </c>
      <c r="AL1014" s="40">
        <f>IFERROR(VLOOKUP(Tabela3[[#This Row],[Produto]],Tabela2[],15,0),0)</f>
        <v>3.5</v>
      </c>
      <c r="AM1014" s="36">
        <f ca="1">(Tabela3[[#This Row],[Custo Usinagem]]+Tabela3[[#This Row],[Custo / Pç]])*1.2</f>
        <v>14.760633020079375</v>
      </c>
      <c r="AN1014" s="36">
        <f ca="1">Tabela3[[#This Row],[Valor Mínimo Venda]]*1.15</f>
        <v>16.97472797309128</v>
      </c>
      <c r="AO1014" s="36">
        <f ca="1">Tabela3[[#This Row],[Tabela 1]]*1.08</f>
        <v>18.332706210938582</v>
      </c>
      <c r="AP1014" s="36">
        <f ca="1">Tabela3[[#This Row],[Tabela 2]]*1.15</f>
        <v>21.082612142579368</v>
      </c>
    </row>
    <row r="1015" spans="1:42">
      <c r="A1015" s="9">
        <v>46092</v>
      </c>
      <c r="B1015" s="9" t="s">
        <v>107</v>
      </c>
      <c r="C1015" s="14">
        <v>9224</v>
      </c>
      <c r="D1015" s="6" t="s">
        <v>46</v>
      </c>
      <c r="E1015" s="6" t="s">
        <v>44</v>
      </c>
      <c r="F1015" s="6">
        <v>3</v>
      </c>
      <c r="G1015" s="15">
        <v>1.4583333333333334E-2</v>
      </c>
      <c r="H1015" s="16">
        <v>0</v>
      </c>
      <c r="I1015" s="35">
        <f ca="1">IFERROR(Tabela3[[#This Row],[Custo Total]]/Tabela3[[#This Row],[Aluminio Util]],0)</f>
        <v>28.614816377707076</v>
      </c>
      <c r="J1015" s="35">
        <f ca="1">Tabela3[[#This Row],[Custo Total]]/Tabela3[[#This Row],[Realizado]]</f>
        <v>4.578370620433132</v>
      </c>
      <c r="K1015" s="37">
        <f>IFERROR(Tabela3[[#This Row],[Qtde Cx Produzida]]/Tabela3[[#This Row],[Tempo]]/24,0)</f>
        <v>8.5714285714285712</v>
      </c>
      <c r="L1015" s="37">
        <f>Tabela3[[#This Row],[Qtde Cx Produzida]]*Tabela3[[#This Row],[Qdt Peça Placa]]</f>
        <v>30</v>
      </c>
      <c r="M1015" s="37">
        <f>Tabela3[[#This Row],[Previsto]]-Tabela3[[#This Row],[Perda Pçs]]</f>
        <v>30</v>
      </c>
      <c r="N1015" s="38">
        <f>IFERROR(Tabela3[[#This Row],[Perda Pçs]]/Tabela3[[#This Row],[Previsto]],0)</f>
        <v>0</v>
      </c>
      <c r="O1015" s="39">
        <f>IFERROR(IF(Tabela3[[#This Row],[Qtde Cx Produzida]] &lt;&gt; 0, Tabela3[[#This Row],[Tempo]] / Tabela3[[#This Row],[Qtde Cx Produzida]], 0),0)</f>
        <v>4.8611111111111112E-3</v>
      </c>
      <c r="P1015" s="57">
        <f>IFERROR(Tabela3[[#This Row],[Perda Pçs]]/Tabela3[[#This Row],[Qdt Peça Placa]],0)</f>
        <v>0</v>
      </c>
      <c r="Q1015" s="37">
        <f>IFERROR(Tabela3[[#This Row],[Realizado]]*Tabela3[[#This Row],[Peso Util/Pç]],0)</f>
        <v>4.8</v>
      </c>
      <c r="R1015" s="37">
        <f>IFERROR(Tabela3[[#This Row],[Peso Total Galho]]*Tabela3[[#This Row],[Qtde Cx Produzida]]*1.055,0)</f>
        <v>7.9124999999999996</v>
      </c>
      <c r="S1015" s="37">
        <f>(Tabela3[[#This Row],[Aluminio Bruto]]-Tabela3[[#This Row],[Aluminio Util]])*0.9</f>
        <v>2.80125</v>
      </c>
      <c r="T1015" s="37">
        <f>Tabela3[[#This Row],[Aluminio Bruto]]/OleoKGAluminio</f>
        <v>3.328778519235791</v>
      </c>
      <c r="U1015" s="35">
        <f>IFERROR((VLOOKUP(Tabela3[[#This Row],[Moldador]],Tabela1[],5,)+(VLOOKUP(Tabela3[[#This Row],[Ajudante]],Tabela1[],5,))*3.5),0)</f>
        <v>126.0945</v>
      </c>
      <c r="V1015" s="35">
        <f>IFERROR(Tabela3[[#This Row],[Custo M.O. / H]]/((Tabela3[[#This Row],[Realizado]]/Tabela3[[#This Row],[Qdt Peça Placa]])/Tabela3[[#This Row],[Tempo]]/24),)</f>
        <v>14.711024999999999</v>
      </c>
      <c r="W1015" s="35">
        <f>Tabela3[[#This Row],[Custo / Cx Moldada]]*Tabela3[[#This Row],[Qtde Cx Produzida]]</f>
        <v>44.133074999999998</v>
      </c>
      <c r="X1015" s="35">
        <f ca="1">Tabela3[[#This Row],[Aluminio Util]]*Tabela3[[#This Row],[Custo/Kg]]</f>
        <v>84.48</v>
      </c>
      <c r="Y1015" s="35">
        <f>IFERROR(VLOOKUP(Tabela3[[#This Row],[Data]],Tabela461213[],2,1)*(Tabela3[[#This Row],[Qtde Cx Produzida]]*Tabela3[[#This Row],[Qde macho / CX]]*Tabela3[[#This Row],[Peso Macho]]),)</f>
        <v>0</v>
      </c>
      <c r="Z1015" s="35">
        <f>IFERROR(Tabela3[[#This Row],[Qtde Oleo]]*(VLOOKUP(Tabela3[[#This Row],[Data]],CompraOleo[],3,TRUE))*1.05,0)</f>
        <v>8.7380436129939518</v>
      </c>
      <c r="AA1015" s="47">
        <f ca="1">(Tabela3[[#This Row],[Custo Oleo]]+Tabela3[[#This Row],[Custo Aluminio]]+Tabela3[[#This Row],[Custo M.O. Total]]+Tabela3[[#This Row],[Custo Machos]])</f>
        <v>137.35111861299396</v>
      </c>
      <c r="AB1015" s="47">
        <f ca="1">Tabela3[[#This Row],[Custo Total]]*Tabela3[[#This Row],[% Perda]]</f>
        <v>0</v>
      </c>
      <c r="AC1015" s="40">
        <f>IFERROR(VLOOKUP(Tabela3[[#This Row],[Produto]],Tabela2[],2,0),0)</f>
        <v>10</v>
      </c>
      <c r="AD1015" s="48">
        <f>IFERROR(VLOOKUP(Tabela3[[#This Row],[Produto]],Tabela2[],3,0),0)</f>
        <v>0.16</v>
      </c>
      <c r="AE1015" s="48">
        <f>IFERROR(VLOOKUP(Tabela3[[#This Row],[Produto]],Tabela2[],4,0),0)</f>
        <v>2.5</v>
      </c>
      <c r="AF1015" s="48">
        <f>IFERROR(VLOOKUP(Tabela3[[#This Row],[Produto]],Tabela2[],5,0),0)</f>
        <v>0.80999999999999994</v>
      </c>
      <c r="AG1015" s="48">
        <f>IFERROR(VLOOKUP(Tabela3[[#This Row],[Produto]],Tabela2[],6,0),0)</f>
        <v>0</v>
      </c>
      <c r="AH1015" s="40">
        <f>IFERROR(VLOOKUP(Tabela3[[#This Row],[Produto]],Tabela2[],7,0),0)</f>
        <v>0</v>
      </c>
      <c r="AI1015" s="40">
        <f>IFERROR(VLOOKUP(Tabela3[[#This Row],[Produto]],Tabela2[],8,0),0)</f>
        <v>0</v>
      </c>
      <c r="AJ1015" s="35">
        <f ca="1">IFERROR(VLOOKUP(Tabela3[[#This Row],[Produto]],Tabela2[],13,0),0)</f>
        <v>17.600000000000001</v>
      </c>
      <c r="AK1015" s="48" t="str">
        <f>IFERROR(VLOOKUP(Tabela3[[#This Row],[Produto]],Tabela2[],14,0),0)</f>
        <v>MGA</v>
      </c>
      <c r="AL1015" s="40">
        <f>IFERROR(VLOOKUP(Tabela3[[#This Row],[Produto]],Tabela2[],15,0),0)</f>
        <v>0</v>
      </c>
      <c r="AM1015" s="36">
        <f ca="1">(Tabela3[[#This Row],[Custo Usinagem]]+Tabela3[[#This Row],[Custo / Pç]])*1.2</f>
        <v>5.4940447445197584</v>
      </c>
      <c r="AN1015" s="36">
        <f ca="1">Tabela3[[#This Row],[Valor Mínimo Venda]]*1.15</f>
        <v>6.3181514561977217</v>
      </c>
      <c r="AO1015" s="36">
        <f ca="1">Tabela3[[#This Row],[Tabela 1]]*1.08</f>
        <v>6.82360357269354</v>
      </c>
      <c r="AP1015" s="36">
        <f ca="1">Tabela3[[#This Row],[Tabela 2]]*1.15</f>
        <v>7.8471441085975702</v>
      </c>
    </row>
    <row r="1016" spans="1:42">
      <c r="A1016" s="9">
        <v>46092</v>
      </c>
      <c r="B1016" s="9" t="s">
        <v>123</v>
      </c>
      <c r="C1016" s="14">
        <v>9225</v>
      </c>
      <c r="D1016" s="6" t="s">
        <v>46</v>
      </c>
      <c r="E1016" s="6" t="s">
        <v>44</v>
      </c>
      <c r="F1016" s="6">
        <v>6</v>
      </c>
      <c r="G1016" s="15">
        <v>1.4583333333333334E-2</v>
      </c>
      <c r="H1016" s="16">
        <v>0</v>
      </c>
      <c r="I1016" s="35">
        <f ca="1">IFERROR(Tabela3[[#This Row],[Custo Total]]/Tabela3[[#This Row],[Aluminio Util]],0)</f>
        <v>22.520329972995913</v>
      </c>
      <c r="J1016" s="35">
        <f ca="1">Tabela3[[#This Row],[Custo Total]]/Tabela3[[#This Row],[Realizado]]</f>
        <v>12.949189734472649</v>
      </c>
      <c r="K1016" s="37">
        <f>IFERROR(Tabela3[[#This Row],[Qtde Cx Produzida]]/Tabela3[[#This Row],[Tempo]]/24,0)</f>
        <v>17.142857142857142</v>
      </c>
      <c r="L1016" s="37">
        <f>Tabela3[[#This Row],[Qtde Cx Produzida]]*Tabela3[[#This Row],[Qdt Peça Placa]]</f>
        <v>24</v>
      </c>
      <c r="M1016" s="37">
        <f>Tabela3[[#This Row],[Previsto]]-Tabela3[[#This Row],[Perda Pçs]]</f>
        <v>24</v>
      </c>
      <c r="N1016" s="38">
        <f>IFERROR(Tabela3[[#This Row],[Perda Pçs]]/Tabela3[[#This Row],[Previsto]],0)</f>
        <v>0</v>
      </c>
      <c r="O1016" s="39">
        <f>IFERROR(IF(Tabela3[[#This Row],[Qtde Cx Produzida]] &lt;&gt; 0, Tabela3[[#This Row],[Tempo]] / Tabela3[[#This Row],[Qtde Cx Produzida]], 0),0)</f>
        <v>2.4305555555555556E-3</v>
      </c>
      <c r="P1016" s="57">
        <f>IFERROR(Tabela3[[#This Row],[Perda Pçs]]/Tabela3[[#This Row],[Qdt Peça Placa]],0)</f>
        <v>0</v>
      </c>
      <c r="Q1016" s="37">
        <f>IFERROR(Tabela3[[#This Row],[Realizado]]*Tabela3[[#This Row],[Peso Util/Pç]],0)</f>
        <v>13.799999999999999</v>
      </c>
      <c r="R1016" s="37">
        <f>IFERROR(Tabela3[[#This Row],[Peso Total Galho]]*Tabela3[[#This Row],[Qtde Cx Produzida]]*1.055,0)</f>
        <v>21.521999999999998</v>
      </c>
      <c r="S1016" s="37">
        <f>(Tabela3[[#This Row],[Aluminio Bruto]]-Tabela3[[#This Row],[Aluminio Util]])*0.9</f>
        <v>6.9497999999999998</v>
      </c>
      <c r="T1016" s="37">
        <f>Tabela3[[#This Row],[Aluminio Bruto]]/OleoKGAluminio</f>
        <v>9.054277572321352</v>
      </c>
      <c r="U1016" s="35">
        <f>IFERROR((VLOOKUP(Tabela3[[#This Row],[Moldador]],Tabela1[],5,)+(VLOOKUP(Tabela3[[#This Row],[Ajudante]],Tabela1[],5,))*3.5),0)</f>
        <v>126.0945</v>
      </c>
      <c r="V1016" s="35">
        <f>IFERROR(Tabela3[[#This Row],[Custo M.O. / H]]/((Tabela3[[#This Row],[Realizado]]/Tabela3[[#This Row],[Qdt Peça Placa]])/Tabela3[[#This Row],[Tempo]]/24),)</f>
        <v>7.3555124999999997</v>
      </c>
      <c r="W1016" s="35">
        <f>Tabela3[[#This Row],[Custo / Cx Moldada]]*Tabela3[[#This Row],[Qtde Cx Produzida]]</f>
        <v>44.133074999999998</v>
      </c>
      <c r="X1016" s="35">
        <f ca="1">Tabela3[[#This Row],[Aluminio Util]]*Tabela3[[#This Row],[Custo/Kg]]</f>
        <v>242.88</v>
      </c>
      <c r="Y1016" s="35">
        <f>IFERROR(VLOOKUP(Tabela3[[#This Row],[Data]],Tabela461213[],2,1)*(Tabela3[[#This Row],[Qtde Cx Produzida]]*Tabela3[[#This Row],[Qde macho / CX]]*Tabela3[[#This Row],[Peso Macho]]),)</f>
        <v>0</v>
      </c>
      <c r="Z1016" s="35">
        <f>IFERROR(Tabela3[[#This Row],[Qtde Oleo]]*(VLOOKUP(Tabela3[[#This Row],[Data]],CompraOleo[],3,TRUE))*1.05,0)</f>
        <v>23.76747862734355</v>
      </c>
      <c r="AA1016" s="47">
        <f ca="1">(Tabela3[[#This Row],[Custo Oleo]]+Tabela3[[#This Row],[Custo Aluminio]]+Tabela3[[#This Row],[Custo M.O. Total]]+Tabela3[[#This Row],[Custo Machos]])</f>
        <v>310.78055362734358</v>
      </c>
      <c r="AB1016" s="47">
        <f ca="1">Tabela3[[#This Row],[Custo Total]]*Tabela3[[#This Row],[% Perda]]</f>
        <v>0</v>
      </c>
      <c r="AC1016" s="40">
        <f>IFERROR(VLOOKUP(Tabela3[[#This Row],[Produto]],Tabela2[],2,0),0)</f>
        <v>4</v>
      </c>
      <c r="AD1016" s="48">
        <f>IFERROR(VLOOKUP(Tabela3[[#This Row],[Produto]],Tabela2[],3,0),0)</f>
        <v>0.57499999999999996</v>
      </c>
      <c r="AE1016" s="48">
        <f>IFERROR(VLOOKUP(Tabela3[[#This Row],[Produto]],Tabela2[],4,0),0)</f>
        <v>3.4</v>
      </c>
      <c r="AF1016" s="48">
        <f>IFERROR(VLOOKUP(Tabela3[[#This Row],[Produto]],Tabela2[],5,0),0)</f>
        <v>0.9900000000000001</v>
      </c>
      <c r="AG1016" s="48">
        <f>IFERROR(VLOOKUP(Tabela3[[#This Row],[Produto]],Tabela2[],6,0),0)</f>
        <v>0</v>
      </c>
      <c r="AH1016" s="40">
        <f>IFERROR(VLOOKUP(Tabela3[[#This Row],[Produto]],Tabela2[],7,0),0)</f>
        <v>0</v>
      </c>
      <c r="AI1016" s="40">
        <f>IFERROR(VLOOKUP(Tabela3[[#This Row],[Produto]],Tabela2[],8,0),0)</f>
        <v>0</v>
      </c>
      <c r="AJ1016" s="35">
        <f ca="1">IFERROR(VLOOKUP(Tabela3[[#This Row],[Produto]],Tabela2[],13,0),0)</f>
        <v>17.600000000000001</v>
      </c>
      <c r="AK1016" s="48" t="str">
        <f>IFERROR(VLOOKUP(Tabela3[[#This Row],[Produto]],Tabela2[],14,0),0)</f>
        <v>TPA/TEMPLA</v>
      </c>
      <c r="AL1016" s="40">
        <f>IFERROR(VLOOKUP(Tabela3[[#This Row],[Produto]],Tabela2[],15,0),0)</f>
        <v>0</v>
      </c>
      <c r="AM1016" s="36">
        <f ca="1">(Tabela3[[#This Row],[Custo Usinagem]]+Tabela3[[#This Row],[Custo / Pç]])*1.2</f>
        <v>15.539027681367177</v>
      </c>
      <c r="AN1016" s="36">
        <f ca="1">Tabela3[[#This Row],[Valor Mínimo Venda]]*1.15</f>
        <v>17.869881833572251</v>
      </c>
      <c r="AO1016" s="36">
        <f ca="1">Tabela3[[#This Row],[Tabela 1]]*1.08</f>
        <v>19.299472380258031</v>
      </c>
      <c r="AP1016" s="36">
        <f ca="1">Tabela3[[#This Row],[Tabela 2]]*1.15</f>
        <v>22.194393237296733</v>
      </c>
    </row>
    <row r="1017" spans="1:42">
      <c r="A1017" s="9">
        <v>46092</v>
      </c>
      <c r="B1017" s="9" t="s">
        <v>178</v>
      </c>
      <c r="C1017" s="14">
        <v>9226</v>
      </c>
      <c r="D1017" s="6" t="s">
        <v>44</v>
      </c>
      <c r="E1017" s="6" t="s">
        <v>47</v>
      </c>
      <c r="F1017" s="6">
        <v>1</v>
      </c>
      <c r="G1017" s="15">
        <v>3.4722222222222224E-2</v>
      </c>
      <c r="H1017" s="16">
        <v>0</v>
      </c>
      <c r="I1017" s="35">
        <f ca="1">IFERROR(Tabela3[[#This Row],[Custo Total]]/Tabela3[[#This Row],[Aluminio Util]],0)</f>
        <v>21.446028236978961</v>
      </c>
      <c r="J1017" s="35">
        <f ca="1">Tabela3[[#This Row],[Custo Total]]/Tabela3[[#This Row],[Realizado]]</f>
        <v>693.77901346626948</v>
      </c>
      <c r="K1017" s="37">
        <f>IFERROR(Tabela3[[#This Row],[Qtde Cx Produzida]]/Tabela3[[#This Row],[Tempo]]/24,0)</f>
        <v>1.2</v>
      </c>
      <c r="L1017" s="37">
        <f>Tabela3[[#This Row],[Qtde Cx Produzida]]*Tabela3[[#This Row],[Qdt Peça Placa]]</f>
        <v>1</v>
      </c>
      <c r="M1017" s="37">
        <f>Tabela3[[#This Row],[Previsto]]-Tabela3[[#This Row],[Perda Pçs]]</f>
        <v>1</v>
      </c>
      <c r="N1017" s="38">
        <f>IFERROR(Tabela3[[#This Row],[Perda Pçs]]/Tabela3[[#This Row],[Previsto]],0)</f>
        <v>0</v>
      </c>
      <c r="O1017" s="39">
        <f>IFERROR(IF(Tabela3[[#This Row],[Qtde Cx Produzida]] &lt;&gt; 0, Tabela3[[#This Row],[Tempo]] / Tabela3[[#This Row],[Qtde Cx Produzida]], 0),0)</f>
        <v>3.4722222222222224E-2</v>
      </c>
      <c r="P1017" s="57">
        <f>IFERROR(Tabela3[[#This Row],[Perda Pçs]]/Tabela3[[#This Row],[Qdt Peça Placa]],0)</f>
        <v>0</v>
      </c>
      <c r="Q1017" s="37">
        <f>IFERROR(Tabela3[[#This Row],[Realizado]]*Tabela3[[#This Row],[Peso Util/Pç]],0)</f>
        <v>32.35</v>
      </c>
      <c r="R1017" s="37">
        <f>IFERROR(Tabela3[[#This Row],[Peso Total Galho]]*Tabela3[[#This Row],[Qtde Cx Produzida]]*1.055,0)</f>
        <v>37.241499999999995</v>
      </c>
      <c r="S1017" s="37">
        <f>(Tabela3[[#This Row],[Aluminio Bruto]]-Tabela3[[#This Row],[Aluminio Util]])*0.9</f>
        <v>4.402349999999994</v>
      </c>
      <c r="T1017" s="37">
        <f>Tabela3[[#This Row],[Aluminio Bruto]]/OleoKGAluminio</f>
        <v>15.667450897203121</v>
      </c>
      <c r="U1017" s="35">
        <f>IFERROR((VLOOKUP(Tabela3[[#This Row],[Moldador]],Tabela1[],5,)+(VLOOKUP(Tabela3[[#This Row],[Ajudante]],Tabela1[],5,))*3.5),0)</f>
        <v>99.95034583333333</v>
      </c>
      <c r="V1017" s="35">
        <f>IFERROR(Tabela3[[#This Row],[Custo M.O. / H]]/((Tabela3[[#This Row],[Realizado]]/Tabela3[[#This Row],[Qdt Peça Placa]])/Tabela3[[#This Row],[Tempo]]/24),)</f>
        <v>83.291954861111108</v>
      </c>
      <c r="W1017" s="35">
        <f>Tabela3[[#This Row],[Custo / Cx Moldada]]*Tabela3[[#This Row],[Qtde Cx Produzida]]</f>
        <v>83.291954861111108</v>
      </c>
      <c r="X1017" s="35">
        <f ca="1">Tabela3[[#This Row],[Aluminio Util]]*Tabela3[[#This Row],[Custo/Kg]]</f>
        <v>569.36000000000013</v>
      </c>
      <c r="Y1017" s="35">
        <f>IFERROR(VLOOKUP(Tabela3[[#This Row],[Data]],Tabela461213[],2,1)*(Tabela3[[#This Row],[Qtde Cx Produzida]]*Tabela3[[#This Row],[Qde macho / CX]]*Tabela3[[#This Row],[Peso Macho]]),)</f>
        <v>0</v>
      </c>
      <c r="Z1017" s="35">
        <f>IFERROR(Tabela3[[#This Row],[Qtde Oleo]]*(VLOOKUP(Tabela3[[#This Row],[Data]],CompraOleo[],3,TRUE))*1.05,0)</f>
        <v>41.127058605158197</v>
      </c>
      <c r="AA1017" s="47">
        <f ca="1">(Tabela3[[#This Row],[Custo Oleo]]+Tabela3[[#This Row],[Custo Aluminio]]+Tabela3[[#This Row],[Custo M.O. Total]]+Tabela3[[#This Row],[Custo Machos]])</f>
        <v>693.77901346626948</v>
      </c>
      <c r="AB1017" s="47">
        <f ca="1">Tabela3[[#This Row],[Custo Total]]*Tabela3[[#This Row],[% Perda]]</f>
        <v>0</v>
      </c>
      <c r="AC1017" s="40">
        <f>IFERROR(VLOOKUP(Tabela3[[#This Row],[Produto]],Tabela2[],2,0),0)</f>
        <v>1</v>
      </c>
      <c r="AD1017" s="48">
        <f>IFERROR(VLOOKUP(Tabela3[[#This Row],[Produto]],Tabela2[],3,0),0)</f>
        <v>32.35</v>
      </c>
      <c r="AE1017" s="48">
        <f>IFERROR(VLOOKUP(Tabela3[[#This Row],[Produto]],Tabela2[],4,0),0)</f>
        <v>35.299999999999997</v>
      </c>
      <c r="AF1017" s="48">
        <f>IFERROR(VLOOKUP(Tabela3[[#This Row],[Produto]],Tabela2[],5,0),0)</f>
        <v>2.6549999999999963</v>
      </c>
      <c r="AG1017" s="48">
        <f>IFERROR(VLOOKUP(Tabela3[[#This Row],[Produto]],Tabela2[],6,0),0)</f>
        <v>0</v>
      </c>
      <c r="AH1017" s="40">
        <f>IFERROR(VLOOKUP(Tabela3[[#This Row],[Produto]],Tabela2[],7,0),0)</f>
        <v>0</v>
      </c>
      <c r="AI1017" s="40">
        <f>IFERROR(VLOOKUP(Tabela3[[#This Row],[Produto]],Tabela2[],8,0),0)</f>
        <v>0</v>
      </c>
      <c r="AJ1017" s="35">
        <f ca="1">IFERROR(VLOOKUP(Tabela3[[#This Row],[Produto]],Tabela2[],13,0),0)</f>
        <v>17.600000000000001</v>
      </c>
      <c r="AK1017" s="48" t="str">
        <f>IFERROR(VLOOKUP(Tabela3[[#This Row],[Produto]],Tabela2[],14,0),0)</f>
        <v>Oscar</v>
      </c>
      <c r="AL1017" s="40">
        <f>IFERROR(VLOOKUP(Tabela3[[#This Row],[Produto]],Tabela2[],15,0),0)</f>
        <v>0</v>
      </c>
      <c r="AM1017" s="36">
        <f ca="1">(Tabela3[[#This Row],[Custo Usinagem]]+Tabela3[[#This Row],[Custo / Pç]])*1.2</f>
        <v>832.5348161595233</v>
      </c>
      <c r="AN1017" s="36">
        <f ca="1">Tabela3[[#This Row],[Valor Mínimo Venda]]*1.15</f>
        <v>957.41503858345175</v>
      </c>
      <c r="AO1017" s="36">
        <f ca="1">Tabela3[[#This Row],[Tabela 1]]*1.08</f>
        <v>1034.008241670128</v>
      </c>
      <c r="AP1017" s="36">
        <f ca="1">Tabela3[[#This Row],[Tabela 2]]*1.15</f>
        <v>1189.1094779206471</v>
      </c>
    </row>
    <row r="1018" spans="1:42">
      <c r="A1018" s="9">
        <v>46093</v>
      </c>
      <c r="B1018" s="9" t="s">
        <v>100</v>
      </c>
      <c r="C1018" s="14">
        <v>9165</v>
      </c>
      <c r="D1018" s="6" t="s">
        <v>46</v>
      </c>
      <c r="E1018" s="6" t="s">
        <v>44</v>
      </c>
      <c r="F1018" s="6">
        <v>15</v>
      </c>
      <c r="G1018" s="15">
        <v>7.0833333333333331E-2</v>
      </c>
      <c r="H1018" s="16">
        <v>0</v>
      </c>
      <c r="I1018" s="35">
        <f ca="1">IFERROR(Tabela3[[#This Row],[Custo Total]]/Tabela3[[#This Row],[Aluminio Util]],0)</f>
        <v>31.644891216509635</v>
      </c>
      <c r="J1018" s="35">
        <f ca="1">Tabela3[[#This Row],[Custo Total]]/Tabela3[[#This Row],[Realizado]]</f>
        <v>18.98693472990578</v>
      </c>
      <c r="K1018" s="37">
        <f>IFERROR(Tabela3[[#This Row],[Qtde Cx Produzida]]/Tabela3[[#This Row],[Tempo]]/24,0)</f>
        <v>8.8235294117647065</v>
      </c>
      <c r="L1018" s="37">
        <f>Tabela3[[#This Row],[Qtde Cx Produzida]]*Tabela3[[#This Row],[Qdt Peça Placa]]</f>
        <v>30</v>
      </c>
      <c r="M1018" s="37">
        <f>Tabela3[[#This Row],[Previsto]]-Tabela3[[#This Row],[Perda Pçs]]</f>
        <v>30</v>
      </c>
      <c r="N1018" s="38">
        <f>IFERROR(Tabela3[[#This Row],[Perda Pçs]]/Tabela3[[#This Row],[Previsto]],0)</f>
        <v>0</v>
      </c>
      <c r="O1018" s="39">
        <f>IFERROR(IF(Tabela3[[#This Row],[Qtde Cx Produzida]] &lt;&gt; 0, Tabela3[[#This Row],[Tempo]] / Tabela3[[#This Row],[Qtde Cx Produzida]], 0),0)</f>
        <v>4.7222222222222223E-3</v>
      </c>
      <c r="P1018" s="57">
        <f>IFERROR(Tabela3[[#This Row],[Perda Pçs]]/Tabela3[[#This Row],[Qdt Peça Placa]],0)</f>
        <v>0</v>
      </c>
      <c r="Q1018" s="37">
        <f>IFERROR(Tabela3[[#This Row],[Realizado]]*Tabela3[[#This Row],[Peso Util/Pç]],0)</f>
        <v>18</v>
      </c>
      <c r="R1018" s="37">
        <f>IFERROR(Tabela3[[#This Row],[Peso Total Galho]]*Tabela3[[#This Row],[Qtde Cx Produzida]]*1.055,0)</f>
        <v>34.814999999999998</v>
      </c>
      <c r="S1018" s="37">
        <f>(Tabela3[[#This Row],[Aluminio Bruto]]-Tabela3[[#This Row],[Aluminio Util]])*0.9</f>
        <v>15.133499999999998</v>
      </c>
      <c r="T1018" s="37">
        <f>Tabela3[[#This Row],[Aluminio Bruto]]/OleoKGAluminio</f>
        <v>14.646625484637481</v>
      </c>
      <c r="U1018" s="35">
        <f>IFERROR((VLOOKUP(Tabela3[[#This Row],[Moldador]],Tabela1[],5,)+(VLOOKUP(Tabela3[[#This Row],[Ajudante]],Tabela1[],5,))*3.5),0)</f>
        <v>126.0945</v>
      </c>
      <c r="V1018" s="35">
        <f>IFERROR(Tabela3[[#This Row],[Custo M.O. / H]]/((Tabela3[[#This Row],[Realizado]]/Tabela3[[#This Row],[Qdt Peça Placa]])/Tabela3[[#This Row],[Tempo]]/24),)</f>
        <v>14.290709999999999</v>
      </c>
      <c r="W1018" s="35">
        <f>Tabela3[[#This Row],[Custo / Cx Moldada]]*Tabela3[[#This Row],[Qtde Cx Produzida]]</f>
        <v>214.36064999999999</v>
      </c>
      <c r="X1018" s="35">
        <f ca="1">Tabela3[[#This Row],[Aluminio Util]]*Tabela3[[#This Row],[Custo/Kg]]</f>
        <v>316.8</v>
      </c>
      <c r="Y1018" s="35">
        <f>IFERROR(VLOOKUP(Tabela3[[#This Row],[Data]],Tabela461213[],2,1)*(Tabela3[[#This Row],[Qtde Cx Produzida]]*Tabela3[[#This Row],[Qde macho / CX]]*Tabela3[[#This Row],[Peso Macho]]),)</f>
        <v>0</v>
      </c>
      <c r="Z1018" s="35">
        <f>IFERROR(Tabela3[[#This Row],[Qtde Oleo]]*(VLOOKUP(Tabela3[[#This Row],[Data]],CompraOleo[],3,TRUE))*1.05,0)</f>
        <v>38.447391897173382</v>
      </c>
      <c r="AA1018" s="47">
        <f ca="1">(Tabela3[[#This Row],[Custo Oleo]]+Tabela3[[#This Row],[Custo Aluminio]]+Tabela3[[#This Row],[Custo M.O. Total]]+Tabela3[[#This Row],[Custo Machos]])</f>
        <v>569.60804189717339</v>
      </c>
      <c r="AB1018" s="47">
        <f ca="1">Tabela3[[#This Row],[Custo Total]]*Tabela3[[#This Row],[% Perda]]</f>
        <v>0</v>
      </c>
      <c r="AC1018" s="40">
        <f>IFERROR(VLOOKUP(Tabela3[[#This Row],[Produto]],Tabela2[],2,0),0)</f>
        <v>2</v>
      </c>
      <c r="AD1018" s="48">
        <f>IFERROR(VLOOKUP(Tabela3[[#This Row],[Produto]],Tabela2[],3,0),0)</f>
        <v>0.6</v>
      </c>
      <c r="AE1018" s="48">
        <f>IFERROR(VLOOKUP(Tabela3[[#This Row],[Produto]],Tabela2[],4,0),0)</f>
        <v>2.2000000000000002</v>
      </c>
      <c r="AF1018" s="48">
        <f>IFERROR(VLOOKUP(Tabela3[[#This Row],[Produto]],Tabela2[],5,0),0)</f>
        <v>0.90000000000000024</v>
      </c>
      <c r="AG1018" s="48">
        <f>IFERROR(VLOOKUP(Tabela3[[#This Row],[Produto]],Tabela2[],6,0),0)</f>
        <v>0</v>
      </c>
      <c r="AH1018" s="40">
        <f>IFERROR(VLOOKUP(Tabela3[[#This Row],[Produto]],Tabela2[],7,0),0)</f>
        <v>0</v>
      </c>
      <c r="AI1018" s="40">
        <f>IFERROR(VLOOKUP(Tabela3[[#This Row],[Produto]],Tabela2[],8,0),0)</f>
        <v>0</v>
      </c>
      <c r="AJ1018" s="35">
        <f ca="1">IFERROR(VLOOKUP(Tabela3[[#This Row],[Produto]],Tabela2[],13,0),0)</f>
        <v>17.600000000000001</v>
      </c>
      <c r="AK1018" s="48" t="str">
        <f>IFERROR(VLOOKUP(Tabela3[[#This Row],[Produto]],Tabela2[],14,0),0)</f>
        <v>Protec</v>
      </c>
      <c r="AL1018" s="40">
        <f>IFERROR(VLOOKUP(Tabela3[[#This Row],[Produto]],Tabela2[],15,0),0)</f>
        <v>0</v>
      </c>
      <c r="AM1018" s="36">
        <f ca="1">(Tabela3[[#This Row],[Custo Usinagem]]+Tabela3[[#This Row],[Custo / Pç]])*1.2</f>
        <v>22.784321675886936</v>
      </c>
      <c r="AN1018" s="36">
        <f ca="1">Tabela3[[#This Row],[Valor Mínimo Venda]]*1.15</f>
        <v>26.201969927269975</v>
      </c>
      <c r="AO1018" s="36">
        <f ca="1">Tabela3[[#This Row],[Tabela 1]]*1.08</f>
        <v>28.298127521451576</v>
      </c>
      <c r="AP1018" s="36">
        <f ca="1">Tabela3[[#This Row],[Tabela 2]]*1.15</f>
        <v>32.542846649669308</v>
      </c>
    </row>
    <row r="1019" spans="1:42">
      <c r="A1019" s="9">
        <v>46093</v>
      </c>
      <c r="B1019" s="9" t="s">
        <v>101</v>
      </c>
      <c r="C1019" s="14">
        <v>9166</v>
      </c>
      <c r="D1019" s="6" t="s">
        <v>46</v>
      </c>
      <c r="E1019" s="6" t="s">
        <v>44</v>
      </c>
      <c r="F1019" s="6">
        <v>15</v>
      </c>
      <c r="G1019" s="15">
        <v>8.1944444444444445E-2</v>
      </c>
      <c r="H1019" s="16">
        <v>0</v>
      </c>
      <c r="I1019" s="35">
        <f ca="1">IFERROR(Tabela3[[#This Row],[Custo Total]]/Tabela3[[#This Row],[Aluminio Util]],0)</f>
        <v>33.512957883176298</v>
      </c>
      <c r="J1019" s="35">
        <f ca="1">Tabela3[[#This Row],[Custo Total]]/Tabela3[[#This Row],[Realizado]]</f>
        <v>20.107774729905778</v>
      </c>
      <c r="K1019" s="37">
        <f>IFERROR(Tabela3[[#This Row],[Qtde Cx Produzida]]/Tabela3[[#This Row],[Tempo]]/24,0)</f>
        <v>7.6271186440677967</v>
      </c>
      <c r="L1019" s="37">
        <f>Tabela3[[#This Row],[Qtde Cx Produzida]]*Tabela3[[#This Row],[Qdt Peça Placa]]</f>
        <v>30</v>
      </c>
      <c r="M1019" s="37">
        <f>Tabela3[[#This Row],[Previsto]]-Tabela3[[#This Row],[Perda Pçs]]</f>
        <v>30</v>
      </c>
      <c r="N1019" s="38">
        <f>IFERROR(Tabela3[[#This Row],[Perda Pçs]]/Tabela3[[#This Row],[Previsto]],0)</f>
        <v>0</v>
      </c>
      <c r="O1019" s="39">
        <f>IFERROR(IF(Tabela3[[#This Row],[Qtde Cx Produzida]] &lt;&gt; 0, Tabela3[[#This Row],[Tempo]] / Tabela3[[#This Row],[Qtde Cx Produzida]], 0),0)</f>
        <v>5.4629629629629629E-3</v>
      </c>
      <c r="P1019" s="57">
        <f>IFERROR(Tabela3[[#This Row],[Perda Pçs]]/Tabela3[[#This Row],[Qdt Peça Placa]],0)</f>
        <v>0</v>
      </c>
      <c r="Q1019" s="37">
        <f>IFERROR(Tabela3[[#This Row],[Realizado]]*Tabela3[[#This Row],[Peso Util/Pç]],0)</f>
        <v>18</v>
      </c>
      <c r="R1019" s="37">
        <f>IFERROR(Tabela3[[#This Row],[Peso Total Galho]]*Tabela3[[#This Row],[Qtde Cx Produzida]]*1.055,0)</f>
        <v>34.814999999999998</v>
      </c>
      <c r="S1019" s="37">
        <f>(Tabela3[[#This Row],[Aluminio Bruto]]-Tabela3[[#This Row],[Aluminio Util]])*0.9</f>
        <v>15.133499999999998</v>
      </c>
      <c r="T1019" s="37">
        <f>Tabela3[[#This Row],[Aluminio Bruto]]/OleoKGAluminio</f>
        <v>14.646625484637481</v>
      </c>
      <c r="U1019" s="35">
        <f>IFERROR((VLOOKUP(Tabela3[[#This Row],[Moldador]],Tabela1[],5,)+(VLOOKUP(Tabela3[[#This Row],[Ajudante]],Tabela1[],5,))*3.5),0)</f>
        <v>126.0945</v>
      </c>
      <c r="V1019" s="35">
        <f>IFERROR(Tabela3[[#This Row],[Custo M.O. / H]]/((Tabela3[[#This Row],[Realizado]]/Tabela3[[#This Row],[Qdt Peça Placa]])/Tabela3[[#This Row],[Tempo]]/24),)</f>
        <v>16.532389999999999</v>
      </c>
      <c r="W1019" s="35">
        <f>Tabela3[[#This Row],[Custo / Cx Moldada]]*Tabela3[[#This Row],[Qtde Cx Produzida]]</f>
        <v>247.98585</v>
      </c>
      <c r="X1019" s="35">
        <f ca="1">Tabela3[[#This Row],[Aluminio Util]]*Tabela3[[#This Row],[Custo/Kg]]</f>
        <v>316.8</v>
      </c>
      <c r="Y1019" s="35">
        <f>IFERROR(VLOOKUP(Tabela3[[#This Row],[Data]],Tabela461213[],2,1)*(Tabela3[[#This Row],[Qtde Cx Produzida]]*Tabela3[[#This Row],[Qde macho / CX]]*Tabela3[[#This Row],[Peso Macho]]),)</f>
        <v>0</v>
      </c>
      <c r="Z1019" s="35">
        <f>IFERROR(Tabela3[[#This Row],[Qtde Oleo]]*(VLOOKUP(Tabela3[[#This Row],[Data]],CompraOleo[],3,TRUE))*1.05,0)</f>
        <v>38.447391897173382</v>
      </c>
      <c r="AA1019" s="47">
        <f ca="1">(Tabela3[[#This Row],[Custo Oleo]]+Tabela3[[#This Row],[Custo Aluminio]]+Tabela3[[#This Row],[Custo M.O. Total]]+Tabela3[[#This Row],[Custo Machos]])</f>
        <v>603.23324189717334</v>
      </c>
      <c r="AB1019" s="47">
        <f ca="1">Tabela3[[#This Row],[Custo Total]]*Tabela3[[#This Row],[% Perda]]</f>
        <v>0</v>
      </c>
      <c r="AC1019" s="40">
        <f>IFERROR(VLOOKUP(Tabela3[[#This Row],[Produto]],Tabela2[],2,0),0)</f>
        <v>2</v>
      </c>
      <c r="AD1019" s="48">
        <f>IFERROR(VLOOKUP(Tabela3[[#This Row],[Produto]],Tabela2[],3,0),0)</f>
        <v>0.6</v>
      </c>
      <c r="AE1019" s="48">
        <f>IFERROR(VLOOKUP(Tabela3[[#This Row],[Produto]],Tabela2[],4,0),0)</f>
        <v>2.2000000000000002</v>
      </c>
      <c r="AF1019" s="48">
        <f>IFERROR(VLOOKUP(Tabela3[[#This Row],[Produto]],Tabela2[],5,0),0)</f>
        <v>0.90000000000000024</v>
      </c>
      <c r="AG1019" s="48">
        <f>IFERROR(VLOOKUP(Tabela3[[#This Row],[Produto]],Tabela2[],6,0),0)</f>
        <v>0</v>
      </c>
      <c r="AH1019" s="40">
        <f>IFERROR(VLOOKUP(Tabela3[[#This Row],[Produto]],Tabela2[],7,0),0)</f>
        <v>0</v>
      </c>
      <c r="AI1019" s="40">
        <f>IFERROR(VLOOKUP(Tabela3[[#This Row],[Produto]],Tabela2[],8,0),0)</f>
        <v>0</v>
      </c>
      <c r="AJ1019" s="35">
        <f ca="1">IFERROR(VLOOKUP(Tabela3[[#This Row],[Produto]],Tabela2[],13,0),0)</f>
        <v>17.600000000000001</v>
      </c>
      <c r="AK1019" s="48" t="str">
        <f>IFERROR(VLOOKUP(Tabela3[[#This Row],[Produto]],Tabela2[],14,0),0)</f>
        <v>Protec</v>
      </c>
      <c r="AL1019" s="40">
        <f>IFERROR(VLOOKUP(Tabela3[[#This Row],[Produto]],Tabela2[],15,0),0)</f>
        <v>0</v>
      </c>
      <c r="AM1019" s="36">
        <f ca="1">(Tabela3[[#This Row],[Custo Usinagem]]+Tabela3[[#This Row],[Custo / Pç]])*1.2</f>
        <v>24.129329675886932</v>
      </c>
      <c r="AN1019" s="36">
        <f ca="1">Tabela3[[#This Row],[Valor Mínimo Venda]]*1.15</f>
        <v>27.748729127269971</v>
      </c>
      <c r="AO1019" s="36">
        <f ca="1">Tabela3[[#This Row],[Tabela 1]]*1.08</f>
        <v>29.968627457451571</v>
      </c>
      <c r="AP1019" s="36">
        <f ca="1">Tabela3[[#This Row],[Tabela 2]]*1.15</f>
        <v>34.463921576069303</v>
      </c>
    </row>
    <row r="1020" spans="1:42">
      <c r="A1020" s="9">
        <v>46093</v>
      </c>
      <c r="B1020" s="9" t="s">
        <v>107</v>
      </c>
      <c r="C1020" s="14">
        <v>9224</v>
      </c>
      <c r="D1020" s="6" t="s">
        <v>46</v>
      </c>
      <c r="E1020" s="6" t="s">
        <v>44</v>
      </c>
      <c r="F1020" s="6">
        <v>3</v>
      </c>
      <c r="G1020" s="15">
        <v>1.9444444444444445E-2</v>
      </c>
      <c r="H1020" s="16">
        <v>0</v>
      </c>
      <c r="I1020" s="35">
        <f ca="1">IFERROR(Tabela3[[#This Row],[Custo Total]]/Tabela3[[#This Row],[Aluminio Util]],0)</f>
        <v>31.679613252707078</v>
      </c>
      <c r="J1020" s="35">
        <f ca="1">Tabela3[[#This Row],[Custo Total]]/Tabela3[[#This Row],[Realizado]]</f>
        <v>5.0687381204331325</v>
      </c>
      <c r="K1020" s="37">
        <f>IFERROR(Tabela3[[#This Row],[Qtde Cx Produzida]]/Tabela3[[#This Row],[Tempo]]/24,0)</f>
        <v>6.4285714285714279</v>
      </c>
      <c r="L1020" s="37">
        <f>Tabela3[[#This Row],[Qtde Cx Produzida]]*Tabela3[[#This Row],[Qdt Peça Placa]]</f>
        <v>30</v>
      </c>
      <c r="M1020" s="37">
        <f>Tabela3[[#This Row],[Previsto]]-Tabela3[[#This Row],[Perda Pçs]]</f>
        <v>30</v>
      </c>
      <c r="N1020" s="38">
        <f>IFERROR(Tabela3[[#This Row],[Perda Pçs]]/Tabela3[[#This Row],[Previsto]],0)</f>
        <v>0</v>
      </c>
      <c r="O1020" s="39">
        <f>IFERROR(IF(Tabela3[[#This Row],[Qtde Cx Produzida]] &lt;&gt; 0, Tabela3[[#This Row],[Tempo]] / Tabela3[[#This Row],[Qtde Cx Produzida]], 0),0)</f>
        <v>6.4814814814814813E-3</v>
      </c>
      <c r="P1020" s="57">
        <f>IFERROR(Tabela3[[#This Row],[Perda Pçs]]/Tabela3[[#This Row],[Qdt Peça Placa]],0)</f>
        <v>0</v>
      </c>
      <c r="Q1020" s="37">
        <f>IFERROR(Tabela3[[#This Row],[Realizado]]*Tabela3[[#This Row],[Peso Util/Pç]],0)</f>
        <v>4.8</v>
      </c>
      <c r="R1020" s="37">
        <f>IFERROR(Tabela3[[#This Row],[Peso Total Galho]]*Tabela3[[#This Row],[Qtde Cx Produzida]]*1.055,0)</f>
        <v>7.9124999999999996</v>
      </c>
      <c r="S1020" s="37">
        <f>(Tabela3[[#This Row],[Aluminio Bruto]]-Tabela3[[#This Row],[Aluminio Util]])*0.9</f>
        <v>2.80125</v>
      </c>
      <c r="T1020" s="37">
        <f>Tabela3[[#This Row],[Aluminio Bruto]]/OleoKGAluminio</f>
        <v>3.328778519235791</v>
      </c>
      <c r="U1020" s="35">
        <f>IFERROR((VLOOKUP(Tabela3[[#This Row],[Moldador]],Tabela1[],5,)+(VLOOKUP(Tabela3[[#This Row],[Ajudante]],Tabela1[],5,))*3.5),0)</f>
        <v>126.0945</v>
      </c>
      <c r="V1020" s="35">
        <f>IFERROR(Tabela3[[#This Row],[Custo M.O. / H]]/((Tabela3[[#This Row],[Realizado]]/Tabela3[[#This Row],[Qdt Peça Placa]])/Tabela3[[#This Row],[Tempo]]/24),)</f>
        <v>19.614700000000003</v>
      </c>
      <c r="W1020" s="35">
        <f>Tabela3[[#This Row],[Custo / Cx Moldada]]*Tabela3[[#This Row],[Qtde Cx Produzida]]</f>
        <v>58.844100000000012</v>
      </c>
      <c r="X1020" s="35">
        <f ca="1">Tabela3[[#This Row],[Aluminio Util]]*Tabela3[[#This Row],[Custo/Kg]]</f>
        <v>84.48</v>
      </c>
      <c r="Y1020" s="35">
        <f>IFERROR(VLOOKUP(Tabela3[[#This Row],[Data]],Tabela461213[],2,1)*(Tabela3[[#This Row],[Qtde Cx Produzida]]*Tabela3[[#This Row],[Qde macho / CX]]*Tabela3[[#This Row],[Peso Macho]]),)</f>
        <v>0</v>
      </c>
      <c r="Z1020" s="35">
        <f>IFERROR(Tabela3[[#This Row],[Qtde Oleo]]*(VLOOKUP(Tabela3[[#This Row],[Data]],CompraOleo[],3,TRUE))*1.05,0)</f>
        <v>8.7380436129939518</v>
      </c>
      <c r="AA1020" s="47">
        <f ca="1">(Tabela3[[#This Row],[Custo Oleo]]+Tabela3[[#This Row],[Custo Aluminio]]+Tabela3[[#This Row],[Custo M.O. Total]]+Tabela3[[#This Row],[Custo Machos]])</f>
        <v>152.06214361299396</v>
      </c>
      <c r="AB1020" s="47">
        <f ca="1">Tabela3[[#This Row],[Custo Total]]*Tabela3[[#This Row],[% Perda]]</f>
        <v>0</v>
      </c>
      <c r="AC1020" s="40">
        <f>IFERROR(VLOOKUP(Tabela3[[#This Row],[Produto]],Tabela2[],2,0),0)</f>
        <v>10</v>
      </c>
      <c r="AD1020" s="48">
        <f>IFERROR(VLOOKUP(Tabela3[[#This Row],[Produto]],Tabela2[],3,0),0)</f>
        <v>0.16</v>
      </c>
      <c r="AE1020" s="48">
        <f>IFERROR(VLOOKUP(Tabela3[[#This Row],[Produto]],Tabela2[],4,0),0)</f>
        <v>2.5</v>
      </c>
      <c r="AF1020" s="48">
        <f>IFERROR(VLOOKUP(Tabela3[[#This Row],[Produto]],Tabela2[],5,0),0)</f>
        <v>0.80999999999999994</v>
      </c>
      <c r="AG1020" s="48">
        <f>IFERROR(VLOOKUP(Tabela3[[#This Row],[Produto]],Tabela2[],6,0),0)</f>
        <v>0</v>
      </c>
      <c r="AH1020" s="40">
        <f>IFERROR(VLOOKUP(Tabela3[[#This Row],[Produto]],Tabela2[],7,0),0)</f>
        <v>0</v>
      </c>
      <c r="AI1020" s="40">
        <f>IFERROR(VLOOKUP(Tabela3[[#This Row],[Produto]],Tabela2[],8,0),0)</f>
        <v>0</v>
      </c>
      <c r="AJ1020" s="35">
        <f ca="1">IFERROR(VLOOKUP(Tabela3[[#This Row],[Produto]],Tabela2[],13,0),0)</f>
        <v>17.600000000000001</v>
      </c>
      <c r="AK1020" s="48" t="str">
        <f>IFERROR(VLOOKUP(Tabela3[[#This Row],[Produto]],Tabela2[],14,0),0)</f>
        <v>MGA</v>
      </c>
      <c r="AL1020" s="40">
        <f>IFERROR(VLOOKUP(Tabela3[[#This Row],[Produto]],Tabela2[],15,0),0)</f>
        <v>0</v>
      </c>
      <c r="AM1020" s="36">
        <f ca="1">(Tabela3[[#This Row],[Custo Usinagem]]+Tabela3[[#This Row],[Custo / Pç]])*1.2</f>
        <v>6.0824857445197589</v>
      </c>
      <c r="AN1020" s="36">
        <f ca="1">Tabela3[[#This Row],[Valor Mínimo Venda]]*1.15</f>
        <v>6.994858606197722</v>
      </c>
      <c r="AO1020" s="36">
        <f ca="1">Tabela3[[#This Row],[Tabela 1]]*1.08</f>
        <v>7.5544472946935404</v>
      </c>
      <c r="AP1020" s="36">
        <f ca="1">Tabela3[[#This Row],[Tabela 2]]*1.15</f>
        <v>8.6876143888975701</v>
      </c>
    </row>
    <row r="1021" spans="1:42">
      <c r="A1021" s="9">
        <v>46093</v>
      </c>
      <c r="B1021" s="9" t="s">
        <v>123</v>
      </c>
      <c r="C1021" s="14">
        <v>9225</v>
      </c>
      <c r="D1021" s="6" t="s">
        <v>46</v>
      </c>
      <c r="E1021" s="6" t="s">
        <v>44</v>
      </c>
      <c r="F1021" s="6">
        <v>6</v>
      </c>
      <c r="G1021" s="15">
        <v>5.9722222222222225E-2</v>
      </c>
      <c r="H1021" s="16">
        <v>0</v>
      </c>
      <c r="I1021" s="35">
        <f ca="1">IFERROR(Tabela3[[#This Row],[Custo Total]]/Tabela3[[#This Row],[Aluminio Util]],0)</f>
        <v>32.41905279908287</v>
      </c>
      <c r="J1021" s="35">
        <f ca="1">Tabela3[[#This Row],[Custo Total]]/Tabela3[[#This Row],[Realizado]]</f>
        <v>18.640955359472649</v>
      </c>
      <c r="K1021" s="37">
        <f>IFERROR(Tabela3[[#This Row],[Qtde Cx Produzida]]/Tabela3[[#This Row],[Tempo]]/24,0)</f>
        <v>4.1860465116279064</v>
      </c>
      <c r="L1021" s="37">
        <f>Tabela3[[#This Row],[Qtde Cx Produzida]]*Tabela3[[#This Row],[Qdt Peça Placa]]</f>
        <v>24</v>
      </c>
      <c r="M1021" s="37">
        <f>Tabela3[[#This Row],[Previsto]]-Tabela3[[#This Row],[Perda Pçs]]</f>
        <v>24</v>
      </c>
      <c r="N1021" s="38">
        <f>IFERROR(Tabela3[[#This Row],[Perda Pçs]]/Tabela3[[#This Row],[Previsto]],0)</f>
        <v>0</v>
      </c>
      <c r="O1021" s="39">
        <f>IFERROR(IF(Tabela3[[#This Row],[Qtde Cx Produzida]] &lt;&gt; 0, Tabela3[[#This Row],[Tempo]] / Tabela3[[#This Row],[Qtde Cx Produzida]], 0),0)</f>
        <v>9.9537037037037042E-3</v>
      </c>
      <c r="P1021" s="57">
        <f>IFERROR(Tabela3[[#This Row],[Perda Pçs]]/Tabela3[[#This Row],[Qdt Peça Placa]],0)</f>
        <v>0</v>
      </c>
      <c r="Q1021" s="37">
        <f>IFERROR(Tabela3[[#This Row],[Realizado]]*Tabela3[[#This Row],[Peso Util/Pç]],0)</f>
        <v>13.799999999999999</v>
      </c>
      <c r="R1021" s="37">
        <f>IFERROR(Tabela3[[#This Row],[Peso Total Galho]]*Tabela3[[#This Row],[Qtde Cx Produzida]]*1.055,0)</f>
        <v>21.521999999999998</v>
      </c>
      <c r="S1021" s="37">
        <f>(Tabela3[[#This Row],[Aluminio Bruto]]-Tabela3[[#This Row],[Aluminio Util]])*0.9</f>
        <v>6.9497999999999998</v>
      </c>
      <c r="T1021" s="37">
        <f>Tabela3[[#This Row],[Aluminio Bruto]]/OleoKGAluminio</f>
        <v>9.054277572321352</v>
      </c>
      <c r="U1021" s="35">
        <f>IFERROR((VLOOKUP(Tabela3[[#This Row],[Moldador]],Tabela1[],5,)+(VLOOKUP(Tabela3[[#This Row],[Ajudante]],Tabela1[],5,))*3.5),0)</f>
        <v>126.0945</v>
      </c>
      <c r="V1021" s="35">
        <f>IFERROR(Tabela3[[#This Row],[Custo M.O. / H]]/((Tabela3[[#This Row],[Realizado]]/Tabela3[[#This Row],[Qdt Peça Placa]])/Tabela3[[#This Row],[Tempo]]/24),)</f>
        <v>30.122575000000005</v>
      </c>
      <c r="W1021" s="35">
        <f>Tabela3[[#This Row],[Custo / Cx Moldada]]*Tabela3[[#This Row],[Qtde Cx Produzida]]</f>
        <v>180.73545000000001</v>
      </c>
      <c r="X1021" s="35">
        <f ca="1">Tabela3[[#This Row],[Aluminio Util]]*Tabela3[[#This Row],[Custo/Kg]]</f>
        <v>242.88</v>
      </c>
      <c r="Y1021" s="35">
        <f>IFERROR(VLOOKUP(Tabela3[[#This Row],[Data]],Tabela461213[],2,1)*(Tabela3[[#This Row],[Qtde Cx Produzida]]*Tabela3[[#This Row],[Qde macho / CX]]*Tabela3[[#This Row],[Peso Macho]]),)</f>
        <v>0</v>
      </c>
      <c r="Z1021" s="35">
        <f>IFERROR(Tabela3[[#This Row],[Qtde Oleo]]*(VLOOKUP(Tabela3[[#This Row],[Data]],CompraOleo[],3,TRUE))*1.05,0)</f>
        <v>23.76747862734355</v>
      </c>
      <c r="AA1021" s="47">
        <f ca="1">(Tabela3[[#This Row],[Custo Oleo]]+Tabela3[[#This Row],[Custo Aluminio]]+Tabela3[[#This Row],[Custo M.O. Total]]+Tabela3[[#This Row],[Custo Machos]])</f>
        <v>447.38292862734357</v>
      </c>
      <c r="AB1021" s="47">
        <f ca="1">Tabela3[[#This Row],[Custo Total]]*Tabela3[[#This Row],[% Perda]]</f>
        <v>0</v>
      </c>
      <c r="AC1021" s="40">
        <f>IFERROR(VLOOKUP(Tabela3[[#This Row],[Produto]],Tabela2[],2,0),0)</f>
        <v>4</v>
      </c>
      <c r="AD1021" s="48">
        <f>IFERROR(VLOOKUP(Tabela3[[#This Row],[Produto]],Tabela2[],3,0),0)</f>
        <v>0.57499999999999996</v>
      </c>
      <c r="AE1021" s="48">
        <f>IFERROR(VLOOKUP(Tabela3[[#This Row],[Produto]],Tabela2[],4,0),0)</f>
        <v>3.4</v>
      </c>
      <c r="AF1021" s="48">
        <f>IFERROR(VLOOKUP(Tabela3[[#This Row],[Produto]],Tabela2[],5,0),0)</f>
        <v>0.9900000000000001</v>
      </c>
      <c r="AG1021" s="48">
        <f>IFERROR(VLOOKUP(Tabela3[[#This Row],[Produto]],Tabela2[],6,0),0)</f>
        <v>0</v>
      </c>
      <c r="AH1021" s="40">
        <f>IFERROR(VLOOKUP(Tabela3[[#This Row],[Produto]],Tabela2[],7,0),0)</f>
        <v>0</v>
      </c>
      <c r="AI1021" s="40">
        <f>IFERROR(VLOOKUP(Tabela3[[#This Row],[Produto]],Tabela2[],8,0),0)</f>
        <v>0</v>
      </c>
      <c r="AJ1021" s="35">
        <f ca="1">IFERROR(VLOOKUP(Tabela3[[#This Row],[Produto]],Tabela2[],13,0),0)</f>
        <v>17.600000000000001</v>
      </c>
      <c r="AK1021" s="48" t="str">
        <f>IFERROR(VLOOKUP(Tabela3[[#This Row],[Produto]],Tabela2[],14,0),0)</f>
        <v>TPA/TEMPLA</v>
      </c>
      <c r="AL1021" s="40">
        <f>IFERROR(VLOOKUP(Tabela3[[#This Row],[Produto]],Tabela2[],15,0),0)</f>
        <v>0</v>
      </c>
      <c r="AM1021" s="36">
        <f ca="1">(Tabela3[[#This Row],[Custo Usinagem]]+Tabela3[[#This Row],[Custo / Pç]])*1.2</f>
        <v>22.369146431367177</v>
      </c>
      <c r="AN1021" s="36">
        <f ca="1">Tabela3[[#This Row],[Valor Mínimo Venda]]*1.15</f>
        <v>25.724518396072252</v>
      </c>
      <c r="AO1021" s="36">
        <f ca="1">Tabela3[[#This Row],[Tabela 1]]*1.08</f>
        <v>27.782479867758035</v>
      </c>
      <c r="AP1021" s="36">
        <f ca="1">Tabela3[[#This Row],[Tabela 2]]*1.15</f>
        <v>31.949851847921739</v>
      </c>
    </row>
    <row r="1022" spans="1:42">
      <c r="A1022" s="9">
        <v>46093</v>
      </c>
      <c r="B1022" s="9" t="s">
        <v>135</v>
      </c>
      <c r="C1022" s="14">
        <v>9121</v>
      </c>
      <c r="D1022" s="6" t="s">
        <v>46</v>
      </c>
      <c r="E1022" s="6" t="s">
        <v>44</v>
      </c>
      <c r="F1022" s="6">
        <v>25</v>
      </c>
      <c r="G1022" s="15">
        <v>0.12152777777777778</v>
      </c>
      <c r="H1022" s="16">
        <v>0</v>
      </c>
      <c r="I1022" s="35">
        <f ca="1">IFERROR(Tabela3[[#This Row],[Custo Total]]/Tabela3[[#This Row],[Aluminio Util]],0)</f>
        <v>28.523503880125876</v>
      </c>
      <c r="J1022" s="35">
        <f ca="1">Tabela3[[#This Row],[Custo Total]]/Tabela3[[#This Row],[Realizado]]</f>
        <v>50.486601867822799</v>
      </c>
      <c r="K1022" s="37">
        <f>IFERROR(Tabela3[[#This Row],[Qtde Cx Produzida]]/Tabela3[[#This Row],[Tempo]]/24,0)</f>
        <v>8.5714285714285712</v>
      </c>
      <c r="L1022" s="37">
        <f>Tabela3[[#This Row],[Qtde Cx Produzida]]*Tabela3[[#This Row],[Qdt Peça Placa]]</f>
        <v>25</v>
      </c>
      <c r="M1022" s="37">
        <f>Tabela3[[#This Row],[Previsto]]-Tabela3[[#This Row],[Perda Pçs]]</f>
        <v>25</v>
      </c>
      <c r="N1022" s="38">
        <f>IFERROR(Tabela3[[#This Row],[Perda Pçs]]/Tabela3[[#This Row],[Previsto]],0)</f>
        <v>0</v>
      </c>
      <c r="O1022" s="39">
        <f>IFERROR(IF(Tabela3[[#This Row],[Qtde Cx Produzida]] &lt;&gt; 0, Tabela3[[#This Row],[Tempo]] / Tabela3[[#This Row],[Qtde Cx Produzida]], 0),0)</f>
        <v>4.8611111111111112E-3</v>
      </c>
      <c r="P1022" s="57">
        <f>IFERROR(Tabela3[[#This Row],[Perda Pçs]]/Tabela3[[#This Row],[Qdt Peça Placa]],0)</f>
        <v>0</v>
      </c>
      <c r="Q1022" s="37">
        <f>IFERROR(Tabela3[[#This Row],[Realizado]]*Tabela3[[#This Row],[Peso Util/Pç]],0)</f>
        <v>44.25</v>
      </c>
      <c r="R1022" s="37">
        <f>IFERROR(Tabela3[[#This Row],[Peso Total Galho]]*Tabela3[[#This Row],[Qtde Cx Produzida]]*1.055,0)</f>
        <v>82.553749999999994</v>
      </c>
      <c r="S1022" s="37">
        <f>(Tabela3[[#This Row],[Aluminio Bruto]]-Tabela3[[#This Row],[Aluminio Util]])*0.9</f>
        <v>34.473374999999997</v>
      </c>
      <c r="T1022" s="37">
        <f>Tabela3[[#This Row],[Aluminio Bruto]]/OleoKGAluminio</f>
        <v>34.730255884026754</v>
      </c>
      <c r="U1022" s="35">
        <f>IFERROR((VLOOKUP(Tabela3[[#This Row],[Moldador]],Tabela1[],5,)+(VLOOKUP(Tabela3[[#This Row],[Ajudante]],Tabela1[],5,))*3.5),0)</f>
        <v>126.0945</v>
      </c>
      <c r="V1022" s="35">
        <f>IFERROR(Tabela3[[#This Row],[Custo M.O. / H]]/((Tabela3[[#This Row],[Realizado]]/Tabela3[[#This Row],[Qdt Peça Placa]])/Tabela3[[#This Row],[Tempo]]/24),)</f>
        <v>14.711024999999999</v>
      </c>
      <c r="W1022" s="35">
        <f>Tabela3[[#This Row],[Custo / Cx Moldada]]*Tabela3[[#This Row],[Qtde Cx Produzida]]</f>
        <v>367.77562499999999</v>
      </c>
      <c r="X1022" s="35">
        <f ca="1">Tabela3[[#This Row],[Aluminio Util]]*Tabela3[[#This Row],[Custo/Kg]]</f>
        <v>690.30000000000007</v>
      </c>
      <c r="Y1022" s="35">
        <f>IFERROR(VLOOKUP(Tabela3[[#This Row],[Data]],Tabela461213[],2,1)*(Tabela3[[#This Row],[Qtde Cx Produzida]]*Tabela3[[#This Row],[Qde macho / CX]]*Tabela3[[#This Row],[Peso Macho]]),)</f>
        <v>112.92249999999999</v>
      </c>
      <c r="Z1022" s="35">
        <f>IFERROR(Tabela3[[#This Row],[Qtde Oleo]]*(VLOOKUP(Tabela3[[#This Row],[Data]],CompraOleo[],3,TRUE))*1.05,0)</f>
        <v>91.166921695570224</v>
      </c>
      <c r="AA1022" s="47">
        <f ca="1">(Tabela3[[#This Row],[Custo Oleo]]+Tabela3[[#This Row],[Custo Aluminio]]+Tabela3[[#This Row],[Custo M.O. Total]]+Tabela3[[#This Row],[Custo Machos]])</f>
        <v>1262.16504669557</v>
      </c>
      <c r="AB1022" s="47">
        <f ca="1">Tabela3[[#This Row],[Custo Total]]*Tabela3[[#This Row],[% Perda]]</f>
        <v>0</v>
      </c>
      <c r="AC1022" s="40">
        <f>IFERROR(VLOOKUP(Tabela3[[#This Row],[Produto]],Tabela2[],2,0),0)</f>
        <v>1</v>
      </c>
      <c r="AD1022" s="48">
        <f>IFERROR(VLOOKUP(Tabela3[[#This Row],[Produto]],Tabela2[],3,0),0)</f>
        <v>1.77</v>
      </c>
      <c r="AE1022" s="48">
        <f>IFERROR(VLOOKUP(Tabela3[[#This Row],[Produto]],Tabela2[],4,0),0)</f>
        <v>3.13</v>
      </c>
      <c r="AF1022" s="48">
        <f>IFERROR(VLOOKUP(Tabela3[[#This Row],[Produto]],Tabela2[],5,0),0)</f>
        <v>1.224</v>
      </c>
      <c r="AG1022" s="48">
        <f>IFERROR(VLOOKUP(Tabela3[[#This Row],[Produto]],Tabela2[],6,0),0)</f>
        <v>0</v>
      </c>
      <c r="AH1022" s="40">
        <f>IFERROR(VLOOKUP(Tabela3[[#This Row],[Produto]],Tabela2[],7,0),0)</f>
        <v>1</v>
      </c>
      <c r="AI1022" s="40">
        <f>IFERROR(VLOOKUP(Tabela3[[#This Row],[Produto]],Tabela2[],8,0),0)</f>
        <v>2.657</v>
      </c>
      <c r="AJ1022" s="35">
        <f ca="1">IFERROR(VLOOKUP(Tabela3[[#This Row],[Produto]],Tabela2[],13,0),0)</f>
        <v>15.600000000000001</v>
      </c>
      <c r="AK1022" s="48" t="str">
        <f>IFERROR(VLOOKUP(Tabela3[[#This Row],[Produto]],Tabela2[],14,0),0)</f>
        <v>Jumil</v>
      </c>
      <c r="AL1022" s="40">
        <f>IFERROR(VLOOKUP(Tabela3[[#This Row],[Produto]],Tabela2[],15,0),0)</f>
        <v>10</v>
      </c>
      <c r="AM1022" s="36">
        <f ca="1">(Tabela3[[#This Row],[Custo Usinagem]]+Tabela3[[#This Row],[Custo / Pç]])*1.2</f>
        <v>72.583922241387356</v>
      </c>
      <c r="AN1022" s="36">
        <f ca="1">Tabela3[[#This Row],[Valor Mínimo Venda]]*1.15</f>
        <v>83.471510577595453</v>
      </c>
      <c r="AO1022" s="36">
        <f ca="1">Tabela3[[#This Row],[Tabela 1]]*1.08</f>
        <v>90.149231423803101</v>
      </c>
      <c r="AP1022" s="36">
        <f ca="1">Tabela3[[#This Row],[Tabela 2]]*1.15</f>
        <v>103.67161613737356</v>
      </c>
    </row>
    <row r="1023" spans="1:42">
      <c r="A1023" s="9">
        <v>46093</v>
      </c>
      <c r="B1023" s="9" t="s">
        <v>236</v>
      </c>
      <c r="C1023" s="14">
        <v>9145</v>
      </c>
      <c r="D1023" s="6" t="s">
        <v>46</v>
      </c>
      <c r="E1023" s="6" t="s">
        <v>44</v>
      </c>
      <c r="F1023" s="6">
        <v>9</v>
      </c>
      <c r="G1023" s="15">
        <v>0.05</v>
      </c>
      <c r="H1023" s="16">
        <v>0</v>
      </c>
      <c r="I1023" s="35">
        <f ca="1">IFERROR(Tabela3[[#This Row],[Custo Total]]/Tabela3[[#This Row],[Aluminio Util]],0)</f>
        <v>26.262161137245254</v>
      </c>
      <c r="J1023" s="35">
        <f ca="1">Tabela3[[#This Row],[Custo Total]]/Tabela3[[#This Row],[Realizado]]</f>
        <v>7.9311726634480673</v>
      </c>
      <c r="K1023" s="37">
        <f>IFERROR(Tabela3[[#This Row],[Qtde Cx Produzida]]/Tabela3[[#This Row],[Tempo]]/24,0)</f>
        <v>7.5</v>
      </c>
      <c r="L1023" s="37">
        <f>Tabela3[[#This Row],[Qtde Cx Produzida]]*Tabela3[[#This Row],[Qdt Peça Placa]]</f>
        <v>54</v>
      </c>
      <c r="M1023" s="37">
        <f>Tabela3[[#This Row],[Previsto]]-Tabela3[[#This Row],[Perda Pçs]]</f>
        <v>54</v>
      </c>
      <c r="N1023" s="38">
        <f>IFERROR(Tabela3[[#This Row],[Perda Pçs]]/Tabela3[[#This Row],[Previsto]],0)</f>
        <v>0</v>
      </c>
      <c r="O1023" s="39">
        <f>IFERROR(IF(Tabela3[[#This Row],[Qtde Cx Produzida]] &lt;&gt; 0, Tabela3[[#This Row],[Tempo]] / Tabela3[[#This Row],[Qtde Cx Produzida]], 0),0)</f>
        <v>5.5555555555555558E-3</v>
      </c>
      <c r="P1023" s="57">
        <f>IFERROR(Tabela3[[#This Row],[Perda Pçs]]/Tabela3[[#This Row],[Qdt Peça Placa]],0)</f>
        <v>0</v>
      </c>
      <c r="Q1023" s="37">
        <f>IFERROR(Tabela3[[#This Row],[Realizado]]*Tabela3[[#This Row],[Peso Util/Pç]],0)</f>
        <v>16.308</v>
      </c>
      <c r="R1023" s="37">
        <f>IFERROR(Tabela3[[#This Row],[Peso Total Galho]]*Tabela3[[#This Row],[Qtde Cx Produzida]]*1.055,0)</f>
        <v>20.433240000000001</v>
      </c>
      <c r="S1023" s="37">
        <f>(Tabela3[[#This Row],[Aluminio Bruto]]-Tabela3[[#This Row],[Aluminio Util]])*0.9</f>
        <v>3.7127160000000017</v>
      </c>
      <c r="T1023" s="37">
        <f>Tabela3[[#This Row],[Aluminio Bruto]]/OleoKGAluminio</f>
        <v>8.5962376480745082</v>
      </c>
      <c r="U1023" s="35">
        <f>IFERROR((VLOOKUP(Tabela3[[#This Row],[Moldador]],Tabela1[],5,)+(VLOOKUP(Tabela3[[#This Row],[Ajudante]],Tabela1[],5,))*3.5),0)</f>
        <v>126.0945</v>
      </c>
      <c r="V1023" s="35">
        <f>IFERROR(Tabela3[[#This Row],[Custo M.O. / H]]/((Tabela3[[#This Row],[Realizado]]/Tabela3[[#This Row],[Qdt Peça Placa]])/Tabela3[[#This Row],[Tempo]]/24),)</f>
        <v>16.8126</v>
      </c>
      <c r="W1023" s="35">
        <f>Tabela3[[#This Row],[Custo / Cx Moldada]]*Tabela3[[#This Row],[Qtde Cx Produzida]]</f>
        <v>151.3134</v>
      </c>
      <c r="X1023" s="35">
        <f ca="1">Tabela3[[#This Row],[Aluminio Util]]*Tabela3[[#This Row],[Custo/Kg]]</f>
        <v>254.40480000000002</v>
      </c>
      <c r="Y1023" s="35">
        <f>IFERROR(VLOOKUP(Tabela3[[#This Row],[Data]],Tabela461213[],2,1)*(Tabela3[[#This Row],[Qtde Cx Produzida]]*Tabela3[[#This Row],[Qde macho / CX]]*Tabela3[[#This Row],[Peso Macho]]),)</f>
        <v>0</v>
      </c>
      <c r="Z1023" s="35">
        <f>IFERROR(Tabela3[[#This Row],[Qtde Oleo]]*(VLOOKUP(Tabela3[[#This Row],[Data]],CompraOleo[],3,TRUE))*1.05,0)</f>
        <v>22.565123826195585</v>
      </c>
      <c r="AA1023" s="47">
        <f ca="1">(Tabela3[[#This Row],[Custo Oleo]]+Tabela3[[#This Row],[Custo Aluminio]]+Tabela3[[#This Row],[Custo M.O. Total]]+Tabela3[[#This Row],[Custo Machos]])</f>
        <v>428.28332382619561</v>
      </c>
      <c r="AB1023" s="47">
        <f ca="1">Tabela3[[#This Row],[Custo Total]]*Tabela3[[#This Row],[% Perda]]</f>
        <v>0</v>
      </c>
      <c r="AC1023" s="40">
        <f>IFERROR(VLOOKUP(Tabela3[[#This Row],[Produto]],Tabela2[],2,0),0)</f>
        <v>6</v>
      </c>
      <c r="AD1023" s="48">
        <f>IFERROR(VLOOKUP(Tabela3[[#This Row],[Produto]],Tabela2[],3,0),0)</f>
        <v>0.30199999999999999</v>
      </c>
      <c r="AE1023" s="48">
        <f>IFERROR(VLOOKUP(Tabela3[[#This Row],[Produto]],Tabela2[],4,0),0)</f>
        <v>2.1520000000000001</v>
      </c>
      <c r="AF1023" s="48">
        <f>IFERROR(VLOOKUP(Tabela3[[#This Row],[Produto]],Tabela2[],5,0),0)</f>
        <v>0.30600000000000027</v>
      </c>
      <c r="AG1023" s="48">
        <f>IFERROR(VLOOKUP(Tabela3[[#This Row],[Produto]],Tabela2[],6,0),0)</f>
        <v>0</v>
      </c>
      <c r="AH1023" s="40">
        <f>IFERROR(VLOOKUP(Tabela3[[#This Row],[Produto]],Tabela2[],7,0),0)</f>
        <v>0</v>
      </c>
      <c r="AI1023" s="40">
        <f>IFERROR(VLOOKUP(Tabela3[[#This Row],[Produto]],Tabela2[],8,0),0)</f>
        <v>0</v>
      </c>
      <c r="AJ1023" s="35">
        <f ca="1">IFERROR(VLOOKUP(Tabela3[[#This Row],[Produto]],Tabela2[],13,0),0)</f>
        <v>15.600000000000001</v>
      </c>
      <c r="AK1023" s="48" t="str">
        <f>IFERROR(VLOOKUP(Tabela3[[#This Row],[Produto]],Tabela2[],14,0),0)</f>
        <v>Senun</v>
      </c>
      <c r="AL1023" s="40">
        <f>IFERROR(VLOOKUP(Tabela3[[#This Row],[Produto]],Tabela2[],15,0),0)</f>
        <v>4</v>
      </c>
      <c r="AM1023" s="36">
        <f ca="1">(Tabela3[[#This Row],[Custo Usinagem]]+Tabela3[[#This Row],[Custo / Pç]])*1.2</f>
        <v>14.31740719613768</v>
      </c>
      <c r="AN1023" s="36">
        <f ca="1">Tabela3[[#This Row],[Valor Mínimo Venda]]*1.15</f>
        <v>16.465018275558329</v>
      </c>
      <c r="AO1023" s="36">
        <f ca="1">Tabela3[[#This Row],[Tabela 1]]*1.08</f>
        <v>17.782219737602997</v>
      </c>
      <c r="AP1023" s="36">
        <f ca="1">Tabela3[[#This Row],[Tabela 2]]*1.15</f>
        <v>20.449552698243444</v>
      </c>
    </row>
    <row r="1024" spans="1:42">
      <c r="A1024" s="9">
        <v>46094</v>
      </c>
      <c r="B1024" s="9" t="s">
        <v>236</v>
      </c>
      <c r="C1024" s="14">
        <v>9145</v>
      </c>
      <c r="D1024" s="6" t="s">
        <v>46</v>
      </c>
      <c r="E1024" s="6" t="s">
        <v>44</v>
      </c>
      <c r="F1024" s="6">
        <v>41</v>
      </c>
      <c r="G1024" s="15">
        <v>0.21597222222222223</v>
      </c>
      <c r="H1024" s="16">
        <v>3</v>
      </c>
      <c r="I1024" s="35">
        <f ca="1">IFERROR(Tabela3[[#This Row],[Custo Total]]/Tabela3[[#This Row],[Aluminio Util]],0)</f>
        <v>26.01691208668424</v>
      </c>
      <c r="J1024" s="35">
        <f ca="1">Tabela3[[#This Row],[Custo Total]]/Tabela3[[#This Row],[Realizado]]</f>
        <v>7.8571074501786393</v>
      </c>
      <c r="K1024" s="37">
        <f>IFERROR(Tabela3[[#This Row],[Qtde Cx Produzida]]/Tabela3[[#This Row],[Tempo]]/24,0)</f>
        <v>7.909967845659164</v>
      </c>
      <c r="L1024" s="37">
        <f>Tabela3[[#This Row],[Qtde Cx Produzida]]*Tabela3[[#This Row],[Qdt Peça Placa]]</f>
        <v>246</v>
      </c>
      <c r="M1024" s="37">
        <f>Tabela3[[#This Row],[Previsto]]-Tabela3[[#This Row],[Perda Pçs]]</f>
        <v>243</v>
      </c>
      <c r="N1024" s="38">
        <f>IFERROR(Tabela3[[#This Row],[Perda Pçs]]/Tabela3[[#This Row],[Previsto]],0)</f>
        <v>1.2195121951219513E-2</v>
      </c>
      <c r="O1024" s="39">
        <f>IFERROR(IF(Tabela3[[#This Row],[Qtde Cx Produzida]] &lt;&gt; 0, Tabela3[[#This Row],[Tempo]] / Tabela3[[#This Row],[Qtde Cx Produzida]], 0),0)</f>
        <v>5.2676151761517614E-3</v>
      </c>
      <c r="P1024" s="57">
        <f>IFERROR(Tabela3[[#This Row],[Perda Pçs]]/Tabela3[[#This Row],[Qdt Peça Placa]],0)</f>
        <v>0.5</v>
      </c>
      <c r="Q1024" s="37">
        <f>IFERROR(Tabela3[[#This Row],[Realizado]]*Tabela3[[#This Row],[Peso Util/Pç]],0)</f>
        <v>73.385999999999996</v>
      </c>
      <c r="R1024" s="37">
        <f>IFERROR(Tabela3[[#This Row],[Peso Total Galho]]*Tabela3[[#This Row],[Qtde Cx Produzida]]*1.055,0)</f>
        <v>93.084759999999989</v>
      </c>
      <c r="S1024" s="37">
        <f>(Tabela3[[#This Row],[Aluminio Bruto]]-Tabela3[[#This Row],[Aluminio Util]])*0.9</f>
        <v>17.728883999999994</v>
      </c>
      <c r="T1024" s="37">
        <f>Tabela3[[#This Row],[Aluminio Bruto]]/OleoKGAluminio</f>
        <v>39.16063817456164</v>
      </c>
      <c r="U1024" s="35">
        <f>IFERROR((VLOOKUP(Tabela3[[#This Row],[Moldador]],Tabela1[],5,)+(VLOOKUP(Tabela3[[#This Row],[Ajudante]],Tabela1[],5,))*3.5),0)</f>
        <v>126.0945</v>
      </c>
      <c r="V1024" s="35">
        <f>IFERROR(Tabela3[[#This Row],[Custo M.O. / H]]/((Tabela3[[#This Row],[Realizado]]/Tabela3[[#This Row],[Qdt Peça Placa]])/Tabela3[[#This Row],[Tempo]]/24),)</f>
        <v>16.13802037037037</v>
      </c>
      <c r="W1024" s="35">
        <f>Tabela3[[#This Row],[Custo / Cx Moldada]]*Tabela3[[#This Row],[Qtde Cx Produzida]]</f>
        <v>661.65883518518513</v>
      </c>
      <c r="X1024" s="35">
        <f ca="1">Tabela3[[#This Row],[Aluminio Util]]*Tabela3[[#This Row],[Custo/Kg]]</f>
        <v>1144.8216</v>
      </c>
      <c r="Y1024" s="35">
        <f>IFERROR(VLOOKUP(Tabela3[[#This Row],[Data]],Tabela461213[],2,1)*(Tabela3[[#This Row],[Qtde Cx Produzida]]*Tabela3[[#This Row],[Qde macho / CX]]*Tabela3[[#This Row],[Peso Macho]]),)</f>
        <v>0</v>
      </c>
      <c r="Z1024" s="35">
        <f>IFERROR(Tabela3[[#This Row],[Qtde Oleo]]*(VLOOKUP(Tabela3[[#This Row],[Data]],CompraOleo[],3,TRUE))*1.05,0)</f>
        <v>102.79667520822431</v>
      </c>
      <c r="AA1024" s="47">
        <f ca="1">(Tabela3[[#This Row],[Custo Oleo]]+Tabela3[[#This Row],[Custo Aluminio]]+Tabela3[[#This Row],[Custo M.O. Total]]+Tabela3[[#This Row],[Custo Machos]])</f>
        <v>1909.2771103934094</v>
      </c>
      <c r="AB1024" s="47">
        <f ca="1">Tabela3[[#This Row],[Custo Total]]*Tabela3[[#This Row],[% Perda]]</f>
        <v>23.283867199919627</v>
      </c>
      <c r="AC1024" s="40">
        <f>IFERROR(VLOOKUP(Tabela3[[#This Row],[Produto]],Tabela2[],2,0),0)</f>
        <v>6</v>
      </c>
      <c r="AD1024" s="48">
        <f>IFERROR(VLOOKUP(Tabela3[[#This Row],[Produto]],Tabela2[],3,0),0)</f>
        <v>0.30199999999999999</v>
      </c>
      <c r="AE1024" s="48">
        <f>IFERROR(VLOOKUP(Tabela3[[#This Row],[Produto]],Tabela2[],4,0),0)</f>
        <v>2.1520000000000001</v>
      </c>
      <c r="AF1024" s="48">
        <f>IFERROR(VLOOKUP(Tabela3[[#This Row],[Produto]],Tabela2[],5,0),0)</f>
        <v>0.30600000000000027</v>
      </c>
      <c r="AG1024" s="48">
        <f>IFERROR(VLOOKUP(Tabela3[[#This Row],[Produto]],Tabela2[],6,0),0)</f>
        <v>0</v>
      </c>
      <c r="AH1024" s="40">
        <f>IFERROR(VLOOKUP(Tabela3[[#This Row],[Produto]],Tabela2[],7,0),0)</f>
        <v>0</v>
      </c>
      <c r="AI1024" s="40">
        <f>IFERROR(VLOOKUP(Tabela3[[#This Row],[Produto]],Tabela2[],8,0),0)</f>
        <v>0</v>
      </c>
      <c r="AJ1024" s="35">
        <f ca="1">IFERROR(VLOOKUP(Tabela3[[#This Row],[Produto]],Tabela2[],13,0),0)</f>
        <v>15.600000000000001</v>
      </c>
      <c r="AK1024" s="48" t="str">
        <f>IFERROR(VLOOKUP(Tabela3[[#This Row],[Produto]],Tabela2[],14,0),0)</f>
        <v>Senun</v>
      </c>
      <c r="AL1024" s="40">
        <f>IFERROR(VLOOKUP(Tabela3[[#This Row],[Produto]],Tabela2[],15,0),0)</f>
        <v>4</v>
      </c>
      <c r="AM1024" s="36">
        <f ca="1">(Tabela3[[#This Row],[Custo Usinagem]]+Tabela3[[#This Row],[Custo / Pç]])*1.2</f>
        <v>14.228528940214366</v>
      </c>
      <c r="AN1024" s="36">
        <f ca="1">Tabela3[[#This Row],[Valor Mínimo Venda]]*1.15</f>
        <v>16.362808281246519</v>
      </c>
      <c r="AO1024" s="36">
        <f ca="1">Tabela3[[#This Row],[Tabela 1]]*1.08</f>
        <v>17.671832943746242</v>
      </c>
      <c r="AP1024" s="36">
        <f ca="1">Tabela3[[#This Row],[Tabela 2]]*1.15</f>
        <v>20.322607885308177</v>
      </c>
    </row>
    <row r="1025" spans="1:42">
      <c r="A1025" s="9">
        <v>46094</v>
      </c>
      <c r="B1025" s="9" t="s">
        <v>248</v>
      </c>
      <c r="C1025" s="14">
        <v>9148</v>
      </c>
      <c r="D1025" s="6" t="s">
        <v>46</v>
      </c>
      <c r="E1025" s="6" t="s">
        <v>44</v>
      </c>
      <c r="F1025" s="6">
        <v>3</v>
      </c>
      <c r="G1025" s="15">
        <v>2.013888888888889E-2</v>
      </c>
      <c r="H1025" s="16">
        <v>0</v>
      </c>
      <c r="I1025" s="35">
        <f ca="1">IFERROR(Tabela3[[#This Row],[Custo Total]]/Tabela3[[#This Row],[Aluminio Util]],0)</f>
        <v>31.657885270939119</v>
      </c>
      <c r="J1025" s="35">
        <f ca="1">Tabela3[[#This Row],[Custo Total]]/Tabela3[[#This Row],[Realizado]]</f>
        <v>11.333522926996203</v>
      </c>
      <c r="K1025" s="37">
        <f>IFERROR(Tabela3[[#This Row],[Qtde Cx Produzida]]/Tabela3[[#This Row],[Tempo]]/24,0)</f>
        <v>6.2068965517241379</v>
      </c>
      <c r="L1025" s="37">
        <f>Tabela3[[#This Row],[Qtde Cx Produzida]]*Tabela3[[#This Row],[Qdt Peça Placa]]</f>
        <v>12</v>
      </c>
      <c r="M1025" s="37">
        <f>Tabela3[[#This Row],[Previsto]]-Tabela3[[#This Row],[Perda Pçs]]</f>
        <v>12</v>
      </c>
      <c r="N1025" s="38">
        <f>IFERROR(Tabela3[[#This Row],[Perda Pçs]]/Tabela3[[#This Row],[Previsto]],0)</f>
        <v>0</v>
      </c>
      <c r="O1025" s="39">
        <f>IFERROR(IF(Tabela3[[#This Row],[Qtde Cx Produzida]] &lt;&gt; 0, Tabela3[[#This Row],[Tempo]] / Tabela3[[#This Row],[Qtde Cx Produzida]], 0),0)</f>
        <v>6.7129629629629631E-3</v>
      </c>
      <c r="P1025" s="57">
        <f>IFERROR(Tabela3[[#This Row],[Perda Pçs]]/Tabela3[[#This Row],[Qdt Peça Placa]],0)</f>
        <v>0</v>
      </c>
      <c r="Q1025" s="37">
        <f>IFERROR(Tabela3[[#This Row],[Realizado]]*Tabela3[[#This Row],[Peso Util/Pç]],0)</f>
        <v>4.2959999999999994</v>
      </c>
      <c r="R1025" s="37">
        <f>IFERROR(Tabela3[[#This Row],[Peso Total Galho]]*Tabela3[[#This Row],[Qtde Cx Produzida]]*1.055,0)</f>
        <v>7.2794999999999987</v>
      </c>
      <c r="S1025" s="37">
        <f>(Tabela3[[#This Row],[Aluminio Bruto]]-Tabela3[[#This Row],[Aluminio Util]])*0.9</f>
        <v>2.6851499999999997</v>
      </c>
      <c r="T1025" s="37">
        <f>Tabela3[[#This Row],[Aluminio Bruto]]/OleoKGAluminio</f>
        <v>3.0624762376969272</v>
      </c>
      <c r="U1025" s="35">
        <f>IFERROR((VLOOKUP(Tabela3[[#This Row],[Moldador]],Tabela1[],5,)+(VLOOKUP(Tabela3[[#This Row],[Ajudante]],Tabela1[],5,))*3.5),0)</f>
        <v>126.0945</v>
      </c>
      <c r="V1025" s="35">
        <f>IFERROR(Tabela3[[#This Row],[Custo M.O. / H]]/((Tabela3[[#This Row],[Realizado]]/Tabela3[[#This Row],[Qdt Peça Placa]])/Tabela3[[#This Row],[Tempo]]/24),)</f>
        <v>20.315224999999998</v>
      </c>
      <c r="W1025" s="35">
        <f>Tabela3[[#This Row],[Custo / Cx Moldada]]*Tabela3[[#This Row],[Qtde Cx Produzida]]</f>
        <v>60.945674999999994</v>
      </c>
      <c r="X1025" s="35">
        <f ca="1">Tabela3[[#This Row],[Aluminio Util]]*Tabela3[[#This Row],[Custo/Kg]]</f>
        <v>67.017600000000002</v>
      </c>
      <c r="Y1025" s="35">
        <f>IFERROR(VLOOKUP(Tabela3[[#This Row],[Data]],Tabela461213[],2,1)*(Tabela3[[#This Row],[Qtde Cx Produzida]]*Tabela3[[#This Row],[Qde macho / CX]]*Tabela3[[#This Row],[Peso Macho]]),)</f>
        <v>0</v>
      </c>
      <c r="Z1025" s="35">
        <f>IFERROR(Tabela3[[#This Row],[Qtde Oleo]]*(VLOOKUP(Tabela3[[#This Row],[Data]],CompraOleo[],3,TRUE))*1.05,0)</f>
        <v>8.039000123954434</v>
      </c>
      <c r="AA1025" s="47">
        <f ca="1">(Tabela3[[#This Row],[Custo Oleo]]+Tabela3[[#This Row],[Custo Aluminio]]+Tabela3[[#This Row],[Custo M.O. Total]]+Tabela3[[#This Row],[Custo Machos]])</f>
        <v>136.00227512395443</v>
      </c>
      <c r="AB1025" s="47">
        <f ca="1">Tabela3[[#This Row],[Custo Total]]*Tabela3[[#This Row],[% Perda]]</f>
        <v>0</v>
      </c>
      <c r="AC1025" s="40">
        <f>IFERROR(VLOOKUP(Tabela3[[#This Row],[Produto]],Tabela2[],2,0),0)</f>
        <v>4</v>
      </c>
      <c r="AD1025" s="48">
        <f>IFERROR(VLOOKUP(Tabela3[[#This Row],[Produto]],Tabela2[],3,0),0)</f>
        <v>0.35799999999999998</v>
      </c>
      <c r="AE1025" s="48">
        <f>IFERROR(VLOOKUP(Tabela3[[#This Row],[Produto]],Tabela2[],4,0),0)</f>
        <v>2.2999999999999998</v>
      </c>
      <c r="AF1025" s="48">
        <f>IFERROR(VLOOKUP(Tabela3[[#This Row],[Produto]],Tabela2[],5,0),0)</f>
        <v>0.78119999999999989</v>
      </c>
      <c r="AG1025" s="48">
        <f>IFERROR(VLOOKUP(Tabela3[[#This Row],[Produto]],Tabela2[],6,0),0)</f>
        <v>0</v>
      </c>
      <c r="AH1025" s="40">
        <f>IFERROR(VLOOKUP(Tabela3[[#This Row],[Produto]],Tabela2[],7,0),0)</f>
        <v>0</v>
      </c>
      <c r="AI1025" s="40">
        <f>IFERROR(VLOOKUP(Tabela3[[#This Row],[Produto]],Tabela2[],8,0),0)</f>
        <v>0</v>
      </c>
      <c r="AJ1025" s="35">
        <f ca="1">IFERROR(VLOOKUP(Tabela3[[#This Row],[Produto]],Tabela2[],13,0),0)</f>
        <v>15.600000000000001</v>
      </c>
      <c r="AK1025" s="48" t="str">
        <f>IFERROR(VLOOKUP(Tabela3[[#This Row],[Produto]],Tabela2[],14,0),0)</f>
        <v>Senun</v>
      </c>
      <c r="AL1025" s="40">
        <f>IFERROR(VLOOKUP(Tabela3[[#This Row],[Produto]],Tabela2[],15,0),0)</f>
        <v>4</v>
      </c>
      <c r="AM1025" s="36">
        <f ca="1">(Tabela3[[#This Row],[Custo Usinagem]]+Tabela3[[#This Row],[Custo / Pç]])*1.2</f>
        <v>18.400227512395443</v>
      </c>
      <c r="AN1025" s="36">
        <f ca="1">Tabela3[[#This Row],[Valor Mínimo Venda]]*1.15</f>
        <v>21.160261639254756</v>
      </c>
      <c r="AO1025" s="36">
        <f ca="1">Tabela3[[#This Row],[Tabela 1]]*1.08</f>
        <v>22.853082570395138</v>
      </c>
      <c r="AP1025" s="36">
        <f ca="1">Tabela3[[#This Row],[Tabela 2]]*1.15</f>
        <v>26.281044955954407</v>
      </c>
    </row>
    <row r="1026" spans="1:42">
      <c r="A1026" s="9">
        <v>46094</v>
      </c>
      <c r="B1026" s="9" t="s">
        <v>178</v>
      </c>
      <c r="C1026" s="14">
        <v>9226</v>
      </c>
      <c r="D1026" s="6" t="s">
        <v>44</v>
      </c>
      <c r="E1026" s="6" t="s">
        <v>47</v>
      </c>
      <c r="F1026" s="6">
        <v>1</v>
      </c>
      <c r="G1026" s="15">
        <v>1.8749999999999999E-2</v>
      </c>
      <c r="H1026" s="16">
        <v>0</v>
      </c>
      <c r="I1026" s="35">
        <f ca="1">IFERROR(Tabela3[[#This Row],[Custo Total]]/Tabela3[[#This Row],[Aluminio Util]],0)</f>
        <v>20.261660408969348</v>
      </c>
      <c r="J1026" s="35">
        <f ca="1">Tabela3[[#This Row],[Custo Total]]/Tabela3[[#This Row],[Realizado]]</f>
        <v>655.46471423015839</v>
      </c>
      <c r="K1026" s="37">
        <f>IFERROR(Tabela3[[#This Row],[Qtde Cx Produzida]]/Tabela3[[#This Row],[Tempo]]/24,0)</f>
        <v>2.2222222222222223</v>
      </c>
      <c r="L1026" s="37">
        <f>Tabela3[[#This Row],[Qtde Cx Produzida]]*Tabela3[[#This Row],[Qdt Peça Placa]]</f>
        <v>1</v>
      </c>
      <c r="M1026" s="37">
        <f>Tabela3[[#This Row],[Previsto]]-Tabela3[[#This Row],[Perda Pçs]]</f>
        <v>1</v>
      </c>
      <c r="N1026" s="38">
        <f>IFERROR(Tabela3[[#This Row],[Perda Pçs]]/Tabela3[[#This Row],[Previsto]],0)</f>
        <v>0</v>
      </c>
      <c r="O1026" s="39">
        <f>IFERROR(IF(Tabela3[[#This Row],[Qtde Cx Produzida]] &lt;&gt; 0, Tabela3[[#This Row],[Tempo]] / Tabela3[[#This Row],[Qtde Cx Produzida]], 0),0)</f>
        <v>1.8749999999999999E-2</v>
      </c>
      <c r="P1026" s="57">
        <f>IFERROR(Tabela3[[#This Row],[Perda Pçs]]/Tabela3[[#This Row],[Qdt Peça Placa]],0)</f>
        <v>0</v>
      </c>
      <c r="Q1026" s="37">
        <f>IFERROR(Tabela3[[#This Row],[Realizado]]*Tabela3[[#This Row],[Peso Util/Pç]],0)</f>
        <v>32.35</v>
      </c>
      <c r="R1026" s="37">
        <f>IFERROR(Tabela3[[#This Row],[Peso Total Galho]]*Tabela3[[#This Row],[Qtde Cx Produzida]]*1.055,0)</f>
        <v>37.241499999999995</v>
      </c>
      <c r="S1026" s="37">
        <f>(Tabela3[[#This Row],[Aluminio Bruto]]-Tabela3[[#This Row],[Aluminio Util]])*0.9</f>
        <v>4.402349999999994</v>
      </c>
      <c r="T1026" s="37">
        <f>Tabela3[[#This Row],[Aluminio Bruto]]/OleoKGAluminio</f>
        <v>15.667450897203121</v>
      </c>
      <c r="U1026" s="35">
        <f>IFERROR((VLOOKUP(Tabela3[[#This Row],[Moldador]],Tabela1[],5,)+(VLOOKUP(Tabela3[[#This Row],[Ajudante]],Tabela1[],5,))*3.5),0)</f>
        <v>99.95034583333333</v>
      </c>
      <c r="V1026" s="35">
        <f>IFERROR(Tabela3[[#This Row],[Custo M.O. / H]]/((Tabela3[[#This Row],[Realizado]]/Tabela3[[#This Row],[Qdt Peça Placa]])/Tabela3[[#This Row],[Tempo]]/24),)</f>
        <v>44.977655624999997</v>
      </c>
      <c r="W1026" s="35">
        <f>Tabela3[[#This Row],[Custo / Cx Moldada]]*Tabela3[[#This Row],[Qtde Cx Produzida]]</f>
        <v>44.977655624999997</v>
      </c>
      <c r="X1026" s="35">
        <f ca="1">Tabela3[[#This Row],[Aluminio Util]]*Tabela3[[#This Row],[Custo/Kg]]</f>
        <v>569.36000000000013</v>
      </c>
      <c r="Y1026" s="35">
        <f>IFERROR(VLOOKUP(Tabela3[[#This Row],[Data]],Tabela461213[],2,1)*(Tabela3[[#This Row],[Qtde Cx Produzida]]*Tabela3[[#This Row],[Qde macho / CX]]*Tabela3[[#This Row],[Peso Macho]]),)</f>
        <v>0</v>
      </c>
      <c r="Z1026" s="35">
        <f>IFERROR(Tabela3[[#This Row],[Qtde Oleo]]*(VLOOKUP(Tabela3[[#This Row],[Data]],CompraOleo[],3,TRUE))*1.05,0)</f>
        <v>41.127058605158197</v>
      </c>
      <c r="AA1026" s="47">
        <f ca="1">(Tabela3[[#This Row],[Custo Oleo]]+Tabela3[[#This Row],[Custo Aluminio]]+Tabela3[[#This Row],[Custo M.O. Total]]+Tabela3[[#This Row],[Custo Machos]])</f>
        <v>655.46471423015839</v>
      </c>
      <c r="AB1026" s="47">
        <f ca="1">Tabela3[[#This Row],[Custo Total]]*Tabela3[[#This Row],[% Perda]]</f>
        <v>0</v>
      </c>
      <c r="AC1026" s="40">
        <f>IFERROR(VLOOKUP(Tabela3[[#This Row],[Produto]],Tabela2[],2,0),0)</f>
        <v>1</v>
      </c>
      <c r="AD1026" s="48">
        <f>IFERROR(VLOOKUP(Tabela3[[#This Row],[Produto]],Tabela2[],3,0),0)</f>
        <v>32.35</v>
      </c>
      <c r="AE1026" s="48">
        <f>IFERROR(VLOOKUP(Tabela3[[#This Row],[Produto]],Tabela2[],4,0),0)</f>
        <v>35.299999999999997</v>
      </c>
      <c r="AF1026" s="48">
        <f>IFERROR(VLOOKUP(Tabela3[[#This Row],[Produto]],Tabela2[],5,0),0)</f>
        <v>2.6549999999999963</v>
      </c>
      <c r="AG1026" s="48">
        <f>IFERROR(VLOOKUP(Tabela3[[#This Row],[Produto]],Tabela2[],6,0),0)</f>
        <v>0</v>
      </c>
      <c r="AH1026" s="40">
        <f>IFERROR(VLOOKUP(Tabela3[[#This Row],[Produto]],Tabela2[],7,0),0)</f>
        <v>0</v>
      </c>
      <c r="AI1026" s="40">
        <f>IFERROR(VLOOKUP(Tabela3[[#This Row],[Produto]],Tabela2[],8,0),0)</f>
        <v>0</v>
      </c>
      <c r="AJ1026" s="35">
        <f ca="1">IFERROR(VLOOKUP(Tabela3[[#This Row],[Produto]],Tabela2[],13,0),0)</f>
        <v>17.600000000000001</v>
      </c>
      <c r="AK1026" s="48" t="str">
        <f>IFERROR(VLOOKUP(Tabela3[[#This Row],[Produto]],Tabela2[],14,0),0)</f>
        <v>Oscar</v>
      </c>
      <c r="AL1026" s="40">
        <f>IFERROR(VLOOKUP(Tabela3[[#This Row],[Produto]],Tabela2[],15,0),0)</f>
        <v>0</v>
      </c>
      <c r="AM1026" s="36">
        <f ca="1">(Tabela3[[#This Row],[Custo Usinagem]]+Tabela3[[#This Row],[Custo / Pç]])*1.2</f>
        <v>786.55765707619003</v>
      </c>
      <c r="AN1026" s="36">
        <f ca="1">Tabela3[[#This Row],[Valor Mínimo Venda]]*1.15</f>
        <v>904.54130563761851</v>
      </c>
      <c r="AO1026" s="36">
        <f ca="1">Tabela3[[#This Row],[Tabela 1]]*1.08</f>
        <v>976.90461008862803</v>
      </c>
      <c r="AP1026" s="36">
        <f ca="1">Tabela3[[#This Row],[Tabela 2]]*1.15</f>
        <v>1123.4403016019221</v>
      </c>
    </row>
    <row r="1027" spans="1:42">
      <c r="A1027" s="9">
        <v>46097</v>
      </c>
      <c r="B1027" s="9" t="s">
        <v>248</v>
      </c>
      <c r="C1027" s="14">
        <v>9148</v>
      </c>
      <c r="D1027" s="6" t="s">
        <v>46</v>
      </c>
      <c r="E1027" s="6" t="s">
        <v>44</v>
      </c>
      <c r="F1027" s="6">
        <v>27</v>
      </c>
      <c r="G1027" s="15">
        <v>0.13194444444444445</v>
      </c>
      <c r="H1027" s="16">
        <v>23</v>
      </c>
      <c r="I1027" s="35">
        <f ca="1">IFERROR(Tabela3[[#This Row],[Custo Total]]/Tabela3[[#This Row],[Aluminio Util]],0)</f>
        <v>34.650145597349805</v>
      </c>
      <c r="J1027" s="35">
        <f ca="1">Tabela3[[#This Row],[Custo Total]]/Tabela3[[#This Row],[Realizado]]</f>
        <v>12.40475212385123</v>
      </c>
      <c r="K1027" s="37">
        <f>IFERROR(Tabela3[[#This Row],[Qtde Cx Produzida]]/Tabela3[[#This Row],[Tempo]]/24,0)</f>
        <v>8.5263157894736832</v>
      </c>
      <c r="L1027" s="37">
        <f>Tabela3[[#This Row],[Qtde Cx Produzida]]*Tabela3[[#This Row],[Qdt Peça Placa]]</f>
        <v>108</v>
      </c>
      <c r="M1027" s="37">
        <f>Tabela3[[#This Row],[Previsto]]-Tabela3[[#This Row],[Perda Pçs]]</f>
        <v>85</v>
      </c>
      <c r="N1027" s="38">
        <f>IFERROR(Tabela3[[#This Row],[Perda Pçs]]/Tabela3[[#This Row],[Previsto]],0)</f>
        <v>0.21296296296296297</v>
      </c>
      <c r="O1027" s="39">
        <f>IFERROR(IF(Tabela3[[#This Row],[Qtde Cx Produzida]] &lt;&gt; 0, Tabela3[[#This Row],[Tempo]] / Tabela3[[#This Row],[Qtde Cx Produzida]], 0),0)</f>
        <v>4.8868312757201649E-3</v>
      </c>
      <c r="P1027" s="57">
        <f>IFERROR(Tabela3[[#This Row],[Perda Pçs]]/Tabela3[[#This Row],[Qdt Peça Placa]],0)</f>
        <v>5.75</v>
      </c>
      <c r="Q1027" s="37">
        <f>IFERROR(Tabela3[[#This Row],[Realizado]]*Tabela3[[#This Row],[Peso Util/Pç]],0)</f>
        <v>30.43</v>
      </c>
      <c r="R1027" s="37">
        <f>IFERROR(Tabela3[[#This Row],[Peso Total Galho]]*Tabela3[[#This Row],[Qtde Cx Produzida]]*1.055,0)</f>
        <v>65.515499999999989</v>
      </c>
      <c r="S1027" s="37">
        <f>(Tabela3[[#This Row],[Aluminio Bruto]]-Tabela3[[#This Row],[Aluminio Util]])*0.9</f>
        <v>31.576949999999989</v>
      </c>
      <c r="T1027" s="37">
        <f>Tabela3[[#This Row],[Aluminio Bruto]]/OleoKGAluminio</f>
        <v>27.562286139272345</v>
      </c>
      <c r="U1027" s="35">
        <f>IFERROR((VLOOKUP(Tabela3[[#This Row],[Moldador]],Tabela1[],5,)+(VLOOKUP(Tabela3[[#This Row],[Ajudante]],Tabela1[],5,))*3.5),0)</f>
        <v>126.0945</v>
      </c>
      <c r="V1027" s="35">
        <f>IFERROR(Tabela3[[#This Row],[Custo M.O. / H]]/((Tabela3[[#This Row],[Realizado]]/Tabela3[[#This Row],[Qdt Peça Placa]])/Tabela3[[#This Row],[Tempo]]/24),)</f>
        <v>18.790552941176472</v>
      </c>
      <c r="W1027" s="35">
        <f>Tabela3[[#This Row],[Custo / Cx Moldada]]*Tabela3[[#This Row],[Qtde Cx Produzida]]</f>
        <v>507.34492941176472</v>
      </c>
      <c r="X1027" s="35">
        <f ca="1">Tabela3[[#This Row],[Aluminio Util]]*Tabela3[[#This Row],[Custo/Kg]]</f>
        <v>474.70800000000003</v>
      </c>
      <c r="Y1027" s="35">
        <f>IFERROR(VLOOKUP(Tabela3[[#This Row],[Data]],Tabela461213[],2,1)*(Tabela3[[#This Row],[Qtde Cx Produzida]]*Tabela3[[#This Row],[Qde macho / CX]]*Tabela3[[#This Row],[Peso Macho]]),)</f>
        <v>0</v>
      </c>
      <c r="Z1027" s="35">
        <f>IFERROR(Tabela3[[#This Row],[Qtde Oleo]]*(VLOOKUP(Tabela3[[#This Row],[Data]],CompraOleo[],3,TRUE))*1.05,0)</f>
        <v>72.351001115589909</v>
      </c>
      <c r="AA1027" s="47">
        <f ca="1">(Tabela3[[#This Row],[Custo Oleo]]+Tabela3[[#This Row],[Custo Aluminio]]+Tabela3[[#This Row],[Custo M.O. Total]]+Tabela3[[#This Row],[Custo Machos]])</f>
        <v>1054.4039305273545</v>
      </c>
      <c r="AB1027" s="47">
        <f ca="1">Tabela3[[#This Row],[Custo Total]]*Tabela3[[#This Row],[% Perda]]</f>
        <v>224.54898520489957</v>
      </c>
      <c r="AC1027" s="40">
        <f>IFERROR(VLOOKUP(Tabela3[[#This Row],[Produto]],Tabela2[],2,0),0)</f>
        <v>4</v>
      </c>
      <c r="AD1027" s="48">
        <f>IFERROR(VLOOKUP(Tabela3[[#This Row],[Produto]],Tabela2[],3,0),0)</f>
        <v>0.35799999999999998</v>
      </c>
      <c r="AE1027" s="48">
        <f>IFERROR(VLOOKUP(Tabela3[[#This Row],[Produto]],Tabela2[],4,0),0)</f>
        <v>2.2999999999999998</v>
      </c>
      <c r="AF1027" s="48">
        <f>IFERROR(VLOOKUP(Tabela3[[#This Row],[Produto]],Tabela2[],5,0),0)</f>
        <v>0.78119999999999989</v>
      </c>
      <c r="AG1027" s="48">
        <f>IFERROR(VLOOKUP(Tabela3[[#This Row],[Produto]],Tabela2[],6,0),0)</f>
        <v>0</v>
      </c>
      <c r="AH1027" s="40">
        <f>IFERROR(VLOOKUP(Tabela3[[#This Row],[Produto]],Tabela2[],7,0),0)</f>
        <v>0</v>
      </c>
      <c r="AI1027" s="40">
        <f>IFERROR(VLOOKUP(Tabela3[[#This Row],[Produto]],Tabela2[],8,0),0)</f>
        <v>0</v>
      </c>
      <c r="AJ1027" s="35">
        <f ca="1">IFERROR(VLOOKUP(Tabela3[[#This Row],[Produto]],Tabela2[],13,0),0)</f>
        <v>15.600000000000001</v>
      </c>
      <c r="AK1027" s="48" t="str">
        <f>IFERROR(VLOOKUP(Tabela3[[#This Row],[Produto]],Tabela2[],14,0),0)</f>
        <v>Senun</v>
      </c>
      <c r="AL1027" s="40">
        <f>IFERROR(VLOOKUP(Tabela3[[#This Row],[Produto]],Tabela2[],15,0),0)</f>
        <v>4</v>
      </c>
      <c r="AM1027" s="36">
        <f ca="1">(Tabela3[[#This Row],[Custo Usinagem]]+Tabela3[[#This Row],[Custo / Pç]])*1.2</f>
        <v>19.685702548621478</v>
      </c>
      <c r="AN1027" s="36">
        <f ca="1">Tabela3[[#This Row],[Valor Mínimo Venda]]*1.15</f>
        <v>22.638557930914697</v>
      </c>
      <c r="AO1027" s="36">
        <f ca="1">Tabela3[[#This Row],[Tabela 1]]*1.08</f>
        <v>24.449642565387876</v>
      </c>
      <c r="AP1027" s="36">
        <f ca="1">Tabela3[[#This Row],[Tabela 2]]*1.15</f>
        <v>28.117088950196056</v>
      </c>
    </row>
    <row r="1028" spans="1:42">
      <c r="A1028" s="9">
        <v>46097</v>
      </c>
      <c r="B1028" s="9" t="s">
        <v>100</v>
      </c>
      <c r="C1028" s="14">
        <v>9228</v>
      </c>
      <c r="D1028" s="6" t="s">
        <v>46</v>
      </c>
      <c r="E1028" s="6" t="s">
        <v>44</v>
      </c>
      <c r="F1028" s="6">
        <v>15</v>
      </c>
      <c r="G1028" s="15">
        <v>9.7916666666666666E-2</v>
      </c>
      <c r="H1028" s="16">
        <v>0</v>
      </c>
      <c r="I1028" s="35">
        <f ca="1">IFERROR(Tabela3[[#This Row],[Custo Total]]/Tabela3[[#This Row],[Aluminio Util]],0)</f>
        <v>36.198303716509628</v>
      </c>
      <c r="J1028" s="35">
        <f ca="1">Tabela3[[#This Row],[Custo Total]]/Tabela3[[#This Row],[Realizado]]</f>
        <v>21.71898222990578</v>
      </c>
      <c r="K1028" s="37">
        <f>IFERROR(Tabela3[[#This Row],[Qtde Cx Produzida]]/Tabela3[[#This Row],[Tempo]]/24,0)</f>
        <v>6.3829787234042561</v>
      </c>
      <c r="L1028" s="37">
        <f>Tabela3[[#This Row],[Qtde Cx Produzida]]*Tabela3[[#This Row],[Qdt Peça Placa]]</f>
        <v>30</v>
      </c>
      <c r="M1028" s="37">
        <f>Tabela3[[#This Row],[Previsto]]-Tabela3[[#This Row],[Perda Pçs]]</f>
        <v>30</v>
      </c>
      <c r="N1028" s="38">
        <f>IFERROR(Tabela3[[#This Row],[Perda Pçs]]/Tabela3[[#This Row],[Previsto]],0)</f>
        <v>0</v>
      </c>
      <c r="O1028" s="39">
        <f>IFERROR(IF(Tabela3[[#This Row],[Qtde Cx Produzida]] &lt;&gt; 0, Tabela3[[#This Row],[Tempo]] / Tabela3[[#This Row],[Qtde Cx Produzida]], 0),0)</f>
        <v>6.5277777777777773E-3</v>
      </c>
      <c r="P1028" s="57">
        <f>IFERROR(Tabela3[[#This Row],[Perda Pçs]]/Tabela3[[#This Row],[Qdt Peça Placa]],0)</f>
        <v>0</v>
      </c>
      <c r="Q1028" s="37">
        <f>IFERROR(Tabela3[[#This Row],[Realizado]]*Tabela3[[#This Row],[Peso Util/Pç]],0)</f>
        <v>18</v>
      </c>
      <c r="R1028" s="37">
        <f>IFERROR(Tabela3[[#This Row],[Peso Total Galho]]*Tabela3[[#This Row],[Qtde Cx Produzida]]*1.055,0)</f>
        <v>34.814999999999998</v>
      </c>
      <c r="S1028" s="37">
        <f>(Tabela3[[#This Row],[Aluminio Bruto]]-Tabela3[[#This Row],[Aluminio Util]])*0.9</f>
        <v>15.133499999999998</v>
      </c>
      <c r="T1028" s="37">
        <f>Tabela3[[#This Row],[Aluminio Bruto]]/OleoKGAluminio</f>
        <v>14.646625484637481</v>
      </c>
      <c r="U1028" s="35">
        <f>IFERROR((VLOOKUP(Tabela3[[#This Row],[Moldador]],Tabela1[],5,)+(VLOOKUP(Tabela3[[#This Row],[Ajudante]],Tabela1[],5,))*3.5),0)</f>
        <v>126.0945</v>
      </c>
      <c r="V1028" s="35">
        <f>IFERROR(Tabela3[[#This Row],[Custo M.O. / H]]/((Tabela3[[#This Row],[Realizado]]/Tabela3[[#This Row],[Qdt Peça Placa]])/Tabela3[[#This Row],[Tempo]]/24),)</f>
        <v>19.754804999999998</v>
      </c>
      <c r="W1028" s="35">
        <f>Tabela3[[#This Row],[Custo / Cx Moldada]]*Tabela3[[#This Row],[Qtde Cx Produzida]]</f>
        <v>296.32207499999998</v>
      </c>
      <c r="X1028" s="35">
        <f ca="1">Tabela3[[#This Row],[Aluminio Util]]*Tabela3[[#This Row],[Custo/Kg]]</f>
        <v>316.8</v>
      </c>
      <c r="Y1028" s="35">
        <f>IFERROR(VLOOKUP(Tabela3[[#This Row],[Data]],Tabela461213[],2,1)*(Tabela3[[#This Row],[Qtde Cx Produzida]]*Tabela3[[#This Row],[Qde macho / CX]]*Tabela3[[#This Row],[Peso Macho]]),)</f>
        <v>0</v>
      </c>
      <c r="Z1028" s="35">
        <f>IFERROR(Tabela3[[#This Row],[Qtde Oleo]]*(VLOOKUP(Tabela3[[#This Row],[Data]],CompraOleo[],3,TRUE))*1.05,0)</f>
        <v>38.447391897173382</v>
      </c>
      <c r="AA1028" s="47">
        <f ca="1">(Tabela3[[#This Row],[Custo Oleo]]+Tabela3[[#This Row],[Custo Aluminio]]+Tabela3[[#This Row],[Custo M.O. Total]]+Tabela3[[#This Row],[Custo Machos]])</f>
        <v>651.56946689717336</v>
      </c>
      <c r="AB1028" s="47">
        <f ca="1">Tabela3[[#This Row],[Custo Total]]*Tabela3[[#This Row],[% Perda]]</f>
        <v>0</v>
      </c>
      <c r="AC1028" s="40">
        <f>IFERROR(VLOOKUP(Tabela3[[#This Row],[Produto]],Tabela2[],2,0),0)</f>
        <v>2</v>
      </c>
      <c r="AD1028" s="48">
        <f>IFERROR(VLOOKUP(Tabela3[[#This Row],[Produto]],Tabela2[],3,0),0)</f>
        <v>0.6</v>
      </c>
      <c r="AE1028" s="48">
        <f>IFERROR(VLOOKUP(Tabela3[[#This Row],[Produto]],Tabela2[],4,0),0)</f>
        <v>2.2000000000000002</v>
      </c>
      <c r="AF1028" s="48">
        <f>IFERROR(VLOOKUP(Tabela3[[#This Row],[Produto]],Tabela2[],5,0),0)</f>
        <v>0.90000000000000024</v>
      </c>
      <c r="AG1028" s="48">
        <f>IFERROR(VLOOKUP(Tabela3[[#This Row],[Produto]],Tabela2[],6,0),0)</f>
        <v>0</v>
      </c>
      <c r="AH1028" s="40">
        <f>IFERROR(VLOOKUP(Tabela3[[#This Row],[Produto]],Tabela2[],7,0),0)</f>
        <v>0</v>
      </c>
      <c r="AI1028" s="40">
        <f>IFERROR(VLOOKUP(Tabela3[[#This Row],[Produto]],Tabela2[],8,0),0)</f>
        <v>0</v>
      </c>
      <c r="AJ1028" s="35">
        <f ca="1">IFERROR(VLOOKUP(Tabela3[[#This Row],[Produto]],Tabela2[],13,0),0)</f>
        <v>17.600000000000001</v>
      </c>
      <c r="AK1028" s="48" t="str">
        <f>IFERROR(VLOOKUP(Tabela3[[#This Row],[Produto]],Tabela2[],14,0),0)</f>
        <v>Protec</v>
      </c>
      <c r="AL1028" s="40">
        <f>IFERROR(VLOOKUP(Tabela3[[#This Row],[Produto]],Tabela2[],15,0),0)</f>
        <v>0</v>
      </c>
      <c r="AM1028" s="36">
        <f ca="1">(Tabela3[[#This Row],[Custo Usinagem]]+Tabela3[[#This Row],[Custo / Pç]])*1.2</f>
        <v>26.062778675886936</v>
      </c>
      <c r="AN1028" s="36">
        <f ca="1">Tabela3[[#This Row],[Valor Mínimo Venda]]*1.15</f>
        <v>29.972195477269974</v>
      </c>
      <c r="AO1028" s="36">
        <f ca="1">Tabela3[[#This Row],[Tabela 1]]*1.08</f>
        <v>32.369971115451577</v>
      </c>
      <c r="AP1028" s="36">
        <f ca="1">Tabela3[[#This Row],[Tabela 2]]*1.15</f>
        <v>37.22546678276931</v>
      </c>
    </row>
    <row r="1029" spans="1:42">
      <c r="A1029" s="9">
        <v>46097</v>
      </c>
      <c r="B1029" s="9" t="s">
        <v>265</v>
      </c>
      <c r="C1029" s="14">
        <v>9146</v>
      </c>
      <c r="D1029" s="6" t="s">
        <v>46</v>
      </c>
      <c r="E1029" s="6" t="s">
        <v>44</v>
      </c>
      <c r="F1029" s="6">
        <v>15</v>
      </c>
      <c r="G1029" s="15">
        <v>0.11805555555555555</v>
      </c>
      <c r="H1029" s="16">
        <v>4</v>
      </c>
      <c r="I1029" s="35">
        <f ca="1">IFERROR(Tabela3[[#This Row],[Custo Total]]/Tabela3[[#This Row],[Aluminio Util]],0)</f>
        <v>46.175867966027425</v>
      </c>
      <c r="J1029" s="35">
        <f ca="1">Tabela3[[#This Row],[Custo Total]]/Tabela3[[#This Row],[Realizado]]</f>
        <v>78.498975542246612</v>
      </c>
      <c r="K1029" s="37">
        <f>IFERROR(Tabela3[[#This Row],[Qtde Cx Produzida]]/Tabela3[[#This Row],[Tempo]]/24,0)</f>
        <v>5.2941176470588234</v>
      </c>
      <c r="L1029" s="37">
        <f>Tabela3[[#This Row],[Qtde Cx Produzida]]*Tabela3[[#This Row],[Qdt Peça Placa]]</f>
        <v>15</v>
      </c>
      <c r="M1029" s="37">
        <f>Tabela3[[#This Row],[Previsto]]-Tabela3[[#This Row],[Perda Pçs]]</f>
        <v>11</v>
      </c>
      <c r="N1029" s="38">
        <f>IFERROR(Tabela3[[#This Row],[Perda Pçs]]/Tabela3[[#This Row],[Previsto]],0)</f>
        <v>0.26666666666666666</v>
      </c>
      <c r="O1029" s="39">
        <f>IFERROR(IF(Tabela3[[#This Row],[Qtde Cx Produzida]] &lt;&gt; 0, Tabela3[[#This Row],[Tempo]] / Tabela3[[#This Row],[Qtde Cx Produzida]], 0),0)</f>
        <v>7.8703703703703696E-3</v>
      </c>
      <c r="P1029" s="57">
        <f>IFERROR(Tabela3[[#This Row],[Perda Pçs]]/Tabela3[[#This Row],[Qdt Peça Placa]],0)</f>
        <v>4</v>
      </c>
      <c r="Q1029" s="37">
        <f>IFERROR(Tabela3[[#This Row],[Realizado]]*Tabela3[[#This Row],[Peso Util/Pç]],0)</f>
        <v>18.7</v>
      </c>
      <c r="R1029" s="37">
        <f>IFERROR(Tabela3[[#This Row],[Peso Total Galho]]*Tabela3[[#This Row],[Qtde Cx Produzida]]*1.055,0)</f>
        <v>42.727499999999999</v>
      </c>
      <c r="S1029" s="37">
        <f>(Tabela3[[#This Row],[Aluminio Bruto]]-Tabela3[[#This Row],[Aluminio Util]])*0.9</f>
        <v>21.624749999999999</v>
      </c>
      <c r="T1029" s="37">
        <f>Tabela3[[#This Row],[Aluminio Bruto]]/OleoKGAluminio</f>
        <v>17.975404003873273</v>
      </c>
      <c r="U1029" s="35">
        <f>IFERROR((VLOOKUP(Tabela3[[#This Row],[Moldador]],Tabela1[],5,)+(VLOOKUP(Tabela3[[#This Row],[Ajudante]],Tabela1[],5,))*3.5),0)</f>
        <v>126.0945</v>
      </c>
      <c r="V1029" s="35">
        <f>IFERROR(Tabela3[[#This Row],[Custo M.O. / H]]/((Tabela3[[#This Row],[Realizado]]/Tabela3[[#This Row],[Qdt Peça Placa]])/Tabela3[[#This Row],[Tempo]]/24),)</f>
        <v>32.478886363636363</v>
      </c>
      <c r="W1029" s="35">
        <f>Tabela3[[#This Row],[Custo / Cx Moldada]]*Tabela3[[#This Row],[Qtde Cx Produzida]]</f>
        <v>487.18329545454543</v>
      </c>
      <c r="X1029" s="35">
        <f ca="1">Tabela3[[#This Row],[Aluminio Util]]*Tabela3[[#This Row],[Custo/Kg]]</f>
        <v>329.12</v>
      </c>
      <c r="Y1029" s="35">
        <f>IFERROR(VLOOKUP(Tabela3[[#This Row],[Data]],Tabela461213[],2,1)*(Tabela3[[#This Row],[Qtde Cx Produzida]]*Tabela3[[#This Row],[Qde macho / CX]]*Tabela3[[#This Row],[Peso Macho]]),)</f>
        <v>0</v>
      </c>
      <c r="Z1029" s="35">
        <f>IFERROR(Tabela3[[#This Row],[Qtde Oleo]]*(VLOOKUP(Tabela3[[#This Row],[Data]],CompraOleo[],3,TRUE))*1.05,0)</f>
        <v>47.185435510167345</v>
      </c>
      <c r="AA1029" s="47">
        <f ca="1">(Tabela3[[#This Row],[Custo Oleo]]+Tabela3[[#This Row],[Custo Aluminio]]+Tabela3[[#This Row],[Custo M.O. Total]]+Tabela3[[#This Row],[Custo Machos]])</f>
        <v>863.48873096471277</v>
      </c>
      <c r="AB1029" s="47">
        <f ca="1">Tabela3[[#This Row],[Custo Total]]*Tabela3[[#This Row],[% Perda]]</f>
        <v>230.26366159059006</v>
      </c>
      <c r="AC1029" s="40">
        <f>IFERROR(VLOOKUP(Tabela3[[#This Row],[Produto]],Tabela2[],2,0),0)</f>
        <v>1</v>
      </c>
      <c r="AD1029" s="48">
        <f>IFERROR(VLOOKUP(Tabela3[[#This Row],[Produto]],Tabela2[],3,0),0)</f>
        <v>1.7</v>
      </c>
      <c r="AE1029" s="48">
        <f>IFERROR(VLOOKUP(Tabela3[[#This Row],[Produto]],Tabela2[],4,0),0)</f>
        <v>2.7</v>
      </c>
      <c r="AF1029" s="48">
        <f>IFERROR(VLOOKUP(Tabela3[[#This Row],[Produto]],Tabela2[],5,0),0)</f>
        <v>0.90000000000000024</v>
      </c>
      <c r="AG1029" s="48">
        <f>IFERROR(VLOOKUP(Tabela3[[#This Row],[Produto]],Tabela2[],6,0),0)</f>
        <v>0</v>
      </c>
      <c r="AH1029" s="40">
        <f>IFERROR(VLOOKUP(Tabela3[[#This Row],[Produto]],Tabela2[],7,0),0)</f>
        <v>0</v>
      </c>
      <c r="AI1029" s="40">
        <f>IFERROR(VLOOKUP(Tabela3[[#This Row],[Produto]],Tabela2[],8,0),0)</f>
        <v>0</v>
      </c>
      <c r="AJ1029" s="35">
        <f ca="1">IFERROR(VLOOKUP(Tabela3[[#This Row],[Produto]],Tabela2[],13,0),0)</f>
        <v>17.600000000000001</v>
      </c>
      <c r="AK1029" s="48" t="str">
        <f>IFERROR(VLOOKUP(Tabela3[[#This Row],[Produto]],Tabela2[],14,0),0)</f>
        <v>Jumil</v>
      </c>
      <c r="AL1029" s="40">
        <f>IFERROR(VLOOKUP(Tabela3[[#This Row],[Produto]],Tabela2[],15,0),0)</f>
        <v>80</v>
      </c>
      <c r="AM1029" s="36">
        <f ca="1">(Tabela3[[#This Row],[Custo Usinagem]]+Tabela3[[#This Row],[Custo / Pç]])*1.2</f>
        <v>190.19877065069593</v>
      </c>
      <c r="AN1029" s="36">
        <f ca="1">Tabela3[[#This Row],[Valor Mínimo Venda]]*1.15</f>
        <v>218.7285862483003</v>
      </c>
      <c r="AO1029" s="36">
        <f ca="1">Tabela3[[#This Row],[Tabela 1]]*1.08</f>
        <v>236.22687314816434</v>
      </c>
      <c r="AP1029" s="36">
        <f ca="1">Tabela3[[#This Row],[Tabela 2]]*1.15</f>
        <v>271.66090412038898</v>
      </c>
    </row>
    <row r="1030" spans="1:42">
      <c r="A1030" s="9">
        <v>46098</v>
      </c>
      <c r="B1030" s="9" t="s">
        <v>129</v>
      </c>
      <c r="C1030" s="14">
        <v>9147</v>
      </c>
      <c r="D1030" s="6" t="s">
        <v>46</v>
      </c>
      <c r="E1030" s="6" t="s">
        <v>44</v>
      </c>
      <c r="F1030" s="6">
        <v>15</v>
      </c>
      <c r="G1030" s="15">
        <v>8.1250000000000003E-2</v>
      </c>
      <c r="H1030" s="16">
        <v>1</v>
      </c>
      <c r="I1030" s="35">
        <f ca="1">IFERROR(Tabela3[[#This Row],[Custo Total]]/Tabela3[[#This Row],[Aluminio Util]],0)</f>
        <v>31.142224672176798</v>
      </c>
      <c r="J1030" s="35">
        <f ca="1">Tabela3[[#This Row],[Custo Total]]/Tabela3[[#This Row],[Realizado]]</f>
        <v>50.450403968926416</v>
      </c>
      <c r="K1030" s="37">
        <f>IFERROR(Tabela3[[#This Row],[Qtde Cx Produzida]]/Tabela3[[#This Row],[Tempo]]/24,0)</f>
        <v>7.6923076923076925</v>
      </c>
      <c r="L1030" s="37">
        <f>Tabela3[[#This Row],[Qtde Cx Produzida]]*Tabela3[[#This Row],[Qdt Peça Placa]]</f>
        <v>15</v>
      </c>
      <c r="M1030" s="37">
        <f>Tabela3[[#This Row],[Previsto]]-Tabela3[[#This Row],[Perda Pçs]]</f>
        <v>14</v>
      </c>
      <c r="N1030" s="38">
        <f>IFERROR(Tabela3[[#This Row],[Perda Pçs]]/Tabela3[[#This Row],[Previsto]],0)</f>
        <v>6.6666666666666666E-2</v>
      </c>
      <c r="O1030" s="39">
        <f>IFERROR(IF(Tabela3[[#This Row],[Qtde Cx Produzida]] &lt;&gt; 0, Tabela3[[#This Row],[Tempo]] / Tabela3[[#This Row],[Qtde Cx Produzida]], 0),0)</f>
        <v>5.4166666666666669E-3</v>
      </c>
      <c r="P1030" s="57">
        <f>IFERROR(Tabela3[[#This Row],[Perda Pçs]]/Tabela3[[#This Row],[Qdt Peça Placa]],0)</f>
        <v>1</v>
      </c>
      <c r="Q1030" s="37">
        <f>IFERROR(Tabela3[[#This Row],[Realizado]]*Tabela3[[#This Row],[Peso Util/Pç]],0)</f>
        <v>22.68</v>
      </c>
      <c r="R1030" s="37">
        <f>IFERROR(Tabela3[[#This Row],[Peso Total Galho]]*Tabela3[[#This Row],[Qtde Cx Produzida]]*1.055,0)</f>
        <v>39.5625</v>
      </c>
      <c r="S1030" s="37">
        <f>(Tabela3[[#This Row],[Aluminio Bruto]]-Tabela3[[#This Row],[Aluminio Util]])*0.9</f>
        <v>15.19425</v>
      </c>
      <c r="T1030" s="37">
        <f>Tabela3[[#This Row],[Aluminio Bruto]]/OleoKGAluminio</f>
        <v>16.643892596178954</v>
      </c>
      <c r="U1030" s="35">
        <f>IFERROR((VLOOKUP(Tabela3[[#This Row],[Moldador]],Tabela1[],5,)+(VLOOKUP(Tabela3[[#This Row],[Ajudante]],Tabela1[],5,))*3.5),0)</f>
        <v>126.0945</v>
      </c>
      <c r="V1030" s="35">
        <f>IFERROR(Tabela3[[#This Row],[Custo M.O. / H]]/((Tabela3[[#This Row],[Realizado]]/Tabela3[[#This Row],[Qdt Peça Placa]])/Tabela3[[#This Row],[Tempo]]/24),)</f>
        <v>17.563162500000001</v>
      </c>
      <c r="W1030" s="35">
        <f>Tabela3[[#This Row],[Custo / Cx Moldada]]*Tabela3[[#This Row],[Qtde Cx Produzida]]</f>
        <v>263.44743750000004</v>
      </c>
      <c r="X1030" s="35">
        <f ca="1">Tabela3[[#This Row],[Aluminio Util]]*Tabela3[[#This Row],[Custo/Kg]]</f>
        <v>399.16800000000001</v>
      </c>
      <c r="Y1030" s="35">
        <f>IFERROR(VLOOKUP(Tabela3[[#This Row],[Data]],Tabela461213[],2,1)*(Tabela3[[#This Row],[Qtde Cx Produzida]]*Tabela3[[#This Row],[Qde macho / CX]]*Tabela3[[#This Row],[Peso Macho]]),)</f>
        <v>0</v>
      </c>
      <c r="Z1030" s="35">
        <f>IFERROR(Tabela3[[#This Row],[Qtde Oleo]]*(VLOOKUP(Tabela3[[#This Row],[Data]],CompraOleo[],3,TRUE))*1.05,0)</f>
        <v>43.690218064969756</v>
      </c>
      <c r="AA1030" s="47">
        <f ca="1">(Tabela3[[#This Row],[Custo Oleo]]+Tabela3[[#This Row],[Custo Aluminio]]+Tabela3[[#This Row],[Custo M.O. Total]]+Tabela3[[#This Row],[Custo Machos]])</f>
        <v>706.30565556496981</v>
      </c>
      <c r="AB1030" s="47">
        <f ca="1">Tabela3[[#This Row],[Custo Total]]*Tabela3[[#This Row],[% Perda]]</f>
        <v>47.087043704331322</v>
      </c>
      <c r="AC1030" s="40">
        <f>IFERROR(VLOOKUP(Tabela3[[#This Row],[Produto]],Tabela2[],2,0),0)</f>
        <v>1</v>
      </c>
      <c r="AD1030" s="48">
        <f>IFERROR(VLOOKUP(Tabela3[[#This Row],[Produto]],Tabela2[],3,0),0)</f>
        <v>1.62</v>
      </c>
      <c r="AE1030" s="48">
        <f>IFERROR(VLOOKUP(Tabela3[[#This Row],[Produto]],Tabela2[],4,0),0)</f>
        <v>2.5</v>
      </c>
      <c r="AF1030" s="48">
        <f>IFERROR(VLOOKUP(Tabela3[[#This Row],[Produto]],Tabela2[],5,0),0)</f>
        <v>0.79199999999999993</v>
      </c>
      <c r="AG1030" s="48">
        <f>IFERROR(VLOOKUP(Tabela3[[#This Row],[Produto]],Tabela2[],6,0),0)</f>
        <v>0</v>
      </c>
      <c r="AH1030" s="40">
        <f>IFERROR(VLOOKUP(Tabela3[[#This Row],[Produto]],Tabela2[],7,0),0)</f>
        <v>0</v>
      </c>
      <c r="AI1030" s="40">
        <f>IFERROR(VLOOKUP(Tabela3[[#This Row],[Produto]],Tabela2[],8,0),0)</f>
        <v>0</v>
      </c>
      <c r="AJ1030" s="35">
        <f ca="1">IFERROR(VLOOKUP(Tabela3[[#This Row],[Produto]],Tabela2[],13,0),0)</f>
        <v>17.600000000000001</v>
      </c>
      <c r="AK1030" s="48" t="str">
        <f>IFERROR(VLOOKUP(Tabela3[[#This Row],[Produto]],Tabela2[],14,0),0)</f>
        <v>Jumil</v>
      </c>
      <c r="AL1030" s="40">
        <f>IFERROR(VLOOKUP(Tabela3[[#This Row],[Produto]],Tabela2[],15,0),0)</f>
        <v>80</v>
      </c>
      <c r="AM1030" s="36">
        <f ca="1">(Tabela3[[#This Row],[Custo Usinagem]]+Tabela3[[#This Row],[Custo / Pç]])*1.2</f>
        <v>156.54048476271171</v>
      </c>
      <c r="AN1030" s="36">
        <f ca="1">Tabela3[[#This Row],[Valor Mínimo Venda]]*1.15</f>
        <v>180.02155747711845</v>
      </c>
      <c r="AO1030" s="36">
        <f ca="1">Tabela3[[#This Row],[Tabela 1]]*1.08</f>
        <v>194.42328207528794</v>
      </c>
      <c r="AP1030" s="36">
        <f ca="1">Tabela3[[#This Row],[Tabela 2]]*1.15</f>
        <v>223.58677438658111</v>
      </c>
    </row>
    <row r="1031" spans="1:42">
      <c r="A1031" s="9">
        <v>46098</v>
      </c>
      <c r="B1031" s="9" t="s">
        <v>96</v>
      </c>
      <c r="C1031" s="14">
        <v>9150</v>
      </c>
      <c r="D1031" s="6" t="s">
        <v>46</v>
      </c>
      <c r="E1031" s="6" t="s">
        <v>44</v>
      </c>
      <c r="F1031" s="6">
        <v>15</v>
      </c>
      <c r="G1031" s="15">
        <v>8.4722222222222227E-2</v>
      </c>
      <c r="H1031" s="16">
        <v>0</v>
      </c>
      <c r="I1031" s="35">
        <f ca="1">IFERROR(Tabela3[[#This Row],[Custo Total]]/Tabela3[[#This Row],[Aluminio Util]],0)</f>
        <v>32.189227030274893</v>
      </c>
      <c r="J1031" s="35">
        <f ca="1">Tabela3[[#This Row],[Custo Total]]/Tabela3[[#This Row],[Realizado]]</f>
        <v>28.455276694763008</v>
      </c>
      <c r="K1031" s="37">
        <f>IFERROR(Tabela3[[#This Row],[Qtde Cx Produzida]]/Tabela3[[#This Row],[Tempo]]/24,0)</f>
        <v>7.3770491803278686</v>
      </c>
      <c r="L1031" s="37">
        <f>Tabela3[[#This Row],[Qtde Cx Produzida]]*Tabela3[[#This Row],[Qdt Peça Placa]]</f>
        <v>45</v>
      </c>
      <c r="M1031" s="37">
        <f>Tabela3[[#This Row],[Previsto]]-Tabela3[[#This Row],[Perda Pçs]]</f>
        <v>45</v>
      </c>
      <c r="N1031" s="38">
        <f>IFERROR(Tabela3[[#This Row],[Perda Pçs]]/Tabela3[[#This Row],[Previsto]],0)</f>
        <v>0</v>
      </c>
      <c r="O1031" s="39">
        <f>IFERROR(IF(Tabela3[[#This Row],[Qtde Cx Produzida]] &lt;&gt; 0, Tabela3[[#This Row],[Tempo]] / Tabela3[[#This Row],[Qtde Cx Produzida]], 0),0)</f>
        <v>5.6481481481481487E-3</v>
      </c>
      <c r="P1031" s="57">
        <f>IFERROR(Tabela3[[#This Row],[Perda Pçs]]/Tabela3[[#This Row],[Qdt Peça Placa]],0)</f>
        <v>0</v>
      </c>
      <c r="Q1031" s="37">
        <f>IFERROR(Tabela3[[#This Row],[Realizado]]*Tabela3[[#This Row],[Peso Util/Pç]],0)</f>
        <v>39.78</v>
      </c>
      <c r="R1031" s="37">
        <f>IFERROR(Tabela3[[#This Row],[Peso Total Galho]]*Tabela3[[#This Row],[Qtde Cx Produzida]]*1.055,0)</f>
        <v>74.250899999999987</v>
      </c>
      <c r="S1031" s="37">
        <f>(Tabela3[[#This Row],[Aluminio Bruto]]-Tabela3[[#This Row],[Aluminio Util]])*0.9</f>
        <v>31.023809999999987</v>
      </c>
      <c r="T1031" s="37">
        <f>Tabela3[[#This Row],[Aluminio Bruto]]/OleoKGAluminio</f>
        <v>31.237257624508658</v>
      </c>
      <c r="U1031" s="35">
        <f>IFERROR((VLOOKUP(Tabela3[[#This Row],[Moldador]],Tabela1[],5,)+(VLOOKUP(Tabela3[[#This Row],[Ajudante]],Tabela1[],5,))*3.5),0)</f>
        <v>126.0945</v>
      </c>
      <c r="V1031" s="35">
        <f>IFERROR(Tabela3[[#This Row],[Custo M.O. / H]]/((Tabela3[[#This Row],[Realizado]]/Tabela3[[#This Row],[Qdt Peça Placa]])/Tabela3[[#This Row],[Tempo]]/24),)</f>
        <v>17.09281</v>
      </c>
      <c r="W1031" s="35">
        <f>Tabela3[[#This Row],[Custo / Cx Moldada]]*Tabela3[[#This Row],[Qtde Cx Produzida]]</f>
        <v>256.39215000000002</v>
      </c>
      <c r="X1031" s="35">
        <f ca="1">Tabela3[[#This Row],[Aluminio Util]]*Tabela3[[#This Row],[Custo/Kg]]</f>
        <v>620.5680000000001</v>
      </c>
      <c r="Y1031" s="35">
        <f>IFERROR(VLOOKUP(Tabela3[[#This Row],[Data]],Tabela461213[],2,1)*(Tabela3[[#This Row],[Qtde Cx Produzida]]*Tabela3[[#This Row],[Qde macho / CX]]*Tabela3[[#This Row],[Peso Macho]]),)</f>
        <v>321.52949999999998</v>
      </c>
      <c r="Z1031" s="35">
        <f>IFERROR(Tabela3[[#This Row],[Qtde Oleo]]*(VLOOKUP(Tabela3[[#This Row],[Data]],CompraOleo[],3,TRUE))*1.05,0)</f>
        <v>81.997801264335223</v>
      </c>
      <c r="AA1031" s="47">
        <f ca="1">(Tabela3[[#This Row],[Custo Oleo]]+Tabela3[[#This Row],[Custo Aluminio]]+Tabela3[[#This Row],[Custo M.O. Total]]+Tabela3[[#This Row],[Custo Machos]])</f>
        <v>1280.4874512643353</v>
      </c>
      <c r="AB1031" s="47">
        <f ca="1">Tabela3[[#This Row],[Custo Total]]*Tabela3[[#This Row],[% Perda]]</f>
        <v>0</v>
      </c>
      <c r="AC1031" s="40">
        <f>IFERROR(VLOOKUP(Tabela3[[#This Row],[Produto]],Tabela2[],2,0),0)</f>
        <v>3</v>
      </c>
      <c r="AD1031" s="48">
        <f>IFERROR(VLOOKUP(Tabela3[[#This Row],[Produto]],Tabela2[],3,0),0)</f>
        <v>0.88400000000000001</v>
      </c>
      <c r="AE1031" s="48">
        <f>IFERROR(VLOOKUP(Tabela3[[#This Row],[Produto]],Tabela2[],4,0),0)</f>
        <v>4.6920000000000002</v>
      </c>
      <c r="AF1031" s="48">
        <f>IFERROR(VLOOKUP(Tabela3[[#This Row],[Produto]],Tabela2[],5,0),0)</f>
        <v>1.8360000000000001</v>
      </c>
      <c r="AG1031" s="48">
        <f>IFERROR(VLOOKUP(Tabela3[[#This Row],[Produto]],Tabela2[],6,0),0)</f>
        <v>0</v>
      </c>
      <c r="AH1031" s="40">
        <f>IFERROR(VLOOKUP(Tabela3[[#This Row],[Produto]],Tabela2[],7,0),0)</f>
        <v>9</v>
      </c>
      <c r="AI1031" s="40">
        <f>IFERROR(VLOOKUP(Tabela3[[#This Row],[Produto]],Tabela2[],8,0),0)</f>
        <v>1.401</v>
      </c>
      <c r="AJ1031" s="35">
        <f ca="1">IFERROR(VLOOKUP(Tabela3[[#This Row],[Produto]],Tabela2[],13,0),0)</f>
        <v>15.600000000000001</v>
      </c>
      <c r="AK1031" s="48" t="str">
        <f>IFERROR(VLOOKUP(Tabela3[[#This Row],[Produto]],Tabela2[],14,0),0)</f>
        <v>Jumil</v>
      </c>
      <c r="AL1031" s="40">
        <f>IFERROR(VLOOKUP(Tabela3[[#This Row],[Produto]],Tabela2[],15,0),0)</f>
        <v>10</v>
      </c>
      <c r="AM1031" s="36">
        <f ca="1">(Tabela3[[#This Row],[Custo Usinagem]]+Tabela3[[#This Row],[Custo / Pç]])*1.2</f>
        <v>46.146332033715609</v>
      </c>
      <c r="AN1031" s="36">
        <f ca="1">Tabela3[[#This Row],[Valor Mínimo Venda]]*1.15</f>
        <v>53.068281838772947</v>
      </c>
      <c r="AO1031" s="36">
        <f ca="1">Tabela3[[#This Row],[Tabela 1]]*1.08</f>
        <v>57.313744385874784</v>
      </c>
      <c r="AP1031" s="36">
        <f ca="1">Tabela3[[#This Row],[Tabela 2]]*1.15</f>
        <v>65.910806043755997</v>
      </c>
    </row>
    <row r="1032" spans="1:42">
      <c r="A1032" s="9">
        <v>46098</v>
      </c>
      <c r="B1032" s="9" t="s">
        <v>245</v>
      </c>
      <c r="C1032" s="14">
        <v>9231</v>
      </c>
      <c r="D1032" s="6" t="s">
        <v>46</v>
      </c>
      <c r="E1032" s="6" t="s">
        <v>44</v>
      </c>
      <c r="F1032" s="6">
        <v>25</v>
      </c>
      <c r="G1032" s="15">
        <v>0.11805555555555555</v>
      </c>
      <c r="H1032" s="16">
        <v>0</v>
      </c>
      <c r="I1032" s="35">
        <f ca="1">IFERROR(Tabela3[[#This Row],[Custo Total]]/Tabela3[[#This Row],[Aluminio Util]],0)</f>
        <v>28.378898123482539</v>
      </c>
      <c r="J1032" s="35">
        <f ca="1">Tabela3[[#This Row],[Custo Total]]/Tabela3[[#This Row],[Realizado]]</f>
        <v>9.4217941769962028</v>
      </c>
      <c r="K1032" s="37">
        <f>IFERROR(Tabela3[[#This Row],[Qtde Cx Produzida]]/Tabela3[[#This Row],[Tempo]]/24,0)</f>
        <v>8.8235294117647065</v>
      </c>
      <c r="L1032" s="37">
        <f>Tabela3[[#This Row],[Qtde Cx Produzida]]*Tabela3[[#This Row],[Qdt Peça Placa]]</f>
        <v>100</v>
      </c>
      <c r="M1032" s="37">
        <f>Tabela3[[#This Row],[Previsto]]-Tabela3[[#This Row],[Perda Pçs]]</f>
        <v>100</v>
      </c>
      <c r="N1032" s="38">
        <f>IFERROR(Tabela3[[#This Row],[Perda Pçs]]/Tabela3[[#This Row],[Previsto]],0)</f>
        <v>0</v>
      </c>
      <c r="O1032" s="39">
        <f>IFERROR(IF(Tabela3[[#This Row],[Qtde Cx Produzida]] &lt;&gt; 0, Tabela3[[#This Row],[Tempo]] / Tabela3[[#This Row],[Qtde Cx Produzida]], 0),0)</f>
        <v>4.7222222222222223E-3</v>
      </c>
      <c r="P1032" s="57">
        <f>IFERROR(Tabela3[[#This Row],[Perda Pçs]]/Tabela3[[#This Row],[Qdt Peça Placa]],0)</f>
        <v>0</v>
      </c>
      <c r="Q1032" s="37">
        <f>IFERROR(Tabela3[[#This Row],[Realizado]]*Tabela3[[#This Row],[Peso Util/Pç]],0)</f>
        <v>33.200000000000003</v>
      </c>
      <c r="R1032" s="37">
        <f>IFERROR(Tabela3[[#This Row],[Peso Total Galho]]*Tabela3[[#This Row],[Qtde Cx Produzida]]*1.055,0)</f>
        <v>60.662499999999987</v>
      </c>
      <c r="S1032" s="37">
        <f>(Tabela3[[#This Row],[Aluminio Bruto]]-Tabela3[[#This Row],[Aluminio Util]])*0.9</f>
        <v>24.716249999999988</v>
      </c>
      <c r="T1032" s="37">
        <f>Tabela3[[#This Row],[Aluminio Bruto]]/OleoKGAluminio</f>
        <v>25.52063531414106</v>
      </c>
      <c r="U1032" s="35">
        <f>IFERROR((VLOOKUP(Tabela3[[#This Row],[Moldador]],Tabela1[],5,)+(VLOOKUP(Tabela3[[#This Row],[Ajudante]],Tabela1[],5,))*3.5),0)</f>
        <v>126.0945</v>
      </c>
      <c r="V1032" s="35">
        <f>IFERROR(Tabela3[[#This Row],[Custo M.O. / H]]/((Tabela3[[#This Row],[Realizado]]/Tabela3[[#This Row],[Qdt Peça Placa]])/Tabela3[[#This Row],[Tempo]]/24),)</f>
        <v>14.290709999999999</v>
      </c>
      <c r="W1032" s="35">
        <f>Tabela3[[#This Row],[Custo / Cx Moldada]]*Tabela3[[#This Row],[Qtde Cx Produzida]]</f>
        <v>357.26774999999998</v>
      </c>
      <c r="X1032" s="35">
        <f ca="1">Tabela3[[#This Row],[Aluminio Util]]*Tabela3[[#This Row],[Custo/Kg]]</f>
        <v>517.92000000000007</v>
      </c>
      <c r="Y1032" s="35">
        <f>IFERROR(VLOOKUP(Tabela3[[#This Row],[Data]],Tabela461213[],2,1)*(Tabela3[[#This Row],[Qtde Cx Produzida]]*Tabela3[[#This Row],[Qde macho / CX]]*Tabela3[[#This Row],[Peso Macho]]),)</f>
        <v>0</v>
      </c>
      <c r="Z1032" s="35">
        <f>IFERROR(Tabela3[[#This Row],[Qtde Oleo]]*(VLOOKUP(Tabela3[[#This Row],[Data]],CompraOleo[],3,TRUE))*1.05,0)</f>
        <v>66.99166769962028</v>
      </c>
      <c r="AA1032" s="47">
        <f ca="1">(Tabela3[[#This Row],[Custo Oleo]]+Tabela3[[#This Row],[Custo Aluminio]]+Tabela3[[#This Row],[Custo M.O. Total]]+Tabela3[[#This Row],[Custo Machos]])</f>
        <v>942.17941769962033</v>
      </c>
      <c r="AB1032" s="47">
        <f ca="1">Tabela3[[#This Row],[Custo Total]]*Tabela3[[#This Row],[% Perda]]</f>
        <v>0</v>
      </c>
      <c r="AC1032" s="40">
        <f>IFERROR(VLOOKUP(Tabela3[[#This Row],[Produto]],Tabela2[],2,0),0)</f>
        <v>4</v>
      </c>
      <c r="AD1032" s="48">
        <f>IFERROR(VLOOKUP(Tabela3[[#This Row],[Produto]],Tabela2[],3,0),0)</f>
        <v>0.33200000000000002</v>
      </c>
      <c r="AE1032" s="48">
        <f>IFERROR(VLOOKUP(Tabela3[[#This Row],[Produto]],Tabela2[],4,0),0)</f>
        <v>2.2999999999999998</v>
      </c>
      <c r="AF1032" s="48">
        <f>IFERROR(VLOOKUP(Tabela3[[#This Row],[Produto]],Tabela2[],5,0),0)</f>
        <v>0.8747999999999998</v>
      </c>
      <c r="AG1032" s="48">
        <f>IFERROR(VLOOKUP(Tabela3[[#This Row],[Produto]],Tabela2[],6,0),0)</f>
        <v>0</v>
      </c>
      <c r="AH1032" s="40">
        <f>IFERROR(VLOOKUP(Tabela3[[#This Row],[Produto]],Tabela2[],7,0),0)</f>
        <v>0</v>
      </c>
      <c r="AI1032" s="40">
        <f>IFERROR(VLOOKUP(Tabela3[[#This Row],[Produto]],Tabela2[],8,0),0)</f>
        <v>0</v>
      </c>
      <c r="AJ1032" s="35">
        <f ca="1">IFERROR(VLOOKUP(Tabela3[[#This Row],[Produto]],Tabela2[],13,0),0)</f>
        <v>15.600000000000001</v>
      </c>
      <c r="AK1032" s="48" t="str">
        <f>IFERROR(VLOOKUP(Tabela3[[#This Row],[Produto]],Tabela2[],14,0),0)</f>
        <v>Senun</v>
      </c>
      <c r="AL1032" s="40">
        <f>IFERROR(VLOOKUP(Tabela3[[#This Row],[Produto]],Tabela2[],15,0),0)</f>
        <v>3.5</v>
      </c>
      <c r="AM1032" s="36">
        <f ca="1">(Tabela3[[#This Row],[Custo Usinagem]]+Tabela3[[#This Row],[Custo / Pç]])*1.2</f>
        <v>15.506153012395442</v>
      </c>
      <c r="AN1032" s="36">
        <f ca="1">Tabela3[[#This Row],[Valor Mínimo Venda]]*1.15</f>
        <v>17.832075964254756</v>
      </c>
      <c r="AO1032" s="36">
        <f ca="1">Tabela3[[#This Row],[Tabela 1]]*1.08</f>
        <v>19.258642041395138</v>
      </c>
      <c r="AP1032" s="36">
        <f ca="1">Tabela3[[#This Row],[Tabela 2]]*1.15</f>
        <v>22.147438347604407</v>
      </c>
    </row>
    <row r="1033" spans="1:42">
      <c r="A1033" s="9">
        <v>46098</v>
      </c>
      <c r="B1033" s="9" t="s">
        <v>123</v>
      </c>
      <c r="C1033" s="14">
        <v>9239</v>
      </c>
      <c r="D1033" s="6" t="s">
        <v>46</v>
      </c>
      <c r="E1033" s="6" t="s">
        <v>44</v>
      </c>
      <c r="F1033" s="6">
        <v>3</v>
      </c>
      <c r="G1033" s="15">
        <v>4.1666666666666664E-2</v>
      </c>
      <c r="H1033" s="16">
        <v>0</v>
      </c>
      <c r="I1033" s="35">
        <f ca="1">IFERROR(Tabela3[[#This Row],[Custo Total]]/Tabela3[[#This Row],[Aluminio Util]],0)</f>
        <v>37.596846277343744</v>
      </c>
      <c r="J1033" s="35">
        <f ca="1">Tabela3[[#This Row],[Custo Total]]/Tabela3[[#This Row],[Realizado]]</f>
        <v>21.618186609472648</v>
      </c>
      <c r="K1033" s="37">
        <f>IFERROR(Tabela3[[#This Row],[Qtde Cx Produzida]]/Tabela3[[#This Row],[Tempo]]/24,0)</f>
        <v>3</v>
      </c>
      <c r="L1033" s="37">
        <f>Tabela3[[#This Row],[Qtde Cx Produzida]]*Tabela3[[#This Row],[Qdt Peça Placa]]</f>
        <v>12</v>
      </c>
      <c r="M1033" s="37">
        <f>Tabela3[[#This Row],[Previsto]]-Tabela3[[#This Row],[Perda Pçs]]</f>
        <v>12</v>
      </c>
      <c r="N1033" s="38">
        <f>IFERROR(Tabela3[[#This Row],[Perda Pçs]]/Tabela3[[#This Row],[Previsto]],0)</f>
        <v>0</v>
      </c>
      <c r="O1033" s="39">
        <f>IFERROR(IF(Tabela3[[#This Row],[Qtde Cx Produzida]] &lt;&gt; 0, Tabela3[[#This Row],[Tempo]] / Tabela3[[#This Row],[Qtde Cx Produzida]], 0),0)</f>
        <v>1.3888888888888888E-2</v>
      </c>
      <c r="P1033" s="57">
        <f>IFERROR(Tabela3[[#This Row],[Perda Pçs]]/Tabela3[[#This Row],[Qdt Peça Placa]],0)</f>
        <v>0</v>
      </c>
      <c r="Q1033" s="37">
        <f>IFERROR(Tabela3[[#This Row],[Realizado]]*Tabela3[[#This Row],[Peso Util/Pç]],0)</f>
        <v>6.8999999999999995</v>
      </c>
      <c r="R1033" s="37">
        <f>IFERROR(Tabela3[[#This Row],[Peso Total Galho]]*Tabela3[[#This Row],[Qtde Cx Produzida]]*1.055,0)</f>
        <v>10.760999999999999</v>
      </c>
      <c r="S1033" s="37">
        <f>(Tabela3[[#This Row],[Aluminio Bruto]]-Tabela3[[#This Row],[Aluminio Util]])*0.9</f>
        <v>3.4748999999999999</v>
      </c>
      <c r="T1033" s="37">
        <f>Tabela3[[#This Row],[Aluminio Bruto]]/OleoKGAluminio</f>
        <v>4.527138786160676</v>
      </c>
      <c r="U1033" s="35">
        <f>IFERROR((VLOOKUP(Tabela3[[#This Row],[Moldador]],Tabela1[],5,)+(VLOOKUP(Tabela3[[#This Row],[Ajudante]],Tabela1[],5,))*3.5),0)</f>
        <v>126.0945</v>
      </c>
      <c r="V1033" s="35">
        <f>IFERROR(Tabela3[[#This Row],[Custo M.O. / H]]/((Tabela3[[#This Row],[Realizado]]/Tabela3[[#This Row],[Qdt Peça Placa]])/Tabela3[[#This Row],[Tempo]]/24),)</f>
        <v>42.031500000000001</v>
      </c>
      <c r="W1033" s="35">
        <f>Tabela3[[#This Row],[Custo / Cx Moldada]]*Tabela3[[#This Row],[Qtde Cx Produzida]]</f>
        <v>126.09450000000001</v>
      </c>
      <c r="X1033" s="35">
        <f ca="1">Tabela3[[#This Row],[Aluminio Util]]*Tabela3[[#This Row],[Custo/Kg]]</f>
        <v>121.44</v>
      </c>
      <c r="Y1033" s="35">
        <f>IFERROR(VLOOKUP(Tabela3[[#This Row],[Data]],Tabela461213[],2,1)*(Tabela3[[#This Row],[Qtde Cx Produzida]]*Tabela3[[#This Row],[Qde macho / CX]]*Tabela3[[#This Row],[Peso Macho]]),)</f>
        <v>0</v>
      </c>
      <c r="Z1033" s="35">
        <f>IFERROR(Tabela3[[#This Row],[Qtde Oleo]]*(VLOOKUP(Tabela3[[#This Row],[Data]],CompraOleo[],3,TRUE))*1.05,0)</f>
        <v>11.883739313671775</v>
      </c>
      <c r="AA1033" s="47">
        <f ca="1">(Tabela3[[#This Row],[Custo Oleo]]+Tabela3[[#This Row],[Custo Aluminio]]+Tabela3[[#This Row],[Custo M.O. Total]]+Tabela3[[#This Row],[Custo Machos]])</f>
        <v>259.41823931367179</v>
      </c>
      <c r="AB1033" s="47">
        <f ca="1">Tabela3[[#This Row],[Custo Total]]*Tabela3[[#This Row],[% Perda]]</f>
        <v>0</v>
      </c>
      <c r="AC1033" s="40">
        <f>IFERROR(VLOOKUP(Tabela3[[#This Row],[Produto]],Tabela2[],2,0),0)</f>
        <v>4</v>
      </c>
      <c r="AD1033" s="48">
        <f>IFERROR(VLOOKUP(Tabela3[[#This Row],[Produto]],Tabela2[],3,0),0)</f>
        <v>0.57499999999999996</v>
      </c>
      <c r="AE1033" s="48">
        <f>IFERROR(VLOOKUP(Tabela3[[#This Row],[Produto]],Tabela2[],4,0),0)</f>
        <v>3.4</v>
      </c>
      <c r="AF1033" s="48">
        <f>IFERROR(VLOOKUP(Tabela3[[#This Row],[Produto]],Tabela2[],5,0),0)</f>
        <v>0.9900000000000001</v>
      </c>
      <c r="AG1033" s="48">
        <f>IFERROR(VLOOKUP(Tabela3[[#This Row],[Produto]],Tabela2[],6,0),0)</f>
        <v>0</v>
      </c>
      <c r="AH1033" s="40">
        <f>IFERROR(VLOOKUP(Tabela3[[#This Row],[Produto]],Tabela2[],7,0),0)</f>
        <v>0</v>
      </c>
      <c r="AI1033" s="40">
        <f>IFERROR(VLOOKUP(Tabela3[[#This Row],[Produto]],Tabela2[],8,0),0)</f>
        <v>0</v>
      </c>
      <c r="AJ1033" s="35">
        <f ca="1">IFERROR(VLOOKUP(Tabela3[[#This Row],[Produto]],Tabela2[],13,0),0)</f>
        <v>17.600000000000001</v>
      </c>
      <c r="AK1033" s="48" t="str">
        <f>IFERROR(VLOOKUP(Tabela3[[#This Row],[Produto]],Tabela2[],14,0),0)</f>
        <v>TPA/TEMPLA</v>
      </c>
      <c r="AL1033" s="40">
        <f>IFERROR(VLOOKUP(Tabela3[[#This Row],[Produto]],Tabela2[],15,0),0)</f>
        <v>0</v>
      </c>
      <c r="AM1033" s="36">
        <f ca="1">(Tabela3[[#This Row],[Custo Usinagem]]+Tabela3[[#This Row],[Custo / Pç]])*1.2</f>
        <v>25.941823931367178</v>
      </c>
      <c r="AN1033" s="36">
        <f ca="1">Tabela3[[#This Row],[Valor Mínimo Venda]]*1.15</f>
        <v>29.833097521072254</v>
      </c>
      <c r="AO1033" s="36">
        <f ca="1">Tabela3[[#This Row],[Tabela 1]]*1.08</f>
        <v>32.219745322758037</v>
      </c>
      <c r="AP1033" s="36">
        <f ca="1">Tabela3[[#This Row],[Tabela 2]]*1.15</f>
        <v>37.052707121171743</v>
      </c>
    </row>
    <row r="1034" spans="1:42">
      <c r="A1034" s="9">
        <v>46098</v>
      </c>
      <c r="B1034" s="9" t="s">
        <v>179</v>
      </c>
      <c r="C1034" s="14">
        <v>9242</v>
      </c>
      <c r="D1034" s="6" t="s">
        <v>44</v>
      </c>
      <c r="E1034" s="6" t="s">
        <v>47</v>
      </c>
      <c r="F1034" s="6">
        <v>6</v>
      </c>
      <c r="G1034" s="15">
        <v>7.2222222222222215E-2</v>
      </c>
      <c r="H1034" s="16">
        <v>0</v>
      </c>
      <c r="I1034" s="35">
        <f ca="1">IFERROR(Tabela3[[#This Row],[Custo Total]]/Tabela3[[#This Row],[Aluminio Util]],0)</f>
        <v>23.094749921722777</v>
      </c>
      <c r="J1034" s="35">
        <f ca="1">Tabela3[[#This Row],[Custo Total]]/Tabela3[[#This Row],[Realizado]]</f>
        <v>160.04661695753882</v>
      </c>
      <c r="K1034" s="37">
        <f>IFERROR(Tabela3[[#This Row],[Qtde Cx Produzida]]/Tabela3[[#This Row],[Tempo]]/24,0)</f>
        <v>3.4615384615384617</v>
      </c>
      <c r="L1034" s="37">
        <f>Tabela3[[#This Row],[Qtde Cx Produzida]]*Tabela3[[#This Row],[Qdt Peça Placa]]</f>
        <v>6</v>
      </c>
      <c r="M1034" s="37">
        <f>Tabela3[[#This Row],[Previsto]]-Tabela3[[#This Row],[Perda Pçs]]</f>
        <v>6</v>
      </c>
      <c r="N1034" s="38">
        <f>IFERROR(Tabela3[[#This Row],[Perda Pçs]]/Tabela3[[#This Row],[Previsto]],0)</f>
        <v>0</v>
      </c>
      <c r="O1034" s="39">
        <f>IFERROR(IF(Tabela3[[#This Row],[Qtde Cx Produzida]] &lt;&gt; 0, Tabela3[[#This Row],[Tempo]] / Tabela3[[#This Row],[Qtde Cx Produzida]], 0),0)</f>
        <v>1.2037037037037035E-2</v>
      </c>
      <c r="P1034" s="57">
        <f>IFERROR(Tabela3[[#This Row],[Perda Pçs]]/Tabela3[[#This Row],[Qdt Peça Placa]],0)</f>
        <v>0</v>
      </c>
      <c r="Q1034" s="37">
        <f>IFERROR(Tabela3[[#This Row],[Realizado]]*Tabela3[[#This Row],[Peso Util/Pç]],0)</f>
        <v>41.58</v>
      </c>
      <c r="R1034" s="37">
        <f>IFERROR(Tabela3[[#This Row],[Peso Total Galho]]*Tabela3[[#This Row],[Qtde Cx Produzida]]*1.055,0)</f>
        <v>50.007000000000005</v>
      </c>
      <c r="S1034" s="37">
        <f>(Tabela3[[#This Row],[Aluminio Bruto]]-Tabela3[[#This Row],[Aluminio Util]])*0.9</f>
        <v>7.584300000000006</v>
      </c>
      <c r="T1034" s="37">
        <f>Tabela3[[#This Row],[Aluminio Bruto]]/OleoKGAluminio</f>
        <v>21.037880241570203</v>
      </c>
      <c r="U1034" s="35">
        <f>IFERROR((VLOOKUP(Tabela3[[#This Row],[Moldador]],Tabela1[],5,)+(VLOOKUP(Tabela3[[#This Row],[Ajudante]],Tabela1[],5,))*3.5),0)</f>
        <v>99.95034583333333</v>
      </c>
      <c r="V1034" s="35">
        <f>IFERROR(Tabela3[[#This Row],[Custo M.O. / H]]/((Tabela3[[#This Row],[Realizado]]/Tabela3[[#This Row],[Qdt Peça Placa]])/Tabela3[[#This Row],[Tempo]]/24),)</f>
        <v>28.874544351851849</v>
      </c>
      <c r="W1034" s="35">
        <f>Tabela3[[#This Row],[Custo / Cx Moldada]]*Tabela3[[#This Row],[Qtde Cx Produzida]]</f>
        <v>173.24726611111109</v>
      </c>
      <c r="X1034" s="35">
        <f ca="1">Tabela3[[#This Row],[Aluminio Util]]*Tabela3[[#This Row],[Custo/Kg]]</f>
        <v>731.80799999999999</v>
      </c>
      <c r="Y1034" s="35">
        <f>IFERROR(VLOOKUP(Tabela3[[#This Row],[Data]],Tabela461213[],2,1)*(Tabela3[[#This Row],[Qtde Cx Produzida]]*Tabela3[[#This Row],[Qde macho / CX]]*Tabela3[[#This Row],[Peso Macho]]),)</f>
        <v>0</v>
      </c>
      <c r="Z1034" s="35">
        <f>IFERROR(Tabela3[[#This Row],[Qtde Oleo]]*(VLOOKUP(Tabela3[[#This Row],[Data]],CompraOleo[],3,TRUE))*1.05,0)</f>
        <v>55.224435634121789</v>
      </c>
      <c r="AA1034" s="47">
        <f ca="1">(Tabela3[[#This Row],[Custo Oleo]]+Tabela3[[#This Row],[Custo Aluminio]]+Tabela3[[#This Row],[Custo M.O. Total]]+Tabela3[[#This Row],[Custo Machos]])</f>
        <v>960.27970174523296</v>
      </c>
      <c r="AB1034" s="47">
        <f ca="1">Tabela3[[#This Row],[Custo Total]]*Tabela3[[#This Row],[% Perda]]</f>
        <v>0</v>
      </c>
      <c r="AC1034" s="40">
        <f>IFERROR(VLOOKUP(Tabela3[[#This Row],[Produto]],Tabela2[],2,0),0)</f>
        <v>1</v>
      </c>
      <c r="AD1034" s="48">
        <f>IFERROR(VLOOKUP(Tabela3[[#This Row],[Produto]],Tabela2[],3,0),0)</f>
        <v>6.93</v>
      </c>
      <c r="AE1034" s="48">
        <f>IFERROR(VLOOKUP(Tabela3[[#This Row],[Produto]],Tabela2[],4,0),0)</f>
        <v>7.9</v>
      </c>
      <c r="AF1034" s="48">
        <f>IFERROR(VLOOKUP(Tabela3[[#This Row],[Produto]],Tabela2[],5,0),0)</f>
        <v>0.87300000000000055</v>
      </c>
      <c r="AG1034" s="48">
        <f>IFERROR(VLOOKUP(Tabela3[[#This Row],[Produto]],Tabela2[],6,0),0)</f>
        <v>0</v>
      </c>
      <c r="AH1034" s="40">
        <f>IFERROR(VLOOKUP(Tabela3[[#This Row],[Produto]],Tabela2[],7,0),0)</f>
        <v>0</v>
      </c>
      <c r="AI1034" s="40">
        <f>IFERROR(VLOOKUP(Tabela3[[#This Row],[Produto]],Tabela2[],8,0),0)</f>
        <v>0</v>
      </c>
      <c r="AJ1034" s="35">
        <f ca="1">IFERROR(VLOOKUP(Tabela3[[#This Row],[Produto]],Tabela2[],13,0),0)</f>
        <v>17.600000000000001</v>
      </c>
      <c r="AK1034" s="48" t="str">
        <f>IFERROR(VLOOKUP(Tabela3[[#This Row],[Produto]],Tabela2[],14,0),0)</f>
        <v>Oscar</v>
      </c>
      <c r="AL1034" s="40">
        <f>IFERROR(VLOOKUP(Tabela3[[#This Row],[Produto]],Tabela2[],15,0),0)</f>
        <v>0</v>
      </c>
      <c r="AM1034" s="36">
        <f ca="1">(Tabela3[[#This Row],[Custo Usinagem]]+Tabela3[[#This Row],[Custo / Pç]])*1.2</f>
        <v>192.05594034904658</v>
      </c>
      <c r="AN1034" s="36">
        <f ca="1">Tabela3[[#This Row],[Valor Mínimo Venda]]*1.15</f>
        <v>220.86433140140355</v>
      </c>
      <c r="AO1034" s="36">
        <f ca="1">Tabela3[[#This Row],[Tabela 1]]*1.08</f>
        <v>238.53347791351584</v>
      </c>
      <c r="AP1034" s="36">
        <f ca="1">Tabela3[[#This Row],[Tabela 2]]*1.15</f>
        <v>274.3134996005432</v>
      </c>
    </row>
    <row r="1035" spans="1:42">
      <c r="A1035" s="9">
        <v>46099</v>
      </c>
      <c r="B1035" s="9" t="s">
        <v>245</v>
      </c>
      <c r="C1035" s="14">
        <v>9231</v>
      </c>
      <c r="D1035" s="6" t="s">
        <v>46</v>
      </c>
      <c r="E1035" s="6" t="s">
        <v>44</v>
      </c>
      <c r="F1035" s="6">
        <v>60</v>
      </c>
      <c r="G1035" s="15">
        <v>0.28541666666666665</v>
      </c>
      <c r="H1035" s="16">
        <v>39</v>
      </c>
      <c r="I1035" s="35">
        <f ca="1">IFERROR(Tabela3[[#This Row],[Custo Total]]/Tabela3[[#This Row],[Aluminio Util]],0)</f>
        <v>33.464294371985368</v>
      </c>
      <c r="J1035" s="35">
        <f ca="1">Tabela3[[#This Row],[Custo Total]]/Tabela3[[#This Row],[Realizado]]</f>
        <v>11.110145731499141</v>
      </c>
      <c r="K1035" s="37">
        <f>IFERROR(Tabela3[[#This Row],[Qtde Cx Produzida]]/Tabela3[[#This Row],[Tempo]]/24,0)</f>
        <v>8.7591240875912408</v>
      </c>
      <c r="L1035" s="37">
        <f>Tabela3[[#This Row],[Qtde Cx Produzida]]*Tabela3[[#This Row],[Qdt Peça Placa]]</f>
        <v>240</v>
      </c>
      <c r="M1035" s="37">
        <f>Tabela3[[#This Row],[Previsto]]-Tabela3[[#This Row],[Perda Pçs]]</f>
        <v>201</v>
      </c>
      <c r="N1035" s="38">
        <f>IFERROR(Tabela3[[#This Row],[Perda Pçs]]/Tabela3[[#This Row],[Previsto]],0)</f>
        <v>0.16250000000000001</v>
      </c>
      <c r="O1035" s="39">
        <f>IFERROR(IF(Tabela3[[#This Row],[Qtde Cx Produzida]] &lt;&gt; 0, Tabela3[[#This Row],[Tempo]] / Tabela3[[#This Row],[Qtde Cx Produzida]], 0),0)</f>
        <v>4.7569444444444439E-3</v>
      </c>
      <c r="P1035" s="57">
        <f>IFERROR(Tabela3[[#This Row],[Perda Pçs]]/Tabela3[[#This Row],[Qdt Peça Placa]],0)</f>
        <v>9.75</v>
      </c>
      <c r="Q1035" s="37">
        <f>IFERROR(Tabela3[[#This Row],[Realizado]]*Tabela3[[#This Row],[Peso Util/Pç]],0)</f>
        <v>66.731999999999999</v>
      </c>
      <c r="R1035" s="37">
        <f>IFERROR(Tabela3[[#This Row],[Peso Total Galho]]*Tabela3[[#This Row],[Qtde Cx Produzida]]*1.055,0)</f>
        <v>145.59</v>
      </c>
      <c r="S1035" s="37">
        <f>(Tabela3[[#This Row],[Aluminio Bruto]]-Tabela3[[#This Row],[Aluminio Util]])*0.9</f>
        <v>70.972200000000001</v>
      </c>
      <c r="T1035" s="37">
        <f>Tabela3[[#This Row],[Aluminio Bruto]]/OleoKGAluminio</f>
        <v>61.249524753938559</v>
      </c>
      <c r="U1035" s="35">
        <f>IFERROR((VLOOKUP(Tabela3[[#This Row],[Moldador]],Tabela1[],5,)+(VLOOKUP(Tabela3[[#This Row],[Ajudante]],Tabela1[],5,))*3.5),0)</f>
        <v>126.0945</v>
      </c>
      <c r="V1035" s="35">
        <f>IFERROR(Tabela3[[#This Row],[Custo M.O. / H]]/((Tabela3[[#This Row],[Realizado]]/Tabela3[[#This Row],[Qdt Peça Placa]])/Tabela3[[#This Row],[Tempo]]/24),)</f>
        <v>17.189001492537312</v>
      </c>
      <c r="W1035" s="35">
        <f>Tabela3[[#This Row],[Custo / Cx Moldada]]*Tabela3[[#This Row],[Qtde Cx Produzida]]</f>
        <v>1031.3400895522386</v>
      </c>
      <c r="X1035" s="35">
        <f ca="1">Tabela3[[#This Row],[Aluminio Util]]*Tabela3[[#This Row],[Custo/Kg]]</f>
        <v>1041.0192000000002</v>
      </c>
      <c r="Y1035" s="35">
        <f>IFERROR(VLOOKUP(Tabela3[[#This Row],[Data]],Tabela461213[],2,1)*(Tabela3[[#This Row],[Qtde Cx Produzida]]*Tabela3[[#This Row],[Qde macho / CX]]*Tabela3[[#This Row],[Peso Macho]]),)</f>
        <v>0</v>
      </c>
      <c r="Z1035" s="35">
        <f>IFERROR(Tabela3[[#This Row],[Qtde Oleo]]*(VLOOKUP(Tabela3[[#This Row],[Data]],CompraOleo[],3,TRUE))*1.05,0)</f>
        <v>160.78000247908872</v>
      </c>
      <c r="AA1035" s="47">
        <f ca="1">(Tabela3[[#This Row],[Custo Oleo]]+Tabela3[[#This Row],[Custo Aluminio]]+Tabela3[[#This Row],[Custo M.O. Total]]+Tabela3[[#This Row],[Custo Machos]])</f>
        <v>2233.1392920313274</v>
      </c>
      <c r="AB1035" s="47">
        <f ca="1">Tabela3[[#This Row],[Custo Total]]*Tabela3[[#This Row],[% Perda]]</f>
        <v>362.88513495509073</v>
      </c>
      <c r="AC1035" s="40">
        <f>IFERROR(VLOOKUP(Tabela3[[#This Row],[Produto]],Tabela2[],2,0),0)</f>
        <v>4</v>
      </c>
      <c r="AD1035" s="48">
        <f>IFERROR(VLOOKUP(Tabela3[[#This Row],[Produto]],Tabela2[],3,0),0)</f>
        <v>0.33200000000000002</v>
      </c>
      <c r="AE1035" s="48">
        <f>IFERROR(VLOOKUP(Tabela3[[#This Row],[Produto]],Tabela2[],4,0),0)</f>
        <v>2.2999999999999998</v>
      </c>
      <c r="AF1035" s="48">
        <f>IFERROR(VLOOKUP(Tabela3[[#This Row],[Produto]],Tabela2[],5,0),0)</f>
        <v>0.8747999999999998</v>
      </c>
      <c r="AG1035" s="48">
        <f>IFERROR(VLOOKUP(Tabela3[[#This Row],[Produto]],Tabela2[],6,0),0)</f>
        <v>0</v>
      </c>
      <c r="AH1035" s="40">
        <f>IFERROR(VLOOKUP(Tabela3[[#This Row],[Produto]],Tabela2[],7,0),0)</f>
        <v>0</v>
      </c>
      <c r="AI1035" s="40">
        <f>IFERROR(VLOOKUP(Tabela3[[#This Row],[Produto]],Tabela2[],8,0),0)</f>
        <v>0</v>
      </c>
      <c r="AJ1035" s="35">
        <f ca="1">IFERROR(VLOOKUP(Tabela3[[#This Row],[Produto]],Tabela2[],13,0),0)</f>
        <v>15.600000000000001</v>
      </c>
      <c r="AK1035" s="48" t="str">
        <f>IFERROR(VLOOKUP(Tabela3[[#This Row],[Produto]],Tabela2[],14,0),0)</f>
        <v>Senun</v>
      </c>
      <c r="AL1035" s="40">
        <f>IFERROR(VLOOKUP(Tabela3[[#This Row],[Produto]],Tabela2[],15,0),0)</f>
        <v>3.5</v>
      </c>
      <c r="AM1035" s="36">
        <f ca="1">(Tabela3[[#This Row],[Custo Usinagem]]+Tabela3[[#This Row],[Custo / Pç]])*1.2</f>
        <v>17.532174877798969</v>
      </c>
      <c r="AN1035" s="36">
        <f ca="1">Tabela3[[#This Row],[Valor Mínimo Venda]]*1.15</f>
        <v>20.162001109468815</v>
      </c>
      <c r="AO1035" s="36">
        <f ca="1">Tabela3[[#This Row],[Tabela 1]]*1.08</f>
        <v>21.774961198226322</v>
      </c>
      <c r="AP1035" s="36">
        <f ca="1">Tabela3[[#This Row],[Tabela 2]]*1.15</f>
        <v>25.041205377960267</v>
      </c>
    </row>
    <row r="1036" spans="1:42">
      <c r="A1036" s="9">
        <v>46099</v>
      </c>
      <c r="B1036" s="9" t="s">
        <v>123</v>
      </c>
      <c r="C1036" s="14">
        <v>9239</v>
      </c>
      <c r="D1036" s="6" t="s">
        <v>46</v>
      </c>
      <c r="E1036" s="6" t="s">
        <v>44</v>
      </c>
      <c r="F1036" s="6">
        <v>4</v>
      </c>
      <c r="G1036" s="15">
        <v>5.1388888888888887E-2</v>
      </c>
      <c r="H1036" s="16">
        <v>0</v>
      </c>
      <c r="I1036" s="35">
        <f ca="1">IFERROR(Tabela3[[#This Row],[Custo Total]]/Tabela3[[#This Row],[Aluminio Util]],0)</f>
        <v>36.226253886039395</v>
      </c>
      <c r="J1036" s="35">
        <f ca="1">Tabela3[[#This Row],[Custo Total]]/Tabela3[[#This Row],[Realizado]]</f>
        <v>20.830095984472649</v>
      </c>
      <c r="K1036" s="37">
        <f>IFERROR(Tabela3[[#This Row],[Qtde Cx Produzida]]/Tabela3[[#This Row],[Tempo]]/24,0)</f>
        <v>3.2432432432432434</v>
      </c>
      <c r="L1036" s="37">
        <f>Tabela3[[#This Row],[Qtde Cx Produzida]]*Tabela3[[#This Row],[Qdt Peça Placa]]</f>
        <v>16</v>
      </c>
      <c r="M1036" s="37">
        <f>Tabela3[[#This Row],[Previsto]]-Tabela3[[#This Row],[Perda Pçs]]</f>
        <v>16</v>
      </c>
      <c r="N1036" s="38">
        <f>IFERROR(Tabela3[[#This Row],[Perda Pçs]]/Tabela3[[#This Row],[Previsto]],0)</f>
        <v>0</v>
      </c>
      <c r="O1036" s="39">
        <f>IFERROR(IF(Tabela3[[#This Row],[Qtde Cx Produzida]] &lt;&gt; 0, Tabela3[[#This Row],[Tempo]] / Tabela3[[#This Row],[Qtde Cx Produzida]], 0),0)</f>
        <v>1.2847222222222222E-2</v>
      </c>
      <c r="P1036" s="57">
        <f>IFERROR(Tabela3[[#This Row],[Perda Pçs]]/Tabela3[[#This Row],[Qdt Peça Placa]],0)</f>
        <v>0</v>
      </c>
      <c r="Q1036" s="37">
        <f>IFERROR(Tabela3[[#This Row],[Realizado]]*Tabela3[[#This Row],[Peso Util/Pç]],0)</f>
        <v>9.1999999999999993</v>
      </c>
      <c r="R1036" s="37">
        <f>IFERROR(Tabela3[[#This Row],[Peso Total Galho]]*Tabela3[[#This Row],[Qtde Cx Produzida]]*1.055,0)</f>
        <v>14.347999999999999</v>
      </c>
      <c r="S1036" s="37">
        <f>(Tabela3[[#This Row],[Aluminio Bruto]]-Tabela3[[#This Row],[Aluminio Util]])*0.9</f>
        <v>4.6331999999999995</v>
      </c>
      <c r="T1036" s="37">
        <f>Tabela3[[#This Row],[Aluminio Bruto]]/OleoKGAluminio</f>
        <v>6.0361850482142341</v>
      </c>
      <c r="U1036" s="35">
        <f>IFERROR((VLOOKUP(Tabela3[[#This Row],[Moldador]],Tabela1[],5,)+(VLOOKUP(Tabela3[[#This Row],[Ajudante]],Tabela1[],5,))*3.5),0)</f>
        <v>126.0945</v>
      </c>
      <c r="V1036" s="35">
        <f>IFERROR(Tabela3[[#This Row],[Custo M.O. / H]]/((Tabela3[[#This Row],[Realizado]]/Tabela3[[#This Row],[Qdt Peça Placa]])/Tabela3[[#This Row],[Tempo]]/24),)</f>
        <v>38.879137499999999</v>
      </c>
      <c r="W1036" s="35">
        <f>Tabela3[[#This Row],[Custo / Cx Moldada]]*Tabela3[[#This Row],[Qtde Cx Produzida]]</f>
        <v>155.51655</v>
      </c>
      <c r="X1036" s="35">
        <f ca="1">Tabela3[[#This Row],[Aluminio Util]]*Tabela3[[#This Row],[Custo/Kg]]</f>
        <v>161.91999999999999</v>
      </c>
      <c r="Y1036" s="35">
        <f>IFERROR(VLOOKUP(Tabela3[[#This Row],[Data]],Tabela461213[],2,1)*(Tabela3[[#This Row],[Qtde Cx Produzida]]*Tabela3[[#This Row],[Qde macho / CX]]*Tabela3[[#This Row],[Peso Macho]]),)</f>
        <v>0</v>
      </c>
      <c r="Z1036" s="35">
        <f>IFERROR(Tabela3[[#This Row],[Qtde Oleo]]*(VLOOKUP(Tabela3[[#This Row],[Data]],CompraOleo[],3,TRUE))*1.05,0)</f>
        <v>15.844985751562366</v>
      </c>
      <c r="AA1036" s="47">
        <f ca="1">(Tabela3[[#This Row],[Custo Oleo]]+Tabela3[[#This Row],[Custo Aluminio]]+Tabela3[[#This Row],[Custo M.O. Total]]+Tabela3[[#This Row],[Custo Machos]])</f>
        <v>333.28153575156239</v>
      </c>
      <c r="AB1036" s="47">
        <f ca="1">Tabela3[[#This Row],[Custo Total]]*Tabela3[[#This Row],[% Perda]]</f>
        <v>0</v>
      </c>
      <c r="AC1036" s="40">
        <f>IFERROR(VLOOKUP(Tabela3[[#This Row],[Produto]],Tabela2[],2,0),0)</f>
        <v>4</v>
      </c>
      <c r="AD1036" s="48">
        <f>IFERROR(VLOOKUP(Tabela3[[#This Row],[Produto]],Tabela2[],3,0),0)</f>
        <v>0.57499999999999996</v>
      </c>
      <c r="AE1036" s="48">
        <f>IFERROR(VLOOKUP(Tabela3[[#This Row],[Produto]],Tabela2[],4,0),0)</f>
        <v>3.4</v>
      </c>
      <c r="AF1036" s="48">
        <f>IFERROR(VLOOKUP(Tabela3[[#This Row],[Produto]],Tabela2[],5,0),0)</f>
        <v>0.9900000000000001</v>
      </c>
      <c r="AG1036" s="48">
        <f>IFERROR(VLOOKUP(Tabela3[[#This Row],[Produto]],Tabela2[],6,0),0)</f>
        <v>0</v>
      </c>
      <c r="AH1036" s="40">
        <f>IFERROR(VLOOKUP(Tabela3[[#This Row],[Produto]],Tabela2[],7,0),0)</f>
        <v>0</v>
      </c>
      <c r="AI1036" s="40">
        <f>IFERROR(VLOOKUP(Tabela3[[#This Row],[Produto]],Tabela2[],8,0),0)</f>
        <v>0</v>
      </c>
      <c r="AJ1036" s="35">
        <f ca="1">IFERROR(VLOOKUP(Tabela3[[#This Row],[Produto]],Tabela2[],13,0),0)</f>
        <v>17.600000000000001</v>
      </c>
      <c r="AK1036" s="48" t="str">
        <f>IFERROR(VLOOKUP(Tabela3[[#This Row],[Produto]],Tabela2[],14,0),0)</f>
        <v>TPA/TEMPLA</v>
      </c>
      <c r="AL1036" s="40">
        <f>IFERROR(VLOOKUP(Tabela3[[#This Row],[Produto]],Tabela2[],15,0),0)</f>
        <v>0</v>
      </c>
      <c r="AM1036" s="36">
        <f ca="1">(Tabela3[[#This Row],[Custo Usinagem]]+Tabela3[[#This Row],[Custo / Pç]])*1.2</f>
        <v>24.996115181367177</v>
      </c>
      <c r="AN1036" s="36">
        <f ca="1">Tabela3[[#This Row],[Valor Mínimo Venda]]*1.15</f>
        <v>28.745532458572253</v>
      </c>
      <c r="AO1036" s="36">
        <f ca="1">Tabela3[[#This Row],[Tabela 1]]*1.08</f>
        <v>31.045175055258035</v>
      </c>
      <c r="AP1036" s="36">
        <f ca="1">Tabela3[[#This Row],[Tabela 2]]*1.15</f>
        <v>35.701951313546736</v>
      </c>
    </row>
    <row r="1037" spans="1:42">
      <c r="A1037" s="9">
        <v>46099</v>
      </c>
      <c r="B1037" s="9" t="s">
        <v>107</v>
      </c>
      <c r="C1037" s="14">
        <v>9241</v>
      </c>
      <c r="D1037" s="6" t="s">
        <v>46</v>
      </c>
      <c r="E1037" s="6" t="s">
        <v>44</v>
      </c>
      <c r="F1037" s="6">
        <v>2</v>
      </c>
      <c r="G1037" s="15">
        <v>8.3333333333333332E-3</v>
      </c>
      <c r="H1037" s="16">
        <v>0</v>
      </c>
      <c r="I1037" s="35">
        <f ca="1">IFERROR(Tabela3[[#This Row],[Custo Total]]/Tabela3[[#This Row],[Aluminio Util]],0)</f>
        <v>27.301332002707074</v>
      </c>
      <c r="J1037" s="35">
        <f ca="1">Tabela3[[#This Row],[Custo Total]]/Tabela3[[#This Row],[Realizado]]</f>
        <v>4.3682131204331318</v>
      </c>
      <c r="K1037" s="37">
        <f>IFERROR(Tabela3[[#This Row],[Qtde Cx Produzida]]/Tabela3[[#This Row],[Tempo]]/24,0)</f>
        <v>10</v>
      </c>
      <c r="L1037" s="37">
        <f>Tabela3[[#This Row],[Qtde Cx Produzida]]*Tabela3[[#This Row],[Qdt Peça Placa]]</f>
        <v>20</v>
      </c>
      <c r="M1037" s="37">
        <f>Tabela3[[#This Row],[Previsto]]-Tabela3[[#This Row],[Perda Pçs]]</f>
        <v>20</v>
      </c>
      <c r="N1037" s="38">
        <f>IFERROR(Tabela3[[#This Row],[Perda Pçs]]/Tabela3[[#This Row],[Previsto]],0)</f>
        <v>0</v>
      </c>
      <c r="O1037" s="39">
        <f>IFERROR(IF(Tabela3[[#This Row],[Qtde Cx Produzida]] &lt;&gt; 0, Tabela3[[#This Row],[Tempo]] / Tabela3[[#This Row],[Qtde Cx Produzida]], 0),0)</f>
        <v>4.1666666666666666E-3</v>
      </c>
      <c r="P1037" s="57">
        <f>IFERROR(Tabela3[[#This Row],[Perda Pçs]]/Tabela3[[#This Row],[Qdt Peça Placa]],0)</f>
        <v>0</v>
      </c>
      <c r="Q1037" s="37">
        <f>IFERROR(Tabela3[[#This Row],[Realizado]]*Tabela3[[#This Row],[Peso Util/Pç]],0)</f>
        <v>3.2</v>
      </c>
      <c r="R1037" s="37">
        <f>IFERROR(Tabela3[[#This Row],[Peso Total Galho]]*Tabela3[[#This Row],[Qtde Cx Produzida]]*1.055,0)</f>
        <v>5.2749999999999995</v>
      </c>
      <c r="S1037" s="37">
        <f>(Tabela3[[#This Row],[Aluminio Bruto]]-Tabela3[[#This Row],[Aluminio Util]])*0.9</f>
        <v>1.8674999999999995</v>
      </c>
      <c r="T1037" s="37">
        <f>Tabela3[[#This Row],[Aluminio Bruto]]/OleoKGAluminio</f>
        <v>2.2191856794905274</v>
      </c>
      <c r="U1037" s="35">
        <f>IFERROR((VLOOKUP(Tabela3[[#This Row],[Moldador]],Tabela1[],5,)+(VLOOKUP(Tabela3[[#This Row],[Ajudante]],Tabela1[],5,))*3.5),0)</f>
        <v>126.0945</v>
      </c>
      <c r="V1037" s="35">
        <f>IFERROR(Tabela3[[#This Row],[Custo M.O. / H]]/((Tabela3[[#This Row],[Realizado]]/Tabela3[[#This Row],[Qdt Peça Placa]])/Tabela3[[#This Row],[Tempo]]/24),)</f>
        <v>12.609449999999999</v>
      </c>
      <c r="W1037" s="35">
        <f>Tabela3[[#This Row],[Custo / Cx Moldada]]*Tabela3[[#This Row],[Qtde Cx Produzida]]</f>
        <v>25.218899999999998</v>
      </c>
      <c r="X1037" s="35">
        <f ca="1">Tabela3[[#This Row],[Aluminio Util]]*Tabela3[[#This Row],[Custo/Kg]]</f>
        <v>56.320000000000007</v>
      </c>
      <c r="Y1037" s="35">
        <f>IFERROR(VLOOKUP(Tabela3[[#This Row],[Data]],Tabela461213[],2,1)*(Tabela3[[#This Row],[Qtde Cx Produzida]]*Tabela3[[#This Row],[Qde macho / CX]]*Tabela3[[#This Row],[Peso Macho]]),)</f>
        <v>0</v>
      </c>
      <c r="Z1037" s="35">
        <f>IFERROR(Tabela3[[#This Row],[Qtde Oleo]]*(VLOOKUP(Tabela3[[#This Row],[Data]],CompraOleo[],3,TRUE))*1.05,0)</f>
        <v>5.8253624086626346</v>
      </c>
      <c r="AA1037" s="47">
        <f ca="1">(Tabela3[[#This Row],[Custo Oleo]]+Tabela3[[#This Row],[Custo Aluminio]]+Tabela3[[#This Row],[Custo M.O. Total]]+Tabela3[[#This Row],[Custo Machos]])</f>
        <v>87.36426240866264</v>
      </c>
      <c r="AB1037" s="47">
        <f ca="1">Tabela3[[#This Row],[Custo Total]]*Tabela3[[#This Row],[% Perda]]</f>
        <v>0</v>
      </c>
      <c r="AC1037" s="40">
        <f>IFERROR(VLOOKUP(Tabela3[[#This Row],[Produto]],Tabela2[],2,0),0)</f>
        <v>10</v>
      </c>
      <c r="AD1037" s="48">
        <f>IFERROR(VLOOKUP(Tabela3[[#This Row],[Produto]],Tabela2[],3,0),0)</f>
        <v>0.16</v>
      </c>
      <c r="AE1037" s="48">
        <f>IFERROR(VLOOKUP(Tabela3[[#This Row],[Produto]],Tabela2[],4,0),0)</f>
        <v>2.5</v>
      </c>
      <c r="AF1037" s="48">
        <f>IFERROR(VLOOKUP(Tabela3[[#This Row],[Produto]],Tabela2[],5,0),0)</f>
        <v>0.80999999999999994</v>
      </c>
      <c r="AG1037" s="48">
        <f>IFERROR(VLOOKUP(Tabela3[[#This Row],[Produto]],Tabela2[],6,0),0)</f>
        <v>0</v>
      </c>
      <c r="AH1037" s="40">
        <f>IFERROR(VLOOKUP(Tabela3[[#This Row],[Produto]],Tabela2[],7,0),0)</f>
        <v>0</v>
      </c>
      <c r="AI1037" s="40">
        <f>IFERROR(VLOOKUP(Tabela3[[#This Row],[Produto]],Tabela2[],8,0),0)</f>
        <v>0</v>
      </c>
      <c r="AJ1037" s="35">
        <f ca="1">IFERROR(VLOOKUP(Tabela3[[#This Row],[Produto]],Tabela2[],13,0),0)</f>
        <v>17.600000000000001</v>
      </c>
      <c r="AK1037" s="48" t="str">
        <f>IFERROR(VLOOKUP(Tabela3[[#This Row],[Produto]],Tabela2[],14,0),0)</f>
        <v>MGA</v>
      </c>
      <c r="AL1037" s="40">
        <f>IFERROR(VLOOKUP(Tabela3[[#This Row],[Produto]],Tabela2[],15,0),0)</f>
        <v>0</v>
      </c>
      <c r="AM1037" s="36">
        <f ca="1">(Tabela3[[#This Row],[Custo Usinagem]]+Tabela3[[#This Row],[Custo / Pç]])*1.2</f>
        <v>5.241855744519758</v>
      </c>
      <c r="AN1037" s="36">
        <f ca="1">Tabela3[[#This Row],[Valor Mínimo Venda]]*1.15</f>
        <v>6.0281341061977214</v>
      </c>
      <c r="AO1037" s="36">
        <f ca="1">Tabela3[[#This Row],[Tabela 1]]*1.08</f>
        <v>6.5103848346935393</v>
      </c>
      <c r="AP1037" s="36">
        <f ca="1">Tabela3[[#This Row],[Tabela 2]]*1.15</f>
        <v>7.4869425598975701</v>
      </c>
    </row>
    <row r="1038" spans="1:42">
      <c r="A1038" s="9">
        <v>46099</v>
      </c>
      <c r="B1038" s="9" t="s">
        <v>179</v>
      </c>
      <c r="C1038" s="14">
        <v>9242</v>
      </c>
      <c r="D1038" s="6" t="s">
        <v>44</v>
      </c>
      <c r="E1038" s="6" t="s">
        <v>47</v>
      </c>
      <c r="F1038" s="6">
        <v>4</v>
      </c>
      <c r="G1038" s="15">
        <v>4.3055555555555555E-2</v>
      </c>
      <c r="H1038" s="16">
        <v>0</v>
      </c>
      <c r="I1038" s="35">
        <f ca="1">IFERROR(Tabela3[[#This Row],[Custo Total]]/Tabela3[[#This Row],[Aluminio Util]],0)</f>
        <v>22.65405174785446</v>
      </c>
      <c r="J1038" s="35">
        <f ca="1">Tabela3[[#This Row],[Custo Total]]/Tabela3[[#This Row],[Realizado]]</f>
        <v>156.99257861263141</v>
      </c>
      <c r="K1038" s="37">
        <f>IFERROR(Tabela3[[#This Row],[Qtde Cx Produzida]]/Tabela3[[#This Row],[Tempo]]/24,0)</f>
        <v>3.870967741935484</v>
      </c>
      <c r="L1038" s="37">
        <f>Tabela3[[#This Row],[Qtde Cx Produzida]]*Tabela3[[#This Row],[Qdt Peça Placa]]</f>
        <v>4</v>
      </c>
      <c r="M1038" s="37">
        <f>Tabela3[[#This Row],[Previsto]]-Tabela3[[#This Row],[Perda Pçs]]</f>
        <v>4</v>
      </c>
      <c r="N1038" s="38">
        <f>IFERROR(Tabela3[[#This Row],[Perda Pçs]]/Tabela3[[#This Row],[Previsto]],0)</f>
        <v>0</v>
      </c>
      <c r="O1038" s="39">
        <f>IFERROR(IF(Tabela3[[#This Row],[Qtde Cx Produzida]] &lt;&gt; 0, Tabela3[[#This Row],[Tempo]] / Tabela3[[#This Row],[Qtde Cx Produzida]], 0),0)</f>
        <v>1.0763888888888889E-2</v>
      </c>
      <c r="P1038" s="57">
        <f>IFERROR(Tabela3[[#This Row],[Perda Pçs]]/Tabela3[[#This Row],[Qdt Peça Placa]],0)</f>
        <v>0</v>
      </c>
      <c r="Q1038" s="37">
        <f>IFERROR(Tabela3[[#This Row],[Realizado]]*Tabela3[[#This Row],[Peso Util/Pç]],0)</f>
        <v>27.72</v>
      </c>
      <c r="R1038" s="37">
        <f>IFERROR(Tabela3[[#This Row],[Peso Total Galho]]*Tabela3[[#This Row],[Qtde Cx Produzida]]*1.055,0)</f>
        <v>33.338000000000001</v>
      </c>
      <c r="S1038" s="37">
        <f>(Tabela3[[#This Row],[Aluminio Bruto]]-Tabela3[[#This Row],[Aluminio Util]])*0.9</f>
        <v>5.0562000000000022</v>
      </c>
      <c r="T1038" s="37">
        <f>Tabela3[[#This Row],[Aluminio Bruto]]/OleoKGAluminio</f>
        <v>14.025253494380134</v>
      </c>
      <c r="U1038" s="35">
        <f>IFERROR((VLOOKUP(Tabela3[[#This Row],[Moldador]],Tabela1[],5,)+(VLOOKUP(Tabela3[[#This Row],[Ajudante]],Tabela1[],5,))*3.5),0)</f>
        <v>99.95034583333333</v>
      </c>
      <c r="V1038" s="35">
        <f>IFERROR(Tabela3[[#This Row],[Custo M.O. / H]]/((Tabela3[[#This Row],[Realizado]]/Tabela3[[#This Row],[Qdt Peça Placa]])/Tabela3[[#This Row],[Tempo]]/24),)</f>
        <v>25.820506006944441</v>
      </c>
      <c r="W1038" s="35">
        <f>Tabela3[[#This Row],[Custo / Cx Moldada]]*Tabela3[[#This Row],[Qtde Cx Produzida]]</f>
        <v>103.28202402777777</v>
      </c>
      <c r="X1038" s="35">
        <f ca="1">Tabela3[[#This Row],[Aluminio Util]]*Tabela3[[#This Row],[Custo/Kg]]</f>
        <v>487.87200000000001</v>
      </c>
      <c r="Y1038" s="35">
        <f>IFERROR(VLOOKUP(Tabela3[[#This Row],[Data]],Tabela461213[],2,1)*(Tabela3[[#This Row],[Qtde Cx Produzida]]*Tabela3[[#This Row],[Qde macho / CX]]*Tabela3[[#This Row],[Peso Macho]]),)</f>
        <v>0</v>
      </c>
      <c r="Z1038" s="35">
        <f>IFERROR(Tabela3[[#This Row],[Qtde Oleo]]*(VLOOKUP(Tabela3[[#This Row],[Data]],CompraOleo[],3,TRUE))*1.05,0)</f>
        <v>36.816290422747855</v>
      </c>
      <c r="AA1038" s="47">
        <f ca="1">(Tabela3[[#This Row],[Custo Oleo]]+Tabela3[[#This Row],[Custo Aluminio]]+Tabela3[[#This Row],[Custo M.O. Total]]+Tabela3[[#This Row],[Custo Machos]])</f>
        <v>627.97031445052562</v>
      </c>
      <c r="AB1038" s="47">
        <f ca="1">Tabela3[[#This Row],[Custo Total]]*Tabela3[[#This Row],[% Perda]]</f>
        <v>0</v>
      </c>
      <c r="AC1038" s="40">
        <f>IFERROR(VLOOKUP(Tabela3[[#This Row],[Produto]],Tabela2[],2,0),0)</f>
        <v>1</v>
      </c>
      <c r="AD1038" s="48">
        <f>IFERROR(VLOOKUP(Tabela3[[#This Row],[Produto]],Tabela2[],3,0),0)</f>
        <v>6.93</v>
      </c>
      <c r="AE1038" s="48">
        <f>IFERROR(VLOOKUP(Tabela3[[#This Row],[Produto]],Tabela2[],4,0),0)</f>
        <v>7.9</v>
      </c>
      <c r="AF1038" s="48">
        <f>IFERROR(VLOOKUP(Tabela3[[#This Row],[Produto]],Tabela2[],5,0),0)</f>
        <v>0.87300000000000055</v>
      </c>
      <c r="AG1038" s="48">
        <f>IFERROR(VLOOKUP(Tabela3[[#This Row],[Produto]],Tabela2[],6,0),0)</f>
        <v>0</v>
      </c>
      <c r="AH1038" s="40">
        <f>IFERROR(VLOOKUP(Tabela3[[#This Row],[Produto]],Tabela2[],7,0),0)</f>
        <v>0</v>
      </c>
      <c r="AI1038" s="40">
        <f>IFERROR(VLOOKUP(Tabela3[[#This Row],[Produto]],Tabela2[],8,0),0)</f>
        <v>0</v>
      </c>
      <c r="AJ1038" s="35">
        <f ca="1">IFERROR(VLOOKUP(Tabela3[[#This Row],[Produto]],Tabela2[],13,0),0)</f>
        <v>17.600000000000001</v>
      </c>
      <c r="AK1038" s="48" t="str">
        <f>IFERROR(VLOOKUP(Tabela3[[#This Row],[Produto]],Tabela2[],14,0),0)</f>
        <v>Oscar</v>
      </c>
      <c r="AL1038" s="40">
        <f>IFERROR(VLOOKUP(Tabela3[[#This Row],[Produto]],Tabela2[],15,0),0)</f>
        <v>0</v>
      </c>
      <c r="AM1038" s="36">
        <f ca="1">(Tabela3[[#This Row],[Custo Usinagem]]+Tabela3[[#This Row],[Custo / Pç]])*1.2</f>
        <v>188.39109433515767</v>
      </c>
      <c r="AN1038" s="36">
        <f ca="1">Tabela3[[#This Row],[Valor Mínimo Venda]]*1.15</f>
        <v>216.64975848543131</v>
      </c>
      <c r="AO1038" s="36">
        <f ca="1">Tabela3[[#This Row],[Tabela 1]]*1.08</f>
        <v>233.98173916426583</v>
      </c>
      <c r="AP1038" s="36">
        <f ca="1">Tabela3[[#This Row],[Tabela 2]]*1.15</f>
        <v>269.07900003890569</v>
      </c>
    </row>
    <row r="1039" spans="1:42">
      <c r="A1039" s="9">
        <v>46100</v>
      </c>
      <c r="B1039" s="9" t="s">
        <v>133</v>
      </c>
      <c r="C1039" s="14">
        <v>9229</v>
      </c>
      <c r="D1039" s="6" t="s">
        <v>46</v>
      </c>
      <c r="E1039" s="6" t="s">
        <v>44</v>
      </c>
      <c r="F1039" s="6">
        <v>34</v>
      </c>
      <c r="G1039" s="15">
        <v>0.14444444444444443</v>
      </c>
      <c r="H1039" s="16">
        <v>0</v>
      </c>
      <c r="I1039" s="35">
        <f ca="1">IFERROR(Tabela3[[#This Row],[Custo Total]]/Tabela3[[#This Row],[Aluminio Util]],0)</f>
        <v>35.609133263031758</v>
      </c>
      <c r="J1039" s="35">
        <f ca="1">Tabela3[[#This Row],[Custo Total]]/Tabela3[[#This Row],[Realizado]]</f>
        <v>9.4720294479664489</v>
      </c>
      <c r="K1039" s="37">
        <f>IFERROR(Tabela3[[#This Row],[Qtde Cx Produzida]]/Tabela3[[#This Row],[Tempo]]/24,0)</f>
        <v>9.8076923076923084</v>
      </c>
      <c r="L1039" s="37">
        <f>Tabela3[[#This Row],[Qtde Cx Produzida]]*Tabela3[[#This Row],[Qdt Peça Placa]]</f>
        <v>102</v>
      </c>
      <c r="M1039" s="37">
        <f>Tabela3[[#This Row],[Previsto]]-Tabela3[[#This Row],[Perda Pçs]]</f>
        <v>102</v>
      </c>
      <c r="N1039" s="38">
        <f>IFERROR(Tabela3[[#This Row],[Perda Pçs]]/Tabela3[[#This Row],[Previsto]],0)</f>
        <v>0</v>
      </c>
      <c r="O1039" s="39">
        <f>IFERROR(IF(Tabela3[[#This Row],[Qtde Cx Produzida]] &lt;&gt; 0, Tabela3[[#This Row],[Tempo]] / Tabela3[[#This Row],[Qtde Cx Produzida]], 0),0)</f>
        <v>4.2483660130718951E-3</v>
      </c>
      <c r="P1039" s="57">
        <f>IFERROR(Tabela3[[#This Row],[Perda Pçs]]/Tabela3[[#This Row],[Qdt Peça Placa]],0)</f>
        <v>0</v>
      </c>
      <c r="Q1039" s="37">
        <f>IFERROR(Tabela3[[#This Row],[Realizado]]*Tabela3[[#This Row],[Peso Util/Pç]],0)</f>
        <v>27.132000000000001</v>
      </c>
      <c r="R1039" s="37">
        <f>IFERROR(Tabela3[[#This Row],[Peso Total Galho]]*Tabela3[[#This Row],[Qtde Cx Produzida]]*1.055,0)</f>
        <v>46.631</v>
      </c>
      <c r="S1039" s="37">
        <f>(Tabela3[[#This Row],[Aluminio Bruto]]-Tabela3[[#This Row],[Aluminio Util]])*0.9</f>
        <v>17.549099999999999</v>
      </c>
      <c r="T1039" s="37">
        <f>Tabela3[[#This Row],[Aluminio Bruto]]/OleoKGAluminio</f>
        <v>19.617601406696263</v>
      </c>
      <c r="U1039" s="35">
        <f>IFERROR((VLOOKUP(Tabela3[[#This Row],[Moldador]],Tabela1[],5,)+(VLOOKUP(Tabela3[[#This Row],[Ajudante]],Tabela1[],5,))*3.5),0)</f>
        <v>126.0945</v>
      </c>
      <c r="V1039" s="35">
        <f>IFERROR(Tabela3[[#This Row],[Custo M.O. / H]]/((Tabela3[[#This Row],[Realizado]]/Tabela3[[#This Row],[Qdt Peça Placa]])/Tabela3[[#This Row],[Tempo]]/24),)</f>
        <v>12.856694117647057</v>
      </c>
      <c r="W1039" s="35">
        <f>Tabela3[[#This Row],[Custo / Cx Moldada]]*Tabela3[[#This Row],[Qtde Cx Produzida]]</f>
        <v>437.12759999999997</v>
      </c>
      <c r="X1039" s="35">
        <f ca="1">Tabela3[[#This Row],[Aluminio Util]]*Tabela3[[#This Row],[Custo/Kg]]</f>
        <v>477.52320000000009</v>
      </c>
      <c r="Y1039" s="35">
        <f>IFERROR(VLOOKUP(Tabela3[[#This Row],[Data]],Tabela461213[],2,1)*(Tabela3[[#This Row],[Qtde Cx Produzida]]*Tabela3[[#This Row],[Qde macho / CX]]*Tabela3[[#This Row],[Peso Macho]]),)</f>
        <v>0</v>
      </c>
      <c r="Z1039" s="35">
        <f>IFERROR(Tabela3[[#This Row],[Qtde Oleo]]*(VLOOKUP(Tabela3[[#This Row],[Data]],CompraOleo[],3,TRUE))*1.05,0)</f>
        <v>51.496203692577694</v>
      </c>
      <c r="AA1039" s="47">
        <f ca="1">(Tabela3[[#This Row],[Custo Oleo]]+Tabela3[[#This Row],[Custo Aluminio]]+Tabela3[[#This Row],[Custo M.O. Total]]+Tabela3[[#This Row],[Custo Machos]])</f>
        <v>966.14700369257775</v>
      </c>
      <c r="AB1039" s="47">
        <f ca="1">Tabela3[[#This Row],[Custo Total]]*Tabela3[[#This Row],[% Perda]]</f>
        <v>0</v>
      </c>
      <c r="AC1039" s="40">
        <f>IFERROR(VLOOKUP(Tabela3[[#This Row],[Produto]],Tabela2[],2,0),0)</f>
        <v>3</v>
      </c>
      <c r="AD1039" s="48">
        <f>IFERROR(VLOOKUP(Tabela3[[#This Row],[Produto]],Tabela2[],3,0),0)</f>
        <v>0.26600000000000001</v>
      </c>
      <c r="AE1039" s="48">
        <f>IFERROR(VLOOKUP(Tabela3[[#This Row],[Produto]],Tabela2[],4,0),0)</f>
        <v>1.3</v>
      </c>
      <c r="AF1039" s="48">
        <f>IFERROR(VLOOKUP(Tabela3[[#This Row],[Produto]],Tabela2[],5,0),0)</f>
        <v>0.45180000000000003</v>
      </c>
      <c r="AG1039" s="48">
        <f>IFERROR(VLOOKUP(Tabela3[[#This Row],[Produto]],Tabela2[],6,0),0)</f>
        <v>0</v>
      </c>
      <c r="AH1039" s="40">
        <f>IFERROR(VLOOKUP(Tabela3[[#This Row],[Produto]],Tabela2[],7,0),0)</f>
        <v>0</v>
      </c>
      <c r="AI1039" s="40">
        <f>IFERROR(VLOOKUP(Tabela3[[#This Row],[Produto]],Tabela2[],8,0),0)</f>
        <v>0</v>
      </c>
      <c r="AJ1039" s="35">
        <f ca="1">IFERROR(VLOOKUP(Tabela3[[#This Row],[Produto]],Tabela2[],13,0),0)</f>
        <v>17.600000000000001</v>
      </c>
      <c r="AK1039" s="48" t="str">
        <f>IFERROR(VLOOKUP(Tabela3[[#This Row],[Produto]],Tabela2[],14,0),0)</f>
        <v>Danilo</v>
      </c>
      <c r="AL1039" s="40">
        <f>IFERROR(VLOOKUP(Tabela3[[#This Row],[Produto]],Tabela2[],15,0),0)</f>
        <v>0</v>
      </c>
      <c r="AM1039" s="36">
        <f ca="1">(Tabela3[[#This Row],[Custo Usinagem]]+Tabela3[[#This Row],[Custo / Pç]])*1.2</f>
        <v>11.366435337559738</v>
      </c>
      <c r="AN1039" s="36">
        <f ca="1">Tabela3[[#This Row],[Valor Mínimo Venda]]*1.15</f>
        <v>13.071400638193698</v>
      </c>
      <c r="AO1039" s="36">
        <f ca="1">Tabela3[[#This Row],[Tabela 1]]*1.08</f>
        <v>14.117112689249195</v>
      </c>
      <c r="AP1039" s="36">
        <f ca="1">Tabela3[[#This Row],[Tabela 2]]*1.15</f>
        <v>16.234679592636574</v>
      </c>
    </row>
    <row r="1040" spans="1:42">
      <c r="A1040" s="9">
        <v>46100</v>
      </c>
      <c r="B1040" s="9" t="s">
        <v>97</v>
      </c>
      <c r="C1040" s="14">
        <v>9230</v>
      </c>
      <c r="D1040" s="6" t="s">
        <v>46</v>
      </c>
      <c r="E1040" s="6" t="s">
        <v>44</v>
      </c>
      <c r="F1040" s="6">
        <v>20</v>
      </c>
      <c r="G1040" s="15">
        <v>0.14791666666666667</v>
      </c>
      <c r="H1040" s="16">
        <v>0</v>
      </c>
      <c r="I1040" s="35">
        <f ca="1">IFERROR(Tabela3[[#This Row],[Custo Total]]/Tabela3[[#This Row],[Aluminio Util]],0)</f>
        <v>39.641717927974589</v>
      </c>
      <c r="J1040" s="35">
        <f ca="1">Tabela3[[#This Row],[Custo Total]]/Tabela3[[#This Row],[Realizado]]</f>
        <v>43.605889720772048</v>
      </c>
      <c r="K1040" s="37">
        <f>IFERROR(Tabela3[[#This Row],[Qtde Cx Produzida]]/Tabela3[[#This Row],[Tempo]]/24,0)</f>
        <v>5.6338028169014081</v>
      </c>
      <c r="L1040" s="37">
        <f>Tabela3[[#This Row],[Qtde Cx Produzida]]*Tabela3[[#This Row],[Qdt Peça Placa]]</f>
        <v>20</v>
      </c>
      <c r="M1040" s="37">
        <f>Tabela3[[#This Row],[Previsto]]-Tabela3[[#This Row],[Perda Pçs]]</f>
        <v>20</v>
      </c>
      <c r="N1040" s="38">
        <f>IFERROR(Tabela3[[#This Row],[Perda Pçs]]/Tabela3[[#This Row],[Previsto]],0)</f>
        <v>0</v>
      </c>
      <c r="O1040" s="39">
        <f>IFERROR(IF(Tabela3[[#This Row],[Qtde Cx Produzida]] &lt;&gt; 0, Tabela3[[#This Row],[Tempo]] / Tabela3[[#This Row],[Qtde Cx Produzida]], 0),0)</f>
        <v>7.3958333333333333E-3</v>
      </c>
      <c r="P1040" s="57">
        <f>IFERROR(Tabela3[[#This Row],[Perda Pçs]]/Tabela3[[#This Row],[Qdt Peça Placa]],0)</f>
        <v>0</v>
      </c>
      <c r="Q1040" s="37">
        <f>IFERROR(Tabela3[[#This Row],[Realizado]]*Tabela3[[#This Row],[Peso Util/Pç]],0)</f>
        <v>22</v>
      </c>
      <c r="R1040" s="37">
        <f>IFERROR(Tabela3[[#This Row],[Peso Total Galho]]*Tabela3[[#This Row],[Qtde Cx Produzida]]*1.055,0)</f>
        <v>33.76</v>
      </c>
      <c r="S1040" s="37">
        <f>(Tabela3[[#This Row],[Aluminio Bruto]]-Tabela3[[#This Row],[Aluminio Util]])*0.9</f>
        <v>10.583999999999998</v>
      </c>
      <c r="T1040" s="37">
        <f>Tabela3[[#This Row],[Aluminio Bruto]]/OleoKGAluminio</f>
        <v>14.202788348739375</v>
      </c>
      <c r="U1040" s="35">
        <f>IFERROR((VLOOKUP(Tabela3[[#This Row],[Moldador]],Tabela1[],5,)+(VLOOKUP(Tabela3[[#This Row],[Ajudante]],Tabela1[],5,))*3.5),0)</f>
        <v>126.0945</v>
      </c>
      <c r="V1040" s="35">
        <f>IFERROR(Tabela3[[#This Row],[Custo M.O. / H]]/((Tabela3[[#This Row],[Realizado]]/Tabela3[[#This Row],[Qdt Peça Placa]])/Tabela3[[#This Row],[Tempo]]/24),)</f>
        <v>22.381773750000001</v>
      </c>
      <c r="W1040" s="35">
        <f>Tabela3[[#This Row],[Custo / Cx Moldada]]*Tabela3[[#This Row],[Qtde Cx Produzida]]</f>
        <v>447.63547500000004</v>
      </c>
      <c r="X1040" s="35">
        <f ca="1">Tabela3[[#This Row],[Aluminio Util]]*Tabela3[[#This Row],[Custo/Kg]]</f>
        <v>387.20000000000005</v>
      </c>
      <c r="Y1040" s="35">
        <f>IFERROR(VLOOKUP(Tabela3[[#This Row],[Data]],Tabela461213[],2,1)*(Tabela3[[#This Row],[Qtde Cx Produzida]]*Tabela3[[#This Row],[Qde macho / CX]]*Tabela3[[#This Row],[Peso Macho]]),)</f>
        <v>0</v>
      </c>
      <c r="Z1040" s="35">
        <f>IFERROR(Tabela3[[#This Row],[Qtde Oleo]]*(VLOOKUP(Tabela3[[#This Row],[Data]],CompraOleo[],3,TRUE))*1.05,0)</f>
        <v>37.28231941544086</v>
      </c>
      <c r="AA1040" s="47">
        <f ca="1">(Tabela3[[#This Row],[Custo Oleo]]+Tabela3[[#This Row],[Custo Aluminio]]+Tabela3[[#This Row],[Custo M.O. Total]]+Tabela3[[#This Row],[Custo Machos]])</f>
        <v>872.11779441544093</v>
      </c>
      <c r="AB1040" s="47">
        <f ca="1">Tabela3[[#This Row],[Custo Total]]*Tabela3[[#This Row],[% Perda]]</f>
        <v>0</v>
      </c>
      <c r="AC1040" s="40">
        <f>IFERROR(VLOOKUP(Tabela3[[#This Row],[Produto]],Tabela2[],2,0),0)</f>
        <v>1</v>
      </c>
      <c r="AD1040" s="48">
        <f>IFERROR(VLOOKUP(Tabela3[[#This Row],[Produto]],Tabela2[],3,0),0)</f>
        <v>1.1000000000000001</v>
      </c>
      <c r="AE1040" s="48">
        <f>IFERROR(VLOOKUP(Tabela3[[#This Row],[Produto]],Tabela2[],4,0),0)</f>
        <v>1.6</v>
      </c>
      <c r="AF1040" s="48">
        <f>IFERROR(VLOOKUP(Tabela3[[#This Row],[Produto]],Tabela2[],5,0),0)</f>
        <v>0.45</v>
      </c>
      <c r="AG1040" s="48">
        <f>IFERROR(VLOOKUP(Tabela3[[#This Row],[Produto]],Tabela2[],6,0),0)</f>
        <v>0</v>
      </c>
      <c r="AH1040" s="40">
        <f>IFERROR(VLOOKUP(Tabela3[[#This Row],[Produto]],Tabela2[],7,0),0)</f>
        <v>0</v>
      </c>
      <c r="AI1040" s="40">
        <f>IFERROR(VLOOKUP(Tabela3[[#This Row],[Produto]],Tabela2[],8,0),0)</f>
        <v>0</v>
      </c>
      <c r="AJ1040" s="35">
        <f ca="1">IFERROR(VLOOKUP(Tabela3[[#This Row],[Produto]],Tabela2[],13,0),0)</f>
        <v>17.600000000000001</v>
      </c>
      <c r="AK1040" s="48" t="str">
        <f>IFERROR(VLOOKUP(Tabela3[[#This Row],[Produto]],Tabela2[],14,0),0)</f>
        <v>Danilo</v>
      </c>
      <c r="AL1040" s="40">
        <f>IFERROR(VLOOKUP(Tabela3[[#This Row],[Produto]],Tabela2[],15,0),0)</f>
        <v>0</v>
      </c>
      <c r="AM1040" s="36">
        <f ca="1">(Tabela3[[#This Row],[Custo Usinagem]]+Tabela3[[#This Row],[Custo / Pç]])*1.2</f>
        <v>52.327067664926453</v>
      </c>
      <c r="AN1040" s="36">
        <f ca="1">Tabela3[[#This Row],[Valor Mínimo Venda]]*1.15</f>
        <v>60.176127814665413</v>
      </c>
      <c r="AO1040" s="36">
        <f ca="1">Tabela3[[#This Row],[Tabela 1]]*1.08</f>
        <v>64.990218039838652</v>
      </c>
      <c r="AP1040" s="36">
        <f ca="1">Tabela3[[#This Row],[Tabela 2]]*1.15</f>
        <v>74.738750745814443</v>
      </c>
    </row>
    <row r="1041" spans="1:42">
      <c r="A1041" s="9">
        <v>46100</v>
      </c>
      <c r="B1041" s="9" t="s">
        <v>158</v>
      </c>
      <c r="C1041" s="14">
        <v>9235</v>
      </c>
      <c r="D1041" s="6" t="s">
        <v>46</v>
      </c>
      <c r="E1041" s="6" t="s">
        <v>44</v>
      </c>
      <c r="F1041" s="6">
        <v>12</v>
      </c>
      <c r="G1041" s="15">
        <v>6.1111111111111109E-2</v>
      </c>
      <c r="H1041" s="16">
        <v>0</v>
      </c>
      <c r="I1041" s="35">
        <f ca="1">IFERROR(Tabela3[[#This Row],[Custo Total]]/Tabela3[[#This Row],[Aluminio Util]],0)</f>
        <v>21.41133564718136</v>
      </c>
      <c r="J1041" s="35">
        <f ca="1">Tabela3[[#This Row],[Custo Total]]/Tabela3[[#This Row],[Realizado]]</f>
        <v>32.11700347077204</v>
      </c>
      <c r="K1041" s="37">
        <f>IFERROR(Tabela3[[#This Row],[Qtde Cx Produzida]]/Tabela3[[#This Row],[Tempo]]/24,0)</f>
        <v>8.1818181818181817</v>
      </c>
      <c r="L1041" s="37">
        <f>Tabela3[[#This Row],[Qtde Cx Produzida]]*Tabela3[[#This Row],[Qdt Peça Placa]]</f>
        <v>48</v>
      </c>
      <c r="M1041" s="37">
        <f>Tabela3[[#This Row],[Previsto]]-Tabela3[[#This Row],[Perda Pçs]]</f>
        <v>48</v>
      </c>
      <c r="N1041" s="38">
        <f>IFERROR(Tabela3[[#This Row],[Perda Pçs]]/Tabela3[[#This Row],[Previsto]],0)</f>
        <v>0</v>
      </c>
      <c r="O1041" s="39">
        <f>IFERROR(IF(Tabela3[[#This Row],[Qtde Cx Produzida]] &lt;&gt; 0, Tabela3[[#This Row],[Tempo]] / Tabela3[[#This Row],[Qtde Cx Produzida]], 0),0)</f>
        <v>5.0925925925925921E-3</v>
      </c>
      <c r="P1041" s="57">
        <f>IFERROR(Tabela3[[#This Row],[Perda Pçs]]/Tabela3[[#This Row],[Qdt Peça Placa]],0)</f>
        <v>0</v>
      </c>
      <c r="Q1041" s="37">
        <f>IFERROR(Tabela3[[#This Row],[Realizado]]*Tabela3[[#This Row],[Peso Util/Pç]],0)</f>
        <v>72</v>
      </c>
      <c r="R1041" s="37">
        <f>IFERROR(Tabela3[[#This Row],[Peso Total Galho]]*Tabela3[[#This Row],[Qtde Cx Produzida]]*1.055,0)</f>
        <v>81.024000000000001</v>
      </c>
      <c r="S1041" s="37">
        <f>(Tabela3[[#This Row],[Aluminio Bruto]]-Tabela3[[#This Row],[Aluminio Util]])*0.9</f>
        <v>8.1216000000000008</v>
      </c>
      <c r="T1041" s="37">
        <f>Tabela3[[#This Row],[Aluminio Bruto]]/OleoKGAluminio</f>
        <v>34.086692036974505</v>
      </c>
      <c r="U1041" s="35">
        <f>IFERROR((VLOOKUP(Tabela3[[#This Row],[Moldador]],Tabela1[],5,)+(VLOOKUP(Tabela3[[#This Row],[Ajudante]],Tabela1[],5,))*3.5),0)</f>
        <v>126.0945</v>
      </c>
      <c r="V1041" s="35">
        <f>IFERROR(Tabela3[[#This Row],[Custo M.O. / H]]/((Tabela3[[#This Row],[Realizado]]/Tabela3[[#This Row],[Qdt Peça Placa]])/Tabela3[[#This Row],[Tempo]]/24),)</f>
        <v>15.41155</v>
      </c>
      <c r="W1041" s="35">
        <f>Tabela3[[#This Row],[Custo / Cx Moldada]]*Tabela3[[#This Row],[Qtde Cx Produzida]]</f>
        <v>184.93860000000001</v>
      </c>
      <c r="X1041" s="35">
        <f ca="1">Tabela3[[#This Row],[Aluminio Util]]*Tabela3[[#This Row],[Custo/Kg]]</f>
        <v>1267.2</v>
      </c>
      <c r="Y1041" s="35">
        <f>IFERROR(VLOOKUP(Tabela3[[#This Row],[Data]],Tabela461213[],2,1)*(Tabela3[[#This Row],[Qtde Cx Produzida]]*Tabela3[[#This Row],[Qde macho / CX]]*Tabela3[[#This Row],[Peso Macho]]),)</f>
        <v>0</v>
      </c>
      <c r="Z1041" s="35">
        <f>IFERROR(Tabela3[[#This Row],[Qtde Oleo]]*(VLOOKUP(Tabela3[[#This Row],[Data]],CompraOleo[],3,TRUE))*1.05,0)</f>
        <v>89.477566597058086</v>
      </c>
      <c r="AA1041" s="47">
        <f ca="1">(Tabela3[[#This Row],[Custo Oleo]]+Tabela3[[#This Row],[Custo Aluminio]]+Tabela3[[#This Row],[Custo M.O. Total]]+Tabela3[[#This Row],[Custo Machos]])</f>
        <v>1541.6161665970581</v>
      </c>
      <c r="AB1041" s="47">
        <f ca="1">Tabela3[[#This Row],[Custo Total]]*Tabela3[[#This Row],[% Perda]]</f>
        <v>0</v>
      </c>
      <c r="AC1041" s="40">
        <f>IFERROR(VLOOKUP(Tabela3[[#This Row],[Produto]],Tabela2[],2,0),0)</f>
        <v>4</v>
      </c>
      <c r="AD1041" s="48">
        <f>IFERROR(VLOOKUP(Tabela3[[#This Row],[Produto]],Tabela2[],3,0),0)</f>
        <v>1.5</v>
      </c>
      <c r="AE1041" s="48">
        <f>IFERROR(VLOOKUP(Tabela3[[#This Row],[Produto]],Tabela2[],4,0),0)</f>
        <v>6.4</v>
      </c>
      <c r="AF1041" s="48">
        <f>IFERROR(VLOOKUP(Tabela3[[#This Row],[Produto]],Tabela2[],5,0),0)</f>
        <v>0.36000000000000032</v>
      </c>
      <c r="AG1041" s="48">
        <f>IFERROR(VLOOKUP(Tabela3[[#This Row],[Produto]],Tabela2[],6,0),0)</f>
        <v>0</v>
      </c>
      <c r="AH1041" s="40">
        <f>IFERROR(VLOOKUP(Tabela3[[#This Row],[Produto]],Tabela2[],7,0),0)</f>
        <v>0</v>
      </c>
      <c r="AI1041" s="40">
        <f>IFERROR(VLOOKUP(Tabela3[[#This Row],[Produto]],Tabela2[],8,0),0)</f>
        <v>0</v>
      </c>
      <c r="AJ1041" s="35">
        <f ca="1">IFERROR(VLOOKUP(Tabela3[[#This Row],[Produto]],Tabela2[],13,0),0)</f>
        <v>17.600000000000001</v>
      </c>
      <c r="AK1041" s="48" t="str">
        <f>IFERROR(VLOOKUP(Tabela3[[#This Row],[Produto]],Tabela2[],14,0),0)</f>
        <v>Danilo</v>
      </c>
      <c r="AL1041" s="40">
        <f>IFERROR(VLOOKUP(Tabela3[[#This Row],[Produto]],Tabela2[],15,0),0)</f>
        <v>0</v>
      </c>
      <c r="AM1041" s="36">
        <f ca="1">(Tabela3[[#This Row],[Custo Usinagem]]+Tabela3[[#This Row],[Custo / Pç]])*1.2</f>
        <v>38.54040416492645</v>
      </c>
      <c r="AN1041" s="36">
        <f ca="1">Tabela3[[#This Row],[Valor Mínimo Venda]]*1.15</f>
        <v>44.321464789665413</v>
      </c>
      <c r="AO1041" s="36">
        <f ca="1">Tabela3[[#This Row],[Tabela 1]]*1.08</f>
        <v>47.867181972838651</v>
      </c>
      <c r="AP1041" s="36">
        <f ca="1">Tabela3[[#This Row],[Tabela 2]]*1.15</f>
        <v>55.047259268764442</v>
      </c>
    </row>
    <row r="1042" spans="1:42">
      <c r="A1042" s="9">
        <v>46100</v>
      </c>
      <c r="B1042" s="9" t="s">
        <v>123</v>
      </c>
      <c r="C1042" s="14">
        <v>9239</v>
      </c>
      <c r="D1042" s="6" t="s">
        <v>46</v>
      </c>
      <c r="E1042" s="6" t="s">
        <v>44</v>
      </c>
      <c r="F1042" s="6">
        <v>2</v>
      </c>
      <c r="G1042" s="15">
        <v>2.0833333333333332E-2</v>
      </c>
      <c r="H1042" s="16">
        <v>0</v>
      </c>
      <c r="I1042" s="35">
        <f ca="1">IFERROR(Tabela3[[#This Row],[Custo Total]]/Tabela3[[#This Row],[Aluminio Util]],0)</f>
        <v>33.028204972995916</v>
      </c>
      <c r="J1042" s="35">
        <f ca="1">Tabela3[[#This Row],[Custo Total]]/Tabela3[[#This Row],[Realizado]]</f>
        <v>18.991217859472648</v>
      </c>
      <c r="K1042" s="37">
        <f>IFERROR(Tabela3[[#This Row],[Qtde Cx Produzida]]/Tabela3[[#This Row],[Tempo]]/24,0)</f>
        <v>4</v>
      </c>
      <c r="L1042" s="37">
        <f>Tabela3[[#This Row],[Qtde Cx Produzida]]*Tabela3[[#This Row],[Qdt Peça Placa]]</f>
        <v>8</v>
      </c>
      <c r="M1042" s="37">
        <f>Tabela3[[#This Row],[Previsto]]-Tabela3[[#This Row],[Perda Pçs]]</f>
        <v>8</v>
      </c>
      <c r="N1042" s="38">
        <f>IFERROR(Tabela3[[#This Row],[Perda Pçs]]/Tabela3[[#This Row],[Previsto]],0)</f>
        <v>0</v>
      </c>
      <c r="O1042" s="39">
        <f>IFERROR(IF(Tabela3[[#This Row],[Qtde Cx Produzida]] &lt;&gt; 0, Tabela3[[#This Row],[Tempo]] / Tabela3[[#This Row],[Qtde Cx Produzida]], 0),0)</f>
        <v>1.0416666666666666E-2</v>
      </c>
      <c r="P1042" s="57">
        <f>IFERROR(Tabela3[[#This Row],[Perda Pçs]]/Tabela3[[#This Row],[Qdt Peça Placa]],0)</f>
        <v>0</v>
      </c>
      <c r="Q1042" s="37">
        <f>IFERROR(Tabela3[[#This Row],[Realizado]]*Tabela3[[#This Row],[Peso Util/Pç]],0)</f>
        <v>4.5999999999999996</v>
      </c>
      <c r="R1042" s="37">
        <f>IFERROR(Tabela3[[#This Row],[Peso Total Galho]]*Tabela3[[#This Row],[Qtde Cx Produzida]]*1.055,0)</f>
        <v>7.1739999999999995</v>
      </c>
      <c r="S1042" s="37">
        <f>(Tabela3[[#This Row],[Aluminio Bruto]]-Tabela3[[#This Row],[Aluminio Util]])*0.9</f>
        <v>2.3165999999999998</v>
      </c>
      <c r="T1042" s="37">
        <f>Tabela3[[#This Row],[Aluminio Bruto]]/OleoKGAluminio</f>
        <v>3.018092524107117</v>
      </c>
      <c r="U1042" s="35">
        <f>IFERROR((VLOOKUP(Tabela3[[#This Row],[Moldador]],Tabela1[],5,)+(VLOOKUP(Tabela3[[#This Row],[Ajudante]],Tabela1[],5,))*3.5),0)</f>
        <v>126.0945</v>
      </c>
      <c r="V1042" s="35">
        <f>IFERROR(Tabela3[[#This Row],[Custo M.O. / H]]/((Tabela3[[#This Row],[Realizado]]/Tabela3[[#This Row],[Qdt Peça Placa]])/Tabela3[[#This Row],[Tempo]]/24),)</f>
        <v>31.523624999999999</v>
      </c>
      <c r="W1042" s="35">
        <f>Tabela3[[#This Row],[Custo / Cx Moldada]]*Tabela3[[#This Row],[Qtde Cx Produzida]]</f>
        <v>63.047249999999998</v>
      </c>
      <c r="X1042" s="35">
        <f ca="1">Tabela3[[#This Row],[Aluminio Util]]*Tabela3[[#This Row],[Custo/Kg]]</f>
        <v>80.959999999999994</v>
      </c>
      <c r="Y1042" s="35">
        <f>IFERROR(VLOOKUP(Tabela3[[#This Row],[Data]],Tabela461213[],2,1)*(Tabela3[[#This Row],[Qtde Cx Produzida]]*Tabela3[[#This Row],[Qde macho / CX]]*Tabela3[[#This Row],[Peso Macho]]),)</f>
        <v>0</v>
      </c>
      <c r="Z1042" s="35">
        <f>IFERROR(Tabela3[[#This Row],[Qtde Oleo]]*(VLOOKUP(Tabela3[[#This Row],[Data]],CompraOleo[],3,TRUE))*1.05,0)</f>
        <v>7.9224928757811828</v>
      </c>
      <c r="AA1042" s="47">
        <f ca="1">(Tabela3[[#This Row],[Custo Oleo]]+Tabela3[[#This Row],[Custo Aluminio]]+Tabela3[[#This Row],[Custo M.O. Total]]+Tabela3[[#This Row],[Custo Machos]])</f>
        <v>151.92974287578119</v>
      </c>
      <c r="AB1042" s="47">
        <f ca="1">Tabela3[[#This Row],[Custo Total]]*Tabela3[[#This Row],[% Perda]]</f>
        <v>0</v>
      </c>
      <c r="AC1042" s="40">
        <f>IFERROR(VLOOKUP(Tabela3[[#This Row],[Produto]],Tabela2[],2,0),0)</f>
        <v>4</v>
      </c>
      <c r="AD1042" s="48">
        <f>IFERROR(VLOOKUP(Tabela3[[#This Row],[Produto]],Tabela2[],3,0),0)</f>
        <v>0.57499999999999996</v>
      </c>
      <c r="AE1042" s="48">
        <f>IFERROR(VLOOKUP(Tabela3[[#This Row],[Produto]],Tabela2[],4,0),0)</f>
        <v>3.4</v>
      </c>
      <c r="AF1042" s="48">
        <f>IFERROR(VLOOKUP(Tabela3[[#This Row],[Produto]],Tabela2[],5,0),0)</f>
        <v>0.9900000000000001</v>
      </c>
      <c r="AG1042" s="48">
        <f>IFERROR(VLOOKUP(Tabela3[[#This Row],[Produto]],Tabela2[],6,0),0)</f>
        <v>0</v>
      </c>
      <c r="AH1042" s="40">
        <f>IFERROR(VLOOKUP(Tabela3[[#This Row],[Produto]],Tabela2[],7,0),0)</f>
        <v>0</v>
      </c>
      <c r="AI1042" s="40">
        <f>IFERROR(VLOOKUP(Tabela3[[#This Row],[Produto]],Tabela2[],8,0),0)</f>
        <v>0</v>
      </c>
      <c r="AJ1042" s="35">
        <f ca="1">IFERROR(VLOOKUP(Tabela3[[#This Row],[Produto]],Tabela2[],13,0),0)</f>
        <v>17.600000000000001</v>
      </c>
      <c r="AK1042" s="48" t="str">
        <f>IFERROR(VLOOKUP(Tabela3[[#This Row],[Produto]],Tabela2[],14,0),0)</f>
        <v>TPA/TEMPLA</v>
      </c>
      <c r="AL1042" s="40">
        <f>IFERROR(VLOOKUP(Tabela3[[#This Row],[Produto]],Tabela2[],15,0),0)</f>
        <v>0</v>
      </c>
      <c r="AM1042" s="36">
        <f ca="1">(Tabela3[[#This Row],[Custo Usinagem]]+Tabela3[[#This Row],[Custo / Pç]])*1.2</f>
        <v>22.789461431367176</v>
      </c>
      <c r="AN1042" s="36">
        <f ca="1">Tabela3[[#This Row],[Valor Mínimo Venda]]*1.15</f>
        <v>26.207880646072251</v>
      </c>
      <c r="AO1042" s="36">
        <f ca="1">Tabela3[[#This Row],[Tabela 1]]*1.08</f>
        <v>28.304511097758034</v>
      </c>
      <c r="AP1042" s="36">
        <f ca="1">Tabela3[[#This Row],[Tabela 2]]*1.15</f>
        <v>32.550187762421736</v>
      </c>
    </row>
    <row r="1043" spans="1:42">
      <c r="A1043" s="9">
        <v>46101</v>
      </c>
      <c r="B1043" s="9" t="s">
        <v>158</v>
      </c>
      <c r="C1043" s="14">
        <v>9235</v>
      </c>
      <c r="D1043" s="6" t="s">
        <v>46</v>
      </c>
      <c r="E1043" s="6" t="s">
        <v>44</v>
      </c>
      <c r="F1043" s="6">
        <v>5</v>
      </c>
      <c r="G1043" s="15">
        <v>2.2222222222222223E-2</v>
      </c>
      <c r="H1043" s="16">
        <v>0</v>
      </c>
      <c r="I1043" s="35">
        <f ca="1">IFERROR(Tabela3[[#This Row],[Custo Total]]/Tabela3[[#This Row],[Aluminio Util]],0)</f>
        <v>21.084423980514696</v>
      </c>
      <c r="J1043" s="35">
        <f ca="1">Tabela3[[#This Row],[Custo Total]]/Tabela3[[#This Row],[Realizado]]</f>
        <v>31.626635970772043</v>
      </c>
      <c r="K1043" s="37">
        <f>IFERROR(Tabela3[[#This Row],[Qtde Cx Produzida]]/Tabela3[[#This Row],[Tempo]]/24,0)</f>
        <v>9.375</v>
      </c>
      <c r="L1043" s="37">
        <f>Tabela3[[#This Row],[Qtde Cx Produzida]]*Tabela3[[#This Row],[Qdt Peça Placa]]</f>
        <v>20</v>
      </c>
      <c r="M1043" s="37">
        <f>Tabela3[[#This Row],[Previsto]]-Tabela3[[#This Row],[Perda Pçs]]</f>
        <v>20</v>
      </c>
      <c r="N1043" s="38">
        <f>IFERROR(Tabela3[[#This Row],[Perda Pçs]]/Tabela3[[#This Row],[Previsto]],0)</f>
        <v>0</v>
      </c>
      <c r="O1043" s="39">
        <f>IFERROR(IF(Tabela3[[#This Row],[Qtde Cx Produzida]] &lt;&gt; 0, Tabela3[[#This Row],[Tempo]] / Tabela3[[#This Row],[Qtde Cx Produzida]], 0),0)</f>
        <v>4.4444444444444444E-3</v>
      </c>
      <c r="P1043" s="57">
        <f>IFERROR(Tabela3[[#This Row],[Perda Pçs]]/Tabela3[[#This Row],[Qdt Peça Placa]],0)</f>
        <v>0</v>
      </c>
      <c r="Q1043" s="37">
        <f>IFERROR(Tabela3[[#This Row],[Realizado]]*Tabela3[[#This Row],[Peso Util/Pç]],0)</f>
        <v>30</v>
      </c>
      <c r="R1043" s="37">
        <f>IFERROR(Tabela3[[#This Row],[Peso Total Galho]]*Tabela3[[#This Row],[Qtde Cx Produzida]]*1.055,0)</f>
        <v>33.76</v>
      </c>
      <c r="S1043" s="37">
        <f>(Tabela3[[#This Row],[Aluminio Bruto]]-Tabela3[[#This Row],[Aluminio Util]])*0.9</f>
        <v>3.3839999999999981</v>
      </c>
      <c r="T1043" s="37">
        <f>Tabela3[[#This Row],[Aluminio Bruto]]/OleoKGAluminio</f>
        <v>14.202788348739375</v>
      </c>
      <c r="U1043" s="35">
        <f>IFERROR((VLOOKUP(Tabela3[[#This Row],[Moldador]],Tabela1[],5,)+(VLOOKUP(Tabela3[[#This Row],[Ajudante]],Tabela1[],5,))*3.5),0)</f>
        <v>126.0945</v>
      </c>
      <c r="V1043" s="35">
        <f>IFERROR(Tabela3[[#This Row],[Custo M.O. / H]]/((Tabela3[[#This Row],[Realizado]]/Tabela3[[#This Row],[Qdt Peça Placa]])/Tabela3[[#This Row],[Tempo]]/24),)</f>
        <v>13.45008</v>
      </c>
      <c r="W1043" s="35">
        <f>Tabela3[[#This Row],[Custo / Cx Moldada]]*Tabela3[[#This Row],[Qtde Cx Produzida]]</f>
        <v>67.250399999999999</v>
      </c>
      <c r="X1043" s="35">
        <f ca="1">Tabela3[[#This Row],[Aluminio Util]]*Tabela3[[#This Row],[Custo/Kg]]</f>
        <v>528</v>
      </c>
      <c r="Y1043" s="35">
        <f>IFERROR(VLOOKUP(Tabela3[[#This Row],[Data]],Tabela461213[],2,1)*(Tabela3[[#This Row],[Qtde Cx Produzida]]*Tabela3[[#This Row],[Qde macho / CX]]*Tabela3[[#This Row],[Peso Macho]]),)</f>
        <v>0</v>
      </c>
      <c r="Z1043" s="35">
        <f>IFERROR(Tabela3[[#This Row],[Qtde Oleo]]*(VLOOKUP(Tabela3[[#This Row],[Data]],CompraOleo[],3,TRUE))*1.05,0)</f>
        <v>37.28231941544086</v>
      </c>
      <c r="AA1043" s="47">
        <f ca="1">(Tabela3[[#This Row],[Custo Oleo]]+Tabela3[[#This Row],[Custo Aluminio]]+Tabela3[[#This Row],[Custo M.O. Total]]+Tabela3[[#This Row],[Custo Machos]])</f>
        <v>632.53271941544085</v>
      </c>
      <c r="AB1043" s="47">
        <f ca="1">Tabela3[[#This Row],[Custo Total]]*Tabela3[[#This Row],[% Perda]]</f>
        <v>0</v>
      </c>
      <c r="AC1043" s="40">
        <f>IFERROR(VLOOKUP(Tabela3[[#This Row],[Produto]],Tabela2[],2,0),0)</f>
        <v>4</v>
      </c>
      <c r="AD1043" s="48">
        <f>IFERROR(VLOOKUP(Tabela3[[#This Row],[Produto]],Tabela2[],3,0),0)</f>
        <v>1.5</v>
      </c>
      <c r="AE1043" s="48">
        <f>IFERROR(VLOOKUP(Tabela3[[#This Row],[Produto]],Tabela2[],4,0),0)</f>
        <v>6.4</v>
      </c>
      <c r="AF1043" s="48">
        <f>IFERROR(VLOOKUP(Tabela3[[#This Row],[Produto]],Tabela2[],5,0),0)</f>
        <v>0.36000000000000032</v>
      </c>
      <c r="AG1043" s="48">
        <f>IFERROR(VLOOKUP(Tabela3[[#This Row],[Produto]],Tabela2[],6,0),0)</f>
        <v>0</v>
      </c>
      <c r="AH1043" s="40">
        <f>IFERROR(VLOOKUP(Tabela3[[#This Row],[Produto]],Tabela2[],7,0),0)</f>
        <v>0</v>
      </c>
      <c r="AI1043" s="40">
        <f>IFERROR(VLOOKUP(Tabela3[[#This Row],[Produto]],Tabela2[],8,0),0)</f>
        <v>0</v>
      </c>
      <c r="AJ1043" s="35">
        <f ca="1">IFERROR(VLOOKUP(Tabela3[[#This Row],[Produto]],Tabela2[],13,0),0)</f>
        <v>17.600000000000001</v>
      </c>
      <c r="AK1043" s="48" t="str">
        <f>IFERROR(VLOOKUP(Tabela3[[#This Row],[Produto]],Tabela2[],14,0),0)</f>
        <v>Danilo</v>
      </c>
      <c r="AL1043" s="40">
        <f>IFERROR(VLOOKUP(Tabela3[[#This Row],[Produto]],Tabela2[],15,0),0)</f>
        <v>0</v>
      </c>
      <c r="AM1043" s="36">
        <f ca="1">(Tabela3[[#This Row],[Custo Usinagem]]+Tabela3[[#This Row],[Custo / Pç]])*1.2</f>
        <v>37.951963164926447</v>
      </c>
      <c r="AN1043" s="36">
        <f ca="1">Tabela3[[#This Row],[Valor Mínimo Venda]]*1.15</f>
        <v>43.644757639665407</v>
      </c>
      <c r="AO1043" s="36">
        <f ca="1">Tabela3[[#This Row],[Tabela 1]]*1.08</f>
        <v>47.136338250838641</v>
      </c>
      <c r="AP1043" s="36">
        <f ca="1">Tabela3[[#This Row],[Tabela 2]]*1.15</f>
        <v>54.206788988464432</v>
      </c>
    </row>
    <row r="1044" spans="1:42">
      <c r="A1044" s="9">
        <v>46101</v>
      </c>
      <c r="B1044" s="9" t="s">
        <v>247</v>
      </c>
      <c r="C1044" s="14">
        <v>9232</v>
      </c>
      <c r="D1044" s="6" t="s">
        <v>46</v>
      </c>
      <c r="E1044" s="6" t="s">
        <v>44</v>
      </c>
      <c r="F1044" s="6">
        <v>25</v>
      </c>
      <c r="G1044" s="15">
        <v>0.12638888888888888</v>
      </c>
      <c r="H1044" s="16">
        <v>13</v>
      </c>
      <c r="I1044" s="35">
        <f ca="1">IFERROR(Tabela3[[#This Row],[Custo Total]]/Tabela3[[#This Row],[Aluminio Util]],0)</f>
        <v>35.011168401755832</v>
      </c>
      <c r="J1044" s="35">
        <f ca="1">Tabela3[[#This Row],[Custo Total]]/Tabela3[[#This Row],[Realizado]]</f>
        <v>10.50335052052675</v>
      </c>
      <c r="K1044" s="37">
        <f>IFERROR(Tabela3[[#This Row],[Qtde Cx Produzida]]/Tabela3[[#This Row],[Tempo]]/24,0)</f>
        <v>8.2417582417582427</v>
      </c>
      <c r="L1044" s="37">
        <f>Tabela3[[#This Row],[Qtde Cx Produzida]]*Tabela3[[#This Row],[Qdt Peça Placa]]</f>
        <v>100</v>
      </c>
      <c r="M1044" s="37">
        <f>Tabela3[[#This Row],[Previsto]]-Tabela3[[#This Row],[Perda Pçs]]</f>
        <v>87</v>
      </c>
      <c r="N1044" s="38">
        <f>IFERROR(Tabela3[[#This Row],[Perda Pçs]]/Tabela3[[#This Row],[Previsto]],0)</f>
        <v>0.13</v>
      </c>
      <c r="O1044" s="39">
        <f>IFERROR(IF(Tabela3[[#This Row],[Qtde Cx Produzida]] &lt;&gt; 0, Tabela3[[#This Row],[Tempo]] / Tabela3[[#This Row],[Qtde Cx Produzida]], 0),0)</f>
        <v>5.0555555555555553E-3</v>
      </c>
      <c r="P1044" s="57">
        <f>IFERROR(Tabela3[[#This Row],[Perda Pçs]]/Tabela3[[#This Row],[Qdt Peça Placa]],0)</f>
        <v>3.25</v>
      </c>
      <c r="Q1044" s="37">
        <f>IFERROR(Tabela3[[#This Row],[Realizado]]*Tabela3[[#This Row],[Peso Util/Pç]],0)</f>
        <v>26.099999999999998</v>
      </c>
      <c r="R1044" s="37">
        <f>IFERROR(Tabela3[[#This Row],[Peso Total Galho]]*Tabela3[[#This Row],[Qtde Cx Produzida]]*1.055,0)</f>
        <v>60.662499999999987</v>
      </c>
      <c r="S1044" s="37">
        <f>(Tabela3[[#This Row],[Aluminio Bruto]]-Tabela3[[#This Row],[Aluminio Util]])*0.9</f>
        <v>31.106249999999989</v>
      </c>
      <c r="T1044" s="37">
        <f>Tabela3[[#This Row],[Aluminio Bruto]]/OleoKGAluminio</f>
        <v>25.52063531414106</v>
      </c>
      <c r="U1044" s="35">
        <f>IFERROR((VLOOKUP(Tabela3[[#This Row],[Moldador]],Tabela1[],5,)+(VLOOKUP(Tabela3[[#This Row],[Ajudante]],Tabela1[],5,))*3.5),0)</f>
        <v>126.0945</v>
      </c>
      <c r="V1044" s="35">
        <f>IFERROR(Tabela3[[#This Row],[Custo M.O. / H]]/((Tabela3[[#This Row],[Realizado]]/Tabela3[[#This Row],[Qdt Peça Placa]])/Tabela3[[#This Row],[Tempo]]/24),)</f>
        <v>17.585593103448275</v>
      </c>
      <c r="W1044" s="35">
        <f>Tabela3[[#This Row],[Custo / Cx Moldada]]*Tabela3[[#This Row],[Qtde Cx Produzida]]</f>
        <v>439.63982758620688</v>
      </c>
      <c r="X1044" s="35">
        <f ca="1">Tabela3[[#This Row],[Aluminio Util]]*Tabela3[[#This Row],[Custo/Kg]]</f>
        <v>407.16</v>
      </c>
      <c r="Y1044" s="35">
        <f>IFERROR(VLOOKUP(Tabela3[[#This Row],[Data]],Tabela461213[],2,1)*(Tabela3[[#This Row],[Qtde Cx Produzida]]*Tabela3[[#This Row],[Qde macho / CX]]*Tabela3[[#This Row],[Peso Macho]]),)</f>
        <v>0</v>
      </c>
      <c r="Z1044" s="35">
        <f>IFERROR(Tabela3[[#This Row],[Qtde Oleo]]*(VLOOKUP(Tabela3[[#This Row],[Data]],CompraOleo[],3,TRUE))*1.05,0)</f>
        <v>66.99166769962028</v>
      </c>
      <c r="AA1044" s="47">
        <f ca="1">(Tabela3[[#This Row],[Custo Oleo]]+Tabela3[[#This Row],[Custo Aluminio]]+Tabela3[[#This Row],[Custo M.O. Total]]+Tabela3[[#This Row],[Custo Machos]])</f>
        <v>913.79149528582718</v>
      </c>
      <c r="AB1044" s="47">
        <f ca="1">Tabela3[[#This Row],[Custo Total]]*Tabela3[[#This Row],[% Perda]]</f>
        <v>118.79289438715753</v>
      </c>
      <c r="AC1044" s="40">
        <f>IFERROR(VLOOKUP(Tabela3[[#This Row],[Produto]],Tabela2[],2,0),0)</f>
        <v>4</v>
      </c>
      <c r="AD1044" s="48">
        <f>IFERROR(VLOOKUP(Tabela3[[#This Row],[Produto]],Tabela2[],3,0),0)</f>
        <v>0.3</v>
      </c>
      <c r="AE1044" s="48">
        <f>IFERROR(VLOOKUP(Tabela3[[#This Row],[Produto]],Tabela2[],4,0),0)</f>
        <v>2.2999999999999998</v>
      </c>
      <c r="AF1044" s="48">
        <f>IFERROR(VLOOKUP(Tabela3[[#This Row],[Produto]],Tabela2[],5,0),0)</f>
        <v>0.98999999999999988</v>
      </c>
      <c r="AG1044" s="48">
        <f>IFERROR(VLOOKUP(Tabela3[[#This Row],[Produto]],Tabela2[],6,0),0)</f>
        <v>0</v>
      </c>
      <c r="AH1044" s="40">
        <f>IFERROR(VLOOKUP(Tabela3[[#This Row],[Produto]],Tabela2[],7,0),0)</f>
        <v>0</v>
      </c>
      <c r="AI1044" s="40">
        <f>IFERROR(VLOOKUP(Tabela3[[#This Row],[Produto]],Tabela2[],8,0),0)</f>
        <v>0</v>
      </c>
      <c r="AJ1044" s="35">
        <f ca="1">IFERROR(VLOOKUP(Tabela3[[#This Row],[Produto]],Tabela2[],13,0),0)</f>
        <v>15.600000000000001</v>
      </c>
      <c r="AK1044" s="48" t="str">
        <f>IFERROR(VLOOKUP(Tabela3[[#This Row],[Produto]],Tabela2[],14,0),0)</f>
        <v>Senun</v>
      </c>
      <c r="AL1044" s="40">
        <f>IFERROR(VLOOKUP(Tabela3[[#This Row],[Produto]],Tabela2[],15,0),0)</f>
        <v>3.5</v>
      </c>
      <c r="AM1044" s="36">
        <f ca="1">(Tabela3[[#This Row],[Custo Usinagem]]+Tabela3[[#This Row],[Custo / Pç]])*1.2</f>
        <v>16.804020624632098</v>
      </c>
      <c r="AN1044" s="36">
        <f ca="1">Tabela3[[#This Row],[Valor Mínimo Venda]]*1.15</f>
        <v>19.324623718326912</v>
      </c>
      <c r="AO1044" s="36">
        <f ca="1">Tabela3[[#This Row],[Tabela 1]]*1.08</f>
        <v>20.870593615793066</v>
      </c>
      <c r="AP1044" s="36">
        <f ca="1">Tabela3[[#This Row],[Tabela 2]]*1.15</f>
        <v>24.001182658162023</v>
      </c>
    </row>
    <row r="1045" spans="1:42">
      <c r="A1045" s="9">
        <v>46101</v>
      </c>
      <c r="B1045" s="9" t="s">
        <v>123</v>
      </c>
      <c r="C1045" s="14">
        <v>9239</v>
      </c>
      <c r="D1045" s="6" t="s">
        <v>46</v>
      </c>
      <c r="E1045" s="6" t="s">
        <v>44</v>
      </c>
      <c r="F1045" s="6">
        <v>2</v>
      </c>
      <c r="G1045" s="15">
        <v>2.013888888888889E-2</v>
      </c>
      <c r="H1045" s="16">
        <v>0</v>
      </c>
      <c r="I1045" s="35">
        <f ca="1">IFERROR(Tabela3[[#This Row],[Custo Total]]/Tabela3[[#This Row],[Aluminio Util]],0)</f>
        <v>32.571340842561128</v>
      </c>
      <c r="J1045" s="35">
        <f ca="1">Tabela3[[#This Row],[Custo Total]]/Tabela3[[#This Row],[Realizado]]</f>
        <v>18.728520984472645</v>
      </c>
      <c r="K1045" s="37">
        <f>IFERROR(Tabela3[[#This Row],[Qtde Cx Produzida]]/Tabela3[[#This Row],[Tempo]]/24,0)</f>
        <v>4.1379310344827589</v>
      </c>
      <c r="L1045" s="37">
        <f>Tabela3[[#This Row],[Qtde Cx Produzida]]*Tabela3[[#This Row],[Qdt Peça Placa]]</f>
        <v>8</v>
      </c>
      <c r="M1045" s="37">
        <f>Tabela3[[#This Row],[Previsto]]-Tabela3[[#This Row],[Perda Pçs]]</f>
        <v>8</v>
      </c>
      <c r="N1045" s="38">
        <f>IFERROR(Tabela3[[#This Row],[Perda Pçs]]/Tabela3[[#This Row],[Previsto]],0)</f>
        <v>0</v>
      </c>
      <c r="O1045" s="39">
        <f>IFERROR(IF(Tabela3[[#This Row],[Qtde Cx Produzida]] &lt;&gt; 0, Tabela3[[#This Row],[Tempo]] / Tabela3[[#This Row],[Qtde Cx Produzida]], 0),0)</f>
        <v>1.0069444444444445E-2</v>
      </c>
      <c r="P1045" s="57">
        <f>IFERROR(Tabela3[[#This Row],[Perda Pçs]]/Tabela3[[#This Row],[Qdt Peça Placa]],0)</f>
        <v>0</v>
      </c>
      <c r="Q1045" s="37">
        <f>IFERROR(Tabela3[[#This Row],[Realizado]]*Tabela3[[#This Row],[Peso Util/Pç]],0)</f>
        <v>4.5999999999999996</v>
      </c>
      <c r="R1045" s="37">
        <f>IFERROR(Tabela3[[#This Row],[Peso Total Galho]]*Tabela3[[#This Row],[Qtde Cx Produzida]]*1.055,0)</f>
        <v>7.1739999999999995</v>
      </c>
      <c r="S1045" s="37">
        <f>(Tabela3[[#This Row],[Aluminio Bruto]]-Tabela3[[#This Row],[Aluminio Util]])*0.9</f>
        <v>2.3165999999999998</v>
      </c>
      <c r="T1045" s="37">
        <f>Tabela3[[#This Row],[Aluminio Bruto]]/OleoKGAluminio</f>
        <v>3.018092524107117</v>
      </c>
      <c r="U1045" s="35">
        <f>IFERROR((VLOOKUP(Tabela3[[#This Row],[Moldador]],Tabela1[],5,)+(VLOOKUP(Tabela3[[#This Row],[Ajudante]],Tabela1[],5,))*3.5),0)</f>
        <v>126.0945</v>
      </c>
      <c r="V1045" s="35">
        <f>IFERROR(Tabela3[[#This Row],[Custo M.O. / H]]/((Tabela3[[#This Row],[Realizado]]/Tabela3[[#This Row],[Qdt Peça Placa]])/Tabela3[[#This Row],[Tempo]]/24),)</f>
        <v>30.472837499999997</v>
      </c>
      <c r="W1045" s="35">
        <f>Tabela3[[#This Row],[Custo / Cx Moldada]]*Tabela3[[#This Row],[Qtde Cx Produzida]]</f>
        <v>60.945674999999994</v>
      </c>
      <c r="X1045" s="35">
        <f ca="1">Tabela3[[#This Row],[Aluminio Util]]*Tabela3[[#This Row],[Custo/Kg]]</f>
        <v>80.959999999999994</v>
      </c>
      <c r="Y1045" s="35">
        <f>IFERROR(VLOOKUP(Tabela3[[#This Row],[Data]],Tabela461213[],2,1)*(Tabela3[[#This Row],[Qtde Cx Produzida]]*Tabela3[[#This Row],[Qde macho / CX]]*Tabela3[[#This Row],[Peso Macho]]),)</f>
        <v>0</v>
      </c>
      <c r="Z1045" s="35">
        <f>IFERROR(Tabela3[[#This Row],[Qtde Oleo]]*(VLOOKUP(Tabela3[[#This Row],[Data]],CompraOleo[],3,TRUE))*1.05,0)</f>
        <v>7.9224928757811828</v>
      </c>
      <c r="AA1045" s="47">
        <f ca="1">(Tabela3[[#This Row],[Custo Oleo]]+Tabela3[[#This Row],[Custo Aluminio]]+Tabela3[[#This Row],[Custo M.O. Total]]+Tabela3[[#This Row],[Custo Machos]])</f>
        <v>149.82816787578116</v>
      </c>
      <c r="AB1045" s="47">
        <f ca="1">Tabela3[[#This Row],[Custo Total]]*Tabela3[[#This Row],[% Perda]]</f>
        <v>0</v>
      </c>
      <c r="AC1045" s="40">
        <f>IFERROR(VLOOKUP(Tabela3[[#This Row],[Produto]],Tabela2[],2,0),0)</f>
        <v>4</v>
      </c>
      <c r="AD1045" s="48">
        <f>IFERROR(VLOOKUP(Tabela3[[#This Row],[Produto]],Tabela2[],3,0),0)</f>
        <v>0.57499999999999996</v>
      </c>
      <c r="AE1045" s="48">
        <f>IFERROR(VLOOKUP(Tabela3[[#This Row],[Produto]],Tabela2[],4,0),0)</f>
        <v>3.4</v>
      </c>
      <c r="AF1045" s="48">
        <f>IFERROR(VLOOKUP(Tabela3[[#This Row],[Produto]],Tabela2[],5,0),0)</f>
        <v>0.9900000000000001</v>
      </c>
      <c r="AG1045" s="48">
        <f>IFERROR(VLOOKUP(Tabela3[[#This Row],[Produto]],Tabela2[],6,0),0)</f>
        <v>0</v>
      </c>
      <c r="AH1045" s="40">
        <f>IFERROR(VLOOKUP(Tabela3[[#This Row],[Produto]],Tabela2[],7,0),0)</f>
        <v>0</v>
      </c>
      <c r="AI1045" s="40">
        <f>IFERROR(VLOOKUP(Tabela3[[#This Row],[Produto]],Tabela2[],8,0),0)</f>
        <v>0</v>
      </c>
      <c r="AJ1045" s="35">
        <f ca="1">IFERROR(VLOOKUP(Tabela3[[#This Row],[Produto]],Tabela2[],13,0),0)</f>
        <v>17.600000000000001</v>
      </c>
      <c r="AK1045" s="48" t="str">
        <f>IFERROR(VLOOKUP(Tabela3[[#This Row],[Produto]],Tabela2[],14,0),0)</f>
        <v>TPA/TEMPLA</v>
      </c>
      <c r="AL1045" s="40">
        <f>IFERROR(VLOOKUP(Tabela3[[#This Row],[Produto]],Tabela2[],15,0),0)</f>
        <v>0</v>
      </c>
      <c r="AM1045" s="36">
        <f ca="1">(Tabela3[[#This Row],[Custo Usinagem]]+Tabela3[[#This Row],[Custo / Pç]])*1.2</f>
        <v>22.474225181367174</v>
      </c>
      <c r="AN1045" s="36">
        <f ca="1">Tabela3[[#This Row],[Valor Mínimo Venda]]*1.15</f>
        <v>25.845358958572248</v>
      </c>
      <c r="AO1045" s="36">
        <f ca="1">Tabela3[[#This Row],[Tabela 1]]*1.08</f>
        <v>27.91298767525803</v>
      </c>
      <c r="AP1045" s="36">
        <f ca="1">Tabela3[[#This Row],[Tabela 2]]*1.15</f>
        <v>32.099935826546734</v>
      </c>
    </row>
    <row r="1046" spans="1:42">
      <c r="A1046" s="9">
        <v>46101</v>
      </c>
      <c r="B1046" s="9" t="s">
        <v>135</v>
      </c>
      <c r="C1046" s="14">
        <v>9240</v>
      </c>
      <c r="D1046" s="6" t="s">
        <v>46</v>
      </c>
      <c r="E1046" s="6" t="s">
        <v>44</v>
      </c>
      <c r="F1046" s="6">
        <v>20</v>
      </c>
      <c r="G1046" s="15">
        <v>0.1111111111111111</v>
      </c>
      <c r="H1046" s="16">
        <v>1</v>
      </c>
      <c r="I1046" s="35">
        <f ca="1">IFERROR(Tabela3[[#This Row],[Custo Total]]/Tabela3[[#This Row],[Aluminio Util]],0)</f>
        <v>30.979750551313309</v>
      </c>
      <c r="J1046" s="35">
        <f ca="1">Tabela3[[#This Row],[Custo Total]]/Tabela3[[#This Row],[Realizado]]</f>
        <v>54.834158475824566</v>
      </c>
      <c r="K1046" s="37">
        <f>IFERROR(Tabela3[[#This Row],[Qtde Cx Produzida]]/Tabela3[[#This Row],[Tempo]]/24,0)</f>
        <v>7.5</v>
      </c>
      <c r="L1046" s="37">
        <f>Tabela3[[#This Row],[Qtde Cx Produzida]]*Tabela3[[#This Row],[Qdt Peça Placa]]</f>
        <v>20</v>
      </c>
      <c r="M1046" s="37">
        <f>Tabela3[[#This Row],[Previsto]]-Tabela3[[#This Row],[Perda Pçs]]</f>
        <v>19</v>
      </c>
      <c r="N1046" s="38">
        <f>IFERROR(Tabela3[[#This Row],[Perda Pçs]]/Tabela3[[#This Row],[Previsto]],0)</f>
        <v>0.05</v>
      </c>
      <c r="O1046" s="39">
        <f>IFERROR(IF(Tabela3[[#This Row],[Qtde Cx Produzida]] &lt;&gt; 0, Tabela3[[#This Row],[Tempo]] / Tabela3[[#This Row],[Qtde Cx Produzida]], 0),0)</f>
        <v>5.5555555555555549E-3</v>
      </c>
      <c r="P1046" s="57">
        <f>IFERROR(Tabela3[[#This Row],[Perda Pçs]]/Tabela3[[#This Row],[Qdt Peça Placa]],0)</f>
        <v>1</v>
      </c>
      <c r="Q1046" s="37">
        <f>IFERROR(Tabela3[[#This Row],[Realizado]]*Tabela3[[#This Row],[Peso Util/Pç]],0)</f>
        <v>33.630000000000003</v>
      </c>
      <c r="R1046" s="37">
        <f>IFERROR(Tabela3[[#This Row],[Peso Total Galho]]*Tabela3[[#This Row],[Qtde Cx Produzida]]*1.055,0)</f>
        <v>66.042999999999992</v>
      </c>
      <c r="S1046" s="37">
        <f>(Tabela3[[#This Row],[Aluminio Bruto]]-Tabela3[[#This Row],[Aluminio Util]])*0.9</f>
        <v>29.171699999999991</v>
      </c>
      <c r="T1046" s="37">
        <f>Tabela3[[#This Row],[Aluminio Bruto]]/OleoKGAluminio</f>
        <v>27.784204707221399</v>
      </c>
      <c r="U1046" s="35">
        <f>IFERROR((VLOOKUP(Tabela3[[#This Row],[Moldador]],Tabela1[],5,)+(VLOOKUP(Tabela3[[#This Row],[Ajudante]],Tabela1[],5,))*3.5),0)</f>
        <v>126.0945</v>
      </c>
      <c r="V1046" s="35">
        <f>IFERROR(Tabela3[[#This Row],[Custo M.O. / H]]/((Tabela3[[#This Row],[Realizado]]/Tabela3[[#This Row],[Qdt Peça Placa]])/Tabela3[[#This Row],[Tempo]]/24),)</f>
        <v>17.697473684210525</v>
      </c>
      <c r="W1046" s="35">
        <f>Tabela3[[#This Row],[Custo / Cx Moldada]]*Tabela3[[#This Row],[Qtde Cx Produzida]]</f>
        <v>353.94947368421049</v>
      </c>
      <c r="X1046" s="35">
        <f ca="1">Tabela3[[#This Row],[Aluminio Util]]*Tabela3[[#This Row],[Custo/Kg]]</f>
        <v>524.62800000000004</v>
      </c>
      <c r="Y1046" s="35">
        <f>IFERROR(VLOOKUP(Tabela3[[#This Row],[Data]],Tabela461213[],2,1)*(Tabela3[[#This Row],[Qtde Cx Produzida]]*Tabela3[[#This Row],[Qde macho / CX]]*Tabela3[[#This Row],[Peso Macho]]),)</f>
        <v>90.337999999999994</v>
      </c>
      <c r="Z1046" s="35">
        <f>IFERROR(Tabela3[[#This Row],[Qtde Oleo]]*(VLOOKUP(Tabela3[[#This Row],[Data]],CompraOleo[],3,TRUE))*1.05,0)</f>
        <v>72.933537356456171</v>
      </c>
      <c r="AA1046" s="47">
        <f ca="1">(Tabela3[[#This Row],[Custo Oleo]]+Tabela3[[#This Row],[Custo Aluminio]]+Tabela3[[#This Row],[Custo M.O. Total]]+Tabela3[[#This Row],[Custo Machos]])</f>
        <v>1041.8490110406667</v>
      </c>
      <c r="AB1046" s="47">
        <f ca="1">Tabela3[[#This Row],[Custo Total]]*Tabela3[[#This Row],[% Perda]]</f>
        <v>52.092450552033341</v>
      </c>
      <c r="AC1046" s="40">
        <f>IFERROR(VLOOKUP(Tabela3[[#This Row],[Produto]],Tabela2[],2,0),0)</f>
        <v>1</v>
      </c>
      <c r="AD1046" s="48">
        <f>IFERROR(VLOOKUP(Tabela3[[#This Row],[Produto]],Tabela2[],3,0),0)</f>
        <v>1.77</v>
      </c>
      <c r="AE1046" s="48">
        <f>IFERROR(VLOOKUP(Tabela3[[#This Row],[Produto]],Tabela2[],4,0),0)</f>
        <v>3.13</v>
      </c>
      <c r="AF1046" s="48">
        <f>IFERROR(VLOOKUP(Tabela3[[#This Row],[Produto]],Tabela2[],5,0),0)</f>
        <v>1.224</v>
      </c>
      <c r="AG1046" s="48">
        <f>IFERROR(VLOOKUP(Tabela3[[#This Row],[Produto]],Tabela2[],6,0),0)</f>
        <v>0</v>
      </c>
      <c r="AH1046" s="40">
        <f>IFERROR(VLOOKUP(Tabela3[[#This Row],[Produto]],Tabela2[],7,0),0)</f>
        <v>1</v>
      </c>
      <c r="AI1046" s="40">
        <f>IFERROR(VLOOKUP(Tabela3[[#This Row],[Produto]],Tabela2[],8,0),0)</f>
        <v>2.657</v>
      </c>
      <c r="AJ1046" s="35">
        <f ca="1">IFERROR(VLOOKUP(Tabela3[[#This Row],[Produto]],Tabela2[],13,0),0)</f>
        <v>15.600000000000001</v>
      </c>
      <c r="AK1046" s="48" t="str">
        <f>IFERROR(VLOOKUP(Tabela3[[#This Row],[Produto]],Tabela2[],14,0),0)</f>
        <v>Jumil</v>
      </c>
      <c r="AL1046" s="40">
        <f>IFERROR(VLOOKUP(Tabela3[[#This Row],[Produto]],Tabela2[],15,0),0)</f>
        <v>10</v>
      </c>
      <c r="AM1046" s="36">
        <f ca="1">(Tabela3[[#This Row],[Custo Usinagem]]+Tabela3[[#This Row],[Custo / Pç]])*1.2</f>
        <v>77.800990170989479</v>
      </c>
      <c r="AN1046" s="36">
        <f ca="1">Tabela3[[#This Row],[Valor Mínimo Venda]]*1.15</f>
        <v>89.471138696637894</v>
      </c>
      <c r="AO1046" s="36">
        <f ca="1">Tabela3[[#This Row],[Tabela 1]]*1.08</f>
        <v>96.628829792368933</v>
      </c>
      <c r="AP1046" s="36">
        <f ca="1">Tabela3[[#This Row],[Tabela 2]]*1.15</f>
        <v>111.12315426122426</v>
      </c>
    </row>
    <row r="1047" spans="1:42">
      <c r="A1047" s="9">
        <v>46101</v>
      </c>
      <c r="B1047" s="9" t="s">
        <v>129</v>
      </c>
      <c r="C1047" s="14">
        <v>9243</v>
      </c>
      <c r="D1047" s="6" t="s">
        <v>46</v>
      </c>
      <c r="E1047" s="6" t="s">
        <v>44</v>
      </c>
      <c r="F1047" s="6">
        <v>5</v>
      </c>
      <c r="G1047" s="15">
        <v>2.7777777777777776E-2</v>
      </c>
      <c r="H1047" s="16">
        <v>0</v>
      </c>
      <c r="I1047" s="35">
        <f ca="1">IFERROR(Tabela3[[#This Row],[Custo Total]]/Tabela3[[#This Row],[Aluminio Util]],0)</f>
        <v>29.776099508846492</v>
      </c>
      <c r="J1047" s="35">
        <f ca="1">Tabela3[[#This Row],[Custo Total]]/Tabela3[[#This Row],[Realizado]]</f>
        <v>48.237281204331325</v>
      </c>
      <c r="K1047" s="37">
        <f>IFERROR(Tabela3[[#This Row],[Qtde Cx Produzida]]/Tabela3[[#This Row],[Tempo]]/24,0)</f>
        <v>7.5</v>
      </c>
      <c r="L1047" s="37">
        <f>Tabela3[[#This Row],[Qtde Cx Produzida]]*Tabela3[[#This Row],[Qdt Peça Placa]]</f>
        <v>5</v>
      </c>
      <c r="M1047" s="37">
        <f>Tabela3[[#This Row],[Previsto]]-Tabela3[[#This Row],[Perda Pçs]]</f>
        <v>5</v>
      </c>
      <c r="N1047" s="38">
        <f>IFERROR(Tabela3[[#This Row],[Perda Pçs]]/Tabela3[[#This Row],[Previsto]],0)</f>
        <v>0</v>
      </c>
      <c r="O1047" s="39">
        <f>IFERROR(IF(Tabela3[[#This Row],[Qtde Cx Produzida]] &lt;&gt; 0, Tabela3[[#This Row],[Tempo]] / Tabela3[[#This Row],[Qtde Cx Produzida]], 0),0)</f>
        <v>5.5555555555555549E-3</v>
      </c>
      <c r="P1047" s="57">
        <f>IFERROR(Tabela3[[#This Row],[Perda Pçs]]/Tabela3[[#This Row],[Qdt Peça Placa]],0)</f>
        <v>0</v>
      </c>
      <c r="Q1047" s="37">
        <f>IFERROR(Tabela3[[#This Row],[Realizado]]*Tabela3[[#This Row],[Peso Util/Pç]],0)</f>
        <v>8.1000000000000014</v>
      </c>
      <c r="R1047" s="37">
        <f>IFERROR(Tabela3[[#This Row],[Peso Total Galho]]*Tabela3[[#This Row],[Qtde Cx Produzida]]*1.055,0)</f>
        <v>13.1875</v>
      </c>
      <c r="S1047" s="37">
        <f>(Tabela3[[#This Row],[Aluminio Bruto]]-Tabela3[[#This Row],[Aluminio Util]])*0.9</f>
        <v>4.5787499999999985</v>
      </c>
      <c r="T1047" s="37">
        <f>Tabela3[[#This Row],[Aluminio Bruto]]/OleoKGAluminio</f>
        <v>5.5479641987263184</v>
      </c>
      <c r="U1047" s="35">
        <f>IFERROR((VLOOKUP(Tabela3[[#This Row],[Moldador]],Tabela1[],5,)+(VLOOKUP(Tabela3[[#This Row],[Ajudante]],Tabela1[],5,))*3.5),0)</f>
        <v>126.0945</v>
      </c>
      <c r="V1047" s="35">
        <f>IFERROR(Tabela3[[#This Row],[Custo M.O. / H]]/((Tabela3[[#This Row],[Realizado]]/Tabela3[[#This Row],[Qdt Peça Placa]])/Tabela3[[#This Row],[Tempo]]/24),)</f>
        <v>16.8126</v>
      </c>
      <c r="W1047" s="35">
        <f>Tabela3[[#This Row],[Custo / Cx Moldada]]*Tabela3[[#This Row],[Qtde Cx Produzida]]</f>
        <v>84.063000000000002</v>
      </c>
      <c r="X1047" s="35">
        <f ca="1">Tabela3[[#This Row],[Aluminio Util]]*Tabela3[[#This Row],[Custo/Kg]]</f>
        <v>142.56000000000003</v>
      </c>
      <c r="Y1047" s="35">
        <f>IFERROR(VLOOKUP(Tabela3[[#This Row],[Data]],Tabela461213[],2,1)*(Tabela3[[#This Row],[Qtde Cx Produzida]]*Tabela3[[#This Row],[Qde macho / CX]]*Tabela3[[#This Row],[Peso Macho]]),)</f>
        <v>0</v>
      </c>
      <c r="Z1047" s="35">
        <f>IFERROR(Tabela3[[#This Row],[Qtde Oleo]]*(VLOOKUP(Tabela3[[#This Row],[Data]],CompraOleo[],3,TRUE))*1.05,0)</f>
        <v>14.563406021656586</v>
      </c>
      <c r="AA1047" s="47">
        <f ca="1">(Tabela3[[#This Row],[Custo Oleo]]+Tabela3[[#This Row],[Custo Aluminio]]+Tabela3[[#This Row],[Custo M.O. Total]]+Tabela3[[#This Row],[Custo Machos]])</f>
        <v>241.18640602165664</v>
      </c>
      <c r="AB1047" s="47">
        <f ca="1">Tabela3[[#This Row],[Custo Total]]*Tabela3[[#This Row],[% Perda]]</f>
        <v>0</v>
      </c>
      <c r="AC1047" s="40">
        <f>IFERROR(VLOOKUP(Tabela3[[#This Row],[Produto]],Tabela2[],2,0),0)</f>
        <v>1</v>
      </c>
      <c r="AD1047" s="48">
        <f>IFERROR(VLOOKUP(Tabela3[[#This Row],[Produto]],Tabela2[],3,0),0)</f>
        <v>1.62</v>
      </c>
      <c r="AE1047" s="48">
        <f>IFERROR(VLOOKUP(Tabela3[[#This Row],[Produto]],Tabela2[],4,0),0)</f>
        <v>2.5</v>
      </c>
      <c r="AF1047" s="48">
        <f>IFERROR(VLOOKUP(Tabela3[[#This Row],[Produto]],Tabela2[],5,0),0)</f>
        <v>0.79199999999999993</v>
      </c>
      <c r="AG1047" s="48">
        <f>IFERROR(VLOOKUP(Tabela3[[#This Row],[Produto]],Tabela2[],6,0),0)</f>
        <v>0</v>
      </c>
      <c r="AH1047" s="40">
        <f>IFERROR(VLOOKUP(Tabela3[[#This Row],[Produto]],Tabela2[],7,0),0)</f>
        <v>0</v>
      </c>
      <c r="AI1047" s="40">
        <f>IFERROR(VLOOKUP(Tabela3[[#This Row],[Produto]],Tabela2[],8,0),0)</f>
        <v>0</v>
      </c>
      <c r="AJ1047" s="35">
        <f ca="1">IFERROR(VLOOKUP(Tabela3[[#This Row],[Produto]],Tabela2[],13,0),0)</f>
        <v>17.600000000000001</v>
      </c>
      <c r="AK1047" s="48" t="str">
        <f>IFERROR(VLOOKUP(Tabela3[[#This Row],[Produto]],Tabela2[],14,0),0)</f>
        <v>Jumil</v>
      </c>
      <c r="AL1047" s="40">
        <f>IFERROR(VLOOKUP(Tabela3[[#This Row],[Produto]],Tabela2[],15,0),0)</f>
        <v>80</v>
      </c>
      <c r="AM1047" s="36">
        <f ca="1">(Tabela3[[#This Row],[Custo Usinagem]]+Tabela3[[#This Row],[Custo / Pç]])*1.2</f>
        <v>153.8847374451976</v>
      </c>
      <c r="AN1047" s="36">
        <f ca="1">Tabela3[[#This Row],[Valor Mínimo Venda]]*1.15</f>
        <v>176.96744806197722</v>
      </c>
      <c r="AO1047" s="36">
        <f ca="1">Tabela3[[#This Row],[Tabela 1]]*1.08</f>
        <v>191.12484390693541</v>
      </c>
      <c r="AP1047" s="36">
        <f ca="1">Tabela3[[#This Row],[Tabela 2]]*1.15</f>
        <v>219.7935704929757</v>
      </c>
    </row>
    <row r="1048" spans="1:42">
      <c r="A1048" s="9">
        <v>46101</v>
      </c>
      <c r="B1048" s="9" t="s">
        <v>265</v>
      </c>
      <c r="C1048" s="14">
        <v>9244</v>
      </c>
      <c r="D1048" s="6" t="s">
        <v>46</v>
      </c>
      <c r="E1048" s="6" t="s">
        <v>44</v>
      </c>
      <c r="F1048" s="6">
        <v>5</v>
      </c>
      <c r="G1048" s="15">
        <v>2.7777777777777776E-2</v>
      </c>
      <c r="H1048" s="16">
        <v>0</v>
      </c>
      <c r="I1048" s="35">
        <f ca="1">IFERROR(Tabela3[[#This Row],[Custo Total]]/Tabela3[[#This Row],[Aluminio Util]],0)</f>
        <v>29.340173941575191</v>
      </c>
      <c r="J1048" s="35">
        <f ca="1">Tabela3[[#This Row],[Custo Total]]/Tabela3[[#This Row],[Realizado]]</f>
        <v>49.878295700677825</v>
      </c>
      <c r="K1048" s="37">
        <f>IFERROR(Tabela3[[#This Row],[Qtde Cx Produzida]]/Tabela3[[#This Row],[Tempo]]/24,0)</f>
        <v>7.5</v>
      </c>
      <c r="L1048" s="37">
        <f>Tabela3[[#This Row],[Qtde Cx Produzida]]*Tabela3[[#This Row],[Qdt Peça Placa]]</f>
        <v>5</v>
      </c>
      <c r="M1048" s="37">
        <f>Tabela3[[#This Row],[Previsto]]-Tabela3[[#This Row],[Perda Pçs]]</f>
        <v>5</v>
      </c>
      <c r="N1048" s="38">
        <f>IFERROR(Tabela3[[#This Row],[Perda Pçs]]/Tabela3[[#This Row],[Previsto]],0)</f>
        <v>0</v>
      </c>
      <c r="O1048" s="39">
        <f>IFERROR(IF(Tabela3[[#This Row],[Qtde Cx Produzida]] &lt;&gt; 0, Tabela3[[#This Row],[Tempo]] / Tabela3[[#This Row],[Qtde Cx Produzida]], 0),0)</f>
        <v>5.5555555555555549E-3</v>
      </c>
      <c r="P1048" s="57">
        <f>IFERROR(Tabela3[[#This Row],[Perda Pçs]]/Tabela3[[#This Row],[Qdt Peça Placa]],0)</f>
        <v>0</v>
      </c>
      <c r="Q1048" s="37">
        <f>IFERROR(Tabela3[[#This Row],[Realizado]]*Tabela3[[#This Row],[Peso Util/Pç]],0)</f>
        <v>8.5</v>
      </c>
      <c r="R1048" s="37">
        <f>IFERROR(Tabela3[[#This Row],[Peso Total Galho]]*Tabela3[[#This Row],[Qtde Cx Produzida]]*1.055,0)</f>
        <v>14.2425</v>
      </c>
      <c r="S1048" s="37">
        <f>(Tabela3[[#This Row],[Aluminio Bruto]]-Tabela3[[#This Row],[Aluminio Util]])*0.9</f>
        <v>5.1682499999999996</v>
      </c>
      <c r="T1048" s="37">
        <f>Tabela3[[#This Row],[Aluminio Bruto]]/OleoKGAluminio</f>
        <v>5.9918013346244239</v>
      </c>
      <c r="U1048" s="35">
        <f>IFERROR((VLOOKUP(Tabela3[[#This Row],[Moldador]],Tabela1[],5,)+(VLOOKUP(Tabela3[[#This Row],[Ajudante]],Tabela1[],5,))*3.5),0)</f>
        <v>126.0945</v>
      </c>
      <c r="V1048" s="35">
        <f>IFERROR(Tabela3[[#This Row],[Custo M.O. / H]]/((Tabela3[[#This Row],[Realizado]]/Tabela3[[#This Row],[Qdt Peça Placa]])/Tabela3[[#This Row],[Tempo]]/24),)</f>
        <v>16.8126</v>
      </c>
      <c r="W1048" s="35">
        <f>Tabela3[[#This Row],[Custo / Cx Moldada]]*Tabela3[[#This Row],[Qtde Cx Produzida]]</f>
        <v>84.063000000000002</v>
      </c>
      <c r="X1048" s="35">
        <f ca="1">Tabela3[[#This Row],[Aluminio Util]]*Tabela3[[#This Row],[Custo/Kg]]</f>
        <v>149.60000000000002</v>
      </c>
      <c r="Y1048" s="35">
        <f>IFERROR(VLOOKUP(Tabela3[[#This Row],[Data]],Tabela461213[],2,1)*(Tabela3[[#This Row],[Qtde Cx Produzida]]*Tabela3[[#This Row],[Qde macho / CX]]*Tabela3[[#This Row],[Peso Macho]]),)</f>
        <v>0</v>
      </c>
      <c r="Z1048" s="35">
        <f>IFERROR(Tabela3[[#This Row],[Qtde Oleo]]*(VLOOKUP(Tabela3[[#This Row],[Data]],CompraOleo[],3,TRUE))*1.05,0)</f>
        <v>15.728478503389113</v>
      </c>
      <c r="AA1048" s="47">
        <f ca="1">(Tabela3[[#This Row],[Custo Oleo]]+Tabela3[[#This Row],[Custo Aluminio]]+Tabela3[[#This Row],[Custo M.O. Total]]+Tabela3[[#This Row],[Custo Machos]])</f>
        <v>249.39147850338912</v>
      </c>
      <c r="AB1048" s="47">
        <f ca="1">Tabela3[[#This Row],[Custo Total]]*Tabela3[[#This Row],[% Perda]]</f>
        <v>0</v>
      </c>
      <c r="AC1048" s="40">
        <f>IFERROR(VLOOKUP(Tabela3[[#This Row],[Produto]],Tabela2[],2,0),0)</f>
        <v>1</v>
      </c>
      <c r="AD1048" s="48">
        <f>IFERROR(VLOOKUP(Tabela3[[#This Row],[Produto]],Tabela2[],3,0),0)</f>
        <v>1.7</v>
      </c>
      <c r="AE1048" s="48">
        <f>IFERROR(VLOOKUP(Tabela3[[#This Row],[Produto]],Tabela2[],4,0),0)</f>
        <v>2.7</v>
      </c>
      <c r="AF1048" s="48">
        <f>IFERROR(VLOOKUP(Tabela3[[#This Row],[Produto]],Tabela2[],5,0),0)</f>
        <v>0.90000000000000024</v>
      </c>
      <c r="AG1048" s="48">
        <f>IFERROR(VLOOKUP(Tabela3[[#This Row],[Produto]],Tabela2[],6,0),0)</f>
        <v>0</v>
      </c>
      <c r="AH1048" s="40">
        <f>IFERROR(VLOOKUP(Tabela3[[#This Row],[Produto]],Tabela2[],7,0),0)</f>
        <v>0</v>
      </c>
      <c r="AI1048" s="40">
        <f>IFERROR(VLOOKUP(Tabela3[[#This Row],[Produto]],Tabela2[],8,0),0)</f>
        <v>0</v>
      </c>
      <c r="AJ1048" s="35">
        <f ca="1">IFERROR(VLOOKUP(Tabela3[[#This Row],[Produto]],Tabela2[],13,0),0)</f>
        <v>17.600000000000001</v>
      </c>
      <c r="AK1048" s="48" t="str">
        <f>IFERROR(VLOOKUP(Tabela3[[#This Row],[Produto]],Tabela2[],14,0),0)</f>
        <v>Jumil</v>
      </c>
      <c r="AL1048" s="40">
        <f>IFERROR(VLOOKUP(Tabela3[[#This Row],[Produto]],Tabela2[],15,0),0)</f>
        <v>80</v>
      </c>
      <c r="AM1048" s="36">
        <f ca="1">(Tabela3[[#This Row],[Custo Usinagem]]+Tabela3[[#This Row],[Custo / Pç]])*1.2</f>
        <v>155.85395484081337</v>
      </c>
      <c r="AN1048" s="36">
        <f ca="1">Tabela3[[#This Row],[Valor Mínimo Venda]]*1.15</f>
        <v>179.23204806693536</v>
      </c>
      <c r="AO1048" s="36">
        <f ca="1">Tabela3[[#This Row],[Tabela 1]]*1.08</f>
        <v>193.57061191229022</v>
      </c>
      <c r="AP1048" s="36">
        <f ca="1">Tabela3[[#This Row],[Tabela 2]]*1.15</f>
        <v>222.60620369913374</v>
      </c>
    </row>
    <row r="1049" spans="1:42">
      <c r="A1049" s="9">
        <v>46104</v>
      </c>
      <c r="B1049" s="9" t="s">
        <v>247</v>
      </c>
      <c r="C1049" s="14">
        <v>9232</v>
      </c>
      <c r="D1049" s="6" t="s">
        <v>46</v>
      </c>
      <c r="E1049" s="6" t="s">
        <v>44</v>
      </c>
      <c r="F1049" s="6">
        <v>8</v>
      </c>
      <c r="G1049" s="15">
        <v>4.1666666666666664E-2</v>
      </c>
      <c r="H1049" s="16">
        <v>0</v>
      </c>
      <c r="I1049" s="35">
        <f ca="1">IFERROR(Tabela3[[#This Row],[Custo Total]]/Tabela3[[#This Row],[Aluminio Util]],0)</f>
        <v>30.967899339987344</v>
      </c>
      <c r="J1049" s="35">
        <f ca="1">Tabela3[[#This Row],[Custo Total]]/Tabela3[[#This Row],[Realizado]]</f>
        <v>9.2903698019962029</v>
      </c>
      <c r="K1049" s="37">
        <f>IFERROR(Tabela3[[#This Row],[Qtde Cx Produzida]]/Tabela3[[#This Row],[Tempo]]/24,0)</f>
        <v>8</v>
      </c>
      <c r="L1049" s="37">
        <f>Tabela3[[#This Row],[Qtde Cx Produzida]]*Tabela3[[#This Row],[Qdt Peça Placa]]</f>
        <v>32</v>
      </c>
      <c r="M1049" s="37">
        <f>Tabela3[[#This Row],[Previsto]]-Tabela3[[#This Row],[Perda Pçs]]</f>
        <v>32</v>
      </c>
      <c r="N1049" s="38">
        <f>IFERROR(Tabela3[[#This Row],[Perda Pçs]]/Tabela3[[#This Row],[Previsto]],0)</f>
        <v>0</v>
      </c>
      <c r="O1049" s="39">
        <f>IFERROR(IF(Tabela3[[#This Row],[Qtde Cx Produzida]] &lt;&gt; 0, Tabela3[[#This Row],[Tempo]] / Tabela3[[#This Row],[Qtde Cx Produzida]], 0),0)</f>
        <v>5.208333333333333E-3</v>
      </c>
      <c r="P1049" s="57">
        <f>IFERROR(Tabela3[[#This Row],[Perda Pçs]]/Tabela3[[#This Row],[Qdt Peça Placa]],0)</f>
        <v>0</v>
      </c>
      <c r="Q1049" s="37">
        <f>IFERROR(Tabela3[[#This Row],[Realizado]]*Tabela3[[#This Row],[Peso Util/Pç]],0)</f>
        <v>9.6</v>
      </c>
      <c r="R1049" s="37">
        <f>IFERROR(Tabela3[[#This Row],[Peso Total Galho]]*Tabela3[[#This Row],[Qtde Cx Produzida]]*1.055,0)</f>
        <v>19.411999999999999</v>
      </c>
      <c r="S1049" s="37">
        <f>(Tabela3[[#This Row],[Aluminio Bruto]]-Tabela3[[#This Row],[Aluminio Util]])*0.9</f>
        <v>8.8308</v>
      </c>
      <c r="T1049" s="37">
        <f>Tabela3[[#This Row],[Aluminio Bruto]]/OleoKGAluminio</f>
        <v>8.1666033005251411</v>
      </c>
      <c r="U1049" s="35">
        <f>IFERROR((VLOOKUP(Tabela3[[#This Row],[Moldador]],Tabela1[],5,)+(VLOOKUP(Tabela3[[#This Row],[Ajudante]],Tabela1[],5,))*3.5),0)</f>
        <v>126.0945</v>
      </c>
      <c r="V1049" s="35">
        <f>IFERROR(Tabela3[[#This Row],[Custo M.O. / H]]/((Tabela3[[#This Row],[Realizado]]/Tabela3[[#This Row],[Qdt Peça Placa]])/Tabela3[[#This Row],[Tempo]]/24),)</f>
        <v>15.7618125</v>
      </c>
      <c r="W1049" s="35">
        <f>Tabela3[[#This Row],[Custo / Cx Moldada]]*Tabela3[[#This Row],[Qtde Cx Produzida]]</f>
        <v>126.0945</v>
      </c>
      <c r="X1049" s="35">
        <f ca="1">Tabela3[[#This Row],[Aluminio Util]]*Tabela3[[#This Row],[Custo/Kg]]</f>
        <v>149.76000000000002</v>
      </c>
      <c r="Y1049" s="35">
        <f>IFERROR(VLOOKUP(Tabela3[[#This Row],[Data]],Tabela461213[],2,1)*(Tabela3[[#This Row],[Qtde Cx Produzida]]*Tabela3[[#This Row],[Qde macho / CX]]*Tabela3[[#This Row],[Peso Macho]]),)</f>
        <v>0</v>
      </c>
      <c r="Z1049" s="35">
        <f>IFERROR(Tabela3[[#This Row],[Qtde Oleo]]*(VLOOKUP(Tabela3[[#This Row],[Data]],CompraOleo[],3,TRUE))*1.05,0)</f>
        <v>21.437333663878494</v>
      </c>
      <c r="AA1049" s="47">
        <f ca="1">(Tabela3[[#This Row],[Custo Oleo]]+Tabela3[[#This Row],[Custo Aluminio]]+Tabela3[[#This Row],[Custo M.O. Total]]+Tabela3[[#This Row],[Custo Machos]])</f>
        <v>297.29183366387849</v>
      </c>
      <c r="AB1049" s="47">
        <f ca="1">Tabela3[[#This Row],[Custo Total]]*Tabela3[[#This Row],[% Perda]]</f>
        <v>0</v>
      </c>
      <c r="AC1049" s="40">
        <f>IFERROR(VLOOKUP(Tabela3[[#This Row],[Produto]],Tabela2[],2,0),0)</f>
        <v>4</v>
      </c>
      <c r="AD1049" s="48">
        <f>IFERROR(VLOOKUP(Tabela3[[#This Row],[Produto]],Tabela2[],3,0),0)</f>
        <v>0.3</v>
      </c>
      <c r="AE1049" s="48">
        <f>IFERROR(VLOOKUP(Tabela3[[#This Row],[Produto]],Tabela2[],4,0),0)</f>
        <v>2.2999999999999998</v>
      </c>
      <c r="AF1049" s="48">
        <f>IFERROR(VLOOKUP(Tabela3[[#This Row],[Produto]],Tabela2[],5,0),0)</f>
        <v>0.98999999999999988</v>
      </c>
      <c r="AG1049" s="48">
        <f>IFERROR(VLOOKUP(Tabela3[[#This Row],[Produto]],Tabela2[],6,0),0)</f>
        <v>0</v>
      </c>
      <c r="AH1049" s="40">
        <f>IFERROR(VLOOKUP(Tabela3[[#This Row],[Produto]],Tabela2[],7,0),0)</f>
        <v>0</v>
      </c>
      <c r="AI1049" s="40">
        <f>IFERROR(VLOOKUP(Tabela3[[#This Row],[Produto]],Tabela2[],8,0),0)</f>
        <v>0</v>
      </c>
      <c r="AJ1049" s="35">
        <f ca="1">IFERROR(VLOOKUP(Tabela3[[#This Row],[Produto]],Tabela2[],13,0),0)</f>
        <v>15.600000000000001</v>
      </c>
      <c r="AK1049" s="48" t="str">
        <f>IFERROR(VLOOKUP(Tabela3[[#This Row],[Produto]],Tabela2[],14,0),0)</f>
        <v>Senun</v>
      </c>
      <c r="AL1049" s="40">
        <f>IFERROR(VLOOKUP(Tabela3[[#This Row],[Produto]],Tabela2[],15,0),0)</f>
        <v>3.5</v>
      </c>
      <c r="AM1049" s="36">
        <f ca="1">(Tabela3[[#This Row],[Custo Usinagem]]+Tabela3[[#This Row],[Custo / Pç]])*1.2</f>
        <v>15.348443762395442</v>
      </c>
      <c r="AN1049" s="36">
        <f ca="1">Tabela3[[#This Row],[Valor Mínimo Venda]]*1.15</f>
        <v>17.650710326754758</v>
      </c>
      <c r="AO1049" s="36">
        <f ca="1">Tabela3[[#This Row],[Tabela 1]]*1.08</f>
        <v>19.062767152895141</v>
      </c>
      <c r="AP1049" s="36">
        <f ca="1">Tabela3[[#This Row],[Tabela 2]]*1.15</f>
        <v>21.92218222582941</v>
      </c>
    </row>
    <row r="1050" spans="1:42">
      <c r="A1050" s="9">
        <v>46104</v>
      </c>
      <c r="B1050" s="9" t="s">
        <v>245</v>
      </c>
      <c r="C1050" s="14">
        <v>9231</v>
      </c>
      <c r="D1050" s="6" t="s">
        <v>46</v>
      </c>
      <c r="E1050" s="6" t="s">
        <v>44</v>
      </c>
      <c r="F1050" s="6">
        <v>40</v>
      </c>
      <c r="G1050" s="15">
        <v>0.18263888888888888</v>
      </c>
      <c r="H1050" s="16">
        <v>0</v>
      </c>
      <c r="I1050" s="35">
        <f ca="1">IFERROR(Tabela3[[#This Row],[Custo Total]]/Tabela3[[#This Row],[Aluminio Util]],0)</f>
        <v>28.022833082066871</v>
      </c>
      <c r="J1050" s="35">
        <f ca="1">Tabela3[[#This Row],[Custo Total]]/Tabela3[[#This Row],[Realizado]]</f>
        <v>9.3035805832462017</v>
      </c>
      <c r="K1050" s="37">
        <f>IFERROR(Tabela3[[#This Row],[Qtde Cx Produzida]]/Tabela3[[#This Row],[Tempo]]/24,0)</f>
        <v>9.1254752851711043</v>
      </c>
      <c r="L1050" s="37">
        <f>Tabela3[[#This Row],[Qtde Cx Produzida]]*Tabela3[[#This Row],[Qdt Peça Placa]]</f>
        <v>160</v>
      </c>
      <c r="M1050" s="37">
        <f>Tabela3[[#This Row],[Previsto]]-Tabela3[[#This Row],[Perda Pçs]]</f>
        <v>160</v>
      </c>
      <c r="N1050" s="38">
        <f>IFERROR(Tabela3[[#This Row],[Perda Pçs]]/Tabela3[[#This Row],[Previsto]],0)</f>
        <v>0</v>
      </c>
      <c r="O1050" s="39">
        <f>IFERROR(IF(Tabela3[[#This Row],[Qtde Cx Produzida]] &lt;&gt; 0, Tabela3[[#This Row],[Tempo]] / Tabela3[[#This Row],[Qtde Cx Produzida]], 0),0)</f>
        <v>4.5659722222222221E-3</v>
      </c>
      <c r="P1050" s="57">
        <f>IFERROR(Tabela3[[#This Row],[Perda Pçs]]/Tabela3[[#This Row],[Qdt Peça Placa]],0)</f>
        <v>0</v>
      </c>
      <c r="Q1050" s="37">
        <f>IFERROR(Tabela3[[#This Row],[Realizado]]*Tabela3[[#This Row],[Peso Util/Pç]],0)</f>
        <v>53.120000000000005</v>
      </c>
      <c r="R1050" s="37">
        <f>IFERROR(Tabela3[[#This Row],[Peso Total Galho]]*Tabela3[[#This Row],[Qtde Cx Produzida]]*1.055,0)</f>
        <v>97.059999999999988</v>
      </c>
      <c r="S1050" s="37">
        <f>(Tabela3[[#This Row],[Aluminio Bruto]]-Tabela3[[#This Row],[Aluminio Util]])*0.9</f>
        <v>39.545999999999985</v>
      </c>
      <c r="T1050" s="37">
        <f>Tabela3[[#This Row],[Aluminio Bruto]]/OleoKGAluminio</f>
        <v>40.833016502625696</v>
      </c>
      <c r="U1050" s="35">
        <f>IFERROR((VLOOKUP(Tabela3[[#This Row],[Moldador]],Tabela1[],5,)+(VLOOKUP(Tabela3[[#This Row],[Ajudante]],Tabela1[],5,))*3.5),0)</f>
        <v>126.0945</v>
      </c>
      <c r="V1050" s="35">
        <f>IFERROR(Tabela3[[#This Row],[Custo M.O. / H]]/((Tabela3[[#This Row],[Realizado]]/Tabela3[[#This Row],[Qdt Peça Placa]])/Tabela3[[#This Row],[Tempo]]/24),)</f>
        <v>13.817855624999996</v>
      </c>
      <c r="W1050" s="35">
        <f>Tabela3[[#This Row],[Custo / Cx Moldada]]*Tabela3[[#This Row],[Qtde Cx Produzida]]</f>
        <v>552.71422499999983</v>
      </c>
      <c r="X1050" s="35">
        <f ca="1">Tabela3[[#This Row],[Aluminio Util]]*Tabela3[[#This Row],[Custo/Kg]]</f>
        <v>828.67200000000014</v>
      </c>
      <c r="Y1050" s="35">
        <f>IFERROR(VLOOKUP(Tabela3[[#This Row],[Data]],Tabela461213[],2,1)*(Tabela3[[#This Row],[Qtde Cx Produzida]]*Tabela3[[#This Row],[Qde macho / CX]]*Tabela3[[#This Row],[Peso Macho]]),)</f>
        <v>0</v>
      </c>
      <c r="Z1050" s="35">
        <f>IFERROR(Tabela3[[#This Row],[Qtde Oleo]]*(VLOOKUP(Tabela3[[#This Row],[Data]],CompraOleo[],3,TRUE))*1.05,0)</f>
        <v>107.18666831939245</v>
      </c>
      <c r="AA1050" s="47">
        <f ca="1">(Tabela3[[#This Row],[Custo Oleo]]+Tabela3[[#This Row],[Custo Aluminio]]+Tabela3[[#This Row],[Custo M.O. Total]]+Tabela3[[#This Row],[Custo Machos]])</f>
        <v>1488.5728933193923</v>
      </c>
      <c r="AB1050" s="47">
        <f ca="1">Tabela3[[#This Row],[Custo Total]]*Tabela3[[#This Row],[% Perda]]</f>
        <v>0</v>
      </c>
      <c r="AC1050" s="40">
        <f>IFERROR(VLOOKUP(Tabela3[[#This Row],[Produto]],Tabela2[],2,0),0)</f>
        <v>4</v>
      </c>
      <c r="AD1050" s="48">
        <f>IFERROR(VLOOKUP(Tabela3[[#This Row],[Produto]],Tabela2[],3,0),0)</f>
        <v>0.33200000000000002</v>
      </c>
      <c r="AE1050" s="48">
        <f>IFERROR(VLOOKUP(Tabela3[[#This Row],[Produto]],Tabela2[],4,0),0)</f>
        <v>2.2999999999999998</v>
      </c>
      <c r="AF1050" s="48">
        <f>IFERROR(VLOOKUP(Tabela3[[#This Row],[Produto]],Tabela2[],5,0),0)</f>
        <v>0.8747999999999998</v>
      </c>
      <c r="AG1050" s="48">
        <f>IFERROR(VLOOKUP(Tabela3[[#This Row],[Produto]],Tabela2[],6,0),0)</f>
        <v>0</v>
      </c>
      <c r="AH1050" s="40">
        <f>IFERROR(VLOOKUP(Tabela3[[#This Row],[Produto]],Tabela2[],7,0),0)</f>
        <v>0</v>
      </c>
      <c r="AI1050" s="40">
        <f>IFERROR(VLOOKUP(Tabela3[[#This Row],[Produto]],Tabela2[],8,0),0)</f>
        <v>0</v>
      </c>
      <c r="AJ1050" s="35">
        <f ca="1">IFERROR(VLOOKUP(Tabela3[[#This Row],[Produto]],Tabela2[],13,0),0)</f>
        <v>15.600000000000001</v>
      </c>
      <c r="AK1050" s="48" t="str">
        <f>IFERROR(VLOOKUP(Tabela3[[#This Row],[Produto]],Tabela2[],14,0),0)</f>
        <v>Senun</v>
      </c>
      <c r="AL1050" s="40">
        <f>IFERROR(VLOOKUP(Tabela3[[#This Row],[Produto]],Tabela2[],15,0),0)</f>
        <v>3.5</v>
      </c>
      <c r="AM1050" s="36">
        <f ca="1">(Tabela3[[#This Row],[Custo Usinagem]]+Tabela3[[#This Row],[Custo / Pç]])*1.2</f>
        <v>15.364296699895441</v>
      </c>
      <c r="AN1050" s="36">
        <f ca="1">Tabela3[[#This Row],[Valor Mínimo Venda]]*1.15</f>
        <v>17.668941204879754</v>
      </c>
      <c r="AO1050" s="36">
        <f ca="1">Tabela3[[#This Row],[Tabela 1]]*1.08</f>
        <v>19.082456501270137</v>
      </c>
      <c r="AP1050" s="36">
        <f ca="1">Tabela3[[#This Row],[Tabela 2]]*1.15</f>
        <v>21.944824976460655</v>
      </c>
    </row>
    <row r="1051" spans="1:42">
      <c r="A1051" s="9">
        <v>46104</v>
      </c>
      <c r="B1051" s="9" t="s">
        <v>257</v>
      </c>
      <c r="C1051" s="14">
        <v>9247</v>
      </c>
      <c r="D1051" s="6" t="s">
        <v>46</v>
      </c>
      <c r="E1051" s="6" t="s">
        <v>44</v>
      </c>
      <c r="F1051" s="6">
        <v>20</v>
      </c>
      <c r="G1051" s="15">
        <v>9.0277777777777776E-2</v>
      </c>
      <c r="H1051" s="16">
        <v>6</v>
      </c>
      <c r="I1051" s="35">
        <f ca="1">IFERROR(Tabela3[[#This Row],[Custo Total]]/Tabela3[[#This Row],[Aluminio Util]],0)</f>
        <v>33.008430135341406</v>
      </c>
      <c r="J1051" s="35">
        <f ca="1">Tabela3[[#This Row],[Custo Total]]/Tabela3[[#This Row],[Realizado]]</f>
        <v>4.1260537669176758</v>
      </c>
      <c r="K1051" s="37">
        <f>IFERROR(Tabela3[[#This Row],[Qtde Cx Produzida]]/Tabela3[[#This Row],[Tempo]]/24,0)</f>
        <v>9.2307692307692317</v>
      </c>
      <c r="L1051" s="37">
        <f>Tabela3[[#This Row],[Qtde Cx Produzida]]*Tabela3[[#This Row],[Qdt Peça Placa]]</f>
        <v>160</v>
      </c>
      <c r="M1051" s="37">
        <f>Tabela3[[#This Row],[Previsto]]-Tabela3[[#This Row],[Perda Pçs]]</f>
        <v>154</v>
      </c>
      <c r="N1051" s="38">
        <f>IFERROR(Tabela3[[#This Row],[Perda Pçs]]/Tabela3[[#This Row],[Previsto]],0)</f>
        <v>3.7499999999999999E-2</v>
      </c>
      <c r="O1051" s="39">
        <f>IFERROR(IF(Tabela3[[#This Row],[Qtde Cx Produzida]] &lt;&gt; 0, Tabela3[[#This Row],[Tempo]] / Tabela3[[#This Row],[Qtde Cx Produzida]], 0),0)</f>
        <v>4.5138888888888885E-3</v>
      </c>
      <c r="P1051" s="57">
        <f>IFERROR(Tabela3[[#This Row],[Perda Pçs]]/Tabela3[[#This Row],[Qdt Peça Placa]],0)</f>
        <v>0.75</v>
      </c>
      <c r="Q1051" s="37">
        <f>IFERROR(Tabela3[[#This Row],[Realizado]]*Tabela3[[#This Row],[Peso Util/Pç]],0)</f>
        <v>19.25</v>
      </c>
      <c r="R1051" s="37">
        <f>IFERROR(Tabela3[[#This Row],[Peso Total Galho]]*Tabela3[[#This Row],[Qtde Cx Produzida]]*1.055,0)</f>
        <v>46.419999999999995</v>
      </c>
      <c r="S1051" s="37">
        <f>(Tabela3[[#This Row],[Aluminio Bruto]]-Tabela3[[#This Row],[Aluminio Util]])*0.9</f>
        <v>24.452999999999996</v>
      </c>
      <c r="T1051" s="37">
        <f>Tabela3[[#This Row],[Aluminio Bruto]]/OleoKGAluminio</f>
        <v>19.528833979516641</v>
      </c>
      <c r="U1051" s="35">
        <f>IFERROR((VLOOKUP(Tabela3[[#This Row],[Moldador]],Tabela1[],5,)+(VLOOKUP(Tabela3[[#This Row],[Ajudante]],Tabela1[],5,))*3.5),0)</f>
        <v>126.0945</v>
      </c>
      <c r="V1051" s="35">
        <f>IFERROR(Tabela3[[#This Row],[Custo M.O. / H]]/((Tabela3[[#This Row],[Realizado]]/Tabela3[[#This Row],[Qdt Peça Placa]])/Tabela3[[#This Row],[Tempo]]/24),)</f>
        <v>14.192454545454545</v>
      </c>
      <c r="W1051" s="35">
        <f>Tabela3[[#This Row],[Custo / Cx Moldada]]*Tabela3[[#This Row],[Qtde Cx Produzida]]</f>
        <v>283.84909090909093</v>
      </c>
      <c r="X1051" s="35">
        <f ca="1">Tabela3[[#This Row],[Aluminio Util]]*Tabela3[[#This Row],[Custo/Kg]]</f>
        <v>300.3</v>
      </c>
      <c r="Y1051" s="35">
        <f>IFERROR(VLOOKUP(Tabela3[[#This Row],[Data]],Tabela461213[],2,1)*(Tabela3[[#This Row],[Qtde Cx Produzida]]*Tabela3[[#This Row],[Qde macho / CX]]*Tabela3[[#This Row],[Peso Macho]]),)</f>
        <v>0</v>
      </c>
      <c r="Z1051" s="35">
        <f>IFERROR(Tabela3[[#This Row],[Qtde Oleo]]*(VLOOKUP(Tabela3[[#This Row],[Data]],CompraOleo[],3,TRUE))*1.05,0)</f>
        <v>51.263189196231181</v>
      </c>
      <c r="AA1051" s="47">
        <f ca="1">(Tabela3[[#This Row],[Custo Oleo]]+Tabela3[[#This Row],[Custo Aluminio]]+Tabela3[[#This Row],[Custo M.O. Total]]+Tabela3[[#This Row],[Custo Machos]])</f>
        <v>635.41228010532211</v>
      </c>
      <c r="AB1051" s="47">
        <f ca="1">Tabela3[[#This Row],[Custo Total]]*Tabela3[[#This Row],[% Perda]]</f>
        <v>23.82796050394958</v>
      </c>
      <c r="AC1051" s="40">
        <f>IFERROR(VLOOKUP(Tabela3[[#This Row],[Produto]],Tabela2[],2,0),0)</f>
        <v>8</v>
      </c>
      <c r="AD1051" s="48">
        <f>IFERROR(VLOOKUP(Tabela3[[#This Row],[Produto]],Tabela2[],3,0),0)</f>
        <v>0.125</v>
      </c>
      <c r="AE1051" s="48">
        <f>IFERROR(VLOOKUP(Tabela3[[#This Row],[Produto]],Tabela2[],4,0),0)</f>
        <v>2.2000000000000002</v>
      </c>
      <c r="AF1051" s="48">
        <f>IFERROR(VLOOKUP(Tabela3[[#This Row],[Produto]],Tabela2[],5,0),0)</f>
        <v>1.0800000000000003</v>
      </c>
      <c r="AG1051" s="48">
        <f>IFERROR(VLOOKUP(Tabela3[[#This Row],[Produto]],Tabela2[],6,0),0)</f>
        <v>0</v>
      </c>
      <c r="AH1051" s="40">
        <f>IFERROR(VLOOKUP(Tabela3[[#This Row],[Produto]],Tabela2[],7,0),0)</f>
        <v>0</v>
      </c>
      <c r="AI1051" s="40">
        <f>IFERROR(VLOOKUP(Tabela3[[#This Row],[Produto]],Tabela2[],8,0),0)</f>
        <v>0</v>
      </c>
      <c r="AJ1051" s="35">
        <f ca="1">IFERROR(VLOOKUP(Tabela3[[#This Row],[Produto]],Tabela2[],13,0),0)</f>
        <v>15.600000000000001</v>
      </c>
      <c r="AK1051" s="48" t="str">
        <f>IFERROR(VLOOKUP(Tabela3[[#This Row],[Produto]],Tabela2[],14,0),0)</f>
        <v>Senun</v>
      </c>
      <c r="AL1051" s="40">
        <f>IFERROR(VLOOKUP(Tabela3[[#This Row],[Produto]],Tabela2[],15,0),0)</f>
        <v>7</v>
      </c>
      <c r="AM1051" s="36">
        <f ca="1">(Tabela3[[#This Row],[Custo Usinagem]]+Tabela3[[#This Row],[Custo / Pç]])*1.2</f>
        <v>13.351264520301209</v>
      </c>
      <c r="AN1051" s="36">
        <f ca="1">Tabela3[[#This Row],[Valor Mínimo Venda]]*1.15</f>
        <v>15.353954198346388</v>
      </c>
      <c r="AO1051" s="36">
        <f ca="1">Tabela3[[#This Row],[Tabela 1]]*1.08</f>
        <v>16.5822705342141</v>
      </c>
      <c r="AP1051" s="36">
        <f ca="1">Tabela3[[#This Row],[Tabela 2]]*1.15</f>
        <v>19.069611114346213</v>
      </c>
    </row>
    <row r="1052" spans="1:42">
      <c r="A1052" s="9">
        <v>46104</v>
      </c>
      <c r="B1052" s="9" t="s">
        <v>242</v>
      </c>
      <c r="C1052" s="14">
        <v>9248</v>
      </c>
      <c r="D1052" s="6" t="s">
        <v>46</v>
      </c>
      <c r="E1052" s="6" t="s">
        <v>44</v>
      </c>
      <c r="F1052" s="6">
        <v>9</v>
      </c>
      <c r="G1052" s="15">
        <v>3.4027777777777775E-2</v>
      </c>
      <c r="H1052" s="16">
        <v>0</v>
      </c>
      <c r="I1052" s="35">
        <f ca="1">IFERROR(Tabela3[[#This Row],[Custo Total]]/Tabela3[[#This Row],[Aluminio Util]],0)</f>
        <v>21.657975097180714</v>
      </c>
      <c r="J1052" s="35">
        <f ca="1">Tabela3[[#This Row],[Custo Total]]/Tabela3[[#This Row],[Realizado]]</f>
        <v>13.038101008502789</v>
      </c>
      <c r="K1052" s="37">
        <f>IFERROR(Tabela3[[#This Row],[Qtde Cx Produzida]]/Tabela3[[#This Row],[Tempo]]/24,0)</f>
        <v>11.020408163265307</v>
      </c>
      <c r="L1052" s="37">
        <f>Tabela3[[#This Row],[Qtde Cx Produzida]]*Tabela3[[#This Row],[Qdt Peça Placa]]</f>
        <v>36</v>
      </c>
      <c r="M1052" s="37">
        <f>Tabela3[[#This Row],[Previsto]]-Tabela3[[#This Row],[Perda Pçs]]</f>
        <v>36</v>
      </c>
      <c r="N1052" s="38">
        <f>IFERROR(Tabela3[[#This Row],[Perda Pçs]]/Tabela3[[#This Row],[Previsto]],0)</f>
        <v>0</v>
      </c>
      <c r="O1052" s="39">
        <f>IFERROR(IF(Tabela3[[#This Row],[Qtde Cx Produzida]] &lt;&gt; 0, Tabela3[[#This Row],[Tempo]] / Tabela3[[#This Row],[Qtde Cx Produzida]], 0),0)</f>
        <v>3.7808641975308637E-3</v>
      </c>
      <c r="P1052" s="57">
        <f>IFERROR(Tabela3[[#This Row],[Perda Pçs]]/Tabela3[[#This Row],[Qdt Peça Placa]],0)</f>
        <v>0</v>
      </c>
      <c r="Q1052" s="37">
        <f>IFERROR(Tabela3[[#This Row],[Realizado]]*Tabela3[[#This Row],[Peso Util/Pç]],0)</f>
        <v>21.672000000000001</v>
      </c>
      <c r="R1052" s="37">
        <f>IFERROR(Tabela3[[#This Row],[Peso Total Galho]]*Tabela3[[#This Row],[Qtde Cx Produzida]]*1.055,0)</f>
        <v>25.636499999999998</v>
      </c>
      <c r="S1052" s="37">
        <f>(Tabela3[[#This Row],[Aluminio Bruto]]-Tabela3[[#This Row],[Aluminio Util]])*0.9</f>
        <v>3.5680499999999977</v>
      </c>
      <c r="T1052" s="37">
        <f>Tabela3[[#This Row],[Aluminio Bruto]]/OleoKGAluminio</f>
        <v>10.785242402323963</v>
      </c>
      <c r="U1052" s="35">
        <f>IFERROR((VLOOKUP(Tabela3[[#This Row],[Moldador]],Tabela1[],5,)+(VLOOKUP(Tabela3[[#This Row],[Ajudante]],Tabela1[],5,))*3.5),0)</f>
        <v>126.0945</v>
      </c>
      <c r="V1052" s="35">
        <f>IFERROR(Tabela3[[#This Row],[Custo M.O. / H]]/((Tabela3[[#This Row],[Realizado]]/Tabela3[[#This Row],[Qdt Peça Placa]])/Tabela3[[#This Row],[Tempo]]/24),)</f>
        <v>11.441908333333332</v>
      </c>
      <c r="W1052" s="35">
        <f>Tabela3[[#This Row],[Custo / Cx Moldada]]*Tabela3[[#This Row],[Qtde Cx Produzida]]</f>
        <v>102.97717499999999</v>
      </c>
      <c r="X1052" s="35">
        <f ca="1">Tabela3[[#This Row],[Aluminio Util]]*Tabela3[[#This Row],[Custo/Kg]]</f>
        <v>338.08320000000003</v>
      </c>
      <c r="Y1052" s="35">
        <f>IFERROR(VLOOKUP(Tabela3[[#This Row],[Data]],Tabela461213[],2,1)*(Tabela3[[#This Row],[Qtde Cx Produzida]]*Tabela3[[#This Row],[Qde macho / CX]]*Tabela3[[#This Row],[Peso Macho]]),)</f>
        <v>0</v>
      </c>
      <c r="Z1052" s="35">
        <f>IFERROR(Tabela3[[#This Row],[Qtde Oleo]]*(VLOOKUP(Tabela3[[#This Row],[Data]],CompraOleo[],3,TRUE))*1.05,0)</f>
        <v>28.311261306100402</v>
      </c>
      <c r="AA1052" s="47">
        <f ca="1">(Tabela3[[#This Row],[Custo Oleo]]+Tabela3[[#This Row],[Custo Aluminio]]+Tabela3[[#This Row],[Custo M.O. Total]]+Tabela3[[#This Row],[Custo Machos]])</f>
        <v>469.37163630610041</v>
      </c>
      <c r="AB1052" s="47">
        <f ca="1">Tabela3[[#This Row],[Custo Total]]*Tabela3[[#This Row],[% Perda]]</f>
        <v>0</v>
      </c>
      <c r="AC1052" s="40">
        <f>IFERROR(VLOOKUP(Tabela3[[#This Row],[Produto]],Tabela2[],2,0),0)</f>
        <v>4</v>
      </c>
      <c r="AD1052" s="48">
        <f>IFERROR(VLOOKUP(Tabela3[[#This Row],[Produto]],Tabela2[],3,0),0)</f>
        <v>0.60199999999999998</v>
      </c>
      <c r="AE1052" s="48">
        <f>IFERROR(VLOOKUP(Tabela3[[#This Row],[Produto]],Tabela2[],4,0),0)</f>
        <v>2.7</v>
      </c>
      <c r="AF1052" s="48">
        <f>IFERROR(VLOOKUP(Tabela3[[#This Row],[Produto]],Tabela2[],5,0),0)</f>
        <v>0.26280000000000026</v>
      </c>
      <c r="AG1052" s="48">
        <f>IFERROR(VLOOKUP(Tabela3[[#This Row],[Produto]],Tabela2[],6,0),0)</f>
        <v>0</v>
      </c>
      <c r="AH1052" s="40">
        <f>IFERROR(VLOOKUP(Tabela3[[#This Row],[Produto]],Tabela2[],7,0),0)</f>
        <v>0</v>
      </c>
      <c r="AI1052" s="40">
        <f>IFERROR(VLOOKUP(Tabela3[[#This Row],[Produto]],Tabela2[],8,0),0)</f>
        <v>0</v>
      </c>
      <c r="AJ1052" s="35">
        <f ca="1">IFERROR(VLOOKUP(Tabela3[[#This Row],[Produto]],Tabela2[],13,0),0)</f>
        <v>15.600000000000001</v>
      </c>
      <c r="AK1052" s="48" t="str">
        <f>IFERROR(VLOOKUP(Tabela3[[#This Row],[Produto]],Tabela2[],14,0),0)</f>
        <v>Senun</v>
      </c>
      <c r="AL1052" s="40">
        <f>IFERROR(VLOOKUP(Tabela3[[#This Row],[Produto]],Tabela2[],15,0),0)</f>
        <v>4</v>
      </c>
      <c r="AM1052" s="36">
        <f ca="1">(Tabela3[[#This Row],[Custo Usinagem]]+Tabela3[[#This Row],[Custo / Pç]])*1.2</f>
        <v>20.445721210203345</v>
      </c>
      <c r="AN1052" s="36">
        <f ca="1">Tabela3[[#This Row],[Valor Mínimo Venda]]*1.15</f>
        <v>23.512579391733844</v>
      </c>
      <c r="AO1052" s="36">
        <f ca="1">Tabela3[[#This Row],[Tabela 1]]*1.08</f>
        <v>25.393585743072553</v>
      </c>
      <c r="AP1052" s="36">
        <f ca="1">Tabela3[[#This Row],[Tabela 2]]*1.15</f>
        <v>29.202623604533432</v>
      </c>
    </row>
    <row r="1053" spans="1:42">
      <c r="A1053" s="9">
        <v>46105</v>
      </c>
      <c r="B1053" s="9" t="s">
        <v>242</v>
      </c>
      <c r="C1053" s="14">
        <v>9248</v>
      </c>
      <c r="D1053" s="6" t="s">
        <v>46</v>
      </c>
      <c r="E1053" s="6" t="s">
        <v>44</v>
      </c>
      <c r="F1053" s="6">
        <v>26</v>
      </c>
      <c r="G1053" s="15">
        <v>0.1125</v>
      </c>
      <c r="H1053" s="16">
        <v>0</v>
      </c>
      <c r="I1053" s="35">
        <f ca="1">IFERROR(Tabela3[[#This Row],[Custo Total]]/Tabela3[[#This Row],[Aluminio Util]],0)</f>
        <v>22.344237768617806</v>
      </c>
      <c r="J1053" s="35">
        <f ca="1">Tabela3[[#This Row],[Custo Total]]/Tabela3[[#This Row],[Realizado]]</f>
        <v>13.451231136707918</v>
      </c>
      <c r="K1053" s="37">
        <f>IFERROR(Tabela3[[#This Row],[Qtde Cx Produzida]]/Tabela3[[#This Row],[Tempo]]/24,0)</f>
        <v>9.6296296296296298</v>
      </c>
      <c r="L1053" s="37">
        <f>Tabela3[[#This Row],[Qtde Cx Produzida]]*Tabela3[[#This Row],[Qdt Peça Placa]]</f>
        <v>104</v>
      </c>
      <c r="M1053" s="37">
        <f>Tabela3[[#This Row],[Previsto]]-Tabela3[[#This Row],[Perda Pçs]]</f>
        <v>104</v>
      </c>
      <c r="N1053" s="38">
        <f>IFERROR(Tabela3[[#This Row],[Perda Pçs]]/Tabela3[[#This Row],[Previsto]],0)</f>
        <v>0</v>
      </c>
      <c r="O1053" s="39">
        <f>IFERROR(IF(Tabela3[[#This Row],[Qtde Cx Produzida]] &lt;&gt; 0, Tabela3[[#This Row],[Tempo]] / Tabela3[[#This Row],[Qtde Cx Produzida]], 0),0)</f>
        <v>4.3269230769230772E-3</v>
      </c>
      <c r="P1053" s="57">
        <f>IFERROR(Tabela3[[#This Row],[Perda Pçs]]/Tabela3[[#This Row],[Qdt Peça Placa]],0)</f>
        <v>0</v>
      </c>
      <c r="Q1053" s="37">
        <f>IFERROR(Tabela3[[#This Row],[Realizado]]*Tabela3[[#This Row],[Peso Util/Pç]],0)</f>
        <v>62.607999999999997</v>
      </c>
      <c r="R1053" s="37">
        <f>IFERROR(Tabela3[[#This Row],[Peso Total Galho]]*Tabela3[[#This Row],[Qtde Cx Produzida]]*1.055,0)</f>
        <v>74.060999999999993</v>
      </c>
      <c r="S1053" s="37">
        <f>(Tabela3[[#This Row],[Aluminio Bruto]]-Tabela3[[#This Row],[Aluminio Util]])*0.9</f>
        <v>10.307699999999997</v>
      </c>
      <c r="T1053" s="37">
        <f>Tabela3[[#This Row],[Aluminio Bruto]]/OleoKGAluminio</f>
        <v>31.157366940047002</v>
      </c>
      <c r="U1053" s="35">
        <f>IFERROR((VLOOKUP(Tabela3[[#This Row],[Moldador]],Tabela1[],5,)+(VLOOKUP(Tabela3[[#This Row],[Ajudante]],Tabela1[],5,))*3.5),0)</f>
        <v>126.0945</v>
      </c>
      <c r="V1053" s="35">
        <f>IFERROR(Tabela3[[#This Row],[Custo M.O. / H]]/((Tabela3[[#This Row],[Realizado]]/Tabela3[[#This Row],[Qdt Peça Placa]])/Tabela3[[#This Row],[Tempo]]/24),)</f>
        <v>13.094428846153846</v>
      </c>
      <c r="W1053" s="35">
        <f>Tabela3[[#This Row],[Custo / Cx Moldada]]*Tabela3[[#This Row],[Qtde Cx Produzida]]</f>
        <v>340.45515</v>
      </c>
      <c r="X1053" s="35">
        <f ca="1">Tabela3[[#This Row],[Aluminio Util]]*Tabela3[[#This Row],[Custo/Kg]]</f>
        <v>976.6848</v>
      </c>
      <c r="Y1053" s="35">
        <f>IFERROR(VLOOKUP(Tabela3[[#This Row],[Data]],Tabela461213[],2,1)*(Tabela3[[#This Row],[Qtde Cx Produzida]]*Tabela3[[#This Row],[Qde macho / CX]]*Tabela3[[#This Row],[Peso Macho]]),)</f>
        <v>0</v>
      </c>
      <c r="Z1053" s="35">
        <f>IFERROR(Tabela3[[#This Row],[Qtde Oleo]]*(VLOOKUP(Tabela3[[#This Row],[Data]],CompraOleo[],3,TRUE))*1.05,0)</f>
        <v>81.788088217623383</v>
      </c>
      <c r="AA1053" s="47">
        <f ca="1">(Tabela3[[#This Row],[Custo Oleo]]+Tabela3[[#This Row],[Custo Aluminio]]+Tabela3[[#This Row],[Custo M.O. Total]]+Tabela3[[#This Row],[Custo Machos]])</f>
        <v>1398.9280382176235</v>
      </c>
      <c r="AB1053" s="47">
        <f ca="1">Tabela3[[#This Row],[Custo Total]]*Tabela3[[#This Row],[% Perda]]</f>
        <v>0</v>
      </c>
      <c r="AC1053" s="40">
        <f>IFERROR(VLOOKUP(Tabela3[[#This Row],[Produto]],Tabela2[],2,0),0)</f>
        <v>4</v>
      </c>
      <c r="AD1053" s="48">
        <f>IFERROR(VLOOKUP(Tabela3[[#This Row],[Produto]],Tabela2[],3,0),0)</f>
        <v>0.60199999999999998</v>
      </c>
      <c r="AE1053" s="48">
        <f>IFERROR(VLOOKUP(Tabela3[[#This Row],[Produto]],Tabela2[],4,0),0)</f>
        <v>2.7</v>
      </c>
      <c r="AF1053" s="48">
        <f>IFERROR(VLOOKUP(Tabela3[[#This Row],[Produto]],Tabela2[],5,0),0)</f>
        <v>0.26280000000000026</v>
      </c>
      <c r="AG1053" s="48">
        <f>IFERROR(VLOOKUP(Tabela3[[#This Row],[Produto]],Tabela2[],6,0),0)</f>
        <v>0</v>
      </c>
      <c r="AH1053" s="40">
        <f>IFERROR(VLOOKUP(Tabela3[[#This Row],[Produto]],Tabela2[],7,0),0)</f>
        <v>0</v>
      </c>
      <c r="AI1053" s="40">
        <f>IFERROR(VLOOKUP(Tabela3[[#This Row],[Produto]],Tabela2[],8,0),0)</f>
        <v>0</v>
      </c>
      <c r="AJ1053" s="35">
        <f ca="1">IFERROR(VLOOKUP(Tabela3[[#This Row],[Produto]],Tabela2[],13,0),0)</f>
        <v>15.600000000000001</v>
      </c>
      <c r="AK1053" s="48" t="str">
        <f>IFERROR(VLOOKUP(Tabela3[[#This Row],[Produto]],Tabela2[],14,0),0)</f>
        <v>Senun</v>
      </c>
      <c r="AL1053" s="40">
        <f>IFERROR(VLOOKUP(Tabela3[[#This Row],[Produto]],Tabela2[],15,0),0)</f>
        <v>4</v>
      </c>
      <c r="AM1053" s="36">
        <f ca="1">(Tabela3[[#This Row],[Custo Usinagem]]+Tabela3[[#This Row],[Custo / Pç]])*1.2</f>
        <v>20.941477364049501</v>
      </c>
      <c r="AN1053" s="36">
        <f ca="1">Tabela3[[#This Row],[Valor Mínimo Venda]]*1.15</f>
        <v>24.082698968656924</v>
      </c>
      <c r="AO1053" s="36">
        <f ca="1">Tabela3[[#This Row],[Tabela 1]]*1.08</f>
        <v>26.009314886149479</v>
      </c>
      <c r="AP1053" s="36">
        <f ca="1">Tabela3[[#This Row],[Tabela 2]]*1.15</f>
        <v>29.910712119071899</v>
      </c>
    </row>
    <row r="1054" spans="1:42">
      <c r="A1054" s="9">
        <v>46105</v>
      </c>
      <c r="B1054" s="9" t="s">
        <v>246</v>
      </c>
      <c r="C1054" s="14">
        <v>9249</v>
      </c>
      <c r="D1054" s="6" t="s">
        <v>46</v>
      </c>
      <c r="E1054" s="6" t="s">
        <v>44</v>
      </c>
      <c r="F1054" s="6">
        <v>41</v>
      </c>
      <c r="G1054" s="15">
        <v>0.24652777777777779</v>
      </c>
      <c r="H1054" s="16">
        <v>12</v>
      </c>
      <c r="I1054" s="35">
        <f ca="1">IFERROR(Tabela3[[#This Row],[Custo Total]]/Tabela3[[#This Row],[Aluminio Util]],0)</f>
        <v>27.4815152116085</v>
      </c>
      <c r="J1054" s="35">
        <f ca="1">Tabela3[[#This Row],[Custo Total]]/Tabela3[[#This Row],[Realizado]]</f>
        <v>14.647647607787331</v>
      </c>
      <c r="K1054" s="37">
        <f>IFERROR(Tabela3[[#This Row],[Qtde Cx Produzida]]/Tabela3[[#This Row],[Tempo]]/24,0)</f>
        <v>6.929577464788732</v>
      </c>
      <c r="L1054" s="37">
        <f>Tabela3[[#This Row],[Qtde Cx Produzida]]*Tabela3[[#This Row],[Qdt Peça Placa]]</f>
        <v>164</v>
      </c>
      <c r="M1054" s="37">
        <f>Tabela3[[#This Row],[Previsto]]-Tabela3[[#This Row],[Perda Pçs]]</f>
        <v>152</v>
      </c>
      <c r="N1054" s="38">
        <f>IFERROR(Tabela3[[#This Row],[Perda Pçs]]/Tabela3[[#This Row],[Previsto]],0)</f>
        <v>7.3170731707317069E-2</v>
      </c>
      <c r="O1054" s="39">
        <f>IFERROR(IF(Tabela3[[#This Row],[Qtde Cx Produzida]] &lt;&gt; 0, Tabela3[[#This Row],[Tempo]] / Tabela3[[#This Row],[Qtde Cx Produzida]], 0),0)</f>
        <v>6.0128726287262879E-3</v>
      </c>
      <c r="P1054" s="57">
        <f>IFERROR(Tabela3[[#This Row],[Perda Pçs]]/Tabela3[[#This Row],[Qdt Peça Placa]],0)</f>
        <v>3</v>
      </c>
      <c r="Q1054" s="37">
        <f>IFERROR(Tabela3[[#This Row],[Realizado]]*Tabela3[[#This Row],[Peso Util/Pç]],0)</f>
        <v>81.016000000000005</v>
      </c>
      <c r="R1054" s="37">
        <f>IFERROR(Tabela3[[#This Row],[Peso Total Galho]]*Tabela3[[#This Row],[Qtde Cx Produzida]]*1.055,0)</f>
        <v>142.74149999999997</v>
      </c>
      <c r="S1054" s="37">
        <f>(Tabela3[[#This Row],[Aluminio Bruto]]-Tabela3[[#This Row],[Aluminio Util]])*0.9</f>
        <v>55.552949999999974</v>
      </c>
      <c r="T1054" s="37">
        <f>Tabela3[[#This Row],[Aluminio Bruto]]/OleoKGAluminio</f>
        <v>60.051164487013665</v>
      </c>
      <c r="U1054" s="35">
        <f>IFERROR((VLOOKUP(Tabela3[[#This Row],[Moldador]],Tabela1[],5,)+(VLOOKUP(Tabela3[[#This Row],[Ajudante]],Tabela1[],5,))*3.5),0)</f>
        <v>126.0945</v>
      </c>
      <c r="V1054" s="35">
        <f>IFERROR(Tabela3[[#This Row],[Custo M.O. / H]]/((Tabela3[[#This Row],[Realizado]]/Tabela3[[#This Row],[Qdt Peça Placa]])/Tabela3[[#This Row],[Tempo]]/24),)</f>
        <v>19.633134868421052</v>
      </c>
      <c r="W1054" s="35">
        <f>Tabela3[[#This Row],[Custo / Cx Moldada]]*Tabela3[[#This Row],[Qtde Cx Produzida]]</f>
        <v>804.95852960526315</v>
      </c>
      <c r="X1054" s="35">
        <f ca="1">Tabela3[[#This Row],[Aluminio Util]]*Tabela3[[#This Row],[Custo/Kg]]</f>
        <v>1263.8496000000002</v>
      </c>
      <c r="Y1054" s="35">
        <f>IFERROR(VLOOKUP(Tabela3[[#This Row],[Data]],Tabela461213[],2,1)*(Tabela3[[#This Row],[Qtde Cx Produzida]]*Tabela3[[#This Row],[Qde macho / CX]]*Tabela3[[#This Row],[Peso Macho]]),)</f>
        <v>0</v>
      </c>
      <c r="Z1054" s="35">
        <f>IFERROR(Tabela3[[#This Row],[Qtde Oleo]]*(VLOOKUP(Tabela3[[#This Row],[Data]],CompraOleo[],3,TRUE))*1.05,0)</f>
        <v>157.63430677841089</v>
      </c>
      <c r="AA1054" s="47">
        <f ca="1">(Tabela3[[#This Row],[Custo Oleo]]+Tabela3[[#This Row],[Custo Aluminio]]+Tabela3[[#This Row],[Custo M.O. Total]]+Tabela3[[#This Row],[Custo Machos]])</f>
        <v>2226.4424363836742</v>
      </c>
      <c r="AB1054" s="47">
        <f ca="1">Tabela3[[#This Row],[Custo Total]]*Tabela3[[#This Row],[% Perda]]</f>
        <v>162.91042217441517</v>
      </c>
      <c r="AC1054" s="40">
        <f>IFERROR(VLOOKUP(Tabela3[[#This Row],[Produto]],Tabela2[],2,0),0)</f>
        <v>4</v>
      </c>
      <c r="AD1054" s="48">
        <f>IFERROR(VLOOKUP(Tabela3[[#This Row],[Produto]],Tabela2[],3,0),0)</f>
        <v>0.53300000000000003</v>
      </c>
      <c r="AE1054" s="48">
        <f>IFERROR(VLOOKUP(Tabela3[[#This Row],[Produto]],Tabela2[],4,0),0)</f>
        <v>3.3</v>
      </c>
      <c r="AF1054" s="48">
        <f>IFERROR(VLOOKUP(Tabela3[[#This Row],[Produto]],Tabela2[],5,0),0)</f>
        <v>1.0511999999999997</v>
      </c>
      <c r="AG1054" s="48">
        <f>IFERROR(VLOOKUP(Tabela3[[#This Row],[Produto]],Tabela2[],6,0),0)</f>
        <v>0</v>
      </c>
      <c r="AH1054" s="40">
        <f>IFERROR(VLOOKUP(Tabela3[[#This Row],[Produto]],Tabela2[],7,0),0)</f>
        <v>0</v>
      </c>
      <c r="AI1054" s="40">
        <f>IFERROR(VLOOKUP(Tabela3[[#This Row],[Produto]],Tabela2[],8,0),0)</f>
        <v>0</v>
      </c>
      <c r="AJ1054" s="35">
        <f ca="1">IFERROR(VLOOKUP(Tabela3[[#This Row],[Produto]],Tabela2[],13,0),0)</f>
        <v>15.600000000000001</v>
      </c>
      <c r="AK1054" s="48" t="str">
        <f>IFERROR(VLOOKUP(Tabela3[[#This Row],[Produto]],Tabela2[],14,0),0)</f>
        <v>Senun</v>
      </c>
      <c r="AL1054" s="40">
        <f>IFERROR(VLOOKUP(Tabela3[[#This Row],[Produto]],Tabela2[],15,0),0)</f>
        <v>4</v>
      </c>
      <c r="AM1054" s="36">
        <f ca="1">(Tabela3[[#This Row],[Custo Usinagem]]+Tabela3[[#This Row],[Custo / Pç]])*1.2</f>
        <v>22.377177129344798</v>
      </c>
      <c r="AN1054" s="36">
        <f ca="1">Tabela3[[#This Row],[Valor Mínimo Venda]]*1.15</f>
        <v>25.733753698746515</v>
      </c>
      <c r="AO1054" s="36">
        <f ca="1">Tabela3[[#This Row],[Tabela 1]]*1.08</f>
        <v>27.792453994646237</v>
      </c>
      <c r="AP1054" s="36">
        <f ca="1">Tabela3[[#This Row],[Tabela 2]]*1.15</f>
        <v>31.961322093843172</v>
      </c>
    </row>
    <row r="1055" spans="1:42">
      <c r="A1055" s="9">
        <v>46105</v>
      </c>
      <c r="B1055" s="9" t="s">
        <v>180</v>
      </c>
      <c r="C1055" s="14">
        <v>9251</v>
      </c>
      <c r="D1055" s="6" t="s">
        <v>44</v>
      </c>
      <c r="E1055" s="6" t="s">
        <v>47</v>
      </c>
      <c r="F1055" s="6">
        <v>4</v>
      </c>
      <c r="G1055" s="15">
        <v>0.10069444444444445</v>
      </c>
      <c r="H1055" s="16">
        <v>0</v>
      </c>
      <c r="I1055" s="35">
        <f ca="1">IFERROR(Tabela3[[#This Row],[Custo Total]]/Tabela3[[#This Row],[Aluminio Util]],0)</f>
        <v>23.101072281988763</v>
      </c>
      <c r="J1055" s="35">
        <f ca="1">Tabela3[[#This Row],[Custo Total]]/Tabela3[[#This Row],[Realizado]]</f>
        <v>329.42129074115974</v>
      </c>
      <c r="K1055" s="37">
        <f>IFERROR(Tabela3[[#This Row],[Qtde Cx Produzida]]/Tabela3[[#This Row],[Tempo]]/24,0)</f>
        <v>1.6551724137931034</v>
      </c>
      <c r="L1055" s="37">
        <f>Tabela3[[#This Row],[Qtde Cx Produzida]]*Tabela3[[#This Row],[Qdt Peça Placa]]</f>
        <v>4</v>
      </c>
      <c r="M1055" s="37">
        <f>Tabela3[[#This Row],[Previsto]]-Tabela3[[#This Row],[Perda Pçs]]</f>
        <v>4</v>
      </c>
      <c r="N1055" s="38">
        <f>IFERROR(Tabela3[[#This Row],[Perda Pçs]]/Tabela3[[#This Row],[Previsto]],0)</f>
        <v>0</v>
      </c>
      <c r="O1055" s="39">
        <f>IFERROR(IF(Tabela3[[#This Row],[Qtde Cx Produzida]] &lt;&gt; 0, Tabela3[[#This Row],[Tempo]] / Tabela3[[#This Row],[Qtde Cx Produzida]], 0),0)</f>
        <v>2.5173611111111112E-2</v>
      </c>
      <c r="P1055" s="57">
        <f>IFERROR(Tabela3[[#This Row],[Perda Pçs]]/Tabela3[[#This Row],[Qdt Peça Placa]],0)</f>
        <v>0</v>
      </c>
      <c r="Q1055" s="37">
        <f>IFERROR(Tabela3[[#This Row],[Realizado]]*Tabela3[[#This Row],[Peso Util/Pç]],0)</f>
        <v>57.04</v>
      </c>
      <c r="R1055" s="37">
        <f>IFERROR(Tabela3[[#This Row],[Peso Total Galho]]*Tabela3[[#This Row],[Qtde Cx Produzida]]*1.055,0)</f>
        <v>65.41</v>
      </c>
      <c r="S1055" s="37">
        <f>(Tabela3[[#This Row],[Aluminio Bruto]]-Tabela3[[#This Row],[Aluminio Util]])*0.9</f>
        <v>7.5329999999999977</v>
      </c>
      <c r="T1055" s="37">
        <f>Tabela3[[#This Row],[Aluminio Bruto]]/OleoKGAluminio</f>
        <v>27.517902425682539</v>
      </c>
      <c r="U1055" s="35">
        <f>IFERROR((VLOOKUP(Tabela3[[#This Row],[Moldador]],Tabela1[],5,)+(VLOOKUP(Tabela3[[#This Row],[Ajudante]],Tabela1[],5,))*3.5),0)</f>
        <v>99.95034583333333</v>
      </c>
      <c r="V1055" s="35">
        <f>IFERROR(Tabela3[[#This Row],[Custo M.O. / H]]/((Tabela3[[#This Row],[Realizado]]/Tabela3[[#This Row],[Qdt Peça Placa]])/Tabela3[[#This Row],[Tempo]]/24),)</f>
        <v>60.386667274305552</v>
      </c>
      <c r="W1055" s="35">
        <f>Tabela3[[#This Row],[Custo / Cx Moldada]]*Tabela3[[#This Row],[Qtde Cx Produzida]]</f>
        <v>241.54666909722221</v>
      </c>
      <c r="X1055" s="35">
        <f ca="1">Tabela3[[#This Row],[Aluminio Util]]*Tabela3[[#This Row],[Custo/Kg]]</f>
        <v>1003.9040000000001</v>
      </c>
      <c r="Y1055" s="35">
        <f>IFERROR(VLOOKUP(Tabela3[[#This Row],[Data]],Tabela461213[],2,1)*(Tabela3[[#This Row],[Qtde Cx Produzida]]*Tabela3[[#This Row],[Qde macho / CX]]*Tabela3[[#This Row],[Peso Macho]]),)</f>
        <v>0</v>
      </c>
      <c r="Z1055" s="35">
        <f>IFERROR(Tabela3[[#This Row],[Qtde Oleo]]*(VLOOKUP(Tabela3[[#This Row],[Data]],CompraOleo[],3,TRUE))*1.05,0)</f>
        <v>72.234493867416674</v>
      </c>
      <c r="AA1055" s="47">
        <f ca="1">(Tabela3[[#This Row],[Custo Oleo]]+Tabela3[[#This Row],[Custo Aluminio]]+Tabela3[[#This Row],[Custo M.O. Total]]+Tabela3[[#This Row],[Custo Machos]])</f>
        <v>1317.6851629646389</v>
      </c>
      <c r="AB1055" s="47">
        <f ca="1">Tabela3[[#This Row],[Custo Total]]*Tabela3[[#This Row],[% Perda]]</f>
        <v>0</v>
      </c>
      <c r="AC1055" s="40">
        <f>IFERROR(VLOOKUP(Tabela3[[#This Row],[Produto]],Tabela2[],2,0),0)</f>
        <v>1</v>
      </c>
      <c r="AD1055" s="48">
        <f>IFERROR(VLOOKUP(Tabela3[[#This Row],[Produto]],Tabela2[],3,0),0)</f>
        <v>14.26</v>
      </c>
      <c r="AE1055" s="48">
        <f>IFERROR(VLOOKUP(Tabela3[[#This Row],[Produto]],Tabela2[],4,0),0)</f>
        <v>15.5</v>
      </c>
      <c r="AF1055" s="48">
        <f>IFERROR(VLOOKUP(Tabela3[[#This Row],[Produto]],Tabela2[],5,0),0)</f>
        <v>1.1160000000000003</v>
      </c>
      <c r="AG1055" s="48">
        <f>IFERROR(VLOOKUP(Tabela3[[#This Row],[Produto]],Tabela2[],6,0),0)</f>
        <v>0</v>
      </c>
      <c r="AH1055" s="40">
        <f>IFERROR(VLOOKUP(Tabela3[[#This Row],[Produto]],Tabela2[],7,0),0)</f>
        <v>0</v>
      </c>
      <c r="AI1055" s="40">
        <f>IFERROR(VLOOKUP(Tabela3[[#This Row],[Produto]],Tabela2[],8,0),0)</f>
        <v>0</v>
      </c>
      <c r="AJ1055" s="35">
        <f ca="1">IFERROR(VLOOKUP(Tabela3[[#This Row],[Produto]],Tabela2[],13,0),0)</f>
        <v>17.600000000000001</v>
      </c>
      <c r="AK1055" s="48" t="str">
        <f>IFERROR(VLOOKUP(Tabela3[[#This Row],[Produto]],Tabela2[],14,0),0)</f>
        <v>Oscar</v>
      </c>
      <c r="AL1055" s="40">
        <f>IFERROR(VLOOKUP(Tabela3[[#This Row],[Produto]],Tabela2[],15,0),0)</f>
        <v>0</v>
      </c>
      <c r="AM1055" s="36">
        <f ca="1">(Tabela3[[#This Row],[Custo Usinagem]]+Tabela3[[#This Row],[Custo / Pç]])*1.2</f>
        <v>395.30554888939167</v>
      </c>
      <c r="AN1055" s="36">
        <f ca="1">Tabela3[[#This Row],[Valor Mínimo Venda]]*1.15</f>
        <v>454.6013812228004</v>
      </c>
      <c r="AO1055" s="36">
        <f ca="1">Tabela3[[#This Row],[Tabela 1]]*1.08</f>
        <v>490.96949172062449</v>
      </c>
      <c r="AP1055" s="36">
        <f ca="1">Tabela3[[#This Row],[Tabela 2]]*1.15</f>
        <v>564.6149154787181</v>
      </c>
    </row>
    <row r="1056" spans="1:42">
      <c r="A1056" s="9">
        <v>46106</v>
      </c>
      <c r="B1056" s="9" t="s">
        <v>246</v>
      </c>
      <c r="C1056" s="14">
        <v>9249</v>
      </c>
      <c r="D1056" s="6" t="s">
        <v>46</v>
      </c>
      <c r="E1056" s="6" t="s">
        <v>44</v>
      </c>
      <c r="F1056" s="6">
        <v>24</v>
      </c>
      <c r="G1056" s="15">
        <v>0.14097222222222222</v>
      </c>
      <c r="H1056" s="16">
        <v>0</v>
      </c>
      <c r="I1056" s="35">
        <f ca="1">IFERROR(Tabela3[[#This Row],[Custo Total]]/Tabela3[[#This Row],[Aluminio Util]],0)</f>
        <v>25.740976109154474</v>
      </c>
      <c r="J1056" s="35">
        <f ca="1">Tabela3[[#This Row],[Custo Total]]/Tabela3[[#This Row],[Realizado]]</f>
        <v>13.719940266179336</v>
      </c>
      <c r="K1056" s="37">
        <f>IFERROR(Tabela3[[#This Row],[Qtde Cx Produzida]]/Tabela3[[#This Row],[Tempo]]/24,0)</f>
        <v>7.0935960591132998</v>
      </c>
      <c r="L1056" s="37">
        <f>Tabela3[[#This Row],[Qtde Cx Produzida]]*Tabela3[[#This Row],[Qdt Peça Placa]]</f>
        <v>96</v>
      </c>
      <c r="M1056" s="37">
        <f>Tabela3[[#This Row],[Previsto]]-Tabela3[[#This Row],[Perda Pçs]]</f>
        <v>96</v>
      </c>
      <c r="N1056" s="38">
        <f>IFERROR(Tabela3[[#This Row],[Perda Pçs]]/Tabela3[[#This Row],[Previsto]],0)</f>
        <v>0</v>
      </c>
      <c r="O1056" s="39">
        <f>IFERROR(IF(Tabela3[[#This Row],[Qtde Cx Produzida]] &lt;&gt; 0, Tabela3[[#This Row],[Tempo]] / Tabela3[[#This Row],[Qtde Cx Produzida]], 0),0)</f>
        <v>5.8738425925925928E-3</v>
      </c>
      <c r="P1056" s="57">
        <f>IFERROR(Tabela3[[#This Row],[Perda Pçs]]/Tabela3[[#This Row],[Qdt Peça Placa]],0)</f>
        <v>0</v>
      </c>
      <c r="Q1056" s="37">
        <f>IFERROR(Tabela3[[#This Row],[Realizado]]*Tabela3[[#This Row],[Peso Util/Pç]],0)</f>
        <v>51.168000000000006</v>
      </c>
      <c r="R1056" s="37">
        <f>IFERROR(Tabela3[[#This Row],[Peso Total Galho]]*Tabela3[[#This Row],[Qtde Cx Produzida]]*1.055,0)</f>
        <v>83.555999999999983</v>
      </c>
      <c r="S1056" s="37">
        <f>(Tabela3[[#This Row],[Aluminio Bruto]]-Tabela3[[#This Row],[Aluminio Util]])*0.9</f>
        <v>29.149199999999979</v>
      </c>
      <c r="T1056" s="37">
        <f>Tabela3[[#This Row],[Aluminio Bruto]]/OleoKGAluminio</f>
        <v>35.151901163129949</v>
      </c>
      <c r="U1056" s="35">
        <f>IFERROR((VLOOKUP(Tabela3[[#This Row],[Moldador]],Tabela1[],5,)+(VLOOKUP(Tabela3[[#This Row],[Ajudante]],Tabela1[],5,))*3.5),0)</f>
        <v>126.0945</v>
      </c>
      <c r="V1056" s="35">
        <f>IFERROR(Tabela3[[#This Row],[Custo M.O. / H]]/((Tabela3[[#This Row],[Realizado]]/Tabela3[[#This Row],[Qdt Peça Placa]])/Tabela3[[#This Row],[Tempo]]/24),)</f>
        <v>17.775821875000002</v>
      </c>
      <c r="W1056" s="35">
        <f>Tabela3[[#This Row],[Custo / Cx Moldada]]*Tabela3[[#This Row],[Qtde Cx Produzida]]</f>
        <v>426.61972500000002</v>
      </c>
      <c r="X1056" s="35">
        <f ca="1">Tabela3[[#This Row],[Aluminio Util]]*Tabela3[[#This Row],[Custo/Kg]]</f>
        <v>798.22080000000017</v>
      </c>
      <c r="Y1056" s="35">
        <f>IFERROR(VLOOKUP(Tabela3[[#This Row],[Data]],Tabela461213[],2,1)*(Tabela3[[#This Row],[Qtde Cx Produzida]]*Tabela3[[#This Row],[Qde macho / CX]]*Tabela3[[#This Row],[Peso Macho]]),)</f>
        <v>0</v>
      </c>
      <c r="Z1056" s="35">
        <f>IFERROR(Tabela3[[#This Row],[Qtde Oleo]]*(VLOOKUP(Tabela3[[#This Row],[Data]],CompraOleo[],3,TRUE))*1.05,0)</f>
        <v>92.273740553216115</v>
      </c>
      <c r="AA1056" s="47">
        <f ca="1">(Tabela3[[#This Row],[Custo Oleo]]+Tabela3[[#This Row],[Custo Aluminio]]+Tabela3[[#This Row],[Custo M.O. Total]]+Tabela3[[#This Row],[Custo Machos]])</f>
        <v>1317.1142655532162</v>
      </c>
      <c r="AB1056" s="47">
        <f ca="1">Tabela3[[#This Row],[Custo Total]]*Tabela3[[#This Row],[% Perda]]</f>
        <v>0</v>
      </c>
      <c r="AC1056" s="40">
        <f>IFERROR(VLOOKUP(Tabela3[[#This Row],[Produto]],Tabela2[],2,0),0)</f>
        <v>4</v>
      </c>
      <c r="AD1056" s="48">
        <f>IFERROR(VLOOKUP(Tabela3[[#This Row],[Produto]],Tabela2[],3,0),0)</f>
        <v>0.53300000000000003</v>
      </c>
      <c r="AE1056" s="48">
        <f>IFERROR(VLOOKUP(Tabela3[[#This Row],[Produto]],Tabela2[],4,0),0)</f>
        <v>3.3</v>
      </c>
      <c r="AF1056" s="48">
        <f>IFERROR(VLOOKUP(Tabela3[[#This Row],[Produto]],Tabela2[],5,0),0)</f>
        <v>1.0511999999999997</v>
      </c>
      <c r="AG1056" s="48">
        <f>IFERROR(VLOOKUP(Tabela3[[#This Row],[Produto]],Tabela2[],6,0),0)</f>
        <v>0</v>
      </c>
      <c r="AH1056" s="40">
        <f>IFERROR(VLOOKUP(Tabela3[[#This Row],[Produto]],Tabela2[],7,0),0)</f>
        <v>0</v>
      </c>
      <c r="AI1056" s="40">
        <f>IFERROR(VLOOKUP(Tabela3[[#This Row],[Produto]],Tabela2[],8,0),0)</f>
        <v>0</v>
      </c>
      <c r="AJ1056" s="35">
        <f ca="1">IFERROR(VLOOKUP(Tabela3[[#This Row],[Produto]],Tabela2[],13,0),0)</f>
        <v>15.600000000000001</v>
      </c>
      <c r="AK1056" s="48" t="str">
        <f>IFERROR(VLOOKUP(Tabela3[[#This Row],[Produto]],Tabela2[],14,0),0)</f>
        <v>Senun</v>
      </c>
      <c r="AL1056" s="40">
        <f>IFERROR(VLOOKUP(Tabela3[[#This Row],[Produto]],Tabela2[],15,0),0)</f>
        <v>4</v>
      </c>
      <c r="AM1056" s="36">
        <f ca="1">(Tabela3[[#This Row],[Custo Usinagem]]+Tabela3[[#This Row],[Custo / Pç]])*1.2</f>
        <v>21.263928319415204</v>
      </c>
      <c r="AN1056" s="36">
        <f ca="1">Tabela3[[#This Row],[Valor Mínimo Venda]]*1.15</f>
        <v>24.453517567327481</v>
      </c>
      <c r="AO1056" s="36">
        <f ca="1">Tabela3[[#This Row],[Tabela 1]]*1.08</f>
        <v>26.409798972713681</v>
      </c>
      <c r="AP1056" s="36">
        <f ca="1">Tabela3[[#This Row],[Tabela 2]]*1.15</f>
        <v>30.371268818620731</v>
      </c>
    </row>
    <row r="1057" spans="1:42">
      <c r="A1057" s="9">
        <v>46106</v>
      </c>
      <c r="B1057" s="9" t="s">
        <v>236</v>
      </c>
      <c r="C1057" s="14">
        <v>9250</v>
      </c>
      <c r="D1057" s="6" t="s">
        <v>46</v>
      </c>
      <c r="E1057" s="6" t="s">
        <v>44</v>
      </c>
      <c r="F1057" s="6">
        <v>44</v>
      </c>
      <c r="G1057" s="15">
        <v>0.22152777777777777</v>
      </c>
      <c r="H1057" s="16">
        <v>5</v>
      </c>
      <c r="I1057" s="35">
        <f ca="1">IFERROR(Tabela3[[#This Row],[Custo Total]]/Tabela3[[#This Row],[Aluminio Util]],0)</f>
        <v>25.746806871909868</v>
      </c>
      <c r="J1057" s="35">
        <f ca="1">Tabela3[[#This Row],[Custo Total]]/Tabela3[[#This Row],[Realizado]]</f>
        <v>7.7755356753167808</v>
      </c>
      <c r="K1057" s="37">
        <f>IFERROR(Tabela3[[#This Row],[Qtde Cx Produzida]]/Tabela3[[#This Row],[Tempo]]/24,0)</f>
        <v>8.2758620689655178</v>
      </c>
      <c r="L1057" s="37">
        <f>Tabela3[[#This Row],[Qtde Cx Produzida]]*Tabela3[[#This Row],[Qdt Peça Placa]]</f>
        <v>264</v>
      </c>
      <c r="M1057" s="37">
        <f>Tabela3[[#This Row],[Previsto]]-Tabela3[[#This Row],[Perda Pçs]]</f>
        <v>259</v>
      </c>
      <c r="N1057" s="38">
        <f>IFERROR(Tabela3[[#This Row],[Perda Pçs]]/Tabela3[[#This Row],[Previsto]],0)</f>
        <v>1.893939393939394E-2</v>
      </c>
      <c r="O1057" s="39">
        <f>IFERROR(IF(Tabela3[[#This Row],[Qtde Cx Produzida]] &lt;&gt; 0, Tabela3[[#This Row],[Tempo]] / Tabela3[[#This Row],[Qtde Cx Produzida]], 0),0)</f>
        <v>5.0347222222222217E-3</v>
      </c>
      <c r="P1057" s="57">
        <f>IFERROR(Tabela3[[#This Row],[Perda Pçs]]/Tabela3[[#This Row],[Qdt Peça Placa]],0)</f>
        <v>0.83333333333333337</v>
      </c>
      <c r="Q1057" s="37">
        <f>IFERROR(Tabela3[[#This Row],[Realizado]]*Tabela3[[#This Row],[Peso Util/Pç]],0)</f>
        <v>78.218000000000004</v>
      </c>
      <c r="R1057" s="37">
        <f>IFERROR(Tabela3[[#This Row],[Peso Total Galho]]*Tabela3[[#This Row],[Qtde Cx Produzida]]*1.055,0)</f>
        <v>99.895839999999993</v>
      </c>
      <c r="S1057" s="37">
        <f>(Tabela3[[#This Row],[Aluminio Bruto]]-Tabela3[[#This Row],[Aluminio Util]])*0.9</f>
        <v>19.510055999999992</v>
      </c>
      <c r="T1057" s="37">
        <f>Tabela3[[#This Row],[Aluminio Bruto]]/OleoKGAluminio</f>
        <v>42.026050723919809</v>
      </c>
      <c r="U1057" s="35">
        <f>IFERROR((VLOOKUP(Tabela3[[#This Row],[Moldador]],Tabela1[],5,)+(VLOOKUP(Tabela3[[#This Row],[Ajudante]],Tabela1[],5,))*3.5),0)</f>
        <v>126.0945</v>
      </c>
      <c r="V1057" s="35">
        <f>IFERROR(Tabela3[[#This Row],[Custo M.O. / H]]/((Tabela3[[#This Row],[Realizado]]/Tabela3[[#This Row],[Qdt Peça Placa]])/Tabela3[[#This Row],[Tempo]]/24),)</f>
        <v>15.530558108108108</v>
      </c>
      <c r="W1057" s="35">
        <f>Tabela3[[#This Row],[Custo / Cx Moldada]]*Tabela3[[#This Row],[Qtde Cx Produzida]]</f>
        <v>683.34455675675679</v>
      </c>
      <c r="X1057" s="35">
        <f ca="1">Tabela3[[#This Row],[Aluminio Util]]*Tabela3[[#This Row],[Custo/Kg]]</f>
        <v>1220.2008000000001</v>
      </c>
      <c r="Y1057" s="35">
        <f>IFERROR(VLOOKUP(Tabela3[[#This Row],[Data]],Tabela461213[],2,1)*(Tabela3[[#This Row],[Qtde Cx Produzida]]*Tabela3[[#This Row],[Qde macho / CX]]*Tabela3[[#This Row],[Peso Macho]]),)</f>
        <v>0</v>
      </c>
      <c r="Z1057" s="35">
        <f>IFERROR(Tabela3[[#This Row],[Qtde Oleo]]*(VLOOKUP(Tabela3[[#This Row],[Data]],CompraOleo[],3,TRUE))*1.05,0)</f>
        <v>110.31838315028951</v>
      </c>
      <c r="AA1057" s="47">
        <f ca="1">(Tabela3[[#This Row],[Custo Oleo]]+Tabela3[[#This Row],[Custo Aluminio]]+Tabela3[[#This Row],[Custo M.O. Total]]+Tabela3[[#This Row],[Custo Machos]])</f>
        <v>2013.8637399070462</v>
      </c>
      <c r="AB1057" s="47">
        <f ca="1">Tabela3[[#This Row],[Custo Total]]*Tabela3[[#This Row],[% Perda]]</f>
        <v>38.141358710360727</v>
      </c>
      <c r="AC1057" s="40">
        <f>IFERROR(VLOOKUP(Tabela3[[#This Row],[Produto]],Tabela2[],2,0),0)</f>
        <v>6</v>
      </c>
      <c r="AD1057" s="48">
        <f>IFERROR(VLOOKUP(Tabela3[[#This Row],[Produto]],Tabela2[],3,0),0)</f>
        <v>0.30199999999999999</v>
      </c>
      <c r="AE1057" s="48">
        <f>IFERROR(VLOOKUP(Tabela3[[#This Row],[Produto]],Tabela2[],4,0),0)</f>
        <v>2.1520000000000001</v>
      </c>
      <c r="AF1057" s="48">
        <f>IFERROR(VLOOKUP(Tabela3[[#This Row],[Produto]],Tabela2[],5,0),0)</f>
        <v>0.30600000000000027</v>
      </c>
      <c r="AG1057" s="48">
        <f>IFERROR(VLOOKUP(Tabela3[[#This Row],[Produto]],Tabela2[],6,0),0)</f>
        <v>0</v>
      </c>
      <c r="AH1057" s="40">
        <f>IFERROR(VLOOKUP(Tabela3[[#This Row],[Produto]],Tabela2[],7,0),0)</f>
        <v>0</v>
      </c>
      <c r="AI1057" s="40">
        <f>IFERROR(VLOOKUP(Tabela3[[#This Row],[Produto]],Tabela2[],8,0),0)</f>
        <v>0</v>
      </c>
      <c r="AJ1057" s="35">
        <f ca="1">IFERROR(VLOOKUP(Tabela3[[#This Row],[Produto]],Tabela2[],13,0),0)</f>
        <v>15.600000000000001</v>
      </c>
      <c r="AK1057" s="48" t="str">
        <f>IFERROR(VLOOKUP(Tabela3[[#This Row],[Produto]],Tabela2[],14,0),0)</f>
        <v>Senun</v>
      </c>
      <c r="AL1057" s="40">
        <f>IFERROR(VLOOKUP(Tabela3[[#This Row],[Produto]],Tabela2[],15,0),0)</f>
        <v>4</v>
      </c>
      <c r="AM1057" s="36">
        <f ca="1">(Tabela3[[#This Row],[Custo Usinagem]]+Tabela3[[#This Row],[Custo / Pç]])*1.2</f>
        <v>14.130642810380138</v>
      </c>
      <c r="AN1057" s="36">
        <f ca="1">Tabela3[[#This Row],[Valor Mínimo Venda]]*1.15</f>
        <v>16.250239231937158</v>
      </c>
      <c r="AO1057" s="36">
        <f ca="1">Tabela3[[#This Row],[Tabela 1]]*1.08</f>
        <v>17.550258370492131</v>
      </c>
      <c r="AP1057" s="36">
        <f ca="1">Tabela3[[#This Row],[Tabela 2]]*1.15</f>
        <v>20.18279712606595</v>
      </c>
    </row>
    <row r="1058" spans="1:42">
      <c r="A1058" s="9">
        <v>46106</v>
      </c>
      <c r="B1058" s="9" t="s">
        <v>236</v>
      </c>
      <c r="C1058" s="14">
        <v>9250</v>
      </c>
      <c r="D1058" s="6" t="s">
        <v>44</v>
      </c>
      <c r="E1058" s="6" t="s">
        <v>47</v>
      </c>
      <c r="F1058" s="6">
        <v>15</v>
      </c>
      <c r="G1058" s="15">
        <v>7.9166666666666663E-2</v>
      </c>
      <c r="H1058" s="16">
        <v>0</v>
      </c>
      <c r="I1058" s="35">
        <f ca="1">IFERROR(Tabela3[[#This Row],[Custo Total]]/Tabela3[[#This Row],[Aluminio Util]],0)</f>
        <v>23.970647416985258</v>
      </c>
      <c r="J1058" s="35">
        <f ca="1">Tabela3[[#This Row],[Custo Total]]/Tabela3[[#This Row],[Realizado]]</f>
        <v>7.2391355199295475</v>
      </c>
      <c r="K1058" s="37">
        <f>IFERROR(Tabela3[[#This Row],[Qtde Cx Produzida]]/Tabela3[[#This Row],[Tempo]]/24,0)</f>
        <v>7.8947368421052637</v>
      </c>
      <c r="L1058" s="37">
        <f>Tabela3[[#This Row],[Qtde Cx Produzida]]*Tabela3[[#This Row],[Qdt Peça Placa]]</f>
        <v>90</v>
      </c>
      <c r="M1058" s="37">
        <f>Tabela3[[#This Row],[Previsto]]-Tabela3[[#This Row],[Perda Pçs]]</f>
        <v>90</v>
      </c>
      <c r="N1058" s="38">
        <f>IFERROR(Tabela3[[#This Row],[Perda Pçs]]/Tabela3[[#This Row],[Previsto]],0)</f>
        <v>0</v>
      </c>
      <c r="O1058" s="39">
        <f>IFERROR(IF(Tabela3[[#This Row],[Qtde Cx Produzida]] &lt;&gt; 0, Tabela3[[#This Row],[Tempo]] / Tabela3[[#This Row],[Qtde Cx Produzida]], 0),0)</f>
        <v>5.2777777777777779E-3</v>
      </c>
      <c r="P1058" s="57">
        <f>IFERROR(Tabela3[[#This Row],[Perda Pçs]]/Tabela3[[#This Row],[Qdt Peça Placa]],0)</f>
        <v>0</v>
      </c>
      <c r="Q1058" s="37">
        <f>IFERROR(Tabela3[[#This Row],[Realizado]]*Tabela3[[#This Row],[Peso Util/Pç]],0)</f>
        <v>27.18</v>
      </c>
      <c r="R1058" s="37">
        <f>IFERROR(Tabela3[[#This Row],[Peso Total Galho]]*Tabela3[[#This Row],[Qtde Cx Produzida]]*1.055,0)</f>
        <v>34.055399999999999</v>
      </c>
      <c r="S1058" s="37">
        <f>(Tabela3[[#This Row],[Aluminio Bruto]]-Tabela3[[#This Row],[Aluminio Util]])*0.9</f>
        <v>6.1878599999999997</v>
      </c>
      <c r="T1058" s="37">
        <f>Tabela3[[#This Row],[Aluminio Bruto]]/OleoKGAluminio</f>
        <v>14.327062746790844</v>
      </c>
      <c r="U1058" s="35">
        <f>IFERROR((VLOOKUP(Tabela3[[#This Row],[Moldador]],Tabela1[],5,)+(VLOOKUP(Tabela3[[#This Row],[Ajudante]],Tabela1[],5,))*3.5),0)</f>
        <v>99.95034583333333</v>
      </c>
      <c r="V1058" s="35">
        <f>IFERROR(Tabela3[[#This Row],[Custo M.O. / H]]/((Tabela3[[#This Row],[Realizado]]/Tabela3[[#This Row],[Qdt Peça Placa]])/Tabela3[[#This Row],[Tempo]]/24),)</f>
        <v>12.660377138888888</v>
      </c>
      <c r="W1058" s="35">
        <f>Tabela3[[#This Row],[Custo / Cx Moldada]]*Tabela3[[#This Row],[Qtde Cx Produzida]]</f>
        <v>189.90565708333332</v>
      </c>
      <c r="X1058" s="35">
        <f ca="1">Tabela3[[#This Row],[Aluminio Util]]*Tabela3[[#This Row],[Custo/Kg]]</f>
        <v>424.00800000000004</v>
      </c>
      <c r="Y1058" s="35">
        <f>IFERROR(VLOOKUP(Tabela3[[#This Row],[Data]],Tabela461213[],2,1)*(Tabela3[[#This Row],[Qtde Cx Produzida]]*Tabela3[[#This Row],[Qde macho / CX]]*Tabela3[[#This Row],[Peso Macho]]),)</f>
        <v>0</v>
      </c>
      <c r="Z1058" s="35">
        <f>IFERROR(Tabela3[[#This Row],[Qtde Oleo]]*(VLOOKUP(Tabela3[[#This Row],[Data]],CompraOleo[],3,TRUE))*1.05,0)</f>
        <v>37.608539710325964</v>
      </c>
      <c r="AA1058" s="47">
        <f ca="1">(Tabela3[[#This Row],[Custo Oleo]]+Tabela3[[#This Row],[Custo Aluminio]]+Tabela3[[#This Row],[Custo M.O. Total]]+Tabela3[[#This Row],[Custo Machos]])</f>
        <v>651.5221967936593</v>
      </c>
      <c r="AB1058" s="47">
        <f ca="1">Tabela3[[#This Row],[Custo Total]]*Tabela3[[#This Row],[% Perda]]</f>
        <v>0</v>
      </c>
      <c r="AC1058" s="40">
        <f>IFERROR(VLOOKUP(Tabela3[[#This Row],[Produto]],Tabela2[],2,0),0)</f>
        <v>6</v>
      </c>
      <c r="AD1058" s="48">
        <f>IFERROR(VLOOKUP(Tabela3[[#This Row],[Produto]],Tabela2[],3,0),0)</f>
        <v>0.30199999999999999</v>
      </c>
      <c r="AE1058" s="48">
        <f>IFERROR(VLOOKUP(Tabela3[[#This Row],[Produto]],Tabela2[],4,0),0)</f>
        <v>2.1520000000000001</v>
      </c>
      <c r="AF1058" s="48">
        <f>IFERROR(VLOOKUP(Tabela3[[#This Row],[Produto]],Tabela2[],5,0),0)</f>
        <v>0.30600000000000027</v>
      </c>
      <c r="AG1058" s="48">
        <f>IFERROR(VLOOKUP(Tabela3[[#This Row],[Produto]],Tabela2[],6,0),0)</f>
        <v>0</v>
      </c>
      <c r="AH1058" s="40">
        <f>IFERROR(VLOOKUP(Tabela3[[#This Row],[Produto]],Tabela2[],7,0),0)</f>
        <v>0</v>
      </c>
      <c r="AI1058" s="40">
        <f>IFERROR(VLOOKUP(Tabela3[[#This Row],[Produto]],Tabela2[],8,0),0)</f>
        <v>0</v>
      </c>
      <c r="AJ1058" s="35">
        <f ca="1">IFERROR(VLOOKUP(Tabela3[[#This Row],[Produto]],Tabela2[],13,0),0)</f>
        <v>15.600000000000001</v>
      </c>
      <c r="AK1058" s="48" t="str">
        <f>IFERROR(VLOOKUP(Tabela3[[#This Row],[Produto]],Tabela2[],14,0),0)</f>
        <v>Senun</v>
      </c>
      <c r="AL1058" s="40">
        <f>IFERROR(VLOOKUP(Tabela3[[#This Row],[Produto]],Tabela2[],15,0),0)</f>
        <v>4</v>
      </c>
      <c r="AM1058" s="36">
        <f ca="1">(Tabela3[[#This Row],[Custo Usinagem]]+Tabela3[[#This Row],[Custo / Pç]])*1.2</f>
        <v>13.486962623915456</v>
      </c>
      <c r="AN1058" s="36">
        <f ca="1">Tabela3[[#This Row],[Valor Mínimo Venda]]*1.15</f>
        <v>15.510007017502774</v>
      </c>
      <c r="AO1058" s="36">
        <f ca="1">Tabela3[[#This Row],[Tabela 1]]*1.08</f>
        <v>16.750807578902997</v>
      </c>
      <c r="AP1058" s="36">
        <f ca="1">Tabela3[[#This Row],[Tabela 2]]*1.15</f>
        <v>19.263428715738446</v>
      </c>
    </row>
    <row r="1059" spans="1:42">
      <c r="A1059" s="9">
        <v>46107</v>
      </c>
      <c r="B1059" s="9" t="s">
        <v>236</v>
      </c>
      <c r="C1059" s="14">
        <v>9250</v>
      </c>
      <c r="D1059" s="6" t="s">
        <v>46</v>
      </c>
      <c r="E1059" s="6" t="s">
        <v>44</v>
      </c>
      <c r="F1059" s="6">
        <v>27</v>
      </c>
      <c r="G1059" s="15">
        <v>0.16041666666666668</v>
      </c>
      <c r="H1059" s="16">
        <v>0</v>
      </c>
      <c r="I1059" s="35">
        <f ca="1">IFERROR(Tabela3[[#This Row],[Custo Total]]/Tabela3[[#This Row],[Aluminio Util]],0)</f>
        <v>26.906499805383593</v>
      </c>
      <c r="J1059" s="35">
        <f ca="1">Tabela3[[#This Row],[Custo Total]]/Tabela3[[#This Row],[Realizado]]</f>
        <v>8.1257629412258456</v>
      </c>
      <c r="K1059" s="37">
        <f>IFERROR(Tabela3[[#This Row],[Qtde Cx Produzida]]/Tabela3[[#This Row],[Tempo]]/24,0)</f>
        <v>7.0129870129870122</v>
      </c>
      <c r="L1059" s="37">
        <f>Tabela3[[#This Row],[Qtde Cx Produzida]]*Tabela3[[#This Row],[Qdt Peça Placa]]</f>
        <v>162</v>
      </c>
      <c r="M1059" s="37">
        <f>Tabela3[[#This Row],[Previsto]]-Tabela3[[#This Row],[Perda Pçs]]</f>
        <v>162</v>
      </c>
      <c r="N1059" s="38">
        <f>IFERROR(Tabela3[[#This Row],[Perda Pçs]]/Tabela3[[#This Row],[Previsto]],0)</f>
        <v>0</v>
      </c>
      <c r="O1059" s="39">
        <f>IFERROR(IF(Tabela3[[#This Row],[Qtde Cx Produzida]] &lt;&gt; 0, Tabela3[[#This Row],[Tempo]] / Tabela3[[#This Row],[Qtde Cx Produzida]], 0),0)</f>
        <v>5.9413580246913582E-3</v>
      </c>
      <c r="P1059" s="57">
        <f>IFERROR(Tabela3[[#This Row],[Perda Pçs]]/Tabela3[[#This Row],[Qdt Peça Placa]],0)</f>
        <v>0</v>
      </c>
      <c r="Q1059" s="37">
        <f>IFERROR(Tabela3[[#This Row],[Realizado]]*Tabela3[[#This Row],[Peso Util/Pç]],0)</f>
        <v>48.923999999999999</v>
      </c>
      <c r="R1059" s="37">
        <f>IFERROR(Tabela3[[#This Row],[Peso Total Galho]]*Tabela3[[#This Row],[Qtde Cx Produzida]]*1.055,0)</f>
        <v>61.299720000000001</v>
      </c>
      <c r="S1059" s="37">
        <f>(Tabela3[[#This Row],[Aluminio Bruto]]-Tabela3[[#This Row],[Aluminio Util]])*0.9</f>
        <v>11.138148000000001</v>
      </c>
      <c r="T1059" s="37">
        <f>Tabela3[[#This Row],[Aluminio Bruto]]/OleoKGAluminio</f>
        <v>25.788712944223523</v>
      </c>
      <c r="U1059" s="35">
        <f>IFERROR((VLOOKUP(Tabela3[[#This Row],[Moldador]],Tabela1[],5,)+(VLOOKUP(Tabela3[[#This Row],[Ajudante]],Tabela1[],5,))*3.5),0)</f>
        <v>126.0945</v>
      </c>
      <c r="V1059" s="35">
        <f>IFERROR(Tabela3[[#This Row],[Custo M.O. / H]]/((Tabela3[[#This Row],[Realizado]]/Tabela3[[#This Row],[Qdt Peça Placa]])/Tabela3[[#This Row],[Tempo]]/24),)</f>
        <v>17.980141666666668</v>
      </c>
      <c r="W1059" s="35">
        <f>Tabela3[[#This Row],[Custo / Cx Moldada]]*Tabela3[[#This Row],[Qtde Cx Produzida]]</f>
        <v>485.46382500000004</v>
      </c>
      <c r="X1059" s="35">
        <f ca="1">Tabela3[[#This Row],[Aluminio Util]]*Tabela3[[#This Row],[Custo/Kg]]</f>
        <v>763.21440000000007</v>
      </c>
      <c r="Y1059" s="35">
        <f>IFERROR(VLOOKUP(Tabela3[[#This Row],[Data]],Tabela461213[],2,1)*(Tabela3[[#This Row],[Qtde Cx Produzida]]*Tabela3[[#This Row],[Qde macho / CX]]*Tabela3[[#This Row],[Peso Macho]]),)</f>
        <v>0</v>
      </c>
      <c r="Z1059" s="35">
        <f>IFERROR(Tabela3[[#This Row],[Qtde Oleo]]*(VLOOKUP(Tabela3[[#This Row],[Data]],CompraOleo[],3,TRUE))*1.05,0)</f>
        <v>67.69537147858675</v>
      </c>
      <c r="AA1059" s="47">
        <f ca="1">(Tabela3[[#This Row],[Custo Oleo]]+Tabela3[[#This Row],[Custo Aluminio]]+Tabela3[[#This Row],[Custo M.O. Total]]+Tabela3[[#This Row],[Custo Machos]])</f>
        <v>1316.3735964785869</v>
      </c>
      <c r="AB1059" s="47">
        <f ca="1">Tabela3[[#This Row],[Custo Total]]*Tabela3[[#This Row],[% Perda]]</f>
        <v>0</v>
      </c>
      <c r="AC1059" s="40">
        <f>IFERROR(VLOOKUP(Tabela3[[#This Row],[Produto]],Tabela2[],2,0),0)</f>
        <v>6</v>
      </c>
      <c r="AD1059" s="48">
        <f>IFERROR(VLOOKUP(Tabela3[[#This Row],[Produto]],Tabela2[],3,0),0)</f>
        <v>0.30199999999999999</v>
      </c>
      <c r="AE1059" s="48">
        <f>IFERROR(VLOOKUP(Tabela3[[#This Row],[Produto]],Tabela2[],4,0),0)</f>
        <v>2.1520000000000001</v>
      </c>
      <c r="AF1059" s="48">
        <f>IFERROR(VLOOKUP(Tabela3[[#This Row],[Produto]],Tabela2[],5,0),0)</f>
        <v>0.30600000000000027</v>
      </c>
      <c r="AG1059" s="48">
        <f>IFERROR(VLOOKUP(Tabela3[[#This Row],[Produto]],Tabela2[],6,0),0)</f>
        <v>0</v>
      </c>
      <c r="AH1059" s="40">
        <f>IFERROR(VLOOKUP(Tabela3[[#This Row],[Produto]],Tabela2[],7,0),0)</f>
        <v>0</v>
      </c>
      <c r="AI1059" s="40">
        <f>IFERROR(VLOOKUP(Tabela3[[#This Row],[Produto]],Tabela2[],8,0),0)</f>
        <v>0</v>
      </c>
      <c r="AJ1059" s="35">
        <f ca="1">IFERROR(VLOOKUP(Tabela3[[#This Row],[Produto]],Tabela2[],13,0),0)</f>
        <v>15.600000000000001</v>
      </c>
      <c r="AK1059" s="48" t="str">
        <f>IFERROR(VLOOKUP(Tabela3[[#This Row],[Produto]],Tabela2[],14,0),0)</f>
        <v>Senun</v>
      </c>
      <c r="AL1059" s="40">
        <f>IFERROR(VLOOKUP(Tabela3[[#This Row],[Produto]],Tabela2[],15,0),0)</f>
        <v>4</v>
      </c>
      <c r="AM1059" s="36">
        <f ca="1">(Tabela3[[#This Row],[Custo Usinagem]]+Tabela3[[#This Row],[Custo / Pç]])*1.2</f>
        <v>14.550915529471014</v>
      </c>
      <c r="AN1059" s="36">
        <f ca="1">Tabela3[[#This Row],[Valor Mínimo Venda]]*1.15</f>
        <v>16.733552858891667</v>
      </c>
      <c r="AO1059" s="36">
        <f ca="1">Tabela3[[#This Row],[Tabela 1]]*1.08</f>
        <v>18.072237087603</v>
      </c>
      <c r="AP1059" s="36">
        <f ca="1">Tabela3[[#This Row],[Tabela 2]]*1.15</f>
        <v>20.783072650743449</v>
      </c>
    </row>
    <row r="1060" spans="1:42">
      <c r="A1060" s="9">
        <v>46107</v>
      </c>
      <c r="B1060" s="9" t="s">
        <v>229</v>
      </c>
      <c r="C1060" s="14">
        <v>9315</v>
      </c>
      <c r="D1060" s="6" t="s">
        <v>46</v>
      </c>
      <c r="E1060" s="6" t="s">
        <v>44</v>
      </c>
      <c r="F1060" s="6">
        <v>12</v>
      </c>
      <c r="G1060" s="15">
        <v>4.4444444444444446E-2</v>
      </c>
      <c r="H1060" s="16">
        <v>0</v>
      </c>
      <c r="I1060" s="35">
        <f ca="1">IFERROR(Tabela3[[#This Row],[Custo Total]]/Tabela3[[#This Row],[Aluminio Util]],0)</f>
        <v>21.14552172106303</v>
      </c>
      <c r="J1060" s="35">
        <f ca="1">Tabela3[[#This Row],[Custo Total]]/Tabela3[[#This Row],[Realizado]]</f>
        <v>58.953714558323725</v>
      </c>
      <c r="K1060" s="37">
        <f>IFERROR(Tabela3[[#This Row],[Qtde Cx Produzida]]/Tabela3[[#This Row],[Tempo]]/24,0)</f>
        <v>11.25</v>
      </c>
      <c r="L1060" s="37">
        <f>Tabela3[[#This Row],[Qtde Cx Produzida]]*Tabela3[[#This Row],[Qdt Peça Placa]]</f>
        <v>12</v>
      </c>
      <c r="M1060" s="37">
        <f>Tabela3[[#This Row],[Previsto]]-Tabela3[[#This Row],[Perda Pçs]]</f>
        <v>12</v>
      </c>
      <c r="N1060" s="38">
        <f>IFERROR(Tabela3[[#This Row],[Perda Pçs]]/Tabela3[[#This Row],[Previsto]],0)</f>
        <v>0</v>
      </c>
      <c r="O1060" s="39">
        <f>IFERROR(IF(Tabela3[[#This Row],[Qtde Cx Produzida]] &lt;&gt; 0, Tabela3[[#This Row],[Tempo]] / Tabela3[[#This Row],[Qtde Cx Produzida]], 0),0)</f>
        <v>3.7037037037037038E-3</v>
      </c>
      <c r="P1060" s="57">
        <f>IFERROR(Tabela3[[#This Row],[Perda Pçs]]/Tabela3[[#This Row],[Qdt Peça Placa]],0)</f>
        <v>0</v>
      </c>
      <c r="Q1060" s="37">
        <f>IFERROR(Tabela3[[#This Row],[Realizado]]*Tabela3[[#This Row],[Peso Util/Pç]],0)</f>
        <v>33.455999999999996</v>
      </c>
      <c r="R1060" s="37">
        <f>IFERROR(Tabela3[[#This Row],[Peso Total Galho]]*Tabela3[[#This Row],[Qtde Cx Produzida]]*1.055,0)</f>
        <v>46.208999999999996</v>
      </c>
      <c r="S1060" s="37">
        <f>(Tabela3[[#This Row],[Aluminio Bruto]]-Tabela3[[#This Row],[Aluminio Util]])*0.9</f>
        <v>11.4777</v>
      </c>
      <c r="T1060" s="37">
        <f>Tabela3[[#This Row],[Aluminio Bruto]]/OleoKGAluminio</f>
        <v>19.440066552337019</v>
      </c>
      <c r="U1060" s="35">
        <f>IFERROR((VLOOKUP(Tabela3[[#This Row],[Moldador]],Tabela1[],5,)+(VLOOKUP(Tabela3[[#This Row],[Ajudante]],Tabela1[],5,))*3.5),0)</f>
        <v>126.0945</v>
      </c>
      <c r="V1060" s="35">
        <f>IFERROR(Tabela3[[#This Row],[Custo M.O. / H]]/((Tabela3[[#This Row],[Realizado]]/Tabela3[[#This Row],[Qdt Peça Placa]])/Tabela3[[#This Row],[Tempo]]/24),)</f>
        <v>11.208399999999999</v>
      </c>
      <c r="W1060" s="35">
        <f>Tabela3[[#This Row],[Custo / Cx Moldada]]*Tabela3[[#This Row],[Qtde Cx Produzida]]</f>
        <v>134.5008</v>
      </c>
      <c r="X1060" s="35">
        <f ca="1">Tabela3[[#This Row],[Aluminio Util]]*Tabela3[[#This Row],[Custo/Kg]]</f>
        <v>521.91359999999997</v>
      </c>
      <c r="Y1060" s="35">
        <f>IFERROR(VLOOKUP(Tabela3[[#This Row],[Data]],Tabela461213[],2,1)*(Tabela3[[#This Row],[Qtde Cx Produzida]]*Tabela3[[#This Row],[Qde macho / CX]]*Tabela3[[#This Row],[Peso Macho]]),)</f>
        <v>0</v>
      </c>
      <c r="Z1060" s="35">
        <f>IFERROR(Tabela3[[#This Row],[Qtde Oleo]]*(VLOOKUP(Tabela3[[#This Row],[Data]],CompraOleo[],3,TRUE))*1.05,0)</f>
        <v>51.030174699884675</v>
      </c>
      <c r="AA1060" s="47">
        <f ca="1">(Tabela3[[#This Row],[Custo Oleo]]+Tabela3[[#This Row],[Custo Aluminio]]+Tabela3[[#This Row],[Custo M.O. Total]]+Tabela3[[#This Row],[Custo Machos]])</f>
        <v>707.4445746998847</v>
      </c>
      <c r="AB1060" s="47">
        <f ca="1">Tabela3[[#This Row],[Custo Total]]*Tabela3[[#This Row],[% Perda]]</f>
        <v>0</v>
      </c>
      <c r="AC1060" s="40">
        <f>IFERROR(VLOOKUP(Tabela3[[#This Row],[Produto]],Tabela2[],2,0),0)</f>
        <v>1</v>
      </c>
      <c r="AD1060" s="48">
        <f>IFERROR(VLOOKUP(Tabela3[[#This Row],[Produto]],Tabela2[],3,0),0)</f>
        <v>2.7879999999999998</v>
      </c>
      <c r="AE1060" s="48">
        <f>IFERROR(VLOOKUP(Tabela3[[#This Row],[Produto]],Tabela2[],4,0),0)</f>
        <v>3.65</v>
      </c>
      <c r="AF1060" s="48">
        <f>IFERROR(VLOOKUP(Tabela3[[#This Row],[Produto]],Tabela2[],5,0),0)</f>
        <v>0.77580000000000016</v>
      </c>
      <c r="AG1060" s="48">
        <f>IFERROR(VLOOKUP(Tabela3[[#This Row],[Produto]],Tabela2[],6,0),0)</f>
        <v>0</v>
      </c>
      <c r="AH1060" s="40">
        <f>IFERROR(VLOOKUP(Tabela3[[#This Row],[Produto]],Tabela2[],7,0),0)</f>
        <v>0</v>
      </c>
      <c r="AI1060" s="40">
        <f>IFERROR(VLOOKUP(Tabela3[[#This Row],[Produto]],Tabela2[],8,0),0)</f>
        <v>0</v>
      </c>
      <c r="AJ1060" s="35">
        <f ca="1">IFERROR(VLOOKUP(Tabela3[[#This Row],[Produto]],Tabela2[],13,0),0)</f>
        <v>15.600000000000001</v>
      </c>
      <c r="AK1060" s="48" t="str">
        <f>IFERROR(VLOOKUP(Tabela3[[#This Row],[Produto]],Tabela2[],14,0),0)</f>
        <v>Jumil</v>
      </c>
      <c r="AL1060" s="40">
        <f>IFERROR(VLOOKUP(Tabela3[[#This Row],[Produto]],Tabela2[],15,0),0)</f>
        <v>35</v>
      </c>
      <c r="AM1060" s="36">
        <f ca="1">(Tabela3[[#This Row],[Custo Usinagem]]+Tabela3[[#This Row],[Custo / Pç]])*1.2</f>
        <v>112.74445746998846</v>
      </c>
      <c r="AN1060" s="36">
        <f ca="1">Tabela3[[#This Row],[Valor Mínimo Venda]]*1.15</f>
        <v>129.65612609048671</v>
      </c>
      <c r="AO1060" s="36">
        <f ca="1">Tabela3[[#This Row],[Tabela 1]]*1.08</f>
        <v>140.02861617772567</v>
      </c>
      <c r="AP1060" s="36">
        <f ca="1">Tabela3[[#This Row],[Tabela 2]]*1.15</f>
        <v>161.03290860438452</v>
      </c>
    </row>
    <row r="1061" spans="1:42">
      <c r="A1061" s="9">
        <v>46107</v>
      </c>
      <c r="B1061" s="9" t="s">
        <v>142</v>
      </c>
      <c r="C1061" s="14">
        <v>9234</v>
      </c>
      <c r="D1061" s="6" t="s">
        <v>46</v>
      </c>
      <c r="E1061" s="6" t="s">
        <v>44</v>
      </c>
      <c r="F1061" s="6">
        <v>32</v>
      </c>
      <c r="G1061" s="15">
        <v>0.15069444444444444</v>
      </c>
      <c r="H1061" s="16">
        <v>0</v>
      </c>
      <c r="I1061" s="35">
        <f ca="1">IFERROR(Tabela3[[#This Row],[Custo Total]]/Tabela3[[#This Row],[Aluminio Util]],0)</f>
        <v>36.350043790627524</v>
      </c>
      <c r="J1061" s="35">
        <f ca="1">Tabela3[[#This Row],[Custo Total]]/Tabela3[[#This Row],[Realizado]]</f>
        <v>29.080035032502021</v>
      </c>
      <c r="K1061" s="37">
        <f>IFERROR(Tabela3[[#This Row],[Qtde Cx Produzida]]/Tabela3[[#This Row],[Tempo]]/24,0)</f>
        <v>8.8479262672811068</v>
      </c>
      <c r="L1061" s="37">
        <f>Tabela3[[#This Row],[Qtde Cx Produzida]]*Tabela3[[#This Row],[Qdt Peça Placa]]</f>
        <v>32</v>
      </c>
      <c r="M1061" s="37">
        <f>Tabela3[[#This Row],[Previsto]]-Tabela3[[#This Row],[Perda Pçs]]</f>
        <v>32</v>
      </c>
      <c r="N1061" s="38">
        <f>IFERROR(Tabela3[[#This Row],[Perda Pçs]]/Tabela3[[#This Row],[Previsto]],0)</f>
        <v>0</v>
      </c>
      <c r="O1061" s="39">
        <f>IFERROR(IF(Tabela3[[#This Row],[Qtde Cx Produzida]] &lt;&gt; 0, Tabela3[[#This Row],[Tempo]] / Tabela3[[#This Row],[Qtde Cx Produzida]], 0),0)</f>
        <v>4.7092013888888886E-3</v>
      </c>
      <c r="P1061" s="57">
        <f>IFERROR(Tabela3[[#This Row],[Perda Pçs]]/Tabela3[[#This Row],[Qdt Peça Placa]],0)</f>
        <v>0</v>
      </c>
      <c r="Q1061" s="37">
        <f>IFERROR(Tabela3[[#This Row],[Realizado]]*Tabela3[[#This Row],[Peso Util/Pç]],0)</f>
        <v>25.6</v>
      </c>
      <c r="R1061" s="37">
        <f>IFERROR(Tabela3[[#This Row],[Peso Total Galho]]*Tabela3[[#This Row],[Qtde Cx Produzida]]*1.055,0)</f>
        <v>45.576000000000001</v>
      </c>
      <c r="S1061" s="37">
        <f>(Tabela3[[#This Row],[Aluminio Bruto]]-Tabela3[[#This Row],[Aluminio Util]])*0.9</f>
        <v>17.978400000000001</v>
      </c>
      <c r="T1061" s="37">
        <f>Tabela3[[#This Row],[Aluminio Bruto]]/OleoKGAluminio</f>
        <v>19.173764270798156</v>
      </c>
      <c r="U1061" s="35">
        <f>IFERROR((VLOOKUP(Tabela3[[#This Row],[Moldador]],Tabela1[],5,)+(VLOOKUP(Tabela3[[#This Row],[Ajudante]],Tabela1[],5,))*3.5),0)</f>
        <v>126.0945</v>
      </c>
      <c r="V1061" s="35">
        <f>IFERROR(Tabela3[[#This Row],[Custo M.O. / H]]/((Tabela3[[#This Row],[Realizado]]/Tabela3[[#This Row],[Qdt Peça Placa]])/Tabela3[[#This Row],[Tempo]]/24),)</f>
        <v>14.251305468749999</v>
      </c>
      <c r="W1061" s="35">
        <f>Tabela3[[#This Row],[Custo / Cx Moldada]]*Tabela3[[#This Row],[Qtde Cx Produzida]]</f>
        <v>456.04177499999997</v>
      </c>
      <c r="X1061" s="35">
        <f ca="1">Tabela3[[#This Row],[Aluminio Util]]*Tabela3[[#This Row],[Custo/Kg]]</f>
        <v>424.18821482921953</v>
      </c>
      <c r="Y1061" s="35">
        <f>IFERROR(VLOOKUP(Tabela3[[#This Row],[Data]],Tabela461213[],2,1)*(Tabela3[[#This Row],[Qtde Cx Produzida]]*Tabela3[[#This Row],[Qde macho / CX]]*Tabela3[[#This Row],[Peso Macho]]),)</f>
        <v>0</v>
      </c>
      <c r="Z1061" s="35">
        <f>IFERROR(Tabela3[[#This Row],[Qtde Oleo]]*(VLOOKUP(Tabela3[[#This Row],[Data]],CompraOleo[],3,TRUE))*1.05,0)</f>
        <v>50.331131210845165</v>
      </c>
      <c r="AA1061" s="47">
        <f ca="1">(Tabela3[[#This Row],[Custo Oleo]]+Tabela3[[#This Row],[Custo Aluminio]]+Tabela3[[#This Row],[Custo M.O. Total]]+Tabela3[[#This Row],[Custo Machos]])</f>
        <v>930.56112104006468</v>
      </c>
      <c r="AB1061" s="47">
        <f ca="1">Tabela3[[#This Row],[Custo Total]]*Tabela3[[#This Row],[% Perda]]</f>
        <v>0</v>
      </c>
      <c r="AC1061" s="40">
        <f>IFERROR(VLOOKUP(Tabela3[[#This Row],[Produto]],Tabela2[],2,0),0)</f>
        <v>1</v>
      </c>
      <c r="AD1061" s="48">
        <f>IFERROR(VLOOKUP(Tabela3[[#This Row],[Produto]],Tabela2[],3,0),0)</f>
        <v>0.8</v>
      </c>
      <c r="AE1061" s="48">
        <f>IFERROR(VLOOKUP(Tabela3[[#This Row],[Produto]],Tabela2[],4,0),0)</f>
        <v>1.35</v>
      </c>
      <c r="AF1061" s="48">
        <f>IFERROR(VLOOKUP(Tabela3[[#This Row],[Produto]],Tabela2[],5,0),0)</f>
        <v>0.49500000000000005</v>
      </c>
      <c r="AG1061" s="48">
        <f>IFERROR(VLOOKUP(Tabela3[[#This Row],[Produto]],Tabela2[],6,0),0)</f>
        <v>0</v>
      </c>
      <c r="AH1061" s="40">
        <f>IFERROR(VLOOKUP(Tabela3[[#This Row],[Produto]],Tabela2[],7,0),0)</f>
        <v>0</v>
      </c>
      <c r="AI1061" s="40">
        <f>IFERROR(VLOOKUP(Tabela3[[#This Row],[Produto]],Tabela2[],8,0),0)</f>
        <v>0</v>
      </c>
      <c r="AJ1061" s="35">
        <f ca="1">IFERROR(VLOOKUP(Tabela3[[#This Row],[Produto]],Tabela2[],13,0),0)</f>
        <v>16.569852141766386</v>
      </c>
      <c r="AK1061" s="48" t="str">
        <f>IFERROR(VLOOKUP(Tabela3[[#This Row],[Produto]],Tabela2[],14,0),0)</f>
        <v>Danilo</v>
      </c>
      <c r="AL1061" s="40">
        <f>IFERROR(VLOOKUP(Tabela3[[#This Row],[Produto]],Tabela2[],15,0),0)</f>
        <v>0</v>
      </c>
      <c r="AM1061" s="36">
        <f ca="1">(Tabela3[[#This Row],[Custo Usinagem]]+Tabela3[[#This Row],[Custo / Pç]])*1.2</f>
        <v>34.896042039002424</v>
      </c>
      <c r="AN1061" s="36">
        <f ca="1">Tabela3[[#This Row],[Valor Mínimo Venda]]*1.15</f>
        <v>40.130448344852788</v>
      </c>
      <c r="AO1061" s="36">
        <f ca="1">Tabela3[[#This Row],[Tabela 1]]*1.08</f>
        <v>43.340884212441011</v>
      </c>
      <c r="AP1061" s="36">
        <f ca="1">Tabela3[[#This Row],[Tabela 2]]*1.15</f>
        <v>49.84201684430716</v>
      </c>
    </row>
    <row r="1062" spans="1:42">
      <c r="A1062" s="9">
        <v>46107</v>
      </c>
      <c r="B1062" s="9" t="s">
        <v>142</v>
      </c>
      <c r="C1062" s="14">
        <v>9234</v>
      </c>
      <c r="D1062" s="6" t="s">
        <v>44</v>
      </c>
      <c r="E1062" s="6" t="s">
        <v>47</v>
      </c>
      <c r="F1062" s="6">
        <v>18</v>
      </c>
      <c r="G1062" s="15">
        <v>7.7083333333333337E-2</v>
      </c>
      <c r="H1062" s="16">
        <v>0</v>
      </c>
      <c r="I1062" s="35">
        <f ca="1">IFERROR(Tabela3[[#This Row],[Custo Total]]/Tabela3[[#This Row],[Aluminio Util]],0)</f>
        <v>31.37675499577799</v>
      </c>
      <c r="J1062" s="35">
        <f ca="1">Tabela3[[#This Row],[Custo Total]]/Tabela3[[#This Row],[Realizado]]</f>
        <v>25.101403996622391</v>
      </c>
      <c r="K1062" s="37">
        <f>IFERROR(Tabela3[[#This Row],[Qtde Cx Produzida]]/Tabela3[[#This Row],[Tempo]]/24,0)</f>
        <v>9.7297297297297298</v>
      </c>
      <c r="L1062" s="37">
        <f>Tabela3[[#This Row],[Qtde Cx Produzida]]*Tabela3[[#This Row],[Qdt Peça Placa]]</f>
        <v>18</v>
      </c>
      <c r="M1062" s="37">
        <f>Tabela3[[#This Row],[Previsto]]-Tabela3[[#This Row],[Perda Pçs]]</f>
        <v>18</v>
      </c>
      <c r="N1062" s="38">
        <f>IFERROR(Tabela3[[#This Row],[Perda Pçs]]/Tabela3[[#This Row],[Previsto]],0)</f>
        <v>0</v>
      </c>
      <c r="O1062" s="39">
        <f>IFERROR(IF(Tabela3[[#This Row],[Qtde Cx Produzida]] &lt;&gt; 0, Tabela3[[#This Row],[Tempo]] / Tabela3[[#This Row],[Qtde Cx Produzida]], 0),0)</f>
        <v>4.2824074074074075E-3</v>
      </c>
      <c r="P1062" s="57">
        <f>IFERROR(Tabela3[[#This Row],[Perda Pçs]]/Tabela3[[#This Row],[Qdt Peça Placa]],0)</f>
        <v>0</v>
      </c>
      <c r="Q1062" s="37">
        <f>IFERROR(Tabela3[[#This Row],[Realizado]]*Tabela3[[#This Row],[Peso Util/Pç]],0)</f>
        <v>14.4</v>
      </c>
      <c r="R1062" s="37">
        <f>IFERROR(Tabela3[[#This Row],[Peso Total Galho]]*Tabela3[[#This Row],[Qtde Cx Produzida]]*1.055,0)</f>
        <v>25.636499999999998</v>
      </c>
      <c r="S1062" s="37">
        <f>(Tabela3[[#This Row],[Aluminio Bruto]]-Tabela3[[#This Row],[Aluminio Util]])*0.9</f>
        <v>10.112849999999998</v>
      </c>
      <c r="T1062" s="37">
        <f>Tabela3[[#This Row],[Aluminio Bruto]]/OleoKGAluminio</f>
        <v>10.785242402323963</v>
      </c>
      <c r="U1062" s="35">
        <f>IFERROR((VLOOKUP(Tabela3[[#This Row],[Moldador]],Tabela1[],5,)+(VLOOKUP(Tabela3[[#This Row],[Ajudante]],Tabela1[],5,))*3.5),0)</f>
        <v>99.95034583333333</v>
      </c>
      <c r="V1062" s="35">
        <f>IFERROR(Tabela3[[#This Row],[Custo M.O. / H]]/((Tabela3[[#This Row],[Realizado]]/Tabela3[[#This Row],[Qdt Peça Placa]])/Tabela3[[#This Row],[Tempo]]/24),)</f>
        <v>10.272674432870369</v>
      </c>
      <c r="W1062" s="35">
        <f>Tabela3[[#This Row],[Custo / Cx Moldada]]*Tabela3[[#This Row],[Qtde Cx Produzida]]</f>
        <v>184.90813979166666</v>
      </c>
      <c r="X1062" s="35">
        <f ca="1">Tabela3[[#This Row],[Aluminio Util]]*Tabela3[[#This Row],[Custo/Kg]]</f>
        <v>238.60587084143597</v>
      </c>
      <c r="Y1062" s="35">
        <f>IFERROR(VLOOKUP(Tabela3[[#This Row],[Data]],Tabela461213[],2,1)*(Tabela3[[#This Row],[Qtde Cx Produzida]]*Tabela3[[#This Row],[Qde macho / CX]]*Tabela3[[#This Row],[Peso Macho]]),)</f>
        <v>0</v>
      </c>
      <c r="Z1062" s="35">
        <f>IFERROR(Tabela3[[#This Row],[Qtde Oleo]]*(VLOOKUP(Tabela3[[#This Row],[Data]],CompraOleo[],3,TRUE))*1.05,0)</f>
        <v>28.311261306100402</v>
      </c>
      <c r="AA1062" s="47">
        <f ca="1">(Tabela3[[#This Row],[Custo Oleo]]+Tabela3[[#This Row],[Custo Aluminio]]+Tabela3[[#This Row],[Custo M.O. Total]]+Tabela3[[#This Row],[Custo Machos]])</f>
        <v>451.82527193920305</v>
      </c>
      <c r="AB1062" s="47">
        <f ca="1">Tabela3[[#This Row],[Custo Total]]*Tabela3[[#This Row],[% Perda]]</f>
        <v>0</v>
      </c>
      <c r="AC1062" s="40">
        <f>IFERROR(VLOOKUP(Tabela3[[#This Row],[Produto]],Tabela2[],2,0),0)</f>
        <v>1</v>
      </c>
      <c r="AD1062" s="48">
        <f>IFERROR(VLOOKUP(Tabela3[[#This Row],[Produto]],Tabela2[],3,0),0)</f>
        <v>0.8</v>
      </c>
      <c r="AE1062" s="48">
        <f>IFERROR(VLOOKUP(Tabela3[[#This Row],[Produto]],Tabela2[],4,0),0)</f>
        <v>1.35</v>
      </c>
      <c r="AF1062" s="48">
        <f>IFERROR(VLOOKUP(Tabela3[[#This Row],[Produto]],Tabela2[],5,0),0)</f>
        <v>0.49500000000000005</v>
      </c>
      <c r="AG1062" s="48">
        <f>IFERROR(VLOOKUP(Tabela3[[#This Row],[Produto]],Tabela2[],6,0),0)</f>
        <v>0</v>
      </c>
      <c r="AH1062" s="40">
        <f>IFERROR(VLOOKUP(Tabela3[[#This Row],[Produto]],Tabela2[],7,0),0)</f>
        <v>0</v>
      </c>
      <c r="AI1062" s="40">
        <f>IFERROR(VLOOKUP(Tabela3[[#This Row],[Produto]],Tabela2[],8,0),0)</f>
        <v>0</v>
      </c>
      <c r="AJ1062" s="35">
        <f ca="1">IFERROR(VLOOKUP(Tabela3[[#This Row],[Produto]],Tabela2[],13,0),0)</f>
        <v>16.569852141766386</v>
      </c>
      <c r="AK1062" s="48" t="str">
        <f>IFERROR(VLOOKUP(Tabela3[[#This Row],[Produto]],Tabela2[],14,0),0)</f>
        <v>Danilo</v>
      </c>
      <c r="AL1062" s="40">
        <f>IFERROR(VLOOKUP(Tabela3[[#This Row],[Produto]],Tabela2[],15,0),0)</f>
        <v>0</v>
      </c>
      <c r="AM1062" s="36">
        <f ca="1">(Tabela3[[#This Row],[Custo Usinagem]]+Tabela3[[#This Row],[Custo / Pç]])*1.2</f>
        <v>30.121684795946869</v>
      </c>
      <c r="AN1062" s="36">
        <f ca="1">Tabela3[[#This Row],[Valor Mínimo Venda]]*1.15</f>
        <v>34.6399375153389</v>
      </c>
      <c r="AO1062" s="36">
        <f ca="1">Tabela3[[#This Row],[Tabela 1]]*1.08</f>
        <v>37.411132516566013</v>
      </c>
      <c r="AP1062" s="36">
        <f ca="1">Tabela3[[#This Row],[Tabela 2]]*1.15</f>
        <v>43.022802394050913</v>
      </c>
    </row>
    <row r="1063" spans="1:42">
      <c r="A1063" s="9">
        <v>46108</v>
      </c>
      <c r="B1063" s="9" t="s">
        <v>142</v>
      </c>
      <c r="C1063" s="14">
        <v>9234</v>
      </c>
      <c r="D1063" s="6" t="s">
        <v>46</v>
      </c>
      <c r="E1063" s="6" t="s">
        <v>44</v>
      </c>
      <c r="F1063" s="6">
        <v>10</v>
      </c>
      <c r="G1063" s="15">
        <v>5.0694444444444445E-2</v>
      </c>
      <c r="H1063" s="16">
        <v>0</v>
      </c>
      <c r="I1063" s="35">
        <f ca="1">IFERROR(Tabela3[[#This Row],[Custo Total]]/Tabela3[[#This Row],[Aluminio Util]],0)</f>
        <v>37.712783829690025</v>
      </c>
      <c r="J1063" s="35">
        <f ca="1">Tabela3[[#This Row],[Custo Total]]/Tabela3[[#This Row],[Realizado]]</f>
        <v>30.170227063752019</v>
      </c>
      <c r="K1063" s="37">
        <f>IFERROR(Tabela3[[#This Row],[Qtde Cx Produzida]]/Tabela3[[#This Row],[Tempo]]/24,0)</f>
        <v>8.2191780821917799</v>
      </c>
      <c r="L1063" s="37">
        <f>Tabela3[[#This Row],[Qtde Cx Produzida]]*Tabela3[[#This Row],[Qdt Peça Placa]]</f>
        <v>10</v>
      </c>
      <c r="M1063" s="37">
        <f>Tabela3[[#This Row],[Previsto]]-Tabela3[[#This Row],[Perda Pçs]]</f>
        <v>10</v>
      </c>
      <c r="N1063" s="38">
        <f>IFERROR(Tabela3[[#This Row],[Perda Pçs]]/Tabela3[[#This Row],[Previsto]],0)</f>
        <v>0</v>
      </c>
      <c r="O1063" s="39">
        <f>IFERROR(IF(Tabela3[[#This Row],[Qtde Cx Produzida]] &lt;&gt; 0, Tabela3[[#This Row],[Tempo]] / Tabela3[[#This Row],[Qtde Cx Produzida]], 0),0)</f>
        <v>5.0694444444444441E-3</v>
      </c>
      <c r="P1063" s="57">
        <f>IFERROR(Tabela3[[#This Row],[Perda Pçs]]/Tabela3[[#This Row],[Qdt Peça Placa]],0)</f>
        <v>0</v>
      </c>
      <c r="Q1063" s="37">
        <f>IFERROR(Tabela3[[#This Row],[Realizado]]*Tabela3[[#This Row],[Peso Util/Pç]],0)</f>
        <v>8</v>
      </c>
      <c r="R1063" s="37">
        <f>IFERROR(Tabela3[[#This Row],[Peso Total Galho]]*Tabela3[[#This Row],[Qtde Cx Produzida]]*1.055,0)</f>
        <v>14.2425</v>
      </c>
      <c r="S1063" s="37">
        <f>(Tabela3[[#This Row],[Aluminio Bruto]]-Tabela3[[#This Row],[Aluminio Util]])*0.9</f>
        <v>5.6182499999999997</v>
      </c>
      <c r="T1063" s="37">
        <f>Tabela3[[#This Row],[Aluminio Bruto]]/OleoKGAluminio</f>
        <v>5.9918013346244239</v>
      </c>
      <c r="U1063" s="35">
        <f>IFERROR((VLOOKUP(Tabela3[[#This Row],[Moldador]],Tabela1[],5,)+(VLOOKUP(Tabela3[[#This Row],[Ajudante]],Tabela1[],5,))*3.5),0)</f>
        <v>126.0945</v>
      </c>
      <c r="V1063" s="35">
        <f>IFERROR(Tabela3[[#This Row],[Custo M.O. / H]]/((Tabela3[[#This Row],[Realizado]]/Tabela3[[#This Row],[Qdt Peça Placa]])/Tabela3[[#This Row],[Tempo]]/24),)</f>
        <v>15.341497500000001</v>
      </c>
      <c r="W1063" s="35">
        <f>Tabela3[[#This Row],[Custo / Cx Moldada]]*Tabela3[[#This Row],[Qtde Cx Produzida]]</f>
        <v>153.414975</v>
      </c>
      <c r="X1063" s="35">
        <f ca="1">Tabela3[[#This Row],[Aluminio Util]]*Tabela3[[#This Row],[Custo/Kg]]</f>
        <v>132.55881713413109</v>
      </c>
      <c r="Y1063" s="35">
        <f>IFERROR(VLOOKUP(Tabela3[[#This Row],[Data]],Tabela461213[],2,1)*(Tabela3[[#This Row],[Qtde Cx Produzida]]*Tabela3[[#This Row],[Qde macho / CX]]*Tabela3[[#This Row],[Peso Macho]]),)</f>
        <v>0</v>
      </c>
      <c r="Z1063" s="35">
        <f>IFERROR(Tabela3[[#This Row],[Qtde Oleo]]*(VLOOKUP(Tabela3[[#This Row],[Data]],CompraOleo[],3,TRUE))*1.05,0)</f>
        <v>15.728478503389113</v>
      </c>
      <c r="AA1063" s="47">
        <f ca="1">(Tabela3[[#This Row],[Custo Oleo]]+Tabela3[[#This Row],[Custo Aluminio]]+Tabela3[[#This Row],[Custo M.O. Total]]+Tabela3[[#This Row],[Custo Machos]])</f>
        <v>301.7022706375202</v>
      </c>
      <c r="AB1063" s="47">
        <f ca="1">Tabela3[[#This Row],[Custo Total]]*Tabela3[[#This Row],[% Perda]]</f>
        <v>0</v>
      </c>
      <c r="AC1063" s="40">
        <f>IFERROR(VLOOKUP(Tabela3[[#This Row],[Produto]],Tabela2[],2,0),0)</f>
        <v>1</v>
      </c>
      <c r="AD1063" s="48">
        <f>IFERROR(VLOOKUP(Tabela3[[#This Row],[Produto]],Tabela2[],3,0),0)</f>
        <v>0.8</v>
      </c>
      <c r="AE1063" s="48">
        <f>IFERROR(VLOOKUP(Tabela3[[#This Row],[Produto]],Tabela2[],4,0),0)</f>
        <v>1.35</v>
      </c>
      <c r="AF1063" s="48">
        <f>IFERROR(VLOOKUP(Tabela3[[#This Row],[Produto]],Tabela2[],5,0),0)</f>
        <v>0.49500000000000005</v>
      </c>
      <c r="AG1063" s="48">
        <f>IFERROR(VLOOKUP(Tabela3[[#This Row],[Produto]],Tabela2[],6,0),0)</f>
        <v>0</v>
      </c>
      <c r="AH1063" s="40">
        <f>IFERROR(VLOOKUP(Tabela3[[#This Row],[Produto]],Tabela2[],7,0),0)</f>
        <v>0</v>
      </c>
      <c r="AI1063" s="40">
        <f>IFERROR(VLOOKUP(Tabela3[[#This Row],[Produto]],Tabela2[],8,0),0)</f>
        <v>0</v>
      </c>
      <c r="AJ1063" s="35">
        <f ca="1">IFERROR(VLOOKUP(Tabela3[[#This Row],[Produto]],Tabela2[],13,0),0)</f>
        <v>16.569852141766386</v>
      </c>
      <c r="AK1063" s="48" t="str">
        <f>IFERROR(VLOOKUP(Tabela3[[#This Row],[Produto]],Tabela2[],14,0),0)</f>
        <v>Danilo</v>
      </c>
      <c r="AL1063" s="40">
        <f>IFERROR(VLOOKUP(Tabela3[[#This Row],[Produto]],Tabela2[],15,0),0)</f>
        <v>0</v>
      </c>
      <c r="AM1063" s="36">
        <f ca="1">(Tabela3[[#This Row],[Custo Usinagem]]+Tabela3[[#This Row],[Custo / Pç]])*1.2</f>
        <v>36.204272476502425</v>
      </c>
      <c r="AN1063" s="36">
        <f ca="1">Tabela3[[#This Row],[Valor Mínimo Venda]]*1.15</f>
        <v>41.634913347977786</v>
      </c>
      <c r="AO1063" s="36">
        <f ca="1">Tabela3[[#This Row],[Tabela 1]]*1.08</f>
        <v>44.965706415816015</v>
      </c>
      <c r="AP1063" s="36">
        <f ca="1">Tabela3[[#This Row],[Tabela 2]]*1.15</f>
        <v>51.710562378188413</v>
      </c>
    </row>
    <row r="1064" spans="1:42">
      <c r="A1064" s="9">
        <v>46108</v>
      </c>
      <c r="B1064" s="9" t="s">
        <v>234</v>
      </c>
      <c r="C1064" s="14">
        <v>9233</v>
      </c>
      <c r="D1064" s="6" t="s">
        <v>46</v>
      </c>
      <c r="E1064" s="6" t="s">
        <v>44</v>
      </c>
      <c r="F1064" s="6">
        <v>40</v>
      </c>
      <c r="G1064" s="15">
        <v>0.22847222222222222</v>
      </c>
      <c r="H1064" s="16">
        <v>0</v>
      </c>
      <c r="I1064" s="35">
        <f ca="1">IFERROR(Tabela3[[#This Row],[Custo Total]]/Tabela3[[#This Row],[Aluminio Util]],0)</f>
        <v>29.859749586540659</v>
      </c>
      <c r="J1064" s="35">
        <f ca="1">Tabela3[[#This Row],[Custo Total]]/Tabela3[[#This Row],[Realizado]]</f>
        <v>47.775599338465057</v>
      </c>
      <c r="K1064" s="37">
        <f>IFERROR(Tabela3[[#This Row],[Qtde Cx Produzida]]/Tabela3[[#This Row],[Tempo]]/24,0)</f>
        <v>7.2948328267477214</v>
      </c>
      <c r="L1064" s="37">
        <f>Tabela3[[#This Row],[Qtde Cx Produzida]]*Tabela3[[#This Row],[Qdt Peça Placa]]</f>
        <v>40</v>
      </c>
      <c r="M1064" s="37">
        <f>Tabela3[[#This Row],[Previsto]]-Tabela3[[#This Row],[Perda Pçs]]</f>
        <v>40</v>
      </c>
      <c r="N1064" s="38">
        <f>IFERROR(Tabela3[[#This Row],[Perda Pçs]]/Tabela3[[#This Row],[Previsto]],0)</f>
        <v>0</v>
      </c>
      <c r="O1064" s="39">
        <f>IFERROR(IF(Tabela3[[#This Row],[Qtde Cx Produzida]] &lt;&gt; 0, Tabela3[[#This Row],[Tempo]] / Tabela3[[#This Row],[Qtde Cx Produzida]], 0),0)</f>
        <v>5.711805555555555E-3</v>
      </c>
      <c r="P1064" s="57">
        <f>IFERROR(Tabela3[[#This Row],[Perda Pçs]]/Tabela3[[#This Row],[Qdt Peça Placa]],0)</f>
        <v>0</v>
      </c>
      <c r="Q1064" s="37">
        <f>IFERROR(Tabela3[[#This Row],[Realizado]]*Tabela3[[#This Row],[Peso Util/Pç]],0)</f>
        <v>64</v>
      </c>
      <c r="R1064" s="37">
        <f>IFERROR(Tabela3[[#This Row],[Peso Total Galho]]*Tabela3[[#This Row],[Qtde Cx Produzida]]*1.055,0)</f>
        <v>84.399999999999991</v>
      </c>
      <c r="S1064" s="37">
        <f>(Tabela3[[#This Row],[Aluminio Bruto]]-Tabela3[[#This Row],[Aluminio Util]])*0.9</f>
        <v>18.359999999999992</v>
      </c>
      <c r="T1064" s="37">
        <f>Tabela3[[#This Row],[Aluminio Bruto]]/OleoKGAluminio</f>
        <v>35.506970871848438</v>
      </c>
      <c r="U1064" s="35">
        <f>IFERROR((VLOOKUP(Tabela3[[#This Row],[Moldador]],Tabela1[],5,)+(VLOOKUP(Tabela3[[#This Row],[Ajudante]],Tabela1[],5,))*3.5),0)</f>
        <v>126.0945</v>
      </c>
      <c r="V1064" s="35">
        <f>IFERROR(Tabela3[[#This Row],[Custo M.O. / H]]/((Tabela3[[#This Row],[Realizado]]/Tabela3[[#This Row],[Qdt Peça Placa]])/Tabela3[[#This Row],[Tempo]]/24),)</f>
        <v>17.285454374999997</v>
      </c>
      <c r="W1064" s="35">
        <f>Tabela3[[#This Row],[Custo / Cx Moldada]]*Tabela3[[#This Row],[Qtde Cx Produzida]]</f>
        <v>691.41817499999991</v>
      </c>
      <c r="X1064" s="35">
        <f ca="1">Tabela3[[#This Row],[Aluminio Util]]*Tabela3[[#This Row],[Custo/Kg]]</f>
        <v>1126.4000000000001</v>
      </c>
      <c r="Y1064" s="35">
        <f>IFERROR(VLOOKUP(Tabela3[[#This Row],[Data]],Tabela461213[],2,1)*(Tabela3[[#This Row],[Qtde Cx Produzida]]*Tabela3[[#This Row],[Qde macho / CX]]*Tabela3[[#This Row],[Peso Macho]]),)</f>
        <v>0</v>
      </c>
      <c r="Z1064" s="35">
        <f>IFERROR(Tabela3[[#This Row],[Qtde Oleo]]*(VLOOKUP(Tabela3[[#This Row],[Data]],CompraOleo[],3,TRUE))*1.05,0)</f>
        <v>93.205798538602153</v>
      </c>
      <c r="AA1064" s="47">
        <f ca="1">(Tabela3[[#This Row],[Custo Oleo]]+Tabela3[[#This Row],[Custo Aluminio]]+Tabela3[[#This Row],[Custo M.O. Total]]+Tabela3[[#This Row],[Custo Machos]])</f>
        <v>1911.0239735386021</v>
      </c>
      <c r="AB1064" s="47">
        <f ca="1">Tabela3[[#This Row],[Custo Total]]*Tabela3[[#This Row],[% Perda]]</f>
        <v>0</v>
      </c>
      <c r="AC1064" s="40">
        <f>IFERROR(VLOOKUP(Tabela3[[#This Row],[Produto]],Tabela2[],2,0),0)</f>
        <v>1</v>
      </c>
      <c r="AD1064" s="48">
        <f>IFERROR(VLOOKUP(Tabela3[[#This Row],[Produto]],Tabela2[],3,0),0)</f>
        <v>1.6</v>
      </c>
      <c r="AE1064" s="48">
        <f>IFERROR(VLOOKUP(Tabela3[[#This Row],[Produto]],Tabela2[],4,0),0)</f>
        <v>2</v>
      </c>
      <c r="AF1064" s="48">
        <f>IFERROR(VLOOKUP(Tabela3[[#This Row],[Produto]],Tabela2[],5,0),0)</f>
        <v>0.35999999999999993</v>
      </c>
      <c r="AG1064" s="48">
        <f>IFERROR(VLOOKUP(Tabela3[[#This Row],[Produto]],Tabela2[],6,0),0)</f>
        <v>0</v>
      </c>
      <c r="AH1064" s="40">
        <f>IFERROR(VLOOKUP(Tabela3[[#This Row],[Produto]],Tabela2[],7,0),0)</f>
        <v>0</v>
      </c>
      <c r="AI1064" s="40">
        <f>IFERROR(VLOOKUP(Tabela3[[#This Row],[Produto]],Tabela2[],8,0),0)</f>
        <v>0</v>
      </c>
      <c r="AJ1064" s="35">
        <f ca="1">IFERROR(VLOOKUP(Tabela3[[#This Row],[Produto]],Tabela2[],13,0),0)</f>
        <v>17.600000000000001</v>
      </c>
      <c r="AK1064" s="48" t="str">
        <f>IFERROR(VLOOKUP(Tabela3[[#This Row],[Produto]],Tabela2[],14,0),0)</f>
        <v>Danilo</v>
      </c>
      <c r="AL1064" s="40">
        <f>IFERROR(VLOOKUP(Tabela3[[#This Row],[Produto]],Tabela2[],15,0),0)</f>
        <v>0</v>
      </c>
      <c r="AM1064" s="36">
        <f ca="1">(Tabela3[[#This Row],[Custo Usinagem]]+Tabela3[[#This Row],[Custo / Pç]])*1.2</f>
        <v>57.330719206158065</v>
      </c>
      <c r="AN1064" s="36">
        <f ca="1">Tabela3[[#This Row],[Valor Mínimo Venda]]*1.15</f>
        <v>65.930327087081764</v>
      </c>
      <c r="AO1064" s="36">
        <f ca="1">Tabela3[[#This Row],[Tabela 1]]*1.08</f>
        <v>71.204753254048313</v>
      </c>
      <c r="AP1064" s="36">
        <f ca="1">Tabela3[[#This Row],[Tabela 2]]*1.15</f>
        <v>81.885466242155559</v>
      </c>
    </row>
    <row r="1065" spans="1:42">
      <c r="A1065" s="9">
        <v>46108</v>
      </c>
      <c r="B1065" s="9" t="s">
        <v>245</v>
      </c>
      <c r="C1065" s="14">
        <v>9317</v>
      </c>
      <c r="D1065" s="6" t="s">
        <v>46</v>
      </c>
      <c r="E1065" s="6" t="s">
        <v>44</v>
      </c>
      <c r="F1065" s="6">
        <v>14</v>
      </c>
      <c r="G1065" s="15">
        <v>6.458333333333334E-2</v>
      </c>
      <c r="H1065" s="16">
        <v>0</v>
      </c>
      <c r="I1065" s="35">
        <f ca="1">IFERROR(Tabela3[[#This Row],[Custo Total]]/Tabela3[[#This Row],[Aluminio Util]],0)</f>
        <v>28.130217777096998</v>
      </c>
      <c r="J1065" s="35">
        <f ca="1">Tabela3[[#This Row],[Custo Total]]/Tabela3[[#This Row],[Realizado]]</f>
        <v>9.3392323019962049</v>
      </c>
      <c r="K1065" s="37">
        <f>IFERROR(Tabela3[[#This Row],[Qtde Cx Produzida]]/Tabela3[[#This Row],[Tempo]]/24,0)</f>
        <v>9.0322580645161281</v>
      </c>
      <c r="L1065" s="37">
        <f>Tabela3[[#This Row],[Qtde Cx Produzida]]*Tabela3[[#This Row],[Qdt Peça Placa]]</f>
        <v>56</v>
      </c>
      <c r="M1065" s="37">
        <f>Tabela3[[#This Row],[Previsto]]-Tabela3[[#This Row],[Perda Pçs]]</f>
        <v>56</v>
      </c>
      <c r="N1065" s="38">
        <f>IFERROR(Tabela3[[#This Row],[Perda Pçs]]/Tabela3[[#This Row],[Previsto]],0)</f>
        <v>0</v>
      </c>
      <c r="O1065" s="39">
        <f>IFERROR(IF(Tabela3[[#This Row],[Qtde Cx Produzida]] &lt;&gt; 0, Tabela3[[#This Row],[Tempo]] / Tabela3[[#This Row],[Qtde Cx Produzida]], 0),0)</f>
        <v>4.6130952380952382E-3</v>
      </c>
      <c r="P1065" s="57">
        <f>IFERROR(Tabela3[[#This Row],[Perda Pçs]]/Tabela3[[#This Row],[Qdt Peça Placa]],0)</f>
        <v>0</v>
      </c>
      <c r="Q1065" s="37">
        <f>IFERROR(Tabela3[[#This Row],[Realizado]]*Tabela3[[#This Row],[Peso Util/Pç]],0)</f>
        <v>18.592000000000002</v>
      </c>
      <c r="R1065" s="37">
        <f>IFERROR(Tabela3[[#This Row],[Peso Total Galho]]*Tabela3[[#This Row],[Qtde Cx Produzida]]*1.055,0)</f>
        <v>33.970999999999997</v>
      </c>
      <c r="S1065" s="37">
        <f>(Tabela3[[#This Row],[Aluminio Bruto]]-Tabela3[[#This Row],[Aluminio Util]])*0.9</f>
        <v>13.841099999999996</v>
      </c>
      <c r="T1065" s="37">
        <f>Tabela3[[#This Row],[Aluminio Bruto]]/OleoKGAluminio</f>
        <v>14.291555775918996</v>
      </c>
      <c r="U1065" s="35">
        <f>IFERROR((VLOOKUP(Tabela3[[#This Row],[Moldador]],Tabela1[],5,)+(VLOOKUP(Tabela3[[#This Row],[Ajudante]],Tabela1[],5,))*3.5),0)</f>
        <v>126.0945</v>
      </c>
      <c r="V1065" s="35">
        <f>IFERROR(Tabela3[[#This Row],[Custo M.O. / H]]/((Tabela3[[#This Row],[Realizado]]/Tabela3[[#This Row],[Qdt Peça Placa]])/Tabela3[[#This Row],[Tempo]]/24),)</f>
        <v>13.9604625</v>
      </c>
      <c r="W1065" s="35">
        <f>Tabela3[[#This Row],[Custo / Cx Moldada]]*Tabela3[[#This Row],[Qtde Cx Produzida]]</f>
        <v>195.44647499999999</v>
      </c>
      <c r="X1065" s="35">
        <f ca="1">Tabela3[[#This Row],[Aluminio Util]]*Tabela3[[#This Row],[Custo/Kg]]</f>
        <v>290.03520000000009</v>
      </c>
      <c r="Y1065" s="35">
        <f>IFERROR(VLOOKUP(Tabela3[[#This Row],[Data]],Tabela461213[],2,1)*(Tabela3[[#This Row],[Qtde Cx Produzida]]*Tabela3[[#This Row],[Qde macho / CX]]*Tabela3[[#This Row],[Peso Macho]]),)</f>
        <v>0</v>
      </c>
      <c r="Z1065" s="35">
        <f>IFERROR(Tabela3[[#This Row],[Qtde Oleo]]*(VLOOKUP(Tabela3[[#This Row],[Data]],CompraOleo[],3,TRUE))*1.05,0)</f>
        <v>37.515333911787366</v>
      </c>
      <c r="AA1065" s="47">
        <f ca="1">(Tabela3[[#This Row],[Custo Oleo]]+Tabela3[[#This Row],[Custo Aluminio]]+Tabela3[[#This Row],[Custo M.O. Total]]+Tabela3[[#This Row],[Custo Machos]])</f>
        <v>522.99700891178747</v>
      </c>
      <c r="AB1065" s="47">
        <f ca="1">Tabela3[[#This Row],[Custo Total]]*Tabela3[[#This Row],[% Perda]]</f>
        <v>0</v>
      </c>
      <c r="AC1065" s="40">
        <f>IFERROR(VLOOKUP(Tabela3[[#This Row],[Produto]],Tabela2[],2,0),0)</f>
        <v>4</v>
      </c>
      <c r="AD1065" s="48">
        <f>IFERROR(VLOOKUP(Tabela3[[#This Row],[Produto]],Tabela2[],3,0),0)</f>
        <v>0.33200000000000002</v>
      </c>
      <c r="AE1065" s="48">
        <f>IFERROR(VLOOKUP(Tabela3[[#This Row],[Produto]],Tabela2[],4,0),0)</f>
        <v>2.2999999999999998</v>
      </c>
      <c r="AF1065" s="48">
        <f>IFERROR(VLOOKUP(Tabela3[[#This Row],[Produto]],Tabela2[],5,0),0)</f>
        <v>0.8747999999999998</v>
      </c>
      <c r="AG1065" s="48">
        <f>IFERROR(VLOOKUP(Tabela3[[#This Row],[Produto]],Tabela2[],6,0),0)</f>
        <v>0</v>
      </c>
      <c r="AH1065" s="40">
        <f>IFERROR(VLOOKUP(Tabela3[[#This Row],[Produto]],Tabela2[],7,0),0)</f>
        <v>0</v>
      </c>
      <c r="AI1065" s="40">
        <f>IFERROR(VLOOKUP(Tabela3[[#This Row],[Produto]],Tabela2[],8,0),0)</f>
        <v>0</v>
      </c>
      <c r="AJ1065" s="35">
        <f ca="1">IFERROR(VLOOKUP(Tabela3[[#This Row],[Produto]],Tabela2[],13,0),0)</f>
        <v>15.600000000000001</v>
      </c>
      <c r="AK1065" s="48" t="str">
        <f>IFERROR(VLOOKUP(Tabela3[[#This Row],[Produto]],Tabela2[],14,0),0)</f>
        <v>Senun</v>
      </c>
      <c r="AL1065" s="40">
        <f>IFERROR(VLOOKUP(Tabela3[[#This Row],[Produto]],Tabela2[],15,0),0)</f>
        <v>3.5</v>
      </c>
      <c r="AM1065" s="36">
        <f ca="1">(Tabela3[[#This Row],[Custo Usinagem]]+Tabela3[[#This Row],[Custo / Pç]])*1.2</f>
        <v>15.407078762395445</v>
      </c>
      <c r="AN1065" s="36">
        <f ca="1">Tabela3[[#This Row],[Valor Mínimo Venda]]*1.15</f>
        <v>17.71814057675476</v>
      </c>
      <c r="AO1065" s="36">
        <f ca="1">Tabela3[[#This Row],[Tabela 1]]*1.08</f>
        <v>19.13559182289514</v>
      </c>
      <c r="AP1065" s="36">
        <f ca="1">Tabela3[[#This Row],[Tabela 2]]*1.15</f>
        <v>22.00593059632941</v>
      </c>
    </row>
    <row r="1066" spans="1:42">
      <c r="A1066" s="9">
        <v>46108</v>
      </c>
      <c r="B1066" s="9" t="s">
        <v>181</v>
      </c>
      <c r="C1066" s="14">
        <v>9321</v>
      </c>
      <c r="D1066" s="6" t="s">
        <v>44</v>
      </c>
      <c r="E1066" s="6" t="s">
        <v>47</v>
      </c>
      <c r="F1066" s="6">
        <v>4</v>
      </c>
      <c r="G1066" s="15">
        <v>7.2916666666666671E-2</v>
      </c>
      <c r="H1066" s="16">
        <v>0</v>
      </c>
      <c r="I1066" s="35">
        <f ca="1">IFERROR(Tabela3[[#This Row],[Custo Total]]/Tabela3[[#This Row],[Aluminio Util]],0)</f>
        <v>25.775985723012386</v>
      </c>
      <c r="J1066" s="35">
        <f ca="1">Tabela3[[#This Row],[Custo Total]]/Tabela3[[#This Row],[Realizado]]</f>
        <v>163.75483729829767</v>
      </c>
      <c r="K1066" s="37">
        <f>IFERROR(Tabela3[[#This Row],[Qtde Cx Produzida]]/Tabela3[[#This Row],[Tempo]]/24,0)</f>
        <v>2.2857142857142856</v>
      </c>
      <c r="L1066" s="37">
        <f>Tabela3[[#This Row],[Qtde Cx Produzida]]*Tabela3[[#This Row],[Qdt Peça Placa]]</f>
        <v>4</v>
      </c>
      <c r="M1066" s="37">
        <f>Tabela3[[#This Row],[Previsto]]-Tabela3[[#This Row],[Perda Pçs]]</f>
        <v>4</v>
      </c>
      <c r="N1066" s="38">
        <f>IFERROR(Tabela3[[#This Row],[Perda Pçs]]/Tabela3[[#This Row],[Previsto]],0)</f>
        <v>0</v>
      </c>
      <c r="O1066" s="39">
        <f>IFERROR(IF(Tabela3[[#This Row],[Qtde Cx Produzida]] &lt;&gt; 0, Tabela3[[#This Row],[Tempo]] / Tabela3[[#This Row],[Qtde Cx Produzida]], 0),0)</f>
        <v>1.8229166666666668E-2</v>
      </c>
      <c r="P1066" s="57">
        <f>IFERROR(Tabela3[[#This Row],[Perda Pçs]]/Tabela3[[#This Row],[Qdt Peça Placa]],0)</f>
        <v>0</v>
      </c>
      <c r="Q1066" s="37">
        <f>IFERROR(Tabela3[[#This Row],[Realizado]]*Tabela3[[#This Row],[Peso Util/Pç]],0)</f>
        <v>25.411999999999999</v>
      </c>
      <c r="R1066" s="37">
        <f>IFERROR(Tabela3[[#This Row],[Peso Total Galho]]*Tabela3[[#This Row],[Qtde Cx Produzida]]*1.055,0)</f>
        <v>29.750999999999998</v>
      </c>
      <c r="S1066" s="37">
        <f>(Tabela3[[#This Row],[Aluminio Bruto]]-Tabela3[[#This Row],[Aluminio Util]])*0.9</f>
        <v>3.9050999999999987</v>
      </c>
      <c r="T1066" s="37">
        <f>Tabela3[[#This Row],[Aluminio Bruto]]/OleoKGAluminio</f>
        <v>12.516207232326574</v>
      </c>
      <c r="U1066" s="35">
        <f>IFERROR((VLOOKUP(Tabela3[[#This Row],[Moldador]],Tabela1[],5,)+(VLOOKUP(Tabela3[[#This Row],[Ajudante]],Tabela1[],5,))*3.5),0)</f>
        <v>99.95034583333333</v>
      </c>
      <c r="V1066" s="35">
        <f>IFERROR(Tabela3[[#This Row],[Custo M.O. / H]]/((Tabela3[[#This Row],[Realizado]]/Tabela3[[#This Row],[Qdt Peça Placa]])/Tabela3[[#This Row],[Tempo]]/24),)</f>
        <v>43.728276302083337</v>
      </c>
      <c r="W1066" s="35">
        <f>Tabela3[[#This Row],[Custo / Cx Moldada]]*Tabela3[[#This Row],[Qtde Cx Produzida]]</f>
        <v>174.91310520833335</v>
      </c>
      <c r="X1066" s="35">
        <f ca="1">Tabela3[[#This Row],[Aluminio Util]]*Tabela3[[#This Row],[Custo/Kg]]</f>
        <v>447.25120000000004</v>
      </c>
      <c r="Y1066" s="35">
        <f>IFERROR(VLOOKUP(Tabela3[[#This Row],[Data]],Tabela461213[],2,1)*(Tabela3[[#This Row],[Qtde Cx Produzida]]*Tabela3[[#This Row],[Qde macho / CX]]*Tabela3[[#This Row],[Peso Macho]]),)</f>
        <v>0</v>
      </c>
      <c r="Z1066" s="35">
        <f>IFERROR(Tabela3[[#This Row],[Qtde Oleo]]*(VLOOKUP(Tabela3[[#This Row],[Data]],CompraOleo[],3,TRUE))*1.05,0)</f>
        <v>32.855043984857254</v>
      </c>
      <c r="AA1066" s="47">
        <f ca="1">(Tabela3[[#This Row],[Custo Oleo]]+Tabela3[[#This Row],[Custo Aluminio]]+Tabela3[[#This Row],[Custo M.O. Total]]+Tabela3[[#This Row],[Custo Machos]])</f>
        <v>655.01934919319069</v>
      </c>
      <c r="AB1066" s="47">
        <f ca="1">Tabela3[[#This Row],[Custo Total]]*Tabela3[[#This Row],[% Perda]]</f>
        <v>0</v>
      </c>
      <c r="AC1066" s="40">
        <f>IFERROR(VLOOKUP(Tabela3[[#This Row],[Produto]],Tabela2[],2,0),0)</f>
        <v>1</v>
      </c>
      <c r="AD1066" s="48">
        <f>IFERROR(VLOOKUP(Tabela3[[#This Row],[Produto]],Tabela2[],3,0),0)</f>
        <v>6.3529999999999998</v>
      </c>
      <c r="AE1066" s="48">
        <f>IFERROR(VLOOKUP(Tabela3[[#This Row],[Produto]],Tabela2[],4,0),0)</f>
        <v>7.05</v>
      </c>
      <c r="AF1066" s="48">
        <f>IFERROR(VLOOKUP(Tabela3[[#This Row],[Produto]],Tabela2[],5,0),0)</f>
        <v>0.62730000000000008</v>
      </c>
      <c r="AG1066" s="48">
        <f>IFERROR(VLOOKUP(Tabela3[[#This Row],[Produto]],Tabela2[],6,0),0)</f>
        <v>0</v>
      </c>
      <c r="AH1066" s="40">
        <f>IFERROR(VLOOKUP(Tabela3[[#This Row],[Produto]],Tabela2[],7,0),0)</f>
        <v>0</v>
      </c>
      <c r="AI1066" s="40">
        <f>IFERROR(VLOOKUP(Tabela3[[#This Row],[Produto]],Tabela2[],8,0),0)</f>
        <v>0</v>
      </c>
      <c r="AJ1066" s="35">
        <f ca="1">IFERROR(VLOOKUP(Tabela3[[#This Row],[Produto]],Tabela2[],13,0),0)</f>
        <v>17.600000000000001</v>
      </c>
      <c r="AK1066" s="48" t="str">
        <f>IFERROR(VLOOKUP(Tabela3[[#This Row],[Produto]],Tabela2[],14,0),0)</f>
        <v>Oscar</v>
      </c>
      <c r="AL1066" s="40">
        <f>IFERROR(VLOOKUP(Tabela3[[#This Row],[Produto]],Tabela2[],15,0),0)</f>
        <v>0</v>
      </c>
      <c r="AM1066" s="36">
        <f ca="1">(Tabela3[[#This Row],[Custo Usinagem]]+Tabela3[[#This Row],[Custo / Pç]])*1.2</f>
        <v>196.50580475795721</v>
      </c>
      <c r="AN1066" s="36">
        <f ca="1">Tabela3[[#This Row],[Valor Mínimo Venda]]*1.15</f>
        <v>225.98167547165076</v>
      </c>
      <c r="AO1066" s="36">
        <f ca="1">Tabela3[[#This Row],[Tabela 1]]*1.08</f>
        <v>244.06020950938284</v>
      </c>
      <c r="AP1066" s="36">
        <f ca="1">Tabela3[[#This Row],[Tabela 2]]*1.15</f>
        <v>280.66924093579024</v>
      </c>
    </row>
    <row r="1067" spans="1:42">
      <c r="A1067" s="9">
        <v>46109</v>
      </c>
      <c r="B1067" s="9" t="s">
        <v>245</v>
      </c>
      <c r="C1067" s="14">
        <v>9317</v>
      </c>
      <c r="D1067" s="6" t="s">
        <v>46</v>
      </c>
      <c r="E1067" s="6" t="s">
        <v>44</v>
      </c>
      <c r="F1067" s="6">
        <v>60</v>
      </c>
      <c r="G1067" s="15">
        <v>0.23125000000000001</v>
      </c>
      <c r="H1067" s="16">
        <v>0</v>
      </c>
      <c r="I1067" s="35">
        <f ca="1">IFERROR(Tabela3[[#This Row],[Custo Total]]/Tabela3[[#This Row],[Aluminio Util]],0)</f>
        <v>26.400759004506639</v>
      </c>
      <c r="J1067" s="35">
        <f ca="1">Tabela3[[#This Row],[Custo Total]]/Tabela3[[#This Row],[Realizado]]</f>
        <v>8.7650519894962056</v>
      </c>
      <c r="K1067" s="37">
        <f>IFERROR(Tabela3[[#This Row],[Qtde Cx Produzida]]/Tabela3[[#This Row],[Tempo]]/24,0)</f>
        <v>10.810810810810809</v>
      </c>
      <c r="L1067" s="37">
        <f>Tabela3[[#This Row],[Qtde Cx Produzida]]*Tabela3[[#This Row],[Qdt Peça Placa]]</f>
        <v>240</v>
      </c>
      <c r="M1067" s="37">
        <f>Tabela3[[#This Row],[Previsto]]-Tabela3[[#This Row],[Perda Pçs]]</f>
        <v>240</v>
      </c>
      <c r="N1067" s="38">
        <f>IFERROR(Tabela3[[#This Row],[Perda Pçs]]/Tabela3[[#This Row],[Previsto]],0)</f>
        <v>0</v>
      </c>
      <c r="O1067" s="39">
        <f>IFERROR(IF(Tabela3[[#This Row],[Qtde Cx Produzida]] &lt;&gt; 0, Tabela3[[#This Row],[Tempo]] / Tabela3[[#This Row],[Qtde Cx Produzida]], 0),0)</f>
        <v>3.8541666666666668E-3</v>
      </c>
      <c r="P1067" s="57">
        <f>IFERROR(Tabela3[[#This Row],[Perda Pçs]]/Tabela3[[#This Row],[Qdt Peça Placa]],0)</f>
        <v>0</v>
      </c>
      <c r="Q1067" s="37">
        <f>IFERROR(Tabela3[[#This Row],[Realizado]]*Tabela3[[#This Row],[Peso Util/Pç]],0)</f>
        <v>79.680000000000007</v>
      </c>
      <c r="R1067" s="37">
        <f>IFERROR(Tabela3[[#This Row],[Peso Total Galho]]*Tabela3[[#This Row],[Qtde Cx Produzida]]*1.055,0)</f>
        <v>145.59</v>
      </c>
      <c r="S1067" s="37">
        <f>(Tabela3[[#This Row],[Aluminio Bruto]]-Tabela3[[#This Row],[Aluminio Util]])*0.9</f>
        <v>59.318999999999996</v>
      </c>
      <c r="T1067" s="37">
        <f>Tabela3[[#This Row],[Aluminio Bruto]]/OleoKGAluminio</f>
        <v>61.249524753938559</v>
      </c>
      <c r="U1067" s="35">
        <f>IFERROR((VLOOKUP(Tabela3[[#This Row],[Moldador]],Tabela1[],5,)+(VLOOKUP(Tabela3[[#This Row],[Ajudante]],Tabela1[],5,))*3.5),0)</f>
        <v>126.0945</v>
      </c>
      <c r="V1067" s="35">
        <f>IFERROR(Tabela3[[#This Row],[Custo M.O. / H]]/((Tabela3[[#This Row],[Realizado]]/Tabela3[[#This Row],[Qdt Peça Placa]])/Tabela3[[#This Row],[Tempo]]/24),)</f>
        <v>11.663741250000001</v>
      </c>
      <c r="W1067" s="35">
        <f>Tabela3[[#This Row],[Custo / Cx Moldada]]*Tabela3[[#This Row],[Qtde Cx Produzida]]</f>
        <v>699.82447500000012</v>
      </c>
      <c r="X1067" s="35">
        <f ca="1">Tabela3[[#This Row],[Aluminio Util]]*Tabela3[[#This Row],[Custo/Kg]]</f>
        <v>1243.0080000000003</v>
      </c>
      <c r="Y1067" s="35">
        <f>IFERROR(VLOOKUP(Tabela3[[#This Row],[Data]],Tabela461213[],2,1)*(Tabela3[[#This Row],[Qtde Cx Produzida]]*Tabela3[[#This Row],[Qde macho / CX]]*Tabela3[[#This Row],[Peso Macho]]),)</f>
        <v>0</v>
      </c>
      <c r="Z1067" s="35">
        <f>IFERROR(Tabela3[[#This Row],[Qtde Oleo]]*(VLOOKUP(Tabela3[[#This Row],[Data]],CompraOleo[],3,TRUE))*1.05,0)</f>
        <v>160.78000247908872</v>
      </c>
      <c r="AA1067" s="47">
        <f ca="1">(Tabela3[[#This Row],[Custo Oleo]]+Tabela3[[#This Row],[Custo Aluminio]]+Tabela3[[#This Row],[Custo M.O. Total]]+Tabela3[[#This Row],[Custo Machos]])</f>
        <v>2103.6124774790892</v>
      </c>
      <c r="AB1067" s="47">
        <f ca="1">Tabela3[[#This Row],[Custo Total]]*Tabela3[[#This Row],[% Perda]]</f>
        <v>0</v>
      </c>
      <c r="AC1067" s="40">
        <f>IFERROR(VLOOKUP(Tabela3[[#This Row],[Produto]],Tabela2[],2,0),0)</f>
        <v>4</v>
      </c>
      <c r="AD1067" s="48">
        <f>IFERROR(VLOOKUP(Tabela3[[#This Row],[Produto]],Tabela2[],3,0),0)</f>
        <v>0.33200000000000002</v>
      </c>
      <c r="AE1067" s="48">
        <f>IFERROR(VLOOKUP(Tabela3[[#This Row],[Produto]],Tabela2[],4,0),0)</f>
        <v>2.2999999999999998</v>
      </c>
      <c r="AF1067" s="48">
        <f>IFERROR(VLOOKUP(Tabela3[[#This Row],[Produto]],Tabela2[],5,0),0)</f>
        <v>0.8747999999999998</v>
      </c>
      <c r="AG1067" s="48">
        <f>IFERROR(VLOOKUP(Tabela3[[#This Row],[Produto]],Tabela2[],6,0),0)</f>
        <v>0</v>
      </c>
      <c r="AH1067" s="40">
        <f>IFERROR(VLOOKUP(Tabela3[[#This Row],[Produto]],Tabela2[],7,0),0)</f>
        <v>0</v>
      </c>
      <c r="AI1067" s="40">
        <f>IFERROR(VLOOKUP(Tabela3[[#This Row],[Produto]],Tabela2[],8,0),0)</f>
        <v>0</v>
      </c>
      <c r="AJ1067" s="35">
        <f ca="1">IFERROR(VLOOKUP(Tabela3[[#This Row],[Produto]],Tabela2[],13,0),0)</f>
        <v>15.600000000000001</v>
      </c>
      <c r="AK1067" s="48" t="str">
        <f>IFERROR(VLOOKUP(Tabela3[[#This Row],[Produto]],Tabela2[],14,0),0)</f>
        <v>Senun</v>
      </c>
      <c r="AL1067" s="40">
        <f>IFERROR(VLOOKUP(Tabela3[[#This Row],[Produto]],Tabela2[],15,0),0)</f>
        <v>3.5</v>
      </c>
      <c r="AM1067" s="36">
        <f ca="1">(Tabela3[[#This Row],[Custo Usinagem]]+Tabela3[[#This Row],[Custo / Pç]])*1.2</f>
        <v>14.718062387395445</v>
      </c>
      <c r="AN1067" s="36">
        <f ca="1">Tabela3[[#This Row],[Valor Mínimo Venda]]*1.15</f>
        <v>16.925771745504761</v>
      </c>
      <c r="AO1067" s="36">
        <f ca="1">Tabela3[[#This Row],[Tabela 1]]*1.08</f>
        <v>18.279833485145144</v>
      </c>
      <c r="AP1067" s="36">
        <f ca="1">Tabela3[[#This Row],[Tabela 2]]*1.15</f>
        <v>21.021808507916912</v>
      </c>
    </row>
    <row r="1068" spans="1:42">
      <c r="A1068" s="9">
        <v>46111</v>
      </c>
      <c r="B1068" s="9" t="s">
        <v>245</v>
      </c>
      <c r="C1068" s="14">
        <v>9317</v>
      </c>
      <c r="D1068" s="6" t="s">
        <v>46</v>
      </c>
      <c r="E1068" s="6" t="s">
        <v>44</v>
      </c>
      <c r="F1068" s="6">
        <v>66</v>
      </c>
      <c r="G1068" s="15">
        <v>0.30625000000000002</v>
      </c>
      <c r="H1068" s="16">
        <v>46</v>
      </c>
      <c r="I1068" s="35">
        <f ca="1">IFERROR(Tabela3[[#This Row],[Custo Total]]/Tabela3[[#This Row],[Aluminio Util]],0)</f>
        <v>33.550905490142043</v>
      </c>
      <c r="J1068" s="35">
        <f ca="1">Tabela3[[#This Row],[Custo Total]]/Tabela3[[#This Row],[Realizado]]</f>
        <v>11.13890062272716</v>
      </c>
      <c r="K1068" s="37">
        <f>IFERROR(Tabela3[[#This Row],[Qtde Cx Produzida]]/Tabela3[[#This Row],[Tempo]]/24,0)</f>
        <v>8.9795918367346932</v>
      </c>
      <c r="L1068" s="37">
        <f>Tabela3[[#This Row],[Qtde Cx Produzida]]*Tabela3[[#This Row],[Qdt Peça Placa]]</f>
        <v>264</v>
      </c>
      <c r="M1068" s="37">
        <f>Tabela3[[#This Row],[Previsto]]-Tabela3[[#This Row],[Perda Pçs]]</f>
        <v>218</v>
      </c>
      <c r="N1068" s="38">
        <f>IFERROR(Tabela3[[#This Row],[Perda Pçs]]/Tabela3[[#This Row],[Previsto]],0)</f>
        <v>0.17424242424242425</v>
      </c>
      <c r="O1068" s="39">
        <f>IFERROR(IF(Tabela3[[#This Row],[Qtde Cx Produzida]] &lt;&gt; 0, Tabela3[[#This Row],[Tempo]] / Tabela3[[#This Row],[Qtde Cx Produzida]], 0),0)</f>
        <v>4.6401515151515155E-3</v>
      </c>
      <c r="P1068" s="57">
        <f>IFERROR(Tabela3[[#This Row],[Perda Pçs]]/Tabela3[[#This Row],[Qdt Peça Placa]],0)</f>
        <v>11.5</v>
      </c>
      <c r="Q1068" s="37">
        <f>IFERROR(Tabela3[[#This Row],[Realizado]]*Tabela3[[#This Row],[Peso Util/Pç]],0)</f>
        <v>72.376000000000005</v>
      </c>
      <c r="R1068" s="37">
        <f>IFERROR(Tabela3[[#This Row],[Peso Total Galho]]*Tabela3[[#This Row],[Qtde Cx Produzida]]*1.055,0)</f>
        <v>160.14899999999997</v>
      </c>
      <c r="S1068" s="37">
        <f>(Tabela3[[#This Row],[Aluminio Bruto]]-Tabela3[[#This Row],[Aluminio Util]])*0.9</f>
        <v>78.995699999999971</v>
      </c>
      <c r="T1068" s="37">
        <f>Tabela3[[#This Row],[Aluminio Bruto]]/OleoKGAluminio</f>
        <v>67.374477229332399</v>
      </c>
      <c r="U1068" s="35">
        <f>IFERROR((VLOOKUP(Tabela3[[#This Row],[Moldador]],Tabela1[],5,)+(VLOOKUP(Tabela3[[#This Row],[Ajudante]],Tabela1[],5,))*3.5),0)</f>
        <v>126.0945</v>
      </c>
      <c r="V1068" s="35">
        <f>IFERROR(Tabela3[[#This Row],[Custo M.O. / H]]/((Tabela3[[#This Row],[Realizado]]/Tabela3[[#This Row],[Qdt Peça Placa]])/Tabela3[[#This Row],[Tempo]]/24),)</f>
        <v>17.005405045871562</v>
      </c>
      <c r="W1068" s="35">
        <f>Tabela3[[#This Row],[Custo / Cx Moldada]]*Tabela3[[#This Row],[Qtde Cx Produzida]]</f>
        <v>1122.3567330275232</v>
      </c>
      <c r="X1068" s="35">
        <f ca="1">Tabela3[[#This Row],[Aluminio Util]]*Tabela3[[#This Row],[Custo/Kg]]</f>
        <v>1129.0656000000001</v>
      </c>
      <c r="Y1068" s="35">
        <f>IFERROR(VLOOKUP(Tabela3[[#This Row],[Data]],Tabela461213[],2,1)*(Tabela3[[#This Row],[Qtde Cx Produzida]]*Tabela3[[#This Row],[Qde macho / CX]]*Tabela3[[#This Row],[Peso Macho]]),)</f>
        <v>0</v>
      </c>
      <c r="Z1068" s="35">
        <f>IFERROR(Tabela3[[#This Row],[Qtde Oleo]]*(VLOOKUP(Tabela3[[#This Row],[Data]],CompraOleo[],3,TRUE))*1.05,0)</f>
        <v>176.85800272699757</v>
      </c>
      <c r="AA1068" s="47">
        <f ca="1">(Tabela3[[#This Row],[Custo Oleo]]+Tabela3[[#This Row],[Custo Aluminio]]+Tabela3[[#This Row],[Custo M.O. Total]]+Tabela3[[#This Row],[Custo Machos]])</f>
        <v>2428.2803357545208</v>
      </c>
      <c r="AB1068" s="47">
        <f ca="1">Tabela3[[#This Row],[Custo Total]]*Tabela3[[#This Row],[% Perda]]</f>
        <v>423.10945244207562</v>
      </c>
      <c r="AC1068" s="40">
        <f>IFERROR(VLOOKUP(Tabela3[[#This Row],[Produto]],Tabela2[],2,0),0)</f>
        <v>4</v>
      </c>
      <c r="AD1068" s="48">
        <f>IFERROR(VLOOKUP(Tabela3[[#This Row],[Produto]],Tabela2[],3,0),0)</f>
        <v>0.33200000000000002</v>
      </c>
      <c r="AE1068" s="48">
        <f>IFERROR(VLOOKUP(Tabela3[[#This Row],[Produto]],Tabela2[],4,0),0)</f>
        <v>2.2999999999999998</v>
      </c>
      <c r="AF1068" s="48">
        <f>IFERROR(VLOOKUP(Tabela3[[#This Row],[Produto]],Tabela2[],5,0),0)</f>
        <v>0.8747999999999998</v>
      </c>
      <c r="AG1068" s="48">
        <f>IFERROR(VLOOKUP(Tabela3[[#This Row],[Produto]],Tabela2[],6,0),0)</f>
        <v>0</v>
      </c>
      <c r="AH1068" s="40">
        <f>IFERROR(VLOOKUP(Tabela3[[#This Row],[Produto]],Tabela2[],7,0),0)</f>
        <v>0</v>
      </c>
      <c r="AI1068" s="40">
        <f>IFERROR(VLOOKUP(Tabela3[[#This Row],[Produto]],Tabela2[],8,0),0)</f>
        <v>0</v>
      </c>
      <c r="AJ1068" s="35">
        <f ca="1">IFERROR(VLOOKUP(Tabela3[[#This Row],[Produto]],Tabela2[],13,0),0)</f>
        <v>15.600000000000001</v>
      </c>
      <c r="AK1068" s="48" t="str">
        <f>IFERROR(VLOOKUP(Tabela3[[#This Row],[Produto]],Tabela2[],14,0),0)</f>
        <v>Senun</v>
      </c>
      <c r="AL1068" s="40">
        <f>IFERROR(VLOOKUP(Tabela3[[#This Row],[Produto]],Tabela2[],15,0),0)</f>
        <v>3.5</v>
      </c>
      <c r="AM1068" s="36">
        <f ca="1">(Tabela3[[#This Row],[Custo Usinagem]]+Tabela3[[#This Row],[Custo / Pç]])*1.2</f>
        <v>17.566680747272592</v>
      </c>
      <c r="AN1068" s="36">
        <f ca="1">Tabela3[[#This Row],[Valor Mínimo Venda]]*1.15</f>
        <v>20.20168285936348</v>
      </c>
      <c r="AO1068" s="36">
        <f ca="1">Tabela3[[#This Row],[Tabela 1]]*1.08</f>
        <v>21.81781748811256</v>
      </c>
      <c r="AP1068" s="36">
        <f ca="1">Tabela3[[#This Row],[Tabela 2]]*1.15</f>
        <v>25.090490111329441</v>
      </c>
    </row>
    <row r="1069" spans="1:42">
      <c r="A1069" s="9">
        <v>46111</v>
      </c>
      <c r="B1069" s="9" t="s">
        <v>257</v>
      </c>
      <c r="C1069" s="14">
        <v>9258</v>
      </c>
      <c r="D1069" s="6" t="s">
        <v>46</v>
      </c>
      <c r="E1069" s="6" t="s">
        <v>44</v>
      </c>
      <c r="F1069" s="6">
        <v>11</v>
      </c>
      <c r="G1069" s="15">
        <v>5.9722222222222225E-2</v>
      </c>
      <c r="H1069" s="16">
        <v>0</v>
      </c>
      <c r="I1069" s="35">
        <f ca="1">IFERROR(Tabela3[[#This Row],[Custo Total]]/Tabela3[[#This Row],[Aluminio Util]],0)</f>
        <v>34.593654914357018</v>
      </c>
      <c r="J1069" s="35">
        <f ca="1">Tabela3[[#This Row],[Custo Total]]/Tabela3[[#This Row],[Realizado]]</f>
        <v>4.3242068642946272</v>
      </c>
      <c r="K1069" s="37">
        <f>IFERROR(Tabela3[[#This Row],[Qtde Cx Produzida]]/Tabela3[[#This Row],[Tempo]]/24,0)</f>
        <v>7.6744186046511622</v>
      </c>
      <c r="L1069" s="37">
        <f>Tabela3[[#This Row],[Qtde Cx Produzida]]*Tabela3[[#This Row],[Qdt Peça Placa]]</f>
        <v>88</v>
      </c>
      <c r="M1069" s="37">
        <f>Tabela3[[#This Row],[Previsto]]-Tabela3[[#This Row],[Perda Pçs]]</f>
        <v>88</v>
      </c>
      <c r="N1069" s="38">
        <f>IFERROR(Tabela3[[#This Row],[Perda Pçs]]/Tabela3[[#This Row],[Previsto]],0)</f>
        <v>0</v>
      </c>
      <c r="O1069" s="39">
        <f>IFERROR(IF(Tabela3[[#This Row],[Qtde Cx Produzida]] &lt;&gt; 0, Tabela3[[#This Row],[Tempo]] / Tabela3[[#This Row],[Qtde Cx Produzida]], 0),0)</f>
        <v>5.4292929292929296E-3</v>
      </c>
      <c r="P1069" s="57">
        <f>IFERROR(Tabela3[[#This Row],[Perda Pçs]]/Tabela3[[#This Row],[Qdt Peça Placa]],0)</f>
        <v>0</v>
      </c>
      <c r="Q1069" s="37">
        <f>IFERROR(Tabela3[[#This Row],[Realizado]]*Tabela3[[#This Row],[Peso Util/Pç]],0)</f>
        <v>11</v>
      </c>
      <c r="R1069" s="37">
        <f>IFERROR(Tabela3[[#This Row],[Peso Total Galho]]*Tabela3[[#This Row],[Qtde Cx Produzida]]*1.055,0)</f>
        <v>25.531000000000002</v>
      </c>
      <c r="S1069" s="37">
        <f>(Tabela3[[#This Row],[Aluminio Bruto]]-Tabela3[[#This Row],[Aluminio Util]])*0.9</f>
        <v>13.077900000000003</v>
      </c>
      <c r="T1069" s="37">
        <f>Tabela3[[#This Row],[Aluminio Bruto]]/OleoKGAluminio</f>
        <v>10.740858688734154</v>
      </c>
      <c r="U1069" s="35">
        <f>IFERROR((VLOOKUP(Tabela3[[#This Row],[Moldador]],Tabela1[],5,)+(VLOOKUP(Tabela3[[#This Row],[Ajudante]],Tabela1[],5,))*3.5),0)</f>
        <v>126.0945</v>
      </c>
      <c r="V1069" s="35">
        <f>IFERROR(Tabela3[[#This Row],[Custo M.O. / H]]/((Tabela3[[#This Row],[Realizado]]/Tabela3[[#This Row],[Qdt Peça Placa]])/Tabela3[[#This Row],[Tempo]]/24),)</f>
        <v>16.430495454545454</v>
      </c>
      <c r="W1069" s="35">
        <f>Tabela3[[#This Row],[Custo / Cx Moldada]]*Tabela3[[#This Row],[Qtde Cx Produzida]]</f>
        <v>180.73544999999999</v>
      </c>
      <c r="X1069" s="35">
        <f ca="1">Tabela3[[#This Row],[Aluminio Util]]*Tabela3[[#This Row],[Custo/Kg]]</f>
        <v>171.60000000000002</v>
      </c>
      <c r="Y1069" s="35">
        <f>IFERROR(VLOOKUP(Tabela3[[#This Row],[Data]],Tabela461213[],2,1)*(Tabela3[[#This Row],[Qtde Cx Produzida]]*Tabela3[[#This Row],[Qde macho / CX]]*Tabela3[[#This Row],[Peso Macho]]),)</f>
        <v>0</v>
      </c>
      <c r="Z1069" s="35">
        <f>IFERROR(Tabela3[[#This Row],[Qtde Oleo]]*(VLOOKUP(Tabela3[[#This Row],[Data]],CompraOleo[],3,TRUE))*1.05,0)</f>
        <v>28.194754057927153</v>
      </c>
      <c r="AA1069" s="47">
        <f ca="1">(Tabela3[[#This Row],[Custo Oleo]]+Tabela3[[#This Row],[Custo Aluminio]]+Tabela3[[#This Row],[Custo M.O. Total]]+Tabela3[[#This Row],[Custo Machos]])</f>
        <v>380.53020405792716</v>
      </c>
      <c r="AB1069" s="47">
        <f ca="1">Tabela3[[#This Row],[Custo Total]]*Tabela3[[#This Row],[% Perda]]</f>
        <v>0</v>
      </c>
      <c r="AC1069" s="40">
        <f>IFERROR(VLOOKUP(Tabela3[[#This Row],[Produto]],Tabela2[],2,0),0)</f>
        <v>8</v>
      </c>
      <c r="AD1069" s="48">
        <f>IFERROR(VLOOKUP(Tabela3[[#This Row],[Produto]],Tabela2[],3,0),0)</f>
        <v>0.125</v>
      </c>
      <c r="AE1069" s="48">
        <f>IFERROR(VLOOKUP(Tabela3[[#This Row],[Produto]],Tabela2[],4,0),0)</f>
        <v>2.2000000000000002</v>
      </c>
      <c r="AF1069" s="48">
        <f>IFERROR(VLOOKUP(Tabela3[[#This Row],[Produto]],Tabela2[],5,0),0)</f>
        <v>1.0800000000000003</v>
      </c>
      <c r="AG1069" s="48">
        <f>IFERROR(VLOOKUP(Tabela3[[#This Row],[Produto]],Tabela2[],6,0),0)</f>
        <v>0</v>
      </c>
      <c r="AH1069" s="40">
        <f>IFERROR(VLOOKUP(Tabela3[[#This Row],[Produto]],Tabela2[],7,0),0)</f>
        <v>0</v>
      </c>
      <c r="AI1069" s="40">
        <f>IFERROR(VLOOKUP(Tabela3[[#This Row],[Produto]],Tabela2[],8,0),0)</f>
        <v>0</v>
      </c>
      <c r="AJ1069" s="35">
        <f ca="1">IFERROR(VLOOKUP(Tabela3[[#This Row],[Produto]],Tabela2[],13,0),0)</f>
        <v>15.600000000000001</v>
      </c>
      <c r="AK1069" s="48" t="str">
        <f>IFERROR(VLOOKUP(Tabela3[[#This Row],[Produto]],Tabela2[],14,0),0)</f>
        <v>Senun</v>
      </c>
      <c r="AL1069" s="40">
        <f>IFERROR(VLOOKUP(Tabela3[[#This Row],[Produto]],Tabela2[],15,0),0)</f>
        <v>7</v>
      </c>
      <c r="AM1069" s="36">
        <f ca="1">(Tabela3[[#This Row],[Custo Usinagem]]+Tabela3[[#This Row],[Custo / Pç]])*1.2</f>
        <v>13.589048237153552</v>
      </c>
      <c r="AN1069" s="36">
        <f ca="1">Tabela3[[#This Row],[Valor Mínimo Venda]]*1.15</f>
        <v>15.627405472726583</v>
      </c>
      <c r="AO1069" s="36">
        <f ca="1">Tabela3[[#This Row],[Tabela 1]]*1.08</f>
        <v>16.877597910544711</v>
      </c>
      <c r="AP1069" s="36">
        <f ca="1">Tabela3[[#This Row],[Tabela 2]]*1.15</f>
        <v>19.409237597126417</v>
      </c>
    </row>
    <row r="1070" spans="1:42">
      <c r="A1070" s="9">
        <v>46111</v>
      </c>
      <c r="B1070" s="9" t="s">
        <v>257</v>
      </c>
      <c r="C1070" s="14">
        <v>9258</v>
      </c>
      <c r="D1070" s="6" t="s">
        <v>44</v>
      </c>
      <c r="E1070" s="6" t="s">
        <v>47</v>
      </c>
      <c r="F1070" s="6">
        <v>20</v>
      </c>
      <c r="G1070" s="15">
        <v>7.9166666666666663E-2</v>
      </c>
      <c r="H1070" s="16">
        <v>0</v>
      </c>
      <c r="I1070" s="35">
        <f ca="1">IFERROR(Tabela3[[#This Row],[Custo Total]]/Tabela3[[#This Row],[Aluminio Util]],0)</f>
        <v>27.658442313978224</v>
      </c>
      <c r="J1070" s="35">
        <f ca="1">Tabela3[[#This Row],[Custo Total]]/Tabela3[[#This Row],[Realizado]]</f>
        <v>3.457305289247278</v>
      </c>
      <c r="K1070" s="37">
        <f>IFERROR(Tabela3[[#This Row],[Qtde Cx Produzida]]/Tabela3[[#This Row],[Tempo]]/24,0)</f>
        <v>10.526315789473685</v>
      </c>
      <c r="L1070" s="37">
        <f>Tabela3[[#This Row],[Qtde Cx Produzida]]*Tabela3[[#This Row],[Qdt Peça Placa]]</f>
        <v>160</v>
      </c>
      <c r="M1070" s="37">
        <f>Tabela3[[#This Row],[Previsto]]-Tabela3[[#This Row],[Perda Pçs]]</f>
        <v>160</v>
      </c>
      <c r="N1070" s="38">
        <f>IFERROR(Tabela3[[#This Row],[Perda Pçs]]/Tabela3[[#This Row],[Previsto]],0)</f>
        <v>0</v>
      </c>
      <c r="O1070" s="39">
        <f>IFERROR(IF(Tabela3[[#This Row],[Qtde Cx Produzida]] &lt;&gt; 0, Tabela3[[#This Row],[Tempo]] / Tabela3[[#This Row],[Qtde Cx Produzida]], 0),0)</f>
        <v>3.9583333333333328E-3</v>
      </c>
      <c r="P1070" s="57">
        <f>IFERROR(Tabela3[[#This Row],[Perda Pçs]]/Tabela3[[#This Row],[Qdt Peça Placa]],0)</f>
        <v>0</v>
      </c>
      <c r="Q1070" s="37">
        <f>IFERROR(Tabela3[[#This Row],[Realizado]]*Tabela3[[#This Row],[Peso Util/Pç]],0)</f>
        <v>20</v>
      </c>
      <c r="R1070" s="37">
        <f>IFERROR(Tabela3[[#This Row],[Peso Total Galho]]*Tabela3[[#This Row],[Qtde Cx Produzida]]*1.055,0)</f>
        <v>46.419999999999995</v>
      </c>
      <c r="S1070" s="37">
        <f>(Tabela3[[#This Row],[Aluminio Bruto]]-Tabela3[[#This Row],[Aluminio Util]])*0.9</f>
        <v>23.777999999999995</v>
      </c>
      <c r="T1070" s="37">
        <f>Tabela3[[#This Row],[Aluminio Bruto]]/OleoKGAluminio</f>
        <v>19.528833979516641</v>
      </c>
      <c r="U1070" s="35">
        <f>IFERROR((VLOOKUP(Tabela3[[#This Row],[Moldador]],Tabela1[],5,)+(VLOOKUP(Tabela3[[#This Row],[Ajudante]],Tabela1[],5,))*3.5),0)</f>
        <v>99.95034583333333</v>
      </c>
      <c r="V1070" s="35">
        <f>IFERROR(Tabela3[[#This Row],[Custo M.O. / H]]/((Tabela3[[#This Row],[Realizado]]/Tabela3[[#This Row],[Qdt Peça Placa]])/Tabela3[[#This Row],[Tempo]]/24),)</f>
        <v>9.4952828541666658</v>
      </c>
      <c r="W1070" s="35">
        <f>Tabela3[[#This Row],[Custo / Cx Moldada]]*Tabela3[[#This Row],[Qtde Cx Produzida]]</f>
        <v>189.90565708333332</v>
      </c>
      <c r="X1070" s="35">
        <f ca="1">Tabela3[[#This Row],[Aluminio Util]]*Tabela3[[#This Row],[Custo/Kg]]</f>
        <v>312</v>
      </c>
      <c r="Y1070" s="35">
        <f>IFERROR(VLOOKUP(Tabela3[[#This Row],[Data]],Tabela461213[],2,1)*(Tabela3[[#This Row],[Qtde Cx Produzida]]*Tabela3[[#This Row],[Qde macho / CX]]*Tabela3[[#This Row],[Peso Macho]]),)</f>
        <v>0</v>
      </c>
      <c r="Z1070" s="35">
        <f>IFERROR(Tabela3[[#This Row],[Qtde Oleo]]*(VLOOKUP(Tabela3[[#This Row],[Data]],CompraOleo[],3,TRUE))*1.05,0)</f>
        <v>51.263189196231181</v>
      </c>
      <c r="AA1070" s="47">
        <f ca="1">(Tabela3[[#This Row],[Custo Oleo]]+Tabela3[[#This Row],[Custo Aluminio]]+Tabela3[[#This Row],[Custo M.O. Total]]+Tabela3[[#This Row],[Custo Machos]])</f>
        <v>553.16884627956449</v>
      </c>
      <c r="AB1070" s="47">
        <f ca="1">Tabela3[[#This Row],[Custo Total]]*Tabela3[[#This Row],[% Perda]]</f>
        <v>0</v>
      </c>
      <c r="AC1070" s="40">
        <f>IFERROR(VLOOKUP(Tabela3[[#This Row],[Produto]],Tabela2[],2,0),0)</f>
        <v>8</v>
      </c>
      <c r="AD1070" s="48">
        <f>IFERROR(VLOOKUP(Tabela3[[#This Row],[Produto]],Tabela2[],3,0),0)</f>
        <v>0.125</v>
      </c>
      <c r="AE1070" s="48">
        <f>IFERROR(VLOOKUP(Tabela3[[#This Row],[Produto]],Tabela2[],4,0),0)</f>
        <v>2.2000000000000002</v>
      </c>
      <c r="AF1070" s="48">
        <f>IFERROR(VLOOKUP(Tabela3[[#This Row],[Produto]],Tabela2[],5,0),0)</f>
        <v>1.0800000000000003</v>
      </c>
      <c r="AG1070" s="48">
        <f>IFERROR(VLOOKUP(Tabela3[[#This Row],[Produto]],Tabela2[],6,0),0)</f>
        <v>0</v>
      </c>
      <c r="AH1070" s="40">
        <f>IFERROR(VLOOKUP(Tabela3[[#This Row],[Produto]],Tabela2[],7,0),0)</f>
        <v>0</v>
      </c>
      <c r="AI1070" s="40">
        <f>IFERROR(VLOOKUP(Tabela3[[#This Row],[Produto]],Tabela2[],8,0),0)</f>
        <v>0</v>
      </c>
      <c r="AJ1070" s="35">
        <f ca="1">IFERROR(VLOOKUP(Tabela3[[#This Row],[Produto]],Tabela2[],13,0),0)</f>
        <v>15.600000000000001</v>
      </c>
      <c r="AK1070" s="48" t="str">
        <f>IFERROR(VLOOKUP(Tabela3[[#This Row],[Produto]],Tabela2[],14,0),0)</f>
        <v>Senun</v>
      </c>
      <c r="AL1070" s="40">
        <f>IFERROR(VLOOKUP(Tabela3[[#This Row],[Produto]],Tabela2[],15,0),0)</f>
        <v>7</v>
      </c>
      <c r="AM1070" s="36">
        <f ca="1">(Tabela3[[#This Row],[Custo Usinagem]]+Tabela3[[#This Row],[Custo / Pç]])*1.2</f>
        <v>12.548766347096734</v>
      </c>
      <c r="AN1070" s="36">
        <f ca="1">Tabela3[[#This Row],[Valor Mínimo Venda]]*1.15</f>
        <v>14.431081299161242</v>
      </c>
      <c r="AO1070" s="36">
        <f ca="1">Tabela3[[#This Row],[Tabela 1]]*1.08</f>
        <v>15.585567803094143</v>
      </c>
      <c r="AP1070" s="36">
        <f ca="1">Tabela3[[#This Row],[Tabela 2]]*1.15</f>
        <v>17.923402973558265</v>
      </c>
    </row>
    <row r="1071" spans="1:42">
      <c r="A1071" s="9">
        <v>46112</v>
      </c>
      <c r="B1071" s="9" t="s">
        <v>257</v>
      </c>
      <c r="C1071" s="14">
        <v>9258</v>
      </c>
      <c r="D1071" s="6" t="s">
        <v>46</v>
      </c>
      <c r="E1071" s="6" t="s">
        <v>44</v>
      </c>
      <c r="F1071" s="6">
        <v>27</v>
      </c>
      <c r="G1071" s="15">
        <v>0.12708333333333333</v>
      </c>
      <c r="H1071" s="16">
        <v>2</v>
      </c>
      <c r="I1071" s="35">
        <f ca="1">IFERROR(Tabela3[[#This Row],[Custo Total]]/Tabela3[[#This Row],[Aluminio Util]],0)</f>
        <v>32.698609827721405</v>
      </c>
      <c r="J1071" s="35">
        <f ca="1">Tabela3[[#This Row],[Custo Total]]/Tabela3[[#This Row],[Realizado]]</f>
        <v>4.0873262284651757</v>
      </c>
      <c r="K1071" s="37">
        <f>IFERROR(Tabela3[[#This Row],[Qtde Cx Produzida]]/Tabela3[[#This Row],[Tempo]]/24,0)</f>
        <v>8.8524590163934427</v>
      </c>
      <c r="L1071" s="37">
        <f>Tabela3[[#This Row],[Qtde Cx Produzida]]*Tabela3[[#This Row],[Qdt Peça Placa]]</f>
        <v>216</v>
      </c>
      <c r="M1071" s="37">
        <f>Tabela3[[#This Row],[Previsto]]-Tabela3[[#This Row],[Perda Pçs]]</f>
        <v>214</v>
      </c>
      <c r="N1071" s="38">
        <f>IFERROR(Tabela3[[#This Row],[Perda Pçs]]/Tabela3[[#This Row],[Previsto]],0)</f>
        <v>9.2592592592592587E-3</v>
      </c>
      <c r="O1071" s="39">
        <f>IFERROR(IF(Tabela3[[#This Row],[Qtde Cx Produzida]] &lt;&gt; 0, Tabela3[[#This Row],[Tempo]] / Tabela3[[#This Row],[Qtde Cx Produzida]], 0),0)</f>
        <v>4.7067901234567897E-3</v>
      </c>
      <c r="P1071" s="57">
        <f>IFERROR(Tabela3[[#This Row],[Perda Pçs]]/Tabela3[[#This Row],[Qdt Peça Placa]],0)</f>
        <v>0.25</v>
      </c>
      <c r="Q1071" s="37">
        <f>IFERROR(Tabela3[[#This Row],[Realizado]]*Tabela3[[#This Row],[Peso Util/Pç]],0)</f>
        <v>26.75</v>
      </c>
      <c r="R1071" s="37">
        <f>IFERROR(Tabela3[[#This Row],[Peso Total Galho]]*Tabela3[[#This Row],[Qtde Cx Produzida]]*1.055,0)</f>
        <v>62.667000000000002</v>
      </c>
      <c r="S1071" s="37">
        <f>(Tabela3[[#This Row],[Aluminio Bruto]]-Tabela3[[#This Row],[Aluminio Util]])*0.9</f>
        <v>32.325300000000006</v>
      </c>
      <c r="T1071" s="37">
        <f>Tabela3[[#This Row],[Aluminio Bruto]]/OleoKGAluminio</f>
        <v>26.363925872347465</v>
      </c>
      <c r="U1071" s="35">
        <f>IFERROR((VLOOKUP(Tabela3[[#This Row],[Moldador]],Tabela1[],5,)+(VLOOKUP(Tabela3[[#This Row],[Ajudante]],Tabela1[],5,))*3.5),0)</f>
        <v>126.0945</v>
      </c>
      <c r="V1071" s="35">
        <f>IFERROR(Tabela3[[#This Row],[Custo M.O. / H]]/((Tabela3[[#This Row],[Realizado]]/Tabela3[[#This Row],[Qdt Peça Placa]])/Tabela3[[#This Row],[Tempo]]/24),)</f>
        <v>14.377129906542054</v>
      </c>
      <c r="W1071" s="35">
        <f>Tabela3[[#This Row],[Custo / Cx Moldada]]*Tabela3[[#This Row],[Qtde Cx Produzida]]</f>
        <v>388.18250747663546</v>
      </c>
      <c r="X1071" s="35">
        <f ca="1">Tabela3[[#This Row],[Aluminio Util]]*Tabela3[[#This Row],[Custo/Kg]]</f>
        <v>417.3</v>
      </c>
      <c r="Y1071" s="35">
        <f>IFERROR(VLOOKUP(Tabela3[[#This Row],[Data]],Tabela461213[],2,1)*(Tabela3[[#This Row],[Qtde Cx Produzida]]*Tabela3[[#This Row],[Qde macho / CX]]*Tabela3[[#This Row],[Peso Macho]]),)</f>
        <v>0</v>
      </c>
      <c r="Z1071" s="35">
        <f>IFERROR(Tabela3[[#This Row],[Qtde Oleo]]*(VLOOKUP(Tabela3[[#This Row],[Data]],CompraOleo[],3,TRUE))*1.05,0)</f>
        <v>69.205305414912104</v>
      </c>
      <c r="AA1071" s="47">
        <f ca="1">(Tabela3[[#This Row],[Custo Oleo]]+Tabela3[[#This Row],[Custo Aluminio]]+Tabela3[[#This Row],[Custo M.O. Total]]+Tabela3[[#This Row],[Custo Machos]])</f>
        <v>874.68781289154754</v>
      </c>
      <c r="AB1071" s="47">
        <f ca="1">Tabela3[[#This Row],[Custo Total]]*Tabela3[[#This Row],[% Perda]]</f>
        <v>8.0989612304772916</v>
      </c>
      <c r="AC1071" s="40">
        <f>IFERROR(VLOOKUP(Tabela3[[#This Row],[Produto]],Tabela2[],2,0),0)</f>
        <v>8</v>
      </c>
      <c r="AD1071" s="48">
        <f>IFERROR(VLOOKUP(Tabela3[[#This Row],[Produto]],Tabela2[],3,0),0)</f>
        <v>0.125</v>
      </c>
      <c r="AE1071" s="48">
        <f>IFERROR(VLOOKUP(Tabela3[[#This Row],[Produto]],Tabela2[],4,0),0)</f>
        <v>2.2000000000000002</v>
      </c>
      <c r="AF1071" s="48">
        <f>IFERROR(VLOOKUP(Tabela3[[#This Row],[Produto]],Tabela2[],5,0),0)</f>
        <v>1.0800000000000003</v>
      </c>
      <c r="AG1071" s="48">
        <f>IFERROR(VLOOKUP(Tabela3[[#This Row],[Produto]],Tabela2[],6,0),0)</f>
        <v>0</v>
      </c>
      <c r="AH1071" s="40">
        <f>IFERROR(VLOOKUP(Tabela3[[#This Row],[Produto]],Tabela2[],7,0),0)</f>
        <v>0</v>
      </c>
      <c r="AI1071" s="40">
        <f>IFERROR(VLOOKUP(Tabela3[[#This Row],[Produto]],Tabela2[],8,0),0)</f>
        <v>0</v>
      </c>
      <c r="AJ1071" s="35">
        <f ca="1">IFERROR(VLOOKUP(Tabela3[[#This Row],[Produto]],Tabela2[],13,0),0)</f>
        <v>15.600000000000001</v>
      </c>
      <c r="AK1071" s="48" t="str">
        <f>IFERROR(VLOOKUP(Tabela3[[#This Row],[Produto]],Tabela2[],14,0),0)</f>
        <v>Senun</v>
      </c>
      <c r="AL1071" s="40">
        <f>IFERROR(VLOOKUP(Tabela3[[#This Row],[Produto]],Tabela2[],15,0),0)</f>
        <v>7</v>
      </c>
      <c r="AM1071" s="36">
        <f ca="1">(Tabela3[[#This Row],[Custo Usinagem]]+Tabela3[[#This Row],[Custo / Pç]])*1.2</f>
        <v>13.304791474158211</v>
      </c>
      <c r="AN1071" s="36">
        <f ca="1">Tabela3[[#This Row],[Valor Mínimo Venda]]*1.15</f>
        <v>15.300510195281941</v>
      </c>
      <c r="AO1071" s="36">
        <f ca="1">Tabela3[[#This Row],[Tabela 1]]*1.08</f>
        <v>16.524551010904496</v>
      </c>
      <c r="AP1071" s="36">
        <f ca="1">Tabela3[[#This Row],[Tabela 2]]*1.15</f>
        <v>19.003233662540168</v>
      </c>
    </row>
    <row r="1072" spans="1:42">
      <c r="A1072" s="9">
        <v>46112</v>
      </c>
      <c r="B1072" s="6" t="s">
        <v>241</v>
      </c>
      <c r="C1072" s="14">
        <v>9324</v>
      </c>
      <c r="D1072" s="6" t="s">
        <v>46</v>
      </c>
      <c r="E1072" s="6" t="s">
        <v>44</v>
      </c>
      <c r="F1072" s="6">
        <v>20</v>
      </c>
      <c r="G1072" s="15">
        <v>0.11597222222222223</v>
      </c>
      <c r="H1072" s="16">
        <v>8</v>
      </c>
      <c r="I1072" s="35">
        <f ca="1">IFERROR(Tabela3[[#This Row],[Custo Total]]/Tabela3[[#This Row],[Aluminio Util]],0)</f>
        <v>26.731960816054844</v>
      </c>
      <c r="J1072" s="35">
        <f ca="1">Tabela3[[#This Row],[Custo Total]]/Tabela3[[#This Row],[Realizado]]</f>
        <v>16.386691980241618</v>
      </c>
      <c r="K1072" s="37">
        <f>IFERROR(Tabela3[[#This Row],[Qtde Cx Produzida]]/Tabela3[[#This Row],[Tempo]]/24,0)</f>
        <v>7.185628742514969</v>
      </c>
      <c r="L1072" s="37">
        <f>Tabela3[[#This Row],[Qtde Cx Produzida]]*Tabela3[[#This Row],[Qdt Peça Placa]]</f>
        <v>80</v>
      </c>
      <c r="M1072" s="37">
        <f>Tabela3[[#This Row],[Previsto]]-Tabela3[[#This Row],[Perda Pçs]]</f>
        <v>72</v>
      </c>
      <c r="N1072" s="38">
        <f>IFERROR(Tabela3[[#This Row],[Perda Pçs]]/Tabela3[[#This Row],[Previsto]],0)</f>
        <v>0.1</v>
      </c>
      <c r="O1072" s="39">
        <f>IFERROR(IF(Tabela3[[#This Row],[Qtde Cx Produzida]] &lt;&gt; 0, Tabela3[[#This Row],[Tempo]] / Tabela3[[#This Row],[Qtde Cx Produzida]], 0),0)</f>
        <v>5.7986111111111112E-3</v>
      </c>
      <c r="P1072" s="57">
        <f>IFERROR(Tabela3[[#This Row],[Perda Pçs]]/Tabela3[[#This Row],[Qdt Peça Placa]],0)</f>
        <v>2</v>
      </c>
      <c r="Q1072" s="37">
        <f>IFERROR(Tabela3[[#This Row],[Realizado]]*Tabela3[[#This Row],[Peso Util/Pç]],0)</f>
        <v>44.135999999999996</v>
      </c>
      <c r="R1072" s="37">
        <f>IFERROR(Tabela3[[#This Row],[Peso Total Galho]]*Tabela3[[#This Row],[Qtde Cx Produzida]]*1.055,0)</f>
        <v>91.784999999999997</v>
      </c>
      <c r="S1072" s="37">
        <f>(Tabela3[[#This Row],[Aluminio Bruto]]-Tabela3[[#This Row],[Aluminio Util]])*0.9</f>
        <v>42.884100000000004</v>
      </c>
      <c r="T1072" s="37">
        <f>Tabela3[[#This Row],[Aluminio Bruto]]/OleoKGAluminio</f>
        <v>38.613830823135174</v>
      </c>
      <c r="U1072" s="35">
        <f>IFERROR((VLOOKUP(Tabela3[[#This Row],[Moldador]],Tabela1[],5,)+(VLOOKUP(Tabela3[[#This Row],[Ajudante]],Tabela1[],5,))*3.5),0)</f>
        <v>126.0945</v>
      </c>
      <c r="V1072" s="35">
        <f>IFERROR(Tabela3[[#This Row],[Custo M.O. / H]]/((Tabela3[[#This Row],[Realizado]]/Tabela3[[#This Row],[Qdt Peça Placa]])/Tabela3[[#This Row],[Tempo]]/24),)</f>
        <v>19.497945833333333</v>
      </c>
      <c r="W1072" s="35">
        <f>Tabela3[[#This Row],[Custo / Cx Moldada]]*Tabela3[[#This Row],[Qtde Cx Produzida]]</f>
        <v>389.95891666666665</v>
      </c>
      <c r="X1072" s="35">
        <f ca="1">Tabela3[[#This Row],[Aluminio Util]]*Tabela3[[#This Row],[Custo/Kg]]</f>
        <v>688.52160000000003</v>
      </c>
      <c r="Y1072" s="35">
        <f>IFERROR(VLOOKUP(Tabela3[[#This Row],[Data]],Tabela461213[],2,1)*(Tabela3[[#This Row],[Qtde Cx Produzida]]*Tabela3[[#This Row],[Qde macho / CX]]*Tabela3[[#This Row],[Peso Macho]]),)</f>
        <v>0</v>
      </c>
      <c r="Z1072" s="35">
        <f>IFERROR(Tabela3[[#This Row],[Qtde Oleo]]*(VLOOKUP(Tabela3[[#This Row],[Data]],CompraOleo[],3,TRUE))*1.05,0)</f>
        <v>101.36130591072984</v>
      </c>
      <c r="AA1072" s="47">
        <f ca="1">(Tabela3[[#This Row],[Custo Oleo]]+Tabela3[[#This Row],[Custo Aluminio]]+Tabela3[[#This Row],[Custo M.O. Total]]+Tabela3[[#This Row],[Custo Machos]])</f>
        <v>1179.8418225773964</v>
      </c>
      <c r="AB1072" s="47">
        <f ca="1">Tabela3[[#This Row],[Custo Total]]*Tabela3[[#This Row],[% Perda]]</f>
        <v>117.98418225773965</v>
      </c>
      <c r="AC1072" s="40">
        <f>IFERROR(VLOOKUP(Tabela3[[#This Row],[Produto]],Tabela2[],2,0),0)</f>
        <v>4</v>
      </c>
      <c r="AD1072" s="48">
        <f>IFERROR(VLOOKUP(Tabela3[[#This Row],[Produto]],Tabela2[],3,0),0)</f>
        <v>0.61299999999999999</v>
      </c>
      <c r="AE1072" s="48">
        <f>IFERROR(VLOOKUP(Tabela3[[#This Row],[Produto]],Tabela2[],4,0),0)</f>
        <v>4.3499999999999996</v>
      </c>
      <c r="AF1072" s="48">
        <f>IFERROR(VLOOKUP(Tabela3[[#This Row],[Produto]],Tabela2[],5,0),0)</f>
        <v>1.7081999999999997</v>
      </c>
      <c r="AG1072" s="48">
        <f>IFERROR(VLOOKUP(Tabela3[[#This Row],[Produto]],Tabela2[],6,0),0)</f>
        <v>0</v>
      </c>
      <c r="AH1072" s="40">
        <f>IFERROR(VLOOKUP(Tabela3[[#This Row],[Produto]],Tabela2[],7,0),0)</f>
        <v>0</v>
      </c>
      <c r="AI1072" s="40">
        <f>IFERROR(VLOOKUP(Tabela3[[#This Row],[Produto]],Tabela2[],8,0),0)</f>
        <v>0</v>
      </c>
      <c r="AJ1072" s="35">
        <f ca="1">IFERROR(VLOOKUP(Tabela3[[#This Row],[Produto]],Tabela2[],13,0),0)</f>
        <v>15.600000000000001</v>
      </c>
      <c r="AK1072" s="48" t="str">
        <f>IFERROR(VLOOKUP(Tabela3[[#This Row],[Produto]],Tabela2[],14,0),0)</f>
        <v>Senun</v>
      </c>
      <c r="AL1072" s="40">
        <f>IFERROR(VLOOKUP(Tabela3[[#This Row],[Produto]],Tabela2[],15,0),0)</f>
        <v>4</v>
      </c>
      <c r="AM1072" s="36">
        <f ca="1">(Tabela3[[#This Row],[Custo Usinagem]]+Tabela3[[#This Row],[Custo / Pç]])*1.2</f>
        <v>24.464030376289941</v>
      </c>
      <c r="AN1072" s="36">
        <f ca="1">Tabela3[[#This Row],[Valor Mínimo Venda]]*1.15</f>
        <v>28.133634932733429</v>
      </c>
      <c r="AO1072" s="36">
        <f ca="1">Tabela3[[#This Row],[Tabela 1]]*1.08</f>
        <v>30.384325727352106</v>
      </c>
      <c r="AP1072" s="36">
        <f ca="1">Tabela3[[#This Row],[Tabela 2]]*1.15</f>
        <v>34.941974586454918</v>
      </c>
    </row>
    <row r="1073" spans="1:42">
      <c r="A1073" s="9">
        <v>46112</v>
      </c>
      <c r="B1073" s="9" t="s">
        <v>247</v>
      </c>
      <c r="C1073" s="14">
        <v>9316</v>
      </c>
      <c r="D1073" s="6" t="s">
        <v>46</v>
      </c>
      <c r="E1073" s="6" t="s">
        <v>44</v>
      </c>
      <c r="F1073" s="6">
        <v>24</v>
      </c>
      <c r="G1073" s="15">
        <v>0.11597222222222223</v>
      </c>
      <c r="H1073" s="16">
        <v>0</v>
      </c>
      <c r="I1073" s="35">
        <f ca="1">IFERROR(Tabela3[[#This Row],[Custo Total]]/Tabela3[[#This Row],[Aluminio Util]],0)</f>
        <v>30.019271735820681</v>
      </c>
      <c r="J1073" s="35">
        <f ca="1">Tabela3[[#This Row],[Custo Total]]/Tabela3[[#This Row],[Realizado]]</f>
        <v>9.0057815207462024</v>
      </c>
      <c r="K1073" s="37">
        <f>IFERROR(Tabela3[[#This Row],[Qtde Cx Produzida]]/Tabela3[[#This Row],[Tempo]]/24,0)</f>
        <v>8.6227544910179628</v>
      </c>
      <c r="L1073" s="37">
        <f>Tabela3[[#This Row],[Qtde Cx Produzida]]*Tabela3[[#This Row],[Qdt Peça Placa]]</f>
        <v>96</v>
      </c>
      <c r="M1073" s="37">
        <f>Tabela3[[#This Row],[Previsto]]-Tabela3[[#This Row],[Perda Pçs]]</f>
        <v>96</v>
      </c>
      <c r="N1073" s="38">
        <f>IFERROR(Tabela3[[#This Row],[Perda Pçs]]/Tabela3[[#This Row],[Previsto]],0)</f>
        <v>0</v>
      </c>
      <c r="O1073" s="39">
        <f>IFERROR(IF(Tabela3[[#This Row],[Qtde Cx Produzida]] &lt;&gt; 0, Tabela3[[#This Row],[Tempo]] / Tabela3[[#This Row],[Qtde Cx Produzida]], 0),0)</f>
        <v>4.8321759259259264E-3</v>
      </c>
      <c r="P1073" s="57">
        <f>IFERROR(Tabela3[[#This Row],[Perda Pçs]]/Tabela3[[#This Row],[Qdt Peça Placa]],0)</f>
        <v>0</v>
      </c>
      <c r="Q1073" s="37">
        <f>IFERROR(Tabela3[[#This Row],[Realizado]]*Tabela3[[#This Row],[Peso Util/Pç]],0)</f>
        <v>28.799999999999997</v>
      </c>
      <c r="R1073" s="37">
        <f>IFERROR(Tabela3[[#This Row],[Peso Total Galho]]*Tabela3[[#This Row],[Qtde Cx Produzida]]*1.055,0)</f>
        <v>58.23599999999999</v>
      </c>
      <c r="S1073" s="37">
        <f>(Tabela3[[#This Row],[Aluminio Bruto]]-Tabela3[[#This Row],[Aluminio Util]])*0.9</f>
        <v>26.492399999999993</v>
      </c>
      <c r="T1073" s="37">
        <f>Tabela3[[#This Row],[Aluminio Bruto]]/OleoKGAluminio</f>
        <v>24.499809901575418</v>
      </c>
      <c r="U1073" s="35">
        <f>IFERROR((VLOOKUP(Tabela3[[#This Row],[Moldador]],Tabela1[],5,)+(VLOOKUP(Tabela3[[#This Row],[Ajudante]],Tabela1[],5,))*3.5),0)</f>
        <v>126.0945</v>
      </c>
      <c r="V1073" s="35">
        <f>IFERROR(Tabela3[[#This Row],[Custo M.O. / H]]/((Tabela3[[#This Row],[Realizado]]/Tabela3[[#This Row],[Qdt Peça Placa]])/Tabela3[[#This Row],[Tempo]]/24),)</f>
        <v>14.623459375000001</v>
      </c>
      <c r="W1073" s="35">
        <f>Tabela3[[#This Row],[Custo / Cx Moldada]]*Tabela3[[#This Row],[Qtde Cx Produzida]]</f>
        <v>350.96302500000002</v>
      </c>
      <c r="X1073" s="35">
        <f ca="1">Tabela3[[#This Row],[Aluminio Util]]*Tabela3[[#This Row],[Custo/Kg]]</f>
        <v>449.28</v>
      </c>
      <c r="Y1073" s="35">
        <f>IFERROR(VLOOKUP(Tabela3[[#This Row],[Data]],Tabela461213[],2,1)*(Tabela3[[#This Row],[Qtde Cx Produzida]]*Tabela3[[#This Row],[Qde macho / CX]]*Tabela3[[#This Row],[Peso Macho]]),)</f>
        <v>0</v>
      </c>
      <c r="Z1073" s="35">
        <f>IFERROR(Tabela3[[#This Row],[Qtde Oleo]]*(VLOOKUP(Tabela3[[#This Row],[Data]],CompraOleo[],3,TRUE))*1.05,0)</f>
        <v>64.312000991635472</v>
      </c>
      <c r="AA1073" s="47">
        <f ca="1">(Tabela3[[#This Row],[Custo Oleo]]+Tabela3[[#This Row],[Custo Aluminio]]+Tabela3[[#This Row],[Custo M.O. Total]]+Tabela3[[#This Row],[Custo Machos]])</f>
        <v>864.55502599163549</v>
      </c>
      <c r="AB1073" s="47">
        <f ca="1">Tabela3[[#This Row],[Custo Total]]*Tabela3[[#This Row],[% Perda]]</f>
        <v>0</v>
      </c>
      <c r="AC1073" s="40">
        <f>IFERROR(VLOOKUP(Tabela3[[#This Row],[Produto]],Tabela2[],2,0),0)</f>
        <v>4</v>
      </c>
      <c r="AD1073" s="48">
        <f>IFERROR(VLOOKUP(Tabela3[[#This Row],[Produto]],Tabela2[],3,0),0)</f>
        <v>0.3</v>
      </c>
      <c r="AE1073" s="48">
        <f>IFERROR(VLOOKUP(Tabela3[[#This Row],[Produto]],Tabela2[],4,0),0)</f>
        <v>2.2999999999999998</v>
      </c>
      <c r="AF1073" s="48">
        <f>IFERROR(VLOOKUP(Tabela3[[#This Row],[Produto]],Tabela2[],5,0),0)</f>
        <v>0.98999999999999988</v>
      </c>
      <c r="AG1073" s="48">
        <f>IFERROR(VLOOKUP(Tabela3[[#This Row],[Produto]],Tabela2[],6,0),0)</f>
        <v>0</v>
      </c>
      <c r="AH1073" s="40">
        <f>IFERROR(VLOOKUP(Tabela3[[#This Row],[Produto]],Tabela2[],7,0),0)</f>
        <v>0</v>
      </c>
      <c r="AI1073" s="40">
        <f>IFERROR(VLOOKUP(Tabela3[[#This Row],[Produto]],Tabela2[],8,0),0)</f>
        <v>0</v>
      </c>
      <c r="AJ1073" s="35">
        <f ca="1">IFERROR(VLOOKUP(Tabela3[[#This Row],[Produto]],Tabela2[],13,0),0)</f>
        <v>15.600000000000001</v>
      </c>
      <c r="AK1073" s="48" t="str">
        <f>IFERROR(VLOOKUP(Tabela3[[#This Row],[Produto]],Tabela2[],14,0),0)</f>
        <v>Senun</v>
      </c>
      <c r="AL1073" s="40">
        <f>IFERROR(VLOOKUP(Tabela3[[#This Row],[Produto]],Tabela2[],15,0),0)</f>
        <v>3.5</v>
      </c>
      <c r="AM1073" s="36">
        <f ca="1">(Tabela3[[#This Row],[Custo Usinagem]]+Tabela3[[#This Row],[Custo / Pç]])*1.2</f>
        <v>15.006937824895441</v>
      </c>
      <c r="AN1073" s="36">
        <f ca="1">Tabela3[[#This Row],[Valor Mínimo Venda]]*1.15</f>
        <v>17.257978498629758</v>
      </c>
      <c r="AO1073" s="36">
        <f ca="1">Tabela3[[#This Row],[Tabela 1]]*1.08</f>
        <v>18.638616778520138</v>
      </c>
      <c r="AP1073" s="36">
        <f ca="1">Tabela3[[#This Row],[Tabela 2]]*1.15</f>
        <v>21.434409295298156</v>
      </c>
    </row>
    <row r="1074" spans="1:42">
      <c r="A1074" s="9">
        <v>46112</v>
      </c>
      <c r="B1074" s="9" t="s">
        <v>247</v>
      </c>
      <c r="C1074" s="14">
        <v>9316</v>
      </c>
      <c r="D1074" s="6" t="s">
        <v>44</v>
      </c>
      <c r="E1074" s="6" t="s">
        <v>47</v>
      </c>
      <c r="F1074" s="6">
        <v>18</v>
      </c>
      <c r="G1074" s="15">
        <v>8.1250000000000003E-2</v>
      </c>
      <c r="H1074" s="16">
        <v>0</v>
      </c>
      <c r="I1074" s="35">
        <f ca="1">IFERROR(Tabela3[[#This Row],[Custo Total]]/Tabela3[[#This Row],[Aluminio Util]],0)</f>
        <v>26.856350699941046</v>
      </c>
      <c r="J1074" s="35">
        <f ca="1">Tabela3[[#This Row],[Custo Total]]/Tabela3[[#This Row],[Realizado]]</f>
        <v>8.0569052099823129</v>
      </c>
      <c r="K1074" s="37">
        <f>IFERROR(Tabela3[[#This Row],[Qtde Cx Produzida]]/Tabela3[[#This Row],[Tempo]]/24,0)</f>
        <v>9.2307692307692299</v>
      </c>
      <c r="L1074" s="37">
        <f>Tabela3[[#This Row],[Qtde Cx Produzida]]*Tabela3[[#This Row],[Qdt Peça Placa]]</f>
        <v>72</v>
      </c>
      <c r="M1074" s="37">
        <f>Tabela3[[#This Row],[Previsto]]-Tabela3[[#This Row],[Perda Pçs]]</f>
        <v>72</v>
      </c>
      <c r="N1074" s="38">
        <f>IFERROR(Tabela3[[#This Row],[Perda Pçs]]/Tabela3[[#This Row],[Previsto]],0)</f>
        <v>0</v>
      </c>
      <c r="O1074" s="39">
        <f>IFERROR(IF(Tabela3[[#This Row],[Qtde Cx Produzida]] &lt;&gt; 0, Tabela3[[#This Row],[Tempo]] / Tabela3[[#This Row],[Qtde Cx Produzida]], 0),0)</f>
        <v>4.5138888888888893E-3</v>
      </c>
      <c r="P1074" s="57">
        <f>IFERROR(Tabela3[[#This Row],[Perda Pçs]]/Tabela3[[#This Row],[Qdt Peça Placa]],0)</f>
        <v>0</v>
      </c>
      <c r="Q1074" s="37">
        <f>IFERROR(Tabela3[[#This Row],[Realizado]]*Tabela3[[#This Row],[Peso Util/Pç]],0)</f>
        <v>21.599999999999998</v>
      </c>
      <c r="R1074" s="37">
        <f>IFERROR(Tabela3[[#This Row],[Peso Total Galho]]*Tabela3[[#This Row],[Qtde Cx Produzida]]*1.055,0)</f>
        <v>43.676999999999992</v>
      </c>
      <c r="S1074" s="37">
        <f>(Tabela3[[#This Row],[Aluminio Bruto]]-Tabela3[[#This Row],[Aluminio Util]])*0.9</f>
        <v>19.869299999999996</v>
      </c>
      <c r="T1074" s="37">
        <f>Tabela3[[#This Row],[Aluminio Bruto]]/OleoKGAluminio</f>
        <v>18.374857426181563</v>
      </c>
      <c r="U1074" s="35">
        <f>IFERROR((VLOOKUP(Tabela3[[#This Row],[Moldador]],Tabela1[],5,)+(VLOOKUP(Tabela3[[#This Row],[Ajudante]],Tabela1[],5,))*3.5),0)</f>
        <v>99.95034583333333</v>
      </c>
      <c r="V1074" s="35">
        <f>IFERROR(Tabela3[[#This Row],[Custo M.O. / H]]/((Tabela3[[#This Row],[Realizado]]/Tabela3[[#This Row],[Qdt Peça Placa]])/Tabela3[[#This Row],[Tempo]]/24),)</f>
        <v>10.827954131944445</v>
      </c>
      <c r="W1074" s="35">
        <f>Tabela3[[#This Row],[Custo / Cx Moldada]]*Tabela3[[#This Row],[Qtde Cx Produzida]]</f>
        <v>194.90317437499999</v>
      </c>
      <c r="X1074" s="35">
        <f ca="1">Tabela3[[#This Row],[Aluminio Util]]*Tabela3[[#This Row],[Custo/Kg]]</f>
        <v>336.96</v>
      </c>
      <c r="Y1074" s="35">
        <f>IFERROR(VLOOKUP(Tabela3[[#This Row],[Data]],Tabela461213[],2,1)*(Tabela3[[#This Row],[Qtde Cx Produzida]]*Tabela3[[#This Row],[Qde macho / CX]]*Tabela3[[#This Row],[Peso Macho]]),)</f>
        <v>0</v>
      </c>
      <c r="Z1074" s="35">
        <f>IFERROR(Tabela3[[#This Row],[Qtde Oleo]]*(VLOOKUP(Tabela3[[#This Row],[Data]],CompraOleo[],3,TRUE))*1.05,0)</f>
        <v>48.234000743726604</v>
      </c>
      <c r="AA1074" s="47">
        <f ca="1">(Tabela3[[#This Row],[Custo Oleo]]+Tabela3[[#This Row],[Custo Aluminio]]+Tabela3[[#This Row],[Custo M.O. Total]]+Tabela3[[#This Row],[Custo Machos]])</f>
        <v>580.09717511872657</v>
      </c>
      <c r="AB1074" s="47">
        <f ca="1">Tabela3[[#This Row],[Custo Total]]*Tabela3[[#This Row],[% Perda]]</f>
        <v>0</v>
      </c>
      <c r="AC1074" s="40">
        <f>IFERROR(VLOOKUP(Tabela3[[#This Row],[Produto]],Tabela2[],2,0),0)</f>
        <v>4</v>
      </c>
      <c r="AD1074" s="48">
        <f>IFERROR(VLOOKUP(Tabela3[[#This Row],[Produto]],Tabela2[],3,0),0)</f>
        <v>0.3</v>
      </c>
      <c r="AE1074" s="48">
        <f>IFERROR(VLOOKUP(Tabela3[[#This Row],[Produto]],Tabela2[],4,0),0)</f>
        <v>2.2999999999999998</v>
      </c>
      <c r="AF1074" s="48">
        <f>IFERROR(VLOOKUP(Tabela3[[#This Row],[Produto]],Tabela2[],5,0),0)</f>
        <v>0.98999999999999988</v>
      </c>
      <c r="AG1074" s="48">
        <f>IFERROR(VLOOKUP(Tabela3[[#This Row],[Produto]],Tabela2[],6,0),0)</f>
        <v>0</v>
      </c>
      <c r="AH1074" s="40">
        <f>IFERROR(VLOOKUP(Tabela3[[#This Row],[Produto]],Tabela2[],7,0),0)</f>
        <v>0</v>
      </c>
      <c r="AI1074" s="40">
        <f>IFERROR(VLOOKUP(Tabela3[[#This Row],[Produto]],Tabela2[],8,0),0)</f>
        <v>0</v>
      </c>
      <c r="AJ1074" s="35">
        <f ca="1">IFERROR(VLOOKUP(Tabela3[[#This Row],[Produto]],Tabela2[],13,0),0)</f>
        <v>15.600000000000001</v>
      </c>
      <c r="AK1074" s="48" t="str">
        <f>IFERROR(VLOOKUP(Tabela3[[#This Row],[Produto]],Tabela2[],14,0),0)</f>
        <v>Senun</v>
      </c>
      <c r="AL1074" s="40">
        <f>IFERROR(VLOOKUP(Tabela3[[#This Row],[Produto]],Tabela2[],15,0),0)</f>
        <v>3.5</v>
      </c>
      <c r="AM1074" s="36">
        <f ca="1">(Tabela3[[#This Row],[Custo Usinagem]]+Tabela3[[#This Row],[Custo / Pç]])*1.2</f>
        <v>13.868286251978775</v>
      </c>
      <c r="AN1074" s="36">
        <f ca="1">Tabela3[[#This Row],[Valor Mínimo Venda]]*1.15</f>
        <v>15.94852918977559</v>
      </c>
      <c r="AO1074" s="36">
        <f ca="1">Tabela3[[#This Row],[Tabela 1]]*1.08</f>
        <v>17.224411524957638</v>
      </c>
      <c r="AP1074" s="36">
        <f ca="1">Tabela3[[#This Row],[Tabela 2]]*1.15</f>
        <v>19.808073253701281</v>
      </c>
    </row>
    <row r="1075" spans="1:42">
      <c r="A1075" s="9">
        <v>46112</v>
      </c>
      <c r="B1075" s="9" t="s">
        <v>181</v>
      </c>
      <c r="C1075" s="14">
        <v>9321</v>
      </c>
      <c r="D1075" s="6" t="s">
        <v>44</v>
      </c>
      <c r="E1075" s="6" t="s">
        <v>47</v>
      </c>
      <c r="F1075" s="6">
        <v>5</v>
      </c>
      <c r="G1075" s="15">
        <v>8.5416666666666669E-2</v>
      </c>
      <c r="H1075" s="16">
        <v>0</v>
      </c>
      <c r="I1075" s="35">
        <f ca="1">IFERROR(Tabela3[[#This Row],[Custo Total]]/Tabela3[[#This Row],[Aluminio Util]],0)</f>
        <v>25.343334296848891</v>
      </c>
      <c r="J1075" s="35">
        <f ca="1">Tabela3[[#This Row],[Custo Total]]/Tabela3[[#This Row],[Realizado]]</f>
        <v>161.00620278788102</v>
      </c>
      <c r="K1075" s="37">
        <f>IFERROR(Tabela3[[#This Row],[Qtde Cx Produzida]]/Tabela3[[#This Row],[Tempo]]/24,0)</f>
        <v>2.4390243902439024</v>
      </c>
      <c r="L1075" s="37">
        <f>Tabela3[[#This Row],[Qtde Cx Produzida]]*Tabela3[[#This Row],[Qdt Peça Placa]]</f>
        <v>5</v>
      </c>
      <c r="M1075" s="37">
        <f>Tabela3[[#This Row],[Previsto]]-Tabela3[[#This Row],[Perda Pçs]]</f>
        <v>5</v>
      </c>
      <c r="N1075" s="38">
        <f>IFERROR(Tabela3[[#This Row],[Perda Pçs]]/Tabela3[[#This Row],[Previsto]],0)</f>
        <v>0</v>
      </c>
      <c r="O1075" s="39">
        <f>IFERROR(IF(Tabela3[[#This Row],[Qtde Cx Produzida]] &lt;&gt; 0, Tabela3[[#This Row],[Tempo]] / Tabela3[[#This Row],[Qtde Cx Produzida]], 0),0)</f>
        <v>1.7083333333333332E-2</v>
      </c>
      <c r="P1075" s="57">
        <f>IFERROR(Tabela3[[#This Row],[Perda Pçs]]/Tabela3[[#This Row],[Qdt Peça Placa]],0)</f>
        <v>0</v>
      </c>
      <c r="Q1075" s="37">
        <f>IFERROR(Tabela3[[#This Row],[Realizado]]*Tabela3[[#This Row],[Peso Util/Pç]],0)</f>
        <v>31.765000000000001</v>
      </c>
      <c r="R1075" s="37">
        <f>IFERROR(Tabela3[[#This Row],[Peso Total Galho]]*Tabela3[[#This Row],[Qtde Cx Produzida]]*1.055,0)</f>
        <v>37.188749999999999</v>
      </c>
      <c r="S1075" s="37">
        <f>(Tabela3[[#This Row],[Aluminio Bruto]]-Tabela3[[#This Row],[Aluminio Util]])*0.9</f>
        <v>4.8813749999999985</v>
      </c>
      <c r="T1075" s="37">
        <f>Tabela3[[#This Row],[Aluminio Bruto]]/OleoKGAluminio</f>
        <v>15.645259040408218</v>
      </c>
      <c r="U1075" s="35">
        <f>IFERROR((VLOOKUP(Tabela3[[#This Row],[Moldador]],Tabela1[],5,)+(VLOOKUP(Tabela3[[#This Row],[Ajudante]],Tabela1[],5,))*3.5),0)</f>
        <v>99.95034583333333</v>
      </c>
      <c r="V1075" s="35">
        <f>IFERROR(Tabela3[[#This Row],[Custo M.O. / H]]/((Tabela3[[#This Row],[Realizado]]/Tabela3[[#This Row],[Qdt Peça Placa]])/Tabela3[[#This Row],[Tempo]]/24),)</f>
        <v>40.979641791666666</v>
      </c>
      <c r="W1075" s="35">
        <f>Tabela3[[#This Row],[Custo / Cx Moldada]]*Tabela3[[#This Row],[Qtde Cx Produzida]]</f>
        <v>204.89820895833333</v>
      </c>
      <c r="X1075" s="35">
        <f ca="1">Tabela3[[#This Row],[Aluminio Util]]*Tabela3[[#This Row],[Custo/Kg]]</f>
        <v>559.06400000000008</v>
      </c>
      <c r="Y1075" s="35">
        <f>IFERROR(VLOOKUP(Tabela3[[#This Row],[Data]],Tabela461213[],2,1)*(Tabela3[[#This Row],[Qtde Cx Produzida]]*Tabela3[[#This Row],[Qde macho / CX]]*Tabela3[[#This Row],[Peso Macho]]),)</f>
        <v>0</v>
      </c>
      <c r="Z1075" s="35">
        <f>IFERROR(Tabela3[[#This Row],[Qtde Oleo]]*(VLOOKUP(Tabela3[[#This Row],[Data]],CompraOleo[],3,TRUE))*1.05,0)</f>
        <v>41.068804981071573</v>
      </c>
      <c r="AA1075" s="47">
        <f ca="1">(Tabela3[[#This Row],[Custo Oleo]]+Tabela3[[#This Row],[Custo Aluminio]]+Tabela3[[#This Row],[Custo M.O. Total]]+Tabela3[[#This Row],[Custo Machos]])</f>
        <v>805.03101393940506</v>
      </c>
      <c r="AB1075" s="47">
        <f ca="1">Tabela3[[#This Row],[Custo Total]]*Tabela3[[#This Row],[% Perda]]</f>
        <v>0</v>
      </c>
      <c r="AC1075" s="40">
        <f>IFERROR(VLOOKUP(Tabela3[[#This Row],[Produto]],Tabela2[],2,0),0)</f>
        <v>1</v>
      </c>
      <c r="AD1075" s="48">
        <f>IFERROR(VLOOKUP(Tabela3[[#This Row],[Produto]],Tabela2[],3,0),0)</f>
        <v>6.3529999999999998</v>
      </c>
      <c r="AE1075" s="48">
        <f>IFERROR(VLOOKUP(Tabela3[[#This Row],[Produto]],Tabela2[],4,0),0)</f>
        <v>7.05</v>
      </c>
      <c r="AF1075" s="48">
        <f>IFERROR(VLOOKUP(Tabela3[[#This Row],[Produto]],Tabela2[],5,0),0)</f>
        <v>0.62730000000000008</v>
      </c>
      <c r="AG1075" s="48">
        <f>IFERROR(VLOOKUP(Tabela3[[#This Row],[Produto]],Tabela2[],6,0),0)</f>
        <v>0</v>
      </c>
      <c r="AH1075" s="40">
        <f>IFERROR(VLOOKUP(Tabela3[[#This Row],[Produto]],Tabela2[],7,0),0)</f>
        <v>0</v>
      </c>
      <c r="AI1075" s="40">
        <f>IFERROR(VLOOKUP(Tabela3[[#This Row],[Produto]],Tabela2[],8,0),0)</f>
        <v>0</v>
      </c>
      <c r="AJ1075" s="35">
        <f ca="1">IFERROR(VLOOKUP(Tabela3[[#This Row],[Produto]],Tabela2[],13,0),0)</f>
        <v>17.600000000000001</v>
      </c>
      <c r="AK1075" s="48" t="str">
        <f>IFERROR(VLOOKUP(Tabela3[[#This Row],[Produto]],Tabela2[],14,0),0)</f>
        <v>Oscar</v>
      </c>
      <c r="AL1075" s="40">
        <f>IFERROR(VLOOKUP(Tabela3[[#This Row],[Produto]],Tabela2[],15,0),0)</f>
        <v>0</v>
      </c>
      <c r="AM1075" s="36">
        <f ca="1">(Tabela3[[#This Row],[Custo Usinagem]]+Tabela3[[#This Row],[Custo / Pç]])*1.2</f>
        <v>193.20744334545722</v>
      </c>
      <c r="AN1075" s="36">
        <f ca="1">Tabela3[[#This Row],[Valor Mínimo Venda]]*1.15</f>
        <v>222.1885598472758</v>
      </c>
      <c r="AO1075" s="36">
        <f ca="1">Tabela3[[#This Row],[Tabela 1]]*1.08</f>
        <v>239.96364463505788</v>
      </c>
      <c r="AP1075" s="36">
        <f ca="1">Tabela3[[#This Row],[Tabela 2]]*1.15</f>
        <v>275.95819133031654</v>
      </c>
    </row>
    <row r="1076" spans="1:42">
      <c r="A1076" s="9">
        <v>46113</v>
      </c>
      <c r="B1076" s="9" t="s">
        <v>247</v>
      </c>
      <c r="C1076" s="14">
        <v>9316</v>
      </c>
      <c r="D1076" s="6" t="s">
        <v>46</v>
      </c>
      <c r="E1076" s="6" t="s">
        <v>44</v>
      </c>
      <c r="F1076" s="6">
        <v>80</v>
      </c>
      <c r="G1076" s="15">
        <v>0.37291666666666667</v>
      </c>
      <c r="H1076" s="16">
        <v>35</v>
      </c>
      <c r="I1076" s="35">
        <f ca="1">IFERROR(Tabela3[[#This Row],[Custo Total]]/Tabela3[[#This Row],[Aluminio Util]],0)</f>
        <v>32.927631022552731</v>
      </c>
      <c r="J1076" s="35">
        <f ca="1">Tabela3[[#This Row],[Custo Total]]/Tabela3[[#This Row],[Realizado]]</f>
        <v>9.8782893067658186</v>
      </c>
      <c r="K1076" s="37">
        <f>IFERROR(Tabela3[[#This Row],[Qtde Cx Produzida]]/Tabela3[[#This Row],[Tempo]]/24,0)</f>
        <v>8.938547486033519</v>
      </c>
      <c r="L1076" s="37">
        <f>Tabela3[[#This Row],[Qtde Cx Produzida]]*Tabela3[[#This Row],[Qdt Peça Placa]]</f>
        <v>320</v>
      </c>
      <c r="M1076" s="37">
        <f>Tabela3[[#This Row],[Previsto]]-Tabela3[[#This Row],[Perda Pçs]]</f>
        <v>285</v>
      </c>
      <c r="N1076" s="38">
        <f>IFERROR(Tabela3[[#This Row],[Perda Pçs]]/Tabela3[[#This Row],[Previsto]],0)</f>
        <v>0.109375</v>
      </c>
      <c r="O1076" s="39">
        <f>IFERROR(IF(Tabela3[[#This Row],[Qtde Cx Produzida]] &lt;&gt; 0, Tabela3[[#This Row],[Tempo]] / Tabela3[[#This Row],[Qtde Cx Produzida]], 0),0)</f>
        <v>4.6614583333333334E-3</v>
      </c>
      <c r="P1076" s="57">
        <f>IFERROR(Tabela3[[#This Row],[Perda Pçs]]/Tabela3[[#This Row],[Qdt Peça Placa]],0)</f>
        <v>8.75</v>
      </c>
      <c r="Q1076" s="37">
        <f>IFERROR(Tabela3[[#This Row],[Realizado]]*Tabela3[[#This Row],[Peso Util/Pç]],0)</f>
        <v>85.5</v>
      </c>
      <c r="R1076" s="37">
        <f>IFERROR(Tabela3[[#This Row],[Peso Total Galho]]*Tabela3[[#This Row],[Qtde Cx Produzida]]*1.055,0)</f>
        <v>194.11999999999998</v>
      </c>
      <c r="S1076" s="37">
        <f>(Tabela3[[#This Row],[Aluminio Bruto]]-Tabela3[[#This Row],[Aluminio Util]])*0.9</f>
        <v>97.757999999999981</v>
      </c>
      <c r="T1076" s="37">
        <f>Tabela3[[#This Row],[Aluminio Bruto]]/OleoKGAluminio</f>
        <v>81.666033005251393</v>
      </c>
      <c r="U1076" s="35">
        <f>IFERROR((VLOOKUP(Tabela3[[#This Row],[Moldador]],Tabela1[],5,)+(VLOOKUP(Tabela3[[#This Row],[Ajudante]],Tabela1[],5,))*3.5),0)</f>
        <v>126.0945</v>
      </c>
      <c r="V1076" s="35">
        <f>IFERROR(Tabela3[[#This Row],[Custo M.O. / H]]/((Tabela3[[#This Row],[Realizado]]/Tabela3[[#This Row],[Qdt Peça Placa]])/Tabela3[[#This Row],[Tempo]]/24),)</f>
        <v>15.83923894736842</v>
      </c>
      <c r="W1076" s="35">
        <f>Tabela3[[#This Row],[Custo / Cx Moldada]]*Tabela3[[#This Row],[Qtde Cx Produzida]]</f>
        <v>1267.1391157894736</v>
      </c>
      <c r="X1076" s="35">
        <f ca="1">Tabela3[[#This Row],[Aluminio Util]]*Tabela3[[#This Row],[Custo/Kg]]</f>
        <v>1333.8000000000002</v>
      </c>
      <c r="Y1076" s="35">
        <f>IFERROR(VLOOKUP(Tabela3[[#This Row],[Data]],Tabela461213[],2,1)*(Tabela3[[#This Row],[Qtde Cx Produzida]]*Tabela3[[#This Row],[Qde macho / CX]]*Tabela3[[#This Row],[Peso Macho]]),)</f>
        <v>0</v>
      </c>
      <c r="Z1076" s="35">
        <f>IFERROR(Tabela3[[#This Row],[Qtde Oleo]]*(VLOOKUP(Tabela3[[#This Row],[Data]],CompraOleo[],3,TRUE))*1.05,0)</f>
        <v>214.37333663878491</v>
      </c>
      <c r="AA1076" s="47">
        <f ca="1">(Tabela3[[#This Row],[Custo Oleo]]+Tabela3[[#This Row],[Custo Aluminio]]+Tabela3[[#This Row],[Custo M.O. Total]]+Tabela3[[#This Row],[Custo Machos]])</f>
        <v>2815.3124524282584</v>
      </c>
      <c r="AB1076" s="47">
        <f ca="1">Tabela3[[#This Row],[Custo Total]]*Tabela3[[#This Row],[% Perda]]</f>
        <v>307.92479948434078</v>
      </c>
      <c r="AC1076" s="40">
        <f>IFERROR(VLOOKUP(Tabela3[[#This Row],[Produto]],Tabela2[],2,0),0)</f>
        <v>4</v>
      </c>
      <c r="AD1076" s="48">
        <f>IFERROR(VLOOKUP(Tabela3[[#This Row],[Produto]],Tabela2[],3,0),0)</f>
        <v>0.3</v>
      </c>
      <c r="AE1076" s="48">
        <f>IFERROR(VLOOKUP(Tabela3[[#This Row],[Produto]],Tabela2[],4,0),0)</f>
        <v>2.2999999999999998</v>
      </c>
      <c r="AF1076" s="48">
        <f>IFERROR(VLOOKUP(Tabela3[[#This Row],[Produto]],Tabela2[],5,0),0)</f>
        <v>0.98999999999999988</v>
      </c>
      <c r="AG1076" s="48">
        <f>IFERROR(VLOOKUP(Tabela3[[#This Row],[Produto]],Tabela2[],6,0),0)</f>
        <v>0</v>
      </c>
      <c r="AH1076" s="40">
        <f>IFERROR(VLOOKUP(Tabela3[[#This Row],[Produto]],Tabela2[],7,0),0)</f>
        <v>0</v>
      </c>
      <c r="AI1076" s="40">
        <f>IFERROR(VLOOKUP(Tabela3[[#This Row],[Produto]],Tabela2[],8,0),0)</f>
        <v>0</v>
      </c>
      <c r="AJ1076" s="35">
        <f ca="1">IFERROR(VLOOKUP(Tabela3[[#This Row],[Produto]],Tabela2[],13,0),0)</f>
        <v>15.600000000000001</v>
      </c>
      <c r="AK1076" s="48" t="str">
        <f>IFERROR(VLOOKUP(Tabela3[[#This Row],[Produto]],Tabela2[],14,0),0)</f>
        <v>Senun</v>
      </c>
      <c r="AL1076" s="40">
        <f>IFERROR(VLOOKUP(Tabela3[[#This Row],[Produto]],Tabela2[],15,0),0)</f>
        <v>3.5</v>
      </c>
      <c r="AM1076" s="36">
        <f ca="1">(Tabela3[[#This Row],[Custo Usinagem]]+Tabela3[[#This Row],[Custo / Pç]])*1.2</f>
        <v>16.053947168118981</v>
      </c>
      <c r="AN1076" s="36">
        <f ca="1">Tabela3[[#This Row],[Valor Mínimo Venda]]*1.15</f>
        <v>18.462039243336825</v>
      </c>
      <c r="AO1076" s="36">
        <f ca="1">Tabela3[[#This Row],[Tabela 1]]*1.08</f>
        <v>19.939002382803771</v>
      </c>
      <c r="AP1076" s="36">
        <f ca="1">Tabela3[[#This Row],[Tabela 2]]*1.15</f>
        <v>22.929852740224334</v>
      </c>
    </row>
    <row r="1077" spans="1:42">
      <c r="A1077" s="9">
        <v>46113</v>
      </c>
      <c r="B1077" s="9" t="s">
        <v>247</v>
      </c>
      <c r="C1077" s="14">
        <v>9316</v>
      </c>
      <c r="D1077" s="6" t="s">
        <v>44</v>
      </c>
      <c r="E1077" s="6" t="s">
        <v>47</v>
      </c>
      <c r="F1077" s="6">
        <v>18</v>
      </c>
      <c r="G1077" s="15">
        <v>7.9861111111111105E-2</v>
      </c>
      <c r="H1077" s="16">
        <v>0</v>
      </c>
      <c r="I1077" s="35">
        <f ca="1">IFERROR(Tabela3[[#This Row],[Custo Total]]/Tabela3[[#This Row],[Aluminio Util]],0)</f>
        <v>26.702106339087141</v>
      </c>
      <c r="J1077" s="35">
        <f ca="1">Tabela3[[#This Row],[Custo Total]]/Tabela3[[#This Row],[Realizado]]</f>
        <v>8.0106319017261409</v>
      </c>
      <c r="K1077" s="37">
        <f>IFERROR(Tabela3[[#This Row],[Qtde Cx Produzida]]/Tabela3[[#This Row],[Tempo]]/24,0)</f>
        <v>9.3913043478260878</v>
      </c>
      <c r="L1077" s="37">
        <f>Tabela3[[#This Row],[Qtde Cx Produzida]]*Tabela3[[#This Row],[Qdt Peça Placa]]</f>
        <v>72</v>
      </c>
      <c r="M1077" s="37">
        <f>Tabela3[[#This Row],[Previsto]]-Tabela3[[#This Row],[Perda Pçs]]</f>
        <v>72</v>
      </c>
      <c r="N1077" s="38">
        <f>IFERROR(Tabela3[[#This Row],[Perda Pçs]]/Tabela3[[#This Row],[Previsto]],0)</f>
        <v>0</v>
      </c>
      <c r="O1077" s="39">
        <f>IFERROR(IF(Tabela3[[#This Row],[Qtde Cx Produzida]] &lt;&gt; 0, Tabela3[[#This Row],[Tempo]] / Tabela3[[#This Row],[Qtde Cx Produzida]], 0),0)</f>
        <v>4.4367283950617281E-3</v>
      </c>
      <c r="P1077" s="57">
        <f>IFERROR(Tabela3[[#This Row],[Perda Pçs]]/Tabela3[[#This Row],[Qdt Peça Placa]],0)</f>
        <v>0</v>
      </c>
      <c r="Q1077" s="37">
        <f>IFERROR(Tabela3[[#This Row],[Realizado]]*Tabela3[[#This Row],[Peso Util/Pç]],0)</f>
        <v>21.599999999999998</v>
      </c>
      <c r="R1077" s="37">
        <f>IFERROR(Tabela3[[#This Row],[Peso Total Galho]]*Tabela3[[#This Row],[Qtde Cx Produzida]]*1.055,0)</f>
        <v>43.676999999999992</v>
      </c>
      <c r="S1077" s="37">
        <f>(Tabela3[[#This Row],[Aluminio Bruto]]-Tabela3[[#This Row],[Aluminio Util]])*0.9</f>
        <v>19.869299999999996</v>
      </c>
      <c r="T1077" s="37">
        <f>Tabela3[[#This Row],[Aluminio Bruto]]/OleoKGAluminio</f>
        <v>18.374857426181563</v>
      </c>
      <c r="U1077" s="35">
        <f>IFERROR((VLOOKUP(Tabela3[[#This Row],[Moldador]],Tabela1[],5,)+(VLOOKUP(Tabela3[[#This Row],[Ajudante]],Tabela1[],5,))*3.5),0)</f>
        <v>99.95034583333333</v>
      </c>
      <c r="V1077" s="35">
        <f>IFERROR(Tabela3[[#This Row],[Custo M.O. / H]]/((Tabela3[[#This Row],[Realizado]]/Tabela3[[#This Row],[Qdt Peça Placa]])/Tabela3[[#This Row],[Tempo]]/24),)</f>
        <v>10.642860898919752</v>
      </c>
      <c r="W1077" s="35">
        <f>Tabela3[[#This Row],[Custo / Cx Moldada]]*Tabela3[[#This Row],[Qtde Cx Produzida]]</f>
        <v>191.57149618055553</v>
      </c>
      <c r="X1077" s="35">
        <f ca="1">Tabela3[[#This Row],[Aluminio Util]]*Tabela3[[#This Row],[Custo/Kg]]</f>
        <v>336.96</v>
      </c>
      <c r="Y1077" s="35">
        <f>IFERROR(VLOOKUP(Tabela3[[#This Row],[Data]],Tabela461213[],2,1)*(Tabela3[[#This Row],[Qtde Cx Produzida]]*Tabela3[[#This Row],[Qde macho / CX]]*Tabela3[[#This Row],[Peso Macho]]),)</f>
        <v>0</v>
      </c>
      <c r="Z1077" s="35">
        <f>IFERROR(Tabela3[[#This Row],[Qtde Oleo]]*(VLOOKUP(Tabela3[[#This Row],[Data]],CompraOleo[],3,TRUE))*1.05,0)</f>
        <v>48.234000743726604</v>
      </c>
      <c r="AA1077" s="47">
        <f ca="1">(Tabela3[[#This Row],[Custo Oleo]]+Tabela3[[#This Row],[Custo Aluminio]]+Tabela3[[#This Row],[Custo M.O. Total]]+Tabela3[[#This Row],[Custo Machos]])</f>
        <v>576.76549692428216</v>
      </c>
      <c r="AB1077" s="47">
        <f ca="1">Tabela3[[#This Row],[Custo Total]]*Tabela3[[#This Row],[% Perda]]</f>
        <v>0</v>
      </c>
      <c r="AC1077" s="40">
        <f>IFERROR(VLOOKUP(Tabela3[[#This Row],[Produto]],Tabela2[],2,0),0)</f>
        <v>4</v>
      </c>
      <c r="AD1077" s="48">
        <f>IFERROR(VLOOKUP(Tabela3[[#This Row],[Produto]],Tabela2[],3,0),0)</f>
        <v>0.3</v>
      </c>
      <c r="AE1077" s="48">
        <f>IFERROR(VLOOKUP(Tabela3[[#This Row],[Produto]],Tabela2[],4,0),0)</f>
        <v>2.2999999999999998</v>
      </c>
      <c r="AF1077" s="48">
        <f>IFERROR(VLOOKUP(Tabela3[[#This Row],[Produto]],Tabela2[],5,0),0)</f>
        <v>0.98999999999999988</v>
      </c>
      <c r="AG1077" s="48">
        <f>IFERROR(VLOOKUP(Tabela3[[#This Row],[Produto]],Tabela2[],6,0),0)</f>
        <v>0</v>
      </c>
      <c r="AH1077" s="40">
        <f>IFERROR(VLOOKUP(Tabela3[[#This Row],[Produto]],Tabela2[],7,0),0)</f>
        <v>0</v>
      </c>
      <c r="AI1077" s="40">
        <f>IFERROR(VLOOKUP(Tabela3[[#This Row],[Produto]],Tabela2[],8,0),0)</f>
        <v>0</v>
      </c>
      <c r="AJ1077" s="35">
        <f ca="1">IFERROR(VLOOKUP(Tabela3[[#This Row],[Produto]],Tabela2[],13,0),0)</f>
        <v>15.600000000000001</v>
      </c>
      <c r="AK1077" s="48" t="str">
        <f>IFERROR(VLOOKUP(Tabela3[[#This Row],[Produto]],Tabela2[],14,0),0)</f>
        <v>Senun</v>
      </c>
      <c r="AL1077" s="40">
        <f>IFERROR(VLOOKUP(Tabela3[[#This Row],[Produto]],Tabela2[],15,0),0)</f>
        <v>3.5</v>
      </c>
      <c r="AM1077" s="36">
        <f ca="1">(Tabela3[[#This Row],[Custo Usinagem]]+Tabela3[[#This Row],[Custo / Pç]])*1.2</f>
        <v>13.812758282071369</v>
      </c>
      <c r="AN1077" s="36">
        <f ca="1">Tabela3[[#This Row],[Valor Mínimo Venda]]*1.15</f>
        <v>15.884672024382073</v>
      </c>
      <c r="AO1077" s="36">
        <f ca="1">Tabela3[[#This Row],[Tabela 1]]*1.08</f>
        <v>17.155445786332642</v>
      </c>
      <c r="AP1077" s="36">
        <f ca="1">Tabela3[[#This Row],[Tabela 2]]*1.15</f>
        <v>19.728762654282537</v>
      </c>
    </row>
    <row r="1078" spans="1:42">
      <c r="A1078" s="9">
        <v>46113</v>
      </c>
      <c r="B1078" s="9" t="s">
        <v>236</v>
      </c>
      <c r="C1078" s="14">
        <v>9250</v>
      </c>
      <c r="D1078" s="6" t="s">
        <v>44</v>
      </c>
      <c r="E1078" s="6" t="s">
        <v>59</v>
      </c>
      <c r="F1078" s="6">
        <v>22</v>
      </c>
      <c r="G1078" s="15">
        <v>0.12291666666666666</v>
      </c>
      <c r="H1078" s="16">
        <v>3</v>
      </c>
      <c r="I1078" s="35">
        <f ca="1">IFERROR(Tabela3[[#This Row],[Custo Total]]/Tabela3[[#This Row],[Aluminio Util]],0)</f>
        <v>24.760371949098367</v>
      </c>
      <c r="J1078" s="35">
        <f ca="1">Tabela3[[#This Row],[Custo Total]]/Tabela3[[#This Row],[Realizado]]</f>
        <v>7.4776323286277071</v>
      </c>
      <c r="K1078" s="37">
        <f>IFERROR(Tabela3[[#This Row],[Qtde Cx Produzida]]/Tabela3[[#This Row],[Tempo]]/24,0)</f>
        <v>7.4576271186440684</v>
      </c>
      <c r="L1078" s="37">
        <f>Tabela3[[#This Row],[Qtde Cx Produzida]]*Tabela3[[#This Row],[Qdt Peça Placa]]</f>
        <v>132</v>
      </c>
      <c r="M1078" s="37">
        <f>Tabela3[[#This Row],[Previsto]]-Tabela3[[#This Row],[Perda Pçs]]</f>
        <v>129</v>
      </c>
      <c r="N1078" s="38">
        <f>IFERROR(Tabela3[[#This Row],[Perda Pçs]]/Tabela3[[#This Row],[Previsto]],0)</f>
        <v>2.2727272727272728E-2</v>
      </c>
      <c r="O1078" s="39">
        <f>IFERROR(IF(Tabela3[[#This Row],[Qtde Cx Produzida]] &lt;&gt; 0, Tabela3[[#This Row],[Tempo]] / Tabela3[[#This Row],[Qtde Cx Produzida]], 0),0)</f>
        <v>5.5871212121212117E-3</v>
      </c>
      <c r="P1078" s="57">
        <f>IFERROR(Tabela3[[#This Row],[Perda Pçs]]/Tabela3[[#This Row],[Qdt Peça Placa]],0)</f>
        <v>0.5</v>
      </c>
      <c r="Q1078" s="37">
        <f>IFERROR(Tabela3[[#This Row],[Realizado]]*Tabela3[[#This Row],[Peso Util/Pç]],0)</f>
        <v>38.957999999999998</v>
      </c>
      <c r="R1078" s="37">
        <f>IFERROR(Tabela3[[#This Row],[Peso Total Galho]]*Tabela3[[#This Row],[Qtde Cx Produzida]]*1.055,0)</f>
        <v>49.947919999999996</v>
      </c>
      <c r="S1078" s="37">
        <f>(Tabela3[[#This Row],[Aluminio Bruto]]-Tabela3[[#This Row],[Aluminio Util]])*0.9</f>
        <v>9.8909279999999988</v>
      </c>
      <c r="T1078" s="37">
        <f>Tabela3[[#This Row],[Aluminio Bruto]]/OleoKGAluminio</f>
        <v>21.013025361959905</v>
      </c>
      <c r="U1078" s="35">
        <f>IFERROR((VLOOKUP(Tabela3[[#This Row],[Moldador]],Tabela1[],5,)+(VLOOKUP(Tabela3[[#This Row],[Ajudante]],Tabela1[],5,))*3.5),0)</f>
        <v>99.95034583333333</v>
      </c>
      <c r="V1078" s="35">
        <f>IFERROR(Tabela3[[#This Row],[Custo M.O. / H]]/((Tabela3[[#This Row],[Realizado]]/Tabela3[[#This Row],[Qdt Peça Placa]])/Tabela3[[#This Row],[Tempo]]/24),)</f>
        <v>13.714117218992248</v>
      </c>
      <c r="W1078" s="35">
        <f>Tabela3[[#This Row],[Custo / Cx Moldada]]*Tabela3[[#This Row],[Qtde Cx Produzida]]</f>
        <v>301.71057881782946</v>
      </c>
      <c r="X1078" s="35">
        <f ca="1">Tabela3[[#This Row],[Aluminio Util]]*Tabela3[[#This Row],[Custo/Kg]]</f>
        <v>607.74480000000005</v>
      </c>
      <c r="Y1078" s="35">
        <f>IFERROR(VLOOKUP(Tabela3[[#This Row],[Data]],Tabela461213[],2,1)*(Tabela3[[#This Row],[Qtde Cx Produzida]]*Tabela3[[#This Row],[Qde macho / CX]]*Tabela3[[#This Row],[Peso Macho]]),)</f>
        <v>0</v>
      </c>
      <c r="Z1078" s="35">
        <f>IFERROR(Tabela3[[#This Row],[Qtde Oleo]]*(VLOOKUP(Tabela3[[#This Row],[Data]],CompraOleo[],3,TRUE))*1.05,0)</f>
        <v>55.159191575144753</v>
      </c>
      <c r="AA1078" s="47">
        <f ca="1">(Tabela3[[#This Row],[Custo Oleo]]+Tabela3[[#This Row],[Custo Aluminio]]+Tabela3[[#This Row],[Custo M.O. Total]]+Tabela3[[#This Row],[Custo Machos]])</f>
        <v>964.6145703929742</v>
      </c>
      <c r="AB1078" s="47">
        <f ca="1">Tabela3[[#This Row],[Custo Total]]*Tabela3[[#This Row],[% Perda]]</f>
        <v>21.923058418022141</v>
      </c>
      <c r="AC1078" s="40">
        <f>IFERROR(VLOOKUP(Tabela3[[#This Row],[Produto]],Tabela2[],2,0),0)</f>
        <v>6</v>
      </c>
      <c r="AD1078" s="48">
        <f>IFERROR(VLOOKUP(Tabela3[[#This Row],[Produto]],Tabela2[],3,0),0)</f>
        <v>0.30199999999999999</v>
      </c>
      <c r="AE1078" s="48">
        <f>IFERROR(VLOOKUP(Tabela3[[#This Row],[Produto]],Tabela2[],4,0),0)</f>
        <v>2.1520000000000001</v>
      </c>
      <c r="AF1078" s="48">
        <f>IFERROR(VLOOKUP(Tabela3[[#This Row],[Produto]],Tabela2[],5,0),0)</f>
        <v>0.30600000000000027</v>
      </c>
      <c r="AG1078" s="48">
        <f>IFERROR(VLOOKUP(Tabela3[[#This Row],[Produto]],Tabela2[],6,0),0)</f>
        <v>0</v>
      </c>
      <c r="AH1078" s="40">
        <f>IFERROR(VLOOKUP(Tabela3[[#This Row],[Produto]],Tabela2[],7,0),0)</f>
        <v>0</v>
      </c>
      <c r="AI1078" s="40">
        <f>IFERROR(VLOOKUP(Tabela3[[#This Row],[Produto]],Tabela2[],8,0),0)</f>
        <v>0</v>
      </c>
      <c r="AJ1078" s="35">
        <f ca="1">IFERROR(VLOOKUP(Tabela3[[#This Row],[Produto]],Tabela2[],13,0),0)</f>
        <v>15.600000000000001</v>
      </c>
      <c r="AK1078" s="48" t="str">
        <f>IFERROR(VLOOKUP(Tabela3[[#This Row],[Produto]],Tabela2[],14,0),0)</f>
        <v>Senun</v>
      </c>
      <c r="AL1078" s="40">
        <f>IFERROR(VLOOKUP(Tabela3[[#This Row],[Produto]],Tabela2[],15,0),0)</f>
        <v>4</v>
      </c>
      <c r="AM1078" s="36">
        <f ca="1">(Tabela3[[#This Row],[Custo Usinagem]]+Tabela3[[#This Row],[Custo / Pç]])*1.2</f>
        <v>13.773158794353247</v>
      </c>
      <c r="AN1078" s="36">
        <f ca="1">Tabela3[[#This Row],[Valor Mínimo Venda]]*1.15</f>
        <v>15.839132613506232</v>
      </c>
      <c r="AO1078" s="36">
        <f ca="1">Tabela3[[#This Row],[Tabela 1]]*1.08</f>
        <v>17.10626322258673</v>
      </c>
      <c r="AP1078" s="36">
        <f ca="1">Tabela3[[#This Row],[Tabela 2]]*1.15</f>
        <v>19.672202705974737</v>
      </c>
    </row>
    <row r="1079" spans="1:42">
      <c r="A1079" s="9">
        <v>46114</v>
      </c>
      <c r="B1079" s="9" t="s">
        <v>247</v>
      </c>
      <c r="C1079" s="14">
        <v>9316</v>
      </c>
      <c r="D1079" s="6" t="s">
        <v>44</v>
      </c>
      <c r="E1079" s="6" t="s">
        <v>47</v>
      </c>
      <c r="F1079" s="6">
        <v>69</v>
      </c>
      <c r="G1079" s="15">
        <v>0.32222222222222224</v>
      </c>
      <c r="H1079" s="16">
        <v>10</v>
      </c>
      <c r="I1079" s="35">
        <f ca="1">IFERROR(Tabela3[[#This Row],[Custo Total]]/Tabela3[[#This Row],[Aluminio Util]],0)</f>
        <v>27.967225436948578</v>
      </c>
      <c r="J1079" s="35">
        <f ca="1">Tabela3[[#This Row],[Custo Total]]/Tabela3[[#This Row],[Realizado]]</f>
        <v>8.390167631084573</v>
      </c>
      <c r="K1079" s="37">
        <f>IFERROR(Tabela3[[#This Row],[Qtde Cx Produzida]]/Tabela3[[#This Row],[Tempo]]/24,0)</f>
        <v>8.9224137931034466</v>
      </c>
      <c r="L1079" s="37">
        <f>Tabela3[[#This Row],[Qtde Cx Produzida]]*Tabela3[[#This Row],[Qdt Peça Placa]]</f>
        <v>276</v>
      </c>
      <c r="M1079" s="37">
        <f>Tabela3[[#This Row],[Previsto]]-Tabela3[[#This Row],[Perda Pçs]]</f>
        <v>266</v>
      </c>
      <c r="N1079" s="38">
        <f>IFERROR(Tabela3[[#This Row],[Perda Pçs]]/Tabela3[[#This Row],[Previsto]],0)</f>
        <v>3.6231884057971016E-2</v>
      </c>
      <c r="O1079" s="39">
        <f>IFERROR(IF(Tabela3[[#This Row],[Qtde Cx Produzida]] &lt;&gt; 0, Tabela3[[#This Row],[Tempo]] / Tabela3[[#This Row],[Qtde Cx Produzida]], 0),0)</f>
        <v>4.6698872785829312E-3</v>
      </c>
      <c r="P1079" s="57">
        <f>IFERROR(Tabela3[[#This Row],[Perda Pçs]]/Tabela3[[#This Row],[Qdt Peça Placa]],0)</f>
        <v>2.5</v>
      </c>
      <c r="Q1079" s="37">
        <f>IFERROR(Tabela3[[#This Row],[Realizado]]*Tabela3[[#This Row],[Peso Util/Pç]],0)</f>
        <v>79.8</v>
      </c>
      <c r="R1079" s="37">
        <f>IFERROR(Tabela3[[#This Row],[Peso Total Galho]]*Tabela3[[#This Row],[Qtde Cx Produzida]]*1.055,0)</f>
        <v>167.42849999999999</v>
      </c>
      <c r="S1079" s="37">
        <f>(Tabela3[[#This Row],[Aluminio Bruto]]-Tabela3[[#This Row],[Aluminio Util]])*0.9</f>
        <v>78.865649999999988</v>
      </c>
      <c r="T1079" s="37">
        <f>Tabela3[[#This Row],[Aluminio Bruto]]/OleoKGAluminio</f>
        <v>70.43695346702934</v>
      </c>
      <c r="U1079" s="35">
        <f>IFERROR((VLOOKUP(Tabela3[[#This Row],[Moldador]],Tabela1[],5,)+(VLOOKUP(Tabela3[[#This Row],[Ajudante]],Tabela1[],5,))*3.5),0)</f>
        <v>99.95034583333333</v>
      </c>
      <c r="V1079" s="35">
        <f>IFERROR(Tabela3[[#This Row],[Custo M.O. / H]]/((Tabela3[[#This Row],[Realizado]]/Tabela3[[#This Row],[Qdt Peça Placa]])/Tabela3[[#This Row],[Tempo]]/24),)</f>
        <v>11.623298362573101</v>
      </c>
      <c r="W1079" s="35">
        <f>Tabela3[[#This Row],[Custo / Cx Moldada]]*Tabela3[[#This Row],[Qtde Cx Produzida]]</f>
        <v>802.00758701754398</v>
      </c>
      <c r="X1079" s="35">
        <f ca="1">Tabela3[[#This Row],[Aluminio Util]]*Tabela3[[#This Row],[Custo/Kg]]</f>
        <v>1244.8800000000001</v>
      </c>
      <c r="Y1079" s="35">
        <f>IFERROR(VLOOKUP(Tabela3[[#This Row],[Data]],Tabela461213[],2,1)*(Tabela3[[#This Row],[Qtde Cx Produzida]]*Tabela3[[#This Row],[Qde macho / CX]]*Tabela3[[#This Row],[Peso Macho]]),)</f>
        <v>0</v>
      </c>
      <c r="Z1079" s="35">
        <f>IFERROR(Tabela3[[#This Row],[Qtde Oleo]]*(VLOOKUP(Tabela3[[#This Row],[Data]],CompraOleo[],3,TRUE))*1.05,0)</f>
        <v>184.89700285095202</v>
      </c>
      <c r="AA1079" s="47">
        <f ca="1">(Tabela3[[#This Row],[Custo Oleo]]+Tabela3[[#This Row],[Custo Aluminio]]+Tabela3[[#This Row],[Custo M.O. Total]]+Tabela3[[#This Row],[Custo Machos]])</f>
        <v>2231.7845898684964</v>
      </c>
      <c r="AB1079" s="47">
        <f ca="1">Tabela3[[#This Row],[Custo Total]]*Tabela3[[#This Row],[% Perda]]</f>
        <v>80.861760502481758</v>
      </c>
      <c r="AC1079" s="40">
        <f>IFERROR(VLOOKUP(Tabela3[[#This Row],[Produto]],Tabela2[],2,0),0)</f>
        <v>4</v>
      </c>
      <c r="AD1079" s="48">
        <f>IFERROR(VLOOKUP(Tabela3[[#This Row],[Produto]],Tabela2[],3,0),0)</f>
        <v>0.3</v>
      </c>
      <c r="AE1079" s="48">
        <f>IFERROR(VLOOKUP(Tabela3[[#This Row],[Produto]],Tabela2[],4,0),0)</f>
        <v>2.2999999999999998</v>
      </c>
      <c r="AF1079" s="48">
        <f>IFERROR(VLOOKUP(Tabela3[[#This Row],[Produto]],Tabela2[],5,0),0)</f>
        <v>0.98999999999999988</v>
      </c>
      <c r="AG1079" s="48">
        <f>IFERROR(VLOOKUP(Tabela3[[#This Row],[Produto]],Tabela2[],6,0),0)</f>
        <v>0</v>
      </c>
      <c r="AH1079" s="40">
        <f>IFERROR(VLOOKUP(Tabela3[[#This Row],[Produto]],Tabela2[],7,0),0)</f>
        <v>0</v>
      </c>
      <c r="AI1079" s="40">
        <f>IFERROR(VLOOKUP(Tabela3[[#This Row],[Produto]],Tabela2[],8,0),0)</f>
        <v>0</v>
      </c>
      <c r="AJ1079" s="35">
        <f ca="1">IFERROR(VLOOKUP(Tabela3[[#This Row],[Produto]],Tabela2[],13,0),0)</f>
        <v>15.600000000000001</v>
      </c>
      <c r="AK1079" s="48" t="str">
        <f>IFERROR(VLOOKUP(Tabela3[[#This Row],[Produto]],Tabela2[],14,0),0)</f>
        <v>Senun</v>
      </c>
      <c r="AL1079" s="40">
        <f>IFERROR(VLOOKUP(Tabela3[[#This Row],[Produto]],Tabela2[],15,0),0)</f>
        <v>3.5</v>
      </c>
      <c r="AM1079" s="36">
        <f ca="1">(Tabela3[[#This Row],[Custo Usinagem]]+Tabela3[[#This Row],[Custo / Pç]])*1.2</f>
        <v>14.268201157301487</v>
      </c>
      <c r="AN1079" s="36">
        <f ca="1">Tabela3[[#This Row],[Valor Mínimo Venda]]*1.15</f>
        <v>16.408431330896708</v>
      </c>
      <c r="AO1079" s="36">
        <f ca="1">Tabela3[[#This Row],[Tabela 1]]*1.08</f>
        <v>17.721105837368444</v>
      </c>
      <c r="AP1079" s="36">
        <f ca="1">Tabela3[[#This Row],[Tabela 2]]*1.15</f>
        <v>20.379271712973711</v>
      </c>
    </row>
    <row r="1080" spans="1:42">
      <c r="A1080" s="9">
        <v>46114</v>
      </c>
      <c r="B1080" s="9" t="s">
        <v>111</v>
      </c>
      <c r="C1080" s="14">
        <v>9312</v>
      </c>
      <c r="D1080" s="6" t="s">
        <v>44</v>
      </c>
      <c r="E1080" s="6" t="s">
        <v>47</v>
      </c>
      <c r="F1080" s="6">
        <v>10</v>
      </c>
      <c r="G1080" s="15">
        <v>5.1388888888888887E-2</v>
      </c>
      <c r="H1080" s="16">
        <v>0</v>
      </c>
      <c r="I1080" s="35">
        <f ca="1">IFERROR(Tabela3[[#This Row],[Custo Total]]/Tabela3[[#This Row],[Aluminio Util]],0)</f>
        <v>23.982927887908549</v>
      </c>
      <c r="J1080" s="35">
        <f ca="1">Tabela3[[#This Row],[Custo Total]]/Tabela3[[#This Row],[Realizado]]</f>
        <v>46.76670938142167</v>
      </c>
      <c r="K1080" s="37">
        <f>IFERROR(Tabela3[[#This Row],[Qtde Cx Produzida]]/Tabela3[[#This Row],[Tempo]]/24,0)</f>
        <v>8.1081081081081088</v>
      </c>
      <c r="L1080" s="37">
        <f>Tabela3[[#This Row],[Qtde Cx Produzida]]*Tabela3[[#This Row],[Qdt Peça Placa]]</f>
        <v>10</v>
      </c>
      <c r="M1080" s="37">
        <f>Tabela3[[#This Row],[Previsto]]-Tabela3[[#This Row],[Perda Pçs]]</f>
        <v>10</v>
      </c>
      <c r="N1080" s="38">
        <f>IFERROR(Tabela3[[#This Row],[Perda Pçs]]/Tabela3[[#This Row],[Previsto]],0)</f>
        <v>0</v>
      </c>
      <c r="O1080" s="39">
        <f>IFERROR(IF(Tabela3[[#This Row],[Qtde Cx Produzida]] &lt;&gt; 0, Tabela3[[#This Row],[Tempo]] / Tabela3[[#This Row],[Qtde Cx Produzida]], 0),0)</f>
        <v>5.138888888888889E-3</v>
      </c>
      <c r="P1080" s="57">
        <f>IFERROR(Tabela3[[#This Row],[Perda Pçs]]/Tabela3[[#This Row],[Qdt Peça Placa]],0)</f>
        <v>0</v>
      </c>
      <c r="Q1080" s="37">
        <f>IFERROR(Tabela3[[#This Row],[Realizado]]*Tabela3[[#This Row],[Peso Util/Pç]],0)</f>
        <v>19.5</v>
      </c>
      <c r="R1080" s="37">
        <f>IFERROR(Tabela3[[#This Row],[Peso Total Galho]]*Tabela3[[#This Row],[Qtde Cx Produzida]]*1.055,0)</f>
        <v>36.397500000000001</v>
      </c>
      <c r="S1080" s="37">
        <f>(Tabela3[[#This Row],[Aluminio Bruto]]-Tabela3[[#This Row],[Aluminio Util]])*0.9</f>
        <v>15.207750000000001</v>
      </c>
      <c r="T1080" s="37">
        <f>Tabela3[[#This Row],[Aluminio Bruto]]/OleoKGAluminio</f>
        <v>15.31238118848464</v>
      </c>
      <c r="U1080" s="35">
        <f>IFERROR((VLOOKUP(Tabela3[[#This Row],[Moldador]],Tabela1[],5,)+(VLOOKUP(Tabela3[[#This Row],[Ajudante]],Tabela1[],5,))*3.5),0)</f>
        <v>99.95034583333333</v>
      </c>
      <c r="V1080" s="35">
        <f>IFERROR(Tabela3[[#This Row],[Custo M.O. / H]]/((Tabela3[[#This Row],[Realizado]]/Tabela3[[#This Row],[Qdt Peça Placa]])/Tabela3[[#This Row],[Tempo]]/24),)</f>
        <v>12.327209319444442</v>
      </c>
      <c r="W1080" s="35">
        <f>Tabela3[[#This Row],[Custo / Cx Moldada]]*Tabela3[[#This Row],[Qtde Cx Produzida]]</f>
        <v>123.27209319444442</v>
      </c>
      <c r="X1080" s="35">
        <f ca="1">Tabela3[[#This Row],[Aluminio Util]]*Tabela3[[#This Row],[Custo/Kg]]</f>
        <v>304.20000000000005</v>
      </c>
      <c r="Y1080" s="35">
        <f>IFERROR(VLOOKUP(Tabela3[[#This Row],[Data]],Tabela461213[],2,1)*(Tabela3[[#This Row],[Qtde Cx Produzida]]*Tabela3[[#This Row],[Qde macho / CX]]*Tabela3[[#This Row],[Peso Macho]]),)</f>
        <v>0</v>
      </c>
      <c r="Z1080" s="35">
        <f>IFERROR(Tabela3[[#This Row],[Qtde Oleo]]*(VLOOKUP(Tabela3[[#This Row],[Data]],CompraOleo[],3,TRUE))*1.05,0)</f>
        <v>40.195000619772181</v>
      </c>
      <c r="AA1080" s="47">
        <f ca="1">(Tabela3[[#This Row],[Custo Oleo]]+Tabela3[[#This Row],[Custo Aluminio]]+Tabela3[[#This Row],[Custo M.O. Total]]+Tabela3[[#This Row],[Custo Machos]])</f>
        <v>467.66709381421668</v>
      </c>
      <c r="AB1080" s="47">
        <f ca="1">Tabela3[[#This Row],[Custo Total]]*Tabela3[[#This Row],[% Perda]]</f>
        <v>0</v>
      </c>
      <c r="AC1080" s="40">
        <f>IFERROR(VLOOKUP(Tabela3[[#This Row],[Produto]],Tabela2[],2,0),0)</f>
        <v>1</v>
      </c>
      <c r="AD1080" s="48">
        <f>IFERROR(VLOOKUP(Tabela3[[#This Row],[Produto]],Tabela2[],3,0),0)</f>
        <v>1.95</v>
      </c>
      <c r="AE1080" s="48">
        <f>IFERROR(VLOOKUP(Tabela3[[#This Row],[Produto]],Tabela2[],4,0),0)</f>
        <v>3.45</v>
      </c>
      <c r="AF1080" s="48">
        <f>IFERROR(VLOOKUP(Tabela3[[#This Row],[Produto]],Tabela2[],5,0),0)</f>
        <v>1.3500000000000003</v>
      </c>
      <c r="AG1080" s="48">
        <f>IFERROR(VLOOKUP(Tabela3[[#This Row],[Produto]],Tabela2[],6,0),0)</f>
        <v>0</v>
      </c>
      <c r="AH1080" s="40">
        <f>IFERROR(VLOOKUP(Tabela3[[#This Row],[Produto]],Tabela2[],7,0),0)</f>
        <v>0</v>
      </c>
      <c r="AI1080" s="40">
        <f>IFERROR(VLOOKUP(Tabela3[[#This Row],[Produto]],Tabela2[],8,0),0)</f>
        <v>0</v>
      </c>
      <c r="AJ1080" s="35">
        <f ca="1">IFERROR(VLOOKUP(Tabela3[[#This Row],[Produto]],Tabela2[],13,0),0)</f>
        <v>15.600000000000001</v>
      </c>
      <c r="AK1080" s="48" t="str">
        <f>IFERROR(VLOOKUP(Tabela3[[#This Row],[Produto]],Tabela2[],14,0),0)</f>
        <v>Jumil</v>
      </c>
      <c r="AL1080" s="40">
        <f>IFERROR(VLOOKUP(Tabela3[[#This Row],[Produto]],Tabela2[],15,0),0)</f>
        <v>1</v>
      </c>
      <c r="AM1080" s="36">
        <f ca="1">(Tabela3[[#This Row],[Custo Usinagem]]+Tabela3[[#This Row],[Custo / Pç]])*1.2</f>
        <v>57.320051257706005</v>
      </c>
      <c r="AN1080" s="36">
        <f ca="1">Tabela3[[#This Row],[Valor Mínimo Venda]]*1.15</f>
        <v>65.918058946361896</v>
      </c>
      <c r="AO1080" s="36">
        <f ca="1">Tabela3[[#This Row],[Tabela 1]]*1.08</f>
        <v>71.191503662070858</v>
      </c>
      <c r="AP1080" s="36">
        <f ca="1">Tabela3[[#This Row],[Tabela 2]]*1.15</f>
        <v>81.870229211381485</v>
      </c>
    </row>
    <row r="1081" spans="1:42">
      <c r="A1081" s="9">
        <v>46118</v>
      </c>
      <c r="B1081" s="9" t="s">
        <v>236</v>
      </c>
      <c r="C1081" s="14">
        <v>9250</v>
      </c>
      <c r="D1081" s="6" t="s">
        <v>46</v>
      </c>
      <c r="E1081" s="6" t="s">
        <v>59</v>
      </c>
      <c r="F1081" s="6">
        <v>15</v>
      </c>
      <c r="G1081" s="15">
        <v>9.0277777777777776E-2</v>
      </c>
      <c r="H1081" s="16">
        <v>0</v>
      </c>
      <c r="I1081" s="35">
        <f ca="1">IFERROR(Tabela3[[#This Row],[Custo Total]]/Tabela3[[#This Row],[Aluminio Util]],0)</f>
        <v>24.951273817116071</v>
      </c>
      <c r="J1081" s="35">
        <f ca="1">Tabela3[[#This Row],[Custo Total]]/Tabela3[[#This Row],[Realizado]]</f>
        <v>7.5352846927690535</v>
      </c>
      <c r="K1081" s="37">
        <f>IFERROR(Tabela3[[#This Row],[Qtde Cx Produzida]]/Tabela3[[#This Row],[Tempo]]/24,0)</f>
        <v>6.9230769230769234</v>
      </c>
      <c r="L1081" s="37">
        <f>Tabela3[[#This Row],[Qtde Cx Produzida]]*Tabela3[[#This Row],[Qdt Peça Placa]]</f>
        <v>90</v>
      </c>
      <c r="M1081" s="37">
        <f>Tabela3[[#This Row],[Previsto]]-Tabela3[[#This Row],[Perda Pçs]]</f>
        <v>90</v>
      </c>
      <c r="N1081" s="38">
        <f>IFERROR(Tabela3[[#This Row],[Perda Pçs]]/Tabela3[[#This Row],[Previsto]],0)</f>
        <v>0</v>
      </c>
      <c r="O1081" s="39">
        <f>IFERROR(IF(Tabela3[[#This Row],[Qtde Cx Produzida]] &lt;&gt; 0, Tabela3[[#This Row],[Tempo]] / Tabela3[[#This Row],[Qtde Cx Produzida]], 0),0)</f>
        <v>6.0185185185185185E-3</v>
      </c>
      <c r="P1081" s="57">
        <f>IFERROR(Tabela3[[#This Row],[Perda Pçs]]/Tabela3[[#This Row],[Qdt Peça Placa]],0)</f>
        <v>0</v>
      </c>
      <c r="Q1081" s="37">
        <f>IFERROR(Tabela3[[#This Row],[Realizado]]*Tabela3[[#This Row],[Peso Util/Pç]],0)</f>
        <v>27.18</v>
      </c>
      <c r="R1081" s="37">
        <f>IFERROR(Tabela3[[#This Row],[Peso Total Galho]]*Tabela3[[#This Row],[Qtde Cx Produzida]]*1.055,0)</f>
        <v>34.055399999999999</v>
      </c>
      <c r="S1081" s="37">
        <f>(Tabela3[[#This Row],[Aluminio Bruto]]-Tabela3[[#This Row],[Aluminio Util]])*0.9</f>
        <v>6.1878599999999997</v>
      </c>
      <c r="T1081" s="37">
        <f>Tabela3[[#This Row],[Aluminio Bruto]]/OleoKGAluminio</f>
        <v>14.327062746790844</v>
      </c>
      <c r="U1081" s="35">
        <f>IFERROR((VLOOKUP(Tabela3[[#This Row],[Moldador]],Tabela1[],5,)+(VLOOKUP(Tabela3[[#This Row],[Ajudante]],Tabela1[],5,))*3.5),0)</f>
        <v>99.95034583333333</v>
      </c>
      <c r="V1081" s="35">
        <f>IFERROR(Tabela3[[#This Row],[Custo M.O. / H]]/((Tabela3[[#This Row],[Realizado]]/Tabela3[[#This Row],[Qdt Peça Placa]])/Tabela3[[#This Row],[Tempo]]/24),)</f>
        <v>14.437272175925925</v>
      </c>
      <c r="W1081" s="35">
        <f>Tabela3[[#This Row],[Custo / Cx Moldada]]*Tabela3[[#This Row],[Qtde Cx Produzida]]</f>
        <v>216.55908263888887</v>
      </c>
      <c r="X1081" s="35">
        <f ca="1">Tabela3[[#This Row],[Aluminio Util]]*Tabela3[[#This Row],[Custo/Kg]]</f>
        <v>424.00800000000004</v>
      </c>
      <c r="Y1081" s="35">
        <f>IFERROR(VLOOKUP(Tabela3[[#This Row],[Data]],Tabela461213[],2,1)*(Tabela3[[#This Row],[Qtde Cx Produzida]]*Tabela3[[#This Row],[Qde macho / CX]]*Tabela3[[#This Row],[Peso Macho]]),)</f>
        <v>0</v>
      </c>
      <c r="Z1081" s="35">
        <f>IFERROR(Tabela3[[#This Row],[Qtde Oleo]]*(VLOOKUP(Tabela3[[#This Row],[Data]],CompraOleo[],3,TRUE))*1.05,0)</f>
        <v>37.608539710325964</v>
      </c>
      <c r="AA1081" s="47">
        <f ca="1">(Tabela3[[#This Row],[Custo Oleo]]+Tabela3[[#This Row],[Custo Aluminio]]+Tabela3[[#This Row],[Custo M.O. Total]]+Tabela3[[#This Row],[Custo Machos]])</f>
        <v>678.17562234921479</v>
      </c>
      <c r="AB1081" s="47">
        <f ca="1">Tabela3[[#This Row],[Custo Total]]*Tabela3[[#This Row],[% Perda]]</f>
        <v>0</v>
      </c>
      <c r="AC1081" s="40">
        <f>IFERROR(VLOOKUP(Tabela3[[#This Row],[Produto]],Tabela2[],2,0),0)</f>
        <v>6</v>
      </c>
      <c r="AD1081" s="48">
        <f>IFERROR(VLOOKUP(Tabela3[[#This Row],[Produto]],Tabela2[],3,0),0)</f>
        <v>0.30199999999999999</v>
      </c>
      <c r="AE1081" s="48">
        <f>IFERROR(VLOOKUP(Tabela3[[#This Row],[Produto]],Tabela2[],4,0),0)</f>
        <v>2.1520000000000001</v>
      </c>
      <c r="AF1081" s="48">
        <f>IFERROR(VLOOKUP(Tabela3[[#This Row],[Produto]],Tabela2[],5,0),0)</f>
        <v>0.30600000000000027</v>
      </c>
      <c r="AG1081" s="48">
        <f>IFERROR(VLOOKUP(Tabela3[[#This Row],[Produto]],Tabela2[],6,0),0)</f>
        <v>0</v>
      </c>
      <c r="AH1081" s="40">
        <f>IFERROR(VLOOKUP(Tabela3[[#This Row],[Produto]],Tabela2[],7,0),0)</f>
        <v>0</v>
      </c>
      <c r="AI1081" s="40">
        <f>IFERROR(VLOOKUP(Tabela3[[#This Row],[Produto]],Tabela2[],8,0),0)</f>
        <v>0</v>
      </c>
      <c r="AJ1081" s="35">
        <f ca="1">IFERROR(VLOOKUP(Tabela3[[#This Row],[Produto]],Tabela2[],13,0),0)</f>
        <v>15.600000000000001</v>
      </c>
      <c r="AK1081" s="48" t="str">
        <f>IFERROR(VLOOKUP(Tabela3[[#This Row],[Produto]],Tabela2[],14,0),0)</f>
        <v>Senun</v>
      </c>
      <c r="AL1081" s="40">
        <f>IFERROR(VLOOKUP(Tabela3[[#This Row],[Produto]],Tabela2[],15,0),0)</f>
        <v>4</v>
      </c>
      <c r="AM1081" s="36">
        <f ca="1">(Tabela3[[#This Row],[Custo Usinagem]]+Tabela3[[#This Row],[Custo / Pç]])*1.2</f>
        <v>13.842341631322864</v>
      </c>
      <c r="AN1081" s="36">
        <f ca="1">Tabela3[[#This Row],[Valor Mínimo Venda]]*1.15</f>
        <v>15.918692876021291</v>
      </c>
      <c r="AO1081" s="36">
        <f ca="1">Tabela3[[#This Row],[Tabela 1]]*1.08</f>
        <v>17.192188306102995</v>
      </c>
      <c r="AP1081" s="36">
        <f ca="1">Tabela3[[#This Row],[Tabela 2]]*1.15</f>
        <v>19.771016552018445</v>
      </c>
    </row>
    <row r="1082" spans="1:42">
      <c r="A1082" s="9">
        <v>46118</v>
      </c>
      <c r="B1082" s="9" t="s">
        <v>221</v>
      </c>
      <c r="C1082" s="14">
        <v>9296</v>
      </c>
      <c r="D1082" s="6" t="s">
        <v>46</v>
      </c>
      <c r="E1082" s="6" t="s">
        <v>47</v>
      </c>
      <c r="F1082" s="6">
        <v>35</v>
      </c>
      <c r="G1082" s="15">
        <v>0.14652777777777778</v>
      </c>
      <c r="H1082" s="16">
        <v>18</v>
      </c>
      <c r="I1082" s="35">
        <f ca="1">IFERROR(Tabela3[[#This Row],[Custo Total]]/Tabela3[[#This Row],[Aluminio Util]],0)</f>
        <v>23.26079565972039</v>
      </c>
      <c r="J1082" s="35">
        <f ca="1">Tabela3[[#This Row],[Custo Total]]/Tabela3[[#This Row],[Realizado]]</f>
        <v>2.95412104878449</v>
      </c>
      <c r="K1082" s="37">
        <f>IFERROR(Tabela3[[#This Row],[Qtde Cx Produzida]]/Tabela3[[#This Row],[Tempo]]/24,0)</f>
        <v>9.9526066350710902</v>
      </c>
      <c r="L1082" s="37">
        <f>Tabela3[[#This Row],[Qtde Cx Produzida]]*Tabela3[[#This Row],[Qdt Peça Placa]]</f>
        <v>630</v>
      </c>
      <c r="M1082" s="37">
        <f>Tabela3[[#This Row],[Previsto]]-Tabela3[[#This Row],[Perda Pçs]]</f>
        <v>612</v>
      </c>
      <c r="N1082" s="38">
        <f>IFERROR(Tabela3[[#This Row],[Perda Pçs]]/Tabela3[[#This Row],[Previsto]],0)</f>
        <v>2.8571428571428571E-2</v>
      </c>
      <c r="O1082" s="39">
        <f>IFERROR(IF(Tabela3[[#This Row],[Qtde Cx Produzida]] &lt;&gt; 0, Tabela3[[#This Row],[Tempo]] / Tabela3[[#This Row],[Qtde Cx Produzida]], 0),0)</f>
        <v>4.1865079365079371E-3</v>
      </c>
      <c r="P1082" s="57">
        <f>IFERROR(Tabela3[[#This Row],[Perda Pçs]]/Tabela3[[#This Row],[Qdt Peça Placa]],0)</f>
        <v>1</v>
      </c>
      <c r="Q1082" s="37">
        <f>IFERROR(Tabela3[[#This Row],[Realizado]]*Tabela3[[#This Row],[Peso Util/Pç]],0)</f>
        <v>77.724000000000004</v>
      </c>
      <c r="R1082" s="37">
        <f>IFERROR(Tabela3[[#This Row],[Peso Total Galho]]*Tabela3[[#This Row],[Qtde Cx Produzida]]*1.055,0)</f>
        <v>143.26899999999998</v>
      </c>
      <c r="S1082" s="37">
        <f>(Tabela3[[#This Row],[Aluminio Bruto]]-Tabela3[[#This Row],[Aluminio Util]])*0.9</f>
        <v>58.990499999999976</v>
      </c>
      <c r="T1082" s="37">
        <f>Tabela3[[#This Row],[Aluminio Bruto]]/OleoKGAluminio</f>
        <v>60.273083054962719</v>
      </c>
      <c r="U1082" s="35">
        <f>IFERROR((VLOOKUP(Tabela3[[#This Row],[Moldador]],Tabela1[],5,)+(VLOOKUP(Tabela3[[#This Row],[Ajudante]],Tabela1[],5,))*3.5),0)</f>
        <v>99.95034583333333</v>
      </c>
      <c r="V1082" s="35">
        <f>IFERROR(Tabela3[[#This Row],[Custo M.O. / H]]/((Tabela3[[#This Row],[Realizado]]/Tabela3[[#This Row],[Qdt Peça Placa]])/Tabela3[[#This Row],[Tempo]]/24),)</f>
        <v>10.338001456290851</v>
      </c>
      <c r="W1082" s="35">
        <f>Tabela3[[#This Row],[Custo / Cx Moldada]]*Tabela3[[#This Row],[Qtde Cx Produzida]]</f>
        <v>361.8300509701798</v>
      </c>
      <c r="X1082" s="35">
        <f ca="1">Tabela3[[#This Row],[Aluminio Util]]*Tabela3[[#This Row],[Custo/Kg]]</f>
        <v>1287.8751878666508</v>
      </c>
      <c r="Y1082" s="35">
        <f>IFERROR(VLOOKUP(Tabela3[[#This Row],[Data]],Tabela461213[],2,1)*(Tabela3[[#This Row],[Qtde Cx Produzida]]*Tabela3[[#This Row],[Qde macho / CX]]*Tabela3[[#This Row],[Peso Macho]]),)</f>
        <v>0</v>
      </c>
      <c r="Z1082" s="35">
        <f>IFERROR(Tabela3[[#This Row],[Qtde Oleo]]*(VLOOKUP(Tabela3[[#This Row],[Data]],CompraOleo[],3,TRUE))*1.05,0)</f>
        <v>158.21684301927715</v>
      </c>
      <c r="AA1082" s="47">
        <f ca="1">(Tabela3[[#This Row],[Custo Oleo]]+Tabela3[[#This Row],[Custo Aluminio]]+Tabela3[[#This Row],[Custo M.O. Total]]+Tabela3[[#This Row],[Custo Machos]])</f>
        <v>1807.9220818561078</v>
      </c>
      <c r="AB1082" s="47">
        <f ca="1">Tabela3[[#This Row],[Custo Total]]*Tabela3[[#This Row],[% Perda]]</f>
        <v>51.65491662446022</v>
      </c>
      <c r="AC1082" s="40">
        <f>IFERROR(VLOOKUP(Tabela3[[#This Row],[Produto]],Tabela2[],2,0),0)</f>
        <v>18</v>
      </c>
      <c r="AD1082" s="48">
        <f>IFERROR(VLOOKUP(Tabela3[[#This Row],[Produto]],Tabela2[],3,0),0)</f>
        <v>0.127</v>
      </c>
      <c r="AE1082" s="48">
        <f>IFERROR(VLOOKUP(Tabela3[[#This Row],[Produto]],Tabela2[],4,0),0)</f>
        <v>3.88</v>
      </c>
      <c r="AF1082" s="48">
        <f>IFERROR(VLOOKUP(Tabela3[[#This Row],[Produto]],Tabela2[],5,0),0)</f>
        <v>1.4345999999999999</v>
      </c>
      <c r="AG1082" s="48">
        <f>IFERROR(VLOOKUP(Tabela3[[#This Row],[Produto]],Tabela2[],6,0),0)</f>
        <v>0</v>
      </c>
      <c r="AH1082" s="40">
        <f>IFERROR(VLOOKUP(Tabela3[[#This Row],[Produto]],Tabela2[],7,0),0)</f>
        <v>0</v>
      </c>
      <c r="AI1082" s="40">
        <f>IFERROR(VLOOKUP(Tabela3[[#This Row],[Produto]],Tabela2[],8,0),0)</f>
        <v>0</v>
      </c>
      <c r="AJ1082" s="35">
        <f ca="1">IFERROR(VLOOKUP(Tabela3[[#This Row],[Produto]],Tabela2[],13,0),0)</f>
        <v>16.569852141766386</v>
      </c>
      <c r="AK1082" s="48" t="str">
        <f>IFERROR(VLOOKUP(Tabela3[[#This Row],[Produto]],Tabela2[],14,0),0)</f>
        <v>Marcelo</v>
      </c>
      <c r="AL1082" s="40">
        <f>IFERROR(VLOOKUP(Tabela3[[#This Row],[Produto]],Tabela2[],15,0),0)</f>
        <v>0</v>
      </c>
      <c r="AM1082" s="36">
        <f ca="1">(Tabela3[[#This Row],[Custo Usinagem]]+Tabela3[[#This Row],[Custo / Pç]])*1.2</f>
        <v>3.5449452585413881</v>
      </c>
      <c r="AN1082" s="36">
        <f ca="1">Tabela3[[#This Row],[Valor Mínimo Venda]]*1.15</f>
        <v>4.0766870473225962</v>
      </c>
      <c r="AO1082" s="36">
        <f ca="1">Tabela3[[#This Row],[Tabela 1]]*1.08</f>
        <v>4.4028220111084044</v>
      </c>
      <c r="AP1082" s="36">
        <f ca="1">Tabela3[[#This Row],[Tabela 2]]*1.15</f>
        <v>5.0632453127746651</v>
      </c>
    </row>
    <row r="1083" spans="1:42">
      <c r="A1083" s="9">
        <v>46118</v>
      </c>
      <c r="B1083" s="9" t="s">
        <v>111</v>
      </c>
      <c r="C1083" s="14">
        <v>9312</v>
      </c>
      <c r="D1083" s="6" t="s">
        <v>46</v>
      </c>
      <c r="E1083" s="6" t="s">
        <v>44</v>
      </c>
      <c r="F1083" s="6">
        <v>12</v>
      </c>
      <c r="G1083" s="15">
        <v>7.0833333333333331E-2</v>
      </c>
      <c r="H1083" s="16">
        <v>0</v>
      </c>
      <c r="I1083" s="35">
        <f ca="1">IFERROR(Tabela3[[#This Row],[Custo Total]]/Tabela3[[#This Row],[Aluminio Util]],0)</f>
        <v>26.821993621526779</v>
      </c>
      <c r="J1083" s="35">
        <f ca="1">Tabela3[[#This Row],[Custo Total]]/Tabela3[[#This Row],[Realizado]]</f>
        <v>52.302887561977222</v>
      </c>
      <c r="K1083" s="37">
        <f>IFERROR(Tabela3[[#This Row],[Qtde Cx Produzida]]/Tabela3[[#This Row],[Tempo]]/24,0)</f>
        <v>7.0588235294117645</v>
      </c>
      <c r="L1083" s="37">
        <f>Tabela3[[#This Row],[Qtde Cx Produzida]]*Tabela3[[#This Row],[Qdt Peça Placa]]</f>
        <v>12</v>
      </c>
      <c r="M1083" s="37">
        <f>Tabela3[[#This Row],[Previsto]]-Tabela3[[#This Row],[Perda Pçs]]</f>
        <v>12</v>
      </c>
      <c r="N1083" s="38">
        <f>IFERROR(Tabela3[[#This Row],[Perda Pçs]]/Tabela3[[#This Row],[Previsto]],0)</f>
        <v>0</v>
      </c>
      <c r="O1083" s="39">
        <f>IFERROR(IF(Tabela3[[#This Row],[Qtde Cx Produzida]] &lt;&gt; 0, Tabela3[[#This Row],[Tempo]] / Tabela3[[#This Row],[Qtde Cx Produzida]], 0),0)</f>
        <v>5.9027777777777776E-3</v>
      </c>
      <c r="P1083" s="57">
        <f>IFERROR(Tabela3[[#This Row],[Perda Pçs]]/Tabela3[[#This Row],[Qdt Peça Placa]],0)</f>
        <v>0</v>
      </c>
      <c r="Q1083" s="37">
        <f>IFERROR(Tabela3[[#This Row],[Realizado]]*Tabela3[[#This Row],[Peso Util/Pç]],0)</f>
        <v>23.4</v>
      </c>
      <c r="R1083" s="37">
        <f>IFERROR(Tabela3[[#This Row],[Peso Total Galho]]*Tabela3[[#This Row],[Qtde Cx Produzida]]*1.055,0)</f>
        <v>43.677000000000007</v>
      </c>
      <c r="S1083" s="37">
        <f>(Tabela3[[#This Row],[Aluminio Bruto]]-Tabela3[[#This Row],[Aluminio Util]])*0.9</f>
        <v>18.249300000000009</v>
      </c>
      <c r="T1083" s="37">
        <f>Tabela3[[#This Row],[Aluminio Bruto]]/OleoKGAluminio</f>
        <v>18.37485742618157</v>
      </c>
      <c r="U1083" s="35">
        <f>IFERROR((VLOOKUP(Tabela3[[#This Row],[Moldador]],Tabela1[],5,)+(VLOOKUP(Tabela3[[#This Row],[Ajudante]],Tabela1[],5,))*3.5),0)</f>
        <v>126.0945</v>
      </c>
      <c r="V1083" s="35">
        <f>IFERROR(Tabela3[[#This Row],[Custo M.O. / H]]/((Tabela3[[#This Row],[Realizado]]/Tabela3[[#This Row],[Qdt Peça Placa]])/Tabela3[[#This Row],[Tempo]]/24),)</f>
        <v>17.863387500000002</v>
      </c>
      <c r="W1083" s="35">
        <f>Tabela3[[#This Row],[Custo / Cx Moldada]]*Tabela3[[#This Row],[Qtde Cx Produzida]]</f>
        <v>214.36065000000002</v>
      </c>
      <c r="X1083" s="35">
        <f ca="1">Tabela3[[#This Row],[Aluminio Util]]*Tabela3[[#This Row],[Custo/Kg]]</f>
        <v>365.04</v>
      </c>
      <c r="Y1083" s="35">
        <f>IFERROR(VLOOKUP(Tabela3[[#This Row],[Data]],Tabela461213[],2,1)*(Tabela3[[#This Row],[Qtde Cx Produzida]]*Tabela3[[#This Row],[Qde macho / CX]]*Tabela3[[#This Row],[Peso Macho]]),)</f>
        <v>0</v>
      </c>
      <c r="Z1083" s="35">
        <f>IFERROR(Tabela3[[#This Row],[Qtde Oleo]]*(VLOOKUP(Tabela3[[#This Row],[Data]],CompraOleo[],3,TRUE))*1.05,0)</f>
        <v>48.234000743726618</v>
      </c>
      <c r="AA1083" s="47">
        <f ca="1">(Tabela3[[#This Row],[Custo Oleo]]+Tabela3[[#This Row],[Custo Aluminio]]+Tabela3[[#This Row],[Custo M.O. Total]]+Tabela3[[#This Row],[Custo Machos]])</f>
        <v>627.63465074372664</v>
      </c>
      <c r="AB1083" s="47">
        <f ca="1">Tabela3[[#This Row],[Custo Total]]*Tabela3[[#This Row],[% Perda]]</f>
        <v>0</v>
      </c>
      <c r="AC1083" s="40">
        <f>IFERROR(VLOOKUP(Tabela3[[#This Row],[Produto]],Tabela2[],2,0),0)</f>
        <v>1</v>
      </c>
      <c r="AD1083" s="48">
        <f>IFERROR(VLOOKUP(Tabela3[[#This Row],[Produto]],Tabela2[],3,0),0)</f>
        <v>1.95</v>
      </c>
      <c r="AE1083" s="48">
        <f>IFERROR(VLOOKUP(Tabela3[[#This Row],[Produto]],Tabela2[],4,0),0)</f>
        <v>3.45</v>
      </c>
      <c r="AF1083" s="48">
        <f>IFERROR(VLOOKUP(Tabela3[[#This Row],[Produto]],Tabela2[],5,0),0)</f>
        <v>1.3500000000000003</v>
      </c>
      <c r="AG1083" s="48">
        <f>IFERROR(VLOOKUP(Tabela3[[#This Row],[Produto]],Tabela2[],6,0),0)</f>
        <v>0</v>
      </c>
      <c r="AH1083" s="40">
        <f>IFERROR(VLOOKUP(Tabela3[[#This Row],[Produto]],Tabela2[],7,0),0)</f>
        <v>0</v>
      </c>
      <c r="AI1083" s="40">
        <f>IFERROR(VLOOKUP(Tabela3[[#This Row],[Produto]],Tabela2[],8,0),0)</f>
        <v>0</v>
      </c>
      <c r="AJ1083" s="35">
        <f ca="1">IFERROR(VLOOKUP(Tabela3[[#This Row],[Produto]],Tabela2[],13,0),0)</f>
        <v>15.600000000000001</v>
      </c>
      <c r="AK1083" s="48" t="str">
        <f>IFERROR(VLOOKUP(Tabela3[[#This Row],[Produto]],Tabela2[],14,0),0)</f>
        <v>Jumil</v>
      </c>
      <c r="AL1083" s="40">
        <f>IFERROR(VLOOKUP(Tabela3[[#This Row],[Produto]],Tabela2[],15,0),0)</f>
        <v>1</v>
      </c>
      <c r="AM1083" s="36">
        <f ca="1">(Tabela3[[#This Row],[Custo Usinagem]]+Tabela3[[#This Row],[Custo / Pç]])*1.2</f>
        <v>63.963465074372664</v>
      </c>
      <c r="AN1083" s="36">
        <f ca="1">Tabela3[[#This Row],[Valor Mínimo Venda]]*1.15</f>
        <v>73.557984835528558</v>
      </c>
      <c r="AO1083" s="36">
        <f ca="1">Tabela3[[#This Row],[Tabela 1]]*1.08</f>
        <v>79.442623622370846</v>
      </c>
      <c r="AP1083" s="36">
        <f ca="1">Tabela3[[#This Row],[Tabela 2]]*1.15</f>
        <v>91.35901716572647</v>
      </c>
    </row>
    <row r="1084" spans="1:42">
      <c r="A1084" s="9">
        <v>46118</v>
      </c>
      <c r="B1084" s="9" t="s">
        <v>247</v>
      </c>
      <c r="C1084" s="14">
        <v>9316</v>
      </c>
      <c r="D1084" s="6" t="s">
        <v>46</v>
      </c>
      <c r="E1084" s="6" t="s">
        <v>44</v>
      </c>
      <c r="F1084" s="6">
        <v>7</v>
      </c>
      <c r="G1084" s="15">
        <v>4.2361111111111113E-2</v>
      </c>
      <c r="H1084" s="16">
        <v>0</v>
      </c>
      <c r="I1084" s="35">
        <f ca="1">IFERROR(Tabela3[[#This Row],[Custo Total]]/Tabela3[[#This Row],[Aluminio Util]],0)</f>
        <v>33.094493089987346</v>
      </c>
      <c r="J1084" s="35">
        <f ca="1">Tabela3[[#This Row],[Custo Total]]/Tabela3[[#This Row],[Realizado]]</f>
        <v>9.9283479269962047</v>
      </c>
      <c r="K1084" s="37">
        <f>IFERROR(Tabela3[[#This Row],[Qtde Cx Produzida]]/Tabela3[[#This Row],[Tempo]]/24,0)</f>
        <v>6.8852459016393439</v>
      </c>
      <c r="L1084" s="37">
        <f>Tabela3[[#This Row],[Qtde Cx Produzida]]*Tabela3[[#This Row],[Qdt Peça Placa]]</f>
        <v>28</v>
      </c>
      <c r="M1084" s="37">
        <f>Tabela3[[#This Row],[Previsto]]-Tabela3[[#This Row],[Perda Pçs]]</f>
        <v>28</v>
      </c>
      <c r="N1084" s="38">
        <f>IFERROR(Tabela3[[#This Row],[Perda Pçs]]/Tabela3[[#This Row],[Previsto]],0)</f>
        <v>0</v>
      </c>
      <c r="O1084" s="39">
        <f>IFERROR(IF(Tabela3[[#This Row],[Qtde Cx Produzida]] &lt;&gt; 0, Tabela3[[#This Row],[Tempo]] / Tabela3[[#This Row],[Qtde Cx Produzida]], 0),0)</f>
        <v>6.0515873015873018E-3</v>
      </c>
      <c r="P1084" s="57">
        <f>IFERROR(Tabela3[[#This Row],[Perda Pçs]]/Tabela3[[#This Row],[Qdt Peça Placa]],0)</f>
        <v>0</v>
      </c>
      <c r="Q1084" s="37">
        <f>IFERROR(Tabela3[[#This Row],[Realizado]]*Tabela3[[#This Row],[Peso Util/Pç]],0)</f>
        <v>8.4</v>
      </c>
      <c r="R1084" s="37">
        <f>IFERROR(Tabela3[[#This Row],[Peso Total Galho]]*Tabela3[[#This Row],[Qtde Cx Produzida]]*1.055,0)</f>
        <v>16.985499999999998</v>
      </c>
      <c r="S1084" s="37">
        <f>(Tabela3[[#This Row],[Aluminio Bruto]]-Tabela3[[#This Row],[Aluminio Util]])*0.9</f>
        <v>7.7269499999999987</v>
      </c>
      <c r="T1084" s="37">
        <f>Tabela3[[#This Row],[Aluminio Bruto]]/OleoKGAluminio</f>
        <v>7.1457778879594978</v>
      </c>
      <c r="U1084" s="35">
        <f>IFERROR((VLOOKUP(Tabela3[[#This Row],[Moldador]],Tabela1[],5,)+(VLOOKUP(Tabela3[[#This Row],[Ajudante]],Tabela1[],5,))*3.5),0)</f>
        <v>126.0945</v>
      </c>
      <c r="V1084" s="35">
        <f>IFERROR(Tabela3[[#This Row],[Custo M.O. / H]]/((Tabela3[[#This Row],[Realizado]]/Tabela3[[#This Row],[Qdt Peça Placa]])/Tabela3[[#This Row],[Tempo]]/24),)</f>
        <v>18.313725000000002</v>
      </c>
      <c r="W1084" s="35">
        <f>Tabela3[[#This Row],[Custo / Cx Moldada]]*Tabela3[[#This Row],[Qtde Cx Produzida]]</f>
        <v>128.19607500000001</v>
      </c>
      <c r="X1084" s="35">
        <f ca="1">Tabela3[[#This Row],[Aluminio Util]]*Tabela3[[#This Row],[Custo/Kg]]</f>
        <v>131.04000000000002</v>
      </c>
      <c r="Y1084" s="35">
        <f>IFERROR(VLOOKUP(Tabela3[[#This Row],[Data]],Tabela461213[],2,1)*(Tabela3[[#This Row],[Qtde Cx Produzida]]*Tabela3[[#This Row],[Qde macho / CX]]*Tabela3[[#This Row],[Peso Macho]]),)</f>
        <v>0</v>
      </c>
      <c r="Z1084" s="35">
        <f>IFERROR(Tabela3[[#This Row],[Qtde Oleo]]*(VLOOKUP(Tabela3[[#This Row],[Data]],CompraOleo[],3,TRUE))*1.05,0)</f>
        <v>18.757666955893683</v>
      </c>
      <c r="AA1084" s="47">
        <f ca="1">(Tabela3[[#This Row],[Custo Oleo]]+Tabela3[[#This Row],[Custo Aluminio]]+Tabela3[[#This Row],[Custo M.O. Total]]+Tabela3[[#This Row],[Custo Machos]])</f>
        <v>277.99374195589371</v>
      </c>
      <c r="AB1084" s="47">
        <f ca="1">Tabela3[[#This Row],[Custo Total]]*Tabela3[[#This Row],[% Perda]]</f>
        <v>0</v>
      </c>
      <c r="AC1084" s="40">
        <f>IFERROR(VLOOKUP(Tabela3[[#This Row],[Produto]],Tabela2[],2,0),0)</f>
        <v>4</v>
      </c>
      <c r="AD1084" s="48">
        <f>IFERROR(VLOOKUP(Tabela3[[#This Row],[Produto]],Tabela2[],3,0),0)</f>
        <v>0.3</v>
      </c>
      <c r="AE1084" s="48">
        <f>IFERROR(VLOOKUP(Tabela3[[#This Row],[Produto]],Tabela2[],4,0),0)</f>
        <v>2.2999999999999998</v>
      </c>
      <c r="AF1084" s="48">
        <f>IFERROR(VLOOKUP(Tabela3[[#This Row],[Produto]],Tabela2[],5,0),0)</f>
        <v>0.98999999999999988</v>
      </c>
      <c r="AG1084" s="48">
        <f>IFERROR(VLOOKUP(Tabela3[[#This Row],[Produto]],Tabela2[],6,0),0)</f>
        <v>0</v>
      </c>
      <c r="AH1084" s="40">
        <f>IFERROR(VLOOKUP(Tabela3[[#This Row],[Produto]],Tabela2[],7,0),0)</f>
        <v>0</v>
      </c>
      <c r="AI1084" s="40">
        <f>IFERROR(VLOOKUP(Tabela3[[#This Row],[Produto]],Tabela2[],8,0),0)</f>
        <v>0</v>
      </c>
      <c r="AJ1084" s="35">
        <f ca="1">IFERROR(VLOOKUP(Tabela3[[#This Row],[Produto]],Tabela2[],13,0),0)</f>
        <v>15.600000000000001</v>
      </c>
      <c r="AK1084" s="48" t="str">
        <f>IFERROR(VLOOKUP(Tabela3[[#This Row],[Produto]],Tabela2[],14,0),0)</f>
        <v>Senun</v>
      </c>
      <c r="AL1084" s="40">
        <f>IFERROR(VLOOKUP(Tabela3[[#This Row],[Produto]],Tabela2[],15,0),0)</f>
        <v>3.5</v>
      </c>
      <c r="AM1084" s="36">
        <f ca="1">(Tabela3[[#This Row],[Custo Usinagem]]+Tabela3[[#This Row],[Custo / Pç]])*1.2</f>
        <v>16.114017512395446</v>
      </c>
      <c r="AN1084" s="36">
        <f ca="1">Tabela3[[#This Row],[Valor Mínimo Venda]]*1.15</f>
        <v>18.53112013925476</v>
      </c>
      <c r="AO1084" s="36">
        <f ca="1">Tabela3[[#This Row],[Tabela 1]]*1.08</f>
        <v>20.013609750395144</v>
      </c>
      <c r="AP1084" s="36">
        <f ca="1">Tabela3[[#This Row],[Tabela 2]]*1.15</f>
        <v>23.015651212954413</v>
      </c>
    </row>
    <row r="1085" spans="1:42">
      <c r="A1085" s="9">
        <v>46118</v>
      </c>
      <c r="B1085" s="9" t="s">
        <v>247</v>
      </c>
      <c r="C1085" s="14">
        <v>9316</v>
      </c>
      <c r="D1085" s="6" t="s">
        <v>44</v>
      </c>
      <c r="E1085" s="6" t="s">
        <v>59</v>
      </c>
      <c r="F1085" s="6">
        <v>30</v>
      </c>
      <c r="G1085" s="15">
        <v>0.13263888888888889</v>
      </c>
      <c r="H1085" s="16">
        <v>0</v>
      </c>
      <c r="I1085" s="35">
        <f ca="1">IFERROR(Tabela3[[#This Row],[Custo Total]]/Tabela3[[#This Row],[Aluminio Util]],0)</f>
        <v>26.671257466916359</v>
      </c>
      <c r="J1085" s="35">
        <f ca="1">Tabela3[[#This Row],[Custo Total]]/Tabela3[[#This Row],[Realizado]]</f>
        <v>8.0013772400749072</v>
      </c>
      <c r="K1085" s="37">
        <f>IFERROR(Tabela3[[#This Row],[Qtde Cx Produzida]]/Tabela3[[#This Row],[Tempo]]/24,0)</f>
        <v>9.4240837696335067</v>
      </c>
      <c r="L1085" s="37">
        <f>Tabela3[[#This Row],[Qtde Cx Produzida]]*Tabela3[[#This Row],[Qdt Peça Placa]]</f>
        <v>120</v>
      </c>
      <c r="M1085" s="37">
        <f>Tabela3[[#This Row],[Previsto]]-Tabela3[[#This Row],[Perda Pçs]]</f>
        <v>120</v>
      </c>
      <c r="N1085" s="38">
        <f>IFERROR(Tabela3[[#This Row],[Perda Pçs]]/Tabela3[[#This Row],[Previsto]],0)</f>
        <v>0</v>
      </c>
      <c r="O1085" s="39">
        <f>IFERROR(IF(Tabela3[[#This Row],[Qtde Cx Produzida]] &lt;&gt; 0, Tabela3[[#This Row],[Tempo]] / Tabela3[[#This Row],[Qtde Cx Produzida]], 0),0)</f>
        <v>4.4212962962962964E-3</v>
      </c>
      <c r="P1085" s="57">
        <f>IFERROR(Tabela3[[#This Row],[Perda Pçs]]/Tabela3[[#This Row],[Qdt Peça Placa]],0)</f>
        <v>0</v>
      </c>
      <c r="Q1085" s="37">
        <f>IFERROR(Tabela3[[#This Row],[Realizado]]*Tabela3[[#This Row],[Peso Util/Pç]],0)</f>
        <v>36</v>
      </c>
      <c r="R1085" s="37">
        <f>IFERROR(Tabela3[[#This Row],[Peso Total Galho]]*Tabela3[[#This Row],[Qtde Cx Produzida]]*1.055,0)</f>
        <v>72.795000000000002</v>
      </c>
      <c r="S1085" s="37">
        <f>(Tabela3[[#This Row],[Aluminio Bruto]]-Tabela3[[#This Row],[Aluminio Util]])*0.9</f>
        <v>33.115500000000004</v>
      </c>
      <c r="T1085" s="37">
        <f>Tabela3[[#This Row],[Aluminio Bruto]]/OleoKGAluminio</f>
        <v>30.624762376969279</v>
      </c>
      <c r="U1085" s="35">
        <f>IFERROR((VLOOKUP(Tabela3[[#This Row],[Moldador]],Tabela1[],5,)+(VLOOKUP(Tabela3[[#This Row],[Ajudante]],Tabela1[],5,))*3.5),0)</f>
        <v>99.95034583333333</v>
      </c>
      <c r="V1085" s="35">
        <f>IFERROR(Tabela3[[#This Row],[Custo M.O. / H]]/((Tabela3[[#This Row],[Realizado]]/Tabela3[[#This Row],[Qdt Peça Placa]])/Tabela3[[#This Row],[Tempo]]/24),)</f>
        <v>10.605842252314815</v>
      </c>
      <c r="W1085" s="35">
        <f>Tabela3[[#This Row],[Custo / Cx Moldada]]*Tabela3[[#This Row],[Qtde Cx Produzida]]</f>
        <v>318.17526756944449</v>
      </c>
      <c r="X1085" s="35">
        <f ca="1">Tabela3[[#This Row],[Aluminio Util]]*Tabela3[[#This Row],[Custo/Kg]]</f>
        <v>561.6</v>
      </c>
      <c r="Y1085" s="35">
        <f>IFERROR(VLOOKUP(Tabela3[[#This Row],[Data]],Tabela461213[],2,1)*(Tabela3[[#This Row],[Qtde Cx Produzida]]*Tabela3[[#This Row],[Qde macho / CX]]*Tabela3[[#This Row],[Peso Macho]]),)</f>
        <v>0</v>
      </c>
      <c r="Z1085" s="35">
        <f>IFERROR(Tabela3[[#This Row],[Qtde Oleo]]*(VLOOKUP(Tabela3[[#This Row],[Data]],CompraOleo[],3,TRUE))*1.05,0)</f>
        <v>80.390001239544361</v>
      </c>
      <c r="AA1085" s="47">
        <f ca="1">(Tabela3[[#This Row],[Custo Oleo]]+Tabela3[[#This Row],[Custo Aluminio]]+Tabela3[[#This Row],[Custo M.O. Total]]+Tabela3[[#This Row],[Custo Machos]])</f>
        <v>960.16526880898891</v>
      </c>
      <c r="AB1085" s="47">
        <f ca="1">Tabela3[[#This Row],[Custo Total]]*Tabela3[[#This Row],[% Perda]]</f>
        <v>0</v>
      </c>
      <c r="AC1085" s="40">
        <f>IFERROR(VLOOKUP(Tabela3[[#This Row],[Produto]],Tabela2[],2,0),0)</f>
        <v>4</v>
      </c>
      <c r="AD1085" s="48">
        <f>IFERROR(VLOOKUP(Tabela3[[#This Row],[Produto]],Tabela2[],3,0),0)</f>
        <v>0.3</v>
      </c>
      <c r="AE1085" s="48">
        <f>IFERROR(VLOOKUP(Tabela3[[#This Row],[Produto]],Tabela2[],4,0),0)</f>
        <v>2.2999999999999998</v>
      </c>
      <c r="AF1085" s="48">
        <f>IFERROR(VLOOKUP(Tabela3[[#This Row],[Produto]],Tabela2[],5,0),0)</f>
        <v>0.98999999999999988</v>
      </c>
      <c r="AG1085" s="48">
        <f>IFERROR(VLOOKUP(Tabela3[[#This Row],[Produto]],Tabela2[],6,0),0)</f>
        <v>0</v>
      </c>
      <c r="AH1085" s="40">
        <f>IFERROR(VLOOKUP(Tabela3[[#This Row],[Produto]],Tabela2[],7,0),0)</f>
        <v>0</v>
      </c>
      <c r="AI1085" s="40">
        <f>IFERROR(VLOOKUP(Tabela3[[#This Row],[Produto]],Tabela2[],8,0),0)</f>
        <v>0</v>
      </c>
      <c r="AJ1085" s="35">
        <f ca="1">IFERROR(VLOOKUP(Tabela3[[#This Row],[Produto]],Tabela2[],13,0),0)</f>
        <v>15.600000000000001</v>
      </c>
      <c r="AK1085" s="48" t="str">
        <f>IFERROR(VLOOKUP(Tabela3[[#This Row],[Produto]],Tabela2[],14,0),0)</f>
        <v>Senun</v>
      </c>
      <c r="AL1085" s="40">
        <f>IFERROR(VLOOKUP(Tabela3[[#This Row],[Produto]],Tabela2[],15,0),0)</f>
        <v>3.5</v>
      </c>
      <c r="AM1085" s="36">
        <f ca="1">(Tabela3[[#This Row],[Custo Usinagem]]+Tabela3[[#This Row],[Custo / Pç]])*1.2</f>
        <v>13.801652688089888</v>
      </c>
      <c r="AN1085" s="36">
        <f ca="1">Tabela3[[#This Row],[Valor Mínimo Venda]]*1.15</f>
        <v>15.871900591303371</v>
      </c>
      <c r="AO1085" s="36">
        <f ca="1">Tabela3[[#This Row],[Tabela 1]]*1.08</f>
        <v>17.141652638607642</v>
      </c>
      <c r="AP1085" s="36">
        <f ca="1">Tabela3[[#This Row],[Tabela 2]]*1.15</f>
        <v>19.712900534398788</v>
      </c>
    </row>
    <row r="1086" spans="1:42">
      <c r="A1086" s="9">
        <v>46118</v>
      </c>
      <c r="B1086" s="9" t="s">
        <v>247</v>
      </c>
      <c r="C1086" s="14">
        <v>9316</v>
      </c>
      <c r="D1086" s="6" t="s">
        <v>44</v>
      </c>
      <c r="E1086" s="6" t="s">
        <v>47</v>
      </c>
      <c r="F1086" s="6">
        <v>17</v>
      </c>
      <c r="G1086" s="15">
        <v>7.6388888888888895E-2</v>
      </c>
      <c r="H1086" s="16">
        <v>0</v>
      </c>
      <c r="I1086" s="35">
        <f ca="1">IFERROR(Tabela3[[#This Row],[Custo Total]]/Tabela3[[#This Row],[Aluminio Util]],0)</f>
        <v>26.81552131030325</v>
      </c>
      <c r="J1086" s="35">
        <f ca="1">Tabela3[[#This Row],[Custo Total]]/Tabela3[[#This Row],[Realizado]]</f>
        <v>8.0446563930909747</v>
      </c>
      <c r="K1086" s="37">
        <f>IFERROR(Tabela3[[#This Row],[Qtde Cx Produzida]]/Tabela3[[#This Row],[Tempo]]/24,0)</f>
        <v>9.2727272727272716</v>
      </c>
      <c r="L1086" s="37">
        <f>Tabela3[[#This Row],[Qtde Cx Produzida]]*Tabela3[[#This Row],[Qdt Peça Placa]]</f>
        <v>68</v>
      </c>
      <c r="M1086" s="37">
        <f>Tabela3[[#This Row],[Previsto]]-Tabela3[[#This Row],[Perda Pçs]]</f>
        <v>68</v>
      </c>
      <c r="N1086" s="38">
        <f>IFERROR(Tabela3[[#This Row],[Perda Pçs]]/Tabela3[[#This Row],[Previsto]],0)</f>
        <v>0</v>
      </c>
      <c r="O1086" s="39">
        <f>IFERROR(IF(Tabela3[[#This Row],[Qtde Cx Produzida]] &lt;&gt; 0, Tabela3[[#This Row],[Tempo]] / Tabela3[[#This Row],[Qtde Cx Produzida]], 0),0)</f>
        <v>4.4934640522875822E-3</v>
      </c>
      <c r="P1086" s="57">
        <f>IFERROR(Tabela3[[#This Row],[Perda Pçs]]/Tabela3[[#This Row],[Qdt Peça Placa]],0)</f>
        <v>0</v>
      </c>
      <c r="Q1086" s="37">
        <f>IFERROR(Tabela3[[#This Row],[Realizado]]*Tabela3[[#This Row],[Peso Util/Pç]],0)</f>
        <v>20.399999999999999</v>
      </c>
      <c r="R1086" s="37">
        <f>IFERROR(Tabela3[[#This Row],[Peso Total Galho]]*Tabela3[[#This Row],[Qtde Cx Produzida]]*1.055,0)</f>
        <v>41.250499999999988</v>
      </c>
      <c r="S1086" s="37">
        <f>(Tabela3[[#This Row],[Aluminio Bruto]]-Tabela3[[#This Row],[Aluminio Util]])*0.9</f>
        <v>18.765449999999991</v>
      </c>
      <c r="T1086" s="37">
        <f>Tabela3[[#This Row],[Aluminio Bruto]]/OleoKGAluminio</f>
        <v>17.354032013615921</v>
      </c>
      <c r="U1086" s="35">
        <f>IFERROR((VLOOKUP(Tabela3[[#This Row],[Moldador]],Tabela1[],5,)+(VLOOKUP(Tabela3[[#This Row],[Ajudante]],Tabela1[],5,))*3.5),0)</f>
        <v>99.95034583333333</v>
      </c>
      <c r="V1086" s="35">
        <f>IFERROR(Tabela3[[#This Row],[Custo M.O. / H]]/((Tabela3[[#This Row],[Realizado]]/Tabela3[[#This Row],[Qdt Peça Placa]])/Tabela3[[#This Row],[Tempo]]/24),)</f>
        <v>10.778958864379087</v>
      </c>
      <c r="W1086" s="35">
        <f>Tabela3[[#This Row],[Custo / Cx Moldada]]*Tabela3[[#This Row],[Qtde Cx Produzida]]</f>
        <v>183.24230069444448</v>
      </c>
      <c r="X1086" s="35">
        <f ca="1">Tabela3[[#This Row],[Aluminio Util]]*Tabela3[[#This Row],[Custo/Kg]]</f>
        <v>318.24</v>
      </c>
      <c r="Y1086" s="35">
        <f>IFERROR(VLOOKUP(Tabela3[[#This Row],[Data]],Tabela461213[],2,1)*(Tabela3[[#This Row],[Qtde Cx Produzida]]*Tabela3[[#This Row],[Qde macho / CX]]*Tabela3[[#This Row],[Peso Macho]]),)</f>
        <v>0</v>
      </c>
      <c r="Z1086" s="35">
        <f>IFERROR(Tabela3[[#This Row],[Qtde Oleo]]*(VLOOKUP(Tabela3[[#This Row],[Data]],CompraOleo[],3,TRUE))*1.05,0)</f>
        <v>45.554334035741796</v>
      </c>
      <c r="AA1086" s="47">
        <f ca="1">(Tabela3[[#This Row],[Custo Oleo]]+Tabela3[[#This Row],[Custo Aluminio]]+Tabela3[[#This Row],[Custo M.O. Total]]+Tabela3[[#This Row],[Custo Machos]])</f>
        <v>547.03663473018628</v>
      </c>
      <c r="AB1086" s="47">
        <f ca="1">Tabela3[[#This Row],[Custo Total]]*Tabela3[[#This Row],[% Perda]]</f>
        <v>0</v>
      </c>
      <c r="AC1086" s="40">
        <f>IFERROR(VLOOKUP(Tabela3[[#This Row],[Produto]],Tabela2[],2,0),0)</f>
        <v>4</v>
      </c>
      <c r="AD1086" s="48">
        <f>IFERROR(VLOOKUP(Tabela3[[#This Row],[Produto]],Tabela2[],3,0),0)</f>
        <v>0.3</v>
      </c>
      <c r="AE1086" s="48">
        <f>IFERROR(VLOOKUP(Tabela3[[#This Row],[Produto]],Tabela2[],4,0),0)</f>
        <v>2.2999999999999998</v>
      </c>
      <c r="AF1086" s="48">
        <f>IFERROR(VLOOKUP(Tabela3[[#This Row],[Produto]],Tabela2[],5,0),0)</f>
        <v>0.98999999999999988</v>
      </c>
      <c r="AG1086" s="48">
        <f>IFERROR(VLOOKUP(Tabela3[[#This Row],[Produto]],Tabela2[],6,0),0)</f>
        <v>0</v>
      </c>
      <c r="AH1086" s="40">
        <f>IFERROR(VLOOKUP(Tabela3[[#This Row],[Produto]],Tabela2[],7,0),0)</f>
        <v>0</v>
      </c>
      <c r="AI1086" s="40">
        <f>IFERROR(VLOOKUP(Tabela3[[#This Row],[Produto]],Tabela2[],8,0),0)</f>
        <v>0</v>
      </c>
      <c r="AJ1086" s="35">
        <f ca="1">IFERROR(VLOOKUP(Tabela3[[#This Row],[Produto]],Tabela2[],13,0),0)</f>
        <v>15.600000000000001</v>
      </c>
      <c r="AK1086" s="48" t="str">
        <f>IFERROR(VLOOKUP(Tabela3[[#This Row],[Produto]],Tabela2[],14,0),0)</f>
        <v>Senun</v>
      </c>
      <c r="AL1086" s="40">
        <f>IFERROR(VLOOKUP(Tabela3[[#This Row],[Produto]],Tabela2[],15,0),0)</f>
        <v>3.5</v>
      </c>
      <c r="AM1086" s="36">
        <f ca="1">(Tabela3[[#This Row],[Custo Usinagem]]+Tabela3[[#This Row],[Custo / Pç]])*1.2</f>
        <v>13.853587671709169</v>
      </c>
      <c r="AN1086" s="36">
        <f ca="1">Tabela3[[#This Row],[Valor Mínimo Venda]]*1.15</f>
        <v>15.931625822465543</v>
      </c>
      <c r="AO1086" s="36">
        <f ca="1">Tabela3[[#This Row],[Tabela 1]]*1.08</f>
        <v>17.206155888262789</v>
      </c>
      <c r="AP1086" s="36">
        <f ca="1">Tabela3[[#This Row],[Tabela 2]]*1.15</f>
        <v>19.787079271502204</v>
      </c>
    </row>
    <row r="1087" spans="1:42">
      <c r="A1087" s="9">
        <v>46118</v>
      </c>
      <c r="B1087" s="9" t="s">
        <v>257</v>
      </c>
      <c r="C1087" s="14">
        <v>9258</v>
      </c>
      <c r="D1087" s="6" t="s">
        <v>44</v>
      </c>
      <c r="E1087" s="6" t="s">
        <v>59</v>
      </c>
      <c r="F1087" s="6">
        <v>10</v>
      </c>
      <c r="G1087" s="15">
        <v>4.027777777777778E-2</v>
      </c>
      <c r="H1087" s="16">
        <v>0</v>
      </c>
      <c r="I1087" s="35">
        <f ca="1">IFERROR(Tabela3[[#This Row],[Custo Total]]/Tabela3[[#This Row],[Aluminio Util]],0)</f>
        <v>27.825026223700444</v>
      </c>
      <c r="J1087" s="35">
        <f ca="1">Tabela3[[#This Row],[Custo Total]]/Tabela3[[#This Row],[Realizado]]</f>
        <v>3.4781282779625555</v>
      </c>
      <c r="K1087" s="37">
        <f>IFERROR(Tabela3[[#This Row],[Qtde Cx Produzida]]/Tabela3[[#This Row],[Tempo]]/24,0)</f>
        <v>10.344827586206895</v>
      </c>
      <c r="L1087" s="37">
        <f>Tabela3[[#This Row],[Qtde Cx Produzida]]*Tabela3[[#This Row],[Qdt Peça Placa]]</f>
        <v>80</v>
      </c>
      <c r="M1087" s="37">
        <f>Tabela3[[#This Row],[Previsto]]-Tabela3[[#This Row],[Perda Pçs]]</f>
        <v>80</v>
      </c>
      <c r="N1087" s="38">
        <f>IFERROR(Tabela3[[#This Row],[Perda Pçs]]/Tabela3[[#This Row],[Previsto]],0)</f>
        <v>0</v>
      </c>
      <c r="O1087" s="39">
        <f>IFERROR(IF(Tabela3[[#This Row],[Qtde Cx Produzida]] &lt;&gt; 0, Tabela3[[#This Row],[Tempo]] / Tabela3[[#This Row],[Qtde Cx Produzida]], 0),0)</f>
        <v>4.0277777777777777E-3</v>
      </c>
      <c r="P1087" s="57">
        <f>IFERROR(Tabela3[[#This Row],[Perda Pçs]]/Tabela3[[#This Row],[Qdt Peça Placa]],0)</f>
        <v>0</v>
      </c>
      <c r="Q1087" s="37">
        <f>IFERROR(Tabela3[[#This Row],[Realizado]]*Tabela3[[#This Row],[Peso Util/Pç]],0)</f>
        <v>10</v>
      </c>
      <c r="R1087" s="37">
        <f>IFERROR(Tabela3[[#This Row],[Peso Total Galho]]*Tabela3[[#This Row],[Qtde Cx Produzida]]*1.055,0)</f>
        <v>23.209999999999997</v>
      </c>
      <c r="S1087" s="37">
        <f>(Tabela3[[#This Row],[Aluminio Bruto]]-Tabela3[[#This Row],[Aluminio Util]])*0.9</f>
        <v>11.888999999999998</v>
      </c>
      <c r="T1087" s="37">
        <f>Tabela3[[#This Row],[Aluminio Bruto]]/OleoKGAluminio</f>
        <v>9.7644169897583204</v>
      </c>
      <c r="U1087" s="35">
        <f>IFERROR((VLOOKUP(Tabela3[[#This Row],[Moldador]],Tabela1[],5,)+(VLOOKUP(Tabela3[[#This Row],[Ajudante]],Tabela1[],5,))*3.5),0)</f>
        <v>99.95034583333333</v>
      </c>
      <c r="V1087" s="35">
        <f>IFERROR(Tabela3[[#This Row],[Custo M.O. / H]]/((Tabela3[[#This Row],[Realizado]]/Tabela3[[#This Row],[Qdt Peça Placa]])/Tabela3[[#This Row],[Tempo]]/24),)</f>
        <v>9.6618667638888898</v>
      </c>
      <c r="W1087" s="35">
        <f>Tabela3[[#This Row],[Custo / Cx Moldada]]*Tabela3[[#This Row],[Qtde Cx Produzida]]</f>
        <v>96.618667638888894</v>
      </c>
      <c r="X1087" s="35">
        <f ca="1">Tabela3[[#This Row],[Aluminio Util]]*Tabela3[[#This Row],[Custo/Kg]]</f>
        <v>156</v>
      </c>
      <c r="Y1087" s="35">
        <f>IFERROR(VLOOKUP(Tabela3[[#This Row],[Data]],Tabela461213[],2,1)*(Tabela3[[#This Row],[Qtde Cx Produzida]]*Tabela3[[#This Row],[Qde macho / CX]]*Tabela3[[#This Row],[Peso Macho]]),)</f>
        <v>0</v>
      </c>
      <c r="Z1087" s="35">
        <f>IFERROR(Tabela3[[#This Row],[Qtde Oleo]]*(VLOOKUP(Tabela3[[#This Row],[Data]],CompraOleo[],3,TRUE))*1.05,0)</f>
        <v>25.631594598115591</v>
      </c>
      <c r="AA1087" s="47">
        <f ca="1">(Tabela3[[#This Row],[Custo Oleo]]+Tabela3[[#This Row],[Custo Aluminio]]+Tabela3[[#This Row],[Custo M.O. Total]]+Tabela3[[#This Row],[Custo Machos]])</f>
        <v>278.25026223700445</v>
      </c>
      <c r="AB1087" s="47">
        <f ca="1">Tabela3[[#This Row],[Custo Total]]*Tabela3[[#This Row],[% Perda]]</f>
        <v>0</v>
      </c>
      <c r="AC1087" s="40">
        <f>IFERROR(VLOOKUP(Tabela3[[#This Row],[Produto]],Tabela2[],2,0),0)</f>
        <v>8</v>
      </c>
      <c r="AD1087" s="48">
        <f>IFERROR(VLOOKUP(Tabela3[[#This Row],[Produto]],Tabela2[],3,0),0)</f>
        <v>0.125</v>
      </c>
      <c r="AE1087" s="48">
        <f>IFERROR(VLOOKUP(Tabela3[[#This Row],[Produto]],Tabela2[],4,0),0)</f>
        <v>2.2000000000000002</v>
      </c>
      <c r="AF1087" s="48">
        <f>IFERROR(VLOOKUP(Tabela3[[#This Row],[Produto]],Tabela2[],5,0),0)</f>
        <v>1.0800000000000003</v>
      </c>
      <c r="AG1087" s="48">
        <f>IFERROR(VLOOKUP(Tabela3[[#This Row],[Produto]],Tabela2[],6,0),0)</f>
        <v>0</v>
      </c>
      <c r="AH1087" s="40">
        <f>IFERROR(VLOOKUP(Tabela3[[#This Row],[Produto]],Tabela2[],7,0),0)</f>
        <v>0</v>
      </c>
      <c r="AI1087" s="40">
        <f>IFERROR(VLOOKUP(Tabela3[[#This Row],[Produto]],Tabela2[],8,0),0)</f>
        <v>0</v>
      </c>
      <c r="AJ1087" s="35">
        <f ca="1">IFERROR(VLOOKUP(Tabela3[[#This Row],[Produto]],Tabela2[],13,0),0)</f>
        <v>15.600000000000001</v>
      </c>
      <c r="AK1087" s="48" t="str">
        <f>IFERROR(VLOOKUP(Tabela3[[#This Row],[Produto]],Tabela2[],14,0),0)</f>
        <v>Senun</v>
      </c>
      <c r="AL1087" s="40">
        <f>IFERROR(VLOOKUP(Tabela3[[#This Row],[Produto]],Tabela2[],15,0),0)</f>
        <v>7</v>
      </c>
      <c r="AM1087" s="36">
        <f ca="1">(Tabela3[[#This Row],[Custo Usinagem]]+Tabela3[[#This Row],[Custo / Pç]])*1.2</f>
        <v>12.573753933555066</v>
      </c>
      <c r="AN1087" s="36">
        <f ca="1">Tabela3[[#This Row],[Valor Mínimo Venda]]*1.15</f>
        <v>14.459817023588325</v>
      </c>
      <c r="AO1087" s="36">
        <f ca="1">Tabela3[[#This Row],[Tabela 1]]*1.08</f>
        <v>15.616602385475392</v>
      </c>
      <c r="AP1087" s="36">
        <f ca="1">Tabela3[[#This Row],[Tabela 2]]*1.15</f>
        <v>17.959092743296701</v>
      </c>
    </row>
    <row r="1088" spans="1:42">
      <c r="A1088" s="9">
        <v>46119</v>
      </c>
      <c r="B1088" s="9" t="s">
        <v>229</v>
      </c>
      <c r="C1088" s="14">
        <v>9325</v>
      </c>
      <c r="D1088" s="6" t="s">
        <v>46</v>
      </c>
      <c r="E1088" s="6" t="s">
        <v>44</v>
      </c>
      <c r="F1088" s="6">
        <v>18</v>
      </c>
      <c r="G1088" s="15">
        <v>9.375E-2</v>
      </c>
      <c r="H1088" s="16">
        <v>0</v>
      </c>
      <c r="I1088" s="35">
        <f ca="1">IFERROR(Tabela3[[#This Row],[Custo Total]]/Tabela3[[#This Row],[Aluminio Util]],0)</f>
        <v>22.778739977877954</v>
      </c>
      <c r="J1088" s="35">
        <f ca="1">Tabela3[[#This Row],[Custo Total]]/Tabela3[[#This Row],[Realizado]]</f>
        <v>63.507127058323732</v>
      </c>
      <c r="K1088" s="37">
        <f>IFERROR(Tabela3[[#This Row],[Qtde Cx Produzida]]/Tabela3[[#This Row],[Tempo]]/24,0)</f>
        <v>8</v>
      </c>
      <c r="L1088" s="37">
        <f>Tabela3[[#This Row],[Qtde Cx Produzida]]*Tabela3[[#This Row],[Qdt Peça Placa]]</f>
        <v>18</v>
      </c>
      <c r="M1088" s="37">
        <f>Tabela3[[#This Row],[Previsto]]-Tabela3[[#This Row],[Perda Pçs]]</f>
        <v>18</v>
      </c>
      <c r="N1088" s="38">
        <f>IFERROR(Tabela3[[#This Row],[Perda Pçs]]/Tabela3[[#This Row],[Previsto]],0)</f>
        <v>0</v>
      </c>
      <c r="O1088" s="39">
        <f>IFERROR(IF(Tabela3[[#This Row],[Qtde Cx Produzida]] &lt;&gt; 0, Tabela3[[#This Row],[Tempo]] / Tabela3[[#This Row],[Qtde Cx Produzida]], 0),0)</f>
        <v>5.208333333333333E-3</v>
      </c>
      <c r="P1088" s="57">
        <f>IFERROR(Tabela3[[#This Row],[Perda Pçs]]/Tabela3[[#This Row],[Qdt Peça Placa]],0)</f>
        <v>0</v>
      </c>
      <c r="Q1088" s="37">
        <f>IFERROR(Tabela3[[#This Row],[Realizado]]*Tabela3[[#This Row],[Peso Util/Pç]],0)</f>
        <v>50.183999999999997</v>
      </c>
      <c r="R1088" s="37">
        <f>IFERROR(Tabela3[[#This Row],[Peso Total Galho]]*Tabela3[[#This Row],[Qtde Cx Produzida]]*1.055,0)</f>
        <v>69.313500000000005</v>
      </c>
      <c r="S1088" s="37">
        <f>(Tabela3[[#This Row],[Aluminio Bruto]]-Tabela3[[#This Row],[Aluminio Util]])*0.9</f>
        <v>17.216550000000009</v>
      </c>
      <c r="T1088" s="37">
        <f>Tabela3[[#This Row],[Aluminio Bruto]]/OleoKGAluminio</f>
        <v>29.160099828505533</v>
      </c>
      <c r="U1088" s="35">
        <f>IFERROR((VLOOKUP(Tabela3[[#This Row],[Moldador]],Tabela1[],5,)+(VLOOKUP(Tabela3[[#This Row],[Ajudante]],Tabela1[],5,))*3.5),0)</f>
        <v>126.0945</v>
      </c>
      <c r="V1088" s="35">
        <f>IFERROR(Tabela3[[#This Row],[Custo M.O. / H]]/((Tabela3[[#This Row],[Realizado]]/Tabela3[[#This Row],[Qdt Peça Placa]])/Tabela3[[#This Row],[Tempo]]/24),)</f>
        <v>15.7618125</v>
      </c>
      <c r="W1088" s="35">
        <f>Tabela3[[#This Row],[Custo / Cx Moldada]]*Tabela3[[#This Row],[Qtde Cx Produzida]]</f>
        <v>283.712625</v>
      </c>
      <c r="X1088" s="35">
        <f ca="1">Tabela3[[#This Row],[Aluminio Util]]*Tabela3[[#This Row],[Custo/Kg]]</f>
        <v>782.87040000000002</v>
      </c>
      <c r="Y1088" s="35">
        <f>IFERROR(VLOOKUP(Tabela3[[#This Row],[Data]],Tabela461213[],2,1)*(Tabela3[[#This Row],[Qtde Cx Produzida]]*Tabela3[[#This Row],[Qde macho / CX]]*Tabela3[[#This Row],[Peso Macho]]),)</f>
        <v>0</v>
      </c>
      <c r="Z1088" s="35">
        <f>IFERROR(Tabela3[[#This Row],[Qtde Oleo]]*(VLOOKUP(Tabela3[[#This Row],[Data]],CompraOleo[],3,TRUE))*1.05,0)</f>
        <v>76.545262049827016</v>
      </c>
      <c r="AA1088" s="47">
        <f ca="1">(Tabela3[[#This Row],[Custo Oleo]]+Tabela3[[#This Row],[Custo Aluminio]]+Tabela3[[#This Row],[Custo M.O. Total]]+Tabela3[[#This Row],[Custo Machos]])</f>
        <v>1143.1282870498271</v>
      </c>
      <c r="AB1088" s="47">
        <f ca="1">Tabela3[[#This Row],[Custo Total]]*Tabela3[[#This Row],[% Perda]]</f>
        <v>0</v>
      </c>
      <c r="AC1088" s="40">
        <f>IFERROR(VLOOKUP(Tabela3[[#This Row],[Produto]],Tabela2[],2,0),0)</f>
        <v>1</v>
      </c>
      <c r="AD1088" s="48">
        <f>IFERROR(VLOOKUP(Tabela3[[#This Row],[Produto]],Tabela2[],3,0),0)</f>
        <v>2.7879999999999998</v>
      </c>
      <c r="AE1088" s="48">
        <f>IFERROR(VLOOKUP(Tabela3[[#This Row],[Produto]],Tabela2[],4,0),0)</f>
        <v>3.65</v>
      </c>
      <c r="AF1088" s="48">
        <f>IFERROR(VLOOKUP(Tabela3[[#This Row],[Produto]],Tabela2[],5,0),0)</f>
        <v>0.77580000000000016</v>
      </c>
      <c r="AG1088" s="48">
        <f>IFERROR(VLOOKUP(Tabela3[[#This Row],[Produto]],Tabela2[],6,0),0)</f>
        <v>0</v>
      </c>
      <c r="AH1088" s="40">
        <f>IFERROR(VLOOKUP(Tabela3[[#This Row],[Produto]],Tabela2[],7,0),0)</f>
        <v>0</v>
      </c>
      <c r="AI1088" s="40">
        <f>IFERROR(VLOOKUP(Tabela3[[#This Row],[Produto]],Tabela2[],8,0),0)</f>
        <v>0</v>
      </c>
      <c r="AJ1088" s="35">
        <f ca="1">IFERROR(VLOOKUP(Tabela3[[#This Row],[Produto]],Tabela2[],13,0),0)</f>
        <v>15.600000000000001</v>
      </c>
      <c r="AK1088" s="48" t="str">
        <f>IFERROR(VLOOKUP(Tabela3[[#This Row],[Produto]],Tabela2[],14,0),0)</f>
        <v>Jumil</v>
      </c>
      <c r="AL1088" s="40">
        <f>IFERROR(VLOOKUP(Tabela3[[#This Row],[Produto]],Tabela2[],15,0),0)</f>
        <v>35</v>
      </c>
      <c r="AM1088" s="36">
        <f ca="1">(Tabela3[[#This Row],[Custo Usinagem]]+Tabela3[[#This Row],[Custo / Pç]])*1.2</f>
        <v>118.20855246998848</v>
      </c>
      <c r="AN1088" s="36">
        <f ca="1">Tabela3[[#This Row],[Valor Mínimo Venda]]*1.15</f>
        <v>135.93983534048672</v>
      </c>
      <c r="AO1088" s="36">
        <f ca="1">Tabela3[[#This Row],[Tabela 1]]*1.08</f>
        <v>146.81502216772566</v>
      </c>
      <c r="AP1088" s="36">
        <f ca="1">Tabela3[[#This Row],[Tabela 2]]*1.15</f>
        <v>168.83727549288449</v>
      </c>
    </row>
    <row r="1089" spans="1:42">
      <c r="A1089" s="9">
        <v>46119</v>
      </c>
      <c r="B1089" s="9" t="s">
        <v>245</v>
      </c>
      <c r="C1089" s="14">
        <v>9327</v>
      </c>
      <c r="D1089" s="6" t="s">
        <v>46</v>
      </c>
      <c r="E1089" s="6" t="s">
        <v>44</v>
      </c>
      <c r="F1089" s="6">
        <v>60</v>
      </c>
      <c r="G1089" s="15">
        <v>0.25694444444444442</v>
      </c>
      <c r="H1089" s="16">
        <v>103</v>
      </c>
      <c r="I1089" s="35">
        <f ca="1">IFERROR(Tabela3[[#This Row],[Custo Total]]/Tabela3[[#This Row],[Aluminio Util]],0)</f>
        <v>49.08361537250849</v>
      </c>
      <c r="J1089" s="35">
        <f ca="1">Tabela3[[#This Row],[Custo Total]]/Tabela3[[#This Row],[Realizado]]</f>
        <v>16.295760303672818</v>
      </c>
      <c r="K1089" s="37">
        <f>IFERROR(Tabela3[[#This Row],[Qtde Cx Produzida]]/Tabela3[[#This Row],[Tempo]]/24,0)</f>
        <v>9.7297297297297316</v>
      </c>
      <c r="L1089" s="37">
        <f>Tabela3[[#This Row],[Qtde Cx Produzida]]*Tabela3[[#This Row],[Qdt Peça Placa]]</f>
        <v>240</v>
      </c>
      <c r="M1089" s="37">
        <f>Tabela3[[#This Row],[Previsto]]-Tabela3[[#This Row],[Perda Pçs]]</f>
        <v>137</v>
      </c>
      <c r="N1089" s="38">
        <f>IFERROR(Tabela3[[#This Row],[Perda Pçs]]/Tabela3[[#This Row],[Previsto]],0)</f>
        <v>0.42916666666666664</v>
      </c>
      <c r="O1089" s="39">
        <f>IFERROR(IF(Tabela3[[#This Row],[Qtde Cx Produzida]] &lt;&gt; 0, Tabela3[[#This Row],[Tempo]] / Tabela3[[#This Row],[Qtde Cx Produzida]], 0),0)</f>
        <v>4.2824074074074066E-3</v>
      </c>
      <c r="P1089" s="57">
        <f>IFERROR(Tabela3[[#This Row],[Perda Pçs]]/Tabela3[[#This Row],[Qdt Peça Placa]],0)</f>
        <v>25.75</v>
      </c>
      <c r="Q1089" s="37">
        <f>IFERROR(Tabela3[[#This Row],[Realizado]]*Tabela3[[#This Row],[Peso Util/Pç]],0)</f>
        <v>45.484000000000002</v>
      </c>
      <c r="R1089" s="37">
        <f>IFERROR(Tabela3[[#This Row],[Peso Total Galho]]*Tabela3[[#This Row],[Qtde Cx Produzida]]*1.055,0)</f>
        <v>145.59</v>
      </c>
      <c r="S1089" s="37">
        <f>(Tabela3[[#This Row],[Aluminio Bruto]]-Tabela3[[#This Row],[Aluminio Util]])*0.9</f>
        <v>90.095399999999998</v>
      </c>
      <c r="T1089" s="37">
        <f>Tabela3[[#This Row],[Aluminio Bruto]]/OleoKGAluminio</f>
        <v>61.249524753938559</v>
      </c>
      <c r="U1089" s="35">
        <f>IFERROR((VLOOKUP(Tabela3[[#This Row],[Moldador]],Tabela1[],5,)+(VLOOKUP(Tabela3[[#This Row],[Ajudante]],Tabela1[],5,))*3.5),0)</f>
        <v>126.0945</v>
      </c>
      <c r="V1089" s="35">
        <f>IFERROR(Tabela3[[#This Row],[Custo M.O. / H]]/((Tabela3[[#This Row],[Realizado]]/Tabela3[[#This Row],[Qdt Peça Placa]])/Tabela3[[#This Row],[Tempo]]/24),)</f>
        <v>22.703145985401456</v>
      </c>
      <c r="W1089" s="35">
        <f>Tabela3[[#This Row],[Custo / Cx Moldada]]*Tabela3[[#This Row],[Qtde Cx Produzida]]</f>
        <v>1362.1887591240873</v>
      </c>
      <c r="X1089" s="35">
        <f ca="1">Tabela3[[#This Row],[Aluminio Util]]*Tabela3[[#This Row],[Custo/Kg]]</f>
        <v>709.55040000000008</v>
      </c>
      <c r="Y1089" s="35">
        <f>IFERROR(VLOOKUP(Tabela3[[#This Row],[Data]],Tabela461213[],2,1)*(Tabela3[[#This Row],[Qtde Cx Produzida]]*Tabela3[[#This Row],[Qde macho / CX]]*Tabela3[[#This Row],[Peso Macho]]),)</f>
        <v>0</v>
      </c>
      <c r="Z1089" s="35">
        <f>IFERROR(Tabela3[[#This Row],[Qtde Oleo]]*(VLOOKUP(Tabela3[[#This Row],[Data]],CompraOleo[],3,TRUE))*1.05,0)</f>
        <v>160.78000247908872</v>
      </c>
      <c r="AA1089" s="47">
        <f ca="1">(Tabela3[[#This Row],[Custo Oleo]]+Tabela3[[#This Row],[Custo Aluminio]]+Tabela3[[#This Row],[Custo M.O. Total]]+Tabela3[[#This Row],[Custo Machos]])</f>
        <v>2232.5191616031761</v>
      </c>
      <c r="AB1089" s="47">
        <f ca="1">Tabela3[[#This Row],[Custo Total]]*Tabela3[[#This Row],[% Perda]]</f>
        <v>958.12280685469636</v>
      </c>
      <c r="AC1089" s="40">
        <f>IFERROR(VLOOKUP(Tabela3[[#This Row],[Produto]],Tabela2[],2,0),0)</f>
        <v>4</v>
      </c>
      <c r="AD1089" s="48">
        <f>IFERROR(VLOOKUP(Tabela3[[#This Row],[Produto]],Tabela2[],3,0),0)</f>
        <v>0.33200000000000002</v>
      </c>
      <c r="AE1089" s="48">
        <f>IFERROR(VLOOKUP(Tabela3[[#This Row],[Produto]],Tabela2[],4,0),0)</f>
        <v>2.2999999999999998</v>
      </c>
      <c r="AF1089" s="48">
        <f>IFERROR(VLOOKUP(Tabela3[[#This Row],[Produto]],Tabela2[],5,0),0)</f>
        <v>0.8747999999999998</v>
      </c>
      <c r="AG1089" s="48">
        <f>IFERROR(VLOOKUP(Tabela3[[#This Row],[Produto]],Tabela2[],6,0),0)</f>
        <v>0</v>
      </c>
      <c r="AH1089" s="40">
        <f>IFERROR(VLOOKUP(Tabela3[[#This Row],[Produto]],Tabela2[],7,0),0)</f>
        <v>0</v>
      </c>
      <c r="AI1089" s="40">
        <f>IFERROR(VLOOKUP(Tabela3[[#This Row],[Produto]],Tabela2[],8,0),0)</f>
        <v>0</v>
      </c>
      <c r="AJ1089" s="35">
        <f ca="1">IFERROR(VLOOKUP(Tabela3[[#This Row],[Produto]],Tabela2[],13,0),0)</f>
        <v>15.600000000000001</v>
      </c>
      <c r="AK1089" s="48" t="str">
        <f>IFERROR(VLOOKUP(Tabela3[[#This Row],[Produto]],Tabela2[],14,0),0)</f>
        <v>Senun</v>
      </c>
      <c r="AL1089" s="40">
        <f>IFERROR(VLOOKUP(Tabela3[[#This Row],[Produto]],Tabela2[],15,0),0)</f>
        <v>3.5</v>
      </c>
      <c r="AM1089" s="36">
        <f ca="1">(Tabela3[[#This Row],[Custo Usinagem]]+Tabela3[[#This Row],[Custo / Pç]])*1.2</f>
        <v>23.754912364407382</v>
      </c>
      <c r="AN1089" s="36">
        <f ca="1">Tabela3[[#This Row],[Valor Mínimo Venda]]*1.15</f>
        <v>27.318149219068488</v>
      </c>
      <c r="AO1089" s="36">
        <f ca="1">Tabela3[[#This Row],[Tabela 1]]*1.08</f>
        <v>29.50360115659397</v>
      </c>
      <c r="AP1089" s="36">
        <f ca="1">Tabela3[[#This Row],[Tabela 2]]*1.15</f>
        <v>33.929141330083063</v>
      </c>
    </row>
    <row r="1090" spans="1:42">
      <c r="A1090" s="9">
        <v>46119</v>
      </c>
      <c r="B1090" s="9" t="s">
        <v>245</v>
      </c>
      <c r="C1090" s="14">
        <v>9327</v>
      </c>
      <c r="D1090" s="6" t="s">
        <v>44</v>
      </c>
      <c r="E1090" s="6" t="s">
        <v>47</v>
      </c>
      <c r="F1090" s="6">
        <v>17</v>
      </c>
      <c r="G1090" s="15">
        <v>8.0555555555555561E-2</v>
      </c>
      <c r="H1090" s="16">
        <v>0</v>
      </c>
      <c r="I1090" s="35">
        <f ca="1">IFERROR(Tabela3[[#This Row],[Custo Total]]/Tabela3[[#This Row],[Aluminio Util]],0)</f>
        <v>26.177235529479077</v>
      </c>
      <c r="J1090" s="35">
        <f ca="1">Tabela3[[#This Row],[Custo Total]]/Tabela3[[#This Row],[Realizado]]</f>
        <v>8.6908421957870541</v>
      </c>
      <c r="K1090" s="37">
        <f>IFERROR(Tabela3[[#This Row],[Qtde Cx Produzida]]/Tabela3[[#This Row],[Tempo]]/24,0)</f>
        <v>8.7931034482758612</v>
      </c>
      <c r="L1090" s="37">
        <f>Tabela3[[#This Row],[Qtde Cx Produzida]]*Tabela3[[#This Row],[Qdt Peça Placa]]</f>
        <v>68</v>
      </c>
      <c r="M1090" s="37">
        <f>Tabela3[[#This Row],[Previsto]]-Tabela3[[#This Row],[Perda Pçs]]</f>
        <v>68</v>
      </c>
      <c r="N1090" s="38">
        <f>IFERROR(Tabela3[[#This Row],[Perda Pçs]]/Tabela3[[#This Row],[Previsto]],0)</f>
        <v>0</v>
      </c>
      <c r="O1090" s="39">
        <f>IFERROR(IF(Tabela3[[#This Row],[Qtde Cx Produzida]] &lt;&gt; 0, Tabela3[[#This Row],[Tempo]] / Tabela3[[#This Row],[Qtde Cx Produzida]], 0),0)</f>
        <v>4.7385620915032685E-3</v>
      </c>
      <c r="P1090" s="57">
        <f>IFERROR(Tabela3[[#This Row],[Perda Pçs]]/Tabela3[[#This Row],[Qdt Peça Placa]],0)</f>
        <v>0</v>
      </c>
      <c r="Q1090" s="37">
        <f>IFERROR(Tabela3[[#This Row],[Realizado]]*Tabela3[[#This Row],[Peso Util/Pç]],0)</f>
        <v>22.576000000000001</v>
      </c>
      <c r="R1090" s="37">
        <f>IFERROR(Tabela3[[#This Row],[Peso Total Galho]]*Tabela3[[#This Row],[Qtde Cx Produzida]]*1.055,0)</f>
        <v>41.250499999999988</v>
      </c>
      <c r="S1090" s="37">
        <f>(Tabela3[[#This Row],[Aluminio Bruto]]-Tabela3[[#This Row],[Aluminio Util]])*0.9</f>
        <v>16.80704999999999</v>
      </c>
      <c r="T1090" s="37">
        <f>Tabela3[[#This Row],[Aluminio Bruto]]/OleoKGAluminio</f>
        <v>17.354032013615921</v>
      </c>
      <c r="U1090" s="35">
        <f>IFERROR((VLOOKUP(Tabela3[[#This Row],[Moldador]],Tabela1[],5,)+(VLOOKUP(Tabela3[[#This Row],[Ajudante]],Tabela1[],5,))*3.5),0)</f>
        <v>99.95034583333333</v>
      </c>
      <c r="V1090" s="35">
        <f>IFERROR(Tabela3[[#This Row],[Custo M.O. / H]]/((Tabela3[[#This Row],[Realizado]]/Tabela3[[#This Row],[Qdt Peça Placa]])/Tabela3[[#This Row],[Tempo]]/24),)</f>
        <v>11.366902075163399</v>
      </c>
      <c r="W1090" s="35">
        <f>Tabela3[[#This Row],[Custo / Cx Moldada]]*Tabela3[[#This Row],[Qtde Cx Produzida]]</f>
        <v>193.23733527777779</v>
      </c>
      <c r="X1090" s="35">
        <f ca="1">Tabela3[[#This Row],[Aluminio Util]]*Tabela3[[#This Row],[Custo/Kg]]</f>
        <v>352.18560000000002</v>
      </c>
      <c r="Y1090" s="35">
        <f>IFERROR(VLOOKUP(Tabela3[[#This Row],[Data]],Tabela461213[],2,1)*(Tabela3[[#This Row],[Qtde Cx Produzida]]*Tabela3[[#This Row],[Qde macho / CX]]*Tabela3[[#This Row],[Peso Macho]]),)</f>
        <v>0</v>
      </c>
      <c r="Z1090" s="35">
        <f>IFERROR(Tabela3[[#This Row],[Qtde Oleo]]*(VLOOKUP(Tabela3[[#This Row],[Data]],CompraOleo[],3,TRUE))*1.05,0)</f>
        <v>45.554334035741796</v>
      </c>
      <c r="AA1090" s="47">
        <f ca="1">(Tabela3[[#This Row],[Custo Oleo]]+Tabela3[[#This Row],[Custo Aluminio]]+Tabela3[[#This Row],[Custo M.O. Total]]+Tabela3[[#This Row],[Custo Machos]])</f>
        <v>590.97726931351963</v>
      </c>
      <c r="AB1090" s="47">
        <f ca="1">Tabela3[[#This Row],[Custo Total]]*Tabela3[[#This Row],[% Perda]]</f>
        <v>0</v>
      </c>
      <c r="AC1090" s="40">
        <f>IFERROR(VLOOKUP(Tabela3[[#This Row],[Produto]],Tabela2[],2,0),0)</f>
        <v>4</v>
      </c>
      <c r="AD1090" s="48">
        <f>IFERROR(VLOOKUP(Tabela3[[#This Row],[Produto]],Tabela2[],3,0),0)</f>
        <v>0.33200000000000002</v>
      </c>
      <c r="AE1090" s="48">
        <f>IFERROR(VLOOKUP(Tabela3[[#This Row],[Produto]],Tabela2[],4,0),0)</f>
        <v>2.2999999999999998</v>
      </c>
      <c r="AF1090" s="48">
        <f>IFERROR(VLOOKUP(Tabela3[[#This Row],[Produto]],Tabela2[],5,0),0)</f>
        <v>0.8747999999999998</v>
      </c>
      <c r="AG1090" s="48">
        <f>IFERROR(VLOOKUP(Tabela3[[#This Row],[Produto]],Tabela2[],6,0),0)</f>
        <v>0</v>
      </c>
      <c r="AH1090" s="40">
        <f>IFERROR(VLOOKUP(Tabela3[[#This Row],[Produto]],Tabela2[],7,0),0)</f>
        <v>0</v>
      </c>
      <c r="AI1090" s="40">
        <f>IFERROR(VLOOKUP(Tabela3[[#This Row],[Produto]],Tabela2[],8,0),0)</f>
        <v>0</v>
      </c>
      <c r="AJ1090" s="35">
        <f ca="1">IFERROR(VLOOKUP(Tabela3[[#This Row],[Produto]],Tabela2[],13,0),0)</f>
        <v>15.600000000000001</v>
      </c>
      <c r="AK1090" s="48" t="str">
        <f>IFERROR(VLOOKUP(Tabela3[[#This Row],[Produto]],Tabela2[],14,0),0)</f>
        <v>Senun</v>
      </c>
      <c r="AL1090" s="40">
        <f>IFERROR(VLOOKUP(Tabela3[[#This Row],[Produto]],Tabela2[],15,0),0)</f>
        <v>3.5</v>
      </c>
      <c r="AM1090" s="36">
        <f ca="1">(Tabela3[[#This Row],[Custo Usinagem]]+Tabela3[[#This Row],[Custo / Pç]])*1.2</f>
        <v>14.629010634944464</v>
      </c>
      <c r="AN1090" s="36">
        <f ca="1">Tabela3[[#This Row],[Valor Mínimo Venda]]*1.15</f>
        <v>16.823362230186131</v>
      </c>
      <c r="AO1090" s="36">
        <f ca="1">Tabela3[[#This Row],[Tabela 1]]*1.08</f>
        <v>18.169231208601023</v>
      </c>
      <c r="AP1090" s="36">
        <f ca="1">Tabela3[[#This Row],[Tabela 2]]*1.15</f>
        <v>20.894615889891174</v>
      </c>
    </row>
    <row r="1091" spans="1:42">
      <c r="A1091" s="9">
        <v>46119</v>
      </c>
      <c r="B1091" s="9" t="s">
        <v>182</v>
      </c>
      <c r="C1091" s="14">
        <v>9551</v>
      </c>
      <c r="D1091" s="6" t="s">
        <v>44</v>
      </c>
      <c r="E1091" s="6" t="s">
        <v>47</v>
      </c>
      <c r="F1091" s="6">
        <v>5</v>
      </c>
      <c r="G1091" s="15">
        <v>6.5972222222222224E-2</v>
      </c>
      <c r="H1091" s="16">
        <v>0</v>
      </c>
      <c r="I1091" s="35">
        <f ca="1">IFERROR(Tabela3[[#This Row],[Custo Total]]/Tabela3[[#This Row],[Aluminio Util]],0)</f>
        <v>21.463659686816182</v>
      </c>
      <c r="J1091" s="35">
        <f ca="1">Tabela3[[#This Row],[Custo Total]]/Tabela3[[#This Row],[Realizado]]</f>
        <v>259.71028221047584</v>
      </c>
      <c r="K1091" s="37">
        <f>IFERROR(Tabela3[[#This Row],[Qtde Cx Produzida]]/Tabela3[[#This Row],[Tempo]]/24,0)</f>
        <v>3.1578947368421049</v>
      </c>
      <c r="L1091" s="37">
        <f>Tabela3[[#This Row],[Qtde Cx Produzida]]*Tabela3[[#This Row],[Qdt Peça Placa]]</f>
        <v>5</v>
      </c>
      <c r="M1091" s="37">
        <f>Tabela3[[#This Row],[Previsto]]-Tabela3[[#This Row],[Perda Pçs]]</f>
        <v>5</v>
      </c>
      <c r="N1091" s="38">
        <f>IFERROR(Tabela3[[#This Row],[Perda Pçs]]/Tabela3[[#This Row],[Previsto]],0)</f>
        <v>0</v>
      </c>
      <c r="O1091" s="39">
        <f>IFERROR(IF(Tabela3[[#This Row],[Qtde Cx Produzida]] &lt;&gt; 0, Tabela3[[#This Row],[Tempo]] / Tabela3[[#This Row],[Qtde Cx Produzida]], 0),0)</f>
        <v>1.3194444444444444E-2</v>
      </c>
      <c r="P1091" s="57">
        <f>IFERROR(Tabela3[[#This Row],[Perda Pçs]]/Tabela3[[#This Row],[Qdt Peça Placa]],0)</f>
        <v>0</v>
      </c>
      <c r="Q1091" s="37">
        <f>IFERROR(Tabela3[[#This Row],[Realizado]]*Tabela3[[#This Row],[Peso Util/Pç]],0)</f>
        <v>60.5</v>
      </c>
      <c r="R1091" s="37">
        <f>IFERROR(Tabela3[[#This Row],[Peso Total Galho]]*Tabela3[[#This Row],[Qtde Cx Produzida]]*1.055,0)</f>
        <v>68.364000000000004</v>
      </c>
      <c r="S1091" s="37">
        <f>(Tabela3[[#This Row],[Aluminio Bruto]]-Tabela3[[#This Row],[Aluminio Util]])*0.9</f>
        <v>7.0776000000000039</v>
      </c>
      <c r="T1091" s="37">
        <f>Tabela3[[#This Row],[Aluminio Bruto]]/OleoKGAluminio</f>
        <v>28.760646406197239</v>
      </c>
      <c r="U1091" s="35">
        <f>IFERROR((VLOOKUP(Tabela3[[#This Row],[Moldador]],Tabela1[],5,)+(VLOOKUP(Tabela3[[#This Row],[Ajudante]],Tabela1[],5,))*3.5),0)</f>
        <v>99.95034583333333</v>
      </c>
      <c r="V1091" s="35">
        <f>IFERROR(Tabela3[[#This Row],[Custo M.O. / H]]/((Tabela3[[#This Row],[Realizado]]/Tabela3[[#This Row],[Qdt Peça Placa]])/Tabela3[[#This Row],[Tempo]]/24),)</f>
        <v>31.650942847222225</v>
      </c>
      <c r="W1091" s="35">
        <f>Tabela3[[#This Row],[Custo / Cx Moldada]]*Tabela3[[#This Row],[Qtde Cx Produzida]]</f>
        <v>158.25471423611111</v>
      </c>
      <c r="X1091" s="35">
        <f ca="1">Tabela3[[#This Row],[Aluminio Util]]*Tabela3[[#This Row],[Custo/Kg]]</f>
        <v>1064.8000000000002</v>
      </c>
      <c r="Y1091" s="35">
        <f>IFERROR(VLOOKUP(Tabela3[[#This Row],[Data]],Tabela461213[],2,1)*(Tabela3[[#This Row],[Qtde Cx Produzida]]*Tabela3[[#This Row],[Qde macho / CX]]*Tabela3[[#This Row],[Peso Macho]]),)</f>
        <v>0</v>
      </c>
      <c r="Z1091" s="35">
        <f>IFERROR(Tabela3[[#This Row],[Qtde Oleo]]*(VLOOKUP(Tabela3[[#This Row],[Data]],CompraOleo[],3,TRUE))*1.05,0)</f>
        <v>75.496696816267743</v>
      </c>
      <c r="AA1091" s="47">
        <f ca="1">(Tabela3[[#This Row],[Custo Oleo]]+Tabela3[[#This Row],[Custo Aluminio]]+Tabela3[[#This Row],[Custo M.O. Total]]+Tabela3[[#This Row],[Custo Machos]])</f>
        <v>1298.5514110523791</v>
      </c>
      <c r="AB1091" s="47">
        <f ca="1">Tabela3[[#This Row],[Custo Total]]*Tabela3[[#This Row],[% Perda]]</f>
        <v>0</v>
      </c>
      <c r="AC1091" s="40">
        <f>IFERROR(VLOOKUP(Tabela3[[#This Row],[Produto]],Tabela2[],2,0),0)</f>
        <v>1</v>
      </c>
      <c r="AD1091" s="48">
        <f>IFERROR(VLOOKUP(Tabela3[[#This Row],[Produto]],Tabela2[],3,0),0)</f>
        <v>12.1</v>
      </c>
      <c r="AE1091" s="48">
        <f>IFERROR(VLOOKUP(Tabela3[[#This Row],[Produto]],Tabela2[],4,0),0)</f>
        <v>12.96</v>
      </c>
      <c r="AF1091" s="48">
        <f>IFERROR(VLOOKUP(Tabela3[[#This Row],[Produto]],Tabela2[],5,0),0)</f>
        <v>0.77400000000000113</v>
      </c>
      <c r="AG1091" s="48">
        <f>IFERROR(VLOOKUP(Tabela3[[#This Row],[Produto]],Tabela2[],6,0),0)</f>
        <v>0</v>
      </c>
      <c r="AH1091" s="40">
        <f>IFERROR(VLOOKUP(Tabela3[[#This Row],[Produto]],Tabela2[],7,0),0)</f>
        <v>0</v>
      </c>
      <c r="AI1091" s="40">
        <f>IFERROR(VLOOKUP(Tabela3[[#This Row],[Produto]],Tabela2[],8,0),0)</f>
        <v>0</v>
      </c>
      <c r="AJ1091" s="35">
        <f ca="1">IFERROR(VLOOKUP(Tabela3[[#This Row],[Produto]],Tabela2[],13,0),0)</f>
        <v>17.600000000000001</v>
      </c>
      <c r="AK1091" s="48" t="str">
        <f>IFERROR(VLOOKUP(Tabela3[[#This Row],[Produto]],Tabela2[],14,0),0)</f>
        <v>Oscar</v>
      </c>
      <c r="AL1091" s="40">
        <f>IFERROR(VLOOKUP(Tabela3[[#This Row],[Produto]],Tabela2[],15,0),0)</f>
        <v>0</v>
      </c>
      <c r="AM1091" s="36">
        <f ca="1">(Tabela3[[#This Row],[Custo Usinagem]]+Tabela3[[#This Row],[Custo / Pç]])*1.2</f>
        <v>311.65233865257102</v>
      </c>
      <c r="AN1091" s="36">
        <f ca="1">Tabela3[[#This Row],[Valor Mínimo Venda]]*1.15</f>
        <v>358.40018945045665</v>
      </c>
      <c r="AO1091" s="36">
        <f ca="1">Tabela3[[#This Row],[Tabela 1]]*1.08</f>
        <v>387.07220460649319</v>
      </c>
      <c r="AP1091" s="36">
        <f ca="1">Tabela3[[#This Row],[Tabela 2]]*1.15</f>
        <v>445.13303529746713</v>
      </c>
    </row>
    <row r="1092" spans="1:42">
      <c r="A1092" s="9">
        <v>46120</v>
      </c>
      <c r="B1092" s="9" t="s">
        <v>96</v>
      </c>
      <c r="C1092" s="14">
        <v>9328</v>
      </c>
      <c r="D1092" s="6" t="s">
        <v>46</v>
      </c>
      <c r="E1092" s="6" t="s">
        <v>44</v>
      </c>
      <c r="F1092" s="6">
        <v>8</v>
      </c>
      <c r="G1092" s="15">
        <v>0.05</v>
      </c>
      <c r="H1092" s="16">
        <v>0</v>
      </c>
      <c r="I1092" s="35">
        <f ca="1">IFERROR(Tabela3[[#This Row],[Custo Total]]/Tabela3[[#This Row],[Aluminio Util]],0)</f>
        <v>32.876016245961168</v>
      </c>
      <c r="J1092" s="35">
        <f ca="1">Tabela3[[#This Row],[Custo Total]]/Tabela3[[#This Row],[Realizado]]</f>
        <v>29.062398361429675</v>
      </c>
      <c r="K1092" s="37">
        <f>IFERROR(Tabela3[[#This Row],[Qtde Cx Produzida]]/Tabela3[[#This Row],[Tempo]]/24,0)</f>
        <v>6.666666666666667</v>
      </c>
      <c r="L1092" s="37">
        <f>Tabela3[[#This Row],[Qtde Cx Produzida]]*Tabela3[[#This Row],[Qdt Peça Placa]]</f>
        <v>24</v>
      </c>
      <c r="M1092" s="37">
        <f>Tabela3[[#This Row],[Previsto]]-Tabela3[[#This Row],[Perda Pçs]]</f>
        <v>24</v>
      </c>
      <c r="N1092" s="38">
        <f>IFERROR(Tabela3[[#This Row],[Perda Pçs]]/Tabela3[[#This Row],[Previsto]],0)</f>
        <v>0</v>
      </c>
      <c r="O1092" s="39">
        <f>IFERROR(IF(Tabela3[[#This Row],[Qtde Cx Produzida]] &lt;&gt; 0, Tabela3[[#This Row],[Tempo]] / Tabela3[[#This Row],[Qtde Cx Produzida]], 0),0)</f>
        <v>6.2500000000000003E-3</v>
      </c>
      <c r="P1092" s="57">
        <f>IFERROR(Tabela3[[#This Row],[Perda Pçs]]/Tabela3[[#This Row],[Qdt Peça Placa]],0)</f>
        <v>0</v>
      </c>
      <c r="Q1092" s="37">
        <f>IFERROR(Tabela3[[#This Row],[Realizado]]*Tabela3[[#This Row],[Peso Util/Pç]],0)</f>
        <v>21.216000000000001</v>
      </c>
      <c r="R1092" s="37">
        <f>IFERROR(Tabela3[[#This Row],[Peso Total Galho]]*Tabela3[[#This Row],[Qtde Cx Produzida]]*1.055,0)</f>
        <v>39.600479999999997</v>
      </c>
      <c r="S1092" s="37">
        <f>(Tabela3[[#This Row],[Aluminio Bruto]]-Tabela3[[#This Row],[Aluminio Util]])*0.9</f>
        <v>16.546031999999997</v>
      </c>
      <c r="T1092" s="37">
        <f>Tabela3[[#This Row],[Aluminio Bruto]]/OleoKGAluminio</f>
        <v>16.659870733071287</v>
      </c>
      <c r="U1092" s="35">
        <f>IFERROR((VLOOKUP(Tabela3[[#This Row],[Moldador]],Tabela1[],5,)+(VLOOKUP(Tabela3[[#This Row],[Ajudante]],Tabela1[],5,))*3.5),0)</f>
        <v>126.0945</v>
      </c>
      <c r="V1092" s="35">
        <f>IFERROR(Tabela3[[#This Row],[Custo M.O. / H]]/((Tabela3[[#This Row],[Realizado]]/Tabela3[[#This Row],[Qdt Peça Placa]])/Tabela3[[#This Row],[Tempo]]/24),)</f>
        <v>18.914175</v>
      </c>
      <c r="W1092" s="35">
        <f>Tabela3[[#This Row],[Custo / Cx Moldada]]*Tabela3[[#This Row],[Qtde Cx Produzida]]</f>
        <v>151.3134</v>
      </c>
      <c r="X1092" s="35">
        <f ca="1">Tabela3[[#This Row],[Aluminio Util]]*Tabela3[[#This Row],[Custo/Kg]]</f>
        <v>330.96960000000007</v>
      </c>
      <c r="Y1092" s="35">
        <f>IFERROR(VLOOKUP(Tabela3[[#This Row],[Data]],Tabela461213[],2,1)*(Tabela3[[#This Row],[Qtde Cx Produzida]]*Tabela3[[#This Row],[Qde macho / CX]]*Tabela3[[#This Row],[Peso Macho]]),)</f>
        <v>171.48239999999998</v>
      </c>
      <c r="Z1092" s="35">
        <f>IFERROR(Tabela3[[#This Row],[Qtde Oleo]]*(VLOOKUP(Tabela3[[#This Row],[Data]],CompraOleo[],3,TRUE))*1.05,0)</f>
        <v>43.732160674312134</v>
      </c>
      <c r="AA1092" s="47">
        <f ca="1">(Tabela3[[#This Row],[Custo Oleo]]+Tabela3[[#This Row],[Custo Aluminio]]+Tabela3[[#This Row],[Custo M.O. Total]]+Tabela3[[#This Row],[Custo Machos]])</f>
        <v>697.49756067431224</v>
      </c>
      <c r="AB1092" s="47">
        <f ca="1">Tabela3[[#This Row],[Custo Total]]*Tabela3[[#This Row],[% Perda]]</f>
        <v>0</v>
      </c>
      <c r="AC1092" s="40">
        <f>IFERROR(VLOOKUP(Tabela3[[#This Row],[Produto]],Tabela2[],2,0),0)</f>
        <v>3</v>
      </c>
      <c r="AD1092" s="48">
        <f>IFERROR(VLOOKUP(Tabela3[[#This Row],[Produto]],Tabela2[],3,0),0)</f>
        <v>0.88400000000000001</v>
      </c>
      <c r="AE1092" s="48">
        <f>IFERROR(VLOOKUP(Tabela3[[#This Row],[Produto]],Tabela2[],4,0),0)</f>
        <v>4.6920000000000002</v>
      </c>
      <c r="AF1092" s="48">
        <f>IFERROR(VLOOKUP(Tabela3[[#This Row],[Produto]],Tabela2[],5,0),0)</f>
        <v>1.8360000000000001</v>
      </c>
      <c r="AG1092" s="48">
        <f>IFERROR(VLOOKUP(Tabela3[[#This Row],[Produto]],Tabela2[],6,0),0)</f>
        <v>0</v>
      </c>
      <c r="AH1092" s="40">
        <f>IFERROR(VLOOKUP(Tabela3[[#This Row],[Produto]],Tabela2[],7,0),0)</f>
        <v>9</v>
      </c>
      <c r="AI1092" s="40">
        <f>IFERROR(VLOOKUP(Tabela3[[#This Row],[Produto]],Tabela2[],8,0),0)</f>
        <v>1.401</v>
      </c>
      <c r="AJ1092" s="35">
        <f ca="1">IFERROR(VLOOKUP(Tabela3[[#This Row],[Produto]],Tabela2[],13,0),0)</f>
        <v>15.600000000000001</v>
      </c>
      <c r="AK1092" s="48" t="str">
        <f>IFERROR(VLOOKUP(Tabela3[[#This Row],[Produto]],Tabela2[],14,0),0)</f>
        <v>Jumil</v>
      </c>
      <c r="AL1092" s="40">
        <f>IFERROR(VLOOKUP(Tabela3[[#This Row],[Produto]],Tabela2[],15,0),0)</f>
        <v>10</v>
      </c>
      <c r="AM1092" s="36">
        <f ca="1">(Tabela3[[#This Row],[Custo Usinagem]]+Tabela3[[#This Row],[Custo / Pç]])*1.2</f>
        <v>46.874878033715603</v>
      </c>
      <c r="AN1092" s="36">
        <f ca="1">Tabela3[[#This Row],[Valor Mínimo Venda]]*1.15</f>
        <v>53.90610973877294</v>
      </c>
      <c r="AO1092" s="36">
        <f ca="1">Tabela3[[#This Row],[Tabela 1]]*1.08</f>
        <v>58.218598517874781</v>
      </c>
      <c r="AP1092" s="36">
        <f ca="1">Tabela3[[#This Row],[Tabela 2]]*1.15</f>
        <v>66.951388295555986</v>
      </c>
    </row>
    <row r="1093" spans="1:42">
      <c r="A1093" s="9">
        <v>46120</v>
      </c>
      <c r="B1093" s="9" t="s">
        <v>245</v>
      </c>
      <c r="C1093" s="14">
        <v>9327</v>
      </c>
      <c r="D1093" s="6" t="s">
        <v>46</v>
      </c>
      <c r="E1093" s="6" t="s">
        <v>44</v>
      </c>
      <c r="F1093" s="6">
        <v>60</v>
      </c>
      <c r="G1093" s="15">
        <v>0.30694444444444446</v>
      </c>
      <c r="H1093" s="16">
        <v>0</v>
      </c>
      <c r="I1093" s="35">
        <f ca="1">IFERROR(Tabela3[[#This Row],[Custo Total]]/Tabela3[[#This Row],[Aluminio Util]],0)</f>
        <v>29.275654524084949</v>
      </c>
      <c r="J1093" s="35">
        <f ca="1">Tabela3[[#This Row],[Custo Total]]/Tabela3[[#This Row],[Realizado]]</f>
        <v>9.7195173019962038</v>
      </c>
      <c r="K1093" s="37">
        <f>IFERROR(Tabela3[[#This Row],[Qtde Cx Produzida]]/Tabela3[[#This Row],[Tempo]]/24,0)</f>
        <v>8.1447963800904972</v>
      </c>
      <c r="L1093" s="37">
        <f>Tabela3[[#This Row],[Qtde Cx Produzida]]*Tabela3[[#This Row],[Qdt Peça Placa]]</f>
        <v>240</v>
      </c>
      <c r="M1093" s="37">
        <f>Tabela3[[#This Row],[Previsto]]-Tabela3[[#This Row],[Perda Pçs]]</f>
        <v>240</v>
      </c>
      <c r="N1093" s="38">
        <f>IFERROR(Tabela3[[#This Row],[Perda Pçs]]/Tabela3[[#This Row],[Previsto]],0)</f>
        <v>0</v>
      </c>
      <c r="O1093" s="39">
        <f>IFERROR(IF(Tabela3[[#This Row],[Qtde Cx Produzida]] &lt;&gt; 0, Tabela3[[#This Row],[Tempo]] / Tabela3[[#This Row],[Qtde Cx Produzida]], 0),0)</f>
        <v>5.115740740740741E-3</v>
      </c>
      <c r="P1093" s="57">
        <f>IFERROR(Tabela3[[#This Row],[Perda Pçs]]/Tabela3[[#This Row],[Qdt Peça Placa]],0)</f>
        <v>0</v>
      </c>
      <c r="Q1093" s="37">
        <f>IFERROR(Tabela3[[#This Row],[Realizado]]*Tabela3[[#This Row],[Peso Util/Pç]],0)</f>
        <v>79.680000000000007</v>
      </c>
      <c r="R1093" s="37">
        <f>IFERROR(Tabela3[[#This Row],[Peso Total Galho]]*Tabela3[[#This Row],[Qtde Cx Produzida]]*1.055,0)</f>
        <v>145.59</v>
      </c>
      <c r="S1093" s="37">
        <f>(Tabela3[[#This Row],[Aluminio Bruto]]-Tabela3[[#This Row],[Aluminio Util]])*0.9</f>
        <v>59.318999999999996</v>
      </c>
      <c r="T1093" s="37">
        <f>Tabela3[[#This Row],[Aluminio Bruto]]/OleoKGAluminio</f>
        <v>61.249524753938559</v>
      </c>
      <c r="U1093" s="35">
        <f>IFERROR((VLOOKUP(Tabela3[[#This Row],[Moldador]],Tabela1[],5,)+(VLOOKUP(Tabela3[[#This Row],[Ajudante]],Tabela1[],5,))*3.5),0)</f>
        <v>126.0945</v>
      </c>
      <c r="V1093" s="35">
        <f>IFERROR(Tabela3[[#This Row],[Custo M.O. / H]]/((Tabela3[[#This Row],[Realizado]]/Tabela3[[#This Row],[Qdt Peça Placa]])/Tabela3[[#This Row],[Tempo]]/24),)</f>
        <v>15.481602500000001</v>
      </c>
      <c r="W1093" s="35">
        <f>Tabela3[[#This Row],[Custo / Cx Moldada]]*Tabela3[[#This Row],[Qtde Cx Produzida]]</f>
        <v>928.89615000000003</v>
      </c>
      <c r="X1093" s="35">
        <f ca="1">Tabela3[[#This Row],[Aluminio Util]]*Tabela3[[#This Row],[Custo/Kg]]</f>
        <v>1243.0080000000003</v>
      </c>
      <c r="Y1093" s="35">
        <f>IFERROR(VLOOKUP(Tabela3[[#This Row],[Data]],Tabela461213[],2,1)*(Tabela3[[#This Row],[Qtde Cx Produzida]]*Tabela3[[#This Row],[Qde macho / CX]]*Tabela3[[#This Row],[Peso Macho]]),)</f>
        <v>0</v>
      </c>
      <c r="Z1093" s="35">
        <f>IFERROR(Tabela3[[#This Row],[Qtde Oleo]]*(VLOOKUP(Tabela3[[#This Row],[Data]],CompraOleo[],3,TRUE))*1.05,0)</f>
        <v>160.78000247908872</v>
      </c>
      <c r="AA1093" s="47">
        <f ca="1">(Tabela3[[#This Row],[Custo Oleo]]+Tabela3[[#This Row],[Custo Aluminio]]+Tabela3[[#This Row],[Custo M.O. Total]]+Tabela3[[#This Row],[Custo Machos]])</f>
        <v>2332.6841524790889</v>
      </c>
      <c r="AB1093" s="47">
        <f ca="1">Tabela3[[#This Row],[Custo Total]]*Tabela3[[#This Row],[% Perda]]</f>
        <v>0</v>
      </c>
      <c r="AC1093" s="40">
        <f>IFERROR(VLOOKUP(Tabela3[[#This Row],[Produto]],Tabela2[],2,0),0)</f>
        <v>4</v>
      </c>
      <c r="AD1093" s="48">
        <f>IFERROR(VLOOKUP(Tabela3[[#This Row],[Produto]],Tabela2[],3,0),0)</f>
        <v>0.33200000000000002</v>
      </c>
      <c r="AE1093" s="48">
        <f>IFERROR(VLOOKUP(Tabela3[[#This Row],[Produto]],Tabela2[],4,0),0)</f>
        <v>2.2999999999999998</v>
      </c>
      <c r="AF1093" s="48">
        <f>IFERROR(VLOOKUP(Tabela3[[#This Row],[Produto]],Tabela2[],5,0),0)</f>
        <v>0.8747999999999998</v>
      </c>
      <c r="AG1093" s="48">
        <f>IFERROR(VLOOKUP(Tabela3[[#This Row],[Produto]],Tabela2[],6,0),0)</f>
        <v>0</v>
      </c>
      <c r="AH1093" s="40">
        <f>IFERROR(VLOOKUP(Tabela3[[#This Row],[Produto]],Tabela2[],7,0),0)</f>
        <v>0</v>
      </c>
      <c r="AI1093" s="40">
        <f>IFERROR(VLOOKUP(Tabela3[[#This Row],[Produto]],Tabela2[],8,0),0)</f>
        <v>0</v>
      </c>
      <c r="AJ1093" s="35">
        <f ca="1">IFERROR(VLOOKUP(Tabela3[[#This Row],[Produto]],Tabela2[],13,0),0)</f>
        <v>15.600000000000001</v>
      </c>
      <c r="AK1093" s="48" t="str">
        <f>IFERROR(VLOOKUP(Tabela3[[#This Row],[Produto]],Tabela2[],14,0),0)</f>
        <v>Senun</v>
      </c>
      <c r="AL1093" s="40">
        <f>IFERROR(VLOOKUP(Tabela3[[#This Row],[Produto]],Tabela2[],15,0),0)</f>
        <v>3.5</v>
      </c>
      <c r="AM1093" s="36">
        <f ca="1">(Tabela3[[#This Row],[Custo Usinagem]]+Tabela3[[#This Row],[Custo / Pç]])*1.2</f>
        <v>15.863420762395444</v>
      </c>
      <c r="AN1093" s="36">
        <f ca="1">Tabela3[[#This Row],[Valor Mínimo Venda]]*1.15</f>
        <v>18.242933876754758</v>
      </c>
      <c r="AO1093" s="36">
        <f ca="1">Tabela3[[#This Row],[Tabela 1]]*1.08</f>
        <v>19.70236858689514</v>
      </c>
      <c r="AP1093" s="36">
        <f ca="1">Tabela3[[#This Row],[Tabela 2]]*1.15</f>
        <v>22.65772387492941</v>
      </c>
    </row>
    <row r="1094" spans="1:42">
      <c r="A1094" s="9">
        <v>46120</v>
      </c>
      <c r="B1094" s="9" t="s">
        <v>245</v>
      </c>
      <c r="C1094" s="14">
        <v>9327</v>
      </c>
      <c r="D1094" s="6" t="s">
        <v>44</v>
      </c>
      <c r="E1094" s="6" t="s">
        <v>47</v>
      </c>
      <c r="F1094" s="6">
        <v>19</v>
      </c>
      <c r="G1094" s="15">
        <v>8.1944444444444445E-2</v>
      </c>
      <c r="H1094" s="16">
        <v>0</v>
      </c>
      <c r="I1094" s="35">
        <f ca="1">IFERROR(Tabela3[[#This Row],[Custo Total]]/Tabela3[[#This Row],[Aluminio Util]],0)</f>
        <v>25.408286339724704</v>
      </c>
      <c r="J1094" s="35">
        <f ca="1">Tabela3[[#This Row],[Custo Total]]/Tabela3[[#This Row],[Realizado]]</f>
        <v>8.4355510647886032</v>
      </c>
      <c r="K1094" s="37">
        <f>IFERROR(Tabela3[[#This Row],[Qtde Cx Produzida]]/Tabela3[[#This Row],[Tempo]]/24,0)</f>
        <v>9.6610169491525415</v>
      </c>
      <c r="L1094" s="37">
        <f>Tabela3[[#This Row],[Qtde Cx Produzida]]*Tabela3[[#This Row],[Qdt Peça Placa]]</f>
        <v>76</v>
      </c>
      <c r="M1094" s="37">
        <f>Tabela3[[#This Row],[Previsto]]-Tabela3[[#This Row],[Perda Pçs]]</f>
        <v>76</v>
      </c>
      <c r="N1094" s="38">
        <f>IFERROR(Tabela3[[#This Row],[Perda Pçs]]/Tabela3[[#This Row],[Previsto]],0)</f>
        <v>0</v>
      </c>
      <c r="O1094" s="39">
        <f>IFERROR(IF(Tabela3[[#This Row],[Qtde Cx Produzida]] &lt;&gt; 0, Tabela3[[#This Row],[Tempo]] / Tabela3[[#This Row],[Qtde Cx Produzida]], 0),0)</f>
        <v>4.3128654970760235E-3</v>
      </c>
      <c r="P1094" s="57">
        <f>IFERROR(Tabela3[[#This Row],[Perda Pçs]]/Tabela3[[#This Row],[Qdt Peça Placa]],0)</f>
        <v>0</v>
      </c>
      <c r="Q1094" s="37">
        <f>IFERROR(Tabela3[[#This Row],[Realizado]]*Tabela3[[#This Row],[Peso Util/Pç]],0)</f>
        <v>25.232000000000003</v>
      </c>
      <c r="R1094" s="37">
        <f>IFERROR(Tabela3[[#This Row],[Peso Total Galho]]*Tabela3[[#This Row],[Qtde Cx Produzida]]*1.055,0)</f>
        <v>46.10349999999999</v>
      </c>
      <c r="S1094" s="37">
        <f>(Tabela3[[#This Row],[Aluminio Bruto]]-Tabela3[[#This Row],[Aluminio Util]])*0.9</f>
        <v>18.784349999999989</v>
      </c>
      <c r="T1094" s="37">
        <f>Tabela3[[#This Row],[Aluminio Bruto]]/OleoKGAluminio</f>
        <v>19.395682838747206</v>
      </c>
      <c r="U1094" s="35">
        <f>IFERROR((VLOOKUP(Tabela3[[#This Row],[Moldador]],Tabela1[],5,)+(VLOOKUP(Tabela3[[#This Row],[Ajudante]],Tabela1[],5,))*3.5),0)</f>
        <v>99.95034583333333</v>
      </c>
      <c r="V1094" s="35">
        <f>IFERROR(Tabela3[[#This Row],[Custo M.O. / H]]/((Tabela3[[#This Row],[Realizado]]/Tabela3[[#This Row],[Qdt Peça Placa]])/Tabela3[[#This Row],[Tempo]]/24),)</f>
        <v>10.345737551169591</v>
      </c>
      <c r="W1094" s="35">
        <f>Tabela3[[#This Row],[Custo / Cx Moldada]]*Tabela3[[#This Row],[Qtde Cx Produzida]]</f>
        <v>196.56901347222225</v>
      </c>
      <c r="X1094" s="35">
        <f ca="1">Tabela3[[#This Row],[Aluminio Util]]*Tabela3[[#This Row],[Custo/Kg]]</f>
        <v>393.61920000000009</v>
      </c>
      <c r="Y1094" s="35">
        <f>IFERROR(VLOOKUP(Tabela3[[#This Row],[Data]],Tabela461213[],2,1)*(Tabela3[[#This Row],[Qtde Cx Produzida]]*Tabela3[[#This Row],[Qde macho / CX]]*Tabela3[[#This Row],[Peso Macho]]),)</f>
        <v>0</v>
      </c>
      <c r="Z1094" s="35">
        <f>IFERROR(Tabela3[[#This Row],[Qtde Oleo]]*(VLOOKUP(Tabela3[[#This Row],[Data]],CompraOleo[],3,TRUE))*1.05,0)</f>
        <v>50.913667451711419</v>
      </c>
      <c r="AA1094" s="47">
        <f ca="1">(Tabela3[[#This Row],[Custo Oleo]]+Tabela3[[#This Row],[Custo Aluminio]]+Tabela3[[#This Row],[Custo M.O. Total]]+Tabela3[[#This Row],[Custo Machos]])</f>
        <v>641.10188092393378</v>
      </c>
      <c r="AB1094" s="47">
        <f ca="1">Tabela3[[#This Row],[Custo Total]]*Tabela3[[#This Row],[% Perda]]</f>
        <v>0</v>
      </c>
      <c r="AC1094" s="40">
        <f>IFERROR(VLOOKUP(Tabela3[[#This Row],[Produto]],Tabela2[],2,0),0)</f>
        <v>4</v>
      </c>
      <c r="AD1094" s="48">
        <f>IFERROR(VLOOKUP(Tabela3[[#This Row],[Produto]],Tabela2[],3,0),0)</f>
        <v>0.33200000000000002</v>
      </c>
      <c r="AE1094" s="48">
        <f>IFERROR(VLOOKUP(Tabela3[[#This Row],[Produto]],Tabela2[],4,0),0)</f>
        <v>2.2999999999999998</v>
      </c>
      <c r="AF1094" s="48">
        <f>IFERROR(VLOOKUP(Tabela3[[#This Row],[Produto]],Tabela2[],5,0),0)</f>
        <v>0.8747999999999998</v>
      </c>
      <c r="AG1094" s="48">
        <f>IFERROR(VLOOKUP(Tabela3[[#This Row],[Produto]],Tabela2[],6,0),0)</f>
        <v>0</v>
      </c>
      <c r="AH1094" s="40">
        <f>IFERROR(VLOOKUP(Tabela3[[#This Row],[Produto]],Tabela2[],7,0),0)</f>
        <v>0</v>
      </c>
      <c r="AI1094" s="40">
        <f>IFERROR(VLOOKUP(Tabela3[[#This Row],[Produto]],Tabela2[],8,0),0)</f>
        <v>0</v>
      </c>
      <c r="AJ1094" s="35">
        <f ca="1">IFERROR(VLOOKUP(Tabela3[[#This Row],[Produto]],Tabela2[],13,0),0)</f>
        <v>15.600000000000001</v>
      </c>
      <c r="AK1094" s="48" t="str">
        <f>IFERROR(VLOOKUP(Tabela3[[#This Row],[Produto]],Tabela2[],14,0),0)</f>
        <v>Senun</v>
      </c>
      <c r="AL1094" s="40">
        <f>IFERROR(VLOOKUP(Tabela3[[#This Row],[Produto]],Tabela2[],15,0),0)</f>
        <v>3.5</v>
      </c>
      <c r="AM1094" s="36">
        <f ca="1">(Tabela3[[#This Row],[Custo Usinagem]]+Tabela3[[#This Row],[Custo / Pç]])*1.2</f>
        <v>14.322661277746324</v>
      </c>
      <c r="AN1094" s="36">
        <f ca="1">Tabela3[[#This Row],[Valor Mínimo Venda]]*1.15</f>
        <v>16.471060469408272</v>
      </c>
      <c r="AO1094" s="36">
        <f ca="1">Tabela3[[#This Row],[Tabela 1]]*1.08</f>
        <v>17.788745306960934</v>
      </c>
      <c r="AP1094" s="36">
        <f ca="1">Tabela3[[#This Row],[Tabela 2]]*1.15</f>
        <v>20.457057103005074</v>
      </c>
    </row>
    <row r="1095" spans="1:42">
      <c r="A1095" s="9">
        <v>46121</v>
      </c>
      <c r="B1095" s="9" t="s">
        <v>245</v>
      </c>
      <c r="C1095" s="14">
        <v>9327</v>
      </c>
      <c r="D1095" s="6" t="s">
        <v>46</v>
      </c>
      <c r="E1095" s="6" t="s">
        <v>44</v>
      </c>
      <c r="F1095" s="6">
        <v>44</v>
      </c>
      <c r="G1095" s="15">
        <v>0.2048611111111111</v>
      </c>
      <c r="H1095" s="16">
        <v>0</v>
      </c>
      <c r="I1095" s="35">
        <f ca="1">IFERROR(Tabela3[[#This Row],[Custo Total]]/Tabela3[[#This Row],[Aluminio Util]],0)</f>
        <v>28.227840227124382</v>
      </c>
      <c r="J1095" s="35">
        <f ca="1">Tabela3[[#This Row],[Custo Total]]/Tabela3[[#This Row],[Realizado]]</f>
        <v>9.371642955405294</v>
      </c>
      <c r="K1095" s="37">
        <f>IFERROR(Tabela3[[#This Row],[Qtde Cx Produzida]]/Tabela3[[#This Row],[Tempo]]/24,0)</f>
        <v>8.9491525423728806</v>
      </c>
      <c r="L1095" s="37">
        <f>Tabela3[[#This Row],[Qtde Cx Produzida]]*Tabela3[[#This Row],[Qdt Peça Placa]]</f>
        <v>176</v>
      </c>
      <c r="M1095" s="37">
        <f>Tabela3[[#This Row],[Previsto]]-Tabela3[[#This Row],[Perda Pçs]]</f>
        <v>176</v>
      </c>
      <c r="N1095" s="38">
        <f>IFERROR(Tabela3[[#This Row],[Perda Pçs]]/Tabela3[[#This Row],[Previsto]],0)</f>
        <v>0</v>
      </c>
      <c r="O1095" s="39">
        <f>IFERROR(IF(Tabela3[[#This Row],[Qtde Cx Produzida]] &lt;&gt; 0, Tabela3[[#This Row],[Tempo]] / Tabela3[[#This Row],[Qtde Cx Produzida]], 0),0)</f>
        <v>4.6559343434343431E-3</v>
      </c>
      <c r="P1095" s="57">
        <f>IFERROR(Tabela3[[#This Row],[Perda Pçs]]/Tabela3[[#This Row],[Qdt Peça Placa]],0)</f>
        <v>0</v>
      </c>
      <c r="Q1095" s="37">
        <f>IFERROR(Tabela3[[#This Row],[Realizado]]*Tabela3[[#This Row],[Peso Util/Pç]],0)</f>
        <v>58.432000000000002</v>
      </c>
      <c r="R1095" s="37">
        <f>IFERROR(Tabela3[[#This Row],[Peso Total Galho]]*Tabela3[[#This Row],[Qtde Cx Produzida]]*1.055,0)</f>
        <v>106.76599999999998</v>
      </c>
      <c r="S1095" s="37">
        <f>(Tabela3[[#This Row],[Aluminio Bruto]]-Tabela3[[#This Row],[Aluminio Util]])*0.9</f>
        <v>43.500599999999977</v>
      </c>
      <c r="T1095" s="37">
        <f>Tabela3[[#This Row],[Aluminio Bruto]]/OleoKGAluminio</f>
        <v>44.916318152888266</v>
      </c>
      <c r="U1095" s="35">
        <f>IFERROR((VLOOKUP(Tabela3[[#This Row],[Moldador]],Tabela1[],5,)+(VLOOKUP(Tabela3[[#This Row],[Ajudante]],Tabela1[],5,))*3.5),0)</f>
        <v>126.0945</v>
      </c>
      <c r="V1095" s="35">
        <f>IFERROR(Tabela3[[#This Row],[Custo M.O. / H]]/((Tabela3[[#This Row],[Realizado]]/Tabela3[[#This Row],[Qdt Peça Placa]])/Tabela3[[#This Row],[Tempo]]/24),)</f>
        <v>14.090105113636364</v>
      </c>
      <c r="W1095" s="35">
        <f>Tabela3[[#This Row],[Custo / Cx Moldada]]*Tabela3[[#This Row],[Qtde Cx Produzida]]</f>
        <v>619.96462499999996</v>
      </c>
      <c r="X1095" s="35">
        <f ca="1">Tabela3[[#This Row],[Aluminio Util]]*Tabela3[[#This Row],[Custo/Kg]]</f>
        <v>911.53920000000016</v>
      </c>
      <c r="Y1095" s="35">
        <f>IFERROR(VLOOKUP(Tabela3[[#This Row],[Data]],Tabela461213[],2,1)*(Tabela3[[#This Row],[Qtde Cx Produzida]]*Tabela3[[#This Row],[Qde macho / CX]]*Tabela3[[#This Row],[Peso Macho]]),)</f>
        <v>0</v>
      </c>
      <c r="Z1095" s="35">
        <f>IFERROR(Tabela3[[#This Row],[Qtde Oleo]]*(VLOOKUP(Tabela3[[#This Row],[Data]],CompraOleo[],3,TRUE))*1.05,0)</f>
        <v>117.9053351513317</v>
      </c>
      <c r="AA1095" s="47">
        <f ca="1">(Tabela3[[#This Row],[Custo Oleo]]+Tabela3[[#This Row],[Custo Aluminio]]+Tabela3[[#This Row],[Custo M.O. Total]]+Tabela3[[#This Row],[Custo Machos]])</f>
        <v>1649.4091601513319</v>
      </c>
      <c r="AB1095" s="47">
        <f ca="1">Tabela3[[#This Row],[Custo Total]]*Tabela3[[#This Row],[% Perda]]</f>
        <v>0</v>
      </c>
      <c r="AC1095" s="40">
        <f>IFERROR(VLOOKUP(Tabela3[[#This Row],[Produto]],Tabela2[],2,0),0)</f>
        <v>4</v>
      </c>
      <c r="AD1095" s="48">
        <f>IFERROR(VLOOKUP(Tabela3[[#This Row],[Produto]],Tabela2[],3,0),0)</f>
        <v>0.33200000000000002</v>
      </c>
      <c r="AE1095" s="48">
        <f>IFERROR(VLOOKUP(Tabela3[[#This Row],[Produto]],Tabela2[],4,0),0)</f>
        <v>2.2999999999999998</v>
      </c>
      <c r="AF1095" s="48">
        <f>IFERROR(VLOOKUP(Tabela3[[#This Row],[Produto]],Tabela2[],5,0),0)</f>
        <v>0.8747999999999998</v>
      </c>
      <c r="AG1095" s="48">
        <f>IFERROR(VLOOKUP(Tabela3[[#This Row],[Produto]],Tabela2[],6,0),0)</f>
        <v>0</v>
      </c>
      <c r="AH1095" s="40">
        <f>IFERROR(VLOOKUP(Tabela3[[#This Row],[Produto]],Tabela2[],7,0),0)</f>
        <v>0</v>
      </c>
      <c r="AI1095" s="40">
        <f>IFERROR(VLOOKUP(Tabela3[[#This Row],[Produto]],Tabela2[],8,0),0)</f>
        <v>0</v>
      </c>
      <c r="AJ1095" s="35">
        <f ca="1">IFERROR(VLOOKUP(Tabela3[[#This Row],[Produto]],Tabela2[],13,0),0)</f>
        <v>15.600000000000001</v>
      </c>
      <c r="AK1095" s="48" t="str">
        <f>IFERROR(VLOOKUP(Tabela3[[#This Row],[Produto]],Tabela2[],14,0),0)</f>
        <v>Senun</v>
      </c>
      <c r="AL1095" s="40">
        <f>IFERROR(VLOOKUP(Tabela3[[#This Row],[Produto]],Tabela2[],15,0),0)</f>
        <v>3.5</v>
      </c>
      <c r="AM1095" s="36">
        <f ca="1">(Tabela3[[#This Row],[Custo Usinagem]]+Tabela3[[#This Row],[Custo / Pç]])*1.2</f>
        <v>15.445971546486351</v>
      </c>
      <c r="AN1095" s="36">
        <f ca="1">Tabela3[[#This Row],[Valor Mínimo Venda]]*1.15</f>
        <v>17.762867278459304</v>
      </c>
      <c r="AO1095" s="36">
        <f ca="1">Tabela3[[#This Row],[Tabela 1]]*1.08</f>
        <v>19.18389666073605</v>
      </c>
      <c r="AP1095" s="36">
        <f ca="1">Tabela3[[#This Row],[Tabela 2]]*1.15</f>
        <v>22.061481159846455</v>
      </c>
    </row>
    <row r="1096" spans="1:42">
      <c r="A1096" s="9">
        <v>46121</v>
      </c>
      <c r="B1096" s="6" t="s">
        <v>241</v>
      </c>
      <c r="C1096" s="14">
        <v>9519</v>
      </c>
      <c r="D1096" s="6" t="s">
        <v>46</v>
      </c>
      <c r="E1096" s="6" t="s">
        <v>44</v>
      </c>
      <c r="F1096" s="6">
        <v>10</v>
      </c>
      <c r="G1096" s="15">
        <v>5.486111111111111E-2</v>
      </c>
      <c r="H1096" s="16">
        <v>0</v>
      </c>
      <c r="I1096" s="35">
        <f ca="1">IFERROR(Tabela3[[#This Row],[Custo Total]]/Tabela3[[#This Row],[Aluminio Util]],0)</f>
        <v>24.437890618081763</v>
      </c>
      <c r="J1096" s="35">
        <f ca="1">Tabela3[[#This Row],[Custo Total]]/Tabela3[[#This Row],[Realizado]]</f>
        <v>14.980426948884121</v>
      </c>
      <c r="K1096" s="37">
        <f>IFERROR(Tabela3[[#This Row],[Qtde Cx Produzida]]/Tabela3[[#This Row],[Tempo]]/24,0)</f>
        <v>7.59493670886076</v>
      </c>
      <c r="L1096" s="37">
        <f>Tabela3[[#This Row],[Qtde Cx Produzida]]*Tabela3[[#This Row],[Qdt Peça Placa]]</f>
        <v>40</v>
      </c>
      <c r="M1096" s="37">
        <f>Tabela3[[#This Row],[Previsto]]-Tabela3[[#This Row],[Perda Pçs]]</f>
        <v>40</v>
      </c>
      <c r="N1096" s="38">
        <f>IFERROR(Tabela3[[#This Row],[Perda Pçs]]/Tabela3[[#This Row],[Previsto]],0)</f>
        <v>0</v>
      </c>
      <c r="O1096" s="39">
        <f>IFERROR(IF(Tabela3[[#This Row],[Qtde Cx Produzida]] &lt;&gt; 0, Tabela3[[#This Row],[Tempo]] / Tabela3[[#This Row],[Qtde Cx Produzida]], 0),0)</f>
        <v>5.4861111111111109E-3</v>
      </c>
      <c r="P1096" s="57">
        <f>IFERROR(Tabela3[[#This Row],[Perda Pçs]]/Tabela3[[#This Row],[Qdt Peça Placa]],0)</f>
        <v>0</v>
      </c>
      <c r="Q1096" s="37">
        <f>IFERROR(Tabela3[[#This Row],[Realizado]]*Tabela3[[#This Row],[Peso Util/Pç]],0)</f>
        <v>24.52</v>
      </c>
      <c r="R1096" s="37">
        <f>IFERROR(Tabela3[[#This Row],[Peso Total Galho]]*Tabela3[[#This Row],[Qtde Cx Produzida]]*1.055,0)</f>
        <v>45.892499999999998</v>
      </c>
      <c r="S1096" s="37">
        <f>(Tabela3[[#This Row],[Aluminio Bruto]]-Tabela3[[#This Row],[Aluminio Util]])*0.9</f>
        <v>19.235250000000001</v>
      </c>
      <c r="T1096" s="37">
        <f>Tabela3[[#This Row],[Aluminio Bruto]]/OleoKGAluminio</f>
        <v>19.306915411567587</v>
      </c>
      <c r="U1096" s="35">
        <f>IFERROR((VLOOKUP(Tabela3[[#This Row],[Moldador]],Tabela1[],5,)+(VLOOKUP(Tabela3[[#This Row],[Ajudante]],Tabela1[],5,))*3.5),0)</f>
        <v>126.0945</v>
      </c>
      <c r="V1096" s="35">
        <f>IFERROR(Tabela3[[#This Row],[Custo M.O. / H]]/((Tabela3[[#This Row],[Realizado]]/Tabela3[[#This Row],[Qdt Peça Placa]])/Tabela3[[#This Row],[Tempo]]/24),)</f>
        <v>16.602442499999999</v>
      </c>
      <c r="W1096" s="35">
        <f>Tabela3[[#This Row],[Custo / Cx Moldada]]*Tabela3[[#This Row],[Qtde Cx Produzida]]</f>
        <v>166.02442499999998</v>
      </c>
      <c r="X1096" s="35">
        <f ca="1">Tabela3[[#This Row],[Aluminio Util]]*Tabela3[[#This Row],[Custo/Kg]]</f>
        <v>382.512</v>
      </c>
      <c r="Y1096" s="35">
        <f>IFERROR(VLOOKUP(Tabela3[[#This Row],[Data]],Tabela461213[],2,1)*(Tabela3[[#This Row],[Qtde Cx Produzida]]*Tabela3[[#This Row],[Qde macho / CX]]*Tabela3[[#This Row],[Peso Macho]]),)</f>
        <v>0</v>
      </c>
      <c r="Z1096" s="35">
        <f>IFERROR(Tabela3[[#This Row],[Qtde Oleo]]*(VLOOKUP(Tabela3[[#This Row],[Data]],CompraOleo[],3,TRUE))*1.05,0)</f>
        <v>50.68065295536492</v>
      </c>
      <c r="AA1096" s="47">
        <f ca="1">(Tabela3[[#This Row],[Custo Oleo]]+Tabela3[[#This Row],[Custo Aluminio]]+Tabela3[[#This Row],[Custo M.O. Total]]+Tabela3[[#This Row],[Custo Machos]])</f>
        <v>599.21707795536486</v>
      </c>
      <c r="AB1096" s="47">
        <f ca="1">Tabela3[[#This Row],[Custo Total]]*Tabela3[[#This Row],[% Perda]]</f>
        <v>0</v>
      </c>
      <c r="AC1096" s="40">
        <f>IFERROR(VLOOKUP(Tabela3[[#This Row],[Produto]],Tabela2[],2,0),0)</f>
        <v>4</v>
      </c>
      <c r="AD1096" s="48">
        <f>IFERROR(VLOOKUP(Tabela3[[#This Row],[Produto]],Tabela2[],3,0),0)</f>
        <v>0.61299999999999999</v>
      </c>
      <c r="AE1096" s="48">
        <f>IFERROR(VLOOKUP(Tabela3[[#This Row],[Produto]],Tabela2[],4,0),0)</f>
        <v>4.3499999999999996</v>
      </c>
      <c r="AF1096" s="48">
        <f>IFERROR(VLOOKUP(Tabela3[[#This Row],[Produto]],Tabela2[],5,0),0)</f>
        <v>1.7081999999999997</v>
      </c>
      <c r="AG1096" s="48">
        <f>IFERROR(VLOOKUP(Tabela3[[#This Row],[Produto]],Tabela2[],6,0),0)</f>
        <v>0</v>
      </c>
      <c r="AH1096" s="40">
        <f>IFERROR(VLOOKUP(Tabela3[[#This Row],[Produto]],Tabela2[],7,0),0)</f>
        <v>0</v>
      </c>
      <c r="AI1096" s="40">
        <f>IFERROR(VLOOKUP(Tabela3[[#This Row],[Produto]],Tabela2[],8,0),0)</f>
        <v>0</v>
      </c>
      <c r="AJ1096" s="35">
        <f ca="1">IFERROR(VLOOKUP(Tabela3[[#This Row],[Produto]],Tabela2[],13,0),0)</f>
        <v>15.600000000000001</v>
      </c>
      <c r="AK1096" s="48" t="str">
        <f>IFERROR(VLOOKUP(Tabela3[[#This Row],[Produto]],Tabela2[],14,0),0)</f>
        <v>Senun</v>
      </c>
      <c r="AL1096" s="40">
        <f>IFERROR(VLOOKUP(Tabela3[[#This Row],[Produto]],Tabela2[],15,0),0)</f>
        <v>4</v>
      </c>
      <c r="AM1096" s="36">
        <f ca="1">(Tabela3[[#This Row],[Custo Usinagem]]+Tabela3[[#This Row],[Custo / Pç]])*1.2</f>
        <v>22.776512338660947</v>
      </c>
      <c r="AN1096" s="36">
        <f ca="1">Tabela3[[#This Row],[Valor Mínimo Venda]]*1.15</f>
        <v>26.192989189460086</v>
      </c>
      <c r="AO1096" s="36">
        <f ca="1">Tabela3[[#This Row],[Tabela 1]]*1.08</f>
        <v>28.288428324616895</v>
      </c>
      <c r="AP1096" s="36">
        <f ca="1">Tabela3[[#This Row],[Tabela 2]]*1.15</f>
        <v>32.531692573309428</v>
      </c>
    </row>
    <row r="1097" spans="1:42">
      <c r="A1097" s="9">
        <v>46121</v>
      </c>
      <c r="B1097" s="9" t="s">
        <v>236</v>
      </c>
      <c r="C1097" s="14">
        <v>9539</v>
      </c>
      <c r="D1097" s="6" t="s">
        <v>46</v>
      </c>
      <c r="E1097" s="6" t="s">
        <v>44</v>
      </c>
      <c r="F1097" s="6">
        <v>16</v>
      </c>
      <c r="G1097" s="15">
        <v>8.8888888888888892E-2</v>
      </c>
      <c r="H1097" s="16">
        <v>0</v>
      </c>
      <c r="I1097" s="35">
        <f ca="1">IFERROR(Tabela3[[#This Row],[Custo Total]]/Tabela3[[#This Row],[Aluminio Util]],0)</f>
        <v>26.262161137245254</v>
      </c>
      <c r="J1097" s="35">
        <f ca="1">Tabela3[[#This Row],[Custo Total]]/Tabela3[[#This Row],[Realizado]]</f>
        <v>7.9311726634480664</v>
      </c>
      <c r="K1097" s="37">
        <f>IFERROR(Tabela3[[#This Row],[Qtde Cx Produzida]]/Tabela3[[#This Row],[Tempo]]/24,0)</f>
        <v>7.5</v>
      </c>
      <c r="L1097" s="37">
        <f>Tabela3[[#This Row],[Qtde Cx Produzida]]*Tabela3[[#This Row],[Qdt Peça Placa]]</f>
        <v>96</v>
      </c>
      <c r="M1097" s="37">
        <f>Tabela3[[#This Row],[Previsto]]-Tabela3[[#This Row],[Perda Pçs]]</f>
        <v>96</v>
      </c>
      <c r="N1097" s="38">
        <f>IFERROR(Tabela3[[#This Row],[Perda Pçs]]/Tabela3[[#This Row],[Previsto]],0)</f>
        <v>0</v>
      </c>
      <c r="O1097" s="39">
        <f>IFERROR(IF(Tabela3[[#This Row],[Qtde Cx Produzida]] &lt;&gt; 0, Tabela3[[#This Row],[Tempo]] / Tabela3[[#This Row],[Qtde Cx Produzida]], 0),0)</f>
        <v>5.5555555555555558E-3</v>
      </c>
      <c r="P1097" s="57">
        <f>IFERROR(Tabela3[[#This Row],[Perda Pçs]]/Tabela3[[#This Row],[Qdt Peça Placa]],0)</f>
        <v>0</v>
      </c>
      <c r="Q1097" s="37">
        <f>IFERROR(Tabela3[[#This Row],[Realizado]]*Tabela3[[#This Row],[Peso Util/Pç]],0)</f>
        <v>28.991999999999997</v>
      </c>
      <c r="R1097" s="37">
        <f>IFERROR(Tabela3[[#This Row],[Peso Total Galho]]*Tabela3[[#This Row],[Qtde Cx Produzida]]*1.055,0)</f>
        <v>36.325760000000002</v>
      </c>
      <c r="S1097" s="37">
        <f>(Tabela3[[#This Row],[Aluminio Bruto]]-Tabela3[[#This Row],[Aluminio Util]])*0.9</f>
        <v>6.6003840000000045</v>
      </c>
      <c r="T1097" s="37">
        <f>Tabela3[[#This Row],[Aluminio Bruto]]/OleoKGAluminio</f>
        <v>15.282200263243569</v>
      </c>
      <c r="U1097" s="35">
        <f>IFERROR((VLOOKUP(Tabela3[[#This Row],[Moldador]],Tabela1[],5,)+(VLOOKUP(Tabela3[[#This Row],[Ajudante]],Tabela1[],5,))*3.5),0)</f>
        <v>126.0945</v>
      </c>
      <c r="V1097" s="35">
        <f>IFERROR(Tabela3[[#This Row],[Custo M.O. / H]]/((Tabela3[[#This Row],[Realizado]]/Tabela3[[#This Row],[Qdt Peça Placa]])/Tabela3[[#This Row],[Tempo]]/24),)</f>
        <v>16.8126</v>
      </c>
      <c r="W1097" s="35">
        <f>Tabela3[[#This Row],[Custo / Cx Moldada]]*Tabela3[[#This Row],[Qtde Cx Produzida]]</f>
        <v>269.0016</v>
      </c>
      <c r="X1097" s="35">
        <f ca="1">Tabela3[[#This Row],[Aluminio Util]]*Tabela3[[#This Row],[Custo/Kg]]</f>
        <v>452.27519999999998</v>
      </c>
      <c r="Y1097" s="35">
        <f>IFERROR(VLOOKUP(Tabela3[[#This Row],[Data]],Tabela461213[],2,1)*(Tabela3[[#This Row],[Qtde Cx Produzida]]*Tabela3[[#This Row],[Qde macho / CX]]*Tabela3[[#This Row],[Peso Macho]]),)</f>
        <v>0</v>
      </c>
      <c r="Z1097" s="35">
        <f>IFERROR(Tabela3[[#This Row],[Qtde Oleo]]*(VLOOKUP(Tabela3[[#This Row],[Data]],CompraOleo[],3,TRUE))*1.05,0)</f>
        <v>40.11577569101437</v>
      </c>
      <c r="AA1097" s="47">
        <f ca="1">(Tabela3[[#This Row],[Custo Oleo]]+Tabela3[[#This Row],[Custo Aluminio]]+Tabela3[[#This Row],[Custo M.O. Total]]+Tabela3[[#This Row],[Custo Machos]])</f>
        <v>761.39257569101437</v>
      </c>
      <c r="AB1097" s="47">
        <f ca="1">Tabela3[[#This Row],[Custo Total]]*Tabela3[[#This Row],[% Perda]]</f>
        <v>0</v>
      </c>
      <c r="AC1097" s="40">
        <f>IFERROR(VLOOKUP(Tabela3[[#This Row],[Produto]],Tabela2[],2,0),0)</f>
        <v>6</v>
      </c>
      <c r="AD1097" s="48">
        <f>IFERROR(VLOOKUP(Tabela3[[#This Row],[Produto]],Tabela2[],3,0),0)</f>
        <v>0.30199999999999999</v>
      </c>
      <c r="AE1097" s="48">
        <f>IFERROR(VLOOKUP(Tabela3[[#This Row],[Produto]],Tabela2[],4,0),0)</f>
        <v>2.1520000000000001</v>
      </c>
      <c r="AF1097" s="48">
        <f>IFERROR(VLOOKUP(Tabela3[[#This Row],[Produto]],Tabela2[],5,0),0)</f>
        <v>0.30600000000000027</v>
      </c>
      <c r="AG1097" s="48">
        <f>IFERROR(VLOOKUP(Tabela3[[#This Row],[Produto]],Tabela2[],6,0),0)</f>
        <v>0</v>
      </c>
      <c r="AH1097" s="40">
        <f>IFERROR(VLOOKUP(Tabela3[[#This Row],[Produto]],Tabela2[],7,0),0)</f>
        <v>0</v>
      </c>
      <c r="AI1097" s="40">
        <f>IFERROR(VLOOKUP(Tabela3[[#This Row],[Produto]],Tabela2[],8,0),0)</f>
        <v>0</v>
      </c>
      <c r="AJ1097" s="35">
        <f ca="1">IFERROR(VLOOKUP(Tabela3[[#This Row],[Produto]],Tabela2[],13,0),0)</f>
        <v>15.600000000000001</v>
      </c>
      <c r="AK1097" s="48" t="str">
        <f>IFERROR(VLOOKUP(Tabela3[[#This Row],[Produto]],Tabela2[],14,0),0)</f>
        <v>Senun</v>
      </c>
      <c r="AL1097" s="40">
        <f>IFERROR(VLOOKUP(Tabela3[[#This Row],[Produto]],Tabela2[],15,0),0)</f>
        <v>4</v>
      </c>
      <c r="AM1097" s="36">
        <f ca="1">(Tabela3[[#This Row],[Custo Usinagem]]+Tabela3[[#This Row],[Custo / Pç]])*1.2</f>
        <v>14.31740719613768</v>
      </c>
      <c r="AN1097" s="36">
        <f ca="1">Tabela3[[#This Row],[Valor Mínimo Venda]]*1.15</f>
        <v>16.465018275558329</v>
      </c>
      <c r="AO1097" s="36">
        <f ca="1">Tabela3[[#This Row],[Tabela 1]]*1.08</f>
        <v>17.782219737602997</v>
      </c>
      <c r="AP1097" s="36">
        <f ca="1">Tabela3[[#This Row],[Tabela 2]]*1.15</f>
        <v>20.449552698243444</v>
      </c>
    </row>
    <row r="1098" spans="1:42">
      <c r="A1098" s="9">
        <v>46121</v>
      </c>
      <c r="B1098" s="9" t="s">
        <v>236</v>
      </c>
      <c r="C1098" s="14">
        <v>9539</v>
      </c>
      <c r="D1098" s="6" t="s">
        <v>44</v>
      </c>
      <c r="E1098" s="6" t="s">
        <v>54</v>
      </c>
      <c r="F1098" s="6">
        <v>4</v>
      </c>
      <c r="G1098" s="15">
        <v>2.0833333333333332E-2</v>
      </c>
      <c r="H1098" s="16">
        <v>0</v>
      </c>
      <c r="I1098" s="35">
        <f ca="1">IFERROR(Tabela3[[#This Row],[Custo Total]]/Tabela3[[#This Row],[Aluminio Util]],0)</f>
        <v>25.682256335920751</v>
      </c>
      <c r="J1098" s="35">
        <f ca="1">Tabela3[[#This Row],[Custo Total]]/Tabela3[[#This Row],[Realizado]]</f>
        <v>7.7560414134480666</v>
      </c>
      <c r="K1098" s="37">
        <f>IFERROR(Tabela3[[#This Row],[Qtde Cx Produzida]]/Tabela3[[#This Row],[Tempo]]/24,0)</f>
        <v>8</v>
      </c>
      <c r="L1098" s="37">
        <f>Tabela3[[#This Row],[Qtde Cx Produzida]]*Tabela3[[#This Row],[Qdt Peça Placa]]</f>
        <v>24</v>
      </c>
      <c r="M1098" s="37">
        <f>Tabela3[[#This Row],[Previsto]]-Tabela3[[#This Row],[Perda Pçs]]</f>
        <v>24</v>
      </c>
      <c r="N1098" s="38">
        <f>IFERROR(Tabela3[[#This Row],[Perda Pçs]]/Tabela3[[#This Row],[Previsto]],0)</f>
        <v>0</v>
      </c>
      <c r="O1098" s="39">
        <f>IFERROR(IF(Tabela3[[#This Row],[Qtde Cx Produzida]] &lt;&gt; 0, Tabela3[[#This Row],[Tempo]] / Tabela3[[#This Row],[Qtde Cx Produzida]], 0),0)</f>
        <v>5.208333333333333E-3</v>
      </c>
      <c r="P1098" s="57">
        <f>IFERROR(Tabela3[[#This Row],[Perda Pçs]]/Tabela3[[#This Row],[Qdt Peça Placa]],0)</f>
        <v>0</v>
      </c>
      <c r="Q1098" s="37">
        <f>IFERROR(Tabela3[[#This Row],[Realizado]]*Tabela3[[#This Row],[Peso Util/Pç]],0)</f>
        <v>7.2479999999999993</v>
      </c>
      <c r="R1098" s="37">
        <f>IFERROR(Tabela3[[#This Row],[Peso Total Galho]]*Tabela3[[#This Row],[Qtde Cx Produzida]]*1.055,0)</f>
        <v>9.0814400000000006</v>
      </c>
      <c r="S1098" s="37">
        <f>(Tabela3[[#This Row],[Aluminio Bruto]]-Tabela3[[#This Row],[Aluminio Util]])*0.9</f>
        <v>1.6500960000000011</v>
      </c>
      <c r="T1098" s="37">
        <f>Tabela3[[#This Row],[Aluminio Bruto]]/OleoKGAluminio</f>
        <v>3.8205500658108922</v>
      </c>
      <c r="U1098" s="35">
        <f>IFERROR((VLOOKUP(Tabela3[[#This Row],[Moldador]],Tabela1[],5,)+(VLOOKUP(Tabela3[[#This Row],[Ajudante]],Tabela1[],5,))*3.5),0)</f>
        <v>126.0945</v>
      </c>
      <c r="V1098" s="35">
        <f>IFERROR(Tabela3[[#This Row],[Custo M.O. / H]]/((Tabela3[[#This Row],[Realizado]]/Tabela3[[#This Row],[Qdt Peça Placa]])/Tabela3[[#This Row],[Tempo]]/24),)</f>
        <v>15.7618125</v>
      </c>
      <c r="W1098" s="35">
        <f>Tabela3[[#This Row],[Custo / Cx Moldada]]*Tabela3[[#This Row],[Qtde Cx Produzida]]</f>
        <v>63.047249999999998</v>
      </c>
      <c r="X1098" s="35">
        <f ca="1">Tabela3[[#This Row],[Aluminio Util]]*Tabela3[[#This Row],[Custo/Kg]]</f>
        <v>113.0688</v>
      </c>
      <c r="Y1098" s="35">
        <f>IFERROR(VLOOKUP(Tabela3[[#This Row],[Data]],Tabela461213[],2,1)*(Tabela3[[#This Row],[Qtde Cx Produzida]]*Tabela3[[#This Row],[Qde macho / CX]]*Tabela3[[#This Row],[Peso Macho]]),)</f>
        <v>0</v>
      </c>
      <c r="Z1098" s="35">
        <f>IFERROR(Tabela3[[#This Row],[Qtde Oleo]]*(VLOOKUP(Tabela3[[#This Row],[Data]],CompraOleo[],3,TRUE))*1.05,0)</f>
        <v>10.028943922753593</v>
      </c>
      <c r="AA1098" s="47">
        <f ca="1">(Tabela3[[#This Row],[Custo Oleo]]+Tabela3[[#This Row],[Custo Aluminio]]+Tabela3[[#This Row],[Custo M.O. Total]]+Tabela3[[#This Row],[Custo Machos]])</f>
        <v>186.1449939227536</v>
      </c>
      <c r="AB1098" s="47">
        <f ca="1">Tabela3[[#This Row],[Custo Total]]*Tabela3[[#This Row],[% Perda]]</f>
        <v>0</v>
      </c>
      <c r="AC1098" s="40">
        <f>IFERROR(VLOOKUP(Tabela3[[#This Row],[Produto]],Tabela2[],2,0),0)</f>
        <v>6</v>
      </c>
      <c r="AD1098" s="48">
        <f>IFERROR(VLOOKUP(Tabela3[[#This Row],[Produto]],Tabela2[],3,0),0)</f>
        <v>0.30199999999999999</v>
      </c>
      <c r="AE1098" s="48">
        <f>IFERROR(VLOOKUP(Tabela3[[#This Row],[Produto]],Tabela2[],4,0),0)</f>
        <v>2.1520000000000001</v>
      </c>
      <c r="AF1098" s="48">
        <f>IFERROR(VLOOKUP(Tabela3[[#This Row],[Produto]],Tabela2[],5,0),0)</f>
        <v>0.30600000000000027</v>
      </c>
      <c r="AG1098" s="48">
        <f>IFERROR(VLOOKUP(Tabela3[[#This Row],[Produto]],Tabela2[],6,0),0)</f>
        <v>0</v>
      </c>
      <c r="AH1098" s="40">
        <f>IFERROR(VLOOKUP(Tabela3[[#This Row],[Produto]],Tabela2[],7,0),0)</f>
        <v>0</v>
      </c>
      <c r="AI1098" s="40">
        <f>IFERROR(VLOOKUP(Tabela3[[#This Row],[Produto]],Tabela2[],8,0),0)</f>
        <v>0</v>
      </c>
      <c r="AJ1098" s="35">
        <f ca="1">IFERROR(VLOOKUP(Tabela3[[#This Row],[Produto]],Tabela2[],13,0),0)</f>
        <v>15.600000000000001</v>
      </c>
      <c r="AK1098" s="48" t="str">
        <f>IFERROR(VLOOKUP(Tabela3[[#This Row],[Produto]],Tabela2[],14,0),0)</f>
        <v>Senun</v>
      </c>
      <c r="AL1098" s="40">
        <f>IFERROR(VLOOKUP(Tabela3[[#This Row],[Produto]],Tabela2[],15,0),0)</f>
        <v>4</v>
      </c>
      <c r="AM1098" s="36">
        <f ca="1">(Tabela3[[#This Row],[Custo Usinagem]]+Tabela3[[#This Row],[Custo / Pç]])*1.2</f>
        <v>14.10724969613768</v>
      </c>
      <c r="AN1098" s="36">
        <f ca="1">Tabela3[[#This Row],[Valor Mínimo Venda]]*1.15</f>
        <v>16.223337150558333</v>
      </c>
      <c r="AO1098" s="36">
        <f ca="1">Tabela3[[#This Row],[Tabela 1]]*1.08</f>
        <v>17.521204122602999</v>
      </c>
      <c r="AP1098" s="36">
        <f ca="1">Tabela3[[#This Row],[Tabela 2]]*1.15</f>
        <v>20.149384740993447</v>
      </c>
    </row>
    <row r="1099" spans="1:42">
      <c r="A1099" s="9">
        <v>46121</v>
      </c>
      <c r="B1099" s="9" t="s">
        <v>247</v>
      </c>
      <c r="C1099" s="14">
        <v>9368</v>
      </c>
      <c r="D1099" s="6" t="s">
        <v>44</v>
      </c>
      <c r="E1099" s="6" t="s">
        <v>54</v>
      </c>
      <c r="F1099" s="6">
        <v>12</v>
      </c>
      <c r="G1099" s="15">
        <v>5.2083333333333336E-2</v>
      </c>
      <c r="H1099" s="16">
        <v>0</v>
      </c>
      <c r="I1099" s="35">
        <f ca="1">IFERROR(Tabela3[[#This Row],[Custo Total]]/Tabela3[[#This Row],[Aluminio Util]],0)</f>
        <v>28.778758714987347</v>
      </c>
      <c r="J1099" s="35">
        <f ca="1">Tabela3[[#This Row],[Custo Total]]/Tabela3[[#This Row],[Realizado]]</f>
        <v>8.6336276144962039</v>
      </c>
      <c r="K1099" s="37">
        <f>IFERROR(Tabela3[[#This Row],[Qtde Cx Produzida]]/Tabela3[[#This Row],[Tempo]]/24,0)</f>
        <v>9.6</v>
      </c>
      <c r="L1099" s="37">
        <f>Tabela3[[#This Row],[Qtde Cx Produzida]]*Tabela3[[#This Row],[Qdt Peça Placa]]</f>
        <v>48</v>
      </c>
      <c r="M1099" s="37">
        <f>Tabela3[[#This Row],[Previsto]]-Tabela3[[#This Row],[Perda Pçs]]</f>
        <v>48</v>
      </c>
      <c r="N1099" s="38">
        <f>IFERROR(Tabela3[[#This Row],[Perda Pçs]]/Tabela3[[#This Row],[Previsto]],0)</f>
        <v>0</v>
      </c>
      <c r="O1099" s="39">
        <f>IFERROR(IF(Tabela3[[#This Row],[Qtde Cx Produzida]] &lt;&gt; 0, Tabela3[[#This Row],[Tempo]] / Tabela3[[#This Row],[Qtde Cx Produzida]], 0),0)</f>
        <v>4.340277777777778E-3</v>
      </c>
      <c r="P1099" s="57">
        <f>IFERROR(Tabela3[[#This Row],[Perda Pçs]]/Tabela3[[#This Row],[Qdt Peça Placa]],0)</f>
        <v>0</v>
      </c>
      <c r="Q1099" s="37">
        <f>IFERROR(Tabela3[[#This Row],[Realizado]]*Tabela3[[#This Row],[Peso Util/Pç]],0)</f>
        <v>14.399999999999999</v>
      </c>
      <c r="R1099" s="37">
        <f>IFERROR(Tabela3[[#This Row],[Peso Total Galho]]*Tabela3[[#This Row],[Qtde Cx Produzida]]*1.055,0)</f>
        <v>29.117999999999995</v>
      </c>
      <c r="S1099" s="37">
        <f>(Tabela3[[#This Row],[Aluminio Bruto]]-Tabela3[[#This Row],[Aluminio Util]])*0.9</f>
        <v>13.246199999999996</v>
      </c>
      <c r="T1099" s="37">
        <f>Tabela3[[#This Row],[Aluminio Bruto]]/OleoKGAluminio</f>
        <v>12.249904950787709</v>
      </c>
      <c r="U1099" s="35">
        <f>IFERROR((VLOOKUP(Tabela3[[#This Row],[Moldador]],Tabela1[],5,)+(VLOOKUP(Tabela3[[#This Row],[Ajudante]],Tabela1[],5,))*3.5),0)</f>
        <v>126.0945</v>
      </c>
      <c r="V1099" s="35">
        <f>IFERROR(Tabela3[[#This Row],[Custo M.O. / H]]/((Tabela3[[#This Row],[Realizado]]/Tabela3[[#This Row],[Qdt Peça Placa]])/Tabela3[[#This Row],[Tempo]]/24),)</f>
        <v>13.13484375</v>
      </c>
      <c r="W1099" s="35">
        <f>Tabela3[[#This Row],[Custo / Cx Moldada]]*Tabela3[[#This Row],[Qtde Cx Produzida]]</f>
        <v>157.61812499999999</v>
      </c>
      <c r="X1099" s="35">
        <f ca="1">Tabela3[[#This Row],[Aluminio Util]]*Tabela3[[#This Row],[Custo/Kg]]</f>
        <v>224.64</v>
      </c>
      <c r="Y1099" s="35">
        <f>IFERROR(VLOOKUP(Tabela3[[#This Row],[Data]],Tabela461213[],2,1)*(Tabela3[[#This Row],[Qtde Cx Produzida]]*Tabela3[[#This Row],[Qde macho / CX]]*Tabela3[[#This Row],[Peso Macho]]),)</f>
        <v>0</v>
      </c>
      <c r="Z1099" s="35">
        <f>IFERROR(Tabela3[[#This Row],[Qtde Oleo]]*(VLOOKUP(Tabela3[[#This Row],[Data]],CompraOleo[],3,TRUE))*1.05,0)</f>
        <v>32.156000495817736</v>
      </c>
      <c r="AA1099" s="47">
        <f ca="1">(Tabela3[[#This Row],[Custo Oleo]]+Tabela3[[#This Row],[Custo Aluminio]]+Tabela3[[#This Row],[Custo M.O. Total]]+Tabela3[[#This Row],[Custo Machos]])</f>
        <v>414.41412549581776</v>
      </c>
      <c r="AB1099" s="47">
        <f ca="1">Tabela3[[#This Row],[Custo Total]]*Tabela3[[#This Row],[% Perda]]</f>
        <v>0</v>
      </c>
      <c r="AC1099" s="40">
        <f>IFERROR(VLOOKUP(Tabela3[[#This Row],[Produto]],Tabela2[],2,0),0)</f>
        <v>4</v>
      </c>
      <c r="AD1099" s="48">
        <f>IFERROR(VLOOKUP(Tabela3[[#This Row],[Produto]],Tabela2[],3,0),0)</f>
        <v>0.3</v>
      </c>
      <c r="AE1099" s="48">
        <f>IFERROR(VLOOKUP(Tabela3[[#This Row],[Produto]],Tabela2[],4,0),0)</f>
        <v>2.2999999999999998</v>
      </c>
      <c r="AF1099" s="48">
        <f>IFERROR(VLOOKUP(Tabela3[[#This Row],[Produto]],Tabela2[],5,0),0)</f>
        <v>0.98999999999999988</v>
      </c>
      <c r="AG1099" s="48">
        <f>IFERROR(VLOOKUP(Tabela3[[#This Row],[Produto]],Tabela2[],6,0),0)</f>
        <v>0</v>
      </c>
      <c r="AH1099" s="40">
        <f>IFERROR(VLOOKUP(Tabela3[[#This Row],[Produto]],Tabela2[],7,0),0)</f>
        <v>0</v>
      </c>
      <c r="AI1099" s="40">
        <f>IFERROR(VLOOKUP(Tabela3[[#This Row],[Produto]],Tabela2[],8,0),0)</f>
        <v>0</v>
      </c>
      <c r="AJ1099" s="35">
        <f ca="1">IFERROR(VLOOKUP(Tabela3[[#This Row],[Produto]],Tabela2[],13,0),0)</f>
        <v>15.600000000000001</v>
      </c>
      <c r="AK1099" s="48" t="str">
        <f>IFERROR(VLOOKUP(Tabela3[[#This Row],[Produto]],Tabela2[],14,0),0)</f>
        <v>Senun</v>
      </c>
      <c r="AL1099" s="40">
        <f>IFERROR(VLOOKUP(Tabela3[[#This Row],[Produto]],Tabela2[],15,0),0)</f>
        <v>3.5</v>
      </c>
      <c r="AM1099" s="36">
        <f ca="1">(Tabela3[[#This Row],[Custo Usinagem]]+Tabela3[[#This Row],[Custo / Pç]])*1.2</f>
        <v>14.560353137395444</v>
      </c>
      <c r="AN1099" s="36">
        <f ca="1">Tabela3[[#This Row],[Valor Mínimo Venda]]*1.15</f>
        <v>16.74440610800476</v>
      </c>
      <c r="AO1099" s="36">
        <f ca="1">Tabela3[[#This Row],[Tabela 1]]*1.08</f>
        <v>18.083958596645143</v>
      </c>
      <c r="AP1099" s="36">
        <f ca="1">Tabela3[[#This Row],[Tabela 2]]*1.15</f>
        <v>20.796552386141911</v>
      </c>
    </row>
    <row r="1100" spans="1:42">
      <c r="A1100" s="9">
        <v>46122</v>
      </c>
      <c r="B1100" s="9" t="s">
        <v>247</v>
      </c>
      <c r="C1100" s="14">
        <v>9368</v>
      </c>
      <c r="D1100" s="6" t="s">
        <v>46</v>
      </c>
      <c r="E1100" s="6" t="s">
        <v>44</v>
      </c>
      <c r="F1100" s="6">
        <v>71</v>
      </c>
      <c r="G1100" s="15">
        <v>0.35902777777777778</v>
      </c>
      <c r="H1100" s="16">
        <v>34</v>
      </c>
      <c r="I1100" s="35">
        <f ca="1">IFERROR(Tabela3[[#This Row],[Custo Total]]/Tabela3[[#This Row],[Aluminio Util]],0)</f>
        <v>34.593820702225628</v>
      </c>
      <c r="J1100" s="35">
        <f ca="1">Tabela3[[#This Row],[Custo Total]]/Tabela3[[#This Row],[Realizado]]</f>
        <v>10.378146210667689</v>
      </c>
      <c r="K1100" s="37">
        <f>IFERROR(Tabela3[[#This Row],[Qtde Cx Produzida]]/Tabela3[[#This Row],[Tempo]]/24,0)</f>
        <v>8.2398452611218573</v>
      </c>
      <c r="L1100" s="37">
        <f>Tabela3[[#This Row],[Qtde Cx Produzida]]*Tabela3[[#This Row],[Qdt Peça Placa]]</f>
        <v>284</v>
      </c>
      <c r="M1100" s="37">
        <f>Tabela3[[#This Row],[Previsto]]-Tabela3[[#This Row],[Perda Pçs]]</f>
        <v>250</v>
      </c>
      <c r="N1100" s="38">
        <f>IFERROR(Tabela3[[#This Row],[Perda Pçs]]/Tabela3[[#This Row],[Previsto]],0)</f>
        <v>0.11971830985915492</v>
      </c>
      <c r="O1100" s="39">
        <f>IFERROR(IF(Tabela3[[#This Row],[Qtde Cx Produzida]] &lt;&gt; 0, Tabela3[[#This Row],[Tempo]] / Tabela3[[#This Row],[Qtde Cx Produzida]], 0),0)</f>
        <v>5.0567292644757436E-3</v>
      </c>
      <c r="P1100" s="57">
        <f>IFERROR(Tabela3[[#This Row],[Perda Pçs]]/Tabela3[[#This Row],[Qdt Peça Placa]],0)</f>
        <v>8.5</v>
      </c>
      <c r="Q1100" s="37">
        <f>IFERROR(Tabela3[[#This Row],[Realizado]]*Tabela3[[#This Row],[Peso Util/Pç]],0)</f>
        <v>75</v>
      </c>
      <c r="R1100" s="37">
        <f>IFERROR(Tabela3[[#This Row],[Peso Total Galho]]*Tabela3[[#This Row],[Qtde Cx Produzida]]*1.055,0)</f>
        <v>172.28149999999997</v>
      </c>
      <c r="S1100" s="37">
        <f>(Tabela3[[#This Row],[Aluminio Bruto]]-Tabela3[[#This Row],[Aluminio Util]])*0.9</f>
        <v>87.553349999999966</v>
      </c>
      <c r="T1100" s="37">
        <f>Tabela3[[#This Row],[Aluminio Bruto]]/OleoKGAluminio</f>
        <v>72.478604292160611</v>
      </c>
      <c r="U1100" s="35">
        <f>IFERROR((VLOOKUP(Tabela3[[#This Row],[Moldador]],Tabela1[],5,)+(VLOOKUP(Tabela3[[#This Row],[Ajudante]],Tabela1[],5,))*3.5),0)</f>
        <v>126.0945</v>
      </c>
      <c r="V1100" s="35">
        <f>IFERROR(Tabela3[[#This Row],[Custo M.O. / H]]/((Tabela3[[#This Row],[Realizado]]/Tabela3[[#This Row],[Qdt Peça Placa]])/Tabela3[[#This Row],[Tempo]]/24),)</f>
        <v>17.384228400000001</v>
      </c>
      <c r="W1100" s="35">
        <f>Tabela3[[#This Row],[Custo / Cx Moldada]]*Tabela3[[#This Row],[Qtde Cx Produzida]]</f>
        <v>1234.2802164000002</v>
      </c>
      <c r="X1100" s="35">
        <f ca="1">Tabela3[[#This Row],[Aluminio Util]]*Tabela3[[#This Row],[Custo/Kg]]</f>
        <v>1170</v>
      </c>
      <c r="Y1100" s="35">
        <f>IFERROR(VLOOKUP(Tabela3[[#This Row],[Data]],Tabela461213[],2,1)*(Tabela3[[#This Row],[Qtde Cx Produzida]]*Tabela3[[#This Row],[Qde macho / CX]]*Tabela3[[#This Row],[Peso Macho]]),)</f>
        <v>0</v>
      </c>
      <c r="Z1100" s="35">
        <f>IFERROR(Tabela3[[#This Row],[Qtde Oleo]]*(VLOOKUP(Tabela3[[#This Row],[Data]],CompraOleo[],3,TRUE))*1.05,0)</f>
        <v>190.25633626692164</v>
      </c>
      <c r="AA1100" s="47">
        <f ca="1">(Tabela3[[#This Row],[Custo Oleo]]+Tabela3[[#This Row],[Custo Aluminio]]+Tabela3[[#This Row],[Custo M.O. Total]]+Tabela3[[#This Row],[Custo Machos]])</f>
        <v>2594.536552666922</v>
      </c>
      <c r="AB1100" s="47">
        <f ca="1">Tabela3[[#This Row],[Custo Total]]*Tabela3[[#This Row],[% Perda]]</f>
        <v>310.6135309530822</v>
      </c>
      <c r="AC1100" s="40">
        <f>IFERROR(VLOOKUP(Tabela3[[#This Row],[Produto]],Tabela2[],2,0),0)</f>
        <v>4</v>
      </c>
      <c r="AD1100" s="48">
        <f>IFERROR(VLOOKUP(Tabela3[[#This Row],[Produto]],Tabela2[],3,0),0)</f>
        <v>0.3</v>
      </c>
      <c r="AE1100" s="48">
        <f>IFERROR(VLOOKUP(Tabela3[[#This Row],[Produto]],Tabela2[],4,0),0)</f>
        <v>2.2999999999999998</v>
      </c>
      <c r="AF1100" s="48">
        <f>IFERROR(VLOOKUP(Tabela3[[#This Row],[Produto]],Tabela2[],5,0),0)</f>
        <v>0.98999999999999988</v>
      </c>
      <c r="AG1100" s="48">
        <f>IFERROR(VLOOKUP(Tabela3[[#This Row],[Produto]],Tabela2[],6,0),0)</f>
        <v>0</v>
      </c>
      <c r="AH1100" s="40">
        <f>IFERROR(VLOOKUP(Tabela3[[#This Row],[Produto]],Tabela2[],7,0),0)</f>
        <v>0</v>
      </c>
      <c r="AI1100" s="40">
        <f>IFERROR(VLOOKUP(Tabela3[[#This Row],[Produto]],Tabela2[],8,0),0)</f>
        <v>0</v>
      </c>
      <c r="AJ1100" s="35">
        <f ca="1">IFERROR(VLOOKUP(Tabela3[[#This Row],[Produto]],Tabela2[],13,0),0)</f>
        <v>15.600000000000001</v>
      </c>
      <c r="AK1100" s="48" t="str">
        <f>IFERROR(VLOOKUP(Tabela3[[#This Row],[Produto]],Tabela2[],14,0),0)</f>
        <v>Senun</v>
      </c>
      <c r="AL1100" s="40">
        <f>IFERROR(VLOOKUP(Tabela3[[#This Row],[Produto]],Tabela2[],15,0),0)</f>
        <v>3.5</v>
      </c>
      <c r="AM1100" s="36">
        <f ca="1">(Tabela3[[#This Row],[Custo Usinagem]]+Tabela3[[#This Row],[Custo / Pç]])*1.2</f>
        <v>16.653775452801227</v>
      </c>
      <c r="AN1100" s="36">
        <f ca="1">Tabela3[[#This Row],[Valor Mínimo Venda]]*1.15</f>
        <v>19.151841770721411</v>
      </c>
      <c r="AO1100" s="36">
        <f ca="1">Tabela3[[#This Row],[Tabela 1]]*1.08</f>
        <v>20.683989112379127</v>
      </c>
      <c r="AP1100" s="36">
        <f ca="1">Tabela3[[#This Row],[Tabela 2]]*1.15</f>
        <v>23.786587479235994</v>
      </c>
    </row>
    <row r="1101" spans="1:42">
      <c r="A1101" s="9">
        <v>46122</v>
      </c>
      <c r="B1101" s="9" t="s">
        <v>247</v>
      </c>
      <c r="C1101" s="14">
        <v>9368</v>
      </c>
      <c r="D1101" s="6" t="s">
        <v>44</v>
      </c>
      <c r="E1101" s="6" t="s">
        <v>47</v>
      </c>
      <c r="F1101" s="6">
        <v>19</v>
      </c>
      <c r="G1101" s="15">
        <v>8.1250000000000003E-2</v>
      </c>
      <c r="H1101" s="16">
        <v>0</v>
      </c>
      <c r="I1101" s="35">
        <f ca="1">IFERROR(Tabela3[[#This Row],[Custo Total]]/Tabela3[[#This Row],[Aluminio Util]],0)</f>
        <v>26.381440430996118</v>
      </c>
      <c r="J1101" s="35">
        <f ca="1">Tabela3[[#This Row],[Custo Total]]/Tabela3[[#This Row],[Realizado]]</f>
        <v>7.9144321292988353</v>
      </c>
      <c r="K1101" s="37">
        <f>IFERROR(Tabela3[[#This Row],[Qtde Cx Produzida]]/Tabela3[[#This Row],[Tempo]]/24,0)</f>
        <v>9.7435897435897427</v>
      </c>
      <c r="L1101" s="37">
        <f>Tabela3[[#This Row],[Qtde Cx Produzida]]*Tabela3[[#This Row],[Qdt Peça Placa]]</f>
        <v>76</v>
      </c>
      <c r="M1101" s="37">
        <f>Tabela3[[#This Row],[Previsto]]-Tabela3[[#This Row],[Perda Pçs]]</f>
        <v>76</v>
      </c>
      <c r="N1101" s="38">
        <f>IFERROR(Tabela3[[#This Row],[Perda Pçs]]/Tabela3[[#This Row],[Previsto]],0)</f>
        <v>0</v>
      </c>
      <c r="O1101" s="39">
        <f>IFERROR(IF(Tabela3[[#This Row],[Qtde Cx Produzida]] &lt;&gt; 0, Tabela3[[#This Row],[Tempo]] / Tabela3[[#This Row],[Qtde Cx Produzida]], 0),0)</f>
        <v>4.2763157894736845E-3</v>
      </c>
      <c r="P1101" s="57">
        <f>IFERROR(Tabela3[[#This Row],[Perda Pçs]]/Tabela3[[#This Row],[Qdt Peça Placa]],0)</f>
        <v>0</v>
      </c>
      <c r="Q1101" s="37">
        <f>IFERROR(Tabela3[[#This Row],[Realizado]]*Tabela3[[#This Row],[Peso Util/Pç]],0)</f>
        <v>22.8</v>
      </c>
      <c r="R1101" s="37">
        <f>IFERROR(Tabela3[[#This Row],[Peso Total Galho]]*Tabela3[[#This Row],[Qtde Cx Produzida]]*1.055,0)</f>
        <v>46.10349999999999</v>
      </c>
      <c r="S1101" s="37">
        <f>(Tabela3[[#This Row],[Aluminio Bruto]]-Tabela3[[#This Row],[Aluminio Util]])*0.9</f>
        <v>20.97314999999999</v>
      </c>
      <c r="T1101" s="37">
        <f>Tabela3[[#This Row],[Aluminio Bruto]]/OleoKGAluminio</f>
        <v>19.395682838747206</v>
      </c>
      <c r="U1101" s="35">
        <f>IFERROR((VLOOKUP(Tabela3[[#This Row],[Moldador]],Tabela1[],5,)+(VLOOKUP(Tabela3[[#This Row],[Ajudante]],Tabela1[],5,))*3.5),0)</f>
        <v>99.95034583333333</v>
      </c>
      <c r="V1101" s="35">
        <f>IFERROR(Tabela3[[#This Row],[Custo M.O. / H]]/((Tabela3[[#This Row],[Realizado]]/Tabela3[[#This Row],[Qdt Peça Placa]])/Tabela3[[#This Row],[Tempo]]/24),)</f>
        <v>10.258061809210528</v>
      </c>
      <c r="W1101" s="35">
        <f>Tabela3[[#This Row],[Custo / Cx Moldada]]*Tabela3[[#This Row],[Qtde Cx Produzida]]</f>
        <v>194.90317437500002</v>
      </c>
      <c r="X1101" s="35">
        <f ca="1">Tabela3[[#This Row],[Aluminio Util]]*Tabela3[[#This Row],[Custo/Kg]]</f>
        <v>355.68000000000006</v>
      </c>
      <c r="Y1101" s="35">
        <f>IFERROR(VLOOKUP(Tabela3[[#This Row],[Data]],Tabela461213[],2,1)*(Tabela3[[#This Row],[Qtde Cx Produzida]]*Tabela3[[#This Row],[Qde macho / CX]]*Tabela3[[#This Row],[Peso Macho]]),)</f>
        <v>0</v>
      </c>
      <c r="Z1101" s="35">
        <f>IFERROR(Tabela3[[#This Row],[Qtde Oleo]]*(VLOOKUP(Tabela3[[#This Row],[Data]],CompraOleo[],3,TRUE))*1.05,0)</f>
        <v>50.913667451711419</v>
      </c>
      <c r="AA1101" s="47">
        <f ca="1">(Tabela3[[#This Row],[Custo Oleo]]+Tabela3[[#This Row],[Custo Aluminio]]+Tabela3[[#This Row],[Custo M.O. Total]]+Tabela3[[#This Row],[Custo Machos]])</f>
        <v>601.49684182671149</v>
      </c>
      <c r="AB1101" s="47">
        <f ca="1">Tabela3[[#This Row],[Custo Total]]*Tabela3[[#This Row],[% Perda]]</f>
        <v>0</v>
      </c>
      <c r="AC1101" s="40">
        <f>IFERROR(VLOOKUP(Tabela3[[#This Row],[Produto]],Tabela2[],2,0),0)</f>
        <v>4</v>
      </c>
      <c r="AD1101" s="48">
        <f>IFERROR(VLOOKUP(Tabela3[[#This Row],[Produto]],Tabela2[],3,0),0)</f>
        <v>0.3</v>
      </c>
      <c r="AE1101" s="48">
        <f>IFERROR(VLOOKUP(Tabela3[[#This Row],[Produto]],Tabela2[],4,0),0)</f>
        <v>2.2999999999999998</v>
      </c>
      <c r="AF1101" s="48">
        <f>IFERROR(VLOOKUP(Tabela3[[#This Row],[Produto]],Tabela2[],5,0),0)</f>
        <v>0.98999999999999988</v>
      </c>
      <c r="AG1101" s="48">
        <f>IFERROR(VLOOKUP(Tabela3[[#This Row],[Produto]],Tabela2[],6,0),0)</f>
        <v>0</v>
      </c>
      <c r="AH1101" s="40">
        <f>IFERROR(VLOOKUP(Tabela3[[#This Row],[Produto]],Tabela2[],7,0),0)</f>
        <v>0</v>
      </c>
      <c r="AI1101" s="40">
        <f>IFERROR(VLOOKUP(Tabela3[[#This Row],[Produto]],Tabela2[],8,0),0)</f>
        <v>0</v>
      </c>
      <c r="AJ1101" s="35">
        <f ca="1">IFERROR(VLOOKUP(Tabela3[[#This Row],[Produto]],Tabela2[],13,0),0)</f>
        <v>15.600000000000001</v>
      </c>
      <c r="AK1101" s="48" t="str">
        <f>IFERROR(VLOOKUP(Tabela3[[#This Row],[Produto]],Tabela2[],14,0),0)</f>
        <v>Senun</v>
      </c>
      <c r="AL1101" s="40">
        <f>IFERROR(VLOOKUP(Tabela3[[#This Row],[Produto]],Tabela2[],15,0),0)</f>
        <v>3.5</v>
      </c>
      <c r="AM1101" s="36">
        <f ca="1">(Tabela3[[#This Row],[Custo Usinagem]]+Tabela3[[#This Row],[Custo / Pç]])*1.2</f>
        <v>13.697318555158601</v>
      </c>
      <c r="AN1101" s="36">
        <f ca="1">Tabela3[[#This Row],[Valor Mínimo Venda]]*1.15</f>
        <v>15.751916338432389</v>
      </c>
      <c r="AO1101" s="36">
        <f ca="1">Tabela3[[#This Row],[Tabela 1]]*1.08</f>
        <v>17.01206964550698</v>
      </c>
      <c r="AP1101" s="36">
        <f ca="1">Tabela3[[#This Row],[Tabela 2]]*1.15</f>
        <v>19.563880092333026</v>
      </c>
    </row>
    <row r="1102" spans="1:42">
      <c r="A1102" s="9">
        <v>46123</v>
      </c>
      <c r="B1102" s="9" t="s">
        <v>247</v>
      </c>
      <c r="C1102" s="14">
        <v>9368</v>
      </c>
      <c r="D1102" s="6" t="s">
        <v>46</v>
      </c>
      <c r="E1102" s="6" t="s">
        <v>47</v>
      </c>
      <c r="F1102" s="6">
        <v>21</v>
      </c>
      <c r="G1102" s="15">
        <v>8.3333333333333329E-2</v>
      </c>
      <c r="H1102" s="16">
        <v>0</v>
      </c>
      <c r="I1102" s="35">
        <f ca="1">IFERROR(Tabela3[[#This Row],[Custo Total]]/Tabela3[[#This Row],[Aluminio Util]],0)</f>
        <v>25.765622719616974</v>
      </c>
      <c r="J1102" s="35">
        <f ca="1">Tabela3[[#This Row],[Custo Total]]/Tabela3[[#This Row],[Realizado]]</f>
        <v>7.7296868158850929</v>
      </c>
      <c r="K1102" s="37">
        <f>IFERROR(Tabela3[[#This Row],[Qtde Cx Produzida]]/Tabela3[[#This Row],[Tempo]]/24,0)</f>
        <v>10.5</v>
      </c>
      <c r="L1102" s="37">
        <f>Tabela3[[#This Row],[Qtde Cx Produzida]]*Tabela3[[#This Row],[Qdt Peça Placa]]</f>
        <v>84</v>
      </c>
      <c r="M1102" s="37">
        <f>Tabela3[[#This Row],[Previsto]]-Tabela3[[#This Row],[Perda Pçs]]</f>
        <v>84</v>
      </c>
      <c r="N1102" s="38">
        <f>IFERROR(Tabela3[[#This Row],[Perda Pçs]]/Tabela3[[#This Row],[Previsto]],0)</f>
        <v>0</v>
      </c>
      <c r="O1102" s="39">
        <f>IFERROR(IF(Tabela3[[#This Row],[Qtde Cx Produzida]] &lt;&gt; 0, Tabela3[[#This Row],[Tempo]] / Tabela3[[#This Row],[Qtde Cx Produzida]], 0),0)</f>
        <v>3.968253968253968E-3</v>
      </c>
      <c r="P1102" s="57">
        <f>IFERROR(Tabela3[[#This Row],[Perda Pçs]]/Tabela3[[#This Row],[Qdt Peça Placa]],0)</f>
        <v>0</v>
      </c>
      <c r="Q1102" s="37">
        <f>IFERROR(Tabela3[[#This Row],[Realizado]]*Tabela3[[#This Row],[Peso Util/Pç]],0)</f>
        <v>25.2</v>
      </c>
      <c r="R1102" s="37">
        <f>IFERROR(Tabela3[[#This Row],[Peso Total Galho]]*Tabela3[[#This Row],[Qtde Cx Produzida]]*1.055,0)</f>
        <v>50.956499999999991</v>
      </c>
      <c r="S1102" s="37">
        <f>(Tabela3[[#This Row],[Aluminio Bruto]]-Tabela3[[#This Row],[Aluminio Util]])*0.9</f>
        <v>23.180849999999992</v>
      </c>
      <c r="T1102" s="37">
        <f>Tabela3[[#This Row],[Aluminio Bruto]]/OleoKGAluminio</f>
        <v>21.437333663878491</v>
      </c>
      <c r="U1102" s="35">
        <f>IFERROR((VLOOKUP(Tabela3[[#This Row],[Moldador]],Tabela1[],5,)+(VLOOKUP(Tabela3[[#This Row],[Ajudante]],Tabela1[],5,))*3.5),0)</f>
        <v>99.95034583333333</v>
      </c>
      <c r="V1102" s="35">
        <f>IFERROR(Tabela3[[#This Row],[Custo M.O. / H]]/((Tabela3[[#This Row],[Realizado]]/Tabela3[[#This Row],[Qdt Peça Placa]])/Tabela3[[#This Row],[Tempo]]/24),)</f>
        <v>9.519080555555556</v>
      </c>
      <c r="W1102" s="35">
        <f>Tabela3[[#This Row],[Custo / Cx Moldada]]*Tabela3[[#This Row],[Qtde Cx Produzida]]</f>
        <v>199.90069166666669</v>
      </c>
      <c r="X1102" s="35">
        <f ca="1">Tabela3[[#This Row],[Aluminio Util]]*Tabela3[[#This Row],[Custo/Kg]]</f>
        <v>393.12</v>
      </c>
      <c r="Y1102" s="35">
        <f>IFERROR(VLOOKUP(Tabela3[[#This Row],[Data]],Tabela461213[],2,1)*(Tabela3[[#This Row],[Qtde Cx Produzida]]*Tabela3[[#This Row],[Qde macho / CX]]*Tabela3[[#This Row],[Peso Macho]]),)</f>
        <v>0</v>
      </c>
      <c r="Z1102" s="35">
        <f>IFERROR(Tabela3[[#This Row],[Qtde Oleo]]*(VLOOKUP(Tabela3[[#This Row],[Data]],CompraOleo[],3,TRUE))*1.05,0)</f>
        <v>56.273000867681041</v>
      </c>
      <c r="AA1102" s="47">
        <f ca="1">(Tabela3[[#This Row],[Custo Oleo]]+Tabela3[[#This Row],[Custo Aluminio]]+Tabela3[[#This Row],[Custo M.O. Total]]+Tabela3[[#This Row],[Custo Machos]])</f>
        <v>649.29369253434777</v>
      </c>
      <c r="AB1102" s="47">
        <f ca="1">Tabela3[[#This Row],[Custo Total]]*Tabela3[[#This Row],[% Perda]]</f>
        <v>0</v>
      </c>
      <c r="AC1102" s="40">
        <f>IFERROR(VLOOKUP(Tabela3[[#This Row],[Produto]],Tabela2[],2,0),0)</f>
        <v>4</v>
      </c>
      <c r="AD1102" s="48">
        <f>IFERROR(VLOOKUP(Tabela3[[#This Row],[Produto]],Tabela2[],3,0),0)</f>
        <v>0.3</v>
      </c>
      <c r="AE1102" s="48">
        <f>IFERROR(VLOOKUP(Tabela3[[#This Row],[Produto]],Tabela2[],4,0),0)</f>
        <v>2.2999999999999998</v>
      </c>
      <c r="AF1102" s="48">
        <f>IFERROR(VLOOKUP(Tabela3[[#This Row],[Produto]],Tabela2[],5,0),0)</f>
        <v>0.98999999999999988</v>
      </c>
      <c r="AG1102" s="48">
        <f>IFERROR(VLOOKUP(Tabela3[[#This Row],[Produto]],Tabela2[],6,0),0)</f>
        <v>0</v>
      </c>
      <c r="AH1102" s="40">
        <f>IFERROR(VLOOKUP(Tabela3[[#This Row],[Produto]],Tabela2[],7,0),0)</f>
        <v>0</v>
      </c>
      <c r="AI1102" s="40">
        <f>IFERROR(VLOOKUP(Tabela3[[#This Row],[Produto]],Tabela2[],8,0),0)</f>
        <v>0</v>
      </c>
      <c r="AJ1102" s="35">
        <f ca="1">IFERROR(VLOOKUP(Tabela3[[#This Row],[Produto]],Tabela2[],13,0),0)</f>
        <v>15.600000000000001</v>
      </c>
      <c r="AK1102" s="48" t="str">
        <f>IFERROR(VLOOKUP(Tabela3[[#This Row],[Produto]],Tabela2[],14,0),0)</f>
        <v>Senun</v>
      </c>
      <c r="AL1102" s="40">
        <f>IFERROR(VLOOKUP(Tabela3[[#This Row],[Produto]],Tabela2[],15,0),0)</f>
        <v>3.5</v>
      </c>
      <c r="AM1102" s="36">
        <f ca="1">(Tabela3[[#This Row],[Custo Usinagem]]+Tabela3[[#This Row],[Custo / Pç]])*1.2</f>
        <v>13.475624179062111</v>
      </c>
      <c r="AN1102" s="36">
        <f ca="1">Tabela3[[#This Row],[Valor Mínimo Venda]]*1.15</f>
        <v>15.496967805921425</v>
      </c>
      <c r="AO1102" s="36">
        <f ca="1">Tabela3[[#This Row],[Tabela 1]]*1.08</f>
        <v>16.736725230395141</v>
      </c>
      <c r="AP1102" s="36">
        <f ca="1">Tabela3[[#This Row],[Tabela 2]]*1.15</f>
        <v>19.247234014954412</v>
      </c>
    </row>
    <row r="1103" spans="1:42">
      <c r="A1103" s="9">
        <v>46123</v>
      </c>
      <c r="B1103" s="9" t="s">
        <v>265</v>
      </c>
      <c r="C1103" s="14">
        <v>9549</v>
      </c>
      <c r="D1103" s="6" t="s">
        <v>46</v>
      </c>
      <c r="E1103" s="6" t="s">
        <v>47</v>
      </c>
      <c r="F1103" s="6">
        <v>12</v>
      </c>
      <c r="G1103" s="15">
        <v>7.4999999999999997E-2</v>
      </c>
      <c r="H1103" s="16">
        <v>0</v>
      </c>
      <c r="I1103" s="35">
        <f ca="1">IFERROR(Tabela3[[#This Row],[Custo Total]]/Tabela3[[#This Row],[Aluminio Util]],0)</f>
        <v>28.269557397457547</v>
      </c>
      <c r="J1103" s="35">
        <f ca="1">Tabela3[[#This Row],[Custo Total]]/Tabela3[[#This Row],[Realizado]]</f>
        <v>48.058247575677825</v>
      </c>
      <c r="K1103" s="37">
        <f>IFERROR(Tabela3[[#This Row],[Qtde Cx Produzida]]/Tabela3[[#This Row],[Tempo]]/24,0)</f>
        <v>6.666666666666667</v>
      </c>
      <c r="L1103" s="37">
        <f>Tabela3[[#This Row],[Qtde Cx Produzida]]*Tabela3[[#This Row],[Qdt Peça Placa]]</f>
        <v>12</v>
      </c>
      <c r="M1103" s="37">
        <f>Tabela3[[#This Row],[Previsto]]-Tabela3[[#This Row],[Perda Pçs]]</f>
        <v>12</v>
      </c>
      <c r="N1103" s="38">
        <f>IFERROR(Tabela3[[#This Row],[Perda Pçs]]/Tabela3[[#This Row],[Previsto]],0)</f>
        <v>0</v>
      </c>
      <c r="O1103" s="39">
        <f>IFERROR(IF(Tabela3[[#This Row],[Qtde Cx Produzida]] &lt;&gt; 0, Tabela3[[#This Row],[Tempo]] / Tabela3[[#This Row],[Qtde Cx Produzida]], 0),0)</f>
        <v>6.2499999999999995E-3</v>
      </c>
      <c r="P1103" s="57">
        <f>IFERROR(Tabela3[[#This Row],[Perda Pçs]]/Tabela3[[#This Row],[Qdt Peça Placa]],0)</f>
        <v>0</v>
      </c>
      <c r="Q1103" s="37">
        <f>IFERROR(Tabela3[[#This Row],[Realizado]]*Tabela3[[#This Row],[Peso Util/Pç]],0)</f>
        <v>20.399999999999999</v>
      </c>
      <c r="R1103" s="37">
        <f>IFERROR(Tabela3[[#This Row],[Peso Total Galho]]*Tabela3[[#This Row],[Qtde Cx Produzida]]*1.055,0)</f>
        <v>34.182000000000002</v>
      </c>
      <c r="S1103" s="37">
        <f>(Tabela3[[#This Row],[Aluminio Bruto]]-Tabela3[[#This Row],[Aluminio Util]])*0.9</f>
        <v>12.403800000000004</v>
      </c>
      <c r="T1103" s="37">
        <f>Tabela3[[#This Row],[Aluminio Bruto]]/OleoKGAluminio</f>
        <v>14.380323203098619</v>
      </c>
      <c r="U1103" s="35">
        <f>IFERROR((VLOOKUP(Tabela3[[#This Row],[Moldador]],Tabela1[],5,)+(VLOOKUP(Tabela3[[#This Row],[Ajudante]],Tabela1[],5,))*3.5),0)</f>
        <v>99.95034583333333</v>
      </c>
      <c r="V1103" s="35">
        <f>IFERROR(Tabela3[[#This Row],[Custo M.O. / H]]/((Tabela3[[#This Row],[Realizado]]/Tabela3[[#This Row],[Qdt Peça Placa]])/Tabela3[[#This Row],[Tempo]]/24),)</f>
        <v>14.992551874999998</v>
      </c>
      <c r="W1103" s="35">
        <f>Tabela3[[#This Row],[Custo / Cx Moldada]]*Tabela3[[#This Row],[Qtde Cx Produzida]]</f>
        <v>179.91062249999999</v>
      </c>
      <c r="X1103" s="35">
        <f ca="1">Tabela3[[#This Row],[Aluminio Util]]*Tabela3[[#This Row],[Custo/Kg]]</f>
        <v>359.04</v>
      </c>
      <c r="Y1103" s="35">
        <f>IFERROR(VLOOKUP(Tabela3[[#This Row],[Data]],Tabela461213[],2,1)*(Tabela3[[#This Row],[Qtde Cx Produzida]]*Tabela3[[#This Row],[Qde macho / CX]]*Tabela3[[#This Row],[Peso Macho]]),)</f>
        <v>0</v>
      </c>
      <c r="Z1103" s="35">
        <f>IFERROR(Tabela3[[#This Row],[Qtde Oleo]]*(VLOOKUP(Tabela3[[#This Row],[Data]],CompraOleo[],3,TRUE))*1.05,0)</f>
        <v>37.748348408133872</v>
      </c>
      <c r="AA1103" s="47">
        <f ca="1">(Tabela3[[#This Row],[Custo Oleo]]+Tabela3[[#This Row],[Custo Aluminio]]+Tabela3[[#This Row],[Custo M.O. Total]]+Tabela3[[#This Row],[Custo Machos]])</f>
        <v>576.6989709081339</v>
      </c>
      <c r="AB1103" s="47">
        <f ca="1">Tabela3[[#This Row],[Custo Total]]*Tabela3[[#This Row],[% Perda]]</f>
        <v>0</v>
      </c>
      <c r="AC1103" s="40">
        <f>IFERROR(VLOOKUP(Tabela3[[#This Row],[Produto]],Tabela2[],2,0),0)</f>
        <v>1</v>
      </c>
      <c r="AD1103" s="48">
        <f>IFERROR(VLOOKUP(Tabela3[[#This Row],[Produto]],Tabela2[],3,0),0)</f>
        <v>1.7</v>
      </c>
      <c r="AE1103" s="48">
        <f>IFERROR(VLOOKUP(Tabela3[[#This Row],[Produto]],Tabela2[],4,0),0)</f>
        <v>2.7</v>
      </c>
      <c r="AF1103" s="48">
        <f>IFERROR(VLOOKUP(Tabela3[[#This Row],[Produto]],Tabela2[],5,0),0)</f>
        <v>0.90000000000000024</v>
      </c>
      <c r="AG1103" s="48">
        <f>IFERROR(VLOOKUP(Tabela3[[#This Row],[Produto]],Tabela2[],6,0),0)</f>
        <v>0</v>
      </c>
      <c r="AH1103" s="40">
        <f>IFERROR(VLOOKUP(Tabela3[[#This Row],[Produto]],Tabela2[],7,0),0)</f>
        <v>0</v>
      </c>
      <c r="AI1103" s="40">
        <f>IFERROR(VLOOKUP(Tabela3[[#This Row],[Produto]],Tabela2[],8,0),0)</f>
        <v>0</v>
      </c>
      <c r="AJ1103" s="35">
        <f ca="1">IFERROR(VLOOKUP(Tabela3[[#This Row],[Produto]],Tabela2[],13,0),0)</f>
        <v>17.600000000000001</v>
      </c>
      <c r="AK1103" s="48" t="str">
        <f>IFERROR(VLOOKUP(Tabela3[[#This Row],[Produto]],Tabela2[],14,0),0)</f>
        <v>Jumil</v>
      </c>
      <c r="AL1103" s="40">
        <f>IFERROR(VLOOKUP(Tabela3[[#This Row],[Produto]],Tabela2[],15,0),0)</f>
        <v>80</v>
      </c>
      <c r="AM1103" s="36">
        <f ca="1">(Tabela3[[#This Row],[Custo Usinagem]]+Tabela3[[#This Row],[Custo / Pç]])*1.2</f>
        <v>153.66989709081338</v>
      </c>
      <c r="AN1103" s="36">
        <f ca="1">Tabela3[[#This Row],[Valor Mínimo Venda]]*1.15</f>
        <v>176.72038165443539</v>
      </c>
      <c r="AO1103" s="36">
        <f ca="1">Tabela3[[#This Row],[Tabela 1]]*1.08</f>
        <v>190.85801218679023</v>
      </c>
      <c r="AP1103" s="36">
        <f ca="1">Tabela3[[#This Row],[Tabela 2]]*1.15</f>
        <v>219.48671401480874</v>
      </c>
    </row>
    <row r="1104" spans="1:42">
      <c r="A1104" s="9">
        <v>46123</v>
      </c>
      <c r="B1104" s="9" t="s">
        <v>129</v>
      </c>
      <c r="C1104" s="14">
        <v>9555</v>
      </c>
      <c r="D1104" s="6" t="s">
        <v>46</v>
      </c>
      <c r="E1104" s="6" t="s">
        <v>47</v>
      </c>
      <c r="F1104" s="6">
        <v>12</v>
      </c>
      <c r="G1104" s="15">
        <v>4.9305555555555554E-2</v>
      </c>
      <c r="H1104" s="16">
        <v>0</v>
      </c>
      <c r="I1104" s="35">
        <f ca="1">IFERROR(Tabela3[[#This Row],[Custo Total]]/Tabela3[[#This Row],[Aluminio Util]],0)</f>
        <v>25.482034483269217</v>
      </c>
      <c r="J1104" s="35">
        <f ca="1">Tabela3[[#This Row],[Custo Total]]/Tabela3[[#This Row],[Realizado]]</f>
        <v>41.280895862896138</v>
      </c>
      <c r="K1104" s="37">
        <f>IFERROR(Tabela3[[#This Row],[Qtde Cx Produzida]]/Tabela3[[#This Row],[Tempo]]/24,0)</f>
        <v>10.140845070422536</v>
      </c>
      <c r="L1104" s="37">
        <f>Tabela3[[#This Row],[Qtde Cx Produzida]]*Tabela3[[#This Row],[Qdt Peça Placa]]</f>
        <v>12</v>
      </c>
      <c r="M1104" s="37">
        <f>Tabela3[[#This Row],[Previsto]]-Tabela3[[#This Row],[Perda Pçs]]</f>
        <v>12</v>
      </c>
      <c r="N1104" s="38">
        <f>IFERROR(Tabela3[[#This Row],[Perda Pçs]]/Tabela3[[#This Row],[Previsto]],0)</f>
        <v>0</v>
      </c>
      <c r="O1104" s="39">
        <f>IFERROR(IF(Tabela3[[#This Row],[Qtde Cx Produzida]] &lt;&gt; 0, Tabela3[[#This Row],[Tempo]] / Tabela3[[#This Row],[Qtde Cx Produzida]], 0),0)</f>
        <v>4.1087962962962962E-3</v>
      </c>
      <c r="P1104" s="57">
        <f>IFERROR(Tabela3[[#This Row],[Perda Pçs]]/Tabela3[[#This Row],[Qdt Peça Placa]],0)</f>
        <v>0</v>
      </c>
      <c r="Q1104" s="37">
        <f>IFERROR(Tabela3[[#This Row],[Realizado]]*Tabela3[[#This Row],[Peso Util/Pç]],0)</f>
        <v>19.440000000000001</v>
      </c>
      <c r="R1104" s="37">
        <f>IFERROR(Tabela3[[#This Row],[Peso Total Galho]]*Tabela3[[#This Row],[Qtde Cx Produzida]]*1.055,0)</f>
        <v>31.65</v>
      </c>
      <c r="S1104" s="37">
        <f>(Tabela3[[#This Row],[Aluminio Bruto]]-Tabela3[[#This Row],[Aluminio Util]])*0.9</f>
        <v>10.988999999999997</v>
      </c>
      <c r="T1104" s="37">
        <f>Tabela3[[#This Row],[Aluminio Bruto]]/OleoKGAluminio</f>
        <v>13.315114076943164</v>
      </c>
      <c r="U1104" s="35">
        <f>IFERROR((VLOOKUP(Tabela3[[#This Row],[Moldador]],Tabela1[],5,)+(VLOOKUP(Tabela3[[#This Row],[Ajudante]],Tabela1[],5,))*3.5),0)</f>
        <v>99.95034583333333</v>
      </c>
      <c r="V1104" s="35">
        <f>IFERROR(Tabela3[[#This Row],[Custo M.O. / H]]/((Tabela3[[#This Row],[Realizado]]/Tabela3[[#This Row],[Qdt Peça Placa]])/Tabela3[[#This Row],[Tempo]]/24),)</f>
        <v>9.8562146585648129</v>
      </c>
      <c r="W1104" s="35">
        <f>Tabela3[[#This Row],[Custo / Cx Moldada]]*Tabela3[[#This Row],[Qtde Cx Produzida]]</f>
        <v>118.27457590277776</v>
      </c>
      <c r="X1104" s="35">
        <f ca="1">Tabela3[[#This Row],[Aluminio Util]]*Tabela3[[#This Row],[Custo/Kg]]</f>
        <v>342.14400000000006</v>
      </c>
      <c r="Y1104" s="35">
        <f>IFERROR(VLOOKUP(Tabela3[[#This Row],[Data]],Tabela461213[],2,1)*(Tabela3[[#This Row],[Qtde Cx Produzida]]*Tabela3[[#This Row],[Qde macho / CX]]*Tabela3[[#This Row],[Peso Macho]]),)</f>
        <v>0</v>
      </c>
      <c r="Z1104" s="35">
        <f>IFERROR(Tabela3[[#This Row],[Qtde Oleo]]*(VLOOKUP(Tabela3[[#This Row],[Data]],CompraOleo[],3,TRUE))*1.05,0)</f>
        <v>34.952174451975807</v>
      </c>
      <c r="AA1104" s="47">
        <f ca="1">(Tabela3[[#This Row],[Custo Oleo]]+Tabela3[[#This Row],[Custo Aluminio]]+Tabela3[[#This Row],[Custo M.O. Total]]+Tabela3[[#This Row],[Custo Machos]])</f>
        <v>495.37075035475362</v>
      </c>
      <c r="AB1104" s="47">
        <f ca="1">Tabela3[[#This Row],[Custo Total]]*Tabela3[[#This Row],[% Perda]]</f>
        <v>0</v>
      </c>
      <c r="AC1104" s="40">
        <f>IFERROR(VLOOKUP(Tabela3[[#This Row],[Produto]],Tabela2[],2,0),0)</f>
        <v>1</v>
      </c>
      <c r="AD1104" s="48">
        <f>IFERROR(VLOOKUP(Tabela3[[#This Row],[Produto]],Tabela2[],3,0),0)</f>
        <v>1.62</v>
      </c>
      <c r="AE1104" s="48">
        <f>IFERROR(VLOOKUP(Tabela3[[#This Row],[Produto]],Tabela2[],4,0),0)</f>
        <v>2.5</v>
      </c>
      <c r="AF1104" s="48">
        <f>IFERROR(VLOOKUP(Tabela3[[#This Row],[Produto]],Tabela2[],5,0),0)</f>
        <v>0.79199999999999993</v>
      </c>
      <c r="AG1104" s="48">
        <f>IFERROR(VLOOKUP(Tabela3[[#This Row],[Produto]],Tabela2[],6,0),0)</f>
        <v>0</v>
      </c>
      <c r="AH1104" s="40">
        <f>IFERROR(VLOOKUP(Tabela3[[#This Row],[Produto]],Tabela2[],7,0),0)</f>
        <v>0</v>
      </c>
      <c r="AI1104" s="40">
        <f>IFERROR(VLOOKUP(Tabela3[[#This Row],[Produto]],Tabela2[],8,0),0)</f>
        <v>0</v>
      </c>
      <c r="AJ1104" s="35">
        <f ca="1">IFERROR(VLOOKUP(Tabela3[[#This Row],[Produto]],Tabela2[],13,0),0)</f>
        <v>17.600000000000001</v>
      </c>
      <c r="AK1104" s="48" t="str">
        <f>IFERROR(VLOOKUP(Tabela3[[#This Row],[Produto]],Tabela2[],14,0),0)</f>
        <v>Jumil</v>
      </c>
      <c r="AL1104" s="40">
        <f>IFERROR(VLOOKUP(Tabela3[[#This Row],[Produto]],Tabela2[],15,0),0)</f>
        <v>80</v>
      </c>
      <c r="AM1104" s="36">
        <f ca="1">(Tabela3[[#This Row],[Custo Usinagem]]+Tabela3[[#This Row],[Custo / Pç]])*1.2</f>
        <v>145.53707503547534</v>
      </c>
      <c r="AN1104" s="36">
        <f ca="1">Tabela3[[#This Row],[Valor Mínimo Venda]]*1.15</f>
        <v>167.36763629079664</v>
      </c>
      <c r="AO1104" s="36">
        <f ca="1">Tabela3[[#This Row],[Tabela 1]]*1.08</f>
        <v>180.75704719406039</v>
      </c>
      <c r="AP1104" s="36">
        <f ca="1">Tabela3[[#This Row],[Tabela 2]]*1.15</f>
        <v>207.87060427316942</v>
      </c>
    </row>
    <row r="1105" spans="1:42">
      <c r="A1105" s="9">
        <v>46125</v>
      </c>
      <c r="B1105" s="9" t="s">
        <v>236</v>
      </c>
      <c r="C1105" s="14">
        <v>9539</v>
      </c>
      <c r="D1105" s="6" t="s">
        <v>44</v>
      </c>
      <c r="E1105" s="6" t="s">
        <v>47</v>
      </c>
      <c r="F1105" s="6">
        <v>28</v>
      </c>
      <c r="G1105" s="15">
        <v>0.12777777777777777</v>
      </c>
      <c r="H1105" s="16">
        <v>0</v>
      </c>
      <c r="I1105" s="35">
        <f ca="1">IFERROR(Tabela3[[#This Row],[Custo Total]]/Tabela3[[#This Row],[Aluminio Util]],0)</f>
        <v>23.025043388287685</v>
      </c>
      <c r="J1105" s="35">
        <f ca="1">Tabela3[[#This Row],[Custo Total]]/Tabela3[[#This Row],[Realizado]]</f>
        <v>6.9535631032628809</v>
      </c>
      <c r="K1105" s="37">
        <f>IFERROR(Tabela3[[#This Row],[Qtde Cx Produzida]]/Tabela3[[#This Row],[Tempo]]/24,0)</f>
        <v>9.1304347826086971</v>
      </c>
      <c r="L1105" s="37">
        <f>Tabela3[[#This Row],[Qtde Cx Produzida]]*Tabela3[[#This Row],[Qdt Peça Placa]]</f>
        <v>168</v>
      </c>
      <c r="M1105" s="37">
        <f>Tabela3[[#This Row],[Previsto]]-Tabela3[[#This Row],[Perda Pçs]]</f>
        <v>168</v>
      </c>
      <c r="N1105" s="38">
        <f>IFERROR(Tabela3[[#This Row],[Perda Pçs]]/Tabela3[[#This Row],[Previsto]],0)</f>
        <v>0</v>
      </c>
      <c r="O1105" s="39">
        <f>IFERROR(IF(Tabela3[[#This Row],[Qtde Cx Produzida]] &lt;&gt; 0, Tabela3[[#This Row],[Tempo]] / Tabela3[[#This Row],[Qtde Cx Produzida]], 0),0)</f>
        <v>4.5634920634920629E-3</v>
      </c>
      <c r="P1105" s="57">
        <f>IFERROR(Tabela3[[#This Row],[Perda Pçs]]/Tabela3[[#This Row],[Qdt Peça Placa]],0)</f>
        <v>0</v>
      </c>
      <c r="Q1105" s="37">
        <f>IFERROR(Tabela3[[#This Row],[Realizado]]*Tabela3[[#This Row],[Peso Util/Pç]],0)</f>
        <v>50.735999999999997</v>
      </c>
      <c r="R1105" s="37">
        <f>IFERROR(Tabela3[[#This Row],[Peso Total Galho]]*Tabela3[[#This Row],[Qtde Cx Produzida]]*1.055,0)</f>
        <v>63.570079999999997</v>
      </c>
      <c r="S1105" s="37">
        <f>(Tabela3[[#This Row],[Aluminio Bruto]]-Tabela3[[#This Row],[Aluminio Util]])*0.9</f>
        <v>11.550672</v>
      </c>
      <c r="T1105" s="37">
        <f>Tabela3[[#This Row],[Aluminio Bruto]]/OleoKGAluminio</f>
        <v>26.743850460676242</v>
      </c>
      <c r="U1105" s="35">
        <f>IFERROR((VLOOKUP(Tabela3[[#This Row],[Moldador]],Tabela1[],5,)+(VLOOKUP(Tabela3[[#This Row],[Ajudante]],Tabela1[],5,))*3.5),0)</f>
        <v>99.95034583333333</v>
      </c>
      <c r="V1105" s="35">
        <f>IFERROR(Tabela3[[#This Row],[Custo M.O. / H]]/((Tabela3[[#This Row],[Realizado]]/Tabela3[[#This Row],[Qdt Peça Placa]])/Tabela3[[#This Row],[Tempo]]/24),)</f>
        <v>10.946942638888887</v>
      </c>
      <c r="W1105" s="35">
        <f>Tabela3[[#This Row],[Custo / Cx Moldada]]*Tabela3[[#This Row],[Qtde Cx Produzida]]</f>
        <v>306.51439388888883</v>
      </c>
      <c r="X1105" s="35">
        <f ca="1">Tabela3[[#This Row],[Aluminio Util]]*Tabela3[[#This Row],[Custo/Kg]]</f>
        <v>791.48160000000007</v>
      </c>
      <c r="Y1105" s="35">
        <f>IFERROR(VLOOKUP(Tabela3[[#This Row],[Data]],Tabela461213[],2,1)*(Tabela3[[#This Row],[Qtde Cx Produzida]]*Tabela3[[#This Row],[Qde macho / CX]]*Tabela3[[#This Row],[Peso Macho]]),)</f>
        <v>0</v>
      </c>
      <c r="Z1105" s="35">
        <f>IFERROR(Tabela3[[#This Row],[Qtde Oleo]]*(VLOOKUP(Tabela3[[#This Row],[Data]],CompraOleo[],3,TRUE))*1.05,0)</f>
        <v>70.202607459275143</v>
      </c>
      <c r="AA1105" s="47">
        <f ca="1">(Tabela3[[#This Row],[Custo Oleo]]+Tabela3[[#This Row],[Custo Aluminio]]+Tabela3[[#This Row],[Custo M.O. Total]]+Tabela3[[#This Row],[Custo Machos]])</f>
        <v>1168.1986013481639</v>
      </c>
      <c r="AB1105" s="47">
        <f ca="1">Tabela3[[#This Row],[Custo Total]]*Tabela3[[#This Row],[% Perda]]</f>
        <v>0</v>
      </c>
      <c r="AC1105" s="40">
        <f>IFERROR(VLOOKUP(Tabela3[[#This Row],[Produto]],Tabela2[],2,0),0)</f>
        <v>6</v>
      </c>
      <c r="AD1105" s="48">
        <f>IFERROR(VLOOKUP(Tabela3[[#This Row],[Produto]],Tabela2[],3,0),0)</f>
        <v>0.30199999999999999</v>
      </c>
      <c r="AE1105" s="48">
        <f>IFERROR(VLOOKUP(Tabela3[[#This Row],[Produto]],Tabela2[],4,0),0)</f>
        <v>2.1520000000000001</v>
      </c>
      <c r="AF1105" s="48">
        <f>IFERROR(VLOOKUP(Tabela3[[#This Row],[Produto]],Tabela2[],5,0),0)</f>
        <v>0.30600000000000027</v>
      </c>
      <c r="AG1105" s="48">
        <f>IFERROR(VLOOKUP(Tabela3[[#This Row],[Produto]],Tabela2[],6,0),0)</f>
        <v>0</v>
      </c>
      <c r="AH1105" s="40">
        <f>IFERROR(VLOOKUP(Tabela3[[#This Row],[Produto]],Tabela2[],7,0),0)</f>
        <v>0</v>
      </c>
      <c r="AI1105" s="40">
        <f>IFERROR(VLOOKUP(Tabela3[[#This Row],[Produto]],Tabela2[],8,0),0)</f>
        <v>0</v>
      </c>
      <c r="AJ1105" s="35">
        <f ca="1">IFERROR(VLOOKUP(Tabela3[[#This Row],[Produto]],Tabela2[],13,0),0)</f>
        <v>15.600000000000001</v>
      </c>
      <c r="AK1105" s="48" t="str">
        <f>IFERROR(VLOOKUP(Tabela3[[#This Row],[Produto]],Tabela2[],14,0),0)</f>
        <v>Senun</v>
      </c>
      <c r="AL1105" s="40">
        <f>IFERROR(VLOOKUP(Tabela3[[#This Row],[Produto]],Tabela2[],15,0),0)</f>
        <v>4</v>
      </c>
      <c r="AM1105" s="36">
        <f ca="1">(Tabela3[[#This Row],[Custo Usinagem]]+Tabela3[[#This Row],[Custo / Pç]])*1.2</f>
        <v>13.144275723915456</v>
      </c>
      <c r="AN1105" s="36">
        <f ca="1">Tabela3[[#This Row],[Valor Mínimo Venda]]*1.15</f>
        <v>15.115917082502774</v>
      </c>
      <c r="AO1105" s="36">
        <f ca="1">Tabela3[[#This Row],[Tabela 1]]*1.08</f>
        <v>16.325190449102998</v>
      </c>
      <c r="AP1105" s="36">
        <f ca="1">Tabela3[[#This Row],[Tabela 2]]*1.15</f>
        <v>18.773969016468445</v>
      </c>
    </row>
    <row r="1106" spans="1:42">
      <c r="A1106" s="9">
        <v>46125</v>
      </c>
      <c r="B1106" s="9" t="s">
        <v>247</v>
      </c>
      <c r="C1106" s="14">
        <v>9368</v>
      </c>
      <c r="D1106" s="6" t="s">
        <v>46</v>
      </c>
      <c r="E1106" s="6" t="s">
        <v>54</v>
      </c>
      <c r="F1106" s="6">
        <v>14</v>
      </c>
      <c r="G1106" s="15">
        <v>8.611111111111111E-2</v>
      </c>
      <c r="H1106" s="16">
        <v>0</v>
      </c>
      <c r="I1106" s="35">
        <f ca="1">IFERROR(Tabela3[[#This Row],[Custo Total]]/Tabela3[[#This Row],[Aluminio Util]],0)</f>
        <v>33.344680589987348</v>
      </c>
      <c r="J1106" s="35">
        <f ca="1">Tabela3[[#This Row],[Custo Total]]/Tabela3[[#This Row],[Realizado]]</f>
        <v>10.003404176996204</v>
      </c>
      <c r="K1106" s="37">
        <f>IFERROR(Tabela3[[#This Row],[Qtde Cx Produzida]]/Tabela3[[#This Row],[Tempo]]/24,0)</f>
        <v>6.774193548387097</v>
      </c>
      <c r="L1106" s="37">
        <f>Tabela3[[#This Row],[Qtde Cx Produzida]]*Tabela3[[#This Row],[Qdt Peça Placa]]</f>
        <v>56</v>
      </c>
      <c r="M1106" s="37">
        <f>Tabela3[[#This Row],[Previsto]]-Tabela3[[#This Row],[Perda Pçs]]</f>
        <v>56</v>
      </c>
      <c r="N1106" s="38">
        <f>IFERROR(Tabela3[[#This Row],[Perda Pçs]]/Tabela3[[#This Row],[Previsto]],0)</f>
        <v>0</v>
      </c>
      <c r="O1106" s="39">
        <f>IFERROR(IF(Tabela3[[#This Row],[Qtde Cx Produzida]] &lt;&gt; 0, Tabela3[[#This Row],[Tempo]] / Tabela3[[#This Row],[Qtde Cx Produzida]], 0),0)</f>
        <v>6.1507936507936506E-3</v>
      </c>
      <c r="P1106" s="57">
        <f>IFERROR(Tabela3[[#This Row],[Perda Pçs]]/Tabela3[[#This Row],[Qdt Peça Placa]],0)</f>
        <v>0</v>
      </c>
      <c r="Q1106" s="37">
        <f>IFERROR(Tabela3[[#This Row],[Realizado]]*Tabela3[[#This Row],[Peso Util/Pç]],0)</f>
        <v>16.8</v>
      </c>
      <c r="R1106" s="37">
        <f>IFERROR(Tabela3[[#This Row],[Peso Total Galho]]*Tabela3[[#This Row],[Qtde Cx Produzida]]*1.055,0)</f>
        <v>33.970999999999997</v>
      </c>
      <c r="S1106" s="37">
        <f>(Tabela3[[#This Row],[Aluminio Bruto]]-Tabela3[[#This Row],[Aluminio Util]])*0.9</f>
        <v>15.453899999999997</v>
      </c>
      <c r="T1106" s="37">
        <f>Tabela3[[#This Row],[Aluminio Bruto]]/OleoKGAluminio</f>
        <v>14.291555775918996</v>
      </c>
      <c r="U1106" s="35">
        <f>IFERROR((VLOOKUP(Tabela3[[#This Row],[Moldador]],Tabela1[],5,)+(VLOOKUP(Tabela3[[#This Row],[Ajudante]],Tabela1[],5,))*3.5),0)</f>
        <v>126.0945</v>
      </c>
      <c r="V1106" s="35">
        <f>IFERROR(Tabela3[[#This Row],[Custo M.O. / H]]/((Tabela3[[#This Row],[Realizado]]/Tabela3[[#This Row],[Qdt Peça Placa]])/Tabela3[[#This Row],[Tempo]]/24),)</f>
        <v>18.613949999999999</v>
      </c>
      <c r="W1106" s="35">
        <f>Tabela3[[#This Row],[Custo / Cx Moldada]]*Tabela3[[#This Row],[Qtde Cx Produzida]]</f>
        <v>260.59530000000001</v>
      </c>
      <c r="X1106" s="35">
        <f ca="1">Tabela3[[#This Row],[Aluminio Util]]*Tabela3[[#This Row],[Custo/Kg]]</f>
        <v>262.08000000000004</v>
      </c>
      <c r="Y1106" s="35">
        <f>IFERROR(VLOOKUP(Tabela3[[#This Row],[Data]],Tabela461213[],2,1)*(Tabela3[[#This Row],[Qtde Cx Produzida]]*Tabela3[[#This Row],[Qde macho / CX]]*Tabela3[[#This Row],[Peso Macho]]),)</f>
        <v>0</v>
      </c>
      <c r="Z1106" s="35">
        <f>IFERROR(Tabela3[[#This Row],[Qtde Oleo]]*(VLOOKUP(Tabela3[[#This Row],[Data]],CompraOleo[],3,TRUE))*1.05,0)</f>
        <v>37.515333911787366</v>
      </c>
      <c r="AA1106" s="47">
        <f ca="1">(Tabela3[[#This Row],[Custo Oleo]]+Tabela3[[#This Row],[Custo Aluminio]]+Tabela3[[#This Row],[Custo M.O. Total]]+Tabela3[[#This Row],[Custo Machos]])</f>
        <v>560.19063391178747</v>
      </c>
      <c r="AB1106" s="47">
        <f ca="1">Tabela3[[#This Row],[Custo Total]]*Tabela3[[#This Row],[% Perda]]</f>
        <v>0</v>
      </c>
      <c r="AC1106" s="40">
        <f>IFERROR(VLOOKUP(Tabela3[[#This Row],[Produto]],Tabela2[],2,0),0)</f>
        <v>4</v>
      </c>
      <c r="AD1106" s="48">
        <f>IFERROR(VLOOKUP(Tabela3[[#This Row],[Produto]],Tabela2[],3,0),0)</f>
        <v>0.3</v>
      </c>
      <c r="AE1106" s="48">
        <f>IFERROR(VLOOKUP(Tabela3[[#This Row],[Produto]],Tabela2[],4,0),0)</f>
        <v>2.2999999999999998</v>
      </c>
      <c r="AF1106" s="48">
        <f>IFERROR(VLOOKUP(Tabela3[[#This Row],[Produto]],Tabela2[],5,0),0)</f>
        <v>0.98999999999999988</v>
      </c>
      <c r="AG1106" s="48">
        <f>IFERROR(VLOOKUP(Tabela3[[#This Row],[Produto]],Tabela2[],6,0),0)</f>
        <v>0</v>
      </c>
      <c r="AH1106" s="40">
        <f>IFERROR(VLOOKUP(Tabela3[[#This Row],[Produto]],Tabela2[],7,0),0)</f>
        <v>0</v>
      </c>
      <c r="AI1106" s="40">
        <f>IFERROR(VLOOKUP(Tabela3[[#This Row],[Produto]],Tabela2[],8,0),0)</f>
        <v>0</v>
      </c>
      <c r="AJ1106" s="35">
        <f ca="1">IFERROR(VLOOKUP(Tabela3[[#This Row],[Produto]],Tabela2[],13,0),0)</f>
        <v>15.600000000000001</v>
      </c>
      <c r="AK1106" s="48" t="str">
        <f>IFERROR(VLOOKUP(Tabela3[[#This Row],[Produto]],Tabela2[],14,0),0)</f>
        <v>Senun</v>
      </c>
      <c r="AL1106" s="40">
        <f>IFERROR(VLOOKUP(Tabela3[[#This Row],[Produto]],Tabela2[],15,0),0)</f>
        <v>3.5</v>
      </c>
      <c r="AM1106" s="36">
        <f ca="1">(Tabela3[[#This Row],[Custo Usinagem]]+Tabela3[[#This Row],[Custo / Pç]])*1.2</f>
        <v>16.204085012395446</v>
      </c>
      <c r="AN1106" s="36">
        <f ca="1">Tabela3[[#This Row],[Valor Mínimo Venda]]*1.15</f>
        <v>18.63469776425476</v>
      </c>
      <c r="AO1106" s="36">
        <f ca="1">Tabela3[[#This Row],[Tabela 1]]*1.08</f>
        <v>20.125473585395142</v>
      </c>
      <c r="AP1106" s="36">
        <f ca="1">Tabela3[[#This Row],[Tabela 2]]*1.15</f>
        <v>23.144294623204409</v>
      </c>
    </row>
    <row r="1107" spans="1:42">
      <c r="A1107" s="9">
        <v>46125</v>
      </c>
      <c r="B1107" s="9" t="s">
        <v>245</v>
      </c>
      <c r="C1107" s="14">
        <v>9327</v>
      </c>
      <c r="D1107" s="6" t="s">
        <v>46</v>
      </c>
      <c r="E1107" s="6" t="s">
        <v>57</v>
      </c>
      <c r="F1107" s="6">
        <v>38</v>
      </c>
      <c r="G1107" s="15">
        <v>0.17291666666666666</v>
      </c>
      <c r="H1107" s="16">
        <v>0</v>
      </c>
      <c r="I1107" s="35">
        <f ca="1">IFERROR(Tabela3[[#This Row],[Custo Total]]/Tabela3[[#This Row],[Aluminio Util]],0)</f>
        <v>25.837422124915904</v>
      </c>
      <c r="J1107" s="35">
        <f ca="1">Tabela3[[#This Row],[Custo Total]]/Tabela3[[#This Row],[Realizado]]</f>
        <v>8.5780241454720798</v>
      </c>
      <c r="K1107" s="37">
        <f>IFERROR(Tabela3[[#This Row],[Qtde Cx Produzida]]/Tabela3[[#This Row],[Tempo]]/24,0)</f>
        <v>9.1566265060240966</v>
      </c>
      <c r="L1107" s="37">
        <f>Tabela3[[#This Row],[Qtde Cx Produzida]]*Tabela3[[#This Row],[Qdt Peça Placa]]</f>
        <v>152</v>
      </c>
      <c r="M1107" s="37">
        <f>Tabela3[[#This Row],[Previsto]]-Tabela3[[#This Row],[Perda Pçs]]</f>
        <v>152</v>
      </c>
      <c r="N1107" s="38">
        <f>IFERROR(Tabela3[[#This Row],[Perda Pçs]]/Tabela3[[#This Row],[Previsto]],0)</f>
        <v>0</v>
      </c>
      <c r="O1107" s="39">
        <f>IFERROR(IF(Tabela3[[#This Row],[Qtde Cx Produzida]] &lt;&gt; 0, Tabela3[[#This Row],[Tempo]] / Tabela3[[#This Row],[Qtde Cx Produzida]], 0),0)</f>
        <v>4.5504385964912283E-3</v>
      </c>
      <c r="P1107" s="57">
        <f>IFERROR(Tabela3[[#This Row],[Perda Pçs]]/Tabela3[[#This Row],[Qdt Peça Placa]],0)</f>
        <v>0</v>
      </c>
      <c r="Q1107" s="37">
        <f>IFERROR(Tabela3[[#This Row],[Realizado]]*Tabela3[[#This Row],[Peso Util/Pç]],0)</f>
        <v>50.464000000000006</v>
      </c>
      <c r="R1107" s="37">
        <f>IFERROR(Tabela3[[#This Row],[Peso Total Galho]]*Tabela3[[#This Row],[Qtde Cx Produzida]]*1.055,0)</f>
        <v>92.206999999999979</v>
      </c>
      <c r="S1107" s="37">
        <f>(Tabela3[[#This Row],[Aluminio Bruto]]-Tabela3[[#This Row],[Aluminio Util]])*0.9</f>
        <v>37.568699999999978</v>
      </c>
      <c r="T1107" s="37">
        <f>Tabela3[[#This Row],[Aluminio Bruto]]/OleoKGAluminio</f>
        <v>38.791365677494412</v>
      </c>
      <c r="U1107" s="35">
        <f>IFERROR((VLOOKUP(Tabela3[[#This Row],[Moldador]],Tabela1[],5,)+(VLOOKUP(Tabela3[[#This Row],[Ajudante]],Tabela1[],5,))*3.5),0)</f>
        <v>99.95034583333333</v>
      </c>
      <c r="V1107" s="35">
        <f>IFERROR(Tabela3[[#This Row],[Custo M.O. / H]]/((Tabela3[[#This Row],[Realizado]]/Tabela3[[#This Row],[Qdt Peça Placa]])/Tabela3[[#This Row],[Tempo]]/24),)</f>
        <v>10.915629873903509</v>
      </c>
      <c r="W1107" s="35">
        <f>Tabela3[[#This Row],[Custo / Cx Moldada]]*Tabela3[[#This Row],[Qtde Cx Produzida]]</f>
        <v>414.79393520833332</v>
      </c>
      <c r="X1107" s="35">
        <f ca="1">Tabela3[[#This Row],[Aluminio Util]]*Tabela3[[#This Row],[Custo/Kg]]</f>
        <v>787.23840000000018</v>
      </c>
      <c r="Y1107" s="35">
        <f>IFERROR(VLOOKUP(Tabela3[[#This Row],[Data]],Tabela461213[],2,1)*(Tabela3[[#This Row],[Qtde Cx Produzida]]*Tabela3[[#This Row],[Qde macho / CX]]*Tabela3[[#This Row],[Peso Macho]]),)</f>
        <v>0</v>
      </c>
      <c r="Z1107" s="35">
        <f>IFERROR(Tabela3[[#This Row],[Qtde Oleo]]*(VLOOKUP(Tabela3[[#This Row],[Data]],CompraOleo[],3,TRUE))*1.05,0)</f>
        <v>101.82733490342284</v>
      </c>
      <c r="AA1107" s="47">
        <f ca="1">(Tabela3[[#This Row],[Custo Oleo]]+Tabela3[[#This Row],[Custo Aluminio]]+Tabela3[[#This Row],[Custo M.O. Total]]+Tabela3[[#This Row],[Custo Machos]])</f>
        <v>1303.8596701117563</v>
      </c>
      <c r="AB1107" s="47">
        <f ca="1">Tabela3[[#This Row],[Custo Total]]*Tabela3[[#This Row],[% Perda]]</f>
        <v>0</v>
      </c>
      <c r="AC1107" s="40">
        <f>IFERROR(VLOOKUP(Tabela3[[#This Row],[Produto]],Tabela2[],2,0),0)</f>
        <v>4</v>
      </c>
      <c r="AD1107" s="48">
        <f>IFERROR(VLOOKUP(Tabela3[[#This Row],[Produto]],Tabela2[],3,0),0)</f>
        <v>0.33200000000000002</v>
      </c>
      <c r="AE1107" s="48">
        <f>IFERROR(VLOOKUP(Tabela3[[#This Row],[Produto]],Tabela2[],4,0),0)</f>
        <v>2.2999999999999998</v>
      </c>
      <c r="AF1107" s="48">
        <f>IFERROR(VLOOKUP(Tabela3[[#This Row],[Produto]],Tabela2[],5,0),0)</f>
        <v>0.8747999999999998</v>
      </c>
      <c r="AG1107" s="48">
        <f>IFERROR(VLOOKUP(Tabela3[[#This Row],[Produto]],Tabela2[],6,0),0)</f>
        <v>0</v>
      </c>
      <c r="AH1107" s="40">
        <f>IFERROR(VLOOKUP(Tabela3[[#This Row],[Produto]],Tabela2[],7,0),0)</f>
        <v>0</v>
      </c>
      <c r="AI1107" s="40">
        <f>IFERROR(VLOOKUP(Tabela3[[#This Row],[Produto]],Tabela2[],8,0),0)</f>
        <v>0</v>
      </c>
      <c r="AJ1107" s="35">
        <f ca="1">IFERROR(VLOOKUP(Tabela3[[#This Row],[Produto]],Tabela2[],13,0),0)</f>
        <v>15.600000000000001</v>
      </c>
      <c r="AK1107" s="48" t="str">
        <f>IFERROR(VLOOKUP(Tabela3[[#This Row],[Produto]],Tabela2[],14,0),0)</f>
        <v>Senun</v>
      </c>
      <c r="AL1107" s="40">
        <f>IFERROR(VLOOKUP(Tabela3[[#This Row],[Produto]],Tabela2[],15,0),0)</f>
        <v>3.5</v>
      </c>
      <c r="AM1107" s="36">
        <f ca="1">(Tabela3[[#This Row],[Custo Usinagem]]+Tabela3[[#This Row],[Custo / Pç]])*1.2</f>
        <v>14.493628974566494</v>
      </c>
      <c r="AN1107" s="36">
        <f ca="1">Tabela3[[#This Row],[Valor Mínimo Venda]]*1.15</f>
        <v>16.667673320751469</v>
      </c>
      <c r="AO1107" s="36">
        <f ca="1">Tabela3[[#This Row],[Tabela 1]]*1.08</f>
        <v>18.001087186411588</v>
      </c>
      <c r="AP1107" s="36">
        <f ca="1">Tabela3[[#This Row],[Tabela 2]]*1.15</f>
        <v>20.701250264373325</v>
      </c>
    </row>
    <row r="1108" spans="1:42">
      <c r="A1108" s="9">
        <v>46125</v>
      </c>
      <c r="B1108" s="9" t="s">
        <v>245</v>
      </c>
      <c r="C1108" s="14">
        <v>9327</v>
      </c>
      <c r="D1108" s="6" t="s">
        <v>46</v>
      </c>
      <c r="E1108" s="6" t="s">
        <v>44</v>
      </c>
      <c r="F1108" s="6">
        <v>18</v>
      </c>
      <c r="G1108" s="15">
        <v>8.8888888888888892E-2</v>
      </c>
      <c r="H1108" s="16">
        <v>0</v>
      </c>
      <c r="I1108" s="35">
        <f ca="1">IFERROR(Tabela3[[#This Row],[Custo Total]]/Tabela3[[#This Row],[Aluminio Util]],0)</f>
        <v>28.871234970872102</v>
      </c>
      <c r="J1108" s="35">
        <f ca="1">Tabela3[[#This Row],[Custo Total]]/Tabela3[[#This Row],[Realizado]]</f>
        <v>9.5852500103295384</v>
      </c>
      <c r="K1108" s="37">
        <f>IFERROR(Tabela3[[#This Row],[Qtde Cx Produzida]]/Tabela3[[#This Row],[Tempo]]/24,0)</f>
        <v>8.4375</v>
      </c>
      <c r="L1108" s="37">
        <f>Tabela3[[#This Row],[Qtde Cx Produzida]]*Tabela3[[#This Row],[Qdt Peça Placa]]</f>
        <v>72</v>
      </c>
      <c r="M1108" s="37">
        <f>Tabela3[[#This Row],[Previsto]]-Tabela3[[#This Row],[Perda Pçs]]</f>
        <v>72</v>
      </c>
      <c r="N1108" s="38">
        <f>IFERROR(Tabela3[[#This Row],[Perda Pçs]]/Tabela3[[#This Row],[Previsto]],0)</f>
        <v>0</v>
      </c>
      <c r="O1108" s="39">
        <f>IFERROR(IF(Tabela3[[#This Row],[Qtde Cx Produzida]] &lt;&gt; 0, Tabela3[[#This Row],[Tempo]] / Tabela3[[#This Row],[Qtde Cx Produzida]], 0),0)</f>
        <v>4.9382716049382715E-3</v>
      </c>
      <c r="P1108" s="57">
        <f>IFERROR(Tabela3[[#This Row],[Perda Pçs]]/Tabela3[[#This Row],[Qdt Peça Placa]],0)</f>
        <v>0</v>
      </c>
      <c r="Q1108" s="37">
        <f>IFERROR(Tabela3[[#This Row],[Realizado]]*Tabela3[[#This Row],[Peso Util/Pç]],0)</f>
        <v>23.904</v>
      </c>
      <c r="R1108" s="37">
        <f>IFERROR(Tabela3[[#This Row],[Peso Total Galho]]*Tabela3[[#This Row],[Qtde Cx Produzida]]*1.055,0)</f>
        <v>43.676999999999992</v>
      </c>
      <c r="S1108" s="37">
        <f>(Tabela3[[#This Row],[Aluminio Bruto]]-Tabela3[[#This Row],[Aluminio Util]])*0.9</f>
        <v>17.795699999999993</v>
      </c>
      <c r="T1108" s="37">
        <f>Tabela3[[#This Row],[Aluminio Bruto]]/OleoKGAluminio</f>
        <v>18.374857426181563</v>
      </c>
      <c r="U1108" s="35">
        <f>IFERROR((VLOOKUP(Tabela3[[#This Row],[Moldador]],Tabela1[],5,)+(VLOOKUP(Tabela3[[#This Row],[Ajudante]],Tabela1[],5,))*3.5),0)</f>
        <v>126.0945</v>
      </c>
      <c r="V1108" s="35">
        <f>IFERROR(Tabela3[[#This Row],[Custo M.O. / H]]/((Tabela3[[#This Row],[Realizado]]/Tabela3[[#This Row],[Qdt Peça Placa]])/Tabela3[[#This Row],[Tempo]]/24),)</f>
        <v>14.944533333333332</v>
      </c>
      <c r="W1108" s="35">
        <f>Tabela3[[#This Row],[Custo / Cx Moldada]]*Tabela3[[#This Row],[Qtde Cx Produzida]]</f>
        <v>269.0016</v>
      </c>
      <c r="X1108" s="35">
        <f ca="1">Tabela3[[#This Row],[Aluminio Util]]*Tabela3[[#This Row],[Custo/Kg]]</f>
        <v>372.90240000000006</v>
      </c>
      <c r="Y1108" s="35">
        <f>IFERROR(VLOOKUP(Tabela3[[#This Row],[Data]],Tabela461213[],2,1)*(Tabela3[[#This Row],[Qtde Cx Produzida]]*Tabela3[[#This Row],[Qde macho / CX]]*Tabela3[[#This Row],[Peso Macho]]),)</f>
        <v>0</v>
      </c>
      <c r="Z1108" s="35">
        <f>IFERROR(Tabela3[[#This Row],[Qtde Oleo]]*(VLOOKUP(Tabela3[[#This Row],[Data]],CompraOleo[],3,TRUE))*1.05,0)</f>
        <v>48.234000743726604</v>
      </c>
      <c r="AA1108" s="47">
        <f ca="1">(Tabela3[[#This Row],[Custo Oleo]]+Tabela3[[#This Row],[Custo Aluminio]]+Tabela3[[#This Row],[Custo M.O. Total]]+Tabela3[[#This Row],[Custo Machos]])</f>
        <v>690.13800074372671</v>
      </c>
      <c r="AB1108" s="47">
        <f ca="1">Tabela3[[#This Row],[Custo Total]]*Tabela3[[#This Row],[% Perda]]</f>
        <v>0</v>
      </c>
      <c r="AC1108" s="40">
        <f>IFERROR(VLOOKUP(Tabela3[[#This Row],[Produto]],Tabela2[],2,0),0)</f>
        <v>4</v>
      </c>
      <c r="AD1108" s="48">
        <f>IFERROR(VLOOKUP(Tabela3[[#This Row],[Produto]],Tabela2[],3,0),0)</f>
        <v>0.33200000000000002</v>
      </c>
      <c r="AE1108" s="48">
        <f>IFERROR(VLOOKUP(Tabela3[[#This Row],[Produto]],Tabela2[],4,0),0)</f>
        <v>2.2999999999999998</v>
      </c>
      <c r="AF1108" s="48">
        <f>IFERROR(VLOOKUP(Tabela3[[#This Row],[Produto]],Tabela2[],5,0),0)</f>
        <v>0.8747999999999998</v>
      </c>
      <c r="AG1108" s="48">
        <f>IFERROR(VLOOKUP(Tabela3[[#This Row],[Produto]],Tabela2[],6,0),0)</f>
        <v>0</v>
      </c>
      <c r="AH1108" s="40">
        <f>IFERROR(VLOOKUP(Tabela3[[#This Row],[Produto]],Tabela2[],7,0),0)</f>
        <v>0</v>
      </c>
      <c r="AI1108" s="40">
        <f>IFERROR(VLOOKUP(Tabela3[[#This Row],[Produto]],Tabela2[],8,0),0)</f>
        <v>0</v>
      </c>
      <c r="AJ1108" s="35">
        <f ca="1">IFERROR(VLOOKUP(Tabela3[[#This Row],[Produto]],Tabela2[],13,0),0)</f>
        <v>15.600000000000001</v>
      </c>
      <c r="AK1108" s="48" t="str">
        <f>IFERROR(VLOOKUP(Tabela3[[#This Row],[Produto]],Tabela2[],14,0),0)</f>
        <v>Senun</v>
      </c>
      <c r="AL1108" s="40">
        <f>IFERROR(VLOOKUP(Tabela3[[#This Row],[Produto]],Tabela2[],15,0),0)</f>
        <v>3.5</v>
      </c>
      <c r="AM1108" s="36">
        <f ca="1">(Tabela3[[#This Row],[Custo Usinagem]]+Tabela3[[#This Row],[Custo / Pç]])*1.2</f>
        <v>15.702300012395446</v>
      </c>
      <c r="AN1108" s="36">
        <f ca="1">Tabela3[[#This Row],[Valor Mínimo Venda]]*1.15</f>
        <v>18.05764501425476</v>
      </c>
      <c r="AO1108" s="36">
        <f ca="1">Tabela3[[#This Row],[Tabela 1]]*1.08</f>
        <v>19.502256615395144</v>
      </c>
      <c r="AP1108" s="36">
        <f ca="1">Tabela3[[#This Row],[Tabela 2]]*1.15</f>
        <v>22.427595107704413</v>
      </c>
    </row>
    <row r="1109" spans="1:42">
      <c r="A1109" s="9">
        <v>46125</v>
      </c>
      <c r="B1109" s="9" t="s">
        <v>245</v>
      </c>
      <c r="C1109" s="14">
        <v>9327</v>
      </c>
      <c r="D1109" s="6" t="s">
        <v>44</v>
      </c>
      <c r="E1109" s="6" t="s">
        <v>47</v>
      </c>
      <c r="F1109" s="6">
        <v>19</v>
      </c>
      <c r="G1109" s="15">
        <v>7.7777777777777779E-2</v>
      </c>
      <c r="H1109" s="16">
        <v>0</v>
      </c>
      <c r="I1109" s="35">
        <f ca="1">IFERROR(Tabela3[[#This Row],[Custo Total]]/Tabela3[[#This Row],[Aluminio Util]],0)</f>
        <v>25.012160999548207</v>
      </c>
      <c r="J1109" s="35">
        <f ca="1">Tabela3[[#This Row],[Custo Total]]/Tabela3[[#This Row],[Realizado]]</f>
        <v>8.3040374518500055</v>
      </c>
      <c r="K1109" s="37">
        <f>IFERROR(Tabela3[[#This Row],[Qtde Cx Produzida]]/Tabela3[[#This Row],[Tempo]]/24,0)</f>
        <v>10.178571428571429</v>
      </c>
      <c r="L1109" s="37">
        <f>Tabela3[[#This Row],[Qtde Cx Produzida]]*Tabela3[[#This Row],[Qdt Peça Placa]]</f>
        <v>76</v>
      </c>
      <c r="M1109" s="37">
        <f>Tabela3[[#This Row],[Previsto]]-Tabela3[[#This Row],[Perda Pçs]]</f>
        <v>76</v>
      </c>
      <c r="N1109" s="38">
        <f>IFERROR(Tabela3[[#This Row],[Perda Pçs]]/Tabela3[[#This Row],[Previsto]],0)</f>
        <v>0</v>
      </c>
      <c r="O1109" s="39">
        <f>IFERROR(IF(Tabela3[[#This Row],[Qtde Cx Produzida]] &lt;&gt; 0, Tabela3[[#This Row],[Tempo]] / Tabela3[[#This Row],[Qtde Cx Produzida]], 0),0)</f>
        <v>4.0935672514619886E-3</v>
      </c>
      <c r="P1109" s="57">
        <f>IFERROR(Tabela3[[#This Row],[Perda Pçs]]/Tabela3[[#This Row],[Qdt Peça Placa]],0)</f>
        <v>0</v>
      </c>
      <c r="Q1109" s="37">
        <f>IFERROR(Tabela3[[#This Row],[Realizado]]*Tabela3[[#This Row],[Peso Util/Pç]],0)</f>
        <v>25.232000000000003</v>
      </c>
      <c r="R1109" s="37">
        <f>IFERROR(Tabela3[[#This Row],[Peso Total Galho]]*Tabela3[[#This Row],[Qtde Cx Produzida]]*1.055,0)</f>
        <v>46.10349999999999</v>
      </c>
      <c r="S1109" s="37">
        <f>(Tabela3[[#This Row],[Aluminio Bruto]]-Tabela3[[#This Row],[Aluminio Util]])*0.9</f>
        <v>18.784349999999989</v>
      </c>
      <c r="T1109" s="37">
        <f>Tabela3[[#This Row],[Aluminio Bruto]]/OleoKGAluminio</f>
        <v>19.395682838747206</v>
      </c>
      <c r="U1109" s="35">
        <f>IFERROR((VLOOKUP(Tabela3[[#This Row],[Moldador]],Tabela1[],5,)+(VLOOKUP(Tabela3[[#This Row],[Ajudante]],Tabela1[],5,))*3.5),0)</f>
        <v>99.95034583333333</v>
      </c>
      <c r="V1109" s="35">
        <f>IFERROR(Tabela3[[#This Row],[Custo M.O. / H]]/((Tabela3[[#This Row],[Realizado]]/Tabela3[[#This Row],[Qdt Peça Placa]])/Tabela3[[#This Row],[Tempo]]/24),)</f>
        <v>9.8196830994152045</v>
      </c>
      <c r="W1109" s="35">
        <f>Tabela3[[#This Row],[Custo / Cx Moldada]]*Tabela3[[#This Row],[Qtde Cx Produzida]]</f>
        <v>186.57397888888889</v>
      </c>
      <c r="X1109" s="35">
        <f ca="1">Tabela3[[#This Row],[Aluminio Util]]*Tabela3[[#This Row],[Custo/Kg]]</f>
        <v>393.61920000000009</v>
      </c>
      <c r="Y1109" s="35">
        <f>IFERROR(VLOOKUP(Tabela3[[#This Row],[Data]],Tabela461213[],2,1)*(Tabela3[[#This Row],[Qtde Cx Produzida]]*Tabela3[[#This Row],[Qde macho / CX]]*Tabela3[[#This Row],[Peso Macho]]),)</f>
        <v>0</v>
      </c>
      <c r="Z1109" s="35">
        <f>IFERROR(Tabela3[[#This Row],[Qtde Oleo]]*(VLOOKUP(Tabela3[[#This Row],[Data]],CompraOleo[],3,TRUE))*1.05,0)</f>
        <v>50.913667451711419</v>
      </c>
      <c r="AA1109" s="47">
        <f ca="1">(Tabela3[[#This Row],[Custo Oleo]]+Tabela3[[#This Row],[Custo Aluminio]]+Tabela3[[#This Row],[Custo M.O. Total]]+Tabela3[[#This Row],[Custo Machos]])</f>
        <v>631.10684634060044</v>
      </c>
      <c r="AB1109" s="47">
        <f ca="1">Tabela3[[#This Row],[Custo Total]]*Tabela3[[#This Row],[% Perda]]</f>
        <v>0</v>
      </c>
      <c r="AC1109" s="40">
        <f>IFERROR(VLOOKUP(Tabela3[[#This Row],[Produto]],Tabela2[],2,0),0)</f>
        <v>4</v>
      </c>
      <c r="AD1109" s="48">
        <f>IFERROR(VLOOKUP(Tabela3[[#This Row],[Produto]],Tabela2[],3,0),0)</f>
        <v>0.33200000000000002</v>
      </c>
      <c r="AE1109" s="48">
        <f>IFERROR(VLOOKUP(Tabela3[[#This Row],[Produto]],Tabela2[],4,0),0)</f>
        <v>2.2999999999999998</v>
      </c>
      <c r="AF1109" s="48">
        <f>IFERROR(VLOOKUP(Tabela3[[#This Row],[Produto]],Tabela2[],5,0),0)</f>
        <v>0.8747999999999998</v>
      </c>
      <c r="AG1109" s="48">
        <f>IFERROR(VLOOKUP(Tabela3[[#This Row],[Produto]],Tabela2[],6,0),0)</f>
        <v>0</v>
      </c>
      <c r="AH1109" s="40">
        <f>IFERROR(VLOOKUP(Tabela3[[#This Row],[Produto]],Tabela2[],7,0),0)</f>
        <v>0</v>
      </c>
      <c r="AI1109" s="40">
        <f>IFERROR(VLOOKUP(Tabela3[[#This Row],[Produto]],Tabela2[],8,0),0)</f>
        <v>0</v>
      </c>
      <c r="AJ1109" s="35">
        <f ca="1">IFERROR(VLOOKUP(Tabela3[[#This Row],[Produto]],Tabela2[],13,0),0)</f>
        <v>15.600000000000001</v>
      </c>
      <c r="AK1109" s="48" t="str">
        <f>IFERROR(VLOOKUP(Tabela3[[#This Row],[Produto]],Tabela2[],14,0),0)</f>
        <v>Senun</v>
      </c>
      <c r="AL1109" s="40">
        <f>IFERROR(VLOOKUP(Tabela3[[#This Row],[Produto]],Tabela2[],15,0),0)</f>
        <v>3.5</v>
      </c>
      <c r="AM1109" s="36">
        <f ca="1">(Tabela3[[#This Row],[Custo Usinagem]]+Tabela3[[#This Row],[Custo / Pç]])*1.2</f>
        <v>14.164844942220006</v>
      </c>
      <c r="AN1109" s="36">
        <f ca="1">Tabela3[[#This Row],[Valor Mínimo Venda]]*1.15</f>
        <v>16.289571683553007</v>
      </c>
      <c r="AO1109" s="36">
        <f ca="1">Tabela3[[#This Row],[Tabela 1]]*1.08</f>
        <v>17.592737418237249</v>
      </c>
      <c r="AP1109" s="36">
        <f ca="1">Tabela3[[#This Row],[Tabela 2]]*1.15</f>
        <v>20.231648030972835</v>
      </c>
    </row>
    <row r="1110" spans="1:42">
      <c r="A1110" s="9">
        <v>46126</v>
      </c>
      <c r="B1110" s="9" t="s">
        <v>257</v>
      </c>
      <c r="C1110" s="14">
        <v>9526</v>
      </c>
      <c r="D1110" s="6" t="s">
        <v>46</v>
      </c>
      <c r="E1110" s="6" t="s">
        <v>57</v>
      </c>
      <c r="F1110" s="6">
        <v>75</v>
      </c>
      <c r="G1110" s="15">
        <v>0.36458333333333331</v>
      </c>
      <c r="H1110" s="16">
        <v>0</v>
      </c>
      <c r="I1110" s="35">
        <f ca="1">IFERROR(Tabela3[[#This Row],[Custo Total]]/Tabela3[[#This Row],[Aluminio Util]],0)</f>
        <v>29.824033140367114</v>
      </c>
      <c r="J1110" s="35">
        <f ca="1">Tabela3[[#This Row],[Custo Total]]/Tabela3[[#This Row],[Realizado]]</f>
        <v>3.7280041425458892</v>
      </c>
      <c r="K1110" s="37">
        <f>IFERROR(Tabela3[[#This Row],[Qtde Cx Produzida]]/Tabela3[[#This Row],[Tempo]]/24,0)</f>
        <v>8.5714285714285712</v>
      </c>
      <c r="L1110" s="37">
        <f>Tabela3[[#This Row],[Qtde Cx Produzida]]*Tabela3[[#This Row],[Qdt Peça Placa]]</f>
        <v>600</v>
      </c>
      <c r="M1110" s="37">
        <f>Tabela3[[#This Row],[Previsto]]-Tabela3[[#This Row],[Perda Pçs]]</f>
        <v>600</v>
      </c>
      <c r="N1110" s="38">
        <f>IFERROR(Tabela3[[#This Row],[Perda Pçs]]/Tabela3[[#This Row],[Previsto]],0)</f>
        <v>0</v>
      </c>
      <c r="O1110" s="39">
        <f>IFERROR(IF(Tabela3[[#This Row],[Qtde Cx Produzida]] &lt;&gt; 0, Tabela3[[#This Row],[Tempo]] / Tabela3[[#This Row],[Qtde Cx Produzida]], 0),0)</f>
        <v>4.8611111111111112E-3</v>
      </c>
      <c r="P1110" s="57">
        <f>IFERROR(Tabela3[[#This Row],[Perda Pçs]]/Tabela3[[#This Row],[Qdt Peça Placa]],0)</f>
        <v>0</v>
      </c>
      <c r="Q1110" s="37">
        <f>IFERROR(Tabela3[[#This Row],[Realizado]]*Tabela3[[#This Row],[Peso Util/Pç]],0)</f>
        <v>75</v>
      </c>
      <c r="R1110" s="37">
        <f>IFERROR(Tabela3[[#This Row],[Peso Total Galho]]*Tabela3[[#This Row],[Qtde Cx Produzida]]*1.055,0)</f>
        <v>174.07499999999999</v>
      </c>
      <c r="S1110" s="37">
        <f>(Tabela3[[#This Row],[Aluminio Bruto]]-Tabela3[[#This Row],[Aluminio Util]])*0.9</f>
        <v>89.16749999999999</v>
      </c>
      <c r="T1110" s="37">
        <f>Tabela3[[#This Row],[Aluminio Bruto]]/OleoKGAluminio</f>
        <v>73.233127423187398</v>
      </c>
      <c r="U1110" s="35">
        <f>IFERROR((VLOOKUP(Tabela3[[#This Row],[Moldador]],Tabela1[],5,)+(VLOOKUP(Tabela3[[#This Row],[Ajudante]],Tabela1[],5,))*3.5),0)</f>
        <v>99.95034583333333</v>
      </c>
      <c r="V1110" s="35">
        <f>IFERROR(Tabela3[[#This Row],[Custo M.O. / H]]/((Tabela3[[#This Row],[Realizado]]/Tabela3[[#This Row],[Qdt Peça Placa]])/Tabela3[[#This Row],[Tempo]]/24),)</f>
        <v>11.660873680555556</v>
      </c>
      <c r="W1110" s="35">
        <f>Tabela3[[#This Row],[Custo / Cx Moldada]]*Tabela3[[#This Row],[Qtde Cx Produzida]]</f>
        <v>874.56552604166666</v>
      </c>
      <c r="X1110" s="35">
        <f ca="1">Tabela3[[#This Row],[Aluminio Util]]*Tabela3[[#This Row],[Custo/Kg]]</f>
        <v>1170</v>
      </c>
      <c r="Y1110" s="35">
        <f>IFERROR(VLOOKUP(Tabela3[[#This Row],[Data]],Tabela461213[],2,1)*(Tabela3[[#This Row],[Qtde Cx Produzida]]*Tabela3[[#This Row],[Qde macho / CX]]*Tabela3[[#This Row],[Peso Macho]]),)</f>
        <v>0</v>
      </c>
      <c r="Z1110" s="35">
        <f>IFERROR(Tabela3[[#This Row],[Qtde Oleo]]*(VLOOKUP(Tabela3[[#This Row],[Data]],CompraOleo[],3,TRUE))*1.05,0)</f>
        <v>192.23695948586692</v>
      </c>
      <c r="AA1110" s="47">
        <f ca="1">(Tabela3[[#This Row],[Custo Oleo]]+Tabela3[[#This Row],[Custo Aluminio]]+Tabela3[[#This Row],[Custo M.O. Total]]+Tabela3[[#This Row],[Custo Machos]])</f>
        <v>2236.8024855275335</v>
      </c>
      <c r="AB1110" s="47">
        <f ca="1">Tabela3[[#This Row],[Custo Total]]*Tabela3[[#This Row],[% Perda]]</f>
        <v>0</v>
      </c>
      <c r="AC1110" s="40">
        <f>IFERROR(VLOOKUP(Tabela3[[#This Row],[Produto]],Tabela2[],2,0),0)</f>
        <v>8</v>
      </c>
      <c r="AD1110" s="48">
        <f>IFERROR(VLOOKUP(Tabela3[[#This Row],[Produto]],Tabela2[],3,0),0)</f>
        <v>0.125</v>
      </c>
      <c r="AE1110" s="48">
        <f>IFERROR(VLOOKUP(Tabela3[[#This Row],[Produto]],Tabela2[],4,0),0)</f>
        <v>2.2000000000000002</v>
      </c>
      <c r="AF1110" s="48">
        <f>IFERROR(VLOOKUP(Tabela3[[#This Row],[Produto]],Tabela2[],5,0),0)</f>
        <v>1.0800000000000003</v>
      </c>
      <c r="AG1110" s="48">
        <f>IFERROR(VLOOKUP(Tabela3[[#This Row],[Produto]],Tabela2[],6,0),0)</f>
        <v>0</v>
      </c>
      <c r="AH1110" s="40">
        <f>IFERROR(VLOOKUP(Tabela3[[#This Row],[Produto]],Tabela2[],7,0),0)</f>
        <v>0</v>
      </c>
      <c r="AI1110" s="40">
        <f>IFERROR(VLOOKUP(Tabela3[[#This Row],[Produto]],Tabela2[],8,0),0)</f>
        <v>0</v>
      </c>
      <c r="AJ1110" s="35">
        <f ca="1">IFERROR(VLOOKUP(Tabela3[[#This Row],[Produto]],Tabela2[],13,0),0)</f>
        <v>15.600000000000001</v>
      </c>
      <c r="AK1110" s="48" t="str">
        <f>IFERROR(VLOOKUP(Tabela3[[#This Row],[Produto]],Tabela2[],14,0),0)</f>
        <v>Senun</v>
      </c>
      <c r="AL1110" s="40">
        <f>IFERROR(VLOOKUP(Tabela3[[#This Row],[Produto]],Tabela2[],15,0),0)</f>
        <v>7</v>
      </c>
      <c r="AM1110" s="36">
        <f ca="1">(Tabela3[[#This Row],[Custo Usinagem]]+Tabela3[[#This Row],[Custo / Pç]])*1.2</f>
        <v>12.873604971055066</v>
      </c>
      <c r="AN1110" s="36">
        <f ca="1">Tabela3[[#This Row],[Valor Mínimo Venda]]*1.15</f>
        <v>14.804645716713324</v>
      </c>
      <c r="AO1110" s="36">
        <f ca="1">Tabela3[[#This Row],[Tabela 1]]*1.08</f>
        <v>15.989017374050391</v>
      </c>
      <c r="AP1110" s="36">
        <f ca="1">Tabela3[[#This Row],[Tabela 2]]*1.15</f>
        <v>18.387369980157949</v>
      </c>
    </row>
    <row r="1111" spans="1:42">
      <c r="A1111" s="9">
        <v>46126</v>
      </c>
      <c r="B1111" s="9" t="s">
        <v>257</v>
      </c>
      <c r="C1111" s="14">
        <v>9526</v>
      </c>
      <c r="D1111" s="6" t="s">
        <v>44</v>
      </c>
      <c r="E1111" s="6" t="s">
        <v>47</v>
      </c>
      <c r="F1111" s="6">
        <v>19</v>
      </c>
      <c r="G1111" s="15">
        <v>7.8472222222222221E-2</v>
      </c>
      <c r="H1111" s="16">
        <v>0</v>
      </c>
      <c r="I1111" s="35">
        <f ca="1">IFERROR(Tabela3[[#This Row],[Custo Total]]/Tabela3[[#This Row],[Aluminio Util]],0)</f>
        <v>28.070518301185828</v>
      </c>
      <c r="J1111" s="35">
        <f ca="1">Tabela3[[#This Row],[Custo Total]]/Tabela3[[#This Row],[Realizado]]</f>
        <v>3.5088147876482285</v>
      </c>
      <c r="K1111" s="37">
        <f>IFERROR(Tabela3[[#This Row],[Qtde Cx Produzida]]/Tabela3[[#This Row],[Tempo]]/24,0)</f>
        <v>10.08849557522124</v>
      </c>
      <c r="L1111" s="37">
        <f>Tabela3[[#This Row],[Qtde Cx Produzida]]*Tabela3[[#This Row],[Qdt Peça Placa]]</f>
        <v>152</v>
      </c>
      <c r="M1111" s="37">
        <f>Tabela3[[#This Row],[Previsto]]-Tabela3[[#This Row],[Perda Pçs]]</f>
        <v>152</v>
      </c>
      <c r="N1111" s="38">
        <f>IFERROR(Tabela3[[#This Row],[Perda Pçs]]/Tabela3[[#This Row],[Previsto]],0)</f>
        <v>0</v>
      </c>
      <c r="O1111" s="39">
        <f>IFERROR(IF(Tabela3[[#This Row],[Qtde Cx Produzida]] &lt;&gt; 0, Tabela3[[#This Row],[Tempo]] / Tabela3[[#This Row],[Qtde Cx Produzida]], 0),0)</f>
        <v>4.1301169590643276E-3</v>
      </c>
      <c r="P1111" s="57">
        <f>IFERROR(Tabela3[[#This Row],[Perda Pçs]]/Tabela3[[#This Row],[Qdt Peça Placa]],0)</f>
        <v>0</v>
      </c>
      <c r="Q1111" s="37">
        <f>IFERROR(Tabela3[[#This Row],[Realizado]]*Tabela3[[#This Row],[Peso Util/Pç]],0)</f>
        <v>19</v>
      </c>
      <c r="R1111" s="37">
        <f>IFERROR(Tabela3[[#This Row],[Peso Total Galho]]*Tabela3[[#This Row],[Qtde Cx Produzida]]*1.055,0)</f>
        <v>44.099000000000004</v>
      </c>
      <c r="S1111" s="37">
        <f>(Tabela3[[#This Row],[Aluminio Bruto]]-Tabela3[[#This Row],[Aluminio Util]])*0.9</f>
        <v>22.589100000000006</v>
      </c>
      <c r="T1111" s="37">
        <f>Tabela3[[#This Row],[Aluminio Bruto]]/OleoKGAluminio</f>
        <v>18.552392280540811</v>
      </c>
      <c r="U1111" s="35">
        <f>IFERROR((VLOOKUP(Tabela3[[#This Row],[Moldador]],Tabela1[],5,)+(VLOOKUP(Tabela3[[#This Row],[Ajudante]],Tabela1[],5,))*3.5),0)</f>
        <v>99.95034583333333</v>
      </c>
      <c r="V1111" s="35">
        <f>IFERROR(Tabela3[[#This Row],[Custo M.O. / H]]/((Tabela3[[#This Row],[Realizado]]/Tabela3[[#This Row],[Qdt Peça Placa]])/Tabela3[[#This Row],[Tempo]]/24),)</f>
        <v>9.9073588413742684</v>
      </c>
      <c r="W1111" s="35">
        <f>Tabela3[[#This Row],[Custo / Cx Moldada]]*Tabela3[[#This Row],[Qtde Cx Produzida]]</f>
        <v>188.23981798611109</v>
      </c>
      <c r="X1111" s="35">
        <f ca="1">Tabela3[[#This Row],[Aluminio Util]]*Tabela3[[#This Row],[Custo/Kg]]</f>
        <v>296.40000000000003</v>
      </c>
      <c r="Y1111" s="35">
        <f>IFERROR(VLOOKUP(Tabela3[[#This Row],[Data]],Tabela461213[],2,1)*(Tabela3[[#This Row],[Qtde Cx Produzida]]*Tabela3[[#This Row],[Qde macho / CX]]*Tabela3[[#This Row],[Peso Macho]]),)</f>
        <v>0</v>
      </c>
      <c r="Z1111" s="35">
        <f>IFERROR(Tabela3[[#This Row],[Qtde Oleo]]*(VLOOKUP(Tabela3[[#This Row],[Data]],CompraOleo[],3,TRUE))*1.05,0)</f>
        <v>48.70002973641963</v>
      </c>
      <c r="AA1111" s="47">
        <f ca="1">(Tabela3[[#This Row],[Custo Oleo]]+Tabela3[[#This Row],[Custo Aluminio]]+Tabela3[[#This Row],[Custo M.O. Total]]+Tabela3[[#This Row],[Custo Machos]])</f>
        <v>533.33984772253075</v>
      </c>
      <c r="AB1111" s="47">
        <f ca="1">Tabela3[[#This Row],[Custo Total]]*Tabela3[[#This Row],[% Perda]]</f>
        <v>0</v>
      </c>
      <c r="AC1111" s="40">
        <f>IFERROR(VLOOKUP(Tabela3[[#This Row],[Produto]],Tabela2[],2,0),0)</f>
        <v>8</v>
      </c>
      <c r="AD1111" s="48">
        <f>IFERROR(VLOOKUP(Tabela3[[#This Row],[Produto]],Tabela2[],3,0),0)</f>
        <v>0.125</v>
      </c>
      <c r="AE1111" s="48">
        <f>IFERROR(VLOOKUP(Tabela3[[#This Row],[Produto]],Tabela2[],4,0),0)</f>
        <v>2.2000000000000002</v>
      </c>
      <c r="AF1111" s="48">
        <f>IFERROR(VLOOKUP(Tabela3[[#This Row],[Produto]],Tabela2[],5,0),0)</f>
        <v>1.0800000000000003</v>
      </c>
      <c r="AG1111" s="48">
        <f>IFERROR(VLOOKUP(Tabela3[[#This Row],[Produto]],Tabela2[],6,0),0)</f>
        <v>0</v>
      </c>
      <c r="AH1111" s="40">
        <f>IFERROR(VLOOKUP(Tabela3[[#This Row],[Produto]],Tabela2[],7,0),0)</f>
        <v>0</v>
      </c>
      <c r="AI1111" s="40">
        <f>IFERROR(VLOOKUP(Tabela3[[#This Row],[Produto]],Tabela2[],8,0),0)</f>
        <v>0</v>
      </c>
      <c r="AJ1111" s="35">
        <f ca="1">IFERROR(VLOOKUP(Tabela3[[#This Row],[Produto]],Tabela2[],13,0),0)</f>
        <v>15.600000000000001</v>
      </c>
      <c r="AK1111" s="48" t="str">
        <f>IFERROR(VLOOKUP(Tabela3[[#This Row],[Produto]],Tabela2[],14,0),0)</f>
        <v>Senun</v>
      </c>
      <c r="AL1111" s="40">
        <f>IFERROR(VLOOKUP(Tabela3[[#This Row],[Produto]],Tabela2[],15,0),0)</f>
        <v>7</v>
      </c>
      <c r="AM1111" s="36">
        <f ca="1">(Tabela3[[#This Row],[Custo Usinagem]]+Tabela3[[#This Row],[Custo / Pç]])*1.2</f>
        <v>12.610577745177874</v>
      </c>
      <c r="AN1111" s="36">
        <f ca="1">Tabela3[[#This Row],[Valor Mínimo Venda]]*1.15</f>
        <v>14.502164406954554</v>
      </c>
      <c r="AO1111" s="36">
        <f ca="1">Tabela3[[#This Row],[Tabela 1]]*1.08</f>
        <v>15.66233755951092</v>
      </c>
      <c r="AP1111" s="36">
        <f ca="1">Tabela3[[#This Row],[Tabela 2]]*1.15</f>
        <v>18.011688193437557</v>
      </c>
    </row>
    <row r="1112" spans="1:42">
      <c r="A1112" s="9">
        <v>46126</v>
      </c>
      <c r="B1112" s="9" t="s">
        <v>135</v>
      </c>
      <c r="C1112" s="14">
        <v>9556</v>
      </c>
      <c r="D1112" s="6" t="s">
        <v>44</v>
      </c>
      <c r="E1112" s="6" t="s">
        <v>47</v>
      </c>
      <c r="F1112" s="6">
        <v>14</v>
      </c>
      <c r="G1112" s="15">
        <v>6.3888888888888884E-2</v>
      </c>
      <c r="H1112" s="16">
        <v>0</v>
      </c>
      <c r="I1112" s="35">
        <f ca="1">IFERROR(Tabela3[[#This Row],[Custo Total]]/Tabela3[[#This Row],[Aluminio Util]],0)</f>
        <v>26.396903676108302</v>
      </c>
      <c r="J1112" s="35">
        <f ca="1">Tabela3[[#This Row],[Custo Total]]/Tabela3[[#This Row],[Realizado]]</f>
        <v>46.722519506711699</v>
      </c>
      <c r="K1112" s="37">
        <f>IFERROR(Tabela3[[#This Row],[Qtde Cx Produzida]]/Tabela3[[#This Row],[Tempo]]/24,0)</f>
        <v>9.1304347826086971</v>
      </c>
      <c r="L1112" s="37">
        <f>Tabela3[[#This Row],[Qtde Cx Produzida]]*Tabela3[[#This Row],[Qdt Peça Placa]]</f>
        <v>14</v>
      </c>
      <c r="M1112" s="37">
        <f>Tabela3[[#This Row],[Previsto]]-Tabela3[[#This Row],[Perda Pçs]]</f>
        <v>14</v>
      </c>
      <c r="N1112" s="38">
        <f>IFERROR(Tabela3[[#This Row],[Perda Pçs]]/Tabela3[[#This Row],[Previsto]],0)</f>
        <v>0</v>
      </c>
      <c r="O1112" s="39">
        <f>IFERROR(IF(Tabela3[[#This Row],[Qtde Cx Produzida]] &lt;&gt; 0, Tabela3[[#This Row],[Tempo]] / Tabela3[[#This Row],[Qtde Cx Produzida]], 0),0)</f>
        <v>4.5634920634920629E-3</v>
      </c>
      <c r="P1112" s="57">
        <f>IFERROR(Tabela3[[#This Row],[Perda Pçs]]/Tabela3[[#This Row],[Qdt Peça Placa]],0)</f>
        <v>0</v>
      </c>
      <c r="Q1112" s="37">
        <f>IFERROR(Tabela3[[#This Row],[Realizado]]*Tabela3[[#This Row],[Peso Util/Pç]],0)</f>
        <v>24.78</v>
      </c>
      <c r="R1112" s="37">
        <f>IFERROR(Tabela3[[#This Row],[Peso Total Galho]]*Tabela3[[#This Row],[Qtde Cx Produzida]]*1.055,0)</f>
        <v>46.2301</v>
      </c>
      <c r="S1112" s="37">
        <f>(Tabela3[[#This Row],[Aluminio Bruto]]-Tabela3[[#This Row],[Aluminio Util]])*0.9</f>
        <v>19.30509</v>
      </c>
      <c r="T1112" s="37">
        <f>Tabela3[[#This Row],[Aluminio Bruto]]/OleoKGAluminio</f>
        <v>19.448943295054981</v>
      </c>
      <c r="U1112" s="35">
        <f>IFERROR((VLOOKUP(Tabela3[[#This Row],[Moldador]],Tabela1[],5,)+(VLOOKUP(Tabela3[[#This Row],[Ajudante]],Tabela1[],5,))*3.5),0)</f>
        <v>99.95034583333333</v>
      </c>
      <c r="V1112" s="35">
        <f>IFERROR(Tabela3[[#This Row],[Custo M.O. / H]]/((Tabela3[[#This Row],[Realizado]]/Tabela3[[#This Row],[Qdt Peça Placa]])/Tabela3[[#This Row],[Tempo]]/24),)</f>
        <v>10.946942638888887</v>
      </c>
      <c r="W1112" s="35">
        <f>Tabela3[[#This Row],[Custo / Cx Moldada]]*Tabela3[[#This Row],[Qtde Cx Produzida]]</f>
        <v>153.25719694444442</v>
      </c>
      <c r="X1112" s="35">
        <f ca="1">Tabela3[[#This Row],[Aluminio Util]]*Tabela3[[#This Row],[Custo/Kg]]</f>
        <v>386.56800000000004</v>
      </c>
      <c r="Y1112" s="35">
        <f>IFERROR(VLOOKUP(Tabela3[[#This Row],[Data]],Tabela461213[],2,1)*(Tabela3[[#This Row],[Qtde Cx Produzida]]*Tabela3[[#This Row],[Qde macho / CX]]*Tabela3[[#This Row],[Peso Macho]]),)</f>
        <v>63.236599999999996</v>
      </c>
      <c r="Z1112" s="35">
        <f>IFERROR(Tabela3[[#This Row],[Qtde Oleo]]*(VLOOKUP(Tabela3[[#This Row],[Data]],CompraOleo[],3,TRUE))*1.05,0)</f>
        <v>51.053476149519334</v>
      </c>
      <c r="AA1112" s="47">
        <f ca="1">(Tabela3[[#This Row],[Custo Oleo]]+Tabela3[[#This Row],[Custo Aluminio]]+Tabela3[[#This Row],[Custo M.O. Total]]+Tabela3[[#This Row],[Custo Machos]])</f>
        <v>654.11527309396376</v>
      </c>
      <c r="AB1112" s="47">
        <f ca="1">Tabela3[[#This Row],[Custo Total]]*Tabela3[[#This Row],[% Perda]]</f>
        <v>0</v>
      </c>
      <c r="AC1112" s="40">
        <f>IFERROR(VLOOKUP(Tabela3[[#This Row],[Produto]],Tabela2[],2,0),0)</f>
        <v>1</v>
      </c>
      <c r="AD1112" s="48">
        <f>IFERROR(VLOOKUP(Tabela3[[#This Row],[Produto]],Tabela2[],3,0),0)</f>
        <v>1.77</v>
      </c>
      <c r="AE1112" s="48">
        <f>IFERROR(VLOOKUP(Tabela3[[#This Row],[Produto]],Tabela2[],4,0),0)</f>
        <v>3.13</v>
      </c>
      <c r="AF1112" s="48">
        <f>IFERROR(VLOOKUP(Tabela3[[#This Row],[Produto]],Tabela2[],5,0),0)</f>
        <v>1.224</v>
      </c>
      <c r="AG1112" s="48">
        <f>IFERROR(VLOOKUP(Tabela3[[#This Row],[Produto]],Tabela2[],6,0),0)</f>
        <v>0</v>
      </c>
      <c r="AH1112" s="40">
        <f>IFERROR(VLOOKUP(Tabela3[[#This Row],[Produto]],Tabela2[],7,0),0)</f>
        <v>1</v>
      </c>
      <c r="AI1112" s="40">
        <f>IFERROR(VLOOKUP(Tabela3[[#This Row],[Produto]],Tabela2[],8,0),0)</f>
        <v>2.657</v>
      </c>
      <c r="AJ1112" s="35">
        <f ca="1">IFERROR(VLOOKUP(Tabela3[[#This Row],[Produto]],Tabela2[],13,0),0)</f>
        <v>15.600000000000001</v>
      </c>
      <c r="AK1112" s="48" t="str">
        <f>IFERROR(VLOOKUP(Tabela3[[#This Row],[Produto]],Tabela2[],14,0),0)</f>
        <v>Jumil</v>
      </c>
      <c r="AL1112" s="40">
        <f>IFERROR(VLOOKUP(Tabela3[[#This Row],[Produto]],Tabela2[],15,0),0)</f>
        <v>10</v>
      </c>
      <c r="AM1112" s="36">
        <f ca="1">(Tabela3[[#This Row],[Custo Usinagem]]+Tabela3[[#This Row],[Custo / Pç]])*1.2</f>
        <v>68.067023408054041</v>
      </c>
      <c r="AN1112" s="36">
        <f ca="1">Tabela3[[#This Row],[Valor Mínimo Venda]]*1.15</f>
        <v>78.277076919262143</v>
      </c>
      <c r="AO1112" s="36">
        <f ca="1">Tabela3[[#This Row],[Tabela 1]]*1.08</f>
        <v>84.539243072803117</v>
      </c>
      <c r="AP1112" s="36">
        <f ca="1">Tabela3[[#This Row],[Tabela 2]]*1.15</f>
        <v>97.220129533723579</v>
      </c>
    </row>
    <row r="1113" spans="1:42">
      <c r="A1113" s="9">
        <v>46126</v>
      </c>
      <c r="B1113" s="9" t="s">
        <v>238</v>
      </c>
      <c r="C1113" s="14">
        <v>9558</v>
      </c>
      <c r="D1113" s="6" t="s">
        <v>44</v>
      </c>
      <c r="E1113" s="6" t="s">
        <v>47</v>
      </c>
      <c r="F1113" s="6">
        <v>20</v>
      </c>
      <c r="G1113" s="15">
        <v>0.10208333333333333</v>
      </c>
      <c r="H1113" s="16">
        <v>3</v>
      </c>
      <c r="I1113" s="35">
        <f ca="1">IFERROR(Tabela3[[#This Row],[Custo Total]]/Tabela3[[#This Row],[Aluminio Util]],0)</f>
        <v>22.86009102036833</v>
      </c>
      <c r="J1113" s="35">
        <f ca="1">Tabela3[[#This Row],[Custo Total]]/Tabela3[[#This Row],[Realizado]]</f>
        <v>8.3896534044751778</v>
      </c>
      <c r="K1113" s="37">
        <f>IFERROR(Tabela3[[#This Row],[Qtde Cx Produzida]]/Tabela3[[#This Row],[Tempo]]/24,0)</f>
        <v>8.1632653061224492</v>
      </c>
      <c r="L1113" s="37">
        <f>Tabela3[[#This Row],[Qtde Cx Produzida]]*Tabela3[[#This Row],[Qdt Peça Placa]]</f>
        <v>120</v>
      </c>
      <c r="M1113" s="37">
        <f>Tabela3[[#This Row],[Previsto]]-Tabela3[[#This Row],[Perda Pçs]]</f>
        <v>117</v>
      </c>
      <c r="N1113" s="38">
        <f>IFERROR(Tabela3[[#This Row],[Perda Pçs]]/Tabela3[[#This Row],[Previsto]],0)</f>
        <v>2.5000000000000001E-2</v>
      </c>
      <c r="O1113" s="39">
        <f>IFERROR(IF(Tabela3[[#This Row],[Qtde Cx Produzida]] &lt;&gt; 0, Tabela3[[#This Row],[Tempo]] / Tabela3[[#This Row],[Qtde Cx Produzida]], 0),0)</f>
        <v>5.1041666666666666E-3</v>
      </c>
      <c r="P1113" s="57">
        <f>IFERROR(Tabela3[[#This Row],[Perda Pçs]]/Tabela3[[#This Row],[Qdt Peça Placa]],0)</f>
        <v>0.5</v>
      </c>
      <c r="Q1113" s="37">
        <f>IFERROR(Tabela3[[#This Row],[Realizado]]*Tabela3[[#This Row],[Peso Util/Pç]],0)</f>
        <v>42.939</v>
      </c>
      <c r="R1113" s="37">
        <f>IFERROR(Tabela3[[#This Row],[Peso Total Galho]]*Tabela3[[#This Row],[Qtde Cx Produzida]]*1.055,0)</f>
        <v>54.86</v>
      </c>
      <c r="S1113" s="37">
        <f>(Tabela3[[#This Row],[Aluminio Bruto]]-Tabela3[[#This Row],[Aluminio Util]])*0.9</f>
        <v>10.728899999999999</v>
      </c>
      <c r="T1113" s="37">
        <f>Tabela3[[#This Row],[Aluminio Bruto]]/OleoKGAluminio</f>
        <v>23.079531066701485</v>
      </c>
      <c r="U1113" s="35">
        <f>IFERROR((VLOOKUP(Tabela3[[#This Row],[Moldador]],Tabela1[],5,)+(VLOOKUP(Tabela3[[#This Row],[Ajudante]],Tabela1[],5,))*3.5),0)</f>
        <v>99.95034583333333</v>
      </c>
      <c r="V1113" s="35">
        <f>IFERROR(Tabela3[[#This Row],[Custo M.O. / H]]/((Tabela3[[#This Row],[Realizado]]/Tabela3[[#This Row],[Qdt Peça Placa]])/Tabela3[[#This Row],[Tempo]]/24),)</f>
        <v>12.557863963675214</v>
      </c>
      <c r="W1113" s="35">
        <f>Tabela3[[#This Row],[Custo / Cx Moldada]]*Tabela3[[#This Row],[Qtde Cx Produzida]]</f>
        <v>251.15727927350429</v>
      </c>
      <c r="X1113" s="35">
        <f ca="1">Tabela3[[#This Row],[Aluminio Util]]*Tabela3[[#This Row],[Custo/Kg]]</f>
        <v>669.84840000000008</v>
      </c>
      <c r="Y1113" s="35">
        <f>IFERROR(VLOOKUP(Tabela3[[#This Row],[Data]],Tabela461213[],2,1)*(Tabela3[[#This Row],[Qtde Cx Produzida]]*Tabela3[[#This Row],[Qde macho / CX]]*Tabela3[[#This Row],[Peso Macho]]),)</f>
        <v>0</v>
      </c>
      <c r="Z1113" s="35">
        <f>IFERROR(Tabela3[[#This Row],[Qtde Oleo]]*(VLOOKUP(Tabela3[[#This Row],[Data]],CompraOleo[],3,TRUE))*1.05,0)</f>
        <v>60.583769050091405</v>
      </c>
      <c r="AA1113" s="47">
        <f ca="1">(Tabela3[[#This Row],[Custo Oleo]]+Tabela3[[#This Row],[Custo Aluminio]]+Tabela3[[#This Row],[Custo M.O. Total]]+Tabela3[[#This Row],[Custo Machos]])</f>
        <v>981.58944832359578</v>
      </c>
      <c r="AB1113" s="47">
        <f ca="1">Tabela3[[#This Row],[Custo Total]]*Tabela3[[#This Row],[% Perda]]</f>
        <v>24.539736208089895</v>
      </c>
      <c r="AC1113" s="40">
        <f>IFERROR(VLOOKUP(Tabela3[[#This Row],[Produto]],Tabela2[],2,0),0)</f>
        <v>6</v>
      </c>
      <c r="AD1113" s="48">
        <f>IFERROR(VLOOKUP(Tabela3[[#This Row],[Produto]],Tabela2[],3,0),0)</f>
        <v>0.36699999999999999</v>
      </c>
      <c r="AE1113" s="48">
        <f>IFERROR(VLOOKUP(Tabela3[[#This Row],[Produto]],Tabela2[],4,0),0)</f>
        <v>2.6</v>
      </c>
      <c r="AF1113" s="48">
        <f>IFERROR(VLOOKUP(Tabela3[[#This Row],[Produto]],Tabela2[],5,0),0)</f>
        <v>0.35820000000000013</v>
      </c>
      <c r="AG1113" s="48">
        <f>IFERROR(VLOOKUP(Tabela3[[#This Row],[Produto]],Tabela2[],6,0),0)</f>
        <v>0</v>
      </c>
      <c r="AH1113" s="40">
        <f>IFERROR(VLOOKUP(Tabela3[[#This Row],[Produto]],Tabela2[],7,0),0)</f>
        <v>0</v>
      </c>
      <c r="AI1113" s="40">
        <f>IFERROR(VLOOKUP(Tabela3[[#This Row],[Produto]],Tabela2[],8,0),0)</f>
        <v>0</v>
      </c>
      <c r="AJ1113" s="35">
        <f ca="1">IFERROR(VLOOKUP(Tabela3[[#This Row],[Produto]],Tabela2[],13,0),0)</f>
        <v>15.600000000000001</v>
      </c>
      <c r="AK1113" s="48" t="str">
        <f>IFERROR(VLOOKUP(Tabela3[[#This Row],[Produto]],Tabela2[],14,0),0)</f>
        <v>Senun</v>
      </c>
      <c r="AL1113" s="40">
        <f>IFERROR(VLOOKUP(Tabela3[[#This Row],[Produto]],Tabela2[],15,0),0)</f>
        <v>4</v>
      </c>
      <c r="AM1113" s="36">
        <f ca="1">(Tabela3[[#This Row],[Custo Usinagem]]+Tabela3[[#This Row],[Custo / Pç]])*1.2</f>
        <v>14.867584085370213</v>
      </c>
      <c r="AN1113" s="36">
        <f ca="1">Tabela3[[#This Row],[Valor Mínimo Venda]]*1.15</f>
        <v>17.097721698175743</v>
      </c>
      <c r="AO1113" s="36">
        <f ca="1">Tabela3[[#This Row],[Tabela 1]]*1.08</f>
        <v>18.465539434029804</v>
      </c>
      <c r="AP1113" s="36">
        <f ca="1">Tabela3[[#This Row],[Tabela 2]]*1.15</f>
        <v>21.235370349134271</v>
      </c>
    </row>
    <row r="1114" spans="1:42">
      <c r="A1114" s="9">
        <v>46127</v>
      </c>
      <c r="B1114" s="9" t="s">
        <v>257</v>
      </c>
      <c r="C1114" s="14">
        <v>9526</v>
      </c>
      <c r="D1114" s="6" t="s">
        <v>46</v>
      </c>
      <c r="E1114" s="6" t="s">
        <v>54</v>
      </c>
      <c r="F1114" s="6">
        <v>25</v>
      </c>
      <c r="G1114" s="15">
        <v>0.11944444444444445</v>
      </c>
      <c r="H1114" s="16">
        <v>0</v>
      </c>
      <c r="I1114" s="35">
        <f ca="1">IFERROR(Tabela3[[#This Row],[Custo Total]]/Tabela3[[#This Row],[Aluminio Util]],0)</f>
        <v>32.621995459811558</v>
      </c>
      <c r="J1114" s="35">
        <f ca="1">Tabela3[[#This Row],[Custo Total]]/Tabela3[[#This Row],[Realizado]]</f>
        <v>4.0777494324764447</v>
      </c>
      <c r="K1114" s="37">
        <f>IFERROR(Tabela3[[#This Row],[Qtde Cx Produzida]]/Tabela3[[#This Row],[Tempo]]/24,0)</f>
        <v>8.720930232558139</v>
      </c>
      <c r="L1114" s="37">
        <f>Tabela3[[#This Row],[Qtde Cx Produzida]]*Tabela3[[#This Row],[Qdt Peça Placa]]</f>
        <v>200</v>
      </c>
      <c r="M1114" s="37">
        <f>Tabela3[[#This Row],[Previsto]]-Tabela3[[#This Row],[Perda Pçs]]</f>
        <v>200</v>
      </c>
      <c r="N1114" s="38">
        <f>IFERROR(Tabela3[[#This Row],[Perda Pçs]]/Tabela3[[#This Row],[Previsto]],0)</f>
        <v>0</v>
      </c>
      <c r="O1114" s="39">
        <f>IFERROR(IF(Tabela3[[#This Row],[Qtde Cx Produzida]] &lt;&gt; 0, Tabela3[[#This Row],[Tempo]] / Tabela3[[#This Row],[Qtde Cx Produzida]], 0),0)</f>
        <v>4.7777777777777784E-3</v>
      </c>
      <c r="P1114" s="57">
        <f>IFERROR(Tabela3[[#This Row],[Perda Pçs]]/Tabela3[[#This Row],[Qdt Peça Placa]],0)</f>
        <v>0</v>
      </c>
      <c r="Q1114" s="37">
        <f>IFERROR(Tabela3[[#This Row],[Realizado]]*Tabela3[[#This Row],[Peso Util/Pç]],0)</f>
        <v>25</v>
      </c>
      <c r="R1114" s="37">
        <f>IFERROR(Tabela3[[#This Row],[Peso Total Galho]]*Tabela3[[#This Row],[Qtde Cx Produzida]]*1.055,0)</f>
        <v>58.025000000000006</v>
      </c>
      <c r="S1114" s="37">
        <f>(Tabela3[[#This Row],[Aluminio Bruto]]-Tabela3[[#This Row],[Aluminio Util]])*0.9</f>
        <v>29.722500000000007</v>
      </c>
      <c r="T1114" s="37">
        <f>Tabela3[[#This Row],[Aluminio Bruto]]/OleoKGAluminio</f>
        <v>24.411042474395803</v>
      </c>
      <c r="U1114" s="35">
        <f>IFERROR((VLOOKUP(Tabela3[[#This Row],[Moldador]],Tabela1[],5,)+(VLOOKUP(Tabela3[[#This Row],[Ajudante]],Tabela1[],5,))*3.5),0)</f>
        <v>126.0945</v>
      </c>
      <c r="V1114" s="35">
        <f>IFERROR(Tabela3[[#This Row],[Custo M.O. / H]]/((Tabela3[[#This Row],[Realizado]]/Tabela3[[#This Row],[Qdt Peça Placa]])/Tabela3[[#This Row],[Tempo]]/24),)</f>
        <v>14.458836</v>
      </c>
      <c r="W1114" s="35">
        <f>Tabela3[[#This Row],[Custo / Cx Moldada]]*Tabela3[[#This Row],[Qtde Cx Produzida]]</f>
        <v>361.47089999999997</v>
      </c>
      <c r="X1114" s="35">
        <f ca="1">Tabela3[[#This Row],[Aluminio Util]]*Tabela3[[#This Row],[Custo/Kg]]</f>
        <v>390.00000000000006</v>
      </c>
      <c r="Y1114" s="35">
        <f>IFERROR(VLOOKUP(Tabela3[[#This Row],[Data]],Tabela461213[],2,1)*(Tabela3[[#This Row],[Qtde Cx Produzida]]*Tabela3[[#This Row],[Qde macho / CX]]*Tabela3[[#This Row],[Peso Macho]]),)</f>
        <v>0</v>
      </c>
      <c r="Z1114" s="35">
        <f>IFERROR(Tabela3[[#This Row],[Qtde Oleo]]*(VLOOKUP(Tabela3[[#This Row],[Data]],CompraOleo[],3,TRUE))*1.05,0)</f>
        <v>64.078986495288987</v>
      </c>
      <c r="AA1114" s="47">
        <f ca="1">(Tabela3[[#This Row],[Custo Oleo]]+Tabela3[[#This Row],[Custo Aluminio]]+Tabela3[[#This Row],[Custo M.O. Total]]+Tabela3[[#This Row],[Custo Machos]])</f>
        <v>815.549886495289</v>
      </c>
      <c r="AB1114" s="47">
        <f ca="1">Tabela3[[#This Row],[Custo Total]]*Tabela3[[#This Row],[% Perda]]</f>
        <v>0</v>
      </c>
      <c r="AC1114" s="40">
        <f>IFERROR(VLOOKUP(Tabela3[[#This Row],[Produto]],Tabela2[],2,0),0)</f>
        <v>8</v>
      </c>
      <c r="AD1114" s="48">
        <f>IFERROR(VLOOKUP(Tabela3[[#This Row],[Produto]],Tabela2[],3,0),0)</f>
        <v>0.125</v>
      </c>
      <c r="AE1114" s="48">
        <f>IFERROR(VLOOKUP(Tabela3[[#This Row],[Produto]],Tabela2[],4,0),0)</f>
        <v>2.2000000000000002</v>
      </c>
      <c r="AF1114" s="48">
        <f>IFERROR(VLOOKUP(Tabela3[[#This Row],[Produto]],Tabela2[],5,0),0)</f>
        <v>1.0800000000000003</v>
      </c>
      <c r="AG1114" s="48">
        <f>IFERROR(VLOOKUP(Tabela3[[#This Row],[Produto]],Tabela2[],6,0),0)</f>
        <v>0</v>
      </c>
      <c r="AH1114" s="40">
        <f>IFERROR(VLOOKUP(Tabela3[[#This Row],[Produto]],Tabela2[],7,0),0)</f>
        <v>0</v>
      </c>
      <c r="AI1114" s="40">
        <f>IFERROR(VLOOKUP(Tabela3[[#This Row],[Produto]],Tabela2[],8,0),0)</f>
        <v>0</v>
      </c>
      <c r="AJ1114" s="35">
        <f ca="1">IFERROR(VLOOKUP(Tabela3[[#This Row],[Produto]],Tabela2[],13,0),0)</f>
        <v>15.600000000000001</v>
      </c>
      <c r="AK1114" s="48" t="str">
        <f>IFERROR(VLOOKUP(Tabela3[[#This Row],[Produto]],Tabela2[],14,0),0)</f>
        <v>Senun</v>
      </c>
      <c r="AL1114" s="40">
        <f>IFERROR(VLOOKUP(Tabela3[[#This Row],[Produto]],Tabela2[],15,0),0)</f>
        <v>7</v>
      </c>
      <c r="AM1114" s="36">
        <f ca="1">(Tabela3[[#This Row],[Custo Usinagem]]+Tabela3[[#This Row],[Custo / Pç]])*1.2</f>
        <v>13.293299318971734</v>
      </c>
      <c r="AN1114" s="36">
        <f ca="1">Tabela3[[#This Row],[Valor Mínimo Venda]]*1.15</f>
        <v>15.287294216817493</v>
      </c>
      <c r="AO1114" s="36">
        <f ca="1">Tabela3[[#This Row],[Tabela 1]]*1.08</f>
        <v>16.510277754162892</v>
      </c>
      <c r="AP1114" s="36">
        <f ca="1">Tabela3[[#This Row],[Tabela 2]]*1.15</f>
        <v>18.986819417287325</v>
      </c>
    </row>
    <row r="1115" spans="1:42">
      <c r="A1115" s="9">
        <v>46127</v>
      </c>
      <c r="B1115" s="9" t="s">
        <v>135</v>
      </c>
      <c r="C1115" s="14">
        <v>9556</v>
      </c>
      <c r="D1115" s="6" t="s">
        <v>44</v>
      </c>
      <c r="E1115" s="6" t="s">
        <v>54</v>
      </c>
      <c r="F1115" s="6">
        <v>3</v>
      </c>
      <c r="G1115" s="15">
        <v>1.9444444444444445E-2</v>
      </c>
      <c r="H1115" s="16">
        <v>0</v>
      </c>
      <c r="I1115" s="35">
        <f ca="1">IFERROR(Tabela3[[#This Row],[Custo Total]]/Tabela3[[#This Row],[Aluminio Util]],0)</f>
        <v>31.293941733233229</v>
      </c>
      <c r="J1115" s="35">
        <f ca="1">Tabela3[[#This Row],[Custo Total]]/Tabela3[[#This Row],[Realizado]]</f>
        <v>55.39027686782282</v>
      </c>
      <c r="K1115" s="37">
        <f>IFERROR(Tabela3[[#This Row],[Qtde Cx Produzida]]/Tabela3[[#This Row],[Tempo]]/24,0)</f>
        <v>6.4285714285714279</v>
      </c>
      <c r="L1115" s="37">
        <f>Tabela3[[#This Row],[Qtde Cx Produzida]]*Tabela3[[#This Row],[Qdt Peça Placa]]</f>
        <v>3</v>
      </c>
      <c r="M1115" s="37">
        <f>Tabela3[[#This Row],[Previsto]]-Tabela3[[#This Row],[Perda Pçs]]</f>
        <v>3</v>
      </c>
      <c r="N1115" s="38">
        <f>IFERROR(Tabela3[[#This Row],[Perda Pçs]]/Tabela3[[#This Row],[Previsto]],0)</f>
        <v>0</v>
      </c>
      <c r="O1115" s="39">
        <f>IFERROR(IF(Tabela3[[#This Row],[Qtde Cx Produzida]] &lt;&gt; 0, Tabela3[[#This Row],[Tempo]] / Tabela3[[#This Row],[Qtde Cx Produzida]], 0),0)</f>
        <v>6.4814814814814813E-3</v>
      </c>
      <c r="P1115" s="57">
        <f>IFERROR(Tabela3[[#This Row],[Perda Pçs]]/Tabela3[[#This Row],[Qdt Peça Placa]],0)</f>
        <v>0</v>
      </c>
      <c r="Q1115" s="37">
        <f>IFERROR(Tabela3[[#This Row],[Realizado]]*Tabela3[[#This Row],[Peso Util/Pç]],0)</f>
        <v>5.3100000000000005</v>
      </c>
      <c r="R1115" s="37">
        <f>IFERROR(Tabela3[[#This Row],[Peso Total Galho]]*Tabela3[[#This Row],[Qtde Cx Produzida]]*1.055,0)</f>
        <v>9.9064499999999995</v>
      </c>
      <c r="S1115" s="37">
        <f>(Tabela3[[#This Row],[Aluminio Bruto]]-Tabela3[[#This Row],[Aluminio Util]])*0.9</f>
        <v>4.136804999999999</v>
      </c>
      <c r="T1115" s="37">
        <f>Tabela3[[#This Row],[Aluminio Bruto]]/OleoKGAluminio</f>
        <v>4.1676307060832105</v>
      </c>
      <c r="U1115" s="35">
        <f>IFERROR((VLOOKUP(Tabela3[[#This Row],[Moldador]],Tabela1[],5,)+(VLOOKUP(Tabela3[[#This Row],[Ajudante]],Tabela1[],5,))*3.5),0)</f>
        <v>126.0945</v>
      </c>
      <c r="V1115" s="35">
        <f>IFERROR(Tabela3[[#This Row],[Custo M.O. / H]]/((Tabela3[[#This Row],[Realizado]]/Tabela3[[#This Row],[Qdt Peça Placa]])/Tabela3[[#This Row],[Tempo]]/24),)</f>
        <v>19.614700000000003</v>
      </c>
      <c r="W1115" s="35">
        <f>Tabela3[[#This Row],[Custo / Cx Moldada]]*Tabela3[[#This Row],[Qtde Cx Produzida]]</f>
        <v>58.844100000000012</v>
      </c>
      <c r="X1115" s="35">
        <f ca="1">Tabela3[[#This Row],[Aluminio Util]]*Tabela3[[#This Row],[Custo/Kg]]</f>
        <v>82.836000000000013</v>
      </c>
      <c r="Y1115" s="35">
        <f>IFERROR(VLOOKUP(Tabela3[[#This Row],[Data]],Tabela461213[],2,1)*(Tabela3[[#This Row],[Qtde Cx Produzida]]*Tabela3[[#This Row],[Qde macho / CX]]*Tabela3[[#This Row],[Peso Macho]]),)</f>
        <v>13.550699999999999</v>
      </c>
      <c r="Z1115" s="35">
        <f>IFERROR(Tabela3[[#This Row],[Qtde Oleo]]*(VLOOKUP(Tabela3[[#This Row],[Data]],CompraOleo[],3,TRUE))*1.05,0)</f>
        <v>10.940030603468427</v>
      </c>
      <c r="AA1115" s="47">
        <f ca="1">(Tabela3[[#This Row],[Custo Oleo]]+Tabela3[[#This Row],[Custo Aluminio]]+Tabela3[[#This Row],[Custo M.O. Total]]+Tabela3[[#This Row],[Custo Machos]])</f>
        <v>166.17083060346846</v>
      </c>
      <c r="AB1115" s="47">
        <f ca="1">Tabela3[[#This Row],[Custo Total]]*Tabela3[[#This Row],[% Perda]]</f>
        <v>0</v>
      </c>
      <c r="AC1115" s="40">
        <f>IFERROR(VLOOKUP(Tabela3[[#This Row],[Produto]],Tabela2[],2,0),0)</f>
        <v>1</v>
      </c>
      <c r="AD1115" s="48">
        <f>IFERROR(VLOOKUP(Tabela3[[#This Row],[Produto]],Tabela2[],3,0),0)</f>
        <v>1.77</v>
      </c>
      <c r="AE1115" s="48">
        <f>IFERROR(VLOOKUP(Tabela3[[#This Row],[Produto]],Tabela2[],4,0),0)</f>
        <v>3.13</v>
      </c>
      <c r="AF1115" s="48">
        <f>IFERROR(VLOOKUP(Tabela3[[#This Row],[Produto]],Tabela2[],5,0),0)</f>
        <v>1.224</v>
      </c>
      <c r="AG1115" s="48">
        <f>IFERROR(VLOOKUP(Tabela3[[#This Row],[Produto]],Tabela2[],6,0),0)</f>
        <v>0</v>
      </c>
      <c r="AH1115" s="40">
        <f>IFERROR(VLOOKUP(Tabela3[[#This Row],[Produto]],Tabela2[],7,0),0)</f>
        <v>1</v>
      </c>
      <c r="AI1115" s="40">
        <f>IFERROR(VLOOKUP(Tabela3[[#This Row],[Produto]],Tabela2[],8,0),0)</f>
        <v>2.657</v>
      </c>
      <c r="AJ1115" s="35">
        <f ca="1">IFERROR(VLOOKUP(Tabela3[[#This Row],[Produto]],Tabela2[],13,0),0)</f>
        <v>15.600000000000001</v>
      </c>
      <c r="AK1115" s="48" t="str">
        <f>IFERROR(VLOOKUP(Tabela3[[#This Row],[Produto]],Tabela2[],14,0),0)</f>
        <v>Jumil</v>
      </c>
      <c r="AL1115" s="40">
        <f>IFERROR(VLOOKUP(Tabela3[[#This Row],[Produto]],Tabela2[],15,0),0)</f>
        <v>10</v>
      </c>
      <c r="AM1115" s="36">
        <f ca="1">(Tabela3[[#This Row],[Custo Usinagem]]+Tabela3[[#This Row],[Custo / Pç]])*1.2</f>
        <v>78.468332241387387</v>
      </c>
      <c r="AN1115" s="36">
        <f ca="1">Tabela3[[#This Row],[Valor Mínimo Venda]]*1.15</f>
        <v>90.238582077595481</v>
      </c>
      <c r="AO1115" s="36">
        <f ca="1">Tabela3[[#This Row],[Tabela 1]]*1.08</f>
        <v>97.457668643803132</v>
      </c>
      <c r="AP1115" s="36">
        <f ca="1">Tabela3[[#This Row],[Tabela 2]]*1.15</f>
        <v>112.0763189403736</v>
      </c>
    </row>
    <row r="1116" spans="1:42">
      <c r="A1116" s="9">
        <v>46127</v>
      </c>
      <c r="B1116" s="9" t="s">
        <v>240</v>
      </c>
      <c r="C1116" s="14">
        <v>9536</v>
      </c>
      <c r="D1116" s="6" t="s">
        <v>46</v>
      </c>
      <c r="E1116" s="6" t="s">
        <v>44</v>
      </c>
      <c r="F1116" s="6">
        <v>10</v>
      </c>
      <c r="G1116" s="15">
        <v>4.583333333333333E-2</v>
      </c>
      <c r="H1116" s="16">
        <v>0</v>
      </c>
      <c r="I1116" s="35">
        <f ca="1">IFERROR(Tabela3[[#This Row],[Custo Total]]/Tabela3[[#This Row],[Aluminio Util]],0)</f>
        <v>27.294111334486399</v>
      </c>
      <c r="J1116" s="35">
        <f ca="1">Tabela3[[#This Row],[Custo Total]]/Tabela3[[#This Row],[Realizado]]</f>
        <v>9.7439977464116438</v>
      </c>
      <c r="K1116" s="37">
        <f>IFERROR(Tabela3[[#This Row],[Qtde Cx Produzida]]/Tabela3[[#This Row],[Tempo]]/24,0)</f>
        <v>9.0909090909090917</v>
      </c>
      <c r="L1116" s="37">
        <f>Tabela3[[#This Row],[Qtde Cx Produzida]]*Tabela3[[#This Row],[Qdt Peça Placa]]</f>
        <v>40</v>
      </c>
      <c r="M1116" s="37">
        <f>Tabela3[[#This Row],[Previsto]]-Tabela3[[#This Row],[Perda Pçs]]</f>
        <v>40</v>
      </c>
      <c r="N1116" s="38">
        <f>IFERROR(Tabela3[[#This Row],[Perda Pçs]]/Tabela3[[#This Row],[Previsto]],0)</f>
        <v>0</v>
      </c>
      <c r="O1116" s="39">
        <f>IFERROR(IF(Tabela3[[#This Row],[Qtde Cx Produzida]] &lt;&gt; 0, Tabela3[[#This Row],[Tempo]] / Tabela3[[#This Row],[Qtde Cx Produzida]], 0),0)</f>
        <v>4.5833333333333334E-3</v>
      </c>
      <c r="P1116" s="57">
        <f>IFERROR(Tabela3[[#This Row],[Perda Pçs]]/Tabela3[[#This Row],[Qdt Peça Placa]],0)</f>
        <v>0</v>
      </c>
      <c r="Q1116" s="37">
        <f>IFERROR(Tabela3[[#This Row],[Realizado]]*Tabela3[[#This Row],[Peso Util/Pç]],0)</f>
        <v>14.28</v>
      </c>
      <c r="R1116" s="37">
        <f>IFERROR(Tabela3[[#This Row],[Peso Total Galho]]*Tabela3[[#This Row],[Qtde Cx Produzida]]*1.055,0)</f>
        <v>25.615400000000001</v>
      </c>
      <c r="S1116" s="37">
        <f>(Tabela3[[#This Row],[Aluminio Bruto]]-Tabela3[[#This Row],[Aluminio Util]])*0.9</f>
        <v>10.201860000000002</v>
      </c>
      <c r="T1116" s="37">
        <f>Tabela3[[#This Row],[Aluminio Bruto]]/OleoKGAluminio</f>
        <v>10.776365659606002</v>
      </c>
      <c r="U1116" s="35">
        <f>IFERROR((VLOOKUP(Tabela3[[#This Row],[Moldador]],Tabela1[],5,)+(VLOOKUP(Tabela3[[#This Row],[Ajudante]],Tabela1[],5,))*3.5),0)</f>
        <v>126.0945</v>
      </c>
      <c r="V1116" s="35">
        <f>IFERROR(Tabela3[[#This Row],[Custo M.O. / H]]/((Tabela3[[#This Row],[Realizado]]/Tabela3[[#This Row],[Qdt Peça Placa]])/Tabela3[[#This Row],[Tempo]]/24),)</f>
        <v>13.870394999999998</v>
      </c>
      <c r="W1116" s="35">
        <f>Tabela3[[#This Row],[Custo / Cx Moldada]]*Tabela3[[#This Row],[Qtde Cx Produzida]]</f>
        <v>138.70394999999999</v>
      </c>
      <c r="X1116" s="35">
        <f ca="1">Tabela3[[#This Row],[Aluminio Util]]*Tabela3[[#This Row],[Custo/Kg]]</f>
        <v>222.768</v>
      </c>
      <c r="Y1116" s="35">
        <f>IFERROR(VLOOKUP(Tabela3[[#This Row],[Data]],Tabela461213[],2,1)*(Tabela3[[#This Row],[Qtde Cx Produzida]]*Tabela3[[#This Row],[Qde macho / CX]]*Tabela3[[#This Row],[Peso Macho]]),)</f>
        <v>0</v>
      </c>
      <c r="Z1116" s="35">
        <f>IFERROR(Tabela3[[#This Row],[Qtde Oleo]]*(VLOOKUP(Tabela3[[#This Row],[Data]],CompraOleo[],3,TRUE))*1.05,0)</f>
        <v>28.287959856465754</v>
      </c>
      <c r="AA1116" s="47">
        <f ca="1">(Tabela3[[#This Row],[Custo Oleo]]+Tabela3[[#This Row],[Custo Aluminio]]+Tabela3[[#This Row],[Custo M.O. Total]]+Tabela3[[#This Row],[Custo Machos]])</f>
        <v>389.75990985646575</v>
      </c>
      <c r="AB1116" s="47">
        <f ca="1">Tabela3[[#This Row],[Custo Total]]*Tabela3[[#This Row],[% Perda]]</f>
        <v>0</v>
      </c>
      <c r="AC1116" s="40">
        <f>IFERROR(VLOOKUP(Tabela3[[#This Row],[Produto]],Tabela2[],2,0),0)</f>
        <v>4</v>
      </c>
      <c r="AD1116" s="48">
        <f>IFERROR(VLOOKUP(Tabela3[[#This Row],[Produto]],Tabela2[],3,0),0)</f>
        <v>0.35699999999999998</v>
      </c>
      <c r="AE1116" s="48">
        <f>IFERROR(VLOOKUP(Tabela3[[#This Row],[Produto]],Tabela2[],4,0),0)</f>
        <v>2.4279999999999999</v>
      </c>
      <c r="AF1116" s="48">
        <f>IFERROR(VLOOKUP(Tabela3[[#This Row],[Produto]],Tabela2[],5,0),0)</f>
        <v>0.9</v>
      </c>
      <c r="AG1116" s="48">
        <f>IFERROR(VLOOKUP(Tabela3[[#This Row],[Produto]],Tabela2[],6,0),0)</f>
        <v>0</v>
      </c>
      <c r="AH1116" s="40">
        <f>IFERROR(VLOOKUP(Tabela3[[#This Row],[Produto]],Tabela2[],7,0),0)</f>
        <v>0</v>
      </c>
      <c r="AI1116" s="40">
        <f>IFERROR(VLOOKUP(Tabela3[[#This Row],[Produto]],Tabela2[],8,0),0)</f>
        <v>0</v>
      </c>
      <c r="AJ1116" s="35">
        <f ca="1">IFERROR(VLOOKUP(Tabela3[[#This Row],[Produto]],Tabela2[],13,0),0)</f>
        <v>15.600000000000001</v>
      </c>
      <c r="AK1116" s="48" t="str">
        <f>IFERROR(VLOOKUP(Tabela3[[#This Row],[Produto]],Tabela2[],14,0),0)</f>
        <v>Senun</v>
      </c>
      <c r="AL1116" s="40">
        <f>IFERROR(VLOOKUP(Tabela3[[#This Row],[Produto]],Tabela2[],15,0),0)</f>
        <v>4</v>
      </c>
      <c r="AM1116" s="36">
        <f ca="1">(Tabela3[[#This Row],[Custo Usinagem]]+Tabela3[[#This Row],[Custo / Pç]])*1.2</f>
        <v>16.492797295693972</v>
      </c>
      <c r="AN1116" s="36">
        <f ca="1">Tabela3[[#This Row],[Valor Mínimo Venda]]*1.15</f>
        <v>18.966716890048065</v>
      </c>
      <c r="AO1116" s="36">
        <f ca="1">Tabela3[[#This Row],[Tabela 1]]*1.08</f>
        <v>20.484054241251911</v>
      </c>
      <c r="AP1116" s="36">
        <f ca="1">Tabela3[[#This Row],[Tabela 2]]*1.15</f>
        <v>23.556662377439697</v>
      </c>
    </row>
    <row r="1117" spans="1:42">
      <c r="A1117" s="9">
        <v>46127</v>
      </c>
      <c r="B1117" s="9" t="s">
        <v>247</v>
      </c>
      <c r="C1117" s="14">
        <v>9368</v>
      </c>
      <c r="D1117" s="6" t="s">
        <v>46</v>
      </c>
      <c r="E1117" s="6" t="s">
        <v>44</v>
      </c>
      <c r="F1117" s="6">
        <v>39</v>
      </c>
      <c r="G1117" s="15">
        <v>0.18124999999999999</v>
      </c>
      <c r="H1117" s="16">
        <v>20</v>
      </c>
      <c r="I1117" s="35">
        <f ca="1">IFERROR(Tabela3[[#This Row],[Custo Total]]/Tabela3[[#This Row],[Aluminio Util]],0)</f>
        <v>33.582388970435304</v>
      </c>
      <c r="J1117" s="35">
        <f ca="1">Tabela3[[#This Row],[Custo Total]]/Tabela3[[#This Row],[Realizado]]</f>
        <v>10.074716691130591</v>
      </c>
      <c r="K1117" s="37">
        <f>IFERROR(Tabela3[[#This Row],[Qtde Cx Produzida]]/Tabela3[[#This Row],[Tempo]]/24,0)</f>
        <v>8.9655172413793114</v>
      </c>
      <c r="L1117" s="37">
        <f>Tabela3[[#This Row],[Qtde Cx Produzida]]*Tabela3[[#This Row],[Qdt Peça Placa]]</f>
        <v>156</v>
      </c>
      <c r="M1117" s="37">
        <f>Tabela3[[#This Row],[Previsto]]-Tabela3[[#This Row],[Perda Pçs]]</f>
        <v>136</v>
      </c>
      <c r="N1117" s="38">
        <f>IFERROR(Tabela3[[#This Row],[Perda Pçs]]/Tabela3[[#This Row],[Previsto]],0)</f>
        <v>0.12820512820512819</v>
      </c>
      <c r="O1117" s="39">
        <f>IFERROR(IF(Tabela3[[#This Row],[Qtde Cx Produzida]] &lt;&gt; 0, Tabela3[[#This Row],[Tempo]] / Tabela3[[#This Row],[Qtde Cx Produzida]], 0),0)</f>
        <v>4.6474358974358974E-3</v>
      </c>
      <c r="P1117" s="57">
        <f>IFERROR(Tabela3[[#This Row],[Perda Pçs]]/Tabela3[[#This Row],[Qdt Peça Placa]],0)</f>
        <v>5</v>
      </c>
      <c r="Q1117" s="37">
        <f>IFERROR(Tabela3[[#This Row],[Realizado]]*Tabela3[[#This Row],[Peso Util/Pç]],0)</f>
        <v>40.799999999999997</v>
      </c>
      <c r="R1117" s="37">
        <f>IFERROR(Tabela3[[#This Row],[Peso Total Galho]]*Tabela3[[#This Row],[Qtde Cx Produzida]]*1.055,0)</f>
        <v>94.633499999999984</v>
      </c>
      <c r="S1117" s="37">
        <f>(Tabela3[[#This Row],[Aluminio Bruto]]-Tabela3[[#This Row],[Aluminio Util]])*0.9</f>
        <v>48.450149999999987</v>
      </c>
      <c r="T1117" s="37">
        <f>Tabela3[[#This Row],[Aluminio Bruto]]/OleoKGAluminio</f>
        <v>39.812191090060054</v>
      </c>
      <c r="U1117" s="35">
        <f>IFERROR((VLOOKUP(Tabela3[[#This Row],[Moldador]],Tabela1[],5,)+(VLOOKUP(Tabela3[[#This Row],[Ajudante]],Tabela1[],5,))*3.5),0)</f>
        <v>126.0945</v>
      </c>
      <c r="V1117" s="35">
        <f>IFERROR(Tabela3[[#This Row],[Custo M.O. / H]]/((Tabela3[[#This Row],[Realizado]]/Tabela3[[#This Row],[Qdt Peça Placa]])/Tabela3[[#This Row],[Tempo]]/24),)</f>
        <v>16.132678676470587</v>
      </c>
      <c r="W1117" s="35">
        <f>Tabela3[[#This Row],[Custo / Cx Moldada]]*Tabela3[[#This Row],[Qtde Cx Produzida]]</f>
        <v>629.17446838235287</v>
      </c>
      <c r="X1117" s="35">
        <f ca="1">Tabela3[[#This Row],[Aluminio Util]]*Tabela3[[#This Row],[Custo/Kg]]</f>
        <v>636.48</v>
      </c>
      <c r="Y1117" s="35">
        <f>IFERROR(VLOOKUP(Tabela3[[#This Row],[Data]],Tabela461213[],2,1)*(Tabela3[[#This Row],[Qtde Cx Produzida]]*Tabela3[[#This Row],[Qde macho / CX]]*Tabela3[[#This Row],[Peso Macho]]),)</f>
        <v>0</v>
      </c>
      <c r="Z1117" s="35">
        <f>IFERROR(Tabela3[[#This Row],[Qtde Oleo]]*(VLOOKUP(Tabela3[[#This Row],[Data]],CompraOleo[],3,TRUE))*1.05,0)</f>
        <v>104.50700161140765</v>
      </c>
      <c r="AA1117" s="47">
        <f ca="1">(Tabela3[[#This Row],[Custo Oleo]]+Tabela3[[#This Row],[Custo Aluminio]]+Tabela3[[#This Row],[Custo M.O. Total]]+Tabela3[[#This Row],[Custo Machos]])</f>
        <v>1370.1614699937604</v>
      </c>
      <c r="AB1117" s="47">
        <f ca="1">Tabela3[[#This Row],[Custo Total]]*Tabela3[[#This Row],[% Perda]]</f>
        <v>175.66172692227696</v>
      </c>
      <c r="AC1117" s="40">
        <f>IFERROR(VLOOKUP(Tabela3[[#This Row],[Produto]],Tabela2[],2,0),0)</f>
        <v>4</v>
      </c>
      <c r="AD1117" s="48">
        <f>IFERROR(VLOOKUP(Tabela3[[#This Row],[Produto]],Tabela2[],3,0),0)</f>
        <v>0.3</v>
      </c>
      <c r="AE1117" s="48">
        <f>IFERROR(VLOOKUP(Tabela3[[#This Row],[Produto]],Tabela2[],4,0),0)</f>
        <v>2.2999999999999998</v>
      </c>
      <c r="AF1117" s="48">
        <f>IFERROR(VLOOKUP(Tabela3[[#This Row],[Produto]],Tabela2[],5,0),0)</f>
        <v>0.98999999999999988</v>
      </c>
      <c r="AG1117" s="48">
        <f>IFERROR(VLOOKUP(Tabela3[[#This Row],[Produto]],Tabela2[],6,0),0)</f>
        <v>0</v>
      </c>
      <c r="AH1117" s="40">
        <f>IFERROR(VLOOKUP(Tabela3[[#This Row],[Produto]],Tabela2[],7,0),0)</f>
        <v>0</v>
      </c>
      <c r="AI1117" s="40">
        <f>IFERROR(VLOOKUP(Tabela3[[#This Row],[Produto]],Tabela2[],8,0),0)</f>
        <v>0</v>
      </c>
      <c r="AJ1117" s="35">
        <f ca="1">IFERROR(VLOOKUP(Tabela3[[#This Row],[Produto]],Tabela2[],13,0),0)</f>
        <v>15.600000000000001</v>
      </c>
      <c r="AK1117" s="48" t="str">
        <f>IFERROR(VLOOKUP(Tabela3[[#This Row],[Produto]],Tabela2[],14,0),0)</f>
        <v>Senun</v>
      </c>
      <c r="AL1117" s="40">
        <f>IFERROR(VLOOKUP(Tabela3[[#This Row],[Produto]],Tabela2[],15,0),0)</f>
        <v>3.5</v>
      </c>
      <c r="AM1117" s="36">
        <f ca="1">(Tabela3[[#This Row],[Custo Usinagem]]+Tabela3[[#This Row],[Custo / Pç]])*1.2</f>
        <v>16.28966002935671</v>
      </c>
      <c r="AN1117" s="36">
        <f ca="1">Tabela3[[#This Row],[Valor Mínimo Venda]]*1.15</f>
        <v>18.733109033760215</v>
      </c>
      <c r="AO1117" s="36">
        <f ca="1">Tabela3[[#This Row],[Tabela 1]]*1.08</f>
        <v>20.231757756461032</v>
      </c>
      <c r="AP1117" s="36">
        <f ca="1">Tabela3[[#This Row],[Tabela 2]]*1.15</f>
        <v>23.266521419930186</v>
      </c>
    </row>
    <row r="1118" spans="1:42">
      <c r="A1118" s="9">
        <v>46127</v>
      </c>
      <c r="B1118" s="9" t="s">
        <v>247</v>
      </c>
      <c r="C1118" s="14">
        <v>9368</v>
      </c>
      <c r="D1118" s="6" t="s">
        <v>44</v>
      </c>
      <c r="E1118" s="6" t="s">
        <v>47</v>
      </c>
      <c r="F1118" s="6">
        <v>19</v>
      </c>
      <c r="G1118" s="15">
        <v>8.1944444444444445E-2</v>
      </c>
      <c r="H1118" s="16">
        <v>0</v>
      </c>
      <c r="I1118" s="35">
        <f ca="1">IFERROR(Tabela3[[#This Row],[Custo Total]]/Tabela3[[#This Row],[Aluminio Util]],0)</f>
        <v>26.454503549295339</v>
      </c>
      <c r="J1118" s="35">
        <f ca="1">Tabela3[[#This Row],[Custo Total]]/Tabela3[[#This Row],[Realizado]]</f>
        <v>7.9363510647886022</v>
      </c>
      <c r="K1118" s="37">
        <f>IFERROR(Tabela3[[#This Row],[Qtde Cx Produzida]]/Tabela3[[#This Row],[Tempo]]/24,0)</f>
        <v>9.6610169491525415</v>
      </c>
      <c r="L1118" s="37">
        <f>Tabela3[[#This Row],[Qtde Cx Produzida]]*Tabela3[[#This Row],[Qdt Peça Placa]]</f>
        <v>76</v>
      </c>
      <c r="M1118" s="37">
        <f>Tabela3[[#This Row],[Previsto]]-Tabela3[[#This Row],[Perda Pçs]]</f>
        <v>76</v>
      </c>
      <c r="N1118" s="38">
        <f>IFERROR(Tabela3[[#This Row],[Perda Pçs]]/Tabela3[[#This Row],[Previsto]],0)</f>
        <v>0</v>
      </c>
      <c r="O1118" s="39">
        <f>IFERROR(IF(Tabela3[[#This Row],[Qtde Cx Produzida]] &lt;&gt; 0, Tabela3[[#This Row],[Tempo]] / Tabela3[[#This Row],[Qtde Cx Produzida]], 0),0)</f>
        <v>4.3128654970760235E-3</v>
      </c>
      <c r="P1118" s="57">
        <f>IFERROR(Tabela3[[#This Row],[Perda Pçs]]/Tabela3[[#This Row],[Qdt Peça Placa]],0)</f>
        <v>0</v>
      </c>
      <c r="Q1118" s="37">
        <f>IFERROR(Tabela3[[#This Row],[Realizado]]*Tabela3[[#This Row],[Peso Util/Pç]],0)</f>
        <v>22.8</v>
      </c>
      <c r="R1118" s="37">
        <f>IFERROR(Tabela3[[#This Row],[Peso Total Galho]]*Tabela3[[#This Row],[Qtde Cx Produzida]]*1.055,0)</f>
        <v>46.10349999999999</v>
      </c>
      <c r="S1118" s="37">
        <f>(Tabela3[[#This Row],[Aluminio Bruto]]-Tabela3[[#This Row],[Aluminio Util]])*0.9</f>
        <v>20.97314999999999</v>
      </c>
      <c r="T1118" s="37">
        <f>Tabela3[[#This Row],[Aluminio Bruto]]/OleoKGAluminio</f>
        <v>19.395682838747206</v>
      </c>
      <c r="U1118" s="35">
        <f>IFERROR((VLOOKUP(Tabela3[[#This Row],[Moldador]],Tabela1[],5,)+(VLOOKUP(Tabela3[[#This Row],[Ajudante]],Tabela1[],5,))*3.5),0)</f>
        <v>99.95034583333333</v>
      </c>
      <c r="V1118" s="35">
        <f>IFERROR(Tabela3[[#This Row],[Custo M.O. / H]]/((Tabela3[[#This Row],[Realizado]]/Tabela3[[#This Row],[Qdt Peça Placa]])/Tabela3[[#This Row],[Tempo]]/24),)</f>
        <v>10.345737551169591</v>
      </c>
      <c r="W1118" s="35">
        <f>Tabela3[[#This Row],[Custo / Cx Moldada]]*Tabela3[[#This Row],[Qtde Cx Produzida]]</f>
        <v>196.56901347222225</v>
      </c>
      <c r="X1118" s="35">
        <f ca="1">Tabela3[[#This Row],[Aluminio Util]]*Tabela3[[#This Row],[Custo/Kg]]</f>
        <v>355.68000000000006</v>
      </c>
      <c r="Y1118" s="35">
        <f>IFERROR(VLOOKUP(Tabela3[[#This Row],[Data]],Tabela461213[],2,1)*(Tabela3[[#This Row],[Qtde Cx Produzida]]*Tabela3[[#This Row],[Qde macho / CX]]*Tabela3[[#This Row],[Peso Macho]]),)</f>
        <v>0</v>
      </c>
      <c r="Z1118" s="35">
        <f>IFERROR(Tabela3[[#This Row],[Qtde Oleo]]*(VLOOKUP(Tabela3[[#This Row],[Data]],CompraOleo[],3,TRUE))*1.05,0)</f>
        <v>50.913667451711419</v>
      </c>
      <c r="AA1118" s="47">
        <f ca="1">(Tabela3[[#This Row],[Custo Oleo]]+Tabela3[[#This Row],[Custo Aluminio]]+Tabela3[[#This Row],[Custo M.O. Total]]+Tabela3[[#This Row],[Custo Machos]])</f>
        <v>603.16268092393375</v>
      </c>
      <c r="AB1118" s="47">
        <f ca="1">Tabela3[[#This Row],[Custo Total]]*Tabela3[[#This Row],[% Perda]]</f>
        <v>0</v>
      </c>
      <c r="AC1118" s="40">
        <f>IFERROR(VLOOKUP(Tabela3[[#This Row],[Produto]],Tabela2[],2,0),0)</f>
        <v>4</v>
      </c>
      <c r="AD1118" s="48">
        <f>IFERROR(VLOOKUP(Tabela3[[#This Row],[Produto]],Tabela2[],3,0),0)</f>
        <v>0.3</v>
      </c>
      <c r="AE1118" s="48">
        <f>IFERROR(VLOOKUP(Tabela3[[#This Row],[Produto]],Tabela2[],4,0),0)</f>
        <v>2.2999999999999998</v>
      </c>
      <c r="AF1118" s="48">
        <f>IFERROR(VLOOKUP(Tabela3[[#This Row],[Produto]],Tabela2[],5,0),0)</f>
        <v>0.98999999999999988</v>
      </c>
      <c r="AG1118" s="48">
        <f>IFERROR(VLOOKUP(Tabela3[[#This Row],[Produto]],Tabela2[],6,0),0)</f>
        <v>0</v>
      </c>
      <c r="AH1118" s="40">
        <f>IFERROR(VLOOKUP(Tabela3[[#This Row],[Produto]],Tabela2[],7,0),0)</f>
        <v>0</v>
      </c>
      <c r="AI1118" s="40">
        <f>IFERROR(VLOOKUP(Tabela3[[#This Row],[Produto]],Tabela2[],8,0),0)</f>
        <v>0</v>
      </c>
      <c r="AJ1118" s="35">
        <f ca="1">IFERROR(VLOOKUP(Tabela3[[#This Row],[Produto]],Tabela2[],13,0),0)</f>
        <v>15.600000000000001</v>
      </c>
      <c r="AK1118" s="48" t="str">
        <f>IFERROR(VLOOKUP(Tabela3[[#This Row],[Produto]],Tabela2[],14,0),0)</f>
        <v>Senun</v>
      </c>
      <c r="AL1118" s="40">
        <f>IFERROR(VLOOKUP(Tabela3[[#This Row],[Produto]],Tabela2[],15,0),0)</f>
        <v>3.5</v>
      </c>
      <c r="AM1118" s="36">
        <f ca="1">(Tabela3[[#This Row],[Custo Usinagem]]+Tabela3[[#This Row],[Custo / Pç]])*1.2</f>
        <v>13.723621277746323</v>
      </c>
      <c r="AN1118" s="36">
        <f ca="1">Tabela3[[#This Row],[Valor Mínimo Venda]]*1.15</f>
        <v>15.78216446940827</v>
      </c>
      <c r="AO1118" s="36">
        <f ca="1">Tabela3[[#This Row],[Tabela 1]]*1.08</f>
        <v>17.044737626960934</v>
      </c>
      <c r="AP1118" s="36">
        <f ca="1">Tabela3[[#This Row],[Tabela 2]]*1.15</f>
        <v>19.601448271005072</v>
      </c>
    </row>
    <row r="1119" spans="1:42">
      <c r="A1119" s="9">
        <v>46127</v>
      </c>
      <c r="B1119" s="9" t="s">
        <v>274</v>
      </c>
      <c r="C1119" s="14">
        <v>9562</v>
      </c>
      <c r="D1119" s="6" t="s">
        <v>44</v>
      </c>
      <c r="E1119" s="6" t="s">
        <v>54</v>
      </c>
      <c r="F1119" s="6">
        <v>1</v>
      </c>
      <c r="G1119" s="15">
        <v>5.9027777777777776E-2</v>
      </c>
      <c r="H1119" s="16">
        <v>0</v>
      </c>
      <c r="I1119" s="35">
        <f ca="1">IFERROR(Tabela3[[#This Row],[Custo Total]]/Tabela3[[#This Row],[Aluminio Util]],0)</f>
        <v>27.813273479905781</v>
      </c>
      <c r="J1119" s="35">
        <f ca="1">Tabela3[[#This Row],[Custo Total]]/Tabela3[[#This Row],[Realizado]]</f>
        <v>556.2654695981156</v>
      </c>
      <c r="K1119" s="37">
        <f>IFERROR(Tabela3[[#This Row],[Qtde Cx Produzida]]/Tabela3[[#This Row],[Tempo]]/24,0)</f>
        <v>0.70588235294117652</v>
      </c>
      <c r="L1119" s="37">
        <f>Tabela3[[#This Row],[Qtde Cx Produzida]]*Tabela3[[#This Row],[Qdt Peça Placa]]</f>
        <v>1</v>
      </c>
      <c r="M1119" s="37">
        <f>Tabela3[[#This Row],[Previsto]]-Tabela3[[#This Row],[Perda Pçs]]</f>
        <v>1</v>
      </c>
      <c r="N1119" s="38">
        <f>IFERROR(Tabela3[[#This Row],[Perda Pçs]]/Tabela3[[#This Row],[Previsto]],0)</f>
        <v>0</v>
      </c>
      <c r="O1119" s="39">
        <f>IFERROR(IF(Tabela3[[#This Row],[Qtde Cx Produzida]] &lt;&gt; 0, Tabela3[[#This Row],[Tempo]] / Tabela3[[#This Row],[Qtde Cx Produzida]], 0),0)</f>
        <v>5.9027777777777776E-2</v>
      </c>
      <c r="P1119" s="57">
        <f>IFERROR(Tabela3[[#This Row],[Perda Pçs]]/Tabela3[[#This Row],[Qdt Peça Placa]],0)</f>
        <v>0</v>
      </c>
      <c r="Q1119" s="37">
        <f>IFERROR(Tabela3[[#This Row],[Realizado]]*Tabela3[[#This Row],[Peso Util/Pç]],0)</f>
        <v>20</v>
      </c>
      <c r="R1119" s="37">
        <f>IFERROR(Tabela3[[#This Row],[Peso Total Galho]]*Tabela3[[#This Row],[Qtde Cx Produzida]]*1.055,0)</f>
        <v>23.209999999999997</v>
      </c>
      <c r="S1119" s="37">
        <f>(Tabela3[[#This Row],[Aluminio Bruto]]-Tabela3[[#This Row],[Aluminio Util]])*0.9</f>
        <v>2.8889999999999976</v>
      </c>
      <c r="T1119" s="37">
        <f>Tabela3[[#This Row],[Aluminio Bruto]]/OleoKGAluminio</f>
        <v>9.7644169897583204</v>
      </c>
      <c r="U1119" s="35">
        <f>IFERROR((VLOOKUP(Tabela3[[#This Row],[Moldador]],Tabela1[],5,)+(VLOOKUP(Tabela3[[#This Row],[Ajudante]],Tabela1[],5,))*3.5),0)</f>
        <v>126.0945</v>
      </c>
      <c r="V1119" s="35">
        <f>IFERROR(Tabela3[[#This Row],[Custo M.O. / H]]/((Tabela3[[#This Row],[Realizado]]/Tabela3[[#This Row],[Qdt Peça Placa]])/Tabela3[[#This Row],[Tempo]]/24),)</f>
        <v>178.63387499999999</v>
      </c>
      <c r="W1119" s="35">
        <f>Tabela3[[#This Row],[Custo / Cx Moldada]]*Tabela3[[#This Row],[Qtde Cx Produzida]]</f>
        <v>178.63387499999999</v>
      </c>
      <c r="X1119" s="35">
        <f ca="1">Tabela3[[#This Row],[Aluminio Util]]*Tabela3[[#This Row],[Custo/Kg]]</f>
        <v>352</v>
      </c>
      <c r="Y1119" s="35">
        <f>IFERROR(VLOOKUP(Tabela3[[#This Row],[Data]],Tabela461213[],2,1)*(Tabela3[[#This Row],[Qtde Cx Produzida]]*Tabela3[[#This Row],[Qde macho / CX]]*Tabela3[[#This Row],[Peso Macho]]),)</f>
        <v>0</v>
      </c>
      <c r="Z1119" s="35">
        <f>IFERROR(Tabela3[[#This Row],[Qtde Oleo]]*(VLOOKUP(Tabela3[[#This Row],[Data]],CompraOleo[],3,TRUE))*1.05,0)</f>
        <v>25.631594598115591</v>
      </c>
      <c r="AA1119" s="47">
        <f ca="1">(Tabela3[[#This Row],[Custo Oleo]]+Tabela3[[#This Row],[Custo Aluminio]]+Tabela3[[#This Row],[Custo M.O. Total]]+Tabela3[[#This Row],[Custo Machos]])</f>
        <v>556.2654695981156</v>
      </c>
      <c r="AB1119" s="47">
        <f ca="1">Tabela3[[#This Row],[Custo Total]]*Tabela3[[#This Row],[% Perda]]</f>
        <v>0</v>
      </c>
      <c r="AC1119" s="40">
        <f>IFERROR(VLOOKUP(Tabela3[[#This Row],[Produto]],Tabela2[],2,0),0)</f>
        <v>1</v>
      </c>
      <c r="AD1119" s="48">
        <f>IFERROR(VLOOKUP(Tabela3[[#This Row],[Produto]],Tabela2[],3,0),0)</f>
        <v>20</v>
      </c>
      <c r="AE1119" s="48">
        <f>IFERROR(VLOOKUP(Tabela3[[#This Row],[Produto]],Tabela2[],4,0),0)</f>
        <v>22</v>
      </c>
      <c r="AF1119" s="48">
        <f>IFERROR(VLOOKUP(Tabela3[[#This Row],[Produto]],Tabela2[],5,0),0)</f>
        <v>1.8</v>
      </c>
      <c r="AG1119" s="48">
        <f>IFERROR(VLOOKUP(Tabela3[[#This Row],[Produto]],Tabela2[],6,0),0)</f>
        <v>0</v>
      </c>
      <c r="AH1119" s="40">
        <f>IFERROR(VLOOKUP(Tabela3[[#This Row],[Produto]],Tabela2[],7,0),0)</f>
        <v>0</v>
      </c>
      <c r="AI1119" s="40">
        <f>IFERROR(VLOOKUP(Tabela3[[#This Row],[Produto]],Tabela2[],8,0),0)</f>
        <v>0</v>
      </c>
      <c r="AJ1119" s="35">
        <f ca="1">IFERROR(VLOOKUP(Tabela3[[#This Row],[Produto]],Tabela2[],13,0),0)</f>
        <v>17.600000000000001</v>
      </c>
      <c r="AK1119" s="48" t="str">
        <f>IFERROR(VLOOKUP(Tabela3[[#This Row],[Produto]],Tabela2[],14,0),0)</f>
        <v>Danilo</v>
      </c>
      <c r="AL1119" s="40">
        <f>IFERROR(VLOOKUP(Tabela3[[#This Row],[Produto]],Tabela2[],15,0),0)</f>
        <v>0</v>
      </c>
      <c r="AM1119" s="36">
        <f ca="1">(Tabela3[[#This Row],[Custo Usinagem]]+Tabela3[[#This Row],[Custo / Pç]])*1.2</f>
        <v>667.5185635177387</v>
      </c>
      <c r="AN1119" s="36">
        <f ca="1">Tabela3[[#This Row],[Valor Mínimo Venda]]*1.15</f>
        <v>767.64634804539946</v>
      </c>
      <c r="AO1119" s="36">
        <f ca="1">Tabela3[[#This Row],[Tabela 1]]*1.08</f>
        <v>829.05805588903149</v>
      </c>
      <c r="AP1119" s="36">
        <f ca="1">Tabela3[[#This Row],[Tabela 2]]*1.15</f>
        <v>953.4167642723861</v>
      </c>
    </row>
    <row r="1120" spans="1:42">
      <c r="A1120" s="9">
        <v>46128</v>
      </c>
      <c r="B1120" s="9" t="s">
        <v>247</v>
      </c>
      <c r="C1120" s="14">
        <v>9368</v>
      </c>
      <c r="D1120" s="6" t="s">
        <v>46</v>
      </c>
      <c r="E1120" s="6" t="s">
        <v>54</v>
      </c>
      <c r="F1120" s="6">
        <v>19</v>
      </c>
      <c r="G1120" s="15">
        <v>0.10138888888888889</v>
      </c>
      <c r="H1120" s="16">
        <v>14</v>
      </c>
      <c r="I1120" s="35">
        <f ca="1">IFERROR(Tabela3[[#This Row],[Custo Total]]/Tabela3[[#This Row],[Aluminio Util]],0)</f>
        <v>38.558483855364294</v>
      </c>
      <c r="J1120" s="35">
        <f ca="1">Tabela3[[#This Row],[Custo Total]]/Tabela3[[#This Row],[Realizado]]</f>
        <v>11.567545156609288</v>
      </c>
      <c r="K1120" s="37">
        <f>IFERROR(Tabela3[[#This Row],[Qtde Cx Produzida]]/Tabela3[[#This Row],[Tempo]]/24,0)</f>
        <v>7.808219178082191</v>
      </c>
      <c r="L1120" s="37">
        <f>Tabela3[[#This Row],[Qtde Cx Produzida]]*Tabela3[[#This Row],[Qdt Peça Placa]]</f>
        <v>76</v>
      </c>
      <c r="M1120" s="37">
        <f>Tabela3[[#This Row],[Previsto]]-Tabela3[[#This Row],[Perda Pçs]]</f>
        <v>62</v>
      </c>
      <c r="N1120" s="38">
        <f>IFERROR(Tabela3[[#This Row],[Perda Pçs]]/Tabela3[[#This Row],[Previsto]],0)</f>
        <v>0.18421052631578946</v>
      </c>
      <c r="O1120" s="39">
        <f>IFERROR(IF(Tabela3[[#This Row],[Qtde Cx Produzida]] &lt;&gt; 0, Tabela3[[#This Row],[Tempo]] / Tabela3[[#This Row],[Qtde Cx Produzida]], 0),0)</f>
        <v>5.3362573099415209E-3</v>
      </c>
      <c r="P1120" s="57">
        <f>IFERROR(Tabela3[[#This Row],[Perda Pçs]]/Tabela3[[#This Row],[Qdt Peça Placa]],0)</f>
        <v>3.5</v>
      </c>
      <c r="Q1120" s="37">
        <f>IFERROR(Tabela3[[#This Row],[Realizado]]*Tabela3[[#This Row],[Peso Util/Pç]],0)</f>
        <v>18.599999999999998</v>
      </c>
      <c r="R1120" s="37">
        <f>IFERROR(Tabela3[[#This Row],[Peso Total Galho]]*Tabela3[[#This Row],[Qtde Cx Produzida]]*1.055,0)</f>
        <v>46.10349999999999</v>
      </c>
      <c r="S1120" s="37">
        <f>(Tabela3[[#This Row],[Aluminio Bruto]]-Tabela3[[#This Row],[Aluminio Util]])*0.9</f>
        <v>24.753149999999994</v>
      </c>
      <c r="T1120" s="37">
        <f>Tabela3[[#This Row],[Aluminio Bruto]]/OleoKGAluminio</f>
        <v>19.395682838747206</v>
      </c>
      <c r="U1120" s="35">
        <f>IFERROR((VLOOKUP(Tabela3[[#This Row],[Moldador]],Tabela1[],5,)+(VLOOKUP(Tabela3[[#This Row],[Ajudante]],Tabela1[],5,))*3.5),0)</f>
        <v>126.0945</v>
      </c>
      <c r="V1120" s="35">
        <f>IFERROR(Tabela3[[#This Row],[Custo M.O. / H]]/((Tabela3[[#This Row],[Realizado]]/Tabela3[[#This Row],[Qdt Peça Placa]])/Tabela3[[#This Row],[Tempo]]/24),)</f>
        <v>19.795480645161291</v>
      </c>
      <c r="W1120" s="35">
        <f>Tabela3[[#This Row],[Custo / Cx Moldada]]*Tabela3[[#This Row],[Qtde Cx Produzida]]</f>
        <v>376.1141322580645</v>
      </c>
      <c r="X1120" s="35">
        <f ca="1">Tabela3[[#This Row],[Aluminio Util]]*Tabela3[[#This Row],[Custo/Kg]]</f>
        <v>290.15999999999997</v>
      </c>
      <c r="Y1120" s="35">
        <f>IFERROR(VLOOKUP(Tabela3[[#This Row],[Data]],Tabela461213[],2,1)*(Tabela3[[#This Row],[Qtde Cx Produzida]]*Tabela3[[#This Row],[Qde macho / CX]]*Tabela3[[#This Row],[Peso Macho]]),)</f>
        <v>0</v>
      </c>
      <c r="Z1120" s="35">
        <f>IFERROR(Tabela3[[#This Row],[Qtde Oleo]]*(VLOOKUP(Tabela3[[#This Row],[Data]],CompraOleo[],3,TRUE))*1.05,0)</f>
        <v>50.913667451711419</v>
      </c>
      <c r="AA1120" s="47">
        <f ca="1">(Tabela3[[#This Row],[Custo Oleo]]+Tabela3[[#This Row],[Custo Aluminio]]+Tabela3[[#This Row],[Custo M.O. Total]]+Tabela3[[#This Row],[Custo Machos]])</f>
        <v>717.18779970977585</v>
      </c>
      <c r="AB1120" s="47">
        <f ca="1">Tabela3[[#This Row],[Custo Total]]*Tabela3[[#This Row],[% Perda]]</f>
        <v>132.11354205180081</v>
      </c>
      <c r="AC1120" s="40">
        <f>IFERROR(VLOOKUP(Tabela3[[#This Row],[Produto]],Tabela2[],2,0),0)</f>
        <v>4</v>
      </c>
      <c r="AD1120" s="48">
        <f>IFERROR(VLOOKUP(Tabela3[[#This Row],[Produto]],Tabela2[],3,0),0)</f>
        <v>0.3</v>
      </c>
      <c r="AE1120" s="48">
        <f>IFERROR(VLOOKUP(Tabela3[[#This Row],[Produto]],Tabela2[],4,0),0)</f>
        <v>2.2999999999999998</v>
      </c>
      <c r="AF1120" s="48">
        <f>IFERROR(VLOOKUP(Tabela3[[#This Row],[Produto]],Tabela2[],5,0),0)</f>
        <v>0.98999999999999988</v>
      </c>
      <c r="AG1120" s="48">
        <f>IFERROR(VLOOKUP(Tabela3[[#This Row],[Produto]],Tabela2[],6,0),0)</f>
        <v>0</v>
      </c>
      <c r="AH1120" s="40">
        <f>IFERROR(VLOOKUP(Tabela3[[#This Row],[Produto]],Tabela2[],7,0),0)</f>
        <v>0</v>
      </c>
      <c r="AI1120" s="40">
        <f>IFERROR(VLOOKUP(Tabela3[[#This Row],[Produto]],Tabela2[],8,0),0)</f>
        <v>0</v>
      </c>
      <c r="AJ1120" s="35">
        <f ca="1">IFERROR(VLOOKUP(Tabela3[[#This Row],[Produto]],Tabela2[],13,0),0)</f>
        <v>15.600000000000001</v>
      </c>
      <c r="AK1120" s="48" t="str">
        <f>IFERROR(VLOOKUP(Tabela3[[#This Row],[Produto]],Tabela2[],14,0),0)</f>
        <v>Senun</v>
      </c>
      <c r="AL1120" s="40">
        <f>IFERROR(VLOOKUP(Tabela3[[#This Row],[Produto]],Tabela2[],15,0),0)</f>
        <v>3.5</v>
      </c>
      <c r="AM1120" s="36">
        <f ca="1">(Tabela3[[#This Row],[Custo Usinagem]]+Tabela3[[#This Row],[Custo / Pç]])*1.2</f>
        <v>18.081054187931144</v>
      </c>
      <c r="AN1120" s="36">
        <f ca="1">Tabela3[[#This Row],[Valor Mínimo Venda]]*1.15</f>
        <v>20.793212316120815</v>
      </c>
      <c r="AO1120" s="36">
        <f ca="1">Tabela3[[#This Row],[Tabela 1]]*1.08</f>
        <v>22.456669301410482</v>
      </c>
      <c r="AP1120" s="36">
        <f ca="1">Tabela3[[#This Row],[Tabela 2]]*1.15</f>
        <v>25.825169696622051</v>
      </c>
    </row>
    <row r="1121" spans="1:42">
      <c r="A1121" s="9">
        <v>46128</v>
      </c>
      <c r="B1121" s="9" t="s">
        <v>80</v>
      </c>
      <c r="C1121" s="14">
        <v>9357</v>
      </c>
      <c r="D1121" s="6" t="s">
        <v>46</v>
      </c>
      <c r="E1121" s="6" t="s">
        <v>44</v>
      </c>
      <c r="F1121" s="6">
        <v>12</v>
      </c>
      <c r="G1121" s="15">
        <v>5.6944444444444443E-2</v>
      </c>
      <c r="H1121" s="16">
        <v>0</v>
      </c>
      <c r="I1121" s="35">
        <f ca="1">IFERROR(Tabela3[[#This Row],[Custo Total]]/Tabela3[[#This Row],[Aluminio Util]],0)</f>
        <v>31.36345549267098</v>
      </c>
      <c r="J1121" s="35">
        <f ca="1">Tabela3[[#This Row],[Custo Total]]/Tabela3[[#This Row],[Realizado]]</f>
        <v>37.636146591205168</v>
      </c>
      <c r="K1121" s="37">
        <f>IFERROR(Tabela3[[#This Row],[Qtde Cx Produzida]]/Tabela3[[#This Row],[Tempo]]/24,0)</f>
        <v>8.7804878048780495</v>
      </c>
      <c r="L1121" s="37">
        <f>Tabela3[[#This Row],[Qtde Cx Produzida]]*Tabela3[[#This Row],[Qdt Peça Placa]]</f>
        <v>12</v>
      </c>
      <c r="M1121" s="37">
        <f>Tabela3[[#This Row],[Previsto]]-Tabela3[[#This Row],[Perda Pçs]]</f>
        <v>12</v>
      </c>
      <c r="N1121" s="38">
        <f>IFERROR(Tabela3[[#This Row],[Perda Pçs]]/Tabela3[[#This Row],[Previsto]],0)</f>
        <v>0</v>
      </c>
      <c r="O1121" s="39">
        <f>IFERROR(IF(Tabela3[[#This Row],[Qtde Cx Produzida]] &lt;&gt; 0, Tabela3[[#This Row],[Tempo]] / Tabela3[[#This Row],[Qtde Cx Produzida]], 0),0)</f>
        <v>4.7453703703703703E-3</v>
      </c>
      <c r="P1121" s="57">
        <f>IFERROR(Tabela3[[#This Row],[Perda Pçs]]/Tabela3[[#This Row],[Qdt Peça Placa]],0)</f>
        <v>0</v>
      </c>
      <c r="Q1121" s="37">
        <f>IFERROR(Tabela3[[#This Row],[Realizado]]*Tabela3[[#This Row],[Peso Util/Pç]],0)</f>
        <v>14.399999999999999</v>
      </c>
      <c r="R1121" s="37">
        <f>IFERROR(Tabela3[[#This Row],[Peso Total Galho]]*Tabela3[[#This Row],[Qtde Cx Produzida]]*1.055,0)</f>
        <v>23.421000000000003</v>
      </c>
      <c r="S1121" s="37">
        <f>(Tabela3[[#This Row],[Aluminio Bruto]]-Tabela3[[#This Row],[Aluminio Util]])*0.9</f>
        <v>8.1189000000000036</v>
      </c>
      <c r="T1121" s="37">
        <f>Tabela3[[#This Row],[Aluminio Bruto]]/OleoKGAluminio</f>
        <v>9.8531844169379426</v>
      </c>
      <c r="U1121" s="35">
        <f>IFERROR((VLOOKUP(Tabela3[[#This Row],[Moldador]],Tabela1[],5,)+(VLOOKUP(Tabela3[[#This Row],[Ajudante]],Tabela1[],5,))*3.5),0)</f>
        <v>126.0945</v>
      </c>
      <c r="V1121" s="35">
        <f>IFERROR(Tabela3[[#This Row],[Custo M.O. / H]]/((Tabela3[[#This Row],[Realizado]]/Tabela3[[#This Row],[Qdt Peça Placa]])/Tabela3[[#This Row],[Tempo]]/24),)</f>
        <v>14.360762499999998</v>
      </c>
      <c r="W1121" s="35">
        <f>Tabela3[[#This Row],[Custo / Cx Moldada]]*Tabela3[[#This Row],[Qtde Cx Produzida]]</f>
        <v>172.32914999999997</v>
      </c>
      <c r="X1121" s="35">
        <f ca="1">Tabela3[[#This Row],[Aluminio Util]]*Tabela3[[#This Row],[Custo/Kg]]</f>
        <v>253.44</v>
      </c>
      <c r="Y1121" s="35">
        <f>IFERROR(VLOOKUP(Tabela3[[#This Row],[Data]],Tabela461213[],2,1)*(Tabela3[[#This Row],[Qtde Cx Produzida]]*Tabela3[[#This Row],[Qde macho / CX]]*Tabela3[[#This Row],[Peso Macho]]),)</f>
        <v>0</v>
      </c>
      <c r="Z1121" s="35">
        <f>IFERROR(Tabela3[[#This Row],[Qtde Oleo]]*(VLOOKUP(Tabela3[[#This Row],[Data]],CompraOleo[],3,TRUE))*1.05,0)</f>
        <v>25.8646090944621</v>
      </c>
      <c r="AA1121" s="47">
        <f ca="1">(Tabela3[[#This Row],[Custo Oleo]]+Tabela3[[#This Row],[Custo Aluminio]]+Tabela3[[#This Row],[Custo M.O. Total]]+Tabela3[[#This Row],[Custo Machos]])</f>
        <v>451.63375909446205</v>
      </c>
      <c r="AB1121" s="47">
        <f ca="1">Tabela3[[#This Row],[Custo Total]]*Tabela3[[#This Row],[% Perda]]</f>
        <v>0</v>
      </c>
      <c r="AC1121" s="40">
        <f>IFERROR(VLOOKUP(Tabela3[[#This Row],[Produto]],Tabela2[],2,0),0)</f>
        <v>1</v>
      </c>
      <c r="AD1121" s="48">
        <f>IFERROR(VLOOKUP(Tabela3[[#This Row],[Produto]],Tabela2[],3,0),0)</f>
        <v>1.2</v>
      </c>
      <c r="AE1121" s="48">
        <f>IFERROR(VLOOKUP(Tabela3[[#This Row],[Produto]],Tabela2[],4,0),0)</f>
        <v>1.85</v>
      </c>
      <c r="AF1121" s="48">
        <f>IFERROR(VLOOKUP(Tabela3[[#This Row],[Produto]],Tabela2[],5,0),0)</f>
        <v>0.58500000000000019</v>
      </c>
      <c r="AG1121" s="48">
        <f>IFERROR(VLOOKUP(Tabela3[[#This Row],[Produto]],Tabela2[],6,0),0)</f>
        <v>0</v>
      </c>
      <c r="AH1121" s="40">
        <f>IFERROR(VLOOKUP(Tabela3[[#This Row],[Produto]],Tabela2[],7,0),0)</f>
        <v>0</v>
      </c>
      <c r="AI1121" s="40">
        <f>IFERROR(VLOOKUP(Tabela3[[#This Row],[Produto]],Tabela2[],8,0),0)</f>
        <v>0</v>
      </c>
      <c r="AJ1121" s="35">
        <f ca="1">IFERROR(VLOOKUP(Tabela3[[#This Row],[Produto]],Tabela2[],13,0),0)</f>
        <v>17.600000000000001</v>
      </c>
      <c r="AK1121" s="48" t="str">
        <f>IFERROR(VLOOKUP(Tabela3[[#This Row],[Produto]],Tabela2[],14,0),0)</f>
        <v>Protec</v>
      </c>
      <c r="AL1121" s="40">
        <f>IFERROR(VLOOKUP(Tabela3[[#This Row],[Produto]],Tabela2[],15,0),0)</f>
        <v>0</v>
      </c>
      <c r="AM1121" s="36">
        <f ca="1">(Tabela3[[#This Row],[Custo Usinagem]]+Tabela3[[#This Row],[Custo / Pç]])*1.2</f>
        <v>45.163375909446202</v>
      </c>
      <c r="AN1121" s="36">
        <f ca="1">Tabela3[[#This Row],[Valor Mínimo Venda]]*1.15</f>
        <v>51.937882295863126</v>
      </c>
      <c r="AO1121" s="36">
        <f ca="1">Tabela3[[#This Row],[Tabela 1]]*1.08</f>
        <v>56.092912879532179</v>
      </c>
      <c r="AP1121" s="36">
        <f ca="1">Tabela3[[#This Row],[Tabela 2]]*1.15</f>
        <v>64.506849811462004</v>
      </c>
    </row>
    <row r="1122" spans="1:42">
      <c r="A1122" s="9">
        <v>46128</v>
      </c>
      <c r="B1122" s="9" t="s">
        <v>246</v>
      </c>
      <c r="C1122" s="14">
        <v>9527</v>
      </c>
      <c r="D1122" s="6" t="s">
        <v>46</v>
      </c>
      <c r="E1122" s="6" t="s">
        <v>44</v>
      </c>
      <c r="F1122" s="6">
        <v>36</v>
      </c>
      <c r="G1122" s="15">
        <v>0.18958333333333333</v>
      </c>
      <c r="H1122" s="16">
        <v>0</v>
      </c>
      <c r="I1122" s="35">
        <f ca="1">IFERROR(Tabela3[[#This Row],[Custo Total]]/Tabela3[[#This Row],[Aluminio Util]],0)</f>
        <v>24.878462917315826</v>
      </c>
      <c r="J1122" s="35">
        <f ca="1">Tabela3[[#This Row],[Custo Total]]/Tabela3[[#This Row],[Realizado]]</f>
        <v>13.260220734929337</v>
      </c>
      <c r="K1122" s="37">
        <f>IFERROR(Tabela3[[#This Row],[Qtde Cx Produzida]]/Tabela3[[#This Row],[Tempo]]/24,0)</f>
        <v>7.9120879120879124</v>
      </c>
      <c r="L1122" s="37">
        <f>Tabela3[[#This Row],[Qtde Cx Produzida]]*Tabela3[[#This Row],[Qdt Peça Placa]]</f>
        <v>144</v>
      </c>
      <c r="M1122" s="37">
        <f>Tabela3[[#This Row],[Previsto]]-Tabela3[[#This Row],[Perda Pçs]]</f>
        <v>144</v>
      </c>
      <c r="N1122" s="38">
        <f>IFERROR(Tabela3[[#This Row],[Perda Pçs]]/Tabela3[[#This Row],[Previsto]],0)</f>
        <v>0</v>
      </c>
      <c r="O1122" s="39">
        <f>IFERROR(IF(Tabela3[[#This Row],[Qtde Cx Produzida]] &lt;&gt; 0, Tabela3[[#This Row],[Tempo]] / Tabela3[[#This Row],[Qtde Cx Produzida]], 0),0)</f>
        <v>5.2662037037037035E-3</v>
      </c>
      <c r="P1122" s="57">
        <f>IFERROR(Tabela3[[#This Row],[Perda Pçs]]/Tabela3[[#This Row],[Qdt Peça Placa]],0)</f>
        <v>0</v>
      </c>
      <c r="Q1122" s="37">
        <f>IFERROR(Tabela3[[#This Row],[Realizado]]*Tabela3[[#This Row],[Peso Util/Pç]],0)</f>
        <v>76.75200000000001</v>
      </c>
      <c r="R1122" s="37">
        <f>IFERROR(Tabela3[[#This Row],[Peso Total Galho]]*Tabela3[[#This Row],[Qtde Cx Produzida]]*1.055,0)</f>
        <v>125.33399999999999</v>
      </c>
      <c r="S1122" s="37">
        <f>(Tabela3[[#This Row],[Aluminio Bruto]]-Tabela3[[#This Row],[Aluminio Util]])*0.9</f>
        <v>43.723799999999983</v>
      </c>
      <c r="T1122" s="37">
        <f>Tabela3[[#This Row],[Aluminio Bruto]]/OleoKGAluminio</f>
        <v>52.727851744694931</v>
      </c>
      <c r="U1122" s="35">
        <f>IFERROR((VLOOKUP(Tabela3[[#This Row],[Moldador]],Tabela1[],5,)+(VLOOKUP(Tabela3[[#This Row],[Ajudante]],Tabela1[],5,))*3.5),0)</f>
        <v>126.0945</v>
      </c>
      <c r="V1122" s="35">
        <f>IFERROR(Tabela3[[#This Row],[Custo M.O. / H]]/((Tabela3[[#This Row],[Realizado]]/Tabela3[[#This Row],[Qdt Peça Placa]])/Tabela3[[#This Row],[Tempo]]/24),)</f>
        <v>15.936943749999999</v>
      </c>
      <c r="W1122" s="35">
        <f>Tabela3[[#This Row],[Custo / Cx Moldada]]*Tabela3[[#This Row],[Qtde Cx Produzida]]</f>
        <v>573.72997499999997</v>
      </c>
      <c r="X1122" s="35">
        <f ca="1">Tabela3[[#This Row],[Aluminio Util]]*Tabela3[[#This Row],[Custo/Kg]]</f>
        <v>1197.3312000000003</v>
      </c>
      <c r="Y1122" s="35">
        <f>IFERROR(VLOOKUP(Tabela3[[#This Row],[Data]],Tabela461213[],2,1)*(Tabela3[[#This Row],[Qtde Cx Produzida]]*Tabela3[[#This Row],[Qde macho / CX]]*Tabela3[[#This Row],[Peso Macho]]),)</f>
        <v>0</v>
      </c>
      <c r="Z1122" s="35">
        <f>IFERROR(Tabela3[[#This Row],[Qtde Oleo]]*(VLOOKUP(Tabela3[[#This Row],[Data]],CompraOleo[],3,TRUE))*1.05,0)</f>
        <v>138.41061082982421</v>
      </c>
      <c r="AA1122" s="47">
        <f ca="1">(Tabela3[[#This Row],[Custo Oleo]]+Tabela3[[#This Row],[Custo Aluminio]]+Tabela3[[#This Row],[Custo M.O. Total]]+Tabela3[[#This Row],[Custo Machos]])</f>
        <v>1909.4717858298245</v>
      </c>
      <c r="AB1122" s="47">
        <f ca="1">Tabela3[[#This Row],[Custo Total]]*Tabela3[[#This Row],[% Perda]]</f>
        <v>0</v>
      </c>
      <c r="AC1122" s="40">
        <f>IFERROR(VLOOKUP(Tabela3[[#This Row],[Produto]],Tabela2[],2,0),0)</f>
        <v>4</v>
      </c>
      <c r="AD1122" s="48">
        <f>IFERROR(VLOOKUP(Tabela3[[#This Row],[Produto]],Tabela2[],3,0),0)</f>
        <v>0.53300000000000003</v>
      </c>
      <c r="AE1122" s="48">
        <f>IFERROR(VLOOKUP(Tabela3[[#This Row],[Produto]],Tabela2[],4,0),0)</f>
        <v>3.3</v>
      </c>
      <c r="AF1122" s="48">
        <f>IFERROR(VLOOKUP(Tabela3[[#This Row],[Produto]],Tabela2[],5,0),0)</f>
        <v>1.0511999999999997</v>
      </c>
      <c r="AG1122" s="48">
        <f>IFERROR(VLOOKUP(Tabela3[[#This Row],[Produto]],Tabela2[],6,0),0)</f>
        <v>0</v>
      </c>
      <c r="AH1122" s="40">
        <f>IFERROR(VLOOKUP(Tabela3[[#This Row],[Produto]],Tabela2[],7,0),0)</f>
        <v>0</v>
      </c>
      <c r="AI1122" s="40">
        <f>IFERROR(VLOOKUP(Tabela3[[#This Row],[Produto]],Tabela2[],8,0),0)</f>
        <v>0</v>
      </c>
      <c r="AJ1122" s="35">
        <f ca="1">IFERROR(VLOOKUP(Tabela3[[#This Row],[Produto]],Tabela2[],13,0),0)</f>
        <v>15.600000000000001</v>
      </c>
      <c r="AK1122" s="48" t="str">
        <f>IFERROR(VLOOKUP(Tabela3[[#This Row],[Produto]],Tabela2[],14,0),0)</f>
        <v>Senun</v>
      </c>
      <c r="AL1122" s="40">
        <f>IFERROR(VLOOKUP(Tabela3[[#This Row],[Produto]],Tabela2[],15,0),0)</f>
        <v>4</v>
      </c>
      <c r="AM1122" s="36">
        <f ca="1">(Tabela3[[#This Row],[Custo Usinagem]]+Tabela3[[#This Row],[Custo / Pç]])*1.2</f>
        <v>20.712264881915203</v>
      </c>
      <c r="AN1122" s="36">
        <f ca="1">Tabela3[[#This Row],[Valor Mínimo Venda]]*1.15</f>
        <v>23.81910461420248</v>
      </c>
      <c r="AO1122" s="36">
        <f ca="1">Tabela3[[#This Row],[Tabela 1]]*1.08</f>
        <v>25.72463298333868</v>
      </c>
      <c r="AP1122" s="36">
        <f ca="1">Tabela3[[#This Row],[Tabela 2]]*1.15</f>
        <v>29.583327930839481</v>
      </c>
    </row>
    <row r="1123" spans="1:42">
      <c r="A1123" s="9">
        <v>46128</v>
      </c>
      <c r="B1123" s="9" t="s">
        <v>246</v>
      </c>
      <c r="C1123" s="14">
        <v>9527</v>
      </c>
      <c r="D1123" s="6" t="s">
        <v>44</v>
      </c>
      <c r="E1123" s="6" t="s">
        <v>47</v>
      </c>
      <c r="F1123" s="6">
        <v>16</v>
      </c>
      <c r="G1123" s="15">
        <v>8.1250000000000003E-2</v>
      </c>
      <c r="H1123" s="16">
        <v>0</v>
      </c>
      <c r="I1123" s="35">
        <f ca="1">IFERROR(Tabela3[[#This Row],[Custo Total]]/Tabela3[[#This Row],[Aluminio Util]],0)</f>
        <v>23.116973540410338</v>
      </c>
      <c r="J1123" s="35">
        <f ca="1">Tabela3[[#This Row],[Custo Total]]/Tabela3[[#This Row],[Realizado]]</f>
        <v>12.321346897038712</v>
      </c>
      <c r="K1123" s="37">
        <f>IFERROR(Tabela3[[#This Row],[Qtde Cx Produzida]]/Tabela3[[#This Row],[Tempo]]/24,0)</f>
        <v>8.2051282051282044</v>
      </c>
      <c r="L1123" s="37">
        <f>Tabela3[[#This Row],[Qtde Cx Produzida]]*Tabela3[[#This Row],[Qdt Peça Placa]]</f>
        <v>64</v>
      </c>
      <c r="M1123" s="37">
        <f>Tabela3[[#This Row],[Previsto]]-Tabela3[[#This Row],[Perda Pçs]]</f>
        <v>64</v>
      </c>
      <c r="N1123" s="38">
        <f>IFERROR(Tabela3[[#This Row],[Perda Pçs]]/Tabela3[[#This Row],[Previsto]],0)</f>
        <v>0</v>
      </c>
      <c r="O1123" s="39">
        <f>IFERROR(IF(Tabela3[[#This Row],[Qtde Cx Produzida]] &lt;&gt; 0, Tabela3[[#This Row],[Tempo]] / Tabela3[[#This Row],[Qtde Cx Produzida]], 0),0)</f>
        <v>5.0781250000000002E-3</v>
      </c>
      <c r="P1123" s="57">
        <f>IFERROR(Tabela3[[#This Row],[Perda Pçs]]/Tabela3[[#This Row],[Qdt Peça Placa]],0)</f>
        <v>0</v>
      </c>
      <c r="Q1123" s="37">
        <f>IFERROR(Tabela3[[#This Row],[Realizado]]*Tabela3[[#This Row],[Peso Util/Pç]],0)</f>
        <v>34.112000000000002</v>
      </c>
      <c r="R1123" s="37">
        <f>IFERROR(Tabela3[[#This Row],[Peso Total Galho]]*Tabela3[[#This Row],[Qtde Cx Produzida]]*1.055,0)</f>
        <v>55.703999999999994</v>
      </c>
      <c r="S1123" s="37">
        <f>(Tabela3[[#This Row],[Aluminio Bruto]]-Tabela3[[#This Row],[Aluminio Util]])*0.9</f>
        <v>19.432799999999993</v>
      </c>
      <c r="T1123" s="37">
        <f>Tabela3[[#This Row],[Aluminio Bruto]]/OleoKGAluminio</f>
        <v>23.434600775419966</v>
      </c>
      <c r="U1123" s="35">
        <f>IFERROR((VLOOKUP(Tabela3[[#This Row],[Moldador]],Tabela1[],5,)+(VLOOKUP(Tabela3[[#This Row],[Ajudante]],Tabela1[],5,))*3.5),0)</f>
        <v>99.95034583333333</v>
      </c>
      <c r="V1123" s="35">
        <f>IFERROR(Tabela3[[#This Row],[Custo M.O. / H]]/((Tabela3[[#This Row],[Realizado]]/Tabela3[[#This Row],[Qdt Peça Placa]])/Tabela3[[#This Row],[Tempo]]/24),)</f>
        <v>12.181448398437501</v>
      </c>
      <c r="W1123" s="35">
        <f>Tabela3[[#This Row],[Custo / Cx Moldada]]*Tabela3[[#This Row],[Qtde Cx Produzida]]</f>
        <v>194.90317437500002</v>
      </c>
      <c r="X1123" s="35">
        <f ca="1">Tabela3[[#This Row],[Aluminio Util]]*Tabela3[[#This Row],[Custo/Kg]]</f>
        <v>532.14720000000011</v>
      </c>
      <c r="Y1123" s="35">
        <f>IFERROR(VLOOKUP(Tabela3[[#This Row],[Data]],Tabela461213[],2,1)*(Tabela3[[#This Row],[Qtde Cx Produzida]]*Tabela3[[#This Row],[Qde macho / CX]]*Tabela3[[#This Row],[Peso Macho]]),)</f>
        <v>0</v>
      </c>
      <c r="Z1123" s="35">
        <f>IFERROR(Tabela3[[#This Row],[Qtde Oleo]]*(VLOOKUP(Tabela3[[#This Row],[Data]],CompraOleo[],3,TRUE))*1.05,0)</f>
        <v>61.515827035477415</v>
      </c>
      <c r="AA1123" s="47">
        <f ca="1">(Tabela3[[#This Row],[Custo Oleo]]+Tabela3[[#This Row],[Custo Aluminio]]+Tabela3[[#This Row],[Custo M.O. Total]]+Tabela3[[#This Row],[Custo Machos]])</f>
        <v>788.56620141047756</v>
      </c>
      <c r="AB1123" s="47">
        <f ca="1">Tabela3[[#This Row],[Custo Total]]*Tabela3[[#This Row],[% Perda]]</f>
        <v>0</v>
      </c>
      <c r="AC1123" s="40">
        <f>IFERROR(VLOOKUP(Tabela3[[#This Row],[Produto]],Tabela2[],2,0),0)</f>
        <v>4</v>
      </c>
      <c r="AD1123" s="48">
        <f>IFERROR(VLOOKUP(Tabela3[[#This Row],[Produto]],Tabela2[],3,0),0)</f>
        <v>0.53300000000000003</v>
      </c>
      <c r="AE1123" s="48">
        <f>IFERROR(VLOOKUP(Tabela3[[#This Row],[Produto]],Tabela2[],4,0),0)</f>
        <v>3.3</v>
      </c>
      <c r="AF1123" s="48">
        <f>IFERROR(VLOOKUP(Tabela3[[#This Row],[Produto]],Tabela2[],5,0),0)</f>
        <v>1.0511999999999997</v>
      </c>
      <c r="AG1123" s="48">
        <f>IFERROR(VLOOKUP(Tabela3[[#This Row],[Produto]],Tabela2[],6,0),0)</f>
        <v>0</v>
      </c>
      <c r="AH1123" s="40">
        <f>IFERROR(VLOOKUP(Tabela3[[#This Row],[Produto]],Tabela2[],7,0),0)</f>
        <v>0</v>
      </c>
      <c r="AI1123" s="40">
        <f>IFERROR(VLOOKUP(Tabela3[[#This Row],[Produto]],Tabela2[],8,0),0)</f>
        <v>0</v>
      </c>
      <c r="AJ1123" s="35">
        <f ca="1">IFERROR(VLOOKUP(Tabela3[[#This Row],[Produto]],Tabela2[],13,0),0)</f>
        <v>15.600000000000001</v>
      </c>
      <c r="AK1123" s="48" t="str">
        <f>IFERROR(VLOOKUP(Tabela3[[#This Row],[Produto]],Tabela2[],14,0),0)</f>
        <v>Senun</v>
      </c>
      <c r="AL1123" s="40">
        <f>IFERROR(VLOOKUP(Tabela3[[#This Row],[Produto]],Tabela2[],15,0),0)</f>
        <v>4</v>
      </c>
      <c r="AM1123" s="36">
        <f ca="1">(Tabela3[[#This Row],[Custo Usinagem]]+Tabela3[[#This Row],[Custo / Pç]])*1.2</f>
        <v>19.585616276446455</v>
      </c>
      <c r="AN1123" s="36">
        <f ca="1">Tabela3[[#This Row],[Valor Mínimo Venda]]*1.15</f>
        <v>22.523458717913421</v>
      </c>
      <c r="AO1123" s="36">
        <f ca="1">Tabela3[[#This Row],[Tabela 1]]*1.08</f>
        <v>24.325335415346498</v>
      </c>
      <c r="AP1123" s="36">
        <f ca="1">Tabela3[[#This Row],[Tabela 2]]*1.15</f>
        <v>27.97413572764847</v>
      </c>
    </row>
    <row r="1124" spans="1:42">
      <c r="A1124" s="9">
        <v>46129</v>
      </c>
      <c r="B1124" s="9" t="s">
        <v>246</v>
      </c>
      <c r="C1124" s="14">
        <v>9527</v>
      </c>
      <c r="D1124" s="6" t="s">
        <v>46</v>
      </c>
      <c r="E1124" s="6" t="s">
        <v>44</v>
      </c>
      <c r="F1124" s="6">
        <v>40</v>
      </c>
      <c r="G1124" s="15">
        <v>0.24722222222222223</v>
      </c>
      <c r="H1124" s="16">
        <v>25</v>
      </c>
      <c r="I1124" s="35">
        <f ca="1">IFERROR(Tabela3[[#This Row],[Custo Total]]/Tabela3[[#This Row],[Aluminio Util]],0)</f>
        <v>30.060406439670228</v>
      </c>
      <c r="J1124" s="35">
        <f ca="1">Tabela3[[#This Row],[Custo Total]]/Tabela3[[#This Row],[Realizado]]</f>
        <v>16.022196632344233</v>
      </c>
      <c r="K1124" s="37">
        <f>IFERROR(Tabela3[[#This Row],[Qtde Cx Produzida]]/Tabela3[[#This Row],[Tempo]]/24,0)</f>
        <v>6.7415730337078648</v>
      </c>
      <c r="L1124" s="37">
        <f>Tabela3[[#This Row],[Qtde Cx Produzida]]*Tabela3[[#This Row],[Qdt Peça Placa]]</f>
        <v>160</v>
      </c>
      <c r="M1124" s="37">
        <f>Tabela3[[#This Row],[Previsto]]-Tabela3[[#This Row],[Perda Pçs]]</f>
        <v>135</v>
      </c>
      <c r="N1124" s="38">
        <f>IFERROR(Tabela3[[#This Row],[Perda Pçs]]/Tabela3[[#This Row],[Previsto]],0)</f>
        <v>0.15625</v>
      </c>
      <c r="O1124" s="39">
        <f>IFERROR(IF(Tabela3[[#This Row],[Qtde Cx Produzida]] &lt;&gt; 0, Tabela3[[#This Row],[Tempo]] / Tabela3[[#This Row],[Qtde Cx Produzida]], 0),0)</f>
        <v>6.1805555555555555E-3</v>
      </c>
      <c r="P1124" s="57">
        <f>IFERROR(Tabela3[[#This Row],[Perda Pçs]]/Tabela3[[#This Row],[Qdt Peça Placa]],0)</f>
        <v>6.25</v>
      </c>
      <c r="Q1124" s="37">
        <f>IFERROR(Tabela3[[#This Row],[Realizado]]*Tabela3[[#This Row],[Peso Util/Pç]],0)</f>
        <v>71.954999999999998</v>
      </c>
      <c r="R1124" s="37">
        <f>IFERROR(Tabela3[[#This Row],[Peso Total Galho]]*Tabela3[[#This Row],[Qtde Cx Produzida]]*1.055,0)</f>
        <v>139.26</v>
      </c>
      <c r="S1124" s="37">
        <f>(Tabela3[[#This Row],[Aluminio Bruto]]-Tabela3[[#This Row],[Aluminio Util]])*0.9</f>
        <v>60.574499999999993</v>
      </c>
      <c r="T1124" s="37">
        <f>Tabela3[[#This Row],[Aluminio Bruto]]/OleoKGAluminio</f>
        <v>58.586501938549922</v>
      </c>
      <c r="U1124" s="35">
        <f>IFERROR((VLOOKUP(Tabela3[[#This Row],[Moldador]],Tabela1[],5,)+(VLOOKUP(Tabela3[[#This Row],[Ajudante]],Tabela1[],5,))*3.5),0)</f>
        <v>126.0945</v>
      </c>
      <c r="V1124" s="35">
        <f>IFERROR(Tabela3[[#This Row],[Custo M.O. / H]]/((Tabela3[[#This Row],[Realizado]]/Tabela3[[#This Row],[Qdt Peça Placa]])/Tabela3[[#This Row],[Tempo]]/24),)</f>
        <v>22.167724444444445</v>
      </c>
      <c r="W1124" s="35">
        <f>Tabela3[[#This Row],[Custo / Cx Moldada]]*Tabela3[[#This Row],[Qtde Cx Produzida]]</f>
        <v>886.70897777777782</v>
      </c>
      <c r="X1124" s="35">
        <f ca="1">Tabela3[[#This Row],[Aluminio Util]]*Tabela3[[#This Row],[Custo/Kg]]</f>
        <v>1122.498</v>
      </c>
      <c r="Y1124" s="35">
        <f>IFERROR(VLOOKUP(Tabela3[[#This Row],[Data]],Tabela461213[],2,1)*(Tabela3[[#This Row],[Qtde Cx Produzida]]*Tabela3[[#This Row],[Qde macho / CX]]*Tabela3[[#This Row],[Peso Macho]]),)</f>
        <v>0</v>
      </c>
      <c r="Z1124" s="35">
        <f>IFERROR(Tabela3[[#This Row],[Qtde Oleo]]*(VLOOKUP(Tabela3[[#This Row],[Data]],CompraOleo[],3,TRUE))*1.05,0)</f>
        <v>153.78956758869353</v>
      </c>
      <c r="AA1124" s="47">
        <f ca="1">(Tabela3[[#This Row],[Custo Oleo]]+Tabela3[[#This Row],[Custo Aluminio]]+Tabela3[[#This Row],[Custo M.O. Total]]+Tabela3[[#This Row],[Custo Machos]])</f>
        <v>2162.9965453664713</v>
      </c>
      <c r="AB1124" s="47">
        <f ca="1">Tabela3[[#This Row],[Custo Total]]*Tabela3[[#This Row],[% Perda]]</f>
        <v>337.96821021351116</v>
      </c>
      <c r="AC1124" s="40">
        <f>IFERROR(VLOOKUP(Tabela3[[#This Row],[Produto]],Tabela2[],2,0),0)</f>
        <v>4</v>
      </c>
      <c r="AD1124" s="48">
        <f>IFERROR(VLOOKUP(Tabela3[[#This Row],[Produto]],Tabela2[],3,0),0)</f>
        <v>0.53300000000000003</v>
      </c>
      <c r="AE1124" s="48">
        <f>IFERROR(VLOOKUP(Tabela3[[#This Row],[Produto]],Tabela2[],4,0),0)</f>
        <v>3.3</v>
      </c>
      <c r="AF1124" s="48">
        <f>IFERROR(VLOOKUP(Tabela3[[#This Row],[Produto]],Tabela2[],5,0),0)</f>
        <v>1.0511999999999997</v>
      </c>
      <c r="AG1124" s="48">
        <f>IFERROR(VLOOKUP(Tabela3[[#This Row],[Produto]],Tabela2[],6,0),0)</f>
        <v>0</v>
      </c>
      <c r="AH1124" s="40">
        <f>IFERROR(VLOOKUP(Tabela3[[#This Row],[Produto]],Tabela2[],7,0),0)</f>
        <v>0</v>
      </c>
      <c r="AI1124" s="40">
        <f>IFERROR(VLOOKUP(Tabela3[[#This Row],[Produto]],Tabela2[],8,0),0)</f>
        <v>0</v>
      </c>
      <c r="AJ1124" s="35">
        <f ca="1">IFERROR(VLOOKUP(Tabela3[[#This Row],[Produto]],Tabela2[],13,0),0)</f>
        <v>15.600000000000001</v>
      </c>
      <c r="AK1124" s="48" t="str">
        <f>IFERROR(VLOOKUP(Tabela3[[#This Row],[Produto]],Tabela2[],14,0),0)</f>
        <v>Senun</v>
      </c>
      <c r="AL1124" s="40">
        <f>IFERROR(VLOOKUP(Tabela3[[#This Row],[Produto]],Tabela2[],15,0),0)</f>
        <v>4</v>
      </c>
      <c r="AM1124" s="36">
        <f ca="1">(Tabela3[[#This Row],[Custo Usinagem]]+Tabela3[[#This Row],[Custo / Pç]])*1.2</f>
        <v>24.026635958813078</v>
      </c>
      <c r="AN1124" s="36">
        <f ca="1">Tabela3[[#This Row],[Valor Mínimo Venda]]*1.15</f>
        <v>27.630631352635039</v>
      </c>
      <c r="AO1124" s="36">
        <f ca="1">Tabela3[[#This Row],[Tabela 1]]*1.08</f>
        <v>29.841081860845843</v>
      </c>
      <c r="AP1124" s="36">
        <f ca="1">Tabela3[[#This Row],[Tabela 2]]*1.15</f>
        <v>34.317244139972715</v>
      </c>
    </row>
    <row r="1125" spans="1:42">
      <c r="A1125" s="9">
        <v>46129</v>
      </c>
      <c r="B1125" s="9" t="s">
        <v>246</v>
      </c>
      <c r="C1125" s="14">
        <v>9527</v>
      </c>
      <c r="D1125" s="6" t="s">
        <v>44</v>
      </c>
      <c r="E1125" s="6" t="s">
        <v>47</v>
      </c>
      <c r="F1125" s="6">
        <v>14</v>
      </c>
      <c r="G1125" s="15">
        <v>7.0833333333333331E-2</v>
      </c>
      <c r="H1125" s="16">
        <v>0</v>
      </c>
      <c r="I1125" s="35">
        <f ca="1">IFERROR(Tabela3[[#This Row],[Custo Total]]/Tabela3[[#This Row],[Aluminio Util]],0)</f>
        <v>23.096044511280798</v>
      </c>
      <c r="J1125" s="35">
        <f ca="1">Tabela3[[#This Row],[Custo Total]]/Tabela3[[#This Row],[Realizado]]</f>
        <v>12.310191724512666</v>
      </c>
      <c r="K1125" s="37">
        <f>IFERROR(Tabela3[[#This Row],[Qtde Cx Produzida]]/Tabela3[[#This Row],[Tempo]]/24,0)</f>
        <v>8.2352941176470598</v>
      </c>
      <c r="L1125" s="37">
        <f>Tabela3[[#This Row],[Qtde Cx Produzida]]*Tabela3[[#This Row],[Qdt Peça Placa]]</f>
        <v>56</v>
      </c>
      <c r="M1125" s="37">
        <f>Tabela3[[#This Row],[Previsto]]-Tabela3[[#This Row],[Perda Pçs]]</f>
        <v>56</v>
      </c>
      <c r="N1125" s="38">
        <f>IFERROR(Tabela3[[#This Row],[Perda Pçs]]/Tabela3[[#This Row],[Previsto]],0)</f>
        <v>0</v>
      </c>
      <c r="O1125" s="39">
        <f>IFERROR(IF(Tabela3[[#This Row],[Qtde Cx Produzida]] &lt;&gt; 0, Tabela3[[#This Row],[Tempo]] / Tabela3[[#This Row],[Qtde Cx Produzida]], 0),0)</f>
        <v>5.0595238095238098E-3</v>
      </c>
      <c r="P1125" s="57">
        <f>IFERROR(Tabela3[[#This Row],[Perda Pçs]]/Tabela3[[#This Row],[Qdt Peça Placa]],0)</f>
        <v>0</v>
      </c>
      <c r="Q1125" s="37">
        <f>IFERROR(Tabela3[[#This Row],[Realizado]]*Tabela3[[#This Row],[Peso Util/Pç]],0)</f>
        <v>29.848000000000003</v>
      </c>
      <c r="R1125" s="37">
        <f>IFERROR(Tabela3[[#This Row],[Peso Total Galho]]*Tabela3[[#This Row],[Qtde Cx Produzida]]*1.055,0)</f>
        <v>48.740999999999993</v>
      </c>
      <c r="S1125" s="37">
        <f>(Tabela3[[#This Row],[Aluminio Bruto]]-Tabela3[[#This Row],[Aluminio Util]])*0.9</f>
        <v>17.003699999999991</v>
      </c>
      <c r="T1125" s="37">
        <f>Tabela3[[#This Row],[Aluminio Bruto]]/OleoKGAluminio</f>
        <v>20.50527567849247</v>
      </c>
      <c r="U1125" s="35">
        <f>IFERROR((VLOOKUP(Tabela3[[#This Row],[Moldador]],Tabela1[],5,)+(VLOOKUP(Tabela3[[#This Row],[Ajudante]],Tabela1[],5,))*3.5),0)</f>
        <v>99.95034583333333</v>
      </c>
      <c r="V1125" s="35">
        <f>IFERROR(Tabela3[[#This Row],[Custo M.O. / H]]/((Tabela3[[#This Row],[Realizado]]/Tabela3[[#This Row],[Qdt Peça Placa]])/Tabela3[[#This Row],[Tempo]]/24),)</f>
        <v>12.136827708333332</v>
      </c>
      <c r="W1125" s="35">
        <f>Tabela3[[#This Row],[Custo / Cx Moldada]]*Tabela3[[#This Row],[Qtde Cx Produzida]]</f>
        <v>169.91558791666665</v>
      </c>
      <c r="X1125" s="35">
        <f ca="1">Tabela3[[#This Row],[Aluminio Util]]*Tabela3[[#This Row],[Custo/Kg]]</f>
        <v>465.62880000000007</v>
      </c>
      <c r="Y1125" s="35">
        <f>IFERROR(VLOOKUP(Tabela3[[#This Row],[Data]],Tabela461213[],2,1)*(Tabela3[[#This Row],[Qtde Cx Produzida]]*Tabela3[[#This Row],[Qde macho / CX]]*Tabela3[[#This Row],[Peso Macho]]),)</f>
        <v>0</v>
      </c>
      <c r="Z1125" s="35">
        <f>IFERROR(Tabela3[[#This Row],[Qtde Oleo]]*(VLOOKUP(Tabela3[[#This Row],[Data]],CompraOleo[],3,TRUE))*1.05,0)</f>
        <v>53.826348656042732</v>
      </c>
      <c r="AA1125" s="47">
        <f ca="1">(Tabela3[[#This Row],[Custo Oleo]]+Tabela3[[#This Row],[Custo Aluminio]]+Tabela3[[#This Row],[Custo M.O. Total]]+Tabela3[[#This Row],[Custo Machos]])</f>
        <v>689.37073657270935</v>
      </c>
      <c r="AB1125" s="47">
        <f ca="1">Tabela3[[#This Row],[Custo Total]]*Tabela3[[#This Row],[% Perda]]</f>
        <v>0</v>
      </c>
      <c r="AC1125" s="40">
        <f>IFERROR(VLOOKUP(Tabela3[[#This Row],[Produto]],Tabela2[],2,0),0)</f>
        <v>4</v>
      </c>
      <c r="AD1125" s="48">
        <f>IFERROR(VLOOKUP(Tabela3[[#This Row],[Produto]],Tabela2[],3,0),0)</f>
        <v>0.53300000000000003</v>
      </c>
      <c r="AE1125" s="48">
        <f>IFERROR(VLOOKUP(Tabela3[[#This Row],[Produto]],Tabela2[],4,0),0)</f>
        <v>3.3</v>
      </c>
      <c r="AF1125" s="48">
        <f>IFERROR(VLOOKUP(Tabela3[[#This Row],[Produto]],Tabela2[],5,0),0)</f>
        <v>1.0511999999999997</v>
      </c>
      <c r="AG1125" s="48">
        <f>IFERROR(VLOOKUP(Tabela3[[#This Row],[Produto]],Tabela2[],6,0),0)</f>
        <v>0</v>
      </c>
      <c r="AH1125" s="40">
        <f>IFERROR(VLOOKUP(Tabela3[[#This Row],[Produto]],Tabela2[],7,0),0)</f>
        <v>0</v>
      </c>
      <c r="AI1125" s="40">
        <f>IFERROR(VLOOKUP(Tabela3[[#This Row],[Produto]],Tabela2[],8,0),0)</f>
        <v>0</v>
      </c>
      <c r="AJ1125" s="35">
        <f ca="1">IFERROR(VLOOKUP(Tabela3[[#This Row],[Produto]],Tabela2[],13,0),0)</f>
        <v>15.600000000000001</v>
      </c>
      <c r="AK1125" s="48" t="str">
        <f>IFERROR(VLOOKUP(Tabela3[[#This Row],[Produto]],Tabela2[],14,0),0)</f>
        <v>Senun</v>
      </c>
      <c r="AL1125" s="40">
        <f>IFERROR(VLOOKUP(Tabela3[[#This Row],[Produto]],Tabela2[],15,0),0)</f>
        <v>4</v>
      </c>
      <c r="AM1125" s="36">
        <f ca="1">(Tabela3[[#This Row],[Custo Usinagem]]+Tabela3[[#This Row],[Custo / Pç]])*1.2</f>
        <v>19.572230069415198</v>
      </c>
      <c r="AN1125" s="36">
        <f ca="1">Tabela3[[#This Row],[Valor Mínimo Venda]]*1.15</f>
        <v>22.508064579827476</v>
      </c>
      <c r="AO1125" s="36">
        <f ca="1">Tabela3[[#This Row],[Tabela 1]]*1.08</f>
        <v>24.308709746213676</v>
      </c>
      <c r="AP1125" s="36">
        <f ca="1">Tabela3[[#This Row],[Tabela 2]]*1.15</f>
        <v>27.955016208145725</v>
      </c>
    </row>
    <row r="1126" spans="1:42">
      <c r="A1126" s="9">
        <v>46129</v>
      </c>
      <c r="B1126" s="9" t="s">
        <v>274</v>
      </c>
      <c r="C1126" s="14">
        <v>9562</v>
      </c>
      <c r="D1126" s="6" t="s">
        <v>44</v>
      </c>
      <c r="E1126" s="6" t="s">
        <v>54</v>
      </c>
      <c r="F1126" s="6">
        <v>1</v>
      </c>
      <c r="G1126" s="15">
        <v>4.8611111111111112E-2</v>
      </c>
      <c r="H1126" s="16">
        <v>0</v>
      </c>
      <c r="I1126" s="35">
        <f ca="1">IFERROR(Tabela3[[#This Row],[Custo Total]]/Tabela3[[#This Row],[Aluminio Util]],0)</f>
        <v>26.237092229905784</v>
      </c>
      <c r="J1126" s="35">
        <f ca="1">Tabela3[[#This Row],[Custo Total]]/Tabela3[[#This Row],[Realizado]]</f>
        <v>524.74184459811568</v>
      </c>
      <c r="K1126" s="37">
        <f>IFERROR(Tabela3[[#This Row],[Qtde Cx Produzida]]/Tabela3[[#This Row],[Tempo]]/24,0)</f>
        <v>0.8571428571428571</v>
      </c>
      <c r="L1126" s="37">
        <f>Tabela3[[#This Row],[Qtde Cx Produzida]]*Tabela3[[#This Row],[Qdt Peça Placa]]</f>
        <v>1</v>
      </c>
      <c r="M1126" s="37">
        <f>Tabela3[[#This Row],[Previsto]]-Tabela3[[#This Row],[Perda Pçs]]</f>
        <v>1</v>
      </c>
      <c r="N1126" s="38">
        <f>IFERROR(Tabela3[[#This Row],[Perda Pçs]]/Tabela3[[#This Row],[Previsto]],0)</f>
        <v>0</v>
      </c>
      <c r="O1126" s="39">
        <f>IFERROR(IF(Tabela3[[#This Row],[Qtde Cx Produzida]] &lt;&gt; 0, Tabela3[[#This Row],[Tempo]] / Tabela3[[#This Row],[Qtde Cx Produzida]], 0),0)</f>
        <v>4.8611111111111112E-2</v>
      </c>
      <c r="P1126" s="57">
        <f>IFERROR(Tabela3[[#This Row],[Perda Pçs]]/Tabela3[[#This Row],[Qdt Peça Placa]],0)</f>
        <v>0</v>
      </c>
      <c r="Q1126" s="37">
        <f>IFERROR(Tabela3[[#This Row],[Realizado]]*Tabela3[[#This Row],[Peso Util/Pç]],0)</f>
        <v>20</v>
      </c>
      <c r="R1126" s="37">
        <f>IFERROR(Tabela3[[#This Row],[Peso Total Galho]]*Tabela3[[#This Row],[Qtde Cx Produzida]]*1.055,0)</f>
        <v>23.209999999999997</v>
      </c>
      <c r="S1126" s="37">
        <f>(Tabela3[[#This Row],[Aluminio Bruto]]-Tabela3[[#This Row],[Aluminio Util]])*0.9</f>
        <v>2.8889999999999976</v>
      </c>
      <c r="T1126" s="37">
        <f>Tabela3[[#This Row],[Aluminio Bruto]]/OleoKGAluminio</f>
        <v>9.7644169897583204</v>
      </c>
      <c r="U1126" s="35">
        <f>IFERROR((VLOOKUP(Tabela3[[#This Row],[Moldador]],Tabela1[],5,)+(VLOOKUP(Tabela3[[#This Row],[Ajudante]],Tabela1[],5,))*3.5),0)</f>
        <v>126.0945</v>
      </c>
      <c r="V1126" s="35">
        <f>IFERROR(Tabela3[[#This Row],[Custo M.O. / H]]/((Tabela3[[#This Row],[Realizado]]/Tabela3[[#This Row],[Qdt Peça Placa]])/Tabela3[[#This Row],[Tempo]]/24),)</f>
        <v>147.11025000000001</v>
      </c>
      <c r="W1126" s="35">
        <f>Tabela3[[#This Row],[Custo / Cx Moldada]]*Tabela3[[#This Row],[Qtde Cx Produzida]]</f>
        <v>147.11025000000001</v>
      </c>
      <c r="X1126" s="35">
        <f ca="1">Tabela3[[#This Row],[Aluminio Util]]*Tabela3[[#This Row],[Custo/Kg]]</f>
        <v>352</v>
      </c>
      <c r="Y1126" s="35">
        <f>IFERROR(VLOOKUP(Tabela3[[#This Row],[Data]],Tabela461213[],2,1)*(Tabela3[[#This Row],[Qtde Cx Produzida]]*Tabela3[[#This Row],[Qde macho / CX]]*Tabela3[[#This Row],[Peso Macho]]),)</f>
        <v>0</v>
      </c>
      <c r="Z1126" s="35">
        <f>IFERROR(Tabela3[[#This Row],[Qtde Oleo]]*(VLOOKUP(Tabela3[[#This Row],[Data]],CompraOleo[],3,TRUE))*1.05,0)</f>
        <v>25.631594598115591</v>
      </c>
      <c r="AA1126" s="47">
        <f ca="1">(Tabela3[[#This Row],[Custo Oleo]]+Tabela3[[#This Row],[Custo Aluminio]]+Tabela3[[#This Row],[Custo M.O. Total]]+Tabela3[[#This Row],[Custo Machos]])</f>
        <v>524.74184459811568</v>
      </c>
      <c r="AB1126" s="47">
        <f ca="1">Tabela3[[#This Row],[Custo Total]]*Tabela3[[#This Row],[% Perda]]</f>
        <v>0</v>
      </c>
      <c r="AC1126" s="40">
        <f>IFERROR(VLOOKUP(Tabela3[[#This Row],[Produto]],Tabela2[],2,0),0)</f>
        <v>1</v>
      </c>
      <c r="AD1126" s="48">
        <f>IFERROR(VLOOKUP(Tabela3[[#This Row],[Produto]],Tabela2[],3,0),0)</f>
        <v>20</v>
      </c>
      <c r="AE1126" s="48">
        <f>IFERROR(VLOOKUP(Tabela3[[#This Row],[Produto]],Tabela2[],4,0),0)</f>
        <v>22</v>
      </c>
      <c r="AF1126" s="48">
        <f>IFERROR(VLOOKUP(Tabela3[[#This Row],[Produto]],Tabela2[],5,0),0)</f>
        <v>1.8</v>
      </c>
      <c r="AG1126" s="48">
        <f>IFERROR(VLOOKUP(Tabela3[[#This Row],[Produto]],Tabela2[],6,0),0)</f>
        <v>0</v>
      </c>
      <c r="AH1126" s="40">
        <f>IFERROR(VLOOKUP(Tabela3[[#This Row],[Produto]],Tabela2[],7,0),0)</f>
        <v>0</v>
      </c>
      <c r="AI1126" s="40">
        <f>IFERROR(VLOOKUP(Tabela3[[#This Row],[Produto]],Tabela2[],8,0),0)</f>
        <v>0</v>
      </c>
      <c r="AJ1126" s="35">
        <f ca="1">IFERROR(VLOOKUP(Tabela3[[#This Row],[Produto]],Tabela2[],13,0),0)</f>
        <v>17.600000000000001</v>
      </c>
      <c r="AK1126" s="48" t="str">
        <f>IFERROR(VLOOKUP(Tabela3[[#This Row],[Produto]],Tabela2[],14,0),0)</f>
        <v>Danilo</v>
      </c>
      <c r="AL1126" s="40">
        <f>IFERROR(VLOOKUP(Tabela3[[#This Row],[Produto]],Tabela2[],15,0),0)</f>
        <v>0</v>
      </c>
      <c r="AM1126" s="36">
        <f ca="1">(Tabela3[[#This Row],[Custo Usinagem]]+Tabela3[[#This Row],[Custo / Pç]])*1.2</f>
        <v>629.69021351773881</v>
      </c>
      <c r="AN1126" s="36">
        <f ca="1">Tabela3[[#This Row],[Valor Mínimo Venda]]*1.15</f>
        <v>724.14374554539961</v>
      </c>
      <c r="AO1126" s="36">
        <f ca="1">Tabela3[[#This Row],[Tabela 1]]*1.08</f>
        <v>782.07524518903165</v>
      </c>
      <c r="AP1126" s="36">
        <f ca="1">Tabela3[[#This Row],[Tabela 2]]*1.15</f>
        <v>899.3865319673863</v>
      </c>
    </row>
    <row r="1127" spans="1:42">
      <c r="A1127" s="9">
        <v>46129</v>
      </c>
      <c r="B1127" s="9" t="s">
        <v>123</v>
      </c>
      <c r="C1127" s="14">
        <v>9563</v>
      </c>
      <c r="D1127" s="6" t="s">
        <v>46</v>
      </c>
      <c r="E1127" s="6" t="s">
        <v>44</v>
      </c>
      <c r="F1127" s="6">
        <v>10</v>
      </c>
      <c r="G1127" s="15">
        <v>9.375E-2</v>
      </c>
      <c r="H1127" s="16">
        <v>0</v>
      </c>
      <c r="I1127" s="35">
        <f ca="1">IFERROR(Tabela3[[#This Row],[Custo Total]]/Tabela3[[#This Row],[Aluminio Util]],0)</f>
        <v>31.657612581691559</v>
      </c>
      <c r="J1127" s="35">
        <f ca="1">Tabela3[[#This Row],[Custo Total]]/Tabela3[[#This Row],[Realizado]]</f>
        <v>18.203127234472646</v>
      </c>
      <c r="K1127" s="37">
        <f>IFERROR(Tabela3[[#This Row],[Qtde Cx Produzida]]/Tabela3[[#This Row],[Tempo]]/24,0)</f>
        <v>4.4444444444444446</v>
      </c>
      <c r="L1127" s="37">
        <f>Tabela3[[#This Row],[Qtde Cx Produzida]]*Tabela3[[#This Row],[Qdt Peça Placa]]</f>
        <v>40</v>
      </c>
      <c r="M1127" s="37">
        <f>Tabela3[[#This Row],[Previsto]]-Tabela3[[#This Row],[Perda Pçs]]</f>
        <v>40</v>
      </c>
      <c r="N1127" s="38">
        <f>IFERROR(Tabela3[[#This Row],[Perda Pçs]]/Tabela3[[#This Row],[Previsto]],0)</f>
        <v>0</v>
      </c>
      <c r="O1127" s="39">
        <f>IFERROR(IF(Tabela3[[#This Row],[Qtde Cx Produzida]] &lt;&gt; 0, Tabela3[[#This Row],[Tempo]] / Tabela3[[#This Row],[Qtde Cx Produzida]], 0),0)</f>
        <v>9.3749999999999997E-3</v>
      </c>
      <c r="P1127" s="57">
        <f>IFERROR(Tabela3[[#This Row],[Perda Pçs]]/Tabela3[[#This Row],[Qdt Peça Placa]],0)</f>
        <v>0</v>
      </c>
      <c r="Q1127" s="37">
        <f>IFERROR(Tabela3[[#This Row],[Realizado]]*Tabela3[[#This Row],[Peso Util/Pç]],0)</f>
        <v>23</v>
      </c>
      <c r="R1127" s="37">
        <f>IFERROR(Tabela3[[#This Row],[Peso Total Galho]]*Tabela3[[#This Row],[Qtde Cx Produzida]]*1.055,0)</f>
        <v>35.869999999999997</v>
      </c>
      <c r="S1127" s="37">
        <f>(Tabela3[[#This Row],[Aluminio Bruto]]-Tabela3[[#This Row],[Aluminio Util]])*0.9</f>
        <v>11.582999999999998</v>
      </c>
      <c r="T1127" s="37">
        <f>Tabela3[[#This Row],[Aluminio Bruto]]/OleoKGAluminio</f>
        <v>15.090462620535586</v>
      </c>
      <c r="U1127" s="35">
        <f>IFERROR((VLOOKUP(Tabela3[[#This Row],[Moldador]],Tabela1[],5,)+(VLOOKUP(Tabela3[[#This Row],[Ajudante]],Tabela1[],5,))*3.5),0)</f>
        <v>126.0945</v>
      </c>
      <c r="V1127" s="35">
        <f>IFERROR(Tabela3[[#This Row],[Custo M.O. / H]]/((Tabela3[[#This Row],[Realizado]]/Tabela3[[#This Row],[Qdt Peça Placa]])/Tabela3[[#This Row],[Tempo]]/24),)</f>
        <v>28.371262499999997</v>
      </c>
      <c r="W1127" s="35">
        <f>Tabela3[[#This Row],[Custo / Cx Moldada]]*Tabela3[[#This Row],[Qtde Cx Produzida]]</f>
        <v>283.71262499999995</v>
      </c>
      <c r="X1127" s="35">
        <f ca="1">Tabela3[[#This Row],[Aluminio Util]]*Tabela3[[#This Row],[Custo/Kg]]</f>
        <v>404.8</v>
      </c>
      <c r="Y1127" s="35">
        <f>IFERROR(VLOOKUP(Tabela3[[#This Row],[Data]],Tabela461213[],2,1)*(Tabela3[[#This Row],[Qtde Cx Produzida]]*Tabela3[[#This Row],[Qde macho / CX]]*Tabela3[[#This Row],[Peso Macho]]),)</f>
        <v>0</v>
      </c>
      <c r="Z1127" s="35">
        <f>IFERROR(Tabela3[[#This Row],[Qtde Oleo]]*(VLOOKUP(Tabela3[[#This Row],[Data]],CompraOleo[],3,TRUE))*1.05,0)</f>
        <v>39.612464378905919</v>
      </c>
      <c r="AA1127" s="47">
        <f ca="1">(Tabela3[[#This Row],[Custo Oleo]]+Tabela3[[#This Row],[Custo Aluminio]]+Tabela3[[#This Row],[Custo M.O. Total]]+Tabela3[[#This Row],[Custo Machos]])</f>
        <v>728.12508937890584</v>
      </c>
      <c r="AB1127" s="47">
        <f ca="1">Tabela3[[#This Row],[Custo Total]]*Tabela3[[#This Row],[% Perda]]</f>
        <v>0</v>
      </c>
      <c r="AC1127" s="40">
        <f>IFERROR(VLOOKUP(Tabela3[[#This Row],[Produto]],Tabela2[],2,0),0)</f>
        <v>4</v>
      </c>
      <c r="AD1127" s="48">
        <f>IFERROR(VLOOKUP(Tabela3[[#This Row],[Produto]],Tabela2[],3,0),0)</f>
        <v>0.57499999999999996</v>
      </c>
      <c r="AE1127" s="48">
        <f>IFERROR(VLOOKUP(Tabela3[[#This Row],[Produto]],Tabela2[],4,0),0)</f>
        <v>3.4</v>
      </c>
      <c r="AF1127" s="48">
        <f>IFERROR(VLOOKUP(Tabela3[[#This Row],[Produto]],Tabela2[],5,0),0)</f>
        <v>0.9900000000000001</v>
      </c>
      <c r="AG1127" s="48">
        <f>IFERROR(VLOOKUP(Tabela3[[#This Row],[Produto]],Tabela2[],6,0),0)</f>
        <v>0</v>
      </c>
      <c r="AH1127" s="40">
        <f>IFERROR(VLOOKUP(Tabela3[[#This Row],[Produto]],Tabela2[],7,0),0)</f>
        <v>0</v>
      </c>
      <c r="AI1127" s="40">
        <f>IFERROR(VLOOKUP(Tabela3[[#This Row],[Produto]],Tabela2[],8,0),0)</f>
        <v>0</v>
      </c>
      <c r="AJ1127" s="35">
        <f ca="1">IFERROR(VLOOKUP(Tabela3[[#This Row],[Produto]],Tabela2[],13,0),0)</f>
        <v>17.600000000000001</v>
      </c>
      <c r="AK1127" s="48" t="str">
        <f>IFERROR(VLOOKUP(Tabela3[[#This Row],[Produto]],Tabela2[],14,0),0)</f>
        <v>TPA/TEMPLA</v>
      </c>
      <c r="AL1127" s="40">
        <f>IFERROR(VLOOKUP(Tabela3[[#This Row],[Produto]],Tabela2[],15,0),0)</f>
        <v>0</v>
      </c>
      <c r="AM1127" s="36">
        <f ca="1">(Tabela3[[#This Row],[Custo Usinagem]]+Tabela3[[#This Row],[Custo / Pç]])*1.2</f>
        <v>21.843752681367175</v>
      </c>
      <c r="AN1127" s="36">
        <f ca="1">Tabela3[[#This Row],[Valor Mínimo Venda]]*1.15</f>
        <v>25.12031558357225</v>
      </c>
      <c r="AO1127" s="36">
        <f ca="1">Tabela3[[#This Row],[Tabela 1]]*1.08</f>
        <v>27.129940830258032</v>
      </c>
      <c r="AP1127" s="36">
        <f ca="1">Tabela3[[#This Row],[Tabela 2]]*1.15</f>
        <v>31.199431954796736</v>
      </c>
    </row>
    <row r="1128" spans="1:42">
      <c r="A1128" s="9">
        <v>46129</v>
      </c>
      <c r="B1128" s="9" t="s">
        <v>107</v>
      </c>
      <c r="C1128" s="14">
        <v>9564</v>
      </c>
      <c r="D1128" s="6" t="s">
        <v>46</v>
      </c>
      <c r="E1128" s="6" t="s">
        <v>44</v>
      </c>
      <c r="F1128" s="6">
        <v>2</v>
      </c>
      <c r="G1128" s="15">
        <v>1.3194444444444444E-2</v>
      </c>
      <c r="H1128" s="16">
        <v>0</v>
      </c>
      <c r="I1128" s="35">
        <f ca="1">IFERROR(Tabela3[[#This Row],[Custo Total]]/Tabela3[[#This Row],[Aluminio Util]],0)</f>
        <v>31.898527315207076</v>
      </c>
      <c r="J1128" s="35">
        <f ca="1">Tabela3[[#This Row],[Custo Total]]/Tabela3[[#This Row],[Realizado]]</f>
        <v>5.1037643704331321</v>
      </c>
      <c r="K1128" s="37">
        <f>IFERROR(Tabela3[[#This Row],[Qtde Cx Produzida]]/Tabela3[[#This Row],[Tempo]]/24,0)</f>
        <v>6.3157894736842097</v>
      </c>
      <c r="L1128" s="37">
        <f>Tabela3[[#This Row],[Qtde Cx Produzida]]*Tabela3[[#This Row],[Qdt Peça Placa]]</f>
        <v>20</v>
      </c>
      <c r="M1128" s="37">
        <f>Tabela3[[#This Row],[Previsto]]-Tabela3[[#This Row],[Perda Pçs]]</f>
        <v>20</v>
      </c>
      <c r="N1128" s="38">
        <f>IFERROR(Tabela3[[#This Row],[Perda Pçs]]/Tabela3[[#This Row],[Previsto]],0)</f>
        <v>0</v>
      </c>
      <c r="O1128" s="39">
        <f>IFERROR(IF(Tabela3[[#This Row],[Qtde Cx Produzida]] &lt;&gt; 0, Tabela3[[#This Row],[Tempo]] / Tabela3[[#This Row],[Qtde Cx Produzida]], 0),0)</f>
        <v>6.5972222222222222E-3</v>
      </c>
      <c r="P1128" s="57">
        <f>IFERROR(Tabela3[[#This Row],[Perda Pçs]]/Tabela3[[#This Row],[Qdt Peça Placa]],0)</f>
        <v>0</v>
      </c>
      <c r="Q1128" s="37">
        <f>IFERROR(Tabela3[[#This Row],[Realizado]]*Tabela3[[#This Row],[Peso Util/Pç]],0)</f>
        <v>3.2</v>
      </c>
      <c r="R1128" s="37">
        <f>IFERROR(Tabela3[[#This Row],[Peso Total Galho]]*Tabela3[[#This Row],[Qtde Cx Produzida]]*1.055,0)</f>
        <v>5.2749999999999995</v>
      </c>
      <c r="S1128" s="37">
        <f>(Tabela3[[#This Row],[Aluminio Bruto]]-Tabela3[[#This Row],[Aluminio Util]])*0.9</f>
        <v>1.8674999999999995</v>
      </c>
      <c r="T1128" s="37">
        <f>Tabela3[[#This Row],[Aluminio Bruto]]/OleoKGAluminio</f>
        <v>2.2191856794905274</v>
      </c>
      <c r="U1128" s="35">
        <f>IFERROR((VLOOKUP(Tabela3[[#This Row],[Moldador]],Tabela1[],5,)+(VLOOKUP(Tabela3[[#This Row],[Ajudante]],Tabela1[],5,))*3.5),0)</f>
        <v>126.0945</v>
      </c>
      <c r="V1128" s="35">
        <f>IFERROR(Tabela3[[#This Row],[Custo M.O. / H]]/((Tabela3[[#This Row],[Realizado]]/Tabela3[[#This Row],[Qdt Peça Placa]])/Tabela3[[#This Row],[Tempo]]/24),)</f>
        <v>19.964962500000002</v>
      </c>
      <c r="W1128" s="35">
        <f>Tabela3[[#This Row],[Custo / Cx Moldada]]*Tabela3[[#This Row],[Qtde Cx Produzida]]</f>
        <v>39.929925000000004</v>
      </c>
      <c r="X1128" s="35">
        <f ca="1">Tabela3[[#This Row],[Aluminio Util]]*Tabela3[[#This Row],[Custo/Kg]]</f>
        <v>56.320000000000007</v>
      </c>
      <c r="Y1128" s="35">
        <f>IFERROR(VLOOKUP(Tabela3[[#This Row],[Data]],Tabela461213[],2,1)*(Tabela3[[#This Row],[Qtde Cx Produzida]]*Tabela3[[#This Row],[Qde macho / CX]]*Tabela3[[#This Row],[Peso Macho]]),)</f>
        <v>0</v>
      </c>
      <c r="Z1128" s="35">
        <f>IFERROR(Tabela3[[#This Row],[Qtde Oleo]]*(VLOOKUP(Tabela3[[#This Row],[Data]],CompraOleo[],3,TRUE))*1.05,0)</f>
        <v>5.8253624086626346</v>
      </c>
      <c r="AA1128" s="47">
        <f ca="1">(Tabela3[[#This Row],[Custo Oleo]]+Tabela3[[#This Row],[Custo Aluminio]]+Tabela3[[#This Row],[Custo M.O. Total]]+Tabela3[[#This Row],[Custo Machos]])</f>
        <v>102.07528740866265</v>
      </c>
      <c r="AB1128" s="47">
        <f ca="1">Tabela3[[#This Row],[Custo Total]]*Tabela3[[#This Row],[% Perda]]</f>
        <v>0</v>
      </c>
      <c r="AC1128" s="40">
        <f>IFERROR(VLOOKUP(Tabela3[[#This Row],[Produto]],Tabela2[],2,0),0)</f>
        <v>10</v>
      </c>
      <c r="AD1128" s="48">
        <f>IFERROR(VLOOKUP(Tabela3[[#This Row],[Produto]],Tabela2[],3,0),0)</f>
        <v>0.16</v>
      </c>
      <c r="AE1128" s="48">
        <f>IFERROR(VLOOKUP(Tabela3[[#This Row],[Produto]],Tabela2[],4,0),0)</f>
        <v>2.5</v>
      </c>
      <c r="AF1128" s="48">
        <f>IFERROR(VLOOKUP(Tabela3[[#This Row],[Produto]],Tabela2[],5,0),0)</f>
        <v>0.80999999999999994</v>
      </c>
      <c r="AG1128" s="48">
        <f>IFERROR(VLOOKUP(Tabela3[[#This Row],[Produto]],Tabela2[],6,0),0)</f>
        <v>0</v>
      </c>
      <c r="AH1128" s="40">
        <f>IFERROR(VLOOKUP(Tabela3[[#This Row],[Produto]],Tabela2[],7,0),0)</f>
        <v>0</v>
      </c>
      <c r="AI1128" s="40">
        <f>IFERROR(VLOOKUP(Tabela3[[#This Row],[Produto]],Tabela2[],8,0),0)</f>
        <v>0</v>
      </c>
      <c r="AJ1128" s="35">
        <f ca="1">IFERROR(VLOOKUP(Tabela3[[#This Row],[Produto]],Tabela2[],13,0),0)</f>
        <v>17.600000000000001</v>
      </c>
      <c r="AK1128" s="48" t="str">
        <f>IFERROR(VLOOKUP(Tabela3[[#This Row],[Produto]],Tabela2[],14,0),0)</f>
        <v>MGA</v>
      </c>
      <c r="AL1128" s="40">
        <f>IFERROR(VLOOKUP(Tabela3[[#This Row],[Produto]],Tabela2[],15,0),0)</f>
        <v>0</v>
      </c>
      <c r="AM1128" s="36">
        <f ca="1">(Tabela3[[#This Row],[Custo Usinagem]]+Tabela3[[#This Row],[Custo / Pç]])*1.2</f>
        <v>6.1245172445197582</v>
      </c>
      <c r="AN1128" s="36">
        <f ca="1">Tabela3[[#This Row],[Valor Mínimo Venda]]*1.15</f>
        <v>7.0431948311977211</v>
      </c>
      <c r="AO1128" s="36">
        <f ca="1">Tabela3[[#This Row],[Tabela 1]]*1.08</f>
        <v>7.6066504176935394</v>
      </c>
      <c r="AP1128" s="36">
        <f ca="1">Tabela3[[#This Row],[Tabela 2]]*1.15</f>
        <v>8.7476479803475691</v>
      </c>
    </row>
    <row r="1129" spans="1:42">
      <c r="A1129" s="9">
        <v>46133</v>
      </c>
      <c r="B1129" s="9" t="s">
        <v>246</v>
      </c>
      <c r="C1129" s="14">
        <v>9527</v>
      </c>
      <c r="D1129" s="6" t="s">
        <v>46</v>
      </c>
      <c r="E1129" s="6" t="s">
        <v>54</v>
      </c>
      <c r="F1129" s="6">
        <v>19</v>
      </c>
      <c r="G1129" s="15">
        <v>0.1111111111111111</v>
      </c>
      <c r="H1129" s="16">
        <v>0</v>
      </c>
      <c r="I1129" s="35">
        <f ca="1">IFERROR(Tabela3[[#This Row],[Custo Total]]/Tabela3[[#This Row],[Aluminio Util]],0)</f>
        <v>25.704227426795438</v>
      </c>
      <c r="J1129" s="35">
        <f ca="1">Tabela3[[#This Row],[Custo Total]]/Tabela3[[#This Row],[Realizado]]</f>
        <v>13.700353218481968</v>
      </c>
      <c r="K1129" s="37">
        <f>IFERROR(Tabela3[[#This Row],[Qtde Cx Produzida]]/Tabela3[[#This Row],[Tempo]]/24,0)</f>
        <v>7.125</v>
      </c>
      <c r="L1129" s="37">
        <f>Tabela3[[#This Row],[Qtde Cx Produzida]]*Tabela3[[#This Row],[Qdt Peça Placa]]</f>
        <v>76</v>
      </c>
      <c r="M1129" s="37">
        <f>Tabela3[[#This Row],[Previsto]]-Tabela3[[#This Row],[Perda Pçs]]</f>
        <v>76</v>
      </c>
      <c r="N1129" s="38">
        <f>IFERROR(Tabela3[[#This Row],[Perda Pçs]]/Tabela3[[#This Row],[Previsto]],0)</f>
        <v>0</v>
      </c>
      <c r="O1129" s="39">
        <f>IFERROR(IF(Tabela3[[#This Row],[Qtde Cx Produzida]] &lt;&gt; 0, Tabela3[[#This Row],[Tempo]] / Tabela3[[#This Row],[Qtde Cx Produzida]], 0),0)</f>
        <v>5.8479532163742687E-3</v>
      </c>
      <c r="P1129" s="57">
        <f>IFERROR(Tabela3[[#This Row],[Perda Pçs]]/Tabela3[[#This Row],[Qdt Peça Placa]],0)</f>
        <v>0</v>
      </c>
      <c r="Q1129" s="37">
        <f>IFERROR(Tabela3[[#This Row],[Realizado]]*Tabela3[[#This Row],[Peso Util/Pç]],0)</f>
        <v>40.508000000000003</v>
      </c>
      <c r="R1129" s="37">
        <f>IFERROR(Tabela3[[#This Row],[Peso Total Galho]]*Tabela3[[#This Row],[Qtde Cx Produzida]]*1.055,0)</f>
        <v>66.148499999999999</v>
      </c>
      <c r="S1129" s="37">
        <f>(Tabela3[[#This Row],[Aluminio Bruto]]-Tabela3[[#This Row],[Aluminio Util]])*0.9</f>
        <v>23.076449999999998</v>
      </c>
      <c r="T1129" s="37">
        <f>Tabela3[[#This Row],[Aluminio Bruto]]/OleoKGAluminio</f>
        <v>27.828588420811215</v>
      </c>
      <c r="U1129" s="35">
        <f>IFERROR((VLOOKUP(Tabela3[[#This Row],[Moldador]],Tabela1[],5,)+(VLOOKUP(Tabela3[[#This Row],[Ajudante]],Tabela1[],5,))*3.5),0)</f>
        <v>126.0945</v>
      </c>
      <c r="V1129" s="35">
        <f>IFERROR(Tabela3[[#This Row],[Custo M.O. / H]]/((Tabela3[[#This Row],[Realizado]]/Tabela3[[#This Row],[Qdt Peça Placa]])/Tabela3[[#This Row],[Tempo]]/24),)</f>
        <v>17.697473684210525</v>
      </c>
      <c r="W1129" s="35">
        <f>Tabela3[[#This Row],[Custo / Cx Moldada]]*Tabela3[[#This Row],[Qtde Cx Produzida]]</f>
        <v>336.25199999999995</v>
      </c>
      <c r="X1129" s="35">
        <f ca="1">Tabela3[[#This Row],[Aluminio Util]]*Tabela3[[#This Row],[Custo/Kg]]</f>
        <v>631.92480000000012</v>
      </c>
      <c r="Y1129" s="35">
        <f>IFERROR(VLOOKUP(Tabela3[[#This Row],[Data]],Tabela461213[],2,1)*(Tabela3[[#This Row],[Qtde Cx Produzida]]*Tabela3[[#This Row],[Qde macho / CX]]*Tabela3[[#This Row],[Peso Macho]]),)</f>
        <v>0</v>
      </c>
      <c r="Z1129" s="35">
        <f>IFERROR(Tabela3[[#This Row],[Qtde Oleo]]*(VLOOKUP(Tabela3[[#This Row],[Data]],CompraOleo[],3,TRUE))*1.05,0)</f>
        <v>73.050044604629448</v>
      </c>
      <c r="AA1129" s="47">
        <f ca="1">(Tabela3[[#This Row],[Custo Oleo]]+Tabela3[[#This Row],[Custo Aluminio]]+Tabela3[[#This Row],[Custo M.O. Total]]+Tabela3[[#This Row],[Custo Machos]])</f>
        <v>1041.2268446046296</v>
      </c>
      <c r="AB1129" s="47">
        <f ca="1">Tabela3[[#This Row],[Custo Total]]*Tabela3[[#This Row],[% Perda]]</f>
        <v>0</v>
      </c>
      <c r="AC1129" s="40">
        <f>IFERROR(VLOOKUP(Tabela3[[#This Row],[Produto]],Tabela2[],2,0),0)</f>
        <v>4</v>
      </c>
      <c r="AD1129" s="48">
        <f>IFERROR(VLOOKUP(Tabela3[[#This Row],[Produto]],Tabela2[],3,0),0)</f>
        <v>0.53300000000000003</v>
      </c>
      <c r="AE1129" s="48">
        <f>IFERROR(VLOOKUP(Tabela3[[#This Row],[Produto]],Tabela2[],4,0),0)</f>
        <v>3.3</v>
      </c>
      <c r="AF1129" s="48">
        <f>IFERROR(VLOOKUP(Tabela3[[#This Row],[Produto]],Tabela2[],5,0),0)</f>
        <v>1.0511999999999997</v>
      </c>
      <c r="AG1129" s="48">
        <f>IFERROR(VLOOKUP(Tabela3[[#This Row],[Produto]],Tabela2[],6,0),0)</f>
        <v>0</v>
      </c>
      <c r="AH1129" s="40">
        <f>IFERROR(VLOOKUP(Tabela3[[#This Row],[Produto]],Tabela2[],7,0),0)</f>
        <v>0</v>
      </c>
      <c r="AI1129" s="40">
        <f>IFERROR(VLOOKUP(Tabela3[[#This Row],[Produto]],Tabela2[],8,0),0)</f>
        <v>0</v>
      </c>
      <c r="AJ1129" s="35">
        <f ca="1">IFERROR(VLOOKUP(Tabela3[[#This Row],[Produto]],Tabela2[],13,0),0)</f>
        <v>15.600000000000001</v>
      </c>
      <c r="AK1129" s="48" t="str">
        <f>IFERROR(VLOOKUP(Tabela3[[#This Row],[Produto]],Tabela2[],14,0),0)</f>
        <v>Senun</v>
      </c>
      <c r="AL1129" s="40">
        <f>IFERROR(VLOOKUP(Tabela3[[#This Row],[Produto]],Tabela2[],15,0),0)</f>
        <v>4</v>
      </c>
      <c r="AM1129" s="36">
        <f ca="1">(Tabela3[[#This Row],[Custo Usinagem]]+Tabela3[[#This Row],[Custo / Pç]])*1.2</f>
        <v>21.240423862178361</v>
      </c>
      <c r="AN1129" s="36">
        <f ca="1">Tabela3[[#This Row],[Valor Mínimo Venda]]*1.15</f>
        <v>24.426487441505113</v>
      </c>
      <c r="AO1129" s="36">
        <f ca="1">Tabela3[[#This Row],[Tabela 1]]*1.08</f>
        <v>26.380606436825524</v>
      </c>
      <c r="AP1129" s="36">
        <f ca="1">Tabela3[[#This Row],[Tabela 2]]*1.15</f>
        <v>30.337697402349349</v>
      </c>
    </row>
    <row r="1130" spans="1:42">
      <c r="A1130" s="9">
        <v>46133</v>
      </c>
      <c r="B1130" s="9" t="s">
        <v>236</v>
      </c>
      <c r="C1130" s="14">
        <v>9539</v>
      </c>
      <c r="D1130" s="6" t="s">
        <v>46</v>
      </c>
      <c r="E1130" s="6" t="s">
        <v>44</v>
      </c>
      <c r="F1130" s="6">
        <v>44</v>
      </c>
      <c r="G1130" s="15">
        <v>0.21180555555555555</v>
      </c>
      <c r="H1130" s="16">
        <v>0</v>
      </c>
      <c r="I1130" s="35">
        <f ca="1">IFERROR(Tabela3[[#This Row],[Custo Total]]/Tabela3[[#This Row],[Aluminio Util]],0)</f>
        <v>25.023273607142904</v>
      </c>
      <c r="J1130" s="35">
        <f ca="1">Tabela3[[#This Row],[Custo Total]]/Tabela3[[#This Row],[Realizado]]</f>
        <v>7.5570286293571574</v>
      </c>
      <c r="K1130" s="37">
        <f>IFERROR(Tabela3[[#This Row],[Qtde Cx Produzida]]/Tabela3[[#This Row],[Tempo]]/24,0)</f>
        <v>8.6557377049180335</v>
      </c>
      <c r="L1130" s="37">
        <f>Tabela3[[#This Row],[Qtde Cx Produzida]]*Tabela3[[#This Row],[Qdt Peça Placa]]</f>
        <v>264</v>
      </c>
      <c r="M1130" s="37">
        <f>Tabela3[[#This Row],[Previsto]]-Tabela3[[#This Row],[Perda Pçs]]</f>
        <v>264</v>
      </c>
      <c r="N1130" s="38">
        <f>IFERROR(Tabela3[[#This Row],[Perda Pçs]]/Tabela3[[#This Row],[Previsto]],0)</f>
        <v>0</v>
      </c>
      <c r="O1130" s="39">
        <f>IFERROR(IF(Tabela3[[#This Row],[Qtde Cx Produzida]] &lt;&gt; 0, Tabela3[[#This Row],[Tempo]] / Tabela3[[#This Row],[Qtde Cx Produzida]], 0),0)</f>
        <v>4.813762626262626E-3</v>
      </c>
      <c r="P1130" s="57">
        <f>IFERROR(Tabela3[[#This Row],[Perda Pçs]]/Tabela3[[#This Row],[Qdt Peça Placa]],0)</f>
        <v>0</v>
      </c>
      <c r="Q1130" s="37">
        <f>IFERROR(Tabela3[[#This Row],[Realizado]]*Tabela3[[#This Row],[Peso Util/Pç]],0)</f>
        <v>79.727999999999994</v>
      </c>
      <c r="R1130" s="37">
        <f>IFERROR(Tabela3[[#This Row],[Peso Total Galho]]*Tabela3[[#This Row],[Qtde Cx Produzida]]*1.055,0)</f>
        <v>99.895839999999993</v>
      </c>
      <c r="S1130" s="37">
        <f>(Tabela3[[#This Row],[Aluminio Bruto]]-Tabela3[[#This Row],[Aluminio Util]])*0.9</f>
        <v>18.151056000000001</v>
      </c>
      <c r="T1130" s="37">
        <f>Tabela3[[#This Row],[Aluminio Bruto]]/OleoKGAluminio</f>
        <v>42.026050723919809</v>
      </c>
      <c r="U1130" s="35">
        <f>IFERROR((VLOOKUP(Tabela3[[#This Row],[Moldador]],Tabela1[],5,)+(VLOOKUP(Tabela3[[#This Row],[Ajudante]],Tabela1[],5,))*3.5),0)</f>
        <v>126.0945</v>
      </c>
      <c r="V1130" s="35">
        <f>IFERROR(Tabela3[[#This Row],[Custo M.O. / H]]/((Tabela3[[#This Row],[Realizado]]/Tabela3[[#This Row],[Qdt Peça Placa]])/Tabela3[[#This Row],[Tempo]]/24),)</f>
        <v>14.567735795454544</v>
      </c>
      <c r="W1130" s="35">
        <f>Tabela3[[#This Row],[Custo / Cx Moldada]]*Tabela3[[#This Row],[Qtde Cx Produzida]]</f>
        <v>640.98037499999998</v>
      </c>
      <c r="X1130" s="35">
        <f ca="1">Tabela3[[#This Row],[Aluminio Util]]*Tabela3[[#This Row],[Custo/Kg]]</f>
        <v>1243.7568000000001</v>
      </c>
      <c r="Y1130" s="35">
        <f>IFERROR(VLOOKUP(Tabela3[[#This Row],[Data]],Tabela461213[],2,1)*(Tabela3[[#This Row],[Qtde Cx Produzida]]*Tabela3[[#This Row],[Qde macho / CX]]*Tabela3[[#This Row],[Peso Macho]]),)</f>
        <v>0</v>
      </c>
      <c r="Z1130" s="35">
        <f>IFERROR(Tabela3[[#This Row],[Qtde Oleo]]*(VLOOKUP(Tabela3[[#This Row],[Data]],CompraOleo[],3,TRUE))*1.05,0)</f>
        <v>110.31838315028951</v>
      </c>
      <c r="AA1130" s="47">
        <f ca="1">(Tabela3[[#This Row],[Custo Oleo]]+Tabela3[[#This Row],[Custo Aluminio]]+Tabela3[[#This Row],[Custo M.O. Total]]+Tabela3[[#This Row],[Custo Machos]])</f>
        <v>1995.0555581502895</v>
      </c>
      <c r="AB1130" s="47">
        <f ca="1">Tabela3[[#This Row],[Custo Total]]*Tabela3[[#This Row],[% Perda]]</f>
        <v>0</v>
      </c>
      <c r="AC1130" s="40">
        <f>IFERROR(VLOOKUP(Tabela3[[#This Row],[Produto]],Tabela2[],2,0),0)</f>
        <v>6</v>
      </c>
      <c r="AD1130" s="48">
        <f>IFERROR(VLOOKUP(Tabela3[[#This Row],[Produto]],Tabela2[],3,0),0)</f>
        <v>0.30199999999999999</v>
      </c>
      <c r="AE1130" s="48">
        <f>IFERROR(VLOOKUP(Tabela3[[#This Row],[Produto]],Tabela2[],4,0),0)</f>
        <v>2.1520000000000001</v>
      </c>
      <c r="AF1130" s="48">
        <f>IFERROR(VLOOKUP(Tabela3[[#This Row],[Produto]],Tabela2[],5,0),0)</f>
        <v>0.30600000000000027</v>
      </c>
      <c r="AG1130" s="48">
        <f>IFERROR(VLOOKUP(Tabela3[[#This Row],[Produto]],Tabela2[],6,0),0)</f>
        <v>0</v>
      </c>
      <c r="AH1130" s="40">
        <f>IFERROR(VLOOKUP(Tabela3[[#This Row],[Produto]],Tabela2[],7,0),0)</f>
        <v>0</v>
      </c>
      <c r="AI1130" s="40">
        <f>IFERROR(VLOOKUP(Tabela3[[#This Row],[Produto]],Tabela2[],8,0),0)</f>
        <v>0</v>
      </c>
      <c r="AJ1130" s="35">
        <f ca="1">IFERROR(VLOOKUP(Tabela3[[#This Row],[Produto]],Tabela2[],13,0),0)</f>
        <v>15.600000000000001</v>
      </c>
      <c r="AK1130" s="48" t="str">
        <f>IFERROR(VLOOKUP(Tabela3[[#This Row],[Produto]],Tabela2[],14,0),0)</f>
        <v>Senun</v>
      </c>
      <c r="AL1130" s="40">
        <f>IFERROR(VLOOKUP(Tabela3[[#This Row],[Produto]],Tabela2[],15,0),0)</f>
        <v>4</v>
      </c>
      <c r="AM1130" s="36">
        <f ca="1">(Tabela3[[#This Row],[Custo Usinagem]]+Tabela3[[#This Row],[Custo / Pç]])*1.2</f>
        <v>13.868434355228588</v>
      </c>
      <c r="AN1130" s="36">
        <f ca="1">Tabela3[[#This Row],[Valor Mínimo Venda]]*1.15</f>
        <v>15.948699508512876</v>
      </c>
      <c r="AO1130" s="36">
        <f ca="1">Tabela3[[#This Row],[Tabela 1]]*1.08</f>
        <v>17.224595469193908</v>
      </c>
      <c r="AP1130" s="36">
        <f ca="1">Tabela3[[#This Row],[Tabela 2]]*1.15</f>
        <v>19.808284789572991</v>
      </c>
    </row>
    <row r="1131" spans="1:42">
      <c r="A1131" s="9">
        <v>46133</v>
      </c>
      <c r="B1131" s="9" t="s">
        <v>236</v>
      </c>
      <c r="C1131" s="14">
        <v>9539</v>
      </c>
      <c r="D1131" s="6" t="s">
        <v>44</v>
      </c>
      <c r="E1131" s="6" t="s">
        <v>47</v>
      </c>
      <c r="F1131" s="6">
        <v>15</v>
      </c>
      <c r="G1131" s="15">
        <v>7.9861111111111105E-2</v>
      </c>
      <c r="H1131" s="16">
        <v>0</v>
      </c>
      <c r="I1131" s="35">
        <f ca="1">IFERROR(Tabela3[[#This Row],[Custo Total]]/Tabela3[[#This Row],[Aluminio Util]],0)</f>
        <v>24.031936566993437</v>
      </c>
      <c r="J1131" s="35">
        <f ca="1">Tabela3[[#This Row],[Custo Total]]/Tabela3[[#This Row],[Realizado]]</f>
        <v>7.2576448432320175</v>
      </c>
      <c r="K1131" s="37">
        <f>IFERROR(Tabela3[[#This Row],[Qtde Cx Produzida]]/Tabela3[[#This Row],[Tempo]]/24,0)</f>
        <v>7.8260869565217392</v>
      </c>
      <c r="L1131" s="37">
        <f>Tabela3[[#This Row],[Qtde Cx Produzida]]*Tabela3[[#This Row],[Qdt Peça Placa]]</f>
        <v>90</v>
      </c>
      <c r="M1131" s="37">
        <f>Tabela3[[#This Row],[Previsto]]-Tabela3[[#This Row],[Perda Pçs]]</f>
        <v>90</v>
      </c>
      <c r="N1131" s="38">
        <f>IFERROR(Tabela3[[#This Row],[Perda Pçs]]/Tabela3[[#This Row],[Previsto]],0)</f>
        <v>0</v>
      </c>
      <c r="O1131" s="39">
        <f>IFERROR(IF(Tabela3[[#This Row],[Qtde Cx Produzida]] &lt;&gt; 0, Tabela3[[#This Row],[Tempo]] / Tabela3[[#This Row],[Qtde Cx Produzida]], 0),0)</f>
        <v>5.324074074074074E-3</v>
      </c>
      <c r="P1131" s="57">
        <f>IFERROR(Tabela3[[#This Row],[Perda Pçs]]/Tabela3[[#This Row],[Qdt Peça Placa]],0)</f>
        <v>0</v>
      </c>
      <c r="Q1131" s="37">
        <f>IFERROR(Tabela3[[#This Row],[Realizado]]*Tabela3[[#This Row],[Peso Util/Pç]],0)</f>
        <v>27.18</v>
      </c>
      <c r="R1131" s="37">
        <f>IFERROR(Tabela3[[#This Row],[Peso Total Galho]]*Tabela3[[#This Row],[Qtde Cx Produzida]]*1.055,0)</f>
        <v>34.055399999999999</v>
      </c>
      <c r="S1131" s="37">
        <f>(Tabela3[[#This Row],[Aluminio Bruto]]-Tabela3[[#This Row],[Aluminio Util]])*0.9</f>
        <v>6.1878599999999997</v>
      </c>
      <c r="T1131" s="37">
        <f>Tabela3[[#This Row],[Aluminio Bruto]]/OleoKGAluminio</f>
        <v>14.327062746790844</v>
      </c>
      <c r="U1131" s="35">
        <f>IFERROR((VLOOKUP(Tabela3[[#This Row],[Moldador]],Tabela1[],5,)+(VLOOKUP(Tabela3[[#This Row],[Ajudante]],Tabela1[],5,))*3.5),0)</f>
        <v>99.95034583333333</v>
      </c>
      <c r="V1131" s="35">
        <f>IFERROR(Tabela3[[#This Row],[Custo M.O. / H]]/((Tabela3[[#This Row],[Realizado]]/Tabela3[[#This Row],[Qdt Peça Placa]])/Tabela3[[#This Row],[Tempo]]/24),)</f>
        <v>12.771433078703703</v>
      </c>
      <c r="W1131" s="35">
        <f>Tabela3[[#This Row],[Custo / Cx Moldada]]*Tabela3[[#This Row],[Qtde Cx Produzida]]</f>
        <v>191.57149618055556</v>
      </c>
      <c r="X1131" s="35">
        <f ca="1">Tabela3[[#This Row],[Aluminio Util]]*Tabela3[[#This Row],[Custo/Kg]]</f>
        <v>424.00800000000004</v>
      </c>
      <c r="Y1131" s="35">
        <f>IFERROR(VLOOKUP(Tabela3[[#This Row],[Data]],Tabela461213[],2,1)*(Tabela3[[#This Row],[Qtde Cx Produzida]]*Tabela3[[#This Row],[Qde macho / CX]]*Tabela3[[#This Row],[Peso Macho]]),)</f>
        <v>0</v>
      </c>
      <c r="Z1131" s="35">
        <f>IFERROR(Tabela3[[#This Row],[Qtde Oleo]]*(VLOOKUP(Tabela3[[#This Row],[Data]],CompraOleo[],3,TRUE))*1.05,0)</f>
        <v>37.608539710325964</v>
      </c>
      <c r="AA1131" s="47">
        <f ca="1">(Tabela3[[#This Row],[Custo Oleo]]+Tabela3[[#This Row],[Custo Aluminio]]+Tabela3[[#This Row],[Custo M.O. Total]]+Tabela3[[#This Row],[Custo Machos]])</f>
        <v>653.18803589088157</v>
      </c>
      <c r="AB1131" s="47">
        <f ca="1">Tabela3[[#This Row],[Custo Total]]*Tabela3[[#This Row],[% Perda]]</f>
        <v>0</v>
      </c>
      <c r="AC1131" s="40">
        <f>IFERROR(VLOOKUP(Tabela3[[#This Row],[Produto]],Tabela2[],2,0),0)</f>
        <v>6</v>
      </c>
      <c r="AD1131" s="48">
        <f>IFERROR(VLOOKUP(Tabela3[[#This Row],[Produto]],Tabela2[],3,0),0)</f>
        <v>0.30199999999999999</v>
      </c>
      <c r="AE1131" s="48">
        <f>IFERROR(VLOOKUP(Tabela3[[#This Row],[Produto]],Tabela2[],4,0),0)</f>
        <v>2.1520000000000001</v>
      </c>
      <c r="AF1131" s="48">
        <f>IFERROR(VLOOKUP(Tabela3[[#This Row],[Produto]],Tabela2[],5,0),0)</f>
        <v>0.30600000000000027</v>
      </c>
      <c r="AG1131" s="48">
        <f>IFERROR(VLOOKUP(Tabela3[[#This Row],[Produto]],Tabela2[],6,0),0)</f>
        <v>0</v>
      </c>
      <c r="AH1131" s="40">
        <f>IFERROR(VLOOKUP(Tabela3[[#This Row],[Produto]],Tabela2[],7,0),0)</f>
        <v>0</v>
      </c>
      <c r="AI1131" s="40">
        <f>IFERROR(VLOOKUP(Tabela3[[#This Row],[Produto]],Tabela2[],8,0),0)</f>
        <v>0</v>
      </c>
      <c r="AJ1131" s="35">
        <f ca="1">IFERROR(VLOOKUP(Tabela3[[#This Row],[Produto]],Tabela2[],13,0),0)</f>
        <v>15.600000000000001</v>
      </c>
      <c r="AK1131" s="48" t="str">
        <f>IFERROR(VLOOKUP(Tabela3[[#This Row],[Produto]],Tabela2[],14,0),0)</f>
        <v>Senun</v>
      </c>
      <c r="AL1131" s="40">
        <f>IFERROR(VLOOKUP(Tabela3[[#This Row],[Produto]],Tabela2[],15,0),0)</f>
        <v>4</v>
      </c>
      <c r="AM1131" s="36">
        <f ca="1">(Tabela3[[#This Row],[Custo Usinagem]]+Tabela3[[#This Row],[Custo / Pç]])*1.2</f>
        <v>13.509173811878421</v>
      </c>
      <c r="AN1131" s="36">
        <f ca="1">Tabela3[[#This Row],[Valor Mínimo Venda]]*1.15</f>
        <v>15.535549883660183</v>
      </c>
      <c r="AO1131" s="36">
        <f ca="1">Tabela3[[#This Row],[Tabela 1]]*1.08</f>
        <v>16.778393874353</v>
      </c>
      <c r="AP1131" s="36">
        <f ca="1">Tabela3[[#This Row],[Tabela 2]]*1.15</f>
        <v>19.295152955505948</v>
      </c>
    </row>
    <row r="1132" spans="1:42">
      <c r="A1132" s="9">
        <v>46134</v>
      </c>
      <c r="B1132" s="9" t="s">
        <v>233</v>
      </c>
      <c r="C1132" s="14">
        <v>9568</v>
      </c>
      <c r="D1132" s="6" t="s">
        <v>46</v>
      </c>
      <c r="E1132" s="6" t="s">
        <v>54</v>
      </c>
      <c r="F1132" s="6">
        <v>20</v>
      </c>
      <c r="G1132" s="15">
        <v>0.18055555555555555</v>
      </c>
      <c r="H1132" s="16">
        <v>0</v>
      </c>
      <c r="I1132" s="35">
        <f ca="1">IFERROR(Tabela3[[#This Row],[Custo Total]]/Tabela3[[#This Row],[Aluminio Util]],0)</f>
        <v>23.95387220192503</v>
      </c>
      <c r="J1132" s="35">
        <f ca="1">Tabela3[[#This Row],[Custo Total]]/Tabela3[[#This Row],[Realizado]]</f>
        <v>129.35090989039514</v>
      </c>
      <c r="K1132" s="37">
        <f>IFERROR(Tabela3[[#This Row],[Qtde Cx Produzida]]/Tabela3[[#This Row],[Tempo]]/24,0)</f>
        <v>4.6153846153846159</v>
      </c>
      <c r="L1132" s="37">
        <f>Tabela3[[#This Row],[Qtde Cx Produzida]]*Tabela3[[#This Row],[Qdt Peça Placa]]</f>
        <v>20</v>
      </c>
      <c r="M1132" s="37">
        <f>Tabela3[[#This Row],[Previsto]]-Tabela3[[#This Row],[Perda Pçs]]</f>
        <v>20</v>
      </c>
      <c r="N1132" s="38">
        <f>IFERROR(Tabela3[[#This Row],[Perda Pçs]]/Tabela3[[#This Row],[Previsto]],0)</f>
        <v>0</v>
      </c>
      <c r="O1132" s="39">
        <f>IFERROR(IF(Tabela3[[#This Row],[Qtde Cx Produzida]] &lt;&gt; 0, Tabela3[[#This Row],[Tempo]] / Tabela3[[#This Row],[Qtde Cx Produzida]], 0),0)</f>
        <v>9.0277777777777769E-3</v>
      </c>
      <c r="P1132" s="57">
        <f>IFERROR(Tabela3[[#This Row],[Perda Pçs]]/Tabela3[[#This Row],[Qdt Peça Placa]],0)</f>
        <v>0</v>
      </c>
      <c r="Q1132" s="37">
        <f>IFERROR(Tabela3[[#This Row],[Realizado]]*Tabela3[[#This Row],[Peso Util/Pç]],0)</f>
        <v>108</v>
      </c>
      <c r="R1132" s="37">
        <f>IFERROR(Tabela3[[#This Row],[Peso Total Galho]]*Tabela3[[#This Row],[Qtde Cx Produzida]]*1.055,0)</f>
        <v>126.6</v>
      </c>
      <c r="S1132" s="37">
        <f>(Tabela3[[#This Row],[Aluminio Bruto]]-Tabela3[[#This Row],[Aluminio Util]])*0.9</f>
        <v>16.739999999999995</v>
      </c>
      <c r="T1132" s="37">
        <f>Tabela3[[#This Row],[Aluminio Bruto]]/OleoKGAluminio</f>
        <v>53.260456307772657</v>
      </c>
      <c r="U1132" s="35">
        <f>IFERROR((VLOOKUP(Tabela3[[#This Row],[Moldador]],Tabela1[],5,)+(VLOOKUP(Tabela3[[#This Row],[Ajudante]],Tabela1[],5,))*3.5),0)</f>
        <v>126.0945</v>
      </c>
      <c r="V1132" s="35">
        <f>IFERROR(Tabela3[[#This Row],[Custo M.O. / H]]/((Tabela3[[#This Row],[Realizado]]/Tabela3[[#This Row],[Qdt Peça Placa]])/Tabela3[[#This Row],[Tempo]]/24),)</f>
        <v>27.320474999999995</v>
      </c>
      <c r="W1132" s="35">
        <f>Tabela3[[#This Row],[Custo / Cx Moldada]]*Tabela3[[#This Row],[Qtde Cx Produzida]]</f>
        <v>546.40949999999987</v>
      </c>
      <c r="X1132" s="35">
        <f ca="1">Tabela3[[#This Row],[Aluminio Util]]*Tabela3[[#This Row],[Custo/Kg]]</f>
        <v>1900.8000000000002</v>
      </c>
      <c r="Y1132" s="35">
        <f>IFERROR(VLOOKUP(Tabela3[[#This Row],[Data]],Tabela461213[],2,1)*(Tabela3[[#This Row],[Qtde Cx Produzida]]*Tabela3[[#This Row],[Qde macho / CX]]*Tabela3[[#This Row],[Peso Macho]]),)</f>
        <v>0</v>
      </c>
      <c r="Z1132" s="35">
        <f>IFERROR(Tabela3[[#This Row],[Qtde Oleo]]*(VLOOKUP(Tabela3[[#This Row],[Data]],CompraOleo[],3,TRUE))*1.05,0)</f>
        <v>139.80869780790323</v>
      </c>
      <c r="AA1132" s="47">
        <f ca="1">(Tabela3[[#This Row],[Custo Oleo]]+Tabela3[[#This Row],[Custo Aluminio]]+Tabela3[[#This Row],[Custo M.O. Total]]+Tabela3[[#This Row],[Custo Machos]])</f>
        <v>2587.0181978079031</v>
      </c>
      <c r="AB1132" s="47">
        <f ca="1">Tabela3[[#This Row],[Custo Total]]*Tabela3[[#This Row],[% Perda]]</f>
        <v>0</v>
      </c>
      <c r="AC1132" s="40">
        <f>IFERROR(VLOOKUP(Tabela3[[#This Row],[Produto]],Tabela2[],2,0),0)</f>
        <v>1</v>
      </c>
      <c r="AD1132" s="48">
        <f>IFERROR(VLOOKUP(Tabela3[[#This Row],[Produto]],Tabela2[],3,0),0)</f>
        <v>5.4</v>
      </c>
      <c r="AE1132" s="48">
        <f>IFERROR(VLOOKUP(Tabela3[[#This Row],[Produto]],Tabela2[],4,0),0)</f>
        <v>6</v>
      </c>
      <c r="AF1132" s="48">
        <f>IFERROR(VLOOKUP(Tabela3[[#This Row],[Produto]],Tabela2[],5,0),0)</f>
        <v>0.5399999999999997</v>
      </c>
      <c r="AG1132" s="48">
        <f>IFERROR(VLOOKUP(Tabela3[[#This Row],[Produto]],Tabela2[],6,0),0)</f>
        <v>0</v>
      </c>
      <c r="AH1132" s="40">
        <f>IFERROR(VLOOKUP(Tabela3[[#This Row],[Produto]],Tabela2[],7,0),0)</f>
        <v>0</v>
      </c>
      <c r="AI1132" s="40">
        <f>IFERROR(VLOOKUP(Tabela3[[#This Row],[Produto]],Tabela2[],8,0),0)</f>
        <v>0</v>
      </c>
      <c r="AJ1132" s="35">
        <f ca="1">IFERROR(VLOOKUP(Tabela3[[#This Row],[Produto]],Tabela2[],13,0),0)</f>
        <v>17.600000000000001</v>
      </c>
      <c r="AK1132" s="48" t="str">
        <f>IFERROR(VLOOKUP(Tabela3[[#This Row],[Produto]],Tabela2[],14,0),0)</f>
        <v>Danilo</v>
      </c>
      <c r="AL1132" s="40">
        <f>IFERROR(VLOOKUP(Tabela3[[#This Row],[Produto]],Tabela2[],15,0),0)</f>
        <v>0</v>
      </c>
      <c r="AM1132" s="36">
        <f ca="1">(Tabela3[[#This Row],[Custo Usinagem]]+Tabela3[[#This Row],[Custo / Pç]])*1.2</f>
        <v>155.22109186847416</v>
      </c>
      <c r="AN1132" s="36">
        <f ca="1">Tabela3[[#This Row],[Valor Mínimo Venda]]*1.15</f>
        <v>178.50425564874527</v>
      </c>
      <c r="AO1132" s="36">
        <f ca="1">Tabela3[[#This Row],[Tabela 1]]*1.08</f>
        <v>192.7845961006449</v>
      </c>
      <c r="AP1132" s="36">
        <f ca="1">Tabela3[[#This Row],[Tabela 2]]*1.15</f>
        <v>221.70228551574164</v>
      </c>
    </row>
    <row r="1133" spans="1:42">
      <c r="A1133" s="9">
        <v>46134</v>
      </c>
      <c r="B1133" s="9" t="s">
        <v>118</v>
      </c>
      <c r="C1133" s="14">
        <v>9557</v>
      </c>
      <c r="D1133" s="6" t="s">
        <v>46</v>
      </c>
      <c r="E1133" s="6" t="s">
        <v>44</v>
      </c>
      <c r="F1133" s="6">
        <v>31</v>
      </c>
      <c r="G1133" s="15">
        <v>0.18124999999999999</v>
      </c>
      <c r="H1133" s="16">
        <v>0</v>
      </c>
      <c r="I1133" s="35">
        <f ca="1">IFERROR(Tabela3[[#This Row],[Custo Total]]/Tabela3[[#This Row],[Aluminio Util]],0)</f>
        <v>23.697301660343204</v>
      </c>
      <c r="J1133" s="35">
        <f ca="1">Tabela3[[#This Row],[Custo Total]]/Tabela3[[#This Row],[Realizado]]</f>
        <v>45.024873154652084</v>
      </c>
      <c r="K1133" s="37">
        <f>IFERROR(Tabela3[[#This Row],[Qtde Cx Produzida]]/Tabela3[[#This Row],[Tempo]]/24,0)</f>
        <v>7.126436781609196</v>
      </c>
      <c r="L1133" s="37">
        <f>Tabela3[[#This Row],[Qtde Cx Produzida]]*Tabela3[[#This Row],[Qdt Peça Placa]]</f>
        <v>62</v>
      </c>
      <c r="M1133" s="37">
        <f>Tabela3[[#This Row],[Previsto]]-Tabela3[[#This Row],[Perda Pçs]]</f>
        <v>62</v>
      </c>
      <c r="N1133" s="38">
        <f>IFERROR(Tabela3[[#This Row],[Perda Pçs]]/Tabela3[[#This Row],[Previsto]],0)</f>
        <v>0</v>
      </c>
      <c r="O1133" s="39">
        <f>IFERROR(IF(Tabela3[[#This Row],[Qtde Cx Produzida]] &lt;&gt; 0, Tabela3[[#This Row],[Tempo]] / Tabela3[[#This Row],[Qtde Cx Produzida]], 0),0)</f>
        <v>5.8467741935483873E-3</v>
      </c>
      <c r="P1133" s="57">
        <f>IFERROR(Tabela3[[#This Row],[Perda Pçs]]/Tabela3[[#This Row],[Qdt Peça Placa]],0)</f>
        <v>0</v>
      </c>
      <c r="Q1133" s="37">
        <f>IFERROR(Tabela3[[#This Row],[Realizado]]*Tabela3[[#This Row],[Peso Util/Pç]],0)</f>
        <v>117.8</v>
      </c>
      <c r="R1133" s="37">
        <f>IFERROR(Tabela3[[#This Row],[Peso Total Galho]]*Tabela3[[#This Row],[Qtde Cx Produzida]]*1.055,0)</f>
        <v>153.71350000000001</v>
      </c>
      <c r="S1133" s="37">
        <f>(Tabela3[[#This Row],[Aluminio Bruto]]-Tabela3[[#This Row],[Aluminio Util]])*0.9</f>
        <v>32.322150000000015</v>
      </c>
      <c r="T1133" s="37">
        <f>Tabela3[[#This Row],[Aluminio Bruto]]/OleoKGAluminio</f>
        <v>64.667070700353975</v>
      </c>
      <c r="U1133" s="35">
        <f>IFERROR((VLOOKUP(Tabela3[[#This Row],[Moldador]],Tabela1[],5,)+(VLOOKUP(Tabela3[[#This Row],[Ajudante]],Tabela1[],5,))*3.5),0)</f>
        <v>126.0945</v>
      </c>
      <c r="V1133" s="35">
        <f>IFERROR(Tabela3[[#This Row],[Custo M.O. / H]]/((Tabela3[[#This Row],[Realizado]]/Tabela3[[#This Row],[Qdt Peça Placa]])/Tabela3[[#This Row],[Tempo]]/24),)</f>
        <v>17.693905645161287</v>
      </c>
      <c r="W1133" s="35">
        <f>Tabela3[[#This Row],[Custo / Cx Moldada]]*Tabela3[[#This Row],[Qtde Cx Produzida]]</f>
        <v>548.51107499999989</v>
      </c>
      <c r="X1133" s="35">
        <f ca="1">Tabela3[[#This Row],[Aluminio Util]]*Tabela3[[#This Row],[Custo/Kg]]</f>
        <v>2073.2800000000002</v>
      </c>
      <c r="Y1133" s="35">
        <f>IFERROR(VLOOKUP(Tabela3[[#This Row],[Data]],Tabela461213[],2,1)*(Tabela3[[#This Row],[Qtde Cx Produzida]]*Tabela3[[#This Row],[Qde macho / CX]]*Tabela3[[#This Row],[Peso Macho]]),)</f>
        <v>0</v>
      </c>
      <c r="Z1133" s="35">
        <f>IFERROR(Tabela3[[#This Row],[Qtde Oleo]]*(VLOOKUP(Tabela3[[#This Row],[Data]],CompraOleo[],3,TRUE))*1.05,0)</f>
        <v>169.7510605884292</v>
      </c>
      <c r="AA1133" s="47">
        <f ca="1">(Tabela3[[#This Row],[Custo Oleo]]+Tabela3[[#This Row],[Custo Aluminio]]+Tabela3[[#This Row],[Custo M.O. Total]]+Tabela3[[#This Row],[Custo Machos]])</f>
        <v>2791.5421355884291</v>
      </c>
      <c r="AB1133" s="47">
        <f ca="1">Tabela3[[#This Row],[Custo Total]]*Tabela3[[#This Row],[% Perda]]</f>
        <v>0</v>
      </c>
      <c r="AC1133" s="40">
        <f>IFERROR(VLOOKUP(Tabela3[[#This Row],[Produto]],Tabela2[],2,0),0)</f>
        <v>2</v>
      </c>
      <c r="AD1133" s="48">
        <f>IFERROR(VLOOKUP(Tabela3[[#This Row],[Produto]],Tabela2[],3,0),0)</f>
        <v>1.9</v>
      </c>
      <c r="AE1133" s="48">
        <f>IFERROR(VLOOKUP(Tabela3[[#This Row],[Produto]],Tabela2[],4,0),0)</f>
        <v>4.7</v>
      </c>
      <c r="AF1133" s="48">
        <f>IFERROR(VLOOKUP(Tabela3[[#This Row],[Produto]],Tabela2[],5,0),0)</f>
        <v>0.81000000000000039</v>
      </c>
      <c r="AG1133" s="48">
        <f>IFERROR(VLOOKUP(Tabela3[[#This Row],[Produto]],Tabela2[],6,0),0)</f>
        <v>0</v>
      </c>
      <c r="AH1133" s="40">
        <f>IFERROR(VLOOKUP(Tabela3[[#This Row],[Produto]],Tabela2[],7,0),0)</f>
        <v>0</v>
      </c>
      <c r="AI1133" s="40">
        <f>IFERROR(VLOOKUP(Tabela3[[#This Row],[Produto]],Tabela2[],8,0),0)</f>
        <v>0</v>
      </c>
      <c r="AJ1133" s="35">
        <f ca="1">IFERROR(VLOOKUP(Tabela3[[#This Row],[Produto]],Tabela2[],13,0),0)</f>
        <v>17.600000000000001</v>
      </c>
      <c r="AK1133" s="48" t="str">
        <f>IFERROR(VLOOKUP(Tabela3[[#This Row],[Produto]],Tabela2[],14,0),0)</f>
        <v>Marcelo</v>
      </c>
      <c r="AL1133" s="40">
        <f>IFERROR(VLOOKUP(Tabela3[[#This Row],[Produto]],Tabela2[],15,0),0)</f>
        <v>0</v>
      </c>
      <c r="AM1133" s="36">
        <f ca="1">(Tabela3[[#This Row],[Custo Usinagem]]+Tabela3[[#This Row],[Custo / Pç]])*1.2</f>
        <v>54.029847785582497</v>
      </c>
      <c r="AN1133" s="36">
        <f ca="1">Tabela3[[#This Row],[Valor Mínimo Venda]]*1.15</f>
        <v>62.134324953419863</v>
      </c>
      <c r="AO1133" s="36">
        <f ca="1">Tabela3[[#This Row],[Tabela 1]]*1.08</f>
        <v>67.105070949693456</v>
      </c>
      <c r="AP1133" s="36">
        <f ca="1">Tabela3[[#This Row],[Tabela 2]]*1.15</f>
        <v>77.170831592147465</v>
      </c>
    </row>
    <row r="1134" spans="1:42">
      <c r="A1134" s="9">
        <v>46134</v>
      </c>
      <c r="B1134" s="9" t="s">
        <v>118</v>
      </c>
      <c r="C1134" s="14">
        <v>9557</v>
      </c>
      <c r="D1134" s="6" t="s">
        <v>44</v>
      </c>
      <c r="E1134" s="6" t="s">
        <v>47</v>
      </c>
      <c r="F1134" s="6">
        <v>14</v>
      </c>
      <c r="G1134" s="15">
        <v>4.4444444444444446E-2</v>
      </c>
      <c r="H1134" s="16">
        <v>0</v>
      </c>
      <c r="I1134" s="35">
        <f ca="1">IFERROR(Tabela3[[#This Row],[Custo Total]]/Tabela3[[#This Row],[Aluminio Util]],0)</f>
        <v>21.045027660154563</v>
      </c>
      <c r="J1134" s="35">
        <f ca="1">Tabela3[[#This Row],[Custo Total]]/Tabela3[[#This Row],[Realizado]]</f>
        <v>39.985552554293669</v>
      </c>
      <c r="K1134" s="37">
        <f>IFERROR(Tabela3[[#This Row],[Qtde Cx Produzida]]/Tabela3[[#This Row],[Tempo]]/24,0)</f>
        <v>13.125</v>
      </c>
      <c r="L1134" s="37">
        <f>Tabela3[[#This Row],[Qtde Cx Produzida]]*Tabela3[[#This Row],[Qdt Peça Placa]]</f>
        <v>28</v>
      </c>
      <c r="M1134" s="37">
        <f>Tabela3[[#This Row],[Previsto]]-Tabela3[[#This Row],[Perda Pçs]]</f>
        <v>28</v>
      </c>
      <c r="N1134" s="38">
        <f>IFERROR(Tabela3[[#This Row],[Perda Pçs]]/Tabela3[[#This Row],[Previsto]],0)</f>
        <v>0</v>
      </c>
      <c r="O1134" s="39">
        <f>IFERROR(IF(Tabela3[[#This Row],[Qtde Cx Produzida]] &lt;&gt; 0, Tabela3[[#This Row],[Tempo]] / Tabela3[[#This Row],[Qtde Cx Produzida]], 0),0)</f>
        <v>3.1746031746031746E-3</v>
      </c>
      <c r="P1134" s="57">
        <f>IFERROR(Tabela3[[#This Row],[Perda Pçs]]/Tabela3[[#This Row],[Qdt Peça Placa]],0)</f>
        <v>0</v>
      </c>
      <c r="Q1134" s="37">
        <f>IFERROR(Tabela3[[#This Row],[Realizado]]*Tabela3[[#This Row],[Peso Util/Pç]],0)</f>
        <v>53.199999999999996</v>
      </c>
      <c r="R1134" s="37">
        <f>IFERROR(Tabela3[[#This Row],[Peso Total Galho]]*Tabela3[[#This Row],[Qtde Cx Produzida]]*1.055,0)</f>
        <v>69.418999999999997</v>
      </c>
      <c r="S1134" s="37">
        <f>(Tabela3[[#This Row],[Aluminio Bruto]]-Tabela3[[#This Row],[Aluminio Util]])*0.9</f>
        <v>14.597100000000001</v>
      </c>
      <c r="T1134" s="37">
        <f>Tabela3[[#This Row],[Aluminio Bruto]]/OleoKGAluminio</f>
        <v>29.204483542095339</v>
      </c>
      <c r="U1134" s="35">
        <f>IFERROR((VLOOKUP(Tabela3[[#This Row],[Moldador]],Tabela1[],5,)+(VLOOKUP(Tabela3[[#This Row],[Ajudante]],Tabela1[],5,))*3.5),0)</f>
        <v>99.95034583333333</v>
      </c>
      <c r="V1134" s="35">
        <f>IFERROR(Tabela3[[#This Row],[Custo M.O. / H]]/((Tabela3[[#This Row],[Realizado]]/Tabela3[[#This Row],[Qdt Peça Placa]])/Tabela3[[#This Row],[Tempo]]/24),)</f>
        <v>7.6152644444444446</v>
      </c>
      <c r="W1134" s="35">
        <f>Tabela3[[#This Row],[Custo / Cx Moldada]]*Tabela3[[#This Row],[Qtde Cx Produzida]]</f>
        <v>106.61370222222223</v>
      </c>
      <c r="X1134" s="35">
        <f ca="1">Tabela3[[#This Row],[Aluminio Util]]*Tabela3[[#This Row],[Custo/Kg]]</f>
        <v>936.32</v>
      </c>
      <c r="Y1134" s="35">
        <f>IFERROR(VLOOKUP(Tabela3[[#This Row],[Data]],Tabela461213[],2,1)*(Tabela3[[#This Row],[Qtde Cx Produzida]]*Tabela3[[#This Row],[Qde macho / CX]]*Tabela3[[#This Row],[Peso Macho]]),)</f>
        <v>0</v>
      </c>
      <c r="Z1134" s="35">
        <f>IFERROR(Tabela3[[#This Row],[Qtde Oleo]]*(VLOOKUP(Tabela3[[#This Row],[Data]],CompraOleo[],3,TRUE))*1.05,0)</f>
        <v>76.661769298000266</v>
      </c>
      <c r="AA1134" s="47">
        <f ca="1">(Tabela3[[#This Row],[Custo Oleo]]+Tabela3[[#This Row],[Custo Aluminio]]+Tabela3[[#This Row],[Custo M.O. Total]]+Tabela3[[#This Row],[Custo Machos]])</f>
        <v>1119.5954715202226</v>
      </c>
      <c r="AB1134" s="47">
        <f ca="1">Tabela3[[#This Row],[Custo Total]]*Tabela3[[#This Row],[% Perda]]</f>
        <v>0</v>
      </c>
      <c r="AC1134" s="40">
        <f>IFERROR(VLOOKUP(Tabela3[[#This Row],[Produto]],Tabela2[],2,0),0)</f>
        <v>2</v>
      </c>
      <c r="AD1134" s="48">
        <f>IFERROR(VLOOKUP(Tabela3[[#This Row],[Produto]],Tabela2[],3,0),0)</f>
        <v>1.9</v>
      </c>
      <c r="AE1134" s="48">
        <f>IFERROR(VLOOKUP(Tabela3[[#This Row],[Produto]],Tabela2[],4,0),0)</f>
        <v>4.7</v>
      </c>
      <c r="AF1134" s="48">
        <f>IFERROR(VLOOKUP(Tabela3[[#This Row],[Produto]],Tabela2[],5,0),0)</f>
        <v>0.81000000000000039</v>
      </c>
      <c r="AG1134" s="48">
        <f>IFERROR(VLOOKUP(Tabela3[[#This Row],[Produto]],Tabela2[],6,0),0)</f>
        <v>0</v>
      </c>
      <c r="AH1134" s="40">
        <f>IFERROR(VLOOKUP(Tabela3[[#This Row],[Produto]],Tabela2[],7,0),0)</f>
        <v>0</v>
      </c>
      <c r="AI1134" s="40">
        <f>IFERROR(VLOOKUP(Tabela3[[#This Row],[Produto]],Tabela2[],8,0),0)</f>
        <v>0</v>
      </c>
      <c r="AJ1134" s="35">
        <f ca="1">IFERROR(VLOOKUP(Tabela3[[#This Row],[Produto]],Tabela2[],13,0),0)</f>
        <v>17.600000000000001</v>
      </c>
      <c r="AK1134" s="48" t="str">
        <f>IFERROR(VLOOKUP(Tabela3[[#This Row],[Produto]],Tabela2[],14,0),0)</f>
        <v>Marcelo</v>
      </c>
      <c r="AL1134" s="40">
        <f>IFERROR(VLOOKUP(Tabela3[[#This Row],[Produto]],Tabela2[],15,0),0)</f>
        <v>0</v>
      </c>
      <c r="AM1134" s="36">
        <f ca="1">(Tabela3[[#This Row],[Custo Usinagem]]+Tabela3[[#This Row],[Custo / Pç]])*1.2</f>
        <v>47.982663065152401</v>
      </c>
      <c r="AN1134" s="36">
        <f ca="1">Tabela3[[#This Row],[Valor Mínimo Venda]]*1.15</f>
        <v>55.180062524925255</v>
      </c>
      <c r="AO1134" s="36">
        <f ca="1">Tabela3[[#This Row],[Tabela 1]]*1.08</f>
        <v>59.594467526919281</v>
      </c>
      <c r="AP1134" s="36">
        <f ca="1">Tabela3[[#This Row],[Tabela 2]]*1.15</f>
        <v>68.533637655957165</v>
      </c>
    </row>
    <row r="1135" spans="1:42">
      <c r="A1135" s="9">
        <v>46135</v>
      </c>
      <c r="B1135" s="9" t="s">
        <v>123</v>
      </c>
      <c r="C1135" s="14">
        <v>9563</v>
      </c>
      <c r="D1135" s="6" t="s">
        <v>46</v>
      </c>
      <c r="E1135" s="6" t="s">
        <v>54</v>
      </c>
      <c r="F1135" s="6">
        <v>5</v>
      </c>
      <c r="G1135" s="15">
        <v>9.8611111111111108E-2</v>
      </c>
      <c r="H1135" s="16">
        <v>0</v>
      </c>
      <c r="I1135" s="35">
        <f ca="1">IFERROR(Tabela3[[#This Row],[Custo Total]]/Tabela3[[#This Row],[Aluminio Util]],0)</f>
        <v>45.272163668648084</v>
      </c>
      <c r="J1135" s="35">
        <f ca="1">Tabela3[[#This Row],[Custo Total]]/Tabela3[[#This Row],[Realizado]]</f>
        <v>26.031494109472646</v>
      </c>
      <c r="K1135" s="37">
        <f>IFERROR(Tabela3[[#This Row],[Qtde Cx Produzida]]/Tabela3[[#This Row],[Tempo]]/24,0)</f>
        <v>2.1126760563380285</v>
      </c>
      <c r="L1135" s="37">
        <f>Tabela3[[#This Row],[Qtde Cx Produzida]]*Tabela3[[#This Row],[Qdt Peça Placa]]</f>
        <v>20</v>
      </c>
      <c r="M1135" s="37">
        <f>Tabela3[[#This Row],[Previsto]]-Tabela3[[#This Row],[Perda Pçs]]</f>
        <v>20</v>
      </c>
      <c r="N1135" s="38">
        <f>IFERROR(Tabela3[[#This Row],[Perda Pçs]]/Tabela3[[#This Row],[Previsto]],0)</f>
        <v>0</v>
      </c>
      <c r="O1135" s="39">
        <f>IFERROR(IF(Tabela3[[#This Row],[Qtde Cx Produzida]] &lt;&gt; 0, Tabela3[[#This Row],[Tempo]] / Tabela3[[#This Row],[Qtde Cx Produzida]], 0),0)</f>
        <v>1.9722222222222221E-2</v>
      </c>
      <c r="P1135" s="57">
        <f>IFERROR(Tabela3[[#This Row],[Perda Pçs]]/Tabela3[[#This Row],[Qdt Peça Placa]],0)</f>
        <v>0</v>
      </c>
      <c r="Q1135" s="37">
        <f>IFERROR(Tabela3[[#This Row],[Realizado]]*Tabela3[[#This Row],[Peso Util/Pç]],0)</f>
        <v>11.5</v>
      </c>
      <c r="R1135" s="37">
        <f>IFERROR(Tabela3[[#This Row],[Peso Total Galho]]*Tabela3[[#This Row],[Qtde Cx Produzida]]*1.055,0)</f>
        <v>17.934999999999999</v>
      </c>
      <c r="S1135" s="37">
        <f>(Tabela3[[#This Row],[Aluminio Bruto]]-Tabela3[[#This Row],[Aluminio Util]])*0.9</f>
        <v>5.7914999999999992</v>
      </c>
      <c r="T1135" s="37">
        <f>Tabela3[[#This Row],[Aluminio Bruto]]/OleoKGAluminio</f>
        <v>7.545231310267793</v>
      </c>
      <c r="U1135" s="35">
        <f>IFERROR((VLOOKUP(Tabela3[[#This Row],[Moldador]],Tabela1[],5,)+(VLOOKUP(Tabela3[[#This Row],[Ajudante]],Tabela1[],5,))*3.5),0)</f>
        <v>126.0945</v>
      </c>
      <c r="V1135" s="35">
        <f>IFERROR(Tabela3[[#This Row],[Custo M.O. / H]]/((Tabela3[[#This Row],[Realizado]]/Tabela3[[#This Row],[Qdt Peça Placa]])/Tabela3[[#This Row],[Tempo]]/24),)</f>
        <v>59.684729999999988</v>
      </c>
      <c r="W1135" s="35">
        <f>Tabela3[[#This Row],[Custo / Cx Moldada]]*Tabela3[[#This Row],[Qtde Cx Produzida]]</f>
        <v>298.42364999999995</v>
      </c>
      <c r="X1135" s="35">
        <f ca="1">Tabela3[[#This Row],[Aluminio Util]]*Tabela3[[#This Row],[Custo/Kg]]</f>
        <v>202.4</v>
      </c>
      <c r="Y1135" s="35">
        <f>IFERROR(VLOOKUP(Tabela3[[#This Row],[Data]],Tabela461213[],2,1)*(Tabela3[[#This Row],[Qtde Cx Produzida]]*Tabela3[[#This Row],[Qde macho / CX]]*Tabela3[[#This Row],[Peso Macho]]),)</f>
        <v>0</v>
      </c>
      <c r="Z1135" s="35">
        <f>IFERROR(Tabela3[[#This Row],[Qtde Oleo]]*(VLOOKUP(Tabela3[[#This Row],[Data]],CompraOleo[],3,TRUE))*1.05,0)</f>
        <v>19.80623218945296</v>
      </c>
      <c r="AA1135" s="47">
        <f ca="1">(Tabela3[[#This Row],[Custo Oleo]]+Tabela3[[#This Row],[Custo Aluminio]]+Tabela3[[#This Row],[Custo M.O. Total]]+Tabela3[[#This Row],[Custo Machos]])</f>
        <v>520.62988218945293</v>
      </c>
      <c r="AB1135" s="47">
        <f ca="1">Tabela3[[#This Row],[Custo Total]]*Tabela3[[#This Row],[% Perda]]</f>
        <v>0</v>
      </c>
      <c r="AC1135" s="40">
        <f>IFERROR(VLOOKUP(Tabela3[[#This Row],[Produto]],Tabela2[],2,0),0)</f>
        <v>4</v>
      </c>
      <c r="AD1135" s="48">
        <f>IFERROR(VLOOKUP(Tabela3[[#This Row],[Produto]],Tabela2[],3,0),0)</f>
        <v>0.57499999999999996</v>
      </c>
      <c r="AE1135" s="48">
        <f>IFERROR(VLOOKUP(Tabela3[[#This Row],[Produto]],Tabela2[],4,0),0)</f>
        <v>3.4</v>
      </c>
      <c r="AF1135" s="48">
        <f>IFERROR(VLOOKUP(Tabela3[[#This Row],[Produto]],Tabela2[],5,0),0)</f>
        <v>0.9900000000000001</v>
      </c>
      <c r="AG1135" s="48">
        <f>IFERROR(VLOOKUP(Tabela3[[#This Row],[Produto]],Tabela2[],6,0),0)</f>
        <v>0</v>
      </c>
      <c r="AH1135" s="40">
        <f>IFERROR(VLOOKUP(Tabela3[[#This Row],[Produto]],Tabela2[],7,0),0)</f>
        <v>0</v>
      </c>
      <c r="AI1135" s="40">
        <f>IFERROR(VLOOKUP(Tabela3[[#This Row],[Produto]],Tabela2[],8,0),0)</f>
        <v>0</v>
      </c>
      <c r="AJ1135" s="35">
        <f ca="1">IFERROR(VLOOKUP(Tabela3[[#This Row],[Produto]],Tabela2[],13,0),0)</f>
        <v>17.600000000000001</v>
      </c>
      <c r="AK1135" s="48" t="str">
        <f>IFERROR(VLOOKUP(Tabela3[[#This Row],[Produto]],Tabela2[],14,0),0)</f>
        <v>TPA/TEMPLA</v>
      </c>
      <c r="AL1135" s="40">
        <f>IFERROR(VLOOKUP(Tabela3[[#This Row],[Produto]],Tabela2[],15,0),0)</f>
        <v>0</v>
      </c>
      <c r="AM1135" s="36">
        <f ca="1">(Tabela3[[#This Row],[Custo Usinagem]]+Tabela3[[#This Row],[Custo / Pç]])*1.2</f>
        <v>31.237792931367174</v>
      </c>
      <c r="AN1135" s="36">
        <f ca="1">Tabela3[[#This Row],[Valor Mínimo Venda]]*1.15</f>
        <v>35.923461871072249</v>
      </c>
      <c r="AO1135" s="36">
        <f ca="1">Tabela3[[#This Row],[Tabela 1]]*1.08</f>
        <v>38.797338820758029</v>
      </c>
      <c r="AP1135" s="36">
        <f ca="1">Tabela3[[#This Row],[Tabela 2]]*1.15</f>
        <v>44.616939643871731</v>
      </c>
    </row>
    <row r="1136" spans="1:42">
      <c r="A1136" s="9">
        <v>46135</v>
      </c>
      <c r="B1136" s="9" t="s">
        <v>123</v>
      </c>
      <c r="C1136" s="14">
        <v>9563</v>
      </c>
      <c r="D1136" s="6" t="s">
        <v>46</v>
      </c>
      <c r="E1136" s="6" t="s">
        <v>44</v>
      </c>
      <c r="F1136" s="6">
        <v>10</v>
      </c>
      <c r="G1136" s="15">
        <v>0.10069444444444445</v>
      </c>
      <c r="H1136" s="16">
        <v>20</v>
      </c>
      <c r="I1136" s="35">
        <f ca="1">IFERROR(Tabela3[[#This Row],[Custo Total]]/Tabela3[[#This Row],[Aluminio Util]],0)</f>
        <v>74.040801250339641</v>
      </c>
      <c r="J1136" s="35">
        <f ca="1">Tabela3[[#This Row],[Custo Total]]/Tabela3[[#This Row],[Realizado]]</f>
        <v>42.573460718945299</v>
      </c>
      <c r="K1136" s="37">
        <f>IFERROR(Tabela3[[#This Row],[Qtde Cx Produzida]]/Tabela3[[#This Row],[Tempo]]/24,0)</f>
        <v>4.1379310344827589</v>
      </c>
      <c r="L1136" s="37">
        <f>Tabela3[[#This Row],[Qtde Cx Produzida]]*Tabela3[[#This Row],[Qdt Peça Placa]]</f>
        <v>40</v>
      </c>
      <c r="M1136" s="37">
        <f>Tabela3[[#This Row],[Previsto]]-Tabela3[[#This Row],[Perda Pçs]]</f>
        <v>20</v>
      </c>
      <c r="N1136" s="38">
        <f>IFERROR(Tabela3[[#This Row],[Perda Pçs]]/Tabela3[[#This Row],[Previsto]],0)</f>
        <v>0.5</v>
      </c>
      <c r="O1136" s="39">
        <f>IFERROR(IF(Tabela3[[#This Row],[Qtde Cx Produzida]] &lt;&gt; 0, Tabela3[[#This Row],[Tempo]] / Tabela3[[#This Row],[Qtde Cx Produzida]], 0),0)</f>
        <v>1.0069444444444445E-2</v>
      </c>
      <c r="P1136" s="57">
        <f>IFERROR(Tabela3[[#This Row],[Perda Pçs]]/Tabela3[[#This Row],[Qdt Peça Placa]],0)</f>
        <v>5</v>
      </c>
      <c r="Q1136" s="37">
        <f>IFERROR(Tabela3[[#This Row],[Realizado]]*Tabela3[[#This Row],[Peso Util/Pç]],0)</f>
        <v>11.5</v>
      </c>
      <c r="R1136" s="37">
        <f>IFERROR(Tabela3[[#This Row],[Peso Total Galho]]*Tabela3[[#This Row],[Qtde Cx Produzida]]*1.055,0)</f>
        <v>35.869999999999997</v>
      </c>
      <c r="S1136" s="37">
        <f>(Tabela3[[#This Row],[Aluminio Bruto]]-Tabela3[[#This Row],[Aluminio Util]])*0.9</f>
        <v>21.933</v>
      </c>
      <c r="T1136" s="37">
        <f>Tabela3[[#This Row],[Aluminio Bruto]]/OleoKGAluminio</f>
        <v>15.090462620535586</v>
      </c>
      <c r="U1136" s="35">
        <f>IFERROR((VLOOKUP(Tabela3[[#This Row],[Moldador]],Tabela1[],5,)+(VLOOKUP(Tabela3[[#This Row],[Ajudante]],Tabela1[],5,))*3.5),0)</f>
        <v>126.0945</v>
      </c>
      <c r="V1136" s="35">
        <f>IFERROR(Tabela3[[#This Row],[Custo M.O. / H]]/((Tabela3[[#This Row],[Realizado]]/Tabela3[[#This Row],[Qdt Peça Placa]])/Tabela3[[#This Row],[Tempo]]/24),)</f>
        <v>60.945674999999994</v>
      </c>
      <c r="W1136" s="35">
        <f>Tabela3[[#This Row],[Custo / Cx Moldada]]*Tabela3[[#This Row],[Qtde Cx Produzida]]</f>
        <v>609.45674999999994</v>
      </c>
      <c r="X1136" s="35">
        <f ca="1">Tabela3[[#This Row],[Aluminio Util]]*Tabela3[[#This Row],[Custo/Kg]]</f>
        <v>202.4</v>
      </c>
      <c r="Y1136" s="35">
        <f>IFERROR(VLOOKUP(Tabela3[[#This Row],[Data]],Tabela461213[],2,1)*(Tabela3[[#This Row],[Qtde Cx Produzida]]*Tabela3[[#This Row],[Qde macho / CX]]*Tabela3[[#This Row],[Peso Macho]]),)</f>
        <v>0</v>
      </c>
      <c r="Z1136" s="35">
        <f>IFERROR(Tabela3[[#This Row],[Qtde Oleo]]*(VLOOKUP(Tabela3[[#This Row],[Data]],CompraOleo[],3,TRUE))*1.05,0)</f>
        <v>39.612464378905919</v>
      </c>
      <c r="AA1136" s="47">
        <f ca="1">(Tabela3[[#This Row],[Custo Oleo]]+Tabela3[[#This Row],[Custo Aluminio]]+Tabela3[[#This Row],[Custo M.O. Total]]+Tabela3[[#This Row],[Custo Machos]])</f>
        <v>851.46921437890592</v>
      </c>
      <c r="AB1136" s="47">
        <f ca="1">Tabela3[[#This Row],[Custo Total]]*Tabela3[[#This Row],[% Perda]]</f>
        <v>425.73460718945296</v>
      </c>
      <c r="AC1136" s="40">
        <f>IFERROR(VLOOKUP(Tabela3[[#This Row],[Produto]],Tabela2[],2,0),0)</f>
        <v>4</v>
      </c>
      <c r="AD1136" s="48">
        <f>IFERROR(VLOOKUP(Tabela3[[#This Row],[Produto]],Tabela2[],3,0),0)</f>
        <v>0.57499999999999996</v>
      </c>
      <c r="AE1136" s="48">
        <f>IFERROR(VLOOKUP(Tabela3[[#This Row],[Produto]],Tabela2[],4,0),0)</f>
        <v>3.4</v>
      </c>
      <c r="AF1136" s="48">
        <f>IFERROR(VLOOKUP(Tabela3[[#This Row],[Produto]],Tabela2[],5,0),0)</f>
        <v>0.9900000000000001</v>
      </c>
      <c r="AG1136" s="48">
        <f>IFERROR(VLOOKUP(Tabela3[[#This Row],[Produto]],Tabela2[],6,0),0)</f>
        <v>0</v>
      </c>
      <c r="AH1136" s="40">
        <f>IFERROR(VLOOKUP(Tabela3[[#This Row],[Produto]],Tabela2[],7,0),0)</f>
        <v>0</v>
      </c>
      <c r="AI1136" s="40">
        <f>IFERROR(VLOOKUP(Tabela3[[#This Row],[Produto]],Tabela2[],8,0),0)</f>
        <v>0</v>
      </c>
      <c r="AJ1136" s="35">
        <f ca="1">IFERROR(VLOOKUP(Tabela3[[#This Row],[Produto]],Tabela2[],13,0),0)</f>
        <v>17.600000000000001</v>
      </c>
      <c r="AK1136" s="48" t="str">
        <f>IFERROR(VLOOKUP(Tabela3[[#This Row],[Produto]],Tabela2[],14,0),0)</f>
        <v>TPA/TEMPLA</v>
      </c>
      <c r="AL1136" s="40">
        <f>IFERROR(VLOOKUP(Tabela3[[#This Row],[Produto]],Tabela2[],15,0),0)</f>
        <v>0</v>
      </c>
      <c r="AM1136" s="36">
        <f ca="1">(Tabela3[[#This Row],[Custo Usinagem]]+Tabela3[[#This Row],[Custo / Pç]])*1.2</f>
        <v>51.088152862734354</v>
      </c>
      <c r="AN1136" s="36">
        <f ca="1">Tabela3[[#This Row],[Valor Mínimo Venda]]*1.15</f>
        <v>58.751375792144501</v>
      </c>
      <c r="AO1136" s="36">
        <f ca="1">Tabela3[[#This Row],[Tabela 1]]*1.08</f>
        <v>63.451485855516061</v>
      </c>
      <c r="AP1136" s="36">
        <f ca="1">Tabela3[[#This Row],[Tabela 2]]*1.15</f>
        <v>72.969208733843459</v>
      </c>
    </row>
    <row r="1137" spans="1:42">
      <c r="A1137" s="9">
        <v>46135</v>
      </c>
      <c r="B1137" s="9" t="s">
        <v>123</v>
      </c>
      <c r="C1137" s="14">
        <v>9563</v>
      </c>
      <c r="D1137" s="6" t="s">
        <v>44</v>
      </c>
      <c r="E1137" s="6" t="s">
        <v>47</v>
      </c>
      <c r="F1137" s="6">
        <v>3</v>
      </c>
      <c r="G1137" s="15">
        <v>2.5694444444444443E-2</v>
      </c>
      <c r="H1137" s="16">
        <v>0</v>
      </c>
      <c r="I1137" s="35">
        <f ca="1">IFERROR(Tabela3[[#This Row],[Custo Total]]/Tabela3[[#This Row],[Aluminio Util]],0)</f>
        <v>28.255041436361452</v>
      </c>
      <c r="J1137" s="35">
        <f ca="1">Tabela3[[#This Row],[Custo Total]]/Tabela3[[#This Row],[Realizado]]</f>
        <v>16.246648825907833</v>
      </c>
      <c r="K1137" s="37">
        <f>IFERROR(Tabela3[[#This Row],[Qtde Cx Produzida]]/Tabela3[[#This Row],[Tempo]]/24,0)</f>
        <v>4.8648648648648649</v>
      </c>
      <c r="L1137" s="37">
        <f>Tabela3[[#This Row],[Qtde Cx Produzida]]*Tabela3[[#This Row],[Qdt Peça Placa]]</f>
        <v>12</v>
      </c>
      <c r="M1137" s="37">
        <f>Tabela3[[#This Row],[Previsto]]-Tabela3[[#This Row],[Perda Pçs]]</f>
        <v>12</v>
      </c>
      <c r="N1137" s="38">
        <f>IFERROR(Tabela3[[#This Row],[Perda Pçs]]/Tabela3[[#This Row],[Previsto]],0)</f>
        <v>0</v>
      </c>
      <c r="O1137" s="39">
        <f>IFERROR(IF(Tabela3[[#This Row],[Qtde Cx Produzida]] &lt;&gt; 0, Tabela3[[#This Row],[Tempo]] / Tabela3[[#This Row],[Qtde Cx Produzida]], 0),0)</f>
        <v>8.564814814814815E-3</v>
      </c>
      <c r="P1137" s="57">
        <f>IFERROR(Tabela3[[#This Row],[Perda Pçs]]/Tabela3[[#This Row],[Qdt Peça Placa]],0)</f>
        <v>0</v>
      </c>
      <c r="Q1137" s="37">
        <f>IFERROR(Tabela3[[#This Row],[Realizado]]*Tabela3[[#This Row],[Peso Util/Pç]],0)</f>
        <v>6.8999999999999995</v>
      </c>
      <c r="R1137" s="37">
        <f>IFERROR(Tabela3[[#This Row],[Peso Total Galho]]*Tabela3[[#This Row],[Qtde Cx Produzida]]*1.055,0)</f>
        <v>10.760999999999999</v>
      </c>
      <c r="S1137" s="37">
        <f>(Tabela3[[#This Row],[Aluminio Bruto]]-Tabela3[[#This Row],[Aluminio Util]])*0.9</f>
        <v>3.4748999999999999</v>
      </c>
      <c r="T1137" s="37">
        <f>Tabela3[[#This Row],[Aluminio Bruto]]/OleoKGAluminio</f>
        <v>4.527138786160676</v>
      </c>
      <c r="U1137" s="35">
        <f>IFERROR((VLOOKUP(Tabela3[[#This Row],[Moldador]],Tabela1[],5,)+(VLOOKUP(Tabela3[[#This Row],[Ajudante]],Tabela1[],5,))*3.5),0)</f>
        <v>99.95034583333333</v>
      </c>
      <c r="V1137" s="35">
        <f>IFERROR(Tabela3[[#This Row],[Custo M.O. / H]]/((Tabela3[[#This Row],[Realizado]]/Tabela3[[#This Row],[Qdt Peça Placa]])/Tabela3[[#This Row],[Tempo]]/24),)</f>
        <v>20.545348865740738</v>
      </c>
      <c r="W1137" s="35">
        <f>Tabela3[[#This Row],[Custo / Cx Moldada]]*Tabela3[[#This Row],[Qtde Cx Produzida]]</f>
        <v>61.636046597222219</v>
      </c>
      <c r="X1137" s="35">
        <f ca="1">Tabela3[[#This Row],[Aluminio Util]]*Tabela3[[#This Row],[Custo/Kg]]</f>
        <v>121.44</v>
      </c>
      <c r="Y1137" s="35">
        <f>IFERROR(VLOOKUP(Tabela3[[#This Row],[Data]],Tabela461213[],2,1)*(Tabela3[[#This Row],[Qtde Cx Produzida]]*Tabela3[[#This Row],[Qde macho / CX]]*Tabela3[[#This Row],[Peso Macho]]),)</f>
        <v>0</v>
      </c>
      <c r="Z1137" s="35">
        <f>IFERROR(Tabela3[[#This Row],[Qtde Oleo]]*(VLOOKUP(Tabela3[[#This Row],[Data]],CompraOleo[],3,TRUE))*1.05,0)</f>
        <v>11.883739313671775</v>
      </c>
      <c r="AA1137" s="47">
        <f ca="1">(Tabela3[[#This Row],[Custo Oleo]]+Tabela3[[#This Row],[Custo Aluminio]]+Tabela3[[#This Row],[Custo M.O. Total]]+Tabela3[[#This Row],[Custo Machos]])</f>
        <v>194.959785910894</v>
      </c>
      <c r="AB1137" s="47">
        <f ca="1">Tabela3[[#This Row],[Custo Total]]*Tabela3[[#This Row],[% Perda]]</f>
        <v>0</v>
      </c>
      <c r="AC1137" s="40">
        <f>IFERROR(VLOOKUP(Tabela3[[#This Row],[Produto]],Tabela2[],2,0),0)</f>
        <v>4</v>
      </c>
      <c r="AD1137" s="48">
        <f>IFERROR(VLOOKUP(Tabela3[[#This Row],[Produto]],Tabela2[],3,0),0)</f>
        <v>0.57499999999999996</v>
      </c>
      <c r="AE1137" s="48">
        <f>IFERROR(VLOOKUP(Tabela3[[#This Row],[Produto]],Tabela2[],4,0),0)</f>
        <v>3.4</v>
      </c>
      <c r="AF1137" s="48">
        <f>IFERROR(VLOOKUP(Tabela3[[#This Row],[Produto]],Tabela2[],5,0),0)</f>
        <v>0.9900000000000001</v>
      </c>
      <c r="AG1137" s="48">
        <f>IFERROR(VLOOKUP(Tabela3[[#This Row],[Produto]],Tabela2[],6,0),0)</f>
        <v>0</v>
      </c>
      <c r="AH1137" s="40">
        <f>IFERROR(VLOOKUP(Tabela3[[#This Row],[Produto]],Tabela2[],7,0),0)</f>
        <v>0</v>
      </c>
      <c r="AI1137" s="40">
        <f>IFERROR(VLOOKUP(Tabela3[[#This Row],[Produto]],Tabela2[],8,0),0)</f>
        <v>0</v>
      </c>
      <c r="AJ1137" s="35">
        <f ca="1">IFERROR(VLOOKUP(Tabela3[[#This Row],[Produto]],Tabela2[],13,0),0)</f>
        <v>17.600000000000001</v>
      </c>
      <c r="AK1137" s="48" t="str">
        <f>IFERROR(VLOOKUP(Tabela3[[#This Row],[Produto]],Tabela2[],14,0),0)</f>
        <v>TPA/TEMPLA</v>
      </c>
      <c r="AL1137" s="40">
        <f>IFERROR(VLOOKUP(Tabela3[[#This Row],[Produto]],Tabela2[],15,0),0)</f>
        <v>0</v>
      </c>
      <c r="AM1137" s="36">
        <f ca="1">(Tabela3[[#This Row],[Custo Usinagem]]+Tabela3[[#This Row],[Custo / Pç]])*1.2</f>
        <v>19.495978591089401</v>
      </c>
      <c r="AN1137" s="36">
        <f ca="1">Tabela3[[#This Row],[Valor Mínimo Venda]]*1.15</f>
        <v>22.420375379752809</v>
      </c>
      <c r="AO1137" s="36">
        <f ca="1">Tabela3[[#This Row],[Tabela 1]]*1.08</f>
        <v>24.214005410133034</v>
      </c>
      <c r="AP1137" s="36">
        <f ca="1">Tabela3[[#This Row],[Tabela 2]]*1.15</f>
        <v>27.846106221652985</v>
      </c>
    </row>
    <row r="1138" spans="1:42">
      <c r="A1138" s="9">
        <v>46135</v>
      </c>
      <c r="B1138" s="6" t="s">
        <v>241</v>
      </c>
      <c r="C1138" s="14">
        <v>9519</v>
      </c>
      <c r="D1138" s="6" t="s">
        <v>44</v>
      </c>
      <c r="E1138" s="6" t="s">
        <v>47</v>
      </c>
      <c r="F1138" s="6">
        <v>20</v>
      </c>
      <c r="G1138" s="15">
        <v>0.11874999999999999</v>
      </c>
      <c r="H1138" s="16">
        <v>7</v>
      </c>
      <c r="I1138" s="35">
        <f ca="1">IFERROR(Tabela3[[#This Row],[Custo Total]]/Tabela3[[#This Row],[Aluminio Util]],0)</f>
        <v>24.841211843559456</v>
      </c>
      <c r="J1138" s="35">
        <f ca="1">Tabela3[[#This Row],[Custo Total]]/Tabela3[[#This Row],[Realizado]]</f>
        <v>15.227662860101947</v>
      </c>
      <c r="K1138" s="37">
        <f>IFERROR(Tabela3[[#This Row],[Qtde Cx Produzida]]/Tabela3[[#This Row],[Tempo]]/24,0)</f>
        <v>7.0175438596491233</v>
      </c>
      <c r="L1138" s="37">
        <f>Tabela3[[#This Row],[Qtde Cx Produzida]]*Tabela3[[#This Row],[Qdt Peça Placa]]</f>
        <v>80</v>
      </c>
      <c r="M1138" s="37">
        <f>Tabela3[[#This Row],[Previsto]]-Tabela3[[#This Row],[Perda Pçs]]</f>
        <v>73</v>
      </c>
      <c r="N1138" s="38">
        <f>IFERROR(Tabela3[[#This Row],[Perda Pçs]]/Tabela3[[#This Row],[Previsto]],0)</f>
        <v>8.7499999999999994E-2</v>
      </c>
      <c r="O1138" s="39">
        <f>IFERROR(IF(Tabela3[[#This Row],[Qtde Cx Produzida]] &lt;&gt; 0, Tabela3[[#This Row],[Tempo]] / Tabela3[[#This Row],[Qtde Cx Produzida]], 0),0)</f>
        <v>5.9375000000000001E-3</v>
      </c>
      <c r="P1138" s="57">
        <f>IFERROR(Tabela3[[#This Row],[Perda Pçs]]/Tabela3[[#This Row],[Qdt Peça Placa]],0)</f>
        <v>1.75</v>
      </c>
      <c r="Q1138" s="37">
        <f>IFERROR(Tabela3[[#This Row],[Realizado]]*Tabela3[[#This Row],[Peso Util/Pç]],0)</f>
        <v>44.749000000000002</v>
      </c>
      <c r="R1138" s="37">
        <f>IFERROR(Tabela3[[#This Row],[Peso Total Galho]]*Tabela3[[#This Row],[Qtde Cx Produzida]]*1.055,0)</f>
        <v>91.784999999999997</v>
      </c>
      <c r="S1138" s="37">
        <f>(Tabela3[[#This Row],[Aluminio Bruto]]-Tabela3[[#This Row],[Aluminio Util]])*0.9</f>
        <v>42.332399999999993</v>
      </c>
      <c r="T1138" s="37">
        <f>Tabela3[[#This Row],[Aluminio Bruto]]/OleoKGAluminio</f>
        <v>38.613830823135174</v>
      </c>
      <c r="U1138" s="35">
        <f>IFERROR((VLOOKUP(Tabela3[[#This Row],[Moldador]],Tabela1[],5,)+(VLOOKUP(Tabela3[[#This Row],[Ajudante]],Tabela1[],5,))*3.5),0)</f>
        <v>99.95034583333333</v>
      </c>
      <c r="V1138" s="35">
        <f>IFERROR(Tabela3[[#This Row],[Custo M.O. / H]]/((Tabela3[[#This Row],[Realizado]]/Tabela3[[#This Row],[Qdt Peça Placa]])/Tabela3[[#This Row],[Tempo]]/24),)</f>
        <v>15.608684143835614</v>
      </c>
      <c r="W1138" s="35">
        <f>Tabela3[[#This Row],[Custo / Cx Moldada]]*Tabela3[[#This Row],[Qtde Cx Produzida]]</f>
        <v>312.17368287671229</v>
      </c>
      <c r="X1138" s="35">
        <f ca="1">Tabela3[[#This Row],[Aluminio Util]]*Tabela3[[#This Row],[Custo/Kg]]</f>
        <v>698.08440000000007</v>
      </c>
      <c r="Y1138" s="35">
        <f>IFERROR(VLOOKUP(Tabela3[[#This Row],[Data]],Tabela461213[],2,1)*(Tabela3[[#This Row],[Qtde Cx Produzida]]*Tabela3[[#This Row],[Qde macho / CX]]*Tabela3[[#This Row],[Peso Macho]]),)</f>
        <v>0</v>
      </c>
      <c r="Z1138" s="35">
        <f>IFERROR(Tabela3[[#This Row],[Qtde Oleo]]*(VLOOKUP(Tabela3[[#This Row],[Data]],CompraOleo[],3,TRUE))*1.05,0)</f>
        <v>101.36130591072984</v>
      </c>
      <c r="AA1138" s="47">
        <f ca="1">(Tabela3[[#This Row],[Custo Oleo]]+Tabela3[[#This Row],[Custo Aluminio]]+Tabela3[[#This Row],[Custo M.O. Total]]+Tabela3[[#This Row],[Custo Machos]])</f>
        <v>1111.6193887874422</v>
      </c>
      <c r="AB1138" s="47">
        <f ca="1">Tabela3[[#This Row],[Custo Total]]*Tabela3[[#This Row],[% Perda]]</f>
        <v>97.266696518901185</v>
      </c>
      <c r="AC1138" s="40">
        <f>IFERROR(VLOOKUP(Tabela3[[#This Row],[Produto]],Tabela2[],2,0),0)</f>
        <v>4</v>
      </c>
      <c r="AD1138" s="48">
        <f>IFERROR(VLOOKUP(Tabela3[[#This Row],[Produto]],Tabela2[],3,0),0)</f>
        <v>0.61299999999999999</v>
      </c>
      <c r="AE1138" s="48">
        <f>IFERROR(VLOOKUP(Tabela3[[#This Row],[Produto]],Tabela2[],4,0),0)</f>
        <v>4.3499999999999996</v>
      </c>
      <c r="AF1138" s="48">
        <f>IFERROR(VLOOKUP(Tabela3[[#This Row],[Produto]],Tabela2[],5,0),0)</f>
        <v>1.7081999999999997</v>
      </c>
      <c r="AG1138" s="48">
        <f>IFERROR(VLOOKUP(Tabela3[[#This Row],[Produto]],Tabela2[],6,0),0)</f>
        <v>0</v>
      </c>
      <c r="AH1138" s="40">
        <f>IFERROR(VLOOKUP(Tabela3[[#This Row],[Produto]],Tabela2[],7,0),0)</f>
        <v>0</v>
      </c>
      <c r="AI1138" s="40">
        <f>IFERROR(VLOOKUP(Tabela3[[#This Row],[Produto]],Tabela2[],8,0),0)</f>
        <v>0</v>
      </c>
      <c r="AJ1138" s="35">
        <f ca="1">IFERROR(VLOOKUP(Tabela3[[#This Row],[Produto]],Tabela2[],13,0),0)</f>
        <v>15.600000000000001</v>
      </c>
      <c r="AK1138" s="48" t="str">
        <f>IFERROR(VLOOKUP(Tabela3[[#This Row],[Produto]],Tabela2[],14,0),0)</f>
        <v>Senun</v>
      </c>
      <c r="AL1138" s="40">
        <f>IFERROR(VLOOKUP(Tabela3[[#This Row],[Produto]],Tabela2[],15,0),0)</f>
        <v>4</v>
      </c>
      <c r="AM1138" s="36">
        <f ca="1">(Tabela3[[#This Row],[Custo Usinagem]]+Tabela3[[#This Row],[Custo / Pç]])*1.2</f>
        <v>23.073195432122336</v>
      </c>
      <c r="AN1138" s="36">
        <f ca="1">Tabela3[[#This Row],[Valor Mínimo Venda]]*1.15</f>
        <v>26.534174746940685</v>
      </c>
      <c r="AO1138" s="36">
        <f ca="1">Tabela3[[#This Row],[Tabela 1]]*1.08</f>
        <v>28.656908726695942</v>
      </c>
      <c r="AP1138" s="36">
        <f ca="1">Tabela3[[#This Row],[Tabela 2]]*1.15</f>
        <v>32.955445035700329</v>
      </c>
    </row>
    <row r="1139" spans="1:42">
      <c r="A1139" s="9">
        <v>46135</v>
      </c>
      <c r="B1139" s="9" t="s">
        <v>255</v>
      </c>
      <c r="C1139" s="14">
        <v>9358</v>
      </c>
      <c r="D1139" s="6" t="s">
        <v>44</v>
      </c>
      <c r="E1139" s="6" t="s">
        <v>47</v>
      </c>
      <c r="F1139" s="6">
        <v>6</v>
      </c>
      <c r="G1139" s="15">
        <v>2.7083333333333334E-2</v>
      </c>
      <c r="H1139" s="16">
        <v>0</v>
      </c>
      <c r="I1139" s="35">
        <f ca="1">IFERROR(Tabela3[[#This Row],[Custo Total]]/Tabela3[[#This Row],[Aluminio Util]],0)</f>
        <v>27.986670578519693</v>
      </c>
      <c r="J1139" s="35">
        <f ca="1">Tabela3[[#This Row],[Custo Total]]/Tabela3[[#This Row],[Realizado]]</f>
        <v>34.983338223149616</v>
      </c>
      <c r="K1139" s="37">
        <f>IFERROR(Tabela3[[#This Row],[Qtde Cx Produzida]]/Tabela3[[#This Row],[Tempo]]/24,0)</f>
        <v>9.2307692307692299</v>
      </c>
      <c r="L1139" s="37">
        <f>Tabela3[[#This Row],[Qtde Cx Produzida]]*Tabela3[[#This Row],[Qdt Peça Placa]]</f>
        <v>6</v>
      </c>
      <c r="M1139" s="37">
        <f>Tabela3[[#This Row],[Previsto]]-Tabela3[[#This Row],[Perda Pçs]]</f>
        <v>6</v>
      </c>
      <c r="N1139" s="38">
        <f>IFERROR(Tabela3[[#This Row],[Perda Pçs]]/Tabela3[[#This Row],[Previsto]],0)</f>
        <v>0</v>
      </c>
      <c r="O1139" s="39">
        <f>IFERROR(IF(Tabela3[[#This Row],[Qtde Cx Produzida]] &lt;&gt; 0, Tabela3[[#This Row],[Tempo]] / Tabela3[[#This Row],[Qtde Cx Produzida]], 0),0)</f>
        <v>4.5138888888888893E-3</v>
      </c>
      <c r="P1139" s="57">
        <f>IFERROR(Tabela3[[#This Row],[Perda Pçs]]/Tabela3[[#This Row],[Qdt Peça Placa]],0)</f>
        <v>0</v>
      </c>
      <c r="Q1139" s="37">
        <f>IFERROR(Tabela3[[#This Row],[Realizado]]*Tabela3[[#This Row],[Peso Util/Pç]],0)</f>
        <v>7.5</v>
      </c>
      <c r="R1139" s="37">
        <f>IFERROR(Tabela3[[#This Row],[Peso Total Galho]]*Tabela3[[#This Row],[Qtde Cx Produzida]]*1.055,0)</f>
        <v>11.710500000000001</v>
      </c>
      <c r="S1139" s="37">
        <f>(Tabela3[[#This Row],[Aluminio Bruto]]-Tabela3[[#This Row],[Aluminio Util]])*0.9</f>
        <v>3.7894500000000013</v>
      </c>
      <c r="T1139" s="37">
        <f>Tabela3[[#This Row],[Aluminio Bruto]]/OleoKGAluminio</f>
        <v>4.9265922084689713</v>
      </c>
      <c r="U1139" s="35">
        <f>IFERROR((VLOOKUP(Tabela3[[#This Row],[Moldador]],Tabela1[],5,)+(VLOOKUP(Tabela3[[#This Row],[Ajudante]],Tabela1[],5,))*3.5),0)</f>
        <v>99.95034583333333</v>
      </c>
      <c r="V1139" s="35">
        <f>IFERROR(Tabela3[[#This Row],[Custo M.O. / H]]/((Tabela3[[#This Row],[Realizado]]/Tabela3[[#This Row],[Qdt Peça Placa]])/Tabela3[[#This Row],[Tempo]]/24),)</f>
        <v>10.827954131944445</v>
      </c>
      <c r="W1139" s="35">
        <f>Tabela3[[#This Row],[Custo / Cx Moldada]]*Tabela3[[#This Row],[Qtde Cx Produzida]]</f>
        <v>64.967724791666669</v>
      </c>
      <c r="X1139" s="35">
        <f ca="1">Tabela3[[#This Row],[Aluminio Util]]*Tabela3[[#This Row],[Custo/Kg]]</f>
        <v>132</v>
      </c>
      <c r="Y1139" s="35">
        <f>IFERROR(VLOOKUP(Tabela3[[#This Row],[Data]],Tabela461213[],2,1)*(Tabela3[[#This Row],[Qtde Cx Produzida]]*Tabela3[[#This Row],[Qde macho / CX]]*Tabela3[[#This Row],[Peso Macho]]),)</f>
        <v>0</v>
      </c>
      <c r="Z1139" s="35">
        <f>IFERROR(Tabela3[[#This Row],[Qtde Oleo]]*(VLOOKUP(Tabela3[[#This Row],[Data]],CompraOleo[],3,TRUE))*1.05,0)</f>
        <v>12.93230454723105</v>
      </c>
      <c r="AA1139" s="47">
        <f ca="1">(Tabela3[[#This Row],[Custo Oleo]]+Tabela3[[#This Row],[Custo Aluminio]]+Tabela3[[#This Row],[Custo M.O. Total]]+Tabela3[[#This Row],[Custo Machos]])</f>
        <v>209.9000293388977</v>
      </c>
      <c r="AB1139" s="47">
        <f ca="1">Tabela3[[#This Row],[Custo Total]]*Tabela3[[#This Row],[% Perda]]</f>
        <v>0</v>
      </c>
      <c r="AC1139" s="40">
        <f>IFERROR(VLOOKUP(Tabela3[[#This Row],[Produto]],Tabela2[],2,0),0)</f>
        <v>1</v>
      </c>
      <c r="AD1139" s="48">
        <f>IFERROR(VLOOKUP(Tabela3[[#This Row],[Produto]],Tabela2[],3,0),0)</f>
        <v>1.25</v>
      </c>
      <c r="AE1139" s="48">
        <f>IFERROR(VLOOKUP(Tabela3[[#This Row],[Produto]],Tabela2[],4,0),0)</f>
        <v>1.85</v>
      </c>
      <c r="AF1139" s="48">
        <f>IFERROR(VLOOKUP(Tabela3[[#This Row],[Produto]],Tabela2[],5,0),0)</f>
        <v>0.54000000000000015</v>
      </c>
      <c r="AG1139" s="48">
        <f>IFERROR(VLOOKUP(Tabela3[[#This Row],[Produto]],Tabela2[],6,0),0)</f>
        <v>0</v>
      </c>
      <c r="AH1139" s="40">
        <f>IFERROR(VLOOKUP(Tabela3[[#This Row],[Produto]],Tabela2[],7,0),0)</f>
        <v>0</v>
      </c>
      <c r="AI1139" s="40">
        <f>IFERROR(VLOOKUP(Tabela3[[#This Row],[Produto]],Tabela2[],8,0),0)</f>
        <v>0</v>
      </c>
      <c r="AJ1139" s="35">
        <f ca="1">IFERROR(VLOOKUP(Tabela3[[#This Row],[Produto]],Tabela2[],13,0),0)</f>
        <v>17.600000000000001</v>
      </c>
      <c r="AK1139" s="48" t="str">
        <f>IFERROR(VLOOKUP(Tabela3[[#This Row],[Produto]],Tabela2[],14,0),0)</f>
        <v>Protec</v>
      </c>
      <c r="AL1139" s="40">
        <f>IFERROR(VLOOKUP(Tabela3[[#This Row],[Produto]],Tabela2[],15,0),0)</f>
        <v>0</v>
      </c>
      <c r="AM1139" s="36">
        <f ca="1">(Tabela3[[#This Row],[Custo Usinagem]]+Tabela3[[#This Row],[Custo / Pç]])*1.2</f>
        <v>41.980005867779539</v>
      </c>
      <c r="AN1139" s="36">
        <f ca="1">Tabela3[[#This Row],[Valor Mínimo Venda]]*1.15</f>
        <v>48.277006747946466</v>
      </c>
      <c r="AO1139" s="36">
        <f ca="1">Tabela3[[#This Row],[Tabela 1]]*1.08</f>
        <v>52.139167287782186</v>
      </c>
      <c r="AP1139" s="36">
        <f ca="1">Tabela3[[#This Row],[Tabela 2]]*1.15</f>
        <v>59.96004238094951</v>
      </c>
    </row>
    <row r="1140" spans="1:42">
      <c r="A1140" s="9">
        <v>46135</v>
      </c>
      <c r="B1140" s="9" t="s">
        <v>118</v>
      </c>
      <c r="C1140" s="14">
        <v>9557</v>
      </c>
      <c r="D1140" s="6" t="s">
        <v>46</v>
      </c>
      <c r="E1140" s="6" t="s">
        <v>44</v>
      </c>
      <c r="F1140" s="6">
        <v>24</v>
      </c>
      <c r="G1140" s="15">
        <v>0.16458333333333333</v>
      </c>
      <c r="H1140" s="16">
        <v>0</v>
      </c>
      <c r="I1140" s="35">
        <f ca="1">IFERROR(Tabela3[[#This Row],[Custo Total]]/Tabela3[[#This Row],[Aluminio Util]],0)</f>
        <v>24.502340470827072</v>
      </c>
      <c r="J1140" s="35">
        <f ca="1">Tabela3[[#This Row],[Custo Total]]/Tabela3[[#This Row],[Realizado]]</f>
        <v>46.554446894571434</v>
      </c>
      <c r="K1140" s="37">
        <f>IFERROR(Tabela3[[#This Row],[Qtde Cx Produzida]]/Tabela3[[#This Row],[Tempo]]/24,0)</f>
        <v>6.075949367088608</v>
      </c>
      <c r="L1140" s="37">
        <f>Tabela3[[#This Row],[Qtde Cx Produzida]]*Tabela3[[#This Row],[Qdt Peça Placa]]</f>
        <v>48</v>
      </c>
      <c r="M1140" s="37">
        <f>Tabela3[[#This Row],[Previsto]]-Tabela3[[#This Row],[Perda Pçs]]</f>
        <v>48</v>
      </c>
      <c r="N1140" s="38">
        <f>IFERROR(Tabela3[[#This Row],[Perda Pçs]]/Tabela3[[#This Row],[Previsto]],0)</f>
        <v>0</v>
      </c>
      <c r="O1140" s="39">
        <f>IFERROR(IF(Tabela3[[#This Row],[Qtde Cx Produzida]] &lt;&gt; 0, Tabela3[[#This Row],[Tempo]] / Tabela3[[#This Row],[Qtde Cx Produzida]], 0),0)</f>
        <v>6.8576388888888888E-3</v>
      </c>
      <c r="P1140" s="57">
        <f>IFERROR(Tabela3[[#This Row],[Perda Pçs]]/Tabela3[[#This Row],[Qdt Peça Placa]],0)</f>
        <v>0</v>
      </c>
      <c r="Q1140" s="37">
        <f>IFERROR(Tabela3[[#This Row],[Realizado]]*Tabela3[[#This Row],[Peso Util/Pç]],0)</f>
        <v>91.199999999999989</v>
      </c>
      <c r="R1140" s="37">
        <f>IFERROR(Tabela3[[#This Row],[Peso Total Galho]]*Tabela3[[#This Row],[Qtde Cx Produzida]]*1.055,0)</f>
        <v>119.004</v>
      </c>
      <c r="S1140" s="37">
        <f>(Tabela3[[#This Row],[Aluminio Bruto]]-Tabela3[[#This Row],[Aluminio Util]])*0.9</f>
        <v>25.023600000000016</v>
      </c>
      <c r="T1140" s="37">
        <f>Tabela3[[#This Row],[Aluminio Bruto]]/OleoKGAluminio</f>
        <v>50.064828929306302</v>
      </c>
      <c r="U1140" s="35">
        <f>IFERROR((VLOOKUP(Tabela3[[#This Row],[Moldador]],Tabela1[],5,)+(VLOOKUP(Tabela3[[#This Row],[Ajudante]],Tabela1[],5,))*3.5),0)</f>
        <v>126.0945</v>
      </c>
      <c r="V1140" s="35">
        <f>IFERROR(Tabela3[[#This Row],[Custo M.O. / H]]/((Tabela3[[#This Row],[Realizado]]/Tabela3[[#This Row],[Qdt Peça Placa]])/Tabela3[[#This Row],[Tempo]]/24),)</f>
        <v>20.753053124999997</v>
      </c>
      <c r="W1140" s="35">
        <f>Tabela3[[#This Row],[Custo / Cx Moldada]]*Tabela3[[#This Row],[Qtde Cx Produzida]]</f>
        <v>498.07327499999997</v>
      </c>
      <c r="X1140" s="35">
        <f ca="1">Tabela3[[#This Row],[Aluminio Util]]*Tabela3[[#This Row],[Custo/Kg]]</f>
        <v>1605.12</v>
      </c>
      <c r="Y1140" s="35">
        <f>IFERROR(VLOOKUP(Tabela3[[#This Row],[Data]],Tabela461213[],2,1)*(Tabela3[[#This Row],[Qtde Cx Produzida]]*Tabela3[[#This Row],[Qde macho / CX]]*Tabela3[[#This Row],[Peso Macho]]),)</f>
        <v>0</v>
      </c>
      <c r="Z1140" s="35">
        <f>IFERROR(Tabela3[[#This Row],[Qtde Oleo]]*(VLOOKUP(Tabela3[[#This Row],[Data]],CompraOleo[],3,TRUE))*1.05,0)</f>
        <v>131.42017593942904</v>
      </c>
      <c r="AA1140" s="47">
        <f ca="1">(Tabela3[[#This Row],[Custo Oleo]]+Tabela3[[#This Row],[Custo Aluminio]]+Tabela3[[#This Row],[Custo M.O. Total]]+Tabela3[[#This Row],[Custo Machos]])</f>
        <v>2234.6134509394287</v>
      </c>
      <c r="AB1140" s="47">
        <f ca="1">Tabela3[[#This Row],[Custo Total]]*Tabela3[[#This Row],[% Perda]]</f>
        <v>0</v>
      </c>
      <c r="AC1140" s="40">
        <f>IFERROR(VLOOKUP(Tabela3[[#This Row],[Produto]],Tabela2[],2,0),0)</f>
        <v>2</v>
      </c>
      <c r="AD1140" s="48">
        <f>IFERROR(VLOOKUP(Tabela3[[#This Row],[Produto]],Tabela2[],3,0),0)</f>
        <v>1.9</v>
      </c>
      <c r="AE1140" s="48">
        <f>IFERROR(VLOOKUP(Tabela3[[#This Row],[Produto]],Tabela2[],4,0),0)</f>
        <v>4.7</v>
      </c>
      <c r="AF1140" s="48">
        <f>IFERROR(VLOOKUP(Tabela3[[#This Row],[Produto]],Tabela2[],5,0),0)</f>
        <v>0.81000000000000039</v>
      </c>
      <c r="AG1140" s="48">
        <f>IFERROR(VLOOKUP(Tabela3[[#This Row],[Produto]],Tabela2[],6,0),0)</f>
        <v>0</v>
      </c>
      <c r="AH1140" s="40">
        <f>IFERROR(VLOOKUP(Tabela3[[#This Row],[Produto]],Tabela2[],7,0),0)</f>
        <v>0</v>
      </c>
      <c r="AI1140" s="40">
        <f>IFERROR(VLOOKUP(Tabela3[[#This Row],[Produto]],Tabela2[],8,0),0)</f>
        <v>0</v>
      </c>
      <c r="AJ1140" s="35">
        <f ca="1">IFERROR(VLOOKUP(Tabela3[[#This Row],[Produto]],Tabela2[],13,0),0)</f>
        <v>17.600000000000001</v>
      </c>
      <c r="AK1140" s="48" t="str">
        <f>IFERROR(VLOOKUP(Tabela3[[#This Row],[Produto]],Tabela2[],14,0),0)</f>
        <v>Marcelo</v>
      </c>
      <c r="AL1140" s="40">
        <f>IFERROR(VLOOKUP(Tabela3[[#This Row],[Produto]],Tabela2[],15,0),0)</f>
        <v>0</v>
      </c>
      <c r="AM1140" s="36">
        <f ca="1">(Tabela3[[#This Row],[Custo Usinagem]]+Tabela3[[#This Row],[Custo / Pç]])*1.2</f>
        <v>55.865336273485717</v>
      </c>
      <c r="AN1140" s="36">
        <f ca="1">Tabela3[[#This Row],[Valor Mínimo Venda]]*1.15</f>
        <v>64.245136714508575</v>
      </c>
      <c r="AO1140" s="36">
        <f ca="1">Tabela3[[#This Row],[Tabela 1]]*1.08</f>
        <v>69.384747651669272</v>
      </c>
      <c r="AP1140" s="36">
        <f ca="1">Tabela3[[#This Row],[Tabela 2]]*1.15</f>
        <v>79.79245979941966</v>
      </c>
    </row>
    <row r="1141" spans="1:42">
      <c r="A1141" s="9">
        <v>46135</v>
      </c>
      <c r="B1141" s="9" t="s">
        <v>118</v>
      </c>
      <c r="C1141" s="14">
        <v>9557</v>
      </c>
      <c r="D1141" s="6" t="s">
        <v>44</v>
      </c>
      <c r="E1141" s="6" t="s">
        <v>47</v>
      </c>
      <c r="F1141" s="6">
        <v>8</v>
      </c>
      <c r="G1141" s="15">
        <v>4.0972222222222222E-2</v>
      </c>
      <c r="H1141" s="16">
        <v>0</v>
      </c>
      <c r="I1141" s="35">
        <f ca="1">IFERROR(Tabela3[[#This Row],[Custo Total]]/Tabela3[[#This Row],[Aluminio Util]],0)</f>
        <v>22.274053685830729</v>
      </c>
      <c r="J1141" s="35">
        <f ca="1">Tabela3[[#This Row],[Custo Total]]/Tabela3[[#This Row],[Realizado]]</f>
        <v>42.320702003078381</v>
      </c>
      <c r="K1141" s="37">
        <f>IFERROR(Tabela3[[#This Row],[Qtde Cx Produzida]]/Tabela3[[#This Row],[Tempo]]/24,0)</f>
        <v>8.1355932203389827</v>
      </c>
      <c r="L1141" s="37">
        <f>Tabela3[[#This Row],[Qtde Cx Produzida]]*Tabela3[[#This Row],[Qdt Peça Placa]]</f>
        <v>16</v>
      </c>
      <c r="M1141" s="37">
        <f>Tabela3[[#This Row],[Previsto]]-Tabela3[[#This Row],[Perda Pçs]]</f>
        <v>16</v>
      </c>
      <c r="N1141" s="38">
        <f>IFERROR(Tabela3[[#This Row],[Perda Pçs]]/Tabela3[[#This Row],[Previsto]],0)</f>
        <v>0</v>
      </c>
      <c r="O1141" s="39">
        <f>IFERROR(IF(Tabela3[[#This Row],[Qtde Cx Produzida]] &lt;&gt; 0, Tabela3[[#This Row],[Tempo]] / Tabela3[[#This Row],[Qtde Cx Produzida]], 0),0)</f>
        <v>5.1215277777777778E-3</v>
      </c>
      <c r="P1141" s="57">
        <f>IFERROR(Tabela3[[#This Row],[Perda Pçs]]/Tabela3[[#This Row],[Qdt Peça Placa]],0)</f>
        <v>0</v>
      </c>
      <c r="Q1141" s="37">
        <f>IFERROR(Tabela3[[#This Row],[Realizado]]*Tabela3[[#This Row],[Peso Util/Pç]],0)</f>
        <v>30.4</v>
      </c>
      <c r="R1141" s="37">
        <f>IFERROR(Tabela3[[#This Row],[Peso Total Galho]]*Tabela3[[#This Row],[Qtde Cx Produzida]]*1.055,0)</f>
        <v>39.667999999999999</v>
      </c>
      <c r="S1141" s="37">
        <f>(Tabela3[[#This Row],[Aluminio Bruto]]-Tabela3[[#This Row],[Aluminio Util]])*0.9</f>
        <v>8.3412000000000006</v>
      </c>
      <c r="T1141" s="37">
        <f>Tabela3[[#This Row],[Aluminio Bruto]]/OleoKGAluminio</f>
        <v>16.688276309768767</v>
      </c>
      <c r="U1141" s="35">
        <f>IFERROR((VLOOKUP(Tabela3[[#This Row],[Moldador]],Tabela1[],5,)+(VLOOKUP(Tabela3[[#This Row],[Ajudante]],Tabela1[],5,))*3.5),0)</f>
        <v>99.95034583333333</v>
      </c>
      <c r="V1141" s="35">
        <f>IFERROR(Tabela3[[#This Row],[Custo M.O. / H]]/((Tabela3[[#This Row],[Realizado]]/Tabela3[[#This Row],[Qdt Peça Placa]])/Tabela3[[#This Row],[Tempo]]/24),)</f>
        <v>12.285563342013889</v>
      </c>
      <c r="W1141" s="35">
        <f>Tabela3[[#This Row],[Custo / Cx Moldada]]*Tabela3[[#This Row],[Qtde Cx Produzida]]</f>
        <v>98.284506736111112</v>
      </c>
      <c r="X1141" s="35">
        <f ca="1">Tabela3[[#This Row],[Aluminio Util]]*Tabela3[[#This Row],[Custo/Kg]]</f>
        <v>535.04</v>
      </c>
      <c r="Y1141" s="35">
        <f>IFERROR(VLOOKUP(Tabela3[[#This Row],[Data]],Tabela461213[],2,1)*(Tabela3[[#This Row],[Qtde Cx Produzida]]*Tabela3[[#This Row],[Qde macho / CX]]*Tabela3[[#This Row],[Peso Macho]]),)</f>
        <v>0</v>
      </c>
      <c r="Z1141" s="35">
        <f>IFERROR(Tabela3[[#This Row],[Qtde Oleo]]*(VLOOKUP(Tabela3[[#This Row],[Data]],CompraOleo[],3,TRUE))*1.05,0)</f>
        <v>43.806725313143019</v>
      </c>
      <c r="AA1141" s="47">
        <f ca="1">(Tabela3[[#This Row],[Custo Oleo]]+Tabela3[[#This Row],[Custo Aluminio]]+Tabela3[[#This Row],[Custo M.O. Total]]+Tabela3[[#This Row],[Custo Machos]])</f>
        <v>677.13123204925409</v>
      </c>
      <c r="AB1141" s="47">
        <f ca="1">Tabela3[[#This Row],[Custo Total]]*Tabela3[[#This Row],[% Perda]]</f>
        <v>0</v>
      </c>
      <c r="AC1141" s="40">
        <f>IFERROR(VLOOKUP(Tabela3[[#This Row],[Produto]],Tabela2[],2,0),0)</f>
        <v>2</v>
      </c>
      <c r="AD1141" s="48">
        <f>IFERROR(VLOOKUP(Tabela3[[#This Row],[Produto]],Tabela2[],3,0),0)</f>
        <v>1.9</v>
      </c>
      <c r="AE1141" s="48">
        <f>IFERROR(VLOOKUP(Tabela3[[#This Row],[Produto]],Tabela2[],4,0),0)</f>
        <v>4.7</v>
      </c>
      <c r="AF1141" s="48">
        <f>IFERROR(VLOOKUP(Tabela3[[#This Row],[Produto]],Tabela2[],5,0),0)</f>
        <v>0.81000000000000039</v>
      </c>
      <c r="AG1141" s="48">
        <f>IFERROR(VLOOKUP(Tabela3[[#This Row],[Produto]],Tabela2[],6,0),0)</f>
        <v>0</v>
      </c>
      <c r="AH1141" s="40">
        <f>IFERROR(VLOOKUP(Tabela3[[#This Row],[Produto]],Tabela2[],7,0),0)</f>
        <v>0</v>
      </c>
      <c r="AI1141" s="40">
        <f>IFERROR(VLOOKUP(Tabela3[[#This Row],[Produto]],Tabela2[],8,0),0)</f>
        <v>0</v>
      </c>
      <c r="AJ1141" s="35">
        <f ca="1">IFERROR(VLOOKUP(Tabela3[[#This Row],[Produto]],Tabela2[],13,0),0)</f>
        <v>17.600000000000001</v>
      </c>
      <c r="AK1141" s="48" t="str">
        <f>IFERROR(VLOOKUP(Tabela3[[#This Row],[Produto]],Tabela2[],14,0),0)</f>
        <v>Marcelo</v>
      </c>
      <c r="AL1141" s="40">
        <f>IFERROR(VLOOKUP(Tabela3[[#This Row],[Produto]],Tabela2[],15,0),0)</f>
        <v>0</v>
      </c>
      <c r="AM1141" s="36">
        <f ca="1">(Tabela3[[#This Row],[Custo Usinagem]]+Tabela3[[#This Row],[Custo / Pç]])*1.2</f>
        <v>50.784842403694057</v>
      </c>
      <c r="AN1141" s="36">
        <f ca="1">Tabela3[[#This Row],[Valor Mínimo Venda]]*1.15</f>
        <v>58.402568764248159</v>
      </c>
      <c r="AO1141" s="36">
        <f ca="1">Tabela3[[#This Row],[Tabela 1]]*1.08</f>
        <v>63.074774265388015</v>
      </c>
      <c r="AP1141" s="36">
        <f ca="1">Tabela3[[#This Row],[Tabela 2]]*1.15</f>
        <v>72.535990405196216</v>
      </c>
    </row>
    <row r="1142" spans="1:42">
      <c r="A1142" s="9">
        <v>46136</v>
      </c>
      <c r="B1142" s="9" t="s">
        <v>118</v>
      </c>
      <c r="C1142" s="14">
        <v>9557</v>
      </c>
      <c r="D1142" s="6" t="s">
        <v>46</v>
      </c>
      <c r="E1142" s="6" t="s">
        <v>54</v>
      </c>
      <c r="F1142" s="6">
        <v>23</v>
      </c>
      <c r="G1142" s="15">
        <v>0.16666666666666666</v>
      </c>
      <c r="H1142" s="16">
        <v>0</v>
      </c>
      <c r="I1142" s="35">
        <f ca="1">IFERROR(Tabela3[[#This Row],[Custo Total]]/Tabela3[[#This Row],[Aluminio Util]],0)</f>
        <v>24.811926032898015</v>
      </c>
      <c r="J1142" s="35">
        <f ca="1">Tabela3[[#This Row],[Custo Total]]/Tabela3[[#This Row],[Realizado]]</f>
        <v>47.142659462506224</v>
      </c>
      <c r="K1142" s="37">
        <f>IFERROR(Tabela3[[#This Row],[Qtde Cx Produzida]]/Tabela3[[#This Row],[Tempo]]/24,0)</f>
        <v>5.75</v>
      </c>
      <c r="L1142" s="37">
        <f>Tabela3[[#This Row],[Qtde Cx Produzida]]*Tabela3[[#This Row],[Qdt Peça Placa]]</f>
        <v>46</v>
      </c>
      <c r="M1142" s="37">
        <f>Tabela3[[#This Row],[Previsto]]-Tabela3[[#This Row],[Perda Pçs]]</f>
        <v>46</v>
      </c>
      <c r="N1142" s="38">
        <f>IFERROR(Tabela3[[#This Row],[Perda Pçs]]/Tabela3[[#This Row],[Previsto]],0)</f>
        <v>0</v>
      </c>
      <c r="O1142" s="39">
        <f>IFERROR(IF(Tabela3[[#This Row],[Qtde Cx Produzida]] &lt;&gt; 0, Tabela3[[#This Row],[Tempo]] / Tabela3[[#This Row],[Qtde Cx Produzida]], 0),0)</f>
        <v>7.2463768115942021E-3</v>
      </c>
      <c r="P1142" s="57">
        <f>IFERROR(Tabela3[[#This Row],[Perda Pçs]]/Tabela3[[#This Row],[Qdt Peça Placa]],0)</f>
        <v>0</v>
      </c>
      <c r="Q1142" s="37">
        <f>IFERROR(Tabela3[[#This Row],[Realizado]]*Tabela3[[#This Row],[Peso Util/Pç]],0)</f>
        <v>87.399999999999991</v>
      </c>
      <c r="R1142" s="37">
        <f>IFERROR(Tabela3[[#This Row],[Peso Total Galho]]*Tabela3[[#This Row],[Qtde Cx Produzida]]*1.055,0)</f>
        <v>114.0455</v>
      </c>
      <c r="S1142" s="37">
        <f>(Tabela3[[#This Row],[Aluminio Bruto]]-Tabela3[[#This Row],[Aluminio Util]])*0.9</f>
        <v>23.980950000000011</v>
      </c>
      <c r="T1142" s="37">
        <f>Tabela3[[#This Row],[Aluminio Bruto]]/OleoKGAluminio</f>
        <v>47.978794390585207</v>
      </c>
      <c r="U1142" s="35">
        <f>IFERROR((VLOOKUP(Tabela3[[#This Row],[Moldador]],Tabela1[],5,)+(VLOOKUP(Tabela3[[#This Row],[Ajudante]],Tabela1[],5,))*3.5),0)</f>
        <v>126.0945</v>
      </c>
      <c r="V1142" s="35">
        <f>IFERROR(Tabela3[[#This Row],[Custo M.O. / H]]/((Tabela3[[#This Row],[Realizado]]/Tabela3[[#This Row],[Qdt Peça Placa]])/Tabela3[[#This Row],[Tempo]]/24),)</f>
        <v>21.929478260869566</v>
      </c>
      <c r="W1142" s="35">
        <f>Tabela3[[#This Row],[Custo / Cx Moldada]]*Tabela3[[#This Row],[Qtde Cx Produzida]]</f>
        <v>504.37799999999999</v>
      </c>
      <c r="X1142" s="35">
        <f ca="1">Tabela3[[#This Row],[Aluminio Util]]*Tabela3[[#This Row],[Custo/Kg]]</f>
        <v>1538.24</v>
      </c>
      <c r="Y1142" s="35">
        <f>IFERROR(VLOOKUP(Tabela3[[#This Row],[Data]],Tabela461213[],2,1)*(Tabela3[[#This Row],[Qtde Cx Produzida]]*Tabela3[[#This Row],[Qde macho / CX]]*Tabela3[[#This Row],[Peso Macho]]),)</f>
        <v>0</v>
      </c>
      <c r="Z1142" s="35">
        <f>IFERROR(Tabela3[[#This Row],[Qtde Oleo]]*(VLOOKUP(Tabela3[[#This Row],[Data]],CompraOleo[],3,TRUE))*1.05,0)</f>
        <v>125.94433527528618</v>
      </c>
      <c r="AA1142" s="47">
        <f ca="1">(Tabela3[[#This Row],[Custo Oleo]]+Tabela3[[#This Row],[Custo Aluminio]]+Tabela3[[#This Row],[Custo M.O. Total]]+Tabela3[[#This Row],[Custo Machos]])</f>
        <v>2168.5623352752864</v>
      </c>
      <c r="AB1142" s="47">
        <f ca="1">Tabela3[[#This Row],[Custo Total]]*Tabela3[[#This Row],[% Perda]]</f>
        <v>0</v>
      </c>
      <c r="AC1142" s="40">
        <f>IFERROR(VLOOKUP(Tabela3[[#This Row],[Produto]],Tabela2[],2,0),0)</f>
        <v>2</v>
      </c>
      <c r="AD1142" s="48">
        <f>IFERROR(VLOOKUP(Tabela3[[#This Row],[Produto]],Tabela2[],3,0),0)</f>
        <v>1.9</v>
      </c>
      <c r="AE1142" s="48">
        <f>IFERROR(VLOOKUP(Tabela3[[#This Row],[Produto]],Tabela2[],4,0),0)</f>
        <v>4.7</v>
      </c>
      <c r="AF1142" s="48">
        <f>IFERROR(VLOOKUP(Tabela3[[#This Row],[Produto]],Tabela2[],5,0),0)</f>
        <v>0.81000000000000039</v>
      </c>
      <c r="AG1142" s="48">
        <f>IFERROR(VLOOKUP(Tabela3[[#This Row],[Produto]],Tabela2[],6,0),0)</f>
        <v>0</v>
      </c>
      <c r="AH1142" s="40">
        <f>IFERROR(VLOOKUP(Tabela3[[#This Row],[Produto]],Tabela2[],7,0),0)</f>
        <v>0</v>
      </c>
      <c r="AI1142" s="40">
        <f>IFERROR(VLOOKUP(Tabela3[[#This Row],[Produto]],Tabela2[],8,0),0)</f>
        <v>0</v>
      </c>
      <c r="AJ1142" s="35">
        <f ca="1">IFERROR(VLOOKUP(Tabela3[[#This Row],[Produto]],Tabela2[],13,0),0)</f>
        <v>17.600000000000001</v>
      </c>
      <c r="AK1142" s="48" t="str">
        <f>IFERROR(VLOOKUP(Tabela3[[#This Row],[Produto]],Tabela2[],14,0),0)</f>
        <v>Marcelo</v>
      </c>
      <c r="AL1142" s="40">
        <f>IFERROR(VLOOKUP(Tabela3[[#This Row],[Produto]],Tabela2[],15,0),0)</f>
        <v>0</v>
      </c>
      <c r="AM1142" s="36">
        <f ca="1">(Tabela3[[#This Row],[Custo Usinagem]]+Tabela3[[#This Row],[Custo / Pç]])*1.2</f>
        <v>56.571191355007464</v>
      </c>
      <c r="AN1142" s="36">
        <f ca="1">Tabela3[[#This Row],[Valor Mínimo Venda]]*1.15</f>
        <v>65.056870058258582</v>
      </c>
      <c r="AO1142" s="36">
        <f ca="1">Tabela3[[#This Row],[Tabela 1]]*1.08</f>
        <v>70.261419662919266</v>
      </c>
      <c r="AP1142" s="36">
        <f ca="1">Tabela3[[#This Row],[Tabela 2]]*1.15</f>
        <v>80.800632612357148</v>
      </c>
    </row>
    <row r="1143" spans="1:42">
      <c r="A1143" s="9">
        <v>46136</v>
      </c>
      <c r="B1143" s="9" t="s">
        <v>183</v>
      </c>
      <c r="C1143" s="14">
        <v>9573</v>
      </c>
      <c r="D1143" s="6" t="s">
        <v>44</v>
      </c>
      <c r="E1143" s="6" t="s">
        <v>47</v>
      </c>
      <c r="F1143" s="6">
        <v>8</v>
      </c>
      <c r="G1143" s="15">
        <v>8.6805555555555552E-2</v>
      </c>
      <c r="H1143" s="16">
        <v>0</v>
      </c>
      <c r="I1143" s="35">
        <f ca="1">IFERROR(Tabela3[[#This Row],[Custo Total]]/Tabela3[[#This Row],[Aluminio Util]],0)</f>
        <v>29.409581335717924</v>
      </c>
      <c r="J1143" s="35">
        <f ca="1">Tabela3[[#This Row],[Custo Total]]/Tabela3[[#This Row],[Realizado]]</f>
        <v>73.523953339294806</v>
      </c>
      <c r="K1143" s="37">
        <f>IFERROR(Tabela3[[#This Row],[Qtde Cx Produzida]]/Tabela3[[#This Row],[Tempo]]/24,0)</f>
        <v>3.84</v>
      </c>
      <c r="L1143" s="37">
        <f>Tabela3[[#This Row],[Qtde Cx Produzida]]*Tabela3[[#This Row],[Qdt Peça Placa]]</f>
        <v>8</v>
      </c>
      <c r="M1143" s="37">
        <f>Tabela3[[#This Row],[Previsto]]-Tabela3[[#This Row],[Perda Pçs]]</f>
        <v>8</v>
      </c>
      <c r="N1143" s="38">
        <f>IFERROR(Tabela3[[#This Row],[Perda Pçs]]/Tabela3[[#This Row],[Previsto]],0)</f>
        <v>0</v>
      </c>
      <c r="O1143" s="39">
        <f>IFERROR(IF(Tabela3[[#This Row],[Qtde Cx Produzida]] &lt;&gt; 0, Tabela3[[#This Row],[Tempo]] / Tabela3[[#This Row],[Qtde Cx Produzida]], 0),0)</f>
        <v>1.0850694444444444E-2</v>
      </c>
      <c r="P1143" s="57">
        <f>IFERROR(Tabela3[[#This Row],[Perda Pçs]]/Tabela3[[#This Row],[Qdt Peça Placa]],0)</f>
        <v>0</v>
      </c>
      <c r="Q1143" s="37">
        <f>IFERROR(Tabela3[[#This Row],[Realizado]]*Tabela3[[#This Row],[Peso Util/Pç]],0)</f>
        <v>20</v>
      </c>
      <c r="R1143" s="37">
        <f>IFERROR(Tabela3[[#This Row],[Peso Total Galho]]*Tabela3[[#This Row],[Qtde Cx Produzida]]*1.055,0)</f>
        <v>25.32</v>
      </c>
      <c r="S1143" s="37">
        <f>(Tabela3[[#This Row],[Aluminio Bruto]]-Tabela3[[#This Row],[Aluminio Util]])*0.9</f>
        <v>4.7880000000000003</v>
      </c>
      <c r="T1143" s="37">
        <f>Tabela3[[#This Row],[Aluminio Bruto]]/OleoKGAluminio</f>
        <v>10.652091261554531</v>
      </c>
      <c r="U1143" s="35">
        <f>IFERROR((VLOOKUP(Tabela3[[#This Row],[Moldador]],Tabela1[],5,)+(VLOOKUP(Tabela3[[#This Row],[Ajudante]],Tabela1[],5,))*3.5),0)</f>
        <v>99.95034583333333</v>
      </c>
      <c r="V1143" s="35">
        <f>IFERROR(Tabela3[[#This Row],[Custo M.O. / H]]/((Tabela3[[#This Row],[Realizado]]/Tabela3[[#This Row],[Qdt Peça Placa]])/Tabela3[[#This Row],[Tempo]]/24),)</f>
        <v>26.028735894097224</v>
      </c>
      <c r="W1143" s="35">
        <f>Tabela3[[#This Row],[Custo / Cx Moldada]]*Tabela3[[#This Row],[Qtde Cx Produzida]]</f>
        <v>208.22988715277779</v>
      </c>
      <c r="X1143" s="35">
        <f ca="1">Tabela3[[#This Row],[Aluminio Util]]*Tabela3[[#This Row],[Custo/Kg]]</f>
        <v>352</v>
      </c>
      <c r="Y1143" s="35">
        <f>IFERROR(VLOOKUP(Tabela3[[#This Row],[Data]],Tabela461213[],2,1)*(Tabela3[[#This Row],[Qtde Cx Produzida]]*Tabela3[[#This Row],[Qde macho / CX]]*Tabela3[[#This Row],[Peso Macho]]),)</f>
        <v>0</v>
      </c>
      <c r="Z1143" s="35">
        <f>IFERROR(Tabela3[[#This Row],[Qtde Oleo]]*(VLOOKUP(Tabela3[[#This Row],[Data]],CompraOleo[],3,TRUE))*1.05,0)</f>
        <v>27.961739561580647</v>
      </c>
      <c r="AA1143" s="47">
        <f ca="1">(Tabela3[[#This Row],[Custo Oleo]]+Tabela3[[#This Row],[Custo Aluminio]]+Tabela3[[#This Row],[Custo M.O. Total]]+Tabela3[[#This Row],[Custo Machos]])</f>
        <v>588.19162671435845</v>
      </c>
      <c r="AB1143" s="47">
        <f ca="1">Tabela3[[#This Row],[Custo Total]]*Tabela3[[#This Row],[% Perda]]</f>
        <v>0</v>
      </c>
      <c r="AC1143" s="40">
        <f>IFERROR(VLOOKUP(Tabela3[[#This Row],[Produto]],Tabela2[],2,0),0)</f>
        <v>1</v>
      </c>
      <c r="AD1143" s="48">
        <f>IFERROR(VLOOKUP(Tabela3[[#This Row],[Produto]],Tabela2[],3,0),0)</f>
        <v>2.5</v>
      </c>
      <c r="AE1143" s="48">
        <f>IFERROR(VLOOKUP(Tabela3[[#This Row],[Produto]],Tabela2[],4,0),0)</f>
        <v>3</v>
      </c>
      <c r="AF1143" s="48">
        <f>IFERROR(VLOOKUP(Tabela3[[#This Row],[Produto]],Tabela2[],5,0),0)</f>
        <v>0.45</v>
      </c>
      <c r="AG1143" s="48">
        <f>IFERROR(VLOOKUP(Tabela3[[#This Row],[Produto]],Tabela2[],6,0),0)</f>
        <v>0</v>
      </c>
      <c r="AH1143" s="40">
        <f>IFERROR(VLOOKUP(Tabela3[[#This Row],[Produto]],Tabela2[],7,0),0)</f>
        <v>0</v>
      </c>
      <c r="AI1143" s="40">
        <f>IFERROR(VLOOKUP(Tabela3[[#This Row],[Produto]],Tabela2[],8,0),0)</f>
        <v>0</v>
      </c>
      <c r="AJ1143" s="35">
        <f ca="1">IFERROR(VLOOKUP(Tabela3[[#This Row],[Produto]],Tabela2[],13,0),0)</f>
        <v>17.600000000000001</v>
      </c>
      <c r="AK1143" s="48" t="str">
        <f>IFERROR(VLOOKUP(Tabela3[[#This Row],[Produto]],Tabela2[],14,0),0)</f>
        <v>Oscar</v>
      </c>
      <c r="AL1143" s="40">
        <f>IFERROR(VLOOKUP(Tabela3[[#This Row],[Produto]],Tabela2[],15,0),0)</f>
        <v>0</v>
      </c>
      <c r="AM1143" s="36">
        <f ca="1">(Tabela3[[#This Row],[Custo Usinagem]]+Tabela3[[#This Row],[Custo / Pç]])*1.2</f>
        <v>88.228744007153765</v>
      </c>
      <c r="AN1143" s="36">
        <f ca="1">Tabela3[[#This Row],[Valor Mínimo Venda]]*1.15</f>
        <v>101.46305560822682</v>
      </c>
      <c r="AO1143" s="36">
        <f ca="1">Tabela3[[#This Row],[Tabela 1]]*1.08</f>
        <v>109.58010005688497</v>
      </c>
      <c r="AP1143" s="36">
        <f ca="1">Tabela3[[#This Row],[Tabela 2]]*1.15</f>
        <v>126.01711506541771</v>
      </c>
    </row>
    <row r="1144" spans="1:42">
      <c r="A1144" s="9">
        <v>46136</v>
      </c>
      <c r="B1144" s="9" t="s">
        <v>123</v>
      </c>
      <c r="C1144" s="14">
        <v>9574</v>
      </c>
      <c r="D1144" s="6" t="s">
        <v>46</v>
      </c>
      <c r="E1144" s="6" t="s">
        <v>44</v>
      </c>
      <c r="F1144" s="6">
        <v>2</v>
      </c>
      <c r="G1144" s="15">
        <v>2.0833333333333332E-2</v>
      </c>
      <c r="H1144" s="16">
        <v>0</v>
      </c>
      <c r="I1144" s="35">
        <f ca="1">IFERROR(Tabela3[[#This Row],[Custo Total]]/Tabela3[[#This Row],[Aluminio Util]],0)</f>
        <v>33.028204972995916</v>
      </c>
      <c r="J1144" s="35">
        <f ca="1">Tabela3[[#This Row],[Custo Total]]/Tabela3[[#This Row],[Realizado]]</f>
        <v>18.991217859472648</v>
      </c>
      <c r="K1144" s="37">
        <f>IFERROR(Tabela3[[#This Row],[Qtde Cx Produzida]]/Tabela3[[#This Row],[Tempo]]/24,0)</f>
        <v>4</v>
      </c>
      <c r="L1144" s="37">
        <f>Tabela3[[#This Row],[Qtde Cx Produzida]]*Tabela3[[#This Row],[Qdt Peça Placa]]</f>
        <v>8</v>
      </c>
      <c r="M1144" s="37">
        <f>Tabela3[[#This Row],[Previsto]]-Tabela3[[#This Row],[Perda Pçs]]</f>
        <v>8</v>
      </c>
      <c r="N1144" s="38">
        <f>IFERROR(Tabela3[[#This Row],[Perda Pçs]]/Tabela3[[#This Row],[Previsto]],0)</f>
        <v>0</v>
      </c>
      <c r="O1144" s="39">
        <f>IFERROR(IF(Tabela3[[#This Row],[Qtde Cx Produzida]] &lt;&gt; 0, Tabela3[[#This Row],[Tempo]] / Tabela3[[#This Row],[Qtde Cx Produzida]], 0),0)</f>
        <v>1.0416666666666666E-2</v>
      </c>
      <c r="P1144" s="57">
        <f>IFERROR(Tabela3[[#This Row],[Perda Pçs]]/Tabela3[[#This Row],[Qdt Peça Placa]],0)</f>
        <v>0</v>
      </c>
      <c r="Q1144" s="37">
        <f>IFERROR(Tabela3[[#This Row],[Realizado]]*Tabela3[[#This Row],[Peso Util/Pç]],0)</f>
        <v>4.5999999999999996</v>
      </c>
      <c r="R1144" s="37">
        <f>IFERROR(Tabela3[[#This Row],[Peso Total Galho]]*Tabela3[[#This Row],[Qtde Cx Produzida]]*1.055,0)</f>
        <v>7.1739999999999995</v>
      </c>
      <c r="S1144" s="37">
        <f>(Tabela3[[#This Row],[Aluminio Bruto]]-Tabela3[[#This Row],[Aluminio Util]])*0.9</f>
        <v>2.3165999999999998</v>
      </c>
      <c r="T1144" s="37">
        <f>Tabela3[[#This Row],[Aluminio Bruto]]/OleoKGAluminio</f>
        <v>3.018092524107117</v>
      </c>
      <c r="U1144" s="35">
        <f>IFERROR((VLOOKUP(Tabela3[[#This Row],[Moldador]],Tabela1[],5,)+(VLOOKUP(Tabela3[[#This Row],[Ajudante]],Tabela1[],5,))*3.5),0)</f>
        <v>126.0945</v>
      </c>
      <c r="V1144" s="35">
        <f>IFERROR(Tabela3[[#This Row],[Custo M.O. / H]]/((Tabela3[[#This Row],[Realizado]]/Tabela3[[#This Row],[Qdt Peça Placa]])/Tabela3[[#This Row],[Tempo]]/24),)</f>
        <v>31.523624999999999</v>
      </c>
      <c r="W1144" s="35">
        <f>Tabela3[[#This Row],[Custo / Cx Moldada]]*Tabela3[[#This Row],[Qtde Cx Produzida]]</f>
        <v>63.047249999999998</v>
      </c>
      <c r="X1144" s="35">
        <f ca="1">Tabela3[[#This Row],[Aluminio Util]]*Tabela3[[#This Row],[Custo/Kg]]</f>
        <v>80.959999999999994</v>
      </c>
      <c r="Y1144" s="35">
        <f>IFERROR(VLOOKUP(Tabela3[[#This Row],[Data]],Tabela461213[],2,1)*(Tabela3[[#This Row],[Qtde Cx Produzida]]*Tabela3[[#This Row],[Qde macho / CX]]*Tabela3[[#This Row],[Peso Macho]]),)</f>
        <v>0</v>
      </c>
      <c r="Z1144" s="35">
        <f>IFERROR(Tabela3[[#This Row],[Qtde Oleo]]*(VLOOKUP(Tabela3[[#This Row],[Data]],CompraOleo[],3,TRUE))*1.05,0)</f>
        <v>7.9224928757811828</v>
      </c>
      <c r="AA1144" s="47">
        <f ca="1">(Tabela3[[#This Row],[Custo Oleo]]+Tabela3[[#This Row],[Custo Aluminio]]+Tabela3[[#This Row],[Custo M.O. Total]]+Tabela3[[#This Row],[Custo Machos]])</f>
        <v>151.92974287578119</v>
      </c>
      <c r="AB1144" s="47">
        <f ca="1">Tabela3[[#This Row],[Custo Total]]*Tabela3[[#This Row],[% Perda]]</f>
        <v>0</v>
      </c>
      <c r="AC1144" s="40">
        <f>IFERROR(VLOOKUP(Tabela3[[#This Row],[Produto]],Tabela2[],2,0),0)</f>
        <v>4</v>
      </c>
      <c r="AD1144" s="48">
        <f>IFERROR(VLOOKUP(Tabela3[[#This Row],[Produto]],Tabela2[],3,0),0)</f>
        <v>0.57499999999999996</v>
      </c>
      <c r="AE1144" s="48">
        <f>IFERROR(VLOOKUP(Tabela3[[#This Row],[Produto]],Tabela2[],4,0),0)</f>
        <v>3.4</v>
      </c>
      <c r="AF1144" s="48">
        <f>IFERROR(VLOOKUP(Tabela3[[#This Row],[Produto]],Tabela2[],5,0),0)</f>
        <v>0.9900000000000001</v>
      </c>
      <c r="AG1144" s="48">
        <f>IFERROR(VLOOKUP(Tabela3[[#This Row],[Produto]],Tabela2[],6,0),0)</f>
        <v>0</v>
      </c>
      <c r="AH1144" s="40">
        <f>IFERROR(VLOOKUP(Tabela3[[#This Row],[Produto]],Tabela2[],7,0),0)</f>
        <v>0</v>
      </c>
      <c r="AI1144" s="40">
        <f>IFERROR(VLOOKUP(Tabela3[[#This Row],[Produto]],Tabela2[],8,0),0)</f>
        <v>0</v>
      </c>
      <c r="AJ1144" s="35">
        <f ca="1">IFERROR(VLOOKUP(Tabela3[[#This Row],[Produto]],Tabela2[],13,0),0)</f>
        <v>17.600000000000001</v>
      </c>
      <c r="AK1144" s="48" t="str">
        <f>IFERROR(VLOOKUP(Tabela3[[#This Row],[Produto]],Tabela2[],14,0),0)</f>
        <v>TPA/TEMPLA</v>
      </c>
      <c r="AL1144" s="40">
        <f>IFERROR(VLOOKUP(Tabela3[[#This Row],[Produto]],Tabela2[],15,0),0)</f>
        <v>0</v>
      </c>
      <c r="AM1144" s="36">
        <f ca="1">(Tabela3[[#This Row],[Custo Usinagem]]+Tabela3[[#This Row],[Custo / Pç]])*1.2</f>
        <v>22.789461431367176</v>
      </c>
      <c r="AN1144" s="36">
        <f ca="1">Tabela3[[#This Row],[Valor Mínimo Venda]]*1.15</f>
        <v>26.207880646072251</v>
      </c>
      <c r="AO1144" s="36">
        <f ca="1">Tabela3[[#This Row],[Tabela 1]]*1.08</f>
        <v>28.304511097758034</v>
      </c>
      <c r="AP1144" s="36">
        <f ca="1">Tabela3[[#This Row],[Tabela 2]]*1.15</f>
        <v>32.550187762421736</v>
      </c>
    </row>
    <row r="1145" spans="1:42">
      <c r="A1145" s="9">
        <v>46136</v>
      </c>
      <c r="B1145" s="9" t="s">
        <v>274</v>
      </c>
      <c r="C1145" s="14">
        <v>9562</v>
      </c>
      <c r="D1145" s="6" t="s">
        <v>44</v>
      </c>
      <c r="E1145" s="6" t="s">
        <v>47</v>
      </c>
      <c r="F1145" s="6">
        <v>1</v>
      </c>
      <c r="G1145" s="15">
        <v>6.5972222222222224E-2</v>
      </c>
      <c r="H1145" s="16">
        <v>0</v>
      </c>
      <c r="I1145" s="35">
        <f ca="1">IFERROR(Tabela3[[#This Row],[Custo Total]]/Tabela3[[#This Row],[Aluminio Util]],0)</f>
        <v>26.794315441711337</v>
      </c>
      <c r="J1145" s="35">
        <f ca="1">Tabela3[[#This Row],[Custo Total]]/Tabela3[[#This Row],[Realizado]]</f>
        <v>535.88630883422672</v>
      </c>
      <c r="K1145" s="37">
        <f>IFERROR(Tabela3[[#This Row],[Qtde Cx Produzida]]/Tabela3[[#This Row],[Tempo]]/24,0)</f>
        <v>0.63157894736842102</v>
      </c>
      <c r="L1145" s="37">
        <f>Tabela3[[#This Row],[Qtde Cx Produzida]]*Tabela3[[#This Row],[Qdt Peça Placa]]</f>
        <v>1</v>
      </c>
      <c r="M1145" s="37">
        <f>Tabela3[[#This Row],[Previsto]]-Tabela3[[#This Row],[Perda Pçs]]</f>
        <v>1</v>
      </c>
      <c r="N1145" s="38">
        <f>IFERROR(Tabela3[[#This Row],[Perda Pçs]]/Tabela3[[#This Row],[Previsto]],0)</f>
        <v>0</v>
      </c>
      <c r="O1145" s="39">
        <f>IFERROR(IF(Tabela3[[#This Row],[Qtde Cx Produzida]] &lt;&gt; 0, Tabela3[[#This Row],[Tempo]] / Tabela3[[#This Row],[Qtde Cx Produzida]], 0),0)</f>
        <v>6.5972222222222224E-2</v>
      </c>
      <c r="P1145" s="57">
        <f>IFERROR(Tabela3[[#This Row],[Perda Pçs]]/Tabela3[[#This Row],[Qdt Peça Placa]],0)</f>
        <v>0</v>
      </c>
      <c r="Q1145" s="37">
        <f>IFERROR(Tabela3[[#This Row],[Realizado]]*Tabela3[[#This Row],[Peso Util/Pç]],0)</f>
        <v>20</v>
      </c>
      <c r="R1145" s="37">
        <f>IFERROR(Tabela3[[#This Row],[Peso Total Galho]]*Tabela3[[#This Row],[Qtde Cx Produzida]]*1.055,0)</f>
        <v>23.209999999999997</v>
      </c>
      <c r="S1145" s="37">
        <f>(Tabela3[[#This Row],[Aluminio Bruto]]-Tabela3[[#This Row],[Aluminio Util]])*0.9</f>
        <v>2.8889999999999976</v>
      </c>
      <c r="T1145" s="37">
        <f>Tabela3[[#This Row],[Aluminio Bruto]]/OleoKGAluminio</f>
        <v>9.7644169897583204</v>
      </c>
      <c r="U1145" s="35">
        <f>IFERROR((VLOOKUP(Tabela3[[#This Row],[Moldador]],Tabela1[],5,)+(VLOOKUP(Tabela3[[#This Row],[Ajudante]],Tabela1[],5,))*3.5),0)</f>
        <v>99.95034583333333</v>
      </c>
      <c r="V1145" s="35">
        <f>IFERROR(Tabela3[[#This Row],[Custo M.O. / H]]/((Tabela3[[#This Row],[Realizado]]/Tabela3[[#This Row],[Qdt Peça Placa]])/Tabela3[[#This Row],[Tempo]]/24),)</f>
        <v>158.25471423611111</v>
      </c>
      <c r="W1145" s="35">
        <f>Tabela3[[#This Row],[Custo / Cx Moldada]]*Tabela3[[#This Row],[Qtde Cx Produzida]]</f>
        <v>158.25471423611111</v>
      </c>
      <c r="X1145" s="35">
        <f ca="1">Tabela3[[#This Row],[Aluminio Util]]*Tabela3[[#This Row],[Custo/Kg]]</f>
        <v>352</v>
      </c>
      <c r="Y1145" s="35">
        <f>IFERROR(VLOOKUP(Tabela3[[#This Row],[Data]],Tabela461213[],2,1)*(Tabela3[[#This Row],[Qtde Cx Produzida]]*Tabela3[[#This Row],[Qde macho / CX]]*Tabela3[[#This Row],[Peso Macho]]),)</f>
        <v>0</v>
      </c>
      <c r="Z1145" s="35">
        <f>IFERROR(Tabela3[[#This Row],[Qtde Oleo]]*(VLOOKUP(Tabela3[[#This Row],[Data]],CompraOleo[],3,TRUE))*1.05,0)</f>
        <v>25.631594598115591</v>
      </c>
      <c r="AA1145" s="47">
        <f ca="1">(Tabela3[[#This Row],[Custo Oleo]]+Tabela3[[#This Row],[Custo Aluminio]]+Tabela3[[#This Row],[Custo M.O. Total]]+Tabela3[[#This Row],[Custo Machos]])</f>
        <v>535.88630883422672</v>
      </c>
      <c r="AB1145" s="47">
        <f ca="1">Tabela3[[#This Row],[Custo Total]]*Tabela3[[#This Row],[% Perda]]</f>
        <v>0</v>
      </c>
      <c r="AC1145" s="40">
        <f>IFERROR(VLOOKUP(Tabela3[[#This Row],[Produto]],Tabela2[],2,0),0)</f>
        <v>1</v>
      </c>
      <c r="AD1145" s="48">
        <f>IFERROR(VLOOKUP(Tabela3[[#This Row],[Produto]],Tabela2[],3,0),0)</f>
        <v>20</v>
      </c>
      <c r="AE1145" s="48">
        <f>IFERROR(VLOOKUP(Tabela3[[#This Row],[Produto]],Tabela2[],4,0),0)</f>
        <v>22</v>
      </c>
      <c r="AF1145" s="48">
        <f>IFERROR(VLOOKUP(Tabela3[[#This Row],[Produto]],Tabela2[],5,0),0)</f>
        <v>1.8</v>
      </c>
      <c r="AG1145" s="48">
        <f>IFERROR(VLOOKUP(Tabela3[[#This Row],[Produto]],Tabela2[],6,0),0)</f>
        <v>0</v>
      </c>
      <c r="AH1145" s="40">
        <f>IFERROR(VLOOKUP(Tabela3[[#This Row],[Produto]],Tabela2[],7,0),0)</f>
        <v>0</v>
      </c>
      <c r="AI1145" s="40">
        <f>IFERROR(VLOOKUP(Tabela3[[#This Row],[Produto]],Tabela2[],8,0),0)</f>
        <v>0</v>
      </c>
      <c r="AJ1145" s="35">
        <f ca="1">IFERROR(VLOOKUP(Tabela3[[#This Row],[Produto]],Tabela2[],13,0),0)</f>
        <v>17.600000000000001</v>
      </c>
      <c r="AK1145" s="48" t="str">
        <f>IFERROR(VLOOKUP(Tabela3[[#This Row],[Produto]],Tabela2[],14,0),0)</f>
        <v>Danilo</v>
      </c>
      <c r="AL1145" s="40">
        <f>IFERROR(VLOOKUP(Tabela3[[#This Row],[Produto]],Tabela2[],15,0),0)</f>
        <v>0</v>
      </c>
      <c r="AM1145" s="36">
        <f ca="1">(Tabela3[[#This Row],[Custo Usinagem]]+Tabela3[[#This Row],[Custo / Pç]])*1.2</f>
        <v>643.063570601072</v>
      </c>
      <c r="AN1145" s="36">
        <f ca="1">Tabela3[[#This Row],[Valor Mínimo Venda]]*1.15</f>
        <v>739.52310619123273</v>
      </c>
      <c r="AO1145" s="36">
        <f ca="1">Tabela3[[#This Row],[Tabela 1]]*1.08</f>
        <v>798.68495468653146</v>
      </c>
      <c r="AP1145" s="36">
        <f ca="1">Tabela3[[#This Row],[Tabela 2]]*1.15</f>
        <v>918.48769788951108</v>
      </c>
    </row>
    <row r="1146" spans="1:42">
      <c r="A1146" s="9">
        <v>46136</v>
      </c>
      <c r="B1146" s="9" t="s">
        <v>245</v>
      </c>
      <c r="C1146" s="14">
        <v>9327</v>
      </c>
      <c r="D1146" s="6" t="s">
        <v>46</v>
      </c>
      <c r="E1146" s="6" t="s">
        <v>44</v>
      </c>
      <c r="F1146" s="6">
        <v>33</v>
      </c>
      <c r="G1146" s="15">
        <v>0.17430555555555555</v>
      </c>
      <c r="H1146" s="16"/>
      <c r="I1146" s="35">
        <f ca="1">IFERROR(Tabela3[[#This Row],[Custo Total]]/Tabela3[[#This Row],[Aluminio Util]],0)</f>
        <v>29.654498137173665</v>
      </c>
      <c r="J1146" s="35">
        <f ca="1">Tabela3[[#This Row],[Custo Total]]/Tabela3[[#This Row],[Realizado]]</f>
        <v>9.8452933815416586</v>
      </c>
      <c r="K1146" s="37">
        <f>IFERROR(Tabela3[[#This Row],[Qtde Cx Produzida]]/Tabela3[[#This Row],[Tempo]]/24,0)</f>
        <v>7.8884462151394423</v>
      </c>
      <c r="L1146" s="37">
        <f>Tabela3[[#This Row],[Qtde Cx Produzida]]*Tabela3[[#This Row],[Qdt Peça Placa]]</f>
        <v>132</v>
      </c>
      <c r="M1146" s="37">
        <f>Tabela3[[#This Row],[Previsto]]-Tabela3[[#This Row],[Perda Pçs]]</f>
        <v>132</v>
      </c>
      <c r="N1146" s="38">
        <f>IFERROR(Tabela3[[#This Row],[Perda Pçs]]/Tabela3[[#This Row],[Previsto]],0)</f>
        <v>0</v>
      </c>
      <c r="O1146" s="39">
        <f>IFERROR(IF(Tabela3[[#This Row],[Qtde Cx Produzida]] &lt;&gt; 0, Tabela3[[#This Row],[Tempo]] / Tabela3[[#This Row],[Qtde Cx Produzida]], 0),0)</f>
        <v>5.2819865319865319E-3</v>
      </c>
      <c r="P1146" s="57">
        <f>IFERROR(Tabela3[[#This Row],[Perda Pçs]]/Tabela3[[#This Row],[Qdt Peça Placa]],0)</f>
        <v>0</v>
      </c>
      <c r="Q1146" s="37">
        <f>IFERROR(Tabela3[[#This Row],[Realizado]]*Tabela3[[#This Row],[Peso Util/Pç]],0)</f>
        <v>43.824000000000005</v>
      </c>
      <c r="R1146" s="37">
        <f>IFERROR(Tabela3[[#This Row],[Peso Total Galho]]*Tabela3[[#This Row],[Qtde Cx Produzida]]*1.055,0)</f>
        <v>80.074499999999986</v>
      </c>
      <c r="S1146" s="37">
        <f>(Tabela3[[#This Row],[Aluminio Bruto]]-Tabela3[[#This Row],[Aluminio Util]])*0.9</f>
        <v>32.625449999999987</v>
      </c>
      <c r="T1146" s="37">
        <f>Tabela3[[#This Row],[Aluminio Bruto]]/OleoKGAluminio</f>
        <v>33.6872386146662</v>
      </c>
      <c r="U1146" s="35">
        <f>IFERROR((VLOOKUP(Tabela3[[#This Row],[Moldador]],Tabela1[],5,)+(VLOOKUP(Tabela3[[#This Row],[Ajudante]],Tabela1[],5,))*3.5),0)</f>
        <v>126.0945</v>
      </c>
      <c r="V1146" s="35">
        <f>IFERROR(Tabela3[[#This Row],[Custo M.O. / H]]/((Tabela3[[#This Row],[Realizado]]/Tabela3[[#This Row],[Qdt Peça Placa]])/Tabela3[[#This Row],[Tempo]]/24),)</f>
        <v>15.984706818181818</v>
      </c>
      <c r="W1146" s="35">
        <f>Tabela3[[#This Row],[Custo / Cx Moldada]]*Tabela3[[#This Row],[Qtde Cx Produzida]]</f>
        <v>527.49532499999998</v>
      </c>
      <c r="X1146" s="35">
        <f ca="1">Tabela3[[#This Row],[Aluminio Util]]*Tabela3[[#This Row],[Custo/Kg]]</f>
        <v>683.65440000000012</v>
      </c>
      <c r="Y1146" s="35">
        <f>IFERROR(VLOOKUP(Tabela3[[#This Row],[Data]],Tabela461213[],2,1)*(Tabela3[[#This Row],[Qtde Cx Produzida]]*Tabela3[[#This Row],[Qde macho / CX]]*Tabela3[[#This Row],[Peso Macho]]),)</f>
        <v>0</v>
      </c>
      <c r="Z1146" s="35">
        <f>IFERROR(Tabela3[[#This Row],[Qtde Oleo]]*(VLOOKUP(Tabela3[[#This Row],[Data]],CompraOleo[],3,TRUE))*1.05,0)</f>
        <v>88.429001363498784</v>
      </c>
      <c r="AA1146" s="47">
        <f ca="1">(Tabela3[[#This Row],[Custo Oleo]]+Tabela3[[#This Row],[Custo Aluminio]]+Tabela3[[#This Row],[Custo M.O. Total]]+Tabela3[[#This Row],[Custo Machos]])</f>
        <v>1299.5787263634988</v>
      </c>
      <c r="AB1146" s="47">
        <f ca="1">Tabela3[[#This Row],[Custo Total]]*Tabela3[[#This Row],[% Perda]]</f>
        <v>0</v>
      </c>
      <c r="AC1146" s="40">
        <f>IFERROR(VLOOKUP(Tabela3[[#This Row],[Produto]],Tabela2[],2,0),0)</f>
        <v>4</v>
      </c>
      <c r="AD1146" s="48">
        <f>IFERROR(VLOOKUP(Tabela3[[#This Row],[Produto]],Tabela2[],3,0),0)</f>
        <v>0.33200000000000002</v>
      </c>
      <c r="AE1146" s="48">
        <f>IFERROR(VLOOKUP(Tabela3[[#This Row],[Produto]],Tabela2[],4,0),0)</f>
        <v>2.2999999999999998</v>
      </c>
      <c r="AF1146" s="48">
        <f>IFERROR(VLOOKUP(Tabela3[[#This Row],[Produto]],Tabela2[],5,0),0)</f>
        <v>0.8747999999999998</v>
      </c>
      <c r="AG1146" s="48">
        <f>IFERROR(VLOOKUP(Tabela3[[#This Row],[Produto]],Tabela2[],6,0),0)</f>
        <v>0</v>
      </c>
      <c r="AH1146" s="40">
        <f>IFERROR(VLOOKUP(Tabela3[[#This Row],[Produto]],Tabela2[],7,0),0)</f>
        <v>0</v>
      </c>
      <c r="AI1146" s="40">
        <f>IFERROR(VLOOKUP(Tabela3[[#This Row],[Produto]],Tabela2[],8,0),0)</f>
        <v>0</v>
      </c>
      <c r="AJ1146" s="35">
        <f ca="1">IFERROR(VLOOKUP(Tabela3[[#This Row],[Produto]],Tabela2[],13,0),0)</f>
        <v>15.600000000000001</v>
      </c>
      <c r="AK1146" s="48" t="str">
        <f>IFERROR(VLOOKUP(Tabela3[[#This Row],[Produto]],Tabela2[],14,0),0)</f>
        <v>Senun</v>
      </c>
      <c r="AL1146" s="40">
        <f>IFERROR(VLOOKUP(Tabela3[[#This Row],[Produto]],Tabela2[],15,0),0)</f>
        <v>3.5</v>
      </c>
      <c r="AM1146" s="36">
        <f ca="1">(Tabela3[[#This Row],[Custo Usinagem]]+Tabela3[[#This Row],[Custo / Pç]])*1.2</f>
        <v>16.01435205784999</v>
      </c>
      <c r="AN1146" s="36">
        <f ca="1">Tabela3[[#This Row],[Valor Mínimo Venda]]*1.15</f>
        <v>18.416504866527486</v>
      </c>
      <c r="AO1146" s="36">
        <f ca="1">Tabela3[[#This Row],[Tabela 1]]*1.08</f>
        <v>19.889825255849686</v>
      </c>
      <c r="AP1146" s="36">
        <f ca="1">Tabela3[[#This Row],[Tabela 2]]*1.15</f>
        <v>22.873299044227139</v>
      </c>
    </row>
    <row r="1147" spans="1:42">
      <c r="A1147" s="9">
        <v>46136</v>
      </c>
      <c r="B1147" s="9" t="s">
        <v>245</v>
      </c>
      <c r="C1147" s="14">
        <v>9327</v>
      </c>
      <c r="D1147" s="6" t="s">
        <v>44</v>
      </c>
      <c r="E1147" s="6" t="s">
        <v>47</v>
      </c>
      <c r="F1147" s="6">
        <v>16</v>
      </c>
      <c r="G1147" s="15">
        <v>7.013888888888889E-2</v>
      </c>
      <c r="H1147" s="16">
        <v>0</v>
      </c>
      <c r="I1147" s="35">
        <f ca="1">IFERROR(Tabela3[[#This Row],[Custo Total]]/Tabela3[[#This Row],[Aluminio Util]],0)</f>
        <v>25.536201814156694</v>
      </c>
      <c r="J1147" s="35">
        <f ca="1">Tabela3[[#This Row],[Custo Total]]/Tabela3[[#This Row],[Realizado]]</f>
        <v>8.478019002300023</v>
      </c>
      <c r="K1147" s="37">
        <f>IFERROR(Tabela3[[#This Row],[Qtde Cx Produzida]]/Tabela3[[#This Row],[Tempo]]/24,0)</f>
        <v>9.5049504950495045</v>
      </c>
      <c r="L1147" s="37">
        <f>Tabela3[[#This Row],[Qtde Cx Produzida]]*Tabela3[[#This Row],[Qdt Peça Placa]]</f>
        <v>64</v>
      </c>
      <c r="M1147" s="37">
        <f>Tabela3[[#This Row],[Previsto]]-Tabela3[[#This Row],[Perda Pçs]]</f>
        <v>64</v>
      </c>
      <c r="N1147" s="38">
        <f>IFERROR(Tabela3[[#This Row],[Perda Pçs]]/Tabela3[[#This Row],[Previsto]],0)</f>
        <v>0</v>
      </c>
      <c r="O1147" s="39">
        <f>IFERROR(IF(Tabela3[[#This Row],[Qtde Cx Produzida]] &lt;&gt; 0, Tabela3[[#This Row],[Tempo]] / Tabela3[[#This Row],[Qtde Cx Produzida]], 0),0)</f>
        <v>4.3836805555555556E-3</v>
      </c>
      <c r="P1147" s="57">
        <f>IFERROR(Tabela3[[#This Row],[Perda Pçs]]/Tabela3[[#This Row],[Qdt Peça Placa]],0)</f>
        <v>0</v>
      </c>
      <c r="Q1147" s="37">
        <f>IFERROR(Tabela3[[#This Row],[Realizado]]*Tabela3[[#This Row],[Peso Util/Pç]],0)</f>
        <v>21.248000000000001</v>
      </c>
      <c r="R1147" s="37">
        <f>IFERROR(Tabela3[[#This Row],[Peso Total Galho]]*Tabela3[[#This Row],[Qtde Cx Produzida]]*1.055,0)</f>
        <v>38.823999999999998</v>
      </c>
      <c r="S1147" s="37">
        <f>(Tabela3[[#This Row],[Aluminio Bruto]]-Tabela3[[#This Row],[Aluminio Util]])*0.9</f>
        <v>15.818399999999997</v>
      </c>
      <c r="T1147" s="37">
        <f>Tabela3[[#This Row],[Aluminio Bruto]]/OleoKGAluminio</f>
        <v>16.333206601050282</v>
      </c>
      <c r="U1147" s="35">
        <f>IFERROR((VLOOKUP(Tabela3[[#This Row],[Moldador]],Tabela1[],5,)+(VLOOKUP(Tabela3[[#This Row],[Ajudante]],Tabela1[],5,))*3.5),0)</f>
        <v>99.95034583333333</v>
      </c>
      <c r="V1147" s="35">
        <f>IFERROR(Tabela3[[#This Row],[Custo M.O. / H]]/((Tabela3[[#This Row],[Realizado]]/Tabela3[[#This Row],[Qdt Peça Placa]])/Tabela3[[#This Row],[Tempo]]/24),)</f>
        <v>10.515609301215278</v>
      </c>
      <c r="W1147" s="35">
        <f>Tabela3[[#This Row],[Custo / Cx Moldada]]*Tabela3[[#This Row],[Qtde Cx Produzida]]</f>
        <v>168.24974881944445</v>
      </c>
      <c r="X1147" s="35">
        <f ca="1">Tabela3[[#This Row],[Aluminio Util]]*Tabela3[[#This Row],[Custo/Kg]]</f>
        <v>331.46880000000004</v>
      </c>
      <c r="Y1147" s="35">
        <f>IFERROR(VLOOKUP(Tabela3[[#This Row],[Data]],Tabela461213[],2,1)*(Tabela3[[#This Row],[Qtde Cx Produzida]]*Tabela3[[#This Row],[Qde macho / CX]]*Tabela3[[#This Row],[Peso Macho]]),)</f>
        <v>0</v>
      </c>
      <c r="Z1147" s="35">
        <f>IFERROR(Tabela3[[#This Row],[Qtde Oleo]]*(VLOOKUP(Tabela3[[#This Row],[Data]],CompraOleo[],3,TRUE))*1.05,0)</f>
        <v>42.874667327756988</v>
      </c>
      <c r="AA1147" s="47">
        <f ca="1">(Tabela3[[#This Row],[Custo Oleo]]+Tabela3[[#This Row],[Custo Aluminio]]+Tabela3[[#This Row],[Custo M.O. Total]]+Tabela3[[#This Row],[Custo Machos]])</f>
        <v>542.59321614720147</v>
      </c>
      <c r="AB1147" s="47">
        <f ca="1">Tabela3[[#This Row],[Custo Total]]*Tabela3[[#This Row],[% Perda]]</f>
        <v>0</v>
      </c>
      <c r="AC1147" s="40">
        <f>IFERROR(VLOOKUP(Tabela3[[#This Row],[Produto]],Tabela2[],2,0),0)</f>
        <v>4</v>
      </c>
      <c r="AD1147" s="48">
        <f>IFERROR(VLOOKUP(Tabela3[[#This Row],[Produto]],Tabela2[],3,0),0)</f>
        <v>0.33200000000000002</v>
      </c>
      <c r="AE1147" s="48">
        <f>IFERROR(VLOOKUP(Tabela3[[#This Row],[Produto]],Tabela2[],4,0),0)</f>
        <v>2.2999999999999998</v>
      </c>
      <c r="AF1147" s="48">
        <f>IFERROR(VLOOKUP(Tabela3[[#This Row],[Produto]],Tabela2[],5,0),0)</f>
        <v>0.8747999999999998</v>
      </c>
      <c r="AG1147" s="48">
        <f>IFERROR(VLOOKUP(Tabela3[[#This Row],[Produto]],Tabela2[],6,0),0)</f>
        <v>0</v>
      </c>
      <c r="AH1147" s="40">
        <f>IFERROR(VLOOKUP(Tabela3[[#This Row],[Produto]],Tabela2[],7,0),0)</f>
        <v>0</v>
      </c>
      <c r="AI1147" s="40">
        <f>IFERROR(VLOOKUP(Tabela3[[#This Row],[Produto]],Tabela2[],8,0),0)</f>
        <v>0</v>
      </c>
      <c r="AJ1147" s="35">
        <f ca="1">IFERROR(VLOOKUP(Tabela3[[#This Row],[Produto]],Tabela2[],13,0),0)</f>
        <v>15.600000000000001</v>
      </c>
      <c r="AK1147" s="48" t="str">
        <f>IFERROR(VLOOKUP(Tabela3[[#This Row],[Produto]],Tabela2[],14,0),0)</f>
        <v>Senun</v>
      </c>
      <c r="AL1147" s="40">
        <f>IFERROR(VLOOKUP(Tabela3[[#This Row],[Produto]],Tabela2[],15,0),0)</f>
        <v>3.5</v>
      </c>
      <c r="AM1147" s="36">
        <f ca="1">(Tabela3[[#This Row],[Custo Usinagem]]+Tabela3[[#This Row],[Custo / Pç]])*1.2</f>
        <v>14.373622802760027</v>
      </c>
      <c r="AN1147" s="36">
        <f ca="1">Tabela3[[#This Row],[Valor Mínimo Venda]]*1.15</f>
        <v>16.529666223174029</v>
      </c>
      <c r="AO1147" s="36">
        <f ca="1">Tabela3[[#This Row],[Tabela 1]]*1.08</f>
        <v>17.852039521027951</v>
      </c>
      <c r="AP1147" s="36">
        <f ca="1">Tabela3[[#This Row],[Tabela 2]]*1.15</f>
        <v>20.529845449182144</v>
      </c>
    </row>
    <row r="1148" spans="1:42">
      <c r="A1148" s="9">
        <v>46139</v>
      </c>
      <c r="B1148" s="9" t="s">
        <v>245</v>
      </c>
      <c r="C1148" s="14">
        <v>9327</v>
      </c>
      <c r="D1148" s="6" t="s">
        <v>46</v>
      </c>
      <c r="E1148" s="6" t="s">
        <v>44</v>
      </c>
      <c r="F1148" s="6">
        <v>26</v>
      </c>
      <c r="G1148" s="15">
        <v>0.12361111111111112</v>
      </c>
      <c r="H1148" s="16">
        <v>0</v>
      </c>
      <c r="I1148" s="35">
        <f ca="1">IFERROR(Tabela3[[#This Row],[Custo Total]]/Tabela3[[#This Row],[Aluminio Util]],0)</f>
        <v>28.451937106337034</v>
      </c>
      <c r="J1148" s="35">
        <f ca="1">Tabela3[[#This Row],[Custo Total]]/Tabela3[[#This Row],[Realizado]]</f>
        <v>9.4460431193038961</v>
      </c>
      <c r="K1148" s="37">
        <f>IFERROR(Tabela3[[#This Row],[Qtde Cx Produzida]]/Tabela3[[#This Row],[Tempo]]/24,0)</f>
        <v>8.7640449438202239</v>
      </c>
      <c r="L1148" s="37">
        <f>Tabela3[[#This Row],[Qtde Cx Produzida]]*Tabela3[[#This Row],[Qdt Peça Placa]]</f>
        <v>104</v>
      </c>
      <c r="M1148" s="37">
        <f>Tabela3[[#This Row],[Previsto]]-Tabela3[[#This Row],[Perda Pçs]]</f>
        <v>104</v>
      </c>
      <c r="N1148" s="38">
        <f>IFERROR(Tabela3[[#This Row],[Perda Pçs]]/Tabela3[[#This Row],[Previsto]],0)</f>
        <v>0</v>
      </c>
      <c r="O1148" s="39">
        <f>IFERROR(IF(Tabela3[[#This Row],[Qtde Cx Produzida]] &lt;&gt; 0, Tabela3[[#This Row],[Tempo]] / Tabela3[[#This Row],[Qtde Cx Produzida]], 0),0)</f>
        <v>4.7542735042735047E-3</v>
      </c>
      <c r="P1148" s="57">
        <f>IFERROR(Tabela3[[#This Row],[Perda Pçs]]/Tabela3[[#This Row],[Qdt Peça Placa]],0)</f>
        <v>0</v>
      </c>
      <c r="Q1148" s="37">
        <f>IFERROR(Tabela3[[#This Row],[Realizado]]*Tabela3[[#This Row],[Peso Util/Pç]],0)</f>
        <v>34.527999999999999</v>
      </c>
      <c r="R1148" s="37">
        <f>IFERROR(Tabela3[[#This Row],[Peso Total Galho]]*Tabela3[[#This Row],[Qtde Cx Produzida]]*1.055,0)</f>
        <v>63.088999999999992</v>
      </c>
      <c r="S1148" s="37">
        <f>(Tabela3[[#This Row],[Aluminio Bruto]]-Tabela3[[#This Row],[Aluminio Util]])*0.9</f>
        <v>25.704899999999995</v>
      </c>
      <c r="T1148" s="37">
        <f>Tabela3[[#This Row],[Aluminio Bruto]]/OleoKGAluminio</f>
        <v>26.541460726706706</v>
      </c>
      <c r="U1148" s="35">
        <f>IFERROR((VLOOKUP(Tabela3[[#This Row],[Moldador]],Tabela1[],5,)+(VLOOKUP(Tabela3[[#This Row],[Ajudante]],Tabela1[],5,))*3.5),0)</f>
        <v>126.0945</v>
      </c>
      <c r="V1148" s="35">
        <f>IFERROR(Tabela3[[#This Row],[Custo M.O. / H]]/((Tabela3[[#This Row],[Realizado]]/Tabela3[[#This Row],[Qdt Peça Placa]])/Tabela3[[#This Row],[Tempo]]/24),)</f>
        <v>14.38770576923077</v>
      </c>
      <c r="W1148" s="35">
        <f>Tabela3[[#This Row],[Custo / Cx Moldada]]*Tabela3[[#This Row],[Qtde Cx Produzida]]</f>
        <v>374.08035000000001</v>
      </c>
      <c r="X1148" s="35">
        <f ca="1">Tabela3[[#This Row],[Aluminio Util]]*Tabela3[[#This Row],[Custo/Kg]]</f>
        <v>538.63679999999999</v>
      </c>
      <c r="Y1148" s="35">
        <f>IFERROR(VLOOKUP(Tabela3[[#This Row],[Data]],Tabela461213[],2,1)*(Tabela3[[#This Row],[Qtde Cx Produzida]]*Tabela3[[#This Row],[Qde macho / CX]]*Tabela3[[#This Row],[Peso Macho]]),)</f>
        <v>0</v>
      </c>
      <c r="Z1148" s="35">
        <f>IFERROR(Tabela3[[#This Row],[Qtde Oleo]]*(VLOOKUP(Tabela3[[#This Row],[Data]],CompraOleo[],3,TRUE))*1.05,0)</f>
        <v>69.671334407605116</v>
      </c>
      <c r="AA1148" s="47">
        <f ca="1">(Tabela3[[#This Row],[Custo Oleo]]+Tabela3[[#This Row],[Custo Aluminio]]+Tabela3[[#This Row],[Custo M.O. Total]]+Tabela3[[#This Row],[Custo Machos]])</f>
        <v>982.38848440760512</v>
      </c>
      <c r="AB1148" s="47">
        <f ca="1">Tabela3[[#This Row],[Custo Total]]*Tabela3[[#This Row],[% Perda]]</f>
        <v>0</v>
      </c>
      <c r="AC1148" s="40">
        <f>IFERROR(VLOOKUP(Tabela3[[#This Row],[Produto]],Tabela2[],2,0),0)</f>
        <v>4</v>
      </c>
      <c r="AD1148" s="48">
        <f>IFERROR(VLOOKUP(Tabela3[[#This Row],[Produto]],Tabela2[],3,0),0)</f>
        <v>0.33200000000000002</v>
      </c>
      <c r="AE1148" s="48">
        <f>IFERROR(VLOOKUP(Tabela3[[#This Row],[Produto]],Tabela2[],4,0),0)</f>
        <v>2.2999999999999998</v>
      </c>
      <c r="AF1148" s="48">
        <f>IFERROR(VLOOKUP(Tabela3[[#This Row],[Produto]],Tabela2[],5,0),0)</f>
        <v>0.8747999999999998</v>
      </c>
      <c r="AG1148" s="48">
        <f>IFERROR(VLOOKUP(Tabela3[[#This Row],[Produto]],Tabela2[],6,0),0)</f>
        <v>0</v>
      </c>
      <c r="AH1148" s="40">
        <f>IFERROR(VLOOKUP(Tabela3[[#This Row],[Produto]],Tabela2[],7,0),0)</f>
        <v>0</v>
      </c>
      <c r="AI1148" s="40">
        <f>IFERROR(VLOOKUP(Tabela3[[#This Row],[Produto]],Tabela2[],8,0),0)</f>
        <v>0</v>
      </c>
      <c r="AJ1148" s="35">
        <f ca="1">IFERROR(VLOOKUP(Tabela3[[#This Row],[Produto]],Tabela2[],13,0),0)</f>
        <v>15.600000000000001</v>
      </c>
      <c r="AK1148" s="48" t="str">
        <f>IFERROR(VLOOKUP(Tabela3[[#This Row],[Produto]],Tabela2[],14,0),0)</f>
        <v>Senun</v>
      </c>
      <c r="AL1148" s="40">
        <f>IFERROR(VLOOKUP(Tabela3[[#This Row],[Produto]],Tabela2[],15,0),0)</f>
        <v>3.5</v>
      </c>
      <c r="AM1148" s="36">
        <f ca="1">(Tabela3[[#This Row],[Custo Usinagem]]+Tabela3[[#This Row],[Custo / Pç]])*1.2</f>
        <v>15.535251743164675</v>
      </c>
      <c r="AN1148" s="36">
        <f ca="1">Tabela3[[#This Row],[Valor Mínimo Venda]]*1.15</f>
        <v>17.865539504639376</v>
      </c>
      <c r="AO1148" s="36">
        <f ca="1">Tabela3[[#This Row],[Tabela 1]]*1.08</f>
        <v>19.294782665010526</v>
      </c>
      <c r="AP1148" s="36">
        <f ca="1">Tabela3[[#This Row],[Tabela 2]]*1.15</f>
        <v>22.189000064762105</v>
      </c>
    </row>
    <row r="1149" spans="1:42">
      <c r="A1149" s="9">
        <v>46139</v>
      </c>
      <c r="B1149" s="9" t="s">
        <v>236</v>
      </c>
      <c r="C1149" s="14">
        <v>9539</v>
      </c>
      <c r="D1149" s="6" t="s">
        <v>46</v>
      </c>
      <c r="E1149" s="6" t="s">
        <v>44</v>
      </c>
      <c r="F1149" s="6">
        <v>43</v>
      </c>
      <c r="G1149" s="15">
        <v>0.23402777777777778</v>
      </c>
      <c r="H1149" s="16">
        <v>0</v>
      </c>
      <c r="I1149" s="35">
        <f ca="1">IFERROR(Tabela3[[#This Row],[Custo Total]]/Tabela3[[#This Row],[Aluminio Util]],0)</f>
        <v>26.073354922860531</v>
      </c>
      <c r="J1149" s="35">
        <f ca="1">Tabela3[[#This Row],[Custo Total]]/Tabela3[[#This Row],[Realizado]]</f>
        <v>7.8741531867038805</v>
      </c>
      <c r="K1149" s="37">
        <f>IFERROR(Tabela3[[#This Row],[Qtde Cx Produzida]]/Tabela3[[#This Row],[Tempo]]/24,0)</f>
        <v>7.6557863501483681</v>
      </c>
      <c r="L1149" s="37">
        <f>Tabela3[[#This Row],[Qtde Cx Produzida]]*Tabela3[[#This Row],[Qdt Peça Placa]]</f>
        <v>258</v>
      </c>
      <c r="M1149" s="37">
        <f>Tabela3[[#This Row],[Previsto]]-Tabela3[[#This Row],[Perda Pçs]]</f>
        <v>258</v>
      </c>
      <c r="N1149" s="38">
        <f>IFERROR(Tabela3[[#This Row],[Perda Pçs]]/Tabela3[[#This Row],[Previsto]],0)</f>
        <v>0</v>
      </c>
      <c r="O1149" s="39">
        <f>IFERROR(IF(Tabela3[[#This Row],[Qtde Cx Produzida]] &lt;&gt; 0, Tabela3[[#This Row],[Tempo]] / Tabela3[[#This Row],[Qtde Cx Produzida]], 0),0)</f>
        <v>5.4425064599483205E-3</v>
      </c>
      <c r="P1149" s="57">
        <f>IFERROR(Tabela3[[#This Row],[Perda Pçs]]/Tabela3[[#This Row],[Qdt Peça Placa]],0)</f>
        <v>0</v>
      </c>
      <c r="Q1149" s="37">
        <f>IFERROR(Tabela3[[#This Row],[Realizado]]*Tabela3[[#This Row],[Peso Util/Pç]],0)</f>
        <v>77.915999999999997</v>
      </c>
      <c r="R1149" s="37">
        <f>IFERROR(Tabela3[[#This Row],[Peso Total Galho]]*Tabela3[[#This Row],[Qtde Cx Produzida]]*1.055,0)</f>
        <v>97.625479999999996</v>
      </c>
      <c r="S1149" s="37">
        <f>(Tabela3[[#This Row],[Aluminio Bruto]]-Tabela3[[#This Row],[Aluminio Util]])*0.9</f>
        <v>17.738531999999999</v>
      </c>
      <c r="T1149" s="37">
        <f>Tabela3[[#This Row],[Aluminio Bruto]]/OleoKGAluminio</f>
        <v>41.070913207467086</v>
      </c>
      <c r="U1149" s="35">
        <f>IFERROR((VLOOKUP(Tabela3[[#This Row],[Moldador]],Tabela1[],5,)+(VLOOKUP(Tabela3[[#This Row],[Ajudante]],Tabela1[],5,))*3.5),0)</f>
        <v>126.0945</v>
      </c>
      <c r="V1149" s="35">
        <f>IFERROR(Tabela3[[#This Row],[Custo M.O. / H]]/((Tabela3[[#This Row],[Realizado]]/Tabela3[[#This Row],[Qdt Peça Placa]])/Tabela3[[#This Row],[Tempo]]/24),)</f>
        <v>16.470483139534885</v>
      </c>
      <c r="W1149" s="35">
        <f>Tabela3[[#This Row],[Custo / Cx Moldada]]*Tabela3[[#This Row],[Qtde Cx Produzida]]</f>
        <v>708.23077499999999</v>
      </c>
      <c r="X1149" s="35">
        <f ca="1">Tabela3[[#This Row],[Aluminio Util]]*Tabela3[[#This Row],[Custo/Kg]]</f>
        <v>1215.4896000000001</v>
      </c>
      <c r="Y1149" s="35">
        <f>IFERROR(VLOOKUP(Tabela3[[#This Row],[Data]],Tabela461213[],2,1)*(Tabela3[[#This Row],[Qtde Cx Produzida]]*Tabela3[[#This Row],[Qde macho / CX]]*Tabela3[[#This Row],[Peso Macho]]),)</f>
        <v>0</v>
      </c>
      <c r="Z1149" s="35">
        <f>IFERROR(Tabela3[[#This Row],[Qtde Oleo]]*(VLOOKUP(Tabela3[[#This Row],[Data]],CompraOleo[],3,TRUE))*1.05,0)</f>
        <v>107.8111471696011</v>
      </c>
      <c r="AA1149" s="47">
        <f ca="1">(Tabela3[[#This Row],[Custo Oleo]]+Tabela3[[#This Row],[Custo Aluminio]]+Tabela3[[#This Row],[Custo M.O. Total]]+Tabela3[[#This Row],[Custo Machos]])</f>
        <v>2031.5315221696012</v>
      </c>
      <c r="AB1149" s="47">
        <f ca="1">Tabela3[[#This Row],[Custo Total]]*Tabela3[[#This Row],[% Perda]]</f>
        <v>0</v>
      </c>
      <c r="AC1149" s="40">
        <f>IFERROR(VLOOKUP(Tabela3[[#This Row],[Produto]],Tabela2[],2,0),0)</f>
        <v>6</v>
      </c>
      <c r="AD1149" s="48">
        <f>IFERROR(VLOOKUP(Tabela3[[#This Row],[Produto]],Tabela2[],3,0),0)</f>
        <v>0.30199999999999999</v>
      </c>
      <c r="AE1149" s="48">
        <f>IFERROR(VLOOKUP(Tabela3[[#This Row],[Produto]],Tabela2[],4,0),0)</f>
        <v>2.1520000000000001</v>
      </c>
      <c r="AF1149" s="48">
        <f>IFERROR(VLOOKUP(Tabela3[[#This Row],[Produto]],Tabela2[],5,0),0)</f>
        <v>0.30600000000000027</v>
      </c>
      <c r="AG1149" s="48">
        <f>IFERROR(VLOOKUP(Tabela3[[#This Row],[Produto]],Tabela2[],6,0),0)</f>
        <v>0</v>
      </c>
      <c r="AH1149" s="40">
        <f>IFERROR(VLOOKUP(Tabela3[[#This Row],[Produto]],Tabela2[],7,0),0)</f>
        <v>0</v>
      </c>
      <c r="AI1149" s="40">
        <f>IFERROR(VLOOKUP(Tabela3[[#This Row],[Produto]],Tabela2[],8,0),0)</f>
        <v>0</v>
      </c>
      <c r="AJ1149" s="35">
        <f ca="1">IFERROR(VLOOKUP(Tabela3[[#This Row],[Produto]],Tabela2[],13,0),0)</f>
        <v>15.600000000000001</v>
      </c>
      <c r="AK1149" s="48" t="str">
        <f>IFERROR(VLOOKUP(Tabela3[[#This Row],[Produto]],Tabela2[],14,0),0)</f>
        <v>Senun</v>
      </c>
      <c r="AL1149" s="40">
        <f>IFERROR(VLOOKUP(Tabela3[[#This Row],[Produto]],Tabela2[],15,0),0)</f>
        <v>4</v>
      </c>
      <c r="AM1149" s="36">
        <f ca="1">(Tabela3[[#This Row],[Custo Usinagem]]+Tabela3[[#This Row],[Custo / Pç]])*1.2</f>
        <v>14.248983824044656</v>
      </c>
      <c r="AN1149" s="36">
        <f ca="1">Tabela3[[#This Row],[Valor Mínimo Venda]]*1.15</f>
        <v>16.386331397651354</v>
      </c>
      <c r="AO1149" s="36">
        <f ca="1">Tabela3[[#This Row],[Tabela 1]]*1.08</f>
        <v>17.697237909463464</v>
      </c>
      <c r="AP1149" s="36">
        <f ca="1">Tabela3[[#This Row],[Tabela 2]]*1.15</f>
        <v>20.351823595882983</v>
      </c>
    </row>
    <row r="1150" spans="1:42">
      <c r="A1150" s="9">
        <v>46140</v>
      </c>
      <c r="B1150" s="9" t="s">
        <v>236</v>
      </c>
      <c r="C1150" s="14">
        <v>9539</v>
      </c>
      <c r="D1150" s="6" t="s">
        <v>46</v>
      </c>
      <c r="E1150" s="6" t="s">
        <v>44</v>
      </c>
      <c r="F1150" s="6">
        <v>69</v>
      </c>
      <c r="G1150" s="15">
        <v>0.36527777777777776</v>
      </c>
      <c r="H1150" s="16">
        <v>21</v>
      </c>
      <c r="I1150" s="35">
        <f ca="1">IFERROR(Tabela3[[#This Row],[Custo Total]]/Tabela3[[#This Row],[Aluminio Util]],0)</f>
        <v>26.869201325084898</v>
      </c>
      <c r="J1150" s="35">
        <f ca="1">Tabela3[[#This Row],[Custo Total]]/Tabela3[[#This Row],[Realizado]]</f>
        <v>8.1144988001756388</v>
      </c>
      <c r="K1150" s="37">
        <f>IFERROR(Tabela3[[#This Row],[Qtde Cx Produzida]]/Tabela3[[#This Row],[Tempo]]/24,0)</f>
        <v>7.8707224334600765</v>
      </c>
      <c r="L1150" s="37">
        <f>Tabela3[[#This Row],[Qtde Cx Produzida]]*Tabela3[[#This Row],[Qdt Peça Placa]]</f>
        <v>414</v>
      </c>
      <c r="M1150" s="37">
        <f>Tabela3[[#This Row],[Previsto]]-Tabela3[[#This Row],[Perda Pçs]]</f>
        <v>393</v>
      </c>
      <c r="N1150" s="38">
        <f>IFERROR(Tabela3[[#This Row],[Perda Pçs]]/Tabela3[[#This Row],[Previsto]],0)</f>
        <v>5.0724637681159424E-2</v>
      </c>
      <c r="O1150" s="39">
        <f>IFERROR(IF(Tabela3[[#This Row],[Qtde Cx Produzida]] &lt;&gt; 0, Tabela3[[#This Row],[Tempo]] / Tabela3[[#This Row],[Qtde Cx Produzida]], 0),0)</f>
        <v>5.2938808373590978E-3</v>
      </c>
      <c r="P1150" s="57">
        <f>IFERROR(Tabela3[[#This Row],[Perda Pçs]]/Tabela3[[#This Row],[Qdt Peça Placa]],0)</f>
        <v>3.5</v>
      </c>
      <c r="Q1150" s="37">
        <f>IFERROR(Tabela3[[#This Row],[Realizado]]*Tabela3[[#This Row],[Peso Util/Pç]],0)</f>
        <v>118.68599999999999</v>
      </c>
      <c r="R1150" s="37">
        <f>IFERROR(Tabela3[[#This Row],[Peso Total Galho]]*Tabela3[[#This Row],[Qtde Cx Produzida]]*1.055,0)</f>
        <v>156.65483999999998</v>
      </c>
      <c r="S1150" s="37">
        <f>(Tabela3[[#This Row],[Aluminio Bruto]]-Tabela3[[#This Row],[Aluminio Util]])*0.9</f>
        <v>34.171955999999987</v>
      </c>
      <c r="T1150" s="37">
        <f>Tabela3[[#This Row],[Aluminio Bruto]]/OleoKGAluminio</f>
        <v>65.904488635237882</v>
      </c>
      <c r="U1150" s="35">
        <f>IFERROR((VLOOKUP(Tabela3[[#This Row],[Moldador]],Tabela1[],5,)+(VLOOKUP(Tabela3[[#This Row],[Ajudante]],Tabela1[],5,))*3.5),0)</f>
        <v>126.0945</v>
      </c>
      <c r="V1150" s="35">
        <f>IFERROR(Tabela3[[#This Row],[Custo M.O. / H]]/((Tabela3[[#This Row],[Realizado]]/Tabela3[[#This Row],[Qdt Peça Placa]])/Tabela3[[#This Row],[Tempo]]/24),)</f>
        <v>16.876770229007629</v>
      </c>
      <c r="W1150" s="35">
        <f>Tabela3[[#This Row],[Custo / Cx Moldada]]*Tabela3[[#This Row],[Qtde Cx Produzida]]</f>
        <v>1164.4971458015264</v>
      </c>
      <c r="X1150" s="35">
        <f ca="1">Tabela3[[#This Row],[Aluminio Util]]*Tabela3[[#This Row],[Custo/Kg]]</f>
        <v>1851.5016000000001</v>
      </c>
      <c r="Y1150" s="35">
        <f>IFERROR(VLOOKUP(Tabela3[[#This Row],[Data]],Tabela461213[],2,1)*(Tabela3[[#This Row],[Qtde Cx Produzida]]*Tabela3[[#This Row],[Qde macho / CX]]*Tabela3[[#This Row],[Peso Macho]]),)</f>
        <v>0</v>
      </c>
      <c r="Z1150" s="35">
        <f>IFERROR(Tabela3[[#This Row],[Qtde Oleo]]*(VLOOKUP(Tabela3[[#This Row],[Data]],CompraOleo[],3,TRUE))*1.05,0)</f>
        <v>172.99928266749944</v>
      </c>
      <c r="AA1150" s="47">
        <f ca="1">(Tabela3[[#This Row],[Custo Oleo]]+Tabela3[[#This Row],[Custo Aluminio]]+Tabela3[[#This Row],[Custo M.O. Total]]+Tabela3[[#This Row],[Custo Machos]])</f>
        <v>3188.9980284690259</v>
      </c>
      <c r="AB1150" s="47">
        <f ca="1">Tabela3[[#This Row],[Custo Total]]*Tabela3[[#This Row],[% Perda]]</f>
        <v>161.76076956002308</v>
      </c>
      <c r="AC1150" s="40">
        <f>IFERROR(VLOOKUP(Tabela3[[#This Row],[Produto]],Tabela2[],2,0),0)</f>
        <v>6</v>
      </c>
      <c r="AD1150" s="48">
        <f>IFERROR(VLOOKUP(Tabela3[[#This Row],[Produto]],Tabela2[],3,0),0)</f>
        <v>0.30199999999999999</v>
      </c>
      <c r="AE1150" s="48">
        <f>IFERROR(VLOOKUP(Tabela3[[#This Row],[Produto]],Tabela2[],4,0),0)</f>
        <v>2.1520000000000001</v>
      </c>
      <c r="AF1150" s="48">
        <f>IFERROR(VLOOKUP(Tabela3[[#This Row],[Produto]],Tabela2[],5,0),0)</f>
        <v>0.30600000000000027</v>
      </c>
      <c r="AG1150" s="48">
        <f>IFERROR(VLOOKUP(Tabela3[[#This Row],[Produto]],Tabela2[],6,0),0)</f>
        <v>0</v>
      </c>
      <c r="AH1150" s="40">
        <f>IFERROR(VLOOKUP(Tabela3[[#This Row],[Produto]],Tabela2[],7,0),0)</f>
        <v>0</v>
      </c>
      <c r="AI1150" s="40">
        <f>IFERROR(VLOOKUP(Tabela3[[#This Row],[Produto]],Tabela2[],8,0),0)</f>
        <v>0</v>
      </c>
      <c r="AJ1150" s="35">
        <f ca="1">IFERROR(VLOOKUP(Tabela3[[#This Row],[Produto]],Tabela2[],13,0),0)</f>
        <v>15.600000000000001</v>
      </c>
      <c r="AK1150" s="48" t="str">
        <f>IFERROR(VLOOKUP(Tabela3[[#This Row],[Produto]],Tabela2[],14,0),0)</f>
        <v>Senun</v>
      </c>
      <c r="AL1150" s="40">
        <f>IFERROR(VLOOKUP(Tabela3[[#This Row],[Produto]],Tabela2[],15,0),0)</f>
        <v>4</v>
      </c>
      <c r="AM1150" s="36">
        <f ca="1">(Tabela3[[#This Row],[Custo Usinagem]]+Tabela3[[#This Row],[Custo / Pç]])*1.2</f>
        <v>14.537398560210766</v>
      </c>
      <c r="AN1150" s="36">
        <f ca="1">Tabela3[[#This Row],[Valor Mínimo Venda]]*1.15</f>
        <v>16.718008344242381</v>
      </c>
      <c r="AO1150" s="36">
        <f ca="1">Tabela3[[#This Row],[Tabela 1]]*1.08</f>
        <v>18.055449011781771</v>
      </c>
      <c r="AP1150" s="36">
        <f ca="1">Tabela3[[#This Row],[Tabela 2]]*1.15</f>
        <v>20.763766363549035</v>
      </c>
    </row>
    <row r="1151" spans="1:42">
      <c r="A1151" s="9">
        <v>46141</v>
      </c>
      <c r="B1151" s="9" t="s">
        <v>247</v>
      </c>
      <c r="C1151" s="14">
        <v>9368</v>
      </c>
      <c r="D1151" s="6" t="s">
        <v>46</v>
      </c>
      <c r="E1151" s="6" t="s">
        <v>50</v>
      </c>
      <c r="F1151" s="6">
        <v>40</v>
      </c>
      <c r="G1151" s="15">
        <v>0.20416666666666666</v>
      </c>
      <c r="H1151" s="16">
        <v>25</v>
      </c>
      <c r="I1151" s="35">
        <f ca="1">IFERROR(Tabela3[[#This Row],[Custo Total]]/Tabela3[[#This Row],[Aluminio Util]],0)</f>
        <v>32.578741903329004</v>
      </c>
      <c r="J1151" s="35">
        <f ca="1">Tabela3[[#This Row],[Custo Total]]/Tabela3[[#This Row],[Realizado]]</f>
        <v>9.7736225709987004</v>
      </c>
      <c r="K1151" s="37">
        <f>IFERROR(Tabela3[[#This Row],[Qtde Cx Produzida]]/Tabela3[[#This Row],[Tempo]]/24,0)</f>
        <v>8.1632653061224492</v>
      </c>
      <c r="L1151" s="37">
        <f>Tabela3[[#This Row],[Qtde Cx Produzida]]*Tabela3[[#This Row],[Qdt Peça Placa]]</f>
        <v>160</v>
      </c>
      <c r="M1151" s="37">
        <f>Tabela3[[#This Row],[Previsto]]-Tabela3[[#This Row],[Perda Pçs]]</f>
        <v>135</v>
      </c>
      <c r="N1151" s="38">
        <f>IFERROR(Tabela3[[#This Row],[Perda Pçs]]/Tabela3[[#This Row],[Previsto]],0)</f>
        <v>0.15625</v>
      </c>
      <c r="O1151" s="39">
        <f>IFERROR(IF(Tabela3[[#This Row],[Qtde Cx Produzida]] &lt;&gt; 0, Tabela3[[#This Row],[Tempo]] / Tabela3[[#This Row],[Qtde Cx Produzida]], 0),0)</f>
        <v>5.1041666666666666E-3</v>
      </c>
      <c r="P1151" s="57">
        <f>IFERROR(Tabela3[[#This Row],[Perda Pçs]]/Tabela3[[#This Row],[Qdt Peça Placa]],0)</f>
        <v>6.25</v>
      </c>
      <c r="Q1151" s="37">
        <f>IFERROR(Tabela3[[#This Row],[Realizado]]*Tabela3[[#This Row],[Peso Util/Pç]],0)</f>
        <v>40.5</v>
      </c>
      <c r="R1151" s="37">
        <f>IFERROR(Tabela3[[#This Row],[Peso Total Galho]]*Tabela3[[#This Row],[Qtde Cx Produzida]]*1.055,0)</f>
        <v>97.059999999999988</v>
      </c>
      <c r="S1151" s="37">
        <f>(Tabela3[[#This Row],[Aluminio Bruto]]-Tabela3[[#This Row],[Aluminio Util]])*0.9</f>
        <v>50.903999999999989</v>
      </c>
      <c r="T1151" s="37">
        <f>Tabela3[[#This Row],[Aluminio Bruto]]/OleoKGAluminio</f>
        <v>40.833016502625696</v>
      </c>
      <c r="U1151" s="35">
        <f>IFERROR((VLOOKUP(Tabela3[[#This Row],[Moldador]],Tabela1[],5,)+(VLOOKUP(Tabela3[[#This Row],[Ajudante]],Tabela1[],5,))*3.5),0)</f>
        <v>99.95034583333333</v>
      </c>
      <c r="V1151" s="35">
        <f>IFERROR(Tabela3[[#This Row],[Custo M.O. / H]]/((Tabela3[[#This Row],[Realizado]]/Tabela3[[#This Row],[Qdt Peça Placa]])/Tabela3[[#This Row],[Tempo]]/24),)</f>
        <v>14.511309469135801</v>
      </c>
      <c r="W1151" s="35">
        <f>Tabela3[[#This Row],[Custo / Cx Moldada]]*Tabela3[[#This Row],[Qtde Cx Produzida]]</f>
        <v>580.45237876543206</v>
      </c>
      <c r="X1151" s="35">
        <f ca="1">Tabela3[[#This Row],[Aluminio Util]]*Tabela3[[#This Row],[Custo/Kg]]</f>
        <v>631.80000000000007</v>
      </c>
      <c r="Y1151" s="35">
        <f>IFERROR(VLOOKUP(Tabela3[[#This Row],[Data]],Tabela461213[],2,1)*(Tabela3[[#This Row],[Qtde Cx Produzida]]*Tabela3[[#This Row],[Qde macho / CX]]*Tabela3[[#This Row],[Peso Macho]]),)</f>
        <v>0</v>
      </c>
      <c r="Z1151" s="35">
        <f>IFERROR(Tabela3[[#This Row],[Qtde Oleo]]*(VLOOKUP(Tabela3[[#This Row],[Data]],CompraOleo[],3,TRUE))*1.05,0)</f>
        <v>107.18666831939245</v>
      </c>
      <c r="AA1151" s="47">
        <f ca="1">(Tabela3[[#This Row],[Custo Oleo]]+Tabela3[[#This Row],[Custo Aluminio]]+Tabela3[[#This Row],[Custo M.O. Total]]+Tabela3[[#This Row],[Custo Machos]])</f>
        <v>1319.4390470848246</v>
      </c>
      <c r="AB1151" s="47">
        <f ca="1">Tabela3[[#This Row],[Custo Total]]*Tabela3[[#This Row],[% Perda]]</f>
        <v>206.16235110700384</v>
      </c>
      <c r="AC1151" s="40">
        <f>IFERROR(VLOOKUP(Tabela3[[#This Row],[Produto]],Tabela2[],2,0),0)</f>
        <v>4</v>
      </c>
      <c r="AD1151" s="48">
        <f>IFERROR(VLOOKUP(Tabela3[[#This Row],[Produto]],Tabela2[],3,0),0)</f>
        <v>0.3</v>
      </c>
      <c r="AE1151" s="48">
        <f>IFERROR(VLOOKUP(Tabela3[[#This Row],[Produto]],Tabela2[],4,0),0)</f>
        <v>2.2999999999999998</v>
      </c>
      <c r="AF1151" s="48">
        <f>IFERROR(VLOOKUP(Tabela3[[#This Row],[Produto]],Tabela2[],5,0),0)</f>
        <v>0.98999999999999988</v>
      </c>
      <c r="AG1151" s="48">
        <f>IFERROR(VLOOKUP(Tabela3[[#This Row],[Produto]],Tabela2[],6,0),0)</f>
        <v>0</v>
      </c>
      <c r="AH1151" s="40">
        <f>IFERROR(VLOOKUP(Tabela3[[#This Row],[Produto]],Tabela2[],7,0),0)</f>
        <v>0</v>
      </c>
      <c r="AI1151" s="40">
        <f>IFERROR(VLOOKUP(Tabela3[[#This Row],[Produto]],Tabela2[],8,0),0)</f>
        <v>0</v>
      </c>
      <c r="AJ1151" s="35">
        <f ca="1">IFERROR(VLOOKUP(Tabela3[[#This Row],[Produto]],Tabela2[],13,0),0)</f>
        <v>15.600000000000001</v>
      </c>
      <c r="AK1151" s="48" t="str">
        <f>IFERROR(VLOOKUP(Tabela3[[#This Row],[Produto]],Tabela2[],14,0),0)</f>
        <v>Senun</v>
      </c>
      <c r="AL1151" s="40">
        <f>IFERROR(VLOOKUP(Tabela3[[#This Row],[Produto]],Tabela2[],15,0),0)</f>
        <v>3.5</v>
      </c>
      <c r="AM1151" s="36">
        <f ca="1">(Tabela3[[#This Row],[Custo Usinagem]]+Tabela3[[#This Row],[Custo / Pç]])*1.2</f>
        <v>15.928347085198439</v>
      </c>
      <c r="AN1151" s="36">
        <f ca="1">Tabela3[[#This Row],[Valor Mínimo Venda]]*1.15</f>
        <v>18.317599147978203</v>
      </c>
      <c r="AO1151" s="36">
        <f ca="1">Tabela3[[#This Row],[Tabela 1]]*1.08</f>
        <v>19.783007079816461</v>
      </c>
      <c r="AP1151" s="36">
        <f ca="1">Tabela3[[#This Row],[Tabela 2]]*1.15</f>
        <v>22.750458141788929</v>
      </c>
    </row>
    <row r="1152" spans="1:42">
      <c r="A1152" s="9">
        <v>46141</v>
      </c>
      <c r="B1152" s="9" t="s">
        <v>247</v>
      </c>
      <c r="C1152" s="14">
        <v>9368</v>
      </c>
      <c r="D1152" s="6" t="s">
        <v>44</v>
      </c>
      <c r="E1152" s="6" t="s">
        <v>47</v>
      </c>
      <c r="F1152" s="6">
        <v>15</v>
      </c>
      <c r="G1152" s="15">
        <v>6.805555555555555E-2</v>
      </c>
      <c r="H1152" s="16">
        <v>0</v>
      </c>
      <c r="I1152" s="35">
        <f ca="1">IFERROR(Tabela3[[#This Row],[Custo Total]]/Tabela3[[#This Row],[Aluminio Util]],0)</f>
        <v>26.902624008197222</v>
      </c>
      <c r="J1152" s="35">
        <f ca="1">Tabela3[[#This Row],[Custo Total]]/Tabela3[[#This Row],[Realizado]]</f>
        <v>8.0707872024591669</v>
      </c>
      <c r="K1152" s="37">
        <f>IFERROR(Tabela3[[#This Row],[Qtde Cx Produzida]]/Tabela3[[#This Row],[Tempo]]/24,0)</f>
        <v>9.183673469387756</v>
      </c>
      <c r="L1152" s="37">
        <f>Tabela3[[#This Row],[Qtde Cx Produzida]]*Tabela3[[#This Row],[Qdt Peça Placa]]</f>
        <v>60</v>
      </c>
      <c r="M1152" s="37">
        <f>Tabela3[[#This Row],[Previsto]]-Tabela3[[#This Row],[Perda Pçs]]</f>
        <v>60</v>
      </c>
      <c r="N1152" s="38">
        <f>IFERROR(Tabela3[[#This Row],[Perda Pçs]]/Tabela3[[#This Row],[Previsto]],0)</f>
        <v>0</v>
      </c>
      <c r="O1152" s="39">
        <f>IFERROR(IF(Tabela3[[#This Row],[Qtde Cx Produzida]] &lt;&gt; 0, Tabela3[[#This Row],[Tempo]] / Tabela3[[#This Row],[Qtde Cx Produzida]], 0),0)</f>
        <v>4.5370370370370365E-3</v>
      </c>
      <c r="P1152" s="57">
        <f>IFERROR(Tabela3[[#This Row],[Perda Pçs]]/Tabela3[[#This Row],[Qdt Peça Placa]],0)</f>
        <v>0</v>
      </c>
      <c r="Q1152" s="37">
        <f>IFERROR(Tabela3[[#This Row],[Realizado]]*Tabela3[[#This Row],[Peso Util/Pç]],0)</f>
        <v>18</v>
      </c>
      <c r="R1152" s="37">
        <f>IFERROR(Tabela3[[#This Row],[Peso Total Galho]]*Tabela3[[#This Row],[Qtde Cx Produzida]]*1.055,0)</f>
        <v>36.397500000000001</v>
      </c>
      <c r="S1152" s="37">
        <f>(Tabela3[[#This Row],[Aluminio Bruto]]-Tabela3[[#This Row],[Aluminio Util]])*0.9</f>
        <v>16.557750000000002</v>
      </c>
      <c r="T1152" s="37">
        <f>Tabela3[[#This Row],[Aluminio Bruto]]/OleoKGAluminio</f>
        <v>15.31238118848464</v>
      </c>
      <c r="U1152" s="35">
        <f>IFERROR((VLOOKUP(Tabela3[[#This Row],[Moldador]],Tabela1[],5,)+(VLOOKUP(Tabela3[[#This Row],[Ajudante]],Tabela1[],5,))*3.5),0)</f>
        <v>99.95034583333333</v>
      </c>
      <c r="V1152" s="35">
        <f>IFERROR(Tabela3[[#This Row],[Custo M.O. / H]]/((Tabela3[[#This Row],[Realizado]]/Tabela3[[#This Row],[Qdt Peça Placa]])/Tabela3[[#This Row],[Tempo]]/24),)</f>
        <v>10.88348210185185</v>
      </c>
      <c r="W1152" s="35">
        <f>Tabela3[[#This Row],[Custo / Cx Moldada]]*Tabela3[[#This Row],[Qtde Cx Produzida]]</f>
        <v>163.25223152777775</v>
      </c>
      <c r="X1152" s="35">
        <f ca="1">Tabela3[[#This Row],[Aluminio Util]]*Tabela3[[#This Row],[Custo/Kg]]</f>
        <v>280.8</v>
      </c>
      <c r="Y1152" s="35">
        <f>IFERROR(VLOOKUP(Tabela3[[#This Row],[Data]],Tabela461213[],2,1)*(Tabela3[[#This Row],[Qtde Cx Produzida]]*Tabela3[[#This Row],[Qde macho / CX]]*Tabela3[[#This Row],[Peso Macho]]),)</f>
        <v>0</v>
      </c>
      <c r="Z1152" s="35">
        <f>IFERROR(Tabela3[[#This Row],[Qtde Oleo]]*(VLOOKUP(Tabela3[[#This Row],[Data]],CompraOleo[],3,TRUE))*1.05,0)</f>
        <v>40.195000619772181</v>
      </c>
      <c r="AA1152" s="47">
        <f ca="1">(Tabela3[[#This Row],[Custo Oleo]]+Tabela3[[#This Row],[Custo Aluminio]]+Tabela3[[#This Row],[Custo M.O. Total]]+Tabela3[[#This Row],[Custo Machos]])</f>
        <v>484.24723214754999</v>
      </c>
      <c r="AB1152" s="47">
        <f ca="1">Tabela3[[#This Row],[Custo Total]]*Tabela3[[#This Row],[% Perda]]</f>
        <v>0</v>
      </c>
      <c r="AC1152" s="40">
        <f>IFERROR(VLOOKUP(Tabela3[[#This Row],[Produto]],Tabela2[],2,0),0)</f>
        <v>4</v>
      </c>
      <c r="AD1152" s="48">
        <f>IFERROR(VLOOKUP(Tabela3[[#This Row],[Produto]],Tabela2[],3,0),0)</f>
        <v>0.3</v>
      </c>
      <c r="AE1152" s="48">
        <f>IFERROR(VLOOKUP(Tabela3[[#This Row],[Produto]],Tabela2[],4,0),0)</f>
        <v>2.2999999999999998</v>
      </c>
      <c r="AF1152" s="48">
        <f>IFERROR(VLOOKUP(Tabela3[[#This Row],[Produto]],Tabela2[],5,0),0)</f>
        <v>0.98999999999999988</v>
      </c>
      <c r="AG1152" s="48">
        <f>IFERROR(VLOOKUP(Tabela3[[#This Row],[Produto]],Tabela2[],6,0),0)</f>
        <v>0</v>
      </c>
      <c r="AH1152" s="40">
        <f>IFERROR(VLOOKUP(Tabela3[[#This Row],[Produto]],Tabela2[],7,0),0)</f>
        <v>0</v>
      </c>
      <c r="AI1152" s="40">
        <f>IFERROR(VLOOKUP(Tabela3[[#This Row],[Produto]],Tabela2[],8,0),0)</f>
        <v>0</v>
      </c>
      <c r="AJ1152" s="35">
        <f ca="1">IFERROR(VLOOKUP(Tabela3[[#This Row],[Produto]],Tabela2[],13,0),0)</f>
        <v>15.600000000000001</v>
      </c>
      <c r="AK1152" s="48" t="str">
        <f>IFERROR(VLOOKUP(Tabela3[[#This Row],[Produto]],Tabela2[],14,0),0)</f>
        <v>Senun</v>
      </c>
      <c r="AL1152" s="40">
        <f>IFERROR(VLOOKUP(Tabela3[[#This Row],[Produto]],Tabela2[],15,0),0)</f>
        <v>3.5</v>
      </c>
      <c r="AM1152" s="36">
        <f ca="1">(Tabela3[[#This Row],[Custo Usinagem]]+Tabela3[[#This Row],[Custo / Pç]])*1.2</f>
        <v>13.884944642951</v>
      </c>
      <c r="AN1152" s="36">
        <f ca="1">Tabela3[[#This Row],[Valor Mínimo Venda]]*1.15</f>
        <v>15.967686339393648</v>
      </c>
      <c r="AO1152" s="36">
        <f ca="1">Tabela3[[#This Row],[Tabela 1]]*1.08</f>
        <v>17.24510124654514</v>
      </c>
      <c r="AP1152" s="36">
        <f ca="1">Tabela3[[#This Row],[Tabela 2]]*1.15</f>
        <v>19.831866433526908</v>
      </c>
    </row>
    <row r="1153" spans="1:42">
      <c r="A1153" s="9">
        <v>46141</v>
      </c>
      <c r="B1153" s="9" t="s">
        <v>246</v>
      </c>
      <c r="C1153" s="14">
        <v>9578</v>
      </c>
      <c r="D1153" s="6" t="s">
        <v>44</v>
      </c>
      <c r="E1153" s="6" t="s">
        <v>47</v>
      </c>
      <c r="F1153" s="6">
        <v>15</v>
      </c>
      <c r="G1153" s="15">
        <v>7.9861111111111105E-2</v>
      </c>
      <c r="H1153" s="16">
        <v>3</v>
      </c>
      <c r="I1153" s="35">
        <f ca="1">IFERROR(Tabela3[[#This Row],[Custo Total]]/Tabela3[[#This Row],[Aluminio Util]],0)</f>
        <v>24.135772171805012</v>
      </c>
      <c r="J1153" s="35">
        <f ca="1">Tabela3[[#This Row],[Custo Total]]/Tabela3[[#This Row],[Realizado]]</f>
        <v>12.864366567572072</v>
      </c>
      <c r="K1153" s="37">
        <f>IFERROR(Tabela3[[#This Row],[Qtde Cx Produzida]]/Tabela3[[#This Row],[Tempo]]/24,0)</f>
        <v>7.8260869565217392</v>
      </c>
      <c r="L1153" s="37">
        <f>Tabela3[[#This Row],[Qtde Cx Produzida]]*Tabela3[[#This Row],[Qdt Peça Placa]]</f>
        <v>60</v>
      </c>
      <c r="M1153" s="37">
        <f>Tabela3[[#This Row],[Previsto]]-Tabela3[[#This Row],[Perda Pçs]]</f>
        <v>57</v>
      </c>
      <c r="N1153" s="38">
        <f>IFERROR(Tabela3[[#This Row],[Perda Pçs]]/Tabela3[[#This Row],[Previsto]],0)</f>
        <v>0.05</v>
      </c>
      <c r="O1153" s="39">
        <f>IFERROR(IF(Tabela3[[#This Row],[Qtde Cx Produzida]] &lt;&gt; 0, Tabela3[[#This Row],[Tempo]] / Tabela3[[#This Row],[Qtde Cx Produzida]], 0),0)</f>
        <v>5.324074074074074E-3</v>
      </c>
      <c r="P1153" s="57">
        <f>IFERROR(Tabela3[[#This Row],[Perda Pçs]]/Tabela3[[#This Row],[Qdt Peça Placa]],0)</f>
        <v>0.75</v>
      </c>
      <c r="Q1153" s="37">
        <f>IFERROR(Tabela3[[#This Row],[Realizado]]*Tabela3[[#This Row],[Peso Util/Pç]],0)</f>
        <v>30.381</v>
      </c>
      <c r="R1153" s="37">
        <f>IFERROR(Tabela3[[#This Row],[Peso Total Galho]]*Tabela3[[#This Row],[Qtde Cx Produzida]]*1.055,0)</f>
        <v>52.222499999999997</v>
      </c>
      <c r="S1153" s="37">
        <f>(Tabela3[[#This Row],[Aluminio Bruto]]-Tabela3[[#This Row],[Aluminio Util]])*0.9</f>
        <v>19.657349999999997</v>
      </c>
      <c r="T1153" s="37">
        <f>Tabela3[[#This Row],[Aluminio Bruto]]/OleoKGAluminio</f>
        <v>21.96993822695622</v>
      </c>
      <c r="U1153" s="35">
        <f>IFERROR((VLOOKUP(Tabela3[[#This Row],[Moldador]],Tabela1[],5,)+(VLOOKUP(Tabela3[[#This Row],[Ajudante]],Tabela1[],5,))*3.5),0)</f>
        <v>99.95034583333333</v>
      </c>
      <c r="V1153" s="35">
        <f>IFERROR(Tabela3[[#This Row],[Custo M.O. / H]]/((Tabela3[[#This Row],[Realizado]]/Tabela3[[#This Row],[Qdt Peça Placa]])/Tabela3[[#This Row],[Tempo]]/24),)</f>
        <v>13.443613767056529</v>
      </c>
      <c r="W1153" s="35">
        <f>Tabela3[[#This Row],[Custo / Cx Moldada]]*Tabela3[[#This Row],[Qtde Cx Produzida]]</f>
        <v>201.65420650584795</v>
      </c>
      <c r="X1153" s="35">
        <f ca="1">Tabela3[[#This Row],[Aluminio Util]]*Tabela3[[#This Row],[Custo/Kg]]</f>
        <v>473.94360000000006</v>
      </c>
      <c r="Y1153" s="35">
        <f>IFERROR(VLOOKUP(Tabela3[[#This Row],[Data]],Tabela461213[],2,1)*(Tabela3[[#This Row],[Qtde Cx Produzida]]*Tabela3[[#This Row],[Qde macho / CX]]*Tabela3[[#This Row],[Peso Macho]]),)</f>
        <v>0</v>
      </c>
      <c r="Z1153" s="35">
        <f>IFERROR(Tabela3[[#This Row],[Qtde Oleo]]*(VLOOKUP(Tabela3[[#This Row],[Data]],CompraOleo[],3,TRUE))*1.05,0)</f>
        <v>57.671087845760077</v>
      </c>
      <c r="AA1153" s="47">
        <f ca="1">(Tabela3[[#This Row],[Custo Oleo]]+Tabela3[[#This Row],[Custo Aluminio]]+Tabela3[[#This Row],[Custo M.O. Total]]+Tabela3[[#This Row],[Custo Machos]])</f>
        <v>733.26889435160808</v>
      </c>
      <c r="AB1153" s="47">
        <f ca="1">Tabela3[[#This Row],[Custo Total]]*Tabela3[[#This Row],[% Perda]]</f>
        <v>36.663444717580404</v>
      </c>
      <c r="AC1153" s="40">
        <f>IFERROR(VLOOKUP(Tabela3[[#This Row],[Produto]],Tabela2[],2,0),0)</f>
        <v>4</v>
      </c>
      <c r="AD1153" s="48">
        <f>IFERROR(VLOOKUP(Tabela3[[#This Row],[Produto]],Tabela2[],3,0),0)</f>
        <v>0.53300000000000003</v>
      </c>
      <c r="AE1153" s="48">
        <f>IFERROR(VLOOKUP(Tabela3[[#This Row],[Produto]],Tabela2[],4,0),0)</f>
        <v>3.3</v>
      </c>
      <c r="AF1153" s="48">
        <f>IFERROR(VLOOKUP(Tabela3[[#This Row],[Produto]],Tabela2[],5,0),0)</f>
        <v>1.0511999999999997</v>
      </c>
      <c r="AG1153" s="48">
        <f>IFERROR(VLOOKUP(Tabela3[[#This Row],[Produto]],Tabela2[],6,0),0)</f>
        <v>0</v>
      </c>
      <c r="AH1153" s="40">
        <f>IFERROR(VLOOKUP(Tabela3[[#This Row],[Produto]],Tabela2[],7,0),0)</f>
        <v>0</v>
      </c>
      <c r="AI1153" s="40">
        <f>IFERROR(VLOOKUP(Tabela3[[#This Row],[Produto]],Tabela2[],8,0),0)</f>
        <v>0</v>
      </c>
      <c r="AJ1153" s="35">
        <f ca="1">IFERROR(VLOOKUP(Tabela3[[#This Row],[Produto]],Tabela2[],13,0),0)</f>
        <v>15.600000000000001</v>
      </c>
      <c r="AK1153" s="48" t="str">
        <f>IFERROR(VLOOKUP(Tabela3[[#This Row],[Produto]],Tabela2[],14,0),0)</f>
        <v>Senun</v>
      </c>
      <c r="AL1153" s="40">
        <f>IFERROR(VLOOKUP(Tabela3[[#This Row],[Produto]],Tabela2[],15,0),0)</f>
        <v>4</v>
      </c>
      <c r="AM1153" s="36">
        <f ca="1">(Tabela3[[#This Row],[Custo Usinagem]]+Tabela3[[#This Row],[Custo / Pç]])*1.2</f>
        <v>20.237239881086484</v>
      </c>
      <c r="AN1153" s="36">
        <f ca="1">Tabela3[[#This Row],[Valor Mínimo Venda]]*1.15</f>
        <v>23.272825863249455</v>
      </c>
      <c r="AO1153" s="36">
        <f ca="1">Tabela3[[#This Row],[Tabela 1]]*1.08</f>
        <v>25.134651932309414</v>
      </c>
      <c r="AP1153" s="36">
        <f ca="1">Tabela3[[#This Row],[Tabela 2]]*1.15</f>
        <v>28.904849722155824</v>
      </c>
    </row>
    <row r="1154" spans="1:42">
      <c r="A1154" s="9">
        <v>46141</v>
      </c>
      <c r="B1154" s="6" t="s">
        <v>241</v>
      </c>
      <c r="C1154" s="14">
        <v>9519</v>
      </c>
      <c r="D1154" s="6" t="s">
        <v>44</v>
      </c>
      <c r="E1154" s="6" t="s">
        <v>47</v>
      </c>
      <c r="F1154" s="6">
        <v>15</v>
      </c>
      <c r="G1154" s="15">
        <v>9.6527777777777782E-2</v>
      </c>
      <c r="H1154" s="16">
        <v>0</v>
      </c>
      <c r="I1154" s="35">
        <f ca="1">IFERROR(Tabela3[[#This Row],[Custo Total]]/Tabela3[[#This Row],[Aluminio Util]],0)</f>
        <v>23.962496300895495</v>
      </c>
      <c r="J1154" s="35">
        <f ca="1">Tabela3[[#This Row],[Custo Total]]/Tabela3[[#This Row],[Realizado]]</f>
        <v>14.689010232448938</v>
      </c>
      <c r="K1154" s="37">
        <f>IFERROR(Tabela3[[#This Row],[Qtde Cx Produzida]]/Tabela3[[#This Row],[Tempo]]/24,0)</f>
        <v>6.4748201438848918</v>
      </c>
      <c r="L1154" s="37">
        <f>Tabela3[[#This Row],[Qtde Cx Produzida]]*Tabela3[[#This Row],[Qdt Peça Placa]]</f>
        <v>60</v>
      </c>
      <c r="M1154" s="37">
        <f>Tabela3[[#This Row],[Previsto]]-Tabela3[[#This Row],[Perda Pçs]]</f>
        <v>60</v>
      </c>
      <c r="N1154" s="38">
        <f>IFERROR(Tabela3[[#This Row],[Perda Pçs]]/Tabela3[[#This Row],[Previsto]],0)</f>
        <v>0</v>
      </c>
      <c r="O1154" s="39">
        <f>IFERROR(IF(Tabela3[[#This Row],[Qtde Cx Produzida]] &lt;&gt; 0, Tabela3[[#This Row],[Tempo]] / Tabela3[[#This Row],[Qtde Cx Produzida]], 0),0)</f>
        <v>6.4351851851851853E-3</v>
      </c>
      <c r="P1154" s="57">
        <f>IFERROR(Tabela3[[#This Row],[Perda Pçs]]/Tabela3[[#This Row],[Qdt Peça Placa]],0)</f>
        <v>0</v>
      </c>
      <c r="Q1154" s="37">
        <f>IFERROR(Tabela3[[#This Row],[Realizado]]*Tabela3[[#This Row],[Peso Util/Pç]],0)</f>
        <v>36.78</v>
      </c>
      <c r="R1154" s="37">
        <f>IFERROR(Tabela3[[#This Row],[Peso Total Galho]]*Tabela3[[#This Row],[Qtde Cx Produzida]]*1.055,0)</f>
        <v>68.83874999999999</v>
      </c>
      <c r="S1154" s="37">
        <f>(Tabela3[[#This Row],[Aluminio Bruto]]-Tabela3[[#This Row],[Aluminio Util]])*0.9</f>
        <v>28.85287499999999</v>
      </c>
      <c r="T1154" s="37">
        <f>Tabela3[[#This Row],[Aluminio Bruto]]/OleoKGAluminio</f>
        <v>28.960373117351381</v>
      </c>
      <c r="U1154" s="35">
        <f>IFERROR((VLOOKUP(Tabela3[[#This Row],[Moldador]],Tabela1[],5,)+(VLOOKUP(Tabela3[[#This Row],[Ajudante]],Tabela1[],5,))*3.5),0)</f>
        <v>99.95034583333333</v>
      </c>
      <c r="V1154" s="35">
        <f>IFERROR(Tabela3[[#This Row],[Custo M.O. / H]]/((Tabela3[[#This Row],[Realizado]]/Tabela3[[#This Row],[Qdt Peça Placa]])/Tabela3[[#This Row],[Tempo]]/24),)</f>
        <v>15.436775634259259</v>
      </c>
      <c r="W1154" s="35">
        <f>Tabela3[[#This Row],[Custo / Cx Moldada]]*Tabela3[[#This Row],[Qtde Cx Produzida]]</f>
        <v>231.5516345138889</v>
      </c>
      <c r="X1154" s="35">
        <f ca="1">Tabela3[[#This Row],[Aluminio Util]]*Tabela3[[#This Row],[Custo/Kg]]</f>
        <v>573.76800000000003</v>
      </c>
      <c r="Y1154" s="35">
        <f>IFERROR(VLOOKUP(Tabela3[[#This Row],[Data]],Tabela461213[],2,1)*(Tabela3[[#This Row],[Qtde Cx Produzida]]*Tabela3[[#This Row],[Qde macho / CX]]*Tabela3[[#This Row],[Peso Macho]]),)</f>
        <v>0</v>
      </c>
      <c r="Z1154" s="35">
        <f>IFERROR(Tabela3[[#This Row],[Qtde Oleo]]*(VLOOKUP(Tabela3[[#This Row],[Data]],CompraOleo[],3,TRUE))*1.05,0)</f>
        <v>76.020979433047373</v>
      </c>
      <c r="AA1154" s="47">
        <f ca="1">(Tabela3[[#This Row],[Custo Oleo]]+Tabela3[[#This Row],[Custo Aluminio]]+Tabela3[[#This Row],[Custo M.O. Total]]+Tabela3[[#This Row],[Custo Machos]])</f>
        <v>881.34061394693629</v>
      </c>
      <c r="AB1154" s="47">
        <f ca="1">Tabela3[[#This Row],[Custo Total]]*Tabela3[[#This Row],[% Perda]]</f>
        <v>0</v>
      </c>
      <c r="AC1154" s="40">
        <f>IFERROR(VLOOKUP(Tabela3[[#This Row],[Produto]],Tabela2[],2,0),0)</f>
        <v>4</v>
      </c>
      <c r="AD1154" s="48">
        <f>IFERROR(VLOOKUP(Tabela3[[#This Row],[Produto]],Tabela2[],3,0),0)</f>
        <v>0.61299999999999999</v>
      </c>
      <c r="AE1154" s="48">
        <f>IFERROR(VLOOKUP(Tabela3[[#This Row],[Produto]],Tabela2[],4,0),0)</f>
        <v>4.3499999999999996</v>
      </c>
      <c r="AF1154" s="48">
        <f>IFERROR(VLOOKUP(Tabela3[[#This Row],[Produto]],Tabela2[],5,0),0)</f>
        <v>1.7081999999999997</v>
      </c>
      <c r="AG1154" s="48">
        <f>IFERROR(VLOOKUP(Tabela3[[#This Row],[Produto]],Tabela2[],6,0),0)</f>
        <v>0</v>
      </c>
      <c r="AH1154" s="40">
        <f>IFERROR(VLOOKUP(Tabela3[[#This Row],[Produto]],Tabela2[],7,0),0)</f>
        <v>0</v>
      </c>
      <c r="AI1154" s="40">
        <f>IFERROR(VLOOKUP(Tabela3[[#This Row],[Produto]],Tabela2[],8,0),0)</f>
        <v>0</v>
      </c>
      <c r="AJ1154" s="35">
        <f ca="1">IFERROR(VLOOKUP(Tabela3[[#This Row],[Produto]],Tabela2[],13,0),0)</f>
        <v>15.600000000000001</v>
      </c>
      <c r="AK1154" s="48" t="str">
        <f>IFERROR(VLOOKUP(Tabela3[[#This Row],[Produto]],Tabela2[],14,0),0)</f>
        <v>Senun</v>
      </c>
      <c r="AL1154" s="40">
        <f>IFERROR(VLOOKUP(Tabela3[[#This Row],[Produto]],Tabela2[],15,0),0)</f>
        <v>4</v>
      </c>
      <c r="AM1154" s="36">
        <f ca="1">(Tabela3[[#This Row],[Custo Usinagem]]+Tabela3[[#This Row],[Custo / Pç]])*1.2</f>
        <v>22.426812278938723</v>
      </c>
      <c r="AN1154" s="36">
        <f ca="1">Tabela3[[#This Row],[Valor Mínimo Venda]]*1.15</f>
        <v>25.790834120779529</v>
      </c>
      <c r="AO1154" s="36">
        <f ca="1">Tabela3[[#This Row],[Tabela 1]]*1.08</f>
        <v>27.854100850441892</v>
      </c>
      <c r="AP1154" s="36">
        <f ca="1">Tabela3[[#This Row],[Tabela 2]]*1.15</f>
        <v>32.032215978008175</v>
      </c>
    </row>
    <row r="1155" spans="1:42">
      <c r="A1155" s="9">
        <v>46141</v>
      </c>
      <c r="B1155" s="9" t="s">
        <v>118</v>
      </c>
      <c r="C1155" s="14">
        <v>9581</v>
      </c>
      <c r="D1155" s="6" t="s">
        <v>46</v>
      </c>
      <c r="E1155" s="6" t="s">
        <v>54</v>
      </c>
      <c r="F1155" s="6">
        <v>3</v>
      </c>
      <c r="G1155" s="15">
        <v>2.2916666666666665E-2</v>
      </c>
      <c r="H1155" s="16">
        <v>0</v>
      </c>
      <c r="I1155" s="35">
        <f ca="1">IFERROR(Tabela3[[#This Row],[Custo Total]]/Tabela3[[#This Row],[Aluminio Util]],0)</f>
        <v>25.124517280037605</v>
      </c>
      <c r="J1155" s="35">
        <f ca="1">Tabela3[[#This Row],[Custo Total]]/Tabela3[[#This Row],[Realizado]]</f>
        <v>47.736582832071441</v>
      </c>
      <c r="K1155" s="37">
        <f>IFERROR(Tabela3[[#This Row],[Qtde Cx Produzida]]/Tabela3[[#This Row],[Tempo]]/24,0)</f>
        <v>5.4545454545454541</v>
      </c>
      <c r="L1155" s="37">
        <f>Tabela3[[#This Row],[Qtde Cx Produzida]]*Tabela3[[#This Row],[Qdt Peça Placa]]</f>
        <v>6</v>
      </c>
      <c r="M1155" s="37">
        <f>Tabela3[[#This Row],[Previsto]]-Tabela3[[#This Row],[Perda Pçs]]</f>
        <v>6</v>
      </c>
      <c r="N1155" s="38">
        <f>IFERROR(Tabela3[[#This Row],[Perda Pçs]]/Tabela3[[#This Row],[Previsto]],0)</f>
        <v>0</v>
      </c>
      <c r="O1155" s="39">
        <f>IFERROR(IF(Tabela3[[#This Row],[Qtde Cx Produzida]] &lt;&gt; 0, Tabela3[[#This Row],[Tempo]] / Tabela3[[#This Row],[Qtde Cx Produzida]], 0),0)</f>
        <v>7.6388888888888886E-3</v>
      </c>
      <c r="P1155" s="57">
        <f>IFERROR(Tabela3[[#This Row],[Perda Pçs]]/Tabela3[[#This Row],[Qdt Peça Placa]],0)</f>
        <v>0</v>
      </c>
      <c r="Q1155" s="37">
        <f>IFERROR(Tabela3[[#This Row],[Realizado]]*Tabela3[[#This Row],[Peso Util/Pç]],0)</f>
        <v>11.399999999999999</v>
      </c>
      <c r="R1155" s="37">
        <f>IFERROR(Tabela3[[#This Row],[Peso Total Galho]]*Tabela3[[#This Row],[Qtde Cx Produzida]]*1.055,0)</f>
        <v>14.875500000000001</v>
      </c>
      <c r="S1155" s="37">
        <f>(Tabela3[[#This Row],[Aluminio Bruto]]-Tabela3[[#This Row],[Aluminio Util]])*0.9</f>
        <v>3.127950000000002</v>
      </c>
      <c r="T1155" s="37">
        <f>Tabela3[[#This Row],[Aluminio Bruto]]/OleoKGAluminio</f>
        <v>6.2581036161632877</v>
      </c>
      <c r="U1155" s="35">
        <f>IFERROR((VLOOKUP(Tabela3[[#This Row],[Moldador]],Tabela1[],5,)+(VLOOKUP(Tabela3[[#This Row],[Ajudante]],Tabela1[],5,))*3.5),0)</f>
        <v>126.0945</v>
      </c>
      <c r="V1155" s="35">
        <f>IFERROR(Tabela3[[#This Row],[Custo M.O. / H]]/((Tabela3[[#This Row],[Realizado]]/Tabela3[[#This Row],[Qdt Peça Placa]])/Tabela3[[#This Row],[Tempo]]/24),)</f>
        <v>23.117325000000001</v>
      </c>
      <c r="W1155" s="35">
        <f>Tabela3[[#This Row],[Custo / Cx Moldada]]*Tabela3[[#This Row],[Qtde Cx Produzida]]</f>
        <v>69.35197500000001</v>
      </c>
      <c r="X1155" s="35">
        <f ca="1">Tabela3[[#This Row],[Aluminio Util]]*Tabela3[[#This Row],[Custo/Kg]]</f>
        <v>200.64</v>
      </c>
      <c r="Y1155" s="35">
        <f>IFERROR(VLOOKUP(Tabela3[[#This Row],[Data]],Tabela461213[],2,1)*(Tabela3[[#This Row],[Qtde Cx Produzida]]*Tabela3[[#This Row],[Qde macho / CX]]*Tabela3[[#This Row],[Peso Macho]]),)</f>
        <v>0</v>
      </c>
      <c r="Z1155" s="35">
        <f>IFERROR(Tabela3[[#This Row],[Qtde Oleo]]*(VLOOKUP(Tabela3[[#This Row],[Data]],CompraOleo[],3,TRUE))*1.05,0)</f>
        <v>16.42752199242863</v>
      </c>
      <c r="AA1155" s="47">
        <f ca="1">(Tabela3[[#This Row],[Custo Oleo]]+Tabela3[[#This Row],[Custo Aluminio]]+Tabela3[[#This Row],[Custo M.O. Total]]+Tabela3[[#This Row],[Custo Machos]])</f>
        <v>286.41949699242866</v>
      </c>
      <c r="AB1155" s="47">
        <f ca="1">Tabela3[[#This Row],[Custo Total]]*Tabela3[[#This Row],[% Perda]]</f>
        <v>0</v>
      </c>
      <c r="AC1155" s="40">
        <f>IFERROR(VLOOKUP(Tabela3[[#This Row],[Produto]],Tabela2[],2,0),0)</f>
        <v>2</v>
      </c>
      <c r="AD1155" s="48">
        <f>IFERROR(VLOOKUP(Tabela3[[#This Row],[Produto]],Tabela2[],3,0),0)</f>
        <v>1.9</v>
      </c>
      <c r="AE1155" s="48">
        <f>IFERROR(VLOOKUP(Tabela3[[#This Row],[Produto]],Tabela2[],4,0),0)</f>
        <v>4.7</v>
      </c>
      <c r="AF1155" s="48">
        <f>IFERROR(VLOOKUP(Tabela3[[#This Row],[Produto]],Tabela2[],5,0),0)</f>
        <v>0.81000000000000039</v>
      </c>
      <c r="AG1155" s="48">
        <f>IFERROR(VLOOKUP(Tabela3[[#This Row],[Produto]],Tabela2[],6,0),0)</f>
        <v>0</v>
      </c>
      <c r="AH1155" s="40">
        <f>IFERROR(VLOOKUP(Tabela3[[#This Row],[Produto]],Tabela2[],7,0),0)</f>
        <v>0</v>
      </c>
      <c r="AI1155" s="40">
        <f>IFERROR(VLOOKUP(Tabela3[[#This Row],[Produto]],Tabela2[],8,0),0)</f>
        <v>0</v>
      </c>
      <c r="AJ1155" s="35">
        <f ca="1">IFERROR(VLOOKUP(Tabela3[[#This Row],[Produto]],Tabela2[],13,0),0)</f>
        <v>17.600000000000001</v>
      </c>
      <c r="AK1155" s="48" t="str">
        <f>IFERROR(VLOOKUP(Tabela3[[#This Row],[Produto]],Tabela2[],14,0),0)</f>
        <v>Marcelo</v>
      </c>
      <c r="AL1155" s="40">
        <f>IFERROR(VLOOKUP(Tabela3[[#This Row],[Produto]],Tabela2[],15,0),0)</f>
        <v>0</v>
      </c>
      <c r="AM1155" s="36">
        <f ca="1">(Tabela3[[#This Row],[Custo Usinagem]]+Tabela3[[#This Row],[Custo / Pç]])*1.2</f>
        <v>57.28389939848573</v>
      </c>
      <c r="AN1155" s="36">
        <f ca="1">Tabela3[[#This Row],[Valor Mínimo Venda]]*1.15</f>
        <v>65.876484308258583</v>
      </c>
      <c r="AO1155" s="36">
        <f ca="1">Tabela3[[#This Row],[Tabela 1]]*1.08</f>
        <v>71.146603052919275</v>
      </c>
      <c r="AP1155" s="36">
        <f ca="1">Tabela3[[#This Row],[Tabela 2]]*1.15</f>
        <v>81.818593510857156</v>
      </c>
    </row>
    <row r="1156" spans="1:42">
      <c r="A1156" s="9">
        <v>46141</v>
      </c>
      <c r="B1156" s="9" t="s">
        <v>123</v>
      </c>
      <c r="C1156" s="14">
        <v>9580</v>
      </c>
      <c r="D1156" s="6" t="s">
        <v>46</v>
      </c>
      <c r="E1156" s="6" t="s">
        <v>50</v>
      </c>
      <c r="F1156" s="6">
        <v>12</v>
      </c>
      <c r="G1156" s="15">
        <v>0.12847222222222221</v>
      </c>
      <c r="H1156" s="16">
        <v>30</v>
      </c>
      <c r="I1156" s="35">
        <f ca="1">IFERROR(Tabela3[[#This Row],[Custo Total]]/Tabela3[[#This Row],[Aluminio Util]],0)</f>
        <v>101.59506395017551</v>
      </c>
      <c r="J1156" s="35">
        <f ca="1">Tabela3[[#This Row],[Custo Total]]/Tabela3[[#This Row],[Realizado]]</f>
        <v>58.417161771350919</v>
      </c>
      <c r="K1156" s="37">
        <f>IFERROR(Tabela3[[#This Row],[Qtde Cx Produzida]]/Tabela3[[#This Row],[Tempo]]/24,0)</f>
        <v>3.8918918918918926</v>
      </c>
      <c r="L1156" s="37">
        <f>Tabela3[[#This Row],[Qtde Cx Produzida]]*Tabela3[[#This Row],[Qdt Peça Placa]]</f>
        <v>48</v>
      </c>
      <c r="M1156" s="37">
        <f>Tabela3[[#This Row],[Previsto]]-Tabela3[[#This Row],[Perda Pçs]]</f>
        <v>18</v>
      </c>
      <c r="N1156" s="38">
        <f>IFERROR(Tabela3[[#This Row],[Perda Pçs]]/Tabela3[[#This Row],[Previsto]],0)</f>
        <v>0.625</v>
      </c>
      <c r="O1156" s="39">
        <f>IFERROR(IF(Tabela3[[#This Row],[Qtde Cx Produzida]] &lt;&gt; 0, Tabela3[[#This Row],[Tempo]] / Tabela3[[#This Row],[Qtde Cx Produzida]], 0),0)</f>
        <v>1.0706018518518517E-2</v>
      </c>
      <c r="P1156" s="57">
        <f>IFERROR(Tabela3[[#This Row],[Perda Pçs]]/Tabela3[[#This Row],[Qdt Peça Placa]],0)</f>
        <v>7.5</v>
      </c>
      <c r="Q1156" s="37">
        <f>IFERROR(Tabela3[[#This Row],[Realizado]]*Tabela3[[#This Row],[Peso Util/Pç]],0)</f>
        <v>10.35</v>
      </c>
      <c r="R1156" s="37">
        <f>IFERROR(Tabela3[[#This Row],[Peso Total Galho]]*Tabela3[[#This Row],[Qtde Cx Produzida]]*1.055,0)</f>
        <v>43.043999999999997</v>
      </c>
      <c r="S1156" s="37">
        <f>(Tabela3[[#This Row],[Aluminio Bruto]]-Tabela3[[#This Row],[Aluminio Util]])*0.9</f>
        <v>29.424599999999998</v>
      </c>
      <c r="T1156" s="37">
        <f>Tabela3[[#This Row],[Aluminio Bruto]]/OleoKGAluminio</f>
        <v>18.108555144642704</v>
      </c>
      <c r="U1156" s="35">
        <f>IFERROR((VLOOKUP(Tabela3[[#This Row],[Moldador]],Tabela1[],5,)+(VLOOKUP(Tabela3[[#This Row],[Ajudante]],Tabela1[],5,))*3.5),0)</f>
        <v>99.95034583333333</v>
      </c>
      <c r="V1156" s="35">
        <f>IFERROR(Tabela3[[#This Row],[Custo M.O. / H]]/((Tabela3[[#This Row],[Realizado]]/Tabela3[[#This Row],[Qdt Peça Placa]])/Tabela3[[#This Row],[Tempo]]/24),)</f>
        <v>68.484496219135792</v>
      </c>
      <c r="W1156" s="35">
        <f>Tabela3[[#This Row],[Custo / Cx Moldada]]*Tabela3[[#This Row],[Qtde Cx Produzida]]</f>
        <v>821.81395462962951</v>
      </c>
      <c r="X1156" s="35">
        <f ca="1">Tabela3[[#This Row],[Aluminio Util]]*Tabela3[[#This Row],[Custo/Kg]]</f>
        <v>182.16</v>
      </c>
      <c r="Y1156" s="35">
        <f>IFERROR(VLOOKUP(Tabela3[[#This Row],[Data]],Tabela461213[],2,1)*(Tabela3[[#This Row],[Qtde Cx Produzida]]*Tabela3[[#This Row],[Qde macho / CX]]*Tabela3[[#This Row],[Peso Macho]]),)</f>
        <v>0</v>
      </c>
      <c r="Z1156" s="35">
        <f>IFERROR(Tabela3[[#This Row],[Qtde Oleo]]*(VLOOKUP(Tabela3[[#This Row],[Data]],CompraOleo[],3,TRUE))*1.05,0)</f>
        <v>47.5349572546871</v>
      </c>
      <c r="AA1156" s="47">
        <f ca="1">(Tabela3[[#This Row],[Custo Oleo]]+Tabela3[[#This Row],[Custo Aluminio]]+Tabela3[[#This Row],[Custo M.O. Total]]+Tabela3[[#This Row],[Custo Machos]])</f>
        <v>1051.5089118843166</v>
      </c>
      <c r="AB1156" s="47">
        <f ca="1">Tabela3[[#This Row],[Custo Total]]*Tabela3[[#This Row],[% Perda]]</f>
        <v>657.19306992769793</v>
      </c>
      <c r="AC1156" s="40">
        <f>IFERROR(VLOOKUP(Tabela3[[#This Row],[Produto]],Tabela2[],2,0),0)</f>
        <v>4</v>
      </c>
      <c r="AD1156" s="48">
        <f>IFERROR(VLOOKUP(Tabela3[[#This Row],[Produto]],Tabela2[],3,0),0)</f>
        <v>0.57499999999999996</v>
      </c>
      <c r="AE1156" s="48">
        <f>IFERROR(VLOOKUP(Tabela3[[#This Row],[Produto]],Tabela2[],4,0),0)</f>
        <v>3.4</v>
      </c>
      <c r="AF1156" s="48">
        <f>IFERROR(VLOOKUP(Tabela3[[#This Row],[Produto]],Tabela2[],5,0),0)</f>
        <v>0.9900000000000001</v>
      </c>
      <c r="AG1156" s="48">
        <f>IFERROR(VLOOKUP(Tabela3[[#This Row],[Produto]],Tabela2[],6,0),0)</f>
        <v>0</v>
      </c>
      <c r="AH1156" s="40">
        <f>IFERROR(VLOOKUP(Tabela3[[#This Row],[Produto]],Tabela2[],7,0),0)</f>
        <v>0</v>
      </c>
      <c r="AI1156" s="40">
        <f>IFERROR(VLOOKUP(Tabela3[[#This Row],[Produto]],Tabela2[],8,0),0)</f>
        <v>0</v>
      </c>
      <c r="AJ1156" s="35">
        <f ca="1">IFERROR(VLOOKUP(Tabela3[[#This Row],[Produto]],Tabela2[],13,0),0)</f>
        <v>17.600000000000001</v>
      </c>
      <c r="AK1156" s="48" t="str">
        <f>IFERROR(VLOOKUP(Tabela3[[#This Row],[Produto]],Tabela2[],14,0),0)</f>
        <v>TPA/TEMPLA</v>
      </c>
      <c r="AL1156" s="40">
        <f>IFERROR(VLOOKUP(Tabela3[[#This Row],[Produto]],Tabela2[],15,0),0)</f>
        <v>0</v>
      </c>
      <c r="AM1156" s="36">
        <f ca="1">(Tabela3[[#This Row],[Custo Usinagem]]+Tabela3[[#This Row],[Custo / Pç]])*1.2</f>
        <v>70.1005941256211</v>
      </c>
      <c r="AN1156" s="36">
        <f ca="1">Tabela3[[#This Row],[Valor Mínimo Venda]]*1.15</f>
        <v>80.615683244464265</v>
      </c>
      <c r="AO1156" s="36">
        <f ca="1">Tabela3[[#This Row],[Tabela 1]]*1.08</f>
        <v>87.064937904021406</v>
      </c>
      <c r="AP1156" s="36">
        <f ca="1">Tabela3[[#This Row],[Tabela 2]]*1.15</f>
        <v>100.12467858962461</v>
      </c>
    </row>
    <row r="1157" spans="1:42">
      <c r="A1157" s="9">
        <v>46141</v>
      </c>
      <c r="B1157" s="9" t="s">
        <v>274</v>
      </c>
      <c r="C1157" s="14">
        <v>9562</v>
      </c>
      <c r="D1157" s="6" t="s">
        <v>44</v>
      </c>
      <c r="E1157" s="6" t="s">
        <v>47</v>
      </c>
      <c r="F1157" s="6">
        <v>1</v>
      </c>
      <c r="G1157" s="15">
        <v>6.458333333333334E-2</v>
      </c>
      <c r="H1157" s="16">
        <v>0</v>
      </c>
      <c r="I1157" s="35">
        <f ca="1">IFERROR(Tabela3[[#This Row],[Custo Total]]/Tabela3[[#This Row],[Aluminio Util]],0)</f>
        <v>26.627731531989117</v>
      </c>
      <c r="J1157" s="35">
        <f ca="1">Tabela3[[#This Row],[Custo Total]]/Tabela3[[#This Row],[Realizado]]</f>
        <v>532.55463063978232</v>
      </c>
      <c r="K1157" s="37">
        <f>IFERROR(Tabela3[[#This Row],[Qtde Cx Produzida]]/Tabela3[[#This Row],[Tempo]]/24,0)</f>
        <v>0.64516129032258063</v>
      </c>
      <c r="L1157" s="37">
        <f>Tabela3[[#This Row],[Qtde Cx Produzida]]*Tabela3[[#This Row],[Qdt Peça Placa]]</f>
        <v>1</v>
      </c>
      <c r="M1157" s="37">
        <f>Tabela3[[#This Row],[Previsto]]-Tabela3[[#This Row],[Perda Pçs]]</f>
        <v>1</v>
      </c>
      <c r="N1157" s="38">
        <f>IFERROR(Tabela3[[#This Row],[Perda Pçs]]/Tabela3[[#This Row],[Previsto]],0)</f>
        <v>0</v>
      </c>
      <c r="O1157" s="39">
        <f>IFERROR(IF(Tabela3[[#This Row],[Qtde Cx Produzida]] &lt;&gt; 0, Tabela3[[#This Row],[Tempo]] / Tabela3[[#This Row],[Qtde Cx Produzida]], 0),0)</f>
        <v>6.458333333333334E-2</v>
      </c>
      <c r="P1157" s="57">
        <f>IFERROR(Tabela3[[#This Row],[Perda Pçs]]/Tabela3[[#This Row],[Qdt Peça Placa]],0)</f>
        <v>0</v>
      </c>
      <c r="Q1157" s="37">
        <f>IFERROR(Tabela3[[#This Row],[Realizado]]*Tabela3[[#This Row],[Peso Util/Pç]],0)</f>
        <v>20</v>
      </c>
      <c r="R1157" s="37">
        <f>IFERROR(Tabela3[[#This Row],[Peso Total Galho]]*Tabela3[[#This Row],[Qtde Cx Produzida]]*1.055,0)</f>
        <v>23.209999999999997</v>
      </c>
      <c r="S1157" s="37">
        <f>(Tabela3[[#This Row],[Aluminio Bruto]]-Tabela3[[#This Row],[Aluminio Util]])*0.9</f>
        <v>2.8889999999999976</v>
      </c>
      <c r="T1157" s="37">
        <f>Tabela3[[#This Row],[Aluminio Bruto]]/OleoKGAluminio</f>
        <v>9.7644169897583204</v>
      </c>
      <c r="U1157" s="35">
        <f>IFERROR((VLOOKUP(Tabela3[[#This Row],[Moldador]],Tabela1[],5,)+(VLOOKUP(Tabela3[[#This Row],[Ajudante]],Tabela1[],5,))*3.5),0)</f>
        <v>99.95034583333333</v>
      </c>
      <c r="V1157" s="35">
        <f>IFERROR(Tabela3[[#This Row],[Custo M.O. / H]]/((Tabela3[[#This Row],[Realizado]]/Tabela3[[#This Row],[Qdt Peça Placa]])/Tabela3[[#This Row],[Tempo]]/24),)</f>
        <v>154.92303604166668</v>
      </c>
      <c r="W1157" s="35">
        <f>Tabela3[[#This Row],[Custo / Cx Moldada]]*Tabela3[[#This Row],[Qtde Cx Produzida]]</f>
        <v>154.92303604166668</v>
      </c>
      <c r="X1157" s="35">
        <f ca="1">Tabela3[[#This Row],[Aluminio Util]]*Tabela3[[#This Row],[Custo/Kg]]</f>
        <v>352</v>
      </c>
      <c r="Y1157" s="35">
        <f>IFERROR(VLOOKUP(Tabela3[[#This Row],[Data]],Tabela461213[],2,1)*(Tabela3[[#This Row],[Qtde Cx Produzida]]*Tabela3[[#This Row],[Qde macho / CX]]*Tabela3[[#This Row],[Peso Macho]]),)</f>
        <v>0</v>
      </c>
      <c r="Z1157" s="35">
        <f>IFERROR(Tabela3[[#This Row],[Qtde Oleo]]*(VLOOKUP(Tabela3[[#This Row],[Data]],CompraOleo[],3,TRUE))*1.05,0)</f>
        <v>25.631594598115591</v>
      </c>
      <c r="AA1157" s="47">
        <f ca="1">(Tabela3[[#This Row],[Custo Oleo]]+Tabela3[[#This Row],[Custo Aluminio]]+Tabela3[[#This Row],[Custo M.O. Total]]+Tabela3[[#This Row],[Custo Machos]])</f>
        <v>532.55463063978232</v>
      </c>
      <c r="AB1157" s="47">
        <f ca="1">Tabela3[[#This Row],[Custo Total]]*Tabela3[[#This Row],[% Perda]]</f>
        <v>0</v>
      </c>
      <c r="AC1157" s="40">
        <f>IFERROR(VLOOKUP(Tabela3[[#This Row],[Produto]],Tabela2[],2,0),0)</f>
        <v>1</v>
      </c>
      <c r="AD1157" s="48">
        <f>IFERROR(VLOOKUP(Tabela3[[#This Row],[Produto]],Tabela2[],3,0),0)</f>
        <v>20</v>
      </c>
      <c r="AE1157" s="48">
        <f>IFERROR(VLOOKUP(Tabela3[[#This Row],[Produto]],Tabela2[],4,0),0)</f>
        <v>22</v>
      </c>
      <c r="AF1157" s="48">
        <f>IFERROR(VLOOKUP(Tabela3[[#This Row],[Produto]],Tabela2[],5,0),0)</f>
        <v>1.8</v>
      </c>
      <c r="AG1157" s="48">
        <f>IFERROR(VLOOKUP(Tabela3[[#This Row],[Produto]],Tabela2[],6,0),0)</f>
        <v>0</v>
      </c>
      <c r="AH1157" s="40">
        <f>IFERROR(VLOOKUP(Tabela3[[#This Row],[Produto]],Tabela2[],7,0),0)</f>
        <v>0</v>
      </c>
      <c r="AI1157" s="40">
        <f>IFERROR(VLOOKUP(Tabela3[[#This Row],[Produto]],Tabela2[],8,0),0)</f>
        <v>0</v>
      </c>
      <c r="AJ1157" s="35">
        <f ca="1">IFERROR(VLOOKUP(Tabela3[[#This Row],[Produto]],Tabela2[],13,0),0)</f>
        <v>17.600000000000001</v>
      </c>
      <c r="AK1157" s="48" t="str">
        <f>IFERROR(VLOOKUP(Tabela3[[#This Row],[Produto]],Tabela2[],14,0),0)</f>
        <v>Danilo</v>
      </c>
      <c r="AL1157" s="40">
        <f>IFERROR(VLOOKUP(Tabela3[[#This Row],[Produto]],Tabela2[],15,0),0)</f>
        <v>0</v>
      </c>
      <c r="AM1157" s="36">
        <f ca="1">(Tabela3[[#This Row],[Custo Usinagem]]+Tabela3[[#This Row],[Custo / Pç]])*1.2</f>
        <v>639.06555676773871</v>
      </c>
      <c r="AN1157" s="36">
        <f ca="1">Tabela3[[#This Row],[Valor Mínimo Venda]]*1.15</f>
        <v>734.92539028289946</v>
      </c>
      <c r="AO1157" s="36">
        <f ca="1">Tabela3[[#This Row],[Tabela 1]]*1.08</f>
        <v>793.7194215055315</v>
      </c>
      <c r="AP1157" s="36">
        <f ca="1">Tabela3[[#This Row],[Tabela 2]]*1.15</f>
        <v>912.77733473136118</v>
      </c>
    </row>
    <row r="1158" spans="1:42">
      <c r="A1158" s="9">
        <v>46142</v>
      </c>
      <c r="B1158" s="9" t="s">
        <v>247</v>
      </c>
      <c r="C1158" s="14">
        <v>9368</v>
      </c>
      <c r="D1158" s="6" t="s">
        <v>46</v>
      </c>
      <c r="E1158" s="6" t="s">
        <v>50</v>
      </c>
      <c r="F1158" s="6">
        <v>73</v>
      </c>
      <c r="G1158" s="15">
        <v>0.37291666666666667</v>
      </c>
      <c r="H1158" s="16">
        <v>75</v>
      </c>
      <c r="I1158" s="35">
        <f ca="1">IFERROR(Tabela3[[#This Row],[Custo Total]]/Tabela3[[#This Row],[Aluminio Util]],0)</f>
        <v>37.095383502305616</v>
      </c>
      <c r="J1158" s="35">
        <f ca="1">Tabela3[[#This Row],[Custo Total]]/Tabela3[[#This Row],[Realizado]]</f>
        <v>11.128615050691685</v>
      </c>
      <c r="K1158" s="37">
        <f>IFERROR(Tabela3[[#This Row],[Qtde Cx Produzida]]/Tabela3[[#This Row],[Tempo]]/24,0)</f>
        <v>8.1564245810055862</v>
      </c>
      <c r="L1158" s="37">
        <f>Tabela3[[#This Row],[Qtde Cx Produzida]]*Tabela3[[#This Row],[Qdt Peça Placa]]</f>
        <v>292</v>
      </c>
      <c r="M1158" s="37">
        <f>Tabela3[[#This Row],[Previsto]]-Tabela3[[#This Row],[Perda Pçs]]</f>
        <v>217</v>
      </c>
      <c r="N1158" s="38">
        <f>IFERROR(Tabela3[[#This Row],[Perda Pçs]]/Tabela3[[#This Row],[Previsto]],0)</f>
        <v>0.25684931506849318</v>
      </c>
      <c r="O1158" s="39">
        <f>IFERROR(IF(Tabela3[[#This Row],[Qtde Cx Produzida]] &lt;&gt; 0, Tabela3[[#This Row],[Tempo]] / Tabela3[[#This Row],[Qtde Cx Produzida]], 0),0)</f>
        <v>5.1084474885844753E-3</v>
      </c>
      <c r="P1158" s="57">
        <f>IFERROR(Tabela3[[#This Row],[Perda Pçs]]/Tabela3[[#This Row],[Qdt Peça Placa]],0)</f>
        <v>18.75</v>
      </c>
      <c r="Q1158" s="37">
        <f>IFERROR(Tabela3[[#This Row],[Realizado]]*Tabela3[[#This Row],[Peso Util/Pç]],0)</f>
        <v>65.099999999999994</v>
      </c>
      <c r="R1158" s="37">
        <f>IFERROR(Tabela3[[#This Row],[Peso Total Galho]]*Tabela3[[#This Row],[Qtde Cx Produzida]]*1.055,0)</f>
        <v>177.13449999999997</v>
      </c>
      <c r="S1158" s="37">
        <f>(Tabela3[[#This Row],[Aluminio Bruto]]-Tabela3[[#This Row],[Aluminio Util]])*0.9</f>
        <v>100.83104999999999</v>
      </c>
      <c r="T1158" s="37">
        <f>Tabela3[[#This Row],[Aluminio Bruto]]/OleoKGAluminio</f>
        <v>74.520255117291896</v>
      </c>
      <c r="U1158" s="35">
        <f>IFERROR((VLOOKUP(Tabela3[[#This Row],[Moldador]],Tabela1[],5,)+(VLOOKUP(Tabela3[[#This Row],[Ajudante]],Tabela1[],5,))*3.5),0)</f>
        <v>99.95034583333333</v>
      </c>
      <c r="V1158" s="35">
        <f>IFERROR(Tabela3[[#This Row],[Custo M.O. / H]]/((Tabela3[[#This Row],[Realizado]]/Tabela3[[#This Row],[Qdt Peça Placa]])/Tabela3[[#This Row],[Tempo]]/24),)</f>
        <v>16.489504059139787</v>
      </c>
      <c r="W1158" s="35">
        <f>Tabela3[[#This Row],[Custo / Cx Moldada]]*Tabela3[[#This Row],[Qtde Cx Produzida]]</f>
        <v>1203.7337963172045</v>
      </c>
      <c r="X1158" s="35">
        <f ca="1">Tabela3[[#This Row],[Aluminio Util]]*Tabela3[[#This Row],[Custo/Kg]]</f>
        <v>1015.5600000000001</v>
      </c>
      <c r="Y1158" s="35">
        <f>IFERROR(VLOOKUP(Tabela3[[#This Row],[Data]],Tabela461213[],2,1)*(Tabela3[[#This Row],[Qtde Cx Produzida]]*Tabela3[[#This Row],[Qde macho / CX]]*Tabela3[[#This Row],[Peso Macho]]),)</f>
        <v>0</v>
      </c>
      <c r="Z1158" s="35">
        <f>IFERROR(Tabela3[[#This Row],[Qtde Oleo]]*(VLOOKUP(Tabela3[[#This Row],[Data]],CompraOleo[],3,TRUE))*1.05,0)</f>
        <v>195.61566968289122</v>
      </c>
      <c r="AA1158" s="47">
        <f ca="1">(Tabela3[[#This Row],[Custo Oleo]]+Tabela3[[#This Row],[Custo Aluminio]]+Tabela3[[#This Row],[Custo M.O. Total]]+Tabela3[[#This Row],[Custo Machos]])</f>
        <v>2414.9094660000956</v>
      </c>
      <c r="AB1158" s="47">
        <f ca="1">Tabela3[[#This Row],[Custo Total]]*Tabela3[[#This Row],[% Perda]]</f>
        <v>620.26784229454518</v>
      </c>
      <c r="AC1158" s="40">
        <f>IFERROR(VLOOKUP(Tabela3[[#This Row],[Produto]],Tabela2[],2,0),0)</f>
        <v>4</v>
      </c>
      <c r="AD1158" s="48">
        <f>IFERROR(VLOOKUP(Tabela3[[#This Row],[Produto]],Tabela2[],3,0),0)</f>
        <v>0.3</v>
      </c>
      <c r="AE1158" s="48">
        <f>IFERROR(VLOOKUP(Tabela3[[#This Row],[Produto]],Tabela2[],4,0),0)</f>
        <v>2.2999999999999998</v>
      </c>
      <c r="AF1158" s="48">
        <f>IFERROR(VLOOKUP(Tabela3[[#This Row],[Produto]],Tabela2[],5,0),0)</f>
        <v>0.98999999999999988</v>
      </c>
      <c r="AG1158" s="48">
        <f>IFERROR(VLOOKUP(Tabela3[[#This Row],[Produto]],Tabela2[],6,0),0)</f>
        <v>0</v>
      </c>
      <c r="AH1158" s="40">
        <f>IFERROR(VLOOKUP(Tabela3[[#This Row],[Produto]],Tabela2[],7,0),0)</f>
        <v>0</v>
      </c>
      <c r="AI1158" s="40">
        <f>IFERROR(VLOOKUP(Tabela3[[#This Row],[Produto]],Tabela2[],8,0),0)</f>
        <v>0</v>
      </c>
      <c r="AJ1158" s="35">
        <f ca="1">IFERROR(VLOOKUP(Tabela3[[#This Row],[Produto]],Tabela2[],13,0),0)</f>
        <v>15.600000000000001</v>
      </c>
      <c r="AK1158" s="48" t="str">
        <f>IFERROR(VLOOKUP(Tabela3[[#This Row],[Produto]],Tabela2[],14,0),0)</f>
        <v>Senun</v>
      </c>
      <c r="AL1158" s="40">
        <f>IFERROR(VLOOKUP(Tabela3[[#This Row],[Produto]],Tabela2[],15,0),0)</f>
        <v>3.5</v>
      </c>
      <c r="AM1158" s="36">
        <f ca="1">(Tabela3[[#This Row],[Custo Usinagem]]+Tabela3[[#This Row],[Custo / Pç]])*1.2</f>
        <v>17.554338060830023</v>
      </c>
      <c r="AN1158" s="36">
        <f ca="1">Tabela3[[#This Row],[Valor Mínimo Venda]]*1.15</f>
        <v>20.187488769954527</v>
      </c>
      <c r="AO1158" s="36">
        <f ca="1">Tabela3[[#This Row],[Tabela 1]]*1.08</f>
        <v>21.802487871550891</v>
      </c>
      <c r="AP1158" s="36">
        <f ca="1">Tabela3[[#This Row],[Tabela 2]]*1.15</f>
        <v>25.072861052283525</v>
      </c>
    </row>
    <row r="1159" spans="1:42">
      <c r="A1159" s="9">
        <v>46142</v>
      </c>
      <c r="B1159" s="9" t="s">
        <v>247</v>
      </c>
      <c r="C1159" s="14">
        <v>9368</v>
      </c>
      <c r="D1159" s="6" t="s">
        <v>44</v>
      </c>
      <c r="E1159" s="6" t="s">
        <v>47</v>
      </c>
      <c r="F1159" s="6">
        <v>33</v>
      </c>
      <c r="G1159" s="15">
        <v>0.15347222222222223</v>
      </c>
      <c r="H1159" s="16">
        <v>0</v>
      </c>
      <c r="I1159" s="35">
        <f ca="1">IFERROR(Tabela3[[#This Row],[Custo Total]]/Tabela3[[#This Row],[Aluminio Util]],0)</f>
        <v>27.129783885091161</v>
      </c>
      <c r="J1159" s="35">
        <f ca="1">Tabela3[[#This Row],[Custo Total]]/Tabela3[[#This Row],[Realizado]]</f>
        <v>8.1389351655273483</v>
      </c>
      <c r="K1159" s="37">
        <f>IFERROR(Tabela3[[#This Row],[Qtde Cx Produzida]]/Tabela3[[#This Row],[Tempo]]/24,0)</f>
        <v>8.9592760180995459</v>
      </c>
      <c r="L1159" s="37">
        <f>Tabela3[[#This Row],[Qtde Cx Produzida]]*Tabela3[[#This Row],[Qdt Peça Placa]]</f>
        <v>132</v>
      </c>
      <c r="M1159" s="37">
        <f>Tabela3[[#This Row],[Previsto]]-Tabela3[[#This Row],[Perda Pçs]]</f>
        <v>132</v>
      </c>
      <c r="N1159" s="38">
        <f>IFERROR(Tabela3[[#This Row],[Perda Pçs]]/Tabela3[[#This Row],[Previsto]],0)</f>
        <v>0</v>
      </c>
      <c r="O1159" s="39">
        <f>IFERROR(IF(Tabela3[[#This Row],[Qtde Cx Produzida]] &lt;&gt; 0, Tabela3[[#This Row],[Tempo]] / Tabela3[[#This Row],[Qtde Cx Produzida]], 0),0)</f>
        <v>4.6506734006734008E-3</v>
      </c>
      <c r="P1159" s="57">
        <f>IFERROR(Tabela3[[#This Row],[Perda Pçs]]/Tabela3[[#This Row],[Qdt Peça Placa]],0)</f>
        <v>0</v>
      </c>
      <c r="Q1159" s="37">
        <f>IFERROR(Tabela3[[#This Row],[Realizado]]*Tabela3[[#This Row],[Peso Util/Pç]],0)</f>
        <v>39.6</v>
      </c>
      <c r="R1159" s="37">
        <f>IFERROR(Tabela3[[#This Row],[Peso Total Galho]]*Tabela3[[#This Row],[Qtde Cx Produzida]]*1.055,0)</f>
        <v>80.074499999999986</v>
      </c>
      <c r="S1159" s="37">
        <f>(Tabela3[[#This Row],[Aluminio Bruto]]-Tabela3[[#This Row],[Aluminio Util]])*0.9</f>
        <v>36.427049999999987</v>
      </c>
      <c r="T1159" s="37">
        <f>Tabela3[[#This Row],[Aluminio Bruto]]/OleoKGAluminio</f>
        <v>33.6872386146662</v>
      </c>
      <c r="U1159" s="35">
        <f>IFERROR((VLOOKUP(Tabela3[[#This Row],[Moldador]],Tabela1[],5,)+(VLOOKUP(Tabela3[[#This Row],[Ajudante]],Tabela1[],5,))*3.5),0)</f>
        <v>99.95034583333333</v>
      </c>
      <c r="V1159" s="35">
        <f>IFERROR(Tabela3[[#This Row],[Custo M.O. / H]]/((Tabela3[[#This Row],[Realizado]]/Tabela3[[#This Row],[Qdt Peça Placa]])/Tabela3[[#This Row],[Tempo]]/24),)</f>
        <v>11.156073954124581</v>
      </c>
      <c r="W1159" s="35">
        <f>Tabela3[[#This Row],[Custo / Cx Moldada]]*Tabela3[[#This Row],[Qtde Cx Produzida]]</f>
        <v>368.15044048611117</v>
      </c>
      <c r="X1159" s="35">
        <f ca="1">Tabela3[[#This Row],[Aluminio Util]]*Tabela3[[#This Row],[Custo/Kg]]</f>
        <v>617.7600000000001</v>
      </c>
      <c r="Y1159" s="35">
        <f>IFERROR(VLOOKUP(Tabela3[[#This Row],[Data]],Tabela461213[],2,1)*(Tabela3[[#This Row],[Qtde Cx Produzida]]*Tabela3[[#This Row],[Qde macho / CX]]*Tabela3[[#This Row],[Peso Macho]]),)</f>
        <v>0</v>
      </c>
      <c r="Z1159" s="35">
        <f>IFERROR(Tabela3[[#This Row],[Qtde Oleo]]*(VLOOKUP(Tabela3[[#This Row],[Data]],CompraOleo[],3,TRUE))*1.05,0)</f>
        <v>88.429001363498784</v>
      </c>
      <c r="AA1159" s="47">
        <f ca="1">(Tabela3[[#This Row],[Custo Oleo]]+Tabela3[[#This Row],[Custo Aluminio]]+Tabela3[[#This Row],[Custo M.O. Total]]+Tabela3[[#This Row],[Custo Machos]])</f>
        <v>1074.33944184961</v>
      </c>
      <c r="AB1159" s="47">
        <f ca="1">Tabela3[[#This Row],[Custo Total]]*Tabela3[[#This Row],[% Perda]]</f>
        <v>0</v>
      </c>
      <c r="AC1159" s="40">
        <f>IFERROR(VLOOKUP(Tabela3[[#This Row],[Produto]],Tabela2[],2,0),0)</f>
        <v>4</v>
      </c>
      <c r="AD1159" s="48">
        <f>IFERROR(VLOOKUP(Tabela3[[#This Row],[Produto]],Tabela2[],3,0),0)</f>
        <v>0.3</v>
      </c>
      <c r="AE1159" s="48">
        <f>IFERROR(VLOOKUP(Tabela3[[#This Row],[Produto]],Tabela2[],4,0),0)</f>
        <v>2.2999999999999998</v>
      </c>
      <c r="AF1159" s="48">
        <f>IFERROR(VLOOKUP(Tabela3[[#This Row],[Produto]],Tabela2[],5,0),0)</f>
        <v>0.98999999999999988</v>
      </c>
      <c r="AG1159" s="48">
        <f>IFERROR(VLOOKUP(Tabela3[[#This Row],[Produto]],Tabela2[],6,0),0)</f>
        <v>0</v>
      </c>
      <c r="AH1159" s="40">
        <f>IFERROR(VLOOKUP(Tabela3[[#This Row],[Produto]],Tabela2[],7,0),0)</f>
        <v>0</v>
      </c>
      <c r="AI1159" s="40">
        <f>IFERROR(VLOOKUP(Tabela3[[#This Row],[Produto]],Tabela2[],8,0),0)</f>
        <v>0</v>
      </c>
      <c r="AJ1159" s="35">
        <f ca="1">IFERROR(VLOOKUP(Tabela3[[#This Row],[Produto]],Tabela2[],13,0),0)</f>
        <v>15.600000000000001</v>
      </c>
      <c r="AK1159" s="48" t="str">
        <f>IFERROR(VLOOKUP(Tabela3[[#This Row],[Produto]],Tabela2[],14,0),0)</f>
        <v>Senun</v>
      </c>
      <c r="AL1159" s="40">
        <f>IFERROR(VLOOKUP(Tabela3[[#This Row],[Produto]],Tabela2[],15,0),0)</f>
        <v>3.5</v>
      </c>
      <c r="AM1159" s="36">
        <f ca="1">(Tabela3[[#This Row],[Custo Usinagem]]+Tabela3[[#This Row],[Custo / Pç]])*1.2</f>
        <v>13.966722198632818</v>
      </c>
      <c r="AN1159" s="36">
        <f ca="1">Tabela3[[#This Row],[Valor Mínimo Venda]]*1.15</f>
        <v>16.061730528427738</v>
      </c>
      <c r="AO1159" s="36">
        <f ca="1">Tabela3[[#This Row],[Tabela 1]]*1.08</f>
        <v>17.346668970701959</v>
      </c>
      <c r="AP1159" s="36">
        <f ca="1">Tabela3[[#This Row],[Tabela 2]]*1.15</f>
        <v>19.948669316307253</v>
      </c>
    </row>
    <row r="1160" spans="1:42">
      <c r="A1160" s="9">
        <v>46142</v>
      </c>
      <c r="B1160" s="9" t="s">
        <v>156</v>
      </c>
      <c r="C1160" s="14">
        <v>9523</v>
      </c>
      <c r="D1160" s="6" t="s">
        <v>44</v>
      </c>
      <c r="E1160" s="6" t="s">
        <v>47</v>
      </c>
      <c r="F1160" s="6">
        <v>7</v>
      </c>
      <c r="G1160" s="15">
        <v>3.5416666666666666E-2</v>
      </c>
      <c r="H1160" s="16">
        <v>0</v>
      </c>
      <c r="I1160" s="35">
        <f ca="1">IFERROR(Tabela3[[#This Row],[Custo Total]]/Tabela3[[#This Row],[Aluminio Util]],0)</f>
        <v>29.19904246133013</v>
      </c>
      <c r="J1160" s="35">
        <f ca="1">Tabela3[[#This Row],[Custo Total]]/Tabela3[[#This Row],[Realizado]]</f>
        <v>15.358696334659651</v>
      </c>
      <c r="K1160" s="37">
        <f>IFERROR(Tabela3[[#This Row],[Qtde Cx Produzida]]/Tabela3[[#This Row],[Tempo]]/24,0)</f>
        <v>8.2352941176470598</v>
      </c>
      <c r="L1160" s="37">
        <f>Tabela3[[#This Row],[Qtde Cx Produzida]]*Tabela3[[#This Row],[Qdt Peça Placa]]</f>
        <v>14</v>
      </c>
      <c r="M1160" s="37">
        <f>Tabela3[[#This Row],[Previsto]]-Tabela3[[#This Row],[Perda Pçs]]</f>
        <v>14</v>
      </c>
      <c r="N1160" s="38">
        <f>IFERROR(Tabela3[[#This Row],[Perda Pçs]]/Tabela3[[#This Row],[Previsto]],0)</f>
        <v>0</v>
      </c>
      <c r="O1160" s="39">
        <f>IFERROR(IF(Tabela3[[#This Row],[Qtde Cx Produzida]] &lt;&gt; 0, Tabela3[[#This Row],[Tempo]] / Tabela3[[#This Row],[Qtde Cx Produzida]], 0),0)</f>
        <v>5.0595238095238098E-3</v>
      </c>
      <c r="P1160" s="57">
        <f>IFERROR(Tabela3[[#This Row],[Perda Pçs]]/Tabela3[[#This Row],[Qdt Peça Placa]],0)</f>
        <v>0</v>
      </c>
      <c r="Q1160" s="37">
        <f>IFERROR(Tabela3[[#This Row],[Realizado]]*Tabela3[[#This Row],[Peso Util/Pç]],0)</f>
        <v>7.3640000000000008</v>
      </c>
      <c r="R1160" s="37">
        <f>IFERROR(Tabela3[[#This Row],[Peso Total Galho]]*Tabela3[[#This Row],[Qtde Cx Produzida]]*1.055,0)</f>
        <v>13.750869999999999</v>
      </c>
      <c r="S1160" s="37">
        <f>(Tabela3[[#This Row],[Aluminio Bruto]]-Tabela3[[#This Row],[Aluminio Util]])*0.9</f>
        <v>5.7481829999999983</v>
      </c>
      <c r="T1160" s="37">
        <f>Tabela3[[#This Row],[Aluminio Bruto]]/OleoKGAluminio</f>
        <v>5.7849732292959066</v>
      </c>
      <c r="U1160" s="35">
        <f>IFERROR((VLOOKUP(Tabela3[[#This Row],[Moldador]],Tabela1[],5,)+(VLOOKUP(Tabela3[[#This Row],[Ajudante]],Tabela1[],5,))*3.5),0)</f>
        <v>99.95034583333333</v>
      </c>
      <c r="V1160" s="35">
        <f>IFERROR(Tabela3[[#This Row],[Custo M.O. / H]]/((Tabela3[[#This Row],[Realizado]]/Tabela3[[#This Row],[Qdt Peça Placa]])/Tabela3[[#This Row],[Tempo]]/24),)</f>
        <v>12.136827708333332</v>
      </c>
      <c r="W1160" s="35">
        <f>Tabela3[[#This Row],[Custo / Cx Moldada]]*Tabela3[[#This Row],[Qtde Cx Produzida]]</f>
        <v>84.957793958333326</v>
      </c>
      <c r="X1160" s="35">
        <f ca="1">Tabela3[[#This Row],[Aluminio Util]]*Tabela3[[#This Row],[Custo/Kg]]</f>
        <v>114.87840000000003</v>
      </c>
      <c r="Y1160" s="35">
        <f>IFERROR(VLOOKUP(Tabela3[[#This Row],[Data]],Tabela461213[],2,1)*(Tabela3[[#This Row],[Qtde Cx Produzida]]*Tabela3[[#This Row],[Qde macho / CX]]*Tabela3[[#This Row],[Peso Macho]]),)</f>
        <v>0</v>
      </c>
      <c r="Z1160" s="35">
        <f>IFERROR(Tabela3[[#This Row],[Qtde Oleo]]*(VLOOKUP(Tabela3[[#This Row],[Data]],CompraOleo[],3,TRUE))*1.05,0)</f>
        <v>15.185554726901756</v>
      </c>
      <c r="AA1160" s="47">
        <f ca="1">(Tabela3[[#This Row],[Custo Oleo]]+Tabela3[[#This Row],[Custo Aluminio]]+Tabela3[[#This Row],[Custo M.O. Total]]+Tabela3[[#This Row],[Custo Machos]])</f>
        <v>215.02174868523511</v>
      </c>
      <c r="AB1160" s="47">
        <f ca="1">Tabela3[[#This Row],[Custo Total]]*Tabela3[[#This Row],[% Perda]]</f>
        <v>0</v>
      </c>
      <c r="AC1160" s="40">
        <f>IFERROR(VLOOKUP(Tabela3[[#This Row],[Produto]],Tabela2[],2,0),0)</f>
        <v>2</v>
      </c>
      <c r="AD1160" s="48">
        <f>IFERROR(VLOOKUP(Tabela3[[#This Row],[Produto]],Tabela2[],3,0),0)</f>
        <v>0.52600000000000002</v>
      </c>
      <c r="AE1160" s="48">
        <f>IFERROR(VLOOKUP(Tabela3[[#This Row],[Produto]],Tabela2[],4,0),0)</f>
        <v>1.8620000000000001</v>
      </c>
      <c r="AF1160" s="48">
        <f>IFERROR(VLOOKUP(Tabela3[[#This Row],[Produto]],Tabela2[],5,0),0)</f>
        <v>0.72900000000000009</v>
      </c>
      <c r="AG1160" s="48">
        <f>IFERROR(VLOOKUP(Tabela3[[#This Row],[Produto]],Tabela2[],6,0),0)</f>
        <v>0</v>
      </c>
      <c r="AH1160" s="40">
        <f>IFERROR(VLOOKUP(Tabela3[[#This Row],[Produto]],Tabela2[],7,0),0)</f>
        <v>0</v>
      </c>
      <c r="AI1160" s="40">
        <f>IFERROR(VLOOKUP(Tabela3[[#This Row],[Produto]],Tabela2[],8,0),0)</f>
        <v>0</v>
      </c>
      <c r="AJ1160" s="35">
        <f ca="1">IFERROR(VLOOKUP(Tabela3[[#This Row],[Produto]],Tabela2[],13,0),0)</f>
        <v>15.600000000000001</v>
      </c>
      <c r="AK1160" s="48" t="str">
        <f>IFERROR(VLOOKUP(Tabela3[[#This Row],[Produto]],Tabela2[],14,0),0)</f>
        <v>Senun</v>
      </c>
      <c r="AL1160" s="40">
        <f>IFERROR(VLOOKUP(Tabela3[[#This Row],[Produto]],Tabela2[],15,0),0)</f>
        <v>0</v>
      </c>
      <c r="AM1160" s="36">
        <f ca="1">(Tabela3[[#This Row],[Custo Usinagem]]+Tabela3[[#This Row],[Custo / Pç]])*1.2</f>
        <v>18.430435601591579</v>
      </c>
      <c r="AN1160" s="36">
        <f ca="1">Tabela3[[#This Row],[Valor Mínimo Venda]]*1.15</f>
        <v>21.195000941830315</v>
      </c>
      <c r="AO1160" s="36">
        <f ca="1">Tabela3[[#This Row],[Tabela 1]]*1.08</f>
        <v>22.890601017176742</v>
      </c>
      <c r="AP1160" s="36">
        <f ca="1">Tabela3[[#This Row],[Tabela 2]]*1.15</f>
        <v>26.324191169753252</v>
      </c>
    </row>
    <row r="1161" spans="1:42">
      <c r="A1161" s="9">
        <v>46142</v>
      </c>
      <c r="B1161" s="9" t="s">
        <v>145</v>
      </c>
      <c r="C1161" s="14">
        <v>9522</v>
      </c>
      <c r="D1161" s="6" t="s">
        <v>44</v>
      </c>
      <c r="E1161" s="6" t="s">
        <v>47</v>
      </c>
      <c r="F1161" s="6">
        <v>4</v>
      </c>
      <c r="G1161" s="15">
        <v>2.361111111111111E-2</v>
      </c>
      <c r="H1161" s="16">
        <v>0</v>
      </c>
      <c r="I1161" s="35">
        <f ca="1">IFERROR(Tabela3[[#This Row],[Custo Total]]/Tabela3[[#This Row],[Aluminio Util]],0)</f>
        <v>24.644498291818866</v>
      </c>
      <c r="J1161" s="35">
        <f ca="1">Tabela3[[#This Row],[Custo Total]]/Tabela3[[#This Row],[Realizado]]</f>
        <v>24.98952126790433</v>
      </c>
      <c r="K1161" s="37">
        <f>IFERROR(Tabela3[[#This Row],[Qtde Cx Produzida]]/Tabela3[[#This Row],[Tempo]]/24,0)</f>
        <v>7.0588235294117645</v>
      </c>
      <c r="L1161" s="37">
        <f>Tabela3[[#This Row],[Qtde Cx Produzida]]*Tabela3[[#This Row],[Qdt Peça Placa]]</f>
        <v>8</v>
      </c>
      <c r="M1161" s="37">
        <f>Tabela3[[#This Row],[Previsto]]-Tabela3[[#This Row],[Perda Pçs]]</f>
        <v>8</v>
      </c>
      <c r="N1161" s="38">
        <f>IFERROR(Tabela3[[#This Row],[Perda Pçs]]/Tabela3[[#This Row],[Previsto]],0)</f>
        <v>0</v>
      </c>
      <c r="O1161" s="39">
        <f>IFERROR(IF(Tabela3[[#This Row],[Qtde Cx Produzida]] &lt;&gt; 0, Tabela3[[#This Row],[Tempo]] / Tabela3[[#This Row],[Qtde Cx Produzida]], 0),0)</f>
        <v>5.9027777777777776E-3</v>
      </c>
      <c r="P1161" s="57">
        <f>IFERROR(Tabela3[[#This Row],[Perda Pçs]]/Tabela3[[#This Row],[Qdt Peça Placa]],0)</f>
        <v>0</v>
      </c>
      <c r="Q1161" s="37">
        <f>IFERROR(Tabela3[[#This Row],[Realizado]]*Tabela3[[#This Row],[Peso Util/Pç]],0)</f>
        <v>8.1120000000000001</v>
      </c>
      <c r="R1161" s="37">
        <f>IFERROR(Tabela3[[#This Row],[Peso Total Galho]]*Tabela3[[#This Row],[Qtde Cx Produzida]]*1.055,0)</f>
        <v>15.149799999999999</v>
      </c>
      <c r="S1161" s="37">
        <f>(Tabela3[[#This Row],[Aluminio Bruto]]-Tabela3[[#This Row],[Aluminio Util]])*0.9</f>
        <v>6.3340199999999989</v>
      </c>
      <c r="T1161" s="37">
        <f>Tabela3[[#This Row],[Aluminio Bruto]]/OleoKGAluminio</f>
        <v>6.373501271496794</v>
      </c>
      <c r="U1161" s="35">
        <f>IFERROR((VLOOKUP(Tabela3[[#This Row],[Moldador]],Tabela1[],5,)+(VLOOKUP(Tabela3[[#This Row],[Ajudante]],Tabela1[],5,))*3.5),0)</f>
        <v>99.95034583333333</v>
      </c>
      <c r="V1161" s="35">
        <f>IFERROR(Tabela3[[#This Row],[Custo M.O. / H]]/((Tabela3[[#This Row],[Realizado]]/Tabela3[[#This Row],[Qdt Peça Placa]])/Tabela3[[#This Row],[Tempo]]/24),)</f>
        <v>14.159632326388889</v>
      </c>
      <c r="W1161" s="35">
        <f>Tabela3[[#This Row],[Custo / Cx Moldada]]*Tabela3[[#This Row],[Qtde Cx Produzida]]</f>
        <v>56.638529305555558</v>
      </c>
      <c r="X1161" s="35">
        <f ca="1">Tabela3[[#This Row],[Aluminio Util]]*Tabela3[[#This Row],[Custo/Kg]]</f>
        <v>126.54720000000002</v>
      </c>
      <c r="Y1161" s="35">
        <f>IFERROR(VLOOKUP(Tabela3[[#This Row],[Data]],Tabela461213[],2,1)*(Tabela3[[#This Row],[Qtde Cx Produzida]]*Tabela3[[#This Row],[Qde macho / CX]]*Tabela3[[#This Row],[Peso Macho]]),)</f>
        <v>0</v>
      </c>
      <c r="Z1161" s="35">
        <f>IFERROR(Tabela3[[#This Row],[Qtde Oleo]]*(VLOOKUP(Tabela3[[#This Row],[Data]],CompraOleo[],3,TRUE))*1.05,0)</f>
        <v>16.730440837679083</v>
      </c>
      <c r="AA1161" s="47">
        <f ca="1">(Tabela3[[#This Row],[Custo Oleo]]+Tabela3[[#This Row],[Custo Aluminio]]+Tabela3[[#This Row],[Custo M.O. Total]]+Tabela3[[#This Row],[Custo Machos]])</f>
        <v>199.91617014323464</v>
      </c>
      <c r="AB1161" s="47">
        <f ca="1">Tabela3[[#This Row],[Custo Total]]*Tabela3[[#This Row],[% Perda]]</f>
        <v>0</v>
      </c>
      <c r="AC1161" s="40">
        <f>IFERROR(VLOOKUP(Tabela3[[#This Row],[Produto]],Tabela2[],2,0),0)</f>
        <v>2</v>
      </c>
      <c r="AD1161" s="48">
        <f>IFERROR(VLOOKUP(Tabela3[[#This Row],[Produto]],Tabela2[],3,0),0)</f>
        <v>1.014</v>
      </c>
      <c r="AE1161" s="48">
        <f>IFERROR(VLOOKUP(Tabela3[[#This Row],[Produto]],Tabela2[],4,0),0)</f>
        <v>3.59</v>
      </c>
      <c r="AF1161" s="48">
        <f>IFERROR(VLOOKUP(Tabela3[[#This Row],[Produto]],Tabela2[],5,0),0)</f>
        <v>1.4057999999999999</v>
      </c>
      <c r="AG1161" s="48">
        <f>IFERROR(VLOOKUP(Tabela3[[#This Row],[Produto]],Tabela2[],6,0),0)</f>
        <v>0</v>
      </c>
      <c r="AH1161" s="40">
        <f>IFERROR(VLOOKUP(Tabela3[[#This Row],[Produto]],Tabela2[],7,0),0)</f>
        <v>0</v>
      </c>
      <c r="AI1161" s="40">
        <f>IFERROR(VLOOKUP(Tabela3[[#This Row],[Produto]],Tabela2[],8,0),0)</f>
        <v>0</v>
      </c>
      <c r="AJ1161" s="35">
        <f ca="1">IFERROR(VLOOKUP(Tabela3[[#This Row],[Produto]],Tabela2[],13,0),0)</f>
        <v>15.600000000000001</v>
      </c>
      <c r="AK1161" s="48" t="str">
        <f>IFERROR(VLOOKUP(Tabela3[[#This Row],[Produto]],Tabela2[],14,0),0)</f>
        <v>Senun</v>
      </c>
      <c r="AL1161" s="40">
        <f>IFERROR(VLOOKUP(Tabela3[[#This Row],[Produto]],Tabela2[],15,0),0)</f>
        <v>6</v>
      </c>
      <c r="AM1161" s="36">
        <f ca="1">(Tabela3[[#This Row],[Custo Usinagem]]+Tabela3[[#This Row],[Custo / Pç]])*1.2</f>
        <v>37.187425521485196</v>
      </c>
      <c r="AN1161" s="36">
        <f ca="1">Tabela3[[#This Row],[Valor Mínimo Venda]]*1.15</f>
        <v>42.765539349707971</v>
      </c>
      <c r="AO1161" s="36">
        <f ca="1">Tabela3[[#This Row],[Tabela 1]]*1.08</f>
        <v>46.186782497684611</v>
      </c>
      <c r="AP1161" s="36">
        <f ca="1">Tabela3[[#This Row],[Tabela 2]]*1.15</f>
        <v>53.114799872337301</v>
      </c>
    </row>
    <row r="1162" spans="1:42">
      <c r="A1162" s="9">
        <v>46142</v>
      </c>
      <c r="B1162" s="9" t="s">
        <v>126</v>
      </c>
      <c r="C1162" s="14">
        <v>9520</v>
      </c>
      <c r="D1162" s="6" t="s">
        <v>44</v>
      </c>
      <c r="E1162" s="6" t="s">
        <v>47</v>
      </c>
      <c r="F1162" s="6">
        <v>6</v>
      </c>
      <c r="G1162" s="15">
        <v>3.6111111111111108E-2</v>
      </c>
      <c r="H1162" s="16">
        <v>0</v>
      </c>
      <c r="I1162" s="35">
        <f ca="1">IFERROR(Tabela3[[#This Row],[Custo Total]]/Tabela3[[#This Row],[Aluminio Util]],0)</f>
        <v>22.256241280037251</v>
      </c>
      <c r="J1162" s="35">
        <f ca="1">Tabela3[[#This Row],[Custo Total]]/Tabela3[[#This Row],[Realizado]]</f>
        <v>69.929110101877043</v>
      </c>
      <c r="K1162" s="37">
        <f>IFERROR(Tabela3[[#This Row],[Qtde Cx Produzida]]/Tabela3[[#This Row],[Tempo]]/24,0)</f>
        <v>6.9230769230769234</v>
      </c>
      <c r="L1162" s="37">
        <f>Tabela3[[#This Row],[Qtde Cx Produzida]]*Tabela3[[#This Row],[Qdt Peça Placa]]</f>
        <v>6</v>
      </c>
      <c r="M1162" s="37">
        <f>Tabela3[[#This Row],[Previsto]]-Tabela3[[#This Row],[Perda Pçs]]</f>
        <v>6</v>
      </c>
      <c r="N1162" s="38">
        <f>IFERROR(Tabela3[[#This Row],[Perda Pçs]]/Tabela3[[#This Row],[Previsto]],0)</f>
        <v>0</v>
      </c>
      <c r="O1162" s="39">
        <f>IFERROR(IF(Tabela3[[#This Row],[Qtde Cx Produzida]] &lt;&gt; 0, Tabela3[[#This Row],[Tempo]] / Tabela3[[#This Row],[Qtde Cx Produzida]], 0),0)</f>
        <v>6.0185185185185177E-3</v>
      </c>
      <c r="P1162" s="57">
        <f>IFERROR(Tabela3[[#This Row],[Perda Pçs]]/Tabela3[[#This Row],[Qdt Peça Placa]],0)</f>
        <v>0</v>
      </c>
      <c r="Q1162" s="37">
        <f>IFERROR(Tabela3[[#This Row],[Realizado]]*Tabela3[[#This Row],[Peso Util/Pç]],0)</f>
        <v>18.852</v>
      </c>
      <c r="R1162" s="37">
        <f>IFERROR(Tabela3[[#This Row],[Peso Total Galho]]*Tabela3[[#This Row],[Qtde Cx Produzida]]*1.055,0)</f>
        <v>35.188469999999995</v>
      </c>
      <c r="S1162" s="37">
        <f>(Tabela3[[#This Row],[Aluminio Bruto]]-Tabela3[[#This Row],[Aluminio Util]])*0.9</f>
        <v>14.702822999999995</v>
      </c>
      <c r="T1162" s="37">
        <f>Tabela3[[#This Row],[Aluminio Bruto]]/OleoKGAluminio</f>
        <v>14.803743830745409</v>
      </c>
      <c r="U1162" s="35">
        <f>IFERROR((VLOOKUP(Tabela3[[#This Row],[Moldador]],Tabela1[],5,)+(VLOOKUP(Tabela3[[#This Row],[Ajudante]],Tabela1[],5,))*3.5),0)</f>
        <v>99.95034583333333</v>
      </c>
      <c r="V1162" s="35">
        <f>IFERROR(Tabela3[[#This Row],[Custo M.O. / H]]/((Tabela3[[#This Row],[Realizado]]/Tabela3[[#This Row],[Qdt Peça Placa]])/Tabela3[[#This Row],[Tempo]]/24),)</f>
        <v>14.437272175925925</v>
      </c>
      <c r="W1162" s="35">
        <f>Tabela3[[#This Row],[Custo / Cx Moldada]]*Tabela3[[#This Row],[Qtde Cx Produzida]]</f>
        <v>86.623633055555544</v>
      </c>
      <c r="X1162" s="35">
        <f ca="1">Tabela3[[#This Row],[Aluminio Util]]*Tabela3[[#This Row],[Custo/Kg]]</f>
        <v>294.09120000000001</v>
      </c>
      <c r="Y1162" s="35">
        <f>IFERROR(VLOOKUP(Tabela3[[#This Row],[Data]],Tabela461213[],2,1)*(Tabela3[[#This Row],[Qtde Cx Produzida]]*Tabela3[[#This Row],[Qde macho / CX]]*Tabela3[[#This Row],[Peso Macho]]),)</f>
        <v>0</v>
      </c>
      <c r="Z1162" s="35">
        <f>IFERROR(Tabela3[[#This Row],[Qtde Oleo]]*(VLOOKUP(Tabela3[[#This Row],[Data]],CompraOleo[],3,TRUE))*1.05,0)</f>
        <v>38.859827555706701</v>
      </c>
      <c r="AA1162" s="47">
        <f ca="1">(Tabela3[[#This Row],[Custo Oleo]]+Tabela3[[#This Row],[Custo Aluminio]]+Tabela3[[#This Row],[Custo M.O. Total]]+Tabela3[[#This Row],[Custo Machos]])</f>
        <v>419.57466061126229</v>
      </c>
      <c r="AB1162" s="47">
        <f ca="1">Tabela3[[#This Row],[Custo Total]]*Tabela3[[#This Row],[% Perda]]</f>
        <v>0</v>
      </c>
      <c r="AC1162" s="40">
        <f>IFERROR(VLOOKUP(Tabela3[[#This Row],[Produto]],Tabela2[],2,0),0)</f>
        <v>1</v>
      </c>
      <c r="AD1162" s="48">
        <f>IFERROR(VLOOKUP(Tabela3[[#This Row],[Produto]],Tabela2[],3,0),0)</f>
        <v>3.1419999999999999</v>
      </c>
      <c r="AE1162" s="48">
        <f>IFERROR(VLOOKUP(Tabela3[[#This Row],[Produto]],Tabela2[],4,0),0)</f>
        <v>5.5590000000000002</v>
      </c>
      <c r="AF1162" s="48">
        <f>IFERROR(VLOOKUP(Tabela3[[#This Row],[Produto]],Tabela2[],5,0),0)</f>
        <v>2.1753000000000005</v>
      </c>
      <c r="AG1162" s="48">
        <f>IFERROR(VLOOKUP(Tabela3[[#This Row],[Produto]],Tabela2[],6,0),0)</f>
        <v>0</v>
      </c>
      <c r="AH1162" s="40">
        <f>IFERROR(VLOOKUP(Tabela3[[#This Row],[Produto]],Tabela2[],7,0),0)</f>
        <v>0</v>
      </c>
      <c r="AI1162" s="40">
        <f>IFERROR(VLOOKUP(Tabela3[[#This Row],[Produto]],Tabela2[],8,0),0)</f>
        <v>0</v>
      </c>
      <c r="AJ1162" s="35">
        <f ca="1">IFERROR(VLOOKUP(Tabela3[[#This Row],[Produto]],Tabela2[],13,0),0)</f>
        <v>15.600000000000001</v>
      </c>
      <c r="AK1162" s="48" t="str">
        <f>IFERROR(VLOOKUP(Tabela3[[#This Row],[Produto]],Tabela2[],14,0),0)</f>
        <v>Senun</v>
      </c>
      <c r="AL1162" s="40">
        <f>IFERROR(VLOOKUP(Tabela3[[#This Row],[Produto]],Tabela2[],15,0),0)</f>
        <v>6.5</v>
      </c>
      <c r="AM1162" s="36">
        <f ca="1">(Tabela3[[#This Row],[Custo Usinagem]]+Tabela3[[#This Row],[Custo / Pç]])*1.2</f>
        <v>91.714932122252449</v>
      </c>
      <c r="AN1162" s="36">
        <f ca="1">Tabela3[[#This Row],[Valor Mínimo Venda]]*1.15</f>
        <v>105.47217194059031</v>
      </c>
      <c r="AO1162" s="36">
        <f ca="1">Tabela3[[#This Row],[Tabela 1]]*1.08</f>
        <v>113.90994569583755</v>
      </c>
      <c r="AP1162" s="36">
        <f ca="1">Tabela3[[#This Row],[Tabela 2]]*1.15</f>
        <v>130.99643755021316</v>
      </c>
    </row>
    <row r="1163" spans="1:42">
      <c r="A1163" s="9">
        <v>46142</v>
      </c>
      <c r="B1163" s="9" t="s">
        <v>274</v>
      </c>
      <c r="C1163" s="14">
        <v>9562</v>
      </c>
      <c r="D1163" s="6" t="s">
        <v>44</v>
      </c>
      <c r="E1163" s="6" t="s">
        <v>47</v>
      </c>
      <c r="F1163" s="6">
        <v>1</v>
      </c>
      <c r="G1163" s="15">
        <v>6.25E-2</v>
      </c>
      <c r="H1163" s="16">
        <v>0</v>
      </c>
      <c r="I1163" s="35">
        <f ca="1">IFERROR(Tabela3[[#This Row],[Custo Total]]/Tabela3[[#This Row],[Aluminio Util]],0)</f>
        <v>26.377855667405782</v>
      </c>
      <c r="J1163" s="35">
        <f ca="1">Tabela3[[#This Row],[Custo Total]]/Tabela3[[#This Row],[Realizado]]</f>
        <v>527.55711334811565</v>
      </c>
      <c r="K1163" s="37">
        <f>IFERROR(Tabela3[[#This Row],[Qtde Cx Produzida]]/Tabela3[[#This Row],[Tempo]]/24,0)</f>
        <v>0.66666666666666663</v>
      </c>
      <c r="L1163" s="37">
        <f>Tabela3[[#This Row],[Qtde Cx Produzida]]*Tabela3[[#This Row],[Qdt Peça Placa]]</f>
        <v>1</v>
      </c>
      <c r="M1163" s="37">
        <f>Tabela3[[#This Row],[Previsto]]-Tabela3[[#This Row],[Perda Pçs]]</f>
        <v>1</v>
      </c>
      <c r="N1163" s="38">
        <f>IFERROR(Tabela3[[#This Row],[Perda Pçs]]/Tabela3[[#This Row],[Previsto]],0)</f>
        <v>0</v>
      </c>
      <c r="O1163" s="39">
        <f>IFERROR(IF(Tabela3[[#This Row],[Qtde Cx Produzida]] &lt;&gt; 0, Tabela3[[#This Row],[Tempo]] / Tabela3[[#This Row],[Qtde Cx Produzida]], 0),0)</f>
        <v>6.25E-2</v>
      </c>
      <c r="P1163" s="57">
        <f>IFERROR(Tabela3[[#This Row],[Perda Pçs]]/Tabela3[[#This Row],[Qdt Peça Placa]],0)</f>
        <v>0</v>
      </c>
      <c r="Q1163" s="37">
        <f>IFERROR(Tabela3[[#This Row],[Realizado]]*Tabela3[[#This Row],[Peso Util/Pç]],0)</f>
        <v>20</v>
      </c>
      <c r="R1163" s="37">
        <f>IFERROR(Tabela3[[#This Row],[Peso Total Galho]]*Tabela3[[#This Row],[Qtde Cx Produzida]]*1.055,0)</f>
        <v>23.209999999999997</v>
      </c>
      <c r="S1163" s="37">
        <f>(Tabela3[[#This Row],[Aluminio Bruto]]-Tabela3[[#This Row],[Aluminio Util]])*0.9</f>
        <v>2.8889999999999976</v>
      </c>
      <c r="T1163" s="37">
        <f>Tabela3[[#This Row],[Aluminio Bruto]]/OleoKGAluminio</f>
        <v>9.7644169897583204</v>
      </c>
      <c r="U1163" s="35">
        <f>IFERROR((VLOOKUP(Tabela3[[#This Row],[Moldador]],Tabela1[],5,)+(VLOOKUP(Tabela3[[#This Row],[Ajudante]],Tabela1[],5,))*3.5),0)</f>
        <v>99.95034583333333</v>
      </c>
      <c r="V1163" s="35">
        <f>IFERROR(Tabela3[[#This Row],[Custo M.O. / H]]/((Tabela3[[#This Row],[Realizado]]/Tabela3[[#This Row],[Qdt Peça Placa]])/Tabela3[[#This Row],[Tempo]]/24),)</f>
        <v>149.92551875000001</v>
      </c>
      <c r="W1163" s="35">
        <f>Tabela3[[#This Row],[Custo / Cx Moldada]]*Tabela3[[#This Row],[Qtde Cx Produzida]]</f>
        <v>149.92551875000001</v>
      </c>
      <c r="X1163" s="35">
        <f ca="1">Tabela3[[#This Row],[Aluminio Util]]*Tabela3[[#This Row],[Custo/Kg]]</f>
        <v>352</v>
      </c>
      <c r="Y1163" s="35">
        <f>IFERROR(VLOOKUP(Tabela3[[#This Row],[Data]],Tabela461213[],2,1)*(Tabela3[[#This Row],[Qtde Cx Produzida]]*Tabela3[[#This Row],[Qde macho / CX]]*Tabela3[[#This Row],[Peso Macho]]),)</f>
        <v>0</v>
      </c>
      <c r="Z1163" s="35">
        <f>IFERROR(Tabela3[[#This Row],[Qtde Oleo]]*(VLOOKUP(Tabela3[[#This Row],[Data]],CompraOleo[],3,TRUE))*1.05,0)</f>
        <v>25.631594598115591</v>
      </c>
      <c r="AA1163" s="47">
        <f ca="1">(Tabela3[[#This Row],[Custo Oleo]]+Tabela3[[#This Row],[Custo Aluminio]]+Tabela3[[#This Row],[Custo M.O. Total]]+Tabela3[[#This Row],[Custo Machos]])</f>
        <v>527.55711334811565</v>
      </c>
      <c r="AB1163" s="47">
        <f ca="1">Tabela3[[#This Row],[Custo Total]]*Tabela3[[#This Row],[% Perda]]</f>
        <v>0</v>
      </c>
      <c r="AC1163" s="40">
        <f>IFERROR(VLOOKUP(Tabela3[[#This Row],[Produto]],Tabela2[],2,0),0)</f>
        <v>1</v>
      </c>
      <c r="AD1163" s="48">
        <f>IFERROR(VLOOKUP(Tabela3[[#This Row],[Produto]],Tabela2[],3,0),0)</f>
        <v>20</v>
      </c>
      <c r="AE1163" s="48">
        <f>IFERROR(VLOOKUP(Tabela3[[#This Row],[Produto]],Tabela2[],4,0),0)</f>
        <v>22</v>
      </c>
      <c r="AF1163" s="48">
        <f>IFERROR(VLOOKUP(Tabela3[[#This Row],[Produto]],Tabela2[],5,0),0)</f>
        <v>1.8</v>
      </c>
      <c r="AG1163" s="48">
        <f>IFERROR(VLOOKUP(Tabela3[[#This Row],[Produto]],Tabela2[],6,0),0)</f>
        <v>0</v>
      </c>
      <c r="AH1163" s="40">
        <f>IFERROR(VLOOKUP(Tabela3[[#This Row],[Produto]],Tabela2[],7,0),0)</f>
        <v>0</v>
      </c>
      <c r="AI1163" s="40">
        <f>IFERROR(VLOOKUP(Tabela3[[#This Row],[Produto]],Tabela2[],8,0),0)</f>
        <v>0</v>
      </c>
      <c r="AJ1163" s="35">
        <f ca="1">IFERROR(VLOOKUP(Tabela3[[#This Row],[Produto]],Tabela2[],13,0),0)</f>
        <v>17.600000000000001</v>
      </c>
      <c r="AK1163" s="48" t="str">
        <f>IFERROR(VLOOKUP(Tabela3[[#This Row],[Produto]],Tabela2[],14,0),0)</f>
        <v>Danilo</v>
      </c>
      <c r="AL1163" s="40">
        <f>IFERROR(VLOOKUP(Tabela3[[#This Row],[Produto]],Tabela2[],15,0),0)</f>
        <v>0</v>
      </c>
      <c r="AM1163" s="36">
        <f ca="1">(Tabela3[[#This Row],[Custo Usinagem]]+Tabela3[[#This Row],[Custo / Pç]])*1.2</f>
        <v>633.06853601773878</v>
      </c>
      <c r="AN1163" s="36">
        <f ca="1">Tabela3[[#This Row],[Valor Mínimo Venda]]*1.15</f>
        <v>728.02881642039949</v>
      </c>
      <c r="AO1163" s="36">
        <f ca="1">Tabela3[[#This Row],[Tabela 1]]*1.08</f>
        <v>786.27112173403145</v>
      </c>
      <c r="AP1163" s="36">
        <f ca="1">Tabela3[[#This Row],[Tabela 2]]*1.15</f>
        <v>904.2117899941361</v>
      </c>
    </row>
    <row r="1164" spans="1:42">
      <c r="A1164" s="9">
        <v>46146</v>
      </c>
      <c r="B1164" s="9" t="s">
        <v>236</v>
      </c>
      <c r="C1164" s="14">
        <v>9539</v>
      </c>
      <c r="D1164" s="6" t="s">
        <v>46</v>
      </c>
      <c r="E1164" s="6" t="s">
        <v>50</v>
      </c>
      <c r="F1164" s="6">
        <v>61</v>
      </c>
      <c r="G1164" s="15">
        <v>0.35694444444444445</v>
      </c>
      <c r="H1164" s="16">
        <v>0</v>
      </c>
      <c r="I1164" s="35">
        <f ca="1">IFERROR(Tabela3[[#This Row],[Custo Total]]/Tabela3[[#This Row],[Aluminio Util]],0)</f>
        <v>24.730230981021016</v>
      </c>
      <c r="J1164" s="35">
        <f ca="1">Tabela3[[#This Row],[Custo Total]]/Tabela3[[#This Row],[Realizado]]</f>
        <v>7.4685297562683468</v>
      </c>
      <c r="K1164" s="37">
        <f>IFERROR(Tabela3[[#This Row],[Qtde Cx Produzida]]/Tabela3[[#This Row],[Tempo]]/24,0)</f>
        <v>7.1206225680933848</v>
      </c>
      <c r="L1164" s="37">
        <f>Tabela3[[#This Row],[Qtde Cx Produzida]]*Tabela3[[#This Row],[Qdt Peça Placa]]</f>
        <v>366</v>
      </c>
      <c r="M1164" s="37">
        <f>Tabela3[[#This Row],[Previsto]]-Tabela3[[#This Row],[Perda Pçs]]</f>
        <v>366</v>
      </c>
      <c r="N1164" s="38">
        <f>IFERROR(Tabela3[[#This Row],[Perda Pçs]]/Tabela3[[#This Row],[Previsto]],0)</f>
        <v>0</v>
      </c>
      <c r="O1164" s="39">
        <f>IFERROR(IF(Tabela3[[#This Row],[Qtde Cx Produzida]] &lt;&gt; 0, Tabela3[[#This Row],[Tempo]] / Tabela3[[#This Row],[Qtde Cx Produzida]], 0),0)</f>
        <v>5.8515482695810569E-3</v>
      </c>
      <c r="P1164" s="57">
        <f>IFERROR(Tabela3[[#This Row],[Perda Pçs]]/Tabela3[[#This Row],[Qdt Peça Placa]],0)</f>
        <v>0</v>
      </c>
      <c r="Q1164" s="37">
        <f>IFERROR(Tabela3[[#This Row],[Realizado]]*Tabela3[[#This Row],[Peso Util/Pç]],0)</f>
        <v>110.532</v>
      </c>
      <c r="R1164" s="37">
        <f>IFERROR(Tabela3[[#This Row],[Peso Total Galho]]*Tabela3[[#This Row],[Qtde Cx Produzida]]*1.055,0)</f>
        <v>138.49196000000001</v>
      </c>
      <c r="S1164" s="37">
        <f>(Tabela3[[#This Row],[Aluminio Bruto]]-Tabela3[[#This Row],[Aluminio Util]])*0.9</f>
        <v>25.163964000000011</v>
      </c>
      <c r="T1164" s="37">
        <f>Tabela3[[#This Row],[Aluminio Bruto]]/OleoKGAluminio</f>
        <v>58.263388503616106</v>
      </c>
      <c r="U1164" s="35">
        <f>IFERROR((VLOOKUP(Tabela3[[#This Row],[Moldador]],Tabela1[],5,)+(VLOOKUP(Tabela3[[#This Row],[Ajudante]],Tabela1[],5,))*3.5),0)</f>
        <v>99.95034583333333</v>
      </c>
      <c r="V1164" s="35">
        <f>IFERROR(Tabela3[[#This Row],[Custo M.O. / H]]/((Tabela3[[#This Row],[Realizado]]/Tabela3[[#This Row],[Qdt Peça Placa]])/Tabela3[[#This Row],[Tempo]]/24),)</f>
        <v>14.036742556921675</v>
      </c>
      <c r="W1164" s="35">
        <f>Tabela3[[#This Row],[Custo / Cx Moldada]]*Tabela3[[#This Row],[Qtde Cx Produzida]]</f>
        <v>856.24129597222225</v>
      </c>
      <c r="X1164" s="35">
        <f ca="1">Tabela3[[#This Row],[Aluminio Util]]*Tabela3[[#This Row],[Custo/Kg]]</f>
        <v>1724.2992000000002</v>
      </c>
      <c r="Y1164" s="35">
        <f>IFERROR(VLOOKUP(Tabela3[[#This Row],[Data]],Tabela461213[],2,1)*(Tabela3[[#This Row],[Qtde Cx Produzida]]*Tabela3[[#This Row],[Qde macho / CX]]*Tabela3[[#This Row],[Peso Macho]]),)</f>
        <v>0</v>
      </c>
      <c r="Z1164" s="35">
        <f>IFERROR(Tabela3[[#This Row],[Qtde Oleo]]*(VLOOKUP(Tabela3[[#This Row],[Data]],CompraOleo[],3,TRUE))*1.05,0)</f>
        <v>152.94139482199228</v>
      </c>
      <c r="AA1164" s="47">
        <f ca="1">(Tabela3[[#This Row],[Custo Oleo]]+Tabela3[[#This Row],[Custo Aluminio]]+Tabela3[[#This Row],[Custo M.O. Total]]+Tabela3[[#This Row],[Custo Machos]])</f>
        <v>2733.4818907942149</v>
      </c>
      <c r="AB1164" s="47">
        <f ca="1">Tabela3[[#This Row],[Custo Total]]*Tabela3[[#This Row],[% Perda]]</f>
        <v>0</v>
      </c>
      <c r="AC1164" s="40">
        <f>IFERROR(VLOOKUP(Tabela3[[#This Row],[Produto]],Tabela2[],2,0),0)</f>
        <v>6</v>
      </c>
      <c r="AD1164" s="48">
        <f>IFERROR(VLOOKUP(Tabela3[[#This Row],[Produto]],Tabela2[],3,0),0)</f>
        <v>0.30199999999999999</v>
      </c>
      <c r="AE1164" s="48">
        <f>IFERROR(VLOOKUP(Tabela3[[#This Row],[Produto]],Tabela2[],4,0),0)</f>
        <v>2.1520000000000001</v>
      </c>
      <c r="AF1164" s="48">
        <f>IFERROR(VLOOKUP(Tabela3[[#This Row],[Produto]],Tabela2[],5,0),0)</f>
        <v>0.30600000000000027</v>
      </c>
      <c r="AG1164" s="48">
        <f>IFERROR(VLOOKUP(Tabela3[[#This Row],[Produto]],Tabela2[],6,0),0)</f>
        <v>0</v>
      </c>
      <c r="AH1164" s="40">
        <f>IFERROR(VLOOKUP(Tabela3[[#This Row],[Produto]],Tabela2[],7,0),0)</f>
        <v>0</v>
      </c>
      <c r="AI1164" s="40">
        <f>IFERROR(VLOOKUP(Tabela3[[#This Row],[Produto]],Tabela2[],8,0),0)</f>
        <v>0</v>
      </c>
      <c r="AJ1164" s="35">
        <f ca="1">IFERROR(VLOOKUP(Tabela3[[#This Row],[Produto]],Tabela2[],13,0),0)</f>
        <v>15.600000000000001</v>
      </c>
      <c r="AK1164" s="48" t="str">
        <f>IFERROR(VLOOKUP(Tabela3[[#This Row],[Produto]],Tabela2[],14,0),0)</f>
        <v>Senun</v>
      </c>
      <c r="AL1164" s="40">
        <f>IFERROR(VLOOKUP(Tabela3[[#This Row],[Produto]],Tabela2[],15,0),0)</f>
        <v>4</v>
      </c>
      <c r="AM1164" s="36">
        <f ca="1">(Tabela3[[#This Row],[Custo Usinagem]]+Tabela3[[#This Row],[Custo / Pç]])*1.2</f>
        <v>13.762235707522015</v>
      </c>
      <c r="AN1164" s="36">
        <f ca="1">Tabela3[[#This Row],[Valor Mínimo Venda]]*1.15</f>
        <v>15.826571063650317</v>
      </c>
      <c r="AO1164" s="36">
        <f ca="1">Tabela3[[#This Row],[Tabela 1]]*1.08</f>
        <v>17.092696748742345</v>
      </c>
      <c r="AP1164" s="36">
        <f ca="1">Tabela3[[#This Row],[Tabela 2]]*1.15</f>
        <v>19.656601261053694</v>
      </c>
    </row>
    <row r="1165" spans="1:42">
      <c r="A1165" s="9">
        <v>46146</v>
      </c>
      <c r="B1165" s="9" t="s">
        <v>236</v>
      </c>
      <c r="C1165" s="14">
        <v>9539</v>
      </c>
      <c r="D1165" s="6" t="s">
        <v>44</v>
      </c>
      <c r="E1165" s="6" t="s">
        <v>47</v>
      </c>
      <c r="F1165" s="6">
        <v>13</v>
      </c>
      <c r="G1165" s="15">
        <v>7.9861111111111105E-2</v>
      </c>
      <c r="H1165" s="16">
        <v>0</v>
      </c>
      <c r="I1165" s="35">
        <f ca="1">IFERROR(Tabela3[[#This Row],[Custo Total]]/Tabela3[[#This Row],[Aluminio Util]],0)</f>
        <v>25.116283067138085</v>
      </c>
      <c r="J1165" s="35">
        <f ca="1">Tabela3[[#This Row],[Custo Total]]/Tabela3[[#This Row],[Realizado]]</f>
        <v>7.5851174862757018</v>
      </c>
      <c r="K1165" s="37">
        <f>IFERROR(Tabela3[[#This Row],[Qtde Cx Produzida]]/Tabela3[[#This Row],[Tempo]]/24,0)</f>
        <v>6.7826086956521747</v>
      </c>
      <c r="L1165" s="37">
        <f>Tabela3[[#This Row],[Qtde Cx Produzida]]*Tabela3[[#This Row],[Qdt Peça Placa]]</f>
        <v>78</v>
      </c>
      <c r="M1165" s="37">
        <f>Tabela3[[#This Row],[Previsto]]-Tabela3[[#This Row],[Perda Pçs]]</f>
        <v>78</v>
      </c>
      <c r="N1165" s="38">
        <f>IFERROR(Tabela3[[#This Row],[Perda Pçs]]/Tabela3[[#This Row],[Previsto]],0)</f>
        <v>0</v>
      </c>
      <c r="O1165" s="39">
        <f>IFERROR(IF(Tabela3[[#This Row],[Qtde Cx Produzida]] &lt;&gt; 0, Tabela3[[#This Row],[Tempo]] / Tabela3[[#This Row],[Qtde Cx Produzida]], 0),0)</f>
        <v>6.143162393162393E-3</v>
      </c>
      <c r="P1165" s="57">
        <f>IFERROR(Tabela3[[#This Row],[Perda Pçs]]/Tabela3[[#This Row],[Qdt Peça Placa]],0)</f>
        <v>0</v>
      </c>
      <c r="Q1165" s="37">
        <f>IFERROR(Tabela3[[#This Row],[Realizado]]*Tabela3[[#This Row],[Peso Util/Pç]],0)</f>
        <v>23.556000000000001</v>
      </c>
      <c r="R1165" s="37">
        <f>IFERROR(Tabela3[[#This Row],[Peso Total Galho]]*Tabela3[[#This Row],[Qtde Cx Produzida]]*1.055,0)</f>
        <v>29.514680000000002</v>
      </c>
      <c r="S1165" s="37">
        <f>(Tabela3[[#This Row],[Aluminio Bruto]]-Tabela3[[#This Row],[Aluminio Util]])*0.9</f>
        <v>5.3628120000000008</v>
      </c>
      <c r="T1165" s="37">
        <f>Tabela3[[#This Row],[Aluminio Bruto]]/OleoKGAluminio</f>
        <v>12.4167877138854</v>
      </c>
      <c r="U1165" s="35">
        <f>IFERROR((VLOOKUP(Tabela3[[#This Row],[Moldador]],Tabela1[],5,)+(VLOOKUP(Tabela3[[#This Row],[Ajudante]],Tabela1[],5,))*3.5),0)</f>
        <v>99.95034583333333</v>
      </c>
      <c r="V1165" s="35">
        <f>IFERROR(Tabela3[[#This Row],[Custo M.O. / H]]/((Tabela3[[#This Row],[Realizado]]/Tabela3[[#This Row],[Qdt Peça Placa]])/Tabela3[[#This Row],[Tempo]]/24),)</f>
        <v>14.736268936965809</v>
      </c>
      <c r="W1165" s="35">
        <f>Tabela3[[#This Row],[Custo / Cx Moldada]]*Tabela3[[#This Row],[Qtde Cx Produzida]]</f>
        <v>191.57149618055553</v>
      </c>
      <c r="X1165" s="35">
        <f ca="1">Tabela3[[#This Row],[Aluminio Util]]*Tabela3[[#This Row],[Custo/Kg]]</f>
        <v>367.47360000000003</v>
      </c>
      <c r="Y1165" s="35">
        <f>IFERROR(VLOOKUP(Tabela3[[#This Row],[Data]],Tabela461213[],2,1)*(Tabela3[[#This Row],[Qtde Cx Produzida]]*Tabela3[[#This Row],[Qde macho / CX]]*Tabela3[[#This Row],[Peso Macho]]),)</f>
        <v>0</v>
      </c>
      <c r="Z1165" s="35">
        <f>IFERROR(Tabela3[[#This Row],[Qtde Oleo]]*(VLOOKUP(Tabela3[[#This Row],[Data]],CompraOleo[],3,TRUE))*1.05,0)</f>
        <v>32.594067748949172</v>
      </c>
      <c r="AA1165" s="47">
        <f ca="1">(Tabela3[[#This Row],[Custo Oleo]]+Tabela3[[#This Row],[Custo Aluminio]]+Tabela3[[#This Row],[Custo M.O. Total]]+Tabela3[[#This Row],[Custo Machos]])</f>
        <v>591.63916392950478</v>
      </c>
      <c r="AB1165" s="47">
        <f ca="1">Tabela3[[#This Row],[Custo Total]]*Tabela3[[#This Row],[% Perda]]</f>
        <v>0</v>
      </c>
      <c r="AC1165" s="40">
        <f>IFERROR(VLOOKUP(Tabela3[[#This Row],[Produto]],Tabela2[],2,0),0)</f>
        <v>6</v>
      </c>
      <c r="AD1165" s="48">
        <f>IFERROR(VLOOKUP(Tabela3[[#This Row],[Produto]],Tabela2[],3,0),0)</f>
        <v>0.30199999999999999</v>
      </c>
      <c r="AE1165" s="48">
        <f>IFERROR(VLOOKUP(Tabela3[[#This Row],[Produto]],Tabela2[],4,0),0)</f>
        <v>2.1520000000000001</v>
      </c>
      <c r="AF1165" s="48">
        <f>IFERROR(VLOOKUP(Tabela3[[#This Row],[Produto]],Tabela2[],5,0),0)</f>
        <v>0.30600000000000027</v>
      </c>
      <c r="AG1165" s="48">
        <f>IFERROR(VLOOKUP(Tabela3[[#This Row],[Produto]],Tabela2[],6,0),0)</f>
        <v>0</v>
      </c>
      <c r="AH1165" s="40">
        <f>IFERROR(VLOOKUP(Tabela3[[#This Row],[Produto]],Tabela2[],7,0),0)</f>
        <v>0</v>
      </c>
      <c r="AI1165" s="40">
        <f>IFERROR(VLOOKUP(Tabela3[[#This Row],[Produto]],Tabela2[],8,0),0)</f>
        <v>0</v>
      </c>
      <c r="AJ1165" s="35">
        <f ca="1">IFERROR(VLOOKUP(Tabela3[[#This Row],[Produto]],Tabela2[],13,0),0)</f>
        <v>15.600000000000001</v>
      </c>
      <c r="AK1165" s="48" t="str">
        <f>IFERROR(VLOOKUP(Tabela3[[#This Row],[Produto]],Tabela2[],14,0),0)</f>
        <v>Senun</v>
      </c>
      <c r="AL1165" s="40">
        <f>IFERROR(VLOOKUP(Tabela3[[#This Row],[Produto]],Tabela2[],15,0),0)</f>
        <v>4</v>
      </c>
      <c r="AM1165" s="36">
        <f ca="1">(Tabela3[[#This Row],[Custo Usinagem]]+Tabela3[[#This Row],[Custo / Pç]])*1.2</f>
        <v>13.902140983530844</v>
      </c>
      <c r="AN1165" s="36">
        <f ca="1">Tabela3[[#This Row],[Valor Mínimo Venda]]*1.15</f>
        <v>15.987462131060468</v>
      </c>
      <c r="AO1165" s="36">
        <f ca="1">Tabela3[[#This Row],[Tabela 1]]*1.08</f>
        <v>17.266459101545308</v>
      </c>
      <c r="AP1165" s="36">
        <f ca="1">Tabela3[[#This Row],[Tabela 2]]*1.15</f>
        <v>19.856427966777105</v>
      </c>
    </row>
    <row r="1166" spans="1:42">
      <c r="A1166" s="9">
        <v>46146</v>
      </c>
      <c r="B1166" s="9" t="s">
        <v>247</v>
      </c>
      <c r="C1166" s="14">
        <v>9368</v>
      </c>
      <c r="D1166" s="6" t="s">
        <v>44</v>
      </c>
      <c r="E1166" s="6" t="s">
        <v>47</v>
      </c>
      <c r="F1166" s="6">
        <v>13</v>
      </c>
      <c r="G1166" s="15">
        <v>5.7638888888888892E-2</v>
      </c>
      <c r="H1166" s="16">
        <v>0</v>
      </c>
      <c r="I1166" s="35">
        <f ca="1">IFERROR(Tabela3[[#This Row],[Custo Total]]/Tabela3[[#This Row],[Aluminio Util]],0)</f>
        <v>26.696173863669681</v>
      </c>
      <c r="J1166" s="35">
        <f ca="1">Tabela3[[#This Row],[Custo Total]]/Tabela3[[#This Row],[Realizado]]</f>
        <v>8.0088521591009041</v>
      </c>
      <c r="K1166" s="37">
        <f>IFERROR(Tabela3[[#This Row],[Qtde Cx Produzida]]/Tabela3[[#This Row],[Tempo]]/24,0)</f>
        <v>9.3975903614457827</v>
      </c>
      <c r="L1166" s="37">
        <f>Tabela3[[#This Row],[Qtde Cx Produzida]]*Tabela3[[#This Row],[Qdt Peça Placa]]</f>
        <v>52</v>
      </c>
      <c r="M1166" s="37">
        <f>Tabela3[[#This Row],[Previsto]]-Tabela3[[#This Row],[Perda Pçs]]</f>
        <v>52</v>
      </c>
      <c r="N1166" s="38">
        <f>IFERROR(Tabela3[[#This Row],[Perda Pçs]]/Tabela3[[#This Row],[Previsto]],0)</f>
        <v>0</v>
      </c>
      <c r="O1166" s="39">
        <f>IFERROR(IF(Tabela3[[#This Row],[Qtde Cx Produzida]] &lt;&gt; 0, Tabela3[[#This Row],[Tempo]] / Tabela3[[#This Row],[Qtde Cx Produzida]], 0),0)</f>
        <v>4.4337606837606836E-3</v>
      </c>
      <c r="P1166" s="57">
        <f>IFERROR(Tabela3[[#This Row],[Perda Pçs]]/Tabela3[[#This Row],[Qdt Peça Placa]],0)</f>
        <v>0</v>
      </c>
      <c r="Q1166" s="37">
        <f>IFERROR(Tabela3[[#This Row],[Realizado]]*Tabela3[[#This Row],[Peso Util/Pç]],0)</f>
        <v>15.6</v>
      </c>
      <c r="R1166" s="37">
        <f>IFERROR(Tabela3[[#This Row],[Peso Total Galho]]*Tabela3[[#This Row],[Qtde Cx Produzida]]*1.055,0)</f>
        <v>31.544499999999996</v>
      </c>
      <c r="S1166" s="37">
        <f>(Tabela3[[#This Row],[Aluminio Bruto]]-Tabela3[[#This Row],[Aluminio Util]])*0.9</f>
        <v>14.350049999999996</v>
      </c>
      <c r="T1166" s="37">
        <f>Tabela3[[#This Row],[Aluminio Bruto]]/OleoKGAluminio</f>
        <v>13.270730363353353</v>
      </c>
      <c r="U1166" s="35">
        <f>IFERROR((VLOOKUP(Tabela3[[#This Row],[Moldador]],Tabela1[],5,)+(VLOOKUP(Tabela3[[#This Row],[Ajudante]],Tabela1[],5,))*3.5),0)</f>
        <v>99.95034583333333</v>
      </c>
      <c r="V1166" s="35">
        <f>IFERROR(Tabela3[[#This Row],[Custo M.O. / H]]/((Tabela3[[#This Row],[Realizado]]/Tabela3[[#This Row],[Qdt Peça Placa]])/Tabela3[[#This Row],[Tempo]]/24),)</f>
        <v>10.635741928418803</v>
      </c>
      <c r="W1166" s="35">
        <f>Tabela3[[#This Row],[Custo / Cx Moldada]]*Tabela3[[#This Row],[Qtde Cx Produzida]]</f>
        <v>138.26464506944444</v>
      </c>
      <c r="X1166" s="35">
        <f ca="1">Tabela3[[#This Row],[Aluminio Util]]*Tabela3[[#This Row],[Custo/Kg]]</f>
        <v>243.36</v>
      </c>
      <c r="Y1166" s="35">
        <f>IFERROR(VLOOKUP(Tabela3[[#This Row],[Data]],Tabela461213[],2,1)*(Tabela3[[#This Row],[Qtde Cx Produzida]]*Tabela3[[#This Row],[Qde macho / CX]]*Tabela3[[#This Row],[Peso Macho]]),)</f>
        <v>0</v>
      </c>
      <c r="Z1166" s="35">
        <f>IFERROR(Tabela3[[#This Row],[Qtde Oleo]]*(VLOOKUP(Tabela3[[#This Row],[Data]],CompraOleo[],3,TRUE))*1.05,0)</f>
        <v>34.835667203802558</v>
      </c>
      <c r="AA1166" s="47">
        <f ca="1">(Tabela3[[#This Row],[Custo Oleo]]+Tabela3[[#This Row],[Custo Aluminio]]+Tabela3[[#This Row],[Custo M.O. Total]]+Tabela3[[#This Row],[Custo Machos]])</f>
        <v>416.46031227324704</v>
      </c>
      <c r="AB1166" s="47">
        <f ca="1">Tabela3[[#This Row],[Custo Total]]*Tabela3[[#This Row],[% Perda]]</f>
        <v>0</v>
      </c>
      <c r="AC1166" s="40">
        <f>IFERROR(VLOOKUP(Tabela3[[#This Row],[Produto]],Tabela2[],2,0),0)</f>
        <v>4</v>
      </c>
      <c r="AD1166" s="48">
        <f>IFERROR(VLOOKUP(Tabela3[[#This Row],[Produto]],Tabela2[],3,0),0)</f>
        <v>0.3</v>
      </c>
      <c r="AE1166" s="48">
        <f>IFERROR(VLOOKUP(Tabela3[[#This Row],[Produto]],Tabela2[],4,0),0)</f>
        <v>2.2999999999999998</v>
      </c>
      <c r="AF1166" s="48">
        <f>IFERROR(VLOOKUP(Tabela3[[#This Row],[Produto]],Tabela2[],5,0),0)</f>
        <v>0.98999999999999988</v>
      </c>
      <c r="AG1166" s="48">
        <f>IFERROR(VLOOKUP(Tabela3[[#This Row],[Produto]],Tabela2[],6,0),0)</f>
        <v>0</v>
      </c>
      <c r="AH1166" s="40">
        <f>IFERROR(VLOOKUP(Tabela3[[#This Row],[Produto]],Tabela2[],7,0),0)</f>
        <v>0</v>
      </c>
      <c r="AI1166" s="40">
        <f>IFERROR(VLOOKUP(Tabela3[[#This Row],[Produto]],Tabela2[],8,0),0)</f>
        <v>0</v>
      </c>
      <c r="AJ1166" s="35">
        <f ca="1">IFERROR(VLOOKUP(Tabela3[[#This Row],[Produto]],Tabela2[],13,0),0)</f>
        <v>15.600000000000001</v>
      </c>
      <c r="AK1166" s="48" t="str">
        <f>IFERROR(VLOOKUP(Tabela3[[#This Row],[Produto]],Tabela2[],14,0),0)</f>
        <v>Senun</v>
      </c>
      <c r="AL1166" s="40">
        <f>IFERROR(VLOOKUP(Tabela3[[#This Row],[Produto]],Tabela2[],15,0),0)</f>
        <v>3.5</v>
      </c>
      <c r="AM1166" s="36">
        <f ca="1">(Tabela3[[#This Row],[Custo Usinagem]]+Tabela3[[#This Row],[Custo / Pç]])*1.2</f>
        <v>13.810622590921085</v>
      </c>
      <c r="AN1166" s="36">
        <f ca="1">Tabela3[[#This Row],[Valor Mínimo Venda]]*1.15</f>
        <v>15.882215979559247</v>
      </c>
      <c r="AO1166" s="36">
        <f ca="1">Tabela3[[#This Row],[Tabela 1]]*1.08</f>
        <v>17.152793257923989</v>
      </c>
      <c r="AP1166" s="36">
        <f ca="1">Tabela3[[#This Row],[Tabela 2]]*1.15</f>
        <v>19.725712246612584</v>
      </c>
    </row>
    <row r="1167" spans="1:42">
      <c r="A1167" s="9">
        <v>46146</v>
      </c>
      <c r="B1167" s="9" t="s">
        <v>227</v>
      </c>
      <c r="C1167" s="14">
        <v>9584</v>
      </c>
      <c r="D1167" s="6" t="s">
        <v>44</v>
      </c>
      <c r="E1167" s="6" t="s">
        <v>47</v>
      </c>
      <c r="F1167" s="6">
        <v>3</v>
      </c>
      <c r="G1167" s="15">
        <v>5.5555555555555552E-2</v>
      </c>
      <c r="H1167" s="16">
        <v>0</v>
      </c>
      <c r="I1167" s="35">
        <f ca="1">IFERROR(Tabela3[[#This Row],[Custo Total]]/Tabela3[[#This Row],[Aluminio Util]],0)</f>
        <v>20.49664732948775</v>
      </c>
      <c r="J1167" s="35">
        <f ca="1">Tabela3[[#This Row],[Custo Total]]/Tabela3[[#This Row],[Realizado]]</f>
        <v>553.40947789616928</v>
      </c>
      <c r="K1167" s="37">
        <f>IFERROR(Tabela3[[#This Row],[Qtde Cx Produzida]]/Tabela3[[#This Row],[Tempo]]/24,0)</f>
        <v>2.25</v>
      </c>
      <c r="L1167" s="37">
        <f>Tabela3[[#This Row],[Qtde Cx Produzida]]*Tabela3[[#This Row],[Qdt Peça Placa]]</f>
        <v>3</v>
      </c>
      <c r="M1167" s="37">
        <f>Tabela3[[#This Row],[Previsto]]-Tabela3[[#This Row],[Perda Pçs]]</f>
        <v>3</v>
      </c>
      <c r="N1167" s="38">
        <f>IFERROR(Tabela3[[#This Row],[Perda Pçs]]/Tabela3[[#This Row],[Previsto]],0)</f>
        <v>0</v>
      </c>
      <c r="O1167" s="39">
        <f>IFERROR(IF(Tabela3[[#This Row],[Qtde Cx Produzida]] &lt;&gt; 0, Tabela3[[#This Row],[Tempo]] / Tabela3[[#This Row],[Qtde Cx Produzida]], 0),0)</f>
        <v>1.8518518518518517E-2</v>
      </c>
      <c r="P1167" s="57">
        <f>IFERROR(Tabela3[[#This Row],[Perda Pçs]]/Tabela3[[#This Row],[Qdt Peça Placa]],0)</f>
        <v>0</v>
      </c>
      <c r="Q1167" s="37">
        <f>IFERROR(Tabela3[[#This Row],[Realizado]]*Tabela3[[#This Row],[Peso Util/Pç]],0)</f>
        <v>81</v>
      </c>
      <c r="R1167" s="37">
        <f>IFERROR(Tabela3[[#This Row],[Peso Total Galho]]*Tabela3[[#This Row],[Qtde Cx Produzida]]*1.055,0)</f>
        <v>91.784999999999997</v>
      </c>
      <c r="S1167" s="37">
        <f>(Tabela3[[#This Row],[Aluminio Bruto]]-Tabela3[[#This Row],[Aluminio Util]])*0.9</f>
        <v>9.7064999999999966</v>
      </c>
      <c r="T1167" s="37">
        <f>Tabela3[[#This Row],[Aluminio Bruto]]/OleoKGAluminio</f>
        <v>38.613830823135174</v>
      </c>
      <c r="U1167" s="35">
        <f>IFERROR((VLOOKUP(Tabela3[[#This Row],[Moldador]],Tabela1[],5,)+(VLOOKUP(Tabela3[[#This Row],[Ajudante]],Tabela1[],5,))*3.5),0)</f>
        <v>99.95034583333333</v>
      </c>
      <c r="V1167" s="35">
        <f>IFERROR(Tabela3[[#This Row],[Custo M.O. / H]]/((Tabela3[[#This Row],[Realizado]]/Tabela3[[#This Row],[Qdt Peça Placa]])/Tabela3[[#This Row],[Tempo]]/24),)</f>
        <v>44.422375925925927</v>
      </c>
      <c r="W1167" s="35">
        <f>Tabela3[[#This Row],[Custo / Cx Moldada]]*Tabela3[[#This Row],[Qtde Cx Produzida]]</f>
        <v>133.26712777777777</v>
      </c>
      <c r="X1167" s="35">
        <f ca="1">Tabela3[[#This Row],[Aluminio Util]]*Tabela3[[#This Row],[Custo/Kg]]</f>
        <v>1425.6000000000001</v>
      </c>
      <c r="Y1167" s="35">
        <f>IFERROR(VLOOKUP(Tabela3[[#This Row],[Data]],Tabela461213[],2,1)*(Tabela3[[#This Row],[Qtde Cx Produzida]]*Tabela3[[#This Row],[Qde macho / CX]]*Tabela3[[#This Row],[Peso Macho]]),)</f>
        <v>0</v>
      </c>
      <c r="Z1167" s="35">
        <f>IFERROR(Tabela3[[#This Row],[Qtde Oleo]]*(VLOOKUP(Tabela3[[#This Row],[Data]],CompraOleo[],3,TRUE))*1.05,0)</f>
        <v>101.36130591072984</v>
      </c>
      <c r="AA1167" s="47">
        <f ca="1">(Tabela3[[#This Row],[Custo Oleo]]+Tabela3[[#This Row],[Custo Aluminio]]+Tabela3[[#This Row],[Custo M.O. Total]]+Tabela3[[#This Row],[Custo Machos]])</f>
        <v>1660.2284336885077</v>
      </c>
      <c r="AB1167" s="47">
        <f ca="1">Tabela3[[#This Row],[Custo Total]]*Tabela3[[#This Row],[% Perda]]</f>
        <v>0</v>
      </c>
      <c r="AC1167" s="40">
        <f>IFERROR(VLOOKUP(Tabela3[[#This Row],[Produto]],Tabela2[],2,0),0)</f>
        <v>1</v>
      </c>
      <c r="AD1167" s="48">
        <f>IFERROR(VLOOKUP(Tabela3[[#This Row],[Produto]],Tabela2[],3,0),0)</f>
        <v>27</v>
      </c>
      <c r="AE1167" s="48">
        <f>IFERROR(VLOOKUP(Tabela3[[#This Row],[Produto]],Tabela2[],4,0),0)</f>
        <v>29</v>
      </c>
      <c r="AF1167" s="48">
        <f>IFERROR(VLOOKUP(Tabela3[[#This Row],[Produto]],Tabela2[],5,0),0)</f>
        <v>1.8</v>
      </c>
      <c r="AG1167" s="48">
        <f>IFERROR(VLOOKUP(Tabela3[[#This Row],[Produto]],Tabela2[],6,0),0)</f>
        <v>0</v>
      </c>
      <c r="AH1167" s="40">
        <f>IFERROR(VLOOKUP(Tabela3[[#This Row],[Produto]],Tabela2[],7,0),0)</f>
        <v>0</v>
      </c>
      <c r="AI1167" s="40">
        <f>IFERROR(VLOOKUP(Tabela3[[#This Row],[Produto]],Tabela2[],8,0),0)</f>
        <v>0</v>
      </c>
      <c r="AJ1167" s="35">
        <f ca="1">IFERROR(VLOOKUP(Tabela3[[#This Row],[Produto]],Tabela2[],13,0),0)</f>
        <v>17.600000000000001</v>
      </c>
      <c r="AK1167" s="48" t="str">
        <f>IFERROR(VLOOKUP(Tabela3[[#This Row],[Produto]],Tabela2[],14,0),0)</f>
        <v>Oscar</v>
      </c>
      <c r="AL1167" s="40">
        <f>IFERROR(VLOOKUP(Tabela3[[#This Row],[Produto]],Tabela2[],15,0),0)</f>
        <v>0</v>
      </c>
      <c r="AM1167" s="36">
        <f ca="1">(Tabela3[[#This Row],[Custo Usinagem]]+Tabela3[[#This Row],[Custo / Pç]])*1.2</f>
        <v>664.09137347540309</v>
      </c>
      <c r="AN1167" s="36">
        <f ca="1">Tabela3[[#This Row],[Valor Mínimo Venda]]*1.15</f>
        <v>763.70507949671344</v>
      </c>
      <c r="AO1167" s="36">
        <f ca="1">Tabela3[[#This Row],[Tabela 1]]*1.08</f>
        <v>824.80148585645054</v>
      </c>
      <c r="AP1167" s="36">
        <f ca="1">Tabela3[[#This Row],[Tabela 2]]*1.15</f>
        <v>948.52170873491809</v>
      </c>
    </row>
    <row r="1168" spans="1:42">
      <c r="A1168" s="9">
        <v>46146</v>
      </c>
      <c r="B1168" s="9" t="s">
        <v>184</v>
      </c>
      <c r="C1168" s="14">
        <v>9585</v>
      </c>
      <c r="D1168" s="6" t="s">
        <v>44</v>
      </c>
      <c r="E1168" s="6" t="s">
        <v>47</v>
      </c>
      <c r="F1168" s="6">
        <v>8</v>
      </c>
      <c r="G1168" s="15">
        <v>4.8611111111111112E-2</v>
      </c>
      <c r="H1168" s="16">
        <v>0</v>
      </c>
      <c r="I1168" s="35">
        <f ca="1">IFERROR(Tabela3[[#This Row],[Custo Total]]/Tabela3[[#This Row],[Aluminio Util]],0)</f>
        <v>26.576368844763223</v>
      </c>
      <c r="J1168" s="35">
        <f ca="1">Tabela3[[#This Row],[Custo Total]]/Tabela3[[#This Row],[Realizado]]</f>
        <v>51.823919247288288</v>
      </c>
      <c r="K1168" s="37">
        <f>IFERROR(Tabela3[[#This Row],[Qtde Cx Produzida]]/Tabela3[[#This Row],[Tempo]]/24,0)</f>
        <v>6.8571428571428568</v>
      </c>
      <c r="L1168" s="37">
        <f>Tabela3[[#This Row],[Qtde Cx Produzida]]*Tabela3[[#This Row],[Qdt Peça Placa]]</f>
        <v>8</v>
      </c>
      <c r="M1168" s="37">
        <f>Tabela3[[#This Row],[Previsto]]-Tabela3[[#This Row],[Perda Pçs]]</f>
        <v>8</v>
      </c>
      <c r="N1168" s="38">
        <f>IFERROR(Tabela3[[#This Row],[Perda Pçs]]/Tabela3[[#This Row],[Previsto]],0)</f>
        <v>0</v>
      </c>
      <c r="O1168" s="39">
        <f>IFERROR(IF(Tabela3[[#This Row],[Qtde Cx Produzida]] &lt;&gt; 0, Tabela3[[#This Row],[Tempo]] / Tabela3[[#This Row],[Qtde Cx Produzida]], 0),0)</f>
        <v>6.076388888888889E-3</v>
      </c>
      <c r="P1168" s="57">
        <f>IFERROR(Tabela3[[#This Row],[Perda Pçs]]/Tabela3[[#This Row],[Qdt Peça Placa]],0)</f>
        <v>0</v>
      </c>
      <c r="Q1168" s="37">
        <f>IFERROR(Tabela3[[#This Row],[Realizado]]*Tabela3[[#This Row],[Peso Util/Pç]],0)</f>
        <v>15.6</v>
      </c>
      <c r="R1168" s="37">
        <f>IFERROR(Tabela3[[#This Row],[Peso Total Galho]]*Tabela3[[#This Row],[Qtde Cx Produzida]]*1.055,0)</f>
        <v>21.209719999999997</v>
      </c>
      <c r="S1168" s="37">
        <f>(Tabela3[[#This Row],[Aluminio Bruto]]-Tabela3[[#This Row],[Aluminio Util]])*0.9</f>
        <v>5.048747999999998</v>
      </c>
      <c r="T1168" s="37">
        <f>Tabela3[[#This Row],[Aluminio Bruto]]/OleoKGAluminio</f>
        <v>8.9229017800955113</v>
      </c>
      <c r="U1168" s="35">
        <f>IFERROR((VLOOKUP(Tabela3[[#This Row],[Moldador]],Tabela1[],5,)+(VLOOKUP(Tabela3[[#This Row],[Ajudante]],Tabela1[],5,))*3.5),0)</f>
        <v>99.95034583333333</v>
      </c>
      <c r="V1168" s="35">
        <f>IFERROR(Tabela3[[#This Row],[Custo M.O. / H]]/((Tabela3[[#This Row],[Realizado]]/Tabela3[[#This Row],[Qdt Peça Placa]])/Tabela3[[#This Row],[Tempo]]/24),)</f>
        <v>14.576092100694444</v>
      </c>
      <c r="W1168" s="35">
        <f>Tabela3[[#This Row],[Custo / Cx Moldada]]*Tabela3[[#This Row],[Qtde Cx Produzida]]</f>
        <v>116.60873680555555</v>
      </c>
      <c r="X1168" s="35">
        <f ca="1">Tabela3[[#This Row],[Aluminio Util]]*Tabela3[[#This Row],[Custo/Kg]]</f>
        <v>274.56</v>
      </c>
      <c r="Y1168" s="35">
        <f>IFERROR(VLOOKUP(Tabela3[[#This Row],[Data]],Tabela461213[],2,1)*(Tabela3[[#This Row],[Qtde Cx Produzida]]*Tabela3[[#This Row],[Qde macho / CX]]*Tabela3[[#This Row],[Peso Macho]]),)</f>
        <v>0</v>
      </c>
      <c r="Z1168" s="35">
        <f>IFERROR(Tabela3[[#This Row],[Qtde Oleo]]*(VLOOKUP(Tabela3[[#This Row],[Data]],CompraOleo[],3,TRUE))*1.05,0)</f>
        <v>23.422617172750719</v>
      </c>
      <c r="AA1168" s="47">
        <f ca="1">(Tabela3[[#This Row],[Custo Oleo]]+Tabela3[[#This Row],[Custo Aluminio]]+Tabela3[[#This Row],[Custo M.O. Total]]+Tabela3[[#This Row],[Custo Machos]])</f>
        <v>414.5913539783063</v>
      </c>
      <c r="AB1168" s="47">
        <f ca="1">Tabela3[[#This Row],[Custo Total]]*Tabela3[[#This Row],[% Perda]]</f>
        <v>0</v>
      </c>
      <c r="AC1168" s="40">
        <f>IFERROR(VLOOKUP(Tabela3[[#This Row],[Produto]],Tabela2[],2,0),0)</f>
        <v>1</v>
      </c>
      <c r="AD1168" s="48">
        <f>IFERROR(VLOOKUP(Tabela3[[#This Row],[Produto]],Tabela2[],3,0),0)</f>
        <v>1.95</v>
      </c>
      <c r="AE1168" s="48">
        <f>IFERROR(VLOOKUP(Tabela3[[#This Row],[Produto]],Tabela2[],4,0),0)</f>
        <v>2.5129999999999999</v>
      </c>
      <c r="AF1168" s="48">
        <f>IFERROR(VLOOKUP(Tabela3[[#This Row],[Produto]],Tabela2[],5,0),0)</f>
        <v>0.50669999999999993</v>
      </c>
      <c r="AG1168" s="48">
        <f>IFERROR(VLOOKUP(Tabela3[[#This Row],[Produto]],Tabela2[],6,0),0)</f>
        <v>0</v>
      </c>
      <c r="AH1168" s="40">
        <f>IFERROR(VLOOKUP(Tabela3[[#This Row],[Produto]],Tabela2[],7,0),0)</f>
        <v>0</v>
      </c>
      <c r="AI1168" s="40">
        <f>IFERROR(VLOOKUP(Tabela3[[#This Row],[Produto]],Tabela2[],8,0),0)</f>
        <v>0</v>
      </c>
      <c r="AJ1168" s="35">
        <f ca="1">IFERROR(VLOOKUP(Tabela3[[#This Row],[Produto]],Tabela2[],13,0),0)</f>
        <v>17.600000000000001</v>
      </c>
      <c r="AK1168" s="48" t="str">
        <f>IFERROR(VLOOKUP(Tabela3[[#This Row],[Produto]],Tabela2[],14,0),0)</f>
        <v>Oscar</v>
      </c>
      <c r="AL1168" s="40">
        <f>IFERROR(VLOOKUP(Tabela3[[#This Row],[Produto]],Tabela2[],15,0),0)</f>
        <v>0</v>
      </c>
      <c r="AM1168" s="36">
        <f ca="1">(Tabela3[[#This Row],[Custo Usinagem]]+Tabela3[[#This Row],[Custo / Pç]])*1.2</f>
        <v>62.18870309674594</v>
      </c>
      <c r="AN1168" s="36">
        <f ca="1">Tabela3[[#This Row],[Valor Mínimo Venda]]*1.15</f>
        <v>71.517008561257825</v>
      </c>
      <c r="AO1168" s="36">
        <f ca="1">Tabela3[[#This Row],[Tabela 1]]*1.08</f>
        <v>77.238369246158456</v>
      </c>
      <c r="AP1168" s="36">
        <f ca="1">Tabela3[[#This Row],[Tabela 2]]*1.15</f>
        <v>88.824124633082221</v>
      </c>
    </row>
    <row r="1169" spans="1:42">
      <c r="A1169" s="9">
        <v>46147</v>
      </c>
      <c r="B1169" s="9" t="s">
        <v>236</v>
      </c>
      <c r="C1169" s="14">
        <v>9539</v>
      </c>
      <c r="D1169" s="6" t="s">
        <v>46</v>
      </c>
      <c r="E1169" s="6" t="s">
        <v>50</v>
      </c>
      <c r="F1169" s="6">
        <v>26</v>
      </c>
      <c r="G1169" s="15">
        <v>0.15347222222222223</v>
      </c>
      <c r="H1169" s="16">
        <v>0</v>
      </c>
      <c r="I1169" s="35">
        <f ca="1">IFERROR(Tabela3[[#This Row],[Custo Total]]/Tabela3[[#This Row],[Aluminio Util]],0)</f>
        <v>24.798050942095632</v>
      </c>
      <c r="J1169" s="35">
        <f ca="1">Tabela3[[#This Row],[Custo Total]]/Tabela3[[#This Row],[Realizado]]</f>
        <v>7.4890113845128807</v>
      </c>
      <c r="K1169" s="37">
        <f>IFERROR(Tabela3[[#This Row],[Qtde Cx Produzida]]/Tabela3[[#This Row],[Tempo]]/24,0)</f>
        <v>7.0588235294117645</v>
      </c>
      <c r="L1169" s="37">
        <f>Tabela3[[#This Row],[Qtde Cx Produzida]]*Tabela3[[#This Row],[Qdt Peça Placa]]</f>
        <v>156</v>
      </c>
      <c r="M1169" s="37">
        <f>Tabela3[[#This Row],[Previsto]]-Tabela3[[#This Row],[Perda Pçs]]</f>
        <v>156</v>
      </c>
      <c r="N1169" s="38">
        <f>IFERROR(Tabela3[[#This Row],[Perda Pçs]]/Tabela3[[#This Row],[Previsto]],0)</f>
        <v>0</v>
      </c>
      <c r="O1169" s="39">
        <f>IFERROR(IF(Tabela3[[#This Row],[Qtde Cx Produzida]] &lt;&gt; 0, Tabela3[[#This Row],[Tempo]] / Tabela3[[#This Row],[Qtde Cx Produzida]], 0),0)</f>
        <v>5.9027777777777785E-3</v>
      </c>
      <c r="P1169" s="57">
        <f>IFERROR(Tabela3[[#This Row],[Perda Pçs]]/Tabela3[[#This Row],[Qdt Peça Placa]],0)</f>
        <v>0</v>
      </c>
      <c r="Q1169" s="37">
        <f>IFERROR(Tabela3[[#This Row],[Realizado]]*Tabela3[[#This Row],[Peso Util/Pç]],0)</f>
        <v>47.112000000000002</v>
      </c>
      <c r="R1169" s="37">
        <f>IFERROR(Tabela3[[#This Row],[Peso Total Galho]]*Tabela3[[#This Row],[Qtde Cx Produzida]]*1.055,0)</f>
        <v>59.029360000000004</v>
      </c>
      <c r="S1169" s="37">
        <f>(Tabela3[[#This Row],[Aluminio Bruto]]-Tabela3[[#This Row],[Aluminio Util]])*0.9</f>
        <v>10.725624000000002</v>
      </c>
      <c r="T1169" s="37">
        <f>Tabela3[[#This Row],[Aluminio Bruto]]/OleoKGAluminio</f>
        <v>24.8335754277708</v>
      </c>
      <c r="U1169" s="35">
        <f>IFERROR((VLOOKUP(Tabela3[[#This Row],[Moldador]],Tabela1[],5,)+(VLOOKUP(Tabela3[[#This Row],[Ajudante]],Tabela1[],5,))*3.5),0)</f>
        <v>99.95034583333333</v>
      </c>
      <c r="V1169" s="35">
        <f>IFERROR(Tabela3[[#This Row],[Custo M.O. / H]]/((Tabela3[[#This Row],[Realizado]]/Tabela3[[#This Row],[Qdt Peça Placa]])/Tabela3[[#This Row],[Tempo]]/24),)</f>
        <v>14.159632326388889</v>
      </c>
      <c r="W1169" s="35">
        <f>Tabela3[[#This Row],[Custo / Cx Moldada]]*Tabela3[[#This Row],[Qtde Cx Produzida]]</f>
        <v>368.15044048611111</v>
      </c>
      <c r="X1169" s="35">
        <f ca="1">Tabela3[[#This Row],[Aluminio Util]]*Tabela3[[#This Row],[Custo/Kg]]</f>
        <v>734.94720000000007</v>
      </c>
      <c r="Y1169" s="35">
        <f>IFERROR(VLOOKUP(Tabela3[[#This Row],[Data]],Tabela461213[],2,1)*(Tabela3[[#This Row],[Qtde Cx Produzida]]*Tabela3[[#This Row],[Qde macho / CX]]*Tabela3[[#This Row],[Peso Macho]]),)</f>
        <v>0</v>
      </c>
      <c r="Z1169" s="35">
        <f>IFERROR(Tabela3[[#This Row],[Qtde Oleo]]*(VLOOKUP(Tabela3[[#This Row],[Data]],CompraOleo[],3,TRUE))*1.05,0)</f>
        <v>65.188135497898344</v>
      </c>
      <c r="AA1169" s="47">
        <f ca="1">(Tabela3[[#This Row],[Custo Oleo]]+Tabela3[[#This Row],[Custo Aluminio]]+Tabela3[[#This Row],[Custo M.O. Total]]+Tabela3[[#This Row],[Custo Machos]])</f>
        <v>1168.2857759840094</v>
      </c>
      <c r="AB1169" s="47">
        <f ca="1">Tabela3[[#This Row],[Custo Total]]*Tabela3[[#This Row],[% Perda]]</f>
        <v>0</v>
      </c>
      <c r="AC1169" s="40">
        <f>IFERROR(VLOOKUP(Tabela3[[#This Row],[Produto]],Tabela2[],2,0),0)</f>
        <v>6</v>
      </c>
      <c r="AD1169" s="48">
        <f>IFERROR(VLOOKUP(Tabela3[[#This Row],[Produto]],Tabela2[],3,0),0)</f>
        <v>0.30199999999999999</v>
      </c>
      <c r="AE1169" s="48">
        <f>IFERROR(VLOOKUP(Tabela3[[#This Row],[Produto]],Tabela2[],4,0),0)</f>
        <v>2.1520000000000001</v>
      </c>
      <c r="AF1169" s="48">
        <f>IFERROR(VLOOKUP(Tabela3[[#This Row],[Produto]],Tabela2[],5,0),0)</f>
        <v>0.30600000000000027</v>
      </c>
      <c r="AG1169" s="48">
        <f>IFERROR(VLOOKUP(Tabela3[[#This Row],[Produto]],Tabela2[],6,0),0)</f>
        <v>0</v>
      </c>
      <c r="AH1169" s="40">
        <f>IFERROR(VLOOKUP(Tabela3[[#This Row],[Produto]],Tabela2[],7,0),0)</f>
        <v>0</v>
      </c>
      <c r="AI1169" s="40">
        <f>IFERROR(VLOOKUP(Tabela3[[#This Row],[Produto]],Tabela2[],8,0),0)</f>
        <v>0</v>
      </c>
      <c r="AJ1169" s="35">
        <f ca="1">IFERROR(VLOOKUP(Tabela3[[#This Row],[Produto]],Tabela2[],13,0),0)</f>
        <v>15.600000000000001</v>
      </c>
      <c r="AK1169" s="48" t="str">
        <f>IFERROR(VLOOKUP(Tabela3[[#This Row],[Produto]],Tabela2[],14,0),0)</f>
        <v>Senun</v>
      </c>
      <c r="AL1169" s="40">
        <f>IFERROR(VLOOKUP(Tabela3[[#This Row],[Produto]],Tabela2[],15,0),0)</f>
        <v>4</v>
      </c>
      <c r="AM1169" s="36">
        <f ca="1">(Tabela3[[#This Row],[Custo Usinagem]]+Tabela3[[#This Row],[Custo / Pç]])*1.2</f>
        <v>13.786813661415458</v>
      </c>
      <c r="AN1169" s="36">
        <f ca="1">Tabela3[[#This Row],[Valor Mínimo Venda]]*1.15</f>
        <v>15.854835710627775</v>
      </c>
      <c r="AO1169" s="36">
        <f ca="1">Tabela3[[#This Row],[Tabela 1]]*1.08</f>
        <v>17.123222567477999</v>
      </c>
      <c r="AP1169" s="36">
        <f ca="1">Tabela3[[#This Row],[Tabela 2]]*1.15</f>
        <v>19.691705952599698</v>
      </c>
    </row>
    <row r="1170" spans="1:42">
      <c r="A1170" s="9">
        <v>46147</v>
      </c>
      <c r="B1170" s="9" t="s">
        <v>227</v>
      </c>
      <c r="C1170" s="14">
        <v>9584</v>
      </c>
      <c r="D1170" s="6" t="s">
        <v>44</v>
      </c>
      <c r="E1170" s="6" t="s">
        <v>47</v>
      </c>
      <c r="F1170" s="6">
        <v>2</v>
      </c>
      <c r="G1170" s="15">
        <v>3.125E-2</v>
      </c>
      <c r="H1170" s="16">
        <v>0</v>
      </c>
      <c r="I1170" s="35">
        <f ca="1">IFERROR(Tabela3[[#This Row],[Custo Total]]/Tabela3[[#This Row],[Aluminio Util]],0)</f>
        <v>20.239573394731231</v>
      </c>
      <c r="J1170" s="35">
        <f ca="1">Tabela3[[#This Row],[Custo Total]]/Tabela3[[#This Row],[Realizado]]</f>
        <v>546.46848165774327</v>
      </c>
      <c r="K1170" s="37">
        <f>IFERROR(Tabela3[[#This Row],[Qtde Cx Produzida]]/Tabela3[[#This Row],[Tempo]]/24,0)</f>
        <v>2.6666666666666665</v>
      </c>
      <c r="L1170" s="37">
        <f>Tabela3[[#This Row],[Qtde Cx Produzida]]*Tabela3[[#This Row],[Qdt Peça Placa]]</f>
        <v>2</v>
      </c>
      <c r="M1170" s="37">
        <f>Tabela3[[#This Row],[Previsto]]-Tabela3[[#This Row],[Perda Pçs]]</f>
        <v>2</v>
      </c>
      <c r="N1170" s="38">
        <f>IFERROR(Tabela3[[#This Row],[Perda Pçs]]/Tabela3[[#This Row],[Previsto]],0)</f>
        <v>0</v>
      </c>
      <c r="O1170" s="39">
        <f>IFERROR(IF(Tabela3[[#This Row],[Qtde Cx Produzida]] &lt;&gt; 0, Tabela3[[#This Row],[Tempo]] / Tabela3[[#This Row],[Qtde Cx Produzida]], 0),0)</f>
        <v>1.5625E-2</v>
      </c>
      <c r="P1170" s="57">
        <f>IFERROR(Tabela3[[#This Row],[Perda Pçs]]/Tabela3[[#This Row],[Qdt Peça Placa]],0)</f>
        <v>0</v>
      </c>
      <c r="Q1170" s="37">
        <f>IFERROR(Tabela3[[#This Row],[Realizado]]*Tabela3[[#This Row],[Peso Util/Pç]],0)</f>
        <v>54</v>
      </c>
      <c r="R1170" s="37">
        <f>IFERROR(Tabela3[[#This Row],[Peso Total Galho]]*Tabela3[[#This Row],[Qtde Cx Produzida]]*1.055,0)</f>
        <v>61.19</v>
      </c>
      <c r="S1170" s="37">
        <f>(Tabela3[[#This Row],[Aluminio Bruto]]-Tabela3[[#This Row],[Aluminio Util]])*0.9</f>
        <v>6.4709999999999983</v>
      </c>
      <c r="T1170" s="37">
        <f>Tabela3[[#This Row],[Aluminio Bruto]]/OleoKGAluminio</f>
        <v>25.742553882090117</v>
      </c>
      <c r="U1170" s="35">
        <f>IFERROR((VLOOKUP(Tabela3[[#This Row],[Moldador]],Tabela1[],5,)+(VLOOKUP(Tabela3[[#This Row],[Ajudante]],Tabela1[],5,))*3.5),0)</f>
        <v>99.95034583333333</v>
      </c>
      <c r="V1170" s="35">
        <f>IFERROR(Tabela3[[#This Row],[Custo M.O. / H]]/((Tabela3[[#This Row],[Realizado]]/Tabela3[[#This Row],[Qdt Peça Placa]])/Tabela3[[#This Row],[Tempo]]/24),)</f>
        <v>37.481379687500002</v>
      </c>
      <c r="W1170" s="35">
        <f>Tabela3[[#This Row],[Custo / Cx Moldada]]*Tabela3[[#This Row],[Qtde Cx Produzida]]</f>
        <v>74.962759375000005</v>
      </c>
      <c r="X1170" s="35">
        <f ca="1">Tabela3[[#This Row],[Aluminio Util]]*Tabela3[[#This Row],[Custo/Kg]]</f>
        <v>950.40000000000009</v>
      </c>
      <c r="Y1170" s="35">
        <f>IFERROR(VLOOKUP(Tabela3[[#This Row],[Data]],Tabela461213[],2,1)*(Tabela3[[#This Row],[Qtde Cx Produzida]]*Tabela3[[#This Row],[Qde macho / CX]]*Tabela3[[#This Row],[Peso Macho]]),)</f>
        <v>0</v>
      </c>
      <c r="Z1170" s="35">
        <f>IFERROR(Tabela3[[#This Row],[Qtde Oleo]]*(VLOOKUP(Tabela3[[#This Row],[Data]],CompraOleo[],3,TRUE))*1.05,0)</f>
        <v>67.574203940486569</v>
      </c>
      <c r="AA1170" s="47">
        <f ca="1">(Tabela3[[#This Row],[Custo Oleo]]+Tabela3[[#This Row],[Custo Aluminio]]+Tabela3[[#This Row],[Custo M.O. Total]]+Tabela3[[#This Row],[Custo Machos]])</f>
        <v>1092.9369633154865</v>
      </c>
      <c r="AB1170" s="47">
        <f ca="1">Tabela3[[#This Row],[Custo Total]]*Tabela3[[#This Row],[% Perda]]</f>
        <v>0</v>
      </c>
      <c r="AC1170" s="40">
        <f>IFERROR(VLOOKUP(Tabela3[[#This Row],[Produto]],Tabela2[],2,0),0)</f>
        <v>1</v>
      </c>
      <c r="AD1170" s="48">
        <f>IFERROR(VLOOKUP(Tabela3[[#This Row],[Produto]],Tabela2[],3,0),0)</f>
        <v>27</v>
      </c>
      <c r="AE1170" s="48">
        <f>IFERROR(VLOOKUP(Tabela3[[#This Row],[Produto]],Tabela2[],4,0),0)</f>
        <v>29</v>
      </c>
      <c r="AF1170" s="48">
        <f>IFERROR(VLOOKUP(Tabela3[[#This Row],[Produto]],Tabela2[],5,0),0)</f>
        <v>1.8</v>
      </c>
      <c r="AG1170" s="48">
        <f>IFERROR(VLOOKUP(Tabela3[[#This Row],[Produto]],Tabela2[],6,0),0)</f>
        <v>0</v>
      </c>
      <c r="AH1170" s="40">
        <f>IFERROR(VLOOKUP(Tabela3[[#This Row],[Produto]],Tabela2[],7,0),0)</f>
        <v>0</v>
      </c>
      <c r="AI1170" s="40">
        <f>IFERROR(VLOOKUP(Tabela3[[#This Row],[Produto]],Tabela2[],8,0),0)</f>
        <v>0</v>
      </c>
      <c r="AJ1170" s="35">
        <f ca="1">IFERROR(VLOOKUP(Tabela3[[#This Row],[Produto]],Tabela2[],13,0),0)</f>
        <v>17.600000000000001</v>
      </c>
      <c r="AK1170" s="48" t="str">
        <f>IFERROR(VLOOKUP(Tabela3[[#This Row],[Produto]],Tabela2[],14,0),0)</f>
        <v>Oscar</v>
      </c>
      <c r="AL1170" s="40">
        <f>IFERROR(VLOOKUP(Tabela3[[#This Row],[Produto]],Tabela2[],15,0),0)</f>
        <v>0</v>
      </c>
      <c r="AM1170" s="36">
        <f ca="1">(Tabela3[[#This Row],[Custo Usinagem]]+Tabela3[[#This Row],[Custo / Pç]])*1.2</f>
        <v>655.7621779892919</v>
      </c>
      <c r="AN1170" s="36">
        <f ca="1">Tabela3[[#This Row],[Valor Mínimo Venda]]*1.15</f>
        <v>754.12650468768561</v>
      </c>
      <c r="AO1170" s="36">
        <f ca="1">Tabela3[[#This Row],[Tabela 1]]*1.08</f>
        <v>814.45662506270048</v>
      </c>
      <c r="AP1170" s="36">
        <f ca="1">Tabela3[[#This Row],[Tabela 2]]*1.15</f>
        <v>936.62511882210549</v>
      </c>
    </row>
    <row r="1171" spans="1:42">
      <c r="A1171" s="9">
        <v>46147</v>
      </c>
      <c r="B1171" s="9" t="s">
        <v>96</v>
      </c>
      <c r="C1171" s="14">
        <v>9586</v>
      </c>
      <c r="D1171" s="6" t="s">
        <v>46</v>
      </c>
      <c r="E1171" s="6" t="s">
        <v>50</v>
      </c>
      <c r="F1171" s="6">
        <v>12</v>
      </c>
      <c r="G1171" s="15">
        <v>6.5277777777777782E-2</v>
      </c>
      <c r="H1171" s="16">
        <v>0</v>
      </c>
      <c r="I1171" s="35">
        <f ca="1">IFERROR(Tabela3[[#This Row],[Custo Total]]/Tabela3[[#This Row],[Aluminio Util]],0)</f>
        <v>30.664439295825701</v>
      </c>
      <c r="J1171" s="35">
        <f ca="1">Tabela3[[#This Row],[Custo Total]]/Tabela3[[#This Row],[Realizado]]</f>
        <v>27.107364337509921</v>
      </c>
      <c r="K1171" s="37">
        <f>IFERROR(Tabela3[[#This Row],[Qtde Cx Produzida]]/Tabela3[[#This Row],[Tempo]]/24,0)</f>
        <v>7.6595744680851068</v>
      </c>
      <c r="L1171" s="37">
        <f>Tabela3[[#This Row],[Qtde Cx Produzida]]*Tabela3[[#This Row],[Qdt Peça Placa]]</f>
        <v>36</v>
      </c>
      <c r="M1171" s="37">
        <f>Tabela3[[#This Row],[Previsto]]-Tabela3[[#This Row],[Perda Pçs]]</f>
        <v>36</v>
      </c>
      <c r="N1171" s="38">
        <f>IFERROR(Tabela3[[#This Row],[Perda Pçs]]/Tabela3[[#This Row],[Previsto]],0)</f>
        <v>0</v>
      </c>
      <c r="O1171" s="39">
        <f>IFERROR(IF(Tabela3[[#This Row],[Qtde Cx Produzida]] &lt;&gt; 0, Tabela3[[#This Row],[Tempo]] / Tabela3[[#This Row],[Qtde Cx Produzida]], 0),0)</f>
        <v>5.4398148148148149E-3</v>
      </c>
      <c r="P1171" s="57">
        <f>IFERROR(Tabela3[[#This Row],[Perda Pçs]]/Tabela3[[#This Row],[Qdt Peça Placa]],0)</f>
        <v>0</v>
      </c>
      <c r="Q1171" s="37">
        <f>IFERROR(Tabela3[[#This Row],[Realizado]]*Tabela3[[#This Row],[Peso Util/Pç]],0)</f>
        <v>31.824000000000002</v>
      </c>
      <c r="R1171" s="37">
        <f>IFERROR(Tabela3[[#This Row],[Peso Total Galho]]*Tabela3[[#This Row],[Qtde Cx Produzida]]*1.055,0)</f>
        <v>59.40072</v>
      </c>
      <c r="S1171" s="37">
        <f>(Tabela3[[#This Row],[Aluminio Bruto]]-Tabela3[[#This Row],[Aluminio Util]])*0.9</f>
        <v>24.819047999999999</v>
      </c>
      <c r="T1171" s="37">
        <f>Tabela3[[#This Row],[Aluminio Bruto]]/OleoKGAluminio</f>
        <v>24.98980609960693</v>
      </c>
      <c r="U1171" s="35">
        <f>IFERROR((VLOOKUP(Tabela3[[#This Row],[Moldador]],Tabela1[],5,)+(VLOOKUP(Tabela3[[#This Row],[Ajudante]],Tabela1[],5,))*3.5),0)</f>
        <v>99.95034583333333</v>
      </c>
      <c r="V1171" s="35">
        <f>IFERROR(Tabela3[[#This Row],[Custo M.O. / H]]/((Tabela3[[#This Row],[Realizado]]/Tabela3[[#This Row],[Qdt Peça Placa]])/Tabela3[[#This Row],[Tempo]]/24),)</f>
        <v>13.04907292824074</v>
      </c>
      <c r="W1171" s="35">
        <f>Tabela3[[#This Row],[Custo / Cx Moldada]]*Tabela3[[#This Row],[Qtde Cx Produzida]]</f>
        <v>156.58887513888888</v>
      </c>
      <c r="X1171" s="35">
        <f ca="1">Tabela3[[#This Row],[Aluminio Util]]*Tabela3[[#This Row],[Custo/Kg]]</f>
        <v>496.45440000000008</v>
      </c>
      <c r="Y1171" s="35">
        <f>IFERROR(VLOOKUP(Tabela3[[#This Row],[Data]],Tabela461213[],2,1)*(Tabela3[[#This Row],[Qtde Cx Produzida]]*Tabela3[[#This Row],[Qde macho / CX]]*Tabela3[[#This Row],[Peso Macho]]),)</f>
        <v>257.22359999999998</v>
      </c>
      <c r="Z1171" s="35">
        <f>IFERROR(Tabela3[[#This Row],[Qtde Oleo]]*(VLOOKUP(Tabela3[[#This Row],[Data]],CompraOleo[],3,TRUE))*1.05,0)</f>
        <v>65.598241011468204</v>
      </c>
      <c r="AA1171" s="47">
        <f ca="1">(Tabela3[[#This Row],[Custo Oleo]]+Tabela3[[#This Row],[Custo Aluminio]]+Tabela3[[#This Row],[Custo M.O. Total]]+Tabela3[[#This Row],[Custo Machos]])</f>
        <v>975.86511615035715</v>
      </c>
      <c r="AB1171" s="47">
        <f ca="1">Tabela3[[#This Row],[Custo Total]]*Tabela3[[#This Row],[% Perda]]</f>
        <v>0</v>
      </c>
      <c r="AC1171" s="40">
        <f>IFERROR(VLOOKUP(Tabela3[[#This Row],[Produto]],Tabela2[],2,0),0)</f>
        <v>3</v>
      </c>
      <c r="AD1171" s="48">
        <f>IFERROR(VLOOKUP(Tabela3[[#This Row],[Produto]],Tabela2[],3,0),0)</f>
        <v>0.88400000000000001</v>
      </c>
      <c r="AE1171" s="48">
        <f>IFERROR(VLOOKUP(Tabela3[[#This Row],[Produto]],Tabela2[],4,0),0)</f>
        <v>4.6920000000000002</v>
      </c>
      <c r="AF1171" s="48">
        <f>IFERROR(VLOOKUP(Tabela3[[#This Row],[Produto]],Tabela2[],5,0),0)</f>
        <v>1.8360000000000001</v>
      </c>
      <c r="AG1171" s="48">
        <f>IFERROR(VLOOKUP(Tabela3[[#This Row],[Produto]],Tabela2[],6,0),0)</f>
        <v>0</v>
      </c>
      <c r="AH1171" s="40">
        <f>IFERROR(VLOOKUP(Tabela3[[#This Row],[Produto]],Tabela2[],7,0),0)</f>
        <v>9</v>
      </c>
      <c r="AI1171" s="40">
        <f>IFERROR(VLOOKUP(Tabela3[[#This Row],[Produto]],Tabela2[],8,0),0)</f>
        <v>1.401</v>
      </c>
      <c r="AJ1171" s="35">
        <f ca="1">IFERROR(VLOOKUP(Tabela3[[#This Row],[Produto]],Tabela2[],13,0),0)</f>
        <v>15.600000000000001</v>
      </c>
      <c r="AK1171" s="48" t="str">
        <f>IFERROR(VLOOKUP(Tabela3[[#This Row],[Produto]],Tabela2[],14,0),0)</f>
        <v>Jumil</v>
      </c>
      <c r="AL1171" s="40">
        <f>IFERROR(VLOOKUP(Tabela3[[#This Row],[Produto]],Tabela2[],15,0),0)</f>
        <v>10</v>
      </c>
      <c r="AM1171" s="36">
        <f ca="1">(Tabela3[[#This Row],[Custo Usinagem]]+Tabela3[[#This Row],[Custo / Pç]])*1.2</f>
        <v>44.528837205011904</v>
      </c>
      <c r="AN1171" s="36">
        <f ca="1">Tabela3[[#This Row],[Valor Mínimo Venda]]*1.15</f>
        <v>51.208162785763683</v>
      </c>
      <c r="AO1171" s="36">
        <f ca="1">Tabela3[[#This Row],[Tabela 1]]*1.08</f>
        <v>55.304815808624781</v>
      </c>
      <c r="AP1171" s="36">
        <f ca="1">Tabela3[[#This Row],[Tabela 2]]*1.15</f>
        <v>63.600538179918495</v>
      </c>
    </row>
    <row r="1172" spans="1:42">
      <c r="A1172" s="9">
        <v>46147</v>
      </c>
      <c r="B1172" s="9" t="s">
        <v>91</v>
      </c>
      <c r="C1172" s="14">
        <v>9587</v>
      </c>
      <c r="D1172" s="6" t="s">
        <v>46</v>
      </c>
      <c r="E1172" s="6" t="s">
        <v>50</v>
      </c>
      <c r="F1172" s="6">
        <v>10</v>
      </c>
      <c r="G1172" s="15">
        <v>6.3888888888888884E-2</v>
      </c>
      <c r="H1172" s="16">
        <v>2</v>
      </c>
      <c r="I1172" s="35">
        <f ca="1">IFERROR(Tabela3[[#This Row],[Custo Total]]/Tabela3[[#This Row],[Aluminio Util]],0)</f>
        <v>41.412620384371607</v>
      </c>
      <c r="J1172" s="35">
        <f ca="1">Tabela3[[#This Row],[Custo Total]]/Tabela3[[#This Row],[Realizado]]</f>
        <v>32.467494381347343</v>
      </c>
      <c r="K1172" s="37">
        <f>IFERROR(Tabela3[[#This Row],[Qtde Cx Produzida]]/Tabela3[[#This Row],[Tempo]]/24,0)</f>
        <v>6.5217391304347823</v>
      </c>
      <c r="L1172" s="37">
        <f>Tabela3[[#This Row],[Qtde Cx Produzida]]*Tabela3[[#This Row],[Qdt Peça Placa]]</f>
        <v>40</v>
      </c>
      <c r="M1172" s="37">
        <f>Tabela3[[#This Row],[Previsto]]-Tabela3[[#This Row],[Perda Pçs]]</f>
        <v>38</v>
      </c>
      <c r="N1172" s="38">
        <f>IFERROR(Tabela3[[#This Row],[Perda Pçs]]/Tabela3[[#This Row],[Previsto]],0)</f>
        <v>0.05</v>
      </c>
      <c r="O1172" s="39">
        <f>IFERROR(IF(Tabela3[[#This Row],[Qtde Cx Produzida]] &lt;&gt; 0, Tabela3[[#This Row],[Tempo]] / Tabela3[[#This Row],[Qtde Cx Produzida]], 0),0)</f>
        <v>6.3888888888888884E-3</v>
      </c>
      <c r="P1172" s="57">
        <f>IFERROR(Tabela3[[#This Row],[Perda Pçs]]/Tabela3[[#This Row],[Qdt Peça Placa]],0)</f>
        <v>0.5</v>
      </c>
      <c r="Q1172" s="37">
        <f>IFERROR(Tabela3[[#This Row],[Realizado]]*Tabela3[[#This Row],[Peso Util/Pç]],0)</f>
        <v>29.792000000000002</v>
      </c>
      <c r="R1172" s="37">
        <f>IFERROR(Tabela3[[#This Row],[Peso Total Galho]]*Tabela3[[#This Row],[Qtde Cx Produzida]]*1.055,0)</f>
        <v>58.531399999999998</v>
      </c>
      <c r="S1172" s="37">
        <f>(Tabela3[[#This Row],[Aluminio Bruto]]-Tabela3[[#This Row],[Aluminio Util]])*0.9</f>
        <v>25.865459999999999</v>
      </c>
      <c r="T1172" s="37">
        <f>Tabela3[[#This Row],[Aluminio Bruto]]/OleoKGAluminio</f>
        <v>24.62408429962689</v>
      </c>
      <c r="U1172" s="35">
        <f>IFERROR((VLOOKUP(Tabela3[[#This Row],[Moldador]],Tabela1[],5,)+(VLOOKUP(Tabela3[[#This Row],[Ajudante]],Tabela1[],5,))*3.5),0)</f>
        <v>99.95034583333333</v>
      </c>
      <c r="V1172" s="35">
        <f>IFERROR(Tabela3[[#This Row],[Custo M.O. / H]]/((Tabela3[[#This Row],[Realizado]]/Tabela3[[#This Row],[Qdt Peça Placa]])/Tabela3[[#This Row],[Tempo]]/24),)</f>
        <v>16.132336520467835</v>
      </c>
      <c r="W1172" s="35">
        <f>Tabela3[[#This Row],[Custo / Cx Moldada]]*Tabela3[[#This Row],[Qtde Cx Produzida]]</f>
        <v>161.32336520467834</v>
      </c>
      <c r="X1172" s="35">
        <f ca="1">Tabela3[[#This Row],[Aluminio Util]]*Tabela3[[#This Row],[Custo/Kg]]</f>
        <v>464.75520000000006</v>
      </c>
      <c r="Y1172" s="35">
        <f>IFERROR(VLOOKUP(Tabela3[[#This Row],[Data]],Tabela461213[],2,1)*(Tabela3[[#This Row],[Qtde Cx Produzida]]*Tabela3[[#This Row],[Qde macho / CX]]*Tabela3[[#This Row],[Peso Macho]]),)</f>
        <v>543.048</v>
      </c>
      <c r="Z1172" s="35">
        <f>IFERROR(Tabela3[[#This Row],[Qtde Oleo]]*(VLOOKUP(Tabela3[[#This Row],[Data]],CompraOleo[],3,TRUE))*1.05,0)</f>
        <v>64.63822128652059</v>
      </c>
      <c r="AA1172" s="47">
        <f ca="1">(Tabela3[[#This Row],[Custo Oleo]]+Tabela3[[#This Row],[Custo Aluminio]]+Tabela3[[#This Row],[Custo M.O. Total]]+Tabela3[[#This Row],[Custo Machos]])</f>
        <v>1233.7647864911989</v>
      </c>
      <c r="AB1172" s="47">
        <f ca="1">Tabela3[[#This Row],[Custo Total]]*Tabela3[[#This Row],[% Perda]]</f>
        <v>61.688239324559952</v>
      </c>
      <c r="AC1172" s="40">
        <f>IFERROR(VLOOKUP(Tabela3[[#This Row],[Produto]],Tabela2[],2,0),0)</f>
        <v>4</v>
      </c>
      <c r="AD1172" s="48">
        <f>IFERROR(VLOOKUP(Tabela3[[#This Row],[Produto]],Tabela2[],3,0),0)</f>
        <v>0.78400000000000003</v>
      </c>
      <c r="AE1172" s="48">
        <f>IFERROR(VLOOKUP(Tabela3[[#This Row],[Produto]],Tabela2[],4,0),0)</f>
        <v>5.548</v>
      </c>
      <c r="AF1172" s="48">
        <f>IFERROR(VLOOKUP(Tabela3[[#This Row],[Produto]],Tabela2[],5,0),0)</f>
        <v>2.1707999999999998</v>
      </c>
      <c r="AG1172" s="48">
        <f>IFERROR(VLOOKUP(Tabela3[[#This Row],[Produto]],Tabela2[],6,0),0)</f>
        <v>0</v>
      </c>
      <c r="AH1172" s="40">
        <f>IFERROR(VLOOKUP(Tabela3[[#This Row],[Produto]],Tabela2[],7,0),0)</f>
        <v>12</v>
      </c>
      <c r="AI1172" s="40">
        <f>IFERROR(VLOOKUP(Tabela3[[#This Row],[Produto]],Tabela2[],8,0),0)</f>
        <v>2.6619999999999999</v>
      </c>
      <c r="AJ1172" s="35">
        <f ca="1">IFERROR(VLOOKUP(Tabela3[[#This Row],[Produto]],Tabela2[],13,0),0)</f>
        <v>15.600000000000001</v>
      </c>
      <c r="AK1172" s="48" t="str">
        <f>IFERROR(VLOOKUP(Tabela3[[#This Row],[Produto]],Tabela2[],14,0),0)</f>
        <v>Jumil</v>
      </c>
      <c r="AL1172" s="40">
        <f>IFERROR(VLOOKUP(Tabela3[[#This Row],[Produto]],Tabela2[],15,0),0)</f>
        <v>8</v>
      </c>
      <c r="AM1172" s="36">
        <f ca="1">(Tabela3[[#This Row],[Custo Usinagem]]+Tabela3[[#This Row],[Custo / Pç]])*1.2</f>
        <v>48.560993257616808</v>
      </c>
      <c r="AN1172" s="36">
        <f ca="1">Tabela3[[#This Row],[Valor Mínimo Venda]]*1.15</f>
        <v>55.845142246259321</v>
      </c>
      <c r="AO1172" s="36">
        <f ca="1">Tabela3[[#This Row],[Tabela 1]]*1.08</f>
        <v>60.31275362596007</v>
      </c>
      <c r="AP1172" s="36">
        <f ca="1">Tabela3[[#This Row],[Tabela 2]]*1.15</f>
        <v>69.359666669854079</v>
      </c>
    </row>
    <row r="1173" spans="1:42">
      <c r="A1173" s="9">
        <v>46147</v>
      </c>
      <c r="B1173" s="9" t="s">
        <v>245</v>
      </c>
      <c r="C1173" s="14">
        <v>9327</v>
      </c>
      <c r="D1173" s="6" t="s">
        <v>44</v>
      </c>
      <c r="E1173" s="6" t="s">
        <v>47</v>
      </c>
      <c r="F1173" s="6">
        <v>28</v>
      </c>
      <c r="G1173" s="15">
        <v>0.1388888888888889</v>
      </c>
      <c r="H1173" s="16">
        <v>0</v>
      </c>
      <c r="I1173" s="35">
        <f ca="1">IFERROR(Tabela3[[#This Row],[Custo Total]]/Tabela3[[#This Row],[Aluminio Util]],0)</f>
        <v>26.577799248817211</v>
      </c>
      <c r="J1173" s="35">
        <f ca="1">Tabela3[[#This Row],[Custo Total]]/Tabela3[[#This Row],[Realizado]]</f>
        <v>8.8238293506073155</v>
      </c>
      <c r="K1173" s="37">
        <f>IFERROR(Tabela3[[#This Row],[Qtde Cx Produzida]]/Tabela3[[#This Row],[Tempo]]/24,0)</f>
        <v>8.4</v>
      </c>
      <c r="L1173" s="37">
        <f>Tabela3[[#This Row],[Qtde Cx Produzida]]*Tabela3[[#This Row],[Qdt Peça Placa]]</f>
        <v>112</v>
      </c>
      <c r="M1173" s="37">
        <f>Tabela3[[#This Row],[Previsto]]-Tabela3[[#This Row],[Perda Pçs]]</f>
        <v>112</v>
      </c>
      <c r="N1173" s="38">
        <f>IFERROR(Tabela3[[#This Row],[Perda Pçs]]/Tabela3[[#This Row],[Previsto]],0)</f>
        <v>0</v>
      </c>
      <c r="O1173" s="39">
        <f>IFERROR(IF(Tabela3[[#This Row],[Qtde Cx Produzida]] &lt;&gt; 0, Tabela3[[#This Row],[Tempo]] / Tabela3[[#This Row],[Qtde Cx Produzida]], 0),0)</f>
        <v>4.9603174603174609E-3</v>
      </c>
      <c r="P1173" s="57">
        <f>IFERROR(Tabela3[[#This Row],[Perda Pçs]]/Tabela3[[#This Row],[Qdt Peça Placa]],0)</f>
        <v>0</v>
      </c>
      <c r="Q1173" s="37">
        <f>IFERROR(Tabela3[[#This Row],[Realizado]]*Tabela3[[#This Row],[Peso Util/Pç]],0)</f>
        <v>37.184000000000005</v>
      </c>
      <c r="R1173" s="37">
        <f>IFERROR(Tabela3[[#This Row],[Peso Total Galho]]*Tabela3[[#This Row],[Qtde Cx Produzida]]*1.055,0)</f>
        <v>67.941999999999993</v>
      </c>
      <c r="S1173" s="37">
        <f>(Tabela3[[#This Row],[Aluminio Bruto]]-Tabela3[[#This Row],[Aluminio Util]])*0.9</f>
        <v>27.682199999999991</v>
      </c>
      <c r="T1173" s="37">
        <f>Tabela3[[#This Row],[Aluminio Bruto]]/OleoKGAluminio</f>
        <v>28.583111551837991</v>
      </c>
      <c r="U1173" s="35">
        <f>IFERROR((VLOOKUP(Tabela3[[#This Row],[Moldador]],Tabela1[],5,)+(VLOOKUP(Tabela3[[#This Row],[Ajudante]],Tabela1[],5,))*3.5),0)</f>
        <v>99.95034583333333</v>
      </c>
      <c r="V1173" s="35">
        <f>IFERROR(Tabela3[[#This Row],[Custo M.O. / H]]/((Tabela3[[#This Row],[Realizado]]/Tabela3[[#This Row],[Qdt Peça Placa]])/Tabela3[[#This Row],[Tempo]]/24),)</f>
        <v>11.898850694444443</v>
      </c>
      <c r="W1173" s="35">
        <f>Tabela3[[#This Row],[Custo / Cx Moldada]]*Tabela3[[#This Row],[Qtde Cx Produzida]]</f>
        <v>333.16781944444438</v>
      </c>
      <c r="X1173" s="35">
        <f ca="1">Tabela3[[#This Row],[Aluminio Util]]*Tabela3[[#This Row],[Custo/Kg]]</f>
        <v>580.07040000000018</v>
      </c>
      <c r="Y1173" s="35">
        <f>IFERROR(VLOOKUP(Tabela3[[#This Row],[Data]],Tabela461213[],2,1)*(Tabela3[[#This Row],[Qtde Cx Produzida]]*Tabela3[[#This Row],[Qde macho / CX]]*Tabela3[[#This Row],[Peso Macho]]),)</f>
        <v>0</v>
      </c>
      <c r="Z1173" s="35">
        <f>IFERROR(Tabela3[[#This Row],[Qtde Oleo]]*(VLOOKUP(Tabela3[[#This Row],[Data]],CompraOleo[],3,TRUE))*1.05,0)</f>
        <v>75.030667823574731</v>
      </c>
      <c r="AA1173" s="47">
        <f ca="1">(Tabela3[[#This Row],[Custo Oleo]]+Tabela3[[#This Row],[Custo Aluminio]]+Tabela3[[#This Row],[Custo M.O. Total]]+Tabela3[[#This Row],[Custo Machos]])</f>
        <v>988.26888726801928</v>
      </c>
      <c r="AB1173" s="47">
        <f ca="1">Tabela3[[#This Row],[Custo Total]]*Tabela3[[#This Row],[% Perda]]</f>
        <v>0</v>
      </c>
      <c r="AC1173" s="40">
        <f>IFERROR(VLOOKUP(Tabela3[[#This Row],[Produto]],Tabela2[],2,0),0)</f>
        <v>4</v>
      </c>
      <c r="AD1173" s="48">
        <f>IFERROR(VLOOKUP(Tabela3[[#This Row],[Produto]],Tabela2[],3,0),0)</f>
        <v>0.33200000000000002</v>
      </c>
      <c r="AE1173" s="48">
        <f>IFERROR(VLOOKUP(Tabela3[[#This Row],[Produto]],Tabela2[],4,0),0)</f>
        <v>2.2999999999999998</v>
      </c>
      <c r="AF1173" s="48">
        <f>IFERROR(VLOOKUP(Tabela3[[#This Row],[Produto]],Tabela2[],5,0),0)</f>
        <v>0.8747999999999998</v>
      </c>
      <c r="AG1173" s="48">
        <f>IFERROR(VLOOKUP(Tabela3[[#This Row],[Produto]],Tabela2[],6,0),0)</f>
        <v>0</v>
      </c>
      <c r="AH1173" s="40">
        <f>IFERROR(VLOOKUP(Tabela3[[#This Row],[Produto]],Tabela2[],7,0),0)</f>
        <v>0</v>
      </c>
      <c r="AI1173" s="40">
        <f>IFERROR(VLOOKUP(Tabela3[[#This Row],[Produto]],Tabela2[],8,0),0)</f>
        <v>0</v>
      </c>
      <c r="AJ1173" s="35">
        <f ca="1">IFERROR(VLOOKUP(Tabela3[[#This Row],[Produto]],Tabela2[],13,0),0)</f>
        <v>15.600000000000001</v>
      </c>
      <c r="AK1173" s="48" t="str">
        <f>IFERROR(VLOOKUP(Tabela3[[#This Row],[Produto]],Tabela2[],14,0),0)</f>
        <v>Senun</v>
      </c>
      <c r="AL1173" s="40">
        <f>IFERROR(VLOOKUP(Tabela3[[#This Row],[Produto]],Tabela2[],15,0),0)</f>
        <v>3.5</v>
      </c>
      <c r="AM1173" s="36">
        <f ca="1">(Tabela3[[#This Row],[Custo Usinagem]]+Tabela3[[#This Row],[Custo / Pç]])*1.2</f>
        <v>14.788595220728778</v>
      </c>
      <c r="AN1173" s="36">
        <f ca="1">Tabela3[[#This Row],[Valor Mínimo Venda]]*1.15</f>
        <v>17.006884503838094</v>
      </c>
      <c r="AO1173" s="36">
        <f ca="1">Tabela3[[#This Row],[Tabela 1]]*1.08</f>
        <v>18.367435264145143</v>
      </c>
      <c r="AP1173" s="36">
        <f ca="1">Tabela3[[#This Row],[Tabela 2]]*1.15</f>
        <v>21.122550553766914</v>
      </c>
    </row>
    <row r="1174" spans="1:42">
      <c r="A1174" s="9">
        <v>46147</v>
      </c>
      <c r="B1174" s="9" t="s">
        <v>244</v>
      </c>
      <c r="C1174" s="14">
        <v>9589</v>
      </c>
      <c r="D1174" s="6" t="s">
        <v>46</v>
      </c>
      <c r="E1174" s="6" t="s">
        <v>44</v>
      </c>
      <c r="F1174" s="6">
        <v>15</v>
      </c>
      <c r="G1174" s="15">
        <v>6.9444444444444448E-2</v>
      </c>
      <c r="H1174" s="16">
        <v>6</v>
      </c>
      <c r="I1174" s="35">
        <f ca="1">IFERROR(Tabela3[[#This Row],[Custo Total]]/Tabela3[[#This Row],[Aluminio Util]],0)</f>
        <v>26.932320700748299</v>
      </c>
      <c r="J1174" s="35">
        <f ca="1">Tabela3[[#This Row],[Custo Total]]/Tabela3[[#This Row],[Realizado]]</f>
        <v>12.6581907293517</v>
      </c>
      <c r="K1174" s="37">
        <f>IFERROR(Tabela3[[#This Row],[Qtde Cx Produzida]]/Tabela3[[#This Row],[Tempo]]/24,0)</f>
        <v>9</v>
      </c>
      <c r="L1174" s="37">
        <f>Tabela3[[#This Row],[Qtde Cx Produzida]]*Tabela3[[#This Row],[Qdt Peça Placa]]</f>
        <v>60</v>
      </c>
      <c r="M1174" s="37">
        <f>Tabela3[[#This Row],[Previsto]]-Tabela3[[#This Row],[Perda Pçs]]</f>
        <v>54</v>
      </c>
      <c r="N1174" s="38">
        <f>IFERROR(Tabela3[[#This Row],[Perda Pçs]]/Tabela3[[#This Row],[Previsto]],0)</f>
        <v>0.1</v>
      </c>
      <c r="O1174" s="39">
        <f>IFERROR(IF(Tabela3[[#This Row],[Qtde Cx Produzida]] &lt;&gt; 0, Tabela3[[#This Row],[Tempo]] / Tabela3[[#This Row],[Qtde Cx Produzida]], 0),0)</f>
        <v>4.6296296296296302E-3</v>
      </c>
      <c r="P1174" s="57">
        <f>IFERROR(Tabela3[[#This Row],[Perda Pçs]]/Tabela3[[#This Row],[Qdt Peça Placa]],0)</f>
        <v>1.5</v>
      </c>
      <c r="Q1174" s="37">
        <f>IFERROR(Tabela3[[#This Row],[Realizado]]*Tabela3[[#This Row],[Peso Util/Pç]],0)</f>
        <v>25.38</v>
      </c>
      <c r="R1174" s="37">
        <f>IFERROR(Tabela3[[#This Row],[Peso Total Galho]]*Tabela3[[#This Row],[Qtde Cx Produzida]]*1.055,0)</f>
        <v>48.994199999999992</v>
      </c>
      <c r="S1174" s="37">
        <f>(Tabela3[[#This Row],[Aluminio Bruto]]-Tabela3[[#This Row],[Aluminio Util]])*0.9</f>
        <v>21.252779999999994</v>
      </c>
      <c r="T1174" s="37">
        <f>Tabela3[[#This Row],[Aluminio Bruto]]/OleoKGAluminio</f>
        <v>20.611796591108014</v>
      </c>
      <c r="U1174" s="35">
        <f>IFERROR((VLOOKUP(Tabela3[[#This Row],[Moldador]],Tabela1[],5,)+(VLOOKUP(Tabela3[[#This Row],[Ajudante]],Tabela1[],5,))*3.5),0)</f>
        <v>126.0945</v>
      </c>
      <c r="V1174" s="35">
        <f>IFERROR(Tabela3[[#This Row],[Custo M.O. / H]]/((Tabela3[[#This Row],[Realizado]]/Tabela3[[#This Row],[Qdt Peça Placa]])/Tabela3[[#This Row],[Tempo]]/24),)</f>
        <v>15.567222222222222</v>
      </c>
      <c r="W1174" s="35">
        <f>Tabela3[[#This Row],[Custo / Cx Moldada]]*Tabela3[[#This Row],[Qtde Cx Produzida]]</f>
        <v>233.50833333333333</v>
      </c>
      <c r="X1174" s="35">
        <f ca="1">Tabela3[[#This Row],[Aluminio Util]]*Tabela3[[#This Row],[Custo/Kg]]</f>
        <v>395.928</v>
      </c>
      <c r="Y1174" s="35">
        <f>IFERROR(VLOOKUP(Tabela3[[#This Row],[Data]],Tabela461213[],2,1)*(Tabela3[[#This Row],[Qtde Cx Produzida]]*Tabela3[[#This Row],[Qde macho / CX]]*Tabela3[[#This Row],[Peso Macho]]),)</f>
        <v>0</v>
      </c>
      <c r="Z1174" s="35">
        <f>IFERROR(Tabela3[[#This Row],[Qtde Oleo]]*(VLOOKUP(Tabela3[[#This Row],[Data]],CompraOleo[],3,TRUE))*1.05,0)</f>
        <v>54.105966051658541</v>
      </c>
      <c r="AA1174" s="47">
        <f ca="1">(Tabela3[[#This Row],[Custo Oleo]]+Tabela3[[#This Row],[Custo Aluminio]]+Tabela3[[#This Row],[Custo M.O. Total]]+Tabela3[[#This Row],[Custo Machos]])</f>
        <v>683.54229938499179</v>
      </c>
      <c r="AB1174" s="47">
        <f ca="1">Tabela3[[#This Row],[Custo Total]]*Tabela3[[#This Row],[% Perda]]</f>
        <v>68.354229938499188</v>
      </c>
      <c r="AC1174" s="40">
        <f>IFERROR(VLOOKUP(Tabela3[[#This Row],[Produto]],Tabela2[],2,0),0)</f>
        <v>4</v>
      </c>
      <c r="AD1174" s="48">
        <f>IFERROR(VLOOKUP(Tabela3[[#This Row],[Produto]],Tabela2[],3,0),0)</f>
        <v>0.47</v>
      </c>
      <c r="AE1174" s="48">
        <f>IFERROR(VLOOKUP(Tabela3[[#This Row],[Produto]],Tabela2[],4,0),0)</f>
        <v>3.0960000000000001</v>
      </c>
      <c r="AF1174" s="48">
        <f>IFERROR(VLOOKUP(Tabela3[[#This Row],[Produto]],Tabela2[],5,0),0)</f>
        <v>1.0944000000000003</v>
      </c>
      <c r="AG1174" s="48">
        <f>IFERROR(VLOOKUP(Tabela3[[#This Row],[Produto]],Tabela2[],6,0),0)</f>
        <v>0</v>
      </c>
      <c r="AH1174" s="40">
        <f>IFERROR(VLOOKUP(Tabela3[[#This Row],[Produto]],Tabela2[],7,0),0)</f>
        <v>0</v>
      </c>
      <c r="AI1174" s="40">
        <f>IFERROR(VLOOKUP(Tabela3[[#This Row],[Produto]],Tabela2[],8,0),0)</f>
        <v>0</v>
      </c>
      <c r="AJ1174" s="35">
        <f ca="1">IFERROR(VLOOKUP(Tabela3[[#This Row],[Produto]],Tabela2[],13,0),0)</f>
        <v>15.600000000000001</v>
      </c>
      <c r="AK1174" s="48" t="str">
        <f>IFERROR(VLOOKUP(Tabela3[[#This Row],[Produto]],Tabela2[],14,0),0)</f>
        <v>Senun</v>
      </c>
      <c r="AL1174" s="40">
        <f>IFERROR(VLOOKUP(Tabela3[[#This Row],[Produto]],Tabela2[],15,0),0)</f>
        <v>4</v>
      </c>
      <c r="AM1174" s="36">
        <f ca="1">(Tabela3[[#This Row],[Custo Usinagem]]+Tabela3[[#This Row],[Custo / Pç]])*1.2</f>
        <v>19.989828875222042</v>
      </c>
      <c r="AN1174" s="36">
        <f ca="1">Tabela3[[#This Row],[Valor Mínimo Venda]]*1.15</f>
        <v>22.988303206505346</v>
      </c>
      <c r="AO1174" s="36">
        <f ca="1">Tabela3[[#This Row],[Tabela 1]]*1.08</f>
        <v>24.827367463025777</v>
      </c>
      <c r="AP1174" s="36">
        <f ca="1">Tabela3[[#This Row],[Tabela 2]]*1.15</f>
        <v>28.55147258247964</v>
      </c>
    </row>
    <row r="1175" spans="1:42">
      <c r="A1175" s="9">
        <v>46147</v>
      </c>
      <c r="B1175" s="9" t="s">
        <v>240</v>
      </c>
      <c r="C1175" s="14">
        <v>9588</v>
      </c>
      <c r="D1175" s="6" t="s">
        <v>44</v>
      </c>
      <c r="E1175" s="6" t="s">
        <v>47</v>
      </c>
      <c r="F1175" s="6">
        <v>15</v>
      </c>
      <c r="G1175" s="15">
        <v>7.1527777777777773E-2</v>
      </c>
      <c r="H1175" s="16">
        <v>2</v>
      </c>
      <c r="I1175" s="35">
        <f ca="1">IFERROR(Tabela3[[#This Row],[Custo Total]]/Tabela3[[#This Row],[Aluminio Util]],0)</f>
        <v>26.221557409934363</v>
      </c>
      <c r="J1175" s="35">
        <f ca="1">Tabela3[[#This Row],[Custo Total]]/Tabela3[[#This Row],[Realizado]]</f>
        <v>9.3610959953465667</v>
      </c>
      <c r="K1175" s="37">
        <f>IFERROR(Tabela3[[#This Row],[Qtde Cx Produzida]]/Tabela3[[#This Row],[Tempo]]/24,0)</f>
        <v>8.7378640776699026</v>
      </c>
      <c r="L1175" s="37">
        <f>Tabela3[[#This Row],[Qtde Cx Produzida]]*Tabela3[[#This Row],[Qdt Peça Placa]]</f>
        <v>60</v>
      </c>
      <c r="M1175" s="37">
        <f>Tabela3[[#This Row],[Previsto]]-Tabela3[[#This Row],[Perda Pçs]]</f>
        <v>58</v>
      </c>
      <c r="N1175" s="38">
        <f>IFERROR(Tabela3[[#This Row],[Perda Pçs]]/Tabela3[[#This Row],[Previsto]],0)</f>
        <v>3.3333333333333333E-2</v>
      </c>
      <c r="O1175" s="39">
        <f>IFERROR(IF(Tabela3[[#This Row],[Qtde Cx Produzida]] &lt;&gt; 0, Tabela3[[#This Row],[Tempo]] / Tabela3[[#This Row],[Qtde Cx Produzida]], 0),0)</f>
        <v>4.7685185185185183E-3</v>
      </c>
      <c r="P1175" s="57">
        <f>IFERROR(Tabela3[[#This Row],[Perda Pçs]]/Tabela3[[#This Row],[Qdt Peça Placa]],0)</f>
        <v>0.5</v>
      </c>
      <c r="Q1175" s="37">
        <f>IFERROR(Tabela3[[#This Row],[Realizado]]*Tabela3[[#This Row],[Peso Util/Pç]],0)</f>
        <v>20.706</v>
      </c>
      <c r="R1175" s="37">
        <f>IFERROR(Tabela3[[#This Row],[Peso Total Galho]]*Tabela3[[#This Row],[Qtde Cx Produzida]]*1.055,0)</f>
        <v>38.423099999999998</v>
      </c>
      <c r="S1175" s="37">
        <f>(Tabela3[[#This Row],[Aluminio Bruto]]-Tabela3[[#This Row],[Aluminio Util]])*0.9</f>
        <v>15.94539</v>
      </c>
      <c r="T1175" s="37">
        <f>Tabela3[[#This Row],[Aluminio Bruto]]/OleoKGAluminio</f>
        <v>16.164548489409</v>
      </c>
      <c r="U1175" s="35">
        <f>IFERROR((VLOOKUP(Tabela3[[#This Row],[Moldador]],Tabela1[],5,)+(VLOOKUP(Tabela3[[#This Row],[Ajudante]],Tabela1[],5,))*3.5),0)</f>
        <v>99.95034583333333</v>
      </c>
      <c r="V1175" s="35">
        <f>IFERROR(Tabela3[[#This Row],[Custo M.O. / H]]/((Tabela3[[#This Row],[Realizado]]/Tabela3[[#This Row],[Qdt Peça Placa]])/Tabela3[[#This Row],[Tempo]]/24),)</f>
        <v>11.833201863026819</v>
      </c>
      <c r="W1175" s="35">
        <f>Tabela3[[#This Row],[Custo / Cx Moldada]]*Tabela3[[#This Row],[Qtde Cx Produzida]]</f>
        <v>177.49802794540227</v>
      </c>
      <c r="X1175" s="35">
        <f ca="1">Tabela3[[#This Row],[Aluminio Util]]*Tabela3[[#This Row],[Custo/Kg]]</f>
        <v>323.0136</v>
      </c>
      <c r="Y1175" s="35">
        <f>IFERROR(VLOOKUP(Tabela3[[#This Row],[Data]],Tabela461213[],2,1)*(Tabela3[[#This Row],[Qtde Cx Produzida]]*Tabela3[[#This Row],[Qde macho / CX]]*Tabela3[[#This Row],[Peso Macho]]),)</f>
        <v>0</v>
      </c>
      <c r="Z1175" s="35">
        <f>IFERROR(Tabela3[[#This Row],[Qtde Oleo]]*(VLOOKUP(Tabela3[[#This Row],[Data]],CompraOleo[],3,TRUE))*1.05,0)</f>
        <v>42.431939784698628</v>
      </c>
      <c r="AA1175" s="47">
        <f ca="1">(Tabela3[[#This Row],[Custo Oleo]]+Tabela3[[#This Row],[Custo Aluminio]]+Tabela3[[#This Row],[Custo M.O. Total]]+Tabela3[[#This Row],[Custo Machos]])</f>
        <v>542.94356773010088</v>
      </c>
      <c r="AB1175" s="47">
        <f ca="1">Tabela3[[#This Row],[Custo Total]]*Tabela3[[#This Row],[% Perda]]</f>
        <v>18.098118924336696</v>
      </c>
      <c r="AC1175" s="40">
        <f>IFERROR(VLOOKUP(Tabela3[[#This Row],[Produto]],Tabela2[],2,0),0)</f>
        <v>4</v>
      </c>
      <c r="AD1175" s="48">
        <f>IFERROR(VLOOKUP(Tabela3[[#This Row],[Produto]],Tabela2[],3,0),0)</f>
        <v>0.35699999999999998</v>
      </c>
      <c r="AE1175" s="48">
        <f>IFERROR(VLOOKUP(Tabela3[[#This Row],[Produto]],Tabela2[],4,0),0)</f>
        <v>2.4279999999999999</v>
      </c>
      <c r="AF1175" s="48">
        <f>IFERROR(VLOOKUP(Tabela3[[#This Row],[Produto]],Tabela2[],5,0),0)</f>
        <v>0.9</v>
      </c>
      <c r="AG1175" s="48">
        <f>IFERROR(VLOOKUP(Tabela3[[#This Row],[Produto]],Tabela2[],6,0),0)</f>
        <v>0</v>
      </c>
      <c r="AH1175" s="40">
        <f>IFERROR(VLOOKUP(Tabela3[[#This Row],[Produto]],Tabela2[],7,0),0)</f>
        <v>0</v>
      </c>
      <c r="AI1175" s="40">
        <f>IFERROR(VLOOKUP(Tabela3[[#This Row],[Produto]],Tabela2[],8,0),0)</f>
        <v>0</v>
      </c>
      <c r="AJ1175" s="35">
        <f ca="1">IFERROR(VLOOKUP(Tabela3[[#This Row],[Produto]],Tabela2[],13,0),0)</f>
        <v>15.600000000000001</v>
      </c>
      <c r="AK1175" s="48" t="str">
        <f>IFERROR(VLOOKUP(Tabela3[[#This Row],[Produto]],Tabela2[],14,0),0)</f>
        <v>Senun</v>
      </c>
      <c r="AL1175" s="40">
        <f>IFERROR(VLOOKUP(Tabela3[[#This Row],[Produto]],Tabela2[],15,0),0)</f>
        <v>4</v>
      </c>
      <c r="AM1175" s="36">
        <f ca="1">(Tabela3[[#This Row],[Custo Usinagem]]+Tabela3[[#This Row],[Custo / Pç]])*1.2</f>
        <v>16.033315194415881</v>
      </c>
      <c r="AN1175" s="36">
        <f ca="1">Tabela3[[#This Row],[Valor Mínimo Venda]]*1.15</f>
        <v>18.438312473578261</v>
      </c>
      <c r="AO1175" s="36">
        <f ca="1">Tabela3[[#This Row],[Tabela 1]]*1.08</f>
        <v>19.913377471464521</v>
      </c>
      <c r="AP1175" s="36">
        <f ca="1">Tabela3[[#This Row],[Tabela 2]]*1.15</f>
        <v>22.900384092184197</v>
      </c>
    </row>
    <row r="1176" spans="1:42">
      <c r="A1176" s="9">
        <v>46148</v>
      </c>
      <c r="B1176" s="9" t="s">
        <v>80</v>
      </c>
      <c r="C1176" s="14">
        <v>9357</v>
      </c>
      <c r="D1176" s="6" t="s">
        <v>46</v>
      </c>
      <c r="E1176" s="6" t="s">
        <v>54</v>
      </c>
      <c r="F1176" s="6">
        <v>30</v>
      </c>
      <c r="G1176" s="15">
        <v>0.14791666666666667</v>
      </c>
      <c r="H1176" s="16">
        <v>2</v>
      </c>
      <c r="I1176" s="35">
        <f ca="1">IFERROR(Tabela3[[#This Row],[Custo Total]]/Tabela3[[#This Row],[Aluminio Util]],0)</f>
        <v>33.798540483218908</v>
      </c>
      <c r="J1176" s="35">
        <f ca="1">Tabela3[[#This Row],[Custo Total]]/Tabela3[[#This Row],[Realizado]]</f>
        <v>40.558248579862685</v>
      </c>
      <c r="K1176" s="37">
        <f>IFERROR(Tabela3[[#This Row],[Qtde Cx Produzida]]/Tabela3[[#This Row],[Tempo]]/24,0)</f>
        <v>8.4507042253521121</v>
      </c>
      <c r="L1176" s="37">
        <f>Tabela3[[#This Row],[Qtde Cx Produzida]]*Tabela3[[#This Row],[Qdt Peça Placa]]</f>
        <v>30</v>
      </c>
      <c r="M1176" s="37">
        <f>Tabela3[[#This Row],[Previsto]]-Tabela3[[#This Row],[Perda Pçs]]</f>
        <v>28</v>
      </c>
      <c r="N1176" s="38">
        <f>IFERROR(Tabela3[[#This Row],[Perda Pçs]]/Tabela3[[#This Row],[Previsto]],0)</f>
        <v>6.6666666666666666E-2</v>
      </c>
      <c r="O1176" s="39">
        <f>IFERROR(IF(Tabela3[[#This Row],[Qtde Cx Produzida]] &lt;&gt; 0, Tabela3[[#This Row],[Tempo]] / Tabela3[[#This Row],[Qtde Cx Produzida]], 0),0)</f>
        <v>4.9305555555555552E-3</v>
      </c>
      <c r="P1176" s="57">
        <f>IFERROR(Tabela3[[#This Row],[Perda Pçs]]/Tabela3[[#This Row],[Qdt Peça Placa]],0)</f>
        <v>2</v>
      </c>
      <c r="Q1176" s="37">
        <f>IFERROR(Tabela3[[#This Row],[Realizado]]*Tabela3[[#This Row],[Peso Util/Pç]],0)</f>
        <v>33.6</v>
      </c>
      <c r="R1176" s="37">
        <f>IFERROR(Tabela3[[#This Row],[Peso Total Galho]]*Tabela3[[#This Row],[Qtde Cx Produzida]]*1.055,0)</f>
        <v>58.552499999999995</v>
      </c>
      <c r="S1176" s="37">
        <f>(Tabela3[[#This Row],[Aluminio Bruto]]-Tabela3[[#This Row],[Aluminio Util]])*0.9</f>
        <v>22.457249999999995</v>
      </c>
      <c r="T1176" s="37">
        <f>Tabela3[[#This Row],[Aluminio Bruto]]/OleoKGAluminio</f>
        <v>24.632961042344853</v>
      </c>
      <c r="U1176" s="35">
        <f>IFERROR((VLOOKUP(Tabela3[[#This Row],[Moldador]],Tabela1[],5,)+(VLOOKUP(Tabela3[[#This Row],[Ajudante]],Tabela1[],5,))*3.5),0)</f>
        <v>126.0945</v>
      </c>
      <c r="V1176" s="35">
        <f>IFERROR(Tabela3[[#This Row],[Custo M.O. / H]]/((Tabela3[[#This Row],[Realizado]]/Tabela3[[#This Row],[Qdt Peça Placa]])/Tabela3[[#This Row],[Tempo]]/24),)</f>
        <v>15.986981249999999</v>
      </c>
      <c r="W1176" s="35">
        <f>Tabela3[[#This Row],[Custo / Cx Moldada]]*Tabela3[[#This Row],[Qtde Cx Produzida]]</f>
        <v>479.60943750000001</v>
      </c>
      <c r="X1176" s="35">
        <f ca="1">Tabela3[[#This Row],[Aluminio Util]]*Tabela3[[#This Row],[Custo/Kg]]</f>
        <v>591.36000000000013</v>
      </c>
      <c r="Y1176" s="35">
        <f>IFERROR(VLOOKUP(Tabela3[[#This Row],[Data]],Tabela461213[],2,1)*(Tabela3[[#This Row],[Qtde Cx Produzida]]*Tabela3[[#This Row],[Qde macho / CX]]*Tabela3[[#This Row],[Peso Macho]]),)</f>
        <v>0</v>
      </c>
      <c r="Z1176" s="35">
        <f>IFERROR(Tabela3[[#This Row],[Qtde Oleo]]*(VLOOKUP(Tabela3[[#This Row],[Data]],CompraOleo[],3,TRUE))*1.05,0)</f>
        <v>64.661522736155234</v>
      </c>
      <c r="AA1176" s="47">
        <f ca="1">(Tabela3[[#This Row],[Custo Oleo]]+Tabela3[[#This Row],[Custo Aluminio]]+Tabela3[[#This Row],[Custo M.O. Total]]+Tabela3[[#This Row],[Custo Machos]])</f>
        <v>1135.6309602361553</v>
      </c>
      <c r="AB1176" s="47">
        <f ca="1">Tabela3[[#This Row],[Custo Total]]*Tabela3[[#This Row],[% Perda]]</f>
        <v>75.708730682410348</v>
      </c>
      <c r="AC1176" s="40">
        <f>IFERROR(VLOOKUP(Tabela3[[#This Row],[Produto]],Tabela2[],2,0),0)</f>
        <v>1</v>
      </c>
      <c r="AD1176" s="48">
        <f>IFERROR(VLOOKUP(Tabela3[[#This Row],[Produto]],Tabela2[],3,0),0)</f>
        <v>1.2</v>
      </c>
      <c r="AE1176" s="48">
        <f>IFERROR(VLOOKUP(Tabela3[[#This Row],[Produto]],Tabela2[],4,0),0)</f>
        <v>1.85</v>
      </c>
      <c r="AF1176" s="48">
        <f>IFERROR(VLOOKUP(Tabela3[[#This Row],[Produto]],Tabela2[],5,0),0)</f>
        <v>0.58500000000000019</v>
      </c>
      <c r="AG1176" s="48">
        <f>IFERROR(VLOOKUP(Tabela3[[#This Row],[Produto]],Tabela2[],6,0),0)</f>
        <v>0</v>
      </c>
      <c r="AH1176" s="40">
        <f>IFERROR(VLOOKUP(Tabela3[[#This Row],[Produto]],Tabela2[],7,0),0)</f>
        <v>0</v>
      </c>
      <c r="AI1176" s="40">
        <f>IFERROR(VLOOKUP(Tabela3[[#This Row],[Produto]],Tabela2[],8,0),0)</f>
        <v>0</v>
      </c>
      <c r="AJ1176" s="35">
        <f ca="1">IFERROR(VLOOKUP(Tabela3[[#This Row],[Produto]],Tabela2[],13,0),0)</f>
        <v>17.600000000000001</v>
      </c>
      <c r="AK1176" s="48" t="str">
        <f>IFERROR(VLOOKUP(Tabela3[[#This Row],[Produto]],Tabela2[],14,0),0)</f>
        <v>Protec</v>
      </c>
      <c r="AL1176" s="40">
        <f>IFERROR(VLOOKUP(Tabela3[[#This Row],[Produto]],Tabela2[],15,0),0)</f>
        <v>0</v>
      </c>
      <c r="AM1176" s="36">
        <f ca="1">(Tabela3[[#This Row],[Custo Usinagem]]+Tabela3[[#This Row],[Custo / Pç]])*1.2</f>
        <v>48.669898295835218</v>
      </c>
      <c r="AN1176" s="36">
        <f ca="1">Tabela3[[#This Row],[Valor Mínimo Venda]]*1.15</f>
        <v>55.970383040210493</v>
      </c>
      <c r="AO1176" s="36">
        <f ca="1">Tabela3[[#This Row],[Tabela 1]]*1.08</f>
        <v>60.448013683427334</v>
      </c>
      <c r="AP1176" s="36">
        <f ca="1">Tabela3[[#This Row],[Tabela 2]]*1.15</f>
        <v>69.515215735941425</v>
      </c>
    </row>
    <row r="1177" spans="1:42">
      <c r="A1177" s="9">
        <v>46148</v>
      </c>
      <c r="B1177" s="9" t="s">
        <v>255</v>
      </c>
      <c r="C1177" s="14">
        <v>9358</v>
      </c>
      <c r="D1177" s="6" t="s">
        <v>46</v>
      </c>
      <c r="E1177" s="6" t="s">
        <v>50</v>
      </c>
      <c r="F1177" s="6">
        <v>24</v>
      </c>
      <c r="G1177" s="15">
        <v>0.10416666666666667</v>
      </c>
      <c r="H1177" s="16">
        <v>6</v>
      </c>
      <c r="I1177" s="35">
        <f ca="1">IFERROR(Tabela3[[#This Row],[Custo Total]]/Tabela3[[#This Row],[Aluminio Util]],0)</f>
        <v>34.706535005927499</v>
      </c>
      <c r="J1177" s="35">
        <f ca="1">Tabela3[[#This Row],[Custo Total]]/Tabela3[[#This Row],[Realizado]]</f>
        <v>43.383168757409379</v>
      </c>
      <c r="K1177" s="37">
        <f>IFERROR(Tabela3[[#This Row],[Qtde Cx Produzida]]/Tabela3[[#This Row],[Tempo]]/24,0)</f>
        <v>9.6</v>
      </c>
      <c r="L1177" s="37">
        <f>Tabela3[[#This Row],[Qtde Cx Produzida]]*Tabela3[[#This Row],[Qdt Peça Placa]]</f>
        <v>24</v>
      </c>
      <c r="M1177" s="37">
        <f>Tabela3[[#This Row],[Previsto]]-Tabela3[[#This Row],[Perda Pçs]]</f>
        <v>18</v>
      </c>
      <c r="N1177" s="38">
        <f>IFERROR(Tabela3[[#This Row],[Perda Pçs]]/Tabela3[[#This Row],[Previsto]],0)</f>
        <v>0.25</v>
      </c>
      <c r="O1177" s="39">
        <f>IFERROR(IF(Tabela3[[#This Row],[Qtde Cx Produzida]] &lt;&gt; 0, Tabela3[[#This Row],[Tempo]] / Tabela3[[#This Row],[Qtde Cx Produzida]], 0),0)</f>
        <v>4.340277777777778E-3</v>
      </c>
      <c r="P1177" s="57">
        <f>IFERROR(Tabela3[[#This Row],[Perda Pçs]]/Tabela3[[#This Row],[Qdt Peça Placa]],0)</f>
        <v>6</v>
      </c>
      <c r="Q1177" s="37">
        <f>IFERROR(Tabela3[[#This Row],[Realizado]]*Tabela3[[#This Row],[Peso Util/Pç]],0)</f>
        <v>22.5</v>
      </c>
      <c r="R1177" s="37">
        <f>IFERROR(Tabela3[[#This Row],[Peso Total Galho]]*Tabela3[[#This Row],[Qtde Cx Produzida]]*1.055,0)</f>
        <v>46.842000000000006</v>
      </c>
      <c r="S1177" s="37">
        <f>(Tabela3[[#This Row],[Aluminio Bruto]]-Tabela3[[#This Row],[Aluminio Util]])*0.9</f>
        <v>21.907800000000005</v>
      </c>
      <c r="T1177" s="37">
        <f>Tabela3[[#This Row],[Aluminio Bruto]]/OleoKGAluminio</f>
        <v>19.706368833875885</v>
      </c>
      <c r="U1177" s="35">
        <f>IFERROR((VLOOKUP(Tabela3[[#This Row],[Moldador]],Tabela1[],5,)+(VLOOKUP(Tabela3[[#This Row],[Ajudante]],Tabela1[],5,))*3.5),0)</f>
        <v>99.95034583333333</v>
      </c>
      <c r="V1177" s="35">
        <f>IFERROR(Tabela3[[#This Row],[Custo M.O. / H]]/((Tabela3[[#This Row],[Realizado]]/Tabela3[[#This Row],[Qdt Peça Placa]])/Tabela3[[#This Row],[Tempo]]/24),)</f>
        <v>13.881992476851853</v>
      </c>
      <c r="W1177" s="35">
        <f>Tabela3[[#This Row],[Custo / Cx Moldada]]*Tabela3[[#This Row],[Qtde Cx Produzida]]</f>
        <v>333.16781944444449</v>
      </c>
      <c r="X1177" s="35">
        <f ca="1">Tabela3[[#This Row],[Aluminio Util]]*Tabela3[[#This Row],[Custo/Kg]]</f>
        <v>396.00000000000006</v>
      </c>
      <c r="Y1177" s="35">
        <f>IFERROR(VLOOKUP(Tabela3[[#This Row],[Data]],Tabela461213[],2,1)*(Tabela3[[#This Row],[Qtde Cx Produzida]]*Tabela3[[#This Row],[Qde macho / CX]]*Tabela3[[#This Row],[Peso Macho]]),)</f>
        <v>0</v>
      </c>
      <c r="Z1177" s="35">
        <f>IFERROR(Tabela3[[#This Row],[Qtde Oleo]]*(VLOOKUP(Tabela3[[#This Row],[Data]],CompraOleo[],3,TRUE))*1.05,0)</f>
        <v>51.7292181889242</v>
      </c>
      <c r="AA1177" s="47">
        <f ca="1">(Tabela3[[#This Row],[Custo Oleo]]+Tabela3[[#This Row],[Custo Aluminio]]+Tabela3[[#This Row],[Custo M.O. Total]]+Tabela3[[#This Row],[Custo Machos]])</f>
        <v>780.89703763336877</v>
      </c>
      <c r="AB1177" s="47">
        <f ca="1">Tabela3[[#This Row],[Custo Total]]*Tabela3[[#This Row],[% Perda]]</f>
        <v>195.22425940834219</v>
      </c>
      <c r="AC1177" s="40">
        <f>IFERROR(VLOOKUP(Tabela3[[#This Row],[Produto]],Tabela2[],2,0),0)</f>
        <v>1</v>
      </c>
      <c r="AD1177" s="48">
        <f>IFERROR(VLOOKUP(Tabela3[[#This Row],[Produto]],Tabela2[],3,0),0)</f>
        <v>1.25</v>
      </c>
      <c r="AE1177" s="48">
        <f>IFERROR(VLOOKUP(Tabela3[[#This Row],[Produto]],Tabela2[],4,0),0)</f>
        <v>1.85</v>
      </c>
      <c r="AF1177" s="48">
        <f>IFERROR(VLOOKUP(Tabela3[[#This Row],[Produto]],Tabela2[],5,0),0)</f>
        <v>0.54000000000000015</v>
      </c>
      <c r="AG1177" s="48">
        <f>IFERROR(VLOOKUP(Tabela3[[#This Row],[Produto]],Tabela2[],6,0),0)</f>
        <v>0</v>
      </c>
      <c r="AH1177" s="40">
        <f>IFERROR(VLOOKUP(Tabela3[[#This Row],[Produto]],Tabela2[],7,0),0)</f>
        <v>0</v>
      </c>
      <c r="AI1177" s="40">
        <f>IFERROR(VLOOKUP(Tabela3[[#This Row],[Produto]],Tabela2[],8,0),0)</f>
        <v>0</v>
      </c>
      <c r="AJ1177" s="35">
        <f ca="1">IFERROR(VLOOKUP(Tabela3[[#This Row],[Produto]],Tabela2[],13,0),0)</f>
        <v>17.600000000000001</v>
      </c>
      <c r="AK1177" s="48" t="str">
        <f>IFERROR(VLOOKUP(Tabela3[[#This Row],[Produto]],Tabela2[],14,0),0)</f>
        <v>Protec</v>
      </c>
      <c r="AL1177" s="40">
        <f>IFERROR(VLOOKUP(Tabela3[[#This Row],[Produto]],Tabela2[],15,0),0)</f>
        <v>0</v>
      </c>
      <c r="AM1177" s="36">
        <f ca="1">(Tabela3[[#This Row],[Custo Usinagem]]+Tabela3[[#This Row],[Custo / Pç]])*1.2</f>
        <v>52.059802508891252</v>
      </c>
      <c r="AN1177" s="36">
        <f ca="1">Tabela3[[#This Row],[Valor Mínimo Venda]]*1.15</f>
        <v>59.868772885224935</v>
      </c>
      <c r="AO1177" s="36">
        <f ca="1">Tabela3[[#This Row],[Tabela 1]]*1.08</f>
        <v>64.658274716042939</v>
      </c>
      <c r="AP1177" s="36">
        <f ca="1">Tabela3[[#This Row],[Tabela 2]]*1.15</f>
        <v>74.357015923449367</v>
      </c>
    </row>
    <row r="1178" spans="1:42">
      <c r="A1178" s="9">
        <v>46148</v>
      </c>
      <c r="B1178" s="9" t="s">
        <v>245</v>
      </c>
      <c r="C1178" s="14">
        <v>9327</v>
      </c>
      <c r="D1178" s="6" t="s">
        <v>44</v>
      </c>
      <c r="E1178" s="6" t="s">
        <v>47</v>
      </c>
      <c r="F1178" s="6">
        <v>25</v>
      </c>
      <c r="G1178" s="15">
        <v>0.10347222222222222</v>
      </c>
      <c r="H1178" s="16">
        <v>0</v>
      </c>
      <c r="I1178" s="35">
        <f ca="1">IFERROR(Tabela3[[#This Row],[Custo Total]]/Tabela3[[#This Row],[Aluminio Util]],0)</f>
        <v>25.094026903184677</v>
      </c>
      <c r="J1178" s="35">
        <f ca="1">Tabela3[[#This Row],[Custo Total]]/Tabela3[[#This Row],[Realizado]]</f>
        <v>8.3312169318573144</v>
      </c>
      <c r="K1178" s="37">
        <f>IFERROR(Tabela3[[#This Row],[Qtde Cx Produzida]]/Tabela3[[#This Row],[Tempo]]/24,0)</f>
        <v>10.067114093959733</v>
      </c>
      <c r="L1178" s="37">
        <f>Tabela3[[#This Row],[Qtde Cx Produzida]]*Tabela3[[#This Row],[Qdt Peça Placa]]</f>
        <v>100</v>
      </c>
      <c r="M1178" s="37">
        <f>Tabela3[[#This Row],[Previsto]]-Tabela3[[#This Row],[Perda Pçs]]</f>
        <v>100</v>
      </c>
      <c r="N1178" s="38">
        <f>IFERROR(Tabela3[[#This Row],[Perda Pçs]]/Tabela3[[#This Row],[Previsto]],0)</f>
        <v>0</v>
      </c>
      <c r="O1178" s="39">
        <f>IFERROR(IF(Tabela3[[#This Row],[Qtde Cx Produzida]] &lt;&gt; 0, Tabela3[[#This Row],[Tempo]] / Tabela3[[#This Row],[Qtde Cx Produzida]], 0),0)</f>
        <v>4.138888888888889E-3</v>
      </c>
      <c r="P1178" s="57">
        <f>IFERROR(Tabela3[[#This Row],[Perda Pçs]]/Tabela3[[#This Row],[Qdt Peça Placa]],0)</f>
        <v>0</v>
      </c>
      <c r="Q1178" s="37">
        <f>IFERROR(Tabela3[[#This Row],[Realizado]]*Tabela3[[#This Row],[Peso Util/Pç]],0)</f>
        <v>33.200000000000003</v>
      </c>
      <c r="R1178" s="37">
        <f>IFERROR(Tabela3[[#This Row],[Peso Total Galho]]*Tabela3[[#This Row],[Qtde Cx Produzida]]*1.055,0)</f>
        <v>60.662499999999987</v>
      </c>
      <c r="S1178" s="37">
        <f>(Tabela3[[#This Row],[Aluminio Bruto]]-Tabela3[[#This Row],[Aluminio Util]])*0.9</f>
        <v>24.716249999999988</v>
      </c>
      <c r="T1178" s="37">
        <f>Tabela3[[#This Row],[Aluminio Bruto]]/OleoKGAluminio</f>
        <v>25.52063531414106</v>
      </c>
      <c r="U1178" s="35">
        <f>IFERROR((VLOOKUP(Tabela3[[#This Row],[Moldador]],Tabela1[],5,)+(VLOOKUP(Tabela3[[#This Row],[Ajudante]],Tabela1[],5,))*3.5),0)</f>
        <v>99.95034583333333</v>
      </c>
      <c r="V1178" s="35">
        <f>IFERROR(Tabela3[[#This Row],[Custo M.O. / H]]/((Tabela3[[#This Row],[Realizado]]/Tabela3[[#This Row],[Qdt Peça Placa]])/Tabela3[[#This Row],[Tempo]]/24),)</f>
        <v>9.9284010194444434</v>
      </c>
      <c r="W1178" s="35">
        <f>Tabela3[[#This Row],[Custo / Cx Moldada]]*Tabela3[[#This Row],[Qtde Cx Produzida]]</f>
        <v>248.21002548611108</v>
      </c>
      <c r="X1178" s="35">
        <f ca="1">Tabela3[[#This Row],[Aluminio Util]]*Tabela3[[#This Row],[Custo/Kg]]</f>
        <v>517.92000000000007</v>
      </c>
      <c r="Y1178" s="35">
        <f>IFERROR(VLOOKUP(Tabela3[[#This Row],[Data]],Tabela461213[],2,1)*(Tabela3[[#This Row],[Qtde Cx Produzida]]*Tabela3[[#This Row],[Qde macho / CX]]*Tabela3[[#This Row],[Peso Macho]]),)</f>
        <v>0</v>
      </c>
      <c r="Z1178" s="35">
        <f>IFERROR(Tabela3[[#This Row],[Qtde Oleo]]*(VLOOKUP(Tabela3[[#This Row],[Data]],CompraOleo[],3,TRUE))*1.05,0)</f>
        <v>66.99166769962028</v>
      </c>
      <c r="AA1178" s="47">
        <f ca="1">(Tabela3[[#This Row],[Custo Oleo]]+Tabela3[[#This Row],[Custo Aluminio]]+Tabela3[[#This Row],[Custo M.O. Total]]+Tabela3[[#This Row],[Custo Machos]])</f>
        <v>833.12169318573137</v>
      </c>
      <c r="AB1178" s="47">
        <f ca="1">Tabela3[[#This Row],[Custo Total]]*Tabela3[[#This Row],[% Perda]]</f>
        <v>0</v>
      </c>
      <c r="AC1178" s="40">
        <f>IFERROR(VLOOKUP(Tabela3[[#This Row],[Produto]],Tabela2[],2,0),0)</f>
        <v>4</v>
      </c>
      <c r="AD1178" s="48">
        <f>IFERROR(VLOOKUP(Tabela3[[#This Row],[Produto]],Tabela2[],3,0),0)</f>
        <v>0.33200000000000002</v>
      </c>
      <c r="AE1178" s="48">
        <f>IFERROR(VLOOKUP(Tabela3[[#This Row],[Produto]],Tabela2[],4,0),0)</f>
        <v>2.2999999999999998</v>
      </c>
      <c r="AF1178" s="48">
        <f>IFERROR(VLOOKUP(Tabela3[[#This Row],[Produto]],Tabela2[],5,0),0)</f>
        <v>0.8747999999999998</v>
      </c>
      <c r="AG1178" s="48">
        <f>IFERROR(VLOOKUP(Tabela3[[#This Row],[Produto]],Tabela2[],6,0),0)</f>
        <v>0</v>
      </c>
      <c r="AH1178" s="40">
        <f>IFERROR(VLOOKUP(Tabela3[[#This Row],[Produto]],Tabela2[],7,0),0)</f>
        <v>0</v>
      </c>
      <c r="AI1178" s="40">
        <f>IFERROR(VLOOKUP(Tabela3[[#This Row],[Produto]],Tabela2[],8,0),0)</f>
        <v>0</v>
      </c>
      <c r="AJ1178" s="35">
        <f ca="1">IFERROR(VLOOKUP(Tabela3[[#This Row],[Produto]],Tabela2[],13,0),0)</f>
        <v>15.600000000000001</v>
      </c>
      <c r="AK1178" s="48" t="str">
        <f>IFERROR(VLOOKUP(Tabela3[[#This Row],[Produto]],Tabela2[],14,0),0)</f>
        <v>Senun</v>
      </c>
      <c r="AL1178" s="40">
        <f>IFERROR(VLOOKUP(Tabela3[[#This Row],[Produto]],Tabela2[],15,0),0)</f>
        <v>3.5</v>
      </c>
      <c r="AM1178" s="36">
        <f ca="1">(Tabela3[[#This Row],[Custo Usinagem]]+Tabela3[[#This Row],[Custo / Pç]])*1.2</f>
        <v>14.197460318228776</v>
      </c>
      <c r="AN1178" s="36">
        <f ca="1">Tabela3[[#This Row],[Valor Mínimo Venda]]*1.15</f>
        <v>16.32707936596309</v>
      </c>
      <c r="AO1178" s="36">
        <f ca="1">Tabela3[[#This Row],[Tabela 1]]*1.08</f>
        <v>17.63324571524014</v>
      </c>
      <c r="AP1178" s="36">
        <f ca="1">Tabela3[[#This Row],[Tabela 2]]*1.15</f>
        <v>20.278232572526161</v>
      </c>
    </row>
    <row r="1179" spans="1:42">
      <c r="A1179" s="9">
        <v>46148</v>
      </c>
      <c r="B1179" s="9" t="s">
        <v>247</v>
      </c>
      <c r="C1179" s="14">
        <v>9368</v>
      </c>
      <c r="D1179" s="6" t="s">
        <v>44</v>
      </c>
      <c r="E1179" s="6" t="s">
        <v>47</v>
      </c>
      <c r="F1179" s="6">
        <v>1</v>
      </c>
      <c r="G1179" s="15">
        <v>1.0416666666666666E-2</v>
      </c>
      <c r="H1179" s="16">
        <v>0</v>
      </c>
      <c r="I1179" s="35">
        <f ca="1">IFERROR(Tabela3[[#This Row],[Custo Total]]/Tabela3[[#This Row],[Aluminio Util]],0)</f>
        <v>38.656044305265127</v>
      </c>
      <c r="J1179" s="35">
        <f ca="1">Tabela3[[#This Row],[Custo Total]]/Tabela3[[#This Row],[Realizado]]</f>
        <v>11.596813291579537</v>
      </c>
      <c r="K1179" s="37">
        <f>IFERROR(Tabela3[[#This Row],[Qtde Cx Produzida]]/Tabela3[[#This Row],[Tempo]]/24,0)</f>
        <v>4</v>
      </c>
      <c r="L1179" s="37">
        <f>Tabela3[[#This Row],[Qtde Cx Produzida]]*Tabela3[[#This Row],[Qdt Peça Placa]]</f>
        <v>4</v>
      </c>
      <c r="M1179" s="37">
        <f>Tabela3[[#This Row],[Previsto]]-Tabela3[[#This Row],[Perda Pçs]]</f>
        <v>4</v>
      </c>
      <c r="N1179" s="38">
        <f>IFERROR(Tabela3[[#This Row],[Perda Pçs]]/Tabela3[[#This Row],[Previsto]],0)</f>
        <v>0</v>
      </c>
      <c r="O1179" s="39">
        <f>IFERROR(IF(Tabela3[[#This Row],[Qtde Cx Produzida]] &lt;&gt; 0, Tabela3[[#This Row],[Tempo]] / Tabela3[[#This Row],[Qtde Cx Produzida]], 0),0)</f>
        <v>1.0416666666666666E-2</v>
      </c>
      <c r="P1179" s="57">
        <f>IFERROR(Tabela3[[#This Row],[Perda Pçs]]/Tabela3[[#This Row],[Qdt Peça Placa]],0)</f>
        <v>0</v>
      </c>
      <c r="Q1179" s="37">
        <f>IFERROR(Tabela3[[#This Row],[Realizado]]*Tabela3[[#This Row],[Peso Util/Pç]],0)</f>
        <v>1.2</v>
      </c>
      <c r="R1179" s="37">
        <f>IFERROR(Tabela3[[#This Row],[Peso Total Galho]]*Tabela3[[#This Row],[Qtde Cx Produzida]]*1.055,0)</f>
        <v>2.4264999999999999</v>
      </c>
      <c r="S1179" s="37">
        <f>(Tabela3[[#This Row],[Aluminio Bruto]]-Tabela3[[#This Row],[Aluminio Util]])*0.9</f>
        <v>1.10385</v>
      </c>
      <c r="T1179" s="37">
        <f>Tabela3[[#This Row],[Aluminio Bruto]]/OleoKGAluminio</f>
        <v>1.0208254125656426</v>
      </c>
      <c r="U1179" s="35">
        <f>IFERROR((VLOOKUP(Tabela3[[#This Row],[Moldador]],Tabela1[],5,)+(VLOOKUP(Tabela3[[#This Row],[Ajudante]],Tabela1[],5,))*3.5),0)</f>
        <v>99.95034583333333</v>
      </c>
      <c r="V1179" s="35">
        <f>IFERROR(Tabela3[[#This Row],[Custo M.O. / H]]/((Tabela3[[#This Row],[Realizado]]/Tabela3[[#This Row],[Qdt Peça Placa]])/Tabela3[[#This Row],[Tempo]]/24),)</f>
        <v>24.987586458333332</v>
      </c>
      <c r="W1179" s="35">
        <f>Tabela3[[#This Row],[Custo / Cx Moldada]]*Tabela3[[#This Row],[Qtde Cx Produzida]]</f>
        <v>24.987586458333332</v>
      </c>
      <c r="X1179" s="35">
        <f ca="1">Tabela3[[#This Row],[Aluminio Util]]*Tabela3[[#This Row],[Custo/Kg]]</f>
        <v>18.720000000000002</v>
      </c>
      <c r="Y1179" s="35">
        <f>IFERROR(VLOOKUP(Tabela3[[#This Row],[Data]],Tabela461213[],2,1)*(Tabela3[[#This Row],[Qtde Cx Produzida]]*Tabela3[[#This Row],[Qde macho / CX]]*Tabela3[[#This Row],[Peso Macho]]),)</f>
        <v>0</v>
      </c>
      <c r="Z1179" s="35">
        <f>IFERROR(Tabela3[[#This Row],[Qtde Oleo]]*(VLOOKUP(Tabela3[[#This Row],[Data]],CompraOleo[],3,TRUE))*1.05,0)</f>
        <v>2.6796667079848118</v>
      </c>
      <c r="AA1179" s="47">
        <f ca="1">(Tabela3[[#This Row],[Custo Oleo]]+Tabela3[[#This Row],[Custo Aluminio]]+Tabela3[[#This Row],[Custo M.O. Total]]+Tabela3[[#This Row],[Custo Machos]])</f>
        <v>46.387253166318146</v>
      </c>
      <c r="AB1179" s="47">
        <f ca="1">Tabela3[[#This Row],[Custo Total]]*Tabela3[[#This Row],[% Perda]]</f>
        <v>0</v>
      </c>
      <c r="AC1179" s="40">
        <f>IFERROR(VLOOKUP(Tabela3[[#This Row],[Produto]],Tabela2[],2,0),0)</f>
        <v>4</v>
      </c>
      <c r="AD1179" s="48">
        <f>IFERROR(VLOOKUP(Tabela3[[#This Row],[Produto]],Tabela2[],3,0),0)</f>
        <v>0.3</v>
      </c>
      <c r="AE1179" s="48">
        <f>IFERROR(VLOOKUP(Tabela3[[#This Row],[Produto]],Tabela2[],4,0),0)</f>
        <v>2.2999999999999998</v>
      </c>
      <c r="AF1179" s="48">
        <f>IFERROR(VLOOKUP(Tabela3[[#This Row],[Produto]],Tabela2[],5,0),0)</f>
        <v>0.98999999999999988</v>
      </c>
      <c r="AG1179" s="48">
        <f>IFERROR(VLOOKUP(Tabela3[[#This Row],[Produto]],Tabela2[],6,0),0)</f>
        <v>0</v>
      </c>
      <c r="AH1179" s="40">
        <f>IFERROR(VLOOKUP(Tabela3[[#This Row],[Produto]],Tabela2[],7,0),0)</f>
        <v>0</v>
      </c>
      <c r="AI1179" s="40">
        <f>IFERROR(VLOOKUP(Tabela3[[#This Row],[Produto]],Tabela2[],8,0),0)</f>
        <v>0</v>
      </c>
      <c r="AJ1179" s="35">
        <f ca="1">IFERROR(VLOOKUP(Tabela3[[#This Row],[Produto]],Tabela2[],13,0),0)</f>
        <v>15.600000000000001</v>
      </c>
      <c r="AK1179" s="48" t="str">
        <f>IFERROR(VLOOKUP(Tabela3[[#This Row],[Produto]],Tabela2[],14,0),0)</f>
        <v>Senun</v>
      </c>
      <c r="AL1179" s="40">
        <f>IFERROR(VLOOKUP(Tabela3[[#This Row],[Produto]],Tabela2[],15,0),0)</f>
        <v>3.5</v>
      </c>
      <c r="AM1179" s="36">
        <f ca="1">(Tabela3[[#This Row],[Custo Usinagem]]+Tabela3[[#This Row],[Custo / Pç]])*1.2</f>
        <v>18.116175949895442</v>
      </c>
      <c r="AN1179" s="36">
        <f ca="1">Tabela3[[#This Row],[Valor Mínimo Venda]]*1.15</f>
        <v>20.833602342379756</v>
      </c>
      <c r="AO1179" s="36">
        <f ca="1">Tabela3[[#This Row],[Tabela 1]]*1.08</f>
        <v>22.500290529770137</v>
      </c>
      <c r="AP1179" s="36">
        <f ca="1">Tabela3[[#This Row],[Tabela 2]]*1.15</f>
        <v>25.875334109235656</v>
      </c>
    </row>
    <row r="1180" spans="1:42">
      <c r="A1180" s="9">
        <v>46148</v>
      </c>
      <c r="B1180" s="9" t="s">
        <v>238</v>
      </c>
      <c r="C1180" s="14">
        <v>9590</v>
      </c>
      <c r="D1180" s="6" t="s">
        <v>46</v>
      </c>
      <c r="E1180" s="6" t="s">
        <v>44</v>
      </c>
      <c r="F1180" s="6">
        <v>18</v>
      </c>
      <c r="G1180" s="15">
        <v>9.6527777777777782E-2</v>
      </c>
      <c r="H1180" s="16">
        <v>16</v>
      </c>
      <c r="I1180" s="35">
        <f ca="1">IFERROR(Tabela3[[#This Row],[Custo Total]]/Tabela3[[#This Row],[Aluminio Util]],0)</f>
        <v>27.37134250827598</v>
      </c>
      <c r="J1180" s="35">
        <f ca="1">Tabela3[[#This Row],[Custo Total]]/Tabela3[[#This Row],[Realizado]]</f>
        <v>10.045282700537284</v>
      </c>
      <c r="K1180" s="37">
        <f>IFERROR(Tabela3[[#This Row],[Qtde Cx Produzida]]/Tabela3[[#This Row],[Tempo]]/24,0)</f>
        <v>7.769784172661871</v>
      </c>
      <c r="L1180" s="37">
        <f>Tabela3[[#This Row],[Qtde Cx Produzida]]*Tabela3[[#This Row],[Qdt Peça Placa]]</f>
        <v>108</v>
      </c>
      <c r="M1180" s="37">
        <f>Tabela3[[#This Row],[Previsto]]-Tabela3[[#This Row],[Perda Pçs]]</f>
        <v>92</v>
      </c>
      <c r="N1180" s="38">
        <f>IFERROR(Tabela3[[#This Row],[Perda Pçs]]/Tabela3[[#This Row],[Previsto]],0)</f>
        <v>0.14814814814814814</v>
      </c>
      <c r="O1180" s="39">
        <f>IFERROR(IF(Tabela3[[#This Row],[Qtde Cx Produzida]] &lt;&gt; 0, Tabela3[[#This Row],[Tempo]] / Tabela3[[#This Row],[Qtde Cx Produzida]], 0),0)</f>
        <v>5.3626543209876545E-3</v>
      </c>
      <c r="P1180" s="57">
        <f>IFERROR(Tabela3[[#This Row],[Perda Pçs]]/Tabela3[[#This Row],[Qdt Peça Placa]],0)</f>
        <v>2.6666666666666665</v>
      </c>
      <c r="Q1180" s="37">
        <f>IFERROR(Tabela3[[#This Row],[Realizado]]*Tabela3[[#This Row],[Peso Util/Pç]],0)</f>
        <v>33.763999999999996</v>
      </c>
      <c r="R1180" s="37">
        <f>IFERROR(Tabela3[[#This Row],[Peso Total Galho]]*Tabela3[[#This Row],[Qtde Cx Produzida]]*1.055,0)</f>
        <v>49.374000000000002</v>
      </c>
      <c r="S1180" s="37">
        <f>(Tabela3[[#This Row],[Aluminio Bruto]]-Tabela3[[#This Row],[Aluminio Util]])*0.9</f>
        <v>14.049000000000007</v>
      </c>
      <c r="T1180" s="37">
        <f>Tabela3[[#This Row],[Aluminio Bruto]]/OleoKGAluminio</f>
        <v>20.771577960031337</v>
      </c>
      <c r="U1180" s="35">
        <f>IFERROR((VLOOKUP(Tabela3[[#This Row],[Moldador]],Tabela1[],5,)+(VLOOKUP(Tabela3[[#This Row],[Ajudante]],Tabela1[],5,))*3.5),0)</f>
        <v>126.0945</v>
      </c>
      <c r="V1180" s="35">
        <f>IFERROR(Tabela3[[#This Row],[Custo M.O. / H]]/((Tabela3[[#This Row],[Realizado]]/Tabela3[[#This Row],[Qdt Peça Placa]])/Tabela3[[#This Row],[Tempo]]/24),)</f>
        <v>19.051234239130434</v>
      </c>
      <c r="W1180" s="35">
        <f>Tabela3[[#This Row],[Custo / Cx Moldada]]*Tabela3[[#This Row],[Qtde Cx Produzida]]</f>
        <v>342.92221630434778</v>
      </c>
      <c r="X1180" s="35">
        <f ca="1">Tabela3[[#This Row],[Aluminio Util]]*Tabela3[[#This Row],[Custo/Kg]]</f>
        <v>526.71839999999997</v>
      </c>
      <c r="Y1180" s="35">
        <f>IFERROR(VLOOKUP(Tabela3[[#This Row],[Data]],Tabela461213[],2,1)*(Tabela3[[#This Row],[Qtde Cx Produzida]]*Tabela3[[#This Row],[Qde macho / CX]]*Tabela3[[#This Row],[Peso Macho]]),)</f>
        <v>0</v>
      </c>
      <c r="Z1180" s="35">
        <f>IFERROR(Tabela3[[#This Row],[Qtde Oleo]]*(VLOOKUP(Tabela3[[#This Row],[Data]],CompraOleo[],3,TRUE))*1.05,0)</f>
        <v>54.525392145082265</v>
      </c>
      <c r="AA1180" s="47">
        <f ca="1">(Tabela3[[#This Row],[Custo Oleo]]+Tabela3[[#This Row],[Custo Aluminio]]+Tabela3[[#This Row],[Custo M.O. Total]]+Tabela3[[#This Row],[Custo Machos]])</f>
        <v>924.16600844943002</v>
      </c>
      <c r="AB1180" s="47">
        <f ca="1">Tabela3[[#This Row],[Custo Total]]*Tabela3[[#This Row],[% Perda]]</f>
        <v>136.91348273324888</v>
      </c>
      <c r="AC1180" s="40">
        <f>IFERROR(VLOOKUP(Tabela3[[#This Row],[Produto]],Tabela2[],2,0),0)</f>
        <v>6</v>
      </c>
      <c r="AD1180" s="48">
        <f>IFERROR(VLOOKUP(Tabela3[[#This Row],[Produto]],Tabela2[],3,0),0)</f>
        <v>0.36699999999999999</v>
      </c>
      <c r="AE1180" s="48">
        <f>IFERROR(VLOOKUP(Tabela3[[#This Row],[Produto]],Tabela2[],4,0),0)</f>
        <v>2.6</v>
      </c>
      <c r="AF1180" s="48">
        <f>IFERROR(VLOOKUP(Tabela3[[#This Row],[Produto]],Tabela2[],5,0),0)</f>
        <v>0.35820000000000013</v>
      </c>
      <c r="AG1180" s="48">
        <f>IFERROR(VLOOKUP(Tabela3[[#This Row],[Produto]],Tabela2[],6,0),0)</f>
        <v>0</v>
      </c>
      <c r="AH1180" s="40">
        <f>IFERROR(VLOOKUP(Tabela3[[#This Row],[Produto]],Tabela2[],7,0),0)</f>
        <v>0</v>
      </c>
      <c r="AI1180" s="40">
        <f>IFERROR(VLOOKUP(Tabela3[[#This Row],[Produto]],Tabela2[],8,0),0)</f>
        <v>0</v>
      </c>
      <c r="AJ1180" s="35">
        <f ca="1">IFERROR(VLOOKUP(Tabela3[[#This Row],[Produto]],Tabela2[],13,0),0)</f>
        <v>15.600000000000001</v>
      </c>
      <c r="AK1180" s="48" t="str">
        <f>IFERROR(VLOOKUP(Tabela3[[#This Row],[Produto]],Tabela2[],14,0),0)</f>
        <v>Senun</v>
      </c>
      <c r="AL1180" s="40">
        <f>IFERROR(VLOOKUP(Tabela3[[#This Row],[Produto]],Tabela2[],15,0),0)</f>
        <v>4</v>
      </c>
      <c r="AM1180" s="36">
        <f ca="1">(Tabela3[[#This Row],[Custo Usinagem]]+Tabela3[[#This Row],[Custo / Pç]])*1.2</f>
        <v>16.854339240644741</v>
      </c>
      <c r="AN1180" s="36">
        <f ca="1">Tabela3[[#This Row],[Valor Mínimo Venda]]*1.15</f>
        <v>19.382490126741452</v>
      </c>
      <c r="AO1180" s="36">
        <f ca="1">Tabela3[[#This Row],[Tabela 1]]*1.08</f>
        <v>20.933089336880769</v>
      </c>
      <c r="AP1180" s="36">
        <f ca="1">Tabela3[[#This Row],[Tabela 2]]*1.15</f>
        <v>24.073052737412883</v>
      </c>
    </row>
    <row r="1181" spans="1:42">
      <c r="A1181" s="9">
        <v>46148</v>
      </c>
      <c r="B1181" s="9" t="s">
        <v>238</v>
      </c>
      <c r="C1181" s="14">
        <v>9590</v>
      </c>
      <c r="D1181" s="6" t="s">
        <v>44</v>
      </c>
      <c r="E1181" s="6" t="s">
        <v>47</v>
      </c>
      <c r="F1181" s="6">
        <v>12</v>
      </c>
      <c r="G1181" s="15">
        <v>6.7361111111111108E-2</v>
      </c>
      <c r="H1181" s="16"/>
      <c r="I1181" s="35">
        <f ca="1">IFERROR(Tabela3[[#This Row],[Custo Total]]/Tabela3[[#This Row],[Aluminio Util]],0)</f>
        <v>23.090790715281955</v>
      </c>
      <c r="J1181" s="35">
        <f ca="1">Tabela3[[#This Row],[Custo Total]]/Tabela3[[#This Row],[Realizado]]</f>
        <v>8.4743201925084772</v>
      </c>
      <c r="K1181" s="37">
        <f>IFERROR(Tabela3[[#This Row],[Qtde Cx Produzida]]/Tabela3[[#This Row],[Tempo]]/24,0)</f>
        <v>7.4226804123711352</v>
      </c>
      <c r="L1181" s="37">
        <f>Tabela3[[#This Row],[Qtde Cx Produzida]]*Tabela3[[#This Row],[Qdt Peça Placa]]</f>
        <v>72</v>
      </c>
      <c r="M1181" s="37">
        <f>Tabela3[[#This Row],[Previsto]]-Tabela3[[#This Row],[Perda Pçs]]</f>
        <v>72</v>
      </c>
      <c r="N1181" s="38">
        <f>IFERROR(Tabela3[[#This Row],[Perda Pçs]]/Tabela3[[#This Row],[Previsto]],0)</f>
        <v>0</v>
      </c>
      <c r="O1181" s="39">
        <f>IFERROR(IF(Tabela3[[#This Row],[Qtde Cx Produzida]] &lt;&gt; 0, Tabela3[[#This Row],[Tempo]] / Tabela3[[#This Row],[Qtde Cx Produzida]], 0),0)</f>
        <v>5.6134259259259254E-3</v>
      </c>
      <c r="P1181" s="57">
        <f>IFERROR(Tabela3[[#This Row],[Perda Pçs]]/Tabela3[[#This Row],[Qdt Peça Placa]],0)</f>
        <v>0</v>
      </c>
      <c r="Q1181" s="37">
        <f>IFERROR(Tabela3[[#This Row],[Realizado]]*Tabela3[[#This Row],[Peso Util/Pç]],0)</f>
        <v>26.423999999999999</v>
      </c>
      <c r="R1181" s="37">
        <f>IFERROR(Tabela3[[#This Row],[Peso Total Galho]]*Tabela3[[#This Row],[Qtde Cx Produzida]]*1.055,0)</f>
        <v>32.916000000000004</v>
      </c>
      <c r="S1181" s="37">
        <f>(Tabela3[[#This Row],[Aluminio Bruto]]-Tabela3[[#This Row],[Aluminio Util]])*0.9</f>
        <v>5.842800000000004</v>
      </c>
      <c r="T1181" s="37">
        <f>Tabela3[[#This Row],[Aluminio Bruto]]/OleoKGAluminio</f>
        <v>13.847718640020894</v>
      </c>
      <c r="U1181" s="35">
        <f>IFERROR((VLOOKUP(Tabela3[[#This Row],[Moldador]],Tabela1[],5,)+(VLOOKUP(Tabela3[[#This Row],[Ajudante]],Tabela1[],5,))*3.5),0)</f>
        <v>99.95034583333333</v>
      </c>
      <c r="V1181" s="35">
        <f>IFERROR(Tabela3[[#This Row],[Custo M.O. / H]]/((Tabela3[[#This Row],[Realizado]]/Tabela3[[#This Row],[Qdt Peça Placa]])/Tabela3[[#This Row],[Tempo]]/24),)</f>
        <v>13.465532702546295</v>
      </c>
      <c r="W1181" s="35">
        <f>Tabela3[[#This Row],[Custo / Cx Moldada]]*Tabela3[[#This Row],[Qtde Cx Produzida]]</f>
        <v>161.58639243055552</v>
      </c>
      <c r="X1181" s="35">
        <f ca="1">Tabela3[[#This Row],[Aluminio Util]]*Tabela3[[#This Row],[Custo/Kg]]</f>
        <v>412.21440000000001</v>
      </c>
      <c r="Y1181" s="35">
        <f>IFERROR(VLOOKUP(Tabela3[[#This Row],[Data]],Tabela461213[],2,1)*(Tabela3[[#This Row],[Qtde Cx Produzida]]*Tabela3[[#This Row],[Qde macho / CX]]*Tabela3[[#This Row],[Peso Macho]]),)</f>
        <v>0</v>
      </c>
      <c r="Z1181" s="35">
        <f>IFERROR(Tabela3[[#This Row],[Qtde Oleo]]*(VLOOKUP(Tabela3[[#This Row],[Data]],CompraOleo[],3,TRUE))*1.05,0)</f>
        <v>36.35026143005485</v>
      </c>
      <c r="AA1181" s="47">
        <f ca="1">(Tabela3[[#This Row],[Custo Oleo]]+Tabela3[[#This Row],[Custo Aluminio]]+Tabela3[[#This Row],[Custo M.O. Total]]+Tabela3[[#This Row],[Custo Machos]])</f>
        <v>610.15105386061032</v>
      </c>
      <c r="AB1181" s="47">
        <f ca="1">Tabela3[[#This Row],[Custo Total]]*Tabela3[[#This Row],[% Perda]]</f>
        <v>0</v>
      </c>
      <c r="AC1181" s="40">
        <f>IFERROR(VLOOKUP(Tabela3[[#This Row],[Produto]],Tabela2[],2,0),0)</f>
        <v>6</v>
      </c>
      <c r="AD1181" s="48">
        <f>IFERROR(VLOOKUP(Tabela3[[#This Row],[Produto]],Tabela2[],3,0),0)</f>
        <v>0.36699999999999999</v>
      </c>
      <c r="AE1181" s="48">
        <f>IFERROR(VLOOKUP(Tabela3[[#This Row],[Produto]],Tabela2[],4,0),0)</f>
        <v>2.6</v>
      </c>
      <c r="AF1181" s="48">
        <f>IFERROR(VLOOKUP(Tabela3[[#This Row],[Produto]],Tabela2[],5,0),0)</f>
        <v>0.35820000000000013</v>
      </c>
      <c r="AG1181" s="48">
        <f>IFERROR(VLOOKUP(Tabela3[[#This Row],[Produto]],Tabela2[],6,0),0)</f>
        <v>0</v>
      </c>
      <c r="AH1181" s="40">
        <f>IFERROR(VLOOKUP(Tabela3[[#This Row],[Produto]],Tabela2[],7,0),0)</f>
        <v>0</v>
      </c>
      <c r="AI1181" s="40">
        <f>IFERROR(VLOOKUP(Tabela3[[#This Row],[Produto]],Tabela2[],8,0),0)</f>
        <v>0</v>
      </c>
      <c r="AJ1181" s="35">
        <f ca="1">IFERROR(VLOOKUP(Tabela3[[#This Row],[Produto]],Tabela2[],13,0),0)</f>
        <v>15.600000000000001</v>
      </c>
      <c r="AK1181" s="48" t="str">
        <f>IFERROR(VLOOKUP(Tabela3[[#This Row],[Produto]],Tabela2[],14,0),0)</f>
        <v>Senun</v>
      </c>
      <c r="AL1181" s="40">
        <f>IFERROR(VLOOKUP(Tabela3[[#This Row],[Produto]],Tabela2[],15,0),0)</f>
        <v>4</v>
      </c>
      <c r="AM1181" s="36">
        <f ca="1">(Tabela3[[#This Row],[Custo Usinagem]]+Tabela3[[#This Row],[Custo / Pç]])*1.2</f>
        <v>14.969184231010171</v>
      </c>
      <c r="AN1181" s="36">
        <f ca="1">Tabela3[[#This Row],[Valor Mínimo Venda]]*1.15</f>
        <v>17.214561865661697</v>
      </c>
      <c r="AO1181" s="36">
        <f ca="1">Tabela3[[#This Row],[Tabela 1]]*1.08</f>
        <v>18.591726814914633</v>
      </c>
      <c r="AP1181" s="36">
        <f ca="1">Tabela3[[#This Row],[Tabela 2]]*1.15</f>
        <v>21.380485837151827</v>
      </c>
    </row>
    <row r="1182" spans="1:42">
      <c r="A1182" s="9">
        <v>46148</v>
      </c>
      <c r="B1182" s="9" t="s">
        <v>161</v>
      </c>
      <c r="C1182" s="14">
        <v>9593</v>
      </c>
      <c r="D1182" s="6" t="s">
        <v>44</v>
      </c>
      <c r="E1182" s="6" t="s">
        <v>47</v>
      </c>
      <c r="F1182" s="6">
        <v>3</v>
      </c>
      <c r="G1182" s="15">
        <v>6.25E-2</v>
      </c>
      <c r="H1182" s="16">
        <v>0</v>
      </c>
      <c r="I1182" s="35">
        <f ca="1">IFERROR(Tabela3[[#This Row],[Custo Total]]/Tabela3[[#This Row],[Aluminio Util]],0)</f>
        <v>21.929069558681448</v>
      </c>
      <c r="J1182" s="35">
        <f ca="1">Tabela3[[#This Row],[Custo Total]]/Tabela3[[#This Row],[Realizado]]</f>
        <v>355.25092685063942</v>
      </c>
      <c r="K1182" s="37">
        <f>IFERROR(Tabela3[[#This Row],[Qtde Cx Produzida]]/Tabela3[[#This Row],[Tempo]]/24,0)</f>
        <v>2</v>
      </c>
      <c r="L1182" s="37">
        <f>Tabela3[[#This Row],[Qtde Cx Produzida]]*Tabela3[[#This Row],[Qdt Peça Placa]]</f>
        <v>3</v>
      </c>
      <c r="M1182" s="37">
        <f>Tabela3[[#This Row],[Previsto]]-Tabela3[[#This Row],[Perda Pçs]]</f>
        <v>3</v>
      </c>
      <c r="N1182" s="38">
        <f>IFERROR(Tabela3[[#This Row],[Perda Pçs]]/Tabela3[[#This Row],[Previsto]],0)</f>
        <v>0</v>
      </c>
      <c r="O1182" s="39">
        <f>IFERROR(IF(Tabela3[[#This Row],[Qtde Cx Produzida]] &lt;&gt; 0, Tabela3[[#This Row],[Tempo]] / Tabela3[[#This Row],[Qtde Cx Produzida]], 0),0)</f>
        <v>2.0833333333333332E-2</v>
      </c>
      <c r="P1182" s="57">
        <f>IFERROR(Tabela3[[#This Row],[Perda Pçs]]/Tabela3[[#This Row],[Qdt Peça Placa]],0)</f>
        <v>0</v>
      </c>
      <c r="Q1182" s="37">
        <f>IFERROR(Tabela3[[#This Row],[Realizado]]*Tabela3[[#This Row],[Peso Util/Pç]],0)</f>
        <v>48.599999999999994</v>
      </c>
      <c r="R1182" s="37">
        <f>IFERROR(Tabela3[[#This Row],[Peso Total Galho]]*Tabela3[[#This Row],[Qtde Cx Produzida]]*1.055,0)</f>
        <v>54.7545</v>
      </c>
      <c r="S1182" s="37">
        <f>(Tabela3[[#This Row],[Aluminio Bruto]]-Tabela3[[#This Row],[Aluminio Util]])*0.9</f>
        <v>5.5390500000000058</v>
      </c>
      <c r="T1182" s="37">
        <f>Tabela3[[#This Row],[Aluminio Bruto]]/OleoKGAluminio</f>
        <v>23.035147353111675</v>
      </c>
      <c r="U1182" s="35">
        <f>IFERROR((VLOOKUP(Tabela3[[#This Row],[Moldador]],Tabela1[],5,)+(VLOOKUP(Tabela3[[#This Row],[Ajudante]],Tabela1[],5,))*3.5),0)</f>
        <v>99.95034583333333</v>
      </c>
      <c r="V1182" s="35">
        <f>IFERROR(Tabela3[[#This Row],[Custo M.O. / H]]/((Tabela3[[#This Row],[Realizado]]/Tabela3[[#This Row],[Qdt Peça Placa]])/Tabela3[[#This Row],[Tempo]]/24),)</f>
        <v>49.975172916666665</v>
      </c>
      <c r="W1182" s="35">
        <f>Tabela3[[#This Row],[Custo / Cx Moldada]]*Tabela3[[#This Row],[Qtde Cx Produzida]]</f>
        <v>149.92551874999998</v>
      </c>
      <c r="X1182" s="35">
        <f ca="1">Tabela3[[#This Row],[Aluminio Util]]*Tabela3[[#This Row],[Custo/Kg]]</f>
        <v>855.36</v>
      </c>
      <c r="Y1182" s="35">
        <f>IFERROR(VLOOKUP(Tabela3[[#This Row],[Data]],Tabela461213[],2,1)*(Tabela3[[#This Row],[Qtde Cx Produzida]]*Tabela3[[#This Row],[Qde macho / CX]]*Tabela3[[#This Row],[Peso Macho]]),)</f>
        <v>0</v>
      </c>
      <c r="Z1182" s="35">
        <f>IFERROR(Tabela3[[#This Row],[Qtde Oleo]]*(VLOOKUP(Tabela3[[#This Row],[Data]],CompraOleo[],3,TRUE))*1.05,0)</f>
        <v>60.467261801918156</v>
      </c>
      <c r="AA1182" s="47">
        <f ca="1">(Tabela3[[#This Row],[Custo Oleo]]+Tabela3[[#This Row],[Custo Aluminio]]+Tabela3[[#This Row],[Custo M.O. Total]]+Tabela3[[#This Row],[Custo Machos]])</f>
        <v>1065.7527805519182</v>
      </c>
      <c r="AB1182" s="47">
        <f ca="1">Tabela3[[#This Row],[Custo Total]]*Tabela3[[#This Row],[% Perda]]</f>
        <v>0</v>
      </c>
      <c r="AC1182" s="40">
        <f>IFERROR(VLOOKUP(Tabela3[[#This Row],[Produto]],Tabela2[],2,0),0)</f>
        <v>1</v>
      </c>
      <c r="AD1182" s="48">
        <f>IFERROR(VLOOKUP(Tabela3[[#This Row],[Produto]],Tabela2[],3,0),0)</f>
        <v>16.2</v>
      </c>
      <c r="AE1182" s="48">
        <f>IFERROR(VLOOKUP(Tabela3[[#This Row],[Produto]],Tabela2[],4,0),0)</f>
        <v>17.3</v>
      </c>
      <c r="AF1182" s="48">
        <f>IFERROR(VLOOKUP(Tabela3[[#This Row],[Produto]],Tabela2[],5,0),0)</f>
        <v>0.99000000000000132</v>
      </c>
      <c r="AG1182" s="48">
        <f>IFERROR(VLOOKUP(Tabela3[[#This Row],[Produto]],Tabela2[],6,0),0)</f>
        <v>0</v>
      </c>
      <c r="AH1182" s="40">
        <f>IFERROR(VLOOKUP(Tabela3[[#This Row],[Produto]],Tabela2[],7,0),0)</f>
        <v>0</v>
      </c>
      <c r="AI1182" s="40">
        <f>IFERROR(VLOOKUP(Tabela3[[#This Row],[Produto]],Tabela2[],8,0),0)</f>
        <v>0</v>
      </c>
      <c r="AJ1182" s="35">
        <f ca="1">IFERROR(VLOOKUP(Tabela3[[#This Row],[Produto]],Tabela2[],13,0),0)</f>
        <v>17.600000000000001</v>
      </c>
      <c r="AK1182" s="48" t="str">
        <f>IFERROR(VLOOKUP(Tabela3[[#This Row],[Produto]],Tabela2[],14,0),0)</f>
        <v>Oscar</v>
      </c>
      <c r="AL1182" s="40">
        <f>IFERROR(VLOOKUP(Tabela3[[#This Row],[Produto]],Tabela2[],15,0),0)</f>
        <v>0</v>
      </c>
      <c r="AM1182" s="36">
        <f ca="1">(Tabela3[[#This Row],[Custo Usinagem]]+Tabela3[[#This Row],[Custo / Pç]])*1.2</f>
        <v>426.30111222076727</v>
      </c>
      <c r="AN1182" s="36">
        <f ca="1">Tabela3[[#This Row],[Valor Mínimo Venda]]*1.15</f>
        <v>490.24627905388229</v>
      </c>
      <c r="AO1182" s="36">
        <f ca="1">Tabela3[[#This Row],[Tabela 1]]*1.08</f>
        <v>529.46598137819296</v>
      </c>
      <c r="AP1182" s="36">
        <f ca="1">Tabela3[[#This Row],[Tabela 2]]*1.15</f>
        <v>608.8858785849219</v>
      </c>
    </row>
    <row r="1183" spans="1:42">
      <c r="A1183" s="9">
        <v>46149</v>
      </c>
      <c r="B1183" s="9" t="s">
        <v>247</v>
      </c>
      <c r="C1183" s="14">
        <v>9368</v>
      </c>
      <c r="D1183" s="6" t="s">
        <v>46</v>
      </c>
      <c r="E1183" s="6" t="s">
        <v>50</v>
      </c>
      <c r="F1183" s="6">
        <v>9</v>
      </c>
      <c r="G1183" s="15">
        <v>0.05</v>
      </c>
      <c r="H1183" s="16">
        <v>0</v>
      </c>
      <c r="I1183" s="35">
        <f ca="1">IFERROR(Tabela3[[#This Row],[Custo Total]]/Tabela3[[#This Row],[Aluminio Util]],0)</f>
        <v>28.938649571468826</v>
      </c>
      <c r="J1183" s="35">
        <f ca="1">Tabela3[[#This Row],[Custo Total]]/Tabela3[[#This Row],[Realizado]]</f>
        <v>8.6815948714406463</v>
      </c>
      <c r="K1183" s="37">
        <f>IFERROR(Tabela3[[#This Row],[Qtde Cx Produzida]]/Tabela3[[#This Row],[Tempo]]/24,0)</f>
        <v>7.5</v>
      </c>
      <c r="L1183" s="37">
        <f>Tabela3[[#This Row],[Qtde Cx Produzida]]*Tabela3[[#This Row],[Qdt Peça Placa]]</f>
        <v>36</v>
      </c>
      <c r="M1183" s="37">
        <f>Tabela3[[#This Row],[Previsto]]-Tabela3[[#This Row],[Perda Pçs]]</f>
        <v>36</v>
      </c>
      <c r="N1183" s="38">
        <f>IFERROR(Tabela3[[#This Row],[Perda Pçs]]/Tabela3[[#This Row],[Previsto]],0)</f>
        <v>0</v>
      </c>
      <c r="O1183" s="39">
        <f>IFERROR(IF(Tabela3[[#This Row],[Qtde Cx Produzida]] &lt;&gt; 0, Tabela3[[#This Row],[Tempo]] / Tabela3[[#This Row],[Qtde Cx Produzida]], 0),0)</f>
        <v>5.5555555555555558E-3</v>
      </c>
      <c r="P1183" s="57">
        <f>IFERROR(Tabela3[[#This Row],[Perda Pçs]]/Tabela3[[#This Row],[Qdt Peça Placa]],0)</f>
        <v>0</v>
      </c>
      <c r="Q1183" s="37">
        <f>IFERROR(Tabela3[[#This Row],[Realizado]]*Tabela3[[#This Row],[Peso Util/Pç]],0)</f>
        <v>10.799999999999999</v>
      </c>
      <c r="R1183" s="37">
        <f>IFERROR(Tabela3[[#This Row],[Peso Total Galho]]*Tabela3[[#This Row],[Qtde Cx Produzida]]*1.055,0)</f>
        <v>21.838499999999996</v>
      </c>
      <c r="S1183" s="37">
        <f>(Tabela3[[#This Row],[Aluminio Bruto]]-Tabela3[[#This Row],[Aluminio Util]])*0.9</f>
        <v>9.9346499999999978</v>
      </c>
      <c r="T1183" s="37">
        <f>Tabela3[[#This Row],[Aluminio Bruto]]/OleoKGAluminio</f>
        <v>9.1874287130907817</v>
      </c>
      <c r="U1183" s="35">
        <f>IFERROR((VLOOKUP(Tabela3[[#This Row],[Moldador]],Tabela1[],5,)+(VLOOKUP(Tabela3[[#This Row],[Ajudante]],Tabela1[],5,))*3.5),0)</f>
        <v>99.95034583333333</v>
      </c>
      <c r="V1183" s="35">
        <f>IFERROR(Tabela3[[#This Row],[Custo M.O. / H]]/((Tabela3[[#This Row],[Realizado]]/Tabela3[[#This Row],[Qdt Peça Placa]])/Tabela3[[#This Row],[Tempo]]/24),)</f>
        <v>13.326712777777777</v>
      </c>
      <c r="W1183" s="35">
        <f>Tabela3[[#This Row],[Custo / Cx Moldada]]*Tabela3[[#This Row],[Qtde Cx Produzida]]</f>
        <v>119.94041499999999</v>
      </c>
      <c r="X1183" s="35">
        <f ca="1">Tabela3[[#This Row],[Aluminio Util]]*Tabela3[[#This Row],[Custo/Kg]]</f>
        <v>168.48</v>
      </c>
      <c r="Y1183" s="35">
        <f>IFERROR(VLOOKUP(Tabela3[[#This Row],[Data]],Tabela461213[],2,1)*(Tabela3[[#This Row],[Qtde Cx Produzida]]*Tabela3[[#This Row],[Qde macho / CX]]*Tabela3[[#This Row],[Peso Macho]]),)</f>
        <v>0</v>
      </c>
      <c r="Z1183" s="35">
        <f>IFERROR(Tabela3[[#This Row],[Qtde Oleo]]*(VLOOKUP(Tabela3[[#This Row],[Data]],CompraOleo[],3,TRUE))*1.05,0)</f>
        <v>24.117000371863302</v>
      </c>
      <c r="AA1183" s="47">
        <f ca="1">(Tabela3[[#This Row],[Custo Oleo]]+Tabela3[[#This Row],[Custo Aluminio]]+Tabela3[[#This Row],[Custo M.O. Total]]+Tabela3[[#This Row],[Custo Machos]])</f>
        <v>312.53741537186329</v>
      </c>
      <c r="AB1183" s="47">
        <f ca="1">Tabela3[[#This Row],[Custo Total]]*Tabela3[[#This Row],[% Perda]]</f>
        <v>0</v>
      </c>
      <c r="AC1183" s="40">
        <f>IFERROR(VLOOKUP(Tabela3[[#This Row],[Produto]],Tabela2[],2,0),0)</f>
        <v>4</v>
      </c>
      <c r="AD1183" s="48">
        <f>IFERROR(VLOOKUP(Tabela3[[#This Row],[Produto]],Tabela2[],3,0),0)</f>
        <v>0.3</v>
      </c>
      <c r="AE1183" s="48">
        <f>IFERROR(VLOOKUP(Tabela3[[#This Row],[Produto]],Tabela2[],4,0),0)</f>
        <v>2.2999999999999998</v>
      </c>
      <c r="AF1183" s="48">
        <f>IFERROR(VLOOKUP(Tabela3[[#This Row],[Produto]],Tabela2[],5,0),0)</f>
        <v>0.98999999999999988</v>
      </c>
      <c r="AG1183" s="48">
        <f>IFERROR(VLOOKUP(Tabela3[[#This Row],[Produto]],Tabela2[],6,0),0)</f>
        <v>0</v>
      </c>
      <c r="AH1183" s="40">
        <f>IFERROR(VLOOKUP(Tabela3[[#This Row],[Produto]],Tabela2[],7,0),0)</f>
        <v>0</v>
      </c>
      <c r="AI1183" s="40">
        <f>IFERROR(VLOOKUP(Tabela3[[#This Row],[Produto]],Tabela2[],8,0),0)</f>
        <v>0</v>
      </c>
      <c r="AJ1183" s="35">
        <f ca="1">IFERROR(VLOOKUP(Tabela3[[#This Row],[Produto]],Tabela2[],13,0),0)</f>
        <v>15.600000000000001</v>
      </c>
      <c r="AK1183" s="48" t="str">
        <f>IFERROR(VLOOKUP(Tabela3[[#This Row],[Produto]],Tabela2[],14,0),0)</f>
        <v>Senun</v>
      </c>
      <c r="AL1183" s="40">
        <f>IFERROR(VLOOKUP(Tabela3[[#This Row],[Produto]],Tabela2[],15,0),0)</f>
        <v>3.5</v>
      </c>
      <c r="AM1183" s="36">
        <f ca="1">(Tabela3[[#This Row],[Custo Usinagem]]+Tabela3[[#This Row],[Custo / Pç]])*1.2</f>
        <v>14.617913845728776</v>
      </c>
      <c r="AN1183" s="36">
        <f ca="1">Tabela3[[#This Row],[Valor Mínimo Venda]]*1.15</f>
        <v>16.81060092258809</v>
      </c>
      <c r="AO1183" s="36">
        <f ca="1">Tabela3[[#This Row],[Tabela 1]]*1.08</f>
        <v>18.15544899639514</v>
      </c>
      <c r="AP1183" s="36">
        <f ca="1">Tabela3[[#This Row],[Tabela 2]]*1.15</f>
        <v>20.878766345854409</v>
      </c>
    </row>
    <row r="1184" spans="1:42">
      <c r="A1184" s="9">
        <v>46149</v>
      </c>
      <c r="B1184" s="9" t="s">
        <v>256</v>
      </c>
      <c r="C1184" s="14">
        <v>9359</v>
      </c>
      <c r="D1184" s="6" t="s">
        <v>46</v>
      </c>
      <c r="E1184" s="6" t="s">
        <v>50</v>
      </c>
      <c r="F1184" s="6">
        <v>23</v>
      </c>
      <c r="G1184" s="15">
        <v>0.12430555555555556</v>
      </c>
      <c r="H1184" s="16">
        <v>5</v>
      </c>
      <c r="I1184" s="35">
        <f ca="1">IFERROR(Tabela3[[#This Row],[Custo Total]]/Tabela3[[#This Row],[Aluminio Util]],0)</f>
        <v>29.280898740684222</v>
      </c>
      <c r="J1184" s="35">
        <f ca="1">Tabela3[[#This Row],[Custo Total]]/Tabela3[[#This Row],[Realizado]]</f>
        <v>25.503662803135956</v>
      </c>
      <c r="K1184" s="37">
        <f>IFERROR(Tabela3[[#This Row],[Qtde Cx Produzida]]/Tabela3[[#This Row],[Tempo]]/24,0)</f>
        <v>7.7094972067039107</v>
      </c>
      <c r="L1184" s="37">
        <f>Tabela3[[#This Row],[Qtde Cx Produzida]]*Tabela3[[#This Row],[Qdt Peça Placa]]</f>
        <v>46</v>
      </c>
      <c r="M1184" s="37">
        <f>Tabela3[[#This Row],[Previsto]]-Tabela3[[#This Row],[Perda Pçs]]</f>
        <v>41</v>
      </c>
      <c r="N1184" s="38">
        <f>IFERROR(Tabela3[[#This Row],[Perda Pçs]]/Tabela3[[#This Row],[Previsto]],0)</f>
        <v>0.10869565217391304</v>
      </c>
      <c r="O1184" s="39">
        <f>IFERROR(IF(Tabela3[[#This Row],[Qtde Cx Produzida]] &lt;&gt; 0, Tabela3[[#This Row],[Tempo]] / Tabela3[[#This Row],[Qtde Cx Produzida]], 0),0)</f>
        <v>5.4045893719806767E-3</v>
      </c>
      <c r="P1184" s="57">
        <f>IFERROR(Tabela3[[#This Row],[Perda Pçs]]/Tabela3[[#This Row],[Qdt Peça Placa]],0)</f>
        <v>2.5</v>
      </c>
      <c r="Q1184" s="37">
        <f>IFERROR(Tabela3[[#This Row],[Realizado]]*Tabela3[[#This Row],[Peso Util/Pç]],0)</f>
        <v>35.710999999999999</v>
      </c>
      <c r="R1184" s="37">
        <f>IFERROR(Tabela3[[#This Row],[Peso Total Galho]]*Tabela3[[#This Row],[Qtde Cx Produzida]]*1.055,0)</f>
        <v>74.784729999999996</v>
      </c>
      <c r="S1184" s="37">
        <f>(Tabela3[[#This Row],[Aluminio Bruto]]-Tabela3[[#This Row],[Aluminio Util]])*0.9</f>
        <v>35.166356999999998</v>
      </c>
      <c r="T1184" s="37">
        <f>Tabela3[[#This Row],[Aluminio Bruto]]/OleoKGAluminio</f>
        <v>31.461839215273105</v>
      </c>
      <c r="U1184" s="35">
        <f>IFERROR((VLOOKUP(Tabela3[[#This Row],[Moldador]],Tabela1[],5,)+(VLOOKUP(Tabela3[[#This Row],[Ajudante]],Tabela1[],5,))*3.5),0)</f>
        <v>99.95034583333333</v>
      </c>
      <c r="V1184" s="35">
        <f>IFERROR(Tabela3[[#This Row],[Custo M.O. / H]]/((Tabela3[[#This Row],[Realizado]]/Tabela3[[#This Row],[Qdt Peça Placa]])/Tabela3[[#This Row],[Tempo]]/24),)</f>
        <v>14.545619434281843</v>
      </c>
      <c r="W1184" s="35">
        <f>Tabela3[[#This Row],[Custo / Cx Moldada]]*Tabela3[[#This Row],[Qtde Cx Produzida]]</f>
        <v>334.54924698848237</v>
      </c>
      <c r="X1184" s="35">
        <f ca="1">Tabela3[[#This Row],[Aluminio Util]]*Tabela3[[#This Row],[Custo/Kg]]</f>
        <v>628.5136</v>
      </c>
      <c r="Y1184" s="35">
        <f>IFERROR(VLOOKUP(Tabela3[[#This Row],[Data]],Tabela461213[],2,1)*(Tabela3[[#This Row],[Qtde Cx Produzida]]*Tabela3[[#This Row],[Qde macho / CX]]*Tabela3[[#This Row],[Peso Macho]]),)</f>
        <v>0</v>
      </c>
      <c r="Z1184" s="35">
        <f>IFERROR(Tabela3[[#This Row],[Qtde Oleo]]*(VLOOKUP(Tabela3[[#This Row],[Data]],CompraOleo[],3,TRUE))*1.05,0)</f>
        <v>82.58732794009191</v>
      </c>
      <c r="AA1184" s="47">
        <f ca="1">(Tabela3[[#This Row],[Custo Oleo]]+Tabela3[[#This Row],[Custo Aluminio]]+Tabela3[[#This Row],[Custo M.O. Total]]+Tabela3[[#This Row],[Custo Machos]])</f>
        <v>1045.6501749285742</v>
      </c>
      <c r="AB1184" s="47">
        <f ca="1">Tabela3[[#This Row],[Custo Total]]*Tabela3[[#This Row],[% Perda]]</f>
        <v>113.65762770962763</v>
      </c>
      <c r="AC1184" s="40">
        <f>IFERROR(VLOOKUP(Tabela3[[#This Row],[Produto]],Tabela2[],2,0),0)</f>
        <v>2</v>
      </c>
      <c r="AD1184" s="48">
        <f>IFERROR(VLOOKUP(Tabela3[[#This Row],[Produto]],Tabela2[],3,0),0)</f>
        <v>0.871</v>
      </c>
      <c r="AE1184" s="48">
        <f>IFERROR(VLOOKUP(Tabela3[[#This Row],[Produto]],Tabela2[],4,0),0)</f>
        <v>3.0819999999999999</v>
      </c>
      <c r="AF1184" s="48">
        <f>IFERROR(VLOOKUP(Tabela3[[#This Row],[Produto]],Tabela2[],5,0),0)</f>
        <v>1.206</v>
      </c>
      <c r="AG1184" s="48">
        <f>IFERROR(VLOOKUP(Tabela3[[#This Row],[Produto]],Tabela2[],6,0),0)</f>
        <v>0</v>
      </c>
      <c r="AH1184" s="40">
        <f>IFERROR(VLOOKUP(Tabela3[[#This Row],[Produto]],Tabela2[],7,0),0)</f>
        <v>0</v>
      </c>
      <c r="AI1184" s="40">
        <f>IFERROR(VLOOKUP(Tabela3[[#This Row],[Produto]],Tabela2[],8,0),0)</f>
        <v>0</v>
      </c>
      <c r="AJ1184" s="35">
        <f ca="1">IFERROR(VLOOKUP(Tabela3[[#This Row],[Produto]],Tabela2[],13,0),0)</f>
        <v>17.600000000000001</v>
      </c>
      <c r="AK1184" s="48" t="str">
        <f>IFERROR(VLOOKUP(Tabela3[[#This Row],[Produto]],Tabela2[],14,0),0)</f>
        <v>Protec</v>
      </c>
      <c r="AL1184" s="40">
        <f>IFERROR(VLOOKUP(Tabela3[[#This Row],[Produto]],Tabela2[],15,0),0)</f>
        <v>0</v>
      </c>
      <c r="AM1184" s="36">
        <f ca="1">(Tabela3[[#This Row],[Custo Usinagem]]+Tabela3[[#This Row],[Custo / Pç]])*1.2</f>
        <v>30.604395363763146</v>
      </c>
      <c r="AN1184" s="36">
        <f ca="1">Tabela3[[#This Row],[Valor Mínimo Venda]]*1.15</f>
        <v>35.195054668327614</v>
      </c>
      <c r="AO1184" s="36">
        <f ca="1">Tabela3[[#This Row],[Tabela 1]]*1.08</f>
        <v>38.010659041793829</v>
      </c>
      <c r="AP1184" s="36">
        <f ca="1">Tabela3[[#This Row],[Tabela 2]]*1.15</f>
        <v>43.712257898062902</v>
      </c>
    </row>
    <row r="1185" spans="1:42">
      <c r="A1185" s="9">
        <v>46149</v>
      </c>
      <c r="B1185" s="9" t="s">
        <v>100</v>
      </c>
      <c r="C1185" s="14">
        <v>9592</v>
      </c>
      <c r="D1185" s="6" t="s">
        <v>46</v>
      </c>
      <c r="E1185" s="6" t="s">
        <v>50</v>
      </c>
      <c r="F1185" s="6">
        <v>12</v>
      </c>
      <c r="G1185" s="15">
        <v>7.2916666666666671E-2</v>
      </c>
      <c r="H1185" s="16">
        <v>0</v>
      </c>
      <c r="I1185" s="35">
        <f ca="1">IFERROR(Tabela3[[#This Row],[Custo Total]]/Tabela3[[#This Row],[Aluminio Util]],0)</f>
        <v>31.882709633755006</v>
      </c>
      <c r="J1185" s="35">
        <f ca="1">Tabela3[[#This Row],[Custo Total]]/Tabela3[[#This Row],[Realizado]]</f>
        <v>19.129625780253001</v>
      </c>
      <c r="K1185" s="37">
        <f>IFERROR(Tabela3[[#This Row],[Qtde Cx Produzida]]/Tabela3[[#This Row],[Tempo]]/24,0)</f>
        <v>6.8571428571428568</v>
      </c>
      <c r="L1185" s="37">
        <f>Tabela3[[#This Row],[Qtde Cx Produzida]]*Tabela3[[#This Row],[Qdt Peça Placa]]</f>
        <v>24</v>
      </c>
      <c r="M1185" s="37">
        <f>Tabela3[[#This Row],[Previsto]]-Tabela3[[#This Row],[Perda Pçs]]</f>
        <v>24</v>
      </c>
      <c r="N1185" s="38">
        <f>IFERROR(Tabela3[[#This Row],[Perda Pçs]]/Tabela3[[#This Row],[Previsto]],0)</f>
        <v>0</v>
      </c>
      <c r="O1185" s="39">
        <f>IFERROR(IF(Tabela3[[#This Row],[Qtde Cx Produzida]] &lt;&gt; 0, Tabela3[[#This Row],[Tempo]] / Tabela3[[#This Row],[Qtde Cx Produzida]], 0),0)</f>
        <v>6.076388888888889E-3</v>
      </c>
      <c r="P1185" s="57">
        <f>IFERROR(Tabela3[[#This Row],[Perda Pçs]]/Tabela3[[#This Row],[Qdt Peça Placa]],0)</f>
        <v>0</v>
      </c>
      <c r="Q1185" s="37">
        <f>IFERROR(Tabela3[[#This Row],[Realizado]]*Tabela3[[#This Row],[Peso Util/Pç]],0)</f>
        <v>14.399999999999999</v>
      </c>
      <c r="R1185" s="37">
        <f>IFERROR(Tabela3[[#This Row],[Peso Total Galho]]*Tabela3[[#This Row],[Qtde Cx Produzida]]*1.055,0)</f>
        <v>27.852</v>
      </c>
      <c r="S1185" s="37">
        <f>(Tabela3[[#This Row],[Aluminio Bruto]]-Tabela3[[#This Row],[Aluminio Util]])*0.9</f>
        <v>12.106800000000002</v>
      </c>
      <c r="T1185" s="37">
        <f>Tabela3[[#This Row],[Aluminio Bruto]]/OleoKGAluminio</f>
        <v>11.717300387709985</v>
      </c>
      <c r="U1185" s="35">
        <f>IFERROR((VLOOKUP(Tabela3[[#This Row],[Moldador]],Tabela1[],5,)+(VLOOKUP(Tabela3[[#This Row],[Ajudante]],Tabela1[],5,))*3.5),0)</f>
        <v>99.95034583333333</v>
      </c>
      <c r="V1185" s="35">
        <f>IFERROR(Tabela3[[#This Row],[Custo M.O. / H]]/((Tabela3[[#This Row],[Realizado]]/Tabela3[[#This Row],[Qdt Peça Placa]])/Tabela3[[#This Row],[Tempo]]/24),)</f>
        <v>14.576092100694444</v>
      </c>
      <c r="W1185" s="35">
        <f>Tabela3[[#This Row],[Custo / Cx Moldada]]*Tabela3[[#This Row],[Qtde Cx Produzida]]</f>
        <v>174.91310520833332</v>
      </c>
      <c r="X1185" s="35">
        <f ca="1">Tabela3[[#This Row],[Aluminio Util]]*Tabela3[[#This Row],[Custo/Kg]]</f>
        <v>253.44</v>
      </c>
      <c r="Y1185" s="35">
        <f>IFERROR(VLOOKUP(Tabela3[[#This Row],[Data]],Tabela461213[],2,1)*(Tabela3[[#This Row],[Qtde Cx Produzida]]*Tabela3[[#This Row],[Qde macho / CX]]*Tabela3[[#This Row],[Peso Macho]]),)</f>
        <v>0</v>
      </c>
      <c r="Z1185" s="35">
        <f>IFERROR(Tabela3[[#This Row],[Qtde Oleo]]*(VLOOKUP(Tabela3[[#This Row],[Data]],CompraOleo[],3,TRUE))*1.05,0)</f>
        <v>30.757913517738711</v>
      </c>
      <c r="AA1185" s="47">
        <f ca="1">(Tabela3[[#This Row],[Custo Oleo]]+Tabela3[[#This Row],[Custo Aluminio]]+Tabela3[[#This Row],[Custo M.O. Total]]+Tabela3[[#This Row],[Custo Machos]])</f>
        <v>459.11101872607202</v>
      </c>
      <c r="AB1185" s="47">
        <f ca="1">Tabela3[[#This Row],[Custo Total]]*Tabela3[[#This Row],[% Perda]]</f>
        <v>0</v>
      </c>
      <c r="AC1185" s="40">
        <f>IFERROR(VLOOKUP(Tabela3[[#This Row],[Produto]],Tabela2[],2,0),0)</f>
        <v>2</v>
      </c>
      <c r="AD1185" s="48">
        <f>IFERROR(VLOOKUP(Tabela3[[#This Row],[Produto]],Tabela2[],3,0),0)</f>
        <v>0.6</v>
      </c>
      <c r="AE1185" s="48">
        <f>IFERROR(VLOOKUP(Tabela3[[#This Row],[Produto]],Tabela2[],4,0),0)</f>
        <v>2.2000000000000002</v>
      </c>
      <c r="AF1185" s="48">
        <f>IFERROR(VLOOKUP(Tabela3[[#This Row],[Produto]],Tabela2[],5,0),0)</f>
        <v>0.90000000000000024</v>
      </c>
      <c r="AG1185" s="48">
        <f>IFERROR(VLOOKUP(Tabela3[[#This Row],[Produto]],Tabela2[],6,0),0)</f>
        <v>0</v>
      </c>
      <c r="AH1185" s="40">
        <f>IFERROR(VLOOKUP(Tabela3[[#This Row],[Produto]],Tabela2[],7,0),0)</f>
        <v>0</v>
      </c>
      <c r="AI1185" s="40">
        <f>IFERROR(VLOOKUP(Tabela3[[#This Row],[Produto]],Tabela2[],8,0),0)</f>
        <v>0</v>
      </c>
      <c r="AJ1185" s="35">
        <f ca="1">IFERROR(VLOOKUP(Tabela3[[#This Row],[Produto]],Tabela2[],13,0),0)</f>
        <v>17.600000000000001</v>
      </c>
      <c r="AK1185" s="48" t="str">
        <f>IFERROR(VLOOKUP(Tabela3[[#This Row],[Produto]],Tabela2[],14,0),0)</f>
        <v>Protec</v>
      </c>
      <c r="AL1185" s="40">
        <f>IFERROR(VLOOKUP(Tabela3[[#This Row],[Produto]],Tabela2[],15,0),0)</f>
        <v>0</v>
      </c>
      <c r="AM1185" s="36">
        <f ca="1">(Tabela3[[#This Row],[Custo Usinagem]]+Tabela3[[#This Row],[Custo / Pç]])*1.2</f>
        <v>22.955550936303599</v>
      </c>
      <c r="AN1185" s="36">
        <f ca="1">Tabela3[[#This Row],[Valor Mínimo Venda]]*1.15</f>
        <v>26.398883576749135</v>
      </c>
      <c r="AO1185" s="36">
        <f ca="1">Tabela3[[#This Row],[Tabela 1]]*1.08</f>
        <v>28.510794262889068</v>
      </c>
      <c r="AP1185" s="36">
        <f ca="1">Tabela3[[#This Row],[Tabela 2]]*1.15</f>
        <v>32.787413402322429</v>
      </c>
    </row>
    <row r="1186" spans="1:42">
      <c r="A1186" s="9">
        <v>46149</v>
      </c>
      <c r="B1186" s="9" t="s">
        <v>101</v>
      </c>
      <c r="C1186" s="14">
        <v>9591</v>
      </c>
      <c r="D1186" s="6" t="s">
        <v>46</v>
      </c>
      <c r="E1186" s="6" t="s">
        <v>44</v>
      </c>
      <c r="F1186" s="6">
        <v>12</v>
      </c>
      <c r="G1186" s="15">
        <v>6.8750000000000006E-2</v>
      </c>
      <c r="H1186" s="16">
        <v>0</v>
      </c>
      <c r="I1186" s="35">
        <f ca="1">IFERROR(Tabela3[[#This Row],[Custo Total]]/Tabela3[[#This Row],[Aluminio Util]],0)</f>
        <v>34.184294341509634</v>
      </c>
      <c r="J1186" s="35">
        <f ca="1">Tabela3[[#This Row],[Custo Total]]/Tabela3[[#This Row],[Realizado]]</f>
        <v>20.510576604905779</v>
      </c>
      <c r="K1186" s="37">
        <f>IFERROR(Tabela3[[#This Row],[Qtde Cx Produzida]]/Tabela3[[#This Row],[Tempo]]/24,0)</f>
        <v>7.2727272727272725</v>
      </c>
      <c r="L1186" s="37">
        <f>Tabela3[[#This Row],[Qtde Cx Produzida]]*Tabela3[[#This Row],[Qdt Peça Placa]]</f>
        <v>24</v>
      </c>
      <c r="M1186" s="37">
        <f>Tabela3[[#This Row],[Previsto]]-Tabela3[[#This Row],[Perda Pçs]]</f>
        <v>24</v>
      </c>
      <c r="N1186" s="38">
        <f>IFERROR(Tabela3[[#This Row],[Perda Pçs]]/Tabela3[[#This Row],[Previsto]],0)</f>
        <v>0</v>
      </c>
      <c r="O1186" s="39">
        <f>IFERROR(IF(Tabela3[[#This Row],[Qtde Cx Produzida]] &lt;&gt; 0, Tabela3[[#This Row],[Tempo]] / Tabela3[[#This Row],[Qtde Cx Produzida]], 0),0)</f>
        <v>5.7291666666666671E-3</v>
      </c>
      <c r="P1186" s="57">
        <f>IFERROR(Tabela3[[#This Row],[Perda Pçs]]/Tabela3[[#This Row],[Qdt Peça Placa]],0)</f>
        <v>0</v>
      </c>
      <c r="Q1186" s="37">
        <f>IFERROR(Tabela3[[#This Row],[Realizado]]*Tabela3[[#This Row],[Peso Util/Pç]],0)</f>
        <v>14.399999999999999</v>
      </c>
      <c r="R1186" s="37">
        <f>IFERROR(Tabela3[[#This Row],[Peso Total Galho]]*Tabela3[[#This Row],[Qtde Cx Produzida]]*1.055,0)</f>
        <v>27.852</v>
      </c>
      <c r="S1186" s="37">
        <f>(Tabela3[[#This Row],[Aluminio Bruto]]-Tabela3[[#This Row],[Aluminio Util]])*0.9</f>
        <v>12.106800000000002</v>
      </c>
      <c r="T1186" s="37">
        <f>Tabela3[[#This Row],[Aluminio Bruto]]/OleoKGAluminio</f>
        <v>11.717300387709985</v>
      </c>
      <c r="U1186" s="35">
        <f>IFERROR((VLOOKUP(Tabela3[[#This Row],[Moldador]],Tabela1[],5,)+(VLOOKUP(Tabela3[[#This Row],[Ajudante]],Tabela1[],5,))*3.5),0)</f>
        <v>126.0945</v>
      </c>
      <c r="V1186" s="35">
        <f>IFERROR(Tabela3[[#This Row],[Custo M.O. / H]]/((Tabela3[[#This Row],[Realizado]]/Tabela3[[#This Row],[Qdt Peça Placa]])/Tabela3[[#This Row],[Tempo]]/24),)</f>
        <v>17.337993749999999</v>
      </c>
      <c r="W1186" s="35">
        <f>Tabela3[[#This Row],[Custo / Cx Moldada]]*Tabela3[[#This Row],[Qtde Cx Produzida]]</f>
        <v>208.055925</v>
      </c>
      <c r="X1186" s="35">
        <f ca="1">Tabela3[[#This Row],[Aluminio Util]]*Tabela3[[#This Row],[Custo/Kg]]</f>
        <v>253.44</v>
      </c>
      <c r="Y1186" s="35">
        <f>IFERROR(VLOOKUP(Tabela3[[#This Row],[Data]],Tabela461213[],2,1)*(Tabela3[[#This Row],[Qtde Cx Produzida]]*Tabela3[[#This Row],[Qde macho / CX]]*Tabela3[[#This Row],[Peso Macho]]),)</f>
        <v>0</v>
      </c>
      <c r="Z1186" s="35">
        <f>IFERROR(Tabela3[[#This Row],[Qtde Oleo]]*(VLOOKUP(Tabela3[[#This Row],[Data]],CompraOleo[],3,TRUE))*1.05,0)</f>
        <v>30.757913517738711</v>
      </c>
      <c r="AA1186" s="47">
        <f ca="1">(Tabela3[[#This Row],[Custo Oleo]]+Tabela3[[#This Row],[Custo Aluminio]]+Tabela3[[#This Row],[Custo M.O. Total]]+Tabela3[[#This Row],[Custo Machos]])</f>
        <v>492.2538385177387</v>
      </c>
      <c r="AB1186" s="47">
        <f ca="1">Tabela3[[#This Row],[Custo Total]]*Tabela3[[#This Row],[% Perda]]</f>
        <v>0</v>
      </c>
      <c r="AC1186" s="40">
        <f>IFERROR(VLOOKUP(Tabela3[[#This Row],[Produto]],Tabela2[],2,0),0)</f>
        <v>2</v>
      </c>
      <c r="AD1186" s="48">
        <f>IFERROR(VLOOKUP(Tabela3[[#This Row],[Produto]],Tabela2[],3,0),0)</f>
        <v>0.6</v>
      </c>
      <c r="AE1186" s="48">
        <f>IFERROR(VLOOKUP(Tabela3[[#This Row],[Produto]],Tabela2[],4,0),0)</f>
        <v>2.2000000000000002</v>
      </c>
      <c r="AF1186" s="48">
        <f>IFERROR(VLOOKUP(Tabela3[[#This Row],[Produto]],Tabela2[],5,0),0)</f>
        <v>0.90000000000000024</v>
      </c>
      <c r="AG1186" s="48">
        <f>IFERROR(VLOOKUP(Tabela3[[#This Row],[Produto]],Tabela2[],6,0),0)</f>
        <v>0</v>
      </c>
      <c r="AH1186" s="40">
        <f>IFERROR(VLOOKUP(Tabela3[[#This Row],[Produto]],Tabela2[],7,0),0)</f>
        <v>0</v>
      </c>
      <c r="AI1186" s="40">
        <f>IFERROR(VLOOKUP(Tabela3[[#This Row],[Produto]],Tabela2[],8,0),0)</f>
        <v>0</v>
      </c>
      <c r="AJ1186" s="35">
        <f ca="1">IFERROR(VLOOKUP(Tabela3[[#This Row],[Produto]],Tabela2[],13,0),0)</f>
        <v>17.600000000000001</v>
      </c>
      <c r="AK1186" s="48" t="str">
        <f>IFERROR(VLOOKUP(Tabela3[[#This Row],[Produto]],Tabela2[],14,0),0)</f>
        <v>Protec</v>
      </c>
      <c r="AL1186" s="40">
        <f>IFERROR(VLOOKUP(Tabela3[[#This Row],[Produto]],Tabela2[],15,0),0)</f>
        <v>0</v>
      </c>
      <c r="AM1186" s="36">
        <f ca="1">(Tabela3[[#This Row],[Custo Usinagem]]+Tabela3[[#This Row],[Custo / Pç]])*1.2</f>
        <v>24.612691925886935</v>
      </c>
      <c r="AN1186" s="36">
        <f ca="1">Tabela3[[#This Row],[Valor Mínimo Venda]]*1.15</f>
        <v>28.304595714769974</v>
      </c>
      <c r="AO1186" s="36">
        <f ca="1">Tabela3[[#This Row],[Tabela 1]]*1.08</f>
        <v>30.568963371951575</v>
      </c>
      <c r="AP1186" s="36">
        <f ca="1">Tabela3[[#This Row],[Tabela 2]]*1.15</f>
        <v>35.154307877744309</v>
      </c>
    </row>
    <row r="1187" spans="1:42">
      <c r="A1187" s="9">
        <v>46149</v>
      </c>
      <c r="B1187" s="9" t="s">
        <v>245</v>
      </c>
      <c r="C1187" s="14">
        <v>9327</v>
      </c>
      <c r="D1187" s="6" t="s">
        <v>46</v>
      </c>
      <c r="E1187" s="6" t="s">
        <v>44</v>
      </c>
      <c r="F1187" s="6">
        <v>10</v>
      </c>
      <c r="G1187" s="15">
        <v>4.583333333333333E-2</v>
      </c>
      <c r="H1187" s="16">
        <v>0</v>
      </c>
      <c r="I1187" s="35">
        <f ca="1">IFERROR(Tabela3[[#This Row],[Custo Total]]/Tabela3[[#This Row],[Aluminio Util]],0)</f>
        <v>28.06239586444639</v>
      </c>
      <c r="J1187" s="35">
        <f ca="1">Tabela3[[#This Row],[Custo Total]]/Tabela3[[#This Row],[Realizado]]</f>
        <v>9.3167154269962023</v>
      </c>
      <c r="K1187" s="37">
        <f>IFERROR(Tabela3[[#This Row],[Qtde Cx Produzida]]/Tabela3[[#This Row],[Tempo]]/24,0)</f>
        <v>9.0909090909090917</v>
      </c>
      <c r="L1187" s="37">
        <f>Tabela3[[#This Row],[Qtde Cx Produzida]]*Tabela3[[#This Row],[Qdt Peça Placa]]</f>
        <v>40</v>
      </c>
      <c r="M1187" s="37">
        <f>Tabela3[[#This Row],[Previsto]]-Tabela3[[#This Row],[Perda Pçs]]</f>
        <v>40</v>
      </c>
      <c r="N1187" s="38">
        <f>IFERROR(Tabela3[[#This Row],[Perda Pçs]]/Tabela3[[#This Row],[Previsto]],0)</f>
        <v>0</v>
      </c>
      <c r="O1187" s="39">
        <f>IFERROR(IF(Tabela3[[#This Row],[Qtde Cx Produzida]] &lt;&gt; 0, Tabela3[[#This Row],[Tempo]] / Tabela3[[#This Row],[Qtde Cx Produzida]], 0),0)</f>
        <v>4.5833333333333334E-3</v>
      </c>
      <c r="P1187" s="57">
        <f>IFERROR(Tabela3[[#This Row],[Perda Pçs]]/Tabela3[[#This Row],[Qdt Peça Placa]],0)</f>
        <v>0</v>
      </c>
      <c r="Q1187" s="37">
        <f>IFERROR(Tabela3[[#This Row],[Realizado]]*Tabela3[[#This Row],[Peso Util/Pç]],0)</f>
        <v>13.280000000000001</v>
      </c>
      <c r="R1187" s="37">
        <f>IFERROR(Tabela3[[#This Row],[Peso Total Galho]]*Tabela3[[#This Row],[Qtde Cx Produzida]]*1.055,0)</f>
        <v>24.264999999999997</v>
      </c>
      <c r="S1187" s="37">
        <f>(Tabela3[[#This Row],[Aluminio Bruto]]-Tabela3[[#This Row],[Aluminio Util]])*0.9</f>
        <v>9.8864999999999963</v>
      </c>
      <c r="T1187" s="37">
        <f>Tabela3[[#This Row],[Aluminio Bruto]]/OleoKGAluminio</f>
        <v>10.208254125656424</v>
      </c>
      <c r="U1187" s="35">
        <f>IFERROR((VLOOKUP(Tabela3[[#This Row],[Moldador]],Tabela1[],5,)+(VLOOKUP(Tabela3[[#This Row],[Ajudante]],Tabela1[],5,))*3.5),0)</f>
        <v>126.0945</v>
      </c>
      <c r="V1187" s="35">
        <f>IFERROR(Tabela3[[#This Row],[Custo M.O. / H]]/((Tabela3[[#This Row],[Realizado]]/Tabela3[[#This Row],[Qdt Peça Placa]])/Tabela3[[#This Row],[Tempo]]/24),)</f>
        <v>13.870394999999998</v>
      </c>
      <c r="W1187" s="35">
        <f>Tabela3[[#This Row],[Custo / Cx Moldada]]*Tabela3[[#This Row],[Qtde Cx Produzida]]</f>
        <v>138.70394999999999</v>
      </c>
      <c r="X1187" s="35">
        <f ca="1">Tabela3[[#This Row],[Aluminio Util]]*Tabela3[[#This Row],[Custo/Kg]]</f>
        <v>207.16800000000003</v>
      </c>
      <c r="Y1187" s="35">
        <f>IFERROR(VLOOKUP(Tabela3[[#This Row],[Data]],Tabela461213[],2,1)*(Tabela3[[#This Row],[Qtde Cx Produzida]]*Tabela3[[#This Row],[Qde macho / CX]]*Tabela3[[#This Row],[Peso Macho]]),)</f>
        <v>0</v>
      </c>
      <c r="Z1187" s="35">
        <f>IFERROR(Tabela3[[#This Row],[Qtde Oleo]]*(VLOOKUP(Tabela3[[#This Row],[Data]],CompraOleo[],3,TRUE))*1.05,0)</f>
        <v>26.796667079848113</v>
      </c>
      <c r="AA1187" s="47">
        <f ca="1">(Tabela3[[#This Row],[Custo Oleo]]+Tabela3[[#This Row],[Custo Aluminio]]+Tabela3[[#This Row],[Custo M.O. Total]]+Tabela3[[#This Row],[Custo Machos]])</f>
        <v>372.6686170798481</v>
      </c>
      <c r="AB1187" s="47">
        <f ca="1">Tabela3[[#This Row],[Custo Total]]*Tabela3[[#This Row],[% Perda]]</f>
        <v>0</v>
      </c>
      <c r="AC1187" s="40">
        <f>IFERROR(VLOOKUP(Tabela3[[#This Row],[Produto]],Tabela2[],2,0),0)</f>
        <v>4</v>
      </c>
      <c r="AD1187" s="48">
        <f>IFERROR(VLOOKUP(Tabela3[[#This Row],[Produto]],Tabela2[],3,0),0)</f>
        <v>0.33200000000000002</v>
      </c>
      <c r="AE1187" s="48">
        <f>IFERROR(VLOOKUP(Tabela3[[#This Row],[Produto]],Tabela2[],4,0),0)</f>
        <v>2.2999999999999998</v>
      </c>
      <c r="AF1187" s="48">
        <f>IFERROR(VLOOKUP(Tabela3[[#This Row],[Produto]],Tabela2[],5,0),0)</f>
        <v>0.8747999999999998</v>
      </c>
      <c r="AG1187" s="48">
        <f>IFERROR(VLOOKUP(Tabela3[[#This Row],[Produto]],Tabela2[],6,0),0)</f>
        <v>0</v>
      </c>
      <c r="AH1187" s="40">
        <f>IFERROR(VLOOKUP(Tabela3[[#This Row],[Produto]],Tabela2[],7,0),0)</f>
        <v>0</v>
      </c>
      <c r="AI1187" s="40">
        <f>IFERROR(VLOOKUP(Tabela3[[#This Row],[Produto]],Tabela2[],8,0),0)</f>
        <v>0</v>
      </c>
      <c r="AJ1187" s="35">
        <f ca="1">IFERROR(VLOOKUP(Tabela3[[#This Row],[Produto]],Tabela2[],13,0),0)</f>
        <v>15.600000000000001</v>
      </c>
      <c r="AK1187" s="48" t="str">
        <f>IFERROR(VLOOKUP(Tabela3[[#This Row],[Produto]],Tabela2[],14,0),0)</f>
        <v>Senun</v>
      </c>
      <c r="AL1187" s="40">
        <f>IFERROR(VLOOKUP(Tabela3[[#This Row],[Produto]],Tabela2[],15,0),0)</f>
        <v>3.5</v>
      </c>
      <c r="AM1187" s="36">
        <f ca="1">(Tabela3[[#This Row],[Custo Usinagem]]+Tabela3[[#This Row],[Custo / Pç]])*1.2</f>
        <v>15.380058512395442</v>
      </c>
      <c r="AN1187" s="36">
        <f ca="1">Tabela3[[#This Row],[Valor Mínimo Venda]]*1.15</f>
        <v>17.687067289254756</v>
      </c>
      <c r="AO1187" s="36">
        <f ca="1">Tabela3[[#This Row],[Tabela 1]]*1.08</f>
        <v>19.102032672395136</v>
      </c>
      <c r="AP1187" s="36">
        <f ca="1">Tabela3[[#This Row],[Tabela 2]]*1.15</f>
        <v>21.967337573254405</v>
      </c>
    </row>
    <row r="1188" spans="1:42">
      <c r="A1188" s="9">
        <v>46149</v>
      </c>
      <c r="B1188" s="9" t="s">
        <v>245</v>
      </c>
      <c r="C1188" s="14">
        <v>9327</v>
      </c>
      <c r="D1188" s="6" t="s">
        <v>44</v>
      </c>
      <c r="E1188" s="6" t="s">
        <v>47</v>
      </c>
      <c r="F1188" s="6">
        <v>46</v>
      </c>
      <c r="G1188" s="15">
        <v>0.19027777777777777</v>
      </c>
      <c r="H1188" s="16">
        <v>0</v>
      </c>
      <c r="I1188" s="35">
        <f ca="1">IFERROR(Tabela3[[#This Row],[Custo Total]]/Tabela3[[#This Row],[Aluminio Util]],0)</f>
        <v>25.08966378349578</v>
      </c>
      <c r="J1188" s="35">
        <f ca="1">Tabela3[[#This Row],[Custo Total]]/Tabela3[[#This Row],[Realizado]]</f>
        <v>8.3297683761205992</v>
      </c>
      <c r="K1188" s="37">
        <f>IFERROR(Tabela3[[#This Row],[Qtde Cx Produzida]]/Tabela3[[#This Row],[Tempo]]/24,0)</f>
        <v>10.072992700729928</v>
      </c>
      <c r="L1188" s="37">
        <f>Tabela3[[#This Row],[Qtde Cx Produzida]]*Tabela3[[#This Row],[Qdt Peça Placa]]</f>
        <v>184</v>
      </c>
      <c r="M1188" s="37">
        <f>Tabela3[[#This Row],[Previsto]]-Tabela3[[#This Row],[Perda Pçs]]</f>
        <v>184</v>
      </c>
      <c r="N1188" s="38">
        <f>IFERROR(Tabela3[[#This Row],[Perda Pçs]]/Tabela3[[#This Row],[Previsto]],0)</f>
        <v>0</v>
      </c>
      <c r="O1188" s="39">
        <f>IFERROR(IF(Tabela3[[#This Row],[Qtde Cx Produzida]] &lt;&gt; 0, Tabela3[[#This Row],[Tempo]] / Tabela3[[#This Row],[Qtde Cx Produzida]], 0),0)</f>
        <v>4.1364734299516905E-3</v>
      </c>
      <c r="P1188" s="57">
        <f>IFERROR(Tabela3[[#This Row],[Perda Pçs]]/Tabela3[[#This Row],[Qdt Peça Placa]],0)</f>
        <v>0</v>
      </c>
      <c r="Q1188" s="37">
        <f>IFERROR(Tabela3[[#This Row],[Realizado]]*Tabela3[[#This Row],[Peso Util/Pç]],0)</f>
        <v>61.088000000000001</v>
      </c>
      <c r="R1188" s="37">
        <f>IFERROR(Tabela3[[#This Row],[Peso Total Galho]]*Tabela3[[#This Row],[Qtde Cx Produzida]]*1.055,0)</f>
        <v>111.61899999999999</v>
      </c>
      <c r="S1188" s="37">
        <f>(Tabela3[[#This Row],[Aluminio Bruto]]-Tabela3[[#This Row],[Aluminio Util]])*0.9</f>
        <v>45.477899999999984</v>
      </c>
      <c r="T1188" s="37">
        <f>Tabela3[[#This Row],[Aluminio Bruto]]/OleoKGAluminio</f>
        <v>46.957968978019558</v>
      </c>
      <c r="U1188" s="35">
        <f>IFERROR((VLOOKUP(Tabela3[[#This Row],[Moldador]],Tabela1[],5,)+(VLOOKUP(Tabela3[[#This Row],[Ajudante]],Tabela1[],5,))*3.5),0)</f>
        <v>99.95034583333333</v>
      </c>
      <c r="V1188" s="35">
        <f>IFERROR(Tabela3[[#This Row],[Custo M.O. / H]]/((Tabela3[[#This Row],[Realizado]]/Tabela3[[#This Row],[Qdt Peça Placa]])/Tabela3[[#This Row],[Tempo]]/24),)</f>
        <v>9.9226067964975826</v>
      </c>
      <c r="W1188" s="35">
        <f>Tabela3[[#This Row],[Custo / Cx Moldada]]*Tabela3[[#This Row],[Qtde Cx Produzida]]</f>
        <v>456.43991263888881</v>
      </c>
      <c r="X1188" s="35">
        <f ca="1">Tabela3[[#This Row],[Aluminio Util]]*Tabela3[[#This Row],[Custo/Kg]]</f>
        <v>952.97280000000012</v>
      </c>
      <c r="Y1188" s="35">
        <f>IFERROR(VLOOKUP(Tabela3[[#This Row],[Data]],Tabela461213[],2,1)*(Tabela3[[#This Row],[Qtde Cx Produzida]]*Tabela3[[#This Row],[Qde macho / CX]]*Tabela3[[#This Row],[Peso Macho]]),)</f>
        <v>0</v>
      </c>
      <c r="Z1188" s="35">
        <f>IFERROR(Tabela3[[#This Row],[Qtde Oleo]]*(VLOOKUP(Tabela3[[#This Row],[Data]],CompraOleo[],3,TRUE))*1.05,0)</f>
        <v>123.26466856730134</v>
      </c>
      <c r="AA1188" s="47">
        <f ca="1">(Tabela3[[#This Row],[Custo Oleo]]+Tabela3[[#This Row],[Custo Aluminio]]+Tabela3[[#This Row],[Custo M.O. Total]]+Tabela3[[#This Row],[Custo Machos]])</f>
        <v>1532.6773812061901</v>
      </c>
      <c r="AB1188" s="47">
        <f ca="1">Tabela3[[#This Row],[Custo Total]]*Tabela3[[#This Row],[% Perda]]</f>
        <v>0</v>
      </c>
      <c r="AC1188" s="40">
        <f>IFERROR(VLOOKUP(Tabela3[[#This Row],[Produto]],Tabela2[],2,0),0)</f>
        <v>4</v>
      </c>
      <c r="AD1188" s="48">
        <f>IFERROR(VLOOKUP(Tabela3[[#This Row],[Produto]],Tabela2[],3,0),0)</f>
        <v>0.33200000000000002</v>
      </c>
      <c r="AE1188" s="48">
        <f>IFERROR(VLOOKUP(Tabela3[[#This Row],[Produto]],Tabela2[],4,0),0)</f>
        <v>2.2999999999999998</v>
      </c>
      <c r="AF1188" s="48">
        <f>IFERROR(VLOOKUP(Tabela3[[#This Row],[Produto]],Tabela2[],5,0),0)</f>
        <v>0.8747999999999998</v>
      </c>
      <c r="AG1188" s="48">
        <f>IFERROR(VLOOKUP(Tabela3[[#This Row],[Produto]],Tabela2[],6,0),0)</f>
        <v>0</v>
      </c>
      <c r="AH1188" s="40">
        <f>IFERROR(VLOOKUP(Tabela3[[#This Row],[Produto]],Tabela2[],7,0),0)</f>
        <v>0</v>
      </c>
      <c r="AI1188" s="40">
        <f>IFERROR(VLOOKUP(Tabela3[[#This Row],[Produto]],Tabela2[],8,0),0)</f>
        <v>0</v>
      </c>
      <c r="AJ1188" s="35">
        <f ca="1">IFERROR(VLOOKUP(Tabela3[[#This Row],[Produto]],Tabela2[],13,0),0)</f>
        <v>15.600000000000001</v>
      </c>
      <c r="AK1188" s="48" t="str">
        <f>IFERROR(VLOOKUP(Tabela3[[#This Row],[Produto]],Tabela2[],14,0),0)</f>
        <v>Senun</v>
      </c>
      <c r="AL1188" s="40">
        <f>IFERROR(VLOOKUP(Tabela3[[#This Row],[Produto]],Tabela2[],15,0),0)</f>
        <v>3.5</v>
      </c>
      <c r="AM1188" s="36">
        <f ca="1">(Tabela3[[#This Row],[Custo Usinagem]]+Tabela3[[#This Row],[Custo / Pç]])*1.2</f>
        <v>14.195722051344719</v>
      </c>
      <c r="AN1188" s="36">
        <f ca="1">Tabela3[[#This Row],[Valor Mínimo Venda]]*1.15</f>
        <v>16.325080359046424</v>
      </c>
      <c r="AO1188" s="36">
        <f ca="1">Tabela3[[#This Row],[Tabela 1]]*1.08</f>
        <v>17.63108678777014</v>
      </c>
      <c r="AP1188" s="36">
        <f ca="1">Tabela3[[#This Row],[Tabela 2]]*1.15</f>
        <v>20.275749805935661</v>
      </c>
    </row>
    <row r="1189" spans="1:42">
      <c r="A1189" s="9">
        <v>46150</v>
      </c>
      <c r="B1189" s="9" t="s">
        <v>282</v>
      </c>
      <c r="C1189" s="14">
        <v>9594</v>
      </c>
      <c r="D1189" s="6" t="s">
        <v>46</v>
      </c>
      <c r="E1189" s="6" t="s">
        <v>44</v>
      </c>
      <c r="F1189" s="6">
        <v>54</v>
      </c>
      <c r="G1189" s="15">
        <v>0.32430555555555557</v>
      </c>
      <c r="H1189" s="16">
        <v>20</v>
      </c>
      <c r="I1189" s="35">
        <f ca="1">IFERROR(Tabela3[[#This Row],[Custo Total]]/Tabela3[[#This Row],[Aluminio Util]],0)</f>
        <v>45.808326991033056</v>
      </c>
      <c r="J1189" s="35">
        <f ca="1">Tabela3[[#This Row],[Custo Total]]/Tabela3[[#This Row],[Realizado]]</f>
        <v>1.9239497336233886</v>
      </c>
      <c r="K1189" s="37">
        <f>IFERROR(Tabela3[[#This Row],[Qtde Cx Produzida]]/Tabela3[[#This Row],[Tempo]]/24,0)</f>
        <v>6.9379014989293362</v>
      </c>
      <c r="L1189" s="37">
        <f>Tabela3[[#This Row],[Qtde Cx Produzida]]*Tabela3[[#This Row],[Qdt Peça Placa]]</f>
        <v>972</v>
      </c>
      <c r="M1189" s="37">
        <f>Tabela3[[#This Row],[Previsto]]-Tabela3[[#This Row],[Perda Pçs]]</f>
        <v>952</v>
      </c>
      <c r="N1189" s="38">
        <f>IFERROR(Tabela3[[#This Row],[Perda Pçs]]/Tabela3[[#This Row],[Previsto]],0)</f>
        <v>2.0576131687242798E-2</v>
      </c>
      <c r="O1189" s="39">
        <f>IFERROR(IF(Tabela3[[#This Row],[Qtde Cx Produzida]] &lt;&gt; 0, Tabela3[[#This Row],[Tempo]] / Tabela3[[#This Row],[Qtde Cx Produzida]], 0),0)</f>
        <v>6.0056584362139917E-3</v>
      </c>
      <c r="P1189" s="57">
        <f>IFERROR(Tabela3[[#This Row],[Perda Pçs]]/Tabela3[[#This Row],[Qdt Peça Placa]],0)</f>
        <v>1.1111111111111112</v>
      </c>
      <c r="Q1189" s="37">
        <f>IFERROR(Tabela3[[#This Row],[Realizado]]*Tabela3[[#This Row],[Peso Util/Pç]],0)</f>
        <v>39.984000000000002</v>
      </c>
      <c r="R1189" s="37">
        <f>IFERROR(Tabela3[[#This Row],[Peso Total Galho]]*Tabela3[[#This Row],[Qtde Cx Produzida]]*1.055,0)</f>
        <v>113.94</v>
      </c>
      <c r="S1189" s="37">
        <f>(Tabela3[[#This Row],[Aluminio Bruto]]-Tabela3[[#This Row],[Aluminio Util]])*0.9</f>
        <v>66.560399999999987</v>
      </c>
      <c r="T1189" s="37">
        <f>Tabela3[[#This Row],[Aluminio Bruto]]/OleoKGAluminio</f>
        <v>47.934410676995391</v>
      </c>
      <c r="U1189" s="35">
        <f>IFERROR((VLOOKUP(Tabela3[[#This Row],[Moldador]],Tabela1[],5,)+(VLOOKUP(Tabela3[[#This Row],[Ajudante]],Tabela1[],5,))*3.5),0)</f>
        <v>126.0945</v>
      </c>
      <c r="V1189" s="35">
        <f>IFERROR(Tabela3[[#This Row],[Custo M.O. / H]]/((Tabela3[[#This Row],[Realizado]]/Tabela3[[#This Row],[Qdt Peça Placa]])/Tabela3[[#This Row],[Tempo]]/24),)</f>
        <v>18.556554044117647</v>
      </c>
      <c r="W1189" s="35">
        <f>Tabela3[[#This Row],[Custo / Cx Moldada]]*Tabela3[[#This Row],[Qtde Cx Produzida]]</f>
        <v>1002.0539183823529</v>
      </c>
      <c r="X1189" s="35">
        <f ca="1">Tabela3[[#This Row],[Aluminio Util]]*Tabela3[[#This Row],[Custo/Kg]]</f>
        <v>703.71840000000009</v>
      </c>
      <c r="Y1189" s="35">
        <f>IFERROR(VLOOKUP(Tabela3[[#This Row],[Data]],Tabela461213[],2,1)*(Tabela3[[#This Row],[Qtde Cx Produzida]]*Tabela3[[#This Row],[Qde macho / CX]]*Tabela3[[#This Row],[Peso Macho]]),)</f>
        <v>0</v>
      </c>
      <c r="Z1189" s="35">
        <f>IFERROR(Tabela3[[#This Row],[Qtde Oleo]]*(VLOOKUP(Tabela3[[#This Row],[Data]],CompraOleo[],3,TRUE))*1.05,0)</f>
        <v>125.8278280271129</v>
      </c>
      <c r="AA1189" s="47">
        <f ca="1">(Tabela3[[#This Row],[Custo Oleo]]+Tabela3[[#This Row],[Custo Aluminio]]+Tabela3[[#This Row],[Custo M.O. Total]]+Tabela3[[#This Row],[Custo Machos]])</f>
        <v>1831.6001464094659</v>
      </c>
      <c r="AB1189" s="47">
        <f ca="1">Tabela3[[#This Row],[Custo Total]]*Tabela3[[#This Row],[% Perda]]</f>
        <v>37.68724581089436</v>
      </c>
      <c r="AC1189" s="40">
        <f>IFERROR(VLOOKUP(Tabela3[[#This Row],[Produto]],Tabela2[],2,0),0)</f>
        <v>18</v>
      </c>
      <c r="AD1189" s="48">
        <f>IFERROR(VLOOKUP(Tabela3[[#This Row],[Produto]],Tabela2[],3,0),0)</f>
        <v>4.2000000000000003E-2</v>
      </c>
      <c r="AE1189" s="48">
        <f>IFERROR(VLOOKUP(Tabela3[[#This Row],[Produto]],Tabela2[],4,0),0)</f>
        <v>2</v>
      </c>
      <c r="AF1189" s="48">
        <f>IFERROR(VLOOKUP(Tabela3[[#This Row],[Produto]],Tabela2[],5,0),0)</f>
        <v>1.1195999999999999</v>
      </c>
      <c r="AG1189" s="48">
        <f>IFERROR(VLOOKUP(Tabela3[[#This Row],[Produto]],Tabela2[],6,0),0)</f>
        <v>0</v>
      </c>
      <c r="AH1189" s="40">
        <f>IFERROR(VLOOKUP(Tabela3[[#This Row],[Produto]],Tabela2[],7,0),0)</f>
        <v>0</v>
      </c>
      <c r="AI1189" s="40">
        <f>IFERROR(VLOOKUP(Tabela3[[#This Row],[Produto]],Tabela2[],8,0),0)</f>
        <v>0</v>
      </c>
      <c r="AJ1189" s="35">
        <f ca="1">IFERROR(VLOOKUP(Tabela3[[#This Row],[Produto]],Tabela2[],13,0),0)</f>
        <v>17.600000000000001</v>
      </c>
      <c r="AK1189" s="48" t="str">
        <f>IFERROR(VLOOKUP(Tabela3[[#This Row],[Produto]],Tabela2[],14,0),0)</f>
        <v>DIGITROL</v>
      </c>
      <c r="AL1189" s="40">
        <f>IFERROR(VLOOKUP(Tabela3[[#This Row],[Produto]],Tabela2[],15,0),0)</f>
        <v>0</v>
      </c>
      <c r="AM1189" s="36">
        <f ca="1">(Tabela3[[#This Row],[Custo Usinagem]]+Tabela3[[#This Row],[Custo / Pç]])*1.2</f>
        <v>2.3087396803480664</v>
      </c>
      <c r="AN1189" s="36">
        <f ca="1">Tabela3[[#This Row],[Valor Mínimo Venda]]*1.15</f>
        <v>2.6550506324002763</v>
      </c>
      <c r="AO1189" s="36">
        <f ca="1">Tabela3[[#This Row],[Tabela 1]]*1.08</f>
        <v>2.8674546829922987</v>
      </c>
      <c r="AP1189" s="36">
        <f ca="1">Tabela3[[#This Row],[Tabela 2]]*1.15</f>
        <v>3.2975728854411432</v>
      </c>
    </row>
    <row r="1190" spans="1:42">
      <c r="A1190" s="9">
        <v>46150</v>
      </c>
      <c r="B1190" s="9" t="s">
        <v>236</v>
      </c>
      <c r="C1190" s="14">
        <v>9598</v>
      </c>
      <c r="D1190" s="6" t="s">
        <v>46</v>
      </c>
      <c r="E1190" s="6" t="s">
        <v>44</v>
      </c>
      <c r="F1190" s="6">
        <v>3</v>
      </c>
      <c r="G1190" s="15">
        <v>1.7361111111111112E-2</v>
      </c>
      <c r="H1190" s="16">
        <v>0</v>
      </c>
      <c r="I1190" s="35">
        <f ca="1">IFERROR(Tabela3[[#This Row],[Custo Total]]/Tabela3[[#This Row],[Aluminio Util]],0)</f>
        <v>26.648764338128256</v>
      </c>
      <c r="J1190" s="35">
        <f ca="1">Tabela3[[#This Row],[Custo Total]]/Tabela3[[#This Row],[Realizado]]</f>
        <v>8.0479268301147329</v>
      </c>
      <c r="K1190" s="37">
        <f>IFERROR(Tabela3[[#This Row],[Qtde Cx Produzida]]/Tabela3[[#This Row],[Tempo]]/24,0)</f>
        <v>7.1999999999999993</v>
      </c>
      <c r="L1190" s="37">
        <f>Tabela3[[#This Row],[Qtde Cx Produzida]]*Tabela3[[#This Row],[Qdt Peça Placa]]</f>
        <v>18</v>
      </c>
      <c r="M1190" s="37">
        <f>Tabela3[[#This Row],[Previsto]]-Tabela3[[#This Row],[Perda Pçs]]</f>
        <v>18</v>
      </c>
      <c r="N1190" s="38">
        <f>IFERROR(Tabela3[[#This Row],[Perda Pçs]]/Tabela3[[#This Row],[Previsto]],0)</f>
        <v>0</v>
      </c>
      <c r="O1190" s="39">
        <f>IFERROR(IF(Tabela3[[#This Row],[Qtde Cx Produzida]] &lt;&gt; 0, Tabela3[[#This Row],[Tempo]] / Tabela3[[#This Row],[Qtde Cx Produzida]], 0),0)</f>
        <v>5.7870370370370376E-3</v>
      </c>
      <c r="P1190" s="57">
        <f>IFERROR(Tabela3[[#This Row],[Perda Pçs]]/Tabela3[[#This Row],[Qdt Peça Placa]],0)</f>
        <v>0</v>
      </c>
      <c r="Q1190" s="37">
        <f>IFERROR(Tabela3[[#This Row],[Realizado]]*Tabela3[[#This Row],[Peso Util/Pç]],0)</f>
        <v>5.4359999999999999</v>
      </c>
      <c r="R1190" s="37">
        <f>IFERROR(Tabela3[[#This Row],[Peso Total Galho]]*Tabela3[[#This Row],[Qtde Cx Produzida]]*1.055,0)</f>
        <v>6.8110800000000005</v>
      </c>
      <c r="S1190" s="37">
        <f>(Tabela3[[#This Row],[Aluminio Bruto]]-Tabela3[[#This Row],[Aluminio Util]])*0.9</f>
        <v>1.2375720000000006</v>
      </c>
      <c r="T1190" s="37">
        <f>Tabela3[[#This Row],[Aluminio Bruto]]/OleoKGAluminio</f>
        <v>2.8654125493581692</v>
      </c>
      <c r="U1190" s="35">
        <f>IFERROR((VLOOKUP(Tabela3[[#This Row],[Moldador]],Tabela1[],5,)+(VLOOKUP(Tabela3[[#This Row],[Ajudante]],Tabela1[],5,))*3.5),0)</f>
        <v>126.0945</v>
      </c>
      <c r="V1190" s="35">
        <f>IFERROR(Tabela3[[#This Row],[Custo M.O. / H]]/((Tabela3[[#This Row],[Realizado]]/Tabela3[[#This Row],[Qdt Peça Placa]])/Tabela3[[#This Row],[Tempo]]/24),)</f>
        <v>17.513125000000002</v>
      </c>
      <c r="W1190" s="35">
        <f>Tabela3[[#This Row],[Custo / Cx Moldada]]*Tabela3[[#This Row],[Qtde Cx Produzida]]</f>
        <v>52.539375000000007</v>
      </c>
      <c r="X1190" s="35">
        <f ca="1">Tabela3[[#This Row],[Aluminio Util]]*Tabela3[[#This Row],[Custo/Kg]]</f>
        <v>84.801600000000008</v>
      </c>
      <c r="Y1190" s="35">
        <f>IFERROR(VLOOKUP(Tabela3[[#This Row],[Data]],Tabela461213[],2,1)*(Tabela3[[#This Row],[Qtde Cx Produzida]]*Tabela3[[#This Row],[Qde macho / CX]]*Tabela3[[#This Row],[Peso Macho]]),)</f>
        <v>0</v>
      </c>
      <c r="Z1190" s="35">
        <f>IFERROR(Tabela3[[#This Row],[Qtde Oleo]]*(VLOOKUP(Tabela3[[#This Row],[Data]],CompraOleo[],3,TRUE))*1.05,0)</f>
        <v>7.521707942065194</v>
      </c>
      <c r="AA1190" s="47">
        <f ca="1">(Tabela3[[#This Row],[Custo Oleo]]+Tabela3[[#This Row],[Custo Aluminio]]+Tabela3[[#This Row],[Custo M.O. Total]]+Tabela3[[#This Row],[Custo Machos]])</f>
        <v>144.86268294206519</v>
      </c>
      <c r="AB1190" s="47">
        <f ca="1">Tabela3[[#This Row],[Custo Total]]*Tabela3[[#This Row],[% Perda]]</f>
        <v>0</v>
      </c>
      <c r="AC1190" s="40">
        <f>IFERROR(VLOOKUP(Tabela3[[#This Row],[Produto]],Tabela2[],2,0),0)</f>
        <v>6</v>
      </c>
      <c r="AD1190" s="48">
        <f>IFERROR(VLOOKUP(Tabela3[[#This Row],[Produto]],Tabela2[],3,0),0)</f>
        <v>0.30199999999999999</v>
      </c>
      <c r="AE1190" s="48">
        <f>IFERROR(VLOOKUP(Tabela3[[#This Row],[Produto]],Tabela2[],4,0),0)</f>
        <v>2.1520000000000001</v>
      </c>
      <c r="AF1190" s="48">
        <f>IFERROR(VLOOKUP(Tabela3[[#This Row],[Produto]],Tabela2[],5,0),0)</f>
        <v>0.30600000000000027</v>
      </c>
      <c r="AG1190" s="48">
        <f>IFERROR(VLOOKUP(Tabela3[[#This Row],[Produto]],Tabela2[],6,0),0)</f>
        <v>0</v>
      </c>
      <c r="AH1190" s="40">
        <f>IFERROR(VLOOKUP(Tabela3[[#This Row],[Produto]],Tabela2[],7,0),0)</f>
        <v>0</v>
      </c>
      <c r="AI1190" s="40">
        <f>IFERROR(VLOOKUP(Tabela3[[#This Row],[Produto]],Tabela2[],8,0),0)</f>
        <v>0</v>
      </c>
      <c r="AJ1190" s="35">
        <f ca="1">IFERROR(VLOOKUP(Tabela3[[#This Row],[Produto]],Tabela2[],13,0),0)</f>
        <v>15.600000000000001</v>
      </c>
      <c r="AK1190" s="48" t="str">
        <f>IFERROR(VLOOKUP(Tabela3[[#This Row],[Produto]],Tabela2[],14,0),0)</f>
        <v>Senun</v>
      </c>
      <c r="AL1190" s="40">
        <f>IFERROR(VLOOKUP(Tabela3[[#This Row],[Produto]],Tabela2[],15,0),0)</f>
        <v>4</v>
      </c>
      <c r="AM1190" s="36">
        <f ca="1">(Tabela3[[#This Row],[Custo Usinagem]]+Tabela3[[#This Row],[Custo / Pç]])*1.2</f>
        <v>14.457512196137678</v>
      </c>
      <c r="AN1190" s="36">
        <f ca="1">Tabela3[[#This Row],[Valor Mínimo Venda]]*1.15</f>
        <v>16.626139025558327</v>
      </c>
      <c r="AO1190" s="36">
        <f ca="1">Tabela3[[#This Row],[Tabela 1]]*1.08</f>
        <v>17.956230147602994</v>
      </c>
      <c r="AP1190" s="36">
        <f ca="1">Tabela3[[#This Row],[Tabela 2]]*1.15</f>
        <v>20.649664669743441</v>
      </c>
    </row>
    <row r="1191" spans="1:42">
      <c r="A1191" s="9">
        <v>46150</v>
      </c>
      <c r="B1191" s="9" t="s">
        <v>236</v>
      </c>
      <c r="C1191" s="14">
        <v>9598</v>
      </c>
      <c r="D1191" s="6" t="s">
        <v>44</v>
      </c>
      <c r="E1191" s="6" t="s">
        <v>47</v>
      </c>
      <c r="F1191" s="6">
        <v>14</v>
      </c>
      <c r="G1191" s="15">
        <v>6.7361111111111108E-2</v>
      </c>
      <c r="H1191" s="16">
        <v>0</v>
      </c>
      <c r="I1191" s="35">
        <f ca="1">IFERROR(Tabela3[[#This Row],[Custo Total]]/Tabela3[[#This Row],[Aluminio Util]],0)</f>
        <v>23.353378120474346</v>
      </c>
      <c r="J1191" s="35">
        <f ca="1">Tabela3[[#This Row],[Custo Total]]/Tabela3[[#This Row],[Realizado]]</f>
        <v>7.0527201923832523</v>
      </c>
      <c r="K1191" s="37">
        <f>IFERROR(Tabela3[[#This Row],[Qtde Cx Produzida]]/Tabela3[[#This Row],[Tempo]]/24,0)</f>
        <v>8.6597938144329891</v>
      </c>
      <c r="L1191" s="37">
        <f>Tabela3[[#This Row],[Qtde Cx Produzida]]*Tabela3[[#This Row],[Qdt Peça Placa]]</f>
        <v>84</v>
      </c>
      <c r="M1191" s="37">
        <f>Tabela3[[#This Row],[Previsto]]-Tabela3[[#This Row],[Perda Pçs]]</f>
        <v>84</v>
      </c>
      <c r="N1191" s="38">
        <f>IFERROR(Tabela3[[#This Row],[Perda Pçs]]/Tabela3[[#This Row],[Previsto]],0)</f>
        <v>0</v>
      </c>
      <c r="O1191" s="39">
        <f>IFERROR(IF(Tabela3[[#This Row],[Qtde Cx Produzida]] &lt;&gt; 0, Tabela3[[#This Row],[Tempo]] / Tabela3[[#This Row],[Qtde Cx Produzida]], 0),0)</f>
        <v>4.8115079365079359E-3</v>
      </c>
      <c r="P1191" s="57">
        <f>IFERROR(Tabela3[[#This Row],[Perda Pçs]]/Tabela3[[#This Row],[Qdt Peça Placa]],0)</f>
        <v>0</v>
      </c>
      <c r="Q1191" s="37">
        <f>IFERROR(Tabela3[[#This Row],[Realizado]]*Tabela3[[#This Row],[Peso Util/Pç]],0)</f>
        <v>25.367999999999999</v>
      </c>
      <c r="R1191" s="37">
        <f>IFERROR(Tabela3[[#This Row],[Peso Total Galho]]*Tabela3[[#This Row],[Qtde Cx Produzida]]*1.055,0)</f>
        <v>31.785039999999999</v>
      </c>
      <c r="S1191" s="37">
        <f>(Tabela3[[#This Row],[Aluminio Bruto]]-Tabela3[[#This Row],[Aluminio Util]])*0.9</f>
        <v>5.7753360000000002</v>
      </c>
      <c r="T1191" s="37">
        <f>Tabela3[[#This Row],[Aluminio Bruto]]/OleoKGAluminio</f>
        <v>13.371925230338121</v>
      </c>
      <c r="U1191" s="35">
        <f>IFERROR((VLOOKUP(Tabela3[[#This Row],[Moldador]],Tabela1[],5,)+(VLOOKUP(Tabela3[[#This Row],[Ajudante]],Tabela1[],5,))*3.5),0)</f>
        <v>99.95034583333333</v>
      </c>
      <c r="V1191" s="35">
        <f>IFERROR(Tabela3[[#This Row],[Custo M.O. / H]]/((Tabela3[[#This Row],[Realizado]]/Tabela3[[#This Row],[Qdt Peça Placa]])/Tabela3[[#This Row],[Tempo]]/24),)</f>
        <v>11.541885173611112</v>
      </c>
      <c r="W1191" s="35">
        <f>Tabela3[[#This Row],[Custo / Cx Moldada]]*Tabela3[[#This Row],[Qtde Cx Produzida]]</f>
        <v>161.58639243055558</v>
      </c>
      <c r="X1191" s="35">
        <f ca="1">Tabela3[[#This Row],[Aluminio Util]]*Tabela3[[#This Row],[Custo/Kg]]</f>
        <v>395.74080000000004</v>
      </c>
      <c r="Y1191" s="35">
        <f>IFERROR(VLOOKUP(Tabela3[[#This Row],[Data]],Tabela461213[],2,1)*(Tabela3[[#This Row],[Qtde Cx Produzida]]*Tabela3[[#This Row],[Qde macho / CX]]*Tabela3[[#This Row],[Peso Macho]]),)</f>
        <v>0</v>
      </c>
      <c r="Z1191" s="35">
        <f>IFERROR(Tabela3[[#This Row],[Qtde Oleo]]*(VLOOKUP(Tabela3[[#This Row],[Data]],CompraOleo[],3,TRUE))*1.05,0)</f>
        <v>35.101303729637571</v>
      </c>
      <c r="AA1191" s="47">
        <f ca="1">(Tabela3[[#This Row],[Custo Oleo]]+Tabela3[[#This Row],[Custo Aluminio]]+Tabela3[[#This Row],[Custo M.O. Total]]+Tabela3[[#This Row],[Custo Machos]])</f>
        <v>592.42849616019316</v>
      </c>
      <c r="AB1191" s="47">
        <f ca="1">Tabela3[[#This Row],[Custo Total]]*Tabela3[[#This Row],[% Perda]]</f>
        <v>0</v>
      </c>
      <c r="AC1191" s="40">
        <f>IFERROR(VLOOKUP(Tabela3[[#This Row],[Produto]],Tabela2[],2,0),0)</f>
        <v>6</v>
      </c>
      <c r="AD1191" s="48">
        <f>IFERROR(VLOOKUP(Tabela3[[#This Row],[Produto]],Tabela2[],3,0),0)</f>
        <v>0.30199999999999999</v>
      </c>
      <c r="AE1191" s="48">
        <f>IFERROR(VLOOKUP(Tabela3[[#This Row],[Produto]],Tabela2[],4,0),0)</f>
        <v>2.1520000000000001</v>
      </c>
      <c r="AF1191" s="48">
        <f>IFERROR(VLOOKUP(Tabela3[[#This Row],[Produto]],Tabela2[],5,0),0)</f>
        <v>0.30600000000000027</v>
      </c>
      <c r="AG1191" s="48">
        <f>IFERROR(VLOOKUP(Tabela3[[#This Row],[Produto]],Tabela2[],6,0),0)</f>
        <v>0</v>
      </c>
      <c r="AH1191" s="40">
        <f>IFERROR(VLOOKUP(Tabela3[[#This Row],[Produto]],Tabela2[],7,0),0)</f>
        <v>0</v>
      </c>
      <c r="AI1191" s="40">
        <f>IFERROR(VLOOKUP(Tabela3[[#This Row],[Produto]],Tabela2[],8,0),0)</f>
        <v>0</v>
      </c>
      <c r="AJ1191" s="35">
        <f ca="1">IFERROR(VLOOKUP(Tabela3[[#This Row],[Produto]],Tabela2[],13,0),0)</f>
        <v>15.600000000000001</v>
      </c>
      <c r="AK1191" s="48" t="str">
        <f>IFERROR(VLOOKUP(Tabela3[[#This Row],[Produto]],Tabela2[],14,0),0)</f>
        <v>Senun</v>
      </c>
      <c r="AL1191" s="40">
        <f>IFERROR(VLOOKUP(Tabela3[[#This Row],[Produto]],Tabela2[],15,0),0)</f>
        <v>4</v>
      </c>
      <c r="AM1191" s="36">
        <f ca="1">(Tabela3[[#This Row],[Custo Usinagem]]+Tabela3[[#This Row],[Custo / Pç]])*1.2</f>
        <v>13.263264230859901</v>
      </c>
      <c r="AN1191" s="36">
        <f ca="1">Tabela3[[#This Row],[Valor Mínimo Venda]]*1.15</f>
        <v>15.252753865488886</v>
      </c>
      <c r="AO1191" s="36">
        <f ca="1">Tabela3[[#This Row],[Tabela 1]]*1.08</f>
        <v>16.472974174727998</v>
      </c>
      <c r="AP1191" s="36">
        <f ca="1">Tabela3[[#This Row],[Tabela 2]]*1.15</f>
        <v>18.943920300937197</v>
      </c>
    </row>
    <row r="1192" spans="1:42">
      <c r="A1192" s="9">
        <v>46153</v>
      </c>
      <c r="B1192" s="9" t="s">
        <v>279</v>
      </c>
      <c r="C1192" s="14">
        <v>9595</v>
      </c>
      <c r="D1192" s="6" t="s">
        <v>46</v>
      </c>
      <c r="E1192" s="6" t="s">
        <v>50</v>
      </c>
      <c r="F1192" s="6">
        <v>40</v>
      </c>
      <c r="G1192" s="15">
        <v>0.23541666666666666</v>
      </c>
      <c r="H1192" s="16">
        <v>0</v>
      </c>
      <c r="I1192" s="35">
        <f ca="1">IFERROR(Tabela3[[#This Row],[Custo Total]]/Tabela3[[#This Row],[Aluminio Util]],0)</f>
        <v>36.522963948099608</v>
      </c>
      <c r="J1192" s="35">
        <f ca="1">Tabela3[[#This Row],[Custo Total]]/Tabela3[[#This Row],[Realizado]]</f>
        <v>1.8261481974049805</v>
      </c>
      <c r="K1192" s="37">
        <f>IFERROR(Tabela3[[#This Row],[Qtde Cx Produzida]]/Tabela3[[#This Row],[Tempo]]/24,0)</f>
        <v>7.0796460176991154</v>
      </c>
      <c r="L1192" s="37">
        <f>Tabela3[[#This Row],[Qtde Cx Produzida]]*Tabela3[[#This Row],[Qdt Peça Placa]]</f>
        <v>720</v>
      </c>
      <c r="M1192" s="37">
        <f>Tabela3[[#This Row],[Previsto]]-Tabela3[[#This Row],[Perda Pçs]]</f>
        <v>720</v>
      </c>
      <c r="N1192" s="38">
        <f>IFERROR(Tabela3[[#This Row],[Perda Pçs]]/Tabela3[[#This Row],[Previsto]],0)</f>
        <v>0</v>
      </c>
      <c r="O1192" s="39">
        <f>IFERROR(IF(Tabela3[[#This Row],[Qtde Cx Produzida]] &lt;&gt; 0, Tabela3[[#This Row],[Tempo]] / Tabela3[[#This Row],[Qtde Cx Produzida]], 0),0)</f>
        <v>5.8854166666666664E-3</v>
      </c>
      <c r="P1192" s="57">
        <f>IFERROR(Tabela3[[#This Row],[Perda Pçs]]/Tabela3[[#This Row],[Qdt Peça Placa]],0)</f>
        <v>0</v>
      </c>
      <c r="Q1192" s="37">
        <f>IFERROR(Tabela3[[#This Row],[Realizado]]*Tabela3[[#This Row],[Peso Util/Pç]],0)</f>
        <v>36</v>
      </c>
      <c r="R1192" s="37">
        <f>IFERROR(Tabela3[[#This Row],[Peso Total Galho]]*Tabela3[[#This Row],[Qtde Cx Produzida]]*1.055,0)</f>
        <v>105.5</v>
      </c>
      <c r="S1192" s="37">
        <f>(Tabela3[[#This Row],[Aluminio Bruto]]-Tabela3[[#This Row],[Aluminio Util]])*0.9</f>
        <v>62.550000000000004</v>
      </c>
      <c r="T1192" s="37">
        <f>Tabela3[[#This Row],[Aluminio Bruto]]/OleoKGAluminio</f>
        <v>44.383713589810547</v>
      </c>
      <c r="U1192" s="35">
        <f>IFERROR((VLOOKUP(Tabela3[[#This Row],[Moldador]],Tabela1[],5,)+(VLOOKUP(Tabela3[[#This Row],[Ajudante]],Tabela1[],5,))*3.5),0)</f>
        <v>99.95034583333333</v>
      </c>
      <c r="V1192" s="35">
        <f>IFERROR(Tabela3[[#This Row],[Custo M.O. / H]]/((Tabela3[[#This Row],[Realizado]]/Tabela3[[#This Row],[Qdt Peça Placa]])/Tabela3[[#This Row],[Tempo]]/24),)</f>
        <v>14.117986348958333</v>
      </c>
      <c r="W1192" s="35">
        <f>Tabela3[[#This Row],[Custo / Cx Moldada]]*Tabela3[[#This Row],[Qtde Cx Produzida]]</f>
        <v>564.71945395833336</v>
      </c>
      <c r="X1192" s="35">
        <f ca="1">Tabela3[[#This Row],[Aluminio Util]]*Tabela3[[#This Row],[Custo/Kg]]</f>
        <v>633.6</v>
      </c>
      <c r="Y1192" s="35">
        <f>IFERROR(VLOOKUP(Tabela3[[#This Row],[Data]],Tabela461213[],2,1)*(Tabela3[[#This Row],[Qtde Cx Produzida]]*Tabela3[[#This Row],[Qde macho / CX]]*Tabela3[[#This Row],[Peso Macho]]),)</f>
        <v>0</v>
      </c>
      <c r="Z1192" s="35">
        <f>IFERROR(Tabela3[[#This Row],[Qtde Oleo]]*(VLOOKUP(Tabela3[[#This Row],[Data]],CompraOleo[],3,TRUE))*1.05,0)</f>
        <v>116.50724817325269</v>
      </c>
      <c r="AA1192" s="47">
        <f ca="1">(Tabela3[[#This Row],[Custo Oleo]]+Tabela3[[#This Row],[Custo Aluminio]]+Tabela3[[#This Row],[Custo M.O. Total]]+Tabela3[[#This Row],[Custo Machos]])</f>
        <v>1314.826702131586</v>
      </c>
      <c r="AB1192" s="47">
        <f ca="1">Tabela3[[#This Row],[Custo Total]]*Tabela3[[#This Row],[% Perda]]</f>
        <v>0</v>
      </c>
      <c r="AC1192" s="40">
        <f>IFERROR(VLOOKUP(Tabela3[[#This Row],[Produto]],Tabela2[],2,0),0)</f>
        <v>18</v>
      </c>
      <c r="AD1192" s="48">
        <f>IFERROR(VLOOKUP(Tabela3[[#This Row],[Produto]],Tabela2[],3,0),0)</f>
        <v>0.05</v>
      </c>
      <c r="AE1192" s="48">
        <f>IFERROR(VLOOKUP(Tabela3[[#This Row],[Produto]],Tabela2[],4,0),0)</f>
        <v>2.5</v>
      </c>
      <c r="AF1192" s="48">
        <f>IFERROR(VLOOKUP(Tabela3[[#This Row],[Produto]],Tabela2[],5,0),0)</f>
        <v>1.4400000000000002</v>
      </c>
      <c r="AG1192" s="48">
        <f>IFERROR(VLOOKUP(Tabela3[[#This Row],[Produto]],Tabela2[],6,0),0)</f>
        <v>0</v>
      </c>
      <c r="AH1192" s="40">
        <f>IFERROR(VLOOKUP(Tabela3[[#This Row],[Produto]],Tabela2[],7,0),0)</f>
        <v>0</v>
      </c>
      <c r="AI1192" s="40">
        <f>IFERROR(VLOOKUP(Tabela3[[#This Row],[Produto]],Tabela2[],8,0),0)</f>
        <v>0</v>
      </c>
      <c r="AJ1192" s="35">
        <f ca="1">IFERROR(VLOOKUP(Tabela3[[#This Row],[Produto]],Tabela2[],13,0),0)</f>
        <v>17.600000000000001</v>
      </c>
      <c r="AK1192" s="48" t="str">
        <f>IFERROR(VLOOKUP(Tabela3[[#This Row],[Produto]],Tabela2[],14,0),0)</f>
        <v>DIGITROL</v>
      </c>
      <c r="AL1192" s="40">
        <f>IFERROR(VLOOKUP(Tabela3[[#This Row],[Produto]],Tabela2[],15,0),0)</f>
        <v>0</v>
      </c>
      <c r="AM1192" s="36">
        <f ca="1">(Tabela3[[#This Row],[Custo Usinagem]]+Tabela3[[#This Row],[Custo / Pç]])*1.2</f>
        <v>2.1913778368859766</v>
      </c>
      <c r="AN1192" s="36">
        <f ca="1">Tabela3[[#This Row],[Valor Mínimo Venda]]*1.15</f>
        <v>2.5200845124188729</v>
      </c>
      <c r="AO1192" s="36">
        <f ca="1">Tabela3[[#This Row],[Tabela 1]]*1.08</f>
        <v>2.7216912734123828</v>
      </c>
      <c r="AP1192" s="36">
        <f ca="1">Tabela3[[#This Row],[Tabela 2]]*1.15</f>
        <v>3.1299449644242401</v>
      </c>
    </row>
    <row r="1193" spans="1:42">
      <c r="A1193" s="9">
        <v>46153</v>
      </c>
      <c r="B1193" s="9" t="s">
        <v>247</v>
      </c>
      <c r="C1193" s="14">
        <v>9716</v>
      </c>
      <c r="D1193" s="6" t="s">
        <v>46</v>
      </c>
      <c r="E1193" s="6" t="s">
        <v>50</v>
      </c>
      <c r="F1193" s="6">
        <v>4</v>
      </c>
      <c r="G1193" s="15">
        <v>2.5000000000000001E-2</v>
      </c>
      <c r="H1193" s="16">
        <v>0</v>
      </c>
      <c r="I1193" s="35">
        <f ca="1">IFERROR(Tabela3[[#This Row],[Custo Total]]/Tabela3[[#This Row],[Aluminio Util]],0)</f>
        <v>30.326848819154009</v>
      </c>
      <c r="J1193" s="35">
        <f ca="1">Tabela3[[#This Row],[Custo Total]]/Tabela3[[#This Row],[Realizado]]</f>
        <v>9.0980546457462026</v>
      </c>
      <c r="K1193" s="37">
        <f>IFERROR(Tabela3[[#This Row],[Qtde Cx Produzida]]/Tabela3[[#This Row],[Tempo]]/24,0)</f>
        <v>6.666666666666667</v>
      </c>
      <c r="L1193" s="37">
        <f>Tabela3[[#This Row],[Qtde Cx Produzida]]*Tabela3[[#This Row],[Qdt Peça Placa]]</f>
        <v>16</v>
      </c>
      <c r="M1193" s="37">
        <f>Tabela3[[#This Row],[Previsto]]-Tabela3[[#This Row],[Perda Pçs]]</f>
        <v>16</v>
      </c>
      <c r="N1193" s="38">
        <f>IFERROR(Tabela3[[#This Row],[Perda Pçs]]/Tabela3[[#This Row],[Previsto]],0)</f>
        <v>0</v>
      </c>
      <c r="O1193" s="39">
        <f>IFERROR(IF(Tabela3[[#This Row],[Qtde Cx Produzida]] &lt;&gt; 0, Tabela3[[#This Row],[Tempo]] / Tabela3[[#This Row],[Qtde Cx Produzida]], 0),0)</f>
        <v>6.2500000000000003E-3</v>
      </c>
      <c r="P1193" s="57">
        <f>IFERROR(Tabela3[[#This Row],[Perda Pçs]]/Tabela3[[#This Row],[Qdt Peça Placa]],0)</f>
        <v>0</v>
      </c>
      <c r="Q1193" s="37">
        <f>IFERROR(Tabela3[[#This Row],[Realizado]]*Tabela3[[#This Row],[Peso Util/Pç]],0)</f>
        <v>4.8</v>
      </c>
      <c r="R1193" s="37">
        <f>IFERROR(Tabela3[[#This Row],[Peso Total Galho]]*Tabela3[[#This Row],[Qtde Cx Produzida]]*1.055,0)</f>
        <v>9.7059999999999995</v>
      </c>
      <c r="S1193" s="37">
        <f>(Tabela3[[#This Row],[Aluminio Bruto]]-Tabela3[[#This Row],[Aluminio Util]])*0.9</f>
        <v>4.4154</v>
      </c>
      <c r="T1193" s="37">
        <f>Tabela3[[#This Row],[Aluminio Bruto]]/OleoKGAluminio</f>
        <v>4.0833016502625705</v>
      </c>
      <c r="U1193" s="35">
        <f>IFERROR((VLOOKUP(Tabela3[[#This Row],[Moldador]],Tabela1[],5,)+(VLOOKUP(Tabela3[[#This Row],[Ajudante]],Tabela1[],5,))*3.5),0)</f>
        <v>99.95034583333333</v>
      </c>
      <c r="V1193" s="35">
        <f>IFERROR(Tabela3[[#This Row],[Custo M.O. / H]]/((Tabela3[[#This Row],[Realizado]]/Tabela3[[#This Row],[Qdt Peça Placa]])/Tabela3[[#This Row],[Tempo]]/24),)</f>
        <v>14.992551874999998</v>
      </c>
      <c r="W1193" s="35">
        <f>Tabela3[[#This Row],[Custo / Cx Moldada]]*Tabela3[[#This Row],[Qtde Cx Produzida]]</f>
        <v>59.970207499999994</v>
      </c>
      <c r="X1193" s="35">
        <f ca="1">Tabela3[[#This Row],[Aluminio Util]]*Tabela3[[#This Row],[Custo/Kg]]</f>
        <v>74.88000000000001</v>
      </c>
      <c r="Y1193" s="35">
        <f>IFERROR(VLOOKUP(Tabela3[[#This Row],[Data]],Tabela461213[],2,1)*(Tabela3[[#This Row],[Qtde Cx Produzida]]*Tabela3[[#This Row],[Qde macho / CX]]*Tabela3[[#This Row],[Peso Macho]]),)</f>
        <v>0</v>
      </c>
      <c r="Z1193" s="35">
        <f>IFERROR(Tabela3[[#This Row],[Qtde Oleo]]*(VLOOKUP(Tabela3[[#This Row],[Data]],CompraOleo[],3,TRUE))*1.05,0)</f>
        <v>10.718666831939247</v>
      </c>
      <c r="AA1193" s="47">
        <f ca="1">(Tabela3[[#This Row],[Custo Oleo]]+Tabela3[[#This Row],[Custo Aluminio]]+Tabela3[[#This Row],[Custo M.O. Total]]+Tabela3[[#This Row],[Custo Machos]])</f>
        <v>145.56887433193924</v>
      </c>
      <c r="AB1193" s="47">
        <f ca="1">Tabela3[[#This Row],[Custo Total]]*Tabela3[[#This Row],[% Perda]]</f>
        <v>0</v>
      </c>
      <c r="AC1193" s="40">
        <f>IFERROR(VLOOKUP(Tabela3[[#This Row],[Produto]],Tabela2[],2,0),0)</f>
        <v>4</v>
      </c>
      <c r="AD1193" s="48">
        <f>IFERROR(VLOOKUP(Tabela3[[#This Row],[Produto]],Tabela2[],3,0),0)</f>
        <v>0.3</v>
      </c>
      <c r="AE1193" s="48">
        <f>IFERROR(VLOOKUP(Tabela3[[#This Row],[Produto]],Tabela2[],4,0),0)</f>
        <v>2.2999999999999998</v>
      </c>
      <c r="AF1193" s="48">
        <f>IFERROR(VLOOKUP(Tabela3[[#This Row],[Produto]],Tabela2[],5,0),0)</f>
        <v>0.98999999999999988</v>
      </c>
      <c r="AG1193" s="48">
        <f>IFERROR(VLOOKUP(Tabela3[[#This Row],[Produto]],Tabela2[],6,0),0)</f>
        <v>0</v>
      </c>
      <c r="AH1193" s="40">
        <f>IFERROR(VLOOKUP(Tabela3[[#This Row],[Produto]],Tabela2[],7,0),0)</f>
        <v>0</v>
      </c>
      <c r="AI1193" s="40">
        <f>IFERROR(VLOOKUP(Tabela3[[#This Row],[Produto]],Tabela2[],8,0),0)</f>
        <v>0</v>
      </c>
      <c r="AJ1193" s="35">
        <f ca="1">IFERROR(VLOOKUP(Tabela3[[#This Row],[Produto]],Tabela2[],13,0),0)</f>
        <v>15.600000000000001</v>
      </c>
      <c r="AK1193" s="48" t="str">
        <f>IFERROR(VLOOKUP(Tabela3[[#This Row],[Produto]],Tabela2[],14,0),0)</f>
        <v>Senun</v>
      </c>
      <c r="AL1193" s="40">
        <f>IFERROR(VLOOKUP(Tabela3[[#This Row],[Produto]],Tabela2[],15,0),0)</f>
        <v>3.5</v>
      </c>
      <c r="AM1193" s="36">
        <f ca="1">(Tabela3[[#This Row],[Custo Usinagem]]+Tabela3[[#This Row],[Custo / Pç]])*1.2</f>
        <v>15.117665574895442</v>
      </c>
      <c r="AN1193" s="36">
        <f ca="1">Tabela3[[#This Row],[Valor Mínimo Venda]]*1.15</f>
        <v>17.385315411129756</v>
      </c>
      <c r="AO1193" s="36">
        <f ca="1">Tabela3[[#This Row],[Tabela 1]]*1.08</f>
        <v>18.776140644020138</v>
      </c>
      <c r="AP1193" s="36">
        <f ca="1">Tabela3[[#This Row],[Tabela 2]]*1.15</f>
        <v>21.592561740623157</v>
      </c>
    </row>
    <row r="1194" spans="1:42">
      <c r="A1194" s="9">
        <v>46153</v>
      </c>
      <c r="B1194" s="9" t="s">
        <v>247</v>
      </c>
      <c r="C1194" s="14">
        <v>9716</v>
      </c>
      <c r="D1194" s="6" t="s">
        <v>46</v>
      </c>
      <c r="E1194" s="6" t="s">
        <v>44</v>
      </c>
      <c r="F1194" s="6">
        <v>20</v>
      </c>
      <c r="G1194" s="15">
        <v>9.8611111111111108E-2</v>
      </c>
      <c r="H1194" s="16">
        <v>0</v>
      </c>
      <c r="I1194" s="35">
        <f ca="1">IFERROR(Tabela3[[#This Row],[Custo Total]]/Tabela3[[#This Row],[Aluminio Util]],0)</f>
        <v>30.267374339987342</v>
      </c>
      <c r="J1194" s="35">
        <f ca="1">Tabela3[[#This Row],[Custo Total]]/Tabela3[[#This Row],[Realizado]]</f>
        <v>9.0802123019962018</v>
      </c>
      <c r="K1194" s="37">
        <f>IFERROR(Tabela3[[#This Row],[Qtde Cx Produzida]]/Tabela3[[#This Row],[Tempo]]/24,0)</f>
        <v>8.4507042253521139</v>
      </c>
      <c r="L1194" s="37">
        <f>Tabela3[[#This Row],[Qtde Cx Produzida]]*Tabela3[[#This Row],[Qdt Peça Placa]]</f>
        <v>80</v>
      </c>
      <c r="M1194" s="37">
        <f>Tabela3[[#This Row],[Previsto]]-Tabela3[[#This Row],[Perda Pçs]]</f>
        <v>80</v>
      </c>
      <c r="N1194" s="38">
        <f>IFERROR(Tabela3[[#This Row],[Perda Pçs]]/Tabela3[[#This Row],[Previsto]],0)</f>
        <v>0</v>
      </c>
      <c r="O1194" s="39">
        <f>IFERROR(IF(Tabela3[[#This Row],[Qtde Cx Produzida]] &lt;&gt; 0, Tabela3[[#This Row],[Tempo]] / Tabela3[[#This Row],[Qtde Cx Produzida]], 0),0)</f>
        <v>4.9305555555555552E-3</v>
      </c>
      <c r="P1194" s="57">
        <f>IFERROR(Tabela3[[#This Row],[Perda Pçs]]/Tabela3[[#This Row],[Qdt Peça Placa]],0)</f>
        <v>0</v>
      </c>
      <c r="Q1194" s="37">
        <f>IFERROR(Tabela3[[#This Row],[Realizado]]*Tabela3[[#This Row],[Peso Util/Pç]],0)</f>
        <v>24</v>
      </c>
      <c r="R1194" s="37">
        <f>IFERROR(Tabela3[[#This Row],[Peso Total Galho]]*Tabela3[[#This Row],[Qtde Cx Produzida]]*1.055,0)</f>
        <v>48.529999999999994</v>
      </c>
      <c r="S1194" s="37">
        <f>(Tabela3[[#This Row],[Aluminio Bruto]]-Tabela3[[#This Row],[Aluminio Util]])*0.9</f>
        <v>22.076999999999995</v>
      </c>
      <c r="T1194" s="37">
        <f>Tabela3[[#This Row],[Aluminio Bruto]]/OleoKGAluminio</f>
        <v>20.416508251312848</v>
      </c>
      <c r="U1194" s="35">
        <f>IFERROR((VLOOKUP(Tabela3[[#This Row],[Moldador]],Tabela1[],5,)+(VLOOKUP(Tabela3[[#This Row],[Ajudante]],Tabela1[],5,))*3.5),0)</f>
        <v>126.0945</v>
      </c>
      <c r="V1194" s="35">
        <f>IFERROR(Tabela3[[#This Row],[Custo M.O. / H]]/((Tabela3[[#This Row],[Realizado]]/Tabela3[[#This Row],[Qdt Peça Placa]])/Tabela3[[#This Row],[Tempo]]/24),)</f>
        <v>14.921182499999997</v>
      </c>
      <c r="W1194" s="35">
        <f>Tabela3[[#This Row],[Custo / Cx Moldada]]*Tabela3[[#This Row],[Qtde Cx Produzida]]</f>
        <v>298.42364999999995</v>
      </c>
      <c r="X1194" s="35">
        <f ca="1">Tabela3[[#This Row],[Aluminio Util]]*Tabela3[[#This Row],[Custo/Kg]]</f>
        <v>374.40000000000003</v>
      </c>
      <c r="Y1194" s="35">
        <f>IFERROR(VLOOKUP(Tabela3[[#This Row],[Data]],Tabela461213[],2,1)*(Tabela3[[#This Row],[Qtde Cx Produzida]]*Tabela3[[#This Row],[Qde macho / CX]]*Tabela3[[#This Row],[Peso Macho]]),)</f>
        <v>0</v>
      </c>
      <c r="Z1194" s="35">
        <f>IFERROR(Tabela3[[#This Row],[Qtde Oleo]]*(VLOOKUP(Tabela3[[#This Row],[Data]],CompraOleo[],3,TRUE))*1.05,0)</f>
        <v>53.593334159696226</v>
      </c>
      <c r="AA1194" s="47">
        <f ca="1">(Tabela3[[#This Row],[Custo Oleo]]+Tabela3[[#This Row],[Custo Aluminio]]+Tabela3[[#This Row],[Custo M.O. Total]]+Tabela3[[#This Row],[Custo Machos]])</f>
        <v>726.4169841596962</v>
      </c>
      <c r="AB1194" s="47">
        <f ca="1">Tabela3[[#This Row],[Custo Total]]*Tabela3[[#This Row],[% Perda]]</f>
        <v>0</v>
      </c>
      <c r="AC1194" s="40">
        <f>IFERROR(VLOOKUP(Tabela3[[#This Row],[Produto]],Tabela2[],2,0),0)</f>
        <v>4</v>
      </c>
      <c r="AD1194" s="48">
        <f>IFERROR(VLOOKUP(Tabela3[[#This Row],[Produto]],Tabela2[],3,0),0)</f>
        <v>0.3</v>
      </c>
      <c r="AE1194" s="48">
        <f>IFERROR(VLOOKUP(Tabela3[[#This Row],[Produto]],Tabela2[],4,0),0)</f>
        <v>2.2999999999999998</v>
      </c>
      <c r="AF1194" s="48">
        <f>IFERROR(VLOOKUP(Tabela3[[#This Row],[Produto]],Tabela2[],5,0),0)</f>
        <v>0.98999999999999988</v>
      </c>
      <c r="AG1194" s="48">
        <f>IFERROR(VLOOKUP(Tabela3[[#This Row],[Produto]],Tabela2[],6,0),0)</f>
        <v>0</v>
      </c>
      <c r="AH1194" s="40">
        <f>IFERROR(VLOOKUP(Tabela3[[#This Row],[Produto]],Tabela2[],7,0),0)</f>
        <v>0</v>
      </c>
      <c r="AI1194" s="40">
        <f>IFERROR(VLOOKUP(Tabela3[[#This Row],[Produto]],Tabela2[],8,0),0)</f>
        <v>0</v>
      </c>
      <c r="AJ1194" s="35">
        <f ca="1">IFERROR(VLOOKUP(Tabela3[[#This Row],[Produto]],Tabela2[],13,0),0)</f>
        <v>15.600000000000001</v>
      </c>
      <c r="AK1194" s="48" t="str">
        <f>IFERROR(VLOOKUP(Tabela3[[#This Row],[Produto]],Tabela2[],14,0),0)</f>
        <v>Senun</v>
      </c>
      <c r="AL1194" s="40">
        <f>IFERROR(VLOOKUP(Tabela3[[#This Row],[Produto]],Tabela2[],15,0),0)</f>
        <v>3.5</v>
      </c>
      <c r="AM1194" s="36">
        <f ca="1">(Tabela3[[#This Row],[Custo Usinagem]]+Tabela3[[#This Row],[Custo / Pç]])*1.2</f>
        <v>15.096254762395441</v>
      </c>
      <c r="AN1194" s="36">
        <f ca="1">Tabela3[[#This Row],[Valor Mínimo Venda]]*1.15</f>
        <v>17.360692976754756</v>
      </c>
      <c r="AO1194" s="36">
        <f ca="1">Tabela3[[#This Row],[Tabela 1]]*1.08</f>
        <v>18.749548414895138</v>
      </c>
      <c r="AP1194" s="36">
        <f ca="1">Tabela3[[#This Row],[Tabela 2]]*1.15</f>
        <v>21.561980677129405</v>
      </c>
    </row>
    <row r="1195" spans="1:42">
      <c r="A1195" s="9">
        <v>46153</v>
      </c>
      <c r="B1195" s="9" t="s">
        <v>247</v>
      </c>
      <c r="C1195" s="14">
        <v>9716</v>
      </c>
      <c r="D1195" s="6" t="s">
        <v>44</v>
      </c>
      <c r="E1195" s="6" t="s">
        <v>47</v>
      </c>
      <c r="F1195" s="6">
        <v>16</v>
      </c>
      <c r="G1195" s="15">
        <v>8.1944444444444445E-2</v>
      </c>
      <c r="H1195" s="16">
        <v>0</v>
      </c>
      <c r="I1195" s="35">
        <f ca="1">IFERROR(Tabela3[[#This Row],[Custo Total]]/Tabela3[[#This Row],[Aluminio Util]],0)</f>
        <v>28.071025041665585</v>
      </c>
      <c r="J1195" s="35">
        <f ca="1">Tabela3[[#This Row],[Custo Total]]/Tabela3[[#This Row],[Realizado]]</f>
        <v>8.4213075124996752</v>
      </c>
      <c r="K1195" s="37">
        <f>IFERROR(Tabela3[[#This Row],[Qtde Cx Produzida]]/Tabela3[[#This Row],[Tempo]]/24,0)</f>
        <v>8.1355932203389827</v>
      </c>
      <c r="L1195" s="37">
        <f>Tabela3[[#This Row],[Qtde Cx Produzida]]*Tabela3[[#This Row],[Qdt Peça Placa]]</f>
        <v>64</v>
      </c>
      <c r="M1195" s="37">
        <f>Tabela3[[#This Row],[Previsto]]-Tabela3[[#This Row],[Perda Pçs]]</f>
        <v>64</v>
      </c>
      <c r="N1195" s="38">
        <f>IFERROR(Tabela3[[#This Row],[Perda Pçs]]/Tabela3[[#This Row],[Previsto]],0)</f>
        <v>0</v>
      </c>
      <c r="O1195" s="39">
        <f>IFERROR(IF(Tabela3[[#This Row],[Qtde Cx Produzida]] &lt;&gt; 0, Tabela3[[#This Row],[Tempo]] / Tabela3[[#This Row],[Qtde Cx Produzida]], 0),0)</f>
        <v>5.1215277777777778E-3</v>
      </c>
      <c r="P1195" s="57">
        <f>IFERROR(Tabela3[[#This Row],[Perda Pçs]]/Tabela3[[#This Row],[Qdt Peça Placa]],0)</f>
        <v>0</v>
      </c>
      <c r="Q1195" s="37">
        <f>IFERROR(Tabela3[[#This Row],[Realizado]]*Tabela3[[#This Row],[Peso Util/Pç]],0)</f>
        <v>19.2</v>
      </c>
      <c r="R1195" s="37">
        <f>IFERROR(Tabela3[[#This Row],[Peso Total Galho]]*Tabela3[[#This Row],[Qtde Cx Produzida]]*1.055,0)</f>
        <v>38.823999999999998</v>
      </c>
      <c r="S1195" s="37">
        <f>(Tabela3[[#This Row],[Aluminio Bruto]]-Tabela3[[#This Row],[Aluminio Util]])*0.9</f>
        <v>17.6616</v>
      </c>
      <c r="T1195" s="37">
        <f>Tabela3[[#This Row],[Aluminio Bruto]]/OleoKGAluminio</f>
        <v>16.333206601050282</v>
      </c>
      <c r="U1195" s="35">
        <f>IFERROR((VLOOKUP(Tabela3[[#This Row],[Moldador]],Tabela1[],5,)+(VLOOKUP(Tabela3[[#This Row],[Ajudante]],Tabela1[],5,))*3.5),0)</f>
        <v>99.95034583333333</v>
      </c>
      <c r="V1195" s="35">
        <f>IFERROR(Tabela3[[#This Row],[Custo M.O. / H]]/((Tabela3[[#This Row],[Realizado]]/Tabela3[[#This Row],[Qdt Peça Placa]])/Tabela3[[#This Row],[Tempo]]/24),)</f>
        <v>12.285563342013889</v>
      </c>
      <c r="W1195" s="35">
        <f>Tabela3[[#This Row],[Custo / Cx Moldada]]*Tabela3[[#This Row],[Qtde Cx Produzida]]</f>
        <v>196.56901347222222</v>
      </c>
      <c r="X1195" s="35">
        <f ca="1">Tabela3[[#This Row],[Aluminio Util]]*Tabela3[[#This Row],[Custo/Kg]]</f>
        <v>299.52000000000004</v>
      </c>
      <c r="Y1195" s="35">
        <f>IFERROR(VLOOKUP(Tabela3[[#This Row],[Data]],Tabela461213[],2,1)*(Tabela3[[#This Row],[Qtde Cx Produzida]]*Tabela3[[#This Row],[Qde macho / CX]]*Tabela3[[#This Row],[Peso Macho]]),)</f>
        <v>0</v>
      </c>
      <c r="Z1195" s="35">
        <f>IFERROR(Tabela3[[#This Row],[Qtde Oleo]]*(VLOOKUP(Tabela3[[#This Row],[Data]],CompraOleo[],3,TRUE))*1.05,0)</f>
        <v>42.874667327756988</v>
      </c>
      <c r="AA1195" s="47">
        <f ca="1">(Tabela3[[#This Row],[Custo Oleo]]+Tabela3[[#This Row],[Custo Aluminio]]+Tabela3[[#This Row],[Custo M.O. Total]]+Tabela3[[#This Row],[Custo Machos]])</f>
        <v>538.96368079997922</v>
      </c>
      <c r="AB1195" s="47">
        <f ca="1">Tabela3[[#This Row],[Custo Total]]*Tabela3[[#This Row],[% Perda]]</f>
        <v>0</v>
      </c>
      <c r="AC1195" s="40">
        <f>IFERROR(VLOOKUP(Tabela3[[#This Row],[Produto]],Tabela2[],2,0),0)</f>
        <v>4</v>
      </c>
      <c r="AD1195" s="48">
        <f>IFERROR(VLOOKUP(Tabela3[[#This Row],[Produto]],Tabela2[],3,0),0)</f>
        <v>0.3</v>
      </c>
      <c r="AE1195" s="48">
        <f>IFERROR(VLOOKUP(Tabela3[[#This Row],[Produto]],Tabela2[],4,0),0)</f>
        <v>2.2999999999999998</v>
      </c>
      <c r="AF1195" s="48">
        <f>IFERROR(VLOOKUP(Tabela3[[#This Row],[Produto]],Tabela2[],5,0),0)</f>
        <v>0.98999999999999988</v>
      </c>
      <c r="AG1195" s="48">
        <f>IFERROR(VLOOKUP(Tabela3[[#This Row],[Produto]],Tabela2[],6,0),0)</f>
        <v>0</v>
      </c>
      <c r="AH1195" s="40">
        <f>IFERROR(VLOOKUP(Tabela3[[#This Row],[Produto]],Tabela2[],7,0),0)</f>
        <v>0</v>
      </c>
      <c r="AI1195" s="40">
        <f>IFERROR(VLOOKUP(Tabela3[[#This Row],[Produto]],Tabela2[],8,0),0)</f>
        <v>0</v>
      </c>
      <c r="AJ1195" s="35">
        <f ca="1">IFERROR(VLOOKUP(Tabela3[[#This Row],[Produto]],Tabela2[],13,0),0)</f>
        <v>15.600000000000001</v>
      </c>
      <c r="AK1195" s="48" t="str">
        <f>IFERROR(VLOOKUP(Tabela3[[#This Row],[Produto]],Tabela2[],14,0),0)</f>
        <v>Senun</v>
      </c>
      <c r="AL1195" s="40">
        <f>IFERROR(VLOOKUP(Tabela3[[#This Row],[Produto]],Tabela2[],15,0),0)</f>
        <v>3.5</v>
      </c>
      <c r="AM1195" s="36">
        <f ca="1">(Tabela3[[#This Row],[Custo Usinagem]]+Tabela3[[#This Row],[Custo / Pç]])*1.2</f>
        <v>14.305569014999611</v>
      </c>
      <c r="AN1195" s="36">
        <f ca="1">Tabela3[[#This Row],[Valor Mínimo Venda]]*1.15</f>
        <v>16.451404367249552</v>
      </c>
      <c r="AO1195" s="36">
        <f ca="1">Tabela3[[#This Row],[Tabela 1]]*1.08</f>
        <v>17.767516716629515</v>
      </c>
      <c r="AP1195" s="36">
        <f ca="1">Tabela3[[#This Row],[Tabela 2]]*1.15</f>
        <v>20.432644224123941</v>
      </c>
    </row>
    <row r="1196" spans="1:42">
      <c r="A1196" s="9">
        <v>46153</v>
      </c>
      <c r="B1196" s="9" t="s">
        <v>248</v>
      </c>
      <c r="C1196" s="14">
        <v>9680</v>
      </c>
      <c r="D1196" s="6" t="s">
        <v>44</v>
      </c>
      <c r="E1196" s="6" t="s">
        <v>47</v>
      </c>
      <c r="F1196" s="6">
        <v>10</v>
      </c>
      <c r="G1196" s="15">
        <v>5.2777777777777778E-2</v>
      </c>
      <c r="H1196" s="16">
        <v>7</v>
      </c>
      <c r="I1196" s="35">
        <f ca="1">IFERROR(Tabela3[[#This Row],[Custo Total]]/Tabela3[[#This Row],[Aluminio Util]],0)</f>
        <v>30.857811402985014</v>
      </c>
      <c r="J1196" s="35">
        <f ca="1">Tabela3[[#This Row],[Custo Total]]/Tabela3[[#This Row],[Realizado]]</f>
        <v>11.047096482268635</v>
      </c>
      <c r="K1196" s="37">
        <f>IFERROR(Tabela3[[#This Row],[Qtde Cx Produzida]]/Tabela3[[#This Row],[Tempo]]/24,0)</f>
        <v>7.8947368421052637</v>
      </c>
      <c r="L1196" s="37">
        <f>Tabela3[[#This Row],[Qtde Cx Produzida]]*Tabela3[[#This Row],[Qdt Peça Placa]]</f>
        <v>40</v>
      </c>
      <c r="M1196" s="37">
        <f>Tabela3[[#This Row],[Previsto]]-Tabela3[[#This Row],[Perda Pçs]]</f>
        <v>33</v>
      </c>
      <c r="N1196" s="38">
        <f>IFERROR(Tabela3[[#This Row],[Perda Pçs]]/Tabela3[[#This Row],[Previsto]],0)</f>
        <v>0.17499999999999999</v>
      </c>
      <c r="O1196" s="39">
        <f>IFERROR(IF(Tabela3[[#This Row],[Qtde Cx Produzida]] &lt;&gt; 0, Tabela3[[#This Row],[Tempo]] / Tabela3[[#This Row],[Qtde Cx Produzida]], 0),0)</f>
        <v>5.2777777777777779E-3</v>
      </c>
      <c r="P1196" s="57">
        <f>IFERROR(Tabela3[[#This Row],[Perda Pçs]]/Tabela3[[#This Row],[Qdt Peça Placa]],0)</f>
        <v>1.75</v>
      </c>
      <c r="Q1196" s="37">
        <f>IFERROR(Tabela3[[#This Row],[Realizado]]*Tabela3[[#This Row],[Peso Util/Pç]],0)</f>
        <v>11.814</v>
      </c>
      <c r="R1196" s="37">
        <f>IFERROR(Tabela3[[#This Row],[Peso Total Galho]]*Tabela3[[#This Row],[Qtde Cx Produzida]]*1.055,0)</f>
        <v>24.264999999999997</v>
      </c>
      <c r="S1196" s="37">
        <f>(Tabela3[[#This Row],[Aluminio Bruto]]-Tabela3[[#This Row],[Aluminio Util]])*0.9</f>
        <v>11.205899999999998</v>
      </c>
      <c r="T1196" s="37">
        <f>Tabela3[[#This Row],[Aluminio Bruto]]/OleoKGAluminio</f>
        <v>10.208254125656424</v>
      </c>
      <c r="U1196" s="35">
        <f>IFERROR((VLOOKUP(Tabela3[[#This Row],[Moldador]],Tabela1[],5,)+(VLOOKUP(Tabela3[[#This Row],[Ajudante]],Tabela1[],5,))*3.5),0)</f>
        <v>99.95034583333333</v>
      </c>
      <c r="V1196" s="35">
        <f>IFERROR(Tabela3[[#This Row],[Custo M.O. / H]]/((Tabela3[[#This Row],[Realizado]]/Tabela3[[#This Row],[Qdt Peça Placa]])/Tabela3[[#This Row],[Tempo]]/24),)</f>
        <v>15.345911683501683</v>
      </c>
      <c r="W1196" s="35">
        <f>Tabela3[[#This Row],[Custo / Cx Moldada]]*Tabela3[[#This Row],[Qtde Cx Produzida]]</f>
        <v>153.45911683501683</v>
      </c>
      <c r="X1196" s="35">
        <f ca="1">Tabela3[[#This Row],[Aluminio Util]]*Tabela3[[#This Row],[Custo/Kg]]</f>
        <v>184.29840000000002</v>
      </c>
      <c r="Y1196" s="35">
        <f>IFERROR(VLOOKUP(Tabela3[[#This Row],[Data]],Tabela461213[],2,1)*(Tabela3[[#This Row],[Qtde Cx Produzida]]*Tabela3[[#This Row],[Qde macho / CX]]*Tabela3[[#This Row],[Peso Macho]]),)</f>
        <v>0</v>
      </c>
      <c r="Z1196" s="35">
        <f>IFERROR(Tabela3[[#This Row],[Qtde Oleo]]*(VLOOKUP(Tabela3[[#This Row],[Data]],CompraOleo[],3,TRUE))*1.05,0)</f>
        <v>26.796667079848113</v>
      </c>
      <c r="AA1196" s="47">
        <f ca="1">(Tabela3[[#This Row],[Custo Oleo]]+Tabela3[[#This Row],[Custo Aluminio]]+Tabela3[[#This Row],[Custo M.O. Total]]+Tabela3[[#This Row],[Custo Machos]])</f>
        <v>364.55418391486495</v>
      </c>
      <c r="AB1196" s="47">
        <f ca="1">Tabela3[[#This Row],[Custo Total]]*Tabela3[[#This Row],[% Perda]]</f>
        <v>63.796982185101363</v>
      </c>
      <c r="AC1196" s="40">
        <f>IFERROR(VLOOKUP(Tabela3[[#This Row],[Produto]],Tabela2[],2,0),0)</f>
        <v>4</v>
      </c>
      <c r="AD1196" s="48">
        <f>IFERROR(VLOOKUP(Tabela3[[#This Row],[Produto]],Tabela2[],3,0),0)</f>
        <v>0.35799999999999998</v>
      </c>
      <c r="AE1196" s="48">
        <f>IFERROR(VLOOKUP(Tabela3[[#This Row],[Produto]],Tabela2[],4,0),0)</f>
        <v>2.2999999999999998</v>
      </c>
      <c r="AF1196" s="48">
        <f>IFERROR(VLOOKUP(Tabela3[[#This Row],[Produto]],Tabela2[],5,0),0)</f>
        <v>0.78119999999999989</v>
      </c>
      <c r="AG1196" s="48">
        <f>IFERROR(VLOOKUP(Tabela3[[#This Row],[Produto]],Tabela2[],6,0),0)</f>
        <v>0</v>
      </c>
      <c r="AH1196" s="40">
        <f>IFERROR(VLOOKUP(Tabela3[[#This Row],[Produto]],Tabela2[],7,0),0)</f>
        <v>0</v>
      </c>
      <c r="AI1196" s="40">
        <f>IFERROR(VLOOKUP(Tabela3[[#This Row],[Produto]],Tabela2[],8,0),0)</f>
        <v>0</v>
      </c>
      <c r="AJ1196" s="35">
        <f ca="1">IFERROR(VLOOKUP(Tabela3[[#This Row],[Produto]],Tabela2[],13,0),0)</f>
        <v>15.600000000000001</v>
      </c>
      <c r="AK1196" s="48" t="str">
        <f>IFERROR(VLOOKUP(Tabela3[[#This Row],[Produto]],Tabela2[],14,0),0)</f>
        <v>Senun</v>
      </c>
      <c r="AL1196" s="40">
        <f>IFERROR(VLOOKUP(Tabela3[[#This Row],[Produto]],Tabela2[],15,0),0)</f>
        <v>4</v>
      </c>
      <c r="AM1196" s="36">
        <f ca="1">(Tabela3[[#This Row],[Custo Usinagem]]+Tabela3[[#This Row],[Custo / Pç]])*1.2</f>
        <v>18.05651577872236</v>
      </c>
      <c r="AN1196" s="36">
        <f ca="1">Tabela3[[#This Row],[Valor Mínimo Venda]]*1.15</f>
        <v>20.764993145530713</v>
      </c>
      <c r="AO1196" s="36">
        <f ca="1">Tabela3[[#This Row],[Tabela 1]]*1.08</f>
        <v>22.426192597173173</v>
      </c>
      <c r="AP1196" s="36">
        <f ca="1">Tabela3[[#This Row],[Tabela 2]]*1.15</f>
        <v>25.790121486749147</v>
      </c>
    </row>
    <row r="1197" spans="1:42">
      <c r="A1197" s="9">
        <v>46153</v>
      </c>
      <c r="B1197" s="9" t="s">
        <v>185</v>
      </c>
      <c r="C1197" s="14">
        <v>9720</v>
      </c>
      <c r="D1197" s="6" t="s">
        <v>44</v>
      </c>
      <c r="E1197" s="6" t="s">
        <v>47</v>
      </c>
      <c r="F1197" s="6">
        <v>3</v>
      </c>
      <c r="G1197" s="15">
        <v>5.347222222222222E-2</v>
      </c>
      <c r="H1197" s="16">
        <v>0</v>
      </c>
      <c r="I1197" s="35">
        <f ca="1">IFERROR(Tabela3[[#This Row],[Custo Total]]/Tabela3[[#This Row],[Aluminio Util]],0)</f>
        <v>22.125124461177776</v>
      </c>
      <c r="J1197" s="35">
        <f ca="1">Tabela3[[#This Row],[Custo Total]]/Tabela3[[#This Row],[Realizado]]</f>
        <v>292.05164288754662</v>
      </c>
      <c r="K1197" s="37">
        <f>IFERROR(Tabela3[[#This Row],[Qtde Cx Produzida]]/Tabela3[[#This Row],[Tempo]]/24,0)</f>
        <v>2.3376623376623376</v>
      </c>
      <c r="L1197" s="37">
        <f>Tabela3[[#This Row],[Qtde Cx Produzida]]*Tabela3[[#This Row],[Qdt Peça Placa]]</f>
        <v>3</v>
      </c>
      <c r="M1197" s="37">
        <f>Tabela3[[#This Row],[Previsto]]-Tabela3[[#This Row],[Perda Pçs]]</f>
        <v>3</v>
      </c>
      <c r="N1197" s="38">
        <f>IFERROR(Tabela3[[#This Row],[Perda Pçs]]/Tabela3[[#This Row],[Previsto]],0)</f>
        <v>0</v>
      </c>
      <c r="O1197" s="39">
        <f>IFERROR(IF(Tabela3[[#This Row],[Qtde Cx Produzida]] &lt;&gt; 0, Tabela3[[#This Row],[Tempo]] / Tabela3[[#This Row],[Qtde Cx Produzida]], 0),0)</f>
        <v>1.7824074074074072E-2</v>
      </c>
      <c r="P1197" s="57">
        <f>IFERROR(Tabela3[[#This Row],[Perda Pçs]]/Tabela3[[#This Row],[Qdt Peça Placa]],0)</f>
        <v>0</v>
      </c>
      <c r="Q1197" s="37">
        <f>IFERROR(Tabela3[[#This Row],[Realizado]]*Tabela3[[#This Row],[Peso Util/Pç]],0)</f>
        <v>39.599999999999994</v>
      </c>
      <c r="R1197" s="37">
        <f>IFERROR(Tabela3[[#This Row],[Peso Total Galho]]*Tabela3[[#This Row],[Qtde Cx Produzida]]*1.055,0)</f>
        <v>46.114049999999999</v>
      </c>
      <c r="S1197" s="37">
        <f>(Tabela3[[#This Row],[Aluminio Bruto]]-Tabela3[[#This Row],[Aluminio Util]])*0.9</f>
        <v>5.8626450000000041</v>
      </c>
      <c r="T1197" s="37">
        <f>Tabela3[[#This Row],[Aluminio Bruto]]/OleoKGAluminio</f>
        <v>19.400121210106189</v>
      </c>
      <c r="U1197" s="35">
        <f>IFERROR((VLOOKUP(Tabela3[[#This Row],[Moldador]],Tabela1[],5,)+(VLOOKUP(Tabela3[[#This Row],[Ajudante]],Tabela1[],5,))*3.5),0)</f>
        <v>99.95034583333333</v>
      </c>
      <c r="V1197" s="35">
        <f>IFERROR(Tabela3[[#This Row],[Custo M.O. / H]]/((Tabela3[[#This Row],[Realizado]]/Tabela3[[#This Row],[Qdt Peça Placa]])/Tabela3[[#This Row],[Tempo]]/24),)</f>
        <v>42.756536828703702</v>
      </c>
      <c r="W1197" s="35">
        <f>Tabela3[[#This Row],[Custo / Cx Moldada]]*Tabela3[[#This Row],[Qtde Cx Produzida]]</f>
        <v>128.26961048611111</v>
      </c>
      <c r="X1197" s="35">
        <f ca="1">Tabela3[[#This Row],[Aluminio Util]]*Tabela3[[#This Row],[Custo/Kg]]</f>
        <v>696.95999999999992</v>
      </c>
      <c r="Y1197" s="35">
        <f>IFERROR(VLOOKUP(Tabela3[[#This Row],[Data]],Tabela461213[],2,1)*(Tabela3[[#This Row],[Qtde Cx Produzida]]*Tabela3[[#This Row],[Qde macho / CX]]*Tabela3[[#This Row],[Peso Macho]]),)</f>
        <v>0</v>
      </c>
      <c r="Z1197" s="35">
        <f>IFERROR(Tabela3[[#This Row],[Qtde Oleo]]*(VLOOKUP(Tabela3[[#This Row],[Data]],CompraOleo[],3,TRUE))*1.05,0)</f>
        <v>50.925318176528748</v>
      </c>
      <c r="AA1197" s="47">
        <f ca="1">(Tabela3[[#This Row],[Custo Oleo]]+Tabela3[[#This Row],[Custo Aluminio]]+Tabela3[[#This Row],[Custo M.O. Total]]+Tabela3[[#This Row],[Custo Machos]])</f>
        <v>876.1549286626398</v>
      </c>
      <c r="AB1197" s="47">
        <f ca="1">Tabela3[[#This Row],[Custo Total]]*Tabela3[[#This Row],[% Perda]]</f>
        <v>0</v>
      </c>
      <c r="AC1197" s="40">
        <f>IFERROR(VLOOKUP(Tabela3[[#This Row],[Produto]],Tabela2[],2,0),0)</f>
        <v>1</v>
      </c>
      <c r="AD1197" s="48">
        <f>IFERROR(VLOOKUP(Tabela3[[#This Row],[Produto]],Tabela2[],3,0),0)</f>
        <v>13.2</v>
      </c>
      <c r="AE1197" s="48">
        <f>IFERROR(VLOOKUP(Tabela3[[#This Row],[Produto]],Tabela2[],4,0),0)</f>
        <v>14.57</v>
      </c>
      <c r="AF1197" s="48">
        <f>IFERROR(VLOOKUP(Tabela3[[#This Row],[Produto]],Tabela2[],5,0),0)</f>
        <v>1.233000000000001</v>
      </c>
      <c r="AG1197" s="48">
        <f>IFERROR(VLOOKUP(Tabela3[[#This Row],[Produto]],Tabela2[],6,0),0)</f>
        <v>0</v>
      </c>
      <c r="AH1197" s="40">
        <f>IFERROR(VLOOKUP(Tabela3[[#This Row],[Produto]],Tabela2[],7,0),0)</f>
        <v>0</v>
      </c>
      <c r="AI1197" s="40">
        <f>IFERROR(VLOOKUP(Tabela3[[#This Row],[Produto]],Tabela2[],8,0),0)</f>
        <v>0</v>
      </c>
      <c r="AJ1197" s="35">
        <f ca="1">IFERROR(VLOOKUP(Tabela3[[#This Row],[Produto]],Tabela2[],13,0),0)</f>
        <v>17.600000000000001</v>
      </c>
      <c r="AK1197" s="48" t="str">
        <f>IFERROR(VLOOKUP(Tabela3[[#This Row],[Produto]],Tabela2[],14,0),0)</f>
        <v>Oscar</v>
      </c>
      <c r="AL1197" s="40">
        <f>IFERROR(VLOOKUP(Tabela3[[#This Row],[Produto]],Tabela2[],15,0),0)</f>
        <v>0</v>
      </c>
      <c r="AM1197" s="36">
        <f ca="1">(Tabela3[[#This Row],[Custo Usinagem]]+Tabela3[[#This Row],[Custo / Pç]])*1.2</f>
        <v>350.46197146505591</v>
      </c>
      <c r="AN1197" s="36">
        <f ca="1">Tabela3[[#This Row],[Valor Mínimo Venda]]*1.15</f>
        <v>403.03126718481428</v>
      </c>
      <c r="AO1197" s="36">
        <f ca="1">Tabela3[[#This Row],[Tabela 1]]*1.08</f>
        <v>435.27376855959943</v>
      </c>
      <c r="AP1197" s="36">
        <f ca="1">Tabela3[[#This Row],[Tabela 2]]*1.15</f>
        <v>500.5648338435393</v>
      </c>
    </row>
    <row r="1198" spans="1:42">
      <c r="A1198" s="9">
        <v>46154</v>
      </c>
      <c r="B1198" s="9" t="s">
        <v>247</v>
      </c>
      <c r="C1198" s="14">
        <v>9716</v>
      </c>
      <c r="D1198" s="6" t="s">
        <v>46</v>
      </c>
      <c r="E1198" s="6" t="s">
        <v>50</v>
      </c>
      <c r="F1198" s="6">
        <v>7</v>
      </c>
      <c r="G1198" s="15">
        <v>3.6805555555555557E-2</v>
      </c>
      <c r="H1198" s="16">
        <v>0</v>
      </c>
      <c r="I1198" s="35">
        <f ca="1">IFERROR(Tabela3[[#This Row],[Custo Total]]/Tabela3[[#This Row],[Aluminio Util]],0)</f>
        <v>28.343707036746601</v>
      </c>
      <c r="J1198" s="35">
        <f ca="1">Tabela3[[#This Row],[Custo Total]]/Tabela3[[#This Row],[Realizado]]</f>
        <v>8.5031121110239809</v>
      </c>
      <c r="K1198" s="37">
        <f>IFERROR(Tabela3[[#This Row],[Qtde Cx Produzida]]/Tabela3[[#This Row],[Tempo]]/24,0)</f>
        <v>7.9245283018867925</v>
      </c>
      <c r="L1198" s="37">
        <f>Tabela3[[#This Row],[Qtde Cx Produzida]]*Tabela3[[#This Row],[Qdt Peça Placa]]</f>
        <v>28</v>
      </c>
      <c r="M1198" s="37">
        <f>Tabela3[[#This Row],[Previsto]]-Tabela3[[#This Row],[Perda Pçs]]</f>
        <v>28</v>
      </c>
      <c r="N1198" s="38">
        <f>IFERROR(Tabela3[[#This Row],[Perda Pçs]]/Tabela3[[#This Row],[Previsto]],0)</f>
        <v>0</v>
      </c>
      <c r="O1198" s="39">
        <f>IFERROR(IF(Tabela3[[#This Row],[Qtde Cx Produzida]] &lt;&gt; 0, Tabela3[[#This Row],[Tempo]] / Tabela3[[#This Row],[Qtde Cx Produzida]], 0),0)</f>
        <v>5.2579365079365083E-3</v>
      </c>
      <c r="P1198" s="57">
        <f>IFERROR(Tabela3[[#This Row],[Perda Pçs]]/Tabela3[[#This Row],[Qdt Peça Placa]],0)</f>
        <v>0</v>
      </c>
      <c r="Q1198" s="37">
        <f>IFERROR(Tabela3[[#This Row],[Realizado]]*Tabela3[[#This Row],[Peso Util/Pç]],0)</f>
        <v>8.4</v>
      </c>
      <c r="R1198" s="37">
        <f>IFERROR(Tabela3[[#This Row],[Peso Total Galho]]*Tabela3[[#This Row],[Qtde Cx Produzida]]*1.055,0)</f>
        <v>16.985499999999998</v>
      </c>
      <c r="S1198" s="37">
        <f>(Tabela3[[#This Row],[Aluminio Bruto]]-Tabela3[[#This Row],[Aluminio Util]])*0.9</f>
        <v>7.7269499999999987</v>
      </c>
      <c r="T1198" s="37">
        <f>Tabela3[[#This Row],[Aluminio Bruto]]/OleoKGAluminio</f>
        <v>7.1457778879594978</v>
      </c>
      <c r="U1198" s="35">
        <f>IFERROR((VLOOKUP(Tabela3[[#This Row],[Moldador]],Tabela1[],5,)+(VLOOKUP(Tabela3[[#This Row],[Ajudante]],Tabela1[],5,))*3.5),0)</f>
        <v>99.95034583333333</v>
      </c>
      <c r="V1198" s="35">
        <f>IFERROR(Tabela3[[#This Row],[Custo M.O. / H]]/((Tabela3[[#This Row],[Realizado]]/Tabela3[[#This Row],[Qdt Peça Placa]])/Tabela3[[#This Row],[Tempo]]/24),)</f>
        <v>12.61278173611111</v>
      </c>
      <c r="W1198" s="35">
        <f>Tabela3[[#This Row],[Custo / Cx Moldada]]*Tabela3[[#This Row],[Qtde Cx Produzida]]</f>
        <v>88.289472152777762</v>
      </c>
      <c r="X1198" s="35">
        <f ca="1">Tabela3[[#This Row],[Aluminio Util]]*Tabela3[[#This Row],[Custo/Kg]]</f>
        <v>131.04000000000002</v>
      </c>
      <c r="Y1198" s="35">
        <f>IFERROR(VLOOKUP(Tabela3[[#This Row],[Data]],Tabela461213[],2,1)*(Tabela3[[#This Row],[Qtde Cx Produzida]]*Tabela3[[#This Row],[Qde macho / CX]]*Tabela3[[#This Row],[Peso Macho]]),)</f>
        <v>0</v>
      </c>
      <c r="Z1198" s="35">
        <f>IFERROR(Tabela3[[#This Row],[Qtde Oleo]]*(VLOOKUP(Tabela3[[#This Row],[Data]],CompraOleo[],3,TRUE))*1.05,0)</f>
        <v>18.757666955893683</v>
      </c>
      <c r="AA1198" s="47">
        <f ca="1">(Tabela3[[#This Row],[Custo Oleo]]+Tabela3[[#This Row],[Custo Aluminio]]+Tabela3[[#This Row],[Custo M.O. Total]]+Tabela3[[#This Row],[Custo Machos]])</f>
        <v>238.08713910867147</v>
      </c>
      <c r="AB1198" s="47">
        <f ca="1">Tabela3[[#This Row],[Custo Total]]*Tabela3[[#This Row],[% Perda]]</f>
        <v>0</v>
      </c>
      <c r="AC1198" s="40">
        <f>IFERROR(VLOOKUP(Tabela3[[#This Row],[Produto]],Tabela2[],2,0),0)</f>
        <v>4</v>
      </c>
      <c r="AD1198" s="48">
        <f>IFERROR(VLOOKUP(Tabela3[[#This Row],[Produto]],Tabela2[],3,0),0)</f>
        <v>0.3</v>
      </c>
      <c r="AE1198" s="48">
        <f>IFERROR(VLOOKUP(Tabela3[[#This Row],[Produto]],Tabela2[],4,0),0)</f>
        <v>2.2999999999999998</v>
      </c>
      <c r="AF1198" s="48">
        <f>IFERROR(VLOOKUP(Tabela3[[#This Row],[Produto]],Tabela2[],5,0),0)</f>
        <v>0.98999999999999988</v>
      </c>
      <c r="AG1198" s="48">
        <f>IFERROR(VLOOKUP(Tabela3[[#This Row],[Produto]],Tabela2[],6,0),0)</f>
        <v>0</v>
      </c>
      <c r="AH1198" s="40">
        <f>IFERROR(VLOOKUP(Tabela3[[#This Row],[Produto]],Tabela2[],7,0),0)</f>
        <v>0</v>
      </c>
      <c r="AI1198" s="40">
        <f>IFERROR(VLOOKUP(Tabela3[[#This Row],[Produto]],Tabela2[],8,0),0)</f>
        <v>0</v>
      </c>
      <c r="AJ1198" s="35">
        <f ca="1">IFERROR(VLOOKUP(Tabela3[[#This Row],[Produto]],Tabela2[],13,0),0)</f>
        <v>15.600000000000001</v>
      </c>
      <c r="AK1198" s="48" t="str">
        <f>IFERROR(VLOOKUP(Tabela3[[#This Row],[Produto]],Tabela2[],14,0),0)</f>
        <v>Senun</v>
      </c>
      <c r="AL1198" s="40">
        <f>IFERROR(VLOOKUP(Tabela3[[#This Row],[Produto]],Tabela2[],15,0),0)</f>
        <v>3.5</v>
      </c>
      <c r="AM1198" s="36">
        <f ca="1">(Tabela3[[#This Row],[Custo Usinagem]]+Tabela3[[#This Row],[Custo / Pç]])*1.2</f>
        <v>14.403734533228777</v>
      </c>
      <c r="AN1198" s="36">
        <f ca="1">Tabela3[[#This Row],[Valor Mínimo Venda]]*1.15</f>
        <v>16.564294713213091</v>
      </c>
      <c r="AO1198" s="36">
        <f ca="1">Tabela3[[#This Row],[Tabela 1]]*1.08</f>
        <v>17.889438290270139</v>
      </c>
      <c r="AP1198" s="36">
        <f ca="1">Tabela3[[#This Row],[Tabela 2]]*1.15</f>
        <v>20.572854033810657</v>
      </c>
    </row>
    <row r="1199" spans="1:42">
      <c r="A1199" s="9">
        <v>46154</v>
      </c>
      <c r="B1199" s="9" t="s">
        <v>247</v>
      </c>
      <c r="C1199" s="14">
        <v>9716</v>
      </c>
      <c r="D1199" s="6" t="s">
        <v>44</v>
      </c>
      <c r="E1199" s="6" t="s">
        <v>47</v>
      </c>
      <c r="F1199" s="6">
        <v>45</v>
      </c>
      <c r="G1199" s="15">
        <v>0.18888888888888888</v>
      </c>
      <c r="H1199" s="16">
        <v>0</v>
      </c>
      <c r="I1199" s="35">
        <f ca="1">IFERROR(Tabela3[[#This Row],[Custo Total]]/Tabela3[[#This Row],[Aluminio Util]],0)</f>
        <v>26.223948820440018</v>
      </c>
      <c r="J1199" s="35">
        <f ca="1">Tabela3[[#This Row],[Custo Total]]/Tabela3[[#This Row],[Realizado]]</f>
        <v>7.8671846461320047</v>
      </c>
      <c r="K1199" s="37">
        <f>IFERROR(Tabela3[[#This Row],[Qtde Cx Produzida]]/Tabela3[[#This Row],[Tempo]]/24,0)</f>
        <v>9.9264705882352953</v>
      </c>
      <c r="L1199" s="37">
        <f>Tabela3[[#This Row],[Qtde Cx Produzida]]*Tabela3[[#This Row],[Qdt Peça Placa]]</f>
        <v>180</v>
      </c>
      <c r="M1199" s="37">
        <f>Tabela3[[#This Row],[Previsto]]-Tabela3[[#This Row],[Perda Pçs]]</f>
        <v>180</v>
      </c>
      <c r="N1199" s="38">
        <f>IFERROR(Tabela3[[#This Row],[Perda Pçs]]/Tabela3[[#This Row],[Previsto]],0)</f>
        <v>0</v>
      </c>
      <c r="O1199" s="39">
        <f>IFERROR(IF(Tabela3[[#This Row],[Qtde Cx Produzida]] &lt;&gt; 0, Tabela3[[#This Row],[Tempo]] / Tabela3[[#This Row],[Qtde Cx Produzida]], 0),0)</f>
        <v>4.1975308641975309E-3</v>
      </c>
      <c r="P1199" s="57">
        <f>IFERROR(Tabela3[[#This Row],[Perda Pçs]]/Tabela3[[#This Row],[Qdt Peça Placa]],0)</f>
        <v>0</v>
      </c>
      <c r="Q1199" s="37">
        <f>IFERROR(Tabela3[[#This Row],[Realizado]]*Tabela3[[#This Row],[Peso Util/Pç]],0)</f>
        <v>54</v>
      </c>
      <c r="R1199" s="37">
        <f>IFERROR(Tabela3[[#This Row],[Peso Total Galho]]*Tabela3[[#This Row],[Qtde Cx Produzida]]*1.055,0)</f>
        <v>109.19249999999998</v>
      </c>
      <c r="S1199" s="37">
        <f>(Tabela3[[#This Row],[Aluminio Bruto]]-Tabela3[[#This Row],[Aluminio Util]])*0.9</f>
        <v>49.673249999999982</v>
      </c>
      <c r="T1199" s="37">
        <f>Tabela3[[#This Row],[Aluminio Bruto]]/OleoKGAluminio</f>
        <v>45.937143565453908</v>
      </c>
      <c r="U1199" s="35">
        <f>IFERROR((VLOOKUP(Tabela3[[#This Row],[Moldador]],Tabela1[],5,)+(VLOOKUP(Tabela3[[#This Row],[Ajudante]],Tabela1[],5,))*3.5),0)</f>
        <v>99.95034583333333</v>
      </c>
      <c r="V1199" s="35">
        <f>IFERROR(Tabela3[[#This Row],[Custo M.O. / H]]/((Tabela3[[#This Row],[Realizado]]/Tabela3[[#This Row],[Qdt Peça Placa]])/Tabela3[[#This Row],[Tempo]]/24),)</f>
        <v>10.069071876543209</v>
      </c>
      <c r="W1199" s="35">
        <f>Tabela3[[#This Row],[Custo / Cx Moldada]]*Tabela3[[#This Row],[Qtde Cx Produzida]]</f>
        <v>453.10823444444441</v>
      </c>
      <c r="X1199" s="35">
        <f ca="1">Tabela3[[#This Row],[Aluminio Util]]*Tabela3[[#This Row],[Custo/Kg]]</f>
        <v>842.40000000000009</v>
      </c>
      <c r="Y1199" s="35">
        <f>IFERROR(VLOOKUP(Tabela3[[#This Row],[Data]],Tabela461213[],2,1)*(Tabela3[[#This Row],[Qtde Cx Produzida]]*Tabela3[[#This Row],[Qde macho / CX]]*Tabela3[[#This Row],[Peso Macho]]),)</f>
        <v>0</v>
      </c>
      <c r="Z1199" s="35">
        <f>IFERROR(Tabela3[[#This Row],[Qtde Oleo]]*(VLOOKUP(Tabela3[[#This Row],[Data]],CompraOleo[],3,TRUE))*1.05,0)</f>
        <v>120.58500185931652</v>
      </c>
      <c r="AA1199" s="47">
        <f ca="1">(Tabela3[[#This Row],[Custo Oleo]]+Tabela3[[#This Row],[Custo Aluminio]]+Tabela3[[#This Row],[Custo M.O. Total]]+Tabela3[[#This Row],[Custo Machos]])</f>
        <v>1416.0932363037609</v>
      </c>
      <c r="AB1199" s="47">
        <f ca="1">Tabela3[[#This Row],[Custo Total]]*Tabela3[[#This Row],[% Perda]]</f>
        <v>0</v>
      </c>
      <c r="AC1199" s="40">
        <f>IFERROR(VLOOKUP(Tabela3[[#This Row],[Produto]],Tabela2[],2,0),0)</f>
        <v>4</v>
      </c>
      <c r="AD1199" s="48">
        <f>IFERROR(VLOOKUP(Tabela3[[#This Row],[Produto]],Tabela2[],3,0),0)</f>
        <v>0.3</v>
      </c>
      <c r="AE1199" s="48">
        <f>IFERROR(VLOOKUP(Tabela3[[#This Row],[Produto]],Tabela2[],4,0),0)</f>
        <v>2.2999999999999998</v>
      </c>
      <c r="AF1199" s="48">
        <f>IFERROR(VLOOKUP(Tabela3[[#This Row],[Produto]],Tabela2[],5,0),0)</f>
        <v>0.98999999999999988</v>
      </c>
      <c r="AG1199" s="48">
        <f>IFERROR(VLOOKUP(Tabela3[[#This Row],[Produto]],Tabela2[],6,0),0)</f>
        <v>0</v>
      </c>
      <c r="AH1199" s="40">
        <f>IFERROR(VLOOKUP(Tabela3[[#This Row],[Produto]],Tabela2[],7,0),0)</f>
        <v>0</v>
      </c>
      <c r="AI1199" s="40">
        <f>IFERROR(VLOOKUP(Tabela3[[#This Row],[Produto]],Tabela2[],8,0),0)</f>
        <v>0</v>
      </c>
      <c r="AJ1199" s="35">
        <f ca="1">IFERROR(VLOOKUP(Tabela3[[#This Row],[Produto]],Tabela2[],13,0),0)</f>
        <v>15.600000000000001</v>
      </c>
      <c r="AK1199" s="48" t="str">
        <f>IFERROR(VLOOKUP(Tabela3[[#This Row],[Produto]],Tabela2[],14,0),0)</f>
        <v>Senun</v>
      </c>
      <c r="AL1199" s="40">
        <f>IFERROR(VLOOKUP(Tabela3[[#This Row],[Produto]],Tabela2[],15,0),0)</f>
        <v>3.5</v>
      </c>
      <c r="AM1199" s="36">
        <f ca="1">(Tabela3[[#This Row],[Custo Usinagem]]+Tabela3[[#This Row],[Custo / Pç]])*1.2</f>
        <v>13.640621575358406</v>
      </c>
      <c r="AN1199" s="36">
        <f ca="1">Tabela3[[#This Row],[Valor Mínimo Venda]]*1.15</f>
        <v>15.686714811662165</v>
      </c>
      <c r="AO1199" s="36">
        <f ca="1">Tabela3[[#This Row],[Tabela 1]]*1.08</f>
        <v>16.941651996595141</v>
      </c>
      <c r="AP1199" s="36">
        <f ca="1">Tabela3[[#This Row],[Tabela 2]]*1.15</f>
        <v>19.482899796084411</v>
      </c>
    </row>
    <row r="1200" spans="1:42">
      <c r="A1200" s="9">
        <v>46154</v>
      </c>
      <c r="B1200" s="6" t="s">
        <v>241</v>
      </c>
      <c r="C1200" s="14">
        <v>9681</v>
      </c>
      <c r="D1200" s="6" t="s">
        <v>44</v>
      </c>
      <c r="E1200" s="6" t="s">
        <v>47</v>
      </c>
      <c r="F1200" s="6">
        <v>10</v>
      </c>
      <c r="G1200" s="15">
        <v>5.7638888888888892E-2</v>
      </c>
      <c r="H1200" s="16">
        <v>8</v>
      </c>
      <c r="I1200" s="35">
        <f ca="1">IFERROR(Tabela3[[#This Row],[Custo Total]]/Tabela3[[#This Row],[Aluminio Util]],0)</f>
        <v>26.994344376640015</v>
      </c>
      <c r="J1200" s="35">
        <f ca="1">Tabela3[[#This Row],[Custo Total]]/Tabela3[[#This Row],[Realizado]]</f>
        <v>16.54753310288033</v>
      </c>
      <c r="K1200" s="37">
        <f>IFERROR(Tabela3[[#This Row],[Qtde Cx Produzida]]/Tabela3[[#This Row],[Tempo]]/24,0)</f>
        <v>7.2289156626506026</v>
      </c>
      <c r="L1200" s="37">
        <f>Tabela3[[#This Row],[Qtde Cx Produzida]]*Tabela3[[#This Row],[Qdt Peça Placa]]</f>
        <v>40</v>
      </c>
      <c r="M1200" s="37">
        <f>Tabela3[[#This Row],[Previsto]]-Tabela3[[#This Row],[Perda Pçs]]</f>
        <v>32</v>
      </c>
      <c r="N1200" s="38">
        <f>IFERROR(Tabela3[[#This Row],[Perda Pçs]]/Tabela3[[#This Row],[Previsto]],0)</f>
        <v>0.2</v>
      </c>
      <c r="O1200" s="39">
        <f>IFERROR(IF(Tabela3[[#This Row],[Qtde Cx Produzida]] &lt;&gt; 0, Tabela3[[#This Row],[Tempo]] / Tabela3[[#This Row],[Qtde Cx Produzida]], 0),0)</f>
        <v>5.7638888888888896E-3</v>
      </c>
      <c r="P1200" s="57">
        <f>IFERROR(Tabela3[[#This Row],[Perda Pçs]]/Tabela3[[#This Row],[Qdt Peça Placa]],0)</f>
        <v>2</v>
      </c>
      <c r="Q1200" s="37">
        <f>IFERROR(Tabela3[[#This Row],[Realizado]]*Tabela3[[#This Row],[Peso Util/Pç]],0)</f>
        <v>19.616</v>
      </c>
      <c r="R1200" s="37">
        <f>IFERROR(Tabela3[[#This Row],[Peso Total Galho]]*Tabela3[[#This Row],[Qtde Cx Produzida]]*1.055,0)</f>
        <v>45.892499999999998</v>
      </c>
      <c r="S1200" s="37">
        <f>(Tabela3[[#This Row],[Aluminio Bruto]]-Tabela3[[#This Row],[Aluminio Util]])*0.9</f>
        <v>23.648849999999999</v>
      </c>
      <c r="T1200" s="37">
        <f>Tabela3[[#This Row],[Aluminio Bruto]]/OleoKGAluminio</f>
        <v>19.306915411567587</v>
      </c>
      <c r="U1200" s="35">
        <f>IFERROR((VLOOKUP(Tabela3[[#This Row],[Moldador]],Tabela1[],5,)+(VLOOKUP(Tabela3[[#This Row],[Ajudante]],Tabela1[],5,))*3.5),0)</f>
        <v>99.95034583333333</v>
      </c>
      <c r="V1200" s="35">
        <f>IFERROR(Tabela3[[#This Row],[Custo M.O. / H]]/((Tabela3[[#This Row],[Realizado]]/Tabela3[[#This Row],[Qdt Peça Placa]])/Tabela3[[#This Row],[Tempo]]/24),)</f>
        <v>17.283080633680555</v>
      </c>
      <c r="W1200" s="35">
        <f>Tabela3[[#This Row],[Custo / Cx Moldada]]*Tabela3[[#This Row],[Qtde Cx Produzida]]</f>
        <v>172.83080633680555</v>
      </c>
      <c r="X1200" s="35">
        <f ca="1">Tabela3[[#This Row],[Aluminio Util]]*Tabela3[[#This Row],[Custo/Kg]]</f>
        <v>306.00960000000003</v>
      </c>
      <c r="Y1200" s="35">
        <f>IFERROR(VLOOKUP(Tabela3[[#This Row],[Data]],Tabela461213[],2,1)*(Tabela3[[#This Row],[Qtde Cx Produzida]]*Tabela3[[#This Row],[Qde macho / CX]]*Tabela3[[#This Row],[Peso Macho]]),)</f>
        <v>0</v>
      </c>
      <c r="Z1200" s="35">
        <f>IFERROR(Tabela3[[#This Row],[Qtde Oleo]]*(VLOOKUP(Tabela3[[#This Row],[Data]],CompraOleo[],3,TRUE))*1.05,0)</f>
        <v>50.68065295536492</v>
      </c>
      <c r="AA1200" s="47">
        <f ca="1">(Tabela3[[#This Row],[Custo Oleo]]+Tabela3[[#This Row],[Custo Aluminio]]+Tabela3[[#This Row],[Custo M.O. Total]]+Tabela3[[#This Row],[Custo Machos]])</f>
        <v>529.52105929217055</v>
      </c>
      <c r="AB1200" s="47">
        <f ca="1">Tabela3[[#This Row],[Custo Total]]*Tabela3[[#This Row],[% Perda]]</f>
        <v>105.90421185843411</v>
      </c>
      <c r="AC1200" s="40">
        <f>IFERROR(VLOOKUP(Tabela3[[#This Row],[Produto]],Tabela2[],2,0),0)</f>
        <v>4</v>
      </c>
      <c r="AD1200" s="48">
        <f>IFERROR(VLOOKUP(Tabela3[[#This Row],[Produto]],Tabela2[],3,0),0)</f>
        <v>0.61299999999999999</v>
      </c>
      <c r="AE1200" s="48">
        <f>IFERROR(VLOOKUP(Tabela3[[#This Row],[Produto]],Tabela2[],4,0),0)</f>
        <v>4.3499999999999996</v>
      </c>
      <c r="AF1200" s="48">
        <f>IFERROR(VLOOKUP(Tabela3[[#This Row],[Produto]],Tabela2[],5,0),0)</f>
        <v>1.7081999999999997</v>
      </c>
      <c r="AG1200" s="48">
        <f>IFERROR(VLOOKUP(Tabela3[[#This Row],[Produto]],Tabela2[],6,0),0)</f>
        <v>0</v>
      </c>
      <c r="AH1200" s="40">
        <f>IFERROR(VLOOKUP(Tabela3[[#This Row],[Produto]],Tabela2[],7,0),0)</f>
        <v>0</v>
      </c>
      <c r="AI1200" s="40">
        <f>IFERROR(VLOOKUP(Tabela3[[#This Row],[Produto]],Tabela2[],8,0),0)</f>
        <v>0</v>
      </c>
      <c r="AJ1200" s="35">
        <f ca="1">IFERROR(VLOOKUP(Tabela3[[#This Row],[Produto]],Tabela2[],13,0),0)</f>
        <v>15.600000000000001</v>
      </c>
      <c r="AK1200" s="48" t="str">
        <f>IFERROR(VLOOKUP(Tabela3[[#This Row],[Produto]],Tabela2[],14,0),0)</f>
        <v>Senun</v>
      </c>
      <c r="AL1200" s="40">
        <f>IFERROR(VLOOKUP(Tabela3[[#This Row],[Produto]],Tabela2[],15,0),0)</f>
        <v>4</v>
      </c>
      <c r="AM1200" s="36">
        <f ca="1">(Tabela3[[#This Row],[Custo Usinagem]]+Tabela3[[#This Row],[Custo / Pç]])*1.2</f>
        <v>24.657039723456396</v>
      </c>
      <c r="AN1200" s="36">
        <f ca="1">Tabela3[[#This Row],[Valor Mínimo Venda]]*1.15</f>
        <v>28.355595681974854</v>
      </c>
      <c r="AO1200" s="36">
        <f ca="1">Tabela3[[#This Row],[Tabela 1]]*1.08</f>
        <v>30.624043336532846</v>
      </c>
      <c r="AP1200" s="36">
        <f ca="1">Tabela3[[#This Row],[Tabela 2]]*1.15</f>
        <v>35.217649837012772</v>
      </c>
    </row>
    <row r="1201" spans="1:42">
      <c r="A1201" s="9">
        <v>46154</v>
      </c>
      <c r="B1201" s="9" t="s">
        <v>257</v>
      </c>
      <c r="C1201" s="14">
        <v>9686</v>
      </c>
      <c r="D1201" s="6" t="s">
        <v>44</v>
      </c>
      <c r="E1201" s="6" t="s">
        <v>47</v>
      </c>
      <c r="F1201" s="6">
        <v>28</v>
      </c>
      <c r="G1201" s="15">
        <v>0.10416666666666667</v>
      </c>
      <c r="H1201" s="16">
        <v>1</v>
      </c>
      <c r="I1201" s="35">
        <f ca="1">IFERROR(Tabela3[[#This Row],[Custo Total]]/Tabela3[[#This Row],[Aluminio Util]],0)</f>
        <v>27.179008036957114</v>
      </c>
      <c r="J1201" s="35">
        <f ca="1">Tabela3[[#This Row],[Custo Total]]/Tabela3[[#This Row],[Realizado]]</f>
        <v>3.3973760046196393</v>
      </c>
      <c r="K1201" s="37">
        <f>IFERROR(Tabela3[[#This Row],[Qtde Cx Produzida]]/Tabela3[[#This Row],[Tempo]]/24,0)</f>
        <v>11.200000000000001</v>
      </c>
      <c r="L1201" s="37">
        <f>Tabela3[[#This Row],[Qtde Cx Produzida]]*Tabela3[[#This Row],[Qdt Peça Placa]]</f>
        <v>224</v>
      </c>
      <c r="M1201" s="37">
        <f>Tabela3[[#This Row],[Previsto]]-Tabela3[[#This Row],[Perda Pçs]]</f>
        <v>223</v>
      </c>
      <c r="N1201" s="38">
        <f>IFERROR(Tabela3[[#This Row],[Perda Pçs]]/Tabela3[[#This Row],[Previsto]],0)</f>
        <v>4.464285714285714E-3</v>
      </c>
      <c r="O1201" s="39">
        <f>IFERROR(IF(Tabela3[[#This Row],[Qtde Cx Produzida]] &lt;&gt; 0, Tabela3[[#This Row],[Tempo]] / Tabela3[[#This Row],[Qtde Cx Produzida]], 0),0)</f>
        <v>3.7202380952380955E-3</v>
      </c>
      <c r="P1201" s="57">
        <f>IFERROR(Tabela3[[#This Row],[Perda Pçs]]/Tabela3[[#This Row],[Qdt Peça Placa]],0)</f>
        <v>0.125</v>
      </c>
      <c r="Q1201" s="37">
        <f>IFERROR(Tabela3[[#This Row],[Realizado]]*Tabela3[[#This Row],[Peso Util/Pç]],0)</f>
        <v>27.875</v>
      </c>
      <c r="R1201" s="37">
        <f>IFERROR(Tabela3[[#This Row],[Peso Total Galho]]*Tabela3[[#This Row],[Qtde Cx Produzida]]*1.055,0)</f>
        <v>64.988</v>
      </c>
      <c r="S1201" s="37">
        <f>(Tabela3[[#This Row],[Aluminio Bruto]]-Tabela3[[#This Row],[Aluminio Util]])*0.9</f>
        <v>33.401699999999998</v>
      </c>
      <c r="T1201" s="37">
        <f>Tabela3[[#This Row],[Aluminio Bruto]]/OleoKGAluminio</f>
        <v>27.340367571323299</v>
      </c>
      <c r="U1201" s="35">
        <f>IFERROR((VLOOKUP(Tabela3[[#This Row],[Moldador]],Tabela1[],5,)+(VLOOKUP(Tabela3[[#This Row],[Ajudante]],Tabela1[],5,))*3.5),0)</f>
        <v>99.95034583333333</v>
      </c>
      <c r="V1201" s="35">
        <f>IFERROR(Tabela3[[#This Row],[Custo M.O. / H]]/((Tabela3[[#This Row],[Realizado]]/Tabela3[[#This Row],[Qdt Peça Placa]])/Tabela3[[#This Row],[Tempo]]/24),)</f>
        <v>8.9641565769805691</v>
      </c>
      <c r="W1201" s="35">
        <f>Tabela3[[#This Row],[Custo / Cx Moldada]]*Tabela3[[#This Row],[Qtde Cx Produzida]]</f>
        <v>250.99638415545593</v>
      </c>
      <c r="X1201" s="35">
        <f ca="1">Tabela3[[#This Row],[Aluminio Util]]*Tabela3[[#This Row],[Custo/Kg]]</f>
        <v>434.85</v>
      </c>
      <c r="Y1201" s="35">
        <f>IFERROR(VLOOKUP(Tabela3[[#This Row],[Data]],Tabela461213[],2,1)*(Tabela3[[#This Row],[Qtde Cx Produzida]]*Tabela3[[#This Row],[Qde macho / CX]]*Tabela3[[#This Row],[Peso Macho]]),)</f>
        <v>0</v>
      </c>
      <c r="Z1201" s="35">
        <f>IFERROR(Tabela3[[#This Row],[Qtde Oleo]]*(VLOOKUP(Tabela3[[#This Row],[Data]],CompraOleo[],3,TRUE))*1.05,0)</f>
        <v>71.768464874723662</v>
      </c>
      <c r="AA1201" s="47">
        <f ca="1">(Tabela3[[#This Row],[Custo Oleo]]+Tabela3[[#This Row],[Custo Aluminio]]+Tabela3[[#This Row],[Custo M.O. Total]]+Tabela3[[#This Row],[Custo Machos]])</f>
        <v>757.61484903017958</v>
      </c>
      <c r="AB1201" s="47">
        <f ca="1">Tabela3[[#This Row],[Custo Total]]*Tabela3[[#This Row],[% Perda]]</f>
        <v>3.3822091474561589</v>
      </c>
      <c r="AC1201" s="40">
        <f>IFERROR(VLOOKUP(Tabela3[[#This Row],[Produto]],Tabela2[],2,0),0)</f>
        <v>8</v>
      </c>
      <c r="AD1201" s="48">
        <f>IFERROR(VLOOKUP(Tabela3[[#This Row],[Produto]],Tabela2[],3,0),0)</f>
        <v>0.125</v>
      </c>
      <c r="AE1201" s="48">
        <f>IFERROR(VLOOKUP(Tabela3[[#This Row],[Produto]],Tabela2[],4,0),0)</f>
        <v>2.2000000000000002</v>
      </c>
      <c r="AF1201" s="48">
        <f>IFERROR(VLOOKUP(Tabela3[[#This Row],[Produto]],Tabela2[],5,0),0)</f>
        <v>1.0800000000000003</v>
      </c>
      <c r="AG1201" s="48">
        <f>IFERROR(VLOOKUP(Tabela3[[#This Row],[Produto]],Tabela2[],6,0),0)</f>
        <v>0</v>
      </c>
      <c r="AH1201" s="40">
        <f>IFERROR(VLOOKUP(Tabela3[[#This Row],[Produto]],Tabela2[],7,0),0)</f>
        <v>0</v>
      </c>
      <c r="AI1201" s="40">
        <f>IFERROR(VLOOKUP(Tabela3[[#This Row],[Produto]],Tabela2[],8,0),0)</f>
        <v>0</v>
      </c>
      <c r="AJ1201" s="35">
        <f ca="1">IFERROR(VLOOKUP(Tabela3[[#This Row],[Produto]],Tabela2[],13,0),0)</f>
        <v>15.600000000000001</v>
      </c>
      <c r="AK1201" s="48" t="str">
        <f>IFERROR(VLOOKUP(Tabela3[[#This Row],[Produto]],Tabela2[],14,0),0)</f>
        <v>Senun</v>
      </c>
      <c r="AL1201" s="40">
        <f>IFERROR(VLOOKUP(Tabela3[[#This Row],[Produto]],Tabela2[],15,0),0)</f>
        <v>7</v>
      </c>
      <c r="AM1201" s="36">
        <f ca="1">(Tabela3[[#This Row],[Custo Usinagem]]+Tabela3[[#This Row],[Custo / Pç]])*1.2</f>
        <v>12.476851205543566</v>
      </c>
      <c r="AN1201" s="36">
        <f ca="1">Tabela3[[#This Row],[Valor Mínimo Venda]]*1.15</f>
        <v>14.3483788863751</v>
      </c>
      <c r="AO1201" s="36">
        <f ca="1">Tabela3[[#This Row],[Tabela 1]]*1.08</f>
        <v>15.496249197285108</v>
      </c>
      <c r="AP1201" s="36">
        <f ca="1">Tabela3[[#This Row],[Tabela 2]]*1.15</f>
        <v>17.820686576877872</v>
      </c>
    </row>
    <row r="1202" spans="1:42">
      <c r="A1202" s="9">
        <v>46155</v>
      </c>
      <c r="B1202" s="9" t="s">
        <v>257</v>
      </c>
      <c r="C1202" s="14">
        <v>9686</v>
      </c>
      <c r="D1202" s="6" t="s">
        <v>46</v>
      </c>
      <c r="E1202" s="6" t="s">
        <v>50</v>
      </c>
      <c r="F1202" s="6">
        <v>22</v>
      </c>
      <c r="G1202" s="15">
        <v>0.1076388888888889</v>
      </c>
      <c r="H1202" s="16">
        <v>0</v>
      </c>
      <c r="I1202" s="35">
        <f ca="1">IFERROR(Tabela3[[#This Row],[Custo Total]]/Tabela3[[#This Row],[Aluminio Util]],0)</f>
        <v>29.899753099331768</v>
      </c>
      <c r="J1202" s="35">
        <f ca="1">Tabela3[[#This Row],[Custo Total]]/Tabela3[[#This Row],[Realizado]]</f>
        <v>3.737469137416471</v>
      </c>
      <c r="K1202" s="37">
        <f>IFERROR(Tabela3[[#This Row],[Qtde Cx Produzida]]/Tabela3[[#This Row],[Tempo]]/24,0)</f>
        <v>8.5161290322580641</v>
      </c>
      <c r="L1202" s="37">
        <f>Tabela3[[#This Row],[Qtde Cx Produzida]]*Tabela3[[#This Row],[Qdt Peça Placa]]</f>
        <v>176</v>
      </c>
      <c r="M1202" s="37">
        <f>Tabela3[[#This Row],[Previsto]]-Tabela3[[#This Row],[Perda Pçs]]</f>
        <v>176</v>
      </c>
      <c r="N1202" s="38">
        <f>IFERROR(Tabela3[[#This Row],[Perda Pçs]]/Tabela3[[#This Row],[Previsto]],0)</f>
        <v>0</v>
      </c>
      <c r="O1202" s="39">
        <f>IFERROR(IF(Tabela3[[#This Row],[Qtde Cx Produzida]] &lt;&gt; 0, Tabela3[[#This Row],[Tempo]] / Tabela3[[#This Row],[Qtde Cx Produzida]], 0),0)</f>
        <v>4.892676767676768E-3</v>
      </c>
      <c r="P1202" s="57">
        <f>IFERROR(Tabela3[[#This Row],[Perda Pçs]]/Tabela3[[#This Row],[Qdt Peça Placa]],0)</f>
        <v>0</v>
      </c>
      <c r="Q1202" s="37">
        <f>IFERROR(Tabela3[[#This Row],[Realizado]]*Tabela3[[#This Row],[Peso Util/Pç]],0)</f>
        <v>22</v>
      </c>
      <c r="R1202" s="37">
        <f>IFERROR(Tabela3[[#This Row],[Peso Total Galho]]*Tabela3[[#This Row],[Qtde Cx Produzida]]*1.055,0)</f>
        <v>51.062000000000005</v>
      </c>
      <c r="S1202" s="37">
        <f>(Tabela3[[#This Row],[Aluminio Bruto]]-Tabela3[[#This Row],[Aluminio Util]])*0.9</f>
        <v>26.155800000000006</v>
      </c>
      <c r="T1202" s="37">
        <f>Tabela3[[#This Row],[Aluminio Bruto]]/OleoKGAluminio</f>
        <v>21.481717377468307</v>
      </c>
      <c r="U1202" s="35">
        <f>IFERROR((VLOOKUP(Tabela3[[#This Row],[Moldador]],Tabela1[],5,)+(VLOOKUP(Tabela3[[#This Row],[Ajudante]],Tabela1[],5,))*3.5),0)</f>
        <v>99.95034583333333</v>
      </c>
      <c r="V1202" s="35">
        <f>IFERROR(Tabela3[[#This Row],[Custo M.O. / H]]/((Tabela3[[#This Row],[Realizado]]/Tabela3[[#This Row],[Qdt Peça Placa]])/Tabela3[[#This Row],[Tempo]]/24),)</f>
        <v>11.736593639520203</v>
      </c>
      <c r="W1202" s="35">
        <f>Tabela3[[#This Row],[Custo / Cx Moldada]]*Tabela3[[#This Row],[Qtde Cx Produzida]]</f>
        <v>258.20506006944447</v>
      </c>
      <c r="X1202" s="35">
        <f ca="1">Tabela3[[#This Row],[Aluminio Util]]*Tabela3[[#This Row],[Custo/Kg]]</f>
        <v>343.20000000000005</v>
      </c>
      <c r="Y1202" s="35">
        <f>IFERROR(VLOOKUP(Tabela3[[#This Row],[Data]],Tabela461213[],2,1)*(Tabela3[[#This Row],[Qtde Cx Produzida]]*Tabela3[[#This Row],[Qde macho / CX]]*Tabela3[[#This Row],[Peso Macho]]),)</f>
        <v>0</v>
      </c>
      <c r="Z1202" s="35">
        <f>IFERROR(Tabela3[[#This Row],[Qtde Oleo]]*(VLOOKUP(Tabela3[[#This Row],[Data]],CompraOleo[],3,TRUE))*1.05,0)</f>
        <v>56.389508115854305</v>
      </c>
      <c r="AA1202" s="47">
        <f ca="1">(Tabela3[[#This Row],[Custo Oleo]]+Tabela3[[#This Row],[Custo Aluminio]]+Tabela3[[#This Row],[Custo M.O. Total]]+Tabela3[[#This Row],[Custo Machos]])</f>
        <v>657.79456818529889</v>
      </c>
      <c r="AB1202" s="47">
        <f ca="1">Tabela3[[#This Row],[Custo Total]]*Tabela3[[#This Row],[% Perda]]</f>
        <v>0</v>
      </c>
      <c r="AC1202" s="40">
        <f>IFERROR(VLOOKUP(Tabela3[[#This Row],[Produto]],Tabela2[],2,0),0)</f>
        <v>8</v>
      </c>
      <c r="AD1202" s="48">
        <f>IFERROR(VLOOKUP(Tabela3[[#This Row],[Produto]],Tabela2[],3,0),0)</f>
        <v>0.125</v>
      </c>
      <c r="AE1202" s="48">
        <f>IFERROR(VLOOKUP(Tabela3[[#This Row],[Produto]],Tabela2[],4,0),0)</f>
        <v>2.2000000000000002</v>
      </c>
      <c r="AF1202" s="48">
        <f>IFERROR(VLOOKUP(Tabela3[[#This Row],[Produto]],Tabela2[],5,0),0)</f>
        <v>1.0800000000000003</v>
      </c>
      <c r="AG1202" s="48">
        <f>IFERROR(VLOOKUP(Tabela3[[#This Row],[Produto]],Tabela2[],6,0),0)</f>
        <v>0</v>
      </c>
      <c r="AH1202" s="40">
        <f>IFERROR(VLOOKUP(Tabela3[[#This Row],[Produto]],Tabela2[],7,0),0)</f>
        <v>0</v>
      </c>
      <c r="AI1202" s="40">
        <f>IFERROR(VLOOKUP(Tabela3[[#This Row],[Produto]],Tabela2[],8,0),0)</f>
        <v>0</v>
      </c>
      <c r="AJ1202" s="35">
        <f ca="1">IFERROR(VLOOKUP(Tabela3[[#This Row],[Produto]],Tabela2[],13,0),0)</f>
        <v>15.600000000000001</v>
      </c>
      <c r="AK1202" s="48" t="str">
        <f>IFERROR(VLOOKUP(Tabela3[[#This Row],[Produto]],Tabela2[],14,0),0)</f>
        <v>Senun</v>
      </c>
      <c r="AL1202" s="40">
        <f>IFERROR(VLOOKUP(Tabela3[[#This Row],[Produto]],Tabela2[],15,0),0)</f>
        <v>7</v>
      </c>
      <c r="AM1202" s="36">
        <f ca="1">(Tabela3[[#This Row],[Custo Usinagem]]+Tabela3[[#This Row],[Custo / Pç]])*1.2</f>
        <v>12.884962964899765</v>
      </c>
      <c r="AN1202" s="36">
        <f ca="1">Tabela3[[#This Row],[Valor Mínimo Venda]]*1.15</f>
        <v>14.817707409634728</v>
      </c>
      <c r="AO1202" s="36">
        <f ca="1">Tabela3[[#This Row],[Tabela 1]]*1.08</f>
        <v>16.003124002405507</v>
      </c>
      <c r="AP1202" s="36">
        <f ca="1">Tabela3[[#This Row],[Tabela 2]]*1.15</f>
        <v>18.403592602766331</v>
      </c>
    </row>
    <row r="1203" spans="1:42">
      <c r="A1203" s="9">
        <v>46155</v>
      </c>
      <c r="B1203" s="9" t="s">
        <v>282</v>
      </c>
      <c r="C1203" s="14">
        <v>9722</v>
      </c>
      <c r="D1203" s="6" t="s">
        <v>46</v>
      </c>
      <c r="E1203" s="6" t="s">
        <v>50</v>
      </c>
      <c r="F1203" s="6">
        <v>29</v>
      </c>
      <c r="G1203" s="15">
        <v>0.15138888888888888</v>
      </c>
      <c r="H1203" s="16">
        <v>40</v>
      </c>
      <c r="I1203" s="35">
        <f ca="1">IFERROR(Tabela3[[#This Row],[Custo Total]]/Tabela3[[#This Row],[Aluminio Util]],0)</f>
        <v>40.365476150180925</v>
      </c>
      <c r="J1203" s="35">
        <f ca="1">Tabela3[[#This Row],[Custo Total]]/Tabela3[[#This Row],[Realizado]]</f>
        <v>1.6953499983075986</v>
      </c>
      <c r="K1203" s="37">
        <f>IFERROR(Tabela3[[#This Row],[Qtde Cx Produzida]]/Tabela3[[#This Row],[Tempo]]/24,0)</f>
        <v>7.9816513761467895</v>
      </c>
      <c r="L1203" s="37">
        <f>Tabela3[[#This Row],[Qtde Cx Produzida]]*Tabela3[[#This Row],[Qdt Peça Placa]]</f>
        <v>522</v>
      </c>
      <c r="M1203" s="37">
        <f>Tabela3[[#This Row],[Previsto]]-Tabela3[[#This Row],[Perda Pçs]]</f>
        <v>482</v>
      </c>
      <c r="N1203" s="38">
        <f>IFERROR(Tabela3[[#This Row],[Perda Pçs]]/Tabela3[[#This Row],[Previsto]],0)</f>
        <v>7.662835249042145E-2</v>
      </c>
      <c r="O1203" s="39">
        <f>IFERROR(IF(Tabela3[[#This Row],[Qtde Cx Produzida]] &lt;&gt; 0, Tabela3[[#This Row],[Tempo]] / Tabela3[[#This Row],[Qtde Cx Produzida]], 0),0)</f>
        <v>5.2203065134099613E-3</v>
      </c>
      <c r="P1203" s="57">
        <f>IFERROR(Tabela3[[#This Row],[Perda Pçs]]/Tabela3[[#This Row],[Qdt Peça Placa]],0)</f>
        <v>2.2222222222222223</v>
      </c>
      <c r="Q1203" s="37">
        <f>IFERROR(Tabela3[[#This Row],[Realizado]]*Tabela3[[#This Row],[Peso Util/Pç]],0)</f>
        <v>20.244</v>
      </c>
      <c r="R1203" s="37">
        <f>IFERROR(Tabela3[[#This Row],[Peso Total Galho]]*Tabela3[[#This Row],[Qtde Cx Produzida]]*1.055,0)</f>
        <v>61.19</v>
      </c>
      <c r="S1203" s="37">
        <f>(Tabela3[[#This Row],[Aluminio Bruto]]-Tabela3[[#This Row],[Aluminio Util]])*0.9</f>
        <v>36.851399999999998</v>
      </c>
      <c r="T1203" s="37">
        <f>Tabela3[[#This Row],[Aluminio Bruto]]/OleoKGAluminio</f>
        <v>25.742553882090117</v>
      </c>
      <c r="U1203" s="35">
        <f>IFERROR((VLOOKUP(Tabela3[[#This Row],[Moldador]],Tabela1[],5,)+(VLOOKUP(Tabela3[[#This Row],[Ajudante]],Tabela1[],5,))*3.5),0)</f>
        <v>99.95034583333333</v>
      </c>
      <c r="V1203" s="35">
        <f>IFERROR(Tabela3[[#This Row],[Custo M.O. / H]]/((Tabela3[[#This Row],[Realizado]]/Tabela3[[#This Row],[Qdt Peça Placa]])/Tabela3[[#This Row],[Tempo]]/24),)</f>
        <v>13.561727422199167</v>
      </c>
      <c r="W1203" s="35">
        <f>Tabela3[[#This Row],[Custo / Cx Moldada]]*Tabela3[[#This Row],[Qtde Cx Produzida]]</f>
        <v>393.29009524377585</v>
      </c>
      <c r="X1203" s="35">
        <f ca="1">Tabela3[[#This Row],[Aluminio Util]]*Tabela3[[#This Row],[Custo/Kg]]</f>
        <v>356.29440000000005</v>
      </c>
      <c r="Y1203" s="35">
        <f>IFERROR(VLOOKUP(Tabela3[[#This Row],[Data]],Tabela461213[],2,1)*(Tabela3[[#This Row],[Qtde Cx Produzida]]*Tabela3[[#This Row],[Qde macho / CX]]*Tabela3[[#This Row],[Peso Macho]]),)</f>
        <v>0</v>
      </c>
      <c r="Z1203" s="35">
        <f>IFERROR(Tabela3[[#This Row],[Qtde Oleo]]*(VLOOKUP(Tabela3[[#This Row],[Data]],CompraOleo[],3,TRUE))*1.05,0)</f>
        <v>67.574203940486569</v>
      </c>
      <c r="AA1203" s="47">
        <f ca="1">(Tabela3[[#This Row],[Custo Oleo]]+Tabela3[[#This Row],[Custo Aluminio]]+Tabela3[[#This Row],[Custo M.O. Total]]+Tabela3[[#This Row],[Custo Machos]])</f>
        <v>817.15869918426256</v>
      </c>
      <c r="AB1203" s="47">
        <f ca="1">Tabela3[[#This Row],[Custo Total]]*Tabela3[[#This Row],[% Perda]]</f>
        <v>62.617524841705936</v>
      </c>
      <c r="AC1203" s="40">
        <f>IFERROR(VLOOKUP(Tabela3[[#This Row],[Produto]],Tabela2[],2,0),0)</f>
        <v>18</v>
      </c>
      <c r="AD1203" s="48">
        <f>IFERROR(VLOOKUP(Tabela3[[#This Row],[Produto]],Tabela2[],3,0),0)</f>
        <v>4.2000000000000003E-2</v>
      </c>
      <c r="AE1203" s="48">
        <f>IFERROR(VLOOKUP(Tabela3[[#This Row],[Produto]],Tabela2[],4,0),0)</f>
        <v>2</v>
      </c>
      <c r="AF1203" s="48">
        <f>IFERROR(VLOOKUP(Tabela3[[#This Row],[Produto]],Tabela2[],5,0),0)</f>
        <v>1.1195999999999999</v>
      </c>
      <c r="AG1203" s="48">
        <f>IFERROR(VLOOKUP(Tabela3[[#This Row],[Produto]],Tabela2[],6,0),0)</f>
        <v>0</v>
      </c>
      <c r="AH1203" s="40">
        <f>IFERROR(VLOOKUP(Tabela3[[#This Row],[Produto]],Tabela2[],7,0),0)</f>
        <v>0</v>
      </c>
      <c r="AI1203" s="40">
        <f>IFERROR(VLOOKUP(Tabela3[[#This Row],[Produto]],Tabela2[],8,0),0)</f>
        <v>0</v>
      </c>
      <c r="AJ1203" s="35">
        <f ca="1">IFERROR(VLOOKUP(Tabela3[[#This Row],[Produto]],Tabela2[],13,0),0)</f>
        <v>17.600000000000001</v>
      </c>
      <c r="AK1203" s="48" t="str">
        <f>IFERROR(VLOOKUP(Tabela3[[#This Row],[Produto]],Tabela2[],14,0),0)</f>
        <v>DIGITROL</v>
      </c>
      <c r="AL1203" s="40">
        <f>IFERROR(VLOOKUP(Tabela3[[#This Row],[Produto]],Tabela2[],15,0),0)</f>
        <v>0</v>
      </c>
      <c r="AM1203" s="36">
        <f ca="1">(Tabela3[[#This Row],[Custo Usinagem]]+Tabela3[[#This Row],[Custo / Pç]])*1.2</f>
        <v>2.0344199979691182</v>
      </c>
      <c r="AN1203" s="36">
        <f ca="1">Tabela3[[#This Row],[Valor Mínimo Venda]]*1.15</f>
        <v>2.3395829976644857</v>
      </c>
      <c r="AO1203" s="36">
        <f ca="1">Tabela3[[#This Row],[Tabela 1]]*1.08</f>
        <v>2.5267496374776446</v>
      </c>
      <c r="AP1203" s="36">
        <f ca="1">Tabela3[[#This Row],[Tabela 2]]*1.15</f>
        <v>2.9057620830992912</v>
      </c>
    </row>
    <row r="1204" spans="1:42">
      <c r="A1204" s="9">
        <v>46155</v>
      </c>
      <c r="B1204" s="9" t="s">
        <v>281</v>
      </c>
      <c r="C1204" s="14">
        <v>9723</v>
      </c>
      <c r="D1204" s="6" t="s">
        <v>46</v>
      </c>
      <c r="E1204" s="6" t="s">
        <v>44</v>
      </c>
      <c r="F1204" s="6">
        <v>5</v>
      </c>
      <c r="G1204" s="15">
        <v>3.125E-2</v>
      </c>
      <c r="H1204" s="16">
        <v>0</v>
      </c>
      <c r="I1204" s="35">
        <f ca="1">IFERROR(Tabela3[[#This Row],[Custo Total]]/Tabela3[[#This Row],[Aluminio Util]],0)</f>
        <v>46.177129244558365</v>
      </c>
      <c r="J1204" s="35">
        <f ca="1">Tabela3[[#This Row],[Custo Total]]/Tabela3[[#This Row],[Realizado]]</f>
        <v>1.5238452650704262</v>
      </c>
      <c r="K1204" s="37">
        <f>IFERROR(Tabela3[[#This Row],[Qtde Cx Produzida]]/Tabela3[[#This Row],[Tempo]]/24,0)</f>
        <v>6.666666666666667</v>
      </c>
      <c r="L1204" s="37">
        <f>Tabela3[[#This Row],[Qtde Cx Produzida]]*Tabela3[[#This Row],[Qdt Peça Placa]]</f>
        <v>120</v>
      </c>
      <c r="M1204" s="37">
        <f>Tabela3[[#This Row],[Previsto]]-Tabela3[[#This Row],[Perda Pçs]]</f>
        <v>120</v>
      </c>
      <c r="N1204" s="38">
        <f>IFERROR(Tabela3[[#This Row],[Perda Pçs]]/Tabela3[[#This Row],[Previsto]],0)</f>
        <v>0</v>
      </c>
      <c r="O1204" s="39">
        <f>IFERROR(IF(Tabela3[[#This Row],[Qtde Cx Produzida]] &lt;&gt; 0, Tabela3[[#This Row],[Tempo]] / Tabela3[[#This Row],[Qtde Cx Produzida]], 0),0)</f>
        <v>6.2500000000000003E-3</v>
      </c>
      <c r="P1204" s="57">
        <f>IFERROR(Tabela3[[#This Row],[Perda Pçs]]/Tabela3[[#This Row],[Qdt Peça Placa]],0)</f>
        <v>0</v>
      </c>
      <c r="Q1204" s="37">
        <f>IFERROR(Tabela3[[#This Row],[Realizado]]*Tabela3[[#This Row],[Peso Util/Pç]],0)</f>
        <v>3.96</v>
      </c>
      <c r="R1204" s="37">
        <f>IFERROR(Tabela3[[#This Row],[Peso Total Galho]]*Tabela3[[#This Row],[Qtde Cx Produzida]]*1.055,0)</f>
        <v>16.837800000000001</v>
      </c>
      <c r="S1204" s="37">
        <f>(Tabela3[[#This Row],[Aluminio Bruto]]-Tabela3[[#This Row],[Aluminio Util]])*0.9</f>
        <v>11.590020000000001</v>
      </c>
      <c r="T1204" s="37">
        <f>Tabela3[[#This Row],[Aluminio Bruto]]/OleoKGAluminio</f>
        <v>7.0836406889337642</v>
      </c>
      <c r="U1204" s="35">
        <f>IFERROR((VLOOKUP(Tabela3[[#This Row],[Moldador]],Tabela1[],5,)+(VLOOKUP(Tabela3[[#This Row],[Ajudante]],Tabela1[],5,))*3.5),0)</f>
        <v>126.0945</v>
      </c>
      <c r="V1204" s="35">
        <f>IFERROR(Tabela3[[#This Row],[Custo M.O. / H]]/((Tabela3[[#This Row],[Realizado]]/Tabela3[[#This Row],[Qdt Peça Placa]])/Tabela3[[#This Row],[Tempo]]/24),)</f>
        <v>18.914175</v>
      </c>
      <c r="W1204" s="35">
        <f>Tabela3[[#This Row],[Custo / Cx Moldada]]*Tabela3[[#This Row],[Qtde Cx Produzida]]</f>
        <v>94.570875000000001</v>
      </c>
      <c r="X1204" s="35">
        <f ca="1">Tabela3[[#This Row],[Aluminio Util]]*Tabela3[[#This Row],[Custo/Kg]]</f>
        <v>69.695999999999998</v>
      </c>
      <c r="Y1204" s="35">
        <f>IFERROR(VLOOKUP(Tabela3[[#This Row],[Data]],Tabela461213[],2,1)*(Tabela3[[#This Row],[Qtde Cx Produzida]]*Tabela3[[#This Row],[Qde macho / CX]]*Tabela3[[#This Row],[Peso Macho]]),)</f>
        <v>0</v>
      </c>
      <c r="Z1204" s="35">
        <f>IFERROR(Tabela3[[#This Row],[Qtde Oleo]]*(VLOOKUP(Tabela3[[#This Row],[Data]],CompraOleo[],3,TRUE))*1.05,0)</f>
        <v>18.594556808451131</v>
      </c>
      <c r="AA1204" s="47">
        <f ca="1">(Tabela3[[#This Row],[Custo Oleo]]+Tabela3[[#This Row],[Custo Aluminio]]+Tabela3[[#This Row],[Custo M.O. Total]]+Tabela3[[#This Row],[Custo Machos]])</f>
        <v>182.86143180845113</v>
      </c>
      <c r="AB1204" s="47">
        <f ca="1">Tabela3[[#This Row],[Custo Total]]*Tabela3[[#This Row],[% Perda]]</f>
        <v>0</v>
      </c>
      <c r="AC1204" s="40">
        <f>IFERROR(VLOOKUP(Tabela3[[#This Row],[Produto]],Tabela2[],2,0),0)</f>
        <v>24</v>
      </c>
      <c r="AD1204" s="48">
        <f>IFERROR(VLOOKUP(Tabela3[[#This Row],[Produto]],Tabela2[],3,0),0)</f>
        <v>3.3000000000000002E-2</v>
      </c>
      <c r="AE1204" s="48">
        <f>IFERROR(VLOOKUP(Tabela3[[#This Row],[Produto]],Tabela2[],4,0),0)</f>
        <v>3.1920000000000002</v>
      </c>
      <c r="AF1204" s="48">
        <f>IFERROR(VLOOKUP(Tabela3[[#This Row],[Produto]],Tabela2[],5,0),0)</f>
        <v>2.1600000000000006</v>
      </c>
      <c r="AG1204" s="48">
        <f>IFERROR(VLOOKUP(Tabela3[[#This Row],[Produto]],Tabela2[],6,0),0)</f>
        <v>0</v>
      </c>
      <c r="AH1204" s="40">
        <f>IFERROR(VLOOKUP(Tabela3[[#This Row],[Produto]],Tabela2[],7,0),0)</f>
        <v>0</v>
      </c>
      <c r="AI1204" s="40">
        <f>IFERROR(VLOOKUP(Tabela3[[#This Row],[Produto]],Tabela2[],8,0),0)</f>
        <v>0</v>
      </c>
      <c r="AJ1204" s="35">
        <f ca="1">IFERROR(VLOOKUP(Tabela3[[#This Row],[Produto]],Tabela2[],13,0),0)</f>
        <v>17.600000000000001</v>
      </c>
      <c r="AK1204" s="48" t="str">
        <f>IFERROR(VLOOKUP(Tabela3[[#This Row],[Produto]],Tabela2[],14,0),0)</f>
        <v>Oscar</v>
      </c>
      <c r="AL1204" s="40">
        <f>IFERROR(VLOOKUP(Tabela3[[#This Row],[Produto]],Tabela2[],15,0),0)</f>
        <v>0</v>
      </c>
      <c r="AM1204" s="36">
        <f ca="1">(Tabela3[[#This Row],[Custo Usinagem]]+Tabela3[[#This Row],[Custo / Pç]])*1.2</f>
        <v>1.8286143180845114</v>
      </c>
      <c r="AN1204" s="36">
        <f ca="1">Tabela3[[#This Row],[Valor Mínimo Venda]]*1.15</f>
        <v>2.1029064657971879</v>
      </c>
      <c r="AO1204" s="36">
        <f ca="1">Tabela3[[#This Row],[Tabela 1]]*1.08</f>
        <v>2.271138983060963</v>
      </c>
      <c r="AP1204" s="36">
        <f ca="1">Tabela3[[#This Row],[Tabela 2]]*1.15</f>
        <v>2.6118098305201074</v>
      </c>
    </row>
    <row r="1205" spans="1:42">
      <c r="A1205" s="9">
        <v>46155</v>
      </c>
      <c r="B1205" s="9" t="s">
        <v>246</v>
      </c>
      <c r="C1205" s="14">
        <v>9687</v>
      </c>
      <c r="D1205" s="6" t="s">
        <v>46</v>
      </c>
      <c r="E1205" s="6" t="s">
        <v>44</v>
      </c>
      <c r="F1205" s="6">
        <v>13</v>
      </c>
      <c r="G1205" s="15">
        <v>4.7222222222222221E-2</v>
      </c>
      <c r="H1205" s="16">
        <v>0</v>
      </c>
      <c r="I1205" s="35">
        <f ca="1">IFERROR(Tabela3[[#This Row],[Custo Total]]/Tabela3[[#This Row],[Aluminio Util]],0)</f>
        <v>22.559471405192866</v>
      </c>
      <c r="J1205" s="35">
        <f ca="1">Tabela3[[#This Row],[Custo Total]]/Tabela3[[#This Row],[Realizado]]</f>
        <v>12.024198258967798</v>
      </c>
      <c r="K1205" s="37">
        <f>IFERROR(Tabela3[[#This Row],[Qtde Cx Produzida]]/Tabela3[[#This Row],[Tempo]]/24,0)</f>
        <v>11.470588235294118</v>
      </c>
      <c r="L1205" s="37">
        <f>Tabela3[[#This Row],[Qtde Cx Produzida]]*Tabela3[[#This Row],[Qdt Peça Placa]]</f>
        <v>52</v>
      </c>
      <c r="M1205" s="37">
        <f>Tabela3[[#This Row],[Previsto]]-Tabela3[[#This Row],[Perda Pçs]]</f>
        <v>52</v>
      </c>
      <c r="N1205" s="38">
        <f>IFERROR(Tabela3[[#This Row],[Perda Pçs]]/Tabela3[[#This Row],[Previsto]],0)</f>
        <v>0</v>
      </c>
      <c r="O1205" s="39">
        <f>IFERROR(IF(Tabela3[[#This Row],[Qtde Cx Produzida]] &lt;&gt; 0, Tabela3[[#This Row],[Tempo]] / Tabela3[[#This Row],[Qtde Cx Produzida]], 0),0)</f>
        <v>3.6324786324786326E-3</v>
      </c>
      <c r="P1205" s="57">
        <f>IFERROR(Tabela3[[#This Row],[Perda Pçs]]/Tabela3[[#This Row],[Qdt Peça Placa]],0)</f>
        <v>0</v>
      </c>
      <c r="Q1205" s="37">
        <f>IFERROR(Tabela3[[#This Row],[Realizado]]*Tabela3[[#This Row],[Peso Util/Pç]],0)</f>
        <v>27.716000000000001</v>
      </c>
      <c r="R1205" s="37">
        <f>IFERROR(Tabela3[[#This Row],[Peso Total Galho]]*Tabela3[[#This Row],[Qtde Cx Produzida]]*1.055,0)</f>
        <v>45.259499999999996</v>
      </c>
      <c r="S1205" s="37">
        <f>(Tabela3[[#This Row],[Aluminio Bruto]]-Tabela3[[#This Row],[Aluminio Util]])*0.9</f>
        <v>15.789149999999996</v>
      </c>
      <c r="T1205" s="37">
        <f>Tabela3[[#This Row],[Aluminio Bruto]]/OleoKGAluminio</f>
        <v>19.040613130028724</v>
      </c>
      <c r="U1205" s="35">
        <f>IFERROR((VLOOKUP(Tabela3[[#This Row],[Moldador]],Tabela1[],5,)+(VLOOKUP(Tabela3[[#This Row],[Ajudante]],Tabela1[],5,))*3.5),0)</f>
        <v>126.0945</v>
      </c>
      <c r="V1205" s="35">
        <f>IFERROR(Tabela3[[#This Row],[Custo M.O. / H]]/((Tabela3[[#This Row],[Realizado]]/Tabela3[[#This Row],[Qdt Peça Placa]])/Tabela3[[#This Row],[Tempo]]/24),)</f>
        <v>10.992853846153846</v>
      </c>
      <c r="W1205" s="35">
        <f>Tabela3[[#This Row],[Custo / Cx Moldada]]*Tabela3[[#This Row],[Qtde Cx Produzida]]</f>
        <v>142.90709999999999</v>
      </c>
      <c r="X1205" s="35">
        <f ca="1">Tabela3[[#This Row],[Aluminio Util]]*Tabela3[[#This Row],[Custo/Kg]]</f>
        <v>432.36960000000005</v>
      </c>
      <c r="Y1205" s="35">
        <f>IFERROR(VLOOKUP(Tabela3[[#This Row],[Data]],Tabela461213[],2,1)*(Tabela3[[#This Row],[Qtde Cx Produzida]]*Tabela3[[#This Row],[Qde macho / CX]]*Tabela3[[#This Row],[Peso Macho]]),)</f>
        <v>0</v>
      </c>
      <c r="Z1205" s="35">
        <f>IFERROR(Tabela3[[#This Row],[Qtde Oleo]]*(VLOOKUP(Tabela3[[#This Row],[Data]],CompraOleo[],3,TRUE))*1.05,0)</f>
        <v>49.981609466325409</v>
      </c>
      <c r="AA1205" s="47">
        <f ca="1">(Tabela3[[#This Row],[Custo Oleo]]+Tabela3[[#This Row],[Custo Aluminio]]+Tabela3[[#This Row],[Custo M.O. Total]]+Tabela3[[#This Row],[Custo Machos]])</f>
        <v>625.2583094663255</v>
      </c>
      <c r="AB1205" s="47">
        <f ca="1">Tabela3[[#This Row],[Custo Total]]*Tabela3[[#This Row],[% Perda]]</f>
        <v>0</v>
      </c>
      <c r="AC1205" s="40">
        <f>IFERROR(VLOOKUP(Tabela3[[#This Row],[Produto]],Tabela2[],2,0),0)</f>
        <v>4</v>
      </c>
      <c r="AD1205" s="48">
        <f>IFERROR(VLOOKUP(Tabela3[[#This Row],[Produto]],Tabela2[],3,0),0)</f>
        <v>0.53300000000000003</v>
      </c>
      <c r="AE1205" s="48">
        <f>IFERROR(VLOOKUP(Tabela3[[#This Row],[Produto]],Tabela2[],4,0),0)</f>
        <v>3.3</v>
      </c>
      <c r="AF1205" s="48">
        <f>IFERROR(VLOOKUP(Tabela3[[#This Row],[Produto]],Tabela2[],5,0),0)</f>
        <v>1.0511999999999997</v>
      </c>
      <c r="AG1205" s="48">
        <f>IFERROR(VLOOKUP(Tabela3[[#This Row],[Produto]],Tabela2[],6,0),0)</f>
        <v>0</v>
      </c>
      <c r="AH1205" s="40">
        <f>IFERROR(VLOOKUP(Tabela3[[#This Row],[Produto]],Tabela2[],7,0),0)</f>
        <v>0</v>
      </c>
      <c r="AI1205" s="40">
        <f>IFERROR(VLOOKUP(Tabela3[[#This Row],[Produto]],Tabela2[],8,0),0)</f>
        <v>0</v>
      </c>
      <c r="AJ1205" s="35">
        <f ca="1">IFERROR(VLOOKUP(Tabela3[[#This Row],[Produto]],Tabela2[],13,0),0)</f>
        <v>15.600000000000001</v>
      </c>
      <c r="AK1205" s="48" t="str">
        <f>IFERROR(VLOOKUP(Tabela3[[#This Row],[Produto]],Tabela2[],14,0),0)</f>
        <v>Senun</v>
      </c>
      <c r="AL1205" s="40">
        <f>IFERROR(VLOOKUP(Tabela3[[#This Row],[Produto]],Tabela2[],15,0),0)</f>
        <v>4</v>
      </c>
      <c r="AM1205" s="36">
        <f ca="1">(Tabela3[[#This Row],[Custo Usinagem]]+Tabela3[[#This Row],[Custo / Pç]])*1.2</f>
        <v>19.22903791076136</v>
      </c>
      <c r="AN1205" s="36">
        <f ca="1">Tabela3[[#This Row],[Valor Mínimo Venda]]*1.15</f>
        <v>22.113393597375563</v>
      </c>
      <c r="AO1205" s="36">
        <f ca="1">Tabela3[[#This Row],[Tabela 1]]*1.08</f>
        <v>23.88246508516561</v>
      </c>
      <c r="AP1205" s="36">
        <f ca="1">Tabela3[[#This Row],[Tabela 2]]*1.15</f>
        <v>27.464834847940448</v>
      </c>
    </row>
    <row r="1206" spans="1:42">
      <c r="A1206" s="9">
        <v>46155</v>
      </c>
      <c r="B1206" s="9" t="s">
        <v>246</v>
      </c>
      <c r="C1206" s="14">
        <v>9687</v>
      </c>
      <c r="D1206" s="6" t="s">
        <v>44</v>
      </c>
      <c r="E1206" s="6" t="s">
        <v>47</v>
      </c>
      <c r="F1206" s="6">
        <v>15</v>
      </c>
      <c r="G1206" s="15">
        <v>8.1250000000000003E-2</v>
      </c>
      <c r="H1206" s="16">
        <v>4</v>
      </c>
      <c r="I1206" s="35">
        <f ca="1">IFERROR(Tabela3[[#This Row],[Custo Total]]/Tabela3[[#This Row],[Aluminio Util]],0)</f>
        <v>24.528434653352324</v>
      </c>
      <c r="J1206" s="35">
        <f ca="1">Tabela3[[#This Row],[Custo Total]]/Tabela3[[#This Row],[Realizado]]</f>
        <v>13.073655670236789</v>
      </c>
      <c r="K1206" s="37">
        <f>IFERROR(Tabela3[[#This Row],[Qtde Cx Produzida]]/Tabela3[[#This Row],[Tempo]]/24,0)</f>
        <v>7.6923076923076925</v>
      </c>
      <c r="L1206" s="37">
        <f>Tabela3[[#This Row],[Qtde Cx Produzida]]*Tabela3[[#This Row],[Qdt Peça Placa]]</f>
        <v>60</v>
      </c>
      <c r="M1206" s="37">
        <f>Tabela3[[#This Row],[Previsto]]-Tabela3[[#This Row],[Perda Pçs]]</f>
        <v>56</v>
      </c>
      <c r="N1206" s="38">
        <f>IFERROR(Tabela3[[#This Row],[Perda Pçs]]/Tabela3[[#This Row],[Previsto]],0)</f>
        <v>6.6666666666666666E-2</v>
      </c>
      <c r="O1206" s="39">
        <f>IFERROR(IF(Tabela3[[#This Row],[Qtde Cx Produzida]] &lt;&gt; 0, Tabela3[[#This Row],[Tempo]] / Tabela3[[#This Row],[Qtde Cx Produzida]], 0),0)</f>
        <v>5.4166666666666669E-3</v>
      </c>
      <c r="P1206" s="57">
        <f>IFERROR(Tabela3[[#This Row],[Perda Pçs]]/Tabela3[[#This Row],[Qdt Peça Placa]],0)</f>
        <v>1</v>
      </c>
      <c r="Q1206" s="37">
        <f>IFERROR(Tabela3[[#This Row],[Realizado]]*Tabela3[[#This Row],[Peso Util/Pç]],0)</f>
        <v>29.848000000000003</v>
      </c>
      <c r="R1206" s="37">
        <f>IFERROR(Tabela3[[#This Row],[Peso Total Galho]]*Tabela3[[#This Row],[Qtde Cx Produzida]]*1.055,0)</f>
        <v>52.222499999999997</v>
      </c>
      <c r="S1206" s="37">
        <f>(Tabela3[[#This Row],[Aluminio Bruto]]-Tabela3[[#This Row],[Aluminio Util]])*0.9</f>
        <v>20.137049999999995</v>
      </c>
      <c r="T1206" s="37">
        <f>Tabela3[[#This Row],[Aluminio Bruto]]/OleoKGAluminio</f>
        <v>21.96993822695622</v>
      </c>
      <c r="U1206" s="35">
        <f>IFERROR((VLOOKUP(Tabela3[[#This Row],[Moldador]],Tabela1[],5,)+(VLOOKUP(Tabela3[[#This Row],[Ajudante]],Tabela1[],5,))*3.5),0)</f>
        <v>99.95034583333333</v>
      </c>
      <c r="V1206" s="35">
        <f>IFERROR(Tabela3[[#This Row],[Custo M.O. / H]]/((Tabela3[[#This Row],[Realizado]]/Tabela3[[#This Row],[Qdt Peça Placa]])/Tabela3[[#This Row],[Tempo]]/24),)</f>
        <v>13.9216553125</v>
      </c>
      <c r="W1206" s="35">
        <f>Tabela3[[#This Row],[Custo / Cx Moldada]]*Tabela3[[#This Row],[Qtde Cx Produzida]]</f>
        <v>208.8248296875</v>
      </c>
      <c r="X1206" s="35">
        <f ca="1">Tabela3[[#This Row],[Aluminio Util]]*Tabela3[[#This Row],[Custo/Kg]]</f>
        <v>465.62880000000007</v>
      </c>
      <c r="Y1206" s="35">
        <f>IFERROR(VLOOKUP(Tabela3[[#This Row],[Data]],Tabela461213[],2,1)*(Tabela3[[#This Row],[Qtde Cx Produzida]]*Tabela3[[#This Row],[Qde macho / CX]]*Tabela3[[#This Row],[Peso Macho]]),)</f>
        <v>0</v>
      </c>
      <c r="Z1206" s="35">
        <f>IFERROR(Tabela3[[#This Row],[Qtde Oleo]]*(VLOOKUP(Tabela3[[#This Row],[Data]],CompraOleo[],3,TRUE))*1.05,0)</f>
        <v>57.671087845760077</v>
      </c>
      <c r="AA1206" s="47">
        <f ca="1">(Tabela3[[#This Row],[Custo Oleo]]+Tabela3[[#This Row],[Custo Aluminio]]+Tabela3[[#This Row],[Custo M.O. Total]]+Tabela3[[#This Row],[Custo Machos]])</f>
        <v>732.1247175332602</v>
      </c>
      <c r="AB1206" s="47">
        <f ca="1">Tabela3[[#This Row],[Custo Total]]*Tabela3[[#This Row],[% Perda]]</f>
        <v>48.808314502217343</v>
      </c>
      <c r="AC1206" s="40">
        <f>IFERROR(VLOOKUP(Tabela3[[#This Row],[Produto]],Tabela2[],2,0),0)</f>
        <v>4</v>
      </c>
      <c r="AD1206" s="48">
        <f>IFERROR(VLOOKUP(Tabela3[[#This Row],[Produto]],Tabela2[],3,0),0)</f>
        <v>0.53300000000000003</v>
      </c>
      <c r="AE1206" s="48">
        <f>IFERROR(VLOOKUP(Tabela3[[#This Row],[Produto]],Tabela2[],4,0),0)</f>
        <v>3.3</v>
      </c>
      <c r="AF1206" s="48">
        <f>IFERROR(VLOOKUP(Tabela3[[#This Row],[Produto]],Tabela2[],5,0),0)</f>
        <v>1.0511999999999997</v>
      </c>
      <c r="AG1206" s="48">
        <f>IFERROR(VLOOKUP(Tabela3[[#This Row],[Produto]],Tabela2[],6,0),0)</f>
        <v>0</v>
      </c>
      <c r="AH1206" s="40">
        <f>IFERROR(VLOOKUP(Tabela3[[#This Row],[Produto]],Tabela2[],7,0),0)</f>
        <v>0</v>
      </c>
      <c r="AI1206" s="40">
        <f>IFERROR(VLOOKUP(Tabela3[[#This Row],[Produto]],Tabela2[],8,0),0)</f>
        <v>0</v>
      </c>
      <c r="AJ1206" s="35">
        <f ca="1">IFERROR(VLOOKUP(Tabela3[[#This Row],[Produto]],Tabela2[],13,0),0)</f>
        <v>15.600000000000001</v>
      </c>
      <c r="AK1206" s="48" t="str">
        <f>IFERROR(VLOOKUP(Tabela3[[#This Row],[Produto]],Tabela2[],14,0),0)</f>
        <v>Senun</v>
      </c>
      <c r="AL1206" s="40">
        <f>IFERROR(VLOOKUP(Tabela3[[#This Row],[Produto]],Tabela2[],15,0),0)</f>
        <v>4</v>
      </c>
      <c r="AM1206" s="36">
        <f ca="1">(Tabela3[[#This Row],[Custo Usinagem]]+Tabela3[[#This Row],[Custo / Pç]])*1.2</f>
        <v>20.488386804284147</v>
      </c>
      <c r="AN1206" s="36">
        <f ca="1">Tabela3[[#This Row],[Valor Mínimo Venda]]*1.15</f>
        <v>23.561644824926766</v>
      </c>
      <c r="AO1206" s="36">
        <f ca="1">Tabela3[[#This Row],[Tabela 1]]*1.08</f>
        <v>25.446576410920908</v>
      </c>
      <c r="AP1206" s="36">
        <f ca="1">Tabela3[[#This Row],[Tabela 2]]*1.15</f>
        <v>29.263562872559042</v>
      </c>
    </row>
    <row r="1207" spans="1:42">
      <c r="A1207" s="9">
        <v>46155</v>
      </c>
      <c r="B1207" s="9" t="s">
        <v>240</v>
      </c>
      <c r="C1207" s="14">
        <v>9699</v>
      </c>
      <c r="D1207" s="6" t="s">
        <v>44</v>
      </c>
      <c r="E1207" s="6" t="s">
        <v>47</v>
      </c>
      <c r="F1207" s="6">
        <v>45</v>
      </c>
      <c r="G1207" s="15">
        <v>0.2076388888888889</v>
      </c>
      <c r="H1207" s="16">
        <v>12</v>
      </c>
      <c r="I1207" s="35">
        <f ca="1">IFERROR(Tabela3[[#This Row],[Custo Total]]/Tabela3[[#This Row],[Aluminio Util]],0)</f>
        <v>26.620396041748855</v>
      </c>
      <c r="J1207" s="35">
        <f ca="1">Tabela3[[#This Row],[Custo Total]]/Tabela3[[#This Row],[Realizado]]</f>
        <v>9.5034813869043404</v>
      </c>
      <c r="K1207" s="37">
        <f>IFERROR(Tabela3[[#This Row],[Qtde Cx Produzida]]/Tabela3[[#This Row],[Tempo]]/24,0)</f>
        <v>9.030100334448159</v>
      </c>
      <c r="L1207" s="37">
        <f>Tabela3[[#This Row],[Qtde Cx Produzida]]*Tabela3[[#This Row],[Qdt Peça Placa]]</f>
        <v>180</v>
      </c>
      <c r="M1207" s="37">
        <f>Tabela3[[#This Row],[Previsto]]-Tabela3[[#This Row],[Perda Pçs]]</f>
        <v>168</v>
      </c>
      <c r="N1207" s="38">
        <f>IFERROR(Tabela3[[#This Row],[Perda Pçs]]/Tabela3[[#This Row],[Previsto]],0)</f>
        <v>6.6666666666666666E-2</v>
      </c>
      <c r="O1207" s="39">
        <f>IFERROR(IF(Tabela3[[#This Row],[Qtde Cx Produzida]] &lt;&gt; 0, Tabela3[[#This Row],[Tempo]] / Tabela3[[#This Row],[Qtde Cx Produzida]], 0),0)</f>
        <v>4.6141975308641977E-3</v>
      </c>
      <c r="P1207" s="57">
        <f>IFERROR(Tabela3[[#This Row],[Perda Pçs]]/Tabela3[[#This Row],[Qdt Peça Placa]],0)</f>
        <v>3</v>
      </c>
      <c r="Q1207" s="37">
        <f>IFERROR(Tabela3[[#This Row],[Realizado]]*Tabela3[[#This Row],[Peso Util/Pç]],0)</f>
        <v>59.975999999999999</v>
      </c>
      <c r="R1207" s="37">
        <f>IFERROR(Tabela3[[#This Row],[Peso Total Galho]]*Tabela3[[#This Row],[Qtde Cx Produzida]]*1.055,0)</f>
        <v>115.26929999999999</v>
      </c>
      <c r="S1207" s="37">
        <f>(Tabela3[[#This Row],[Aluminio Bruto]]-Tabela3[[#This Row],[Aluminio Util]])*0.9</f>
        <v>49.763969999999993</v>
      </c>
      <c r="T1207" s="37">
        <f>Tabela3[[#This Row],[Aluminio Bruto]]/OleoKGAluminio</f>
        <v>48.493645468227001</v>
      </c>
      <c r="U1207" s="35">
        <f>IFERROR((VLOOKUP(Tabela3[[#This Row],[Moldador]],Tabela1[],5,)+(VLOOKUP(Tabela3[[#This Row],[Ajudante]],Tabela1[],5,))*3.5),0)</f>
        <v>99.95034583333333</v>
      </c>
      <c r="V1207" s="35">
        <f>IFERROR(Tabela3[[#This Row],[Custo M.O. / H]]/((Tabela3[[#This Row],[Realizado]]/Tabela3[[#This Row],[Qdt Peça Placa]])/Tabela3[[#This Row],[Tempo]]/24),)</f>
        <v>11.859187858796297</v>
      </c>
      <c r="W1207" s="35">
        <f>Tabela3[[#This Row],[Custo / Cx Moldada]]*Tabela3[[#This Row],[Qtde Cx Produzida]]</f>
        <v>533.66345364583333</v>
      </c>
      <c r="X1207" s="35">
        <f ca="1">Tabela3[[#This Row],[Aluminio Util]]*Tabela3[[#This Row],[Custo/Kg]]</f>
        <v>935.62560000000008</v>
      </c>
      <c r="Y1207" s="35">
        <f>IFERROR(VLOOKUP(Tabela3[[#This Row],[Data]],Tabela461213[],2,1)*(Tabela3[[#This Row],[Qtde Cx Produzida]]*Tabela3[[#This Row],[Qde macho / CX]]*Tabela3[[#This Row],[Peso Macho]]),)</f>
        <v>0</v>
      </c>
      <c r="Z1207" s="35">
        <f>IFERROR(Tabela3[[#This Row],[Qtde Oleo]]*(VLOOKUP(Tabela3[[#This Row],[Data]],CompraOleo[],3,TRUE))*1.05,0)</f>
        <v>127.29581935409587</v>
      </c>
      <c r="AA1207" s="47">
        <f ca="1">(Tabela3[[#This Row],[Custo Oleo]]+Tabela3[[#This Row],[Custo Aluminio]]+Tabela3[[#This Row],[Custo M.O. Total]]+Tabela3[[#This Row],[Custo Machos]])</f>
        <v>1596.5848729999293</v>
      </c>
      <c r="AB1207" s="47">
        <f ca="1">Tabela3[[#This Row],[Custo Total]]*Tabela3[[#This Row],[% Perda]]</f>
        <v>106.43899153332862</v>
      </c>
      <c r="AC1207" s="40">
        <f>IFERROR(VLOOKUP(Tabela3[[#This Row],[Produto]],Tabela2[],2,0),0)</f>
        <v>4</v>
      </c>
      <c r="AD1207" s="48">
        <f>IFERROR(VLOOKUP(Tabela3[[#This Row],[Produto]],Tabela2[],3,0),0)</f>
        <v>0.35699999999999998</v>
      </c>
      <c r="AE1207" s="48">
        <f>IFERROR(VLOOKUP(Tabela3[[#This Row],[Produto]],Tabela2[],4,0),0)</f>
        <v>2.4279999999999999</v>
      </c>
      <c r="AF1207" s="48">
        <f>IFERROR(VLOOKUP(Tabela3[[#This Row],[Produto]],Tabela2[],5,0),0)</f>
        <v>0.9</v>
      </c>
      <c r="AG1207" s="48">
        <f>IFERROR(VLOOKUP(Tabela3[[#This Row],[Produto]],Tabela2[],6,0),0)</f>
        <v>0</v>
      </c>
      <c r="AH1207" s="40">
        <f>IFERROR(VLOOKUP(Tabela3[[#This Row],[Produto]],Tabela2[],7,0),0)</f>
        <v>0</v>
      </c>
      <c r="AI1207" s="40">
        <f>IFERROR(VLOOKUP(Tabela3[[#This Row],[Produto]],Tabela2[],8,0),0)</f>
        <v>0</v>
      </c>
      <c r="AJ1207" s="35">
        <f ca="1">IFERROR(VLOOKUP(Tabela3[[#This Row],[Produto]],Tabela2[],13,0),0)</f>
        <v>15.600000000000001</v>
      </c>
      <c r="AK1207" s="48" t="str">
        <f>IFERROR(VLOOKUP(Tabela3[[#This Row],[Produto]],Tabela2[],14,0),0)</f>
        <v>Senun</v>
      </c>
      <c r="AL1207" s="40">
        <f>IFERROR(VLOOKUP(Tabela3[[#This Row],[Produto]],Tabela2[],15,0),0)</f>
        <v>4</v>
      </c>
      <c r="AM1207" s="36">
        <f ca="1">(Tabela3[[#This Row],[Custo Usinagem]]+Tabela3[[#This Row],[Custo / Pç]])*1.2</f>
        <v>16.204177664285208</v>
      </c>
      <c r="AN1207" s="36">
        <f ca="1">Tabela3[[#This Row],[Valor Mínimo Venda]]*1.15</f>
        <v>18.634804313927987</v>
      </c>
      <c r="AO1207" s="36">
        <f ca="1">Tabela3[[#This Row],[Tabela 1]]*1.08</f>
        <v>20.125588659042226</v>
      </c>
      <c r="AP1207" s="36">
        <f ca="1">Tabela3[[#This Row],[Tabela 2]]*1.15</f>
        <v>23.144426957898556</v>
      </c>
    </row>
    <row r="1208" spans="1:42">
      <c r="A1208" s="9">
        <v>46156</v>
      </c>
      <c r="B1208" s="9" t="s">
        <v>246</v>
      </c>
      <c r="C1208" s="14">
        <v>9687</v>
      </c>
      <c r="D1208" s="6" t="s">
        <v>46</v>
      </c>
      <c r="E1208" s="6" t="s">
        <v>50</v>
      </c>
      <c r="F1208" s="6">
        <v>1</v>
      </c>
      <c r="G1208" s="15">
        <v>5.486111111111111E-2</v>
      </c>
      <c r="H1208" s="16">
        <v>0</v>
      </c>
      <c r="I1208" s="35">
        <f ca="1">IFERROR(Tabela3[[#This Row],[Custo Total]]/Tabela3[[#This Row],[Aluminio Util]],0)</f>
        <v>79.130031834086722</v>
      </c>
      <c r="J1208" s="35">
        <f ca="1">Tabela3[[#This Row],[Custo Total]]/Tabela3[[#This Row],[Realizado]]</f>
        <v>42.176306967568223</v>
      </c>
      <c r="K1208" s="37">
        <f>IFERROR(Tabela3[[#This Row],[Qtde Cx Produzida]]/Tabela3[[#This Row],[Tempo]]/24,0)</f>
        <v>0.759493670886076</v>
      </c>
      <c r="L1208" s="37">
        <f>Tabela3[[#This Row],[Qtde Cx Produzida]]*Tabela3[[#This Row],[Qdt Peça Placa]]</f>
        <v>4</v>
      </c>
      <c r="M1208" s="37">
        <f>Tabela3[[#This Row],[Previsto]]-Tabela3[[#This Row],[Perda Pçs]]</f>
        <v>4</v>
      </c>
      <c r="N1208" s="38">
        <f>IFERROR(Tabela3[[#This Row],[Perda Pçs]]/Tabela3[[#This Row],[Previsto]],0)</f>
        <v>0</v>
      </c>
      <c r="O1208" s="39">
        <f>IFERROR(IF(Tabela3[[#This Row],[Qtde Cx Produzida]] &lt;&gt; 0, Tabela3[[#This Row],[Tempo]] / Tabela3[[#This Row],[Qtde Cx Produzida]], 0),0)</f>
        <v>5.486111111111111E-2</v>
      </c>
      <c r="P1208" s="57">
        <f>IFERROR(Tabela3[[#This Row],[Perda Pçs]]/Tabela3[[#This Row],[Qdt Peça Placa]],0)</f>
        <v>0</v>
      </c>
      <c r="Q1208" s="37">
        <f>IFERROR(Tabela3[[#This Row],[Realizado]]*Tabela3[[#This Row],[Peso Util/Pç]],0)</f>
        <v>2.1320000000000001</v>
      </c>
      <c r="R1208" s="37">
        <f>IFERROR(Tabela3[[#This Row],[Peso Total Galho]]*Tabela3[[#This Row],[Qtde Cx Produzida]]*1.055,0)</f>
        <v>3.4814999999999996</v>
      </c>
      <c r="S1208" s="37">
        <f>(Tabela3[[#This Row],[Aluminio Bruto]]-Tabela3[[#This Row],[Aluminio Util]])*0.9</f>
        <v>1.2145499999999996</v>
      </c>
      <c r="T1208" s="37">
        <f>Tabela3[[#This Row],[Aluminio Bruto]]/OleoKGAluminio</f>
        <v>1.4646625484637479</v>
      </c>
      <c r="U1208" s="35">
        <f>IFERROR((VLOOKUP(Tabela3[[#This Row],[Moldador]],Tabela1[],5,)+(VLOOKUP(Tabela3[[#This Row],[Ajudante]],Tabela1[],5,))*3.5),0)</f>
        <v>99.95034583333333</v>
      </c>
      <c r="V1208" s="35">
        <f>IFERROR(Tabela3[[#This Row],[Custo M.O. / H]]/((Tabela3[[#This Row],[Realizado]]/Tabela3[[#This Row],[Qdt Peça Placa]])/Tabela3[[#This Row],[Tempo]]/24),)</f>
        <v>131.60128868055554</v>
      </c>
      <c r="W1208" s="35">
        <f>Tabela3[[#This Row],[Custo / Cx Moldada]]*Tabela3[[#This Row],[Qtde Cx Produzida]]</f>
        <v>131.60128868055554</v>
      </c>
      <c r="X1208" s="35">
        <f ca="1">Tabela3[[#This Row],[Aluminio Util]]*Tabela3[[#This Row],[Custo/Kg]]</f>
        <v>33.259200000000007</v>
      </c>
      <c r="Y1208" s="35">
        <f>IFERROR(VLOOKUP(Tabela3[[#This Row],[Data]],Tabela461213[],2,1)*(Tabela3[[#This Row],[Qtde Cx Produzida]]*Tabela3[[#This Row],[Qde macho / CX]]*Tabela3[[#This Row],[Peso Macho]]),)</f>
        <v>0</v>
      </c>
      <c r="Z1208" s="35">
        <f>IFERROR(Tabela3[[#This Row],[Qtde Oleo]]*(VLOOKUP(Tabela3[[#This Row],[Data]],CompraOleo[],3,TRUE))*1.05,0)</f>
        <v>3.8447391897173384</v>
      </c>
      <c r="AA1208" s="47">
        <f ca="1">(Tabela3[[#This Row],[Custo Oleo]]+Tabela3[[#This Row],[Custo Aluminio]]+Tabela3[[#This Row],[Custo M.O. Total]]+Tabela3[[#This Row],[Custo Machos]])</f>
        <v>168.70522787027289</v>
      </c>
      <c r="AB1208" s="47">
        <f ca="1">Tabela3[[#This Row],[Custo Total]]*Tabela3[[#This Row],[% Perda]]</f>
        <v>0</v>
      </c>
      <c r="AC1208" s="40">
        <f>IFERROR(VLOOKUP(Tabela3[[#This Row],[Produto]],Tabela2[],2,0),0)</f>
        <v>4</v>
      </c>
      <c r="AD1208" s="48">
        <f>IFERROR(VLOOKUP(Tabela3[[#This Row],[Produto]],Tabela2[],3,0),0)</f>
        <v>0.53300000000000003</v>
      </c>
      <c r="AE1208" s="48">
        <f>IFERROR(VLOOKUP(Tabela3[[#This Row],[Produto]],Tabela2[],4,0),0)</f>
        <v>3.3</v>
      </c>
      <c r="AF1208" s="48">
        <f>IFERROR(VLOOKUP(Tabela3[[#This Row],[Produto]],Tabela2[],5,0),0)</f>
        <v>1.0511999999999997</v>
      </c>
      <c r="AG1208" s="48">
        <f>IFERROR(VLOOKUP(Tabela3[[#This Row],[Produto]],Tabela2[],6,0),0)</f>
        <v>0</v>
      </c>
      <c r="AH1208" s="40">
        <f>IFERROR(VLOOKUP(Tabela3[[#This Row],[Produto]],Tabela2[],7,0),0)</f>
        <v>0</v>
      </c>
      <c r="AI1208" s="40">
        <f>IFERROR(VLOOKUP(Tabela3[[#This Row],[Produto]],Tabela2[],8,0),0)</f>
        <v>0</v>
      </c>
      <c r="AJ1208" s="35">
        <f ca="1">IFERROR(VLOOKUP(Tabela3[[#This Row],[Produto]],Tabela2[],13,0),0)</f>
        <v>15.600000000000001</v>
      </c>
      <c r="AK1208" s="48" t="str">
        <f>IFERROR(VLOOKUP(Tabela3[[#This Row],[Produto]],Tabela2[],14,0),0)</f>
        <v>Senun</v>
      </c>
      <c r="AL1208" s="40">
        <f>IFERROR(VLOOKUP(Tabela3[[#This Row],[Produto]],Tabela2[],15,0),0)</f>
        <v>4</v>
      </c>
      <c r="AM1208" s="36">
        <f ca="1">(Tabela3[[#This Row],[Custo Usinagem]]+Tabela3[[#This Row],[Custo / Pç]])*1.2</f>
        <v>55.411568361081869</v>
      </c>
      <c r="AN1208" s="36">
        <f ca="1">Tabela3[[#This Row],[Valor Mínimo Venda]]*1.15</f>
        <v>63.723303615244141</v>
      </c>
      <c r="AO1208" s="36">
        <f ca="1">Tabela3[[#This Row],[Tabela 1]]*1.08</f>
        <v>68.821167904463678</v>
      </c>
      <c r="AP1208" s="36">
        <f ca="1">Tabela3[[#This Row],[Tabela 2]]*1.15</f>
        <v>79.144343090133219</v>
      </c>
    </row>
    <row r="1209" spans="1:42">
      <c r="A1209" s="9">
        <v>46156</v>
      </c>
      <c r="B1209" s="9" t="s">
        <v>247</v>
      </c>
      <c r="C1209" s="14">
        <v>9716</v>
      </c>
      <c r="D1209" s="6" t="s">
        <v>46</v>
      </c>
      <c r="E1209" s="6" t="s">
        <v>50</v>
      </c>
      <c r="F1209" s="6">
        <v>46</v>
      </c>
      <c r="G1209" s="15">
        <v>0.21041666666666667</v>
      </c>
      <c r="H1209" s="16">
        <v>0</v>
      </c>
      <c r="I1209" s="35">
        <f ca="1">IFERROR(Tabela3[[#This Row],[Custo Total]]/Tabela3[[#This Row],[Aluminio Util]],0)</f>
        <v>26.977063678000629</v>
      </c>
      <c r="J1209" s="35">
        <f ca="1">Tabela3[[#This Row],[Custo Total]]/Tabela3[[#This Row],[Realizado]]</f>
        <v>8.0931191034001877</v>
      </c>
      <c r="K1209" s="37">
        <f>IFERROR(Tabela3[[#This Row],[Qtde Cx Produzida]]/Tabela3[[#This Row],[Tempo]]/24,0)</f>
        <v>9.1089108910891081</v>
      </c>
      <c r="L1209" s="37">
        <f>Tabela3[[#This Row],[Qtde Cx Produzida]]*Tabela3[[#This Row],[Qdt Peça Placa]]</f>
        <v>184</v>
      </c>
      <c r="M1209" s="37">
        <f>Tabela3[[#This Row],[Previsto]]-Tabela3[[#This Row],[Perda Pçs]]</f>
        <v>184</v>
      </c>
      <c r="N1209" s="38">
        <f>IFERROR(Tabela3[[#This Row],[Perda Pçs]]/Tabela3[[#This Row],[Previsto]],0)</f>
        <v>0</v>
      </c>
      <c r="O1209" s="39">
        <f>IFERROR(IF(Tabela3[[#This Row],[Qtde Cx Produzida]] &lt;&gt; 0, Tabela3[[#This Row],[Tempo]] / Tabela3[[#This Row],[Qtde Cx Produzida]], 0),0)</f>
        <v>4.5742753623188408E-3</v>
      </c>
      <c r="P1209" s="57">
        <f>IFERROR(Tabela3[[#This Row],[Perda Pçs]]/Tabela3[[#This Row],[Qdt Peça Placa]],0)</f>
        <v>0</v>
      </c>
      <c r="Q1209" s="37">
        <f>IFERROR(Tabela3[[#This Row],[Realizado]]*Tabela3[[#This Row],[Peso Util/Pç]],0)</f>
        <v>55.199999999999996</v>
      </c>
      <c r="R1209" s="37">
        <f>IFERROR(Tabela3[[#This Row],[Peso Total Galho]]*Tabela3[[#This Row],[Qtde Cx Produzida]]*1.055,0)</f>
        <v>111.61899999999999</v>
      </c>
      <c r="S1209" s="37">
        <f>(Tabela3[[#This Row],[Aluminio Bruto]]-Tabela3[[#This Row],[Aluminio Util]])*0.9</f>
        <v>50.77709999999999</v>
      </c>
      <c r="T1209" s="37">
        <f>Tabela3[[#This Row],[Aluminio Bruto]]/OleoKGAluminio</f>
        <v>46.957968978019558</v>
      </c>
      <c r="U1209" s="35">
        <f>IFERROR((VLOOKUP(Tabela3[[#This Row],[Moldador]],Tabela1[],5,)+(VLOOKUP(Tabela3[[#This Row],[Ajudante]],Tabela1[],5,))*3.5),0)</f>
        <v>99.95034583333333</v>
      </c>
      <c r="V1209" s="35">
        <f>IFERROR(Tabela3[[#This Row],[Custo M.O. / H]]/((Tabela3[[#This Row],[Realizado]]/Tabela3[[#This Row],[Qdt Peça Placa]])/Tabela3[[#This Row],[Tempo]]/24),)</f>
        <v>10.972809705615942</v>
      </c>
      <c r="W1209" s="35">
        <f>Tabela3[[#This Row],[Custo / Cx Moldada]]*Tabela3[[#This Row],[Qtde Cx Produzida]]</f>
        <v>504.74924645833335</v>
      </c>
      <c r="X1209" s="35">
        <f ca="1">Tabela3[[#This Row],[Aluminio Util]]*Tabela3[[#This Row],[Custo/Kg]]</f>
        <v>861.12</v>
      </c>
      <c r="Y1209" s="35">
        <f>IFERROR(VLOOKUP(Tabela3[[#This Row],[Data]],Tabela461213[],2,1)*(Tabela3[[#This Row],[Qtde Cx Produzida]]*Tabela3[[#This Row],[Qde macho / CX]]*Tabela3[[#This Row],[Peso Macho]]),)</f>
        <v>0</v>
      </c>
      <c r="Z1209" s="35">
        <f>IFERROR(Tabela3[[#This Row],[Qtde Oleo]]*(VLOOKUP(Tabela3[[#This Row],[Data]],CompraOleo[],3,TRUE))*1.05,0)</f>
        <v>123.26466856730134</v>
      </c>
      <c r="AA1209" s="47">
        <f ca="1">(Tabela3[[#This Row],[Custo Oleo]]+Tabela3[[#This Row],[Custo Aluminio]]+Tabela3[[#This Row],[Custo M.O. Total]]+Tabela3[[#This Row],[Custo Machos]])</f>
        <v>1489.1339150256347</v>
      </c>
      <c r="AB1209" s="47">
        <f ca="1">Tabela3[[#This Row],[Custo Total]]*Tabela3[[#This Row],[% Perda]]</f>
        <v>0</v>
      </c>
      <c r="AC1209" s="40">
        <f>IFERROR(VLOOKUP(Tabela3[[#This Row],[Produto]],Tabela2[],2,0),0)</f>
        <v>4</v>
      </c>
      <c r="AD1209" s="48">
        <f>IFERROR(VLOOKUP(Tabela3[[#This Row],[Produto]],Tabela2[],3,0),0)</f>
        <v>0.3</v>
      </c>
      <c r="AE1209" s="48">
        <f>IFERROR(VLOOKUP(Tabela3[[#This Row],[Produto]],Tabela2[],4,0),0)</f>
        <v>2.2999999999999998</v>
      </c>
      <c r="AF1209" s="48">
        <f>IFERROR(VLOOKUP(Tabela3[[#This Row],[Produto]],Tabela2[],5,0),0)</f>
        <v>0.98999999999999988</v>
      </c>
      <c r="AG1209" s="48">
        <f>IFERROR(VLOOKUP(Tabela3[[#This Row],[Produto]],Tabela2[],6,0),0)</f>
        <v>0</v>
      </c>
      <c r="AH1209" s="40">
        <f>IFERROR(VLOOKUP(Tabela3[[#This Row],[Produto]],Tabela2[],7,0),0)</f>
        <v>0</v>
      </c>
      <c r="AI1209" s="40">
        <f>IFERROR(VLOOKUP(Tabela3[[#This Row],[Produto]],Tabela2[],8,0),0)</f>
        <v>0</v>
      </c>
      <c r="AJ1209" s="35">
        <f ca="1">IFERROR(VLOOKUP(Tabela3[[#This Row],[Produto]],Tabela2[],13,0),0)</f>
        <v>15.600000000000001</v>
      </c>
      <c r="AK1209" s="48" t="str">
        <f>IFERROR(VLOOKUP(Tabela3[[#This Row],[Produto]],Tabela2[],14,0),0)</f>
        <v>Senun</v>
      </c>
      <c r="AL1209" s="40">
        <f>IFERROR(VLOOKUP(Tabela3[[#This Row],[Produto]],Tabela2[],15,0),0)</f>
        <v>3.5</v>
      </c>
      <c r="AM1209" s="36">
        <f ca="1">(Tabela3[[#This Row],[Custo Usinagem]]+Tabela3[[#This Row],[Custo / Pç]])*1.2</f>
        <v>13.911742924080224</v>
      </c>
      <c r="AN1209" s="36">
        <f ca="1">Tabela3[[#This Row],[Valor Mínimo Venda]]*1.15</f>
        <v>15.998504362692257</v>
      </c>
      <c r="AO1209" s="36">
        <f ca="1">Tabela3[[#This Row],[Tabela 1]]*1.08</f>
        <v>17.278384711707638</v>
      </c>
      <c r="AP1209" s="36">
        <f ca="1">Tabela3[[#This Row],[Tabela 2]]*1.15</f>
        <v>19.870142418463782</v>
      </c>
    </row>
    <row r="1210" spans="1:42">
      <c r="A1210" s="9">
        <v>46156</v>
      </c>
      <c r="B1210" s="9" t="s">
        <v>247</v>
      </c>
      <c r="C1210" s="14">
        <v>9716</v>
      </c>
      <c r="D1210" s="6" t="s">
        <v>46</v>
      </c>
      <c r="E1210" s="6" t="s">
        <v>44</v>
      </c>
      <c r="F1210" s="6">
        <v>19</v>
      </c>
      <c r="G1210" s="15">
        <v>9.7222222222222224E-2</v>
      </c>
      <c r="H1210" s="16">
        <v>0</v>
      </c>
      <c r="I1210" s="35">
        <f ca="1">IFERROR(Tabela3[[#This Row],[Custo Total]]/Tabela3[[#This Row],[Aluminio Util]],0)</f>
        <v>30.737463484724184</v>
      </c>
      <c r="J1210" s="35">
        <f ca="1">Tabela3[[#This Row],[Custo Total]]/Tabela3[[#This Row],[Realizado]]</f>
        <v>9.2212390454172564</v>
      </c>
      <c r="K1210" s="37">
        <f>IFERROR(Tabela3[[#This Row],[Qtde Cx Produzida]]/Tabela3[[#This Row],[Tempo]]/24,0)</f>
        <v>8.1428571428571423</v>
      </c>
      <c r="L1210" s="37">
        <f>Tabela3[[#This Row],[Qtde Cx Produzida]]*Tabela3[[#This Row],[Qdt Peça Placa]]</f>
        <v>76</v>
      </c>
      <c r="M1210" s="37">
        <f>Tabela3[[#This Row],[Previsto]]-Tabela3[[#This Row],[Perda Pçs]]</f>
        <v>76</v>
      </c>
      <c r="N1210" s="38">
        <f>IFERROR(Tabela3[[#This Row],[Perda Pçs]]/Tabela3[[#This Row],[Previsto]],0)</f>
        <v>0</v>
      </c>
      <c r="O1210" s="39">
        <f>IFERROR(IF(Tabela3[[#This Row],[Qtde Cx Produzida]] &lt;&gt; 0, Tabela3[[#This Row],[Tempo]] / Tabela3[[#This Row],[Qtde Cx Produzida]], 0),0)</f>
        <v>5.1169590643274851E-3</v>
      </c>
      <c r="P1210" s="57">
        <f>IFERROR(Tabela3[[#This Row],[Perda Pçs]]/Tabela3[[#This Row],[Qdt Peça Placa]],0)</f>
        <v>0</v>
      </c>
      <c r="Q1210" s="37">
        <f>IFERROR(Tabela3[[#This Row],[Realizado]]*Tabela3[[#This Row],[Peso Util/Pç]],0)</f>
        <v>22.8</v>
      </c>
      <c r="R1210" s="37">
        <f>IFERROR(Tabela3[[#This Row],[Peso Total Galho]]*Tabela3[[#This Row],[Qtde Cx Produzida]]*1.055,0)</f>
        <v>46.10349999999999</v>
      </c>
      <c r="S1210" s="37">
        <f>(Tabela3[[#This Row],[Aluminio Bruto]]-Tabela3[[#This Row],[Aluminio Util]])*0.9</f>
        <v>20.97314999999999</v>
      </c>
      <c r="T1210" s="37">
        <f>Tabela3[[#This Row],[Aluminio Bruto]]/OleoKGAluminio</f>
        <v>19.395682838747206</v>
      </c>
      <c r="U1210" s="35">
        <f>IFERROR((VLOOKUP(Tabela3[[#This Row],[Moldador]],Tabela1[],5,)+(VLOOKUP(Tabela3[[#This Row],[Ajudante]],Tabela1[],5,))*3.5),0)</f>
        <v>126.0945</v>
      </c>
      <c r="V1210" s="35">
        <f>IFERROR(Tabela3[[#This Row],[Custo M.O. / H]]/((Tabela3[[#This Row],[Realizado]]/Tabela3[[#This Row],[Qdt Peça Placa]])/Tabela3[[#This Row],[Tempo]]/24),)</f>
        <v>15.485289473684212</v>
      </c>
      <c r="W1210" s="35">
        <f>Tabela3[[#This Row],[Custo / Cx Moldada]]*Tabela3[[#This Row],[Qtde Cx Produzida]]</f>
        <v>294.22050000000002</v>
      </c>
      <c r="X1210" s="35">
        <f ca="1">Tabela3[[#This Row],[Aluminio Util]]*Tabela3[[#This Row],[Custo/Kg]]</f>
        <v>355.68000000000006</v>
      </c>
      <c r="Y1210" s="35">
        <f>IFERROR(VLOOKUP(Tabela3[[#This Row],[Data]],Tabela461213[],2,1)*(Tabela3[[#This Row],[Qtde Cx Produzida]]*Tabela3[[#This Row],[Qde macho / CX]]*Tabela3[[#This Row],[Peso Macho]]),)</f>
        <v>0</v>
      </c>
      <c r="Z1210" s="35">
        <f>IFERROR(Tabela3[[#This Row],[Qtde Oleo]]*(VLOOKUP(Tabela3[[#This Row],[Data]],CompraOleo[],3,TRUE))*1.05,0)</f>
        <v>50.913667451711419</v>
      </c>
      <c r="AA1210" s="47">
        <f ca="1">(Tabela3[[#This Row],[Custo Oleo]]+Tabela3[[#This Row],[Custo Aluminio]]+Tabela3[[#This Row],[Custo M.O. Total]]+Tabela3[[#This Row],[Custo Machos]])</f>
        <v>700.81416745171146</v>
      </c>
      <c r="AB1210" s="47">
        <f ca="1">Tabela3[[#This Row],[Custo Total]]*Tabela3[[#This Row],[% Perda]]</f>
        <v>0</v>
      </c>
      <c r="AC1210" s="40">
        <f>IFERROR(VLOOKUP(Tabela3[[#This Row],[Produto]],Tabela2[],2,0),0)</f>
        <v>4</v>
      </c>
      <c r="AD1210" s="48">
        <f>IFERROR(VLOOKUP(Tabela3[[#This Row],[Produto]],Tabela2[],3,0),0)</f>
        <v>0.3</v>
      </c>
      <c r="AE1210" s="48">
        <f>IFERROR(VLOOKUP(Tabela3[[#This Row],[Produto]],Tabela2[],4,0),0)</f>
        <v>2.2999999999999998</v>
      </c>
      <c r="AF1210" s="48">
        <f>IFERROR(VLOOKUP(Tabela3[[#This Row],[Produto]],Tabela2[],5,0),0)</f>
        <v>0.98999999999999988</v>
      </c>
      <c r="AG1210" s="48">
        <f>IFERROR(VLOOKUP(Tabela3[[#This Row],[Produto]],Tabela2[],6,0),0)</f>
        <v>0</v>
      </c>
      <c r="AH1210" s="40">
        <f>IFERROR(VLOOKUP(Tabela3[[#This Row],[Produto]],Tabela2[],7,0),0)</f>
        <v>0</v>
      </c>
      <c r="AI1210" s="40">
        <f>IFERROR(VLOOKUP(Tabela3[[#This Row],[Produto]],Tabela2[],8,0),0)</f>
        <v>0</v>
      </c>
      <c r="AJ1210" s="35">
        <f ca="1">IFERROR(VLOOKUP(Tabela3[[#This Row],[Produto]],Tabela2[],13,0),0)</f>
        <v>15.600000000000001</v>
      </c>
      <c r="AK1210" s="48" t="str">
        <f>IFERROR(VLOOKUP(Tabela3[[#This Row],[Produto]],Tabela2[],14,0),0)</f>
        <v>Senun</v>
      </c>
      <c r="AL1210" s="40">
        <f>IFERROR(VLOOKUP(Tabela3[[#This Row],[Produto]],Tabela2[],15,0),0)</f>
        <v>3.5</v>
      </c>
      <c r="AM1210" s="36">
        <f ca="1">(Tabela3[[#This Row],[Custo Usinagem]]+Tabela3[[#This Row],[Custo / Pç]])*1.2</f>
        <v>15.265486854500708</v>
      </c>
      <c r="AN1210" s="36">
        <f ca="1">Tabela3[[#This Row],[Valor Mínimo Venda]]*1.15</f>
        <v>17.555309882675811</v>
      </c>
      <c r="AO1210" s="36">
        <f ca="1">Tabela3[[#This Row],[Tabela 1]]*1.08</f>
        <v>18.959734673289876</v>
      </c>
      <c r="AP1210" s="36">
        <f ca="1">Tabela3[[#This Row],[Tabela 2]]*1.15</f>
        <v>21.803694874283355</v>
      </c>
    </row>
    <row r="1211" spans="1:42">
      <c r="A1211" s="9">
        <v>46156</v>
      </c>
      <c r="B1211" s="9" t="s">
        <v>247</v>
      </c>
      <c r="C1211" s="14">
        <v>9716</v>
      </c>
      <c r="D1211" s="6" t="s">
        <v>44</v>
      </c>
      <c r="E1211" s="6" t="s">
        <v>47</v>
      </c>
      <c r="F1211" s="6">
        <v>16</v>
      </c>
      <c r="G1211" s="15">
        <v>7.9166666666666663E-2</v>
      </c>
      <c r="H1211" s="16"/>
      <c r="I1211" s="35">
        <f ca="1">IFERROR(Tabela3[[#This Row],[Custo Total]]/Tabela3[[#This Row],[Aluminio Util]],0)</f>
        <v>27.723975229744287</v>
      </c>
      <c r="J1211" s="35">
        <f ca="1">Tabela3[[#This Row],[Custo Total]]/Tabela3[[#This Row],[Realizado]]</f>
        <v>8.3171925689232857</v>
      </c>
      <c r="K1211" s="37">
        <f>IFERROR(Tabela3[[#This Row],[Qtde Cx Produzida]]/Tabela3[[#This Row],[Tempo]]/24,0)</f>
        <v>8.4210526315789469</v>
      </c>
      <c r="L1211" s="37">
        <f>Tabela3[[#This Row],[Qtde Cx Produzida]]*Tabela3[[#This Row],[Qdt Peça Placa]]</f>
        <v>64</v>
      </c>
      <c r="M1211" s="37">
        <f>Tabela3[[#This Row],[Previsto]]-Tabela3[[#This Row],[Perda Pçs]]</f>
        <v>64</v>
      </c>
      <c r="N1211" s="38">
        <f>IFERROR(Tabela3[[#This Row],[Perda Pçs]]/Tabela3[[#This Row],[Previsto]],0)</f>
        <v>0</v>
      </c>
      <c r="O1211" s="39">
        <f>IFERROR(IF(Tabela3[[#This Row],[Qtde Cx Produzida]] &lt;&gt; 0, Tabela3[[#This Row],[Tempo]] / Tabela3[[#This Row],[Qtde Cx Produzida]], 0),0)</f>
        <v>4.9479166666666664E-3</v>
      </c>
      <c r="P1211" s="57">
        <f>IFERROR(Tabela3[[#This Row],[Perda Pçs]]/Tabela3[[#This Row],[Qdt Peça Placa]],0)</f>
        <v>0</v>
      </c>
      <c r="Q1211" s="37">
        <f>IFERROR(Tabela3[[#This Row],[Realizado]]*Tabela3[[#This Row],[Peso Util/Pç]],0)</f>
        <v>19.2</v>
      </c>
      <c r="R1211" s="37">
        <f>IFERROR(Tabela3[[#This Row],[Peso Total Galho]]*Tabela3[[#This Row],[Qtde Cx Produzida]]*1.055,0)</f>
        <v>38.823999999999998</v>
      </c>
      <c r="S1211" s="37">
        <f>(Tabela3[[#This Row],[Aluminio Bruto]]-Tabela3[[#This Row],[Aluminio Util]])*0.9</f>
        <v>17.6616</v>
      </c>
      <c r="T1211" s="37">
        <f>Tabela3[[#This Row],[Aluminio Bruto]]/OleoKGAluminio</f>
        <v>16.333206601050282</v>
      </c>
      <c r="U1211" s="35">
        <f>IFERROR((VLOOKUP(Tabela3[[#This Row],[Moldador]],Tabela1[],5,)+(VLOOKUP(Tabela3[[#This Row],[Ajudante]],Tabela1[],5,))*3.5),0)</f>
        <v>99.95034583333333</v>
      </c>
      <c r="V1211" s="35">
        <f>IFERROR(Tabela3[[#This Row],[Custo M.O. / H]]/((Tabela3[[#This Row],[Realizado]]/Tabela3[[#This Row],[Qdt Peça Placa]])/Tabela3[[#This Row],[Tempo]]/24),)</f>
        <v>11.869103567708333</v>
      </c>
      <c r="W1211" s="35">
        <f>Tabela3[[#This Row],[Custo / Cx Moldada]]*Tabela3[[#This Row],[Qtde Cx Produzida]]</f>
        <v>189.90565708333332</v>
      </c>
      <c r="X1211" s="35">
        <f ca="1">Tabela3[[#This Row],[Aluminio Util]]*Tabela3[[#This Row],[Custo/Kg]]</f>
        <v>299.52000000000004</v>
      </c>
      <c r="Y1211" s="35">
        <f>IFERROR(VLOOKUP(Tabela3[[#This Row],[Data]],Tabela461213[],2,1)*(Tabela3[[#This Row],[Qtde Cx Produzida]]*Tabela3[[#This Row],[Qde macho / CX]]*Tabela3[[#This Row],[Peso Macho]]),)</f>
        <v>0</v>
      </c>
      <c r="Z1211" s="35">
        <f>IFERROR(Tabela3[[#This Row],[Qtde Oleo]]*(VLOOKUP(Tabela3[[#This Row],[Data]],CompraOleo[],3,TRUE))*1.05,0)</f>
        <v>42.874667327756988</v>
      </c>
      <c r="AA1211" s="47">
        <f ca="1">(Tabela3[[#This Row],[Custo Oleo]]+Tabela3[[#This Row],[Custo Aluminio]]+Tabela3[[#This Row],[Custo M.O. Total]]+Tabela3[[#This Row],[Custo Machos]])</f>
        <v>532.30032441109029</v>
      </c>
      <c r="AB1211" s="47">
        <f ca="1">Tabela3[[#This Row],[Custo Total]]*Tabela3[[#This Row],[% Perda]]</f>
        <v>0</v>
      </c>
      <c r="AC1211" s="40">
        <f>IFERROR(VLOOKUP(Tabela3[[#This Row],[Produto]],Tabela2[],2,0),0)</f>
        <v>4</v>
      </c>
      <c r="AD1211" s="48">
        <f>IFERROR(VLOOKUP(Tabela3[[#This Row],[Produto]],Tabela2[],3,0),0)</f>
        <v>0.3</v>
      </c>
      <c r="AE1211" s="48">
        <f>IFERROR(VLOOKUP(Tabela3[[#This Row],[Produto]],Tabela2[],4,0),0)</f>
        <v>2.2999999999999998</v>
      </c>
      <c r="AF1211" s="48">
        <f>IFERROR(VLOOKUP(Tabela3[[#This Row],[Produto]],Tabela2[],5,0),0)</f>
        <v>0.98999999999999988</v>
      </c>
      <c r="AG1211" s="48">
        <f>IFERROR(VLOOKUP(Tabela3[[#This Row],[Produto]],Tabela2[],6,0),0)</f>
        <v>0</v>
      </c>
      <c r="AH1211" s="40">
        <f>IFERROR(VLOOKUP(Tabela3[[#This Row],[Produto]],Tabela2[],7,0),0)</f>
        <v>0</v>
      </c>
      <c r="AI1211" s="40">
        <f>IFERROR(VLOOKUP(Tabela3[[#This Row],[Produto]],Tabela2[],8,0),0)</f>
        <v>0</v>
      </c>
      <c r="AJ1211" s="35">
        <f ca="1">IFERROR(VLOOKUP(Tabela3[[#This Row],[Produto]],Tabela2[],13,0),0)</f>
        <v>15.600000000000001</v>
      </c>
      <c r="AK1211" s="48" t="str">
        <f>IFERROR(VLOOKUP(Tabela3[[#This Row],[Produto]],Tabela2[],14,0),0)</f>
        <v>Senun</v>
      </c>
      <c r="AL1211" s="40">
        <f>IFERROR(VLOOKUP(Tabela3[[#This Row],[Produto]],Tabela2[],15,0),0)</f>
        <v>3.5</v>
      </c>
      <c r="AM1211" s="36">
        <f ca="1">(Tabela3[[#This Row],[Custo Usinagem]]+Tabela3[[#This Row],[Custo / Pç]])*1.2</f>
        <v>14.180631082707942</v>
      </c>
      <c r="AN1211" s="36">
        <f ca="1">Tabela3[[#This Row],[Valor Mínimo Venda]]*1.15</f>
        <v>16.307725745114134</v>
      </c>
      <c r="AO1211" s="36">
        <f ca="1">Tabela3[[#This Row],[Tabela 1]]*1.08</f>
        <v>17.612343804723267</v>
      </c>
      <c r="AP1211" s="36">
        <f ca="1">Tabela3[[#This Row],[Tabela 2]]*1.15</f>
        <v>20.254195375431756</v>
      </c>
    </row>
    <row r="1212" spans="1:42">
      <c r="A1212" s="9">
        <v>46156</v>
      </c>
      <c r="B1212" s="9" t="s">
        <v>152</v>
      </c>
      <c r="C1212" s="14">
        <v>9695</v>
      </c>
      <c r="D1212" s="6" t="s">
        <v>44</v>
      </c>
      <c r="E1212" s="6" t="s">
        <v>47</v>
      </c>
      <c r="F1212" s="6">
        <v>10</v>
      </c>
      <c r="G1212" s="15">
        <v>3.888888888888889E-2</v>
      </c>
      <c r="H1212" s="16">
        <v>2</v>
      </c>
      <c r="I1212" s="35">
        <f ca="1">IFERROR(Tabela3[[#This Row],[Custo Total]]/Tabela3[[#This Row],[Aluminio Util]],0)</f>
        <v>26.450740181921169</v>
      </c>
      <c r="J1212" s="35">
        <f ca="1">Tabela3[[#This Row],[Custo Total]]/Tabela3[[#This Row],[Realizado]]</f>
        <v>17.192981118248763</v>
      </c>
      <c r="K1212" s="37">
        <f>IFERROR(Tabela3[[#This Row],[Qtde Cx Produzida]]/Tabela3[[#This Row],[Tempo]]/24,0)</f>
        <v>10.714285714285714</v>
      </c>
      <c r="L1212" s="37">
        <f>Tabela3[[#This Row],[Qtde Cx Produzida]]*Tabela3[[#This Row],[Qdt Peça Placa]]</f>
        <v>20</v>
      </c>
      <c r="M1212" s="37">
        <f>Tabela3[[#This Row],[Previsto]]-Tabela3[[#This Row],[Perda Pçs]]</f>
        <v>18</v>
      </c>
      <c r="N1212" s="38">
        <f>IFERROR(Tabela3[[#This Row],[Perda Pçs]]/Tabela3[[#This Row],[Previsto]],0)</f>
        <v>0.1</v>
      </c>
      <c r="O1212" s="39">
        <f>IFERROR(IF(Tabela3[[#This Row],[Qtde Cx Produzida]] &lt;&gt; 0, Tabela3[[#This Row],[Tempo]] / Tabela3[[#This Row],[Qtde Cx Produzida]], 0),0)</f>
        <v>3.8888888888888888E-3</v>
      </c>
      <c r="P1212" s="57">
        <f>IFERROR(Tabela3[[#This Row],[Perda Pçs]]/Tabela3[[#This Row],[Qdt Peça Placa]],0)</f>
        <v>1</v>
      </c>
      <c r="Q1212" s="37">
        <f>IFERROR(Tabela3[[#This Row],[Realizado]]*Tabela3[[#This Row],[Peso Util/Pç]],0)</f>
        <v>11.700000000000001</v>
      </c>
      <c r="R1212" s="37">
        <f>IFERROR(Tabela3[[#This Row],[Peso Total Galho]]*Tabela3[[#This Row],[Qtde Cx Produzida]]*1.055,0)</f>
        <v>21.099999999999998</v>
      </c>
      <c r="S1212" s="37">
        <f>(Tabela3[[#This Row],[Aluminio Bruto]]-Tabela3[[#This Row],[Aluminio Util]])*0.9</f>
        <v>8.4599999999999973</v>
      </c>
      <c r="T1212" s="37">
        <f>Tabela3[[#This Row],[Aluminio Bruto]]/OleoKGAluminio</f>
        <v>8.8767427179621095</v>
      </c>
      <c r="U1212" s="35">
        <f>IFERROR((VLOOKUP(Tabela3[[#This Row],[Moldador]],Tabela1[],5,)+(VLOOKUP(Tabela3[[#This Row],[Ajudante]],Tabela1[],5,))*3.5),0)</f>
        <v>99.95034583333333</v>
      </c>
      <c r="V1212" s="35">
        <f>IFERROR(Tabela3[[#This Row],[Custo M.O. / H]]/((Tabela3[[#This Row],[Realizado]]/Tabela3[[#This Row],[Qdt Peça Placa]])/Tabela3[[#This Row],[Tempo]]/24),)</f>
        <v>10.365221049382717</v>
      </c>
      <c r="W1212" s="35">
        <f>Tabela3[[#This Row],[Custo / Cx Moldada]]*Tabela3[[#This Row],[Qtde Cx Produzida]]</f>
        <v>103.65221049382717</v>
      </c>
      <c r="X1212" s="35">
        <f ca="1">Tabela3[[#This Row],[Aluminio Util]]*Tabela3[[#This Row],[Custo/Kg]]</f>
        <v>182.52000000000004</v>
      </c>
      <c r="Y1212" s="35">
        <f>IFERROR(VLOOKUP(Tabela3[[#This Row],[Data]],Tabela461213[],2,1)*(Tabela3[[#This Row],[Qtde Cx Produzida]]*Tabela3[[#This Row],[Qde macho / CX]]*Tabela3[[#This Row],[Peso Macho]]),)</f>
        <v>0</v>
      </c>
      <c r="Z1212" s="35">
        <f>IFERROR(Tabela3[[#This Row],[Qtde Oleo]]*(VLOOKUP(Tabela3[[#This Row],[Data]],CompraOleo[],3,TRUE))*1.05,0)</f>
        <v>23.301449634650538</v>
      </c>
      <c r="AA1212" s="47">
        <f ca="1">(Tabela3[[#This Row],[Custo Oleo]]+Tabela3[[#This Row],[Custo Aluminio]]+Tabela3[[#This Row],[Custo M.O. Total]]+Tabela3[[#This Row],[Custo Machos]])</f>
        <v>309.47366012847772</v>
      </c>
      <c r="AB1212" s="47">
        <f ca="1">Tabela3[[#This Row],[Custo Total]]*Tabela3[[#This Row],[% Perda]]</f>
        <v>30.947366012847773</v>
      </c>
      <c r="AC1212" s="40">
        <f>IFERROR(VLOOKUP(Tabela3[[#This Row],[Produto]],Tabela2[],2,0),0)</f>
        <v>2</v>
      </c>
      <c r="AD1212" s="48">
        <f>IFERROR(VLOOKUP(Tabela3[[#This Row],[Produto]],Tabela2[],3,0),0)</f>
        <v>0.65</v>
      </c>
      <c r="AE1212" s="48">
        <f>IFERROR(VLOOKUP(Tabela3[[#This Row],[Produto]],Tabela2[],4,0),0)</f>
        <v>2</v>
      </c>
      <c r="AF1212" s="48">
        <f>IFERROR(VLOOKUP(Tabela3[[#This Row],[Produto]],Tabela2[],5,0),0)</f>
        <v>0.63</v>
      </c>
      <c r="AG1212" s="48">
        <f>IFERROR(VLOOKUP(Tabela3[[#This Row],[Produto]],Tabela2[],6,0),0)</f>
        <v>0</v>
      </c>
      <c r="AH1212" s="40">
        <f>IFERROR(VLOOKUP(Tabela3[[#This Row],[Produto]],Tabela2[],7,0),0)</f>
        <v>0</v>
      </c>
      <c r="AI1212" s="40">
        <f>IFERROR(VLOOKUP(Tabela3[[#This Row],[Produto]],Tabela2[],8,0),0)</f>
        <v>0</v>
      </c>
      <c r="AJ1212" s="35">
        <f ca="1">IFERROR(VLOOKUP(Tabela3[[#This Row],[Produto]],Tabela2[],13,0),0)</f>
        <v>15.600000000000001</v>
      </c>
      <c r="AK1212" s="48" t="str">
        <f>IFERROR(VLOOKUP(Tabela3[[#This Row],[Produto]],Tabela2[],14,0),0)</f>
        <v>Senun</v>
      </c>
      <c r="AL1212" s="40">
        <f>IFERROR(VLOOKUP(Tabela3[[#This Row],[Produto]],Tabela2[],15,0),0)</f>
        <v>5</v>
      </c>
      <c r="AM1212" s="36">
        <f ca="1">(Tabela3[[#This Row],[Custo Usinagem]]+Tabela3[[#This Row],[Custo / Pç]])*1.2</f>
        <v>26.631577341898517</v>
      </c>
      <c r="AN1212" s="36">
        <f ca="1">Tabela3[[#This Row],[Valor Mínimo Venda]]*1.15</f>
        <v>30.626313943183291</v>
      </c>
      <c r="AO1212" s="36">
        <f ca="1">Tabela3[[#This Row],[Tabela 1]]*1.08</f>
        <v>33.07641905863796</v>
      </c>
      <c r="AP1212" s="36">
        <f ca="1">Tabela3[[#This Row],[Tabela 2]]*1.15</f>
        <v>38.037881917433651</v>
      </c>
    </row>
    <row r="1213" spans="1:42">
      <c r="A1213" s="9">
        <v>46156</v>
      </c>
      <c r="B1213" s="9" t="s">
        <v>245</v>
      </c>
      <c r="C1213" s="14">
        <v>9698</v>
      </c>
      <c r="D1213" s="6" t="s">
        <v>44</v>
      </c>
      <c r="E1213" s="6" t="s">
        <v>47</v>
      </c>
      <c r="F1213" s="6">
        <v>10</v>
      </c>
      <c r="G1213" s="15">
        <v>4.583333333333333E-2</v>
      </c>
      <c r="H1213" s="16">
        <v>0</v>
      </c>
      <c r="I1213" s="35">
        <f ca="1">IFERROR(Tabela3[[#This Row],[Custo Total]]/Tabela3[[#This Row],[Aluminio Util]],0)</f>
        <v>25.896840925942374</v>
      </c>
      <c r="J1213" s="35">
        <f ca="1">Tabela3[[#This Row],[Custo Total]]/Tabela3[[#This Row],[Realizado]]</f>
        <v>8.5977511874128698</v>
      </c>
      <c r="K1213" s="37">
        <f>IFERROR(Tabela3[[#This Row],[Qtde Cx Produzida]]/Tabela3[[#This Row],[Tempo]]/24,0)</f>
        <v>9.0909090909090917</v>
      </c>
      <c r="L1213" s="37">
        <f>Tabela3[[#This Row],[Qtde Cx Produzida]]*Tabela3[[#This Row],[Qdt Peça Placa]]</f>
        <v>40</v>
      </c>
      <c r="M1213" s="37">
        <f>Tabela3[[#This Row],[Previsto]]-Tabela3[[#This Row],[Perda Pçs]]</f>
        <v>40</v>
      </c>
      <c r="N1213" s="38">
        <f>IFERROR(Tabela3[[#This Row],[Perda Pçs]]/Tabela3[[#This Row],[Previsto]],0)</f>
        <v>0</v>
      </c>
      <c r="O1213" s="39">
        <f>IFERROR(IF(Tabela3[[#This Row],[Qtde Cx Produzida]] &lt;&gt; 0, Tabela3[[#This Row],[Tempo]] / Tabela3[[#This Row],[Qtde Cx Produzida]], 0),0)</f>
        <v>4.5833333333333334E-3</v>
      </c>
      <c r="P1213" s="57">
        <f>IFERROR(Tabela3[[#This Row],[Perda Pçs]]/Tabela3[[#This Row],[Qdt Peça Placa]],0)</f>
        <v>0</v>
      </c>
      <c r="Q1213" s="37">
        <f>IFERROR(Tabela3[[#This Row],[Realizado]]*Tabela3[[#This Row],[Peso Util/Pç]],0)</f>
        <v>13.280000000000001</v>
      </c>
      <c r="R1213" s="37">
        <f>IFERROR(Tabela3[[#This Row],[Peso Total Galho]]*Tabela3[[#This Row],[Qtde Cx Produzida]]*1.055,0)</f>
        <v>24.264999999999997</v>
      </c>
      <c r="S1213" s="37">
        <f>(Tabela3[[#This Row],[Aluminio Bruto]]-Tabela3[[#This Row],[Aluminio Util]])*0.9</f>
        <v>9.8864999999999963</v>
      </c>
      <c r="T1213" s="37">
        <f>Tabela3[[#This Row],[Aluminio Bruto]]/OleoKGAluminio</f>
        <v>10.208254125656424</v>
      </c>
      <c r="U1213" s="35">
        <f>IFERROR((VLOOKUP(Tabela3[[#This Row],[Moldador]],Tabela1[],5,)+(VLOOKUP(Tabela3[[#This Row],[Ajudante]],Tabela1[],5,))*3.5),0)</f>
        <v>99.95034583333333</v>
      </c>
      <c r="V1213" s="35">
        <f>IFERROR(Tabela3[[#This Row],[Custo M.O. / H]]/((Tabela3[[#This Row],[Realizado]]/Tabela3[[#This Row],[Qdt Peça Placa]])/Tabela3[[#This Row],[Tempo]]/24),)</f>
        <v>10.994538041666665</v>
      </c>
      <c r="W1213" s="35">
        <f>Tabela3[[#This Row],[Custo / Cx Moldada]]*Tabela3[[#This Row],[Qtde Cx Produzida]]</f>
        <v>109.94538041666665</v>
      </c>
      <c r="X1213" s="35">
        <f ca="1">Tabela3[[#This Row],[Aluminio Util]]*Tabela3[[#This Row],[Custo/Kg]]</f>
        <v>207.16800000000003</v>
      </c>
      <c r="Y1213" s="35">
        <f>IFERROR(VLOOKUP(Tabela3[[#This Row],[Data]],Tabela461213[],2,1)*(Tabela3[[#This Row],[Qtde Cx Produzida]]*Tabela3[[#This Row],[Qde macho / CX]]*Tabela3[[#This Row],[Peso Macho]]),)</f>
        <v>0</v>
      </c>
      <c r="Z1213" s="35">
        <f>IFERROR(Tabela3[[#This Row],[Qtde Oleo]]*(VLOOKUP(Tabela3[[#This Row],[Data]],CompraOleo[],3,TRUE))*1.05,0)</f>
        <v>26.796667079848113</v>
      </c>
      <c r="AA1213" s="47">
        <f ca="1">(Tabela3[[#This Row],[Custo Oleo]]+Tabela3[[#This Row],[Custo Aluminio]]+Tabela3[[#This Row],[Custo M.O. Total]]+Tabela3[[#This Row],[Custo Machos]])</f>
        <v>343.91004749651478</v>
      </c>
      <c r="AB1213" s="47">
        <f ca="1">Tabela3[[#This Row],[Custo Total]]*Tabela3[[#This Row],[% Perda]]</f>
        <v>0</v>
      </c>
      <c r="AC1213" s="40">
        <f>IFERROR(VLOOKUP(Tabela3[[#This Row],[Produto]],Tabela2[],2,0),0)</f>
        <v>4</v>
      </c>
      <c r="AD1213" s="48">
        <f>IFERROR(VLOOKUP(Tabela3[[#This Row],[Produto]],Tabela2[],3,0),0)</f>
        <v>0.33200000000000002</v>
      </c>
      <c r="AE1213" s="48">
        <f>IFERROR(VLOOKUP(Tabela3[[#This Row],[Produto]],Tabela2[],4,0),0)</f>
        <v>2.2999999999999998</v>
      </c>
      <c r="AF1213" s="48">
        <f>IFERROR(VLOOKUP(Tabela3[[#This Row],[Produto]],Tabela2[],5,0),0)</f>
        <v>0.8747999999999998</v>
      </c>
      <c r="AG1213" s="48">
        <f>IFERROR(VLOOKUP(Tabela3[[#This Row],[Produto]],Tabela2[],6,0),0)</f>
        <v>0</v>
      </c>
      <c r="AH1213" s="40">
        <f>IFERROR(VLOOKUP(Tabela3[[#This Row],[Produto]],Tabela2[],7,0),0)</f>
        <v>0</v>
      </c>
      <c r="AI1213" s="40">
        <f>IFERROR(VLOOKUP(Tabela3[[#This Row],[Produto]],Tabela2[],8,0),0)</f>
        <v>0</v>
      </c>
      <c r="AJ1213" s="35">
        <f ca="1">IFERROR(VLOOKUP(Tabela3[[#This Row],[Produto]],Tabela2[],13,0),0)</f>
        <v>15.600000000000001</v>
      </c>
      <c r="AK1213" s="48" t="str">
        <f>IFERROR(VLOOKUP(Tabela3[[#This Row],[Produto]],Tabela2[],14,0),0)</f>
        <v>Senun</v>
      </c>
      <c r="AL1213" s="40">
        <f>IFERROR(VLOOKUP(Tabela3[[#This Row],[Produto]],Tabela2[],15,0),0)</f>
        <v>3.5</v>
      </c>
      <c r="AM1213" s="36">
        <f ca="1">(Tabela3[[#This Row],[Custo Usinagem]]+Tabela3[[#This Row],[Custo / Pç]])*1.2</f>
        <v>14.517301424895443</v>
      </c>
      <c r="AN1213" s="36">
        <f ca="1">Tabela3[[#This Row],[Valor Mínimo Venda]]*1.15</f>
        <v>16.694896638629757</v>
      </c>
      <c r="AO1213" s="36">
        <f ca="1">Tabela3[[#This Row],[Tabela 1]]*1.08</f>
        <v>18.030488369720139</v>
      </c>
      <c r="AP1213" s="36">
        <f ca="1">Tabela3[[#This Row],[Tabela 2]]*1.15</f>
        <v>20.735061625178158</v>
      </c>
    </row>
    <row r="1214" spans="1:42">
      <c r="A1214" s="9">
        <v>46157</v>
      </c>
      <c r="B1214" s="9" t="s">
        <v>247</v>
      </c>
      <c r="C1214" s="14">
        <v>9716</v>
      </c>
      <c r="D1214" s="6" t="s">
        <v>46</v>
      </c>
      <c r="E1214" s="6" t="s">
        <v>50</v>
      </c>
      <c r="F1214" s="6">
        <v>55</v>
      </c>
      <c r="G1214" s="15">
        <v>0.26180555555555557</v>
      </c>
      <c r="H1214" s="16">
        <v>56</v>
      </c>
      <c r="I1214" s="35">
        <f ca="1">IFERROR(Tabela3[[#This Row],[Custo Total]]/Tabela3[[#This Row],[Aluminio Util]],0)</f>
        <v>35.718888611644125</v>
      </c>
      <c r="J1214" s="35">
        <f ca="1">Tabela3[[#This Row],[Custo Total]]/Tabela3[[#This Row],[Realizado]]</f>
        <v>10.715666583493238</v>
      </c>
      <c r="K1214" s="37">
        <f>IFERROR(Tabela3[[#This Row],[Qtde Cx Produzida]]/Tabela3[[#This Row],[Tempo]]/24,0)</f>
        <v>8.753315649867373</v>
      </c>
      <c r="L1214" s="37">
        <f>Tabela3[[#This Row],[Qtde Cx Produzida]]*Tabela3[[#This Row],[Qdt Peça Placa]]</f>
        <v>220</v>
      </c>
      <c r="M1214" s="37">
        <f>Tabela3[[#This Row],[Previsto]]-Tabela3[[#This Row],[Perda Pçs]]</f>
        <v>164</v>
      </c>
      <c r="N1214" s="38">
        <f>IFERROR(Tabela3[[#This Row],[Perda Pçs]]/Tabela3[[#This Row],[Previsto]],0)</f>
        <v>0.25454545454545452</v>
      </c>
      <c r="O1214" s="39">
        <f>IFERROR(IF(Tabela3[[#This Row],[Qtde Cx Produzida]] &lt;&gt; 0, Tabela3[[#This Row],[Tempo]] / Tabela3[[#This Row],[Qtde Cx Produzida]], 0),0)</f>
        <v>4.7601010101010104E-3</v>
      </c>
      <c r="P1214" s="57">
        <f>IFERROR(Tabela3[[#This Row],[Perda Pçs]]/Tabela3[[#This Row],[Qdt Peça Placa]],0)</f>
        <v>14</v>
      </c>
      <c r="Q1214" s="37">
        <f>IFERROR(Tabela3[[#This Row],[Realizado]]*Tabela3[[#This Row],[Peso Util/Pç]],0)</f>
        <v>49.199999999999996</v>
      </c>
      <c r="R1214" s="37">
        <f>IFERROR(Tabela3[[#This Row],[Peso Total Galho]]*Tabela3[[#This Row],[Qtde Cx Produzida]]*1.055,0)</f>
        <v>133.45749999999998</v>
      </c>
      <c r="S1214" s="37">
        <f>(Tabela3[[#This Row],[Aluminio Bruto]]-Tabela3[[#This Row],[Aluminio Util]])*0.9</f>
        <v>75.83175</v>
      </c>
      <c r="T1214" s="37">
        <f>Tabela3[[#This Row],[Aluminio Bruto]]/OleoKGAluminio</f>
        <v>56.14539769111034</v>
      </c>
      <c r="U1214" s="35">
        <f>IFERROR((VLOOKUP(Tabela3[[#This Row],[Moldador]],Tabela1[],5,)+(VLOOKUP(Tabela3[[#This Row],[Ajudante]],Tabela1[],5,))*3.5),0)</f>
        <v>99.95034583333333</v>
      </c>
      <c r="V1214" s="35">
        <f>IFERROR(Tabela3[[#This Row],[Custo M.O. / H]]/((Tabela3[[#This Row],[Realizado]]/Tabela3[[#This Row],[Qdt Peça Placa]])/Tabela3[[#This Row],[Tempo]]/24),)</f>
        <v>15.317593650067751</v>
      </c>
      <c r="W1214" s="35">
        <f>Tabela3[[#This Row],[Custo / Cx Moldada]]*Tabela3[[#This Row],[Qtde Cx Produzida]]</f>
        <v>842.46765075372628</v>
      </c>
      <c r="X1214" s="35">
        <f ca="1">Tabela3[[#This Row],[Aluminio Util]]*Tabela3[[#This Row],[Custo/Kg]]</f>
        <v>767.52</v>
      </c>
      <c r="Y1214" s="35">
        <f>IFERROR(VLOOKUP(Tabela3[[#This Row],[Data]],Tabela461213[],2,1)*(Tabela3[[#This Row],[Qtde Cx Produzida]]*Tabela3[[#This Row],[Qde macho / CX]]*Tabela3[[#This Row],[Peso Macho]]),)</f>
        <v>0</v>
      </c>
      <c r="Z1214" s="35">
        <f>IFERROR(Tabela3[[#This Row],[Qtde Oleo]]*(VLOOKUP(Tabela3[[#This Row],[Data]],CompraOleo[],3,TRUE))*1.05,0)</f>
        <v>147.38166893916465</v>
      </c>
      <c r="AA1214" s="47">
        <f ca="1">(Tabela3[[#This Row],[Custo Oleo]]+Tabela3[[#This Row],[Custo Aluminio]]+Tabela3[[#This Row],[Custo M.O. Total]]+Tabela3[[#This Row],[Custo Machos]])</f>
        <v>1757.3693196928909</v>
      </c>
      <c r="AB1214" s="47">
        <f ca="1">Tabela3[[#This Row],[Custo Total]]*Tabela3[[#This Row],[% Perda]]</f>
        <v>447.33037228546311</v>
      </c>
      <c r="AC1214" s="40">
        <f>IFERROR(VLOOKUP(Tabela3[[#This Row],[Produto]],Tabela2[],2,0),0)</f>
        <v>4</v>
      </c>
      <c r="AD1214" s="48">
        <f>IFERROR(VLOOKUP(Tabela3[[#This Row],[Produto]],Tabela2[],3,0),0)</f>
        <v>0.3</v>
      </c>
      <c r="AE1214" s="48">
        <f>IFERROR(VLOOKUP(Tabela3[[#This Row],[Produto]],Tabela2[],4,0),0)</f>
        <v>2.2999999999999998</v>
      </c>
      <c r="AF1214" s="48">
        <f>IFERROR(VLOOKUP(Tabela3[[#This Row],[Produto]],Tabela2[],5,0),0)</f>
        <v>0.98999999999999988</v>
      </c>
      <c r="AG1214" s="48">
        <f>IFERROR(VLOOKUP(Tabela3[[#This Row],[Produto]],Tabela2[],6,0),0)</f>
        <v>0</v>
      </c>
      <c r="AH1214" s="40">
        <f>IFERROR(VLOOKUP(Tabela3[[#This Row],[Produto]],Tabela2[],7,0),0)</f>
        <v>0</v>
      </c>
      <c r="AI1214" s="40">
        <f>IFERROR(VLOOKUP(Tabela3[[#This Row],[Produto]],Tabela2[],8,0),0)</f>
        <v>0</v>
      </c>
      <c r="AJ1214" s="35">
        <f ca="1">IFERROR(VLOOKUP(Tabela3[[#This Row],[Produto]],Tabela2[],13,0),0)</f>
        <v>15.600000000000001</v>
      </c>
      <c r="AK1214" s="48" t="str">
        <f>IFERROR(VLOOKUP(Tabela3[[#This Row],[Produto]],Tabela2[],14,0),0)</f>
        <v>Senun</v>
      </c>
      <c r="AL1214" s="40">
        <f>IFERROR(VLOOKUP(Tabela3[[#This Row],[Produto]],Tabela2[],15,0),0)</f>
        <v>3.5</v>
      </c>
      <c r="AM1214" s="36">
        <f ca="1">(Tabela3[[#This Row],[Custo Usinagem]]+Tabela3[[#This Row],[Custo / Pç]])*1.2</f>
        <v>17.058799900191886</v>
      </c>
      <c r="AN1214" s="36">
        <f ca="1">Tabela3[[#This Row],[Valor Mínimo Venda]]*1.15</f>
        <v>19.617619885220666</v>
      </c>
      <c r="AO1214" s="36">
        <f ca="1">Tabela3[[#This Row],[Tabela 1]]*1.08</f>
        <v>21.187029476038322</v>
      </c>
      <c r="AP1214" s="36">
        <f ca="1">Tabela3[[#This Row],[Tabela 2]]*1.15</f>
        <v>24.36508389744407</v>
      </c>
    </row>
    <row r="1215" spans="1:42">
      <c r="A1215" s="9">
        <v>46157</v>
      </c>
      <c r="B1215" s="9" t="s">
        <v>247</v>
      </c>
      <c r="C1215" s="14">
        <v>9716</v>
      </c>
      <c r="D1215" s="6" t="s">
        <v>46</v>
      </c>
      <c r="E1215" s="6" t="s">
        <v>44</v>
      </c>
      <c r="F1215" s="6">
        <v>21</v>
      </c>
      <c r="G1215" s="15">
        <v>9.2361111111111116E-2</v>
      </c>
      <c r="H1215" s="16">
        <v>0</v>
      </c>
      <c r="I1215" s="35">
        <f ca="1">IFERROR(Tabela3[[#This Row],[Custo Total]]/Tabela3[[#This Row],[Aluminio Util]],0)</f>
        <v>28.924701423320677</v>
      </c>
      <c r="J1215" s="35">
        <f ca="1">Tabela3[[#This Row],[Custo Total]]/Tabela3[[#This Row],[Realizado]]</f>
        <v>8.677410426996202</v>
      </c>
      <c r="K1215" s="37">
        <f>IFERROR(Tabela3[[#This Row],[Qtde Cx Produzida]]/Tabela3[[#This Row],[Tempo]]/24,0)</f>
        <v>9.473684210526315</v>
      </c>
      <c r="L1215" s="37">
        <f>Tabela3[[#This Row],[Qtde Cx Produzida]]*Tabela3[[#This Row],[Qdt Peça Placa]]</f>
        <v>84</v>
      </c>
      <c r="M1215" s="37">
        <f>Tabela3[[#This Row],[Previsto]]-Tabela3[[#This Row],[Perda Pçs]]</f>
        <v>84</v>
      </c>
      <c r="N1215" s="38">
        <f>IFERROR(Tabela3[[#This Row],[Perda Pçs]]/Tabela3[[#This Row],[Previsto]],0)</f>
        <v>0</v>
      </c>
      <c r="O1215" s="39">
        <f>IFERROR(IF(Tabela3[[#This Row],[Qtde Cx Produzida]] &lt;&gt; 0, Tabela3[[#This Row],[Tempo]] / Tabela3[[#This Row],[Qtde Cx Produzida]], 0),0)</f>
        <v>4.3981481481481484E-3</v>
      </c>
      <c r="P1215" s="57">
        <f>IFERROR(Tabela3[[#This Row],[Perda Pçs]]/Tabela3[[#This Row],[Qdt Peça Placa]],0)</f>
        <v>0</v>
      </c>
      <c r="Q1215" s="37">
        <f>IFERROR(Tabela3[[#This Row],[Realizado]]*Tabela3[[#This Row],[Peso Util/Pç]],0)</f>
        <v>25.2</v>
      </c>
      <c r="R1215" s="37">
        <f>IFERROR(Tabela3[[#This Row],[Peso Total Galho]]*Tabela3[[#This Row],[Qtde Cx Produzida]]*1.055,0)</f>
        <v>50.956499999999991</v>
      </c>
      <c r="S1215" s="37">
        <f>(Tabela3[[#This Row],[Aluminio Bruto]]-Tabela3[[#This Row],[Aluminio Util]])*0.9</f>
        <v>23.180849999999992</v>
      </c>
      <c r="T1215" s="37">
        <f>Tabela3[[#This Row],[Aluminio Bruto]]/OleoKGAluminio</f>
        <v>21.437333663878491</v>
      </c>
      <c r="U1215" s="35">
        <f>IFERROR((VLOOKUP(Tabela3[[#This Row],[Moldador]],Tabela1[],5,)+(VLOOKUP(Tabela3[[#This Row],[Ajudante]],Tabela1[],5,))*3.5),0)</f>
        <v>126.0945</v>
      </c>
      <c r="V1215" s="35">
        <f>IFERROR(Tabela3[[#This Row],[Custo M.O. / H]]/((Tabela3[[#This Row],[Realizado]]/Tabela3[[#This Row],[Qdt Peça Placa]])/Tabela3[[#This Row],[Tempo]]/24),)</f>
        <v>13.309975000000001</v>
      </c>
      <c r="W1215" s="35">
        <f>Tabela3[[#This Row],[Custo / Cx Moldada]]*Tabela3[[#This Row],[Qtde Cx Produzida]]</f>
        <v>279.50947500000001</v>
      </c>
      <c r="X1215" s="35">
        <f ca="1">Tabela3[[#This Row],[Aluminio Util]]*Tabela3[[#This Row],[Custo/Kg]]</f>
        <v>393.12</v>
      </c>
      <c r="Y1215" s="35">
        <f>IFERROR(VLOOKUP(Tabela3[[#This Row],[Data]],Tabela461213[],2,1)*(Tabela3[[#This Row],[Qtde Cx Produzida]]*Tabela3[[#This Row],[Qde macho / CX]]*Tabela3[[#This Row],[Peso Macho]]),)</f>
        <v>0</v>
      </c>
      <c r="Z1215" s="35">
        <f>IFERROR(Tabela3[[#This Row],[Qtde Oleo]]*(VLOOKUP(Tabela3[[#This Row],[Data]],CompraOleo[],3,TRUE))*1.05,0)</f>
        <v>56.273000867681041</v>
      </c>
      <c r="AA1215" s="47">
        <f ca="1">(Tabela3[[#This Row],[Custo Oleo]]+Tabela3[[#This Row],[Custo Aluminio]]+Tabela3[[#This Row],[Custo M.O. Total]]+Tabela3[[#This Row],[Custo Machos]])</f>
        <v>728.90247586768101</v>
      </c>
      <c r="AB1215" s="47">
        <f ca="1">Tabela3[[#This Row],[Custo Total]]*Tabela3[[#This Row],[% Perda]]</f>
        <v>0</v>
      </c>
      <c r="AC1215" s="40">
        <f>IFERROR(VLOOKUP(Tabela3[[#This Row],[Produto]],Tabela2[],2,0),0)</f>
        <v>4</v>
      </c>
      <c r="AD1215" s="48">
        <f>IFERROR(VLOOKUP(Tabela3[[#This Row],[Produto]],Tabela2[],3,0),0)</f>
        <v>0.3</v>
      </c>
      <c r="AE1215" s="48">
        <f>IFERROR(VLOOKUP(Tabela3[[#This Row],[Produto]],Tabela2[],4,0),0)</f>
        <v>2.2999999999999998</v>
      </c>
      <c r="AF1215" s="48">
        <f>IFERROR(VLOOKUP(Tabela3[[#This Row],[Produto]],Tabela2[],5,0),0)</f>
        <v>0.98999999999999988</v>
      </c>
      <c r="AG1215" s="48">
        <f>IFERROR(VLOOKUP(Tabela3[[#This Row],[Produto]],Tabela2[],6,0),0)</f>
        <v>0</v>
      </c>
      <c r="AH1215" s="40">
        <f>IFERROR(VLOOKUP(Tabela3[[#This Row],[Produto]],Tabela2[],7,0),0)</f>
        <v>0</v>
      </c>
      <c r="AI1215" s="40">
        <f>IFERROR(VLOOKUP(Tabela3[[#This Row],[Produto]],Tabela2[],8,0),0)</f>
        <v>0</v>
      </c>
      <c r="AJ1215" s="35">
        <f ca="1">IFERROR(VLOOKUP(Tabela3[[#This Row],[Produto]],Tabela2[],13,0),0)</f>
        <v>15.600000000000001</v>
      </c>
      <c r="AK1215" s="48" t="str">
        <f>IFERROR(VLOOKUP(Tabela3[[#This Row],[Produto]],Tabela2[],14,0),0)</f>
        <v>Senun</v>
      </c>
      <c r="AL1215" s="40">
        <f>IFERROR(VLOOKUP(Tabela3[[#This Row],[Produto]],Tabela2[],15,0),0)</f>
        <v>3.5</v>
      </c>
      <c r="AM1215" s="36">
        <f ca="1">(Tabela3[[#This Row],[Custo Usinagem]]+Tabela3[[#This Row],[Custo / Pç]])*1.2</f>
        <v>14.612892512395442</v>
      </c>
      <c r="AN1215" s="36">
        <f ca="1">Tabela3[[#This Row],[Valor Mínimo Venda]]*1.15</f>
        <v>16.804826389254757</v>
      </c>
      <c r="AO1215" s="36">
        <f ca="1">Tabela3[[#This Row],[Tabela 1]]*1.08</f>
        <v>18.149212500395137</v>
      </c>
      <c r="AP1215" s="36">
        <f ca="1">Tabela3[[#This Row],[Tabela 2]]*1.15</f>
        <v>20.871594375454407</v>
      </c>
    </row>
    <row r="1216" spans="1:42">
      <c r="A1216" s="9">
        <v>46157</v>
      </c>
      <c r="B1216" s="9" t="s">
        <v>247</v>
      </c>
      <c r="C1216" s="14">
        <v>9716</v>
      </c>
      <c r="D1216" s="6" t="s">
        <v>44</v>
      </c>
      <c r="E1216" s="6" t="s">
        <v>47</v>
      </c>
      <c r="F1216" s="6">
        <v>15</v>
      </c>
      <c r="G1216" s="15">
        <v>7.7083333333333337E-2</v>
      </c>
      <c r="H1216" s="16">
        <v>0</v>
      </c>
      <c r="I1216" s="35">
        <f ca="1">IFERROR(Tabela3[[#This Row],[Custo Total]]/Tabela3[[#This Row],[Aluminio Util]],0)</f>
        <v>28.105730022857717</v>
      </c>
      <c r="J1216" s="35">
        <f ca="1">Tabela3[[#This Row],[Custo Total]]/Tabela3[[#This Row],[Realizado]]</f>
        <v>8.4317190068573158</v>
      </c>
      <c r="K1216" s="37">
        <f>IFERROR(Tabela3[[#This Row],[Qtde Cx Produzida]]/Tabela3[[#This Row],[Tempo]]/24,0)</f>
        <v>8.108108108108107</v>
      </c>
      <c r="L1216" s="37">
        <f>Tabela3[[#This Row],[Qtde Cx Produzida]]*Tabela3[[#This Row],[Qdt Peça Placa]]</f>
        <v>60</v>
      </c>
      <c r="M1216" s="37">
        <f>Tabela3[[#This Row],[Previsto]]-Tabela3[[#This Row],[Perda Pçs]]</f>
        <v>60</v>
      </c>
      <c r="N1216" s="38">
        <f>IFERROR(Tabela3[[#This Row],[Perda Pçs]]/Tabela3[[#This Row],[Previsto]],0)</f>
        <v>0</v>
      </c>
      <c r="O1216" s="39">
        <f>IFERROR(IF(Tabela3[[#This Row],[Qtde Cx Produzida]] &lt;&gt; 0, Tabela3[[#This Row],[Tempo]] / Tabela3[[#This Row],[Qtde Cx Produzida]], 0),0)</f>
        <v>5.138888888888889E-3</v>
      </c>
      <c r="P1216" s="57">
        <f>IFERROR(Tabela3[[#This Row],[Perda Pçs]]/Tabela3[[#This Row],[Qdt Peça Placa]],0)</f>
        <v>0</v>
      </c>
      <c r="Q1216" s="37">
        <f>IFERROR(Tabela3[[#This Row],[Realizado]]*Tabela3[[#This Row],[Peso Util/Pç]],0)</f>
        <v>18</v>
      </c>
      <c r="R1216" s="37">
        <f>IFERROR(Tabela3[[#This Row],[Peso Total Galho]]*Tabela3[[#This Row],[Qtde Cx Produzida]]*1.055,0)</f>
        <v>36.397500000000001</v>
      </c>
      <c r="S1216" s="37">
        <f>(Tabela3[[#This Row],[Aluminio Bruto]]-Tabela3[[#This Row],[Aluminio Util]])*0.9</f>
        <v>16.557750000000002</v>
      </c>
      <c r="T1216" s="37">
        <f>Tabela3[[#This Row],[Aluminio Bruto]]/OleoKGAluminio</f>
        <v>15.31238118848464</v>
      </c>
      <c r="U1216" s="35">
        <f>IFERROR((VLOOKUP(Tabela3[[#This Row],[Moldador]],Tabela1[],5,)+(VLOOKUP(Tabela3[[#This Row],[Ajudante]],Tabela1[],5,))*3.5),0)</f>
        <v>99.95034583333333</v>
      </c>
      <c r="V1216" s="35">
        <f>IFERROR(Tabela3[[#This Row],[Custo M.O. / H]]/((Tabela3[[#This Row],[Realizado]]/Tabela3[[#This Row],[Qdt Peça Placa]])/Tabela3[[#This Row],[Tempo]]/24),)</f>
        <v>12.327209319444446</v>
      </c>
      <c r="W1216" s="35">
        <f>Tabela3[[#This Row],[Custo / Cx Moldada]]*Tabela3[[#This Row],[Qtde Cx Produzida]]</f>
        <v>184.90813979166668</v>
      </c>
      <c r="X1216" s="35">
        <f ca="1">Tabela3[[#This Row],[Aluminio Util]]*Tabela3[[#This Row],[Custo/Kg]]</f>
        <v>280.8</v>
      </c>
      <c r="Y1216" s="35">
        <f>IFERROR(VLOOKUP(Tabela3[[#This Row],[Data]],Tabela461213[],2,1)*(Tabela3[[#This Row],[Qtde Cx Produzida]]*Tabela3[[#This Row],[Qde macho / CX]]*Tabela3[[#This Row],[Peso Macho]]),)</f>
        <v>0</v>
      </c>
      <c r="Z1216" s="35">
        <f>IFERROR(Tabela3[[#This Row],[Qtde Oleo]]*(VLOOKUP(Tabela3[[#This Row],[Data]],CompraOleo[],3,TRUE))*1.05,0)</f>
        <v>40.195000619772181</v>
      </c>
      <c r="AA1216" s="47">
        <f ca="1">(Tabela3[[#This Row],[Custo Oleo]]+Tabela3[[#This Row],[Custo Aluminio]]+Tabela3[[#This Row],[Custo M.O. Total]]+Tabela3[[#This Row],[Custo Machos]])</f>
        <v>505.90314041143893</v>
      </c>
      <c r="AB1216" s="47">
        <f ca="1">Tabela3[[#This Row],[Custo Total]]*Tabela3[[#This Row],[% Perda]]</f>
        <v>0</v>
      </c>
      <c r="AC1216" s="40">
        <f>IFERROR(VLOOKUP(Tabela3[[#This Row],[Produto]],Tabela2[],2,0),0)</f>
        <v>4</v>
      </c>
      <c r="AD1216" s="48">
        <f>IFERROR(VLOOKUP(Tabela3[[#This Row],[Produto]],Tabela2[],3,0),0)</f>
        <v>0.3</v>
      </c>
      <c r="AE1216" s="48">
        <f>IFERROR(VLOOKUP(Tabela3[[#This Row],[Produto]],Tabela2[],4,0),0)</f>
        <v>2.2999999999999998</v>
      </c>
      <c r="AF1216" s="48">
        <f>IFERROR(VLOOKUP(Tabela3[[#This Row],[Produto]],Tabela2[],5,0),0)</f>
        <v>0.98999999999999988</v>
      </c>
      <c r="AG1216" s="48">
        <f>IFERROR(VLOOKUP(Tabela3[[#This Row],[Produto]],Tabela2[],6,0),0)</f>
        <v>0</v>
      </c>
      <c r="AH1216" s="40">
        <f>IFERROR(VLOOKUP(Tabela3[[#This Row],[Produto]],Tabela2[],7,0),0)</f>
        <v>0</v>
      </c>
      <c r="AI1216" s="40">
        <f>IFERROR(VLOOKUP(Tabela3[[#This Row],[Produto]],Tabela2[],8,0),0)</f>
        <v>0</v>
      </c>
      <c r="AJ1216" s="35">
        <f ca="1">IFERROR(VLOOKUP(Tabela3[[#This Row],[Produto]],Tabela2[],13,0),0)</f>
        <v>15.600000000000001</v>
      </c>
      <c r="AK1216" s="48" t="str">
        <f>IFERROR(VLOOKUP(Tabela3[[#This Row],[Produto]],Tabela2[],14,0),0)</f>
        <v>Senun</v>
      </c>
      <c r="AL1216" s="40">
        <f>IFERROR(VLOOKUP(Tabela3[[#This Row],[Produto]],Tabela2[],15,0),0)</f>
        <v>3.5</v>
      </c>
      <c r="AM1216" s="36">
        <f ca="1">(Tabela3[[#This Row],[Custo Usinagem]]+Tabela3[[#This Row],[Custo / Pç]])*1.2</f>
        <v>14.318062808228779</v>
      </c>
      <c r="AN1216" s="36">
        <f ca="1">Tabela3[[#This Row],[Valor Mínimo Venda]]*1.15</f>
        <v>16.465772229463095</v>
      </c>
      <c r="AO1216" s="36">
        <f ca="1">Tabela3[[#This Row],[Tabela 1]]*1.08</f>
        <v>17.783034007820145</v>
      </c>
      <c r="AP1216" s="36">
        <f ca="1">Tabela3[[#This Row],[Tabela 2]]*1.15</f>
        <v>20.450489108993164</v>
      </c>
    </row>
    <row r="1217" spans="1:42">
      <c r="A1217" s="9">
        <v>46157</v>
      </c>
      <c r="B1217" s="9" t="s">
        <v>245</v>
      </c>
      <c r="C1217" s="14">
        <v>9698</v>
      </c>
      <c r="D1217" s="6" t="s">
        <v>44</v>
      </c>
      <c r="E1217" s="6" t="s">
        <v>47</v>
      </c>
      <c r="F1217" s="6">
        <v>29</v>
      </c>
      <c r="G1217" s="15">
        <v>0.13680555555555557</v>
      </c>
      <c r="H1217" s="16">
        <v>0</v>
      </c>
      <c r="I1217" s="35">
        <f ca="1">IFERROR(Tabela3[[#This Row],[Custo Total]]/Tabela3[[#This Row],[Aluminio Util]],0)</f>
        <v>26.139069294877888</v>
      </c>
      <c r="J1217" s="35">
        <f ca="1">Tabela3[[#This Row],[Custo Total]]/Tabela3[[#This Row],[Realizado]]</f>
        <v>8.6781710058994594</v>
      </c>
      <c r="K1217" s="37">
        <f>IFERROR(Tabela3[[#This Row],[Qtde Cx Produzida]]/Tabela3[[#This Row],[Tempo]]/24,0)</f>
        <v>8.8324873096446694</v>
      </c>
      <c r="L1217" s="37">
        <f>Tabela3[[#This Row],[Qtde Cx Produzida]]*Tabela3[[#This Row],[Qdt Peça Placa]]</f>
        <v>116</v>
      </c>
      <c r="M1217" s="37">
        <f>Tabela3[[#This Row],[Previsto]]-Tabela3[[#This Row],[Perda Pçs]]</f>
        <v>116</v>
      </c>
      <c r="N1217" s="38">
        <f>IFERROR(Tabela3[[#This Row],[Perda Pçs]]/Tabela3[[#This Row],[Previsto]],0)</f>
        <v>0</v>
      </c>
      <c r="O1217" s="39">
        <f>IFERROR(IF(Tabela3[[#This Row],[Qtde Cx Produzida]] &lt;&gt; 0, Tabela3[[#This Row],[Tempo]] / Tabela3[[#This Row],[Qtde Cx Produzida]], 0),0)</f>
        <v>4.717432950191571E-3</v>
      </c>
      <c r="P1217" s="57">
        <f>IFERROR(Tabela3[[#This Row],[Perda Pçs]]/Tabela3[[#This Row],[Qdt Peça Placa]],0)</f>
        <v>0</v>
      </c>
      <c r="Q1217" s="37">
        <f>IFERROR(Tabela3[[#This Row],[Realizado]]*Tabela3[[#This Row],[Peso Util/Pç]],0)</f>
        <v>38.512</v>
      </c>
      <c r="R1217" s="37">
        <f>IFERROR(Tabela3[[#This Row],[Peso Total Galho]]*Tabela3[[#This Row],[Qtde Cx Produzida]]*1.055,0)</f>
        <v>70.368499999999983</v>
      </c>
      <c r="S1217" s="37">
        <f>(Tabela3[[#This Row],[Aluminio Bruto]]-Tabela3[[#This Row],[Aluminio Util]])*0.9</f>
        <v>28.670849999999984</v>
      </c>
      <c r="T1217" s="37">
        <f>Tabela3[[#This Row],[Aluminio Bruto]]/OleoKGAluminio</f>
        <v>29.60393696440363</v>
      </c>
      <c r="U1217" s="35">
        <f>IFERROR((VLOOKUP(Tabela3[[#This Row],[Moldador]],Tabela1[],5,)+(VLOOKUP(Tabela3[[#This Row],[Ajudante]],Tabela1[],5,))*3.5),0)</f>
        <v>99.95034583333333</v>
      </c>
      <c r="V1217" s="35">
        <f>IFERROR(Tabela3[[#This Row],[Custo M.O. / H]]/((Tabela3[[#This Row],[Realizado]]/Tabela3[[#This Row],[Qdt Peça Placa]])/Tabela3[[#This Row],[Tempo]]/24),)</f>
        <v>11.316217315613027</v>
      </c>
      <c r="W1217" s="35">
        <f>Tabela3[[#This Row],[Custo / Cx Moldada]]*Tabela3[[#This Row],[Qtde Cx Produzida]]</f>
        <v>328.17030215277777</v>
      </c>
      <c r="X1217" s="35">
        <f ca="1">Tabela3[[#This Row],[Aluminio Util]]*Tabela3[[#This Row],[Custo/Kg]]</f>
        <v>600.7872000000001</v>
      </c>
      <c r="Y1217" s="35">
        <f>IFERROR(VLOOKUP(Tabela3[[#This Row],[Data]],Tabela461213[],2,1)*(Tabela3[[#This Row],[Qtde Cx Produzida]]*Tabela3[[#This Row],[Qde macho / CX]]*Tabela3[[#This Row],[Peso Macho]]),)</f>
        <v>0</v>
      </c>
      <c r="Z1217" s="35">
        <f>IFERROR(Tabela3[[#This Row],[Qtde Oleo]]*(VLOOKUP(Tabela3[[#This Row],[Data]],CompraOleo[],3,TRUE))*1.05,0)</f>
        <v>77.710334531559525</v>
      </c>
      <c r="AA1217" s="47">
        <f ca="1">(Tabela3[[#This Row],[Custo Oleo]]+Tabela3[[#This Row],[Custo Aluminio]]+Tabela3[[#This Row],[Custo M.O. Total]]+Tabela3[[#This Row],[Custo Machos]])</f>
        <v>1006.6678366843373</v>
      </c>
      <c r="AB1217" s="47">
        <f ca="1">Tabela3[[#This Row],[Custo Total]]*Tabela3[[#This Row],[% Perda]]</f>
        <v>0</v>
      </c>
      <c r="AC1217" s="40">
        <f>IFERROR(VLOOKUP(Tabela3[[#This Row],[Produto]],Tabela2[],2,0),0)</f>
        <v>4</v>
      </c>
      <c r="AD1217" s="48">
        <f>IFERROR(VLOOKUP(Tabela3[[#This Row],[Produto]],Tabela2[],3,0),0)</f>
        <v>0.33200000000000002</v>
      </c>
      <c r="AE1217" s="48">
        <f>IFERROR(VLOOKUP(Tabela3[[#This Row],[Produto]],Tabela2[],4,0),0)</f>
        <v>2.2999999999999998</v>
      </c>
      <c r="AF1217" s="48">
        <f>IFERROR(VLOOKUP(Tabela3[[#This Row],[Produto]],Tabela2[],5,0),0)</f>
        <v>0.8747999999999998</v>
      </c>
      <c r="AG1217" s="48">
        <f>IFERROR(VLOOKUP(Tabela3[[#This Row],[Produto]],Tabela2[],6,0),0)</f>
        <v>0</v>
      </c>
      <c r="AH1217" s="40">
        <f>IFERROR(VLOOKUP(Tabela3[[#This Row],[Produto]],Tabela2[],7,0),0)</f>
        <v>0</v>
      </c>
      <c r="AI1217" s="40">
        <f>IFERROR(VLOOKUP(Tabela3[[#This Row],[Produto]],Tabela2[],8,0),0)</f>
        <v>0</v>
      </c>
      <c r="AJ1217" s="35">
        <f ca="1">IFERROR(VLOOKUP(Tabela3[[#This Row],[Produto]],Tabela2[],13,0),0)</f>
        <v>15.600000000000001</v>
      </c>
      <c r="AK1217" s="48" t="str">
        <f>IFERROR(VLOOKUP(Tabela3[[#This Row],[Produto]],Tabela2[],14,0),0)</f>
        <v>Senun</v>
      </c>
      <c r="AL1217" s="40">
        <f>IFERROR(VLOOKUP(Tabela3[[#This Row],[Produto]],Tabela2[],15,0),0)</f>
        <v>3.5</v>
      </c>
      <c r="AM1217" s="36">
        <f ca="1">(Tabela3[[#This Row],[Custo Usinagem]]+Tabela3[[#This Row],[Custo / Pç]])*1.2</f>
        <v>14.61380520707935</v>
      </c>
      <c r="AN1217" s="36">
        <f ca="1">Tabela3[[#This Row],[Valor Mínimo Venda]]*1.15</f>
        <v>16.805875988141253</v>
      </c>
      <c r="AO1217" s="36">
        <f ca="1">Tabela3[[#This Row],[Tabela 1]]*1.08</f>
        <v>18.150346067192555</v>
      </c>
      <c r="AP1217" s="36">
        <f ca="1">Tabela3[[#This Row],[Tabela 2]]*1.15</f>
        <v>20.872897977271435</v>
      </c>
    </row>
    <row r="1218" spans="1:42">
      <c r="A1218" s="9">
        <v>46160</v>
      </c>
      <c r="B1218" s="9" t="s">
        <v>236</v>
      </c>
      <c r="C1218" s="14">
        <v>9598</v>
      </c>
      <c r="D1218" s="6" t="s">
        <v>46</v>
      </c>
      <c r="E1218" s="6" t="s">
        <v>50</v>
      </c>
      <c r="F1218" s="6">
        <v>47</v>
      </c>
      <c r="G1218" s="15">
        <v>0.26666666666666666</v>
      </c>
      <c r="H1218" s="16">
        <v>19</v>
      </c>
      <c r="I1218" s="35">
        <f ca="1">IFERROR(Tabela3[[#This Row],[Custo Total]]/Tabela3[[#This Row],[Aluminio Util]],0)</f>
        <v>25.719294537033697</v>
      </c>
      <c r="J1218" s="35">
        <f ca="1">Tabela3[[#This Row],[Custo Total]]/Tabela3[[#This Row],[Realizado]]</f>
        <v>7.7672269501841766</v>
      </c>
      <c r="K1218" s="37">
        <f>IFERROR(Tabela3[[#This Row],[Qtde Cx Produzida]]/Tabela3[[#This Row],[Tempo]]/24,0)</f>
        <v>7.34375</v>
      </c>
      <c r="L1218" s="37">
        <f>Tabela3[[#This Row],[Qtde Cx Produzida]]*Tabela3[[#This Row],[Qdt Peça Placa]]</f>
        <v>282</v>
      </c>
      <c r="M1218" s="37">
        <f>Tabela3[[#This Row],[Previsto]]-Tabela3[[#This Row],[Perda Pçs]]</f>
        <v>263</v>
      </c>
      <c r="N1218" s="38">
        <f>IFERROR(Tabela3[[#This Row],[Perda Pçs]]/Tabela3[[#This Row],[Previsto]],0)</f>
        <v>6.7375886524822695E-2</v>
      </c>
      <c r="O1218" s="39">
        <f>IFERROR(IF(Tabela3[[#This Row],[Qtde Cx Produzida]] &lt;&gt; 0, Tabela3[[#This Row],[Tempo]] / Tabela3[[#This Row],[Qtde Cx Produzida]], 0),0)</f>
        <v>5.6737588652482265E-3</v>
      </c>
      <c r="P1218" s="57">
        <f>IFERROR(Tabela3[[#This Row],[Perda Pçs]]/Tabela3[[#This Row],[Qdt Peça Placa]],0)</f>
        <v>3.1666666666666665</v>
      </c>
      <c r="Q1218" s="37">
        <f>IFERROR(Tabela3[[#This Row],[Realizado]]*Tabela3[[#This Row],[Peso Util/Pç]],0)</f>
        <v>79.426000000000002</v>
      </c>
      <c r="R1218" s="37">
        <f>IFERROR(Tabela3[[#This Row],[Peso Total Galho]]*Tabela3[[#This Row],[Qtde Cx Produzida]]*1.055,0)</f>
        <v>106.70692</v>
      </c>
      <c r="S1218" s="37">
        <f>(Tabela3[[#This Row],[Aluminio Bruto]]-Tabela3[[#This Row],[Aluminio Util]])*0.9</f>
        <v>24.552827999999995</v>
      </c>
      <c r="T1218" s="37">
        <f>Tabela3[[#This Row],[Aluminio Bruto]]/OleoKGAluminio</f>
        <v>44.891463273277978</v>
      </c>
      <c r="U1218" s="35">
        <f>IFERROR((VLOOKUP(Tabela3[[#This Row],[Moldador]],Tabela1[],5,)+(VLOOKUP(Tabela3[[#This Row],[Ajudante]],Tabela1[],5,))*3.5),0)</f>
        <v>99.95034583333333</v>
      </c>
      <c r="V1218" s="35">
        <f>IFERROR(Tabela3[[#This Row],[Custo M.O. / H]]/((Tabela3[[#This Row],[Realizado]]/Tabela3[[#This Row],[Qdt Peça Placa]])/Tabela3[[#This Row],[Tempo]]/24),)</f>
        <v>14.593510570342206</v>
      </c>
      <c r="W1218" s="35">
        <f>Tabela3[[#This Row],[Custo / Cx Moldada]]*Tabela3[[#This Row],[Qtde Cx Produzida]]</f>
        <v>685.89499680608367</v>
      </c>
      <c r="X1218" s="35">
        <f ca="1">Tabela3[[#This Row],[Aluminio Util]]*Tabela3[[#This Row],[Custo/Kg]]</f>
        <v>1239.0456000000001</v>
      </c>
      <c r="Y1218" s="35">
        <f>IFERROR(VLOOKUP(Tabela3[[#This Row],[Data]],Tabela461213[],2,1)*(Tabela3[[#This Row],[Qtde Cx Produzida]]*Tabela3[[#This Row],[Qde macho / CX]]*Tabela3[[#This Row],[Peso Macho]]),)</f>
        <v>0</v>
      </c>
      <c r="Z1218" s="35">
        <f>IFERROR(Tabela3[[#This Row],[Qtde Oleo]]*(VLOOKUP(Tabela3[[#This Row],[Data]],CompraOleo[],3,TRUE))*1.05,0)</f>
        <v>117.84009109235468</v>
      </c>
      <c r="AA1218" s="47">
        <f ca="1">(Tabela3[[#This Row],[Custo Oleo]]+Tabela3[[#This Row],[Custo Aluminio]]+Tabela3[[#This Row],[Custo M.O. Total]]+Tabela3[[#This Row],[Custo Machos]])</f>
        <v>2042.7806878984384</v>
      </c>
      <c r="AB1218" s="47">
        <f ca="1">Tabela3[[#This Row],[Custo Total]]*Tabela3[[#This Row],[% Perda]]</f>
        <v>137.63415982294444</v>
      </c>
      <c r="AC1218" s="40">
        <f>IFERROR(VLOOKUP(Tabela3[[#This Row],[Produto]],Tabela2[],2,0),0)</f>
        <v>6</v>
      </c>
      <c r="AD1218" s="48">
        <f>IFERROR(VLOOKUP(Tabela3[[#This Row],[Produto]],Tabela2[],3,0),0)</f>
        <v>0.30199999999999999</v>
      </c>
      <c r="AE1218" s="48">
        <f>IFERROR(VLOOKUP(Tabela3[[#This Row],[Produto]],Tabela2[],4,0),0)</f>
        <v>2.1520000000000001</v>
      </c>
      <c r="AF1218" s="48">
        <f>IFERROR(VLOOKUP(Tabela3[[#This Row],[Produto]],Tabela2[],5,0),0)</f>
        <v>0.30600000000000027</v>
      </c>
      <c r="AG1218" s="48">
        <f>IFERROR(VLOOKUP(Tabela3[[#This Row],[Produto]],Tabela2[],6,0),0)</f>
        <v>0</v>
      </c>
      <c r="AH1218" s="40">
        <f>IFERROR(VLOOKUP(Tabela3[[#This Row],[Produto]],Tabela2[],7,0),0)</f>
        <v>0</v>
      </c>
      <c r="AI1218" s="40">
        <f>IFERROR(VLOOKUP(Tabela3[[#This Row],[Produto]],Tabela2[],8,0),0)</f>
        <v>0</v>
      </c>
      <c r="AJ1218" s="35">
        <f ca="1">IFERROR(VLOOKUP(Tabela3[[#This Row],[Produto]],Tabela2[],13,0),0)</f>
        <v>15.600000000000001</v>
      </c>
      <c r="AK1218" s="48" t="str">
        <f>IFERROR(VLOOKUP(Tabela3[[#This Row],[Produto]],Tabela2[],14,0),0)</f>
        <v>Senun</v>
      </c>
      <c r="AL1218" s="40">
        <f>IFERROR(VLOOKUP(Tabela3[[#This Row],[Produto]],Tabela2[],15,0),0)</f>
        <v>4</v>
      </c>
      <c r="AM1218" s="36">
        <f ca="1">(Tabela3[[#This Row],[Custo Usinagem]]+Tabela3[[#This Row],[Custo / Pç]])*1.2</f>
        <v>14.120672340221013</v>
      </c>
      <c r="AN1218" s="36">
        <f ca="1">Tabela3[[#This Row],[Valor Mínimo Venda]]*1.15</f>
        <v>16.238773191254165</v>
      </c>
      <c r="AO1218" s="36">
        <f ca="1">Tabela3[[#This Row],[Tabela 1]]*1.08</f>
        <v>17.5378750465545</v>
      </c>
      <c r="AP1218" s="36">
        <f ca="1">Tabela3[[#This Row],[Tabela 2]]*1.15</f>
        <v>20.168556303537674</v>
      </c>
    </row>
    <row r="1219" spans="1:42">
      <c r="A1219" s="9">
        <v>46160</v>
      </c>
      <c r="B1219" s="9" t="s">
        <v>236</v>
      </c>
      <c r="C1219" s="14">
        <v>9598</v>
      </c>
      <c r="D1219" s="6" t="s">
        <v>46</v>
      </c>
      <c r="E1219" s="6" t="s">
        <v>44</v>
      </c>
      <c r="F1219" s="6">
        <v>20</v>
      </c>
      <c r="G1219" s="15">
        <v>9.7916666666666666E-2</v>
      </c>
      <c r="H1219" s="16">
        <v>0</v>
      </c>
      <c r="I1219" s="35">
        <f ca="1">IFERROR(Tabela3[[#This Row],[Custo Total]]/Tabela3[[#This Row],[Aluminio Util]],0)</f>
        <v>25.160342014728695</v>
      </c>
      <c r="J1219" s="35">
        <f ca="1">Tabela3[[#This Row],[Custo Total]]/Tabela3[[#This Row],[Realizado]]</f>
        <v>7.5984232884480658</v>
      </c>
      <c r="K1219" s="37">
        <f>IFERROR(Tabela3[[#This Row],[Qtde Cx Produzida]]/Tabela3[[#This Row],[Tempo]]/24,0)</f>
        <v>8.5106382978723403</v>
      </c>
      <c r="L1219" s="37">
        <f>Tabela3[[#This Row],[Qtde Cx Produzida]]*Tabela3[[#This Row],[Qdt Peça Placa]]</f>
        <v>120</v>
      </c>
      <c r="M1219" s="37">
        <f>Tabela3[[#This Row],[Previsto]]-Tabela3[[#This Row],[Perda Pçs]]</f>
        <v>120</v>
      </c>
      <c r="N1219" s="38">
        <f>IFERROR(Tabela3[[#This Row],[Perda Pçs]]/Tabela3[[#This Row],[Previsto]],0)</f>
        <v>0</v>
      </c>
      <c r="O1219" s="39">
        <f>IFERROR(IF(Tabela3[[#This Row],[Qtde Cx Produzida]] &lt;&gt; 0, Tabela3[[#This Row],[Tempo]] / Tabela3[[#This Row],[Qtde Cx Produzida]], 0),0)</f>
        <v>4.8958333333333336E-3</v>
      </c>
      <c r="P1219" s="57">
        <f>IFERROR(Tabela3[[#This Row],[Perda Pçs]]/Tabela3[[#This Row],[Qdt Peça Placa]],0)</f>
        <v>0</v>
      </c>
      <c r="Q1219" s="37">
        <f>IFERROR(Tabela3[[#This Row],[Realizado]]*Tabela3[[#This Row],[Peso Util/Pç]],0)</f>
        <v>36.24</v>
      </c>
      <c r="R1219" s="37">
        <f>IFERROR(Tabela3[[#This Row],[Peso Total Galho]]*Tabela3[[#This Row],[Qtde Cx Produzida]]*1.055,0)</f>
        <v>45.407200000000003</v>
      </c>
      <c r="S1219" s="37">
        <f>(Tabela3[[#This Row],[Aluminio Bruto]]-Tabela3[[#This Row],[Aluminio Util]])*0.9</f>
        <v>8.2504800000000014</v>
      </c>
      <c r="T1219" s="37">
        <f>Tabela3[[#This Row],[Aluminio Bruto]]/OleoKGAluminio</f>
        <v>19.102750329054462</v>
      </c>
      <c r="U1219" s="35">
        <f>IFERROR((VLOOKUP(Tabela3[[#This Row],[Moldador]],Tabela1[],5,)+(VLOOKUP(Tabela3[[#This Row],[Ajudante]],Tabela1[],5,))*3.5),0)</f>
        <v>126.0945</v>
      </c>
      <c r="V1219" s="35">
        <f>IFERROR(Tabela3[[#This Row],[Custo M.O. / H]]/((Tabela3[[#This Row],[Realizado]]/Tabela3[[#This Row],[Qdt Peça Placa]])/Tabela3[[#This Row],[Tempo]]/24),)</f>
        <v>14.81610375</v>
      </c>
      <c r="W1219" s="35">
        <f>Tabela3[[#This Row],[Custo / Cx Moldada]]*Tabela3[[#This Row],[Qtde Cx Produzida]]</f>
        <v>296.32207499999998</v>
      </c>
      <c r="X1219" s="35">
        <f ca="1">Tabela3[[#This Row],[Aluminio Util]]*Tabela3[[#This Row],[Custo/Kg]]</f>
        <v>565.34400000000005</v>
      </c>
      <c r="Y1219" s="35">
        <f>IFERROR(VLOOKUP(Tabela3[[#This Row],[Data]],Tabela461213[],2,1)*(Tabela3[[#This Row],[Qtde Cx Produzida]]*Tabela3[[#This Row],[Qde macho / CX]]*Tabela3[[#This Row],[Peso Macho]]),)</f>
        <v>0</v>
      </c>
      <c r="Z1219" s="35">
        <f>IFERROR(Tabela3[[#This Row],[Qtde Oleo]]*(VLOOKUP(Tabela3[[#This Row],[Data]],CompraOleo[],3,TRUE))*1.05,0)</f>
        <v>50.144719613767961</v>
      </c>
      <c r="AA1219" s="47">
        <f ca="1">(Tabela3[[#This Row],[Custo Oleo]]+Tabela3[[#This Row],[Custo Aluminio]]+Tabela3[[#This Row],[Custo M.O. Total]]+Tabela3[[#This Row],[Custo Machos]])</f>
        <v>911.81079461376794</v>
      </c>
      <c r="AB1219" s="47">
        <f ca="1">Tabela3[[#This Row],[Custo Total]]*Tabela3[[#This Row],[% Perda]]</f>
        <v>0</v>
      </c>
      <c r="AC1219" s="40">
        <f>IFERROR(VLOOKUP(Tabela3[[#This Row],[Produto]],Tabela2[],2,0),0)</f>
        <v>6</v>
      </c>
      <c r="AD1219" s="48">
        <f>IFERROR(VLOOKUP(Tabela3[[#This Row],[Produto]],Tabela2[],3,0),0)</f>
        <v>0.30199999999999999</v>
      </c>
      <c r="AE1219" s="48">
        <f>IFERROR(VLOOKUP(Tabela3[[#This Row],[Produto]],Tabela2[],4,0),0)</f>
        <v>2.1520000000000001</v>
      </c>
      <c r="AF1219" s="48">
        <f>IFERROR(VLOOKUP(Tabela3[[#This Row],[Produto]],Tabela2[],5,0),0)</f>
        <v>0.30600000000000027</v>
      </c>
      <c r="AG1219" s="48">
        <f>IFERROR(VLOOKUP(Tabela3[[#This Row],[Produto]],Tabela2[],6,0),0)</f>
        <v>0</v>
      </c>
      <c r="AH1219" s="40">
        <f>IFERROR(VLOOKUP(Tabela3[[#This Row],[Produto]],Tabela2[],7,0),0)</f>
        <v>0</v>
      </c>
      <c r="AI1219" s="40">
        <f>IFERROR(VLOOKUP(Tabela3[[#This Row],[Produto]],Tabela2[],8,0),0)</f>
        <v>0</v>
      </c>
      <c r="AJ1219" s="35">
        <f ca="1">IFERROR(VLOOKUP(Tabela3[[#This Row],[Produto]],Tabela2[],13,0),0)</f>
        <v>15.600000000000001</v>
      </c>
      <c r="AK1219" s="48" t="str">
        <f>IFERROR(VLOOKUP(Tabela3[[#This Row],[Produto]],Tabela2[],14,0),0)</f>
        <v>Senun</v>
      </c>
      <c r="AL1219" s="40">
        <f>IFERROR(VLOOKUP(Tabela3[[#This Row],[Produto]],Tabela2[],15,0),0)</f>
        <v>4</v>
      </c>
      <c r="AM1219" s="36">
        <f ca="1">(Tabela3[[#This Row],[Custo Usinagem]]+Tabela3[[#This Row],[Custo / Pç]])*1.2</f>
        <v>13.918107946137679</v>
      </c>
      <c r="AN1219" s="36">
        <f ca="1">Tabela3[[#This Row],[Valor Mínimo Venda]]*1.15</f>
        <v>16.00582413805833</v>
      </c>
      <c r="AO1219" s="36">
        <f ca="1">Tabela3[[#This Row],[Tabela 1]]*1.08</f>
        <v>17.286290069102996</v>
      </c>
      <c r="AP1219" s="36">
        <f ca="1">Tabela3[[#This Row],[Tabela 2]]*1.15</f>
        <v>19.879233579468444</v>
      </c>
    </row>
    <row r="1220" spans="1:42">
      <c r="A1220" s="9">
        <v>46160</v>
      </c>
      <c r="B1220" s="9" t="s">
        <v>236</v>
      </c>
      <c r="C1220" s="14">
        <v>9598</v>
      </c>
      <c r="D1220" s="6" t="s">
        <v>44</v>
      </c>
      <c r="E1220" s="6" t="s">
        <v>47</v>
      </c>
      <c r="F1220" s="6">
        <v>15</v>
      </c>
      <c r="G1220" s="15">
        <v>8.0555555555555561E-2</v>
      </c>
      <c r="H1220" s="16">
        <v>0</v>
      </c>
      <c r="I1220" s="35">
        <f ca="1">IFERROR(Tabela3[[#This Row],[Custo Total]]/Tabela3[[#This Row],[Aluminio Util]],0)</f>
        <v>24.093225717001612</v>
      </c>
      <c r="J1220" s="35">
        <f ca="1">Tabela3[[#This Row],[Custo Total]]/Tabela3[[#This Row],[Realizado]]</f>
        <v>7.2761541665344867</v>
      </c>
      <c r="K1220" s="37">
        <f>IFERROR(Tabela3[[#This Row],[Qtde Cx Produzida]]/Tabela3[[#This Row],[Tempo]]/24,0)</f>
        <v>7.7586206896551717</v>
      </c>
      <c r="L1220" s="37">
        <f>Tabela3[[#This Row],[Qtde Cx Produzida]]*Tabela3[[#This Row],[Qdt Peça Placa]]</f>
        <v>90</v>
      </c>
      <c r="M1220" s="37">
        <f>Tabela3[[#This Row],[Previsto]]-Tabela3[[#This Row],[Perda Pçs]]</f>
        <v>90</v>
      </c>
      <c r="N1220" s="38">
        <f>IFERROR(Tabela3[[#This Row],[Perda Pçs]]/Tabela3[[#This Row],[Previsto]],0)</f>
        <v>0</v>
      </c>
      <c r="O1220" s="39">
        <f>IFERROR(IF(Tabela3[[#This Row],[Qtde Cx Produzida]] &lt;&gt; 0, Tabela3[[#This Row],[Tempo]] / Tabela3[[#This Row],[Qtde Cx Produzida]], 0),0)</f>
        <v>5.3703703703703708E-3</v>
      </c>
      <c r="P1220" s="57">
        <f>IFERROR(Tabela3[[#This Row],[Perda Pçs]]/Tabela3[[#This Row],[Qdt Peça Placa]],0)</f>
        <v>0</v>
      </c>
      <c r="Q1220" s="37">
        <f>IFERROR(Tabela3[[#This Row],[Realizado]]*Tabela3[[#This Row],[Peso Util/Pç]],0)</f>
        <v>27.18</v>
      </c>
      <c r="R1220" s="37">
        <f>IFERROR(Tabela3[[#This Row],[Peso Total Galho]]*Tabela3[[#This Row],[Qtde Cx Produzida]]*1.055,0)</f>
        <v>34.055399999999999</v>
      </c>
      <c r="S1220" s="37">
        <f>(Tabela3[[#This Row],[Aluminio Bruto]]-Tabela3[[#This Row],[Aluminio Util]])*0.9</f>
        <v>6.1878599999999997</v>
      </c>
      <c r="T1220" s="37">
        <f>Tabela3[[#This Row],[Aluminio Bruto]]/OleoKGAluminio</f>
        <v>14.327062746790844</v>
      </c>
      <c r="U1220" s="35">
        <f>IFERROR((VLOOKUP(Tabela3[[#This Row],[Moldador]],Tabela1[],5,)+(VLOOKUP(Tabela3[[#This Row],[Ajudante]],Tabela1[],5,))*3.5),0)</f>
        <v>99.95034583333333</v>
      </c>
      <c r="V1220" s="35">
        <f>IFERROR(Tabela3[[#This Row],[Custo M.O. / H]]/((Tabela3[[#This Row],[Realizado]]/Tabela3[[#This Row],[Qdt Peça Placa]])/Tabela3[[#This Row],[Tempo]]/24),)</f>
        <v>12.88248901851852</v>
      </c>
      <c r="W1220" s="35">
        <f>Tabela3[[#This Row],[Custo / Cx Moldada]]*Tabela3[[#This Row],[Qtde Cx Produzida]]</f>
        <v>193.23733527777779</v>
      </c>
      <c r="X1220" s="35">
        <f ca="1">Tabela3[[#This Row],[Aluminio Util]]*Tabela3[[#This Row],[Custo/Kg]]</f>
        <v>424.00800000000004</v>
      </c>
      <c r="Y1220" s="35">
        <f>IFERROR(VLOOKUP(Tabela3[[#This Row],[Data]],Tabela461213[],2,1)*(Tabela3[[#This Row],[Qtde Cx Produzida]]*Tabela3[[#This Row],[Qde macho / CX]]*Tabela3[[#This Row],[Peso Macho]]),)</f>
        <v>0</v>
      </c>
      <c r="Z1220" s="35">
        <f>IFERROR(Tabela3[[#This Row],[Qtde Oleo]]*(VLOOKUP(Tabela3[[#This Row],[Data]],CompraOleo[],3,TRUE))*1.05,0)</f>
        <v>37.608539710325964</v>
      </c>
      <c r="AA1220" s="47">
        <f ca="1">(Tabela3[[#This Row],[Custo Oleo]]+Tabela3[[#This Row],[Custo Aluminio]]+Tabela3[[#This Row],[Custo M.O. Total]]+Tabela3[[#This Row],[Custo Machos]])</f>
        <v>654.85387498810383</v>
      </c>
      <c r="AB1220" s="47">
        <f ca="1">Tabela3[[#This Row],[Custo Total]]*Tabela3[[#This Row],[% Perda]]</f>
        <v>0</v>
      </c>
      <c r="AC1220" s="40">
        <f>IFERROR(VLOOKUP(Tabela3[[#This Row],[Produto]],Tabela2[],2,0),0)</f>
        <v>6</v>
      </c>
      <c r="AD1220" s="48">
        <f>IFERROR(VLOOKUP(Tabela3[[#This Row],[Produto]],Tabela2[],3,0),0)</f>
        <v>0.30199999999999999</v>
      </c>
      <c r="AE1220" s="48">
        <f>IFERROR(VLOOKUP(Tabela3[[#This Row],[Produto]],Tabela2[],4,0),0)</f>
        <v>2.1520000000000001</v>
      </c>
      <c r="AF1220" s="48">
        <f>IFERROR(VLOOKUP(Tabela3[[#This Row],[Produto]],Tabela2[],5,0),0)</f>
        <v>0.30600000000000027</v>
      </c>
      <c r="AG1220" s="48">
        <f>IFERROR(VLOOKUP(Tabela3[[#This Row],[Produto]],Tabela2[],6,0),0)</f>
        <v>0</v>
      </c>
      <c r="AH1220" s="40">
        <f>IFERROR(VLOOKUP(Tabela3[[#This Row],[Produto]],Tabela2[],7,0),0)</f>
        <v>0</v>
      </c>
      <c r="AI1220" s="40">
        <f>IFERROR(VLOOKUP(Tabela3[[#This Row],[Produto]],Tabela2[],8,0),0)</f>
        <v>0</v>
      </c>
      <c r="AJ1220" s="35">
        <f ca="1">IFERROR(VLOOKUP(Tabela3[[#This Row],[Produto]],Tabela2[],13,0),0)</f>
        <v>15.600000000000001</v>
      </c>
      <c r="AK1220" s="48" t="str">
        <f>IFERROR(VLOOKUP(Tabela3[[#This Row],[Produto]],Tabela2[],14,0),0)</f>
        <v>Senun</v>
      </c>
      <c r="AL1220" s="40">
        <f>IFERROR(VLOOKUP(Tabela3[[#This Row],[Produto]],Tabela2[],15,0),0)</f>
        <v>4</v>
      </c>
      <c r="AM1220" s="36">
        <f ca="1">(Tabela3[[#This Row],[Custo Usinagem]]+Tabela3[[#This Row],[Custo / Pç]])*1.2</f>
        <v>13.531384999841382</v>
      </c>
      <c r="AN1220" s="36">
        <f ca="1">Tabela3[[#This Row],[Valor Mínimo Venda]]*1.15</f>
        <v>15.561092749817588</v>
      </c>
      <c r="AO1220" s="36">
        <f ca="1">Tabela3[[#This Row],[Tabela 1]]*1.08</f>
        <v>16.805980169802996</v>
      </c>
      <c r="AP1220" s="36">
        <f ca="1">Tabela3[[#This Row],[Tabela 2]]*1.15</f>
        <v>19.326877195273443</v>
      </c>
    </row>
    <row r="1221" spans="1:42">
      <c r="A1221" s="9">
        <v>46160</v>
      </c>
      <c r="B1221" s="9" t="s">
        <v>245</v>
      </c>
      <c r="C1221" s="14">
        <v>9698</v>
      </c>
      <c r="D1221" s="6" t="s">
        <v>44</v>
      </c>
      <c r="E1221" s="6" t="s">
        <v>47</v>
      </c>
      <c r="F1221" s="6">
        <v>40</v>
      </c>
      <c r="G1221" s="15">
        <v>0.17847222222222223</v>
      </c>
      <c r="H1221" s="16">
        <v>0</v>
      </c>
      <c r="I1221" s="35">
        <f ca="1">IFERROR(Tabela3[[#This Row],[Custo Total]]/Tabela3[[#This Row],[Aluminio Util]],0)</f>
        <v>25.67732146659457</v>
      </c>
      <c r="J1221" s="35">
        <f ca="1">Tabela3[[#This Row],[Custo Total]]/Tabela3[[#This Row],[Realizado]]</f>
        <v>8.5248707269093984</v>
      </c>
      <c r="K1221" s="37">
        <f>IFERROR(Tabela3[[#This Row],[Qtde Cx Produzida]]/Tabela3[[#This Row],[Tempo]]/24,0)</f>
        <v>9.3385214007782107</v>
      </c>
      <c r="L1221" s="37">
        <f>Tabela3[[#This Row],[Qtde Cx Produzida]]*Tabela3[[#This Row],[Qdt Peça Placa]]</f>
        <v>160</v>
      </c>
      <c r="M1221" s="37">
        <f>Tabela3[[#This Row],[Previsto]]-Tabela3[[#This Row],[Perda Pçs]]</f>
        <v>160</v>
      </c>
      <c r="N1221" s="38">
        <f>IFERROR(Tabela3[[#This Row],[Perda Pçs]]/Tabela3[[#This Row],[Previsto]],0)</f>
        <v>0</v>
      </c>
      <c r="O1221" s="39">
        <f>IFERROR(IF(Tabela3[[#This Row],[Qtde Cx Produzida]] &lt;&gt; 0, Tabela3[[#This Row],[Tempo]] / Tabela3[[#This Row],[Qtde Cx Produzida]], 0),0)</f>
        <v>4.4618055555555557E-3</v>
      </c>
      <c r="P1221" s="57">
        <f>IFERROR(Tabela3[[#This Row],[Perda Pçs]]/Tabela3[[#This Row],[Qdt Peça Placa]],0)</f>
        <v>0</v>
      </c>
      <c r="Q1221" s="37">
        <f>IFERROR(Tabela3[[#This Row],[Realizado]]*Tabela3[[#This Row],[Peso Util/Pç]],0)</f>
        <v>53.120000000000005</v>
      </c>
      <c r="R1221" s="37">
        <f>IFERROR(Tabela3[[#This Row],[Peso Total Galho]]*Tabela3[[#This Row],[Qtde Cx Produzida]]*1.055,0)</f>
        <v>97.059999999999988</v>
      </c>
      <c r="S1221" s="37">
        <f>(Tabela3[[#This Row],[Aluminio Bruto]]-Tabela3[[#This Row],[Aluminio Util]])*0.9</f>
        <v>39.545999999999985</v>
      </c>
      <c r="T1221" s="37">
        <f>Tabela3[[#This Row],[Aluminio Bruto]]/OleoKGAluminio</f>
        <v>40.833016502625696</v>
      </c>
      <c r="U1221" s="35">
        <f>IFERROR((VLOOKUP(Tabela3[[#This Row],[Moldador]],Tabela1[],5,)+(VLOOKUP(Tabela3[[#This Row],[Ajudante]],Tabela1[],5,))*3.5),0)</f>
        <v>99.95034583333333</v>
      </c>
      <c r="V1221" s="35">
        <f>IFERROR(Tabela3[[#This Row],[Custo M.O. / H]]/((Tabela3[[#This Row],[Realizado]]/Tabela3[[#This Row],[Qdt Peça Placa]])/Tabela3[[#This Row],[Tempo]]/24),)</f>
        <v>10.703016199652776</v>
      </c>
      <c r="W1221" s="35">
        <f>Tabela3[[#This Row],[Custo / Cx Moldada]]*Tabela3[[#This Row],[Qtde Cx Produzida]]</f>
        <v>428.12064798611107</v>
      </c>
      <c r="X1221" s="35">
        <f ca="1">Tabela3[[#This Row],[Aluminio Util]]*Tabela3[[#This Row],[Custo/Kg]]</f>
        <v>828.67200000000014</v>
      </c>
      <c r="Y1221" s="35">
        <f>IFERROR(VLOOKUP(Tabela3[[#This Row],[Data]],Tabela461213[],2,1)*(Tabela3[[#This Row],[Qtde Cx Produzida]]*Tabela3[[#This Row],[Qde macho / CX]]*Tabela3[[#This Row],[Peso Macho]]),)</f>
        <v>0</v>
      </c>
      <c r="Z1221" s="35">
        <f>IFERROR(Tabela3[[#This Row],[Qtde Oleo]]*(VLOOKUP(Tabela3[[#This Row],[Data]],CompraOleo[],3,TRUE))*1.05,0)</f>
        <v>107.18666831939245</v>
      </c>
      <c r="AA1221" s="47">
        <f ca="1">(Tabela3[[#This Row],[Custo Oleo]]+Tabela3[[#This Row],[Custo Aluminio]]+Tabela3[[#This Row],[Custo M.O. Total]]+Tabela3[[#This Row],[Custo Machos]])</f>
        <v>1363.9793163055037</v>
      </c>
      <c r="AB1221" s="47">
        <f ca="1">Tabela3[[#This Row],[Custo Total]]*Tabela3[[#This Row],[% Perda]]</f>
        <v>0</v>
      </c>
      <c r="AC1221" s="40">
        <f>IFERROR(VLOOKUP(Tabela3[[#This Row],[Produto]],Tabela2[],2,0),0)</f>
        <v>4</v>
      </c>
      <c r="AD1221" s="48">
        <f>IFERROR(VLOOKUP(Tabela3[[#This Row],[Produto]],Tabela2[],3,0),0)</f>
        <v>0.33200000000000002</v>
      </c>
      <c r="AE1221" s="48">
        <f>IFERROR(VLOOKUP(Tabela3[[#This Row],[Produto]],Tabela2[],4,0),0)</f>
        <v>2.2999999999999998</v>
      </c>
      <c r="AF1221" s="48">
        <f>IFERROR(VLOOKUP(Tabela3[[#This Row],[Produto]],Tabela2[],5,0),0)</f>
        <v>0.8747999999999998</v>
      </c>
      <c r="AG1221" s="48">
        <f>IFERROR(VLOOKUP(Tabela3[[#This Row],[Produto]],Tabela2[],6,0),0)</f>
        <v>0</v>
      </c>
      <c r="AH1221" s="40">
        <f>IFERROR(VLOOKUP(Tabela3[[#This Row],[Produto]],Tabela2[],7,0),0)</f>
        <v>0</v>
      </c>
      <c r="AI1221" s="40">
        <f>IFERROR(VLOOKUP(Tabela3[[#This Row],[Produto]],Tabela2[],8,0),0)</f>
        <v>0</v>
      </c>
      <c r="AJ1221" s="35">
        <f ca="1">IFERROR(VLOOKUP(Tabela3[[#This Row],[Produto]],Tabela2[],13,0),0)</f>
        <v>15.600000000000001</v>
      </c>
      <c r="AK1221" s="48" t="str">
        <f>IFERROR(VLOOKUP(Tabela3[[#This Row],[Produto]],Tabela2[],14,0),0)</f>
        <v>Senun</v>
      </c>
      <c r="AL1221" s="40">
        <f>IFERROR(VLOOKUP(Tabela3[[#This Row],[Produto]],Tabela2[],15,0),0)</f>
        <v>3.5</v>
      </c>
      <c r="AM1221" s="36">
        <f ca="1">(Tabela3[[#This Row],[Custo Usinagem]]+Tabela3[[#This Row],[Custo / Pç]])*1.2</f>
        <v>14.429844872291277</v>
      </c>
      <c r="AN1221" s="36">
        <f ca="1">Tabela3[[#This Row],[Valor Mínimo Venda]]*1.15</f>
        <v>16.594321603134969</v>
      </c>
      <c r="AO1221" s="36">
        <f ca="1">Tabela3[[#This Row],[Tabela 1]]*1.08</f>
        <v>17.921867331385766</v>
      </c>
      <c r="AP1221" s="36">
        <f ca="1">Tabela3[[#This Row],[Tabela 2]]*1.15</f>
        <v>20.61014743109363</v>
      </c>
    </row>
    <row r="1222" spans="1:42">
      <c r="A1222" s="9">
        <v>46161</v>
      </c>
      <c r="B1222" s="9" t="s">
        <v>236</v>
      </c>
      <c r="C1222" s="14">
        <v>9598</v>
      </c>
      <c r="D1222" s="6" t="s">
        <v>46</v>
      </c>
      <c r="E1222" s="6" t="s">
        <v>50</v>
      </c>
      <c r="F1222" s="6">
        <v>28</v>
      </c>
      <c r="G1222" s="15">
        <v>0.16875000000000001</v>
      </c>
      <c r="H1222" s="16">
        <v>0</v>
      </c>
      <c r="I1222" s="35">
        <f ca="1">IFERROR(Tabela3[[#This Row],[Custo Total]]/Tabela3[[#This Row],[Aluminio Util]],0)</f>
        <v>24.962218308188962</v>
      </c>
      <c r="J1222" s="35">
        <f ca="1">Tabela3[[#This Row],[Custo Total]]/Tabela3[[#This Row],[Realizado]]</f>
        <v>7.5385899290730656</v>
      </c>
      <c r="K1222" s="37">
        <f>IFERROR(Tabela3[[#This Row],[Qtde Cx Produzida]]/Tabela3[[#This Row],[Tempo]]/24,0)</f>
        <v>6.9135802469135799</v>
      </c>
      <c r="L1222" s="37">
        <f>Tabela3[[#This Row],[Qtde Cx Produzida]]*Tabela3[[#This Row],[Qdt Peça Placa]]</f>
        <v>168</v>
      </c>
      <c r="M1222" s="37">
        <f>Tabela3[[#This Row],[Previsto]]-Tabela3[[#This Row],[Perda Pçs]]</f>
        <v>168</v>
      </c>
      <c r="N1222" s="38">
        <f>IFERROR(Tabela3[[#This Row],[Perda Pçs]]/Tabela3[[#This Row],[Previsto]],0)</f>
        <v>0</v>
      </c>
      <c r="O1222" s="39">
        <f>IFERROR(IF(Tabela3[[#This Row],[Qtde Cx Produzida]] &lt;&gt; 0, Tabela3[[#This Row],[Tempo]] / Tabela3[[#This Row],[Qtde Cx Produzida]], 0),0)</f>
        <v>6.0267857142857146E-3</v>
      </c>
      <c r="P1222" s="57">
        <f>IFERROR(Tabela3[[#This Row],[Perda Pçs]]/Tabela3[[#This Row],[Qdt Peça Placa]],0)</f>
        <v>0</v>
      </c>
      <c r="Q1222" s="37">
        <f>IFERROR(Tabela3[[#This Row],[Realizado]]*Tabela3[[#This Row],[Peso Util/Pç]],0)</f>
        <v>50.735999999999997</v>
      </c>
      <c r="R1222" s="37">
        <f>IFERROR(Tabela3[[#This Row],[Peso Total Galho]]*Tabela3[[#This Row],[Qtde Cx Produzida]]*1.055,0)</f>
        <v>63.570079999999997</v>
      </c>
      <c r="S1222" s="37">
        <f>(Tabela3[[#This Row],[Aluminio Bruto]]-Tabela3[[#This Row],[Aluminio Util]])*0.9</f>
        <v>11.550672</v>
      </c>
      <c r="T1222" s="37">
        <f>Tabela3[[#This Row],[Aluminio Bruto]]/OleoKGAluminio</f>
        <v>26.743850460676242</v>
      </c>
      <c r="U1222" s="35">
        <f>IFERROR((VLOOKUP(Tabela3[[#This Row],[Moldador]],Tabela1[],5,)+(VLOOKUP(Tabela3[[#This Row],[Ajudante]],Tabela1[],5,))*3.5),0)</f>
        <v>99.95034583333333</v>
      </c>
      <c r="V1222" s="35">
        <f>IFERROR(Tabela3[[#This Row],[Custo M.O. / H]]/((Tabela3[[#This Row],[Realizado]]/Tabela3[[#This Row],[Qdt Peça Placa]])/Tabela3[[#This Row],[Tempo]]/24),)</f>
        <v>14.45710359375</v>
      </c>
      <c r="W1222" s="35">
        <f>Tabela3[[#This Row],[Custo / Cx Moldada]]*Tabela3[[#This Row],[Qtde Cx Produzida]]</f>
        <v>404.79890062499999</v>
      </c>
      <c r="X1222" s="35">
        <f ca="1">Tabela3[[#This Row],[Aluminio Util]]*Tabela3[[#This Row],[Custo/Kg]]</f>
        <v>791.48160000000007</v>
      </c>
      <c r="Y1222" s="35">
        <f>IFERROR(VLOOKUP(Tabela3[[#This Row],[Data]],Tabela461213[],2,1)*(Tabela3[[#This Row],[Qtde Cx Produzida]]*Tabela3[[#This Row],[Qde macho / CX]]*Tabela3[[#This Row],[Peso Macho]]),)</f>
        <v>0</v>
      </c>
      <c r="Z1222" s="35">
        <f>IFERROR(Tabela3[[#This Row],[Qtde Oleo]]*(VLOOKUP(Tabela3[[#This Row],[Data]],CompraOleo[],3,TRUE))*1.05,0)</f>
        <v>70.202607459275143</v>
      </c>
      <c r="AA1222" s="47">
        <f ca="1">(Tabela3[[#This Row],[Custo Oleo]]+Tabela3[[#This Row],[Custo Aluminio]]+Tabela3[[#This Row],[Custo M.O. Total]]+Tabela3[[#This Row],[Custo Machos]])</f>
        <v>1266.483108084275</v>
      </c>
      <c r="AB1222" s="47">
        <f ca="1">Tabela3[[#This Row],[Custo Total]]*Tabela3[[#This Row],[% Perda]]</f>
        <v>0</v>
      </c>
      <c r="AC1222" s="40">
        <f>IFERROR(VLOOKUP(Tabela3[[#This Row],[Produto]],Tabela2[],2,0),0)</f>
        <v>6</v>
      </c>
      <c r="AD1222" s="48">
        <f>IFERROR(VLOOKUP(Tabela3[[#This Row],[Produto]],Tabela2[],3,0),0)</f>
        <v>0.30199999999999999</v>
      </c>
      <c r="AE1222" s="48">
        <f>IFERROR(VLOOKUP(Tabela3[[#This Row],[Produto]],Tabela2[],4,0),0)</f>
        <v>2.1520000000000001</v>
      </c>
      <c r="AF1222" s="48">
        <f>IFERROR(VLOOKUP(Tabela3[[#This Row],[Produto]],Tabela2[],5,0),0)</f>
        <v>0.30600000000000027</v>
      </c>
      <c r="AG1222" s="48">
        <f>IFERROR(VLOOKUP(Tabela3[[#This Row],[Produto]],Tabela2[],6,0),0)</f>
        <v>0</v>
      </c>
      <c r="AH1222" s="40">
        <f>IFERROR(VLOOKUP(Tabela3[[#This Row],[Produto]],Tabela2[],7,0),0)</f>
        <v>0</v>
      </c>
      <c r="AI1222" s="40">
        <f>IFERROR(VLOOKUP(Tabela3[[#This Row],[Produto]],Tabela2[],8,0),0)</f>
        <v>0</v>
      </c>
      <c r="AJ1222" s="35">
        <f ca="1">IFERROR(VLOOKUP(Tabela3[[#This Row],[Produto]],Tabela2[],13,0),0)</f>
        <v>15.600000000000001</v>
      </c>
      <c r="AK1222" s="48" t="str">
        <f>IFERROR(VLOOKUP(Tabela3[[#This Row],[Produto]],Tabela2[],14,0),0)</f>
        <v>Senun</v>
      </c>
      <c r="AL1222" s="40">
        <f>IFERROR(VLOOKUP(Tabela3[[#This Row],[Produto]],Tabela2[],15,0),0)</f>
        <v>4</v>
      </c>
      <c r="AM1222" s="36">
        <f ca="1">(Tabela3[[#This Row],[Custo Usinagem]]+Tabela3[[#This Row],[Custo / Pç]])*1.2</f>
        <v>13.846307914887678</v>
      </c>
      <c r="AN1222" s="36">
        <f ca="1">Tabela3[[#This Row],[Valor Mínimo Venda]]*1.15</f>
        <v>15.923254102120829</v>
      </c>
      <c r="AO1222" s="36">
        <f ca="1">Tabela3[[#This Row],[Tabela 1]]*1.08</f>
        <v>17.197114430290497</v>
      </c>
      <c r="AP1222" s="36">
        <f ca="1">Tabela3[[#This Row],[Tabela 2]]*1.15</f>
        <v>19.77668159483407</v>
      </c>
    </row>
    <row r="1223" spans="1:42">
      <c r="A1223" s="9">
        <v>46161</v>
      </c>
      <c r="B1223" s="9" t="s">
        <v>134</v>
      </c>
      <c r="C1223" s="14">
        <v>9677</v>
      </c>
      <c r="D1223" s="6" t="s">
        <v>44</v>
      </c>
      <c r="E1223" s="6" t="s">
        <v>47</v>
      </c>
      <c r="F1223" s="6">
        <v>2</v>
      </c>
      <c r="G1223" s="15">
        <v>1.8055555555555554E-2</v>
      </c>
      <c r="H1223" s="16">
        <v>0</v>
      </c>
      <c r="I1223" s="35">
        <f ca="1">IFERROR(Tabela3[[#This Row],[Custo Total]]/Tabela3[[#This Row],[Aluminio Util]],0)</f>
        <v>24.872240135857815</v>
      </c>
      <c r="J1223" s="35">
        <f ca="1">Tabela3[[#This Row],[Custo Total]]/Tabela3[[#This Row],[Realizado]]</f>
        <v>90.783676495881025</v>
      </c>
      <c r="K1223" s="37">
        <f>IFERROR(Tabela3[[#This Row],[Qtde Cx Produzida]]/Tabela3[[#This Row],[Tempo]]/24,0)</f>
        <v>4.6153846153846159</v>
      </c>
      <c r="L1223" s="37">
        <f>Tabela3[[#This Row],[Qtde Cx Produzida]]*Tabela3[[#This Row],[Qdt Peça Placa]]</f>
        <v>2</v>
      </c>
      <c r="M1223" s="37">
        <f>Tabela3[[#This Row],[Previsto]]-Tabela3[[#This Row],[Perda Pçs]]</f>
        <v>2</v>
      </c>
      <c r="N1223" s="38">
        <f>IFERROR(Tabela3[[#This Row],[Perda Pçs]]/Tabela3[[#This Row],[Previsto]],0)</f>
        <v>0</v>
      </c>
      <c r="O1223" s="39">
        <f>IFERROR(IF(Tabela3[[#This Row],[Qtde Cx Produzida]] &lt;&gt; 0, Tabela3[[#This Row],[Tempo]] / Tabela3[[#This Row],[Qtde Cx Produzida]], 0),0)</f>
        <v>9.0277777777777769E-3</v>
      </c>
      <c r="P1223" s="57">
        <f>IFERROR(Tabela3[[#This Row],[Perda Pçs]]/Tabela3[[#This Row],[Qdt Peça Placa]],0)</f>
        <v>0</v>
      </c>
      <c r="Q1223" s="37">
        <f>IFERROR(Tabela3[[#This Row],[Realizado]]*Tabela3[[#This Row],[Peso Util/Pç]],0)</f>
        <v>7.3</v>
      </c>
      <c r="R1223" s="37">
        <f>IFERROR(Tabela3[[#This Row],[Peso Total Galho]]*Tabela3[[#This Row],[Qtde Cx Produzida]]*1.055,0)</f>
        <v>13.630599999999999</v>
      </c>
      <c r="S1223" s="37">
        <f>(Tabela3[[#This Row],[Aluminio Bruto]]-Tabela3[[#This Row],[Aluminio Util]])*0.9</f>
        <v>5.69754</v>
      </c>
      <c r="T1223" s="37">
        <f>Tabela3[[#This Row],[Aluminio Bruto]]/OleoKGAluminio</f>
        <v>5.7343757958035226</v>
      </c>
      <c r="U1223" s="35">
        <f>IFERROR((VLOOKUP(Tabela3[[#This Row],[Moldador]],Tabela1[],5,)+(VLOOKUP(Tabela3[[#This Row],[Ajudante]],Tabela1[],5,))*3.5),0)</f>
        <v>99.95034583333333</v>
      </c>
      <c r="V1223" s="35">
        <f>IFERROR(Tabela3[[#This Row],[Custo M.O. / H]]/((Tabela3[[#This Row],[Realizado]]/Tabela3[[#This Row],[Qdt Peça Placa]])/Tabela3[[#This Row],[Tempo]]/24),)</f>
        <v>21.655908263888886</v>
      </c>
      <c r="W1223" s="35">
        <f>Tabela3[[#This Row],[Custo / Cx Moldada]]*Tabela3[[#This Row],[Qtde Cx Produzida]]</f>
        <v>43.311816527777772</v>
      </c>
      <c r="X1223" s="35">
        <f ca="1">Tabela3[[#This Row],[Aluminio Util]]*Tabela3[[#This Row],[Custo/Kg]]</f>
        <v>113.88000000000001</v>
      </c>
      <c r="Y1223" s="35">
        <f>IFERROR(VLOOKUP(Tabela3[[#This Row],[Data]],Tabela461213[],2,1)*(Tabela3[[#This Row],[Qtde Cx Produzida]]*Tabela3[[#This Row],[Qde macho / CX]]*Tabela3[[#This Row],[Peso Macho]]),)</f>
        <v>9.3227999999999991</v>
      </c>
      <c r="Z1223" s="35">
        <f>IFERROR(Tabela3[[#This Row],[Qtde Oleo]]*(VLOOKUP(Tabela3[[#This Row],[Data]],CompraOleo[],3,TRUE))*1.05,0)</f>
        <v>15.052736463984248</v>
      </c>
      <c r="AA1223" s="47">
        <f ca="1">(Tabela3[[#This Row],[Custo Oleo]]+Tabela3[[#This Row],[Custo Aluminio]]+Tabela3[[#This Row],[Custo M.O. Total]]+Tabela3[[#This Row],[Custo Machos]])</f>
        <v>181.56735299176205</v>
      </c>
      <c r="AB1223" s="47">
        <f ca="1">Tabela3[[#This Row],[Custo Total]]*Tabela3[[#This Row],[% Perda]]</f>
        <v>0</v>
      </c>
      <c r="AC1223" s="40">
        <f>IFERROR(VLOOKUP(Tabela3[[#This Row],[Produto]],Tabela2[],2,0),0)</f>
        <v>1</v>
      </c>
      <c r="AD1223" s="48">
        <f>IFERROR(VLOOKUP(Tabela3[[#This Row],[Produto]],Tabela2[],3,0),0)</f>
        <v>3.65</v>
      </c>
      <c r="AE1223" s="48">
        <f>IFERROR(VLOOKUP(Tabela3[[#This Row],[Produto]],Tabela2[],4,0),0)</f>
        <v>6.46</v>
      </c>
      <c r="AF1223" s="48">
        <f>IFERROR(VLOOKUP(Tabela3[[#This Row],[Produto]],Tabela2[],5,0),0)</f>
        <v>2.5289999999999999</v>
      </c>
      <c r="AG1223" s="48">
        <f>IFERROR(VLOOKUP(Tabela3[[#This Row],[Produto]],Tabela2[],6,0),0)</f>
        <v>0</v>
      </c>
      <c r="AH1223" s="40">
        <f>IFERROR(VLOOKUP(Tabela3[[#This Row],[Produto]],Tabela2[],7,0),0)</f>
        <v>1</v>
      </c>
      <c r="AI1223" s="40">
        <f>IFERROR(VLOOKUP(Tabela3[[#This Row],[Produto]],Tabela2[],8,0),0)</f>
        <v>2.742</v>
      </c>
      <c r="AJ1223" s="35">
        <f ca="1">IFERROR(VLOOKUP(Tabela3[[#This Row],[Produto]],Tabela2[],13,0),0)</f>
        <v>15.600000000000001</v>
      </c>
      <c r="AK1223" s="48" t="str">
        <f>IFERROR(VLOOKUP(Tabela3[[#This Row],[Produto]],Tabela2[],14,0),0)</f>
        <v>Jumil</v>
      </c>
      <c r="AL1223" s="40">
        <f>IFERROR(VLOOKUP(Tabela3[[#This Row],[Produto]],Tabela2[],15,0),0)</f>
        <v>15</v>
      </c>
      <c r="AM1223" s="36">
        <f ca="1">(Tabela3[[#This Row],[Custo Usinagem]]+Tabela3[[#This Row],[Custo / Pç]])*1.2</f>
        <v>126.94041179505723</v>
      </c>
      <c r="AN1223" s="36">
        <f ca="1">Tabela3[[#This Row],[Valor Mínimo Venda]]*1.15</f>
        <v>145.98147356431579</v>
      </c>
      <c r="AO1223" s="36">
        <f ca="1">Tabela3[[#This Row],[Tabela 1]]*1.08</f>
        <v>157.65999144946107</v>
      </c>
      <c r="AP1223" s="36">
        <f ca="1">Tabela3[[#This Row],[Tabela 2]]*1.15</f>
        <v>181.30899016688022</v>
      </c>
    </row>
    <row r="1224" spans="1:42">
      <c r="A1224" s="9">
        <v>46161</v>
      </c>
      <c r="B1224" s="9" t="s">
        <v>135</v>
      </c>
      <c r="C1224" s="14">
        <v>9725</v>
      </c>
      <c r="D1224" s="6" t="s">
        <v>46</v>
      </c>
      <c r="E1224" s="6" t="s">
        <v>50</v>
      </c>
      <c r="F1224" s="6">
        <v>17</v>
      </c>
      <c r="G1224" s="15">
        <v>8.819444444444445E-2</v>
      </c>
      <c r="H1224" s="16">
        <v>3</v>
      </c>
      <c r="I1224" s="35">
        <f ca="1">IFERROR(Tabela3[[#This Row],[Custo Total]]/Tabela3[[#This Row],[Aluminio Util]],0)</f>
        <v>31.567594561987221</v>
      </c>
      <c r="J1224" s="35">
        <f ca="1">Tabela3[[#This Row],[Custo Total]]/Tabela3[[#This Row],[Realizado]]</f>
        <v>55.874642374717382</v>
      </c>
      <c r="K1224" s="37">
        <f>IFERROR(Tabela3[[#This Row],[Qtde Cx Produzida]]/Tabela3[[#This Row],[Tempo]]/24,0)</f>
        <v>8.0314960629921259</v>
      </c>
      <c r="L1224" s="37">
        <f>Tabela3[[#This Row],[Qtde Cx Produzida]]*Tabela3[[#This Row],[Qdt Peça Placa]]</f>
        <v>17</v>
      </c>
      <c r="M1224" s="37">
        <f>Tabela3[[#This Row],[Previsto]]-Tabela3[[#This Row],[Perda Pçs]]</f>
        <v>14</v>
      </c>
      <c r="N1224" s="38">
        <f>IFERROR(Tabela3[[#This Row],[Perda Pçs]]/Tabela3[[#This Row],[Previsto]],0)</f>
        <v>0.17647058823529413</v>
      </c>
      <c r="O1224" s="39">
        <f>IFERROR(IF(Tabela3[[#This Row],[Qtde Cx Produzida]] &lt;&gt; 0, Tabela3[[#This Row],[Tempo]] / Tabela3[[#This Row],[Qtde Cx Produzida]], 0),0)</f>
        <v>5.1879084967320268E-3</v>
      </c>
      <c r="P1224" s="57">
        <f>IFERROR(Tabela3[[#This Row],[Perda Pçs]]/Tabela3[[#This Row],[Qdt Peça Placa]],0)</f>
        <v>3</v>
      </c>
      <c r="Q1224" s="37">
        <f>IFERROR(Tabela3[[#This Row],[Realizado]]*Tabela3[[#This Row],[Peso Util/Pç]],0)</f>
        <v>24.78</v>
      </c>
      <c r="R1224" s="37">
        <f>IFERROR(Tabela3[[#This Row],[Peso Total Galho]]*Tabela3[[#This Row],[Qtde Cx Produzida]]*1.055,0)</f>
        <v>56.13655</v>
      </c>
      <c r="S1224" s="37">
        <f>(Tabela3[[#This Row],[Aluminio Bruto]]-Tabela3[[#This Row],[Aluminio Util]])*0.9</f>
        <v>28.220894999999999</v>
      </c>
      <c r="T1224" s="37">
        <f>Tabela3[[#This Row],[Aluminio Bruto]]/OleoKGAluminio</f>
        <v>23.616574001138193</v>
      </c>
      <c r="U1224" s="35">
        <f>IFERROR((VLOOKUP(Tabela3[[#This Row],[Moldador]],Tabela1[],5,)+(VLOOKUP(Tabela3[[#This Row],[Ajudante]],Tabela1[],5,))*3.5),0)</f>
        <v>99.95034583333333</v>
      </c>
      <c r="V1224" s="35">
        <f>IFERROR(Tabela3[[#This Row],[Custo M.O. / H]]/((Tabela3[[#This Row],[Realizado]]/Tabela3[[#This Row],[Qdt Peça Placa]])/Tabela3[[#This Row],[Tempo]]/24),)</f>
        <v>15.111540381944444</v>
      </c>
      <c r="W1224" s="35">
        <f>Tabela3[[#This Row],[Custo / Cx Moldada]]*Tabela3[[#This Row],[Qtde Cx Produzida]]</f>
        <v>256.89618649305555</v>
      </c>
      <c r="X1224" s="35">
        <f ca="1">Tabela3[[#This Row],[Aluminio Util]]*Tabela3[[#This Row],[Custo/Kg]]</f>
        <v>386.56800000000004</v>
      </c>
      <c r="Y1224" s="35">
        <f>IFERROR(VLOOKUP(Tabela3[[#This Row],[Data]],Tabela461213[],2,1)*(Tabela3[[#This Row],[Qtde Cx Produzida]]*Tabela3[[#This Row],[Qde macho / CX]]*Tabela3[[#This Row],[Peso Macho]]),)</f>
        <v>76.787299999999988</v>
      </c>
      <c r="Z1224" s="35">
        <f>IFERROR(Tabela3[[#This Row],[Qtde Oleo]]*(VLOOKUP(Tabela3[[#This Row],[Data]],CompraOleo[],3,TRUE))*1.05,0)</f>
        <v>61.993506752987756</v>
      </c>
      <c r="AA1224" s="47">
        <f ca="1">(Tabela3[[#This Row],[Custo Oleo]]+Tabela3[[#This Row],[Custo Aluminio]]+Tabela3[[#This Row],[Custo M.O. Total]]+Tabela3[[#This Row],[Custo Machos]])</f>
        <v>782.24499324604335</v>
      </c>
      <c r="AB1224" s="47">
        <f ca="1">Tabela3[[#This Row],[Custo Total]]*Tabela3[[#This Row],[% Perda]]</f>
        <v>138.04323410224296</v>
      </c>
      <c r="AC1224" s="40">
        <f>IFERROR(VLOOKUP(Tabela3[[#This Row],[Produto]],Tabela2[],2,0),0)</f>
        <v>1</v>
      </c>
      <c r="AD1224" s="48">
        <f>IFERROR(VLOOKUP(Tabela3[[#This Row],[Produto]],Tabela2[],3,0),0)</f>
        <v>1.77</v>
      </c>
      <c r="AE1224" s="48">
        <f>IFERROR(VLOOKUP(Tabela3[[#This Row],[Produto]],Tabela2[],4,0),0)</f>
        <v>3.13</v>
      </c>
      <c r="AF1224" s="48">
        <f>IFERROR(VLOOKUP(Tabela3[[#This Row],[Produto]],Tabela2[],5,0),0)</f>
        <v>1.224</v>
      </c>
      <c r="AG1224" s="48">
        <f>IFERROR(VLOOKUP(Tabela3[[#This Row],[Produto]],Tabela2[],6,0),0)</f>
        <v>0</v>
      </c>
      <c r="AH1224" s="40">
        <f>IFERROR(VLOOKUP(Tabela3[[#This Row],[Produto]],Tabela2[],7,0),0)</f>
        <v>1</v>
      </c>
      <c r="AI1224" s="40">
        <f>IFERROR(VLOOKUP(Tabela3[[#This Row],[Produto]],Tabela2[],8,0),0)</f>
        <v>2.657</v>
      </c>
      <c r="AJ1224" s="35">
        <f ca="1">IFERROR(VLOOKUP(Tabela3[[#This Row],[Produto]],Tabela2[],13,0),0)</f>
        <v>15.600000000000001</v>
      </c>
      <c r="AK1224" s="48" t="str">
        <f>IFERROR(VLOOKUP(Tabela3[[#This Row],[Produto]],Tabela2[],14,0),0)</f>
        <v>Jumil</v>
      </c>
      <c r="AL1224" s="40">
        <f>IFERROR(VLOOKUP(Tabela3[[#This Row],[Produto]],Tabela2[],15,0),0)</f>
        <v>10</v>
      </c>
      <c r="AM1224" s="36">
        <f ca="1">(Tabela3[[#This Row],[Custo Usinagem]]+Tabela3[[#This Row],[Custo / Pç]])*1.2</f>
        <v>79.049570849660853</v>
      </c>
      <c r="AN1224" s="36">
        <f ca="1">Tabela3[[#This Row],[Valor Mínimo Venda]]*1.15</f>
        <v>90.907006477109974</v>
      </c>
      <c r="AO1224" s="36">
        <f ca="1">Tabela3[[#This Row],[Tabela 1]]*1.08</f>
        <v>98.179566995278776</v>
      </c>
      <c r="AP1224" s="36">
        <f ca="1">Tabela3[[#This Row],[Tabela 2]]*1.15</f>
        <v>112.90650204457059</v>
      </c>
    </row>
    <row r="1225" spans="1:42">
      <c r="A1225" s="9">
        <v>46161</v>
      </c>
      <c r="B1225" s="9" t="s">
        <v>245</v>
      </c>
      <c r="C1225" s="14">
        <v>9698</v>
      </c>
      <c r="D1225" s="6" t="s">
        <v>46</v>
      </c>
      <c r="E1225" s="6" t="s">
        <v>44</v>
      </c>
      <c r="F1225" s="6">
        <v>22</v>
      </c>
      <c r="G1225" s="15">
        <v>0.10416666666666667</v>
      </c>
      <c r="H1225" s="16">
        <v>0</v>
      </c>
      <c r="I1225" s="35">
        <f ca="1">IFERROR(Tabela3[[#This Row],[Custo Total]]/Tabela3[[#This Row],[Aluminio Util]],0)</f>
        <v>28.40767105612219</v>
      </c>
      <c r="J1225" s="35">
        <f ca="1">Tabela3[[#This Row],[Custo Total]]/Tabela3[[#This Row],[Realizado]]</f>
        <v>9.431346790632567</v>
      </c>
      <c r="K1225" s="37">
        <f>IFERROR(Tabela3[[#This Row],[Qtde Cx Produzida]]/Tabela3[[#This Row],[Tempo]]/24,0)</f>
        <v>8.7999999999999989</v>
      </c>
      <c r="L1225" s="37">
        <f>Tabela3[[#This Row],[Qtde Cx Produzida]]*Tabela3[[#This Row],[Qdt Peça Placa]]</f>
        <v>88</v>
      </c>
      <c r="M1225" s="37">
        <f>Tabela3[[#This Row],[Previsto]]-Tabela3[[#This Row],[Perda Pçs]]</f>
        <v>88</v>
      </c>
      <c r="N1225" s="38">
        <f>IFERROR(Tabela3[[#This Row],[Perda Pçs]]/Tabela3[[#This Row],[Previsto]],0)</f>
        <v>0</v>
      </c>
      <c r="O1225" s="39">
        <f>IFERROR(IF(Tabela3[[#This Row],[Qtde Cx Produzida]] &lt;&gt; 0, Tabela3[[#This Row],[Tempo]] / Tabela3[[#This Row],[Qtde Cx Produzida]], 0),0)</f>
        <v>4.734848484848485E-3</v>
      </c>
      <c r="P1225" s="57">
        <f>IFERROR(Tabela3[[#This Row],[Perda Pçs]]/Tabela3[[#This Row],[Qdt Peça Placa]],0)</f>
        <v>0</v>
      </c>
      <c r="Q1225" s="37">
        <f>IFERROR(Tabela3[[#This Row],[Realizado]]*Tabela3[[#This Row],[Peso Util/Pç]],0)</f>
        <v>29.216000000000001</v>
      </c>
      <c r="R1225" s="37">
        <f>IFERROR(Tabela3[[#This Row],[Peso Total Galho]]*Tabela3[[#This Row],[Qtde Cx Produzida]]*1.055,0)</f>
        <v>53.382999999999988</v>
      </c>
      <c r="S1225" s="37">
        <f>(Tabela3[[#This Row],[Aluminio Bruto]]-Tabela3[[#This Row],[Aluminio Util]])*0.9</f>
        <v>21.750299999999989</v>
      </c>
      <c r="T1225" s="37">
        <f>Tabela3[[#This Row],[Aluminio Bruto]]/OleoKGAluminio</f>
        <v>22.458159076444133</v>
      </c>
      <c r="U1225" s="35">
        <f>IFERROR((VLOOKUP(Tabela3[[#This Row],[Moldador]],Tabela1[],5,)+(VLOOKUP(Tabela3[[#This Row],[Ajudante]],Tabela1[],5,))*3.5),0)</f>
        <v>126.0945</v>
      </c>
      <c r="V1225" s="35">
        <f>IFERROR(Tabela3[[#This Row],[Custo M.O. / H]]/((Tabela3[[#This Row],[Realizado]]/Tabela3[[#This Row],[Qdt Peça Placa]])/Tabela3[[#This Row],[Tempo]]/24),)</f>
        <v>14.328920454545456</v>
      </c>
      <c r="W1225" s="35">
        <f>Tabela3[[#This Row],[Custo / Cx Moldada]]*Tabela3[[#This Row],[Qtde Cx Produzida]]</f>
        <v>315.23625000000004</v>
      </c>
      <c r="X1225" s="35">
        <f ca="1">Tabela3[[#This Row],[Aluminio Util]]*Tabela3[[#This Row],[Custo/Kg]]</f>
        <v>455.76960000000008</v>
      </c>
      <c r="Y1225" s="35">
        <f>IFERROR(VLOOKUP(Tabela3[[#This Row],[Data]],Tabela461213[],2,1)*(Tabela3[[#This Row],[Qtde Cx Produzida]]*Tabela3[[#This Row],[Qde macho / CX]]*Tabela3[[#This Row],[Peso Macho]]),)</f>
        <v>0</v>
      </c>
      <c r="Z1225" s="35">
        <f>IFERROR(Tabela3[[#This Row],[Qtde Oleo]]*(VLOOKUP(Tabela3[[#This Row],[Data]],CompraOleo[],3,TRUE))*1.05,0)</f>
        <v>58.952667575665849</v>
      </c>
      <c r="AA1225" s="47">
        <f ca="1">(Tabela3[[#This Row],[Custo Oleo]]+Tabela3[[#This Row],[Custo Aluminio]]+Tabela3[[#This Row],[Custo M.O. Total]]+Tabela3[[#This Row],[Custo Machos]])</f>
        <v>829.95851757566595</v>
      </c>
      <c r="AB1225" s="47">
        <f ca="1">Tabela3[[#This Row],[Custo Total]]*Tabela3[[#This Row],[% Perda]]</f>
        <v>0</v>
      </c>
      <c r="AC1225" s="40">
        <f>IFERROR(VLOOKUP(Tabela3[[#This Row],[Produto]],Tabela2[],2,0),0)</f>
        <v>4</v>
      </c>
      <c r="AD1225" s="48">
        <f>IFERROR(VLOOKUP(Tabela3[[#This Row],[Produto]],Tabela2[],3,0),0)</f>
        <v>0.33200000000000002</v>
      </c>
      <c r="AE1225" s="48">
        <f>IFERROR(VLOOKUP(Tabela3[[#This Row],[Produto]],Tabela2[],4,0),0)</f>
        <v>2.2999999999999998</v>
      </c>
      <c r="AF1225" s="48">
        <f>IFERROR(VLOOKUP(Tabela3[[#This Row],[Produto]],Tabela2[],5,0),0)</f>
        <v>0.8747999999999998</v>
      </c>
      <c r="AG1225" s="48">
        <f>IFERROR(VLOOKUP(Tabela3[[#This Row],[Produto]],Tabela2[],6,0),0)</f>
        <v>0</v>
      </c>
      <c r="AH1225" s="40">
        <f>IFERROR(VLOOKUP(Tabela3[[#This Row],[Produto]],Tabela2[],7,0),0)</f>
        <v>0</v>
      </c>
      <c r="AI1225" s="40">
        <f>IFERROR(VLOOKUP(Tabela3[[#This Row],[Produto]],Tabela2[],8,0),0)</f>
        <v>0</v>
      </c>
      <c r="AJ1225" s="35">
        <f ca="1">IFERROR(VLOOKUP(Tabela3[[#This Row],[Produto]],Tabela2[],13,0),0)</f>
        <v>15.600000000000001</v>
      </c>
      <c r="AK1225" s="48" t="str">
        <f>IFERROR(VLOOKUP(Tabela3[[#This Row],[Produto]],Tabela2[],14,0),0)</f>
        <v>Senun</v>
      </c>
      <c r="AL1225" s="40">
        <f>IFERROR(VLOOKUP(Tabela3[[#This Row],[Produto]],Tabela2[],15,0),0)</f>
        <v>3.5</v>
      </c>
      <c r="AM1225" s="36">
        <f ca="1">(Tabela3[[#This Row],[Custo Usinagem]]+Tabela3[[#This Row],[Custo / Pç]])*1.2</f>
        <v>15.51761614875908</v>
      </c>
      <c r="AN1225" s="36">
        <f ca="1">Tabela3[[#This Row],[Valor Mínimo Venda]]*1.15</f>
        <v>17.845258571072939</v>
      </c>
      <c r="AO1225" s="36">
        <f ca="1">Tabela3[[#This Row],[Tabela 1]]*1.08</f>
        <v>19.272879256758777</v>
      </c>
      <c r="AP1225" s="36">
        <f ca="1">Tabela3[[#This Row],[Tabela 2]]*1.15</f>
        <v>22.163811145272593</v>
      </c>
    </row>
    <row r="1226" spans="1:42">
      <c r="A1226" s="9">
        <v>46161</v>
      </c>
      <c r="B1226" s="9" t="s">
        <v>245</v>
      </c>
      <c r="C1226" s="14">
        <v>9698</v>
      </c>
      <c r="D1226" s="6" t="s">
        <v>44</v>
      </c>
      <c r="E1226" s="6" t="s">
        <v>47</v>
      </c>
      <c r="F1226" s="6">
        <v>18</v>
      </c>
      <c r="G1226" s="15">
        <v>8.1944444444444445E-2</v>
      </c>
      <c r="H1226" s="16">
        <v>0</v>
      </c>
      <c r="I1226" s="35">
        <f ca="1">IFERROR(Tabela3[[#This Row],[Custo Total]]/Tabela3[[#This Row],[Aluminio Util]],0)</f>
        <v>25.841089952139761</v>
      </c>
      <c r="J1226" s="35">
        <f ca="1">Tabela3[[#This Row],[Custo Total]]/Tabela3[[#This Row],[Realizado]]</f>
        <v>8.5792418641104007</v>
      </c>
      <c r="K1226" s="37">
        <f>IFERROR(Tabela3[[#This Row],[Qtde Cx Produzida]]/Tabela3[[#This Row],[Tempo]]/24,0)</f>
        <v>9.1525423728813564</v>
      </c>
      <c r="L1226" s="37">
        <f>Tabela3[[#This Row],[Qtde Cx Produzida]]*Tabela3[[#This Row],[Qdt Peça Placa]]</f>
        <v>72</v>
      </c>
      <c r="M1226" s="37">
        <f>Tabela3[[#This Row],[Previsto]]-Tabela3[[#This Row],[Perda Pçs]]</f>
        <v>72</v>
      </c>
      <c r="N1226" s="38">
        <f>IFERROR(Tabela3[[#This Row],[Perda Pçs]]/Tabela3[[#This Row],[Previsto]],0)</f>
        <v>0</v>
      </c>
      <c r="O1226" s="39">
        <f>IFERROR(IF(Tabela3[[#This Row],[Qtde Cx Produzida]] &lt;&gt; 0, Tabela3[[#This Row],[Tempo]] / Tabela3[[#This Row],[Qtde Cx Produzida]], 0),0)</f>
        <v>4.5524691358024691E-3</v>
      </c>
      <c r="P1226" s="57">
        <f>IFERROR(Tabela3[[#This Row],[Perda Pçs]]/Tabela3[[#This Row],[Qdt Peça Placa]],0)</f>
        <v>0</v>
      </c>
      <c r="Q1226" s="37">
        <f>IFERROR(Tabela3[[#This Row],[Realizado]]*Tabela3[[#This Row],[Peso Util/Pç]],0)</f>
        <v>23.904</v>
      </c>
      <c r="R1226" s="37">
        <f>IFERROR(Tabela3[[#This Row],[Peso Total Galho]]*Tabela3[[#This Row],[Qtde Cx Produzida]]*1.055,0)</f>
        <v>43.676999999999992</v>
      </c>
      <c r="S1226" s="37">
        <f>(Tabela3[[#This Row],[Aluminio Bruto]]-Tabela3[[#This Row],[Aluminio Util]])*0.9</f>
        <v>17.795699999999993</v>
      </c>
      <c r="T1226" s="37">
        <f>Tabela3[[#This Row],[Aluminio Bruto]]/OleoKGAluminio</f>
        <v>18.374857426181563</v>
      </c>
      <c r="U1226" s="35">
        <f>IFERROR((VLOOKUP(Tabela3[[#This Row],[Moldador]],Tabela1[],5,)+(VLOOKUP(Tabela3[[#This Row],[Ajudante]],Tabela1[],5,))*3.5),0)</f>
        <v>99.95034583333333</v>
      </c>
      <c r="V1226" s="35">
        <f>IFERROR(Tabela3[[#This Row],[Custo M.O. / H]]/((Tabela3[[#This Row],[Realizado]]/Tabela3[[#This Row],[Qdt Peça Placa]])/Tabela3[[#This Row],[Tempo]]/24),)</f>
        <v>10.920500748456789</v>
      </c>
      <c r="W1226" s="35">
        <f>Tabela3[[#This Row],[Custo / Cx Moldada]]*Tabela3[[#This Row],[Qtde Cx Produzida]]</f>
        <v>196.5690134722222</v>
      </c>
      <c r="X1226" s="35">
        <f ca="1">Tabela3[[#This Row],[Aluminio Util]]*Tabela3[[#This Row],[Custo/Kg]]</f>
        <v>372.90240000000006</v>
      </c>
      <c r="Y1226" s="35">
        <f>IFERROR(VLOOKUP(Tabela3[[#This Row],[Data]],Tabela461213[],2,1)*(Tabela3[[#This Row],[Qtde Cx Produzida]]*Tabela3[[#This Row],[Qde macho / CX]]*Tabela3[[#This Row],[Peso Macho]]),)</f>
        <v>0</v>
      </c>
      <c r="Z1226" s="35">
        <f>IFERROR(Tabela3[[#This Row],[Qtde Oleo]]*(VLOOKUP(Tabela3[[#This Row],[Data]],CompraOleo[],3,TRUE))*1.05,0)</f>
        <v>48.234000743726604</v>
      </c>
      <c r="AA1226" s="47">
        <f ca="1">(Tabela3[[#This Row],[Custo Oleo]]+Tabela3[[#This Row],[Custo Aluminio]]+Tabela3[[#This Row],[Custo M.O. Total]]+Tabela3[[#This Row],[Custo Machos]])</f>
        <v>617.70541421594885</v>
      </c>
      <c r="AB1226" s="47">
        <f ca="1">Tabela3[[#This Row],[Custo Total]]*Tabela3[[#This Row],[% Perda]]</f>
        <v>0</v>
      </c>
      <c r="AC1226" s="40">
        <f>IFERROR(VLOOKUP(Tabela3[[#This Row],[Produto]],Tabela2[],2,0),0)</f>
        <v>4</v>
      </c>
      <c r="AD1226" s="48">
        <f>IFERROR(VLOOKUP(Tabela3[[#This Row],[Produto]],Tabela2[],3,0),0)</f>
        <v>0.33200000000000002</v>
      </c>
      <c r="AE1226" s="48">
        <f>IFERROR(VLOOKUP(Tabela3[[#This Row],[Produto]],Tabela2[],4,0),0)</f>
        <v>2.2999999999999998</v>
      </c>
      <c r="AF1226" s="48">
        <f>IFERROR(VLOOKUP(Tabela3[[#This Row],[Produto]],Tabela2[],5,0),0)</f>
        <v>0.8747999999999998</v>
      </c>
      <c r="AG1226" s="48">
        <f>IFERROR(VLOOKUP(Tabela3[[#This Row],[Produto]],Tabela2[],6,0),0)</f>
        <v>0</v>
      </c>
      <c r="AH1226" s="40">
        <f>IFERROR(VLOOKUP(Tabela3[[#This Row],[Produto]],Tabela2[],7,0),0)</f>
        <v>0</v>
      </c>
      <c r="AI1226" s="40">
        <f>IFERROR(VLOOKUP(Tabela3[[#This Row],[Produto]],Tabela2[],8,0),0)</f>
        <v>0</v>
      </c>
      <c r="AJ1226" s="35">
        <f ca="1">IFERROR(VLOOKUP(Tabela3[[#This Row],[Produto]],Tabela2[],13,0),0)</f>
        <v>15.600000000000001</v>
      </c>
      <c r="AK1226" s="48" t="str">
        <f>IFERROR(VLOOKUP(Tabela3[[#This Row],[Produto]],Tabela2[],14,0),0)</f>
        <v>Senun</v>
      </c>
      <c r="AL1226" s="40">
        <f>IFERROR(VLOOKUP(Tabela3[[#This Row],[Produto]],Tabela2[],15,0),0)</f>
        <v>3.5</v>
      </c>
      <c r="AM1226" s="36">
        <f ca="1">(Tabela3[[#This Row],[Custo Usinagem]]+Tabela3[[#This Row],[Custo / Pç]])*1.2</f>
        <v>14.49509023693248</v>
      </c>
      <c r="AN1226" s="36">
        <f ca="1">Tabela3[[#This Row],[Valor Mínimo Venda]]*1.15</f>
        <v>16.669353772472352</v>
      </c>
      <c r="AO1226" s="36">
        <f ca="1">Tabela3[[#This Row],[Tabela 1]]*1.08</f>
        <v>18.002902074270143</v>
      </c>
      <c r="AP1226" s="36">
        <f ca="1">Tabela3[[#This Row],[Tabela 2]]*1.15</f>
        <v>20.703337385410663</v>
      </c>
    </row>
    <row r="1227" spans="1:42">
      <c r="A1227" s="9">
        <v>46161</v>
      </c>
      <c r="B1227" s="9" t="s">
        <v>102</v>
      </c>
      <c r="C1227" s="14">
        <v>9732</v>
      </c>
      <c r="D1227" s="6" t="s">
        <v>44</v>
      </c>
      <c r="E1227" s="6" t="s">
        <v>47</v>
      </c>
      <c r="F1227" s="6">
        <v>2</v>
      </c>
      <c r="G1227" s="15">
        <v>3.4722222222222224E-2</v>
      </c>
      <c r="H1227" s="16">
        <v>0</v>
      </c>
      <c r="I1227" s="35">
        <f ca="1">IFERROR(Tabela3[[#This Row],[Custo Total]]/Tabela3[[#This Row],[Aluminio Util]],0)</f>
        <v>21.019087008033626</v>
      </c>
      <c r="J1227" s="35">
        <f ca="1">Tabela3[[#This Row],[Custo Total]]/Tabela3[[#This Row],[Realizado]]</f>
        <v>403.5664705542456</v>
      </c>
      <c r="K1227" s="37">
        <f>IFERROR(Tabela3[[#This Row],[Qtde Cx Produzida]]/Tabela3[[#This Row],[Tempo]]/24,0)</f>
        <v>2.4</v>
      </c>
      <c r="L1227" s="37">
        <f>Tabela3[[#This Row],[Qtde Cx Produzida]]*Tabela3[[#This Row],[Qdt Peça Placa]]</f>
        <v>2</v>
      </c>
      <c r="M1227" s="37">
        <f>Tabela3[[#This Row],[Previsto]]-Tabela3[[#This Row],[Perda Pçs]]</f>
        <v>2</v>
      </c>
      <c r="N1227" s="38">
        <f>IFERROR(Tabela3[[#This Row],[Perda Pçs]]/Tabela3[[#This Row],[Previsto]],0)</f>
        <v>0</v>
      </c>
      <c r="O1227" s="39">
        <f>IFERROR(IF(Tabela3[[#This Row],[Qtde Cx Produzida]] &lt;&gt; 0, Tabela3[[#This Row],[Tempo]] / Tabela3[[#This Row],[Qtde Cx Produzida]], 0),0)</f>
        <v>1.7361111111111112E-2</v>
      </c>
      <c r="P1227" s="57">
        <f>IFERROR(Tabela3[[#This Row],[Perda Pçs]]/Tabela3[[#This Row],[Qdt Peça Placa]],0)</f>
        <v>0</v>
      </c>
      <c r="Q1227" s="37">
        <f>IFERROR(Tabela3[[#This Row],[Realizado]]*Tabela3[[#This Row],[Peso Util/Pç]],0)</f>
        <v>38.4</v>
      </c>
      <c r="R1227" s="37">
        <f>IFERROR(Tabela3[[#This Row],[Peso Total Galho]]*Tabela3[[#This Row],[Qtde Cx Produzida]]*1.055,0)</f>
        <v>43.466000000000001</v>
      </c>
      <c r="S1227" s="37">
        <f>(Tabela3[[#This Row],[Aluminio Bruto]]-Tabela3[[#This Row],[Aluminio Util]])*0.9</f>
        <v>4.5594000000000028</v>
      </c>
      <c r="T1227" s="37">
        <f>Tabela3[[#This Row],[Aluminio Bruto]]/OleoKGAluminio</f>
        <v>18.286089999001948</v>
      </c>
      <c r="U1227" s="35">
        <f>IFERROR((VLOOKUP(Tabela3[[#This Row],[Moldador]],Tabela1[],5,)+(VLOOKUP(Tabela3[[#This Row],[Ajudante]],Tabela1[],5,))*3.5),0)</f>
        <v>99.95034583333333</v>
      </c>
      <c r="V1227" s="35">
        <f>IFERROR(Tabela3[[#This Row],[Custo M.O. / H]]/((Tabela3[[#This Row],[Realizado]]/Tabela3[[#This Row],[Qdt Peça Placa]])/Tabela3[[#This Row],[Tempo]]/24),)</f>
        <v>41.645977430555554</v>
      </c>
      <c r="W1227" s="35">
        <f>Tabela3[[#This Row],[Custo / Cx Moldada]]*Tabela3[[#This Row],[Qtde Cx Produzida]]</f>
        <v>83.291954861111108</v>
      </c>
      <c r="X1227" s="35">
        <f ca="1">Tabela3[[#This Row],[Aluminio Util]]*Tabela3[[#This Row],[Custo/Kg]]</f>
        <v>675.84</v>
      </c>
      <c r="Y1227" s="35">
        <f>IFERROR(VLOOKUP(Tabela3[[#This Row],[Data]],Tabela461213[],2,1)*(Tabela3[[#This Row],[Qtde Cx Produzida]]*Tabela3[[#This Row],[Qde macho / CX]]*Tabela3[[#This Row],[Peso Macho]]),)</f>
        <v>0</v>
      </c>
      <c r="Z1227" s="35">
        <f>IFERROR(Tabela3[[#This Row],[Qtde Oleo]]*(VLOOKUP(Tabela3[[#This Row],[Data]],CompraOleo[],3,TRUE))*1.05,0)</f>
        <v>48.000986247380112</v>
      </c>
      <c r="AA1227" s="47">
        <f ca="1">(Tabela3[[#This Row],[Custo Oleo]]+Tabela3[[#This Row],[Custo Aluminio]]+Tabela3[[#This Row],[Custo M.O. Total]]+Tabela3[[#This Row],[Custo Machos]])</f>
        <v>807.1329411084912</v>
      </c>
      <c r="AB1227" s="47">
        <f ca="1">Tabela3[[#This Row],[Custo Total]]*Tabela3[[#This Row],[% Perda]]</f>
        <v>0</v>
      </c>
      <c r="AC1227" s="40">
        <f>IFERROR(VLOOKUP(Tabela3[[#This Row],[Produto]],Tabela2[],2,0),0)</f>
        <v>1</v>
      </c>
      <c r="AD1227" s="48">
        <f>IFERROR(VLOOKUP(Tabela3[[#This Row],[Produto]],Tabela2[],3,0),0)</f>
        <v>19.2</v>
      </c>
      <c r="AE1227" s="48">
        <f>IFERROR(VLOOKUP(Tabela3[[#This Row],[Produto]],Tabela2[],4,0),0)</f>
        <v>20.6</v>
      </c>
      <c r="AF1227" s="48">
        <f>IFERROR(VLOOKUP(Tabela3[[#This Row],[Produto]],Tabela2[],5,0),0)</f>
        <v>1.260000000000002</v>
      </c>
      <c r="AG1227" s="48">
        <f>IFERROR(VLOOKUP(Tabela3[[#This Row],[Produto]],Tabela2[],6,0),0)</f>
        <v>0</v>
      </c>
      <c r="AH1227" s="40">
        <f>IFERROR(VLOOKUP(Tabela3[[#This Row],[Produto]],Tabela2[],7,0),0)</f>
        <v>0</v>
      </c>
      <c r="AI1227" s="40">
        <f>IFERROR(VLOOKUP(Tabela3[[#This Row],[Produto]],Tabela2[],8,0),0)</f>
        <v>0</v>
      </c>
      <c r="AJ1227" s="35">
        <f ca="1">IFERROR(VLOOKUP(Tabela3[[#This Row],[Produto]],Tabela2[],13,0),0)</f>
        <v>17.600000000000001</v>
      </c>
      <c r="AK1227" s="48" t="str">
        <f>IFERROR(VLOOKUP(Tabela3[[#This Row],[Produto]],Tabela2[],14,0),0)</f>
        <v>TRATOMAG</v>
      </c>
      <c r="AL1227" s="40">
        <f>IFERROR(VLOOKUP(Tabela3[[#This Row],[Produto]],Tabela2[],15,0),0)</f>
        <v>0</v>
      </c>
      <c r="AM1227" s="36">
        <f ca="1">(Tabela3[[#This Row],[Custo Usinagem]]+Tabela3[[#This Row],[Custo / Pç]])*1.2</f>
        <v>484.27976466509472</v>
      </c>
      <c r="AN1227" s="36">
        <f ca="1">Tabela3[[#This Row],[Valor Mínimo Venda]]*1.15</f>
        <v>556.92172936485883</v>
      </c>
      <c r="AO1227" s="36">
        <f ca="1">Tabela3[[#This Row],[Tabela 1]]*1.08</f>
        <v>601.47546771404757</v>
      </c>
      <c r="AP1227" s="36">
        <f ca="1">Tabela3[[#This Row],[Tabela 2]]*1.15</f>
        <v>691.6967878711547</v>
      </c>
    </row>
    <row r="1228" spans="1:42">
      <c r="A1228" s="9">
        <v>46162</v>
      </c>
      <c r="B1228" s="9" t="s">
        <v>245</v>
      </c>
      <c r="C1228" s="14">
        <v>9698</v>
      </c>
      <c r="D1228" s="6" t="s">
        <v>46</v>
      </c>
      <c r="E1228" s="6" t="s">
        <v>50</v>
      </c>
      <c r="F1228" s="6">
        <v>58</v>
      </c>
      <c r="G1228" s="15">
        <v>0.27152777777777776</v>
      </c>
      <c r="H1228" s="16">
        <v>32</v>
      </c>
      <c r="I1228" s="35">
        <f ca="1">IFERROR(Tabela3[[#This Row],[Custo Total]]/Tabela3[[#This Row],[Aluminio Util]],0)</f>
        <v>29.319557981916116</v>
      </c>
      <c r="J1228" s="35">
        <f ca="1">Tabela3[[#This Row],[Custo Total]]/Tabela3[[#This Row],[Realizado]]</f>
        <v>9.7340932499961514</v>
      </c>
      <c r="K1228" s="37">
        <f>IFERROR(Tabela3[[#This Row],[Qtde Cx Produzida]]/Tabela3[[#This Row],[Tempo]]/24,0)</f>
        <v>8.9002557544757028</v>
      </c>
      <c r="L1228" s="37">
        <f>Tabela3[[#This Row],[Qtde Cx Produzida]]*Tabela3[[#This Row],[Qdt Peça Placa]]</f>
        <v>232</v>
      </c>
      <c r="M1228" s="37">
        <f>Tabela3[[#This Row],[Previsto]]-Tabela3[[#This Row],[Perda Pçs]]</f>
        <v>200</v>
      </c>
      <c r="N1228" s="38">
        <f>IFERROR(Tabela3[[#This Row],[Perda Pçs]]/Tabela3[[#This Row],[Previsto]],0)</f>
        <v>0.13793103448275862</v>
      </c>
      <c r="O1228" s="39">
        <f>IFERROR(IF(Tabela3[[#This Row],[Qtde Cx Produzida]] &lt;&gt; 0, Tabela3[[#This Row],[Tempo]] / Tabela3[[#This Row],[Qtde Cx Produzida]], 0),0)</f>
        <v>4.6815134099616853E-3</v>
      </c>
      <c r="P1228" s="57">
        <f>IFERROR(Tabela3[[#This Row],[Perda Pçs]]/Tabela3[[#This Row],[Qdt Peça Placa]],0)</f>
        <v>8</v>
      </c>
      <c r="Q1228" s="37">
        <f>IFERROR(Tabela3[[#This Row],[Realizado]]*Tabela3[[#This Row],[Peso Util/Pç]],0)</f>
        <v>66.400000000000006</v>
      </c>
      <c r="R1228" s="37">
        <f>IFERROR(Tabela3[[#This Row],[Peso Total Galho]]*Tabela3[[#This Row],[Qtde Cx Produzida]]*1.055,0)</f>
        <v>140.73699999999997</v>
      </c>
      <c r="S1228" s="37">
        <f>(Tabela3[[#This Row],[Aluminio Bruto]]-Tabela3[[#This Row],[Aluminio Util]])*0.9</f>
        <v>66.903299999999973</v>
      </c>
      <c r="T1228" s="37">
        <f>Tabela3[[#This Row],[Aluminio Bruto]]/OleoKGAluminio</f>
        <v>59.20787392880726</v>
      </c>
      <c r="U1228" s="35">
        <f>IFERROR((VLOOKUP(Tabela3[[#This Row],[Moldador]],Tabela1[],5,)+(VLOOKUP(Tabela3[[#This Row],[Ajudante]],Tabela1[],5,))*3.5),0)</f>
        <v>99.95034583333333</v>
      </c>
      <c r="V1228" s="35">
        <f>IFERROR(Tabela3[[#This Row],[Custo M.O. / H]]/((Tabela3[[#This Row],[Realizado]]/Tabela3[[#This Row],[Qdt Peça Placa]])/Tabela3[[#This Row],[Tempo]]/24),)</f>
        <v>13.026861740277777</v>
      </c>
      <c r="W1228" s="35">
        <f>Tabela3[[#This Row],[Custo / Cx Moldada]]*Tabela3[[#This Row],[Qtde Cx Produzida]]</f>
        <v>755.55798093611111</v>
      </c>
      <c r="X1228" s="35">
        <f ca="1">Tabela3[[#This Row],[Aluminio Util]]*Tabela3[[#This Row],[Custo/Kg]]</f>
        <v>1035.8400000000001</v>
      </c>
      <c r="Y1228" s="35">
        <f>IFERROR(VLOOKUP(Tabela3[[#This Row],[Data]],Tabela461213[],2,1)*(Tabela3[[#This Row],[Qtde Cx Produzida]]*Tabela3[[#This Row],[Qde macho / CX]]*Tabela3[[#This Row],[Peso Macho]]),)</f>
        <v>0</v>
      </c>
      <c r="Z1228" s="35">
        <f>IFERROR(Tabela3[[#This Row],[Qtde Oleo]]*(VLOOKUP(Tabela3[[#This Row],[Data]],CompraOleo[],3,TRUE))*1.05,0)</f>
        <v>155.42066906311905</v>
      </c>
      <c r="AA1228" s="47">
        <f ca="1">(Tabela3[[#This Row],[Custo Oleo]]+Tabela3[[#This Row],[Custo Aluminio]]+Tabela3[[#This Row],[Custo M.O. Total]]+Tabela3[[#This Row],[Custo Machos]])</f>
        <v>1946.8186499992303</v>
      </c>
      <c r="AB1228" s="47">
        <f ca="1">Tabela3[[#This Row],[Custo Total]]*Tabela3[[#This Row],[% Perda]]</f>
        <v>268.52671034472144</v>
      </c>
      <c r="AC1228" s="40">
        <f>IFERROR(VLOOKUP(Tabela3[[#This Row],[Produto]],Tabela2[],2,0),0)</f>
        <v>4</v>
      </c>
      <c r="AD1228" s="48">
        <f>IFERROR(VLOOKUP(Tabela3[[#This Row],[Produto]],Tabela2[],3,0),0)</f>
        <v>0.33200000000000002</v>
      </c>
      <c r="AE1228" s="48">
        <f>IFERROR(VLOOKUP(Tabela3[[#This Row],[Produto]],Tabela2[],4,0),0)</f>
        <v>2.2999999999999998</v>
      </c>
      <c r="AF1228" s="48">
        <f>IFERROR(VLOOKUP(Tabela3[[#This Row],[Produto]],Tabela2[],5,0),0)</f>
        <v>0.8747999999999998</v>
      </c>
      <c r="AG1228" s="48">
        <f>IFERROR(VLOOKUP(Tabela3[[#This Row],[Produto]],Tabela2[],6,0),0)</f>
        <v>0</v>
      </c>
      <c r="AH1228" s="40">
        <f>IFERROR(VLOOKUP(Tabela3[[#This Row],[Produto]],Tabela2[],7,0),0)</f>
        <v>0</v>
      </c>
      <c r="AI1228" s="40">
        <f>IFERROR(VLOOKUP(Tabela3[[#This Row],[Produto]],Tabela2[],8,0),0)</f>
        <v>0</v>
      </c>
      <c r="AJ1228" s="35">
        <f ca="1">IFERROR(VLOOKUP(Tabela3[[#This Row],[Produto]],Tabela2[],13,0),0)</f>
        <v>15.600000000000001</v>
      </c>
      <c r="AK1228" s="48" t="str">
        <f>IFERROR(VLOOKUP(Tabela3[[#This Row],[Produto]],Tabela2[],14,0),0)</f>
        <v>Senun</v>
      </c>
      <c r="AL1228" s="40">
        <f>IFERROR(VLOOKUP(Tabela3[[#This Row],[Produto]],Tabela2[],15,0),0)</f>
        <v>3.5</v>
      </c>
      <c r="AM1228" s="36">
        <f ca="1">(Tabela3[[#This Row],[Custo Usinagem]]+Tabela3[[#This Row],[Custo / Pç]])*1.2</f>
        <v>15.880911899995381</v>
      </c>
      <c r="AN1228" s="36">
        <f ca="1">Tabela3[[#This Row],[Valor Mínimo Venda]]*1.15</f>
        <v>18.263048684994686</v>
      </c>
      <c r="AO1228" s="36">
        <f ca="1">Tabela3[[#This Row],[Tabela 1]]*1.08</f>
        <v>19.724092579794263</v>
      </c>
      <c r="AP1228" s="36">
        <f ca="1">Tabela3[[#This Row],[Tabela 2]]*1.15</f>
        <v>22.682706466763399</v>
      </c>
    </row>
    <row r="1229" spans="1:42">
      <c r="A1229" s="9">
        <v>46162</v>
      </c>
      <c r="B1229" s="9" t="s">
        <v>245</v>
      </c>
      <c r="C1229" s="14">
        <v>9698</v>
      </c>
      <c r="D1229" s="6" t="s">
        <v>46</v>
      </c>
      <c r="E1229" s="6" t="s">
        <v>44</v>
      </c>
      <c r="F1229" s="6">
        <v>23</v>
      </c>
      <c r="G1229" s="15">
        <v>9.7916666666666666E-2</v>
      </c>
      <c r="H1229" s="16">
        <v>0</v>
      </c>
      <c r="I1229" s="35">
        <f ca="1">IFERROR(Tabela3[[#This Row],[Custo Total]]/Tabela3[[#This Row],[Aluminio Util]],0)</f>
        <v>27.319303604100664</v>
      </c>
      <c r="J1229" s="35">
        <f ca="1">Tabela3[[#This Row],[Custo Total]]/Tabela3[[#This Row],[Realizado]]</f>
        <v>9.0700087965614209</v>
      </c>
      <c r="K1229" s="37">
        <f>IFERROR(Tabela3[[#This Row],[Qtde Cx Produzida]]/Tabela3[[#This Row],[Tempo]]/24,0)</f>
        <v>9.7872340425531927</v>
      </c>
      <c r="L1229" s="37">
        <f>Tabela3[[#This Row],[Qtde Cx Produzida]]*Tabela3[[#This Row],[Qdt Peça Placa]]</f>
        <v>92</v>
      </c>
      <c r="M1229" s="37">
        <f>Tabela3[[#This Row],[Previsto]]-Tabela3[[#This Row],[Perda Pçs]]</f>
        <v>92</v>
      </c>
      <c r="N1229" s="38">
        <f>IFERROR(Tabela3[[#This Row],[Perda Pçs]]/Tabela3[[#This Row],[Previsto]],0)</f>
        <v>0</v>
      </c>
      <c r="O1229" s="39">
        <f>IFERROR(IF(Tabela3[[#This Row],[Qtde Cx Produzida]] &lt;&gt; 0, Tabela3[[#This Row],[Tempo]] / Tabela3[[#This Row],[Qtde Cx Produzida]], 0),0)</f>
        <v>4.2572463768115942E-3</v>
      </c>
      <c r="P1229" s="57">
        <f>IFERROR(Tabela3[[#This Row],[Perda Pçs]]/Tabela3[[#This Row],[Qdt Peça Placa]],0)</f>
        <v>0</v>
      </c>
      <c r="Q1229" s="37">
        <f>IFERROR(Tabela3[[#This Row],[Realizado]]*Tabela3[[#This Row],[Peso Util/Pç]],0)</f>
        <v>30.544</v>
      </c>
      <c r="R1229" s="37">
        <f>IFERROR(Tabela3[[#This Row],[Peso Total Galho]]*Tabela3[[#This Row],[Qtde Cx Produzida]]*1.055,0)</f>
        <v>55.809499999999993</v>
      </c>
      <c r="S1229" s="37">
        <f>(Tabela3[[#This Row],[Aluminio Bruto]]-Tabela3[[#This Row],[Aluminio Util]])*0.9</f>
        <v>22.738949999999992</v>
      </c>
      <c r="T1229" s="37">
        <f>Tabela3[[#This Row],[Aluminio Bruto]]/OleoKGAluminio</f>
        <v>23.478984489009779</v>
      </c>
      <c r="U1229" s="35">
        <f>IFERROR((VLOOKUP(Tabela3[[#This Row],[Moldador]],Tabela1[],5,)+(VLOOKUP(Tabela3[[#This Row],[Ajudante]],Tabela1[],5,))*3.5),0)</f>
        <v>126.0945</v>
      </c>
      <c r="V1229" s="35">
        <f>IFERROR(Tabela3[[#This Row],[Custo M.O. / H]]/((Tabela3[[#This Row],[Realizado]]/Tabela3[[#This Row],[Qdt Peça Placa]])/Tabela3[[#This Row],[Tempo]]/24),)</f>
        <v>12.883568478260868</v>
      </c>
      <c r="W1229" s="35">
        <f>Tabela3[[#This Row],[Custo / Cx Moldada]]*Tabela3[[#This Row],[Qtde Cx Produzida]]</f>
        <v>296.32207499999998</v>
      </c>
      <c r="X1229" s="35">
        <f ca="1">Tabela3[[#This Row],[Aluminio Util]]*Tabela3[[#This Row],[Custo/Kg]]</f>
        <v>476.48640000000006</v>
      </c>
      <c r="Y1229" s="35">
        <f>IFERROR(VLOOKUP(Tabela3[[#This Row],[Data]],Tabela461213[],2,1)*(Tabela3[[#This Row],[Qtde Cx Produzida]]*Tabela3[[#This Row],[Qde macho / CX]]*Tabela3[[#This Row],[Peso Macho]]),)</f>
        <v>0</v>
      </c>
      <c r="Z1229" s="35">
        <f>IFERROR(Tabela3[[#This Row],[Qtde Oleo]]*(VLOOKUP(Tabela3[[#This Row],[Data]],CompraOleo[],3,TRUE))*1.05,0)</f>
        <v>61.632334283650671</v>
      </c>
      <c r="AA1229" s="47">
        <f ca="1">(Tabela3[[#This Row],[Custo Oleo]]+Tabela3[[#This Row],[Custo Aluminio]]+Tabela3[[#This Row],[Custo M.O. Total]]+Tabela3[[#This Row],[Custo Machos]])</f>
        <v>834.44080928365065</v>
      </c>
      <c r="AB1229" s="47">
        <f ca="1">Tabela3[[#This Row],[Custo Total]]*Tabela3[[#This Row],[% Perda]]</f>
        <v>0</v>
      </c>
      <c r="AC1229" s="40">
        <f>IFERROR(VLOOKUP(Tabela3[[#This Row],[Produto]],Tabela2[],2,0),0)</f>
        <v>4</v>
      </c>
      <c r="AD1229" s="48">
        <f>IFERROR(VLOOKUP(Tabela3[[#This Row],[Produto]],Tabela2[],3,0),0)</f>
        <v>0.33200000000000002</v>
      </c>
      <c r="AE1229" s="48">
        <f>IFERROR(VLOOKUP(Tabela3[[#This Row],[Produto]],Tabela2[],4,0),0)</f>
        <v>2.2999999999999998</v>
      </c>
      <c r="AF1229" s="48">
        <f>IFERROR(VLOOKUP(Tabela3[[#This Row],[Produto]],Tabela2[],5,0),0)</f>
        <v>0.8747999999999998</v>
      </c>
      <c r="AG1229" s="48">
        <f>IFERROR(VLOOKUP(Tabela3[[#This Row],[Produto]],Tabela2[],6,0),0)</f>
        <v>0</v>
      </c>
      <c r="AH1229" s="40">
        <f>IFERROR(VLOOKUP(Tabela3[[#This Row],[Produto]],Tabela2[],7,0),0)</f>
        <v>0</v>
      </c>
      <c r="AI1229" s="40">
        <f>IFERROR(VLOOKUP(Tabela3[[#This Row],[Produto]],Tabela2[],8,0),0)</f>
        <v>0</v>
      </c>
      <c r="AJ1229" s="35">
        <f ca="1">IFERROR(VLOOKUP(Tabela3[[#This Row],[Produto]],Tabela2[],13,0),0)</f>
        <v>15.600000000000001</v>
      </c>
      <c r="AK1229" s="48" t="str">
        <f>IFERROR(VLOOKUP(Tabela3[[#This Row],[Produto]],Tabela2[],14,0),0)</f>
        <v>Senun</v>
      </c>
      <c r="AL1229" s="40">
        <f>IFERROR(VLOOKUP(Tabela3[[#This Row],[Produto]],Tabela2[],15,0),0)</f>
        <v>3.5</v>
      </c>
      <c r="AM1229" s="36">
        <f ca="1">(Tabela3[[#This Row],[Custo Usinagem]]+Tabela3[[#This Row],[Custo / Pç]])*1.2</f>
        <v>15.084010555873704</v>
      </c>
      <c r="AN1229" s="36">
        <f ca="1">Tabela3[[#This Row],[Valor Mínimo Venda]]*1.15</f>
        <v>17.346612139254759</v>
      </c>
      <c r="AO1229" s="36">
        <f ca="1">Tabela3[[#This Row],[Tabela 1]]*1.08</f>
        <v>18.734341110395142</v>
      </c>
      <c r="AP1229" s="36">
        <f ca="1">Tabela3[[#This Row],[Tabela 2]]*1.15</f>
        <v>21.544492276954411</v>
      </c>
    </row>
    <row r="1230" spans="1:42">
      <c r="A1230" s="9">
        <v>46162</v>
      </c>
      <c r="B1230" s="9" t="s">
        <v>245</v>
      </c>
      <c r="C1230" s="14">
        <v>9698</v>
      </c>
      <c r="D1230" s="6" t="s">
        <v>44</v>
      </c>
      <c r="E1230" s="6" t="s">
        <v>47</v>
      </c>
      <c r="F1230" s="6">
        <v>18</v>
      </c>
      <c r="G1230" s="15">
        <v>8.1250000000000003E-2</v>
      </c>
      <c r="H1230" s="16">
        <v>0</v>
      </c>
      <c r="I1230" s="35">
        <f ca="1">IFERROR(Tabela3[[#This Row],[Custo Total]]/Tabela3[[#This Row],[Aluminio Util]],0)</f>
        <v>25.771401234886486</v>
      </c>
      <c r="J1230" s="35">
        <f ca="1">Tabela3[[#This Row],[Custo Total]]/Tabela3[[#This Row],[Realizado]]</f>
        <v>8.5561052099823129</v>
      </c>
      <c r="K1230" s="37">
        <f>IFERROR(Tabela3[[#This Row],[Qtde Cx Produzida]]/Tabela3[[#This Row],[Tempo]]/24,0)</f>
        <v>9.2307692307692299</v>
      </c>
      <c r="L1230" s="37">
        <f>Tabela3[[#This Row],[Qtde Cx Produzida]]*Tabela3[[#This Row],[Qdt Peça Placa]]</f>
        <v>72</v>
      </c>
      <c r="M1230" s="37">
        <f>Tabela3[[#This Row],[Previsto]]-Tabela3[[#This Row],[Perda Pçs]]</f>
        <v>72</v>
      </c>
      <c r="N1230" s="38">
        <f>IFERROR(Tabela3[[#This Row],[Perda Pçs]]/Tabela3[[#This Row],[Previsto]],0)</f>
        <v>0</v>
      </c>
      <c r="O1230" s="39">
        <f>IFERROR(IF(Tabela3[[#This Row],[Qtde Cx Produzida]] &lt;&gt; 0, Tabela3[[#This Row],[Tempo]] / Tabela3[[#This Row],[Qtde Cx Produzida]], 0),0)</f>
        <v>4.5138888888888893E-3</v>
      </c>
      <c r="P1230" s="57">
        <f>IFERROR(Tabela3[[#This Row],[Perda Pçs]]/Tabela3[[#This Row],[Qdt Peça Placa]],0)</f>
        <v>0</v>
      </c>
      <c r="Q1230" s="37">
        <f>IFERROR(Tabela3[[#This Row],[Realizado]]*Tabela3[[#This Row],[Peso Util/Pç]],0)</f>
        <v>23.904</v>
      </c>
      <c r="R1230" s="37">
        <f>IFERROR(Tabela3[[#This Row],[Peso Total Galho]]*Tabela3[[#This Row],[Qtde Cx Produzida]]*1.055,0)</f>
        <v>43.676999999999992</v>
      </c>
      <c r="S1230" s="37">
        <f>(Tabela3[[#This Row],[Aluminio Bruto]]-Tabela3[[#This Row],[Aluminio Util]])*0.9</f>
        <v>17.795699999999993</v>
      </c>
      <c r="T1230" s="37">
        <f>Tabela3[[#This Row],[Aluminio Bruto]]/OleoKGAluminio</f>
        <v>18.374857426181563</v>
      </c>
      <c r="U1230" s="35">
        <f>IFERROR((VLOOKUP(Tabela3[[#This Row],[Moldador]],Tabela1[],5,)+(VLOOKUP(Tabela3[[#This Row],[Ajudante]],Tabela1[],5,))*3.5),0)</f>
        <v>99.95034583333333</v>
      </c>
      <c r="V1230" s="35">
        <f>IFERROR(Tabela3[[#This Row],[Custo M.O. / H]]/((Tabela3[[#This Row],[Realizado]]/Tabela3[[#This Row],[Qdt Peça Placa]])/Tabela3[[#This Row],[Tempo]]/24),)</f>
        <v>10.827954131944445</v>
      </c>
      <c r="W1230" s="35">
        <f>Tabela3[[#This Row],[Custo / Cx Moldada]]*Tabela3[[#This Row],[Qtde Cx Produzida]]</f>
        <v>194.90317437499999</v>
      </c>
      <c r="X1230" s="35">
        <f ca="1">Tabela3[[#This Row],[Aluminio Util]]*Tabela3[[#This Row],[Custo/Kg]]</f>
        <v>372.90240000000006</v>
      </c>
      <c r="Y1230" s="35">
        <f>IFERROR(VLOOKUP(Tabela3[[#This Row],[Data]],Tabela461213[],2,1)*(Tabela3[[#This Row],[Qtde Cx Produzida]]*Tabela3[[#This Row],[Qde macho / CX]]*Tabela3[[#This Row],[Peso Macho]]),)</f>
        <v>0</v>
      </c>
      <c r="Z1230" s="35">
        <f>IFERROR(Tabela3[[#This Row],[Qtde Oleo]]*(VLOOKUP(Tabela3[[#This Row],[Data]],CompraOleo[],3,TRUE))*1.05,0)</f>
        <v>48.234000743726604</v>
      </c>
      <c r="AA1230" s="47">
        <f ca="1">(Tabela3[[#This Row],[Custo Oleo]]+Tabela3[[#This Row],[Custo Aluminio]]+Tabela3[[#This Row],[Custo M.O. Total]]+Tabela3[[#This Row],[Custo Machos]])</f>
        <v>616.03957511872659</v>
      </c>
      <c r="AB1230" s="47">
        <f ca="1">Tabela3[[#This Row],[Custo Total]]*Tabela3[[#This Row],[% Perda]]</f>
        <v>0</v>
      </c>
      <c r="AC1230" s="40">
        <f>IFERROR(VLOOKUP(Tabela3[[#This Row],[Produto]],Tabela2[],2,0),0)</f>
        <v>4</v>
      </c>
      <c r="AD1230" s="48">
        <f>IFERROR(VLOOKUP(Tabela3[[#This Row],[Produto]],Tabela2[],3,0),0)</f>
        <v>0.33200000000000002</v>
      </c>
      <c r="AE1230" s="48">
        <f>IFERROR(VLOOKUP(Tabela3[[#This Row],[Produto]],Tabela2[],4,0),0)</f>
        <v>2.2999999999999998</v>
      </c>
      <c r="AF1230" s="48">
        <f>IFERROR(VLOOKUP(Tabela3[[#This Row],[Produto]],Tabela2[],5,0),0)</f>
        <v>0.8747999999999998</v>
      </c>
      <c r="AG1230" s="48">
        <f>IFERROR(VLOOKUP(Tabela3[[#This Row],[Produto]],Tabela2[],6,0),0)</f>
        <v>0</v>
      </c>
      <c r="AH1230" s="40">
        <f>IFERROR(VLOOKUP(Tabela3[[#This Row],[Produto]],Tabela2[],7,0),0)</f>
        <v>0</v>
      </c>
      <c r="AI1230" s="40">
        <f>IFERROR(VLOOKUP(Tabela3[[#This Row],[Produto]],Tabela2[],8,0),0)</f>
        <v>0</v>
      </c>
      <c r="AJ1230" s="35">
        <f ca="1">IFERROR(VLOOKUP(Tabela3[[#This Row],[Produto]],Tabela2[],13,0),0)</f>
        <v>15.600000000000001</v>
      </c>
      <c r="AK1230" s="48" t="str">
        <f>IFERROR(VLOOKUP(Tabela3[[#This Row],[Produto]],Tabela2[],14,0),0)</f>
        <v>Senun</v>
      </c>
      <c r="AL1230" s="40">
        <f>IFERROR(VLOOKUP(Tabela3[[#This Row],[Produto]],Tabela2[],15,0),0)</f>
        <v>3.5</v>
      </c>
      <c r="AM1230" s="36">
        <f ca="1">(Tabela3[[#This Row],[Custo Usinagem]]+Tabela3[[#This Row],[Custo / Pç]])*1.2</f>
        <v>14.467326251978776</v>
      </c>
      <c r="AN1230" s="36">
        <f ca="1">Tabela3[[#This Row],[Valor Mínimo Venda]]*1.15</f>
        <v>16.637425189775591</v>
      </c>
      <c r="AO1230" s="36">
        <f ca="1">Tabela3[[#This Row],[Tabela 1]]*1.08</f>
        <v>17.968419204957641</v>
      </c>
      <c r="AP1230" s="36">
        <f ca="1">Tabela3[[#This Row],[Tabela 2]]*1.15</f>
        <v>20.663682085701286</v>
      </c>
    </row>
    <row r="1231" spans="1:42">
      <c r="A1231" s="9">
        <v>46162</v>
      </c>
      <c r="B1231" s="9" t="s">
        <v>96</v>
      </c>
      <c r="C1231" s="14">
        <v>9675</v>
      </c>
      <c r="D1231" s="6" t="s">
        <v>44</v>
      </c>
      <c r="E1231" s="6" t="s">
        <v>47</v>
      </c>
      <c r="F1231" s="6">
        <v>20</v>
      </c>
      <c r="G1231" s="15">
        <v>0.10833333333333334</v>
      </c>
      <c r="H1231" s="16">
        <v>1</v>
      </c>
      <c r="I1231" s="35">
        <f ca="1">IFERROR(Tabela3[[#This Row],[Custo Total]]/Tabela3[[#This Row],[Aluminio Util]],0)</f>
        <v>30.982926074924197</v>
      </c>
      <c r="J1231" s="35">
        <f ca="1">Tabela3[[#This Row],[Custo Total]]/Tabela3[[#This Row],[Realizado]]</f>
        <v>27.38890665023299</v>
      </c>
      <c r="K1231" s="37">
        <f>IFERROR(Tabela3[[#This Row],[Qtde Cx Produzida]]/Tabela3[[#This Row],[Tempo]]/24,0)</f>
        <v>7.6923076923076925</v>
      </c>
      <c r="L1231" s="37">
        <f>Tabela3[[#This Row],[Qtde Cx Produzida]]*Tabela3[[#This Row],[Qdt Peça Placa]]</f>
        <v>60</v>
      </c>
      <c r="M1231" s="37">
        <f>Tabela3[[#This Row],[Previsto]]-Tabela3[[#This Row],[Perda Pçs]]</f>
        <v>59</v>
      </c>
      <c r="N1231" s="38">
        <f>IFERROR(Tabela3[[#This Row],[Perda Pçs]]/Tabela3[[#This Row],[Previsto]],0)</f>
        <v>1.6666666666666666E-2</v>
      </c>
      <c r="O1231" s="39">
        <f>IFERROR(IF(Tabela3[[#This Row],[Qtde Cx Produzida]] &lt;&gt; 0, Tabela3[[#This Row],[Tempo]] / Tabela3[[#This Row],[Qtde Cx Produzida]], 0),0)</f>
        <v>5.4166666666666669E-3</v>
      </c>
      <c r="P1231" s="57">
        <f>IFERROR(Tabela3[[#This Row],[Perda Pçs]]/Tabela3[[#This Row],[Qdt Peça Placa]],0)</f>
        <v>0.33333333333333331</v>
      </c>
      <c r="Q1231" s="37">
        <f>IFERROR(Tabela3[[#This Row],[Realizado]]*Tabela3[[#This Row],[Peso Util/Pç]],0)</f>
        <v>52.155999999999999</v>
      </c>
      <c r="R1231" s="37">
        <f>IFERROR(Tabela3[[#This Row],[Peso Total Galho]]*Tabela3[[#This Row],[Qtde Cx Produzida]]*1.055,0)</f>
        <v>99.001199999999997</v>
      </c>
      <c r="S1231" s="37">
        <f>(Tabela3[[#This Row],[Aluminio Bruto]]-Tabela3[[#This Row],[Aluminio Util]])*0.9</f>
        <v>42.160679999999999</v>
      </c>
      <c r="T1231" s="37">
        <f>Tabela3[[#This Row],[Aluminio Bruto]]/OleoKGAluminio</f>
        <v>41.649676832678217</v>
      </c>
      <c r="U1231" s="35">
        <f>IFERROR((VLOOKUP(Tabela3[[#This Row],[Moldador]],Tabela1[],5,)+(VLOOKUP(Tabela3[[#This Row],[Ajudante]],Tabela1[],5,))*3.5),0)</f>
        <v>99.95034583333333</v>
      </c>
      <c r="V1231" s="35">
        <f>IFERROR(Tabela3[[#This Row],[Custo M.O. / H]]/((Tabela3[[#This Row],[Realizado]]/Tabela3[[#This Row],[Qdt Peça Placa]])/Tabela3[[#This Row],[Tempo]]/24),)</f>
        <v>13.213774533898304</v>
      </c>
      <c r="W1231" s="35">
        <f>Tabela3[[#This Row],[Custo / Cx Moldada]]*Tabela3[[#This Row],[Qtde Cx Produzida]]</f>
        <v>264.2754906779661</v>
      </c>
      <c r="X1231" s="35">
        <f ca="1">Tabela3[[#This Row],[Aluminio Util]]*Tabela3[[#This Row],[Custo/Kg]]</f>
        <v>813.6336</v>
      </c>
      <c r="Y1231" s="35">
        <f>IFERROR(VLOOKUP(Tabela3[[#This Row],[Data]],Tabela461213[],2,1)*(Tabela3[[#This Row],[Qtde Cx Produzida]]*Tabela3[[#This Row],[Qde macho / CX]]*Tabela3[[#This Row],[Peso Macho]]),)</f>
        <v>428.70600000000002</v>
      </c>
      <c r="Z1231" s="35">
        <f>IFERROR(Tabela3[[#This Row],[Qtde Oleo]]*(VLOOKUP(Tabela3[[#This Row],[Data]],CompraOleo[],3,TRUE))*1.05,0)</f>
        <v>109.33040168578032</v>
      </c>
      <c r="AA1231" s="47">
        <f ca="1">(Tabela3[[#This Row],[Custo Oleo]]+Tabela3[[#This Row],[Custo Aluminio]]+Tabela3[[#This Row],[Custo M.O. Total]]+Tabela3[[#This Row],[Custo Machos]])</f>
        <v>1615.9454923637463</v>
      </c>
      <c r="AB1231" s="47">
        <f ca="1">Tabela3[[#This Row],[Custo Total]]*Tabela3[[#This Row],[% Perda]]</f>
        <v>26.932424872729104</v>
      </c>
      <c r="AC1231" s="40">
        <f>IFERROR(VLOOKUP(Tabela3[[#This Row],[Produto]],Tabela2[],2,0),0)</f>
        <v>3</v>
      </c>
      <c r="AD1231" s="48">
        <f>IFERROR(VLOOKUP(Tabela3[[#This Row],[Produto]],Tabela2[],3,0),0)</f>
        <v>0.88400000000000001</v>
      </c>
      <c r="AE1231" s="48">
        <f>IFERROR(VLOOKUP(Tabela3[[#This Row],[Produto]],Tabela2[],4,0),0)</f>
        <v>4.6920000000000002</v>
      </c>
      <c r="AF1231" s="48">
        <f>IFERROR(VLOOKUP(Tabela3[[#This Row],[Produto]],Tabela2[],5,0),0)</f>
        <v>1.8360000000000001</v>
      </c>
      <c r="AG1231" s="48">
        <f>IFERROR(VLOOKUP(Tabela3[[#This Row],[Produto]],Tabela2[],6,0),0)</f>
        <v>0</v>
      </c>
      <c r="AH1231" s="40">
        <f>IFERROR(VLOOKUP(Tabela3[[#This Row],[Produto]],Tabela2[],7,0),0)</f>
        <v>9</v>
      </c>
      <c r="AI1231" s="40">
        <f>IFERROR(VLOOKUP(Tabela3[[#This Row],[Produto]],Tabela2[],8,0),0)</f>
        <v>1.401</v>
      </c>
      <c r="AJ1231" s="35">
        <f ca="1">IFERROR(VLOOKUP(Tabela3[[#This Row],[Produto]],Tabela2[],13,0),0)</f>
        <v>15.600000000000001</v>
      </c>
      <c r="AK1231" s="48" t="str">
        <f>IFERROR(VLOOKUP(Tabela3[[#This Row],[Produto]],Tabela2[],14,0),0)</f>
        <v>Jumil</v>
      </c>
      <c r="AL1231" s="40">
        <f>IFERROR(VLOOKUP(Tabela3[[#This Row],[Produto]],Tabela2[],15,0),0)</f>
        <v>10</v>
      </c>
      <c r="AM1231" s="36">
        <f ca="1">(Tabela3[[#This Row],[Custo Usinagem]]+Tabela3[[#This Row],[Custo / Pç]])*1.2</f>
        <v>44.866687980279586</v>
      </c>
      <c r="AN1231" s="36">
        <f ca="1">Tabela3[[#This Row],[Valor Mínimo Venda]]*1.15</f>
        <v>51.596691177321517</v>
      </c>
      <c r="AO1231" s="36">
        <f ca="1">Tabela3[[#This Row],[Tabela 1]]*1.08</f>
        <v>55.724426471507243</v>
      </c>
      <c r="AP1231" s="36">
        <f ca="1">Tabela3[[#This Row],[Tabela 2]]*1.15</f>
        <v>64.083090442233328</v>
      </c>
    </row>
    <row r="1232" spans="1:42">
      <c r="A1232" s="9">
        <v>46162</v>
      </c>
      <c r="B1232" s="9" t="s">
        <v>265</v>
      </c>
      <c r="C1232" s="14">
        <v>9730</v>
      </c>
      <c r="D1232" s="6" t="s">
        <v>44</v>
      </c>
      <c r="E1232" s="6" t="s">
        <v>47</v>
      </c>
      <c r="F1232" s="6">
        <v>10</v>
      </c>
      <c r="G1232" s="15">
        <v>5.347222222222222E-2</v>
      </c>
      <c r="H1232" s="16">
        <v>0</v>
      </c>
      <c r="I1232" s="35">
        <f ca="1">IFERROR(Tabela3[[#This Row],[Custo Total]]/Tabela3[[#This Row],[Aluminio Util]],0)</f>
        <v>26.9956804407582</v>
      </c>
      <c r="J1232" s="35">
        <f ca="1">Tabela3[[#This Row],[Custo Total]]/Tabela3[[#This Row],[Realizado]]</f>
        <v>45.892656749288939</v>
      </c>
      <c r="K1232" s="37">
        <f>IFERROR(Tabela3[[#This Row],[Qtde Cx Produzida]]/Tabela3[[#This Row],[Tempo]]/24,0)</f>
        <v>7.792207792207793</v>
      </c>
      <c r="L1232" s="37">
        <f>Tabela3[[#This Row],[Qtde Cx Produzida]]*Tabela3[[#This Row],[Qdt Peça Placa]]</f>
        <v>10</v>
      </c>
      <c r="M1232" s="37">
        <f>Tabela3[[#This Row],[Previsto]]-Tabela3[[#This Row],[Perda Pçs]]</f>
        <v>10</v>
      </c>
      <c r="N1232" s="38">
        <f>IFERROR(Tabela3[[#This Row],[Perda Pçs]]/Tabela3[[#This Row],[Previsto]],0)</f>
        <v>0</v>
      </c>
      <c r="O1232" s="39">
        <f>IFERROR(IF(Tabela3[[#This Row],[Qtde Cx Produzida]] &lt;&gt; 0, Tabela3[[#This Row],[Tempo]] / Tabela3[[#This Row],[Qtde Cx Produzida]], 0),0)</f>
        <v>5.347222222222222E-3</v>
      </c>
      <c r="P1232" s="57">
        <f>IFERROR(Tabela3[[#This Row],[Perda Pçs]]/Tabela3[[#This Row],[Qdt Peça Placa]],0)</f>
        <v>0</v>
      </c>
      <c r="Q1232" s="37">
        <f>IFERROR(Tabela3[[#This Row],[Realizado]]*Tabela3[[#This Row],[Peso Util/Pç]],0)</f>
        <v>17</v>
      </c>
      <c r="R1232" s="37">
        <f>IFERROR(Tabela3[[#This Row],[Peso Total Galho]]*Tabela3[[#This Row],[Qtde Cx Produzida]]*1.055,0)</f>
        <v>28.484999999999999</v>
      </c>
      <c r="S1232" s="37">
        <f>(Tabela3[[#This Row],[Aluminio Bruto]]-Tabela3[[#This Row],[Aluminio Util]])*0.9</f>
        <v>10.336499999999999</v>
      </c>
      <c r="T1232" s="37">
        <f>Tabela3[[#This Row],[Aluminio Bruto]]/OleoKGAluminio</f>
        <v>11.983602669248848</v>
      </c>
      <c r="U1232" s="35">
        <f>IFERROR((VLOOKUP(Tabela3[[#This Row],[Moldador]],Tabela1[],5,)+(VLOOKUP(Tabela3[[#This Row],[Ajudante]],Tabela1[],5,))*3.5),0)</f>
        <v>99.95034583333333</v>
      </c>
      <c r="V1232" s="35">
        <f>IFERROR(Tabela3[[#This Row],[Custo M.O. / H]]/((Tabela3[[#This Row],[Realizado]]/Tabela3[[#This Row],[Qdt Peça Placa]])/Tabela3[[#This Row],[Tempo]]/24),)</f>
        <v>12.826961048611109</v>
      </c>
      <c r="W1232" s="35">
        <f>Tabela3[[#This Row],[Custo / Cx Moldada]]*Tabela3[[#This Row],[Qtde Cx Produzida]]</f>
        <v>128.26961048611108</v>
      </c>
      <c r="X1232" s="35">
        <f ca="1">Tabela3[[#This Row],[Aluminio Util]]*Tabela3[[#This Row],[Custo/Kg]]</f>
        <v>299.20000000000005</v>
      </c>
      <c r="Y1232" s="35">
        <f>IFERROR(VLOOKUP(Tabela3[[#This Row],[Data]],Tabela461213[],2,1)*(Tabela3[[#This Row],[Qtde Cx Produzida]]*Tabela3[[#This Row],[Qde macho / CX]]*Tabela3[[#This Row],[Peso Macho]]),)</f>
        <v>0</v>
      </c>
      <c r="Z1232" s="35">
        <f>IFERROR(Tabela3[[#This Row],[Qtde Oleo]]*(VLOOKUP(Tabela3[[#This Row],[Data]],CompraOleo[],3,TRUE))*1.05,0)</f>
        <v>31.456957006778225</v>
      </c>
      <c r="AA1232" s="47">
        <f ca="1">(Tabela3[[#This Row],[Custo Oleo]]+Tabela3[[#This Row],[Custo Aluminio]]+Tabela3[[#This Row],[Custo M.O. Total]]+Tabela3[[#This Row],[Custo Machos]])</f>
        <v>458.92656749288938</v>
      </c>
      <c r="AB1232" s="47">
        <f ca="1">Tabela3[[#This Row],[Custo Total]]*Tabela3[[#This Row],[% Perda]]</f>
        <v>0</v>
      </c>
      <c r="AC1232" s="40">
        <f>IFERROR(VLOOKUP(Tabela3[[#This Row],[Produto]],Tabela2[],2,0),0)</f>
        <v>1</v>
      </c>
      <c r="AD1232" s="48">
        <f>IFERROR(VLOOKUP(Tabela3[[#This Row],[Produto]],Tabela2[],3,0),0)</f>
        <v>1.7</v>
      </c>
      <c r="AE1232" s="48">
        <f>IFERROR(VLOOKUP(Tabela3[[#This Row],[Produto]],Tabela2[],4,0),0)</f>
        <v>2.7</v>
      </c>
      <c r="AF1232" s="48">
        <f>IFERROR(VLOOKUP(Tabela3[[#This Row],[Produto]],Tabela2[],5,0),0)</f>
        <v>0.90000000000000024</v>
      </c>
      <c r="AG1232" s="48">
        <f>IFERROR(VLOOKUP(Tabela3[[#This Row],[Produto]],Tabela2[],6,0),0)</f>
        <v>0</v>
      </c>
      <c r="AH1232" s="40">
        <f>IFERROR(VLOOKUP(Tabela3[[#This Row],[Produto]],Tabela2[],7,0),0)</f>
        <v>0</v>
      </c>
      <c r="AI1232" s="40">
        <f>IFERROR(VLOOKUP(Tabela3[[#This Row],[Produto]],Tabela2[],8,0),0)</f>
        <v>0</v>
      </c>
      <c r="AJ1232" s="35">
        <f ca="1">IFERROR(VLOOKUP(Tabela3[[#This Row],[Produto]],Tabela2[],13,0),0)</f>
        <v>17.600000000000001</v>
      </c>
      <c r="AK1232" s="48" t="str">
        <f>IFERROR(VLOOKUP(Tabela3[[#This Row],[Produto]],Tabela2[],14,0),0)</f>
        <v>Jumil</v>
      </c>
      <c r="AL1232" s="40">
        <f>IFERROR(VLOOKUP(Tabela3[[#This Row],[Produto]],Tabela2[],15,0),0)</f>
        <v>80</v>
      </c>
      <c r="AM1232" s="36">
        <f ca="1">(Tabela3[[#This Row],[Custo Usinagem]]+Tabela3[[#This Row],[Custo / Pç]])*1.2</f>
        <v>151.07118809914672</v>
      </c>
      <c r="AN1232" s="36">
        <f ca="1">Tabela3[[#This Row],[Valor Mínimo Venda]]*1.15</f>
        <v>173.73186631401873</v>
      </c>
      <c r="AO1232" s="36">
        <f ca="1">Tabela3[[#This Row],[Tabela 1]]*1.08</f>
        <v>187.63041561914025</v>
      </c>
      <c r="AP1232" s="36">
        <f ca="1">Tabela3[[#This Row],[Tabela 2]]*1.15</f>
        <v>215.77497796201126</v>
      </c>
    </row>
    <row r="1233" spans="1:42">
      <c r="A1233" s="9">
        <v>46163</v>
      </c>
      <c r="B1233" s="9" t="s">
        <v>246</v>
      </c>
      <c r="C1233" s="14">
        <v>9726</v>
      </c>
      <c r="D1233" s="6" t="s">
        <v>46</v>
      </c>
      <c r="E1233" s="6" t="s">
        <v>50</v>
      </c>
      <c r="F1233" s="6">
        <v>20</v>
      </c>
      <c r="G1233" s="15">
        <v>0.11041666666666666</v>
      </c>
      <c r="H1233" s="16">
        <v>0</v>
      </c>
      <c r="I1233" s="35">
        <f ca="1">IFERROR(Tabela3[[#This Row],[Custo Total]]/Tabela3[[#This Row],[Aluminio Util]],0)</f>
        <v>23.615084433693248</v>
      </c>
      <c r="J1233" s="35">
        <f ca="1">Tabela3[[#This Row],[Custo Total]]/Tabela3[[#This Row],[Realizado]]</f>
        <v>12.586840003158501</v>
      </c>
      <c r="K1233" s="37">
        <f>IFERROR(Tabela3[[#This Row],[Qtde Cx Produzida]]/Tabela3[[#This Row],[Tempo]]/24,0)</f>
        <v>7.5471698113207557</v>
      </c>
      <c r="L1233" s="37">
        <f>Tabela3[[#This Row],[Qtde Cx Produzida]]*Tabela3[[#This Row],[Qdt Peça Placa]]</f>
        <v>80</v>
      </c>
      <c r="M1233" s="37">
        <f>Tabela3[[#This Row],[Previsto]]-Tabela3[[#This Row],[Perda Pçs]]</f>
        <v>80</v>
      </c>
      <c r="N1233" s="38">
        <f>IFERROR(Tabela3[[#This Row],[Perda Pçs]]/Tabela3[[#This Row],[Previsto]],0)</f>
        <v>0</v>
      </c>
      <c r="O1233" s="39">
        <f>IFERROR(IF(Tabela3[[#This Row],[Qtde Cx Produzida]] &lt;&gt; 0, Tabela3[[#This Row],[Tempo]] / Tabela3[[#This Row],[Qtde Cx Produzida]], 0),0)</f>
        <v>5.5208333333333333E-3</v>
      </c>
      <c r="P1233" s="57">
        <f>IFERROR(Tabela3[[#This Row],[Perda Pçs]]/Tabela3[[#This Row],[Qdt Peça Placa]],0)</f>
        <v>0</v>
      </c>
      <c r="Q1233" s="37">
        <f>IFERROR(Tabela3[[#This Row],[Realizado]]*Tabela3[[#This Row],[Peso Util/Pç]],0)</f>
        <v>42.64</v>
      </c>
      <c r="R1233" s="37">
        <f>IFERROR(Tabela3[[#This Row],[Peso Total Galho]]*Tabela3[[#This Row],[Qtde Cx Produzida]]*1.055,0)</f>
        <v>69.63</v>
      </c>
      <c r="S1233" s="37">
        <f>(Tabela3[[#This Row],[Aluminio Bruto]]-Tabela3[[#This Row],[Aluminio Util]])*0.9</f>
        <v>24.290999999999997</v>
      </c>
      <c r="T1233" s="37">
        <f>Tabela3[[#This Row],[Aluminio Bruto]]/OleoKGAluminio</f>
        <v>29.293250969274961</v>
      </c>
      <c r="U1233" s="35">
        <f>IFERROR((VLOOKUP(Tabela3[[#This Row],[Moldador]],Tabela1[],5,)+(VLOOKUP(Tabela3[[#This Row],[Ajudante]],Tabela1[],5,))*3.5),0)</f>
        <v>99.95034583333333</v>
      </c>
      <c r="V1233" s="35">
        <f>IFERROR(Tabela3[[#This Row],[Custo M.O. / H]]/((Tabela3[[#This Row],[Realizado]]/Tabela3[[#This Row],[Qdt Peça Placa]])/Tabela3[[#This Row],[Tempo]]/24),)</f>
        <v>13.243420822916665</v>
      </c>
      <c r="W1233" s="35">
        <f>Tabela3[[#This Row],[Custo / Cx Moldada]]*Tabela3[[#This Row],[Qtde Cx Produzida]]</f>
        <v>264.86841645833329</v>
      </c>
      <c r="X1233" s="35">
        <f ca="1">Tabela3[[#This Row],[Aluminio Util]]*Tabela3[[#This Row],[Custo/Kg]]</f>
        <v>665.18400000000008</v>
      </c>
      <c r="Y1233" s="35">
        <f>IFERROR(VLOOKUP(Tabela3[[#This Row],[Data]],Tabela461213[],2,1)*(Tabela3[[#This Row],[Qtde Cx Produzida]]*Tabela3[[#This Row],[Qde macho / CX]]*Tabela3[[#This Row],[Peso Macho]]),)</f>
        <v>0</v>
      </c>
      <c r="Z1233" s="35">
        <f>IFERROR(Tabela3[[#This Row],[Qtde Oleo]]*(VLOOKUP(Tabela3[[#This Row],[Data]],CompraOleo[],3,TRUE))*1.05,0)</f>
        <v>76.894783794346765</v>
      </c>
      <c r="AA1233" s="47">
        <f ca="1">(Tabela3[[#This Row],[Custo Oleo]]+Tabela3[[#This Row],[Custo Aluminio]]+Tabela3[[#This Row],[Custo M.O. Total]]+Tabela3[[#This Row],[Custo Machos]])</f>
        <v>1006.9472002526801</v>
      </c>
      <c r="AB1233" s="47">
        <f ca="1">Tabela3[[#This Row],[Custo Total]]*Tabela3[[#This Row],[% Perda]]</f>
        <v>0</v>
      </c>
      <c r="AC1233" s="40">
        <f>IFERROR(VLOOKUP(Tabela3[[#This Row],[Produto]],Tabela2[],2,0),0)</f>
        <v>4</v>
      </c>
      <c r="AD1233" s="48">
        <f>IFERROR(VLOOKUP(Tabela3[[#This Row],[Produto]],Tabela2[],3,0),0)</f>
        <v>0.53300000000000003</v>
      </c>
      <c r="AE1233" s="48">
        <f>IFERROR(VLOOKUP(Tabela3[[#This Row],[Produto]],Tabela2[],4,0),0)</f>
        <v>3.3</v>
      </c>
      <c r="AF1233" s="48">
        <f>IFERROR(VLOOKUP(Tabela3[[#This Row],[Produto]],Tabela2[],5,0),0)</f>
        <v>1.0511999999999997</v>
      </c>
      <c r="AG1233" s="48">
        <f>IFERROR(VLOOKUP(Tabela3[[#This Row],[Produto]],Tabela2[],6,0),0)</f>
        <v>0</v>
      </c>
      <c r="AH1233" s="40">
        <f>IFERROR(VLOOKUP(Tabela3[[#This Row],[Produto]],Tabela2[],7,0),0)</f>
        <v>0</v>
      </c>
      <c r="AI1233" s="40">
        <f>IFERROR(VLOOKUP(Tabela3[[#This Row],[Produto]],Tabela2[],8,0),0)</f>
        <v>0</v>
      </c>
      <c r="AJ1233" s="35">
        <f ca="1">IFERROR(VLOOKUP(Tabela3[[#This Row],[Produto]],Tabela2[],13,0),0)</f>
        <v>15.600000000000001</v>
      </c>
      <c r="AK1233" s="48" t="str">
        <f>IFERROR(VLOOKUP(Tabela3[[#This Row],[Produto]],Tabela2[],14,0),0)</f>
        <v>Senun</v>
      </c>
      <c r="AL1233" s="40">
        <f>IFERROR(VLOOKUP(Tabela3[[#This Row],[Produto]],Tabela2[],15,0),0)</f>
        <v>4</v>
      </c>
      <c r="AM1233" s="36">
        <f ca="1">(Tabela3[[#This Row],[Custo Usinagem]]+Tabela3[[#This Row],[Custo / Pç]])*1.2</f>
        <v>19.904208003790199</v>
      </c>
      <c r="AN1233" s="36">
        <f ca="1">Tabela3[[#This Row],[Valor Mínimo Venda]]*1.15</f>
        <v>22.889839204358726</v>
      </c>
      <c r="AO1233" s="36">
        <f ca="1">Tabela3[[#This Row],[Tabela 1]]*1.08</f>
        <v>24.721026340707425</v>
      </c>
      <c r="AP1233" s="36">
        <f ca="1">Tabela3[[#This Row],[Tabela 2]]*1.15</f>
        <v>28.429180291813537</v>
      </c>
    </row>
    <row r="1234" spans="1:42">
      <c r="A1234" s="9">
        <v>46163</v>
      </c>
      <c r="B1234" s="9" t="s">
        <v>257</v>
      </c>
      <c r="C1234" s="14">
        <v>9727</v>
      </c>
      <c r="D1234" s="6" t="s">
        <v>46</v>
      </c>
      <c r="E1234" s="6" t="s">
        <v>50</v>
      </c>
      <c r="F1234" s="6">
        <v>15</v>
      </c>
      <c r="G1234" s="15">
        <v>6.0416666666666667E-2</v>
      </c>
      <c r="H1234" s="16">
        <v>0</v>
      </c>
      <c r="I1234" s="35">
        <f ca="1">IFERROR(Tabela3[[#This Row],[Custo Total]]/Tabela3[[#This Row],[Aluminio Util]],0)</f>
        <v>27.825026223700448</v>
      </c>
      <c r="J1234" s="35">
        <f ca="1">Tabela3[[#This Row],[Custo Total]]/Tabela3[[#This Row],[Realizado]]</f>
        <v>3.478128277962556</v>
      </c>
      <c r="K1234" s="37">
        <f>IFERROR(Tabela3[[#This Row],[Qtde Cx Produzida]]/Tabela3[[#This Row],[Tempo]]/24,0)</f>
        <v>10.344827586206897</v>
      </c>
      <c r="L1234" s="37">
        <f>Tabela3[[#This Row],[Qtde Cx Produzida]]*Tabela3[[#This Row],[Qdt Peça Placa]]</f>
        <v>120</v>
      </c>
      <c r="M1234" s="37">
        <f>Tabela3[[#This Row],[Previsto]]-Tabela3[[#This Row],[Perda Pçs]]</f>
        <v>120</v>
      </c>
      <c r="N1234" s="38">
        <f>IFERROR(Tabela3[[#This Row],[Perda Pçs]]/Tabela3[[#This Row],[Previsto]],0)</f>
        <v>0</v>
      </c>
      <c r="O1234" s="39">
        <f>IFERROR(IF(Tabela3[[#This Row],[Qtde Cx Produzida]] &lt;&gt; 0, Tabela3[[#This Row],[Tempo]] / Tabela3[[#This Row],[Qtde Cx Produzida]], 0),0)</f>
        <v>4.0277777777777777E-3</v>
      </c>
      <c r="P1234" s="57">
        <f>IFERROR(Tabela3[[#This Row],[Perda Pçs]]/Tabela3[[#This Row],[Qdt Peça Placa]],0)</f>
        <v>0</v>
      </c>
      <c r="Q1234" s="37">
        <f>IFERROR(Tabela3[[#This Row],[Realizado]]*Tabela3[[#This Row],[Peso Util/Pç]],0)</f>
        <v>15</v>
      </c>
      <c r="R1234" s="37">
        <f>IFERROR(Tabela3[[#This Row],[Peso Total Galho]]*Tabela3[[#This Row],[Qtde Cx Produzida]]*1.055,0)</f>
        <v>34.814999999999998</v>
      </c>
      <c r="S1234" s="37">
        <f>(Tabela3[[#This Row],[Aluminio Bruto]]-Tabela3[[#This Row],[Aluminio Util]])*0.9</f>
        <v>17.833499999999997</v>
      </c>
      <c r="T1234" s="37">
        <f>Tabela3[[#This Row],[Aluminio Bruto]]/OleoKGAluminio</f>
        <v>14.646625484637481</v>
      </c>
      <c r="U1234" s="35">
        <f>IFERROR((VLOOKUP(Tabela3[[#This Row],[Moldador]],Tabela1[],5,)+(VLOOKUP(Tabela3[[#This Row],[Ajudante]],Tabela1[],5,))*3.5),0)</f>
        <v>99.95034583333333</v>
      </c>
      <c r="V1234" s="35">
        <f>IFERROR(Tabela3[[#This Row],[Custo M.O. / H]]/((Tabela3[[#This Row],[Realizado]]/Tabela3[[#This Row],[Qdt Peça Placa]])/Tabela3[[#This Row],[Tempo]]/24),)</f>
        <v>9.661866763888888</v>
      </c>
      <c r="W1234" s="35">
        <f>Tabela3[[#This Row],[Custo / Cx Moldada]]*Tabela3[[#This Row],[Qtde Cx Produzida]]</f>
        <v>144.92800145833331</v>
      </c>
      <c r="X1234" s="35">
        <f ca="1">Tabela3[[#This Row],[Aluminio Util]]*Tabela3[[#This Row],[Custo/Kg]]</f>
        <v>234.00000000000003</v>
      </c>
      <c r="Y1234" s="35">
        <f>IFERROR(VLOOKUP(Tabela3[[#This Row],[Data]],Tabela461213[],2,1)*(Tabela3[[#This Row],[Qtde Cx Produzida]]*Tabela3[[#This Row],[Qde macho / CX]]*Tabela3[[#This Row],[Peso Macho]]),)</f>
        <v>0</v>
      </c>
      <c r="Z1234" s="35">
        <f>IFERROR(Tabela3[[#This Row],[Qtde Oleo]]*(VLOOKUP(Tabela3[[#This Row],[Data]],CompraOleo[],3,TRUE))*1.05,0)</f>
        <v>38.447391897173382</v>
      </c>
      <c r="AA1234" s="47">
        <f ca="1">(Tabela3[[#This Row],[Custo Oleo]]+Tabela3[[#This Row],[Custo Aluminio]]+Tabela3[[#This Row],[Custo M.O. Total]]+Tabela3[[#This Row],[Custo Machos]])</f>
        <v>417.37539335550673</v>
      </c>
      <c r="AB1234" s="47">
        <f ca="1">Tabela3[[#This Row],[Custo Total]]*Tabela3[[#This Row],[% Perda]]</f>
        <v>0</v>
      </c>
      <c r="AC1234" s="40">
        <f>IFERROR(VLOOKUP(Tabela3[[#This Row],[Produto]],Tabela2[],2,0),0)</f>
        <v>8</v>
      </c>
      <c r="AD1234" s="48">
        <f>IFERROR(VLOOKUP(Tabela3[[#This Row],[Produto]],Tabela2[],3,0),0)</f>
        <v>0.125</v>
      </c>
      <c r="AE1234" s="48">
        <f>IFERROR(VLOOKUP(Tabela3[[#This Row],[Produto]],Tabela2[],4,0),0)</f>
        <v>2.2000000000000002</v>
      </c>
      <c r="AF1234" s="48">
        <f>IFERROR(VLOOKUP(Tabela3[[#This Row],[Produto]],Tabela2[],5,0),0)</f>
        <v>1.0800000000000003</v>
      </c>
      <c r="AG1234" s="48">
        <f>IFERROR(VLOOKUP(Tabela3[[#This Row],[Produto]],Tabela2[],6,0),0)</f>
        <v>0</v>
      </c>
      <c r="AH1234" s="40">
        <f>IFERROR(VLOOKUP(Tabela3[[#This Row],[Produto]],Tabela2[],7,0),0)</f>
        <v>0</v>
      </c>
      <c r="AI1234" s="40">
        <f>IFERROR(VLOOKUP(Tabela3[[#This Row],[Produto]],Tabela2[],8,0),0)</f>
        <v>0</v>
      </c>
      <c r="AJ1234" s="35">
        <f ca="1">IFERROR(VLOOKUP(Tabela3[[#This Row],[Produto]],Tabela2[],13,0),0)</f>
        <v>15.600000000000001</v>
      </c>
      <c r="AK1234" s="48" t="str">
        <f>IFERROR(VLOOKUP(Tabela3[[#This Row],[Produto]],Tabela2[],14,0),0)</f>
        <v>Senun</v>
      </c>
      <c r="AL1234" s="40">
        <f>IFERROR(VLOOKUP(Tabela3[[#This Row],[Produto]],Tabela2[],15,0),0)</f>
        <v>7</v>
      </c>
      <c r="AM1234" s="36">
        <f ca="1">(Tabela3[[#This Row],[Custo Usinagem]]+Tabela3[[#This Row],[Custo / Pç]])*1.2</f>
        <v>12.573753933555066</v>
      </c>
      <c r="AN1234" s="36">
        <f ca="1">Tabela3[[#This Row],[Valor Mínimo Venda]]*1.15</f>
        <v>14.459817023588325</v>
      </c>
      <c r="AO1234" s="36">
        <f ca="1">Tabela3[[#This Row],[Tabela 1]]*1.08</f>
        <v>15.616602385475392</v>
      </c>
      <c r="AP1234" s="36">
        <f ca="1">Tabela3[[#This Row],[Tabela 2]]*1.15</f>
        <v>17.959092743296701</v>
      </c>
    </row>
    <row r="1235" spans="1:42">
      <c r="A1235" s="9">
        <v>46163</v>
      </c>
      <c r="B1235" s="9" t="s">
        <v>245</v>
      </c>
      <c r="C1235" s="14">
        <v>9698</v>
      </c>
      <c r="D1235" s="6" t="s">
        <v>46</v>
      </c>
      <c r="E1235" s="6" t="s">
        <v>50</v>
      </c>
      <c r="F1235" s="6">
        <v>21</v>
      </c>
      <c r="G1235" s="15">
        <v>8.9583333333333334E-2</v>
      </c>
      <c r="H1235" s="16">
        <v>0</v>
      </c>
      <c r="I1235" s="35">
        <f ca="1">IFERROR(Tabela3[[#This Row],[Custo Total]]/Tabela3[[#This Row],[Aluminio Util]],0)</f>
        <v>25.323402338258312</v>
      </c>
      <c r="J1235" s="35">
        <f ca="1">Tabela3[[#This Row],[Custo Total]]/Tabela3[[#This Row],[Realizado]]</f>
        <v>8.4073695763017593</v>
      </c>
      <c r="K1235" s="37">
        <f>IFERROR(Tabela3[[#This Row],[Qtde Cx Produzida]]/Tabela3[[#This Row],[Tempo]]/24,0)</f>
        <v>9.7674418604651159</v>
      </c>
      <c r="L1235" s="37">
        <f>Tabela3[[#This Row],[Qtde Cx Produzida]]*Tabela3[[#This Row],[Qdt Peça Placa]]</f>
        <v>84</v>
      </c>
      <c r="M1235" s="37">
        <f>Tabela3[[#This Row],[Previsto]]-Tabela3[[#This Row],[Perda Pçs]]</f>
        <v>84</v>
      </c>
      <c r="N1235" s="38">
        <f>IFERROR(Tabela3[[#This Row],[Perda Pçs]]/Tabela3[[#This Row],[Previsto]],0)</f>
        <v>0</v>
      </c>
      <c r="O1235" s="39">
        <f>IFERROR(IF(Tabela3[[#This Row],[Qtde Cx Produzida]] &lt;&gt; 0, Tabela3[[#This Row],[Tempo]] / Tabela3[[#This Row],[Qtde Cx Produzida]], 0),0)</f>
        <v>4.2658730158730163E-3</v>
      </c>
      <c r="P1235" s="57">
        <f>IFERROR(Tabela3[[#This Row],[Perda Pçs]]/Tabela3[[#This Row],[Qdt Peça Placa]],0)</f>
        <v>0</v>
      </c>
      <c r="Q1235" s="37">
        <f>IFERROR(Tabela3[[#This Row],[Realizado]]*Tabela3[[#This Row],[Peso Util/Pç]],0)</f>
        <v>27.888000000000002</v>
      </c>
      <c r="R1235" s="37">
        <f>IFERROR(Tabela3[[#This Row],[Peso Total Galho]]*Tabela3[[#This Row],[Qtde Cx Produzida]]*1.055,0)</f>
        <v>50.956499999999991</v>
      </c>
      <c r="S1235" s="37">
        <f>(Tabela3[[#This Row],[Aluminio Bruto]]-Tabela3[[#This Row],[Aluminio Util]])*0.9</f>
        <v>20.761649999999992</v>
      </c>
      <c r="T1235" s="37">
        <f>Tabela3[[#This Row],[Aluminio Bruto]]/OleoKGAluminio</f>
        <v>21.437333663878491</v>
      </c>
      <c r="U1235" s="35">
        <f>IFERROR((VLOOKUP(Tabela3[[#This Row],[Moldador]],Tabela1[],5,)+(VLOOKUP(Tabela3[[#This Row],[Ajudante]],Tabela1[],5,))*3.5),0)</f>
        <v>99.95034583333333</v>
      </c>
      <c r="V1235" s="35">
        <f>IFERROR(Tabela3[[#This Row],[Custo M.O. / H]]/((Tabela3[[#This Row],[Realizado]]/Tabela3[[#This Row],[Qdt Peça Placa]])/Tabela3[[#This Row],[Tempo]]/24),)</f>
        <v>10.233011597222223</v>
      </c>
      <c r="W1235" s="35">
        <f>Tabela3[[#This Row],[Custo / Cx Moldada]]*Tabela3[[#This Row],[Qtde Cx Produzida]]</f>
        <v>214.89324354166669</v>
      </c>
      <c r="X1235" s="35">
        <f ca="1">Tabela3[[#This Row],[Aluminio Util]]*Tabela3[[#This Row],[Custo/Kg]]</f>
        <v>435.05280000000005</v>
      </c>
      <c r="Y1235" s="35">
        <f>IFERROR(VLOOKUP(Tabela3[[#This Row],[Data]],Tabela461213[],2,1)*(Tabela3[[#This Row],[Qtde Cx Produzida]]*Tabela3[[#This Row],[Qde macho / CX]]*Tabela3[[#This Row],[Peso Macho]]),)</f>
        <v>0</v>
      </c>
      <c r="Z1235" s="35">
        <f>IFERROR(Tabela3[[#This Row],[Qtde Oleo]]*(VLOOKUP(Tabela3[[#This Row],[Data]],CompraOleo[],3,TRUE))*1.05,0)</f>
        <v>56.273000867681041</v>
      </c>
      <c r="AA1235" s="47">
        <f ca="1">(Tabela3[[#This Row],[Custo Oleo]]+Tabela3[[#This Row],[Custo Aluminio]]+Tabela3[[#This Row],[Custo M.O. Total]]+Tabela3[[#This Row],[Custo Machos]])</f>
        <v>706.21904440934782</v>
      </c>
      <c r="AB1235" s="47">
        <f ca="1">Tabela3[[#This Row],[Custo Total]]*Tabela3[[#This Row],[% Perda]]</f>
        <v>0</v>
      </c>
      <c r="AC1235" s="40">
        <f>IFERROR(VLOOKUP(Tabela3[[#This Row],[Produto]],Tabela2[],2,0),0)</f>
        <v>4</v>
      </c>
      <c r="AD1235" s="48">
        <f>IFERROR(VLOOKUP(Tabela3[[#This Row],[Produto]],Tabela2[],3,0),0)</f>
        <v>0.33200000000000002</v>
      </c>
      <c r="AE1235" s="48">
        <f>IFERROR(VLOOKUP(Tabela3[[#This Row],[Produto]],Tabela2[],4,0),0)</f>
        <v>2.2999999999999998</v>
      </c>
      <c r="AF1235" s="48">
        <f>IFERROR(VLOOKUP(Tabela3[[#This Row],[Produto]],Tabela2[],5,0),0)</f>
        <v>0.8747999999999998</v>
      </c>
      <c r="AG1235" s="48">
        <f>IFERROR(VLOOKUP(Tabela3[[#This Row],[Produto]],Tabela2[],6,0),0)</f>
        <v>0</v>
      </c>
      <c r="AH1235" s="40">
        <f>IFERROR(VLOOKUP(Tabela3[[#This Row],[Produto]],Tabela2[],7,0),0)</f>
        <v>0</v>
      </c>
      <c r="AI1235" s="40">
        <f>IFERROR(VLOOKUP(Tabela3[[#This Row],[Produto]],Tabela2[],8,0),0)</f>
        <v>0</v>
      </c>
      <c r="AJ1235" s="35">
        <f ca="1">IFERROR(VLOOKUP(Tabela3[[#This Row],[Produto]],Tabela2[],13,0),0)</f>
        <v>15.600000000000001</v>
      </c>
      <c r="AK1235" s="48" t="str">
        <f>IFERROR(VLOOKUP(Tabela3[[#This Row],[Produto]],Tabela2[],14,0),0)</f>
        <v>Senun</v>
      </c>
      <c r="AL1235" s="40">
        <f>IFERROR(VLOOKUP(Tabela3[[#This Row],[Produto]],Tabela2[],15,0),0)</f>
        <v>3.5</v>
      </c>
      <c r="AM1235" s="36">
        <f ca="1">(Tabela3[[#This Row],[Custo Usinagem]]+Tabela3[[#This Row],[Custo / Pç]])*1.2</f>
        <v>14.28884349156211</v>
      </c>
      <c r="AN1235" s="36">
        <f ca="1">Tabela3[[#This Row],[Valor Mínimo Venda]]*1.15</f>
        <v>16.432170015296425</v>
      </c>
      <c r="AO1235" s="36">
        <f ca="1">Tabela3[[#This Row],[Tabela 1]]*1.08</f>
        <v>17.746743616520138</v>
      </c>
      <c r="AP1235" s="36">
        <f ca="1">Tabela3[[#This Row],[Tabela 2]]*1.15</f>
        <v>20.408755158998158</v>
      </c>
    </row>
    <row r="1236" spans="1:42">
      <c r="A1236" s="9">
        <v>46163</v>
      </c>
      <c r="B1236" s="9" t="s">
        <v>245</v>
      </c>
      <c r="C1236" s="14">
        <v>9698</v>
      </c>
      <c r="D1236" s="6" t="s">
        <v>46</v>
      </c>
      <c r="E1236" s="6" t="s">
        <v>44</v>
      </c>
      <c r="F1236" s="6">
        <v>22</v>
      </c>
      <c r="G1236" s="15">
        <v>9.7916666666666666E-2</v>
      </c>
      <c r="H1236" s="16">
        <v>0</v>
      </c>
      <c r="I1236" s="35">
        <f ca="1">IFERROR(Tabela3[[#This Row],[Custo Total]]/Tabela3[[#This Row],[Aluminio Util]],0)</f>
        <v>27.760280071730076</v>
      </c>
      <c r="J1236" s="35">
        <f ca="1">Tabela3[[#This Row],[Custo Total]]/Tabela3[[#This Row],[Realizado]]</f>
        <v>9.2164129838143865</v>
      </c>
      <c r="K1236" s="37">
        <f>IFERROR(Tabela3[[#This Row],[Qtde Cx Produzida]]/Tabela3[[#This Row],[Tempo]]/24,0)</f>
        <v>9.3617021276595747</v>
      </c>
      <c r="L1236" s="37">
        <f>Tabela3[[#This Row],[Qtde Cx Produzida]]*Tabela3[[#This Row],[Qdt Peça Placa]]</f>
        <v>88</v>
      </c>
      <c r="M1236" s="37">
        <f>Tabela3[[#This Row],[Previsto]]-Tabela3[[#This Row],[Perda Pçs]]</f>
        <v>88</v>
      </c>
      <c r="N1236" s="38">
        <f>IFERROR(Tabela3[[#This Row],[Perda Pçs]]/Tabela3[[#This Row],[Previsto]],0)</f>
        <v>0</v>
      </c>
      <c r="O1236" s="39">
        <f>IFERROR(IF(Tabela3[[#This Row],[Qtde Cx Produzida]] &lt;&gt; 0, Tabela3[[#This Row],[Tempo]] / Tabela3[[#This Row],[Qtde Cx Produzida]], 0),0)</f>
        <v>4.4507575757575758E-3</v>
      </c>
      <c r="P1236" s="57">
        <f>IFERROR(Tabela3[[#This Row],[Perda Pçs]]/Tabela3[[#This Row],[Qdt Peça Placa]],0)</f>
        <v>0</v>
      </c>
      <c r="Q1236" s="37">
        <f>IFERROR(Tabela3[[#This Row],[Realizado]]*Tabela3[[#This Row],[Peso Util/Pç]],0)</f>
        <v>29.216000000000001</v>
      </c>
      <c r="R1236" s="37">
        <f>IFERROR(Tabela3[[#This Row],[Peso Total Galho]]*Tabela3[[#This Row],[Qtde Cx Produzida]]*1.055,0)</f>
        <v>53.382999999999988</v>
      </c>
      <c r="S1236" s="37">
        <f>(Tabela3[[#This Row],[Aluminio Bruto]]-Tabela3[[#This Row],[Aluminio Util]])*0.9</f>
        <v>21.750299999999989</v>
      </c>
      <c r="T1236" s="37">
        <f>Tabela3[[#This Row],[Aluminio Bruto]]/OleoKGAluminio</f>
        <v>22.458159076444133</v>
      </c>
      <c r="U1236" s="35">
        <f>IFERROR((VLOOKUP(Tabela3[[#This Row],[Moldador]],Tabela1[],5,)+(VLOOKUP(Tabela3[[#This Row],[Ajudante]],Tabela1[],5,))*3.5),0)</f>
        <v>126.0945</v>
      </c>
      <c r="V1236" s="35">
        <f>IFERROR(Tabela3[[#This Row],[Custo M.O. / H]]/((Tabela3[[#This Row],[Realizado]]/Tabela3[[#This Row],[Qdt Peça Placa]])/Tabela3[[#This Row],[Tempo]]/24),)</f>
        <v>13.469185227272726</v>
      </c>
      <c r="W1236" s="35">
        <f>Tabela3[[#This Row],[Custo / Cx Moldada]]*Tabela3[[#This Row],[Qtde Cx Produzida]]</f>
        <v>296.32207499999998</v>
      </c>
      <c r="X1236" s="35">
        <f ca="1">Tabela3[[#This Row],[Aluminio Util]]*Tabela3[[#This Row],[Custo/Kg]]</f>
        <v>455.76960000000008</v>
      </c>
      <c r="Y1236" s="35">
        <f>IFERROR(VLOOKUP(Tabela3[[#This Row],[Data]],Tabela461213[],2,1)*(Tabela3[[#This Row],[Qtde Cx Produzida]]*Tabela3[[#This Row],[Qde macho / CX]]*Tabela3[[#This Row],[Peso Macho]]),)</f>
        <v>0</v>
      </c>
      <c r="Z1236" s="35">
        <f>IFERROR(Tabela3[[#This Row],[Qtde Oleo]]*(VLOOKUP(Tabela3[[#This Row],[Data]],CompraOleo[],3,TRUE))*1.05,0)</f>
        <v>58.952667575665849</v>
      </c>
      <c r="AA1236" s="47">
        <f ca="1">(Tabela3[[#This Row],[Custo Oleo]]+Tabela3[[#This Row],[Custo Aluminio]]+Tabela3[[#This Row],[Custo M.O. Total]]+Tabela3[[#This Row],[Custo Machos]])</f>
        <v>811.04434257566595</v>
      </c>
      <c r="AB1236" s="47">
        <f ca="1">Tabela3[[#This Row],[Custo Total]]*Tabela3[[#This Row],[% Perda]]</f>
        <v>0</v>
      </c>
      <c r="AC1236" s="40">
        <f>IFERROR(VLOOKUP(Tabela3[[#This Row],[Produto]],Tabela2[],2,0),0)</f>
        <v>4</v>
      </c>
      <c r="AD1236" s="48">
        <f>IFERROR(VLOOKUP(Tabela3[[#This Row],[Produto]],Tabela2[],3,0),0)</f>
        <v>0.33200000000000002</v>
      </c>
      <c r="AE1236" s="48">
        <f>IFERROR(VLOOKUP(Tabela3[[#This Row],[Produto]],Tabela2[],4,0),0)</f>
        <v>2.2999999999999998</v>
      </c>
      <c r="AF1236" s="48">
        <f>IFERROR(VLOOKUP(Tabela3[[#This Row],[Produto]],Tabela2[],5,0),0)</f>
        <v>0.8747999999999998</v>
      </c>
      <c r="AG1236" s="48">
        <f>IFERROR(VLOOKUP(Tabela3[[#This Row],[Produto]],Tabela2[],6,0),0)</f>
        <v>0</v>
      </c>
      <c r="AH1236" s="40">
        <f>IFERROR(VLOOKUP(Tabela3[[#This Row],[Produto]],Tabela2[],7,0),0)</f>
        <v>0</v>
      </c>
      <c r="AI1236" s="40">
        <f>IFERROR(VLOOKUP(Tabela3[[#This Row],[Produto]],Tabela2[],8,0),0)</f>
        <v>0</v>
      </c>
      <c r="AJ1236" s="35">
        <f ca="1">IFERROR(VLOOKUP(Tabela3[[#This Row],[Produto]],Tabela2[],13,0),0)</f>
        <v>15.600000000000001</v>
      </c>
      <c r="AK1236" s="48" t="str">
        <f>IFERROR(VLOOKUP(Tabela3[[#This Row],[Produto]],Tabela2[],14,0),0)</f>
        <v>Senun</v>
      </c>
      <c r="AL1236" s="40">
        <f>IFERROR(VLOOKUP(Tabela3[[#This Row],[Produto]],Tabela2[],15,0),0)</f>
        <v>3.5</v>
      </c>
      <c r="AM1236" s="36">
        <f ca="1">(Tabela3[[#This Row],[Custo Usinagem]]+Tabela3[[#This Row],[Custo / Pç]])*1.2</f>
        <v>15.259695580577263</v>
      </c>
      <c r="AN1236" s="36">
        <f ca="1">Tabela3[[#This Row],[Valor Mínimo Venda]]*1.15</f>
        <v>17.548649917663852</v>
      </c>
      <c r="AO1236" s="36">
        <f ca="1">Tabela3[[#This Row],[Tabela 1]]*1.08</f>
        <v>18.95254191107696</v>
      </c>
      <c r="AP1236" s="36">
        <f ca="1">Tabela3[[#This Row],[Tabela 2]]*1.15</f>
        <v>21.795423197738501</v>
      </c>
    </row>
    <row r="1237" spans="1:42">
      <c r="A1237" s="9">
        <v>46163</v>
      </c>
      <c r="B1237" s="9" t="s">
        <v>245</v>
      </c>
      <c r="C1237" s="14">
        <v>9698</v>
      </c>
      <c r="D1237" s="6" t="s">
        <v>44</v>
      </c>
      <c r="E1237" s="6" t="s">
        <v>47</v>
      </c>
      <c r="F1237" s="6">
        <v>17</v>
      </c>
      <c r="G1237" s="15">
        <v>7.0833333333333331E-2</v>
      </c>
      <c r="H1237" s="16">
        <v>0</v>
      </c>
      <c r="I1237" s="35">
        <f ca="1">IFERROR(Tabela3[[#This Row],[Custo Total]]/Tabela3[[#This Row],[Aluminio Util]],0)</f>
        <v>25.144202779607035</v>
      </c>
      <c r="J1237" s="35">
        <f ca="1">Tabela3[[#This Row],[Custo Total]]/Tabela3[[#This Row],[Realizado]]</f>
        <v>8.3478753228295357</v>
      </c>
      <c r="K1237" s="37">
        <f>IFERROR(Tabela3[[#This Row],[Qtde Cx Produzida]]/Tabela3[[#This Row],[Tempo]]/24,0)</f>
        <v>10</v>
      </c>
      <c r="L1237" s="37">
        <f>Tabela3[[#This Row],[Qtde Cx Produzida]]*Tabela3[[#This Row],[Qdt Peça Placa]]</f>
        <v>68</v>
      </c>
      <c r="M1237" s="37">
        <f>Tabela3[[#This Row],[Previsto]]-Tabela3[[#This Row],[Perda Pçs]]</f>
        <v>68</v>
      </c>
      <c r="N1237" s="38">
        <f>IFERROR(Tabela3[[#This Row],[Perda Pçs]]/Tabela3[[#This Row],[Previsto]],0)</f>
        <v>0</v>
      </c>
      <c r="O1237" s="39">
        <f>IFERROR(IF(Tabela3[[#This Row],[Qtde Cx Produzida]] &lt;&gt; 0, Tabela3[[#This Row],[Tempo]] / Tabela3[[#This Row],[Qtde Cx Produzida]], 0),0)</f>
        <v>4.1666666666666666E-3</v>
      </c>
      <c r="P1237" s="57">
        <f>IFERROR(Tabela3[[#This Row],[Perda Pçs]]/Tabela3[[#This Row],[Qdt Peça Placa]],0)</f>
        <v>0</v>
      </c>
      <c r="Q1237" s="37">
        <f>IFERROR(Tabela3[[#This Row],[Realizado]]*Tabela3[[#This Row],[Peso Util/Pç]],0)</f>
        <v>22.576000000000001</v>
      </c>
      <c r="R1237" s="37">
        <f>IFERROR(Tabela3[[#This Row],[Peso Total Galho]]*Tabela3[[#This Row],[Qtde Cx Produzida]]*1.055,0)</f>
        <v>41.250499999999988</v>
      </c>
      <c r="S1237" s="37">
        <f>(Tabela3[[#This Row],[Aluminio Bruto]]-Tabela3[[#This Row],[Aluminio Util]])*0.9</f>
        <v>16.80704999999999</v>
      </c>
      <c r="T1237" s="37">
        <f>Tabela3[[#This Row],[Aluminio Bruto]]/OleoKGAluminio</f>
        <v>17.354032013615921</v>
      </c>
      <c r="U1237" s="35">
        <f>IFERROR((VLOOKUP(Tabela3[[#This Row],[Moldador]],Tabela1[],5,)+(VLOOKUP(Tabela3[[#This Row],[Ajudante]],Tabela1[],5,))*3.5),0)</f>
        <v>99.95034583333333</v>
      </c>
      <c r="V1237" s="35">
        <f>IFERROR(Tabela3[[#This Row],[Custo M.O. / H]]/((Tabela3[[#This Row],[Realizado]]/Tabela3[[#This Row],[Qdt Peça Placa]])/Tabela3[[#This Row],[Tempo]]/24),)</f>
        <v>9.9950345833333323</v>
      </c>
      <c r="W1237" s="35">
        <f>Tabela3[[#This Row],[Custo / Cx Moldada]]*Tabela3[[#This Row],[Qtde Cx Produzida]]</f>
        <v>169.91558791666665</v>
      </c>
      <c r="X1237" s="35">
        <f ca="1">Tabela3[[#This Row],[Aluminio Util]]*Tabela3[[#This Row],[Custo/Kg]]</f>
        <v>352.18560000000002</v>
      </c>
      <c r="Y1237" s="35">
        <f>IFERROR(VLOOKUP(Tabela3[[#This Row],[Data]],Tabela461213[],2,1)*(Tabela3[[#This Row],[Qtde Cx Produzida]]*Tabela3[[#This Row],[Qde macho / CX]]*Tabela3[[#This Row],[Peso Macho]]),)</f>
        <v>0</v>
      </c>
      <c r="Z1237" s="35">
        <f>IFERROR(Tabela3[[#This Row],[Qtde Oleo]]*(VLOOKUP(Tabela3[[#This Row],[Data]],CompraOleo[],3,TRUE))*1.05,0)</f>
        <v>45.554334035741796</v>
      </c>
      <c r="AA1237" s="47">
        <f ca="1">(Tabela3[[#This Row],[Custo Oleo]]+Tabela3[[#This Row],[Custo Aluminio]]+Tabela3[[#This Row],[Custo M.O. Total]]+Tabela3[[#This Row],[Custo Machos]])</f>
        <v>567.65552195240844</v>
      </c>
      <c r="AB1237" s="47">
        <f ca="1">Tabela3[[#This Row],[Custo Total]]*Tabela3[[#This Row],[% Perda]]</f>
        <v>0</v>
      </c>
      <c r="AC1237" s="40">
        <f>IFERROR(VLOOKUP(Tabela3[[#This Row],[Produto]],Tabela2[],2,0),0)</f>
        <v>4</v>
      </c>
      <c r="AD1237" s="48">
        <f>IFERROR(VLOOKUP(Tabela3[[#This Row],[Produto]],Tabela2[],3,0),0)</f>
        <v>0.33200000000000002</v>
      </c>
      <c r="AE1237" s="48">
        <f>IFERROR(VLOOKUP(Tabela3[[#This Row],[Produto]],Tabela2[],4,0),0)</f>
        <v>2.2999999999999998</v>
      </c>
      <c r="AF1237" s="48">
        <f>IFERROR(VLOOKUP(Tabela3[[#This Row],[Produto]],Tabela2[],5,0),0)</f>
        <v>0.8747999999999998</v>
      </c>
      <c r="AG1237" s="48">
        <f>IFERROR(VLOOKUP(Tabela3[[#This Row],[Produto]],Tabela2[],6,0),0)</f>
        <v>0</v>
      </c>
      <c r="AH1237" s="40">
        <f>IFERROR(VLOOKUP(Tabela3[[#This Row],[Produto]],Tabela2[],7,0),0)</f>
        <v>0</v>
      </c>
      <c r="AI1237" s="40">
        <f>IFERROR(VLOOKUP(Tabela3[[#This Row],[Produto]],Tabela2[],8,0),0)</f>
        <v>0</v>
      </c>
      <c r="AJ1237" s="35">
        <f ca="1">IFERROR(VLOOKUP(Tabela3[[#This Row],[Produto]],Tabela2[],13,0),0)</f>
        <v>15.600000000000001</v>
      </c>
      <c r="AK1237" s="48" t="str">
        <f>IFERROR(VLOOKUP(Tabela3[[#This Row],[Produto]],Tabela2[],14,0),0)</f>
        <v>Senun</v>
      </c>
      <c r="AL1237" s="40">
        <f>IFERROR(VLOOKUP(Tabela3[[#This Row],[Produto]],Tabela2[],15,0),0)</f>
        <v>3.5</v>
      </c>
      <c r="AM1237" s="36">
        <f ca="1">(Tabela3[[#This Row],[Custo Usinagem]]+Tabela3[[#This Row],[Custo / Pç]])*1.2</f>
        <v>14.217450387395443</v>
      </c>
      <c r="AN1237" s="36">
        <f ca="1">Tabela3[[#This Row],[Valor Mínimo Venda]]*1.15</f>
        <v>16.350067945504758</v>
      </c>
      <c r="AO1237" s="36">
        <f ca="1">Tabela3[[#This Row],[Tabela 1]]*1.08</f>
        <v>17.65807338114514</v>
      </c>
      <c r="AP1237" s="36">
        <f ca="1">Tabela3[[#This Row],[Tabela 2]]*1.15</f>
        <v>20.30678438831691</v>
      </c>
    </row>
    <row r="1238" spans="1:42">
      <c r="A1238" s="9">
        <v>46164</v>
      </c>
      <c r="B1238" s="9" t="s">
        <v>245</v>
      </c>
      <c r="C1238" s="14">
        <v>9698</v>
      </c>
      <c r="D1238" s="6" t="s">
        <v>46</v>
      </c>
      <c r="E1238" s="6" t="s">
        <v>50</v>
      </c>
      <c r="F1238" s="6">
        <v>1</v>
      </c>
      <c r="G1238" s="15">
        <v>7.6388888888888886E-3</v>
      </c>
      <c r="H1238" s="16">
        <v>0</v>
      </c>
      <c r="I1238" s="35">
        <f ca="1">IFERROR(Tabela3[[#This Row],[Custo Total]]/Tabela3[[#This Row],[Aluminio Util]],0)</f>
        <v>31.416187332401549</v>
      </c>
      <c r="J1238" s="35">
        <f ca="1">Tabela3[[#This Row],[Custo Total]]/Tabela3[[#This Row],[Realizado]]</f>
        <v>10.430174194357315</v>
      </c>
      <c r="K1238" s="37">
        <f>IFERROR(Tabela3[[#This Row],[Qtde Cx Produzida]]/Tabela3[[#This Row],[Tempo]]/24,0)</f>
        <v>5.4545454545454541</v>
      </c>
      <c r="L1238" s="37">
        <f>Tabela3[[#This Row],[Qtde Cx Produzida]]*Tabela3[[#This Row],[Qdt Peça Placa]]</f>
        <v>4</v>
      </c>
      <c r="M1238" s="37">
        <f>Tabela3[[#This Row],[Previsto]]-Tabela3[[#This Row],[Perda Pçs]]</f>
        <v>4</v>
      </c>
      <c r="N1238" s="38">
        <f>IFERROR(Tabela3[[#This Row],[Perda Pçs]]/Tabela3[[#This Row],[Previsto]],0)</f>
        <v>0</v>
      </c>
      <c r="O1238" s="39">
        <f>IFERROR(IF(Tabela3[[#This Row],[Qtde Cx Produzida]] &lt;&gt; 0, Tabela3[[#This Row],[Tempo]] / Tabela3[[#This Row],[Qtde Cx Produzida]], 0),0)</f>
        <v>7.6388888888888886E-3</v>
      </c>
      <c r="P1238" s="57">
        <f>IFERROR(Tabela3[[#This Row],[Perda Pçs]]/Tabela3[[#This Row],[Qdt Peça Placa]],0)</f>
        <v>0</v>
      </c>
      <c r="Q1238" s="37">
        <f>IFERROR(Tabela3[[#This Row],[Realizado]]*Tabela3[[#This Row],[Peso Util/Pç]],0)</f>
        <v>1.3280000000000001</v>
      </c>
      <c r="R1238" s="37">
        <f>IFERROR(Tabela3[[#This Row],[Peso Total Galho]]*Tabela3[[#This Row],[Qtde Cx Produzida]]*1.055,0)</f>
        <v>2.4264999999999999</v>
      </c>
      <c r="S1238" s="37">
        <f>(Tabela3[[#This Row],[Aluminio Bruto]]-Tabela3[[#This Row],[Aluminio Util]])*0.9</f>
        <v>0.98864999999999981</v>
      </c>
      <c r="T1238" s="37">
        <f>Tabela3[[#This Row],[Aluminio Bruto]]/OleoKGAluminio</f>
        <v>1.0208254125656426</v>
      </c>
      <c r="U1238" s="35">
        <f>IFERROR((VLOOKUP(Tabela3[[#This Row],[Moldador]],Tabela1[],5,)+(VLOOKUP(Tabela3[[#This Row],[Ajudante]],Tabela1[],5,))*3.5),0)</f>
        <v>99.95034583333333</v>
      </c>
      <c r="V1238" s="35">
        <f>IFERROR(Tabela3[[#This Row],[Custo M.O. / H]]/((Tabela3[[#This Row],[Realizado]]/Tabela3[[#This Row],[Qdt Peça Placa]])/Tabela3[[#This Row],[Tempo]]/24),)</f>
        <v>18.324230069444447</v>
      </c>
      <c r="W1238" s="35">
        <f>Tabela3[[#This Row],[Custo / Cx Moldada]]*Tabela3[[#This Row],[Qtde Cx Produzida]]</f>
        <v>18.324230069444447</v>
      </c>
      <c r="X1238" s="35">
        <f ca="1">Tabela3[[#This Row],[Aluminio Util]]*Tabela3[[#This Row],[Custo/Kg]]</f>
        <v>20.716800000000003</v>
      </c>
      <c r="Y1238" s="35">
        <f>IFERROR(VLOOKUP(Tabela3[[#This Row],[Data]],Tabela461213[],2,1)*(Tabela3[[#This Row],[Qtde Cx Produzida]]*Tabela3[[#This Row],[Qde macho / CX]]*Tabela3[[#This Row],[Peso Macho]]),)</f>
        <v>0</v>
      </c>
      <c r="Z1238" s="35">
        <f>IFERROR(Tabela3[[#This Row],[Qtde Oleo]]*(VLOOKUP(Tabela3[[#This Row],[Data]],CompraOleo[],3,TRUE))*1.05,0)</f>
        <v>2.6796667079848118</v>
      </c>
      <c r="AA1238" s="47">
        <f ca="1">(Tabela3[[#This Row],[Custo Oleo]]+Tabela3[[#This Row],[Custo Aluminio]]+Tabela3[[#This Row],[Custo M.O. Total]]+Tabela3[[#This Row],[Custo Machos]])</f>
        <v>41.720696777429261</v>
      </c>
      <c r="AB1238" s="47">
        <f ca="1">Tabela3[[#This Row],[Custo Total]]*Tabela3[[#This Row],[% Perda]]</f>
        <v>0</v>
      </c>
      <c r="AC1238" s="40">
        <f>IFERROR(VLOOKUP(Tabela3[[#This Row],[Produto]],Tabela2[],2,0),0)</f>
        <v>4</v>
      </c>
      <c r="AD1238" s="48">
        <f>IFERROR(VLOOKUP(Tabela3[[#This Row],[Produto]],Tabela2[],3,0),0)</f>
        <v>0.33200000000000002</v>
      </c>
      <c r="AE1238" s="48">
        <f>IFERROR(VLOOKUP(Tabela3[[#This Row],[Produto]],Tabela2[],4,0),0)</f>
        <v>2.2999999999999998</v>
      </c>
      <c r="AF1238" s="48">
        <f>IFERROR(VLOOKUP(Tabela3[[#This Row],[Produto]],Tabela2[],5,0),0)</f>
        <v>0.8747999999999998</v>
      </c>
      <c r="AG1238" s="48">
        <f>IFERROR(VLOOKUP(Tabela3[[#This Row],[Produto]],Tabela2[],6,0),0)</f>
        <v>0</v>
      </c>
      <c r="AH1238" s="40">
        <f>IFERROR(VLOOKUP(Tabela3[[#This Row],[Produto]],Tabela2[],7,0),0)</f>
        <v>0</v>
      </c>
      <c r="AI1238" s="40">
        <f>IFERROR(VLOOKUP(Tabela3[[#This Row],[Produto]],Tabela2[],8,0),0)</f>
        <v>0</v>
      </c>
      <c r="AJ1238" s="35">
        <f ca="1">IFERROR(VLOOKUP(Tabela3[[#This Row],[Produto]],Tabela2[],13,0),0)</f>
        <v>15.600000000000001</v>
      </c>
      <c r="AK1238" s="48" t="str">
        <f>IFERROR(VLOOKUP(Tabela3[[#This Row],[Produto]],Tabela2[],14,0),0)</f>
        <v>Senun</v>
      </c>
      <c r="AL1238" s="40">
        <f>IFERROR(VLOOKUP(Tabela3[[#This Row],[Produto]],Tabela2[],15,0),0)</f>
        <v>3.5</v>
      </c>
      <c r="AM1238" s="36">
        <f ca="1">(Tabela3[[#This Row],[Custo Usinagem]]+Tabela3[[#This Row],[Custo / Pç]])*1.2</f>
        <v>16.716209033228779</v>
      </c>
      <c r="AN1238" s="36">
        <f ca="1">Tabela3[[#This Row],[Valor Mínimo Venda]]*1.15</f>
        <v>19.223640388213095</v>
      </c>
      <c r="AO1238" s="36">
        <f ca="1">Tabela3[[#This Row],[Tabela 1]]*1.08</f>
        <v>20.761531619270144</v>
      </c>
      <c r="AP1238" s="36">
        <f ca="1">Tabela3[[#This Row],[Tabela 2]]*1.15</f>
        <v>23.875761362160663</v>
      </c>
    </row>
    <row r="1239" spans="1:42">
      <c r="A1239" s="9">
        <v>46164</v>
      </c>
      <c r="B1239" s="9" t="s">
        <v>91</v>
      </c>
      <c r="C1239" s="14">
        <v>9728</v>
      </c>
      <c r="D1239" s="6" t="s">
        <v>46</v>
      </c>
      <c r="E1239" s="6" t="s">
        <v>44</v>
      </c>
      <c r="F1239" s="6">
        <v>10</v>
      </c>
      <c r="G1239" s="15">
        <v>5.347222222222222E-2</v>
      </c>
      <c r="H1239" s="16">
        <v>0</v>
      </c>
      <c r="I1239" s="35">
        <f ca="1">IFERROR(Tabela3[[#This Row],[Custo Total]]/Tabela3[[#This Row],[Aluminio Util]],0)</f>
        <v>40.13786659076915</v>
      </c>
      <c r="J1239" s="35">
        <f ca="1">Tabela3[[#This Row],[Custo Total]]/Tabela3[[#This Row],[Realizado]]</f>
        <v>31.468087407163011</v>
      </c>
      <c r="K1239" s="37">
        <f>IFERROR(Tabela3[[#This Row],[Qtde Cx Produzida]]/Tabela3[[#This Row],[Tempo]]/24,0)</f>
        <v>7.792207792207793</v>
      </c>
      <c r="L1239" s="37">
        <f>Tabela3[[#This Row],[Qtde Cx Produzida]]*Tabela3[[#This Row],[Qdt Peça Placa]]</f>
        <v>40</v>
      </c>
      <c r="M1239" s="37">
        <f>Tabela3[[#This Row],[Previsto]]-Tabela3[[#This Row],[Perda Pçs]]</f>
        <v>40</v>
      </c>
      <c r="N1239" s="38">
        <f>IFERROR(Tabela3[[#This Row],[Perda Pçs]]/Tabela3[[#This Row],[Previsto]],0)</f>
        <v>0</v>
      </c>
      <c r="O1239" s="39">
        <f>IFERROR(IF(Tabela3[[#This Row],[Qtde Cx Produzida]] &lt;&gt; 0, Tabela3[[#This Row],[Tempo]] / Tabela3[[#This Row],[Qtde Cx Produzida]], 0),0)</f>
        <v>5.347222222222222E-3</v>
      </c>
      <c r="P1239" s="57">
        <f>IFERROR(Tabela3[[#This Row],[Perda Pçs]]/Tabela3[[#This Row],[Qdt Peça Placa]],0)</f>
        <v>0</v>
      </c>
      <c r="Q1239" s="37">
        <f>IFERROR(Tabela3[[#This Row],[Realizado]]*Tabela3[[#This Row],[Peso Util/Pç]],0)</f>
        <v>31.36</v>
      </c>
      <c r="R1239" s="37">
        <f>IFERROR(Tabela3[[#This Row],[Peso Total Galho]]*Tabela3[[#This Row],[Qtde Cx Produzida]]*1.055,0)</f>
        <v>58.531399999999998</v>
      </c>
      <c r="S1239" s="37">
        <f>(Tabela3[[#This Row],[Aluminio Bruto]]-Tabela3[[#This Row],[Aluminio Util]])*0.9</f>
        <v>24.454259999999998</v>
      </c>
      <c r="T1239" s="37">
        <f>Tabela3[[#This Row],[Aluminio Bruto]]/OleoKGAluminio</f>
        <v>24.62408429962689</v>
      </c>
      <c r="U1239" s="35">
        <f>IFERROR((VLOOKUP(Tabela3[[#This Row],[Moldador]],Tabela1[],5,)+(VLOOKUP(Tabela3[[#This Row],[Ajudante]],Tabela1[],5,))*3.5),0)</f>
        <v>126.0945</v>
      </c>
      <c r="V1239" s="35">
        <f>IFERROR(Tabela3[[#This Row],[Custo M.O. / H]]/((Tabela3[[#This Row],[Realizado]]/Tabela3[[#This Row],[Qdt Peça Placa]])/Tabela3[[#This Row],[Tempo]]/24),)</f>
        <v>16.182127499999996</v>
      </c>
      <c r="W1239" s="35">
        <f>Tabela3[[#This Row],[Custo / Cx Moldada]]*Tabela3[[#This Row],[Qtde Cx Produzida]]</f>
        <v>161.82127499999996</v>
      </c>
      <c r="X1239" s="35">
        <f ca="1">Tabela3[[#This Row],[Aluminio Util]]*Tabela3[[#This Row],[Custo/Kg]]</f>
        <v>489.21600000000001</v>
      </c>
      <c r="Y1239" s="35">
        <f>IFERROR(VLOOKUP(Tabela3[[#This Row],[Data]],Tabela461213[],2,1)*(Tabela3[[#This Row],[Qtde Cx Produzida]]*Tabela3[[#This Row],[Qde macho / CX]]*Tabela3[[#This Row],[Peso Macho]]),)</f>
        <v>543.048</v>
      </c>
      <c r="Z1239" s="35">
        <f>IFERROR(Tabela3[[#This Row],[Qtde Oleo]]*(VLOOKUP(Tabela3[[#This Row],[Data]],CompraOleo[],3,TRUE))*1.05,0)</f>
        <v>64.63822128652059</v>
      </c>
      <c r="AA1239" s="47">
        <f ca="1">(Tabela3[[#This Row],[Custo Oleo]]+Tabela3[[#This Row],[Custo Aluminio]]+Tabela3[[#This Row],[Custo M.O. Total]]+Tabela3[[#This Row],[Custo Machos]])</f>
        <v>1258.7234962865205</v>
      </c>
      <c r="AB1239" s="47">
        <f ca="1">Tabela3[[#This Row],[Custo Total]]*Tabela3[[#This Row],[% Perda]]</f>
        <v>0</v>
      </c>
      <c r="AC1239" s="40">
        <f>IFERROR(VLOOKUP(Tabela3[[#This Row],[Produto]],Tabela2[],2,0),0)</f>
        <v>4</v>
      </c>
      <c r="AD1239" s="48">
        <f>IFERROR(VLOOKUP(Tabela3[[#This Row],[Produto]],Tabela2[],3,0),0)</f>
        <v>0.78400000000000003</v>
      </c>
      <c r="AE1239" s="48">
        <f>IFERROR(VLOOKUP(Tabela3[[#This Row],[Produto]],Tabela2[],4,0),0)</f>
        <v>5.548</v>
      </c>
      <c r="AF1239" s="48">
        <f>IFERROR(VLOOKUP(Tabela3[[#This Row],[Produto]],Tabela2[],5,0),0)</f>
        <v>2.1707999999999998</v>
      </c>
      <c r="AG1239" s="48">
        <f>IFERROR(VLOOKUP(Tabela3[[#This Row],[Produto]],Tabela2[],6,0),0)</f>
        <v>0</v>
      </c>
      <c r="AH1239" s="40">
        <f>IFERROR(VLOOKUP(Tabela3[[#This Row],[Produto]],Tabela2[],7,0),0)</f>
        <v>12</v>
      </c>
      <c r="AI1239" s="40">
        <f>IFERROR(VLOOKUP(Tabela3[[#This Row],[Produto]],Tabela2[],8,0),0)</f>
        <v>2.6619999999999999</v>
      </c>
      <c r="AJ1239" s="35">
        <f ca="1">IFERROR(VLOOKUP(Tabela3[[#This Row],[Produto]],Tabela2[],13,0),0)</f>
        <v>15.600000000000001</v>
      </c>
      <c r="AK1239" s="48" t="str">
        <f>IFERROR(VLOOKUP(Tabela3[[#This Row],[Produto]],Tabela2[],14,0),0)</f>
        <v>Jumil</v>
      </c>
      <c r="AL1239" s="40">
        <f>IFERROR(VLOOKUP(Tabela3[[#This Row],[Produto]],Tabela2[],15,0),0)</f>
        <v>8</v>
      </c>
      <c r="AM1239" s="36">
        <f ca="1">(Tabela3[[#This Row],[Custo Usinagem]]+Tabela3[[#This Row],[Custo / Pç]])*1.2</f>
        <v>47.361704888595611</v>
      </c>
      <c r="AN1239" s="36">
        <f ca="1">Tabela3[[#This Row],[Valor Mínimo Venda]]*1.15</f>
        <v>54.465960621884946</v>
      </c>
      <c r="AO1239" s="36">
        <f ca="1">Tabela3[[#This Row],[Tabela 1]]*1.08</f>
        <v>58.823237471635743</v>
      </c>
      <c r="AP1239" s="36">
        <f ca="1">Tabela3[[#This Row],[Tabela 2]]*1.15</f>
        <v>67.646723092381094</v>
      </c>
    </row>
    <row r="1240" spans="1:42">
      <c r="A1240" s="9">
        <v>46164</v>
      </c>
      <c r="B1240" s="9" t="s">
        <v>124</v>
      </c>
      <c r="C1240" s="14">
        <v>9676</v>
      </c>
      <c r="D1240" s="6" t="s">
        <v>46</v>
      </c>
      <c r="E1240" s="6" t="s">
        <v>44</v>
      </c>
      <c r="F1240" s="6">
        <v>12</v>
      </c>
      <c r="G1240" s="15">
        <v>5.1388888888888887E-2</v>
      </c>
      <c r="H1240" s="16">
        <v>0</v>
      </c>
      <c r="I1240" s="35">
        <f ca="1">IFERROR(Tabela3[[#This Row],[Custo Total]]/Tabela3[[#This Row],[Aluminio Util]],0)</f>
        <v>25.329751017976484</v>
      </c>
      <c r="J1240" s="35">
        <f ca="1">Tabela3[[#This Row],[Custo Total]]/Tabela3[[#This Row],[Realizado]]</f>
        <v>42.807279220380259</v>
      </c>
      <c r="K1240" s="37">
        <f>IFERROR(Tabela3[[#This Row],[Qtde Cx Produzida]]/Tabela3[[#This Row],[Tempo]]/24,0)</f>
        <v>9.7297297297297298</v>
      </c>
      <c r="L1240" s="37">
        <f>Tabela3[[#This Row],[Qtde Cx Produzida]]*Tabela3[[#This Row],[Qdt Peça Placa]]</f>
        <v>12</v>
      </c>
      <c r="M1240" s="37">
        <f>Tabela3[[#This Row],[Previsto]]-Tabela3[[#This Row],[Perda Pçs]]</f>
        <v>12</v>
      </c>
      <c r="N1240" s="38">
        <f>IFERROR(Tabela3[[#This Row],[Perda Pçs]]/Tabela3[[#This Row],[Previsto]],0)</f>
        <v>0</v>
      </c>
      <c r="O1240" s="39">
        <f>IFERROR(IF(Tabela3[[#This Row],[Qtde Cx Produzida]] &lt;&gt; 0, Tabela3[[#This Row],[Tempo]] / Tabela3[[#This Row],[Qtde Cx Produzida]], 0),0)</f>
        <v>4.2824074074074075E-3</v>
      </c>
      <c r="P1240" s="57">
        <f>IFERROR(Tabela3[[#This Row],[Perda Pçs]]/Tabela3[[#This Row],[Qdt Peça Placa]],0)</f>
        <v>0</v>
      </c>
      <c r="Q1240" s="37">
        <f>IFERROR(Tabela3[[#This Row],[Realizado]]*Tabela3[[#This Row],[Peso Util/Pç]],0)</f>
        <v>20.28</v>
      </c>
      <c r="R1240" s="37">
        <f>IFERROR(Tabela3[[#This Row],[Peso Total Galho]]*Tabela3[[#This Row],[Qtde Cx Produzida]]*1.055,0)</f>
        <v>37.853400000000001</v>
      </c>
      <c r="S1240" s="37">
        <f>(Tabela3[[#This Row],[Aluminio Bruto]]-Tabela3[[#This Row],[Aluminio Util]])*0.9</f>
        <v>15.81606</v>
      </c>
      <c r="T1240" s="37">
        <f>Tabela3[[#This Row],[Aluminio Bruto]]/OleoKGAluminio</f>
        <v>15.924876436024025</v>
      </c>
      <c r="U1240" s="35">
        <f>IFERROR((VLOOKUP(Tabela3[[#This Row],[Moldador]],Tabela1[],5,)+(VLOOKUP(Tabela3[[#This Row],[Ajudante]],Tabela1[],5,))*3.5),0)</f>
        <v>126.0945</v>
      </c>
      <c r="V1240" s="35">
        <f>IFERROR(Tabela3[[#This Row],[Custo M.O. / H]]/((Tabela3[[#This Row],[Realizado]]/Tabela3[[#This Row],[Qdt Peça Placa]])/Tabela3[[#This Row],[Tempo]]/24),)</f>
        <v>12.9597125</v>
      </c>
      <c r="W1240" s="35">
        <f>Tabela3[[#This Row],[Custo / Cx Moldada]]*Tabela3[[#This Row],[Qtde Cx Produzida]]</f>
        <v>155.51655</v>
      </c>
      <c r="X1240" s="35">
        <f ca="1">Tabela3[[#This Row],[Aluminio Util]]*Tabela3[[#This Row],[Custo/Kg]]</f>
        <v>316.36800000000005</v>
      </c>
      <c r="Y1240" s="35">
        <f>IFERROR(VLOOKUP(Tabela3[[#This Row],[Data]],Tabela461213[],2,1)*(Tabela3[[#This Row],[Qtde Cx Produzida]]*Tabela3[[#This Row],[Qde macho / CX]]*Tabela3[[#This Row],[Peso Macho]]),)</f>
        <v>0</v>
      </c>
      <c r="Z1240" s="35">
        <f>IFERROR(Tabela3[[#This Row],[Qtde Oleo]]*(VLOOKUP(Tabela3[[#This Row],[Data]],CompraOleo[],3,TRUE))*1.05,0)</f>
        <v>41.802800644563064</v>
      </c>
      <c r="AA1240" s="47">
        <f ca="1">(Tabela3[[#This Row],[Custo Oleo]]+Tabela3[[#This Row],[Custo Aluminio]]+Tabela3[[#This Row],[Custo M.O. Total]]+Tabela3[[#This Row],[Custo Machos]])</f>
        <v>513.68735064456314</v>
      </c>
      <c r="AB1240" s="47">
        <f ca="1">Tabela3[[#This Row],[Custo Total]]*Tabela3[[#This Row],[% Perda]]</f>
        <v>0</v>
      </c>
      <c r="AC1240" s="40">
        <f>IFERROR(VLOOKUP(Tabela3[[#This Row],[Produto]],Tabela2[],2,0),0)</f>
        <v>1</v>
      </c>
      <c r="AD1240" s="48">
        <f>IFERROR(VLOOKUP(Tabela3[[#This Row],[Produto]],Tabela2[],3,0),0)</f>
        <v>1.69</v>
      </c>
      <c r="AE1240" s="48">
        <f>IFERROR(VLOOKUP(Tabela3[[#This Row],[Produto]],Tabela2[],4,0),0)</f>
        <v>2.99</v>
      </c>
      <c r="AF1240" s="48">
        <f>IFERROR(VLOOKUP(Tabela3[[#This Row],[Produto]],Tabela2[],5,0),0)</f>
        <v>1.1700000000000004</v>
      </c>
      <c r="AG1240" s="48">
        <f>IFERROR(VLOOKUP(Tabela3[[#This Row],[Produto]],Tabela2[],6,0),0)</f>
        <v>0</v>
      </c>
      <c r="AH1240" s="40">
        <f>IFERROR(VLOOKUP(Tabela3[[#This Row],[Produto]],Tabela2[],7,0),0)</f>
        <v>0</v>
      </c>
      <c r="AI1240" s="40">
        <f>IFERROR(VLOOKUP(Tabela3[[#This Row],[Produto]],Tabela2[],8,0),0)</f>
        <v>0</v>
      </c>
      <c r="AJ1240" s="35">
        <f ca="1">IFERROR(VLOOKUP(Tabela3[[#This Row],[Produto]],Tabela2[],13,0),0)</f>
        <v>15.600000000000001</v>
      </c>
      <c r="AK1240" s="48" t="str">
        <f>IFERROR(VLOOKUP(Tabela3[[#This Row],[Produto]],Tabela2[],14,0),0)</f>
        <v>Jumil</v>
      </c>
      <c r="AL1240" s="40">
        <f>IFERROR(VLOOKUP(Tabela3[[#This Row],[Produto]],Tabela2[],15,0),0)</f>
        <v>8</v>
      </c>
      <c r="AM1240" s="36">
        <f ca="1">(Tabela3[[#This Row],[Custo Usinagem]]+Tabela3[[#This Row],[Custo / Pç]])*1.2</f>
        <v>60.968735064456311</v>
      </c>
      <c r="AN1240" s="36">
        <f ca="1">Tabela3[[#This Row],[Valor Mínimo Venda]]*1.15</f>
        <v>70.114045324124746</v>
      </c>
      <c r="AO1240" s="36">
        <f ca="1">Tabela3[[#This Row],[Tabela 1]]*1.08</f>
        <v>75.723168950054728</v>
      </c>
      <c r="AP1240" s="36">
        <f ca="1">Tabela3[[#This Row],[Tabela 2]]*1.15</f>
        <v>87.081644292562927</v>
      </c>
    </row>
    <row r="1241" spans="1:42">
      <c r="A1241" s="9">
        <v>46164</v>
      </c>
      <c r="B1241" s="9" t="s">
        <v>124</v>
      </c>
      <c r="C1241" s="14">
        <v>9676</v>
      </c>
      <c r="D1241" s="6" t="s">
        <v>44</v>
      </c>
      <c r="E1241" s="6" t="s">
        <v>47</v>
      </c>
      <c r="F1241" s="6">
        <v>21</v>
      </c>
      <c r="G1241" s="15">
        <v>8.2638888888888887E-2</v>
      </c>
      <c r="H1241" s="16">
        <v>0</v>
      </c>
      <c r="I1241" s="35">
        <f ca="1">IFERROR(Tabela3[[#This Row],[Custo Total]]/Tabela3[[#This Row],[Aluminio Util]],0)</f>
        <v>23.246935860733441</v>
      </c>
      <c r="J1241" s="35">
        <f ca="1">Tabela3[[#This Row],[Custo Total]]/Tabela3[[#This Row],[Realizado]]</f>
        <v>39.287321604639523</v>
      </c>
      <c r="K1241" s="37">
        <f>IFERROR(Tabela3[[#This Row],[Qtde Cx Produzida]]/Tabela3[[#This Row],[Tempo]]/24,0)</f>
        <v>10.588235294117647</v>
      </c>
      <c r="L1241" s="37">
        <f>Tabela3[[#This Row],[Qtde Cx Produzida]]*Tabela3[[#This Row],[Qdt Peça Placa]]</f>
        <v>21</v>
      </c>
      <c r="M1241" s="37">
        <f>Tabela3[[#This Row],[Previsto]]-Tabela3[[#This Row],[Perda Pçs]]</f>
        <v>21</v>
      </c>
      <c r="N1241" s="38">
        <f>IFERROR(Tabela3[[#This Row],[Perda Pçs]]/Tabela3[[#This Row],[Previsto]],0)</f>
        <v>0</v>
      </c>
      <c r="O1241" s="39">
        <f>IFERROR(IF(Tabela3[[#This Row],[Qtde Cx Produzida]] &lt;&gt; 0, Tabela3[[#This Row],[Tempo]] / Tabela3[[#This Row],[Qtde Cx Produzida]], 0),0)</f>
        <v>3.9351851851851848E-3</v>
      </c>
      <c r="P1241" s="57">
        <f>IFERROR(Tabela3[[#This Row],[Perda Pçs]]/Tabela3[[#This Row],[Qdt Peça Placa]],0)</f>
        <v>0</v>
      </c>
      <c r="Q1241" s="37">
        <f>IFERROR(Tabela3[[#This Row],[Realizado]]*Tabela3[[#This Row],[Peso Util/Pç]],0)</f>
        <v>35.49</v>
      </c>
      <c r="R1241" s="37">
        <f>IFERROR(Tabela3[[#This Row],[Peso Total Galho]]*Tabela3[[#This Row],[Qtde Cx Produzida]]*1.055,0)</f>
        <v>66.243449999999996</v>
      </c>
      <c r="S1241" s="37">
        <f>(Tabela3[[#This Row],[Aluminio Bruto]]-Tabela3[[#This Row],[Aluminio Util]])*0.9</f>
        <v>27.678104999999995</v>
      </c>
      <c r="T1241" s="37">
        <f>Tabela3[[#This Row],[Aluminio Bruto]]/OleoKGAluminio</f>
        <v>27.868533763042041</v>
      </c>
      <c r="U1241" s="35">
        <f>IFERROR((VLOOKUP(Tabela3[[#This Row],[Moldador]],Tabela1[],5,)+(VLOOKUP(Tabela3[[#This Row],[Ajudante]],Tabela1[],5,))*3.5),0)</f>
        <v>99.95034583333333</v>
      </c>
      <c r="V1241" s="35">
        <f>IFERROR(Tabela3[[#This Row],[Custo M.O. / H]]/((Tabela3[[#This Row],[Realizado]]/Tabela3[[#This Row],[Qdt Peça Placa]])/Tabela3[[#This Row],[Tempo]]/24),)</f>
        <v>9.4397548842592585</v>
      </c>
      <c r="W1241" s="35">
        <f>Tabela3[[#This Row],[Custo / Cx Moldada]]*Tabela3[[#This Row],[Qtde Cx Produzida]]</f>
        <v>198.23485256944443</v>
      </c>
      <c r="X1241" s="35">
        <f ca="1">Tabela3[[#This Row],[Aluminio Util]]*Tabela3[[#This Row],[Custo/Kg]]</f>
        <v>553.64400000000012</v>
      </c>
      <c r="Y1241" s="35">
        <f>IFERROR(VLOOKUP(Tabela3[[#This Row],[Data]],Tabela461213[],2,1)*(Tabela3[[#This Row],[Qtde Cx Produzida]]*Tabela3[[#This Row],[Qde macho / CX]]*Tabela3[[#This Row],[Peso Macho]]),)</f>
        <v>0</v>
      </c>
      <c r="Z1241" s="35">
        <f>IFERROR(Tabela3[[#This Row],[Qtde Oleo]]*(VLOOKUP(Tabela3[[#This Row],[Data]],CompraOleo[],3,TRUE))*1.05,0)</f>
        <v>73.154901127985354</v>
      </c>
      <c r="AA1241" s="47">
        <f ca="1">(Tabela3[[#This Row],[Custo Oleo]]+Tabela3[[#This Row],[Custo Aluminio]]+Tabela3[[#This Row],[Custo M.O. Total]]+Tabela3[[#This Row],[Custo Machos]])</f>
        <v>825.03375369742992</v>
      </c>
      <c r="AB1241" s="47">
        <f ca="1">Tabela3[[#This Row],[Custo Total]]*Tabela3[[#This Row],[% Perda]]</f>
        <v>0</v>
      </c>
      <c r="AC1241" s="40">
        <f>IFERROR(VLOOKUP(Tabela3[[#This Row],[Produto]],Tabela2[],2,0),0)</f>
        <v>1</v>
      </c>
      <c r="AD1241" s="48">
        <f>IFERROR(VLOOKUP(Tabela3[[#This Row],[Produto]],Tabela2[],3,0),0)</f>
        <v>1.69</v>
      </c>
      <c r="AE1241" s="48">
        <f>IFERROR(VLOOKUP(Tabela3[[#This Row],[Produto]],Tabela2[],4,0),0)</f>
        <v>2.99</v>
      </c>
      <c r="AF1241" s="48">
        <f>IFERROR(VLOOKUP(Tabela3[[#This Row],[Produto]],Tabela2[],5,0),0)</f>
        <v>1.1700000000000004</v>
      </c>
      <c r="AG1241" s="48">
        <f>IFERROR(VLOOKUP(Tabela3[[#This Row],[Produto]],Tabela2[],6,0),0)</f>
        <v>0</v>
      </c>
      <c r="AH1241" s="40">
        <f>IFERROR(VLOOKUP(Tabela3[[#This Row],[Produto]],Tabela2[],7,0),0)</f>
        <v>0</v>
      </c>
      <c r="AI1241" s="40">
        <f>IFERROR(VLOOKUP(Tabela3[[#This Row],[Produto]],Tabela2[],8,0),0)</f>
        <v>0</v>
      </c>
      <c r="AJ1241" s="35">
        <f ca="1">IFERROR(VLOOKUP(Tabela3[[#This Row],[Produto]],Tabela2[],13,0),0)</f>
        <v>15.600000000000001</v>
      </c>
      <c r="AK1241" s="48" t="str">
        <f>IFERROR(VLOOKUP(Tabela3[[#This Row],[Produto]],Tabela2[],14,0),0)</f>
        <v>Jumil</v>
      </c>
      <c r="AL1241" s="40">
        <f>IFERROR(VLOOKUP(Tabela3[[#This Row],[Produto]],Tabela2[],15,0),0)</f>
        <v>8</v>
      </c>
      <c r="AM1241" s="36">
        <f ca="1">(Tabela3[[#This Row],[Custo Usinagem]]+Tabela3[[#This Row],[Custo / Pç]])*1.2</f>
        <v>56.744785925567427</v>
      </c>
      <c r="AN1241" s="36">
        <f ca="1">Tabela3[[#This Row],[Valor Mínimo Venda]]*1.15</f>
        <v>65.256503814402535</v>
      </c>
      <c r="AO1241" s="36">
        <f ca="1">Tabela3[[#This Row],[Tabela 1]]*1.08</f>
        <v>70.477024119554741</v>
      </c>
      <c r="AP1241" s="36">
        <f ca="1">Tabela3[[#This Row],[Tabela 2]]*1.15</f>
        <v>81.048577737487946</v>
      </c>
    </row>
    <row r="1242" spans="1:42">
      <c r="A1242" s="9">
        <v>46164</v>
      </c>
      <c r="B1242" s="9" t="s">
        <v>259</v>
      </c>
      <c r="C1242" s="14">
        <v>9737</v>
      </c>
      <c r="D1242" s="6" t="s">
        <v>46</v>
      </c>
      <c r="E1242" s="6" t="s">
        <v>44</v>
      </c>
      <c r="F1242" s="6">
        <v>12</v>
      </c>
      <c r="G1242" s="15">
        <v>6.1805555555555558E-2</v>
      </c>
      <c r="H1242" s="16">
        <v>0</v>
      </c>
      <c r="I1242" s="35">
        <f ca="1">IFERROR(Tabela3[[#This Row],[Custo Total]]/Tabela3[[#This Row],[Aluminio Util]],0)</f>
        <v>31.403451279509554</v>
      </c>
      <c r="J1242" s="35">
        <f ca="1">Tabela3[[#This Row],[Custo Total]]/Tabela3[[#This Row],[Realizado]]</f>
        <v>18.842070767705732</v>
      </c>
      <c r="K1242" s="37">
        <f>IFERROR(Tabela3[[#This Row],[Qtde Cx Produzida]]/Tabela3[[#This Row],[Tempo]]/24,0)</f>
        <v>8.0898876404494384</v>
      </c>
      <c r="L1242" s="37">
        <f>Tabela3[[#This Row],[Qtde Cx Produzida]]*Tabela3[[#This Row],[Qdt Peça Placa]]</f>
        <v>24</v>
      </c>
      <c r="M1242" s="37">
        <f>Tabela3[[#This Row],[Previsto]]-Tabela3[[#This Row],[Perda Pçs]]</f>
        <v>24</v>
      </c>
      <c r="N1242" s="38">
        <f>IFERROR(Tabela3[[#This Row],[Perda Pçs]]/Tabela3[[#This Row],[Previsto]],0)</f>
        <v>0</v>
      </c>
      <c r="O1242" s="39">
        <f>IFERROR(IF(Tabela3[[#This Row],[Qtde Cx Produzida]] &lt;&gt; 0, Tabela3[[#This Row],[Tempo]] / Tabela3[[#This Row],[Qtde Cx Produzida]], 0),0)</f>
        <v>5.1504629629629635E-3</v>
      </c>
      <c r="P1242" s="57">
        <f>IFERROR(Tabela3[[#This Row],[Perda Pçs]]/Tabela3[[#This Row],[Qdt Peça Placa]],0)</f>
        <v>0</v>
      </c>
      <c r="Q1242" s="37">
        <f>IFERROR(Tabela3[[#This Row],[Realizado]]*Tabela3[[#This Row],[Peso Util/Pç]],0)</f>
        <v>14.399999999999999</v>
      </c>
      <c r="R1242" s="37">
        <f>IFERROR(Tabela3[[#This Row],[Peso Total Galho]]*Tabela3[[#This Row],[Qtde Cx Produzida]]*1.055,0)</f>
        <v>24.053999999999995</v>
      </c>
      <c r="S1242" s="37">
        <f>(Tabela3[[#This Row],[Aluminio Bruto]]-Tabela3[[#This Row],[Aluminio Util]])*0.9</f>
        <v>8.6885999999999974</v>
      </c>
      <c r="T1242" s="37">
        <f>Tabela3[[#This Row],[Aluminio Bruto]]/OleoKGAluminio</f>
        <v>10.119486698476804</v>
      </c>
      <c r="U1242" s="35">
        <f>IFERROR((VLOOKUP(Tabela3[[#This Row],[Moldador]],Tabela1[],5,)+(VLOOKUP(Tabela3[[#This Row],[Ajudante]],Tabela1[],5,))*3.5),0)</f>
        <v>126.0945</v>
      </c>
      <c r="V1242" s="35">
        <f>IFERROR(Tabela3[[#This Row],[Custo M.O. / H]]/((Tabela3[[#This Row],[Realizado]]/Tabela3[[#This Row],[Qdt Peça Placa]])/Tabela3[[#This Row],[Tempo]]/24),)</f>
        <v>15.58668125</v>
      </c>
      <c r="W1242" s="35">
        <f>Tabela3[[#This Row],[Custo / Cx Moldada]]*Tabela3[[#This Row],[Qtde Cx Produzida]]</f>
        <v>187.040175</v>
      </c>
      <c r="X1242" s="35">
        <f ca="1">Tabela3[[#This Row],[Aluminio Util]]*Tabela3[[#This Row],[Custo/Kg]]</f>
        <v>238.60587084143594</v>
      </c>
      <c r="Y1242" s="35">
        <f>IFERROR(VLOOKUP(Tabela3[[#This Row],[Data]],Tabela461213[],2,1)*(Tabela3[[#This Row],[Qtde Cx Produzida]]*Tabela3[[#This Row],[Qde macho / CX]]*Tabela3[[#This Row],[Peso Macho]]),)</f>
        <v>0</v>
      </c>
      <c r="Z1242" s="35">
        <f>IFERROR(Tabela3[[#This Row],[Qtde Oleo]]*(VLOOKUP(Tabela3[[#This Row],[Data]],CompraOleo[],3,TRUE))*1.05,0)</f>
        <v>26.563652583501611</v>
      </c>
      <c r="AA1242" s="47">
        <f ca="1">(Tabela3[[#This Row],[Custo Oleo]]+Tabela3[[#This Row],[Custo Aluminio]]+Tabela3[[#This Row],[Custo M.O. Total]]+Tabela3[[#This Row],[Custo Machos]])</f>
        <v>452.20969842493753</v>
      </c>
      <c r="AB1242" s="47">
        <f ca="1">Tabela3[[#This Row],[Custo Total]]*Tabela3[[#This Row],[% Perda]]</f>
        <v>0</v>
      </c>
      <c r="AC1242" s="40">
        <f>IFERROR(VLOOKUP(Tabela3[[#This Row],[Produto]],Tabela2[],2,0),0)</f>
        <v>2</v>
      </c>
      <c r="AD1242" s="48">
        <f>IFERROR(VLOOKUP(Tabela3[[#This Row],[Produto]],Tabela2[],3,0),0)</f>
        <v>0.6</v>
      </c>
      <c r="AE1242" s="48">
        <f>IFERROR(VLOOKUP(Tabela3[[#This Row],[Produto]],Tabela2[],4,0),0)</f>
        <v>1.9</v>
      </c>
      <c r="AF1242" s="48">
        <f>IFERROR(VLOOKUP(Tabela3[[#This Row],[Produto]],Tabela2[],5,0),0)</f>
        <v>0.63</v>
      </c>
      <c r="AG1242" s="48">
        <f>IFERROR(VLOOKUP(Tabela3[[#This Row],[Produto]],Tabela2[],6,0),0)</f>
        <v>0</v>
      </c>
      <c r="AH1242" s="40">
        <f>IFERROR(VLOOKUP(Tabela3[[#This Row],[Produto]],Tabela2[],7,0),0)</f>
        <v>0</v>
      </c>
      <c r="AI1242" s="40">
        <f>IFERROR(VLOOKUP(Tabela3[[#This Row],[Produto]],Tabela2[],8,0),0)</f>
        <v>0</v>
      </c>
      <c r="AJ1242" s="35">
        <f ca="1">IFERROR(VLOOKUP(Tabela3[[#This Row],[Produto]],Tabela2[],13,0),0)</f>
        <v>16.569852141766386</v>
      </c>
      <c r="AK1242" s="48" t="str">
        <f>IFERROR(VLOOKUP(Tabela3[[#This Row],[Produto]],Tabela2[],14,0),0)</f>
        <v>DANILO</v>
      </c>
      <c r="AL1242" s="40">
        <f>IFERROR(VLOOKUP(Tabela3[[#This Row],[Produto]],Tabela2[],15,0),0)</f>
        <v>0</v>
      </c>
      <c r="AM1242" s="36">
        <f ca="1">(Tabela3[[#This Row],[Custo Usinagem]]+Tabela3[[#This Row],[Custo / Pç]])*1.2</f>
        <v>22.610484921246876</v>
      </c>
      <c r="AN1242" s="36">
        <f ca="1">Tabela3[[#This Row],[Valor Mínimo Venda]]*1.15</f>
        <v>26.002057659433905</v>
      </c>
      <c r="AO1242" s="36">
        <f ca="1">Tabela3[[#This Row],[Tabela 1]]*1.08</f>
        <v>28.08222227218862</v>
      </c>
      <c r="AP1242" s="36">
        <f ca="1">Tabela3[[#This Row],[Tabela 2]]*1.15</f>
        <v>32.294555613016911</v>
      </c>
    </row>
    <row r="1243" spans="1:42">
      <c r="A1243" s="9">
        <v>46164</v>
      </c>
      <c r="B1243" s="9" t="s">
        <v>261</v>
      </c>
      <c r="C1243" s="14">
        <v>9739</v>
      </c>
      <c r="D1243" s="6" t="s">
        <v>46</v>
      </c>
      <c r="E1243" s="6" t="s">
        <v>44</v>
      </c>
      <c r="F1243" s="6">
        <v>6</v>
      </c>
      <c r="G1243" s="15">
        <v>2.4305555555555556E-2</v>
      </c>
      <c r="H1243" s="16">
        <v>0</v>
      </c>
      <c r="I1243" s="35">
        <f ca="1">IFERROR(Tabela3[[#This Row],[Custo Total]]/Tabela3[[#This Row],[Aluminio Util]],0)</f>
        <v>29.832881654007341</v>
      </c>
      <c r="J1243" s="35">
        <f ca="1">Tabela3[[#This Row],[Custo Total]]/Tabela3[[#This Row],[Realizado]]</f>
        <v>16.408084909704041</v>
      </c>
      <c r="K1243" s="37">
        <f>IFERROR(Tabela3[[#This Row],[Qtde Cx Produzida]]/Tabela3[[#This Row],[Tempo]]/24,0)</f>
        <v>10.285714285714286</v>
      </c>
      <c r="L1243" s="37">
        <f>Tabela3[[#This Row],[Qtde Cx Produzida]]*Tabela3[[#This Row],[Qdt Peça Placa]]</f>
        <v>12</v>
      </c>
      <c r="M1243" s="37">
        <f>Tabela3[[#This Row],[Previsto]]-Tabela3[[#This Row],[Perda Pçs]]</f>
        <v>12</v>
      </c>
      <c r="N1243" s="38">
        <f>IFERROR(Tabela3[[#This Row],[Perda Pçs]]/Tabela3[[#This Row],[Previsto]],0)</f>
        <v>0</v>
      </c>
      <c r="O1243" s="39">
        <f>IFERROR(IF(Tabela3[[#This Row],[Qtde Cx Produzida]] &lt;&gt; 0, Tabela3[[#This Row],[Tempo]] / Tabela3[[#This Row],[Qtde Cx Produzida]], 0),0)</f>
        <v>4.0509259259259257E-3</v>
      </c>
      <c r="P1243" s="57">
        <f>IFERROR(Tabela3[[#This Row],[Perda Pçs]]/Tabela3[[#This Row],[Qdt Peça Placa]],0)</f>
        <v>0</v>
      </c>
      <c r="Q1243" s="37">
        <f>IFERROR(Tabela3[[#This Row],[Realizado]]*Tabela3[[#This Row],[Peso Util/Pç]],0)</f>
        <v>6.6000000000000005</v>
      </c>
      <c r="R1243" s="37">
        <f>IFERROR(Tabela3[[#This Row],[Peso Total Galho]]*Tabela3[[#This Row],[Qtde Cx Produzida]]*1.055,0)</f>
        <v>12.66</v>
      </c>
      <c r="S1243" s="37">
        <f>(Tabela3[[#This Row],[Aluminio Bruto]]-Tabela3[[#This Row],[Aluminio Util]])*0.9</f>
        <v>5.4539999999999997</v>
      </c>
      <c r="T1243" s="37">
        <f>Tabela3[[#This Row],[Aluminio Bruto]]/OleoKGAluminio</f>
        <v>5.3260456307772657</v>
      </c>
      <c r="U1243" s="35">
        <f>IFERROR((VLOOKUP(Tabela3[[#This Row],[Moldador]],Tabela1[],5,)+(VLOOKUP(Tabela3[[#This Row],[Ajudante]],Tabela1[],5,))*3.5),0)</f>
        <v>126.0945</v>
      </c>
      <c r="V1243" s="35">
        <f>IFERROR(Tabela3[[#This Row],[Custo M.O. / H]]/((Tabela3[[#This Row],[Realizado]]/Tabela3[[#This Row],[Qdt Peça Placa]])/Tabela3[[#This Row],[Tempo]]/24),)</f>
        <v>12.259187499999999</v>
      </c>
      <c r="W1243" s="35">
        <f>Tabela3[[#This Row],[Custo / Cx Moldada]]*Tabela3[[#This Row],[Qtde Cx Produzida]]</f>
        <v>73.555125000000004</v>
      </c>
      <c r="X1243" s="35">
        <f ca="1">Tabela3[[#This Row],[Aluminio Util]]*Tabela3[[#This Row],[Custo/Kg]]</f>
        <v>109.36102413565816</v>
      </c>
      <c r="Y1243" s="35">
        <f>IFERROR(VLOOKUP(Tabela3[[#This Row],[Data]],Tabela461213[],2,1)*(Tabela3[[#This Row],[Qtde Cx Produzida]]*Tabela3[[#This Row],[Qde macho / CX]]*Tabela3[[#This Row],[Peso Macho]]),)</f>
        <v>0</v>
      </c>
      <c r="Z1243" s="35">
        <f>IFERROR(Tabela3[[#This Row],[Qtde Oleo]]*(VLOOKUP(Tabela3[[#This Row],[Data]],CompraOleo[],3,TRUE))*1.05,0)</f>
        <v>13.980869780790323</v>
      </c>
      <c r="AA1243" s="47">
        <f ca="1">(Tabela3[[#This Row],[Custo Oleo]]+Tabela3[[#This Row],[Custo Aluminio]]+Tabela3[[#This Row],[Custo M.O. Total]]+Tabela3[[#This Row],[Custo Machos]])</f>
        <v>196.89701891644847</v>
      </c>
      <c r="AB1243" s="47">
        <f ca="1">Tabela3[[#This Row],[Custo Total]]*Tabela3[[#This Row],[% Perda]]</f>
        <v>0</v>
      </c>
      <c r="AC1243" s="40">
        <f>IFERROR(VLOOKUP(Tabela3[[#This Row],[Produto]],Tabela2[],2,0),0)</f>
        <v>2</v>
      </c>
      <c r="AD1243" s="48">
        <f>IFERROR(VLOOKUP(Tabela3[[#This Row],[Produto]],Tabela2[],3,0),0)</f>
        <v>0.55000000000000004</v>
      </c>
      <c r="AE1243" s="48">
        <f>IFERROR(VLOOKUP(Tabela3[[#This Row],[Produto]],Tabela2[],4,0),0)</f>
        <v>2</v>
      </c>
      <c r="AF1243" s="48">
        <f>IFERROR(VLOOKUP(Tabela3[[#This Row],[Produto]],Tabela2[],5,0),0)</f>
        <v>0.80999999999999994</v>
      </c>
      <c r="AG1243" s="48">
        <f>IFERROR(VLOOKUP(Tabela3[[#This Row],[Produto]],Tabela2[],6,0),0)</f>
        <v>0</v>
      </c>
      <c r="AH1243" s="40">
        <f>IFERROR(VLOOKUP(Tabela3[[#This Row],[Produto]],Tabela2[],7,0),0)</f>
        <v>0</v>
      </c>
      <c r="AI1243" s="40">
        <f>IFERROR(VLOOKUP(Tabela3[[#This Row],[Produto]],Tabela2[],8,0),0)</f>
        <v>0</v>
      </c>
      <c r="AJ1243" s="35">
        <f ca="1">IFERROR(VLOOKUP(Tabela3[[#This Row],[Produto]],Tabela2[],13,0),0)</f>
        <v>16.569852141766386</v>
      </c>
      <c r="AK1243" s="48" t="str">
        <f>IFERROR(VLOOKUP(Tabela3[[#This Row],[Produto]],Tabela2[],14,0),0)</f>
        <v>Danilo</v>
      </c>
      <c r="AL1243" s="40">
        <f>IFERROR(VLOOKUP(Tabela3[[#This Row],[Produto]],Tabela2[],15,0),0)</f>
        <v>0</v>
      </c>
      <c r="AM1243" s="36">
        <f ca="1">(Tabela3[[#This Row],[Custo Usinagem]]+Tabela3[[#This Row],[Custo / Pç]])*1.2</f>
        <v>19.689701891644848</v>
      </c>
      <c r="AN1243" s="36">
        <f ca="1">Tabela3[[#This Row],[Valor Mínimo Venda]]*1.15</f>
        <v>22.643157175391572</v>
      </c>
      <c r="AO1243" s="36">
        <f ca="1">Tabela3[[#This Row],[Tabela 1]]*1.08</f>
        <v>24.4546097494229</v>
      </c>
      <c r="AP1243" s="36">
        <f ca="1">Tabela3[[#This Row],[Tabela 2]]*1.15</f>
        <v>28.122801211836332</v>
      </c>
    </row>
    <row r="1244" spans="1:42">
      <c r="A1244" s="9">
        <v>46164</v>
      </c>
      <c r="B1244" s="9" t="s">
        <v>281</v>
      </c>
      <c r="C1244" s="14">
        <v>9740</v>
      </c>
      <c r="D1244" s="6" t="s">
        <v>46</v>
      </c>
      <c r="E1244" s="6" t="s">
        <v>44</v>
      </c>
      <c r="F1244" s="6">
        <v>2</v>
      </c>
      <c r="G1244" s="15">
        <v>8.3333333333333332E-3</v>
      </c>
      <c r="H1244" s="16">
        <v>0</v>
      </c>
      <c r="I1244" s="35">
        <f ca="1">IFERROR(Tabela3[[#This Row],[Custo Total]]/Tabela3[[#This Row],[Aluminio Util]],0)</f>
        <v>38.216617880922001</v>
      </c>
      <c r="J1244" s="35">
        <f ca="1">Tabela3[[#This Row],[Custo Total]]/Tabela3[[#This Row],[Realizado]]</f>
        <v>1.2611483900704261</v>
      </c>
      <c r="K1244" s="37">
        <f>IFERROR(Tabela3[[#This Row],[Qtde Cx Produzida]]/Tabela3[[#This Row],[Tempo]]/24,0)</f>
        <v>10</v>
      </c>
      <c r="L1244" s="37">
        <f>Tabela3[[#This Row],[Qtde Cx Produzida]]*Tabela3[[#This Row],[Qdt Peça Placa]]</f>
        <v>48</v>
      </c>
      <c r="M1244" s="37">
        <f>Tabela3[[#This Row],[Previsto]]-Tabela3[[#This Row],[Perda Pçs]]</f>
        <v>48</v>
      </c>
      <c r="N1244" s="38">
        <f>IFERROR(Tabela3[[#This Row],[Perda Pçs]]/Tabela3[[#This Row],[Previsto]],0)</f>
        <v>0</v>
      </c>
      <c r="O1244" s="39">
        <f>IFERROR(IF(Tabela3[[#This Row],[Qtde Cx Produzida]] &lt;&gt; 0, Tabela3[[#This Row],[Tempo]] / Tabela3[[#This Row],[Qtde Cx Produzida]], 0),0)</f>
        <v>4.1666666666666666E-3</v>
      </c>
      <c r="P1244" s="57">
        <f>IFERROR(Tabela3[[#This Row],[Perda Pçs]]/Tabela3[[#This Row],[Qdt Peça Placa]],0)</f>
        <v>0</v>
      </c>
      <c r="Q1244" s="37">
        <f>IFERROR(Tabela3[[#This Row],[Realizado]]*Tabela3[[#This Row],[Peso Util/Pç]],0)</f>
        <v>1.5840000000000001</v>
      </c>
      <c r="R1244" s="37">
        <f>IFERROR(Tabela3[[#This Row],[Peso Total Galho]]*Tabela3[[#This Row],[Qtde Cx Produzida]]*1.055,0)</f>
        <v>6.7351200000000002</v>
      </c>
      <c r="S1244" s="37">
        <f>(Tabela3[[#This Row],[Aluminio Bruto]]-Tabela3[[#This Row],[Aluminio Util]])*0.9</f>
        <v>4.6360080000000004</v>
      </c>
      <c r="T1244" s="37">
        <f>Tabela3[[#This Row],[Aluminio Bruto]]/OleoKGAluminio</f>
        <v>2.8334562755735053</v>
      </c>
      <c r="U1244" s="35">
        <f>IFERROR((VLOOKUP(Tabela3[[#This Row],[Moldador]],Tabela1[],5,)+(VLOOKUP(Tabela3[[#This Row],[Ajudante]],Tabela1[],5,))*3.5),0)</f>
        <v>126.0945</v>
      </c>
      <c r="V1244" s="35">
        <f>IFERROR(Tabela3[[#This Row],[Custo M.O. / H]]/((Tabela3[[#This Row],[Realizado]]/Tabela3[[#This Row],[Qdt Peça Placa]])/Tabela3[[#This Row],[Tempo]]/24),)</f>
        <v>12.609449999999999</v>
      </c>
      <c r="W1244" s="35">
        <f>Tabela3[[#This Row],[Custo / Cx Moldada]]*Tabela3[[#This Row],[Qtde Cx Produzida]]</f>
        <v>25.218899999999998</v>
      </c>
      <c r="X1244" s="35">
        <f ca="1">Tabela3[[#This Row],[Aluminio Util]]*Tabela3[[#This Row],[Custo/Kg]]</f>
        <v>27.878400000000003</v>
      </c>
      <c r="Y1244" s="35">
        <f>IFERROR(VLOOKUP(Tabela3[[#This Row],[Data]],Tabela461213[],2,1)*(Tabela3[[#This Row],[Qtde Cx Produzida]]*Tabela3[[#This Row],[Qde macho / CX]]*Tabela3[[#This Row],[Peso Macho]]),)</f>
        <v>0</v>
      </c>
      <c r="Z1244" s="35">
        <f>IFERROR(Tabela3[[#This Row],[Qtde Oleo]]*(VLOOKUP(Tabela3[[#This Row],[Data]],CompraOleo[],3,TRUE))*1.05,0)</f>
        <v>7.4378227233804521</v>
      </c>
      <c r="AA1244" s="47">
        <f ca="1">(Tabela3[[#This Row],[Custo Oleo]]+Tabela3[[#This Row],[Custo Aluminio]]+Tabela3[[#This Row],[Custo M.O. Total]]+Tabela3[[#This Row],[Custo Machos]])</f>
        <v>60.535122723380454</v>
      </c>
      <c r="AB1244" s="47">
        <f ca="1">Tabela3[[#This Row],[Custo Total]]*Tabela3[[#This Row],[% Perda]]</f>
        <v>0</v>
      </c>
      <c r="AC1244" s="40">
        <f>IFERROR(VLOOKUP(Tabela3[[#This Row],[Produto]],Tabela2[],2,0),0)</f>
        <v>24</v>
      </c>
      <c r="AD1244" s="48">
        <f>IFERROR(VLOOKUP(Tabela3[[#This Row],[Produto]],Tabela2[],3,0),0)</f>
        <v>3.3000000000000002E-2</v>
      </c>
      <c r="AE1244" s="48">
        <f>IFERROR(VLOOKUP(Tabela3[[#This Row],[Produto]],Tabela2[],4,0),0)</f>
        <v>3.1920000000000002</v>
      </c>
      <c r="AF1244" s="48">
        <f>IFERROR(VLOOKUP(Tabela3[[#This Row],[Produto]],Tabela2[],5,0),0)</f>
        <v>2.1600000000000006</v>
      </c>
      <c r="AG1244" s="48">
        <f>IFERROR(VLOOKUP(Tabela3[[#This Row],[Produto]],Tabela2[],6,0),0)</f>
        <v>0</v>
      </c>
      <c r="AH1244" s="40">
        <f>IFERROR(VLOOKUP(Tabela3[[#This Row],[Produto]],Tabela2[],7,0),0)</f>
        <v>0</v>
      </c>
      <c r="AI1244" s="40">
        <f>IFERROR(VLOOKUP(Tabela3[[#This Row],[Produto]],Tabela2[],8,0),0)</f>
        <v>0</v>
      </c>
      <c r="AJ1244" s="35">
        <f ca="1">IFERROR(VLOOKUP(Tabela3[[#This Row],[Produto]],Tabela2[],13,0),0)</f>
        <v>17.600000000000001</v>
      </c>
      <c r="AK1244" s="48" t="str">
        <f>IFERROR(VLOOKUP(Tabela3[[#This Row],[Produto]],Tabela2[],14,0),0)</f>
        <v>Oscar</v>
      </c>
      <c r="AL1244" s="40">
        <f>IFERROR(VLOOKUP(Tabela3[[#This Row],[Produto]],Tabela2[],15,0),0)</f>
        <v>0</v>
      </c>
      <c r="AM1244" s="36">
        <f ca="1">(Tabela3[[#This Row],[Custo Usinagem]]+Tabela3[[#This Row],[Custo / Pç]])*1.2</f>
        <v>1.5133780680845113</v>
      </c>
      <c r="AN1244" s="36">
        <f ca="1">Tabela3[[#This Row],[Valor Mínimo Venda]]*1.15</f>
        <v>1.7403847782971877</v>
      </c>
      <c r="AO1244" s="36">
        <f ca="1">Tabela3[[#This Row],[Tabela 1]]*1.08</f>
        <v>1.8796155605609628</v>
      </c>
      <c r="AP1244" s="36">
        <f ca="1">Tabela3[[#This Row],[Tabela 2]]*1.15</f>
        <v>2.1615578946451071</v>
      </c>
    </row>
    <row r="1245" spans="1:42">
      <c r="A1245" s="9">
        <v>46167</v>
      </c>
      <c r="B1245" s="9" t="s">
        <v>124</v>
      </c>
      <c r="C1245" s="14">
        <v>9676</v>
      </c>
      <c r="D1245" s="6" t="s">
        <v>46</v>
      </c>
      <c r="E1245" s="6" t="s">
        <v>50</v>
      </c>
      <c r="F1245" s="6">
        <v>3</v>
      </c>
      <c r="G1245" s="15">
        <v>1.7361111111111112E-2</v>
      </c>
      <c r="H1245" s="16">
        <v>0</v>
      </c>
      <c r="I1245" s="35">
        <f ca="1">IFERROR(Tabela3[[#This Row],[Custo Total]]/Tabela3[[#This Row],[Aluminio Util]],0)</f>
        <v>25.87547881493024</v>
      </c>
      <c r="J1245" s="35">
        <f ca="1">Tabela3[[#This Row],[Custo Total]]/Tabela3[[#This Row],[Realizado]]</f>
        <v>43.729559197232106</v>
      </c>
      <c r="K1245" s="37">
        <f>IFERROR(Tabela3[[#This Row],[Qtde Cx Produzida]]/Tabela3[[#This Row],[Tempo]]/24,0)</f>
        <v>7.1999999999999993</v>
      </c>
      <c r="L1245" s="37">
        <f>Tabela3[[#This Row],[Qtde Cx Produzida]]*Tabela3[[#This Row],[Qdt Peça Placa]]</f>
        <v>3</v>
      </c>
      <c r="M1245" s="37">
        <f>Tabela3[[#This Row],[Previsto]]-Tabela3[[#This Row],[Perda Pçs]]</f>
        <v>3</v>
      </c>
      <c r="N1245" s="38">
        <f>IFERROR(Tabela3[[#This Row],[Perda Pçs]]/Tabela3[[#This Row],[Previsto]],0)</f>
        <v>0</v>
      </c>
      <c r="O1245" s="39">
        <f>IFERROR(IF(Tabela3[[#This Row],[Qtde Cx Produzida]] &lt;&gt; 0, Tabela3[[#This Row],[Tempo]] / Tabela3[[#This Row],[Qtde Cx Produzida]], 0),0)</f>
        <v>5.7870370370370376E-3</v>
      </c>
      <c r="P1245" s="57">
        <f>IFERROR(Tabela3[[#This Row],[Perda Pçs]]/Tabela3[[#This Row],[Qdt Peça Placa]],0)</f>
        <v>0</v>
      </c>
      <c r="Q1245" s="37">
        <f>IFERROR(Tabela3[[#This Row],[Realizado]]*Tabela3[[#This Row],[Peso Util/Pç]],0)</f>
        <v>5.07</v>
      </c>
      <c r="R1245" s="37">
        <f>IFERROR(Tabela3[[#This Row],[Peso Total Galho]]*Tabela3[[#This Row],[Qtde Cx Produzida]]*1.055,0)</f>
        <v>9.4633500000000002</v>
      </c>
      <c r="S1245" s="37">
        <f>(Tabela3[[#This Row],[Aluminio Bruto]]-Tabela3[[#This Row],[Aluminio Util]])*0.9</f>
        <v>3.9540150000000001</v>
      </c>
      <c r="T1245" s="37">
        <f>Tabela3[[#This Row],[Aluminio Bruto]]/OleoKGAluminio</f>
        <v>3.9812191090060063</v>
      </c>
      <c r="U1245" s="35">
        <f>IFERROR((VLOOKUP(Tabela3[[#This Row],[Moldador]],Tabela1[],5,)+(VLOOKUP(Tabela3[[#This Row],[Ajudante]],Tabela1[],5,))*3.5),0)</f>
        <v>99.95034583333333</v>
      </c>
      <c r="V1245" s="35">
        <f>IFERROR(Tabela3[[#This Row],[Custo M.O. / H]]/((Tabela3[[#This Row],[Realizado]]/Tabela3[[#This Row],[Qdt Peça Placa]])/Tabela3[[#This Row],[Tempo]]/24),)</f>
        <v>13.881992476851853</v>
      </c>
      <c r="W1245" s="35">
        <f>Tabela3[[#This Row],[Custo / Cx Moldada]]*Tabela3[[#This Row],[Qtde Cx Produzida]]</f>
        <v>41.645977430555561</v>
      </c>
      <c r="X1245" s="35">
        <f ca="1">Tabela3[[#This Row],[Aluminio Util]]*Tabela3[[#This Row],[Custo/Kg]]</f>
        <v>79.092000000000013</v>
      </c>
      <c r="Y1245" s="35">
        <f>IFERROR(VLOOKUP(Tabela3[[#This Row],[Data]],Tabela461213[],2,1)*(Tabela3[[#This Row],[Qtde Cx Produzida]]*Tabela3[[#This Row],[Qde macho / CX]]*Tabela3[[#This Row],[Peso Macho]]),)</f>
        <v>0</v>
      </c>
      <c r="Z1245" s="35">
        <f>IFERROR(Tabela3[[#This Row],[Qtde Oleo]]*(VLOOKUP(Tabela3[[#This Row],[Data]],CompraOleo[],3,TRUE))*1.05,0)</f>
        <v>10.450700161140766</v>
      </c>
      <c r="AA1245" s="47">
        <f ca="1">(Tabela3[[#This Row],[Custo Oleo]]+Tabela3[[#This Row],[Custo Aluminio]]+Tabela3[[#This Row],[Custo M.O. Total]]+Tabela3[[#This Row],[Custo Machos]])</f>
        <v>131.18867759169632</v>
      </c>
      <c r="AB1245" s="47">
        <f ca="1">Tabela3[[#This Row],[Custo Total]]*Tabela3[[#This Row],[% Perda]]</f>
        <v>0</v>
      </c>
      <c r="AC1245" s="40">
        <f>IFERROR(VLOOKUP(Tabela3[[#This Row],[Produto]],Tabela2[],2,0),0)</f>
        <v>1</v>
      </c>
      <c r="AD1245" s="48">
        <f>IFERROR(VLOOKUP(Tabela3[[#This Row],[Produto]],Tabela2[],3,0),0)</f>
        <v>1.69</v>
      </c>
      <c r="AE1245" s="48">
        <f>IFERROR(VLOOKUP(Tabela3[[#This Row],[Produto]],Tabela2[],4,0),0)</f>
        <v>2.99</v>
      </c>
      <c r="AF1245" s="48">
        <f>IFERROR(VLOOKUP(Tabela3[[#This Row],[Produto]],Tabela2[],5,0),0)</f>
        <v>1.1700000000000004</v>
      </c>
      <c r="AG1245" s="48">
        <f>IFERROR(VLOOKUP(Tabela3[[#This Row],[Produto]],Tabela2[],6,0),0)</f>
        <v>0</v>
      </c>
      <c r="AH1245" s="40">
        <f>IFERROR(VLOOKUP(Tabela3[[#This Row],[Produto]],Tabela2[],7,0),0)</f>
        <v>0</v>
      </c>
      <c r="AI1245" s="40">
        <f>IFERROR(VLOOKUP(Tabela3[[#This Row],[Produto]],Tabela2[],8,0),0)</f>
        <v>0</v>
      </c>
      <c r="AJ1245" s="35">
        <f ca="1">IFERROR(VLOOKUP(Tabela3[[#This Row],[Produto]],Tabela2[],13,0),0)</f>
        <v>15.600000000000001</v>
      </c>
      <c r="AK1245" s="48" t="str">
        <f>IFERROR(VLOOKUP(Tabela3[[#This Row],[Produto]],Tabela2[],14,0),0)</f>
        <v>Jumil</v>
      </c>
      <c r="AL1245" s="40">
        <f>IFERROR(VLOOKUP(Tabela3[[#This Row],[Produto]],Tabela2[],15,0),0)</f>
        <v>8</v>
      </c>
      <c r="AM1245" s="36">
        <f ca="1">(Tabela3[[#This Row],[Custo Usinagem]]+Tabela3[[#This Row],[Custo / Pç]])*1.2</f>
        <v>62.075471036678522</v>
      </c>
      <c r="AN1245" s="36">
        <f ca="1">Tabela3[[#This Row],[Valor Mínimo Venda]]*1.15</f>
        <v>71.386791692180296</v>
      </c>
      <c r="AO1245" s="36">
        <f ca="1">Tabela3[[#This Row],[Tabela 1]]*1.08</f>
        <v>77.09773502755472</v>
      </c>
      <c r="AP1245" s="36">
        <f ca="1">Tabela3[[#This Row],[Tabela 2]]*1.15</f>
        <v>88.662395281687921</v>
      </c>
    </row>
    <row r="1246" spans="1:42">
      <c r="A1246" s="9">
        <v>46167</v>
      </c>
      <c r="B1246" s="9" t="s">
        <v>229</v>
      </c>
      <c r="C1246" s="14">
        <v>9683</v>
      </c>
      <c r="D1246" s="6" t="s">
        <v>46</v>
      </c>
      <c r="E1246" s="6" t="s">
        <v>50</v>
      </c>
      <c r="F1246" s="6">
        <v>10</v>
      </c>
      <c r="G1246" s="15">
        <v>5.2777777777777778E-2</v>
      </c>
      <c r="H1246" s="16">
        <v>0</v>
      </c>
      <c r="I1246" s="35">
        <f ca="1">IFERROR(Tabela3[[#This Row],[Custo Total]]/Tabela3[[#This Row],[Aluminio Util]],0)</f>
        <v>21.666316964566935</v>
      </c>
      <c r="J1246" s="35">
        <f ca="1">Tabela3[[#This Row],[Custo Total]]/Tabela3[[#This Row],[Realizado]]</f>
        <v>60.405691697212617</v>
      </c>
      <c r="K1246" s="37">
        <f>IFERROR(Tabela3[[#This Row],[Qtde Cx Produzida]]/Tabela3[[#This Row],[Tempo]]/24,0)</f>
        <v>7.8947368421052637</v>
      </c>
      <c r="L1246" s="37">
        <f>Tabela3[[#This Row],[Qtde Cx Produzida]]*Tabela3[[#This Row],[Qdt Peça Placa]]</f>
        <v>10</v>
      </c>
      <c r="M1246" s="37">
        <f>Tabela3[[#This Row],[Previsto]]-Tabela3[[#This Row],[Perda Pçs]]</f>
        <v>10</v>
      </c>
      <c r="N1246" s="38">
        <f>IFERROR(Tabela3[[#This Row],[Perda Pçs]]/Tabela3[[#This Row],[Previsto]],0)</f>
        <v>0</v>
      </c>
      <c r="O1246" s="39">
        <f>IFERROR(IF(Tabela3[[#This Row],[Qtde Cx Produzida]] &lt;&gt; 0, Tabela3[[#This Row],[Tempo]] / Tabela3[[#This Row],[Qtde Cx Produzida]], 0),0)</f>
        <v>5.2777777777777779E-3</v>
      </c>
      <c r="P1246" s="57">
        <f>IFERROR(Tabela3[[#This Row],[Perda Pçs]]/Tabela3[[#This Row],[Qdt Peça Placa]],0)</f>
        <v>0</v>
      </c>
      <c r="Q1246" s="37">
        <f>IFERROR(Tabela3[[#This Row],[Realizado]]*Tabela3[[#This Row],[Peso Util/Pç]],0)</f>
        <v>27.88</v>
      </c>
      <c r="R1246" s="37">
        <f>IFERROR(Tabela3[[#This Row],[Peso Total Galho]]*Tabela3[[#This Row],[Qtde Cx Produzida]]*1.055,0)</f>
        <v>38.5075</v>
      </c>
      <c r="S1246" s="37">
        <f>(Tabela3[[#This Row],[Aluminio Bruto]]-Tabela3[[#This Row],[Aluminio Util]])*0.9</f>
        <v>9.5647500000000019</v>
      </c>
      <c r="T1246" s="37">
        <f>Tabela3[[#This Row],[Aluminio Bruto]]/OleoKGAluminio</f>
        <v>16.200055460280851</v>
      </c>
      <c r="U1246" s="35">
        <f>IFERROR((VLOOKUP(Tabela3[[#This Row],[Moldador]],Tabela1[],5,)+(VLOOKUP(Tabela3[[#This Row],[Ajudante]],Tabela1[],5,))*3.5),0)</f>
        <v>99.95034583333333</v>
      </c>
      <c r="V1246" s="35">
        <f>IFERROR(Tabela3[[#This Row],[Custo M.O. / H]]/((Tabela3[[#This Row],[Realizado]]/Tabela3[[#This Row],[Qdt Peça Placa]])/Tabela3[[#This Row],[Tempo]]/24),)</f>
        <v>12.660377138888888</v>
      </c>
      <c r="W1246" s="35">
        <f>Tabela3[[#This Row],[Custo / Cx Moldada]]*Tabela3[[#This Row],[Qtde Cx Produzida]]</f>
        <v>126.60377138888889</v>
      </c>
      <c r="X1246" s="35">
        <f ca="1">Tabela3[[#This Row],[Aluminio Util]]*Tabela3[[#This Row],[Custo/Kg]]</f>
        <v>434.928</v>
      </c>
      <c r="Y1246" s="35">
        <f>IFERROR(VLOOKUP(Tabela3[[#This Row],[Data]],Tabela461213[],2,1)*(Tabela3[[#This Row],[Qtde Cx Produzida]]*Tabela3[[#This Row],[Qde macho / CX]]*Tabela3[[#This Row],[Peso Macho]]),)</f>
        <v>0</v>
      </c>
      <c r="Z1246" s="35">
        <f>IFERROR(Tabela3[[#This Row],[Qtde Oleo]]*(VLOOKUP(Tabela3[[#This Row],[Data]],CompraOleo[],3,TRUE))*1.05,0)</f>
        <v>42.525145583237233</v>
      </c>
      <c r="AA1246" s="47">
        <f ca="1">(Tabela3[[#This Row],[Custo Oleo]]+Tabela3[[#This Row],[Custo Aluminio]]+Tabela3[[#This Row],[Custo M.O. Total]]+Tabela3[[#This Row],[Custo Machos]])</f>
        <v>604.05691697212615</v>
      </c>
      <c r="AB1246" s="47">
        <f ca="1">Tabela3[[#This Row],[Custo Total]]*Tabela3[[#This Row],[% Perda]]</f>
        <v>0</v>
      </c>
      <c r="AC1246" s="40">
        <f>IFERROR(VLOOKUP(Tabela3[[#This Row],[Produto]],Tabela2[],2,0),0)</f>
        <v>1</v>
      </c>
      <c r="AD1246" s="48">
        <f>IFERROR(VLOOKUP(Tabela3[[#This Row],[Produto]],Tabela2[],3,0),0)</f>
        <v>2.7879999999999998</v>
      </c>
      <c r="AE1246" s="48">
        <f>IFERROR(VLOOKUP(Tabela3[[#This Row],[Produto]],Tabela2[],4,0),0)</f>
        <v>3.65</v>
      </c>
      <c r="AF1246" s="48">
        <f>IFERROR(VLOOKUP(Tabela3[[#This Row],[Produto]],Tabela2[],5,0),0)</f>
        <v>0.77580000000000016</v>
      </c>
      <c r="AG1246" s="48">
        <f>IFERROR(VLOOKUP(Tabela3[[#This Row],[Produto]],Tabela2[],6,0),0)</f>
        <v>0</v>
      </c>
      <c r="AH1246" s="40">
        <f>IFERROR(VLOOKUP(Tabela3[[#This Row],[Produto]],Tabela2[],7,0),0)</f>
        <v>0</v>
      </c>
      <c r="AI1246" s="40">
        <f>IFERROR(VLOOKUP(Tabela3[[#This Row],[Produto]],Tabela2[],8,0),0)</f>
        <v>0</v>
      </c>
      <c r="AJ1246" s="35">
        <f ca="1">IFERROR(VLOOKUP(Tabela3[[#This Row],[Produto]],Tabela2[],13,0),0)</f>
        <v>15.600000000000001</v>
      </c>
      <c r="AK1246" s="48" t="str">
        <f>IFERROR(VLOOKUP(Tabela3[[#This Row],[Produto]],Tabela2[],14,0),0)</f>
        <v>Jumil</v>
      </c>
      <c r="AL1246" s="40">
        <f>IFERROR(VLOOKUP(Tabela3[[#This Row],[Produto]],Tabela2[],15,0),0)</f>
        <v>35</v>
      </c>
      <c r="AM1246" s="36">
        <f ca="1">(Tabela3[[#This Row],[Custo Usinagem]]+Tabela3[[#This Row],[Custo / Pç]])*1.2</f>
        <v>114.48683003665514</v>
      </c>
      <c r="AN1246" s="36">
        <f ca="1">Tabela3[[#This Row],[Valor Mínimo Venda]]*1.15</f>
        <v>131.6598545421534</v>
      </c>
      <c r="AO1246" s="36">
        <f ca="1">Tabela3[[#This Row],[Tabela 1]]*1.08</f>
        <v>142.19264290552567</v>
      </c>
      <c r="AP1246" s="36">
        <f ca="1">Tabela3[[#This Row],[Tabela 2]]*1.15</f>
        <v>163.52153934135453</v>
      </c>
    </row>
    <row r="1247" spans="1:42">
      <c r="A1247" s="9">
        <v>46167</v>
      </c>
      <c r="B1247" s="9" t="s">
        <v>259</v>
      </c>
      <c r="C1247" s="14">
        <v>9737</v>
      </c>
      <c r="D1247" s="6" t="s">
        <v>44</v>
      </c>
      <c r="E1247" s="6" t="s">
        <v>47</v>
      </c>
      <c r="F1247" s="6">
        <v>8</v>
      </c>
      <c r="G1247" s="15">
        <v>3.5416666666666666E-2</v>
      </c>
      <c r="H1247" s="16">
        <v>0</v>
      </c>
      <c r="I1247" s="35">
        <f ca="1">IFERROR(Tabela3[[#This Row],[Custo Total]]/Tabela3[[#This Row],[Aluminio Util]],0)</f>
        <v>27.264320441835942</v>
      </c>
      <c r="J1247" s="35">
        <f ca="1">Tabela3[[#This Row],[Custo Total]]/Tabela3[[#This Row],[Realizado]]</f>
        <v>16.358592265101564</v>
      </c>
      <c r="K1247" s="37">
        <f>IFERROR(Tabela3[[#This Row],[Qtde Cx Produzida]]/Tabela3[[#This Row],[Tempo]]/24,0)</f>
        <v>9.4117647058823533</v>
      </c>
      <c r="L1247" s="37">
        <f>Tabela3[[#This Row],[Qtde Cx Produzida]]*Tabela3[[#This Row],[Qdt Peça Placa]]</f>
        <v>16</v>
      </c>
      <c r="M1247" s="37">
        <f>Tabela3[[#This Row],[Previsto]]-Tabela3[[#This Row],[Perda Pçs]]</f>
        <v>16</v>
      </c>
      <c r="N1247" s="38">
        <f>IFERROR(Tabela3[[#This Row],[Perda Pçs]]/Tabela3[[#This Row],[Previsto]],0)</f>
        <v>0</v>
      </c>
      <c r="O1247" s="39">
        <f>IFERROR(IF(Tabela3[[#This Row],[Qtde Cx Produzida]] &lt;&gt; 0, Tabela3[[#This Row],[Tempo]] / Tabela3[[#This Row],[Qtde Cx Produzida]], 0),0)</f>
        <v>4.4270833333333332E-3</v>
      </c>
      <c r="P1247" s="57">
        <f>IFERROR(Tabela3[[#This Row],[Perda Pçs]]/Tabela3[[#This Row],[Qdt Peça Placa]],0)</f>
        <v>0</v>
      </c>
      <c r="Q1247" s="37">
        <f>IFERROR(Tabela3[[#This Row],[Realizado]]*Tabela3[[#This Row],[Peso Util/Pç]],0)</f>
        <v>9.6</v>
      </c>
      <c r="R1247" s="37">
        <f>IFERROR(Tabela3[[#This Row],[Peso Total Galho]]*Tabela3[[#This Row],[Qtde Cx Produzida]]*1.055,0)</f>
        <v>16.035999999999998</v>
      </c>
      <c r="S1247" s="37">
        <f>(Tabela3[[#This Row],[Aluminio Bruto]]-Tabela3[[#This Row],[Aluminio Util]])*0.9</f>
        <v>5.7923999999999989</v>
      </c>
      <c r="T1247" s="37">
        <f>Tabela3[[#This Row],[Aluminio Bruto]]/OleoKGAluminio</f>
        <v>6.7463244656512025</v>
      </c>
      <c r="U1247" s="35">
        <f>IFERROR((VLOOKUP(Tabela3[[#This Row],[Moldador]],Tabela1[],5,)+(VLOOKUP(Tabela3[[#This Row],[Ajudante]],Tabela1[],5,))*3.5),0)</f>
        <v>99.95034583333333</v>
      </c>
      <c r="V1247" s="35">
        <f>IFERROR(Tabela3[[#This Row],[Custo M.O. / H]]/((Tabela3[[#This Row],[Realizado]]/Tabela3[[#This Row],[Qdt Peça Placa]])/Tabela3[[#This Row],[Tempo]]/24),)</f>
        <v>10.619724244791666</v>
      </c>
      <c r="W1247" s="35">
        <f>Tabela3[[#This Row],[Custo / Cx Moldada]]*Tabela3[[#This Row],[Qtde Cx Produzida]]</f>
        <v>84.957793958333326</v>
      </c>
      <c r="X1247" s="35">
        <f ca="1">Tabela3[[#This Row],[Aluminio Util]]*Tabela3[[#This Row],[Custo/Kg]]</f>
        <v>159.0705805609573</v>
      </c>
      <c r="Y1247" s="35">
        <f>IFERROR(VLOOKUP(Tabela3[[#This Row],[Data]],Tabela461213[],2,1)*(Tabela3[[#This Row],[Qtde Cx Produzida]]*Tabela3[[#This Row],[Qde macho / CX]]*Tabela3[[#This Row],[Peso Macho]]),)</f>
        <v>0</v>
      </c>
      <c r="Z1247" s="35">
        <f>IFERROR(Tabela3[[#This Row],[Qtde Oleo]]*(VLOOKUP(Tabela3[[#This Row],[Data]],CompraOleo[],3,TRUE))*1.05,0)</f>
        <v>17.709101722334406</v>
      </c>
      <c r="AA1247" s="47">
        <f ca="1">(Tabela3[[#This Row],[Custo Oleo]]+Tabela3[[#This Row],[Custo Aluminio]]+Tabela3[[#This Row],[Custo M.O. Total]]+Tabela3[[#This Row],[Custo Machos]])</f>
        <v>261.73747624162502</v>
      </c>
      <c r="AB1247" s="47">
        <f ca="1">Tabela3[[#This Row],[Custo Total]]*Tabela3[[#This Row],[% Perda]]</f>
        <v>0</v>
      </c>
      <c r="AC1247" s="40">
        <f>IFERROR(VLOOKUP(Tabela3[[#This Row],[Produto]],Tabela2[],2,0),0)</f>
        <v>2</v>
      </c>
      <c r="AD1247" s="48">
        <f>IFERROR(VLOOKUP(Tabela3[[#This Row],[Produto]],Tabela2[],3,0),0)</f>
        <v>0.6</v>
      </c>
      <c r="AE1247" s="48">
        <f>IFERROR(VLOOKUP(Tabela3[[#This Row],[Produto]],Tabela2[],4,0),0)</f>
        <v>1.9</v>
      </c>
      <c r="AF1247" s="48">
        <f>IFERROR(VLOOKUP(Tabela3[[#This Row],[Produto]],Tabela2[],5,0),0)</f>
        <v>0.63</v>
      </c>
      <c r="AG1247" s="48">
        <f>IFERROR(VLOOKUP(Tabela3[[#This Row],[Produto]],Tabela2[],6,0),0)</f>
        <v>0</v>
      </c>
      <c r="AH1247" s="40">
        <f>IFERROR(VLOOKUP(Tabela3[[#This Row],[Produto]],Tabela2[],7,0),0)</f>
        <v>0</v>
      </c>
      <c r="AI1247" s="40">
        <f>IFERROR(VLOOKUP(Tabela3[[#This Row],[Produto]],Tabela2[],8,0),0)</f>
        <v>0</v>
      </c>
      <c r="AJ1247" s="35">
        <f ca="1">IFERROR(VLOOKUP(Tabela3[[#This Row],[Produto]],Tabela2[],13,0),0)</f>
        <v>16.569852141766386</v>
      </c>
      <c r="AK1247" s="48" t="str">
        <f>IFERROR(VLOOKUP(Tabela3[[#This Row],[Produto]],Tabela2[],14,0),0)</f>
        <v>DANILO</v>
      </c>
      <c r="AL1247" s="40">
        <f>IFERROR(VLOOKUP(Tabela3[[#This Row],[Produto]],Tabela2[],15,0),0)</f>
        <v>0</v>
      </c>
      <c r="AM1247" s="36">
        <f ca="1">(Tabela3[[#This Row],[Custo Usinagem]]+Tabela3[[#This Row],[Custo / Pç]])*1.2</f>
        <v>19.630310718121876</v>
      </c>
      <c r="AN1247" s="36">
        <f ca="1">Tabela3[[#This Row],[Valor Mínimo Venda]]*1.15</f>
        <v>22.574857325840156</v>
      </c>
      <c r="AO1247" s="36">
        <f ca="1">Tabela3[[#This Row],[Tabela 1]]*1.08</f>
        <v>24.380845911907372</v>
      </c>
      <c r="AP1247" s="36">
        <f ca="1">Tabela3[[#This Row],[Tabela 2]]*1.15</f>
        <v>28.037972798693474</v>
      </c>
    </row>
    <row r="1248" spans="1:42">
      <c r="A1248" s="9">
        <v>46167</v>
      </c>
      <c r="B1248" s="9" t="s">
        <v>261</v>
      </c>
      <c r="C1248" s="14">
        <v>9739</v>
      </c>
      <c r="D1248" s="6" t="s">
        <v>44</v>
      </c>
      <c r="E1248" s="6" t="s">
        <v>47</v>
      </c>
      <c r="F1248" s="6">
        <v>14</v>
      </c>
      <c r="G1248" s="15">
        <v>6.3888888888888884E-2</v>
      </c>
      <c r="H1248" s="16">
        <v>0</v>
      </c>
      <c r="I1248" s="35">
        <f ca="1">IFERROR(Tabela3[[#This Row],[Custo Total]]/Tabela3[[#This Row],[Aluminio Util]],0)</f>
        <v>28.639931780269968</v>
      </c>
      <c r="J1248" s="35">
        <f ca="1">Tabela3[[#This Row],[Custo Total]]/Tabela3[[#This Row],[Realizado]]</f>
        <v>15.751962479148485</v>
      </c>
      <c r="K1248" s="37">
        <f>IFERROR(Tabela3[[#This Row],[Qtde Cx Produzida]]/Tabela3[[#This Row],[Tempo]]/24,0)</f>
        <v>9.1304347826086971</v>
      </c>
      <c r="L1248" s="37">
        <f>Tabela3[[#This Row],[Qtde Cx Produzida]]*Tabela3[[#This Row],[Qdt Peça Placa]]</f>
        <v>28</v>
      </c>
      <c r="M1248" s="37">
        <f>Tabela3[[#This Row],[Previsto]]-Tabela3[[#This Row],[Perda Pçs]]</f>
        <v>28</v>
      </c>
      <c r="N1248" s="38">
        <f>IFERROR(Tabela3[[#This Row],[Perda Pçs]]/Tabela3[[#This Row],[Previsto]],0)</f>
        <v>0</v>
      </c>
      <c r="O1248" s="39">
        <f>IFERROR(IF(Tabela3[[#This Row],[Qtde Cx Produzida]] &lt;&gt; 0, Tabela3[[#This Row],[Tempo]] / Tabela3[[#This Row],[Qtde Cx Produzida]], 0),0)</f>
        <v>4.5634920634920629E-3</v>
      </c>
      <c r="P1248" s="57">
        <f>IFERROR(Tabela3[[#This Row],[Perda Pçs]]/Tabela3[[#This Row],[Qdt Peça Placa]],0)</f>
        <v>0</v>
      </c>
      <c r="Q1248" s="37">
        <f>IFERROR(Tabela3[[#This Row],[Realizado]]*Tabela3[[#This Row],[Peso Util/Pç]],0)</f>
        <v>15.400000000000002</v>
      </c>
      <c r="R1248" s="37">
        <f>IFERROR(Tabela3[[#This Row],[Peso Total Galho]]*Tabela3[[#This Row],[Qtde Cx Produzida]]*1.055,0)</f>
        <v>29.54</v>
      </c>
      <c r="S1248" s="37">
        <f>(Tabela3[[#This Row],[Aluminio Bruto]]-Tabela3[[#This Row],[Aluminio Util]])*0.9</f>
        <v>12.725999999999997</v>
      </c>
      <c r="T1248" s="37">
        <f>Tabela3[[#This Row],[Aluminio Bruto]]/OleoKGAluminio</f>
        <v>12.427439805146953</v>
      </c>
      <c r="U1248" s="35">
        <f>IFERROR((VLOOKUP(Tabela3[[#This Row],[Moldador]],Tabela1[],5,)+(VLOOKUP(Tabela3[[#This Row],[Ajudante]],Tabela1[],5,))*3.5),0)</f>
        <v>99.95034583333333</v>
      </c>
      <c r="V1248" s="35">
        <f>IFERROR(Tabela3[[#This Row],[Custo M.O. / H]]/((Tabela3[[#This Row],[Realizado]]/Tabela3[[#This Row],[Qdt Peça Placa]])/Tabela3[[#This Row],[Tempo]]/24),)</f>
        <v>10.946942638888887</v>
      </c>
      <c r="W1248" s="35">
        <f>Tabela3[[#This Row],[Custo / Cx Moldada]]*Tabela3[[#This Row],[Qtde Cx Produzida]]</f>
        <v>153.25719694444442</v>
      </c>
      <c r="X1248" s="35">
        <f ca="1">Tabela3[[#This Row],[Aluminio Util]]*Tabela3[[#This Row],[Custo/Kg]]</f>
        <v>255.17572298320238</v>
      </c>
      <c r="Y1248" s="35">
        <f>IFERROR(VLOOKUP(Tabela3[[#This Row],[Data]],Tabela461213[],2,1)*(Tabela3[[#This Row],[Qtde Cx Produzida]]*Tabela3[[#This Row],[Qde macho / CX]]*Tabela3[[#This Row],[Peso Macho]]),)</f>
        <v>0</v>
      </c>
      <c r="Z1248" s="35">
        <f>IFERROR(Tabela3[[#This Row],[Qtde Oleo]]*(VLOOKUP(Tabela3[[#This Row],[Data]],CompraOleo[],3,TRUE))*1.05,0)</f>
        <v>32.622029488510755</v>
      </c>
      <c r="AA1248" s="47">
        <f ca="1">(Tabela3[[#This Row],[Custo Oleo]]+Tabela3[[#This Row],[Custo Aluminio]]+Tabela3[[#This Row],[Custo M.O. Total]]+Tabela3[[#This Row],[Custo Machos]])</f>
        <v>441.05494941615757</v>
      </c>
      <c r="AB1248" s="47">
        <f ca="1">Tabela3[[#This Row],[Custo Total]]*Tabela3[[#This Row],[% Perda]]</f>
        <v>0</v>
      </c>
      <c r="AC1248" s="40">
        <f>IFERROR(VLOOKUP(Tabela3[[#This Row],[Produto]],Tabela2[],2,0),0)</f>
        <v>2</v>
      </c>
      <c r="AD1248" s="48">
        <f>IFERROR(VLOOKUP(Tabela3[[#This Row],[Produto]],Tabela2[],3,0),0)</f>
        <v>0.55000000000000004</v>
      </c>
      <c r="AE1248" s="48">
        <f>IFERROR(VLOOKUP(Tabela3[[#This Row],[Produto]],Tabela2[],4,0),0)</f>
        <v>2</v>
      </c>
      <c r="AF1248" s="48">
        <f>IFERROR(VLOOKUP(Tabela3[[#This Row],[Produto]],Tabela2[],5,0),0)</f>
        <v>0.80999999999999994</v>
      </c>
      <c r="AG1248" s="48">
        <f>IFERROR(VLOOKUP(Tabela3[[#This Row],[Produto]],Tabela2[],6,0),0)</f>
        <v>0</v>
      </c>
      <c r="AH1248" s="40">
        <f>IFERROR(VLOOKUP(Tabela3[[#This Row],[Produto]],Tabela2[],7,0),0)</f>
        <v>0</v>
      </c>
      <c r="AI1248" s="40">
        <f>IFERROR(VLOOKUP(Tabela3[[#This Row],[Produto]],Tabela2[],8,0),0)</f>
        <v>0</v>
      </c>
      <c r="AJ1248" s="35">
        <f ca="1">IFERROR(VLOOKUP(Tabela3[[#This Row],[Produto]],Tabela2[],13,0),0)</f>
        <v>16.569852141766386</v>
      </c>
      <c r="AK1248" s="48" t="str">
        <f>IFERROR(VLOOKUP(Tabela3[[#This Row],[Produto]],Tabela2[],14,0),0)</f>
        <v>Danilo</v>
      </c>
      <c r="AL1248" s="40">
        <f>IFERROR(VLOOKUP(Tabela3[[#This Row],[Produto]],Tabela2[],15,0),0)</f>
        <v>0</v>
      </c>
      <c r="AM1248" s="36">
        <f ca="1">(Tabela3[[#This Row],[Custo Usinagem]]+Tabela3[[#This Row],[Custo / Pç]])*1.2</f>
        <v>18.902354974978181</v>
      </c>
      <c r="AN1248" s="36">
        <f ca="1">Tabela3[[#This Row],[Valor Mínimo Venda]]*1.15</f>
        <v>21.737708221224906</v>
      </c>
      <c r="AO1248" s="36">
        <f ca="1">Tabela3[[#This Row],[Tabela 1]]*1.08</f>
        <v>23.476724878922901</v>
      </c>
      <c r="AP1248" s="36">
        <f ca="1">Tabela3[[#This Row],[Tabela 2]]*1.15</f>
        <v>26.998233610761336</v>
      </c>
    </row>
    <row r="1249" spans="1:42">
      <c r="A1249" s="9">
        <v>46167</v>
      </c>
      <c r="B1249" s="6" t="s">
        <v>241</v>
      </c>
      <c r="C1249" s="14">
        <v>9733</v>
      </c>
      <c r="D1249" s="6" t="s">
        <v>46</v>
      </c>
      <c r="E1249" s="6" t="s">
        <v>50</v>
      </c>
      <c r="F1249" s="6">
        <v>5</v>
      </c>
      <c r="G1249" s="15">
        <v>4.027777777777778E-2</v>
      </c>
      <c r="H1249" s="16">
        <v>0</v>
      </c>
      <c r="I1249" s="35">
        <f ca="1">IFERROR(Tabela3[[#This Row],[Custo Total]]/Tabela3[[#This Row],[Aluminio Util]],0)</f>
        <v>25.547715670193423</v>
      </c>
      <c r="J1249" s="35">
        <f ca="1">Tabela3[[#This Row],[Custo Total]]/Tabela3[[#This Row],[Realizado]]</f>
        <v>15.660749705828568</v>
      </c>
      <c r="K1249" s="37">
        <f>IFERROR(Tabela3[[#This Row],[Qtde Cx Produzida]]/Tabela3[[#This Row],[Tempo]]/24,0)</f>
        <v>5.1724137931034475</v>
      </c>
      <c r="L1249" s="37">
        <f>Tabela3[[#This Row],[Qtde Cx Produzida]]*Tabela3[[#This Row],[Qdt Peça Placa]]</f>
        <v>20</v>
      </c>
      <c r="M1249" s="37">
        <f>Tabela3[[#This Row],[Previsto]]-Tabela3[[#This Row],[Perda Pçs]]</f>
        <v>20</v>
      </c>
      <c r="N1249" s="38">
        <f>IFERROR(Tabela3[[#This Row],[Perda Pçs]]/Tabela3[[#This Row],[Previsto]],0)</f>
        <v>0</v>
      </c>
      <c r="O1249" s="39">
        <f>IFERROR(IF(Tabela3[[#This Row],[Qtde Cx Produzida]] &lt;&gt; 0, Tabela3[[#This Row],[Tempo]] / Tabela3[[#This Row],[Qtde Cx Produzida]], 0),0)</f>
        <v>8.0555555555555554E-3</v>
      </c>
      <c r="P1249" s="57">
        <f>IFERROR(Tabela3[[#This Row],[Perda Pçs]]/Tabela3[[#This Row],[Qdt Peça Placa]],0)</f>
        <v>0</v>
      </c>
      <c r="Q1249" s="37">
        <f>IFERROR(Tabela3[[#This Row],[Realizado]]*Tabela3[[#This Row],[Peso Util/Pç]],0)</f>
        <v>12.26</v>
      </c>
      <c r="R1249" s="37">
        <f>IFERROR(Tabela3[[#This Row],[Peso Total Galho]]*Tabela3[[#This Row],[Qtde Cx Produzida]]*1.055,0)</f>
        <v>22.946249999999999</v>
      </c>
      <c r="S1249" s="37">
        <f>(Tabela3[[#This Row],[Aluminio Bruto]]-Tabela3[[#This Row],[Aluminio Util]])*0.9</f>
        <v>9.6176250000000003</v>
      </c>
      <c r="T1249" s="37">
        <f>Tabela3[[#This Row],[Aluminio Bruto]]/OleoKGAluminio</f>
        <v>9.6534577057837936</v>
      </c>
      <c r="U1249" s="35">
        <f>IFERROR((VLOOKUP(Tabela3[[#This Row],[Moldador]],Tabela1[],5,)+(VLOOKUP(Tabela3[[#This Row],[Ajudante]],Tabela1[],5,))*3.5),0)</f>
        <v>99.95034583333333</v>
      </c>
      <c r="V1249" s="35">
        <f>IFERROR(Tabela3[[#This Row],[Custo M.O. / H]]/((Tabela3[[#This Row],[Realizado]]/Tabela3[[#This Row],[Qdt Peça Placa]])/Tabela3[[#This Row],[Tempo]]/24),)</f>
        <v>19.32373352777778</v>
      </c>
      <c r="W1249" s="35">
        <f>Tabela3[[#This Row],[Custo / Cx Moldada]]*Tabela3[[#This Row],[Qtde Cx Produzida]]</f>
        <v>96.618667638888894</v>
      </c>
      <c r="X1249" s="35">
        <f ca="1">Tabela3[[#This Row],[Aluminio Util]]*Tabela3[[#This Row],[Custo/Kg]]</f>
        <v>191.256</v>
      </c>
      <c r="Y1249" s="35">
        <f>IFERROR(VLOOKUP(Tabela3[[#This Row],[Data]],Tabela461213[],2,1)*(Tabela3[[#This Row],[Qtde Cx Produzida]]*Tabela3[[#This Row],[Qde macho / CX]]*Tabela3[[#This Row],[Peso Macho]]),)</f>
        <v>0</v>
      </c>
      <c r="Z1249" s="35">
        <f>IFERROR(Tabela3[[#This Row],[Qtde Oleo]]*(VLOOKUP(Tabela3[[#This Row],[Data]],CompraOleo[],3,TRUE))*1.05,0)</f>
        <v>25.34032647768246</v>
      </c>
      <c r="AA1249" s="47">
        <f ca="1">(Tabela3[[#This Row],[Custo Oleo]]+Tabela3[[#This Row],[Custo Aluminio]]+Tabela3[[#This Row],[Custo M.O. Total]]+Tabela3[[#This Row],[Custo Machos]])</f>
        <v>313.21499411657135</v>
      </c>
      <c r="AB1249" s="47">
        <f ca="1">Tabela3[[#This Row],[Custo Total]]*Tabela3[[#This Row],[% Perda]]</f>
        <v>0</v>
      </c>
      <c r="AC1249" s="40">
        <f>IFERROR(VLOOKUP(Tabela3[[#This Row],[Produto]],Tabela2[],2,0),0)</f>
        <v>4</v>
      </c>
      <c r="AD1249" s="48">
        <f>IFERROR(VLOOKUP(Tabela3[[#This Row],[Produto]],Tabela2[],3,0),0)</f>
        <v>0.61299999999999999</v>
      </c>
      <c r="AE1249" s="48">
        <f>IFERROR(VLOOKUP(Tabela3[[#This Row],[Produto]],Tabela2[],4,0),0)</f>
        <v>4.3499999999999996</v>
      </c>
      <c r="AF1249" s="48">
        <f>IFERROR(VLOOKUP(Tabela3[[#This Row],[Produto]],Tabela2[],5,0),0)</f>
        <v>1.7081999999999997</v>
      </c>
      <c r="AG1249" s="48">
        <f>IFERROR(VLOOKUP(Tabela3[[#This Row],[Produto]],Tabela2[],6,0),0)</f>
        <v>0</v>
      </c>
      <c r="AH1249" s="40">
        <f>IFERROR(VLOOKUP(Tabela3[[#This Row],[Produto]],Tabela2[],7,0),0)</f>
        <v>0</v>
      </c>
      <c r="AI1249" s="40">
        <f>IFERROR(VLOOKUP(Tabela3[[#This Row],[Produto]],Tabela2[],8,0),0)</f>
        <v>0</v>
      </c>
      <c r="AJ1249" s="35">
        <f ca="1">IFERROR(VLOOKUP(Tabela3[[#This Row],[Produto]],Tabela2[],13,0),0)</f>
        <v>15.600000000000001</v>
      </c>
      <c r="AK1249" s="48" t="str">
        <f>IFERROR(VLOOKUP(Tabela3[[#This Row],[Produto]],Tabela2[],14,0),0)</f>
        <v>Senun</v>
      </c>
      <c r="AL1249" s="40">
        <f>IFERROR(VLOOKUP(Tabela3[[#This Row],[Produto]],Tabela2[],15,0),0)</f>
        <v>4</v>
      </c>
      <c r="AM1249" s="36">
        <f ca="1">(Tabela3[[#This Row],[Custo Usinagem]]+Tabela3[[#This Row],[Custo / Pç]])*1.2</f>
        <v>23.59289964699428</v>
      </c>
      <c r="AN1249" s="36">
        <f ca="1">Tabela3[[#This Row],[Valor Mínimo Venda]]*1.15</f>
        <v>27.131834594043418</v>
      </c>
      <c r="AO1249" s="36">
        <f ca="1">Tabela3[[#This Row],[Tabela 1]]*1.08</f>
        <v>29.302381361566894</v>
      </c>
      <c r="AP1249" s="36">
        <f ca="1">Tabela3[[#This Row],[Tabela 2]]*1.15</f>
        <v>33.697738565801927</v>
      </c>
    </row>
    <row r="1250" spans="1:42">
      <c r="A1250" s="9">
        <v>46167</v>
      </c>
      <c r="B1250" s="6" t="s">
        <v>241</v>
      </c>
      <c r="C1250" s="14">
        <v>9733</v>
      </c>
      <c r="D1250" s="6" t="s">
        <v>46</v>
      </c>
      <c r="E1250" s="6" t="s">
        <v>44</v>
      </c>
      <c r="F1250" s="6">
        <v>18</v>
      </c>
      <c r="G1250" s="15">
        <v>9.4444444444444442E-2</v>
      </c>
      <c r="H1250" s="16">
        <v>8</v>
      </c>
      <c r="I1250" s="35">
        <f ca="1">IFERROR(Tabela3[[#This Row],[Custo Total]]/Tabela3[[#This Row],[Aluminio Util]],0)</f>
        <v>26.121160030578533</v>
      </c>
      <c r="J1250" s="35">
        <f ca="1">Tabela3[[#This Row],[Custo Total]]/Tabela3[[#This Row],[Realizado]]</f>
        <v>16.012271098744641</v>
      </c>
      <c r="K1250" s="37">
        <f>IFERROR(Tabela3[[#This Row],[Qtde Cx Produzida]]/Tabela3[[#This Row],[Tempo]]/24,0)</f>
        <v>7.9411764705882355</v>
      </c>
      <c r="L1250" s="37">
        <f>Tabela3[[#This Row],[Qtde Cx Produzida]]*Tabela3[[#This Row],[Qdt Peça Placa]]</f>
        <v>72</v>
      </c>
      <c r="M1250" s="37">
        <f>Tabela3[[#This Row],[Previsto]]-Tabela3[[#This Row],[Perda Pçs]]</f>
        <v>64</v>
      </c>
      <c r="N1250" s="38">
        <f>IFERROR(Tabela3[[#This Row],[Perda Pçs]]/Tabela3[[#This Row],[Previsto]],0)</f>
        <v>0.1111111111111111</v>
      </c>
      <c r="O1250" s="39">
        <f>IFERROR(IF(Tabela3[[#This Row],[Qtde Cx Produzida]] &lt;&gt; 0, Tabela3[[#This Row],[Tempo]] / Tabela3[[#This Row],[Qtde Cx Produzida]], 0),0)</f>
        <v>5.2469135802469136E-3</v>
      </c>
      <c r="P1250" s="57">
        <f>IFERROR(Tabela3[[#This Row],[Perda Pçs]]/Tabela3[[#This Row],[Qdt Peça Placa]],0)</f>
        <v>2</v>
      </c>
      <c r="Q1250" s="37">
        <f>IFERROR(Tabela3[[#This Row],[Realizado]]*Tabela3[[#This Row],[Peso Util/Pç]],0)</f>
        <v>39.231999999999999</v>
      </c>
      <c r="R1250" s="37">
        <f>IFERROR(Tabela3[[#This Row],[Peso Total Galho]]*Tabela3[[#This Row],[Qtde Cx Produzida]]*1.055,0)</f>
        <v>82.606499999999997</v>
      </c>
      <c r="S1250" s="37">
        <f>(Tabela3[[#This Row],[Aluminio Bruto]]-Tabela3[[#This Row],[Aluminio Util]])*0.9</f>
        <v>39.037050000000001</v>
      </c>
      <c r="T1250" s="37">
        <f>Tabela3[[#This Row],[Aluminio Bruto]]/OleoKGAluminio</f>
        <v>34.752447740821658</v>
      </c>
      <c r="U1250" s="35">
        <f>IFERROR((VLOOKUP(Tabela3[[#This Row],[Moldador]],Tabela1[],5,)+(VLOOKUP(Tabela3[[#This Row],[Ajudante]],Tabela1[],5,))*3.5),0)</f>
        <v>126.0945</v>
      </c>
      <c r="V1250" s="35">
        <f>IFERROR(Tabela3[[#This Row],[Custo M.O. / H]]/((Tabela3[[#This Row],[Realizado]]/Tabela3[[#This Row],[Qdt Peça Placa]])/Tabela3[[#This Row],[Tempo]]/24),)</f>
        <v>17.863387500000002</v>
      </c>
      <c r="W1250" s="35">
        <f>Tabela3[[#This Row],[Custo / Cx Moldada]]*Tabela3[[#This Row],[Qtde Cx Produzida]]</f>
        <v>321.540975</v>
      </c>
      <c r="X1250" s="35">
        <f ca="1">Tabela3[[#This Row],[Aluminio Util]]*Tabela3[[#This Row],[Custo/Kg]]</f>
        <v>612.01920000000007</v>
      </c>
      <c r="Y1250" s="35">
        <f>IFERROR(VLOOKUP(Tabela3[[#This Row],[Data]],Tabela461213[],2,1)*(Tabela3[[#This Row],[Qtde Cx Produzida]]*Tabela3[[#This Row],[Qde macho / CX]]*Tabela3[[#This Row],[Peso Macho]]),)</f>
        <v>0</v>
      </c>
      <c r="Z1250" s="35">
        <f>IFERROR(Tabela3[[#This Row],[Qtde Oleo]]*(VLOOKUP(Tabela3[[#This Row],[Data]],CompraOleo[],3,TRUE))*1.05,0)</f>
        <v>91.225175319656856</v>
      </c>
      <c r="AA1250" s="47">
        <f ca="1">(Tabela3[[#This Row],[Custo Oleo]]+Tabela3[[#This Row],[Custo Aluminio]]+Tabela3[[#This Row],[Custo M.O. Total]]+Tabela3[[#This Row],[Custo Machos]])</f>
        <v>1024.785350319657</v>
      </c>
      <c r="AB1250" s="47">
        <f ca="1">Tabela3[[#This Row],[Custo Total]]*Tabela3[[#This Row],[% Perda]]</f>
        <v>113.86503892440633</v>
      </c>
      <c r="AC1250" s="40">
        <f>IFERROR(VLOOKUP(Tabela3[[#This Row],[Produto]],Tabela2[],2,0),0)</f>
        <v>4</v>
      </c>
      <c r="AD1250" s="48">
        <f>IFERROR(VLOOKUP(Tabela3[[#This Row],[Produto]],Tabela2[],3,0),0)</f>
        <v>0.61299999999999999</v>
      </c>
      <c r="AE1250" s="48">
        <f>IFERROR(VLOOKUP(Tabela3[[#This Row],[Produto]],Tabela2[],4,0),0)</f>
        <v>4.3499999999999996</v>
      </c>
      <c r="AF1250" s="48">
        <f>IFERROR(VLOOKUP(Tabela3[[#This Row],[Produto]],Tabela2[],5,0),0)</f>
        <v>1.7081999999999997</v>
      </c>
      <c r="AG1250" s="48">
        <f>IFERROR(VLOOKUP(Tabela3[[#This Row],[Produto]],Tabela2[],6,0),0)</f>
        <v>0</v>
      </c>
      <c r="AH1250" s="40">
        <f>IFERROR(VLOOKUP(Tabela3[[#This Row],[Produto]],Tabela2[],7,0),0)</f>
        <v>0</v>
      </c>
      <c r="AI1250" s="40">
        <f>IFERROR(VLOOKUP(Tabela3[[#This Row],[Produto]],Tabela2[],8,0),0)</f>
        <v>0</v>
      </c>
      <c r="AJ1250" s="35">
        <f ca="1">IFERROR(VLOOKUP(Tabela3[[#This Row],[Produto]],Tabela2[],13,0),0)</f>
        <v>15.600000000000001</v>
      </c>
      <c r="AK1250" s="48" t="str">
        <f>IFERROR(VLOOKUP(Tabela3[[#This Row],[Produto]],Tabela2[],14,0),0)</f>
        <v>Senun</v>
      </c>
      <c r="AL1250" s="40">
        <f>IFERROR(VLOOKUP(Tabela3[[#This Row],[Produto]],Tabela2[],15,0),0)</f>
        <v>4</v>
      </c>
      <c r="AM1250" s="36">
        <f ca="1">(Tabela3[[#This Row],[Custo Usinagem]]+Tabela3[[#This Row],[Custo / Pç]])*1.2</f>
        <v>24.014725318493568</v>
      </c>
      <c r="AN1250" s="36">
        <f ca="1">Tabela3[[#This Row],[Valor Mínimo Venda]]*1.15</f>
        <v>27.616934116267601</v>
      </c>
      <c r="AO1250" s="36">
        <f ca="1">Tabela3[[#This Row],[Tabela 1]]*1.08</f>
        <v>29.82628884556901</v>
      </c>
      <c r="AP1250" s="36">
        <f ca="1">Tabela3[[#This Row],[Tabela 2]]*1.15</f>
        <v>34.300232172404357</v>
      </c>
    </row>
    <row r="1251" spans="1:42">
      <c r="A1251" s="9">
        <v>46167</v>
      </c>
      <c r="B1251" s="6" t="s">
        <v>241</v>
      </c>
      <c r="C1251" s="14">
        <v>9733</v>
      </c>
      <c r="D1251" s="6" t="s">
        <v>44</v>
      </c>
      <c r="E1251" s="6" t="s">
        <v>47</v>
      </c>
      <c r="F1251" s="6">
        <v>7</v>
      </c>
      <c r="G1251" s="15">
        <v>4.583333333333333E-2</v>
      </c>
      <c r="H1251" s="16">
        <v>0</v>
      </c>
      <c r="I1251" s="35">
        <f ca="1">IFERROR(Tabela3[[#This Row],[Custo Total]]/Tabela3[[#This Row],[Aluminio Util]],0)</f>
        <v>24.072491114275351</v>
      </c>
      <c r="J1251" s="35">
        <f ca="1">Tabela3[[#This Row],[Custo Total]]/Tabela3[[#This Row],[Realizado]]</f>
        <v>14.75643705305079</v>
      </c>
      <c r="K1251" s="37">
        <f>IFERROR(Tabela3[[#This Row],[Qtde Cx Produzida]]/Tabela3[[#This Row],[Tempo]]/24,0)</f>
        <v>6.3636363636363642</v>
      </c>
      <c r="L1251" s="37">
        <f>Tabela3[[#This Row],[Qtde Cx Produzida]]*Tabela3[[#This Row],[Qdt Peça Placa]]</f>
        <v>28</v>
      </c>
      <c r="M1251" s="37">
        <f>Tabela3[[#This Row],[Previsto]]-Tabela3[[#This Row],[Perda Pçs]]</f>
        <v>28</v>
      </c>
      <c r="N1251" s="38">
        <f>IFERROR(Tabela3[[#This Row],[Perda Pçs]]/Tabela3[[#This Row],[Previsto]],0)</f>
        <v>0</v>
      </c>
      <c r="O1251" s="39">
        <f>IFERROR(IF(Tabela3[[#This Row],[Qtde Cx Produzida]] &lt;&gt; 0, Tabela3[[#This Row],[Tempo]] / Tabela3[[#This Row],[Qtde Cx Produzida]], 0),0)</f>
        <v>6.5476190476190469E-3</v>
      </c>
      <c r="P1251" s="57">
        <f>IFERROR(Tabela3[[#This Row],[Perda Pçs]]/Tabela3[[#This Row],[Qdt Peça Placa]],0)</f>
        <v>0</v>
      </c>
      <c r="Q1251" s="37">
        <f>IFERROR(Tabela3[[#This Row],[Realizado]]*Tabela3[[#This Row],[Peso Util/Pç]],0)</f>
        <v>17.164000000000001</v>
      </c>
      <c r="R1251" s="37">
        <f>IFERROR(Tabela3[[#This Row],[Peso Total Galho]]*Tabela3[[#This Row],[Qtde Cx Produzida]]*1.055,0)</f>
        <v>32.124749999999992</v>
      </c>
      <c r="S1251" s="37">
        <f>(Tabela3[[#This Row],[Aluminio Bruto]]-Tabela3[[#This Row],[Aluminio Util]])*0.9</f>
        <v>13.464674999999991</v>
      </c>
      <c r="T1251" s="37">
        <f>Tabela3[[#This Row],[Aluminio Bruto]]/OleoKGAluminio</f>
        <v>13.514840788097308</v>
      </c>
      <c r="U1251" s="35">
        <f>IFERROR((VLOOKUP(Tabela3[[#This Row],[Moldador]],Tabela1[],5,)+(VLOOKUP(Tabela3[[#This Row],[Ajudante]],Tabela1[],5,))*3.5),0)</f>
        <v>99.95034583333333</v>
      </c>
      <c r="V1251" s="35">
        <f>IFERROR(Tabela3[[#This Row],[Custo M.O. / H]]/((Tabela3[[#This Row],[Realizado]]/Tabela3[[#This Row],[Qdt Peça Placa]])/Tabela3[[#This Row],[Tempo]]/24),)</f>
        <v>15.706482916666666</v>
      </c>
      <c r="W1251" s="35">
        <f>Tabela3[[#This Row],[Custo / Cx Moldada]]*Tabela3[[#This Row],[Qtde Cx Produzida]]</f>
        <v>109.94538041666667</v>
      </c>
      <c r="X1251" s="35">
        <f ca="1">Tabela3[[#This Row],[Aluminio Util]]*Tabela3[[#This Row],[Custo/Kg]]</f>
        <v>267.75840000000005</v>
      </c>
      <c r="Y1251" s="35">
        <f>IFERROR(VLOOKUP(Tabela3[[#This Row],[Data]],Tabela461213[],2,1)*(Tabela3[[#This Row],[Qtde Cx Produzida]]*Tabela3[[#This Row],[Qde macho / CX]]*Tabela3[[#This Row],[Peso Macho]]),)</f>
        <v>0</v>
      </c>
      <c r="Z1251" s="35">
        <f>IFERROR(Tabela3[[#This Row],[Qtde Oleo]]*(VLOOKUP(Tabela3[[#This Row],[Data]],CompraOleo[],3,TRUE))*1.05,0)</f>
        <v>35.476457068755437</v>
      </c>
      <c r="AA1251" s="47">
        <f ca="1">(Tabela3[[#This Row],[Custo Oleo]]+Tabela3[[#This Row],[Custo Aluminio]]+Tabela3[[#This Row],[Custo M.O. Total]]+Tabela3[[#This Row],[Custo Machos]])</f>
        <v>413.18023748542214</v>
      </c>
      <c r="AB1251" s="47">
        <f ca="1">Tabela3[[#This Row],[Custo Total]]*Tabela3[[#This Row],[% Perda]]</f>
        <v>0</v>
      </c>
      <c r="AC1251" s="40">
        <f>IFERROR(VLOOKUP(Tabela3[[#This Row],[Produto]],Tabela2[],2,0),0)</f>
        <v>4</v>
      </c>
      <c r="AD1251" s="48">
        <f>IFERROR(VLOOKUP(Tabela3[[#This Row],[Produto]],Tabela2[],3,0),0)</f>
        <v>0.61299999999999999</v>
      </c>
      <c r="AE1251" s="48">
        <f>IFERROR(VLOOKUP(Tabela3[[#This Row],[Produto]],Tabela2[],4,0),0)</f>
        <v>4.3499999999999996</v>
      </c>
      <c r="AF1251" s="48">
        <f>IFERROR(VLOOKUP(Tabela3[[#This Row],[Produto]],Tabela2[],5,0),0)</f>
        <v>1.7081999999999997</v>
      </c>
      <c r="AG1251" s="48">
        <f>IFERROR(VLOOKUP(Tabela3[[#This Row],[Produto]],Tabela2[],6,0),0)</f>
        <v>0</v>
      </c>
      <c r="AH1251" s="40">
        <f>IFERROR(VLOOKUP(Tabela3[[#This Row],[Produto]],Tabela2[],7,0),0)</f>
        <v>0</v>
      </c>
      <c r="AI1251" s="40">
        <f>IFERROR(VLOOKUP(Tabela3[[#This Row],[Produto]],Tabela2[],8,0),0)</f>
        <v>0</v>
      </c>
      <c r="AJ1251" s="35">
        <f ca="1">IFERROR(VLOOKUP(Tabela3[[#This Row],[Produto]],Tabela2[],13,0),0)</f>
        <v>15.600000000000001</v>
      </c>
      <c r="AK1251" s="48" t="str">
        <f>IFERROR(VLOOKUP(Tabela3[[#This Row],[Produto]],Tabela2[],14,0),0)</f>
        <v>Senun</v>
      </c>
      <c r="AL1251" s="40">
        <f>IFERROR(VLOOKUP(Tabela3[[#This Row],[Produto]],Tabela2[],15,0),0)</f>
        <v>4</v>
      </c>
      <c r="AM1251" s="36">
        <f ca="1">(Tabela3[[#This Row],[Custo Usinagem]]+Tabela3[[#This Row],[Custo / Pç]])*1.2</f>
        <v>22.507724463660946</v>
      </c>
      <c r="AN1251" s="36">
        <f ca="1">Tabela3[[#This Row],[Valor Mínimo Venda]]*1.15</f>
        <v>25.883883133210084</v>
      </c>
      <c r="AO1251" s="36">
        <f ca="1">Tabela3[[#This Row],[Tabela 1]]*1.08</f>
        <v>27.954593783866894</v>
      </c>
      <c r="AP1251" s="36">
        <f ca="1">Tabela3[[#This Row],[Tabela 2]]*1.15</f>
        <v>32.147782851446927</v>
      </c>
    </row>
    <row r="1252" spans="1:42">
      <c r="A1252" s="9">
        <v>46168</v>
      </c>
      <c r="B1252" s="9" t="s">
        <v>253</v>
      </c>
      <c r="C1252" s="14">
        <v>9749</v>
      </c>
      <c r="D1252" s="6" t="s">
        <v>46</v>
      </c>
      <c r="E1252" s="6" t="s">
        <v>50</v>
      </c>
      <c r="F1252" s="6">
        <v>25</v>
      </c>
      <c r="G1252" s="15">
        <v>0.14583333333333334</v>
      </c>
      <c r="H1252" s="16">
        <v>3</v>
      </c>
      <c r="I1252" s="35">
        <f ca="1">IFERROR(Tabela3[[#This Row],[Custo Total]]/Tabela3[[#This Row],[Aluminio Util]],0)</f>
        <v>37.419146558184075</v>
      </c>
      <c r="J1252" s="35">
        <f ca="1">Tabela3[[#This Row],[Custo Total]]/Tabela3[[#This Row],[Realizado]]</f>
        <v>39.290103886093284</v>
      </c>
      <c r="K1252" s="37">
        <f>IFERROR(Tabela3[[#This Row],[Qtde Cx Produzida]]/Tabela3[[#This Row],[Tempo]]/24,0)</f>
        <v>7.1428571428571423</v>
      </c>
      <c r="L1252" s="37">
        <f>Tabela3[[#This Row],[Qtde Cx Produzida]]*Tabela3[[#This Row],[Qdt Peça Placa]]</f>
        <v>25</v>
      </c>
      <c r="M1252" s="37">
        <f>Tabela3[[#This Row],[Previsto]]-Tabela3[[#This Row],[Perda Pçs]]</f>
        <v>22</v>
      </c>
      <c r="N1252" s="38">
        <f>IFERROR(Tabela3[[#This Row],[Perda Pçs]]/Tabela3[[#This Row],[Previsto]],0)</f>
        <v>0.12</v>
      </c>
      <c r="O1252" s="39">
        <f>IFERROR(IF(Tabela3[[#This Row],[Qtde Cx Produzida]] &lt;&gt; 0, Tabela3[[#This Row],[Tempo]] / Tabela3[[#This Row],[Qtde Cx Produzida]], 0),0)</f>
        <v>5.8333333333333336E-3</v>
      </c>
      <c r="P1252" s="57">
        <f>IFERROR(Tabela3[[#This Row],[Perda Pçs]]/Tabela3[[#This Row],[Qdt Peça Placa]],0)</f>
        <v>3</v>
      </c>
      <c r="Q1252" s="37">
        <f>IFERROR(Tabela3[[#This Row],[Realizado]]*Tabela3[[#This Row],[Peso Util/Pç]],0)</f>
        <v>23.1</v>
      </c>
      <c r="R1252" s="37">
        <f>IFERROR(Tabela3[[#This Row],[Peso Total Galho]]*Tabela3[[#This Row],[Qtde Cx Produzida]]*1.055,0)</f>
        <v>54.596249999999991</v>
      </c>
      <c r="S1252" s="37">
        <f>(Tabela3[[#This Row],[Aluminio Bruto]]-Tabela3[[#This Row],[Aluminio Util]])*0.9</f>
        <v>28.346624999999992</v>
      </c>
      <c r="T1252" s="37">
        <f>Tabela3[[#This Row],[Aluminio Bruto]]/OleoKGAluminio</f>
        <v>22.968571782726954</v>
      </c>
      <c r="U1252" s="35">
        <f>IFERROR((VLOOKUP(Tabela3[[#This Row],[Moldador]],Tabela1[],5,)+(VLOOKUP(Tabela3[[#This Row],[Ajudante]],Tabela1[],5,))*3.5),0)</f>
        <v>99.95034583333333</v>
      </c>
      <c r="V1252" s="35">
        <f>IFERROR(Tabela3[[#This Row],[Custo M.O. / H]]/((Tabela3[[#This Row],[Realizado]]/Tabela3[[#This Row],[Qdt Peça Placa]])/Tabela3[[#This Row],[Tempo]]/24),)</f>
        <v>15.901191382575757</v>
      </c>
      <c r="W1252" s="35">
        <f>Tabela3[[#This Row],[Custo / Cx Moldada]]*Tabela3[[#This Row],[Qtde Cx Produzida]]</f>
        <v>397.52978456439394</v>
      </c>
      <c r="X1252" s="35">
        <f ca="1">Tabela3[[#This Row],[Aluminio Util]]*Tabela3[[#This Row],[Custo/Kg]]</f>
        <v>406.56000000000006</v>
      </c>
      <c r="Y1252" s="35">
        <f>IFERROR(VLOOKUP(Tabela3[[#This Row],[Data]],Tabela461213[],2,1)*(Tabela3[[#This Row],[Qtde Cx Produzida]]*Tabela3[[#This Row],[Qde macho / CX]]*Tabela3[[#This Row],[Peso Macho]]),)</f>
        <v>0</v>
      </c>
      <c r="Z1252" s="35">
        <f>IFERROR(Tabela3[[#This Row],[Qtde Oleo]]*(VLOOKUP(Tabela3[[#This Row],[Data]],CompraOleo[],3,TRUE))*1.05,0)</f>
        <v>60.29250092965826</v>
      </c>
      <c r="AA1252" s="47">
        <f ca="1">(Tabela3[[#This Row],[Custo Oleo]]+Tabela3[[#This Row],[Custo Aluminio]]+Tabela3[[#This Row],[Custo M.O. Total]]+Tabela3[[#This Row],[Custo Machos]])</f>
        <v>864.38228549405221</v>
      </c>
      <c r="AB1252" s="47">
        <f ca="1">Tabela3[[#This Row],[Custo Total]]*Tabela3[[#This Row],[% Perda]]</f>
        <v>103.72587425928626</v>
      </c>
      <c r="AC1252" s="40">
        <f>IFERROR(VLOOKUP(Tabela3[[#This Row],[Produto]],Tabela2[],2,0),0)</f>
        <v>1</v>
      </c>
      <c r="AD1252" s="48">
        <f>IFERROR(VLOOKUP(Tabela3[[#This Row],[Produto]],Tabela2[],3,0),0)</f>
        <v>1.05</v>
      </c>
      <c r="AE1252" s="48">
        <f>IFERROR(VLOOKUP(Tabela3[[#This Row],[Produto]],Tabela2[],4,0),0)</f>
        <v>2.0699999999999998</v>
      </c>
      <c r="AF1252" s="48">
        <f>IFERROR(VLOOKUP(Tabela3[[#This Row],[Produto]],Tabela2[],5,0),0)</f>
        <v>0.91799999999999982</v>
      </c>
      <c r="AG1252" s="48">
        <f>IFERROR(VLOOKUP(Tabela3[[#This Row],[Produto]],Tabela2[],6,0),0)</f>
        <v>0</v>
      </c>
      <c r="AH1252" s="40">
        <f>IFERROR(VLOOKUP(Tabela3[[#This Row],[Produto]],Tabela2[],7,0),0)</f>
        <v>0</v>
      </c>
      <c r="AI1252" s="40">
        <f>IFERROR(VLOOKUP(Tabela3[[#This Row],[Produto]],Tabela2[],8,0),0)</f>
        <v>0</v>
      </c>
      <c r="AJ1252" s="35">
        <f ca="1">IFERROR(VLOOKUP(Tabela3[[#This Row],[Produto]],Tabela2[],13,0),0)</f>
        <v>17.600000000000001</v>
      </c>
      <c r="AK1252" s="48" t="str">
        <f>IFERROR(VLOOKUP(Tabela3[[#This Row],[Produto]],Tabela2[],14,0),0)</f>
        <v>Protec</v>
      </c>
      <c r="AL1252" s="40">
        <f>IFERROR(VLOOKUP(Tabela3[[#This Row],[Produto]],Tabela2[],15,0),0)</f>
        <v>0</v>
      </c>
      <c r="AM1252" s="36">
        <f ca="1">(Tabela3[[#This Row],[Custo Usinagem]]+Tabela3[[#This Row],[Custo / Pç]])*1.2</f>
        <v>47.14812466331194</v>
      </c>
      <c r="AN1252" s="36">
        <f ca="1">Tabela3[[#This Row],[Valor Mínimo Venda]]*1.15</f>
        <v>54.220343362808727</v>
      </c>
      <c r="AO1252" s="36">
        <f ca="1">Tabela3[[#This Row],[Tabela 1]]*1.08</f>
        <v>58.55797083183343</v>
      </c>
      <c r="AP1252" s="36">
        <f ca="1">Tabela3[[#This Row],[Tabela 2]]*1.15</f>
        <v>67.341666456608436</v>
      </c>
    </row>
    <row r="1253" spans="1:42">
      <c r="A1253" s="9">
        <v>46168</v>
      </c>
      <c r="B1253" s="9" t="s">
        <v>236</v>
      </c>
      <c r="C1253" s="14">
        <v>9598</v>
      </c>
      <c r="D1253" s="6" t="s">
        <v>44</v>
      </c>
      <c r="E1253" s="6" t="s">
        <v>47</v>
      </c>
      <c r="F1253" s="6">
        <v>23</v>
      </c>
      <c r="G1253" s="15">
        <v>0.12222222222222222</v>
      </c>
      <c r="H1253" s="16">
        <v>0</v>
      </c>
      <c r="I1253" s="35">
        <f ca="1">IFERROR(Tabela3[[#This Row],[Custo Total]]/Tabela3[[#This Row],[Aluminio Util]],0)</f>
        <v>24.018612838730789</v>
      </c>
      <c r="J1253" s="35">
        <f ca="1">Tabela3[[#This Row],[Custo Total]]/Tabela3[[#This Row],[Realizado]]</f>
        <v>7.2536210772966978</v>
      </c>
      <c r="K1253" s="37">
        <f>IFERROR(Tabela3[[#This Row],[Qtde Cx Produzida]]/Tabela3[[#This Row],[Tempo]]/24,0)</f>
        <v>7.8409090909090908</v>
      </c>
      <c r="L1253" s="37">
        <f>Tabela3[[#This Row],[Qtde Cx Produzida]]*Tabela3[[#This Row],[Qdt Peça Placa]]</f>
        <v>138</v>
      </c>
      <c r="M1253" s="37">
        <f>Tabela3[[#This Row],[Previsto]]-Tabela3[[#This Row],[Perda Pçs]]</f>
        <v>138</v>
      </c>
      <c r="N1253" s="38">
        <f>IFERROR(Tabela3[[#This Row],[Perda Pçs]]/Tabela3[[#This Row],[Previsto]],0)</f>
        <v>0</v>
      </c>
      <c r="O1253" s="39">
        <f>IFERROR(IF(Tabela3[[#This Row],[Qtde Cx Produzida]] &lt;&gt; 0, Tabela3[[#This Row],[Tempo]] / Tabela3[[#This Row],[Qtde Cx Produzida]], 0),0)</f>
        <v>5.3140096618357483E-3</v>
      </c>
      <c r="P1253" s="57">
        <f>IFERROR(Tabela3[[#This Row],[Perda Pçs]]/Tabela3[[#This Row],[Qdt Peça Placa]],0)</f>
        <v>0</v>
      </c>
      <c r="Q1253" s="37">
        <f>IFERROR(Tabela3[[#This Row],[Realizado]]*Tabela3[[#This Row],[Peso Util/Pç]],0)</f>
        <v>41.676000000000002</v>
      </c>
      <c r="R1253" s="37">
        <f>IFERROR(Tabela3[[#This Row],[Peso Total Galho]]*Tabela3[[#This Row],[Qtde Cx Produzida]]*1.055,0)</f>
        <v>52.21828</v>
      </c>
      <c r="S1253" s="37">
        <f>(Tabela3[[#This Row],[Aluminio Bruto]]-Tabela3[[#This Row],[Aluminio Util]])*0.9</f>
        <v>9.4880519999999979</v>
      </c>
      <c r="T1253" s="37">
        <f>Tabela3[[#This Row],[Aluminio Bruto]]/OleoKGAluminio</f>
        <v>21.968162878412627</v>
      </c>
      <c r="U1253" s="35">
        <f>IFERROR((VLOOKUP(Tabela3[[#This Row],[Moldador]],Tabela1[],5,)+(VLOOKUP(Tabela3[[#This Row],[Ajudante]],Tabela1[],5,))*3.5),0)</f>
        <v>99.95034583333333</v>
      </c>
      <c r="V1253" s="35">
        <f>IFERROR(Tabela3[[#This Row],[Custo M.O. / H]]/((Tabela3[[#This Row],[Realizado]]/Tabela3[[#This Row],[Qdt Peça Placa]])/Tabela3[[#This Row],[Tempo]]/24),)</f>
        <v>12.747290483091787</v>
      </c>
      <c r="W1253" s="35">
        <f>Tabela3[[#This Row],[Custo / Cx Moldada]]*Tabela3[[#This Row],[Qtde Cx Produzida]]</f>
        <v>293.18768111111109</v>
      </c>
      <c r="X1253" s="35">
        <f ca="1">Tabela3[[#This Row],[Aluminio Util]]*Tabela3[[#This Row],[Custo/Kg]]</f>
        <v>650.14560000000006</v>
      </c>
      <c r="Y1253" s="35">
        <f>IFERROR(VLOOKUP(Tabela3[[#This Row],[Data]],Tabela461213[],2,1)*(Tabela3[[#This Row],[Qtde Cx Produzida]]*Tabela3[[#This Row],[Qde macho / CX]]*Tabela3[[#This Row],[Peso Macho]]),)</f>
        <v>0</v>
      </c>
      <c r="Z1253" s="35">
        <f>IFERROR(Tabela3[[#This Row],[Qtde Oleo]]*(VLOOKUP(Tabela3[[#This Row],[Data]],CompraOleo[],3,TRUE))*1.05,0)</f>
        <v>57.666427555833152</v>
      </c>
      <c r="AA1253" s="47">
        <f ca="1">(Tabela3[[#This Row],[Custo Oleo]]+Tabela3[[#This Row],[Custo Aluminio]]+Tabela3[[#This Row],[Custo M.O. Total]]+Tabela3[[#This Row],[Custo Machos]])</f>
        <v>1000.9997086669443</v>
      </c>
      <c r="AB1253" s="47">
        <f ca="1">Tabela3[[#This Row],[Custo Total]]*Tabela3[[#This Row],[% Perda]]</f>
        <v>0</v>
      </c>
      <c r="AC1253" s="40">
        <f>IFERROR(VLOOKUP(Tabela3[[#This Row],[Produto]],Tabela2[],2,0),0)</f>
        <v>6</v>
      </c>
      <c r="AD1253" s="48">
        <f>IFERROR(VLOOKUP(Tabela3[[#This Row],[Produto]],Tabela2[],3,0),0)</f>
        <v>0.30199999999999999</v>
      </c>
      <c r="AE1253" s="48">
        <f>IFERROR(VLOOKUP(Tabela3[[#This Row],[Produto]],Tabela2[],4,0),0)</f>
        <v>2.1520000000000001</v>
      </c>
      <c r="AF1253" s="48">
        <f>IFERROR(VLOOKUP(Tabela3[[#This Row],[Produto]],Tabela2[],5,0),0)</f>
        <v>0.30600000000000027</v>
      </c>
      <c r="AG1253" s="48">
        <f>IFERROR(VLOOKUP(Tabela3[[#This Row],[Produto]],Tabela2[],6,0),0)</f>
        <v>0</v>
      </c>
      <c r="AH1253" s="40">
        <f>IFERROR(VLOOKUP(Tabela3[[#This Row],[Produto]],Tabela2[],7,0),0)</f>
        <v>0</v>
      </c>
      <c r="AI1253" s="40">
        <f>IFERROR(VLOOKUP(Tabela3[[#This Row],[Produto]],Tabela2[],8,0),0)</f>
        <v>0</v>
      </c>
      <c r="AJ1253" s="35">
        <f ca="1">IFERROR(VLOOKUP(Tabela3[[#This Row],[Produto]],Tabela2[],13,0),0)</f>
        <v>15.600000000000001</v>
      </c>
      <c r="AK1253" s="48" t="str">
        <f>IFERROR(VLOOKUP(Tabela3[[#This Row],[Produto]],Tabela2[],14,0),0)</f>
        <v>Senun</v>
      </c>
      <c r="AL1253" s="40">
        <f>IFERROR(VLOOKUP(Tabela3[[#This Row],[Produto]],Tabela2[],15,0),0)</f>
        <v>4</v>
      </c>
      <c r="AM1253" s="36">
        <f ca="1">(Tabela3[[#This Row],[Custo Usinagem]]+Tabela3[[#This Row],[Custo / Pç]])*1.2</f>
        <v>13.504345292756037</v>
      </c>
      <c r="AN1253" s="36">
        <f ca="1">Tabela3[[#This Row],[Valor Mínimo Venda]]*1.15</f>
        <v>15.529997086669441</v>
      </c>
      <c r="AO1253" s="36">
        <f ca="1">Tabela3[[#This Row],[Tabela 1]]*1.08</f>
        <v>16.772396853602999</v>
      </c>
      <c r="AP1253" s="36">
        <f ca="1">Tabela3[[#This Row],[Tabela 2]]*1.15</f>
        <v>19.288256381643446</v>
      </c>
    </row>
    <row r="1254" spans="1:42">
      <c r="A1254" s="9">
        <v>46168</v>
      </c>
      <c r="B1254" s="9" t="s">
        <v>246</v>
      </c>
      <c r="C1254" s="14">
        <v>9726</v>
      </c>
      <c r="D1254" s="6" t="s">
        <v>46</v>
      </c>
      <c r="E1254" s="6" t="s">
        <v>50</v>
      </c>
      <c r="F1254" s="6">
        <v>22</v>
      </c>
      <c r="G1254" s="15">
        <v>0.11458333333333333</v>
      </c>
      <c r="H1254" s="16">
        <v>0</v>
      </c>
      <c r="I1254" s="35">
        <f ca="1">IFERROR(Tabela3[[#This Row],[Custo Total]]/Tabela3[[#This Row],[Aluminio Util]],0)</f>
        <v>23.263476744317078</v>
      </c>
      <c r="J1254" s="35">
        <f ca="1">Tabela3[[#This Row],[Custo Total]]/Tabela3[[#This Row],[Realizado]]</f>
        <v>12.399433104721004</v>
      </c>
      <c r="K1254" s="37">
        <f>IFERROR(Tabela3[[#This Row],[Qtde Cx Produzida]]/Tabela3[[#This Row],[Tempo]]/24,0)</f>
        <v>8</v>
      </c>
      <c r="L1254" s="37">
        <f>Tabela3[[#This Row],[Qtde Cx Produzida]]*Tabela3[[#This Row],[Qdt Peça Placa]]</f>
        <v>88</v>
      </c>
      <c r="M1254" s="37">
        <f>Tabela3[[#This Row],[Previsto]]-Tabela3[[#This Row],[Perda Pçs]]</f>
        <v>88</v>
      </c>
      <c r="N1254" s="38">
        <f>IFERROR(Tabela3[[#This Row],[Perda Pçs]]/Tabela3[[#This Row],[Previsto]],0)</f>
        <v>0</v>
      </c>
      <c r="O1254" s="39">
        <f>IFERROR(IF(Tabela3[[#This Row],[Qtde Cx Produzida]] &lt;&gt; 0, Tabela3[[#This Row],[Tempo]] / Tabela3[[#This Row],[Qtde Cx Produzida]], 0),0)</f>
        <v>5.208333333333333E-3</v>
      </c>
      <c r="P1254" s="57">
        <f>IFERROR(Tabela3[[#This Row],[Perda Pçs]]/Tabela3[[#This Row],[Qdt Peça Placa]],0)</f>
        <v>0</v>
      </c>
      <c r="Q1254" s="37">
        <f>IFERROR(Tabela3[[#This Row],[Realizado]]*Tabela3[[#This Row],[Peso Util/Pç]],0)</f>
        <v>46.904000000000003</v>
      </c>
      <c r="R1254" s="37">
        <f>IFERROR(Tabela3[[#This Row],[Peso Total Galho]]*Tabela3[[#This Row],[Qtde Cx Produzida]]*1.055,0)</f>
        <v>76.592999999999989</v>
      </c>
      <c r="S1254" s="37">
        <f>(Tabela3[[#This Row],[Aluminio Bruto]]-Tabela3[[#This Row],[Aluminio Util]])*0.9</f>
        <v>26.720099999999988</v>
      </c>
      <c r="T1254" s="37">
        <f>Tabela3[[#This Row],[Aluminio Bruto]]/OleoKGAluminio</f>
        <v>32.222576066202457</v>
      </c>
      <c r="U1254" s="35">
        <f>IFERROR((VLOOKUP(Tabela3[[#This Row],[Moldador]],Tabela1[],5,)+(VLOOKUP(Tabela3[[#This Row],[Ajudante]],Tabela1[],5,))*3.5),0)</f>
        <v>99.95034583333333</v>
      </c>
      <c r="V1254" s="35">
        <f>IFERROR(Tabela3[[#This Row],[Custo M.O. / H]]/((Tabela3[[#This Row],[Realizado]]/Tabela3[[#This Row],[Qdt Peça Placa]])/Tabela3[[#This Row],[Tempo]]/24),)</f>
        <v>12.493793229166666</v>
      </c>
      <c r="W1254" s="35">
        <f>Tabela3[[#This Row],[Custo / Cx Moldada]]*Tabela3[[#This Row],[Qtde Cx Produzida]]</f>
        <v>274.86345104166668</v>
      </c>
      <c r="X1254" s="35">
        <f ca="1">Tabela3[[#This Row],[Aluminio Util]]*Tabela3[[#This Row],[Custo/Kg]]</f>
        <v>731.70240000000013</v>
      </c>
      <c r="Y1254" s="35">
        <f>IFERROR(VLOOKUP(Tabela3[[#This Row],[Data]],Tabela461213[],2,1)*(Tabela3[[#This Row],[Qtde Cx Produzida]]*Tabela3[[#This Row],[Qde macho / CX]]*Tabela3[[#This Row],[Peso Macho]]),)</f>
        <v>0</v>
      </c>
      <c r="Z1254" s="35">
        <f>IFERROR(Tabela3[[#This Row],[Qtde Oleo]]*(VLOOKUP(Tabela3[[#This Row],[Data]],CompraOleo[],3,TRUE))*1.05,0)</f>
        <v>84.584262173781454</v>
      </c>
      <c r="AA1254" s="47">
        <f ca="1">(Tabela3[[#This Row],[Custo Oleo]]+Tabela3[[#This Row],[Custo Aluminio]]+Tabela3[[#This Row],[Custo M.O. Total]]+Tabela3[[#This Row],[Custo Machos]])</f>
        <v>1091.1501132154483</v>
      </c>
      <c r="AB1254" s="47">
        <f ca="1">Tabela3[[#This Row],[Custo Total]]*Tabela3[[#This Row],[% Perda]]</f>
        <v>0</v>
      </c>
      <c r="AC1254" s="40">
        <f>IFERROR(VLOOKUP(Tabela3[[#This Row],[Produto]],Tabela2[],2,0),0)</f>
        <v>4</v>
      </c>
      <c r="AD1254" s="48">
        <f>IFERROR(VLOOKUP(Tabela3[[#This Row],[Produto]],Tabela2[],3,0),0)</f>
        <v>0.53300000000000003</v>
      </c>
      <c r="AE1254" s="48">
        <f>IFERROR(VLOOKUP(Tabela3[[#This Row],[Produto]],Tabela2[],4,0),0)</f>
        <v>3.3</v>
      </c>
      <c r="AF1254" s="48">
        <f>IFERROR(VLOOKUP(Tabela3[[#This Row],[Produto]],Tabela2[],5,0),0)</f>
        <v>1.0511999999999997</v>
      </c>
      <c r="AG1254" s="48">
        <f>IFERROR(VLOOKUP(Tabela3[[#This Row],[Produto]],Tabela2[],6,0),0)</f>
        <v>0</v>
      </c>
      <c r="AH1254" s="40">
        <f>IFERROR(VLOOKUP(Tabela3[[#This Row],[Produto]],Tabela2[],7,0),0)</f>
        <v>0</v>
      </c>
      <c r="AI1254" s="40">
        <f>IFERROR(VLOOKUP(Tabela3[[#This Row],[Produto]],Tabela2[],8,0),0)</f>
        <v>0</v>
      </c>
      <c r="AJ1254" s="35">
        <f ca="1">IFERROR(VLOOKUP(Tabela3[[#This Row],[Produto]],Tabela2[],13,0),0)</f>
        <v>15.600000000000001</v>
      </c>
      <c r="AK1254" s="48" t="str">
        <f>IFERROR(VLOOKUP(Tabela3[[#This Row],[Produto]],Tabela2[],14,0),0)</f>
        <v>Senun</v>
      </c>
      <c r="AL1254" s="40">
        <f>IFERROR(VLOOKUP(Tabela3[[#This Row],[Produto]],Tabela2[],15,0),0)</f>
        <v>4</v>
      </c>
      <c r="AM1254" s="36">
        <f ca="1">(Tabela3[[#This Row],[Custo Usinagem]]+Tabela3[[#This Row],[Custo / Pç]])*1.2</f>
        <v>19.679319725665206</v>
      </c>
      <c r="AN1254" s="36">
        <f ca="1">Tabela3[[#This Row],[Valor Mínimo Venda]]*1.15</f>
        <v>22.631217684514986</v>
      </c>
      <c r="AO1254" s="36">
        <f ca="1">Tabela3[[#This Row],[Tabela 1]]*1.08</f>
        <v>24.441715099276188</v>
      </c>
      <c r="AP1254" s="36">
        <f ca="1">Tabela3[[#This Row],[Tabela 2]]*1.15</f>
        <v>28.107972364167612</v>
      </c>
    </row>
    <row r="1255" spans="1:42">
      <c r="A1255" s="9">
        <v>46168</v>
      </c>
      <c r="B1255" s="9" t="s">
        <v>246</v>
      </c>
      <c r="C1255" s="14">
        <v>9726</v>
      </c>
      <c r="D1255" s="6" t="s">
        <v>46</v>
      </c>
      <c r="E1255" s="6" t="s">
        <v>44</v>
      </c>
      <c r="F1255" s="6">
        <v>22</v>
      </c>
      <c r="G1255" s="15">
        <v>9.583333333333334E-2</v>
      </c>
      <c r="H1255" s="16">
        <v>0</v>
      </c>
      <c r="I1255" s="35">
        <f ca="1">IFERROR(Tabela3[[#This Row],[Custo Total]]/Tabela3[[#This Row],[Aluminio Util]],0)</f>
        <v>23.586560041228498</v>
      </c>
      <c r="J1255" s="35">
        <f ca="1">Tabela3[[#This Row],[Custo Total]]/Tabela3[[#This Row],[Realizado]]</f>
        <v>12.57163650197479</v>
      </c>
      <c r="K1255" s="37">
        <f>IFERROR(Tabela3[[#This Row],[Qtde Cx Produzida]]/Tabela3[[#This Row],[Tempo]]/24,0)</f>
        <v>9.5652173913043477</v>
      </c>
      <c r="L1255" s="37">
        <f>Tabela3[[#This Row],[Qtde Cx Produzida]]*Tabela3[[#This Row],[Qdt Peça Placa]]</f>
        <v>88</v>
      </c>
      <c r="M1255" s="37">
        <f>Tabela3[[#This Row],[Previsto]]-Tabela3[[#This Row],[Perda Pçs]]</f>
        <v>88</v>
      </c>
      <c r="N1255" s="38">
        <f>IFERROR(Tabela3[[#This Row],[Perda Pçs]]/Tabela3[[#This Row],[Previsto]],0)</f>
        <v>0</v>
      </c>
      <c r="O1255" s="39">
        <f>IFERROR(IF(Tabela3[[#This Row],[Qtde Cx Produzida]] &lt;&gt; 0, Tabela3[[#This Row],[Tempo]] / Tabela3[[#This Row],[Qtde Cx Produzida]], 0),0)</f>
        <v>4.3560606060606064E-3</v>
      </c>
      <c r="P1255" s="57">
        <f>IFERROR(Tabela3[[#This Row],[Perda Pçs]]/Tabela3[[#This Row],[Qdt Peça Placa]],0)</f>
        <v>0</v>
      </c>
      <c r="Q1255" s="37">
        <f>IFERROR(Tabela3[[#This Row],[Realizado]]*Tabela3[[#This Row],[Peso Util/Pç]],0)</f>
        <v>46.904000000000003</v>
      </c>
      <c r="R1255" s="37">
        <f>IFERROR(Tabela3[[#This Row],[Peso Total Galho]]*Tabela3[[#This Row],[Qtde Cx Produzida]]*1.055,0)</f>
        <v>76.592999999999989</v>
      </c>
      <c r="S1255" s="37">
        <f>(Tabela3[[#This Row],[Aluminio Bruto]]-Tabela3[[#This Row],[Aluminio Util]])*0.9</f>
        <v>26.720099999999988</v>
      </c>
      <c r="T1255" s="37">
        <f>Tabela3[[#This Row],[Aluminio Bruto]]/OleoKGAluminio</f>
        <v>32.222576066202457</v>
      </c>
      <c r="U1255" s="35">
        <f>IFERROR((VLOOKUP(Tabela3[[#This Row],[Moldador]],Tabela1[],5,)+(VLOOKUP(Tabela3[[#This Row],[Ajudante]],Tabela1[],5,))*3.5),0)</f>
        <v>126.0945</v>
      </c>
      <c r="V1255" s="35">
        <f>IFERROR(Tabela3[[#This Row],[Custo M.O. / H]]/((Tabela3[[#This Row],[Realizado]]/Tabela3[[#This Row],[Qdt Peça Placa]])/Tabela3[[#This Row],[Tempo]]/24),)</f>
        <v>13.182606818181817</v>
      </c>
      <c r="W1255" s="35">
        <f>Tabela3[[#This Row],[Custo / Cx Moldada]]*Tabela3[[#This Row],[Qtde Cx Produzida]]</f>
        <v>290.01734999999996</v>
      </c>
      <c r="X1255" s="35">
        <f ca="1">Tabela3[[#This Row],[Aluminio Util]]*Tabela3[[#This Row],[Custo/Kg]]</f>
        <v>731.70240000000013</v>
      </c>
      <c r="Y1255" s="35">
        <f>IFERROR(VLOOKUP(Tabela3[[#This Row],[Data]],Tabela461213[],2,1)*(Tabela3[[#This Row],[Qtde Cx Produzida]]*Tabela3[[#This Row],[Qde macho / CX]]*Tabela3[[#This Row],[Peso Macho]]),)</f>
        <v>0</v>
      </c>
      <c r="Z1255" s="35">
        <f>IFERROR(Tabela3[[#This Row],[Qtde Oleo]]*(VLOOKUP(Tabela3[[#This Row],[Data]],CompraOleo[],3,TRUE))*1.05,0)</f>
        <v>84.584262173781454</v>
      </c>
      <c r="AA1255" s="47">
        <f ca="1">(Tabela3[[#This Row],[Custo Oleo]]+Tabela3[[#This Row],[Custo Aluminio]]+Tabela3[[#This Row],[Custo M.O. Total]]+Tabela3[[#This Row],[Custo Machos]])</f>
        <v>1106.3040121737815</v>
      </c>
      <c r="AB1255" s="47">
        <f ca="1">Tabela3[[#This Row],[Custo Total]]*Tabela3[[#This Row],[% Perda]]</f>
        <v>0</v>
      </c>
      <c r="AC1255" s="40">
        <f>IFERROR(VLOOKUP(Tabela3[[#This Row],[Produto]],Tabela2[],2,0),0)</f>
        <v>4</v>
      </c>
      <c r="AD1255" s="48">
        <f>IFERROR(VLOOKUP(Tabela3[[#This Row],[Produto]],Tabela2[],3,0),0)</f>
        <v>0.53300000000000003</v>
      </c>
      <c r="AE1255" s="48">
        <f>IFERROR(VLOOKUP(Tabela3[[#This Row],[Produto]],Tabela2[],4,0),0)</f>
        <v>3.3</v>
      </c>
      <c r="AF1255" s="48">
        <f>IFERROR(VLOOKUP(Tabela3[[#This Row],[Produto]],Tabela2[],5,0),0)</f>
        <v>1.0511999999999997</v>
      </c>
      <c r="AG1255" s="48">
        <f>IFERROR(VLOOKUP(Tabela3[[#This Row],[Produto]],Tabela2[],6,0),0)</f>
        <v>0</v>
      </c>
      <c r="AH1255" s="40">
        <f>IFERROR(VLOOKUP(Tabela3[[#This Row],[Produto]],Tabela2[],7,0),0)</f>
        <v>0</v>
      </c>
      <c r="AI1255" s="40">
        <f>IFERROR(VLOOKUP(Tabela3[[#This Row],[Produto]],Tabela2[],8,0),0)</f>
        <v>0</v>
      </c>
      <c r="AJ1255" s="35">
        <f ca="1">IFERROR(VLOOKUP(Tabela3[[#This Row],[Produto]],Tabela2[],13,0),0)</f>
        <v>15.600000000000001</v>
      </c>
      <c r="AK1255" s="48" t="str">
        <f>IFERROR(VLOOKUP(Tabela3[[#This Row],[Produto]],Tabela2[],14,0),0)</f>
        <v>Senun</v>
      </c>
      <c r="AL1255" s="40">
        <f>IFERROR(VLOOKUP(Tabela3[[#This Row],[Produto]],Tabela2[],15,0),0)</f>
        <v>4</v>
      </c>
      <c r="AM1255" s="36">
        <f ca="1">(Tabela3[[#This Row],[Custo Usinagem]]+Tabela3[[#This Row],[Custo / Pç]])*1.2</f>
        <v>19.885963802369748</v>
      </c>
      <c r="AN1255" s="36">
        <f ca="1">Tabela3[[#This Row],[Valor Mínimo Venda]]*1.15</f>
        <v>22.868858372725207</v>
      </c>
      <c r="AO1255" s="36">
        <f ca="1">Tabela3[[#This Row],[Tabela 1]]*1.08</f>
        <v>24.698367042543225</v>
      </c>
      <c r="AP1255" s="36">
        <f ca="1">Tabela3[[#This Row],[Tabela 2]]*1.15</f>
        <v>28.403122098924708</v>
      </c>
    </row>
    <row r="1256" spans="1:42">
      <c r="A1256" s="9">
        <v>46168</v>
      </c>
      <c r="B1256" s="9" t="s">
        <v>246</v>
      </c>
      <c r="C1256" s="14">
        <v>9726</v>
      </c>
      <c r="D1256" s="6" t="s">
        <v>44</v>
      </c>
      <c r="E1256" s="6" t="s">
        <v>47</v>
      </c>
      <c r="F1256" s="6">
        <v>17</v>
      </c>
      <c r="G1256" s="15">
        <v>7.6388888888888895E-2</v>
      </c>
      <c r="H1256" s="16">
        <v>0</v>
      </c>
      <c r="I1256" s="35">
        <f ca="1">IFERROR(Tabela3[[#This Row],[Custo Total]]/Tabela3[[#This Row],[Aluminio Util]],0)</f>
        <v>22.45914542875067</v>
      </c>
      <c r="J1256" s="35">
        <f ca="1">Tabela3[[#This Row],[Custo Total]]/Tabela3[[#This Row],[Realizado]]</f>
        <v>11.970724513524106</v>
      </c>
      <c r="K1256" s="37">
        <f>IFERROR(Tabela3[[#This Row],[Qtde Cx Produzida]]/Tabela3[[#This Row],[Tempo]]/24,0)</f>
        <v>9.2727272727272716</v>
      </c>
      <c r="L1256" s="37">
        <f>Tabela3[[#This Row],[Qtde Cx Produzida]]*Tabela3[[#This Row],[Qdt Peça Placa]]</f>
        <v>68</v>
      </c>
      <c r="M1256" s="37">
        <f>Tabela3[[#This Row],[Previsto]]-Tabela3[[#This Row],[Perda Pçs]]</f>
        <v>68</v>
      </c>
      <c r="N1256" s="38">
        <f>IFERROR(Tabela3[[#This Row],[Perda Pçs]]/Tabela3[[#This Row],[Previsto]],0)</f>
        <v>0</v>
      </c>
      <c r="O1256" s="39">
        <f>IFERROR(IF(Tabela3[[#This Row],[Qtde Cx Produzida]] &lt;&gt; 0, Tabela3[[#This Row],[Tempo]] / Tabela3[[#This Row],[Qtde Cx Produzida]], 0),0)</f>
        <v>4.4934640522875822E-3</v>
      </c>
      <c r="P1256" s="57">
        <f>IFERROR(Tabela3[[#This Row],[Perda Pçs]]/Tabela3[[#This Row],[Qdt Peça Placa]],0)</f>
        <v>0</v>
      </c>
      <c r="Q1256" s="37">
        <f>IFERROR(Tabela3[[#This Row],[Realizado]]*Tabela3[[#This Row],[Peso Util/Pç]],0)</f>
        <v>36.244</v>
      </c>
      <c r="R1256" s="37">
        <f>IFERROR(Tabela3[[#This Row],[Peso Total Galho]]*Tabela3[[#This Row],[Qtde Cx Produzida]]*1.055,0)</f>
        <v>59.18549999999999</v>
      </c>
      <c r="S1256" s="37">
        <f>(Tabela3[[#This Row],[Aluminio Bruto]]-Tabela3[[#This Row],[Aluminio Util]])*0.9</f>
        <v>20.647349999999992</v>
      </c>
      <c r="T1256" s="37">
        <f>Tabela3[[#This Row],[Aluminio Bruto]]/OleoKGAluminio</f>
        <v>24.899263323883712</v>
      </c>
      <c r="U1256" s="35">
        <f>IFERROR((VLOOKUP(Tabela3[[#This Row],[Moldador]],Tabela1[],5,)+(VLOOKUP(Tabela3[[#This Row],[Ajudante]],Tabela1[],5,))*3.5),0)</f>
        <v>99.95034583333333</v>
      </c>
      <c r="V1256" s="35">
        <f>IFERROR(Tabela3[[#This Row],[Custo M.O. / H]]/((Tabela3[[#This Row],[Realizado]]/Tabela3[[#This Row],[Qdt Peça Placa]])/Tabela3[[#This Row],[Tempo]]/24),)</f>
        <v>10.778958864379087</v>
      </c>
      <c r="W1256" s="35">
        <f>Tabela3[[#This Row],[Custo / Cx Moldada]]*Tabela3[[#This Row],[Qtde Cx Produzida]]</f>
        <v>183.24230069444448</v>
      </c>
      <c r="X1256" s="35">
        <f ca="1">Tabela3[[#This Row],[Aluminio Util]]*Tabela3[[#This Row],[Custo/Kg]]</f>
        <v>565.40640000000008</v>
      </c>
      <c r="Y1256" s="35">
        <f>IFERROR(VLOOKUP(Tabela3[[#This Row],[Data]],Tabela461213[],2,1)*(Tabela3[[#This Row],[Qtde Cx Produzida]]*Tabela3[[#This Row],[Qde macho / CX]]*Tabela3[[#This Row],[Peso Macho]]),)</f>
        <v>0</v>
      </c>
      <c r="Z1256" s="35">
        <f>IFERROR(Tabela3[[#This Row],[Qtde Oleo]]*(VLOOKUP(Tabela3[[#This Row],[Data]],CompraOleo[],3,TRUE))*1.05,0)</f>
        <v>65.360566225194745</v>
      </c>
      <c r="AA1256" s="47">
        <f ca="1">(Tabela3[[#This Row],[Custo Oleo]]+Tabela3[[#This Row],[Custo Aluminio]]+Tabela3[[#This Row],[Custo M.O. Total]]+Tabela3[[#This Row],[Custo Machos]])</f>
        <v>814.00926691963923</v>
      </c>
      <c r="AB1256" s="47">
        <f ca="1">Tabela3[[#This Row],[Custo Total]]*Tabela3[[#This Row],[% Perda]]</f>
        <v>0</v>
      </c>
      <c r="AC1256" s="40">
        <f>IFERROR(VLOOKUP(Tabela3[[#This Row],[Produto]],Tabela2[],2,0),0)</f>
        <v>4</v>
      </c>
      <c r="AD1256" s="48">
        <f>IFERROR(VLOOKUP(Tabela3[[#This Row],[Produto]],Tabela2[],3,0),0)</f>
        <v>0.53300000000000003</v>
      </c>
      <c r="AE1256" s="48">
        <f>IFERROR(VLOOKUP(Tabela3[[#This Row],[Produto]],Tabela2[],4,0),0)</f>
        <v>3.3</v>
      </c>
      <c r="AF1256" s="48">
        <f>IFERROR(VLOOKUP(Tabela3[[#This Row],[Produto]],Tabela2[],5,0),0)</f>
        <v>1.0511999999999997</v>
      </c>
      <c r="AG1256" s="48">
        <f>IFERROR(VLOOKUP(Tabela3[[#This Row],[Produto]],Tabela2[],6,0),0)</f>
        <v>0</v>
      </c>
      <c r="AH1256" s="40">
        <f>IFERROR(VLOOKUP(Tabela3[[#This Row],[Produto]],Tabela2[],7,0),0)</f>
        <v>0</v>
      </c>
      <c r="AI1256" s="40">
        <f>IFERROR(VLOOKUP(Tabela3[[#This Row],[Produto]],Tabela2[],8,0),0)</f>
        <v>0</v>
      </c>
      <c r="AJ1256" s="35">
        <f ca="1">IFERROR(VLOOKUP(Tabela3[[#This Row],[Produto]],Tabela2[],13,0),0)</f>
        <v>15.600000000000001</v>
      </c>
      <c r="AK1256" s="48" t="str">
        <f>IFERROR(VLOOKUP(Tabela3[[#This Row],[Produto]],Tabela2[],14,0),0)</f>
        <v>Senun</v>
      </c>
      <c r="AL1256" s="40">
        <f>IFERROR(VLOOKUP(Tabela3[[#This Row],[Produto]],Tabela2[],15,0),0)</f>
        <v>4</v>
      </c>
      <c r="AM1256" s="36">
        <f ca="1">(Tabela3[[#This Row],[Custo Usinagem]]+Tabela3[[#This Row],[Custo / Pç]])*1.2</f>
        <v>19.164869416228925</v>
      </c>
      <c r="AN1256" s="36">
        <f ca="1">Tabela3[[#This Row],[Valor Mínimo Venda]]*1.15</f>
        <v>22.039599828663263</v>
      </c>
      <c r="AO1256" s="36">
        <f ca="1">Tabela3[[#This Row],[Tabela 1]]*1.08</f>
        <v>23.802767814956326</v>
      </c>
      <c r="AP1256" s="36">
        <f ca="1">Tabela3[[#This Row],[Tabela 2]]*1.15</f>
        <v>27.373182987199772</v>
      </c>
    </row>
    <row r="1257" spans="1:42">
      <c r="A1257" s="9">
        <v>46168</v>
      </c>
      <c r="B1257" s="9" t="s">
        <v>265</v>
      </c>
      <c r="C1257" s="14">
        <v>9759</v>
      </c>
      <c r="D1257" s="6" t="s">
        <v>44</v>
      </c>
      <c r="E1257" s="6" t="s">
        <v>47</v>
      </c>
      <c r="F1257" s="6">
        <v>5</v>
      </c>
      <c r="G1257" s="15">
        <v>3.9583333333333331E-2</v>
      </c>
      <c r="H1257" s="16">
        <v>0</v>
      </c>
      <c r="I1257" s="35">
        <f ca="1">IFERROR(Tabela3[[#This Row],[Custo Total]]/Tabela3[[#This Row],[Aluminio Util]],0)</f>
        <v>30.621330240594798</v>
      </c>
      <c r="J1257" s="35">
        <f ca="1">Tabela3[[#This Row],[Custo Total]]/Tabela3[[#This Row],[Realizado]]</f>
        <v>52.056261409011157</v>
      </c>
      <c r="K1257" s="37">
        <f>IFERROR(Tabela3[[#This Row],[Qtde Cx Produzida]]/Tabela3[[#This Row],[Tempo]]/24,0)</f>
        <v>5.2631578947368425</v>
      </c>
      <c r="L1257" s="37">
        <f>Tabela3[[#This Row],[Qtde Cx Produzida]]*Tabela3[[#This Row],[Qdt Peça Placa]]</f>
        <v>5</v>
      </c>
      <c r="M1257" s="37">
        <f>Tabela3[[#This Row],[Previsto]]-Tabela3[[#This Row],[Perda Pçs]]</f>
        <v>5</v>
      </c>
      <c r="N1257" s="38">
        <f>IFERROR(Tabela3[[#This Row],[Perda Pçs]]/Tabela3[[#This Row],[Previsto]],0)</f>
        <v>0</v>
      </c>
      <c r="O1257" s="39">
        <f>IFERROR(IF(Tabela3[[#This Row],[Qtde Cx Produzida]] &lt;&gt; 0, Tabela3[[#This Row],[Tempo]] / Tabela3[[#This Row],[Qtde Cx Produzida]], 0),0)</f>
        <v>7.9166666666666656E-3</v>
      </c>
      <c r="P1257" s="57">
        <f>IFERROR(Tabela3[[#This Row],[Perda Pçs]]/Tabela3[[#This Row],[Qdt Peça Placa]],0)</f>
        <v>0</v>
      </c>
      <c r="Q1257" s="37">
        <f>IFERROR(Tabela3[[#This Row],[Realizado]]*Tabela3[[#This Row],[Peso Util/Pç]],0)</f>
        <v>8.5</v>
      </c>
      <c r="R1257" s="37">
        <f>IFERROR(Tabela3[[#This Row],[Peso Total Galho]]*Tabela3[[#This Row],[Qtde Cx Produzida]]*1.055,0)</f>
        <v>14.2425</v>
      </c>
      <c r="S1257" s="37">
        <f>(Tabela3[[#This Row],[Aluminio Bruto]]-Tabela3[[#This Row],[Aluminio Util]])*0.9</f>
        <v>5.1682499999999996</v>
      </c>
      <c r="T1257" s="37">
        <f>Tabela3[[#This Row],[Aluminio Bruto]]/OleoKGAluminio</f>
        <v>5.9918013346244239</v>
      </c>
      <c r="U1257" s="35">
        <f>IFERROR((VLOOKUP(Tabela3[[#This Row],[Moldador]],Tabela1[],5,)+(VLOOKUP(Tabela3[[#This Row],[Ajudante]],Tabela1[],5,))*3.5),0)</f>
        <v>99.95034583333333</v>
      </c>
      <c r="V1257" s="35">
        <f>IFERROR(Tabela3[[#This Row],[Custo M.O. / H]]/((Tabela3[[#This Row],[Realizado]]/Tabela3[[#This Row],[Qdt Peça Placa]])/Tabela3[[#This Row],[Tempo]]/24),)</f>
        <v>18.990565708333332</v>
      </c>
      <c r="W1257" s="35">
        <f>Tabela3[[#This Row],[Custo / Cx Moldada]]*Tabela3[[#This Row],[Qtde Cx Produzida]]</f>
        <v>94.952828541666662</v>
      </c>
      <c r="X1257" s="35">
        <f ca="1">Tabela3[[#This Row],[Aluminio Util]]*Tabela3[[#This Row],[Custo/Kg]]</f>
        <v>149.60000000000002</v>
      </c>
      <c r="Y1257" s="35">
        <f>IFERROR(VLOOKUP(Tabela3[[#This Row],[Data]],Tabela461213[],2,1)*(Tabela3[[#This Row],[Qtde Cx Produzida]]*Tabela3[[#This Row],[Qde macho / CX]]*Tabela3[[#This Row],[Peso Macho]]),)</f>
        <v>0</v>
      </c>
      <c r="Z1257" s="35">
        <f>IFERROR(Tabela3[[#This Row],[Qtde Oleo]]*(VLOOKUP(Tabela3[[#This Row],[Data]],CompraOleo[],3,TRUE))*1.05,0)</f>
        <v>15.728478503389113</v>
      </c>
      <c r="AA1257" s="47">
        <f ca="1">(Tabela3[[#This Row],[Custo Oleo]]+Tabela3[[#This Row],[Custo Aluminio]]+Tabela3[[#This Row],[Custo M.O. Total]]+Tabela3[[#This Row],[Custo Machos]])</f>
        <v>260.28130704505577</v>
      </c>
      <c r="AB1257" s="47">
        <f ca="1">Tabela3[[#This Row],[Custo Total]]*Tabela3[[#This Row],[% Perda]]</f>
        <v>0</v>
      </c>
      <c r="AC1257" s="40">
        <f>IFERROR(VLOOKUP(Tabela3[[#This Row],[Produto]],Tabela2[],2,0),0)</f>
        <v>1</v>
      </c>
      <c r="AD1257" s="48">
        <f>IFERROR(VLOOKUP(Tabela3[[#This Row],[Produto]],Tabela2[],3,0),0)</f>
        <v>1.7</v>
      </c>
      <c r="AE1257" s="48">
        <f>IFERROR(VLOOKUP(Tabela3[[#This Row],[Produto]],Tabela2[],4,0),0)</f>
        <v>2.7</v>
      </c>
      <c r="AF1257" s="48">
        <f>IFERROR(VLOOKUP(Tabela3[[#This Row],[Produto]],Tabela2[],5,0),0)</f>
        <v>0.90000000000000024</v>
      </c>
      <c r="AG1257" s="48">
        <f>IFERROR(VLOOKUP(Tabela3[[#This Row],[Produto]],Tabela2[],6,0),0)</f>
        <v>0</v>
      </c>
      <c r="AH1257" s="40">
        <f>IFERROR(VLOOKUP(Tabela3[[#This Row],[Produto]],Tabela2[],7,0),0)</f>
        <v>0</v>
      </c>
      <c r="AI1257" s="40">
        <f>IFERROR(VLOOKUP(Tabela3[[#This Row],[Produto]],Tabela2[],8,0),0)</f>
        <v>0</v>
      </c>
      <c r="AJ1257" s="35">
        <f ca="1">IFERROR(VLOOKUP(Tabela3[[#This Row],[Produto]],Tabela2[],13,0),0)</f>
        <v>17.600000000000001</v>
      </c>
      <c r="AK1257" s="48" t="str">
        <f>IFERROR(VLOOKUP(Tabela3[[#This Row],[Produto]],Tabela2[],14,0),0)</f>
        <v>Jumil</v>
      </c>
      <c r="AL1257" s="40">
        <f>IFERROR(VLOOKUP(Tabela3[[#This Row],[Produto]],Tabela2[],15,0),0)</f>
        <v>80</v>
      </c>
      <c r="AM1257" s="36">
        <f ca="1">(Tabela3[[#This Row],[Custo Usinagem]]+Tabela3[[#This Row],[Custo / Pç]])*1.2</f>
        <v>158.46751369081338</v>
      </c>
      <c r="AN1257" s="36">
        <f ca="1">Tabela3[[#This Row],[Valor Mínimo Venda]]*1.15</f>
        <v>182.23764074443537</v>
      </c>
      <c r="AO1257" s="36">
        <f ca="1">Tabela3[[#This Row],[Tabela 1]]*1.08</f>
        <v>196.81665200399021</v>
      </c>
      <c r="AP1257" s="36">
        <f ca="1">Tabela3[[#This Row],[Tabela 2]]*1.15</f>
        <v>226.33914980458871</v>
      </c>
    </row>
    <row r="1258" spans="1:42">
      <c r="A1258" s="9">
        <v>46169</v>
      </c>
      <c r="B1258" s="9" t="s">
        <v>246</v>
      </c>
      <c r="C1258" s="14">
        <v>9726</v>
      </c>
      <c r="D1258" s="6" t="s">
        <v>46</v>
      </c>
      <c r="E1258" s="6" t="s">
        <v>50</v>
      </c>
      <c r="F1258" s="6">
        <v>40</v>
      </c>
      <c r="G1258" s="15">
        <v>0.20694444444444443</v>
      </c>
      <c r="H1258" s="16">
        <v>98</v>
      </c>
      <c r="I1258" s="35">
        <f ca="1">IFERROR(Tabela3[[#This Row],[Custo Total]]/Tabela3[[#This Row],[Aluminio Util]],0)</f>
        <v>59.020491741743449</v>
      </c>
      <c r="J1258" s="35">
        <f ca="1">Tabela3[[#This Row],[Custo Total]]/Tabela3[[#This Row],[Realizado]]</f>
        <v>31.457922098349258</v>
      </c>
      <c r="K1258" s="37">
        <f>IFERROR(Tabela3[[#This Row],[Qtde Cx Produzida]]/Tabela3[[#This Row],[Tempo]]/24,0)</f>
        <v>8.053691275167786</v>
      </c>
      <c r="L1258" s="37">
        <f>Tabela3[[#This Row],[Qtde Cx Produzida]]*Tabela3[[#This Row],[Qdt Peça Placa]]</f>
        <v>160</v>
      </c>
      <c r="M1258" s="37">
        <f>Tabela3[[#This Row],[Previsto]]-Tabela3[[#This Row],[Perda Pçs]]</f>
        <v>62</v>
      </c>
      <c r="N1258" s="38">
        <f>IFERROR(Tabela3[[#This Row],[Perda Pçs]]/Tabela3[[#This Row],[Previsto]],0)</f>
        <v>0.61250000000000004</v>
      </c>
      <c r="O1258" s="39">
        <f>IFERROR(IF(Tabela3[[#This Row],[Qtde Cx Produzida]] &lt;&gt; 0, Tabela3[[#This Row],[Tempo]] / Tabela3[[#This Row],[Qtde Cx Produzida]], 0),0)</f>
        <v>5.1736111111111106E-3</v>
      </c>
      <c r="P1258" s="57">
        <f>IFERROR(Tabela3[[#This Row],[Perda Pçs]]/Tabela3[[#This Row],[Qdt Peça Placa]],0)</f>
        <v>24.5</v>
      </c>
      <c r="Q1258" s="37">
        <f>IFERROR(Tabela3[[#This Row],[Realizado]]*Tabela3[[#This Row],[Peso Util/Pç]],0)</f>
        <v>33.045999999999999</v>
      </c>
      <c r="R1258" s="37">
        <f>IFERROR(Tabela3[[#This Row],[Peso Total Galho]]*Tabela3[[#This Row],[Qtde Cx Produzida]]*1.055,0)</f>
        <v>139.26</v>
      </c>
      <c r="S1258" s="37">
        <f>(Tabela3[[#This Row],[Aluminio Bruto]]-Tabela3[[#This Row],[Aluminio Util]])*0.9</f>
        <v>95.592600000000004</v>
      </c>
      <c r="T1258" s="37">
        <f>Tabela3[[#This Row],[Aluminio Bruto]]/OleoKGAluminio</f>
        <v>58.586501938549922</v>
      </c>
      <c r="U1258" s="35">
        <f>IFERROR((VLOOKUP(Tabela3[[#This Row],[Moldador]],Tabela1[],5,)+(VLOOKUP(Tabela3[[#This Row],[Ajudante]],Tabela1[],5,))*3.5),0)</f>
        <v>99.95034583333333</v>
      </c>
      <c r="V1258" s="35">
        <f>IFERROR(Tabela3[[#This Row],[Custo M.O. / H]]/((Tabela3[[#This Row],[Realizado]]/Tabela3[[#This Row],[Qdt Peça Placa]])/Tabela3[[#This Row],[Tempo]]/24),)</f>
        <v>32.02710006272401</v>
      </c>
      <c r="W1258" s="35">
        <f>Tabela3[[#This Row],[Custo / Cx Moldada]]*Tabela3[[#This Row],[Qtde Cx Produzida]]</f>
        <v>1281.0840025089603</v>
      </c>
      <c r="X1258" s="35">
        <f ca="1">Tabela3[[#This Row],[Aluminio Util]]*Tabela3[[#This Row],[Custo/Kg]]</f>
        <v>515.51760000000002</v>
      </c>
      <c r="Y1258" s="35">
        <f>IFERROR(VLOOKUP(Tabela3[[#This Row],[Data]],Tabela461213[],2,1)*(Tabela3[[#This Row],[Qtde Cx Produzida]]*Tabela3[[#This Row],[Qde macho / CX]]*Tabela3[[#This Row],[Peso Macho]]),)</f>
        <v>0</v>
      </c>
      <c r="Z1258" s="35">
        <f>IFERROR(Tabela3[[#This Row],[Qtde Oleo]]*(VLOOKUP(Tabela3[[#This Row],[Data]],CompraOleo[],3,TRUE))*1.05,0)</f>
        <v>153.78956758869353</v>
      </c>
      <c r="AA1258" s="47">
        <f ca="1">(Tabela3[[#This Row],[Custo Oleo]]+Tabela3[[#This Row],[Custo Aluminio]]+Tabela3[[#This Row],[Custo M.O. Total]]+Tabela3[[#This Row],[Custo Machos]])</f>
        <v>1950.3911700976539</v>
      </c>
      <c r="AB1258" s="47">
        <f ca="1">Tabela3[[#This Row],[Custo Total]]*Tabela3[[#This Row],[% Perda]]</f>
        <v>1194.6145916848131</v>
      </c>
      <c r="AC1258" s="40">
        <f>IFERROR(VLOOKUP(Tabela3[[#This Row],[Produto]],Tabela2[],2,0),0)</f>
        <v>4</v>
      </c>
      <c r="AD1258" s="48">
        <f>IFERROR(VLOOKUP(Tabela3[[#This Row],[Produto]],Tabela2[],3,0),0)</f>
        <v>0.53300000000000003</v>
      </c>
      <c r="AE1258" s="48">
        <f>IFERROR(VLOOKUP(Tabela3[[#This Row],[Produto]],Tabela2[],4,0),0)</f>
        <v>3.3</v>
      </c>
      <c r="AF1258" s="48">
        <f>IFERROR(VLOOKUP(Tabela3[[#This Row],[Produto]],Tabela2[],5,0),0)</f>
        <v>1.0511999999999997</v>
      </c>
      <c r="AG1258" s="48">
        <f>IFERROR(VLOOKUP(Tabela3[[#This Row],[Produto]],Tabela2[],6,0),0)</f>
        <v>0</v>
      </c>
      <c r="AH1258" s="40">
        <f>IFERROR(VLOOKUP(Tabela3[[#This Row],[Produto]],Tabela2[],7,0),0)</f>
        <v>0</v>
      </c>
      <c r="AI1258" s="40">
        <f>IFERROR(VLOOKUP(Tabela3[[#This Row],[Produto]],Tabela2[],8,0),0)</f>
        <v>0</v>
      </c>
      <c r="AJ1258" s="35">
        <f ca="1">IFERROR(VLOOKUP(Tabela3[[#This Row],[Produto]],Tabela2[],13,0),0)</f>
        <v>15.600000000000001</v>
      </c>
      <c r="AK1258" s="48" t="str">
        <f>IFERROR(VLOOKUP(Tabela3[[#This Row],[Produto]],Tabela2[],14,0),0)</f>
        <v>Senun</v>
      </c>
      <c r="AL1258" s="40">
        <f>IFERROR(VLOOKUP(Tabela3[[#This Row],[Produto]],Tabela2[],15,0),0)</f>
        <v>4</v>
      </c>
      <c r="AM1258" s="36">
        <f ca="1">(Tabela3[[#This Row],[Custo Usinagem]]+Tabela3[[#This Row],[Custo / Pç]])*1.2</f>
        <v>42.549506518019108</v>
      </c>
      <c r="AN1258" s="36">
        <f ca="1">Tabela3[[#This Row],[Valor Mínimo Venda]]*1.15</f>
        <v>48.931932495721973</v>
      </c>
      <c r="AO1258" s="36">
        <f ca="1">Tabela3[[#This Row],[Tabela 1]]*1.08</f>
        <v>52.846487095379736</v>
      </c>
      <c r="AP1258" s="36">
        <f ca="1">Tabela3[[#This Row],[Tabela 2]]*1.15</f>
        <v>60.773460159686692</v>
      </c>
    </row>
    <row r="1259" spans="1:42">
      <c r="A1259" s="9">
        <v>46169</v>
      </c>
      <c r="B1259" s="9" t="s">
        <v>236</v>
      </c>
      <c r="C1259" s="14">
        <v>9598</v>
      </c>
      <c r="D1259" s="6" t="s">
        <v>44</v>
      </c>
      <c r="E1259" s="6" t="s">
        <v>47</v>
      </c>
      <c r="F1259" s="6">
        <v>7</v>
      </c>
      <c r="G1259" s="15">
        <v>3.6111111111111108E-2</v>
      </c>
      <c r="H1259" s="16">
        <v>0</v>
      </c>
      <c r="I1259" s="35">
        <f ca="1">IFERROR(Tabela3[[#This Row],[Custo Total]]/Tabela3[[#This Row],[Aluminio Util]],0)</f>
        <v>23.813046745535662</v>
      </c>
      <c r="J1259" s="35">
        <f ca="1">Tabela3[[#This Row],[Custo Total]]/Tabela3[[#This Row],[Realizado]]</f>
        <v>7.1915401171517699</v>
      </c>
      <c r="K1259" s="37">
        <f>IFERROR(Tabela3[[#This Row],[Qtde Cx Produzida]]/Tabela3[[#This Row],[Tempo]]/24,0)</f>
        <v>8.0769230769230784</v>
      </c>
      <c r="L1259" s="37">
        <f>Tabela3[[#This Row],[Qtde Cx Produzida]]*Tabela3[[#This Row],[Qdt Peça Placa]]</f>
        <v>42</v>
      </c>
      <c r="M1259" s="37">
        <f>Tabela3[[#This Row],[Previsto]]-Tabela3[[#This Row],[Perda Pçs]]</f>
        <v>42</v>
      </c>
      <c r="N1259" s="38">
        <f>IFERROR(Tabela3[[#This Row],[Perda Pçs]]/Tabela3[[#This Row],[Previsto]],0)</f>
        <v>0</v>
      </c>
      <c r="O1259" s="39">
        <f>IFERROR(IF(Tabela3[[#This Row],[Qtde Cx Produzida]] &lt;&gt; 0, Tabela3[[#This Row],[Tempo]] / Tabela3[[#This Row],[Qtde Cx Produzida]], 0),0)</f>
        <v>5.1587301587301586E-3</v>
      </c>
      <c r="P1259" s="57">
        <f>IFERROR(Tabela3[[#This Row],[Perda Pçs]]/Tabela3[[#This Row],[Qdt Peça Placa]],0)</f>
        <v>0</v>
      </c>
      <c r="Q1259" s="37">
        <f>IFERROR(Tabela3[[#This Row],[Realizado]]*Tabela3[[#This Row],[Peso Util/Pç]],0)</f>
        <v>12.683999999999999</v>
      </c>
      <c r="R1259" s="37">
        <f>IFERROR(Tabela3[[#This Row],[Peso Total Galho]]*Tabela3[[#This Row],[Qtde Cx Produzida]]*1.055,0)</f>
        <v>15.892519999999999</v>
      </c>
      <c r="S1259" s="37">
        <f>(Tabela3[[#This Row],[Aluminio Bruto]]-Tabela3[[#This Row],[Aluminio Util]])*0.9</f>
        <v>2.8876680000000001</v>
      </c>
      <c r="T1259" s="37">
        <f>Tabela3[[#This Row],[Aluminio Bruto]]/OleoKGAluminio</f>
        <v>6.6859626151690605</v>
      </c>
      <c r="U1259" s="35">
        <f>IFERROR((VLOOKUP(Tabela3[[#This Row],[Moldador]],Tabela1[],5,)+(VLOOKUP(Tabela3[[#This Row],[Ajudante]],Tabela1[],5,))*3.5),0)</f>
        <v>99.95034583333333</v>
      </c>
      <c r="V1259" s="35">
        <f>IFERROR(Tabela3[[#This Row],[Custo M.O. / H]]/((Tabela3[[#This Row],[Realizado]]/Tabela3[[#This Row],[Qdt Peça Placa]])/Tabela3[[#This Row],[Tempo]]/24),)</f>
        <v>12.374804722222219</v>
      </c>
      <c r="W1259" s="35">
        <f>Tabela3[[#This Row],[Custo / Cx Moldada]]*Tabela3[[#This Row],[Qtde Cx Produzida]]</f>
        <v>86.62363305555553</v>
      </c>
      <c r="X1259" s="35">
        <f ca="1">Tabela3[[#This Row],[Aluminio Util]]*Tabela3[[#This Row],[Custo/Kg]]</f>
        <v>197.87040000000002</v>
      </c>
      <c r="Y1259" s="35">
        <f>IFERROR(VLOOKUP(Tabela3[[#This Row],[Data]],Tabela461213[],2,1)*(Tabela3[[#This Row],[Qtde Cx Produzida]]*Tabela3[[#This Row],[Qde macho / CX]]*Tabela3[[#This Row],[Peso Macho]]),)</f>
        <v>0</v>
      </c>
      <c r="Z1259" s="35">
        <f>IFERROR(Tabela3[[#This Row],[Qtde Oleo]]*(VLOOKUP(Tabela3[[#This Row],[Data]],CompraOleo[],3,TRUE))*1.05,0)</f>
        <v>17.550651864818786</v>
      </c>
      <c r="AA1259" s="47">
        <f ca="1">(Tabela3[[#This Row],[Custo Oleo]]+Tabela3[[#This Row],[Custo Aluminio]]+Tabela3[[#This Row],[Custo M.O. Total]]+Tabela3[[#This Row],[Custo Machos]])</f>
        <v>302.04468492037432</v>
      </c>
      <c r="AB1259" s="47">
        <f ca="1">Tabela3[[#This Row],[Custo Total]]*Tabela3[[#This Row],[% Perda]]</f>
        <v>0</v>
      </c>
      <c r="AC1259" s="40">
        <f>IFERROR(VLOOKUP(Tabela3[[#This Row],[Produto]],Tabela2[],2,0),0)</f>
        <v>6</v>
      </c>
      <c r="AD1259" s="48">
        <f>IFERROR(VLOOKUP(Tabela3[[#This Row],[Produto]],Tabela2[],3,0),0)</f>
        <v>0.30199999999999999</v>
      </c>
      <c r="AE1259" s="48">
        <f>IFERROR(VLOOKUP(Tabela3[[#This Row],[Produto]],Tabela2[],4,0),0)</f>
        <v>2.1520000000000001</v>
      </c>
      <c r="AF1259" s="48">
        <f>IFERROR(VLOOKUP(Tabela3[[#This Row],[Produto]],Tabela2[],5,0),0)</f>
        <v>0.30600000000000027</v>
      </c>
      <c r="AG1259" s="48">
        <f>IFERROR(VLOOKUP(Tabela3[[#This Row],[Produto]],Tabela2[],6,0),0)</f>
        <v>0</v>
      </c>
      <c r="AH1259" s="40">
        <f>IFERROR(VLOOKUP(Tabela3[[#This Row],[Produto]],Tabela2[],7,0),0)</f>
        <v>0</v>
      </c>
      <c r="AI1259" s="40">
        <f>IFERROR(VLOOKUP(Tabela3[[#This Row],[Produto]],Tabela2[],8,0),0)</f>
        <v>0</v>
      </c>
      <c r="AJ1259" s="35">
        <f ca="1">IFERROR(VLOOKUP(Tabela3[[#This Row],[Produto]],Tabela2[],13,0),0)</f>
        <v>15.600000000000001</v>
      </c>
      <c r="AK1259" s="48" t="str">
        <f>IFERROR(VLOOKUP(Tabela3[[#This Row],[Produto]],Tabela2[],14,0),0)</f>
        <v>Senun</v>
      </c>
      <c r="AL1259" s="40">
        <f>IFERROR(VLOOKUP(Tabela3[[#This Row],[Produto]],Tabela2[],15,0),0)</f>
        <v>4</v>
      </c>
      <c r="AM1259" s="36">
        <f ca="1">(Tabela3[[#This Row],[Custo Usinagem]]+Tabela3[[#This Row],[Custo / Pç]])*1.2</f>
        <v>13.429848140582125</v>
      </c>
      <c r="AN1259" s="36">
        <f ca="1">Tabela3[[#This Row],[Valor Mínimo Venda]]*1.15</f>
        <v>15.444325361669442</v>
      </c>
      <c r="AO1259" s="36">
        <f ca="1">Tabela3[[#This Row],[Tabela 1]]*1.08</f>
        <v>16.679871390602997</v>
      </c>
      <c r="AP1259" s="36">
        <f ca="1">Tabela3[[#This Row],[Tabela 2]]*1.15</f>
        <v>19.181852099193446</v>
      </c>
    </row>
    <row r="1260" spans="1:42">
      <c r="A1260" s="9">
        <v>46169</v>
      </c>
      <c r="B1260" s="9" t="s">
        <v>245</v>
      </c>
      <c r="C1260" s="14">
        <v>9698</v>
      </c>
      <c r="D1260" s="6" t="s">
        <v>44</v>
      </c>
      <c r="E1260" s="6" t="s">
        <v>47</v>
      </c>
      <c r="F1260" s="6">
        <v>24</v>
      </c>
      <c r="G1260" s="15">
        <v>0.10347222222222222</v>
      </c>
      <c r="H1260" s="16">
        <v>0</v>
      </c>
      <c r="I1260" s="35">
        <f ca="1">IFERROR(Tabela3[[#This Row],[Custo Total]]/Tabela3[[#This Row],[Aluminio Util]],0)</f>
        <v>25.405535469306813</v>
      </c>
      <c r="J1260" s="35">
        <f ca="1">Tabela3[[#This Row],[Custo Total]]/Tabela3[[#This Row],[Realizado]]</f>
        <v>8.4346377758098612</v>
      </c>
      <c r="K1260" s="37">
        <f>IFERROR(Tabela3[[#This Row],[Qtde Cx Produzida]]/Tabela3[[#This Row],[Tempo]]/24,0)</f>
        <v>9.6644295302013425</v>
      </c>
      <c r="L1260" s="37">
        <f>Tabela3[[#This Row],[Qtde Cx Produzida]]*Tabela3[[#This Row],[Qdt Peça Placa]]</f>
        <v>96</v>
      </c>
      <c r="M1260" s="37">
        <f>Tabela3[[#This Row],[Previsto]]-Tabela3[[#This Row],[Perda Pçs]]</f>
        <v>96</v>
      </c>
      <c r="N1260" s="38">
        <f>IFERROR(Tabela3[[#This Row],[Perda Pçs]]/Tabela3[[#This Row],[Previsto]],0)</f>
        <v>0</v>
      </c>
      <c r="O1260" s="39">
        <f>IFERROR(IF(Tabela3[[#This Row],[Qtde Cx Produzida]] &lt;&gt; 0, Tabela3[[#This Row],[Tempo]] / Tabela3[[#This Row],[Qtde Cx Produzida]], 0),0)</f>
        <v>4.3113425925925923E-3</v>
      </c>
      <c r="P1260" s="57">
        <f>IFERROR(Tabela3[[#This Row],[Perda Pçs]]/Tabela3[[#This Row],[Qdt Peça Placa]],0)</f>
        <v>0</v>
      </c>
      <c r="Q1260" s="37">
        <f>IFERROR(Tabela3[[#This Row],[Realizado]]*Tabela3[[#This Row],[Peso Util/Pç]],0)</f>
        <v>31.872</v>
      </c>
      <c r="R1260" s="37">
        <f>IFERROR(Tabela3[[#This Row],[Peso Total Galho]]*Tabela3[[#This Row],[Qtde Cx Produzida]]*1.055,0)</f>
        <v>58.23599999999999</v>
      </c>
      <c r="S1260" s="37">
        <f>(Tabela3[[#This Row],[Aluminio Bruto]]-Tabela3[[#This Row],[Aluminio Util]])*0.9</f>
        <v>23.727599999999992</v>
      </c>
      <c r="T1260" s="37">
        <f>Tabela3[[#This Row],[Aluminio Bruto]]/OleoKGAluminio</f>
        <v>24.499809901575418</v>
      </c>
      <c r="U1260" s="35">
        <f>IFERROR((VLOOKUP(Tabela3[[#This Row],[Moldador]],Tabela1[],5,)+(VLOOKUP(Tabela3[[#This Row],[Ajudante]],Tabela1[],5,))*3.5),0)</f>
        <v>99.95034583333333</v>
      </c>
      <c r="V1260" s="35">
        <f>IFERROR(Tabela3[[#This Row],[Custo M.O. / H]]/((Tabela3[[#This Row],[Realizado]]/Tabela3[[#This Row],[Qdt Peça Placa]])/Tabela3[[#This Row],[Tempo]]/24),)</f>
        <v>10.342084395254629</v>
      </c>
      <c r="W1260" s="35">
        <f>Tabela3[[#This Row],[Custo / Cx Moldada]]*Tabela3[[#This Row],[Qtde Cx Produzida]]</f>
        <v>248.21002548611108</v>
      </c>
      <c r="X1260" s="35">
        <f ca="1">Tabela3[[#This Row],[Aluminio Util]]*Tabela3[[#This Row],[Custo/Kg]]</f>
        <v>497.20320000000004</v>
      </c>
      <c r="Y1260" s="35">
        <f>IFERROR(VLOOKUP(Tabela3[[#This Row],[Data]],Tabela461213[],2,1)*(Tabela3[[#This Row],[Qtde Cx Produzida]]*Tabela3[[#This Row],[Qde macho / CX]]*Tabela3[[#This Row],[Peso Macho]]),)</f>
        <v>0</v>
      </c>
      <c r="Z1260" s="35">
        <f>IFERROR(Tabela3[[#This Row],[Qtde Oleo]]*(VLOOKUP(Tabela3[[#This Row],[Data]],CompraOleo[],3,TRUE))*1.05,0)</f>
        <v>64.312000991635472</v>
      </c>
      <c r="AA1260" s="47">
        <f ca="1">(Tabela3[[#This Row],[Custo Oleo]]+Tabela3[[#This Row],[Custo Aluminio]]+Tabela3[[#This Row],[Custo M.O. Total]]+Tabela3[[#This Row],[Custo Machos]])</f>
        <v>809.72522647774667</v>
      </c>
      <c r="AB1260" s="47">
        <f ca="1">Tabela3[[#This Row],[Custo Total]]*Tabela3[[#This Row],[% Perda]]</f>
        <v>0</v>
      </c>
      <c r="AC1260" s="40">
        <f>IFERROR(VLOOKUP(Tabela3[[#This Row],[Produto]],Tabela2[],2,0),0)</f>
        <v>4</v>
      </c>
      <c r="AD1260" s="48">
        <f>IFERROR(VLOOKUP(Tabela3[[#This Row],[Produto]],Tabela2[],3,0),0)</f>
        <v>0.33200000000000002</v>
      </c>
      <c r="AE1260" s="48">
        <f>IFERROR(VLOOKUP(Tabela3[[#This Row],[Produto]],Tabela2[],4,0),0)</f>
        <v>2.2999999999999998</v>
      </c>
      <c r="AF1260" s="48">
        <f>IFERROR(VLOOKUP(Tabela3[[#This Row],[Produto]],Tabela2[],5,0),0)</f>
        <v>0.8747999999999998</v>
      </c>
      <c r="AG1260" s="48">
        <f>IFERROR(VLOOKUP(Tabela3[[#This Row],[Produto]],Tabela2[],6,0),0)</f>
        <v>0</v>
      </c>
      <c r="AH1260" s="40">
        <f>IFERROR(VLOOKUP(Tabela3[[#This Row],[Produto]],Tabela2[],7,0),0)</f>
        <v>0</v>
      </c>
      <c r="AI1260" s="40">
        <f>IFERROR(VLOOKUP(Tabela3[[#This Row],[Produto]],Tabela2[],8,0),0)</f>
        <v>0</v>
      </c>
      <c r="AJ1260" s="35">
        <f ca="1">IFERROR(VLOOKUP(Tabela3[[#This Row],[Produto]],Tabela2[],13,0),0)</f>
        <v>15.600000000000001</v>
      </c>
      <c r="AK1260" s="48" t="str">
        <f>IFERROR(VLOOKUP(Tabela3[[#This Row],[Produto]],Tabela2[],14,0),0)</f>
        <v>Senun</v>
      </c>
      <c r="AL1260" s="40">
        <f>IFERROR(VLOOKUP(Tabela3[[#This Row],[Produto]],Tabela2[],15,0),0)</f>
        <v>3.5</v>
      </c>
      <c r="AM1260" s="36">
        <f ca="1">(Tabela3[[#This Row],[Custo Usinagem]]+Tabela3[[#This Row],[Custo / Pç]])*1.2</f>
        <v>14.321565330971833</v>
      </c>
      <c r="AN1260" s="36">
        <f ca="1">Tabela3[[#This Row],[Valor Mínimo Venda]]*1.15</f>
        <v>16.469800130617607</v>
      </c>
      <c r="AO1260" s="36">
        <f ca="1">Tabela3[[#This Row],[Tabela 1]]*1.08</f>
        <v>17.787384141067015</v>
      </c>
      <c r="AP1260" s="36">
        <f ca="1">Tabela3[[#This Row],[Tabela 2]]*1.15</f>
        <v>20.455491762227066</v>
      </c>
    </row>
    <row r="1261" spans="1:42">
      <c r="A1261" s="9">
        <v>46169</v>
      </c>
      <c r="B1261" s="9" t="s">
        <v>247</v>
      </c>
      <c r="C1261" s="14">
        <v>9754</v>
      </c>
      <c r="D1261" s="6" t="s">
        <v>46</v>
      </c>
      <c r="E1261" s="6" t="s">
        <v>50</v>
      </c>
      <c r="F1261" s="6">
        <v>12</v>
      </c>
      <c r="G1261" s="15">
        <v>5.5555555555555552E-2</v>
      </c>
      <c r="H1261" s="16">
        <v>0</v>
      </c>
      <c r="I1261" s="35">
        <f ca="1">IFERROR(Tabela3[[#This Row],[Custo Total]]/Tabela3[[#This Row],[Aluminio Util]],0)</f>
        <v>27.087717241221913</v>
      </c>
      <c r="J1261" s="35">
        <f ca="1">Tabela3[[#This Row],[Custo Total]]/Tabela3[[#This Row],[Realizado]]</f>
        <v>8.1263151723665725</v>
      </c>
      <c r="K1261" s="37">
        <f>IFERROR(Tabela3[[#This Row],[Qtde Cx Produzida]]/Tabela3[[#This Row],[Tempo]]/24,0)</f>
        <v>9</v>
      </c>
      <c r="L1261" s="37">
        <f>Tabela3[[#This Row],[Qtde Cx Produzida]]*Tabela3[[#This Row],[Qdt Peça Placa]]</f>
        <v>48</v>
      </c>
      <c r="M1261" s="37">
        <f>Tabela3[[#This Row],[Previsto]]-Tabela3[[#This Row],[Perda Pçs]]</f>
        <v>48</v>
      </c>
      <c r="N1261" s="38">
        <f>IFERROR(Tabela3[[#This Row],[Perda Pçs]]/Tabela3[[#This Row],[Previsto]],0)</f>
        <v>0</v>
      </c>
      <c r="O1261" s="39">
        <f>IFERROR(IF(Tabela3[[#This Row],[Qtde Cx Produzida]] &lt;&gt; 0, Tabela3[[#This Row],[Tempo]] / Tabela3[[#This Row],[Qtde Cx Produzida]], 0),0)</f>
        <v>4.6296296296296294E-3</v>
      </c>
      <c r="P1261" s="57">
        <f>IFERROR(Tabela3[[#This Row],[Perda Pçs]]/Tabela3[[#This Row],[Qdt Peça Placa]],0)</f>
        <v>0</v>
      </c>
      <c r="Q1261" s="37">
        <f>IFERROR(Tabela3[[#This Row],[Realizado]]*Tabela3[[#This Row],[Peso Util/Pç]],0)</f>
        <v>14.399999999999999</v>
      </c>
      <c r="R1261" s="37">
        <f>IFERROR(Tabela3[[#This Row],[Peso Total Galho]]*Tabela3[[#This Row],[Qtde Cx Produzida]]*1.055,0)</f>
        <v>29.117999999999995</v>
      </c>
      <c r="S1261" s="37">
        <f>(Tabela3[[#This Row],[Aluminio Bruto]]-Tabela3[[#This Row],[Aluminio Util]])*0.9</f>
        <v>13.246199999999996</v>
      </c>
      <c r="T1261" s="37">
        <f>Tabela3[[#This Row],[Aluminio Bruto]]/OleoKGAluminio</f>
        <v>12.249904950787709</v>
      </c>
      <c r="U1261" s="35">
        <f>IFERROR((VLOOKUP(Tabela3[[#This Row],[Moldador]],Tabela1[],5,)+(VLOOKUP(Tabela3[[#This Row],[Ajudante]],Tabela1[],5,))*3.5),0)</f>
        <v>99.95034583333333</v>
      </c>
      <c r="V1261" s="35">
        <f>IFERROR(Tabela3[[#This Row],[Custo M.O. / H]]/((Tabela3[[#This Row],[Realizado]]/Tabela3[[#This Row],[Qdt Peça Placa]])/Tabela3[[#This Row],[Tempo]]/24),)</f>
        <v>11.105593981481482</v>
      </c>
      <c r="W1261" s="35">
        <f>Tabela3[[#This Row],[Custo / Cx Moldada]]*Tabela3[[#This Row],[Qtde Cx Produzida]]</f>
        <v>133.26712777777777</v>
      </c>
      <c r="X1261" s="35">
        <f ca="1">Tabela3[[#This Row],[Aluminio Util]]*Tabela3[[#This Row],[Custo/Kg]]</f>
        <v>224.64</v>
      </c>
      <c r="Y1261" s="35">
        <f>IFERROR(VLOOKUP(Tabela3[[#This Row],[Data]],Tabela461213[],2,1)*(Tabela3[[#This Row],[Qtde Cx Produzida]]*Tabela3[[#This Row],[Qde macho / CX]]*Tabela3[[#This Row],[Peso Macho]]),)</f>
        <v>0</v>
      </c>
      <c r="Z1261" s="35">
        <f>IFERROR(Tabela3[[#This Row],[Qtde Oleo]]*(VLOOKUP(Tabela3[[#This Row],[Data]],CompraOleo[],3,TRUE))*1.05,0)</f>
        <v>32.156000495817736</v>
      </c>
      <c r="AA1261" s="47">
        <f ca="1">(Tabela3[[#This Row],[Custo Oleo]]+Tabela3[[#This Row],[Custo Aluminio]]+Tabela3[[#This Row],[Custo M.O. Total]]+Tabela3[[#This Row],[Custo Machos]])</f>
        <v>390.06312827359551</v>
      </c>
      <c r="AB1261" s="47">
        <f ca="1">Tabela3[[#This Row],[Custo Total]]*Tabela3[[#This Row],[% Perda]]</f>
        <v>0</v>
      </c>
      <c r="AC1261" s="40">
        <f>IFERROR(VLOOKUP(Tabela3[[#This Row],[Produto]],Tabela2[],2,0),0)</f>
        <v>4</v>
      </c>
      <c r="AD1261" s="48">
        <f>IFERROR(VLOOKUP(Tabela3[[#This Row],[Produto]],Tabela2[],3,0),0)</f>
        <v>0.3</v>
      </c>
      <c r="AE1261" s="48">
        <f>IFERROR(VLOOKUP(Tabela3[[#This Row],[Produto]],Tabela2[],4,0),0)</f>
        <v>2.2999999999999998</v>
      </c>
      <c r="AF1261" s="48">
        <f>IFERROR(VLOOKUP(Tabela3[[#This Row],[Produto]],Tabela2[],5,0),0)</f>
        <v>0.98999999999999988</v>
      </c>
      <c r="AG1261" s="48">
        <f>IFERROR(VLOOKUP(Tabela3[[#This Row],[Produto]],Tabela2[],6,0),0)</f>
        <v>0</v>
      </c>
      <c r="AH1261" s="40">
        <f>IFERROR(VLOOKUP(Tabela3[[#This Row],[Produto]],Tabela2[],7,0),0)</f>
        <v>0</v>
      </c>
      <c r="AI1261" s="40">
        <f>IFERROR(VLOOKUP(Tabela3[[#This Row],[Produto]],Tabela2[],8,0),0)</f>
        <v>0</v>
      </c>
      <c r="AJ1261" s="35">
        <f ca="1">IFERROR(VLOOKUP(Tabela3[[#This Row],[Produto]],Tabela2[],13,0),0)</f>
        <v>15.600000000000001</v>
      </c>
      <c r="AK1261" s="48" t="str">
        <f>IFERROR(VLOOKUP(Tabela3[[#This Row],[Produto]],Tabela2[],14,0),0)</f>
        <v>Senun</v>
      </c>
      <c r="AL1261" s="40">
        <f>IFERROR(VLOOKUP(Tabela3[[#This Row],[Produto]],Tabela2[],15,0),0)</f>
        <v>3.5</v>
      </c>
      <c r="AM1261" s="36">
        <f ca="1">(Tabela3[[#This Row],[Custo Usinagem]]+Tabela3[[#This Row],[Custo / Pç]])*1.2</f>
        <v>13.951578206839887</v>
      </c>
      <c r="AN1261" s="36">
        <f ca="1">Tabela3[[#This Row],[Valor Mínimo Venda]]*1.15</f>
        <v>16.04431493786587</v>
      </c>
      <c r="AO1261" s="36">
        <f ca="1">Tabela3[[#This Row],[Tabela 1]]*1.08</f>
        <v>17.32786013289514</v>
      </c>
      <c r="AP1261" s="36">
        <f ca="1">Tabela3[[#This Row],[Tabela 2]]*1.15</f>
        <v>19.927039152829408</v>
      </c>
    </row>
    <row r="1262" spans="1:42">
      <c r="A1262" s="9">
        <v>46169</v>
      </c>
      <c r="B1262" s="9" t="s">
        <v>247</v>
      </c>
      <c r="C1262" s="14">
        <v>9754</v>
      </c>
      <c r="D1262" s="6" t="s">
        <v>46</v>
      </c>
      <c r="E1262" s="6" t="s">
        <v>44</v>
      </c>
      <c r="F1262" s="6">
        <v>21</v>
      </c>
      <c r="G1262" s="15">
        <v>9.4444444444444442E-2</v>
      </c>
      <c r="H1262" s="16">
        <v>0</v>
      </c>
      <c r="I1262" s="35">
        <f ca="1">IFERROR(Tabela3[[#This Row],[Custo Total]]/Tabela3[[#This Row],[Aluminio Util]],0)</f>
        <v>29.17488892332068</v>
      </c>
      <c r="J1262" s="35">
        <f ca="1">Tabela3[[#This Row],[Custo Total]]/Tabela3[[#This Row],[Realizado]]</f>
        <v>8.7524666769962032</v>
      </c>
      <c r="K1262" s="37">
        <f>IFERROR(Tabela3[[#This Row],[Qtde Cx Produzida]]/Tabela3[[#This Row],[Tempo]]/24,0)</f>
        <v>9.2647058823529402</v>
      </c>
      <c r="L1262" s="37">
        <f>Tabela3[[#This Row],[Qtde Cx Produzida]]*Tabela3[[#This Row],[Qdt Peça Placa]]</f>
        <v>84</v>
      </c>
      <c r="M1262" s="37">
        <f>Tabela3[[#This Row],[Previsto]]-Tabela3[[#This Row],[Perda Pçs]]</f>
        <v>84</v>
      </c>
      <c r="N1262" s="38">
        <f>IFERROR(Tabela3[[#This Row],[Perda Pçs]]/Tabela3[[#This Row],[Previsto]],0)</f>
        <v>0</v>
      </c>
      <c r="O1262" s="39">
        <f>IFERROR(IF(Tabela3[[#This Row],[Qtde Cx Produzida]] &lt;&gt; 0, Tabela3[[#This Row],[Tempo]] / Tabela3[[#This Row],[Qtde Cx Produzida]], 0),0)</f>
        <v>4.4973544973544973E-3</v>
      </c>
      <c r="P1262" s="57">
        <f>IFERROR(Tabela3[[#This Row],[Perda Pçs]]/Tabela3[[#This Row],[Qdt Peça Placa]],0)</f>
        <v>0</v>
      </c>
      <c r="Q1262" s="37">
        <f>IFERROR(Tabela3[[#This Row],[Realizado]]*Tabela3[[#This Row],[Peso Util/Pç]],0)</f>
        <v>25.2</v>
      </c>
      <c r="R1262" s="37">
        <f>IFERROR(Tabela3[[#This Row],[Peso Total Galho]]*Tabela3[[#This Row],[Qtde Cx Produzida]]*1.055,0)</f>
        <v>50.956499999999991</v>
      </c>
      <c r="S1262" s="37">
        <f>(Tabela3[[#This Row],[Aluminio Bruto]]-Tabela3[[#This Row],[Aluminio Util]])*0.9</f>
        <v>23.180849999999992</v>
      </c>
      <c r="T1262" s="37">
        <f>Tabela3[[#This Row],[Aluminio Bruto]]/OleoKGAluminio</f>
        <v>21.437333663878491</v>
      </c>
      <c r="U1262" s="35">
        <f>IFERROR((VLOOKUP(Tabela3[[#This Row],[Moldador]],Tabela1[],5,)+(VLOOKUP(Tabela3[[#This Row],[Ajudante]],Tabela1[],5,))*3.5),0)</f>
        <v>126.0945</v>
      </c>
      <c r="V1262" s="35">
        <f>IFERROR(Tabela3[[#This Row],[Custo M.O. / H]]/((Tabela3[[#This Row],[Realizado]]/Tabela3[[#This Row],[Qdt Peça Placa]])/Tabela3[[#This Row],[Tempo]]/24),)</f>
        <v>13.610200000000001</v>
      </c>
      <c r="W1262" s="35">
        <f>Tabela3[[#This Row],[Custo / Cx Moldada]]*Tabela3[[#This Row],[Qtde Cx Produzida]]</f>
        <v>285.81420000000003</v>
      </c>
      <c r="X1262" s="35">
        <f ca="1">Tabela3[[#This Row],[Aluminio Util]]*Tabela3[[#This Row],[Custo/Kg]]</f>
        <v>393.12</v>
      </c>
      <c r="Y1262" s="35">
        <f>IFERROR(VLOOKUP(Tabela3[[#This Row],[Data]],Tabela461213[],2,1)*(Tabela3[[#This Row],[Qtde Cx Produzida]]*Tabela3[[#This Row],[Qde macho / CX]]*Tabela3[[#This Row],[Peso Macho]]),)</f>
        <v>0</v>
      </c>
      <c r="Z1262" s="35">
        <f>IFERROR(Tabela3[[#This Row],[Qtde Oleo]]*(VLOOKUP(Tabela3[[#This Row],[Data]],CompraOleo[],3,TRUE))*1.05,0)</f>
        <v>56.273000867681041</v>
      </c>
      <c r="AA1262" s="47">
        <f ca="1">(Tabela3[[#This Row],[Custo Oleo]]+Tabela3[[#This Row],[Custo Aluminio]]+Tabela3[[#This Row],[Custo M.O. Total]]+Tabela3[[#This Row],[Custo Machos]])</f>
        <v>735.20720086768108</v>
      </c>
      <c r="AB1262" s="47">
        <f ca="1">Tabela3[[#This Row],[Custo Total]]*Tabela3[[#This Row],[% Perda]]</f>
        <v>0</v>
      </c>
      <c r="AC1262" s="40">
        <f>IFERROR(VLOOKUP(Tabela3[[#This Row],[Produto]],Tabela2[],2,0),0)</f>
        <v>4</v>
      </c>
      <c r="AD1262" s="48">
        <f>IFERROR(VLOOKUP(Tabela3[[#This Row],[Produto]],Tabela2[],3,0),0)</f>
        <v>0.3</v>
      </c>
      <c r="AE1262" s="48">
        <f>IFERROR(VLOOKUP(Tabela3[[#This Row],[Produto]],Tabela2[],4,0),0)</f>
        <v>2.2999999999999998</v>
      </c>
      <c r="AF1262" s="48">
        <f>IFERROR(VLOOKUP(Tabela3[[#This Row],[Produto]],Tabela2[],5,0),0)</f>
        <v>0.98999999999999988</v>
      </c>
      <c r="AG1262" s="48">
        <f>IFERROR(VLOOKUP(Tabela3[[#This Row],[Produto]],Tabela2[],6,0),0)</f>
        <v>0</v>
      </c>
      <c r="AH1262" s="40">
        <f>IFERROR(VLOOKUP(Tabela3[[#This Row],[Produto]],Tabela2[],7,0),0)</f>
        <v>0</v>
      </c>
      <c r="AI1262" s="40">
        <f>IFERROR(VLOOKUP(Tabela3[[#This Row],[Produto]],Tabela2[],8,0),0)</f>
        <v>0</v>
      </c>
      <c r="AJ1262" s="35">
        <f ca="1">IFERROR(VLOOKUP(Tabela3[[#This Row],[Produto]],Tabela2[],13,0),0)</f>
        <v>15.600000000000001</v>
      </c>
      <c r="AK1262" s="48" t="str">
        <f>IFERROR(VLOOKUP(Tabela3[[#This Row],[Produto]],Tabela2[],14,0),0)</f>
        <v>Senun</v>
      </c>
      <c r="AL1262" s="40">
        <f>IFERROR(VLOOKUP(Tabela3[[#This Row],[Produto]],Tabela2[],15,0),0)</f>
        <v>3.5</v>
      </c>
      <c r="AM1262" s="36">
        <f ca="1">(Tabela3[[#This Row],[Custo Usinagem]]+Tabela3[[#This Row],[Custo / Pç]])*1.2</f>
        <v>14.702960012395444</v>
      </c>
      <c r="AN1262" s="36">
        <f ca="1">Tabela3[[#This Row],[Valor Mínimo Venda]]*1.15</f>
        <v>16.90840401425476</v>
      </c>
      <c r="AO1262" s="36">
        <f ca="1">Tabela3[[#This Row],[Tabela 1]]*1.08</f>
        <v>18.261076335395142</v>
      </c>
      <c r="AP1262" s="36">
        <f ca="1">Tabela3[[#This Row],[Tabela 2]]*1.15</f>
        <v>21.00023778570441</v>
      </c>
    </row>
    <row r="1263" spans="1:42">
      <c r="A1263" s="9">
        <v>46169</v>
      </c>
      <c r="B1263" s="9" t="s">
        <v>283</v>
      </c>
      <c r="C1263" s="14">
        <v>9767</v>
      </c>
      <c r="D1263" s="6" t="s">
        <v>44</v>
      </c>
      <c r="E1263" s="6" t="s">
        <v>47</v>
      </c>
      <c r="F1263" s="6">
        <v>3</v>
      </c>
      <c r="G1263" s="15">
        <v>1.4583333333333334E-2</v>
      </c>
      <c r="H1263" s="16">
        <v>0</v>
      </c>
      <c r="I1263" s="35">
        <f ca="1">IFERROR(Tabela3[[#This Row],[Custo Total]]/Tabela3[[#This Row],[Aluminio Util]],0)</f>
        <v>27.477800791921606</v>
      </c>
      <c r="J1263" s="35">
        <f ca="1">Tabela3[[#This Row],[Custo Total]]/Tabela3[[#This Row],[Realizado]]</f>
        <v>4.9460041425458892</v>
      </c>
      <c r="K1263" s="37">
        <f>IFERROR(Tabela3[[#This Row],[Qtde Cx Produzida]]/Tabela3[[#This Row],[Tempo]]/24,0)</f>
        <v>8.5714285714285712</v>
      </c>
      <c r="L1263" s="37">
        <f>Tabela3[[#This Row],[Qtde Cx Produzida]]*Tabela3[[#This Row],[Qdt Peça Placa]]</f>
        <v>24</v>
      </c>
      <c r="M1263" s="37">
        <f>Tabela3[[#This Row],[Previsto]]-Tabela3[[#This Row],[Perda Pçs]]</f>
        <v>24</v>
      </c>
      <c r="N1263" s="38">
        <f>IFERROR(Tabela3[[#This Row],[Perda Pçs]]/Tabela3[[#This Row],[Previsto]],0)</f>
        <v>0</v>
      </c>
      <c r="O1263" s="39">
        <f>IFERROR(IF(Tabela3[[#This Row],[Qtde Cx Produzida]] &lt;&gt; 0, Tabela3[[#This Row],[Tempo]] / Tabela3[[#This Row],[Qtde Cx Produzida]], 0),0)</f>
        <v>4.8611111111111112E-3</v>
      </c>
      <c r="P1263" s="57">
        <f>IFERROR(Tabela3[[#This Row],[Perda Pçs]]/Tabela3[[#This Row],[Qdt Peça Placa]],0)</f>
        <v>0</v>
      </c>
      <c r="Q1263" s="37">
        <f>IFERROR(Tabela3[[#This Row],[Realizado]]*Tabela3[[#This Row],[Peso Util/Pç]],0)</f>
        <v>4.32</v>
      </c>
      <c r="R1263" s="37">
        <f>IFERROR(Tabela3[[#This Row],[Peso Total Galho]]*Tabela3[[#This Row],[Qtde Cx Produzida]]*1.055,0)</f>
        <v>6.9630000000000001</v>
      </c>
      <c r="S1263" s="37">
        <f>(Tabela3[[#This Row],[Aluminio Bruto]]-Tabela3[[#This Row],[Aluminio Util]])*0.9</f>
        <v>2.3786999999999998</v>
      </c>
      <c r="T1263" s="37">
        <f>Tabela3[[#This Row],[Aluminio Bruto]]/OleoKGAluminio</f>
        <v>2.9293250969274962</v>
      </c>
      <c r="U1263" s="35">
        <f>IFERROR((VLOOKUP(Tabela3[[#This Row],[Moldador]],Tabela1[],5,)+(VLOOKUP(Tabela3[[#This Row],[Ajudante]],Tabela1[],5,))*3.5),0)</f>
        <v>99.95034583333333</v>
      </c>
      <c r="V1263" s="35">
        <f>IFERROR(Tabela3[[#This Row],[Custo M.O. / H]]/((Tabela3[[#This Row],[Realizado]]/Tabela3[[#This Row],[Qdt Peça Placa]])/Tabela3[[#This Row],[Tempo]]/24),)</f>
        <v>11.660873680555556</v>
      </c>
      <c r="W1263" s="35">
        <f>Tabela3[[#This Row],[Custo / Cx Moldada]]*Tabela3[[#This Row],[Qtde Cx Produzida]]</f>
        <v>34.982621041666668</v>
      </c>
      <c r="X1263" s="35">
        <f ca="1">Tabela3[[#This Row],[Aluminio Util]]*Tabela3[[#This Row],[Custo/Kg]]</f>
        <v>76.032000000000011</v>
      </c>
      <c r="Y1263" s="35">
        <f>IFERROR(VLOOKUP(Tabela3[[#This Row],[Data]],Tabela461213[],2,1)*(Tabela3[[#This Row],[Qtde Cx Produzida]]*Tabela3[[#This Row],[Qde macho / CX]]*Tabela3[[#This Row],[Peso Macho]]),)</f>
        <v>0</v>
      </c>
      <c r="Z1263" s="35">
        <f>IFERROR(Tabela3[[#This Row],[Qtde Oleo]]*(VLOOKUP(Tabela3[[#This Row],[Data]],CompraOleo[],3,TRUE))*1.05,0)</f>
        <v>7.6894783794346777</v>
      </c>
      <c r="AA1263" s="47">
        <f ca="1">(Tabela3[[#This Row],[Custo Oleo]]+Tabela3[[#This Row],[Custo Aluminio]]+Tabela3[[#This Row],[Custo M.O. Total]]+Tabela3[[#This Row],[Custo Machos]])</f>
        <v>118.70409942110135</v>
      </c>
      <c r="AB1263" s="47">
        <f ca="1">Tabela3[[#This Row],[Custo Total]]*Tabela3[[#This Row],[% Perda]]</f>
        <v>0</v>
      </c>
      <c r="AC1263" s="40">
        <f>IFERROR(VLOOKUP(Tabela3[[#This Row],[Produto]],Tabela2[],2,0),0)</f>
        <v>8</v>
      </c>
      <c r="AD1263" s="48">
        <f>IFERROR(VLOOKUP(Tabela3[[#This Row],[Produto]],Tabela2[],3,0),0)</f>
        <v>0.18</v>
      </c>
      <c r="AE1263" s="48">
        <f>IFERROR(VLOOKUP(Tabela3[[#This Row],[Produto]],Tabela2[],4,0),0)</f>
        <v>2.2000000000000002</v>
      </c>
      <c r="AF1263" s="48">
        <f>IFERROR(VLOOKUP(Tabela3[[#This Row],[Produto]],Tabela2[],5,0),0)</f>
        <v>0.68400000000000027</v>
      </c>
      <c r="AG1263" s="48">
        <f>IFERROR(VLOOKUP(Tabela3[[#This Row],[Produto]],Tabela2[],6,0),0)</f>
        <v>0</v>
      </c>
      <c r="AH1263" s="40">
        <f>IFERROR(VLOOKUP(Tabela3[[#This Row],[Produto]],Tabela2[],7,0),0)</f>
        <v>0</v>
      </c>
      <c r="AI1263" s="40">
        <f>IFERROR(VLOOKUP(Tabela3[[#This Row],[Produto]],Tabela2[],8,0),0)</f>
        <v>0</v>
      </c>
      <c r="AJ1263" s="35">
        <f ca="1">IFERROR(VLOOKUP(Tabela3[[#This Row],[Produto]],Tabela2[],13,0),0)</f>
        <v>17.600000000000001</v>
      </c>
      <c r="AK1263" s="48" t="str">
        <f>IFERROR(VLOOKUP(Tabela3[[#This Row],[Produto]],Tabela2[],14,0),0)</f>
        <v>TPA/TEMPLA</v>
      </c>
      <c r="AL1263" s="40">
        <f>IFERROR(VLOOKUP(Tabela3[[#This Row],[Produto]],Tabela2[],15,0),0)</f>
        <v>0</v>
      </c>
      <c r="AM1263" s="36">
        <f ca="1">(Tabela3[[#This Row],[Custo Usinagem]]+Tabela3[[#This Row],[Custo / Pç]])*1.2</f>
        <v>5.9352049710550672</v>
      </c>
      <c r="AN1263" s="36">
        <f ca="1">Tabela3[[#This Row],[Valor Mínimo Venda]]*1.15</f>
        <v>6.8254857167133265</v>
      </c>
      <c r="AO1263" s="36">
        <f ca="1">Tabela3[[#This Row],[Tabela 1]]*1.08</f>
        <v>7.371524574050393</v>
      </c>
      <c r="AP1263" s="36">
        <f ca="1">Tabela3[[#This Row],[Tabela 2]]*1.15</f>
        <v>8.4772532601579513</v>
      </c>
    </row>
    <row r="1264" spans="1:42">
      <c r="A1264" s="9">
        <v>46170</v>
      </c>
      <c r="B1264" s="9" t="s">
        <v>247</v>
      </c>
      <c r="C1264" s="14">
        <v>9754</v>
      </c>
      <c r="D1264" s="6" t="s">
        <v>46</v>
      </c>
      <c r="E1264" s="6" t="s">
        <v>50</v>
      </c>
      <c r="F1264" s="6">
        <v>55</v>
      </c>
      <c r="G1264" s="15">
        <v>0.26597222222222222</v>
      </c>
      <c r="H1264" s="16">
        <v>41</v>
      </c>
      <c r="I1264" s="35">
        <f ca="1">IFERROR(Tabela3[[#This Row],[Custo Total]]/Tabela3[[#This Row],[Aluminio Util]],0)</f>
        <v>32.947036720873776</v>
      </c>
      <c r="J1264" s="35">
        <f ca="1">Tabela3[[#This Row],[Custo Total]]/Tabela3[[#This Row],[Realizado]]</f>
        <v>9.884111016262132</v>
      </c>
      <c r="K1264" s="37">
        <f>IFERROR(Tabela3[[#This Row],[Qtde Cx Produzida]]/Tabela3[[#This Row],[Tempo]]/24,0)</f>
        <v>8.6161879895561366</v>
      </c>
      <c r="L1264" s="37">
        <f>Tabela3[[#This Row],[Qtde Cx Produzida]]*Tabela3[[#This Row],[Qdt Peça Placa]]</f>
        <v>220</v>
      </c>
      <c r="M1264" s="37">
        <f>Tabela3[[#This Row],[Previsto]]-Tabela3[[#This Row],[Perda Pçs]]</f>
        <v>179</v>
      </c>
      <c r="N1264" s="38">
        <f>IFERROR(Tabela3[[#This Row],[Perda Pçs]]/Tabela3[[#This Row],[Previsto]],0)</f>
        <v>0.18636363636363637</v>
      </c>
      <c r="O1264" s="39">
        <f>IFERROR(IF(Tabela3[[#This Row],[Qtde Cx Produzida]] &lt;&gt; 0, Tabela3[[#This Row],[Tempo]] / Tabela3[[#This Row],[Qtde Cx Produzida]], 0),0)</f>
        <v>4.8358585858585858E-3</v>
      </c>
      <c r="P1264" s="57">
        <f>IFERROR(Tabela3[[#This Row],[Perda Pçs]]/Tabela3[[#This Row],[Qdt Peça Placa]],0)</f>
        <v>10.25</v>
      </c>
      <c r="Q1264" s="37">
        <f>IFERROR(Tabela3[[#This Row],[Realizado]]*Tabela3[[#This Row],[Peso Util/Pç]],0)</f>
        <v>53.699999999999996</v>
      </c>
      <c r="R1264" s="37">
        <f>IFERROR(Tabela3[[#This Row],[Peso Total Galho]]*Tabela3[[#This Row],[Qtde Cx Produzida]]*1.055,0)</f>
        <v>133.45749999999998</v>
      </c>
      <c r="S1264" s="37">
        <f>(Tabela3[[#This Row],[Aluminio Bruto]]-Tabela3[[#This Row],[Aluminio Util]])*0.9</f>
        <v>71.781750000000002</v>
      </c>
      <c r="T1264" s="37">
        <f>Tabela3[[#This Row],[Aluminio Bruto]]/OleoKGAluminio</f>
        <v>56.14539769111034</v>
      </c>
      <c r="U1264" s="35">
        <f>IFERROR((VLOOKUP(Tabela3[[#This Row],[Moldador]],Tabela1[],5,)+(VLOOKUP(Tabela3[[#This Row],[Ajudante]],Tabela1[],5,))*3.5),0)</f>
        <v>99.95034583333333</v>
      </c>
      <c r="V1264" s="35">
        <f>IFERROR(Tabela3[[#This Row],[Custo M.O. / H]]/((Tabela3[[#This Row],[Realizado]]/Tabela3[[#This Row],[Qdt Peça Placa]])/Tabela3[[#This Row],[Tempo]]/24),)</f>
        <v>14.257349144941031</v>
      </c>
      <c r="W1264" s="35">
        <f>Tabela3[[#This Row],[Custo / Cx Moldada]]*Tabela3[[#This Row],[Qtde Cx Produzida]]</f>
        <v>784.15420297175672</v>
      </c>
      <c r="X1264" s="35">
        <f ca="1">Tabela3[[#This Row],[Aluminio Util]]*Tabela3[[#This Row],[Custo/Kg]]</f>
        <v>837.72</v>
      </c>
      <c r="Y1264" s="35">
        <f>IFERROR(VLOOKUP(Tabela3[[#This Row],[Data]],Tabela461213[],2,1)*(Tabela3[[#This Row],[Qtde Cx Produzida]]*Tabela3[[#This Row],[Qde macho / CX]]*Tabela3[[#This Row],[Peso Macho]]),)</f>
        <v>0</v>
      </c>
      <c r="Z1264" s="35">
        <f>IFERROR(Tabela3[[#This Row],[Qtde Oleo]]*(VLOOKUP(Tabela3[[#This Row],[Data]],CompraOleo[],3,TRUE))*1.05,0)</f>
        <v>147.38166893916465</v>
      </c>
      <c r="AA1264" s="47">
        <f ca="1">(Tabela3[[#This Row],[Custo Oleo]]+Tabela3[[#This Row],[Custo Aluminio]]+Tabela3[[#This Row],[Custo M.O. Total]]+Tabela3[[#This Row],[Custo Machos]])</f>
        <v>1769.2558719109215</v>
      </c>
      <c r="AB1264" s="47">
        <f ca="1">Tabela3[[#This Row],[Custo Total]]*Tabela3[[#This Row],[% Perda]]</f>
        <v>329.72495794703536</v>
      </c>
      <c r="AC1264" s="40">
        <f>IFERROR(VLOOKUP(Tabela3[[#This Row],[Produto]],Tabela2[],2,0),0)</f>
        <v>4</v>
      </c>
      <c r="AD1264" s="48">
        <f>IFERROR(VLOOKUP(Tabela3[[#This Row],[Produto]],Tabela2[],3,0),0)</f>
        <v>0.3</v>
      </c>
      <c r="AE1264" s="48">
        <f>IFERROR(VLOOKUP(Tabela3[[#This Row],[Produto]],Tabela2[],4,0),0)</f>
        <v>2.2999999999999998</v>
      </c>
      <c r="AF1264" s="48">
        <f>IFERROR(VLOOKUP(Tabela3[[#This Row],[Produto]],Tabela2[],5,0),0)</f>
        <v>0.98999999999999988</v>
      </c>
      <c r="AG1264" s="48">
        <f>IFERROR(VLOOKUP(Tabela3[[#This Row],[Produto]],Tabela2[],6,0),0)</f>
        <v>0</v>
      </c>
      <c r="AH1264" s="40">
        <f>IFERROR(VLOOKUP(Tabela3[[#This Row],[Produto]],Tabela2[],7,0),0)</f>
        <v>0</v>
      </c>
      <c r="AI1264" s="40">
        <f>IFERROR(VLOOKUP(Tabela3[[#This Row],[Produto]],Tabela2[],8,0),0)</f>
        <v>0</v>
      </c>
      <c r="AJ1264" s="35">
        <f ca="1">IFERROR(VLOOKUP(Tabela3[[#This Row],[Produto]],Tabela2[],13,0),0)</f>
        <v>15.600000000000001</v>
      </c>
      <c r="AK1264" s="48" t="str">
        <f>IFERROR(VLOOKUP(Tabela3[[#This Row],[Produto]],Tabela2[],14,0),0)</f>
        <v>Senun</v>
      </c>
      <c r="AL1264" s="40">
        <f>IFERROR(VLOOKUP(Tabela3[[#This Row],[Produto]],Tabela2[],15,0),0)</f>
        <v>3.5</v>
      </c>
      <c r="AM1264" s="36">
        <f ca="1">(Tabela3[[#This Row],[Custo Usinagem]]+Tabela3[[#This Row],[Custo / Pç]])*1.2</f>
        <v>16.060933219514556</v>
      </c>
      <c r="AN1264" s="36">
        <f ca="1">Tabela3[[#This Row],[Valor Mínimo Venda]]*1.15</f>
        <v>18.470073202441739</v>
      </c>
      <c r="AO1264" s="36">
        <f ca="1">Tabela3[[#This Row],[Tabela 1]]*1.08</f>
        <v>19.947679058637078</v>
      </c>
      <c r="AP1264" s="36">
        <f ca="1">Tabela3[[#This Row],[Tabela 2]]*1.15</f>
        <v>22.939830917432637</v>
      </c>
    </row>
    <row r="1265" spans="1:42">
      <c r="A1265" s="9">
        <v>46170</v>
      </c>
      <c r="B1265" s="9" t="s">
        <v>245</v>
      </c>
      <c r="C1265" s="14">
        <v>9698</v>
      </c>
      <c r="D1265" s="6" t="s">
        <v>44</v>
      </c>
      <c r="E1265" s="6" t="s">
        <v>47</v>
      </c>
      <c r="F1265" s="6">
        <v>20</v>
      </c>
      <c r="G1265" s="15">
        <v>8.6805555555555552E-2</v>
      </c>
      <c r="H1265" s="16">
        <v>0</v>
      </c>
      <c r="I1265" s="35">
        <f ca="1">IFERROR(Tabela3[[#This Row],[Custo Total]]/Tabela3[[#This Row],[Aluminio Util]],0)</f>
        <v>25.457802007246762</v>
      </c>
      <c r="J1265" s="35">
        <f ca="1">Tabela3[[#This Row],[Custo Total]]/Tabela3[[#This Row],[Realizado]]</f>
        <v>8.4519902664059252</v>
      </c>
      <c r="K1265" s="37">
        <f>IFERROR(Tabela3[[#This Row],[Qtde Cx Produzida]]/Tabela3[[#This Row],[Tempo]]/24,0)</f>
        <v>9.6</v>
      </c>
      <c r="L1265" s="37">
        <f>Tabela3[[#This Row],[Qtde Cx Produzida]]*Tabela3[[#This Row],[Qdt Peça Placa]]</f>
        <v>80</v>
      </c>
      <c r="M1265" s="37">
        <f>Tabela3[[#This Row],[Previsto]]-Tabela3[[#This Row],[Perda Pçs]]</f>
        <v>80</v>
      </c>
      <c r="N1265" s="38">
        <f>IFERROR(Tabela3[[#This Row],[Perda Pçs]]/Tabela3[[#This Row],[Previsto]],0)</f>
        <v>0</v>
      </c>
      <c r="O1265" s="39">
        <f>IFERROR(IF(Tabela3[[#This Row],[Qtde Cx Produzida]] &lt;&gt; 0, Tabela3[[#This Row],[Tempo]] / Tabela3[[#This Row],[Qtde Cx Produzida]], 0),0)</f>
        <v>4.340277777777778E-3</v>
      </c>
      <c r="P1265" s="57">
        <f>IFERROR(Tabela3[[#This Row],[Perda Pçs]]/Tabela3[[#This Row],[Qdt Peça Placa]],0)</f>
        <v>0</v>
      </c>
      <c r="Q1265" s="37">
        <f>IFERROR(Tabela3[[#This Row],[Realizado]]*Tabela3[[#This Row],[Peso Util/Pç]],0)</f>
        <v>26.560000000000002</v>
      </c>
      <c r="R1265" s="37">
        <f>IFERROR(Tabela3[[#This Row],[Peso Total Galho]]*Tabela3[[#This Row],[Qtde Cx Produzida]]*1.055,0)</f>
        <v>48.529999999999994</v>
      </c>
      <c r="S1265" s="37">
        <f>(Tabela3[[#This Row],[Aluminio Bruto]]-Tabela3[[#This Row],[Aluminio Util]])*0.9</f>
        <v>19.772999999999993</v>
      </c>
      <c r="T1265" s="37">
        <f>Tabela3[[#This Row],[Aluminio Bruto]]/OleoKGAluminio</f>
        <v>20.416508251312848</v>
      </c>
      <c r="U1265" s="35">
        <f>IFERROR((VLOOKUP(Tabela3[[#This Row],[Moldador]],Tabela1[],5,)+(VLOOKUP(Tabela3[[#This Row],[Ajudante]],Tabela1[],5,))*3.5),0)</f>
        <v>99.95034583333333</v>
      </c>
      <c r="V1265" s="35">
        <f>IFERROR(Tabela3[[#This Row],[Custo M.O. / H]]/((Tabela3[[#This Row],[Realizado]]/Tabela3[[#This Row],[Qdt Peça Placa]])/Tabela3[[#This Row],[Tempo]]/24),)</f>
        <v>10.411494357638889</v>
      </c>
      <c r="W1265" s="35">
        <f>Tabela3[[#This Row],[Custo / Cx Moldada]]*Tabela3[[#This Row],[Qtde Cx Produzida]]</f>
        <v>208.22988715277776</v>
      </c>
      <c r="X1265" s="35">
        <f ca="1">Tabela3[[#This Row],[Aluminio Util]]*Tabela3[[#This Row],[Custo/Kg]]</f>
        <v>414.33600000000007</v>
      </c>
      <c r="Y1265" s="35">
        <f>IFERROR(VLOOKUP(Tabela3[[#This Row],[Data]],Tabela461213[],2,1)*(Tabela3[[#This Row],[Qtde Cx Produzida]]*Tabela3[[#This Row],[Qde macho / CX]]*Tabela3[[#This Row],[Peso Macho]]),)</f>
        <v>0</v>
      </c>
      <c r="Z1265" s="35">
        <f>IFERROR(Tabela3[[#This Row],[Qtde Oleo]]*(VLOOKUP(Tabela3[[#This Row],[Data]],CompraOleo[],3,TRUE))*1.05,0)</f>
        <v>53.593334159696226</v>
      </c>
      <c r="AA1265" s="47">
        <f ca="1">(Tabela3[[#This Row],[Custo Oleo]]+Tabela3[[#This Row],[Custo Aluminio]]+Tabela3[[#This Row],[Custo M.O. Total]]+Tabela3[[#This Row],[Custo Machos]])</f>
        <v>676.15922131247407</v>
      </c>
      <c r="AB1265" s="47">
        <f ca="1">Tabela3[[#This Row],[Custo Total]]*Tabela3[[#This Row],[% Perda]]</f>
        <v>0</v>
      </c>
      <c r="AC1265" s="40">
        <f>IFERROR(VLOOKUP(Tabela3[[#This Row],[Produto]],Tabela2[],2,0),0)</f>
        <v>4</v>
      </c>
      <c r="AD1265" s="48">
        <f>IFERROR(VLOOKUP(Tabela3[[#This Row],[Produto]],Tabela2[],3,0),0)</f>
        <v>0.33200000000000002</v>
      </c>
      <c r="AE1265" s="48">
        <f>IFERROR(VLOOKUP(Tabela3[[#This Row],[Produto]],Tabela2[],4,0),0)</f>
        <v>2.2999999999999998</v>
      </c>
      <c r="AF1265" s="48">
        <f>IFERROR(VLOOKUP(Tabela3[[#This Row],[Produto]],Tabela2[],5,0),0)</f>
        <v>0.8747999999999998</v>
      </c>
      <c r="AG1265" s="48">
        <f>IFERROR(VLOOKUP(Tabela3[[#This Row],[Produto]],Tabela2[],6,0),0)</f>
        <v>0</v>
      </c>
      <c r="AH1265" s="40">
        <f>IFERROR(VLOOKUP(Tabela3[[#This Row],[Produto]],Tabela2[],7,0),0)</f>
        <v>0</v>
      </c>
      <c r="AI1265" s="40">
        <f>IFERROR(VLOOKUP(Tabela3[[#This Row],[Produto]],Tabela2[],8,0),0)</f>
        <v>0</v>
      </c>
      <c r="AJ1265" s="35">
        <f ca="1">IFERROR(VLOOKUP(Tabela3[[#This Row],[Produto]],Tabela2[],13,0),0)</f>
        <v>15.600000000000001</v>
      </c>
      <c r="AK1265" s="48" t="str">
        <f>IFERROR(VLOOKUP(Tabela3[[#This Row],[Produto]],Tabela2[],14,0),0)</f>
        <v>Senun</v>
      </c>
      <c r="AL1265" s="40">
        <f>IFERROR(VLOOKUP(Tabela3[[#This Row],[Produto]],Tabela2[],15,0),0)</f>
        <v>3.5</v>
      </c>
      <c r="AM1265" s="36">
        <f ca="1">(Tabela3[[#This Row],[Custo Usinagem]]+Tabela3[[#This Row],[Custo / Pç]])*1.2</f>
        <v>14.34238831968711</v>
      </c>
      <c r="AN1265" s="36">
        <f ca="1">Tabela3[[#This Row],[Valor Mínimo Venda]]*1.15</f>
        <v>16.493746567640176</v>
      </c>
      <c r="AO1265" s="36">
        <f ca="1">Tabela3[[#This Row],[Tabela 1]]*1.08</f>
        <v>17.813246293051392</v>
      </c>
      <c r="AP1265" s="36">
        <f ca="1">Tabela3[[#This Row],[Tabela 2]]*1.15</f>
        <v>20.485233237009101</v>
      </c>
    </row>
    <row r="1266" spans="1:42">
      <c r="A1266" s="9">
        <v>46170</v>
      </c>
      <c r="B1266" s="9" t="s">
        <v>155</v>
      </c>
      <c r="C1266" s="14">
        <v>9760</v>
      </c>
      <c r="D1266" s="6" t="s">
        <v>44</v>
      </c>
      <c r="E1266" s="6" t="s">
        <v>47</v>
      </c>
      <c r="F1266" s="6">
        <v>6</v>
      </c>
      <c r="G1266" s="15">
        <v>2.6388888888888889E-2</v>
      </c>
      <c r="H1266" s="16">
        <v>0</v>
      </c>
      <c r="I1266" s="35">
        <f ca="1">IFERROR(Tabela3[[#This Row],[Custo Total]]/Tabela3[[#This Row],[Aluminio Util]],0)</f>
        <v>27.805815046918514</v>
      </c>
      <c r="J1266" s="35">
        <f ca="1">Tabela3[[#This Row],[Custo Total]]/Tabela3[[#This Row],[Realizado]]</f>
        <v>7.2295119121988138</v>
      </c>
      <c r="K1266" s="37">
        <f>IFERROR(Tabela3[[#This Row],[Qtde Cx Produzida]]/Tabela3[[#This Row],[Tempo]]/24,0)</f>
        <v>9.4736842105263168</v>
      </c>
      <c r="L1266" s="37">
        <f>Tabela3[[#This Row],[Qtde Cx Produzida]]*Tabela3[[#This Row],[Qdt Peça Placa]]</f>
        <v>24</v>
      </c>
      <c r="M1266" s="37">
        <f>Tabela3[[#This Row],[Previsto]]-Tabela3[[#This Row],[Perda Pçs]]</f>
        <v>24</v>
      </c>
      <c r="N1266" s="38">
        <f>IFERROR(Tabela3[[#This Row],[Perda Pçs]]/Tabela3[[#This Row],[Previsto]],0)</f>
        <v>0</v>
      </c>
      <c r="O1266" s="39">
        <f>IFERROR(IF(Tabela3[[#This Row],[Qtde Cx Produzida]] &lt;&gt; 0, Tabela3[[#This Row],[Tempo]] / Tabela3[[#This Row],[Qtde Cx Produzida]], 0),0)</f>
        <v>4.3981481481481484E-3</v>
      </c>
      <c r="P1266" s="57">
        <f>IFERROR(Tabela3[[#This Row],[Perda Pçs]]/Tabela3[[#This Row],[Qdt Peça Placa]],0)</f>
        <v>0</v>
      </c>
      <c r="Q1266" s="37">
        <f>IFERROR(Tabela3[[#This Row],[Realizado]]*Tabela3[[#This Row],[Peso Util/Pç]],0)</f>
        <v>6.24</v>
      </c>
      <c r="R1266" s="37">
        <f>IFERROR(Tabela3[[#This Row],[Peso Total Galho]]*Tabela3[[#This Row],[Qtde Cx Produzida]]*1.055,0)</f>
        <v>11.6472</v>
      </c>
      <c r="S1266" s="37">
        <f>(Tabela3[[#This Row],[Aluminio Bruto]]-Tabela3[[#This Row],[Aluminio Util]])*0.9</f>
        <v>4.8664800000000001</v>
      </c>
      <c r="T1266" s="37">
        <f>Tabela3[[#This Row],[Aluminio Bruto]]/OleoKGAluminio</f>
        <v>4.8999619803150845</v>
      </c>
      <c r="U1266" s="35">
        <f>IFERROR((VLOOKUP(Tabela3[[#This Row],[Moldador]],Tabela1[],5,)+(VLOOKUP(Tabela3[[#This Row],[Ajudante]],Tabela1[],5,))*3.5),0)</f>
        <v>99.95034583333333</v>
      </c>
      <c r="V1266" s="35">
        <f>IFERROR(Tabela3[[#This Row],[Custo M.O. / H]]/((Tabela3[[#This Row],[Realizado]]/Tabela3[[#This Row],[Qdt Peça Placa]])/Tabela3[[#This Row],[Tempo]]/24),)</f>
        <v>10.550314282407406</v>
      </c>
      <c r="W1266" s="35">
        <f>Tabela3[[#This Row],[Custo / Cx Moldada]]*Tabela3[[#This Row],[Qtde Cx Produzida]]</f>
        <v>63.301885694444437</v>
      </c>
      <c r="X1266" s="35">
        <f ca="1">Tabela3[[#This Row],[Aluminio Util]]*Tabela3[[#This Row],[Custo/Kg]]</f>
        <v>97.344000000000008</v>
      </c>
      <c r="Y1266" s="35">
        <f>IFERROR(VLOOKUP(Tabela3[[#This Row],[Data]],Tabela461213[],2,1)*(Tabela3[[#This Row],[Qtde Cx Produzida]]*Tabela3[[#This Row],[Qde macho / CX]]*Tabela3[[#This Row],[Peso Macho]]),)</f>
        <v>0</v>
      </c>
      <c r="Z1266" s="35">
        <f>IFERROR(Tabela3[[#This Row],[Qtde Oleo]]*(VLOOKUP(Tabela3[[#This Row],[Data]],CompraOleo[],3,TRUE))*1.05,0)</f>
        <v>12.862400198327096</v>
      </c>
      <c r="AA1266" s="47">
        <f ca="1">(Tabela3[[#This Row],[Custo Oleo]]+Tabela3[[#This Row],[Custo Aluminio]]+Tabela3[[#This Row],[Custo M.O. Total]]+Tabela3[[#This Row],[Custo Machos]])</f>
        <v>173.50828589277154</v>
      </c>
      <c r="AB1266" s="47">
        <f ca="1">Tabela3[[#This Row],[Custo Total]]*Tabela3[[#This Row],[% Perda]]</f>
        <v>0</v>
      </c>
      <c r="AC1266" s="40">
        <f>IFERROR(VLOOKUP(Tabela3[[#This Row],[Produto]],Tabela2[],2,0),0)</f>
        <v>4</v>
      </c>
      <c r="AD1266" s="48">
        <f>IFERROR(VLOOKUP(Tabela3[[#This Row],[Produto]],Tabela2[],3,0),0)</f>
        <v>0.26</v>
      </c>
      <c r="AE1266" s="48">
        <f>IFERROR(VLOOKUP(Tabela3[[#This Row],[Produto]],Tabela2[],4,0),0)</f>
        <v>1.84</v>
      </c>
      <c r="AF1266" s="48">
        <f>IFERROR(VLOOKUP(Tabela3[[#This Row],[Produto]],Tabela2[],5,0),0)</f>
        <v>0.72000000000000008</v>
      </c>
      <c r="AG1266" s="48">
        <f>IFERROR(VLOOKUP(Tabela3[[#This Row],[Produto]],Tabela2[],6,0),0)</f>
        <v>0</v>
      </c>
      <c r="AH1266" s="40">
        <f>IFERROR(VLOOKUP(Tabela3[[#This Row],[Produto]],Tabela2[],7,0),0)</f>
        <v>0</v>
      </c>
      <c r="AI1266" s="40">
        <f>IFERROR(VLOOKUP(Tabela3[[#This Row],[Produto]],Tabela2[],8,0),0)</f>
        <v>0</v>
      </c>
      <c r="AJ1266" s="35">
        <f ca="1">IFERROR(VLOOKUP(Tabela3[[#This Row],[Produto]],Tabela2[],13,0),0)</f>
        <v>15.600000000000001</v>
      </c>
      <c r="AK1266" s="48" t="str">
        <f>IFERROR(VLOOKUP(Tabela3[[#This Row],[Produto]],Tabela2[],14,0),0)</f>
        <v>Senun</v>
      </c>
      <c r="AL1266" s="40">
        <f>IFERROR(VLOOKUP(Tabela3[[#This Row],[Produto]],Tabela2[],15,0),0)</f>
        <v>0</v>
      </c>
      <c r="AM1266" s="36">
        <f ca="1">(Tabela3[[#This Row],[Custo Usinagem]]+Tabela3[[#This Row],[Custo / Pç]])*1.2</f>
        <v>8.6754142946385766</v>
      </c>
      <c r="AN1266" s="36">
        <f ca="1">Tabela3[[#This Row],[Valor Mínimo Venda]]*1.15</f>
        <v>9.9767264388343619</v>
      </c>
      <c r="AO1266" s="36">
        <f ca="1">Tabela3[[#This Row],[Tabela 1]]*1.08</f>
        <v>10.774864553941111</v>
      </c>
      <c r="AP1266" s="36">
        <f ca="1">Tabela3[[#This Row],[Tabela 2]]*1.15</f>
        <v>12.391094237032277</v>
      </c>
    </row>
    <row r="1267" spans="1:42">
      <c r="A1267" s="9">
        <v>46170</v>
      </c>
      <c r="B1267" s="9" t="s">
        <v>125</v>
      </c>
      <c r="C1267" s="14">
        <v>9761</v>
      </c>
      <c r="D1267" s="6" t="s">
        <v>44</v>
      </c>
      <c r="E1267" s="6" t="s">
        <v>47</v>
      </c>
      <c r="F1267" s="6">
        <v>10</v>
      </c>
      <c r="G1267" s="15">
        <v>4.1666666666666664E-2</v>
      </c>
      <c r="H1267" s="16">
        <v>0</v>
      </c>
      <c r="I1267" s="35">
        <f ca="1">IFERROR(Tabela3[[#This Row],[Custo Total]]/Tabela3[[#This Row],[Aluminio Util]],0)</f>
        <v>24.349590529751616</v>
      </c>
      <c r="J1267" s="35">
        <f ca="1">Tabela3[[#This Row],[Custo Total]]/Tabela3[[#This Row],[Realizado]]</f>
        <v>34.138125922711765</v>
      </c>
      <c r="K1267" s="37">
        <f>IFERROR(Tabela3[[#This Row],[Qtde Cx Produzida]]/Tabela3[[#This Row],[Tempo]]/24,0)</f>
        <v>10</v>
      </c>
      <c r="L1267" s="37">
        <f>Tabela3[[#This Row],[Qtde Cx Produzida]]*Tabela3[[#This Row],[Qdt Peça Placa]]</f>
        <v>10</v>
      </c>
      <c r="M1267" s="37">
        <f>Tabela3[[#This Row],[Previsto]]-Tabela3[[#This Row],[Perda Pçs]]</f>
        <v>10</v>
      </c>
      <c r="N1267" s="38">
        <f>IFERROR(Tabela3[[#This Row],[Perda Pçs]]/Tabela3[[#This Row],[Previsto]],0)</f>
        <v>0</v>
      </c>
      <c r="O1267" s="39">
        <f>IFERROR(IF(Tabela3[[#This Row],[Qtde Cx Produzida]] &lt;&gt; 0, Tabela3[[#This Row],[Tempo]] / Tabela3[[#This Row],[Qtde Cx Produzida]], 0),0)</f>
        <v>4.1666666666666666E-3</v>
      </c>
      <c r="P1267" s="57">
        <f>IFERROR(Tabela3[[#This Row],[Perda Pçs]]/Tabela3[[#This Row],[Qdt Peça Placa]],0)</f>
        <v>0</v>
      </c>
      <c r="Q1267" s="37">
        <f>IFERROR(Tabela3[[#This Row],[Realizado]]*Tabela3[[#This Row],[Peso Util/Pç]],0)</f>
        <v>14.02</v>
      </c>
      <c r="R1267" s="37">
        <f>IFERROR(Tabela3[[#This Row],[Peso Total Galho]]*Tabela3[[#This Row],[Qtde Cx Produzida]]*1.055,0)</f>
        <v>20.572499999999998</v>
      </c>
      <c r="S1267" s="37">
        <f>(Tabela3[[#This Row],[Aluminio Bruto]]-Tabela3[[#This Row],[Aluminio Util]])*0.9</f>
        <v>5.8972499999999988</v>
      </c>
      <c r="T1267" s="37">
        <f>Tabela3[[#This Row],[Aluminio Bruto]]/OleoKGAluminio</f>
        <v>8.6548241500130558</v>
      </c>
      <c r="U1267" s="35">
        <f>IFERROR((VLOOKUP(Tabela3[[#This Row],[Moldador]],Tabela1[],5,)+(VLOOKUP(Tabela3[[#This Row],[Ajudante]],Tabela1[],5,))*3.5),0)</f>
        <v>99.95034583333333</v>
      </c>
      <c r="V1267" s="35">
        <f>IFERROR(Tabela3[[#This Row],[Custo M.O. / H]]/((Tabela3[[#This Row],[Realizado]]/Tabela3[[#This Row],[Qdt Peça Placa]])/Tabela3[[#This Row],[Tempo]]/24),)</f>
        <v>9.9950345833333323</v>
      </c>
      <c r="W1267" s="35">
        <f>Tabela3[[#This Row],[Custo / Cx Moldada]]*Tabela3[[#This Row],[Qtde Cx Produzida]]</f>
        <v>99.95034583333333</v>
      </c>
      <c r="X1267" s="35">
        <f ca="1">Tabela3[[#This Row],[Aluminio Util]]*Tabela3[[#This Row],[Custo/Kg]]</f>
        <v>218.71200000000002</v>
      </c>
      <c r="Y1267" s="35">
        <f>IFERROR(VLOOKUP(Tabela3[[#This Row],[Data]],Tabela461213[],2,1)*(Tabela3[[#This Row],[Qtde Cx Produzida]]*Tabela3[[#This Row],[Qde macho / CX]]*Tabela3[[#This Row],[Peso Macho]]),)</f>
        <v>0</v>
      </c>
      <c r="Z1267" s="35">
        <f>IFERROR(Tabela3[[#This Row],[Qtde Oleo]]*(VLOOKUP(Tabela3[[#This Row],[Data]],CompraOleo[],3,TRUE))*1.05,0)</f>
        <v>22.718913393784273</v>
      </c>
      <c r="AA1267" s="47">
        <f ca="1">(Tabela3[[#This Row],[Custo Oleo]]+Tabela3[[#This Row],[Custo Aluminio]]+Tabela3[[#This Row],[Custo M.O. Total]]+Tabela3[[#This Row],[Custo Machos]])</f>
        <v>341.38125922711765</v>
      </c>
      <c r="AB1267" s="47">
        <f ca="1">Tabela3[[#This Row],[Custo Total]]*Tabela3[[#This Row],[% Perda]]</f>
        <v>0</v>
      </c>
      <c r="AC1267" s="40">
        <f>IFERROR(VLOOKUP(Tabela3[[#This Row],[Produto]],Tabela2[],2,0),0)</f>
        <v>1</v>
      </c>
      <c r="AD1267" s="48">
        <f>IFERROR(VLOOKUP(Tabela3[[#This Row],[Produto]],Tabela2[],3,0),0)</f>
        <v>1.4019999999999999</v>
      </c>
      <c r="AE1267" s="48">
        <f>IFERROR(VLOOKUP(Tabela3[[#This Row],[Produto]],Tabela2[],4,0),0)</f>
        <v>1.95</v>
      </c>
      <c r="AF1267" s="48">
        <f>IFERROR(VLOOKUP(Tabela3[[#This Row],[Produto]],Tabela2[],5,0),0)</f>
        <v>0.49320000000000003</v>
      </c>
      <c r="AG1267" s="48">
        <f>IFERROR(VLOOKUP(Tabela3[[#This Row],[Produto]],Tabela2[],6,0),0)</f>
        <v>0</v>
      </c>
      <c r="AH1267" s="40">
        <f>IFERROR(VLOOKUP(Tabela3[[#This Row],[Produto]],Tabela2[],7,0),0)</f>
        <v>0</v>
      </c>
      <c r="AI1267" s="40">
        <f>IFERROR(VLOOKUP(Tabela3[[#This Row],[Produto]],Tabela2[],8,0),0)</f>
        <v>0</v>
      </c>
      <c r="AJ1267" s="35">
        <f ca="1">IFERROR(VLOOKUP(Tabela3[[#This Row],[Produto]],Tabela2[],13,0),0)</f>
        <v>15.600000000000001</v>
      </c>
      <c r="AK1267" s="48" t="str">
        <f>IFERROR(VLOOKUP(Tabela3[[#This Row],[Produto]],Tabela2[],14,0),0)</f>
        <v>Senun</v>
      </c>
      <c r="AL1267" s="40">
        <f>IFERROR(VLOOKUP(Tabela3[[#This Row],[Produto]],Tabela2[],15,0),0)</f>
        <v>6</v>
      </c>
      <c r="AM1267" s="36">
        <f ca="1">(Tabela3[[#This Row],[Custo Usinagem]]+Tabela3[[#This Row],[Custo / Pç]])*1.2</f>
        <v>48.165751107254117</v>
      </c>
      <c r="AN1267" s="36">
        <f ca="1">Tabela3[[#This Row],[Valor Mínimo Venda]]*1.15</f>
        <v>55.390613773342231</v>
      </c>
      <c r="AO1267" s="36">
        <f ca="1">Tabela3[[#This Row],[Tabela 1]]*1.08</f>
        <v>59.821862875209611</v>
      </c>
      <c r="AP1267" s="36">
        <f ca="1">Tabela3[[#This Row],[Tabela 2]]*1.15</f>
        <v>68.795142306491044</v>
      </c>
    </row>
    <row r="1268" spans="1:42">
      <c r="A1268" s="9">
        <v>46170</v>
      </c>
      <c r="B1268" s="9" t="s">
        <v>147</v>
      </c>
      <c r="C1268" s="14">
        <v>9755</v>
      </c>
      <c r="D1268" s="6" t="s">
        <v>46</v>
      </c>
      <c r="E1268" s="6" t="s">
        <v>44</v>
      </c>
      <c r="F1268" s="6">
        <v>17</v>
      </c>
      <c r="G1268" s="15">
        <v>7.5694444444444439E-2</v>
      </c>
      <c r="H1268" s="16">
        <v>0</v>
      </c>
      <c r="I1268" s="35">
        <f ca="1">IFERROR(Tabela3[[#This Row],[Custo Total]]/Tabela3[[#This Row],[Aluminio Util]],0)</f>
        <v>24.217791745202472</v>
      </c>
      <c r="J1268" s="35">
        <f ca="1">Tabela3[[#This Row],[Custo Total]]/Tabela3[[#This Row],[Realizado]]</f>
        <v>47.951227655500887</v>
      </c>
      <c r="K1268" s="37">
        <f>IFERROR(Tabela3[[#This Row],[Qtde Cx Produzida]]/Tabela3[[#This Row],[Tempo]]/24,0)</f>
        <v>9.3577981651376145</v>
      </c>
      <c r="L1268" s="37">
        <f>Tabela3[[#This Row],[Qtde Cx Produzida]]*Tabela3[[#This Row],[Qdt Peça Placa]]</f>
        <v>17</v>
      </c>
      <c r="M1268" s="37">
        <f>Tabela3[[#This Row],[Previsto]]-Tabela3[[#This Row],[Perda Pçs]]</f>
        <v>17</v>
      </c>
      <c r="N1268" s="38">
        <f>IFERROR(Tabela3[[#This Row],[Perda Pçs]]/Tabela3[[#This Row],[Previsto]],0)</f>
        <v>0</v>
      </c>
      <c r="O1268" s="39">
        <f>IFERROR(IF(Tabela3[[#This Row],[Qtde Cx Produzida]] &lt;&gt; 0, Tabela3[[#This Row],[Tempo]] / Tabela3[[#This Row],[Qtde Cx Produzida]], 0),0)</f>
        <v>4.4526143790849671E-3</v>
      </c>
      <c r="P1268" s="57">
        <f>IFERROR(Tabela3[[#This Row],[Perda Pçs]]/Tabela3[[#This Row],[Qdt Peça Placa]],0)</f>
        <v>0</v>
      </c>
      <c r="Q1268" s="37">
        <f>IFERROR(Tabela3[[#This Row],[Realizado]]*Tabela3[[#This Row],[Peso Util/Pç]],0)</f>
        <v>33.659999999999997</v>
      </c>
      <c r="R1268" s="37">
        <f>IFERROR(Tabela3[[#This Row],[Peso Total Galho]]*Tabela3[[#This Row],[Qtde Cx Produzida]]*1.055,0)</f>
        <v>55.239799999999995</v>
      </c>
      <c r="S1268" s="37">
        <f>(Tabela3[[#This Row],[Aluminio Bruto]]-Tabela3[[#This Row],[Aluminio Util]])*0.9</f>
        <v>19.42182</v>
      </c>
      <c r="T1268" s="37">
        <f>Tabela3[[#This Row],[Aluminio Bruto]]/OleoKGAluminio</f>
        <v>23.2393124356248</v>
      </c>
      <c r="U1268" s="35">
        <f>IFERROR((VLOOKUP(Tabela3[[#This Row],[Moldador]],Tabela1[],5,)+(VLOOKUP(Tabela3[[#This Row],[Ajudante]],Tabela1[],5,))*3.5),0)</f>
        <v>126.0945</v>
      </c>
      <c r="V1268" s="35">
        <f>IFERROR(Tabela3[[#This Row],[Custo M.O. / H]]/((Tabela3[[#This Row],[Realizado]]/Tabela3[[#This Row],[Qdt Peça Placa]])/Tabela3[[#This Row],[Tempo]]/24),)</f>
        <v>13.474804411764707</v>
      </c>
      <c r="W1268" s="35">
        <f>Tabela3[[#This Row],[Custo / Cx Moldada]]*Tabela3[[#This Row],[Qtde Cx Produzida]]</f>
        <v>229.071675</v>
      </c>
      <c r="X1268" s="35">
        <f ca="1">Tabela3[[#This Row],[Aluminio Util]]*Tabela3[[#This Row],[Custo/Kg]]</f>
        <v>525.096</v>
      </c>
      <c r="Y1268" s="35">
        <f>IFERROR(VLOOKUP(Tabela3[[#This Row],[Data]],Tabela461213[],2,1)*(Tabela3[[#This Row],[Qtde Cx Produzida]]*Tabela3[[#This Row],[Qde macho / CX]]*Tabela3[[#This Row],[Peso Macho]]),)</f>
        <v>0</v>
      </c>
      <c r="Z1268" s="35">
        <f>IFERROR(Tabela3[[#This Row],[Qtde Oleo]]*(VLOOKUP(Tabela3[[#This Row],[Data]],CompraOleo[],3,TRUE))*1.05,0)</f>
        <v>61.0031951435151</v>
      </c>
      <c r="AA1268" s="47">
        <f ca="1">(Tabela3[[#This Row],[Custo Oleo]]+Tabela3[[#This Row],[Custo Aluminio]]+Tabela3[[#This Row],[Custo M.O. Total]]+Tabela3[[#This Row],[Custo Machos]])</f>
        <v>815.17087014351512</v>
      </c>
      <c r="AB1268" s="47">
        <f ca="1">Tabela3[[#This Row],[Custo Total]]*Tabela3[[#This Row],[% Perda]]</f>
        <v>0</v>
      </c>
      <c r="AC1268" s="40">
        <f>IFERROR(VLOOKUP(Tabela3[[#This Row],[Produto]],Tabela2[],2,0),0)</f>
        <v>1</v>
      </c>
      <c r="AD1268" s="48">
        <f>IFERROR(VLOOKUP(Tabela3[[#This Row],[Produto]],Tabela2[],3,0),0)</f>
        <v>1.98</v>
      </c>
      <c r="AE1268" s="48">
        <f>IFERROR(VLOOKUP(Tabela3[[#This Row],[Produto]],Tabela2[],4,0),0)</f>
        <v>3.08</v>
      </c>
      <c r="AF1268" s="48">
        <f>IFERROR(VLOOKUP(Tabela3[[#This Row],[Produto]],Tabela2[],5,0),0)</f>
        <v>0.9900000000000001</v>
      </c>
      <c r="AG1268" s="48">
        <f>IFERROR(VLOOKUP(Tabela3[[#This Row],[Produto]],Tabela2[],6,0),0)</f>
        <v>0</v>
      </c>
      <c r="AH1268" s="40">
        <f>IFERROR(VLOOKUP(Tabela3[[#This Row],[Produto]],Tabela2[],7,0),0)</f>
        <v>0</v>
      </c>
      <c r="AI1268" s="40">
        <f>IFERROR(VLOOKUP(Tabela3[[#This Row],[Produto]],Tabela2[],8,0),0)</f>
        <v>0</v>
      </c>
      <c r="AJ1268" s="35">
        <f ca="1">IFERROR(VLOOKUP(Tabela3[[#This Row],[Produto]],Tabela2[],13,0),0)</f>
        <v>15.600000000000001</v>
      </c>
      <c r="AK1268" s="48" t="str">
        <f>IFERROR(VLOOKUP(Tabela3[[#This Row],[Produto]],Tabela2[],14,0),0)</f>
        <v>Senun</v>
      </c>
      <c r="AL1268" s="40">
        <f>IFERROR(VLOOKUP(Tabela3[[#This Row],[Produto]],Tabela2[],15,0),0)</f>
        <v>5</v>
      </c>
      <c r="AM1268" s="36">
        <f ca="1">(Tabela3[[#This Row],[Custo Usinagem]]+Tabela3[[#This Row],[Custo / Pç]])*1.2</f>
        <v>63.54147318660106</v>
      </c>
      <c r="AN1268" s="36">
        <f ca="1">Tabela3[[#This Row],[Valor Mínimo Venda]]*1.15</f>
        <v>73.072694164591212</v>
      </c>
      <c r="AO1268" s="36">
        <f ca="1">Tabela3[[#This Row],[Tabela 1]]*1.08</f>
        <v>78.918509697758509</v>
      </c>
      <c r="AP1268" s="36">
        <f ca="1">Tabela3[[#This Row],[Tabela 2]]*1.15</f>
        <v>90.756286152422277</v>
      </c>
    </row>
    <row r="1269" spans="1:42">
      <c r="A1269" s="9">
        <v>46171</v>
      </c>
      <c r="B1269" s="9" t="s">
        <v>147</v>
      </c>
      <c r="C1269" s="14">
        <v>9755</v>
      </c>
      <c r="D1269" s="6" t="s">
        <v>46</v>
      </c>
      <c r="E1269" s="6" t="s">
        <v>50</v>
      </c>
      <c r="F1269" s="6">
        <v>18</v>
      </c>
      <c r="G1269" s="15">
        <v>7.8472222222222221E-2</v>
      </c>
      <c r="H1269" s="16">
        <v>3</v>
      </c>
      <c r="I1269" s="35">
        <f ca="1">IFERROR(Tabela3[[#This Row],[Custo Total]]/Tabela3[[#This Row],[Aluminio Util]],0)</f>
        <v>25.380451177460763</v>
      </c>
      <c r="J1269" s="35">
        <f ca="1">Tabela3[[#This Row],[Custo Total]]/Tabela3[[#This Row],[Realizado]]</f>
        <v>50.253293331372312</v>
      </c>
      <c r="K1269" s="37">
        <f>IFERROR(Tabela3[[#This Row],[Qtde Cx Produzida]]/Tabela3[[#This Row],[Tempo]]/24,0)</f>
        <v>9.557522123893806</v>
      </c>
      <c r="L1269" s="37">
        <f>Tabela3[[#This Row],[Qtde Cx Produzida]]*Tabela3[[#This Row],[Qdt Peça Placa]]</f>
        <v>18</v>
      </c>
      <c r="M1269" s="37">
        <f>Tabela3[[#This Row],[Previsto]]-Tabela3[[#This Row],[Perda Pçs]]</f>
        <v>15</v>
      </c>
      <c r="N1269" s="38">
        <f>IFERROR(Tabela3[[#This Row],[Perda Pçs]]/Tabela3[[#This Row],[Previsto]],0)</f>
        <v>0.16666666666666666</v>
      </c>
      <c r="O1269" s="39">
        <f>IFERROR(IF(Tabela3[[#This Row],[Qtde Cx Produzida]] &lt;&gt; 0, Tabela3[[#This Row],[Tempo]] / Tabela3[[#This Row],[Qtde Cx Produzida]], 0),0)</f>
        <v>4.3595679012345678E-3</v>
      </c>
      <c r="P1269" s="57">
        <f>IFERROR(Tabela3[[#This Row],[Perda Pçs]]/Tabela3[[#This Row],[Qdt Peça Placa]],0)</f>
        <v>3</v>
      </c>
      <c r="Q1269" s="37">
        <f>IFERROR(Tabela3[[#This Row],[Realizado]]*Tabela3[[#This Row],[Peso Util/Pç]],0)</f>
        <v>29.7</v>
      </c>
      <c r="R1269" s="37">
        <f>IFERROR(Tabela3[[#This Row],[Peso Total Galho]]*Tabela3[[#This Row],[Qtde Cx Produzida]]*1.055,0)</f>
        <v>58.489199999999997</v>
      </c>
      <c r="S1269" s="37">
        <f>(Tabela3[[#This Row],[Aluminio Bruto]]-Tabela3[[#This Row],[Aluminio Util]])*0.9</f>
        <v>25.910279999999997</v>
      </c>
      <c r="T1269" s="37">
        <f>Tabela3[[#This Row],[Aluminio Bruto]]/OleoKGAluminio</f>
        <v>24.606330814190965</v>
      </c>
      <c r="U1269" s="35">
        <f>IFERROR((VLOOKUP(Tabela3[[#This Row],[Moldador]],Tabela1[],5,)+(VLOOKUP(Tabela3[[#This Row],[Ajudante]],Tabela1[],5,))*3.5),0)</f>
        <v>99.95034583333333</v>
      </c>
      <c r="V1269" s="35">
        <f>IFERROR(Tabela3[[#This Row],[Custo M.O. / H]]/((Tabela3[[#This Row],[Realizado]]/Tabela3[[#This Row],[Qdt Peça Placa]])/Tabela3[[#This Row],[Tempo]]/24),)</f>
        <v>12.549321199074074</v>
      </c>
      <c r="W1269" s="35">
        <f>Tabela3[[#This Row],[Custo / Cx Moldada]]*Tabela3[[#This Row],[Qtde Cx Produzida]]</f>
        <v>225.88778158333332</v>
      </c>
      <c r="X1269" s="35">
        <f ca="1">Tabela3[[#This Row],[Aluminio Util]]*Tabela3[[#This Row],[Custo/Kg]]</f>
        <v>463.32000000000005</v>
      </c>
      <c r="Y1269" s="35">
        <f>IFERROR(VLOOKUP(Tabela3[[#This Row],[Data]],Tabela461213[],2,1)*(Tabela3[[#This Row],[Qtde Cx Produzida]]*Tabela3[[#This Row],[Qde macho / CX]]*Tabela3[[#This Row],[Peso Macho]]),)</f>
        <v>0</v>
      </c>
      <c r="Z1269" s="35">
        <f>IFERROR(Tabela3[[#This Row],[Qtde Oleo]]*(VLOOKUP(Tabela3[[#This Row],[Data]],CompraOleo[],3,TRUE))*1.05,0)</f>
        <v>64.591618387251287</v>
      </c>
      <c r="AA1269" s="47">
        <f ca="1">(Tabela3[[#This Row],[Custo Oleo]]+Tabela3[[#This Row],[Custo Aluminio]]+Tabela3[[#This Row],[Custo M.O. Total]]+Tabela3[[#This Row],[Custo Machos]])</f>
        <v>753.79939997058466</v>
      </c>
      <c r="AB1269" s="47">
        <f ca="1">Tabela3[[#This Row],[Custo Total]]*Tabela3[[#This Row],[% Perda]]</f>
        <v>125.63323332843078</v>
      </c>
      <c r="AC1269" s="40">
        <f>IFERROR(VLOOKUP(Tabela3[[#This Row],[Produto]],Tabela2[],2,0),0)</f>
        <v>1</v>
      </c>
      <c r="AD1269" s="48">
        <f>IFERROR(VLOOKUP(Tabela3[[#This Row],[Produto]],Tabela2[],3,0),0)</f>
        <v>1.98</v>
      </c>
      <c r="AE1269" s="48">
        <f>IFERROR(VLOOKUP(Tabela3[[#This Row],[Produto]],Tabela2[],4,0),0)</f>
        <v>3.08</v>
      </c>
      <c r="AF1269" s="48">
        <f>IFERROR(VLOOKUP(Tabela3[[#This Row],[Produto]],Tabela2[],5,0),0)</f>
        <v>0.9900000000000001</v>
      </c>
      <c r="AG1269" s="48">
        <f>IFERROR(VLOOKUP(Tabela3[[#This Row],[Produto]],Tabela2[],6,0),0)</f>
        <v>0</v>
      </c>
      <c r="AH1269" s="40">
        <f>IFERROR(VLOOKUP(Tabela3[[#This Row],[Produto]],Tabela2[],7,0),0)</f>
        <v>0</v>
      </c>
      <c r="AI1269" s="40">
        <f>IFERROR(VLOOKUP(Tabela3[[#This Row],[Produto]],Tabela2[],8,0),0)</f>
        <v>0</v>
      </c>
      <c r="AJ1269" s="35">
        <f ca="1">IFERROR(VLOOKUP(Tabela3[[#This Row],[Produto]],Tabela2[],13,0),0)</f>
        <v>15.600000000000001</v>
      </c>
      <c r="AK1269" s="48" t="str">
        <f>IFERROR(VLOOKUP(Tabela3[[#This Row],[Produto]],Tabela2[],14,0),0)</f>
        <v>Senun</v>
      </c>
      <c r="AL1269" s="40">
        <f>IFERROR(VLOOKUP(Tabela3[[#This Row],[Produto]],Tabela2[],15,0),0)</f>
        <v>5</v>
      </c>
      <c r="AM1269" s="36">
        <f ca="1">(Tabela3[[#This Row],[Custo Usinagem]]+Tabela3[[#This Row],[Custo / Pç]])*1.2</f>
        <v>66.303951997646777</v>
      </c>
      <c r="AN1269" s="36">
        <f ca="1">Tabela3[[#This Row],[Valor Mínimo Venda]]*1.15</f>
        <v>76.249544797293794</v>
      </c>
      <c r="AO1269" s="36">
        <f ca="1">Tabela3[[#This Row],[Tabela 1]]*1.08</f>
        <v>82.3495083810773</v>
      </c>
      <c r="AP1269" s="36">
        <f ca="1">Tabela3[[#This Row],[Tabela 2]]*1.15</f>
        <v>94.701934638238882</v>
      </c>
    </row>
    <row r="1270" spans="1:42">
      <c r="A1270" s="9">
        <v>46171</v>
      </c>
      <c r="B1270" s="9" t="s">
        <v>258</v>
      </c>
      <c r="C1270" s="14">
        <v>9762</v>
      </c>
      <c r="D1270" s="6" t="s">
        <v>44</v>
      </c>
      <c r="E1270" s="6" t="s">
        <v>47</v>
      </c>
      <c r="F1270" s="6">
        <v>4</v>
      </c>
      <c r="G1270" s="15">
        <v>1.5972222222222221E-2</v>
      </c>
      <c r="H1270" s="16">
        <v>0</v>
      </c>
      <c r="I1270" s="35">
        <f ca="1">IFERROR(Tabela3[[#This Row],[Custo Total]]/Tabela3[[#This Row],[Aluminio Util]],0)</f>
        <v>24.433654055679227</v>
      </c>
      <c r="J1270" s="35">
        <f ca="1">Tabela3[[#This Row],[Custo Total]]/Tabela3[[#This Row],[Realizado]]</f>
        <v>11.605985676447631</v>
      </c>
      <c r="K1270" s="37">
        <f>IFERROR(Tabela3[[#This Row],[Qtde Cx Produzida]]/Tabela3[[#This Row],[Tempo]]/24,0)</f>
        <v>10.434782608695654</v>
      </c>
      <c r="L1270" s="37">
        <f>Tabela3[[#This Row],[Qtde Cx Produzida]]*Tabela3[[#This Row],[Qdt Peça Placa]]</f>
        <v>12</v>
      </c>
      <c r="M1270" s="37">
        <f>Tabela3[[#This Row],[Previsto]]-Tabela3[[#This Row],[Perda Pçs]]</f>
        <v>12</v>
      </c>
      <c r="N1270" s="38">
        <f>IFERROR(Tabela3[[#This Row],[Perda Pçs]]/Tabela3[[#This Row],[Previsto]],0)</f>
        <v>0</v>
      </c>
      <c r="O1270" s="39">
        <f>IFERROR(IF(Tabela3[[#This Row],[Qtde Cx Produzida]] &lt;&gt; 0, Tabela3[[#This Row],[Tempo]] / Tabela3[[#This Row],[Qtde Cx Produzida]], 0),0)</f>
        <v>3.9930555555555552E-3</v>
      </c>
      <c r="P1270" s="57">
        <f>IFERROR(Tabela3[[#This Row],[Perda Pçs]]/Tabela3[[#This Row],[Qdt Peça Placa]],0)</f>
        <v>0</v>
      </c>
      <c r="Q1270" s="37">
        <f>IFERROR(Tabela3[[#This Row],[Realizado]]*Tabela3[[#This Row],[Peso Util/Pç]],0)</f>
        <v>5.6999999999999993</v>
      </c>
      <c r="R1270" s="37">
        <f>IFERROR(Tabela3[[#This Row],[Peso Total Galho]]*Tabela3[[#This Row],[Qtde Cx Produzida]]*1.055,0)</f>
        <v>10.900259999999999</v>
      </c>
      <c r="S1270" s="37">
        <f>(Tabela3[[#This Row],[Aluminio Bruto]]-Tabela3[[#This Row],[Aluminio Util]])*0.9</f>
        <v>4.6802340000000004</v>
      </c>
      <c r="T1270" s="37">
        <f>Tabela3[[#This Row],[Aluminio Bruto]]/OleoKGAluminio</f>
        <v>4.5857252880992254</v>
      </c>
      <c r="U1270" s="35">
        <f>IFERROR((VLOOKUP(Tabela3[[#This Row],[Moldador]],Tabela1[],5,)+(VLOOKUP(Tabela3[[#This Row],[Ajudante]],Tabela1[],5,))*3.5),0)</f>
        <v>99.95034583333333</v>
      </c>
      <c r="V1270" s="35">
        <f>IFERROR(Tabela3[[#This Row],[Custo M.O. / H]]/((Tabela3[[#This Row],[Realizado]]/Tabela3[[#This Row],[Qdt Peça Placa]])/Tabela3[[#This Row],[Tempo]]/24),)</f>
        <v>9.578574809027776</v>
      </c>
      <c r="W1270" s="35">
        <f>Tabela3[[#This Row],[Custo / Cx Moldada]]*Tabela3[[#This Row],[Qtde Cx Produzida]]</f>
        <v>38.314299236111104</v>
      </c>
      <c r="X1270" s="35">
        <f ca="1">Tabela3[[#This Row],[Aluminio Util]]*Tabela3[[#This Row],[Custo/Kg]]</f>
        <v>88.92</v>
      </c>
      <c r="Y1270" s="35">
        <f>IFERROR(VLOOKUP(Tabela3[[#This Row],[Data]],Tabela461213[],2,1)*(Tabela3[[#This Row],[Qtde Cx Produzida]]*Tabela3[[#This Row],[Qde macho / CX]]*Tabela3[[#This Row],[Peso Macho]]),)</f>
        <v>0</v>
      </c>
      <c r="Z1270" s="35">
        <f>IFERROR(Tabela3[[#This Row],[Qtde Oleo]]*(VLOOKUP(Tabela3[[#This Row],[Data]],CompraOleo[],3,TRUE))*1.05,0)</f>
        <v>12.037528881260467</v>
      </c>
      <c r="AA1270" s="47">
        <f ca="1">(Tabela3[[#This Row],[Custo Oleo]]+Tabela3[[#This Row],[Custo Aluminio]]+Tabela3[[#This Row],[Custo M.O. Total]]+Tabela3[[#This Row],[Custo Machos]])</f>
        <v>139.27182811737157</v>
      </c>
      <c r="AB1270" s="47">
        <f ca="1">Tabela3[[#This Row],[Custo Total]]*Tabela3[[#This Row],[% Perda]]</f>
        <v>0</v>
      </c>
      <c r="AC1270" s="40">
        <f>IFERROR(VLOOKUP(Tabela3[[#This Row],[Produto]],Tabela2[],2,0),0)</f>
        <v>3</v>
      </c>
      <c r="AD1270" s="48">
        <f>IFERROR(VLOOKUP(Tabela3[[#This Row],[Produto]],Tabela2[],3,0),0)</f>
        <v>0.47499999999999998</v>
      </c>
      <c r="AE1270" s="48">
        <f>IFERROR(VLOOKUP(Tabela3[[#This Row],[Produto]],Tabela2[],4,0),0)</f>
        <v>2.5830000000000002</v>
      </c>
      <c r="AF1270" s="48">
        <f>IFERROR(VLOOKUP(Tabela3[[#This Row],[Produto]],Tabela2[],5,0),0)</f>
        <v>1.0422000000000005</v>
      </c>
      <c r="AG1270" s="48">
        <f>IFERROR(VLOOKUP(Tabela3[[#This Row],[Produto]],Tabela2[],6,0),0)</f>
        <v>0</v>
      </c>
      <c r="AH1270" s="40">
        <f>IFERROR(VLOOKUP(Tabela3[[#This Row],[Produto]],Tabela2[],7,0),0)</f>
        <v>0</v>
      </c>
      <c r="AI1270" s="40">
        <f>IFERROR(VLOOKUP(Tabela3[[#This Row],[Produto]],Tabela2[],8,0),0)</f>
        <v>0</v>
      </c>
      <c r="AJ1270" s="35">
        <f ca="1">IFERROR(VLOOKUP(Tabela3[[#This Row],[Produto]],Tabela2[],13,0),0)</f>
        <v>15.600000000000001</v>
      </c>
      <c r="AK1270" s="48" t="str">
        <f>IFERROR(VLOOKUP(Tabela3[[#This Row],[Produto]],Tabela2[],14,0),0)</f>
        <v>Senun</v>
      </c>
      <c r="AL1270" s="40">
        <f>IFERROR(VLOOKUP(Tabela3[[#This Row],[Produto]],Tabela2[],15,0),0)</f>
        <v>6</v>
      </c>
      <c r="AM1270" s="36">
        <f ca="1">(Tabela3[[#This Row],[Custo Usinagem]]+Tabela3[[#This Row],[Custo / Pç]])*1.2</f>
        <v>21.127182811737157</v>
      </c>
      <c r="AN1270" s="36">
        <f ca="1">Tabela3[[#This Row],[Valor Mínimo Venda]]*1.15</f>
        <v>24.29626023349773</v>
      </c>
      <c r="AO1270" s="36">
        <f ca="1">Tabela3[[#This Row],[Tabela 1]]*1.08</f>
        <v>26.239961052177549</v>
      </c>
      <c r="AP1270" s="36">
        <f ca="1">Tabela3[[#This Row],[Tabela 2]]*1.15</f>
        <v>30.175955210004179</v>
      </c>
    </row>
    <row r="1271" spans="1:42">
      <c r="A1271" s="9">
        <v>46171</v>
      </c>
      <c r="B1271" s="9" t="s">
        <v>277</v>
      </c>
      <c r="C1271" s="14">
        <v>9763</v>
      </c>
      <c r="D1271" s="6" t="s">
        <v>44</v>
      </c>
      <c r="E1271" s="6" t="s">
        <v>47</v>
      </c>
      <c r="F1271" s="6">
        <v>2</v>
      </c>
      <c r="G1271" s="15">
        <v>9.7222222222222224E-3</v>
      </c>
      <c r="H1271" s="16">
        <v>0</v>
      </c>
      <c r="I1271" s="35">
        <f ca="1">IFERROR(Tabela3[[#This Row],[Custo Total]]/Tabela3[[#This Row],[Aluminio Util]],0)</f>
        <v>31.54583515877804</v>
      </c>
      <c r="J1271" s="35">
        <f ca="1">Tabela3[[#This Row],[Custo Total]]/Tabela3[[#This Row],[Realizado]]</f>
        <v>4.416416922228926</v>
      </c>
      <c r="K1271" s="37">
        <f>IFERROR(Tabela3[[#This Row],[Qtde Cx Produzida]]/Tabela3[[#This Row],[Tempo]]/24,0)</f>
        <v>8.5714285714285712</v>
      </c>
      <c r="L1271" s="37">
        <f>Tabela3[[#This Row],[Qtde Cx Produzida]]*Tabela3[[#This Row],[Qdt Peça Placa]]</f>
        <v>12</v>
      </c>
      <c r="M1271" s="37">
        <f>Tabela3[[#This Row],[Previsto]]-Tabela3[[#This Row],[Perda Pçs]]</f>
        <v>12</v>
      </c>
      <c r="N1271" s="38">
        <f>IFERROR(Tabela3[[#This Row],[Perda Pçs]]/Tabela3[[#This Row],[Previsto]],0)</f>
        <v>0</v>
      </c>
      <c r="O1271" s="39">
        <f>IFERROR(IF(Tabela3[[#This Row],[Qtde Cx Produzida]] &lt;&gt; 0, Tabela3[[#This Row],[Tempo]] / Tabela3[[#This Row],[Qtde Cx Produzida]], 0),0)</f>
        <v>4.8611111111111112E-3</v>
      </c>
      <c r="P1271" s="57">
        <f>IFERROR(Tabela3[[#This Row],[Perda Pçs]]/Tabela3[[#This Row],[Qdt Peça Placa]],0)</f>
        <v>0</v>
      </c>
      <c r="Q1271" s="37">
        <f>IFERROR(Tabela3[[#This Row],[Realizado]]*Tabela3[[#This Row],[Peso Util/Pç]],0)</f>
        <v>1.6800000000000002</v>
      </c>
      <c r="R1271" s="37">
        <f>IFERROR(Tabela3[[#This Row],[Peso Total Galho]]*Tabela3[[#This Row],[Qtde Cx Produzida]]*1.055,0)</f>
        <v>3.1396799999999998</v>
      </c>
      <c r="S1271" s="37">
        <f>(Tabela3[[#This Row],[Aluminio Bruto]]-Tabela3[[#This Row],[Aluminio Util]])*0.9</f>
        <v>1.3137119999999998</v>
      </c>
      <c r="T1271" s="37">
        <f>Tabela3[[#This Row],[Aluminio Bruto]]/OleoKGAluminio</f>
        <v>1.3208593164327618</v>
      </c>
      <c r="U1271" s="35">
        <f>IFERROR((VLOOKUP(Tabela3[[#This Row],[Moldador]],Tabela1[],5,)+(VLOOKUP(Tabela3[[#This Row],[Ajudante]],Tabela1[],5,))*3.5),0)</f>
        <v>99.95034583333333</v>
      </c>
      <c r="V1271" s="35">
        <f>IFERROR(Tabela3[[#This Row],[Custo M.O. / H]]/((Tabela3[[#This Row],[Realizado]]/Tabela3[[#This Row],[Qdt Peça Placa]])/Tabela3[[#This Row],[Tempo]]/24),)</f>
        <v>11.660873680555556</v>
      </c>
      <c r="W1271" s="35">
        <f>Tabela3[[#This Row],[Custo / Cx Moldada]]*Tabela3[[#This Row],[Qtde Cx Produzida]]</f>
        <v>23.321747361111111</v>
      </c>
      <c r="X1271" s="35">
        <f ca="1">Tabela3[[#This Row],[Aluminio Util]]*Tabela3[[#This Row],[Custo/Kg]]</f>
        <v>26.208000000000006</v>
      </c>
      <c r="Y1271" s="35">
        <f>IFERROR(VLOOKUP(Tabela3[[#This Row],[Data]],Tabela461213[],2,1)*(Tabela3[[#This Row],[Qtde Cx Produzida]]*Tabela3[[#This Row],[Qde macho / CX]]*Tabela3[[#This Row],[Peso Macho]]),)</f>
        <v>0</v>
      </c>
      <c r="Z1271" s="35">
        <f>IFERROR(Tabela3[[#This Row],[Qtde Oleo]]*(VLOOKUP(Tabela3[[#This Row],[Data]],CompraOleo[],3,TRUE))*1.05,0)</f>
        <v>3.4672557056359996</v>
      </c>
      <c r="AA1271" s="47">
        <f ca="1">(Tabela3[[#This Row],[Custo Oleo]]+Tabela3[[#This Row],[Custo Aluminio]]+Tabela3[[#This Row],[Custo M.O. Total]]+Tabela3[[#This Row],[Custo Machos]])</f>
        <v>52.997003066747112</v>
      </c>
      <c r="AB1271" s="47">
        <f ca="1">Tabela3[[#This Row],[Custo Total]]*Tabela3[[#This Row],[% Perda]]</f>
        <v>0</v>
      </c>
      <c r="AC1271" s="40">
        <f>IFERROR(VLOOKUP(Tabela3[[#This Row],[Produto]],Tabela2[],2,0),0)</f>
        <v>6</v>
      </c>
      <c r="AD1271" s="48">
        <f>IFERROR(VLOOKUP(Tabela3[[#This Row],[Produto]],Tabela2[],3,0),0)</f>
        <v>0.14000000000000001</v>
      </c>
      <c r="AE1271" s="48">
        <f>IFERROR(VLOOKUP(Tabela3[[#This Row],[Produto]],Tabela2[],4,0),0)</f>
        <v>1.488</v>
      </c>
      <c r="AF1271" s="48">
        <f>IFERROR(VLOOKUP(Tabela3[[#This Row],[Produto]],Tabela2[],5,0),0)</f>
        <v>0.58319999999999994</v>
      </c>
      <c r="AG1271" s="48">
        <f>IFERROR(VLOOKUP(Tabela3[[#This Row],[Produto]],Tabela2[],6,0),0)</f>
        <v>0</v>
      </c>
      <c r="AH1271" s="40">
        <f>IFERROR(VLOOKUP(Tabela3[[#This Row],[Produto]],Tabela2[],7,0),0)</f>
        <v>0</v>
      </c>
      <c r="AI1271" s="40">
        <f>IFERROR(VLOOKUP(Tabela3[[#This Row],[Produto]],Tabela2[],8,0),0)</f>
        <v>0</v>
      </c>
      <c r="AJ1271" s="35">
        <f ca="1">IFERROR(VLOOKUP(Tabela3[[#This Row],[Produto]],Tabela2[],13,0),0)</f>
        <v>15.600000000000001</v>
      </c>
      <c r="AK1271" s="48" t="str">
        <f>IFERROR(VLOOKUP(Tabela3[[#This Row],[Produto]],Tabela2[],14,0),0)</f>
        <v>Senun</v>
      </c>
      <c r="AL1271" s="40">
        <f>IFERROR(VLOOKUP(Tabela3[[#This Row],[Produto]],Tabela2[],15,0),0)</f>
        <v>0</v>
      </c>
      <c r="AM1271" s="36">
        <f ca="1">(Tabela3[[#This Row],[Custo Usinagem]]+Tabela3[[#This Row],[Custo / Pç]])*1.2</f>
        <v>5.299700306674711</v>
      </c>
      <c r="AN1271" s="36">
        <f ca="1">Tabela3[[#This Row],[Valor Mínimo Venda]]*1.15</f>
        <v>6.0946553526759173</v>
      </c>
      <c r="AO1271" s="36">
        <f ca="1">Tabela3[[#This Row],[Tabela 1]]*1.08</f>
        <v>6.5822277808899914</v>
      </c>
      <c r="AP1271" s="36">
        <f ca="1">Tabela3[[#This Row],[Tabela 2]]*1.15</f>
        <v>7.5695619480234893</v>
      </c>
    </row>
    <row r="1272" spans="1:42">
      <c r="A1272" s="9">
        <v>46171</v>
      </c>
      <c r="B1272" s="9" t="s">
        <v>226</v>
      </c>
      <c r="C1272" s="14">
        <v>9769</v>
      </c>
      <c r="D1272" s="6" t="s">
        <v>44</v>
      </c>
      <c r="E1272" s="6" t="s">
        <v>47</v>
      </c>
      <c r="F1272" s="6">
        <v>7</v>
      </c>
      <c r="G1272" s="15">
        <v>2.7777777777777776E-2</v>
      </c>
      <c r="H1272" s="16">
        <v>0</v>
      </c>
      <c r="I1272" s="35">
        <f ca="1">IFERROR(Tabela3[[#This Row],[Custo Total]]/Tabela3[[#This Row],[Aluminio Util]],0)</f>
        <v>28.008498430234901</v>
      </c>
      <c r="J1272" s="35">
        <f ca="1">Tabela3[[#This Row],[Custo Total]]/Tabela3[[#This Row],[Realizado]]</f>
        <v>6.4419546389540283</v>
      </c>
      <c r="K1272" s="37">
        <f>IFERROR(Tabela3[[#This Row],[Qtde Cx Produzida]]/Tabela3[[#This Row],[Tempo]]/24,0)</f>
        <v>10.5</v>
      </c>
      <c r="L1272" s="37">
        <f>Tabela3[[#This Row],[Qtde Cx Produzida]]*Tabela3[[#This Row],[Qdt Peça Placa]]</f>
        <v>28</v>
      </c>
      <c r="M1272" s="37">
        <f>Tabela3[[#This Row],[Previsto]]-Tabela3[[#This Row],[Perda Pçs]]</f>
        <v>28</v>
      </c>
      <c r="N1272" s="38">
        <f>IFERROR(Tabela3[[#This Row],[Perda Pçs]]/Tabela3[[#This Row],[Previsto]],0)</f>
        <v>0</v>
      </c>
      <c r="O1272" s="39">
        <f>IFERROR(IF(Tabela3[[#This Row],[Qtde Cx Produzida]] &lt;&gt; 0, Tabela3[[#This Row],[Tempo]] / Tabela3[[#This Row],[Qtde Cx Produzida]], 0),0)</f>
        <v>3.968253968253968E-3</v>
      </c>
      <c r="P1272" s="57">
        <f>IFERROR(Tabela3[[#This Row],[Perda Pçs]]/Tabela3[[#This Row],[Qdt Peça Placa]],0)</f>
        <v>0</v>
      </c>
      <c r="Q1272" s="37">
        <f>IFERROR(Tabela3[[#This Row],[Realizado]]*Tabela3[[#This Row],[Peso Util/Pç]],0)</f>
        <v>6.44</v>
      </c>
      <c r="R1272" s="37">
        <f>IFERROR(Tabela3[[#This Row],[Peso Total Galho]]*Tabela3[[#This Row],[Qtde Cx Produzida]]*1.055,0)</f>
        <v>12.022779999999999</v>
      </c>
      <c r="S1272" s="37">
        <f>(Tabela3[[#This Row],[Aluminio Bruto]]-Tabela3[[#This Row],[Aluminio Util]])*0.9</f>
        <v>5.0245019999999991</v>
      </c>
      <c r="T1272" s="37">
        <f>Tabela3[[#This Row],[Aluminio Bruto]]/OleoKGAluminio</f>
        <v>5.0579680006948093</v>
      </c>
      <c r="U1272" s="35">
        <f>IFERROR((VLOOKUP(Tabela3[[#This Row],[Moldador]],Tabela1[],5,)+(VLOOKUP(Tabela3[[#This Row],[Ajudante]],Tabela1[],5,))*3.5),0)</f>
        <v>99.95034583333333</v>
      </c>
      <c r="V1272" s="35">
        <f>IFERROR(Tabela3[[#This Row],[Custo M.O. / H]]/((Tabela3[[#This Row],[Realizado]]/Tabela3[[#This Row],[Qdt Peça Placa]])/Tabela3[[#This Row],[Tempo]]/24),)</f>
        <v>9.519080555555556</v>
      </c>
      <c r="W1272" s="35">
        <f>Tabela3[[#This Row],[Custo / Cx Moldada]]*Tabela3[[#This Row],[Qtde Cx Produzida]]</f>
        <v>66.633563888888887</v>
      </c>
      <c r="X1272" s="35">
        <f ca="1">Tabela3[[#This Row],[Aluminio Util]]*Tabela3[[#This Row],[Custo/Kg]]</f>
        <v>100.46400000000001</v>
      </c>
      <c r="Y1272" s="35">
        <f>IFERROR(VLOOKUP(Tabela3[[#This Row],[Data]],Tabela461213[],2,1)*(Tabela3[[#This Row],[Qtde Cx Produzida]]*Tabela3[[#This Row],[Qde macho / CX]]*Tabela3[[#This Row],[Peso Macho]]),)</f>
        <v>0</v>
      </c>
      <c r="Z1272" s="35">
        <f>IFERROR(Tabela3[[#This Row],[Qtde Oleo]]*(VLOOKUP(Tabela3[[#This Row],[Data]],CompraOleo[],3,TRUE))*1.05,0)</f>
        <v>13.277166001823876</v>
      </c>
      <c r="AA1272" s="47">
        <f ca="1">(Tabela3[[#This Row],[Custo Oleo]]+Tabela3[[#This Row],[Custo Aluminio]]+Tabela3[[#This Row],[Custo M.O. Total]]+Tabela3[[#This Row],[Custo Machos]])</f>
        <v>180.37472989071279</v>
      </c>
      <c r="AB1272" s="47">
        <f ca="1">Tabela3[[#This Row],[Custo Total]]*Tabela3[[#This Row],[% Perda]]</f>
        <v>0</v>
      </c>
      <c r="AC1272" s="40">
        <f>IFERROR(VLOOKUP(Tabela3[[#This Row],[Produto]],Tabela2[],2,0),0)</f>
        <v>4</v>
      </c>
      <c r="AD1272" s="48">
        <f>IFERROR(VLOOKUP(Tabela3[[#This Row],[Produto]],Tabela2[],3,0),0)</f>
        <v>0.23</v>
      </c>
      <c r="AE1272" s="48">
        <f>IFERROR(VLOOKUP(Tabela3[[#This Row],[Produto]],Tabela2[],4,0),0)</f>
        <v>1.6279999999999999</v>
      </c>
      <c r="AF1272" s="48">
        <f>IFERROR(VLOOKUP(Tabela3[[#This Row],[Produto]],Tabela2[],5,0),0)</f>
        <v>0.63719999999999988</v>
      </c>
      <c r="AG1272" s="48">
        <f>IFERROR(VLOOKUP(Tabela3[[#This Row],[Produto]],Tabela2[],6,0),0)</f>
        <v>0</v>
      </c>
      <c r="AH1272" s="40">
        <f>IFERROR(VLOOKUP(Tabela3[[#This Row],[Produto]],Tabela2[],7,0),0)</f>
        <v>0</v>
      </c>
      <c r="AI1272" s="40">
        <f>IFERROR(VLOOKUP(Tabela3[[#This Row],[Produto]],Tabela2[],8,0),0)</f>
        <v>0</v>
      </c>
      <c r="AJ1272" s="35">
        <f ca="1">IFERROR(VLOOKUP(Tabela3[[#This Row],[Produto]],Tabela2[],13,0),0)</f>
        <v>15.600000000000001</v>
      </c>
      <c r="AK1272" s="48" t="str">
        <f>IFERROR(VLOOKUP(Tabela3[[#This Row],[Produto]],Tabela2[],14,0),0)</f>
        <v>Senun</v>
      </c>
      <c r="AL1272" s="40">
        <f>IFERROR(VLOOKUP(Tabela3[[#This Row],[Produto]],Tabela2[],15,0),0)</f>
        <v>4</v>
      </c>
      <c r="AM1272" s="36">
        <f ca="1">(Tabela3[[#This Row],[Custo Usinagem]]+Tabela3[[#This Row],[Custo / Pç]])*1.2</f>
        <v>12.530345566744833</v>
      </c>
      <c r="AN1272" s="36">
        <f ca="1">Tabela3[[#This Row],[Valor Mínimo Venda]]*1.15</f>
        <v>14.409897401756556</v>
      </c>
      <c r="AO1272" s="36">
        <f ca="1">Tabela3[[#This Row],[Tabela 1]]*1.08</f>
        <v>15.562689193897082</v>
      </c>
      <c r="AP1272" s="36">
        <f ca="1">Tabela3[[#This Row],[Tabela 2]]*1.15</f>
        <v>17.897092572981641</v>
      </c>
    </row>
    <row r="1273" spans="1:42">
      <c r="A1273" s="9">
        <v>46171</v>
      </c>
      <c r="B1273" s="9" t="s">
        <v>278</v>
      </c>
      <c r="C1273" s="14">
        <v>9768</v>
      </c>
      <c r="D1273" s="6" t="s">
        <v>46</v>
      </c>
      <c r="E1273" s="6" t="s">
        <v>50</v>
      </c>
      <c r="F1273" s="6">
        <v>6</v>
      </c>
      <c r="G1273" s="15">
        <v>3.0555555555555555E-2</v>
      </c>
      <c r="H1273" s="16">
        <v>13</v>
      </c>
      <c r="I1273" s="35">
        <f ca="1">IFERROR(Tabela3[[#This Row],[Custo Total]]/Tabela3[[#This Row],[Aluminio Util]],0)</f>
        <v>54.459435237495057</v>
      </c>
      <c r="J1273" s="35">
        <f ca="1">Tabela3[[#This Row],[Custo Total]]/Tabela3[[#This Row],[Realizado]]</f>
        <v>7.6243209332493089</v>
      </c>
      <c r="K1273" s="37">
        <f>IFERROR(Tabela3[[#This Row],[Qtde Cx Produzida]]/Tabela3[[#This Row],[Tempo]]/24,0)</f>
        <v>8.1818181818181817</v>
      </c>
      <c r="L1273" s="37">
        <f>Tabela3[[#This Row],[Qtde Cx Produzida]]*Tabela3[[#This Row],[Qdt Peça Placa]]</f>
        <v>36</v>
      </c>
      <c r="M1273" s="37">
        <f>Tabela3[[#This Row],[Previsto]]-Tabela3[[#This Row],[Perda Pçs]]</f>
        <v>23</v>
      </c>
      <c r="N1273" s="38">
        <f>IFERROR(Tabela3[[#This Row],[Perda Pçs]]/Tabela3[[#This Row],[Previsto]],0)</f>
        <v>0.3611111111111111</v>
      </c>
      <c r="O1273" s="39">
        <f>IFERROR(IF(Tabela3[[#This Row],[Qtde Cx Produzida]] &lt;&gt; 0, Tabela3[[#This Row],[Tempo]] / Tabela3[[#This Row],[Qtde Cx Produzida]], 0),0)</f>
        <v>5.0925925925925921E-3</v>
      </c>
      <c r="P1273" s="57">
        <f>IFERROR(Tabela3[[#This Row],[Perda Pçs]]/Tabela3[[#This Row],[Qdt Peça Placa]],0)</f>
        <v>2.1666666666666665</v>
      </c>
      <c r="Q1273" s="37">
        <f>IFERROR(Tabela3[[#This Row],[Realizado]]*Tabela3[[#This Row],[Peso Util/Pç]],0)</f>
        <v>3.22</v>
      </c>
      <c r="R1273" s="37">
        <f>IFERROR(Tabela3[[#This Row],[Peso Total Galho]]*Tabela3[[#This Row],[Qtde Cx Produzida]]*1.055,0)</f>
        <v>9.4190400000000007</v>
      </c>
      <c r="S1273" s="37">
        <f>(Tabela3[[#This Row],[Aluminio Bruto]]-Tabela3[[#This Row],[Aluminio Util]])*0.9</f>
        <v>5.5791360000000001</v>
      </c>
      <c r="T1273" s="37">
        <f>Tabela3[[#This Row],[Aluminio Bruto]]/OleoKGAluminio</f>
        <v>3.9625779492982862</v>
      </c>
      <c r="U1273" s="35">
        <f>IFERROR((VLOOKUP(Tabela3[[#This Row],[Moldador]],Tabela1[],5,)+(VLOOKUP(Tabela3[[#This Row],[Ajudante]],Tabela1[],5,))*3.5),0)</f>
        <v>99.95034583333333</v>
      </c>
      <c r="V1273" s="35">
        <f>IFERROR(Tabela3[[#This Row],[Custo M.O. / H]]/((Tabela3[[#This Row],[Realizado]]/Tabela3[[#This Row],[Qdt Peça Placa]])/Tabela3[[#This Row],[Tempo]]/24),)</f>
        <v>19.120935724637679</v>
      </c>
      <c r="W1273" s="35">
        <f>Tabela3[[#This Row],[Custo / Cx Moldada]]*Tabela3[[#This Row],[Qtde Cx Produzida]]</f>
        <v>114.72561434782608</v>
      </c>
      <c r="X1273" s="35">
        <f ca="1">Tabela3[[#This Row],[Aluminio Util]]*Tabela3[[#This Row],[Custo/Kg]]</f>
        <v>50.232000000000006</v>
      </c>
      <c r="Y1273" s="35">
        <f>IFERROR(VLOOKUP(Tabela3[[#This Row],[Data]],Tabela461213[],2,1)*(Tabela3[[#This Row],[Qtde Cx Produzida]]*Tabela3[[#This Row],[Qde macho / CX]]*Tabela3[[#This Row],[Peso Macho]]),)</f>
        <v>0</v>
      </c>
      <c r="Z1273" s="35">
        <f>IFERROR(Tabela3[[#This Row],[Qtde Oleo]]*(VLOOKUP(Tabela3[[#This Row],[Data]],CompraOleo[],3,TRUE))*1.05,0)</f>
        <v>10.401767116908003</v>
      </c>
      <c r="AA1273" s="47">
        <f ca="1">(Tabela3[[#This Row],[Custo Oleo]]+Tabela3[[#This Row],[Custo Aluminio]]+Tabela3[[#This Row],[Custo M.O. Total]]+Tabela3[[#This Row],[Custo Machos]])</f>
        <v>175.3593814647341</v>
      </c>
      <c r="AB1273" s="47">
        <f ca="1">Tabela3[[#This Row],[Custo Total]]*Tabela3[[#This Row],[% Perda]]</f>
        <v>63.324221084487313</v>
      </c>
      <c r="AC1273" s="40">
        <f>IFERROR(VLOOKUP(Tabela3[[#This Row],[Produto]],Tabela2[],2,0),0)</f>
        <v>6</v>
      </c>
      <c r="AD1273" s="48">
        <f>IFERROR(VLOOKUP(Tabela3[[#This Row],[Produto]],Tabela2[],3,0),0)</f>
        <v>0.14000000000000001</v>
      </c>
      <c r="AE1273" s="48">
        <f>IFERROR(VLOOKUP(Tabela3[[#This Row],[Produto]],Tabela2[],4,0),0)</f>
        <v>1.488</v>
      </c>
      <c r="AF1273" s="48">
        <f>IFERROR(VLOOKUP(Tabela3[[#This Row],[Produto]],Tabela2[],5,0),0)</f>
        <v>0.58319999999999994</v>
      </c>
      <c r="AG1273" s="48">
        <f>IFERROR(VLOOKUP(Tabela3[[#This Row],[Produto]],Tabela2[],6,0),0)</f>
        <v>0</v>
      </c>
      <c r="AH1273" s="40">
        <f>IFERROR(VLOOKUP(Tabela3[[#This Row],[Produto]],Tabela2[],7,0),0)</f>
        <v>0</v>
      </c>
      <c r="AI1273" s="40">
        <f>IFERROR(VLOOKUP(Tabela3[[#This Row],[Produto]],Tabela2[],8,0),0)</f>
        <v>0</v>
      </c>
      <c r="AJ1273" s="35">
        <f ca="1">IFERROR(VLOOKUP(Tabela3[[#This Row],[Produto]],Tabela2[],13,0),0)</f>
        <v>15.600000000000001</v>
      </c>
      <c r="AK1273" s="48" t="str">
        <f>IFERROR(VLOOKUP(Tabela3[[#This Row],[Produto]],Tabela2[],14,0),0)</f>
        <v>Senun</v>
      </c>
      <c r="AL1273" s="40">
        <f>IFERROR(VLOOKUP(Tabela3[[#This Row],[Produto]],Tabela2[],15,0),0)</f>
        <v>0</v>
      </c>
      <c r="AM1273" s="36">
        <f ca="1">(Tabela3[[#This Row],[Custo Usinagem]]+Tabela3[[#This Row],[Custo / Pç]])*1.2</f>
        <v>9.1491851198991707</v>
      </c>
      <c r="AN1273" s="36">
        <f ca="1">Tabela3[[#This Row],[Valor Mínimo Venda]]*1.15</f>
        <v>10.521562887884045</v>
      </c>
      <c r="AO1273" s="36">
        <f ca="1">Tabela3[[#This Row],[Tabela 1]]*1.08</f>
        <v>11.36328791891477</v>
      </c>
      <c r="AP1273" s="36">
        <f ca="1">Tabela3[[#This Row],[Tabela 2]]*1.15</f>
        <v>13.067781106751983</v>
      </c>
    </row>
    <row r="1274" spans="1:42">
      <c r="A1274" s="9">
        <v>46171</v>
      </c>
      <c r="B1274" s="9" t="s">
        <v>253</v>
      </c>
      <c r="C1274" s="14">
        <v>9773</v>
      </c>
      <c r="D1274" s="6" t="s">
        <v>44</v>
      </c>
      <c r="E1274" s="6" t="s">
        <v>47</v>
      </c>
      <c r="F1274" s="6">
        <v>32</v>
      </c>
      <c r="G1274" s="15">
        <v>0.14027777777777778</v>
      </c>
      <c r="H1274" s="16">
        <v>15</v>
      </c>
      <c r="I1274" s="35">
        <f ca="1">IFERROR(Tabela3[[#This Row],[Custo Total]]/Tabela3[[#This Row],[Aluminio Util]],0)</f>
        <v>57.408695813721565</v>
      </c>
      <c r="J1274" s="35">
        <f ca="1">Tabela3[[#This Row],[Custo Total]]/Tabela3[[#This Row],[Realizado]]</f>
        <v>60.279130604407648</v>
      </c>
      <c r="K1274" s="37">
        <f>IFERROR(Tabela3[[#This Row],[Qtde Cx Produzida]]/Tabela3[[#This Row],[Tempo]]/24,0)</f>
        <v>9.5049504950495045</v>
      </c>
      <c r="L1274" s="37">
        <f>Tabela3[[#This Row],[Qtde Cx Produzida]]*Tabela3[[#This Row],[Qdt Peça Placa]]</f>
        <v>32</v>
      </c>
      <c r="M1274" s="37">
        <f>Tabela3[[#This Row],[Previsto]]-Tabela3[[#This Row],[Perda Pçs]]</f>
        <v>17</v>
      </c>
      <c r="N1274" s="38">
        <f>IFERROR(Tabela3[[#This Row],[Perda Pçs]]/Tabela3[[#This Row],[Previsto]],0)</f>
        <v>0.46875</v>
      </c>
      <c r="O1274" s="39">
        <f>IFERROR(IF(Tabela3[[#This Row],[Qtde Cx Produzida]] &lt;&gt; 0, Tabela3[[#This Row],[Tempo]] / Tabela3[[#This Row],[Qtde Cx Produzida]], 0),0)</f>
        <v>4.3836805555555556E-3</v>
      </c>
      <c r="P1274" s="57">
        <f>IFERROR(Tabela3[[#This Row],[Perda Pçs]]/Tabela3[[#This Row],[Qdt Peça Placa]],0)</f>
        <v>15</v>
      </c>
      <c r="Q1274" s="37">
        <f>IFERROR(Tabela3[[#This Row],[Realizado]]*Tabela3[[#This Row],[Peso Util/Pç]],0)</f>
        <v>17.850000000000001</v>
      </c>
      <c r="R1274" s="37">
        <f>IFERROR(Tabela3[[#This Row],[Peso Total Galho]]*Tabela3[[#This Row],[Qtde Cx Produzida]]*1.055,0)</f>
        <v>69.883199999999988</v>
      </c>
      <c r="S1274" s="37">
        <f>(Tabela3[[#This Row],[Aluminio Bruto]]-Tabela3[[#This Row],[Aluminio Util]])*0.9</f>
        <v>46.829879999999989</v>
      </c>
      <c r="T1274" s="37">
        <f>Tabela3[[#This Row],[Aluminio Bruto]]/OleoKGAluminio</f>
        <v>29.399771881890501</v>
      </c>
      <c r="U1274" s="35">
        <f>IFERROR((VLOOKUP(Tabela3[[#This Row],[Moldador]],Tabela1[],5,)+(VLOOKUP(Tabela3[[#This Row],[Ajudante]],Tabela1[],5,))*3.5),0)</f>
        <v>99.95034583333333</v>
      </c>
      <c r="V1274" s="35">
        <f>IFERROR(Tabela3[[#This Row],[Custo M.O. / H]]/((Tabela3[[#This Row],[Realizado]]/Tabela3[[#This Row],[Qdt Peça Placa]])/Tabela3[[#This Row],[Tempo]]/24),)</f>
        <v>19.794088096405229</v>
      </c>
      <c r="W1274" s="35">
        <f>Tabela3[[#This Row],[Custo / Cx Moldada]]*Tabela3[[#This Row],[Qtde Cx Produzida]]</f>
        <v>633.41081908496733</v>
      </c>
      <c r="X1274" s="35">
        <f ca="1">Tabela3[[#This Row],[Aluminio Util]]*Tabela3[[#This Row],[Custo/Kg]]</f>
        <v>314.16000000000003</v>
      </c>
      <c r="Y1274" s="35">
        <f>IFERROR(VLOOKUP(Tabela3[[#This Row],[Data]],Tabela461213[],2,1)*(Tabela3[[#This Row],[Qtde Cx Produzida]]*Tabela3[[#This Row],[Qde macho / CX]]*Tabela3[[#This Row],[Peso Macho]]),)</f>
        <v>0</v>
      </c>
      <c r="Z1274" s="35">
        <f>IFERROR(Tabela3[[#This Row],[Qtde Oleo]]*(VLOOKUP(Tabela3[[#This Row],[Data]],CompraOleo[],3,TRUE))*1.05,0)</f>
        <v>77.174401189962566</v>
      </c>
      <c r="AA1274" s="47">
        <f ca="1">(Tabela3[[#This Row],[Custo Oleo]]+Tabela3[[#This Row],[Custo Aluminio]]+Tabela3[[#This Row],[Custo M.O. Total]]+Tabela3[[#This Row],[Custo Machos]])</f>
        <v>1024.74522027493</v>
      </c>
      <c r="AB1274" s="47">
        <f ca="1">Tabela3[[#This Row],[Custo Total]]*Tabela3[[#This Row],[% Perda]]</f>
        <v>480.34932200387345</v>
      </c>
      <c r="AC1274" s="40">
        <f>IFERROR(VLOOKUP(Tabela3[[#This Row],[Produto]],Tabela2[],2,0),0)</f>
        <v>1</v>
      </c>
      <c r="AD1274" s="48">
        <f>IFERROR(VLOOKUP(Tabela3[[#This Row],[Produto]],Tabela2[],3,0),0)</f>
        <v>1.05</v>
      </c>
      <c r="AE1274" s="48">
        <f>IFERROR(VLOOKUP(Tabela3[[#This Row],[Produto]],Tabela2[],4,0),0)</f>
        <v>2.0699999999999998</v>
      </c>
      <c r="AF1274" s="48">
        <f>IFERROR(VLOOKUP(Tabela3[[#This Row],[Produto]],Tabela2[],5,0),0)</f>
        <v>0.91799999999999982</v>
      </c>
      <c r="AG1274" s="48">
        <f>IFERROR(VLOOKUP(Tabela3[[#This Row],[Produto]],Tabela2[],6,0),0)</f>
        <v>0</v>
      </c>
      <c r="AH1274" s="40">
        <f>IFERROR(VLOOKUP(Tabela3[[#This Row],[Produto]],Tabela2[],7,0),0)</f>
        <v>0</v>
      </c>
      <c r="AI1274" s="40">
        <f>IFERROR(VLOOKUP(Tabela3[[#This Row],[Produto]],Tabela2[],8,0),0)</f>
        <v>0</v>
      </c>
      <c r="AJ1274" s="35">
        <f ca="1">IFERROR(VLOOKUP(Tabela3[[#This Row],[Produto]],Tabela2[],13,0),0)</f>
        <v>17.600000000000001</v>
      </c>
      <c r="AK1274" s="48" t="str">
        <f>IFERROR(VLOOKUP(Tabela3[[#This Row],[Produto]],Tabela2[],14,0),0)</f>
        <v>Protec</v>
      </c>
      <c r="AL1274" s="40">
        <f>IFERROR(VLOOKUP(Tabela3[[#This Row],[Produto]],Tabela2[],15,0),0)</f>
        <v>0</v>
      </c>
      <c r="AM1274" s="36">
        <f ca="1">(Tabela3[[#This Row],[Custo Usinagem]]+Tabela3[[#This Row],[Custo / Pç]])*1.2</f>
        <v>72.334956725289175</v>
      </c>
      <c r="AN1274" s="36">
        <f ca="1">Tabela3[[#This Row],[Valor Mínimo Venda]]*1.15</f>
        <v>83.185200234082544</v>
      </c>
      <c r="AO1274" s="36">
        <f ca="1">Tabela3[[#This Row],[Tabela 1]]*1.08</f>
        <v>89.84001625280915</v>
      </c>
      <c r="AP1274" s="36">
        <f ca="1">Tabela3[[#This Row],[Tabela 2]]*1.15</f>
        <v>103.31601869073052</v>
      </c>
    </row>
    <row r="1275" spans="1:42">
      <c r="A1275" s="9">
        <v>46171</v>
      </c>
      <c r="B1275" s="9" t="s">
        <v>156</v>
      </c>
      <c r="C1275" s="14">
        <v>9770</v>
      </c>
      <c r="D1275" s="6" t="s">
        <v>46</v>
      </c>
      <c r="E1275" s="6" t="s">
        <v>50</v>
      </c>
      <c r="F1275" s="6">
        <v>10</v>
      </c>
      <c r="G1275" s="15">
        <v>6.6666666666666666E-2</v>
      </c>
      <c r="H1275" s="16">
        <v>0</v>
      </c>
      <c r="I1275" s="35">
        <f ca="1">IFERROR(Tabela3[[#This Row],[Custo Total]]/Tabela3[[#This Row],[Aluminio Util]],0)</f>
        <v>32.863707504105797</v>
      </c>
      <c r="J1275" s="35">
        <f ca="1">Tabela3[[#This Row],[Custo Total]]/Tabela3[[#This Row],[Realizado]]</f>
        <v>17.286310147159647</v>
      </c>
      <c r="K1275" s="37">
        <f>IFERROR(Tabela3[[#This Row],[Qtde Cx Produzida]]/Tabela3[[#This Row],[Tempo]]/24,0)</f>
        <v>6.25</v>
      </c>
      <c r="L1275" s="37">
        <f>Tabela3[[#This Row],[Qtde Cx Produzida]]*Tabela3[[#This Row],[Qdt Peça Placa]]</f>
        <v>20</v>
      </c>
      <c r="M1275" s="37">
        <f>Tabela3[[#This Row],[Previsto]]-Tabela3[[#This Row],[Perda Pçs]]</f>
        <v>20</v>
      </c>
      <c r="N1275" s="38">
        <f>IFERROR(Tabela3[[#This Row],[Perda Pçs]]/Tabela3[[#This Row],[Previsto]],0)</f>
        <v>0</v>
      </c>
      <c r="O1275" s="39">
        <f>IFERROR(IF(Tabela3[[#This Row],[Qtde Cx Produzida]] &lt;&gt; 0, Tabela3[[#This Row],[Tempo]] / Tabela3[[#This Row],[Qtde Cx Produzida]], 0),0)</f>
        <v>6.6666666666666662E-3</v>
      </c>
      <c r="P1275" s="57">
        <f>IFERROR(Tabela3[[#This Row],[Perda Pçs]]/Tabela3[[#This Row],[Qdt Peça Placa]],0)</f>
        <v>0</v>
      </c>
      <c r="Q1275" s="37">
        <f>IFERROR(Tabela3[[#This Row],[Realizado]]*Tabela3[[#This Row],[Peso Util/Pç]],0)</f>
        <v>10.52</v>
      </c>
      <c r="R1275" s="37">
        <f>IFERROR(Tabela3[[#This Row],[Peso Total Galho]]*Tabela3[[#This Row],[Qtde Cx Produzida]]*1.055,0)</f>
        <v>19.644099999999998</v>
      </c>
      <c r="S1275" s="37">
        <f>(Tabela3[[#This Row],[Aluminio Bruto]]-Tabela3[[#This Row],[Aluminio Util]])*0.9</f>
        <v>8.211689999999999</v>
      </c>
      <c r="T1275" s="37">
        <f>Tabela3[[#This Row],[Aluminio Bruto]]/OleoKGAluminio</f>
        <v>8.264247470422724</v>
      </c>
      <c r="U1275" s="35">
        <f>IFERROR((VLOOKUP(Tabela3[[#This Row],[Moldador]],Tabela1[],5,)+(VLOOKUP(Tabela3[[#This Row],[Ajudante]],Tabela1[],5,))*3.5),0)</f>
        <v>99.95034583333333</v>
      </c>
      <c r="V1275" s="35">
        <f>IFERROR(Tabela3[[#This Row],[Custo M.O. / H]]/((Tabela3[[#This Row],[Realizado]]/Tabela3[[#This Row],[Qdt Peça Placa]])/Tabela3[[#This Row],[Tempo]]/24),)</f>
        <v>15.992055333333333</v>
      </c>
      <c r="W1275" s="35">
        <f>Tabela3[[#This Row],[Custo / Cx Moldada]]*Tabela3[[#This Row],[Qtde Cx Produzida]]</f>
        <v>159.92055333333332</v>
      </c>
      <c r="X1275" s="35">
        <f ca="1">Tabela3[[#This Row],[Aluminio Util]]*Tabela3[[#This Row],[Custo/Kg]]</f>
        <v>164.11199999999999</v>
      </c>
      <c r="Y1275" s="35">
        <f>IFERROR(VLOOKUP(Tabela3[[#This Row],[Data]],Tabela461213[],2,1)*(Tabela3[[#This Row],[Qtde Cx Produzida]]*Tabela3[[#This Row],[Qde macho / CX]]*Tabela3[[#This Row],[Peso Macho]]),)</f>
        <v>0</v>
      </c>
      <c r="Z1275" s="35">
        <f>IFERROR(Tabela3[[#This Row],[Qtde Oleo]]*(VLOOKUP(Tabela3[[#This Row],[Data]],CompraOleo[],3,TRUE))*1.05,0)</f>
        <v>21.693649609859651</v>
      </c>
      <c r="AA1275" s="47">
        <f ca="1">(Tabela3[[#This Row],[Custo Oleo]]+Tabela3[[#This Row],[Custo Aluminio]]+Tabela3[[#This Row],[Custo M.O. Total]]+Tabela3[[#This Row],[Custo Machos]])</f>
        <v>345.72620294319296</v>
      </c>
      <c r="AB1275" s="47">
        <f ca="1">Tabela3[[#This Row],[Custo Total]]*Tabela3[[#This Row],[% Perda]]</f>
        <v>0</v>
      </c>
      <c r="AC1275" s="40">
        <f>IFERROR(VLOOKUP(Tabela3[[#This Row],[Produto]],Tabela2[],2,0),0)</f>
        <v>2</v>
      </c>
      <c r="AD1275" s="48">
        <f>IFERROR(VLOOKUP(Tabela3[[#This Row],[Produto]],Tabela2[],3,0),0)</f>
        <v>0.52600000000000002</v>
      </c>
      <c r="AE1275" s="48">
        <f>IFERROR(VLOOKUP(Tabela3[[#This Row],[Produto]],Tabela2[],4,0),0)</f>
        <v>1.8620000000000001</v>
      </c>
      <c r="AF1275" s="48">
        <f>IFERROR(VLOOKUP(Tabela3[[#This Row],[Produto]],Tabela2[],5,0),0)</f>
        <v>0.72900000000000009</v>
      </c>
      <c r="AG1275" s="48">
        <f>IFERROR(VLOOKUP(Tabela3[[#This Row],[Produto]],Tabela2[],6,0),0)</f>
        <v>0</v>
      </c>
      <c r="AH1275" s="40">
        <f>IFERROR(VLOOKUP(Tabela3[[#This Row],[Produto]],Tabela2[],7,0),0)</f>
        <v>0</v>
      </c>
      <c r="AI1275" s="40">
        <f>IFERROR(VLOOKUP(Tabela3[[#This Row],[Produto]],Tabela2[],8,0),0)</f>
        <v>0</v>
      </c>
      <c r="AJ1275" s="35">
        <f ca="1">IFERROR(VLOOKUP(Tabela3[[#This Row],[Produto]],Tabela2[],13,0),0)</f>
        <v>15.600000000000001</v>
      </c>
      <c r="AK1275" s="48" t="str">
        <f>IFERROR(VLOOKUP(Tabela3[[#This Row],[Produto]],Tabela2[],14,0),0)</f>
        <v>Senun</v>
      </c>
      <c r="AL1275" s="40">
        <f>IFERROR(VLOOKUP(Tabela3[[#This Row],[Produto]],Tabela2[],15,0),0)</f>
        <v>0</v>
      </c>
      <c r="AM1275" s="36">
        <f ca="1">(Tabela3[[#This Row],[Custo Usinagem]]+Tabela3[[#This Row],[Custo / Pç]])*1.2</f>
        <v>20.743572176591574</v>
      </c>
      <c r="AN1275" s="36">
        <f ca="1">Tabela3[[#This Row],[Valor Mínimo Venda]]*1.15</f>
        <v>23.855108003080307</v>
      </c>
      <c r="AO1275" s="36">
        <f ca="1">Tabela3[[#This Row],[Tabela 1]]*1.08</f>
        <v>25.763516643326735</v>
      </c>
      <c r="AP1275" s="36">
        <f ca="1">Tabela3[[#This Row],[Tabela 2]]*1.15</f>
        <v>29.628044139825743</v>
      </c>
    </row>
    <row r="1276" spans="1:42">
      <c r="A1276" s="9">
        <v>46171</v>
      </c>
      <c r="B1276" s="9" t="s">
        <v>145</v>
      </c>
      <c r="C1276" s="14">
        <v>9771</v>
      </c>
      <c r="D1276" s="6" t="s">
        <v>46</v>
      </c>
      <c r="E1276" s="6" t="s">
        <v>50</v>
      </c>
      <c r="F1276" s="6">
        <v>5</v>
      </c>
      <c r="G1276" s="15">
        <v>2.9166666666666667E-2</v>
      </c>
      <c r="H1276" s="16">
        <v>0</v>
      </c>
      <c r="I1276" s="35">
        <f ca="1">IFERROR(Tabela3[[#This Row],[Custo Total]]/Tabela3[[#This Row],[Aluminio Util]],0)</f>
        <v>24.562356324500218</v>
      </c>
      <c r="J1276" s="35">
        <f ca="1">Tabela3[[#This Row],[Custo Total]]/Tabela3[[#This Row],[Realizado]]</f>
        <v>24.906229313043223</v>
      </c>
      <c r="K1276" s="37">
        <f>IFERROR(Tabela3[[#This Row],[Qtde Cx Produzida]]/Tabela3[[#This Row],[Tempo]]/24,0)</f>
        <v>7.1428571428571423</v>
      </c>
      <c r="L1276" s="37">
        <f>Tabela3[[#This Row],[Qtde Cx Produzida]]*Tabela3[[#This Row],[Qdt Peça Placa]]</f>
        <v>10</v>
      </c>
      <c r="M1276" s="37">
        <f>Tabela3[[#This Row],[Previsto]]-Tabela3[[#This Row],[Perda Pçs]]</f>
        <v>10</v>
      </c>
      <c r="N1276" s="38">
        <f>IFERROR(Tabela3[[#This Row],[Perda Pçs]]/Tabela3[[#This Row],[Previsto]],0)</f>
        <v>0</v>
      </c>
      <c r="O1276" s="39">
        <f>IFERROR(IF(Tabela3[[#This Row],[Qtde Cx Produzida]] &lt;&gt; 0, Tabela3[[#This Row],[Tempo]] / Tabela3[[#This Row],[Qtde Cx Produzida]], 0),0)</f>
        <v>5.8333333333333336E-3</v>
      </c>
      <c r="P1276" s="57">
        <f>IFERROR(Tabela3[[#This Row],[Perda Pçs]]/Tabela3[[#This Row],[Qdt Peça Placa]],0)</f>
        <v>0</v>
      </c>
      <c r="Q1276" s="37">
        <f>IFERROR(Tabela3[[#This Row],[Realizado]]*Tabela3[[#This Row],[Peso Util/Pç]],0)</f>
        <v>10.14</v>
      </c>
      <c r="R1276" s="37">
        <f>IFERROR(Tabela3[[#This Row],[Peso Total Galho]]*Tabela3[[#This Row],[Qtde Cx Produzida]]*1.055,0)</f>
        <v>18.937249999999999</v>
      </c>
      <c r="S1276" s="37">
        <f>(Tabela3[[#This Row],[Aluminio Bruto]]-Tabela3[[#This Row],[Aluminio Util]])*0.9</f>
        <v>7.9175249999999986</v>
      </c>
      <c r="T1276" s="37">
        <f>Tabela3[[#This Row],[Aluminio Bruto]]/OleoKGAluminio</f>
        <v>7.966876589370993</v>
      </c>
      <c r="U1276" s="35">
        <f>IFERROR((VLOOKUP(Tabela3[[#This Row],[Moldador]],Tabela1[],5,)+(VLOOKUP(Tabela3[[#This Row],[Ajudante]],Tabela1[],5,))*3.5),0)</f>
        <v>99.95034583333333</v>
      </c>
      <c r="V1276" s="35">
        <f>IFERROR(Tabela3[[#This Row],[Custo M.O. / H]]/((Tabela3[[#This Row],[Realizado]]/Tabela3[[#This Row],[Qdt Peça Placa]])/Tabela3[[#This Row],[Tempo]]/24),)</f>
        <v>13.993048416666667</v>
      </c>
      <c r="W1276" s="35">
        <f>Tabela3[[#This Row],[Custo / Cx Moldada]]*Tabela3[[#This Row],[Qtde Cx Produzida]]</f>
        <v>69.965242083333337</v>
      </c>
      <c r="X1276" s="35">
        <f ca="1">Tabela3[[#This Row],[Aluminio Util]]*Tabela3[[#This Row],[Custo/Kg]]</f>
        <v>158.18400000000003</v>
      </c>
      <c r="Y1276" s="35">
        <f>IFERROR(VLOOKUP(Tabela3[[#This Row],[Data]],Tabela461213[],2,1)*(Tabela3[[#This Row],[Qtde Cx Produzida]]*Tabela3[[#This Row],[Qde macho / CX]]*Tabela3[[#This Row],[Peso Macho]]),)</f>
        <v>0</v>
      </c>
      <c r="Z1276" s="35">
        <f>IFERROR(Tabela3[[#This Row],[Qtde Oleo]]*(VLOOKUP(Tabela3[[#This Row],[Data]],CompraOleo[],3,TRUE))*1.05,0)</f>
        <v>20.913051047098858</v>
      </c>
      <c r="AA1276" s="47">
        <f ca="1">(Tabela3[[#This Row],[Custo Oleo]]+Tabela3[[#This Row],[Custo Aluminio]]+Tabela3[[#This Row],[Custo M.O. Total]]+Tabela3[[#This Row],[Custo Machos]])</f>
        <v>249.06229313043224</v>
      </c>
      <c r="AB1276" s="47">
        <f ca="1">Tabela3[[#This Row],[Custo Total]]*Tabela3[[#This Row],[% Perda]]</f>
        <v>0</v>
      </c>
      <c r="AC1276" s="40">
        <f>IFERROR(VLOOKUP(Tabela3[[#This Row],[Produto]],Tabela2[],2,0),0)</f>
        <v>2</v>
      </c>
      <c r="AD1276" s="48">
        <f>IFERROR(VLOOKUP(Tabela3[[#This Row],[Produto]],Tabela2[],3,0),0)</f>
        <v>1.014</v>
      </c>
      <c r="AE1276" s="48">
        <f>IFERROR(VLOOKUP(Tabela3[[#This Row],[Produto]],Tabela2[],4,0),0)</f>
        <v>3.59</v>
      </c>
      <c r="AF1276" s="48">
        <f>IFERROR(VLOOKUP(Tabela3[[#This Row],[Produto]],Tabela2[],5,0),0)</f>
        <v>1.4057999999999999</v>
      </c>
      <c r="AG1276" s="48">
        <f>IFERROR(VLOOKUP(Tabela3[[#This Row],[Produto]],Tabela2[],6,0),0)</f>
        <v>0</v>
      </c>
      <c r="AH1276" s="40">
        <f>IFERROR(VLOOKUP(Tabela3[[#This Row],[Produto]],Tabela2[],7,0),0)</f>
        <v>0</v>
      </c>
      <c r="AI1276" s="40">
        <f>IFERROR(VLOOKUP(Tabela3[[#This Row],[Produto]],Tabela2[],8,0),0)</f>
        <v>0</v>
      </c>
      <c r="AJ1276" s="35">
        <f ca="1">IFERROR(VLOOKUP(Tabela3[[#This Row],[Produto]],Tabela2[],13,0),0)</f>
        <v>15.600000000000001</v>
      </c>
      <c r="AK1276" s="48" t="str">
        <f>IFERROR(VLOOKUP(Tabela3[[#This Row],[Produto]],Tabela2[],14,0),0)</f>
        <v>Senun</v>
      </c>
      <c r="AL1276" s="40">
        <f>IFERROR(VLOOKUP(Tabela3[[#This Row],[Produto]],Tabela2[],15,0),0)</f>
        <v>6</v>
      </c>
      <c r="AM1276" s="36">
        <f ca="1">(Tabela3[[#This Row],[Custo Usinagem]]+Tabela3[[#This Row],[Custo / Pç]])*1.2</f>
        <v>37.087475175651868</v>
      </c>
      <c r="AN1276" s="36">
        <f ca="1">Tabela3[[#This Row],[Valor Mínimo Venda]]*1.15</f>
        <v>42.650596451999647</v>
      </c>
      <c r="AO1276" s="36">
        <f ca="1">Tabela3[[#This Row],[Tabela 1]]*1.08</f>
        <v>46.062644168159622</v>
      </c>
      <c r="AP1276" s="36">
        <f ca="1">Tabela3[[#This Row],[Tabela 2]]*1.15</f>
        <v>52.972040793383563</v>
      </c>
    </row>
    <row r="1277" spans="1:42">
      <c r="A1277" s="9">
        <v>46171</v>
      </c>
      <c r="B1277" s="9" t="s">
        <v>126</v>
      </c>
      <c r="C1277" s="14">
        <v>9772</v>
      </c>
      <c r="D1277" s="6" t="s">
        <v>46</v>
      </c>
      <c r="E1277" s="6" t="s">
        <v>50</v>
      </c>
      <c r="F1277" s="6">
        <v>3</v>
      </c>
      <c r="G1277" s="15">
        <v>2.1527777777777778E-2</v>
      </c>
      <c r="H1277" s="16">
        <v>0</v>
      </c>
      <c r="I1277" s="35">
        <f ca="1">IFERROR(Tabela3[[#This Row],[Custo Total]]/Tabela3[[#This Row],[Aluminio Util]],0)</f>
        <v>23.139881794158953</v>
      </c>
      <c r="J1277" s="35">
        <f ca="1">Tabela3[[#This Row],[Custo Total]]/Tabela3[[#This Row],[Realizado]]</f>
        <v>72.70550859724743</v>
      </c>
      <c r="K1277" s="37">
        <f>IFERROR(Tabela3[[#This Row],[Qtde Cx Produzida]]/Tabela3[[#This Row],[Tempo]]/24,0)</f>
        <v>5.8064516129032251</v>
      </c>
      <c r="L1277" s="37">
        <f>Tabela3[[#This Row],[Qtde Cx Produzida]]*Tabela3[[#This Row],[Qdt Peça Placa]]</f>
        <v>3</v>
      </c>
      <c r="M1277" s="37">
        <f>Tabela3[[#This Row],[Previsto]]-Tabela3[[#This Row],[Perda Pçs]]</f>
        <v>3</v>
      </c>
      <c r="N1277" s="38">
        <f>IFERROR(Tabela3[[#This Row],[Perda Pçs]]/Tabela3[[#This Row],[Previsto]],0)</f>
        <v>0</v>
      </c>
      <c r="O1277" s="39">
        <f>IFERROR(IF(Tabela3[[#This Row],[Qtde Cx Produzida]] &lt;&gt; 0, Tabela3[[#This Row],[Tempo]] / Tabela3[[#This Row],[Qtde Cx Produzida]], 0),0)</f>
        <v>7.1759259259259259E-3</v>
      </c>
      <c r="P1277" s="57">
        <f>IFERROR(Tabela3[[#This Row],[Perda Pçs]]/Tabela3[[#This Row],[Qdt Peça Placa]],0)</f>
        <v>0</v>
      </c>
      <c r="Q1277" s="37">
        <f>IFERROR(Tabela3[[#This Row],[Realizado]]*Tabela3[[#This Row],[Peso Util/Pç]],0)</f>
        <v>9.4260000000000002</v>
      </c>
      <c r="R1277" s="37">
        <f>IFERROR(Tabela3[[#This Row],[Peso Total Galho]]*Tabela3[[#This Row],[Qtde Cx Produzida]]*1.055,0)</f>
        <v>17.594234999999998</v>
      </c>
      <c r="S1277" s="37">
        <f>(Tabela3[[#This Row],[Aluminio Bruto]]-Tabela3[[#This Row],[Aluminio Util]])*0.9</f>
        <v>7.3514114999999975</v>
      </c>
      <c r="T1277" s="37">
        <f>Tabela3[[#This Row],[Aluminio Bruto]]/OleoKGAluminio</f>
        <v>7.4018719153727046</v>
      </c>
      <c r="U1277" s="35">
        <f>IFERROR((VLOOKUP(Tabela3[[#This Row],[Moldador]],Tabela1[],5,)+(VLOOKUP(Tabela3[[#This Row],[Ajudante]],Tabela1[],5,))*3.5),0)</f>
        <v>99.95034583333333</v>
      </c>
      <c r="V1277" s="35">
        <f>IFERROR(Tabela3[[#This Row],[Custo M.O. / H]]/((Tabela3[[#This Row],[Realizado]]/Tabela3[[#This Row],[Qdt Peça Placa]])/Tabela3[[#This Row],[Tempo]]/24),)</f>
        <v>17.213670671296299</v>
      </c>
      <c r="W1277" s="35">
        <f>Tabela3[[#This Row],[Custo / Cx Moldada]]*Tabela3[[#This Row],[Qtde Cx Produzida]]</f>
        <v>51.641012013888897</v>
      </c>
      <c r="X1277" s="35">
        <f ca="1">Tabela3[[#This Row],[Aluminio Util]]*Tabela3[[#This Row],[Custo/Kg]]</f>
        <v>147.04560000000001</v>
      </c>
      <c r="Y1277" s="35">
        <f>IFERROR(VLOOKUP(Tabela3[[#This Row],[Data]],Tabela461213[],2,1)*(Tabela3[[#This Row],[Qtde Cx Produzida]]*Tabela3[[#This Row],[Qde macho / CX]]*Tabela3[[#This Row],[Peso Macho]]),)</f>
        <v>0</v>
      </c>
      <c r="Z1277" s="35">
        <f>IFERROR(Tabela3[[#This Row],[Qtde Oleo]]*(VLOOKUP(Tabela3[[#This Row],[Data]],CompraOleo[],3,TRUE))*1.05,0)</f>
        <v>19.429913777853351</v>
      </c>
      <c r="AA1277" s="47">
        <f ca="1">(Tabela3[[#This Row],[Custo Oleo]]+Tabela3[[#This Row],[Custo Aluminio]]+Tabela3[[#This Row],[Custo M.O. Total]]+Tabela3[[#This Row],[Custo Machos]])</f>
        <v>218.11652579174228</v>
      </c>
      <c r="AB1277" s="47">
        <f ca="1">Tabela3[[#This Row],[Custo Total]]*Tabela3[[#This Row],[% Perda]]</f>
        <v>0</v>
      </c>
      <c r="AC1277" s="40">
        <f>IFERROR(VLOOKUP(Tabela3[[#This Row],[Produto]],Tabela2[],2,0),0)</f>
        <v>1</v>
      </c>
      <c r="AD1277" s="48">
        <f>IFERROR(VLOOKUP(Tabela3[[#This Row],[Produto]],Tabela2[],3,0),0)</f>
        <v>3.1419999999999999</v>
      </c>
      <c r="AE1277" s="48">
        <f>IFERROR(VLOOKUP(Tabela3[[#This Row],[Produto]],Tabela2[],4,0),0)</f>
        <v>5.5590000000000002</v>
      </c>
      <c r="AF1277" s="48">
        <f>IFERROR(VLOOKUP(Tabela3[[#This Row],[Produto]],Tabela2[],5,0),0)</f>
        <v>2.1753000000000005</v>
      </c>
      <c r="AG1277" s="48">
        <f>IFERROR(VLOOKUP(Tabela3[[#This Row],[Produto]],Tabela2[],6,0),0)</f>
        <v>0</v>
      </c>
      <c r="AH1277" s="40">
        <f>IFERROR(VLOOKUP(Tabela3[[#This Row],[Produto]],Tabela2[],7,0),0)</f>
        <v>0</v>
      </c>
      <c r="AI1277" s="40">
        <f>IFERROR(VLOOKUP(Tabela3[[#This Row],[Produto]],Tabela2[],8,0),0)</f>
        <v>0</v>
      </c>
      <c r="AJ1277" s="35">
        <f ca="1">IFERROR(VLOOKUP(Tabela3[[#This Row],[Produto]],Tabela2[],13,0),0)</f>
        <v>15.600000000000001</v>
      </c>
      <c r="AK1277" s="48" t="str">
        <f>IFERROR(VLOOKUP(Tabela3[[#This Row],[Produto]],Tabela2[],14,0),0)</f>
        <v>Senun</v>
      </c>
      <c r="AL1277" s="40">
        <f>IFERROR(VLOOKUP(Tabela3[[#This Row],[Produto]],Tabela2[],15,0),0)</f>
        <v>6.5</v>
      </c>
      <c r="AM1277" s="36">
        <f ca="1">(Tabela3[[#This Row],[Custo Usinagem]]+Tabela3[[#This Row],[Custo / Pç]])*1.2</f>
        <v>95.046610316696913</v>
      </c>
      <c r="AN1277" s="36">
        <f ca="1">Tabela3[[#This Row],[Valor Mínimo Venda]]*1.15</f>
        <v>109.30360186420144</v>
      </c>
      <c r="AO1277" s="36">
        <f ca="1">Tabela3[[#This Row],[Tabela 1]]*1.08</f>
        <v>118.04789001333756</v>
      </c>
      <c r="AP1277" s="36">
        <f ca="1">Tabela3[[#This Row],[Tabela 2]]*1.15</f>
        <v>135.75507351533818</v>
      </c>
    </row>
    <row r="1278" spans="1:42">
      <c r="A1278" s="9">
        <v>46174</v>
      </c>
      <c r="B1278" s="9" t="s">
        <v>126</v>
      </c>
      <c r="C1278" s="14">
        <v>9772</v>
      </c>
      <c r="D1278" s="6" t="s">
        <v>46</v>
      </c>
      <c r="E1278" s="6" t="s">
        <v>50</v>
      </c>
      <c r="F1278" s="6">
        <v>6</v>
      </c>
      <c r="G1278" s="15">
        <v>3.9583333333333331E-2</v>
      </c>
      <c r="H1278" s="16">
        <v>0</v>
      </c>
      <c r="I1278" s="35">
        <f ca="1">IFERROR(Tabela3[[#This Row],[Custo Total]]/Tabela3[[#This Row],[Aluminio Util]],0)</f>
        <v>22.698061537098098</v>
      </c>
      <c r="J1278" s="35">
        <f ca="1">Tabela3[[#This Row],[Custo Total]]/Tabela3[[#This Row],[Realizado]]</f>
        <v>71.317309349562223</v>
      </c>
      <c r="K1278" s="37">
        <f>IFERROR(Tabela3[[#This Row],[Qtde Cx Produzida]]/Tabela3[[#This Row],[Tempo]]/24,0)</f>
        <v>6.3157894736842115</v>
      </c>
      <c r="L1278" s="37">
        <f>Tabela3[[#This Row],[Qtde Cx Produzida]]*Tabela3[[#This Row],[Qdt Peça Placa]]</f>
        <v>6</v>
      </c>
      <c r="M1278" s="37">
        <f>Tabela3[[#This Row],[Previsto]]-Tabela3[[#This Row],[Perda Pçs]]</f>
        <v>6</v>
      </c>
      <c r="N1278" s="38">
        <f>IFERROR(Tabela3[[#This Row],[Perda Pçs]]/Tabela3[[#This Row],[Previsto]],0)</f>
        <v>0</v>
      </c>
      <c r="O1278" s="39">
        <f>IFERROR(IF(Tabela3[[#This Row],[Qtde Cx Produzida]] &lt;&gt; 0, Tabela3[[#This Row],[Tempo]] / Tabela3[[#This Row],[Qtde Cx Produzida]], 0),0)</f>
        <v>6.5972222222222222E-3</v>
      </c>
      <c r="P1278" s="57">
        <f>IFERROR(Tabela3[[#This Row],[Perda Pçs]]/Tabela3[[#This Row],[Qdt Peça Placa]],0)</f>
        <v>0</v>
      </c>
      <c r="Q1278" s="37">
        <f>IFERROR(Tabela3[[#This Row],[Realizado]]*Tabela3[[#This Row],[Peso Util/Pç]],0)</f>
        <v>18.852</v>
      </c>
      <c r="R1278" s="37">
        <f>IFERROR(Tabela3[[#This Row],[Peso Total Galho]]*Tabela3[[#This Row],[Qtde Cx Produzida]]*1.055,0)</f>
        <v>35.188469999999995</v>
      </c>
      <c r="S1278" s="37">
        <f>(Tabela3[[#This Row],[Aluminio Bruto]]-Tabela3[[#This Row],[Aluminio Util]])*0.9</f>
        <v>14.702822999999995</v>
      </c>
      <c r="T1278" s="37">
        <f>Tabela3[[#This Row],[Aluminio Bruto]]/OleoKGAluminio</f>
        <v>14.803743830745409</v>
      </c>
      <c r="U1278" s="35">
        <f>IFERROR((VLOOKUP(Tabela3[[#This Row],[Moldador]],Tabela1[],5,)+(VLOOKUP(Tabela3[[#This Row],[Ajudante]],Tabela1[],5,))*3.5),0)</f>
        <v>99.95034583333333</v>
      </c>
      <c r="V1278" s="35">
        <f>IFERROR(Tabela3[[#This Row],[Custo M.O. / H]]/((Tabela3[[#This Row],[Realizado]]/Tabela3[[#This Row],[Qdt Peça Placa]])/Tabela3[[#This Row],[Tempo]]/24),)</f>
        <v>15.825471423611107</v>
      </c>
      <c r="W1278" s="35">
        <f>Tabela3[[#This Row],[Custo / Cx Moldada]]*Tabela3[[#This Row],[Qtde Cx Produzida]]</f>
        <v>94.952828541666648</v>
      </c>
      <c r="X1278" s="35">
        <f ca="1">Tabela3[[#This Row],[Aluminio Util]]*Tabela3[[#This Row],[Custo/Kg]]</f>
        <v>294.09120000000001</v>
      </c>
      <c r="Y1278" s="35">
        <f>IFERROR(VLOOKUP(Tabela3[[#This Row],[Data]],Tabela461213[],2,1)*(Tabela3[[#This Row],[Qtde Cx Produzida]]*Tabela3[[#This Row],[Qde macho / CX]]*Tabela3[[#This Row],[Peso Macho]]),)</f>
        <v>0</v>
      </c>
      <c r="Z1278" s="35">
        <f>IFERROR(Tabela3[[#This Row],[Qtde Oleo]]*(VLOOKUP(Tabela3[[#This Row],[Data]],CompraOleo[],3,TRUE))*1.05,0)</f>
        <v>38.859827555706701</v>
      </c>
      <c r="AA1278" s="47">
        <f ca="1">(Tabela3[[#This Row],[Custo Oleo]]+Tabela3[[#This Row],[Custo Aluminio]]+Tabela3[[#This Row],[Custo M.O. Total]]+Tabela3[[#This Row],[Custo Machos]])</f>
        <v>427.90385609737336</v>
      </c>
      <c r="AB1278" s="47">
        <f ca="1">Tabela3[[#This Row],[Custo Total]]*Tabela3[[#This Row],[% Perda]]</f>
        <v>0</v>
      </c>
      <c r="AC1278" s="40">
        <f>IFERROR(VLOOKUP(Tabela3[[#This Row],[Produto]],Tabela2[],2,0),0)</f>
        <v>1</v>
      </c>
      <c r="AD1278" s="48">
        <f>IFERROR(VLOOKUP(Tabela3[[#This Row],[Produto]],Tabela2[],3,0),0)</f>
        <v>3.1419999999999999</v>
      </c>
      <c r="AE1278" s="48">
        <f>IFERROR(VLOOKUP(Tabela3[[#This Row],[Produto]],Tabela2[],4,0),0)</f>
        <v>5.5590000000000002</v>
      </c>
      <c r="AF1278" s="48">
        <f>IFERROR(VLOOKUP(Tabela3[[#This Row],[Produto]],Tabela2[],5,0),0)</f>
        <v>2.1753000000000005</v>
      </c>
      <c r="AG1278" s="48">
        <f>IFERROR(VLOOKUP(Tabela3[[#This Row],[Produto]],Tabela2[],6,0),0)</f>
        <v>0</v>
      </c>
      <c r="AH1278" s="40">
        <f>IFERROR(VLOOKUP(Tabela3[[#This Row],[Produto]],Tabela2[],7,0),0)</f>
        <v>0</v>
      </c>
      <c r="AI1278" s="40">
        <f>IFERROR(VLOOKUP(Tabela3[[#This Row],[Produto]],Tabela2[],8,0),0)</f>
        <v>0</v>
      </c>
      <c r="AJ1278" s="35">
        <f ca="1">IFERROR(VLOOKUP(Tabela3[[#This Row],[Produto]],Tabela2[],13,0),0)</f>
        <v>15.600000000000001</v>
      </c>
      <c r="AK1278" s="48" t="str">
        <f>IFERROR(VLOOKUP(Tabela3[[#This Row],[Produto]],Tabela2[],14,0),0)</f>
        <v>Senun</v>
      </c>
      <c r="AL1278" s="40">
        <f>IFERROR(VLOOKUP(Tabela3[[#This Row],[Produto]],Tabela2[],15,0),0)</f>
        <v>6.5</v>
      </c>
      <c r="AM1278" s="36">
        <f ca="1">(Tabela3[[#This Row],[Custo Usinagem]]+Tabela3[[#This Row],[Custo / Pç]])*1.2</f>
        <v>93.380771219474667</v>
      </c>
      <c r="AN1278" s="36">
        <f ca="1">Tabela3[[#This Row],[Valor Mínimo Venda]]*1.15</f>
        <v>107.38788690239586</v>
      </c>
      <c r="AO1278" s="36">
        <f ca="1">Tabela3[[#This Row],[Tabela 1]]*1.08</f>
        <v>115.97891785458754</v>
      </c>
      <c r="AP1278" s="36">
        <f ca="1">Tabela3[[#This Row],[Tabela 2]]*1.15</f>
        <v>133.37575553277566</v>
      </c>
    </row>
    <row r="1279" spans="1:42">
      <c r="A1279" s="9">
        <v>46174</v>
      </c>
      <c r="B1279" s="9" t="s">
        <v>158</v>
      </c>
      <c r="C1279" s="14">
        <v>9775</v>
      </c>
      <c r="D1279" s="6" t="s">
        <v>46</v>
      </c>
      <c r="E1279" s="6" t="s">
        <v>50</v>
      </c>
      <c r="F1279" s="6">
        <v>20</v>
      </c>
      <c r="G1279" s="15">
        <v>0.13055555555555556</v>
      </c>
      <c r="H1279" s="16">
        <v>0</v>
      </c>
      <c r="I1279" s="35">
        <f ca="1">IFERROR(Tabela3[[#This Row],[Custo Total]]/Tabela3[[#This Row],[Aluminio Util]],0)</f>
        <v>21.452558566162843</v>
      </c>
      <c r="J1279" s="35">
        <f ca="1">Tabela3[[#This Row],[Custo Total]]/Tabela3[[#This Row],[Realizado]]</f>
        <v>32.17883784924426</v>
      </c>
      <c r="K1279" s="37">
        <f>IFERROR(Tabela3[[#This Row],[Qtde Cx Produzida]]/Tabela3[[#This Row],[Tempo]]/24,0)</f>
        <v>6.3829787234042543</v>
      </c>
      <c r="L1279" s="37">
        <f>Tabela3[[#This Row],[Qtde Cx Produzida]]*Tabela3[[#This Row],[Qdt Peça Placa]]</f>
        <v>80</v>
      </c>
      <c r="M1279" s="37">
        <f>Tabela3[[#This Row],[Previsto]]-Tabela3[[#This Row],[Perda Pçs]]</f>
        <v>80</v>
      </c>
      <c r="N1279" s="38">
        <f>IFERROR(Tabela3[[#This Row],[Perda Pçs]]/Tabela3[[#This Row],[Previsto]],0)</f>
        <v>0</v>
      </c>
      <c r="O1279" s="39">
        <f>IFERROR(IF(Tabela3[[#This Row],[Qtde Cx Produzida]] &lt;&gt; 0, Tabela3[[#This Row],[Tempo]] / Tabela3[[#This Row],[Qtde Cx Produzida]], 0),0)</f>
        <v>6.5277777777777782E-3</v>
      </c>
      <c r="P1279" s="57">
        <f>IFERROR(Tabela3[[#This Row],[Perda Pçs]]/Tabela3[[#This Row],[Qdt Peça Placa]],0)</f>
        <v>0</v>
      </c>
      <c r="Q1279" s="37">
        <f>IFERROR(Tabela3[[#This Row],[Realizado]]*Tabela3[[#This Row],[Peso Util/Pç]],0)</f>
        <v>120</v>
      </c>
      <c r="R1279" s="37">
        <f>IFERROR(Tabela3[[#This Row],[Peso Total Galho]]*Tabela3[[#This Row],[Qtde Cx Produzida]]*1.055,0)</f>
        <v>135.04</v>
      </c>
      <c r="S1279" s="37">
        <f>(Tabela3[[#This Row],[Aluminio Bruto]]-Tabela3[[#This Row],[Aluminio Util]])*0.9</f>
        <v>13.535999999999992</v>
      </c>
      <c r="T1279" s="37">
        <f>Tabela3[[#This Row],[Aluminio Bruto]]/OleoKGAluminio</f>
        <v>56.8111533949575</v>
      </c>
      <c r="U1279" s="35">
        <f>IFERROR((VLOOKUP(Tabela3[[#This Row],[Moldador]],Tabela1[],5,)+(VLOOKUP(Tabela3[[#This Row],[Ajudante]],Tabela1[],5,))*3.5),0)</f>
        <v>99.95034583333333</v>
      </c>
      <c r="V1279" s="35">
        <f>IFERROR(Tabela3[[#This Row],[Custo M.O. / H]]/((Tabela3[[#This Row],[Realizado]]/Tabela3[[#This Row],[Qdt Peça Placa]])/Tabela3[[#This Row],[Tempo]]/24),)</f>
        <v>15.658887513888891</v>
      </c>
      <c r="W1279" s="35">
        <f>Tabela3[[#This Row],[Custo / Cx Moldada]]*Tabela3[[#This Row],[Qtde Cx Produzida]]</f>
        <v>313.17775027777782</v>
      </c>
      <c r="X1279" s="35">
        <f ca="1">Tabela3[[#This Row],[Aluminio Util]]*Tabela3[[#This Row],[Custo/Kg]]</f>
        <v>2112</v>
      </c>
      <c r="Y1279" s="35">
        <f>IFERROR(VLOOKUP(Tabela3[[#This Row],[Data]],Tabela461213[],2,1)*(Tabela3[[#This Row],[Qtde Cx Produzida]]*Tabela3[[#This Row],[Qde macho / CX]]*Tabela3[[#This Row],[Peso Macho]]),)</f>
        <v>0</v>
      </c>
      <c r="Z1279" s="35">
        <f>IFERROR(Tabela3[[#This Row],[Qtde Oleo]]*(VLOOKUP(Tabela3[[#This Row],[Data]],CompraOleo[],3,TRUE))*1.05,0)</f>
        <v>149.12927766176344</v>
      </c>
      <c r="AA1279" s="47">
        <f ca="1">(Tabela3[[#This Row],[Custo Oleo]]+Tabela3[[#This Row],[Custo Aluminio]]+Tabela3[[#This Row],[Custo M.O. Total]]+Tabela3[[#This Row],[Custo Machos]])</f>
        <v>2574.3070279395411</v>
      </c>
      <c r="AB1279" s="47">
        <f ca="1">Tabela3[[#This Row],[Custo Total]]*Tabela3[[#This Row],[% Perda]]</f>
        <v>0</v>
      </c>
      <c r="AC1279" s="40">
        <f>IFERROR(VLOOKUP(Tabela3[[#This Row],[Produto]],Tabela2[],2,0),0)</f>
        <v>4</v>
      </c>
      <c r="AD1279" s="48">
        <f>IFERROR(VLOOKUP(Tabela3[[#This Row],[Produto]],Tabela2[],3,0),0)</f>
        <v>1.5</v>
      </c>
      <c r="AE1279" s="48">
        <f>IFERROR(VLOOKUP(Tabela3[[#This Row],[Produto]],Tabela2[],4,0),0)</f>
        <v>6.4</v>
      </c>
      <c r="AF1279" s="48">
        <f>IFERROR(VLOOKUP(Tabela3[[#This Row],[Produto]],Tabela2[],5,0),0)</f>
        <v>0.36000000000000032</v>
      </c>
      <c r="AG1279" s="48">
        <f>IFERROR(VLOOKUP(Tabela3[[#This Row],[Produto]],Tabela2[],6,0),0)</f>
        <v>0</v>
      </c>
      <c r="AH1279" s="40">
        <f>IFERROR(VLOOKUP(Tabela3[[#This Row],[Produto]],Tabela2[],7,0),0)</f>
        <v>0</v>
      </c>
      <c r="AI1279" s="40">
        <f>IFERROR(VLOOKUP(Tabela3[[#This Row],[Produto]],Tabela2[],8,0),0)</f>
        <v>0</v>
      </c>
      <c r="AJ1279" s="35">
        <f ca="1">IFERROR(VLOOKUP(Tabela3[[#This Row],[Produto]],Tabela2[],13,0),0)</f>
        <v>17.600000000000001</v>
      </c>
      <c r="AK1279" s="48" t="str">
        <f>IFERROR(VLOOKUP(Tabela3[[#This Row],[Produto]],Tabela2[],14,0),0)</f>
        <v>Danilo</v>
      </c>
      <c r="AL1279" s="40">
        <f>IFERROR(VLOOKUP(Tabela3[[#This Row],[Produto]],Tabela2[],15,0),0)</f>
        <v>0</v>
      </c>
      <c r="AM1279" s="36">
        <f ca="1">(Tabela3[[#This Row],[Custo Usinagem]]+Tabela3[[#This Row],[Custo / Pç]])*1.2</f>
        <v>38.61460541909311</v>
      </c>
      <c r="AN1279" s="36">
        <f ca="1">Tabela3[[#This Row],[Valor Mínimo Venda]]*1.15</f>
        <v>44.406796231957074</v>
      </c>
      <c r="AO1279" s="36">
        <f ca="1">Tabela3[[#This Row],[Tabela 1]]*1.08</f>
        <v>47.959339930513643</v>
      </c>
      <c r="AP1279" s="36">
        <f ca="1">Tabela3[[#This Row],[Tabela 2]]*1.15</f>
        <v>55.153240920090688</v>
      </c>
    </row>
    <row r="1280" spans="1:42">
      <c r="A1280" s="9">
        <v>46174</v>
      </c>
      <c r="B1280" s="9" t="s">
        <v>236</v>
      </c>
      <c r="C1280" s="14">
        <v>9776</v>
      </c>
      <c r="D1280" s="6" t="s">
        <v>46</v>
      </c>
      <c r="E1280" s="6" t="s">
        <v>44</v>
      </c>
      <c r="F1280" s="6">
        <v>3</v>
      </c>
      <c r="G1280" s="15">
        <v>1.4583333333333334E-2</v>
      </c>
      <c r="H1280" s="16">
        <v>0</v>
      </c>
      <c r="I1280" s="35">
        <f ca="1">IFERROR(Tabela3[[#This Row],[Custo Total]]/Tabela3[[#This Row],[Aluminio Util]],0)</f>
        <v>25.102351534596249</v>
      </c>
      <c r="J1280" s="35">
        <f ca="1">Tabela3[[#This Row],[Custo Total]]/Tabela3[[#This Row],[Realizado]]</f>
        <v>7.5809101634480669</v>
      </c>
      <c r="K1280" s="37">
        <f>IFERROR(Tabela3[[#This Row],[Qtde Cx Produzida]]/Tabela3[[#This Row],[Tempo]]/24,0)</f>
        <v>8.5714285714285712</v>
      </c>
      <c r="L1280" s="37">
        <f>Tabela3[[#This Row],[Qtde Cx Produzida]]*Tabela3[[#This Row],[Qdt Peça Placa]]</f>
        <v>18</v>
      </c>
      <c r="M1280" s="37">
        <f>Tabela3[[#This Row],[Previsto]]-Tabela3[[#This Row],[Perda Pçs]]</f>
        <v>18</v>
      </c>
      <c r="N1280" s="38">
        <f>IFERROR(Tabela3[[#This Row],[Perda Pçs]]/Tabela3[[#This Row],[Previsto]],0)</f>
        <v>0</v>
      </c>
      <c r="O1280" s="39">
        <f>IFERROR(IF(Tabela3[[#This Row],[Qtde Cx Produzida]] &lt;&gt; 0, Tabela3[[#This Row],[Tempo]] / Tabela3[[#This Row],[Qtde Cx Produzida]], 0),0)</f>
        <v>4.8611111111111112E-3</v>
      </c>
      <c r="P1280" s="57">
        <f>IFERROR(Tabela3[[#This Row],[Perda Pçs]]/Tabela3[[#This Row],[Qdt Peça Placa]],0)</f>
        <v>0</v>
      </c>
      <c r="Q1280" s="37">
        <f>IFERROR(Tabela3[[#This Row],[Realizado]]*Tabela3[[#This Row],[Peso Util/Pç]],0)</f>
        <v>5.4359999999999999</v>
      </c>
      <c r="R1280" s="37">
        <f>IFERROR(Tabela3[[#This Row],[Peso Total Galho]]*Tabela3[[#This Row],[Qtde Cx Produzida]]*1.055,0)</f>
        <v>6.8110800000000005</v>
      </c>
      <c r="S1280" s="37">
        <f>(Tabela3[[#This Row],[Aluminio Bruto]]-Tabela3[[#This Row],[Aluminio Util]])*0.9</f>
        <v>1.2375720000000006</v>
      </c>
      <c r="T1280" s="37">
        <f>Tabela3[[#This Row],[Aluminio Bruto]]/OleoKGAluminio</f>
        <v>2.8654125493581692</v>
      </c>
      <c r="U1280" s="35">
        <f>IFERROR((VLOOKUP(Tabela3[[#This Row],[Moldador]],Tabela1[],5,)+(VLOOKUP(Tabela3[[#This Row],[Ajudante]],Tabela1[],5,))*3.5),0)</f>
        <v>126.0945</v>
      </c>
      <c r="V1280" s="35">
        <f>IFERROR(Tabela3[[#This Row],[Custo M.O. / H]]/((Tabela3[[#This Row],[Realizado]]/Tabela3[[#This Row],[Qdt Peça Placa]])/Tabela3[[#This Row],[Tempo]]/24),)</f>
        <v>14.711024999999999</v>
      </c>
      <c r="W1280" s="35">
        <f>Tabela3[[#This Row],[Custo / Cx Moldada]]*Tabela3[[#This Row],[Qtde Cx Produzida]]</f>
        <v>44.133074999999998</v>
      </c>
      <c r="X1280" s="35">
        <f ca="1">Tabela3[[#This Row],[Aluminio Util]]*Tabela3[[#This Row],[Custo/Kg]]</f>
        <v>84.801600000000008</v>
      </c>
      <c r="Y1280" s="35">
        <f>IFERROR(VLOOKUP(Tabela3[[#This Row],[Data]],Tabela461213[],2,1)*(Tabela3[[#This Row],[Qtde Cx Produzida]]*Tabela3[[#This Row],[Qde macho / CX]]*Tabela3[[#This Row],[Peso Macho]]),)</f>
        <v>0</v>
      </c>
      <c r="Z1280" s="35">
        <f>IFERROR(Tabela3[[#This Row],[Qtde Oleo]]*(VLOOKUP(Tabela3[[#This Row],[Data]],CompraOleo[],3,TRUE))*1.05,0)</f>
        <v>7.521707942065194</v>
      </c>
      <c r="AA1280" s="47">
        <f ca="1">(Tabela3[[#This Row],[Custo Oleo]]+Tabela3[[#This Row],[Custo Aluminio]]+Tabela3[[#This Row],[Custo M.O. Total]]+Tabela3[[#This Row],[Custo Machos]])</f>
        <v>136.4563829420652</v>
      </c>
      <c r="AB1280" s="47">
        <f ca="1">Tabela3[[#This Row],[Custo Total]]*Tabela3[[#This Row],[% Perda]]</f>
        <v>0</v>
      </c>
      <c r="AC1280" s="40">
        <f>IFERROR(VLOOKUP(Tabela3[[#This Row],[Produto]],Tabela2[],2,0),0)</f>
        <v>6</v>
      </c>
      <c r="AD1280" s="48">
        <f>IFERROR(VLOOKUP(Tabela3[[#This Row],[Produto]],Tabela2[],3,0),0)</f>
        <v>0.30199999999999999</v>
      </c>
      <c r="AE1280" s="48">
        <f>IFERROR(VLOOKUP(Tabela3[[#This Row],[Produto]],Tabela2[],4,0),0)</f>
        <v>2.1520000000000001</v>
      </c>
      <c r="AF1280" s="48">
        <f>IFERROR(VLOOKUP(Tabela3[[#This Row],[Produto]],Tabela2[],5,0),0)</f>
        <v>0.30600000000000027</v>
      </c>
      <c r="AG1280" s="48">
        <f>IFERROR(VLOOKUP(Tabela3[[#This Row],[Produto]],Tabela2[],6,0),0)</f>
        <v>0</v>
      </c>
      <c r="AH1280" s="40">
        <f>IFERROR(VLOOKUP(Tabela3[[#This Row],[Produto]],Tabela2[],7,0),0)</f>
        <v>0</v>
      </c>
      <c r="AI1280" s="40">
        <f>IFERROR(VLOOKUP(Tabela3[[#This Row],[Produto]],Tabela2[],8,0),0)</f>
        <v>0</v>
      </c>
      <c r="AJ1280" s="35">
        <f ca="1">IFERROR(VLOOKUP(Tabela3[[#This Row],[Produto]],Tabela2[],13,0),0)</f>
        <v>15.600000000000001</v>
      </c>
      <c r="AK1280" s="48" t="str">
        <f>IFERROR(VLOOKUP(Tabela3[[#This Row],[Produto]],Tabela2[],14,0),0)</f>
        <v>Senun</v>
      </c>
      <c r="AL1280" s="40">
        <f>IFERROR(VLOOKUP(Tabela3[[#This Row],[Produto]],Tabela2[],15,0),0)</f>
        <v>4</v>
      </c>
      <c r="AM1280" s="36">
        <f ca="1">(Tabela3[[#This Row],[Custo Usinagem]]+Tabela3[[#This Row],[Custo / Pç]])*1.2</f>
        <v>13.897092196137679</v>
      </c>
      <c r="AN1280" s="36">
        <f ca="1">Tabela3[[#This Row],[Valor Mínimo Venda]]*1.15</f>
        <v>15.98165602555833</v>
      </c>
      <c r="AO1280" s="36">
        <f ca="1">Tabela3[[#This Row],[Tabela 1]]*1.08</f>
        <v>17.260188507602997</v>
      </c>
      <c r="AP1280" s="36">
        <f ca="1">Tabela3[[#This Row],[Tabela 2]]*1.15</f>
        <v>19.849216783743444</v>
      </c>
    </row>
    <row r="1281" spans="1:42">
      <c r="A1281" s="9">
        <v>46174</v>
      </c>
      <c r="B1281" s="9" t="s">
        <v>236</v>
      </c>
      <c r="C1281" s="14">
        <v>9776</v>
      </c>
      <c r="D1281" s="6" t="s">
        <v>44</v>
      </c>
      <c r="E1281" s="6" t="s">
        <v>47</v>
      </c>
      <c r="F1281" s="6">
        <v>13</v>
      </c>
      <c r="G1281" s="15">
        <v>7.0833333333333331E-2</v>
      </c>
      <c r="H1281" s="16">
        <v>0</v>
      </c>
      <c r="I1281" s="35">
        <f ca="1">IFERROR(Tabela3[[#This Row],[Custo Total]]/Tabela3[[#This Row],[Aluminio Util]],0)</f>
        <v>24.196945817015443</v>
      </c>
      <c r="J1281" s="35">
        <f ca="1">Tabela3[[#This Row],[Custo Total]]/Tabela3[[#This Row],[Realizado]]</f>
        <v>7.3074776367386649</v>
      </c>
      <c r="K1281" s="37">
        <f>IFERROR(Tabela3[[#This Row],[Qtde Cx Produzida]]/Tabela3[[#This Row],[Tempo]]/24,0)</f>
        <v>7.6470588235294121</v>
      </c>
      <c r="L1281" s="37">
        <f>Tabela3[[#This Row],[Qtde Cx Produzida]]*Tabela3[[#This Row],[Qdt Peça Placa]]</f>
        <v>78</v>
      </c>
      <c r="M1281" s="37">
        <f>Tabela3[[#This Row],[Previsto]]-Tabela3[[#This Row],[Perda Pçs]]</f>
        <v>78</v>
      </c>
      <c r="N1281" s="38">
        <f>IFERROR(Tabela3[[#This Row],[Perda Pçs]]/Tabela3[[#This Row],[Previsto]],0)</f>
        <v>0</v>
      </c>
      <c r="O1281" s="39">
        <f>IFERROR(IF(Tabela3[[#This Row],[Qtde Cx Produzida]] &lt;&gt; 0, Tabela3[[#This Row],[Tempo]] / Tabela3[[#This Row],[Qtde Cx Produzida]], 0),0)</f>
        <v>5.4487179487179484E-3</v>
      </c>
      <c r="P1281" s="57">
        <f>IFERROR(Tabela3[[#This Row],[Perda Pçs]]/Tabela3[[#This Row],[Qdt Peça Placa]],0)</f>
        <v>0</v>
      </c>
      <c r="Q1281" s="37">
        <f>IFERROR(Tabela3[[#This Row],[Realizado]]*Tabela3[[#This Row],[Peso Util/Pç]],0)</f>
        <v>23.556000000000001</v>
      </c>
      <c r="R1281" s="37">
        <f>IFERROR(Tabela3[[#This Row],[Peso Total Galho]]*Tabela3[[#This Row],[Qtde Cx Produzida]]*1.055,0)</f>
        <v>29.514680000000002</v>
      </c>
      <c r="S1281" s="37">
        <f>(Tabela3[[#This Row],[Aluminio Bruto]]-Tabela3[[#This Row],[Aluminio Util]])*0.9</f>
        <v>5.3628120000000008</v>
      </c>
      <c r="T1281" s="37">
        <f>Tabela3[[#This Row],[Aluminio Bruto]]/OleoKGAluminio</f>
        <v>12.4167877138854</v>
      </c>
      <c r="U1281" s="35">
        <f>IFERROR((VLOOKUP(Tabela3[[#This Row],[Moldador]],Tabela1[],5,)+(VLOOKUP(Tabela3[[#This Row],[Ajudante]],Tabela1[],5,))*3.5),0)</f>
        <v>99.95034583333333</v>
      </c>
      <c r="V1281" s="35">
        <f>IFERROR(Tabela3[[#This Row],[Custo M.O. / H]]/((Tabela3[[#This Row],[Realizado]]/Tabela3[[#This Row],[Qdt Peça Placa]])/Tabela3[[#This Row],[Tempo]]/24),)</f>
        <v>13.070429839743589</v>
      </c>
      <c r="W1281" s="35">
        <f>Tabela3[[#This Row],[Custo / Cx Moldada]]*Tabela3[[#This Row],[Qtde Cx Produzida]]</f>
        <v>169.91558791666665</v>
      </c>
      <c r="X1281" s="35">
        <f ca="1">Tabela3[[#This Row],[Aluminio Util]]*Tabela3[[#This Row],[Custo/Kg]]</f>
        <v>367.47360000000003</v>
      </c>
      <c r="Y1281" s="35">
        <f>IFERROR(VLOOKUP(Tabela3[[#This Row],[Data]],Tabela461213[],2,1)*(Tabela3[[#This Row],[Qtde Cx Produzida]]*Tabela3[[#This Row],[Qde macho / CX]]*Tabela3[[#This Row],[Peso Macho]]),)</f>
        <v>0</v>
      </c>
      <c r="Z1281" s="35">
        <f>IFERROR(Tabela3[[#This Row],[Qtde Oleo]]*(VLOOKUP(Tabela3[[#This Row],[Data]],CompraOleo[],3,TRUE))*1.05,0)</f>
        <v>32.594067748949172</v>
      </c>
      <c r="AA1281" s="47">
        <f ca="1">(Tabela3[[#This Row],[Custo Oleo]]+Tabela3[[#This Row],[Custo Aluminio]]+Tabela3[[#This Row],[Custo M.O. Total]]+Tabela3[[#This Row],[Custo Machos]])</f>
        <v>569.98325566561584</v>
      </c>
      <c r="AB1281" s="47">
        <f ca="1">Tabela3[[#This Row],[Custo Total]]*Tabela3[[#This Row],[% Perda]]</f>
        <v>0</v>
      </c>
      <c r="AC1281" s="40">
        <f>IFERROR(VLOOKUP(Tabela3[[#This Row],[Produto]],Tabela2[],2,0),0)</f>
        <v>6</v>
      </c>
      <c r="AD1281" s="48">
        <f>IFERROR(VLOOKUP(Tabela3[[#This Row],[Produto]],Tabela2[],3,0),0)</f>
        <v>0.30199999999999999</v>
      </c>
      <c r="AE1281" s="48">
        <f>IFERROR(VLOOKUP(Tabela3[[#This Row],[Produto]],Tabela2[],4,0),0)</f>
        <v>2.1520000000000001</v>
      </c>
      <c r="AF1281" s="48">
        <f>IFERROR(VLOOKUP(Tabela3[[#This Row],[Produto]],Tabela2[],5,0),0)</f>
        <v>0.30600000000000027</v>
      </c>
      <c r="AG1281" s="48">
        <f>IFERROR(VLOOKUP(Tabela3[[#This Row],[Produto]],Tabela2[],6,0),0)</f>
        <v>0</v>
      </c>
      <c r="AH1281" s="40">
        <f>IFERROR(VLOOKUP(Tabela3[[#This Row],[Produto]],Tabela2[],7,0),0)</f>
        <v>0</v>
      </c>
      <c r="AI1281" s="40">
        <f>IFERROR(VLOOKUP(Tabela3[[#This Row],[Produto]],Tabela2[],8,0),0)</f>
        <v>0</v>
      </c>
      <c r="AJ1281" s="35">
        <f ca="1">IFERROR(VLOOKUP(Tabela3[[#This Row],[Produto]],Tabela2[],13,0),0)</f>
        <v>15.600000000000001</v>
      </c>
      <c r="AK1281" s="48" t="str">
        <f>IFERROR(VLOOKUP(Tabela3[[#This Row],[Produto]],Tabela2[],14,0),0)</f>
        <v>Senun</v>
      </c>
      <c r="AL1281" s="40">
        <f>IFERROR(VLOOKUP(Tabela3[[#This Row],[Produto]],Tabela2[],15,0),0)</f>
        <v>4</v>
      </c>
      <c r="AM1281" s="36">
        <f ca="1">(Tabela3[[#This Row],[Custo Usinagem]]+Tabela3[[#This Row],[Custo / Pç]])*1.2</f>
        <v>13.568973164086396</v>
      </c>
      <c r="AN1281" s="36">
        <f ca="1">Tabela3[[#This Row],[Valor Mínimo Venda]]*1.15</f>
        <v>15.604319138699354</v>
      </c>
      <c r="AO1281" s="36">
        <f ca="1">Tabela3[[#This Row],[Tabela 1]]*1.08</f>
        <v>16.852664669795303</v>
      </c>
      <c r="AP1281" s="36">
        <f ca="1">Tabela3[[#This Row],[Tabela 2]]*1.15</f>
        <v>19.380564370264597</v>
      </c>
    </row>
    <row r="1282" spans="1:42">
      <c r="A1282" s="9">
        <v>46174</v>
      </c>
      <c r="B1282" s="9" t="s">
        <v>258</v>
      </c>
      <c r="C1282" s="14">
        <v>9762</v>
      </c>
      <c r="D1282" s="6" t="s">
        <v>46</v>
      </c>
      <c r="E1282" s="6" t="s">
        <v>50</v>
      </c>
      <c r="F1282" s="6">
        <v>3</v>
      </c>
      <c r="G1282" s="15">
        <v>1.8749999999999999E-2</v>
      </c>
      <c r="H1282" s="16">
        <v>0</v>
      </c>
      <c r="I1282" s="35">
        <f ca="1">IFERROR(Tabela3[[#This Row],[Custo Total]]/Tabela3[[#This Row],[Aluminio Util]],0)</f>
        <v>28.23293620723868</v>
      </c>
      <c r="J1282" s="35">
        <f ca="1">Tabela3[[#This Row],[Custo Total]]/Tabela3[[#This Row],[Realizado]]</f>
        <v>13.410644698438372</v>
      </c>
      <c r="K1282" s="37">
        <f>IFERROR(Tabela3[[#This Row],[Qtde Cx Produzida]]/Tabela3[[#This Row],[Tempo]]/24,0)</f>
        <v>6.666666666666667</v>
      </c>
      <c r="L1282" s="37">
        <f>Tabela3[[#This Row],[Qtde Cx Produzida]]*Tabela3[[#This Row],[Qdt Peça Placa]]</f>
        <v>9</v>
      </c>
      <c r="M1282" s="37">
        <f>Tabela3[[#This Row],[Previsto]]-Tabela3[[#This Row],[Perda Pçs]]</f>
        <v>9</v>
      </c>
      <c r="N1282" s="38">
        <f>IFERROR(Tabela3[[#This Row],[Perda Pçs]]/Tabela3[[#This Row],[Previsto]],0)</f>
        <v>0</v>
      </c>
      <c r="O1282" s="39">
        <f>IFERROR(IF(Tabela3[[#This Row],[Qtde Cx Produzida]] &lt;&gt; 0, Tabela3[[#This Row],[Tempo]] / Tabela3[[#This Row],[Qtde Cx Produzida]], 0),0)</f>
        <v>6.2499999999999995E-3</v>
      </c>
      <c r="P1282" s="57">
        <f>IFERROR(Tabela3[[#This Row],[Perda Pçs]]/Tabela3[[#This Row],[Qdt Peça Placa]],0)</f>
        <v>0</v>
      </c>
      <c r="Q1282" s="37">
        <f>IFERROR(Tabela3[[#This Row],[Realizado]]*Tabela3[[#This Row],[Peso Util/Pç]],0)</f>
        <v>4.2749999999999995</v>
      </c>
      <c r="R1282" s="37">
        <f>IFERROR(Tabela3[[#This Row],[Peso Total Galho]]*Tabela3[[#This Row],[Qtde Cx Produzida]]*1.055,0)</f>
        <v>8.1751950000000004</v>
      </c>
      <c r="S1282" s="37">
        <f>(Tabela3[[#This Row],[Aluminio Bruto]]-Tabela3[[#This Row],[Aluminio Util]])*0.9</f>
        <v>3.5101755000000008</v>
      </c>
      <c r="T1282" s="37">
        <f>Tabela3[[#This Row],[Aluminio Bruto]]/OleoKGAluminio</f>
        <v>3.4392939660744197</v>
      </c>
      <c r="U1282" s="35">
        <f>IFERROR((VLOOKUP(Tabela3[[#This Row],[Moldador]],Tabela1[],5,)+(VLOOKUP(Tabela3[[#This Row],[Ajudante]],Tabela1[],5,))*3.5),0)</f>
        <v>99.95034583333333</v>
      </c>
      <c r="V1282" s="35">
        <f>IFERROR(Tabela3[[#This Row],[Custo M.O. / H]]/((Tabela3[[#This Row],[Realizado]]/Tabela3[[#This Row],[Qdt Peça Placa]])/Tabela3[[#This Row],[Tempo]]/24),)</f>
        <v>14.992551874999998</v>
      </c>
      <c r="W1282" s="35">
        <f>Tabela3[[#This Row],[Custo / Cx Moldada]]*Tabela3[[#This Row],[Qtde Cx Produzida]]</f>
        <v>44.977655624999997</v>
      </c>
      <c r="X1282" s="35">
        <f ca="1">Tabela3[[#This Row],[Aluminio Util]]*Tabela3[[#This Row],[Custo/Kg]]</f>
        <v>66.69</v>
      </c>
      <c r="Y1282" s="35">
        <f>IFERROR(VLOOKUP(Tabela3[[#This Row],[Data]],Tabela461213[],2,1)*(Tabela3[[#This Row],[Qtde Cx Produzida]]*Tabela3[[#This Row],[Qde macho / CX]]*Tabela3[[#This Row],[Peso Macho]]),)</f>
        <v>0</v>
      </c>
      <c r="Z1282" s="35">
        <f>IFERROR(Tabela3[[#This Row],[Qtde Oleo]]*(VLOOKUP(Tabela3[[#This Row],[Data]],CompraOleo[],3,TRUE))*1.05,0)</f>
        <v>9.0281466609453513</v>
      </c>
      <c r="AA1282" s="47">
        <f ca="1">(Tabela3[[#This Row],[Custo Oleo]]+Tabela3[[#This Row],[Custo Aluminio]]+Tabela3[[#This Row],[Custo M.O. Total]]+Tabela3[[#This Row],[Custo Machos]])</f>
        <v>120.69580228594535</v>
      </c>
      <c r="AB1282" s="47">
        <f ca="1">Tabela3[[#This Row],[Custo Total]]*Tabela3[[#This Row],[% Perda]]</f>
        <v>0</v>
      </c>
      <c r="AC1282" s="40">
        <f>IFERROR(VLOOKUP(Tabela3[[#This Row],[Produto]],Tabela2[],2,0),0)</f>
        <v>3</v>
      </c>
      <c r="AD1282" s="48">
        <f>IFERROR(VLOOKUP(Tabela3[[#This Row],[Produto]],Tabela2[],3,0),0)</f>
        <v>0.47499999999999998</v>
      </c>
      <c r="AE1282" s="48">
        <f>IFERROR(VLOOKUP(Tabela3[[#This Row],[Produto]],Tabela2[],4,0),0)</f>
        <v>2.5830000000000002</v>
      </c>
      <c r="AF1282" s="48">
        <f>IFERROR(VLOOKUP(Tabela3[[#This Row],[Produto]],Tabela2[],5,0),0)</f>
        <v>1.0422000000000005</v>
      </c>
      <c r="AG1282" s="48">
        <f>IFERROR(VLOOKUP(Tabela3[[#This Row],[Produto]],Tabela2[],6,0),0)</f>
        <v>0</v>
      </c>
      <c r="AH1282" s="40">
        <f>IFERROR(VLOOKUP(Tabela3[[#This Row],[Produto]],Tabela2[],7,0),0)</f>
        <v>0</v>
      </c>
      <c r="AI1282" s="40">
        <f>IFERROR(VLOOKUP(Tabela3[[#This Row],[Produto]],Tabela2[],8,0),0)</f>
        <v>0</v>
      </c>
      <c r="AJ1282" s="35">
        <f ca="1">IFERROR(VLOOKUP(Tabela3[[#This Row],[Produto]],Tabela2[],13,0),0)</f>
        <v>15.600000000000001</v>
      </c>
      <c r="AK1282" s="48" t="str">
        <f>IFERROR(VLOOKUP(Tabela3[[#This Row],[Produto]],Tabela2[],14,0),0)</f>
        <v>Senun</v>
      </c>
      <c r="AL1282" s="40">
        <f>IFERROR(VLOOKUP(Tabela3[[#This Row],[Produto]],Tabela2[],15,0),0)</f>
        <v>6</v>
      </c>
      <c r="AM1282" s="36">
        <f ca="1">(Tabela3[[#This Row],[Custo Usinagem]]+Tabela3[[#This Row],[Custo / Pç]])*1.2</f>
        <v>23.292773638126047</v>
      </c>
      <c r="AN1282" s="36">
        <f ca="1">Tabela3[[#This Row],[Valor Mínimo Venda]]*1.15</f>
        <v>26.786689683844951</v>
      </c>
      <c r="AO1282" s="36">
        <f ca="1">Tabela3[[#This Row],[Tabela 1]]*1.08</f>
        <v>28.92962485855255</v>
      </c>
      <c r="AP1282" s="36">
        <f ca="1">Tabela3[[#This Row],[Tabela 2]]*1.15</f>
        <v>33.269068587335433</v>
      </c>
    </row>
    <row r="1283" spans="1:42">
      <c r="A1283" s="9">
        <v>46174</v>
      </c>
      <c r="B1283" s="9" t="s">
        <v>247</v>
      </c>
      <c r="C1283" s="14">
        <v>9754</v>
      </c>
      <c r="D1283" s="6" t="s">
        <v>46</v>
      </c>
      <c r="E1283" s="6" t="s">
        <v>50</v>
      </c>
      <c r="F1283" s="6">
        <v>12</v>
      </c>
      <c r="G1283" s="15">
        <v>5.9722222222222225E-2</v>
      </c>
      <c r="H1283" s="16">
        <v>0</v>
      </c>
      <c r="I1283" s="35">
        <f ca="1">IFERROR(Tabela3[[#This Row],[Custo Total]]/Tabela3[[#This Row],[Aluminio Util]],0)</f>
        <v>27.78181686506451</v>
      </c>
      <c r="J1283" s="35">
        <f ca="1">Tabela3[[#This Row],[Custo Total]]/Tabela3[[#This Row],[Realizado]]</f>
        <v>8.3345450595193515</v>
      </c>
      <c r="K1283" s="37">
        <f>IFERROR(Tabela3[[#This Row],[Qtde Cx Produzida]]/Tabela3[[#This Row],[Tempo]]/24,0)</f>
        <v>8.3720930232558128</v>
      </c>
      <c r="L1283" s="37">
        <f>Tabela3[[#This Row],[Qtde Cx Produzida]]*Tabela3[[#This Row],[Qdt Peça Placa]]</f>
        <v>48</v>
      </c>
      <c r="M1283" s="37">
        <f>Tabela3[[#This Row],[Previsto]]-Tabela3[[#This Row],[Perda Pçs]]</f>
        <v>48</v>
      </c>
      <c r="N1283" s="38">
        <f>IFERROR(Tabela3[[#This Row],[Perda Pçs]]/Tabela3[[#This Row],[Previsto]],0)</f>
        <v>0</v>
      </c>
      <c r="O1283" s="39">
        <f>IFERROR(IF(Tabela3[[#This Row],[Qtde Cx Produzida]] &lt;&gt; 0, Tabela3[[#This Row],[Tempo]] / Tabela3[[#This Row],[Qtde Cx Produzida]], 0),0)</f>
        <v>4.9768518518518521E-3</v>
      </c>
      <c r="P1283" s="57">
        <f>IFERROR(Tabela3[[#This Row],[Perda Pçs]]/Tabela3[[#This Row],[Qdt Peça Placa]],0)</f>
        <v>0</v>
      </c>
      <c r="Q1283" s="37">
        <f>IFERROR(Tabela3[[#This Row],[Realizado]]*Tabela3[[#This Row],[Peso Util/Pç]],0)</f>
        <v>14.399999999999999</v>
      </c>
      <c r="R1283" s="37">
        <f>IFERROR(Tabela3[[#This Row],[Peso Total Galho]]*Tabela3[[#This Row],[Qtde Cx Produzida]]*1.055,0)</f>
        <v>29.117999999999995</v>
      </c>
      <c r="S1283" s="37">
        <f>(Tabela3[[#This Row],[Aluminio Bruto]]-Tabela3[[#This Row],[Aluminio Util]])*0.9</f>
        <v>13.246199999999996</v>
      </c>
      <c r="T1283" s="37">
        <f>Tabela3[[#This Row],[Aluminio Bruto]]/OleoKGAluminio</f>
        <v>12.249904950787709</v>
      </c>
      <c r="U1283" s="35">
        <f>IFERROR((VLOOKUP(Tabela3[[#This Row],[Moldador]],Tabela1[],5,)+(VLOOKUP(Tabela3[[#This Row],[Ajudante]],Tabela1[],5,))*3.5),0)</f>
        <v>99.95034583333333</v>
      </c>
      <c r="V1283" s="35">
        <f>IFERROR(Tabela3[[#This Row],[Custo M.O. / H]]/((Tabela3[[#This Row],[Realizado]]/Tabela3[[#This Row],[Qdt Peça Placa]])/Tabela3[[#This Row],[Tempo]]/24),)</f>
        <v>11.938513530092594</v>
      </c>
      <c r="W1283" s="35">
        <f>Tabela3[[#This Row],[Custo / Cx Moldada]]*Tabela3[[#This Row],[Qtde Cx Produzida]]</f>
        <v>143.26216236111114</v>
      </c>
      <c r="X1283" s="35">
        <f ca="1">Tabela3[[#This Row],[Aluminio Util]]*Tabela3[[#This Row],[Custo/Kg]]</f>
        <v>224.64</v>
      </c>
      <c r="Y1283" s="35">
        <f>IFERROR(VLOOKUP(Tabela3[[#This Row],[Data]],Tabela461213[],2,1)*(Tabela3[[#This Row],[Qtde Cx Produzida]]*Tabela3[[#This Row],[Qde macho / CX]]*Tabela3[[#This Row],[Peso Macho]]),)</f>
        <v>0</v>
      </c>
      <c r="Z1283" s="35">
        <f>IFERROR(Tabela3[[#This Row],[Qtde Oleo]]*(VLOOKUP(Tabela3[[#This Row],[Data]],CompraOleo[],3,TRUE))*1.05,0)</f>
        <v>32.156000495817736</v>
      </c>
      <c r="AA1283" s="47">
        <f ca="1">(Tabela3[[#This Row],[Custo Oleo]]+Tabela3[[#This Row],[Custo Aluminio]]+Tabela3[[#This Row],[Custo M.O. Total]]+Tabela3[[#This Row],[Custo Machos]])</f>
        <v>400.0581628569289</v>
      </c>
      <c r="AB1283" s="47">
        <f ca="1">Tabela3[[#This Row],[Custo Total]]*Tabela3[[#This Row],[% Perda]]</f>
        <v>0</v>
      </c>
      <c r="AC1283" s="40">
        <f>IFERROR(VLOOKUP(Tabela3[[#This Row],[Produto]],Tabela2[],2,0),0)</f>
        <v>4</v>
      </c>
      <c r="AD1283" s="48">
        <f>IFERROR(VLOOKUP(Tabela3[[#This Row],[Produto]],Tabela2[],3,0),0)</f>
        <v>0.3</v>
      </c>
      <c r="AE1283" s="48">
        <f>IFERROR(VLOOKUP(Tabela3[[#This Row],[Produto]],Tabela2[],4,0),0)</f>
        <v>2.2999999999999998</v>
      </c>
      <c r="AF1283" s="48">
        <f>IFERROR(VLOOKUP(Tabela3[[#This Row],[Produto]],Tabela2[],5,0),0)</f>
        <v>0.98999999999999988</v>
      </c>
      <c r="AG1283" s="48">
        <f>IFERROR(VLOOKUP(Tabela3[[#This Row],[Produto]],Tabela2[],6,0),0)</f>
        <v>0</v>
      </c>
      <c r="AH1283" s="40">
        <f>IFERROR(VLOOKUP(Tabela3[[#This Row],[Produto]],Tabela2[],7,0),0)</f>
        <v>0</v>
      </c>
      <c r="AI1283" s="40">
        <f>IFERROR(VLOOKUP(Tabela3[[#This Row],[Produto]],Tabela2[],8,0),0)</f>
        <v>0</v>
      </c>
      <c r="AJ1283" s="35">
        <f ca="1">IFERROR(VLOOKUP(Tabela3[[#This Row],[Produto]],Tabela2[],13,0),0)</f>
        <v>15.600000000000001</v>
      </c>
      <c r="AK1283" s="48" t="str">
        <f>IFERROR(VLOOKUP(Tabela3[[#This Row],[Produto]],Tabela2[],14,0),0)</f>
        <v>Senun</v>
      </c>
      <c r="AL1283" s="40">
        <f>IFERROR(VLOOKUP(Tabela3[[#This Row],[Produto]],Tabela2[],15,0),0)</f>
        <v>3.5</v>
      </c>
      <c r="AM1283" s="36">
        <f ca="1">(Tabela3[[#This Row],[Custo Usinagem]]+Tabela3[[#This Row],[Custo / Pç]])*1.2</f>
        <v>14.201454071423221</v>
      </c>
      <c r="AN1283" s="36">
        <f ca="1">Tabela3[[#This Row],[Valor Mínimo Venda]]*1.15</f>
        <v>16.331672182136703</v>
      </c>
      <c r="AO1283" s="36">
        <f ca="1">Tabela3[[#This Row],[Tabela 1]]*1.08</f>
        <v>17.63820595670764</v>
      </c>
      <c r="AP1283" s="36">
        <f ca="1">Tabela3[[#This Row],[Tabela 2]]*1.15</f>
        <v>20.283936850213784</v>
      </c>
    </row>
    <row r="1284" spans="1:42">
      <c r="A1284" s="9">
        <v>46174</v>
      </c>
      <c r="B1284" s="9" t="s">
        <v>247</v>
      </c>
      <c r="C1284" s="14">
        <v>9754</v>
      </c>
      <c r="D1284" s="6" t="s">
        <v>46</v>
      </c>
      <c r="E1284" s="6" t="s">
        <v>44</v>
      </c>
      <c r="F1284" s="6">
        <v>18</v>
      </c>
      <c r="G1284" s="15">
        <v>8.5416666666666669E-2</v>
      </c>
      <c r="H1284" s="16">
        <v>0</v>
      </c>
      <c r="I1284" s="35">
        <f ca="1">IFERROR(Tabela3[[#This Row],[Custo Total]]/Tabela3[[#This Row],[Aluminio Util]],0)</f>
        <v>29.800357673320676</v>
      </c>
      <c r="J1284" s="35">
        <f ca="1">Tabela3[[#This Row],[Custo Total]]/Tabela3[[#This Row],[Realizado]]</f>
        <v>8.9401073019962016</v>
      </c>
      <c r="K1284" s="37">
        <f>IFERROR(Tabela3[[#This Row],[Qtde Cx Produzida]]/Tabela3[[#This Row],[Tempo]]/24,0)</f>
        <v>8.7804878048780477</v>
      </c>
      <c r="L1284" s="37">
        <f>Tabela3[[#This Row],[Qtde Cx Produzida]]*Tabela3[[#This Row],[Qdt Peça Placa]]</f>
        <v>72</v>
      </c>
      <c r="M1284" s="37">
        <f>Tabela3[[#This Row],[Previsto]]-Tabela3[[#This Row],[Perda Pçs]]</f>
        <v>72</v>
      </c>
      <c r="N1284" s="38">
        <f>IFERROR(Tabela3[[#This Row],[Perda Pçs]]/Tabela3[[#This Row],[Previsto]],0)</f>
        <v>0</v>
      </c>
      <c r="O1284" s="39">
        <f>IFERROR(IF(Tabela3[[#This Row],[Qtde Cx Produzida]] &lt;&gt; 0, Tabela3[[#This Row],[Tempo]] / Tabela3[[#This Row],[Qtde Cx Produzida]], 0),0)</f>
        <v>4.7453703703703703E-3</v>
      </c>
      <c r="P1284" s="57">
        <f>IFERROR(Tabela3[[#This Row],[Perda Pçs]]/Tabela3[[#This Row],[Qdt Peça Placa]],0)</f>
        <v>0</v>
      </c>
      <c r="Q1284" s="37">
        <f>IFERROR(Tabela3[[#This Row],[Realizado]]*Tabela3[[#This Row],[Peso Util/Pç]],0)</f>
        <v>21.599999999999998</v>
      </c>
      <c r="R1284" s="37">
        <f>IFERROR(Tabela3[[#This Row],[Peso Total Galho]]*Tabela3[[#This Row],[Qtde Cx Produzida]]*1.055,0)</f>
        <v>43.676999999999992</v>
      </c>
      <c r="S1284" s="37">
        <f>(Tabela3[[#This Row],[Aluminio Bruto]]-Tabela3[[#This Row],[Aluminio Util]])*0.9</f>
        <v>19.869299999999996</v>
      </c>
      <c r="T1284" s="37">
        <f>Tabela3[[#This Row],[Aluminio Bruto]]/OleoKGAluminio</f>
        <v>18.374857426181563</v>
      </c>
      <c r="U1284" s="35">
        <f>IFERROR((VLOOKUP(Tabela3[[#This Row],[Moldador]],Tabela1[],5,)+(VLOOKUP(Tabela3[[#This Row],[Ajudante]],Tabela1[],5,))*3.5),0)</f>
        <v>126.0945</v>
      </c>
      <c r="V1284" s="35">
        <f>IFERROR(Tabela3[[#This Row],[Custo M.O. / H]]/((Tabela3[[#This Row],[Realizado]]/Tabela3[[#This Row],[Qdt Peça Placa]])/Tabela3[[#This Row],[Tempo]]/24),)</f>
        <v>14.360762500000002</v>
      </c>
      <c r="W1284" s="35">
        <f>Tabela3[[#This Row],[Custo / Cx Moldada]]*Tabela3[[#This Row],[Qtde Cx Produzida]]</f>
        <v>258.49372500000004</v>
      </c>
      <c r="X1284" s="35">
        <f ca="1">Tabela3[[#This Row],[Aluminio Util]]*Tabela3[[#This Row],[Custo/Kg]]</f>
        <v>336.96</v>
      </c>
      <c r="Y1284" s="35">
        <f>IFERROR(VLOOKUP(Tabela3[[#This Row],[Data]],Tabela461213[],2,1)*(Tabela3[[#This Row],[Qtde Cx Produzida]]*Tabela3[[#This Row],[Qde macho / CX]]*Tabela3[[#This Row],[Peso Macho]]),)</f>
        <v>0</v>
      </c>
      <c r="Z1284" s="35">
        <f>IFERROR(Tabela3[[#This Row],[Qtde Oleo]]*(VLOOKUP(Tabela3[[#This Row],[Data]],CompraOleo[],3,TRUE))*1.05,0)</f>
        <v>48.234000743726604</v>
      </c>
      <c r="AA1284" s="47">
        <f ca="1">(Tabela3[[#This Row],[Custo Oleo]]+Tabela3[[#This Row],[Custo Aluminio]]+Tabela3[[#This Row],[Custo M.O. Total]]+Tabela3[[#This Row],[Custo Machos]])</f>
        <v>643.68772574372656</v>
      </c>
      <c r="AB1284" s="47">
        <f ca="1">Tabela3[[#This Row],[Custo Total]]*Tabela3[[#This Row],[% Perda]]</f>
        <v>0</v>
      </c>
      <c r="AC1284" s="40">
        <f>IFERROR(VLOOKUP(Tabela3[[#This Row],[Produto]],Tabela2[],2,0),0)</f>
        <v>4</v>
      </c>
      <c r="AD1284" s="48">
        <f>IFERROR(VLOOKUP(Tabela3[[#This Row],[Produto]],Tabela2[],3,0),0)</f>
        <v>0.3</v>
      </c>
      <c r="AE1284" s="48">
        <f>IFERROR(VLOOKUP(Tabela3[[#This Row],[Produto]],Tabela2[],4,0),0)</f>
        <v>2.2999999999999998</v>
      </c>
      <c r="AF1284" s="48">
        <f>IFERROR(VLOOKUP(Tabela3[[#This Row],[Produto]],Tabela2[],5,0),0)</f>
        <v>0.98999999999999988</v>
      </c>
      <c r="AG1284" s="48">
        <f>IFERROR(VLOOKUP(Tabela3[[#This Row],[Produto]],Tabela2[],6,0),0)</f>
        <v>0</v>
      </c>
      <c r="AH1284" s="40">
        <f>IFERROR(VLOOKUP(Tabela3[[#This Row],[Produto]],Tabela2[],7,0),0)</f>
        <v>0</v>
      </c>
      <c r="AI1284" s="40">
        <f>IFERROR(VLOOKUP(Tabela3[[#This Row],[Produto]],Tabela2[],8,0),0)</f>
        <v>0</v>
      </c>
      <c r="AJ1284" s="35">
        <f ca="1">IFERROR(VLOOKUP(Tabela3[[#This Row],[Produto]],Tabela2[],13,0),0)</f>
        <v>15.600000000000001</v>
      </c>
      <c r="AK1284" s="48" t="str">
        <f>IFERROR(VLOOKUP(Tabela3[[#This Row],[Produto]],Tabela2[],14,0),0)</f>
        <v>Senun</v>
      </c>
      <c r="AL1284" s="40">
        <f>IFERROR(VLOOKUP(Tabela3[[#This Row],[Produto]],Tabela2[],15,0),0)</f>
        <v>3.5</v>
      </c>
      <c r="AM1284" s="36">
        <f ca="1">(Tabela3[[#This Row],[Custo Usinagem]]+Tabela3[[#This Row],[Custo / Pç]])*1.2</f>
        <v>14.928128762395442</v>
      </c>
      <c r="AN1284" s="36">
        <f ca="1">Tabela3[[#This Row],[Valor Mínimo Venda]]*1.15</f>
        <v>17.167348076754756</v>
      </c>
      <c r="AO1284" s="36">
        <f ca="1">Tabela3[[#This Row],[Tabela 1]]*1.08</f>
        <v>18.540735922895138</v>
      </c>
      <c r="AP1284" s="36">
        <f ca="1">Tabela3[[#This Row],[Tabela 2]]*1.15</f>
        <v>21.321846311329406</v>
      </c>
    </row>
    <row r="1285" spans="1:42">
      <c r="A1285" s="9">
        <v>46174</v>
      </c>
      <c r="B1285" s="9" t="s">
        <v>102</v>
      </c>
      <c r="C1285" s="14">
        <v>9780</v>
      </c>
      <c r="D1285" s="6" t="s">
        <v>44</v>
      </c>
      <c r="E1285" s="6" t="s">
        <v>47</v>
      </c>
      <c r="F1285" s="6">
        <v>6</v>
      </c>
      <c r="G1285" s="15">
        <v>5.6250000000000001E-2</v>
      </c>
      <c r="H1285" s="16">
        <v>0</v>
      </c>
      <c r="I1285" s="35">
        <f ca="1">IFERROR(Tabela3[[#This Row],[Custo Total]]/Tabela3[[#This Row],[Aluminio Util]],0)</f>
        <v>20.021318798759904</v>
      </c>
      <c r="J1285" s="35">
        <f ca="1">Tabela3[[#This Row],[Custo Total]]/Tabela3[[#This Row],[Realizado]]</f>
        <v>384.40932093619011</v>
      </c>
      <c r="K1285" s="37">
        <f>IFERROR(Tabela3[[#This Row],[Qtde Cx Produzida]]/Tabela3[[#This Row],[Tempo]]/24,0)</f>
        <v>4.4444444444444438</v>
      </c>
      <c r="L1285" s="37">
        <f>Tabela3[[#This Row],[Qtde Cx Produzida]]*Tabela3[[#This Row],[Qdt Peça Placa]]</f>
        <v>6</v>
      </c>
      <c r="M1285" s="37">
        <f>Tabela3[[#This Row],[Previsto]]-Tabela3[[#This Row],[Perda Pçs]]</f>
        <v>6</v>
      </c>
      <c r="N1285" s="38">
        <f>IFERROR(Tabela3[[#This Row],[Perda Pçs]]/Tabela3[[#This Row],[Previsto]],0)</f>
        <v>0</v>
      </c>
      <c r="O1285" s="39">
        <f>IFERROR(IF(Tabela3[[#This Row],[Qtde Cx Produzida]] &lt;&gt; 0, Tabela3[[#This Row],[Tempo]] / Tabela3[[#This Row],[Qtde Cx Produzida]], 0),0)</f>
        <v>9.3749999999999997E-3</v>
      </c>
      <c r="P1285" s="57">
        <f>IFERROR(Tabela3[[#This Row],[Perda Pçs]]/Tabela3[[#This Row],[Qdt Peça Placa]],0)</f>
        <v>0</v>
      </c>
      <c r="Q1285" s="37">
        <f>IFERROR(Tabela3[[#This Row],[Realizado]]*Tabela3[[#This Row],[Peso Util/Pç]],0)</f>
        <v>115.19999999999999</v>
      </c>
      <c r="R1285" s="37">
        <f>IFERROR(Tabela3[[#This Row],[Peso Total Galho]]*Tabela3[[#This Row],[Qtde Cx Produzida]]*1.055,0)</f>
        <v>130.398</v>
      </c>
      <c r="S1285" s="37">
        <f>(Tabela3[[#This Row],[Aluminio Bruto]]-Tabela3[[#This Row],[Aluminio Util]])*0.9</f>
        <v>13.678200000000007</v>
      </c>
      <c r="T1285" s="37">
        <f>Tabela3[[#This Row],[Aluminio Bruto]]/OleoKGAluminio</f>
        <v>54.858269997005834</v>
      </c>
      <c r="U1285" s="35">
        <f>IFERROR((VLOOKUP(Tabela3[[#This Row],[Moldador]],Tabela1[],5,)+(VLOOKUP(Tabela3[[#This Row],[Ajudante]],Tabela1[],5,))*3.5),0)</f>
        <v>99.95034583333333</v>
      </c>
      <c r="V1285" s="35">
        <f>IFERROR(Tabela3[[#This Row],[Custo M.O. / H]]/((Tabela3[[#This Row],[Realizado]]/Tabela3[[#This Row],[Qdt Peça Placa]])/Tabela3[[#This Row],[Tempo]]/24),)</f>
        <v>22.488827812500002</v>
      </c>
      <c r="W1285" s="35">
        <f>Tabela3[[#This Row],[Custo / Cx Moldada]]*Tabela3[[#This Row],[Qtde Cx Produzida]]</f>
        <v>134.93296687500001</v>
      </c>
      <c r="X1285" s="35">
        <f ca="1">Tabela3[[#This Row],[Aluminio Util]]*Tabela3[[#This Row],[Custo/Kg]]</f>
        <v>2027.52</v>
      </c>
      <c r="Y1285" s="35">
        <f>IFERROR(VLOOKUP(Tabela3[[#This Row],[Data]],Tabela461213[],2,1)*(Tabela3[[#This Row],[Qtde Cx Produzida]]*Tabela3[[#This Row],[Qde macho / CX]]*Tabela3[[#This Row],[Peso Macho]]),)</f>
        <v>0</v>
      </c>
      <c r="Z1285" s="35">
        <f>IFERROR(Tabela3[[#This Row],[Qtde Oleo]]*(VLOOKUP(Tabela3[[#This Row],[Data]],CompraOleo[],3,TRUE))*1.05,0)</f>
        <v>144.00295874214032</v>
      </c>
      <c r="AA1285" s="47">
        <f ca="1">(Tabela3[[#This Row],[Custo Oleo]]+Tabela3[[#This Row],[Custo Aluminio]]+Tabela3[[#This Row],[Custo M.O. Total]]+Tabela3[[#This Row],[Custo Machos]])</f>
        <v>2306.4559256171406</v>
      </c>
      <c r="AB1285" s="47">
        <f ca="1">Tabela3[[#This Row],[Custo Total]]*Tabela3[[#This Row],[% Perda]]</f>
        <v>0</v>
      </c>
      <c r="AC1285" s="40">
        <f>IFERROR(VLOOKUP(Tabela3[[#This Row],[Produto]],Tabela2[],2,0),0)</f>
        <v>1</v>
      </c>
      <c r="AD1285" s="48">
        <f>IFERROR(VLOOKUP(Tabela3[[#This Row],[Produto]],Tabela2[],3,0),0)</f>
        <v>19.2</v>
      </c>
      <c r="AE1285" s="48">
        <f>IFERROR(VLOOKUP(Tabela3[[#This Row],[Produto]],Tabela2[],4,0),0)</f>
        <v>20.6</v>
      </c>
      <c r="AF1285" s="48">
        <f>IFERROR(VLOOKUP(Tabela3[[#This Row],[Produto]],Tabela2[],5,0),0)</f>
        <v>1.260000000000002</v>
      </c>
      <c r="AG1285" s="48">
        <f>IFERROR(VLOOKUP(Tabela3[[#This Row],[Produto]],Tabela2[],6,0),0)</f>
        <v>0</v>
      </c>
      <c r="AH1285" s="40">
        <f>IFERROR(VLOOKUP(Tabela3[[#This Row],[Produto]],Tabela2[],7,0),0)</f>
        <v>0</v>
      </c>
      <c r="AI1285" s="40">
        <f>IFERROR(VLOOKUP(Tabela3[[#This Row],[Produto]],Tabela2[],8,0),0)</f>
        <v>0</v>
      </c>
      <c r="AJ1285" s="35">
        <f ca="1">IFERROR(VLOOKUP(Tabela3[[#This Row],[Produto]],Tabela2[],13,0),0)</f>
        <v>17.600000000000001</v>
      </c>
      <c r="AK1285" s="48" t="str">
        <f>IFERROR(VLOOKUP(Tabela3[[#This Row],[Produto]],Tabela2[],14,0),0)</f>
        <v>TRATOMAG</v>
      </c>
      <c r="AL1285" s="40">
        <f>IFERROR(VLOOKUP(Tabela3[[#This Row],[Produto]],Tabela2[],15,0),0)</f>
        <v>0</v>
      </c>
      <c r="AM1285" s="36">
        <f ca="1">(Tabela3[[#This Row],[Custo Usinagem]]+Tabela3[[#This Row],[Custo / Pç]])*1.2</f>
        <v>461.29118512342814</v>
      </c>
      <c r="AN1285" s="36">
        <f ca="1">Tabela3[[#This Row],[Valor Mínimo Venda]]*1.15</f>
        <v>530.48486289194227</v>
      </c>
      <c r="AO1285" s="36">
        <f ca="1">Tabela3[[#This Row],[Tabela 1]]*1.08</f>
        <v>572.92365192329771</v>
      </c>
      <c r="AP1285" s="36">
        <f ca="1">Tabela3[[#This Row],[Tabela 2]]*1.15</f>
        <v>658.8621997117923</v>
      </c>
    </row>
    <row r="1286" spans="1:42">
      <c r="A1286" s="9">
        <v>46174</v>
      </c>
      <c r="B1286" s="9" t="s">
        <v>186</v>
      </c>
      <c r="C1286" s="14">
        <v>9781</v>
      </c>
      <c r="D1286" s="6" t="s">
        <v>44</v>
      </c>
      <c r="E1286" s="6" t="s">
        <v>47</v>
      </c>
      <c r="F1286" s="6">
        <v>5</v>
      </c>
      <c r="G1286" s="15">
        <v>7.4999999999999997E-2</v>
      </c>
      <c r="H1286" s="16">
        <v>0</v>
      </c>
      <c r="I1286" s="35">
        <f ca="1">IFERROR(Tabela3[[#This Row],[Custo Total]]/Tabela3[[#This Row],[Aluminio Util]],0)</f>
        <v>22.096056630236209</v>
      </c>
      <c r="J1286" s="35">
        <f ca="1">Tabela3[[#This Row],[Custo Total]]/Tabela3[[#This Row],[Realizado]]</f>
        <v>247.0339131260408</v>
      </c>
      <c r="K1286" s="37">
        <f>IFERROR(Tabela3[[#This Row],[Qtde Cx Produzida]]/Tabela3[[#This Row],[Tempo]]/24,0)</f>
        <v>2.7777777777777781</v>
      </c>
      <c r="L1286" s="37">
        <f>Tabela3[[#This Row],[Qtde Cx Produzida]]*Tabela3[[#This Row],[Qdt Peça Placa]]</f>
        <v>5</v>
      </c>
      <c r="M1286" s="37">
        <f>Tabela3[[#This Row],[Previsto]]-Tabela3[[#This Row],[Perda Pçs]]</f>
        <v>5</v>
      </c>
      <c r="N1286" s="38">
        <f>IFERROR(Tabela3[[#This Row],[Perda Pçs]]/Tabela3[[#This Row],[Previsto]],0)</f>
        <v>0</v>
      </c>
      <c r="O1286" s="39">
        <f>IFERROR(IF(Tabela3[[#This Row],[Qtde Cx Produzida]] &lt;&gt; 0, Tabela3[[#This Row],[Tempo]] / Tabela3[[#This Row],[Qtde Cx Produzida]], 0),0)</f>
        <v>1.4999999999999999E-2</v>
      </c>
      <c r="P1286" s="57">
        <f>IFERROR(Tabela3[[#This Row],[Perda Pçs]]/Tabela3[[#This Row],[Qdt Peça Placa]],0)</f>
        <v>0</v>
      </c>
      <c r="Q1286" s="37">
        <f>IFERROR(Tabela3[[#This Row],[Realizado]]*Tabela3[[#This Row],[Peso Util/Pç]],0)</f>
        <v>55.9</v>
      </c>
      <c r="R1286" s="37">
        <f>IFERROR(Tabela3[[#This Row],[Peso Total Galho]]*Tabela3[[#This Row],[Qtde Cx Produzida]]*1.055,0)</f>
        <v>64.671499999999995</v>
      </c>
      <c r="S1286" s="37">
        <f>(Tabela3[[#This Row],[Aluminio Bruto]]-Tabela3[[#This Row],[Aluminio Util]])*0.9</f>
        <v>7.8943499999999966</v>
      </c>
      <c r="T1286" s="37">
        <f>Tabela3[[#This Row],[Aluminio Bruto]]/OleoKGAluminio</f>
        <v>27.207216430553864</v>
      </c>
      <c r="U1286" s="35">
        <f>IFERROR((VLOOKUP(Tabela3[[#This Row],[Moldador]],Tabela1[],5,)+(VLOOKUP(Tabela3[[#This Row],[Ajudante]],Tabela1[],5,))*3.5),0)</f>
        <v>99.95034583333333</v>
      </c>
      <c r="V1286" s="35">
        <f>IFERROR(Tabela3[[#This Row],[Custo M.O. / H]]/((Tabela3[[#This Row],[Realizado]]/Tabela3[[#This Row],[Qdt Peça Placa]])/Tabela3[[#This Row],[Tempo]]/24),)</f>
        <v>35.982124499999998</v>
      </c>
      <c r="W1286" s="35">
        <f>Tabela3[[#This Row],[Custo / Cx Moldada]]*Tabela3[[#This Row],[Qtde Cx Produzida]]</f>
        <v>179.91062249999999</v>
      </c>
      <c r="X1286" s="35">
        <f ca="1">Tabela3[[#This Row],[Aluminio Util]]*Tabela3[[#This Row],[Custo/Kg]]</f>
        <v>983.84</v>
      </c>
      <c r="Y1286" s="35">
        <f>IFERROR(VLOOKUP(Tabela3[[#This Row],[Data]],Tabela461213[],2,1)*(Tabela3[[#This Row],[Qtde Cx Produzida]]*Tabela3[[#This Row],[Qde macho / CX]]*Tabela3[[#This Row],[Peso Macho]]),)</f>
        <v>0</v>
      </c>
      <c r="Z1286" s="35">
        <f>IFERROR(Tabela3[[#This Row],[Qtde Oleo]]*(VLOOKUP(Tabela3[[#This Row],[Data]],CompraOleo[],3,TRUE))*1.05,0)</f>
        <v>71.4189431302039</v>
      </c>
      <c r="AA1286" s="47">
        <f ca="1">(Tabela3[[#This Row],[Custo Oleo]]+Tabela3[[#This Row],[Custo Aluminio]]+Tabela3[[#This Row],[Custo M.O. Total]]+Tabela3[[#This Row],[Custo Machos]])</f>
        <v>1235.169565630204</v>
      </c>
      <c r="AB1286" s="47">
        <f ca="1">Tabela3[[#This Row],[Custo Total]]*Tabela3[[#This Row],[% Perda]]</f>
        <v>0</v>
      </c>
      <c r="AC1286" s="40">
        <f>IFERROR(VLOOKUP(Tabela3[[#This Row],[Produto]],Tabela2[],2,0),0)</f>
        <v>1</v>
      </c>
      <c r="AD1286" s="48">
        <f>IFERROR(VLOOKUP(Tabela3[[#This Row],[Produto]],Tabela2[],3,0),0)</f>
        <v>11.18</v>
      </c>
      <c r="AE1286" s="48">
        <f>IFERROR(VLOOKUP(Tabela3[[#This Row],[Produto]],Tabela2[],4,0),0)</f>
        <v>12.26</v>
      </c>
      <c r="AF1286" s="48">
        <f>IFERROR(VLOOKUP(Tabela3[[#This Row],[Produto]],Tabela2[],5,0),0)</f>
        <v>0.97200000000000009</v>
      </c>
      <c r="AG1286" s="48">
        <f>IFERROR(VLOOKUP(Tabela3[[#This Row],[Produto]],Tabela2[],6,0),0)</f>
        <v>0</v>
      </c>
      <c r="AH1286" s="40">
        <f>IFERROR(VLOOKUP(Tabela3[[#This Row],[Produto]],Tabela2[],7,0),0)</f>
        <v>0</v>
      </c>
      <c r="AI1286" s="40">
        <f>IFERROR(VLOOKUP(Tabela3[[#This Row],[Produto]],Tabela2[],8,0),0)</f>
        <v>0</v>
      </c>
      <c r="AJ1286" s="35">
        <f ca="1">IFERROR(VLOOKUP(Tabela3[[#This Row],[Produto]],Tabela2[],13,0),0)</f>
        <v>17.600000000000001</v>
      </c>
      <c r="AK1286" s="48" t="str">
        <f>IFERROR(VLOOKUP(Tabela3[[#This Row],[Produto]],Tabela2[],14,0),0)</f>
        <v>Oscar</v>
      </c>
      <c r="AL1286" s="40">
        <f>IFERROR(VLOOKUP(Tabela3[[#This Row],[Produto]],Tabela2[],15,0),0)</f>
        <v>0</v>
      </c>
      <c r="AM1286" s="36">
        <f ca="1">(Tabela3[[#This Row],[Custo Usinagem]]+Tabela3[[#This Row],[Custo / Pç]])*1.2</f>
        <v>296.44069575124894</v>
      </c>
      <c r="AN1286" s="36">
        <f ca="1">Tabela3[[#This Row],[Valor Mínimo Venda]]*1.15</f>
        <v>340.90680011393624</v>
      </c>
      <c r="AO1286" s="36">
        <f ca="1">Tabela3[[#This Row],[Tabela 1]]*1.08</f>
        <v>368.17934412305118</v>
      </c>
      <c r="AP1286" s="36">
        <f ca="1">Tabela3[[#This Row],[Tabela 2]]*1.15</f>
        <v>423.40624574150883</v>
      </c>
    </row>
    <row r="1287" spans="1:42">
      <c r="A1287" s="9">
        <v>46175</v>
      </c>
      <c r="B1287" s="9" t="s">
        <v>254</v>
      </c>
      <c r="C1287" s="14">
        <v>9774</v>
      </c>
      <c r="D1287" s="6" t="s">
        <v>44</v>
      </c>
      <c r="E1287" s="6" t="s">
        <v>47</v>
      </c>
      <c r="F1287" s="6">
        <v>32</v>
      </c>
      <c r="G1287" s="15">
        <v>0.15208333333333332</v>
      </c>
      <c r="H1287" s="16">
        <v>0</v>
      </c>
      <c r="I1287" s="35">
        <f ca="1">IFERROR(Tabela3[[#This Row],[Custo Total]]/Tabela3[[#This Row],[Aluminio Util]],0)</f>
        <v>32.311483314348251</v>
      </c>
      <c r="J1287" s="35">
        <f ca="1">Tabela3[[#This Row],[Custo Total]]/Tabela3[[#This Row],[Realizado]]</f>
        <v>29.694253165886046</v>
      </c>
      <c r="K1287" s="37">
        <f>IFERROR(Tabela3[[#This Row],[Qtde Cx Produzida]]/Tabela3[[#This Row],[Tempo]]/24,0)</f>
        <v>8.7671232876712342</v>
      </c>
      <c r="L1287" s="37">
        <f>Tabela3[[#This Row],[Qtde Cx Produzida]]*Tabela3[[#This Row],[Qdt Peça Placa]]</f>
        <v>32</v>
      </c>
      <c r="M1287" s="37">
        <f>Tabela3[[#This Row],[Previsto]]-Tabela3[[#This Row],[Perda Pçs]]</f>
        <v>32</v>
      </c>
      <c r="N1287" s="38">
        <f>IFERROR(Tabela3[[#This Row],[Perda Pçs]]/Tabela3[[#This Row],[Previsto]],0)</f>
        <v>0</v>
      </c>
      <c r="O1287" s="39">
        <f>IFERROR(IF(Tabela3[[#This Row],[Qtde Cx Produzida]] &lt;&gt; 0, Tabela3[[#This Row],[Tempo]] / Tabela3[[#This Row],[Qtde Cx Produzida]], 0),0)</f>
        <v>4.7526041666666663E-3</v>
      </c>
      <c r="P1287" s="57">
        <f>IFERROR(Tabela3[[#This Row],[Perda Pçs]]/Tabela3[[#This Row],[Qdt Peça Placa]],0)</f>
        <v>0</v>
      </c>
      <c r="Q1287" s="37">
        <f>IFERROR(Tabela3[[#This Row],[Realizado]]*Tabela3[[#This Row],[Peso Util/Pç]],0)</f>
        <v>29.408000000000001</v>
      </c>
      <c r="R1287" s="37">
        <f>IFERROR(Tabela3[[#This Row],[Peso Total Galho]]*Tabela3[[#This Row],[Qtde Cx Produzida]]*1.055,0)</f>
        <v>61.409439999999996</v>
      </c>
      <c r="S1287" s="37">
        <f>(Tabela3[[#This Row],[Aluminio Bruto]]-Tabela3[[#This Row],[Aluminio Util]])*0.9</f>
        <v>28.801295999999997</v>
      </c>
      <c r="T1287" s="37">
        <f>Tabela3[[#This Row],[Aluminio Bruto]]/OleoKGAluminio</f>
        <v>25.834872006356921</v>
      </c>
      <c r="U1287" s="35">
        <f>IFERROR((VLOOKUP(Tabela3[[#This Row],[Moldador]],Tabela1[],5,)+(VLOOKUP(Tabela3[[#This Row],[Ajudante]],Tabela1[],5,))*3.5),0)</f>
        <v>99.95034583333333</v>
      </c>
      <c r="V1287" s="35">
        <f>IFERROR(Tabela3[[#This Row],[Custo M.O. / H]]/((Tabela3[[#This Row],[Realizado]]/Tabela3[[#This Row],[Qdt Peça Placa]])/Tabela3[[#This Row],[Tempo]]/24),)</f>
        <v>11.400586321614581</v>
      </c>
      <c r="W1287" s="35">
        <f>Tabela3[[#This Row],[Custo / Cx Moldada]]*Tabela3[[#This Row],[Qtde Cx Produzida]]</f>
        <v>364.81876229166659</v>
      </c>
      <c r="X1287" s="35">
        <f ca="1">Tabela3[[#This Row],[Aluminio Util]]*Tabela3[[#This Row],[Custo/Kg]]</f>
        <v>517.58080000000007</v>
      </c>
      <c r="Y1287" s="35">
        <f>IFERROR(VLOOKUP(Tabela3[[#This Row],[Data]],Tabela461213[],2,1)*(Tabela3[[#This Row],[Qtde Cx Produzida]]*Tabela3[[#This Row],[Qde macho / CX]]*Tabela3[[#This Row],[Peso Macho]]),)</f>
        <v>0</v>
      </c>
      <c r="Z1287" s="35">
        <f>IFERROR(Tabela3[[#This Row],[Qtde Oleo]]*(VLOOKUP(Tabela3[[#This Row],[Data]],CompraOleo[],3,TRUE))*1.05,0)</f>
        <v>67.816539016686917</v>
      </c>
      <c r="AA1287" s="47">
        <f ca="1">(Tabela3[[#This Row],[Custo Oleo]]+Tabela3[[#This Row],[Custo Aluminio]]+Tabela3[[#This Row],[Custo M.O. Total]]+Tabela3[[#This Row],[Custo Machos]])</f>
        <v>950.21610130835347</v>
      </c>
      <c r="AB1287" s="47">
        <f ca="1">Tabela3[[#This Row],[Custo Total]]*Tabela3[[#This Row],[% Perda]]</f>
        <v>0</v>
      </c>
      <c r="AC1287" s="40">
        <f>IFERROR(VLOOKUP(Tabela3[[#This Row],[Produto]],Tabela2[],2,0),0)</f>
        <v>1</v>
      </c>
      <c r="AD1287" s="48">
        <f>IFERROR(VLOOKUP(Tabela3[[#This Row],[Produto]],Tabela2[],3,0),0)</f>
        <v>0.91900000000000004</v>
      </c>
      <c r="AE1287" s="48">
        <f>IFERROR(VLOOKUP(Tabela3[[#This Row],[Produto]],Tabela2[],4,0),0)</f>
        <v>1.819</v>
      </c>
      <c r="AF1287" s="48">
        <f>IFERROR(VLOOKUP(Tabela3[[#This Row],[Produto]],Tabela2[],5,0),0)</f>
        <v>0.80999999999999994</v>
      </c>
      <c r="AG1287" s="48">
        <f>IFERROR(VLOOKUP(Tabela3[[#This Row],[Produto]],Tabela2[],6,0),0)</f>
        <v>0</v>
      </c>
      <c r="AH1287" s="40">
        <f>IFERROR(VLOOKUP(Tabela3[[#This Row],[Produto]],Tabela2[],7,0),0)</f>
        <v>0</v>
      </c>
      <c r="AI1287" s="40">
        <f>IFERROR(VLOOKUP(Tabela3[[#This Row],[Produto]],Tabela2[],8,0),0)</f>
        <v>0</v>
      </c>
      <c r="AJ1287" s="35">
        <f ca="1">IFERROR(VLOOKUP(Tabela3[[#This Row],[Produto]],Tabela2[],13,0),0)</f>
        <v>17.600000000000001</v>
      </c>
      <c r="AK1287" s="48" t="str">
        <f>IFERROR(VLOOKUP(Tabela3[[#This Row],[Produto]],Tabela2[],14,0),0)</f>
        <v>Protec</v>
      </c>
      <c r="AL1287" s="40">
        <f>IFERROR(VLOOKUP(Tabela3[[#This Row],[Produto]],Tabela2[],15,0),0)</f>
        <v>0</v>
      </c>
      <c r="AM1287" s="36">
        <f ca="1">(Tabela3[[#This Row],[Custo Usinagem]]+Tabela3[[#This Row],[Custo / Pç]])*1.2</f>
        <v>35.633103799063257</v>
      </c>
      <c r="AN1287" s="36">
        <f ca="1">Tabela3[[#This Row],[Valor Mínimo Venda]]*1.15</f>
        <v>40.978069368922739</v>
      </c>
      <c r="AO1287" s="36">
        <f ca="1">Tabela3[[#This Row],[Tabela 1]]*1.08</f>
        <v>44.256314918436559</v>
      </c>
      <c r="AP1287" s="36">
        <f ca="1">Tabela3[[#This Row],[Tabela 2]]*1.15</f>
        <v>50.894762156202042</v>
      </c>
    </row>
    <row r="1288" spans="1:42">
      <c r="A1288" s="9">
        <v>46175</v>
      </c>
      <c r="B1288" s="9" t="s">
        <v>250</v>
      </c>
      <c r="C1288" s="14">
        <v>9782</v>
      </c>
      <c r="D1288" s="6" t="s">
        <v>44</v>
      </c>
      <c r="E1288" s="6" t="s">
        <v>47</v>
      </c>
      <c r="F1288" s="6">
        <v>4</v>
      </c>
      <c r="G1288" s="15">
        <v>2.0833333333333332E-2</v>
      </c>
      <c r="H1288" s="16">
        <v>0</v>
      </c>
      <c r="I1288" s="35">
        <f ca="1">IFERROR(Tabela3[[#This Row],[Custo Total]]/Tabela3[[#This Row],[Aluminio Util]],0)</f>
        <v>25.406091982716053</v>
      </c>
      <c r="J1288" s="35">
        <f ca="1">Tabela3[[#This Row],[Custo Total]]/Tabela3[[#This Row],[Realizado]]</f>
        <v>7.2153301230913582</v>
      </c>
      <c r="K1288" s="37">
        <f>IFERROR(Tabela3[[#This Row],[Qtde Cx Produzida]]/Tabela3[[#This Row],[Tempo]]/24,0)</f>
        <v>8</v>
      </c>
      <c r="L1288" s="37">
        <f>Tabela3[[#This Row],[Qtde Cx Produzida]]*Tabela3[[#This Row],[Qdt Peça Placa]]</f>
        <v>24</v>
      </c>
      <c r="M1288" s="37">
        <f>Tabela3[[#This Row],[Previsto]]-Tabela3[[#This Row],[Perda Pçs]]</f>
        <v>24</v>
      </c>
      <c r="N1288" s="38">
        <f>IFERROR(Tabela3[[#This Row],[Perda Pçs]]/Tabela3[[#This Row],[Previsto]],0)</f>
        <v>0</v>
      </c>
      <c r="O1288" s="39">
        <f>IFERROR(IF(Tabela3[[#This Row],[Qtde Cx Produzida]] &lt;&gt; 0, Tabela3[[#This Row],[Tempo]] / Tabela3[[#This Row],[Qtde Cx Produzida]], 0),0)</f>
        <v>5.208333333333333E-3</v>
      </c>
      <c r="P1288" s="57">
        <f>IFERROR(Tabela3[[#This Row],[Perda Pçs]]/Tabela3[[#This Row],[Qdt Peça Placa]],0)</f>
        <v>0</v>
      </c>
      <c r="Q1288" s="37">
        <f>IFERROR(Tabela3[[#This Row],[Realizado]]*Tabela3[[#This Row],[Peso Util/Pç]],0)</f>
        <v>6.8159999999999989</v>
      </c>
      <c r="R1288" s="37">
        <f>IFERROR(Tabela3[[#This Row],[Peso Total Galho]]*Tabela3[[#This Row],[Qtde Cx Produzida]]*1.055,0)</f>
        <v>9.2840000000000007</v>
      </c>
      <c r="S1288" s="37">
        <f>(Tabela3[[#This Row],[Aluminio Bruto]]-Tabela3[[#This Row],[Aluminio Util]])*0.9</f>
        <v>2.2212000000000018</v>
      </c>
      <c r="T1288" s="37">
        <f>Tabela3[[#This Row],[Aluminio Bruto]]/OleoKGAluminio</f>
        <v>3.9057667959033284</v>
      </c>
      <c r="U1288" s="35">
        <f>IFERROR((VLOOKUP(Tabela3[[#This Row],[Moldador]],Tabela1[],5,)+(VLOOKUP(Tabela3[[#This Row],[Ajudante]],Tabela1[],5,))*3.5),0)</f>
        <v>99.95034583333333</v>
      </c>
      <c r="V1288" s="35">
        <f>IFERROR(Tabela3[[#This Row],[Custo M.O. / H]]/((Tabela3[[#This Row],[Realizado]]/Tabela3[[#This Row],[Qdt Peça Placa]])/Tabela3[[#This Row],[Tempo]]/24),)</f>
        <v>12.493793229166666</v>
      </c>
      <c r="W1288" s="35">
        <f>Tabela3[[#This Row],[Custo / Cx Moldada]]*Tabela3[[#This Row],[Qtde Cx Produzida]]</f>
        <v>49.975172916666665</v>
      </c>
      <c r="X1288" s="35">
        <f ca="1">Tabela3[[#This Row],[Aluminio Util]]*Tabela3[[#This Row],[Custo/Kg]]</f>
        <v>112.94011219827968</v>
      </c>
      <c r="Y1288" s="35">
        <f>IFERROR(VLOOKUP(Tabela3[[#This Row],[Data]],Tabela461213[],2,1)*(Tabela3[[#This Row],[Qtde Cx Produzida]]*Tabela3[[#This Row],[Qde macho / CX]]*Tabela3[[#This Row],[Peso Macho]]),)</f>
        <v>0</v>
      </c>
      <c r="Z1288" s="35">
        <f>IFERROR(Tabela3[[#This Row],[Qtde Oleo]]*(VLOOKUP(Tabela3[[#This Row],[Data]],CompraOleo[],3,TRUE))*1.05,0)</f>
        <v>10.252637839246237</v>
      </c>
      <c r="AA1288" s="47">
        <f ca="1">(Tabela3[[#This Row],[Custo Oleo]]+Tabela3[[#This Row],[Custo Aluminio]]+Tabela3[[#This Row],[Custo M.O. Total]]+Tabela3[[#This Row],[Custo Machos]])</f>
        <v>173.16792295419259</v>
      </c>
      <c r="AB1288" s="47">
        <f ca="1">Tabela3[[#This Row],[Custo Total]]*Tabela3[[#This Row],[% Perda]]</f>
        <v>0</v>
      </c>
      <c r="AC1288" s="40">
        <f>IFERROR(VLOOKUP(Tabela3[[#This Row],[Produto]],Tabela2[],2,0),0)</f>
        <v>6</v>
      </c>
      <c r="AD1288" s="48">
        <f>IFERROR(VLOOKUP(Tabela3[[#This Row],[Produto]],Tabela2[],3,0),0)</f>
        <v>0.28399999999999997</v>
      </c>
      <c r="AE1288" s="48">
        <f>IFERROR(VLOOKUP(Tabela3[[#This Row],[Produto]],Tabela2[],4,0),0)</f>
        <v>2.2000000000000002</v>
      </c>
      <c r="AF1288" s="48">
        <f>IFERROR(VLOOKUP(Tabela3[[#This Row],[Produto]],Tabela2[],5,0),0)</f>
        <v>0.44640000000000041</v>
      </c>
      <c r="AG1288" s="48">
        <f>IFERROR(VLOOKUP(Tabela3[[#This Row],[Produto]],Tabela2[],6,0),0)</f>
        <v>0</v>
      </c>
      <c r="AH1288" s="40">
        <f>IFERROR(VLOOKUP(Tabela3[[#This Row],[Produto]],Tabela2[],7,0),0)</f>
        <v>0</v>
      </c>
      <c r="AI1288" s="40">
        <f>IFERROR(VLOOKUP(Tabela3[[#This Row],[Produto]],Tabela2[],8,0),0)</f>
        <v>0</v>
      </c>
      <c r="AJ1288" s="35">
        <f ca="1">IFERROR(VLOOKUP(Tabela3[[#This Row],[Produto]],Tabela2[],13,0),0)</f>
        <v>16.569852141766386</v>
      </c>
      <c r="AK1288" s="48" t="str">
        <f>IFERROR(VLOOKUP(Tabela3[[#This Row],[Produto]],Tabela2[],14,0),0)</f>
        <v>SENUN</v>
      </c>
      <c r="AL1288" s="40">
        <f>IFERROR(VLOOKUP(Tabela3[[#This Row],[Produto]],Tabela2[],15,0),0)</f>
        <v>0</v>
      </c>
      <c r="AM1288" s="36">
        <f ca="1">(Tabela3[[#This Row],[Custo Usinagem]]+Tabela3[[#This Row],[Custo / Pç]])*1.2</f>
        <v>8.6583961477096292</v>
      </c>
      <c r="AN1288" s="36">
        <f ca="1">Tabela3[[#This Row],[Valor Mínimo Venda]]*1.15</f>
        <v>9.9571555698660728</v>
      </c>
      <c r="AO1288" s="36">
        <f ca="1">Tabela3[[#This Row],[Tabela 1]]*1.08</f>
        <v>10.753728015455359</v>
      </c>
      <c r="AP1288" s="36">
        <f ca="1">Tabela3[[#This Row],[Tabela 2]]*1.15</f>
        <v>12.366787217773661</v>
      </c>
    </row>
    <row r="1289" spans="1:42">
      <c r="A1289" s="9">
        <v>46175</v>
      </c>
      <c r="B1289" s="9" t="s">
        <v>236</v>
      </c>
      <c r="C1289" s="14">
        <v>9776</v>
      </c>
      <c r="D1289" s="6" t="s">
        <v>46</v>
      </c>
      <c r="E1289" s="6" t="s">
        <v>50</v>
      </c>
      <c r="F1289" s="6">
        <v>44</v>
      </c>
      <c r="G1289" s="15">
        <v>0.2673611111111111</v>
      </c>
      <c r="H1289" s="16">
        <v>0</v>
      </c>
      <c r="I1289" s="35">
        <f ca="1">IFERROR(Tabela3[[#This Row],[Custo Total]]/Tabela3[[#This Row],[Aluminio Util]],0)</f>
        <v>25.027885254626291</v>
      </c>
      <c r="J1289" s="35">
        <f ca="1">Tabela3[[#This Row],[Custo Total]]/Tabela3[[#This Row],[Realizado]]</f>
        <v>7.5584213468971395</v>
      </c>
      <c r="K1289" s="37">
        <f>IFERROR(Tabela3[[#This Row],[Qtde Cx Produzida]]/Tabela3[[#This Row],[Tempo]]/24,0)</f>
        <v>6.8571428571428577</v>
      </c>
      <c r="L1289" s="37">
        <f>Tabela3[[#This Row],[Qtde Cx Produzida]]*Tabela3[[#This Row],[Qdt Peça Placa]]</f>
        <v>264</v>
      </c>
      <c r="M1289" s="37">
        <f>Tabela3[[#This Row],[Previsto]]-Tabela3[[#This Row],[Perda Pçs]]</f>
        <v>264</v>
      </c>
      <c r="N1289" s="38">
        <f>IFERROR(Tabela3[[#This Row],[Perda Pçs]]/Tabela3[[#This Row],[Previsto]],0)</f>
        <v>0</v>
      </c>
      <c r="O1289" s="39">
        <f>IFERROR(IF(Tabela3[[#This Row],[Qtde Cx Produzida]] &lt;&gt; 0, Tabela3[[#This Row],[Tempo]] / Tabela3[[#This Row],[Qtde Cx Produzida]], 0),0)</f>
        <v>6.076388888888889E-3</v>
      </c>
      <c r="P1289" s="57">
        <f>IFERROR(Tabela3[[#This Row],[Perda Pçs]]/Tabela3[[#This Row],[Qdt Peça Placa]],0)</f>
        <v>0</v>
      </c>
      <c r="Q1289" s="37">
        <f>IFERROR(Tabela3[[#This Row],[Realizado]]*Tabela3[[#This Row],[Peso Util/Pç]],0)</f>
        <v>79.727999999999994</v>
      </c>
      <c r="R1289" s="37">
        <f>IFERROR(Tabela3[[#This Row],[Peso Total Galho]]*Tabela3[[#This Row],[Qtde Cx Produzida]]*1.055,0)</f>
        <v>99.895839999999993</v>
      </c>
      <c r="S1289" s="37">
        <f>(Tabela3[[#This Row],[Aluminio Bruto]]-Tabela3[[#This Row],[Aluminio Util]])*0.9</f>
        <v>18.151056000000001</v>
      </c>
      <c r="T1289" s="37">
        <f>Tabela3[[#This Row],[Aluminio Bruto]]/OleoKGAluminio</f>
        <v>42.026050723919809</v>
      </c>
      <c r="U1289" s="35">
        <f>IFERROR((VLOOKUP(Tabela3[[#This Row],[Moldador]],Tabela1[],5,)+(VLOOKUP(Tabela3[[#This Row],[Ajudante]],Tabela1[],5,))*3.5),0)</f>
        <v>99.95034583333333</v>
      </c>
      <c r="V1289" s="35">
        <f>IFERROR(Tabela3[[#This Row],[Custo M.O. / H]]/((Tabela3[[#This Row],[Realizado]]/Tabela3[[#This Row],[Qdt Peça Placa]])/Tabela3[[#This Row],[Tempo]]/24),)</f>
        <v>14.576092100694442</v>
      </c>
      <c r="W1289" s="35">
        <f>Tabela3[[#This Row],[Custo / Cx Moldada]]*Tabela3[[#This Row],[Qtde Cx Produzida]]</f>
        <v>641.34805243055541</v>
      </c>
      <c r="X1289" s="35">
        <f ca="1">Tabela3[[#This Row],[Aluminio Util]]*Tabela3[[#This Row],[Custo/Kg]]</f>
        <v>1243.7568000000001</v>
      </c>
      <c r="Y1289" s="35">
        <f>IFERROR(VLOOKUP(Tabela3[[#This Row],[Data]],Tabela461213[],2,1)*(Tabela3[[#This Row],[Qtde Cx Produzida]]*Tabela3[[#This Row],[Qde macho / CX]]*Tabela3[[#This Row],[Peso Macho]]),)</f>
        <v>0</v>
      </c>
      <c r="Z1289" s="35">
        <f>IFERROR(Tabela3[[#This Row],[Qtde Oleo]]*(VLOOKUP(Tabela3[[#This Row],[Data]],CompraOleo[],3,TRUE))*1.05,0)</f>
        <v>110.31838315028951</v>
      </c>
      <c r="AA1289" s="47">
        <f ca="1">(Tabela3[[#This Row],[Custo Oleo]]+Tabela3[[#This Row],[Custo Aluminio]]+Tabela3[[#This Row],[Custo M.O. Total]]+Tabela3[[#This Row],[Custo Machos]])</f>
        <v>1995.4232355808449</v>
      </c>
      <c r="AB1289" s="47">
        <f ca="1">Tabela3[[#This Row],[Custo Total]]*Tabela3[[#This Row],[% Perda]]</f>
        <v>0</v>
      </c>
      <c r="AC1289" s="40">
        <f>IFERROR(VLOOKUP(Tabela3[[#This Row],[Produto]],Tabela2[],2,0),0)</f>
        <v>6</v>
      </c>
      <c r="AD1289" s="48">
        <f>IFERROR(VLOOKUP(Tabela3[[#This Row],[Produto]],Tabela2[],3,0),0)</f>
        <v>0.30199999999999999</v>
      </c>
      <c r="AE1289" s="48">
        <f>IFERROR(VLOOKUP(Tabela3[[#This Row],[Produto]],Tabela2[],4,0),0)</f>
        <v>2.1520000000000001</v>
      </c>
      <c r="AF1289" s="48">
        <f>IFERROR(VLOOKUP(Tabela3[[#This Row],[Produto]],Tabela2[],5,0),0)</f>
        <v>0.30600000000000027</v>
      </c>
      <c r="AG1289" s="48">
        <f>IFERROR(VLOOKUP(Tabela3[[#This Row],[Produto]],Tabela2[],6,0),0)</f>
        <v>0</v>
      </c>
      <c r="AH1289" s="40">
        <f>IFERROR(VLOOKUP(Tabela3[[#This Row],[Produto]],Tabela2[],7,0),0)</f>
        <v>0</v>
      </c>
      <c r="AI1289" s="40">
        <f>IFERROR(VLOOKUP(Tabela3[[#This Row],[Produto]],Tabela2[],8,0),0)</f>
        <v>0</v>
      </c>
      <c r="AJ1289" s="35">
        <f ca="1">IFERROR(VLOOKUP(Tabela3[[#This Row],[Produto]],Tabela2[],13,0),0)</f>
        <v>15.600000000000001</v>
      </c>
      <c r="AK1289" s="48" t="str">
        <f>IFERROR(VLOOKUP(Tabela3[[#This Row],[Produto]],Tabela2[],14,0),0)</f>
        <v>Senun</v>
      </c>
      <c r="AL1289" s="40">
        <f>IFERROR(VLOOKUP(Tabela3[[#This Row],[Produto]],Tabela2[],15,0),0)</f>
        <v>4</v>
      </c>
      <c r="AM1289" s="36">
        <f ca="1">(Tabela3[[#This Row],[Custo Usinagem]]+Tabela3[[#This Row],[Custo / Pç]])*1.2</f>
        <v>13.870105616276566</v>
      </c>
      <c r="AN1289" s="36">
        <f ca="1">Tabela3[[#This Row],[Valor Mínimo Venda]]*1.15</f>
        <v>15.95062145871805</v>
      </c>
      <c r="AO1289" s="36">
        <f ca="1">Tabela3[[#This Row],[Tabela 1]]*1.08</f>
        <v>17.226671175415497</v>
      </c>
      <c r="AP1289" s="36">
        <f ca="1">Tabela3[[#This Row],[Tabela 2]]*1.15</f>
        <v>19.810671851727818</v>
      </c>
    </row>
    <row r="1290" spans="1:42">
      <c r="A1290" s="9">
        <v>46175</v>
      </c>
      <c r="B1290" s="9" t="s">
        <v>236</v>
      </c>
      <c r="C1290" s="14">
        <v>9776</v>
      </c>
      <c r="D1290" s="6" t="s">
        <v>46</v>
      </c>
      <c r="E1290" s="6" t="s">
        <v>44</v>
      </c>
      <c r="F1290" s="6">
        <v>19</v>
      </c>
      <c r="G1290" s="15">
        <v>0.10625</v>
      </c>
      <c r="H1290" s="16">
        <v>0</v>
      </c>
      <c r="I1290" s="35">
        <f ca="1">IFERROR(Tabela3[[#This Row],[Custo Total]]/Tabela3[[#This Row],[Aluminio Util]],0)</f>
        <v>26.323203747910995</v>
      </c>
      <c r="J1290" s="35">
        <f ca="1">Tabela3[[#This Row],[Custo Total]]/Tabela3[[#This Row],[Realizado]]</f>
        <v>7.9496075318691197</v>
      </c>
      <c r="K1290" s="37">
        <f>IFERROR(Tabela3[[#This Row],[Qtde Cx Produzida]]/Tabela3[[#This Row],[Tempo]]/24,0)</f>
        <v>7.4509803921568638</v>
      </c>
      <c r="L1290" s="37">
        <f>Tabela3[[#This Row],[Qtde Cx Produzida]]*Tabela3[[#This Row],[Qdt Peça Placa]]</f>
        <v>114</v>
      </c>
      <c r="M1290" s="37">
        <f>Tabela3[[#This Row],[Previsto]]-Tabela3[[#This Row],[Perda Pçs]]</f>
        <v>114</v>
      </c>
      <c r="N1290" s="38">
        <f>IFERROR(Tabela3[[#This Row],[Perda Pçs]]/Tabela3[[#This Row],[Previsto]],0)</f>
        <v>0</v>
      </c>
      <c r="O1290" s="39">
        <f>IFERROR(IF(Tabela3[[#This Row],[Qtde Cx Produzida]] &lt;&gt; 0, Tabela3[[#This Row],[Tempo]] / Tabela3[[#This Row],[Qtde Cx Produzida]], 0),0)</f>
        <v>5.5921052631578948E-3</v>
      </c>
      <c r="P1290" s="57">
        <f>IFERROR(Tabela3[[#This Row],[Perda Pçs]]/Tabela3[[#This Row],[Qdt Peça Placa]],0)</f>
        <v>0</v>
      </c>
      <c r="Q1290" s="37">
        <f>IFERROR(Tabela3[[#This Row],[Realizado]]*Tabela3[[#This Row],[Peso Util/Pç]],0)</f>
        <v>34.427999999999997</v>
      </c>
      <c r="R1290" s="37">
        <f>IFERROR(Tabela3[[#This Row],[Peso Total Galho]]*Tabela3[[#This Row],[Qtde Cx Produzida]]*1.055,0)</f>
        <v>43.136840000000007</v>
      </c>
      <c r="S1290" s="37">
        <f>(Tabela3[[#This Row],[Aluminio Bruto]]-Tabela3[[#This Row],[Aluminio Util]])*0.9</f>
        <v>7.8379560000000081</v>
      </c>
      <c r="T1290" s="37">
        <f>Tabela3[[#This Row],[Aluminio Bruto]]/OleoKGAluminio</f>
        <v>18.147612812601739</v>
      </c>
      <c r="U1290" s="35">
        <f>IFERROR((VLOOKUP(Tabela3[[#This Row],[Moldador]],Tabela1[],5,)+(VLOOKUP(Tabela3[[#This Row],[Ajudante]],Tabela1[],5,))*3.5),0)</f>
        <v>126.0945</v>
      </c>
      <c r="V1290" s="35">
        <f>IFERROR(Tabela3[[#This Row],[Custo M.O. / H]]/((Tabela3[[#This Row],[Realizado]]/Tabela3[[#This Row],[Qdt Peça Placa]])/Tabela3[[#This Row],[Tempo]]/24),)</f>
        <v>16.923209210526313</v>
      </c>
      <c r="W1290" s="35">
        <f>Tabela3[[#This Row],[Custo / Cx Moldada]]*Tabela3[[#This Row],[Qtde Cx Produzida]]</f>
        <v>321.54097499999995</v>
      </c>
      <c r="X1290" s="35">
        <f ca="1">Tabela3[[#This Row],[Aluminio Util]]*Tabela3[[#This Row],[Custo/Kg]]</f>
        <v>537.07680000000005</v>
      </c>
      <c r="Y1290" s="35">
        <f>IFERROR(VLOOKUP(Tabela3[[#This Row],[Data]],Tabela461213[],2,1)*(Tabela3[[#This Row],[Qtde Cx Produzida]]*Tabela3[[#This Row],[Qde macho / CX]]*Tabela3[[#This Row],[Peso Macho]]),)</f>
        <v>0</v>
      </c>
      <c r="Z1290" s="35">
        <f>IFERROR(Tabela3[[#This Row],[Qtde Oleo]]*(VLOOKUP(Tabela3[[#This Row],[Data]],CompraOleo[],3,TRUE))*1.05,0)</f>
        <v>47.637483633079569</v>
      </c>
      <c r="AA1290" s="47">
        <f ca="1">(Tabela3[[#This Row],[Custo Oleo]]+Tabela3[[#This Row],[Custo Aluminio]]+Tabela3[[#This Row],[Custo M.O. Total]]+Tabela3[[#This Row],[Custo Machos]])</f>
        <v>906.25525863307962</v>
      </c>
      <c r="AB1290" s="47">
        <f ca="1">Tabela3[[#This Row],[Custo Total]]*Tabela3[[#This Row],[% Perda]]</f>
        <v>0</v>
      </c>
      <c r="AC1290" s="40">
        <f>IFERROR(VLOOKUP(Tabela3[[#This Row],[Produto]],Tabela2[],2,0),0)</f>
        <v>6</v>
      </c>
      <c r="AD1290" s="48">
        <f>IFERROR(VLOOKUP(Tabela3[[#This Row],[Produto]],Tabela2[],3,0),0)</f>
        <v>0.30199999999999999</v>
      </c>
      <c r="AE1290" s="48">
        <f>IFERROR(VLOOKUP(Tabela3[[#This Row],[Produto]],Tabela2[],4,0),0)</f>
        <v>2.1520000000000001</v>
      </c>
      <c r="AF1290" s="48">
        <f>IFERROR(VLOOKUP(Tabela3[[#This Row],[Produto]],Tabela2[],5,0),0)</f>
        <v>0.30600000000000027</v>
      </c>
      <c r="AG1290" s="48">
        <f>IFERROR(VLOOKUP(Tabela3[[#This Row],[Produto]],Tabela2[],6,0),0)</f>
        <v>0</v>
      </c>
      <c r="AH1290" s="40">
        <f>IFERROR(VLOOKUP(Tabela3[[#This Row],[Produto]],Tabela2[],7,0),0)</f>
        <v>0</v>
      </c>
      <c r="AI1290" s="40">
        <f>IFERROR(VLOOKUP(Tabela3[[#This Row],[Produto]],Tabela2[],8,0),0)</f>
        <v>0</v>
      </c>
      <c r="AJ1290" s="35">
        <f ca="1">IFERROR(VLOOKUP(Tabela3[[#This Row],[Produto]],Tabela2[],13,0),0)</f>
        <v>15.600000000000001</v>
      </c>
      <c r="AK1290" s="48" t="str">
        <f>IFERROR(VLOOKUP(Tabela3[[#This Row],[Produto]],Tabela2[],14,0),0)</f>
        <v>Senun</v>
      </c>
      <c r="AL1290" s="40">
        <f>IFERROR(VLOOKUP(Tabela3[[#This Row],[Produto]],Tabela2[],15,0),0)</f>
        <v>4</v>
      </c>
      <c r="AM1290" s="36">
        <f ca="1">(Tabela3[[#This Row],[Custo Usinagem]]+Tabela3[[#This Row],[Custo / Pç]])*1.2</f>
        <v>14.339529038242944</v>
      </c>
      <c r="AN1290" s="36">
        <f ca="1">Tabela3[[#This Row],[Valor Mínimo Venda]]*1.15</f>
        <v>16.490458393979385</v>
      </c>
      <c r="AO1290" s="36">
        <f ca="1">Tabela3[[#This Row],[Tabela 1]]*1.08</f>
        <v>17.809695065497735</v>
      </c>
      <c r="AP1290" s="36">
        <f ca="1">Tabela3[[#This Row],[Tabela 2]]*1.15</f>
        <v>20.481149325322395</v>
      </c>
    </row>
    <row r="1291" spans="1:42">
      <c r="A1291" s="9">
        <v>46175</v>
      </c>
      <c r="B1291" s="9" t="s">
        <v>236</v>
      </c>
      <c r="C1291" s="14">
        <v>9776</v>
      </c>
      <c r="D1291" s="6" t="s">
        <v>44</v>
      </c>
      <c r="E1291" s="6" t="s">
        <v>47</v>
      </c>
      <c r="F1291" s="6">
        <v>13</v>
      </c>
      <c r="G1291" s="15">
        <v>7.2222222222222215E-2</v>
      </c>
      <c r="H1291" s="16">
        <v>0</v>
      </c>
      <c r="I1291" s="35">
        <f ca="1">IFERROR(Tabela3[[#This Row],[Custo Total]]/Tabela3[[#This Row],[Aluminio Util]],0)</f>
        <v>24.338382317034309</v>
      </c>
      <c r="J1291" s="35">
        <f ca="1">Tabela3[[#This Row],[Custo Total]]/Tabela3[[#This Row],[Realizado]]</f>
        <v>7.3501914597443623</v>
      </c>
      <c r="K1291" s="37">
        <f>IFERROR(Tabela3[[#This Row],[Qtde Cx Produzida]]/Tabela3[[#This Row],[Tempo]]/24,0)</f>
        <v>7.5000000000000009</v>
      </c>
      <c r="L1291" s="37">
        <f>Tabela3[[#This Row],[Qtde Cx Produzida]]*Tabela3[[#This Row],[Qdt Peça Placa]]</f>
        <v>78</v>
      </c>
      <c r="M1291" s="37">
        <f>Tabela3[[#This Row],[Previsto]]-Tabela3[[#This Row],[Perda Pçs]]</f>
        <v>78</v>
      </c>
      <c r="N1291" s="38">
        <f>IFERROR(Tabela3[[#This Row],[Perda Pçs]]/Tabela3[[#This Row],[Previsto]],0)</f>
        <v>0</v>
      </c>
      <c r="O1291" s="39">
        <f>IFERROR(IF(Tabela3[[#This Row],[Qtde Cx Produzida]] &lt;&gt; 0, Tabela3[[#This Row],[Tempo]] / Tabela3[[#This Row],[Qtde Cx Produzida]], 0),0)</f>
        <v>5.5555555555555549E-3</v>
      </c>
      <c r="P1291" s="57">
        <f>IFERROR(Tabela3[[#This Row],[Perda Pçs]]/Tabela3[[#This Row],[Qdt Peça Placa]],0)</f>
        <v>0</v>
      </c>
      <c r="Q1291" s="37">
        <f>IFERROR(Tabela3[[#This Row],[Realizado]]*Tabela3[[#This Row],[Peso Util/Pç]],0)</f>
        <v>23.556000000000001</v>
      </c>
      <c r="R1291" s="37">
        <f>IFERROR(Tabela3[[#This Row],[Peso Total Galho]]*Tabela3[[#This Row],[Qtde Cx Produzida]]*1.055,0)</f>
        <v>29.514680000000002</v>
      </c>
      <c r="S1291" s="37">
        <f>(Tabela3[[#This Row],[Aluminio Bruto]]-Tabela3[[#This Row],[Aluminio Util]])*0.9</f>
        <v>5.3628120000000008</v>
      </c>
      <c r="T1291" s="37">
        <f>Tabela3[[#This Row],[Aluminio Bruto]]/OleoKGAluminio</f>
        <v>12.4167877138854</v>
      </c>
      <c r="U1291" s="35">
        <f>IFERROR((VLOOKUP(Tabela3[[#This Row],[Moldador]],Tabela1[],5,)+(VLOOKUP(Tabela3[[#This Row],[Ajudante]],Tabela1[],5,))*3.5),0)</f>
        <v>99.95034583333333</v>
      </c>
      <c r="V1291" s="35">
        <f>IFERROR(Tabela3[[#This Row],[Custo M.O. / H]]/((Tabela3[[#This Row],[Realizado]]/Tabela3[[#This Row],[Qdt Peça Placa]])/Tabela3[[#This Row],[Tempo]]/24),)</f>
        <v>13.326712777777775</v>
      </c>
      <c r="W1291" s="35">
        <f>Tabela3[[#This Row],[Custo / Cx Moldada]]*Tabela3[[#This Row],[Qtde Cx Produzida]]</f>
        <v>173.24726611111109</v>
      </c>
      <c r="X1291" s="35">
        <f ca="1">Tabela3[[#This Row],[Aluminio Util]]*Tabela3[[#This Row],[Custo/Kg]]</f>
        <v>367.47360000000003</v>
      </c>
      <c r="Y1291" s="35">
        <f>IFERROR(VLOOKUP(Tabela3[[#This Row],[Data]],Tabela461213[],2,1)*(Tabela3[[#This Row],[Qtde Cx Produzida]]*Tabela3[[#This Row],[Qde macho / CX]]*Tabela3[[#This Row],[Peso Macho]]),)</f>
        <v>0</v>
      </c>
      <c r="Z1291" s="35">
        <f>IFERROR(Tabela3[[#This Row],[Qtde Oleo]]*(VLOOKUP(Tabela3[[#This Row],[Data]],CompraOleo[],3,TRUE))*1.05,0)</f>
        <v>32.594067748949172</v>
      </c>
      <c r="AA1291" s="47">
        <f ca="1">(Tabela3[[#This Row],[Custo Oleo]]+Tabela3[[#This Row],[Custo Aluminio]]+Tabela3[[#This Row],[Custo M.O. Total]]+Tabela3[[#This Row],[Custo Machos]])</f>
        <v>573.31493386006025</v>
      </c>
      <c r="AB1291" s="47">
        <f ca="1">Tabela3[[#This Row],[Custo Total]]*Tabela3[[#This Row],[% Perda]]</f>
        <v>0</v>
      </c>
      <c r="AC1291" s="40">
        <f>IFERROR(VLOOKUP(Tabela3[[#This Row],[Produto]],Tabela2[],2,0),0)</f>
        <v>6</v>
      </c>
      <c r="AD1291" s="48">
        <f>IFERROR(VLOOKUP(Tabela3[[#This Row],[Produto]],Tabela2[],3,0),0)</f>
        <v>0.30199999999999999</v>
      </c>
      <c r="AE1291" s="48">
        <f>IFERROR(VLOOKUP(Tabela3[[#This Row],[Produto]],Tabela2[],4,0),0)</f>
        <v>2.1520000000000001</v>
      </c>
      <c r="AF1291" s="48">
        <f>IFERROR(VLOOKUP(Tabela3[[#This Row],[Produto]],Tabela2[],5,0),0)</f>
        <v>0.30600000000000027</v>
      </c>
      <c r="AG1291" s="48">
        <f>IFERROR(VLOOKUP(Tabela3[[#This Row],[Produto]],Tabela2[],6,0),0)</f>
        <v>0</v>
      </c>
      <c r="AH1291" s="40">
        <f>IFERROR(VLOOKUP(Tabela3[[#This Row],[Produto]],Tabela2[],7,0),0)</f>
        <v>0</v>
      </c>
      <c r="AI1291" s="40">
        <f>IFERROR(VLOOKUP(Tabela3[[#This Row],[Produto]],Tabela2[],8,0),0)</f>
        <v>0</v>
      </c>
      <c r="AJ1291" s="35">
        <f ca="1">IFERROR(VLOOKUP(Tabela3[[#This Row],[Produto]],Tabela2[],13,0),0)</f>
        <v>15.600000000000001</v>
      </c>
      <c r="AK1291" s="48" t="str">
        <f>IFERROR(VLOOKUP(Tabela3[[#This Row],[Produto]],Tabela2[],14,0),0)</f>
        <v>Senun</v>
      </c>
      <c r="AL1291" s="40">
        <f>IFERROR(VLOOKUP(Tabela3[[#This Row],[Produto]],Tabela2[],15,0),0)</f>
        <v>4</v>
      </c>
      <c r="AM1291" s="36">
        <f ca="1">(Tabela3[[#This Row],[Custo Usinagem]]+Tabela3[[#This Row],[Custo / Pç]])*1.2</f>
        <v>13.620229751693234</v>
      </c>
      <c r="AN1291" s="36">
        <f ca="1">Tabela3[[#This Row],[Valor Mínimo Venda]]*1.15</f>
        <v>15.663264214447217</v>
      </c>
      <c r="AO1291" s="36">
        <f ca="1">Tabela3[[#This Row],[Tabela 1]]*1.08</f>
        <v>16.916325351602996</v>
      </c>
      <c r="AP1291" s="36">
        <f ca="1">Tabela3[[#This Row],[Tabela 2]]*1.15</f>
        <v>19.453774154343446</v>
      </c>
    </row>
    <row r="1292" spans="1:42">
      <c r="A1292" s="9">
        <v>46176</v>
      </c>
      <c r="B1292" s="9" t="s">
        <v>236</v>
      </c>
      <c r="C1292" s="14">
        <v>9776</v>
      </c>
      <c r="D1292" s="6" t="s">
        <v>46</v>
      </c>
      <c r="E1292" s="6" t="s">
        <v>50</v>
      </c>
      <c r="F1292" s="6">
        <v>8</v>
      </c>
      <c r="G1292" s="15">
        <v>4.7222222222222221E-2</v>
      </c>
      <c r="H1292" s="16">
        <v>0</v>
      </c>
      <c r="I1292" s="35">
        <f ca="1">IFERROR(Tabela3[[#This Row],[Custo Total]]/Tabela3[[#This Row],[Aluminio Util]],0)</f>
        <v>24.798050942095635</v>
      </c>
      <c r="J1292" s="35">
        <f ca="1">Tabela3[[#This Row],[Custo Total]]/Tabela3[[#This Row],[Realizado]]</f>
        <v>7.4890113845128816</v>
      </c>
      <c r="K1292" s="37">
        <f>IFERROR(Tabela3[[#This Row],[Qtde Cx Produzida]]/Tabela3[[#This Row],[Tempo]]/24,0)</f>
        <v>7.0588235294117645</v>
      </c>
      <c r="L1292" s="37">
        <f>Tabela3[[#This Row],[Qtde Cx Produzida]]*Tabela3[[#This Row],[Qdt Peça Placa]]</f>
        <v>48</v>
      </c>
      <c r="M1292" s="37">
        <f>Tabela3[[#This Row],[Previsto]]-Tabela3[[#This Row],[Perda Pçs]]</f>
        <v>48</v>
      </c>
      <c r="N1292" s="38">
        <f>IFERROR(Tabela3[[#This Row],[Perda Pçs]]/Tabela3[[#This Row],[Previsto]],0)</f>
        <v>0</v>
      </c>
      <c r="O1292" s="39">
        <f>IFERROR(IF(Tabela3[[#This Row],[Qtde Cx Produzida]] &lt;&gt; 0, Tabela3[[#This Row],[Tempo]] / Tabela3[[#This Row],[Qtde Cx Produzida]], 0),0)</f>
        <v>5.9027777777777776E-3</v>
      </c>
      <c r="P1292" s="57">
        <f>IFERROR(Tabela3[[#This Row],[Perda Pçs]]/Tabela3[[#This Row],[Qdt Peça Placa]],0)</f>
        <v>0</v>
      </c>
      <c r="Q1292" s="37">
        <f>IFERROR(Tabela3[[#This Row],[Realizado]]*Tabela3[[#This Row],[Peso Util/Pç]],0)</f>
        <v>14.495999999999999</v>
      </c>
      <c r="R1292" s="37">
        <f>IFERROR(Tabela3[[#This Row],[Peso Total Galho]]*Tabela3[[#This Row],[Qtde Cx Produzida]]*1.055,0)</f>
        <v>18.162880000000001</v>
      </c>
      <c r="S1292" s="37">
        <f>(Tabela3[[#This Row],[Aluminio Bruto]]-Tabela3[[#This Row],[Aluminio Util]])*0.9</f>
        <v>3.3001920000000022</v>
      </c>
      <c r="T1292" s="37">
        <f>Tabela3[[#This Row],[Aluminio Bruto]]/OleoKGAluminio</f>
        <v>7.6411001316217844</v>
      </c>
      <c r="U1292" s="35">
        <f>IFERROR((VLOOKUP(Tabela3[[#This Row],[Moldador]],Tabela1[],5,)+(VLOOKUP(Tabela3[[#This Row],[Ajudante]],Tabela1[],5,))*3.5),0)</f>
        <v>99.95034583333333</v>
      </c>
      <c r="V1292" s="35">
        <f>IFERROR(Tabela3[[#This Row],[Custo M.O. / H]]/((Tabela3[[#This Row],[Realizado]]/Tabela3[[#This Row],[Qdt Peça Placa]])/Tabela3[[#This Row],[Tempo]]/24),)</f>
        <v>14.159632326388889</v>
      </c>
      <c r="W1292" s="35">
        <f>Tabela3[[#This Row],[Custo / Cx Moldada]]*Tabela3[[#This Row],[Qtde Cx Produzida]]</f>
        <v>113.27705861111112</v>
      </c>
      <c r="X1292" s="35">
        <f ca="1">Tabela3[[#This Row],[Aluminio Util]]*Tabela3[[#This Row],[Custo/Kg]]</f>
        <v>226.13759999999999</v>
      </c>
      <c r="Y1292" s="35">
        <f>IFERROR(VLOOKUP(Tabela3[[#This Row],[Data]],Tabela461213[],2,1)*(Tabela3[[#This Row],[Qtde Cx Produzida]]*Tabela3[[#This Row],[Qde macho / CX]]*Tabela3[[#This Row],[Peso Macho]]),)</f>
        <v>0</v>
      </c>
      <c r="Z1292" s="35">
        <f>IFERROR(Tabela3[[#This Row],[Qtde Oleo]]*(VLOOKUP(Tabela3[[#This Row],[Data]],CompraOleo[],3,TRUE))*1.05,0)</f>
        <v>20.057887845507185</v>
      </c>
      <c r="AA1292" s="47">
        <f ca="1">(Tabela3[[#This Row],[Custo Oleo]]+Tabela3[[#This Row],[Custo Aluminio]]+Tabela3[[#This Row],[Custo M.O. Total]]+Tabela3[[#This Row],[Custo Machos]])</f>
        <v>359.47254645661832</v>
      </c>
      <c r="AB1292" s="47">
        <f ca="1">Tabela3[[#This Row],[Custo Total]]*Tabela3[[#This Row],[% Perda]]</f>
        <v>0</v>
      </c>
      <c r="AC1292" s="40">
        <f>IFERROR(VLOOKUP(Tabela3[[#This Row],[Produto]],Tabela2[],2,0),0)</f>
        <v>6</v>
      </c>
      <c r="AD1292" s="48">
        <f>IFERROR(VLOOKUP(Tabela3[[#This Row],[Produto]],Tabela2[],3,0),0)</f>
        <v>0.30199999999999999</v>
      </c>
      <c r="AE1292" s="48">
        <f>IFERROR(VLOOKUP(Tabela3[[#This Row],[Produto]],Tabela2[],4,0),0)</f>
        <v>2.1520000000000001</v>
      </c>
      <c r="AF1292" s="48">
        <f>IFERROR(VLOOKUP(Tabela3[[#This Row],[Produto]],Tabela2[],5,0),0)</f>
        <v>0.30600000000000027</v>
      </c>
      <c r="AG1292" s="48">
        <f>IFERROR(VLOOKUP(Tabela3[[#This Row],[Produto]],Tabela2[],6,0),0)</f>
        <v>0</v>
      </c>
      <c r="AH1292" s="40">
        <f>IFERROR(VLOOKUP(Tabela3[[#This Row],[Produto]],Tabela2[],7,0),0)</f>
        <v>0</v>
      </c>
      <c r="AI1292" s="40">
        <f>IFERROR(VLOOKUP(Tabela3[[#This Row],[Produto]],Tabela2[],8,0),0)</f>
        <v>0</v>
      </c>
      <c r="AJ1292" s="35">
        <f ca="1">IFERROR(VLOOKUP(Tabela3[[#This Row],[Produto]],Tabela2[],13,0),0)</f>
        <v>15.600000000000001</v>
      </c>
      <c r="AK1292" s="48" t="str">
        <f>IFERROR(VLOOKUP(Tabela3[[#This Row],[Produto]],Tabela2[],14,0),0)</f>
        <v>Senun</v>
      </c>
      <c r="AL1292" s="40">
        <f>IFERROR(VLOOKUP(Tabela3[[#This Row],[Produto]],Tabela2[],15,0),0)</f>
        <v>4</v>
      </c>
      <c r="AM1292" s="36">
        <f ca="1">(Tabela3[[#This Row],[Custo Usinagem]]+Tabela3[[#This Row],[Custo / Pç]])*1.2</f>
        <v>13.786813661415458</v>
      </c>
      <c r="AN1292" s="36">
        <f ca="1">Tabela3[[#This Row],[Valor Mínimo Venda]]*1.15</f>
        <v>15.854835710627775</v>
      </c>
      <c r="AO1292" s="36">
        <f ca="1">Tabela3[[#This Row],[Tabela 1]]*1.08</f>
        <v>17.123222567477999</v>
      </c>
      <c r="AP1292" s="36">
        <f ca="1">Tabela3[[#This Row],[Tabela 2]]*1.15</f>
        <v>19.691705952599698</v>
      </c>
    </row>
    <row r="1293" spans="1:42">
      <c r="A1293" s="9">
        <v>46176</v>
      </c>
      <c r="B1293" s="9" t="s">
        <v>137</v>
      </c>
      <c r="C1293" s="14">
        <v>9787</v>
      </c>
      <c r="D1293" s="6" t="s">
        <v>46</v>
      </c>
      <c r="E1293" s="6" t="s">
        <v>50</v>
      </c>
      <c r="F1293" s="6">
        <v>35</v>
      </c>
      <c r="G1293" s="15">
        <v>0.15902777777777777</v>
      </c>
      <c r="H1293" s="16">
        <v>0</v>
      </c>
      <c r="I1293" s="35">
        <f ca="1">IFERROR(Tabela3[[#This Row],[Custo Total]]/Tabela3[[#This Row],[Aluminio Util]],0)</f>
        <v>24.356156389333247</v>
      </c>
      <c r="J1293" s="35">
        <f ca="1">Tabela3[[#This Row],[Custo Total]]/Tabela3[[#This Row],[Realizado]]</f>
        <v>9.4258325226719659</v>
      </c>
      <c r="K1293" s="37">
        <f>IFERROR(Tabela3[[#This Row],[Qtde Cx Produzida]]/Tabela3[[#This Row],[Tempo]]/24,0)</f>
        <v>9.1703056768558948</v>
      </c>
      <c r="L1293" s="37">
        <f>Tabela3[[#This Row],[Qtde Cx Produzida]]*Tabela3[[#This Row],[Qdt Peça Placa]]</f>
        <v>210</v>
      </c>
      <c r="M1293" s="37">
        <f>Tabela3[[#This Row],[Previsto]]-Tabela3[[#This Row],[Perda Pçs]]</f>
        <v>210</v>
      </c>
      <c r="N1293" s="38">
        <f>IFERROR(Tabela3[[#This Row],[Perda Pçs]]/Tabela3[[#This Row],[Previsto]],0)</f>
        <v>0</v>
      </c>
      <c r="O1293" s="39">
        <f>IFERROR(IF(Tabela3[[#This Row],[Qtde Cx Produzida]] &lt;&gt; 0, Tabela3[[#This Row],[Tempo]] / Tabela3[[#This Row],[Qtde Cx Produzida]], 0),0)</f>
        <v>4.5436507936507933E-3</v>
      </c>
      <c r="P1293" s="57">
        <f>IFERROR(Tabela3[[#This Row],[Perda Pçs]]/Tabela3[[#This Row],[Qdt Peça Placa]],0)</f>
        <v>0</v>
      </c>
      <c r="Q1293" s="37">
        <f>IFERROR(Tabela3[[#This Row],[Realizado]]*Tabela3[[#This Row],[Peso Util/Pç]],0)</f>
        <v>81.27</v>
      </c>
      <c r="R1293" s="37">
        <f>IFERROR(Tabela3[[#This Row],[Peso Total Galho]]*Tabela3[[#This Row],[Qtde Cx Produzida]]*1.055,0)</f>
        <v>151.76175000000001</v>
      </c>
      <c r="S1293" s="37">
        <f>(Tabela3[[#This Row],[Aluminio Bruto]]-Tabela3[[#This Row],[Aluminio Util]])*0.9</f>
        <v>63.442575000000012</v>
      </c>
      <c r="T1293" s="37">
        <f>Tabela3[[#This Row],[Aluminio Bruto]]/OleoKGAluminio</f>
        <v>63.845971998942474</v>
      </c>
      <c r="U1293" s="35">
        <f>IFERROR((VLOOKUP(Tabela3[[#This Row],[Moldador]],Tabela1[],5,)+(VLOOKUP(Tabela3[[#This Row],[Ajudante]],Tabela1[],5,))*3.5),0)</f>
        <v>99.95034583333333</v>
      </c>
      <c r="V1293" s="35">
        <f>IFERROR(Tabela3[[#This Row],[Custo M.O. / H]]/((Tabela3[[#This Row],[Realizado]]/Tabela3[[#This Row],[Qdt Peça Placa]])/Tabela3[[#This Row],[Tempo]]/24),)</f>
        <v>10.899347236111112</v>
      </c>
      <c r="W1293" s="35">
        <f>Tabela3[[#This Row],[Custo / Cx Moldada]]*Tabela3[[#This Row],[Qtde Cx Produzida]]</f>
        <v>381.47715326388891</v>
      </c>
      <c r="X1293" s="35">
        <f ca="1">Tabela3[[#This Row],[Aluminio Util]]*Tabela3[[#This Row],[Custo/Kg]]</f>
        <v>1430.3520000000001</v>
      </c>
      <c r="Y1293" s="35">
        <f>IFERROR(VLOOKUP(Tabela3[[#This Row],[Data]],Tabela461213[],2,1)*(Tabela3[[#This Row],[Qtde Cx Produzida]]*Tabela3[[#This Row],[Qde macho / CX]]*Tabela3[[#This Row],[Peso Macho]]),)</f>
        <v>0</v>
      </c>
      <c r="Z1293" s="35">
        <f>IFERROR(Tabela3[[#This Row],[Qtde Oleo]]*(VLOOKUP(Tabela3[[#This Row],[Data]],CompraOleo[],3,TRUE))*1.05,0)</f>
        <v>167.59567649722399</v>
      </c>
      <c r="AA1293" s="47">
        <f ca="1">(Tabela3[[#This Row],[Custo Oleo]]+Tabela3[[#This Row],[Custo Aluminio]]+Tabela3[[#This Row],[Custo M.O. Total]]+Tabela3[[#This Row],[Custo Machos]])</f>
        <v>1979.424829761113</v>
      </c>
      <c r="AB1293" s="47">
        <f ca="1">Tabela3[[#This Row],[Custo Total]]*Tabela3[[#This Row],[% Perda]]</f>
        <v>0</v>
      </c>
      <c r="AC1293" s="40">
        <f>IFERROR(VLOOKUP(Tabela3[[#This Row],[Produto]],Tabela2[],2,0),0)</f>
        <v>6</v>
      </c>
      <c r="AD1293" s="48">
        <f>IFERROR(VLOOKUP(Tabela3[[#This Row],[Produto]],Tabela2[],3,0),0)</f>
        <v>0.38700000000000001</v>
      </c>
      <c r="AE1293" s="48">
        <f>IFERROR(VLOOKUP(Tabela3[[#This Row],[Produto]],Tabela2[],4,0),0)</f>
        <v>4.1100000000000003</v>
      </c>
      <c r="AF1293" s="48">
        <f>IFERROR(VLOOKUP(Tabela3[[#This Row],[Produto]],Tabela2[],5,0),0)</f>
        <v>1.6092000000000002</v>
      </c>
      <c r="AG1293" s="48">
        <f>IFERROR(VLOOKUP(Tabela3[[#This Row],[Produto]],Tabela2[],6,0),0)</f>
        <v>0</v>
      </c>
      <c r="AH1293" s="40">
        <f>IFERROR(VLOOKUP(Tabela3[[#This Row],[Produto]],Tabela2[],7,0),0)</f>
        <v>0</v>
      </c>
      <c r="AI1293" s="40">
        <f>IFERROR(VLOOKUP(Tabela3[[#This Row],[Produto]],Tabela2[],8,0),0)</f>
        <v>0</v>
      </c>
      <c r="AJ1293" s="35">
        <f ca="1">IFERROR(VLOOKUP(Tabela3[[#This Row],[Produto]],Tabela2[],13,0),0)</f>
        <v>17.600000000000001</v>
      </c>
      <c r="AK1293" s="48" t="str">
        <f>IFERROR(VLOOKUP(Tabela3[[#This Row],[Produto]],Tabela2[],14,0),0)</f>
        <v>Marcelo</v>
      </c>
      <c r="AL1293" s="40">
        <f>IFERROR(VLOOKUP(Tabela3[[#This Row],[Produto]],Tabela2[],15,0),0)</f>
        <v>5</v>
      </c>
      <c r="AM1293" s="36">
        <f ca="1">(Tabela3[[#This Row],[Custo Usinagem]]+Tabela3[[#This Row],[Custo / Pç]])*1.2</f>
        <v>17.310999027206357</v>
      </c>
      <c r="AN1293" s="36">
        <f ca="1">Tabela3[[#This Row],[Valor Mínimo Venda]]*1.15</f>
        <v>19.907648881287308</v>
      </c>
      <c r="AO1293" s="36">
        <f ca="1">Tabela3[[#This Row],[Tabela 1]]*1.08</f>
        <v>21.500260791790293</v>
      </c>
      <c r="AP1293" s="36">
        <f ca="1">Tabela3[[#This Row],[Tabela 2]]*1.15</f>
        <v>24.725299910558835</v>
      </c>
    </row>
    <row r="1294" spans="1:42">
      <c r="A1294" s="9">
        <v>46176</v>
      </c>
      <c r="B1294" s="9" t="s">
        <v>158</v>
      </c>
      <c r="C1294" s="14">
        <v>9786</v>
      </c>
      <c r="D1294" s="6" t="s">
        <v>46</v>
      </c>
      <c r="E1294" s="6" t="s">
        <v>50</v>
      </c>
      <c r="F1294" s="6">
        <v>8</v>
      </c>
      <c r="G1294" s="15">
        <v>3.888888888888889E-2</v>
      </c>
      <c r="H1294" s="16">
        <v>0</v>
      </c>
      <c r="I1294" s="35">
        <f ca="1">IFERROR(Tabela3[[#This Row],[Custo Total]]/Tabela3[[#This Row],[Aluminio Util]],0)</f>
        <v>20.786222927273958</v>
      </c>
      <c r="J1294" s="35">
        <f ca="1">Tabela3[[#This Row],[Custo Total]]/Tabela3[[#This Row],[Realizado]]</f>
        <v>31.179334390910935</v>
      </c>
      <c r="K1294" s="37">
        <f>IFERROR(Tabela3[[#This Row],[Qtde Cx Produzida]]/Tabela3[[#This Row],[Tempo]]/24,0)</f>
        <v>8.5714285714285712</v>
      </c>
      <c r="L1294" s="37">
        <f>Tabela3[[#This Row],[Qtde Cx Produzida]]*Tabela3[[#This Row],[Qdt Peça Placa]]</f>
        <v>32</v>
      </c>
      <c r="M1294" s="37">
        <f>Tabela3[[#This Row],[Previsto]]-Tabela3[[#This Row],[Perda Pçs]]</f>
        <v>32</v>
      </c>
      <c r="N1294" s="38">
        <f>IFERROR(Tabela3[[#This Row],[Perda Pçs]]/Tabela3[[#This Row],[Previsto]],0)</f>
        <v>0</v>
      </c>
      <c r="O1294" s="39">
        <f>IFERROR(IF(Tabela3[[#This Row],[Qtde Cx Produzida]] &lt;&gt; 0, Tabela3[[#This Row],[Tempo]] / Tabela3[[#This Row],[Qtde Cx Produzida]], 0),0)</f>
        <v>4.8611111111111112E-3</v>
      </c>
      <c r="P1294" s="57">
        <f>IFERROR(Tabela3[[#This Row],[Perda Pçs]]/Tabela3[[#This Row],[Qdt Peça Placa]],0)</f>
        <v>0</v>
      </c>
      <c r="Q1294" s="37">
        <f>IFERROR(Tabela3[[#This Row],[Realizado]]*Tabela3[[#This Row],[Peso Util/Pç]],0)</f>
        <v>48</v>
      </c>
      <c r="R1294" s="37">
        <f>IFERROR(Tabela3[[#This Row],[Peso Total Galho]]*Tabela3[[#This Row],[Qtde Cx Produzida]]*1.055,0)</f>
        <v>54.015999999999998</v>
      </c>
      <c r="S1294" s="37">
        <f>(Tabela3[[#This Row],[Aluminio Bruto]]-Tabela3[[#This Row],[Aluminio Util]])*0.9</f>
        <v>5.4143999999999988</v>
      </c>
      <c r="T1294" s="37">
        <f>Tabela3[[#This Row],[Aluminio Bruto]]/OleoKGAluminio</f>
        <v>22.724461357982999</v>
      </c>
      <c r="U1294" s="35">
        <f>IFERROR((VLOOKUP(Tabela3[[#This Row],[Moldador]],Tabela1[],5,)+(VLOOKUP(Tabela3[[#This Row],[Ajudante]],Tabela1[],5,))*3.5),0)</f>
        <v>99.95034583333333</v>
      </c>
      <c r="V1294" s="35">
        <f>IFERROR(Tabela3[[#This Row],[Custo M.O. / H]]/((Tabela3[[#This Row],[Realizado]]/Tabela3[[#This Row],[Qdt Peça Placa]])/Tabela3[[#This Row],[Tempo]]/24),)</f>
        <v>11.660873680555556</v>
      </c>
      <c r="W1294" s="35">
        <f>Tabela3[[#This Row],[Custo / Cx Moldada]]*Tabela3[[#This Row],[Qtde Cx Produzida]]</f>
        <v>93.286989444444444</v>
      </c>
      <c r="X1294" s="35">
        <f ca="1">Tabela3[[#This Row],[Aluminio Util]]*Tabela3[[#This Row],[Custo/Kg]]</f>
        <v>844.80000000000007</v>
      </c>
      <c r="Y1294" s="35">
        <f>IFERROR(VLOOKUP(Tabela3[[#This Row],[Data]],Tabela461213[],2,1)*(Tabela3[[#This Row],[Qtde Cx Produzida]]*Tabela3[[#This Row],[Qde macho / CX]]*Tabela3[[#This Row],[Peso Macho]]),)</f>
        <v>0</v>
      </c>
      <c r="Z1294" s="35">
        <f>IFERROR(Tabela3[[#This Row],[Qtde Oleo]]*(VLOOKUP(Tabela3[[#This Row],[Data]],CompraOleo[],3,TRUE))*1.05,0)</f>
        <v>59.651711064705381</v>
      </c>
      <c r="AA1294" s="47">
        <f ca="1">(Tabela3[[#This Row],[Custo Oleo]]+Tabela3[[#This Row],[Custo Aluminio]]+Tabela3[[#This Row],[Custo M.O. Total]]+Tabela3[[#This Row],[Custo Machos]])</f>
        <v>997.73870050914991</v>
      </c>
      <c r="AB1294" s="47">
        <f ca="1">Tabela3[[#This Row],[Custo Total]]*Tabela3[[#This Row],[% Perda]]</f>
        <v>0</v>
      </c>
      <c r="AC1294" s="40">
        <f>IFERROR(VLOOKUP(Tabela3[[#This Row],[Produto]],Tabela2[],2,0),0)</f>
        <v>4</v>
      </c>
      <c r="AD1294" s="48">
        <f>IFERROR(VLOOKUP(Tabela3[[#This Row],[Produto]],Tabela2[],3,0),0)</f>
        <v>1.5</v>
      </c>
      <c r="AE1294" s="48">
        <f>IFERROR(VLOOKUP(Tabela3[[#This Row],[Produto]],Tabela2[],4,0),0)</f>
        <v>6.4</v>
      </c>
      <c r="AF1294" s="48">
        <f>IFERROR(VLOOKUP(Tabela3[[#This Row],[Produto]],Tabela2[],5,0),0)</f>
        <v>0.36000000000000032</v>
      </c>
      <c r="AG1294" s="48">
        <f>IFERROR(VLOOKUP(Tabela3[[#This Row],[Produto]],Tabela2[],6,0),0)</f>
        <v>0</v>
      </c>
      <c r="AH1294" s="40">
        <f>IFERROR(VLOOKUP(Tabela3[[#This Row],[Produto]],Tabela2[],7,0),0)</f>
        <v>0</v>
      </c>
      <c r="AI1294" s="40">
        <f>IFERROR(VLOOKUP(Tabela3[[#This Row],[Produto]],Tabela2[],8,0),0)</f>
        <v>0</v>
      </c>
      <c r="AJ1294" s="35">
        <f ca="1">IFERROR(VLOOKUP(Tabela3[[#This Row],[Produto]],Tabela2[],13,0),0)</f>
        <v>17.600000000000001</v>
      </c>
      <c r="AK1294" s="48" t="str">
        <f>IFERROR(VLOOKUP(Tabela3[[#This Row],[Produto]],Tabela2[],14,0),0)</f>
        <v>Danilo</v>
      </c>
      <c r="AL1294" s="40">
        <f>IFERROR(VLOOKUP(Tabela3[[#This Row],[Produto]],Tabela2[],15,0),0)</f>
        <v>0</v>
      </c>
      <c r="AM1294" s="36">
        <f ca="1">(Tabela3[[#This Row],[Custo Usinagem]]+Tabela3[[#This Row],[Custo / Pç]])*1.2</f>
        <v>37.415201269093117</v>
      </c>
      <c r="AN1294" s="36">
        <f ca="1">Tabela3[[#This Row],[Valor Mínimo Venda]]*1.15</f>
        <v>43.027481459457078</v>
      </c>
      <c r="AO1294" s="36">
        <f ca="1">Tabela3[[#This Row],[Tabela 1]]*1.08</f>
        <v>46.469679976213648</v>
      </c>
      <c r="AP1294" s="36">
        <f ca="1">Tabela3[[#This Row],[Tabela 2]]*1.15</f>
        <v>53.440131972645688</v>
      </c>
    </row>
    <row r="1295" spans="1:42">
      <c r="A1295" s="9">
        <v>46176</v>
      </c>
      <c r="B1295" s="9" t="s">
        <v>158</v>
      </c>
      <c r="C1295" s="14">
        <v>9786</v>
      </c>
      <c r="D1295" s="6" t="s">
        <v>46</v>
      </c>
      <c r="E1295" s="6" t="s">
        <v>44</v>
      </c>
      <c r="F1295" s="6">
        <v>7</v>
      </c>
      <c r="G1295" s="15">
        <v>3.6111111111111108E-2</v>
      </c>
      <c r="H1295" s="16">
        <v>0</v>
      </c>
      <c r="I1295" s="35">
        <f ca="1">IFERROR(Tabela3[[#This Row],[Custo Total]]/Tabela3[[#This Row],[Aluminio Util]],0)</f>
        <v>21.444693980514696</v>
      </c>
      <c r="J1295" s="35">
        <f ca="1">Tabela3[[#This Row],[Custo Total]]/Tabela3[[#This Row],[Realizado]]</f>
        <v>32.167040970772042</v>
      </c>
      <c r="K1295" s="37">
        <f>IFERROR(Tabela3[[#This Row],[Qtde Cx Produzida]]/Tabela3[[#This Row],[Tempo]]/24,0)</f>
        <v>8.0769230769230784</v>
      </c>
      <c r="L1295" s="37">
        <f>Tabela3[[#This Row],[Qtde Cx Produzida]]*Tabela3[[#This Row],[Qdt Peça Placa]]</f>
        <v>28</v>
      </c>
      <c r="M1295" s="37">
        <f>Tabela3[[#This Row],[Previsto]]-Tabela3[[#This Row],[Perda Pçs]]</f>
        <v>28</v>
      </c>
      <c r="N1295" s="38">
        <f>IFERROR(Tabela3[[#This Row],[Perda Pçs]]/Tabela3[[#This Row],[Previsto]],0)</f>
        <v>0</v>
      </c>
      <c r="O1295" s="39">
        <f>IFERROR(IF(Tabela3[[#This Row],[Qtde Cx Produzida]] &lt;&gt; 0, Tabela3[[#This Row],[Tempo]] / Tabela3[[#This Row],[Qtde Cx Produzida]], 0),0)</f>
        <v>5.1587301587301586E-3</v>
      </c>
      <c r="P1295" s="57">
        <f>IFERROR(Tabela3[[#This Row],[Perda Pçs]]/Tabela3[[#This Row],[Qdt Peça Placa]],0)</f>
        <v>0</v>
      </c>
      <c r="Q1295" s="37">
        <f>IFERROR(Tabela3[[#This Row],[Realizado]]*Tabela3[[#This Row],[Peso Util/Pç]],0)</f>
        <v>42</v>
      </c>
      <c r="R1295" s="37">
        <f>IFERROR(Tabela3[[#This Row],[Peso Total Galho]]*Tabela3[[#This Row],[Qtde Cx Produzida]]*1.055,0)</f>
        <v>47.264000000000003</v>
      </c>
      <c r="S1295" s="37">
        <f>(Tabela3[[#This Row],[Aluminio Bruto]]-Tabela3[[#This Row],[Aluminio Util]])*0.9</f>
        <v>4.7376000000000031</v>
      </c>
      <c r="T1295" s="37">
        <f>Tabela3[[#This Row],[Aluminio Bruto]]/OleoKGAluminio</f>
        <v>19.883903688235126</v>
      </c>
      <c r="U1295" s="35">
        <f>IFERROR((VLOOKUP(Tabela3[[#This Row],[Moldador]],Tabela1[],5,)+(VLOOKUP(Tabela3[[#This Row],[Ajudante]],Tabela1[],5,))*3.5),0)</f>
        <v>126.0945</v>
      </c>
      <c r="V1295" s="35">
        <f>IFERROR(Tabela3[[#This Row],[Custo M.O. / H]]/((Tabela3[[#This Row],[Realizado]]/Tabela3[[#This Row],[Qdt Peça Placa]])/Tabela3[[#This Row],[Tempo]]/24),)</f>
        <v>15.611699999999997</v>
      </c>
      <c r="W1295" s="35">
        <f>Tabela3[[#This Row],[Custo / Cx Moldada]]*Tabela3[[#This Row],[Qtde Cx Produzida]]</f>
        <v>109.28189999999998</v>
      </c>
      <c r="X1295" s="35">
        <f ca="1">Tabela3[[#This Row],[Aluminio Util]]*Tabela3[[#This Row],[Custo/Kg]]</f>
        <v>739.2</v>
      </c>
      <c r="Y1295" s="35">
        <f>IFERROR(VLOOKUP(Tabela3[[#This Row],[Data]],Tabela461213[],2,1)*(Tabela3[[#This Row],[Qtde Cx Produzida]]*Tabela3[[#This Row],[Qde macho / CX]]*Tabela3[[#This Row],[Peso Macho]]),)</f>
        <v>0</v>
      </c>
      <c r="Z1295" s="35">
        <f>IFERROR(Tabela3[[#This Row],[Qtde Oleo]]*(VLOOKUP(Tabela3[[#This Row],[Data]],CompraOleo[],3,TRUE))*1.05,0)</f>
        <v>52.195247181617205</v>
      </c>
      <c r="AA1295" s="47">
        <f ca="1">(Tabela3[[#This Row],[Custo Oleo]]+Tabela3[[#This Row],[Custo Aluminio]]+Tabela3[[#This Row],[Custo M.O. Total]]+Tabela3[[#This Row],[Custo Machos]])</f>
        <v>900.67714718161722</v>
      </c>
      <c r="AB1295" s="47">
        <f ca="1">Tabela3[[#This Row],[Custo Total]]*Tabela3[[#This Row],[% Perda]]</f>
        <v>0</v>
      </c>
      <c r="AC1295" s="40">
        <f>IFERROR(VLOOKUP(Tabela3[[#This Row],[Produto]],Tabela2[],2,0),0)</f>
        <v>4</v>
      </c>
      <c r="AD1295" s="48">
        <f>IFERROR(VLOOKUP(Tabela3[[#This Row],[Produto]],Tabela2[],3,0),0)</f>
        <v>1.5</v>
      </c>
      <c r="AE1295" s="48">
        <f>IFERROR(VLOOKUP(Tabela3[[#This Row],[Produto]],Tabela2[],4,0),0)</f>
        <v>6.4</v>
      </c>
      <c r="AF1295" s="48">
        <f>IFERROR(VLOOKUP(Tabela3[[#This Row],[Produto]],Tabela2[],5,0),0)</f>
        <v>0.36000000000000032</v>
      </c>
      <c r="AG1295" s="48">
        <f>IFERROR(VLOOKUP(Tabela3[[#This Row],[Produto]],Tabela2[],6,0),0)</f>
        <v>0</v>
      </c>
      <c r="AH1295" s="40">
        <f>IFERROR(VLOOKUP(Tabela3[[#This Row],[Produto]],Tabela2[],7,0),0)</f>
        <v>0</v>
      </c>
      <c r="AI1295" s="40">
        <f>IFERROR(VLOOKUP(Tabela3[[#This Row],[Produto]],Tabela2[],8,0),0)</f>
        <v>0</v>
      </c>
      <c r="AJ1295" s="35">
        <f ca="1">IFERROR(VLOOKUP(Tabela3[[#This Row],[Produto]],Tabela2[],13,0),0)</f>
        <v>17.600000000000001</v>
      </c>
      <c r="AK1295" s="48" t="str">
        <f>IFERROR(VLOOKUP(Tabela3[[#This Row],[Produto]],Tabela2[],14,0),0)</f>
        <v>Danilo</v>
      </c>
      <c r="AL1295" s="40">
        <f>IFERROR(VLOOKUP(Tabela3[[#This Row],[Produto]],Tabela2[],15,0),0)</f>
        <v>0</v>
      </c>
      <c r="AM1295" s="36">
        <f ca="1">(Tabela3[[#This Row],[Custo Usinagem]]+Tabela3[[#This Row],[Custo / Pç]])*1.2</f>
        <v>38.600449164926452</v>
      </c>
      <c r="AN1295" s="36">
        <f ca="1">Tabela3[[#This Row],[Valor Mínimo Venda]]*1.15</f>
        <v>44.39051653966542</v>
      </c>
      <c r="AO1295" s="36">
        <f ca="1">Tabela3[[#This Row],[Tabela 1]]*1.08</f>
        <v>47.941757862838656</v>
      </c>
      <c r="AP1295" s="36">
        <f ca="1">Tabela3[[#This Row],[Tabela 2]]*1.15</f>
        <v>55.133021542264451</v>
      </c>
    </row>
    <row r="1296" spans="1:42">
      <c r="A1296" s="9">
        <v>46176</v>
      </c>
      <c r="B1296" s="9" t="s">
        <v>262</v>
      </c>
      <c r="C1296" s="14">
        <v>9801</v>
      </c>
      <c r="D1296" s="6" t="s">
        <v>44</v>
      </c>
      <c r="E1296" s="6" t="s">
        <v>47</v>
      </c>
      <c r="F1296" s="6">
        <v>8</v>
      </c>
      <c r="G1296" s="15">
        <v>4.8611111111111112E-2</v>
      </c>
      <c r="H1296" s="16">
        <v>0</v>
      </c>
      <c r="I1296" s="35">
        <f ca="1">IFERROR(Tabela3[[#This Row],[Custo Total]]/Tabela3[[#This Row],[Aluminio Util]],0)</f>
        <v>26.540746759721227</v>
      </c>
      <c r="J1296" s="35">
        <f ca="1">Tabela3[[#This Row],[Custo Total]]/Tabela3[[#This Row],[Realizado]]</f>
        <v>15.287470133599426</v>
      </c>
      <c r="K1296" s="37">
        <f>IFERROR(Tabela3[[#This Row],[Qtde Cx Produzida]]/Tabela3[[#This Row],[Tempo]]/24,0)</f>
        <v>6.8571428571428568</v>
      </c>
      <c r="L1296" s="37">
        <f>Tabela3[[#This Row],[Qtde Cx Produzida]]*Tabela3[[#This Row],[Qdt Peça Placa]]</f>
        <v>24</v>
      </c>
      <c r="M1296" s="37">
        <f>Tabela3[[#This Row],[Previsto]]-Tabela3[[#This Row],[Perda Pçs]]</f>
        <v>24</v>
      </c>
      <c r="N1296" s="38">
        <f>IFERROR(Tabela3[[#This Row],[Perda Pçs]]/Tabela3[[#This Row],[Previsto]],0)</f>
        <v>0</v>
      </c>
      <c r="O1296" s="39">
        <f>IFERROR(IF(Tabela3[[#This Row],[Qtde Cx Produzida]] &lt;&gt; 0, Tabela3[[#This Row],[Tempo]] / Tabela3[[#This Row],[Qtde Cx Produzida]], 0),0)</f>
        <v>6.076388888888889E-3</v>
      </c>
      <c r="P1296" s="57">
        <f>IFERROR(Tabela3[[#This Row],[Perda Pçs]]/Tabela3[[#This Row],[Qdt Peça Placa]],0)</f>
        <v>0</v>
      </c>
      <c r="Q1296" s="37">
        <f>IFERROR(Tabela3[[#This Row],[Realizado]]*Tabela3[[#This Row],[Peso Util/Pç]],0)</f>
        <v>13.823999999999998</v>
      </c>
      <c r="R1296" s="37">
        <f>IFERROR(Tabela3[[#This Row],[Peso Total Galho]]*Tabela3[[#This Row],[Qtde Cx Produzida]]*1.055,0)</f>
        <v>18.432960000000001</v>
      </c>
      <c r="S1296" s="37">
        <f>(Tabela3[[#This Row],[Aluminio Bruto]]-Tabela3[[#This Row],[Aluminio Util]])*0.9</f>
        <v>4.1480640000000033</v>
      </c>
      <c r="T1296" s="37">
        <f>Tabela3[[#This Row],[Aluminio Bruto]]/OleoKGAluminio</f>
        <v>7.7547224384116999</v>
      </c>
      <c r="U1296" s="35">
        <f>IFERROR((VLOOKUP(Tabela3[[#This Row],[Moldador]],Tabela1[],5,)+(VLOOKUP(Tabela3[[#This Row],[Ajudante]],Tabela1[],5,))*3.5),0)</f>
        <v>99.95034583333333</v>
      </c>
      <c r="V1296" s="35">
        <f>IFERROR(Tabela3[[#This Row],[Custo M.O. / H]]/((Tabela3[[#This Row],[Realizado]]/Tabela3[[#This Row],[Qdt Peça Placa]])/Tabela3[[#This Row],[Tempo]]/24),)</f>
        <v>14.576092100694444</v>
      </c>
      <c r="W1296" s="35">
        <f>Tabela3[[#This Row],[Custo / Cx Moldada]]*Tabela3[[#This Row],[Qtde Cx Produzida]]</f>
        <v>116.60873680555555</v>
      </c>
      <c r="X1296" s="35">
        <f ca="1">Tabela3[[#This Row],[Aluminio Util]]*Tabela3[[#This Row],[Custo/Kg]]</f>
        <v>215.65439999999998</v>
      </c>
      <c r="Y1296" s="35">
        <f>IFERROR(VLOOKUP(Tabela3[[#This Row],[Data]],Tabela461213[],2,1)*(Tabela3[[#This Row],[Qtde Cx Produzida]]*Tabela3[[#This Row],[Qde macho / CX]]*Tabela3[[#This Row],[Peso Macho]]),)</f>
        <v>14.28</v>
      </c>
      <c r="Z1296" s="35">
        <f>IFERROR(Tabela3[[#This Row],[Qtde Oleo]]*(VLOOKUP(Tabela3[[#This Row],[Data]],CompraOleo[],3,TRUE))*1.05,0)</f>
        <v>20.356146400830713</v>
      </c>
      <c r="AA1296" s="47">
        <f ca="1">(Tabela3[[#This Row],[Custo Oleo]]+Tabela3[[#This Row],[Custo Aluminio]]+Tabela3[[#This Row],[Custo M.O. Total]]+Tabela3[[#This Row],[Custo Machos]])</f>
        <v>366.8992832063862</v>
      </c>
      <c r="AB1296" s="47">
        <f ca="1">Tabela3[[#This Row],[Custo Total]]*Tabela3[[#This Row],[% Perda]]</f>
        <v>0</v>
      </c>
      <c r="AC1296" s="40">
        <f>IFERROR(VLOOKUP(Tabela3[[#This Row],[Produto]],Tabela2[],2,0),0)</f>
        <v>3</v>
      </c>
      <c r="AD1296" s="48">
        <f>IFERROR(VLOOKUP(Tabela3[[#This Row],[Produto]],Tabela2[],3,0),0)</f>
        <v>0.57599999999999996</v>
      </c>
      <c r="AE1296" s="48">
        <f>IFERROR(VLOOKUP(Tabela3[[#This Row],[Produto]],Tabela2[],4,0),0)</f>
        <v>2.1840000000000002</v>
      </c>
      <c r="AF1296" s="48">
        <f>IFERROR(VLOOKUP(Tabela3[[#This Row],[Produto]],Tabela2[],5,0),0)</f>
        <v>0.41040000000000038</v>
      </c>
      <c r="AG1296" s="48">
        <f>IFERROR(VLOOKUP(Tabela3[[#This Row],[Produto]],Tabela2[],6,0),0)</f>
        <v>0</v>
      </c>
      <c r="AH1296" s="40">
        <f>IFERROR(VLOOKUP(Tabela3[[#This Row],[Produto]],Tabela2[],7,0),0)</f>
        <v>1</v>
      </c>
      <c r="AI1296" s="40">
        <f>IFERROR(VLOOKUP(Tabela3[[#This Row],[Produto]],Tabela2[],8,0),0)</f>
        <v>1.05</v>
      </c>
      <c r="AJ1296" s="35">
        <f ca="1">IFERROR(VLOOKUP(Tabela3[[#This Row],[Produto]],Tabela2[],13,0),0)</f>
        <v>15.600000000000001</v>
      </c>
      <c r="AK1296" s="48" t="str">
        <f>IFERROR(VLOOKUP(Tabela3[[#This Row],[Produto]],Tabela2[],14,0),0)</f>
        <v>Senun</v>
      </c>
      <c r="AL1296" s="40">
        <f>IFERROR(VLOOKUP(Tabela3[[#This Row],[Produto]],Tabela2[],15,0),0)</f>
        <v>4</v>
      </c>
      <c r="AM1296" s="36">
        <f ca="1">(Tabela3[[#This Row],[Custo Usinagem]]+Tabela3[[#This Row],[Custo / Pç]])*1.2</f>
        <v>23.144964160319311</v>
      </c>
      <c r="AN1296" s="36">
        <f ca="1">Tabela3[[#This Row],[Valor Mínimo Venda]]*1.15</f>
        <v>26.616708784367205</v>
      </c>
      <c r="AO1296" s="36">
        <f ca="1">Tabela3[[#This Row],[Tabela 1]]*1.08</f>
        <v>28.746045487116582</v>
      </c>
      <c r="AP1296" s="36">
        <f ca="1">Tabela3[[#This Row],[Tabela 2]]*1.15</f>
        <v>33.057952310184064</v>
      </c>
    </row>
    <row r="1297" spans="1:42">
      <c r="A1297" s="9">
        <v>46176</v>
      </c>
      <c r="B1297" s="9" t="s">
        <v>246</v>
      </c>
      <c r="C1297" s="14">
        <v>9802</v>
      </c>
      <c r="D1297" s="6" t="s">
        <v>46</v>
      </c>
      <c r="E1297" s="6" t="s">
        <v>44</v>
      </c>
      <c r="F1297" s="75">
        <v>12</v>
      </c>
      <c r="G1297" s="15">
        <v>6.7361111111111108E-2</v>
      </c>
      <c r="H1297" s="16">
        <v>0</v>
      </c>
      <c r="I1297" s="35">
        <f ca="1">IFERROR(Tabela3[[#This Row],[Custo Total]]/Tabela3[[#This Row],[Aluminio Util]],0)</f>
        <v>25.371327598366484</v>
      </c>
      <c r="J1297" s="76">
        <f ca="1">Tabela3[[#This Row],[Custo Total]]/Tabela3[[#This Row],[Realizado]]</f>
        <v>13.522917609929337</v>
      </c>
      <c r="K1297" s="37">
        <f>IFERROR(Tabela3[[#This Row],[Qtde Cx Produzida]]/Tabela3[[#This Row],[Tempo]]/24,0)</f>
        <v>7.4226804123711352</v>
      </c>
      <c r="L1297" s="37">
        <f>Tabela3[[#This Row],[Qtde Cx Produzida]]*Tabela3[[#This Row],[Qdt Peça Placa]]</f>
        <v>48</v>
      </c>
      <c r="M1297" s="37">
        <f>Tabela3[[#This Row],[Previsto]]-Tabela3[[#This Row],[Perda Pçs]]</f>
        <v>48</v>
      </c>
      <c r="N1297" s="38">
        <f>IFERROR(Tabela3[[#This Row],[Perda Pçs]]/Tabela3[[#This Row],[Previsto]],0)</f>
        <v>0</v>
      </c>
      <c r="O1297" s="39">
        <f>IFERROR(IF(Tabela3[[#This Row],[Qtde Cx Produzida]] &lt;&gt; 0, Tabela3[[#This Row],[Tempo]] / Tabela3[[#This Row],[Qtde Cx Produzida]], 0),0)</f>
        <v>5.6134259259259254E-3</v>
      </c>
      <c r="P1297" s="77">
        <f>IFERROR(Tabela3[[#This Row],[Perda Pçs]]/Tabela3[[#This Row],[Qdt Peça Placa]],0)</f>
        <v>0</v>
      </c>
      <c r="Q1297" s="37">
        <f>IFERROR(Tabela3[[#This Row],[Realizado]]*Tabela3[[#This Row],[Peso Util/Pç]],0)</f>
        <v>25.584000000000003</v>
      </c>
      <c r="R1297" s="37">
        <f>IFERROR(Tabela3[[#This Row],[Peso Total Galho]]*Tabela3[[#This Row],[Qtde Cx Produzida]]*1.055,0)</f>
        <v>41.777999999999992</v>
      </c>
      <c r="S1297" s="37">
        <f>(Tabela3[[#This Row],[Aluminio Bruto]]-Tabela3[[#This Row],[Aluminio Util]])*0.9</f>
        <v>14.57459999999999</v>
      </c>
      <c r="T1297" s="37">
        <f>Tabela3[[#This Row],[Aluminio Bruto]]/OleoKGAluminio</f>
        <v>17.575950581564975</v>
      </c>
      <c r="U1297" s="76">
        <f>IFERROR((VLOOKUP(Tabela3[[#This Row],[Moldador]],Tabela1[],5,)+(VLOOKUP(Tabela3[[#This Row],[Ajudante]],Tabela1[],5,))*3.5),0)</f>
        <v>126.0945</v>
      </c>
      <c r="V1297" s="76">
        <f>IFERROR(Tabela3[[#This Row],[Custo M.O. / H]]/((Tabela3[[#This Row],[Realizado]]/Tabela3[[#This Row],[Qdt Peça Placa]])/Tabela3[[#This Row],[Tempo]]/24),)</f>
        <v>16.987731249999996</v>
      </c>
      <c r="W1297" s="76">
        <f>Tabela3[[#This Row],[Custo / Cx Moldada]]*Tabela3[[#This Row],[Qtde Cx Produzida]]</f>
        <v>203.85277499999995</v>
      </c>
      <c r="X1297" s="76">
        <f ca="1">Tabela3[[#This Row],[Aluminio Util]]*Tabela3[[#This Row],[Custo/Kg]]</f>
        <v>399.11040000000008</v>
      </c>
      <c r="Y1297" s="76">
        <f>IFERROR(VLOOKUP(Tabela3[[#This Row],[Data]],Tabela461213[],2,1)*(Tabela3[[#This Row],[Qtde Cx Produzida]]*Tabela3[[#This Row],[Qde macho / CX]]*Tabela3[[#This Row],[Peso Macho]]),)</f>
        <v>0</v>
      </c>
      <c r="Z1297" s="76">
        <f>IFERROR(Tabela3[[#This Row],[Qtde Oleo]]*(VLOOKUP(Tabela3[[#This Row],[Data]],CompraOleo[],3,TRUE))*1.05,0)</f>
        <v>46.136870276608057</v>
      </c>
      <c r="AA1297" s="47">
        <f ca="1">(Tabela3[[#This Row],[Custo Oleo]]+Tabela3[[#This Row],[Custo Aluminio]]+Tabela3[[#This Row],[Custo M.O. Total]]+Tabela3[[#This Row],[Custo Machos]])</f>
        <v>649.10004527660817</v>
      </c>
      <c r="AB1297" s="47">
        <f ca="1">Tabela3[[#This Row],[Custo Total]]*Tabela3[[#This Row],[% Perda]]</f>
        <v>0</v>
      </c>
      <c r="AC1297" s="78">
        <f>IFERROR(VLOOKUP(Tabela3[[#This Row],[Produto]],Tabela2[],2,0),0)</f>
        <v>4</v>
      </c>
      <c r="AD1297" s="48">
        <f>IFERROR(VLOOKUP(Tabela3[[#This Row],[Produto]],Tabela2[],3,0),0)</f>
        <v>0.53300000000000003</v>
      </c>
      <c r="AE1297" s="48">
        <f>IFERROR(VLOOKUP(Tabela3[[#This Row],[Produto]],Tabela2[],4,0),0)</f>
        <v>3.3</v>
      </c>
      <c r="AF1297" s="48">
        <f>IFERROR(VLOOKUP(Tabela3[[#This Row],[Produto]],Tabela2[],5,0),0)</f>
        <v>1.0511999999999997</v>
      </c>
      <c r="AG1297" s="48">
        <f>IFERROR(VLOOKUP(Tabela3[[#This Row],[Produto]],Tabela2[],6,0),0)</f>
        <v>0</v>
      </c>
      <c r="AH1297" s="78">
        <f>IFERROR(VLOOKUP(Tabela3[[#This Row],[Produto]],Tabela2[],7,0),0)</f>
        <v>0</v>
      </c>
      <c r="AI1297" s="78">
        <f>IFERROR(VLOOKUP(Tabela3[[#This Row],[Produto]],Tabela2[],8,0),0)</f>
        <v>0</v>
      </c>
      <c r="AJ1297" s="35">
        <f ca="1">IFERROR(VLOOKUP(Tabela3[[#This Row],[Produto]],Tabela2[],13,0),0)</f>
        <v>15.600000000000001</v>
      </c>
      <c r="AK1297" s="48" t="str">
        <f>IFERROR(VLOOKUP(Tabela3[[#This Row],[Produto]],Tabela2[],14,0),0)</f>
        <v>Senun</v>
      </c>
      <c r="AL1297" s="78">
        <f>IFERROR(VLOOKUP(Tabela3[[#This Row],[Produto]],Tabela2[],15,0),0)</f>
        <v>4</v>
      </c>
      <c r="AM1297" s="79">
        <f ca="1">(Tabela3[[#This Row],[Custo Usinagem]]+Tabela3[[#This Row],[Custo / Pç]])*1.2</f>
        <v>21.027501131915205</v>
      </c>
      <c r="AN1297" s="36">
        <f ca="1">Tabela3[[#This Row],[Valor Mínimo Venda]]*1.15</f>
        <v>24.181626301702483</v>
      </c>
      <c r="AO1297" s="36">
        <f ca="1">Tabela3[[#This Row],[Tabela 1]]*1.08</f>
        <v>26.116156405838684</v>
      </c>
      <c r="AP1297" s="79">
        <f ca="1">Tabela3[[#This Row],[Tabela 2]]*1.15</f>
        <v>30.033579866714483</v>
      </c>
    </row>
    <row r="1298" spans="1:42">
      <c r="A1298" s="9">
        <v>46176</v>
      </c>
      <c r="B1298" s="9" t="s">
        <v>246</v>
      </c>
      <c r="C1298" s="14">
        <v>9802</v>
      </c>
      <c r="D1298" s="6" t="s">
        <v>44</v>
      </c>
      <c r="E1298" s="6" t="s">
        <v>47</v>
      </c>
      <c r="F1298" s="75">
        <v>3</v>
      </c>
      <c r="G1298" s="15">
        <v>1.3888888888888888E-2</v>
      </c>
      <c r="H1298" s="16">
        <v>0</v>
      </c>
      <c r="I1298" s="35">
        <f ca="1">IFERROR(Tabela3[[#This Row],[Custo Total]]/Tabela3[[#This Row],[Aluminio Util]],0)</f>
        <v>22.612351393620465</v>
      </c>
      <c r="J1298" s="76">
        <f ca="1">Tabela3[[#This Row],[Custo Total]]/Tabela3[[#This Row],[Realizado]]</f>
        <v>12.052383292799709</v>
      </c>
      <c r="K1298" s="37">
        <f>IFERROR(Tabela3[[#This Row],[Qtde Cx Produzida]]/Tabela3[[#This Row],[Tempo]]/24,0)</f>
        <v>9</v>
      </c>
      <c r="L1298" s="37">
        <f>Tabela3[[#This Row],[Qtde Cx Produzida]]*Tabela3[[#This Row],[Qdt Peça Placa]]</f>
        <v>12</v>
      </c>
      <c r="M1298" s="37">
        <f>Tabela3[[#This Row],[Previsto]]-Tabela3[[#This Row],[Perda Pçs]]</f>
        <v>12</v>
      </c>
      <c r="N1298" s="38">
        <f>IFERROR(Tabela3[[#This Row],[Perda Pçs]]/Tabela3[[#This Row],[Previsto]],0)</f>
        <v>0</v>
      </c>
      <c r="O1298" s="39">
        <f>IFERROR(IF(Tabela3[[#This Row],[Qtde Cx Produzida]] &lt;&gt; 0, Tabela3[[#This Row],[Tempo]] / Tabela3[[#This Row],[Qtde Cx Produzida]], 0),0)</f>
        <v>4.6296296296296294E-3</v>
      </c>
      <c r="P1298" s="77">
        <f>IFERROR(Tabela3[[#This Row],[Perda Pçs]]/Tabela3[[#This Row],[Qdt Peça Placa]],0)</f>
        <v>0</v>
      </c>
      <c r="Q1298" s="37">
        <f>IFERROR(Tabela3[[#This Row],[Realizado]]*Tabela3[[#This Row],[Peso Util/Pç]],0)</f>
        <v>6.3960000000000008</v>
      </c>
      <c r="R1298" s="37">
        <f>IFERROR(Tabela3[[#This Row],[Peso Total Galho]]*Tabela3[[#This Row],[Qtde Cx Produzida]]*1.055,0)</f>
        <v>10.444499999999998</v>
      </c>
      <c r="S1298" s="37">
        <f>(Tabela3[[#This Row],[Aluminio Bruto]]-Tabela3[[#This Row],[Aluminio Util]])*0.9</f>
        <v>3.6436499999999974</v>
      </c>
      <c r="T1298" s="37">
        <f>Tabela3[[#This Row],[Aluminio Bruto]]/OleoKGAluminio</f>
        <v>4.3939876453912436</v>
      </c>
      <c r="U1298" s="76">
        <f>IFERROR((VLOOKUP(Tabela3[[#This Row],[Moldador]],Tabela1[],5,)+(VLOOKUP(Tabela3[[#This Row],[Ajudante]],Tabela1[],5,))*3.5),0)</f>
        <v>99.95034583333333</v>
      </c>
      <c r="V1298" s="76">
        <f>IFERROR(Tabela3[[#This Row],[Custo M.O. / H]]/((Tabela3[[#This Row],[Realizado]]/Tabela3[[#This Row],[Qdt Peça Placa]])/Tabela3[[#This Row],[Tempo]]/24),)</f>
        <v>11.105593981481482</v>
      </c>
      <c r="W1298" s="76">
        <f>Tabela3[[#This Row],[Custo / Cx Moldada]]*Tabela3[[#This Row],[Qtde Cx Produzida]]</f>
        <v>33.316781944444443</v>
      </c>
      <c r="X1298" s="76">
        <f ca="1">Tabela3[[#This Row],[Aluminio Util]]*Tabela3[[#This Row],[Custo/Kg]]</f>
        <v>99.777600000000021</v>
      </c>
      <c r="Y1298" s="76">
        <f>IFERROR(VLOOKUP(Tabela3[[#This Row],[Data]],Tabela461213[],2,1)*(Tabela3[[#This Row],[Qtde Cx Produzida]]*Tabela3[[#This Row],[Qde macho / CX]]*Tabela3[[#This Row],[Peso Macho]]),)</f>
        <v>0</v>
      </c>
      <c r="Z1298" s="76">
        <f>IFERROR(Tabela3[[#This Row],[Qtde Oleo]]*(VLOOKUP(Tabela3[[#This Row],[Data]],CompraOleo[],3,TRUE))*1.05,0)</f>
        <v>11.534217569152014</v>
      </c>
      <c r="AA1298" s="47">
        <f ca="1">(Tabela3[[#This Row],[Custo Oleo]]+Tabela3[[#This Row],[Custo Aluminio]]+Tabela3[[#This Row],[Custo M.O. Total]]+Tabela3[[#This Row],[Custo Machos]])</f>
        <v>144.6285995135965</v>
      </c>
      <c r="AB1298" s="47">
        <f ca="1">Tabela3[[#This Row],[Custo Total]]*Tabela3[[#This Row],[% Perda]]</f>
        <v>0</v>
      </c>
      <c r="AC1298" s="78">
        <f>IFERROR(VLOOKUP(Tabela3[[#This Row],[Produto]],Tabela2[],2,0),0)</f>
        <v>4</v>
      </c>
      <c r="AD1298" s="48">
        <f>IFERROR(VLOOKUP(Tabela3[[#This Row],[Produto]],Tabela2[],3,0),0)</f>
        <v>0.53300000000000003</v>
      </c>
      <c r="AE1298" s="48">
        <f>IFERROR(VLOOKUP(Tabela3[[#This Row],[Produto]],Tabela2[],4,0),0)</f>
        <v>3.3</v>
      </c>
      <c r="AF1298" s="48">
        <f>IFERROR(VLOOKUP(Tabela3[[#This Row],[Produto]],Tabela2[],5,0),0)</f>
        <v>1.0511999999999997</v>
      </c>
      <c r="AG1298" s="48">
        <f>IFERROR(VLOOKUP(Tabela3[[#This Row],[Produto]],Tabela2[],6,0),0)</f>
        <v>0</v>
      </c>
      <c r="AH1298" s="78">
        <f>IFERROR(VLOOKUP(Tabela3[[#This Row],[Produto]],Tabela2[],7,0),0)</f>
        <v>0</v>
      </c>
      <c r="AI1298" s="78">
        <f>IFERROR(VLOOKUP(Tabela3[[#This Row],[Produto]],Tabela2[],8,0),0)</f>
        <v>0</v>
      </c>
      <c r="AJ1298" s="35">
        <f ca="1">IFERROR(VLOOKUP(Tabela3[[#This Row],[Produto]],Tabela2[],13,0),0)</f>
        <v>15.600000000000001</v>
      </c>
      <c r="AK1298" s="48" t="str">
        <f>IFERROR(VLOOKUP(Tabela3[[#This Row],[Produto]],Tabela2[],14,0),0)</f>
        <v>Senun</v>
      </c>
      <c r="AL1298" s="78">
        <f>IFERROR(VLOOKUP(Tabela3[[#This Row],[Produto]],Tabela2[],15,0),0)</f>
        <v>4</v>
      </c>
      <c r="AM1298" s="79">
        <f ca="1">(Tabela3[[#This Row],[Custo Usinagem]]+Tabela3[[#This Row],[Custo / Pç]])*1.2</f>
        <v>19.262859951359651</v>
      </c>
      <c r="AN1298" s="36">
        <f ca="1">Tabela3[[#This Row],[Valor Mínimo Venda]]*1.15</f>
        <v>22.152288944063596</v>
      </c>
      <c r="AO1298" s="36">
        <f ca="1">Tabela3[[#This Row],[Tabela 1]]*1.08</f>
        <v>23.924472059588684</v>
      </c>
      <c r="AP1298" s="79">
        <f ca="1">Tabela3[[#This Row],[Tabela 2]]*1.15</f>
        <v>27.513142868526984</v>
      </c>
    </row>
    <row r="1299" spans="1:42">
      <c r="A1299" s="9">
        <v>46177</v>
      </c>
      <c r="B1299" s="9" t="s">
        <v>262</v>
      </c>
      <c r="C1299" s="14">
        <v>9801</v>
      </c>
      <c r="D1299" s="6" t="s">
        <v>46</v>
      </c>
      <c r="E1299" s="6" t="s">
        <v>50</v>
      </c>
      <c r="F1299" s="6">
        <v>5</v>
      </c>
      <c r="G1299" s="15">
        <v>3.5416666666666666E-2</v>
      </c>
      <c r="H1299" s="16">
        <v>0</v>
      </c>
      <c r="I1299" s="35">
        <f ca="1">IFERROR(Tabela3[[#This Row],[Custo Total]]/Tabela3[[#This Row],[Aluminio Util]],0)</f>
        <v>27.938586279959786</v>
      </c>
      <c r="J1299" s="35">
        <f ca="1">Tabela3[[#This Row],[Custo Total]]/Tabela3[[#This Row],[Realizado]]</f>
        <v>16.092625697256835</v>
      </c>
      <c r="K1299" s="37">
        <f>IFERROR(Tabela3[[#This Row],[Qtde Cx Produzida]]/Tabela3[[#This Row],[Tempo]]/24,0)</f>
        <v>5.882352941176471</v>
      </c>
      <c r="L1299" s="37">
        <f>Tabela3[[#This Row],[Qtde Cx Produzida]]*Tabela3[[#This Row],[Qdt Peça Placa]]</f>
        <v>15</v>
      </c>
      <c r="M1299" s="37">
        <f>Tabela3[[#This Row],[Previsto]]-Tabela3[[#This Row],[Perda Pçs]]</f>
        <v>15</v>
      </c>
      <c r="N1299" s="38">
        <f>IFERROR(Tabela3[[#This Row],[Perda Pçs]]/Tabela3[[#This Row],[Previsto]],0)</f>
        <v>0</v>
      </c>
      <c r="O1299" s="39">
        <f>IFERROR(IF(Tabela3[[#This Row],[Qtde Cx Produzida]] &lt;&gt; 0, Tabela3[[#This Row],[Tempo]] / Tabela3[[#This Row],[Qtde Cx Produzida]], 0),0)</f>
        <v>7.083333333333333E-3</v>
      </c>
      <c r="P1299" s="57">
        <f>IFERROR(Tabela3[[#This Row],[Perda Pçs]]/Tabela3[[#This Row],[Qdt Peça Placa]],0)</f>
        <v>0</v>
      </c>
      <c r="Q1299" s="37">
        <f>IFERROR(Tabela3[[#This Row],[Realizado]]*Tabela3[[#This Row],[Peso Util/Pç]],0)</f>
        <v>8.6399999999999988</v>
      </c>
      <c r="R1299" s="37">
        <f>IFERROR(Tabela3[[#This Row],[Peso Total Galho]]*Tabela3[[#This Row],[Qtde Cx Produzida]]*1.055,0)</f>
        <v>11.520600000000002</v>
      </c>
      <c r="S1299" s="37">
        <f>(Tabela3[[#This Row],[Aluminio Bruto]]-Tabela3[[#This Row],[Aluminio Util]])*0.9</f>
        <v>2.5925400000000027</v>
      </c>
      <c r="T1299" s="37">
        <f>Tabela3[[#This Row],[Aluminio Bruto]]/OleoKGAluminio</f>
        <v>4.8467015240073126</v>
      </c>
      <c r="U1299" s="35">
        <f>IFERROR((VLOOKUP(Tabela3[[#This Row],[Moldador]],Tabela1[],5,)+(VLOOKUP(Tabela3[[#This Row],[Ajudante]],Tabela1[],5,))*3.5),0)</f>
        <v>99.95034583333333</v>
      </c>
      <c r="V1299" s="35">
        <f>IFERROR(Tabela3[[#This Row],[Custo M.O. / H]]/((Tabela3[[#This Row],[Realizado]]/Tabela3[[#This Row],[Qdt Peça Placa]])/Tabela3[[#This Row],[Tempo]]/24),)</f>
        <v>16.991558791666666</v>
      </c>
      <c r="W1299" s="35">
        <f>Tabela3[[#This Row],[Custo / Cx Moldada]]*Tabela3[[#This Row],[Qtde Cx Produzida]]</f>
        <v>84.957793958333326</v>
      </c>
      <c r="X1299" s="35">
        <f ca="1">Tabela3[[#This Row],[Aluminio Util]]*Tabela3[[#This Row],[Custo/Kg]]</f>
        <v>134.78399999999999</v>
      </c>
      <c r="Y1299" s="35">
        <f>IFERROR(VLOOKUP(Tabela3[[#This Row],[Data]],Tabela461213[],2,1)*(Tabela3[[#This Row],[Qtde Cx Produzida]]*Tabela3[[#This Row],[Qde macho / CX]]*Tabela3[[#This Row],[Peso Macho]]),)</f>
        <v>8.9249999999999989</v>
      </c>
      <c r="Z1299" s="35">
        <f>IFERROR(Tabela3[[#This Row],[Qtde Oleo]]*(VLOOKUP(Tabela3[[#This Row],[Data]],CompraOleo[],3,TRUE))*1.05,0)</f>
        <v>12.722591500519195</v>
      </c>
      <c r="AA1299" s="47">
        <f ca="1">(Tabela3[[#This Row],[Custo Oleo]]+Tabela3[[#This Row],[Custo Aluminio]]+Tabela3[[#This Row],[Custo M.O. Total]]+Tabela3[[#This Row],[Custo Machos]])</f>
        <v>241.38938545885253</v>
      </c>
      <c r="AB1299" s="47">
        <f ca="1">Tabela3[[#This Row],[Custo Total]]*Tabela3[[#This Row],[% Perda]]</f>
        <v>0</v>
      </c>
      <c r="AC1299" s="40">
        <f>IFERROR(VLOOKUP(Tabela3[[#This Row],[Produto]],Tabela2[],2,0),0)</f>
        <v>3</v>
      </c>
      <c r="AD1299" s="48">
        <f>IFERROR(VLOOKUP(Tabela3[[#This Row],[Produto]],Tabela2[],3,0),0)</f>
        <v>0.57599999999999996</v>
      </c>
      <c r="AE1299" s="48">
        <f>IFERROR(VLOOKUP(Tabela3[[#This Row],[Produto]],Tabela2[],4,0),0)</f>
        <v>2.1840000000000002</v>
      </c>
      <c r="AF1299" s="48">
        <f>IFERROR(VLOOKUP(Tabela3[[#This Row],[Produto]],Tabela2[],5,0),0)</f>
        <v>0.41040000000000038</v>
      </c>
      <c r="AG1299" s="48">
        <f>IFERROR(VLOOKUP(Tabela3[[#This Row],[Produto]],Tabela2[],6,0),0)</f>
        <v>0</v>
      </c>
      <c r="AH1299" s="40">
        <f>IFERROR(VLOOKUP(Tabela3[[#This Row],[Produto]],Tabela2[],7,0),0)</f>
        <v>1</v>
      </c>
      <c r="AI1299" s="40">
        <f>IFERROR(VLOOKUP(Tabela3[[#This Row],[Produto]],Tabela2[],8,0),0)</f>
        <v>1.05</v>
      </c>
      <c r="AJ1299" s="35">
        <f ca="1">IFERROR(VLOOKUP(Tabela3[[#This Row],[Produto]],Tabela2[],13,0),0)</f>
        <v>15.600000000000001</v>
      </c>
      <c r="AK1299" s="48" t="str">
        <f>IFERROR(VLOOKUP(Tabela3[[#This Row],[Produto]],Tabela2[],14,0),0)</f>
        <v>Senun</v>
      </c>
      <c r="AL1299" s="40">
        <f>IFERROR(VLOOKUP(Tabela3[[#This Row],[Produto]],Tabela2[],15,0),0)</f>
        <v>4</v>
      </c>
      <c r="AM1299" s="36">
        <f ca="1">(Tabela3[[#This Row],[Custo Usinagem]]+Tabela3[[#This Row],[Custo / Pç]])*1.2</f>
        <v>24.111150836708202</v>
      </c>
      <c r="AN1299" s="36">
        <f ca="1">Tabela3[[#This Row],[Valor Mínimo Venda]]*1.15</f>
        <v>27.727823462214431</v>
      </c>
      <c r="AO1299" s="36">
        <f ca="1">Tabela3[[#This Row],[Tabela 1]]*1.08</f>
        <v>29.946049339191589</v>
      </c>
      <c r="AP1299" s="36">
        <f ca="1">Tabela3[[#This Row],[Tabela 2]]*1.15</f>
        <v>34.437956740070327</v>
      </c>
    </row>
    <row r="1300" spans="1:42">
      <c r="A1300" s="9">
        <v>46177</v>
      </c>
      <c r="B1300" s="9" t="s">
        <v>107</v>
      </c>
      <c r="C1300" s="14">
        <v>9803</v>
      </c>
      <c r="D1300" s="6" t="s">
        <v>46</v>
      </c>
      <c r="E1300" s="6" t="s">
        <v>50</v>
      </c>
      <c r="F1300" s="6">
        <v>22</v>
      </c>
      <c r="G1300" s="15">
        <v>0.13680555555555557</v>
      </c>
      <c r="H1300" s="16">
        <v>0</v>
      </c>
      <c r="I1300" s="35">
        <f ca="1">IFERROR(Tabela3[[#This Row],[Custo Total]]/Tabela3[[#This Row],[Aluminio Util]],0)</f>
        <v>28.74344570022917</v>
      </c>
      <c r="J1300" s="35">
        <f ca="1">Tabela3[[#This Row],[Custo Total]]/Tabela3[[#This Row],[Realizado]]</f>
        <v>4.5989513120366681</v>
      </c>
      <c r="K1300" s="37">
        <f>IFERROR(Tabela3[[#This Row],[Qtde Cx Produzida]]/Tabela3[[#This Row],[Tempo]]/24,0)</f>
        <v>6.7005076142131976</v>
      </c>
      <c r="L1300" s="37">
        <f>Tabela3[[#This Row],[Qtde Cx Produzida]]*Tabela3[[#This Row],[Qdt Peça Placa]]</f>
        <v>220</v>
      </c>
      <c r="M1300" s="37">
        <f>Tabela3[[#This Row],[Previsto]]-Tabela3[[#This Row],[Perda Pçs]]</f>
        <v>220</v>
      </c>
      <c r="N1300" s="38">
        <f>IFERROR(Tabela3[[#This Row],[Perda Pçs]]/Tabela3[[#This Row],[Previsto]],0)</f>
        <v>0</v>
      </c>
      <c r="O1300" s="39">
        <f>IFERROR(IF(Tabela3[[#This Row],[Qtde Cx Produzida]] &lt;&gt; 0, Tabela3[[#This Row],[Tempo]] / Tabela3[[#This Row],[Qtde Cx Produzida]], 0),0)</f>
        <v>6.2184343434343444E-3</v>
      </c>
      <c r="P1300" s="57">
        <f>IFERROR(Tabela3[[#This Row],[Perda Pçs]]/Tabela3[[#This Row],[Qdt Peça Placa]],0)</f>
        <v>0</v>
      </c>
      <c r="Q1300" s="37">
        <f>IFERROR(Tabela3[[#This Row],[Realizado]]*Tabela3[[#This Row],[Peso Util/Pç]],0)</f>
        <v>35.200000000000003</v>
      </c>
      <c r="R1300" s="37">
        <f>IFERROR(Tabela3[[#This Row],[Peso Total Galho]]*Tabela3[[#This Row],[Qtde Cx Produzida]]*1.055,0)</f>
        <v>58.024999999999999</v>
      </c>
      <c r="S1300" s="37">
        <f>(Tabela3[[#This Row],[Aluminio Bruto]]-Tabela3[[#This Row],[Aluminio Util]])*0.9</f>
        <v>20.542499999999997</v>
      </c>
      <c r="T1300" s="37">
        <f>Tabela3[[#This Row],[Aluminio Bruto]]/OleoKGAluminio</f>
        <v>24.411042474395803</v>
      </c>
      <c r="U1300" s="35">
        <f>IFERROR((VLOOKUP(Tabela3[[#This Row],[Moldador]],Tabela1[],5,)+(VLOOKUP(Tabela3[[#This Row],[Ajudante]],Tabela1[],5,))*3.5),0)</f>
        <v>99.95034583333333</v>
      </c>
      <c r="V1300" s="35">
        <f>IFERROR(Tabela3[[#This Row],[Custo M.O. / H]]/((Tabela3[[#This Row],[Realizado]]/Tabela3[[#This Row],[Qdt Peça Placa]])/Tabela3[[#This Row],[Tempo]]/24),)</f>
        <v>14.916831916035354</v>
      </c>
      <c r="W1300" s="35">
        <f>Tabela3[[#This Row],[Custo / Cx Moldada]]*Tabela3[[#This Row],[Qtde Cx Produzida]]</f>
        <v>328.17030215277782</v>
      </c>
      <c r="X1300" s="35">
        <f ca="1">Tabela3[[#This Row],[Aluminio Util]]*Tabela3[[#This Row],[Custo/Kg]]</f>
        <v>619.5200000000001</v>
      </c>
      <c r="Y1300" s="35">
        <f>IFERROR(VLOOKUP(Tabela3[[#This Row],[Data]],Tabela461213[],2,1)*(Tabela3[[#This Row],[Qtde Cx Produzida]]*Tabela3[[#This Row],[Qde macho / CX]]*Tabela3[[#This Row],[Peso Macho]]),)</f>
        <v>0</v>
      </c>
      <c r="Z1300" s="35">
        <f>IFERROR(Tabela3[[#This Row],[Qtde Oleo]]*(VLOOKUP(Tabela3[[#This Row],[Data]],CompraOleo[],3,TRUE))*1.05,0)</f>
        <v>64.078986495288987</v>
      </c>
      <c r="AA1300" s="47">
        <f ca="1">(Tabela3[[#This Row],[Custo Oleo]]+Tabela3[[#This Row],[Custo Aluminio]]+Tabela3[[#This Row],[Custo M.O. Total]]+Tabela3[[#This Row],[Custo Machos]])</f>
        <v>1011.7692886480669</v>
      </c>
      <c r="AB1300" s="47">
        <f ca="1">Tabela3[[#This Row],[Custo Total]]*Tabela3[[#This Row],[% Perda]]</f>
        <v>0</v>
      </c>
      <c r="AC1300" s="40">
        <f>IFERROR(VLOOKUP(Tabela3[[#This Row],[Produto]],Tabela2[],2,0),0)</f>
        <v>10</v>
      </c>
      <c r="AD1300" s="48">
        <f>IFERROR(VLOOKUP(Tabela3[[#This Row],[Produto]],Tabela2[],3,0),0)</f>
        <v>0.16</v>
      </c>
      <c r="AE1300" s="48">
        <f>IFERROR(VLOOKUP(Tabela3[[#This Row],[Produto]],Tabela2[],4,0),0)</f>
        <v>2.5</v>
      </c>
      <c r="AF1300" s="48">
        <f>IFERROR(VLOOKUP(Tabela3[[#This Row],[Produto]],Tabela2[],5,0),0)</f>
        <v>0.80999999999999994</v>
      </c>
      <c r="AG1300" s="48">
        <f>IFERROR(VLOOKUP(Tabela3[[#This Row],[Produto]],Tabela2[],6,0),0)</f>
        <v>0</v>
      </c>
      <c r="AH1300" s="40">
        <f>IFERROR(VLOOKUP(Tabela3[[#This Row],[Produto]],Tabela2[],7,0),0)</f>
        <v>0</v>
      </c>
      <c r="AI1300" s="40">
        <f>IFERROR(VLOOKUP(Tabela3[[#This Row],[Produto]],Tabela2[],8,0),0)</f>
        <v>0</v>
      </c>
      <c r="AJ1300" s="35">
        <f ca="1">IFERROR(VLOOKUP(Tabela3[[#This Row],[Produto]],Tabela2[],13,0),0)</f>
        <v>17.600000000000001</v>
      </c>
      <c r="AK1300" s="48" t="str">
        <f>IFERROR(VLOOKUP(Tabela3[[#This Row],[Produto]],Tabela2[],14,0),0)</f>
        <v>MGA</v>
      </c>
      <c r="AL1300" s="40">
        <f>IFERROR(VLOOKUP(Tabela3[[#This Row],[Produto]],Tabela2[],15,0),0)</f>
        <v>0</v>
      </c>
      <c r="AM1300" s="36">
        <f ca="1">(Tabela3[[#This Row],[Custo Usinagem]]+Tabela3[[#This Row],[Custo / Pç]])*1.2</f>
        <v>5.5187415744440012</v>
      </c>
      <c r="AN1300" s="36">
        <f ca="1">Tabela3[[#This Row],[Valor Mínimo Venda]]*1.15</f>
        <v>6.3465528106106008</v>
      </c>
      <c r="AO1300" s="36">
        <f ca="1">Tabela3[[#This Row],[Tabela 1]]*1.08</f>
        <v>6.8542770354594493</v>
      </c>
      <c r="AP1300" s="36">
        <f ca="1">Tabela3[[#This Row],[Tabela 2]]*1.15</f>
        <v>7.8824185907783662</v>
      </c>
    </row>
    <row r="1301" spans="1:42">
      <c r="A1301" s="9">
        <v>46177</v>
      </c>
      <c r="B1301" s="9" t="s">
        <v>272</v>
      </c>
      <c r="C1301" s="14">
        <v>9804</v>
      </c>
      <c r="D1301" s="6" t="s">
        <v>46</v>
      </c>
      <c r="E1301" s="6" t="s">
        <v>50</v>
      </c>
      <c r="F1301" s="6">
        <v>7</v>
      </c>
      <c r="G1301" s="15">
        <v>4.1666666666666664E-2</v>
      </c>
      <c r="H1301" s="16">
        <v>0</v>
      </c>
      <c r="I1301" s="35">
        <f ca="1">IFERROR(Tabela3[[#This Row],[Custo Total]]/Tabela3[[#This Row],[Aluminio Util]],0)</f>
        <v>31.055408947220101</v>
      </c>
      <c r="J1301" s="35">
        <f ca="1">Tabela3[[#This Row],[Custo Total]]/Tabela3[[#This Row],[Realizado]]</f>
        <v>42.856464347163744</v>
      </c>
      <c r="K1301" s="37">
        <f>IFERROR(Tabela3[[#This Row],[Qtde Cx Produzida]]/Tabela3[[#This Row],[Tempo]]/24,0)</f>
        <v>7</v>
      </c>
      <c r="L1301" s="37">
        <f>Tabela3[[#This Row],[Qtde Cx Produzida]]*Tabela3[[#This Row],[Qdt Peça Placa]]</f>
        <v>7</v>
      </c>
      <c r="M1301" s="37">
        <f>Tabela3[[#This Row],[Previsto]]-Tabela3[[#This Row],[Perda Pçs]]</f>
        <v>7</v>
      </c>
      <c r="N1301" s="38">
        <f>IFERROR(Tabela3[[#This Row],[Perda Pçs]]/Tabela3[[#This Row],[Previsto]],0)</f>
        <v>0</v>
      </c>
      <c r="O1301" s="39">
        <f>IFERROR(IF(Tabela3[[#This Row],[Qtde Cx Produzida]] &lt;&gt; 0, Tabela3[[#This Row],[Tempo]] / Tabela3[[#This Row],[Qtde Cx Produzida]], 0),0)</f>
        <v>5.9523809523809521E-3</v>
      </c>
      <c r="P1301" s="57">
        <f>IFERROR(Tabela3[[#This Row],[Perda Pçs]]/Tabela3[[#This Row],[Qdt Peça Placa]],0)</f>
        <v>0</v>
      </c>
      <c r="Q1301" s="37">
        <f>IFERROR(Tabela3[[#This Row],[Realizado]]*Tabela3[[#This Row],[Peso Util/Pç]],0)</f>
        <v>9.66</v>
      </c>
      <c r="R1301" s="37">
        <f>IFERROR(Tabela3[[#This Row],[Peso Total Galho]]*Tabela3[[#This Row],[Qtde Cx Produzida]]*1.055,0)</f>
        <v>14.622299999999999</v>
      </c>
      <c r="S1301" s="37">
        <f>(Tabela3[[#This Row],[Aluminio Bruto]]-Tabela3[[#This Row],[Aluminio Util]])*0.9</f>
        <v>4.4660699999999993</v>
      </c>
      <c r="T1301" s="37">
        <f>Tabela3[[#This Row],[Aluminio Bruto]]/OleoKGAluminio</f>
        <v>6.1515827035477413</v>
      </c>
      <c r="U1301" s="35">
        <f>IFERROR((VLOOKUP(Tabela3[[#This Row],[Moldador]],Tabela1[],5,)+(VLOOKUP(Tabela3[[#This Row],[Ajudante]],Tabela1[],5,))*3.5),0)</f>
        <v>99.95034583333333</v>
      </c>
      <c r="V1301" s="35">
        <f>IFERROR(Tabela3[[#This Row],[Custo M.O. / H]]/((Tabela3[[#This Row],[Realizado]]/Tabela3[[#This Row],[Qdt Peça Placa]])/Tabela3[[#This Row],[Tempo]]/24),)</f>
        <v>14.278620833333333</v>
      </c>
      <c r="W1301" s="35">
        <f>Tabela3[[#This Row],[Custo / Cx Moldada]]*Tabela3[[#This Row],[Qtde Cx Produzida]]</f>
        <v>99.95034583333333</v>
      </c>
      <c r="X1301" s="35">
        <f ca="1">Tabela3[[#This Row],[Aluminio Util]]*Tabela3[[#This Row],[Custo/Kg]]</f>
        <v>150.69600000000003</v>
      </c>
      <c r="Y1301" s="35">
        <f>IFERROR(VLOOKUP(Tabela3[[#This Row],[Data]],Tabela461213[],2,1)*(Tabela3[[#This Row],[Qtde Cx Produzida]]*Tabela3[[#This Row],[Qde macho / CX]]*Tabela3[[#This Row],[Peso Macho]]),)</f>
        <v>33.201000000000001</v>
      </c>
      <c r="Z1301" s="35">
        <f>IFERROR(Tabela3[[#This Row],[Qtde Oleo]]*(VLOOKUP(Tabela3[[#This Row],[Data]],CompraOleo[],3,TRUE))*1.05,0)</f>
        <v>16.147904596812822</v>
      </c>
      <c r="AA1301" s="47">
        <f ca="1">(Tabela3[[#This Row],[Custo Oleo]]+Tabela3[[#This Row],[Custo Aluminio]]+Tabela3[[#This Row],[Custo M.O. Total]]+Tabela3[[#This Row],[Custo Machos]])</f>
        <v>299.9952504301462</v>
      </c>
      <c r="AB1301" s="47">
        <f ca="1">Tabela3[[#This Row],[Custo Total]]*Tabela3[[#This Row],[% Perda]]</f>
        <v>0</v>
      </c>
      <c r="AC1301" s="40">
        <f>IFERROR(VLOOKUP(Tabela3[[#This Row],[Produto]],Tabela2[],2,0),0)</f>
        <v>1</v>
      </c>
      <c r="AD1301" s="48">
        <f>IFERROR(VLOOKUP(Tabela3[[#This Row],[Produto]],Tabela2[],3,0),0)</f>
        <v>1.38</v>
      </c>
      <c r="AE1301" s="48">
        <f>IFERROR(VLOOKUP(Tabela3[[#This Row],[Produto]],Tabela2[],4,0),0)</f>
        <v>1.98</v>
      </c>
      <c r="AF1301" s="48">
        <f>IFERROR(VLOOKUP(Tabela3[[#This Row],[Produto]],Tabela2[],5,0),0)</f>
        <v>0.54000000000000015</v>
      </c>
      <c r="AG1301" s="48">
        <f>IFERROR(VLOOKUP(Tabela3[[#This Row],[Produto]],Tabela2[],6,0),0)</f>
        <v>0</v>
      </c>
      <c r="AH1301" s="40">
        <f>IFERROR(VLOOKUP(Tabela3[[#This Row],[Produto]],Tabela2[],7,0),0)</f>
        <v>3</v>
      </c>
      <c r="AI1301" s="40">
        <f>IFERROR(VLOOKUP(Tabela3[[#This Row],[Produto]],Tabela2[],8,0),0)</f>
        <v>0.93</v>
      </c>
      <c r="AJ1301" s="35">
        <f ca="1">IFERROR(VLOOKUP(Tabela3[[#This Row],[Produto]],Tabela2[],13,0),0)</f>
        <v>15.600000000000001</v>
      </c>
      <c r="AK1301" s="48" t="str">
        <f>IFERROR(VLOOKUP(Tabela3[[#This Row],[Produto]],Tabela2[],14,0),0)</f>
        <v>Jumil</v>
      </c>
      <c r="AL1301" s="40">
        <f>IFERROR(VLOOKUP(Tabela3[[#This Row],[Produto]],Tabela2[],15,0),0)</f>
        <v>8</v>
      </c>
      <c r="AM1301" s="36">
        <f ca="1">(Tabela3[[#This Row],[Custo Usinagem]]+Tabela3[[#This Row],[Custo / Pç]])*1.2</f>
        <v>61.027757216596491</v>
      </c>
      <c r="AN1301" s="36">
        <f ca="1">Tabela3[[#This Row],[Valor Mínimo Venda]]*1.15</f>
        <v>70.181920799085958</v>
      </c>
      <c r="AO1301" s="36">
        <f ca="1">Tabela3[[#This Row],[Tabela 1]]*1.08</f>
        <v>75.796474463012842</v>
      </c>
      <c r="AP1301" s="36">
        <f ca="1">Tabela3[[#This Row],[Tabela 2]]*1.15</f>
        <v>87.165945632464755</v>
      </c>
    </row>
    <row r="1302" spans="1:42">
      <c r="A1302" s="9">
        <v>46177</v>
      </c>
      <c r="B1302" s="9" t="s">
        <v>272</v>
      </c>
      <c r="C1302" s="14">
        <v>9804</v>
      </c>
      <c r="D1302" s="6" t="s">
        <v>46</v>
      </c>
      <c r="E1302" s="6" t="s">
        <v>44</v>
      </c>
      <c r="F1302" s="6">
        <v>9</v>
      </c>
      <c r="G1302" s="15">
        <v>4.027777777777778E-2</v>
      </c>
      <c r="H1302" s="16">
        <v>0</v>
      </c>
      <c r="I1302" s="35">
        <f ca="1">IFERROR(Tabela3[[#This Row],[Custo Total]]/Tabela3[[#This Row],[Aluminio Util]],0)</f>
        <v>30.522700613886769</v>
      </c>
      <c r="J1302" s="35">
        <f ca="1">Tabela3[[#This Row],[Custo Total]]/Tabela3[[#This Row],[Realizado]]</f>
        <v>42.121326847163736</v>
      </c>
      <c r="K1302" s="37">
        <f>IFERROR(Tabela3[[#This Row],[Qtde Cx Produzida]]/Tabela3[[#This Row],[Tempo]]/24,0)</f>
        <v>9.3103448275862064</v>
      </c>
      <c r="L1302" s="37">
        <f>Tabela3[[#This Row],[Qtde Cx Produzida]]*Tabela3[[#This Row],[Qdt Peça Placa]]</f>
        <v>9</v>
      </c>
      <c r="M1302" s="37">
        <f>Tabela3[[#This Row],[Previsto]]-Tabela3[[#This Row],[Perda Pçs]]</f>
        <v>9</v>
      </c>
      <c r="N1302" s="38">
        <f>IFERROR(Tabela3[[#This Row],[Perda Pçs]]/Tabela3[[#This Row],[Previsto]],0)</f>
        <v>0</v>
      </c>
      <c r="O1302" s="39">
        <f>IFERROR(IF(Tabela3[[#This Row],[Qtde Cx Produzida]] &lt;&gt; 0, Tabela3[[#This Row],[Tempo]] / Tabela3[[#This Row],[Qtde Cx Produzida]], 0),0)</f>
        <v>4.4753086419753087E-3</v>
      </c>
      <c r="P1302" s="57">
        <f>IFERROR(Tabela3[[#This Row],[Perda Pçs]]/Tabela3[[#This Row],[Qdt Peça Placa]],0)</f>
        <v>0</v>
      </c>
      <c r="Q1302" s="37">
        <f>IFERROR(Tabela3[[#This Row],[Realizado]]*Tabela3[[#This Row],[Peso Util/Pç]],0)</f>
        <v>12.419999999999998</v>
      </c>
      <c r="R1302" s="37">
        <f>IFERROR(Tabela3[[#This Row],[Peso Total Galho]]*Tabela3[[#This Row],[Qtde Cx Produzida]]*1.055,0)</f>
        <v>18.8001</v>
      </c>
      <c r="S1302" s="37">
        <f>(Tabela3[[#This Row],[Aluminio Bruto]]-Tabela3[[#This Row],[Aluminio Util]])*0.9</f>
        <v>5.7420900000000019</v>
      </c>
      <c r="T1302" s="37">
        <f>Tabela3[[#This Row],[Aluminio Bruto]]/OleoKGAluminio</f>
        <v>7.9091777617042398</v>
      </c>
      <c r="U1302" s="35">
        <f>IFERROR((VLOOKUP(Tabela3[[#This Row],[Moldador]],Tabela1[],5,)+(VLOOKUP(Tabela3[[#This Row],[Ajudante]],Tabela1[],5,))*3.5),0)</f>
        <v>126.0945</v>
      </c>
      <c r="V1302" s="35">
        <f>IFERROR(Tabela3[[#This Row],[Custo M.O. / H]]/((Tabela3[[#This Row],[Realizado]]/Tabela3[[#This Row],[Qdt Peça Placa]])/Tabela3[[#This Row],[Tempo]]/24),)</f>
        <v>13.543483333333334</v>
      </c>
      <c r="W1302" s="35">
        <f>Tabela3[[#This Row],[Custo / Cx Moldada]]*Tabela3[[#This Row],[Qtde Cx Produzida]]</f>
        <v>121.89135000000002</v>
      </c>
      <c r="X1302" s="35">
        <f ca="1">Tabela3[[#This Row],[Aluminio Util]]*Tabela3[[#This Row],[Custo/Kg]]</f>
        <v>193.75199999999998</v>
      </c>
      <c r="Y1302" s="35">
        <f>IFERROR(VLOOKUP(Tabela3[[#This Row],[Data]],Tabela461213[],2,1)*(Tabela3[[#This Row],[Qtde Cx Produzida]]*Tabela3[[#This Row],[Qde macho / CX]]*Tabela3[[#This Row],[Peso Macho]]),)</f>
        <v>42.687000000000005</v>
      </c>
      <c r="Z1302" s="35">
        <f>IFERROR(Tabela3[[#This Row],[Qtde Oleo]]*(VLOOKUP(Tabela3[[#This Row],[Data]],CompraOleo[],3,TRUE))*1.05,0)</f>
        <v>20.761591624473631</v>
      </c>
      <c r="AA1302" s="47">
        <f ca="1">(Tabela3[[#This Row],[Custo Oleo]]+Tabela3[[#This Row],[Custo Aluminio]]+Tabela3[[#This Row],[Custo M.O. Total]]+Tabela3[[#This Row],[Custo Machos]])</f>
        <v>379.09194162447363</v>
      </c>
      <c r="AB1302" s="47">
        <f ca="1">Tabela3[[#This Row],[Custo Total]]*Tabela3[[#This Row],[% Perda]]</f>
        <v>0</v>
      </c>
      <c r="AC1302" s="40">
        <f>IFERROR(VLOOKUP(Tabela3[[#This Row],[Produto]],Tabela2[],2,0),0)</f>
        <v>1</v>
      </c>
      <c r="AD1302" s="48">
        <f>IFERROR(VLOOKUP(Tabela3[[#This Row],[Produto]],Tabela2[],3,0),0)</f>
        <v>1.38</v>
      </c>
      <c r="AE1302" s="48">
        <f>IFERROR(VLOOKUP(Tabela3[[#This Row],[Produto]],Tabela2[],4,0),0)</f>
        <v>1.98</v>
      </c>
      <c r="AF1302" s="48">
        <f>IFERROR(VLOOKUP(Tabela3[[#This Row],[Produto]],Tabela2[],5,0),0)</f>
        <v>0.54000000000000015</v>
      </c>
      <c r="AG1302" s="48">
        <f>IFERROR(VLOOKUP(Tabela3[[#This Row],[Produto]],Tabela2[],6,0),0)</f>
        <v>0</v>
      </c>
      <c r="AH1302" s="40">
        <f>IFERROR(VLOOKUP(Tabela3[[#This Row],[Produto]],Tabela2[],7,0),0)</f>
        <v>3</v>
      </c>
      <c r="AI1302" s="40">
        <f>IFERROR(VLOOKUP(Tabela3[[#This Row],[Produto]],Tabela2[],8,0),0)</f>
        <v>0.93</v>
      </c>
      <c r="AJ1302" s="35">
        <f ca="1">IFERROR(VLOOKUP(Tabela3[[#This Row],[Produto]],Tabela2[],13,0),0)</f>
        <v>15.600000000000001</v>
      </c>
      <c r="AK1302" s="48" t="str">
        <f>IFERROR(VLOOKUP(Tabela3[[#This Row],[Produto]],Tabela2[],14,0),0)</f>
        <v>Jumil</v>
      </c>
      <c r="AL1302" s="40">
        <f>IFERROR(VLOOKUP(Tabela3[[#This Row],[Produto]],Tabela2[],15,0),0)</f>
        <v>8</v>
      </c>
      <c r="AM1302" s="36">
        <f ca="1">(Tabela3[[#This Row],[Custo Usinagem]]+Tabela3[[#This Row],[Custo / Pç]])*1.2</f>
        <v>60.145592216596484</v>
      </c>
      <c r="AN1302" s="36">
        <f ca="1">Tabela3[[#This Row],[Valor Mínimo Venda]]*1.15</f>
        <v>69.167431049085948</v>
      </c>
      <c r="AO1302" s="36">
        <f ca="1">Tabela3[[#This Row],[Tabela 1]]*1.08</f>
        <v>74.700825533012832</v>
      </c>
      <c r="AP1302" s="36">
        <f ca="1">Tabela3[[#This Row],[Tabela 2]]*1.15</f>
        <v>85.905949362964748</v>
      </c>
    </row>
    <row r="1303" spans="1:42">
      <c r="A1303" s="9">
        <v>46177</v>
      </c>
      <c r="B1303" s="9" t="s">
        <v>221</v>
      </c>
      <c r="C1303" s="14">
        <v>9805</v>
      </c>
      <c r="D1303" s="6" t="s">
        <v>46</v>
      </c>
      <c r="E1303" s="6" t="s">
        <v>44</v>
      </c>
      <c r="F1303" s="6">
        <v>10</v>
      </c>
      <c r="G1303" s="15">
        <v>4.8611111111111112E-2</v>
      </c>
      <c r="H1303" s="16">
        <v>0</v>
      </c>
      <c r="I1303" s="35">
        <f ca="1">IFERROR(Tabela3[[#This Row],[Custo Total]]/Tabela3[[#This Row],[Aluminio Util]],0)</f>
        <v>24.982584525459387</v>
      </c>
      <c r="J1303" s="35">
        <f ca="1">Tabela3[[#This Row],[Custo Total]]/Tabela3[[#This Row],[Realizado]]</f>
        <v>3.1727882347333423</v>
      </c>
      <c r="K1303" s="37">
        <f>IFERROR(Tabela3[[#This Row],[Qtde Cx Produzida]]/Tabela3[[#This Row],[Tempo]]/24,0)</f>
        <v>8.5714285714285712</v>
      </c>
      <c r="L1303" s="37">
        <f>Tabela3[[#This Row],[Qtde Cx Produzida]]*Tabela3[[#This Row],[Qdt Peça Placa]]</f>
        <v>180</v>
      </c>
      <c r="M1303" s="37">
        <f>Tabela3[[#This Row],[Previsto]]-Tabela3[[#This Row],[Perda Pçs]]</f>
        <v>180</v>
      </c>
      <c r="N1303" s="38">
        <f>IFERROR(Tabela3[[#This Row],[Perda Pçs]]/Tabela3[[#This Row],[Previsto]],0)</f>
        <v>0</v>
      </c>
      <c r="O1303" s="39">
        <f>IFERROR(IF(Tabela3[[#This Row],[Qtde Cx Produzida]] &lt;&gt; 0, Tabela3[[#This Row],[Tempo]] / Tabela3[[#This Row],[Qtde Cx Produzida]], 0),0)</f>
        <v>4.8611111111111112E-3</v>
      </c>
      <c r="P1303" s="57">
        <f>IFERROR(Tabela3[[#This Row],[Perda Pçs]]/Tabela3[[#This Row],[Qdt Peça Placa]],0)</f>
        <v>0</v>
      </c>
      <c r="Q1303" s="37">
        <f>IFERROR(Tabela3[[#This Row],[Realizado]]*Tabela3[[#This Row],[Peso Util/Pç]],0)</f>
        <v>22.86</v>
      </c>
      <c r="R1303" s="37">
        <f>IFERROR(Tabela3[[#This Row],[Peso Total Galho]]*Tabela3[[#This Row],[Qtde Cx Produzida]]*1.055,0)</f>
        <v>40.933999999999997</v>
      </c>
      <c r="S1303" s="37">
        <f>(Tabela3[[#This Row],[Aluminio Bruto]]-Tabela3[[#This Row],[Aluminio Util]])*0.9</f>
        <v>16.2666</v>
      </c>
      <c r="T1303" s="37">
        <f>Tabela3[[#This Row],[Aluminio Bruto]]/OleoKGAluminio</f>
        <v>17.220880872846493</v>
      </c>
      <c r="U1303" s="35">
        <f>IFERROR((VLOOKUP(Tabela3[[#This Row],[Moldador]],Tabela1[],5,)+(VLOOKUP(Tabela3[[#This Row],[Ajudante]],Tabela1[],5,))*3.5),0)</f>
        <v>126.0945</v>
      </c>
      <c r="V1303" s="35">
        <f>IFERROR(Tabela3[[#This Row],[Custo M.O. / H]]/((Tabela3[[#This Row],[Realizado]]/Tabela3[[#This Row],[Qdt Peça Placa]])/Tabela3[[#This Row],[Tempo]]/24),)</f>
        <v>14.711024999999999</v>
      </c>
      <c r="W1303" s="35">
        <f>Tabela3[[#This Row],[Custo / Cx Moldada]]*Tabela3[[#This Row],[Qtde Cx Produzida]]</f>
        <v>147.11025000000001</v>
      </c>
      <c r="X1303" s="35">
        <f ca="1">Tabela3[[#This Row],[Aluminio Util]]*Tabela3[[#This Row],[Custo/Kg]]</f>
        <v>378.78681996077955</v>
      </c>
      <c r="Y1303" s="35">
        <f>IFERROR(VLOOKUP(Tabela3[[#This Row],[Data]],Tabela461213[],2,1)*(Tabela3[[#This Row],[Qtde Cx Produzida]]*Tabela3[[#This Row],[Qde macho / CX]]*Tabela3[[#This Row],[Peso Macho]]),)</f>
        <v>0</v>
      </c>
      <c r="Z1303" s="35">
        <f>IFERROR(Tabela3[[#This Row],[Qtde Oleo]]*(VLOOKUP(Tabela3[[#This Row],[Data]],CompraOleo[],3,TRUE))*1.05,0)</f>
        <v>45.204812291222048</v>
      </c>
      <c r="AA1303" s="47">
        <f ca="1">(Tabela3[[#This Row],[Custo Oleo]]+Tabela3[[#This Row],[Custo Aluminio]]+Tabela3[[#This Row],[Custo M.O. Total]]+Tabela3[[#This Row],[Custo Machos]])</f>
        <v>571.10188225200159</v>
      </c>
      <c r="AB1303" s="47">
        <f ca="1">Tabela3[[#This Row],[Custo Total]]*Tabela3[[#This Row],[% Perda]]</f>
        <v>0</v>
      </c>
      <c r="AC1303" s="40">
        <f>IFERROR(VLOOKUP(Tabela3[[#This Row],[Produto]],Tabela2[],2,0),0)</f>
        <v>18</v>
      </c>
      <c r="AD1303" s="48">
        <f>IFERROR(VLOOKUP(Tabela3[[#This Row],[Produto]],Tabela2[],3,0),0)</f>
        <v>0.127</v>
      </c>
      <c r="AE1303" s="48">
        <f>IFERROR(VLOOKUP(Tabela3[[#This Row],[Produto]],Tabela2[],4,0),0)</f>
        <v>3.88</v>
      </c>
      <c r="AF1303" s="48">
        <f>IFERROR(VLOOKUP(Tabela3[[#This Row],[Produto]],Tabela2[],5,0),0)</f>
        <v>1.4345999999999999</v>
      </c>
      <c r="AG1303" s="48">
        <f>IFERROR(VLOOKUP(Tabela3[[#This Row],[Produto]],Tabela2[],6,0),0)</f>
        <v>0</v>
      </c>
      <c r="AH1303" s="40">
        <f>IFERROR(VLOOKUP(Tabela3[[#This Row],[Produto]],Tabela2[],7,0),0)</f>
        <v>0</v>
      </c>
      <c r="AI1303" s="40">
        <f>IFERROR(VLOOKUP(Tabela3[[#This Row],[Produto]],Tabela2[],8,0),0)</f>
        <v>0</v>
      </c>
      <c r="AJ1303" s="35">
        <f ca="1">IFERROR(VLOOKUP(Tabela3[[#This Row],[Produto]],Tabela2[],13,0),0)</f>
        <v>16.569852141766386</v>
      </c>
      <c r="AK1303" s="48" t="str">
        <f>IFERROR(VLOOKUP(Tabela3[[#This Row],[Produto]],Tabela2[],14,0),0)</f>
        <v>Marcelo</v>
      </c>
      <c r="AL1303" s="40">
        <f>IFERROR(VLOOKUP(Tabela3[[#This Row],[Produto]],Tabela2[],15,0),0)</f>
        <v>0</v>
      </c>
      <c r="AM1303" s="36">
        <f ca="1">(Tabela3[[#This Row],[Custo Usinagem]]+Tabela3[[#This Row],[Custo / Pç]])*1.2</f>
        <v>3.8073458816800105</v>
      </c>
      <c r="AN1303" s="36">
        <f ca="1">Tabela3[[#This Row],[Valor Mínimo Venda]]*1.15</f>
        <v>4.3784477639320114</v>
      </c>
      <c r="AO1303" s="36">
        <f ca="1">Tabela3[[#This Row],[Tabela 1]]*1.08</f>
        <v>4.7287235850465725</v>
      </c>
      <c r="AP1303" s="36">
        <f ca="1">Tabela3[[#This Row],[Tabela 2]]*1.15</f>
        <v>5.4380321228035582</v>
      </c>
    </row>
    <row r="1304" spans="1:42">
      <c r="A1304" s="9">
        <v>46177</v>
      </c>
      <c r="B1304" s="9" t="s">
        <v>245</v>
      </c>
      <c r="C1304" s="14">
        <v>9806</v>
      </c>
      <c r="D1304" s="6" t="s">
        <v>44</v>
      </c>
      <c r="E1304" s="6" t="s">
        <v>47</v>
      </c>
      <c r="F1304" s="6">
        <v>39</v>
      </c>
      <c r="G1304" s="15">
        <v>0.19583333333333333</v>
      </c>
      <c r="H1304" s="16">
        <v>0</v>
      </c>
      <c r="I1304" s="35">
        <f ca="1">IFERROR(Tabela3[[#This Row],[Custo Total]]/Tabela3[[#This Row],[Aluminio Util]],0)</f>
        <v>26.688075900294919</v>
      </c>
      <c r="J1304" s="35">
        <f ca="1">Tabela3[[#This Row],[Custo Total]]/Tabela3[[#This Row],[Realizado]]</f>
        <v>8.860441198897913</v>
      </c>
      <c r="K1304" s="37">
        <f>IFERROR(Tabela3[[#This Row],[Qtde Cx Produzida]]/Tabela3[[#This Row],[Tempo]]/24,0)</f>
        <v>8.297872340425533</v>
      </c>
      <c r="L1304" s="37">
        <f>Tabela3[[#This Row],[Qtde Cx Produzida]]*Tabela3[[#This Row],[Qdt Peça Placa]]</f>
        <v>156</v>
      </c>
      <c r="M1304" s="37">
        <f>Tabela3[[#This Row],[Previsto]]-Tabela3[[#This Row],[Perda Pçs]]</f>
        <v>156</v>
      </c>
      <c r="N1304" s="38">
        <f>IFERROR(Tabela3[[#This Row],[Perda Pçs]]/Tabela3[[#This Row],[Previsto]],0)</f>
        <v>0</v>
      </c>
      <c r="O1304" s="39">
        <f>IFERROR(IF(Tabela3[[#This Row],[Qtde Cx Produzida]] &lt;&gt; 0, Tabela3[[#This Row],[Tempo]] / Tabela3[[#This Row],[Qtde Cx Produzida]], 0),0)</f>
        <v>5.0213675213675217E-3</v>
      </c>
      <c r="P1304" s="57">
        <f>IFERROR(Tabela3[[#This Row],[Perda Pçs]]/Tabela3[[#This Row],[Qdt Peça Placa]],0)</f>
        <v>0</v>
      </c>
      <c r="Q1304" s="37">
        <f>IFERROR(Tabela3[[#This Row],[Realizado]]*Tabela3[[#This Row],[Peso Util/Pç]],0)</f>
        <v>51.792000000000002</v>
      </c>
      <c r="R1304" s="37">
        <f>IFERROR(Tabela3[[#This Row],[Peso Total Galho]]*Tabela3[[#This Row],[Qtde Cx Produzida]]*1.055,0)</f>
        <v>94.633499999999984</v>
      </c>
      <c r="S1304" s="37">
        <f>(Tabela3[[#This Row],[Aluminio Bruto]]-Tabela3[[#This Row],[Aluminio Util]])*0.9</f>
        <v>38.557349999999985</v>
      </c>
      <c r="T1304" s="37">
        <f>Tabela3[[#This Row],[Aluminio Bruto]]/OleoKGAluminio</f>
        <v>39.812191090060054</v>
      </c>
      <c r="U1304" s="35">
        <f>IFERROR((VLOOKUP(Tabela3[[#This Row],[Moldador]],Tabela1[],5,)+(VLOOKUP(Tabela3[[#This Row],[Ajudante]],Tabela1[],5,))*3.5),0)</f>
        <v>99.95034583333333</v>
      </c>
      <c r="V1304" s="35">
        <f>IFERROR(Tabela3[[#This Row],[Custo M.O. / H]]/((Tabela3[[#This Row],[Realizado]]/Tabela3[[#This Row],[Qdt Peça Placa]])/Tabela3[[#This Row],[Tempo]]/24),)</f>
        <v>12.045298087606836</v>
      </c>
      <c r="W1304" s="35">
        <f>Tabela3[[#This Row],[Custo / Cx Moldada]]*Tabela3[[#This Row],[Qtde Cx Produzida]]</f>
        <v>469.76662541666661</v>
      </c>
      <c r="X1304" s="35">
        <f ca="1">Tabela3[[#This Row],[Aluminio Util]]*Tabela3[[#This Row],[Custo/Kg]]</f>
        <v>807.9552000000001</v>
      </c>
      <c r="Y1304" s="35">
        <f>IFERROR(VLOOKUP(Tabela3[[#This Row],[Data]],Tabela461213[],2,1)*(Tabela3[[#This Row],[Qtde Cx Produzida]]*Tabela3[[#This Row],[Qde macho / CX]]*Tabela3[[#This Row],[Peso Macho]]),)</f>
        <v>0</v>
      </c>
      <c r="Z1304" s="35">
        <f>IFERROR(Tabela3[[#This Row],[Qtde Oleo]]*(VLOOKUP(Tabela3[[#This Row],[Data]],CompraOleo[],3,TRUE))*1.05,0)</f>
        <v>104.50700161140765</v>
      </c>
      <c r="AA1304" s="47">
        <f ca="1">(Tabela3[[#This Row],[Custo Oleo]]+Tabela3[[#This Row],[Custo Aluminio]]+Tabela3[[#This Row],[Custo M.O. Total]]+Tabela3[[#This Row],[Custo Machos]])</f>
        <v>1382.2288270280744</v>
      </c>
      <c r="AB1304" s="47">
        <f ca="1">Tabela3[[#This Row],[Custo Total]]*Tabela3[[#This Row],[% Perda]]</f>
        <v>0</v>
      </c>
      <c r="AC1304" s="40">
        <f>IFERROR(VLOOKUP(Tabela3[[#This Row],[Produto]],Tabela2[],2,0),0)</f>
        <v>4</v>
      </c>
      <c r="AD1304" s="48">
        <f>IFERROR(VLOOKUP(Tabela3[[#This Row],[Produto]],Tabela2[],3,0),0)</f>
        <v>0.33200000000000002</v>
      </c>
      <c r="AE1304" s="48">
        <f>IFERROR(VLOOKUP(Tabela3[[#This Row],[Produto]],Tabela2[],4,0),0)</f>
        <v>2.2999999999999998</v>
      </c>
      <c r="AF1304" s="48">
        <f>IFERROR(VLOOKUP(Tabela3[[#This Row],[Produto]],Tabela2[],5,0),0)</f>
        <v>0.8747999999999998</v>
      </c>
      <c r="AG1304" s="48">
        <f>IFERROR(VLOOKUP(Tabela3[[#This Row],[Produto]],Tabela2[],6,0),0)</f>
        <v>0</v>
      </c>
      <c r="AH1304" s="40">
        <f>IFERROR(VLOOKUP(Tabela3[[#This Row],[Produto]],Tabela2[],7,0),0)</f>
        <v>0</v>
      </c>
      <c r="AI1304" s="40">
        <f>IFERROR(VLOOKUP(Tabela3[[#This Row],[Produto]],Tabela2[],8,0),0)</f>
        <v>0</v>
      </c>
      <c r="AJ1304" s="35">
        <f ca="1">IFERROR(VLOOKUP(Tabela3[[#This Row],[Produto]],Tabela2[],13,0),0)</f>
        <v>15.600000000000001</v>
      </c>
      <c r="AK1304" s="48" t="str">
        <f>IFERROR(VLOOKUP(Tabela3[[#This Row],[Produto]],Tabela2[],14,0),0)</f>
        <v>Senun</v>
      </c>
      <c r="AL1304" s="40">
        <f>IFERROR(VLOOKUP(Tabela3[[#This Row],[Produto]],Tabela2[],15,0),0)</f>
        <v>3.5</v>
      </c>
      <c r="AM1304" s="36">
        <f ca="1">(Tabela3[[#This Row],[Custo Usinagem]]+Tabela3[[#This Row],[Custo / Pç]])*1.2</f>
        <v>14.832529438677495</v>
      </c>
      <c r="AN1304" s="36">
        <f ca="1">Tabela3[[#This Row],[Valor Mínimo Venda]]*1.15</f>
        <v>17.057408854479117</v>
      </c>
      <c r="AO1304" s="36">
        <f ca="1">Tabela3[[#This Row],[Tabela 1]]*1.08</f>
        <v>18.422001562837448</v>
      </c>
      <c r="AP1304" s="36">
        <f ca="1">Tabela3[[#This Row],[Tabela 2]]*1.15</f>
        <v>21.185301797263062</v>
      </c>
    </row>
    <row r="1305" spans="1:42">
      <c r="A1305" s="9">
        <v>46181</v>
      </c>
      <c r="B1305" s="9" t="s">
        <v>221</v>
      </c>
      <c r="C1305" s="14">
        <v>9805</v>
      </c>
      <c r="D1305" s="6" t="s">
        <v>46</v>
      </c>
      <c r="E1305" s="6" t="s">
        <v>50</v>
      </c>
      <c r="F1305" s="6">
        <v>25</v>
      </c>
      <c r="G1305" s="15">
        <v>0.13750000000000001</v>
      </c>
      <c r="H1305" s="16">
        <v>0</v>
      </c>
      <c r="I1305" s="35">
        <f ca="1">IFERROR(Tabela3[[#This Row],[Custo Total]]/Tabela3[[#This Row],[Aluminio Util]],0)</f>
        <v>24.318726542082313</v>
      </c>
      <c r="J1305" s="35">
        <f ca="1">Tabela3[[#This Row],[Custo Total]]/Tabela3[[#This Row],[Realizado]]</f>
        <v>3.0884782708444538</v>
      </c>
      <c r="K1305" s="37">
        <f>IFERROR(Tabela3[[#This Row],[Qtde Cx Produzida]]/Tabela3[[#This Row],[Tempo]]/24,0)</f>
        <v>7.5757575757575752</v>
      </c>
      <c r="L1305" s="37">
        <f>Tabela3[[#This Row],[Qtde Cx Produzida]]*Tabela3[[#This Row],[Qdt Peça Placa]]</f>
        <v>450</v>
      </c>
      <c r="M1305" s="37">
        <f>Tabela3[[#This Row],[Previsto]]-Tabela3[[#This Row],[Perda Pçs]]</f>
        <v>450</v>
      </c>
      <c r="N1305" s="38">
        <f>IFERROR(Tabela3[[#This Row],[Perda Pçs]]/Tabela3[[#This Row],[Previsto]],0)</f>
        <v>0</v>
      </c>
      <c r="O1305" s="39">
        <f>IFERROR(IF(Tabela3[[#This Row],[Qtde Cx Produzida]] &lt;&gt; 0, Tabela3[[#This Row],[Tempo]] / Tabela3[[#This Row],[Qtde Cx Produzida]], 0),0)</f>
        <v>5.5000000000000005E-3</v>
      </c>
      <c r="P1305" s="57">
        <f>IFERROR(Tabela3[[#This Row],[Perda Pçs]]/Tabela3[[#This Row],[Qdt Peça Placa]],0)</f>
        <v>0</v>
      </c>
      <c r="Q1305" s="37">
        <f>IFERROR(Tabela3[[#This Row],[Realizado]]*Tabela3[[#This Row],[Peso Util/Pç]],0)</f>
        <v>57.15</v>
      </c>
      <c r="R1305" s="37">
        <f>IFERROR(Tabela3[[#This Row],[Peso Total Galho]]*Tabela3[[#This Row],[Qtde Cx Produzida]]*1.055,0)</f>
        <v>102.33499999999999</v>
      </c>
      <c r="S1305" s="37">
        <f>(Tabela3[[#This Row],[Aluminio Bruto]]-Tabela3[[#This Row],[Aluminio Util]])*0.9</f>
        <v>40.666499999999999</v>
      </c>
      <c r="T1305" s="37">
        <f>Tabela3[[#This Row],[Aluminio Bruto]]/OleoKGAluminio</f>
        <v>43.052202182116233</v>
      </c>
      <c r="U1305" s="35">
        <f>IFERROR((VLOOKUP(Tabela3[[#This Row],[Moldador]],Tabela1[],5,)+(VLOOKUP(Tabela3[[#This Row],[Ajudante]],Tabela1[],5,))*3.5),0)</f>
        <v>99.95034583333333</v>
      </c>
      <c r="V1305" s="35">
        <f>IFERROR(Tabela3[[#This Row],[Custo M.O. / H]]/((Tabela3[[#This Row],[Realizado]]/Tabela3[[#This Row],[Qdt Peça Placa]])/Tabela3[[#This Row],[Tempo]]/24),)</f>
        <v>13.193445650000001</v>
      </c>
      <c r="W1305" s="35">
        <f>Tabela3[[#This Row],[Custo / Cx Moldada]]*Tabela3[[#This Row],[Qtde Cx Produzida]]</f>
        <v>329.83614125000003</v>
      </c>
      <c r="X1305" s="35">
        <f ca="1">Tabela3[[#This Row],[Aluminio Util]]*Tabela3[[#This Row],[Custo/Kg]]</f>
        <v>946.96704990194894</v>
      </c>
      <c r="Y1305" s="35">
        <f>IFERROR(VLOOKUP(Tabela3[[#This Row],[Data]],Tabela461213[],2,1)*(Tabela3[[#This Row],[Qtde Cx Produzida]]*Tabela3[[#This Row],[Qde macho / CX]]*Tabela3[[#This Row],[Peso Macho]]),)</f>
        <v>0</v>
      </c>
      <c r="Z1305" s="35">
        <f>IFERROR(Tabela3[[#This Row],[Qtde Oleo]]*(VLOOKUP(Tabela3[[#This Row],[Data]],CompraOleo[],3,TRUE))*1.05,0)</f>
        <v>113.01203072805511</v>
      </c>
      <c r="AA1305" s="47">
        <f ca="1">(Tabela3[[#This Row],[Custo Oleo]]+Tabela3[[#This Row],[Custo Aluminio]]+Tabela3[[#This Row],[Custo M.O. Total]]+Tabela3[[#This Row],[Custo Machos]])</f>
        <v>1389.8152218800042</v>
      </c>
      <c r="AB1305" s="47">
        <f ca="1">Tabela3[[#This Row],[Custo Total]]*Tabela3[[#This Row],[% Perda]]</f>
        <v>0</v>
      </c>
      <c r="AC1305" s="40">
        <f>IFERROR(VLOOKUP(Tabela3[[#This Row],[Produto]],Tabela2[],2,0),0)</f>
        <v>18</v>
      </c>
      <c r="AD1305" s="48">
        <f>IFERROR(VLOOKUP(Tabela3[[#This Row],[Produto]],Tabela2[],3,0),0)</f>
        <v>0.127</v>
      </c>
      <c r="AE1305" s="48">
        <f>IFERROR(VLOOKUP(Tabela3[[#This Row],[Produto]],Tabela2[],4,0),0)</f>
        <v>3.88</v>
      </c>
      <c r="AF1305" s="48">
        <f>IFERROR(VLOOKUP(Tabela3[[#This Row],[Produto]],Tabela2[],5,0),0)</f>
        <v>1.4345999999999999</v>
      </c>
      <c r="AG1305" s="48">
        <f>IFERROR(VLOOKUP(Tabela3[[#This Row],[Produto]],Tabela2[],6,0),0)</f>
        <v>0</v>
      </c>
      <c r="AH1305" s="40">
        <f>IFERROR(VLOOKUP(Tabela3[[#This Row],[Produto]],Tabela2[],7,0),0)</f>
        <v>0</v>
      </c>
      <c r="AI1305" s="40">
        <f>IFERROR(VLOOKUP(Tabela3[[#This Row],[Produto]],Tabela2[],8,0),0)</f>
        <v>0</v>
      </c>
      <c r="AJ1305" s="35">
        <f ca="1">IFERROR(VLOOKUP(Tabela3[[#This Row],[Produto]],Tabela2[],13,0),0)</f>
        <v>16.569852141766386</v>
      </c>
      <c r="AK1305" s="48" t="str">
        <f>IFERROR(VLOOKUP(Tabela3[[#This Row],[Produto]],Tabela2[],14,0),0)</f>
        <v>Marcelo</v>
      </c>
      <c r="AL1305" s="40">
        <f>IFERROR(VLOOKUP(Tabela3[[#This Row],[Produto]],Tabela2[],15,0),0)</f>
        <v>0</v>
      </c>
      <c r="AM1305" s="36">
        <f ca="1">(Tabela3[[#This Row],[Custo Usinagem]]+Tabela3[[#This Row],[Custo / Pç]])*1.2</f>
        <v>3.7061739250133443</v>
      </c>
      <c r="AN1305" s="36">
        <f ca="1">Tabela3[[#This Row],[Valor Mínimo Venda]]*1.15</f>
        <v>4.2621000137653455</v>
      </c>
      <c r="AO1305" s="36">
        <f ca="1">Tabela3[[#This Row],[Tabela 1]]*1.08</f>
        <v>4.6030680148665732</v>
      </c>
      <c r="AP1305" s="36">
        <f ca="1">Tabela3[[#This Row],[Tabela 2]]*1.15</f>
        <v>5.2935282170965587</v>
      </c>
    </row>
    <row r="1306" spans="1:42">
      <c r="A1306" s="9">
        <v>46181</v>
      </c>
      <c r="B1306" s="9" t="s">
        <v>245</v>
      </c>
      <c r="C1306" s="14">
        <v>9806</v>
      </c>
      <c r="D1306" s="6" t="s">
        <v>46</v>
      </c>
      <c r="E1306" s="6" t="s">
        <v>50</v>
      </c>
      <c r="F1306" s="6">
        <v>25</v>
      </c>
      <c r="G1306" s="15">
        <v>0.12222222222222222</v>
      </c>
      <c r="H1306" s="16">
        <v>0</v>
      </c>
      <c r="I1306" s="35">
        <f ca="1">IFERROR(Tabela3[[#This Row],[Custo Total]]/Tabela3[[#This Row],[Aluminio Util]],0)</f>
        <v>26.448775566588296</v>
      </c>
      <c r="J1306" s="35">
        <f ca="1">Tabela3[[#This Row],[Custo Total]]/Tabela3[[#This Row],[Realizado]]</f>
        <v>8.7809934881073151</v>
      </c>
      <c r="K1306" s="37">
        <f>IFERROR(Tabela3[[#This Row],[Qtde Cx Produzida]]/Tabela3[[#This Row],[Tempo]]/24,0)</f>
        <v>8.5227272727272734</v>
      </c>
      <c r="L1306" s="37">
        <f>Tabela3[[#This Row],[Qtde Cx Produzida]]*Tabela3[[#This Row],[Qdt Peça Placa]]</f>
        <v>100</v>
      </c>
      <c r="M1306" s="37">
        <f>Tabela3[[#This Row],[Previsto]]-Tabela3[[#This Row],[Perda Pçs]]</f>
        <v>100</v>
      </c>
      <c r="N1306" s="38">
        <f>IFERROR(Tabela3[[#This Row],[Perda Pçs]]/Tabela3[[#This Row],[Previsto]],0)</f>
        <v>0</v>
      </c>
      <c r="O1306" s="39">
        <f>IFERROR(IF(Tabela3[[#This Row],[Qtde Cx Produzida]] &lt;&gt; 0, Tabela3[[#This Row],[Tempo]] / Tabela3[[#This Row],[Qtde Cx Produzida]], 0),0)</f>
        <v>4.8888888888888888E-3</v>
      </c>
      <c r="P1306" s="57">
        <f>IFERROR(Tabela3[[#This Row],[Perda Pçs]]/Tabela3[[#This Row],[Qdt Peça Placa]],0)</f>
        <v>0</v>
      </c>
      <c r="Q1306" s="37">
        <f>IFERROR(Tabela3[[#This Row],[Realizado]]*Tabela3[[#This Row],[Peso Util/Pç]],0)</f>
        <v>33.200000000000003</v>
      </c>
      <c r="R1306" s="37">
        <f>IFERROR(Tabela3[[#This Row],[Peso Total Galho]]*Tabela3[[#This Row],[Qtde Cx Produzida]]*1.055,0)</f>
        <v>60.662499999999987</v>
      </c>
      <c r="S1306" s="37">
        <f>(Tabela3[[#This Row],[Aluminio Bruto]]-Tabela3[[#This Row],[Aluminio Util]])*0.9</f>
        <v>24.716249999999988</v>
      </c>
      <c r="T1306" s="37">
        <f>Tabela3[[#This Row],[Aluminio Bruto]]/OleoKGAluminio</f>
        <v>25.52063531414106</v>
      </c>
      <c r="U1306" s="35">
        <f>IFERROR((VLOOKUP(Tabela3[[#This Row],[Moldador]],Tabela1[],5,)+(VLOOKUP(Tabela3[[#This Row],[Ajudante]],Tabela1[],5,))*3.5),0)</f>
        <v>99.95034583333333</v>
      </c>
      <c r="V1306" s="35">
        <f>IFERROR(Tabela3[[#This Row],[Custo M.O. / H]]/((Tabela3[[#This Row],[Realizado]]/Tabela3[[#This Row],[Qdt Peça Placa]])/Tabela3[[#This Row],[Tempo]]/24),)</f>
        <v>11.727507244444443</v>
      </c>
      <c r="W1306" s="35">
        <f>Tabela3[[#This Row],[Custo / Cx Moldada]]*Tabela3[[#This Row],[Qtde Cx Produzida]]</f>
        <v>293.18768111111109</v>
      </c>
      <c r="X1306" s="35">
        <f ca="1">Tabela3[[#This Row],[Aluminio Util]]*Tabela3[[#This Row],[Custo/Kg]]</f>
        <v>517.92000000000007</v>
      </c>
      <c r="Y1306" s="35">
        <f>IFERROR(VLOOKUP(Tabela3[[#This Row],[Data]],Tabela461213[],2,1)*(Tabela3[[#This Row],[Qtde Cx Produzida]]*Tabela3[[#This Row],[Qde macho / CX]]*Tabela3[[#This Row],[Peso Macho]]),)</f>
        <v>0</v>
      </c>
      <c r="Z1306" s="35">
        <f>IFERROR(Tabela3[[#This Row],[Qtde Oleo]]*(VLOOKUP(Tabela3[[#This Row],[Data]],CompraOleo[],3,TRUE))*1.05,0)</f>
        <v>66.99166769962028</v>
      </c>
      <c r="AA1306" s="47">
        <f ca="1">(Tabela3[[#This Row],[Custo Oleo]]+Tabela3[[#This Row],[Custo Aluminio]]+Tabela3[[#This Row],[Custo M.O. Total]]+Tabela3[[#This Row],[Custo Machos]])</f>
        <v>878.0993488107315</v>
      </c>
      <c r="AB1306" s="47">
        <f ca="1">Tabela3[[#This Row],[Custo Total]]*Tabela3[[#This Row],[% Perda]]</f>
        <v>0</v>
      </c>
      <c r="AC1306" s="40">
        <f>IFERROR(VLOOKUP(Tabela3[[#This Row],[Produto]],Tabela2[],2,0),0)</f>
        <v>4</v>
      </c>
      <c r="AD1306" s="48">
        <f>IFERROR(VLOOKUP(Tabela3[[#This Row],[Produto]],Tabela2[],3,0),0)</f>
        <v>0.33200000000000002</v>
      </c>
      <c r="AE1306" s="48">
        <f>IFERROR(VLOOKUP(Tabela3[[#This Row],[Produto]],Tabela2[],4,0),0)</f>
        <v>2.2999999999999998</v>
      </c>
      <c r="AF1306" s="48">
        <f>IFERROR(VLOOKUP(Tabela3[[#This Row],[Produto]],Tabela2[],5,0),0)</f>
        <v>0.8747999999999998</v>
      </c>
      <c r="AG1306" s="48">
        <f>IFERROR(VLOOKUP(Tabela3[[#This Row],[Produto]],Tabela2[],6,0),0)</f>
        <v>0</v>
      </c>
      <c r="AH1306" s="40">
        <f>IFERROR(VLOOKUP(Tabela3[[#This Row],[Produto]],Tabela2[],7,0),0)</f>
        <v>0</v>
      </c>
      <c r="AI1306" s="40">
        <f>IFERROR(VLOOKUP(Tabela3[[#This Row],[Produto]],Tabela2[],8,0),0)</f>
        <v>0</v>
      </c>
      <c r="AJ1306" s="35">
        <f ca="1">IFERROR(VLOOKUP(Tabela3[[#This Row],[Produto]],Tabela2[],13,0),0)</f>
        <v>15.600000000000001</v>
      </c>
      <c r="AK1306" s="48" t="str">
        <f>IFERROR(VLOOKUP(Tabela3[[#This Row],[Produto]],Tabela2[],14,0),0)</f>
        <v>Senun</v>
      </c>
      <c r="AL1306" s="40">
        <f>IFERROR(VLOOKUP(Tabela3[[#This Row],[Produto]],Tabela2[],15,0),0)</f>
        <v>3.5</v>
      </c>
      <c r="AM1306" s="36">
        <f ca="1">(Tabela3[[#This Row],[Custo Usinagem]]+Tabela3[[#This Row],[Custo / Pç]])*1.2</f>
        <v>14.737192185728777</v>
      </c>
      <c r="AN1306" s="36">
        <f ca="1">Tabela3[[#This Row],[Valor Mínimo Venda]]*1.15</f>
        <v>16.947771013588092</v>
      </c>
      <c r="AO1306" s="36">
        <f ca="1">Tabela3[[#This Row],[Tabela 1]]*1.08</f>
        <v>18.303592694675139</v>
      </c>
      <c r="AP1306" s="36">
        <f ca="1">Tabela3[[#This Row],[Tabela 2]]*1.15</f>
        <v>21.049131598876407</v>
      </c>
    </row>
    <row r="1307" spans="1:42">
      <c r="A1307" s="9">
        <v>46181</v>
      </c>
      <c r="B1307" s="9" t="s">
        <v>247</v>
      </c>
      <c r="C1307" s="14">
        <v>9809</v>
      </c>
      <c r="D1307" s="6" t="s">
        <v>44</v>
      </c>
      <c r="E1307" s="6" t="s">
        <v>47</v>
      </c>
      <c r="F1307" s="6">
        <v>20</v>
      </c>
      <c r="G1307" s="15">
        <v>9.166666666666666E-2</v>
      </c>
      <c r="H1307" s="16">
        <v>0</v>
      </c>
      <c r="I1307" s="35">
        <f ca="1">IFERROR(Tabela3[[#This Row],[Custo Total]]/Tabela3[[#This Row],[Aluminio Util]],0)</f>
        <v>26.995170624709562</v>
      </c>
      <c r="J1307" s="35">
        <f ca="1">Tabela3[[#This Row],[Custo Total]]/Tabela3[[#This Row],[Realizado]]</f>
        <v>8.0985511874128697</v>
      </c>
      <c r="K1307" s="37">
        <f>IFERROR(Tabela3[[#This Row],[Qtde Cx Produzida]]/Tabela3[[#This Row],[Tempo]]/24,0)</f>
        <v>9.0909090909090917</v>
      </c>
      <c r="L1307" s="37">
        <f>Tabela3[[#This Row],[Qtde Cx Produzida]]*Tabela3[[#This Row],[Qdt Peça Placa]]</f>
        <v>80</v>
      </c>
      <c r="M1307" s="37">
        <f>Tabela3[[#This Row],[Previsto]]-Tabela3[[#This Row],[Perda Pçs]]</f>
        <v>80</v>
      </c>
      <c r="N1307" s="38">
        <f>IFERROR(Tabela3[[#This Row],[Perda Pçs]]/Tabela3[[#This Row],[Previsto]],0)</f>
        <v>0</v>
      </c>
      <c r="O1307" s="39">
        <f>IFERROR(IF(Tabela3[[#This Row],[Qtde Cx Produzida]] &lt;&gt; 0, Tabela3[[#This Row],[Tempo]] / Tabela3[[#This Row],[Qtde Cx Produzida]], 0),0)</f>
        <v>4.5833333333333334E-3</v>
      </c>
      <c r="P1307" s="57">
        <f>IFERROR(Tabela3[[#This Row],[Perda Pçs]]/Tabela3[[#This Row],[Qdt Peça Placa]],0)</f>
        <v>0</v>
      </c>
      <c r="Q1307" s="37">
        <f>IFERROR(Tabela3[[#This Row],[Realizado]]*Tabela3[[#This Row],[Peso Util/Pç]],0)</f>
        <v>24</v>
      </c>
      <c r="R1307" s="37">
        <f>IFERROR(Tabela3[[#This Row],[Peso Total Galho]]*Tabela3[[#This Row],[Qtde Cx Produzida]]*1.055,0)</f>
        <v>48.529999999999994</v>
      </c>
      <c r="S1307" s="37">
        <f>(Tabela3[[#This Row],[Aluminio Bruto]]-Tabela3[[#This Row],[Aluminio Util]])*0.9</f>
        <v>22.076999999999995</v>
      </c>
      <c r="T1307" s="37">
        <f>Tabela3[[#This Row],[Aluminio Bruto]]/OleoKGAluminio</f>
        <v>20.416508251312848</v>
      </c>
      <c r="U1307" s="35">
        <f>IFERROR((VLOOKUP(Tabela3[[#This Row],[Moldador]],Tabela1[],5,)+(VLOOKUP(Tabela3[[#This Row],[Ajudante]],Tabela1[],5,))*3.5),0)</f>
        <v>99.95034583333333</v>
      </c>
      <c r="V1307" s="35">
        <f>IFERROR(Tabela3[[#This Row],[Custo M.O. / H]]/((Tabela3[[#This Row],[Realizado]]/Tabela3[[#This Row],[Qdt Peça Placa]])/Tabela3[[#This Row],[Tempo]]/24),)</f>
        <v>10.994538041666665</v>
      </c>
      <c r="W1307" s="35">
        <f>Tabela3[[#This Row],[Custo / Cx Moldada]]*Tabela3[[#This Row],[Qtde Cx Produzida]]</f>
        <v>219.8907608333333</v>
      </c>
      <c r="X1307" s="35">
        <f ca="1">Tabela3[[#This Row],[Aluminio Util]]*Tabela3[[#This Row],[Custo/Kg]]</f>
        <v>374.40000000000003</v>
      </c>
      <c r="Y1307" s="35">
        <f>IFERROR(VLOOKUP(Tabela3[[#This Row],[Data]],Tabela461213[],2,1)*(Tabela3[[#This Row],[Qtde Cx Produzida]]*Tabela3[[#This Row],[Qde macho / CX]]*Tabela3[[#This Row],[Peso Macho]]),)</f>
        <v>0</v>
      </c>
      <c r="Z1307" s="35">
        <f>IFERROR(Tabela3[[#This Row],[Qtde Oleo]]*(VLOOKUP(Tabela3[[#This Row],[Data]],CompraOleo[],3,TRUE))*1.05,0)</f>
        <v>53.593334159696226</v>
      </c>
      <c r="AA1307" s="47">
        <f ca="1">(Tabela3[[#This Row],[Custo Oleo]]+Tabela3[[#This Row],[Custo Aluminio]]+Tabela3[[#This Row],[Custo M.O. Total]]+Tabela3[[#This Row],[Custo Machos]])</f>
        <v>647.88409499302952</v>
      </c>
      <c r="AB1307" s="47">
        <f ca="1">Tabela3[[#This Row],[Custo Total]]*Tabela3[[#This Row],[% Perda]]</f>
        <v>0</v>
      </c>
      <c r="AC1307" s="40">
        <f>IFERROR(VLOOKUP(Tabela3[[#This Row],[Produto]],Tabela2[],2,0),0)</f>
        <v>4</v>
      </c>
      <c r="AD1307" s="48">
        <f>IFERROR(VLOOKUP(Tabela3[[#This Row],[Produto]],Tabela2[],3,0),0)</f>
        <v>0.3</v>
      </c>
      <c r="AE1307" s="48">
        <f>IFERROR(VLOOKUP(Tabela3[[#This Row],[Produto]],Tabela2[],4,0),0)</f>
        <v>2.2999999999999998</v>
      </c>
      <c r="AF1307" s="48">
        <f>IFERROR(VLOOKUP(Tabela3[[#This Row],[Produto]],Tabela2[],5,0),0)</f>
        <v>0.98999999999999988</v>
      </c>
      <c r="AG1307" s="48">
        <f>IFERROR(VLOOKUP(Tabela3[[#This Row],[Produto]],Tabela2[],6,0),0)</f>
        <v>0</v>
      </c>
      <c r="AH1307" s="40">
        <f>IFERROR(VLOOKUP(Tabela3[[#This Row],[Produto]],Tabela2[],7,0),0)</f>
        <v>0</v>
      </c>
      <c r="AI1307" s="40">
        <f>IFERROR(VLOOKUP(Tabela3[[#This Row],[Produto]],Tabela2[],8,0),0)</f>
        <v>0</v>
      </c>
      <c r="AJ1307" s="35">
        <f ca="1">IFERROR(VLOOKUP(Tabela3[[#This Row],[Produto]],Tabela2[],13,0),0)</f>
        <v>15.600000000000001</v>
      </c>
      <c r="AK1307" s="48" t="str">
        <f>IFERROR(VLOOKUP(Tabela3[[#This Row],[Produto]],Tabela2[],14,0),0)</f>
        <v>Senun</v>
      </c>
      <c r="AL1307" s="40">
        <f>IFERROR(VLOOKUP(Tabela3[[#This Row],[Produto]],Tabela2[],15,0),0)</f>
        <v>3.5</v>
      </c>
      <c r="AM1307" s="36">
        <f ca="1">(Tabela3[[#This Row],[Custo Usinagem]]+Tabela3[[#This Row],[Custo / Pç]])*1.2</f>
        <v>13.918261424895443</v>
      </c>
      <c r="AN1307" s="36">
        <f ca="1">Tabela3[[#This Row],[Valor Mínimo Venda]]*1.15</f>
        <v>16.006000638629757</v>
      </c>
      <c r="AO1307" s="36">
        <f ca="1">Tabela3[[#This Row],[Tabela 1]]*1.08</f>
        <v>17.28648068972014</v>
      </c>
      <c r="AP1307" s="36">
        <f ca="1">Tabela3[[#This Row],[Tabela 2]]*1.15</f>
        <v>19.87945279317816</v>
      </c>
    </row>
    <row r="1308" spans="1:42">
      <c r="A1308" s="9">
        <v>46181</v>
      </c>
      <c r="B1308" s="9" t="s">
        <v>245</v>
      </c>
      <c r="C1308" s="14">
        <v>9806</v>
      </c>
      <c r="D1308" s="6" t="s">
        <v>46</v>
      </c>
      <c r="E1308" s="6" t="s">
        <v>44</v>
      </c>
      <c r="F1308" s="6">
        <v>12</v>
      </c>
      <c r="G1308" s="15">
        <v>4.8611111111111112E-2</v>
      </c>
      <c r="H1308" s="16">
        <v>0</v>
      </c>
      <c r="I1308" s="35">
        <f ca="1">IFERROR(Tabela3[[#This Row],[Custo Total]]/Tabela3[[#This Row],[Aluminio Util]],0)</f>
        <v>26.849137204807842</v>
      </c>
      <c r="J1308" s="35">
        <f ca="1">Tabela3[[#This Row],[Custo Total]]/Tabela3[[#This Row],[Realizado]]</f>
        <v>8.9139135519962043</v>
      </c>
      <c r="K1308" s="37">
        <f>IFERROR(Tabela3[[#This Row],[Qtde Cx Produzida]]/Tabela3[[#This Row],[Tempo]]/24,0)</f>
        <v>10.285714285714286</v>
      </c>
      <c r="L1308" s="37">
        <f>Tabela3[[#This Row],[Qtde Cx Produzida]]*Tabela3[[#This Row],[Qdt Peça Placa]]</f>
        <v>48</v>
      </c>
      <c r="M1308" s="37">
        <f>Tabela3[[#This Row],[Previsto]]-Tabela3[[#This Row],[Perda Pçs]]</f>
        <v>48</v>
      </c>
      <c r="N1308" s="38">
        <f>IFERROR(Tabela3[[#This Row],[Perda Pçs]]/Tabela3[[#This Row],[Previsto]],0)</f>
        <v>0</v>
      </c>
      <c r="O1308" s="39">
        <f>IFERROR(IF(Tabela3[[#This Row],[Qtde Cx Produzida]] &lt;&gt; 0, Tabela3[[#This Row],[Tempo]] / Tabela3[[#This Row],[Qtde Cx Produzida]], 0),0)</f>
        <v>4.0509259259259257E-3</v>
      </c>
      <c r="P1308" s="57">
        <f>IFERROR(Tabela3[[#This Row],[Perda Pçs]]/Tabela3[[#This Row],[Qdt Peça Placa]],0)</f>
        <v>0</v>
      </c>
      <c r="Q1308" s="37">
        <f>IFERROR(Tabela3[[#This Row],[Realizado]]*Tabela3[[#This Row],[Peso Util/Pç]],0)</f>
        <v>15.936</v>
      </c>
      <c r="R1308" s="37">
        <f>IFERROR(Tabela3[[#This Row],[Peso Total Galho]]*Tabela3[[#This Row],[Qtde Cx Produzida]]*1.055,0)</f>
        <v>29.117999999999995</v>
      </c>
      <c r="S1308" s="37">
        <f>(Tabela3[[#This Row],[Aluminio Bruto]]-Tabela3[[#This Row],[Aluminio Util]])*0.9</f>
        <v>11.863799999999996</v>
      </c>
      <c r="T1308" s="37">
        <f>Tabela3[[#This Row],[Aluminio Bruto]]/OleoKGAluminio</f>
        <v>12.249904950787709</v>
      </c>
      <c r="U1308" s="35">
        <f>IFERROR((VLOOKUP(Tabela3[[#This Row],[Moldador]],Tabela1[],5,)+(VLOOKUP(Tabela3[[#This Row],[Ajudante]],Tabela1[],5,))*3.5),0)</f>
        <v>126.0945</v>
      </c>
      <c r="V1308" s="35">
        <f>IFERROR(Tabela3[[#This Row],[Custo M.O. / H]]/((Tabela3[[#This Row],[Realizado]]/Tabela3[[#This Row],[Qdt Peça Placa]])/Tabela3[[#This Row],[Tempo]]/24),)</f>
        <v>12.259187499999999</v>
      </c>
      <c r="W1308" s="35">
        <f>Tabela3[[#This Row],[Custo / Cx Moldada]]*Tabela3[[#This Row],[Qtde Cx Produzida]]</f>
        <v>147.11025000000001</v>
      </c>
      <c r="X1308" s="35">
        <f ca="1">Tabela3[[#This Row],[Aluminio Util]]*Tabela3[[#This Row],[Custo/Kg]]</f>
        <v>248.60160000000002</v>
      </c>
      <c r="Y1308" s="35">
        <f>IFERROR(VLOOKUP(Tabela3[[#This Row],[Data]],Tabela461213[],2,1)*(Tabela3[[#This Row],[Qtde Cx Produzida]]*Tabela3[[#This Row],[Qde macho / CX]]*Tabela3[[#This Row],[Peso Macho]]),)</f>
        <v>0</v>
      </c>
      <c r="Z1308" s="35">
        <f>IFERROR(Tabela3[[#This Row],[Qtde Oleo]]*(VLOOKUP(Tabela3[[#This Row],[Data]],CompraOleo[],3,TRUE))*1.05,0)</f>
        <v>32.156000495817736</v>
      </c>
      <c r="AA1308" s="47">
        <f ca="1">(Tabela3[[#This Row],[Custo Oleo]]+Tabela3[[#This Row],[Custo Aluminio]]+Tabela3[[#This Row],[Custo M.O. Total]]+Tabela3[[#This Row],[Custo Machos]])</f>
        <v>427.86785049581778</v>
      </c>
      <c r="AB1308" s="47">
        <f ca="1">Tabela3[[#This Row],[Custo Total]]*Tabela3[[#This Row],[% Perda]]</f>
        <v>0</v>
      </c>
      <c r="AC1308" s="40">
        <f>IFERROR(VLOOKUP(Tabela3[[#This Row],[Produto]],Tabela2[],2,0),0)</f>
        <v>4</v>
      </c>
      <c r="AD1308" s="48">
        <f>IFERROR(VLOOKUP(Tabela3[[#This Row],[Produto]],Tabela2[],3,0),0)</f>
        <v>0.33200000000000002</v>
      </c>
      <c r="AE1308" s="48">
        <f>IFERROR(VLOOKUP(Tabela3[[#This Row],[Produto]],Tabela2[],4,0),0)</f>
        <v>2.2999999999999998</v>
      </c>
      <c r="AF1308" s="48">
        <f>IFERROR(VLOOKUP(Tabela3[[#This Row],[Produto]],Tabela2[],5,0),0)</f>
        <v>0.8747999999999998</v>
      </c>
      <c r="AG1308" s="48">
        <f>IFERROR(VLOOKUP(Tabela3[[#This Row],[Produto]],Tabela2[],6,0),0)</f>
        <v>0</v>
      </c>
      <c r="AH1308" s="40">
        <f>IFERROR(VLOOKUP(Tabela3[[#This Row],[Produto]],Tabela2[],7,0),0)</f>
        <v>0</v>
      </c>
      <c r="AI1308" s="40">
        <f>IFERROR(VLOOKUP(Tabela3[[#This Row],[Produto]],Tabela2[],8,0),0)</f>
        <v>0</v>
      </c>
      <c r="AJ1308" s="35">
        <f ca="1">IFERROR(VLOOKUP(Tabela3[[#This Row],[Produto]],Tabela2[],13,0),0)</f>
        <v>15.600000000000001</v>
      </c>
      <c r="AK1308" s="48" t="str">
        <f>IFERROR(VLOOKUP(Tabela3[[#This Row],[Produto]],Tabela2[],14,0),0)</f>
        <v>Senun</v>
      </c>
      <c r="AL1308" s="40">
        <f>IFERROR(VLOOKUP(Tabela3[[#This Row],[Produto]],Tabela2[],15,0),0)</f>
        <v>3.5</v>
      </c>
      <c r="AM1308" s="36">
        <f ca="1">(Tabela3[[#This Row],[Custo Usinagem]]+Tabela3[[#This Row],[Custo / Pç]])*1.2</f>
        <v>14.896696262395444</v>
      </c>
      <c r="AN1308" s="36">
        <f ca="1">Tabela3[[#This Row],[Valor Mínimo Venda]]*1.15</f>
        <v>17.131200701754761</v>
      </c>
      <c r="AO1308" s="36">
        <f ca="1">Tabela3[[#This Row],[Tabela 1]]*1.08</f>
        <v>18.501696757895143</v>
      </c>
      <c r="AP1308" s="36">
        <f ca="1">Tabela3[[#This Row],[Tabela 2]]*1.15</f>
        <v>21.276951271579414</v>
      </c>
    </row>
    <row r="1309" spans="1:42">
      <c r="A1309" s="9">
        <v>46181</v>
      </c>
      <c r="B1309" s="9" t="s">
        <v>245</v>
      </c>
      <c r="C1309" s="14">
        <v>9806</v>
      </c>
      <c r="D1309" s="6" t="s">
        <v>44</v>
      </c>
      <c r="E1309" s="6" t="s">
        <v>47</v>
      </c>
      <c r="F1309" s="6">
        <v>18</v>
      </c>
      <c r="G1309" s="15">
        <v>8.1250000000000003E-2</v>
      </c>
      <c r="H1309" s="16">
        <v>0</v>
      </c>
      <c r="I1309" s="35">
        <f ca="1">IFERROR(Tabela3[[#This Row],[Custo Total]]/Tabela3[[#This Row],[Aluminio Util]],0)</f>
        <v>25.771401234886486</v>
      </c>
      <c r="J1309" s="35">
        <f ca="1">Tabela3[[#This Row],[Custo Total]]/Tabela3[[#This Row],[Realizado]]</f>
        <v>8.5561052099823129</v>
      </c>
      <c r="K1309" s="37">
        <f>IFERROR(Tabela3[[#This Row],[Qtde Cx Produzida]]/Tabela3[[#This Row],[Tempo]]/24,0)</f>
        <v>9.2307692307692299</v>
      </c>
      <c r="L1309" s="37">
        <f>Tabela3[[#This Row],[Qtde Cx Produzida]]*Tabela3[[#This Row],[Qdt Peça Placa]]</f>
        <v>72</v>
      </c>
      <c r="M1309" s="37">
        <f>Tabela3[[#This Row],[Previsto]]-Tabela3[[#This Row],[Perda Pçs]]</f>
        <v>72</v>
      </c>
      <c r="N1309" s="38">
        <f>IFERROR(Tabela3[[#This Row],[Perda Pçs]]/Tabela3[[#This Row],[Previsto]],0)</f>
        <v>0</v>
      </c>
      <c r="O1309" s="39">
        <f>IFERROR(IF(Tabela3[[#This Row],[Qtde Cx Produzida]] &lt;&gt; 0, Tabela3[[#This Row],[Tempo]] / Tabela3[[#This Row],[Qtde Cx Produzida]], 0),0)</f>
        <v>4.5138888888888893E-3</v>
      </c>
      <c r="P1309" s="57">
        <f>IFERROR(Tabela3[[#This Row],[Perda Pçs]]/Tabela3[[#This Row],[Qdt Peça Placa]],0)</f>
        <v>0</v>
      </c>
      <c r="Q1309" s="37">
        <f>IFERROR(Tabela3[[#This Row],[Realizado]]*Tabela3[[#This Row],[Peso Util/Pç]],0)</f>
        <v>23.904</v>
      </c>
      <c r="R1309" s="37">
        <f>IFERROR(Tabela3[[#This Row],[Peso Total Galho]]*Tabela3[[#This Row],[Qtde Cx Produzida]]*1.055,0)</f>
        <v>43.676999999999992</v>
      </c>
      <c r="S1309" s="37">
        <f>(Tabela3[[#This Row],[Aluminio Bruto]]-Tabela3[[#This Row],[Aluminio Util]])*0.9</f>
        <v>17.795699999999993</v>
      </c>
      <c r="T1309" s="37">
        <f>Tabela3[[#This Row],[Aluminio Bruto]]/OleoKGAluminio</f>
        <v>18.374857426181563</v>
      </c>
      <c r="U1309" s="35">
        <f>IFERROR((VLOOKUP(Tabela3[[#This Row],[Moldador]],Tabela1[],5,)+(VLOOKUP(Tabela3[[#This Row],[Ajudante]],Tabela1[],5,))*3.5),0)</f>
        <v>99.95034583333333</v>
      </c>
      <c r="V1309" s="35">
        <f>IFERROR(Tabela3[[#This Row],[Custo M.O. / H]]/((Tabela3[[#This Row],[Realizado]]/Tabela3[[#This Row],[Qdt Peça Placa]])/Tabela3[[#This Row],[Tempo]]/24),)</f>
        <v>10.827954131944445</v>
      </c>
      <c r="W1309" s="35">
        <f>Tabela3[[#This Row],[Custo / Cx Moldada]]*Tabela3[[#This Row],[Qtde Cx Produzida]]</f>
        <v>194.90317437499999</v>
      </c>
      <c r="X1309" s="35">
        <f ca="1">Tabela3[[#This Row],[Aluminio Util]]*Tabela3[[#This Row],[Custo/Kg]]</f>
        <v>372.90240000000006</v>
      </c>
      <c r="Y1309" s="35">
        <f>IFERROR(VLOOKUP(Tabela3[[#This Row],[Data]],Tabela461213[],2,1)*(Tabela3[[#This Row],[Qtde Cx Produzida]]*Tabela3[[#This Row],[Qde macho / CX]]*Tabela3[[#This Row],[Peso Macho]]),)</f>
        <v>0</v>
      </c>
      <c r="Z1309" s="35">
        <f>IFERROR(Tabela3[[#This Row],[Qtde Oleo]]*(VLOOKUP(Tabela3[[#This Row],[Data]],CompraOleo[],3,TRUE))*1.05,0)</f>
        <v>48.234000743726604</v>
      </c>
      <c r="AA1309" s="47">
        <f ca="1">(Tabela3[[#This Row],[Custo Oleo]]+Tabela3[[#This Row],[Custo Aluminio]]+Tabela3[[#This Row],[Custo M.O. Total]]+Tabela3[[#This Row],[Custo Machos]])</f>
        <v>616.03957511872659</v>
      </c>
      <c r="AB1309" s="47">
        <f ca="1">Tabela3[[#This Row],[Custo Total]]*Tabela3[[#This Row],[% Perda]]</f>
        <v>0</v>
      </c>
      <c r="AC1309" s="40">
        <f>IFERROR(VLOOKUP(Tabela3[[#This Row],[Produto]],Tabela2[],2,0),0)</f>
        <v>4</v>
      </c>
      <c r="AD1309" s="48">
        <f>IFERROR(VLOOKUP(Tabela3[[#This Row],[Produto]],Tabela2[],3,0),0)</f>
        <v>0.33200000000000002</v>
      </c>
      <c r="AE1309" s="48">
        <f>IFERROR(VLOOKUP(Tabela3[[#This Row],[Produto]],Tabela2[],4,0),0)</f>
        <v>2.2999999999999998</v>
      </c>
      <c r="AF1309" s="48">
        <f>IFERROR(VLOOKUP(Tabela3[[#This Row],[Produto]],Tabela2[],5,0),0)</f>
        <v>0.8747999999999998</v>
      </c>
      <c r="AG1309" s="48">
        <f>IFERROR(VLOOKUP(Tabela3[[#This Row],[Produto]],Tabela2[],6,0),0)</f>
        <v>0</v>
      </c>
      <c r="AH1309" s="40">
        <f>IFERROR(VLOOKUP(Tabela3[[#This Row],[Produto]],Tabela2[],7,0),0)</f>
        <v>0</v>
      </c>
      <c r="AI1309" s="40">
        <f>IFERROR(VLOOKUP(Tabela3[[#This Row],[Produto]],Tabela2[],8,0),0)</f>
        <v>0</v>
      </c>
      <c r="AJ1309" s="35">
        <f ca="1">IFERROR(VLOOKUP(Tabela3[[#This Row],[Produto]],Tabela2[],13,0),0)</f>
        <v>15.600000000000001</v>
      </c>
      <c r="AK1309" s="48" t="str">
        <f>IFERROR(VLOOKUP(Tabela3[[#This Row],[Produto]],Tabela2[],14,0),0)</f>
        <v>Senun</v>
      </c>
      <c r="AL1309" s="40">
        <f>IFERROR(VLOOKUP(Tabela3[[#This Row],[Produto]],Tabela2[],15,0),0)</f>
        <v>3.5</v>
      </c>
      <c r="AM1309" s="36">
        <f ca="1">(Tabela3[[#This Row],[Custo Usinagem]]+Tabela3[[#This Row],[Custo / Pç]])*1.2</f>
        <v>14.467326251978776</v>
      </c>
      <c r="AN1309" s="36">
        <f ca="1">Tabela3[[#This Row],[Valor Mínimo Venda]]*1.15</f>
        <v>16.637425189775591</v>
      </c>
      <c r="AO1309" s="36">
        <f ca="1">Tabela3[[#This Row],[Tabela 1]]*1.08</f>
        <v>17.968419204957641</v>
      </c>
      <c r="AP1309" s="36">
        <f ca="1">Tabela3[[#This Row],[Tabela 2]]*1.15</f>
        <v>20.663682085701286</v>
      </c>
    </row>
    <row r="1310" spans="1:42">
      <c r="A1310" s="9">
        <v>46181</v>
      </c>
      <c r="B1310" s="9" t="s">
        <v>102</v>
      </c>
      <c r="C1310" s="14">
        <v>9780</v>
      </c>
      <c r="D1310" s="6" t="s">
        <v>44</v>
      </c>
      <c r="E1310" s="6" t="s">
        <v>47</v>
      </c>
      <c r="F1310" s="6">
        <v>4</v>
      </c>
      <c r="G1310" s="15">
        <v>3.8194444444444448E-2</v>
      </c>
      <c r="H1310" s="16">
        <v>0</v>
      </c>
      <c r="I1310" s="35">
        <f ca="1">IFERROR(Tabela3[[#This Row],[Custo Total]]/Tabela3[[#This Row],[Aluminio Util]],0)</f>
        <v>20.043009412004981</v>
      </c>
      <c r="J1310" s="35">
        <f ca="1">Tabela3[[#This Row],[Custo Total]]/Tabela3[[#This Row],[Realizado]]</f>
        <v>384.82578071049562</v>
      </c>
      <c r="K1310" s="37">
        <f>IFERROR(Tabela3[[#This Row],[Qtde Cx Produzida]]/Tabela3[[#This Row],[Tempo]]/24,0)</f>
        <v>4.3636363636363633</v>
      </c>
      <c r="L1310" s="37">
        <f>Tabela3[[#This Row],[Qtde Cx Produzida]]*Tabela3[[#This Row],[Qdt Peça Placa]]</f>
        <v>4</v>
      </c>
      <c r="M1310" s="37">
        <f>Tabela3[[#This Row],[Previsto]]-Tabela3[[#This Row],[Perda Pçs]]</f>
        <v>4</v>
      </c>
      <c r="N1310" s="38">
        <f>IFERROR(Tabela3[[#This Row],[Perda Pçs]]/Tabela3[[#This Row],[Previsto]],0)</f>
        <v>0</v>
      </c>
      <c r="O1310" s="39">
        <f>IFERROR(IF(Tabela3[[#This Row],[Qtde Cx Produzida]] &lt;&gt; 0, Tabela3[[#This Row],[Tempo]] / Tabela3[[#This Row],[Qtde Cx Produzida]], 0),0)</f>
        <v>9.5486111111111119E-3</v>
      </c>
      <c r="P1310" s="57">
        <f>IFERROR(Tabela3[[#This Row],[Perda Pçs]]/Tabela3[[#This Row],[Qdt Peça Placa]],0)</f>
        <v>0</v>
      </c>
      <c r="Q1310" s="37">
        <f>IFERROR(Tabela3[[#This Row],[Realizado]]*Tabela3[[#This Row],[Peso Util/Pç]],0)</f>
        <v>76.8</v>
      </c>
      <c r="R1310" s="37">
        <f>IFERROR(Tabela3[[#This Row],[Peso Total Galho]]*Tabela3[[#This Row],[Qtde Cx Produzida]]*1.055,0)</f>
        <v>86.932000000000002</v>
      </c>
      <c r="S1310" s="37">
        <f>(Tabela3[[#This Row],[Aluminio Bruto]]-Tabela3[[#This Row],[Aluminio Util]])*0.9</f>
        <v>9.1188000000000056</v>
      </c>
      <c r="T1310" s="37">
        <f>Tabela3[[#This Row],[Aluminio Bruto]]/OleoKGAluminio</f>
        <v>36.572179998003897</v>
      </c>
      <c r="U1310" s="35">
        <f>IFERROR((VLOOKUP(Tabela3[[#This Row],[Moldador]],Tabela1[],5,)+(VLOOKUP(Tabela3[[#This Row],[Ajudante]],Tabela1[],5,))*3.5),0)</f>
        <v>99.95034583333333</v>
      </c>
      <c r="V1310" s="35">
        <f>IFERROR(Tabela3[[#This Row],[Custo M.O. / H]]/((Tabela3[[#This Row],[Realizado]]/Tabela3[[#This Row],[Qdt Peça Placa]])/Tabela3[[#This Row],[Tempo]]/24),)</f>
        <v>22.905287586805557</v>
      </c>
      <c r="W1310" s="35">
        <f>Tabela3[[#This Row],[Custo / Cx Moldada]]*Tabela3[[#This Row],[Qtde Cx Produzida]]</f>
        <v>91.621150347222226</v>
      </c>
      <c r="X1310" s="35">
        <f ca="1">Tabela3[[#This Row],[Aluminio Util]]*Tabela3[[#This Row],[Custo/Kg]]</f>
        <v>1351.68</v>
      </c>
      <c r="Y1310" s="35">
        <f>IFERROR(VLOOKUP(Tabela3[[#This Row],[Data]],Tabela461213[],2,1)*(Tabela3[[#This Row],[Qtde Cx Produzida]]*Tabela3[[#This Row],[Qde macho / CX]]*Tabela3[[#This Row],[Peso Macho]]),)</f>
        <v>0</v>
      </c>
      <c r="Z1310" s="35">
        <f>IFERROR(Tabela3[[#This Row],[Qtde Oleo]]*(VLOOKUP(Tabela3[[#This Row],[Data]],CompraOleo[],3,TRUE))*1.05,0)</f>
        <v>96.001972494760224</v>
      </c>
      <c r="AA1310" s="47">
        <f ca="1">(Tabela3[[#This Row],[Custo Oleo]]+Tabela3[[#This Row],[Custo Aluminio]]+Tabela3[[#This Row],[Custo M.O. Total]]+Tabela3[[#This Row],[Custo Machos]])</f>
        <v>1539.3031228419825</v>
      </c>
      <c r="AB1310" s="47">
        <f ca="1">Tabela3[[#This Row],[Custo Total]]*Tabela3[[#This Row],[% Perda]]</f>
        <v>0</v>
      </c>
      <c r="AC1310" s="40">
        <f>IFERROR(VLOOKUP(Tabela3[[#This Row],[Produto]],Tabela2[],2,0),0)</f>
        <v>1</v>
      </c>
      <c r="AD1310" s="48">
        <f>IFERROR(VLOOKUP(Tabela3[[#This Row],[Produto]],Tabela2[],3,0),0)</f>
        <v>19.2</v>
      </c>
      <c r="AE1310" s="48">
        <f>IFERROR(VLOOKUP(Tabela3[[#This Row],[Produto]],Tabela2[],4,0),0)</f>
        <v>20.6</v>
      </c>
      <c r="AF1310" s="48">
        <f>IFERROR(VLOOKUP(Tabela3[[#This Row],[Produto]],Tabela2[],5,0),0)</f>
        <v>1.260000000000002</v>
      </c>
      <c r="AG1310" s="48">
        <f>IFERROR(VLOOKUP(Tabela3[[#This Row],[Produto]],Tabela2[],6,0),0)</f>
        <v>0</v>
      </c>
      <c r="AH1310" s="40">
        <f>IFERROR(VLOOKUP(Tabela3[[#This Row],[Produto]],Tabela2[],7,0),0)</f>
        <v>0</v>
      </c>
      <c r="AI1310" s="40">
        <f>IFERROR(VLOOKUP(Tabela3[[#This Row],[Produto]],Tabela2[],8,0),0)</f>
        <v>0</v>
      </c>
      <c r="AJ1310" s="35">
        <f ca="1">IFERROR(VLOOKUP(Tabela3[[#This Row],[Produto]],Tabela2[],13,0),0)</f>
        <v>17.600000000000001</v>
      </c>
      <c r="AK1310" s="48" t="str">
        <f>IFERROR(VLOOKUP(Tabela3[[#This Row],[Produto]],Tabela2[],14,0),0)</f>
        <v>TRATOMAG</v>
      </c>
      <c r="AL1310" s="40">
        <f>IFERROR(VLOOKUP(Tabela3[[#This Row],[Produto]],Tabela2[],15,0),0)</f>
        <v>0</v>
      </c>
      <c r="AM1310" s="36">
        <f ca="1">(Tabela3[[#This Row],[Custo Usinagem]]+Tabela3[[#This Row],[Custo / Pç]])*1.2</f>
        <v>461.79093685259471</v>
      </c>
      <c r="AN1310" s="36">
        <f ca="1">Tabela3[[#This Row],[Valor Mínimo Venda]]*1.15</f>
        <v>531.05957738048392</v>
      </c>
      <c r="AO1310" s="36">
        <f ca="1">Tabela3[[#This Row],[Tabela 1]]*1.08</f>
        <v>573.54434357092271</v>
      </c>
      <c r="AP1310" s="36">
        <f ca="1">Tabela3[[#This Row],[Tabela 2]]*1.15</f>
        <v>659.57599510656109</v>
      </c>
    </row>
    <row r="1311" spans="1:42">
      <c r="A1311" s="9">
        <v>46181</v>
      </c>
      <c r="B1311" s="9" t="s">
        <v>158</v>
      </c>
      <c r="C1311" s="14">
        <v>9813</v>
      </c>
      <c r="D1311" s="6" t="s">
        <v>44</v>
      </c>
      <c r="E1311" s="6" t="s">
        <v>47</v>
      </c>
      <c r="F1311" s="6">
        <v>5</v>
      </c>
      <c r="G1311" s="15">
        <v>2.8472222222222222E-2</v>
      </c>
      <c r="H1311" s="16">
        <v>0</v>
      </c>
      <c r="I1311" s="35">
        <f ca="1">IFERROR(Tabela3[[#This Row],[Custo Total]]/Tabela3[[#This Row],[Aluminio Util]],0)</f>
        <v>21.119390746718398</v>
      </c>
      <c r="J1311" s="35">
        <f ca="1">Tabela3[[#This Row],[Custo Total]]/Tabela3[[#This Row],[Realizado]]</f>
        <v>31.679086120077596</v>
      </c>
      <c r="K1311" s="37">
        <f>IFERROR(Tabela3[[#This Row],[Qtde Cx Produzida]]/Tabela3[[#This Row],[Tempo]]/24,0)</f>
        <v>7.3170731707317076</v>
      </c>
      <c r="L1311" s="37">
        <f>Tabela3[[#This Row],[Qtde Cx Produzida]]*Tabela3[[#This Row],[Qdt Peça Placa]]</f>
        <v>20</v>
      </c>
      <c r="M1311" s="37">
        <f>Tabela3[[#This Row],[Previsto]]-Tabela3[[#This Row],[Perda Pçs]]</f>
        <v>20</v>
      </c>
      <c r="N1311" s="38">
        <f>IFERROR(Tabela3[[#This Row],[Perda Pçs]]/Tabela3[[#This Row],[Previsto]],0)</f>
        <v>0</v>
      </c>
      <c r="O1311" s="39">
        <f>IFERROR(IF(Tabela3[[#This Row],[Qtde Cx Produzida]] &lt;&gt; 0, Tabela3[[#This Row],[Tempo]] / Tabela3[[#This Row],[Qtde Cx Produzida]], 0),0)</f>
        <v>5.6944444444444447E-3</v>
      </c>
      <c r="P1311" s="57">
        <f>IFERROR(Tabela3[[#This Row],[Perda Pçs]]/Tabela3[[#This Row],[Qdt Peça Placa]],0)</f>
        <v>0</v>
      </c>
      <c r="Q1311" s="37">
        <f>IFERROR(Tabela3[[#This Row],[Realizado]]*Tabela3[[#This Row],[Peso Util/Pç]],0)</f>
        <v>30</v>
      </c>
      <c r="R1311" s="37">
        <f>IFERROR(Tabela3[[#This Row],[Peso Total Galho]]*Tabela3[[#This Row],[Qtde Cx Produzida]]*1.055,0)</f>
        <v>33.76</v>
      </c>
      <c r="S1311" s="37">
        <f>(Tabela3[[#This Row],[Aluminio Bruto]]-Tabela3[[#This Row],[Aluminio Util]])*0.9</f>
        <v>3.3839999999999981</v>
      </c>
      <c r="T1311" s="37">
        <f>Tabela3[[#This Row],[Aluminio Bruto]]/OleoKGAluminio</f>
        <v>14.202788348739375</v>
      </c>
      <c r="U1311" s="35">
        <f>IFERROR((VLOOKUP(Tabela3[[#This Row],[Moldador]],Tabela1[],5,)+(VLOOKUP(Tabela3[[#This Row],[Ajudante]],Tabela1[],5,))*3.5),0)</f>
        <v>99.95034583333333</v>
      </c>
      <c r="V1311" s="35">
        <f>IFERROR(Tabela3[[#This Row],[Custo M.O. / H]]/((Tabela3[[#This Row],[Realizado]]/Tabela3[[#This Row],[Qdt Peça Placa]])/Tabela3[[#This Row],[Tempo]]/24),)</f>
        <v>13.659880597222221</v>
      </c>
      <c r="W1311" s="35">
        <f>Tabela3[[#This Row],[Custo / Cx Moldada]]*Tabela3[[#This Row],[Qtde Cx Produzida]]</f>
        <v>68.299402986111104</v>
      </c>
      <c r="X1311" s="35">
        <f ca="1">Tabela3[[#This Row],[Aluminio Util]]*Tabela3[[#This Row],[Custo/Kg]]</f>
        <v>528</v>
      </c>
      <c r="Y1311" s="35">
        <f>IFERROR(VLOOKUP(Tabela3[[#This Row],[Data]],Tabela461213[],2,1)*(Tabela3[[#This Row],[Qtde Cx Produzida]]*Tabela3[[#This Row],[Qde macho / CX]]*Tabela3[[#This Row],[Peso Macho]]),)</f>
        <v>0</v>
      </c>
      <c r="Z1311" s="35">
        <f>IFERROR(Tabela3[[#This Row],[Qtde Oleo]]*(VLOOKUP(Tabela3[[#This Row],[Data]],CompraOleo[],3,TRUE))*1.05,0)</f>
        <v>37.28231941544086</v>
      </c>
      <c r="AA1311" s="47">
        <f ca="1">(Tabela3[[#This Row],[Custo Oleo]]+Tabela3[[#This Row],[Custo Aluminio]]+Tabela3[[#This Row],[Custo M.O. Total]]+Tabela3[[#This Row],[Custo Machos]])</f>
        <v>633.58172240155193</v>
      </c>
      <c r="AB1311" s="47">
        <f ca="1">Tabela3[[#This Row],[Custo Total]]*Tabela3[[#This Row],[% Perda]]</f>
        <v>0</v>
      </c>
      <c r="AC1311" s="40">
        <f>IFERROR(VLOOKUP(Tabela3[[#This Row],[Produto]],Tabela2[],2,0),0)</f>
        <v>4</v>
      </c>
      <c r="AD1311" s="48">
        <f>IFERROR(VLOOKUP(Tabela3[[#This Row],[Produto]],Tabela2[],3,0),0)</f>
        <v>1.5</v>
      </c>
      <c r="AE1311" s="48">
        <f>IFERROR(VLOOKUP(Tabela3[[#This Row],[Produto]],Tabela2[],4,0),0)</f>
        <v>6.4</v>
      </c>
      <c r="AF1311" s="48">
        <f>IFERROR(VLOOKUP(Tabela3[[#This Row],[Produto]],Tabela2[],5,0),0)</f>
        <v>0.36000000000000032</v>
      </c>
      <c r="AG1311" s="48">
        <f>IFERROR(VLOOKUP(Tabela3[[#This Row],[Produto]],Tabela2[],6,0),0)</f>
        <v>0</v>
      </c>
      <c r="AH1311" s="40">
        <f>IFERROR(VLOOKUP(Tabela3[[#This Row],[Produto]],Tabela2[],7,0),0)</f>
        <v>0</v>
      </c>
      <c r="AI1311" s="40">
        <f>IFERROR(VLOOKUP(Tabela3[[#This Row],[Produto]],Tabela2[],8,0),0)</f>
        <v>0</v>
      </c>
      <c r="AJ1311" s="35">
        <f ca="1">IFERROR(VLOOKUP(Tabela3[[#This Row],[Produto]],Tabela2[],13,0),0)</f>
        <v>17.600000000000001</v>
      </c>
      <c r="AK1311" s="48" t="str">
        <f>IFERROR(VLOOKUP(Tabela3[[#This Row],[Produto]],Tabela2[],14,0),0)</f>
        <v>Danilo</v>
      </c>
      <c r="AL1311" s="40">
        <f>IFERROR(VLOOKUP(Tabela3[[#This Row],[Produto]],Tabela2[],15,0),0)</f>
        <v>0</v>
      </c>
      <c r="AM1311" s="36">
        <f ca="1">(Tabela3[[#This Row],[Custo Usinagem]]+Tabela3[[#This Row],[Custo / Pç]])*1.2</f>
        <v>38.014903344093113</v>
      </c>
      <c r="AN1311" s="36">
        <f ca="1">Tabela3[[#This Row],[Valor Mínimo Venda]]*1.15</f>
        <v>43.717138845707076</v>
      </c>
      <c r="AO1311" s="36">
        <f ca="1">Tabela3[[#This Row],[Tabela 1]]*1.08</f>
        <v>47.214509953363645</v>
      </c>
      <c r="AP1311" s="36">
        <f ca="1">Tabela3[[#This Row],[Tabela 2]]*1.15</f>
        <v>54.296686446368192</v>
      </c>
    </row>
    <row r="1312" spans="1:42">
      <c r="A1312" s="9">
        <v>46181</v>
      </c>
      <c r="B1312" s="9" t="s">
        <v>158</v>
      </c>
      <c r="C1312" s="14">
        <v>9813</v>
      </c>
      <c r="D1312" s="6" t="s">
        <v>46</v>
      </c>
      <c r="E1312" s="6" t="s">
        <v>44</v>
      </c>
      <c r="F1312" s="6">
        <v>8</v>
      </c>
      <c r="G1312" s="15">
        <v>3.888888888888889E-2</v>
      </c>
      <c r="H1312" s="16">
        <v>0</v>
      </c>
      <c r="I1312" s="35">
        <f ca="1">IFERROR(Tabela3[[#This Row],[Custo Total]]/Tabela3[[#This Row],[Aluminio Util]],0)</f>
        <v>21.294581480514697</v>
      </c>
      <c r="J1312" s="35">
        <f ca="1">Tabela3[[#This Row],[Custo Total]]/Tabela3[[#This Row],[Realizado]]</f>
        <v>31.941872220772048</v>
      </c>
      <c r="K1312" s="37">
        <f>IFERROR(Tabela3[[#This Row],[Qtde Cx Produzida]]/Tabela3[[#This Row],[Tempo]]/24,0)</f>
        <v>8.5714285714285712</v>
      </c>
      <c r="L1312" s="37">
        <f>Tabela3[[#This Row],[Qtde Cx Produzida]]*Tabela3[[#This Row],[Qdt Peça Placa]]</f>
        <v>32</v>
      </c>
      <c r="M1312" s="37">
        <f>Tabela3[[#This Row],[Previsto]]-Tabela3[[#This Row],[Perda Pçs]]</f>
        <v>32</v>
      </c>
      <c r="N1312" s="38">
        <f>IFERROR(Tabela3[[#This Row],[Perda Pçs]]/Tabela3[[#This Row],[Previsto]],0)</f>
        <v>0</v>
      </c>
      <c r="O1312" s="39">
        <f>IFERROR(IF(Tabela3[[#This Row],[Qtde Cx Produzida]] &lt;&gt; 0, Tabela3[[#This Row],[Tempo]] / Tabela3[[#This Row],[Qtde Cx Produzida]], 0),0)</f>
        <v>4.8611111111111112E-3</v>
      </c>
      <c r="P1312" s="57">
        <f>IFERROR(Tabela3[[#This Row],[Perda Pçs]]/Tabela3[[#This Row],[Qdt Peça Placa]],0)</f>
        <v>0</v>
      </c>
      <c r="Q1312" s="37">
        <f>IFERROR(Tabela3[[#This Row],[Realizado]]*Tabela3[[#This Row],[Peso Util/Pç]],0)</f>
        <v>48</v>
      </c>
      <c r="R1312" s="37">
        <f>IFERROR(Tabela3[[#This Row],[Peso Total Galho]]*Tabela3[[#This Row],[Qtde Cx Produzida]]*1.055,0)</f>
        <v>54.015999999999998</v>
      </c>
      <c r="S1312" s="37">
        <f>(Tabela3[[#This Row],[Aluminio Bruto]]-Tabela3[[#This Row],[Aluminio Util]])*0.9</f>
        <v>5.4143999999999988</v>
      </c>
      <c r="T1312" s="37">
        <f>Tabela3[[#This Row],[Aluminio Bruto]]/OleoKGAluminio</f>
        <v>22.724461357982999</v>
      </c>
      <c r="U1312" s="35">
        <f>IFERROR((VLOOKUP(Tabela3[[#This Row],[Moldador]],Tabela1[],5,)+(VLOOKUP(Tabela3[[#This Row],[Ajudante]],Tabela1[],5,))*3.5),0)</f>
        <v>126.0945</v>
      </c>
      <c r="V1312" s="35">
        <f>IFERROR(Tabela3[[#This Row],[Custo M.O. / H]]/((Tabela3[[#This Row],[Realizado]]/Tabela3[[#This Row],[Qdt Peça Placa]])/Tabela3[[#This Row],[Tempo]]/24),)</f>
        <v>14.711024999999999</v>
      </c>
      <c r="W1312" s="35">
        <f>Tabela3[[#This Row],[Custo / Cx Moldada]]*Tabela3[[#This Row],[Qtde Cx Produzida]]</f>
        <v>117.68819999999999</v>
      </c>
      <c r="X1312" s="35">
        <f ca="1">Tabela3[[#This Row],[Aluminio Util]]*Tabela3[[#This Row],[Custo/Kg]]</f>
        <v>844.80000000000007</v>
      </c>
      <c r="Y1312" s="35">
        <f>IFERROR(VLOOKUP(Tabela3[[#This Row],[Data]],Tabela461213[],2,1)*(Tabela3[[#This Row],[Qtde Cx Produzida]]*Tabela3[[#This Row],[Qde macho / CX]]*Tabela3[[#This Row],[Peso Macho]]),)</f>
        <v>0</v>
      </c>
      <c r="Z1312" s="35">
        <f>IFERROR(Tabela3[[#This Row],[Qtde Oleo]]*(VLOOKUP(Tabela3[[#This Row],[Data]],CompraOleo[],3,TRUE))*1.05,0)</f>
        <v>59.651711064705381</v>
      </c>
      <c r="AA1312" s="47">
        <f ca="1">(Tabela3[[#This Row],[Custo Oleo]]+Tabela3[[#This Row],[Custo Aluminio]]+Tabela3[[#This Row],[Custo M.O. Total]]+Tabela3[[#This Row],[Custo Machos]])</f>
        <v>1022.1399110647055</v>
      </c>
      <c r="AB1312" s="47">
        <f ca="1">Tabela3[[#This Row],[Custo Total]]*Tabela3[[#This Row],[% Perda]]</f>
        <v>0</v>
      </c>
      <c r="AC1312" s="40">
        <f>IFERROR(VLOOKUP(Tabela3[[#This Row],[Produto]],Tabela2[],2,0),0)</f>
        <v>4</v>
      </c>
      <c r="AD1312" s="48">
        <f>IFERROR(VLOOKUP(Tabela3[[#This Row],[Produto]],Tabela2[],3,0),0)</f>
        <v>1.5</v>
      </c>
      <c r="AE1312" s="48">
        <f>IFERROR(VLOOKUP(Tabela3[[#This Row],[Produto]],Tabela2[],4,0),0)</f>
        <v>6.4</v>
      </c>
      <c r="AF1312" s="48">
        <f>IFERROR(VLOOKUP(Tabela3[[#This Row],[Produto]],Tabela2[],5,0),0)</f>
        <v>0.36000000000000032</v>
      </c>
      <c r="AG1312" s="48">
        <f>IFERROR(VLOOKUP(Tabela3[[#This Row],[Produto]],Tabela2[],6,0),0)</f>
        <v>0</v>
      </c>
      <c r="AH1312" s="40">
        <f>IFERROR(VLOOKUP(Tabela3[[#This Row],[Produto]],Tabela2[],7,0),0)</f>
        <v>0</v>
      </c>
      <c r="AI1312" s="40">
        <f>IFERROR(VLOOKUP(Tabela3[[#This Row],[Produto]],Tabela2[],8,0),0)</f>
        <v>0</v>
      </c>
      <c r="AJ1312" s="35">
        <f ca="1">IFERROR(VLOOKUP(Tabela3[[#This Row],[Produto]],Tabela2[],13,0),0)</f>
        <v>17.600000000000001</v>
      </c>
      <c r="AK1312" s="48" t="str">
        <f>IFERROR(VLOOKUP(Tabela3[[#This Row],[Produto]],Tabela2[],14,0),0)</f>
        <v>Danilo</v>
      </c>
      <c r="AL1312" s="40">
        <f>IFERROR(VLOOKUP(Tabela3[[#This Row],[Produto]],Tabela2[],15,0),0)</f>
        <v>0</v>
      </c>
      <c r="AM1312" s="36">
        <f ca="1">(Tabela3[[#This Row],[Custo Usinagem]]+Tabela3[[#This Row],[Custo / Pç]])*1.2</f>
        <v>38.330246664926456</v>
      </c>
      <c r="AN1312" s="36">
        <f ca="1">Tabela3[[#This Row],[Valor Mínimo Venda]]*1.15</f>
        <v>44.07978366466542</v>
      </c>
      <c r="AO1312" s="36">
        <f ca="1">Tabela3[[#This Row],[Tabela 1]]*1.08</f>
        <v>47.60616635783866</v>
      </c>
      <c r="AP1312" s="36">
        <f ca="1">Tabela3[[#This Row],[Tabela 2]]*1.15</f>
        <v>54.747091311514453</v>
      </c>
    </row>
    <row r="1313" spans="1:42">
      <c r="A1313" s="9">
        <v>46182</v>
      </c>
      <c r="B1313" s="9" t="s">
        <v>245</v>
      </c>
      <c r="C1313" s="14">
        <v>9806</v>
      </c>
      <c r="D1313" s="6" t="s">
        <v>46</v>
      </c>
      <c r="E1313" s="6" t="s">
        <v>50</v>
      </c>
      <c r="F1313" s="6">
        <v>54</v>
      </c>
      <c r="G1313" s="15">
        <v>0.26805555555555555</v>
      </c>
      <c r="H1313" s="16">
        <v>0</v>
      </c>
      <c r="I1313" s="35">
        <f ca="1">IFERROR(Tabela3[[#This Row],[Custo Total]]/Tabela3[[#This Row],[Aluminio Util]],0)</f>
        <v>26.584436269508</v>
      </c>
      <c r="J1313" s="35">
        <f ca="1">Tabela3[[#This Row],[Custo Total]]/Tabela3[[#This Row],[Realizado]]</f>
        <v>8.8260328414766569</v>
      </c>
      <c r="K1313" s="37">
        <f>IFERROR(Tabela3[[#This Row],[Qtde Cx Produzida]]/Tabela3[[#This Row],[Tempo]]/24,0)</f>
        <v>8.3937823834196887</v>
      </c>
      <c r="L1313" s="37">
        <f>Tabela3[[#This Row],[Qtde Cx Produzida]]*Tabela3[[#This Row],[Qdt Peça Placa]]</f>
        <v>216</v>
      </c>
      <c r="M1313" s="37">
        <f>Tabela3[[#This Row],[Previsto]]-Tabela3[[#This Row],[Perda Pçs]]</f>
        <v>216</v>
      </c>
      <c r="N1313" s="38">
        <f>IFERROR(Tabela3[[#This Row],[Perda Pçs]]/Tabela3[[#This Row],[Previsto]],0)</f>
        <v>0</v>
      </c>
      <c r="O1313" s="39">
        <f>IFERROR(IF(Tabela3[[#This Row],[Qtde Cx Produzida]] &lt;&gt; 0, Tabela3[[#This Row],[Tempo]] / Tabela3[[#This Row],[Qtde Cx Produzida]], 0),0)</f>
        <v>4.9639917695473252E-3</v>
      </c>
      <c r="P1313" s="57">
        <f>IFERROR(Tabela3[[#This Row],[Perda Pçs]]/Tabela3[[#This Row],[Qdt Peça Placa]],0)</f>
        <v>0</v>
      </c>
      <c r="Q1313" s="37">
        <f>IFERROR(Tabela3[[#This Row],[Realizado]]*Tabela3[[#This Row],[Peso Util/Pç]],0)</f>
        <v>71.712000000000003</v>
      </c>
      <c r="R1313" s="37">
        <f>IFERROR(Tabela3[[#This Row],[Peso Total Galho]]*Tabela3[[#This Row],[Qtde Cx Produzida]]*1.055,0)</f>
        <v>131.03099999999998</v>
      </c>
      <c r="S1313" s="37">
        <f>(Tabela3[[#This Row],[Aluminio Bruto]]-Tabela3[[#This Row],[Aluminio Util]])*0.9</f>
        <v>53.387099999999975</v>
      </c>
      <c r="T1313" s="37">
        <f>Tabela3[[#This Row],[Aluminio Bruto]]/OleoKGAluminio</f>
        <v>55.12457227854469</v>
      </c>
      <c r="U1313" s="35">
        <f>IFERROR((VLOOKUP(Tabela3[[#This Row],[Moldador]],Tabela1[],5,)+(VLOOKUP(Tabela3[[#This Row],[Ajudante]],Tabela1[],5,))*3.5),0)</f>
        <v>99.95034583333333</v>
      </c>
      <c r="V1313" s="35">
        <f>IFERROR(Tabela3[[#This Row],[Custo M.O. / H]]/((Tabela3[[#This Row],[Realizado]]/Tabela3[[#This Row],[Qdt Peça Placa]])/Tabela3[[#This Row],[Tempo]]/24),)</f>
        <v>11.90766465792181</v>
      </c>
      <c r="W1313" s="35">
        <f>Tabela3[[#This Row],[Custo / Cx Moldada]]*Tabela3[[#This Row],[Qtde Cx Produzida]]</f>
        <v>643.01389152777779</v>
      </c>
      <c r="X1313" s="35">
        <f ca="1">Tabela3[[#This Row],[Aluminio Util]]*Tabela3[[#This Row],[Custo/Kg]]</f>
        <v>1118.7072000000001</v>
      </c>
      <c r="Y1313" s="35">
        <f>IFERROR(VLOOKUP(Tabela3[[#This Row],[Data]],Tabela461213[],2,1)*(Tabela3[[#This Row],[Qtde Cx Produzida]]*Tabela3[[#This Row],[Qde macho / CX]]*Tabela3[[#This Row],[Peso Macho]]),)</f>
        <v>0</v>
      </c>
      <c r="Z1313" s="35">
        <f>IFERROR(Tabela3[[#This Row],[Qtde Oleo]]*(VLOOKUP(Tabela3[[#This Row],[Data]],CompraOleo[],3,TRUE))*1.05,0)</f>
        <v>144.70200223117982</v>
      </c>
      <c r="AA1313" s="47">
        <f ca="1">(Tabela3[[#This Row],[Custo Oleo]]+Tabela3[[#This Row],[Custo Aluminio]]+Tabela3[[#This Row],[Custo M.O. Total]]+Tabela3[[#This Row],[Custo Machos]])</f>
        <v>1906.4230937589577</v>
      </c>
      <c r="AB1313" s="47">
        <f ca="1">Tabela3[[#This Row],[Custo Total]]*Tabela3[[#This Row],[% Perda]]</f>
        <v>0</v>
      </c>
      <c r="AC1313" s="40">
        <f>IFERROR(VLOOKUP(Tabela3[[#This Row],[Produto]],Tabela2[],2,0),0)</f>
        <v>4</v>
      </c>
      <c r="AD1313" s="48">
        <f>IFERROR(VLOOKUP(Tabela3[[#This Row],[Produto]],Tabela2[],3,0),0)</f>
        <v>0.33200000000000002</v>
      </c>
      <c r="AE1313" s="48">
        <f>IFERROR(VLOOKUP(Tabela3[[#This Row],[Produto]],Tabela2[],4,0),0)</f>
        <v>2.2999999999999998</v>
      </c>
      <c r="AF1313" s="48">
        <f>IFERROR(VLOOKUP(Tabela3[[#This Row],[Produto]],Tabela2[],5,0),0)</f>
        <v>0.8747999999999998</v>
      </c>
      <c r="AG1313" s="48">
        <f>IFERROR(VLOOKUP(Tabela3[[#This Row],[Produto]],Tabela2[],6,0),0)</f>
        <v>0</v>
      </c>
      <c r="AH1313" s="40">
        <f>IFERROR(VLOOKUP(Tabela3[[#This Row],[Produto]],Tabela2[],7,0),0)</f>
        <v>0</v>
      </c>
      <c r="AI1313" s="40">
        <f>IFERROR(VLOOKUP(Tabela3[[#This Row],[Produto]],Tabela2[],8,0),0)</f>
        <v>0</v>
      </c>
      <c r="AJ1313" s="35">
        <f ca="1">IFERROR(VLOOKUP(Tabela3[[#This Row],[Produto]],Tabela2[],13,0),0)</f>
        <v>15.600000000000001</v>
      </c>
      <c r="AK1313" s="48" t="str">
        <f>IFERROR(VLOOKUP(Tabela3[[#This Row],[Produto]],Tabela2[],14,0),0)</f>
        <v>Senun</v>
      </c>
      <c r="AL1313" s="40">
        <f>IFERROR(VLOOKUP(Tabela3[[#This Row],[Produto]],Tabela2[],15,0),0)</f>
        <v>3.5</v>
      </c>
      <c r="AM1313" s="36">
        <f ca="1">(Tabela3[[#This Row],[Custo Usinagem]]+Tabela3[[#This Row],[Custo / Pç]])*1.2</f>
        <v>14.791239409771988</v>
      </c>
      <c r="AN1313" s="36">
        <f ca="1">Tabela3[[#This Row],[Valor Mínimo Venda]]*1.15</f>
        <v>17.009925321237784</v>
      </c>
      <c r="AO1313" s="36">
        <f ca="1">Tabela3[[#This Row],[Tabela 1]]*1.08</f>
        <v>18.370719346936809</v>
      </c>
      <c r="AP1313" s="36">
        <f ca="1">Tabela3[[#This Row],[Tabela 2]]*1.15</f>
        <v>21.126327248977329</v>
      </c>
    </row>
    <row r="1314" spans="1:42">
      <c r="A1314" s="9">
        <v>46182</v>
      </c>
      <c r="B1314" s="9" t="s">
        <v>247</v>
      </c>
      <c r="C1314" s="14">
        <v>9809</v>
      </c>
      <c r="D1314" s="6" t="s">
        <v>44</v>
      </c>
      <c r="E1314" s="6" t="s">
        <v>47</v>
      </c>
      <c r="F1314" s="6">
        <v>40</v>
      </c>
      <c r="G1314" s="15">
        <v>0.18333333333333332</v>
      </c>
      <c r="H1314" s="16">
        <v>0</v>
      </c>
      <c r="I1314" s="35">
        <f ca="1">IFERROR(Tabela3[[#This Row],[Custo Total]]/Tabela3[[#This Row],[Aluminio Util]],0)</f>
        <v>26.995170624709562</v>
      </c>
      <c r="J1314" s="35">
        <f ca="1">Tabela3[[#This Row],[Custo Total]]/Tabela3[[#This Row],[Realizado]]</f>
        <v>8.0985511874128697</v>
      </c>
      <c r="K1314" s="37">
        <f>IFERROR(Tabela3[[#This Row],[Qtde Cx Produzida]]/Tabela3[[#This Row],[Tempo]]/24,0)</f>
        <v>9.0909090909090917</v>
      </c>
      <c r="L1314" s="37">
        <f>Tabela3[[#This Row],[Qtde Cx Produzida]]*Tabela3[[#This Row],[Qdt Peça Placa]]</f>
        <v>160</v>
      </c>
      <c r="M1314" s="37">
        <f>Tabela3[[#This Row],[Previsto]]-Tabela3[[#This Row],[Perda Pçs]]</f>
        <v>160</v>
      </c>
      <c r="N1314" s="38">
        <f>IFERROR(Tabela3[[#This Row],[Perda Pçs]]/Tabela3[[#This Row],[Previsto]],0)</f>
        <v>0</v>
      </c>
      <c r="O1314" s="39">
        <f>IFERROR(IF(Tabela3[[#This Row],[Qtde Cx Produzida]] &lt;&gt; 0, Tabela3[[#This Row],[Tempo]] / Tabela3[[#This Row],[Qtde Cx Produzida]], 0),0)</f>
        <v>4.5833333333333334E-3</v>
      </c>
      <c r="P1314" s="57">
        <f>IFERROR(Tabela3[[#This Row],[Perda Pçs]]/Tabela3[[#This Row],[Qdt Peça Placa]],0)</f>
        <v>0</v>
      </c>
      <c r="Q1314" s="37">
        <f>IFERROR(Tabela3[[#This Row],[Realizado]]*Tabela3[[#This Row],[Peso Util/Pç]],0)</f>
        <v>48</v>
      </c>
      <c r="R1314" s="37">
        <f>IFERROR(Tabela3[[#This Row],[Peso Total Galho]]*Tabela3[[#This Row],[Qtde Cx Produzida]]*1.055,0)</f>
        <v>97.059999999999988</v>
      </c>
      <c r="S1314" s="37">
        <f>(Tabela3[[#This Row],[Aluminio Bruto]]-Tabela3[[#This Row],[Aluminio Util]])*0.9</f>
        <v>44.153999999999989</v>
      </c>
      <c r="T1314" s="37">
        <f>Tabela3[[#This Row],[Aluminio Bruto]]/OleoKGAluminio</f>
        <v>40.833016502625696</v>
      </c>
      <c r="U1314" s="35">
        <f>IFERROR((VLOOKUP(Tabela3[[#This Row],[Moldador]],Tabela1[],5,)+(VLOOKUP(Tabela3[[#This Row],[Ajudante]],Tabela1[],5,))*3.5),0)</f>
        <v>99.95034583333333</v>
      </c>
      <c r="V1314" s="35">
        <f>IFERROR(Tabela3[[#This Row],[Custo M.O. / H]]/((Tabela3[[#This Row],[Realizado]]/Tabela3[[#This Row],[Qdt Peça Placa]])/Tabela3[[#This Row],[Tempo]]/24),)</f>
        <v>10.994538041666665</v>
      </c>
      <c r="W1314" s="35">
        <f>Tabela3[[#This Row],[Custo / Cx Moldada]]*Tabela3[[#This Row],[Qtde Cx Produzida]]</f>
        <v>439.78152166666661</v>
      </c>
      <c r="X1314" s="35">
        <f ca="1">Tabela3[[#This Row],[Aluminio Util]]*Tabela3[[#This Row],[Custo/Kg]]</f>
        <v>748.80000000000007</v>
      </c>
      <c r="Y1314" s="35">
        <f>IFERROR(VLOOKUP(Tabela3[[#This Row],[Data]],Tabela461213[],2,1)*(Tabela3[[#This Row],[Qtde Cx Produzida]]*Tabela3[[#This Row],[Qde macho / CX]]*Tabela3[[#This Row],[Peso Macho]]),)</f>
        <v>0</v>
      </c>
      <c r="Z1314" s="35">
        <f>IFERROR(Tabela3[[#This Row],[Qtde Oleo]]*(VLOOKUP(Tabela3[[#This Row],[Data]],CompraOleo[],3,TRUE))*1.05,0)</f>
        <v>107.18666831939245</v>
      </c>
      <c r="AA1314" s="47">
        <f ca="1">(Tabela3[[#This Row],[Custo Oleo]]+Tabela3[[#This Row],[Custo Aluminio]]+Tabela3[[#This Row],[Custo M.O. Total]]+Tabela3[[#This Row],[Custo Machos]])</f>
        <v>1295.768189986059</v>
      </c>
      <c r="AB1314" s="47">
        <f ca="1">Tabela3[[#This Row],[Custo Total]]*Tabela3[[#This Row],[% Perda]]</f>
        <v>0</v>
      </c>
      <c r="AC1314" s="40">
        <f>IFERROR(VLOOKUP(Tabela3[[#This Row],[Produto]],Tabela2[],2,0),0)</f>
        <v>4</v>
      </c>
      <c r="AD1314" s="48">
        <f>IFERROR(VLOOKUP(Tabela3[[#This Row],[Produto]],Tabela2[],3,0),0)</f>
        <v>0.3</v>
      </c>
      <c r="AE1314" s="48">
        <f>IFERROR(VLOOKUP(Tabela3[[#This Row],[Produto]],Tabela2[],4,0),0)</f>
        <v>2.2999999999999998</v>
      </c>
      <c r="AF1314" s="48">
        <f>IFERROR(VLOOKUP(Tabela3[[#This Row],[Produto]],Tabela2[],5,0),0)</f>
        <v>0.98999999999999988</v>
      </c>
      <c r="AG1314" s="48">
        <f>IFERROR(VLOOKUP(Tabela3[[#This Row],[Produto]],Tabela2[],6,0),0)</f>
        <v>0</v>
      </c>
      <c r="AH1314" s="40">
        <f>IFERROR(VLOOKUP(Tabela3[[#This Row],[Produto]],Tabela2[],7,0),0)</f>
        <v>0</v>
      </c>
      <c r="AI1314" s="40">
        <f>IFERROR(VLOOKUP(Tabela3[[#This Row],[Produto]],Tabela2[],8,0),0)</f>
        <v>0</v>
      </c>
      <c r="AJ1314" s="35">
        <f ca="1">IFERROR(VLOOKUP(Tabela3[[#This Row],[Produto]],Tabela2[],13,0),0)</f>
        <v>15.600000000000001</v>
      </c>
      <c r="AK1314" s="48" t="str">
        <f>IFERROR(VLOOKUP(Tabela3[[#This Row],[Produto]],Tabela2[],14,0),0)</f>
        <v>Senun</v>
      </c>
      <c r="AL1314" s="40">
        <f>IFERROR(VLOOKUP(Tabela3[[#This Row],[Produto]],Tabela2[],15,0),0)</f>
        <v>3.5</v>
      </c>
      <c r="AM1314" s="36">
        <f ca="1">(Tabela3[[#This Row],[Custo Usinagem]]+Tabela3[[#This Row],[Custo / Pç]])*1.2</f>
        <v>13.918261424895443</v>
      </c>
      <c r="AN1314" s="36">
        <f ca="1">Tabela3[[#This Row],[Valor Mínimo Venda]]*1.15</f>
        <v>16.006000638629757</v>
      </c>
      <c r="AO1314" s="36">
        <f ca="1">Tabela3[[#This Row],[Tabela 1]]*1.08</f>
        <v>17.28648068972014</v>
      </c>
      <c r="AP1314" s="36">
        <f ca="1">Tabela3[[#This Row],[Tabela 2]]*1.15</f>
        <v>19.87945279317816</v>
      </c>
    </row>
    <row r="1315" spans="1:42">
      <c r="A1315" s="9">
        <v>46182</v>
      </c>
      <c r="B1315" s="9" t="s">
        <v>245</v>
      </c>
      <c r="C1315" s="14">
        <v>9806</v>
      </c>
      <c r="D1315" s="6" t="s">
        <v>46</v>
      </c>
      <c r="E1315" s="6" t="s">
        <v>44</v>
      </c>
      <c r="F1315" s="6">
        <v>2</v>
      </c>
      <c r="G1315" s="15">
        <v>9.7222222222222224E-3</v>
      </c>
      <c r="H1315" s="16">
        <v>0</v>
      </c>
      <c r="I1315" s="35">
        <f ca="1">IFERROR(Tabela3[[#This Row],[Custo Total]]/Tabela3[[#This Row],[Aluminio Util]],0)</f>
        <v>28.695400382518685</v>
      </c>
      <c r="J1315" s="35">
        <f ca="1">Tabela3[[#This Row],[Custo Total]]/Tabela3[[#This Row],[Realizado]]</f>
        <v>9.5268729269962034</v>
      </c>
      <c r="K1315" s="37">
        <f>IFERROR(Tabela3[[#This Row],[Qtde Cx Produzida]]/Tabela3[[#This Row],[Tempo]]/24,0)</f>
        <v>8.5714285714285712</v>
      </c>
      <c r="L1315" s="37">
        <f>Tabela3[[#This Row],[Qtde Cx Produzida]]*Tabela3[[#This Row],[Qdt Peça Placa]]</f>
        <v>8</v>
      </c>
      <c r="M1315" s="37">
        <f>Tabela3[[#This Row],[Previsto]]-Tabela3[[#This Row],[Perda Pçs]]</f>
        <v>8</v>
      </c>
      <c r="N1315" s="38">
        <f>IFERROR(Tabela3[[#This Row],[Perda Pçs]]/Tabela3[[#This Row],[Previsto]],0)</f>
        <v>0</v>
      </c>
      <c r="O1315" s="39">
        <f>IFERROR(IF(Tabela3[[#This Row],[Qtde Cx Produzida]] &lt;&gt; 0, Tabela3[[#This Row],[Tempo]] / Tabela3[[#This Row],[Qtde Cx Produzida]], 0),0)</f>
        <v>4.8611111111111112E-3</v>
      </c>
      <c r="P1315" s="57">
        <f>IFERROR(Tabela3[[#This Row],[Perda Pçs]]/Tabela3[[#This Row],[Qdt Peça Placa]],0)</f>
        <v>0</v>
      </c>
      <c r="Q1315" s="37">
        <f>IFERROR(Tabela3[[#This Row],[Realizado]]*Tabela3[[#This Row],[Peso Util/Pç]],0)</f>
        <v>2.6560000000000001</v>
      </c>
      <c r="R1315" s="37">
        <f>IFERROR(Tabela3[[#This Row],[Peso Total Galho]]*Tabela3[[#This Row],[Qtde Cx Produzida]]*1.055,0)</f>
        <v>4.8529999999999998</v>
      </c>
      <c r="S1315" s="37">
        <f>(Tabela3[[#This Row],[Aluminio Bruto]]-Tabela3[[#This Row],[Aluminio Util]])*0.9</f>
        <v>1.9772999999999996</v>
      </c>
      <c r="T1315" s="37">
        <f>Tabela3[[#This Row],[Aluminio Bruto]]/OleoKGAluminio</f>
        <v>2.0416508251312853</v>
      </c>
      <c r="U1315" s="35">
        <f>IFERROR((VLOOKUP(Tabela3[[#This Row],[Moldador]],Tabela1[],5,)+(VLOOKUP(Tabela3[[#This Row],[Ajudante]],Tabela1[],5,))*3.5),0)</f>
        <v>126.0945</v>
      </c>
      <c r="V1315" s="35">
        <f>IFERROR(Tabela3[[#This Row],[Custo M.O. / H]]/((Tabela3[[#This Row],[Realizado]]/Tabela3[[#This Row],[Qdt Peça Placa]])/Tabela3[[#This Row],[Tempo]]/24),)</f>
        <v>14.711024999999999</v>
      </c>
      <c r="W1315" s="35">
        <f>Tabela3[[#This Row],[Custo / Cx Moldada]]*Tabela3[[#This Row],[Qtde Cx Produzida]]</f>
        <v>29.422049999999999</v>
      </c>
      <c r="X1315" s="35">
        <f ca="1">Tabela3[[#This Row],[Aluminio Util]]*Tabela3[[#This Row],[Custo/Kg]]</f>
        <v>41.433600000000006</v>
      </c>
      <c r="Y1315" s="35">
        <f>IFERROR(VLOOKUP(Tabela3[[#This Row],[Data]],Tabela461213[],2,1)*(Tabela3[[#This Row],[Qtde Cx Produzida]]*Tabela3[[#This Row],[Qde macho / CX]]*Tabela3[[#This Row],[Peso Macho]]),)</f>
        <v>0</v>
      </c>
      <c r="Z1315" s="35">
        <f>IFERROR(Tabela3[[#This Row],[Qtde Oleo]]*(VLOOKUP(Tabela3[[#This Row],[Data]],CompraOleo[],3,TRUE))*1.05,0)</f>
        <v>5.3593334159696235</v>
      </c>
      <c r="AA1315" s="47">
        <f ca="1">(Tabela3[[#This Row],[Custo Oleo]]+Tabela3[[#This Row],[Custo Aluminio]]+Tabela3[[#This Row],[Custo M.O. Total]]+Tabela3[[#This Row],[Custo Machos]])</f>
        <v>76.214983415969627</v>
      </c>
      <c r="AB1315" s="47">
        <f ca="1">Tabela3[[#This Row],[Custo Total]]*Tabela3[[#This Row],[% Perda]]</f>
        <v>0</v>
      </c>
      <c r="AC1315" s="40">
        <f>IFERROR(VLOOKUP(Tabela3[[#This Row],[Produto]],Tabela2[],2,0),0)</f>
        <v>4</v>
      </c>
      <c r="AD1315" s="48">
        <f>IFERROR(VLOOKUP(Tabela3[[#This Row],[Produto]],Tabela2[],3,0),0)</f>
        <v>0.33200000000000002</v>
      </c>
      <c r="AE1315" s="48">
        <f>IFERROR(VLOOKUP(Tabela3[[#This Row],[Produto]],Tabela2[],4,0),0)</f>
        <v>2.2999999999999998</v>
      </c>
      <c r="AF1315" s="48">
        <f>IFERROR(VLOOKUP(Tabela3[[#This Row],[Produto]],Tabela2[],5,0),0)</f>
        <v>0.8747999999999998</v>
      </c>
      <c r="AG1315" s="48">
        <f>IFERROR(VLOOKUP(Tabela3[[#This Row],[Produto]],Tabela2[],6,0),0)</f>
        <v>0</v>
      </c>
      <c r="AH1315" s="40">
        <f>IFERROR(VLOOKUP(Tabela3[[#This Row],[Produto]],Tabela2[],7,0),0)</f>
        <v>0</v>
      </c>
      <c r="AI1315" s="40">
        <f>IFERROR(VLOOKUP(Tabela3[[#This Row],[Produto]],Tabela2[],8,0),0)</f>
        <v>0</v>
      </c>
      <c r="AJ1315" s="35">
        <f ca="1">IFERROR(VLOOKUP(Tabela3[[#This Row],[Produto]],Tabela2[],13,0),0)</f>
        <v>15.600000000000001</v>
      </c>
      <c r="AK1315" s="48" t="str">
        <f>IFERROR(VLOOKUP(Tabela3[[#This Row],[Produto]],Tabela2[],14,0),0)</f>
        <v>Senun</v>
      </c>
      <c r="AL1315" s="40">
        <f>IFERROR(VLOOKUP(Tabela3[[#This Row],[Produto]],Tabela2[],15,0),0)</f>
        <v>3.5</v>
      </c>
      <c r="AM1315" s="36">
        <f ca="1">(Tabela3[[#This Row],[Custo Usinagem]]+Tabela3[[#This Row],[Custo / Pç]])*1.2</f>
        <v>15.632247512395443</v>
      </c>
      <c r="AN1315" s="36">
        <f ca="1">Tabela3[[#This Row],[Valor Mínimo Venda]]*1.15</f>
        <v>17.977084639254759</v>
      </c>
      <c r="AO1315" s="36">
        <f ca="1">Tabela3[[#This Row],[Tabela 1]]*1.08</f>
        <v>19.41525141039514</v>
      </c>
      <c r="AP1315" s="36">
        <f ca="1">Tabela3[[#This Row],[Tabela 2]]*1.15</f>
        <v>22.327539121954409</v>
      </c>
    </row>
    <row r="1316" spans="1:42">
      <c r="A1316" s="9">
        <v>46182</v>
      </c>
      <c r="B1316" s="6" t="s">
        <v>241</v>
      </c>
      <c r="C1316" s="14">
        <v>9814</v>
      </c>
      <c r="D1316" s="6" t="s">
        <v>46</v>
      </c>
      <c r="E1316" s="6" t="s">
        <v>44</v>
      </c>
      <c r="F1316" s="6">
        <v>15</v>
      </c>
      <c r="G1316" s="15">
        <v>8.3333333333333329E-2</v>
      </c>
      <c r="H1316" s="16">
        <v>0</v>
      </c>
      <c r="I1316" s="35">
        <f ca="1">IFERROR(Tabela3[[#This Row],[Custo Total]]/Tabela3[[#This Row],[Aluminio Util]],0)</f>
        <v>24.523599223301993</v>
      </c>
      <c r="J1316" s="35">
        <f ca="1">Tabela3[[#This Row],[Custo Total]]/Tabela3[[#This Row],[Realizado]]</f>
        <v>15.032966323884123</v>
      </c>
      <c r="K1316" s="37">
        <f>IFERROR(Tabela3[[#This Row],[Qtde Cx Produzida]]/Tabela3[[#This Row],[Tempo]]/24,0)</f>
        <v>7.5</v>
      </c>
      <c r="L1316" s="37">
        <f>Tabela3[[#This Row],[Qtde Cx Produzida]]*Tabela3[[#This Row],[Qdt Peça Placa]]</f>
        <v>60</v>
      </c>
      <c r="M1316" s="37">
        <f>Tabela3[[#This Row],[Previsto]]-Tabela3[[#This Row],[Perda Pçs]]</f>
        <v>60</v>
      </c>
      <c r="N1316" s="38">
        <f>IFERROR(Tabela3[[#This Row],[Perda Pçs]]/Tabela3[[#This Row],[Previsto]],0)</f>
        <v>0</v>
      </c>
      <c r="O1316" s="39">
        <f>IFERROR(IF(Tabela3[[#This Row],[Qtde Cx Produzida]] &lt;&gt; 0, Tabela3[[#This Row],[Tempo]] / Tabela3[[#This Row],[Qtde Cx Produzida]], 0),0)</f>
        <v>5.5555555555555549E-3</v>
      </c>
      <c r="P1316" s="57">
        <f>IFERROR(Tabela3[[#This Row],[Perda Pçs]]/Tabela3[[#This Row],[Qdt Peça Placa]],0)</f>
        <v>0</v>
      </c>
      <c r="Q1316" s="37">
        <f>IFERROR(Tabela3[[#This Row],[Realizado]]*Tabela3[[#This Row],[Peso Util/Pç]],0)</f>
        <v>36.78</v>
      </c>
      <c r="R1316" s="37">
        <f>IFERROR(Tabela3[[#This Row],[Peso Total Galho]]*Tabela3[[#This Row],[Qtde Cx Produzida]]*1.055,0)</f>
        <v>68.83874999999999</v>
      </c>
      <c r="S1316" s="37">
        <f>(Tabela3[[#This Row],[Aluminio Bruto]]-Tabela3[[#This Row],[Aluminio Util]])*0.9</f>
        <v>28.85287499999999</v>
      </c>
      <c r="T1316" s="37">
        <f>Tabela3[[#This Row],[Aluminio Bruto]]/OleoKGAluminio</f>
        <v>28.960373117351381</v>
      </c>
      <c r="U1316" s="35">
        <f>IFERROR((VLOOKUP(Tabela3[[#This Row],[Moldador]],Tabela1[],5,)+(VLOOKUP(Tabela3[[#This Row],[Ajudante]],Tabela1[],5,))*3.5),0)</f>
        <v>126.0945</v>
      </c>
      <c r="V1316" s="35">
        <f>IFERROR(Tabela3[[#This Row],[Custo M.O. / H]]/((Tabela3[[#This Row],[Realizado]]/Tabela3[[#This Row],[Qdt Peça Placa]])/Tabela3[[#This Row],[Tempo]]/24),)</f>
        <v>16.8126</v>
      </c>
      <c r="W1316" s="35">
        <f>Tabela3[[#This Row],[Custo / Cx Moldada]]*Tabela3[[#This Row],[Qtde Cx Produzida]]</f>
        <v>252.18899999999999</v>
      </c>
      <c r="X1316" s="35">
        <f ca="1">Tabela3[[#This Row],[Aluminio Util]]*Tabela3[[#This Row],[Custo/Kg]]</f>
        <v>573.76800000000003</v>
      </c>
      <c r="Y1316" s="35">
        <f>IFERROR(VLOOKUP(Tabela3[[#This Row],[Data]],Tabela461213[],2,1)*(Tabela3[[#This Row],[Qtde Cx Produzida]]*Tabela3[[#This Row],[Qde macho / CX]]*Tabela3[[#This Row],[Peso Macho]]),)</f>
        <v>0</v>
      </c>
      <c r="Z1316" s="35">
        <f>IFERROR(Tabela3[[#This Row],[Qtde Oleo]]*(VLOOKUP(Tabela3[[#This Row],[Data]],CompraOleo[],3,TRUE))*1.05,0)</f>
        <v>76.020979433047373</v>
      </c>
      <c r="AA1316" s="47">
        <f ca="1">(Tabela3[[#This Row],[Custo Oleo]]+Tabela3[[#This Row],[Custo Aluminio]]+Tabela3[[#This Row],[Custo M.O. Total]]+Tabela3[[#This Row],[Custo Machos]])</f>
        <v>901.97797943304738</v>
      </c>
      <c r="AB1316" s="47">
        <f ca="1">Tabela3[[#This Row],[Custo Total]]*Tabela3[[#This Row],[% Perda]]</f>
        <v>0</v>
      </c>
      <c r="AC1316" s="40">
        <f>IFERROR(VLOOKUP(Tabela3[[#This Row],[Produto]],Tabela2[],2,0),0)</f>
        <v>4</v>
      </c>
      <c r="AD1316" s="48">
        <f>IFERROR(VLOOKUP(Tabela3[[#This Row],[Produto]],Tabela2[],3,0),0)</f>
        <v>0.61299999999999999</v>
      </c>
      <c r="AE1316" s="48">
        <f>IFERROR(VLOOKUP(Tabela3[[#This Row],[Produto]],Tabela2[],4,0),0)</f>
        <v>4.3499999999999996</v>
      </c>
      <c r="AF1316" s="48">
        <f>IFERROR(VLOOKUP(Tabela3[[#This Row],[Produto]],Tabela2[],5,0),0)</f>
        <v>1.7081999999999997</v>
      </c>
      <c r="AG1316" s="48">
        <f>IFERROR(VLOOKUP(Tabela3[[#This Row],[Produto]],Tabela2[],6,0),0)</f>
        <v>0</v>
      </c>
      <c r="AH1316" s="40">
        <f>IFERROR(VLOOKUP(Tabela3[[#This Row],[Produto]],Tabela2[],7,0),0)</f>
        <v>0</v>
      </c>
      <c r="AI1316" s="40">
        <f>IFERROR(VLOOKUP(Tabela3[[#This Row],[Produto]],Tabela2[],8,0),0)</f>
        <v>0</v>
      </c>
      <c r="AJ1316" s="35">
        <f ca="1">IFERROR(VLOOKUP(Tabela3[[#This Row],[Produto]],Tabela2[],13,0),0)</f>
        <v>15.600000000000001</v>
      </c>
      <c r="AK1316" s="48" t="str">
        <f>IFERROR(VLOOKUP(Tabela3[[#This Row],[Produto]],Tabela2[],14,0),0)</f>
        <v>Senun</v>
      </c>
      <c r="AL1316" s="40">
        <f>IFERROR(VLOOKUP(Tabela3[[#This Row],[Produto]],Tabela2[],15,0),0)</f>
        <v>4</v>
      </c>
      <c r="AM1316" s="36">
        <f ca="1">(Tabela3[[#This Row],[Custo Usinagem]]+Tabela3[[#This Row],[Custo / Pç]])*1.2</f>
        <v>22.839559588660951</v>
      </c>
      <c r="AN1316" s="36">
        <f ca="1">Tabela3[[#This Row],[Valor Mínimo Venda]]*1.15</f>
        <v>26.265493526960093</v>
      </c>
      <c r="AO1316" s="36">
        <f ca="1">Tabela3[[#This Row],[Tabela 1]]*1.08</f>
        <v>28.366733009116903</v>
      </c>
      <c r="AP1316" s="36">
        <f ca="1">Tabela3[[#This Row],[Tabela 2]]*1.15</f>
        <v>32.621742960484433</v>
      </c>
    </row>
    <row r="1317" spans="1:42">
      <c r="A1317" s="9">
        <v>46182</v>
      </c>
      <c r="B1317" s="6" t="s">
        <v>241</v>
      </c>
      <c r="C1317" s="14">
        <v>9814</v>
      </c>
      <c r="D1317" s="6" t="s">
        <v>44</v>
      </c>
      <c r="E1317" s="6" t="s">
        <v>47</v>
      </c>
      <c r="F1317" s="6">
        <v>13</v>
      </c>
      <c r="G1317" s="15">
        <v>8.2638888888888887E-2</v>
      </c>
      <c r="H1317" s="16">
        <v>0</v>
      </c>
      <c r="I1317" s="35">
        <f ca="1">IFERROR(Tabela3[[#This Row],[Custo Total]]/Tabela3[[#This Row],[Aluminio Util]],0)</f>
        <v>23.885848331390982</v>
      </c>
      <c r="J1317" s="35">
        <f ca="1">Tabela3[[#This Row],[Custo Total]]/Tabela3[[#This Row],[Realizado]]</f>
        <v>14.642025027142669</v>
      </c>
      <c r="K1317" s="37">
        <f>IFERROR(Tabela3[[#This Row],[Qtde Cx Produzida]]/Tabela3[[#This Row],[Tempo]]/24,0)</f>
        <v>6.5546218487394965</v>
      </c>
      <c r="L1317" s="37">
        <f>Tabela3[[#This Row],[Qtde Cx Produzida]]*Tabela3[[#This Row],[Qdt Peça Placa]]</f>
        <v>52</v>
      </c>
      <c r="M1317" s="37">
        <f>Tabela3[[#This Row],[Previsto]]-Tabela3[[#This Row],[Perda Pçs]]</f>
        <v>52</v>
      </c>
      <c r="N1317" s="38">
        <f>IFERROR(Tabela3[[#This Row],[Perda Pçs]]/Tabela3[[#This Row],[Previsto]],0)</f>
        <v>0</v>
      </c>
      <c r="O1317" s="39">
        <f>IFERROR(IF(Tabela3[[#This Row],[Qtde Cx Produzida]] &lt;&gt; 0, Tabela3[[#This Row],[Tempo]] / Tabela3[[#This Row],[Qtde Cx Produzida]], 0),0)</f>
        <v>6.3568376068376068E-3</v>
      </c>
      <c r="P1317" s="57">
        <f>IFERROR(Tabela3[[#This Row],[Perda Pçs]]/Tabela3[[#This Row],[Qdt Peça Placa]],0)</f>
        <v>0</v>
      </c>
      <c r="Q1317" s="37">
        <f>IFERROR(Tabela3[[#This Row],[Realizado]]*Tabela3[[#This Row],[Peso Util/Pç]],0)</f>
        <v>31.875999999999998</v>
      </c>
      <c r="R1317" s="37">
        <f>IFERROR(Tabela3[[#This Row],[Peso Total Galho]]*Tabela3[[#This Row],[Qtde Cx Produzida]]*1.055,0)</f>
        <v>59.660249999999991</v>
      </c>
      <c r="S1317" s="37">
        <f>(Tabela3[[#This Row],[Aluminio Bruto]]-Tabela3[[#This Row],[Aluminio Util]])*0.9</f>
        <v>25.005824999999994</v>
      </c>
      <c r="T1317" s="37">
        <f>Tabela3[[#This Row],[Aluminio Bruto]]/OleoKGAluminio</f>
        <v>25.098990035037861</v>
      </c>
      <c r="U1317" s="35">
        <f>IFERROR((VLOOKUP(Tabela3[[#This Row],[Moldador]],Tabela1[],5,)+(VLOOKUP(Tabela3[[#This Row],[Ajudante]],Tabela1[],5,))*3.5),0)</f>
        <v>99.95034583333333</v>
      </c>
      <c r="V1317" s="35">
        <f>IFERROR(Tabela3[[#This Row],[Custo M.O. / H]]/((Tabela3[[#This Row],[Realizado]]/Tabela3[[#This Row],[Qdt Peça Placa]])/Tabela3[[#This Row],[Tempo]]/24),)</f>
        <v>15.248834813034186</v>
      </c>
      <c r="W1317" s="35">
        <f>Tabela3[[#This Row],[Custo / Cx Moldada]]*Tabela3[[#This Row],[Qtde Cx Produzida]]</f>
        <v>198.23485256944443</v>
      </c>
      <c r="X1317" s="35">
        <f ca="1">Tabela3[[#This Row],[Aluminio Util]]*Tabela3[[#This Row],[Custo/Kg]]</f>
        <v>497.26560000000001</v>
      </c>
      <c r="Y1317" s="35">
        <f>IFERROR(VLOOKUP(Tabela3[[#This Row],[Data]],Tabela461213[],2,1)*(Tabela3[[#This Row],[Qtde Cx Produzida]]*Tabela3[[#This Row],[Qde macho / CX]]*Tabela3[[#This Row],[Peso Macho]]),)</f>
        <v>0</v>
      </c>
      <c r="Z1317" s="35">
        <f>IFERROR(Tabela3[[#This Row],[Qtde Oleo]]*(VLOOKUP(Tabela3[[#This Row],[Data]],CompraOleo[],3,TRUE))*1.05,0)</f>
        <v>65.884848841974389</v>
      </c>
      <c r="AA1317" s="47">
        <f ca="1">(Tabela3[[#This Row],[Custo Oleo]]+Tabela3[[#This Row],[Custo Aluminio]]+Tabela3[[#This Row],[Custo M.O. Total]]+Tabela3[[#This Row],[Custo Machos]])</f>
        <v>761.38530141141882</v>
      </c>
      <c r="AB1317" s="47">
        <f ca="1">Tabela3[[#This Row],[Custo Total]]*Tabela3[[#This Row],[% Perda]]</f>
        <v>0</v>
      </c>
      <c r="AC1317" s="40">
        <f>IFERROR(VLOOKUP(Tabela3[[#This Row],[Produto]],Tabela2[],2,0),0)</f>
        <v>4</v>
      </c>
      <c r="AD1317" s="48">
        <f>IFERROR(VLOOKUP(Tabela3[[#This Row],[Produto]],Tabela2[],3,0),0)</f>
        <v>0.61299999999999999</v>
      </c>
      <c r="AE1317" s="48">
        <f>IFERROR(VLOOKUP(Tabela3[[#This Row],[Produto]],Tabela2[],4,0),0)</f>
        <v>4.3499999999999996</v>
      </c>
      <c r="AF1317" s="48">
        <f>IFERROR(VLOOKUP(Tabela3[[#This Row],[Produto]],Tabela2[],5,0),0)</f>
        <v>1.7081999999999997</v>
      </c>
      <c r="AG1317" s="48">
        <f>IFERROR(VLOOKUP(Tabela3[[#This Row],[Produto]],Tabela2[],6,0),0)</f>
        <v>0</v>
      </c>
      <c r="AH1317" s="40">
        <f>IFERROR(VLOOKUP(Tabela3[[#This Row],[Produto]],Tabela2[],7,0),0)</f>
        <v>0</v>
      </c>
      <c r="AI1317" s="40">
        <f>IFERROR(VLOOKUP(Tabela3[[#This Row],[Produto]],Tabela2[],8,0),0)</f>
        <v>0</v>
      </c>
      <c r="AJ1317" s="35">
        <f ca="1">IFERROR(VLOOKUP(Tabela3[[#This Row],[Produto]],Tabela2[],13,0),0)</f>
        <v>15.600000000000001</v>
      </c>
      <c r="AK1317" s="48" t="str">
        <f>IFERROR(VLOOKUP(Tabela3[[#This Row],[Produto]],Tabela2[],14,0),0)</f>
        <v>Senun</v>
      </c>
      <c r="AL1317" s="40">
        <f>IFERROR(VLOOKUP(Tabela3[[#This Row],[Produto]],Tabela2[],15,0),0)</f>
        <v>4</v>
      </c>
      <c r="AM1317" s="36">
        <f ca="1">(Tabela3[[#This Row],[Custo Usinagem]]+Tabela3[[#This Row],[Custo / Pç]])*1.2</f>
        <v>22.370430032571203</v>
      </c>
      <c r="AN1317" s="36">
        <f ca="1">Tabela3[[#This Row],[Valor Mínimo Venda]]*1.15</f>
        <v>25.725994537456881</v>
      </c>
      <c r="AO1317" s="36">
        <f ca="1">Tabela3[[#This Row],[Tabela 1]]*1.08</f>
        <v>27.784074100453434</v>
      </c>
      <c r="AP1317" s="36">
        <f ca="1">Tabela3[[#This Row],[Tabela 2]]*1.15</f>
        <v>31.951685215521447</v>
      </c>
    </row>
    <row r="1318" spans="1:42">
      <c r="A1318" s="9">
        <v>46183</v>
      </c>
      <c r="B1318" s="6" t="s">
        <v>241</v>
      </c>
      <c r="C1318" s="14">
        <v>9814</v>
      </c>
      <c r="D1318" s="6" t="s">
        <v>46</v>
      </c>
      <c r="E1318" s="6" t="s">
        <v>50</v>
      </c>
      <c r="F1318" s="6">
        <v>22</v>
      </c>
      <c r="G1318" s="15">
        <v>0.1451388888888889</v>
      </c>
      <c r="H1318" s="16">
        <v>0</v>
      </c>
      <c r="I1318" s="35">
        <f ca="1">IFERROR(Tabela3[[#This Row],[Custo Total]]/Tabela3[[#This Row],[Aluminio Util]],0)</f>
        <v>24.121018237825286</v>
      </c>
      <c r="J1318" s="35">
        <f ca="1">Tabela3[[#This Row],[Custo Total]]/Tabela3[[#This Row],[Realizado]]</f>
        <v>14.786184179786902</v>
      </c>
      <c r="K1318" s="37">
        <f>IFERROR(Tabela3[[#This Row],[Qtde Cx Produzida]]/Tabela3[[#This Row],[Tempo]]/24,0)</f>
        <v>6.3157894736842097</v>
      </c>
      <c r="L1318" s="37">
        <f>Tabela3[[#This Row],[Qtde Cx Produzida]]*Tabela3[[#This Row],[Qdt Peça Placa]]</f>
        <v>88</v>
      </c>
      <c r="M1318" s="37">
        <f>Tabela3[[#This Row],[Previsto]]-Tabela3[[#This Row],[Perda Pçs]]</f>
        <v>88</v>
      </c>
      <c r="N1318" s="38">
        <f>IFERROR(Tabela3[[#This Row],[Perda Pçs]]/Tabela3[[#This Row],[Previsto]],0)</f>
        <v>0</v>
      </c>
      <c r="O1318" s="39">
        <f>IFERROR(IF(Tabela3[[#This Row],[Qtde Cx Produzida]] &lt;&gt; 0, Tabela3[[#This Row],[Tempo]] / Tabela3[[#This Row],[Qtde Cx Produzida]], 0),0)</f>
        <v>6.5972222222222231E-3</v>
      </c>
      <c r="P1318" s="57">
        <f>IFERROR(Tabela3[[#This Row],[Perda Pçs]]/Tabela3[[#This Row],[Qdt Peça Placa]],0)</f>
        <v>0</v>
      </c>
      <c r="Q1318" s="37">
        <f>IFERROR(Tabela3[[#This Row],[Realizado]]*Tabela3[[#This Row],[Peso Util/Pç]],0)</f>
        <v>53.944000000000003</v>
      </c>
      <c r="R1318" s="37">
        <f>IFERROR(Tabela3[[#This Row],[Peso Total Galho]]*Tabela3[[#This Row],[Qtde Cx Produzida]]*1.055,0)</f>
        <v>100.96349999999998</v>
      </c>
      <c r="S1318" s="37">
        <f>(Tabela3[[#This Row],[Aluminio Bruto]]-Tabela3[[#This Row],[Aluminio Util]])*0.9</f>
        <v>42.317549999999983</v>
      </c>
      <c r="T1318" s="37">
        <f>Tabela3[[#This Row],[Aluminio Bruto]]/OleoKGAluminio</f>
        <v>42.47521390544869</v>
      </c>
      <c r="U1318" s="35">
        <f>IFERROR((VLOOKUP(Tabela3[[#This Row],[Moldador]],Tabela1[],5,)+(VLOOKUP(Tabela3[[#This Row],[Ajudante]],Tabela1[],5,))*3.5),0)</f>
        <v>99.95034583333333</v>
      </c>
      <c r="V1318" s="35">
        <f>IFERROR(Tabela3[[#This Row],[Custo M.O. / H]]/((Tabela3[[#This Row],[Realizado]]/Tabela3[[#This Row],[Qdt Peça Placa]])/Tabela3[[#This Row],[Tempo]]/24),)</f>
        <v>15.825471423611113</v>
      </c>
      <c r="W1318" s="35">
        <f>Tabela3[[#This Row],[Custo / Cx Moldada]]*Tabela3[[#This Row],[Qtde Cx Produzida]]</f>
        <v>348.16037131944449</v>
      </c>
      <c r="X1318" s="35">
        <f ca="1">Tabela3[[#This Row],[Aluminio Util]]*Tabela3[[#This Row],[Custo/Kg]]</f>
        <v>841.52640000000008</v>
      </c>
      <c r="Y1318" s="35">
        <f>IFERROR(VLOOKUP(Tabela3[[#This Row],[Data]],Tabela461213[],2,1)*(Tabela3[[#This Row],[Qtde Cx Produzida]]*Tabela3[[#This Row],[Qde macho / CX]]*Tabela3[[#This Row],[Peso Macho]]),)</f>
        <v>0</v>
      </c>
      <c r="Z1318" s="35">
        <f>IFERROR(Tabela3[[#This Row],[Qtde Oleo]]*(VLOOKUP(Tabela3[[#This Row],[Data]],CompraOleo[],3,TRUE))*1.05,0)</f>
        <v>111.49743650180282</v>
      </c>
      <c r="AA1318" s="47">
        <f ca="1">(Tabela3[[#This Row],[Custo Oleo]]+Tabela3[[#This Row],[Custo Aluminio]]+Tabela3[[#This Row],[Custo M.O. Total]]+Tabela3[[#This Row],[Custo Machos]])</f>
        <v>1301.1842078212474</v>
      </c>
      <c r="AB1318" s="47">
        <f ca="1">Tabela3[[#This Row],[Custo Total]]*Tabela3[[#This Row],[% Perda]]</f>
        <v>0</v>
      </c>
      <c r="AC1318" s="40">
        <f>IFERROR(VLOOKUP(Tabela3[[#This Row],[Produto]],Tabela2[],2,0),0)</f>
        <v>4</v>
      </c>
      <c r="AD1318" s="48">
        <f>IFERROR(VLOOKUP(Tabela3[[#This Row],[Produto]],Tabela2[],3,0),0)</f>
        <v>0.61299999999999999</v>
      </c>
      <c r="AE1318" s="48">
        <f>IFERROR(VLOOKUP(Tabela3[[#This Row],[Produto]],Tabela2[],4,0),0)</f>
        <v>4.3499999999999996</v>
      </c>
      <c r="AF1318" s="48">
        <f>IFERROR(VLOOKUP(Tabela3[[#This Row],[Produto]],Tabela2[],5,0),0)</f>
        <v>1.7081999999999997</v>
      </c>
      <c r="AG1318" s="48">
        <f>IFERROR(VLOOKUP(Tabela3[[#This Row],[Produto]],Tabela2[],6,0),0)</f>
        <v>0</v>
      </c>
      <c r="AH1318" s="40">
        <f>IFERROR(VLOOKUP(Tabela3[[#This Row],[Produto]],Tabela2[],7,0),0)</f>
        <v>0</v>
      </c>
      <c r="AI1318" s="40">
        <f>IFERROR(VLOOKUP(Tabela3[[#This Row],[Produto]],Tabela2[],8,0),0)</f>
        <v>0</v>
      </c>
      <c r="AJ1318" s="35">
        <f ca="1">IFERROR(VLOOKUP(Tabela3[[#This Row],[Produto]],Tabela2[],13,0),0)</f>
        <v>15.600000000000001</v>
      </c>
      <c r="AK1318" s="48" t="str">
        <f>IFERROR(VLOOKUP(Tabela3[[#This Row],[Produto]],Tabela2[],14,0),0)</f>
        <v>Senun</v>
      </c>
      <c r="AL1318" s="40">
        <f>IFERROR(VLOOKUP(Tabela3[[#This Row],[Produto]],Tabela2[],15,0),0)</f>
        <v>4</v>
      </c>
      <c r="AM1318" s="36">
        <f ca="1">(Tabela3[[#This Row],[Custo Usinagem]]+Tabela3[[#This Row],[Custo / Pç]])*1.2</f>
        <v>22.543421015744279</v>
      </c>
      <c r="AN1318" s="36">
        <f ca="1">Tabela3[[#This Row],[Valor Mínimo Venda]]*1.15</f>
        <v>25.924934168105921</v>
      </c>
      <c r="AO1318" s="36">
        <f ca="1">Tabela3[[#This Row],[Tabela 1]]*1.08</f>
        <v>27.998928901554397</v>
      </c>
      <c r="AP1318" s="36">
        <f ca="1">Tabela3[[#This Row],[Tabela 2]]*1.15</f>
        <v>32.198768236787551</v>
      </c>
    </row>
    <row r="1319" spans="1:42">
      <c r="A1319" s="9">
        <v>46183</v>
      </c>
      <c r="B1319" s="9" t="s">
        <v>247</v>
      </c>
      <c r="C1319" s="14">
        <v>9809</v>
      </c>
      <c r="D1319" s="6" t="s">
        <v>44</v>
      </c>
      <c r="E1319" s="6" t="s">
        <v>47</v>
      </c>
      <c r="F1319" s="6">
        <v>28</v>
      </c>
      <c r="G1319" s="15">
        <v>0.13263888888888889</v>
      </c>
      <c r="H1319" s="16">
        <v>0</v>
      </c>
      <c r="I1319" s="35">
        <f ca="1">IFERROR(Tabela3[[#This Row],[Custo Total]]/Tabela3[[#This Row],[Aluminio Util]],0)</f>
        <v>27.302557600982716</v>
      </c>
      <c r="J1319" s="35">
        <f ca="1">Tabela3[[#This Row],[Custo Total]]/Tabela3[[#This Row],[Realizado]]</f>
        <v>8.1907672802948159</v>
      </c>
      <c r="K1319" s="37">
        <f>IFERROR(Tabela3[[#This Row],[Qtde Cx Produzida]]/Tabela3[[#This Row],[Tempo]]/24,0)</f>
        <v>8.7958115183246068</v>
      </c>
      <c r="L1319" s="37">
        <f>Tabela3[[#This Row],[Qtde Cx Produzida]]*Tabela3[[#This Row],[Qdt Peça Placa]]</f>
        <v>112</v>
      </c>
      <c r="M1319" s="37">
        <f>Tabela3[[#This Row],[Previsto]]-Tabela3[[#This Row],[Perda Pçs]]</f>
        <v>112</v>
      </c>
      <c r="N1319" s="38">
        <f>IFERROR(Tabela3[[#This Row],[Perda Pçs]]/Tabela3[[#This Row],[Previsto]],0)</f>
        <v>0</v>
      </c>
      <c r="O1319" s="39">
        <f>IFERROR(IF(Tabela3[[#This Row],[Qtde Cx Produzida]] &lt;&gt; 0, Tabela3[[#This Row],[Tempo]] / Tabela3[[#This Row],[Qtde Cx Produzida]], 0),0)</f>
        <v>4.7371031746031743E-3</v>
      </c>
      <c r="P1319" s="57">
        <f>IFERROR(Tabela3[[#This Row],[Perda Pçs]]/Tabela3[[#This Row],[Qdt Peça Placa]],0)</f>
        <v>0</v>
      </c>
      <c r="Q1319" s="37">
        <f>IFERROR(Tabela3[[#This Row],[Realizado]]*Tabela3[[#This Row],[Peso Util/Pç]],0)</f>
        <v>33.6</v>
      </c>
      <c r="R1319" s="37">
        <f>IFERROR(Tabela3[[#This Row],[Peso Total Galho]]*Tabela3[[#This Row],[Qtde Cx Produzida]]*1.055,0)</f>
        <v>67.941999999999993</v>
      </c>
      <c r="S1319" s="37">
        <f>(Tabela3[[#This Row],[Aluminio Bruto]]-Tabela3[[#This Row],[Aluminio Util]])*0.9</f>
        <v>30.907799999999995</v>
      </c>
      <c r="T1319" s="37">
        <f>Tabela3[[#This Row],[Aluminio Bruto]]/OleoKGAluminio</f>
        <v>28.583111551837991</v>
      </c>
      <c r="U1319" s="35">
        <f>IFERROR((VLOOKUP(Tabela3[[#This Row],[Moldador]],Tabela1[],5,)+(VLOOKUP(Tabela3[[#This Row],[Ajudante]],Tabela1[],5,))*3.5),0)</f>
        <v>99.95034583333333</v>
      </c>
      <c r="V1319" s="35">
        <f>IFERROR(Tabela3[[#This Row],[Custo M.O. / H]]/((Tabela3[[#This Row],[Realizado]]/Tabela3[[#This Row],[Qdt Peça Placa]])/Tabela3[[#This Row],[Tempo]]/24),)</f>
        <v>11.363402413194445</v>
      </c>
      <c r="W1319" s="35">
        <f>Tabela3[[#This Row],[Custo / Cx Moldada]]*Tabela3[[#This Row],[Qtde Cx Produzida]]</f>
        <v>318.17526756944443</v>
      </c>
      <c r="X1319" s="35">
        <f ca="1">Tabela3[[#This Row],[Aluminio Util]]*Tabela3[[#This Row],[Custo/Kg]]</f>
        <v>524.16000000000008</v>
      </c>
      <c r="Y1319" s="35">
        <f>IFERROR(VLOOKUP(Tabela3[[#This Row],[Data]],Tabela461213[],2,1)*(Tabela3[[#This Row],[Qtde Cx Produzida]]*Tabela3[[#This Row],[Qde macho / CX]]*Tabela3[[#This Row],[Peso Macho]]),)</f>
        <v>0</v>
      </c>
      <c r="Z1319" s="35">
        <f>IFERROR(Tabela3[[#This Row],[Qtde Oleo]]*(VLOOKUP(Tabela3[[#This Row],[Data]],CompraOleo[],3,TRUE))*1.05,0)</f>
        <v>75.030667823574731</v>
      </c>
      <c r="AA1319" s="47">
        <f ca="1">(Tabela3[[#This Row],[Custo Oleo]]+Tabela3[[#This Row],[Custo Aluminio]]+Tabela3[[#This Row],[Custo M.O. Total]]+Tabela3[[#This Row],[Custo Machos]])</f>
        <v>917.3659353930193</v>
      </c>
      <c r="AB1319" s="47">
        <f ca="1">Tabela3[[#This Row],[Custo Total]]*Tabela3[[#This Row],[% Perda]]</f>
        <v>0</v>
      </c>
      <c r="AC1319" s="40">
        <f>IFERROR(VLOOKUP(Tabela3[[#This Row],[Produto]],Tabela2[],2,0),0)</f>
        <v>4</v>
      </c>
      <c r="AD1319" s="48">
        <f>IFERROR(VLOOKUP(Tabela3[[#This Row],[Produto]],Tabela2[],3,0),0)</f>
        <v>0.3</v>
      </c>
      <c r="AE1319" s="48">
        <f>IFERROR(VLOOKUP(Tabela3[[#This Row],[Produto]],Tabela2[],4,0),0)</f>
        <v>2.2999999999999998</v>
      </c>
      <c r="AF1319" s="48">
        <f>IFERROR(VLOOKUP(Tabela3[[#This Row],[Produto]],Tabela2[],5,0),0)</f>
        <v>0.98999999999999988</v>
      </c>
      <c r="AG1319" s="48">
        <f>IFERROR(VLOOKUP(Tabela3[[#This Row],[Produto]],Tabela2[],6,0),0)</f>
        <v>0</v>
      </c>
      <c r="AH1319" s="40">
        <f>IFERROR(VLOOKUP(Tabela3[[#This Row],[Produto]],Tabela2[],7,0),0)</f>
        <v>0</v>
      </c>
      <c r="AI1319" s="40">
        <f>IFERROR(VLOOKUP(Tabela3[[#This Row],[Produto]],Tabela2[],8,0),0)</f>
        <v>0</v>
      </c>
      <c r="AJ1319" s="35">
        <f ca="1">IFERROR(VLOOKUP(Tabela3[[#This Row],[Produto]],Tabela2[],13,0),0)</f>
        <v>15.600000000000001</v>
      </c>
      <c r="AK1319" s="48" t="str">
        <f>IFERROR(VLOOKUP(Tabela3[[#This Row],[Produto]],Tabela2[],14,0),0)</f>
        <v>Senun</v>
      </c>
      <c r="AL1319" s="40">
        <f>IFERROR(VLOOKUP(Tabela3[[#This Row],[Produto]],Tabela2[],15,0),0)</f>
        <v>3.5</v>
      </c>
      <c r="AM1319" s="36">
        <f ca="1">(Tabela3[[#This Row],[Custo Usinagem]]+Tabela3[[#This Row],[Custo / Pç]])*1.2</f>
        <v>14.028920736353779</v>
      </c>
      <c r="AN1319" s="36">
        <f ca="1">Tabela3[[#This Row],[Valor Mínimo Venda]]*1.15</f>
        <v>16.133258846806843</v>
      </c>
      <c r="AO1319" s="36">
        <f ca="1">Tabela3[[#This Row],[Tabela 1]]*1.08</f>
        <v>17.423919554551393</v>
      </c>
      <c r="AP1319" s="36">
        <f ca="1">Tabela3[[#This Row],[Tabela 2]]*1.15</f>
        <v>20.0375074877341</v>
      </c>
    </row>
    <row r="1320" spans="1:42">
      <c r="A1320" s="9">
        <v>46183</v>
      </c>
      <c r="B1320" s="9" t="s">
        <v>240</v>
      </c>
      <c r="C1320" s="14">
        <v>9815</v>
      </c>
      <c r="D1320" s="6" t="s">
        <v>46</v>
      </c>
      <c r="E1320" s="6" t="s">
        <v>50</v>
      </c>
      <c r="F1320" s="6">
        <v>25</v>
      </c>
      <c r="G1320" s="15">
        <v>0.11319444444444444</v>
      </c>
      <c r="H1320" s="16"/>
      <c r="I1320" s="35">
        <f ca="1">IFERROR(Tabela3[[#This Row],[Custo Total]]/Tabela3[[#This Row],[Aluminio Util]],0)</f>
        <v>25.186881582307748</v>
      </c>
      <c r="J1320" s="35">
        <f ca="1">Tabela3[[#This Row],[Custo Total]]/Tabela3[[#This Row],[Realizado]]</f>
        <v>8.9917167248838652</v>
      </c>
      <c r="K1320" s="37">
        <f>IFERROR(Tabela3[[#This Row],[Qtde Cx Produzida]]/Tabela3[[#This Row],[Tempo]]/24,0)</f>
        <v>9.2024539877300615</v>
      </c>
      <c r="L1320" s="37">
        <f>Tabela3[[#This Row],[Qtde Cx Produzida]]*Tabela3[[#This Row],[Qdt Peça Placa]]</f>
        <v>100</v>
      </c>
      <c r="M1320" s="37">
        <f>Tabela3[[#This Row],[Previsto]]-Tabela3[[#This Row],[Perda Pçs]]</f>
        <v>100</v>
      </c>
      <c r="N1320" s="38">
        <f>IFERROR(Tabela3[[#This Row],[Perda Pçs]]/Tabela3[[#This Row],[Previsto]],0)</f>
        <v>0</v>
      </c>
      <c r="O1320" s="39">
        <f>IFERROR(IF(Tabela3[[#This Row],[Qtde Cx Produzida]] &lt;&gt; 0, Tabela3[[#This Row],[Tempo]] / Tabela3[[#This Row],[Qtde Cx Produzida]], 0),0)</f>
        <v>4.5277777777777781E-3</v>
      </c>
      <c r="P1320" s="57">
        <f>IFERROR(Tabela3[[#This Row],[Perda Pçs]]/Tabela3[[#This Row],[Qdt Peça Placa]],0)</f>
        <v>0</v>
      </c>
      <c r="Q1320" s="37">
        <f>IFERROR(Tabela3[[#This Row],[Realizado]]*Tabela3[[#This Row],[Peso Util/Pç]],0)</f>
        <v>35.699999999999996</v>
      </c>
      <c r="R1320" s="37">
        <f>IFERROR(Tabela3[[#This Row],[Peso Total Galho]]*Tabela3[[#This Row],[Qtde Cx Produzida]]*1.055,0)</f>
        <v>64.038499999999985</v>
      </c>
      <c r="S1320" s="37">
        <f>(Tabela3[[#This Row],[Aluminio Bruto]]-Tabela3[[#This Row],[Aluminio Util]])*0.9</f>
        <v>25.504649999999991</v>
      </c>
      <c r="T1320" s="37">
        <f>Tabela3[[#This Row],[Aluminio Bruto]]/OleoKGAluminio</f>
        <v>26.940914149014997</v>
      </c>
      <c r="U1320" s="35">
        <f>IFERROR((VLOOKUP(Tabela3[[#This Row],[Moldador]],Tabela1[],5,)+(VLOOKUP(Tabela3[[#This Row],[Ajudante]],Tabela1[],5,))*3.5),0)</f>
        <v>99.95034583333333</v>
      </c>
      <c r="V1320" s="35">
        <f>IFERROR(Tabela3[[#This Row],[Custo M.O. / H]]/((Tabela3[[#This Row],[Realizado]]/Tabela3[[#This Row],[Qdt Peça Placa]])/Tabela3[[#This Row],[Tempo]]/24),)</f>
        <v>10.861270913888887</v>
      </c>
      <c r="W1320" s="35">
        <f>Tabela3[[#This Row],[Custo / Cx Moldada]]*Tabela3[[#This Row],[Qtde Cx Produzida]]</f>
        <v>271.53177284722221</v>
      </c>
      <c r="X1320" s="35">
        <f ca="1">Tabela3[[#This Row],[Aluminio Util]]*Tabela3[[#This Row],[Custo/Kg]]</f>
        <v>556.91999999999996</v>
      </c>
      <c r="Y1320" s="35">
        <f>IFERROR(VLOOKUP(Tabela3[[#This Row],[Data]],Tabela461213[],2,1)*(Tabela3[[#This Row],[Qtde Cx Produzida]]*Tabela3[[#This Row],[Qde macho / CX]]*Tabela3[[#This Row],[Peso Macho]]),)</f>
        <v>0</v>
      </c>
      <c r="Z1320" s="35">
        <f>IFERROR(Tabela3[[#This Row],[Qtde Oleo]]*(VLOOKUP(Tabela3[[#This Row],[Data]],CompraOleo[],3,TRUE))*1.05,0)</f>
        <v>70.719899641164375</v>
      </c>
      <c r="AA1320" s="47">
        <f ca="1">(Tabela3[[#This Row],[Custo Oleo]]+Tabela3[[#This Row],[Custo Aluminio]]+Tabela3[[#This Row],[Custo M.O. Total]]+Tabela3[[#This Row],[Custo Machos]])</f>
        <v>899.17167248838655</v>
      </c>
      <c r="AB1320" s="47">
        <f ca="1">Tabela3[[#This Row],[Custo Total]]*Tabela3[[#This Row],[% Perda]]</f>
        <v>0</v>
      </c>
      <c r="AC1320" s="40">
        <f>IFERROR(VLOOKUP(Tabela3[[#This Row],[Produto]],Tabela2[],2,0),0)</f>
        <v>4</v>
      </c>
      <c r="AD1320" s="48">
        <f>IFERROR(VLOOKUP(Tabela3[[#This Row],[Produto]],Tabela2[],3,0),0)</f>
        <v>0.35699999999999998</v>
      </c>
      <c r="AE1320" s="48">
        <f>IFERROR(VLOOKUP(Tabela3[[#This Row],[Produto]],Tabela2[],4,0),0)</f>
        <v>2.4279999999999999</v>
      </c>
      <c r="AF1320" s="48">
        <f>IFERROR(VLOOKUP(Tabela3[[#This Row],[Produto]],Tabela2[],5,0),0)</f>
        <v>0.9</v>
      </c>
      <c r="AG1320" s="48">
        <f>IFERROR(VLOOKUP(Tabela3[[#This Row],[Produto]],Tabela2[],6,0),0)</f>
        <v>0</v>
      </c>
      <c r="AH1320" s="40">
        <f>IFERROR(VLOOKUP(Tabela3[[#This Row],[Produto]],Tabela2[],7,0),0)</f>
        <v>0</v>
      </c>
      <c r="AI1320" s="40">
        <f>IFERROR(VLOOKUP(Tabela3[[#This Row],[Produto]],Tabela2[],8,0),0)</f>
        <v>0</v>
      </c>
      <c r="AJ1320" s="35">
        <f ca="1">IFERROR(VLOOKUP(Tabela3[[#This Row],[Produto]],Tabela2[],13,0),0)</f>
        <v>15.600000000000001</v>
      </c>
      <c r="AK1320" s="48" t="str">
        <f>IFERROR(VLOOKUP(Tabela3[[#This Row],[Produto]],Tabela2[],14,0),0)</f>
        <v>Senun</v>
      </c>
      <c r="AL1320" s="40">
        <f>IFERROR(VLOOKUP(Tabela3[[#This Row],[Produto]],Tabela2[],15,0),0)</f>
        <v>4</v>
      </c>
      <c r="AM1320" s="36">
        <f ca="1">(Tabela3[[#This Row],[Custo Usinagem]]+Tabela3[[#This Row],[Custo / Pç]])*1.2</f>
        <v>15.590060069860638</v>
      </c>
      <c r="AN1320" s="36">
        <f ca="1">Tabela3[[#This Row],[Valor Mínimo Venda]]*1.15</f>
        <v>17.928569080339731</v>
      </c>
      <c r="AO1320" s="36">
        <f ca="1">Tabela3[[#This Row],[Tabela 1]]*1.08</f>
        <v>19.362854606766909</v>
      </c>
      <c r="AP1320" s="36">
        <f ca="1">Tabela3[[#This Row],[Tabela 2]]*1.15</f>
        <v>22.267282797781945</v>
      </c>
    </row>
    <row r="1321" spans="1:42">
      <c r="A1321" s="9">
        <v>46183</v>
      </c>
      <c r="B1321" s="9" t="s">
        <v>240</v>
      </c>
      <c r="C1321" s="14">
        <v>9815</v>
      </c>
      <c r="D1321" s="6" t="s">
        <v>46</v>
      </c>
      <c r="E1321" s="6" t="s">
        <v>44</v>
      </c>
      <c r="F1321" s="6">
        <v>21</v>
      </c>
      <c r="G1321" s="15">
        <v>9.6527777777777782E-2</v>
      </c>
      <c r="H1321" s="16">
        <v>0</v>
      </c>
      <c r="I1321" s="35">
        <f ca="1">IFERROR(Tabela3[[#This Row],[Custo Total]]/Tabela3[[#This Row],[Aluminio Util]],0)</f>
        <v>27.322143547371553</v>
      </c>
      <c r="J1321" s="35">
        <f ca="1">Tabela3[[#This Row],[Custo Total]]/Tabela3[[#This Row],[Realizado]]</f>
        <v>9.7540052464116442</v>
      </c>
      <c r="K1321" s="37">
        <f>IFERROR(Tabela3[[#This Row],[Qtde Cx Produzida]]/Tabela3[[#This Row],[Tempo]]/24,0)</f>
        <v>9.0647482014388476</v>
      </c>
      <c r="L1321" s="37">
        <f>Tabela3[[#This Row],[Qtde Cx Produzida]]*Tabela3[[#This Row],[Qdt Peça Placa]]</f>
        <v>84</v>
      </c>
      <c r="M1321" s="37">
        <f>Tabela3[[#This Row],[Previsto]]-Tabela3[[#This Row],[Perda Pçs]]</f>
        <v>84</v>
      </c>
      <c r="N1321" s="38">
        <f>IFERROR(Tabela3[[#This Row],[Perda Pçs]]/Tabela3[[#This Row],[Previsto]],0)</f>
        <v>0</v>
      </c>
      <c r="O1321" s="39">
        <f>IFERROR(IF(Tabela3[[#This Row],[Qtde Cx Produzida]] &lt;&gt; 0, Tabela3[[#This Row],[Tempo]] / Tabela3[[#This Row],[Qtde Cx Produzida]], 0),0)</f>
        <v>4.596560846560847E-3</v>
      </c>
      <c r="P1321" s="57">
        <f>IFERROR(Tabela3[[#This Row],[Perda Pçs]]/Tabela3[[#This Row],[Qdt Peça Placa]],0)</f>
        <v>0</v>
      </c>
      <c r="Q1321" s="37">
        <f>IFERROR(Tabela3[[#This Row],[Realizado]]*Tabela3[[#This Row],[Peso Util/Pç]],0)</f>
        <v>29.988</v>
      </c>
      <c r="R1321" s="37">
        <f>IFERROR(Tabela3[[#This Row],[Peso Total Galho]]*Tabela3[[#This Row],[Qtde Cx Produzida]]*1.055,0)</f>
        <v>53.792339999999996</v>
      </c>
      <c r="S1321" s="37">
        <f>(Tabela3[[#This Row],[Aluminio Bruto]]-Tabela3[[#This Row],[Aluminio Util]])*0.9</f>
        <v>21.423905999999999</v>
      </c>
      <c r="T1321" s="37">
        <f>Tabela3[[#This Row],[Aluminio Bruto]]/OleoKGAluminio</f>
        <v>22.6303678851726</v>
      </c>
      <c r="U1321" s="35">
        <f>IFERROR((VLOOKUP(Tabela3[[#This Row],[Moldador]],Tabela1[],5,)+(VLOOKUP(Tabela3[[#This Row],[Ajudante]],Tabela1[],5,))*3.5),0)</f>
        <v>126.0945</v>
      </c>
      <c r="V1321" s="35">
        <f>IFERROR(Tabela3[[#This Row],[Custo M.O. / H]]/((Tabela3[[#This Row],[Realizado]]/Tabela3[[#This Row],[Qdt Peça Placa]])/Tabela3[[#This Row],[Tempo]]/24),)</f>
        <v>13.910425000000002</v>
      </c>
      <c r="W1321" s="35">
        <f>Tabela3[[#This Row],[Custo / Cx Moldada]]*Tabela3[[#This Row],[Qtde Cx Produzida]]</f>
        <v>292.11892500000005</v>
      </c>
      <c r="X1321" s="35">
        <f ca="1">Tabela3[[#This Row],[Aluminio Util]]*Tabela3[[#This Row],[Custo/Kg]]</f>
        <v>467.81280000000004</v>
      </c>
      <c r="Y1321" s="35">
        <f>IFERROR(VLOOKUP(Tabela3[[#This Row],[Data]],Tabela461213[],2,1)*(Tabela3[[#This Row],[Qtde Cx Produzida]]*Tabela3[[#This Row],[Qde macho / CX]]*Tabela3[[#This Row],[Peso Macho]]),)</f>
        <v>0</v>
      </c>
      <c r="Z1321" s="35">
        <f>IFERROR(Tabela3[[#This Row],[Qtde Oleo]]*(VLOOKUP(Tabela3[[#This Row],[Data]],CompraOleo[],3,TRUE))*1.05,0)</f>
        <v>59.40471569857808</v>
      </c>
      <c r="AA1321" s="47">
        <f ca="1">(Tabela3[[#This Row],[Custo Oleo]]+Tabela3[[#This Row],[Custo Aluminio]]+Tabela3[[#This Row],[Custo M.O. Total]]+Tabela3[[#This Row],[Custo Machos]])</f>
        <v>819.33644069857814</v>
      </c>
      <c r="AB1321" s="47">
        <f ca="1">Tabela3[[#This Row],[Custo Total]]*Tabela3[[#This Row],[% Perda]]</f>
        <v>0</v>
      </c>
      <c r="AC1321" s="40">
        <f>IFERROR(VLOOKUP(Tabela3[[#This Row],[Produto]],Tabela2[],2,0),0)</f>
        <v>4</v>
      </c>
      <c r="AD1321" s="48">
        <f>IFERROR(VLOOKUP(Tabela3[[#This Row],[Produto]],Tabela2[],3,0),0)</f>
        <v>0.35699999999999998</v>
      </c>
      <c r="AE1321" s="48">
        <f>IFERROR(VLOOKUP(Tabela3[[#This Row],[Produto]],Tabela2[],4,0),0)</f>
        <v>2.4279999999999999</v>
      </c>
      <c r="AF1321" s="48">
        <f>IFERROR(VLOOKUP(Tabela3[[#This Row],[Produto]],Tabela2[],5,0),0)</f>
        <v>0.9</v>
      </c>
      <c r="AG1321" s="48">
        <f>IFERROR(VLOOKUP(Tabela3[[#This Row],[Produto]],Tabela2[],6,0),0)</f>
        <v>0</v>
      </c>
      <c r="AH1321" s="40">
        <f>IFERROR(VLOOKUP(Tabela3[[#This Row],[Produto]],Tabela2[],7,0),0)</f>
        <v>0</v>
      </c>
      <c r="AI1321" s="40">
        <f>IFERROR(VLOOKUP(Tabela3[[#This Row],[Produto]],Tabela2[],8,0),0)</f>
        <v>0</v>
      </c>
      <c r="AJ1321" s="35">
        <f ca="1">IFERROR(VLOOKUP(Tabela3[[#This Row],[Produto]],Tabela2[],13,0),0)</f>
        <v>15.600000000000001</v>
      </c>
      <c r="AK1321" s="48" t="str">
        <f>IFERROR(VLOOKUP(Tabela3[[#This Row],[Produto]],Tabela2[],14,0),0)</f>
        <v>Senun</v>
      </c>
      <c r="AL1321" s="40">
        <f>IFERROR(VLOOKUP(Tabela3[[#This Row],[Produto]],Tabela2[],15,0),0)</f>
        <v>4</v>
      </c>
      <c r="AM1321" s="36">
        <f ca="1">(Tabela3[[#This Row],[Custo Usinagem]]+Tabela3[[#This Row],[Custo / Pç]])*1.2</f>
        <v>16.504806295693971</v>
      </c>
      <c r="AN1321" s="36">
        <f ca="1">Tabela3[[#This Row],[Valor Mínimo Venda]]*1.15</f>
        <v>18.980527240048065</v>
      </c>
      <c r="AO1321" s="36">
        <f ca="1">Tabela3[[#This Row],[Tabela 1]]*1.08</f>
        <v>20.49896941925191</v>
      </c>
      <c r="AP1321" s="36">
        <f ca="1">Tabela3[[#This Row],[Tabela 2]]*1.15</f>
        <v>23.573814832139696</v>
      </c>
    </row>
    <row r="1322" spans="1:42">
      <c r="A1322" s="9">
        <v>46183</v>
      </c>
      <c r="B1322" s="9" t="s">
        <v>240</v>
      </c>
      <c r="C1322" s="14">
        <v>9815</v>
      </c>
      <c r="D1322" s="6" t="s">
        <v>44</v>
      </c>
      <c r="E1322" s="6" t="s">
        <v>47</v>
      </c>
      <c r="F1322" s="6">
        <v>6</v>
      </c>
      <c r="G1322" s="15">
        <v>3.1944444444444442E-2</v>
      </c>
      <c r="H1322" s="16">
        <v>0</v>
      </c>
      <c r="I1322" s="35">
        <f ca="1">IFERROR(Tabela3[[#This Row],[Custo Total]]/Tabela3[[#This Row],[Aluminio Util]],0)</f>
        <v>26.524530157108039</v>
      </c>
      <c r="J1322" s="35">
        <f ca="1">Tabela3[[#This Row],[Custo Total]]/Tabela3[[#This Row],[Realizado]]</f>
        <v>9.4692572660875687</v>
      </c>
      <c r="K1322" s="37">
        <f>IFERROR(Tabela3[[#This Row],[Qtde Cx Produzida]]/Tabela3[[#This Row],[Tempo]]/24,0)</f>
        <v>7.8260869565217392</v>
      </c>
      <c r="L1322" s="37">
        <f>Tabela3[[#This Row],[Qtde Cx Produzida]]*Tabela3[[#This Row],[Qdt Peça Placa]]</f>
        <v>24</v>
      </c>
      <c r="M1322" s="37">
        <f>Tabela3[[#This Row],[Previsto]]-Tabela3[[#This Row],[Perda Pçs]]</f>
        <v>24</v>
      </c>
      <c r="N1322" s="38">
        <f>IFERROR(Tabela3[[#This Row],[Perda Pçs]]/Tabela3[[#This Row],[Previsto]],0)</f>
        <v>0</v>
      </c>
      <c r="O1322" s="39">
        <f>IFERROR(IF(Tabela3[[#This Row],[Qtde Cx Produzida]] &lt;&gt; 0, Tabela3[[#This Row],[Tempo]] / Tabela3[[#This Row],[Qtde Cx Produzida]], 0),0)</f>
        <v>5.324074074074074E-3</v>
      </c>
      <c r="P1322" s="57">
        <f>IFERROR(Tabela3[[#This Row],[Perda Pçs]]/Tabela3[[#This Row],[Qdt Peça Placa]],0)</f>
        <v>0</v>
      </c>
      <c r="Q1322" s="37">
        <f>IFERROR(Tabela3[[#This Row],[Realizado]]*Tabela3[[#This Row],[Peso Util/Pç]],0)</f>
        <v>8.5679999999999996</v>
      </c>
      <c r="R1322" s="37">
        <f>IFERROR(Tabela3[[#This Row],[Peso Total Galho]]*Tabela3[[#This Row],[Qtde Cx Produzida]]*1.055,0)</f>
        <v>15.36924</v>
      </c>
      <c r="S1322" s="37">
        <f>(Tabela3[[#This Row],[Aluminio Bruto]]-Tabela3[[#This Row],[Aluminio Util]])*0.9</f>
        <v>6.1211159999999998</v>
      </c>
      <c r="T1322" s="37">
        <f>Tabela3[[#This Row],[Aluminio Bruto]]/OleoKGAluminio</f>
        <v>6.4658193957636003</v>
      </c>
      <c r="U1322" s="35">
        <f>IFERROR((VLOOKUP(Tabela3[[#This Row],[Moldador]],Tabela1[],5,)+(VLOOKUP(Tabela3[[#This Row],[Ajudante]],Tabela1[],5,))*3.5),0)</f>
        <v>99.95034583333333</v>
      </c>
      <c r="V1322" s="35">
        <f>IFERROR(Tabela3[[#This Row],[Custo M.O. / H]]/((Tabela3[[#This Row],[Realizado]]/Tabela3[[#This Row],[Qdt Peça Placa]])/Tabela3[[#This Row],[Tempo]]/24),)</f>
        <v>12.771433078703703</v>
      </c>
      <c r="W1322" s="35">
        <f>Tabela3[[#This Row],[Custo / Cx Moldada]]*Tabela3[[#This Row],[Qtde Cx Produzida]]</f>
        <v>76.628598472222222</v>
      </c>
      <c r="X1322" s="35">
        <f ca="1">Tabela3[[#This Row],[Aluminio Util]]*Tabela3[[#This Row],[Custo/Kg]]</f>
        <v>133.66079999999999</v>
      </c>
      <c r="Y1322" s="35">
        <f>IFERROR(VLOOKUP(Tabela3[[#This Row],[Data]],Tabela461213[],2,1)*(Tabela3[[#This Row],[Qtde Cx Produzida]]*Tabela3[[#This Row],[Qde macho / CX]]*Tabela3[[#This Row],[Peso Macho]]),)</f>
        <v>0</v>
      </c>
      <c r="Z1322" s="35">
        <f>IFERROR(Tabela3[[#This Row],[Qtde Oleo]]*(VLOOKUP(Tabela3[[#This Row],[Data]],CompraOleo[],3,TRUE))*1.05,0)</f>
        <v>16.972775913879453</v>
      </c>
      <c r="AA1322" s="47">
        <f ca="1">(Tabela3[[#This Row],[Custo Oleo]]+Tabela3[[#This Row],[Custo Aluminio]]+Tabela3[[#This Row],[Custo M.O. Total]]+Tabela3[[#This Row],[Custo Machos]])</f>
        <v>227.26217438610166</v>
      </c>
      <c r="AB1322" s="47">
        <f ca="1">Tabela3[[#This Row],[Custo Total]]*Tabela3[[#This Row],[% Perda]]</f>
        <v>0</v>
      </c>
      <c r="AC1322" s="40">
        <f>IFERROR(VLOOKUP(Tabela3[[#This Row],[Produto]],Tabela2[],2,0),0)</f>
        <v>4</v>
      </c>
      <c r="AD1322" s="48">
        <f>IFERROR(VLOOKUP(Tabela3[[#This Row],[Produto]],Tabela2[],3,0),0)</f>
        <v>0.35699999999999998</v>
      </c>
      <c r="AE1322" s="48">
        <f>IFERROR(VLOOKUP(Tabela3[[#This Row],[Produto]],Tabela2[],4,0),0)</f>
        <v>2.4279999999999999</v>
      </c>
      <c r="AF1322" s="48">
        <f>IFERROR(VLOOKUP(Tabela3[[#This Row],[Produto]],Tabela2[],5,0),0)</f>
        <v>0.9</v>
      </c>
      <c r="AG1322" s="48">
        <f>IFERROR(VLOOKUP(Tabela3[[#This Row],[Produto]],Tabela2[],6,0),0)</f>
        <v>0</v>
      </c>
      <c r="AH1322" s="40">
        <f>IFERROR(VLOOKUP(Tabela3[[#This Row],[Produto]],Tabela2[],7,0),0)</f>
        <v>0</v>
      </c>
      <c r="AI1322" s="40">
        <f>IFERROR(VLOOKUP(Tabela3[[#This Row],[Produto]],Tabela2[],8,0),0)</f>
        <v>0</v>
      </c>
      <c r="AJ1322" s="35">
        <f ca="1">IFERROR(VLOOKUP(Tabela3[[#This Row],[Produto]],Tabela2[],13,0),0)</f>
        <v>15.600000000000001</v>
      </c>
      <c r="AK1322" s="48" t="str">
        <f>IFERROR(VLOOKUP(Tabela3[[#This Row],[Produto]],Tabela2[],14,0),0)</f>
        <v>Senun</v>
      </c>
      <c r="AL1322" s="40">
        <f>IFERROR(VLOOKUP(Tabela3[[#This Row],[Produto]],Tabela2[],15,0),0)</f>
        <v>4</v>
      </c>
      <c r="AM1322" s="36">
        <f ca="1">(Tabela3[[#This Row],[Custo Usinagem]]+Tabela3[[#This Row],[Custo / Pç]])*1.2</f>
        <v>16.163108719305082</v>
      </c>
      <c r="AN1322" s="36">
        <f ca="1">Tabela3[[#This Row],[Valor Mínimo Venda]]*1.15</f>
        <v>18.587575027200842</v>
      </c>
      <c r="AO1322" s="36">
        <f ca="1">Tabela3[[#This Row],[Tabela 1]]*1.08</f>
        <v>20.074581029376912</v>
      </c>
      <c r="AP1322" s="36">
        <f ca="1">Tabela3[[#This Row],[Tabela 2]]*1.15</f>
        <v>23.085768183783447</v>
      </c>
    </row>
    <row r="1323" spans="1:42">
      <c r="A1323" s="9">
        <v>46183</v>
      </c>
      <c r="B1323" s="9" t="s">
        <v>245</v>
      </c>
      <c r="C1323" s="14">
        <v>9820</v>
      </c>
      <c r="D1323" s="6" t="s">
        <v>44</v>
      </c>
      <c r="E1323" s="6" t="s">
        <v>47</v>
      </c>
      <c r="F1323" s="6">
        <v>11</v>
      </c>
      <c r="G1323" s="15">
        <v>4.583333333333333E-2</v>
      </c>
      <c r="H1323" s="16">
        <v>0</v>
      </c>
      <c r="I1323" s="35">
        <f ca="1">IFERROR(Tabela3[[#This Row],[Custo Total]]/Tabela3[[#This Row],[Aluminio Util]],0)</f>
        <v>25.144202779607035</v>
      </c>
      <c r="J1323" s="35">
        <f ca="1">Tabela3[[#This Row],[Custo Total]]/Tabela3[[#This Row],[Realizado]]</f>
        <v>8.3478753228295357</v>
      </c>
      <c r="K1323" s="37">
        <f>IFERROR(Tabela3[[#This Row],[Qtde Cx Produzida]]/Tabela3[[#This Row],[Tempo]]/24,0)</f>
        <v>10.000000000000002</v>
      </c>
      <c r="L1323" s="37">
        <f>Tabela3[[#This Row],[Qtde Cx Produzida]]*Tabela3[[#This Row],[Qdt Peça Placa]]</f>
        <v>44</v>
      </c>
      <c r="M1323" s="37">
        <f>Tabela3[[#This Row],[Previsto]]-Tabela3[[#This Row],[Perda Pçs]]</f>
        <v>44</v>
      </c>
      <c r="N1323" s="38">
        <f>IFERROR(Tabela3[[#This Row],[Perda Pçs]]/Tabela3[[#This Row],[Previsto]],0)</f>
        <v>0</v>
      </c>
      <c r="O1323" s="39">
        <f>IFERROR(IF(Tabela3[[#This Row],[Qtde Cx Produzida]] &lt;&gt; 0, Tabela3[[#This Row],[Tempo]] / Tabela3[[#This Row],[Qtde Cx Produzida]], 0),0)</f>
        <v>4.1666666666666666E-3</v>
      </c>
      <c r="P1323" s="57">
        <f>IFERROR(Tabela3[[#This Row],[Perda Pçs]]/Tabela3[[#This Row],[Qdt Peça Placa]],0)</f>
        <v>0</v>
      </c>
      <c r="Q1323" s="37">
        <f>IFERROR(Tabela3[[#This Row],[Realizado]]*Tabela3[[#This Row],[Peso Util/Pç]],0)</f>
        <v>14.608000000000001</v>
      </c>
      <c r="R1323" s="37">
        <f>IFERROR(Tabela3[[#This Row],[Peso Total Galho]]*Tabela3[[#This Row],[Qtde Cx Produzida]]*1.055,0)</f>
        <v>26.691499999999994</v>
      </c>
      <c r="S1323" s="37">
        <f>(Tabela3[[#This Row],[Aluminio Bruto]]-Tabela3[[#This Row],[Aluminio Util]])*0.9</f>
        <v>10.875149999999994</v>
      </c>
      <c r="T1323" s="37">
        <f>Tabela3[[#This Row],[Aluminio Bruto]]/OleoKGAluminio</f>
        <v>11.229079538222067</v>
      </c>
      <c r="U1323" s="35">
        <f>IFERROR((VLOOKUP(Tabela3[[#This Row],[Moldador]],Tabela1[],5,)+(VLOOKUP(Tabela3[[#This Row],[Ajudante]],Tabela1[],5,))*3.5),0)</f>
        <v>99.95034583333333</v>
      </c>
      <c r="V1323" s="35">
        <f>IFERROR(Tabela3[[#This Row],[Custo M.O. / H]]/((Tabela3[[#This Row],[Realizado]]/Tabela3[[#This Row],[Qdt Peça Placa]])/Tabela3[[#This Row],[Tempo]]/24),)</f>
        <v>9.9950345833333305</v>
      </c>
      <c r="W1323" s="35">
        <f>Tabela3[[#This Row],[Custo / Cx Moldada]]*Tabela3[[#This Row],[Qtde Cx Produzida]]</f>
        <v>109.94538041666664</v>
      </c>
      <c r="X1323" s="35">
        <f ca="1">Tabela3[[#This Row],[Aluminio Util]]*Tabela3[[#This Row],[Custo/Kg]]</f>
        <v>227.88480000000004</v>
      </c>
      <c r="Y1323" s="35">
        <f>IFERROR(VLOOKUP(Tabela3[[#This Row],[Data]],Tabela461213[],2,1)*(Tabela3[[#This Row],[Qtde Cx Produzida]]*Tabela3[[#This Row],[Qde macho / CX]]*Tabela3[[#This Row],[Peso Macho]]),)</f>
        <v>0</v>
      </c>
      <c r="Z1323" s="35">
        <f>IFERROR(Tabela3[[#This Row],[Qtde Oleo]]*(VLOOKUP(Tabela3[[#This Row],[Data]],CompraOleo[],3,TRUE))*1.05,0)</f>
        <v>29.476333787832925</v>
      </c>
      <c r="AA1323" s="47">
        <f ca="1">(Tabela3[[#This Row],[Custo Oleo]]+Tabela3[[#This Row],[Custo Aluminio]]+Tabela3[[#This Row],[Custo M.O. Total]]+Tabela3[[#This Row],[Custo Machos]])</f>
        <v>367.30651420449959</v>
      </c>
      <c r="AB1323" s="47">
        <f ca="1">Tabela3[[#This Row],[Custo Total]]*Tabela3[[#This Row],[% Perda]]</f>
        <v>0</v>
      </c>
      <c r="AC1323" s="40">
        <f>IFERROR(VLOOKUP(Tabela3[[#This Row],[Produto]],Tabela2[],2,0),0)</f>
        <v>4</v>
      </c>
      <c r="AD1323" s="48">
        <f>IFERROR(VLOOKUP(Tabela3[[#This Row],[Produto]],Tabela2[],3,0),0)</f>
        <v>0.33200000000000002</v>
      </c>
      <c r="AE1323" s="48">
        <f>IFERROR(VLOOKUP(Tabela3[[#This Row],[Produto]],Tabela2[],4,0),0)</f>
        <v>2.2999999999999998</v>
      </c>
      <c r="AF1323" s="48">
        <f>IFERROR(VLOOKUP(Tabela3[[#This Row],[Produto]],Tabela2[],5,0),0)</f>
        <v>0.8747999999999998</v>
      </c>
      <c r="AG1323" s="48">
        <f>IFERROR(VLOOKUP(Tabela3[[#This Row],[Produto]],Tabela2[],6,0),0)</f>
        <v>0</v>
      </c>
      <c r="AH1323" s="40">
        <f>IFERROR(VLOOKUP(Tabela3[[#This Row],[Produto]],Tabela2[],7,0),0)</f>
        <v>0</v>
      </c>
      <c r="AI1323" s="40">
        <f>IFERROR(VLOOKUP(Tabela3[[#This Row],[Produto]],Tabela2[],8,0),0)</f>
        <v>0</v>
      </c>
      <c r="AJ1323" s="35">
        <f ca="1">IFERROR(VLOOKUP(Tabela3[[#This Row],[Produto]],Tabela2[],13,0),0)</f>
        <v>15.600000000000001</v>
      </c>
      <c r="AK1323" s="48" t="str">
        <f>IFERROR(VLOOKUP(Tabela3[[#This Row],[Produto]],Tabela2[],14,0),0)</f>
        <v>Senun</v>
      </c>
      <c r="AL1323" s="40">
        <f>IFERROR(VLOOKUP(Tabela3[[#This Row],[Produto]],Tabela2[],15,0),0)</f>
        <v>3.5</v>
      </c>
      <c r="AM1323" s="36">
        <f ca="1">(Tabela3[[#This Row],[Custo Usinagem]]+Tabela3[[#This Row],[Custo / Pç]])*1.2</f>
        <v>14.217450387395443</v>
      </c>
      <c r="AN1323" s="36">
        <f ca="1">Tabela3[[#This Row],[Valor Mínimo Venda]]*1.15</f>
        <v>16.350067945504758</v>
      </c>
      <c r="AO1323" s="36">
        <f ca="1">Tabela3[[#This Row],[Tabela 1]]*1.08</f>
        <v>17.65807338114514</v>
      </c>
      <c r="AP1323" s="36">
        <f ca="1">Tabela3[[#This Row],[Tabela 2]]*1.15</f>
        <v>20.30678438831691</v>
      </c>
    </row>
    <row r="1324" spans="1:42">
      <c r="A1324" s="9">
        <v>46183</v>
      </c>
      <c r="B1324" s="9" t="s">
        <v>254</v>
      </c>
      <c r="C1324" s="14">
        <v>9933</v>
      </c>
      <c r="D1324" s="6" t="s">
        <v>44</v>
      </c>
      <c r="E1324" s="6" t="s">
        <v>47</v>
      </c>
      <c r="F1324" s="6">
        <v>10</v>
      </c>
      <c r="G1324" s="15">
        <v>4.1666666666666664E-2</v>
      </c>
      <c r="H1324" s="16">
        <v>0</v>
      </c>
      <c r="I1324" s="35">
        <f ca="1">IFERROR(Tabela3[[#This Row],[Custo Total]]/Tabela3[[#This Row],[Aluminio Util]],0)</f>
        <v>30.782047255282698</v>
      </c>
      <c r="J1324" s="35">
        <f ca="1">Tabela3[[#This Row],[Custo Total]]/Tabela3[[#This Row],[Realizado]]</f>
        <v>28.288701427604803</v>
      </c>
      <c r="K1324" s="37">
        <f>IFERROR(Tabela3[[#This Row],[Qtde Cx Produzida]]/Tabela3[[#This Row],[Tempo]]/24,0)</f>
        <v>10</v>
      </c>
      <c r="L1324" s="37">
        <f>Tabela3[[#This Row],[Qtde Cx Produzida]]*Tabela3[[#This Row],[Qdt Peça Placa]]</f>
        <v>10</v>
      </c>
      <c r="M1324" s="37">
        <f>Tabela3[[#This Row],[Previsto]]-Tabela3[[#This Row],[Perda Pçs]]</f>
        <v>10</v>
      </c>
      <c r="N1324" s="38">
        <f>IFERROR(Tabela3[[#This Row],[Perda Pçs]]/Tabela3[[#This Row],[Previsto]],0)</f>
        <v>0</v>
      </c>
      <c r="O1324" s="39">
        <f>IFERROR(IF(Tabela3[[#This Row],[Qtde Cx Produzida]] &lt;&gt; 0, Tabela3[[#This Row],[Tempo]] / Tabela3[[#This Row],[Qtde Cx Produzida]], 0),0)</f>
        <v>4.1666666666666666E-3</v>
      </c>
      <c r="P1324" s="57">
        <f>IFERROR(Tabela3[[#This Row],[Perda Pçs]]/Tabela3[[#This Row],[Qdt Peça Placa]],0)</f>
        <v>0</v>
      </c>
      <c r="Q1324" s="37">
        <f>IFERROR(Tabela3[[#This Row],[Realizado]]*Tabela3[[#This Row],[Peso Util/Pç]],0)</f>
        <v>9.1900000000000013</v>
      </c>
      <c r="R1324" s="37">
        <f>IFERROR(Tabela3[[#This Row],[Peso Total Galho]]*Tabela3[[#This Row],[Qtde Cx Produzida]]*1.055,0)</f>
        <v>19.190449999999995</v>
      </c>
      <c r="S1324" s="37">
        <f>(Tabela3[[#This Row],[Aluminio Bruto]]-Tabela3[[#This Row],[Aluminio Util]])*0.9</f>
        <v>9.0004049999999953</v>
      </c>
      <c r="T1324" s="37">
        <f>Tabela3[[#This Row],[Aluminio Bruto]]/OleoKGAluminio</f>
        <v>8.0733975019865358</v>
      </c>
      <c r="U1324" s="35">
        <f>IFERROR((VLOOKUP(Tabela3[[#This Row],[Moldador]],Tabela1[],5,)+(VLOOKUP(Tabela3[[#This Row],[Ajudante]],Tabela1[],5,))*3.5),0)</f>
        <v>99.95034583333333</v>
      </c>
      <c r="V1324" s="35">
        <f>IFERROR(Tabela3[[#This Row],[Custo M.O. / H]]/((Tabela3[[#This Row],[Realizado]]/Tabela3[[#This Row],[Qdt Peça Placa]])/Tabela3[[#This Row],[Tempo]]/24),)</f>
        <v>9.9950345833333323</v>
      </c>
      <c r="W1324" s="35">
        <f>Tabela3[[#This Row],[Custo / Cx Moldada]]*Tabela3[[#This Row],[Qtde Cx Produzida]]</f>
        <v>99.95034583333333</v>
      </c>
      <c r="X1324" s="35">
        <f ca="1">Tabela3[[#This Row],[Aluminio Util]]*Tabela3[[#This Row],[Custo/Kg]]</f>
        <v>161.74400000000003</v>
      </c>
      <c r="Y1324" s="35">
        <f>IFERROR(VLOOKUP(Tabela3[[#This Row],[Data]],Tabela461213[],2,1)*(Tabela3[[#This Row],[Qtde Cx Produzida]]*Tabela3[[#This Row],[Qde macho / CX]]*Tabela3[[#This Row],[Peso Macho]]),)</f>
        <v>0</v>
      </c>
      <c r="Z1324" s="35">
        <f>IFERROR(Tabela3[[#This Row],[Qtde Oleo]]*(VLOOKUP(Tabela3[[#This Row],[Data]],CompraOleo[],3,TRUE))*1.05,0)</f>
        <v>21.192668442714655</v>
      </c>
      <c r="AA1324" s="47">
        <f ca="1">(Tabela3[[#This Row],[Custo Oleo]]+Tabela3[[#This Row],[Custo Aluminio]]+Tabela3[[#This Row],[Custo M.O. Total]]+Tabela3[[#This Row],[Custo Machos]])</f>
        <v>282.88701427604803</v>
      </c>
      <c r="AB1324" s="47">
        <f ca="1">Tabela3[[#This Row],[Custo Total]]*Tabela3[[#This Row],[% Perda]]</f>
        <v>0</v>
      </c>
      <c r="AC1324" s="40">
        <f>IFERROR(VLOOKUP(Tabela3[[#This Row],[Produto]],Tabela2[],2,0),0)</f>
        <v>1</v>
      </c>
      <c r="AD1324" s="48">
        <f>IFERROR(VLOOKUP(Tabela3[[#This Row],[Produto]],Tabela2[],3,0),0)</f>
        <v>0.91900000000000004</v>
      </c>
      <c r="AE1324" s="48">
        <f>IFERROR(VLOOKUP(Tabela3[[#This Row],[Produto]],Tabela2[],4,0),0)</f>
        <v>1.819</v>
      </c>
      <c r="AF1324" s="48">
        <f>IFERROR(VLOOKUP(Tabela3[[#This Row],[Produto]],Tabela2[],5,0),0)</f>
        <v>0.80999999999999994</v>
      </c>
      <c r="AG1324" s="48">
        <f>IFERROR(VLOOKUP(Tabela3[[#This Row],[Produto]],Tabela2[],6,0),0)</f>
        <v>0</v>
      </c>
      <c r="AH1324" s="40">
        <f>IFERROR(VLOOKUP(Tabela3[[#This Row],[Produto]],Tabela2[],7,0),0)</f>
        <v>0</v>
      </c>
      <c r="AI1324" s="40">
        <f>IFERROR(VLOOKUP(Tabela3[[#This Row],[Produto]],Tabela2[],8,0),0)</f>
        <v>0</v>
      </c>
      <c r="AJ1324" s="35">
        <f ca="1">IFERROR(VLOOKUP(Tabela3[[#This Row],[Produto]],Tabela2[],13,0),0)</f>
        <v>17.600000000000001</v>
      </c>
      <c r="AK1324" s="48" t="str">
        <f>IFERROR(VLOOKUP(Tabela3[[#This Row],[Produto]],Tabela2[],14,0),0)</f>
        <v>Protec</v>
      </c>
      <c r="AL1324" s="40">
        <f>IFERROR(VLOOKUP(Tabela3[[#This Row],[Produto]],Tabela2[],15,0),0)</f>
        <v>0</v>
      </c>
      <c r="AM1324" s="36">
        <f ca="1">(Tabela3[[#This Row],[Custo Usinagem]]+Tabela3[[#This Row],[Custo / Pç]])*1.2</f>
        <v>33.946441713125765</v>
      </c>
      <c r="AN1324" s="36">
        <f ca="1">Tabela3[[#This Row],[Valor Mínimo Venda]]*1.15</f>
        <v>39.038407970094624</v>
      </c>
      <c r="AO1324" s="36">
        <f ca="1">Tabela3[[#This Row],[Tabela 1]]*1.08</f>
        <v>42.161480607702195</v>
      </c>
      <c r="AP1324" s="36">
        <f ca="1">Tabela3[[#This Row],[Tabela 2]]*1.15</f>
        <v>48.485702698857523</v>
      </c>
    </row>
    <row r="1325" spans="1:42">
      <c r="A1325" s="9">
        <v>46184</v>
      </c>
      <c r="B1325" s="9" t="s">
        <v>107</v>
      </c>
      <c r="C1325" s="14">
        <v>9821</v>
      </c>
      <c r="D1325" s="6" t="s">
        <v>46</v>
      </c>
      <c r="E1325" s="6" t="s">
        <v>50</v>
      </c>
      <c r="F1325" s="6">
        <v>15</v>
      </c>
      <c r="G1325" s="15">
        <v>9.375E-2</v>
      </c>
      <c r="H1325" s="16">
        <v>0</v>
      </c>
      <c r="I1325" s="35">
        <f ca="1">IFERROR(Tabela3[[#This Row],[Custo Total]]/Tabela3[[#This Row],[Aluminio Util]],0)</f>
        <v>28.790770674582074</v>
      </c>
      <c r="J1325" s="35">
        <f ca="1">Tabela3[[#This Row],[Custo Total]]/Tabela3[[#This Row],[Realizado]]</f>
        <v>4.6065233079331316</v>
      </c>
      <c r="K1325" s="37">
        <f>IFERROR(Tabela3[[#This Row],[Qtde Cx Produzida]]/Tabela3[[#This Row],[Tempo]]/24,0)</f>
        <v>6.666666666666667</v>
      </c>
      <c r="L1325" s="37">
        <f>Tabela3[[#This Row],[Qtde Cx Produzida]]*Tabela3[[#This Row],[Qdt Peça Placa]]</f>
        <v>150</v>
      </c>
      <c r="M1325" s="37">
        <f>Tabela3[[#This Row],[Previsto]]-Tabela3[[#This Row],[Perda Pçs]]</f>
        <v>150</v>
      </c>
      <c r="N1325" s="38">
        <f>IFERROR(Tabela3[[#This Row],[Perda Pçs]]/Tabela3[[#This Row],[Previsto]],0)</f>
        <v>0</v>
      </c>
      <c r="O1325" s="39">
        <f>IFERROR(IF(Tabela3[[#This Row],[Qtde Cx Produzida]] &lt;&gt; 0, Tabela3[[#This Row],[Tempo]] / Tabela3[[#This Row],[Qtde Cx Produzida]], 0),0)</f>
        <v>6.2500000000000003E-3</v>
      </c>
      <c r="P1325" s="57">
        <f>IFERROR(Tabela3[[#This Row],[Perda Pçs]]/Tabela3[[#This Row],[Qdt Peça Placa]],0)</f>
        <v>0</v>
      </c>
      <c r="Q1325" s="37">
        <f>IFERROR(Tabela3[[#This Row],[Realizado]]*Tabela3[[#This Row],[Peso Util/Pç]],0)</f>
        <v>24</v>
      </c>
      <c r="R1325" s="37">
        <f>IFERROR(Tabela3[[#This Row],[Peso Total Galho]]*Tabela3[[#This Row],[Qtde Cx Produzida]]*1.055,0)</f>
        <v>39.5625</v>
      </c>
      <c r="S1325" s="37">
        <f>(Tabela3[[#This Row],[Aluminio Bruto]]-Tabela3[[#This Row],[Aluminio Util]])*0.9</f>
        <v>14.00625</v>
      </c>
      <c r="T1325" s="37">
        <f>Tabela3[[#This Row],[Aluminio Bruto]]/OleoKGAluminio</f>
        <v>16.643892596178954</v>
      </c>
      <c r="U1325" s="35">
        <f>IFERROR((VLOOKUP(Tabela3[[#This Row],[Moldador]],Tabela1[],5,)+(VLOOKUP(Tabela3[[#This Row],[Ajudante]],Tabela1[],5,))*3.5),0)</f>
        <v>99.95034583333333</v>
      </c>
      <c r="V1325" s="35">
        <f>IFERROR(Tabela3[[#This Row],[Custo M.O. / H]]/((Tabela3[[#This Row],[Realizado]]/Tabela3[[#This Row],[Qdt Peça Placa]])/Tabela3[[#This Row],[Tempo]]/24),)</f>
        <v>14.992551874999998</v>
      </c>
      <c r="W1325" s="35">
        <f>Tabela3[[#This Row],[Custo / Cx Moldada]]*Tabela3[[#This Row],[Qtde Cx Produzida]]</f>
        <v>224.88827812499997</v>
      </c>
      <c r="X1325" s="35">
        <f ca="1">Tabela3[[#This Row],[Aluminio Util]]*Tabela3[[#This Row],[Custo/Kg]]</f>
        <v>422.40000000000003</v>
      </c>
      <c r="Y1325" s="35">
        <f>IFERROR(VLOOKUP(Tabela3[[#This Row],[Data]],Tabela461213[],2,1)*(Tabela3[[#This Row],[Qtde Cx Produzida]]*Tabela3[[#This Row],[Qde macho / CX]]*Tabela3[[#This Row],[Peso Macho]]),)</f>
        <v>0</v>
      </c>
      <c r="Z1325" s="35">
        <f>IFERROR(Tabela3[[#This Row],[Qtde Oleo]]*(VLOOKUP(Tabela3[[#This Row],[Data]],CompraOleo[],3,TRUE))*1.05,0)</f>
        <v>43.690218064969756</v>
      </c>
      <c r="AA1325" s="47">
        <f ca="1">(Tabela3[[#This Row],[Custo Oleo]]+Tabela3[[#This Row],[Custo Aluminio]]+Tabela3[[#This Row],[Custo M.O. Total]]+Tabela3[[#This Row],[Custo Machos]])</f>
        <v>690.97849618996975</v>
      </c>
      <c r="AB1325" s="47">
        <f ca="1">Tabela3[[#This Row],[Custo Total]]*Tabela3[[#This Row],[% Perda]]</f>
        <v>0</v>
      </c>
      <c r="AC1325" s="40">
        <f>IFERROR(VLOOKUP(Tabela3[[#This Row],[Produto]],Tabela2[],2,0),0)</f>
        <v>10</v>
      </c>
      <c r="AD1325" s="48">
        <f>IFERROR(VLOOKUP(Tabela3[[#This Row],[Produto]],Tabela2[],3,0),0)</f>
        <v>0.16</v>
      </c>
      <c r="AE1325" s="48">
        <f>IFERROR(VLOOKUP(Tabela3[[#This Row],[Produto]],Tabela2[],4,0),0)</f>
        <v>2.5</v>
      </c>
      <c r="AF1325" s="48">
        <f>IFERROR(VLOOKUP(Tabela3[[#This Row],[Produto]],Tabela2[],5,0),0)</f>
        <v>0.80999999999999994</v>
      </c>
      <c r="AG1325" s="48">
        <f>IFERROR(VLOOKUP(Tabela3[[#This Row],[Produto]],Tabela2[],6,0),0)</f>
        <v>0</v>
      </c>
      <c r="AH1325" s="40">
        <f>IFERROR(VLOOKUP(Tabela3[[#This Row],[Produto]],Tabela2[],7,0),0)</f>
        <v>0</v>
      </c>
      <c r="AI1325" s="40">
        <f>IFERROR(VLOOKUP(Tabela3[[#This Row],[Produto]],Tabela2[],8,0),0)</f>
        <v>0</v>
      </c>
      <c r="AJ1325" s="35">
        <f ca="1">IFERROR(VLOOKUP(Tabela3[[#This Row],[Produto]],Tabela2[],13,0),0)</f>
        <v>17.600000000000001</v>
      </c>
      <c r="AK1325" s="48" t="str">
        <f>IFERROR(VLOOKUP(Tabela3[[#This Row],[Produto]],Tabela2[],14,0),0)</f>
        <v>MGA</v>
      </c>
      <c r="AL1325" s="40">
        <f>IFERROR(VLOOKUP(Tabela3[[#This Row],[Produto]],Tabela2[],15,0),0)</f>
        <v>0</v>
      </c>
      <c r="AM1325" s="36">
        <f ca="1">(Tabela3[[#This Row],[Custo Usinagem]]+Tabela3[[#This Row],[Custo / Pç]])*1.2</f>
        <v>5.5278279695197581</v>
      </c>
      <c r="AN1325" s="36">
        <f ca="1">Tabela3[[#This Row],[Valor Mínimo Venda]]*1.15</f>
        <v>6.3570021649477209</v>
      </c>
      <c r="AO1325" s="36">
        <f ca="1">Tabela3[[#This Row],[Tabela 1]]*1.08</f>
        <v>6.8655623381435387</v>
      </c>
      <c r="AP1325" s="36">
        <f ca="1">Tabela3[[#This Row],[Tabela 2]]*1.15</f>
        <v>7.8953966888650688</v>
      </c>
    </row>
    <row r="1326" spans="1:42">
      <c r="A1326" s="9">
        <v>46184</v>
      </c>
      <c r="B1326" s="9" t="s">
        <v>247</v>
      </c>
      <c r="C1326" s="14">
        <v>9809</v>
      </c>
      <c r="D1326" s="6" t="s">
        <v>44</v>
      </c>
      <c r="E1326" s="6" t="s">
        <v>47</v>
      </c>
      <c r="F1326" s="6">
        <v>12</v>
      </c>
      <c r="G1326" s="15">
        <v>5.6250000000000001E-2</v>
      </c>
      <c r="H1326" s="16">
        <v>0</v>
      </c>
      <c r="I1326" s="35">
        <f ca="1">IFERROR(Tabela3[[#This Row],[Custo Total]]/Tabela3[[#This Row],[Aluminio Util]],0)</f>
        <v>27.203400511862345</v>
      </c>
      <c r="J1326" s="35">
        <f ca="1">Tabela3[[#This Row],[Custo Total]]/Tabela3[[#This Row],[Realizado]]</f>
        <v>8.1610201535587024</v>
      </c>
      <c r="K1326" s="37">
        <f>IFERROR(Tabela3[[#This Row],[Qtde Cx Produzida]]/Tabela3[[#This Row],[Tempo]]/24,0)</f>
        <v>8.8888888888888875</v>
      </c>
      <c r="L1326" s="37">
        <f>Tabela3[[#This Row],[Qtde Cx Produzida]]*Tabela3[[#This Row],[Qdt Peça Placa]]</f>
        <v>48</v>
      </c>
      <c r="M1326" s="37">
        <f>Tabela3[[#This Row],[Previsto]]-Tabela3[[#This Row],[Perda Pçs]]</f>
        <v>48</v>
      </c>
      <c r="N1326" s="38">
        <f>IFERROR(Tabela3[[#This Row],[Perda Pçs]]/Tabela3[[#This Row],[Previsto]],0)</f>
        <v>0</v>
      </c>
      <c r="O1326" s="39">
        <f>IFERROR(IF(Tabela3[[#This Row],[Qtde Cx Produzida]] &lt;&gt; 0, Tabela3[[#This Row],[Tempo]] / Tabela3[[#This Row],[Qtde Cx Produzida]], 0),0)</f>
        <v>4.6874999999999998E-3</v>
      </c>
      <c r="P1326" s="57">
        <f>IFERROR(Tabela3[[#This Row],[Perda Pçs]]/Tabela3[[#This Row],[Qdt Peça Placa]],0)</f>
        <v>0</v>
      </c>
      <c r="Q1326" s="37">
        <f>IFERROR(Tabela3[[#This Row],[Realizado]]*Tabela3[[#This Row],[Peso Util/Pç]],0)</f>
        <v>14.399999999999999</v>
      </c>
      <c r="R1326" s="37">
        <f>IFERROR(Tabela3[[#This Row],[Peso Total Galho]]*Tabela3[[#This Row],[Qtde Cx Produzida]]*1.055,0)</f>
        <v>29.117999999999995</v>
      </c>
      <c r="S1326" s="37">
        <f>(Tabela3[[#This Row],[Aluminio Bruto]]-Tabela3[[#This Row],[Aluminio Util]])*0.9</f>
        <v>13.246199999999996</v>
      </c>
      <c r="T1326" s="37">
        <f>Tabela3[[#This Row],[Aluminio Bruto]]/OleoKGAluminio</f>
        <v>12.249904950787709</v>
      </c>
      <c r="U1326" s="35">
        <f>IFERROR((VLOOKUP(Tabela3[[#This Row],[Moldador]],Tabela1[],5,)+(VLOOKUP(Tabela3[[#This Row],[Ajudante]],Tabela1[],5,))*3.5),0)</f>
        <v>99.95034583333333</v>
      </c>
      <c r="V1326" s="35">
        <f>IFERROR(Tabela3[[#This Row],[Custo M.O. / H]]/((Tabela3[[#This Row],[Realizado]]/Tabela3[[#This Row],[Qdt Peça Placa]])/Tabela3[[#This Row],[Tempo]]/24),)</f>
        <v>11.244413906250001</v>
      </c>
      <c r="W1326" s="35">
        <f>Tabela3[[#This Row],[Custo / Cx Moldada]]*Tabela3[[#This Row],[Qtde Cx Produzida]]</f>
        <v>134.93296687500001</v>
      </c>
      <c r="X1326" s="35">
        <f ca="1">Tabela3[[#This Row],[Aluminio Util]]*Tabela3[[#This Row],[Custo/Kg]]</f>
        <v>224.64</v>
      </c>
      <c r="Y1326" s="35">
        <f>IFERROR(VLOOKUP(Tabela3[[#This Row],[Data]],Tabela461213[],2,1)*(Tabela3[[#This Row],[Qtde Cx Produzida]]*Tabela3[[#This Row],[Qde macho / CX]]*Tabela3[[#This Row],[Peso Macho]]),)</f>
        <v>0</v>
      </c>
      <c r="Z1326" s="35">
        <f>IFERROR(Tabela3[[#This Row],[Qtde Oleo]]*(VLOOKUP(Tabela3[[#This Row],[Data]],CompraOleo[],3,TRUE))*1.05,0)</f>
        <v>32.156000495817736</v>
      </c>
      <c r="AA1326" s="47">
        <f ca="1">(Tabela3[[#This Row],[Custo Oleo]]+Tabela3[[#This Row],[Custo Aluminio]]+Tabela3[[#This Row],[Custo M.O. Total]]+Tabela3[[#This Row],[Custo Machos]])</f>
        <v>391.72896737081771</v>
      </c>
      <c r="AB1326" s="47">
        <f ca="1">Tabela3[[#This Row],[Custo Total]]*Tabela3[[#This Row],[% Perda]]</f>
        <v>0</v>
      </c>
      <c r="AC1326" s="40">
        <f>IFERROR(VLOOKUP(Tabela3[[#This Row],[Produto]],Tabela2[],2,0),0)</f>
        <v>4</v>
      </c>
      <c r="AD1326" s="48">
        <f>IFERROR(VLOOKUP(Tabela3[[#This Row],[Produto]],Tabela2[],3,0),0)</f>
        <v>0.3</v>
      </c>
      <c r="AE1326" s="48">
        <f>IFERROR(VLOOKUP(Tabela3[[#This Row],[Produto]],Tabela2[],4,0),0)</f>
        <v>2.2999999999999998</v>
      </c>
      <c r="AF1326" s="48">
        <f>IFERROR(VLOOKUP(Tabela3[[#This Row],[Produto]],Tabela2[],5,0),0)</f>
        <v>0.98999999999999988</v>
      </c>
      <c r="AG1326" s="48">
        <f>IFERROR(VLOOKUP(Tabela3[[#This Row],[Produto]],Tabela2[],6,0),0)</f>
        <v>0</v>
      </c>
      <c r="AH1326" s="40">
        <f>IFERROR(VLOOKUP(Tabela3[[#This Row],[Produto]],Tabela2[],7,0),0)</f>
        <v>0</v>
      </c>
      <c r="AI1326" s="40">
        <f>IFERROR(VLOOKUP(Tabela3[[#This Row],[Produto]],Tabela2[],8,0),0)</f>
        <v>0</v>
      </c>
      <c r="AJ1326" s="35">
        <f ca="1">IFERROR(VLOOKUP(Tabela3[[#This Row],[Produto]],Tabela2[],13,0),0)</f>
        <v>15.600000000000001</v>
      </c>
      <c r="AK1326" s="48" t="str">
        <f>IFERROR(VLOOKUP(Tabela3[[#This Row],[Produto]],Tabela2[],14,0),0)</f>
        <v>Senun</v>
      </c>
      <c r="AL1326" s="40">
        <f>IFERROR(VLOOKUP(Tabela3[[#This Row],[Produto]],Tabela2[],15,0),0)</f>
        <v>3.5</v>
      </c>
      <c r="AM1326" s="36">
        <f ca="1">(Tabela3[[#This Row],[Custo Usinagem]]+Tabela3[[#This Row],[Custo / Pç]])*1.2</f>
        <v>13.993224184270442</v>
      </c>
      <c r="AN1326" s="36">
        <f ca="1">Tabela3[[#This Row],[Valor Mínimo Venda]]*1.15</f>
        <v>16.092207811911006</v>
      </c>
      <c r="AO1326" s="36">
        <f ca="1">Tabela3[[#This Row],[Tabela 1]]*1.08</f>
        <v>17.379584436863887</v>
      </c>
      <c r="AP1326" s="36">
        <f ca="1">Tabela3[[#This Row],[Tabela 2]]*1.15</f>
        <v>19.986522102393469</v>
      </c>
    </row>
    <row r="1327" spans="1:42">
      <c r="A1327" s="9">
        <v>46184</v>
      </c>
      <c r="B1327" s="9" t="s">
        <v>245</v>
      </c>
      <c r="C1327" s="14">
        <v>9820</v>
      </c>
      <c r="D1327" s="6" t="s">
        <v>46</v>
      </c>
      <c r="E1327" s="6" t="s">
        <v>50</v>
      </c>
      <c r="F1327" s="6">
        <v>37</v>
      </c>
      <c r="G1327" s="15">
        <v>0.16666666666666666</v>
      </c>
      <c r="H1327" s="16">
        <v>0</v>
      </c>
      <c r="I1327" s="35">
        <f ca="1">IFERROR(Tabela3[[#This Row],[Custo Total]]/Tabela3[[#This Row],[Aluminio Util]],0)</f>
        <v>25.754449925284344</v>
      </c>
      <c r="J1327" s="35">
        <f ca="1">Tabela3[[#This Row],[Custo Total]]/Tabela3[[#This Row],[Realizado]]</f>
        <v>8.5504773751944025</v>
      </c>
      <c r="K1327" s="37">
        <f>IFERROR(Tabela3[[#This Row],[Qtde Cx Produzida]]/Tabela3[[#This Row],[Tempo]]/24,0)</f>
        <v>9.25</v>
      </c>
      <c r="L1327" s="37">
        <f>Tabela3[[#This Row],[Qtde Cx Produzida]]*Tabela3[[#This Row],[Qdt Peça Placa]]</f>
        <v>148</v>
      </c>
      <c r="M1327" s="37">
        <f>Tabela3[[#This Row],[Previsto]]-Tabela3[[#This Row],[Perda Pçs]]</f>
        <v>148</v>
      </c>
      <c r="N1327" s="38">
        <f>IFERROR(Tabela3[[#This Row],[Perda Pçs]]/Tabela3[[#This Row],[Previsto]],0)</f>
        <v>0</v>
      </c>
      <c r="O1327" s="39">
        <f>IFERROR(IF(Tabela3[[#This Row],[Qtde Cx Produzida]] &lt;&gt; 0, Tabela3[[#This Row],[Tempo]] / Tabela3[[#This Row],[Qtde Cx Produzida]], 0),0)</f>
        <v>4.5045045045045045E-3</v>
      </c>
      <c r="P1327" s="57">
        <f>IFERROR(Tabela3[[#This Row],[Perda Pçs]]/Tabela3[[#This Row],[Qdt Peça Placa]],0)</f>
        <v>0</v>
      </c>
      <c r="Q1327" s="37">
        <f>IFERROR(Tabela3[[#This Row],[Realizado]]*Tabela3[[#This Row],[Peso Util/Pç]],0)</f>
        <v>49.136000000000003</v>
      </c>
      <c r="R1327" s="37">
        <f>IFERROR(Tabela3[[#This Row],[Peso Total Galho]]*Tabela3[[#This Row],[Qtde Cx Produzida]]*1.055,0)</f>
        <v>89.780499999999989</v>
      </c>
      <c r="S1327" s="37">
        <f>(Tabela3[[#This Row],[Aluminio Bruto]]-Tabela3[[#This Row],[Aluminio Util]])*0.9</f>
        <v>36.580049999999986</v>
      </c>
      <c r="T1327" s="37">
        <f>Tabela3[[#This Row],[Aluminio Bruto]]/OleoKGAluminio</f>
        <v>37.770540264928769</v>
      </c>
      <c r="U1327" s="35">
        <f>IFERROR((VLOOKUP(Tabela3[[#This Row],[Moldador]],Tabela1[],5,)+(VLOOKUP(Tabela3[[#This Row],[Ajudante]],Tabela1[],5,))*3.5),0)</f>
        <v>99.95034583333333</v>
      </c>
      <c r="V1327" s="35">
        <f>IFERROR(Tabela3[[#This Row],[Custo M.O. / H]]/((Tabela3[[#This Row],[Realizado]]/Tabela3[[#This Row],[Qdt Peça Placa]])/Tabela3[[#This Row],[Tempo]]/24),)</f>
        <v>10.805442792792793</v>
      </c>
      <c r="W1327" s="35">
        <f>Tabela3[[#This Row],[Custo / Cx Moldada]]*Tabela3[[#This Row],[Qtde Cx Produzida]]</f>
        <v>399.80138333333332</v>
      </c>
      <c r="X1327" s="35">
        <f ca="1">Tabela3[[#This Row],[Aluminio Util]]*Tabela3[[#This Row],[Custo/Kg]]</f>
        <v>766.52160000000015</v>
      </c>
      <c r="Y1327" s="35">
        <f>IFERROR(VLOOKUP(Tabela3[[#This Row],[Data]],Tabela461213[],2,1)*(Tabela3[[#This Row],[Qtde Cx Produzida]]*Tabela3[[#This Row],[Qde macho / CX]]*Tabela3[[#This Row],[Peso Macho]]),)</f>
        <v>0</v>
      </c>
      <c r="Z1327" s="35">
        <f>IFERROR(Tabela3[[#This Row],[Qtde Oleo]]*(VLOOKUP(Tabela3[[#This Row],[Data]],CompraOleo[],3,TRUE))*1.05,0)</f>
        <v>99.14766819543803</v>
      </c>
      <c r="AA1327" s="47">
        <f ca="1">(Tabela3[[#This Row],[Custo Oleo]]+Tabela3[[#This Row],[Custo Aluminio]]+Tabela3[[#This Row],[Custo M.O. Total]]+Tabela3[[#This Row],[Custo Machos]])</f>
        <v>1265.4706515287717</v>
      </c>
      <c r="AB1327" s="47">
        <f ca="1">Tabela3[[#This Row],[Custo Total]]*Tabela3[[#This Row],[% Perda]]</f>
        <v>0</v>
      </c>
      <c r="AC1327" s="40">
        <f>IFERROR(VLOOKUP(Tabela3[[#This Row],[Produto]],Tabela2[],2,0),0)</f>
        <v>4</v>
      </c>
      <c r="AD1327" s="48">
        <f>IFERROR(VLOOKUP(Tabela3[[#This Row],[Produto]],Tabela2[],3,0),0)</f>
        <v>0.33200000000000002</v>
      </c>
      <c r="AE1327" s="48">
        <f>IFERROR(VLOOKUP(Tabela3[[#This Row],[Produto]],Tabela2[],4,0),0)</f>
        <v>2.2999999999999998</v>
      </c>
      <c r="AF1327" s="48">
        <f>IFERROR(VLOOKUP(Tabela3[[#This Row],[Produto]],Tabela2[],5,0),0)</f>
        <v>0.8747999999999998</v>
      </c>
      <c r="AG1327" s="48">
        <f>IFERROR(VLOOKUP(Tabela3[[#This Row],[Produto]],Tabela2[],6,0),0)</f>
        <v>0</v>
      </c>
      <c r="AH1327" s="40">
        <f>IFERROR(VLOOKUP(Tabela3[[#This Row],[Produto]],Tabela2[],7,0),0)</f>
        <v>0</v>
      </c>
      <c r="AI1327" s="40">
        <f>IFERROR(VLOOKUP(Tabela3[[#This Row],[Produto]],Tabela2[],8,0),0)</f>
        <v>0</v>
      </c>
      <c r="AJ1327" s="35">
        <f ca="1">IFERROR(VLOOKUP(Tabela3[[#This Row],[Produto]],Tabela2[],13,0),0)</f>
        <v>15.600000000000001</v>
      </c>
      <c r="AK1327" s="48" t="str">
        <f>IFERROR(VLOOKUP(Tabela3[[#This Row],[Produto]],Tabela2[],14,0),0)</f>
        <v>Senun</v>
      </c>
      <c r="AL1327" s="40">
        <f>IFERROR(VLOOKUP(Tabela3[[#This Row],[Produto]],Tabela2[],15,0),0)</f>
        <v>3.5</v>
      </c>
      <c r="AM1327" s="36">
        <f ca="1">(Tabela3[[#This Row],[Custo Usinagem]]+Tabela3[[#This Row],[Custo / Pç]])*1.2</f>
        <v>14.460572850233282</v>
      </c>
      <c r="AN1327" s="36">
        <f ca="1">Tabela3[[#This Row],[Valor Mínimo Venda]]*1.15</f>
        <v>16.629658777768274</v>
      </c>
      <c r="AO1327" s="36">
        <f ca="1">Tabela3[[#This Row],[Tabela 1]]*1.08</f>
        <v>17.960031479989738</v>
      </c>
      <c r="AP1327" s="36">
        <f ca="1">Tabela3[[#This Row],[Tabela 2]]*1.15</f>
        <v>20.654036201988198</v>
      </c>
    </row>
    <row r="1328" spans="1:42">
      <c r="A1328" s="9">
        <v>46184</v>
      </c>
      <c r="B1328" s="9" t="s">
        <v>245</v>
      </c>
      <c r="C1328" s="14">
        <v>9820</v>
      </c>
      <c r="D1328" s="6" t="s">
        <v>46</v>
      </c>
      <c r="E1328" s="6" t="s">
        <v>44</v>
      </c>
      <c r="F1328" s="6">
        <v>21</v>
      </c>
      <c r="G1328" s="15">
        <v>9.5138888888888884E-2</v>
      </c>
      <c r="H1328" s="16">
        <v>0</v>
      </c>
      <c r="I1328" s="35">
        <f ca="1">IFERROR(Tabela3[[#This Row],[Custo Total]]/Tabela3[[#This Row],[Aluminio Util]],0)</f>
        <v>27.941823575289767</v>
      </c>
      <c r="J1328" s="35">
        <f ca="1">Tabela3[[#This Row],[Custo Total]]/Tabela3[[#This Row],[Realizado]]</f>
        <v>9.2766854269962025</v>
      </c>
      <c r="K1328" s="37">
        <f>IFERROR(Tabela3[[#This Row],[Qtde Cx Produzida]]/Tabela3[[#This Row],[Tempo]]/24,0)</f>
        <v>9.1970802919708046</v>
      </c>
      <c r="L1328" s="37">
        <f>Tabela3[[#This Row],[Qtde Cx Produzida]]*Tabela3[[#This Row],[Qdt Peça Placa]]</f>
        <v>84</v>
      </c>
      <c r="M1328" s="37">
        <f>Tabela3[[#This Row],[Previsto]]-Tabela3[[#This Row],[Perda Pçs]]</f>
        <v>84</v>
      </c>
      <c r="N1328" s="38">
        <f>IFERROR(Tabela3[[#This Row],[Perda Pçs]]/Tabela3[[#This Row],[Previsto]],0)</f>
        <v>0</v>
      </c>
      <c r="O1328" s="39">
        <f>IFERROR(IF(Tabela3[[#This Row],[Qtde Cx Produzida]] &lt;&gt; 0, Tabela3[[#This Row],[Tempo]] / Tabela3[[#This Row],[Qtde Cx Produzida]], 0),0)</f>
        <v>4.5304232804232805E-3</v>
      </c>
      <c r="P1328" s="57">
        <f>IFERROR(Tabela3[[#This Row],[Perda Pçs]]/Tabela3[[#This Row],[Qdt Peça Placa]],0)</f>
        <v>0</v>
      </c>
      <c r="Q1328" s="37">
        <f>IFERROR(Tabela3[[#This Row],[Realizado]]*Tabela3[[#This Row],[Peso Util/Pç]],0)</f>
        <v>27.888000000000002</v>
      </c>
      <c r="R1328" s="37">
        <f>IFERROR(Tabela3[[#This Row],[Peso Total Galho]]*Tabela3[[#This Row],[Qtde Cx Produzida]]*1.055,0)</f>
        <v>50.956499999999991</v>
      </c>
      <c r="S1328" s="37">
        <f>(Tabela3[[#This Row],[Aluminio Bruto]]-Tabela3[[#This Row],[Aluminio Util]])*0.9</f>
        <v>20.761649999999992</v>
      </c>
      <c r="T1328" s="37">
        <f>Tabela3[[#This Row],[Aluminio Bruto]]/OleoKGAluminio</f>
        <v>21.437333663878491</v>
      </c>
      <c r="U1328" s="35">
        <f>IFERROR((VLOOKUP(Tabela3[[#This Row],[Moldador]],Tabela1[],5,)+(VLOOKUP(Tabela3[[#This Row],[Ajudante]],Tabela1[],5,))*3.5),0)</f>
        <v>126.0945</v>
      </c>
      <c r="V1328" s="35">
        <f>IFERROR(Tabela3[[#This Row],[Custo M.O. / H]]/((Tabela3[[#This Row],[Realizado]]/Tabela3[[#This Row],[Qdt Peça Placa]])/Tabela3[[#This Row],[Tempo]]/24),)</f>
        <v>13.710274999999998</v>
      </c>
      <c r="W1328" s="35">
        <f>Tabela3[[#This Row],[Custo / Cx Moldada]]*Tabela3[[#This Row],[Qtde Cx Produzida]]</f>
        <v>287.91577499999994</v>
      </c>
      <c r="X1328" s="35">
        <f ca="1">Tabela3[[#This Row],[Aluminio Util]]*Tabela3[[#This Row],[Custo/Kg]]</f>
        <v>435.05280000000005</v>
      </c>
      <c r="Y1328" s="35">
        <f>IFERROR(VLOOKUP(Tabela3[[#This Row],[Data]],Tabela461213[],2,1)*(Tabela3[[#This Row],[Qtde Cx Produzida]]*Tabela3[[#This Row],[Qde macho / CX]]*Tabela3[[#This Row],[Peso Macho]]),)</f>
        <v>0</v>
      </c>
      <c r="Z1328" s="35">
        <f>IFERROR(Tabela3[[#This Row],[Qtde Oleo]]*(VLOOKUP(Tabela3[[#This Row],[Data]],CompraOleo[],3,TRUE))*1.05,0)</f>
        <v>56.273000867681041</v>
      </c>
      <c r="AA1328" s="47">
        <f ca="1">(Tabela3[[#This Row],[Custo Oleo]]+Tabela3[[#This Row],[Custo Aluminio]]+Tabela3[[#This Row],[Custo M.O. Total]]+Tabela3[[#This Row],[Custo Machos]])</f>
        <v>779.24157586768104</v>
      </c>
      <c r="AB1328" s="47">
        <f ca="1">Tabela3[[#This Row],[Custo Total]]*Tabela3[[#This Row],[% Perda]]</f>
        <v>0</v>
      </c>
      <c r="AC1328" s="40">
        <f>IFERROR(VLOOKUP(Tabela3[[#This Row],[Produto]],Tabela2[],2,0),0)</f>
        <v>4</v>
      </c>
      <c r="AD1328" s="48">
        <f>IFERROR(VLOOKUP(Tabela3[[#This Row],[Produto]],Tabela2[],3,0),0)</f>
        <v>0.33200000000000002</v>
      </c>
      <c r="AE1328" s="48">
        <f>IFERROR(VLOOKUP(Tabela3[[#This Row],[Produto]],Tabela2[],4,0),0)</f>
        <v>2.2999999999999998</v>
      </c>
      <c r="AF1328" s="48">
        <f>IFERROR(VLOOKUP(Tabela3[[#This Row],[Produto]],Tabela2[],5,0),0)</f>
        <v>0.8747999999999998</v>
      </c>
      <c r="AG1328" s="48">
        <f>IFERROR(VLOOKUP(Tabela3[[#This Row],[Produto]],Tabela2[],6,0),0)</f>
        <v>0</v>
      </c>
      <c r="AH1328" s="40">
        <f>IFERROR(VLOOKUP(Tabela3[[#This Row],[Produto]],Tabela2[],7,0),0)</f>
        <v>0</v>
      </c>
      <c r="AI1328" s="40">
        <f>IFERROR(VLOOKUP(Tabela3[[#This Row],[Produto]],Tabela2[],8,0),0)</f>
        <v>0</v>
      </c>
      <c r="AJ1328" s="35">
        <f ca="1">IFERROR(VLOOKUP(Tabela3[[#This Row],[Produto]],Tabela2[],13,0),0)</f>
        <v>15.600000000000001</v>
      </c>
      <c r="AK1328" s="48" t="str">
        <f>IFERROR(VLOOKUP(Tabela3[[#This Row],[Produto]],Tabela2[],14,0),0)</f>
        <v>Senun</v>
      </c>
      <c r="AL1328" s="40">
        <f>IFERROR(VLOOKUP(Tabela3[[#This Row],[Produto]],Tabela2[],15,0),0)</f>
        <v>3.5</v>
      </c>
      <c r="AM1328" s="36">
        <f ca="1">(Tabela3[[#This Row],[Custo Usinagem]]+Tabela3[[#This Row],[Custo / Pç]])*1.2</f>
        <v>15.332022512395442</v>
      </c>
      <c r="AN1328" s="36">
        <f ca="1">Tabela3[[#This Row],[Valor Mínimo Venda]]*1.15</f>
        <v>17.631825889254756</v>
      </c>
      <c r="AO1328" s="36">
        <f ca="1">Tabela3[[#This Row],[Tabela 1]]*1.08</f>
        <v>19.042371960395137</v>
      </c>
      <c r="AP1328" s="36">
        <f ca="1">Tabela3[[#This Row],[Tabela 2]]*1.15</f>
        <v>21.898727754454406</v>
      </c>
    </row>
    <row r="1329" spans="1:42">
      <c r="A1329" s="9">
        <v>46184</v>
      </c>
      <c r="B1329" s="9" t="s">
        <v>245</v>
      </c>
      <c r="C1329" s="14">
        <v>9820</v>
      </c>
      <c r="D1329" s="6" t="s">
        <v>44</v>
      </c>
      <c r="E1329" s="6" t="s">
        <v>47</v>
      </c>
      <c r="F1329" s="6">
        <v>18</v>
      </c>
      <c r="G1329" s="15">
        <v>8.2638888888888887E-2</v>
      </c>
      <c r="H1329" s="16">
        <v>0</v>
      </c>
      <c r="I1329" s="35">
        <f ca="1">IFERROR(Tabela3[[#This Row],[Custo Total]]/Tabela3[[#This Row],[Aluminio Util]],0)</f>
        <v>25.910778669393036</v>
      </c>
      <c r="J1329" s="35">
        <f ca="1">Tabela3[[#This Row],[Custo Total]]/Tabela3[[#This Row],[Realizado]]</f>
        <v>8.6023785182384884</v>
      </c>
      <c r="K1329" s="37">
        <f>IFERROR(Tabela3[[#This Row],[Qtde Cx Produzida]]/Tabela3[[#This Row],[Tempo]]/24,0)</f>
        <v>9.0756302521008401</v>
      </c>
      <c r="L1329" s="37">
        <f>Tabela3[[#This Row],[Qtde Cx Produzida]]*Tabela3[[#This Row],[Qdt Peça Placa]]</f>
        <v>72</v>
      </c>
      <c r="M1329" s="37">
        <f>Tabela3[[#This Row],[Previsto]]-Tabela3[[#This Row],[Perda Pçs]]</f>
        <v>72</v>
      </c>
      <c r="N1329" s="38">
        <f>IFERROR(Tabela3[[#This Row],[Perda Pçs]]/Tabela3[[#This Row],[Previsto]],0)</f>
        <v>0</v>
      </c>
      <c r="O1329" s="39">
        <f>IFERROR(IF(Tabela3[[#This Row],[Qtde Cx Produzida]] &lt;&gt; 0, Tabela3[[#This Row],[Tempo]] / Tabela3[[#This Row],[Qtde Cx Produzida]], 0),0)</f>
        <v>4.5910493827160496E-3</v>
      </c>
      <c r="P1329" s="57">
        <f>IFERROR(Tabela3[[#This Row],[Perda Pçs]]/Tabela3[[#This Row],[Qdt Peça Placa]],0)</f>
        <v>0</v>
      </c>
      <c r="Q1329" s="37">
        <f>IFERROR(Tabela3[[#This Row],[Realizado]]*Tabela3[[#This Row],[Peso Util/Pç]],0)</f>
        <v>23.904</v>
      </c>
      <c r="R1329" s="37">
        <f>IFERROR(Tabela3[[#This Row],[Peso Total Galho]]*Tabela3[[#This Row],[Qtde Cx Produzida]]*1.055,0)</f>
        <v>43.676999999999992</v>
      </c>
      <c r="S1329" s="37">
        <f>(Tabela3[[#This Row],[Aluminio Bruto]]-Tabela3[[#This Row],[Aluminio Util]])*0.9</f>
        <v>17.795699999999993</v>
      </c>
      <c r="T1329" s="37">
        <f>Tabela3[[#This Row],[Aluminio Bruto]]/OleoKGAluminio</f>
        <v>18.374857426181563</v>
      </c>
      <c r="U1329" s="35">
        <f>IFERROR((VLOOKUP(Tabela3[[#This Row],[Moldador]],Tabela1[],5,)+(VLOOKUP(Tabela3[[#This Row],[Ajudante]],Tabela1[],5,))*3.5),0)</f>
        <v>99.95034583333333</v>
      </c>
      <c r="V1329" s="35">
        <f>IFERROR(Tabela3[[#This Row],[Custo M.O. / H]]/((Tabela3[[#This Row],[Realizado]]/Tabela3[[#This Row],[Qdt Peça Placa]])/Tabela3[[#This Row],[Tempo]]/24),)</f>
        <v>11.013047364969136</v>
      </c>
      <c r="W1329" s="35">
        <f>Tabela3[[#This Row],[Custo / Cx Moldada]]*Tabela3[[#This Row],[Qtde Cx Produzida]]</f>
        <v>198.23485256944446</v>
      </c>
      <c r="X1329" s="35">
        <f ca="1">Tabela3[[#This Row],[Aluminio Util]]*Tabela3[[#This Row],[Custo/Kg]]</f>
        <v>372.90240000000006</v>
      </c>
      <c r="Y1329" s="35">
        <f>IFERROR(VLOOKUP(Tabela3[[#This Row],[Data]],Tabela461213[],2,1)*(Tabela3[[#This Row],[Qtde Cx Produzida]]*Tabela3[[#This Row],[Qde macho / CX]]*Tabela3[[#This Row],[Peso Macho]]),)</f>
        <v>0</v>
      </c>
      <c r="Z1329" s="35">
        <f>IFERROR(Tabela3[[#This Row],[Qtde Oleo]]*(VLOOKUP(Tabela3[[#This Row],[Data]],CompraOleo[],3,TRUE))*1.05,0)</f>
        <v>48.234000743726604</v>
      </c>
      <c r="AA1329" s="47">
        <f ca="1">(Tabela3[[#This Row],[Custo Oleo]]+Tabela3[[#This Row],[Custo Aluminio]]+Tabela3[[#This Row],[Custo M.O. Total]]+Tabela3[[#This Row],[Custo Machos]])</f>
        <v>619.37125331317111</v>
      </c>
      <c r="AB1329" s="47">
        <f ca="1">Tabela3[[#This Row],[Custo Total]]*Tabela3[[#This Row],[% Perda]]</f>
        <v>0</v>
      </c>
      <c r="AC1329" s="40">
        <f>IFERROR(VLOOKUP(Tabela3[[#This Row],[Produto]],Tabela2[],2,0),0)</f>
        <v>4</v>
      </c>
      <c r="AD1329" s="48">
        <f>IFERROR(VLOOKUP(Tabela3[[#This Row],[Produto]],Tabela2[],3,0),0)</f>
        <v>0.33200000000000002</v>
      </c>
      <c r="AE1329" s="48">
        <f>IFERROR(VLOOKUP(Tabela3[[#This Row],[Produto]],Tabela2[],4,0),0)</f>
        <v>2.2999999999999998</v>
      </c>
      <c r="AF1329" s="48">
        <f>IFERROR(VLOOKUP(Tabela3[[#This Row],[Produto]],Tabela2[],5,0),0)</f>
        <v>0.8747999999999998</v>
      </c>
      <c r="AG1329" s="48">
        <f>IFERROR(VLOOKUP(Tabela3[[#This Row],[Produto]],Tabela2[],6,0),0)</f>
        <v>0</v>
      </c>
      <c r="AH1329" s="40">
        <f>IFERROR(VLOOKUP(Tabela3[[#This Row],[Produto]],Tabela2[],7,0),0)</f>
        <v>0</v>
      </c>
      <c r="AI1329" s="40">
        <f>IFERROR(VLOOKUP(Tabela3[[#This Row],[Produto]],Tabela2[],8,0),0)</f>
        <v>0</v>
      </c>
      <c r="AJ1329" s="35">
        <f ca="1">IFERROR(VLOOKUP(Tabela3[[#This Row],[Produto]],Tabela2[],13,0),0)</f>
        <v>15.600000000000001</v>
      </c>
      <c r="AK1329" s="48" t="str">
        <f>IFERROR(VLOOKUP(Tabela3[[#This Row],[Produto]],Tabela2[],14,0),0)</f>
        <v>Senun</v>
      </c>
      <c r="AL1329" s="40">
        <f>IFERROR(VLOOKUP(Tabela3[[#This Row],[Produto]],Tabela2[],15,0),0)</f>
        <v>3.5</v>
      </c>
      <c r="AM1329" s="36">
        <f ca="1">(Tabela3[[#This Row],[Custo Usinagem]]+Tabela3[[#This Row],[Custo / Pç]])*1.2</f>
        <v>14.522854221886185</v>
      </c>
      <c r="AN1329" s="36">
        <f ca="1">Tabela3[[#This Row],[Valor Mínimo Venda]]*1.15</f>
        <v>16.701282355169113</v>
      </c>
      <c r="AO1329" s="36">
        <f ca="1">Tabela3[[#This Row],[Tabela 1]]*1.08</f>
        <v>18.037384943582644</v>
      </c>
      <c r="AP1329" s="36">
        <f ca="1">Tabela3[[#This Row],[Tabela 2]]*1.15</f>
        <v>20.74299268512004</v>
      </c>
    </row>
    <row r="1330" spans="1:42">
      <c r="A1330" s="9">
        <v>46184</v>
      </c>
      <c r="B1330" s="9" t="s">
        <v>236</v>
      </c>
      <c r="C1330" s="14">
        <v>9935</v>
      </c>
      <c r="D1330" s="6" t="s">
        <v>44</v>
      </c>
      <c r="E1330" s="6" t="s">
        <v>47</v>
      </c>
      <c r="F1330" s="6">
        <v>9</v>
      </c>
      <c r="G1330" s="15">
        <v>4.9305555555555554E-2</v>
      </c>
      <c r="H1330" s="16">
        <v>0</v>
      </c>
      <c r="I1330" s="35">
        <f ca="1">IFERROR(Tabela3[[#This Row],[Custo Total]]/Tabela3[[#This Row],[Aluminio Util]],0)</f>
        <v>24.236233733687357</v>
      </c>
      <c r="J1330" s="35">
        <f ca="1">Tabela3[[#This Row],[Custo Total]]/Tabela3[[#This Row],[Realizado]]</f>
        <v>7.3193425875735807</v>
      </c>
      <c r="K1330" s="37">
        <f>IFERROR(Tabela3[[#This Row],[Qtde Cx Produzida]]/Tabela3[[#This Row],[Tempo]]/24,0)</f>
        <v>7.605633802816901</v>
      </c>
      <c r="L1330" s="37">
        <f>Tabela3[[#This Row],[Qtde Cx Produzida]]*Tabela3[[#This Row],[Qdt Peça Placa]]</f>
        <v>54</v>
      </c>
      <c r="M1330" s="37">
        <f>Tabela3[[#This Row],[Previsto]]-Tabela3[[#This Row],[Perda Pçs]]</f>
        <v>54</v>
      </c>
      <c r="N1330" s="38">
        <f>IFERROR(Tabela3[[#This Row],[Perda Pçs]]/Tabela3[[#This Row],[Previsto]],0)</f>
        <v>0</v>
      </c>
      <c r="O1330" s="39">
        <f>IFERROR(IF(Tabela3[[#This Row],[Qtde Cx Produzida]] &lt;&gt; 0, Tabela3[[#This Row],[Tempo]] / Tabela3[[#This Row],[Qtde Cx Produzida]], 0),0)</f>
        <v>5.4783950617283946E-3</v>
      </c>
      <c r="P1330" s="57">
        <f>IFERROR(Tabela3[[#This Row],[Perda Pçs]]/Tabela3[[#This Row],[Qdt Peça Placa]],0)</f>
        <v>0</v>
      </c>
      <c r="Q1330" s="37">
        <f>IFERROR(Tabela3[[#This Row],[Realizado]]*Tabela3[[#This Row],[Peso Util/Pç]],0)</f>
        <v>16.308</v>
      </c>
      <c r="R1330" s="37">
        <f>IFERROR(Tabela3[[#This Row],[Peso Total Galho]]*Tabela3[[#This Row],[Qtde Cx Produzida]]*1.055,0)</f>
        <v>20.433240000000001</v>
      </c>
      <c r="S1330" s="37">
        <f>(Tabela3[[#This Row],[Aluminio Bruto]]-Tabela3[[#This Row],[Aluminio Util]])*0.9</f>
        <v>3.7127160000000017</v>
      </c>
      <c r="T1330" s="37">
        <f>Tabela3[[#This Row],[Aluminio Bruto]]/OleoKGAluminio</f>
        <v>8.5962376480745082</v>
      </c>
      <c r="U1330" s="35">
        <f>IFERROR((VLOOKUP(Tabela3[[#This Row],[Moldador]],Tabela1[],5,)+(VLOOKUP(Tabela3[[#This Row],[Ajudante]],Tabela1[],5,))*3.5),0)</f>
        <v>99.95034583333333</v>
      </c>
      <c r="V1330" s="35">
        <f>IFERROR(Tabela3[[#This Row],[Custo M.O. / H]]/((Tabela3[[#This Row],[Realizado]]/Tabela3[[#This Row],[Qdt Peça Placa]])/Tabela3[[#This Row],[Tempo]]/24),)</f>
        <v>13.141619544753087</v>
      </c>
      <c r="W1330" s="35">
        <f>Tabela3[[#This Row],[Custo / Cx Moldada]]*Tabela3[[#This Row],[Qtde Cx Produzida]]</f>
        <v>118.27457590277778</v>
      </c>
      <c r="X1330" s="35">
        <f ca="1">Tabela3[[#This Row],[Aluminio Util]]*Tabela3[[#This Row],[Custo/Kg]]</f>
        <v>254.40480000000002</v>
      </c>
      <c r="Y1330" s="35">
        <f>IFERROR(VLOOKUP(Tabela3[[#This Row],[Data]],Tabela461213[],2,1)*(Tabela3[[#This Row],[Qtde Cx Produzida]]*Tabela3[[#This Row],[Qde macho / CX]]*Tabela3[[#This Row],[Peso Macho]]),)</f>
        <v>0</v>
      </c>
      <c r="Z1330" s="35">
        <f>IFERROR(Tabela3[[#This Row],[Qtde Oleo]]*(VLOOKUP(Tabela3[[#This Row],[Data]],CompraOleo[],3,TRUE))*1.05,0)</f>
        <v>22.565123826195585</v>
      </c>
      <c r="AA1330" s="47">
        <f ca="1">(Tabela3[[#This Row],[Custo Oleo]]+Tabela3[[#This Row],[Custo Aluminio]]+Tabela3[[#This Row],[Custo M.O. Total]]+Tabela3[[#This Row],[Custo Machos]])</f>
        <v>395.24449972897338</v>
      </c>
      <c r="AB1330" s="47">
        <f ca="1">Tabela3[[#This Row],[Custo Total]]*Tabela3[[#This Row],[% Perda]]</f>
        <v>0</v>
      </c>
      <c r="AC1330" s="40">
        <f>IFERROR(VLOOKUP(Tabela3[[#This Row],[Produto]],Tabela2[],2,0),0)</f>
        <v>6</v>
      </c>
      <c r="AD1330" s="48">
        <f>IFERROR(VLOOKUP(Tabela3[[#This Row],[Produto]],Tabela2[],3,0),0)</f>
        <v>0.30199999999999999</v>
      </c>
      <c r="AE1330" s="48">
        <f>IFERROR(VLOOKUP(Tabela3[[#This Row],[Produto]],Tabela2[],4,0),0)</f>
        <v>2.1520000000000001</v>
      </c>
      <c r="AF1330" s="48">
        <f>IFERROR(VLOOKUP(Tabela3[[#This Row],[Produto]],Tabela2[],5,0),0)</f>
        <v>0.30600000000000027</v>
      </c>
      <c r="AG1330" s="48">
        <f>IFERROR(VLOOKUP(Tabela3[[#This Row],[Produto]],Tabela2[],6,0),0)</f>
        <v>0</v>
      </c>
      <c r="AH1330" s="40">
        <f>IFERROR(VLOOKUP(Tabela3[[#This Row],[Produto]],Tabela2[],7,0),0)</f>
        <v>0</v>
      </c>
      <c r="AI1330" s="40">
        <f>IFERROR(VLOOKUP(Tabela3[[#This Row],[Produto]],Tabela2[],8,0),0)</f>
        <v>0</v>
      </c>
      <c r="AJ1330" s="35">
        <f ca="1">IFERROR(VLOOKUP(Tabela3[[#This Row],[Produto]],Tabela2[],13,0),0)</f>
        <v>15.600000000000001</v>
      </c>
      <c r="AK1330" s="48" t="str">
        <f>IFERROR(VLOOKUP(Tabela3[[#This Row],[Produto]],Tabela2[],14,0),0)</f>
        <v>Senun</v>
      </c>
      <c r="AL1330" s="40">
        <f>IFERROR(VLOOKUP(Tabela3[[#This Row],[Produto]],Tabela2[],15,0),0)</f>
        <v>4</v>
      </c>
      <c r="AM1330" s="36">
        <f ca="1">(Tabela3[[#This Row],[Custo Usinagem]]+Tabela3[[#This Row],[Custo / Pç]])*1.2</f>
        <v>13.583211105088296</v>
      </c>
      <c r="AN1330" s="36">
        <f ca="1">Tabela3[[#This Row],[Valor Mínimo Venda]]*1.15</f>
        <v>15.620692770851539</v>
      </c>
      <c r="AO1330" s="36">
        <f ca="1">Tabela3[[#This Row],[Tabela 1]]*1.08</f>
        <v>16.870348192519664</v>
      </c>
      <c r="AP1330" s="36">
        <f ca="1">Tabela3[[#This Row],[Tabela 2]]*1.15</f>
        <v>19.400900421397612</v>
      </c>
    </row>
    <row r="1331" spans="1:42">
      <c r="A1331" s="9">
        <v>46185</v>
      </c>
      <c r="B1331" s="9" t="s">
        <v>245</v>
      </c>
      <c r="C1331" s="14">
        <v>9820</v>
      </c>
      <c r="D1331" s="6" t="s">
        <v>46</v>
      </c>
      <c r="E1331" s="6" t="s">
        <v>50</v>
      </c>
      <c r="F1331" s="6">
        <v>55</v>
      </c>
      <c r="G1331" s="15">
        <v>0.26458333333333334</v>
      </c>
      <c r="H1331" s="16">
        <v>0</v>
      </c>
      <c r="I1331" s="35">
        <f ca="1">IFERROR(Tabela3[[#This Row],[Custo Total]]/Tabela3[[#This Row],[Aluminio Util]],0)</f>
        <v>26.307370823943476</v>
      </c>
      <c r="J1331" s="35">
        <f ca="1">Tabela3[[#This Row],[Custo Total]]/Tabela3[[#This Row],[Realizado]]</f>
        <v>8.7340471135492344</v>
      </c>
      <c r="K1331" s="37">
        <f>IFERROR(Tabela3[[#This Row],[Qtde Cx Produzida]]/Tabela3[[#This Row],[Tempo]]/24,0)</f>
        <v>8.6614173228346463</v>
      </c>
      <c r="L1331" s="37">
        <f>Tabela3[[#This Row],[Qtde Cx Produzida]]*Tabela3[[#This Row],[Qdt Peça Placa]]</f>
        <v>220</v>
      </c>
      <c r="M1331" s="37">
        <f>Tabela3[[#This Row],[Previsto]]-Tabela3[[#This Row],[Perda Pçs]]</f>
        <v>220</v>
      </c>
      <c r="N1331" s="38">
        <f>IFERROR(Tabela3[[#This Row],[Perda Pçs]]/Tabela3[[#This Row],[Previsto]],0)</f>
        <v>0</v>
      </c>
      <c r="O1331" s="39">
        <f>IFERROR(IF(Tabela3[[#This Row],[Qtde Cx Produzida]] &lt;&gt; 0, Tabela3[[#This Row],[Tempo]] / Tabela3[[#This Row],[Qtde Cx Produzida]], 0),0)</f>
        <v>4.8106060606060604E-3</v>
      </c>
      <c r="P1331" s="57">
        <f>IFERROR(Tabela3[[#This Row],[Perda Pçs]]/Tabela3[[#This Row],[Qdt Peça Placa]],0)</f>
        <v>0</v>
      </c>
      <c r="Q1331" s="37">
        <f>IFERROR(Tabela3[[#This Row],[Realizado]]*Tabela3[[#This Row],[Peso Util/Pç]],0)</f>
        <v>73.040000000000006</v>
      </c>
      <c r="R1331" s="37">
        <f>IFERROR(Tabela3[[#This Row],[Peso Total Galho]]*Tabela3[[#This Row],[Qtde Cx Produzida]]*1.055,0)</f>
        <v>133.45749999999998</v>
      </c>
      <c r="S1331" s="37">
        <f>(Tabela3[[#This Row],[Aluminio Bruto]]-Tabela3[[#This Row],[Aluminio Util]])*0.9</f>
        <v>54.375749999999982</v>
      </c>
      <c r="T1331" s="37">
        <f>Tabela3[[#This Row],[Aluminio Bruto]]/OleoKGAluminio</f>
        <v>56.14539769111034</v>
      </c>
      <c r="U1331" s="35">
        <f>IFERROR((VLOOKUP(Tabela3[[#This Row],[Moldador]],Tabela1[],5,)+(VLOOKUP(Tabela3[[#This Row],[Ajudante]],Tabela1[],5,))*3.5),0)</f>
        <v>99.95034583333333</v>
      </c>
      <c r="V1331" s="35">
        <f>IFERROR(Tabela3[[#This Row],[Custo M.O. / H]]/((Tabela3[[#This Row],[Realizado]]/Tabela3[[#This Row],[Qdt Peça Placa]])/Tabela3[[#This Row],[Tempo]]/24),)</f>
        <v>11.53972174621212</v>
      </c>
      <c r="W1331" s="35">
        <f>Tabela3[[#This Row],[Custo / Cx Moldada]]*Tabela3[[#This Row],[Qtde Cx Produzida]]</f>
        <v>634.6846960416666</v>
      </c>
      <c r="X1331" s="35">
        <f ca="1">Tabela3[[#This Row],[Aluminio Util]]*Tabela3[[#This Row],[Custo/Kg]]</f>
        <v>1139.4240000000002</v>
      </c>
      <c r="Y1331" s="35">
        <f>IFERROR(VLOOKUP(Tabela3[[#This Row],[Data]],Tabela461213[],2,1)*(Tabela3[[#This Row],[Qtde Cx Produzida]]*Tabela3[[#This Row],[Qde macho / CX]]*Tabela3[[#This Row],[Peso Macho]]),)</f>
        <v>0</v>
      </c>
      <c r="Z1331" s="35">
        <f>IFERROR(Tabela3[[#This Row],[Qtde Oleo]]*(VLOOKUP(Tabela3[[#This Row],[Data]],CompraOleo[],3,TRUE))*1.05,0)</f>
        <v>147.38166893916465</v>
      </c>
      <c r="AA1331" s="47">
        <f ca="1">(Tabela3[[#This Row],[Custo Oleo]]+Tabela3[[#This Row],[Custo Aluminio]]+Tabela3[[#This Row],[Custo M.O. Total]]+Tabela3[[#This Row],[Custo Machos]])</f>
        <v>1921.4903649808316</v>
      </c>
      <c r="AB1331" s="47">
        <f ca="1">Tabela3[[#This Row],[Custo Total]]*Tabela3[[#This Row],[% Perda]]</f>
        <v>0</v>
      </c>
      <c r="AC1331" s="40">
        <f>IFERROR(VLOOKUP(Tabela3[[#This Row],[Produto]],Tabela2[],2,0),0)</f>
        <v>4</v>
      </c>
      <c r="AD1331" s="48">
        <f>IFERROR(VLOOKUP(Tabela3[[#This Row],[Produto]],Tabela2[],3,0),0)</f>
        <v>0.33200000000000002</v>
      </c>
      <c r="AE1331" s="48">
        <f>IFERROR(VLOOKUP(Tabela3[[#This Row],[Produto]],Tabela2[],4,0),0)</f>
        <v>2.2999999999999998</v>
      </c>
      <c r="AF1331" s="48">
        <f>IFERROR(VLOOKUP(Tabela3[[#This Row],[Produto]],Tabela2[],5,0),0)</f>
        <v>0.8747999999999998</v>
      </c>
      <c r="AG1331" s="48">
        <f>IFERROR(VLOOKUP(Tabela3[[#This Row],[Produto]],Tabela2[],6,0),0)</f>
        <v>0</v>
      </c>
      <c r="AH1331" s="40">
        <f>IFERROR(VLOOKUP(Tabela3[[#This Row],[Produto]],Tabela2[],7,0),0)</f>
        <v>0</v>
      </c>
      <c r="AI1331" s="40">
        <f>IFERROR(VLOOKUP(Tabela3[[#This Row],[Produto]],Tabela2[],8,0),0)</f>
        <v>0</v>
      </c>
      <c r="AJ1331" s="35">
        <f ca="1">IFERROR(VLOOKUP(Tabela3[[#This Row],[Produto]],Tabela2[],13,0),0)</f>
        <v>15.600000000000001</v>
      </c>
      <c r="AK1331" s="48" t="str">
        <f>IFERROR(VLOOKUP(Tabela3[[#This Row],[Produto]],Tabela2[],14,0),0)</f>
        <v>Senun</v>
      </c>
      <c r="AL1331" s="40">
        <f>IFERROR(VLOOKUP(Tabela3[[#This Row],[Produto]],Tabela2[],15,0),0)</f>
        <v>3.5</v>
      </c>
      <c r="AM1331" s="36">
        <f ca="1">(Tabela3[[#This Row],[Custo Usinagem]]+Tabela3[[#This Row],[Custo / Pç]])*1.2</f>
        <v>14.68085653625908</v>
      </c>
      <c r="AN1331" s="36">
        <f ca="1">Tabela3[[#This Row],[Valor Mínimo Venda]]*1.15</f>
        <v>16.88298501669794</v>
      </c>
      <c r="AO1331" s="36">
        <f ca="1">Tabela3[[#This Row],[Tabela 1]]*1.08</f>
        <v>18.233623818033777</v>
      </c>
      <c r="AP1331" s="36">
        <f ca="1">Tabela3[[#This Row],[Tabela 2]]*1.15</f>
        <v>20.968667390738844</v>
      </c>
    </row>
    <row r="1332" spans="1:42">
      <c r="A1332" s="9">
        <v>46185</v>
      </c>
      <c r="B1332" s="9" t="s">
        <v>245</v>
      </c>
      <c r="C1332" s="14">
        <v>9820</v>
      </c>
      <c r="D1332" s="6" t="s">
        <v>46</v>
      </c>
      <c r="E1332" s="6" t="s">
        <v>44</v>
      </c>
      <c r="F1332" s="6">
        <v>23</v>
      </c>
      <c r="G1332" s="15">
        <v>9.375E-2</v>
      </c>
      <c r="H1332" s="16">
        <v>0</v>
      </c>
      <c r="I1332" s="35">
        <f ca="1">IFERROR(Tabela3[[#This Row],[Custo Total]]/Tabela3[[#This Row],[Aluminio Util]],0)</f>
        <v>26.906474570575259</v>
      </c>
      <c r="J1332" s="35">
        <f ca="1">Tabela3[[#This Row],[Custo Total]]/Tabela3[[#This Row],[Realizado]]</f>
        <v>8.9329495574309856</v>
      </c>
      <c r="K1332" s="37">
        <f>IFERROR(Tabela3[[#This Row],[Qtde Cx Produzida]]/Tabela3[[#This Row],[Tempo]]/24,0)</f>
        <v>10.222222222222223</v>
      </c>
      <c r="L1332" s="37">
        <f>Tabela3[[#This Row],[Qtde Cx Produzida]]*Tabela3[[#This Row],[Qdt Peça Placa]]</f>
        <v>92</v>
      </c>
      <c r="M1332" s="37">
        <f>Tabela3[[#This Row],[Previsto]]-Tabela3[[#This Row],[Perda Pçs]]</f>
        <v>92</v>
      </c>
      <c r="N1332" s="38">
        <f>IFERROR(Tabela3[[#This Row],[Perda Pçs]]/Tabela3[[#This Row],[Previsto]],0)</f>
        <v>0</v>
      </c>
      <c r="O1332" s="39">
        <f>IFERROR(IF(Tabela3[[#This Row],[Qtde Cx Produzida]] &lt;&gt; 0, Tabela3[[#This Row],[Tempo]] / Tabela3[[#This Row],[Qtde Cx Produzida]], 0),0)</f>
        <v>4.076086956521739E-3</v>
      </c>
      <c r="P1332" s="57">
        <f>IFERROR(Tabela3[[#This Row],[Perda Pçs]]/Tabela3[[#This Row],[Qdt Peça Placa]],0)</f>
        <v>0</v>
      </c>
      <c r="Q1332" s="37">
        <f>IFERROR(Tabela3[[#This Row],[Realizado]]*Tabela3[[#This Row],[Peso Util/Pç]],0)</f>
        <v>30.544</v>
      </c>
      <c r="R1332" s="37">
        <f>IFERROR(Tabela3[[#This Row],[Peso Total Galho]]*Tabela3[[#This Row],[Qtde Cx Produzida]]*1.055,0)</f>
        <v>55.809499999999993</v>
      </c>
      <c r="S1332" s="37">
        <f>(Tabela3[[#This Row],[Aluminio Bruto]]-Tabela3[[#This Row],[Aluminio Util]])*0.9</f>
        <v>22.738949999999992</v>
      </c>
      <c r="T1332" s="37">
        <f>Tabela3[[#This Row],[Aluminio Bruto]]/OleoKGAluminio</f>
        <v>23.478984489009779</v>
      </c>
      <c r="U1332" s="35">
        <f>IFERROR((VLOOKUP(Tabela3[[#This Row],[Moldador]],Tabela1[],5,)+(VLOOKUP(Tabela3[[#This Row],[Ajudante]],Tabela1[],5,))*3.5),0)</f>
        <v>126.0945</v>
      </c>
      <c r="V1332" s="35">
        <f>IFERROR(Tabela3[[#This Row],[Custo M.O. / H]]/((Tabela3[[#This Row],[Realizado]]/Tabela3[[#This Row],[Qdt Peça Placa]])/Tabela3[[#This Row],[Tempo]]/24),)</f>
        <v>12.335331521739128</v>
      </c>
      <c r="W1332" s="35">
        <f>Tabela3[[#This Row],[Custo / Cx Moldada]]*Tabela3[[#This Row],[Qtde Cx Produzida]]</f>
        <v>283.71262499999995</v>
      </c>
      <c r="X1332" s="35">
        <f ca="1">Tabela3[[#This Row],[Aluminio Util]]*Tabela3[[#This Row],[Custo/Kg]]</f>
        <v>476.48640000000006</v>
      </c>
      <c r="Y1332" s="35">
        <f>IFERROR(VLOOKUP(Tabela3[[#This Row],[Data]],Tabela461213[],2,1)*(Tabela3[[#This Row],[Qtde Cx Produzida]]*Tabela3[[#This Row],[Qde macho / CX]]*Tabela3[[#This Row],[Peso Macho]]),)</f>
        <v>0</v>
      </c>
      <c r="Z1332" s="35">
        <f>IFERROR(Tabela3[[#This Row],[Qtde Oleo]]*(VLOOKUP(Tabela3[[#This Row],[Data]],CompraOleo[],3,TRUE))*1.05,0)</f>
        <v>61.632334283650671</v>
      </c>
      <c r="AA1332" s="47">
        <f ca="1">(Tabela3[[#This Row],[Custo Oleo]]+Tabela3[[#This Row],[Custo Aluminio]]+Tabela3[[#This Row],[Custo M.O. Total]]+Tabela3[[#This Row],[Custo Machos]])</f>
        <v>821.83135928365073</v>
      </c>
      <c r="AB1332" s="47">
        <f ca="1">Tabela3[[#This Row],[Custo Total]]*Tabela3[[#This Row],[% Perda]]</f>
        <v>0</v>
      </c>
      <c r="AC1332" s="40">
        <f>IFERROR(VLOOKUP(Tabela3[[#This Row],[Produto]],Tabela2[],2,0),0)</f>
        <v>4</v>
      </c>
      <c r="AD1332" s="48">
        <f>IFERROR(VLOOKUP(Tabela3[[#This Row],[Produto]],Tabela2[],3,0),0)</f>
        <v>0.33200000000000002</v>
      </c>
      <c r="AE1332" s="48">
        <f>IFERROR(VLOOKUP(Tabela3[[#This Row],[Produto]],Tabela2[],4,0),0)</f>
        <v>2.2999999999999998</v>
      </c>
      <c r="AF1332" s="48">
        <f>IFERROR(VLOOKUP(Tabela3[[#This Row],[Produto]],Tabela2[],5,0),0)</f>
        <v>0.8747999999999998</v>
      </c>
      <c r="AG1332" s="48">
        <f>IFERROR(VLOOKUP(Tabela3[[#This Row],[Produto]],Tabela2[],6,0),0)</f>
        <v>0</v>
      </c>
      <c r="AH1332" s="40">
        <f>IFERROR(VLOOKUP(Tabela3[[#This Row],[Produto]],Tabela2[],7,0),0)</f>
        <v>0</v>
      </c>
      <c r="AI1332" s="40">
        <f>IFERROR(VLOOKUP(Tabela3[[#This Row],[Produto]],Tabela2[],8,0),0)</f>
        <v>0</v>
      </c>
      <c r="AJ1332" s="35">
        <f ca="1">IFERROR(VLOOKUP(Tabela3[[#This Row],[Produto]],Tabela2[],13,0),0)</f>
        <v>15.600000000000001</v>
      </c>
      <c r="AK1332" s="48" t="str">
        <f>IFERROR(VLOOKUP(Tabela3[[#This Row],[Produto]],Tabela2[],14,0),0)</f>
        <v>Senun</v>
      </c>
      <c r="AL1332" s="40">
        <f>IFERROR(VLOOKUP(Tabela3[[#This Row],[Produto]],Tabela2[],15,0),0)</f>
        <v>3.5</v>
      </c>
      <c r="AM1332" s="36">
        <f ca="1">(Tabela3[[#This Row],[Custo Usinagem]]+Tabela3[[#This Row],[Custo / Pç]])*1.2</f>
        <v>14.919539468917183</v>
      </c>
      <c r="AN1332" s="36">
        <f ca="1">Tabela3[[#This Row],[Valor Mínimo Venda]]*1.15</f>
        <v>17.157470389254758</v>
      </c>
      <c r="AO1332" s="36">
        <f ca="1">Tabela3[[#This Row],[Tabela 1]]*1.08</f>
        <v>18.530068020395142</v>
      </c>
      <c r="AP1332" s="36">
        <f ca="1">Tabela3[[#This Row],[Tabela 2]]*1.15</f>
        <v>21.309578223454412</v>
      </c>
    </row>
    <row r="1333" spans="1:42">
      <c r="A1333" s="9">
        <v>46185</v>
      </c>
      <c r="B1333" s="9" t="s">
        <v>236</v>
      </c>
      <c r="C1333" s="14">
        <v>9935</v>
      </c>
      <c r="D1333" s="6" t="s">
        <v>44</v>
      </c>
      <c r="E1333" s="6" t="s">
        <v>47</v>
      </c>
      <c r="F1333" s="6">
        <v>48</v>
      </c>
      <c r="G1333" s="15">
        <v>0.23958333333333334</v>
      </c>
      <c r="H1333" s="16">
        <v>0</v>
      </c>
      <c r="I1333" s="35">
        <f ca="1">IFERROR(Tabela3[[#This Row],[Custo Total]]/Tabela3[[#This Row],[Aluminio Util]],0)</f>
        <v>23.59142080130967</v>
      </c>
      <c r="J1333" s="35">
        <f ca="1">Tabela3[[#This Row],[Custo Total]]/Tabela3[[#This Row],[Realizado]]</f>
        <v>7.1246090819955201</v>
      </c>
      <c r="K1333" s="37">
        <f>IFERROR(Tabela3[[#This Row],[Qtde Cx Produzida]]/Tabela3[[#This Row],[Tempo]]/24,0)</f>
        <v>8.3478260869565215</v>
      </c>
      <c r="L1333" s="37">
        <f>Tabela3[[#This Row],[Qtde Cx Produzida]]*Tabela3[[#This Row],[Qdt Peça Placa]]</f>
        <v>288</v>
      </c>
      <c r="M1333" s="37">
        <f>Tabela3[[#This Row],[Previsto]]-Tabela3[[#This Row],[Perda Pçs]]</f>
        <v>288</v>
      </c>
      <c r="N1333" s="38">
        <f>IFERROR(Tabela3[[#This Row],[Perda Pçs]]/Tabela3[[#This Row],[Previsto]],0)</f>
        <v>0</v>
      </c>
      <c r="O1333" s="39">
        <f>IFERROR(IF(Tabela3[[#This Row],[Qtde Cx Produzida]] &lt;&gt; 0, Tabela3[[#This Row],[Tempo]] / Tabela3[[#This Row],[Qtde Cx Produzida]], 0),0)</f>
        <v>4.9913194444444449E-3</v>
      </c>
      <c r="P1333" s="57">
        <f>IFERROR(Tabela3[[#This Row],[Perda Pçs]]/Tabela3[[#This Row],[Qdt Peça Placa]],0)</f>
        <v>0</v>
      </c>
      <c r="Q1333" s="37">
        <f>IFERROR(Tabela3[[#This Row],[Realizado]]*Tabela3[[#This Row],[Peso Util/Pç]],0)</f>
        <v>86.975999999999999</v>
      </c>
      <c r="R1333" s="37">
        <f>IFERROR(Tabela3[[#This Row],[Peso Total Galho]]*Tabela3[[#This Row],[Qtde Cx Produzida]]*1.055,0)</f>
        <v>108.97728000000001</v>
      </c>
      <c r="S1333" s="37">
        <f>(Tabela3[[#This Row],[Aluminio Bruto]]-Tabela3[[#This Row],[Aluminio Util]])*0.9</f>
        <v>19.801152000000009</v>
      </c>
      <c r="T1333" s="37">
        <f>Tabela3[[#This Row],[Aluminio Bruto]]/OleoKGAluminio</f>
        <v>45.846600789730708</v>
      </c>
      <c r="U1333" s="35">
        <f>IFERROR((VLOOKUP(Tabela3[[#This Row],[Moldador]],Tabela1[],5,)+(VLOOKUP(Tabela3[[#This Row],[Ajudante]],Tabela1[],5,))*3.5),0)</f>
        <v>99.95034583333333</v>
      </c>
      <c r="V1333" s="35">
        <f>IFERROR(Tabela3[[#This Row],[Custo M.O. / H]]/((Tabela3[[#This Row],[Realizado]]/Tabela3[[#This Row],[Qdt Peça Placa]])/Tabela3[[#This Row],[Tempo]]/24),)</f>
        <v>11.973218511284722</v>
      </c>
      <c r="W1333" s="35">
        <f>Tabela3[[#This Row],[Custo / Cx Moldada]]*Tabela3[[#This Row],[Qtde Cx Produzida]]</f>
        <v>574.7144885416667</v>
      </c>
      <c r="X1333" s="35">
        <f ca="1">Tabela3[[#This Row],[Aluminio Util]]*Tabela3[[#This Row],[Custo/Kg]]</f>
        <v>1356.8256000000001</v>
      </c>
      <c r="Y1333" s="35">
        <f>IFERROR(VLOOKUP(Tabela3[[#This Row],[Data]],Tabela461213[],2,1)*(Tabela3[[#This Row],[Qtde Cx Produzida]]*Tabela3[[#This Row],[Qde macho / CX]]*Tabela3[[#This Row],[Peso Macho]]),)</f>
        <v>0</v>
      </c>
      <c r="Z1333" s="35">
        <f>IFERROR(Tabela3[[#This Row],[Qtde Oleo]]*(VLOOKUP(Tabela3[[#This Row],[Data]],CompraOleo[],3,TRUE))*1.05,0)</f>
        <v>120.3473270730431</v>
      </c>
      <c r="AA1333" s="47">
        <f ca="1">(Tabela3[[#This Row],[Custo Oleo]]+Tabela3[[#This Row],[Custo Aluminio]]+Tabela3[[#This Row],[Custo M.O. Total]]+Tabela3[[#This Row],[Custo Machos]])</f>
        <v>2051.8874156147099</v>
      </c>
      <c r="AB1333" s="47">
        <f ca="1">Tabela3[[#This Row],[Custo Total]]*Tabela3[[#This Row],[% Perda]]</f>
        <v>0</v>
      </c>
      <c r="AC1333" s="40">
        <f>IFERROR(VLOOKUP(Tabela3[[#This Row],[Produto]],Tabela2[],2,0),0)</f>
        <v>6</v>
      </c>
      <c r="AD1333" s="48">
        <f>IFERROR(VLOOKUP(Tabela3[[#This Row],[Produto]],Tabela2[],3,0),0)</f>
        <v>0.30199999999999999</v>
      </c>
      <c r="AE1333" s="48">
        <f>IFERROR(VLOOKUP(Tabela3[[#This Row],[Produto]],Tabela2[],4,0),0)</f>
        <v>2.1520000000000001</v>
      </c>
      <c r="AF1333" s="48">
        <f>IFERROR(VLOOKUP(Tabela3[[#This Row],[Produto]],Tabela2[],5,0),0)</f>
        <v>0.30600000000000027</v>
      </c>
      <c r="AG1333" s="48">
        <f>IFERROR(VLOOKUP(Tabela3[[#This Row],[Produto]],Tabela2[],6,0),0)</f>
        <v>0</v>
      </c>
      <c r="AH1333" s="40">
        <f>IFERROR(VLOOKUP(Tabela3[[#This Row],[Produto]],Tabela2[],7,0),0)</f>
        <v>0</v>
      </c>
      <c r="AI1333" s="40">
        <f>IFERROR(VLOOKUP(Tabela3[[#This Row],[Produto]],Tabela2[],8,0),0)</f>
        <v>0</v>
      </c>
      <c r="AJ1333" s="35">
        <f ca="1">IFERROR(VLOOKUP(Tabela3[[#This Row],[Produto]],Tabela2[],13,0),0)</f>
        <v>15.600000000000001</v>
      </c>
      <c r="AK1333" s="48" t="str">
        <f>IFERROR(VLOOKUP(Tabela3[[#This Row],[Produto]],Tabela2[],14,0),0)</f>
        <v>Senun</v>
      </c>
      <c r="AL1333" s="40">
        <f>IFERROR(VLOOKUP(Tabela3[[#This Row],[Produto]],Tabela2[],15,0),0)</f>
        <v>4</v>
      </c>
      <c r="AM1333" s="36">
        <f ca="1">(Tabela3[[#This Row],[Custo Usinagem]]+Tabela3[[#This Row],[Custo / Pç]])*1.2</f>
        <v>13.349530898394622</v>
      </c>
      <c r="AN1333" s="36">
        <f ca="1">Tabela3[[#This Row],[Valor Mínimo Venda]]*1.15</f>
        <v>15.351960533153814</v>
      </c>
      <c r="AO1333" s="36">
        <f ca="1">Tabela3[[#This Row],[Tabela 1]]*1.08</f>
        <v>16.580117375806122</v>
      </c>
      <c r="AP1333" s="36">
        <f ca="1">Tabela3[[#This Row],[Tabela 2]]*1.15</f>
        <v>19.067134982177038</v>
      </c>
    </row>
    <row r="1334" spans="1:42">
      <c r="A1334" s="9">
        <v>46188</v>
      </c>
      <c r="B1334" s="9" t="s">
        <v>229</v>
      </c>
      <c r="C1334" s="14">
        <v>9911</v>
      </c>
      <c r="D1334" s="6" t="s">
        <v>46</v>
      </c>
      <c r="E1334" s="6" t="s">
        <v>50</v>
      </c>
      <c r="F1334" s="6">
        <v>11</v>
      </c>
      <c r="G1334" s="15">
        <v>6.5277777777777782E-2</v>
      </c>
      <c r="H1334" s="16">
        <v>0</v>
      </c>
      <c r="I1334" s="35">
        <f ca="1">IFERROR(Tabela3[[#This Row],[Custo Total]]/Tabela3[[#This Row],[Aluminio Util]],0)</f>
        <v>22.231229140486821</v>
      </c>
      <c r="J1334" s="35">
        <f ca="1">Tabela3[[#This Row],[Custo Total]]/Tabela3[[#This Row],[Realizado]]</f>
        <v>61.980666843677255</v>
      </c>
      <c r="K1334" s="37">
        <f>IFERROR(Tabela3[[#This Row],[Qtde Cx Produzida]]/Tabela3[[#This Row],[Tempo]]/24,0)</f>
        <v>7.0212765957446805</v>
      </c>
      <c r="L1334" s="37">
        <f>Tabela3[[#This Row],[Qtde Cx Produzida]]*Tabela3[[#This Row],[Qdt Peça Placa]]</f>
        <v>11</v>
      </c>
      <c r="M1334" s="37">
        <f>Tabela3[[#This Row],[Previsto]]-Tabela3[[#This Row],[Perda Pçs]]</f>
        <v>11</v>
      </c>
      <c r="N1334" s="38">
        <f>IFERROR(Tabela3[[#This Row],[Perda Pçs]]/Tabela3[[#This Row],[Previsto]],0)</f>
        <v>0</v>
      </c>
      <c r="O1334" s="39">
        <f>IFERROR(IF(Tabela3[[#This Row],[Qtde Cx Produzida]] &lt;&gt; 0, Tabela3[[#This Row],[Tempo]] / Tabela3[[#This Row],[Qtde Cx Produzida]], 0),0)</f>
        <v>5.9343434343434344E-3</v>
      </c>
      <c r="P1334" s="57">
        <f>IFERROR(Tabela3[[#This Row],[Perda Pçs]]/Tabela3[[#This Row],[Qdt Peça Placa]],0)</f>
        <v>0</v>
      </c>
      <c r="Q1334" s="37">
        <f>IFERROR(Tabela3[[#This Row],[Realizado]]*Tabela3[[#This Row],[Peso Util/Pç]],0)</f>
        <v>30.667999999999999</v>
      </c>
      <c r="R1334" s="37">
        <f>IFERROR(Tabela3[[#This Row],[Peso Total Galho]]*Tabela3[[#This Row],[Qtde Cx Produzida]]*1.055,0)</f>
        <v>42.358249999999998</v>
      </c>
      <c r="S1334" s="37">
        <f>(Tabela3[[#This Row],[Aluminio Bruto]]-Tabela3[[#This Row],[Aluminio Util]])*0.9</f>
        <v>10.521224999999999</v>
      </c>
      <c r="T1334" s="37">
        <f>Tabela3[[#This Row],[Aluminio Bruto]]/OleoKGAluminio</f>
        <v>17.820061006308933</v>
      </c>
      <c r="U1334" s="35">
        <f>IFERROR((VLOOKUP(Tabela3[[#This Row],[Moldador]],Tabela1[],5,)+(VLOOKUP(Tabela3[[#This Row],[Ajudante]],Tabela1[],5,))*3.5),0)</f>
        <v>99.95034583333333</v>
      </c>
      <c r="V1334" s="35">
        <f>IFERROR(Tabela3[[#This Row],[Custo M.O. / H]]/((Tabela3[[#This Row],[Realizado]]/Tabela3[[#This Row],[Qdt Peça Placa]])/Tabela3[[#This Row],[Tempo]]/24),)</f>
        <v>14.235352285353535</v>
      </c>
      <c r="W1334" s="35">
        <f>Tabela3[[#This Row],[Custo / Cx Moldada]]*Tabela3[[#This Row],[Qtde Cx Produzida]]</f>
        <v>156.58887513888888</v>
      </c>
      <c r="X1334" s="35">
        <f ca="1">Tabela3[[#This Row],[Aluminio Util]]*Tabela3[[#This Row],[Custo/Kg]]</f>
        <v>478.42080000000004</v>
      </c>
      <c r="Y1334" s="35">
        <f>IFERROR(VLOOKUP(Tabela3[[#This Row],[Data]],Tabela461213[],2,1)*(Tabela3[[#This Row],[Qtde Cx Produzida]]*Tabela3[[#This Row],[Qde macho / CX]]*Tabela3[[#This Row],[Peso Macho]]),)</f>
        <v>0</v>
      </c>
      <c r="Z1334" s="35">
        <f>IFERROR(Tabela3[[#This Row],[Qtde Oleo]]*(VLOOKUP(Tabela3[[#This Row],[Data]],CompraOleo[],3,TRUE))*1.05,0)</f>
        <v>46.777660141560951</v>
      </c>
      <c r="AA1334" s="47">
        <f ca="1">(Tabela3[[#This Row],[Custo Oleo]]+Tabela3[[#This Row],[Custo Aluminio]]+Tabela3[[#This Row],[Custo M.O. Total]]+Tabela3[[#This Row],[Custo Machos]])</f>
        <v>681.78733528044984</v>
      </c>
      <c r="AB1334" s="47">
        <f ca="1">Tabela3[[#This Row],[Custo Total]]*Tabela3[[#This Row],[% Perda]]</f>
        <v>0</v>
      </c>
      <c r="AC1334" s="40">
        <f>IFERROR(VLOOKUP(Tabela3[[#This Row],[Produto]],Tabela2[],2,0),0)</f>
        <v>1</v>
      </c>
      <c r="AD1334" s="48">
        <f>IFERROR(VLOOKUP(Tabela3[[#This Row],[Produto]],Tabela2[],3,0),0)</f>
        <v>2.7879999999999998</v>
      </c>
      <c r="AE1334" s="48">
        <f>IFERROR(VLOOKUP(Tabela3[[#This Row],[Produto]],Tabela2[],4,0),0)</f>
        <v>3.65</v>
      </c>
      <c r="AF1334" s="48">
        <f>IFERROR(VLOOKUP(Tabela3[[#This Row],[Produto]],Tabela2[],5,0),0)</f>
        <v>0.77580000000000016</v>
      </c>
      <c r="AG1334" s="48">
        <f>IFERROR(VLOOKUP(Tabela3[[#This Row],[Produto]],Tabela2[],6,0),0)</f>
        <v>0</v>
      </c>
      <c r="AH1334" s="40">
        <f>IFERROR(VLOOKUP(Tabela3[[#This Row],[Produto]],Tabela2[],7,0),0)</f>
        <v>0</v>
      </c>
      <c r="AI1334" s="40">
        <f>IFERROR(VLOOKUP(Tabela3[[#This Row],[Produto]],Tabela2[],8,0),0)</f>
        <v>0</v>
      </c>
      <c r="AJ1334" s="35">
        <f ca="1">IFERROR(VLOOKUP(Tabela3[[#This Row],[Produto]],Tabela2[],13,0),0)</f>
        <v>15.600000000000001</v>
      </c>
      <c r="AK1334" s="48" t="str">
        <f>IFERROR(VLOOKUP(Tabela3[[#This Row],[Produto]],Tabela2[],14,0),0)</f>
        <v>Jumil</v>
      </c>
      <c r="AL1334" s="40">
        <f>IFERROR(VLOOKUP(Tabela3[[#This Row],[Produto]],Tabela2[],15,0),0)</f>
        <v>35</v>
      </c>
      <c r="AM1334" s="36">
        <f ca="1">(Tabela3[[#This Row],[Custo Usinagem]]+Tabela3[[#This Row],[Custo / Pç]])*1.2</f>
        <v>116.3768002124127</v>
      </c>
      <c r="AN1334" s="36">
        <f ca="1">Tabela3[[#This Row],[Valor Mínimo Venda]]*1.15</f>
        <v>133.8333202442746</v>
      </c>
      <c r="AO1334" s="36">
        <f ca="1">Tabela3[[#This Row],[Tabela 1]]*1.08</f>
        <v>144.53998586381658</v>
      </c>
      <c r="AP1334" s="36">
        <f ca="1">Tabela3[[#This Row],[Tabela 2]]*1.15</f>
        <v>166.22098374338907</v>
      </c>
    </row>
    <row r="1335" spans="1:42">
      <c r="A1335" s="9">
        <v>46188</v>
      </c>
      <c r="B1335" s="9" t="s">
        <v>229</v>
      </c>
      <c r="C1335" s="14">
        <v>9911</v>
      </c>
      <c r="D1335" s="6" t="s">
        <v>46</v>
      </c>
      <c r="E1335" s="6" t="s">
        <v>47</v>
      </c>
      <c r="F1335" s="6">
        <v>9</v>
      </c>
      <c r="G1335" s="15">
        <v>3.9583333333333331E-2</v>
      </c>
      <c r="H1335" s="16">
        <v>0</v>
      </c>
      <c r="I1335" s="35">
        <f ca="1">IFERROR(Tabela3[[#This Row],[Custo Total]]/Tabela3[[#This Row],[Aluminio Util]],0)</f>
        <v>20.909479498110162</v>
      </c>
      <c r="J1335" s="35">
        <f ca="1">Tabela3[[#This Row],[Custo Total]]/Tabela3[[#This Row],[Realizado]]</f>
        <v>58.295628840731133</v>
      </c>
      <c r="K1335" s="37">
        <f>IFERROR(Tabela3[[#This Row],[Qtde Cx Produzida]]/Tabela3[[#This Row],[Tempo]]/24,0)</f>
        <v>9.4736842105263168</v>
      </c>
      <c r="L1335" s="37">
        <f>Tabela3[[#This Row],[Qtde Cx Produzida]]*Tabela3[[#This Row],[Qdt Peça Placa]]</f>
        <v>9</v>
      </c>
      <c r="M1335" s="37">
        <f>Tabela3[[#This Row],[Previsto]]-Tabela3[[#This Row],[Perda Pçs]]</f>
        <v>9</v>
      </c>
      <c r="N1335" s="38">
        <f>IFERROR(Tabela3[[#This Row],[Perda Pçs]]/Tabela3[[#This Row],[Previsto]],0)</f>
        <v>0</v>
      </c>
      <c r="O1335" s="39">
        <f>IFERROR(IF(Tabela3[[#This Row],[Qtde Cx Produzida]] &lt;&gt; 0, Tabela3[[#This Row],[Tempo]] / Tabela3[[#This Row],[Qtde Cx Produzida]], 0),0)</f>
        <v>4.3981481481481476E-3</v>
      </c>
      <c r="P1335" s="57">
        <f>IFERROR(Tabela3[[#This Row],[Perda Pçs]]/Tabela3[[#This Row],[Qdt Peça Placa]],0)</f>
        <v>0</v>
      </c>
      <c r="Q1335" s="37">
        <f>IFERROR(Tabela3[[#This Row],[Realizado]]*Tabela3[[#This Row],[Peso Util/Pç]],0)</f>
        <v>25.091999999999999</v>
      </c>
      <c r="R1335" s="37">
        <f>IFERROR(Tabela3[[#This Row],[Peso Total Galho]]*Tabela3[[#This Row],[Qtde Cx Produzida]]*1.055,0)</f>
        <v>34.656750000000002</v>
      </c>
      <c r="S1335" s="37">
        <f>(Tabela3[[#This Row],[Aluminio Bruto]]-Tabela3[[#This Row],[Aluminio Util]])*0.9</f>
        <v>8.6082750000000043</v>
      </c>
      <c r="T1335" s="37">
        <f>Tabela3[[#This Row],[Aluminio Bruto]]/OleoKGAluminio</f>
        <v>14.580049914252767</v>
      </c>
      <c r="U1335" s="35">
        <f>IFERROR((VLOOKUP(Tabela3[[#This Row],[Moldador]],Tabela1[],5,)+(VLOOKUP(Tabela3[[#This Row],[Ajudante]],Tabela1[],5,))*3.5),0)</f>
        <v>99.95034583333333</v>
      </c>
      <c r="V1335" s="35">
        <f>IFERROR(Tabela3[[#This Row],[Custo M.O. / H]]/((Tabela3[[#This Row],[Realizado]]/Tabela3[[#This Row],[Qdt Peça Placa]])/Tabela3[[#This Row],[Tempo]]/24),)</f>
        <v>10.550314282407406</v>
      </c>
      <c r="W1335" s="35">
        <f>Tabela3[[#This Row],[Custo / Cx Moldada]]*Tabela3[[#This Row],[Qtde Cx Produzida]]</f>
        <v>94.952828541666662</v>
      </c>
      <c r="X1335" s="35">
        <f ca="1">Tabela3[[#This Row],[Aluminio Util]]*Tabela3[[#This Row],[Custo/Kg]]</f>
        <v>391.43520000000001</v>
      </c>
      <c r="Y1335" s="35">
        <f>IFERROR(VLOOKUP(Tabela3[[#This Row],[Data]],Tabela461213[],2,1)*(Tabela3[[#This Row],[Qtde Cx Produzida]]*Tabela3[[#This Row],[Qde macho / CX]]*Tabela3[[#This Row],[Peso Macho]]),)</f>
        <v>0</v>
      </c>
      <c r="Z1335" s="35">
        <f>IFERROR(Tabela3[[#This Row],[Qtde Oleo]]*(VLOOKUP(Tabela3[[#This Row],[Data]],CompraOleo[],3,TRUE))*1.05,0)</f>
        <v>38.272631024913508</v>
      </c>
      <c r="AA1335" s="47">
        <f ca="1">(Tabela3[[#This Row],[Custo Oleo]]+Tabela3[[#This Row],[Custo Aluminio]]+Tabela3[[#This Row],[Custo M.O. Total]]+Tabela3[[#This Row],[Custo Machos]])</f>
        <v>524.66065956658019</v>
      </c>
      <c r="AB1335" s="47">
        <f ca="1">Tabela3[[#This Row],[Custo Total]]*Tabela3[[#This Row],[% Perda]]</f>
        <v>0</v>
      </c>
      <c r="AC1335" s="40">
        <f>IFERROR(VLOOKUP(Tabela3[[#This Row],[Produto]],Tabela2[],2,0),0)</f>
        <v>1</v>
      </c>
      <c r="AD1335" s="48">
        <f>IFERROR(VLOOKUP(Tabela3[[#This Row],[Produto]],Tabela2[],3,0),0)</f>
        <v>2.7879999999999998</v>
      </c>
      <c r="AE1335" s="48">
        <f>IFERROR(VLOOKUP(Tabela3[[#This Row],[Produto]],Tabela2[],4,0),0)</f>
        <v>3.65</v>
      </c>
      <c r="AF1335" s="48">
        <f>IFERROR(VLOOKUP(Tabela3[[#This Row],[Produto]],Tabela2[],5,0),0)</f>
        <v>0.77580000000000016</v>
      </c>
      <c r="AG1335" s="48">
        <f>IFERROR(VLOOKUP(Tabela3[[#This Row],[Produto]],Tabela2[],6,0),0)</f>
        <v>0</v>
      </c>
      <c r="AH1335" s="40">
        <f>IFERROR(VLOOKUP(Tabela3[[#This Row],[Produto]],Tabela2[],7,0),0)</f>
        <v>0</v>
      </c>
      <c r="AI1335" s="40">
        <f>IFERROR(VLOOKUP(Tabela3[[#This Row],[Produto]],Tabela2[],8,0),0)</f>
        <v>0</v>
      </c>
      <c r="AJ1335" s="35">
        <f ca="1">IFERROR(VLOOKUP(Tabela3[[#This Row],[Produto]],Tabela2[],13,0),0)</f>
        <v>15.600000000000001</v>
      </c>
      <c r="AK1335" s="48" t="str">
        <f>IFERROR(VLOOKUP(Tabela3[[#This Row],[Produto]],Tabela2[],14,0),0)</f>
        <v>Jumil</v>
      </c>
      <c r="AL1335" s="40">
        <f>IFERROR(VLOOKUP(Tabela3[[#This Row],[Produto]],Tabela2[],15,0),0)</f>
        <v>35</v>
      </c>
      <c r="AM1335" s="36">
        <f ca="1">(Tabela3[[#This Row],[Custo Usinagem]]+Tabela3[[#This Row],[Custo / Pç]])*1.2</f>
        <v>111.95475460887735</v>
      </c>
      <c r="AN1335" s="36">
        <f ca="1">Tabela3[[#This Row],[Valor Mínimo Venda]]*1.15</f>
        <v>128.74796780020895</v>
      </c>
      <c r="AO1335" s="36">
        <f ca="1">Tabela3[[#This Row],[Tabela 1]]*1.08</f>
        <v>139.04780522422567</v>
      </c>
      <c r="AP1335" s="36">
        <f ca="1">Tabela3[[#This Row],[Tabela 2]]*1.15</f>
        <v>159.90497600785952</v>
      </c>
    </row>
    <row r="1336" spans="1:42">
      <c r="A1336" s="9">
        <v>46188</v>
      </c>
      <c r="B1336" s="9" t="s">
        <v>246</v>
      </c>
      <c r="C1336" s="14">
        <v>9934</v>
      </c>
      <c r="D1336" s="6" t="s">
        <v>46</v>
      </c>
      <c r="E1336" s="6" t="s">
        <v>44</v>
      </c>
      <c r="F1336" s="6">
        <v>46</v>
      </c>
      <c r="G1336" s="15">
        <v>0.2326388888888889</v>
      </c>
      <c r="H1336" s="16">
        <v>0</v>
      </c>
      <c r="I1336" s="35">
        <f ca="1">IFERROR(Tabela3[[#This Row],[Custo Total]]/Tabela3[[#This Row],[Aluminio Util]],0)</f>
        <v>24.582029812046226</v>
      </c>
      <c r="J1336" s="35">
        <f ca="1">Tabela3[[#This Row],[Custo Total]]/Tabela3[[#This Row],[Realizado]]</f>
        <v>13.102221889820639</v>
      </c>
      <c r="K1336" s="37">
        <f>IFERROR(Tabela3[[#This Row],[Qtde Cx Produzida]]/Tabela3[[#This Row],[Tempo]]/24,0)</f>
        <v>8.2388059701492526</v>
      </c>
      <c r="L1336" s="37">
        <f>Tabela3[[#This Row],[Qtde Cx Produzida]]*Tabela3[[#This Row],[Qdt Peça Placa]]</f>
        <v>184</v>
      </c>
      <c r="M1336" s="37">
        <f>Tabela3[[#This Row],[Previsto]]-Tabela3[[#This Row],[Perda Pçs]]</f>
        <v>184</v>
      </c>
      <c r="N1336" s="38">
        <f>IFERROR(Tabela3[[#This Row],[Perda Pçs]]/Tabela3[[#This Row],[Previsto]],0)</f>
        <v>0</v>
      </c>
      <c r="O1336" s="39">
        <f>IFERROR(IF(Tabela3[[#This Row],[Qtde Cx Produzida]] &lt;&gt; 0, Tabela3[[#This Row],[Tempo]] / Tabela3[[#This Row],[Qtde Cx Produzida]], 0),0)</f>
        <v>5.057367149758454E-3</v>
      </c>
      <c r="P1336" s="57">
        <f>IFERROR(Tabela3[[#This Row],[Perda Pçs]]/Tabela3[[#This Row],[Qdt Peça Placa]],0)</f>
        <v>0</v>
      </c>
      <c r="Q1336" s="37">
        <f>IFERROR(Tabela3[[#This Row],[Realizado]]*Tabela3[[#This Row],[Peso Util/Pç]],0)</f>
        <v>98.072000000000003</v>
      </c>
      <c r="R1336" s="37">
        <f>IFERROR(Tabela3[[#This Row],[Peso Total Galho]]*Tabela3[[#This Row],[Qtde Cx Produzida]]*1.055,0)</f>
        <v>160.14899999999997</v>
      </c>
      <c r="S1336" s="37">
        <f>(Tabela3[[#This Row],[Aluminio Bruto]]-Tabela3[[#This Row],[Aluminio Util]])*0.9</f>
        <v>55.869299999999974</v>
      </c>
      <c r="T1336" s="37">
        <f>Tabela3[[#This Row],[Aluminio Bruto]]/OleoKGAluminio</f>
        <v>67.374477229332399</v>
      </c>
      <c r="U1336" s="35">
        <f>IFERROR((VLOOKUP(Tabela3[[#This Row],[Moldador]],Tabela1[],5,)+(VLOOKUP(Tabela3[[#This Row],[Ajudante]],Tabela1[],5,))*3.5),0)</f>
        <v>126.0945</v>
      </c>
      <c r="V1336" s="35">
        <f>IFERROR(Tabela3[[#This Row],[Custo M.O. / H]]/((Tabela3[[#This Row],[Realizado]]/Tabela3[[#This Row],[Qdt Peça Placa]])/Tabela3[[#This Row],[Tempo]]/24),)</f>
        <v>15.304948369565219</v>
      </c>
      <c r="W1336" s="35">
        <f>Tabela3[[#This Row],[Custo / Cx Moldada]]*Tabela3[[#This Row],[Qtde Cx Produzida]]</f>
        <v>704.02762500000006</v>
      </c>
      <c r="X1336" s="35">
        <f ca="1">Tabela3[[#This Row],[Aluminio Util]]*Tabela3[[#This Row],[Custo/Kg]]</f>
        <v>1529.9232000000002</v>
      </c>
      <c r="Y1336" s="35">
        <f>IFERROR(VLOOKUP(Tabela3[[#This Row],[Data]],Tabela461213[],2,1)*(Tabela3[[#This Row],[Qtde Cx Produzida]]*Tabela3[[#This Row],[Qde macho / CX]]*Tabela3[[#This Row],[Peso Macho]]),)</f>
        <v>0</v>
      </c>
      <c r="Z1336" s="35">
        <f>IFERROR(Tabela3[[#This Row],[Qtde Oleo]]*(VLOOKUP(Tabela3[[#This Row],[Data]],CompraOleo[],3,TRUE))*1.05,0)</f>
        <v>176.85800272699757</v>
      </c>
      <c r="AA1336" s="47">
        <f ca="1">(Tabela3[[#This Row],[Custo Oleo]]+Tabela3[[#This Row],[Custo Aluminio]]+Tabela3[[#This Row],[Custo M.O. Total]]+Tabela3[[#This Row],[Custo Machos]])</f>
        <v>2410.8088277269976</v>
      </c>
      <c r="AB1336" s="47">
        <f ca="1">Tabela3[[#This Row],[Custo Total]]*Tabela3[[#This Row],[% Perda]]</f>
        <v>0</v>
      </c>
      <c r="AC1336" s="40">
        <f>IFERROR(VLOOKUP(Tabela3[[#This Row],[Produto]],Tabela2[],2,0),0)</f>
        <v>4</v>
      </c>
      <c r="AD1336" s="48">
        <f>IFERROR(VLOOKUP(Tabela3[[#This Row],[Produto]],Tabela2[],3,0),0)</f>
        <v>0.53300000000000003</v>
      </c>
      <c r="AE1336" s="48">
        <f>IFERROR(VLOOKUP(Tabela3[[#This Row],[Produto]],Tabela2[],4,0),0)</f>
        <v>3.3</v>
      </c>
      <c r="AF1336" s="48">
        <f>IFERROR(VLOOKUP(Tabela3[[#This Row],[Produto]],Tabela2[],5,0),0)</f>
        <v>1.0511999999999997</v>
      </c>
      <c r="AG1336" s="48">
        <f>IFERROR(VLOOKUP(Tabela3[[#This Row],[Produto]],Tabela2[],6,0),0)</f>
        <v>0</v>
      </c>
      <c r="AH1336" s="40">
        <f>IFERROR(VLOOKUP(Tabela3[[#This Row],[Produto]],Tabela2[],7,0),0)</f>
        <v>0</v>
      </c>
      <c r="AI1336" s="40">
        <f>IFERROR(VLOOKUP(Tabela3[[#This Row],[Produto]],Tabela2[],8,0),0)</f>
        <v>0</v>
      </c>
      <c r="AJ1336" s="35">
        <f ca="1">IFERROR(VLOOKUP(Tabela3[[#This Row],[Produto]],Tabela2[],13,0),0)</f>
        <v>15.600000000000001</v>
      </c>
      <c r="AK1336" s="48" t="str">
        <f>IFERROR(VLOOKUP(Tabela3[[#This Row],[Produto]],Tabela2[],14,0),0)</f>
        <v>Senun</v>
      </c>
      <c r="AL1336" s="40">
        <f>IFERROR(VLOOKUP(Tabela3[[#This Row],[Produto]],Tabela2[],15,0),0)</f>
        <v>4</v>
      </c>
      <c r="AM1336" s="36">
        <f ca="1">(Tabela3[[#This Row],[Custo Usinagem]]+Tabela3[[#This Row],[Custo / Pç]])*1.2</f>
        <v>20.522666267784768</v>
      </c>
      <c r="AN1336" s="36">
        <f ca="1">Tabela3[[#This Row],[Valor Mínimo Venda]]*1.15</f>
        <v>23.601066207952481</v>
      </c>
      <c r="AO1336" s="36">
        <f ca="1">Tabela3[[#This Row],[Tabela 1]]*1.08</f>
        <v>25.48915150458868</v>
      </c>
      <c r="AP1336" s="36">
        <f ca="1">Tabela3[[#This Row],[Tabela 2]]*1.15</f>
        <v>29.312524230276981</v>
      </c>
    </row>
    <row r="1337" spans="1:42">
      <c r="A1337" s="9">
        <v>46188</v>
      </c>
      <c r="B1337" s="9" t="s">
        <v>246</v>
      </c>
      <c r="C1337" s="14">
        <v>9934</v>
      </c>
      <c r="D1337" s="6" t="s">
        <v>44</v>
      </c>
      <c r="E1337" s="6" t="s">
        <v>47</v>
      </c>
      <c r="F1337" s="6">
        <v>4</v>
      </c>
      <c r="G1337" s="15">
        <v>2.5000000000000001E-2</v>
      </c>
      <c r="H1337" s="16">
        <v>0</v>
      </c>
      <c r="I1337" s="35">
        <f ca="1">IFERROR(Tabela3[[#This Row],[Custo Total]]/Tabela3[[#This Row],[Aluminio Util]],0)</f>
        <v>24.435502375570984</v>
      </c>
      <c r="J1337" s="35">
        <f ca="1">Tabela3[[#This Row],[Custo Total]]/Tabela3[[#This Row],[Realizado]]</f>
        <v>13.024122766179335</v>
      </c>
      <c r="K1337" s="37">
        <f>IFERROR(Tabela3[[#This Row],[Qtde Cx Produzida]]/Tabela3[[#This Row],[Tempo]]/24,0)</f>
        <v>6.666666666666667</v>
      </c>
      <c r="L1337" s="37">
        <f>Tabela3[[#This Row],[Qtde Cx Produzida]]*Tabela3[[#This Row],[Qdt Peça Placa]]</f>
        <v>16</v>
      </c>
      <c r="M1337" s="37">
        <f>Tabela3[[#This Row],[Previsto]]-Tabela3[[#This Row],[Perda Pçs]]</f>
        <v>16</v>
      </c>
      <c r="N1337" s="38">
        <f>IFERROR(Tabela3[[#This Row],[Perda Pçs]]/Tabela3[[#This Row],[Previsto]],0)</f>
        <v>0</v>
      </c>
      <c r="O1337" s="39">
        <f>IFERROR(IF(Tabela3[[#This Row],[Qtde Cx Produzida]] &lt;&gt; 0, Tabela3[[#This Row],[Tempo]] / Tabela3[[#This Row],[Qtde Cx Produzida]], 0),0)</f>
        <v>6.2500000000000003E-3</v>
      </c>
      <c r="P1337" s="57">
        <f>IFERROR(Tabela3[[#This Row],[Perda Pçs]]/Tabela3[[#This Row],[Qdt Peça Placa]],0)</f>
        <v>0</v>
      </c>
      <c r="Q1337" s="37">
        <f>IFERROR(Tabela3[[#This Row],[Realizado]]*Tabela3[[#This Row],[Peso Util/Pç]],0)</f>
        <v>8.5280000000000005</v>
      </c>
      <c r="R1337" s="37">
        <f>IFERROR(Tabela3[[#This Row],[Peso Total Galho]]*Tabela3[[#This Row],[Qtde Cx Produzida]]*1.055,0)</f>
        <v>13.925999999999998</v>
      </c>
      <c r="S1337" s="37">
        <f>(Tabela3[[#This Row],[Aluminio Bruto]]-Tabela3[[#This Row],[Aluminio Util]])*0.9</f>
        <v>4.8581999999999983</v>
      </c>
      <c r="T1337" s="37">
        <f>Tabela3[[#This Row],[Aluminio Bruto]]/OleoKGAluminio</f>
        <v>5.8586501938549915</v>
      </c>
      <c r="U1337" s="35">
        <f>IFERROR((VLOOKUP(Tabela3[[#This Row],[Moldador]],Tabela1[],5,)+(VLOOKUP(Tabela3[[#This Row],[Ajudante]],Tabela1[],5,))*3.5),0)</f>
        <v>99.95034583333333</v>
      </c>
      <c r="V1337" s="35">
        <f>IFERROR(Tabela3[[#This Row],[Custo M.O. / H]]/((Tabela3[[#This Row],[Realizado]]/Tabela3[[#This Row],[Qdt Peça Placa]])/Tabela3[[#This Row],[Tempo]]/24),)</f>
        <v>14.992551874999998</v>
      </c>
      <c r="W1337" s="35">
        <f>Tabela3[[#This Row],[Custo / Cx Moldada]]*Tabela3[[#This Row],[Qtde Cx Produzida]]</f>
        <v>59.970207499999994</v>
      </c>
      <c r="X1337" s="35">
        <f ca="1">Tabela3[[#This Row],[Aluminio Util]]*Tabela3[[#This Row],[Custo/Kg]]</f>
        <v>133.03680000000003</v>
      </c>
      <c r="Y1337" s="35">
        <f>IFERROR(VLOOKUP(Tabela3[[#This Row],[Data]],Tabela461213[],2,1)*(Tabela3[[#This Row],[Qtde Cx Produzida]]*Tabela3[[#This Row],[Qde macho / CX]]*Tabela3[[#This Row],[Peso Macho]]),)</f>
        <v>0</v>
      </c>
      <c r="Z1337" s="35">
        <f>IFERROR(Tabela3[[#This Row],[Qtde Oleo]]*(VLOOKUP(Tabela3[[#This Row],[Data]],CompraOleo[],3,TRUE))*1.05,0)</f>
        <v>15.378956758869354</v>
      </c>
      <c r="AA1337" s="47">
        <f ca="1">(Tabela3[[#This Row],[Custo Oleo]]+Tabela3[[#This Row],[Custo Aluminio]]+Tabela3[[#This Row],[Custo M.O. Total]]+Tabela3[[#This Row],[Custo Machos]])</f>
        <v>208.38596425886936</v>
      </c>
      <c r="AB1337" s="47">
        <f ca="1">Tabela3[[#This Row],[Custo Total]]*Tabela3[[#This Row],[% Perda]]</f>
        <v>0</v>
      </c>
      <c r="AC1337" s="40">
        <f>IFERROR(VLOOKUP(Tabela3[[#This Row],[Produto]],Tabela2[],2,0),0)</f>
        <v>4</v>
      </c>
      <c r="AD1337" s="48">
        <f>IFERROR(VLOOKUP(Tabela3[[#This Row],[Produto]],Tabela2[],3,0),0)</f>
        <v>0.53300000000000003</v>
      </c>
      <c r="AE1337" s="48">
        <f>IFERROR(VLOOKUP(Tabela3[[#This Row],[Produto]],Tabela2[],4,0),0)</f>
        <v>3.3</v>
      </c>
      <c r="AF1337" s="48">
        <f>IFERROR(VLOOKUP(Tabela3[[#This Row],[Produto]],Tabela2[],5,0),0)</f>
        <v>1.0511999999999997</v>
      </c>
      <c r="AG1337" s="48">
        <f>IFERROR(VLOOKUP(Tabela3[[#This Row],[Produto]],Tabela2[],6,0),0)</f>
        <v>0</v>
      </c>
      <c r="AH1337" s="40">
        <f>IFERROR(VLOOKUP(Tabela3[[#This Row],[Produto]],Tabela2[],7,0),0)</f>
        <v>0</v>
      </c>
      <c r="AI1337" s="40">
        <f>IFERROR(VLOOKUP(Tabela3[[#This Row],[Produto]],Tabela2[],8,0),0)</f>
        <v>0</v>
      </c>
      <c r="AJ1337" s="35">
        <f ca="1">IFERROR(VLOOKUP(Tabela3[[#This Row],[Produto]],Tabela2[],13,0),0)</f>
        <v>15.600000000000001</v>
      </c>
      <c r="AK1337" s="48" t="str">
        <f>IFERROR(VLOOKUP(Tabela3[[#This Row],[Produto]],Tabela2[],14,0),0)</f>
        <v>Senun</v>
      </c>
      <c r="AL1337" s="40">
        <f>IFERROR(VLOOKUP(Tabela3[[#This Row],[Produto]],Tabela2[],15,0),0)</f>
        <v>4</v>
      </c>
      <c r="AM1337" s="36">
        <f ca="1">(Tabela3[[#This Row],[Custo Usinagem]]+Tabela3[[#This Row],[Custo / Pç]])*1.2</f>
        <v>20.428947319415201</v>
      </c>
      <c r="AN1337" s="36">
        <f ca="1">Tabela3[[#This Row],[Valor Mínimo Venda]]*1.15</f>
        <v>23.493289417327478</v>
      </c>
      <c r="AO1337" s="36">
        <f ca="1">Tabela3[[#This Row],[Tabela 1]]*1.08</f>
        <v>25.372752570713679</v>
      </c>
      <c r="AP1337" s="36">
        <f ca="1">Tabela3[[#This Row],[Tabela 2]]*1.15</f>
        <v>29.178665456320729</v>
      </c>
    </row>
    <row r="1338" spans="1:42">
      <c r="A1338" s="9">
        <v>46188</v>
      </c>
      <c r="B1338" s="9" t="s">
        <v>91</v>
      </c>
      <c r="C1338" s="14">
        <v>9906</v>
      </c>
      <c r="D1338" s="6" t="s">
        <v>44</v>
      </c>
      <c r="E1338" s="6" t="s">
        <v>47</v>
      </c>
      <c r="F1338" s="6">
        <v>8</v>
      </c>
      <c r="G1338" s="15">
        <v>4.1666666666666664E-2</v>
      </c>
      <c r="H1338" s="16">
        <v>0</v>
      </c>
      <c r="I1338" s="35">
        <f ca="1">IFERROR(Tabela3[[#This Row],[Custo Total]]/Tabela3[[#This Row],[Aluminio Util]],0)</f>
        <v>38.961739591141175</v>
      </c>
      <c r="J1338" s="35">
        <f ca="1">Tabela3[[#This Row],[Custo Total]]/Tabela3[[#This Row],[Realizado]]</f>
        <v>30.546003839454684</v>
      </c>
      <c r="K1338" s="37">
        <f>IFERROR(Tabela3[[#This Row],[Qtde Cx Produzida]]/Tabela3[[#This Row],[Tempo]]/24,0)</f>
        <v>8</v>
      </c>
      <c r="L1338" s="37">
        <f>Tabela3[[#This Row],[Qtde Cx Produzida]]*Tabela3[[#This Row],[Qdt Peça Placa]]</f>
        <v>32</v>
      </c>
      <c r="M1338" s="37">
        <f>Tabela3[[#This Row],[Previsto]]-Tabela3[[#This Row],[Perda Pçs]]</f>
        <v>32</v>
      </c>
      <c r="N1338" s="38">
        <f>IFERROR(Tabela3[[#This Row],[Perda Pçs]]/Tabela3[[#This Row],[Previsto]],0)</f>
        <v>0</v>
      </c>
      <c r="O1338" s="39">
        <f>IFERROR(IF(Tabela3[[#This Row],[Qtde Cx Produzida]] &lt;&gt; 0, Tabela3[[#This Row],[Tempo]] / Tabela3[[#This Row],[Qtde Cx Produzida]], 0),0)</f>
        <v>5.208333333333333E-3</v>
      </c>
      <c r="P1338" s="57">
        <f>IFERROR(Tabela3[[#This Row],[Perda Pçs]]/Tabela3[[#This Row],[Qdt Peça Placa]],0)</f>
        <v>0</v>
      </c>
      <c r="Q1338" s="37">
        <f>IFERROR(Tabela3[[#This Row],[Realizado]]*Tabela3[[#This Row],[Peso Util/Pç]],0)</f>
        <v>25.088000000000001</v>
      </c>
      <c r="R1338" s="37">
        <f>IFERROR(Tabela3[[#This Row],[Peso Total Galho]]*Tabela3[[#This Row],[Qtde Cx Produzida]]*1.055,0)</f>
        <v>46.825119999999998</v>
      </c>
      <c r="S1338" s="37">
        <f>(Tabela3[[#This Row],[Aluminio Bruto]]-Tabela3[[#This Row],[Aluminio Util]])*0.9</f>
        <v>19.563407999999999</v>
      </c>
      <c r="T1338" s="37">
        <f>Tabela3[[#This Row],[Aluminio Bruto]]/OleoKGAluminio</f>
        <v>19.699267439701512</v>
      </c>
      <c r="U1338" s="35">
        <f>IFERROR((VLOOKUP(Tabela3[[#This Row],[Moldador]],Tabela1[],5,)+(VLOOKUP(Tabela3[[#This Row],[Ajudante]],Tabela1[],5,))*3.5),0)</f>
        <v>99.95034583333333</v>
      </c>
      <c r="V1338" s="35">
        <f>IFERROR(Tabela3[[#This Row],[Custo M.O. / H]]/((Tabela3[[#This Row],[Realizado]]/Tabela3[[#This Row],[Qdt Peça Placa]])/Tabela3[[#This Row],[Tempo]]/24),)</f>
        <v>12.493793229166666</v>
      </c>
      <c r="W1338" s="35">
        <f>Tabela3[[#This Row],[Custo / Cx Moldada]]*Tabela3[[#This Row],[Qtde Cx Produzida]]</f>
        <v>99.95034583333333</v>
      </c>
      <c r="X1338" s="35">
        <f ca="1">Tabela3[[#This Row],[Aluminio Util]]*Tabela3[[#This Row],[Custo/Kg]]</f>
        <v>391.37280000000004</v>
      </c>
      <c r="Y1338" s="35">
        <f>IFERROR(VLOOKUP(Tabela3[[#This Row],[Data]],Tabela461213[],2,1)*(Tabela3[[#This Row],[Qtde Cx Produzida]]*Tabela3[[#This Row],[Qde macho / CX]]*Tabela3[[#This Row],[Peso Macho]]),)</f>
        <v>434.4384</v>
      </c>
      <c r="Z1338" s="35">
        <f>IFERROR(Tabela3[[#This Row],[Qtde Oleo]]*(VLOOKUP(Tabela3[[#This Row],[Data]],CompraOleo[],3,TRUE))*1.05,0)</f>
        <v>51.710577029216473</v>
      </c>
      <c r="AA1338" s="47">
        <f ca="1">(Tabela3[[#This Row],[Custo Oleo]]+Tabela3[[#This Row],[Custo Aluminio]]+Tabela3[[#This Row],[Custo M.O. Total]]+Tabela3[[#This Row],[Custo Machos]])</f>
        <v>977.4721228625499</v>
      </c>
      <c r="AB1338" s="47">
        <f ca="1">Tabela3[[#This Row],[Custo Total]]*Tabela3[[#This Row],[% Perda]]</f>
        <v>0</v>
      </c>
      <c r="AC1338" s="40">
        <f>IFERROR(VLOOKUP(Tabela3[[#This Row],[Produto]],Tabela2[],2,0),0)</f>
        <v>4</v>
      </c>
      <c r="AD1338" s="48">
        <f>IFERROR(VLOOKUP(Tabela3[[#This Row],[Produto]],Tabela2[],3,0),0)</f>
        <v>0.78400000000000003</v>
      </c>
      <c r="AE1338" s="48">
        <f>IFERROR(VLOOKUP(Tabela3[[#This Row],[Produto]],Tabela2[],4,0),0)</f>
        <v>5.548</v>
      </c>
      <c r="AF1338" s="48">
        <f>IFERROR(VLOOKUP(Tabela3[[#This Row],[Produto]],Tabela2[],5,0),0)</f>
        <v>2.1707999999999998</v>
      </c>
      <c r="AG1338" s="48">
        <f>IFERROR(VLOOKUP(Tabela3[[#This Row],[Produto]],Tabela2[],6,0),0)</f>
        <v>0</v>
      </c>
      <c r="AH1338" s="40">
        <f>IFERROR(VLOOKUP(Tabela3[[#This Row],[Produto]],Tabela2[],7,0),0)</f>
        <v>12</v>
      </c>
      <c r="AI1338" s="40">
        <f>IFERROR(VLOOKUP(Tabela3[[#This Row],[Produto]],Tabela2[],8,0),0)</f>
        <v>2.6619999999999999</v>
      </c>
      <c r="AJ1338" s="35">
        <f ca="1">IFERROR(VLOOKUP(Tabela3[[#This Row],[Produto]],Tabela2[],13,0),0)</f>
        <v>15.600000000000001</v>
      </c>
      <c r="AK1338" s="48" t="str">
        <f>IFERROR(VLOOKUP(Tabela3[[#This Row],[Produto]],Tabela2[],14,0),0)</f>
        <v>Jumil</v>
      </c>
      <c r="AL1338" s="40">
        <f>IFERROR(VLOOKUP(Tabela3[[#This Row],[Produto]],Tabela2[],15,0),0)</f>
        <v>8</v>
      </c>
      <c r="AM1338" s="36">
        <f ca="1">(Tabela3[[#This Row],[Custo Usinagem]]+Tabela3[[#This Row],[Custo / Pç]])*1.2</f>
        <v>46.255204607345618</v>
      </c>
      <c r="AN1338" s="36">
        <f ca="1">Tabela3[[#This Row],[Valor Mínimo Venda]]*1.15</f>
        <v>53.193485298447456</v>
      </c>
      <c r="AO1338" s="36">
        <f ca="1">Tabela3[[#This Row],[Tabela 1]]*1.08</f>
        <v>57.448964122323254</v>
      </c>
      <c r="AP1338" s="36">
        <f ca="1">Tabela3[[#This Row],[Tabela 2]]*1.15</f>
        <v>66.066308740671744</v>
      </c>
    </row>
    <row r="1339" spans="1:42">
      <c r="A1339" s="9">
        <v>46188</v>
      </c>
      <c r="B1339" s="9" t="s">
        <v>187</v>
      </c>
      <c r="C1339" s="14">
        <v>9936</v>
      </c>
      <c r="D1339" s="6" t="s">
        <v>44</v>
      </c>
      <c r="E1339" s="6" t="s">
        <v>47</v>
      </c>
      <c r="F1339" s="6">
        <v>1</v>
      </c>
      <c r="G1339" s="15">
        <v>2.9861111111111113E-2</v>
      </c>
      <c r="H1339" s="16">
        <v>0</v>
      </c>
      <c r="I1339" s="35">
        <f ca="1">IFERROR(Tabela3[[#This Row],[Custo Total]]/Tabela3[[#This Row],[Aluminio Util]],0)</f>
        <v>22.613539988591299</v>
      </c>
      <c r="J1339" s="35">
        <f ca="1">Tabela3[[#This Row],[Custo Total]]/Tabela3[[#This Row],[Realizado]]</f>
        <v>438.70267577867116</v>
      </c>
      <c r="K1339" s="37">
        <f>IFERROR(Tabela3[[#This Row],[Qtde Cx Produzida]]/Tabela3[[#This Row],[Tempo]]/24,0)</f>
        <v>1.3953488372093021</v>
      </c>
      <c r="L1339" s="37">
        <f>Tabela3[[#This Row],[Qtde Cx Produzida]]*Tabela3[[#This Row],[Qdt Peça Placa]]</f>
        <v>1</v>
      </c>
      <c r="M1339" s="37">
        <f>Tabela3[[#This Row],[Previsto]]-Tabela3[[#This Row],[Perda Pçs]]</f>
        <v>1</v>
      </c>
      <c r="N1339" s="38">
        <f>IFERROR(Tabela3[[#This Row],[Perda Pçs]]/Tabela3[[#This Row],[Previsto]],0)</f>
        <v>0</v>
      </c>
      <c r="O1339" s="39">
        <f>IFERROR(IF(Tabela3[[#This Row],[Qtde Cx Produzida]] &lt;&gt; 0, Tabela3[[#This Row],[Tempo]] / Tabela3[[#This Row],[Qtde Cx Produzida]], 0),0)</f>
        <v>2.9861111111111113E-2</v>
      </c>
      <c r="P1339" s="57">
        <f>IFERROR(Tabela3[[#This Row],[Perda Pçs]]/Tabela3[[#This Row],[Qdt Peça Placa]],0)</f>
        <v>0</v>
      </c>
      <c r="Q1339" s="37">
        <f>IFERROR(Tabela3[[#This Row],[Realizado]]*Tabela3[[#This Row],[Peso Util/Pç]],0)</f>
        <v>19.399999999999999</v>
      </c>
      <c r="R1339" s="37">
        <f>IFERROR(Tabela3[[#This Row],[Peso Total Galho]]*Tabela3[[#This Row],[Qtde Cx Produzida]]*1.055,0)</f>
        <v>23.209999999999997</v>
      </c>
      <c r="S1339" s="37">
        <f>(Tabela3[[#This Row],[Aluminio Bruto]]-Tabela3[[#This Row],[Aluminio Util]])*0.9</f>
        <v>3.4289999999999989</v>
      </c>
      <c r="T1339" s="37">
        <f>Tabela3[[#This Row],[Aluminio Bruto]]/OleoKGAluminio</f>
        <v>9.7644169897583204</v>
      </c>
      <c r="U1339" s="35">
        <f>IFERROR((VLOOKUP(Tabela3[[#This Row],[Moldador]],Tabela1[],5,)+(VLOOKUP(Tabela3[[#This Row],[Ajudante]],Tabela1[],5,))*3.5),0)</f>
        <v>99.95034583333333</v>
      </c>
      <c r="V1339" s="35">
        <f>IFERROR(Tabela3[[#This Row],[Custo M.O. / H]]/((Tabela3[[#This Row],[Realizado]]/Tabela3[[#This Row],[Qdt Peça Placa]])/Tabela3[[#This Row],[Tempo]]/24),)</f>
        <v>71.631081180555569</v>
      </c>
      <c r="W1339" s="35">
        <f>Tabela3[[#This Row],[Custo / Cx Moldada]]*Tabela3[[#This Row],[Qtde Cx Produzida]]</f>
        <v>71.631081180555569</v>
      </c>
      <c r="X1339" s="35">
        <f ca="1">Tabela3[[#This Row],[Aluminio Util]]*Tabela3[[#This Row],[Custo/Kg]]</f>
        <v>341.44</v>
      </c>
      <c r="Y1339" s="35">
        <f>IFERROR(VLOOKUP(Tabela3[[#This Row],[Data]],Tabela461213[],2,1)*(Tabela3[[#This Row],[Qtde Cx Produzida]]*Tabela3[[#This Row],[Qde macho / CX]]*Tabela3[[#This Row],[Peso Macho]]),)</f>
        <v>0</v>
      </c>
      <c r="Z1339" s="35">
        <f>IFERROR(Tabela3[[#This Row],[Qtde Oleo]]*(VLOOKUP(Tabela3[[#This Row],[Data]],CompraOleo[],3,TRUE))*1.05,0)</f>
        <v>25.631594598115591</v>
      </c>
      <c r="AA1339" s="47">
        <f ca="1">(Tabela3[[#This Row],[Custo Oleo]]+Tabela3[[#This Row],[Custo Aluminio]]+Tabela3[[#This Row],[Custo M.O. Total]]+Tabela3[[#This Row],[Custo Machos]])</f>
        <v>438.70267577867116</v>
      </c>
      <c r="AB1339" s="47">
        <f ca="1">Tabela3[[#This Row],[Custo Total]]*Tabela3[[#This Row],[% Perda]]</f>
        <v>0</v>
      </c>
      <c r="AC1339" s="40">
        <f>IFERROR(VLOOKUP(Tabela3[[#This Row],[Produto]],Tabela2[],2,0),0)</f>
        <v>1</v>
      </c>
      <c r="AD1339" s="48">
        <f>IFERROR(VLOOKUP(Tabela3[[#This Row],[Produto]],Tabela2[],3,0),0)</f>
        <v>19.399999999999999</v>
      </c>
      <c r="AE1339" s="48">
        <f>IFERROR(VLOOKUP(Tabela3[[#This Row],[Produto]],Tabela2[],4,0),0)</f>
        <v>22</v>
      </c>
      <c r="AF1339" s="48">
        <f>IFERROR(VLOOKUP(Tabela3[[#This Row],[Produto]],Tabela2[],5,0),0)</f>
        <v>2.3400000000000012</v>
      </c>
      <c r="AG1339" s="48">
        <f>IFERROR(VLOOKUP(Tabela3[[#This Row],[Produto]],Tabela2[],6,0),0)</f>
        <v>0</v>
      </c>
      <c r="AH1339" s="40">
        <f>IFERROR(VLOOKUP(Tabela3[[#This Row],[Produto]],Tabela2[],7,0),0)</f>
        <v>0</v>
      </c>
      <c r="AI1339" s="40">
        <f>IFERROR(VLOOKUP(Tabela3[[#This Row],[Produto]],Tabela2[],8,0),0)</f>
        <v>0</v>
      </c>
      <c r="AJ1339" s="35">
        <f ca="1">IFERROR(VLOOKUP(Tabela3[[#This Row],[Produto]],Tabela2[],13,0),0)</f>
        <v>17.600000000000001</v>
      </c>
      <c r="AK1339" s="48" t="str">
        <f>IFERROR(VLOOKUP(Tabela3[[#This Row],[Produto]],Tabela2[],14,0),0)</f>
        <v>Oscar</v>
      </c>
      <c r="AL1339" s="40">
        <f>IFERROR(VLOOKUP(Tabela3[[#This Row],[Produto]],Tabela2[],15,0),0)</f>
        <v>0</v>
      </c>
      <c r="AM1339" s="36">
        <f ca="1">(Tabela3[[#This Row],[Custo Usinagem]]+Tabela3[[#This Row],[Custo / Pç]])*1.2</f>
        <v>526.44321093440533</v>
      </c>
      <c r="AN1339" s="36">
        <f ca="1">Tabela3[[#This Row],[Valor Mínimo Venda]]*1.15</f>
        <v>605.40969257456607</v>
      </c>
      <c r="AO1339" s="36">
        <f ca="1">Tabela3[[#This Row],[Tabela 1]]*1.08</f>
        <v>653.84246798053141</v>
      </c>
      <c r="AP1339" s="36">
        <f ca="1">Tabela3[[#This Row],[Tabela 2]]*1.15</f>
        <v>751.91883817761106</v>
      </c>
    </row>
    <row r="1340" spans="1:42">
      <c r="A1340" s="9">
        <v>46189</v>
      </c>
      <c r="B1340" s="9" t="s">
        <v>96</v>
      </c>
      <c r="C1340" s="14">
        <v>9905</v>
      </c>
      <c r="D1340" s="6" t="s">
        <v>46</v>
      </c>
      <c r="E1340" s="6" t="s">
        <v>50</v>
      </c>
      <c r="F1340" s="6">
        <v>18</v>
      </c>
      <c r="G1340" s="15">
        <v>0.11736111111111111</v>
      </c>
      <c r="H1340" s="16">
        <v>0</v>
      </c>
      <c r="I1340" s="35">
        <f ca="1">IFERROR(Tabela3[[#This Row],[Custo Total]]/Tabela3[[#This Row],[Aluminio Util]],0)</f>
        <v>31.641552893995264</v>
      </c>
      <c r="J1340" s="35">
        <f ca="1">Tabela3[[#This Row],[Custo Total]]/Tabela3[[#This Row],[Realizado]]</f>
        <v>27.971132758291812</v>
      </c>
      <c r="K1340" s="37">
        <f>IFERROR(Tabela3[[#This Row],[Qtde Cx Produzida]]/Tabela3[[#This Row],[Tempo]]/24,0)</f>
        <v>6.390532544378698</v>
      </c>
      <c r="L1340" s="37">
        <f>Tabela3[[#This Row],[Qtde Cx Produzida]]*Tabela3[[#This Row],[Qdt Peça Placa]]</f>
        <v>54</v>
      </c>
      <c r="M1340" s="37">
        <f>Tabela3[[#This Row],[Previsto]]-Tabela3[[#This Row],[Perda Pçs]]</f>
        <v>54</v>
      </c>
      <c r="N1340" s="38">
        <f>IFERROR(Tabela3[[#This Row],[Perda Pçs]]/Tabela3[[#This Row],[Previsto]],0)</f>
        <v>0</v>
      </c>
      <c r="O1340" s="39">
        <f>IFERROR(IF(Tabela3[[#This Row],[Qtde Cx Produzida]] &lt;&gt; 0, Tabela3[[#This Row],[Tempo]] / Tabela3[[#This Row],[Qtde Cx Produzida]], 0),0)</f>
        <v>6.5200617283950619E-3</v>
      </c>
      <c r="P1340" s="57">
        <f>IFERROR(Tabela3[[#This Row],[Perda Pçs]]/Tabela3[[#This Row],[Qdt Peça Placa]],0)</f>
        <v>0</v>
      </c>
      <c r="Q1340" s="37">
        <f>IFERROR(Tabela3[[#This Row],[Realizado]]*Tabela3[[#This Row],[Peso Util/Pç]],0)</f>
        <v>47.735999999999997</v>
      </c>
      <c r="R1340" s="37">
        <f>IFERROR(Tabela3[[#This Row],[Peso Total Galho]]*Tabela3[[#This Row],[Qtde Cx Produzida]]*1.055,0)</f>
        <v>89.101079999999996</v>
      </c>
      <c r="S1340" s="37">
        <f>(Tabela3[[#This Row],[Aluminio Bruto]]-Tabela3[[#This Row],[Aluminio Util]])*0.9</f>
        <v>37.228572</v>
      </c>
      <c r="T1340" s="37">
        <f>Tabela3[[#This Row],[Aluminio Bruto]]/OleoKGAluminio</f>
        <v>37.484709149410392</v>
      </c>
      <c r="U1340" s="35">
        <f>IFERROR((VLOOKUP(Tabela3[[#This Row],[Moldador]],Tabela1[],5,)+(VLOOKUP(Tabela3[[#This Row],[Ajudante]],Tabela1[],5,))*3.5),0)</f>
        <v>99.95034583333333</v>
      </c>
      <c r="V1340" s="35">
        <f>IFERROR(Tabela3[[#This Row],[Custo M.O. / H]]/((Tabela3[[#This Row],[Realizado]]/Tabela3[[#This Row],[Qdt Peça Placa]])/Tabela3[[#This Row],[Tempo]]/24),)</f>
        <v>15.64037819058642</v>
      </c>
      <c r="W1340" s="35">
        <f>Tabela3[[#This Row],[Custo / Cx Moldada]]*Tabela3[[#This Row],[Qtde Cx Produzida]]</f>
        <v>281.52680743055555</v>
      </c>
      <c r="X1340" s="35">
        <f ca="1">Tabela3[[#This Row],[Aluminio Util]]*Tabela3[[#This Row],[Custo/Kg]]</f>
        <v>744.6816</v>
      </c>
      <c r="Y1340" s="35">
        <f>IFERROR(VLOOKUP(Tabela3[[#This Row],[Data]],Tabela461213[],2,1)*(Tabela3[[#This Row],[Qtde Cx Produzida]]*Tabela3[[#This Row],[Qde macho / CX]]*Tabela3[[#This Row],[Peso Macho]]),)</f>
        <v>385.83539999999999</v>
      </c>
      <c r="Z1340" s="35">
        <f>IFERROR(Tabela3[[#This Row],[Qtde Oleo]]*(VLOOKUP(Tabela3[[#This Row],[Data]],CompraOleo[],3,TRUE))*1.05,0)</f>
        <v>98.39736151720227</v>
      </c>
      <c r="AA1340" s="47">
        <f ca="1">(Tabela3[[#This Row],[Custo Oleo]]+Tabela3[[#This Row],[Custo Aluminio]]+Tabela3[[#This Row],[Custo M.O. Total]]+Tabela3[[#This Row],[Custo Machos]])</f>
        <v>1510.4411689477579</v>
      </c>
      <c r="AB1340" s="47">
        <f ca="1">Tabela3[[#This Row],[Custo Total]]*Tabela3[[#This Row],[% Perda]]</f>
        <v>0</v>
      </c>
      <c r="AC1340" s="40">
        <f>IFERROR(VLOOKUP(Tabela3[[#This Row],[Produto]],Tabela2[],2,0),0)</f>
        <v>3</v>
      </c>
      <c r="AD1340" s="48">
        <f>IFERROR(VLOOKUP(Tabela3[[#This Row],[Produto]],Tabela2[],3,0),0)</f>
        <v>0.88400000000000001</v>
      </c>
      <c r="AE1340" s="48">
        <f>IFERROR(VLOOKUP(Tabela3[[#This Row],[Produto]],Tabela2[],4,0),0)</f>
        <v>4.6920000000000002</v>
      </c>
      <c r="AF1340" s="48">
        <f>IFERROR(VLOOKUP(Tabela3[[#This Row],[Produto]],Tabela2[],5,0),0)</f>
        <v>1.8360000000000001</v>
      </c>
      <c r="AG1340" s="48">
        <f>IFERROR(VLOOKUP(Tabela3[[#This Row],[Produto]],Tabela2[],6,0),0)</f>
        <v>0</v>
      </c>
      <c r="AH1340" s="40">
        <f>IFERROR(VLOOKUP(Tabela3[[#This Row],[Produto]],Tabela2[],7,0),0)</f>
        <v>9</v>
      </c>
      <c r="AI1340" s="40">
        <f>IFERROR(VLOOKUP(Tabela3[[#This Row],[Produto]],Tabela2[],8,0),0)</f>
        <v>1.401</v>
      </c>
      <c r="AJ1340" s="35">
        <f ca="1">IFERROR(VLOOKUP(Tabela3[[#This Row],[Produto]],Tabela2[],13,0),0)</f>
        <v>15.600000000000001</v>
      </c>
      <c r="AK1340" s="48" t="str">
        <f>IFERROR(VLOOKUP(Tabela3[[#This Row],[Produto]],Tabela2[],14,0),0)</f>
        <v>Jumil</v>
      </c>
      <c r="AL1340" s="40">
        <f>IFERROR(VLOOKUP(Tabela3[[#This Row],[Produto]],Tabela2[],15,0),0)</f>
        <v>10</v>
      </c>
      <c r="AM1340" s="36">
        <f ca="1">(Tabela3[[#This Row],[Custo Usinagem]]+Tabela3[[#This Row],[Custo / Pç]])*1.2</f>
        <v>45.565359309950175</v>
      </c>
      <c r="AN1340" s="36">
        <f ca="1">Tabela3[[#This Row],[Valor Mínimo Venda]]*1.15</f>
        <v>52.400163206442699</v>
      </c>
      <c r="AO1340" s="36">
        <f ca="1">Tabela3[[#This Row],[Tabela 1]]*1.08</f>
        <v>56.59217626295812</v>
      </c>
      <c r="AP1340" s="36">
        <f ca="1">Tabela3[[#This Row],[Tabela 2]]*1.15</f>
        <v>65.081002702401832</v>
      </c>
    </row>
    <row r="1341" spans="1:42">
      <c r="A1341" s="9">
        <v>46189</v>
      </c>
      <c r="B1341" s="9" t="s">
        <v>223</v>
      </c>
      <c r="C1341" s="14">
        <v>9872</v>
      </c>
      <c r="D1341" s="6" t="s">
        <v>44</v>
      </c>
      <c r="E1341" s="6" t="s">
        <v>47</v>
      </c>
      <c r="F1341" s="6">
        <v>19</v>
      </c>
      <c r="G1341" s="15">
        <v>8.3333333333333329E-2</v>
      </c>
      <c r="H1341" s="16">
        <v>0</v>
      </c>
      <c r="I1341" s="35">
        <f ca="1">IFERROR(Tabela3[[#This Row],[Custo Total]]/Tabela3[[#This Row],[Aluminio Util]],0)</f>
        <v>21.461804060999693</v>
      </c>
      <c r="J1341" s="35">
        <f ca="1">Tabela3[[#This Row],[Custo Total]]/Tabela3[[#This Row],[Realizado]]</f>
        <v>2.2320276223439683</v>
      </c>
      <c r="K1341" s="37">
        <f>IFERROR(Tabela3[[#This Row],[Qtde Cx Produzida]]/Tabela3[[#This Row],[Tempo]]/24,0)</f>
        <v>9.5</v>
      </c>
      <c r="L1341" s="37">
        <f>Tabela3[[#This Row],[Qtde Cx Produzida]]*Tabela3[[#This Row],[Qdt Peça Placa]]</f>
        <v>627</v>
      </c>
      <c r="M1341" s="37">
        <f>Tabela3[[#This Row],[Previsto]]-Tabela3[[#This Row],[Perda Pçs]]</f>
        <v>627</v>
      </c>
      <c r="N1341" s="38">
        <f>IFERROR(Tabela3[[#This Row],[Perda Pçs]]/Tabela3[[#This Row],[Previsto]],0)</f>
        <v>0</v>
      </c>
      <c r="O1341" s="39">
        <f>IFERROR(IF(Tabela3[[#This Row],[Qtde Cx Produzida]] &lt;&gt; 0, Tabela3[[#This Row],[Tempo]] / Tabela3[[#This Row],[Qtde Cx Produzida]], 0),0)</f>
        <v>4.3859649122807015E-3</v>
      </c>
      <c r="P1341" s="57">
        <f>IFERROR(Tabela3[[#This Row],[Perda Pçs]]/Tabela3[[#This Row],[Qdt Peça Placa]],0)</f>
        <v>0</v>
      </c>
      <c r="Q1341" s="37">
        <f>IFERROR(Tabela3[[#This Row],[Realizado]]*Tabela3[[#This Row],[Peso Util/Pç]],0)</f>
        <v>65.207999999999998</v>
      </c>
      <c r="R1341" s="37">
        <f>IFERROR(Tabela3[[#This Row],[Peso Total Galho]]*Tabela3[[#This Row],[Qtde Cx Produzida]]*1.055,0)</f>
        <v>107.84209999999999</v>
      </c>
      <c r="S1341" s="37">
        <f>(Tabela3[[#This Row],[Aluminio Bruto]]-Tabela3[[#This Row],[Aluminio Util]])*0.9</f>
        <v>38.370689999999989</v>
      </c>
      <c r="T1341" s="37">
        <f>Tabela3[[#This Row],[Aluminio Bruto]]/OleoKGAluminio</f>
        <v>45.369032031504339</v>
      </c>
      <c r="U1341" s="35">
        <f>IFERROR((VLOOKUP(Tabela3[[#This Row],[Moldador]],Tabela1[],5,)+(VLOOKUP(Tabela3[[#This Row],[Ajudante]],Tabela1[],5,))*3.5),0)</f>
        <v>99.95034583333333</v>
      </c>
      <c r="V1341" s="35">
        <f>IFERROR(Tabela3[[#This Row],[Custo M.O. / H]]/((Tabela3[[#This Row],[Realizado]]/Tabela3[[#This Row],[Qdt Peça Placa]])/Tabela3[[#This Row],[Tempo]]/24),)</f>
        <v>10.521089035087719</v>
      </c>
      <c r="W1341" s="35">
        <f>Tabela3[[#This Row],[Custo / Cx Moldada]]*Tabela3[[#This Row],[Qtde Cx Produzida]]</f>
        <v>199.90069166666666</v>
      </c>
      <c r="X1341" s="35">
        <f ca="1">Tabela3[[#This Row],[Aluminio Util]]*Tabela3[[#This Row],[Custo/Kg]]</f>
        <v>1080.4869184603024</v>
      </c>
      <c r="Y1341" s="35">
        <f>IFERROR(VLOOKUP(Tabela3[[#This Row],[Data]],Tabela461213[],2,1)*(Tabela3[[#This Row],[Qtde Cx Produzida]]*Tabela3[[#This Row],[Qde macho / CX]]*Tabela3[[#This Row],[Peso Macho]]),)</f>
        <v>0</v>
      </c>
      <c r="Z1341" s="35">
        <f>IFERROR(Tabela3[[#This Row],[Qtde Oleo]]*(VLOOKUP(Tabela3[[#This Row],[Data]],CompraOleo[],3,TRUE))*1.05,0)</f>
        <v>119.09370908269889</v>
      </c>
      <c r="AA1341" s="47">
        <f ca="1">(Tabela3[[#This Row],[Custo Oleo]]+Tabela3[[#This Row],[Custo Aluminio]]+Tabela3[[#This Row],[Custo M.O. Total]]+Tabela3[[#This Row],[Custo Machos]])</f>
        <v>1399.4813192096681</v>
      </c>
      <c r="AB1341" s="47">
        <f ca="1">Tabela3[[#This Row],[Custo Total]]*Tabela3[[#This Row],[% Perda]]</f>
        <v>0</v>
      </c>
      <c r="AC1341" s="40">
        <f>IFERROR(VLOOKUP(Tabela3[[#This Row],[Produto]],Tabela2[],2,0),0)</f>
        <v>33</v>
      </c>
      <c r="AD1341" s="48">
        <f>IFERROR(VLOOKUP(Tabela3[[#This Row],[Produto]],Tabela2[],3,0),0)</f>
        <v>0.104</v>
      </c>
      <c r="AE1341" s="48">
        <f>IFERROR(VLOOKUP(Tabela3[[#This Row],[Produto]],Tabela2[],4,0),0)</f>
        <v>5.38</v>
      </c>
      <c r="AF1341" s="48">
        <f>IFERROR(VLOOKUP(Tabela3[[#This Row],[Produto]],Tabela2[],5,0),0)</f>
        <v>1.7532000000000001</v>
      </c>
      <c r="AG1341" s="48">
        <f>IFERROR(VLOOKUP(Tabela3[[#This Row],[Produto]],Tabela2[],6,0),0)</f>
        <v>0</v>
      </c>
      <c r="AH1341" s="40">
        <f>IFERROR(VLOOKUP(Tabela3[[#This Row],[Produto]],Tabela2[],7,0),0)</f>
        <v>0</v>
      </c>
      <c r="AI1341" s="40">
        <f>IFERROR(VLOOKUP(Tabela3[[#This Row],[Produto]],Tabela2[],8,0),0)</f>
        <v>0</v>
      </c>
      <c r="AJ1341" s="35">
        <f ca="1">IFERROR(VLOOKUP(Tabela3[[#This Row],[Produto]],Tabela2[],13,0),0)</f>
        <v>16.569852141766386</v>
      </c>
      <c r="AK1341" s="48" t="str">
        <f>IFERROR(VLOOKUP(Tabela3[[#This Row],[Produto]],Tabela2[],14,0),0)</f>
        <v>Marcelo</v>
      </c>
      <c r="AL1341" s="40">
        <f>IFERROR(VLOOKUP(Tabela3[[#This Row],[Produto]],Tabela2[],15,0),0)</f>
        <v>0</v>
      </c>
      <c r="AM1341" s="36">
        <f ca="1">(Tabela3[[#This Row],[Custo Usinagem]]+Tabela3[[#This Row],[Custo / Pç]])*1.2</f>
        <v>2.678433146812762</v>
      </c>
      <c r="AN1341" s="36">
        <f ca="1">Tabela3[[#This Row],[Valor Mínimo Venda]]*1.15</f>
        <v>3.0801981188346761</v>
      </c>
      <c r="AO1341" s="36">
        <f ca="1">Tabela3[[#This Row],[Tabela 1]]*1.08</f>
        <v>3.3266139683414502</v>
      </c>
      <c r="AP1341" s="36">
        <f ca="1">Tabela3[[#This Row],[Tabela 2]]*1.15</f>
        <v>3.8256060635926672</v>
      </c>
    </row>
    <row r="1342" spans="1:42">
      <c r="A1342" s="9">
        <v>46189</v>
      </c>
      <c r="B1342" s="9" t="s">
        <v>124</v>
      </c>
      <c r="C1342" s="14">
        <v>9907</v>
      </c>
      <c r="D1342" s="6" t="s">
        <v>46</v>
      </c>
      <c r="E1342" s="6" t="s">
        <v>50</v>
      </c>
      <c r="F1342" s="6">
        <v>37</v>
      </c>
      <c r="G1342" s="15">
        <v>0.15138888888888888</v>
      </c>
      <c r="H1342" s="16">
        <v>0</v>
      </c>
      <c r="I1342" s="35">
        <f ca="1">IFERROR(Tabela3[[#This Row],[Custo Total]]/Tabela3[[#This Row],[Aluminio Util]],0)</f>
        <v>23.468941177810873</v>
      </c>
      <c r="J1342" s="35">
        <f ca="1">Tabela3[[#This Row],[Custo Total]]/Tabela3[[#This Row],[Realizado]]</f>
        <v>39.662510590500375</v>
      </c>
      <c r="K1342" s="37">
        <f>IFERROR(Tabela3[[#This Row],[Qtde Cx Produzida]]/Tabela3[[#This Row],[Tempo]]/24,0)</f>
        <v>10.18348623853211</v>
      </c>
      <c r="L1342" s="37">
        <f>Tabela3[[#This Row],[Qtde Cx Produzida]]*Tabela3[[#This Row],[Qdt Peça Placa]]</f>
        <v>37</v>
      </c>
      <c r="M1342" s="37">
        <f>Tabela3[[#This Row],[Previsto]]-Tabela3[[#This Row],[Perda Pçs]]</f>
        <v>37</v>
      </c>
      <c r="N1342" s="38">
        <f>IFERROR(Tabela3[[#This Row],[Perda Pçs]]/Tabela3[[#This Row],[Previsto]],0)</f>
        <v>0</v>
      </c>
      <c r="O1342" s="39">
        <f>IFERROR(IF(Tabela3[[#This Row],[Qtde Cx Produzida]] &lt;&gt; 0, Tabela3[[#This Row],[Tempo]] / Tabela3[[#This Row],[Qtde Cx Produzida]], 0),0)</f>
        <v>4.0915915915915911E-3</v>
      </c>
      <c r="P1342" s="57">
        <f>IFERROR(Tabela3[[#This Row],[Perda Pçs]]/Tabela3[[#This Row],[Qdt Peça Placa]],0)</f>
        <v>0</v>
      </c>
      <c r="Q1342" s="37">
        <f>IFERROR(Tabela3[[#This Row],[Realizado]]*Tabela3[[#This Row],[Peso Util/Pç]],0)</f>
        <v>62.53</v>
      </c>
      <c r="R1342" s="37">
        <f>IFERROR(Tabela3[[#This Row],[Peso Total Galho]]*Tabela3[[#This Row],[Qtde Cx Produzida]]*1.055,0)</f>
        <v>116.71465000000001</v>
      </c>
      <c r="S1342" s="37">
        <f>(Tabela3[[#This Row],[Aluminio Bruto]]-Tabela3[[#This Row],[Aluminio Util]])*0.9</f>
        <v>48.766185000000007</v>
      </c>
      <c r="T1342" s="37">
        <f>Tabela3[[#This Row],[Aluminio Bruto]]/OleoKGAluminio</f>
        <v>49.101702344407414</v>
      </c>
      <c r="U1342" s="35">
        <f>IFERROR((VLOOKUP(Tabela3[[#This Row],[Moldador]],Tabela1[],5,)+(VLOOKUP(Tabela3[[#This Row],[Ajudante]],Tabela1[],5,))*3.5),0)</f>
        <v>99.95034583333333</v>
      </c>
      <c r="V1342" s="35">
        <f>IFERROR(Tabela3[[#This Row],[Custo M.O. / H]]/((Tabela3[[#This Row],[Realizado]]/Tabela3[[#This Row],[Qdt Peça Placa]])/Tabela3[[#This Row],[Tempo]]/24),)</f>
        <v>9.8149438701201195</v>
      </c>
      <c r="W1342" s="35">
        <f>Tabela3[[#This Row],[Custo / Cx Moldada]]*Tabela3[[#This Row],[Qtde Cx Produzida]]</f>
        <v>363.15292319444444</v>
      </c>
      <c r="X1342" s="35">
        <f ca="1">Tabela3[[#This Row],[Aluminio Util]]*Tabela3[[#This Row],[Custo/Kg]]</f>
        <v>975.46800000000007</v>
      </c>
      <c r="Y1342" s="35">
        <f>IFERROR(VLOOKUP(Tabela3[[#This Row],[Data]],Tabela461213[],2,1)*(Tabela3[[#This Row],[Qtde Cx Produzida]]*Tabela3[[#This Row],[Qde macho / CX]]*Tabela3[[#This Row],[Peso Macho]]),)</f>
        <v>0</v>
      </c>
      <c r="Z1342" s="35">
        <f>IFERROR(Tabela3[[#This Row],[Qtde Oleo]]*(VLOOKUP(Tabela3[[#This Row],[Data]],CompraOleo[],3,TRUE))*1.05,0)</f>
        <v>128.89196865406947</v>
      </c>
      <c r="AA1342" s="47">
        <f ca="1">(Tabela3[[#This Row],[Custo Oleo]]+Tabela3[[#This Row],[Custo Aluminio]]+Tabela3[[#This Row],[Custo M.O. Total]]+Tabela3[[#This Row],[Custo Machos]])</f>
        <v>1467.5128918485138</v>
      </c>
      <c r="AB1342" s="47">
        <f ca="1">Tabela3[[#This Row],[Custo Total]]*Tabela3[[#This Row],[% Perda]]</f>
        <v>0</v>
      </c>
      <c r="AC1342" s="40">
        <f>IFERROR(VLOOKUP(Tabela3[[#This Row],[Produto]],Tabela2[],2,0),0)</f>
        <v>1</v>
      </c>
      <c r="AD1342" s="48">
        <f>IFERROR(VLOOKUP(Tabela3[[#This Row],[Produto]],Tabela2[],3,0),0)</f>
        <v>1.69</v>
      </c>
      <c r="AE1342" s="48">
        <f>IFERROR(VLOOKUP(Tabela3[[#This Row],[Produto]],Tabela2[],4,0),0)</f>
        <v>2.99</v>
      </c>
      <c r="AF1342" s="48">
        <f>IFERROR(VLOOKUP(Tabela3[[#This Row],[Produto]],Tabela2[],5,0),0)</f>
        <v>1.1700000000000004</v>
      </c>
      <c r="AG1342" s="48">
        <f>IFERROR(VLOOKUP(Tabela3[[#This Row],[Produto]],Tabela2[],6,0),0)</f>
        <v>0</v>
      </c>
      <c r="AH1342" s="40">
        <f>IFERROR(VLOOKUP(Tabela3[[#This Row],[Produto]],Tabela2[],7,0),0)</f>
        <v>0</v>
      </c>
      <c r="AI1342" s="40">
        <f>IFERROR(VLOOKUP(Tabela3[[#This Row],[Produto]],Tabela2[],8,0),0)</f>
        <v>0</v>
      </c>
      <c r="AJ1342" s="35">
        <f ca="1">IFERROR(VLOOKUP(Tabela3[[#This Row],[Produto]],Tabela2[],13,0),0)</f>
        <v>15.600000000000001</v>
      </c>
      <c r="AK1342" s="48" t="str">
        <f>IFERROR(VLOOKUP(Tabela3[[#This Row],[Produto]],Tabela2[],14,0),0)</f>
        <v>Jumil</v>
      </c>
      <c r="AL1342" s="40">
        <f>IFERROR(VLOOKUP(Tabela3[[#This Row],[Produto]],Tabela2[],15,0),0)</f>
        <v>8</v>
      </c>
      <c r="AM1342" s="36">
        <f ca="1">(Tabela3[[#This Row],[Custo Usinagem]]+Tabela3[[#This Row],[Custo / Pç]])*1.2</f>
        <v>57.195012708600451</v>
      </c>
      <c r="AN1342" s="36">
        <f ca="1">Tabela3[[#This Row],[Valor Mínimo Venda]]*1.15</f>
        <v>65.774264614890512</v>
      </c>
      <c r="AO1342" s="36">
        <f ca="1">Tabela3[[#This Row],[Tabela 1]]*1.08</f>
        <v>71.036205784081758</v>
      </c>
      <c r="AP1342" s="36">
        <f ca="1">Tabela3[[#This Row],[Tabela 2]]*1.15</f>
        <v>81.691636651694012</v>
      </c>
    </row>
    <row r="1343" spans="1:42">
      <c r="A1343" s="9">
        <v>46189</v>
      </c>
      <c r="B1343" s="9" t="s">
        <v>124</v>
      </c>
      <c r="C1343" s="14">
        <v>9907</v>
      </c>
      <c r="D1343" s="6" t="s">
        <v>46</v>
      </c>
      <c r="E1343" s="6" t="s">
        <v>44</v>
      </c>
      <c r="F1343" s="6">
        <v>23</v>
      </c>
      <c r="G1343" s="15">
        <v>9.583333333333334E-2</v>
      </c>
      <c r="H1343" s="16">
        <v>0</v>
      </c>
      <c r="I1343" s="35">
        <f ca="1">IFERROR(Tabela3[[#This Row],[Custo Total]]/Tabela3[[#This Row],[Aluminio Util]],0)</f>
        <v>25.122495100816725</v>
      </c>
      <c r="J1343" s="35">
        <f ca="1">Tabela3[[#This Row],[Custo Total]]/Tabela3[[#This Row],[Realizado]]</f>
        <v>42.45701672038026</v>
      </c>
      <c r="K1343" s="37">
        <f>IFERROR(Tabela3[[#This Row],[Qtde Cx Produzida]]/Tabela3[[#This Row],[Tempo]]/24,0)</f>
        <v>9.9999999999999982</v>
      </c>
      <c r="L1343" s="37">
        <f>Tabela3[[#This Row],[Qtde Cx Produzida]]*Tabela3[[#This Row],[Qdt Peça Placa]]</f>
        <v>23</v>
      </c>
      <c r="M1343" s="37">
        <f>Tabela3[[#This Row],[Previsto]]-Tabela3[[#This Row],[Perda Pçs]]</f>
        <v>23</v>
      </c>
      <c r="N1343" s="38">
        <f>IFERROR(Tabela3[[#This Row],[Perda Pçs]]/Tabela3[[#This Row],[Previsto]],0)</f>
        <v>0</v>
      </c>
      <c r="O1343" s="39">
        <f>IFERROR(IF(Tabela3[[#This Row],[Qtde Cx Produzida]] &lt;&gt; 0, Tabela3[[#This Row],[Tempo]] / Tabela3[[#This Row],[Qtde Cx Produzida]], 0),0)</f>
        <v>4.1666666666666666E-3</v>
      </c>
      <c r="P1343" s="57">
        <f>IFERROR(Tabela3[[#This Row],[Perda Pçs]]/Tabela3[[#This Row],[Qdt Peça Placa]],0)</f>
        <v>0</v>
      </c>
      <c r="Q1343" s="37">
        <f>IFERROR(Tabela3[[#This Row],[Realizado]]*Tabela3[[#This Row],[Peso Util/Pç]],0)</f>
        <v>38.869999999999997</v>
      </c>
      <c r="R1343" s="37">
        <f>IFERROR(Tabela3[[#This Row],[Peso Total Galho]]*Tabela3[[#This Row],[Qtde Cx Produzida]]*1.055,0)</f>
        <v>72.552350000000004</v>
      </c>
      <c r="S1343" s="37">
        <f>(Tabela3[[#This Row],[Aluminio Bruto]]-Tabela3[[#This Row],[Aluminio Util]])*0.9</f>
        <v>30.314115000000008</v>
      </c>
      <c r="T1343" s="37">
        <f>Tabela3[[#This Row],[Aluminio Bruto]]/OleoKGAluminio</f>
        <v>30.522679835712715</v>
      </c>
      <c r="U1343" s="35">
        <f>IFERROR((VLOOKUP(Tabela3[[#This Row],[Moldador]],Tabela1[],5,)+(VLOOKUP(Tabela3[[#This Row],[Ajudante]],Tabela1[],5,))*3.5),0)</f>
        <v>126.0945</v>
      </c>
      <c r="V1343" s="35">
        <f>IFERROR(Tabela3[[#This Row],[Custo M.O. / H]]/((Tabela3[[#This Row],[Realizado]]/Tabela3[[#This Row],[Qdt Peça Placa]])/Tabela3[[#This Row],[Tempo]]/24),)</f>
        <v>12.609450000000002</v>
      </c>
      <c r="W1343" s="35">
        <f>Tabela3[[#This Row],[Custo / Cx Moldada]]*Tabela3[[#This Row],[Qtde Cx Produzida]]</f>
        <v>290.01735000000008</v>
      </c>
      <c r="X1343" s="35">
        <f ca="1">Tabela3[[#This Row],[Aluminio Util]]*Tabela3[[#This Row],[Custo/Kg]]</f>
        <v>606.37200000000007</v>
      </c>
      <c r="Y1343" s="35">
        <f>IFERROR(VLOOKUP(Tabela3[[#This Row],[Data]],Tabela461213[],2,1)*(Tabela3[[#This Row],[Qtde Cx Produzida]]*Tabela3[[#This Row],[Qde macho / CX]]*Tabela3[[#This Row],[Peso Macho]]),)</f>
        <v>0</v>
      </c>
      <c r="Z1343" s="35">
        <f>IFERROR(Tabela3[[#This Row],[Qtde Oleo]]*(VLOOKUP(Tabela3[[#This Row],[Data]],CompraOleo[],3,TRUE))*1.05,0)</f>
        <v>80.122034568745889</v>
      </c>
      <c r="AA1343" s="47">
        <f ca="1">(Tabela3[[#This Row],[Custo Oleo]]+Tabela3[[#This Row],[Custo Aluminio]]+Tabela3[[#This Row],[Custo M.O. Total]]+Tabela3[[#This Row],[Custo Machos]])</f>
        <v>976.51138456874605</v>
      </c>
      <c r="AB1343" s="47">
        <f ca="1">Tabela3[[#This Row],[Custo Total]]*Tabela3[[#This Row],[% Perda]]</f>
        <v>0</v>
      </c>
      <c r="AC1343" s="40">
        <f>IFERROR(VLOOKUP(Tabela3[[#This Row],[Produto]],Tabela2[],2,0),0)</f>
        <v>1</v>
      </c>
      <c r="AD1343" s="48">
        <f>IFERROR(VLOOKUP(Tabela3[[#This Row],[Produto]],Tabela2[],3,0),0)</f>
        <v>1.69</v>
      </c>
      <c r="AE1343" s="48">
        <f>IFERROR(VLOOKUP(Tabela3[[#This Row],[Produto]],Tabela2[],4,0),0)</f>
        <v>2.99</v>
      </c>
      <c r="AF1343" s="48">
        <f>IFERROR(VLOOKUP(Tabela3[[#This Row],[Produto]],Tabela2[],5,0),0)</f>
        <v>1.1700000000000004</v>
      </c>
      <c r="AG1343" s="48">
        <f>IFERROR(VLOOKUP(Tabela3[[#This Row],[Produto]],Tabela2[],6,0),0)</f>
        <v>0</v>
      </c>
      <c r="AH1343" s="40">
        <f>IFERROR(VLOOKUP(Tabela3[[#This Row],[Produto]],Tabela2[],7,0),0)</f>
        <v>0</v>
      </c>
      <c r="AI1343" s="40">
        <f>IFERROR(VLOOKUP(Tabela3[[#This Row],[Produto]],Tabela2[],8,0),0)</f>
        <v>0</v>
      </c>
      <c r="AJ1343" s="35">
        <f ca="1">IFERROR(VLOOKUP(Tabela3[[#This Row],[Produto]],Tabela2[],13,0),0)</f>
        <v>15.600000000000001</v>
      </c>
      <c r="AK1343" s="48" t="str">
        <f>IFERROR(VLOOKUP(Tabela3[[#This Row],[Produto]],Tabela2[],14,0),0)</f>
        <v>Jumil</v>
      </c>
      <c r="AL1343" s="40">
        <f>IFERROR(VLOOKUP(Tabela3[[#This Row],[Produto]],Tabela2[],15,0),0)</f>
        <v>8</v>
      </c>
      <c r="AM1343" s="36">
        <f ca="1">(Tabela3[[#This Row],[Custo Usinagem]]+Tabela3[[#This Row],[Custo / Pç]])*1.2</f>
        <v>60.548420064456309</v>
      </c>
      <c r="AN1343" s="36">
        <f ca="1">Tabela3[[#This Row],[Valor Mínimo Venda]]*1.15</f>
        <v>69.630683074124747</v>
      </c>
      <c r="AO1343" s="36">
        <f ca="1">Tabela3[[#This Row],[Tabela 1]]*1.08</f>
        <v>75.201137720054732</v>
      </c>
      <c r="AP1343" s="36">
        <f ca="1">Tabela3[[#This Row],[Tabela 2]]*1.15</f>
        <v>86.481308378062934</v>
      </c>
    </row>
    <row r="1344" spans="1:42">
      <c r="A1344" s="9">
        <v>46189</v>
      </c>
      <c r="B1344" s="9" t="s">
        <v>124</v>
      </c>
      <c r="C1344" s="14">
        <v>9907</v>
      </c>
      <c r="D1344" s="6" t="s">
        <v>44</v>
      </c>
      <c r="E1344" s="6" t="s">
        <v>47</v>
      </c>
      <c r="F1344" s="6">
        <v>20</v>
      </c>
      <c r="G1344" s="15">
        <v>7.8472222222222221E-2</v>
      </c>
      <c r="H1344" s="16">
        <v>0</v>
      </c>
      <c r="I1344" s="35">
        <f ca="1">IFERROR(Tabela3[[#This Row],[Custo Total]]/Tabela3[[#This Row],[Aluminio Util]],0)</f>
        <v>23.230507467269714</v>
      </c>
      <c r="J1344" s="35">
        <f ca="1">Tabela3[[#This Row],[Custo Total]]/Tabela3[[#This Row],[Realizado]]</f>
        <v>39.259557619685815</v>
      </c>
      <c r="K1344" s="37">
        <f>IFERROR(Tabela3[[#This Row],[Qtde Cx Produzida]]/Tabela3[[#This Row],[Tempo]]/24,0)</f>
        <v>10.619469026548673</v>
      </c>
      <c r="L1344" s="37">
        <f>Tabela3[[#This Row],[Qtde Cx Produzida]]*Tabela3[[#This Row],[Qdt Peça Placa]]</f>
        <v>20</v>
      </c>
      <c r="M1344" s="37">
        <f>Tabela3[[#This Row],[Previsto]]-Tabela3[[#This Row],[Perda Pçs]]</f>
        <v>20</v>
      </c>
      <c r="N1344" s="38">
        <f>IFERROR(Tabela3[[#This Row],[Perda Pçs]]/Tabela3[[#This Row],[Previsto]],0)</f>
        <v>0</v>
      </c>
      <c r="O1344" s="39">
        <f>IFERROR(IF(Tabela3[[#This Row],[Qtde Cx Produzida]] &lt;&gt; 0, Tabela3[[#This Row],[Tempo]] / Tabela3[[#This Row],[Qtde Cx Produzida]], 0),0)</f>
        <v>3.9236111111111112E-3</v>
      </c>
      <c r="P1344" s="57">
        <f>IFERROR(Tabela3[[#This Row],[Perda Pçs]]/Tabela3[[#This Row],[Qdt Peça Placa]],0)</f>
        <v>0</v>
      </c>
      <c r="Q1344" s="37">
        <f>IFERROR(Tabela3[[#This Row],[Realizado]]*Tabela3[[#This Row],[Peso Util/Pç]],0)</f>
        <v>33.799999999999997</v>
      </c>
      <c r="R1344" s="37">
        <f>IFERROR(Tabela3[[#This Row],[Peso Total Galho]]*Tabela3[[#This Row],[Qtde Cx Produzida]]*1.055,0)</f>
        <v>63.088999999999999</v>
      </c>
      <c r="S1344" s="37">
        <f>(Tabela3[[#This Row],[Aluminio Bruto]]-Tabela3[[#This Row],[Aluminio Util]])*0.9</f>
        <v>26.360100000000003</v>
      </c>
      <c r="T1344" s="37">
        <f>Tabela3[[#This Row],[Aluminio Bruto]]/OleoKGAluminio</f>
        <v>26.541460726706706</v>
      </c>
      <c r="U1344" s="35">
        <f>IFERROR((VLOOKUP(Tabela3[[#This Row],[Moldador]],Tabela1[],5,)+(VLOOKUP(Tabela3[[#This Row],[Ajudante]],Tabela1[],5,))*3.5),0)</f>
        <v>99.95034583333333</v>
      </c>
      <c r="V1344" s="35">
        <f>IFERROR(Tabela3[[#This Row],[Custo M.O. / H]]/((Tabela3[[#This Row],[Realizado]]/Tabela3[[#This Row],[Qdt Peça Placa]])/Tabela3[[#This Row],[Tempo]]/24),)</f>
        <v>9.4119908993055557</v>
      </c>
      <c r="W1344" s="35">
        <f>Tabela3[[#This Row],[Custo / Cx Moldada]]*Tabela3[[#This Row],[Qtde Cx Produzida]]</f>
        <v>188.23981798611112</v>
      </c>
      <c r="X1344" s="35">
        <f ca="1">Tabela3[[#This Row],[Aluminio Util]]*Tabela3[[#This Row],[Custo/Kg]]</f>
        <v>527.28</v>
      </c>
      <c r="Y1344" s="35">
        <f>IFERROR(VLOOKUP(Tabela3[[#This Row],[Data]],Tabela461213[],2,1)*(Tabela3[[#This Row],[Qtde Cx Produzida]]*Tabela3[[#This Row],[Qde macho / CX]]*Tabela3[[#This Row],[Peso Macho]]),)</f>
        <v>0</v>
      </c>
      <c r="Z1344" s="35">
        <f>IFERROR(Tabela3[[#This Row],[Qtde Oleo]]*(VLOOKUP(Tabela3[[#This Row],[Data]],CompraOleo[],3,TRUE))*1.05,0)</f>
        <v>69.671334407605116</v>
      </c>
      <c r="AA1344" s="47">
        <f ca="1">(Tabela3[[#This Row],[Custo Oleo]]+Tabela3[[#This Row],[Custo Aluminio]]+Tabela3[[#This Row],[Custo M.O. Total]]+Tabela3[[#This Row],[Custo Machos]])</f>
        <v>785.19115239371627</v>
      </c>
      <c r="AB1344" s="47">
        <f ca="1">Tabela3[[#This Row],[Custo Total]]*Tabela3[[#This Row],[% Perda]]</f>
        <v>0</v>
      </c>
      <c r="AC1344" s="40">
        <f>IFERROR(VLOOKUP(Tabela3[[#This Row],[Produto]],Tabela2[],2,0),0)</f>
        <v>1</v>
      </c>
      <c r="AD1344" s="48">
        <f>IFERROR(VLOOKUP(Tabela3[[#This Row],[Produto]],Tabela2[],3,0),0)</f>
        <v>1.69</v>
      </c>
      <c r="AE1344" s="48">
        <f>IFERROR(VLOOKUP(Tabela3[[#This Row],[Produto]],Tabela2[],4,0),0)</f>
        <v>2.99</v>
      </c>
      <c r="AF1344" s="48">
        <f>IFERROR(VLOOKUP(Tabela3[[#This Row],[Produto]],Tabela2[],5,0),0)</f>
        <v>1.1700000000000004</v>
      </c>
      <c r="AG1344" s="48">
        <f>IFERROR(VLOOKUP(Tabela3[[#This Row],[Produto]],Tabela2[],6,0),0)</f>
        <v>0</v>
      </c>
      <c r="AH1344" s="40">
        <f>IFERROR(VLOOKUP(Tabela3[[#This Row],[Produto]],Tabela2[],7,0),0)</f>
        <v>0</v>
      </c>
      <c r="AI1344" s="40">
        <f>IFERROR(VLOOKUP(Tabela3[[#This Row],[Produto]],Tabela2[],8,0),0)</f>
        <v>0</v>
      </c>
      <c r="AJ1344" s="35">
        <f ca="1">IFERROR(VLOOKUP(Tabela3[[#This Row],[Produto]],Tabela2[],13,0),0)</f>
        <v>15.600000000000001</v>
      </c>
      <c r="AK1344" s="48" t="str">
        <f>IFERROR(VLOOKUP(Tabela3[[#This Row],[Produto]],Tabela2[],14,0),0)</f>
        <v>Jumil</v>
      </c>
      <c r="AL1344" s="40">
        <f>IFERROR(VLOOKUP(Tabela3[[#This Row],[Produto]],Tabela2[],15,0),0)</f>
        <v>8</v>
      </c>
      <c r="AM1344" s="36">
        <f ca="1">(Tabela3[[#This Row],[Custo Usinagem]]+Tabela3[[#This Row],[Custo / Pç]])*1.2</f>
        <v>56.711469143622978</v>
      </c>
      <c r="AN1344" s="36">
        <f ca="1">Tabela3[[#This Row],[Valor Mínimo Venda]]*1.15</f>
        <v>65.218189515166415</v>
      </c>
      <c r="AO1344" s="36">
        <f ca="1">Tabela3[[#This Row],[Tabela 1]]*1.08</f>
        <v>70.435644676379738</v>
      </c>
      <c r="AP1344" s="36">
        <f ca="1">Tabela3[[#This Row],[Tabela 2]]*1.15</f>
        <v>81.000991377836698</v>
      </c>
    </row>
    <row r="1345" spans="1:42">
      <c r="A1345" s="9">
        <v>46190</v>
      </c>
      <c r="B1345" s="9" t="s">
        <v>223</v>
      </c>
      <c r="C1345" s="14">
        <v>9872</v>
      </c>
      <c r="D1345" s="6" t="s">
        <v>46</v>
      </c>
      <c r="E1345" s="6" t="s">
        <v>50</v>
      </c>
      <c r="F1345" s="6">
        <v>53</v>
      </c>
      <c r="G1345" s="15">
        <v>0.26319444444444445</v>
      </c>
      <c r="H1345" s="16">
        <v>0</v>
      </c>
      <c r="I1345" s="35">
        <f ca="1">IFERROR(Tabela3[[#This Row],[Custo Total]]/Tabela3[[#This Row],[Aluminio Util]],0)</f>
        <v>21.867174706794948</v>
      </c>
      <c r="J1345" s="35">
        <f ca="1">Tabela3[[#This Row],[Custo Total]]/Tabela3[[#This Row],[Realizado]]</f>
        <v>2.2741861695066747</v>
      </c>
      <c r="K1345" s="37">
        <f>IFERROR(Tabela3[[#This Row],[Qtde Cx Produzida]]/Tabela3[[#This Row],[Tempo]]/24,0)</f>
        <v>8.3905013192612135</v>
      </c>
      <c r="L1345" s="37">
        <f>Tabela3[[#This Row],[Qtde Cx Produzida]]*Tabela3[[#This Row],[Qdt Peça Placa]]</f>
        <v>1749</v>
      </c>
      <c r="M1345" s="37">
        <f>Tabela3[[#This Row],[Previsto]]-Tabela3[[#This Row],[Perda Pçs]]</f>
        <v>1749</v>
      </c>
      <c r="N1345" s="38">
        <f>IFERROR(Tabela3[[#This Row],[Perda Pçs]]/Tabela3[[#This Row],[Previsto]],0)</f>
        <v>0</v>
      </c>
      <c r="O1345" s="39">
        <f>IFERROR(IF(Tabela3[[#This Row],[Qtde Cx Produzida]] &lt;&gt; 0, Tabela3[[#This Row],[Tempo]] / Tabela3[[#This Row],[Qtde Cx Produzida]], 0),0)</f>
        <v>4.9659329140461219E-3</v>
      </c>
      <c r="P1345" s="57">
        <f>IFERROR(Tabela3[[#This Row],[Perda Pçs]]/Tabela3[[#This Row],[Qdt Peça Placa]],0)</f>
        <v>0</v>
      </c>
      <c r="Q1345" s="37">
        <f>IFERROR(Tabela3[[#This Row],[Realizado]]*Tabela3[[#This Row],[Peso Util/Pç]],0)</f>
        <v>181.89599999999999</v>
      </c>
      <c r="R1345" s="37">
        <f>IFERROR(Tabela3[[#This Row],[Peso Total Galho]]*Tabela3[[#This Row],[Qtde Cx Produzida]]*1.055,0)</f>
        <v>300.82269999999994</v>
      </c>
      <c r="S1345" s="37">
        <f>(Tabela3[[#This Row],[Aluminio Bruto]]-Tabela3[[#This Row],[Aluminio Util]])*0.9</f>
        <v>107.03402999999996</v>
      </c>
      <c r="T1345" s="37">
        <f>Tabela3[[#This Row],[Aluminio Bruto]]/OleoKGAluminio</f>
        <v>126.55572092998577</v>
      </c>
      <c r="U1345" s="35">
        <f>IFERROR((VLOOKUP(Tabela3[[#This Row],[Moldador]],Tabela1[],5,)+(VLOOKUP(Tabela3[[#This Row],[Ajudante]],Tabela1[],5,))*3.5),0)</f>
        <v>99.95034583333333</v>
      </c>
      <c r="V1345" s="35">
        <f>IFERROR(Tabela3[[#This Row],[Custo M.O. / H]]/((Tabela3[[#This Row],[Realizado]]/Tabela3[[#This Row],[Qdt Peça Placa]])/Tabela3[[#This Row],[Tempo]]/24),)</f>
        <v>11.912321091457024</v>
      </c>
      <c r="W1345" s="35">
        <f>Tabela3[[#This Row],[Custo / Cx Moldada]]*Tabela3[[#This Row],[Qtde Cx Produzida]]</f>
        <v>631.3530178472223</v>
      </c>
      <c r="X1345" s="35">
        <f ca="1">Tabela3[[#This Row],[Aluminio Util]]*Tabela3[[#This Row],[Custo/Kg]]</f>
        <v>3013.9898251787386</v>
      </c>
      <c r="Y1345" s="35">
        <f>IFERROR(VLOOKUP(Tabela3[[#This Row],[Data]],Tabela461213[],2,1)*(Tabela3[[#This Row],[Qtde Cx Produzida]]*Tabela3[[#This Row],[Qde macho / CX]]*Tabela3[[#This Row],[Peso Macho]]),)</f>
        <v>0</v>
      </c>
      <c r="Z1345" s="35">
        <f>IFERROR(Tabela3[[#This Row],[Qtde Oleo]]*(VLOOKUP(Tabela3[[#This Row],[Data]],CompraOleo[],3,TRUE))*1.05,0)</f>
        <v>332.20876744121267</v>
      </c>
      <c r="AA1345" s="47">
        <f ca="1">(Tabela3[[#This Row],[Custo Oleo]]+Tabela3[[#This Row],[Custo Aluminio]]+Tabela3[[#This Row],[Custo M.O. Total]]+Tabela3[[#This Row],[Custo Machos]])</f>
        <v>3977.5516104671738</v>
      </c>
      <c r="AB1345" s="47">
        <f ca="1">Tabela3[[#This Row],[Custo Total]]*Tabela3[[#This Row],[% Perda]]</f>
        <v>0</v>
      </c>
      <c r="AC1345" s="40">
        <f>IFERROR(VLOOKUP(Tabela3[[#This Row],[Produto]],Tabela2[],2,0),0)</f>
        <v>33</v>
      </c>
      <c r="AD1345" s="48">
        <f>IFERROR(VLOOKUP(Tabela3[[#This Row],[Produto]],Tabela2[],3,0),0)</f>
        <v>0.104</v>
      </c>
      <c r="AE1345" s="48">
        <f>IFERROR(VLOOKUP(Tabela3[[#This Row],[Produto]],Tabela2[],4,0),0)</f>
        <v>5.38</v>
      </c>
      <c r="AF1345" s="48">
        <f>IFERROR(VLOOKUP(Tabela3[[#This Row],[Produto]],Tabela2[],5,0),0)</f>
        <v>1.7532000000000001</v>
      </c>
      <c r="AG1345" s="48">
        <f>IFERROR(VLOOKUP(Tabela3[[#This Row],[Produto]],Tabela2[],6,0),0)</f>
        <v>0</v>
      </c>
      <c r="AH1345" s="40">
        <f>IFERROR(VLOOKUP(Tabela3[[#This Row],[Produto]],Tabela2[],7,0),0)</f>
        <v>0</v>
      </c>
      <c r="AI1345" s="40">
        <f>IFERROR(VLOOKUP(Tabela3[[#This Row],[Produto]],Tabela2[],8,0),0)</f>
        <v>0</v>
      </c>
      <c r="AJ1345" s="35">
        <f ca="1">IFERROR(VLOOKUP(Tabela3[[#This Row],[Produto]],Tabela2[],13,0),0)</f>
        <v>16.569852141766386</v>
      </c>
      <c r="AK1345" s="48" t="str">
        <f>IFERROR(VLOOKUP(Tabela3[[#This Row],[Produto]],Tabela2[],14,0),0)</f>
        <v>Marcelo</v>
      </c>
      <c r="AL1345" s="40">
        <f>IFERROR(VLOOKUP(Tabela3[[#This Row],[Produto]],Tabela2[],15,0),0)</f>
        <v>0</v>
      </c>
      <c r="AM1345" s="36">
        <f ca="1">(Tabela3[[#This Row],[Custo Usinagem]]+Tabela3[[#This Row],[Custo / Pç]])*1.2</f>
        <v>2.7290234034080094</v>
      </c>
      <c r="AN1345" s="36">
        <f ca="1">Tabela3[[#This Row],[Valor Mínimo Venda]]*1.15</f>
        <v>3.1383769139192106</v>
      </c>
      <c r="AO1345" s="36">
        <f ca="1">Tabela3[[#This Row],[Tabela 1]]*1.08</f>
        <v>3.3894470670327475</v>
      </c>
      <c r="AP1345" s="36">
        <f ca="1">Tabela3[[#This Row],[Tabela 2]]*1.15</f>
        <v>3.8978641270876593</v>
      </c>
    </row>
    <row r="1346" spans="1:42">
      <c r="A1346" s="9">
        <v>46190</v>
      </c>
      <c r="B1346" s="9" t="s">
        <v>223</v>
      </c>
      <c r="C1346" s="14">
        <v>9872</v>
      </c>
      <c r="D1346" s="6" t="s">
        <v>46</v>
      </c>
      <c r="E1346" s="6" t="s">
        <v>44</v>
      </c>
      <c r="F1346" s="6">
        <v>18</v>
      </c>
      <c r="G1346" s="15">
        <v>9.2361111111111116E-2</v>
      </c>
      <c r="H1346" s="16">
        <v>0</v>
      </c>
      <c r="I1346" s="35">
        <f ca="1">IFERROR(Tabela3[[#This Row],[Custo Total]]/Tabela3[[#This Row],[Aluminio Util]],0)</f>
        <v>22.920782828942279</v>
      </c>
      <c r="J1346" s="35">
        <f ca="1">Tabela3[[#This Row],[Custo Total]]/Tabela3[[#This Row],[Realizado]]</f>
        <v>2.3837614142099972</v>
      </c>
      <c r="K1346" s="37">
        <f>IFERROR(Tabela3[[#This Row],[Qtde Cx Produzida]]/Tabela3[[#This Row],[Tempo]]/24,0)</f>
        <v>8.1203007518796984</v>
      </c>
      <c r="L1346" s="37">
        <f>Tabela3[[#This Row],[Qtde Cx Produzida]]*Tabela3[[#This Row],[Qdt Peça Placa]]</f>
        <v>594</v>
      </c>
      <c r="M1346" s="37">
        <f>Tabela3[[#This Row],[Previsto]]-Tabela3[[#This Row],[Perda Pçs]]</f>
        <v>594</v>
      </c>
      <c r="N1346" s="38">
        <f>IFERROR(Tabela3[[#This Row],[Perda Pçs]]/Tabela3[[#This Row],[Previsto]],0)</f>
        <v>0</v>
      </c>
      <c r="O1346" s="39">
        <f>IFERROR(IF(Tabela3[[#This Row],[Qtde Cx Produzida]] &lt;&gt; 0, Tabela3[[#This Row],[Tempo]] / Tabela3[[#This Row],[Qtde Cx Produzida]], 0),0)</f>
        <v>5.1311728395061727E-3</v>
      </c>
      <c r="P1346" s="57">
        <f>IFERROR(Tabela3[[#This Row],[Perda Pçs]]/Tabela3[[#This Row],[Qdt Peça Placa]],0)</f>
        <v>0</v>
      </c>
      <c r="Q1346" s="37">
        <f>IFERROR(Tabela3[[#This Row],[Realizado]]*Tabela3[[#This Row],[Peso Util/Pç]],0)</f>
        <v>61.775999999999996</v>
      </c>
      <c r="R1346" s="37">
        <f>IFERROR(Tabela3[[#This Row],[Peso Total Galho]]*Tabela3[[#This Row],[Qtde Cx Produzida]]*1.055,0)</f>
        <v>102.1662</v>
      </c>
      <c r="S1346" s="37">
        <f>(Tabela3[[#This Row],[Aluminio Bruto]]-Tabela3[[#This Row],[Aluminio Util]])*0.9</f>
        <v>36.351180000000006</v>
      </c>
      <c r="T1346" s="37">
        <f>Tabela3[[#This Row],[Aluminio Bruto]]/OleoKGAluminio</f>
        <v>42.981188240372539</v>
      </c>
      <c r="U1346" s="35">
        <f>IFERROR((VLOOKUP(Tabela3[[#This Row],[Moldador]],Tabela1[],5,)+(VLOOKUP(Tabela3[[#This Row],[Ajudante]],Tabela1[],5,))*3.5),0)</f>
        <v>126.0945</v>
      </c>
      <c r="V1346" s="35">
        <f>IFERROR(Tabela3[[#This Row],[Custo M.O. / H]]/((Tabela3[[#This Row],[Realizado]]/Tabela3[[#This Row],[Qdt Peça Placa]])/Tabela3[[#This Row],[Tempo]]/24),)</f>
        <v>15.528304166666668</v>
      </c>
      <c r="W1346" s="35">
        <f>Tabela3[[#This Row],[Custo / Cx Moldada]]*Tabela3[[#This Row],[Qtde Cx Produzida]]</f>
        <v>279.50947500000001</v>
      </c>
      <c r="X1346" s="35">
        <f ca="1">Tabela3[[#This Row],[Aluminio Util]]*Tabela3[[#This Row],[Custo/Kg]]</f>
        <v>1023.6191859097602</v>
      </c>
      <c r="Y1346" s="35">
        <f>IFERROR(VLOOKUP(Tabela3[[#This Row],[Data]],Tabela461213[],2,1)*(Tabela3[[#This Row],[Qtde Cx Produzida]]*Tabela3[[#This Row],[Qde macho / CX]]*Tabela3[[#This Row],[Peso Macho]]),)</f>
        <v>0</v>
      </c>
      <c r="Z1346" s="35">
        <f>IFERROR(Tabela3[[#This Row],[Qtde Oleo]]*(VLOOKUP(Tabela3[[#This Row],[Data]],CompraOleo[],3,TRUE))*1.05,0)</f>
        <v>112.82561913097793</v>
      </c>
      <c r="AA1346" s="47">
        <f ca="1">(Tabela3[[#This Row],[Custo Oleo]]+Tabela3[[#This Row],[Custo Aluminio]]+Tabela3[[#This Row],[Custo M.O. Total]]+Tabela3[[#This Row],[Custo Machos]])</f>
        <v>1415.9542800407382</v>
      </c>
      <c r="AB1346" s="47">
        <f ca="1">Tabela3[[#This Row],[Custo Total]]*Tabela3[[#This Row],[% Perda]]</f>
        <v>0</v>
      </c>
      <c r="AC1346" s="40">
        <f>IFERROR(VLOOKUP(Tabela3[[#This Row],[Produto]],Tabela2[],2,0),0)</f>
        <v>33</v>
      </c>
      <c r="AD1346" s="48">
        <f>IFERROR(VLOOKUP(Tabela3[[#This Row],[Produto]],Tabela2[],3,0),0)</f>
        <v>0.104</v>
      </c>
      <c r="AE1346" s="48">
        <f>IFERROR(VLOOKUP(Tabela3[[#This Row],[Produto]],Tabela2[],4,0),0)</f>
        <v>5.38</v>
      </c>
      <c r="AF1346" s="48">
        <f>IFERROR(VLOOKUP(Tabela3[[#This Row],[Produto]],Tabela2[],5,0),0)</f>
        <v>1.7532000000000001</v>
      </c>
      <c r="AG1346" s="48">
        <f>IFERROR(VLOOKUP(Tabela3[[#This Row],[Produto]],Tabela2[],6,0),0)</f>
        <v>0</v>
      </c>
      <c r="AH1346" s="40">
        <f>IFERROR(VLOOKUP(Tabela3[[#This Row],[Produto]],Tabela2[],7,0),0)</f>
        <v>0</v>
      </c>
      <c r="AI1346" s="40">
        <f>IFERROR(VLOOKUP(Tabela3[[#This Row],[Produto]],Tabela2[],8,0),0)</f>
        <v>0</v>
      </c>
      <c r="AJ1346" s="35">
        <f ca="1">IFERROR(VLOOKUP(Tabela3[[#This Row],[Produto]],Tabela2[],13,0),0)</f>
        <v>16.569852141766386</v>
      </c>
      <c r="AK1346" s="48" t="str">
        <f>IFERROR(VLOOKUP(Tabela3[[#This Row],[Produto]],Tabela2[],14,0),0)</f>
        <v>Marcelo</v>
      </c>
      <c r="AL1346" s="40">
        <f>IFERROR(VLOOKUP(Tabela3[[#This Row],[Produto]],Tabela2[],15,0),0)</f>
        <v>0</v>
      </c>
      <c r="AM1346" s="36">
        <f ca="1">(Tabela3[[#This Row],[Custo Usinagem]]+Tabela3[[#This Row],[Custo / Pç]])*1.2</f>
        <v>2.8605136970519967</v>
      </c>
      <c r="AN1346" s="36">
        <f ca="1">Tabela3[[#This Row],[Valor Mínimo Venda]]*1.15</f>
        <v>3.2895907516097957</v>
      </c>
      <c r="AO1346" s="36">
        <f ca="1">Tabela3[[#This Row],[Tabela 1]]*1.08</f>
        <v>3.5527580117385797</v>
      </c>
      <c r="AP1346" s="36">
        <f ca="1">Tabela3[[#This Row],[Tabela 2]]*1.15</f>
        <v>4.0856717134993668</v>
      </c>
    </row>
    <row r="1347" spans="1:42">
      <c r="A1347" s="9">
        <v>46190</v>
      </c>
      <c r="B1347" s="9" t="s">
        <v>223</v>
      </c>
      <c r="C1347" s="14">
        <v>9872</v>
      </c>
      <c r="D1347" s="6" t="s">
        <v>44</v>
      </c>
      <c r="E1347" s="6" t="s">
        <v>47</v>
      </c>
      <c r="F1347" s="6">
        <v>5</v>
      </c>
      <c r="G1347" s="15">
        <v>2.2222222222222223E-2</v>
      </c>
      <c r="H1347" s="16">
        <v>0</v>
      </c>
      <c r="I1347" s="35">
        <f ca="1">IFERROR(Tabela3[[#This Row],[Custo Total]]/Tabela3[[#This Row],[Aluminio Util]],0)</f>
        <v>21.50267853277548</v>
      </c>
      <c r="J1347" s="35">
        <f ca="1">Tabela3[[#This Row],[Custo Total]]/Tabela3[[#This Row],[Realizado]]</f>
        <v>2.2362785674086498</v>
      </c>
      <c r="K1347" s="37">
        <f>IFERROR(Tabela3[[#This Row],[Qtde Cx Produzida]]/Tabela3[[#This Row],[Tempo]]/24,0)</f>
        <v>9.375</v>
      </c>
      <c r="L1347" s="37">
        <f>Tabela3[[#This Row],[Qtde Cx Produzida]]*Tabela3[[#This Row],[Qdt Peça Placa]]</f>
        <v>165</v>
      </c>
      <c r="M1347" s="37">
        <f>Tabela3[[#This Row],[Previsto]]-Tabela3[[#This Row],[Perda Pçs]]</f>
        <v>165</v>
      </c>
      <c r="N1347" s="38">
        <f>IFERROR(Tabela3[[#This Row],[Perda Pçs]]/Tabela3[[#This Row],[Previsto]],0)</f>
        <v>0</v>
      </c>
      <c r="O1347" s="39">
        <f>IFERROR(IF(Tabela3[[#This Row],[Qtde Cx Produzida]] &lt;&gt; 0, Tabela3[[#This Row],[Tempo]] / Tabela3[[#This Row],[Qtde Cx Produzida]], 0),0)</f>
        <v>4.4444444444444444E-3</v>
      </c>
      <c r="P1347" s="57">
        <f>IFERROR(Tabela3[[#This Row],[Perda Pçs]]/Tabela3[[#This Row],[Qdt Peça Placa]],0)</f>
        <v>0</v>
      </c>
      <c r="Q1347" s="37">
        <f>IFERROR(Tabela3[[#This Row],[Realizado]]*Tabela3[[#This Row],[Peso Util/Pç]],0)</f>
        <v>17.16</v>
      </c>
      <c r="R1347" s="37">
        <f>IFERROR(Tabela3[[#This Row],[Peso Total Galho]]*Tabela3[[#This Row],[Qtde Cx Produzida]]*1.055,0)</f>
        <v>28.379499999999997</v>
      </c>
      <c r="S1347" s="37">
        <f>(Tabela3[[#This Row],[Aluminio Bruto]]-Tabela3[[#This Row],[Aluminio Util]])*0.9</f>
        <v>10.097549999999996</v>
      </c>
      <c r="T1347" s="37">
        <f>Tabela3[[#This Row],[Aluminio Bruto]]/OleoKGAluminio</f>
        <v>11.939218955659037</v>
      </c>
      <c r="U1347" s="35">
        <f>IFERROR((VLOOKUP(Tabela3[[#This Row],[Moldador]],Tabela1[],5,)+(VLOOKUP(Tabela3[[#This Row],[Ajudante]],Tabela1[],5,))*3.5),0)</f>
        <v>99.95034583333333</v>
      </c>
      <c r="V1347" s="35">
        <f>IFERROR(Tabela3[[#This Row],[Custo M.O. / H]]/((Tabela3[[#This Row],[Realizado]]/Tabela3[[#This Row],[Qdt Peça Placa]])/Tabela3[[#This Row],[Tempo]]/24),)</f>
        <v>10.661370222222223</v>
      </c>
      <c r="W1347" s="35">
        <f>Tabela3[[#This Row],[Custo / Cx Moldada]]*Tabela3[[#This Row],[Qtde Cx Produzida]]</f>
        <v>53.306851111111115</v>
      </c>
      <c r="X1347" s="35">
        <f ca="1">Tabela3[[#This Row],[Aluminio Util]]*Tabela3[[#This Row],[Custo/Kg]]</f>
        <v>284.33866275271117</v>
      </c>
      <c r="Y1347" s="35">
        <f>IFERROR(VLOOKUP(Tabela3[[#This Row],[Data]],Tabela461213[],2,1)*(Tabela3[[#This Row],[Qtde Cx Produzida]]*Tabela3[[#This Row],[Qde macho / CX]]*Tabela3[[#This Row],[Peso Macho]]),)</f>
        <v>0</v>
      </c>
      <c r="Z1347" s="35">
        <f>IFERROR(Tabela3[[#This Row],[Qtde Oleo]]*(VLOOKUP(Tabela3[[#This Row],[Data]],CompraOleo[],3,TRUE))*1.05,0)</f>
        <v>31.340449758604972</v>
      </c>
      <c r="AA1347" s="47">
        <f ca="1">(Tabela3[[#This Row],[Custo Oleo]]+Tabela3[[#This Row],[Custo Aluminio]]+Tabela3[[#This Row],[Custo M.O. Total]]+Tabela3[[#This Row],[Custo Machos]])</f>
        <v>368.98596362242722</v>
      </c>
      <c r="AB1347" s="47">
        <f ca="1">Tabela3[[#This Row],[Custo Total]]*Tabela3[[#This Row],[% Perda]]</f>
        <v>0</v>
      </c>
      <c r="AC1347" s="40">
        <f>IFERROR(VLOOKUP(Tabela3[[#This Row],[Produto]],Tabela2[],2,0),0)</f>
        <v>33</v>
      </c>
      <c r="AD1347" s="48">
        <f>IFERROR(VLOOKUP(Tabela3[[#This Row],[Produto]],Tabela2[],3,0),0)</f>
        <v>0.104</v>
      </c>
      <c r="AE1347" s="48">
        <f>IFERROR(VLOOKUP(Tabela3[[#This Row],[Produto]],Tabela2[],4,0),0)</f>
        <v>5.38</v>
      </c>
      <c r="AF1347" s="48">
        <f>IFERROR(VLOOKUP(Tabela3[[#This Row],[Produto]],Tabela2[],5,0),0)</f>
        <v>1.7532000000000001</v>
      </c>
      <c r="AG1347" s="48">
        <f>IFERROR(VLOOKUP(Tabela3[[#This Row],[Produto]],Tabela2[],6,0),0)</f>
        <v>0</v>
      </c>
      <c r="AH1347" s="40">
        <f>IFERROR(VLOOKUP(Tabela3[[#This Row],[Produto]],Tabela2[],7,0),0)</f>
        <v>0</v>
      </c>
      <c r="AI1347" s="40">
        <f>IFERROR(VLOOKUP(Tabela3[[#This Row],[Produto]],Tabela2[],8,0),0)</f>
        <v>0</v>
      </c>
      <c r="AJ1347" s="35">
        <f ca="1">IFERROR(VLOOKUP(Tabela3[[#This Row],[Produto]],Tabela2[],13,0),0)</f>
        <v>16.569852141766386</v>
      </c>
      <c r="AK1347" s="48" t="str">
        <f>IFERROR(VLOOKUP(Tabela3[[#This Row],[Produto]],Tabela2[],14,0),0)</f>
        <v>Marcelo</v>
      </c>
      <c r="AL1347" s="40">
        <f>IFERROR(VLOOKUP(Tabela3[[#This Row],[Produto]],Tabela2[],15,0),0)</f>
        <v>0</v>
      </c>
      <c r="AM1347" s="36">
        <f ca="1">(Tabela3[[#This Row],[Custo Usinagem]]+Tabela3[[#This Row],[Custo / Pç]])*1.2</f>
        <v>2.6835342808903797</v>
      </c>
      <c r="AN1347" s="36">
        <f ca="1">Tabela3[[#This Row],[Valor Mínimo Venda]]*1.15</f>
        <v>3.0860644230239362</v>
      </c>
      <c r="AO1347" s="36">
        <f ca="1">Tabela3[[#This Row],[Tabela 1]]*1.08</f>
        <v>3.3329495768658512</v>
      </c>
      <c r="AP1347" s="36">
        <f ca="1">Tabela3[[#This Row],[Tabela 2]]*1.15</f>
        <v>3.8328920133957287</v>
      </c>
    </row>
    <row r="1348" spans="1:42">
      <c r="A1348" s="9">
        <v>46190</v>
      </c>
      <c r="B1348" s="9" t="s">
        <v>252</v>
      </c>
      <c r="C1348" s="14">
        <v>9939</v>
      </c>
      <c r="D1348" s="6" t="s">
        <v>44</v>
      </c>
      <c r="E1348" s="6" t="s">
        <v>47</v>
      </c>
      <c r="F1348" s="6">
        <v>12</v>
      </c>
      <c r="G1348" s="15">
        <v>4.3749999999999997E-2</v>
      </c>
      <c r="H1348" s="16">
        <v>0</v>
      </c>
      <c r="I1348" s="35">
        <f ca="1">IFERROR(Tabela3[[#This Row],[Custo Total]]/Tabela3[[#This Row],[Aluminio Util]],0)</f>
        <v>26.1646568061295</v>
      </c>
      <c r="J1348" s="35">
        <f ca="1">Tabela3[[#This Row],[Custo Total]]/Tabela3[[#This Row],[Realizado]]</f>
        <v>34.014053847968349</v>
      </c>
      <c r="K1348" s="37">
        <f>IFERROR(Tabela3[[#This Row],[Qtde Cx Produzida]]/Tabela3[[#This Row],[Tempo]]/24,0)</f>
        <v>11.428571428571429</v>
      </c>
      <c r="L1348" s="37">
        <f>Tabela3[[#This Row],[Qtde Cx Produzida]]*Tabela3[[#This Row],[Qdt Peça Placa]]</f>
        <v>12</v>
      </c>
      <c r="M1348" s="37">
        <f>Tabela3[[#This Row],[Previsto]]-Tabela3[[#This Row],[Perda Pçs]]</f>
        <v>12</v>
      </c>
      <c r="N1348" s="38">
        <f>IFERROR(Tabela3[[#This Row],[Perda Pçs]]/Tabela3[[#This Row],[Previsto]],0)</f>
        <v>0</v>
      </c>
      <c r="O1348" s="39">
        <f>IFERROR(IF(Tabela3[[#This Row],[Qtde Cx Produzida]] &lt;&gt; 0, Tabela3[[#This Row],[Tempo]] / Tabela3[[#This Row],[Qtde Cx Produzida]], 0),0)</f>
        <v>3.645833333333333E-3</v>
      </c>
      <c r="P1348" s="57">
        <f>IFERROR(Tabela3[[#This Row],[Perda Pçs]]/Tabela3[[#This Row],[Qdt Peça Placa]],0)</f>
        <v>0</v>
      </c>
      <c r="Q1348" s="37">
        <f>IFERROR(Tabela3[[#This Row],[Realizado]]*Tabela3[[#This Row],[Peso Util/Pç]],0)</f>
        <v>15.600000000000001</v>
      </c>
      <c r="R1348" s="37">
        <f>IFERROR(Tabela3[[#This Row],[Peso Total Galho]]*Tabela3[[#This Row],[Qtde Cx Produzida]]*1.055,0)</f>
        <v>25.952999999999996</v>
      </c>
      <c r="S1348" s="37">
        <f>(Tabela3[[#This Row],[Aluminio Bruto]]-Tabela3[[#This Row],[Aluminio Util]])*0.9</f>
        <v>9.317699999999995</v>
      </c>
      <c r="T1348" s="37">
        <f>Tabela3[[#This Row],[Aluminio Bruto]]/OleoKGAluminio</f>
        <v>10.918393543093392</v>
      </c>
      <c r="U1348" s="35">
        <f>IFERROR((VLOOKUP(Tabela3[[#This Row],[Moldador]],Tabela1[],5,)+(VLOOKUP(Tabela3[[#This Row],[Ajudante]],Tabela1[],5,))*3.5),0)</f>
        <v>99.95034583333333</v>
      </c>
      <c r="V1348" s="35">
        <f>IFERROR(Tabela3[[#This Row],[Custo M.O. / H]]/((Tabela3[[#This Row],[Realizado]]/Tabela3[[#This Row],[Qdt Peça Placa]])/Tabela3[[#This Row],[Tempo]]/24),)</f>
        <v>8.7456552604166653</v>
      </c>
      <c r="W1348" s="35">
        <f>Tabela3[[#This Row],[Custo / Cx Moldada]]*Tabela3[[#This Row],[Qtde Cx Produzida]]</f>
        <v>104.94786312499998</v>
      </c>
      <c r="X1348" s="35">
        <f ca="1">Tabela3[[#This Row],[Aluminio Util]]*Tabela3[[#This Row],[Custo/Kg]]</f>
        <v>274.56000000000006</v>
      </c>
      <c r="Y1348" s="35">
        <f>IFERROR(VLOOKUP(Tabela3[[#This Row],[Data]],Tabela461213[],2,1)*(Tabela3[[#This Row],[Qtde Cx Produzida]]*Tabela3[[#This Row],[Qde macho / CX]]*Tabela3[[#This Row],[Peso Macho]]),)</f>
        <v>0</v>
      </c>
      <c r="Z1348" s="35">
        <f>IFERROR(Tabela3[[#This Row],[Qtde Oleo]]*(VLOOKUP(Tabela3[[#This Row],[Data]],CompraOleo[],3,TRUE))*1.05,0)</f>
        <v>28.660783050620157</v>
      </c>
      <c r="AA1348" s="47">
        <f ca="1">(Tabela3[[#This Row],[Custo Oleo]]+Tabela3[[#This Row],[Custo Aluminio]]+Tabela3[[#This Row],[Custo M.O. Total]]+Tabela3[[#This Row],[Custo Machos]])</f>
        <v>408.16864617562021</v>
      </c>
      <c r="AB1348" s="47">
        <f ca="1">Tabela3[[#This Row],[Custo Total]]*Tabela3[[#This Row],[% Perda]]</f>
        <v>0</v>
      </c>
      <c r="AC1348" s="40">
        <f>IFERROR(VLOOKUP(Tabela3[[#This Row],[Produto]],Tabela2[],2,0),0)</f>
        <v>1</v>
      </c>
      <c r="AD1348" s="48">
        <f>IFERROR(VLOOKUP(Tabela3[[#This Row],[Produto]],Tabela2[],3,0),0)</f>
        <v>1.3</v>
      </c>
      <c r="AE1348" s="48">
        <f>IFERROR(VLOOKUP(Tabela3[[#This Row],[Produto]],Tabela2[],4,0),0)</f>
        <v>2.0499999999999998</v>
      </c>
      <c r="AF1348" s="48">
        <f>IFERROR(VLOOKUP(Tabela3[[#This Row],[Produto]],Tabela2[],5,0),0)</f>
        <v>0.67499999999999982</v>
      </c>
      <c r="AG1348" s="48">
        <f>IFERROR(VLOOKUP(Tabela3[[#This Row],[Produto]],Tabela2[],6,0),0)</f>
        <v>0</v>
      </c>
      <c r="AH1348" s="40">
        <f>IFERROR(VLOOKUP(Tabela3[[#This Row],[Produto]],Tabela2[],7,0),0)</f>
        <v>0</v>
      </c>
      <c r="AI1348" s="40">
        <f>IFERROR(VLOOKUP(Tabela3[[#This Row],[Produto]],Tabela2[],8,0),0)</f>
        <v>0</v>
      </c>
      <c r="AJ1348" s="35">
        <f ca="1">IFERROR(VLOOKUP(Tabela3[[#This Row],[Produto]],Tabela2[],13,0),0)</f>
        <v>17.600000000000001</v>
      </c>
      <c r="AK1348" s="48" t="str">
        <f>IFERROR(VLOOKUP(Tabela3[[#This Row],[Produto]],Tabela2[],14,0),0)</f>
        <v>Protec</v>
      </c>
      <c r="AL1348" s="40">
        <f>IFERROR(VLOOKUP(Tabela3[[#This Row],[Produto]],Tabela2[],15,0),0)</f>
        <v>0</v>
      </c>
      <c r="AM1348" s="36">
        <f ca="1">(Tabela3[[#This Row],[Custo Usinagem]]+Tabela3[[#This Row],[Custo / Pç]])*1.2</f>
        <v>40.816864617562018</v>
      </c>
      <c r="AN1348" s="36">
        <f ca="1">Tabela3[[#This Row],[Valor Mínimo Venda]]*1.15</f>
        <v>46.93939431019632</v>
      </c>
      <c r="AO1348" s="36">
        <f ca="1">Tabela3[[#This Row],[Tabela 1]]*1.08</f>
        <v>50.694545855012031</v>
      </c>
      <c r="AP1348" s="36">
        <f ca="1">Tabela3[[#This Row],[Tabela 2]]*1.15</f>
        <v>58.298727733263831</v>
      </c>
    </row>
    <row r="1349" spans="1:42">
      <c r="A1349" s="9">
        <v>46190</v>
      </c>
      <c r="B1349" s="9" t="s">
        <v>105</v>
      </c>
      <c r="C1349" s="14">
        <v>9942</v>
      </c>
      <c r="D1349" s="6" t="s">
        <v>44</v>
      </c>
      <c r="E1349" s="6" t="s">
        <v>47</v>
      </c>
      <c r="F1349" s="6">
        <v>5</v>
      </c>
      <c r="G1349" s="15">
        <v>6.1111111111111109E-2</v>
      </c>
      <c r="H1349" s="16">
        <v>0</v>
      </c>
      <c r="I1349" s="35">
        <f ca="1">IFERROR(Tabela3[[#This Row],[Custo Total]]/Tabela3[[#This Row],[Aluminio Util]],0)</f>
        <v>25.735676978601798</v>
      </c>
      <c r="J1349" s="35">
        <f ca="1">Tabela3[[#This Row],[Custo Total]]/Tabela3[[#This Row],[Realizado]]</f>
        <v>20.073828043309405</v>
      </c>
      <c r="K1349" s="37">
        <f>IFERROR(Tabela3[[#This Row],[Qtde Cx Produzida]]/Tabela3[[#This Row],[Tempo]]/24,0)</f>
        <v>3.4090909090909096</v>
      </c>
      <c r="L1349" s="37">
        <f>Tabela3[[#This Row],[Qtde Cx Produzida]]*Tabela3[[#This Row],[Qdt Peça Placa]]</f>
        <v>30</v>
      </c>
      <c r="M1349" s="37">
        <f>Tabela3[[#This Row],[Previsto]]-Tabela3[[#This Row],[Perda Pçs]]</f>
        <v>30</v>
      </c>
      <c r="N1349" s="38">
        <f>IFERROR(Tabela3[[#This Row],[Perda Pçs]]/Tabela3[[#This Row],[Previsto]],0)</f>
        <v>0</v>
      </c>
      <c r="O1349" s="39">
        <f>IFERROR(IF(Tabela3[[#This Row],[Qtde Cx Produzida]] &lt;&gt; 0, Tabela3[[#This Row],[Tempo]] / Tabela3[[#This Row],[Qtde Cx Produzida]], 0),0)</f>
        <v>1.2222222222222221E-2</v>
      </c>
      <c r="P1349" s="57">
        <f>IFERROR(Tabela3[[#This Row],[Perda Pçs]]/Tabela3[[#This Row],[Qdt Peça Placa]],0)</f>
        <v>0</v>
      </c>
      <c r="Q1349" s="37">
        <f>IFERROR(Tabela3[[#This Row],[Realizado]]*Tabela3[[#This Row],[Peso Util/Pç]],0)</f>
        <v>23.400000000000002</v>
      </c>
      <c r="R1349" s="37">
        <f>IFERROR(Tabela3[[#This Row],[Peso Total Galho]]*Tabela3[[#This Row],[Qtde Cx Produzida]]*1.055,0)</f>
        <v>43.676999999999992</v>
      </c>
      <c r="S1349" s="37">
        <f>(Tabela3[[#This Row],[Aluminio Bruto]]-Tabela3[[#This Row],[Aluminio Util]])*0.9</f>
        <v>18.249299999999991</v>
      </c>
      <c r="T1349" s="37">
        <f>Tabela3[[#This Row],[Aluminio Bruto]]/OleoKGAluminio</f>
        <v>18.374857426181563</v>
      </c>
      <c r="U1349" s="35">
        <f>IFERROR((VLOOKUP(Tabela3[[#This Row],[Moldador]],Tabela1[],5,)+(VLOOKUP(Tabela3[[#This Row],[Ajudante]],Tabela1[],5,))*3.5),0)</f>
        <v>99.95034583333333</v>
      </c>
      <c r="V1349" s="35">
        <f>IFERROR(Tabela3[[#This Row],[Custo M.O. / H]]/((Tabela3[[#This Row],[Realizado]]/Tabela3[[#This Row],[Qdt Peça Placa]])/Tabela3[[#This Row],[Tempo]]/24),)</f>
        <v>29.318768111111105</v>
      </c>
      <c r="W1349" s="35">
        <f>Tabela3[[#This Row],[Custo / Cx Moldada]]*Tabela3[[#This Row],[Qtde Cx Produzida]]</f>
        <v>146.59384055555552</v>
      </c>
      <c r="X1349" s="35">
        <f ca="1">Tabela3[[#This Row],[Aluminio Util]]*Tabela3[[#This Row],[Custo/Kg]]</f>
        <v>365.04000000000008</v>
      </c>
      <c r="Y1349" s="35">
        <f>IFERROR(VLOOKUP(Tabela3[[#This Row],[Data]],Tabela461213[],2,1)*(Tabela3[[#This Row],[Qtde Cx Produzida]]*Tabela3[[#This Row],[Qde macho / CX]]*Tabela3[[#This Row],[Peso Macho]]),)</f>
        <v>42.347000000000001</v>
      </c>
      <c r="Z1349" s="35">
        <f>IFERROR(Tabela3[[#This Row],[Qtde Oleo]]*(VLOOKUP(Tabela3[[#This Row],[Data]],CompraOleo[],3,TRUE))*1.05,0)</f>
        <v>48.234000743726604</v>
      </c>
      <c r="AA1349" s="47">
        <f ca="1">(Tabela3[[#This Row],[Custo Oleo]]+Tabela3[[#This Row],[Custo Aluminio]]+Tabela3[[#This Row],[Custo M.O. Total]]+Tabela3[[#This Row],[Custo Machos]])</f>
        <v>602.21484129928217</v>
      </c>
      <c r="AB1349" s="47">
        <f ca="1">Tabela3[[#This Row],[Custo Total]]*Tabela3[[#This Row],[% Perda]]</f>
        <v>0</v>
      </c>
      <c r="AC1349" s="40">
        <f>IFERROR(VLOOKUP(Tabela3[[#This Row],[Produto]],Tabela2[],2,0),0)</f>
        <v>6</v>
      </c>
      <c r="AD1349" s="48">
        <f>IFERROR(VLOOKUP(Tabela3[[#This Row],[Produto]],Tabela2[],3,0),0)</f>
        <v>0.78</v>
      </c>
      <c r="AE1349" s="48">
        <f>IFERROR(VLOOKUP(Tabela3[[#This Row],[Produto]],Tabela2[],4,0),0)</f>
        <v>8.2799999999999994</v>
      </c>
      <c r="AF1349" s="48">
        <f>IFERROR(VLOOKUP(Tabela3[[#This Row],[Produto]],Tabela2[],5,0),0)</f>
        <v>3.2399999999999998</v>
      </c>
      <c r="AG1349" s="48">
        <f>IFERROR(VLOOKUP(Tabela3[[#This Row],[Produto]],Tabela2[],6,0),0)</f>
        <v>0</v>
      </c>
      <c r="AH1349" s="40">
        <f>IFERROR(VLOOKUP(Tabela3[[#This Row],[Produto]],Tabela2[],7,0),0)</f>
        <v>1</v>
      </c>
      <c r="AI1349" s="40">
        <f>IFERROR(VLOOKUP(Tabela3[[#This Row],[Produto]],Tabela2[],8,0),0)</f>
        <v>4.9820000000000002</v>
      </c>
      <c r="AJ1349" s="35">
        <f ca="1">IFERROR(VLOOKUP(Tabela3[[#This Row],[Produto]],Tabela2[],13,0),0)</f>
        <v>15.600000000000001</v>
      </c>
      <c r="AK1349" s="48" t="str">
        <f>IFERROR(VLOOKUP(Tabela3[[#This Row],[Produto]],Tabela2[],14,0),0)</f>
        <v>Jumil</v>
      </c>
      <c r="AL1349" s="40">
        <f>IFERROR(VLOOKUP(Tabela3[[#This Row],[Produto]],Tabela2[],15,0),0)</f>
        <v>10</v>
      </c>
      <c r="AM1349" s="36">
        <f ca="1">(Tabela3[[#This Row],[Custo Usinagem]]+Tabela3[[#This Row],[Custo / Pç]])*1.2</f>
        <v>36.088593651971287</v>
      </c>
      <c r="AN1349" s="36">
        <f ca="1">Tabela3[[#This Row],[Valor Mínimo Venda]]*1.15</f>
        <v>41.501882699766973</v>
      </c>
      <c r="AO1349" s="36">
        <f ca="1">Tabela3[[#This Row],[Tabela 1]]*1.08</f>
        <v>44.822033315748335</v>
      </c>
      <c r="AP1349" s="36">
        <f ca="1">Tabela3[[#This Row],[Tabela 2]]*1.15</f>
        <v>51.545338313110584</v>
      </c>
    </row>
    <row r="1350" spans="1:42">
      <c r="A1350" s="9">
        <v>46190</v>
      </c>
      <c r="B1350" s="9" t="s">
        <v>107</v>
      </c>
      <c r="C1350" s="14">
        <v>9943</v>
      </c>
      <c r="D1350" s="6" t="s">
        <v>44</v>
      </c>
      <c r="E1350" s="6" t="s">
        <v>47</v>
      </c>
      <c r="F1350" s="6">
        <v>11</v>
      </c>
      <c r="G1350" s="15">
        <v>6.1111111111111109E-2</v>
      </c>
      <c r="H1350" s="16">
        <v>0</v>
      </c>
      <c r="I1350" s="35">
        <f ca="1">IFERROR(Tabela3[[#This Row],[Custo Total]]/Tabela3[[#This Row],[Aluminio Util]],0)</f>
        <v>27.749621238818186</v>
      </c>
      <c r="J1350" s="35">
        <f ca="1">Tabela3[[#This Row],[Custo Total]]/Tabela3[[#This Row],[Realizado]]</f>
        <v>4.4399393982109103</v>
      </c>
      <c r="K1350" s="37">
        <f>IFERROR(Tabela3[[#This Row],[Qtde Cx Produzida]]/Tabela3[[#This Row],[Tempo]]/24,0)</f>
        <v>7.5</v>
      </c>
      <c r="L1350" s="37">
        <f>Tabela3[[#This Row],[Qtde Cx Produzida]]*Tabela3[[#This Row],[Qdt Peça Placa]]</f>
        <v>110</v>
      </c>
      <c r="M1350" s="37">
        <f>Tabela3[[#This Row],[Previsto]]-Tabela3[[#This Row],[Perda Pçs]]</f>
        <v>110</v>
      </c>
      <c r="N1350" s="38">
        <f>IFERROR(Tabela3[[#This Row],[Perda Pçs]]/Tabela3[[#This Row],[Previsto]],0)</f>
        <v>0</v>
      </c>
      <c r="O1350" s="39">
        <f>IFERROR(IF(Tabela3[[#This Row],[Qtde Cx Produzida]] &lt;&gt; 0, Tabela3[[#This Row],[Tempo]] / Tabela3[[#This Row],[Qtde Cx Produzida]], 0),0)</f>
        <v>5.5555555555555558E-3</v>
      </c>
      <c r="P1350" s="57">
        <f>IFERROR(Tabela3[[#This Row],[Perda Pçs]]/Tabela3[[#This Row],[Qdt Peça Placa]],0)</f>
        <v>0</v>
      </c>
      <c r="Q1350" s="37">
        <f>IFERROR(Tabela3[[#This Row],[Realizado]]*Tabela3[[#This Row],[Peso Util/Pç]],0)</f>
        <v>17.600000000000001</v>
      </c>
      <c r="R1350" s="37">
        <f>IFERROR(Tabela3[[#This Row],[Peso Total Galho]]*Tabela3[[#This Row],[Qtde Cx Produzida]]*1.055,0)</f>
        <v>29.012499999999999</v>
      </c>
      <c r="S1350" s="37">
        <f>(Tabela3[[#This Row],[Aluminio Bruto]]-Tabela3[[#This Row],[Aluminio Util]])*0.9</f>
        <v>10.271249999999998</v>
      </c>
      <c r="T1350" s="37">
        <f>Tabela3[[#This Row],[Aluminio Bruto]]/OleoKGAluminio</f>
        <v>12.205521237197901</v>
      </c>
      <c r="U1350" s="35">
        <f>IFERROR((VLOOKUP(Tabela3[[#This Row],[Moldador]],Tabela1[],5,)+(VLOOKUP(Tabela3[[#This Row],[Ajudante]],Tabela1[],5,))*3.5),0)</f>
        <v>99.95034583333333</v>
      </c>
      <c r="V1350" s="35">
        <f>IFERROR(Tabela3[[#This Row],[Custo M.O. / H]]/((Tabela3[[#This Row],[Realizado]]/Tabela3[[#This Row],[Qdt Peça Placa]])/Tabela3[[#This Row],[Tempo]]/24),)</f>
        <v>13.326712777777777</v>
      </c>
      <c r="W1350" s="35">
        <f>Tabela3[[#This Row],[Custo / Cx Moldada]]*Tabela3[[#This Row],[Qtde Cx Produzida]]</f>
        <v>146.59384055555554</v>
      </c>
      <c r="X1350" s="35">
        <f ca="1">Tabela3[[#This Row],[Aluminio Util]]*Tabela3[[#This Row],[Custo/Kg]]</f>
        <v>309.76000000000005</v>
      </c>
      <c r="Y1350" s="35">
        <f>IFERROR(VLOOKUP(Tabela3[[#This Row],[Data]],Tabela461213[],2,1)*(Tabela3[[#This Row],[Qtde Cx Produzida]]*Tabela3[[#This Row],[Qde macho / CX]]*Tabela3[[#This Row],[Peso Macho]]),)</f>
        <v>0</v>
      </c>
      <c r="Z1350" s="35">
        <f>IFERROR(Tabela3[[#This Row],[Qtde Oleo]]*(VLOOKUP(Tabela3[[#This Row],[Data]],CompraOleo[],3,TRUE))*1.05,0)</f>
        <v>32.039493247644494</v>
      </c>
      <c r="AA1350" s="47">
        <f ca="1">(Tabela3[[#This Row],[Custo Oleo]]+Tabela3[[#This Row],[Custo Aluminio]]+Tabela3[[#This Row],[Custo M.O. Total]]+Tabela3[[#This Row],[Custo Machos]])</f>
        <v>488.39333380320011</v>
      </c>
      <c r="AB1350" s="47">
        <f ca="1">Tabela3[[#This Row],[Custo Total]]*Tabela3[[#This Row],[% Perda]]</f>
        <v>0</v>
      </c>
      <c r="AC1350" s="40">
        <f>IFERROR(VLOOKUP(Tabela3[[#This Row],[Produto]],Tabela2[],2,0),0)</f>
        <v>10</v>
      </c>
      <c r="AD1350" s="48">
        <f>IFERROR(VLOOKUP(Tabela3[[#This Row],[Produto]],Tabela2[],3,0),0)</f>
        <v>0.16</v>
      </c>
      <c r="AE1350" s="48">
        <f>IFERROR(VLOOKUP(Tabela3[[#This Row],[Produto]],Tabela2[],4,0),0)</f>
        <v>2.5</v>
      </c>
      <c r="AF1350" s="48">
        <f>IFERROR(VLOOKUP(Tabela3[[#This Row],[Produto]],Tabela2[],5,0),0)</f>
        <v>0.80999999999999994</v>
      </c>
      <c r="AG1350" s="48">
        <f>IFERROR(VLOOKUP(Tabela3[[#This Row],[Produto]],Tabela2[],6,0),0)</f>
        <v>0</v>
      </c>
      <c r="AH1350" s="40">
        <f>IFERROR(VLOOKUP(Tabela3[[#This Row],[Produto]],Tabela2[],7,0),0)</f>
        <v>0</v>
      </c>
      <c r="AI1350" s="40">
        <f>IFERROR(VLOOKUP(Tabela3[[#This Row],[Produto]],Tabela2[],8,0),0)</f>
        <v>0</v>
      </c>
      <c r="AJ1350" s="35">
        <f ca="1">IFERROR(VLOOKUP(Tabela3[[#This Row],[Produto]],Tabela2[],13,0),0)</f>
        <v>17.600000000000001</v>
      </c>
      <c r="AK1350" s="48" t="str">
        <f>IFERROR(VLOOKUP(Tabela3[[#This Row],[Produto]],Tabela2[],14,0),0)</f>
        <v>MGA</v>
      </c>
      <c r="AL1350" s="40">
        <f>IFERROR(VLOOKUP(Tabela3[[#This Row],[Produto]],Tabela2[],15,0),0)</f>
        <v>0</v>
      </c>
      <c r="AM1350" s="36">
        <f ca="1">(Tabela3[[#This Row],[Custo Usinagem]]+Tabela3[[#This Row],[Custo / Pç]])*1.2</f>
        <v>5.3279272778530924</v>
      </c>
      <c r="AN1350" s="36">
        <f ca="1">Tabela3[[#This Row],[Valor Mínimo Venda]]*1.15</f>
        <v>6.1271163695310555</v>
      </c>
      <c r="AO1350" s="36">
        <f ca="1">Tabela3[[#This Row],[Tabela 1]]*1.08</f>
        <v>6.6172856790935404</v>
      </c>
      <c r="AP1350" s="36">
        <f ca="1">Tabela3[[#This Row],[Tabela 2]]*1.15</f>
        <v>7.6098785309575705</v>
      </c>
    </row>
    <row r="1351" spans="1:42">
      <c r="A1351" s="9">
        <v>46190</v>
      </c>
      <c r="B1351" s="9" t="s">
        <v>276</v>
      </c>
      <c r="C1351" s="14">
        <v>9944</v>
      </c>
      <c r="D1351" s="6" t="s">
        <v>44</v>
      </c>
      <c r="E1351" s="6" t="s">
        <v>47</v>
      </c>
      <c r="F1351" s="6">
        <v>10</v>
      </c>
      <c r="G1351" s="15">
        <v>6.1805555555555558E-2</v>
      </c>
      <c r="H1351" s="16">
        <v>0</v>
      </c>
      <c r="I1351" s="35">
        <f ca="1">IFERROR(Tabela3[[#This Row],[Custo Total]]/Tabela3[[#This Row],[Aluminio Util]],0)</f>
        <v>20.686154567365051</v>
      </c>
      <c r="J1351" s="35">
        <f ca="1">Tabela3[[#This Row],[Custo Total]]/Tabela3[[#This Row],[Realizado]]</f>
        <v>109.63661920703478</v>
      </c>
      <c r="K1351" s="37">
        <f>IFERROR(Tabela3[[#This Row],[Qtde Cx Produzida]]/Tabela3[[#This Row],[Tempo]]/24,0)</f>
        <v>6.7415730337078648</v>
      </c>
      <c r="L1351" s="37">
        <f>Tabela3[[#This Row],[Qtde Cx Produzida]]*Tabela3[[#This Row],[Qdt Peça Placa]]</f>
        <v>10</v>
      </c>
      <c r="M1351" s="37">
        <f>Tabela3[[#This Row],[Previsto]]-Tabela3[[#This Row],[Perda Pçs]]</f>
        <v>10</v>
      </c>
      <c r="N1351" s="38">
        <f>IFERROR(Tabela3[[#This Row],[Perda Pçs]]/Tabela3[[#This Row],[Previsto]],0)</f>
        <v>0</v>
      </c>
      <c r="O1351" s="39">
        <f>IFERROR(IF(Tabela3[[#This Row],[Qtde Cx Produzida]] &lt;&gt; 0, Tabela3[[#This Row],[Tempo]] / Tabela3[[#This Row],[Qtde Cx Produzida]], 0),0)</f>
        <v>6.1805555555555555E-3</v>
      </c>
      <c r="P1351" s="57">
        <f>IFERROR(Tabela3[[#This Row],[Perda Pçs]]/Tabela3[[#This Row],[Qdt Peça Placa]],0)</f>
        <v>0</v>
      </c>
      <c r="Q1351" s="37">
        <f>IFERROR(Tabela3[[#This Row],[Realizado]]*Tabela3[[#This Row],[Peso Util/Pç]],0)</f>
        <v>53</v>
      </c>
      <c r="R1351" s="37">
        <f>IFERROR(Tabela3[[#This Row],[Peso Total Galho]]*Tabela3[[#This Row],[Qtde Cx Produzida]]*1.055,0)</f>
        <v>63.3</v>
      </c>
      <c r="S1351" s="37">
        <f>(Tabela3[[#This Row],[Aluminio Bruto]]-Tabela3[[#This Row],[Aluminio Util]])*0.9</f>
        <v>9.2699999999999978</v>
      </c>
      <c r="T1351" s="37">
        <f>Tabela3[[#This Row],[Aluminio Bruto]]/OleoKGAluminio</f>
        <v>26.630228153886328</v>
      </c>
      <c r="U1351" s="35">
        <f>IFERROR((VLOOKUP(Tabela3[[#This Row],[Moldador]],Tabela1[],5,)+(VLOOKUP(Tabela3[[#This Row],[Ajudante]],Tabela1[],5,))*3.5),0)</f>
        <v>99.95034583333333</v>
      </c>
      <c r="V1351" s="35">
        <f>IFERROR(Tabela3[[#This Row],[Custo M.O. / H]]/((Tabela3[[#This Row],[Realizado]]/Tabela3[[#This Row],[Qdt Peça Placa]])/Tabela3[[#This Row],[Tempo]]/24),)</f>
        <v>14.825967965277778</v>
      </c>
      <c r="W1351" s="35">
        <f>Tabela3[[#This Row],[Custo / Cx Moldada]]*Tabela3[[#This Row],[Qtde Cx Produzida]]</f>
        <v>148.25967965277778</v>
      </c>
      <c r="X1351" s="35">
        <f ca="1">Tabela3[[#This Row],[Aluminio Util]]*Tabela3[[#This Row],[Custo/Kg]]</f>
        <v>878.20216351361842</v>
      </c>
      <c r="Y1351" s="35">
        <f>IFERROR(VLOOKUP(Tabela3[[#This Row],[Data]],Tabela461213[],2,1)*(Tabela3[[#This Row],[Qtde Cx Produzida]]*Tabela3[[#This Row],[Qde macho / CX]]*Tabela3[[#This Row],[Peso Macho]]),)</f>
        <v>0</v>
      </c>
      <c r="Z1351" s="35">
        <f>IFERROR(Tabela3[[#This Row],[Qtde Oleo]]*(VLOOKUP(Tabela3[[#This Row],[Data]],CompraOleo[],3,TRUE))*1.05,0)</f>
        <v>69.904348903951615</v>
      </c>
      <c r="AA1351" s="47">
        <f ca="1">(Tabela3[[#This Row],[Custo Oleo]]+Tabela3[[#This Row],[Custo Aluminio]]+Tabela3[[#This Row],[Custo M.O. Total]]+Tabela3[[#This Row],[Custo Machos]])</f>
        <v>1096.3661920703478</v>
      </c>
      <c r="AB1351" s="47">
        <f ca="1">Tabela3[[#This Row],[Custo Total]]*Tabela3[[#This Row],[% Perda]]</f>
        <v>0</v>
      </c>
      <c r="AC1351" s="40">
        <f>IFERROR(VLOOKUP(Tabela3[[#This Row],[Produto]],Tabela2[],2,0),0)</f>
        <v>1</v>
      </c>
      <c r="AD1351" s="48">
        <f>IFERROR(VLOOKUP(Tabela3[[#This Row],[Produto]],Tabela2[],3,0),0)</f>
        <v>5.3</v>
      </c>
      <c r="AE1351" s="48">
        <f>IFERROR(VLOOKUP(Tabela3[[#This Row],[Produto]],Tabela2[],4,0),0)</f>
        <v>6</v>
      </c>
      <c r="AF1351" s="48">
        <f>IFERROR(VLOOKUP(Tabela3[[#This Row],[Produto]],Tabela2[],5,0),0)</f>
        <v>0.63000000000000023</v>
      </c>
      <c r="AG1351" s="48">
        <f>IFERROR(VLOOKUP(Tabela3[[#This Row],[Produto]],Tabela2[],6,0),0)</f>
        <v>0</v>
      </c>
      <c r="AH1351" s="40">
        <f>IFERROR(VLOOKUP(Tabela3[[#This Row],[Produto]],Tabela2[],7,0),0)</f>
        <v>0</v>
      </c>
      <c r="AI1351" s="40">
        <f>IFERROR(VLOOKUP(Tabela3[[#This Row],[Produto]],Tabela2[],8,0),0)</f>
        <v>0</v>
      </c>
      <c r="AJ1351" s="35">
        <f ca="1">IFERROR(VLOOKUP(Tabela3[[#This Row],[Produto]],Tabela2[],13,0),0)</f>
        <v>16.569852141766386</v>
      </c>
      <c r="AK1351" s="48" t="str">
        <f>IFERROR(VLOOKUP(Tabela3[[#This Row],[Produto]],Tabela2[],14,0),0)</f>
        <v>SENUN</v>
      </c>
      <c r="AL1351" s="40">
        <f>IFERROR(VLOOKUP(Tabela3[[#This Row],[Produto]],Tabela2[],15,0),0)</f>
        <v>0</v>
      </c>
      <c r="AM1351" s="36">
        <f ca="1">(Tabela3[[#This Row],[Custo Usinagem]]+Tabela3[[#This Row],[Custo / Pç]])*1.2</f>
        <v>131.56394304844173</v>
      </c>
      <c r="AN1351" s="36">
        <f ca="1">Tabela3[[#This Row],[Valor Mínimo Venda]]*1.15</f>
        <v>151.29853450570798</v>
      </c>
      <c r="AO1351" s="36">
        <f ca="1">Tabela3[[#This Row],[Tabela 1]]*1.08</f>
        <v>163.40241726616463</v>
      </c>
      <c r="AP1351" s="36">
        <f ca="1">Tabela3[[#This Row],[Tabela 2]]*1.15</f>
        <v>187.91277985608932</v>
      </c>
    </row>
    <row r="1352" spans="1:42">
      <c r="A1352" s="9">
        <v>46191</v>
      </c>
      <c r="B1352" s="9" t="s">
        <v>252</v>
      </c>
      <c r="C1352" s="14">
        <v>9939</v>
      </c>
      <c r="D1352" s="6" t="s">
        <v>46</v>
      </c>
      <c r="E1352" s="6" t="s">
        <v>50</v>
      </c>
      <c r="F1352" s="6">
        <v>33</v>
      </c>
      <c r="G1352" s="15">
        <v>0.14166666666666666</v>
      </c>
      <c r="H1352" s="16">
        <v>0</v>
      </c>
      <c r="I1352" s="35">
        <f ca="1">IFERROR(Tabela3[[#This Row],[Custo Total]]/Tabela3[[#This Row],[Aluminio Util]],0)</f>
        <v>27.358702312879696</v>
      </c>
      <c r="J1352" s="35">
        <f ca="1">Tabela3[[#This Row],[Custo Total]]/Tabela3[[#This Row],[Realizado]]</f>
        <v>35.566313006743599</v>
      </c>
      <c r="K1352" s="37">
        <f>IFERROR(Tabela3[[#This Row],[Qtde Cx Produzida]]/Tabela3[[#This Row],[Tempo]]/24,0)</f>
        <v>9.7058823529411757</v>
      </c>
      <c r="L1352" s="37">
        <f>Tabela3[[#This Row],[Qtde Cx Produzida]]*Tabela3[[#This Row],[Qdt Peça Placa]]</f>
        <v>33</v>
      </c>
      <c r="M1352" s="37">
        <f>Tabela3[[#This Row],[Previsto]]-Tabela3[[#This Row],[Perda Pçs]]</f>
        <v>33</v>
      </c>
      <c r="N1352" s="38">
        <f>IFERROR(Tabela3[[#This Row],[Perda Pçs]]/Tabela3[[#This Row],[Previsto]],0)</f>
        <v>0</v>
      </c>
      <c r="O1352" s="39">
        <f>IFERROR(IF(Tabela3[[#This Row],[Qtde Cx Produzida]] &lt;&gt; 0, Tabela3[[#This Row],[Tempo]] / Tabela3[[#This Row],[Qtde Cx Produzida]], 0),0)</f>
        <v>4.2929292929292928E-3</v>
      </c>
      <c r="P1352" s="57">
        <f>IFERROR(Tabela3[[#This Row],[Perda Pçs]]/Tabela3[[#This Row],[Qdt Peça Placa]],0)</f>
        <v>0</v>
      </c>
      <c r="Q1352" s="37">
        <f>IFERROR(Tabela3[[#This Row],[Realizado]]*Tabela3[[#This Row],[Peso Util/Pç]],0)</f>
        <v>42.9</v>
      </c>
      <c r="R1352" s="37">
        <f>IFERROR(Tabela3[[#This Row],[Peso Total Galho]]*Tabela3[[#This Row],[Qtde Cx Produzida]]*1.055,0)</f>
        <v>71.370749999999987</v>
      </c>
      <c r="S1352" s="37">
        <f>(Tabela3[[#This Row],[Aluminio Bruto]]-Tabela3[[#This Row],[Aluminio Util]])*0.9</f>
        <v>25.623674999999992</v>
      </c>
      <c r="T1352" s="37">
        <f>Tabela3[[#This Row],[Aluminio Bruto]]/OleoKGAluminio</f>
        <v>30.025582243506832</v>
      </c>
      <c r="U1352" s="35">
        <f>IFERROR((VLOOKUP(Tabela3[[#This Row],[Moldador]],Tabela1[],5,)+(VLOOKUP(Tabela3[[#This Row],[Ajudante]],Tabela1[],5,))*3.5),0)</f>
        <v>99.95034583333333</v>
      </c>
      <c r="V1352" s="35">
        <f>IFERROR(Tabela3[[#This Row],[Custo M.O. / H]]/((Tabela3[[#This Row],[Realizado]]/Tabela3[[#This Row],[Qdt Peça Placa]])/Tabela3[[#This Row],[Tempo]]/24),)</f>
        <v>10.297914419191919</v>
      </c>
      <c r="W1352" s="35">
        <f>Tabela3[[#This Row],[Custo / Cx Moldada]]*Tabela3[[#This Row],[Qtde Cx Produzida]]</f>
        <v>339.8311758333333</v>
      </c>
      <c r="X1352" s="35">
        <f ca="1">Tabela3[[#This Row],[Aluminio Util]]*Tabela3[[#This Row],[Custo/Kg]]</f>
        <v>755.04000000000008</v>
      </c>
      <c r="Y1352" s="35">
        <f>IFERROR(VLOOKUP(Tabela3[[#This Row],[Data]],Tabela461213[],2,1)*(Tabela3[[#This Row],[Qtde Cx Produzida]]*Tabela3[[#This Row],[Qde macho / CX]]*Tabela3[[#This Row],[Peso Macho]]),)</f>
        <v>0</v>
      </c>
      <c r="Z1352" s="35">
        <f>IFERROR(Tabela3[[#This Row],[Qtde Oleo]]*(VLOOKUP(Tabela3[[#This Row],[Data]],CompraOleo[],3,TRUE))*1.05,0)</f>
        <v>78.817153389205444</v>
      </c>
      <c r="AA1352" s="47">
        <f ca="1">(Tabela3[[#This Row],[Custo Oleo]]+Tabela3[[#This Row],[Custo Aluminio]]+Tabela3[[#This Row],[Custo M.O. Total]]+Tabela3[[#This Row],[Custo Machos]])</f>
        <v>1173.6883292225389</v>
      </c>
      <c r="AB1352" s="47">
        <f ca="1">Tabela3[[#This Row],[Custo Total]]*Tabela3[[#This Row],[% Perda]]</f>
        <v>0</v>
      </c>
      <c r="AC1352" s="40">
        <f>IFERROR(VLOOKUP(Tabela3[[#This Row],[Produto]],Tabela2[],2,0),0)</f>
        <v>1</v>
      </c>
      <c r="AD1352" s="48">
        <f>IFERROR(VLOOKUP(Tabela3[[#This Row],[Produto]],Tabela2[],3,0),0)</f>
        <v>1.3</v>
      </c>
      <c r="AE1352" s="48">
        <f>IFERROR(VLOOKUP(Tabela3[[#This Row],[Produto]],Tabela2[],4,0),0)</f>
        <v>2.0499999999999998</v>
      </c>
      <c r="AF1352" s="48">
        <f>IFERROR(VLOOKUP(Tabela3[[#This Row],[Produto]],Tabela2[],5,0),0)</f>
        <v>0.67499999999999982</v>
      </c>
      <c r="AG1352" s="48">
        <f>IFERROR(VLOOKUP(Tabela3[[#This Row],[Produto]],Tabela2[],6,0),0)</f>
        <v>0</v>
      </c>
      <c r="AH1352" s="40">
        <f>IFERROR(VLOOKUP(Tabela3[[#This Row],[Produto]],Tabela2[],7,0),0)</f>
        <v>0</v>
      </c>
      <c r="AI1352" s="40">
        <f>IFERROR(VLOOKUP(Tabela3[[#This Row],[Produto]],Tabela2[],8,0),0)</f>
        <v>0</v>
      </c>
      <c r="AJ1352" s="35">
        <f ca="1">IFERROR(VLOOKUP(Tabela3[[#This Row],[Produto]],Tabela2[],13,0),0)</f>
        <v>17.600000000000001</v>
      </c>
      <c r="AK1352" s="48" t="str">
        <f>IFERROR(VLOOKUP(Tabela3[[#This Row],[Produto]],Tabela2[],14,0),0)</f>
        <v>Protec</v>
      </c>
      <c r="AL1352" s="40">
        <f>IFERROR(VLOOKUP(Tabela3[[#This Row],[Produto]],Tabela2[],15,0),0)</f>
        <v>0</v>
      </c>
      <c r="AM1352" s="36">
        <f ca="1">(Tabela3[[#This Row],[Custo Usinagem]]+Tabela3[[#This Row],[Custo / Pç]])*1.2</f>
        <v>42.679575608092314</v>
      </c>
      <c r="AN1352" s="36">
        <f ca="1">Tabela3[[#This Row],[Valor Mínimo Venda]]*1.15</f>
        <v>49.081511949306154</v>
      </c>
      <c r="AO1352" s="36">
        <f ca="1">Tabela3[[#This Row],[Tabela 1]]*1.08</f>
        <v>53.008032905250651</v>
      </c>
      <c r="AP1352" s="36">
        <f ca="1">Tabela3[[#This Row],[Tabela 2]]*1.15</f>
        <v>60.959237841038245</v>
      </c>
    </row>
    <row r="1353" spans="1:42">
      <c r="A1353" s="9">
        <v>46191</v>
      </c>
      <c r="B1353" s="9" t="s">
        <v>233</v>
      </c>
      <c r="C1353" s="14">
        <v>9941</v>
      </c>
      <c r="D1353" s="6" t="s">
        <v>46</v>
      </c>
      <c r="E1353" s="6" t="s">
        <v>50</v>
      </c>
      <c r="F1353" s="6">
        <v>20</v>
      </c>
      <c r="G1353" s="15">
        <v>0.11458333333333333</v>
      </c>
      <c r="H1353" s="16">
        <v>0</v>
      </c>
      <c r="I1353" s="35">
        <f ca="1">IFERROR(Tabela3[[#This Row],[Custo Total]]/Tabela3[[#This Row],[Aluminio Util]],0)</f>
        <v>21.439556933792314</v>
      </c>
      <c r="J1353" s="35">
        <f ca="1">Tabela3[[#This Row],[Custo Total]]/Tabela3[[#This Row],[Realizado]]</f>
        <v>115.77360744247849</v>
      </c>
      <c r="K1353" s="37">
        <f>IFERROR(Tabela3[[#This Row],[Qtde Cx Produzida]]/Tabela3[[#This Row],[Tempo]]/24,0)</f>
        <v>7.2727272727272734</v>
      </c>
      <c r="L1353" s="37">
        <f>Tabela3[[#This Row],[Qtde Cx Produzida]]*Tabela3[[#This Row],[Qdt Peça Placa]]</f>
        <v>20</v>
      </c>
      <c r="M1353" s="37">
        <f>Tabela3[[#This Row],[Previsto]]-Tabela3[[#This Row],[Perda Pçs]]</f>
        <v>20</v>
      </c>
      <c r="N1353" s="38">
        <f>IFERROR(Tabela3[[#This Row],[Perda Pçs]]/Tabela3[[#This Row],[Previsto]],0)</f>
        <v>0</v>
      </c>
      <c r="O1353" s="39">
        <f>IFERROR(IF(Tabela3[[#This Row],[Qtde Cx Produzida]] &lt;&gt; 0, Tabela3[[#This Row],[Tempo]] / Tabela3[[#This Row],[Qtde Cx Produzida]], 0),0)</f>
        <v>5.7291666666666663E-3</v>
      </c>
      <c r="P1353" s="57">
        <f>IFERROR(Tabela3[[#This Row],[Perda Pçs]]/Tabela3[[#This Row],[Qdt Peça Placa]],0)</f>
        <v>0</v>
      </c>
      <c r="Q1353" s="37">
        <f>IFERROR(Tabela3[[#This Row],[Realizado]]*Tabela3[[#This Row],[Peso Util/Pç]],0)</f>
        <v>108</v>
      </c>
      <c r="R1353" s="37">
        <f>IFERROR(Tabela3[[#This Row],[Peso Total Galho]]*Tabela3[[#This Row],[Qtde Cx Produzida]]*1.055,0)</f>
        <v>126.6</v>
      </c>
      <c r="S1353" s="37">
        <f>(Tabela3[[#This Row],[Aluminio Bruto]]-Tabela3[[#This Row],[Aluminio Util]])*0.9</f>
        <v>16.739999999999995</v>
      </c>
      <c r="T1353" s="37">
        <f>Tabela3[[#This Row],[Aluminio Bruto]]/OleoKGAluminio</f>
        <v>53.260456307772657</v>
      </c>
      <c r="U1353" s="35">
        <f>IFERROR((VLOOKUP(Tabela3[[#This Row],[Moldador]],Tabela1[],5,)+(VLOOKUP(Tabela3[[#This Row],[Ajudante]],Tabela1[],5,))*3.5),0)</f>
        <v>99.95034583333333</v>
      </c>
      <c r="V1353" s="35">
        <f>IFERROR(Tabela3[[#This Row],[Custo M.O. / H]]/((Tabela3[[#This Row],[Realizado]]/Tabela3[[#This Row],[Qdt Peça Placa]])/Tabela3[[#This Row],[Tempo]]/24),)</f>
        <v>13.743172552083331</v>
      </c>
      <c r="W1353" s="35">
        <f>Tabela3[[#This Row],[Custo / Cx Moldada]]*Tabela3[[#This Row],[Qtde Cx Produzida]]</f>
        <v>274.86345104166662</v>
      </c>
      <c r="X1353" s="35">
        <f ca="1">Tabela3[[#This Row],[Aluminio Util]]*Tabela3[[#This Row],[Custo/Kg]]</f>
        <v>1900.8000000000002</v>
      </c>
      <c r="Y1353" s="35">
        <f>IFERROR(VLOOKUP(Tabela3[[#This Row],[Data]],Tabela461213[],2,1)*(Tabela3[[#This Row],[Qtde Cx Produzida]]*Tabela3[[#This Row],[Qde macho / CX]]*Tabela3[[#This Row],[Peso Macho]]),)</f>
        <v>0</v>
      </c>
      <c r="Z1353" s="35">
        <f>IFERROR(Tabela3[[#This Row],[Qtde Oleo]]*(VLOOKUP(Tabela3[[#This Row],[Data]],CompraOleo[],3,TRUE))*1.05,0)</f>
        <v>139.80869780790323</v>
      </c>
      <c r="AA1353" s="47">
        <f ca="1">(Tabela3[[#This Row],[Custo Oleo]]+Tabela3[[#This Row],[Custo Aluminio]]+Tabela3[[#This Row],[Custo M.O. Total]]+Tabela3[[#This Row],[Custo Machos]])</f>
        <v>2315.4721488495697</v>
      </c>
      <c r="AB1353" s="47">
        <f ca="1">Tabela3[[#This Row],[Custo Total]]*Tabela3[[#This Row],[% Perda]]</f>
        <v>0</v>
      </c>
      <c r="AC1353" s="40">
        <f>IFERROR(VLOOKUP(Tabela3[[#This Row],[Produto]],Tabela2[],2,0),0)</f>
        <v>1</v>
      </c>
      <c r="AD1353" s="48">
        <f>IFERROR(VLOOKUP(Tabela3[[#This Row],[Produto]],Tabela2[],3,0),0)</f>
        <v>5.4</v>
      </c>
      <c r="AE1353" s="48">
        <f>IFERROR(VLOOKUP(Tabela3[[#This Row],[Produto]],Tabela2[],4,0),0)</f>
        <v>6</v>
      </c>
      <c r="AF1353" s="48">
        <f>IFERROR(VLOOKUP(Tabela3[[#This Row],[Produto]],Tabela2[],5,0),0)</f>
        <v>0.5399999999999997</v>
      </c>
      <c r="AG1353" s="48">
        <f>IFERROR(VLOOKUP(Tabela3[[#This Row],[Produto]],Tabela2[],6,0),0)</f>
        <v>0</v>
      </c>
      <c r="AH1353" s="40">
        <f>IFERROR(VLOOKUP(Tabela3[[#This Row],[Produto]],Tabela2[],7,0),0)</f>
        <v>0</v>
      </c>
      <c r="AI1353" s="40">
        <f>IFERROR(VLOOKUP(Tabela3[[#This Row],[Produto]],Tabela2[],8,0),0)</f>
        <v>0</v>
      </c>
      <c r="AJ1353" s="35">
        <f ca="1">IFERROR(VLOOKUP(Tabela3[[#This Row],[Produto]],Tabela2[],13,0),0)</f>
        <v>17.600000000000001</v>
      </c>
      <c r="AK1353" s="48" t="str">
        <f>IFERROR(VLOOKUP(Tabela3[[#This Row],[Produto]],Tabela2[],14,0),0)</f>
        <v>Danilo</v>
      </c>
      <c r="AL1353" s="40">
        <f>IFERROR(VLOOKUP(Tabela3[[#This Row],[Produto]],Tabela2[],15,0),0)</f>
        <v>0</v>
      </c>
      <c r="AM1353" s="36">
        <f ca="1">(Tabela3[[#This Row],[Custo Usinagem]]+Tabela3[[#This Row],[Custo / Pç]])*1.2</f>
        <v>138.92832893097417</v>
      </c>
      <c r="AN1353" s="36">
        <f ca="1">Tabela3[[#This Row],[Valor Mínimo Venda]]*1.15</f>
        <v>159.76757827062028</v>
      </c>
      <c r="AO1353" s="36">
        <f ca="1">Tabela3[[#This Row],[Tabela 1]]*1.08</f>
        <v>172.54898453226991</v>
      </c>
      <c r="AP1353" s="36">
        <f ca="1">Tabela3[[#This Row],[Tabela 2]]*1.15</f>
        <v>198.43133221211039</v>
      </c>
    </row>
    <row r="1354" spans="1:42">
      <c r="A1354" s="9">
        <v>46191</v>
      </c>
      <c r="B1354" s="9" t="s">
        <v>233</v>
      </c>
      <c r="C1354" s="14">
        <v>9941</v>
      </c>
      <c r="D1354" s="6" t="s">
        <v>46</v>
      </c>
      <c r="E1354" s="6" t="s">
        <v>44</v>
      </c>
      <c r="F1354" s="6">
        <v>5</v>
      </c>
      <c r="G1354" s="15">
        <v>2.6388888888888889E-2</v>
      </c>
      <c r="H1354" s="16">
        <v>0</v>
      </c>
      <c r="I1354" s="35">
        <f ca="1">IFERROR(Tabela3[[#This Row],[Custo Total]]/Tabela3[[#This Row],[Aluminio Util]],0)</f>
        <v>21.85229720192503</v>
      </c>
      <c r="J1354" s="35">
        <f ca="1">Tabela3[[#This Row],[Custo Total]]/Tabela3[[#This Row],[Realizado]]</f>
        <v>118.00240489039516</v>
      </c>
      <c r="K1354" s="37">
        <f>IFERROR(Tabela3[[#This Row],[Qtde Cx Produzida]]/Tabela3[[#This Row],[Tempo]]/24,0)</f>
        <v>7.8947368421052637</v>
      </c>
      <c r="L1354" s="37">
        <f>Tabela3[[#This Row],[Qtde Cx Produzida]]*Tabela3[[#This Row],[Qdt Peça Placa]]</f>
        <v>5</v>
      </c>
      <c r="M1354" s="37">
        <f>Tabela3[[#This Row],[Previsto]]-Tabela3[[#This Row],[Perda Pçs]]</f>
        <v>5</v>
      </c>
      <c r="N1354" s="38">
        <f>IFERROR(Tabela3[[#This Row],[Perda Pçs]]/Tabela3[[#This Row],[Previsto]],0)</f>
        <v>0</v>
      </c>
      <c r="O1354" s="39">
        <f>IFERROR(IF(Tabela3[[#This Row],[Qtde Cx Produzida]] &lt;&gt; 0, Tabela3[[#This Row],[Tempo]] / Tabela3[[#This Row],[Qtde Cx Produzida]], 0),0)</f>
        <v>5.2777777777777779E-3</v>
      </c>
      <c r="P1354" s="57">
        <f>IFERROR(Tabela3[[#This Row],[Perda Pçs]]/Tabela3[[#This Row],[Qdt Peça Placa]],0)</f>
        <v>0</v>
      </c>
      <c r="Q1354" s="37">
        <f>IFERROR(Tabela3[[#This Row],[Realizado]]*Tabela3[[#This Row],[Peso Util/Pç]],0)</f>
        <v>27</v>
      </c>
      <c r="R1354" s="37">
        <f>IFERROR(Tabela3[[#This Row],[Peso Total Galho]]*Tabela3[[#This Row],[Qtde Cx Produzida]]*1.055,0)</f>
        <v>31.65</v>
      </c>
      <c r="S1354" s="37">
        <f>(Tabela3[[#This Row],[Aluminio Bruto]]-Tabela3[[#This Row],[Aluminio Util]])*0.9</f>
        <v>4.1849999999999987</v>
      </c>
      <c r="T1354" s="37">
        <f>Tabela3[[#This Row],[Aluminio Bruto]]/OleoKGAluminio</f>
        <v>13.315114076943164</v>
      </c>
      <c r="U1354" s="35">
        <f>IFERROR((VLOOKUP(Tabela3[[#This Row],[Moldador]],Tabela1[],5,)+(VLOOKUP(Tabela3[[#This Row],[Ajudante]],Tabela1[],5,))*3.5),0)</f>
        <v>126.0945</v>
      </c>
      <c r="V1354" s="35">
        <f>IFERROR(Tabela3[[#This Row],[Custo M.O. / H]]/((Tabela3[[#This Row],[Realizado]]/Tabela3[[#This Row],[Qdt Peça Placa]])/Tabela3[[#This Row],[Tempo]]/24),)</f>
        <v>15.971969999999999</v>
      </c>
      <c r="W1354" s="35">
        <f>Tabela3[[#This Row],[Custo / Cx Moldada]]*Tabela3[[#This Row],[Qtde Cx Produzida]]</f>
        <v>79.859849999999994</v>
      </c>
      <c r="X1354" s="35">
        <f ca="1">Tabela3[[#This Row],[Aluminio Util]]*Tabela3[[#This Row],[Custo/Kg]]</f>
        <v>475.20000000000005</v>
      </c>
      <c r="Y1354" s="35">
        <f>IFERROR(VLOOKUP(Tabela3[[#This Row],[Data]],Tabela461213[],2,1)*(Tabela3[[#This Row],[Qtde Cx Produzida]]*Tabela3[[#This Row],[Qde macho / CX]]*Tabela3[[#This Row],[Peso Macho]]),)</f>
        <v>0</v>
      </c>
      <c r="Z1354" s="35">
        <f>IFERROR(Tabela3[[#This Row],[Qtde Oleo]]*(VLOOKUP(Tabela3[[#This Row],[Data]],CompraOleo[],3,TRUE))*1.05,0)</f>
        <v>34.952174451975807</v>
      </c>
      <c r="AA1354" s="47">
        <f ca="1">(Tabela3[[#This Row],[Custo Oleo]]+Tabela3[[#This Row],[Custo Aluminio]]+Tabela3[[#This Row],[Custo M.O. Total]]+Tabela3[[#This Row],[Custo Machos]])</f>
        <v>590.01202445197578</v>
      </c>
      <c r="AB1354" s="47">
        <f ca="1">Tabela3[[#This Row],[Custo Total]]*Tabela3[[#This Row],[% Perda]]</f>
        <v>0</v>
      </c>
      <c r="AC1354" s="40">
        <f>IFERROR(VLOOKUP(Tabela3[[#This Row],[Produto]],Tabela2[],2,0),0)</f>
        <v>1</v>
      </c>
      <c r="AD1354" s="48">
        <f>IFERROR(VLOOKUP(Tabela3[[#This Row],[Produto]],Tabela2[],3,0),0)</f>
        <v>5.4</v>
      </c>
      <c r="AE1354" s="48">
        <f>IFERROR(VLOOKUP(Tabela3[[#This Row],[Produto]],Tabela2[],4,0),0)</f>
        <v>6</v>
      </c>
      <c r="AF1354" s="48">
        <f>IFERROR(VLOOKUP(Tabela3[[#This Row],[Produto]],Tabela2[],5,0),0)</f>
        <v>0.5399999999999997</v>
      </c>
      <c r="AG1354" s="48">
        <f>IFERROR(VLOOKUP(Tabela3[[#This Row],[Produto]],Tabela2[],6,0),0)</f>
        <v>0</v>
      </c>
      <c r="AH1354" s="40">
        <f>IFERROR(VLOOKUP(Tabela3[[#This Row],[Produto]],Tabela2[],7,0),0)</f>
        <v>0</v>
      </c>
      <c r="AI1354" s="40">
        <f>IFERROR(VLOOKUP(Tabela3[[#This Row],[Produto]],Tabela2[],8,0),0)</f>
        <v>0</v>
      </c>
      <c r="AJ1354" s="35">
        <f ca="1">IFERROR(VLOOKUP(Tabela3[[#This Row],[Produto]],Tabela2[],13,0),0)</f>
        <v>17.600000000000001</v>
      </c>
      <c r="AK1354" s="48" t="str">
        <f>IFERROR(VLOOKUP(Tabela3[[#This Row],[Produto]],Tabela2[],14,0),0)</f>
        <v>Danilo</v>
      </c>
      <c r="AL1354" s="40">
        <f>IFERROR(VLOOKUP(Tabela3[[#This Row],[Produto]],Tabela2[],15,0),0)</f>
        <v>0</v>
      </c>
      <c r="AM1354" s="36">
        <f ca="1">(Tabela3[[#This Row],[Custo Usinagem]]+Tabela3[[#This Row],[Custo / Pç]])*1.2</f>
        <v>141.60288586847417</v>
      </c>
      <c r="AN1354" s="36">
        <f ca="1">Tabela3[[#This Row],[Valor Mínimo Venda]]*1.15</f>
        <v>162.84331874874528</v>
      </c>
      <c r="AO1354" s="36">
        <f ca="1">Tabela3[[#This Row],[Tabela 1]]*1.08</f>
        <v>175.8707842486449</v>
      </c>
      <c r="AP1354" s="36">
        <f ca="1">Tabela3[[#This Row],[Tabela 2]]*1.15</f>
        <v>202.25140188594162</v>
      </c>
    </row>
    <row r="1355" spans="1:42">
      <c r="A1355" s="9">
        <v>46191</v>
      </c>
      <c r="B1355" s="9" t="s">
        <v>80</v>
      </c>
      <c r="C1355" s="14">
        <v>9940</v>
      </c>
      <c r="D1355" s="6" t="s">
        <v>46</v>
      </c>
      <c r="E1355" s="6" t="s">
        <v>50</v>
      </c>
      <c r="F1355" s="6">
        <v>13</v>
      </c>
      <c r="G1355" s="15">
        <v>5.0694444444444445E-2</v>
      </c>
      <c r="H1355" s="16">
        <v>0</v>
      </c>
      <c r="I1355" s="35">
        <f ca="1">IFERROR(Tabela3[[#This Row],[Custo Total]]/Tabela3[[#This Row],[Aluminio Util]],0)</f>
        <v>27.191426107877533</v>
      </c>
      <c r="J1355" s="35">
        <f ca="1">Tabela3[[#This Row],[Custo Total]]/Tabela3[[#This Row],[Realizado]]</f>
        <v>32.629711329453038</v>
      </c>
      <c r="K1355" s="37">
        <f>IFERROR(Tabela3[[#This Row],[Qtde Cx Produzida]]/Tabela3[[#This Row],[Tempo]]/24,0)</f>
        <v>10.684931506849315</v>
      </c>
      <c r="L1355" s="37">
        <f>Tabela3[[#This Row],[Qtde Cx Produzida]]*Tabela3[[#This Row],[Qdt Peça Placa]]</f>
        <v>13</v>
      </c>
      <c r="M1355" s="37">
        <f>Tabela3[[#This Row],[Previsto]]-Tabela3[[#This Row],[Perda Pçs]]</f>
        <v>13</v>
      </c>
      <c r="N1355" s="38">
        <f>IFERROR(Tabela3[[#This Row],[Perda Pçs]]/Tabela3[[#This Row],[Previsto]],0)</f>
        <v>0</v>
      </c>
      <c r="O1355" s="39">
        <f>IFERROR(IF(Tabela3[[#This Row],[Qtde Cx Produzida]] &lt;&gt; 0, Tabela3[[#This Row],[Tempo]] / Tabela3[[#This Row],[Qtde Cx Produzida]], 0),0)</f>
        <v>3.8995726495726496E-3</v>
      </c>
      <c r="P1355" s="57">
        <f>IFERROR(Tabela3[[#This Row],[Perda Pçs]]/Tabela3[[#This Row],[Qdt Peça Placa]],0)</f>
        <v>0</v>
      </c>
      <c r="Q1355" s="37">
        <f>IFERROR(Tabela3[[#This Row],[Realizado]]*Tabela3[[#This Row],[Peso Util/Pç]],0)</f>
        <v>15.6</v>
      </c>
      <c r="R1355" s="37">
        <f>IFERROR(Tabela3[[#This Row],[Peso Total Galho]]*Tabela3[[#This Row],[Qtde Cx Produzida]]*1.055,0)</f>
        <v>25.37275</v>
      </c>
      <c r="S1355" s="37">
        <f>(Tabela3[[#This Row],[Aluminio Bruto]]-Tabela3[[#This Row],[Aluminio Util]])*0.9</f>
        <v>8.7954749999999997</v>
      </c>
      <c r="T1355" s="37">
        <f>Tabela3[[#This Row],[Aluminio Bruto]]/OleoKGAluminio</f>
        <v>10.674283118349438</v>
      </c>
      <c r="U1355" s="35">
        <f>IFERROR((VLOOKUP(Tabela3[[#This Row],[Moldador]],Tabela1[],5,)+(VLOOKUP(Tabela3[[#This Row],[Ajudante]],Tabela1[],5,))*3.5),0)</f>
        <v>99.95034583333333</v>
      </c>
      <c r="V1355" s="35">
        <f>IFERROR(Tabela3[[#This Row],[Custo M.O. / H]]/((Tabela3[[#This Row],[Realizado]]/Tabela3[[#This Row],[Qdt Peça Placa]])/Tabela3[[#This Row],[Tempo]]/24),)</f>
        <v>9.3543272382478637</v>
      </c>
      <c r="W1355" s="35">
        <f>Tabela3[[#This Row],[Custo / Cx Moldada]]*Tabela3[[#This Row],[Qtde Cx Produzida]]</f>
        <v>121.60625409722223</v>
      </c>
      <c r="X1355" s="35">
        <f ca="1">Tabela3[[#This Row],[Aluminio Util]]*Tabela3[[#This Row],[Custo/Kg]]</f>
        <v>274.56</v>
      </c>
      <c r="Y1355" s="35">
        <f>IFERROR(VLOOKUP(Tabela3[[#This Row],[Data]],Tabela461213[],2,1)*(Tabela3[[#This Row],[Qtde Cx Produzida]]*Tabela3[[#This Row],[Qde macho / CX]]*Tabela3[[#This Row],[Peso Macho]]),)</f>
        <v>0</v>
      </c>
      <c r="Z1355" s="35">
        <f>IFERROR(Tabela3[[#This Row],[Qtde Oleo]]*(VLOOKUP(Tabela3[[#This Row],[Data]],CompraOleo[],3,TRUE))*1.05,0)</f>
        <v>28.019993185667275</v>
      </c>
      <c r="AA1355" s="47">
        <f ca="1">(Tabela3[[#This Row],[Custo Oleo]]+Tabela3[[#This Row],[Custo Aluminio]]+Tabela3[[#This Row],[Custo M.O. Total]]+Tabela3[[#This Row],[Custo Machos]])</f>
        <v>424.1862472828895</v>
      </c>
      <c r="AB1355" s="47">
        <f ca="1">Tabela3[[#This Row],[Custo Total]]*Tabela3[[#This Row],[% Perda]]</f>
        <v>0</v>
      </c>
      <c r="AC1355" s="40">
        <f>IFERROR(VLOOKUP(Tabela3[[#This Row],[Produto]],Tabela2[],2,0),0)</f>
        <v>1</v>
      </c>
      <c r="AD1355" s="48">
        <f>IFERROR(VLOOKUP(Tabela3[[#This Row],[Produto]],Tabela2[],3,0),0)</f>
        <v>1.2</v>
      </c>
      <c r="AE1355" s="48">
        <f>IFERROR(VLOOKUP(Tabela3[[#This Row],[Produto]],Tabela2[],4,0),0)</f>
        <v>1.85</v>
      </c>
      <c r="AF1355" s="48">
        <f>IFERROR(VLOOKUP(Tabela3[[#This Row],[Produto]],Tabela2[],5,0),0)</f>
        <v>0.58500000000000019</v>
      </c>
      <c r="AG1355" s="48">
        <f>IFERROR(VLOOKUP(Tabela3[[#This Row],[Produto]],Tabela2[],6,0),0)</f>
        <v>0</v>
      </c>
      <c r="AH1355" s="40">
        <f>IFERROR(VLOOKUP(Tabela3[[#This Row],[Produto]],Tabela2[],7,0),0)</f>
        <v>0</v>
      </c>
      <c r="AI1355" s="40">
        <f>IFERROR(VLOOKUP(Tabela3[[#This Row],[Produto]],Tabela2[],8,0),0)</f>
        <v>0</v>
      </c>
      <c r="AJ1355" s="35">
        <f ca="1">IFERROR(VLOOKUP(Tabela3[[#This Row],[Produto]],Tabela2[],13,0),0)</f>
        <v>17.600000000000001</v>
      </c>
      <c r="AK1355" s="48" t="str">
        <f>IFERROR(VLOOKUP(Tabela3[[#This Row],[Produto]],Tabela2[],14,0),0)</f>
        <v>Protec</v>
      </c>
      <c r="AL1355" s="40">
        <f>IFERROR(VLOOKUP(Tabela3[[#This Row],[Produto]],Tabela2[],15,0),0)</f>
        <v>0</v>
      </c>
      <c r="AM1355" s="36">
        <f ca="1">(Tabela3[[#This Row],[Custo Usinagem]]+Tabela3[[#This Row],[Custo / Pç]])*1.2</f>
        <v>39.155653595343644</v>
      </c>
      <c r="AN1355" s="36">
        <f ca="1">Tabela3[[#This Row],[Valor Mínimo Venda]]*1.15</f>
        <v>45.029001634645184</v>
      </c>
      <c r="AO1355" s="36">
        <f ca="1">Tabela3[[#This Row],[Tabela 1]]*1.08</f>
        <v>48.6313217654168</v>
      </c>
      <c r="AP1355" s="36">
        <f ca="1">Tabela3[[#This Row],[Tabela 2]]*1.15</f>
        <v>55.926020030229317</v>
      </c>
    </row>
    <row r="1356" spans="1:42">
      <c r="A1356" s="9">
        <v>46191</v>
      </c>
      <c r="B1356" s="9" t="s">
        <v>80</v>
      </c>
      <c r="C1356" s="14">
        <v>9940</v>
      </c>
      <c r="D1356" s="6" t="s">
        <v>44</v>
      </c>
      <c r="E1356" s="6" t="s">
        <v>47</v>
      </c>
      <c r="F1356" s="6">
        <v>19</v>
      </c>
      <c r="G1356" s="15">
        <v>7.0833333333333331E-2</v>
      </c>
      <c r="H1356" s="16">
        <v>0</v>
      </c>
      <c r="I1356" s="35">
        <f ca="1">IFERROR(Tabela3[[#This Row],[Custo Total]]/Tabela3[[#This Row],[Aluminio Util]],0)</f>
        <v>26.848591475858115</v>
      </c>
      <c r="J1356" s="35">
        <f ca="1">Tabela3[[#This Row],[Custo Total]]/Tabela3[[#This Row],[Realizado]]</f>
        <v>32.218309771029737</v>
      </c>
      <c r="K1356" s="37">
        <f>IFERROR(Tabela3[[#This Row],[Qtde Cx Produzida]]/Tabela3[[#This Row],[Tempo]]/24,0)</f>
        <v>11.176470588235295</v>
      </c>
      <c r="L1356" s="37">
        <f>Tabela3[[#This Row],[Qtde Cx Produzida]]*Tabela3[[#This Row],[Qdt Peça Placa]]</f>
        <v>19</v>
      </c>
      <c r="M1356" s="37">
        <f>Tabela3[[#This Row],[Previsto]]-Tabela3[[#This Row],[Perda Pçs]]</f>
        <v>19</v>
      </c>
      <c r="N1356" s="38">
        <f>IFERROR(Tabela3[[#This Row],[Perda Pçs]]/Tabela3[[#This Row],[Previsto]],0)</f>
        <v>0</v>
      </c>
      <c r="O1356" s="39">
        <f>IFERROR(IF(Tabela3[[#This Row],[Qtde Cx Produzida]] &lt;&gt; 0, Tabela3[[#This Row],[Tempo]] / Tabela3[[#This Row],[Qtde Cx Produzida]], 0),0)</f>
        <v>3.7280701754385964E-3</v>
      </c>
      <c r="P1356" s="57">
        <f>IFERROR(Tabela3[[#This Row],[Perda Pçs]]/Tabela3[[#This Row],[Qdt Peça Placa]],0)</f>
        <v>0</v>
      </c>
      <c r="Q1356" s="37">
        <f>IFERROR(Tabela3[[#This Row],[Realizado]]*Tabela3[[#This Row],[Peso Util/Pç]],0)</f>
        <v>22.8</v>
      </c>
      <c r="R1356" s="37">
        <f>IFERROR(Tabela3[[#This Row],[Peso Total Galho]]*Tabela3[[#This Row],[Qtde Cx Produzida]]*1.055,0)</f>
        <v>37.08325</v>
      </c>
      <c r="S1356" s="37">
        <f>(Tabela3[[#This Row],[Aluminio Bruto]]-Tabela3[[#This Row],[Aluminio Util]])*0.9</f>
        <v>12.854925</v>
      </c>
      <c r="T1356" s="37">
        <f>Tabela3[[#This Row],[Aluminio Bruto]]/OleoKGAluminio</f>
        <v>15.600875326818407</v>
      </c>
      <c r="U1356" s="35">
        <f>IFERROR((VLOOKUP(Tabela3[[#This Row],[Moldador]],Tabela1[],5,)+(VLOOKUP(Tabela3[[#This Row],[Ajudante]],Tabela1[],5,))*3.5),0)</f>
        <v>99.95034583333333</v>
      </c>
      <c r="V1356" s="35">
        <f>IFERROR(Tabela3[[#This Row],[Custo M.O. / H]]/((Tabela3[[#This Row],[Realizado]]/Tabela3[[#This Row],[Qdt Peça Placa]])/Tabela3[[#This Row],[Tempo]]/24),)</f>
        <v>8.94292567982456</v>
      </c>
      <c r="W1356" s="35">
        <f>Tabela3[[#This Row],[Custo / Cx Moldada]]*Tabela3[[#This Row],[Qtde Cx Produzida]]</f>
        <v>169.91558791666665</v>
      </c>
      <c r="X1356" s="35">
        <f ca="1">Tabela3[[#This Row],[Aluminio Util]]*Tabela3[[#This Row],[Custo/Kg]]</f>
        <v>401.28000000000003</v>
      </c>
      <c r="Y1356" s="35">
        <f>IFERROR(VLOOKUP(Tabela3[[#This Row],[Data]],Tabela461213[],2,1)*(Tabela3[[#This Row],[Qtde Cx Produzida]]*Tabela3[[#This Row],[Qde macho / CX]]*Tabela3[[#This Row],[Peso Macho]]),)</f>
        <v>0</v>
      </c>
      <c r="Z1356" s="35">
        <f>IFERROR(Tabela3[[#This Row],[Qtde Oleo]]*(VLOOKUP(Tabela3[[#This Row],[Data]],CompraOleo[],3,TRUE))*1.05,0)</f>
        <v>40.952297732898323</v>
      </c>
      <c r="AA1356" s="47">
        <f ca="1">(Tabela3[[#This Row],[Custo Oleo]]+Tabela3[[#This Row],[Custo Aluminio]]+Tabela3[[#This Row],[Custo M.O. Total]]+Tabela3[[#This Row],[Custo Machos]])</f>
        <v>612.14788564956507</v>
      </c>
      <c r="AB1356" s="47">
        <f ca="1">Tabela3[[#This Row],[Custo Total]]*Tabela3[[#This Row],[% Perda]]</f>
        <v>0</v>
      </c>
      <c r="AC1356" s="40">
        <f>IFERROR(VLOOKUP(Tabela3[[#This Row],[Produto]],Tabela2[],2,0),0)</f>
        <v>1</v>
      </c>
      <c r="AD1356" s="48">
        <f>IFERROR(VLOOKUP(Tabela3[[#This Row],[Produto]],Tabela2[],3,0),0)</f>
        <v>1.2</v>
      </c>
      <c r="AE1356" s="48">
        <f>IFERROR(VLOOKUP(Tabela3[[#This Row],[Produto]],Tabela2[],4,0),0)</f>
        <v>1.85</v>
      </c>
      <c r="AF1356" s="48">
        <f>IFERROR(VLOOKUP(Tabela3[[#This Row],[Produto]],Tabela2[],5,0),0)</f>
        <v>0.58500000000000019</v>
      </c>
      <c r="AG1356" s="48">
        <f>IFERROR(VLOOKUP(Tabela3[[#This Row],[Produto]],Tabela2[],6,0),0)</f>
        <v>0</v>
      </c>
      <c r="AH1356" s="40">
        <f>IFERROR(VLOOKUP(Tabela3[[#This Row],[Produto]],Tabela2[],7,0),0)</f>
        <v>0</v>
      </c>
      <c r="AI1356" s="40">
        <f>IFERROR(VLOOKUP(Tabela3[[#This Row],[Produto]],Tabela2[],8,0),0)</f>
        <v>0</v>
      </c>
      <c r="AJ1356" s="35">
        <f ca="1">IFERROR(VLOOKUP(Tabela3[[#This Row],[Produto]],Tabela2[],13,0),0)</f>
        <v>17.600000000000001</v>
      </c>
      <c r="AK1356" s="48" t="str">
        <f>IFERROR(VLOOKUP(Tabela3[[#This Row],[Produto]],Tabela2[],14,0),0)</f>
        <v>Protec</v>
      </c>
      <c r="AL1356" s="40">
        <f>IFERROR(VLOOKUP(Tabela3[[#This Row],[Produto]],Tabela2[],15,0),0)</f>
        <v>0</v>
      </c>
      <c r="AM1356" s="36">
        <f ca="1">(Tabela3[[#This Row],[Custo Usinagem]]+Tabela3[[#This Row],[Custo / Pç]])*1.2</f>
        <v>38.661971725235681</v>
      </c>
      <c r="AN1356" s="36">
        <f ca="1">Tabela3[[#This Row],[Valor Mínimo Venda]]*1.15</f>
        <v>44.461267484021029</v>
      </c>
      <c r="AO1356" s="36">
        <f ca="1">Tabela3[[#This Row],[Tabela 1]]*1.08</f>
        <v>48.018168882742714</v>
      </c>
      <c r="AP1356" s="36">
        <f ca="1">Tabela3[[#This Row],[Tabela 2]]*1.15</f>
        <v>55.220894215154118</v>
      </c>
    </row>
    <row r="1357" spans="1:42">
      <c r="A1357" s="9">
        <v>46192</v>
      </c>
      <c r="B1357" s="9" t="s">
        <v>80</v>
      </c>
      <c r="C1357" s="14">
        <v>9940</v>
      </c>
      <c r="D1357" s="6" t="s">
        <v>46</v>
      </c>
      <c r="E1357" s="6" t="s">
        <v>50</v>
      </c>
      <c r="F1357" s="75">
        <v>23</v>
      </c>
      <c r="G1357" s="15">
        <v>9.8611111111111108E-2</v>
      </c>
      <c r="H1357" s="16">
        <v>0</v>
      </c>
      <c r="I1357" s="35">
        <f ca="1">IFERROR(Tabela3[[#This Row],[Custo Total]]/Tabela3[[#This Row],[Aluminio Util]],0)</f>
        <v>27.966774851567919</v>
      </c>
      <c r="J1357" s="76">
        <f ca="1">Tabela3[[#This Row],[Custo Total]]/Tabela3[[#This Row],[Realizado]]</f>
        <v>33.560129821881503</v>
      </c>
      <c r="K1357" s="37">
        <f>IFERROR(Tabela3[[#This Row],[Qtde Cx Produzida]]/Tabela3[[#This Row],[Tempo]]/24,0)</f>
        <v>9.71830985915493</v>
      </c>
      <c r="L1357" s="37">
        <f>Tabela3[[#This Row],[Qtde Cx Produzida]]*Tabela3[[#This Row],[Qdt Peça Placa]]</f>
        <v>23</v>
      </c>
      <c r="M1357" s="37">
        <f>Tabela3[[#This Row],[Previsto]]-Tabela3[[#This Row],[Perda Pçs]]</f>
        <v>23</v>
      </c>
      <c r="N1357" s="38">
        <f>IFERROR(Tabela3[[#This Row],[Perda Pçs]]/Tabela3[[#This Row],[Previsto]],0)</f>
        <v>0</v>
      </c>
      <c r="O1357" s="39">
        <f>IFERROR(IF(Tabela3[[#This Row],[Qtde Cx Produzida]] &lt;&gt; 0, Tabela3[[#This Row],[Tempo]] / Tabela3[[#This Row],[Qtde Cx Produzida]], 0),0)</f>
        <v>4.2874396135265695E-3</v>
      </c>
      <c r="P1357" s="77">
        <f>IFERROR(Tabela3[[#This Row],[Perda Pçs]]/Tabela3[[#This Row],[Qdt Peça Placa]],0)</f>
        <v>0</v>
      </c>
      <c r="Q1357" s="37">
        <f>IFERROR(Tabela3[[#This Row],[Realizado]]*Tabela3[[#This Row],[Peso Util/Pç]],0)</f>
        <v>27.599999999999998</v>
      </c>
      <c r="R1357" s="37">
        <f>IFERROR(Tabela3[[#This Row],[Peso Total Galho]]*Tabela3[[#This Row],[Qtde Cx Produzida]]*1.055,0)</f>
        <v>44.890250000000002</v>
      </c>
      <c r="S1357" s="37">
        <f>(Tabela3[[#This Row],[Aluminio Bruto]]-Tabela3[[#This Row],[Aluminio Util]])*0.9</f>
        <v>15.561225000000004</v>
      </c>
      <c r="T1357" s="37">
        <f>Tabela3[[#This Row],[Aluminio Bruto]]/OleoKGAluminio</f>
        <v>18.885270132464388</v>
      </c>
      <c r="U1357" s="76">
        <f>IFERROR((VLOOKUP(Tabela3[[#This Row],[Moldador]],Tabela1[],5,)+(VLOOKUP(Tabela3[[#This Row],[Ajudante]],Tabela1[],5,))*3.5),0)</f>
        <v>99.95034583333333</v>
      </c>
      <c r="V1357" s="76">
        <f>IFERROR(Tabela3[[#This Row],[Custo M.O. / H]]/((Tabela3[[#This Row],[Realizado]]/Tabela3[[#This Row],[Qdt Peça Placa]])/Tabela3[[#This Row],[Tempo]]/24),)</f>
        <v>10.284745730676327</v>
      </c>
      <c r="W1357" s="76">
        <f>Tabela3[[#This Row],[Custo / Cx Moldada]]*Tabela3[[#This Row],[Qtde Cx Produzida]]</f>
        <v>236.54915180555554</v>
      </c>
      <c r="X1357" s="76">
        <f ca="1">Tabela3[[#This Row],[Aluminio Util]]*Tabela3[[#This Row],[Custo/Kg]]</f>
        <v>485.76</v>
      </c>
      <c r="Y1357" s="76">
        <f>IFERROR(VLOOKUP(Tabela3[[#This Row],[Data]],Tabela461213[],2,1)*(Tabela3[[#This Row],[Qtde Cx Produzida]]*Tabela3[[#This Row],[Qde macho / CX]]*Tabela3[[#This Row],[Peso Macho]]),)</f>
        <v>0</v>
      </c>
      <c r="Z1357" s="76">
        <f>IFERROR(Tabela3[[#This Row],[Qtde Oleo]]*(VLOOKUP(Tabela3[[#This Row],[Data]],CompraOleo[],3,TRUE))*1.05,0)</f>
        <v>49.573834097719022</v>
      </c>
      <c r="AA1357" s="47">
        <f ca="1">(Tabela3[[#This Row],[Custo Oleo]]+Tabela3[[#This Row],[Custo Aluminio]]+Tabela3[[#This Row],[Custo M.O. Total]]+Tabela3[[#This Row],[Custo Machos]])</f>
        <v>771.88298590327452</v>
      </c>
      <c r="AB1357" s="47">
        <f ca="1">Tabela3[[#This Row],[Custo Total]]*Tabela3[[#This Row],[% Perda]]</f>
        <v>0</v>
      </c>
      <c r="AC1357" s="78">
        <f>IFERROR(VLOOKUP(Tabela3[[#This Row],[Produto]],Tabela2[],2,0),0)</f>
        <v>1</v>
      </c>
      <c r="AD1357" s="48">
        <f>IFERROR(VLOOKUP(Tabela3[[#This Row],[Produto]],Tabela2[],3,0),0)</f>
        <v>1.2</v>
      </c>
      <c r="AE1357" s="48">
        <f>IFERROR(VLOOKUP(Tabela3[[#This Row],[Produto]],Tabela2[],4,0),0)</f>
        <v>1.85</v>
      </c>
      <c r="AF1357" s="48">
        <f>IFERROR(VLOOKUP(Tabela3[[#This Row],[Produto]],Tabela2[],5,0),0)</f>
        <v>0.58500000000000019</v>
      </c>
      <c r="AG1357" s="48">
        <f>IFERROR(VLOOKUP(Tabela3[[#This Row],[Produto]],Tabela2[],6,0),0)</f>
        <v>0</v>
      </c>
      <c r="AH1357" s="78">
        <f>IFERROR(VLOOKUP(Tabela3[[#This Row],[Produto]],Tabela2[],7,0),0)</f>
        <v>0</v>
      </c>
      <c r="AI1357" s="78">
        <f>IFERROR(VLOOKUP(Tabela3[[#This Row],[Produto]],Tabela2[],8,0),0)</f>
        <v>0</v>
      </c>
      <c r="AJ1357" s="35">
        <f ca="1">IFERROR(VLOOKUP(Tabela3[[#This Row],[Produto]],Tabela2[],13,0),0)</f>
        <v>17.600000000000001</v>
      </c>
      <c r="AK1357" s="48" t="str">
        <f>IFERROR(VLOOKUP(Tabela3[[#This Row],[Produto]],Tabela2[],14,0),0)</f>
        <v>Protec</v>
      </c>
      <c r="AL1357" s="78">
        <f>IFERROR(VLOOKUP(Tabela3[[#This Row],[Produto]],Tabela2[],15,0),0)</f>
        <v>0</v>
      </c>
      <c r="AM1357" s="79">
        <f ca="1">(Tabela3[[#This Row],[Custo Usinagem]]+Tabela3[[#This Row],[Custo / Pç]])*1.2</f>
        <v>40.272155786257805</v>
      </c>
      <c r="AN1357" s="36">
        <f ca="1">Tabela3[[#This Row],[Valor Mínimo Venda]]*1.15</f>
        <v>46.312979154196469</v>
      </c>
      <c r="AO1357" s="36">
        <f ca="1">Tabela3[[#This Row],[Tabela 1]]*1.08</f>
        <v>50.018017486532187</v>
      </c>
      <c r="AP1357" s="79">
        <f ca="1">Tabela3[[#This Row],[Tabela 2]]*1.15</f>
        <v>57.520720109512013</v>
      </c>
    </row>
    <row r="1358" spans="1:42">
      <c r="A1358" s="9">
        <v>46192</v>
      </c>
      <c r="B1358" s="9" t="s">
        <v>138</v>
      </c>
      <c r="C1358" s="14">
        <v>9946</v>
      </c>
      <c r="D1358" s="6" t="s">
        <v>44</v>
      </c>
      <c r="E1358" s="6" t="s">
        <v>47</v>
      </c>
      <c r="F1358" s="75">
        <v>5</v>
      </c>
      <c r="G1358" s="15">
        <v>2.2916666666666665E-2</v>
      </c>
      <c r="H1358" s="16">
        <v>0</v>
      </c>
      <c r="I1358" s="35">
        <f ca="1">IFERROR(Tabela3[[#This Row],[Custo Total]]/Tabela3[[#This Row],[Aluminio Util]],0)</f>
        <v>40.517234679096703</v>
      </c>
      <c r="J1358" s="76">
        <f ca="1">Tabela3[[#This Row],[Custo Total]]/Tabela3[[#This Row],[Realizado]]</f>
        <v>2.4715513154248989</v>
      </c>
      <c r="K1358" s="37">
        <f>IFERROR(Tabela3[[#This Row],[Qtde Cx Produzida]]/Tabela3[[#This Row],[Tempo]]/24,0)</f>
        <v>9.0909090909090917</v>
      </c>
      <c r="L1358" s="37">
        <f>Tabela3[[#This Row],[Qtde Cx Produzida]]*Tabela3[[#This Row],[Qdt Peça Placa]]</f>
        <v>40</v>
      </c>
      <c r="M1358" s="37">
        <f>Tabela3[[#This Row],[Previsto]]-Tabela3[[#This Row],[Perda Pçs]]</f>
        <v>40</v>
      </c>
      <c r="N1358" s="38">
        <f>IFERROR(Tabela3[[#This Row],[Perda Pçs]]/Tabela3[[#This Row],[Previsto]],0)</f>
        <v>0</v>
      </c>
      <c r="O1358" s="39">
        <f>IFERROR(IF(Tabela3[[#This Row],[Qtde Cx Produzida]] &lt;&gt; 0, Tabela3[[#This Row],[Tempo]] / Tabela3[[#This Row],[Qtde Cx Produzida]], 0),0)</f>
        <v>4.5833333333333334E-3</v>
      </c>
      <c r="P1358" s="77">
        <f>IFERROR(Tabela3[[#This Row],[Perda Pçs]]/Tabela3[[#This Row],[Qdt Peça Placa]],0)</f>
        <v>0</v>
      </c>
      <c r="Q1358" s="37">
        <f>IFERROR(Tabela3[[#This Row],[Realizado]]*Tabela3[[#This Row],[Peso Util/Pç]],0)</f>
        <v>2.44</v>
      </c>
      <c r="R1358" s="37">
        <f>IFERROR(Tabela3[[#This Row],[Peso Total Galho]]*Tabela3[[#This Row],[Qtde Cx Produzida]]*1.055,0)</f>
        <v>5.2749999999999995</v>
      </c>
      <c r="S1358" s="37">
        <f>(Tabela3[[#This Row],[Aluminio Bruto]]-Tabela3[[#This Row],[Aluminio Util]])*0.9</f>
        <v>2.5514999999999994</v>
      </c>
      <c r="T1358" s="37">
        <f>Tabela3[[#This Row],[Aluminio Bruto]]/OleoKGAluminio</f>
        <v>2.2191856794905274</v>
      </c>
      <c r="U1358" s="76">
        <f>IFERROR((VLOOKUP(Tabela3[[#This Row],[Moldador]],Tabela1[],5,)+(VLOOKUP(Tabela3[[#This Row],[Ajudante]],Tabela1[],5,))*3.5),0)</f>
        <v>99.95034583333333</v>
      </c>
      <c r="V1358" s="76">
        <f>IFERROR(Tabela3[[#This Row],[Custo M.O. / H]]/((Tabela3[[#This Row],[Realizado]]/Tabela3[[#This Row],[Qdt Peça Placa]])/Tabela3[[#This Row],[Tempo]]/24),)</f>
        <v>10.994538041666665</v>
      </c>
      <c r="W1358" s="76">
        <f>Tabela3[[#This Row],[Custo / Cx Moldada]]*Tabela3[[#This Row],[Qtde Cx Produzida]]</f>
        <v>54.972690208333326</v>
      </c>
      <c r="X1358" s="76">
        <f ca="1">Tabela3[[#This Row],[Aluminio Util]]*Tabela3[[#This Row],[Custo/Kg]]</f>
        <v>38.064</v>
      </c>
      <c r="Y1358" s="76">
        <f>IFERROR(VLOOKUP(Tabela3[[#This Row],[Data]],Tabela461213[],2,1)*(Tabela3[[#This Row],[Qtde Cx Produzida]]*Tabela3[[#This Row],[Qde macho / CX]]*Tabela3[[#This Row],[Peso Macho]]),)</f>
        <v>0</v>
      </c>
      <c r="Z1358" s="76">
        <f>IFERROR(Tabela3[[#This Row],[Qtde Oleo]]*(VLOOKUP(Tabela3[[#This Row],[Data]],CompraOleo[],3,TRUE))*1.05,0)</f>
        <v>5.8253624086626346</v>
      </c>
      <c r="AA1358" s="47">
        <f ca="1">(Tabela3[[#This Row],[Custo Oleo]]+Tabela3[[#This Row],[Custo Aluminio]]+Tabela3[[#This Row],[Custo M.O. Total]]+Tabela3[[#This Row],[Custo Machos]])</f>
        <v>98.862052616995953</v>
      </c>
      <c r="AB1358" s="47">
        <f ca="1">Tabela3[[#This Row],[Custo Total]]*Tabela3[[#This Row],[% Perda]]</f>
        <v>0</v>
      </c>
      <c r="AC1358" s="78">
        <f>IFERROR(VLOOKUP(Tabela3[[#This Row],[Produto]],Tabela2[],2,0),0)</f>
        <v>8</v>
      </c>
      <c r="AD1358" s="48">
        <f>IFERROR(VLOOKUP(Tabela3[[#This Row],[Produto]],Tabela2[],3,0),0)</f>
        <v>6.0999999999999999E-2</v>
      </c>
      <c r="AE1358" s="48">
        <f>IFERROR(VLOOKUP(Tabela3[[#This Row],[Produto]],Tabela2[],4,0),0)</f>
        <v>1</v>
      </c>
      <c r="AF1358" s="48">
        <f>IFERROR(VLOOKUP(Tabela3[[#This Row],[Produto]],Tabela2[],5,0),0)</f>
        <v>0.46080000000000004</v>
      </c>
      <c r="AG1358" s="48">
        <f>IFERROR(VLOOKUP(Tabela3[[#This Row],[Produto]],Tabela2[],6,0),0)</f>
        <v>0</v>
      </c>
      <c r="AH1358" s="78">
        <f>IFERROR(VLOOKUP(Tabela3[[#This Row],[Produto]],Tabela2[],7,0),0)</f>
        <v>0</v>
      </c>
      <c r="AI1358" s="78">
        <f>IFERROR(VLOOKUP(Tabela3[[#This Row],[Produto]],Tabela2[],8,0),0)</f>
        <v>0</v>
      </c>
      <c r="AJ1358" s="35">
        <f ca="1">IFERROR(VLOOKUP(Tabela3[[#This Row],[Produto]],Tabela2[],13,0),0)</f>
        <v>15.600000000000001</v>
      </c>
      <c r="AK1358" s="48" t="str">
        <f>IFERROR(VLOOKUP(Tabela3[[#This Row],[Produto]],Tabela2[],14,0),0)</f>
        <v>Jumil</v>
      </c>
      <c r="AL1358" s="78">
        <f>IFERROR(VLOOKUP(Tabela3[[#This Row],[Produto]],Tabela2[],15,0),0)</f>
        <v>4</v>
      </c>
      <c r="AM1358" s="79">
        <f ca="1">(Tabela3[[#This Row],[Custo Usinagem]]+Tabela3[[#This Row],[Custo / Pç]])*1.2</f>
        <v>7.7658615785098775</v>
      </c>
      <c r="AN1358" s="36">
        <f ca="1">Tabela3[[#This Row],[Valor Mínimo Venda]]*1.15</f>
        <v>8.9307408152863577</v>
      </c>
      <c r="AO1358" s="36">
        <f ca="1">Tabela3[[#This Row],[Tabela 1]]*1.08</f>
        <v>9.6452000805092677</v>
      </c>
      <c r="AP1358" s="79">
        <f ca="1">Tabela3[[#This Row],[Tabela 2]]*1.15</f>
        <v>11.091980092585658</v>
      </c>
    </row>
    <row r="1359" spans="1:42">
      <c r="A1359" s="9">
        <v>46192</v>
      </c>
      <c r="B1359" s="9" t="s">
        <v>125</v>
      </c>
      <c r="C1359" s="14">
        <v>9947</v>
      </c>
      <c r="D1359" s="6" t="s">
        <v>44</v>
      </c>
      <c r="E1359" s="6" t="s">
        <v>47</v>
      </c>
      <c r="F1359" s="75">
        <v>32</v>
      </c>
      <c r="G1359" s="15">
        <v>0.14305555555555555</v>
      </c>
      <c r="H1359" s="16">
        <v>0</v>
      </c>
      <c r="I1359" s="35">
        <f ca="1">IFERROR(Tabela3[[#This Row],[Custo Total]]/Tabela3[[#This Row],[Aluminio Util]],0)</f>
        <v>24.869422630346993</v>
      </c>
      <c r="J1359" s="76">
        <f ca="1">Tabela3[[#This Row],[Custo Total]]/Tabela3[[#This Row],[Realizado]]</f>
        <v>34.866930527746483</v>
      </c>
      <c r="K1359" s="37">
        <f>IFERROR(Tabela3[[#This Row],[Qtde Cx Produzida]]/Tabela3[[#This Row],[Tempo]]/24,0)</f>
        <v>9.3203883495145643</v>
      </c>
      <c r="L1359" s="37">
        <f>Tabela3[[#This Row],[Qtde Cx Produzida]]*Tabela3[[#This Row],[Qdt Peça Placa]]</f>
        <v>32</v>
      </c>
      <c r="M1359" s="37">
        <f>Tabela3[[#This Row],[Previsto]]-Tabela3[[#This Row],[Perda Pçs]]</f>
        <v>32</v>
      </c>
      <c r="N1359" s="38">
        <f>IFERROR(Tabela3[[#This Row],[Perda Pçs]]/Tabela3[[#This Row],[Previsto]],0)</f>
        <v>0</v>
      </c>
      <c r="O1359" s="39">
        <f>IFERROR(IF(Tabela3[[#This Row],[Qtde Cx Produzida]] &lt;&gt; 0, Tabela3[[#This Row],[Tempo]] / Tabela3[[#This Row],[Qtde Cx Produzida]], 0),0)</f>
        <v>4.4704861111111108E-3</v>
      </c>
      <c r="P1359" s="77">
        <f>IFERROR(Tabela3[[#This Row],[Perda Pçs]]/Tabela3[[#This Row],[Qdt Peça Placa]],0)</f>
        <v>0</v>
      </c>
      <c r="Q1359" s="37">
        <f>IFERROR(Tabela3[[#This Row],[Realizado]]*Tabela3[[#This Row],[Peso Util/Pç]],0)</f>
        <v>44.863999999999997</v>
      </c>
      <c r="R1359" s="37">
        <f>IFERROR(Tabela3[[#This Row],[Peso Total Galho]]*Tabela3[[#This Row],[Qtde Cx Produzida]]*1.055,0)</f>
        <v>65.831999999999994</v>
      </c>
      <c r="S1359" s="37">
        <f>(Tabela3[[#This Row],[Aluminio Bruto]]-Tabela3[[#This Row],[Aluminio Util]])*0.9</f>
        <v>18.871199999999998</v>
      </c>
      <c r="T1359" s="37">
        <f>Tabela3[[#This Row],[Aluminio Bruto]]/OleoKGAluminio</f>
        <v>27.69543728004178</v>
      </c>
      <c r="U1359" s="76">
        <f>IFERROR((VLOOKUP(Tabela3[[#This Row],[Moldador]],Tabela1[],5,)+(VLOOKUP(Tabela3[[#This Row],[Ajudante]],Tabela1[],5,))*3.5),0)</f>
        <v>99.95034583333333</v>
      </c>
      <c r="V1359" s="76">
        <f>IFERROR(Tabela3[[#This Row],[Custo M.O. / H]]/((Tabela3[[#This Row],[Realizado]]/Tabela3[[#This Row],[Qdt Peça Placa]])/Tabela3[[#This Row],[Tempo]]/24),)</f>
        <v>10.723839188368053</v>
      </c>
      <c r="W1359" s="76">
        <f>Tabela3[[#This Row],[Custo / Cx Moldada]]*Tabela3[[#This Row],[Qtde Cx Produzida]]</f>
        <v>343.16285402777771</v>
      </c>
      <c r="X1359" s="76">
        <f ca="1">Tabela3[[#This Row],[Aluminio Util]]*Tabela3[[#This Row],[Custo/Kg]]</f>
        <v>699.87840000000006</v>
      </c>
      <c r="Y1359" s="76">
        <f>IFERROR(VLOOKUP(Tabela3[[#This Row],[Data]],Tabela461213[],2,1)*(Tabela3[[#This Row],[Qtde Cx Produzida]]*Tabela3[[#This Row],[Qde macho / CX]]*Tabela3[[#This Row],[Peso Macho]]),)</f>
        <v>0</v>
      </c>
      <c r="Z1359" s="76">
        <f>IFERROR(Tabela3[[#This Row],[Qtde Oleo]]*(VLOOKUP(Tabela3[[#This Row],[Data]],CompraOleo[],3,TRUE))*1.05,0)</f>
        <v>72.700522860109672</v>
      </c>
      <c r="AA1359" s="47">
        <f ca="1">(Tabela3[[#This Row],[Custo Oleo]]+Tabela3[[#This Row],[Custo Aluminio]]+Tabela3[[#This Row],[Custo M.O. Total]]+Tabela3[[#This Row],[Custo Machos]])</f>
        <v>1115.7417768878875</v>
      </c>
      <c r="AB1359" s="47">
        <f ca="1">Tabela3[[#This Row],[Custo Total]]*Tabela3[[#This Row],[% Perda]]</f>
        <v>0</v>
      </c>
      <c r="AC1359" s="78">
        <f>IFERROR(VLOOKUP(Tabela3[[#This Row],[Produto]],Tabela2[],2,0),0)</f>
        <v>1</v>
      </c>
      <c r="AD1359" s="48">
        <f>IFERROR(VLOOKUP(Tabela3[[#This Row],[Produto]],Tabela2[],3,0),0)</f>
        <v>1.4019999999999999</v>
      </c>
      <c r="AE1359" s="48">
        <f>IFERROR(VLOOKUP(Tabela3[[#This Row],[Produto]],Tabela2[],4,0),0)</f>
        <v>1.95</v>
      </c>
      <c r="AF1359" s="48">
        <f>IFERROR(VLOOKUP(Tabela3[[#This Row],[Produto]],Tabela2[],5,0),0)</f>
        <v>0.49320000000000003</v>
      </c>
      <c r="AG1359" s="48">
        <f>IFERROR(VLOOKUP(Tabela3[[#This Row],[Produto]],Tabela2[],6,0),0)</f>
        <v>0</v>
      </c>
      <c r="AH1359" s="78">
        <f>IFERROR(VLOOKUP(Tabela3[[#This Row],[Produto]],Tabela2[],7,0),0)</f>
        <v>0</v>
      </c>
      <c r="AI1359" s="78">
        <f>IFERROR(VLOOKUP(Tabela3[[#This Row],[Produto]],Tabela2[],8,0),0)</f>
        <v>0</v>
      </c>
      <c r="AJ1359" s="35">
        <f ca="1">IFERROR(VLOOKUP(Tabela3[[#This Row],[Produto]],Tabela2[],13,0),0)</f>
        <v>15.600000000000001</v>
      </c>
      <c r="AK1359" s="48" t="str">
        <f>IFERROR(VLOOKUP(Tabela3[[#This Row],[Produto]],Tabela2[],14,0),0)</f>
        <v>Senun</v>
      </c>
      <c r="AL1359" s="78">
        <f>IFERROR(VLOOKUP(Tabela3[[#This Row],[Produto]],Tabela2[],15,0),0)</f>
        <v>6</v>
      </c>
      <c r="AM1359" s="79">
        <f ca="1">(Tabela3[[#This Row],[Custo Usinagem]]+Tabela3[[#This Row],[Custo / Pç]])*1.2</f>
        <v>49.040316633295781</v>
      </c>
      <c r="AN1359" s="36">
        <f ca="1">Tabela3[[#This Row],[Valor Mínimo Venda]]*1.15</f>
        <v>56.396364128290145</v>
      </c>
      <c r="AO1359" s="36">
        <f ca="1">Tabela3[[#This Row],[Tabela 1]]*1.08</f>
        <v>60.908073258553358</v>
      </c>
      <c r="AP1359" s="79">
        <f ca="1">Tabela3[[#This Row],[Tabela 2]]*1.15</f>
        <v>70.04428424733635</v>
      </c>
    </row>
    <row r="1360" spans="1:42">
      <c r="A1360" s="9">
        <v>46192</v>
      </c>
      <c r="B1360" s="9" t="s">
        <v>258</v>
      </c>
      <c r="C1360" s="14">
        <v>9949</v>
      </c>
      <c r="D1360" s="6" t="s">
        <v>46</v>
      </c>
      <c r="E1360" s="6" t="s">
        <v>50</v>
      </c>
      <c r="F1360" s="75">
        <v>12</v>
      </c>
      <c r="G1360" s="15">
        <v>4.3055555555555555E-2</v>
      </c>
      <c r="H1360" s="16">
        <v>0</v>
      </c>
      <c r="I1360" s="35">
        <f ca="1">IFERROR(Tabela3[[#This Row],[Custo Total]]/Tabela3[[#This Row],[Aluminio Util]],0)</f>
        <v>23.751731618219839</v>
      </c>
      <c r="J1360" s="76">
        <f ca="1">Tabela3[[#This Row],[Custo Total]]/Tabela3[[#This Row],[Realizado]]</f>
        <v>11.282072518654424</v>
      </c>
      <c r="K1360" s="37">
        <f>IFERROR(Tabela3[[#This Row],[Qtde Cx Produzida]]/Tabela3[[#This Row],[Tempo]]/24,0)</f>
        <v>11.61290322580645</v>
      </c>
      <c r="L1360" s="37">
        <f>Tabela3[[#This Row],[Qtde Cx Produzida]]*Tabela3[[#This Row],[Qdt Peça Placa]]</f>
        <v>36</v>
      </c>
      <c r="M1360" s="37">
        <f>Tabela3[[#This Row],[Previsto]]-Tabela3[[#This Row],[Perda Pçs]]</f>
        <v>36</v>
      </c>
      <c r="N1360" s="38">
        <f>IFERROR(Tabela3[[#This Row],[Perda Pçs]]/Tabela3[[#This Row],[Previsto]],0)</f>
        <v>0</v>
      </c>
      <c r="O1360" s="39">
        <f>IFERROR(IF(Tabela3[[#This Row],[Qtde Cx Produzida]] &lt;&gt; 0, Tabela3[[#This Row],[Tempo]] / Tabela3[[#This Row],[Qtde Cx Produzida]], 0),0)</f>
        <v>3.5879629629629629E-3</v>
      </c>
      <c r="P1360" s="77">
        <f>IFERROR(Tabela3[[#This Row],[Perda Pçs]]/Tabela3[[#This Row],[Qdt Peça Placa]],0)</f>
        <v>0</v>
      </c>
      <c r="Q1360" s="37">
        <f>IFERROR(Tabela3[[#This Row],[Realizado]]*Tabela3[[#This Row],[Peso Util/Pç]],0)</f>
        <v>17.099999999999998</v>
      </c>
      <c r="R1360" s="37">
        <f>IFERROR(Tabela3[[#This Row],[Peso Total Galho]]*Tabela3[[#This Row],[Qtde Cx Produzida]]*1.055,0)</f>
        <v>32.700780000000002</v>
      </c>
      <c r="S1360" s="37">
        <f>(Tabela3[[#This Row],[Aluminio Bruto]]-Tabela3[[#This Row],[Aluminio Util]])*0.9</f>
        <v>14.040702000000003</v>
      </c>
      <c r="T1360" s="37">
        <f>Tabela3[[#This Row],[Aluminio Bruto]]/OleoKGAluminio</f>
        <v>13.757175864297679</v>
      </c>
      <c r="U1360" s="76">
        <f>IFERROR((VLOOKUP(Tabela3[[#This Row],[Moldador]],Tabela1[],5,)+(VLOOKUP(Tabela3[[#This Row],[Ajudante]],Tabela1[],5,))*3.5),0)</f>
        <v>99.95034583333333</v>
      </c>
      <c r="V1360" s="76">
        <f>IFERROR(Tabela3[[#This Row],[Custo M.O. / H]]/((Tabela3[[#This Row],[Realizado]]/Tabela3[[#This Row],[Qdt Peça Placa]])/Tabela3[[#This Row],[Tempo]]/24),)</f>
        <v>8.6068353356481495</v>
      </c>
      <c r="W1360" s="76">
        <f>Tabela3[[#This Row],[Custo / Cx Moldada]]*Tabela3[[#This Row],[Qtde Cx Produzida]]</f>
        <v>103.28202402777779</v>
      </c>
      <c r="X1360" s="76">
        <f ca="1">Tabela3[[#This Row],[Aluminio Util]]*Tabela3[[#This Row],[Custo/Kg]]</f>
        <v>266.76</v>
      </c>
      <c r="Y1360" s="76">
        <f>IFERROR(VLOOKUP(Tabela3[[#This Row],[Data]],Tabela461213[],2,1)*(Tabela3[[#This Row],[Qtde Cx Produzida]]*Tabela3[[#This Row],[Qde macho / CX]]*Tabela3[[#This Row],[Peso Macho]]),)</f>
        <v>0</v>
      </c>
      <c r="Z1360" s="76">
        <f>IFERROR(Tabela3[[#This Row],[Qtde Oleo]]*(VLOOKUP(Tabela3[[#This Row],[Data]],CompraOleo[],3,TRUE))*1.05,0)</f>
        <v>36.112586643781405</v>
      </c>
      <c r="AA1360" s="47">
        <f ca="1">(Tabela3[[#This Row],[Custo Oleo]]+Tabela3[[#This Row],[Custo Aluminio]]+Tabela3[[#This Row],[Custo M.O. Total]]+Tabela3[[#This Row],[Custo Machos]])</f>
        <v>406.15461067155923</v>
      </c>
      <c r="AB1360" s="47">
        <f ca="1">Tabela3[[#This Row],[Custo Total]]*Tabela3[[#This Row],[% Perda]]</f>
        <v>0</v>
      </c>
      <c r="AC1360" s="78">
        <f>IFERROR(VLOOKUP(Tabela3[[#This Row],[Produto]],Tabela2[],2,0),0)</f>
        <v>3</v>
      </c>
      <c r="AD1360" s="48">
        <f>IFERROR(VLOOKUP(Tabela3[[#This Row],[Produto]],Tabela2[],3,0),0)</f>
        <v>0.47499999999999998</v>
      </c>
      <c r="AE1360" s="48">
        <f>IFERROR(VLOOKUP(Tabela3[[#This Row],[Produto]],Tabela2[],4,0),0)</f>
        <v>2.5830000000000002</v>
      </c>
      <c r="AF1360" s="48">
        <f>IFERROR(VLOOKUP(Tabela3[[#This Row],[Produto]],Tabela2[],5,0),0)</f>
        <v>1.0422000000000005</v>
      </c>
      <c r="AG1360" s="48">
        <f>IFERROR(VLOOKUP(Tabela3[[#This Row],[Produto]],Tabela2[],6,0),0)</f>
        <v>0</v>
      </c>
      <c r="AH1360" s="78">
        <f>IFERROR(VLOOKUP(Tabela3[[#This Row],[Produto]],Tabela2[],7,0),0)</f>
        <v>0</v>
      </c>
      <c r="AI1360" s="78">
        <f>IFERROR(VLOOKUP(Tabela3[[#This Row],[Produto]],Tabela2[],8,0),0)</f>
        <v>0</v>
      </c>
      <c r="AJ1360" s="35">
        <f ca="1">IFERROR(VLOOKUP(Tabela3[[#This Row],[Produto]],Tabela2[],13,0),0)</f>
        <v>15.600000000000001</v>
      </c>
      <c r="AK1360" s="48" t="str">
        <f>IFERROR(VLOOKUP(Tabela3[[#This Row],[Produto]],Tabela2[],14,0),0)</f>
        <v>Senun</v>
      </c>
      <c r="AL1360" s="78">
        <f>IFERROR(VLOOKUP(Tabela3[[#This Row],[Produto]],Tabela2[],15,0),0)</f>
        <v>6</v>
      </c>
      <c r="AM1360" s="79">
        <f ca="1">(Tabela3[[#This Row],[Custo Usinagem]]+Tabela3[[#This Row],[Custo / Pç]])*1.2</f>
        <v>20.738487022385307</v>
      </c>
      <c r="AN1360" s="36">
        <f ca="1">Tabela3[[#This Row],[Valor Mínimo Venda]]*1.15</f>
        <v>23.8492600757431</v>
      </c>
      <c r="AO1360" s="36">
        <f ca="1">Tabela3[[#This Row],[Tabela 1]]*1.08</f>
        <v>25.75720088180255</v>
      </c>
      <c r="AP1360" s="79">
        <f ca="1">Tabela3[[#This Row],[Tabela 2]]*1.15</f>
        <v>29.620781014072932</v>
      </c>
    </row>
    <row r="1361" spans="1:42">
      <c r="A1361" s="9">
        <v>46192</v>
      </c>
      <c r="B1361" s="9" t="s">
        <v>155</v>
      </c>
      <c r="C1361" s="14">
        <v>9950</v>
      </c>
      <c r="D1361" s="6" t="s">
        <v>46</v>
      </c>
      <c r="E1361" s="6" t="s">
        <v>50</v>
      </c>
      <c r="F1361" s="75">
        <v>16</v>
      </c>
      <c r="G1361" s="15">
        <v>6.3194444444444442E-2</v>
      </c>
      <c r="H1361" s="16"/>
      <c r="I1361" s="35">
        <f ca="1">IFERROR(Tabela3[[#This Row],[Custo Total]]/Tabela3[[#This Row],[Aluminio Util]],0)</f>
        <v>26.771339645999269</v>
      </c>
      <c r="J1361" s="76">
        <f ca="1">Tabela3[[#This Row],[Custo Total]]/Tabela3[[#This Row],[Realizado]]</f>
        <v>6.9605483079598098</v>
      </c>
      <c r="K1361" s="37">
        <f>IFERROR(Tabela3[[#This Row],[Qtde Cx Produzida]]/Tabela3[[#This Row],[Tempo]]/24,0)</f>
        <v>10.549450549450549</v>
      </c>
      <c r="L1361" s="37">
        <f>Tabela3[[#This Row],[Qtde Cx Produzida]]*Tabela3[[#This Row],[Qdt Peça Placa]]</f>
        <v>64</v>
      </c>
      <c r="M1361" s="37">
        <f>Tabela3[[#This Row],[Previsto]]-Tabela3[[#This Row],[Perda Pçs]]</f>
        <v>64</v>
      </c>
      <c r="N1361" s="38">
        <f>IFERROR(Tabela3[[#This Row],[Perda Pçs]]/Tabela3[[#This Row],[Previsto]],0)</f>
        <v>0</v>
      </c>
      <c r="O1361" s="39">
        <f>IFERROR(IF(Tabela3[[#This Row],[Qtde Cx Produzida]] &lt;&gt; 0, Tabela3[[#This Row],[Tempo]] / Tabela3[[#This Row],[Qtde Cx Produzida]], 0),0)</f>
        <v>3.9496527777777776E-3</v>
      </c>
      <c r="P1361" s="77">
        <f>IFERROR(Tabela3[[#This Row],[Perda Pçs]]/Tabela3[[#This Row],[Qdt Peça Placa]],0)</f>
        <v>0</v>
      </c>
      <c r="Q1361" s="37">
        <f>IFERROR(Tabela3[[#This Row],[Realizado]]*Tabela3[[#This Row],[Peso Util/Pç]],0)</f>
        <v>16.64</v>
      </c>
      <c r="R1361" s="37">
        <f>IFERROR(Tabela3[[#This Row],[Peso Total Galho]]*Tabela3[[#This Row],[Qtde Cx Produzida]]*1.055,0)</f>
        <v>31.059200000000001</v>
      </c>
      <c r="S1361" s="37">
        <f>(Tabela3[[#This Row],[Aluminio Bruto]]-Tabela3[[#This Row],[Aluminio Util]])*0.9</f>
        <v>12.97728</v>
      </c>
      <c r="T1361" s="37">
        <f>Tabela3[[#This Row],[Aluminio Bruto]]/OleoKGAluminio</f>
        <v>13.066565280840226</v>
      </c>
      <c r="U1361" s="76">
        <f>IFERROR((VLOOKUP(Tabela3[[#This Row],[Moldador]],Tabela1[],5,)+(VLOOKUP(Tabela3[[#This Row],[Ajudante]],Tabela1[],5,))*3.5),0)</f>
        <v>99.95034583333333</v>
      </c>
      <c r="V1361" s="76">
        <f>IFERROR(Tabela3[[#This Row],[Custo M.O. / H]]/((Tabela3[[#This Row],[Realizado]]/Tabela3[[#This Row],[Qdt Peça Placa]])/Tabela3[[#This Row],[Tempo]]/24),)</f>
        <v>9.4744598654513883</v>
      </c>
      <c r="W1361" s="76">
        <f>Tabela3[[#This Row],[Custo / Cx Moldada]]*Tabela3[[#This Row],[Qtde Cx Produzida]]</f>
        <v>151.59135784722221</v>
      </c>
      <c r="X1361" s="76">
        <f ca="1">Tabela3[[#This Row],[Aluminio Util]]*Tabela3[[#This Row],[Custo/Kg]]</f>
        <v>259.58400000000006</v>
      </c>
      <c r="Y1361" s="76">
        <f>IFERROR(VLOOKUP(Tabela3[[#This Row],[Data]],Tabela461213[],2,1)*(Tabela3[[#This Row],[Qtde Cx Produzida]]*Tabela3[[#This Row],[Qde macho / CX]]*Tabela3[[#This Row],[Peso Macho]]),)</f>
        <v>0</v>
      </c>
      <c r="Z1361" s="76">
        <f>IFERROR(Tabela3[[#This Row],[Qtde Oleo]]*(VLOOKUP(Tabela3[[#This Row],[Data]],CompraOleo[],3,TRUE))*1.05,0)</f>
        <v>34.299733862205592</v>
      </c>
      <c r="AA1361" s="47">
        <f ca="1">(Tabela3[[#This Row],[Custo Oleo]]+Tabela3[[#This Row],[Custo Aluminio]]+Tabela3[[#This Row],[Custo M.O. Total]]+Tabela3[[#This Row],[Custo Machos]])</f>
        <v>445.47509170942783</v>
      </c>
      <c r="AB1361" s="47">
        <f ca="1">Tabela3[[#This Row],[Custo Total]]*Tabela3[[#This Row],[% Perda]]</f>
        <v>0</v>
      </c>
      <c r="AC1361" s="78">
        <f>IFERROR(VLOOKUP(Tabela3[[#This Row],[Produto]],Tabela2[],2,0),0)</f>
        <v>4</v>
      </c>
      <c r="AD1361" s="48">
        <f>IFERROR(VLOOKUP(Tabela3[[#This Row],[Produto]],Tabela2[],3,0),0)</f>
        <v>0.26</v>
      </c>
      <c r="AE1361" s="48">
        <f>IFERROR(VLOOKUP(Tabela3[[#This Row],[Produto]],Tabela2[],4,0),0)</f>
        <v>1.84</v>
      </c>
      <c r="AF1361" s="48">
        <f>IFERROR(VLOOKUP(Tabela3[[#This Row],[Produto]],Tabela2[],5,0),0)</f>
        <v>0.72000000000000008</v>
      </c>
      <c r="AG1361" s="48">
        <f>IFERROR(VLOOKUP(Tabela3[[#This Row],[Produto]],Tabela2[],6,0),0)</f>
        <v>0</v>
      </c>
      <c r="AH1361" s="78">
        <f>IFERROR(VLOOKUP(Tabela3[[#This Row],[Produto]],Tabela2[],7,0),0)</f>
        <v>0</v>
      </c>
      <c r="AI1361" s="78">
        <f>IFERROR(VLOOKUP(Tabela3[[#This Row],[Produto]],Tabela2[],8,0),0)</f>
        <v>0</v>
      </c>
      <c r="AJ1361" s="35">
        <f ca="1">IFERROR(VLOOKUP(Tabela3[[#This Row],[Produto]],Tabela2[],13,0),0)</f>
        <v>15.600000000000001</v>
      </c>
      <c r="AK1361" s="48" t="str">
        <f>IFERROR(VLOOKUP(Tabela3[[#This Row],[Produto]],Tabela2[],14,0),0)</f>
        <v>Senun</v>
      </c>
      <c r="AL1361" s="78">
        <f>IFERROR(VLOOKUP(Tabela3[[#This Row],[Produto]],Tabela2[],15,0),0)</f>
        <v>0</v>
      </c>
      <c r="AM1361" s="79">
        <f ca="1">(Tabela3[[#This Row],[Custo Usinagem]]+Tabela3[[#This Row],[Custo / Pç]])*1.2</f>
        <v>8.3526579695517711</v>
      </c>
      <c r="AN1361" s="36">
        <f ca="1">Tabela3[[#This Row],[Valor Mínimo Venda]]*1.15</f>
        <v>9.6055566649845368</v>
      </c>
      <c r="AO1361" s="36">
        <f ca="1">Tabela3[[#This Row],[Tabela 1]]*1.08</f>
        <v>10.374001198183301</v>
      </c>
      <c r="AP1361" s="79">
        <f ca="1">Tabela3[[#This Row],[Tabela 2]]*1.15</f>
        <v>11.930101377910795</v>
      </c>
    </row>
    <row r="1362" spans="1:42">
      <c r="A1362" s="9">
        <v>46192</v>
      </c>
      <c r="B1362" s="9" t="s">
        <v>225</v>
      </c>
      <c r="C1362" s="14">
        <v>9948</v>
      </c>
      <c r="D1362" s="6" t="s">
        <v>44</v>
      </c>
      <c r="E1362" s="6" t="s">
        <v>47</v>
      </c>
      <c r="F1362" s="75">
        <v>13</v>
      </c>
      <c r="G1362" s="15">
        <v>5.8333333333333334E-2</v>
      </c>
      <c r="H1362" s="16">
        <v>0</v>
      </c>
      <c r="I1362" s="35">
        <f ca="1">IFERROR(Tabela3[[#This Row],[Custo Total]]/Tabela3[[#This Row],[Aluminio Util]],0)</f>
        <v>29.361544997496139</v>
      </c>
      <c r="J1362" s="76">
        <f ca="1">Tabela3[[#This Row],[Custo Total]]/Tabela3[[#This Row],[Realizado]]</f>
        <v>6.7531553494241132</v>
      </c>
      <c r="K1362" s="37">
        <f>IFERROR(Tabela3[[#This Row],[Qtde Cx Produzida]]/Tabela3[[#This Row],[Tempo]]/24,0)</f>
        <v>9.2857142857142865</v>
      </c>
      <c r="L1362" s="37">
        <f>Tabela3[[#This Row],[Qtde Cx Produzida]]*Tabela3[[#This Row],[Qdt Peça Placa]]</f>
        <v>52</v>
      </c>
      <c r="M1362" s="37">
        <f>Tabela3[[#This Row],[Previsto]]-Tabela3[[#This Row],[Perda Pçs]]</f>
        <v>52</v>
      </c>
      <c r="N1362" s="38">
        <f>IFERROR(Tabela3[[#This Row],[Perda Pçs]]/Tabela3[[#This Row],[Previsto]],0)</f>
        <v>0</v>
      </c>
      <c r="O1362" s="39">
        <f>IFERROR(IF(Tabela3[[#This Row],[Qtde Cx Produzida]] &lt;&gt; 0, Tabela3[[#This Row],[Tempo]] / Tabela3[[#This Row],[Qtde Cx Produzida]], 0),0)</f>
        <v>4.4871794871794869E-3</v>
      </c>
      <c r="P1362" s="77">
        <f>IFERROR(Tabela3[[#This Row],[Perda Pçs]]/Tabela3[[#This Row],[Qdt Peça Placa]],0)</f>
        <v>0</v>
      </c>
      <c r="Q1362" s="37">
        <f>IFERROR(Tabela3[[#This Row],[Realizado]]*Tabela3[[#This Row],[Peso Util/Pç]],0)</f>
        <v>11.96</v>
      </c>
      <c r="R1362" s="37">
        <f>IFERROR(Tabela3[[#This Row],[Peso Total Galho]]*Tabela3[[#This Row],[Qtde Cx Produzida]]*1.055,0)</f>
        <v>22.328019999999995</v>
      </c>
      <c r="S1362" s="37">
        <f>(Tabela3[[#This Row],[Aluminio Bruto]]-Tabela3[[#This Row],[Aluminio Util]])*0.9</f>
        <v>9.3312179999999945</v>
      </c>
      <c r="T1362" s="37">
        <f>Tabela3[[#This Row],[Aluminio Bruto]]/OleoKGAluminio</f>
        <v>9.3933691441475027</v>
      </c>
      <c r="U1362" s="76">
        <f>IFERROR((VLOOKUP(Tabela3[[#This Row],[Moldador]],Tabela1[],5,)+(VLOOKUP(Tabela3[[#This Row],[Ajudante]],Tabela1[],5,))*3.5),0)</f>
        <v>99.95034583333333</v>
      </c>
      <c r="V1362" s="76">
        <f>IFERROR(Tabela3[[#This Row],[Custo M.O. / H]]/((Tabela3[[#This Row],[Realizado]]/Tabela3[[#This Row],[Qdt Peça Placa]])/Tabela3[[#This Row],[Tempo]]/24),)</f>
        <v>10.763883397435896</v>
      </c>
      <c r="W1362" s="76">
        <f>Tabela3[[#This Row],[Custo / Cx Moldada]]*Tabela3[[#This Row],[Qtde Cx Produzida]]</f>
        <v>139.93048416666664</v>
      </c>
      <c r="X1362" s="76">
        <f ca="1">Tabela3[[#This Row],[Aluminio Util]]*Tabela3[[#This Row],[Custo/Kg]]</f>
        <v>186.57600000000002</v>
      </c>
      <c r="Y1362" s="76">
        <f>IFERROR(VLOOKUP(Tabela3[[#This Row],[Data]],Tabela461213[],2,1)*(Tabela3[[#This Row],[Qtde Cx Produzida]]*Tabela3[[#This Row],[Qde macho / CX]]*Tabela3[[#This Row],[Peso Macho]]),)</f>
        <v>0</v>
      </c>
      <c r="Z1362" s="76">
        <f>IFERROR(Tabela3[[#This Row],[Qtde Oleo]]*(VLOOKUP(Tabela3[[#This Row],[Data]],CompraOleo[],3,TRUE))*1.05,0)</f>
        <v>24.657594003387192</v>
      </c>
      <c r="AA1362" s="47">
        <f ca="1">(Tabela3[[#This Row],[Custo Oleo]]+Tabela3[[#This Row],[Custo Aluminio]]+Tabela3[[#This Row],[Custo M.O. Total]]+Tabela3[[#This Row],[Custo Machos]])</f>
        <v>351.16407817005387</v>
      </c>
      <c r="AB1362" s="47">
        <f ca="1">Tabela3[[#This Row],[Custo Total]]*Tabela3[[#This Row],[% Perda]]</f>
        <v>0</v>
      </c>
      <c r="AC1362" s="78">
        <f>IFERROR(VLOOKUP(Tabela3[[#This Row],[Produto]],Tabela2[],2,0),0)</f>
        <v>4</v>
      </c>
      <c r="AD1362" s="48">
        <f>IFERROR(VLOOKUP(Tabela3[[#This Row],[Produto]],Tabela2[],3,0),0)</f>
        <v>0.23</v>
      </c>
      <c r="AE1362" s="48">
        <f>IFERROR(VLOOKUP(Tabela3[[#This Row],[Produto]],Tabela2[],4,0),0)</f>
        <v>1.6279999999999999</v>
      </c>
      <c r="AF1362" s="48">
        <f>IFERROR(VLOOKUP(Tabela3[[#This Row],[Produto]],Tabela2[],5,0),0)</f>
        <v>0.63719999999999988</v>
      </c>
      <c r="AG1362" s="48">
        <f>IFERROR(VLOOKUP(Tabela3[[#This Row],[Produto]],Tabela2[],6,0),0)</f>
        <v>0</v>
      </c>
      <c r="AH1362" s="78">
        <f>IFERROR(VLOOKUP(Tabela3[[#This Row],[Produto]],Tabela2[],7,0),0)</f>
        <v>0</v>
      </c>
      <c r="AI1362" s="78">
        <f>IFERROR(VLOOKUP(Tabela3[[#This Row],[Produto]],Tabela2[],8,0),0)</f>
        <v>0</v>
      </c>
      <c r="AJ1362" s="35">
        <f ca="1">IFERROR(VLOOKUP(Tabela3[[#This Row],[Produto]],Tabela2[],13,0),0)</f>
        <v>15.600000000000001</v>
      </c>
      <c r="AK1362" s="48" t="str">
        <f>IFERROR(VLOOKUP(Tabela3[[#This Row],[Produto]],Tabela2[],14,0),0)</f>
        <v>Senun</v>
      </c>
      <c r="AL1362" s="78">
        <f>IFERROR(VLOOKUP(Tabela3[[#This Row],[Produto]],Tabela2[],15,0),0)</f>
        <v>4</v>
      </c>
      <c r="AM1362" s="79">
        <f ca="1">(Tabela3[[#This Row],[Custo Usinagem]]+Tabela3[[#This Row],[Custo / Pç]])*1.2</f>
        <v>12.903786419308934</v>
      </c>
      <c r="AN1362" s="36">
        <f ca="1">Tabela3[[#This Row],[Valor Mínimo Venda]]*1.15</f>
        <v>14.839354382205274</v>
      </c>
      <c r="AO1362" s="36">
        <f ca="1">Tabela3[[#This Row],[Tabela 1]]*1.08</f>
        <v>16.026502732781697</v>
      </c>
      <c r="AP1362" s="79">
        <f ca="1">Tabela3[[#This Row],[Tabela 2]]*1.15</f>
        <v>18.430478142698952</v>
      </c>
    </row>
    <row r="1363" spans="1:42">
      <c r="A1363" s="9">
        <v>46192</v>
      </c>
      <c r="B1363" s="9" t="s">
        <v>277</v>
      </c>
      <c r="C1363" s="14">
        <v>9951</v>
      </c>
      <c r="D1363" s="6" t="s">
        <v>46</v>
      </c>
      <c r="E1363" s="6" t="s">
        <v>50</v>
      </c>
      <c r="F1363" s="75">
        <v>7</v>
      </c>
      <c r="G1363" s="15">
        <v>2.7083333333333334E-2</v>
      </c>
      <c r="H1363" s="16">
        <v>0</v>
      </c>
      <c r="I1363" s="35">
        <f ca="1">IFERROR(Tabela3[[#This Row],[Custo Total]]/Tabela3[[#This Row],[Aluminio Util]],0)</f>
        <v>28.712775469624606</v>
      </c>
      <c r="J1363" s="76">
        <f ca="1">Tabela3[[#This Row],[Custo Total]]/Tabela3[[#This Row],[Realizado]]</f>
        <v>4.0197885657474455</v>
      </c>
      <c r="K1363" s="37">
        <f>IFERROR(Tabela3[[#This Row],[Qtde Cx Produzida]]/Tabela3[[#This Row],[Tempo]]/24,0)</f>
        <v>10.769230769230768</v>
      </c>
      <c r="L1363" s="37">
        <f>Tabela3[[#This Row],[Qtde Cx Produzida]]*Tabela3[[#This Row],[Qdt Peça Placa]]</f>
        <v>42</v>
      </c>
      <c r="M1363" s="37">
        <f>Tabela3[[#This Row],[Previsto]]-Tabela3[[#This Row],[Perda Pçs]]</f>
        <v>42</v>
      </c>
      <c r="N1363" s="38">
        <f>IFERROR(Tabela3[[#This Row],[Perda Pçs]]/Tabela3[[#This Row],[Previsto]],0)</f>
        <v>0</v>
      </c>
      <c r="O1363" s="39">
        <f>IFERROR(IF(Tabela3[[#This Row],[Qtde Cx Produzida]] &lt;&gt; 0, Tabela3[[#This Row],[Tempo]] / Tabela3[[#This Row],[Qtde Cx Produzida]], 0),0)</f>
        <v>3.8690476190476192E-3</v>
      </c>
      <c r="P1363" s="77">
        <f>IFERROR(Tabela3[[#This Row],[Perda Pçs]]/Tabela3[[#This Row],[Qdt Peça Placa]],0)</f>
        <v>0</v>
      </c>
      <c r="Q1363" s="37">
        <f>IFERROR(Tabela3[[#This Row],[Realizado]]*Tabela3[[#This Row],[Peso Util/Pç]],0)</f>
        <v>5.8800000000000008</v>
      </c>
      <c r="R1363" s="37">
        <f>IFERROR(Tabela3[[#This Row],[Peso Total Galho]]*Tabela3[[#This Row],[Qtde Cx Produzida]]*1.055,0)</f>
        <v>10.98888</v>
      </c>
      <c r="S1363" s="37">
        <f>(Tabela3[[#This Row],[Aluminio Bruto]]-Tabela3[[#This Row],[Aluminio Util]])*0.9</f>
        <v>4.5979919999999996</v>
      </c>
      <c r="T1363" s="37">
        <f>Tabela3[[#This Row],[Aluminio Bruto]]/OleoKGAluminio</f>
        <v>4.6230076075146664</v>
      </c>
      <c r="U1363" s="76">
        <f>IFERROR((VLOOKUP(Tabela3[[#This Row],[Moldador]],Tabela1[],5,)+(VLOOKUP(Tabela3[[#This Row],[Ajudante]],Tabela1[],5,))*3.5),0)</f>
        <v>99.95034583333333</v>
      </c>
      <c r="V1363" s="76">
        <f>IFERROR(Tabela3[[#This Row],[Custo M.O. / H]]/((Tabela3[[#This Row],[Realizado]]/Tabela3[[#This Row],[Qdt Peça Placa]])/Tabela3[[#This Row],[Tempo]]/24),)</f>
        <v>9.281103541666667</v>
      </c>
      <c r="W1363" s="76">
        <f>Tabela3[[#This Row],[Custo / Cx Moldada]]*Tabela3[[#This Row],[Qtde Cx Produzida]]</f>
        <v>64.967724791666669</v>
      </c>
      <c r="X1363" s="76">
        <f ca="1">Tabela3[[#This Row],[Aluminio Util]]*Tabela3[[#This Row],[Custo/Kg]]</f>
        <v>91.728000000000023</v>
      </c>
      <c r="Y1363" s="76">
        <f>IFERROR(VLOOKUP(Tabela3[[#This Row],[Data]],Tabela461213[],2,1)*(Tabela3[[#This Row],[Qtde Cx Produzida]]*Tabela3[[#This Row],[Qde macho / CX]]*Tabela3[[#This Row],[Peso Macho]]),)</f>
        <v>0</v>
      </c>
      <c r="Z1363" s="76">
        <f>IFERROR(Tabela3[[#This Row],[Qtde Oleo]]*(VLOOKUP(Tabela3[[#This Row],[Data]],CompraOleo[],3,TRUE))*1.05,0)</f>
        <v>12.135394969725999</v>
      </c>
      <c r="AA1363" s="47">
        <f ca="1">(Tabela3[[#This Row],[Custo Oleo]]+Tabela3[[#This Row],[Custo Aluminio]]+Tabela3[[#This Row],[Custo M.O. Total]]+Tabela3[[#This Row],[Custo Machos]])</f>
        <v>168.8311197613927</v>
      </c>
      <c r="AB1363" s="47">
        <f ca="1">Tabela3[[#This Row],[Custo Total]]*Tabela3[[#This Row],[% Perda]]</f>
        <v>0</v>
      </c>
      <c r="AC1363" s="78">
        <f>IFERROR(VLOOKUP(Tabela3[[#This Row],[Produto]],Tabela2[],2,0),0)</f>
        <v>6</v>
      </c>
      <c r="AD1363" s="48">
        <f>IFERROR(VLOOKUP(Tabela3[[#This Row],[Produto]],Tabela2[],3,0),0)</f>
        <v>0.14000000000000001</v>
      </c>
      <c r="AE1363" s="48">
        <f>IFERROR(VLOOKUP(Tabela3[[#This Row],[Produto]],Tabela2[],4,0),0)</f>
        <v>1.488</v>
      </c>
      <c r="AF1363" s="48">
        <f>IFERROR(VLOOKUP(Tabela3[[#This Row],[Produto]],Tabela2[],5,0),0)</f>
        <v>0.58319999999999994</v>
      </c>
      <c r="AG1363" s="48">
        <f>IFERROR(VLOOKUP(Tabela3[[#This Row],[Produto]],Tabela2[],6,0),0)</f>
        <v>0</v>
      </c>
      <c r="AH1363" s="78">
        <f>IFERROR(VLOOKUP(Tabela3[[#This Row],[Produto]],Tabela2[],7,0),0)</f>
        <v>0</v>
      </c>
      <c r="AI1363" s="78">
        <f>IFERROR(VLOOKUP(Tabela3[[#This Row],[Produto]],Tabela2[],8,0),0)</f>
        <v>0</v>
      </c>
      <c r="AJ1363" s="35">
        <f ca="1">IFERROR(VLOOKUP(Tabela3[[#This Row],[Produto]],Tabela2[],13,0),0)</f>
        <v>15.600000000000001</v>
      </c>
      <c r="AK1363" s="48" t="str">
        <f>IFERROR(VLOOKUP(Tabela3[[#This Row],[Produto]],Tabela2[],14,0),0)</f>
        <v>Senun</v>
      </c>
      <c r="AL1363" s="78">
        <f>IFERROR(VLOOKUP(Tabela3[[#This Row],[Produto]],Tabela2[],15,0),0)</f>
        <v>0</v>
      </c>
      <c r="AM1363" s="79">
        <f ca="1">(Tabela3[[#This Row],[Custo Usinagem]]+Tabela3[[#This Row],[Custo / Pç]])*1.2</f>
        <v>4.8237462788969347</v>
      </c>
      <c r="AN1363" s="36">
        <f ca="1">Tabela3[[#This Row],[Valor Mínimo Venda]]*1.15</f>
        <v>5.5473082207314741</v>
      </c>
      <c r="AO1363" s="36">
        <f ca="1">Tabela3[[#This Row],[Tabela 1]]*1.08</f>
        <v>5.9910928783899928</v>
      </c>
      <c r="AP1363" s="79">
        <f ca="1">Tabela3[[#This Row],[Tabela 2]]*1.15</f>
        <v>6.8897568101484916</v>
      </c>
    </row>
    <row r="1364" spans="1:42">
      <c r="A1364" s="9">
        <v>46192</v>
      </c>
      <c r="B1364" s="9" t="s">
        <v>236</v>
      </c>
      <c r="C1364" s="14">
        <v>9935</v>
      </c>
      <c r="D1364" s="6" t="s">
        <v>46</v>
      </c>
      <c r="E1364" s="6" t="s">
        <v>44</v>
      </c>
      <c r="F1364" s="75">
        <v>16</v>
      </c>
      <c r="G1364" s="15">
        <v>8.2638888888888887E-2</v>
      </c>
      <c r="H1364" s="16">
        <v>0</v>
      </c>
      <c r="I1364" s="35">
        <f ca="1">IFERROR(Tabela3[[#This Row],[Custo Total]]/Tabela3[[#This Row],[Aluminio Util]],0)</f>
        <v>25.60976823575519</v>
      </c>
      <c r="J1364" s="76">
        <f ca="1">Tabela3[[#This Row],[Custo Total]]/Tabela3[[#This Row],[Realizado]]</f>
        <v>7.7341500071980667</v>
      </c>
      <c r="K1364" s="37">
        <f>IFERROR(Tabela3[[#This Row],[Qtde Cx Produzida]]/Tabela3[[#This Row],[Tempo]]/24,0)</f>
        <v>8.0672268907563023</v>
      </c>
      <c r="L1364" s="37">
        <f>Tabela3[[#This Row],[Qtde Cx Produzida]]*Tabela3[[#This Row],[Qdt Peça Placa]]</f>
        <v>96</v>
      </c>
      <c r="M1364" s="37">
        <f>Tabela3[[#This Row],[Previsto]]-Tabela3[[#This Row],[Perda Pçs]]</f>
        <v>96</v>
      </c>
      <c r="N1364" s="38">
        <f>IFERROR(Tabela3[[#This Row],[Perda Pçs]]/Tabela3[[#This Row],[Previsto]],0)</f>
        <v>0</v>
      </c>
      <c r="O1364" s="39">
        <f>IFERROR(IF(Tabela3[[#This Row],[Qtde Cx Produzida]] &lt;&gt; 0, Tabela3[[#This Row],[Tempo]] / Tabela3[[#This Row],[Qtde Cx Produzida]], 0),0)</f>
        <v>5.1649305555555554E-3</v>
      </c>
      <c r="P1364" s="77">
        <f>IFERROR(Tabela3[[#This Row],[Perda Pçs]]/Tabela3[[#This Row],[Qdt Peça Placa]],0)</f>
        <v>0</v>
      </c>
      <c r="Q1364" s="37">
        <f>IFERROR(Tabela3[[#This Row],[Realizado]]*Tabela3[[#This Row],[Peso Util/Pç]],0)</f>
        <v>28.991999999999997</v>
      </c>
      <c r="R1364" s="37">
        <f>IFERROR(Tabela3[[#This Row],[Peso Total Galho]]*Tabela3[[#This Row],[Qtde Cx Produzida]]*1.055,0)</f>
        <v>36.325760000000002</v>
      </c>
      <c r="S1364" s="37">
        <f>(Tabela3[[#This Row],[Aluminio Bruto]]-Tabela3[[#This Row],[Aluminio Util]])*0.9</f>
        <v>6.6003840000000045</v>
      </c>
      <c r="T1364" s="37">
        <f>Tabela3[[#This Row],[Aluminio Bruto]]/OleoKGAluminio</f>
        <v>15.282200263243569</v>
      </c>
      <c r="U1364" s="76">
        <f>IFERROR((VLOOKUP(Tabela3[[#This Row],[Moldador]],Tabela1[],5,)+(VLOOKUP(Tabela3[[#This Row],[Ajudante]],Tabela1[],5,))*3.5),0)</f>
        <v>126.0945</v>
      </c>
      <c r="V1364" s="76">
        <f>IFERROR(Tabela3[[#This Row],[Custo M.O. / H]]/((Tabela3[[#This Row],[Realizado]]/Tabela3[[#This Row],[Qdt Peça Placa]])/Tabela3[[#This Row],[Tempo]]/24),)</f>
        <v>15.6304640625</v>
      </c>
      <c r="W1364" s="76">
        <f>Tabela3[[#This Row],[Custo / Cx Moldada]]*Tabela3[[#This Row],[Qtde Cx Produzida]]</f>
        <v>250.087425</v>
      </c>
      <c r="X1364" s="76">
        <f ca="1">Tabela3[[#This Row],[Aluminio Util]]*Tabela3[[#This Row],[Custo/Kg]]</f>
        <v>452.27519999999998</v>
      </c>
      <c r="Y1364" s="76">
        <f>IFERROR(VLOOKUP(Tabela3[[#This Row],[Data]],Tabela461213[],2,1)*(Tabela3[[#This Row],[Qtde Cx Produzida]]*Tabela3[[#This Row],[Qde macho / CX]]*Tabela3[[#This Row],[Peso Macho]]),)</f>
        <v>0</v>
      </c>
      <c r="Z1364" s="76">
        <f>IFERROR(Tabela3[[#This Row],[Qtde Oleo]]*(VLOOKUP(Tabela3[[#This Row],[Data]],CompraOleo[],3,TRUE))*1.05,0)</f>
        <v>40.11577569101437</v>
      </c>
      <c r="AA1364" s="47">
        <f ca="1">(Tabela3[[#This Row],[Custo Oleo]]+Tabela3[[#This Row],[Custo Aluminio]]+Tabela3[[#This Row],[Custo M.O. Total]]+Tabela3[[#This Row],[Custo Machos]])</f>
        <v>742.47840069101437</v>
      </c>
      <c r="AB1364" s="47">
        <f ca="1">Tabela3[[#This Row],[Custo Total]]*Tabela3[[#This Row],[% Perda]]</f>
        <v>0</v>
      </c>
      <c r="AC1364" s="78">
        <f>IFERROR(VLOOKUP(Tabela3[[#This Row],[Produto]],Tabela2[],2,0),0)</f>
        <v>6</v>
      </c>
      <c r="AD1364" s="48">
        <f>IFERROR(VLOOKUP(Tabela3[[#This Row],[Produto]],Tabela2[],3,0),0)</f>
        <v>0.30199999999999999</v>
      </c>
      <c r="AE1364" s="48">
        <f>IFERROR(VLOOKUP(Tabela3[[#This Row],[Produto]],Tabela2[],4,0),0)</f>
        <v>2.1520000000000001</v>
      </c>
      <c r="AF1364" s="48">
        <f>IFERROR(VLOOKUP(Tabela3[[#This Row],[Produto]],Tabela2[],5,0),0)</f>
        <v>0.30600000000000027</v>
      </c>
      <c r="AG1364" s="48">
        <f>IFERROR(VLOOKUP(Tabela3[[#This Row],[Produto]],Tabela2[],6,0),0)</f>
        <v>0</v>
      </c>
      <c r="AH1364" s="78">
        <f>IFERROR(VLOOKUP(Tabela3[[#This Row],[Produto]],Tabela2[],7,0),0)</f>
        <v>0</v>
      </c>
      <c r="AI1364" s="78">
        <f>IFERROR(VLOOKUP(Tabela3[[#This Row],[Produto]],Tabela2[],8,0),0)</f>
        <v>0</v>
      </c>
      <c r="AJ1364" s="35">
        <f ca="1">IFERROR(VLOOKUP(Tabela3[[#This Row],[Produto]],Tabela2[],13,0),0)</f>
        <v>15.600000000000001</v>
      </c>
      <c r="AK1364" s="48" t="str">
        <f>IFERROR(VLOOKUP(Tabela3[[#This Row],[Produto]],Tabela2[],14,0),0)</f>
        <v>Senun</v>
      </c>
      <c r="AL1364" s="78">
        <f>IFERROR(VLOOKUP(Tabela3[[#This Row],[Produto]],Tabela2[],15,0),0)</f>
        <v>4</v>
      </c>
      <c r="AM1364" s="79">
        <f ca="1">(Tabela3[[#This Row],[Custo Usinagem]]+Tabela3[[#This Row],[Custo / Pç]])*1.2</f>
        <v>14.080980008637681</v>
      </c>
      <c r="AN1364" s="36">
        <f ca="1">Tabela3[[#This Row],[Valor Mínimo Venda]]*1.15</f>
        <v>16.193127009933331</v>
      </c>
      <c r="AO1364" s="36">
        <f ca="1">Tabela3[[#This Row],[Tabela 1]]*1.08</f>
        <v>17.488577170728</v>
      </c>
      <c r="AP1364" s="79">
        <f ca="1">Tabela3[[#This Row],[Tabela 2]]*1.15</f>
        <v>20.1118637463372</v>
      </c>
    </row>
    <row r="1365" spans="1:42">
      <c r="A1365" s="9">
        <v>46192</v>
      </c>
      <c r="B1365" s="9" t="s">
        <v>84</v>
      </c>
      <c r="C1365" s="14">
        <v>9958</v>
      </c>
      <c r="D1365" s="6" t="s">
        <v>44</v>
      </c>
      <c r="E1365" s="6" t="s">
        <v>47</v>
      </c>
      <c r="F1365" s="75">
        <v>5</v>
      </c>
      <c r="G1365" s="15">
        <v>2.361111111111111E-2</v>
      </c>
      <c r="H1365" s="16">
        <v>0</v>
      </c>
      <c r="I1365" s="35">
        <f ca="1">IFERROR(Tabela3[[#This Row],[Custo Total]]/Tabela3[[#This Row],[Aluminio Util]],0)</f>
        <v>34.575163063807103</v>
      </c>
      <c r="J1365" s="76">
        <f ca="1">Tabela3[[#This Row],[Custo Total]]/Tabela3[[#This Row],[Realizado]]</f>
        <v>6.396405166804314</v>
      </c>
      <c r="K1365" s="37">
        <f>IFERROR(Tabela3[[#This Row],[Qtde Cx Produzida]]/Tabela3[[#This Row],[Tempo]]/24,0)</f>
        <v>8.8235294117647065</v>
      </c>
      <c r="L1365" s="37">
        <f>Tabela3[[#This Row],[Qtde Cx Produzida]]*Tabela3[[#This Row],[Qdt Peça Placa]]</f>
        <v>20</v>
      </c>
      <c r="M1365" s="37">
        <f>Tabela3[[#This Row],[Previsto]]-Tabela3[[#This Row],[Perda Pçs]]</f>
        <v>20</v>
      </c>
      <c r="N1365" s="38">
        <f>IFERROR(Tabela3[[#This Row],[Perda Pçs]]/Tabela3[[#This Row],[Previsto]],0)</f>
        <v>0</v>
      </c>
      <c r="O1365" s="39">
        <f>IFERROR(IF(Tabela3[[#This Row],[Qtde Cx Produzida]] &lt;&gt; 0, Tabela3[[#This Row],[Tempo]] / Tabela3[[#This Row],[Qtde Cx Produzida]], 0),0)</f>
        <v>4.7222222222222223E-3</v>
      </c>
      <c r="P1365" s="77">
        <f>IFERROR(Tabela3[[#This Row],[Perda Pçs]]/Tabela3[[#This Row],[Qdt Peça Placa]],0)</f>
        <v>0</v>
      </c>
      <c r="Q1365" s="37">
        <f>IFERROR(Tabela3[[#This Row],[Realizado]]*Tabela3[[#This Row],[Peso Util/Pç]],0)</f>
        <v>3.7</v>
      </c>
      <c r="R1365" s="37">
        <f>IFERROR(Tabela3[[#This Row],[Peso Total Galho]]*Tabela3[[#This Row],[Qtde Cx Produzida]]*1.055,0)</f>
        <v>6.8996999999999993</v>
      </c>
      <c r="S1365" s="37">
        <f>(Tabela3[[#This Row],[Aluminio Bruto]]-Tabela3[[#This Row],[Aluminio Util]])*0.9</f>
        <v>2.8797299999999995</v>
      </c>
      <c r="T1365" s="37">
        <f>Tabela3[[#This Row],[Aluminio Bruto]]/OleoKGAluminio</f>
        <v>2.9026948687736094</v>
      </c>
      <c r="U1365" s="76">
        <f>IFERROR((VLOOKUP(Tabela3[[#This Row],[Moldador]],Tabela1[],5,)+(VLOOKUP(Tabela3[[#This Row],[Ajudante]],Tabela1[],5,))*3.5),0)</f>
        <v>99.95034583333333</v>
      </c>
      <c r="V1365" s="76">
        <f>IFERROR(Tabela3[[#This Row],[Custo M.O. / H]]/((Tabela3[[#This Row],[Realizado]]/Tabela3[[#This Row],[Qdt Peça Placa]])/Tabela3[[#This Row],[Tempo]]/24),)</f>
        <v>11.327705861111109</v>
      </c>
      <c r="W1365" s="76">
        <f>Tabela3[[#This Row],[Custo / Cx Moldada]]*Tabela3[[#This Row],[Qtde Cx Produzida]]</f>
        <v>56.638529305555551</v>
      </c>
      <c r="X1365" s="76">
        <f ca="1">Tabela3[[#This Row],[Aluminio Util]]*Tabela3[[#This Row],[Custo/Kg]]</f>
        <v>57.720000000000006</v>
      </c>
      <c r="Y1365" s="76">
        <f>IFERROR(VLOOKUP(Tabela3[[#This Row],[Data]],Tabela461213[],2,1)*(Tabela3[[#This Row],[Qtde Cx Produzida]]*Tabela3[[#This Row],[Qde macho / CX]]*Tabela3[[#This Row],[Peso Macho]]),)</f>
        <v>5.95</v>
      </c>
      <c r="Z1365" s="76">
        <f>IFERROR(Tabela3[[#This Row],[Qtde Oleo]]*(VLOOKUP(Tabela3[[#This Row],[Data]],CompraOleo[],3,TRUE))*1.05,0)</f>
        <v>7.6195740305307256</v>
      </c>
      <c r="AA1365" s="47">
        <f ca="1">(Tabela3[[#This Row],[Custo Oleo]]+Tabela3[[#This Row],[Custo Aluminio]]+Tabela3[[#This Row],[Custo M.O. Total]]+Tabela3[[#This Row],[Custo Machos]])</f>
        <v>127.92810333608628</v>
      </c>
      <c r="AB1365" s="47">
        <f ca="1">Tabela3[[#This Row],[Custo Total]]*Tabela3[[#This Row],[% Perda]]</f>
        <v>0</v>
      </c>
      <c r="AC1365" s="78">
        <f>IFERROR(VLOOKUP(Tabela3[[#This Row],[Produto]],Tabela2[],2,0),0)</f>
        <v>4</v>
      </c>
      <c r="AD1365" s="48">
        <f>IFERROR(VLOOKUP(Tabela3[[#This Row],[Produto]],Tabela2[],3,0),0)</f>
        <v>0.185</v>
      </c>
      <c r="AE1365" s="48">
        <f>IFERROR(VLOOKUP(Tabela3[[#This Row],[Produto]],Tabela2[],4,0),0)</f>
        <v>1.3080000000000001</v>
      </c>
      <c r="AF1365" s="48">
        <f>IFERROR(VLOOKUP(Tabela3[[#This Row],[Produto]],Tabela2[],5,0),0)</f>
        <v>0.5112000000000001</v>
      </c>
      <c r="AG1365" s="48">
        <f>IFERROR(VLOOKUP(Tabela3[[#This Row],[Produto]],Tabela2[],6,0),0)</f>
        <v>0</v>
      </c>
      <c r="AH1365" s="78">
        <f>IFERROR(VLOOKUP(Tabela3[[#This Row],[Produto]],Tabela2[],7,0),0)</f>
        <v>4</v>
      </c>
      <c r="AI1365" s="78">
        <f>IFERROR(VLOOKUP(Tabela3[[#This Row],[Produto]],Tabela2[],8,0),0)</f>
        <v>0.17499999999999999</v>
      </c>
      <c r="AJ1365" s="35">
        <f ca="1">IFERROR(VLOOKUP(Tabela3[[#This Row],[Produto]],Tabela2[],13,0),0)</f>
        <v>15.600000000000001</v>
      </c>
      <c r="AK1365" s="48" t="str">
        <f>IFERROR(VLOOKUP(Tabela3[[#This Row],[Produto]],Tabela2[],14,0),0)</f>
        <v>Jumil</v>
      </c>
      <c r="AL1365" s="78">
        <f>IFERROR(VLOOKUP(Tabela3[[#This Row],[Produto]],Tabela2[],15,0),0)</f>
        <v>1</v>
      </c>
      <c r="AM1365" s="79">
        <f ca="1">(Tabela3[[#This Row],[Custo Usinagem]]+Tabela3[[#This Row],[Custo / Pç]])*1.2</f>
        <v>8.8756862001651768</v>
      </c>
      <c r="AN1365" s="36">
        <f ca="1">Tabela3[[#This Row],[Valor Mínimo Venda]]*1.15</f>
        <v>10.207039130189953</v>
      </c>
      <c r="AO1365" s="36">
        <f ca="1">Tabela3[[#This Row],[Tabela 1]]*1.08</f>
        <v>11.02360226060515</v>
      </c>
      <c r="AP1365" s="79">
        <f ca="1">Tabela3[[#This Row],[Tabela 2]]*1.15</f>
        <v>12.677142599695921</v>
      </c>
    </row>
    <row r="1366" spans="1:42">
      <c r="A1366" s="9">
        <v>46195</v>
      </c>
      <c r="B1366" s="9" t="s">
        <v>236</v>
      </c>
      <c r="C1366" s="14">
        <v>9935</v>
      </c>
      <c r="D1366" s="6" t="s">
        <v>46</v>
      </c>
      <c r="E1366" s="6" t="s">
        <v>50</v>
      </c>
      <c r="F1366" s="75">
        <v>43</v>
      </c>
      <c r="G1366" s="15">
        <v>0.25624999999999998</v>
      </c>
      <c r="H1366" s="16">
        <v>0</v>
      </c>
      <c r="I1366" s="35">
        <f ca="1">IFERROR(Tabela3[[#This Row],[Custo Total]]/Tabela3[[#This Row],[Aluminio Util]],0)</f>
        <v>24.872880718268409</v>
      </c>
      <c r="J1366" s="76">
        <f ca="1">Tabela3[[#This Row],[Custo Total]]/Tabela3[[#This Row],[Realizado]]</f>
        <v>7.5116099769170592</v>
      </c>
      <c r="K1366" s="37">
        <f>IFERROR(Tabela3[[#This Row],[Qtde Cx Produzida]]/Tabela3[[#This Row],[Tempo]]/24,0)</f>
        <v>6.9918699186991873</v>
      </c>
      <c r="L1366" s="37">
        <f>Tabela3[[#This Row],[Qtde Cx Produzida]]*Tabela3[[#This Row],[Qdt Peça Placa]]</f>
        <v>258</v>
      </c>
      <c r="M1366" s="37">
        <f>Tabela3[[#This Row],[Previsto]]-Tabela3[[#This Row],[Perda Pçs]]</f>
        <v>258</v>
      </c>
      <c r="N1366" s="38">
        <f>IFERROR(Tabela3[[#This Row],[Perda Pçs]]/Tabela3[[#This Row],[Previsto]],0)</f>
        <v>0</v>
      </c>
      <c r="O1366" s="39">
        <f>IFERROR(IF(Tabela3[[#This Row],[Qtde Cx Produzida]] &lt;&gt; 0, Tabela3[[#This Row],[Tempo]] / Tabela3[[#This Row],[Qtde Cx Produzida]], 0),0)</f>
        <v>5.9593023255813948E-3</v>
      </c>
      <c r="P1366" s="77">
        <f>IFERROR(Tabela3[[#This Row],[Perda Pçs]]/Tabela3[[#This Row],[Qdt Peça Placa]],0)</f>
        <v>0</v>
      </c>
      <c r="Q1366" s="37">
        <f>IFERROR(Tabela3[[#This Row],[Realizado]]*Tabela3[[#This Row],[Peso Util/Pç]],0)</f>
        <v>77.915999999999997</v>
      </c>
      <c r="R1366" s="37">
        <f>IFERROR(Tabela3[[#This Row],[Peso Total Galho]]*Tabela3[[#This Row],[Qtde Cx Produzida]]*1.055,0)</f>
        <v>97.625479999999996</v>
      </c>
      <c r="S1366" s="37">
        <f>(Tabela3[[#This Row],[Aluminio Bruto]]-Tabela3[[#This Row],[Aluminio Util]])*0.9</f>
        <v>17.738531999999999</v>
      </c>
      <c r="T1366" s="37">
        <f>Tabela3[[#This Row],[Aluminio Bruto]]/OleoKGAluminio</f>
        <v>41.070913207467086</v>
      </c>
      <c r="U1366" s="76">
        <f>IFERROR((VLOOKUP(Tabela3[[#This Row],[Moldador]],Tabela1[],5,)+(VLOOKUP(Tabela3[[#This Row],[Ajudante]],Tabela1[],5,))*3.5),0)</f>
        <v>99.95034583333333</v>
      </c>
      <c r="V1366" s="76">
        <f>IFERROR(Tabela3[[#This Row],[Custo M.O. / H]]/((Tabela3[[#This Row],[Realizado]]/Tabela3[[#This Row],[Qdt Peça Placa]])/Tabela3[[#This Row],[Tempo]]/24),)</f>
        <v>14.295223880813952</v>
      </c>
      <c r="W1366" s="76">
        <f>Tabela3[[#This Row],[Custo / Cx Moldada]]*Tabela3[[#This Row],[Qtde Cx Produzida]]</f>
        <v>614.69462687499993</v>
      </c>
      <c r="X1366" s="76">
        <f ca="1">Tabela3[[#This Row],[Aluminio Util]]*Tabela3[[#This Row],[Custo/Kg]]</f>
        <v>1215.4896000000001</v>
      </c>
      <c r="Y1366" s="76">
        <f>IFERROR(VLOOKUP(Tabela3[[#This Row],[Data]],Tabela461213[],2,1)*(Tabela3[[#This Row],[Qtde Cx Produzida]]*Tabela3[[#This Row],[Qde macho / CX]]*Tabela3[[#This Row],[Peso Macho]]),)</f>
        <v>0</v>
      </c>
      <c r="Z1366" s="76">
        <f>IFERROR(Tabela3[[#This Row],[Qtde Oleo]]*(VLOOKUP(Tabela3[[#This Row],[Data]],CompraOleo[],3,TRUE))*1.05,0)</f>
        <v>107.8111471696011</v>
      </c>
      <c r="AA1366" s="47">
        <f ca="1">(Tabela3[[#This Row],[Custo Oleo]]+Tabela3[[#This Row],[Custo Aluminio]]+Tabela3[[#This Row],[Custo M.O. Total]]+Tabela3[[#This Row],[Custo Machos]])</f>
        <v>1937.9953740446012</v>
      </c>
      <c r="AB1366" s="47">
        <f ca="1">Tabela3[[#This Row],[Custo Total]]*Tabela3[[#This Row],[% Perda]]</f>
        <v>0</v>
      </c>
      <c r="AC1366" s="78">
        <f>IFERROR(VLOOKUP(Tabela3[[#This Row],[Produto]],Tabela2[],2,0),0)</f>
        <v>6</v>
      </c>
      <c r="AD1366" s="48">
        <f>IFERROR(VLOOKUP(Tabela3[[#This Row],[Produto]],Tabela2[],3,0),0)</f>
        <v>0.30199999999999999</v>
      </c>
      <c r="AE1366" s="48">
        <f>IFERROR(VLOOKUP(Tabela3[[#This Row],[Produto]],Tabela2[],4,0),0)</f>
        <v>2.1520000000000001</v>
      </c>
      <c r="AF1366" s="48">
        <f>IFERROR(VLOOKUP(Tabela3[[#This Row],[Produto]],Tabela2[],5,0),0)</f>
        <v>0.30600000000000027</v>
      </c>
      <c r="AG1366" s="48">
        <f>IFERROR(VLOOKUP(Tabela3[[#This Row],[Produto]],Tabela2[],6,0),0)</f>
        <v>0</v>
      </c>
      <c r="AH1366" s="78">
        <f>IFERROR(VLOOKUP(Tabela3[[#This Row],[Produto]],Tabela2[],7,0),0)</f>
        <v>0</v>
      </c>
      <c r="AI1366" s="78">
        <f>IFERROR(VLOOKUP(Tabela3[[#This Row],[Produto]],Tabela2[],8,0),0)</f>
        <v>0</v>
      </c>
      <c r="AJ1366" s="35">
        <f ca="1">IFERROR(VLOOKUP(Tabela3[[#This Row],[Produto]],Tabela2[],13,0),0)</f>
        <v>15.600000000000001</v>
      </c>
      <c r="AK1366" s="48" t="str">
        <f>IFERROR(VLOOKUP(Tabela3[[#This Row],[Produto]],Tabela2[],14,0),0)</f>
        <v>Senun</v>
      </c>
      <c r="AL1366" s="78">
        <f>IFERROR(VLOOKUP(Tabela3[[#This Row],[Produto]],Tabela2[],15,0),0)</f>
        <v>4</v>
      </c>
      <c r="AM1366" s="79">
        <f ca="1">(Tabela3[[#This Row],[Custo Usinagem]]+Tabela3[[#This Row],[Custo / Pç]])*1.2</f>
        <v>13.813931972300471</v>
      </c>
      <c r="AN1366" s="36">
        <f ca="1">Tabela3[[#This Row],[Valor Mínimo Venda]]*1.15</f>
        <v>15.886021768145541</v>
      </c>
      <c r="AO1366" s="36">
        <f ca="1">Tabela3[[#This Row],[Tabela 1]]*1.08</f>
        <v>17.156903509597186</v>
      </c>
      <c r="AP1366" s="79">
        <f ca="1">Tabela3[[#This Row],[Tabela 2]]*1.15</f>
        <v>19.730439036036763</v>
      </c>
    </row>
    <row r="1367" spans="1:42">
      <c r="A1367" s="9">
        <v>46195</v>
      </c>
      <c r="B1367" s="9" t="s">
        <v>75</v>
      </c>
      <c r="C1367" s="14">
        <v>9962</v>
      </c>
      <c r="D1367" s="6" t="s">
        <v>44</v>
      </c>
      <c r="E1367" s="6" t="s">
        <v>47</v>
      </c>
      <c r="F1367" s="75">
        <v>10</v>
      </c>
      <c r="G1367" s="15">
        <v>4.1666666666666664E-2</v>
      </c>
      <c r="H1367" s="16">
        <v>0</v>
      </c>
      <c r="I1367" s="35">
        <f ca="1">IFERROR(Tabela3[[#This Row],[Custo Total]]/Tabela3[[#This Row],[Aluminio Util]],0)</f>
        <v>0</v>
      </c>
      <c r="J1367" s="76">
        <f ca="1">Tabela3[[#This Row],[Custo Total]]/Tabela3[[#This Row],[Realizado]]</f>
        <v>4.9975172916666661</v>
      </c>
      <c r="K1367" s="37">
        <f>IFERROR(Tabela3[[#This Row],[Qtde Cx Produzida]]/Tabela3[[#This Row],[Tempo]]/24,0)</f>
        <v>10</v>
      </c>
      <c r="L1367" s="37">
        <f>Tabela3[[#This Row],[Qtde Cx Produzida]]*Tabela3[[#This Row],[Qdt Peça Placa]]</f>
        <v>20</v>
      </c>
      <c r="M1367" s="37">
        <f>Tabela3[[#This Row],[Previsto]]-Tabela3[[#This Row],[Perda Pçs]]</f>
        <v>20</v>
      </c>
      <c r="N1367" s="38">
        <f>IFERROR(Tabela3[[#This Row],[Perda Pçs]]/Tabela3[[#This Row],[Previsto]],0)</f>
        <v>0</v>
      </c>
      <c r="O1367" s="39">
        <f>IFERROR(IF(Tabela3[[#This Row],[Qtde Cx Produzida]] &lt;&gt; 0, Tabela3[[#This Row],[Tempo]] / Tabela3[[#This Row],[Qtde Cx Produzida]], 0),0)</f>
        <v>4.1666666666666666E-3</v>
      </c>
      <c r="P1367" s="77">
        <f>IFERROR(Tabela3[[#This Row],[Perda Pçs]]/Tabela3[[#This Row],[Qdt Peça Placa]],0)</f>
        <v>0</v>
      </c>
      <c r="Q1367" s="37">
        <f>IFERROR(Tabela3[[#This Row],[Realizado]]*Tabela3[[#This Row],[Peso Util/Pç]],0)</f>
        <v>0</v>
      </c>
      <c r="R1367" s="37">
        <f>IFERROR(Tabela3[[#This Row],[Peso Total Galho]]*Tabela3[[#This Row],[Qtde Cx Produzida]]*1.055,0)</f>
        <v>0</v>
      </c>
      <c r="S1367" s="37">
        <f>(Tabela3[[#This Row],[Aluminio Bruto]]-Tabela3[[#This Row],[Aluminio Util]])*0.9</f>
        <v>0</v>
      </c>
      <c r="T1367" s="37">
        <f>Tabela3[[#This Row],[Aluminio Bruto]]/OleoKGAluminio</f>
        <v>0</v>
      </c>
      <c r="U1367" s="76">
        <f>IFERROR((VLOOKUP(Tabela3[[#This Row],[Moldador]],Tabela1[],5,)+(VLOOKUP(Tabela3[[#This Row],[Ajudante]],Tabela1[],5,))*3.5),0)</f>
        <v>99.95034583333333</v>
      </c>
      <c r="V1367" s="76">
        <f>IFERROR(Tabela3[[#This Row],[Custo M.O. / H]]/((Tabela3[[#This Row],[Realizado]]/Tabela3[[#This Row],[Qdt Peça Placa]])/Tabela3[[#This Row],[Tempo]]/24),)</f>
        <v>9.9950345833333323</v>
      </c>
      <c r="W1367" s="76">
        <f>Tabela3[[#This Row],[Custo / Cx Moldada]]*Tabela3[[#This Row],[Qtde Cx Produzida]]</f>
        <v>99.95034583333333</v>
      </c>
      <c r="X1367" s="76">
        <f ca="1">Tabela3[[#This Row],[Aluminio Util]]*Tabela3[[#This Row],[Custo/Kg]]</f>
        <v>0</v>
      </c>
      <c r="Y1367" s="76">
        <f>IFERROR(VLOOKUP(Tabela3[[#This Row],[Data]],Tabela461213[],2,1)*(Tabela3[[#This Row],[Qtde Cx Produzida]]*Tabela3[[#This Row],[Qde macho / CX]]*Tabela3[[#This Row],[Peso Macho]]),)</f>
        <v>0</v>
      </c>
      <c r="Z1367" s="76">
        <f>IFERROR(Tabela3[[#This Row],[Qtde Oleo]]*(VLOOKUP(Tabela3[[#This Row],[Data]],CompraOleo[],3,TRUE))*1.05,0)</f>
        <v>0</v>
      </c>
      <c r="AA1367" s="47">
        <f ca="1">(Tabela3[[#This Row],[Custo Oleo]]+Tabela3[[#This Row],[Custo Aluminio]]+Tabela3[[#This Row],[Custo M.O. Total]]+Tabela3[[#This Row],[Custo Machos]])</f>
        <v>99.95034583333333</v>
      </c>
      <c r="AB1367" s="47">
        <f ca="1">Tabela3[[#This Row],[Custo Total]]*Tabela3[[#This Row],[% Perda]]</f>
        <v>0</v>
      </c>
      <c r="AC1367" s="78">
        <f>IFERROR(VLOOKUP(Tabela3[[#This Row],[Produto]],Tabela2[],2,0),0)</f>
        <v>2</v>
      </c>
      <c r="AD1367" s="48">
        <f>IFERROR(VLOOKUP(Tabela3[[#This Row],[Produto]],Tabela2[],3,0),0)</f>
        <v>0</v>
      </c>
      <c r="AE1367" s="48">
        <f>IFERROR(VLOOKUP(Tabela3[[#This Row],[Produto]],Tabela2[],4,0),0)</f>
        <v>0</v>
      </c>
      <c r="AF1367" s="48">
        <f>IFERROR(VLOOKUP(Tabela3[[#This Row],[Produto]],Tabela2[],5,0),0)</f>
        <v>0</v>
      </c>
      <c r="AG1367" s="48">
        <f>IFERROR(VLOOKUP(Tabela3[[#This Row],[Produto]],Tabela2[],6,0),0)</f>
        <v>0</v>
      </c>
      <c r="AH1367" s="78">
        <f>IFERROR(VLOOKUP(Tabela3[[#This Row],[Produto]],Tabela2[],7,0),0)</f>
        <v>0</v>
      </c>
      <c r="AI1367" s="78">
        <f>IFERROR(VLOOKUP(Tabela3[[#This Row],[Produto]],Tabela2[],8,0),0)</f>
        <v>0</v>
      </c>
      <c r="AJ1367" s="35">
        <f ca="1">IFERROR(VLOOKUP(Tabela3[[#This Row],[Produto]],Tabela2[],13,0),0)</f>
        <v>15.600000000000001</v>
      </c>
      <c r="AK1367" s="48" t="str">
        <f>IFERROR(VLOOKUP(Tabela3[[#This Row],[Produto]],Tabela2[],14,0),0)</f>
        <v>Jumil</v>
      </c>
      <c r="AL1367" s="78">
        <f>IFERROR(VLOOKUP(Tabela3[[#This Row],[Produto]],Tabela2[],15,0),0)</f>
        <v>3</v>
      </c>
      <c r="AM1367" s="79">
        <f ca="1">(Tabela3[[#This Row],[Custo Usinagem]]+Tabela3[[#This Row],[Custo / Pç]])*1.2</f>
        <v>9.5970207499999987</v>
      </c>
      <c r="AN1367" s="36">
        <f ca="1">Tabela3[[#This Row],[Valor Mínimo Venda]]*1.15</f>
        <v>11.036573862499997</v>
      </c>
      <c r="AO1367" s="36">
        <f ca="1">Tabela3[[#This Row],[Tabela 1]]*1.08</f>
        <v>11.919499771499998</v>
      </c>
      <c r="AP1367" s="79">
        <f ca="1">Tabela3[[#This Row],[Tabela 2]]*1.15</f>
        <v>13.707424737224997</v>
      </c>
    </row>
    <row r="1368" spans="1:42">
      <c r="A1368" s="9">
        <v>46195</v>
      </c>
      <c r="B1368" s="9" t="s">
        <v>238</v>
      </c>
      <c r="C1368" s="14">
        <v>9959</v>
      </c>
      <c r="D1368" s="6" t="s">
        <v>44</v>
      </c>
      <c r="E1368" s="6" t="s">
        <v>47</v>
      </c>
      <c r="F1368" s="75">
        <v>10</v>
      </c>
      <c r="G1368" s="15">
        <v>5.8333333333333334E-2</v>
      </c>
      <c r="H1368" s="16">
        <v>0</v>
      </c>
      <c r="I1368" s="35">
        <f ca="1">IFERROR(Tabela3[[#This Row],[Custo Total]]/Tabela3[[#This Row],[Aluminio Util]],0)</f>
        <v>23.330352801621814</v>
      </c>
      <c r="J1368" s="76">
        <f ca="1">Tabela3[[#This Row],[Custo Total]]/Tabela3[[#This Row],[Realizado]]</f>
        <v>8.562239478195206</v>
      </c>
      <c r="K1368" s="37">
        <f>IFERROR(Tabela3[[#This Row],[Qtde Cx Produzida]]/Tabela3[[#This Row],[Tempo]]/24,0)</f>
        <v>7.1428571428571423</v>
      </c>
      <c r="L1368" s="37">
        <f>Tabela3[[#This Row],[Qtde Cx Produzida]]*Tabela3[[#This Row],[Qdt Peça Placa]]</f>
        <v>60</v>
      </c>
      <c r="M1368" s="37">
        <f>Tabela3[[#This Row],[Previsto]]-Tabela3[[#This Row],[Perda Pçs]]</f>
        <v>60</v>
      </c>
      <c r="N1368" s="38">
        <f>IFERROR(Tabela3[[#This Row],[Perda Pçs]]/Tabela3[[#This Row],[Previsto]],0)</f>
        <v>0</v>
      </c>
      <c r="O1368" s="39">
        <f>IFERROR(IF(Tabela3[[#This Row],[Qtde Cx Produzida]] &lt;&gt; 0, Tabela3[[#This Row],[Tempo]] / Tabela3[[#This Row],[Qtde Cx Produzida]], 0),0)</f>
        <v>5.8333333333333336E-3</v>
      </c>
      <c r="P1368" s="77">
        <f>IFERROR(Tabela3[[#This Row],[Perda Pçs]]/Tabela3[[#This Row],[Qdt Peça Placa]],0)</f>
        <v>0</v>
      </c>
      <c r="Q1368" s="37">
        <f>IFERROR(Tabela3[[#This Row],[Realizado]]*Tabela3[[#This Row],[Peso Util/Pç]],0)</f>
        <v>22.02</v>
      </c>
      <c r="R1368" s="37">
        <f>IFERROR(Tabela3[[#This Row],[Peso Total Galho]]*Tabela3[[#This Row],[Qtde Cx Produzida]]*1.055,0)</f>
        <v>27.43</v>
      </c>
      <c r="S1368" s="37">
        <f>(Tabela3[[#This Row],[Aluminio Bruto]]-Tabela3[[#This Row],[Aluminio Util]])*0.9</f>
        <v>4.8690000000000007</v>
      </c>
      <c r="T1368" s="37">
        <f>Tabela3[[#This Row],[Aluminio Bruto]]/OleoKGAluminio</f>
        <v>11.539765533350742</v>
      </c>
      <c r="U1368" s="76">
        <f>IFERROR((VLOOKUP(Tabela3[[#This Row],[Moldador]],Tabela1[],5,)+(VLOOKUP(Tabela3[[#This Row],[Ajudante]],Tabela1[],5,))*3.5),0)</f>
        <v>99.95034583333333</v>
      </c>
      <c r="V1368" s="76">
        <f>IFERROR(Tabela3[[#This Row],[Custo M.O. / H]]/((Tabela3[[#This Row],[Realizado]]/Tabela3[[#This Row],[Qdt Peça Placa]])/Tabela3[[#This Row],[Tempo]]/24),)</f>
        <v>13.993048416666667</v>
      </c>
      <c r="W1368" s="76">
        <f>Tabela3[[#This Row],[Custo / Cx Moldada]]*Tabela3[[#This Row],[Qtde Cx Produzida]]</f>
        <v>139.93048416666667</v>
      </c>
      <c r="X1368" s="76">
        <f ca="1">Tabela3[[#This Row],[Aluminio Util]]*Tabela3[[#This Row],[Custo/Kg]]</f>
        <v>343.512</v>
      </c>
      <c r="Y1368" s="76">
        <f>IFERROR(VLOOKUP(Tabela3[[#This Row],[Data]],Tabela461213[],2,1)*(Tabela3[[#This Row],[Qtde Cx Produzida]]*Tabela3[[#This Row],[Qde macho / CX]]*Tabela3[[#This Row],[Peso Macho]]),)</f>
        <v>0</v>
      </c>
      <c r="Z1368" s="76">
        <f>IFERROR(Tabela3[[#This Row],[Qtde Oleo]]*(VLOOKUP(Tabela3[[#This Row],[Data]],CompraOleo[],3,TRUE))*1.05,0)</f>
        <v>30.291884525045703</v>
      </c>
      <c r="AA1368" s="47">
        <f ca="1">(Tabela3[[#This Row],[Custo Oleo]]+Tabela3[[#This Row],[Custo Aluminio]]+Tabela3[[#This Row],[Custo M.O. Total]]+Tabela3[[#This Row],[Custo Machos]])</f>
        <v>513.73436869171235</v>
      </c>
      <c r="AB1368" s="47">
        <f ca="1">Tabela3[[#This Row],[Custo Total]]*Tabela3[[#This Row],[% Perda]]</f>
        <v>0</v>
      </c>
      <c r="AC1368" s="78">
        <f>IFERROR(VLOOKUP(Tabela3[[#This Row],[Produto]],Tabela2[],2,0),0)</f>
        <v>6</v>
      </c>
      <c r="AD1368" s="48">
        <f>IFERROR(VLOOKUP(Tabela3[[#This Row],[Produto]],Tabela2[],3,0),0)</f>
        <v>0.36699999999999999</v>
      </c>
      <c r="AE1368" s="48">
        <f>IFERROR(VLOOKUP(Tabela3[[#This Row],[Produto]],Tabela2[],4,0),0)</f>
        <v>2.6</v>
      </c>
      <c r="AF1368" s="48">
        <f>IFERROR(VLOOKUP(Tabela3[[#This Row],[Produto]],Tabela2[],5,0),0)</f>
        <v>0.35820000000000013</v>
      </c>
      <c r="AG1368" s="48">
        <f>IFERROR(VLOOKUP(Tabela3[[#This Row],[Produto]],Tabela2[],6,0),0)</f>
        <v>0</v>
      </c>
      <c r="AH1368" s="78">
        <f>IFERROR(VLOOKUP(Tabela3[[#This Row],[Produto]],Tabela2[],7,0),0)</f>
        <v>0</v>
      </c>
      <c r="AI1368" s="78">
        <f>IFERROR(VLOOKUP(Tabela3[[#This Row],[Produto]],Tabela2[],8,0),0)</f>
        <v>0</v>
      </c>
      <c r="AJ1368" s="35">
        <f ca="1">IFERROR(VLOOKUP(Tabela3[[#This Row],[Produto]],Tabela2[],13,0),0)</f>
        <v>15.600000000000001</v>
      </c>
      <c r="AK1368" s="48" t="str">
        <f>IFERROR(VLOOKUP(Tabela3[[#This Row],[Produto]],Tabela2[],14,0),0)</f>
        <v>Senun</v>
      </c>
      <c r="AL1368" s="78">
        <f>IFERROR(VLOOKUP(Tabela3[[#This Row],[Produto]],Tabela2[],15,0),0)</f>
        <v>4</v>
      </c>
      <c r="AM1368" s="79">
        <f ca="1">(Tabela3[[#This Row],[Custo Usinagem]]+Tabela3[[#This Row],[Custo / Pç]])*1.2</f>
        <v>15.074687373834246</v>
      </c>
      <c r="AN1368" s="36">
        <f ca="1">Tabela3[[#This Row],[Valor Mínimo Venda]]*1.15</f>
        <v>17.335890479909381</v>
      </c>
      <c r="AO1368" s="36">
        <f ca="1">Tabela3[[#This Row],[Tabela 1]]*1.08</f>
        <v>18.722761718302131</v>
      </c>
      <c r="AP1368" s="79">
        <f ca="1">Tabela3[[#This Row],[Tabela 2]]*1.15</f>
        <v>21.53117597604745</v>
      </c>
    </row>
    <row r="1369" spans="1:42">
      <c r="A1369" s="9">
        <v>46195</v>
      </c>
      <c r="B1369" s="9" t="s">
        <v>158</v>
      </c>
      <c r="C1369" s="14">
        <v>9961</v>
      </c>
      <c r="D1369" s="6" t="s">
        <v>44</v>
      </c>
      <c r="E1369" s="6" t="s">
        <v>47</v>
      </c>
      <c r="F1369" s="75">
        <v>3</v>
      </c>
      <c r="G1369" s="15">
        <v>2.0833333333333332E-2</v>
      </c>
      <c r="H1369" s="16">
        <v>0</v>
      </c>
      <c r="I1369" s="35">
        <f ca="1">IFERROR(Tabela3[[#This Row],[Custo Total]]/Tabela3[[#This Row],[Aluminio Util]],0)</f>
        <v>21.619142475885067</v>
      </c>
      <c r="J1369" s="76">
        <f ca="1">Tabela3[[#This Row],[Custo Total]]/Tabela3[[#This Row],[Realizado]]</f>
        <v>32.428713713827598</v>
      </c>
      <c r="K1369" s="37">
        <f>IFERROR(Tabela3[[#This Row],[Qtde Cx Produzida]]/Tabela3[[#This Row],[Tempo]]/24,0)</f>
        <v>6</v>
      </c>
      <c r="L1369" s="37">
        <f>Tabela3[[#This Row],[Qtde Cx Produzida]]*Tabela3[[#This Row],[Qdt Peça Placa]]</f>
        <v>12</v>
      </c>
      <c r="M1369" s="37">
        <f>Tabela3[[#This Row],[Previsto]]-Tabela3[[#This Row],[Perda Pçs]]</f>
        <v>12</v>
      </c>
      <c r="N1369" s="38">
        <f>IFERROR(Tabela3[[#This Row],[Perda Pçs]]/Tabela3[[#This Row],[Previsto]],0)</f>
        <v>0</v>
      </c>
      <c r="O1369" s="39">
        <f>IFERROR(IF(Tabela3[[#This Row],[Qtde Cx Produzida]] &lt;&gt; 0, Tabela3[[#This Row],[Tempo]] / Tabela3[[#This Row],[Qtde Cx Produzida]], 0),0)</f>
        <v>6.9444444444444441E-3</v>
      </c>
      <c r="P1369" s="77">
        <f>IFERROR(Tabela3[[#This Row],[Perda Pçs]]/Tabela3[[#This Row],[Qdt Peça Placa]],0)</f>
        <v>0</v>
      </c>
      <c r="Q1369" s="37">
        <f>IFERROR(Tabela3[[#This Row],[Realizado]]*Tabela3[[#This Row],[Peso Util/Pç]],0)</f>
        <v>18</v>
      </c>
      <c r="R1369" s="37">
        <f>IFERROR(Tabela3[[#This Row],[Peso Total Galho]]*Tabela3[[#This Row],[Qtde Cx Produzida]]*1.055,0)</f>
        <v>20.256</v>
      </c>
      <c r="S1369" s="37">
        <f>(Tabela3[[#This Row],[Aluminio Bruto]]-Tabela3[[#This Row],[Aluminio Util]])*0.9</f>
        <v>2.0304000000000002</v>
      </c>
      <c r="T1369" s="37">
        <f>Tabela3[[#This Row],[Aluminio Bruto]]/OleoKGAluminio</f>
        <v>8.5216730092436261</v>
      </c>
      <c r="U1369" s="76">
        <f>IFERROR((VLOOKUP(Tabela3[[#This Row],[Moldador]],Tabela1[],5,)+(VLOOKUP(Tabela3[[#This Row],[Ajudante]],Tabela1[],5,))*3.5),0)</f>
        <v>99.95034583333333</v>
      </c>
      <c r="V1369" s="76">
        <f>IFERROR(Tabela3[[#This Row],[Custo M.O. / H]]/((Tabela3[[#This Row],[Realizado]]/Tabela3[[#This Row],[Qdt Peça Placa]])/Tabela3[[#This Row],[Tempo]]/24),)</f>
        <v>16.658390972222222</v>
      </c>
      <c r="W1369" s="76">
        <f>Tabela3[[#This Row],[Custo / Cx Moldada]]*Tabela3[[#This Row],[Qtde Cx Produzida]]</f>
        <v>49.975172916666665</v>
      </c>
      <c r="X1369" s="76">
        <f ca="1">Tabela3[[#This Row],[Aluminio Util]]*Tabela3[[#This Row],[Custo/Kg]]</f>
        <v>316.8</v>
      </c>
      <c r="Y1369" s="76">
        <f>IFERROR(VLOOKUP(Tabela3[[#This Row],[Data]],Tabela461213[],2,1)*(Tabela3[[#This Row],[Qtde Cx Produzida]]*Tabela3[[#This Row],[Qde macho / CX]]*Tabela3[[#This Row],[Peso Macho]]),)</f>
        <v>0</v>
      </c>
      <c r="Z1369" s="76">
        <f>IFERROR(Tabela3[[#This Row],[Qtde Oleo]]*(VLOOKUP(Tabela3[[#This Row],[Data]],CompraOleo[],3,TRUE))*1.05,0)</f>
        <v>22.369391649264522</v>
      </c>
      <c r="AA1369" s="47">
        <f ca="1">(Tabela3[[#This Row],[Custo Oleo]]+Tabela3[[#This Row],[Custo Aluminio]]+Tabela3[[#This Row],[Custo M.O. Total]]+Tabela3[[#This Row],[Custo Machos]])</f>
        <v>389.1445645659312</v>
      </c>
      <c r="AB1369" s="47">
        <f ca="1">Tabela3[[#This Row],[Custo Total]]*Tabela3[[#This Row],[% Perda]]</f>
        <v>0</v>
      </c>
      <c r="AC1369" s="78">
        <f>IFERROR(VLOOKUP(Tabela3[[#This Row],[Produto]],Tabela2[],2,0),0)</f>
        <v>4</v>
      </c>
      <c r="AD1369" s="48">
        <f>IFERROR(VLOOKUP(Tabela3[[#This Row],[Produto]],Tabela2[],3,0),0)</f>
        <v>1.5</v>
      </c>
      <c r="AE1369" s="48">
        <f>IFERROR(VLOOKUP(Tabela3[[#This Row],[Produto]],Tabela2[],4,0),0)</f>
        <v>6.4</v>
      </c>
      <c r="AF1369" s="48">
        <f>IFERROR(VLOOKUP(Tabela3[[#This Row],[Produto]],Tabela2[],5,0),0)</f>
        <v>0.36000000000000032</v>
      </c>
      <c r="AG1369" s="48">
        <f>IFERROR(VLOOKUP(Tabela3[[#This Row],[Produto]],Tabela2[],6,0),0)</f>
        <v>0</v>
      </c>
      <c r="AH1369" s="78">
        <f>IFERROR(VLOOKUP(Tabela3[[#This Row],[Produto]],Tabela2[],7,0),0)</f>
        <v>0</v>
      </c>
      <c r="AI1369" s="78">
        <f>IFERROR(VLOOKUP(Tabela3[[#This Row],[Produto]],Tabela2[],8,0),0)</f>
        <v>0</v>
      </c>
      <c r="AJ1369" s="35">
        <f ca="1">IFERROR(VLOOKUP(Tabela3[[#This Row],[Produto]],Tabela2[],13,0),0)</f>
        <v>17.600000000000001</v>
      </c>
      <c r="AK1369" s="48" t="str">
        <f>IFERROR(VLOOKUP(Tabela3[[#This Row],[Produto]],Tabela2[],14,0),0)</f>
        <v>Danilo</v>
      </c>
      <c r="AL1369" s="78">
        <f>IFERROR(VLOOKUP(Tabela3[[#This Row],[Produto]],Tabela2[],15,0),0)</f>
        <v>0</v>
      </c>
      <c r="AM1369" s="79">
        <f ca="1">(Tabela3[[#This Row],[Custo Usinagem]]+Tabela3[[#This Row],[Custo / Pç]])*1.2</f>
        <v>38.914456456593115</v>
      </c>
      <c r="AN1369" s="36">
        <f ca="1">Tabela3[[#This Row],[Valor Mínimo Venda]]*1.15</f>
        <v>44.751624925082076</v>
      </c>
      <c r="AO1369" s="36">
        <f ca="1">Tabela3[[#This Row],[Tabela 1]]*1.08</f>
        <v>48.331754919088645</v>
      </c>
      <c r="AP1369" s="79">
        <f ca="1">Tabela3[[#This Row],[Tabela 2]]*1.15</f>
        <v>55.581518156951937</v>
      </c>
    </row>
    <row r="1370" spans="1:42">
      <c r="A1370" s="9">
        <v>46195</v>
      </c>
      <c r="B1370" s="9" t="s">
        <v>236</v>
      </c>
      <c r="C1370" s="14">
        <v>9935</v>
      </c>
      <c r="D1370" s="6" t="s">
        <v>46</v>
      </c>
      <c r="E1370" s="6" t="s">
        <v>44</v>
      </c>
      <c r="F1370" s="75">
        <v>19</v>
      </c>
      <c r="G1370" s="15">
        <v>8.8888888888888892E-2</v>
      </c>
      <c r="H1370" s="16">
        <v>0</v>
      </c>
      <c r="I1370" s="35">
        <f ca="1">IFERROR(Tabela3[[#This Row],[Custo Total]]/Tabela3[[#This Row],[Aluminio Util]],0)</f>
        <v>24.797138481267563</v>
      </c>
      <c r="J1370" s="76">
        <f ca="1">Tabela3[[#This Row],[Custo Total]]/Tabela3[[#This Row],[Realizado]]</f>
        <v>7.4887358213428028</v>
      </c>
      <c r="K1370" s="37">
        <f>IFERROR(Tabela3[[#This Row],[Qtde Cx Produzida]]/Tabela3[[#This Row],[Tempo]]/24,0)</f>
        <v>8.90625</v>
      </c>
      <c r="L1370" s="37">
        <f>Tabela3[[#This Row],[Qtde Cx Produzida]]*Tabela3[[#This Row],[Qdt Peça Placa]]</f>
        <v>114</v>
      </c>
      <c r="M1370" s="37">
        <f>Tabela3[[#This Row],[Previsto]]-Tabela3[[#This Row],[Perda Pçs]]</f>
        <v>114</v>
      </c>
      <c r="N1370" s="38">
        <f>IFERROR(Tabela3[[#This Row],[Perda Pçs]]/Tabela3[[#This Row],[Previsto]],0)</f>
        <v>0</v>
      </c>
      <c r="O1370" s="39">
        <f>IFERROR(IF(Tabela3[[#This Row],[Qtde Cx Produzida]] &lt;&gt; 0, Tabela3[[#This Row],[Tempo]] / Tabela3[[#This Row],[Qtde Cx Produzida]], 0),0)</f>
        <v>4.6783625730994153E-3</v>
      </c>
      <c r="P1370" s="77">
        <f>IFERROR(Tabela3[[#This Row],[Perda Pçs]]/Tabela3[[#This Row],[Qdt Peça Placa]],0)</f>
        <v>0</v>
      </c>
      <c r="Q1370" s="37">
        <f>IFERROR(Tabela3[[#This Row],[Realizado]]*Tabela3[[#This Row],[Peso Util/Pç]],0)</f>
        <v>34.427999999999997</v>
      </c>
      <c r="R1370" s="37">
        <f>IFERROR(Tabela3[[#This Row],[Peso Total Galho]]*Tabela3[[#This Row],[Qtde Cx Produzida]]*1.055,0)</f>
        <v>43.136840000000007</v>
      </c>
      <c r="S1370" s="37">
        <f>(Tabela3[[#This Row],[Aluminio Bruto]]-Tabela3[[#This Row],[Aluminio Util]])*0.9</f>
        <v>7.8379560000000081</v>
      </c>
      <c r="T1370" s="37">
        <f>Tabela3[[#This Row],[Aluminio Bruto]]/OleoKGAluminio</f>
        <v>18.147612812601739</v>
      </c>
      <c r="U1370" s="76">
        <f>IFERROR((VLOOKUP(Tabela3[[#This Row],[Moldador]],Tabela1[],5,)+(VLOOKUP(Tabela3[[#This Row],[Ajudante]],Tabela1[],5,))*3.5),0)</f>
        <v>126.0945</v>
      </c>
      <c r="V1370" s="76">
        <f>IFERROR(Tabela3[[#This Row],[Custo M.O. / H]]/((Tabela3[[#This Row],[Realizado]]/Tabela3[[#This Row],[Qdt Peça Placa]])/Tabela3[[#This Row],[Tempo]]/24),)</f>
        <v>14.15797894736842</v>
      </c>
      <c r="W1370" s="76">
        <f>Tabela3[[#This Row],[Custo / Cx Moldada]]*Tabela3[[#This Row],[Qtde Cx Produzida]]</f>
        <v>269.0016</v>
      </c>
      <c r="X1370" s="76">
        <f ca="1">Tabela3[[#This Row],[Aluminio Util]]*Tabela3[[#This Row],[Custo/Kg]]</f>
        <v>537.07680000000005</v>
      </c>
      <c r="Y1370" s="76">
        <f>IFERROR(VLOOKUP(Tabela3[[#This Row],[Data]],Tabela461213[],2,1)*(Tabela3[[#This Row],[Qtde Cx Produzida]]*Tabela3[[#This Row],[Qde macho / CX]]*Tabela3[[#This Row],[Peso Macho]]),)</f>
        <v>0</v>
      </c>
      <c r="Z1370" s="76">
        <f>IFERROR(Tabela3[[#This Row],[Qtde Oleo]]*(VLOOKUP(Tabela3[[#This Row],[Data]],CompraOleo[],3,TRUE))*1.05,0)</f>
        <v>47.637483633079569</v>
      </c>
      <c r="AA1370" s="47">
        <f ca="1">(Tabela3[[#This Row],[Custo Oleo]]+Tabela3[[#This Row],[Custo Aluminio]]+Tabela3[[#This Row],[Custo M.O. Total]]+Tabela3[[#This Row],[Custo Machos]])</f>
        <v>853.71588363307956</v>
      </c>
      <c r="AB1370" s="47">
        <f ca="1">Tabela3[[#This Row],[Custo Total]]*Tabela3[[#This Row],[% Perda]]</f>
        <v>0</v>
      </c>
      <c r="AC1370" s="78">
        <f>IFERROR(VLOOKUP(Tabela3[[#This Row],[Produto]],Tabela2[],2,0),0)</f>
        <v>6</v>
      </c>
      <c r="AD1370" s="48">
        <f>IFERROR(VLOOKUP(Tabela3[[#This Row],[Produto]],Tabela2[],3,0),0)</f>
        <v>0.30199999999999999</v>
      </c>
      <c r="AE1370" s="48">
        <f>IFERROR(VLOOKUP(Tabela3[[#This Row],[Produto]],Tabela2[],4,0),0)</f>
        <v>2.1520000000000001</v>
      </c>
      <c r="AF1370" s="48">
        <f>IFERROR(VLOOKUP(Tabela3[[#This Row],[Produto]],Tabela2[],5,0),0)</f>
        <v>0.30600000000000027</v>
      </c>
      <c r="AG1370" s="48">
        <f>IFERROR(VLOOKUP(Tabela3[[#This Row],[Produto]],Tabela2[],6,0),0)</f>
        <v>0</v>
      </c>
      <c r="AH1370" s="78">
        <f>IFERROR(VLOOKUP(Tabela3[[#This Row],[Produto]],Tabela2[],7,0),0)</f>
        <v>0</v>
      </c>
      <c r="AI1370" s="78">
        <f>IFERROR(VLOOKUP(Tabela3[[#This Row],[Produto]],Tabela2[],8,0),0)</f>
        <v>0</v>
      </c>
      <c r="AJ1370" s="35">
        <f ca="1">IFERROR(VLOOKUP(Tabela3[[#This Row],[Produto]],Tabela2[],13,0),0)</f>
        <v>15.600000000000001</v>
      </c>
      <c r="AK1370" s="48" t="str">
        <f>IFERROR(VLOOKUP(Tabela3[[#This Row],[Produto]],Tabela2[],14,0),0)</f>
        <v>Senun</v>
      </c>
      <c r="AL1370" s="78">
        <f>IFERROR(VLOOKUP(Tabela3[[#This Row],[Produto]],Tabela2[],15,0),0)</f>
        <v>4</v>
      </c>
      <c r="AM1370" s="79">
        <f ca="1">(Tabela3[[#This Row],[Custo Usinagem]]+Tabela3[[#This Row],[Custo / Pç]])*1.2</f>
        <v>13.786482985611364</v>
      </c>
      <c r="AN1370" s="36">
        <f ca="1">Tabela3[[#This Row],[Valor Mínimo Venda]]*1.15</f>
        <v>15.854455433453069</v>
      </c>
      <c r="AO1370" s="36">
        <f ca="1">Tabela3[[#This Row],[Tabela 1]]*1.08</f>
        <v>17.122811868129315</v>
      </c>
      <c r="AP1370" s="79">
        <f ca="1">Tabela3[[#This Row],[Tabela 2]]*1.15</f>
        <v>19.69123364834871</v>
      </c>
    </row>
    <row r="1371" spans="1:42">
      <c r="A1371" s="9">
        <v>46195</v>
      </c>
      <c r="B1371" s="9" t="s">
        <v>236</v>
      </c>
      <c r="C1371" s="14">
        <v>9935</v>
      </c>
      <c r="D1371" s="6" t="s">
        <v>44</v>
      </c>
      <c r="E1371" s="6" t="s">
        <v>47</v>
      </c>
      <c r="F1371" s="75">
        <v>11</v>
      </c>
      <c r="G1371" s="15">
        <v>6.1805555555555558E-2</v>
      </c>
      <c r="H1371" s="16">
        <v>0</v>
      </c>
      <c r="I1371" s="35">
        <f ca="1">IFERROR(Tabela3[[#This Row],[Custo Total]]/Tabela3[[#This Row],[Aluminio Util]],0)</f>
        <v>24.42195843068183</v>
      </c>
      <c r="J1371" s="76">
        <f ca="1">Tabela3[[#This Row],[Custo Total]]/Tabela3[[#This Row],[Realizado]]</f>
        <v>7.3754314460659121</v>
      </c>
      <c r="K1371" s="37">
        <f>IFERROR(Tabela3[[#This Row],[Qtde Cx Produzida]]/Tabela3[[#This Row],[Tempo]]/24,0)</f>
        <v>7.415730337078652</v>
      </c>
      <c r="L1371" s="37">
        <f>Tabela3[[#This Row],[Qtde Cx Produzida]]*Tabela3[[#This Row],[Qdt Peça Placa]]</f>
        <v>66</v>
      </c>
      <c r="M1371" s="37">
        <f>Tabela3[[#This Row],[Previsto]]-Tabela3[[#This Row],[Perda Pçs]]</f>
        <v>66</v>
      </c>
      <c r="N1371" s="38">
        <f>IFERROR(Tabela3[[#This Row],[Perda Pçs]]/Tabela3[[#This Row],[Previsto]],0)</f>
        <v>0</v>
      </c>
      <c r="O1371" s="39">
        <f>IFERROR(IF(Tabela3[[#This Row],[Qtde Cx Produzida]] &lt;&gt; 0, Tabela3[[#This Row],[Tempo]] / Tabela3[[#This Row],[Qtde Cx Produzida]], 0),0)</f>
        <v>5.6186868686868693E-3</v>
      </c>
      <c r="P1371" s="77">
        <f>IFERROR(Tabela3[[#This Row],[Perda Pçs]]/Tabela3[[#This Row],[Qdt Peça Placa]],0)</f>
        <v>0</v>
      </c>
      <c r="Q1371" s="37">
        <f>IFERROR(Tabela3[[#This Row],[Realizado]]*Tabela3[[#This Row],[Peso Util/Pç]],0)</f>
        <v>19.931999999999999</v>
      </c>
      <c r="R1371" s="37">
        <f>IFERROR(Tabela3[[#This Row],[Peso Total Galho]]*Tabela3[[#This Row],[Qtde Cx Produzida]]*1.055,0)</f>
        <v>24.973959999999998</v>
      </c>
      <c r="S1371" s="37">
        <f>(Tabela3[[#This Row],[Aluminio Bruto]]-Tabela3[[#This Row],[Aluminio Util]])*0.9</f>
        <v>4.5377640000000001</v>
      </c>
      <c r="T1371" s="37">
        <f>Tabela3[[#This Row],[Aluminio Bruto]]/OleoKGAluminio</f>
        <v>10.506512680979952</v>
      </c>
      <c r="U1371" s="76">
        <f>IFERROR((VLOOKUP(Tabela3[[#This Row],[Moldador]],Tabela1[],5,)+(VLOOKUP(Tabela3[[#This Row],[Ajudante]],Tabela1[],5,))*3.5),0)</f>
        <v>99.95034583333333</v>
      </c>
      <c r="V1371" s="76">
        <f>IFERROR(Tabela3[[#This Row],[Custo M.O. / H]]/((Tabela3[[#This Row],[Realizado]]/Tabela3[[#This Row],[Qdt Peça Placa]])/Tabela3[[#This Row],[Tempo]]/24),)</f>
        <v>13.47815269570707</v>
      </c>
      <c r="W1371" s="76">
        <f>Tabela3[[#This Row],[Custo / Cx Moldada]]*Tabela3[[#This Row],[Qtde Cx Produzida]]</f>
        <v>148.25967965277778</v>
      </c>
      <c r="X1371" s="76">
        <f ca="1">Tabela3[[#This Row],[Aluminio Util]]*Tabela3[[#This Row],[Custo/Kg]]</f>
        <v>310.93920000000003</v>
      </c>
      <c r="Y1371" s="76">
        <f>IFERROR(VLOOKUP(Tabela3[[#This Row],[Data]],Tabela461213[],2,1)*(Tabela3[[#This Row],[Qtde Cx Produzida]]*Tabela3[[#This Row],[Qde macho / CX]]*Tabela3[[#This Row],[Peso Macho]]),)</f>
        <v>0</v>
      </c>
      <c r="Z1371" s="76">
        <f>IFERROR(Tabela3[[#This Row],[Qtde Oleo]]*(VLOOKUP(Tabela3[[#This Row],[Data]],CompraOleo[],3,TRUE))*1.05,0)</f>
        <v>27.579595787572377</v>
      </c>
      <c r="AA1371" s="47">
        <f ca="1">(Tabela3[[#This Row],[Custo Oleo]]+Tabela3[[#This Row],[Custo Aluminio]]+Tabela3[[#This Row],[Custo M.O. Total]]+Tabela3[[#This Row],[Custo Machos]])</f>
        <v>486.77847544035018</v>
      </c>
      <c r="AB1371" s="47">
        <f ca="1">Tabela3[[#This Row],[Custo Total]]*Tabela3[[#This Row],[% Perda]]</f>
        <v>0</v>
      </c>
      <c r="AC1371" s="78">
        <f>IFERROR(VLOOKUP(Tabela3[[#This Row],[Produto]],Tabela2[],2,0),0)</f>
        <v>6</v>
      </c>
      <c r="AD1371" s="48">
        <f>IFERROR(VLOOKUP(Tabela3[[#This Row],[Produto]],Tabela2[],3,0),0)</f>
        <v>0.30199999999999999</v>
      </c>
      <c r="AE1371" s="48">
        <f>IFERROR(VLOOKUP(Tabela3[[#This Row],[Produto]],Tabela2[],4,0),0)</f>
        <v>2.1520000000000001</v>
      </c>
      <c r="AF1371" s="48">
        <f>IFERROR(VLOOKUP(Tabela3[[#This Row],[Produto]],Tabela2[],5,0),0)</f>
        <v>0.30600000000000027</v>
      </c>
      <c r="AG1371" s="48">
        <f>IFERROR(VLOOKUP(Tabela3[[#This Row],[Produto]],Tabela2[],6,0),0)</f>
        <v>0</v>
      </c>
      <c r="AH1371" s="78">
        <f>IFERROR(VLOOKUP(Tabela3[[#This Row],[Produto]],Tabela2[],7,0),0)</f>
        <v>0</v>
      </c>
      <c r="AI1371" s="78">
        <f>IFERROR(VLOOKUP(Tabela3[[#This Row],[Produto]],Tabela2[],8,0),0)</f>
        <v>0</v>
      </c>
      <c r="AJ1371" s="35">
        <f ca="1">IFERROR(VLOOKUP(Tabela3[[#This Row],[Produto]],Tabela2[],13,0),0)</f>
        <v>15.600000000000001</v>
      </c>
      <c r="AK1371" s="48" t="str">
        <f>IFERROR(VLOOKUP(Tabela3[[#This Row],[Produto]],Tabela2[],14,0),0)</f>
        <v>Senun</v>
      </c>
      <c r="AL1371" s="78">
        <f>IFERROR(VLOOKUP(Tabela3[[#This Row],[Produto]],Tabela2[],15,0),0)</f>
        <v>4</v>
      </c>
      <c r="AM1371" s="79">
        <f ca="1">(Tabela3[[#This Row],[Custo Usinagem]]+Tabela3[[#This Row],[Custo / Pç]])*1.2</f>
        <v>13.650517735279093</v>
      </c>
      <c r="AN1371" s="36">
        <f ca="1">Tabela3[[#This Row],[Valor Mínimo Venda]]*1.15</f>
        <v>15.698095395570956</v>
      </c>
      <c r="AO1371" s="36">
        <f ca="1">Tabela3[[#This Row],[Tabela 1]]*1.08</f>
        <v>16.953943027216635</v>
      </c>
      <c r="AP1371" s="79">
        <f ca="1">Tabela3[[#This Row],[Tabela 2]]*1.15</f>
        <v>19.497034481299128</v>
      </c>
    </row>
    <row r="1372" spans="1:42">
      <c r="A1372" s="9">
        <v>46195</v>
      </c>
      <c r="B1372" s="9" t="s">
        <v>241</v>
      </c>
      <c r="C1372" s="14">
        <v>9960</v>
      </c>
      <c r="D1372" s="6" t="s">
        <v>44</v>
      </c>
      <c r="E1372" s="6" t="s">
        <v>47</v>
      </c>
      <c r="F1372" s="75">
        <v>2</v>
      </c>
      <c r="G1372" s="15">
        <v>1.5972222222222221E-2</v>
      </c>
      <c r="H1372" s="16"/>
      <c r="I1372" s="35">
        <f ca="1">IFERROR(Tabela3[[#This Row],[Custo Total]]/Tabela3[[#This Row],[Aluminio Util]],0)</f>
        <v>25.479777697223511</v>
      </c>
      <c r="J1372" s="76">
        <f ca="1">Tabela3[[#This Row],[Custo Total]]/Tabela3[[#This Row],[Realizado]]</f>
        <v>15.619103728398013</v>
      </c>
      <c r="K1372" s="37">
        <f>IFERROR(Tabela3[[#This Row],[Qtde Cx Produzida]]/Tabela3[[#This Row],[Tempo]]/24,0)</f>
        <v>5.2173913043478271</v>
      </c>
      <c r="L1372" s="37">
        <f>Tabela3[[#This Row],[Qtde Cx Produzida]]*Tabela3[[#This Row],[Qdt Peça Placa]]</f>
        <v>8</v>
      </c>
      <c r="M1372" s="37">
        <f>Tabela3[[#This Row],[Previsto]]-Tabela3[[#This Row],[Perda Pçs]]</f>
        <v>8</v>
      </c>
      <c r="N1372" s="38">
        <f>IFERROR(Tabela3[[#This Row],[Perda Pçs]]/Tabela3[[#This Row],[Previsto]],0)</f>
        <v>0</v>
      </c>
      <c r="O1372" s="39">
        <f>IFERROR(IF(Tabela3[[#This Row],[Qtde Cx Produzida]] &lt;&gt; 0, Tabela3[[#This Row],[Tempo]] / Tabela3[[#This Row],[Qtde Cx Produzida]], 0),0)</f>
        <v>7.9861111111111105E-3</v>
      </c>
      <c r="P1372" s="77">
        <f>IFERROR(Tabela3[[#This Row],[Perda Pçs]]/Tabela3[[#This Row],[Qdt Peça Placa]],0)</f>
        <v>0</v>
      </c>
      <c r="Q1372" s="37">
        <f>IFERROR(Tabela3[[#This Row],[Realizado]]*Tabela3[[#This Row],[Peso Util/Pç]],0)</f>
        <v>4.9039999999999999</v>
      </c>
      <c r="R1372" s="37">
        <f>IFERROR(Tabela3[[#This Row],[Peso Total Galho]]*Tabela3[[#This Row],[Qtde Cx Produzida]]*1.055,0)</f>
        <v>9.1784999999999979</v>
      </c>
      <c r="S1372" s="37">
        <f>(Tabela3[[#This Row],[Aluminio Bruto]]-Tabela3[[#This Row],[Aluminio Util]])*0.9</f>
        <v>3.8470499999999981</v>
      </c>
      <c r="T1372" s="37">
        <f>Tabela3[[#This Row],[Aluminio Bruto]]/OleoKGAluminio</f>
        <v>3.8613830823135169</v>
      </c>
      <c r="U1372" s="76">
        <f>IFERROR((VLOOKUP(Tabela3[[#This Row],[Moldador]],Tabela1[],5,)+(VLOOKUP(Tabela3[[#This Row],[Ajudante]],Tabela1[],5,))*3.5),0)</f>
        <v>99.95034583333333</v>
      </c>
      <c r="V1372" s="76">
        <f>IFERROR(Tabela3[[#This Row],[Custo M.O. / H]]/((Tabela3[[#This Row],[Realizado]]/Tabela3[[#This Row],[Qdt Peça Placa]])/Tabela3[[#This Row],[Tempo]]/24),)</f>
        <v>19.157149618055552</v>
      </c>
      <c r="W1372" s="76">
        <f>Tabela3[[#This Row],[Custo / Cx Moldada]]*Tabela3[[#This Row],[Qtde Cx Produzida]]</f>
        <v>38.314299236111104</v>
      </c>
      <c r="X1372" s="76">
        <f ca="1">Tabela3[[#This Row],[Aluminio Util]]*Tabela3[[#This Row],[Custo/Kg]]</f>
        <v>76.502400000000009</v>
      </c>
      <c r="Y1372" s="76">
        <f>IFERROR(VLOOKUP(Tabela3[[#This Row],[Data]],Tabela461213[],2,1)*(Tabela3[[#This Row],[Qtde Cx Produzida]]*Tabela3[[#This Row],[Qde macho / CX]]*Tabela3[[#This Row],[Peso Macho]]),)</f>
        <v>0</v>
      </c>
      <c r="Z1372" s="76">
        <f>IFERROR(Tabela3[[#This Row],[Qtde Oleo]]*(VLOOKUP(Tabela3[[#This Row],[Data]],CompraOleo[],3,TRUE))*1.05,0)</f>
        <v>10.136130591072982</v>
      </c>
      <c r="AA1372" s="47">
        <f ca="1">(Tabela3[[#This Row],[Custo Oleo]]+Tabela3[[#This Row],[Custo Aluminio]]+Tabela3[[#This Row],[Custo M.O. Total]]+Tabela3[[#This Row],[Custo Machos]])</f>
        <v>124.9528298271841</v>
      </c>
      <c r="AB1372" s="47">
        <f ca="1">Tabela3[[#This Row],[Custo Total]]*Tabela3[[#This Row],[% Perda]]</f>
        <v>0</v>
      </c>
      <c r="AC1372" s="78">
        <f>IFERROR(VLOOKUP(Tabela3[[#This Row],[Produto]],Tabela2[],2,0),0)</f>
        <v>4</v>
      </c>
      <c r="AD1372" s="48">
        <f>IFERROR(VLOOKUP(Tabela3[[#This Row],[Produto]],Tabela2[],3,0),0)</f>
        <v>0.61299999999999999</v>
      </c>
      <c r="AE1372" s="48">
        <f>IFERROR(VLOOKUP(Tabela3[[#This Row],[Produto]],Tabela2[],4,0),0)</f>
        <v>4.3499999999999996</v>
      </c>
      <c r="AF1372" s="48">
        <f>IFERROR(VLOOKUP(Tabela3[[#This Row],[Produto]],Tabela2[],5,0),0)</f>
        <v>1.7081999999999997</v>
      </c>
      <c r="AG1372" s="48">
        <f>IFERROR(VLOOKUP(Tabela3[[#This Row],[Produto]],Tabela2[],6,0),0)</f>
        <v>0</v>
      </c>
      <c r="AH1372" s="78">
        <f>IFERROR(VLOOKUP(Tabela3[[#This Row],[Produto]],Tabela2[],7,0),0)</f>
        <v>0</v>
      </c>
      <c r="AI1372" s="78">
        <f>IFERROR(VLOOKUP(Tabela3[[#This Row],[Produto]],Tabela2[],8,0),0)</f>
        <v>0</v>
      </c>
      <c r="AJ1372" s="35">
        <f ca="1">IFERROR(VLOOKUP(Tabela3[[#This Row],[Produto]],Tabela2[],13,0),0)</f>
        <v>15.600000000000001</v>
      </c>
      <c r="AK1372" s="48" t="str">
        <f>IFERROR(VLOOKUP(Tabela3[[#This Row],[Produto]],Tabela2[],14,0),0)</f>
        <v>Senun</v>
      </c>
      <c r="AL1372" s="78">
        <f>IFERROR(VLOOKUP(Tabela3[[#This Row],[Produto]],Tabela2[],15,0),0)</f>
        <v>4</v>
      </c>
      <c r="AM1372" s="79">
        <f ca="1">(Tabela3[[#This Row],[Custo Usinagem]]+Tabela3[[#This Row],[Custo / Pç]])*1.2</f>
        <v>23.542924474077616</v>
      </c>
      <c r="AN1372" s="36">
        <f ca="1">Tabela3[[#This Row],[Valor Mínimo Venda]]*1.15</f>
        <v>27.074363145189256</v>
      </c>
      <c r="AO1372" s="36">
        <f ca="1">Tabela3[[#This Row],[Tabela 1]]*1.08</f>
        <v>29.2403121968044</v>
      </c>
      <c r="AP1372" s="79">
        <f ca="1">Tabela3[[#This Row],[Tabela 2]]*1.15</f>
        <v>33.626359026325055</v>
      </c>
    </row>
    <row r="1373" spans="1:42">
      <c r="A1373" s="9">
        <v>46196</v>
      </c>
      <c r="B1373" s="9" t="s">
        <v>241</v>
      </c>
      <c r="C1373" s="14">
        <v>9960</v>
      </c>
      <c r="D1373" s="6" t="s">
        <v>46</v>
      </c>
      <c r="E1373" s="6" t="s">
        <v>50</v>
      </c>
      <c r="F1373" s="75">
        <v>41</v>
      </c>
      <c r="G1373" s="15">
        <v>0.25763888888888886</v>
      </c>
      <c r="H1373" s="16">
        <v>0</v>
      </c>
      <c r="I1373" s="35">
        <f ca="1">IFERROR(Tabela3[[#This Row],[Custo Total]]/Tabela3[[#This Row],[Aluminio Util]],0)</f>
        <v>23.814468847595201</v>
      </c>
      <c r="J1373" s="76">
        <f ca="1">Tabela3[[#This Row],[Custo Total]]/Tabela3[[#This Row],[Realizado]]</f>
        <v>14.598269403575857</v>
      </c>
      <c r="K1373" s="37">
        <f>IFERROR(Tabela3[[#This Row],[Qtde Cx Produzida]]/Tabela3[[#This Row],[Tempo]]/24,0)</f>
        <v>6.6307277628032351</v>
      </c>
      <c r="L1373" s="37">
        <f>Tabela3[[#This Row],[Qtde Cx Produzida]]*Tabela3[[#This Row],[Qdt Peça Placa]]</f>
        <v>164</v>
      </c>
      <c r="M1373" s="37">
        <f>Tabela3[[#This Row],[Previsto]]-Tabela3[[#This Row],[Perda Pçs]]</f>
        <v>164</v>
      </c>
      <c r="N1373" s="38">
        <f>IFERROR(Tabela3[[#This Row],[Perda Pçs]]/Tabela3[[#This Row],[Previsto]],0)</f>
        <v>0</v>
      </c>
      <c r="O1373" s="39">
        <f>IFERROR(IF(Tabela3[[#This Row],[Qtde Cx Produzida]] &lt;&gt; 0, Tabela3[[#This Row],[Tempo]] / Tabela3[[#This Row],[Qtde Cx Produzida]], 0),0)</f>
        <v>6.2838753387533869E-3</v>
      </c>
      <c r="P1373" s="77">
        <f>IFERROR(Tabela3[[#This Row],[Perda Pçs]]/Tabela3[[#This Row],[Qdt Peça Placa]],0)</f>
        <v>0</v>
      </c>
      <c r="Q1373" s="37">
        <f>IFERROR(Tabela3[[#This Row],[Realizado]]*Tabela3[[#This Row],[Peso Util/Pç]],0)</f>
        <v>100.532</v>
      </c>
      <c r="R1373" s="37">
        <f>IFERROR(Tabela3[[#This Row],[Peso Total Galho]]*Tabela3[[#This Row],[Qtde Cx Produzida]]*1.055,0)</f>
        <v>188.15924999999999</v>
      </c>
      <c r="S1373" s="37">
        <f>(Tabela3[[#This Row],[Aluminio Bruto]]-Tabela3[[#This Row],[Aluminio Util]])*0.9</f>
        <v>78.864524999999986</v>
      </c>
      <c r="T1373" s="37">
        <f>Tabela3[[#This Row],[Aluminio Bruto]]/OleoKGAluminio</f>
        <v>79.15835318742711</v>
      </c>
      <c r="U1373" s="76">
        <f>IFERROR((VLOOKUP(Tabela3[[#This Row],[Moldador]],Tabela1[],5,)+(VLOOKUP(Tabela3[[#This Row],[Ajudante]],Tabela1[],5,))*3.5),0)</f>
        <v>99.95034583333333</v>
      </c>
      <c r="V1373" s="76">
        <f>IFERROR(Tabela3[[#This Row],[Custo M.O. / H]]/((Tabela3[[#This Row],[Realizado]]/Tabela3[[#This Row],[Qdt Peça Placa]])/Tabela3[[#This Row],[Tempo]]/24),)</f>
        <v>15.073812318766937</v>
      </c>
      <c r="W1373" s="76">
        <f>Tabela3[[#This Row],[Custo / Cx Moldada]]*Tabela3[[#This Row],[Qtde Cx Produzida]]</f>
        <v>618.02630506944445</v>
      </c>
      <c r="X1373" s="76">
        <f ca="1">Tabela3[[#This Row],[Aluminio Util]]*Tabela3[[#This Row],[Custo/Kg]]</f>
        <v>1568.2992000000002</v>
      </c>
      <c r="Y1373" s="76">
        <f>IFERROR(VLOOKUP(Tabela3[[#This Row],[Data]],Tabela461213[],2,1)*(Tabela3[[#This Row],[Qtde Cx Produzida]]*Tabela3[[#This Row],[Qde macho / CX]]*Tabela3[[#This Row],[Peso Macho]]),)</f>
        <v>0</v>
      </c>
      <c r="Z1373" s="76">
        <f>IFERROR(Tabela3[[#This Row],[Qtde Oleo]]*(VLOOKUP(Tabela3[[#This Row],[Data]],CompraOleo[],3,TRUE))*1.05,0)</f>
        <v>207.79067711699616</v>
      </c>
      <c r="AA1373" s="47">
        <f ca="1">(Tabela3[[#This Row],[Custo Oleo]]+Tabela3[[#This Row],[Custo Aluminio]]+Tabela3[[#This Row],[Custo M.O. Total]]+Tabela3[[#This Row],[Custo Machos]])</f>
        <v>2394.1161821864407</v>
      </c>
      <c r="AB1373" s="47">
        <f ca="1">Tabela3[[#This Row],[Custo Total]]*Tabela3[[#This Row],[% Perda]]</f>
        <v>0</v>
      </c>
      <c r="AC1373" s="78">
        <f>IFERROR(VLOOKUP(Tabela3[[#This Row],[Produto]],Tabela2[],2,0),0)</f>
        <v>4</v>
      </c>
      <c r="AD1373" s="48">
        <f>IFERROR(VLOOKUP(Tabela3[[#This Row],[Produto]],Tabela2[],3,0),0)</f>
        <v>0.61299999999999999</v>
      </c>
      <c r="AE1373" s="48">
        <f>IFERROR(VLOOKUP(Tabela3[[#This Row],[Produto]],Tabela2[],4,0),0)</f>
        <v>4.3499999999999996</v>
      </c>
      <c r="AF1373" s="48">
        <f>IFERROR(VLOOKUP(Tabela3[[#This Row],[Produto]],Tabela2[],5,0),0)</f>
        <v>1.7081999999999997</v>
      </c>
      <c r="AG1373" s="48">
        <f>IFERROR(VLOOKUP(Tabela3[[#This Row],[Produto]],Tabela2[],6,0),0)</f>
        <v>0</v>
      </c>
      <c r="AH1373" s="78">
        <f>IFERROR(VLOOKUP(Tabela3[[#This Row],[Produto]],Tabela2[],7,0),0)</f>
        <v>0</v>
      </c>
      <c r="AI1373" s="78">
        <f>IFERROR(VLOOKUP(Tabela3[[#This Row],[Produto]],Tabela2[],8,0),0)</f>
        <v>0</v>
      </c>
      <c r="AJ1373" s="35">
        <f ca="1">IFERROR(VLOOKUP(Tabela3[[#This Row],[Produto]],Tabela2[],13,0),0)</f>
        <v>15.600000000000001</v>
      </c>
      <c r="AK1373" s="48" t="str">
        <f>IFERROR(VLOOKUP(Tabela3[[#This Row],[Produto]],Tabela2[],14,0),0)</f>
        <v>Senun</v>
      </c>
      <c r="AL1373" s="78">
        <f>IFERROR(VLOOKUP(Tabela3[[#This Row],[Produto]],Tabela2[],15,0),0)</f>
        <v>4</v>
      </c>
      <c r="AM1373" s="79">
        <f ca="1">(Tabela3[[#This Row],[Custo Usinagem]]+Tabela3[[#This Row],[Custo / Pç]])*1.2</f>
        <v>22.317923284291027</v>
      </c>
      <c r="AN1373" s="36">
        <f ca="1">Tabela3[[#This Row],[Valor Mínimo Venda]]*1.15</f>
        <v>25.665611776934679</v>
      </c>
      <c r="AO1373" s="36">
        <f ca="1">Tabela3[[#This Row],[Tabela 1]]*1.08</f>
        <v>27.718860719089456</v>
      </c>
      <c r="AP1373" s="79">
        <f ca="1">Tabela3[[#This Row],[Tabela 2]]*1.15</f>
        <v>31.876689826952873</v>
      </c>
    </row>
    <row r="1374" spans="1:42">
      <c r="A1374" s="9">
        <v>46196</v>
      </c>
      <c r="B1374" s="9" t="s">
        <v>158</v>
      </c>
      <c r="C1374" s="14">
        <v>9961</v>
      </c>
      <c r="D1374" s="6" t="s">
        <v>44</v>
      </c>
      <c r="E1374" s="6" t="s">
        <v>47</v>
      </c>
      <c r="F1374" s="75">
        <v>8</v>
      </c>
      <c r="G1374" s="15">
        <v>4.1666666666666664E-2</v>
      </c>
      <c r="H1374" s="16">
        <v>2</v>
      </c>
      <c r="I1374" s="35">
        <f ca="1">IFERROR(Tabela3[[#This Row],[Custo Total]]/Tabela3[[#This Row],[Aluminio Util]],0)</f>
        <v>21.294786961931727</v>
      </c>
      <c r="J1374" s="76">
        <f ca="1">Tabela3[[#This Row],[Custo Total]]/Tabela3[[#This Row],[Realizado]]</f>
        <v>31.942180442897591</v>
      </c>
      <c r="K1374" s="37">
        <f>IFERROR(Tabela3[[#This Row],[Qtde Cx Produzida]]/Tabela3[[#This Row],[Tempo]]/24,0)</f>
        <v>8</v>
      </c>
      <c r="L1374" s="37">
        <f>Tabela3[[#This Row],[Qtde Cx Produzida]]*Tabela3[[#This Row],[Qdt Peça Placa]]</f>
        <v>32</v>
      </c>
      <c r="M1374" s="37">
        <f>Tabela3[[#This Row],[Previsto]]-Tabela3[[#This Row],[Perda Pçs]]</f>
        <v>30</v>
      </c>
      <c r="N1374" s="38">
        <f>IFERROR(Tabela3[[#This Row],[Perda Pçs]]/Tabela3[[#This Row],[Previsto]],0)</f>
        <v>6.25E-2</v>
      </c>
      <c r="O1374" s="39">
        <f>IFERROR(IF(Tabela3[[#This Row],[Qtde Cx Produzida]] &lt;&gt; 0, Tabela3[[#This Row],[Tempo]] / Tabela3[[#This Row],[Qtde Cx Produzida]], 0),0)</f>
        <v>5.208333333333333E-3</v>
      </c>
      <c r="P1374" s="77">
        <f>IFERROR(Tabela3[[#This Row],[Perda Pçs]]/Tabela3[[#This Row],[Qdt Peça Placa]],0)</f>
        <v>0.5</v>
      </c>
      <c r="Q1374" s="37">
        <f>IFERROR(Tabela3[[#This Row],[Realizado]]*Tabela3[[#This Row],[Peso Util/Pç]],0)</f>
        <v>45</v>
      </c>
      <c r="R1374" s="37">
        <f>IFERROR(Tabela3[[#This Row],[Peso Total Galho]]*Tabela3[[#This Row],[Qtde Cx Produzida]]*1.055,0)</f>
        <v>54.015999999999998</v>
      </c>
      <c r="S1374" s="37">
        <f>(Tabela3[[#This Row],[Aluminio Bruto]]-Tabela3[[#This Row],[Aluminio Util]])*0.9</f>
        <v>8.1143999999999981</v>
      </c>
      <c r="T1374" s="37">
        <f>Tabela3[[#This Row],[Aluminio Bruto]]/OleoKGAluminio</f>
        <v>22.724461357982999</v>
      </c>
      <c r="U1374" s="76">
        <f>IFERROR((VLOOKUP(Tabela3[[#This Row],[Moldador]],Tabela1[],5,)+(VLOOKUP(Tabela3[[#This Row],[Ajudante]],Tabela1[],5,))*3.5),0)</f>
        <v>99.95034583333333</v>
      </c>
      <c r="V1374" s="76">
        <f>IFERROR(Tabela3[[#This Row],[Custo M.O. / H]]/((Tabela3[[#This Row],[Realizado]]/Tabela3[[#This Row],[Qdt Peça Placa]])/Tabela3[[#This Row],[Tempo]]/24),)</f>
        <v>13.326712777777777</v>
      </c>
      <c r="W1374" s="76">
        <f>Tabela3[[#This Row],[Custo / Cx Moldada]]*Tabela3[[#This Row],[Qtde Cx Produzida]]</f>
        <v>106.61370222222222</v>
      </c>
      <c r="X1374" s="76">
        <f ca="1">Tabela3[[#This Row],[Aluminio Util]]*Tabela3[[#This Row],[Custo/Kg]]</f>
        <v>792.00000000000011</v>
      </c>
      <c r="Y1374" s="76">
        <f>IFERROR(VLOOKUP(Tabela3[[#This Row],[Data]],Tabela461213[],2,1)*(Tabela3[[#This Row],[Qtde Cx Produzida]]*Tabela3[[#This Row],[Qde macho / CX]]*Tabela3[[#This Row],[Peso Macho]]),)</f>
        <v>0</v>
      </c>
      <c r="Z1374" s="76">
        <f>IFERROR(Tabela3[[#This Row],[Qtde Oleo]]*(VLOOKUP(Tabela3[[#This Row],[Data]],CompraOleo[],3,TRUE))*1.05,0)</f>
        <v>59.651711064705381</v>
      </c>
      <c r="AA1374" s="47">
        <f ca="1">(Tabela3[[#This Row],[Custo Oleo]]+Tabela3[[#This Row],[Custo Aluminio]]+Tabela3[[#This Row],[Custo M.O. Total]]+Tabela3[[#This Row],[Custo Machos]])</f>
        <v>958.2654132869277</v>
      </c>
      <c r="AB1374" s="47">
        <f ca="1">Tabela3[[#This Row],[Custo Total]]*Tabela3[[#This Row],[% Perda]]</f>
        <v>59.891588330432981</v>
      </c>
      <c r="AC1374" s="78">
        <f>IFERROR(VLOOKUP(Tabela3[[#This Row],[Produto]],Tabela2[],2,0),0)</f>
        <v>4</v>
      </c>
      <c r="AD1374" s="48">
        <f>IFERROR(VLOOKUP(Tabela3[[#This Row],[Produto]],Tabela2[],3,0),0)</f>
        <v>1.5</v>
      </c>
      <c r="AE1374" s="48">
        <f>IFERROR(VLOOKUP(Tabela3[[#This Row],[Produto]],Tabela2[],4,0),0)</f>
        <v>6.4</v>
      </c>
      <c r="AF1374" s="48">
        <f>IFERROR(VLOOKUP(Tabela3[[#This Row],[Produto]],Tabela2[],5,0),0)</f>
        <v>0.36000000000000032</v>
      </c>
      <c r="AG1374" s="48">
        <f>IFERROR(VLOOKUP(Tabela3[[#This Row],[Produto]],Tabela2[],6,0),0)</f>
        <v>0</v>
      </c>
      <c r="AH1374" s="78">
        <f>IFERROR(VLOOKUP(Tabela3[[#This Row],[Produto]],Tabela2[],7,0),0)</f>
        <v>0</v>
      </c>
      <c r="AI1374" s="78">
        <f>IFERROR(VLOOKUP(Tabela3[[#This Row],[Produto]],Tabela2[],8,0),0)</f>
        <v>0</v>
      </c>
      <c r="AJ1374" s="35">
        <f ca="1">IFERROR(VLOOKUP(Tabela3[[#This Row],[Produto]],Tabela2[],13,0),0)</f>
        <v>17.600000000000001</v>
      </c>
      <c r="AK1374" s="48" t="str">
        <f>IFERROR(VLOOKUP(Tabela3[[#This Row],[Produto]],Tabela2[],14,0),0)</f>
        <v>Danilo</v>
      </c>
      <c r="AL1374" s="78">
        <f>IFERROR(VLOOKUP(Tabela3[[#This Row],[Produto]],Tabela2[],15,0),0)</f>
        <v>0</v>
      </c>
      <c r="AM1374" s="79">
        <f ca="1">(Tabela3[[#This Row],[Custo Usinagem]]+Tabela3[[#This Row],[Custo / Pç]])*1.2</f>
        <v>38.330616531477105</v>
      </c>
      <c r="AN1374" s="36">
        <f ca="1">Tabela3[[#This Row],[Valor Mínimo Venda]]*1.15</f>
        <v>44.080209011198669</v>
      </c>
      <c r="AO1374" s="36">
        <f ca="1">Tabela3[[#This Row],[Tabela 1]]*1.08</f>
        <v>47.606625732094564</v>
      </c>
      <c r="AP1374" s="79">
        <f ca="1">Tabela3[[#This Row],[Tabela 2]]*1.15</f>
        <v>54.747619591908744</v>
      </c>
    </row>
    <row r="1375" spans="1:42">
      <c r="A1375" s="9">
        <v>46196</v>
      </c>
      <c r="B1375" s="9" t="s">
        <v>238</v>
      </c>
      <c r="C1375" s="14">
        <v>9959</v>
      </c>
      <c r="D1375" s="6" t="s">
        <v>44</v>
      </c>
      <c r="E1375" s="6" t="s">
        <v>47</v>
      </c>
      <c r="F1375" s="75">
        <v>22</v>
      </c>
      <c r="G1375" s="15">
        <v>0.11597222222222223</v>
      </c>
      <c r="H1375" s="16">
        <v>0</v>
      </c>
      <c r="I1375" s="35">
        <f ca="1">IFERROR(Tabela3[[#This Row],[Custo Total]]/Tabela3[[#This Row],[Aluminio Util]],0)</f>
        <v>22.718265939873085</v>
      </c>
      <c r="J1375" s="76">
        <f ca="1">Tabela3[[#This Row],[Custo Total]]/Tabela3[[#This Row],[Realizado]]</f>
        <v>8.3376035999334235</v>
      </c>
      <c r="K1375" s="37">
        <f>IFERROR(Tabela3[[#This Row],[Qtde Cx Produzida]]/Tabela3[[#This Row],[Tempo]]/24,0)</f>
        <v>7.9041916167664672</v>
      </c>
      <c r="L1375" s="37">
        <f>Tabela3[[#This Row],[Qtde Cx Produzida]]*Tabela3[[#This Row],[Qdt Peça Placa]]</f>
        <v>132</v>
      </c>
      <c r="M1375" s="37">
        <f>Tabela3[[#This Row],[Previsto]]-Tabela3[[#This Row],[Perda Pçs]]</f>
        <v>132</v>
      </c>
      <c r="N1375" s="38">
        <f>IFERROR(Tabela3[[#This Row],[Perda Pçs]]/Tabela3[[#This Row],[Previsto]],0)</f>
        <v>0</v>
      </c>
      <c r="O1375" s="39">
        <f>IFERROR(IF(Tabela3[[#This Row],[Qtde Cx Produzida]] &lt;&gt; 0, Tabela3[[#This Row],[Tempo]] / Tabela3[[#This Row],[Qtde Cx Produzida]], 0),0)</f>
        <v>5.2714646464646466E-3</v>
      </c>
      <c r="P1375" s="77">
        <f>IFERROR(Tabela3[[#This Row],[Perda Pçs]]/Tabela3[[#This Row],[Qdt Peça Placa]],0)</f>
        <v>0</v>
      </c>
      <c r="Q1375" s="37">
        <f>IFERROR(Tabela3[[#This Row],[Realizado]]*Tabela3[[#This Row],[Peso Util/Pç]],0)</f>
        <v>48.444000000000003</v>
      </c>
      <c r="R1375" s="37">
        <f>IFERROR(Tabela3[[#This Row],[Peso Total Galho]]*Tabela3[[#This Row],[Qtde Cx Produzida]]*1.055,0)</f>
        <v>60.345999999999997</v>
      </c>
      <c r="S1375" s="37">
        <f>(Tabela3[[#This Row],[Aluminio Bruto]]-Tabela3[[#This Row],[Aluminio Util]])*0.9</f>
        <v>10.711799999999995</v>
      </c>
      <c r="T1375" s="37">
        <f>Tabela3[[#This Row],[Aluminio Bruto]]/OleoKGAluminio</f>
        <v>25.387484173371632</v>
      </c>
      <c r="U1375" s="76">
        <f>IFERROR((VLOOKUP(Tabela3[[#This Row],[Moldador]],Tabela1[],5,)+(VLOOKUP(Tabela3[[#This Row],[Ajudante]],Tabela1[],5,))*3.5),0)</f>
        <v>99.95034583333333</v>
      </c>
      <c r="V1375" s="76">
        <f>IFERROR(Tabela3[[#This Row],[Custo M.O. / H]]/((Tabela3[[#This Row],[Realizado]]/Tabela3[[#This Row],[Qdt Peça Placa]])/Tabela3[[#This Row],[Tempo]]/24),)</f>
        <v>12.64523314709596</v>
      </c>
      <c r="W1375" s="76">
        <f>Tabela3[[#This Row],[Custo / Cx Moldada]]*Tabela3[[#This Row],[Qtde Cx Produzida]]</f>
        <v>278.19512923611109</v>
      </c>
      <c r="X1375" s="76">
        <f ca="1">Tabela3[[#This Row],[Aluminio Util]]*Tabela3[[#This Row],[Custo/Kg]]</f>
        <v>755.72640000000013</v>
      </c>
      <c r="Y1375" s="76">
        <f>IFERROR(VLOOKUP(Tabela3[[#This Row],[Data]],Tabela461213[],2,1)*(Tabela3[[#This Row],[Qtde Cx Produzida]]*Tabela3[[#This Row],[Qde macho / CX]]*Tabela3[[#This Row],[Peso Macho]]),)</f>
        <v>0</v>
      </c>
      <c r="Z1375" s="76">
        <f>IFERROR(Tabela3[[#This Row],[Qtde Oleo]]*(VLOOKUP(Tabela3[[#This Row],[Data]],CompraOleo[],3,TRUE))*1.05,0)</f>
        <v>66.642145955100531</v>
      </c>
      <c r="AA1375" s="47">
        <f ca="1">(Tabela3[[#This Row],[Custo Oleo]]+Tabela3[[#This Row],[Custo Aluminio]]+Tabela3[[#This Row],[Custo M.O. Total]]+Tabela3[[#This Row],[Custo Machos]])</f>
        <v>1100.5636751912118</v>
      </c>
      <c r="AB1375" s="47">
        <f ca="1">Tabela3[[#This Row],[Custo Total]]*Tabela3[[#This Row],[% Perda]]</f>
        <v>0</v>
      </c>
      <c r="AC1375" s="78">
        <f>IFERROR(VLOOKUP(Tabela3[[#This Row],[Produto]],Tabela2[],2,0),0)</f>
        <v>6</v>
      </c>
      <c r="AD1375" s="48">
        <f>IFERROR(VLOOKUP(Tabela3[[#This Row],[Produto]],Tabela2[],3,0),0)</f>
        <v>0.36699999999999999</v>
      </c>
      <c r="AE1375" s="48">
        <f>IFERROR(VLOOKUP(Tabela3[[#This Row],[Produto]],Tabela2[],4,0),0)</f>
        <v>2.6</v>
      </c>
      <c r="AF1375" s="48">
        <f>IFERROR(VLOOKUP(Tabela3[[#This Row],[Produto]],Tabela2[],5,0),0)</f>
        <v>0.35820000000000013</v>
      </c>
      <c r="AG1375" s="48">
        <f>IFERROR(VLOOKUP(Tabela3[[#This Row],[Produto]],Tabela2[],6,0),0)</f>
        <v>0</v>
      </c>
      <c r="AH1375" s="78">
        <f>IFERROR(VLOOKUP(Tabela3[[#This Row],[Produto]],Tabela2[],7,0),0)</f>
        <v>0</v>
      </c>
      <c r="AI1375" s="78">
        <f>IFERROR(VLOOKUP(Tabela3[[#This Row],[Produto]],Tabela2[],8,0),0)</f>
        <v>0</v>
      </c>
      <c r="AJ1375" s="35">
        <f ca="1">IFERROR(VLOOKUP(Tabela3[[#This Row],[Produto]],Tabela2[],13,0),0)</f>
        <v>15.600000000000001</v>
      </c>
      <c r="AK1375" s="48" t="str">
        <f>IFERROR(VLOOKUP(Tabela3[[#This Row],[Produto]],Tabela2[],14,0),0)</f>
        <v>Senun</v>
      </c>
      <c r="AL1375" s="78">
        <f>IFERROR(VLOOKUP(Tabela3[[#This Row],[Produto]],Tabela2[],15,0),0)</f>
        <v>4</v>
      </c>
      <c r="AM1375" s="79">
        <f ca="1">(Tabela3[[#This Row],[Custo Usinagem]]+Tabela3[[#This Row],[Custo / Pç]])*1.2</f>
        <v>14.805124319920107</v>
      </c>
      <c r="AN1375" s="36">
        <f ca="1">Tabela3[[#This Row],[Valor Mínimo Venda]]*1.15</f>
        <v>17.025892967908121</v>
      </c>
      <c r="AO1375" s="36">
        <f ca="1">Tabela3[[#This Row],[Tabela 1]]*1.08</f>
        <v>18.387964405340771</v>
      </c>
      <c r="AP1375" s="79">
        <f ca="1">Tabela3[[#This Row],[Tabela 2]]*1.15</f>
        <v>21.146159066141884</v>
      </c>
    </row>
    <row r="1376" spans="1:42">
      <c r="A1376" s="9">
        <v>46196</v>
      </c>
      <c r="B1376" s="9" t="s">
        <v>241</v>
      </c>
      <c r="C1376" s="14">
        <v>9960</v>
      </c>
      <c r="D1376" s="6" t="s">
        <v>46</v>
      </c>
      <c r="E1376" s="6" t="s">
        <v>44</v>
      </c>
      <c r="F1376" s="75">
        <v>7</v>
      </c>
      <c r="G1376" s="15">
        <v>3.1944444444444442E-2</v>
      </c>
      <c r="H1376" s="16">
        <v>0</v>
      </c>
      <c r="I1376" s="35">
        <f ca="1">IFERROR(Tabela3[[#This Row],[Custo Total]]/Tabela3[[#This Row],[Aluminio Util]],0)</f>
        <v>23.299190577298731</v>
      </c>
      <c r="J1376" s="76">
        <f ca="1">Tabela3[[#This Row],[Custo Total]]/Tabela3[[#This Row],[Realizado]]</f>
        <v>14.282403823884124</v>
      </c>
      <c r="K1376" s="37">
        <f>IFERROR(Tabela3[[#This Row],[Qtde Cx Produzida]]/Tabela3[[#This Row],[Tempo]]/24,0)</f>
        <v>9.1304347826086971</v>
      </c>
      <c r="L1376" s="37">
        <f>Tabela3[[#This Row],[Qtde Cx Produzida]]*Tabela3[[#This Row],[Qdt Peça Placa]]</f>
        <v>28</v>
      </c>
      <c r="M1376" s="37">
        <f>Tabela3[[#This Row],[Previsto]]-Tabela3[[#This Row],[Perda Pçs]]</f>
        <v>28</v>
      </c>
      <c r="N1376" s="38">
        <f>IFERROR(Tabela3[[#This Row],[Perda Pçs]]/Tabela3[[#This Row],[Previsto]],0)</f>
        <v>0</v>
      </c>
      <c r="O1376" s="39">
        <f>IFERROR(IF(Tabela3[[#This Row],[Qtde Cx Produzida]] &lt;&gt; 0, Tabela3[[#This Row],[Tempo]] / Tabela3[[#This Row],[Qtde Cx Produzida]], 0),0)</f>
        <v>4.5634920634920629E-3</v>
      </c>
      <c r="P1376" s="77">
        <f>IFERROR(Tabela3[[#This Row],[Perda Pçs]]/Tabela3[[#This Row],[Qdt Peça Placa]],0)</f>
        <v>0</v>
      </c>
      <c r="Q1376" s="37">
        <f>IFERROR(Tabela3[[#This Row],[Realizado]]*Tabela3[[#This Row],[Peso Util/Pç]],0)</f>
        <v>17.164000000000001</v>
      </c>
      <c r="R1376" s="37">
        <f>IFERROR(Tabela3[[#This Row],[Peso Total Galho]]*Tabela3[[#This Row],[Qtde Cx Produzida]]*1.055,0)</f>
        <v>32.124749999999992</v>
      </c>
      <c r="S1376" s="37">
        <f>(Tabela3[[#This Row],[Aluminio Bruto]]-Tabela3[[#This Row],[Aluminio Util]])*0.9</f>
        <v>13.464674999999991</v>
      </c>
      <c r="T1376" s="37">
        <f>Tabela3[[#This Row],[Aluminio Bruto]]/OleoKGAluminio</f>
        <v>13.514840788097308</v>
      </c>
      <c r="U1376" s="76">
        <f>IFERROR((VLOOKUP(Tabela3[[#This Row],[Moldador]],Tabela1[],5,)+(VLOOKUP(Tabela3[[#This Row],[Ajudante]],Tabela1[],5,))*3.5),0)</f>
        <v>126.0945</v>
      </c>
      <c r="V1376" s="76">
        <f>IFERROR(Tabela3[[#This Row],[Custo M.O. / H]]/((Tabela3[[#This Row],[Realizado]]/Tabela3[[#This Row],[Qdt Peça Placa]])/Tabela3[[#This Row],[Tempo]]/24),)</f>
        <v>13.810349999999998</v>
      </c>
      <c r="W1376" s="76">
        <f>Tabela3[[#This Row],[Custo / Cx Moldada]]*Tabela3[[#This Row],[Qtde Cx Produzida]]</f>
        <v>96.672449999999984</v>
      </c>
      <c r="X1376" s="76">
        <f ca="1">Tabela3[[#This Row],[Aluminio Util]]*Tabela3[[#This Row],[Custo/Kg]]</f>
        <v>267.75840000000005</v>
      </c>
      <c r="Y1376" s="76">
        <f>IFERROR(VLOOKUP(Tabela3[[#This Row],[Data]],Tabela461213[],2,1)*(Tabela3[[#This Row],[Qtde Cx Produzida]]*Tabela3[[#This Row],[Qde macho / CX]]*Tabela3[[#This Row],[Peso Macho]]),)</f>
        <v>0</v>
      </c>
      <c r="Z1376" s="76">
        <f>IFERROR(Tabela3[[#This Row],[Qtde Oleo]]*(VLOOKUP(Tabela3[[#This Row],[Data]],CompraOleo[],3,TRUE))*1.05,0)</f>
        <v>35.476457068755437</v>
      </c>
      <c r="AA1376" s="47">
        <f ca="1">(Tabela3[[#This Row],[Custo Oleo]]+Tabela3[[#This Row],[Custo Aluminio]]+Tabela3[[#This Row],[Custo M.O. Total]]+Tabela3[[#This Row],[Custo Machos]])</f>
        <v>399.90730706875547</v>
      </c>
      <c r="AB1376" s="47">
        <f ca="1">Tabela3[[#This Row],[Custo Total]]*Tabela3[[#This Row],[% Perda]]</f>
        <v>0</v>
      </c>
      <c r="AC1376" s="78">
        <f>IFERROR(VLOOKUP(Tabela3[[#This Row],[Produto]],Tabela2[],2,0),0)</f>
        <v>4</v>
      </c>
      <c r="AD1376" s="48">
        <f>IFERROR(VLOOKUP(Tabela3[[#This Row],[Produto]],Tabela2[],3,0),0)</f>
        <v>0.61299999999999999</v>
      </c>
      <c r="AE1376" s="48">
        <f>IFERROR(VLOOKUP(Tabela3[[#This Row],[Produto]],Tabela2[],4,0),0)</f>
        <v>4.3499999999999996</v>
      </c>
      <c r="AF1376" s="48">
        <f>IFERROR(VLOOKUP(Tabela3[[#This Row],[Produto]],Tabela2[],5,0),0)</f>
        <v>1.7081999999999997</v>
      </c>
      <c r="AG1376" s="48">
        <f>IFERROR(VLOOKUP(Tabela3[[#This Row],[Produto]],Tabela2[],6,0),0)</f>
        <v>0</v>
      </c>
      <c r="AH1376" s="78">
        <f>IFERROR(VLOOKUP(Tabela3[[#This Row],[Produto]],Tabela2[],7,0),0)</f>
        <v>0</v>
      </c>
      <c r="AI1376" s="78">
        <f>IFERROR(VLOOKUP(Tabela3[[#This Row],[Produto]],Tabela2[],8,0),0)</f>
        <v>0</v>
      </c>
      <c r="AJ1376" s="35">
        <f ca="1">IFERROR(VLOOKUP(Tabela3[[#This Row],[Produto]],Tabela2[],13,0),0)</f>
        <v>15.600000000000001</v>
      </c>
      <c r="AK1376" s="48" t="str">
        <f>IFERROR(VLOOKUP(Tabela3[[#This Row],[Produto]],Tabela2[],14,0),0)</f>
        <v>Senun</v>
      </c>
      <c r="AL1376" s="78">
        <f>IFERROR(VLOOKUP(Tabela3[[#This Row],[Produto]],Tabela2[],15,0),0)</f>
        <v>4</v>
      </c>
      <c r="AM1376" s="79">
        <f ca="1">(Tabela3[[#This Row],[Custo Usinagem]]+Tabela3[[#This Row],[Custo / Pç]])*1.2</f>
        <v>21.938884588660947</v>
      </c>
      <c r="AN1376" s="36">
        <f ca="1">Tabela3[[#This Row],[Valor Mínimo Venda]]*1.15</f>
        <v>25.229717276960088</v>
      </c>
      <c r="AO1376" s="36">
        <f ca="1">Tabela3[[#This Row],[Tabela 1]]*1.08</f>
        <v>27.248094659116898</v>
      </c>
      <c r="AP1376" s="79">
        <f ca="1">Tabela3[[#This Row],[Tabela 2]]*1.15</f>
        <v>31.33530885798443</v>
      </c>
    </row>
    <row r="1377" spans="1:42">
      <c r="A1377" s="9">
        <v>46196</v>
      </c>
      <c r="B1377" s="9" t="s">
        <v>126</v>
      </c>
      <c r="C1377" s="14">
        <v>9969</v>
      </c>
      <c r="D1377" s="6" t="s">
        <v>46</v>
      </c>
      <c r="E1377" s="6" t="s">
        <v>44</v>
      </c>
      <c r="F1377" s="75">
        <v>2</v>
      </c>
      <c r="G1377" s="15">
        <v>1.3194444444444444E-2</v>
      </c>
      <c r="H1377" s="16">
        <v>0</v>
      </c>
      <c r="I1377" s="35">
        <f ca="1">IFERROR(Tabela3[[#This Row],[Custo Total]]/Tabela3[[#This Row],[Aluminio Util]],0)</f>
        <v>24.015531644160127</v>
      </c>
      <c r="J1377" s="76">
        <f ca="1">Tabela3[[#This Row],[Custo Total]]/Tabela3[[#This Row],[Realizado]]</f>
        <v>75.456800425951116</v>
      </c>
      <c r="K1377" s="37">
        <f>IFERROR(Tabela3[[#This Row],[Qtde Cx Produzida]]/Tabela3[[#This Row],[Tempo]]/24,0)</f>
        <v>6.3157894736842097</v>
      </c>
      <c r="L1377" s="37">
        <f>Tabela3[[#This Row],[Qtde Cx Produzida]]*Tabela3[[#This Row],[Qdt Peça Placa]]</f>
        <v>2</v>
      </c>
      <c r="M1377" s="37">
        <f>Tabela3[[#This Row],[Previsto]]-Tabela3[[#This Row],[Perda Pçs]]</f>
        <v>2</v>
      </c>
      <c r="N1377" s="38">
        <f>IFERROR(Tabela3[[#This Row],[Perda Pçs]]/Tabela3[[#This Row],[Previsto]],0)</f>
        <v>0</v>
      </c>
      <c r="O1377" s="39">
        <f>IFERROR(IF(Tabela3[[#This Row],[Qtde Cx Produzida]] &lt;&gt; 0, Tabela3[[#This Row],[Tempo]] / Tabela3[[#This Row],[Qtde Cx Produzida]], 0),0)</f>
        <v>6.5972222222222222E-3</v>
      </c>
      <c r="P1377" s="77">
        <f>IFERROR(Tabela3[[#This Row],[Perda Pçs]]/Tabela3[[#This Row],[Qdt Peça Placa]],0)</f>
        <v>0</v>
      </c>
      <c r="Q1377" s="37">
        <f>IFERROR(Tabela3[[#This Row],[Realizado]]*Tabela3[[#This Row],[Peso Util/Pç]],0)</f>
        <v>6.2839999999999998</v>
      </c>
      <c r="R1377" s="37">
        <f>IFERROR(Tabela3[[#This Row],[Peso Total Galho]]*Tabela3[[#This Row],[Qtde Cx Produzida]]*1.055,0)</f>
        <v>11.72949</v>
      </c>
      <c r="S1377" s="37">
        <f>(Tabela3[[#This Row],[Aluminio Bruto]]-Tabela3[[#This Row],[Aluminio Util]])*0.9</f>
        <v>4.9009410000000004</v>
      </c>
      <c r="T1377" s="37">
        <f>Tabela3[[#This Row],[Aluminio Bruto]]/OleoKGAluminio</f>
        <v>4.9345812769151367</v>
      </c>
      <c r="U1377" s="76">
        <f>IFERROR((VLOOKUP(Tabela3[[#This Row],[Moldador]],Tabela1[],5,)+(VLOOKUP(Tabela3[[#This Row],[Ajudante]],Tabela1[],5,))*3.5),0)</f>
        <v>126.0945</v>
      </c>
      <c r="V1377" s="76">
        <f>IFERROR(Tabela3[[#This Row],[Custo M.O. / H]]/((Tabela3[[#This Row],[Realizado]]/Tabela3[[#This Row],[Qdt Peça Placa]])/Tabela3[[#This Row],[Tempo]]/24),)</f>
        <v>19.964962500000002</v>
      </c>
      <c r="W1377" s="76">
        <f>Tabela3[[#This Row],[Custo / Cx Moldada]]*Tabela3[[#This Row],[Qtde Cx Produzida]]</f>
        <v>39.929925000000004</v>
      </c>
      <c r="X1377" s="76">
        <f ca="1">Tabela3[[#This Row],[Aluminio Util]]*Tabela3[[#This Row],[Custo/Kg]]</f>
        <v>98.0304</v>
      </c>
      <c r="Y1377" s="76">
        <f>IFERROR(VLOOKUP(Tabela3[[#This Row],[Data]],Tabela461213[],2,1)*(Tabela3[[#This Row],[Qtde Cx Produzida]]*Tabela3[[#This Row],[Qde macho / CX]]*Tabela3[[#This Row],[Peso Macho]]),)</f>
        <v>0</v>
      </c>
      <c r="Z1377" s="76">
        <f>IFERROR(Tabela3[[#This Row],[Qtde Oleo]]*(VLOOKUP(Tabela3[[#This Row],[Data]],CompraOleo[],3,TRUE))*1.05,0)</f>
        <v>12.953275851902234</v>
      </c>
      <c r="AA1377" s="47">
        <f ca="1">(Tabela3[[#This Row],[Custo Oleo]]+Tabela3[[#This Row],[Custo Aluminio]]+Tabela3[[#This Row],[Custo M.O. Total]]+Tabela3[[#This Row],[Custo Machos]])</f>
        <v>150.91360085190223</v>
      </c>
      <c r="AB1377" s="47">
        <f ca="1">Tabela3[[#This Row],[Custo Total]]*Tabela3[[#This Row],[% Perda]]</f>
        <v>0</v>
      </c>
      <c r="AC1377" s="78">
        <f>IFERROR(VLOOKUP(Tabela3[[#This Row],[Produto]],Tabela2[],2,0),0)</f>
        <v>1</v>
      </c>
      <c r="AD1377" s="48">
        <f>IFERROR(VLOOKUP(Tabela3[[#This Row],[Produto]],Tabela2[],3,0),0)</f>
        <v>3.1419999999999999</v>
      </c>
      <c r="AE1377" s="48">
        <f>IFERROR(VLOOKUP(Tabela3[[#This Row],[Produto]],Tabela2[],4,0),0)</f>
        <v>5.5590000000000002</v>
      </c>
      <c r="AF1377" s="48">
        <f>IFERROR(VLOOKUP(Tabela3[[#This Row],[Produto]],Tabela2[],5,0),0)</f>
        <v>2.1753000000000005</v>
      </c>
      <c r="AG1377" s="48">
        <f>IFERROR(VLOOKUP(Tabela3[[#This Row],[Produto]],Tabela2[],6,0),0)</f>
        <v>0</v>
      </c>
      <c r="AH1377" s="78">
        <f>IFERROR(VLOOKUP(Tabela3[[#This Row],[Produto]],Tabela2[],7,0),0)</f>
        <v>0</v>
      </c>
      <c r="AI1377" s="78">
        <f>IFERROR(VLOOKUP(Tabela3[[#This Row],[Produto]],Tabela2[],8,0),0)</f>
        <v>0</v>
      </c>
      <c r="AJ1377" s="35">
        <f ca="1">IFERROR(VLOOKUP(Tabela3[[#This Row],[Produto]],Tabela2[],13,0),0)</f>
        <v>15.600000000000001</v>
      </c>
      <c r="AK1377" s="48" t="str">
        <f>IFERROR(VLOOKUP(Tabela3[[#This Row],[Produto]],Tabela2[],14,0),0)</f>
        <v>Senun</v>
      </c>
      <c r="AL1377" s="78">
        <f>IFERROR(VLOOKUP(Tabela3[[#This Row],[Produto]],Tabela2[],15,0),0)</f>
        <v>6.5</v>
      </c>
      <c r="AM1377" s="79">
        <f ca="1">(Tabela3[[#This Row],[Custo Usinagem]]+Tabela3[[#This Row],[Custo / Pç]])*1.2</f>
        <v>98.34816051114133</v>
      </c>
      <c r="AN1377" s="36">
        <f ca="1">Tabela3[[#This Row],[Valor Mínimo Venda]]*1.15</f>
        <v>113.10038458781253</v>
      </c>
      <c r="AO1377" s="36">
        <f ca="1">Tabela3[[#This Row],[Tabela 1]]*1.08</f>
        <v>122.14841535483754</v>
      </c>
      <c r="AP1377" s="79">
        <f ca="1">Tabela3[[#This Row],[Tabela 2]]*1.15</f>
        <v>140.47067765806315</v>
      </c>
    </row>
    <row r="1378" spans="1:42">
      <c r="A1378" s="9">
        <v>46196</v>
      </c>
      <c r="B1378" s="9" t="s">
        <v>156</v>
      </c>
      <c r="C1378" s="14">
        <v>9970</v>
      </c>
      <c r="D1378" s="6" t="s">
        <v>44</v>
      </c>
      <c r="E1378" s="6" t="s">
        <v>47</v>
      </c>
      <c r="F1378" s="75">
        <v>1</v>
      </c>
      <c r="G1378" s="15">
        <v>9.0277777777777769E-3</v>
      </c>
      <c r="H1378" s="16">
        <v>0</v>
      </c>
      <c r="I1378" s="35">
        <f ca="1">IFERROR(Tabela3[[#This Row],[Custo Total]]/Tabela3[[#This Row],[Aluminio Util]],0)</f>
        <v>38.247598122504613</v>
      </c>
      <c r="J1378" s="76">
        <f ca="1">Tabela3[[#This Row],[Custo Total]]/Tabela3[[#This Row],[Realizado]]</f>
        <v>20.118236612437428</v>
      </c>
      <c r="K1378" s="37">
        <f>IFERROR(Tabela3[[#This Row],[Qtde Cx Produzida]]/Tabela3[[#This Row],[Tempo]]/24,0)</f>
        <v>4.6153846153846159</v>
      </c>
      <c r="L1378" s="37">
        <f>Tabela3[[#This Row],[Qtde Cx Produzida]]*Tabela3[[#This Row],[Qdt Peça Placa]]</f>
        <v>2</v>
      </c>
      <c r="M1378" s="37">
        <f>Tabela3[[#This Row],[Previsto]]-Tabela3[[#This Row],[Perda Pçs]]</f>
        <v>2</v>
      </c>
      <c r="N1378" s="38">
        <f>IFERROR(Tabela3[[#This Row],[Perda Pçs]]/Tabela3[[#This Row],[Previsto]],0)</f>
        <v>0</v>
      </c>
      <c r="O1378" s="39">
        <f>IFERROR(IF(Tabela3[[#This Row],[Qtde Cx Produzida]] &lt;&gt; 0, Tabela3[[#This Row],[Tempo]] / Tabela3[[#This Row],[Qtde Cx Produzida]], 0),0)</f>
        <v>9.0277777777777769E-3</v>
      </c>
      <c r="P1378" s="77">
        <f>IFERROR(Tabela3[[#This Row],[Perda Pçs]]/Tabela3[[#This Row],[Qdt Peça Placa]],0)</f>
        <v>0</v>
      </c>
      <c r="Q1378" s="37">
        <f>IFERROR(Tabela3[[#This Row],[Realizado]]*Tabela3[[#This Row],[Peso Util/Pç]],0)</f>
        <v>1.052</v>
      </c>
      <c r="R1378" s="37">
        <f>IFERROR(Tabela3[[#This Row],[Peso Total Galho]]*Tabela3[[#This Row],[Qtde Cx Produzida]]*1.055,0)</f>
        <v>1.96441</v>
      </c>
      <c r="S1378" s="37">
        <f>(Tabela3[[#This Row],[Aluminio Bruto]]-Tabela3[[#This Row],[Aluminio Util]])*0.9</f>
        <v>0.82116899999999993</v>
      </c>
      <c r="T1378" s="37">
        <f>Tabela3[[#This Row],[Aluminio Bruto]]/OleoKGAluminio</f>
        <v>0.82642474704227242</v>
      </c>
      <c r="U1378" s="76">
        <f>IFERROR((VLOOKUP(Tabela3[[#This Row],[Moldador]],Tabela1[],5,)+(VLOOKUP(Tabela3[[#This Row],[Ajudante]],Tabela1[],5,))*3.5),0)</f>
        <v>99.95034583333333</v>
      </c>
      <c r="V1378" s="76">
        <f>IFERROR(Tabela3[[#This Row],[Custo M.O. / H]]/((Tabela3[[#This Row],[Realizado]]/Tabela3[[#This Row],[Qdt Peça Placa]])/Tabela3[[#This Row],[Tempo]]/24),)</f>
        <v>21.655908263888886</v>
      </c>
      <c r="W1378" s="76">
        <f>Tabela3[[#This Row],[Custo / Cx Moldada]]*Tabela3[[#This Row],[Qtde Cx Produzida]]</f>
        <v>21.655908263888886</v>
      </c>
      <c r="X1378" s="76">
        <f ca="1">Tabela3[[#This Row],[Aluminio Util]]*Tabela3[[#This Row],[Custo/Kg]]</f>
        <v>16.411200000000001</v>
      </c>
      <c r="Y1378" s="76">
        <f>IFERROR(VLOOKUP(Tabela3[[#This Row],[Data]],Tabela461213[],2,1)*(Tabela3[[#This Row],[Qtde Cx Produzida]]*Tabela3[[#This Row],[Qde macho / CX]]*Tabela3[[#This Row],[Peso Macho]]),)</f>
        <v>0</v>
      </c>
      <c r="Z1378" s="76">
        <f>IFERROR(Tabela3[[#This Row],[Qtde Oleo]]*(VLOOKUP(Tabela3[[#This Row],[Data]],CompraOleo[],3,TRUE))*1.05,0)</f>
        <v>2.1693649609859653</v>
      </c>
      <c r="AA1378" s="47">
        <f ca="1">(Tabela3[[#This Row],[Custo Oleo]]+Tabela3[[#This Row],[Custo Aluminio]]+Tabela3[[#This Row],[Custo M.O. Total]]+Tabela3[[#This Row],[Custo Machos]])</f>
        <v>40.236473224874857</v>
      </c>
      <c r="AB1378" s="47">
        <f ca="1">Tabela3[[#This Row],[Custo Total]]*Tabela3[[#This Row],[% Perda]]</f>
        <v>0</v>
      </c>
      <c r="AC1378" s="78">
        <f>IFERROR(VLOOKUP(Tabela3[[#This Row],[Produto]],Tabela2[],2,0),0)</f>
        <v>2</v>
      </c>
      <c r="AD1378" s="48">
        <f>IFERROR(VLOOKUP(Tabela3[[#This Row],[Produto]],Tabela2[],3,0),0)</f>
        <v>0.52600000000000002</v>
      </c>
      <c r="AE1378" s="48">
        <f>IFERROR(VLOOKUP(Tabela3[[#This Row],[Produto]],Tabela2[],4,0),0)</f>
        <v>1.8620000000000001</v>
      </c>
      <c r="AF1378" s="48">
        <f>IFERROR(VLOOKUP(Tabela3[[#This Row],[Produto]],Tabela2[],5,0),0)</f>
        <v>0.72900000000000009</v>
      </c>
      <c r="AG1378" s="48">
        <f>IFERROR(VLOOKUP(Tabela3[[#This Row],[Produto]],Tabela2[],6,0),0)</f>
        <v>0</v>
      </c>
      <c r="AH1378" s="78">
        <f>IFERROR(VLOOKUP(Tabela3[[#This Row],[Produto]],Tabela2[],7,0),0)</f>
        <v>0</v>
      </c>
      <c r="AI1378" s="78">
        <f>IFERROR(VLOOKUP(Tabela3[[#This Row],[Produto]],Tabela2[],8,0),0)</f>
        <v>0</v>
      </c>
      <c r="AJ1378" s="35">
        <f ca="1">IFERROR(VLOOKUP(Tabela3[[#This Row],[Produto]],Tabela2[],13,0),0)</f>
        <v>15.600000000000001</v>
      </c>
      <c r="AK1378" s="48" t="str">
        <f>IFERROR(VLOOKUP(Tabela3[[#This Row],[Produto]],Tabela2[],14,0),0)</f>
        <v>Senun</v>
      </c>
      <c r="AL1378" s="78">
        <f>IFERROR(VLOOKUP(Tabela3[[#This Row],[Produto]],Tabela2[],15,0),0)</f>
        <v>0</v>
      </c>
      <c r="AM1378" s="79">
        <f ca="1">(Tabela3[[#This Row],[Custo Usinagem]]+Tabela3[[#This Row],[Custo / Pç]])*1.2</f>
        <v>24.141883934924913</v>
      </c>
      <c r="AN1378" s="36">
        <f ca="1">Tabela3[[#This Row],[Valor Mínimo Venda]]*1.15</f>
        <v>27.763166525163648</v>
      </c>
      <c r="AO1378" s="36">
        <f ca="1">Tabela3[[#This Row],[Tabela 1]]*1.08</f>
        <v>29.984219847176742</v>
      </c>
      <c r="AP1378" s="79">
        <f ca="1">Tabela3[[#This Row],[Tabela 2]]*1.15</f>
        <v>34.481852824253252</v>
      </c>
    </row>
    <row r="1379" spans="1:42">
      <c r="A1379" s="9">
        <v>46196</v>
      </c>
      <c r="B1379" s="9" t="s">
        <v>129</v>
      </c>
      <c r="C1379" s="14">
        <v>10103</v>
      </c>
      <c r="D1379" s="6" t="s">
        <v>46</v>
      </c>
      <c r="E1379" s="6" t="s">
        <v>44</v>
      </c>
      <c r="F1379" s="75">
        <v>6</v>
      </c>
      <c r="G1379" s="15">
        <v>4.1666666666666664E-2</v>
      </c>
      <c r="H1379" s="16">
        <v>3</v>
      </c>
      <c r="I1379" s="35">
        <f ca="1">IFERROR(Tabela3[[#This Row],[Custo Total]]/Tabela3[[#This Row],[Aluminio Util]],0)</f>
        <v>73.086643462137445</v>
      </c>
      <c r="J1379" s="76">
        <f ca="1">Tabela3[[#This Row],[Custo Total]]/Tabela3[[#This Row],[Realizado]]</f>
        <v>118.40036240866266</v>
      </c>
      <c r="K1379" s="37">
        <f>IFERROR(Tabela3[[#This Row],[Qtde Cx Produzida]]/Tabela3[[#This Row],[Tempo]]/24,0)</f>
        <v>6</v>
      </c>
      <c r="L1379" s="37">
        <f>Tabela3[[#This Row],[Qtde Cx Produzida]]*Tabela3[[#This Row],[Qdt Peça Placa]]</f>
        <v>6</v>
      </c>
      <c r="M1379" s="37">
        <f>Tabela3[[#This Row],[Previsto]]-Tabela3[[#This Row],[Perda Pçs]]</f>
        <v>3</v>
      </c>
      <c r="N1379" s="38">
        <f>IFERROR(Tabela3[[#This Row],[Perda Pçs]]/Tabela3[[#This Row],[Previsto]],0)</f>
        <v>0.5</v>
      </c>
      <c r="O1379" s="39">
        <f>IFERROR(IF(Tabela3[[#This Row],[Qtde Cx Produzida]] &lt;&gt; 0, Tabela3[[#This Row],[Tempo]] / Tabela3[[#This Row],[Qtde Cx Produzida]], 0),0)</f>
        <v>6.9444444444444441E-3</v>
      </c>
      <c r="P1379" s="77">
        <f>IFERROR(Tabela3[[#This Row],[Perda Pçs]]/Tabela3[[#This Row],[Qdt Peça Placa]],0)</f>
        <v>3</v>
      </c>
      <c r="Q1379" s="37">
        <f>IFERROR(Tabela3[[#This Row],[Realizado]]*Tabela3[[#This Row],[Peso Util/Pç]],0)</f>
        <v>4.8600000000000003</v>
      </c>
      <c r="R1379" s="37">
        <f>IFERROR(Tabela3[[#This Row],[Peso Total Galho]]*Tabela3[[#This Row],[Qtde Cx Produzida]]*1.055,0)</f>
        <v>15.824999999999999</v>
      </c>
      <c r="S1379" s="37">
        <f>(Tabela3[[#This Row],[Aluminio Bruto]]-Tabela3[[#This Row],[Aluminio Util]])*0.9</f>
        <v>9.8685000000000009</v>
      </c>
      <c r="T1379" s="37">
        <f>Tabela3[[#This Row],[Aluminio Bruto]]/OleoKGAluminio</f>
        <v>6.6575570384715821</v>
      </c>
      <c r="U1379" s="76">
        <f>IFERROR((VLOOKUP(Tabela3[[#This Row],[Moldador]],Tabela1[],5,)+(VLOOKUP(Tabela3[[#This Row],[Ajudante]],Tabela1[],5,))*3.5),0)</f>
        <v>126.0945</v>
      </c>
      <c r="V1379" s="76">
        <f>IFERROR(Tabela3[[#This Row],[Custo M.O. / H]]/((Tabela3[[#This Row],[Realizado]]/Tabela3[[#This Row],[Qdt Peça Placa]])/Tabela3[[#This Row],[Tempo]]/24),)</f>
        <v>42.031500000000001</v>
      </c>
      <c r="W1379" s="76">
        <f>Tabela3[[#This Row],[Custo / Cx Moldada]]*Tabela3[[#This Row],[Qtde Cx Produzida]]</f>
        <v>252.18900000000002</v>
      </c>
      <c r="X1379" s="76">
        <f ca="1">Tabela3[[#This Row],[Aluminio Util]]*Tabela3[[#This Row],[Custo/Kg]]</f>
        <v>85.536000000000016</v>
      </c>
      <c r="Y1379" s="76">
        <f>IFERROR(VLOOKUP(Tabela3[[#This Row],[Data]],Tabela461213[],2,1)*(Tabela3[[#This Row],[Qtde Cx Produzida]]*Tabela3[[#This Row],[Qde macho / CX]]*Tabela3[[#This Row],[Peso Macho]]),)</f>
        <v>0</v>
      </c>
      <c r="Z1379" s="76">
        <f>IFERROR(Tabela3[[#This Row],[Qtde Oleo]]*(VLOOKUP(Tabela3[[#This Row],[Data]],CompraOleo[],3,TRUE))*1.05,0)</f>
        <v>17.476087225987904</v>
      </c>
      <c r="AA1379" s="47">
        <f ca="1">(Tabela3[[#This Row],[Custo Oleo]]+Tabela3[[#This Row],[Custo Aluminio]]+Tabela3[[#This Row],[Custo M.O. Total]]+Tabela3[[#This Row],[Custo Machos]])</f>
        <v>355.20108722598798</v>
      </c>
      <c r="AB1379" s="47">
        <f ca="1">Tabela3[[#This Row],[Custo Total]]*Tabela3[[#This Row],[% Perda]]</f>
        <v>177.60054361299399</v>
      </c>
      <c r="AC1379" s="78">
        <f>IFERROR(VLOOKUP(Tabela3[[#This Row],[Produto]],Tabela2[],2,0),0)</f>
        <v>1</v>
      </c>
      <c r="AD1379" s="48">
        <f>IFERROR(VLOOKUP(Tabela3[[#This Row],[Produto]],Tabela2[],3,0),0)</f>
        <v>1.62</v>
      </c>
      <c r="AE1379" s="48">
        <f>IFERROR(VLOOKUP(Tabela3[[#This Row],[Produto]],Tabela2[],4,0),0)</f>
        <v>2.5</v>
      </c>
      <c r="AF1379" s="48">
        <f>IFERROR(VLOOKUP(Tabela3[[#This Row],[Produto]],Tabela2[],5,0),0)</f>
        <v>0.79199999999999993</v>
      </c>
      <c r="AG1379" s="48">
        <f>IFERROR(VLOOKUP(Tabela3[[#This Row],[Produto]],Tabela2[],6,0),0)</f>
        <v>0</v>
      </c>
      <c r="AH1379" s="78">
        <f>IFERROR(VLOOKUP(Tabela3[[#This Row],[Produto]],Tabela2[],7,0),0)</f>
        <v>0</v>
      </c>
      <c r="AI1379" s="78">
        <f>IFERROR(VLOOKUP(Tabela3[[#This Row],[Produto]],Tabela2[],8,0),0)</f>
        <v>0</v>
      </c>
      <c r="AJ1379" s="35">
        <f ca="1">IFERROR(VLOOKUP(Tabela3[[#This Row],[Produto]],Tabela2[],13,0),0)</f>
        <v>17.600000000000001</v>
      </c>
      <c r="AK1379" s="48" t="str">
        <f>IFERROR(VLOOKUP(Tabela3[[#This Row],[Produto]],Tabela2[],14,0),0)</f>
        <v>Jumil</v>
      </c>
      <c r="AL1379" s="78">
        <f>IFERROR(VLOOKUP(Tabela3[[#This Row],[Produto]],Tabela2[],15,0),0)</f>
        <v>80</v>
      </c>
      <c r="AM1379" s="79">
        <f ca="1">(Tabela3[[#This Row],[Custo Usinagem]]+Tabela3[[#This Row],[Custo / Pç]])*1.2</f>
        <v>238.08043489039517</v>
      </c>
      <c r="AN1379" s="36">
        <f ca="1">Tabela3[[#This Row],[Valor Mínimo Venda]]*1.15</f>
        <v>273.79250012395443</v>
      </c>
      <c r="AO1379" s="36">
        <f ca="1">Tabela3[[#This Row],[Tabela 1]]*1.08</f>
        <v>295.69590013387079</v>
      </c>
      <c r="AP1379" s="79">
        <f ca="1">Tabela3[[#This Row],[Tabela 2]]*1.15</f>
        <v>340.05028515395139</v>
      </c>
    </row>
    <row r="1380" spans="1:42">
      <c r="A1380" s="9">
        <v>46196</v>
      </c>
      <c r="B1380" s="9" t="s">
        <v>126</v>
      </c>
      <c r="C1380" s="14">
        <v>9969</v>
      </c>
      <c r="D1380" s="6" t="s">
        <v>44</v>
      </c>
      <c r="E1380" s="6" t="s">
        <v>47</v>
      </c>
      <c r="F1380" s="75">
        <v>13</v>
      </c>
      <c r="G1380" s="15">
        <v>6.3194444444444442E-2</v>
      </c>
      <c r="H1380" s="16">
        <v>0</v>
      </c>
      <c r="I1380" s="35">
        <f ca="1">IFERROR(Tabela3[[#This Row],[Custo Total]]/Tabela3[[#This Row],[Aluminio Util]],0)</f>
        <v>21.372600765915553</v>
      </c>
      <c r="J1380" s="76">
        <f ca="1">Tabela3[[#This Row],[Custo Total]]/Tabela3[[#This Row],[Realizado]]</f>
        <v>67.152711606506671</v>
      </c>
      <c r="K1380" s="37">
        <f>IFERROR(Tabela3[[#This Row],[Qtde Cx Produzida]]/Tabela3[[#This Row],[Tempo]]/24,0)</f>
        <v>8.5714285714285712</v>
      </c>
      <c r="L1380" s="37">
        <f>Tabela3[[#This Row],[Qtde Cx Produzida]]*Tabela3[[#This Row],[Qdt Peça Placa]]</f>
        <v>13</v>
      </c>
      <c r="M1380" s="37">
        <f>Tabela3[[#This Row],[Previsto]]-Tabela3[[#This Row],[Perda Pçs]]</f>
        <v>13</v>
      </c>
      <c r="N1380" s="38">
        <f>IFERROR(Tabela3[[#This Row],[Perda Pçs]]/Tabela3[[#This Row],[Previsto]],0)</f>
        <v>0</v>
      </c>
      <c r="O1380" s="39">
        <f>IFERROR(IF(Tabela3[[#This Row],[Qtde Cx Produzida]] &lt;&gt; 0, Tabela3[[#This Row],[Tempo]] / Tabela3[[#This Row],[Qtde Cx Produzida]], 0),0)</f>
        <v>4.8611111111111112E-3</v>
      </c>
      <c r="P1380" s="77">
        <f>IFERROR(Tabela3[[#This Row],[Perda Pçs]]/Tabela3[[#This Row],[Qdt Peça Placa]],0)</f>
        <v>0</v>
      </c>
      <c r="Q1380" s="37">
        <f>IFERROR(Tabela3[[#This Row],[Realizado]]*Tabela3[[#This Row],[Peso Util/Pç]],0)</f>
        <v>40.845999999999997</v>
      </c>
      <c r="R1380" s="37">
        <f>IFERROR(Tabela3[[#This Row],[Peso Total Galho]]*Tabela3[[#This Row],[Qtde Cx Produzida]]*1.055,0)</f>
        <v>76.24168499999999</v>
      </c>
      <c r="S1380" s="37">
        <f>(Tabela3[[#This Row],[Aluminio Bruto]]-Tabela3[[#This Row],[Aluminio Util]])*0.9</f>
        <v>31.856116499999995</v>
      </c>
      <c r="T1380" s="37">
        <f>Tabela3[[#This Row],[Aluminio Bruto]]/OleoKGAluminio</f>
        <v>32.074778299948385</v>
      </c>
      <c r="U1380" s="76">
        <f>IFERROR((VLOOKUP(Tabela3[[#This Row],[Moldador]],Tabela1[],5,)+(VLOOKUP(Tabela3[[#This Row],[Ajudante]],Tabela1[],5,))*3.5),0)</f>
        <v>99.95034583333333</v>
      </c>
      <c r="V1380" s="76">
        <f>IFERROR(Tabela3[[#This Row],[Custo M.O. / H]]/((Tabela3[[#This Row],[Realizado]]/Tabela3[[#This Row],[Qdt Peça Placa]])/Tabela3[[#This Row],[Tempo]]/24),)</f>
        <v>11.660873680555556</v>
      </c>
      <c r="W1380" s="76">
        <f>Tabela3[[#This Row],[Custo / Cx Moldada]]*Tabela3[[#This Row],[Qtde Cx Produzida]]</f>
        <v>151.59135784722221</v>
      </c>
      <c r="X1380" s="76">
        <f ca="1">Tabela3[[#This Row],[Aluminio Util]]*Tabela3[[#This Row],[Custo/Kg]]</f>
        <v>637.19759999999997</v>
      </c>
      <c r="Y1380" s="76">
        <f>IFERROR(VLOOKUP(Tabela3[[#This Row],[Data]],Tabela461213[],2,1)*(Tabela3[[#This Row],[Qtde Cx Produzida]]*Tabela3[[#This Row],[Qde macho / CX]]*Tabela3[[#This Row],[Peso Macho]]),)</f>
        <v>0</v>
      </c>
      <c r="Z1380" s="76">
        <f>IFERROR(Tabela3[[#This Row],[Qtde Oleo]]*(VLOOKUP(Tabela3[[#This Row],[Data]],CompraOleo[],3,TRUE))*1.05,0)</f>
        <v>84.196293037364512</v>
      </c>
      <c r="AA1380" s="47">
        <f ca="1">(Tabela3[[#This Row],[Custo Oleo]]+Tabela3[[#This Row],[Custo Aluminio]]+Tabela3[[#This Row],[Custo M.O. Total]]+Tabela3[[#This Row],[Custo Machos]])</f>
        <v>872.98525088458666</v>
      </c>
      <c r="AB1380" s="47">
        <f ca="1">Tabela3[[#This Row],[Custo Total]]*Tabela3[[#This Row],[% Perda]]</f>
        <v>0</v>
      </c>
      <c r="AC1380" s="78">
        <f>IFERROR(VLOOKUP(Tabela3[[#This Row],[Produto]],Tabela2[],2,0),0)</f>
        <v>1</v>
      </c>
      <c r="AD1380" s="48">
        <f>IFERROR(VLOOKUP(Tabela3[[#This Row],[Produto]],Tabela2[],3,0),0)</f>
        <v>3.1419999999999999</v>
      </c>
      <c r="AE1380" s="48">
        <f>IFERROR(VLOOKUP(Tabela3[[#This Row],[Produto]],Tabela2[],4,0),0)</f>
        <v>5.5590000000000002</v>
      </c>
      <c r="AF1380" s="48">
        <f>IFERROR(VLOOKUP(Tabela3[[#This Row],[Produto]],Tabela2[],5,0),0)</f>
        <v>2.1753000000000005</v>
      </c>
      <c r="AG1380" s="48">
        <f>IFERROR(VLOOKUP(Tabela3[[#This Row],[Produto]],Tabela2[],6,0),0)</f>
        <v>0</v>
      </c>
      <c r="AH1380" s="78">
        <f>IFERROR(VLOOKUP(Tabela3[[#This Row],[Produto]],Tabela2[],7,0),0)</f>
        <v>0</v>
      </c>
      <c r="AI1380" s="78">
        <f>IFERROR(VLOOKUP(Tabela3[[#This Row],[Produto]],Tabela2[],8,0),0)</f>
        <v>0</v>
      </c>
      <c r="AJ1380" s="35">
        <f ca="1">IFERROR(VLOOKUP(Tabela3[[#This Row],[Produto]],Tabela2[],13,0),0)</f>
        <v>15.600000000000001</v>
      </c>
      <c r="AK1380" s="48" t="str">
        <f>IFERROR(VLOOKUP(Tabela3[[#This Row],[Produto]],Tabela2[],14,0),0)</f>
        <v>Senun</v>
      </c>
      <c r="AL1380" s="78">
        <f>IFERROR(VLOOKUP(Tabela3[[#This Row],[Produto]],Tabela2[],15,0),0)</f>
        <v>6.5</v>
      </c>
      <c r="AM1380" s="79">
        <f ca="1">(Tabela3[[#This Row],[Custo Usinagem]]+Tabela3[[#This Row],[Custo / Pç]])*1.2</f>
        <v>88.383253927807999</v>
      </c>
      <c r="AN1380" s="36">
        <f ca="1">Tabela3[[#This Row],[Valor Mínimo Venda]]*1.15</f>
        <v>101.64074201697919</v>
      </c>
      <c r="AO1380" s="36">
        <f ca="1">Tabela3[[#This Row],[Tabela 1]]*1.08</f>
        <v>109.77200137833754</v>
      </c>
      <c r="AP1380" s="79">
        <f ca="1">Tabela3[[#This Row],[Tabela 2]]*1.15</f>
        <v>126.23780158508815</v>
      </c>
    </row>
    <row r="1381" spans="1:42">
      <c r="A1381" s="9">
        <v>46197</v>
      </c>
      <c r="B1381" s="9" t="s">
        <v>156</v>
      </c>
      <c r="C1381" s="14">
        <v>9970</v>
      </c>
      <c r="D1381" s="6" t="s">
        <v>44</v>
      </c>
      <c r="E1381" s="6" t="s">
        <v>47</v>
      </c>
      <c r="F1381" s="75">
        <v>14</v>
      </c>
      <c r="G1381" s="15">
        <v>6.5277777777777782E-2</v>
      </c>
      <c r="H1381" s="16">
        <v>0</v>
      </c>
      <c r="I1381" s="35">
        <f ca="1">IFERROR(Tabela3[[#This Row],[Custo Total]]/Tabela3[[#This Row],[Aluminio Util]],0)</f>
        <v>28.294186895212686</v>
      </c>
      <c r="J1381" s="76">
        <f ca="1">Tabela3[[#This Row],[Custo Total]]/Tabela3[[#This Row],[Realizado]]</f>
        <v>14.882742306881875</v>
      </c>
      <c r="K1381" s="37">
        <f>IFERROR(Tabela3[[#This Row],[Qtde Cx Produzida]]/Tabela3[[#This Row],[Tempo]]/24,0)</f>
        <v>8.9361702127659566</v>
      </c>
      <c r="L1381" s="37">
        <f>Tabela3[[#This Row],[Qtde Cx Produzida]]*Tabela3[[#This Row],[Qdt Peça Placa]]</f>
        <v>28</v>
      </c>
      <c r="M1381" s="37">
        <f>Tabela3[[#This Row],[Previsto]]-Tabela3[[#This Row],[Perda Pçs]]</f>
        <v>28</v>
      </c>
      <c r="N1381" s="38">
        <f>IFERROR(Tabela3[[#This Row],[Perda Pçs]]/Tabela3[[#This Row],[Previsto]],0)</f>
        <v>0</v>
      </c>
      <c r="O1381" s="39">
        <f>IFERROR(IF(Tabela3[[#This Row],[Qtde Cx Produzida]] &lt;&gt; 0, Tabela3[[#This Row],[Tempo]] / Tabela3[[#This Row],[Qtde Cx Produzida]], 0),0)</f>
        <v>4.6626984126984126E-3</v>
      </c>
      <c r="P1381" s="77">
        <f>IFERROR(Tabela3[[#This Row],[Perda Pçs]]/Tabela3[[#This Row],[Qdt Peça Placa]],0)</f>
        <v>0</v>
      </c>
      <c r="Q1381" s="37">
        <f>IFERROR(Tabela3[[#This Row],[Realizado]]*Tabela3[[#This Row],[Peso Util/Pç]],0)</f>
        <v>14.728000000000002</v>
      </c>
      <c r="R1381" s="37">
        <f>IFERROR(Tabela3[[#This Row],[Peso Total Galho]]*Tabela3[[#This Row],[Qtde Cx Produzida]]*1.055,0)</f>
        <v>27.501739999999998</v>
      </c>
      <c r="S1381" s="37">
        <f>(Tabela3[[#This Row],[Aluminio Bruto]]-Tabela3[[#This Row],[Aluminio Util]])*0.9</f>
        <v>11.496365999999997</v>
      </c>
      <c r="T1381" s="37">
        <f>Tabela3[[#This Row],[Aluminio Bruto]]/OleoKGAluminio</f>
        <v>11.569946458591813</v>
      </c>
      <c r="U1381" s="76">
        <f>IFERROR((VLOOKUP(Tabela3[[#This Row],[Moldador]],Tabela1[],5,)+(VLOOKUP(Tabela3[[#This Row],[Ajudante]],Tabela1[],5,))*3.5),0)</f>
        <v>99.95034583333333</v>
      </c>
      <c r="V1381" s="76">
        <f>IFERROR(Tabela3[[#This Row],[Custo M.O. / H]]/((Tabela3[[#This Row],[Realizado]]/Tabela3[[#This Row],[Qdt Peça Placa]])/Tabela3[[#This Row],[Tempo]]/24),)</f>
        <v>11.184919652777779</v>
      </c>
      <c r="W1381" s="76">
        <f>Tabela3[[#This Row],[Custo / Cx Moldada]]*Tabela3[[#This Row],[Qtde Cx Produzida]]</f>
        <v>156.58887513888891</v>
      </c>
      <c r="X1381" s="76">
        <f ca="1">Tabela3[[#This Row],[Aluminio Util]]*Tabela3[[#This Row],[Custo/Kg]]</f>
        <v>229.75680000000006</v>
      </c>
      <c r="Y1381" s="76">
        <f>IFERROR(VLOOKUP(Tabela3[[#This Row],[Data]],Tabela461213[],2,1)*(Tabela3[[#This Row],[Qtde Cx Produzida]]*Tabela3[[#This Row],[Qde macho / CX]]*Tabela3[[#This Row],[Peso Macho]]),)</f>
        <v>0</v>
      </c>
      <c r="Z1381" s="76">
        <f>IFERROR(Tabela3[[#This Row],[Qtde Oleo]]*(VLOOKUP(Tabela3[[#This Row],[Data]],CompraOleo[],3,TRUE))*1.05,0)</f>
        <v>30.371109453803513</v>
      </c>
      <c r="AA1381" s="47">
        <f ca="1">(Tabela3[[#This Row],[Custo Oleo]]+Tabela3[[#This Row],[Custo Aluminio]]+Tabela3[[#This Row],[Custo M.O. Total]]+Tabela3[[#This Row],[Custo Machos]])</f>
        <v>416.71678459269248</v>
      </c>
      <c r="AB1381" s="47">
        <f ca="1">Tabela3[[#This Row],[Custo Total]]*Tabela3[[#This Row],[% Perda]]</f>
        <v>0</v>
      </c>
      <c r="AC1381" s="78">
        <f>IFERROR(VLOOKUP(Tabela3[[#This Row],[Produto]],Tabela2[],2,0),0)</f>
        <v>2</v>
      </c>
      <c r="AD1381" s="48">
        <f>IFERROR(VLOOKUP(Tabela3[[#This Row],[Produto]],Tabela2[],3,0),0)</f>
        <v>0.52600000000000002</v>
      </c>
      <c r="AE1381" s="48">
        <f>IFERROR(VLOOKUP(Tabela3[[#This Row],[Produto]],Tabela2[],4,0),0)</f>
        <v>1.8620000000000001</v>
      </c>
      <c r="AF1381" s="48">
        <f>IFERROR(VLOOKUP(Tabela3[[#This Row],[Produto]],Tabela2[],5,0),0)</f>
        <v>0.72900000000000009</v>
      </c>
      <c r="AG1381" s="48">
        <f>IFERROR(VLOOKUP(Tabela3[[#This Row],[Produto]],Tabela2[],6,0),0)</f>
        <v>0</v>
      </c>
      <c r="AH1381" s="78">
        <f>IFERROR(VLOOKUP(Tabela3[[#This Row],[Produto]],Tabela2[],7,0),0)</f>
        <v>0</v>
      </c>
      <c r="AI1381" s="78">
        <f>IFERROR(VLOOKUP(Tabela3[[#This Row],[Produto]],Tabela2[],8,0),0)</f>
        <v>0</v>
      </c>
      <c r="AJ1381" s="35">
        <f ca="1">IFERROR(VLOOKUP(Tabela3[[#This Row],[Produto]],Tabela2[],13,0),0)</f>
        <v>15.600000000000001</v>
      </c>
      <c r="AK1381" s="48" t="str">
        <f>IFERROR(VLOOKUP(Tabela3[[#This Row],[Produto]],Tabela2[],14,0),0)</f>
        <v>Senun</v>
      </c>
      <c r="AL1381" s="78">
        <f>IFERROR(VLOOKUP(Tabela3[[#This Row],[Produto]],Tabela2[],15,0),0)</f>
        <v>0</v>
      </c>
      <c r="AM1381" s="79">
        <f ca="1">(Tabela3[[#This Row],[Custo Usinagem]]+Tabela3[[#This Row],[Custo / Pç]])*1.2</f>
        <v>17.859290768258248</v>
      </c>
      <c r="AN1381" s="36">
        <f ca="1">Tabela3[[#This Row],[Valor Mínimo Venda]]*1.15</f>
        <v>20.538184383496983</v>
      </c>
      <c r="AO1381" s="36">
        <f ca="1">Tabela3[[#This Row],[Tabela 1]]*1.08</f>
        <v>22.181239134176742</v>
      </c>
      <c r="AP1381" s="79">
        <f ca="1">Tabela3[[#This Row],[Tabela 2]]*1.15</f>
        <v>25.508425004303252</v>
      </c>
    </row>
    <row r="1382" spans="1:42">
      <c r="A1382" s="9">
        <v>46197</v>
      </c>
      <c r="B1382" s="9" t="s">
        <v>96</v>
      </c>
      <c r="C1382" s="14">
        <v>9974</v>
      </c>
      <c r="D1382" s="6" t="s">
        <v>44</v>
      </c>
      <c r="E1382" s="6" t="s">
        <v>47</v>
      </c>
      <c r="F1382" s="75">
        <v>17</v>
      </c>
      <c r="G1382" s="15">
        <v>9.4444444444444442E-2</v>
      </c>
      <c r="H1382" s="16">
        <v>0</v>
      </c>
      <c r="I1382" s="35">
        <f ca="1">IFERROR(Tabela3[[#This Row],[Custo Total]]/Tabela3[[#This Row],[Aluminio Util]],0)</f>
        <v>30.769130038486725</v>
      </c>
      <c r="J1382" s="76">
        <f ca="1">Tabela3[[#This Row],[Custo Total]]/Tabela3[[#This Row],[Realizado]]</f>
        <v>27.199910954022265</v>
      </c>
      <c r="K1382" s="37">
        <f>IFERROR(Tabela3[[#This Row],[Qtde Cx Produzida]]/Tabela3[[#This Row],[Tempo]]/24,0)</f>
        <v>7.5</v>
      </c>
      <c r="L1382" s="37">
        <f>Tabela3[[#This Row],[Qtde Cx Produzida]]*Tabela3[[#This Row],[Qdt Peça Placa]]</f>
        <v>51</v>
      </c>
      <c r="M1382" s="37">
        <f>Tabela3[[#This Row],[Previsto]]-Tabela3[[#This Row],[Perda Pçs]]</f>
        <v>51</v>
      </c>
      <c r="N1382" s="38">
        <f>IFERROR(Tabela3[[#This Row],[Perda Pçs]]/Tabela3[[#This Row],[Previsto]],0)</f>
        <v>0</v>
      </c>
      <c r="O1382" s="39">
        <f>IFERROR(IF(Tabela3[[#This Row],[Qtde Cx Produzida]] &lt;&gt; 0, Tabela3[[#This Row],[Tempo]] / Tabela3[[#This Row],[Qtde Cx Produzida]], 0),0)</f>
        <v>5.5555555555555558E-3</v>
      </c>
      <c r="P1382" s="77">
        <f>IFERROR(Tabela3[[#This Row],[Perda Pçs]]/Tabela3[[#This Row],[Qdt Peça Placa]],0)</f>
        <v>0</v>
      </c>
      <c r="Q1382" s="37">
        <f>IFERROR(Tabela3[[#This Row],[Realizado]]*Tabela3[[#This Row],[Peso Util/Pç]],0)</f>
        <v>45.084000000000003</v>
      </c>
      <c r="R1382" s="37">
        <f>IFERROR(Tabela3[[#This Row],[Peso Total Galho]]*Tabela3[[#This Row],[Qtde Cx Produzida]]*1.055,0)</f>
        <v>84.151020000000003</v>
      </c>
      <c r="S1382" s="37">
        <f>(Tabela3[[#This Row],[Aluminio Bruto]]-Tabela3[[#This Row],[Aluminio Util]])*0.9</f>
        <v>35.160318000000004</v>
      </c>
      <c r="T1382" s="37">
        <f>Tabela3[[#This Row],[Aluminio Bruto]]/OleoKGAluminio</f>
        <v>35.40222530777649</v>
      </c>
      <c r="U1382" s="76">
        <f>IFERROR((VLOOKUP(Tabela3[[#This Row],[Moldador]],Tabela1[],5,)+(VLOOKUP(Tabela3[[#This Row],[Ajudante]],Tabela1[],5,))*3.5),0)</f>
        <v>99.95034583333333</v>
      </c>
      <c r="V1382" s="76">
        <f>IFERROR(Tabela3[[#This Row],[Custo M.O. / H]]/((Tabela3[[#This Row],[Realizado]]/Tabela3[[#This Row],[Qdt Peça Placa]])/Tabela3[[#This Row],[Tempo]]/24),)</f>
        <v>13.326712777777777</v>
      </c>
      <c r="W1382" s="76">
        <f>Tabela3[[#This Row],[Custo / Cx Moldada]]*Tabela3[[#This Row],[Qtde Cx Produzida]]</f>
        <v>226.5541172222222</v>
      </c>
      <c r="X1382" s="76">
        <f ca="1">Tabela3[[#This Row],[Aluminio Util]]*Tabela3[[#This Row],[Custo/Kg]]</f>
        <v>703.31040000000007</v>
      </c>
      <c r="Y1382" s="76">
        <f>IFERROR(VLOOKUP(Tabela3[[#This Row],[Data]],Tabela461213[],2,1)*(Tabela3[[#This Row],[Qtde Cx Produzida]]*Tabela3[[#This Row],[Qde macho / CX]]*Tabela3[[#This Row],[Peso Macho]]),)</f>
        <v>364.40010000000001</v>
      </c>
      <c r="Z1382" s="76">
        <f>IFERROR(Tabela3[[#This Row],[Qtde Oleo]]*(VLOOKUP(Tabela3[[#This Row],[Data]],CompraOleo[],3,TRUE))*1.05,0)</f>
        <v>92.930841432913297</v>
      </c>
      <c r="AA1382" s="47">
        <f ca="1">(Tabela3[[#This Row],[Custo Oleo]]+Tabela3[[#This Row],[Custo Aluminio]]+Tabela3[[#This Row],[Custo M.O. Total]]+Tabela3[[#This Row],[Custo Machos]])</f>
        <v>1387.1954586551356</v>
      </c>
      <c r="AB1382" s="47">
        <f ca="1">Tabela3[[#This Row],[Custo Total]]*Tabela3[[#This Row],[% Perda]]</f>
        <v>0</v>
      </c>
      <c r="AC1382" s="78">
        <f>IFERROR(VLOOKUP(Tabela3[[#This Row],[Produto]],Tabela2[],2,0),0)</f>
        <v>3</v>
      </c>
      <c r="AD1382" s="48">
        <f>IFERROR(VLOOKUP(Tabela3[[#This Row],[Produto]],Tabela2[],3,0),0)</f>
        <v>0.88400000000000001</v>
      </c>
      <c r="AE1382" s="48">
        <f>IFERROR(VLOOKUP(Tabela3[[#This Row],[Produto]],Tabela2[],4,0),0)</f>
        <v>4.6920000000000002</v>
      </c>
      <c r="AF1382" s="48">
        <f>IFERROR(VLOOKUP(Tabela3[[#This Row],[Produto]],Tabela2[],5,0),0)</f>
        <v>1.8360000000000001</v>
      </c>
      <c r="AG1382" s="48">
        <f>IFERROR(VLOOKUP(Tabela3[[#This Row],[Produto]],Tabela2[],6,0),0)</f>
        <v>0</v>
      </c>
      <c r="AH1382" s="78">
        <f>IFERROR(VLOOKUP(Tabela3[[#This Row],[Produto]],Tabela2[],7,0),0)</f>
        <v>9</v>
      </c>
      <c r="AI1382" s="78">
        <f>IFERROR(VLOOKUP(Tabela3[[#This Row],[Produto]],Tabela2[],8,0),0)</f>
        <v>1.401</v>
      </c>
      <c r="AJ1382" s="35">
        <f ca="1">IFERROR(VLOOKUP(Tabela3[[#This Row],[Produto]],Tabela2[],13,0),0)</f>
        <v>15.600000000000001</v>
      </c>
      <c r="AK1382" s="48" t="str">
        <f>IFERROR(VLOOKUP(Tabela3[[#This Row],[Produto]],Tabela2[],14,0),0)</f>
        <v>Jumil</v>
      </c>
      <c r="AL1382" s="78">
        <f>IFERROR(VLOOKUP(Tabela3[[#This Row],[Produto]],Tabela2[],15,0),0)</f>
        <v>10</v>
      </c>
      <c r="AM1382" s="79">
        <f ca="1">(Tabela3[[#This Row],[Custo Usinagem]]+Tabela3[[#This Row],[Custo / Pç]])*1.2</f>
        <v>44.639893144826715</v>
      </c>
      <c r="AN1382" s="36">
        <f ca="1">Tabela3[[#This Row],[Valor Mínimo Venda]]*1.15</f>
        <v>51.335877116550719</v>
      </c>
      <c r="AO1382" s="36">
        <f ca="1">Tabela3[[#This Row],[Tabela 1]]*1.08</f>
        <v>55.442747285874781</v>
      </c>
      <c r="AP1382" s="79">
        <f ca="1">Tabela3[[#This Row],[Tabela 2]]*1.15</f>
        <v>63.759159378755996</v>
      </c>
    </row>
    <row r="1383" spans="1:42">
      <c r="A1383" s="9">
        <v>46197</v>
      </c>
      <c r="B1383" s="9" t="s">
        <v>145</v>
      </c>
      <c r="C1383" s="14">
        <v>9971</v>
      </c>
      <c r="D1383" s="6" t="s">
        <v>44</v>
      </c>
      <c r="E1383" s="6" t="s">
        <v>47</v>
      </c>
      <c r="F1383" s="75">
        <v>8</v>
      </c>
      <c r="G1383" s="15">
        <v>3.9583333333333331E-2</v>
      </c>
      <c r="H1383" s="16">
        <v>0</v>
      </c>
      <c r="I1383" s="35">
        <f ca="1">IFERROR(Tabela3[[#This Row],[Custo Total]]/Tabela3[[#This Row],[Aluminio Util]],0)</f>
        <v>23.515046241187431</v>
      </c>
      <c r="J1383" s="76">
        <f ca="1">Tabela3[[#This Row],[Custo Total]]/Tabela3[[#This Row],[Realizado]]</f>
        <v>23.844256888564054</v>
      </c>
      <c r="K1383" s="37">
        <f>IFERROR(Tabela3[[#This Row],[Qtde Cx Produzida]]/Tabela3[[#This Row],[Tempo]]/24,0)</f>
        <v>8.4210526315789469</v>
      </c>
      <c r="L1383" s="37">
        <f>Tabela3[[#This Row],[Qtde Cx Produzida]]*Tabela3[[#This Row],[Qdt Peça Placa]]</f>
        <v>16</v>
      </c>
      <c r="M1383" s="37">
        <f>Tabela3[[#This Row],[Previsto]]-Tabela3[[#This Row],[Perda Pçs]]</f>
        <v>16</v>
      </c>
      <c r="N1383" s="38">
        <f>IFERROR(Tabela3[[#This Row],[Perda Pçs]]/Tabela3[[#This Row],[Previsto]],0)</f>
        <v>0</v>
      </c>
      <c r="O1383" s="39">
        <f>IFERROR(IF(Tabela3[[#This Row],[Qtde Cx Produzida]] &lt;&gt; 0, Tabela3[[#This Row],[Tempo]] / Tabela3[[#This Row],[Qtde Cx Produzida]], 0),0)</f>
        <v>4.9479166666666664E-3</v>
      </c>
      <c r="P1383" s="77">
        <f>IFERROR(Tabela3[[#This Row],[Perda Pçs]]/Tabela3[[#This Row],[Qdt Peça Placa]],0)</f>
        <v>0</v>
      </c>
      <c r="Q1383" s="37">
        <f>IFERROR(Tabela3[[#This Row],[Realizado]]*Tabela3[[#This Row],[Peso Util/Pç]],0)</f>
        <v>16.224</v>
      </c>
      <c r="R1383" s="37">
        <f>IFERROR(Tabela3[[#This Row],[Peso Total Galho]]*Tabela3[[#This Row],[Qtde Cx Produzida]]*1.055,0)</f>
        <v>30.299599999999998</v>
      </c>
      <c r="S1383" s="37">
        <f>(Tabela3[[#This Row],[Aluminio Bruto]]-Tabela3[[#This Row],[Aluminio Util]])*0.9</f>
        <v>12.668039999999998</v>
      </c>
      <c r="T1383" s="37">
        <f>Tabela3[[#This Row],[Aluminio Bruto]]/OleoKGAluminio</f>
        <v>12.747002542993588</v>
      </c>
      <c r="U1383" s="76">
        <f>IFERROR((VLOOKUP(Tabela3[[#This Row],[Moldador]],Tabela1[],5,)+(VLOOKUP(Tabela3[[#This Row],[Ajudante]],Tabela1[],5,))*3.5),0)</f>
        <v>99.95034583333333</v>
      </c>
      <c r="V1383" s="76">
        <f>IFERROR(Tabela3[[#This Row],[Custo M.O. / H]]/((Tabela3[[#This Row],[Realizado]]/Tabela3[[#This Row],[Qdt Peça Placa]])/Tabela3[[#This Row],[Tempo]]/24),)</f>
        <v>11.869103567708333</v>
      </c>
      <c r="W1383" s="76">
        <f>Tabela3[[#This Row],[Custo / Cx Moldada]]*Tabela3[[#This Row],[Qtde Cx Produzida]]</f>
        <v>94.952828541666662</v>
      </c>
      <c r="X1383" s="76">
        <f ca="1">Tabela3[[#This Row],[Aluminio Util]]*Tabela3[[#This Row],[Custo/Kg]]</f>
        <v>253.09440000000004</v>
      </c>
      <c r="Y1383" s="76">
        <f>IFERROR(VLOOKUP(Tabela3[[#This Row],[Data]],Tabela461213[],2,1)*(Tabela3[[#This Row],[Qtde Cx Produzida]]*Tabela3[[#This Row],[Qde macho / CX]]*Tabela3[[#This Row],[Peso Macho]]),)</f>
        <v>0</v>
      </c>
      <c r="Z1383" s="76">
        <f>IFERROR(Tabela3[[#This Row],[Qtde Oleo]]*(VLOOKUP(Tabela3[[#This Row],[Data]],CompraOleo[],3,TRUE))*1.05,0)</f>
        <v>33.460881675358166</v>
      </c>
      <c r="AA1383" s="47">
        <f ca="1">(Tabela3[[#This Row],[Custo Oleo]]+Tabela3[[#This Row],[Custo Aluminio]]+Tabela3[[#This Row],[Custo M.O. Total]]+Tabela3[[#This Row],[Custo Machos]])</f>
        <v>381.50811021702486</v>
      </c>
      <c r="AB1383" s="47">
        <f ca="1">Tabela3[[#This Row],[Custo Total]]*Tabela3[[#This Row],[% Perda]]</f>
        <v>0</v>
      </c>
      <c r="AC1383" s="78">
        <f>IFERROR(VLOOKUP(Tabela3[[#This Row],[Produto]],Tabela2[],2,0),0)</f>
        <v>2</v>
      </c>
      <c r="AD1383" s="48">
        <f>IFERROR(VLOOKUP(Tabela3[[#This Row],[Produto]],Tabela2[],3,0),0)</f>
        <v>1.014</v>
      </c>
      <c r="AE1383" s="48">
        <f>IFERROR(VLOOKUP(Tabela3[[#This Row],[Produto]],Tabela2[],4,0),0)</f>
        <v>3.59</v>
      </c>
      <c r="AF1383" s="48">
        <f>IFERROR(VLOOKUP(Tabela3[[#This Row],[Produto]],Tabela2[],5,0),0)</f>
        <v>1.4057999999999999</v>
      </c>
      <c r="AG1383" s="48">
        <f>IFERROR(VLOOKUP(Tabela3[[#This Row],[Produto]],Tabela2[],6,0),0)</f>
        <v>0</v>
      </c>
      <c r="AH1383" s="78">
        <f>IFERROR(VLOOKUP(Tabela3[[#This Row],[Produto]],Tabela2[],7,0),0)</f>
        <v>0</v>
      </c>
      <c r="AI1383" s="78">
        <f>IFERROR(VLOOKUP(Tabela3[[#This Row],[Produto]],Tabela2[],8,0),0)</f>
        <v>0</v>
      </c>
      <c r="AJ1383" s="35">
        <f ca="1">IFERROR(VLOOKUP(Tabela3[[#This Row],[Produto]],Tabela2[],13,0),0)</f>
        <v>15.600000000000001</v>
      </c>
      <c r="AK1383" s="48" t="str">
        <f>IFERROR(VLOOKUP(Tabela3[[#This Row],[Produto]],Tabela2[],14,0),0)</f>
        <v>Senun</v>
      </c>
      <c r="AL1383" s="78">
        <f>IFERROR(VLOOKUP(Tabela3[[#This Row],[Produto]],Tabela2[],15,0),0)</f>
        <v>6</v>
      </c>
      <c r="AM1383" s="79">
        <f ca="1">(Tabela3[[#This Row],[Custo Usinagem]]+Tabela3[[#This Row],[Custo / Pç]])*1.2</f>
        <v>35.813108266276863</v>
      </c>
      <c r="AN1383" s="36">
        <f ca="1">Tabela3[[#This Row],[Valor Mínimo Venda]]*1.15</f>
        <v>41.185074506218392</v>
      </c>
      <c r="AO1383" s="36">
        <f ca="1">Tabela3[[#This Row],[Tabela 1]]*1.08</f>
        <v>44.479880466715869</v>
      </c>
      <c r="AP1383" s="79">
        <f ca="1">Tabela3[[#This Row],[Tabela 2]]*1.15</f>
        <v>51.151862536723243</v>
      </c>
    </row>
    <row r="1384" spans="1:42">
      <c r="A1384" s="9">
        <v>46197</v>
      </c>
      <c r="B1384" s="9" t="s">
        <v>278</v>
      </c>
      <c r="C1384" s="14">
        <v>9973</v>
      </c>
      <c r="D1384" s="6" t="s">
        <v>44</v>
      </c>
      <c r="E1384" s="6" t="s">
        <v>47</v>
      </c>
      <c r="F1384" s="75">
        <v>5</v>
      </c>
      <c r="G1384" s="15">
        <v>2.2916666666666665E-2</v>
      </c>
      <c r="H1384" s="16">
        <v>0</v>
      </c>
      <c r="I1384" s="35">
        <f ca="1">IFERROR(Tabela3[[#This Row],[Custo Total]]/Tabela3[[#This Row],[Aluminio Util]],0)</f>
        <v>30.752578445815079</v>
      </c>
      <c r="J1384" s="76">
        <f ca="1">Tabela3[[#This Row],[Custo Total]]/Tabela3[[#This Row],[Realizado]]</f>
        <v>4.3053609824141112</v>
      </c>
      <c r="K1384" s="37">
        <f>IFERROR(Tabela3[[#This Row],[Qtde Cx Produzida]]/Tabela3[[#This Row],[Tempo]]/24,0)</f>
        <v>9.0909090909090917</v>
      </c>
      <c r="L1384" s="37">
        <f>Tabela3[[#This Row],[Qtde Cx Produzida]]*Tabela3[[#This Row],[Qdt Peça Placa]]</f>
        <v>30</v>
      </c>
      <c r="M1384" s="37">
        <f>Tabela3[[#This Row],[Previsto]]-Tabela3[[#This Row],[Perda Pçs]]</f>
        <v>30</v>
      </c>
      <c r="N1384" s="38">
        <f>IFERROR(Tabela3[[#This Row],[Perda Pçs]]/Tabela3[[#This Row],[Previsto]],0)</f>
        <v>0</v>
      </c>
      <c r="O1384" s="39">
        <f>IFERROR(IF(Tabela3[[#This Row],[Qtde Cx Produzida]] &lt;&gt; 0, Tabela3[[#This Row],[Tempo]] / Tabela3[[#This Row],[Qtde Cx Produzida]], 0),0)</f>
        <v>4.5833333333333334E-3</v>
      </c>
      <c r="P1384" s="77">
        <f>IFERROR(Tabela3[[#This Row],[Perda Pçs]]/Tabela3[[#This Row],[Qdt Peça Placa]],0)</f>
        <v>0</v>
      </c>
      <c r="Q1384" s="37">
        <f>IFERROR(Tabela3[[#This Row],[Realizado]]*Tabela3[[#This Row],[Peso Util/Pç]],0)</f>
        <v>4.2</v>
      </c>
      <c r="R1384" s="37">
        <f>IFERROR(Tabela3[[#This Row],[Peso Total Galho]]*Tabela3[[#This Row],[Qtde Cx Produzida]]*1.055,0)</f>
        <v>7.8491999999999988</v>
      </c>
      <c r="S1384" s="37">
        <f>(Tabela3[[#This Row],[Aluminio Bruto]]-Tabela3[[#This Row],[Aluminio Util]])*0.9</f>
        <v>3.284279999999999</v>
      </c>
      <c r="T1384" s="37">
        <f>Tabela3[[#This Row],[Aluminio Bruto]]/OleoKGAluminio</f>
        <v>3.3021482910819042</v>
      </c>
      <c r="U1384" s="76">
        <f>IFERROR((VLOOKUP(Tabela3[[#This Row],[Moldador]],Tabela1[],5,)+(VLOOKUP(Tabela3[[#This Row],[Ajudante]],Tabela1[],5,))*3.5),0)</f>
        <v>99.95034583333333</v>
      </c>
      <c r="V1384" s="76">
        <f>IFERROR(Tabela3[[#This Row],[Custo M.O. / H]]/((Tabela3[[#This Row],[Realizado]]/Tabela3[[#This Row],[Qdt Peça Placa]])/Tabela3[[#This Row],[Tempo]]/24),)</f>
        <v>10.994538041666665</v>
      </c>
      <c r="W1384" s="76">
        <f>Tabela3[[#This Row],[Custo / Cx Moldada]]*Tabela3[[#This Row],[Qtde Cx Produzida]]</f>
        <v>54.972690208333326</v>
      </c>
      <c r="X1384" s="76">
        <f ca="1">Tabela3[[#This Row],[Aluminio Util]]*Tabela3[[#This Row],[Custo/Kg]]</f>
        <v>65.52000000000001</v>
      </c>
      <c r="Y1384" s="76">
        <f>IFERROR(VLOOKUP(Tabela3[[#This Row],[Data]],Tabela461213[],2,1)*(Tabela3[[#This Row],[Qtde Cx Produzida]]*Tabela3[[#This Row],[Qde macho / CX]]*Tabela3[[#This Row],[Peso Macho]]),)</f>
        <v>0</v>
      </c>
      <c r="Z1384" s="76">
        <f>IFERROR(Tabela3[[#This Row],[Qtde Oleo]]*(VLOOKUP(Tabela3[[#This Row],[Data]],CompraOleo[],3,TRUE))*1.05,0)</f>
        <v>8.6681392640899997</v>
      </c>
      <c r="AA1384" s="47">
        <f ca="1">(Tabela3[[#This Row],[Custo Oleo]]+Tabela3[[#This Row],[Custo Aluminio]]+Tabela3[[#This Row],[Custo M.O. Total]]+Tabela3[[#This Row],[Custo Machos]])</f>
        <v>129.16082947242333</v>
      </c>
      <c r="AB1384" s="47">
        <f ca="1">Tabela3[[#This Row],[Custo Total]]*Tabela3[[#This Row],[% Perda]]</f>
        <v>0</v>
      </c>
      <c r="AC1384" s="78">
        <f>IFERROR(VLOOKUP(Tabela3[[#This Row],[Produto]],Tabela2[],2,0),0)</f>
        <v>6</v>
      </c>
      <c r="AD1384" s="48">
        <f>IFERROR(VLOOKUP(Tabela3[[#This Row],[Produto]],Tabela2[],3,0),0)</f>
        <v>0.14000000000000001</v>
      </c>
      <c r="AE1384" s="48">
        <f>IFERROR(VLOOKUP(Tabela3[[#This Row],[Produto]],Tabela2[],4,0),0)</f>
        <v>1.488</v>
      </c>
      <c r="AF1384" s="48">
        <f>IFERROR(VLOOKUP(Tabela3[[#This Row],[Produto]],Tabela2[],5,0),0)</f>
        <v>0.58319999999999994</v>
      </c>
      <c r="AG1384" s="48">
        <f>IFERROR(VLOOKUP(Tabela3[[#This Row],[Produto]],Tabela2[],6,0),0)</f>
        <v>0</v>
      </c>
      <c r="AH1384" s="78">
        <f>IFERROR(VLOOKUP(Tabela3[[#This Row],[Produto]],Tabela2[],7,0),0)</f>
        <v>0</v>
      </c>
      <c r="AI1384" s="78">
        <f>IFERROR(VLOOKUP(Tabela3[[#This Row],[Produto]],Tabela2[],8,0),0)</f>
        <v>0</v>
      </c>
      <c r="AJ1384" s="35">
        <f ca="1">IFERROR(VLOOKUP(Tabela3[[#This Row],[Produto]],Tabela2[],13,0),0)</f>
        <v>15.600000000000001</v>
      </c>
      <c r="AK1384" s="48" t="str">
        <f>IFERROR(VLOOKUP(Tabela3[[#This Row],[Produto]],Tabela2[],14,0),0)</f>
        <v>Senun</v>
      </c>
      <c r="AL1384" s="78">
        <f>IFERROR(VLOOKUP(Tabela3[[#This Row],[Produto]],Tabela2[],15,0),0)</f>
        <v>0</v>
      </c>
      <c r="AM1384" s="79">
        <f ca="1">(Tabela3[[#This Row],[Custo Usinagem]]+Tabela3[[#This Row],[Custo / Pç]])*1.2</f>
        <v>5.1664331788969333</v>
      </c>
      <c r="AN1384" s="36">
        <f ca="1">Tabela3[[#This Row],[Valor Mínimo Venda]]*1.15</f>
        <v>5.9413981557314726</v>
      </c>
      <c r="AO1384" s="36">
        <f ca="1">Tabela3[[#This Row],[Tabela 1]]*1.08</f>
        <v>6.416710008189991</v>
      </c>
      <c r="AP1384" s="79">
        <f ca="1">Tabela3[[#This Row],[Tabela 2]]*1.15</f>
        <v>7.3792165094184892</v>
      </c>
    </row>
    <row r="1385" spans="1:42">
      <c r="A1385" s="9">
        <v>46197</v>
      </c>
      <c r="B1385" s="9" t="s">
        <v>226</v>
      </c>
      <c r="C1385" s="14">
        <v>9972</v>
      </c>
      <c r="D1385" s="6" t="s">
        <v>44</v>
      </c>
      <c r="E1385" s="6" t="s">
        <v>47</v>
      </c>
      <c r="F1385" s="75">
        <v>8</v>
      </c>
      <c r="G1385" s="15">
        <v>3.1944444444444442E-2</v>
      </c>
      <c r="H1385" s="16">
        <v>0</v>
      </c>
      <c r="I1385" s="35">
        <f ca="1">IFERROR(Tabela3[[#This Row],[Custo Total]]/Tabela3[[#This Row],[Aluminio Util]],0)</f>
        <v>28.073166097052532</v>
      </c>
      <c r="J1385" s="76">
        <f ca="1">Tabela3[[#This Row],[Custo Total]]/Tabela3[[#This Row],[Realizado]]</f>
        <v>6.4568282023220824</v>
      </c>
      <c r="K1385" s="37">
        <f>IFERROR(Tabela3[[#This Row],[Qtde Cx Produzida]]/Tabela3[[#This Row],[Tempo]]/24,0)</f>
        <v>10.434782608695654</v>
      </c>
      <c r="L1385" s="37">
        <f>Tabela3[[#This Row],[Qtde Cx Produzida]]*Tabela3[[#This Row],[Qdt Peça Placa]]</f>
        <v>32</v>
      </c>
      <c r="M1385" s="37">
        <f>Tabela3[[#This Row],[Previsto]]-Tabela3[[#This Row],[Perda Pçs]]</f>
        <v>32</v>
      </c>
      <c r="N1385" s="38">
        <f>IFERROR(Tabela3[[#This Row],[Perda Pçs]]/Tabela3[[#This Row],[Previsto]],0)</f>
        <v>0</v>
      </c>
      <c r="O1385" s="39">
        <f>IFERROR(IF(Tabela3[[#This Row],[Qtde Cx Produzida]] &lt;&gt; 0, Tabela3[[#This Row],[Tempo]] / Tabela3[[#This Row],[Qtde Cx Produzida]], 0),0)</f>
        <v>3.9930555555555552E-3</v>
      </c>
      <c r="P1385" s="77">
        <f>IFERROR(Tabela3[[#This Row],[Perda Pçs]]/Tabela3[[#This Row],[Qdt Peça Placa]],0)</f>
        <v>0</v>
      </c>
      <c r="Q1385" s="37">
        <f>IFERROR(Tabela3[[#This Row],[Realizado]]*Tabela3[[#This Row],[Peso Util/Pç]],0)</f>
        <v>7.36</v>
      </c>
      <c r="R1385" s="37">
        <f>IFERROR(Tabela3[[#This Row],[Peso Total Galho]]*Tabela3[[#This Row],[Qtde Cx Produzida]]*1.055,0)</f>
        <v>13.740319999999999</v>
      </c>
      <c r="S1385" s="37">
        <f>(Tabela3[[#This Row],[Aluminio Bruto]]-Tabela3[[#This Row],[Aluminio Util]])*0.9</f>
        <v>5.7422879999999985</v>
      </c>
      <c r="T1385" s="37">
        <f>Tabela3[[#This Row],[Aluminio Bruto]]/OleoKGAluminio</f>
        <v>5.7805348579369253</v>
      </c>
      <c r="U1385" s="76">
        <f>IFERROR((VLOOKUP(Tabela3[[#This Row],[Moldador]],Tabela1[],5,)+(VLOOKUP(Tabela3[[#This Row],[Ajudante]],Tabela1[],5,))*3.5),0)</f>
        <v>99.95034583333333</v>
      </c>
      <c r="V1385" s="76">
        <f>IFERROR(Tabela3[[#This Row],[Custo M.O. / H]]/((Tabela3[[#This Row],[Realizado]]/Tabela3[[#This Row],[Qdt Peça Placa]])/Tabela3[[#This Row],[Tempo]]/24),)</f>
        <v>9.578574809027776</v>
      </c>
      <c r="W1385" s="76">
        <f>Tabela3[[#This Row],[Custo / Cx Moldada]]*Tabela3[[#This Row],[Qtde Cx Produzida]]</f>
        <v>76.628598472222208</v>
      </c>
      <c r="X1385" s="76">
        <f ca="1">Tabela3[[#This Row],[Aluminio Util]]*Tabela3[[#This Row],[Custo/Kg]]</f>
        <v>114.81600000000002</v>
      </c>
      <c r="Y1385" s="76">
        <f>IFERROR(VLOOKUP(Tabela3[[#This Row],[Data]],Tabela461213[],2,1)*(Tabela3[[#This Row],[Qtde Cx Produzida]]*Tabela3[[#This Row],[Qde macho / CX]]*Tabela3[[#This Row],[Peso Macho]]),)</f>
        <v>0</v>
      </c>
      <c r="Z1385" s="76">
        <f>IFERROR(Tabela3[[#This Row],[Qtde Oleo]]*(VLOOKUP(Tabela3[[#This Row],[Data]],CompraOleo[],3,TRUE))*1.05,0)</f>
        <v>15.173904002084429</v>
      </c>
      <c r="AA1385" s="47">
        <f ca="1">(Tabela3[[#This Row],[Custo Oleo]]+Tabela3[[#This Row],[Custo Aluminio]]+Tabela3[[#This Row],[Custo M.O. Total]]+Tabela3[[#This Row],[Custo Machos]])</f>
        <v>206.61850247430664</v>
      </c>
      <c r="AB1385" s="47">
        <f ca="1">Tabela3[[#This Row],[Custo Total]]*Tabela3[[#This Row],[% Perda]]</f>
        <v>0</v>
      </c>
      <c r="AC1385" s="78">
        <f>IFERROR(VLOOKUP(Tabela3[[#This Row],[Produto]],Tabela2[],2,0),0)</f>
        <v>4</v>
      </c>
      <c r="AD1385" s="48">
        <f>IFERROR(VLOOKUP(Tabela3[[#This Row],[Produto]],Tabela2[],3,0),0)</f>
        <v>0.23</v>
      </c>
      <c r="AE1385" s="48">
        <f>IFERROR(VLOOKUP(Tabela3[[#This Row],[Produto]],Tabela2[],4,0),0)</f>
        <v>1.6279999999999999</v>
      </c>
      <c r="AF1385" s="48">
        <f>IFERROR(VLOOKUP(Tabela3[[#This Row],[Produto]],Tabela2[],5,0),0)</f>
        <v>0.63719999999999988</v>
      </c>
      <c r="AG1385" s="48">
        <f>IFERROR(VLOOKUP(Tabela3[[#This Row],[Produto]],Tabela2[],6,0),0)</f>
        <v>0</v>
      </c>
      <c r="AH1385" s="78">
        <f>IFERROR(VLOOKUP(Tabela3[[#This Row],[Produto]],Tabela2[],7,0),0)</f>
        <v>0</v>
      </c>
      <c r="AI1385" s="78">
        <f>IFERROR(VLOOKUP(Tabela3[[#This Row],[Produto]],Tabela2[],8,0),0)</f>
        <v>0</v>
      </c>
      <c r="AJ1385" s="35">
        <f ca="1">IFERROR(VLOOKUP(Tabela3[[#This Row],[Produto]],Tabela2[],13,0),0)</f>
        <v>15.600000000000001</v>
      </c>
      <c r="AK1385" s="48" t="str">
        <f>IFERROR(VLOOKUP(Tabela3[[#This Row],[Produto]],Tabela2[],14,0),0)</f>
        <v>Senun</v>
      </c>
      <c r="AL1385" s="78">
        <f>IFERROR(VLOOKUP(Tabela3[[#This Row],[Produto]],Tabela2[],15,0),0)</f>
        <v>4</v>
      </c>
      <c r="AM1385" s="79">
        <f ca="1">(Tabela3[[#This Row],[Custo Usinagem]]+Tabela3[[#This Row],[Custo / Pç]])*1.2</f>
        <v>12.548193842786498</v>
      </c>
      <c r="AN1385" s="36">
        <f ca="1">Tabela3[[#This Row],[Valor Mínimo Venda]]*1.15</f>
        <v>14.430422919204471</v>
      </c>
      <c r="AO1385" s="36">
        <f ca="1">Tabela3[[#This Row],[Tabela 1]]*1.08</f>
        <v>15.58485675274083</v>
      </c>
      <c r="AP1385" s="79">
        <f ca="1">Tabela3[[#This Row],[Tabela 2]]*1.15</f>
        <v>17.922585265651954</v>
      </c>
    </row>
    <row r="1386" spans="1:42">
      <c r="A1386" s="9">
        <v>46197</v>
      </c>
      <c r="B1386" s="9" t="s">
        <v>100</v>
      </c>
      <c r="C1386" s="14">
        <v>10104</v>
      </c>
      <c r="D1386" s="6" t="s">
        <v>44</v>
      </c>
      <c r="E1386" s="6" t="s">
        <v>47</v>
      </c>
      <c r="F1386" s="75">
        <v>11</v>
      </c>
      <c r="G1386" s="15">
        <v>5.4166666666666669E-2</v>
      </c>
      <c r="H1386" s="16">
        <v>0</v>
      </c>
      <c r="I1386" s="35">
        <f ca="1">IFERROR(Tabela3[[#This Row],[Custo Total]]/Tabela3[[#This Row],[Aluminio Util]],0)</f>
        <v>29.579560881913672</v>
      </c>
      <c r="J1386" s="76">
        <f ca="1">Tabela3[[#This Row],[Custo Total]]/Tabela3[[#This Row],[Realizado]]</f>
        <v>17.747736529148202</v>
      </c>
      <c r="K1386" s="37">
        <f>IFERROR(Tabela3[[#This Row],[Qtde Cx Produzida]]/Tabela3[[#This Row],[Tempo]]/24,0)</f>
        <v>8.4615384615384617</v>
      </c>
      <c r="L1386" s="37">
        <f>Tabela3[[#This Row],[Qtde Cx Produzida]]*Tabela3[[#This Row],[Qdt Peça Placa]]</f>
        <v>22</v>
      </c>
      <c r="M1386" s="37">
        <f>Tabela3[[#This Row],[Previsto]]-Tabela3[[#This Row],[Perda Pçs]]</f>
        <v>22</v>
      </c>
      <c r="N1386" s="38">
        <f>IFERROR(Tabela3[[#This Row],[Perda Pçs]]/Tabela3[[#This Row],[Previsto]],0)</f>
        <v>0</v>
      </c>
      <c r="O1386" s="39">
        <f>IFERROR(IF(Tabela3[[#This Row],[Qtde Cx Produzida]] &lt;&gt; 0, Tabela3[[#This Row],[Tempo]] / Tabela3[[#This Row],[Qtde Cx Produzida]], 0),0)</f>
        <v>4.9242424242424247E-3</v>
      </c>
      <c r="P1386" s="77">
        <f>IFERROR(Tabela3[[#This Row],[Perda Pçs]]/Tabela3[[#This Row],[Qdt Peça Placa]],0)</f>
        <v>0</v>
      </c>
      <c r="Q1386" s="37">
        <f>IFERROR(Tabela3[[#This Row],[Realizado]]*Tabela3[[#This Row],[Peso Util/Pç]],0)</f>
        <v>13.2</v>
      </c>
      <c r="R1386" s="37">
        <f>IFERROR(Tabela3[[#This Row],[Peso Total Galho]]*Tabela3[[#This Row],[Qtde Cx Produzida]]*1.055,0)</f>
        <v>25.531000000000002</v>
      </c>
      <c r="S1386" s="37">
        <f>(Tabela3[[#This Row],[Aluminio Bruto]]-Tabela3[[#This Row],[Aluminio Util]])*0.9</f>
        <v>11.097900000000003</v>
      </c>
      <c r="T1386" s="37">
        <f>Tabela3[[#This Row],[Aluminio Bruto]]/OleoKGAluminio</f>
        <v>10.740858688734154</v>
      </c>
      <c r="U1386" s="76">
        <f>IFERROR((VLOOKUP(Tabela3[[#This Row],[Moldador]],Tabela1[],5,)+(VLOOKUP(Tabela3[[#This Row],[Ajudante]],Tabela1[],5,))*3.5),0)</f>
        <v>99.95034583333333</v>
      </c>
      <c r="V1386" s="76">
        <f>IFERROR(Tabela3[[#This Row],[Custo M.O. / H]]/((Tabela3[[#This Row],[Realizado]]/Tabela3[[#This Row],[Qdt Peça Placa]])/Tabela3[[#This Row],[Tempo]]/24),)</f>
        <v>11.812313598484847</v>
      </c>
      <c r="W1386" s="76">
        <f>Tabela3[[#This Row],[Custo / Cx Moldada]]*Tabela3[[#This Row],[Qtde Cx Produzida]]</f>
        <v>129.93544958333331</v>
      </c>
      <c r="X1386" s="76">
        <f ca="1">Tabela3[[#This Row],[Aluminio Util]]*Tabela3[[#This Row],[Custo/Kg]]</f>
        <v>232.32</v>
      </c>
      <c r="Y1386" s="76">
        <f>IFERROR(VLOOKUP(Tabela3[[#This Row],[Data]],Tabela461213[],2,1)*(Tabela3[[#This Row],[Qtde Cx Produzida]]*Tabela3[[#This Row],[Qde macho / CX]]*Tabela3[[#This Row],[Peso Macho]]),)</f>
        <v>0</v>
      </c>
      <c r="Z1386" s="76">
        <f>IFERROR(Tabela3[[#This Row],[Qtde Oleo]]*(VLOOKUP(Tabela3[[#This Row],[Data]],CompraOleo[],3,TRUE))*1.05,0)</f>
        <v>28.194754057927153</v>
      </c>
      <c r="AA1386" s="47">
        <f ca="1">(Tabela3[[#This Row],[Custo Oleo]]+Tabela3[[#This Row],[Custo Aluminio]]+Tabela3[[#This Row],[Custo M.O. Total]]+Tabela3[[#This Row],[Custo Machos]])</f>
        <v>390.45020364126043</v>
      </c>
      <c r="AB1386" s="47">
        <f ca="1">Tabela3[[#This Row],[Custo Total]]*Tabela3[[#This Row],[% Perda]]</f>
        <v>0</v>
      </c>
      <c r="AC1386" s="78">
        <f>IFERROR(VLOOKUP(Tabela3[[#This Row],[Produto]],Tabela2[],2,0),0)</f>
        <v>2</v>
      </c>
      <c r="AD1386" s="48">
        <f>IFERROR(VLOOKUP(Tabela3[[#This Row],[Produto]],Tabela2[],3,0),0)</f>
        <v>0.6</v>
      </c>
      <c r="AE1386" s="48">
        <f>IFERROR(VLOOKUP(Tabela3[[#This Row],[Produto]],Tabela2[],4,0),0)</f>
        <v>2.2000000000000002</v>
      </c>
      <c r="AF1386" s="48">
        <f>IFERROR(VLOOKUP(Tabela3[[#This Row],[Produto]],Tabela2[],5,0),0)</f>
        <v>0.90000000000000024</v>
      </c>
      <c r="AG1386" s="48">
        <f>IFERROR(VLOOKUP(Tabela3[[#This Row],[Produto]],Tabela2[],6,0),0)</f>
        <v>0</v>
      </c>
      <c r="AH1386" s="78">
        <f>IFERROR(VLOOKUP(Tabela3[[#This Row],[Produto]],Tabela2[],7,0),0)</f>
        <v>0</v>
      </c>
      <c r="AI1386" s="78">
        <f>IFERROR(VLOOKUP(Tabela3[[#This Row],[Produto]],Tabela2[],8,0),0)</f>
        <v>0</v>
      </c>
      <c r="AJ1386" s="35">
        <f ca="1">IFERROR(VLOOKUP(Tabela3[[#This Row],[Produto]],Tabela2[],13,0),0)</f>
        <v>17.600000000000001</v>
      </c>
      <c r="AK1386" s="48" t="str">
        <f>IFERROR(VLOOKUP(Tabela3[[#This Row],[Produto]],Tabela2[],14,0),0)</f>
        <v>Protec</v>
      </c>
      <c r="AL1386" s="78">
        <f>IFERROR(VLOOKUP(Tabela3[[#This Row],[Produto]],Tabela2[],15,0),0)</f>
        <v>0</v>
      </c>
      <c r="AM1386" s="79">
        <f ca="1">(Tabela3[[#This Row],[Custo Usinagem]]+Tabela3[[#This Row],[Custo / Pç]])*1.2</f>
        <v>21.297283834977843</v>
      </c>
      <c r="AN1386" s="36">
        <f ca="1">Tabela3[[#This Row],[Valor Mínimo Venda]]*1.15</f>
        <v>24.491876410224517</v>
      </c>
      <c r="AO1386" s="36">
        <f ca="1">Tabela3[[#This Row],[Tabela 1]]*1.08</f>
        <v>26.451226523042479</v>
      </c>
      <c r="AP1386" s="79">
        <f ca="1">Tabela3[[#This Row],[Tabela 2]]*1.15</f>
        <v>30.41891050149885</v>
      </c>
    </row>
    <row r="1387" spans="1:42">
      <c r="A1387" s="9">
        <v>46198</v>
      </c>
      <c r="B1387" s="9" t="s">
        <v>292</v>
      </c>
      <c r="C1387" s="14">
        <v>10110</v>
      </c>
      <c r="D1387" s="6" t="s">
        <v>44</v>
      </c>
      <c r="E1387" s="6" t="s">
        <v>47</v>
      </c>
      <c r="F1387" s="75">
        <v>2</v>
      </c>
      <c r="G1387" s="15">
        <v>2.1527777777777778E-2</v>
      </c>
      <c r="H1387" s="16">
        <v>0</v>
      </c>
      <c r="I1387" s="35">
        <f ca="1">IFERROR(Tabela3[[#This Row],[Custo Total]]/Tabela3[[#This Row],[Aluminio Util]],0)</f>
        <v>31.03124452204024</v>
      </c>
      <c r="J1387" s="76">
        <f ca="1">Tabela3[[#This Row],[Custo Total]]/Tabela3[[#This Row],[Realizado]]</f>
        <v>34.134368974244268</v>
      </c>
      <c r="K1387" s="37">
        <f>IFERROR(Tabela3[[#This Row],[Qtde Cx Produzida]]/Tabela3[[#This Row],[Tempo]]/24,0)</f>
        <v>3.870967741935484</v>
      </c>
      <c r="L1387" s="37">
        <f>Tabela3[[#This Row],[Qtde Cx Produzida]]*Tabela3[[#This Row],[Qdt Peça Placa]]</f>
        <v>4</v>
      </c>
      <c r="M1387" s="37">
        <f>Tabela3[[#This Row],[Previsto]]-Tabela3[[#This Row],[Perda Pçs]]</f>
        <v>4</v>
      </c>
      <c r="N1387" s="38">
        <f>IFERROR(Tabela3[[#This Row],[Perda Pçs]]/Tabela3[[#This Row],[Previsto]],0)</f>
        <v>0</v>
      </c>
      <c r="O1387" s="39">
        <f>IFERROR(IF(Tabela3[[#This Row],[Qtde Cx Produzida]] &lt;&gt; 0, Tabela3[[#This Row],[Tempo]] / Tabela3[[#This Row],[Qtde Cx Produzida]], 0),0)</f>
        <v>1.0763888888888889E-2</v>
      </c>
      <c r="P1387" s="77">
        <f>IFERROR(Tabela3[[#This Row],[Perda Pçs]]/Tabela3[[#This Row],[Qdt Peça Placa]],0)</f>
        <v>0</v>
      </c>
      <c r="Q1387" s="37">
        <f>IFERROR(Tabela3[[#This Row],[Realizado]]*Tabela3[[#This Row],[Peso Util/Pç]],0)</f>
        <v>4.4000000000000004</v>
      </c>
      <c r="R1387" s="37">
        <f>IFERROR(Tabela3[[#This Row],[Peso Total Galho]]*Tabela3[[#This Row],[Qtde Cx Produzida]]*1.055,0)</f>
        <v>6.7519999999999998</v>
      </c>
      <c r="S1387" s="37">
        <f>(Tabela3[[#This Row],[Aluminio Bruto]]-Tabela3[[#This Row],[Aluminio Util]])*0.9</f>
        <v>2.1167999999999996</v>
      </c>
      <c r="T1387" s="37">
        <f>Tabela3[[#This Row],[Aluminio Bruto]]/OleoKGAluminio</f>
        <v>2.8405576697478749</v>
      </c>
      <c r="U1387" s="76">
        <f>IFERROR((VLOOKUP(Tabela3[[#This Row],[Moldador]],Tabela1[],5,)+(VLOOKUP(Tabela3[[#This Row],[Ajudante]],Tabela1[],5,))*3.5),0)</f>
        <v>99.95034583333333</v>
      </c>
      <c r="V1387" s="76">
        <f>IFERROR(Tabela3[[#This Row],[Custo M.O. / H]]/((Tabela3[[#This Row],[Realizado]]/Tabela3[[#This Row],[Qdt Peça Placa]])/Tabela3[[#This Row],[Tempo]]/24),)</f>
        <v>25.820506006944441</v>
      </c>
      <c r="W1387" s="76">
        <f>Tabela3[[#This Row],[Custo / Cx Moldada]]*Tabela3[[#This Row],[Qtde Cx Produzida]]</f>
        <v>51.641012013888883</v>
      </c>
      <c r="X1387" s="76">
        <f ca="1">Tabela3[[#This Row],[Aluminio Util]]*Tabela3[[#This Row],[Custo/Kg]]</f>
        <v>77.440000000000012</v>
      </c>
      <c r="Y1387" s="76">
        <f>IFERROR(VLOOKUP(Tabela3[[#This Row],[Data]],Tabela461213[],2,1)*(Tabela3[[#This Row],[Qtde Cx Produzida]]*Tabela3[[#This Row],[Qde macho / CX]]*Tabela3[[#This Row],[Peso Macho]]),)</f>
        <v>0</v>
      </c>
      <c r="Z1387" s="76">
        <f>IFERROR(Tabela3[[#This Row],[Qtde Oleo]]*(VLOOKUP(Tabela3[[#This Row],[Data]],CompraOleo[],3,TRUE))*1.05,0)</f>
        <v>7.4564638830881727</v>
      </c>
      <c r="AA1387" s="47">
        <f ca="1">(Tabela3[[#This Row],[Custo Oleo]]+Tabela3[[#This Row],[Custo Aluminio]]+Tabela3[[#This Row],[Custo M.O. Total]]+Tabela3[[#This Row],[Custo Machos]])</f>
        <v>136.53747589697707</v>
      </c>
      <c r="AB1387" s="47">
        <f ca="1">Tabela3[[#This Row],[Custo Total]]*Tabela3[[#This Row],[% Perda]]</f>
        <v>0</v>
      </c>
      <c r="AC1387" s="78">
        <f>IFERROR(VLOOKUP(Tabela3[[#This Row],[Produto]],Tabela2[],2,0),0)</f>
        <v>2</v>
      </c>
      <c r="AD1387" s="48">
        <f>IFERROR(VLOOKUP(Tabela3[[#This Row],[Produto]],Tabela2[],3,0),0)</f>
        <v>1.1000000000000001</v>
      </c>
      <c r="AE1387" s="48">
        <f>IFERROR(VLOOKUP(Tabela3[[#This Row],[Produto]],Tabela2[],4,0),0)</f>
        <v>3.2</v>
      </c>
      <c r="AF1387" s="48">
        <f>IFERROR(VLOOKUP(Tabela3[[#This Row],[Produto]],Tabela2[],5,0),0)</f>
        <v>0.9</v>
      </c>
      <c r="AG1387" s="48">
        <f>IFERROR(VLOOKUP(Tabela3[[#This Row],[Produto]],Tabela2[],6,0),0)</f>
        <v>0</v>
      </c>
      <c r="AH1387" s="78">
        <f>IFERROR(VLOOKUP(Tabela3[[#This Row],[Produto]],Tabela2[],7,0),0)</f>
        <v>0</v>
      </c>
      <c r="AI1387" s="78">
        <f>IFERROR(VLOOKUP(Tabela3[[#This Row],[Produto]],Tabela2[],8,0),0)</f>
        <v>0</v>
      </c>
      <c r="AJ1387" s="35">
        <f ca="1">IFERROR(VLOOKUP(Tabela3[[#This Row],[Produto]],Tabela2[],13,0),0)</f>
        <v>17.600000000000001</v>
      </c>
      <c r="AK1387" s="48" t="str">
        <f>IFERROR(VLOOKUP(Tabela3[[#This Row],[Produto]],Tabela2[],14,0),0)</f>
        <v>TPA/TEMPLA</v>
      </c>
      <c r="AL1387" s="78">
        <f>IFERROR(VLOOKUP(Tabela3[[#This Row],[Produto]],Tabela2[],15,0),0)</f>
        <v>0</v>
      </c>
      <c r="AM1387" s="79">
        <f ca="1">(Tabela3[[#This Row],[Custo Usinagem]]+Tabela3[[#This Row],[Custo / Pç]])*1.2</f>
        <v>40.961242769093118</v>
      </c>
      <c r="AN1387" s="36">
        <f ca="1">Tabela3[[#This Row],[Valor Mínimo Venda]]*1.15</f>
        <v>47.10542918445708</v>
      </c>
      <c r="AO1387" s="36">
        <f ca="1">Tabela3[[#This Row],[Tabela 1]]*1.08</f>
        <v>50.87386351921365</v>
      </c>
      <c r="AP1387" s="79">
        <f ca="1">Tabela3[[#This Row],[Tabela 2]]*1.15</f>
        <v>58.504943047095693</v>
      </c>
    </row>
    <row r="1388" spans="1:42">
      <c r="A1388" s="9">
        <v>46198</v>
      </c>
      <c r="B1388" s="9" t="s">
        <v>100</v>
      </c>
      <c r="C1388" s="14">
        <v>10104</v>
      </c>
      <c r="D1388" s="6" t="s">
        <v>44</v>
      </c>
      <c r="E1388" s="6" t="s">
        <v>47</v>
      </c>
      <c r="F1388" s="75">
        <v>4</v>
      </c>
      <c r="G1388" s="15">
        <v>2.1527777777777778E-2</v>
      </c>
      <c r="H1388" s="16">
        <v>0</v>
      </c>
      <c r="I1388" s="35">
        <f ca="1">IFERROR(Tabela3[[#This Row],[Custo Total]]/Tabela3[[#This Row],[Aluminio Util]],0)</f>
        <v>30.49451038606982</v>
      </c>
      <c r="J1388" s="76">
        <f ca="1">Tabela3[[#This Row],[Custo Total]]/Tabela3[[#This Row],[Realizado]]</f>
        <v>18.296706231641892</v>
      </c>
      <c r="K1388" s="37">
        <f>IFERROR(Tabela3[[#This Row],[Qtde Cx Produzida]]/Tabela3[[#This Row],[Tempo]]/24,0)</f>
        <v>7.741935483870968</v>
      </c>
      <c r="L1388" s="37">
        <f>Tabela3[[#This Row],[Qtde Cx Produzida]]*Tabela3[[#This Row],[Qdt Peça Placa]]</f>
        <v>8</v>
      </c>
      <c r="M1388" s="37">
        <f>Tabela3[[#This Row],[Previsto]]-Tabela3[[#This Row],[Perda Pçs]]</f>
        <v>8</v>
      </c>
      <c r="N1388" s="38">
        <f>IFERROR(Tabela3[[#This Row],[Perda Pçs]]/Tabela3[[#This Row],[Previsto]],0)</f>
        <v>0</v>
      </c>
      <c r="O1388" s="39">
        <f>IFERROR(IF(Tabela3[[#This Row],[Qtde Cx Produzida]] &lt;&gt; 0, Tabela3[[#This Row],[Tempo]] / Tabela3[[#This Row],[Qtde Cx Produzida]], 0),0)</f>
        <v>5.3819444444444444E-3</v>
      </c>
      <c r="P1388" s="77">
        <f>IFERROR(Tabela3[[#This Row],[Perda Pçs]]/Tabela3[[#This Row],[Qdt Peça Placa]],0)</f>
        <v>0</v>
      </c>
      <c r="Q1388" s="37">
        <f>IFERROR(Tabela3[[#This Row],[Realizado]]*Tabela3[[#This Row],[Peso Util/Pç]],0)</f>
        <v>4.8</v>
      </c>
      <c r="R1388" s="37">
        <f>IFERROR(Tabela3[[#This Row],[Peso Total Galho]]*Tabela3[[#This Row],[Qtde Cx Produzida]]*1.055,0)</f>
        <v>9.2840000000000007</v>
      </c>
      <c r="S1388" s="37">
        <f>(Tabela3[[#This Row],[Aluminio Bruto]]-Tabela3[[#This Row],[Aluminio Util]])*0.9</f>
        <v>4.0356000000000005</v>
      </c>
      <c r="T1388" s="37">
        <f>Tabela3[[#This Row],[Aluminio Bruto]]/OleoKGAluminio</f>
        <v>3.9057667959033284</v>
      </c>
      <c r="U1388" s="76">
        <f>IFERROR((VLOOKUP(Tabela3[[#This Row],[Moldador]],Tabela1[],5,)+(VLOOKUP(Tabela3[[#This Row],[Ajudante]],Tabela1[],5,))*3.5),0)</f>
        <v>99.95034583333333</v>
      </c>
      <c r="V1388" s="76">
        <f>IFERROR(Tabela3[[#This Row],[Custo M.O. / H]]/((Tabela3[[#This Row],[Realizado]]/Tabela3[[#This Row],[Qdt Peça Placa]])/Tabela3[[#This Row],[Tempo]]/24),)</f>
        <v>12.910253003472221</v>
      </c>
      <c r="W1388" s="76">
        <f>Tabela3[[#This Row],[Custo / Cx Moldada]]*Tabela3[[#This Row],[Qtde Cx Produzida]]</f>
        <v>51.641012013888883</v>
      </c>
      <c r="X1388" s="76">
        <f ca="1">Tabela3[[#This Row],[Aluminio Util]]*Tabela3[[#This Row],[Custo/Kg]]</f>
        <v>84.48</v>
      </c>
      <c r="Y1388" s="76">
        <f>IFERROR(VLOOKUP(Tabela3[[#This Row],[Data]],Tabela461213[],2,1)*(Tabela3[[#This Row],[Qtde Cx Produzida]]*Tabela3[[#This Row],[Qde macho / CX]]*Tabela3[[#This Row],[Peso Macho]]),)</f>
        <v>0</v>
      </c>
      <c r="Z1388" s="76">
        <f>IFERROR(Tabela3[[#This Row],[Qtde Oleo]]*(VLOOKUP(Tabela3[[#This Row],[Data]],CompraOleo[],3,TRUE))*1.05,0)</f>
        <v>10.252637839246237</v>
      </c>
      <c r="AA1388" s="47">
        <f ca="1">(Tabela3[[#This Row],[Custo Oleo]]+Tabela3[[#This Row],[Custo Aluminio]]+Tabela3[[#This Row],[Custo M.O. Total]]+Tabela3[[#This Row],[Custo Machos]])</f>
        <v>146.37364985313513</v>
      </c>
      <c r="AB1388" s="47">
        <f ca="1">Tabela3[[#This Row],[Custo Total]]*Tabela3[[#This Row],[% Perda]]</f>
        <v>0</v>
      </c>
      <c r="AC1388" s="78">
        <f>IFERROR(VLOOKUP(Tabela3[[#This Row],[Produto]],Tabela2[],2,0),0)</f>
        <v>2</v>
      </c>
      <c r="AD1388" s="48">
        <f>IFERROR(VLOOKUP(Tabela3[[#This Row],[Produto]],Tabela2[],3,0),0)</f>
        <v>0.6</v>
      </c>
      <c r="AE1388" s="48">
        <f>IFERROR(VLOOKUP(Tabela3[[#This Row],[Produto]],Tabela2[],4,0),0)</f>
        <v>2.2000000000000002</v>
      </c>
      <c r="AF1388" s="48">
        <f>IFERROR(VLOOKUP(Tabela3[[#This Row],[Produto]],Tabela2[],5,0),0)</f>
        <v>0.90000000000000024</v>
      </c>
      <c r="AG1388" s="48">
        <f>IFERROR(VLOOKUP(Tabela3[[#This Row],[Produto]],Tabela2[],6,0),0)</f>
        <v>0</v>
      </c>
      <c r="AH1388" s="78">
        <f>IFERROR(VLOOKUP(Tabela3[[#This Row],[Produto]],Tabela2[],7,0),0)</f>
        <v>0</v>
      </c>
      <c r="AI1388" s="78">
        <f>IFERROR(VLOOKUP(Tabela3[[#This Row],[Produto]],Tabela2[],8,0),0)</f>
        <v>0</v>
      </c>
      <c r="AJ1388" s="35">
        <f ca="1">IFERROR(VLOOKUP(Tabela3[[#This Row],[Produto]],Tabela2[],13,0),0)</f>
        <v>17.600000000000001</v>
      </c>
      <c r="AK1388" s="48" t="str">
        <f>IFERROR(VLOOKUP(Tabela3[[#This Row],[Produto]],Tabela2[],14,0),0)</f>
        <v>Protec</v>
      </c>
      <c r="AL1388" s="78">
        <f>IFERROR(VLOOKUP(Tabela3[[#This Row],[Produto]],Tabela2[],15,0),0)</f>
        <v>0</v>
      </c>
      <c r="AM1388" s="79">
        <f ca="1">(Tabela3[[#This Row],[Custo Usinagem]]+Tabela3[[#This Row],[Custo / Pç]])*1.2</f>
        <v>21.956047477970269</v>
      </c>
      <c r="AN1388" s="36">
        <f ca="1">Tabela3[[#This Row],[Valor Mínimo Venda]]*1.15</f>
        <v>25.249454599665807</v>
      </c>
      <c r="AO1388" s="36">
        <f ca="1">Tabela3[[#This Row],[Tabela 1]]*1.08</f>
        <v>27.269410967639072</v>
      </c>
      <c r="AP1388" s="79">
        <f ca="1">Tabela3[[#This Row],[Tabela 2]]*1.15</f>
        <v>31.359822612784932</v>
      </c>
    </row>
    <row r="1389" spans="1:42">
      <c r="A1389" s="9">
        <v>46198</v>
      </c>
      <c r="B1389" s="9" t="s">
        <v>101</v>
      </c>
      <c r="C1389" s="14">
        <v>10105</v>
      </c>
      <c r="D1389" s="6" t="s">
        <v>44</v>
      </c>
      <c r="E1389" s="6" t="s">
        <v>47</v>
      </c>
      <c r="F1389" s="75">
        <v>15</v>
      </c>
      <c r="G1389" s="15">
        <v>7.3611111111111113E-2</v>
      </c>
      <c r="H1389" s="16">
        <v>0</v>
      </c>
      <c r="I1389" s="35">
        <f ca="1">IFERROR(Tabela3[[#This Row],[Custo Total]]/Tabela3[[#This Row],[Aluminio Util]],0)</f>
        <v>29.545907566818276</v>
      </c>
      <c r="J1389" s="76">
        <f ca="1">Tabela3[[#This Row],[Custo Total]]/Tabela3[[#This Row],[Realizado]]</f>
        <v>17.727544540090964</v>
      </c>
      <c r="K1389" s="37">
        <f>IFERROR(Tabela3[[#This Row],[Qtde Cx Produzida]]/Tabela3[[#This Row],[Tempo]]/24,0)</f>
        <v>8.4905660377358494</v>
      </c>
      <c r="L1389" s="37">
        <f>Tabela3[[#This Row],[Qtde Cx Produzida]]*Tabela3[[#This Row],[Qdt Peça Placa]]</f>
        <v>30</v>
      </c>
      <c r="M1389" s="37">
        <f>Tabela3[[#This Row],[Previsto]]-Tabela3[[#This Row],[Perda Pçs]]</f>
        <v>30</v>
      </c>
      <c r="N1389" s="38">
        <f>IFERROR(Tabela3[[#This Row],[Perda Pçs]]/Tabela3[[#This Row],[Previsto]],0)</f>
        <v>0</v>
      </c>
      <c r="O1389" s="39">
        <f>IFERROR(IF(Tabela3[[#This Row],[Qtde Cx Produzida]] &lt;&gt; 0, Tabela3[[#This Row],[Tempo]] / Tabela3[[#This Row],[Qtde Cx Produzida]], 0),0)</f>
        <v>4.9074074074074072E-3</v>
      </c>
      <c r="P1389" s="77">
        <f>IFERROR(Tabela3[[#This Row],[Perda Pçs]]/Tabela3[[#This Row],[Qdt Peça Placa]],0)</f>
        <v>0</v>
      </c>
      <c r="Q1389" s="37">
        <f>IFERROR(Tabela3[[#This Row],[Realizado]]*Tabela3[[#This Row],[Peso Util/Pç]],0)</f>
        <v>18</v>
      </c>
      <c r="R1389" s="37">
        <f>IFERROR(Tabela3[[#This Row],[Peso Total Galho]]*Tabela3[[#This Row],[Qtde Cx Produzida]]*1.055,0)</f>
        <v>34.814999999999998</v>
      </c>
      <c r="S1389" s="37">
        <f>(Tabela3[[#This Row],[Aluminio Bruto]]-Tabela3[[#This Row],[Aluminio Util]])*0.9</f>
        <v>15.133499999999998</v>
      </c>
      <c r="T1389" s="37">
        <f>Tabela3[[#This Row],[Aluminio Bruto]]/OleoKGAluminio</f>
        <v>14.646625484637481</v>
      </c>
      <c r="U1389" s="76">
        <f>IFERROR((VLOOKUP(Tabela3[[#This Row],[Moldador]],Tabela1[],5,)+(VLOOKUP(Tabela3[[#This Row],[Ajudante]],Tabela1[],5,))*3.5),0)</f>
        <v>99.95034583333333</v>
      </c>
      <c r="V1389" s="76">
        <f>IFERROR(Tabela3[[#This Row],[Custo M.O. / H]]/((Tabela3[[#This Row],[Realizado]]/Tabela3[[#This Row],[Qdt Peça Placa]])/Tabela3[[#This Row],[Tempo]]/24),)</f>
        <v>11.77192962037037</v>
      </c>
      <c r="W1389" s="76">
        <f>Tabela3[[#This Row],[Custo / Cx Moldada]]*Tabela3[[#This Row],[Qtde Cx Produzida]]</f>
        <v>176.57894430555555</v>
      </c>
      <c r="X1389" s="76">
        <f ca="1">Tabela3[[#This Row],[Aluminio Util]]*Tabela3[[#This Row],[Custo/Kg]]</f>
        <v>316.8</v>
      </c>
      <c r="Y1389" s="76">
        <f>IFERROR(VLOOKUP(Tabela3[[#This Row],[Data]],Tabela461213[],2,1)*(Tabela3[[#This Row],[Qtde Cx Produzida]]*Tabela3[[#This Row],[Qde macho / CX]]*Tabela3[[#This Row],[Peso Macho]]),)</f>
        <v>0</v>
      </c>
      <c r="Z1389" s="76">
        <f>IFERROR(Tabela3[[#This Row],[Qtde Oleo]]*(VLOOKUP(Tabela3[[#This Row],[Data]],CompraOleo[],3,TRUE))*1.05,0)</f>
        <v>38.447391897173382</v>
      </c>
      <c r="AA1389" s="47">
        <f ca="1">(Tabela3[[#This Row],[Custo Oleo]]+Tabela3[[#This Row],[Custo Aluminio]]+Tabela3[[#This Row],[Custo M.O. Total]]+Tabela3[[#This Row],[Custo Machos]])</f>
        <v>531.82633620272895</v>
      </c>
      <c r="AB1389" s="47">
        <f ca="1">Tabela3[[#This Row],[Custo Total]]*Tabela3[[#This Row],[% Perda]]</f>
        <v>0</v>
      </c>
      <c r="AC1389" s="78">
        <f>IFERROR(VLOOKUP(Tabela3[[#This Row],[Produto]],Tabela2[],2,0),0)</f>
        <v>2</v>
      </c>
      <c r="AD1389" s="48">
        <f>IFERROR(VLOOKUP(Tabela3[[#This Row],[Produto]],Tabela2[],3,0),0)</f>
        <v>0.6</v>
      </c>
      <c r="AE1389" s="48">
        <f>IFERROR(VLOOKUP(Tabela3[[#This Row],[Produto]],Tabela2[],4,0),0)</f>
        <v>2.2000000000000002</v>
      </c>
      <c r="AF1389" s="48">
        <f>IFERROR(VLOOKUP(Tabela3[[#This Row],[Produto]],Tabela2[],5,0),0)</f>
        <v>0.90000000000000024</v>
      </c>
      <c r="AG1389" s="48">
        <f>IFERROR(VLOOKUP(Tabela3[[#This Row],[Produto]],Tabela2[],6,0),0)</f>
        <v>0</v>
      </c>
      <c r="AH1389" s="78">
        <f>IFERROR(VLOOKUP(Tabela3[[#This Row],[Produto]],Tabela2[],7,0),0)</f>
        <v>0</v>
      </c>
      <c r="AI1389" s="78">
        <f>IFERROR(VLOOKUP(Tabela3[[#This Row],[Produto]],Tabela2[],8,0),0)</f>
        <v>0</v>
      </c>
      <c r="AJ1389" s="35">
        <f ca="1">IFERROR(VLOOKUP(Tabela3[[#This Row],[Produto]],Tabela2[],13,0),0)</f>
        <v>17.600000000000001</v>
      </c>
      <c r="AK1389" s="48" t="str">
        <f>IFERROR(VLOOKUP(Tabela3[[#This Row],[Produto]],Tabela2[],14,0),0)</f>
        <v>Protec</v>
      </c>
      <c r="AL1389" s="78">
        <f>IFERROR(VLOOKUP(Tabela3[[#This Row],[Produto]],Tabela2[],15,0),0)</f>
        <v>0</v>
      </c>
      <c r="AM1389" s="79">
        <f ca="1">(Tabela3[[#This Row],[Custo Usinagem]]+Tabela3[[#This Row],[Custo / Pç]])*1.2</f>
        <v>21.273053448109156</v>
      </c>
      <c r="AN1389" s="36">
        <f ca="1">Tabela3[[#This Row],[Valor Mínimo Venda]]*1.15</f>
        <v>24.464011465325527</v>
      </c>
      <c r="AO1389" s="36">
        <f ca="1">Tabela3[[#This Row],[Tabela 1]]*1.08</f>
        <v>26.421132382551569</v>
      </c>
      <c r="AP1389" s="79">
        <f ca="1">Tabela3[[#This Row],[Tabela 2]]*1.15</f>
        <v>30.384302239934303</v>
      </c>
    </row>
    <row r="1390" spans="1:42">
      <c r="A1390" s="9">
        <v>46198</v>
      </c>
      <c r="B1390" s="9" t="s">
        <v>235</v>
      </c>
      <c r="C1390" s="14">
        <v>10113</v>
      </c>
      <c r="D1390" s="6" t="s">
        <v>44</v>
      </c>
      <c r="E1390" s="6" t="s">
        <v>47</v>
      </c>
      <c r="F1390" s="75">
        <v>43</v>
      </c>
      <c r="G1390" s="15">
        <v>0.19930555555555557</v>
      </c>
      <c r="H1390" s="16">
        <v>0</v>
      </c>
      <c r="I1390" s="35">
        <f ca="1">IFERROR(Tabela3[[#This Row],[Custo Total]]/Tabela3[[#This Row],[Aluminio Util]],0)</f>
        <v>23.031582027914716</v>
      </c>
      <c r="J1390" s="76">
        <f ca="1">Tabela3[[#This Row],[Custo Total]]/Tabela3[[#This Row],[Realizado]]</f>
        <v>7.047664100541903</v>
      </c>
      <c r="K1390" s="37">
        <f>IFERROR(Tabela3[[#This Row],[Qtde Cx Produzida]]/Tabela3[[#This Row],[Tempo]]/24,0)</f>
        <v>8.989547038327526</v>
      </c>
      <c r="L1390" s="37">
        <f>Tabela3[[#This Row],[Qtde Cx Produzida]]*Tabela3[[#This Row],[Qdt Peça Placa]]</f>
        <v>258</v>
      </c>
      <c r="M1390" s="37">
        <f>Tabela3[[#This Row],[Previsto]]-Tabela3[[#This Row],[Perda Pçs]]</f>
        <v>258</v>
      </c>
      <c r="N1390" s="38">
        <f>IFERROR(Tabela3[[#This Row],[Perda Pçs]]/Tabela3[[#This Row],[Previsto]],0)</f>
        <v>0</v>
      </c>
      <c r="O1390" s="39">
        <f>IFERROR(IF(Tabela3[[#This Row],[Qtde Cx Produzida]] &lt;&gt; 0, Tabela3[[#This Row],[Tempo]] / Tabela3[[#This Row],[Qtde Cx Produzida]], 0),0)</f>
        <v>4.6350129198966415E-3</v>
      </c>
      <c r="P1390" s="77">
        <f>IFERROR(Tabela3[[#This Row],[Perda Pçs]]/Tabela3[[#This Row],[Qdt Peça Placa]],0)</f>
        <v>0</v>
      </c>
      <c r="Q1390" s="37">
        <f>IFERROR(Tabela3[[#This Row],[Realizado]]*Tabela3[[#This Row],[Peso Util/Pç]],0)</f>
        <v>78.947999999999993</v>
      </c>
      <c r="R1390" s="37">
        <f>IFERROR(Tabela3[[#This Row],[Peso Total Galho]]*Tabela3[[#This Row],[Qtde Cx Produzida]]*1.055,0)</f>
        <v>98.351320000000001</v>
      </c>
      <c r="S1390" s="37">
        <f>(Tabela3[[#This Row],[Aluminio Bruto]]-Tabela3[[#This Row],[Aluminio Util]])*0.9</f>
        <v>17.462988000000006</v>
      </c>
      <c r="T1390" s="37">
        <f>Tabela3[[#This Row],[Aluminio Bruto]]/OleoKGAluminio</f>
        <v>41.376273156964984</v>
      </c>
      <c r="U1390" s="76">
        <f>IFERROR((VLOOKUP(Tabela3[[#This Row],[Moldador]],Tabela1[],5,)+(VLOOKUP(Tabela3[[#This Row],[Ajudante]],Tabela1[],5,))*3.5),0)</f>
        <v>99.95034583333333</v>
      </c>
      <c r="V1390" s="76">
        <f>IFERROR(Tabela3[[#This Row],[Custo M.O. / H]]/((Tabela3[[#This Row],[Realizado]]/Tabela3[[#This Row],[Qdt Peça Placa]])/Tabela3[[#This Row],[Tempo]]/24),)</f>
        <v>11.118507462855296</v>
      </c>
      <c r="W1390" s="76">
        <f>Tabela3[[#This Row],[Custo / Cx Moldada]]*Tabela3[[#This Row],[Qtde Cx Produzida]]</f>
        <v>478.09582090277775</v>
      </c>
      <c r="X1390" s="76">
        <f ca="1">Tabela3[[#This Row],[Aluminio Util]]*Tabela3[[#This Row],[Custo/Kg]]</f>
        <v>1231.5888</v>
      </c>
      <c r="Y1390" s="76">
        <f>IFERROR(VLOOKUP(Tabela3[[#This Row],[Data]],Tabela461213[],2,1)*(Tabela3[[#This Row],[Qtde Cx Produzida]]*Tabela3[[#This Row],[Qde macho / CX]]*Tabela3[[#This Row],[Peso Macho]]),)</f>
        <v>0</v>
      </c>
      <c r="Z1390" s="76">
        <f>IFERROR(Tabela3[[#This Row],[Qtde Oleo]]*(VLOOKUP(Tabela3[[#This Row],[Data]],CompraOleo[],3,TRUE))*1.05,0)</f>
        <v>108.61271703703309</v>
      </c>
      <c r="AA1390" s="47">
        <f ca="1">(Tabela3[[#This Row],[Custo Oleo]]+Tabela3[[#This Row],[Custo Aluminio]]+Tabela3[[#This Row],[Custo M.O. Total]]+Tabela3[[#This Row],[Custo Machos]])</f>
        <v>1818.2973379398109</v>
      </c>
      <c r="AB1390" s="47">
        <f ca="1">Tabela3[[#This Row],[Custo Total]]*Tabela3[[#This Row],[% Perda]]</f>
        <v>0</v>
      </c>
      <c r="AC1390" s="78">
        <f>IFERROR(VLOOKUP(Tabela3[[#This Row],[Produto]],Tabela2[],2,0),0)</f>
        <v>6</v>
      </c>
      <c r="AD1390" s="48">
        <f>IFERROR(VLOOKUP(Tabela3[[#This Row],[Produto]],Tabela2[],3,0),0)</f>
        <v>0.30599999999999999</v>
      </c>
      <c r="AE1390" s="48">
        <f>IFERROR(VLOOKUP(Tabela3[[#This Row],[Produto]],Tabela2[],4,0),0)</f>
        <v>2.1680000000000001</v>
      </c>
      <c r="AF1390" s="48">
        <f>IFERROR(VLOOKUP(Tabela3[[#This Row],[Produto]],Tabela2[],5,0),0)</f>
        <v>0.29880000000000029</v>
      </c>
      <c r="AG1390" s="48">
        <f>IFERROR(VLOOKUP(Tabela3[[#This Row],[Produto]],Tabela2[],6,0),0)</f>
        <v>0</v>
      </c>
      <c r="AH1390" s="78">
        <f>IFERROR(VLOOKUP(Tabela3[[#This Row],[Produto]],Tabela2[],7,0),0)</f>
        <v>0</v>
      </c>
      <c r="AI1390" s="78">
        <f>IFERROR(VLOOKUP(Tabela3[[#This Row],[Produto]],Tabela2[],8,0),0)</f>
        <v>0</v>
      </c>
      <c r="AJ1390" s="35">
        <f ca="1">IFERROR(VLOOKUP(Tabela3[[#This Row],[Produto]],Tabela2[],13,0),0)</f>
        <v>15.600000000000001</v>
      </c>
      <c r="AK1390" s="48" t="str">
        <f>IFERROR(VLOOKUP(Tabela3[[#This Row],[Produto]],Tabela2[],14,0),0)</f>
        <v>Senun</v>
      </c>
      <c r="AL1390" s="78">
        <f>IFERROR(VLOOKUP(Tabela3[[#This Row],[Produto]],Tabela2[],15,0),0)</f>
        <v>4</v>
      </c>
      <c r="AM1390" s="79">
        <f ca="1">(Tabela3[[#This Row],[Custo Usinagem]]+Tabela3[[#This Row],[Custo / Pç]])*1.2</f>
        <v>13.257196920650284</v>
      </c>
      <c r="AN1390" s="36">
        <f ca="1">Tabela3[[#This Row],[Valor Mínimo Venda]]*1.15</f>
        <v>15.245776458747825</v>
      </c>
      <c r="AO1390" s="36">
        <f ca="1">Tabela3[[#This Row],[Tabela 1]]*1.08</f>
        <v>16.465438575447653</v>
      </c>
      <c r="AP1390" s="79">
        <f ca="1">Tabela3[[#This Row],[Tabela 2]]*1.15</f>
        <v>18.935254361764798</v>
      </c>
    </row>
    <row r="1391" spans="1:42">
      <c r="A1391" s="9">
        <v>46199</v>
      </c>
      <c r="B1391" s="9" t="s">
        <v>235</v>
      </c>
      <c r="C1391" s="14">
        <v>10113</v>
      </c>
      <c r="D1391" s="6" t="s">
        <v>44</v>
      </c>
      <c r="E1391" s="6" t="s">
        <v>47</v>
      </c>
      <c r="F1391" s="75">
        <v>70</v>
      </c>
      <c r="G1391" s="15">
        <v>0.34722222222222221</v>
      </c>
      <c r="H1391" s="16">
        <v>0</v>
      </c>
      <c r="I1391" s="35">
        <f ca="1">IFERROR(Tabela3[[#This Row],[Custo Total]]/Tabela3[[#This Row],[Aluminio Util]],0)</f>
        <v>23.456605574531892</v>
      </c>
      <c r="J1391" s="76">
        <f ca="1">Tabela3[[#This Row],[Custo Total]]/Tabela3[[#This Row],[Realizado]]</f>
        <v>7.1777213058067595</v>
      </c>
      <c r="K1391" s="37">
        <f>IFERROR(Tabela3[[#This Row],[Qtde Cx Produzida]]/Tabela3[[#This Row],[Tempo]]/24,0)</f>
        <v>8.4</v>
      </c>
      <c r="L1391" s="37">
        <f>Tabela3[[#This Row],[Qtde Cx Produzida]]*Tabela3[[#This Row],[Qdt Peça Placa]]</f>
        <v>420</v>
      </c>
      <c r="M1391" s="37">
        <f>Tabela3[[#This Row],[Previsto]]-Tabela3[[#This Row],[Perda Pçs]]</f>
        <v>420</v>
      </c>
      <c r="N1391" s="38">
        <f>IFERROR(Tabela3[[#This Row],[Perda Pçs]]/Tabela3[[#This Row],[Previsto]],0)</f>
        <v>0</v>
      </c>
      <c r="O1391" s="39">
        <f>IFERROR(IF(Tabela3[[#This Row],[Qtde Cx Produzida]] &lt;&gt; 0, Tabela3[[#This Row],[Tempo]] / Tabela3[[#This Row],[Qtde Cx Produzida]], 0),0)</f>
        <v>4.96031746031746E-3</v>
      </c>
      <c r="P1391" s="77">
        <f>IFERROR(Tabela3[[#This Row],[Perda Pçs]]/Tabela3[[#This Row],[Qdt Peça Placa]],0)</f>
        <v>0</v>
      </c>
      <c r="Q1391" s="37">
        <f>IFERROR(Tabela3[[#This Row],[Realizado]]*Tabela3[[#This Row],[Peso Util/Pç]],0)</f>
        <v>128.52000000000001</v>
      </c>
      <c r="R1391" s="37">
        <f>IFERROR(Tabela3[[#This Row],[Peso Total Galho]]*Tabela3[[#This Row],[Qtde Cx Produzida]]*1.055,0)</f>
        <v>160.10680000000002</v>
      </c>
      <c r="S1391" s="37">
        <f>(Tabela3[[#This Row],[Aluminio Bruto]]-Tabela3[[#This Row],[Aluminio Util]])*0.9</f>
        <v>28.42812000000001</v>
      </c>
      <c r="T1391" s="37">
        <f>Tabela3[[#This Row],[Aluminio Bruto]]/OleoKGAluminio</f>
        <v>67.356723743896495</v>
      </c>
      <c r="U1391" s="76">
        <f>IFERROR((VLOOKUP(Tabela3[[#This Row],[Moldador]],Tabela1[],5,)+(VLOOKUP(Tabela3[[#This Row],[Ajudante]],Tabela1[],5,))*3.5),0)</f>
        <v>99.95034583333333</v>
      </c>
      <c r="V1391" s="76">
        <f>IFERROR(Tabela3[[#This Row],[Custo M.O. / H]]/((Tabela3[[#This Row],[Realizado]]/Tabela3[[#This Row],[Qdt Peça Placa]])/Tabela3[[#This Row],[Tempo]]/24),)</f>
        <v>11.898850694444443</v>
      </c>
      <c r="W1391" s="76">
        <f>Tabela3[[#This Row],[Custo / Cx Moldada]]*Tabela3[[#This Row],[Qtde Cx Produzida]]</f>
        <v>832.91954861111094</v>
      </c>
      <c r="X1391" s="76">
        <f ca="1">Tabela3[[#This Row],[Aluminio Util]]*Tabela3[[#This Row],[Custo/Kg]]</f>
        <v>2004.9120000000003</v>
      </c>
      <c r="Y1391" s="76">
        <f>IFERROR(VLOOKUP(Tabela3[[#This Row],[Data]],Tabela461213[],2,1)*(Tabela3[[#This Row],[Qtde Cx Produzida]]*Tabela3[[#This Row],[Qde macho / CX]]*Tabela3[[#This Row],[Peso Macho]]),)</f>
        <v>0</v>
      </c>
      <c r="Z1391" s="76">
        <f>IFERROR(Tabela3[[#This Row],[Qtde Oleo]]*(VLOOKUP(Tabela3[[#This Row],[Data]],CompraOleo[],3,TRUE))*1.05,0)</f>
        <v>176.81139982772831</v>
      </c>
      <c r="AA1391" s="47">
        <f ca="1">(Tabela3[[#This Row],[Custo Oleo]]+Tabela3[[#This Row],[Custo Aluminio]]+Tabela3[[#This Row],[Custo M.O. Total]]+Tabela3[[#This Row],[Custo Machos]])</f>
        <v>3014.6429484388391</v>
      </c>
      <c r="AB1391" s="47">
        <f ca="1">Tabela3[[#This Row],[Custo Total]]*Tabela3[[#This Row],[% Perda]]</f>
        <v>0</v>
      </c>
      <c r="AC1391" s="78">
        <f>IFERROR(VLOOKUP(Tabela3[[#This Row],[Produto]],Tabela2[],2,0),0)</f>
        <v>6</v>
      </c>
      <c r="AD1391" s="48">
        <f>IFERROR(VLOOKUP(Tabela3[[#This Row],[Produto]],Tabela2[],3,0),0)</f>
        <v>0.30599999999999999</v>
      </c>
      <c r="AE1391" s="48">
        <f>IFERROR(VLOOKUP(Tabela3[[#This Row],[Produto]],Tabela2[],4,0),0)</f>
        <v>2.1680000000000001</v>
      </c>
      <c r="AF1391" s="48">
        <f>IFERROR(VLOOKUP(Tabela3[[#This Row],[Produto]],Tabela2[],5,0),0)</f>
        <v>0.29880000000000029</v>
      </c>
      <c r="AG1391" s="48">
        <f>IFERROR(VLOOKUP(Tabela3[[#This Row],[Produto]],Tabela2[],6,0),0)</f>
        <v>0</v>
      </c>
      <c r="AH1391" s="78">
        <f>IFERROR(VLOOKUP(Tabela3[[#This Row],[Produto]],Tabela2[],7,0),0)</f>
        <v>0</v>
      </c>
      <c r="AI1391" s="78">
        <f>IFERROR(VLOOKUP(Tabela3[[#This Row],[Produto]],Tabela2[],8,0),0)</f>
        <v>0</v>
      </c>
      <c r="AJ1391" s="35">
        <f ca="1">IFERROR(VLOOKUP(Tabela3[[#This Row],[Produto]],Tabela2[],13,0),0)</f>
        <v>15.600000000000001</v>
      </c>
      <c r="AK1391" s="48" t="str">
        <f>IFERROR(VLOOKUP(Tabela3[[#This Row],[Produto]],Tabela2[],14,0),0)</f>
        <v>Senun</v>
      </c>
      <c r="AL1391" s="78">
        <f>IFERROR(VLOOKUP(Tabela3[[#This Row],[Produto]],Tabela2[],15,0),0)</f>
        <v>4</v>
      </c>
      <c r="AM1391" s="79">
        <f ca="1">(Tabela3[[#This Row],[Custo Usinagem]]+Tabela3[[#This Row],[Custo / Pç]])*1.2</f>
        <v>13.413265566968111</v>
      </c>
      <c r="AN1391" s="36">
        <f ca="1">Tabela3[[#This Row],[Valor Mínimo Venda]]*1.15</f>
        <v>15.425255402013326</v>
      </c>
      <c r="AO1391" s="36">
        <f ca="1">Tabela3[[#This Row],[Tabela 1]]*1.08</f>
        <v>16.659275834174395</v>
      </c>
      <c r="AP1391" s="79">
        <f ca="1">Tabela3[[#This Row],[Tabela 2]]*1.15</f>
        <v>19.158167209300551</v>
      </c>
    </row>
  </sheetData>
  <phoneticPr fontId="2" type="noConversion"/>
  <dataValidations count="2">
    <dataValidation type="list" showInputMessage="1" showErrorMessage="1" errorTitle="Profissional Inexistente" error="Cadastre o Profissional na ABA PROFISSIONAIS" sqref="D2:E1391" xr:uid="{2EEC2754-91A1-4C98-ABDC-68410719CDF7}">
      <formula1>Profissional</formula1>
    </dataValidation>
    <dataValidation type="list" showInputMessage="1" showErrorMessage="1" errorTitle="Produto não cadastrado" error="Cadastre o produto e os dados de produção na ABA PRODUTOS" sqref="B2:B1391" xr:uid="{15C3C14F-B425-4B09-B27E-3C872D63251E}">
      <formula1>Produto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Nunes</dc:creator>
  <cp:keywords/>
  <dc:description/>
  <cp:lastModifiedBy>Usuário Convidado</cp:lastModifiedBy>
  <cp:revision/>
  <dcterms:created xsi:type="dcterms:W3CDTF">2025-04-23T13:27:25Z</dcterms:created>
  <dcterms:modified xsi:type="dcterms:W3CDTF">2026-06-26T19:59:42Z</dcterms:modified>
  <cp:category/>
  <cp:contentStatus/>
</cp:coreProperties>
</file>